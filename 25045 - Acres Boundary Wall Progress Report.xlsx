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lement wise-detail Summary" sheetId="2" r:id="rId5"/>
    <sheet state="visible" name="Location_Summary" sheetId="3" r:id="rId6"/>
    <sheet state="visible" name="Data" sheetId="4" r:id="rId7"/>
    <sheet state="visible" name="Cast" sheetId="5" r:id="rId8"/>
    <sheet state="visible" name="Del" sheetId="6" r:id="rId9"/>
    <sheet state="visible" name="Ere" sheetId="7" r:id="rId10"/>
  </sheets>
  <externalReferences>
    <externalReference r:id="rId11"/>
  </externalReferences>
  <definedNames>
    <definedName name="ddgdghbfgdxf">#REF!</definedName>
    <definedName name="_EEE32">#REF!</definedName>
    <definedName name="B.2.14">#REF!</definedName>
    <definedName name="_MMM48">#REF!</definedName>
    <definedName name="_______new8">#REF!</definedName>
    <definedName name="_CTK5">#REF!</definedName>
    <definedName name="sts">#REF!</definedName>
    <definedName name="_2__123Graph_XCHART_1A">#REF!</definedName>
    <definedName name="Range3">#REF!</definedName>
    <definedName name="_LLL05">#REF!</definedName>
    <definedName name="GHI">#REF!</definedName>
    <definedName name="lumas">#REF!</definedName>
    <definedName name="b15.45">#REF!</definedName>
    <definedName name="_1">#REF!</definedName>
    <definedName name="_MMM07">#REF!</definedName>
    <definedName name="FORM917">#REF!</definedName>
    <definedName name="KOEF">#REF!</definedName>
    <definedName name="vvv">#REF!</definedName>
    <definedName name="Contractor">#REF!</definedName>
    <definedName name="URAIAN542">#REF!</definedName>
    <definedName name="Analisa101D">#REF!</definedName>
    <definedName name="asdAS">#REF!</definedName>
    <definedName name="wewe">#REF!</definedName>
    <definedName name="display_area_2">#REF!</definedName>
    <definedName name="__123Graph_ACHART1">#REF!</definedName>
    <definedName name="ne">#REF!</definedName>
    <definedName name="_EEE24">#REF!</definedName>
    <definedName name="cxvcxzcvz">#REF!</definedName>
    <definedName name="_Parse_In">#REF!</definedName>
    <definedName name="BGG">#REF!</definedName>
    <definedName name="_EEE09">#REF!</definedName>
    <definedName name="_EEE14">#REF!</definedName>
    <definedName name="__new8">#REF!</definedName>
    <definedName name="dldl160">#REF!</definedName>
    <definedName name="dw">#REF!</definedName>
    <definedName name="_MMM36">#REF!</definedName>
    <definedName name="_EEE08">#REF!</definedName>
    <definedName name="FORM331">#REF!</definedName>
    <definedName name="__123Graph_A">#REF!</definedName>
    <definedName name="FORM322">#REF!</definedName>
    <definedName name="_2">#REF!</definedName>
    <definedName name="SDD">#REF!</definedName>
    <definedName name="_MMM35">#REF!</definedName>
    <definedName name="DELG2">#REF!</definedName>
    <definedName name="_EEE12">#REF!</definedName>
    <definedName name="bronjong4">#REF!</definedName>
    <definedName name="valuation">#REF!</definedName>
    <definedName name="_MMM42">#REF!</definedName>
    <definedName name="jndfhnszlfbs">#REF!</definedName>
    <definedName name="tbl_ProdInfo">#REF!</definedName>
    <definedName name="hgfhgrtdghtrdhg">#REF!</definedName>
    <definedName name="MATERIAL">#REF!</definedName>
    <definedName name="EDF">#REF!</definedName>
    <definedName name="_EEE33">#REF!</definedName>
    <definedName name="SpecialPrice">#REF!</definedName>
    <definedName name="URAIAN522">#REF!</definedName>
    <definedName name="_EEE04">#REF!</definedName>
    <definedName name="_EEE15">#REF!</definedName>
    <definedName name="b15.40">#REF!</definedName>
    <definedName name="FORM542">#REF!</definedName>
    <definedName name="Analisa101B">#REF!</definedName>
    <definedName name="F.13.20">#REF!</definedName>
    <definedName name="dfgdsfdfdasfgasdf">#REF!</definedName>
    <definedName name="CastDates">Cast!$A:$A</definedName>
    <definedName name="_2__123Graph_ACHART_1A">#REF!</definedName>
    <definedName name="_MMM02">#REF!</definedName>
    <definedName name="fff">#REF!</definedName>
    <definedName name="URAIAN97">#REF!</definedName>
    <definedName name="xbdfgdsfdf">#REF!</definedName>
    <definedName name="_6">#REF!</definedName>
    <definedName name="ASD">#REF!</definedName>
    <definedName name="_MMM06">#REF!</definedName>
    <definedName name="vdfdgfdhddgdg">#REF!</definedName>
    <definedName name="ACT">#REF!</definedName>
    <definedName name="Mall">#REF!</definedName>
    <definedName name="_5">#REF!</definedName>
    <definedName name="ghgh">#REF!</definedName>
    <definedName name="_1__123Graph_ACHART_1A">#REF!</definedName>
    <definedName name="i">#REF!</definedName>
    <definedName name="carpenter">#REF!</definedName>
    <definedName name="UPAH">#REF!</definedName>
    <definedName name="hhjh">#REF!</definedName>
    <definedName name="project">#REF!</definedName>
    <definedName name="FCode">#REF!</definedName>
    <definedName name="_MMM50">#REF!</definedName>
    <definedName name="_EEE10">#REF!</definedName>
    <definedName name="scxzdfdgfgfdgfds">#REF!</definedName>
    <definedName name="vfdsfffdf">#REF!</definedName>
    <definedName name="____new8">#REF!</definedName>
    <definedName name="ediit">#REF!</definedName>
    <definedName name="hbszsi">#REF!</definedName>
    <definedName name="VV">#REF!</definedName>
    <definedName name="_LLL09">#REF!</definedName>
    <definedName name="geotex">#REF!</definedName>
    <definedName name="Besi">#REF!</definedName>
    <definedName name="element">#REF!</definedName>
    <definedName name="ViewModeFlag">#REF!</definedName>
    <definedName name="Analisa101E">#REF!</definedName>
    <definedName name="_CTK2">#REF!</definedName>
    <definedName name="REKAP">#REF!</definedName>
    <definedName name="rttr">#REF!</definedName>
    <definedName name="_MMM19">#REF!</definedName>
    <definedName name="H.29">#REF!</definedName>
    <definedName name="cvxzcbvdxdxbvf">#REF!</definedName>
    <definedName name="hfdg">#REF!</definedName>
    <definedName name="Arch">#REF!</definedName>
    <definedName name="dddgfhghgfhjgf">#REF!</definedName>
    <definedName name="semen">#REF!</definedName>
    <definedName name="_Sort">#REF!</definedName>
    <definedName name="View10">#REF!</definedName>
    <definedName name="_MMM31">#REF!</definedName>
    <definedName name="_3">#REF!</definedName>
    <definedName name="HiddenRows">#REF!</definedName>
    <definedName name="_MMM15">#REF!</definedName>
    <definedName name="drop">#REF!</definedName>
    <definedName name="_MMM38">#REF!</definedName>
    <definedName name="_LLL04">#REF!</definedName>
    <definedName name="ewrewrwer">#REF!</definedName>
    <definedName name="_EEE19">#REF!</definedName>
    <definedName name="b15.30">#REF!</definedName>
    <definedName name="_CTK1">#REF!</definedName>
    <definedName name="AUTO2">#REF!</definedName>
    <definedName name="_MMM18">#REF!</definedName>
    <definedName name="_CTK7">#REF!</definedName>
    <definedName name="FORM612">#REF!</definedName>
    <definedName name="_HHH01">#REF!</definedName>
    <definedName name="_EEE17">#REF!</definedName>
    <definedName name="MMM17A">#REF!</definedName>
    <definedName name="bol">#REF!</definedName>
    <definedName name="_MMM411">#REF!</definedName>
    <definedName name="manusia">#REF!</definedName>
    <definedName name="_MMM08">#REF!</definedName>
    <definedName name="FORM911">#REF!</definedName>
    <definedName name="RANGESDY">#REF!</definedName>
    <definedName name="dsdszsadsadf">#REF!</definedName>
    <definedName name="MMM35A">#REF!</definedName>
    <definedName name="vcxxcxcxxcx">#REF!</definedName>
    <definedName name="SS">#REF!</definedName>
    <definedName name="dllg100">#REF!</definedName>
    <definedName name="zfszgf">#REF!</definedName>
    <definedName name="kawat">#REF!</definedName>
    <definedName name="URAIAN512">#REF!</definedName>
    <definedName name="CastElements">Cast!$B:$B</definedName>
    <definedName name="_LBR4">#REF!</definedName>
    <definedName name="URAIAN919">#REF!</definedName>
    <definedName name="URAIAN731">#REF!</definedName>
    <definedName name="D2.20">#REF!</definedName>
    <definedName name="rerererere">#REF!</definedName>
    <definedName name="_MMM26">#REF!</definedName>
    <definedName name="BAGIAN_1">#REF!</definedName>
    <definedName name="fdfsdfgasgasfgas">#REF!</definedName>
    <definedName name="hidrolik">#REF!</definedName>
    <definedName name="ddsrsafsa">#REF!</definedName>
    <definedName name="_EEE18">#REF!</definedName>
    <definedName name="_EEE22">#REF!</definedName>
    <definedName name="aaaaaaa">#REF!</definedName>
    <definedName name="FORM512">#REF!</definedName>
    <definedName name="FORM733">#REF!</definedName>
    <definedName name="_CTK4">#REF!</definedName>
    <definedName name="baby">#REF!</definedName>
    <definedName name="adb">#REF!</definedName>
    <definedName name="Discount">#REF!</definedName>
    <definedName name="UPT">#REF!</definedName>
    <definedName name="Uraian311">#REF!</definedName>
    <definedName name="FORM919">#REF!</definedName>
    <definedName name="_MMM53">#REF!</definedName>
    <definedName name="datay">#REF!</definedName>
    <definedName name="waewafe">#REF!</definedName>
    <definedName name="_MMM10">#REF!</definedName>
    <definedName name="_MMM45">#REF!</definedName>
    <definedName name="_LLL10">#REF!</definedName>
    <definedName name="gg">#REF!</definedName>
    <definedName name="_LLL01">#REF!</definedName>
    <definedName name="SC">#REF!</definedName>
    <definedName name="_MMM13">#REF!</definedName>
    <definedName name="commonlabor">#REF!</definedName>
    <definedName name="zsddfgbdgf">#REF!</definedName>
    <definedName name="_MMM01">#REF!</definedName>
    <definedName name="_EEE06">#REF!</definedName>
    <definedName name="_MMM28">#REF!</definedName>
    <definedName name="_MMM21">#REF!</definedName>
    <definedName name="_Fill">#REF!</definedName>
    <definedName name="_EEE20">#REF!</definedName>
    <definedName name="CONTRACT">#REF!</definedName>
    <definedName name="_EEE29">#REF!</definedName>
    <definedName name="zDfzsszfgasf">#REF!</definedName>
    <definedName name="n6.20">#REF!</definedName>
    <definedName name="Divisi8">#REF!</definedName>
    <definedName name="_new8">#REF!</definedName>
    <definedName name="fdghdfhfg">#REF!</definedName>
    <definedName name="gdffdgdrghg">#REF!</definedName>
    <definedName name="URAIAN915">#REF!</definedName>
    <definedName name="RCArea">#REF!</definedName>
    <definedName name="_MMM03">#REF!</definedName>
    <definedName name="_MMM46">#REF!</definedName>
    <definedName name="lkdgszdgs">#REF!</definedName>
    <definedName name="gen">#REF!</definedName>
    <definedName name="_MMM40">#REF!</definedName>
    <definedName name="DD">#REF!</definedName>
    <definedName name="xcxcvdxdfxgdrs">#REF!</definedName>
    <definedName name="test01">#REF!</definedName>
    <definedName name="SR">#REF!</definedName>
    <definedName name="raea">#REF!</definedName>
    <definedName name="cor">#REF!</definedName>
    <definedName name="dateformat">#REF!</definedName>
    <definedName name="skilledlabor">#REF!</definedName>
    <definedName name="_LLL06">#REF!</definedName>
    <definedName name="_MMM49">#REF!</definedName>
    <definedName name="dllg80">#REF!</definedName>
    <definedName name="DELG3">#REF!</definedName>
    <definedName name="_EEE11">#REF!</definedName>
    <definedName name="_MMM32">#REF!</definedName>
    <definedName name="dfgdsgfdgfdgdfgfd">#REF!</definedName>
    <definedName name="status1">#REF!</definedName>
    <definedName name="sealer">#REF!</definedName>
    <definedName name="Dashboard">#REF!</definedName>
    <definedName name="bronjong2">#REF!</definedName>
    <definedName name="cvdvbdffgdfgd">#REF!</definedName>
    <definedName name="dllg120">#REF!</definedName>
    <definedName name="fdfcdef">#REF!</definedName>
    <definedName name="_EEE07">#REF!</definedName>
    <definedName name="_EEE21">#REF!</definedName>
    <definedName name="_MMM30">#REF!</definedName>
    <definedName name="_EEE05">#REF!</definedName>
    <definedName name="_4">#REF!</definedName>
    <definedName name="URAIAN911">#REF!</definedName>
    <definedName name="View7">#REF!</definedName>
    <definedName name="Analisa">#REF!</definedName>
    <definedName name="dcvdfdsfds">#REF!</definedName>
    <definedName name="dldl1100">#REF!</definedName>
    <definedName name="__123Graph_X">#REF!</definedName>
    <definedName name="_LBR9">#REF!</definedName>
    <definedName name="_LBR6">#REF!</definedName>
    <definedName name="purpose">#REF!</definedName>
    <definedName name="_LLL07">#REF!</definedName>
    <definedName name="Analisa101C">#REF!</definedName>
    <definedName name="dvbsvbus">#REF!</definedName>
    <definedName name="ere">#REF!</definedName>
    <definedName name="vcxvzxcxzcA">#REF!</definedName>
    <definedName name="wheephole">#REF!</definedName>
    <definedName name="AAAAAAAAAAAAAAAAA">#REF!</definedName>
    <definedName name="OrderTable">#REF!</definedName>
    <definedName name="sidgsapsga">#REF!</definedName>
    <definedName name="cargotruck">#REF!</definedName>
    <definedName name="____________________new8">#REF!</definedName>
    <definedName name="_LLL11">#REF!</definedName>
    <definedName name="_EEE27">#REF!</definedName>
    <definedName name="_Key1">#REF!</definedName>
    <definedName name="DAFTARSEWA">#REF!</definedName>
    <definedName name="ghj">#REF!</definedName>
    <definedName name="sgsg">#REF!</definedName>
    <definedName name="ProjectEnd">#REF!</definedName>
    <definedName name="DEL">#REF!</definedName>
    <definedName name="___new8">#REF!</definedName>
    <definedName name="_EEE13">#REF!</definedName>
    <definedName name="URAIAN612">#REF!</definedName>
    <definedName name="pvc">#REF!</definedName>
    <definedName name="ab">#REF!</definedName>
    <definedName name="___________new8">#REF!</definedName>
    <definedName name="STATUS10">#REF!</definedName>
    <definedName name="batu">#REF!</definedName>
    <definedName name="divisi">#REF!</definedName>
    <definedName name="bdfhdfj">#REF!</definedName>
    <definedName name="ProjectStart">#REF!</definedName>
    <definedName name="_MMM39">#REF!</definedName>
    <definedName name="FORM915">#REF!</definedName>
    <definedName name="Product">#REF!</definedName>
    <definedName name="backhoe">#REF!</definedName>
    <definedName name="_EEE30">#REF!</definedName>
    <definedName name="Assoperator">#REF!</definedName>
    <definedName name="xbxzvbxz">#REF!</definedName>
    <definedName name="_MMM04">#REF!</definedName>
    <definedName name="_MMM24">#REF!</definedName>
    <definedName name="URAIAN541">#REF!</definedName>
    <definedName name="kayubek">#REF!</definedName>
    <definedName name="drive">#REF!</definedName>
    <definedName name="_EEE03">#REF!</definedName>
    <definedName name="Foreman">#REF!</definedName>
    <definedName name="Daftar_Barang">#REF!</definedName>
    <definedName name="URAIAN733">#REF!</definedName>
    <definedName name="dldlg100">#REF!</definedName>
    <definedName name="View13">#REF!</definedName>
    <definedName name="ProdForm">#REF!</definedName>
    <definedName name="_MMM27">#REF!</definedName>
    <definedName name="sdffdgh">#REF!</definedName>
    <definedName name="_MMM54">#REF!</definedName>
    <definedName name="_LBR3">#REF!</definedName>
    <definedName name="__123Graph_XCHART1">#REF!</definedName>
    <definedName name="_LBR2">#REF!</definedName>
    <definedName name="status">#REF!</definedName>
    <definedName name="dfdsfs">#REF!</definedName>
    <definedName name="LBR3A">#REF!</definedName>
    <definedName name="AHS.Rev1">#REF!</definedName>
    <definedName name="Drawings_Data">#REF!</definedName>
    <definedName name="_MMM33">#REF!</definedName>
    <definedName name="UMUM02">#REF!</definedName>
    <definedName name="fgfdg">#REF!</definedName>
    <definedName name="AUTO">#REF!</definedName>
    <definedName name="_EEE01">#REF!</definedName>
    <definedName name="_____new8">#REF!</definedName>
    <definedName name="_LLL03">#REF!</definedName>
    <definedName name="RID">#REF!</definedName>
    <definedName name="_EEE31">#REF!</definedName>
    <definedName name="_MMM17">#REF!</definedName>
    <definedName name="sel">#REF!</definedName>
    <definedName name="_MMM29">#REF!</definedName>
    <definedName name="_MMM23">#REF!</definedName>
    <definedName name="_EEE16">#REF!</definedName>
    <definedName name="_MMM41">#REF!</definedName>
    <definedName name="tte">#REF!</definedName>
    <definedName name="_EEE28">#REF!</definedName>
    <definedName name="__123Graph_XCURRENT">#REF!</definedName>
    <definedName name="URAIAN913">#REF!</definedName>
    <definedName name="FORM96">#REF!</definedName>
    <definedName name="URAIAN635A">#REF!</definedName>
    <definedName name="Smbdaya">#REF!</definedName>
    <definedName name="_MMM05">#REF!</definedName>
    <definedName name="_EEE23">#REF!</definedName>
    <definedName name="ls">#REF!</definedName>
    <definedName name="TEST">#REF!</definedName>
    <definedName name="fdgdgg">#REF!</definedName>
    <definedName name="steelworker">#REF!</definedName>
    <definedName name="afn">#REF!</definedName>
    <definedName name="gvsgs">#REF!</definedName>
    <definedName name="FORM913">#REF!</definedName>
    <definedName name="_321">#REF!</definedName>
    <definedName name="ffggg">#REF!</definedName>
    <definedName name="oa">#REF!</definedName>
    <definedName name="gbsdsd">#REF!</definedName>
    <definedName name="_EEE02">#REF!</definedName>
    <definedName name="vzfxdgxbcxfg">#REF!</definedName>
    <definedName name="CTK3A">#REF!</definedName>
    <definedName name="_MMM12">#REF!</definedName>
    <definedName name="hall1">#REF!</definedName>
    <definedName name="SL">#REF!</definedName>
    <definedName name="bronjong3">#REF!</definedName>
    <definedName name="Uraian322">#REF!</definedName>
    <definedName name="date">#REF!</definedName>
    <definedName name="xcxvxzbz">#REF!</definedName>
    <definedName name="xzccvxzbzb">#REF!</definedName>
    <definedName name="b.29">#REF!</definedName>
    <definedName name="de">#REF!</definedName>
    <definedName name="edit">#REF!</definedName>
    <definedName name="yy">#REF!</definedName>
    <definedName name="_kof1">#REF!</definedName>
    <definedName name="Slicer_hallno">#REF!</definedName>
    <definedName name="_MMM14">#REF!</definedName>
    <definedName name="UAE_HOLIDAYS">#REF!</definedName>
    <definedName name="FORM522">#REF!</definedName>
    <definedName name="tnhbiasa">#REF!</definedName>
    <definedName name="FORM94">#REF!</definedName>
    <definedName name="matras">#REF!</definedName>
    <definedName name="_LBR5">#REF!</definedName>
    <definedName name="FORM97">#REF!</definedName>
    <definedName name="_LBR8">#REF!</definedName>
    <definedName name="_MMM47">#REF!</definedName>
    <definedName name="AHUFan">#REF!</definedName>
    <definedName name="________new8">#REF!</definedName>
    <definedName name="_4__123Graph_XCHART_1A">#REF!</definedName>
    <definedName name="View14">#REF!</definedName>
    <definedName name="FORM311">#REF!</definedName>
    <definedName name="dllg60">#REF!</definedName>
    <definedName name="project1">#REF!</definedName>
    <definedName name="_MMM51">#REF!</definedName>
    <definedName name="cm">#REF!</definedName>
    <definedName name="fbdkfd">#REF!</definedName>
    <definedName name="_CTK6">#REF!</definedName>
    <definedName name="bskbsdgbsa">#REF!</definedName>
    <definedName name="dllg50">#REF!</definedName>
    <definedName name="fdsgfdsfd">#REF!</definedName>
    <definedName name="rgrretgfdfds">#REF!</definedName>
    <definedName name="_MMM34">#REF!</definedName>
    <definedName name="URAIAN96">#REF!</definedName>
    <definedName name="DS">#REF!</definedName>
    <definedName name="_MMM22">#REF!</definedName>
    <definedName name="URAIAN917">#REF!</definedName>
    <definedName name="_MMM20">#REF!</definedName>
    <definedName name="_CTK9">#REF!</definedName>
    <definedName name="_MMM16">#REF!</definedName>
    <definedName name="B.2.11">#REF!</definedName>
    <definedName name="dfdsfestert">#REF!</definedName>
    <definedName name="G2.30">#REF!</definedName>
    <definedName name="URAIAN94">#REF!</definedName>
    <definedName name="_LLL02">#REF!</definedName>
    <definedName name="ddlhxch">#REF!</definedName>
    <definedName name="ANGKA2">#REF!</definedName>
    <definedName name="TYPE30">#REF!</definedName>
    <definedName name="_LLL08">#REF!</definedName>
    <definedName name="Analisa101A">#REF!</definedName>
    <definedName name="_MMM25">#REF!</definedName>
    <definedName name="_________new8">#REF!</definedName>
    <definedName name="UMUM01">#REF!</definedName>
    <definedName name="data3">#REF!</definedName>
    <definedName name="_EEE26">#REF!</definedName>
    <definedName name="FORM541">#REF!</definedName>
    <definedName name="aa">#REF!</definedName>
    <definedName name="H.212">#REF!</definedName>
    <definedName name="data2">#REF!</definedName>
    <definedName name="type">#REF!</definedName>
    <definedName name="RES">#REF!</definedName>
    <definedName name="_CTK8">#REF!</definedName>
    <definedName name="_MMM11">#REF!</definedName>
    <definedName name="FORM635A">#REF!</definedName>
    <definedName name="Uraian331">#REF!</definedName>
    <definedName name="_Parse_Out">#REF!</definedName>
    <definedName name="FORM731">#REF!</definedName>
    <definedName name="painter">#REF!</definedName>
    <definedName name="_MMM52">#REF!</definedName>
    <definedName name="_EEE25">#REF!</definedName>
    <definedName name="szxzxcfcgh">#REF!</definedName>
    <definedName name="xfdxfgdgfg">#REF!</definedName>
    <definedName name="YKYU">#REF!</definedName>
    <definedName name="GT">#REF!</definedName>
    <definedName name="title">#REF!</definedName>
    <definedName name="SI">#REF!</definedName>
    <definedName name="_LBR1">#REF!</definedName>
    <definedName name="_MMM09">#REF!</definedName>
    <definedName name="frr">#REF!</definedName>
    <definedName name="Range2">#REF!</definedName>
    <definedName name="mndbnb">#REF!</definedName>
    <definedName name="dldl180">#REF!</definedName>
    <definedName name="_MMM43">#REF!</definedName>
    <definedName name="Sat.Pek.">#REF!</definedName>
    <definedName name="RUT">#REF!</definedName>
    <definedName name="sdsadfsd">#REF!</definedName>
    <definedName name="__123Graph_B">#REF!</definedName>
    <definedName name="dfdsgsaf">#REF!</definedName>
    <definedName name="dfdfd">#REF!</definedName>
    <definedName name="Range4">#REF!</definedName>
    <definedName name="xyz">#REF!</definedName>
    <definedName name="______new8">#REF!</definedName>
    <definedName name="HALL">#REF!</definedName>
    <definedName name="__123Graph_ACURRENT">#REF!</definedName>
    <definedName name="DR">#REF!</definedName>
    <definedName name="_MMM44">#REF!</definedName>
    <definedName name="ViewDeleteFlag">#REF!</definedName>
    <definedName name="_LBR7">#REF!</definedName>
    <definedName name="_MMM37">#REF!</definedName>
    <definedName name="data1">#REF!</definedName>
    <definedName hidden="1" localSheetId="1" name="_xlnm._FilterDatabase">'Element wise-detail Summary'!$A$2:$R$2572</definedName>
    <definedName hidden="1" localSheetId="3" name="_xlnm._FilterDatabase">Data!$A$4:$AG$2579</definedName>
    <definedName hidden="1" localSheetId="4" name="_xlnm._FilterDatabase">Cast!$A$1:$J$852</definedName>
    <definedName hidden="1" localSheetId="5" name="_xlnm._FilterDatabase">Del!$A$1:$G$279</definedName>
    <definedName hidden="1" localSheetId="6" name="_xlnm._FilterDatabase">Ere!$A$1:$F$178</definedName>
    <definedName name="COUNTIFVISIBLE">LAMBDA(_xlpm.range, _xlpm.criteria, SUMPRODUCT(SUBTOTAL(103,OFFSET(_xlpm.range,ROW(_xlpm.range)-MIN(ROW(_xlpm.range)),0)),--ISNUMBER(SEARCH(_xlpm.criteria,_xlpm.range))))</definedName>
  </definedNames>
  <calcPr/>
</workbook>
</file>

<file path=xl/sharedStrings.xml><?xml version="1.0" encoding="utf-8"?>
<sst xmlns="http://schemas.openxmlformats.org/spreadsheetml/2006/main" count="31940" uniqueCount="4195">
  <si>
    <t>Data date as of</t>
  </si>
  <si>
    <t>P25045 - ACRES BW Progress Status (Element pc wise)</t>
  </si>
  <si>
    <t>Zone</t>
  </si>
  <si>
    <t>Villa</t>
  </si>
  <si>
    <t>Reqd.Qty</t>
  </si>
  <si>
    <t>Issued Qty</t>
  </si>
  <si>
    <t>Cast Qty</t>
  </si>
  <si>
    <t>Remain to Cast Qty</t>
  </si>
  <si>
    <t>%Cast</t>
  </si>
  <si>
    <t>Deliver Qty</t>
  </si>
  <si>
    <t>Remain to Deliver Qty</t>
  </si>
  <si>
    <t>%Del</t>
  </si>
  <si>
    <t>Factory stock</t>
  </si>
  <si>
    <t>Install Qty</t>
  </si>
  <si>
    <t>Remain to Install</t>
  </si>
  <si>
    <t>%Install</t>
  </si>
  <si>
    <t>Remarks</t>
  </si>
  <si>
    <t>Balance to issue</t>
  </si>
  <si>
    <t>J1B</t>
  </si>
  <si>
    <t>J123</t>
  </si>
  <si>
    <t>MOCKUP -65 NOS</t>
  </si>
  <si>
    <t>J124</t>
  </si>
  <si>
    <t>J125</t>
  </si>
  <si>
    <t>MOCKUP</t>
  </si>
  <si>
    <t>J126</t>
  </si>
  <si>
    <t>J127</t>
  </si>
  <si>
    <t>J128</t>
  </si>
  <si>
    <t>4 nos EXT</t>
  </si>
  <si>
    <t>J129</t>
  </si>
  <si>
    <t>J130</t>
  </si>
  <si>
    <t>J131</t>
  </si>
  <si>
    <t>J132</t>
  </si>
  <si>
    <t>8 nos EXT</t>
  </si>
  <si>
    <t>J133</t>
  </si>
  <si>
    <t>J1A</t>
  </si>
  <si>
    <t>J116</t>
  </si>
  <si>
    <t>5 nos EXT</t>
  </si>
  <si>
    <t>J117</t>
  </si>
  <si>
    <t>13 no EXT</t>
  </si>
  <si>
    <t>J118</t>
  </si>
  <si>
    <t>J119</t>
  </si>
  <si>
    <t>J120</t>
  </si>
  <si>
    <t>J121</t>
  </si>
  <si>
    <t>J122</t>
  </si>
  <si>
    <t>J1D</t>
  </si>
  <si>
    <t>J096</t>
  </si>
  <si>
    <t>5 EXT</t>
  </si>
  <si>
    <t>J097</t>
  </si>
  <si>
    <t>J098</t>
  </si>
  <si>
    <t>11 EXT</t>
  </si>
  <si>
    <t>J099</t>
  </si>
  <si>
    <t>9 EXT</t>
  </si>
  <si>
    <t>J100</t>
  </si>
  <si>
    <t>4 EXT</t>
  </si>
  <si>
    <t>J1C</t>
  </si>
  <si>
    <t>J087</t>
  </si>
  <si>
    <t>6 EXT</t>
  </si>
  <si>
    <t>J088</t>
  </si>
  <si>
    <t>J089</t>
  </si>
  <si>
    <t>J090</t>
  </si>
  <si>
    <t>J091</t>
  </si>
  <si>
    <t>3 EXT</t>
  </si>
  <si>
    <t>J092</t>
  </si>
  <si>
    <t>J093</t>
  </si>
  <si>
    <t>J094</t>
  </si>
  <si>
    <t>J095</t>
  </si>
  <si>
    <t>J1F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</si>
  <si>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</si>
  <si>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</si>
  <si>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</si>
  <si>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</si>
  <si>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</si>
  <si>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</si>
  <si>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</si>
  <si>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</si>
  <si>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</si>
  <si>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J1E</t>
  </si>
  <si>
    <t>J110</t>
  </si>
  <si>
    <t>J111</t>
  </si>
  <si>
    <t>J112</t>
  </si>
  <si>
    <t>J113</t>
  </si>
  <si>
    <t>J114</t>
  </si>
  <si>
    <t>J115</t>
  </si>
  <si>
    <t>J2A</t>
  </si>
  <si>
    <t>J001</t>
  </si>
  <si>
    <t>J002</t>
  </si>
  <si>
    <t>J003</t>
  </si>
  <si>
    <t>J004</t>
  </si>
  <si>
    <t>J005</t>
  </si>
  <si>
    <t>J021</t>
  </si>
  <si>
    <t>J022</t>
  </si>
  <si>
    <t>J023</t>
  </si>
  <si>
    <t>J024</t>
  </si>
  <si>
    <t>J025</t>
  </si>
  <si>
    <t>J026</t>
  </si>
  <si>
    <t>J027</t>
  </si>
  <si>
    <t>J2C</t>
  </si>
  <si>
    <t>J070</t>
  </si>
  <si>
    <t>J071</t>
  </si>
  <si>
    <t>J072</t>
  </si>
  <si>
    <t>J073</t>
  </si>
  <si>
    <t>J074</t>
  </si>
  <si>
    <t>8 EXT</t>
  </si>
  <si>
    <t>J075</t>
  </si>
  <si>
    <t>J076</t>
  </si>
  <si>
    <t>J2B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</si>
  <si>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</si>
  <si>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</si>
  <si>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</si>
  <si>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</si>
  <si>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</si>
  <si>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</si>
  <si>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</si>
  <si>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</si>
  <si>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</si>
  <si>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</si>
  <si>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J3C</t>
  </si>
  <si>
    <t>J059</t>
  </si>
  <si>
    <t>12 EXT</t>
  </si>
  <si>
    <t>J060</t>
  </si>
  <si>
    <t>J061</t>
  </si>
  <si>
    <t>J062</t>
  </si>
  <si>
    <t>J063</t>
  </si>
  <si>
    <t>J064</t>
  </si>
  <si>
    <t>J065</t>
  </si>
  <si>
    <t>J066</t>
  </si>
  <si>
    <t>J067</t>
  </si>
  <si>
    <t>14 EXT</t>
  </si>
  <si>
    <t>J068</t>
  </si>
  <si>
    <t>10 EXT</t>
  </si>
  <si>
    <t>J069</t>
  </si>
  <si>
    <t>I1D</t>
  </si>
  <si>
    <t>J3B</t>
  </si>
  <si>
    <t>J041</t>
  </si>
  <si>
    <t>J042</t>
  </si>
  <si>
    <t>J043</t>
  </si>
  <si>
    <t>J044</t>
  </si>
  <si>
    <t>J045</t>
  </si>
  <si>
    <t>J046</t>
  </si>
  <si>
    <t>J047</t>
  </si>
  <si>
    <t>A1A</t>
  </si>
  <si>
    <t>A001</t>
  </si>
  <si>
    <t>A002</t>
  </si>
  <si>
    <t>A003</t>
  </si>
  <si>
    <t>A004</t>
  </si>
  <si>
    <t>A005</t>
  </si>
  <si>
    <t>A006</t>
  </si>
  <si>
    <t>A007</t>
  </si>
  <si>
    <t>A008</t>
  </si>
  <si>
    <t>A1B</t>
  </si>
  <si>
    <t>A009</t>
  </si>
  <si>
    <t>A010</t>
  </si>
  <si>
    <t>A011</t>
  </si>
  <si>
    <t>A012</t>
  </si>
  <si>
    <t>A013</t>
  </si>
  <si>
    <t>A014</t>
  </si>
  <si>
    <t>A015</t>
  </si>
  <si>
    <t>A016</t>
  </si>
  <si>
    <t>A1D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</si>
  <si>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</si>
  <si>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</si>
  <si>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</si>
  <si>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</si>
  <si>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</si>
  <si>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</si>
  <si>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</si>
  <si>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</si>
  <si>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</si>
  <si>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</si>
  <si>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</si>
  <si>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</si>
  <si>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</si>
  <si>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</si>
  <si>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</si>
  <si>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A1C</t>
  </si>
  <si>
    <t>A017</t>
  </si>
  <si>
    <t>A018</t>
  </si>
  <si>
    <t>A019</t>
  </si>
  <si>
    <t>A020</t>
  </si>
  <si>
    <t>A021</t>
  </si>
  <si>
    <t>A022</t>
  </si>
  <si>
    <t>A023</t>
  </si>
  <si>
    <t>C2A</t>
  </si>
  <si>
    <t>C2B</t>
  </si>
  <si>
    <t>C2C</t>
  </si>
  <si>
    <t>C1D</t>
  </si>
  <si>
    <t>C1C</t>
  </si>
  <si>
    <t>C1B</t>
  </si>
  <si>
    <t>C1A</t>
  </si>
  <si>
    <t>I4A</t>
  </si>
  <si>
    <t>I3A</t>
  </si>
  <si>
    <t>I3B</t>
  </si>
  <si>
    <t>I1C</t>
  </si>
  <si>
    <t>I1B</t>
  </si>
  <si>
    <t>I1A</t>
  </si>
  <si>
    <t>I2A</t>
  </si>
  <si>
    <t>I2B</t>
  </si>
  <si>
    <t>A2C</t>
  </si>
  <si>
    <t>A2D</t>
  </si>
  <si>
    <t>A3A</t>
  </si>
  <si>
    <t>A3B</t>
  </si>
  <si>
    <t>J2D</t>
  </si>
  <si>
    <t>J2E</t>
  </si>
  <si>
    <t>J3A</t>
  </si>
  <si>
    <t>J3D</t>
  </si>
  <si>
    <t>B1B</t>
  </si>
  <si>
    <t>B2B</t>
  </si>
  <si>
    <t>B2C</t>
  </si>
  <si>
    <t>B2D</t>
  </si>
  <si>
    <t>B1D</t>
  </si>
  <si>
    <t>B1C</t>
  </si>
  <si>
    <t>C2D</t>
  </si>
  <si>
    <t>C2E</t>
  </si>
  <si>
    <t>C1E</t>
  </si>
  <si>
    <t>C1F</t>
  </si>
  <si>
    <t>D2D</t>
  </si>
  <si>
    <t>D1A</t>
  </si>
  <si>
    <t>D1B</t>
  </si>
  <si>
    <t>D1C</t>
  </si>
  <si>
    <t>D2A</t>
  </si>
  <si>
    <t>D2B</t>
  </si>
  <si>
    <t>D2C</t>
  </si>
  <si>
    <t>I4C</t>
  </si>
  <si>
    <t>I4B</t>
  </si>
  <si>
    <t>I3C</t>
  </si>
  <si>
    <t>I2C</t>
  </si>
  <si>
    <t>A2A</t>
  </si>
  <si>
    <t>A2B</t>
  </si>
  <si>
    <t>A3C</t>
  </si>
  <si>
    <t>A1E</t>
  </si>
  <si>
    <t>A1F</t>
  </si>
  <si>
    <t>B1A</t>
  </si>
  <si>
    <t>B2A</t>
  </si>
  <si>
    <t>D2E</t>
  </si>
  <si>
    <t>D2F</t>
  </si>
  <si>
    <t>D1D</t>
  </si>
  <si>
    <t>TOTAL</t>
  </si>
  <si>
    <t>Element ID</t>
  </si>
  <si>
    <t>Location</t>
  </si>
  <si>
    <t>Product</t>
  </si>
  <si>
    <t>Remain to Cast</t>
  </si>
  <si>
    <t>Remain to Deliver</t>
  </si>
  <si>
    <t>Factory stock qty</t>
  </si>
  <si>
    <t>bay</t>
  </si>
  <si>
    <t>Install</t>
  </si>
  <si>
    <t>Vol.(m3)/pc</t>
  </si>
  <si>
    <t>Weight  (Tons)</t>
  </si>
  <si>
    <t>25045-A1A-A001-T1C2-001</t>
  </si>
  <si>
    <t>25045-A1A-A001-T1C3-001</t>
  </si>
  <si>
    <t>25045-A1A-A001-T1C3-002</t>
  </si>
  <si>
    <t>25045-A1A-A001-T2C1-001</t>
  </si>
  <si>
    <t>25045-A1A-A001-T2C1-002</t>
  </si>
  <si>
    <t>25045-A1A-A001-T2C11-001</t>
  </si>
  <si>
    <t>25045-A1A-A001-T2C12-002</t>
  </si>
  <si>
    <t>25045-A1A-A001-T2C7-001</t>
  </si>
  <si>
    <t>25045-A1A-A001-T2C7-002</t>
  </si>
  <si>
    <t>25045-A1A-A001-T2C8-001</t>
  </si>
  <si>
    <t>25045-A1A-A001-T3C5-001</t>
  </si>
  <si>
    <t>25045-A1A-A001-T3C5-002</t>
  </si>
  <si>
    <t>25045-A1A-A001-T3C5-003</t>
  </si>
  <si>
    <t>25045-A1A-A001-T3C5-004</t>
  </si>
  <si>
    <t>25045-A1A-A001-T3C5-005</t>
  </si>
  <si>
    <t>25045-A1A-A001-T5AC1-001</t>
  </si>
  <si>
    <t>25045-A1A-A001-T5AC3-001</t>
  </si>
  <si>
    <t>25045-A1A-A001-T5C2A-001</t>
  </si>
  <si>
    <t>25045-A1A-A001-T6C1-001</t>
  </si>
  <si>
    <t>25045-A1A-A001-T7C2-001</t>
  </si>
  <si>
    <t>25045-A1A-A002-T1C1-001</t>
  </si>
  <si>
    <t>25045-A1A-A002-T1C1-002</t>
  </si>
  <si>
    <t>25045-A1A-A002-T2C1-001</t>
  </si>
  <si>
    <t>25045-A1A-A002-T3C4-001</t>
  </si>
  <si>
    <t>25045-A1A-A002-T3C4-002</t>
  </si>
  <si>
    <t>25045-A1A-A002-T3C4-003</t>
  </si>
  <si>
    <t>25045-A1A-A002-T3C4-004</t>
  </si>
  <si>
    <t>25045-A1A-A002-T3C4-005</t>
  </si>
  <si>
    <t>25045-A1A-A002-T3C5-001</t>
  </si>
  <si>
    <t>25045-A1A-A002-T3C5-002</t>
  </si>
  <si>
    <t>25045-A1A-A002-T3C5-003</t>
  </si>
  <si>
    <t>25045-A1A-A002-T3C5-004</t>
  </si>
  <si>
    <t>25045-A1A-A002-T3C5-005</t>
  </si>
  <si>
    <t>25045-A1A-A002-T5AC4-001</t>
  </si>
  <si>
    <t>25045-A1A-A002-T5C2A-001</t>
  </si>
  <si>
    <t>25045-A1A-A002-T7C2-001</t>
  </si>
  <si>
    <t>25045-A1A-A003-T1C1-001</t>
  </si>
  <si>
    <t>25045-A1A-A003-T1C1-002</t>
  </si>
  <si>
    <t>25045-A1A-A003-T2C1-001</t>
  </si>
  <si>
    <t>25045-A1A-A003-T3C4-001</t>
  </si>
  <si>
    <t>25045-A1A-A003-T3C4-002</t>
  </si>
  <si>
    <t>25045-A1A-A003-T3C4-003</t>
  </si>
  <si>
    <t>25045-A1A-A003-T3C4-004</t>
  </si>
  <si>
    <t>25045-A1A-A003-T3C4-005</t>
  </si>
  <si>
    <t>25045-A1A-A003-T3C5-001</t>
  </si>
  <si>
    <t>25045-A1A-A003-T3C5-002</t>
  </si>
  <si>
    <t>25045-A1A-A003-T3C5-003</t>
  </si>
  <si>
    <t>25045-A1A-A003-T3C5-004</t>
  </si>
  <si>
    <t>25045-A1A-A003-T3C5-005</t>
  </si>
  <si>
    <t>25045-A1A-A003-T5C1-001</t>
  </si>
  <si>
    <t>25045-A1A-A003-T6C1-001</t>
  </si>
  <si>
    <t>25045-A1A-A003-T7C1-001</t>
  </si>
  <si>
    <t>25045-A1A-A004-T1C1-001</t>
  </si>
  <si>
    <t>25045-A1A-A004-T1C1-002</t>
  </si>
  <si>
    <t>25045-A1A-A004-T1C1-003</t>
  </si>
  <si>
    <t>25045-A1A-A004-T1C1-004</t>
  </si>
  <si>
    <t>25045-A1A-A004-T1C1-005</t>
  </si>
  <si>
    <t>25045-A1A-A004-T2C1-001</t>
  </si>
  <si>
    <t>25045-A1A-A004-T3C4-001</t>
  </si>
  <si>
    <t>25045-A1A-A004-T3C4-002</t>
  </si>
  <si>
    <t>25045-A1A-A004-T3C4-003</t>
  </si>
  <si>
    <t>25045-A1A-A004-T3C4-004</t>
  </si>
  <si>
    <t>25045-A1A-A004-T3C4-005</t>
  </si>
  <si>
    <t>25045-A1A-A004-T3C5-001</t>
  </si>
  <si>
    <t>25045-A1A-A004-T3C5-002</t>
  </si>
  <si>
    <t>25045-A1A-A004-T3C5-003</t>
  </si>
  <si>
    <t>25045-A1A-A004-T3C5-004</t>
  </si>
  <si>
    <t>25045-A1A-A004-T3C5-005</t>
  </si>
  <si>
    <t>25045-A1A-A004-T5AC4-001</t>
  </si>
  <si>
    <t>25045-A1A-A004-T5C2-001</t>
  </si>
  <si>
    <t>25045-A1A-A004-T7C2-001</t>
  </si>
  <si>
    <t>25045-A1A-A005-T2C1-001</t>
  </si>
  <si>
    <t>25045-A1A-A005-T2C1-002</t>
  </si>
  <si>
    <t>25045-A1A-A005-T2C1-003</t>
  </si>
  <si>
    <t>25045-A1A-A005-T2C1-004</t>
  </si>
  <si>
    <t>25045-A1A-A005-T2C5-001</t>
  </si>
  <si>
    <t>25045-A1A-A005-T2C5-002</t>
  </si>
  <si>
    <t>25045-A1A-A005-T3C4-001</t>
  </si>
  <si>
    <t>25045-A1A-A005-T3C4-004</t>
  </si>
  <si>
    <t>25045-A1A-A005-T3C4-002</t>
  </si>
  <si>
    <t>25045-A1A-A005-T3C4-003</t>
  </si>
  <si>
    <t>25045-A1A-A005-T3C4-005</t>
  </si>
  <si>
    <t>25045-A1A-A005-T3C4-006</t>
  </si>
  <si>
    <t>25045-A1A-A005-T3C4-007</t>
  </si>
  <si>
    <t>25045-A1A-A005-T3C4-008</t>
  </si>
  <si>
    <t>25045-A1A-A005-T3C4-009</t>
  </si>
  <si>
    <t>25045-A1A-A005-T3C4-010</t>
  </si>
  <si>
    <t>25045-A1A-A005-T5AC1-001</t>
  </si>
  <si>
    <t>25045-A1A-A005-T5C1-001</t>
  </si>
  <si>
    <t>25045-A1A-A005-T7C1-001</t>
  </si>
  <si>
    <t>25045-A1A-A006-T2C1-003</t>
  </si>
  <si>
    <t>25045-A1A-A006-T2C1-004</t>
  </si>
  <si>
    <t>25045-A1A-A006-T2C5-001</t>
  </si>
  <si>
    <t>25045-A1A-A006-T2C5-002</t>
  </si>
  <si>
    <t>25045-A1A-A006-T2C9-001</t>
  </si>
  <si>
    <t>25045-A1A-A006-T3C4-001</t>
  </si>
  <si>
    <t>25045-A1A-A006-T3C4-002</t>
  </si>
  <si>
    <t>25045-A1A-A006-T3C4-003</t>
  </si>
  <si>
    <t>25045-A1A-A006-T3C4-004</t>
  </si>
  <si>
    <t>25045-A1A-A006-T3C4-005</t>
  </si>
  <si>
    <t>25045-A1A-A006-T3C4-006</t>
  </si>
  <si>
    <t>25045-A1A-A006-T3C4-007</t>
  </si>
  <si>
    <t>25045-A1A-A006-T3C4-008</t>
  </si>
  <si>
    <t>25045-A1A-A006-T3C4-009</t>
  </si>
  <si>
    <t>25045-A1A-A006-T3C4-010</t>
  </si>
  <si>
    <t>25045-A1A-A006-T5C1-001</t>
  </si>
  <si>
    <t>25045-A1A-A006-T6C1-002</t>
  </si>
  <si>
    <t>25045-A1A-A006-T7C1-001</t>
  </si>
  <si>
    <t>25045-A1A-A007-T2C1-001</t>
  </si>
  <si>
    <t>25045-A1A-A007-T2C5-001</t>
  </si>
  <si>
    <t>25045-A1A-A007-T2C5-002</t>
  </si>
  <si>
    <t>25045-A1A-A007-T2C9-001</t>
  </si>
  <si>
    <t>25045-A1A-A007-T3C4-001</t>
  </si>
  <si>
    <t>25045-A1A-A007-T3C4-002</t>
  </si>
  <si>
    <t>25045-A1A-A007-T3C4-003</t>
  </si>
  <si>
    <t>25045-A1A-A007-T3C4-004</t>
  </si>
  <si>
    <t>25045-A1A-A007-T3C4-005</t>
  </si>
  <si>
    <t>25045-A1A-A007-T3C5-001</t>
  </si>
  <si>
    <t>25045-A1A-A007-T3C5-002</t>
  </si>
  <si>
    <t>25045-A1A-A007-T3C5-003</t>
  </si>
  <si>
    <t>25045-A1A-A007-T3C5-004</t>
  </si>
  <si>
    <t>25045-A1A-A007-T3C5-005</t>
  </si>
  <si>
    <t>25045-A1A-A007-T5C1A-001</t>
  </si>
  <si>
    <t>25045-A1A-A007-T6C1-002</t>
  </si>
  <si>
    <t>25045-A1A-A007-T7C1-001</t>
  </si>
  <si>
    <t>25045-A1A-A008-T2C1-001</t>
  </si>
  <si>
    <t>25045-A1A-A008-T2C1-002</t>
  </si>
  <si>
    <t>25045-A1A-A008-T2C1-003</t>
  </si>
  <si>
    <t>25045-A1A-A008-T2C5-001</t>
  </si>
  <si>
    <t>25045-A1A-A008-T2C5-002</t>
  </si>
  <si>
    <t>25045-A1A-A008-T2C5-003</t>
  </si>
  <si>
    <t>25045-A1A-A008-T2C5-004</t>
  </si>
  <si>
    <t>25045-A1A-A008-T2C9-001</t>
  </si>
  <si>
    <t>25045-A1A-A008-T2C9-002</t>
  </si>
  <si>
    <t>25045-A1A-A008-T3C5-001</t>
  </si>
  <si>
    <t>25045-A1A-A008-T3C5-002</t>
  </si>
  <si>
    <t>25045-A1A-A008-T3C5-003</t>
  </si>
  <si>
    <t>25045-A1A-A008-T3C5-004</t>
  </si>
  <si>
    <t>25045-A1A-A008-T3C5-005</t>
  </si>
  <si>
    <t>25045-A1A-A008-T5AC4-001</t>
  </si>
  <si>
    <t>25045-A1A-A008-T5C2A-001</t>
  </si>
  <si>
    <t>25045-A1A-A008-T7C2-001</t>
  </si>
  <si>
    <t>25045-A1B-A009-T2C5-003</t>
  </si>
  <si>
    <t>25045-A1B-A009-T3C5-001</t>
  </si>
  <si>
    <t>25045-A1B-A009-T3C5-002</t>
  </si>
  <si>
    <t>25045-A1B-A009-T3C5-003</t>
  </si>
  <si>
    <t>25045-A1B-A009-T3C5-004</t>
  </si>
  <si>
    <t>25045-A1B-A009-T3C5-005</t>
  </si>
  <si>
    <t>25045-A1B-A009-T2C1-002</t>
  </si>
  <si>
    <t>25045-A1B-A009-T6C1-001</t>
  </si>
  <si>
    <t>25045-A1B-A009-T2C5-002</t>
  </si>
  <si>
    <t>25045-A1B-A009-T2C5-001</t>
  </si>
  <si>
    <t>25045-A1B-A009-T2C9-001</t>
  </si>
  <si>
    <t>25045-A1B-A009-T2C1-001</t>
  </si>
  <si>
    <t>25045-A1B-A009-T2C2-002</t>
  </si>
  <si>
    <t>25045-A1B-A009-T2C2-001</t>
  </si>
  <si>
    <t>25045-A1B-A009-T7C1-001</t>
  </si>
  <si>
    <t>25045-A1B-A009-T5AC1-001</t>
  </si>
  <si>
    <t>25045-A1B-A009-T2C5-004</t>
  </si>
  <si>
    <t>25045-A1B-A009-T2C9-002</t>
  </si>
  <si>
    <t>25045-A1B-A010-T2C5-001</t>
  </si>
  <si>
    <t>25045-A1B-A010-T3C4-001</t>
  </si>
  <si>
    <t>25045-A1B-A010-T3C4-002</t>
  </si>
  <si>
    <t>25045-A1B-A010-T3C4-003</t>
  </si>
  <si>
    <t>25045-A1B-A010-T3C4-004</t>
  </si>
  <si>
    <t>25045-A1B-A010-T3C5-004</t>
  </si>
  <si>
    <t>25045-A1B-A010-T3C5-003</t>
  </si>
  <si>
    <t>25045-A1B-A010-T3C5-002</t>
  </si>
  <si>
    <t>25045-A1B-A010-T3C5-005</t>
  </si>
  <si>
    <t>25045-A1B-A010-T3C4-005</t>
  </si>
  <si>
    <t>25045-A1B-A010-T3C5-001</t>
  </si>
  <si>
    <t>25045-A1B-A010-T7C2-001</t>
  </si>
  <si>
    <t>25045-A1B-A010-T2C5-002</t>
  </si>
  <si>
    <t>25045-A1B-A010-T2C9-001</t>
  </si>
  <si>
    <t>25045-A1B-A010-T5C2A-001</t>
  </si>
  <si>
    <t>25045-A1B-A010-T6C1-001</t>
  </si>
  <si>
    <t>25045-A1B-A010-T2C5-003</t>
  </si>
  <si>
    <t>25045-A1B-A011-T3C4-001</t>
  </si>
  <si>
    <t>25045-A1B-A011-T3C4-002</t>
  </si>
  <si>
    <t>25045-A1B-A011-T3C4-003</t>
  </si>
  <si>
    <t>25045-A1B-A011-T3C4-004</t>
  </si>
  <si>
    <t>25045-A1B-A011-T3C4-005</t>
  </si>
  <si>
    <t>25045-A1B-A011-T3C4-008</t>
  </si>
  <si>
    <t>25045-A1B-A011-T3C4-009</t>
  </si>
  <si>
    <t>25045-A1B-A011-T3C4-010</t>
  </si>
  <si>
    <t>25045-A1B-A011-T3C4-011</t>
  </si>
  <si>
    <t>25045-A1B-A011-T5C1A-002</t>
  </si>
  <si>
    <t>25045-A1B-A011-T6C1-002</t>
  </si>
  <si>
    <t>25045-A1B-A011-T3C4-006</t>
  </si>
  <si>
    <t>25045-A1B-A011-T3C4-007</t>
  </si>
  <si>
    <t>25045-A1B-A011-T7C1-001</t>
  </si>
  <si>
    <t>25045-A1B-A011-T2C1-001</t>
  </si>
  <si>
    <t>25045-A1B-A011-T2C1-002</t>
  </si>
  <si>
    <t>25045-A1B-A011-T2C5-001</t>
  </si>
  <si>
    <t>25045-A1B-A011-T2C1-003</t>
  </si>
  <si>
    <t>25045-A1B-A011-T2C1-004</t>
  </si>
  <si>
    <t>25045-A1B-A011-T2C1-007</t>
  </si>
  <si>
    <t>25045-A1B-A011-T2C1-005</t>
  </si>
  <si>
    <t>25045-A1B-A011-T2C1-006</t>
  </si>
  <si>
    <t>25045-A1B-A011-T2C1-008</t>
  </si>
  <si>
    <t>25045-A1B-A011-T2C1-009</t>
  </si>
  <si>
    <t>25045-A1B-A011-T5C1A-001</t>
  </si>
  <si>
    <t>25045-A1B-A011-T6C1-001</t>
  </si>
  <si>
    <t>25045-A1B-A012-T1C1-001</t>
  </si>
  <si>
    <t>25045-A1B-A012-T1C1-002</t>
  </si>
  <si>
    <t>25045-A1B-A012-T1C1-003</t>
  </si>
  <si>
    <t>25045-A1B-A012-T1C1-004</t>
  </si>
  <si>
    <t>25045-A1B-A012-T1C1-005</t>
  </si>
  <si>
    <t>25045-A1B-A012-T1C1-006</t>
  </si>
  <si>
    <t>25045-A1B-A012-T1C1-007</t>
  </si>
  <si>
    <t>25045-A1B-A012-T1C1-008</t>
  </si>
  <si>
    <t>25045-A1B-A012-T3C4-002</t>
  </si>
  <si>
    <t>25045-A1B-A012-T3C4-003</t>
  </si>
  <si>
    <t>25045-A1B-A012-T3C4-004</t>
  </si>
  <si>
    <t>25045-A1B-A012-T3C4-007</t>
  </si>
  <si>
    <t>25045-A1B-A012-T3C4-008</t>
  </si>
  <si>
    <t>25045-A1B-A012-T3C4-009</t>
  </si>
  <si>
    <t>25045-A1B-A012-T3C4-010</t>
  </si>
  <si>
    <t>25045-A1B-A012-T6C1-001</t>
  </si>
  <si>
    <t>25045-A1B-A012-T3C4-001</t>
  </si>
  <si>
    <t>25045-A1B-A012-T3C4-011</t>
  </si>
  <si>
    <t>25045-A1B-A012-T3C4-005</t>
  </si>
  <si>
    <t>25045-A1B-A012-T3C4-006</t>
  </si>
  <si>
    <t>25045-A1B-A012-T7C1-001</t>
  </si>
  <si>
    <t>25045-A1B-A012-T5C1A-001</t>
  </si>
  <si>
    <t>25045-A1B-A012-T5C1A-002</t>
  </si>
  <si>
    <t>25045-A1B-A012-T2C1-001</t>
  </si>
  <si>
    <t>25045-A1B-A013-T1C1-001</t>
  </si>
  <si>
    <t>25045-A1B-A013-T1C1-002</t>
  </si>
  <si>
    <t>25045-A1B-A013-T2C1-001</t>
  </si>
  <si>
    <t>25045-A1B-A013-T3C4-001</t>
  </si>
  <si>
    <t>25045-A1B-A013-T3C4-002</t>
  </si>
  <si>
    <t>25045-A1B-A013-T3C4-003</t>
  </si>
  <si>
    <t>25045-A1B-A013-T3C4-004</t>
  </si>
  <si>
    <t>25045-A1B-A013-T3C4-007</t>
  </si>
  <si>
    <t>25045-A1B-A013-T3C4-008</t>
  </si>
  <si>
    <t>25045-A1B-A013-T3C4-009</t>
  </si>
  <si>
    <t>25045-A1B-A013-T3C4-010</t>
  </si>
  <si>
    <t>25045-A1B-A013-T3C4-005</t>
  </si>
  <si>
    <t>25045-A1B-A013-T3C4-006</t>
  </si>
  <si>
    <t>25045-A1B-A013-T7C1-001</t>
  </si>
  <si>
    <t>25045-A1B-A013-T5C1A-001</t>
  </si>
  <si>
    <t>25045-A1B-A013-T6C1-001</t>
  </si>
  <si>
    <t>25045-A1B-A014-T1C1-002</t>
  </si>
  <si>
    <t>25045-A1B-A014-T2C1-001</t>
  </si>
  <si>
    <t>25045-A1B-A014-T3C4-001</t>
  </si>
  <si>
    <t>25045-A1B-A014-T3C4-002</t>
  </si>
  <si>
    <t>25045-A1B-A014-T3C4-003</t>
  </si>
  <si>
    <t>25045-A1B-A014-T3C4-004</t>
  </si>
  <si>
    <t>25045-A1B-A014-T3C4-007</t>
  </si>
  <si>
    <t>25045-A1B-A014-T3C4-008</t>
  </si>
  <si>
    <t>25045-A1B-A014-T3C4-009</t>
  </si>
  <si>
    <t>25045-A1B-A014-T3C4-010</t>
  </si>
  <si>
    <t>25045-A1B-A014-T3C4-005</t>
  </si>
  <si>
    <t>25045-A1B-A014-T3C4-006</t>
  </si>
  <si>
    <t>25045-A1B-A014-T7C1-001</t>
  </si>
  <si>
    <t>25045-A1B-A014-T1C1-001</t>
  </si>
  <si>
    <t>25045-A1B-A014-T5C1A-001</t>
  </si>
  <si>
    <t>25045-A1B-A014-T6C1-001</t>
  </si>
  <si>
    <t>25045-A1B-A015-T1C1-001</t>
  </si>
  <si>
    <t>25045-A1B-A015-T3C4-001</t>
  </si>
  <si>
    <t>25045-A1B-A015-T3C4-002</t>
  </si>
  <si>
    <t>25045-A1B-A015-T3C4-003</t>
  </si>
  <si>
    <t>25045-A1B-A015-T3C4-004</t>
  </si>
  <si>
    <t>25045-A1B-A015-T3C4-007</t>
  </si>
  <si>
    <t>25045-A1B-A015-T3C4-008</t>
  </si>
  <si>
    <t>25045-A1B-A015-T3C4-009</t>
  </si>
  <si>
    <t>25045-A1B-A015-T5C1A-001</t>
  </si>
  <si>
    <t>25045-A1B-A015-T6C1-001</t>
  </si>
  <si>
    <t>25045-A1B-A015-T3C4-010</t>
  </si>
  <si>
    <t>25045-A1B-A015-T3C4-005</t>
  </si>
  <si>
    <t>25045-A1B-A015-T7C1-001</t>
  </si>
  <si>
    <t>25045-A1B-A015-T2C1-001</t>
  </si>
  <si>
    <t>25045-A1B-A015-T1C1-002</t>
  </si>
  <si>
    <t>25045-A1B-A015-T3C4-006</t>
  </si>
  <si>
    <t>25045-A1B-A016-T1C2-001</t>
  </si>
  <si>
    <t>25045-A1B-A016-T2C5-001</t>
  </si>
  <si>
    <t>25045-A1B-A016-T2C5-002</t>
  </si>
  <si>
    <t>25045-A1B-A016-T2C9-001</t>
  </si>
  <si>
    <t>25045-A1B-A016-T3C4-002</t>
  </si>
  <si>
    <t>25045-A1B-A016-T3C4-003</t>
  </si>
  <si>
    <t>25045-A1B-A016-T3C4-004</t>
  </si>
  <si>
    <t>25045-A1B-A016-T3C4-005</t>
  </si>
  <si>
    <t>25045-A1B-A016-T5C1A-001</t>
  </si>
  <si>
    <t>25045-A1B-A016-T2C10-002</t>
  </si>
  <si>
    <t>25045-A1B-A016-T3C4-001</t>
  </si>
  <si>
    <t>25045-A1B-A016-T7C1-001</t>
  </si>
  <si>
    <t>25045-A1B-A016-T1C1-002</t>
  </si>
  <si>
    <t>25045-A1B-A016-T1C1-001</t>
  </si>
  <si>
    <t>25045-A1B-A016-T2C2-001</t>
  </si>
  <si>
    <t>25045-A1B-A016-T2C1-002</t>
  </si>
  <si>
    <t>25045-A1C-A017-T1C1-001</t>
  </si>
  <si>
    <t>25045-A1C-A017-T1C1-002</t>
  </si>
  <si>
    <t>25045-A1C-A017-T1C1-003</t>
  </si>
  <si>
    <t>25045-A1C-A017-T1C1-004</t>
  </si>
  <si>
    <t>25045-A1C-A017-T2C1-001</t>
  </si>
  <si>
    <t>25045-A1C-A017-T2C1-002</t>
  </si>
  <si>
    <t>25045-A1C-A017-T2C5-001</t>
  </si>
  <si>
    <t>25045-A1C-A017-T2C5-002</t>
  </si>
  <si>
    <t>25045-A1C-A017-T2C9-001</t>
  </si>
  <si>
    <t>25045-A1C-A017-T2C9-002</t>
  </si>
  <si>
    <t>25045-A1C-A017-T3C5-001</t>
  </si>
  <si>
    <t>25045-A1C-A017-T3C5-002</t>
  </si>
  <si>
    <t>25045-A1C-A017-T3C5-003</t>
  </si>
  <si>
    <t>25045-A1C-A017-T3C5-004</t>
  </si>
  <si>
    <t>25045-A1C-A017-T3C5-005</t>
  </si>
  <si>
    <t>25045-A1C-A017-T5C2A-001</t>
  </si>
  <si>
    <t>25045-A1C-A017-T7C2-001</t>
  </si>
  <si>
    <t>25045-A1C-A018-T1C1-001</t>
  </si>
  <si>
    <t>25045-A1C-A018-T1C1-002</t>
  </si>
  <si>
    <t>25045-A1C-A018-T1C1-003</t>
  </si>
  <si>
    <t>25045-A1C-A018-T2C1-001</t>
  </si>
  <si>
    <t>25045-A1C-A018-T3C4-001</t>
  </si>
  <si>
    <t>25045-A1C-A018-T3C4-002</t>
  </si>
  <si>
    <t>25045-A1C-A018-T3C4-003</t>
  </si>
  <si>
    <t>25045-A1C-A018-T3C4-004</t>
  </si>
  <si>
    <t>25045-A1C-A018-T3C4-005</t>
  </si>
  <si>
    <t>25045-A1C-A018-T3C5-001</t>
  </si>
  <si>
    <t>25045-A1C-A018-T3C5-002</t>
  </si>
  <si>
    <t>25045-A1C-A018-T3C5-003</t>
  </si>
  <si>
    <t>25045-A1C-A018-T3C5-004</t>
  </si>
  <si>
    <t>25045-A1C-A018-T3C5-005</t>
  </si>
  <si>
    <t>25045-A1C-A018-T5C1A-001</t>
  </si>
  <si>
    <t>25045-A1C-A018-T6C1-001</t>
  </si>
  <si>
    <t>25045-A1C-A018-T7C1-001</t>
  </si>
  <si>
    <t>25045-A1C-A019-T1C1-001</t>
  </si>
  <si>
    <t>25045-A1C-A019-T1C1-002</t>
  </si>
  <si>
    <t>25045-A1C-A019-T2C1-001</t>
  </si>
  <si>
    <t>25045-A1C-A019-T3C4-001</t>
  </si>
  <si>
    <t>25045-A1C-A019-T3C4-002</t>
  </si>
  <si>
    <t>25045-A1C-A019-T3C4-003</t>
  </si>
  <si>
    <t>25045-A1C-A019-T3C4-004</t>
  </si>
  <si>
    <t>25045-A1C-A019-T3C4-005</t>
  </si>
  <si>
    <t>25045-A1C-A019-T3C4-006</t>
  </si>
  <si>
    <t>25045-A1C-A019-T3C4-007</t>
  </si>
  <si>
    <t>25045-A1C-A019-T3C4-008</t>
  </si>
  <si>
    <t>25045-A1C-A019-T3C4-009</t>
  </si>
  <si>
    <t>25045-A1C-A019-T3C4-010</t>
  </si>
  <si>
    <t>25045-A1C-A019-T5C1A-001</t>
  </si>
  <si>
    <t>25045-A1C-A019-T7C1-001</t>
  </si>
  <si>
    <t>25045-A1C-A020-T1C1-001</t>
  </si>
  <si>
    <t>25045-A1C-A020-T1C1-002</t>
  </si>
  <si>
    <t>25045-A1C-A020-T1C1-003</t>
  </si>
  <si>
    <t>25045-A1C-A020-T2C1-001</t>
  </si>
  <si>
    <t>25045-A1C-A020-T3C4-001</t>
  </si>
  <si>
    <t>25045-A1C-A020-T3C4-002</t>
  </si>
  <si>
    <t>25045-A1C-A020-T3C4-003</t>
  </si>
  <si>
    <t>25045-A1C-A020-T3C4-004</t>
  </si>
  <si>
    <t>25045-A1C-A020-T3C4-005</t>
  </si>
  <si>
    <t>25045-A1C-A020-T3C5-001</t>
  </si>
  <si>
    <t>25045-A1C-A020-T3C5-002</t>
  </si>
  <si>
    <t>25045-A1C-A020-T3C5-003</t>
  </si>
  <si>
    <t>25045-A1C-A020-T3C5-004</t>
  </si>
  <si>
    <t>25045-A1C-A020-T3C5-005</t>
  </si>
  <si>
    <t>25045-A1C-A020-T5C2A-001</t>
  </si>
  <si>
    <t>25045-A1C-A020-T7C2-001</t>
  </si>
  <si>
    <t>25045-A1C-A021-T6C1-003</t>
  </si>
  <si>
    <t>25045-A1C-A021-T1C1-001</t>
  </si>
  <si>
    <t>25045-A1C-A021-T1C1-002</t>
  </si>
  <si>
    <t>25045-A1C-A021-T1C1-003</t>
  </si>
  <si>
    <t>25045-A1C-A021-T1C1-004</t>
  </si>
  <si>
    <t>25045-A1C-A021-T1C1-005</t>
  </si>
  <si>
    <t>25045-A1C-A021-T1C1-006</t>
  </si>
  <si>
    <t>25045-A1C-A021-T1C1-007</t>
  </si>
  <si>
    <t>25045-A1C-A021-T1C1-008</t>
  </si>
  <si>
    <t>25045-A1C-A021-T1C1-009</t>
  </si>
  <si>
    <t>25045-A1C-A021-T1C1-010</t>
  </si>
  <si>
    <t>25045-A1C-A021-T1C1-011</t>
  </si>
  <si>
    <t>25045-A1C-A021-T2C9-001</t>
  </si>
  <si>
    <t>25045-A1C-A021-T3C4-001</t>
  </si>
  <si>
    <t>25045-A1C-A021-T3C4-002</t>
  </si>
  <si>
    <t>25045-A1C-A021-T3C4-003</t>
  </si>
  <si>
    <t>25045-A1C-A021-T3C4-004</t>
  </si>
  <si>
    <t>25045-A1C-A021-T3C4-005</t>
  </si>
  <si>
    <t>25045-A1C-A021-T3C4-006</t>
  </si>
  <si>
    <t>25045-A1C-A021-T3C5-001</t>
  </si>
  <si>
    <t>25045-A1C-A021-T3C5-002</t>
  </si>
  <si>
    <t>25045-A1C-A021-T3C5-003</t>
  </si>
  <si>
    <t>25045-A1C-A021-T3C5-004</t>
  </si>
  <si>
    <t>25045-A1C-A021-T4C2-001</t>
  </si>
  <si>
    <t>25045-A1C-A021-T5C1A-001</t>
  </si>
  <si>
    <t>25045-A1C-A021-T5C2A-001</t>
  </si>
  <si>
    <t>25045-A1C-A021-T6C1-002</t>
  </si>
  <si>
    <t>25045-A1C-A021-T7C1-001</t>
  </si>
  <si>
    <t>25045-A1C-A021-T7C2-001</t>
  </si>
  <si>
    <t>25045-A1C-A022-T1C1-001</t>
  </si>
  <si>
    <t>25045-A1C-A022-T1C1-002</t>
  </si>
  <si>
    <t>25045-A1C-A022-T1C1-003</t>
  </si>
  <si>
    <t>25045-A1C-A022-T1C1-004</t>
  </si>
  <si>
    <t>25045-A1C-A022-T1C1-005</t>
  </si>
  <si>
    <t>25045-A1C-A022-T1C1-006</t>
  </si>
  <si>
    <t>25045-A1C-A022-T1C1-007</t>
  </si>
  <si>
    <t>25045-A1C-A022-T1C1-008</t>
  </si>
  <si>
    <t>25045-A1C-A022-T1C1-009</t>
  </si>
  <si>
    <t>25045-A1C-A022-T1C1-010</t>
  </si>
  <si>
    <t>25045-A1C-A022-T1C1-011</t>
  </si>
  <si>
    <t>25045-A1C-A022-T2C1-001</t>
  </si>
  <si>
    <t>25045-A1C-A022-T3C1-001</t>
  </si>
  <si>
    <t>25045-A1C-A022-T3C1-002</t>
  </si>
  <si>
    <t>25045-A1C-A022-T3C1-003</t>
  </si>
  <si>
    <t>25045-A1C-A022-T3C1-004</t>
  </si>
  <si>
    <t>25045-A1C-A022-T3C4-001</t>
  </si>
  <si>
    <t>25045-A1C-A022-T3C4-002</t>
  </si>
  <si>
    <t>25045-A1C-A022-T4C3-001</t>
  </si>
  <si>
    <t>25045-A1C-A022-T5C1A-001</t>
  </si>
  <si>
    <t>25045-A1C-A022-T5C1A-002</t>
  </si>
  <si>
    <t>25045-A1C-A022-T6C1-002</t>
  </si>
  <si>
    <t>25045-A1C-A022-T6C1-003</t>
  </si>
  <si>
    <t>25045-A1C-A022-T7C1-001</t>
  </si>
  <si>
    <t>25045-A1C-A022-T7C1-002</t>
  </si>
  <si>
    <t>25045-A1C-A023-T6C1-002</t>
  </si>
  <si>
    <t>25045-A1C-A023-T1C1-001</t>
  </si>
  <si>
    <t>25045-A1C-A023-T1C2-001</t>
  </si>
  <si>
    <t>25045-A1C-A023-T1C2-002</t>
  </si>
  <si>
    <t>25045-A1C-A023-T1C2-003</t>
  </si>
  <si>
    <t>25045-A1C-A023-T2C10-001</t>
  </si>
  <si>
    <t>25045-A1C-A023-T2C1-003</t>
  </si>
  <si>
    <t>25045-A1C-A023-T2C2-001</t>
  </si>
  <si>
    <t>25045-A1C-A023-T2C2-002</t>
  </si>
  <si>
    <t>25045-A1C-A023-T2C6-001</t>
  </si>
  <si>
    <t>25045-A1C-A023-T2C6-002</t>
  </si>
  <si>
    <t>25045-A1C-A023-T2C6-003</t>
  </si>
  <si>
    <t>25045-A1C-A023-T3C1-001</t>
  </si>
  <si>
    <t>25045-A1C-A023-T3C1-002</t>
  </si>
  <si>
    <t>25045-A1C-A023-T3C1-003</t>
  </si>
  <si>
    <t>25045-A1C-A023-T3C1-004</t>
  </si>
  <si>
    <t>25045-A1C-A023-T3C4-001</t>
  </si>
  <si>
    <t>25045-A1C-A023-T4C1-001</t>
  </si>
  <si>
    <t>25045-A1C-A023-T5AC4-001</t>
  </si>
  <si>
    <t>25045-A1C-A023-T5C1A-001</t>
  </si>
  <si>
    <t>25045-A1C-A023-T7C1-001</t>
  </si>
  <si>
    <t>25045-A1D-A043-T6C1-002</t>
  </si>
  <si>
    <t>25045-A1D-A043-T5AC4-001</t>
  </si>
  <si>
    <t>25045-A1D-A043-T2C2-001</t>
  </si>
  <si>
    <t>25045-A1D-A043-T2C2-002</t>
  </si>
  <si>
    <t>25045-A1D-A043-T2C10-001</t>
  </si>
  <si>
    <t>25045-A1D-A043-T2C6-003</t>
  </si>
  <si>
    <t>25045-A1D-A043-T2C6-002</t>
  </si>
  <si>
    <t>25045-A1D-A043-T2C6-001</t>
  </si>
  <si>
    <t>25045-A1D-A043-T5C1A-001</t>
  </si>
  <si>
    <t>25045-A1D-A043-T7C1-001</t>
  </si>
  <si>
    <t>25045-A1D-A043-T2C1-003</t>
  </si>
  <si>
    <t>25045-A1D-A043-T1C1-002</t>
  </si>
  <si>
    <t>25045-A1D-A043-T1C1-001</t>
  </si>
  <si>
    <t>25045-A1D-A043-T1C2-001</t>
  </si>
  <si>
    <t>25045-A1D-A043-T3C1-001</t>
  </si>
  <si>
    <t>25045-A1D-A043-T3C1-002</t>
  </si>
  <si>
    <t>25045-A1D-A043-T3C1-003</t>
  </si>
  <si>
    <t>25045-A1D-A043-T3C1-004</t>
  </si>
  <si>
    <t>25045-A1D-A043-T3C4-001</t>
  </si>
  <si>
    <t>25045-A1D-A043-T4C1-001</t>
  </si>
  <si>
    <t>25045-A1D-A044-T6C1-001</t>
  </si>
  <si>
    <t>25045-A1D-A044-T5C1A-002</t>
  </si>
  <si>
    <t>25045-A1D-A044-T5C1A-001</t>
  </si>
  <si>
    <t>25045-A1D-A044-T7C1-001</t>
  </si>
  <si>
    <t>25045-A1D-A044-T1C1-007</t>
  </si>
  <si>
    <t>25045-A1D-A044-T1C1-006</t>
  </si>
  <si>
    <t>25045-A1D-A044-T1C1-005</t>
  </si>
  <si>
    <t>25045-A1D-A044-T1C1-004</t>
  </si>
  <si>
    <t>25045-A1D-A044-T1C1-003</t>
  </si>
  <si>
    <t>25045-A1D-A044-T1C1-002</t>
  </si>
  <si>
    <t>25045-A1D-A044-T1C1-001</t>
  </si>
  <si>
    <t>25045-A1D-A044-T2C1-001</t>
  </si>
  <si>
    <t>25045-A1D-A044-T3C1-001</t>
  </si>
  <si>
    <t>25045-A1D-A044-T3C4-008</t>
  </si>
  <si>
    <t>25045-A1D-A044-T3C1-002</t>
  </si>
  <si>
    <t>25045-A1D-A044-T3C1-003</t>
  </si>
  <si>
    <t>25045-A1D-A044-T3C1-004</t>
  </si>
  <si>
    <t>25045-A1D-A044-T4C1-001</t>
  </si>
  <si>
    <t>25045-A1D-A044-T3C4-001</t>
  </si>
  <si>
    <t>25045-A1D-A044-T3C4-002</t>
  </si>
  <si>
    <t>25045-A1D-A044-T3C4-003</t>
  </si>
  <si>
    <t>25045-A1D-A044-T3C4-004</t>
  </si>
  <si>
    <t>25045-A1D-A044-T3C4-005</t>
  </si>
  <si>
    <t>25045-A1D-A044-T3C4-006</t>
  </si>
  <si>
    <t>25045-A1D-A044-T3C4-007</t>
  </si>
  <si>
    <t>25045-A1D-A045-T6C1-003</t>
  </si>
  <si>
    <t>25045-A1D-A045-T6C1-002</t>
  </si>
  <si>
    <t>25045-A1D-A045-T5C1A-002</t>
  </si>
  <si>
    <t>25045-A1D-A045-T5C1A-001</t>
  </si>
  <si>
    <t>25045-A1D-A045-T7C1-001</t>
  </si>
  <si>
    <t>25045-A1D-A045-T2C1-001</t>
  </si>
  <si>
    <t>25045-A1D-A045-T1C1-015</t>
  </si>
  <si>
    <t>25045-A1D-A045-T1C1-014</t>
  </si>
  <si>
    <t>25045-A1D-A045-T1C1-013</t>
  </si>
  <si>
    <t>25045-A1D-A045-T1C1-012</t>
  </si>
  <si>
    <t>25045-A1D-A045-T1C1-011</t>
  </si>
  <si>
    <t>25045-A1D-A045-T1C1-010</t>
  </si>
  <si>
    <t>25045-A1D-A045-T1C1-009</t>
  </si>
  <si>
    <t>25045-A1D-A045-T1C1-008</t>
  </si>
  <si>
    <t>25045-A1D-A045-T1C1-007</t>
  </si>
  <si>
    <t>25045-A1D-A045-T1C1-006</t>
  </si>
  <si>
    <t>25045-A1D-A045-T1C1-005</t>
  </si>
  <si>
    <t>25045-A1D-A045-T1C1-004</t>
  </si>
  <si>
    <t>25045-A1D-A045-T1C1-003</t>
  </si>
  <si>
    <t>25045-A1D-A045-T1C1-002</t>
  </si>
  <si>
    <t>25045-A1D-A045-T1C1-001</t>
  </si>
  <si>
    <t>25045-A1D-A045-T3C4-001</t>
  </si>
  <si>
    <t>25045-A1D-A045-T3C4-007</t>
  </si>
  <si>
    <t>25045-A1D-A045-T3C4-006</t>
  </si>
  <si>
    <t>25045-A1D-A045-T3C4-005</t>
  </si>
  <si>
    <t>25045-A1D-A045-T3C4-004</t>
  </si>
  <si>
    <t>25045-A1D-A045-T3C4-003</t>
  </si>
  <si>
    <t>25045-A1D-A045-T3C4-002</t>
  </si>
  <si>
    <t>25045-A1D-A045-T4C3-001</t>
  </si>
  <si>
    <t>25045-A1D-A045-T3C4-013</t>
  </si>
  <si>
    <t>25045-A1D-A045-T3C4-012</t>
  </si>
  <si>
    <t>25045-A1D-A045-T3C4-011</t>
  </si>
  <si>
    <t>25045-A1D-A045-T3C4-010</t>
  </si>
  <si>
    <t>25045-A1D-A045-T3C4-009</t>
  </si>
  <si>
    <t>25045-A1D-A045-T3C4-008</t>
  </si>
  <si>
    <t>25045-A1D-A046-T6C1-002</t>
  </si>
  <si>
    <t>25045-A1D-A046-T5C1A-002</t>
  </si>
  <si>
    <t>25045-A1D-A046-T5C1A-001</t>
  </si>
  <si>
    <t>25045-A1D-A046-T2C1-001</t>
  </si>
  <si>
    <t>25045-A1D-A046-T1C1-013</t>
  </si>
  <si>
    <t>25045-A1D-A046-T1C1-012</t>
  </si>
  <si>
    <t>25045-A1D-A046-T1C1-011</t>
  </si>
  <si>
    <t>25045-A1D-A046-T1C1-010</t>
  </si>
  <si>
    <t>25045-A1D-A046-T1C1-009</t>
  </si>
  <si>
    <t>25045-A1D-A046-T1C1-008</t>
  </si>
  <si>
    <t>25045-A1D-A046-T1C1-007</t>
  </si>
  <si>
    <t>25045-A1D-A046-T1C1-006</t>
  </si>
  <si>
    <t>25045-A1D-A046-T1C1-005</t>
  </si>
  <si>
    <t>25045-A1D-A046-T1C1-004</t>
  </si>
  <si>
    <t>25045-A1D-A046-T1C1-003</t>
  </si>
  <si>
    <t>25045-A1D-A046-T1C1-002</t>
  </si>
  <si>
    <t>25045-A1D-A046-T1C1-001</t>
  </si>
  <si>
    <t>25045-A1D-A046-T3C4-011</t>
  </si>
  <si>
    <t>25045-A1D-A046-T3C4-010</t>
  </si>
  <si>
    <t>25045-A1D-A046-T3C4-009</t>
  </si>
  <si>
    <t>25045-A1D-A046-T3C4-008</t>
  </si>
  <si>
    <t>25045-A1D-A046-T4C1-001</t>
  </si>
  <si>
    <t>25045-A1D-A046-T3C4-012</t>
  </si>
  <si>
    <t>25045-A1D-A046-T3C4-007</t>
  </si>
  <si>
    <t>25045-A1D-A046-T3C4-006</t>
  </si>
  <si>
    <t>25045-A1D-A046-T3C4-005</t>
  </si>
  <si>
    <t>25045-A1D-A046-T3C4-004</t>
  </si>
  <si>
    <t>25045-A1D-A046-T3C4-003</t>
  </si>
  <si>
    <t>25045-A1D-A046-T3C4-002</t>
  </si>
  <si>
    <t>25045-A1D-A046-T3C4-001</t>
  </si>
  <si>
    <t>25045-A1D-A046-T7C1-002</t>
  </si>
  <si>
    <t>25045-A1D-A046-T7C1-001</t>
  </si>
  <si>
    <t>25045-A1D-A047-T6C1-003</t>
  </si>
  <si>
    <t>25045-A1D-A047-T6C1-002</t>
  </si>
  <si>
    <t>25045-A1D-A047-T5C1A-002</t>
  </si>
  <si>
    <t>25045-A1D-A047-T3C4-007</t>
  </si>
  <si>
    <t>25045-A1D-A047-T5C1A-001</t>
  </si>
  <si>
    <t>25045-A1D-A047-T7C1-002</t>
  </si>
  <si>
    <t>25045-A1D-A047-T7C1-001</t>
  </si>
  <si>
    <t>25045-A1D-A047-T2C1-001</t>
  </si>
  <si>
    <t>25045-A1D-A047-T1C1-005</t>
  </si>
  <si>
    <t>25045-A1D-A047-T1C1-004</t>
  </si>
  <si>
    <t>25045-A1D-A047-T1C1-003</t>
  </si>
  <si>
    <t>25045-A1D-A047-T1C1-002</t>
  </si>
  <si>
    <t>25045-A1D-A047-T1C1-001</t>
  </si>
  <si>
    <t>25045-A1D-A047-T4C1-001</t>
  </si>
  <si>
    <t>25045-A1D-A047-T3C1-001</t>
  </si>
  <si>
    <t>25045-A1D-A047-T3C4-001</t>
  </si>
  <si>
    <t>25045-A1D-A047-T3C1-004</t>
  </si>
  <si>
    <t>25045-A1D-A047-T3C1-003</t>
  </si>
  <si>
    <t>25045-A1D-A047-T3C1-002</t>
  </si>
  <si>
    <t>25045-A1D-A047-T3C4-006</t>
  </si>
  <si>
    <t>25045-A1D-A047-T3C4-005</t>
  </si>
  <si>
    <t>25045-A1D-A047-T3C4-004</t>
  </si>
  <si>
    <t>25045-A1D-A047-T3C4-003</t>
  </si>
  <si>
    <t>25045-A1D-A047-T3C4-002</t>
  </si>
  <si>
    <t>25045-A1D-A048-T6C1-002</t>
  </si>
  <si>
    <t>25045-A1D-A048-T3C4-007</t>
  </si>
  <si>
    <t>25045-A1D-A048-T5C1A-002</t>
  </si>
  <si>
    <t>25045-A1D-A048-T5C1A-001</t>
  </si>
  <si>
    <t>25045-A1D-A048-T7C1-002</t>
  </si>
  <si>
    <t>25045-A1D-A048-T7C1-001</t>
  </si>
  <si>
    <t>25045-A1D-A048-T2C1-001</t>
  </si>
  <si>
    <t>25045-A1D-A048-T1C1-003</t>
  </si>
  <si>
    <t>25045-A1D-A048-T1C1-002</t>
  </si>
  <si>
    <t>25045-A1D-A048-T1C1-001</t>
  </si>
  <si>
    <t>25045-A1D-A048-T4C1-001</t>
  </si>
  <si>
    <t>25045-A1D-A048-T3C4-001</t>
  </si>
  <si>
    <t>25045-A1D-A048-T3C1-001</t>
  </si>
  <si>
    <t>25045-A1D-A048-T3C1-004</t>
  </si>
  <si>
    <t>25045-A1D-A048-T3C1-003</t>
  </si>
  <si>
    <t>25045-A1D-A048-T3C1-002</t>
  </si>
  <si>
    <t>25045-A1D-A048-T3C4-006</t>
  </si>
  <si>
    <t>25045-A1D-A048-T3C4-005</t>
  </si>
  <si>
    <t>25045-A1D-A048-T3C4-004</t>
  </si>
  <si>
    <t>25045-A1D-A048-T3C4-003</t>
  </si>
  <si>
    <t>25045-A1D-A048-T3C4-002</t>
  </si>
  <si>
    <t>25045-A1D-A049-T5C1A-001</t>
  </si>
  <si>
    <t>25045-A1D-A049-T7C1-001</t>
  </si>
  <si>
    <t>25045-A1D-A049-T2C1-001</t>
  </si>
  <si>
    <t>25045-A1D-A049-T1C1-003</t>
  </si>
  <si>
    <t>25045-A1D-A049-T1C1-002</t>
  </si>
  <si>
    <t>25045-A1D-A049-T1C1-001</t>
  </si>
  <si>
    <t>25045-A1D-A049-T3C4-010</t>
  </si>
  <si>
    <t>25045-A1D-A049-T3C4-009</t>
  </si>
  <si>
    <t>25045-A1D-A049-T3C4-008</t>
  </si>
  <si>
    <t>25045-A1D-A049-T3C4-007</t>
  </si>
  <si>
    <t>25045-A1D-A049-T3C4-006</t>
  </si>
  <si>
    <t>25045-A1D-A049-T3C4-004</t>
  </si>
  <si>
    <t>25045-A1D-A049-T3C4-003</t>
  </si>
  <si>
    <t>25045-A1D-A049-T3C4-002</t>
  </si>
  <si>
    <t>25045-A1D-A049-T3C4-001</t>
  </si>
  <si>
    <t>25045-A1D-A049-T3C4-005</t>
  </si>
  <si>
    <t>25045-A1D-A050-T5C1A-001</t>
  </si>
  <si>
    <t>25045-A1D-A050-T7C1-001</t>
  </si>
  <si>
    <t>25045-A1D-A050-T1C1-003</t>
  </si>
  <si>
    <t>25045-A1D-A050-T1C1-002</t>
  </si>
  <si>
    <t>25045-A1D-A050-T1C1-001</t>
  </si>
  <si>
    <t>25045-A1D-A050-T2C1-001</t>
  </si>
  <si>
    <t>25045-A1D-A050-T3C4-005</t>
  </si>
  <si>
    <t>25045-A1D-A050-T3C4-004</t>
  </si>
  <si>
    <t>25045-A1D-A050-T3C4-003</t>
  </si>
  <si>
    <t>25045-A1D-A050-T3C4-002</t>
  </si>
  <si>
    <t>25045-A1D-A050-T3C4-001</t>
  </si>
  <si>
    <t>25045-A1D-A050-T3C4-006</t>
  </si>
  <si>
    <t>25045-A1D-A050-T3C4-007</t>
  </si>
  <si>
    <t>25045-A1D-A050-T3C4-008</t>
  </si>
  <si>
    <t>25045-A1D-A050-T3C4-009</t>
  </si>
  <si>
    <t>25045-A1D-A050-T3C4-010</t>
  </si>
  <si>
    <t>25045-A1D-A051-T5C1A-001</t>
  </si>
  <si>
    <t>25045-A1D-A051-T7C1-001</t>
  </si>
  <si>
    <t>25045-A1D-A051-T2C1-001</t>
  </si>
  <si>
    <t>25045-A1D-A051-T1C1-003</t>
  </si>
  <si>
    <t>25045-A1D-A051-T1C1-002</t>
  </si>
  <si>
    <t>25045-A1D-A051-T1C1-001</t>
  </si>
  <si>
    <t>25045-A1D-A051-T3C4-010</t>
  </si>
  <si>
    <t>25045-A1D-A051-T3C4-009</t>
  </si>
  <si>
    <t>25045-A1D-A051-T3C4-008</t>
  </si>
  <si>
    <t>25045-A1D-A051-T3C4-007</t>
  </si>
  <si>
    <t>25045-A1D-A051-T3C4-006</t>
  </si>
  <si>
    <t>25045-A1D-A051-T3C4-005</t>
  </si>
  <si>
    <t>25045-A1D-A051-T3C4-004</t>
  </si>
  <si>
    <t>25045-A1D-A051-T3C4-003</t>
  </si>
  <si>
    <t>25045-A1D-A051-T3C4-002</t>
  </si>
  <si>
    <t>25045-A1D-A051-T3C4-001</t>
  </si>
  <si>
    <t>25045-A1D-A052-T5C1A-001</t>
  </si>
  <si>
    <t>25045-A1D-A052-T7C1-001</t>
  </si>
  <si>
    <t>25045-A1D-A052-T1C1-003</t>
  </si>
  <si>
    <t>25045-A1D-A052-T1C1-002</t>
  </si>
  <si>
    <t>25045-A1D-A052-T2C1-001</t>
  </si>
  <si>
    <t>25045-A1D-A052-T3C4-010</t>
  </si>
  <si>
    <t>25045-A1D-A052-T3C4-009</t>
  </si>
  <si>
    <t>25045-A1D-A052-T3C4-008</t>
  </si>
  <si>
    <t>25045-A1D-A052-T3C4-007</t>
  </si>
  <si>
    <t>25045-A1D-A052-T3C4-006</t>
  </si>
  <si>
    <t>25045-A1D-A052-T3C4-005</t>
  </si>
  <si>
    <t>25045-A1D-A052-T3C4-004</t>
  </si>
  <si>
    <t>25045-A1D-A052-T3C4-003</t>
  </si>
  <si>
    <t>25045-A1D-A052-T3C4-002</t>
  </si>
  <si>
    <t>25045-A1D-A052-T3C4-001</t>
  </si>
  <si>
    <t>25045-A1D-A052-T1C1-001</t>
  </si>
  <si>
    <t>25045-A1D-A053-T5C1A-001</t>
  </si>
  <si>
    <t>25045-A1D-A053-T7C1-001</t>
  </si>
  <si>
    <t>25045-A1D-A053-T1C4-001</t>
  </si>
  <si>
    <t>25045-A1D-A053-T1C3-001</t>
  </si>
  <si>
    <t>25045-A1D-A053-T1C2-001</t>
  </si>
  <si>
    <t>25045-A1D-A053-T2C1-002</t>
  </si>
  <si>
    <t>25045-A1D-A053-T2C4-001</t>
  </si>
  <si>
    <t>25045-A1D-A053-T2C12-001</t>
  </si>
  <si>
    <t>25045-A1D-A053-T2C11-001</t>
  </si>
  <si>
    <t>25045-A1D-A053-T2C7-001</t>
  </si>
  <si>
    <t>25045-A1D-A053-T2C6-001</t>
  </si>
  <si>
    <t>25045-A1D-A053-T3C4-005</t>
  </si>
  <si>
    <t>25045-A1D-A053-T3C4-004</t>
  </si>
  <si>
    <t>25045-A1D-A053-T3C4-003</t>
  </si>
  <si>
    <t>25045-A1D-A053-T3C4-002</t>
  </si>
  <si>
    <t>25045-A1D-A053-T3C4-001</t>
  </si>
  <si>
    <t>25045-A1D-A054-T5C1A-001</t>
  </si>
  <si>
    <t>25045-A1D-A054-T7C1-001</t>
  </si>
  <si>
    <t>25045-A1D-A054-T2C1-002</t>
  </si>
  <si>
    <t>25045-A1D-A054-T1C1-001</t>
  </si>
  <si>
    <t>25045-A1D-A054-T1C3-001</t>
  </si>
  <si>
    <t>25045-A1D-A054-T1C4-001</t>
  </si>
  <si>
    <t>25045-A1D-A054-T2C4-001</t>
  </si>
  <si>
    <t>25045-A1D-A054-T2C12-001</t>
  </si>
  <si>
    <t>25045-A1D-A054-T2C11-001</t>
  </si>
  <si>
    <t>25045-A1D-A054-T2C6-001</t>
  </si>
  <si>
    <t>25045-A1D-A054-T2C7-001</t>
  </si>
  <si>
    <t>25045-A1D-A054-T3C4-005</t>
  </si>
  <si>
    <t>25045-A1D-A054-T3C4-001</t>
  </si>
  <si>
    <t>25045-A1D-A054-T3C4-002</t>
  </si>
  <si>
    <t>25045-A1D-A054-T3C4-003</t>
  </si>
  <si>
    <t>25045-A1D-A054-T3C4-004</t>
  </si>
  <si>
    <t>25045-A1D-A055-T5C1A-001</t>
  </si>
  <si>
    <t>25045-A1D-A055-T7C1-001</t>
  </si>
  <si>
    <t>25045-A1D-A055-T2C1-001</t>
  </si>
  <si>
    <t>25045-A1D-A055-T1C1-003</t>
  </si>
  <si>
    <t>25045-A1D-A055-T1C1-002</t>
  </si>
  <si>
    <t>25045-A1D-A055-T1C1-001</t>
  </si>
  <si>
    <t>25045-A1D-A055-T3C4-010</t>
  </si>
  <si>
    <t>25045-A1D-A055-T3C4-006</t>
  </si>
  <si>
    <t>25045-A1D-A055-T3C4-007</t>
  </si>
  <si>
    <t>25045-A1D-A055-T3C4-008</t>
  </si>
  <si>
    <t>25045-A1D-A055-T3C4-009</t>
  </si>
  <si>
    <t>25045-A1D-A055-T3C4-005</t>
  </si>
  <si>
    <t>25045-A1D-A055-T3C4-004</t>
  </si>
  <si>
    <t>25045-A1D-A055-T3C4-003</t>
  </si>
  <si>
    <t>25045-A1D-A055-T3C4-002</t>
  </si>
  <si>
    <t>25045-A1D-A055-T3C4-001</t>
  </si>
  <si>
    <t>25045-A1D-A056-T2C2-001</t>
  </si>
  <si>
    <t>25045-A1D-A056-T1C1-003</t>
  </si>
  <si>
    <t>25045-A1D-A056-T7C2-001</t>
  </si>
  <si>
    <t>25045-A1D-A056-T5C2A-001</t>
  </si>
  <si>
    <t>25045-A1D-A056-T2C2-002</t>
  </si>
  <si>
    <t>25045-A1D-A056-T1C1-002</t>
  </si>
  <si>
    <t>25045-A1D-A056-T1C1-001</t>
  </si>
  <si>
    <t>25045-A1D-A056-T3C5-001</t>
  </si>
  <si>
    <t>25045-A1D-A056-T3C4-005</t>
  </si>
  <si>
    <t>25045-A1D-A056-T3C4-004</t>
  </si>
  <si>
    <t>25045-A1D-A056-T3C4-003</t>
  </si>
  <si>
    <t>25045-A1D-A056-T3C4-002</t>
  </si>
  <si>
    <t>25045-A1D-A056-T3C4-001</t>
  </si>
  <si>
    <t>25045-A1D-A056-T3C5-004</t>
  </si>
  <si>
    <t>25045-A1D-A056-T3C5-003</t>
  </si>
  <si>
    <t>25045-A1D-A056-T3C5-002</t>
  </si>
  <si>
    <t>25045-A1D-A056-T3C5-005</t>
  </si>
  <si>
    <t>25045-A1D-A057-T6C1-001</t>
  </si>
  <si>
    <t>25045-A1D-A057-T5AC5-001</t>
  </si>
  <si>
    <t>25045-A1D-A057-T7C2-001</t>
  </si>
  <si>
    <t>25045-A1D-A057-T5C2A-001</t>
  </si>
  <si>
    <t>25045-A1D-A057-T2C1-002</t>
  </si>
  <si>
    <t>25045-A1D-A057-T1C1-003</t>
  </si>
  <si>
    <t>25045-A1D-A057-T1C1-002</t>
  </si>
  <si>
    <t>25045-A1D-A057-T1C1-001</t>
  </si>
  <si>
    <t>25045-A1D-A057-T3C5-005</t>
  </si>
  <si>
    <t>25045-A1D-A057-T3C5-004</t>
  </si>
  <si>
    <t>25045-A1D-A057-T3C5-003</t>
  </si>
  <si>
    <t>25045-A1D-A057-T3C5-002</t>
  </si>
  <si>
    <t>25045-A1D-A057-T3C5-001</t>
  </si>
  <si>
    <t>25045-A1D-A057-T2C5-002</t>
  </si>
  <si>
    <t>25045-A1D-A057-T2C9-001</t>
  </si>
  <si>
    <t>25045-A1D-A057-T2C9-002</t>
  </si>
  <si>
    <t>25045-A1D-A057-T2C5-001</t>
  </si>
  <si>
    <t>25045-A1D-A057-T2C6-001</t>
  </si>
  <si>
    <t>25045-J1A-J116-T1C1-001</t>
  </si>
  <si>
    <t>25045-J1A-J116-T1C1-002</t>
  </si>
  <si>
    <t>25045-J1A-J116-T1C1-003</t>
  </si>
  <si>
    <t>25045-J1A-J116-T1C1-004</t>
  </si>
  <si>
    <t>25045-J1A-J116-T2C5-001</t>
  </si>
  <si>
    <t>25045-J1A-J116-T2C9-001</t>
  </si>
  <si>
    <t>25045-J1A-J116-T2C9-002</t>
  </si>
  <si>
    <t>25045-J1A-J116-T5C2A-001</t>
  </si>
  <si>
    <t>25045-J1A-J116-T2C5-003</t>
  </si>
  <si>
    <t>25045-J1A-J116-T5AC1-001</t>
  </si>
  <si>
    <t>25045-J1A-J116-T5AC1-002</t>
  </si>
  <si>
    <t>25045-J1A-J116-T2C1-001</t>
  </si>
  <si>
    <t>25045-J1A-J116-T2C5-002</t>
  </si>
  <si>
    <t>25045-J1A-J116-T3C5-001</t>
  </si>
  <si>
    <t>25045-J1A-J116-T3C5-002</t>
  </si>
  <si>
    <t>25045-J1A-J116-T3C5-003</t>
  </si>
  <si>
    <t>25045-J1A-J116-T3C5-004</t>
  </si>
  <si>
    <t>25045-J1A-J116-T4C2-001</t>
  </si>
  <si>
    <t>25045-J1A-J116-T6C1-001</t>
  </si>
  <si>
    <t>25045-J1A-J116-T6C1-002</t>
  </si>
  <si>
    <t>25045-J1A-J116-T7C2-001</t>
  </si>
  <si>
    <t>25045-J1A-J117-T3C4-001</t>
  </si>
  <si>
    <t>25045-J1A-J117-T3C5-003</t>
  </si>
  <si>
    <t>25045-J1A-J117-T5C2A-001</t>
  </si>
  <si>
    <t>25045-J1A-J117-T1C1-001</t>
  </si>
  <si>
    <t>25045-J1A-J117-T1C1-002</t>
  </si>
  <si>
    <t>25045-J1A-J117-T1C1-003</t>
  </si>
  <si>
    <t>25045-J1A-J117-T1C1-004</t>
  </si>
  <si>
    <t>25045-J1A-J117-T1C1-005</t>
  </si>
  <si>
    <t>25045-J1A-J117-T1C1-006</t>
  </si>
  <si>
    <t>25045-J1A-J117-T1C1-007</t>
  </si>
  <si>
    <t>25045-J1A-J117-T1C1-008</t>
  </si>
  <si>
    <t>25045-J1A-J117-T1C1-009</t>
  </si>
  <si>
    <t>25045-J1A-J117-T1C1-010</t>
  </si>
  <si>
    <t>25045-J1A-J117-T1C1-011</t>
  </si>
  <si>
    <t>25045-J1A-J117-T1C1-012</t>
  </si>
  <si>
    <t>25045-J1A-J117-T2C1-001</t>
  </si>
  <si>
    <t>25045-J1A-J117-T5C1A-001</t>
  </si>
  <si>
    <t>25045-J1A-J117-T6C1-001</t>
  </si>
  <si>
    <t>25045-J1A-J117-T3C5-001</t>
  </si>
  <si>
    <t>25045-J1A-J117-T3C5-002</t>
  </si>
  <si>
    <t>25045-J1A-J117-T3C2-001</t>
  </si>
  <si>
    <t>25045-J1A-J117-T3C4-002</t>
  </si>
  <si>
    <t>25045-J1A-J117-T3C4-003</t>
  </si>
  <si>
    <t>25045-J1A-J117-T3C4-004</t>
  </si>
  <si>
    <t>25045-J1A-J117-T3C4-005</t>
  </si>
  <si>
    <t>25045-J1A-J117-T3C4-006</t>
  </si>
  <si>
    <t>25045-J1A-J117-T4C4-001</t>
  </si>
  <si>
    <t>25045-J1A-J117-T7C2-001</t>
  </si>
  <si>
    <t>25045-J1A-J118-T3C4-006</t>
  </si>
  <si>
    <t>25045-J1A-J118-T4C4-001</t>
  </si>
  <si>
    <t>25045-J1A-J118-T5C1A-001</t>
  </si>
  <si>
    <t>25045-J1A-J118-T5C2A-001</t>
  </si>
  <si>
    <t>25045-J1A-J118-T6C1-002</t>
  </si>
  <si>
    <t>25045-J1A-J118-T7C2-001</t>
  </si>
  <si>
    <t>25045-J1A-J118-T3C4-002</t>
  </si>
  <si>
    <t>25045-J1A-J118-T3C4-003</t>
  </si>
  <si>
    <t>25045-J1A-J118-T3C4-004</t>
  </si>
  <si>
    <t>25045-J1A-J118-T3C4-005</t>
  </si>
  <si>
    <t>25045-J1A-J118-T3C4-001</t>
  </si>
  <si>
    <t>25045-J1A-J118-T3C5-001</t>
  </si>
  <si>
    <t>25045-J1A-J118-T3C5-002</t>
  </si>
  <si>
    <t>25045-J1A-J118-T3C5-003</t>
  </si>
  <si>
    <t>25045-J1A-J118-T3C5-004</t>
  </si>
  <si>
    <t>25045-J1A-J118-T1C1-001</t>
  </si>
  <si>
    <t>25045-J1A-J118-T1C1-002</t>
  </si>
  <si>
    <t>25045-J1A-J118-T1C1-003</t>
  </si>
  <si>
    <t>25045-J1A-J118-T1C1-004</t>
  </si>
  <si>
    <t>25045-J1A-J118-T1C1-005</t>
  </si>
  <si>
    <t>25045-J1A-J118-T1C1-006</t>
  </si>
  <si>
    <t>25045-J1A-J118-T1C1-007</t>
  </si>
  <si>
    <t>25045-J1A-J118-T1C1-008</t>
  </si>
  <si>
    <t>25045-J1A-J118-T1C1-009</t>
  </si>
  <si>
    <t>25045-J1A-J118-T1C1-010</t>
  </si>
  <si>
    <t>25045-J1A-J118-T1C1-011</t>
  </si>
  <si>
    <t>25045-J1A-J118-T1C1-012</t>
  </si>
  <si>
    <t>25045-J1A-J118-T2C1-001</t>
  </si>
  <si>
    <t>25045-J1A-J119-T3C5-006</t>
  </si>
  <si>
    <t>25045-J1A-J119-T3C6-001</t>
  </si>
  <si>
    <t>25045-J1A-J119-T3C6-002</t>
  </si>
  <si>
    <t>25045-J1A-J119-T3C6-003</t>
  </si>
  <si>
    <t>25045-J1A-J119-T3C6-004</t>
  </si>
  <si>
    <t>25045-J1A-J119-T4C5-001</t>
  </si>
  <si>
    <t>25045-J1A-J119-T5C2A-001</t>
  </si>
  <si>
    <t>25045-J1A-J119-T5C3A-001</t>
  </si>
  <si>
    <t>25045-J1A-J119-T7C2-001</t>
  </si>
  <si>
    <t>25045-J1A-J119-T7C3-001</t>
  </si>
  <si>
    <t>25045-J1A-J119-T6C1-001</t>
  </si>
  <si>
    <t>25045-J1A-J119-T6C1-002</t>
  </si>
  <si>
    <t>25045-J1A-J119-T3C5-001</t>
  </si>
  <si>
    <t>25045-J1A-J119-T3C5-002</t>
  </si>
  <si>
    <t>25045-J1A-J119-T3C5-003</t>
  </si>
  <si>
    <t>25045-J1A-J119-T3C5-004</t>
  </si>
  <si>
    <t>25045-J1A-J119-T3C5-005</t>
  </si>
  <si>
    <t>25045-J1A-J119-T1C1-006</t>
  </si>
  <si>
    <t>25045-J1A-J119-T1C1-005</t>
  </si>
  <si>
    <t>25045-J1A-J119-T1C1-004</t>
  </si>
  <si>
    <t>25045-J1A-J119-T1C1-003</t>
  </si>
  <si>
    <t>25045-J1A-J119-T1C1-002</t>
  </si>
  <si>
    <t>25045-J1A-J119-T1C1-001</t>
  </si>
  <si>
    <t>25045-J1A-J119-T2C1-002</t>
  </si>
  <si>
    <t>25045-J1A-J119-T2C1-001</t>
  </si>
  <si>
    <t>25045-J1A-J120-T3C5-001</t>
  </si>
  <si>
    <t>25045-J1A-J120-T3C5-002</t>
  </si>
  <si>
    <t>25045-J1A-J120-T3C5-003</t>
  </si>
  <si>
    <t>25045-J1A-J120-T3C5-004</t>
  </si>
  <si>
    <t>25045-J1A-J120-T3C5-005</t>
  </si>
  <si>
    <t>25045-J1A-J120-T3C5-006</t>
  </si>
  <si>
    <t>25045-J1A-J120-T1C1-001</t>
  </si>
  <si>
    <t>25045-J1A-J120-T1C1-002</t>
  </si>
  <si>
    <t>25045-J1A-J120-T1C1-003</t>
  </si>
  <si>
    <t>25045-J1A-J120-T3C6-001</t>
  </si>
  <si>
    <t>25045-J1A-J120-T3C6-002</t>
  </si>
  <si>
    <t>25045-J1A-J120-T3C6-003</t>
  </si>
  <si>
    <t>25045-J1A-J120-T3C6-004</t>
  </si>
  <si>
    <t>25045-J1A-J120-T4C2-001</t>
  </si>
  <si>
    <t>25045-J1A-J120-T1C1-004</t>
  </si>
  <si>
    <t>25045-J1A-J120-T5C2A-001</t>
  </si>
  <si>
    <t>25045-J1A-J120-T5C3A-001</t>
  </si>
  <si>
    <t>25045-J1A-J120-T6C1-001</t>
  </si>
  <si>
    <t>25045-J1A-J120-T7C2-001</t>
  </si>
  <si>
    <t>25045-J1A-J120-T7C3-001</t>
  </si>
  <si>
    <t>25045-J1A-J120-T2C5-001</t>
  </si>
  <si>
    <t>25045-J1A-J121-T3C5-001</t>
  </si>
  <si>
    <t>25045-J1A-J121-T3C5-002</t>
  </si>
  <si>
    <t>25045-J1A-J121-T3C5-003</t>
  </si>
  <si>
    <t>25045-J1A-J121-T3C5-004</t>
  </si>
  <si>
    <t>25045-J1A-J121-T3C5-005</t>
  </si>
  <si>
    <t>25045-J1A-J121-T3C5-006</t>
  </si>
  <si>
    <t>25045-J1A-J121-T3C5-007</t>
  </si>
  <si>
    <t>25045-J1A-J121-T3C5-008</t>
  </si>
  <si>
    <t>25045-J1A-J121-T3C5-009</t>
  </si>
  <si>
    <t>25045-J1A-J121-T3C5-010</t>
  </si>
  <si>
    <t>25045-J1A-J121-T4C2-001</t>
  </si>
  <si>
    <t>25045-J1A-J121-T1C1-001</t>
  </si>
  <si>
    <t>25045-J1A-J121-T1C1-002</t>
  </si>
  <si>
    <t>25045-J1A-J121-T1C1-003</t>
  </si>
  <si>
    <t>25045-J1A-J121-T2C1-001</t>
  </si>
  <si>
    <t>25045-J1A-J121-T5C2A-001</t>
  </si>
  <si>
    <t>25045-J1A-J121-T6C1-001</t>
  </si>
  <si>
    <t>25045-J1A-J121-T7C2-001</t>
  </si>
  <si>
    <t>25045-J1A-J121-T7C2-002</t>
  </si>
  <si>
    <t>25045-J1A-J121-T5C2A-002</t>
  </si>
  <si>
    <t>25045-J1A-J122-T3C5-001</t>
  </si>
  <si>
    <t>25045-J1A-J122-T3C5-002</t>
  </si>
  <si>
    <t>25045-J1A-J122-T3C5-003</t>
  </si>
  <si>
    <t>25045-J1A-J122-T3C5-004</t>
  </si>
  <si>
    <t>25045-J1A-J122-T4C2-001</t>
  </si>
  <si>
    <t>25045-J1A-J122-T1C1-001</t>
  </si>
  <si>
    <t>25045-J1A-J122-T1C1-002</t>
  </si>
  <si>
    <t>25045-J1A-J122-T1C1-003</t>
  </si>
  <si>
    <t>25045-J1A-J122-T2C1-001</t>
  </si>
  <si>
    <t>25045-J1A-J122-T2C1-002</t>
  </si>
  <si>
    <t>25045-J1A-J122-T2C5-001</t>
  </si>
  <si>
    <t>25045-J1A-J122-T2C5-002</t>
  </si>
  <si>
    <t>25045-J1A-J122-T2C5-003</t>
  </si>
  <si>
    <t>25045-J1A-J122-T2C9-001</t>
  </si>
  <si>
    <t>25045-J1A-J122-T5AC4-001</t>
  </si>
  <si>
    <t>25045-J1A-J122-T5AC4-002</t>
  </si>
  <si>
    <t>25045-J1A-J122-T5C2A-001</t>
  </si>
  <si>
    <t>25045-J1A-J122-T6C1-001</t>
  </si>
  <si>
    <t>25045-J1A-J122-T7C2-001</t>
  </si>
  <si>
    <t>25045-J1A-J122-T2C1-003</t>
  </si>
  <si>
    <t>25045-J1B-J123-T2C1-004</t>
  </si>
  <si>
    <t>25045-J1B-J123-T2C5-001</t>
  </si>
  <si>
    <t>25045-J1B-J123-T2C5-002</t>
  </si>
  <si>
    <t>25045-J1B-J123-T2C5-003</t>
  </si>
  <si>
    <t>25045-J1B-J123-T2C5-004</t>
  </si>
  <si>
    <t>25045-J1B-J123-T2C9-001</t>
  </si>
  <si>
    <t>25045-J1B-J123-T2C9-002</t>
  </si>
  <si>
    <t>25045-J1B-J123-T2C9-003</t>
  </si>
  <si>
    <t>25045-J1B-J123-T3C4-001</t>
  </si>
  <si>
    <t>25045-J1B-J123-T3C4-002</t>
  </si>
  <si>
    <t>25045-J1B-J123-T3C4-003</t>
  </si>
  <si>
    <t>25045-J1B-J123-T3C4-004</t>
  </si>
  <si>
    <t>25045-J1B-J123-T3C4-005</t>
  </si>
  <si>
    <t>25045-J1B-J123-T5AC1-001</t>
  </si>
  <si>
    <t>25045-J1B-J123-T5AC1-002</t>
  </si>
  <si>
    <t>25045-J1B-J123-T5C1A-001</t>
  </si>
  <si>
    <t>25045-J1B-J123-T7C1-001</t>
  </si>
  <si>
    <t>25045-J1B-J123-T1C1-001</t>
  </si>
  <si>
    <t>25045-J1B-J123-T1C1-002</t>
  </si>
  <si>
    <t>25045-J1B-J123-T2C1-002</t>
  </si>
  <si>
    <t>25045-J1B-J123-T2C1-003</t>
  </si>
  <si>
    <t>25045-J1B-J123-T6C1-001</t>
  </si>
  <si>
    <t>25045-J1B-J124-T2C2-001</t>
  </si>
  <si>
    <t>25045-J1B-J124-T2C2-002</t>
  </si>
  <si>
    <t>25045-J1B-J124-T2C2-003</t>
  </si>
  <si>
    <t>25045-J1B-J124-T2C2-004</t>
  </si>
  <si>
    <t>25045-J1B-J124-T2C2-005</t>
  </si>
  <si>
    <t>25045-J1B-J124-T2C2-006</t>
  </si>
  <si>
    <t>25045-J1B-J124-T3C4-002</t>
  </si>
  <si>
    <t>25045-J1B-J124-T3C4-003</t>
  </si>
  <si>
    <t>25045-J1B-J124-T3C4-004</t>
  </si>
  <si>
    <t>25045-J1B-J124-T3C4-005</t>
  </si>
  <si>
    <t>25045-J1B-J124-T3C4-006</t>
  </si>
  <si>
    <t>25045-J1B-J124-T3C4-007</t>
  </si>
  <si>
    <t>25045-J1B-J124-T3C4-008</t>
  </si>
  <si>
    <t>25045-J1B-J124-T3C4-009</t>
  </si>
  <si>
    <t>25045-J1B-J124-T6C1-001</t>
  </si>
  <si>
    <t>25045-J1B-J124-T8C1-001</t>
  </si>
  <si>
    <t>25045-J1B-J124-T2C1-007</t>
  </si>
  <si>
    <t>25045-J1B-J124-T2C2-007</t>
  </si>
  <si>
    <t>25045-J1B-J124-T2C6-001</t>
  </si>
  <si>
    <t>25045-J1B-J124-T3C4-001</t>
  </si>
  <si>
    <t>25045-J1B-J124-T5C1-001</t>
  </si>
  <si>
    <t>25045-J1B-J124-T7C1-001</t>
  </si>
  <si>
    <t>25045-J1B-J125-T2C2-006</t>
  </si>
  <si>
    <t>25045-J1B-J125-T3C4-001</t>
  </si>
  <si>
    <t>25045-J1B-J125-T3C4-002</t>
  </si>
  <si>
    <t>25045-J1B-J125-T3C4-003</t>
  </si>
  <si>
    <t>25045-J1B-J125-T3C4-004</t>
  </si>
  <si>
    <t>25045-J1B-J125-T3C5-005</t>
  </si>
  <si>
    <t>25045-J1B-J125-T2C2-001</t>
  </si>
  <si>
    <t>25045-J1B-J125-T2C2-002</t>
  </si>
  <si>
    <t>25045-J1B-J125-T2C2-003</t>
  </si>
  <si>
    <t>25045-J1B-J125-T2C2-004</t>
  </si>
  <si>
    <t>25045-J1B-J125-T2C2-005</t>
  </si>
  <si>
    <t>25045-J1B-J125-T2C2-007</t>
  </si>
  <si>
    <t>25045-J1B-J125-T2C6-001</t>
  </si>
  <si>
    <t>25045-J1B-J125-T3C5-001</t>
  </si>
  <si>
    <t>25045-J1B-J125-T3C5-002</t>
  </si>
  <si>
    <t>25045-J1B-J125-T3C5-003</t>
  </si>
  <si>
    <t>25045-J1B-J125-T3C5-004</t>
  </si>
  <si>
    <t>25045-J1B-J125-T5C2-001</t>
  </si>
  <si>
    <t>25045-J1B-J125-T6C1-001</t>
  </si>
  <si>
    <t>25045-J1B-J125-T7C2-001</t>
  </si>
  <si>
    <t>25045-J1B-J125-T8C1-001</t>
  </si>
  <si>
    <t>25045-J1B-J126-T3C5-001</t>
  </si>
  <si>
    <t>25045-J1B-J126-T2C1-001</t>
  </si>
  <si>
    <t>25045-J1B-J126-T2C2-001</t>
  </si>
  <si>
    <t>25045-J1B-J126-T2C5-001</t>
  </si>
  <si>
    <t>25045-J1B-J126-T2C5-002</t>
  </si>
  <si>
    <t>25045-J1B-J126-T3C4-001</t>
  </si>
  <si>
    <t>25045-J1B-J126-T3C4-002</t>
  </si>
  <si>
    <t>25045-J1B-J126-T3C4-003</t>
  </si>
  <si>
    <t>25045-J1B-J126-T3C4-004</t>
  </si>
  <si>
    <t>25045-J1B-J126-T3C4-005</t>
  </si>
  <si>
    <t>25045-J1B-J126-T3C5-002</t>
  </si>
  <si>
    <t>25045-J1B-J126-T3C5-003</t>
  </si>
  <si>
    <t>25045-J1B-J126-T3C5-004</t>
  </si>
  <si>
    <t>25045-J1B-J126-T3C5-005</t>
  </si>
  <si>
    <t>25045-J1B-J126-T5AC4-001</t>
  </si>
  <si>
    <t>25045-J1B-J126-T5C2A-001</t>
  </si>
  <si>
    <t>25045-J1B-J126-T7C2-001</t>
  </si>
  <si>
    <t>25045-J1B-J127-T3C4-006</t>
  </si>
  <si>
    <t>25045-J1B-J127-T2C5-001</t>
  </si>
  <si>
    <t>25045-J1B-J127-T2C1-001</t>
  </si>
  <si>
    <t>25045-J1B-J127-T2C1-002</t>
  </si>
  <si>
    <t>25045-J1B-J127-T2C5-002</t>
  </si>
  <si>
    <t>25045-J1B-J127-T3C4-001</t>
  </si>
  <si>
    <t>25045-J1B-J127-T3C4-002</t>
  </si>
  <si>
    <t>25045-J1B-J127-T3C4-003</t>
  </si>
  <si>
    <t>25045-J1B-J127-T3C4-004</t>
  </si>
  <si>
    <t>25045-J1B-J127-T3C4-007</t>
  </si>
  <si>
    <t>25045-J1B-J127-T3C4-008</t>
  </si>
  <si>
    <t>25045-J1B-J127-T3C4-009</t>
  </si>
  <si>
    <t>25045-J1B-J127-T5AC4-001</t>
  </si>
  <si>
    <t>25045-J1B-J127-T5C1A-001</t>
  </si>
  <si>
    <t>25045-J1B-J127-T7C1-001</t>
  </si>
  <si>
    <t>25045-J1B-J127-T3C4-005</t>
  </si>
  <si>
    <t>25045-J1B-J127-T3C4-010</t>
  </si>
  <si>
    <t>25045-J1B-J128-T3C4-001</t>
  </si>
  <si>
    <t>25045-J1B-J128-T3C4-002</t>
  </si>
  <si>
    <t>25045-J1B-J128-T3C4-003</t>
  </si>
  <si>
    <t>25045-J1B-J128-T3C4-004</t>
  </si>
  <si>
    <t>25045-J1B-J128-T3C4-005</t>
  </si>
  <si>
    <t>25045-J1B-J128-T5C1A-001</t>
  </si>
  <si>
    <t>25045-J1B-J128-T7C1-001</t>
  </si>
  <si>
    <t>25045-J1B-J128-T2C2-001</t>
  </si>
  <si>
    <t>25045-J1B-J128-T2C2-002</t>
  </si>
  <si>
    <t>25045-J1B-J128-T2C2-003</t>
  </si>
  <si>
    <t>25045-J1B-J128-T2C3-001</t>
  </si>
  <si>
    <t>25045-J1B-J128-T2C5-001</t>
  </si>
  <si>
    <t>25045-J1B-J128-T2C5-002</t>
  </si>
  <si>
    <t>25045-J1B-J128-T2C7-001</t>
  </si>
  <si>
    <t>25045-J1B-J128-T2C7-002</t>
  </si>
  <si>
    <t>25045-J1B-J128-T2C10-001</t>
  </si>
  <si>
    <t>25045-J1B-J128-T2C11-001</t>
  </si>
  <si>
    <t>25045-J1B-J129-T3C4-001</t>
  </si>
  <si>
    <t>25045-J1B-J129-T3C4-002</t>
  </si>
  <si>
    <t>25045-J1B-J129-T3C4-003</t>
  </si>
  <si>
    <t>25045-J1B-J129-T3C4-004</t>
  </si>
  <si>
    <t>25045-J1B-J129-T3C4-005</t>
  </si>
  <si>
    <t>25045-J1B-J129-T5C1A-001</t>
  </si>
  <si>
    <t>25045-J1B-J129-T7C1-001</t>
  </si>
  <si>
    <t>25045-J1B-J129-T2C2-001</t>
  </si>
  <si>
    <t>25045-J1B-J129-T2C2-002</t>
  </si>
  <si>
    <t>25045-J1B-J129-T2C2-003</t>
  </si>
  <si>
    <t>25045-J1B-J129-T2C3-001</t>
  </si>
  <si>
    <t>25045-J1B-J129-T2C7-001</t>
  </si>
  <si>
    <t>25045-J1B-J129-T2C7-002</t>
  </si>
  <si>
    <t>25045-J1B-J129-T2C8-001</t>
  </si>
  <si>
    <t>25045-J1B-J129-T2C8-002</t>
  </si>
  <si>
    <t>25045-J1B-J129-T2C11-001</t>
  </si>
  <si>
    <t>25045-J1B-J129-T2C12-001</t>
  </si>
  <si>
    <t>25045-J1B-J130-T3C4-007</t>
  </si>
  <si>
    <t>25045-J1B-J130-T3C4-008</t>
  </si>
  <si>
    <t>25045-J1B-J130-T3C4-009</t>
  </si>
  <si>
    <t>25045-J1B-J130-T2C4-001</t>
  </si>
  <si>
    <t>25045-J1B-J130-T2C4-002</t>
  </si>
  <si>
    <t>25045-J1B-J130-T2C8-001</t>
  </si>
  <si>
    <t>25045-J1B-J130-T2C8-002</t>
  </si>
  <si>
    <t>25045-J1B-J130-T3C4-001</t>
  </si>
  <si>
    <t>25045-J1B-J130-T3C4-002</t>
  </si>
  <si>
    <t>25045-J1B-J130-T3C4-003</t>
  </si>
  <si>
    <t>25045-J1B-J130-T3C4-004</t>
  </si>
  <si>
    <t>25045-J1B-J130-T3C4-005</t>
  </si>
  <si>
    <t>25045-J1B-J130-T3C4-006</t>
  </si>
  <si>
    <t>25045-J1B-J130-T3C4-010</t>
  </si>
  <si>
    <t>25045-J1B-J130-T5C1A-001</t>
  </si>
  <si>
    <t>25045-J1B-J130-T5AC4-001</t>
  </si>
  <si>
    <t>25045-J1B-J130-T7C1-001</t>
  </si>
  <si>
    <t>25045-J1B-J131-T2C4-001</t>
  </si>
  <si>
    <t>25045-J1B-J131-T2C8-001</t>
  </si>
  <si>
    <t>25045-J1B-J131-T2C8-002</t>
  </si>
  <si>
    <t>25045-J1B-J131-T2C12-001</t>
  </si>
  <si>
    <t>25045-J1B-J131-T3C1-001</t>
  </si>
  <si>
    <t>25045-J1B-J131-T3C1-002</t>
  </si>
  <si>
    <t>25045-J1B-J131-T3C1-003</t>
  </si>
  <si>
    <t>25045-J1B-J131-T3C1-004</t>
  </si>
  <si>
    <t>25045-J1B-J131-T3C4-001</t>
  </si>
  <si>
    <t>25045-J1B-J131-T3C4-002</t>
  </si>
  <si>
    <t>25045-J1B-J131-T3C4-003</t>
  </si>
  <si>
    <t>25045-J1B-J131-T3C4-004</t>
  </si>
  <si>
    <t>25045-J1B-J131-T3C4-005</t>
  </si>
  <si>
    <t>25045-J1B-J131-T3C4-006</t>
  </si>
  <si>
    <t>25045-J1B-J131-T5C2-001</t>
  </si>
  <si>
    <t>25045-J1B-J131-T7C1-001</t>
  </si>
  <si>
    <t>25045-J1B-J131-T6C1-002</t>
  </si>
  <si>
    <t>25045-J1B-J132-T3C4-001</t>
  </si>
  <si>
    <t>25045-J1B-J132-T3C4-002</t>
  </si>
  <si>
    <t>25045-J1B-J132-T3C4-003</t>
  </si>
  <si>
    <t>25045-J1B-J132-T3C4-004</t>
  </si>
  <si>
    <t>25045-J1B-J132-T3C4-005</t>
  </si>
  <si>
    <t>25045-J1B-J132-T3C4-006</t>
  </si>
  <si>
    <t>25045-J1B-J132-T3C4-007</t>
  </si>
  <si>
    <t>25045-J1B-J132-T3C4-008</t>
  </si>
  <si>
    <t>25045-J1B-J132-T3C4-009</t>
  </si>
  <si>
    <t>25045-J1B-J132-T3C4-010</t>
  </si>
  <si>
    <t>25045-J1B-J132-T5C1-001</t>
  </si>
  <si>
    <t>25045-J1B-J132-T5AC4-001</t>
  </si>
  <si>
    <t>25045-J1B-J132-T5AC4-002</t>
  </si>
  <si>
    <t>25045-J1B-J132-T7C1-001</t>
  </si>
  <si>
    <t>25045-J1B-J132-T2C1-001</t>
  </si>
  <si>
    <t>25045-J1B-J132-T2C4-001</t>
  </si>
  <si>
    <t>25045-J1B-J132-T2C4-002</t>
  </si>
  <si>
    <t>25045-J1B-J132-T2C4-003</t>
  </si>
  <si>
    <t>25045-J1B-J132-T2C4-004</t>
  </si>
  <si>
    <t>25045-J1B-J132-T2C4-005</t>
  </si>
  <si>
    <t>25045-J1B-J132-T2C5-001</t>
  </si>
  <si>
    <t>25045-J1B-J132-T2C8-001</t>
  </si>
  <si>
    <t>25045-J1B-J133-T1C1-001</t>
  </si>
  <si>
    <t>25045-J1B-J133-T1C1-002</t>
  </si>
  <si>
    <t>25045-J1B-J133-T1C1-003</t>
  </si>
  <si>
    <t>25045-J1B-J133-T1C2-001</t>
  </si>
  <si>
    <t>25045-J1B-J133-T1C2-002</t>
  </si>
  <si>
    <t>25045-J1B-J133-T2C1-001</t>
  </si>
  <si>
    <t>25045-J1B-J133-T2C5-001</t>
  </si>
  <si>
    <t>25045-J1B-J133-T2C6-001</t>
  </si>
  <si>
    <t>25045-J1B-J133-T2C6-002</t>
  </si>
  <si>
    <t>25045-J1B-J133-T2C10-001</t>
  </si>
  <si>
    <t>25045-J1B-J133-T2C10-002</t>
  </si>
  <si>
    <t>25045-J1B-J133-T3C4-001</t>
  </si>
  <si>
    <t>25045-J1B-J133-T3C4-002</t>
  </si>
  <si>
    <t>25045-J1B-J133-T3C4-003</t>
  </si>
  <si>
    <t>25045-J1B-J133-T3C4-004</t>
  </si>
  <si>
    <t>25045-J1B-J133-T3C4-005</t>
  </si>
  <si>
    <t>25045-J1B-J133-T5AC1-001</t>
  </si>
  <si>
    <t>25045-J1B-J133-T5AC1-002</t>
  </si>
  <si>
    <t>25045-J1B-J133-T5C1A-001</t>
  </si>
  <si>
    <t>25045-J1B-J133-T6C1-002</t>
  </si>
  <si>
    <t>25045-J1B-J133-T7C1-001</t>
  </si>
  <si>
    <t>25045-J1C-J087-T1C1-001</t>
  </si>
  <si>
    <t>25045-J1C-J087-T1C1-005</t>
  </si>
  <si>
    <t>25045-J1C-J087-T2C1-002</t>
  </si>
  <si>
    <t>25045-J1C-J087-T2C1-003</t>
  </si>
  <si>
    <t>25045-J1C-J087-T2C1-004</t>
  </si>
  <si>
    <t>25045-J1C-J087-T2C1-005</t>
  </si>
  <si>
    <t>25045-J1C-J087-T2C1-006</t>
  </si>
  <si>
    <t>25045-J1C-J087-T2C1-007</t>
  </si>
  <si>
    <t>25045-J1C-J087-T2C1-008</t>
  </si>
  <si>
    <t>25045-J1C-J087-T2C1-009</t>
  </si>
  <si>
    <t>25045-J1C-J087-T2C5-001</t>
  </si>
  <si>
    <t>25045-J1C-J087-T2C5-002</t>
  </si>
  <si>
    <t>25045-J1C-J087-T2C5-003</t>
  </si>
  <si>
    <t>25045-J1C-J087-T2C6-001</t>
  </si>
  <si>
    <t>25045-J1C-J087-T3C5-001</t>
  </si>
  <si>
    <t>25045-J1C-J087-T3C5-005</t>
  </si>
  <si>
    <t>25045-J1C-J087-T5AC4-001</t>
  </si>
  <si>
    <t>25045-J1C-J087-T5C2A-001</t>
  </si>
  <si>
    <t>25045-J1C-J087-T6C1-002</t>
  </si>
  <si>
    <t>25045-J1C-J087-T6C1-003</t>
  </si>
  <si>
    <t>25045-J1C-J087-T6C1-004</t>
  </si>
  <si>
    <t>25045-J1C-J087-T7C2-001</t>
  </si>
  <si>
    <t>25045-J1C-J087-T3C5-002</t>
  </si>
  <si>
    <t>25045-J1C-J087-T3C5-003</t>
  </si>
  <si>
    <t>25045-J1C-J087-T3C5-004</t>
  </si>
  <si>
    <t>25045-J1C-J087-T1C1-002</t>
  </si>
  <si>
    <t>25045-J1C-J087-T1C1-003</t>
  </si>
  <si>
    <t>25045-J1C-J087-T1C1-004</t>
  </si>
  <si>
    <t>25045-J1C-J087-T2C1-001</t>
  </si>
  <si>
    <t>25045-J1C-J088-T1C1-001</t>
  </si>
  <si>
    <t>25045-J1C-J088-T1C1-002</t>
  </si>
  <si>
    <t>25045-J1C-J088-T1C1-003</t>
  </si>
  <si>
    <t>25045-J1C-J088-T2C1-001</t>
  </si>
  <si>
    <t>25045-J1C-J088-T3C4-001</t>
  </si>
  <si>
    <t>25045-J1C-J088-T3C4-002</t>
  </si>
  <si>
    <t>25045-J1C-J088-T3C4-003</t>
  </si>
  <si>
    <t>25045-J1C-J088-T3C4-004</t>
  </si>
  <si>
    <t>25045-J1C-J088-T3C4-005</t>
  </si>
  <si>
    <t>25045-J1C-J088-T3C5-006</t>
  </si>
  <si>
    <t>25045-J1C-J088-T3C5-009</t>
  </si>
  <si>
    <t>25045-J1C-J088-T3C5-008</t>
  </si>
  <si>
    <t>25045-J1C-J088-T3C5-007</t>
  </si>
  <si>
    <t>25045-J1C-J088-T3C5-010</t>
  </si>
  <si>
    <t>25045-J1C-J088-T5C2A-001</t>
  </si>
  <si>
    <t>25045-J1C-J088-T7C2-001</t>
  </si>
  <si>
    <t>25045-J1C-J089-T1C1-001</t>
  </si>
  <si>
    <t>25045-J1C-J089-T1C1-002</t>
  </si>
  <si>
    <t>25045-J1C-J089-T1C1-003</t>
  </si>
  <si>
    <t>25045-J1C-J089-T2C1-001</t>
  </si>
  <si>
    <t>25045-J1C-J089-T3C4-001</t>
  </si>
  <si>
    <t>25045-J1C-J089-T3C4-002</t>
  </si>
  <si>
    <t>25045-J1C-J089-T3C4-003</t>
  </si>
  <si>
    <t>25045-J1C-J089-T3C4-004</t>
  </si>
  <si>
    <t>25045-J1C-J089-T3C4-005</t>
  </si>
  <si>
    <t>25045-J1C-J089-T3C4-006</t>
  </si>
  <si>
    <t>25045-J1C-J089-T3C4-007</t>
  </si>
  <si>
    <t>25045-J1C-J089-T3C4-008</t>
  </si>
  <si>
    <t>25045-J1C-J089-T3C4-009</t>
  </si>
  <si>
    <t>25045-J1C-J089-T3C4-010</t>
  </si>
  <si>
    <t>25045-J1C-J089-T5C1A-001</t>
  </si>
  <si>
    <t>25045-J1C-J089-T7C1-001</t>
  </si>
  <si>
    <t>25045-J1C-J090-T7C1-001</t>
  </si>
  <si>
    <t>25045-J1C-J090-T1C1-001</t>
  </si>
  <si>
    <t>25045-J1C-J090-T1C1-002</t>
  </si>
  <si>
    <t>25045-J1C-J090-T1C2-001</t>
  </si>
  <si>
    <t>25045-J1C-J090-T2C1-004</t>
  </si>
  <si>
    <t>25045-J1C-J090-T2C2-001</t>
  </si>
  <si>
    <t>25045-J1C-J090-T2C2-002</t>
  </si>
  <si>
    <t>25045-J1C-J090-T2C2-003</t>
  </si>
  <si>
    <t>25045-J1C-J090-T2C6-001</t>
  </si>
  <si>
    <t>25045-J1C-J090-T2C6-002</t>
  </si>
  <si>
    <t>25045-J1C-J090-T2C10-001</t>
  </si>
  <si>
    <t>25045-J1C-J090-T3C4-001</t>
  </si>
  <si>
    <t>25045-J1C-J090-T3C4-002</t>
  </si>
  <si>
    <t>25045-J1C-J090-T3C4-003</t>
  </si>
  <si>
    <t>25045-J1C-J090-T3C4-004</t>
  </si>
  <si>
    <t>25045-J1C-J090-T3C4-005</t>
  </si>
  <si>
    <t>25045-J1C-J090-T5C1A-001</t>
  </si>
  <si>
    <t>25045-J1C-J091-T2C1-004</t>
  </si>
  <si>
    <t>25045-J1C-J091-T3C4-002</t>
  </si>
  <si>
    <t>25045-J1C-J091-T3C4-003</t>
  </si>
  <si>
    <t>25045-J1C-J091-T3C4-004</t>
  </si>
  <si>
    <t>25045-J1C-J091-T1C1-001</t>
  </si>
  <si>
    <t>25045-J1C-J091-T1C1-002</t>
  </si>
  <si>
    <t>25045-J1C-J091-T1C1-003</t>
  </si>
  <si>
    <t>25045-J1C-J091-T2C1-001</t>
  </si>
  <si>
    <t>25045-J1C-J091-T2C1-002</t>
  </si>
  <si>
    <t>25045-J1C-J091-T2C1-003</t>
  </si>
  <si>
    <t>25045-J1C-J091-T2C5-001</t>
  </si>
  <si>
    <t>25045-J1C-J091-T2C5-002</t>
  </si>
  <si>
    <t>25045-J1C-J091-T2C9-001</t>
  </si>
  <si>
    <t>25045-J1C-J091-T3C4-001</t>
  </si>
  <si>
    <t>25045-J1C-J091-T3C4-005</t>
  </si>
  <si>
    <t>25045-J1C-J091-T5C1A-001</t>
  </si>
  <si>
    <t>25045-J1C-J091-T7C1-001</t>
  </si>
  <si>
    <t>25045-J1C-J092-T2C1-001</t>
  </si>
  <si>
    <t>25045-J1C-J092-T3C4-002</t>
  </si>
  <si>
    <t>25045-J1C-J092-T3C4-003</t>
  </si>
  <si>
    <t>25045-J1C-J092-T3C4-004</t>
  </si>
  <si>
    <t>25045-J1C-J092-T3C4-007</t>
  </si>
  <si>
    <t>25045-J1C-J092-T3C4-008</t>
  </si>
  <si>
    <t>25045-J1C-J092-T3C4-009</t>
  </si>
  <si>
    <t>25045-J1C-J092-T3C4-006</t>
  </si>
  <si>
    <t>25045-J1C-J092-T5C1A-001</t>
  </si>
  <si>
    <t>25045-J1C-J092-T7C1-001</t>
  </si>
  <si>
    <t>25045-J1C-J092-T1C1-001</t>
  </si>
  <si>
    <t>25045-J1C-J092-T1C1-002</t>
  </si>
  <si>
    <t>25045-J1C-J092-T1C1-003</t>
  </si>
  <si>
    <t>25045-J1C-J092-T3C4-001</t>
  </si>
  <si>
    <t>25045-J1C-J092-T3C4-005</t>
  </si>
  <si>
    <t>25045-J1C-J092-T3C4-010</t>
  </si>
  <si>
    <t>25045-J1C-J093-T1C1-001</t>
  </si>
  <si>
    <t>25045-J1C-J093-T1C1-003</t>
  </si>
  <si>
    <t>25045-J1C-J093-T2C1-001</t>
  </si>
  <si>
    <t>25045-J1C-J093-T3C4-001</t>
  </si>
  <si>
    <t>25045-J1C-J093-T3C4-004</t>
  </si>
  <si>
    <t>25045-J1C-J093-T3C4-003</t>
  </si>
  <si>
    <t>25045-J1C-J093-T3C4-002</t>
  </si>
  <si>
    <t>25045-J1C-J093-T3C4-005</t>
  </si>
  <si>
    <t>25045-J1C-J093-T3C5-001</t>
  </si>
  <si>
    <t>25045-J1C-J093-T3C5-004</t>
  </si>
  <si>
    <t>25045-J1C-J093-T3C5-003</t>
  </si>
  <si>
    <t>25045-J1C-J093-T3C5-002</t>
  </si>
  <si>
    <t>25045-J1C-J093-T3C5-005</t>
  </si>
  <si>
    <t>25045-J1C-J093-T5C2A-001</t>
  </si>
  <si>
    <t>25045-J1C-J093-T7C2-001</t>
  </si>
  <si>
    <t>25045-J1C-J093-T1C1-002</t>
  </si>
  <si>
    <t>25045-J1C-J094-T1C1-001</t>
  </si>
  <si>
    <t>25045-J1C-J094-T1C1-002</t>
  </si>
  <si>
    <t>25045-J1C-J094-T1C1-003</t>
  </si>
  <si>
    <t>25045-J1C-J094-T2C9-001</t>
  </si>
  <si>
    <t>25045-J1C-J094-T3C4-001</t>
  </si>
  <si>
    <t>25045-J1C-J094-T3C4-002</t>
  </si>
  <si>
    <t>25045-J1C-J094-T3C4-003</t>
  </si>
  <si>
    <t>25045-J1C-J094-T3C4-004</t>
  </si>
  <si>
    <t>25045-J1C-J094-T3C4-005</t>
  </si>
  <si>
    <t>25045-J1C-J094-T3C5-001</t>
  </si>
  <si>
    <t>25045-J1C-J094-T3C5-002</t>
  </si>
  <si>
    <t>25045-J1C-J094-T3C5-003</t>
  </si>
  <si>
    <t>25045-J1C-J094-T3C5-004</t>
  </si>
  <si>
    <t>25045-J1C-J094-T3C5-005</t>
  </si>
  <si>
    <t>25045-J1C-J094-T5C2A-001</t>
  </si>
  <si>
    <t>25045-J1C-J094-T7C2-001</t>
  </si>
  <si>
    <t>25045-J1C-J095-T1C1-001</t>
  </si>
  <si>
    <t>25045-J1C-J095-T1C2-001</t>
  </si>
  <si>
    <t>25045-J1C-J095-T1C3-001</t>
  </si>
  <si>
    <t>25045-J1C-J095-T1C3-002</t>
  </si>
  <si>
    <t>25045-J1C-J095-T2C1-004</t>
  </si>
  <si>
    <t>25045-J1C-J095-T2C2-001</t>
  </si>
  <si>
    <t>25045-J1C-J095-T2C2-002</t>
  </si>
  <si>
    <t>25045-J1C-J095-T2C7-001</t>
  </si>
  <si>
    <t>25045-J1C-J095-T2C7-002</t>
  </si>
  <si>
    <t>25045-J1C-J095-T2C11-001</t>
  </si>
  <si>
    <t>25045-J1C-J095-T3C1-002</t>
  </si>
  <si>
    <t>25045-J1C-J095-T3C1-003</t>
  </si>
  <si>
    <t>25045-J1C-J095-T3C1-004</t>
  </si>
  <si>
    <t>25045-J1C-J095-T3C1-005</t>
  </si>
  <si>
    <t>25045-J1C-J095-T3C4-001</t>
  </si>
  <si>
    <t>25045-J1C-J095-T4C1-001</t>
  </si>
  <si>
    <t>25045-J1C-J095-T5AC1-001</t>
  </si>
  <si>
    <t>25045-J1C-J095-T5AC1-002</t>
  </si>
  <si>
    <t>25045-J1C-J095-T5C1A-001</t>
  </si>
  <si>
    <t>25045-J1C-J095-T6C1-002</t>
  </si>
  <si>
    <t>25045-J1C-J095-T7C1-001</t>
  </si>
  <si>
    <t>25045-J1C-J095-T2C3-001</t>
  </si>
  <si>
    <t>25045-J1D-J096-T1C1-003</t>
  </si>
  <si>
    <t>25045-J1D-J096-T1C1-004</t>
  </si>
  <si>
    <t>25045-J1D-J096-T1C2-001</t>
  </si>
  <si>
    <t>25045-J1D-J096-T1C3-001</t>
  </si>
  <si>
    <t>25045-J1D-J096-T2C1-001</t>
  </si>
  <si>
    <t>25045-J1D-J096-T2C2-001</t>
  </si>
  <si>
    <t>25045-J1D-J096-T2C5-001</t>
  </si>
  <si>
    <t>25045-J1D-J096-T2C10-001</t>
  </si>
  <si>
    <t>25045-J1D-J096-T3C5-001</t>
  </si>
  <si>
    <t>25045-J1D-J096-T3C5-002</t>
  </si>
  <si>
    <t>25045-J1D-J096-T3C5-003</t>
  </si>
  <si>
    <t>25045-J1D-J096-T5AC1-001</t>
  </si>
  <si>
    <t>25045-J1D-J096-T5C2A-001</t>
  </si>
  <si>
    <t>25045-J1D-J096-T6C1-002</t>
  </si>
  <si>
    <t>25045-J1D-J096-T7C2-001</t>
  </si>
  <si>
    <t>25045-J1D-J096-T5AC1-002</t>
  </si>
  <si>
    <t>25045-J1D-J096-T4C2-001</t>
  </si>
  <si>
    <t>25045-J1D-J096-T3C5-004</t>
  </si>
  <si>
    <t>25045-J1D-J096-T2C7-001</t>
  </si>
  <si>
    <t>25045-J1D-J096-T2C6-001</t>
  </si>
  <si>
    <t>25045-J1D-J096-T2C1-003</t>
  </si>
  <si>
    <t>25045-J1D-J097-T1C1-001</t>
  </si>
  <si>
    <t>25045-J1D-J097-T1C1-002</t>
  </si>
  <si>
    <t>25045-J1D-J097-T1C1-003</t>
  </si>
  <si>
    <t>25045-J1D-J097-T1C1-004</t>
  </si>
  <si>
    <t>25045-J1D-J097-T1C1-005</t>
  </si>
  <si>
    <t>25045-J1D-J097-T1C1-006</t>
  </si>
  <si>
    <t>25045-J1D-J097-T1C1-007</t>
  </si>
  <si>
    <t>25045-J1D-J097-T1C1-008</t>
  </si>
  <si>
    <t>25045-J1D-J097-T1C1-009</t>
  </si>
  <si>
    <t>25045-J1D-J097-T1C1-010</t>
  </si>
  <si>
    <t>25045-J1D-J097-T3C4-001</t>
  </si>
  <si>
    <t>25045-J1D-J097-T3C4-002</t>
  </si>
  <si>
    <t>25045-J1D-J097-T3C4-003</t>
  </si>
  <si>
    <t>25045-J1D-J097-T3C4-004</t>
  </si>
  <si>
    <t>25045-J1D-J097-T3C4-005</t>
  </si>
  <si>
    <t>25045-J1D-J097-T3C5-002</t>
  </si>
  <si>
    <t>25045-J1D-J097-T3C5-003</t>
  </si>
  <si>
    <t>25045-J1D-J097-T3C5-004</t>
  </si>
  <si>
    <t>25045-J1D-J097-T5C2A-001</t>
  </si>
  <si>
    <t>25045-J1D-J097-T6C1-001</t>
  </si>
  <si>
    <t>25045-J1D-J097-T6C1-002</t>
  </si>
  <si>
    <t>25045-J1D-J097-T7C2-001</t>
  </si>
  <si>
    <t>25045-J1D-J097-T5C1A-001</t>
  </si>
  <si>
    <t>25045-J1D-J097-T3C4-006</t>
  </si>
  <si>
    <t>25045-J1D-J097-T4C2-001</t>
  </si>
  <si>
    <t>25045-J1D-J097-T3C5-001</t>
  </si>
  <si>
    <t>25045-J1D-J097-T2C1-001</t>
  </si>
  <si>
    <t>25045-J1D-J098-T1C1-001</t>
  </si>
  <si>
    <t>25045-J1D-J098-T1C1-002</t>
  </si>
  <si>
    <t>25045-J1D-J098-T1C1-003</t>
  </si>
  <si>
    <t>25045-J1D-J098-T1C1-004</t>
  </si>
  <si>
    <t>25045-J1D-J098-T1C1-005</t>
  </si>
  <si>
    <t>25045-J1D-J098-T1C1-006</t>
  </si>
  <si>
    <t>25045-J1D-J098-T1C1-007</t>
  </si>
  <si>
    <t>25045-J1D-J098-T1C1-008</t>
  </si>
  <si>
    <t>25045-J1D-J098-T1C1-009</t>
  </si>
  <si>
    <t>25045-J1D-J098-T1C1-010</t>
  </si>
  <si>
    <t>25045-J1D-J098-T1C1-011</t>
  </si>
  <si>
    <t>25045-J1D-J098-T3C4-002</t>
  </si>
  <si>
    <t>25045-J1D-J098-T3C4-003</t>
  </si>
  <si>
    <t>25045-J1D-J098-T3C4-004</t>
  </si>
  <si>
    <t>25045-J1D-J098-T3C4-005</t>
  </si>
  <si>
    <t>25045-J1D-J098-T3C4-008</t>
  </si>
  <si>
    <t>25045-J1D-J098-T3C4-009</t>
  </si>
  <si>
    <t>25045-J1D-J098-T6C1-001</t>
  </si>
  <si>
    <t>25045-J1D-J098-T6C1-002</t>
  </si>
  <si>
    <t>25045-J1D-J098-T7C1-001</t>
  </si>
  <si>
    <t>25045-J1D-J098-T5C1A-001</t>
  </si>
  <si>
    <t>25045-J1D-J098-T3C4-010</t>
  </si>
  <si>
    <t>25045-J1D-J098-T3C4-007</t>
  </si>
  <si>
    <t>25045-J1D-J098-T4C3-001</t>
  </si>
  <si>
    <t>25045-J1D-J098-T3C4-006</t>
  </si>
  <si>
    <t>25045-J1D-J098-T3C4-001</t>
  </si>
  <si>
    <t>25045-J1D-J098-T2C1-001</t>
  </si>
  <si>
    <t>25045-J1D-J098-T1C1-012</t>
  </si>
  <si>
    <t>25045-J1D-J098-T5C1A-002</t>
  </si>
  <si>
    <t>25045-J1D-J099-T1C1-008</t>
  </si>
  <si>
    <t>25045-J1D-J099-T3C4-002</t>
  </si>
  <si>
    <t>25045-J1D-J099-T3C4-003</t>
  </si>
  <si>
    <t>25045-J1D-J099-T3C4-004</t>
  </si>
  <si>
    <t>25045-J1D-J099-T3C4-005</t>
  </si>
  <si>
    <t>25045-J1D-J099-T3C5-001</t>
  </si>
  <si>
    <t>25045-J1D-J099-T3C5-002</t>
  </si>
  <si>
    <t>25045-J1D-J099-T3C5-003</t>
  </si>
  <si>
    <t>25045-J1D-J099-T5C2A-001</t>
  </si>
  <si>
    <t>25045-J1D-J099-T6C1-001</t>
  </si>
  <si>
    <t>25045-J1D-J099-T7C1-001</t>
  </si>
  <si>
    <t>25045-J1D-J099-T7C2-001</t>
  </si>
  <si>
    <t>25045-J1D-J099-T5C1A-001</t>
  </si>
  <si>
    <t>25045-J1D-J099-T3C5-004</t>
  </si>
  <si>
    <t>25045-J1D-J099-T4C2-001</t>
  </si>
  <si>
    <t>25045-J1D-J099-T3C4-006</t>
  </si>
  <si>
    <t>25045-J1D-J099-T3C4-001</t>
  </si>
  <si>
    <t>25045-J1D-J099-T2C5-001</t>
  </si>
  <si>
    <t>25045-J1D-J099-T1C1-007</t>
  </si>
  <si>
    <t>25045-J1D-J099-T1C1-006</t>
  </si>
  <si>
    <t>25045-J1D-J099-T1C1-005</t>
  </si>
  <si>
    <t>25045-J1D-J099-T1C1-004</t>
  </si>
  <si>
    <t>25045-J1D-J099-T1C1-003</t>
  </si>
  <si>
    <t>25045-J1D-J099-T1C1-002</t>
  </si>
  <si>
    <t>25045-J1D-J099-T1C1-001</t>
  </si>
  <si>
    <t>25045-J1D-J100-T1C1-001</t>
  </si>
  <si>
    <t>25045-J1D-J100-T1C1-002</t>
  </si>
  <si>
    <t>25045-J1D-J100-T2C5-002</t>
  </si>
  <si>
    <t>25045-J1D-J100-T2C5-003</t>
  </si>
  <si>
    <t>25045-J1D-J100-T2C9-001</t>
  </si>
  <si>
    <t>25045-J1D-J100-T2C9-002</t>
  </si>
  <si>
    <t>25045-J1D-J100-T3C5-002</t>
  </si>
  <si>
    <t>25045-J1D-J100-T3C5-003</t>
  </si>
  <si>
    <t>25045-J1D-J100-T3C5-004</t>
  </si>
  <si>
    <t>25045-J1D-J100-T5AC4-001</t>
  </si>
  <si>
    <t>25045-J1D-J100-T5AC4-002</t>
  </si>
  <si>
    <t>25045-J1D-J100-T5C2A-001</t>
  </si>
  <si>
    <t>25045-J1D-J100-T7C2-001</t>
  </si>
  <si>
    <t>25045-J1D-J100-T1C1-003</t>
  </si>
  <si>
    <t>25045-J1D-J100-T6C1-001</t>
  </si>
  <si>
    <t>25045-J1D-J100-T3C5-001</t>
  </si>
  <si>
    <t>25045-J1D-J100-T4C2-001</t>
  </si>
  <si>
    <t>25045-J1D-J100-T2C5-001</t>
  </si>
  <si>
    <t>25045-J1D-J100-T2C1-001</t>
  </si>
  <si>
    <t>25045-J1E-J110-T1C1-001</t>
  </si>
  <si>
    <t>25045-J1E-J110-T1C1-002</t>
  </si>
  <si>
    <t>25045-J1E-J110-T1C1-003</t>
  </si>
  <si>
    <t>25045-J1E-J110-T2C1-001</t>
  </si>
  <si>
    <t>25045-J1E-J110-T2C1-002</t>
  </si>
  <si>
    <t>25045-J1E-J110-T2C5-001</t>
  </si>
  <si>
    <t>25045-J1E-J110-T2C5-002</t>
  </si>
  <si>
    <t>25045-J1E-J110-T2C9-001</t>
  </si>
  <si>
    <t>25045-J1E-J110-T2C9-002</t>
  </si>
  <si>
    <t>25045-J1E-J110-T3C5-001</t>
  </si>
  <si>
    <t>25045-J1E-J110-T3C5-002</t>
  </si>
  <si>
    <t>25045-J1E-J110-T3C5-003</t>
  </si>
  <si>
    <t>25045-J1E-J110-T3C5-004</t>
  </si>
  <si>
    <t>25045-J1E-J110-T3C5-005</t>
  </si>
  <si>
    <t>25045-J1E-J110-T5C2-001</t>
  </si>
  <si>
    <t>25045-J1E-J110-T7C2-001</t>
  </si>
  <si>
    <t>25045-J1E-J111-T2C1-001</t>
  </si>
  <si>
    <t>25045-J1E-J111-T1C1-001</t>
  </si>
  <si>
    <t>25045-J1E-J111-T1C1-002</t>
  </si>
  <si>
    <t>25045-J1E-J111-T1C1-003</t>
  </si>
  <si>
    <t>25045-J1E-J111-T3C5-001</t>
  </si>
  <si>
    <t>25045-J1E-J111-T3C5-002</t>
  </si>
  <si>
    <t>25045-J1E-J111-T3C5-003</t>
  </si>
  <si>
    <t>25045-J1E-J111-T3C5-004</t>
  </si>
  <si>
    <t>25045-J1E-J111-T3C5-005</t>
  </si>
  <si>
    <t>25045-J1E-J111-T3C5-006</t>
  </si>
  <si>
    <t>25045-J1E-J111-T3C5-007</t>
  </si>
  <si>
    <t>25045-J1E-J111-T3C5-008</t>
  </si>
  <si>
    <t>25045-J1E-J111-T3C5-009</t>
  </si>
  <si>
    <t>25045-J1E-J111-T3C5-010</t>
  </si>
  <si>
    <t>25045-J1E-J111-T5C2A-001</t>
  </si>
  <si>
    <t>25045-J1E-J111-T7C2-001</t>
  </si>
  <si>
    <t>25045-J1E-J112-T2C1-001</t>
  </si>
  <si>
    <t>25045-J1E-J112-T1C1-002</t>
  </si>
  <si>
    <t>25045-J1E-J112-T1C1-003</t>
  </si>
  <si>
    <t>25045-J1E-J112-T1C1-001</t>
  </si>
  <si>
    <t>25045-J1E-J112-T3C5-001</t>
  </si>
  <si>
    <t>25045-J1E-J112-T3C5-002</t>
  </si>
  <si>
    <t>25045-J1E-J112-T3C5-003</t>
  </si>
  <si>
    <t>25045-J1E-J112-T3C5-004</t>
  </si>
  <si>
    <t>25045-J1E-J112-T3C5-005</t>
  </si>
  <si>
    <t>25045-J1E-J112-T3C5-006</t>
  </si>
  <si>
    <t>25045-J1E-J112-T3C5-007</t>
  </si>
  <si>
    <t>25045-J1E-J112-T3C5-008</t>
  </si>
  <si>
    <t>25045-J1E-J112-T3C5-009</t>
  </si>
  <si>
    <t>25045-J1E-J112-T3C5-010</t>
  </si>
  <si>
    <t>25045-J1E-J112-T5C2A-001</t>
  </si>
  <si>
    <t>25045-J1E-J112-T7C2-001</t>
  </si>
  <si>
    <t>25045-J1E-J113-T2C1-001</t>
  </si>
  <si>
    <t>25045-J1E-J113-T1C1-001</t>
  </si>
  <si>
    <t>25045-J1E-J113-T1C1-002</t>
  </si>
  <si>
    <t>25045-J1E-J113-T1C1-003</t>
  </si>
  <si>
    <t>25045-J1E-J113-T3C5-001</t>
  </si>
  <si>
    <t>25045-J1E-J113-T3C5-002</t>
  </si>
  <si>
    <t>25045-J1E-J113-T3C5-003</t>
  </si>
  <si>
    <t>25045-J1E-J113-T3C5-004</t>
  </si>
  <si>
    <t>25045-J1E-J113-T3C5-005</t>
  </si>
  <si>
    <t>25045-J1E-J113-T3C5-006</t>
  </si>
  <si>
    <t>25045-J1E-J113-T3C5-007</t>
  </si>
  <si>
    <t>25045-J1E-J113-T3C5-008</t>
  </si>
  <si>
    <t>25045-J1E-J113-T3C5-009</t>
  </si>
  <si>
    <t>25045-J1E-J113-T3C5-010</t>
  </si>
  <si>
    <t>25045-J1E-J113-T5C2-001</t>
  </si>
  <si>
    <t>25045-J1E-J113-T7C2-001</t>
  </si>
  <si>
    <t>25045-J1E-J114-T1C1-001</t>
  </si>
  <si>
    <t>25045-J1E-J114-T1C1-002</t>
  </si>
  <si>
    <t>25045-J1E-J114-T1C1-003</t>
  </si>
  <si>
    <t>25045-J1E-J114-T1C1-004</t>
  </si>
  <si>
    <t>25045-J1E-J114-T2C1-001</t>
  </si>
  <si>
    <t>25045-J1E-J114-T3C5-001</t>
  </si>
  <si>
    <t>25045-J1E-J114-T3C5-002</t>
  </si>
  <si>
    <t>25045-J1E-J114-T3C5-003</t>
  </si>
  <si>
    <t>25045-J1E-J114-T3C5-004</t>
  </si>
  <si>
    <t>25045-J1E-J114-T3C5-005</t>
  </si>
  <si>
    <t>25045-J1E-J114-T3C5-006</t>
  </si>
  <si>
    <t>25045-J1E-J114-T3C5-007</t>
  </si>
  <si>
    <t>25045-J1E-J114-T3C5-008</t>
  </si>
  <si>
    <t>25045-J1E-J114-T3C5-009</t>
  </si>
  <si>
    <t>25045-J1E-J114-T3C5-010</t>
  </si>
  <si>
    <t>25045-J1E-J114-T5C2A-001</t>
  </si>
  <si>
    <t>25045-J1E-J114-T7C2-001</t>
  </si>
  <si>
    <t>25045-J1E-J115-T6C1-001</t>
  </si>
  <si>
    <t>25045-J1E-J115-T4C1-001</t>
  </si>
  <si>
    <t>25045-J1E-J115-T1C1-001</t>
  </si>
  <si>
    <t>25045-J1E-J115-T1C2-001</t>
  </si>
  <si>
    <t>25045-J1E-J115-T1C3-001</t>
  </si>
  <si>
    <t>25045-J1E-J115-T1C3-002</t>
  </si>
  <si>
    <t>25045-J1E-J115-T1C4-001</t>
  </si>
  <si>
    <t>25045-J1E-J115-T2C1-001</t>
  </si>
  <si>
    <t>25045-J1E-J115-T2C1-005</t>
  </si>
  <si>
    <t>25045-J1E-J115-T2C12-001</t>
  </si>
  <si>
    <t>25045-J1E-J115-T2C4-001</t>
  </si>
  <si>
    <t>25045-J1E-J115-T2C4-002</t>
  </si>
  <si>
    <t>25045-J1E-J115-T2C4-003</t>
  </si>
  <si>
    <t>25045-J1E-J115-T2C8-001</t>
  </si>
  <si>
    <t>25045-J1E-J115-T2C8-002</t>
  </si>
  <si>
    <t>25045-J1E-J115-T3C5-006</t>
  </si>
  <si>
    <t>25045-J1E-J115-T3C5-007</t>
  </si>
  <si>
    <t>25045-J1E-J115-T3C5-008</t>
  </si>
  <si>
    <t>25045-J1E-J115-T3C5-009</t>
  </si>
  <si>
    <t>25045-J1E-J115-T3C5-010</t>
  </si>
  <si>
    <t>25045-J1E-J115-T5AC5-001</t>
  </si>
  <si>
    <t>25045-J1E-J115-T5AC6-002</t>
  </si>
  <si>
    <t>25045-J1E-J115-T5C2A-001</t>
  </si>
  <si>
    <t>25045-J1E-J115-T6C1-002</t>
  </si>
  <si>
    <t>25045-J1E-J115-T7C2-001</t>
  </si>
  <si>
    <t>25045-J1F-J101-T1C1-001</t>
  </si>
  <si>
    <t>25045-J1F-J101-T1C2-001</t>
  </si>
  <si>
    <t>25045-J1F-J101-T1C3-001</t>
  </si>
  <si>
    <t>25045-J1F-J101-T2C1-001</t>
  </si>
  <si>
    <t>25045-J1F-J101-T2C11-001</t>
  </si>
  <si>
    <t>25045-J1F-J101-T2C11-002</t>
  </si>
  <si>
    <t>25045-J1F-J101-T2C3-001</t>
  </si>
  <si>
    <t>25045-J1F-J101-T2C3-002</t>
  </si>
  <si>
    <t>25045-J1F-J101-T2C8-001</t>
  </si>
  <si>
    <t>25045-J1F-J101-T2C8-002</t>
  </si>
  <si>
    <t>25045-J1F-J101-T3C5-001</t>
  </si>
  <si>
    <t>25045-J1F-J101-T3C5-002</t>
  </si>
  <si>
    <t>25045-J1F-J101-T3C5-003</t>
  </si>
  <si>
    <t>25045-J1F-J101-T3C5-004</t>
  </si>
  <si>
    <t>25045-J1F-J101-T4C2-001</t>
  </si>
  <si>
    <t>25045-J1F-J101-T5AC5-001</t>
  </si>
  <si>
    <t>25045-J1F-J101-T5C2-001</t>
  </si>
  <si>
    <t>25045-J1F-J101-T6C1-002</t>
  </si>
  <si>
    <t>25045-J1F-J101-T7C2-001</t>
  </si>
  <si>
    <t>25045-J1F-J102-T1C1-001</t>
  </si>
  <si>
    <t>25045-J1F-J102-T1C1-002</t>
  </si>
  <si>
    <t>25045-J1F-J102-T1C1-003</t>
  </si>
  <si>
    <t>25045-J1F-J102-T1C1-004</t>
  </si>
  <si>
    <t>25045-J1F-J102-T2C10-001</t>
  </si>
  <si>
    <t>25045-J1F-J102-T3C4-001</t>
  </si>
  <si>
    <t>25045-J1F-J102-T3C4-002</t>
  </si>
  <si>
    <t>25045-J1F-J102-T3C4-003</t>
  </si>
  <si>
    <t>25045-J1F-J102-T3C4-004</t>
  </si>
  <si>
    <t>25045-J1F-J102-T3C4-005</t>
  </si>
  <si>
    <t>25045-J1F-J102-T3C5-001</t>
  </si>
  <si>
    <t>25045-J1F-J102-T3C5-002</t>
  </si>
  <si>
    <t>25045-J1F-J102-T3C5-003</t>
  </si>
  <si>
    <t>25045-J1F-J102-T3C5-004</t>
  </si>
  <si>
    <t>25045-J1F-J102-T3C5-005</t>
  </si>
  <si>
    <t>25045-J1F-J102-T5C2-001</t>
  </si>
  <si>
    <t>25045-J1F-J102-T5C2-002</t>
  </si>
  <si>
    <t>25045-J1F-J102-T5C2-003</t>
  </si>
  <si>
    <t>25045-J1F-J102-T6C1-001</t>
  </si>
  <si>
    <t>25045-J1F-J102-T7C2-001</t>
  </si>
  <si>
    <t>25045-J1F-J103-T1C2-001</t>
  </si>
  <si>
    <t>25045-J1F-J103-T1C2-002</t>
  </si>
  <si>
    <t>25045-J1F-J103-T1C2-003</t>
  </si>
  <si>
    <t>25045-J1F-J103-T1C2-004</t>
  </si>
  <si>
    <t>25045-J1F-J103-T2C1-001</t>
  </si>
  <si>
    <t>25045-J1F-J103-T3C4-001</t>
  </si>
  <si>
    <t>25045-J1F-J103-T3C4-002</t>
  </si>
  <si>
    <t>25045-J1F-J103-T3C4-003</t>
  </si>
  <si>
    <t>25045-J1F-J103-T3C4-004</t>
  </si>
  <si>
    <t>25045-J1F-J103-T3C4-005</t>
  </si>
  <si>
    <t>25045-J1F-J103-T3C5-001</t>
  </si>
  <si>
    <t>25045-J1F-J103-T3C5-002</t>
  </si>
  <si>
    <t>25045-J1F-J103-T3C5-003</t>
  </si>
  <si>
    <t>25045-J1F-J103-T3C5-004</t>
  </si>
  <si>
    <t>25045-J1F-J103-T3C5-005</t>
  </si>
  <si>
    <t>25045-J1F-J103-T5C2-002</t>
  </si>
  <si>
    <t>25045-J1F-J103-T5C2-003</t>
  </si>
  <si>
    <t>25045-J1F-J103-T5C2A-001</t>
  </si>
  <si>
    <t>25045-J1F-J103-T6C1-002</t>
  </si>
  <si>
    <t>25045-J1F-J103-T7C2-001</t>
  </si>
  <si>
    <t>25045-J1F-J104-T1C1-001</t>
  </si>
  <si>
    <t>25045-J1F-J104-T1C1-002</t>
  </si>
  <si>
    <t>25045-J1F-J104-T1C1-003</t>
  </si>
  <si>
    <t>25045-J1F-J104-T2C1-001</t>
  </si>
  <si>
    <t>25045-J1F-J104-T3C4-001</t>
  </si>
  <si>
    <t>25045-J1F-J104-T3C4-002</t>
  </si>
  <si>
    <t>25045-J1F-J104-T3C4-003</t>
  </si>
  <si>
    <t>25045-J1F-J104-T3C4-004</t>
  </si>
  <si>
    <t>25045-J1F-J104-T3C4-005</t>
  </si>
  <si>
    <t>25045-J1F-J104-T3C5-001</t>
  </si>
  <si>
    <t>25045-J1F-J104-T3C5-002</t>
  </si>
  <si>
    <t>25045-J1F-J104-T3C5-003</t>
  </si>
  <si>
    <t>25045-J1F-J104-T3C5-004</t>
  </si>
  <si>
    <t>25045-J1F-J104-T3C5-005</t>
  </si>
  <si>
    <t>25045-J1F-J104-T5C2A-001</t>
  </si>
  <si>
    <t>25045-J1F-J104-T7C2-001</t>
  </si>
  <si>
    <t>25045-J1F-J105-T1C1-001</t>
  </si>
  <si>
    <t>25045-J1F-J105-T1C1-002</t>
  </si>
  <si>
    <t>25045-J1F-J105-T2C1-001</t>
  </si>
  <si>
    <t>25045-J1F-J105-T3C4-001</t>
  </si>
  <si>
    <t>25045-J1F-J105-T3C4-002</t>
  </si>
  <si>
    <t>25045-J1F-J105-T3C4-003</t>
  </si>
  <si>
    <t>25045-J1F-J105-T3C4-004</t>
  </si>
  <si>
    <t>25045-J1F-J105-T3C4-005</t>
  </si>
  <si>
    <t>25045-J1F-J105-T3C4-006</t>
  </si>
  <si>
    <t>25045-J1F-J105-T3C4-007</t>
  </si>
  <si>
    <t>25045-J1F-J105-T3C4-008</t>
  </si>
  <si>
    <t>25045-J1F-J105-T3C4-009</t>
  </si>
  <si>
    <t>25045-J1F-J105-T3C4-010</t>
  </si>
  <si>
    <t>25045-J1F-J105-T5C1A-001</t>
  </si>
  <si>
    <t>25045-J1F-J105-T6C1-001</t>
  </si>
  <si>
    <t>25045-J1F-J105-T7C1-001</t>
  </si>
  <si>
    <t>25045-J1F-J106-T1C1-001</t>
  </si>
  <si>
    <t>25045-J1F-J106-T1C1-002</t>
  </si>
  <si>
    <t>25045-J1F-J106-T2C1-001</t>
  </si>
  <si>
    <t>25045-J1F-J106-T3C4-001</t>
  </si>
  <si>
    <t>25045-J1F-J106-T3C4-002</t>
  </si>
  <si>
    <t>25045-J1F-J106-T3C4-003</t>
  </si>
  <si>
    <t>25045-J1F-J106-T3C4-004</t>
  </si>
  <si>
    <t>25045-J1F-J106-T3C4-005</t>
  </si>
  <si>
    <t>25045-J1F-J106-T3C4-006</t>
  </si>
  <si>
    <t>25045-J1F-J106-T3C4-007</t>
  </si>
  <si>
    <t>25045-J1F-J106-T3C4-008</t>
  </si>
  <si>
    <t>25045-J1F-J106-T3C4-009</t>
  </si>
  <si>
    <t>25045-J1F-J106-T3C4-010</t>
  </si>
  <si>
    <t>25045-J1F-J106-T5C1A-001</t>
  </si>
  <si>
    <t>25045-J1F-J106-T6C1-001</t>
  </si>
  <si>
    <t>25045-J1F-J106-T7C1-001</t>
  </si>
  <si>
    <t>25045-J1F-J107-T1C1-001</t>
  </si>
  <si>
    <t>25045-J1F-J107-T1C1-002</t>
  </si>
  <si>
    <t>25045-J1F-J107-T1C1-003</t>
  </si>
  <si>
    <t>25045-J1F-J107-T2C1-001</t>
  </si>
  <si>
    <t>25045-J1F-J107-T2C1-002</t>
  </si>
  <si>
    <t>25045-J1F-J107-T2C1-003</t>
  </si>
  <si>
    <t>25045-J1F-J107-T2C1-004</t>
  </si>
  <si>
    <t>25045-J1F-J107-T2C5-001</t>
  </si>
  <si>
    <t>25045-J1F-J107-T2C5-002</t>
  </si>
  <si>
    <t>25045-J1F-J107-T2C9-001</t>
  </si>
  <si>
    <t>25045-J1F-J107-T3C4-001</t>
  </si>
  <si>
    <t>25045-J1F-J107-T3C4-002</t>
  </si>
  <si>
    <t>25045-J1F-J107-T3C4-003</t>
  </si>
  <si>
    <t>25045-J1F-J107-T3C4-004</t>
  </si>
  <si>
    <t>25045-J1F-J107-T3C4-005</t>
  </si>
  <si>
    <t>25045-J1F-J107-T5C1A-001</t>
  </si>
  <si>
    <t>25045-J1F-J107-T7C1-001</t>
  </si>
  <si>
    <t>25045-J1F-J108-T1C1-001</t>
  </si>
  <si>
    <t>25045-J1F-J108-T1C1-002</t>
  </si>
  <si>
    <t>25045-J1F-J108-T1C1-003</t>
  </si>
  <si>
    <t>25045-J1F-J108-T2C1-001</t>
  </si>
  <si>
    <t>25045-J1F-J108-T2C1-002</t>
  </si>
  <si>
    <t>25045-J1F-J108-T2C1-003</t>
  </si>
  <si>
    <t>25045-J1F-J108-T2C1-004</t>
  </si>
  <si>
    <t>25045-J1F-J108-T2C5-001</t>
  </si>
  <si>
    <t>25045-J1F-J108-T2C5-002</t>
  </si>
  <si>
    <t>25045-J1F-J108-T2C9-001</t>
  </si>
  <si>
    <t>25045-J1F-J108-T3C5-001</t>
  </si>
  <si>
    <t>25045-J1F-J108-T3C5-002</t>
  </si>
  <si>
    <t>25045-J1F-J108-T3C5-003</t>
  </si>
  <si>
    <t>25045-J1F-J108-T3C5-004</t>
  </si>
  <si>
    <t>25045-J1F-J108-T3C5-005</t>
  </si>
  <si>
    <t>25045-J1F-J108-T5C2A-001</t>
  </si>
  <si>
    <t>25045-J1F-J108-T7C2-001</t>
  </si>
  <si>
    <t>25045-J1F-J109-T6C1-001</t>
  </si>
  <si>
    <t>25045-J1F-J109-T1C1-001</t>
  </si>
  <si>
    <t>25045-J1F-J109-T1C1-002</t>
  </si>
  <si>
    <t>25045-J1F-J109-T1C1-003</t>
  </si>
  <si>
    <t>25045-J1F-J109-T2C1-001</t>
  </si>
  <si>
    <t>25045-J1F-J109-T2C1-002</t>
  </si>
  <si>
    <t>25045-J1F-J109-T2C5-001</t>
  </si>
  <si>
    <t>25045-J1F-J109-T2C5-002</t>
  </si>
  <si>
    <t>25045-J1F-J109-T2C5-003</t>
  </si>
  <si>
    <t>25045-J1F-J109-T2C9-001</t>
  </si>
  <si>
    <t>25045-J1F-J109-T2C9-002</t>
  </si>
  <si>
    <t>25045-J1F-J109-T3C5-001</t>
  </si>
  <si>
    <t>25045-J1F-J109-T3C5-002</t>
  </si>
  <si>
    <t>25045-J1F-J109-T3C5-003</t>
  </si>
  <si>
    <t>25045-J1F-J109-T3C5-004</t>
  </si>
  <si>
    <t>25045-J1F-J109-T3C5-005</t>
  </si>
  <si>
    <t>25045-J1F-J109-T5AC4-001</t>
  </si>
  <si>
    <t>25045-J1F-J109-T5C2A-001</t>
  </si>
  <si>
    <t>25045-J1F-J109-T7C2-001</t>
  </si>
  <si>
    <t>25045-J2A-J001-T1C1-003</t>
  </si>
  <si>
    <t>25045-J2A-J001-T1C1-004</t>
  </si>
  <si>
    <t>25045-J2A-J001-T1C2-001</t>
  </si>
  <si>
    <t>25045-J2A-J001-T1C3-001</t>
  </si>
  <si>
    <t>25045-J2A-J001-T2C1-001</t>
  </si>
  <si>
    <t>25045-J2A-J001-T2C6-001</t>
  </si>
  <si>
    <t>25045-J2A-J001-T2C6-002</t>
  </si>
  <si>
    <t>25045-J2A-J001-T2C7-001</t>
  </si>
  <si>
    <t>25045-J2A-J001-T2C10-001</t>
  </si>
  <si>
    <t>25045-J2A-J001-T2C11-001</t>
  </si>
  <si>
    <t>25045-J2A-J001-T3C4-001</t>
  </si>
  <si>
    <t>25045-J2A-J001-T3C4-004</t>
  </si>
  <si>
    <t>25045-J2A-J001-T3C4-003</t>
  </si>
  <si>
    <t>25045-J2A-J001-T3C4-002</t>
  </si>
  <si>
    <t>25045-J2A-J001-T5AC1-001</t>
  </si>
  <si>
    <t>25045-J2A-J001-T5AC1-002</t>
  </si>
  <si>
    <t>25045-J2A-J001-T5C1A-001</t>
  </si>
  <si>
    <t>25045-J2A-J001-T6C1-001</t>
  </si>
  <si>
    <t>25045-J2A-J001-T7C1-001</t>
  </si>
  <si>
    <t>25045-J2A-J001-T3C4-005</t>
  </si>
  <si>
    <t>25045-J2A-J002-T1C1-001</t>
  </si>
  <si>
    <t>25045-J2A-J002-T1C1-002</t>
  </si>
  <si>
    <t>25045-J2A-J002-T2C1-001</t>
  </si>
  <si>
    <t>25045-J2A-J002-T3C1-001</t>
  </si>
  <si>
    <t>25045-J2A-J002-T3C4-003</t>
  </si>
  <si>
    <t>25045-J2A-J002-T3C4-002</t>
  </si>
  <si>
    <t>25045-J2A-J002-T3C4-001</t>
  </si>
  <si>
    <t>25045-J2A-J002-T3C4-004</t>
  </si>
  <si>
    <t>25045-J2A-J002-T3C4-005</t>
  </si>
  <si>
    <t>25045-J2A-J002-T3C4-006</t>
  </si>
  <si>
    <t>25045-J2A-J002-T3C4-007</t>
  </si>
  <si>
    <t>25045-J2A-J002-T3C4-008</t>
  </si>
  <si>
    <t>25045-J2A-J002-T3C4-009</t>
  </si>
  <si>
    <t>25045-J2A-J002-T5AC4-001</t>
  </si>
  <si>
    <t>25045-J2A-J002-T5C1A-001</t>
  </si>
  <si>
    <t>25045-J2A-J002-T7C1-001</t>
  </si>
  <si>
    <t>25045-J2A-J003-T1C1-001</t>
  </si>
  <si>
    <t>25045-J2A-J003-T1C1-002</t>
  </si>
  <si>
    <t>25045-J2A-J003-T5AC4-001</t>
  </si>
  <si>
    <t>25045-J2A-J003-T2C1-001</t>
  </si>
  <si>
    <t>25045-J2A-J003-T3C1-001</t>
  </si>
  <si>
    <t>25045-J2A-J003-T3C4-003</t>
  </si>
  <si>
    <t>25045-J2A-J003-T3C4-002</t>
  </si>
  <si>
    <t>25045-J2A-J003-T3C4-001</t>
  </si>
  <si>
    <t>25045-J2A-J003-T3C4-004</t>
  </si>
  <si>
    <t>25045-J2A-J003-T3C4-005</t>
  </si>
  <si>
    <t>25045-J2A-J003-T3C4-008</t>
  </si>
  <si>
    <t>25045-J2A-J003-T3C4-007</t>
  </si>
  <si>
    <t>25045-J2A-J003-T3C4-006</t>
  </si>
  <si>
    <t>25045-J2A-J003-T3C4-009</t>
  </si>
  <si>
    <t>25045-J2A-J003-T5C1A-001</t>
  </si>
  <si>
    <t>25045-J2A-J003-T7C1-001</t>
  </si>
  <si>
    <t>25045-J2A-J004-T1C1-001</t>
  </si>
  <si>
    <t>25045-J2A-J004-T1C1-002</t>
  </si>
  <si>
    <t>25045-J2A-J004-T5AC4-001</t>
  </si>
  <si>
    <t>25045-J2A-J004-T2C1-001</t>
  </si>
  <si>
    <t>25045-J2A-J004-T3C1-001</t>
  </si>
  <si>
    <t>25045-J2A-J004-T3C4-003</t>
  </si>
  <si>
    <t>25045-J2A-J004-T3C4-002</t>
  </si>
  <si>
    <t>25045-J2A-J004-T3C4-001</t>
  </si>
  <si>
    <t>25045-J2A-J004-T3C4-004</t>
  </si>
  <si>
    <t>25045-J2A-J004-T3C4-005</t>
  </si>
  <si>
    <t>25045-J2A-J004-T3C4-008</t>
  </si>
  <si>
    <t>25045-J2A-J004-T3C4-007</t>
  </si>
  <si>
    <t>25045-J2A-J004-T3C4-006</t>
  </si>
  <si>
    <t>25045-J2A-J004-T3C4-009</t>
  </si>
  <si>
    <t>25045-J2A-J004-T5C1A-001</t>
  </si>
  <si>
    <t>25045-J2A-J004-T7C1-001</t>
  </si>
  <si>
    <t>25045-J2A-J005-T3C4-001</t>
  </si>
  <si>
    <t>25045-J2A-J005-T3C4-004</t>
  </si>
  <si>
    <t>25045-J2A-J005-T3C4-003</t>
  </si>
  <si>
    <t>25045-J2A-J005-T3C4-002</t>
  </si>
  <si>
    <t>25045-J2A-J005-T3C4-005</t>
  </si>
  <si>
    <t>25045-J2A-J005-T5C1A-001</t>
  </si>
  <si>
    <t>25045-J2A-J005-T7C1-001</t>
  </si>
  <si>
    <t>25045-J2A-J005-T1C1-001</t>
  </si>
  <si>
    <t>25045-J2A-J005-T1C1-002</t>
  </si>
  <si>
    <t>25045-J2A-J005-T1C2-001</t>
  </si>
  <si>
    <t>25045-J2A-J005-T2C1-001</t>
  </si>
  <si>
    <t>25045-J2A-J005-T2C2-001</t>
  </si>
  <si>
    <t>25045-J2A-J005-T2C2-002</t>
  </si>
  <si>
    <t>25045-J2A-J005-T2C2-003</t>
  </si>
  <si>
    <t>25045-J2A-J005-T2C6-001</t>
  </si>
  <si>
    <t>25045-J2A-J005-T2C6-002</t>
  </si>
  <si>
    <t>25045-J2A-J005-T2C10-001</t>
  </si>
  <si>
    <t>25045-J2A-J021-T2C1-001</t>
  </si>
  <si>
    <t>25045-J2A-J021-T3C4-001</t>
  </si>
  <si>
    <t>25045-J2A-J021-T3C4-004</t>
  </si>
  <si>
    <t>25045-J2A-J021-T3C4-003</t>
  </si>
  <si>
    <t>25045-J2A-J021-T3C4-002</t>
  </si>
  <si>
    <t>25045-J2A-J021-T3C4-005</t>
  </si>
  <si>
    <t>25045-J2A-J021-T5C1A-001</t>
  </si>
  <si>
    <t>25045-J2A-J021-T7C1-001</t>
  </si>
  <si>
    <t>25045-J2A-J021-T1C1-001</t>
  </si>
  <si>
    <t>25045-J2A-J021-T1C1-002</t>
  </si>
  <si>
    <t>25045-J2A-J021-T1C1-003</t>
  </si>
  <si>
    <t>25045-J2A-J021-T2C1-002</t>
  </si>
  <si>
    <t>25045-J2A-J021-T2C1-003</t>
  </si>
  <si>
    <t>25045-J2A-J021-T2C1-004</t>
  </si>
  <si>
    <t>25045-J2A-J021-T2C5-001</t>
  </si>
  <si>
    <t>25045-J2A-J021-T2C5-002</t>
  </si>
  <si>
    <t>25045-J2A-J021-T2C9-001</t>
  </si>
  <si>
    <t>25045-J2A-J022-T2C1-001</t>
  </si>
  <si>
    <t>25045-J2A-J022-T1C1-001</t>
  </si>
  <si>
    <t>25045-J2A-J022-T1C1-002</t>
  </si>
  <si>
    <t>25045-J2A-J022-T3C4-001</t>
  </si>
  <si>
    <t>25045-J2A-J022-T3C4-004</t>
  </si>
  <si>
    <t>25045-J2A-J022-T3C4-003</t>
  </si>
  <si>
    <t>25045-J2A-J022-T3C4-002</t>
  </si>
  <si>
    <t>25045-J2A-J022-T3C5-001</t>
  </si>
  <si>
    <t>25045-J2A-J022-T3C5-04</t>
  </si>
  <si>
    <t>25045-J2A-J022-T3C5-03</t>
  </si>
  <si>
    <t>25045-J2A-J022-T3C5-02</t>
  </si>
  <si>
    <t>25045-J2A-J022-T5C2A-001</t>
  </si>
  <si>
    <t>25045-J2A-J022-T7C2-001</t>
  </si>
  <si>
    <t>25045-J2A-J022-T6C1-001</t>
  </si>
  <si>
    <t>25045-J2A-J022-T3C4-005</t>
  </si>
  <si>
    <t>25045-J2A-J022-T3C5-05</t>
  </si>
  <si>
    <t>25045-J2A-J023-T2C1-001</t>
  </si>
  <si>
    <t>25045-J2A-J023-T1C1-002</t>
  </si>
  <si>
    <t>25045-J2A-J023-T1C1-001</t>
  </si>
  <si>
    <t>25045-J2A-J023-T3C4-01</t>
  </si>
  <si>
    <t>25045-J2A-J023-T3C4-05</t>
  </si>
  <si>
    <t>25045-J2A-J023-T3C5-01</t>
  </si>
  <si>
    <t>25045-J2A-J023-T3C5-04</t>
  </si>
  <si>
    <t>25045-J2A-J023-T3C5-03</t>
  </si>
  <si>
    <t>25045-J2A-J023-T3C5-02</t>
  </si>
  <si>
    <t>25045-J2A-J023-T3C5-05</t>
  </si>
  <si>
    <t>25045-J2A-J023-T5C1A-001</t>
  </si>
  <si>
    <t>25045-J2A-J023-T6C1-001</t>
  </si>
  <si>
    <t>25045-J2A-J023-T7C1-001</t>
  </si>
  <si>
    <t>25045-J2A-J023-T3C4-04</t>
  </si>
  <si>
    <t>25045-J2A-J023-T3C4-03</t>
  </si>
  <si>
    <t>25045-J2A-J023-T3C4-02</t>
  </si>
  <si>
    <t>25045-J2A-J024-T2C1-001</t>
  </si>
  <si>
    <t>25045-J2A-J024-T1C1-002</t>
  </si>
  <si>
    <t>25045-J2A-J024-T1C1-001</t>
  </si>
  <si>
    <t>25045-J2A-J024-T3C4-001</t>
  </si>
  <si>
    <t>25045-J2A-J024-T3C4-004</t>
  </si>
  <si>
    <t>25045-J2A-J024-T3C4-003</t>
  </si>
  <si>
    <t>25045-J2A-J024-T3C4-002</t>
  </si>
  <si>
    <t>25045-J2A-J024-T3C4-005</t>
  </si>
  <si>
    <t>25045-J2A-J024-T3C4-006</t>
  </si>
  <si>
    <t>25045-J2A-J024-T3C4-007</t>
  </si>
  <si>
    <t>25045-J2A-J024-T3C4-008</t>
  </si>
  <si>
    <t>25045-J2A-J024-T3C4-009</t>
  </si>
  <si>
    <t>25045-J2A-J024-T3C4-010</t>
  </si>
  <si>
    <t>25045-J2A-J024-T5AC4-001</t>
  </si>
  <si>
    <t>25045-J2A-J024-T5C1A-001</t>
  </si>
  <si>
    <t>25045-J2A-J024-T7C1-001</t>
  </si>
  <si>
    <t>25045-J2A-J025-T2C1-001</t>
  </si>
  <si>
    <t>25045-J2A-J025-T1C1-001</t>
  </si>
  <si>
    <t>25045-J2A-J025-T1C1-002</t>
  </si>
  <si>
    <t>25045-J2A-J025-T3C1-001</t>
  </si>
  <si>
    <t>25045-J2A-J025-T3C4-001</t>
  </si>
  <si>
    <t>25045-J2A-J025-T3C4-002</t>
  </si>
  <si>
    <t>25045-J2A-J025-T3C4-003</t>
  </si>
  <si>
    <t>25045-J2A-J025-T3C4-004</t>
  </si>
  <si>
    <t>25045-J2A-J025-T3C5-001</t>
  </si>
  <si>
    <t>25045-J2A-J025-T3C5-002</t>
  </si>
  <si>
    <t>25045-J2A-J025-T3C5-003</t>
  </si>
  <si>
    <t>25045-J2A-J025-T3C5-004</t>
  </si>
  <si>
    <t>25045-J2A-J025-T3C5-005</t>
  </si>
  <si>
    <t>25045-J2A-J025-T5AC4-001</t>
  </si>
  <si>
    <t>25045-J2A-J025-T5C2A-001</t>
  </si>
  <si>
    <t>25045-J2A-J025-T7C2-001</t>
  </si>
  <si>
    <t>25045-J2A-J026-T2C1-001</t>
  </si>
  <si>
    <t>25045-J2A-J026-T1C1-002</t>
  </si>
  <si>
    <t>25045-J2A-J026-T1C1-001</t>
  </si>
  <si>
    <t>25045-J2A-J026-T3C2-001</t>
  </si>
  <si>
    <t>25045-J2A-J026-T3C5-001</t>
  </si>
  <si>
    <t>25045-J2A-J026-T3C5-005</t>
  </si>
  <si>
    <t>25045-J2A-J026-T3C5-006</t>
  </si>
  <si>
    <t>25045-J2A-J026-T3C5-007</t>
  </si>
  <si>
    <t>25045-J2A-J026-T3C5-008</t>
  </si>
  <si>
    <t>25045-J2A-J026-T3C5-009</t>
  </si>
  <si>
    <t>25045-J2A-J026-T5AC4-001</t>
  </si>
  <si>
    <t>25045-J2A-J026-T5C2A-001</t>
  </si>
  <si>
    <t>25045-J2A-J026-T7C2-001</t>
  </si>
  <si>
    <t>25045-J2A-J026-T3C5-002</t>
  </si>
  <si>
    <t>25045-J2A-J026-T3C5-003</t>
  </si>
  <si>
    <t>25045-J2A-J026-T3C5-004</t>
  </si>
  <si>
    <t>25045-J2A-J027-T1C1-002</t>
  </si>
  <si>
    <t>25045-J2A-J027-T1C1-003</t>
  </si>
  <si>
    <t>25045-J2A-J027-T2C1-002</t>
  </si>
  <si>
    <t>25045-J2A-J027-T2C1-003</t>
  </si>
  <si>
    <t>25045-J2A-J027-T2C1-004</t>
  </si>
  <si>
    <t>25045-J2A-J027-T2C5-001</t>
  </si>
  <si>
    <t>25045-J2A-J027-T2C5-002</t>
  </si>
  <si>
    <t>25045-J2A-J027-T2C9-001</t>
  </si>
  <si>
    <t>25045-J2A-J027-T3C5-001</t>
  </si>
  <si>
    <t>25045-J2A-J027-T3C5-002</t>
  </si>
  <si>
    <t>25045-J2A-J027-T3C5-003</t>
  </si>
  <si>
    <t>25045-J2A-J027-T3C5-004</t>
  </si>
  <si>
    <t>25045-J2A-J027-T3C5-005</t>
  </si>
  <si>
    <t>25045-J2A-J027-T5C2A-001</t>
  </si>
  <si>
    <t>25045-J2A-J027-T7C2-001</t>
  </si>
  <si>
    <t>25045-J2A-J027-T1C1-001</t>
  </si>
  <si>
    <t>25045-J2A-J027-T2C10-001</t>
  </si>
  <si>
    <t>25045-J2B-J077-T4C1-001</t>
  </si>
  <si>
    <t>25045-J2B-J077-T1C1-001</t>
  </si>
  <si>
    <t>25045-J2B-J077-T1C1-002</t>
  </si>
  <si>
    <t>25045-J2B-J077-T1C1-003</t>
  </si>
  <si>
    <t>25045-J2B-J077-T1C1-004</t>
  </si>
  <si>
    <t>25045-J2B-J077-T1C1-005</t>
  </si>
  <si>
    <t>25045-J2B-J077-T1C1-006</t>
  </si>
  <si>
    <t>25045-J2B-J077-T1C1-007</t>
  </si>
  <si>
    <t>25045-J2B-J077-T1C1-008</t>
  </si>
  <si>
    <t>25045-J2B-J077-T2C1-001</t>
  </si>
  <si>
    <t>25045-J2B-J077-T2C1-002</t>
  </si>
  <si>
    <t>25045-J2B-J077-T2C5-001</t>
  </si>
  <si>
    <t>25045-J2B-J077-T2C9-001</t>
  </si>
  <si>
    <t>25045-J2B-J077-T2C9-002</t>
  </si>
  <si>
    <t>25045-J2B-J077-T2C9-003</t>
  </si>
  <si>
    <t>25045-J2B-J077-T3C4-001</t>
  </si>
  <si>
    <t>25045-J2B-J077-T3C4-002</t>
  </si>
  <si>
    <t>25045-J2B-J077-T3C4-003</t>
  </si>
  <si>
    <t>25045-J2B-J077-T3C4-004</t>
  </si>
  <si>
    <t>25045-J2B-J077-T3C4-005</t>
  </si>
  <si>
    <t>25045-J2B-J077-T3C4-006</t>
  </si>
  <si>
    <t>25045-J2B-J077-T3C4-007</t>
  </si>
  <si>
    <t>25045-J2B-J077-T5AC1-001</t>
  </si>
  <si>
    <t>25045-J2B-J077-T5C1-001</t>
  </si>
  <si>
    <t>25045-J2B-J077-T6C1-001</t>
  </si>
  <si>
    <t>25045-J2B-J077-T6C1-002</t>
  </si>
  <si>
    <t>25045-J2B-J077-T7C1-001</t>
  </si>
  <si>
    <t>25045-J2B-J078-T3C4-006</t>
  </si>
  <si>
    <t>25045-J2B-J078-T3C4-002</t>
  </si>
  <si>
    <t>25045-J2B-J078-T3C4-003</t>
  </si>
  <si>
    <t>25045-J2B-J078-T3C4-004</t>
  </si>
  <si>
    <t>25045-J2B-J078-T3C4-005</t>
  </si>
  <si>
    <t>25045-J2B-J078-T1C1-001</t>
  </si>
  <si>
    <t>25045-J2B-J078-T1C1-002</t>
  </si>
  <si>
    <t>25045-J2B-J078-T1C1-003</t>
  </si>
  <si>
    <t>25045-J2B-J078-T1C1-004</t>
  </si>
  <si>
    <t>25045-J2B-J078-T1C1-005</t>
  </si>
  <si>
    <t>25045-J2B-J078-T1C1-006</t>
  </si>
  <si>
    <t>25045-J2B-J078-T1C1-007</t>
  </si>
  <si>
    <t>25045-J2B-J078-T1C1-008</t>
  </si>
  <si>
    <t>25045-J2B-J078-T1C1-009</t>
  </si>
  <si>
    <t>25045-J2B-J078-T1C1-010</t>
  </si>
  <si>
    <t>25045-J2B-J078-T1C1-011</t>
  </si>
  <si>
    <t>25045-J2B-J078-T1C1-012</t>
  </si>
  <si>
    <t>25045-J2B-J078-T2C1-001</t>
  </si>
  <si>
    <t>25045-J2B-J078-T3C1-001</t>
  </si>
  <si>
    <t>25045-J2B-J078-T3C1-002</t>
  </si>
  <si>
    <t>25045-J2B-J078-T3C1-003</t>
  </si>
  <si>
    <t>25045-J2B-J078-T3C1-004</t>
  </si>
  <si>
    <t>25045-J2B-J078-T3C4-001</t>
  </si>
  <si>
    <t>25045-J2B-J078-T3C4-007</t>
  </si>
  <si>
    <t>25045-J2B-J078-T3C4-008</t>
  </si>
  <si>
    <t>25045-J2B-J078-T4C3-001</t>
  </si>
  <si>
    <t>25045-J2B-J078-T5C1-001</t>
  </si>
  <si>
    <t>25045-J2B-J078-T5C1A-001</t>
  </si>
  <si>
    <t>25045-J2B-J078-T6C1-001</t>
  </si>
  <si>
    <t>25045-J2B-J078-T6C1-002</t>
  </si>
  <si>
    <t>25045-J2B-J078-T7C1-001</t>
  </si>
  <si>
    <t>25045-J2B-J079-T1C1-003</t>
  </si>
  <si>
    <t>25045-J2B-J079-T1C1-004</t>
  </si>
  <si>
    <t>25045-J2B-J079-T1C2-001</t>
  </si>
  <si>
    <t>25045-J2B-J079-T1C2-002</t>
  </si>
  <si>
    <t>25045-J2B-J079-T2C10-001</t>
  </si>
  <si>
    <t>25045-J2B-J079-T2C10-002</t>
  </si>
  <si>
    <t>25045-J2B-J079-T2C10-003</t>
  </si>
  <si>
    <t>25045-J2B-J079-T2C1-001</t>
  </si>
  <si>
    <t>25045-J2B-J079-T2C5-001</t>
  </si>
  <si>
    <t>25045-J2B-J079-T2C5-002</t>
  </si>
  <si>
    <t>25045-J2B-J079-T3C1-001</t>
  </si>
  <si>
    <t>25045-J2B-J079-T3C1-002</t>
  </si>
  <si>
    <t>25045-J2B-J079-T3C1-003</t>
  </si>
  <si>
    <t>25045-J2B-J079-T3C1-004</t>
  </si>
  <si>
    <t>25045-J2B-J079-T3C4-005</t>
  </si>
  <si>
    <t>25045-J2B-J079-T4C1-001</t>
  </si>
  <si>
    <t>25045-J2B-J079-T5AC1-001</t>
  </si>
  <si>
    <t>25045-J2B-J079-T5AC1-002</t>
  </si>
  <si>
    <t>25045-J2B-J079-T5C1A-001</t>
  </si>
  <si>
    <t>25045-J2B-J079-T6C1-001</t>
  </si>
  <si>
    <t>25045-J2B-J079-T6C1-002</t>
  </si>
  <si>
    <t>25045-J2B-J079-T7C1-001</t>
  </si>
  <si>
    <t>25045-J2B-J080-T6C1-001</t>
  </si>
  <si>
    <t>25045-J2B-J080-T1C1-001</t>
  </si>
  <si>
    <t>25045-J2B-J080-T1C1-002</t>
  </si>
  <si>
    <t>25045-J2B-J080-T1C1-003</t>
  </si>
  <si>
    <t>25045-J2B-J080-T1C1-004</t>
  </si>
  <si>
    <t>25045-J2B-J080-T1C1-005</t>
  </si>
  <si>
    <t>25045-J2B-J080-T1C1-006</t>
  </si>
  <si>
    <t>25045-J2B-J080-T1C1-007</t>
  </si>
  <si>
    <t>25045-J2B-J080-T1C2-001</t>
  </si>
  <si>
    <t>25045-J2B-J080-T1C2-002</t>
  </si>
  <si>
    <t>25045-J2B-J080-T1C2-003</t>
  </si>
  <si>
    <t>25045-J2B-J080-T1C2-004</t>
  </si>
  <si>
    <t>25045-J2B-J080-T1C2-005</t>
  </si>
  <si>
    <t>25045-J2B-J080-T2C10-001</t>
  </si>
  <si>
    <t>25045-J2B-J080-T2C10-002</t>
  </si>
  <si>
    <t>25045-J2B-J080-T2C1-001</t>
  </si>
  <si>
    <t>25045-J2B-J080-T2C6-001</t>
  </si>
  <si>
    <t>25045-J2B-J080-T2C6-002</t>
  </si>
  <si>
    <t>25045-J2B-J080-T3C1-001</t>
  </si>
  <si>
    <t>25045-J2B-J080-T3C1-002</t>
  </si>
  <si>
    <t>25045-J2B-J080-T3C1-003</t>
  </si>
  <si>
    <t>25045-J2B-J080-T3C1-004</t>
  </si>
  <si>
    <t>25045-J2B-J080-T3C4-001</t>
  </si>
  <si>
    <t>25045-J2B-J080-T4C3-001</t>
  </si>
  <si>
    <t>25045-J2B-J080-T5AC4-001</t>
  </si>
  <si>
    <t>25045-J2B-J080-T5AC4-002</t>
  </si>
  <si>
    <t>25045-J2B-J080-T5C1A-001</t>
  </si>
  <si>
    <t>25045-J2B-J080-T7C1-001</t>
  </si>
  <si>
    <t>25045-J2B-J081-T6C1-002</t>
  </si>
  <si>
    <t>25045-J2B-J081-T6C1-001</t>
  </si>
  <si>
    <t>25045-J2B-J081-T1C1-001</t>
  </si>
  <si>
    <t>25045-J2B-J081-T1C1-002</t>
  </si>
  <si>
    <t>25045-J2B-J081-T1C1-003</t>
  </si>
  <si>
    <t>25045-J2B-J081-T1C1-004</t>
  </si>
  <si>
    <t>25045-J2B-J081-T1C1-005</t>
  </si>
  <si>
    <t>25045-J2B-J081-T1C1-006</t>
  </si>
  <si>
    <t>25045-J2B-J081-T1C1-007</t>
  </si>
  <si>
    <t>25045-J2B-J081-T2C1-001</t>
  </si>
  <si>
    <t>25045-J2B-J081-T3C3-001</t>
  </si>
  <si>
    <t>25045-J2B-J081-T3C3-002</t>
  </si>
  <si>
    <t>25045-J2B-J081-T3C3-003</t>
  </si>
  <si>
    <t>25045-J2B-J081-T3C3-004</t>
  </si>
  <si>
    <t>25045-J2B-J081-T3C4-001</t>
  </si>
  <si>
    <t>25045-J2B-J081-T3C4-002</t>
  </si>
  <si>
    <t>25045-J2B-J081-T3C4-003</t>
  </si>
  <si>
    <t>25045-J2B-J081-T3C4-004</t>
  </si>
  <si>
    <t>25045-J2B-J081-T3C4-005</t>
  </si>
  <si>
    <t>25045-J2B-J081-T3C4-006</t>
  </si>
  <si>
    <t>25045-J2B-J081-T3C6-001</t>
  </si>
  <si>
    <t>25045-J2B-J081-T4C2-001</t>
  </si>
  <si>
    <t>25045-J2B-J081-T5C1A-001</t>
  </si>
  <si>
    <t>25045-J2B-J081-T5C3A-001</t>
  </si>
  <si>
    <t>25045-J2B-J081-T7C1-001</t>
  </si>
  <si>
    <t>25045-J2B-J081-T7C1-002</t>
  </si>
  <si>
    <t>25045-J2B-J082-T6C1-001</t>
  </si>
  <si>
    <t>25045-J2B-J082-T1C1-001</t>
  </si>
  <si>
    <t>25045-J2B-J082-T1C1-002</t>
  </si>
  <si>
    <t>25045-J2B-J082-T1C1-003</t>
  </si>
  <si>
    <t>25045-J2B-J082-T1C1-004</t>
  </si>
  <si>
    <t>25045-J2B-J082-T2C1-001</t>
  </si>
  <si>
    <t>25045-J2B-J082-T2C3-001</t>
  </si>
  <si>
    <t>25045-J2B-J082-T3C3-001</t>
  </si>
  <si>
    <t>25045-J2B-J082-T3C3-002</t>
  </si>
  <si>
    <t>25045-J2B-J082-T3C3-003</t>
  </si>
  <si>
    <t>25045-J2B-J082-T3C3-004</t>
  </si>
  <si>
    <t>25045-J2B-J082-T3C5-001</t>
  </si>
  <si>
    <t>25045-J2B-J082-T3C5-002</t>
  </si>
  <si>
    <t>25045-J2B-J082-T3C5-003</t>
  </si>
  <si>
    <t>25045-J2B-J082-T3C5-004</t>
  </si>
  <si>
    <t>25045-J2B-J082-T3C5-005</t>
  </si>
  <si>
    <t>25045-J2B-J082-T3C5-006</t>
  </si>
  <si>
    <t>25045-J2B-J082-T3C6-001</t>
  </si>
  <si>
    <t>25045-J2B-J082-T4C2-001</t>
  </si>
  <si>
    <t>25045-J2B-J082-T5C2A-001</t>
  </si>
  <si>
    <t>25045-J2B-J082-T5C3A-001</t>
  </si>
  <si>
    <t>25045-J2B-J082-T7C1-001</t>
  </si>
  <si>
    <t>25045-J2B-J082-T7C1-002</t>
  </si>
  <si>
    <t>25045-J2B-J083-T1C1-001</t>
  </si>
  <si>
    <t>25045-J2B-J083-T1C1-002</t>
  </si>
  <si>
    <t>25045-J2B-J083-T1C1-003</t>
  </si>
  <si>
    <t>25045-J2B-J083-T1C1-004</t>
  </si>
  <si>
    <t>25045-J2B-J083-T2C1-001</t>
  </si>
  <si>
    <t>25045-J2B-J083-T2C1-002</t>
  </si>
  <si>
    <t>25045-J2B-J083-T2C1-003</t>
  </si>
  <si>
    <t>25045-J2B-J083-T2C5-001</t>
  </si>
  <si>
    <t>25045-J2B-J083-T2C5-002</t>
  </si>
  <si>
    <t>25045-J2B-J083-T2C5-003</t>
  </si>
  <si>
    <t>25045-J2B-J083-T2C9-001</t>
  </si>
  <si>
    <t>25045-J2B-J083-T3C2-001</t>
  </si>
  <si>
    <t>25045-J2B-J083-T3C2-002</t>
  </si>
  <si>
    <t>25045-J2B-J083-T3C2-003</t>
  </si>
  <si>
    <t>25045-J2B-J083-T3C2-004</t>
  </si>
  <si>
    <t>25045-J2B-J083-T3C5-001</t>
  </si>
  <si>
    <t>25045-J2B-J083-T4C4-001</t>
  </si>
  <si>
    <t>25045-J2B-J083-T5AC4-001</t>
  </si>
  <si>
    <t>25045-J2B-J083-T5C2A-001</t>
  </si>
  <si>
    <t>25045-J2B-J083-T6C1-001</t>
  </si>
  <si>
    <t>25045-J2B-J083-T7C1-001</t>
  </si>
  <si>
    <t>25045-J2B-J084-T1C1-001</t>
  </si>
  <si>
    <t>25045-J2B-J084-T1C1-002</t>
  </si>
  <si>
    <t>25045-J2B-J084-T1C1-003</t>
  </si>
  <si>
    <t>25045-J2B-J084-T2C1-001</t>
  </si>
  <si>
    <t>25045-J2B-J084-T2C1-002</t>
  </si>
  <si>
    <t>25045-J2B-J084-T2C1-003</t>
  </si>
  <si>
    <t>25045-J2B-J084-T2C5-001</t>
  </si>
  <si>
    <t>25045-J2B-J084-T2C5-002</t>
  </si>
  <si>
    <t>25045-J2B-J084-T2C5-003</t>
  </si>
  <si>
    <t>25045-J2B-J084-T2C9-001</t>
  </si>
  <si>
    <t>25045-J2B-J084-T3C5-001</t>
  </si>
  <si>
    <t>25045-J2B-J084-T3C5-002</t>
  </si>
  <si>
    <t>25045-J2B-J084-T3C5-003</t>
  </si>
  <si>
    <t>25045-J2B-J084-T3C5-004</t>
  </si>
  <si>
    <t>25045-J2B-J084-T3C5-005</t>
  </si>
  <si>
    <t>25045-J2B-J084-T5C2A-001</t>
  </si>
  <si>
    <t>25045-J2B-J084-T7C1-001</t>
  </si>
  <si>
    <t>25045-J2B-J085-T1C1-001</t>
  </si>
  <si>
    <t>25045-J2B-J085-T1C1-002</t>
  </si>
  <si>
    <t>25045-J2B-J085-T1C1-003</t>
  </si>
  <si>
    <t>25045-J2B-J085-T2C5-001</t>
  </si>
  <si>
    <t>25045-J2B-J085-T3C2-001</t>
  </si>
  <si>
    <t>25045-J2B-J085-T3C5-001</t>
  </si>
  <si>
    <t>25045-J2B-J085-T3C5-002</t>
  </si>
  <si>
    <t>25045-J2B-J085-T3C5-003</t>
  </si>
  <si>
    <t>25045-J2B-J085-T3C5-004</t>
  </si>
  <si>
    <t>25045-J2B-J085-T3C5-005</t>
  </si>
  <si>
    <t>25045-J2B-J085-T3C5-006</t>
  </si>
  <si>
    <t>25045-J2B-J085-T3C5-007</t>
  </si>
  <si>
    <t>25045-J2B-J085-T3C5-008</t>
  </si>
  <si>
    <t>25045-J2B-J085-T3C5-009</t>
  </si>
  <si>
    <t>25045-J2B-J085-T5C2A-001</t>
  </si>
  <si>
    <t>25045-J2B-J085-T7C1-001</t>
  </si>
  <si>
    <t>25045-J2B-J086-T1C1-001</t>
  </si>
  <si>
    <t>25045-J2B-J086-T1C1-002</t>
  </si>
  <si>
    <t>25045-J2B-J086-T1C2-001</t>
  </si>
  <si>
    <t>25045-J2B-J086-T2C10-001</t>
  </si>
  <si>
    <t>25045-J2B-J086-T2C10-002</t>
  </si>
  <si>
    <t>25045-J2B-J086-T2C2-001</t>
  </si>
  <si>
    <t>25045-J2B-J086-T2C5-001</t>
  </si>
  <si>
    <t>25045-J2B-J086-T2C5-002</t>
  </si>
  <si>
    <t>25045-J2B-J086-T2C5-003</t>
  </si>
  <si>
    <t>25045-J2B-J086-T3C5-001</t>
  </si>
  <si>
    <t>25045-J2B-J086-T3C5-002</t>
  </si>
  <si>
    <t>25045-J2B-J086-T3C5-003</t>
  </si>
  <si>
    <t>25045-J2B-J086-T3C5-004</t>
  </si>
  <si>
    <t>25045-J2B-J086-T3C5-005</t>
  </si>
  <si>
    <t>25045-J2B-J086-T5C2A-001</t>
  </si>
  <si>
    <t>25045-J2B-J086-T7C1-001</t>
  </si>
  <si>
    <t>25045-J2C-J070-T1C1-001</t>
  </si>
  <si>
    <t>25045-J2C-J070-T1C1-002</t>
  </si>
  <si>
    <t>25045-J2C-J070-T1C1-003</t>
  </si>
  <si>
    <t>25045-J2C-J070-T2C6-001</t>
  </si>
  <si>
    <t>25045-J2C-J070-T3C1-001</t>
  </si>
  <si>
    <t>25045-J2C-J070-T3C1-002</t>
  </si>
  <si>
    <t>25045-J2C-J070-T3C1-003</t>
  </si>
  <si>
    <t>25045-J2C-J070-T3C4-001</t>
  </si>
  <si>
    <t>25045-J2C-J070-T6C1-001</t>
  </si>
  <si>
    <t>25045-J2C-J070-T2C1-001</t>
  </si>
  <si>
    <t>25045-J2C-J070-T2C1-002</t>
  </si>
  <si>
    <t>25045-J2C-J070-T2C1-003</t>
  </si>
  <si>
    <t>25045-J2C-J070-T2C5-001</t>
  </si>
  <si>
    <t>25045-J2C-J070-T2C5-002</t>
  </si>
  <si>
    <t>25045-J2C-J070-T2C9-001</t>
  </si>
  <si>
    <t>25045-J2C-J070-T3C1-004</t>
  </si>
  <si>
    <t>25045-J2C-J070-T4C1-001</t>
  </si>
  <si>
    <t>25045-J2C-J070-T5AC4-001</t>
  </si>
  <si>
    <t>25045-J2C-J070-T5C1A-001</t>
  </si>
  <si>
    <t>25045-J2C-J070-T7C1-001</t>
  </si>
  <si>
    <t>25045-J2C-J071-T1C1-002</t>
  </si>
  <si>
    <t>25045-J2C-J071-T1C1-003</t>
  </si>
  <si>
    <t>25045-J2C-J071-T3C1-002</t>
  </si>
  <si>
    <t>25045-J2C-J071-T3C1-003</t>
  </si>
  <si>
    <t>25045-J2C-J071-T3C1-004</t>
  </si>
  <si>
    <t>25045-J2C-J071-T3C1-005</t>
  </si>
  <si>
    <t>25045-J2C-J071-T2C1-001</t>
  </si>
  <si>
    <t>25045-J2C-J071-T1C1-001</t>
  </si>
  <si>
    <t>25045-J2C-J071-T3C1-001</t>
  </si>
  <si>
    <t>25045-J2C-J071-T3C4-001</t>
  </si>
  <si>
    <t>25045-J2C-J071-T3C4-002</t>
  </si>
  <si>
    <t>25045-J2C-J071-T3C4-003</t>
  </si>
  <si>
    <t>25045-J2C-J071-T3C4-004</t>
  </si>
  <si>
    <t>25045-J2C-J071-T3C4-005</t>
  </si>
  <si>
    <t>25045-J2C-J071-T3C4-006</t>
  </si>
  <si>
    <t>25045-J2C-J071-T5C1A-001</t>
  </si>
  <si>
    <t>25045-J2C-J071-T7C1-001</t>
  </si>
  <si>
    <t>25045-J2C-J072-T1C1-002</t>
  </si>
  <si>
    <t>25045-J2C-J072-T1C1-003</t>
  </si>
  <si>
    <t>25045-J2C-J072-T3C1-002</t>
  </si>
  <si>
    <t>25045-J2C-J072-T3C1-003</t>
  </si>
  <si>
    <t>25045-J2C-J072-T3C1-004</t>
  </si>
  <si>
    <t>25045-J2C-J072-T3C1-005</t>
  </si>
  <si>
    <t>25045-J2C-J072-T3C4-002</t>
  </si>
  <si>
    <t>25045-J2C-J072-T3C4-003</t>
  </si>
  <si>
    <t>25045-J2C-J072-T3C4-004</t>
  </si>
  <si>
    <t>25045-J2C-J072-T3C4-005</t>
  </si>
  <si>
    <t>25045-J2C-J072-T3C4-006</t>
  </si>
  <si>
    <t>25045-J2C-J072-T1C1-001</t>
  </si>
  <si>
    <t>25045-J2C-J072-T2C1-001</t>
  </si>
  <si>
    <t>25045-J2C-J072-T3C1-006</t>
  </si>
  <si>
    <t>25045-J2C-J072-T3C4-001</t>
  </si>
  <si>
    <t>25045-J2C-J072-T5C1A-001</t>
  </si>
  <si>
    <t>25045-J2C-J072-T7C1-001</t>
  </si>
  <si>
    <t>25045-J2C-J073-T1C1-001</t>
  </si>
  <si>
    <t>25045-J2C-J073-T1C1-002</t>
  </si>
  <si>
    <t>25045-J2C-J073-T1C1-003</t>
  </si>
  <si>
    <t>25045-J2C-J073-T2C5-001</t>
  </si>
  <si>
    <t>25045-J2C-J073-T2C5-003</t>
  </si>
  <si>
    <t>25045-J2C-J073-T3C1-002</t>
  </si>
  <si>
    <t>25045-J2C-J073-T3C1-003</t>
  </si>
  <si>
    <t>25045-J2C-J073-T3C1-004</t>
  </si>
  <si>
    <t>25045-J2C-J073-T5AC4-001</t>
  </si>
  <si>
    <t>25045-J2C-J073-T6C1-001</t>
  </si>
  <si>
    <t>25045-J2C-J073-T2C1-001</t>
  </si>
  <si>
    <t>25045-J2C-J073-T2C1-002</t>
  </si>
  <si>
    <t>25045-J2C-J073-T2C1-003</t>
  </si>
  <si>
    <t>25045-J2C-J073-T2C5-002</t>
  </si>
  <si>
    <t>25045-J2C-J073-T2C9-001</t>
  </si>
  <si>
    <t>25045-J2C-J073-T3C1-001</t>
  </si>
  <si>
    <t>25045-J2C-J073-T3C4-001</t>
  </si>
  <si>
    <t>25045-J2C-J073-T4C1-001</t>
  </si>
  <si>
    <t>25045-J2C-J073-T5C1A-001</t>
  </si>
  <si>
    <t>25045-J2C-J073-T7C1-001</t>
  </si>
  <si>
    <t>25045-J2C-J074-T1C1-001</t>
  </si>
  <si>
    <t>25045-J2C-J074-T1C1-002</t>
  </si>
  <si>
    <t>25045-J2C-J074-T1C1-003</t>
  </si>
  <si>
    <t>25045-J2C-J074-T1C1-004</t>
  </si>
  <si>
    <t>25045-J2C-J074-T1C1-005</t>
  </si>
  <si>
    <t>25045-J2C-J074-T1C1-006</t>
  </si>
  <si>
    <t>25045-J2C-J074-T1C1-007</t>
  </si>
  <si>
    <t>25045-J2C-J074-T2C1-001</t>
  </si>
  <si>
    <t>25045-J2C-J074-T2C9-001</t>
  </si>
  <si>
    <t>25045-J2C-J074-T2C9-002</t>
  </si>
  <si>
    <t>25045-J2C-J074-T2C9-003</t>
  </si>
  <si>
    <t>25045-J2C-J074-T3C4-002</t>
  </si>
  <si>
    <t>25045-J2C-J074-T3C4-003</t>
  </si>
  <si>
    <t>25045-J2C-J074-T3C4-004</t>
  </si>
  <si>
    <t>25045-J2C-J074-T3C4-005</t>
  </si>
  <si>
    <t>25045-J2C-J074-T3C4-006</t>
  </si>
  <si>
    <t>25045-J2C-J074-T6C1-001</t>
  </si>
  <si>
    <t>25045-J2C-J074-T6C1-002</t>
  </si>
  <si>
    <t>25045-J2C-J074-T2C1-002</t>
  </si>
  <si>
    <t>25045-J2C-J074-T2C5-001</t>
  </si>
  <si>
    <t>25045-J2C-J074-T3C4-001</t>
  </si>
  <si>
    <t>25045-J2C-J074-T4C1-001</t>
  </si>
  <si>
    <t>25045-J2C-J074-T5AC1-001</t>
  </si>
  <si>
    <t>25045-J2C-J074-T5C1-001</t>
  </si>
  <si>
    <t>25045-J2C-J074-T7C1-001</t>
  </si>
  <si>
    <t>25045-J2C-J075-T1C1-001</t>
  </si>
  <si>
    <t>25045-J2C-J075-T1C1-002</t>
  </si>
  <si>
    <t>25045-J2C-J075-T1C1-003</t>
  </si>
  <si>
    <t>25045-J2C-J075-T1C1-004</t>
  </si>
  <si>
    <t>25045-J2C-J075-T1C1-005</t>
  </si>
  <si>
    <t>25045-J2C-J075-T3C1-001</t>
  </si>
  <si>
    <t>25045-J2C-J075-T3C1-002</t>
  </si>
  <si>
    <t>25045-J2C-J075-T3C1-003</t>
  </si>
  <si>
    <t>25045-J2C-J075-T3C1-004</t>
  </si>
  <si>
    <t>25045-J2C-J075-T3C4-001</t>
  </si>
  <si>
    <t>25045-J2C-J075-T3C4-002</t>
  </si>
  <si>
    <t>25045-J2C-J075-T3C4-003</t>
  </si>
  <si>
    <t>25045-J2C-J075-T3C4-004</t>
  </si>
  <si>
    <t>25045-J2C-J075-T3C4-005</t>
  </si>
  <si>
    <t>25045-J2C-J075-T6C1-001</t>
  </si>
  <si>
    <t>25045-J2C-J075-T6C1-002</t>
  </si>
  <si>
    <t>25045-J2C-J075-T2C1-001</t>
  </si>
  <si>
    <t>25045-J2C-J075-T3C4-006</t>
  </si>
  <si>
    <t>25045-J2C-J075-T3C4-007</t>
  </si>
  <si>
    <t>25045-J2C-J075-T4C1-001</t>
  </si>
  <si>
    <t>25045-J2C-J075-T5C1-001</t>
  </si>
  <si>
    <t>25045-J2C-J075-T5C1A-001</t>
  </si>
  <si>
    <t>25045-J2C-J075-T7C1-001</t>
  </si>
  <si>
    <t>25045-J2C-J076-T1C1-001</t>
  </si>
  <si>
    <t>25045-J2C-J076-T1C1-002</t>
  </si>
  <si>
    <t>25045-J2C-J076-T1C2-001</t>
  </si>
  <si>
    <t>25045-J2C-J076-T2C5-002</t>
  </si>
  <si>
    <t>25045-J2C-J076-T2C10-001</t>
  </si>
  <si>
    <t>25045-J2C-J076-T2C10-002</t>
  </si>
  <si>
    <t>25045-J2C-J076-T2C10-003</t>
  </si>
  <si>
    <t>25045-J2C-J076-T3C1-002</t>
  </si>
  <si>
    <t>25045-J2C-J076-T3C1-003</t>
  </si>
  <si>
    <t>25045-J2C-J076-T3C1-004</t>
  </si>
  <si>
    <t>25045-J2C-J076-T3C4-001</t>
  </si>
  <si>
    <t>25045-J2C-J076-T5AC4-001</t>
  </si>
  <si>
    <t>25045-J2C-J076-T6C1-001</t>
  </si>
  <si>
    <t>25045-J2C-J076-T2C1-001</t>
  </si>
  <si>
    <t>25045-J2C-J076-T2C5-001</t>
  </si>
  <si>
    <t>25045-J2C-J076-T3C1-001</t>
  </si>
  <si>
    <t>25045-J2C-J076-T4C1-001</t>
  </si>
  <si>
    <t>25045-J2C-J076-T5C1A-001</t>
  </si>
  <si>
    <t>25045-J2C-J076-T7C1-001</t>
  </si>
  <si>
    <t>25045-J3C-J059-T1C1-001</t>
  </si>
  <si>
    <t>25045-J3C-J059-T1C1-002</t>
  </si>
  <si>
    <t>25045-J3C-J059-T1C1-003</t>
  </si>
  <si>
    <t>25045-J3C-J059-T1C1-004</t>
  </si>
  <si>
    <t>25045-J3C-J059-T1C2-001</t>
  </si>
  <si>
    <t>25045-J3C-J059-T1C2-002</t>
  </si>
  <si>
    <t>25045-J3C-J059-T1C2-003</t>
  </si>
  <si>
    <t>25045-J3C-J059-T1C2-004</t>
  </si>
  <si>
    <t>25045-J3C-J059-T1C2-005</t>
  </si>
  <si>
    <t>25045-J3C-J059-T1C3-001</t>
  </si>
  <si>
    <t>25045-J3C-J059-T1C3-002</t>
  </si>
  <si>
    <t>25045-J3C-J059-T2C10-001</t>
  </si>
  <si>
    <t>25045-J3C-J059-T2C10-002</t>
  </si>
  <si>
    <t>25045-J3C-J059-T2C1-001</t>
  </si>
  <si>
    <t>25045-J3C-J059-T2C6-001</t>
  </si>
  <si>
    <t>25045-J3C-J059-T2C6-002</t>
  </si>
  <si>
    <t>25045-J3C-J059-T3C4-001</t>
  </si>
  <si>
    <t>25045-J3C-J059-T3C4-002</t>
  </si>
  <si>
    <t>25045-J3C-J059-T3C4-003</t>
  </si>
  <si>
    <t>25045-J3C-J059-T3C4-004</t>
  </si>
  <si>
    <t>25045-J3C-J059-T3C4-005</t>
  </si>
  <si>
    <t>25045-J3C-J059-T5AC1-001</t>
  </si>
  <si>
    <t>25045-J3C-J059-T5AC1-002</t>
  </si>
  <si>
    <t>25045-J3C-J059-T5AC3-001</t>
  </si>
  <si>
    <t>25045-J3C-J059-T5C1A-001</t>
  </si>
  <si>
    <t>25045-J3C-J059-T6C1-001</t>
  </si>
  <si>
    <t>25045-J3C-J059-T7C1-001</t>
  </si>
  <si>
    <t>25045-J3C-J060-T3C4-002</t>
  </si>
  <si>
    <t>25045-J3C-J060-T3C4-003</t>
  </si>
  <si>
    <t>25045-J3C-J060-T3C4-004</t>
  </si>
  <si>
    <t>25045-J3C-J060-T7C1-001</t>
  </si>
  <si>
    <t>25045-J3C-J060-T1C1-001</t>
  </si>
  <si>
    <t>25045-J3C-J060-T1C1-002</t>
  </si>
  <si>
    <t>25045-J3C-J060-T2C1-001</t>
  </si>
  <si>
    <t>25045-J3C-J060-T3C4-001</t>
  </si>
  <si>
    <t>25045-J3C-J060-T3C4-005</t>
  </si>
  <si>
    <t>25045-J3C-J060-T3C4-006</t>
  </si>
  <si>
    <t>25045-J3C-J060-T3C4-007</t>
  </si>
  <si>
    <t>25045-J3C-J060-T3C4-008</t>
  </si>
  <si>
    <t>25045-J3C-J060-T3C4-009</t>
  </si>
  <si>
    <t>25045-J3C-J060-T3C4-010</t>
  </si>
  <si>
    <t>25045-J3C-J060-T5C1A-001</t>
  </si>
  <si>
    <t>25045-J3C-J060-T6C1-001</t>
  </si>
  <si>
    <t>25045-J3C-J061-T7C1-001</t>
  </si>
  <si>
    <t>25045-J3C-J061-T1C1-001</t>
  </si>
  <si>
    <t>25045-J3C-J061-T1C1-002</t>
  </si>
  <si>
    <t>25045-J3C-J061-T3C4-005</t>
  </si>
  <si>
    <t>25045-J3C-J061-T3C4-006</t>
  </si>
  <si>
    <t>25045-J3C-J061-T3C4-002</t>
  </si>
  <si>
    <t>25045-J3C-J061-T3C4-003</t>
  </si>
  <si>
    <t>25045-J3C-J061-T3C4-004</t>
  </si>
  <si>
    <t>25045-J3C-J061-T3C4-007</t>
  </si>
  <si>
    <t>25045-J3C-J061-T3C4-008</t>
  </si>
  <si>
    <t>25045-J3C-J061-T3C4-009</t>
  </si>
  <si>
    <t>25045-J3C-J061-T3C4-010</t>
  </si>
  <si>
    <t>25045-J3C-J061-T6C1-001</t>
  </si>
  <si>
    <t>25045-J3C-J061-T2C1-001</t>
  </si>
  <si>
    <t>25045-J3C-J061-T3C4-001</t>
  </si>
  <si>
    <t>25045-J3C-J061-T5C1A-001</t>
  </si>
  <si>
    <t>25045-J3C-J062-T7C1-001</t>
  </si>
  <si>
    <t>25045-J3C-J062-T1C1-001</t>
  </si>
  <si>
    <t>25045-J3C-J062-T1C1-002</t>
  </si>
  <si>
    <t>25045-J3C-J062-T2C1-001</t>
  </si>
  <si>
    <t>25045-J3C-J062-T3C4-002</t>
  </si>
  <si>
    <t>25045-J3C-J062-T3C4-003</t>
  </si>
  <si>
    <t>25045-J3C-J062-T3C4-004</t>
  </si>
  <si>
    <t>25045-J3C-J062-T3C4-001</t>
  </si>
  <si>
    <t>25045-J3C-J062-T5C1A-001</t>
  </si>
  <si>
    <t>25045-J3C-J062-T3C4-005</t>
  </si>
  <si>
    <t>25045-J3C-J062-T3C4-006</t>
  </si>
  <si>
    <t>25045-J3C-J062-T3C4-007</t>
  </si>
  <si>
    <t>25045-J3C-J062-T3C4-008</t>
  </si>
  <si>
    <t>25045-J3C-J062-T3C4-009</t>
  </si>
  <si>
    <t>25045-J3C-J062-T3C4-010</t>
  </si>
  <si>
    <t>25045-J3C-J062-T5AC4-001</t>
  </si>
  <si>
    <t>25045-J3C-J063-T1C1-001</t>
  </si>
  <si>
    <t>25045-J3C-J063-T1C1-002</t>
  </si>
  <si>
    <t>25045-J3C-J063-T3C4-006</t>
  </si>
  <si>
    <t>25045-J3C-J063-T3C4-007</t>
  </si>
  <si>
    <t>25045-J3C-J063-T3C4-008</t>
  </si>
  <si>
    <t>25045-J3C-J063-T3C4-009</t>
  </si>
  <si>
    <t>25045-J3C-J063-T3C4-002</t>
  </si>
  <si>
    <t>25045-J3C-J063-T3C4-003</t>
  </si>
  <si>
    <t>25045-J3C-J063-T3C4-004</t>
  </si>
  <si>
    <t>25045-J3C-J063-T2C1-001</t>
  </si>
  <si>
    <t>25045-J3C-J063-T3C1-001</t>
  </si>
  <si>
    <t>25045-J3C-J063-T3C4-001</t>
  </si>
  <si>
    <t>25045-J3C-J063-T3C4-005</t>
  </si>
  <si>
    <t>25045-J3C-J063-T5AC4-001</t>
  </si>
  <si>
    <t>25045-J3C-J063-T5C1A-001</t>
  </si>
  <si>
    <t>25045-J3C-J063-T7C1-001</t>
  </si>
  <si>
    <t>25045-J3C-J064-T3C4-002</t>
  </si>
  <si>
    <t>25045-J3C-J064-T3C4-003</t>
  </si>
  <si>
    <t>25045-J3C-J064-T3C4-004</t>
  </si>
  <si>
    <t>25045-J3C-J064-T3C4-007</t>
  </si>
  <si>
    <t>25045-J3C-J064-T3C4-008</t>
  </si>
  <si>
    <t>25045-J3C-J064-T3C4-009</t>
  </si>
  <si>
    <t>25045-J3C-J064-T3C4-010</t>
  </si>
  <si>
    <t>25045-J3C-J064-T3C4-001</t>
  </si>
  <si>
    <t>25045-J3C-J064-T1C1-001</t>
  </si>
  <si>
    <t>25045-J3C-J064-T1C1-002</t>
  </si>
  <si>
    <t>25045-J3C-J064-T2C1-001</t>
  </si>
  <si>
    <t>25045-J3C-J064-T3C4-005</t>
  </si>
  <si>
    <t>25045-J3C-J064-T3C4-006</t>
  </si>
  <si>
    <t>25045-J3C-J064-T5C1A-001</t>
  </si>
  <si>
    <t>25045-J3C-J064-T6C1-001</t>
  </si>
  <si>
    <t>25045-J3C-J064-T7C1-001</t>
  </si>
  <si>
    <t>25045-J3C-J065-T3C4-002</t>
  </si>
  <si>
    <t>25045-J3C-J065-T3C4-003</t>
  </si>
  <si>
    <t>25045-J3C-J065-T3C4-004</t>
  </si>
  <si>
    <t>25045-J3C-J065-T3C4-001</t>
  </si>
  <si>
    <t>25045-J3C-J065-T1C1-001</t>
  </si>
  <si>
    <t>25045-J3C-J065-T2C1-001</t>
  </si>
  <si>
    <t>25045-J3C-J065-T3C4-005</t>
  </si>
  <si>
    <t>25045-J3C-J065-T6C1-001</t>
  </si>
  <si>
    <t>25045-J3C-J065-T1C1-002</t>
  </si>
  <si>
    <t>25045-J3C-J065-T3C4-006</t>
  </si>
  <si>
    <t>25045-J3C-J065-T3C4-007</t>
  </si>
  <si>
    <t>25045-J3C-J065-T3C4-008</t>
  </si>
  <si>
    <t>25045-J3C-J065-T3C4-009</t>
  </si>
  <si>
    <t>25045-J3C-J065-T3C4-010</t>
  </si>
  <si>
    <t>25045-J3C-J065-T5C1A-001</t>
  </si>
  <si>
    <t>25045-J3C-J065-T7C1-001</t>
  </si>
  <si>
    <t>25045-J3C-J066-T2C1-001</t>
  </si>
  <si>
    <t>25045-J3C-J066-T3C4-002</t>
  </si>
  <si>
    <t>25045-J3C-J066-T3C4-003</t>
  </si>
  <si>
    <t>25045-J3C-J066-T3C4-004</t>
  </si>
  <si>
    <t>25045-J3C-J066-T1C1-001</t>
  </si>
  <si>
    <t>25045-J3C-J066-T1C1-002</t>
  </si>
  <si>
    <t>25045-J3C-J066-T1C1-003</t>
  </si>
  <si>
    <t>25045-J3C-J066-T1C1-004</t>
  </si>
  <si>
    <t>25045-J3C-J066-T1C1-005</t>
  </si>
  <si>
    <t>25045-J3C-J066-T3C4-001</t>
  </si>
  <si>
    <t>25045-J3C-J066-T3C4-005</t>
  </si>
  <si>
    <t>25045-J3C-J066-T3C4-006</t>
  </si>
  <si>
    <t>25045-J3C-J066-T3C4-007</t>
  </si>
  <si>
    <t>25045-J3C-J066-T3C4-008</t>
  </si>
  <si>
    <t>25045-J3C-J066-T3C4-009</t>
  </si>
  <si>
    <t>25045-J3C-J066-T3C4-010</t>
  </si>
  <si>
    <t>25045-J3C-J066-T5C1A-001</t>
  </si>
  <si>
    <t>25045-J3C-J066-T7C1-001</t>
  </si>
  <si>
    <t>25045-J3C-J067-T2C1-001</t>
  </si>
  <si>
    <t>25045-J3C-J067-T3C4-002</t>
  </si>
  <si>
    <t>25045-J3C-J067-T3C4-003</t>
  </si>
  <si>
    <t>25045-J3C-J067-T3C4-004</t>
  </si>
  <si>
    <t>25045-J3C-J067-T1C1-001</t>
  </si>
  <si>
    <t>25045-J3C-J067-T1C1-002</t>
  </si>
  <si>
    <t>25045-J3C-J067-T1C1-003</t>
  </si>
  <si>
    <t>25045-J3C-J067-T1C1-004</t>
  </si>
  <si>
    <t>25045-J3C-J067-T1C1-005</t>
  </si>
  <si>
    <t>25045-J3C-J067-T1C1-006</t>
  </si>
  <si>
    <t>25045-J3C-J067-T1C1-007</t>
  </si>
  <si>
    <t>25045-J3C-J067-T1C1-008</t>
  </si>
  <si>
    <t>25045-J3C-J067-T1C1-009</t>
  </si>
  <si>
    <t>25045-J3C-J067-T1C1-010</t>
  </si>
  <si>
    <t>25045-J3C-J067-T1C1-011</t>
  </si>
  <si>
    <t>25045-J3C-J067-T1C1-012</t>
  </si>
  <si>
    <t>25045-J3C-J067-T1C1-013</t>
  </si>
  <si>
    <t>25045-J3C-J067-T3C4-001</t>
  </si>
  <si>
    <t>25045-J3C-J067-T3C4-005</t>
  </si>
  <si>
    <t>25045-J3C-J067-T3C4-006</t>
  </si>
  <si>
    <t>25045-J3C-J067-T3C4-007</t>
  </si>
  <si>
    <t>25045-J3C-J067-T3C4-008</t>
  </si>
  <si>
    <t>25045-J3C-J067-T3C4-009</t>
  </si>
  <si>
    <t>25045-J3C-J067-T3C4-010</t>
  </si>
  <si>
    <t>25045-J3C-J067-T3C4-011</t>
  </si>
  <si>
    <t>25045-J3C-J067-T5C1-001</t>
  </si>
  <si>
    <t>25045-J3C-J067-T5C1A-001</t>
  </si>
  <si>
    <t>25045-J3C-J067-T6C1-001</t>
  </si>
  <si>
    <t>25045-J3C-J067-T6C1-002</t>
  </si>
  <si>
    <t>25045-J3C-J067-T7C1-001</t>
  </si>
  <si>
    <t>25045-J3C-J068-T5C1A-002</t>
  </si>
  <si>
    <t>25045-J3C-J068-T7C1-001</t>
  </si>
  <si>
    <t>25045-J3C-J068-T3C4-007</t>
  </si>
  <si>
    <t>25045-J3C-J068-T3C4-002</t>
  </si>
  <si>
    <t>25045-J3C-J068-T3C4-003</t>
  </si>
  <si>
    <t>25045-J3C-J068-T3C4-004</t>
  </si>
  <si>
    <t>25045-J3C-J068-T3C4-005</t>
  </si>
  <si>
    <t>25045-J3C-J068-T1C1-001</t>
  </si>
  <si>
    <t>25045-J3C-J068-T1C1-002</t>
  </si>
  <si>
    <t>25045-J3C-J068-T1C1-003</t>
  </si>
  <si>
    <t>25045-J3C-J068-T1C1-004</t>
  </si>
  <si>
    <t>25045-J3C-J068-T1C1-005</t>
  </si>
  <si>
    <t>25045-J3C-J068-T1C1-006</t>
  </si>
  <si>
    <t>25045-J3C-J068-T1C1-007</t>
  </si>
  <si>
    <t>25045-J3C-J068-T1C1-008</t>
  </si>
  <si>
    <t>25045-J3C-J068-T1C1-009</t>
  </si>
  <si>
    <t>25045-J3C-J068-T2C1-001</t>
  </si>
  <si>
    <t>25045-J3C-J068-T3C1-001</t>
  </si>
  <si>
    <t>25045-J3C-J068-T3C1-002</t>
  </si>
  <si>
    <t>25045-J3C-J068-T3C1-003</t>
  </si>
  <si>
    <t>25045-J3C-J068-T3C1-004</t>
  </si>
  <si>
    <t>25045-J3C-J068-T3C1-005</t>
  </si>
  <si>
    <t>25045-J3C-J068-T3C4-001</t>
  </si>
  <si>
    <t>25045-J3C-J068-T3C4-006</t>
  </si>
  <si>
    <t>25045-J3C-J068-T5C1-001</t>
  </si>
  <si>
    <t>25045-J3C-J068-T6C1-001</t>
  </si>
  <si>
    <t>25045-J3C-J069-T2C1-001</t>
  </si>
  <si>
    <t>25045-J3C-J069-T5C1A-001</t>
  </si>
  <si>
    <t>25045-J3C-J069-T7C1-001</t>
  </si>
  <si>
    <t>25045-J3C-J069-T3C4-001</t>
  </si>
  <si>
    <t>25045-J3C-J069-T3C1-002</t>
  </si>
  <si>
    <t>25045-J3C-J069-T3C1-003</t>
  </si>
  <si>
    <t>25045-J3C-J069-T3C1-004</t>
  </si>
  <si>
    <t>25045-J3C-J069-T1C1-001</t>
  </si>
  <si>
    <t>25045-J3C-J069-T1C1-002</t>
  </si>
  <si>
    <t>25045-J3C-J069-T1C1-003</t>
  </si>
  <si>
    <t>25045-J3C-J069-T2C5-001</t>
  </si>
  <si>
    <t>25045-J3C-J069-T2C5-002</t>
  </si>
  <si>
    <t>25045-J3C-J069-T2C9-001</t>
  </si>
  <si>
    <t>25045-J3C-J069-T2C9-002</t>
  </si>
  <si>
    <t>25045-J3C-J069-T2C9-003</t>
  </si>
  <si>
    <t>25045-J3C-J069-T3C1-001</t>
  </si>
  <si>
    <t>25045-J3C-J069-T4C1-001</t>
  </si>
  <si>
    <t>25045-J3C-J069-T5AC4-001</t>
  </si>
  <si>
    <t>25045-J3C-J069-T6C1-001</t>
  </si>
  <si>
    <t>25045-J3B-J041-T1C1-001</t>
  </si>
  <si>
    <t>25045-J3B-J041-T1C1-002</t>
  </si>
  <si>
    <t>25045-J3B-J041-T1C1-003</t>
  </si>
  <si>
    <t>25045-J3B-J041-T2C1-001</t>
  </si>
  <si>
    <t>25045-J3B-J041-T2C1-002</t>
  </si>
  <si>
    <t>25045-J3B-J041-T2C1-003</t>
  </si>
  <si>
    <t>25045-J3B-J041-T2C1-004</t>
  </si>
  <si>
    <t>25045-J3B-J042-T2C1-001</t>
  </si>
  <si>
    <t>25045-J3B-J043-T2C1-001</t>
  </si>
  <si>
    <t>25045-J3B-J044-T2C1-001</t>
  </si>
  <si>
    <t>25045-J3B-J045-T2C1-001</t>
  </si>
  <si>
    <t>25045-J3B-J046-T2C1-001</t>
  </si>
  <si>
    <t>25045-J3B-J041-T2C5-001</t>
  </si>
  <si>
    <t>25045-J3B-J041-T2C5-002</t>
  </si>
  <si>
    <t>25045-J3B-J041-T2C9-001</t>
  </si>
  <si>
    <t>25045-J3B-J041-T3C5-001</t>
  </si>
  <si>
    <t>25045-J3B-J041-T3C5-002</t>
  </si>
  <si>
    <t>25045-J3B-J041-T3C5-003</t>
  </si>
  <si>
    <t>25045-J3B-J041-T3C5-004</t>
  </si>
  <si>
    <t>25045-J3B-J041-T3C5-005</t>
  </si>
  <si>
    <t>25045-J3B-J041-T5C2A-001</t>
  </si>
  <si>
    <t>25045-J3B-J041-T7C2-001</t>
  </si>
  <si>
    <t>25045-J3B-J042-T1C1-001</t>
  </si>
  <si>
    <t>25045-J3B-J042-T1C1-002</t>
  </si>
  <si>
    <t>25045-J3B-J043-T1C1-002</t>
  </si>
  <si>
    <t>25045-J3B-J044-T1C1-002</t>
  </si>
  <si>
    <t>25045-J3B-J045-T1C1-002</t>
  </si>
  <si>
    <t>25045-J3B-J046-T1C1-002</t>
  </si>
  <si>
    <t>25045-J3B-J042-T3C5-001</t>
  </si>
  <si>
    <t>25045-J3B-J042-T3C5-002</t>
  </si>
  <si>
    <t>25045-J3B-J042-T3C5-003</t>
  </si>
  <si>
    <t>25045-J3B-J042-T3C5-004</t>
  </si>
  <si>
    <t>25045-J3B-J042-T3C5-005</t>
  </si>
  <si>
    <t>25045-J3B-J042-T3C5-006</t>
  </si>
  <si>
    <t>25045-J3B-J042-T3C5-007</t>
  </si>
  <si>
    <t>25045-J3B-J042-T3C5-008</t>
  </si>
  <si>
    <t>25045-J3B-J042-T3C5-009</t>
  </si>
  <si>
    <t>25045-J3B-J042-T3C5-010</t>
  </si>
  <si>
    <t>25045-J3B-J042-T5C2A-001</t>
  </si>
  <si>
    <t>25045-J3B-J042-T6C1-001</t>
  </si>
  <si>
    <t>25045-J3B-J042-T7C2-001</t>
  </si>
  <si>
    <t>25045-J3B-J043-T1C1-001</t>
  </si>
  <si>
    <t>25045-J3B-J043-T3C4-001</t>
  </si>
  <si>
    <t>25045-J3B-J043-T3C4-002</t>
  </si>
  <si>
    <t>25045-J3B-J043-T3C4-003</t>
  </si>
  <si>
    <t>25045-J3B-J043-T3C4-004</t>
  </si>
  <si>
    <t>25045-J3B-J043-T3C4-005</t>
  </si>
  <si>
    <t>25045-J3B-J043-T3C5-001</t>
  </si>
  <si>
    <t>25045-J3B-J043-T3C5-002</t>
  </si>
  <si>
    <t>25045-J3B-J043-T3C5-003</t>
  </si>
  <si>
    <t>25045-J3B-J043-T3C5-004</t>
  </si>
  <si>
    <t>25045-J3B-J043-T3C5-005</t>
  </si>
  <si>
    <t>25045-J3B-J043-T5C1A-001</t>
  </si>
  <si>
    <t>25045-J3B-J043-T6C1-001</t>
  </si>
  <si>
    <t>25045-J3B-J043-T7C1-001</t>
  </si>
  <si>
    <t>25045-J3B-J044-T1C1-001</t>
  </si>
  <si>
    <t>25045-J3B-J044-T3C1-001</t>
  </si>
  <si>
    <t>25045-J3B-J044-T3C4-001</t>
  </si>
  <si>
    <t>25045-J3B-J044-T3C4-002</t>
  </si>
  <si>
    <t>25045-J3B-J044-T3C4-003</t>
  </si>
  <si>
    <t>25045-J3B-J044-T3C4-004</t>
  </si>
  <si>
    <t>25045-J3B-J044-T3C4-005</t>
  </si>
  <si>
    <t>25045-J3B-J044-T3C4-006</t>
  </si>
  <si>
    <t>25045-J3B-J044-T3C4-007</t>
  </si>
  <si>
    <t>25045-J3B-J044-T3C4-008</t>
  </si>
  <si>
    <t>25045-J3B-J044-T3C4-009</t>
  </si>
  <si>
    <t>25045-J3B-J044-T5AC4-001</t>
  </si>
  <si>
    <t>25045-J3B-J044-T5C1A-001</t>
  </si>
  <si>
    <t>25045-J3B-J044-T7C1-001</t>
  </si>
  <si>
    <t>25045-J3B-J045-T1C1-001</t>
  </si>
  <si>
    <t>25045-J3B-J045-T3C1-001</t>
  </si>
  <si>
    <t>25045-J3B-J045-T3C4-001</t>
  </si>
  <si>
    <t>25045-J3B-J045-T3C4-002</t>
  </si>
  <si>
    <t>25045-J3B-J045-T3C4-003</t>
  </si>
  <si>
    <t>25045-J3B-J045-T3C4-004</t>
  </si>
  <si>
    <t>25045-J3B-J045-T3C4-005</t>
  </si>
  <si>
    <t>25045-J3B-J045-T3C4-006</t>
  </si>
  <si>
    <t>25045-J3B-J045-T3C4-007</t>
  </si>
  <si>
    <t>25045-J3B-J045-T3C4-008</t>
  </si>
  <si>
    <t>25045-J3B-J045-T3C4-009</t>
  </si>
  <si>
    <t>25045-J3B-J045-T5AC4-001</t>
  </si>
  <si>
    <t>25045-J3B-J045-T5C1A-001</t>
  </si>
  <si>
    <t>25045-J3B-J045-T7C1-001</t>
  </si>
  <si>
    <t>25045-J3B-J046-T1C1-001</t>
  </si>
  <si>
    <t>25045-J3B-J046-T3C1-001</t>
  </si>
  <si>
    <t>25045-J3B-J046-T3C4-001</t>
  </si>
  <si>
    <t>25045-J3B-J046-T3C4-002</t>
  </si>
  <si>
    <t>25045-J3B-J046-T3C4-003</t>
  </si>
  <si>
    <t>25045-J3B-J046-T3C4-004</t>
  </si>
  <si>
    <t>25045-J3B-J046-T3C4-005</t>
  </si>
  <si>
    <t>25045-J3B-J046-T3C4-006</t>
  </si>
  <si>
    <t>25045-J3B-J046-T3C4-007</t>
  </si>
  <si>
    <t>25045-J3B-J046-T3C4-008</t>
  </si>
  <si>
    <t>25045-J3B-J046-T3C4-009</t>
  </si>
  <si>
    <t>25045-J3B-J046-T5AC4-001</t>
  </si>
  <si>
    <t>25045-J3B-J046-T5C1A-001</t>
  </si>
  <si>
    <t>25045-J3B-J046-T7C1-001</t>
  </si>
  <si>
    <t>25045-J3B-J047-T1C1-001</t>
  </si>
  <si>
    <t>25045-J3B-J047-T1C1-002</t>
  </si>
  <si>
    <t>25045-J3B-J047-T1C1-003</t>
  </si>
  <si>
    <t>25045-J3B-J047-T1C1-004</t>
  </si>
  <si>
    <t>25045-J3B-J047-T1C2-001</t>
  </si>
  <si>
    <t>25045-J3B-J047-T1C2-002</t>
  </si>
  <si>
    <t>25045-J3B-J047-T1C2-003</t>
  </si>
  <si>
    <t>25045-J3B-J047-T1C2-004</t>
  </si>
  <si>
    <t>25045-J3B-J047-T1C2-005</t>
  </si>
  <si>
    <t>25045-J3B-J047-T1C2-006</t>
  </si>
  <si>
    <t>25045-J3B-J047-T1C3-001</t>
  </si>
  <si>
    <t>25045-J3B-J047-T1C3-002</t>
  </si>
  <si>
    <t>25045-J3B-J047-T1C3-003</t>
  </si>
  <si>
    <t>25045-J3B-J047-T1C3-004</t>
  </si>
  <si>
    <t>25045-J3B-J047-T2C10-001</t>
  </si>
  <si>
    <t>25045-J3B-J047-T2C1-002</t>
  </si>
  <si>
    <t>25045-J3B-J047-T2C11-001</t>
  </si>
  <si>
    <t>25045-J3B-J047-T2C6-001</t>
  </si>
  <si>
    <t>25045-J3B-J047-T2C6-002</t>
  </si>
  <si>
    <t>25045-J3B-J047-T3C4-001</t>
  </si>
  <si>
    <t>25045-J3B-J047-T3C4-002</t>
  </si>
  <si>
    <t>25045-J3B-J047-T3C4-003</t>
  </si>
  <si>
    <t>25045-J3B-J047-T3C4-004</t>
  </si>
  <si>
    <t>25045-J3B-J047-T3C4-005</t>
  </si>
  <si>
    <t>25045-J3B-J047-T5AC1-001</t>
  </si>
  <si>
    <t>25045-J3B-J047-T5AC1-002</t>
  </si>
  <si>
    <t>25045-J3B-J047-T5C1A-001</t>
  </si>
  <si>
    <t>25045-J3B-J047-T6C1-001</t>
  </si>
  <si>
    <t>25045-J3B-J047-T6C1A-001</t>
  </si>
  <si>
    <t>25045-J3B-J047-T7C1-001</t>
  </si>
  <si>
    <t>EXT</t>
  </si>
  <si>
    <t>DIVD</t>
  </si>
  <si>
    <t>25045 - ACRESS VILLA BW</t>
  </si>
  <si>
    <t>Including Footing</t>
  </si>
  <si>
    <t>SR.NO</t>
  </si>
  <si>
    <t>Project no</t>
  </si>
  <si>
    <t>LOCATION</t>
  </si>
  <si>
    <t>PRIORITY</t>
  </si>
  <si>
    <t>SUB-PRIORITY</t>
  </si>
  <si>
    <t>ELEMENT ID</t>
  </si>
  <si>
    <t>VILLA</t>
  </si>
  <si>
    <t>Issued</t>
  </si>
  <si>
    <t>DWG</t>
  </si>
  <si>
    <t>WIDTH</t>
  </si>
  <si>
    <t>HEIGHT</t>
  </si>
  <si>
    <t>THICKNESS</t>
  </si>
  <si>
    <t>VOL</t>
  </si>
  <si>
    <t>REV</t>
  </si>
  <si>
    <t>WT</t>
  </si>
  <si>
    <t>DWG ISSUE DATE</t>
  </si>
  <si>
    <t>DIST.NO</t>
  </si>
  <si>
    <t>REV DATE</t>
  </si>
  <si>
    <t>TYPE</t>
  </si>
  <si>
    <t>FOOTING SIZE</t>
  </si>
  <si>
    <t>FOOTING DISTANCE</t>
  </si>
  <si>
    <t>CUTOUT/REMARKS</t>
  </si>
  <si>
    <t>INUSLATED</t>
  </si>
  <si>
    <t>DWG TYPE</t>
  </si>
  <si>
    <t>DIST.NO2</t>
  </si>
  <si>
    <t>FileLink</t>
  </si>
  <si>
    <t>Status</t>
  </si>
  <si>
    <t>PLANNED DATE</t>
  </si>
  <si>
    <t>CASTING DATE</t>
  </si>
  <si>
    <t>BAY</t>
  </si>
  <si>
    <t>PALLET</t>
  </si>
  <si>
    <t>J1A1</t>
  </si>
  <si>
    <t>BW</t>
  </si>
  <si>
    <t>DD-Z-J1A-008</t>
  </si>
  <si>
    <t>DEF - Double Eccentric Footing</t>
  </si>
  <si>
    <t>250*800*1000</t>
  </si>
  <si>
    <t>650/885/1000/1800/1000/885/650</t>
  </si>
  <si>
    <t>SD</t>
  </si>
  <si>
    <t>DD-Z-J1A-013</t>
  </si>
  <si>
    <t>In same dwg</t>
  </si>
  <si>
    <t>650/950/1000/1800/1000/950/650</t>
  </si>
  <si>
    <t>650/953/1000/1800/1000/954/650</t>
  </si>
  <si>
    <t>ON HOLD</t>
  </si>
  <si>
    <t>SEF - Single Eccentric Footing</t>
  </si>
  <si>
    <t>250*1100*1500</t>
  </si>
  <si>
    <t>800/1445/1500/1425/800</t>
  </si>
  <si>
    <t>4 RECESS</t>
  </si>
  <si>
    <t>250*1000*1000</t>
  </si>
  <si>
    <t>800/670/1000/1800/1000/670</t>
  </si>
  <si>
    <t>2 RECESS</t>
  </si>
  <si>
    <t>800/895/1000/1800/1000/895/800</t>
  </si>
  <si>
    <t>1 RECESS</t>
  </si>
  <si>
    <t>250*1000*800</t>
  </si>
  <si>
    <t>780/490/800/490/780</t>
  </si>
  <si>
    <t>J1A2</t>
  </si>
  <si>
    <t>250*1100*1000</t>
  </si>
  <si>
    <t>800/410/1000/1800/1000/800</t>
  </si>
  <si>
    <t>250*1100*1200</t>
  </si>
  <si>
    <t>800/140/1200/2500/1200/155/800</t>
  </si>
  <si>
    <t>J1A3</t>
  </si>
  <si>
    <t>800/410/1000/1800/1000/410/800</t>
  </si>
  <si>
    <t>DD-Z-J1A-009</t>
  </si>
  <si>
    <t>250*1200*2400</t>
  </si>
  <si>
    <t>800/1270/2400/1070/800</t>
  </si>
  <si>
    <t>250mm Recess</t>
  </si>
  <si>
    <t>YES</t>
  </si>
  <si>
    <t>J1A4</t>
  </si>
  <si>
    <t>800/206/1200/1800/1200/206/800</t>
  </si>
  <si>
    <t>J1A5</t>
  </si>
  <si>
    <t>250*1100*2400</t>
  </si>
  <si>
    <t>800/660/2400/1554/800</t>
  </si>
  <si>
    <t>TRC-1870*1500</t>
  </si>
  <si>
    <t>J1A6</t>
  </si>
  <si>
    <t>800/1860/2400/900/800</t>
  </si>
  <si>
    <t>TLC-1870*1500</t>
  </si>
  <si>
    <t>800/480/1200/1800/1200/480/800</t>
  </si>
  <si>
    <t>800/135/1200/2500/1200/151/800</t>
  </si>
  <si>
    <t>800/206/1200/1800/1200/206</t>
  </si>
  <si>
    <t>250*1450*1500</t>
  </si>
  <si>
    <t>800/1136/1500/1190/800</t>
  </si>
  <si>
    <t>800/490/800/490/800</t>
  </si>
  <si>
    <t>J1A7</t>
  </si>
  <si>
    <t>800/480/1200/1800/1200/480</t>
  </si>
  <si>
    <t>800/1140/1500/1185/800</t>
  </si>
  <si>
    <t>800/760/1500/1589/800</t>
  </si>
  <si>
    <t>TRC-2000*1500</t>
  </si>
  <si>
    <t>250*800*800</t>
  </si>
  <si>
    <t>570/60/800/1800/800</t>
  </si>
  <si>
    <t>735/740/1000/740/735</t>
  </si>
  <si>
    <t>735/1000/1000/1000/735</t>
  </si>
  <si>
    <t>800/1000/1000/1000/800</t>
  </si>
  <si>
    <t>800/1065/1000/1065/800</t>
  </si>
  <si>
    <t>DEFC - Double Eccentric Footing with Corbel</t>
  </si>
  <si>
    <t>250*1250*1200</t>
  </si>
  <si>
    <t>800/115/1200/2500/1200</t>
  </si>
  <si>
    <t>800/305/1200/1800/1200/305/800</t>
  </si>
  <si>
    <t>SEFC - Single Eccentric Footing with Corbel</t>
  </si>
  <si>
    <t>250*1250*2400</t>
  </si>
  <si>
    <t>800/820/2400/1600/800</t>
  </si>
  <si>
    <t>250*1400*2400</t>
  </si>
  <si>
    <t>800/1318/2400/1317/800</t>
  </si>
  <si>
    <t>250*800*650</t>
  </si>
  <si>
    <t>650/1000/1000/1000/650</t>
  </si>
  <si>
    <t>650/400/1000/1800/1000/400/650</t>
  </si>
  <si>
    <t>800/1075/1200/1800/1200</t>
  </si>
  <si>
    <t>800/537/1200/1800/1200/538/800</t>
  </si>
  <si>
    <t>800/188/1200/2500/1200/202/800</t>
  </si>
  <si>
    <t>800/985/1500/890/800</t>
  </si>
  <si>
    <t>650/911/1000/1800/1000/911/650</t>
  </si>
  <si>
    <t>650/912/1000/1800/1000/912</t>
  </si>
  <si>
    <t>650/912/1000/1800/1000/912/650</t>
  </si>
  <si>
    <t>800/950/1200/1270/800</t>
  </si>
  <si>
    <t>TRC-420*1770</t>
  </si>
  <si>
    <t>800/700/1200/1190/800</t>
  </si>
  <si>
    <t>TRC-590*1770</t>
  </si>
  <si>
    <t>550/1760/1500/1200/800</t>
  </si>
  <si>
    <t>800/800/1500/1290/800</t>
  </si>
  <si>
    <t>800/1327/1500/1328/800</t>
  </si>
  <si>
    <t>800/400/1000/1800/1000/800</t>
  </si>
  <si>
    <t>DD-Z-J1A-004</t>
  </si>
  <si>
    <t>400/1049/1000/1049/400</t>
  </si>
  <si>
    <t>DD-Z-J1A-014</t>
  </si>
  <si>
    <t>400/1034/1000/1034/400</t>
  </si>
  <si>
    <t>250/401/1200/600/250</t>
  </si>
  <si>
    <t>R-1000*2280/1870</t>
  </si>
  <si>
    <t>265/825/1200/575/250</t>
  </si>
  <si>
    <t>R-1000*1870</t>
  </si>
  <si>
    <t>250*700*1000</t>
  </si>
  <si>
    <t>250/571/1000/569/250</t>
  </si>
  <si>
    <t>SCF - Single Concentric Footing</t>
  </si>
  <si>
    <t>250*900*1000</t>
  </si>
  <si>
    <t>360/1160/1000/620/250</t>
  </si>
  <si>
    <t>250*900*800</t>
  </si>
  <si>
    <t>250/669/800/670/250</t>
  </si>
  <si>
    <t>300/970/1000/1359/300</t>
  </si>
  <si>
    <t>250*1200*800</t>
  </si>
  <si>
    <t>650/502/1000/2500/1000</t>
  </si>
  <si>
    <t>TLC-4607*1970</t>
  </si>
  <si>
    <t>300/1020/1000/820</t>
  </si>
  <si>
    <t>650/1122/1000/2500/1000</t>
  </si>
  <si>
    <t>TLC-5227*1950</t>
  </si>
  <si>
    <t>250/845/1200/550/250</t>
  </si>
  <si>
    <t>L-1000*1870</t>
  </si>
  <si>
    <t>300/925/1000/925/300</t>
  </si>
  <si>
    <t>CF</t>
  </si>
  <si>
    <t>COL - Column</t>
  </si>
  <si>
    <t>250*750*750</t>
  </si>
  <si>
    <t>TLC</t>
  </si>
  <si>
    <t>TRC</t>
  </si>
  <si>
    <t>TLC - MEP RECESS 600</t>
  </si>
  <si>
    <t>800/1295/1500/1295/800</t>
  </si>
  <si>
    <t>DCF - Double Concentric Footing</t>
  </si>
  <si>
    <t>300/870/1000/1800/1000/870/300</t>
  </si>
  <si>
    <t>300/863/1000/1800/1000/863/300</t>
  </si>
  <si>
    <t>800/155/1200/2500/1200/140/800</t>
  </si>
  <si>
    <t>800/490/1200/1800/1200/490/800</t>
  </si>
  <si>
    <t>800/560/2400/2230/800</t>
  </si>
  <si>
    <t>800/1250/1500/995/800</t>
  </si>
  <si>
    <t>300/1000/1000/1000/300</t>
  </si>
  <si>
    <t>250*900*2000</t>
  </si>
  <si>
    <t>300/1285/2000/1285/300</t>
  </si>
  <si>
    <t>250*1300*1500</t>
  </si>
  <si>
    <t>800/1400/1500/600/800</t>
  </si>
  <si>
    <t>800/405/1000/1800/1000/405/800</t>
  </si>
  <si>
    <t>250*1100*2000</t>
  </si>
  <si>
    <t>800/750/2000/1860/590</t>
  </si>
  <si>
    <t>800/1418/2400/1618/800</t>
  </si>
  <si>
    <t>590/1860/2000/750/800</t>
  </si>
  <si>
    <t>800/356/1200/1800/1200/356/800</t>
  </si>
  <si>
    <t>800/800/2400/1712/800</t>
  </si>
  <si>
    <t>800/1552/2400/660/800</t>
  </si>
  <si>
    <t>MOKCUP</t>
  </si>
  <si>
    <t>DD-Z-J1B-001</t>
  </si>
  <si>
    <t>800/470/1200/1195/430</t>
  </si>
  <si>
    <t>DD-Z-J1B-004</t>
  </si>
  <si>
    <t>800/1412/1500/1412/800</t>
  </si>
  <si>
    <t>800/1047/1500/1043/800</t>
  </si>
  <si>
    <t>800/1390/1500/1460/800</t>
  </si>
  <si>
    <t>4-RECESS</t>
  </si>
  <si>
    <t>800/1270/1500/1320/800</t>
  </si>
  <si>
    <t>800/650/1000/1800/1000/690</t>
  </si>
  <si>
    <t>800/870/1000/1800/1000/920/800</t>
  </si>
  <si>
    <t>800/920/1000/1800/1000/920/800</t>
  </si>
  <si>
    <t>800/265/1000/2500/1000/250/800</t>
  </si>
  <si>
    <t>800/275/1000/1800/1000/275/800</t>
  </si>
  <si>
    <t>800/700/2000/1650/800</t>
  </si>
  <si>
    <t>250*800*1600</t>
  </si>
  <si>
    <t>610/989/1600/989/610</t>
  </si>
  <si>
    <t>DD-Z-J1B-006</t>
  </si>
  <si>
    <t>610/178/800/1800/800</t>
  </si>
  <si>
    <t>250/490/800/345/250</t>
  </si>
  <si>
    <t>MEP RECESS 600</t>
  </si>
  <si>
    <t>DD-Z-J1B-007</t>
  </si>
  <si>
    <t>250*1150*1200</t>
  </si>
  <si>
    <t>800/444/1200/444/1200</t>
  </si>
  <si>
    <t>800/420/1200/420/800</t>
  </si>
  <si>
    <t>800/670/1200/670/800</t>
  </si>
  <si>
    <t>800/920/1200/920/800</t>
  </si>
  <si>
    <t>800/945/1200/946/800</t>
  </si>
  <si>
    <t>800/247/1000/1800/1000/247/800</t>
  </si>
  <si>
    <t>800/670/2000/1625/800</t>
  </si>
  <si>
    <t>800/661/1000/1800/1000/661/800</t>
  </si>
  <si>
    <t>800/2072/2000/1050/800</t>
  </si>
  <si>
    <t>250*700*700</t>
  </si>
  <si>
    <t>300/322/700/3321/300</t>
  </si>
  <si>
    <t>250*800*3500</t>
  </si>
  <si>
    <t>800/809/3500/813/800</t>
  </si>
  <si>
    <t>800/1070/1200/1070/800</t>
  </si>
  <si>
    <t>DD-Z-J1B-002</t>
  </si>
  <si>
    <t>800/638/1000/1800/1000/638/800</t>
  </si>
  <si>
    <t>800/2027/2000/1050/800</t>
  </si>
  <si>
    <t>800/465/2400/1377/800</t>
  </si>
  <si>
    <t>650/1021/1000/1019/650</t>
  </si>
  <si>
    <t>800/1067/1200/1195/800</t>
  </si>
  <si>
    <t>250/520/1200/675/250</t>
  </si>
  <si>
    <t>1 RECESS - 1000*2200 opening</t>
  </si>
  <si>
    <t>DD-Z-J1B-003</t>
  </si>
  <si>
    <t>800/520/1200/675/510</t>
  </si>
  <si>
    <t>1 RECESS - 1000*2180 opening</t>
  </si>
  <si>
    <t>800/1070/1200/1069/800</t>
  </si>
  <si>
    <t>250*1200*1500</t>
  </si>
  <si>
    <t>290/505/1000/610/250</t>
  </si>
  <si>
    <t>800/917/1200/914/800</t>
  </si>
  <si>
    <t>800/915/1200/915/800</t>
  </si>
  <si>
    <t>800/520/1200/675/491</t>
  </si>
  <si>
    <t>1 RECESS - 1000*2250 OPENING</t>
  </si>
  <si>
    <t>800/115/1200/2500/1200/800</t>
  </si>
  <si>
    <t>800/42/1200/1800/1200</t>
  </si>
  <si>
    <t>800/947/1000/340/800</t>
  </si>
  <si>
    <t>TLC-1642*1925</t>
  </si>
  <si>
    <t>300/260/700/260/300</t>
  </si>
  <si>
    <t>250*800*3503</t>
  </si>
  <si>
    <t>800/1373/3503/200/800</t>
  </si>
  <si>
    <t>300/586/700/586/300</t>
  </si>
  <si>
    <t>J1B1</t>
  </si>
  <si>
    <t>1200/2500/1200/115/800</t>
  </si>
  <si>
    <t>J1B2</t>
  </si>
  <si>
    <t>800/250/1000/2500/1000/265/800</t>
  </si>
  <si>
    <t>800/1069/1200/1071/800</t>
  </si>
  <si>
    <t>250/660/1200/514/800</t>
  </si>
  <si>
    <t>1 RECESS - 1000*1870 OPENING</t>
  </si>
  <si>
    <t>800/1318/1500/1318/800</t>
  </si>
  <si>
    <t>2 RECESS / 4005*170 CUTOUT</t>
  </si>
  <si>
    <t>800/385/1000/1800/1000/115/800</t>
  </si>
  <si>
    <t>800/250/1000/1800/1000/250/800</t>
  </si>
  <si>
    <t>800/700/2000/1600/670</t>
  </si>
  <si>
    <t>800/102/1200/1800/1200/103/800</t>
  </si>
  <si>
    <t>800/1465/2400/539/800</t>
  </si>
  <si>
    <t>500/815/1000/1020/400</t>
  </si>
  <si>
    <t>800/345/800/490/800</t>
  </si>
  <si>
    <t>250/740/1200/435/430</t>
  </si>
  <si>
    <t>2 RECESS / 4005*100 CUTOUT</t>
  </si>
  <si>
    <t>800/350/1000/1800/1000/150/800</t>
  </si>
  <si>
    <t>800/302/1000/1800/1000/303/800</t>
  </si>
  <si>
    <t>395/345/800/490/395</t>
  </si>
  <si>
    <t>J1B3</t>
  </si>
  <si>
    <t>600/1655/2000/750/800</t>
  </si>
  <si>
    <t>325/345/800/490/325</t>
  </si>
  <si>
    <t>J1B4</t>
  </si>
  <si>
    <t>800/303/1000/1800/1000/303/800</t>
  </si>
  <si>
    <t>J1B5</t>
  </si>
  <si>
    <t>800/750/2000/1655/610</t>
  </si>
  <si>
    <t>270/490/800/345/250</t>
  </si>
  <si>
    <t>800/597/1500/278/800</t>
  </si>
  <si>
    <t>800/920/1500/920/800</t>
  </si>
  <si>
    <t>250*1650*1500</t>
  </si>
  <si>
    <t>800/1328/1500/1307/800</t>
  </si>
  <si>
    <t>800/388/1000/1800/1000/111/800</t>
  </si>
  <si>
    <t>800/700/2000/1600/560</t>
  </si>
  <si>
    <t>TRC-1868*1500</t>
  </si>
  <si>
    <t>610/1655/2000/750/800</t>
  </si>
  <si>
    <t>250/345/800/490/270</t>
  </si>
  <si>
    <t>J1B6</t>
  </si>
  <si>
    <t>800/846/1500/842/800</t>
  </si>
  <si>
    <t>800/1435/1500/1525/800</t>
  </si>
  <si>
    <t>1000*1870 opening</t>
  </si>
  <si>
    <t>800/801/1500/1290/800</t>
  </si>
  <si>
    <t>250*1400*1200</t>
  </si>
  <si>
    <t>800/182/1200/1800/1200/538/800</t>
  </si>
  <si>
    <t>250*1150*1500</t>
  </si>
  <si>
    <t>800/1313/1500/1312/800</t>
  </si>
  <si>
    <t>560/1740/1500/885/800</t>
  </si>
  <si>
    <t>800/385/1000/1800/1000/339/800</t>
  </si>
  <si>
    <t>800/362/1000/1800/1000/362/800</t>
  </si>
  <si>
    <t>800/825/2000/1699/550</t>
  </si>
  <si>
    <t>800/250/1000/2500/1000/250/800</t>
  </si>
  <si>
    <t>271/781/1000/747/271</t>
  </si>
  <si>
    <t>300/928/1000/917/250</t>
  </si>
  <si>
    <t>J1B7</t>
  </si>
  <si>
    <t>800/719/1000/1800/1000/719/800</t>
  </si>
  <si>
    <t>800/1150/2000/2088/570</t>
  </si>
  <si>
    <t>800/273/1000/1800/1000/273/800</t>
  </si>
  <si>
    <t>550/1617/2000/729/800</t>
  </si>
  <si>
    <t>300/214/1000/725/300</t>
  </si>
  <si>
    <t>TRC-1541*1950</t>
  </si>
  <si>
    <t>500/971/1000/982/250</t>
  </si>
  <si>
    <t>300/124/1000/1020/400</t>
  </si>
  <si>
    <t>J1B8</t>
  </si>
  <si>
    <t>765/1200/1000/1200/765</t>
  </si>
  <si>
    <t>800/1200/1000/1200/800</t>
  </si>
  <si>
    <t>800/540/1000/1800/1000/540/800</t>
  </si>
  <si>
    <t>250/1011/1200/1294/720</t>
  </si>
  <si>
    <t>800/1425/1500/1533/800</t>
  </si>
  <si>
    <t>800/1765/1500/895/800</t>
  </si>
  <si>
    <t>800/895/1000/1800/100/896/800</t>
  </si>
  <si>
    <t>800/669/1000/1800/1000/672/800</t>
  </si>
  <si>
    <t>800/347/1000/1800/1000/347/800</t>
  </si>
  <si>
    <t>570/1694/2000/800/800</t>
  </si>
  <si>
    <t>500/923/1600/922/500</t>
  </si>
  <si>
    <t>500/1035/1600/922/500</t>
  </si>
  <si>
    <t>285/372/800/490/285</t>
  </si>
  <si>
    <t>300/640/1000/1800/1000/1080/250</t>
  </si>
  <si>
    <t>800/867/1000/867/800</t>
  </si>
  <si>
    <t>in same drawing</t>
  </si>
  <si>
    <t>760/1000/1000/1000/760</t>
  </si>
  <si>
    <t>290/401/1200/595/290</t>
  </si>
  <si>
    <t>R-1000*2350/1870</t>
  </si>
  <si>
    <t>250/800/1500/1295/650</t>
  </si>
  <si>
    <t>1000*1870 AND 1000*1500</t>
  </si>
  <si>
    <t>800/423/1200/312/800</t>
  </si>
  <si>
    <t>L-C</t>
  </si>
  <si>
    <t>650/1200/1200/860/250</t>
  </si>
  <si>
    <t>L-C+R</t>
  </si>
  <si>
    <t>250*800*2000</t>
  </si>
  <si>
    <t>TRC-2929*1500</t>
  </si>
  <si>
    <t>J1C1</t>
  </si>
  <si>
    <t>DD-Z-J1C-001</t>
  </si>
  <si>
    <t>650/850/1000/1800/1000/851/650</t>
  </si>
  <si>
    <t>800/965/1200/1016/800</t>
  </si>
  <si>
    <t>DD-Z-J1C-002</t>
  </si>
  <si>
    <t>800/170/1200/170/800</t>
  </si>
  <si>
    <t>800/400/1200/400/800</t>
  </si>
  <si>
    <t>800/146/1200/165/800</t>
  </si>
  <si>
    <t>800/155/1200/156/800</t>
  </si>
  <si>
    <t>800/678/1200/689/800</t>
  </si>
  <si>
    <t>800/1055/1200/1055/800</t>
  </si>
  <si>
    <t>250/400/1200/595/250</t>
  </si>
  <si>
    <t xml:space="preserve">1000*1870 </t>
  </si>
  <si>
    <t>J1C5</t>
  </si>
  <si>
    <t>J1C6</t>
  </si>
  <si>
    <t>800/1045/1500/1045/800</t>
  </si>
  <si>
    <t>800/1027/1500/1028/800</t>
  </si>
  <si>
    <t>850/870/2000/1800/500</t>
  </si>
  <si>
    <t>TRC- 1870*1500 -3 RECESS</t>
  </si>
  <si>
    <t>800/666/2400/1589/800</t>
  </si>
  <si>
    <t>TRC- 1870*1500</t>
  </si>
  <si>
    <t>550/1160/2000/1160/550</t>
  </si>
  <si>
    <t>800/440/800/395/800</t>
  </si>
  <si>
    <t>300/485/1000/485/300</t>
  </si>
  <si>
    <t>300/100/1000/800/1000/106/250</t>
  </si>
  <si>
    <t>300/106/1000/1800/1000/106/300</t>
  </si>
  <si>
    <t>TLC-MEP RECESS 600</t>
  </si>
  <si>
    <t>DD-Z-J1C-004</t>
  </si>
  <si>
    <t>J1C2</t>
  </si>
  <si>
    <t>650/327/1000/1800/1000/329/650</t>
  </si>
  <si>
    <t>J1C3</t>
  </si>
  <si>
    <t>650/655/1000/1800/1000</t>
  </si>
  <si>
    <t>TLC-1500*4060</t>
  </si>
  <si>
    <t>TLC-1000*1870/2290</t>
  </si>
  <si>
    <t>800/592/1000/1800/1000/800</t>
  </si>
  <si>
    <t>800/396/1000/1800/1000/395/800</t>
  </si>
  <si>
    <t>800/800/2000/1791/800</t>
  </si>
  <si>
    <t>TRC-1500*1871</t>
  </si>
  <si>
    <t>1200/2500/1200/115</t>
  </si>
  <si>
    <t>800/242/1200/1800/1200/213/800</t>
  </si>
  <si>
    <t>800/1589/2400/666/800</t>
  </si>
  <si>
    <t>800/395/800/441/800</t>
  </si>
  <si>
    <t>TRC-MEP RECESS 600</t>
  </si>
  <si>
    <t>TLC-1000*1870/2270</t>
  </si>
  <si>
    <t>800/630/1000/1800/1000/70</t>
  </si>
  <si>
    <t>800/350/1000/1800/1000/350/800</t>
  </si>
  <si>
    <t>800/770/2000/1730/800</t>
  </si>
  <si>
    <t>TRC-1500*1870</t>
  </si>
  <si>
    <t>800/428/1000/1800/1000/427/800</t>
  </si>
  <si>
    <t>800/1822/2000/833/800</t>
  </si>
  <si>
    <t>250/395/800/440/270</t>
  </si>
  <si>
    <t>J1C4</t>
  </si>
  <si>
    <t>800/327/1000/1800/1000/329</t>
  </si>
  <si>
    <t>247/845/1200/550/250</t>
  </si>
  <si>
    <t>TLC-1000*1870/2200</t>
  </si>
  <si>
    <t>800/963/1200/1257/800</t>
  </si>
  <si>
    <t>TRC-421*1770</t>
  </si>
  <si>
    <t>800/735/1200/1155/800</t>
  </si>
  <si>
    <t>800/1057/1200/1057/800</t>
  </si>
  <si>
    <t>800/1736/1500/1224/800</t>
  </si>
  <si>
    <t>800/380/1000/1800/1000/740/800</t>
  </si>
  <si>
    <t>800/250/1000/2500/1000/265</t>
  </si>
  <si>
    <t>800/1810/2000/845/800</t>
  </si>
  <si>
    <t>255/393/800/442/270</t>
  </si>
  <si>
    <t>649/395/1000/1800/1000/396/650</t>
  </si>
  <si>
    <t>650/395/1000/1800/1000/395/650</t>
  </si>
  <si>
    <t>800/1050/1200/1050/800</t>
  </si>
  <si>
    <t>800/1190/1200/700/800</t>
  </si>
  <si>
    <t>TLC-590*1770</t>
  </si>
  <si>
    <t>800/1270/1200/950/800</t>
  </si>
  <si>
    <t>TLC-420*1770</t>
  </si>
  <si>
    <t>800/1225/1500/1735/580</t>
  </si>
  <si>
    <t>TRC-1070*1500</t>
  </si>
  <si>
    <t>800/1230/1500/860/800</t>
  </si>
  <si>
    <t>800/720/1000/1800/1000/400/800</t>
  </si>
  <si>
    <t>800/267/1000/2500/1000/250/800</t>
  </si>
  <si>
    <t>800/830/2000/1825/800</t>
  </si>
  <si>
    <t>510/445/800/390/510</t>
  </si>
  <si>
    <t>1000/1800/1000/788/650</t>
  </si>
  <si>
    <t>TRC-3793*1800</t>
  </si>
  <si>
    <t>650/394/1000/1800/1000/395/650</t>
  </si>
  <si>
    <t>800/57/1000/1800/1000/591/800</t>
  </si>
  <si>
    <t>800/1790/2000/800/800</t>
  </si>
  <si>
    <t>800/845/2000/1809/800</t>
  </si>
  <si>
    <t>J1C7</t>
  </si>
  <si>
    <t>1000/1800/1000/795/650</t>
  </si>
  <si>
    <t>TRC-3800*1800</t>
  </si>
  <si>
    <t>650/387/1000/1800/1000/408/650</t>
  </si>
  <si>
    <t>250/389/1200/606/250</t>
  </si>
  <si>
    <t>TRC-1000/1870</t>
  </si>
  <si>
    <t>800/70/1000/1800/1000/630/800</t>
  </si>
  <si>
    <t>800/1730/2000/770/800</t>
  </si>
  <si>
    <t>800/315/1200/1800/1200/315/800</t>
  </si>
  <si>
    <t>800/745/2400/1685/800</t>
  </si>
  <si>
    <t>800/425/800/395/800</t>
  </si>
  <si>
    <t>J1C8</t>
  </si>
  <si>
    <t>650/989/1000/985/650</t>
  </si>
  <si>
    <t>650/575/1000/1800/1000/573/650</t>
  </si>
  <si>
    <t>650/1150/1000/1800/1000</t>
  </si>
  <si>
    <t>TLC-4555*1500</t>
  </si>
  <si>
    <t>250/243/1000/1800/1000/532/250</t>
  </si>
  <si>
    <t>1000*1870</t>
  </si>
  <si>
    <t>800/628/1000/1800/1000/242/800</t>
  </si>
  <si>
    <t>800/426/1000/1800/1000/444/800</t>
  </si>
  <si>
    <t>800/841/2000/1829/790</t>
  </si>
  <si>
    <t>TRC-1885*1500</t>
  </si>
  <si>
    <t>800/315/1200/1800/1200/316/800</t>
  </si>
  <si>
    <t>800/1668/2400/765/800</t>
  </si>
  <si>
    <t>800/395/800/425/800</t>
  </si>
  <si>
    <t>J1C9</t>
  </si>
  <si>
    <t>800/777/1000/1800/1000/775/800</t>
  </si>
  <si>
    <t>250*1150*1000</t>
  </si>
  <si>
    <t>800/776/1000/1800/1000/776/800</t>
  </si>
  <si>
    <t>TLC-1000*1870/2160</t>
  </si>
  <si>
    <t>800/753/1200/1137/800</t>
  </si>
  <si>
    <t>800/672/1200/808/800</t>
  </si>
  <si>
    <t>-</t>
  </si>
  <si>
    <t>800/1735/1500/1225/800</t>
  </si>
  <si>
    <t>250*1400*1500</t>
  </si>
  <si>
    <t>800/868/1500/1222/800</t>
  </si>
  <si>
    <t>250*1200*1200</t>
  </si>
  <si>
    <t>800/200/1200/1800/1200/520/795</t>
  </si>
  <si>
    <t>800/1211/1500/1210/800</t>
  </si>
  <si>
    <t>790/1676/1500/745/800</t>
  </si>
  <si>
    <t>250*1250*1500</t>
  </si>
  <si>
    <t>800/1132/1500/1147/800</t>
  </si>
  <si>
    <t>250MM RECESS</t>
  </si>
  <si>
    <t>800/1110/1600/1110/800</t>
  </si>
  <si>
    <t>800/210/800/1800/800/210/800</t>
  </si>
  <si>
    <t>250/490/800/490/250</t>
  </si>
  <si>
    <t>300/70/1000/1800/1000/70/300</t>
  </si>
  <si>
    <t>J1D1</t>
  </si>
  <si>
    <t>DD-Z-J1D-001</t>
  </si>
  <si>
    <t>800/537/1000/1800/1000/538/800</t>
  </si>
  <si>
    <t>800/541/1000/1800/1000/540/800</t>
  </si>
  <si>
    <t>800/1151/1500/1150/800</t>
  </si>
  <si>
    <t>800/135/1200/2500/1200/120/800</t>
  </si>
  <si>
    <t>800/485/1200/1800/1200/485/800</t>
  </si>
  <si>
    <t>550/118/800/1800/800/118/550</t>
  </si>
  <si>
    <t>300/1180/1000/1174/300</t>
  </si>
  <si>
    <t>J1D2</t>
  </si>
  <si>
    <t>730/221/1000/1800/1000/221/730</t>
  </si>
  <si>
    <t>730/1000/1000/1000/730</t>
  </si>
  <si>
    <t>730/631/1000/632/730</t>
  </si>
  <si>
    <t>800/406/1000/1800/1000/406/800</t>
  </si>
  <si>
    <t>800/120/1200/2500/1200/165/800</t>
  </si>
  <si>
    <t>300/1030/2000/645/300</t>
  </si>
  <si>
    <t>300/1123/1000/1800/1000/1127/300</t>
  </si>
  <si>
    <t>J1D3</t>
  </si>
  <si>
    <t>650/1061/1000/1063/650</t>
  </si>
  <si>
    <t>650/1056/1000/1065/650</t>
  </si>
  <si>
    <t>650/1056/1000/1056/650</t>
  </si>
  <si>
    <t>800/623/1000/1800/1000/623/800</t>
  </si>
  <si>
    <t>300/481/1000/481/300</t>
  </si>
  <si>
    <t>300/897/1000/926/300</t>
  </si>
  <si>
    <t>J1D4</t>
  </si>
  <si>
    <t>650/1000/1000/1800/1000/1000/650</t>
  </si>
  <si>
    <t>800/150/1200/2500/1200/135/800</t>
  </si>
  <si>
    <t>300/1395/2000/1395/360</t>
  </si>
  <si>
    <t>J1D5</t>
  </si>
  <si>
    <t>790/1133/1000/1800/1000/1134/790</t>
  </si>
  <si>
    <t>800/1425/1500/1425/800</t>
  </si>
  <si>
    <t>800/670/1000/1800/1000/670/800</t>
  </si>
  <si>
    <t>800/135/1200/2500/1200/150/800</t>
  </si>
  <si>
    <t>550/1040/1000/1040/550</t>
  </si>
  <si>
    <t>650/850/1000/1800/1000/850/650</t>
  </si>
  <si>
    <t>800/1009/1200/1009/800</t>
  </si>
  <si>
    <t>4 -RECESS</t>
  </si>
  <si>
    <t>DD-Z-J1C-005</t>
  </si>
  <si>
    <t>650/391/1000/1800/1000/404/650</t>
  </si>
  <si>
    <t>800/838/1500/1082/800</t>
  </si>
  <si>
    <t>TRC-430*1770</t>
  </si>
  <si>
    <t>A1B4</t>
  </si>
  <si>
    <t>DD-Z-A1B-001</t>
  </si>
  <si>
    <t>400/1005/1500/1315/800</t>
  </si>
  <si>
    <t>L-1000*1870 + 420*1770</t>
  </si>
  <si>
    <t>800/314/1200/1800/1200</t>
  </si>
  <si>
    <t>A1B5</t>
  </si>
  <si>
    <t>250/1455/1500/1506/800</t>
  </si>
  <si>
    <t>800/434/1000/1800/1000/303/800</t>
  </si>
  <si>
    <t>800/327/1000/1800/1000/355/800</t>
  </si>
  <si>
    <t>800/74/1200/1800/1200/73/800</t>
  </si>
  <si>
    <t>1200/2500/1200/800</t>
  </si>
  <si>
    <t>A1B6</t>
  </si>
  <si>
    <t>800/307/1000/1800/1000/307/800</t>
  </si>
  <si>
    <t>800/308/1000/1800/1000/305/800</t>
  </si>
  <si>
    <t>800/297/1000/1800/1000/297/800</t>
  </si>
  <si>
    <t>500/500/800/498/500</t>
  </si>
  <si>
    <t>250/768/1000/1020/500</t>
  </si>
  <si>
    <t>A1B7</t>
  </si>
  <si>
    <t>650/706/1000/705/650</t>
  </si>
  <si>
    <t>800/368/1000/1800/1000/424/800</t>
  </si>
  <si>
    <t>A1B8</t>
  </si>
  <si>
    <t>1000/2500/1000/1387/650</t>
  </si>
  <si>
    <t>TRC-5087*1500</t>
  </si>
  <si>
    <t>650/1046/1000/1800/1000/1042/650</t>
  </si>
  <si>
    <t>TRC-1000*2010</t>
  </si>
  <si>
    <t>800/398/1000/1800/1000/400/800</t>
  </si>
  <si>
    <t>800/461/1000/1800/1000/456/800</t>
  </si>
  <si>
    <t>800/457/1000/1800/1000/460/800</t>
  </si>
  <si>
    <t>A1B9</t>
  </si>
  <si>
    <t>TRC-1000*1920</t>
  </si>
  <si>
    <t>800/458/1000/1800/1000/458/800</t>
  </si>
  <si>
    <t>A1B10</t>
  </si>
  <si>
    <t>650/944/1000/1800/1000/943/650</t>
  </si>
  <si>
    <t>800/367/1000/1800/1000/800</t>
  </si>
  <si>
    <t>800/1000/1800/1000/350/800</t>
  </si>
  <si>
    <t>800/429/1000/1800/1000/427/800</t>
  </si>
  <si>
    <t>595/397/800/441/595</t>
  </si>
  <si>
    <t>A1B11</t>
  </si>
  <si>
    <t>800/328/1000/1800/1000/328/800</t>
  </si>
  <si>
    <t>3 RECESS</t>
  </si>
  <si>
    <t>800/429/1000/1800/1000/800</t>
  </si>
  <si>
    <t>800/258/1000/2500/1000/258/800</t>
  </si>
  <si>
    <t>250/395/800/440/250</t>
  </si>
  <si>
    <t>DD-Z-J1D-004</t>
  </si>
  <si>
    <t>DD-Z-J1D-005</t>
  </si>
  <si>
    <t>790/1096/1000/1800/1000/1171/790</t>
  </si>
  <si>
    <t>300/133/1000/1800/1000/300</t>
  </si>
  <si>
    <t>550/940/800/1140/550</t>
  </si>
  <si>
    <t>670/490/800/490/670</t>
  </si>
  <si>
    <t>DD-Z-J1D-008</t>
  </si>
  <si>
    <t>680/490/800/490/680</t>
  </si>
  <si>
    <t>640/670/800/670/640</t>
  </si>
  <si>
    <t>800/1870/2400/900/800</t>
  </si>
  <si>
    <t>800/900/2400/1870/800</t>
  </si>
  <si>
    <t>DD-Z-J1D-006</t>
  </si>
  <si>
    <t>700/1762/2000/850/800</t>
  </si>
  <si>
    <t>800/1000/2000/2046/700</t>
  </si>
  <si>
    <t>800/288/1000/2500/1000/273/800</t>
  </si>
  <si>
    <t>DD-Z-J1D-007</t>
  </si>
  <si>
    <t>800/1250/2400/641/800</t>
  </si>
  <si>
    <t>650/1852/2000/760/800</t>
  </si>
  <si>
    <t>800/760/2000/1852/650</t>
  </si>
  <si>
    <t>800/1850/2400/920/800</t>
  </si>
  <si>
    <t>800/920/2400/1850/800</t>
  </si>
  <si>
    <t>800/1958/1500/1022/800</t>
  </si>
  <si>
    <t>800/1210/1500/1750/800</t>
  </si>
  <si>
    <t>TRC-1870*1500 + TLC-420*1770</t>
  </si>
  <si>
    <t>800/1234/1500/856/800</t>
  </si>
  <si>
    <t>250/795/1200/600/250</t>
  </si>
  <si>
    <t>R-1000*2290</t>
  </si>
  <si>
    <t>650/1635/1500/970/250</t>
  </si>
  <si>
    <t>TLC-1910*1500 + R-1000*1870</t>
  </si>
  <si>
    <t>650/400/1000/1137/650</t>
  </si>
  <si>
    <t>TRC-1742*1700</t>
  </si>
  <si>
    <t>360/400/1200/595/360</t>
  </si>
  <si>
    <t>250/795/1200/601/250</t>
  </si>
  <si>
    <t>L-1000*2360</t>
  </si>
  <si>
    <t>250/400/1200/596/250</t>
  </si>
  <si>
    <t>DD-Z-A1B-004</t>
  </si>
  <si>
    <t>500/860/400/1000/1800/1000/1038/300</t>
  </si>
  <si>
    <t>DD-Z-A1B-005</t>
  </si>
  <si>
    <t>400/1022/1000/814/500</t>
  </si>
  <si>
    <t>800/250/1000/2500/1000/800</t>
  </si>
  <si>
    <t>800/158/1200/1800/1200/800</t>
  </si>
  <si>
    <t>590/1785/2000/870/800</t>
  </si>
  <si>
    <t>800/800/2000/1700/590</t>
  </si>
  <si>
    <t>800/830/2000/1767/550</t>
  </si>
  <si>
    <t>640/1816/2000/900/800</t>
  </si>
  <si>
    <t>800/830/2000/1767/640</t>
  </si>
  <si>
    <t>800/1817/2000/900/800</t>
  </si>
  <si>
    <t>800/850/2000/1773/670</t>
  </si>
  <si>
    <t>TRC-1890*1500</t>
  </si>
  <si>
    <t>580/1664/2000/750/800</t>
  </si>
  <si>
    <t>TLC-1881*1500</t>
  </si>
  <si>
    <t>800/750/2000/1663/580</t>
  </si>
  <si>
    <t>770/674/2000/720/800</t>
  </si>
  <si>
    <t>800/770/2000/1742/770</t>
  </si>
  <si>
    <t>800/1447/2400/500/800</t>
  </si>
  <si>
    <t>800/585/2400/1530/800</t>
  </si>
  <si>
    <t>250/725/1200/470/250</t>
  </si>
  <si>
    <t>DD-Z-A1B-006</t>
  </si>
  <si>
    <t>800/1040/1200/1070/800</t>
  </si>
  <si>
    <t>800/945/1200/945/800</t>
  </si>
  <si>
    <t>800/445/1200/445/800</t>
  </si>
  <si>
    <t>800/230/1200/205/800</t>
  </si>
  <si>
    <t>800/1096/1200/1096/800</t>
  </si>
  <si>
    <t>800/328/1000/1800/1000/800</t>
  </si>
  <si>
    <t>650/1187/1000/2500/1000</t>
  </si>
  <si>
    <t>TLC-5292*1500</t>
  </si>
  <si>
    <t>TRC-5092*1850</t>
  </si>
  <si>
    <t>470/596/800/595/470</t>
  </si>
  <si>
    <t>595/440/800/395/595</t>
  </si>
  <si>
    <t>270/440/800/395/250</t>
  </si>
  <si>
    <t>270/484/800/484/250</t>
  </si>
  <si>
    <t>470/695/800/495/470</t>
  </si>
  <si>
    <t>555/377/800/440/555</t>
  </si>
  <si>
    <t>300/855/1000/1020/300</t>
  </si>
  <si>
    <t>250/1214/1000/1203/250</t>
  </si>
  <si>
    <t>250/1336/1000/1334/250</t>
  </si>
  <si>
    <t>250/1020/1000/855/250</t>
  </si>
  <si>
    <t>J2A1</t>
  </si>
  <si>
    <t>DD-Z-J2A-001</t>
  </si>
  <si>
    <t>800/454/1000/1800/1000/454/800</t>
  </si>
  <si>
    <t>R-1000*</t>
  </si>
  <si>
    <t>800/1533/1500/1425/800</t>
  </si>
  <si>
    <t>DD-Z-J2A-004</t>
  </si>
  <si>
    <t>800/1100/1500/1560/800</t>
  </si>
  <si>
    <t>TRC- 1550*1500</t>
  </si>
  <si>
    <t>800/695/1200/1800/1200/694/800</t>
  </si>
  <si>
    <t>800/367/1000/1800/1000/367/800</t>
  </si>
  <si>
    <t>800/979/1600/941/800</t>
  </si>
  <si>
    <t>800/912/1600/1012/800</t>
  </si>
  <si>
    <t>640/440/800/395/640</t>
  </si>
  <si>
    <t>300/1470/2000/1470/250</t>
  </si>
  <si>
    <t>J2A2</t>
  </si>
  <si>
    <t>650/944/1000/1800/1000/944/650</t>
  </si>
  <si>
    <t>J2A3</t>
  </si>
  <si>
    <t>J2A4</t>
  </si>
  <si>
    <t>L-1000*</t>
  </si>
  <si>
    <t>800/1183/1500/1180/800</t>
  </si>
  <si>
    <t>800/1112/2000/1422/600</t>
  </si>
  <si>
    <t>500/1422/2000/1112/800</t>
  </si>
  <si>
    <t>250/1070/1000/785/500</t>
  </si>
  <si>
    <t>640/395/800/440/640</t>
  </si>
  <si>
    <t>250/855/1200/540/250</t>
  </si>
  <si>
    <t>L-1000*1950</t>
  </si>
  <si>
    <t>800/1112/2000/1422/650</t>
  </si>
  <si>
    <t>600/1422/2000/1112/800</t>
  </si>
  <si>
    <t>L-1000*2010</t>
  </si>
  <si>
    <t>800/800/2000/1734/750</t>
  </si>
  <si>
    <t>650/1422/2000/1112/800</t>
  </si>
  <si>
    <t>J2A5</t>
  </si>
  <si>
    <t>750/1734/2000/800/800</t>
  </si>
  <si>
    <t>390/395/800/440/390</t>
  </si>
  <si>
    <t>J2A21</t>
  </si>
  <si>
    <t>250/400/1200/595</t>
  </si>
  <si>
    <t>TRC-1000*1870</t>
  </si>
  <si>
    <t>J2A22</t>
  </si>
  <si>
    <t>J2A23</t>
  </si>
  <si>
    <t>J2A24</t>
  </si>
  <si>
    <t>J2A25</t>
  </si>
  <si>
    <t>J2A26</t>
  </si>
  <si>
    <t>800/800/2000/1734/800</t>
  </si>
  <si>
    <t>575/440/800/395/575</t>
  </si>
  <si>
    <t>650/1044/1000/1800/1000/1044/650</t>
  </si>
  <si>
    <t>800/1734/2000/800/800</t>
  </si>
  <si>
    <t>800/100/1200/2500/1200</t>
  </si>
  <si>
    <t>800/136/1200/1800/1200/136/800</t>
  </si>
  <si>
    <t>800/750/2000/1722/800</t>
  </si>
  <si>
    <t>800/1472/2400/600/800</t>
  </si>
  <si>
    <t>800/495/1200/1800/1200/495/800</t>
  </si>
  <si>
    <t>800/1722/2000/750/800</t>
  </si>
  <si>
    <t>800/336/1000/1800/1000/336/800</t>
  </si>
  <si>
    <t>800/1053/2000/1054/800</t>
  </si>
  <si>
    <t>500/835/1000/1020/400</t>
  </si>
  <si>
    <t>800/1181/1500/1181/800</t>
  </si>
  <si>
    <t>800/600/2400/1533/800</t>
  </si>
  <si>
    <t>800/187/1200/1800/1200/167</t>
  </si>
  <si>
    <t>250/100/1200/2500/1200</t>
  </si>
  <si>
    <t>500/785/1000/1070/350</t>
  </si>
  <si>
    <t>585/440/800/395/585</t>
  </si>
  <si>
    <t>800/650/2400/1483/800</t>
  </si>
  <si>
    <t>800/1533/2400/600/800</t>
  </si>
  <si>
    <t>800/167/1200/1800/1200/167/800</t>
  </si>
  <si>
    <t>500/635/1000/1220/400</t>
  </si>
  <si>
    <t>J2A27</t>
  </si>
  <si>
    <t>650/328/1000/1800/1000/328/650</t>
  </si>
  <si>
    <t>TRC-120*1770</t>
  </si>
  <si>
    <t>800/805/1200/805/800</t>
  </si>
  <si>
    <t>630/1860/1500/1100/800</t>
  </si>
  <si>
    <t>800/400/1000/1800/1000/720/800</t>
  </si>
  <si>
    <t>800/1483/2400/650/800</t>
  </si>
  <si>
    <t>800/167/200/1800/1200/167/800</t>
  </si>
  <si>
    <t>1200/2500/1200/100/800</t>
  </si>
  <si>
    <t>800/395/800/440/800</t>
  </si>
  <si>
    <t>A1D14</t>
  </si>
  <si>
    <t>DD-Z-A1D-004</t>
  </si>
  <si>
    <t>800/1017/1200/876/800</t>
  </si>
  <si>
    <t>650/779/1000/779/650</t>
  </si>
  <si>
    <t>A1D11</t>
  </si>
  <si>
    <t>250/390/800/440/270</t>
  </si>
  <si>
    <t>A1D4</t>
  </si>
  <si>
    <t>A1D5</t>
  </si>
  <si>
    <t>300/1170/1000/1170/300</t>
  </si>
  <si>
    <t>300/873/1000/872/1000</t>
  </si>
  <si>
    <t>A1D6</t>
  </si>
  <si>
    <t>300/820/1000/1020/300</t>
  </si>
  <si>
    <t>A1D15</t>
  </si>
  <si>
    <t>300/515/1000/515/300</t>
  </si>
  <si>
    <t>A1D3</t>
  </si>
  <si>
    <t>DD-Z-A1D-001</t>
  </si>
  <si>
    <t>300/90/1000/1800/1000/100/250</t>
  </si>
  <si>
    <t>250/465/1000/1800/1000/465</t>
  </si>
  <si>
    <t>A1D2</t>
  </si>
  <si>
    <t>300/813/1000/1800/1000/870/250</t>
  </si>
  <si>
    <t>A1D1</t>
  </si>
  <si>
    <t>300/935/1000/920/300</t>
  </si>
  <si>
    <t>700/1123/1000/1800/1000/1123/700</t>
  </si>
  <si>
    <t>L-420*1770</t>
  </si>
  <si>
    <t>L-590*1770</t>
  </si>
  <si>
    <t>800/720/1000/1800/1000/800</t>
  </si>
  <si>
    <t>800/1393/500/1393/800</t>
  </si>
  <si>
    <t>800/1270/1500/820/800</t>
  </si>
  <si>
    <t>800/1230/1500/1730/800</t>
  </si>
  <si>
    <t>TRC-1870*1500 + L-420*1770</t>
  </si>
  <si>
    <t>800/1132/1000/1800/1000/1129/800</t>
  </si>
  <si>
    <t>650/440/800/390/650</t>
  </si>
  <si>
    <t>650/390/800/440/650</t>
  </si>
  <si>
    <t>460/595/800/595/460</t>
  </si>
  <si>
    <t>640/440/800/390/640</t>
  </si>
  <si>
    <t>640/390/800/440/640</t>
  </si>
  <si>
    <t>630/440/800/390/630</t>
  </si>
  <si>
    <t>800/560/1000/1800/1000/561/800</t>
  </si>
  <si>
    <t>480/440/800/390/480</t>
  </si>
  <si>
    <t>820/418/1000/1800/1000/418/820</t>
  </si>
  <si>
    <t>480/390/800/440/480</t>
  </si>
  <si>
    <t>550/440/800/405/550</t>
  </si>
  <si>
    <t>A1D7</t>
  </si>
  <si>
    <t>550/395/800/440/550</t>
  </si>
  <si>
    <t>A1D8</t>
  </si>
  <si>
    <t>A1D10</t>
  </si>
  <si>
    <t>A1D9</t>
  </si>
  <si>
    <t>A1D12</t>
  </si>
  <si>
    <t>325/440/800/395/325</t>
  </si>
  <si>
    <t>A1D13</t>
  </si>
  <si>
    <t>480/455/800/455/480</t>
  </si>
  <si>
    <t>800/445/800/445/800</t>
  </si>
  <si>
    <t>800/341/1000/995/800</t>
  </si>
  <si>
    <t>TRC-1695*1920</t>
  </si>
  <si>
    <t>650/587/1000/1800/1000/588/650</t>
  </si>
  <si>
    <t>650/588/1000/1800/1000/587/650</t>
  </si>
  <si>
    <t>650/1160/1000/1160/650</t>
  </si>
  <si>
    <t>800/946/1200/946/800</t>
  </si>
  <si>
    <t>1000/1800/1000/738/650</t>
  </si>
  <si>
    <t>R-3763*1750</t>
  </si>
  <si>
    <t>250/402/1200/592/250</t>
  </si>
  <si>
    <t>650/386/1000/1800/1000/386/650</t>
  </si>
  <si>
    <t>1000/1800/1000/772/650</t>
  </si>
  <si>
    <t>TRC-3777*1600</t>
  </si>
  <si>
    <t>800/394/1000/1800/1000/396/800</t>
  </si>
  <si>
    <t>800/400/1000/1800/1000/390/800</t>
  </si>
  <si>
    <t>250*1300*1200</t>
  </si>
  <si>
    <t>800/195/1200/1800/1200/195/800</t>
  </si>
  <si>
    <t>800/162/1200/1800/1200/127/800</t>
  </si>
  <si>
    <t>800/345/1000/1800/1000/344/800</t>
  </si>
  <si>
    <t>650/958/1000/1800/1000</t>
  </si>
  <si>
    <t>TLC-4363*1540</t>
  </si>
  <si>
    <t>650/479/1000/1800/1000/479/650</t>
  </si>
  <si>
    <t>L</t>
  </si>
  <si>
    <t>650/914/1000/1800/1000</t>
  </si>
  <si>
    <t>TLC-4319*1530</t>
  </si>
  <si>
    <t>650/458/1000/1800/1000/457/650</t>
  </si>
  <si>
    <t>650/656/1000/1800/1000</t>
  </si>
  <si>
    <t>TLC-4060*1530</t>
  </si>
  <si>
    <t>650/328/1000/1800/1000/327/650</t>
  </si>
  <si>
    <t>250/855/1200/550/250</t>
  </si>
  <si>
    <t>650/658/1000/1800/1000</t>
  </si>
  <si>
    <t>TLC-4073*1540</t>
  </si>
  <si>
    <t>650/329/1000/1800/1000/329/650</t>
  </si>
  <si>
    <t>650/978/1000/1800/1000/977/650</t>
  </si>
  <si>
    <t>650/977/1000/1800/1000/978/650</t>
  </si>
  <si>
    <t>1000/2500/1000/1255/650</t>
  </si>
  <si>
    <t>TRC-4960*1500</t>
  </si>
  <si>
    <t>650/743/1000/1800/1000/741/650</t>
  </si>
  <si>
    <t>650/742/1000/1800/1000/742/650</t>
  </si>
  <si>
    <t>1000/2500/1000/759/650</t>
  </si>
  <si>
    <t>TRC-4515*1510</t>
  </si>
  <si>
    <t>250/420/1200/590/250</t>
  </si>
  <si>
    <t>650/729/1000/729/650</t>
  </si>
  <si>
    <t>650/601/1000/1400/650</t>
  </si>
  <si>
    <t>TRC-2205*500</t>
  </si>
  <si>
    <t>250/398/1200/597/270</t>
  </si>
  <si>
    <t>650/978/1000/1022/650</t>
  </si>
  <si>
    <t>650/901/1000/901/650</t>
  </si>
  <si>
    <t>650/1100/1000/1800/1000/1100/650</t>
  </si>
  <si>
    <t>800/979/1000/1800/1000/978/800</t>
  </si>
  <si>
    <t>800/605/1500/1220/800</t>
  </si>
  <si>
    <t>800/695/1200/1800/1200/695/800</t>
  </si>
  <si>
    <t>800/470/1200/1800/1200/470/800</t>
  </si>
  <si>
    <t>800/1221/1500/559/800</t>
  </si>
  <si>
    <t>800/270/1000/1800/1000/270/800</t>
  </si>
  <si>
    <t>800/725/2000/1633/500</t>
  </si>
  <si>
    <t>TRC-1936*1500</t>
  </si>
  <si>
    <t>800/775/1500/1643/600</t>
  </si>
  <si>
    <t>TRC-1872*500</t>
  </si>
  <si>
    <t>DD-Z-A1D-005</t>
  </si>
  <si>
    <t>800/750/1500/1660/600</t>
  </si>
  <si>
    <t>800/630/1000/1800/1000/170/800</t>
  </si>
  <si>
    <t>800/400/1000/1800/1000/400/800</t>
  </si>
  <si>
    <t>800/850/2000/1750/600</t>
  </si>
  <si>
    <t>TRC-1875*1499</t>
  </si>
  <si>
    <t>800/705/1000/1800/1000</t>
  </si>
  <si>
    <t>800/800/2000/1700/600</t>
  </si>
  <si>
    <t>850/640/1000/1800/1000</t>
  </si>
  <si>
    <t>800/395/1000/1800/1000/395/800</t>
  </si>
  <si>
    <t>800/850/2000/1740/600</t>
  </si>
  <si>
    <t>TRC-1864*1500</t>
  </si>
  <si>
    <t>800/865/2000/1791/600</t>
  </si>
  <si>
    <t>800/428/1000/1800/1000/428/850</t>
  </si>
  <si>
    <t>800/850/2000/1789/800</t>
  </si>
  <si>
    <t>TRC-1860*1500</t>
  </si>
  <si>
    <t>800/419/1000/1800/1000/419/800</t>
  </si>
  <si>
    <t>800/700/2400/1542/800</t>
  </si>
  <si>
    <t>570/1633/1500/785/800</t>
  </si>
  <si>
    <t>TLC-1868*1500</t>
  </si>
  <si>
    <t>830/250/1000/25000/1000/265/830</t>
  </si>
  <si>
    <t>800/1209/1500/1209/800</t>
  </si>
  <si>
    <t>800/785/1500/1625/600</t>
  </si>
  <si>
    <t>800/1205/1500/1205/800</t>
  </si>
  <si>
    <t>600/1720/2000/800/800</t>
  </si>
  <si>
    <t>TLC-1850*1500</t>
  </si>
  <si>
    <t>810/352/1000/1800/1000/352</t>
  </si>
  <si>
    <t>800/352/1000/1800/1000/352</t>
  </si>
  <si>
    <t>850/800/2000/1675/600</t>
  </si>
  <si>
    <t>850/351/1000/1800/1000/352/850</t>
  </si>
  <si>
    <t>1050/350/1000/1800/1000/352/1050</t>
  </si>
  <si>
    <t>1000/1800/1000/640/800</t>
  </si>
  <si>
    <t>800/399/1000/1800/100/391/800</t>
  </si>
  <si>
    <t>600/1873/2000/830/800</t>
  </si>
  <si>
    <t>1000/1800/1000/650/800</t>
  </si>
  <si>
    <t>800/399/1000/1800/1000/399/800</t>
  </si>
  <si>
    <t>800/1798/2000/800/800</t>
  </si>
  <si>
    <t>800/324/1000/1800/1000/324/800</t>
  </si>
  <si>
    <t>800/788/2000/1660/500</t>
  </si>
  <si>
    <t>TRC-1880*1500</t>
  </si>
  <si>
    <t>800/596/1000/1800/1000/596/800</t>
  </si>
  <si>
    <t>500/1942/2000/1050/800</t>
  </si>
  <si>
    <t>500/1867/2000/1021/800</t>
  </si>
  <si>
    <t>870/418/1000/1800/1000/418/870</t>
  </si>
  <si>
    <t>600/1762/2000/875/870</t>
  </si>
  <si>
    <t>800/552/1000/1800/1000/553/800</t>
  </si>
  <si>
    <t>550/1905/2000/1000/800</t>
  </si>
  <si>
    <t>800/489/1000/1800/1000/489/800</t>
  </si>
  <si>
    <t>600/1828/2000/950/800</t>
  </si>
  <si>
    <t>TLC-1862*1500</t>
  </si>
  <si>
    <t>800/428/1000/1800/1000/428/800</t>
  </si>
  <si>
    <t>600/1776/2000/880/800</t>
  </si>
  <si>
    <t>TLC-1873*1500</t>
  </si>
  <si>
    <t>860/250/1000/2500/1000/265/860</t>
  </si>
  <si>
    <t>860/428/1000/1800/1000/428/860</t>
  </si>
  <si>
    <t>600/1776/2000/880</t>
  </si>
  <si>
    <t>TLC-1872*1500</t>
  </si>
  <si>
    <t>800/221/1200/1800/1200/221/800</t>
  </si>
  <si>
    <t>800/140/1200/1800/1200/140/800</t>
  </si>
  <si>
    <t>800/1460/2400/620/800</t>
  </si>
  <si>
    <t>700/1491/1500/621/800</t>
  </si>
  <si>
    <t>800/895/1000/1800/1000/896/800</t>
  </si>
  <si>
    <t>923/670/1000/1800/1000/670/923</t>
  </si>
  <si>
    <t>A1D52</t>
  </si>
  <si>
    <t>800/1405/1500/1426/800</t>
  </si>
  <si>
    <t>J2C1</t>
  </si>
  <si>
    <t>DD-Z-J2C-001</t>
  </si>
  <si>
    <t>650/978/1000/1800/1000/978/650</t>
  </si>
  <si>
    <t>800/1577/1500/1577/800</t>
  </si>
  <si>
    <t>800/1207/1500/1207/800</t>
  </si>
  <si>
    <t>300/933/1000/927/300</t>
  </si>
  <si>
    <t>J2C2</t>
  </si>
  <si>
    <t>650/394/1000/1800/1000/394/650</t>
  </si>
  <si>
    <t>J2C3</t>
  </si>
  <si>
    <t>800/1233/1500/1232/800</t>
  </si>
  <si>
    <t>800/555/1000/1800/1000/554/800</t>
  </si>
  <si>
    <t>550/1916/2000/993/800</t>
  </si>
  <si>
    <t>J2C4</t>
  </si>
  <si>
    <t>650/912/1000/1800/1000/911/650</t>
  </si>
  <si>
    <t>800/912/1000/1800/1000/911/800</t>
  </si>
  <si>
    <t>800/1740/1500/1220/800</t>
  </si>
  <si>
    <t>800/1277/1500/1278/800</t>
  </si>
  <si>
    <t>500/1238/1000/1800/1000/1237/500</t>
  </si>
  <si>
    <t>J2C5</t>
  </si>
  <si>
    <t>650/1092/1000/1092/650</t>
  </si>
  <si>
    <t>650/450/1000/450/650</t>
  </si>
  <si>
    <t>J2C6</t>
  </si>
  <si>
    <t>800/395/800/395/800</t>
  </si>
  <si>
    <t>800/143/1000/2500/1000/157/800</t>
  </si>
  <si>
    <t>800/645/1000/1800/1000/645/800</t>
  </si>
  <si>
    <t>800/405/1000/1800/1000/406/800</t>
  </si>
  <si>
    <t>1000/1800/1000/811/550</t>
  </si>
  <si>
    <t>650/911/1000/1800/1000/912/650</t>
  </si>
  <si>
    <t>J2C7</t>
  </si>
  <si>
    <t>800/781/1500/1640/550</t>
  </si>
  <si>
    <t>550/811/1000/1800/1000</t>
  </si>
  <si>
    <t>DD-Z-J2A-005</t>
  </si>
  <si>
    <t>800/1112/2000/1422/500</t>
  </si>
  <si>
    <t>800/342/1000/1801/1000/342/800</t>
  </si>
  <si>
    <t>250/845/1200/465/250</t>
  </si>
  <si>
    <t>800/1750/1500/1210/800</t>
  </si>
  <si>
    <t>TLC-1870*1500 + TRC-420*1770</t>
  </si>
  <si>
    <t>800/1290/1500/800/800</t>
  </si>
  <si>
    <t>800/1170/1500/1790/800</t>
  </si>
  <si>
    <t>TRC-1870*1500 + 420*1770</t>
  </si>
  <si>
    <t>800/572/1000/1800/1000/573/800</t>
  </si>
  <si>
    <t>800/600/2400/1472/800</t>
  </si>
  <si>
    <t>650/711/1000/711/650</t>
  </si>
  <si>
    <t>250/1000/1790/1000/550/250</t>
  </si>
  <si>
    <t>TRC-1000*</t>
  </si>
  <si>
    <t>DD-Z-J1B-010</t>
  </si>
  <si>
    <t>800/700/2000/1600/600</t>
  </si>
  <si>
    <t>670/1655/2000/750/801</t>
  </si>
  <si>
    <t>800/460/1200/660/800</t>
  </si>
  <si>
    <t>800/750/1200/1140/800</t>
  </si>
  <si>
    <t>800/975/1200/1245/800</t>
  </si>
  <si>
    <t>800/747/1500/748/800</t>
  </si>
  <si>
    <t>250/1445/1500/1515/800</t>
  </si>
  <si>
    <t>800/845/1500/245/800</t>
  </si>
  <si>
    <t>R-590*1770</t>
  </si>
  <si>
    <t>800/880/1500/1210/800</t>
  </si>
  <si>
    <t>800/432/1000/1800/1000/658/800</t>
  </si>
  <si>
    <t>R-420*1770</t>
  </si>
  <si>
    <t>800/230/1200/1800/1200/490/800</t>
  </si>
  <si>
    <t>800/660/1200/460/800</t>
  </si>
  <si>
    <t>800/1133/1200/757/800</t>
  </si>
  <si>
    <t>800/1242/1200/978/800</t>
  </si>
  <si>
    <t>800/1210/1500/880/800</t>
  </si>
  <si>
    <t>800/1225/1500/1735/800</t>
  </si>
  <si>
    <t>800/1244/1500/846/800</t>
  </si>
  <si>
    <t>800/1515/1500/1445/800</t>
  </si>
  <si>
    <t>800/490/1200/1800/1200/230/800</t>
  </si>
  <si>
    <t>800/382/1200/402/800</t>
  </si>
  <si>
    <t>800/845/1500/845/800</t>
  </si>
  <si>
    <t>800/295/1500/295/800</t>
  </si>
  <si>
    <t>800/795/1500/795/800</t>
  </si>
  <si>
    <t>800/475/1500/455/800</t>
  </si>
  <si>
    <t>TRC-1000*1870 + 1 RECESS</t>
  </si>
  <si>
    <t>800/1195/1500/1195/800</t>
  </si>
  <si>
    <t>DD-Z-J2C-004</t>
  </si>
  <si>
    <t>250/399/1200/596/250</t>
  </si>
  <si>
    <t>R</t>
  </si>
  <si>
    <t>800/1220/1500/1740/600</t>
  </si>
  <si>
    <t>TLC+TRC</t>
  </si>
  <si>
    <t>800/778/1500/1636/550</t>
  </si>
  <si>
    <t>485/937/1000/1800/1000/938/485</t>
  </si>
  <si>
    <t>270/490/800/490/250</t>
  </si>
  <si>
    <t>In same drawing</t>
  </si>
  <si>
    <t>TRC-3793*1500</t>
  </si>
  <si>
    <t>550/1636/1500/778/800</t>
  </si>
  <si>
    <t>800/993/2000/1916/550</t>
  </si>
  <si>
    <t>800/1111/2000/1110/800</t>
  </si>
  <si>
    <t>270/440/800/405/50</t>
  </si>
  <si>
    <t>800/778/500/1636/550</t>
  </si>
  <si>
    <t>800/1083/2000/1082/1050</t>
  </si>
  <si>
    <t>610/435/800/400/610</t>
  </si>
  <si>
    <t>250/852/1200/543/250</t>
  </si>
  <si>
    <t>610/400/800/435/610</t>
  </si>
  <si>
    <t>250/963/1200/837/250</t>
  </si>
  <si>
    <t>800/768/1500/1628/800</t>
  </si>
  <si>
    <t>440/490/800/490/440</t>
  </si>
  <si>
    <t>480/565/1000/565/480</t>
  </si>
  <si>
    <t>BLC</t>
  </si>
  <si>
    <t>800/406/1000/1800/1000/405/800</t>
  </si>
  <si>
    <t>610/490/800/490/610</t>
  </si>
  <si>
    <t>550/1639/1500/782/800</t>
  </si>
  <si>
    <t>A1A1</t>
  </si>
  <si>
    <t>DD-Z-A1A-001</t>
  </si>
  <si>
    <t>800/758/1000/1800/1000/757/800</t>
  </si>
  <si>
    <t>800/430/1000/1800/1000/427/800</t>
  </si>
  <si>
    <t>800/433/1000/1800/1000/425/800</t>
  </si>
  <si>
    <t>250/1014/1200/884/250</t>
  </si>
  <si>
    <t>800/990/1200/908/800</t>
  </si>
  <si>
    <t>800/469/1200/1800/1200/471/800</t>
  </si>
  <si>
    <t>R RECESS</t>
  </si>
  <si>
    <t>800/1295/1500/1296/800</t>
  </si>
  <si>
    <t>800/1355/1500/1435/800</t>
  </si>
  <si>
    <t>800/165/1200/1800/1200/165/800</t>
  </si>
  <si>
    <t>800/650/2400/1480/800</t>
  </si>
  <si>
    <t>R-C</t>
  </si>
  <si>
    <t>800/946/1600/946/800</t>
  </si>
  <si>
    <t>250*1000*1600</t>
  </si>
  <si>
    <t>800/1025/1600/807/800</t>
  </si>
  <si>
    <t>250/1437/2000/1437/300</t>
  </si>
  <si>
    <t>A1A2</t>
  </si>
  <si>
    <t>650/936/1000/1800/1000/951</t>
  </si>
  <si>
    <t>800/300/1000/1800/1000/300/800</t>
  </si>
  <si>
    <t>800/720/2000/1678/800</t>
  </si>
  <si>
    <t>800/1480/2400/650/800</t>
  </si>
  <si>
    <t>800/1020/1000/835/800</t>
  </si>
  <si>
    <t>800/394/800/441/800</t>
  </si>
  <si>
    <t>A1A3</t>
  </si>
  <si>
    <t>650/936/1000/1800/1000/951/650</t>
  </si>
  <si>
    <t>800/248/1000/2500/1000/252/800</t>
  </si>
  <si>
    <t>800/1677/2000/796/800</t>
  </si>
  <si>
    <t>800/416/1200/1800/1200</t>
  </si>
  <si>
    <t>800/208/1200/1800/1200/208/800</t>
  </si>
  <si>
    <t>800/635/2400/1581/800</t>
  </si>
  <si>
    <t>615/396/800/439/615</t>
  </si>
  <si>
    <t>400/1020/1000/855/300</t>
  </si>
  <si>
    <t>A1A4</t>
  </si>
  <si>
    <t>650/1110/1000/1128/650</t>
  </si>
  <si>
    <t>650/1112/1000/1126/650</t>
  </si>
  <si>
    <t>650/1468/1000/770/650</t>
  </si>
  <si>
    <t>800/255/1000/1800/1000/256/800</t>
  </si>
  <si>
    <t>800/680/2000/1631</t>
  </si>
  <si>
    <t>800/105/1200/1800/1200/107/800</t>
  </si>
  <si>
    <t>800/1468/2400/542/800</t>
  </si>
  <si>
    <t>400/1070/1600/900/500</t>
  </si>
  <si>
    <t>582/250/1000/858/582</t>
  </si>
  <si>
    <t>A1A5</t>
  </si>
  <si>
    <t>250/714/1200/481/250</t>
  </si>
  <si>
    <t>800/943/1200/946/800</t>
  </si>
  <si>
    <t>800/1423/1500/1424/800</t>
  </si>
  <si>
    <t>1 RECESS + L-C</t>
  </si>
  <si>
    <t>800/269/1000/1800/1000/268/800</t>
  </si>
  <si>
    <t>800/1647/2000/690/800</t>
  </si>
  <si>
    <t>800/313/999/1800/1000</t>
  </si>
  <si>
    <t>800/260/1000/1800/1000/260/800</t>
  </si>
  <si>
    <t>800/670/2000/1650/800</t>
  </si>
  <si>
    <t>400/1050/1600/1000/500</t>
  </si>
  <si>
    <t>530/280/1000/980/5300</t>
  </si>
  <si>
    <t>A1A6</t>
  </si>
  <si>
    <t>800/900/1200/1320/800</t>
  </si>
  <si>
    <t>800/845/1200/844/800</t>
  </si>
  <si>
    <t>250/1445/1500/1516/800</t>
  </si>
  <si>
    <t>L+R-C</t>
  </si>
  <si>
    <t>800/750/1500/1340/800</t>
  </si>
  <si>
    <t>800/150/1000/1800/1000/150/800</t>
  </si>
  <si>
    <t>800/1518/2000/580/800</t>
  </si>
  <si>
    <t>800/357/1000/1800/1000/357/800</t>
  </si>
  <si>
    <t>800/775/2000/1739/800</t>
  </si>
  <si>
    <t>834/909/1000/896/834</t>
  </si>
  <si>
    <t>400/938/1000/937</t>
  </si>
  <si>
    <t>A1A7</t>
  </si>
  <si>
    <t>800/230/1200/230/770</t>
  </si>
  <si>
    <t>250/1450/1500/1510/800</t>
  </si>
  <si>
    <t>800/259/1000/1800/1000/262/800</t>
  </si>
  <si>
    <t>800/1636/2000/685/800</t>
  </si>
  <si>
    <t>800/312/1200/1800/1200</t>
  </si>
  <si>
    <t>800/156/1200/1800/1200/156/800</t>
  </si>
  <si>
    <t>800/590/2400/1522/800</t>
  </si>
  <si>
    <t>530/466/800/469/530</t>
  </si>
  <si>
    <t>A1A8</t>
  </si>
  <si>
    <t>L+1 RECESS</t>
  </si>
  <si>
    <t>250/752/1200/363/250</t>
  </si>
  <si>
    <t>800/20/1274/1500/1295/800</t>
  </si>
  <si>
    <t>800/1319/1500/1323/800</t>
  </si>
  <si>
    <t>800/895/1000/1800/1000/890/800</t>
  </si>
  <si>
    <t>800/100/1200/1800/1200/100/800</t>
  </si>
  <si>
    <t>800/1461/2400/539/800</t>
  </si>
  <si>
    <t>400/1025/1000/850/500</t>
  </si>
  <si>
    <t>615/800/439/615</t>
  </si>
  <si>
    <t>J1F109</t>
  </si>
  <si>
    <t>DD-Z-J1F-001</t>
  </si>
  <si>
    <t>J3C1</t>
  </si>
  <si>
    <t>DD-Z-J3C-001</t>
  </si>
  <si>
    <t>800/1300/1500/1290/800</t>
  </si>
  <si>
    <t>800/284/1000/2500/1000/284/800</t>
  </si>
  <si>
    <t>800/335/1000/1800/1000/335/800</t>
  </si>
  <si>
    <t>J3C2</t>
  </si>
  <si>
    <t>800/770/2000/1700/500</t>
  </si>
  <si>
    <t>540/136/800/1800/800/127/540</t>
  </si>
  <si>
    <t>540/126/800/1800/800/127/540</t>
  </si>
  <si>
    <t>800/530/800/530/800</t>
  </si>
  <si>
    <t>290/510/800/510/250</t>
  </si>
  <si>
    <t>250/1062/1000/1800/1000/283/250</t>
  </si>
  <si>
    <t>638 Return</t>
  </si>
  <si>
    <t>J3C3</t>
  </si>
  <si>
    <t>J3C4</t>
  </si>
  <si>
    <t>TRC-5092*1500</t>
  </si>
  <si>
    <t>J3C5</t>
  </si>
  <si>
    <t>J3C6</t>
  </si>
  <si>
    <t>J3C7</t>
  </si>
  <si>
    <t>J3C10</t>
  </si>
  <si>
    <t>TLC-5292*1530</t>
  </si>
  <si>
    <t>J3C8</t>
  </si>
  <si>
    <t>J3C9</t>
  </si>
  <si>
    <t>J3C11</t>
  </si>
  <si>
    <t>TLC-5292*1540</t>
  </si>
  <si>
    <t>TLC-2810*1530</t>
  </si>
  <si>
    <t>713 RETURN</t>
  </si>
  <si>
    <t>A1C-37</t>
  </si>
  <si>
    <t>DD-Z-A1C-001</t>
  </si>
  <si>
    <t>A1C-35</t>
  </si>
  <si>
    <t>J1F101</t>
  </si>
  <si>
    <t>TRC-1807*1500+L-420*1770</t>
  </si>
  <si>
    <t>J1F102</t>
  </si>
  <si>
    <t>J1F103</t>
  </si>
  <si>
    <t>J1F104</t>
  </si>
  <si>
    <t>L-1750*4060</t>
  </si>
  <si>
    <t>J1F105</t>
  </si>
  <si>
    <t>L-1770*5293</t>
  </si>
  <si>
    <t>J1F106</t>
  </si>
  <si>
    <t>L-1810*5293</t>
  </si>
  <si>
    <t>J1F107</t>
  </si>
  <si>
    <t>250*850*1000</t>
  </si>
  <si>
    <t>L-1870*1500</t>
  </si>
  <si>
    <t>J1F108</t>
  </si>
  <si>
    <t>L-3296*1990</t>
  </si>
  <si>
    <t>J1E6</t>
  </si>
  <si>
    <t>DD-Z-J1E-001</t>
  </si>
  <si>
    <t>J1E1</t>
  </si>
  <si>
    <t>J1E-J110-T1C1-002</t>
  </si>
  <si>
    <t>R-1870*1500</t>
  </si>
  <si>
    <t>J1E-J110-T2C1-002</t>
  </si>
  <si>
    <t>J1E2</t>
  </si>
  <si>
    <t>J1E3</t>
  </si>
  <si>
    <t>J1E4</t>
  </si>
  <si>
    <t>J1E-J110-T3C5-002</t>
  </si>
  <si>
    <t>R-3793*1860</t>
  </si>
  <si>
    <t>J1E-J111-T1C1-002</t>
  </si>
  <si>
    <t>J1E-J111-T3C5-002</t>
  </si>
  <si>
    <t>R-1868*1500</t>
  </si>
  <si>
    <t>J1E-J111-T3C5-007</t>
  </si>
  <si>
    <t>R-3793*1900</t>
  </si>
  <si>
    <t>J1E-J112-T3C5-002</t>
  </si>
  <si>
    <t>J1E-J112-T3C5-007</t>
  </si>
  <si>
    <t>R-4665*1850</t>
  </si>
  <si>
    <t>J1E-J113-T1C1-002</t>
  </si>
  <si>
    <t>J1E-J113-T3C5-002</t>
  </si>
  <si>
    <t>J1E-J113-T3C5-007</t>
  </si>
  <si>
    <t>L-1640*1935</t>
  </si>
  <si>
    <t>J1E5</t>
  </si>
  <si>
    <t>J1E-J114-T1C1-001</t>
  </si>
  <si>
    <t>L-3871*1500</t>
  </si>
  <si>
    <t>J2B1</t>
  </si>
  <si>
    <t>DD-Z-J2B-001</t>
  </si>
  <si>
    <t>SEF - Single Ecentric Footing</t>
  </si>
  <si>
    <t>DEF - Double Ecentric Footing</t>
  </si>
  <si>
    <t>J2B2</t>
  </si>
  <si>
    <t>TRC-1858*1500</t>
  </si>
  <si>
    <t>J2B3</t>
  </si>
  <si>
    <t>J2B4</t>
  </si>
  <si>
    <t>J2B5</t>
  </si>
  <si>
    <t>Left side upstand</t>
  </si>
  <si>
    <t xml:space="preserve">L </t>
  </si>
  <si>
    <t>J2B6</t>
  </si>
  <si>
    <t>Right upstand</t>
  </si>
  <si>
    <t>Left side cutout</t>
  </si>
  <si>
    <t>Right side cutout</t>
  </si>
  <si>
    <t>J2B7</t>
  </si>
  <si>
    <t>250*1420*1500</t>
  </si>
  <si>
    <t>J2B8</t>
  </si>
  <si>
    <t>01</t>
  </si>
  <si>
    <t>J2B9</t>
  </si>
  <si>
    <t>J2B10</t>
  </si>
  <si>
    <t>C2C1</t>
  </si>
  <si>
    <t>25045-C2C-C016-T6C1-001</t>
  </si>
  <si>
    <t>C016</t>
  </si>
  <si>
    <t>25045-C2C-C019-T6C1-001</t>
  </si>
  <si>
    <t>C019</t>
  </si>
  <si>
    <t>25045-C2C-C019-T6C1-002</t>
  </si>
  <si>
    <t>25045-C2C-C020-T6C1-001</t>
  </si>
  <si>
    <t>C020</t>
  </si>
  <si>
    <t>25045-C2C-C020-T6C1-002</t>
  </si>
  <si>
    <t>J3B1</t>
  </si>
  <si>
    <t>DD-Z-J3B-001</t>
  </si>
  <si>
    <t>J3B-J041-T1C1-002</t>
  </si>
  <si>
    <t>L-420*1170</t>
  </si>
  <si>
    <t>L-590*1170</t>
  </si>
  <si>
    <t>J3B-J041-T2C1-004</t>
  </si>
  <si>
    <t>J3B2</t>
  </si>
  <si>
    <t>J3B3</t>
  </si>
  <si>
    <t>J3B4</t>
  </si>
  <si>
    <t>J3B5</t>
  </si>
  <si>
    <t>J3B6</t>
  </si>
  <si>
    <t>R-1870*500 + L-420*1770</t>
  </si>
  <si>
    <t>J3B-J041-T3C5-002</t>
  </si>
  <si>
    <t>J3B-J041-T3C5-003</t>
  </si>
  <si>
    <t>J3B-J041-T3C5-004</t>
  </si>
  <si>
    <t>R-5092*1930</t>
  </si>
  <si>
    <t>J3B-J042-T1C1-002</t>
  </si>
  <si>
    <t>J3B-J042-T3C5-002</t>
  </si>
  <si>
    <t>J3B-J042-T3C5-007</t>
  </si>
  <si>
    <t>TLC-SP</t>
  </si>
  <si>
    <t>J3B7</t>
  </si>
  <si>
    <t>Date</t>
  </si>
  <si>
    <t>QTY</t>
  </si>
  <si>
    <t>21-32</t>
  </si>
  <si>
    <t>21-38A</t>
  </si>
  <si>
    <t>21-111B</t>
  </si>
  <si>
    <t>21-36</t>
  </si>
  <si>
    <t>21-113</t>
  </si>
  <si>
    <t>21-37B</t>
  </si>
  <si>
    <t>21-32A</t>
  </si>
  <si>
    <t>21-113A</t>
  </si>
  <si>
    <t>21-119</t>
  </si>
  <si>
    <t>21-37A</t>
  </si>
  <si>
    <t>21-34B</t>
  </si>
  <si>
    <t>21-124A</t>
  </si>
  <si>
    <t>21-116</t>
  </si>
  <si>
    <t>21-37</t>
  </si>
  <si>
    <t>21-122</t>
  </si>
  <si>
    <t>21-117A</t>
  </si>
  <si>
    <t>21-114</t>
  </si>
  <si>
    <t>21-313</t>
  </si>
  <si>
    <t>21-35</t>
  </si>
  <si>
    <t>21-313A</t>
  </si>
  <si>
    <t>21-522</t>
  </si>
  <si>
    <t>21-319</t>
  </si>
  <si>
    <t>21-322</t>
  </si>
  <si>
    <t>21-38B</t>
  </si>
  <si>
    <t>20-76A</t>
  </si>
  <si>
    <t>21-119A</t>
  </si>
  <si>
    <t>20-76B</t>
  </si>
  <si>
    <t>21-124</t>
  </si>
  <si>
    <t>21-119B</t>
  </si>
  <si>
    <t>21-111A</t>
  </si>
  <si>
    <t>21-114B</t>
  </si>
  <si>
    <t>21-34A</t>
  </si>
  <si>
    <t>21-120</t>
  </si>
  <si>
    <t>20-76C</t>
  </si>
  <si>
    <t>20-78</t>
  </si>
  <si>
    <t>20-73</t>
  </si>
  <si>
    <t>20-79</t>
  </si>
  <si>
    <t>21-32B</t>
  </si>
  <si>
    <t>21-113B</t>
  </si>
  <si>
    <t>21-35A</t>
  </si>
  <si>
    <t>21-116B</t>
  </si>
  <si>
    <t>21-120B</t>
  </si>
  <si>
    <t>21-116C</t>
  </si>
  <si>
    <t>21-116A</t>
  </si>
  <si>
    <t>21-122A</t>
  </si>
  <si>
    <t>20-72A</t>
  </si>
  <si>
    <t>20-72B</t>
  </si>
  <si>
    <t>20-78B</t>
  </si>
  <si>
    <t>20-74A</t>
  </si>
  <si>
    <t>20-78C</t>
  </si>
  <si>
    <t>20-74B</t>
  </si>
  <si>
    <t>20-74C</t>
  </si>
  <si>
    <t>20-72C</t>
  </si>
  <si>
    <t>21-122B</t>
  </si>
  <si>
    <t>21-124B</t>
  </si>
  <si>
    <t>21-125A</t>
  </si>
  <si>
    <t>21-36A</t>
  </si>
  <si>
    <t>6-72A</t>
  </si>
  <si>
    <t>20-78A</t>
  </si>
  <si>
    <t>6-67A</t>
  </si>
  <si>
    <t>21-115A</t>
  </si>
  <si>
    <t>21-117B</t>
  </si>
  <si>
    <t>6-69A</t>
  </si>
  <si>
    <t>6-69B</t>
  </si>
  <si>
    <t>21-114A</t>
  </si>
  <si>
    <t>6-71B</t>
  </si>
  <si>
    <t>6-</t>
  </si>
  <si>
    <t>5-105</t>
  </si>
  <si>
    <t>6-61B</t>
  </si>
  <si>
    <t>20-206A</t>
  </si>
  <si>
    <t>20-206B</t>
  </si>
  <si>
    <t>20-208A</t>
  </si>
  <si>
    <t>20-202C</t>
  </si>
  <si>
    <t>20-208B</t>
  </si>
  <si>
    <t>20-208C</t>
  </si>
  <si>
    <t>20-204B</t>
  </si>
  <si>
    <t>20-204C</t>
  </si>
  <si>
    <t>20-204A</t>
  </si>
  <si>
    <t>21-2113A</t>
  </si>
  <si>
    <t>21-2113B</t>
  </si>
  <si>
    <t>21-2114B</t>
  </si>
  <si>
    <t>21-2114A</t>
  </si>
  <si>
    <t>21-2115A</t>
  </si>
  <si>
    <t>21-2116B</t>
  </si>
  <si>
    <t>21-2116C</t>
  </si>
  <si>
    <t>21-2117A</t>
  </si>
  <si>
    <t>21-2117B</t>
  </si>
  <si>
    <t>21-2119A</t>
  </si>
  <si>
    <t>21-2122B</t>
  </si>
  <si>
    <t>21-2124A</t>
  </si>
  <si>
    <t>21-2124B</t>
  </si>
  <si>
    <t>21-2125A</t>
  </si>
  <si>
    <t>21-212A</t>
  </si>
  <si>
    <t>21-212B</t>
  </si>
  <si>
    <t>21-214B</t>
  </si>
  <si>
    <t>21-215A</t>
  </si>
  <si>
    <t>21-216A</t>
  </si>
  <si>
    <t>21-217A</t>
  </si>
  <si>
    <t>21-218A</t>
  </si>
  <si>
    <t>21-218B</t>
  </si>
  <si>
    <t>6-70A</t>
  </si>
  <si>
    <t>20-84A</t>
  </si>
  <si>
    <t>5-102</t>
  </si>
  <si>
    <t>6-12A</t>
  </si>
  <si>
    <t>6-17A</t>
  </si>
  <si>
    <t>6-19A</t>
  </si>
  <si>
    <t>6-19B</t>
  </si>
  <si>
    <t>6-11B</t>
  </si>
  <si>
    <t>6-10A</t>
  </si>
  <si>
    <t>20-16A</t>
  </si>
  <si>
    <t>20-16B</t>
  </si>
  <si>
    <t>20-18A</t>
  </si>
  <si>
    <t>20-13</t>
  </si>
  <si>
    <t>20-12A</t>
  </si>
  <si>
    <t>20-12B</t>
  </si>
  <si>
    <t>20-12C</t>
  </si>
  <si>
    <t>20-18B</t>
  </si>
  <si>
    <t>20-18C</t>
  </si>
  <si>
    <t>20-14B</t>
  </si>
  <si>
    <t>20-14C</t>
  </si>
  <si>
    <t>20-14A</t>
  </si>
  <si>
    <t>21-12A</t>
  </si>
  <si>
    <t>21-12B</t>
  </si>
  <si>
    <t>21-14B</t>
  </si>
  <si>
    <t>21-15A</t>
  </si>
  <si>
    <t>21-16A</t>
  </si>
  <si>
    <t>21-17A</t>
  </si>
  <si>
    <t>21-18A</t>
  </si>
  <si>
    <t>21-18B</t>
  </si>
  <si>
    <t>Del.Qty</t>
  </si>
  <si>
    <t>Del. Note No.</t>
  </si>
  <si>
    <t>Element Check</t>
  </si>
  <si>
    <t xml:space="preserve">Remarks </t>
  </si>
  <si>
    <t>SPBM-06488</t>
  </si>
  <si>
    <t>SPBM-06474</t>
  </si>
  <si>
    <t>SPBM-06500</t>
  </si>
  <si>
    <t>SPBM-06532</t>
  </si>
  <si>
    <t>SPBM-06573</t>
  </si>
  <si>
    <t>Returned Back</t>
  </si>
  <si>
    <t>SPBM-06652</t>
  </si>
  <si>
    <t>SPBM-06747</t>
  </si>
  <si>
    <t>SPBM-06798</t>
  </si>
  <si>
    <t>SPBM-06801</t>
  </si>
  <si>
    <t>SPBM-06803</t>
  </si>
  <si>
    <t>SPBM-06838</t>
  </si>
  <si>
    <t>SPBM-06821</t>
  </si>
  <si>
    <t>SPBM-06822</t>
  </si>
  <si>
    <t>SPBM-06871</t>
  </si>
  <si>
    <t>SPBM-07471</t>
  </si>
  <si>
    <t>SPBM-07529</t>
  </si>
  <si>
    <t>SPBM-07526</t>
  </si>
  <si>
    <t>SPBM-06795A</t>
  </si>
  <si>
    <t>SPBM-07555</t>
  </si>
  <si>
    <t>SPBM-07546</t>
  </si>
  <si>
    <t>SPBM-07637 A</t>
  </si>
  <si>
    <t>SPBM-07615</t>
  </si>
  <si>
    <t>SPBM-07617</t>
  </si>
  <si>
    <t>25045-J1B-J131-T3C1-04</t>
  </si>
  <si>
    <t>SPBM-07592</t>
  </si>
  <si>
    <t>SPBM-07636</t>
  </si>
  <si>
    <t>SPBM-07678</t>
  </si>
  <si>
    <t>SPBM-07704</t>
  </si>
  <si>
    <t>SPBM-07719</t>
  </si>
  <si>
    <t>SPBM-07760</t>
  </si>
  <si>
    <t>SPBM-07874</t>
  </si>
  <si>
    <t>SPBM-07866</t>
  </si>
  <si>
    <t>SPBM-07853</t>
  </si>
  <si>
    <t>SPBM-07852</t>
  </si>
  <si>
    <t>SPBM-07908</t>
  </si>
  <si>
    <t>SPBM-07912</t>
  </si>
  <si>
    <t>SPBM-07917</t>
  </si>
  <si>
    <t>SPBM-07884</t>
  </si>
  <si>
    <t>SPBM-07927</t>
  </si>
  <si>
    <t>SPBM-07955</t>
  </si>
  <si>
    <t>SPBM-07991</t>
  </si>
  <si>
    <t>SPBM-08007</t>
  </si>
  <si>
    <t>SPBM-08041</t>
  </si>
  <si>
    <t>SPBM-08055</t>
  </si>
  <si>
    <t>SPBM-08112</t>
  </si>
  <si>
    <t>SPBM-08102</t>
  </si>
  <si>
    <t>SPBM-08232</t>
  </si>
  <si>
    <t>SPBM-08201</t>
  </si>
  <si>
    <t>SPBM-08243</t>
  </si>
  <si>
    <t>SPBM-08233</t>
  </si>
  <si>
    <t>SPBM-08341</t>
  </si>
  <si>
    <t>SPBM-08440</t>
  </si>
  <si>
    <t>SPBM-08467</t>
  </si>
  <si>
    <t>SPBM-08473</t>
  </si>
  <si>
    <t>SPBM-08491</t>
  </si>
  <si>
    <t>SPBM-08524</t>
  </si>
  <si>
    <t>SPBM-08538</t>
  </si>
  <si>
    <t>Inst.Qty</t>
  </si>
  <si>
    <t>Mockup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</si>
</sst>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d\-mmm\-yy"/>
    <numFmt numFmtId="165" formatCode="_(* #,##0.00_);_(* \(#,##0.00\);_(* &quot;-&quot;??_);_(@_)"/>
    <numFmt numFmtId="166" formatCode="_(* #,##0_);_(* \(#,##0\);_(* &quot;-&quot;??_);_(@_)"/>
    <numFmt numFmtId="167" formatCode="[$-409]d\-mmm\-yy"/>
  </numFmts>
  <fonts count="14">
    <font>
      <sz val="11.0"/>
      <color/>
      <name val="Arial"/>
      <scheme val="minor"/>
    </font>
    <font>
      <b/>
      <sz val="12.0"/>
      <color/>
      <name val="Calibri"/>
    </font>
    <font>
      <b/>
      <sz val="16.0"/>
      <color/>
      <name val="Calibri"/>
    </font>
    <font/>
    <font>
      <b/>
      <sz val="18.0"/>
      <color/>
      <name val="Calibri"/>
    </font>
    <font>
      <sz val="12.0"/>
      <color/>
      <name val="Calibri"/>
    </font>
    <font>
      <sz val="11.0"/>
      <color/>
      <name val="Calibri"/>
    </font>
    <font>
      <sz val="11.0"/>
      <name val="Calibri"/>
    </font>
    <font>
      <b/>
      <sz val="11.0"/>
      <color/>
      <name val="Calibri"/>
    </font>
    <font>
      <b/>
      <sz val="11.0"/>
      <name val="Calibri"/>
    </font>
    <font>
      <b/>
      <sz val="14.0"/>
      <color/>
      <name val="Calibri"/>
    </font>
    <font>
      <b/>
      <sz val="14.0"/>
      <name val="Calibri"/>
    </font>
    <font>
      <sz val="9.0"/>
      <color/>
      <name val="Calibri"/>
    </font>
    <font>
      <sz val="11.0"/>
      <color rgb="FF000000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</fills>
  <borders count="69">
    <border/>
    <border>
      <left/>
      <top/>
    </border>
    <border>
      <right/>
      <top/>
    </border>
    <border>
      <bottom style="medium">
        <color rgb="FF000000"/>
      </bottom>
    </border>
    <border>
      <left/>
      <bottom/>
    </border>
    <border>
      <right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top style="hair">
        <color rgb="FF000000"/>
      </top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double">
        <color rgb="FF000000"/>
      </bottom>
    </border>
    <border>
      <left style="medium">
        <color rgb="FF000000"/>
      </left>
      <top style="hair">
        <color rgb="FFFF0000"/>
      </top>
      <bottom style="medium">
        <color rgb="FF000000"/>
      </bottom>
    </border>
    <border>
      <right style="hair">
        <color rgb="FF000000"/>
      </right>
      <top style="hair">
        <color rgb="FFFF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FF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FF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FF0000"/>
      </top>
      <bottom style="medium">
        <color rgb="FF000000"/>
      </bottom>
    </border>
    <border>
      <left/>
      <right/>
      <top style="hair">
        <color rgb="FFFF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FF0000"/>
      </top>
      <bottom style="medium">
        <color rgb="FF000000"/>
      </bottom>
    </border>
    <border>
      <left/>
      <right/>
      <top/>
      <bottom/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3" fontId="4" numFmtId="0" xfId="0" applyAlignment="1" applyBorder="1" applyFill="1" applyFont="1">
      <alignment vertical="center"/>
    </xf>
    <xf borderId="7" fillId="3" fontId="4" numFmtId="0" xfId="0" applyAlignment="1" applyBorder="1" applyFont="1">
      <alignment vertical="center"/>
    </xf>
    <xf borderId="8" fillId="4" fontId="5" numFmtId="0" xfId="0" applyAlignment="1" applyBorder="1" applyFill="1" applyFont="1">
      <alignment horizontal="center" vertical="center"/>
    </xf>
    <xf borderId="9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5" fillId="0" fontId="7" numFmtId="9" xfId="0" applyAlignment="1" applyBorder="1" applyFont="1" applyNumberFormat="1">
      <alignment horizontal="center" vertical="center"/>
    </xf>
    <xf borderId="15" fillId="0" fontId="6" numFmtId="9" xfId="0" applyAlignment="1" applyBorder="1" applyFont="1" applyNumberForma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8" fillId="0" fontId="3" numFmtId="0" xfId="0" applyBorder="1" applyFont="1"/>
    <xf borderId="1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19" fillId="0" fontId="7" numFmtId="0" xfId="0" applyAlignment="1" applyBorder="1" applyFont="1">
      <alignment horizontal="center" vertical="center"/>
    </xf>
    <xf borderId="21" fillId="0" fontId="7" numFmtId="9" xfId="0" applyAlignment="1" applyBorder="1" applyFont="1" applyNumberFormat="1">
      <alignment horizontal="center" vertical="center"/>
    </xf>
    <xf borderId="21" fillId="0" fontId="6" numFmtId="9" xfId="0" applyAlignment="1" applyBorder="1" applyFont="1" applyNumberFormat="1">
      <alignment horizontal="center" vertical="center"/>
    </xf>
    <xf borderId="22" fillId="0" fontId="7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8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vertical="center"/>
    </xf>
    <xf borderId="26" fillId="0" fontId="9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center" vertical="center"/>
    </xf>
    <xf borderId="26" fillId="0" fontId="9" numFmtId="9" xfId="0" applyAlignment="1" applyBorder="1" applyFont="1" applyNumberFormat="1">
      <alignment horizontal="center" vertical="center"/>
    </xf>
    <xf borderId="26" fillId="0" fontId="8" numFmtId="9" xfId="0" applyAlignment="1" applyBorder="1" applyFont="1" applyNumberFormat="1">
      <alignment horizontal="center" vertical="center"/>
    </xf>
    <xf borderId="27" fillId="0" fontId="9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center" vertical="center"/>
    </xf>
    <xf borderId="29" fillId="0" fontId="8" numFmtId="0" xfId="0" applyAlignment="1" applyBorder="1" applyFont="1">
      <alignment horizontal="center" vertical="center"/>
    </xf>
    <xf borderId="30" fillId="0" fontId="8" numFmtId="0" xfId="0" applyAlignment="1" applyBorder="1" applyFont="1">
      <alignment horizontal="center" vertical="center"/>
    </xf>
    <xf borderId="30" fillId="0" fontId="9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vertical="center"/>
    </xf>
    <xf borderId="31" fillId="0" fontId="9" numFmtId="9" xfId="0" applyAlignment="1" applyBorder="1" applyFont="1" applyNumberFormat="1">
      <alignment horizontal="center" vertical="center"/>
    </xf>
    <xf borderId="31" fillId="0" fontId="8" numFmtId="9" xfId="0" applyAlignment="1" applyBorder="1" applyFont="1" applyNumberFormat="1">
      <alignment horizontal="center" vertical="center"/>
    </xf>
    <xf borderId="32" fillId="0" fontId="8" numFmtId="0" xfId="0" applyAlignment="1" applyBorder="1" applyFont="1">
      <alignment horizontal="center" vertical="center"/>
    </xf>
    <xf borderId="33" fillId="0" fontId="6" numFmtId="0" xfId="0" applyAlignment="1" applyBorder="1" applyFont="1">
      <alignment horizontal="center" vertical="center"/>
    </xf>
    <xf borderId="0" fillId="0" fontId="6" numFmtId="15" xfId="0" applyAlignment="1" applyFont="1" applyNumberFormat="1">
      <alignment horizontal="center" vertical="center"/>
    </xf>
    <xf borderId="34" fillId="0" fontId="6" numFmtId="0" xfId="0" applyAlignment="1" applyBorder="1" applyFont="1">
      <alignment horizontal="center" vertical="center"/>
    </xf>
    <xf borderId="35" fillId="0" fontId="6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center" vertical="center"/>
    </xf>
    <xf borderId="36" fillId="0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36" fillId="0" fontId="7" numFmtId="9" xfId="0" applyAlignment="1" applyBorder="1" applyFont="1" applyNumberFormat="1">
      <alignment horizontal="center" vertical="center"/>
    </xf>
    <xf borderId="36" fillId="0" fontId="6" numFmtId="9" xfId="0" applyAlignment="1" applyBorder="1" applyFont="1" applyNumberFormat="1">
      <alignment horizontal="center" vertical="center"/>
    </xf>
    <xf borderId="37" fillId="0" fontId="7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38" fillId="0" fontId="8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vertical="center"/>
    </xf>
    <xf borderId="39" fillId="0" fontId="9" numFmtId="0" xfId="0" applyAlignment="1" applyBorder="1" applyFont="1">
      <alignment horizontal="center" vertical="center"/>
    </xf>
    <xf borderId="40" fillId="0" fontId="9" numFmtId="0" xfId="0" applyAlignment="1" applyBorder="1" applyFont="1">
      <alignment horizontal="center" vertical="center"/>
    </xf>
    <xf borderId="38" fillId="0" fontId="9" numFmtId="0" xfId="0" applyAlignment="1" applyBorder="1" applyFont="1">
      <alignment horizontal="center" vertical="center"/>
    </xf>
    <xf borderId="40" fillId="0" fontId="9" numFmtId="9" xfId="0" applyAlignment="1" applyBorder="1" applyFont="1" applyNumberFormat="1">
      <alignment horizontal="center" vertical="center"/>
    </xf>
    <xf borderId="40" fillId="0" fontId="8" numFmtId="9" xfId="0" applyAlignment="1" applyBorder="1" applyFont="1" applyNumberFormat="1">
      <alignment horizontal="center" vertical="center"/>
    </xf>
    <xf borderId="41" fillId="0" fontId="8" numFmtId="0" xfId="0" applyAlignment="1" applyBorder="1" applyFont="1">
      <alignment horizontal="center" vertical="center"/>
    </xf>
    <xf borderId="42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44" fillId="0" fontId="7" numFmtId="0" xfId="0" applyAlignment="1" applyBorder="1" applyFont="1">
      <alignment horizontal="center" vertical="center"/>
    </xf>
    <xf borderId="42" fillId="0" fontId="7" numFmtId="0" xfId="0" applyAlignment="1" applyBorder="1" applyFont="1">
      <alignment horizontal="center" vertical="center"/>
    </xf>
    <xf borderId="44" fillId="0" fontId="7" numFmtId="9" xfId="0" applyAlignment="1" applyBorder="1" applyFont="1" applyNumberFormat="1">
      <alignment horizontal="center" vertical="center"/>
    </xf>
    <xf borderId="44" fillId="0" fontId="6" numFmtId="9" xfId="0" applyAlignment="1" applyBorder="1" applyFont="1" applyNumberFormat="1">
      <alignment horizontal="center" vertical="center"/>
    </xf>
    <xf borderId="45" fillId="0" fontId="7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47" fillId="5" fontId="10" numFmtId="0" xfId="0" applyAlignment="1" applyBorder="1" applyFill="1" applyFont="1">
      <alignment horizontal="center" vertical="center"/>
    </xf>
    <xf borderId="48" fillId="0" fontId="3" numFmtId="0" xfId="0" applyBorder="1" applyFont="1"/>
    <xf borderId="49" fillId="5" fontId="11" numFmtId="0" xfId="0" applyAlignment="1" applyBorder="1" applyFont="1">
      <alignment horizontal="center" vertical="center"/>
    </xf>
    <xf borderId="50" fillId="5" fontId="11" numFmtId="0" xfId="0" applyAlignment="1" applyBorder="1" applyFont="1">
      <alignment horizontal="center" vertical="center"/>
    </xf>
    <xf borderId="51" fillId="5" fontId="11" numFmtId="0" xfId="0" applyAlignment="1" applyBorder="1" applyFont="1">
      <alignment horizontal="center" vertical="center"/>
    </xf>
    <xf borderId="50" fillId="5" fontId="11" numFmtId="9" xfId="0" applyAlignment="1" applyBorder="1" applyFont="1" applyNumberFormat="1">
      <alignment horizontal="center" vertical="center"/>
    </xf>
    <xf borderId="50" fillId="5" fontId="10" numFmtId="9" xfId="0" applyAlignment="1" applyBorder="1" applyFont="1" applyNumberFormat="1">
      <alignment horizontal="center" vertical="center"/>
    </xf>
    <xf borderId="52" fillId="5" fontId="11" numFmtId="0" xfId="0" applyAlignment="1" applyBorder="1" applyFont="1">
      <alignment horizontal="center" vertical="center"/>
    </xf>
    <xf borderId="53" fillId="5" fontId="11" numFmtId="0" xfId="0" applyAlignment="1" applyBorder="1" applyFont="1">
      <alignment horizontal="center" vertical="center"/>
    </xf>
    <xf borderId="0" fillId="0" fontId="6" numFmtId="9" xfId="0" applyFont="1" applyNumberFormat="1"/>
    <xf borderId="14" fillId="4" fontId="6" numFmtId="0" xfId="0" applyAlignment="1" applyBorder="1" applyFont="1">
      <alignment horizontal="left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vertical="center"/>
    </xf>
    <xf borderId="54" fillId="4" fontId="1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borderId="14" fillId="6" fontId="6" numFmtId="0" xfId="0" applyAlignment="1" applyBorder="1" applyFill="1" applyFont="1">
      <alignment horizontal="center" shrinkToFit="0" vertical="center" wrapText="1"/>
    </xf>
    <xf borderId="14" fillId="7" fontId="6" numFmtId="0" xfId="0" applyAlignment="1" applyBorder="1" applyFill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4" fillId="8" fontId="6" numFmtId="0" xfId="0" applyAlignment="1" applyBorder="1" applyFill="1" applyFont="1">
      <alignment horizontal="center" shrinkToFit="0" vertical="center" wrapText="1"/>
    </xf>
    <xf borderId="14" fillId="9" fontId="6" numFmtId="0" xfId="0" applyAlignment="1" applyBorder="1" applyFill="1" applyFont="1">
      <alignment horizontal="center" shrinkToFit="0" vertical="center" wrapText="1"/>
    </xf>
    <xf borderId="14" fillId="10" fontId="6" numFmtId="0" xfId="0" applyAlignment="1" applyBorder="1" applyFill="1" applyFont="1">
      <alignment horizontal="center" shrinkToFit="0" vertical="center" wrapText="1"/>
    </xf>
    <xf borderId="54" fillId="1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left"/>
    </xf>
    <xf borderId="14" fillId="0" fontId="6" numFmtId="0" xfId="0" applyAlignment="1" applyBorder="1" applyFont="1">
      <alignment horizontal="center"/>
    </xf>
    <xf borderId="14" fillId="0" fontId="6" numFmtId="165" xfId="0" applyAlignment="1" applyBorder="1" applyFont="1" applyNumberFormat="1">
      <alignment horizontal="center"/>
    </xf>
    <xf borderId="0" fillId="0" fontId="6" numFmtId="4" xfId="0" applyFont="1" applyNumberFormat="1"/>
    <xf borderId="14" fillId="0" fontId="6" numFmtId="0" xfId="0" applyAlignment="1" applyBorder="1" applyFont="1">
      <alignment horizontal="left" vertical="center"/>
    </xf>
    <xf borderId="14" fillId="0" fontId="6" numFmtId="0" xfId="0" applyBorder="1" applyFont="1"/>
    <xf borderId="55" fillId="0" fontId="6" numFmtId="0" xfId="0" applyAlignment="1" applyBorder="1" applyFont="1">
      <alignment horizontal="left"/>
    </xf>
    <xf borderId="56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57" fillId="4" fontId="5" numFmtId="0" xfId="0" applyAlignment="1" applyBorder="1" applyFont="1">
      <alignment horizontal="center" vertical="center"/>
    </xf>
    <xf borderId="58" fillId="4" fontId="6" numFmtId="0" xfId="0" applyAlignment="1" applyBorder="1" applyFont="1">
      <alignment horizontal="center" vertical="center"/>
    </xf>
    <xf borderId="58" fillId="4" fontId="6" numFmtId="0" xfId="0" applyAlignment="1" applyBorder="1" applyFont="1">
      <alignment horizontal="center" shrinkToFit="0" vertical="center" wrapText="1"/>
    </xf>
    <xf borderId="59" fillId="0" fontId="7" numFmtId="0" xfId="0" applyAlignment="1" applyBorder="1" applyFont="1">
      <alignment horizontal="center" vertical="center"/>
    </xf>
    <xf borderId="60" fillId="0" fontId="6" numFmtId="0" xfId="0" applyAlignment="1" applyBorder="1" applyFont="1">
      <alignment horizontal="center" vertical="center"/>
    </xf>
    <xf borderId="59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61" fillId="0" fontId="6" numFmtId="0" xfId="0" applyAlignment="1" applyBorder="1" applyFont="1">
      <alignment horizontal="center" vertical="center"/>
    </xf>
    <xf borderId="62" fillId="0" fontId="6" numFmtId="0" xfId="0" applyAlignment="1" applyBorder="1" applyFont="1">
      <alignment horizontal="center" vertical="center"/>
    </xf>
    <xf borderId="62" fillId="0" fontId="7" numFmtId="0" xfId="0" applyAlignment="1" applyBorder="1" applyFont="1">
      <alignment horizontal="center" vertical="center"/>
    </xf>
    <xf borderId="63" fillId="0" fontId="7" numFmtId="0" xfId="0" applyAlignment="1" applyBorder="1" applyFont="1">
      <alignment horizontal="center" vertical="center"/>
    </xf>
    <xf borderId="61" fillId="0" fontId="7" numFmtId="0" xfId="0" applyAlignment="1" applyBorder="1" applyFont="1">
      <alignment horizontal="center" vertical="center"/>
    </xf>
    <xf borderId="64" fillId="0" fontId="7" numFmtId="9" xfId="0" applyAlignment="1" applyBorder="1" applyFont="1" applyNumberFormat="1">
      <alignment horizontal="center" vertical="center"/>
    </xf>
    <xf borderId="64" fillId="0" fontId="6" numFmtId="9" xfId="0" applyAlignment="1" applyBorder="1" applyFont="1" applyNumberFormat="1">
      <alignment horizontal="center" vertical="center"/>
    </xf>
    <xf borderId="65" fillId="0" fontId="7" numFmtId="0" xfId="0" applyAlignment="1" applyBorder="1" applyFont="1">
      <alignment horizontal="center" vertical="center"/>
    </xf>
    <xf borderId="66" fillId="0" fontId="6" numFmtId="0" xfId="0" applyAlignment="1" applyBorder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5" xfId="0" applyFont="1" applyNumberFormat="1"/>
    <xf borderId="0" fillId="0" fontId="7" numFmtId="15" xfId="0" applyFont="1" applyNumberFormat="1"/>
    <xf borderId="0" fillId="0" fontId="12" numFmtId="0" xfId="0" applyAlignment="1" applyFont="1">
      <alignment horizontal="center" vertical="center"/>
    </xf>
    <xf borderId="0" fillId="0" fontId="12" numFmtId="15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165" xfId="0" applyFont="1" applyNumberFormat="1"/>
    <xf borderId="0" fillId="0" fontId="6" numFmtId="15" xfId="0" applyFont="1" applyNumberFormat="1"/>
    <xf borderId="0" fillId="0" fontId="12" numFmtId="166" xfId="0" applyAlignment="1" applyFont="1" applyNumberFormat="1">
      <alignment horizontal="center" vertical="center"/>
    </xf>
    <xf borderId="14" fillId="0" fontId="8" numFmtId="15" xfId="0" applyBorder="1" applyFont="1" applyNumberFormat="1"/>
    <xf borderId="14" fillId="0" fontId="8" numFmtId="0" xfId="0" applyBorder="1" applyFont="1"/>
    <xf borderId="14" fillId="0" fontId="8" numFmtId="0" xfId="0" applyAlignment="1" applyBorder="1" applyFont="1">
      <alignment horizontal="center"/>
    </xf>
    <xf borderId="14" fillId="0" fontId="8" numFmtId="0" xfId="0" applyAlignment="1" applyBorder="1" applyFont="1">
      <alignment horizontal="left"/>
    </xf>
    <xf borderId="54" fillId="0" fontId="8" numFmtId="0" xfId="0" applyBorder="1" applyFont="1"/>
    <xf borderId="54" fillId="11" fontId="6" numFmtId="0" xfId="0" applyAlignment="1" applyBorder="1" applyFill="1" applyFont="1">
      <alignment horizontal="center"/>
    </xf>
    <xf borderId="14" fillId="0" fontId="6" numFmtId="15" xfId="0" applyBorder="1" applyFont="1" applyNumberFormat="1"/>
    <xf borderId="14" fillId="0" fontId="6" numFmtId="165" xfId="0" applyBorder="1" applyFont="1" applyNumberFormat="1"/>
    <xf borderId="0" fillId="0" fontId="6" numFmtId="0" xfId="0" applyAlignment="1" applyFont="1">
      <alignment vertical="center"/>
    </xf>
    <xf borderId="54" fillId="12" fontId="6" numFmtId="0" xfId="0" applyAlignment="1" applyBorder="1" applyFill="1" applyFont="1">
      <alignment horizontal="center" vertical="center"/>
    </xf>
    <xf borderId="54" fillId="13" fontId="5" numFmtId="0" xfId="0" applyAlignment="1" applyBorder="1" applyFill="1" applyFont="1">
      <alignment horizontal="center"/>
    </xf>
    <xf borderId="0" fillId="0" fontId="6" numFmtId="167" xfId="0" applyAlignment="1" applyFont="1" applyNumberFormat="1">
      <alignment horizontal="center" vertical="center"/>
    </xf>
    <xf borderId="54" fillId="12" fontId="6" numFmtId="0" xfId="0" applyAlignment="1" applyBorder="1" applyFont="1">
      <alignment horizontal="center"/>
    </xf>
    <xf borderId="54" fillId="11" fontId="6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6" numFmtId="0" xfId="0" applyAlignment="1" applyFont="1">
      <alignment horizontal="center" vertical="top"/>
    </xf>
    <xf borderId="67" fillId="0" fontId="6" numFmtId="0" xfId="0" applyAlignment="1" applyBorder="1" applyFont="1">
      <alignment horizontal="center" vertical="center"/>
    </xf>
    <xf borderId="68" fillId="0" fontId="6" numFmtId="0" xfId="0" applyAlignment="1" applyBorder="1" applyFont="1">
      <alignment horizontal="center"/>
    </xf>
    <xf borderId="68" fillId="0" fontId="6" numFmtId="0" xfId="0" applyAlignment="1" applyBorder="1" applyFont="1">
      <alignment horizontal="center" vertical="top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808080"/>
          <bgColor rgb="FF808080"/>
        </patternFill>
      </fill>
      <border/>
    </dxf>
    <dxf>
      <font/>
      <numFmt numFmtId="0" formatCode="\-\-"/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/>
      </font>
      <fill>
        <patternFill patternType="solid">
          <fgColor rgb="FF00B050"/>
          <bgColor rgb="FF00B050"/>
        </patternFill>
      </fill>
      <border/>
    </dxf>
    <dxf>
      <font>
        <color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019175" cy="6000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recast/The%20Acres(%20VILLA%20,BW,LP%20&amp;%20WT)/P25045-Acres%20BW/Production%20Schedule/25045-Acres%20BW%20Production%20Schedul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duction Forecast"/>
      <sheetName val="Details"/>
      <sheetName val="MOULD_STATUS"/>
      <sheetName val="FullDataList"/>
      <sheetName val="Cast"/>
      <sheetName val="Footing_Type"/>
      <sheetName val="Holidays"/>
      <sheetName val="Sheet1"/>
      <sheetName val="Sheet2"/>
      <sheetName val="Planning_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6.83" defaultRowHeight="15.0" outlineLevelRow="1"/>
  <cols>
    <col customWidth="1" min="1" max="1" width="11.17"/>
    <col customWidth="1" min="2" max="2" width="10.67"/>
    <col customWidth="1" min="3" max="6" width="12.5"/>
    <col customWidth="1" min="7" max="7" width="10.17"/>
    <col customWidth="1" min="8" max="9" width="12.5"/>
    <col customWidth="1" min="10" max="10" width="10.17"/>
    <col customWidth="1" min="11" max="12" width="12.5"/>
    <col customWidth="1" min="13" max="13" width="12.17"/>
    <col customWidth="1" min="14" max="14" width="10.33"/>
    <col customWidth="1" min="15" max="15" width="19.17"/>
    <col customWidth="1" min="16" max="16" width="9.17"/>
    <col customWidth="1" min="17" max="17" width="12.17"/>
  </cols>
  <sheetData>
    <row r="2" ht="21.0" customHeight="1">
      <c r="G2" s="1"/>
      <c r="J2" s="1"/>
      <c r="L2" s="2" t="s">
        <v>0</v>
      </c>
      <c r="N2" s="3">
        <v>46150.0</v>
      </c>
      <c r="O2" s="4"/>
    </row>
    <row r="3" ht="15.0" customHeight="1">
      <c r="G3" s="1"/>
      <c r="J3" s="1"/>
      <c r="L3" s="5"/>
      <c r="M3" s="5"/>
      <c r="N3" s="6"/>
      <c r="O3" s="7"/>
    </row>
    <row r="4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ht="60.0" customHeight="1">
      <c r="A5" s="10" t="s">
        <v>2</v>
      </c>
      <c r="B5" s="11" t="s">
        <v>3</v>
      </c>
      <c r="C5" s="11" t="s">
        <v>4</v>
      </c>
      <c r="D5" s="12" t="s">
        <v>5</v>
      </c>
      <c r="E5" s="10" t="s">
        <v>6</v>
      </c>
      <c r="F5" s="13" t="s">
        <v>7</v>
      </c>
      <c r="G5" s="12" t="s">
        <v>8</v>
      </c>
      <c r="H5" s="14" t="s">
        <v>9</v>
      </c>
      <c r="I5" s="13" t="s">
        <v>10</v>
      </c>
      <c r="J5" s="12" t="s">
        <v>11</v>
      </c>
      <c r="K5" s="15" t="s">
        <v>12</v>
      </c>
      <c r="L5" s="10" t="s">
        <v>13</v>
      </c>
      <c r="M5" s="13" t="s">
        <v>14</v>
      </c>
      <c r="N5" s="12" t="s">
        <v>15</v>
      </c>
      <c r="O5" s="16" t="s">
        <v>16</v>
      </c>
      <c r="P5" s="17" t="s">
        <v>17</v>
      </c>
    </row>
    <row r="6" ht="24.75" customHeight="1" outlineLevel="1">
      <c r="A6" s="18" t="s">
        <v>18</v>
      </c>
      <c r="B6" s="19" t="s">
        <v>19</v>
      </c>
      <c r="C6" s="20">
        <v>22.0</v>
      </c>
      <c r="D6" s="21" t="str">
        <f>SUMIFS('Element wise-detail Summary'!$F$3:$F$1048576,'Element wise-detail Summary'!$B$3:$B$1048576,Summary!$A6,'Element wise-detail Summary'!$C$3:$C$1048576,Summary!B6)</f>
        <v>22</v>
      </c>
      <c r="E6" s="22" t="str">
        <f>SUMIFS('Element wise-detail Summary'!$G$3:$G$1048576,'Element wise-detail Summary'!$B$3:$B$1048576,Summary!$A6,'Element wise-detail Summary'!$C$3:$C$1048576,Summary!B6)</f>
        <v>22</v>
      </c>
      <c r="F6" s="20" t="str">
        <f t="shared" ref="F6:F8" si="1">D6-E6</f>
        <v>0</v>
      </c>
      <c r="G6" s="23" t="str">
        <f t="shared" ref="G6:G9" si="2">E6/C6</f>
        <v>100%</v>
      </c>
      <c r="H6" s="22" t="str">
        <f>SUMIFS('Element wise-detail Summary'!$I$3:$I$1048576,'Element wise-detail Summary'!$B$3:$B$1048576,A6,'Element wise-detail Summary'!$C$3:$C$1048576,B6)</f>
        <v>22</v>
      </c>
      <c r="I6" s="20" t="str">
        <f t="shared" ref="I6:I8" si="3">D6-H6</f>
        <v>0</v>
      </c>
      <c r="J6" s="24" t="str">
        <f t="shared" ref="J6:J9" si="4">H6/C6</f>
        <v>100%</v>
      </c>
      <c r="K6" s="25" t="str">
        <f t="shared" ref="K6:K8" si="5">E6-H6</f>
        <v>0</v>
      </c>
      <c r="L6" s="22" t="str">
        <f>SUMIFS('Element wise-detail Summary'!$M$3:$M$1048576,'Element wise-detail Summary'!$B$3:$B$1048576,A6,'Element wise-detail Summary'!$C$3:$C$1048576,B6)</f>
        <v>22</v>
      </c>
      <c r="M6" s="20" t="str">
        <f t="shared" ref="M6:M8" si="6">D6-L6</f>
        <v>0</v>
      </c>
      <c r="N6" s="24" t="str">
        <f t="shared" ref="N6:N9" si="7">L6/C6</f>
        <v>100%</v>
      </c>
      <c r="O6" s="26" t="s">
        <v>20</v>
      </c>
      <c r="P6" s="27" t="str">
        <f t="shared" ref="P6:P46" si="8">+C6-D6</f>
        <v>0</v>
      </c>
      <c r="Q6" s="27"/>
    </row>
    <row r="7" ht="24.75" customHeight="1" outlineLevel="1">
      <c r="A7" s="18" t="s">
        <v>18</v>
      </c>
      <c r="B7" s="19" t="s">
        <v>21</v>
      </c>
      <c r="C7" s="20">
        <v>22.0</v>
      </c>
      <c r="D7" s="21" t="str">
        <f>SUMIFS('Element wise-detail Summary'!$F$3:$F$1048576,'Element wise-detail Summary'!$B$3:$B$1048576,Summary!$A7,'Element wise-detail Summary'!$C$3:$C$1048576,Summary!B7)</f>
        <v>22</v>
      </c>
      <c r="E7" s="22" t="str">
        <f>SUMIFS('Element wise-detail Summary'!$G$3:$G$1048576,'Element wise-detail Summary'!$B$3:$B$1048576,Summary!$A7,'Element wise-detail Summary'!$C$3:$C$1048576,Summary!B7)</f>
        <v>22</v>
      </c>
      <c r="F7" s="20" t="str">
        <f t="shared" si="1"/>
        <v>0</v>
      </c>
      <c r="G7" s="23" t="str">
        <f t="shared" si="2"/>
        <v>100%</v>
      </c>
      <c r="H7" s="22" t="str">
        <f>SUMIFS('Element wise-detail Summary'!$I$3:$I$1048576,'Element wise-detail Summary'!$B$3:$B$1048576,A7,'Element wise-detail Summary'!$C$3:$C$1048576,B7)</f>
        <v>22</v>
      </c>
      <c r="I7" s="20" t="str">
        <f t="shared" si="3"/>
        <v>0</v>
      </c>
      <c r="J7" s="24" t="str">
        <f t="shared" si="4"/>
        <v>100%</v>
      </c>
      <c r="K7" s="25" t="str">
        <f t="shared" si="5"/>
        <v>0</v>
      </c>
      <c r="L7" s="22" t="str">
        <f>SUMIFS('Element wise-detail Summary'!$M$3:$M$1048576,'Element wise-detail Summary'!$B$3:$B$1048576,A7,'Element wise-detail Summary'!$C$3:$C$1048576,B7)</f>
        <v>22</v>
      </c>
      <c r="M7" s="20" t="str">
        <f t="shared" si="6"/>
        <v>0</v>
      </c>
      <c r="N7" s="24" t="str">
        <f t="shared" si="7"/>
        <v>100%</v>
      </c>
      <c r="O7" s="28"/>
      <c r="P7" s="27" t="str">
        <f t="shared" si="8"/>
        <v>0</v>
      </c>
      <c r="Q7" s="27"/>
    </row>
    <row r="8" ht="24.75" customHeight="1" outlineLevel="1">
      <c r="A8" s="29" t="s">
        <v>18</v>
      </c>
      <c r="B8" s="30" t="s">
        <v>22</v>
      </c>
      <c r="C8" s="31">
        <v>21.0</v>
      </c>
      <c r="D8" s="32" t="str">
        <f>SUMIFS('Element wise-detail Summary'!$F$3:$F$1048576,'Element wise-detail Summary'!$B$3:$B$1048576,Summary!$A8,'Element wise-detail Summary'!$C$3:$C$1048576,Summary!B8)</f>
        <v>21</v>
      </c>
      <c r="E8" s="33" t="str">
        <f>SUMIFS('Element wise-detail Summary'!$G$3:$G$1048576,'Element wise-detail Summary'!$B$3:$B$1048576,Summary!$A8,'Element wise-detail Summary'!$C$3:$C$1048576,Summary!B8)</f>
        <v>21</v>
      </c>
      <c r="F8" s="31" t="str">
        <f t="shared" si="1"/>
        <v>0</v>
      </c>
      <c r="G8" s="34" t="str">
        <f t="shared" si="2"/>
        <v>100%</v>
      </c>
      <c r="H8" s="22" t="str">
        <f>SUMIFS('Element wise-detail Summary'!$I$3:$I$1048576,'Element wise-detail Summary'!$B$3:$B$1048576,A8,'Element wise-detail Summary'!$C$3:$C$1048576,B8)</f>
        <v>21</v>
      </c>
      <c r="I8" s="31" t="str">
        <f t="shared" si="3"/>
        <v>0</v>
      </c>
      <c r="J8" s="35" t="str">
        <f t="shared" si="4"/>
        <v>100%</v>
      </c>
      <c r="K8" s="36" t="str">
        <f t="shared" si="5"/>
        <v>0</v>
      </c>
      <c r="L8" s="33" t="str">
        <f>SUMIFS('Element wise-detail Summary'!$M$3:$M$1048576,'Element wise-detail Summary'!$B$3:$B$1048576,A8,'Element wise-detail Summary'!$C$3:$C$1048576,B8)</f>
        <v>21</v>
      </c>
      <c r="M8" s="31" t="str">
        <f t="shared" si="6"/>
        <v>0</v>
      </c>
      <c r="N8" s="35" t="str">
        <f t="shared" si="7"/>
        <v>100%</v>
      </c>
      <c r="O8" s="37"/>
      <c r="P8" s="27" t="str">
        <f t="shared" si="8"/>
        <v>0</v>
      </c>
      <c r="Q8" s="27"/>
    </row>
    <row r="9" ht="24.75" customHeight="1">
      <c r="A9" s="38" t="s">
        <v>18</v>
      </c>
      <c r="B9" s="39" t="s">
        <v>23</v>
      </c>
      <c r="C9" s="40" t="str">
        <f t="shared" ref="C9:F9" si="9">SUM(C6:C8)</f>
        <v>65</v>
      </c>
      <c r="D9" s="41" t="str">
        <f t="shared" si="9"/>
        <v>65</v>
      </c>
      <c r="E9" s="42" t="str">
        <f t="shared" si="9"/>
        <v>65</v>
      </c>
      <c r="F9" s="40" t="str">
        <f t="shared" si="9"/>
        <v>0</v>
      </c>
      <c r="G9" s="43" t="str">
        <f t="shared" si="2"/>
        <v>100%</v>
      </c>
      <c r="H9" s="42" t="str">
        <f t="shared" ref="H9:I9" si="10">SUM(H6:H8)</f>
        <v>65</v>
      </c>
      <c r="I9" s="40" t="str">
        <f t="shared" si="10"/>
        <v>0</v>
      </c>
      <c r="J9" s="44" t="str">
        <f t="shared" si="4"/>
        <v>100%</v>
      </c>
      <c r="K9" s="45" t="str">
        <f t="shared" ref="K9:M9" si="11">SUM(K6:K8)</f>
        <v>0</v>
      </c>
      <c r="L9" s="42" t="str">
        <f t="shared" si="11"/>
        <v>65</v>
      </c>
      <c r="M9" s="40" t="str">
        <f t="shared" si="11"/>
        <v>0</v>
      </c>
      <c r="N9" s="44" t="str">
        <f t="shared" si="7"/>
        <v>100%</v>
      </c>
      <c r="O9" s="46"/>
      <c r="P9" s="27" t="str">
        <f t="shared" si="8"/>
        <v>0</v>
      </c>
      <c r="Q9" s="27"/>
    </row>
    <row r="10" ht="7.5" customHeight="1">
      <c r="A10" s="47"/>
      <c r="B10" s="48"/>
      <c r="C10" s="49"/>
      <c r="D10" s="50"/>
      <c r="E10" s="51"/>
      <c r="F10" s="49"/>
      <c r="G10" s="52"/>
      <c r="H10" s="51"/>
      <c r="I10" s="49"/>
      <c r="J10" s="53"/>
      <c r="K10" s="49"/>
      <c r="L10" s="51"/>
      <c r="M10" s="49"/>
      <c r="N10" s="53"/>
      <c r="O10" s="54"/>
      <c r="P10" s="27" t="str">
        <f t="shared" si="8"/>
        <v>0</v>
      </c>
      <c r="Q10" s="27"/>
    </row>
    <row r="11" ht="24.75" customHeight="1" outlineLevel="1">
      <c r="A11" s="18" t="s">
        <v>18</v>
      </c>
      <c r="B11" s="19" t="s">
        <v>24</v>
      </c>
      <c r="C11" s="20">
        <v>17.0</v>
      </c>
      <c r="D11" s="21" t="str">
        <f>SUMIFS('Element wise-detail Summary'!$F$3:$F$1048576,'Element wise-detail Summary'!$B$3:$B$1048576,Summary!$A11,'Element wise-detail Summary'!$C$3:$C$1048576,Summary!B11)</f>
        <v>17</v>
      </c>
      <c r="E11" s="22" t="str">
        <f>SUMIFS('Element wise-detail Summary'!$G$3:$G$1048576,'Element wise-detail Summary'!$B$3:$B$1048576,Summary!$A11,'Element wise-detail Summary'!$C$3:$C$1048576,Summary!B11)</f>
        <v>17</v>
      </c>
      <c r="F11" s="20" t="str">
        <f t="shared" ref="F11:F18" si="12">D11-E11</f>
        <v>0</v>
      </c>
      <c r="G11" s="23" t="str">
        <f t="shared" ref="G11:G19" si="13">E11/C11</f>
        <v>100%</v>
      </c>
      <c r="H11" s="22" t="str">
        <f>SUMIFS('Element wise-detail Summary'!$I$3:$I$1048576,'Element wise-detail Summary'!$B$3:$B$1048576,A11,'Element wise-detail Summary'!$C$3:$C$1048576,B11)</f>
        <v>11</v>
      </c>
      <c r="I11" s="20" t="str">
        <f t="shared" ref="I11:I18" si="14">D11-H11</f>
        <v>6</v>
      </c>
      <c r="J11" s="24" t="str">
        <f t="shared" ref="J11:J19" si="15">H11/C11</f>
        <v>65%</v>
      </c>
      <c r="K11" s="25" t="str">
        <f t="shared" ref="K11:K18" si="16">E11-H11</f>
        <v>6</v>
      </c>
      <c r="L11" s="22" t="str">
        <f>SUMIFS('Element wise-detail Summary'!$M$3:$M$1048576,'Element wise-detail Summary'!$B$3:$B$1048576,A11,'Element wise-detail Summary'!$C$3:$C$1048576,B11)</f>
        <v>7</v>
      </c>
      <c r="M11" s="20" t="str">
        <f t="shared" ref="M11:M19" si="17">D11-L11</f>
        <v>10</v>
      </c>
      <c r="N11" s="24" t="str">
        <f t="shared" ref="N11:N19" si="18">L11/C11</f>
        <v>41%</v>
      </c>
      <c r="O11" s="55"/>
      <c r="P11" s="27" t="str">
        <f t="shared" si="8"/>
        <v>0</v>
      </c>
      <c r="Q11" s="56" t="str">
        <f>_xlfn.MAXIFS([1]Details!$B:$B,[1]Details!$G:$G,B11)</f>
        <v>#ERROR!</v>
      </c>
    </row>
    <row r="12" ht="24.75" customHeight="1" outlineLevel="1">
      <c r="A12" s="18" t="s">
        <v>18</v>
      </c>
      <c r="B12" s="19" t="s">
        <v>25</v>
      </c>
      <c r="C12" s="20">
        <v>17.0</v>
      </c>
      <c r="D12" s="21" t="str">
        <f>SUMIFS('Element wise-detail Summary'!$F$3:$F$1048576,'Element wise-detail Summary'!$B$3:$B$1048576,Summary!$A12,'Element wise-detail Summary'!$C$3:$C$1048576,Summary!B12)</f>
        <v>17</v>
      </c>
      <c r="E12" s="22" t="str">
        <f>SUMIFS('Element wise-detail Summary'!$G$3:$G$1048576,'Element wise-detail Summary'!$B$3:$B$1048576,Summary!$A12,'Element wise-detail Summary'!$C$3:$C$1048576,Summary!B12)</f>
        <v>17</v>
      </c>
      <c r="F12" s="20" t="str">
        <f t="shared" si="12"/>
        <v>0</v>
      </c>
      <c r="G12" s="23" t="str">
        <f t="shared" si="13"/>
        <v>100%</v>
      </c>
      <c r="H12" s="22" t="str">
        <f>SUMIFS('Element wise-detail Summary'!$I$3:$I$1048576,'Element wise-detail Summary'!$B$3:$B$1048576,A12,'Element wise-detail Summary'!$C$3:$C$1048576,B12)</f>
        <v>9</v>
      </c>
      <c r="I12" s="20" t="str">
        <f t="shared" si="14"/>
        <v>8</v>
      </c>
      <c r="J12" s="24" t="str">
        <f t="shared" si="15"/>
        <v>53%</v>
      </c>
      <c r="K12" s="25" t="str">
        <f t="shared" si="16"/>
        <v>8</v>
      </c>
      <c r="L12" s="22" t="str">
        <f>SUMIFS('Element wise-detail Summary'!$M$3:$M$1048576,'Element wise-detail Summary'!$B$3:$B$1048576,A12,'Element wise-detail Summary'!$C$3:$C$1048576,B12)</f>
        <v>5</v>
      </c>
      <c r="M12" s="20" t="str">
        <f t="shared" si="17"/>
        <v>12</v>
      </c>
      <c r="N12" s="24" t="str">
        <f t="shared" si="18"/>
        <v>29%</v>
      </c>
      <c r="O12" s="55"/>
      <c r="P12" s="27" t="str">
        <f t="shared" si="8"/>
        <v>0</v>
      </c>
      <c r="Q12" s="56" t="str">
        <f>_xlfn.MAXIFS([1]Details!$B:$B,[1]Details!$G:$G,B12)</f>
        <v>#ERROR!</v>
      </c>
    </row>
    <row r="13" ht="24.75" customHeight="1" outlineLevel="1">
      <c r="A13" s="18" t="s">
        <v>18</v>
      </c>
      <c r="B13" s="19" t="s">
        <v>26</v>
      </c>
      <c r="C13" s="20">
        <v>17.0</v>
      </c>
      <c r="D13" s="21" t="str">
        <f>SUMIFS('Element wise-detail Summary'!$F$3:$F$1048576,'Element wise-detail Summary'!$B$3:$B$1048576,Summary!$A13,'Element wise-detail Summary'!$C$3:$C$1048576,Summary!B13)</f>
        <v>17</v>
      </c>
      <c r="E13" s="22" t="str">
        <f>SUMIFS('Element wise-detail Summary'!$G$3:$G$1048576,'Element wise-detail Summary'!$B$3:$B$1048576,Summary!$A13,'Element wise-detail Summary'!$C$3:$C$1048576,Summary!B13)</f>
        <v>17</v>
      </c>
      <c r="F13" s="20" t="str">
        <f t="shared" si="12"/>
        <v>0</v>
      </c>
      <c r="G13" s="23" t="str">
        <f t="shared" si="13"/>
        <v>100%</v>
      </c>
      <c r="H13" s="22" t="str">
        <f>SUMIFS('Element wise-detail Summary'!$I$3:$I$1048576,'Element wise-detail Summary'!$B$3:$B$1048576,A13,'Element wise-detail Summary'!$C$3:$C$1048576,B13)</f>
        <v>11</v>
      </c>
      <c r="I13" s="20" t="str">
        <f t="shared" si="14"/>
        <v>6</v>
      </c>
      <c r="J13" s="24" t="str">
        <f t="shared" si="15"/>
        <v>65%</v>
      </c>
      <c r="K13" s="25" t="str">
        <f t="shared" si="16"/>
        <v>6</v>
      </c>
      <c r="L13" s="22" t="str">
        <f>SUMIFS('Element wise-detail Summary'!$M$3:$M$1048576,'Element wise-detail Summary'!$B$3:$B$1048576,A13,'Element wise-detail Summary'!$C$3:$C$1048576,B13)</f>
        <v>5</v>
      </c>
      <c r="M13" s="20" t="str">
        <f t="shared" si="17"/>
        <v>12</v>
      </c>
      <c r="N13" s="24" t="str">
        <f t="shared" si="18"/>
        <v>29%</v>
      </c>
      <c r="O13" s="55" t="s">
        <v>27</v>
      </c>
      <c r="P13" s="27" t="str">
        <f t="shared" si="8"/>
        <v>0</v>
      </c>
      <c r="Q13" s="56" t="str">
        <f>_xlfn.MAXIFS([1]Details!$B:$B,[1]Details!$G:$G,B13)</f>
        <v>#ERROR!</v>
      </c>
    </row>
    <row r="14" ht="24.75" customHeight="1" outlineLevel="1">
      <c r="A14" s="18" t="s">
        <v>18</v>
      </c>
      <c r="B14" s="19" t="s">
        <v>28</v>
      </c>
      <c r="C14" s="20">
        <v>17.0</v>
      </c>
      <c r="D14" s="21" t="str">
        <f>SUMIFS('Element wise-detail Summary'!$F$3:$F$1048576,'Element wise-detail Summary'!$B$3:$B$1048576,Summary!$A14,'Element wise-detail Summary'!$C$3:$C$1048576,Summary!B14)</f>
        <v>17</v>
      </c>
      <c r="E14" s="22" t="str">
        <f>SUMIFS('Element wise-detail Summary'!$G$3:$G$1048576,'Element wise-detail Summary'!$B$3:$B$1048576,Summary!$A14,'Element wise-detail Summary'!$C$3:$C$1048576,Summary!B14)</f>
        <v>13</v>
      </c>
      <c r="F14" s="20" t="str">
        <f t="shared" si="12"/>
        <v>4</v>
      </c>
      <c r="G14" s="23" t="str">
        <f t="shared" si="13"/>
        <v>76%</v>
      </c>
      <c r="H14" s="22" t="str">
        <f>SUMIFS('Element wise-detail Summary'!$I$3:$I$1048576,'Element wise-detail Summary'!$B$3:$B$1048576,A14,'Element wise-detail Summary'!$C$3:$C$1048576,B14)</f>
        <v>10</v>
      </c>
      <c r="I14" s="20" t="str">
        <f t="shared" si="14"/>
        <v>7</v>
      </c>
      <c r="J14" s="24" t="str">
        <f t="shared" si="15"/>
        <v>59%</v>
      </c>
      <c r="K14" s="25" t="str">
        <f t="shared" si="16"/>
        <v>3</v>
      </c>
      <c r="L14" s="22" t="str">
        <f>SUMIFS('Element wise-detail Summary'!$M$3:$M$1048576,'Element wise-detail Summary'!$B$3:$B$1048576,A14,'Element wise-detail Summary'!$C$3:$C$1048576,B14)</f>
        <v>5</v>
      </c>
      <c r="M14" s="20" t="str">
        <f t="shared" si="17"/>
        <v>12</v>
      </c>
      <c r="N14" s="24" t="str">
        <f t="shared" si="18"/>
        <v>29%</v>
      </c>
      <c r="O14" s="55" t="s">
        <v>27</v>
      </c>
      <c r="P14" s="27" t="str">
        <f t="shared" si="8"/>
        <v>0</v>
      </c>
      <c r="Q14" s="56" t="str">
        <f>_xlfn.MAXIFS([1]Details!$B:$B,[1]Details!$G:$G,B14)</f>
        <v>#ERROR!</v>
      </c>
    </row>
    <row r="15" ht="24.75" customHeight="1" outlineLevel="1">
      <c r="A15" s="18" t="s">
        <v>18</v>
      </c>
      <c r="B15" s="19" t="s">
        <v>29</v>
      </c>
      <c r="C15" s="20">
        <v>17.0</v>
      </c>
      <c r="D15" s="21" t="str">
        <f>SUMIFS('Element wise-detail Summary'!$F$3:$F$1048576,'Element wise-detail Summary'!$B$3:$B$1048576,Summary!$A15,'Element wise-detail Summary'!$C$3:$C$1048576,Summary!B15)</f>
        <v>17</v>
      </c>
      <c r="E15" s="22" t="str">
        <f>SUMIFS('Element wise-detail Summary'!$G$3:$G$1048576,'Element wise-detail Summary'!$B$3:$B$1048576,Summary!$A15,'Element wise-detail Summary'!$C$3:$C$1048576,Summary!B15)</f>
        <v>13</v>
      </c>
      <c r="F15" s="20" t="str">
        <f t="shared" si="12"/>
        <v>4</v>
      </c>
      <c r="G15" s="23" t="str">
        <f t="shared" si="13"/>
        <v>76%</v>
      </c>
      <c r="H15" s="22" t="str">
        <f>SUMIFS('Element wise-detail Summary'!$I$3:$I$1048576,'Element wise-detail Summary'!$B$3:$B$1048576,A15,'Element wise-detail Summary'!$C$3:$C$1048576,B15)</f>
        <v>11</v>
      </c>
      <c r="I15" s="20" t="str">
        <f t="shared" si="14"/>
        <v>6</v>
      </c>
      <c r="J15" s="24" t="str">
        <f t="shared" si="15"/>
        <v>65%</v>
      </c>
      <c r="K15" s="25" t="str">
        <f t="shared" si="16"/>
        <v>2</v>
      </c>
      <c r="L15" s="22" t="str">
        <f>SUMIFS('Element wise-detail Summary'!$M$3:$M$1048576,'Element wise-detail Summary'!$B$3:$B$1048576,A15,'Element wise-detail Summary'!$C$3:$C$1048576,B15)</f>
        <v>10</v>
      </c>
      <c r="M15" s="20" t="str">
        <f t="shared" si="17"/>
        <v>7</v>
      </c>
      <c r="N15" s="24" t="str">
        <f t="shared" si="18"/>
        <v>59%</v>
      </c>
      <c r="O15" s="55" t="s">
        <v>27</v>
      </c>
      <c r="P15" s="27" t="str">
        <f t="shared" si="8"/>
        <v>0</v>
      </c>
      <c r="Q15" s="56" t="str">
        <f>_xlfn.MAXIFS([1]Details!$B:$B,[1]Details!$G:$G,B15)</f>
        <v>#ERROR!</v>
      </c>
    </row>
    <row r="16" ht="24.75" customHeight="1" outlineLevel="1">
      <c r="A16" s="18" t="s">
        <v>18</v>
      </c>
      <c r="B16" s="19" t="s">
        <v>30</v>
      </c>
      <c r="C16" s="20">
        <v>17.0</v>
      </c>
      <c r="D16" s="21" t="str">
        <f>SUMIFS('Element wise-detail Summary'!$F$3:$F$1048576,'Element wise-detail Summary'!$B$3:$B$1048576,Summary!$A16,'Element wise-detail Summary'!$C$3:$C$1048576,Summary!B16)</f>
        <v>17</v>
      </c>
      <c r="E16" s="22" t="str">
        <f>SUMIFS('Element wise-detail Summary'!$G$3:$G$1048576,'Element wise-detail Summary'!$B$3:$B$1048576,Summary!$A16,'Element wise-detail Summary'!$C$3:$C$1048576,Summary!B16)</f>
        <v>13</v>
      </c>
      <c r="F16" s="20" t="str">
        <f t="shared" si="12"/>
        <v>4</v>
      </c>
      <c r="G16" s="23" t="str">
        <f t="shared" si="13"/>
        <v>76%</v>
      </c>
      <c r="H16" s="22" t="str">
        <f>SUMIFS('Element wise-detail Summary'!$I$3:$I$1048576,'Element wise-detail Summary'!$B$3:$B$1048576,A16,'Element wise-detail Summary'!$C$3:$C$1048576,B16)</f>
        <v>11</v>
      </c>
      <c r="I16" s="20" t="str">
        <f t="shared" si="14"/>
        <v>6</v>
      </c>
      <c r="J16" s="24" t="str">
        <f t="shared" si="15"/>
        <v>65%</v>
      </c>
      <c r="K16" s="25" t="str">
        <f t="shared" si="16"/>
        <v>2</v>
      </c>
      <c r="L16" s="22" t="str">
        <f>SUMIFS('Element wise-detail Summary'!$M$3:$M$1048576,'Element wise-detail Summary'!$B$3:$B$1048576,A16,'Element wise-detail Summary'!$C$3:$C$1048576,B16)</f>
        <v>9</v>
      </c>
      <c r="M16" s="20" t="str">
        <f t="shared" si="17"/>
        <v>8</v>
      </c>
      <c r="N16" s="24" t="str">
        <f t="shared" si="18"/>
        <v>53%</v>
      </c>
      <c r="O16" s="55" t="s">
        <v>27</v>
      </c>
      <c r="P16" s="27" t="str">
        <f t="shared" si="8"/>
        <v>0</v>
      </c>
      <c r="Q16" s="56" t="str">
        <f>_xlfn.MAXIFS([1]Details!$B:$B,[1]Details!$G:$G,B16)</f>
        <v>#ERROR!</v>
      </c>
    </row>
    <row r="17" ht="24.75" customHeight="1" outlineLevel="1">
      <c r="A17" s="18" t="s">
        <v>18</v>
      </c>
      <c r="B17" s="19" t="s">
        <v>31</v>
      </c>
      <c r="C17" s="20">
        <v>22.0</v>
      </c>
      <c r="D17" s="21" t="str">
        <f>SUMIFS('Element wise-detail Summary'!$F$3:$F$1048576,'Element wise-detail Summary'!$B$3:$B$1048576,Summary!$A17,'Element wise-detail Summary'!$C$3:$C$1048576,Summary!B17)</f>
        <v>22</v>
      </c>
      <c r="E17" s="22" t="str">
        <f>SUMIFS('Element wise-detail Summary'!$G$3:$G$1048576,'Element wise-detail Summary'!$B$3:$B$1048576,Summary!$A17,'Element wise-detail Summary'!$C$3:$C$1048576,Summary!B17)</f>
        <v>14</v>
      </c>
      <c r="F17" s="20" t="str">
        <f t="shared" si="12"/>
        <v>8</v>
      </c>
      <c r="G17" s="23" t="str">
        <f t="shared" si="13"/>
        <v>64%</v>
      </c>
      <c r="H17" s="22" t="str">
        <f>SUMIFS('Element wise-detail Summary'!$I$3:$I$1048576,'Element wise-detail Summary'!$B$3:$B$1048576,A17,'Element wise-detail Summary'!$C$3:$C$1048576,B17)</f>
        <v>12</v>
      </c>
      <c r="I17" s="20" t="str">
        <f t="shared" si="14"/>
        <v>10</v>
      </c>
      <c r="J17" s="24" t="str">
        <f t="shared" si="15"/>
        <v>55%</v>
      </c>
      <c r="K17" s="25" t="str">
        <f t="shared" si="16"/>
        <v>2</v>
      </c>
      <c r="L17" s="22" t="str">
        <f>SUMIFS('Element wise-detail Summary'!$M$3:$M$1048576,'Element wise-detail Summary'!$B$3:$B$1048576,A17,'Element wise-detail Summary'!$C$3:$C$1048576,B17)</f>
        <v>12</v>
      </c>
      <c r="M17" s="20" t="str">
        <f t="shared" si="17"/>
        <v>10</v>
      </c>
      <c r="N17" s="24" t="str">
        <f t="shared" si="18"/>
        <v>55%</v>
      </c>
      <c r="O17" s="55" t="s">
        <v>32</v>
      </c>
      <c r="P17" s="27" t="str">
        <f t="shared" si="8"/>
        <v>0</v>
      </c>
      <c r="Q17" s="56" t="str">
        <f>_xlfn.MAXIFS([1]Details!$B:$B,[1]Details!$G:$G,B17)</f>
        <v>#ERROR!</v>
      </c>
    </row>
    <row r="18" ht="24.75" customHeight="1" outlineLevel="1">
      <c r="A18" s="29" t="s">
        <v>18</v>
      </c>
      <c r="B18" s="30" t="s">
        <v>33</v>
      </c>
      <c r="C18" s="31">
        <v>21.0</v>
      </c>
      <c r="D18" s="32" t="str">
        <f>SUMIFS('Element wise-detail Summary'!$F$3:$F$1048576,'Element wise-detail Summary'!$B$3:$B$1048576,Summary!$A18,'Element wise-detail Summary'!$C$3:$C$1048576,Summary!B18)</f>
        <v>21</v>
      </c>
      <c r="E18" s="33" t="str">
        <f>SUMIFS('Element wise-detail Summary'!$G$3:$G$1048576,'Element wise-detail Summary'!$B$3:$B$1048576,Summary!$A18,'Element wise-detail Summary'!$C$3:$C$1048576,Summary!B18)</f>
        <v>21</v>
      </c>
      <c r="F18" s="31" t="str">
        <f t="shared" si="12"/>
        <v>0</v>
      </c>
      <c r="G18" s="34" t="str">
        <f t="shared" si="13"/>
        <v>100%</v>
      </c>
      <c r="H18" s="33" t="str">
        <f>SUMIFS('Element wise-detail Summary'!$I$3:$I$1048576,'Element wise-detail Summary'!$B$3:$B$1048576,A18,'Element wise-detail Summary'!$C$3:$C$1048576,B18)</f>
        <v>11</v>
      </c>
      <c r="I18" s="31" t="str">
        <f t="shared" si="14"/>
        <v>10</v>
      </c>
      <c r="J18" s="35" t="str">
        <f t="shared" si="15"/>
        <v>52%</v>
      </c>
      <c r="K18" s="36" t="str">
        <f t="shared" si="16"/>
        <v>10</v>
      </c>
      <c r="L18" s="33" t="str">
        <f>SUMIFS('Element wise-detail Summary'!$M$3:$M$1048576,'Element wise-detail Summary'!$B$3:$B$1048576,A18,'Element wise-detail Summary'!$C$3:$C$1048576,B18)</f>
        <v>10</v>
      </c>
      <c r="M18" s="31" t="str">
        <f t="shared" si="17"/>
        <v>11</v>
      </c>
      <c r="N18" s="35" t="str">
        <f t="shared" si="18"/>
        <v>48%</v>
      </c>
      <c r="O18" s="26"/>
      <c r="P18" s="27" t="str">
        <f t="shared" si="8"/>
        <v>0</v>
      </c>
      <c r="Q18" s="56" t="str">
        <f>_xlfn.MAXIFS([1]Details!$B:$B,[1]Details!$G:$G,B18)</f>
        <v>#ERROR!</v>
      </c>
    </row>
    <row r="19" ht="24.75" customHeight="1">
      <c r="A19" s="38" t="s">
        <v>18</v>
      </c>
      <c r="B19" s="39" t="str">
        <f>COUNTA(B11:B18) &amp; " NOS"</f>
        <v>8 NOS</v>
      </c>
      <c r="C19" s="40" t="str">
        <f t="shared" ref="C19:F19" si="19">SUM(C11:C18)</f>
        <v>145</v>
      </c>
      <c r="D19" s="41" t="str">
        <f t="shared" si="19"/>
        <v>145</v>
      </c>
      <c r="E19" s="42" t="str">
        <f t="shared" si="19"/>
        <v>125</v>
      </c>
      <c r="F19" s="40" t="str">
        <f t="shared" si="19"/>
        <v>20</v>
      </c>
      <c r="G19" s="43" t="str">
        <f t="shared" si="13"/>
        <v>86%</v>
      </c>
      <c r="H19" s="42" t="str">
        <f t="shared" ref="H19:I19" si="20">SUM(H11:H18)</f>
        <v>86</v>
      </c>
      <c r="I19" s="40" t="str">
        <f t="shared" si="20"/>
        <v>59</v>
      </c>
      <c r="J19" s="44" t="str">
        <f t="shared" si="15"/>
        <v>59%</v>
      </c>
      <c r="K19" s="45" t="str">
        <f t="shared" ref="K19:L19" si="21">SUM(K11:K18)</f>
        <v>39</v>
      </c>
      <c r="L19" s="42" t="str">
        <f t="shared" si="21"/>
        <v>63</v>
      </c>
      <c r="M19" s="40" t="str">
        <f t="shared" si="17"/>
        <v>82</v>
      </c>
      <c r="N19" s="44" t="str">
        <f t="shared" si="18"/>
        <v>43%</v>
      </c>
      <c r="O19" s="46"/>
      <c r="P19" s="27" t="str">
        <f t="shared" si="8"/>
        <v>0</v>
      </c>
      <c r="Q19" s="27"/>
    </row>
    <row r="20" ht="7.5" customHeight="1">
      <c r="A20" s="47"/>
      <c r="B20" s="48"/>
      <c r="C20" s="49"/>
      <c r="D20" s="50"/>
      <c r="E20" s="51"/>
      <c r="F20" s="49"/>
      <c r="G20" s="52"/>
      <c r="H20" s="51"/>
      <c r="I20" s="49"/>
      <c r="J20" s="53"/>
      <c r="K20" s="49"/>
      <c r="L20" s="51"/>
      <c r="M20" s="49"/>
      <c r="N20" s="53"/>
      <c r="O20" s="54"/>
      <c r="P20" s="27" t="str">
        <f t="shared" si="8"/>
        <v>0</v>
      </c>
      <c r="Q20" s="27"/>
    </row>
    <row r="21" ht="24.75" customHeight="1" outlineLevel="1">
      <c r="A21" s="57" t="s">
        <v>34</v>
      </c>
      <c r="B21" s="58" t="s">
        <v>35</v>
      </c>
      <c r="C21" s="59">
        <v>21.0</v>
      </c>
      <c r="D21" s="60" t="str">
        <f>SUMIFS('Element wise-detail Summary'!$F$3:$F$1048576,'Element wise-detail Summary'!$B$3:$B$1048576,Summary!$A21,'Element wise-detail Summary'!$C$3:$C$1048576,Summary!B21)</f>
        <v>21</v>
      </c>
      <c r="E21" s="61" t="str">
        <f>SUMIFS('Element wise-detail Summary'!$G$3:$G$1048576,'Element wise-detail Summary'!$B$3:$B$1048576,Summary!$A21,'Element wise-detail Summary'!$C$3:$C$1048576,Summary!B21)</f>
        <v>17</v>
      </c>
      <c r="F21" s="59" t="str">
        <f t="shared" ref="F21:F27" si="22">D21-E21</f>
        <v>4</v>
      </c>
      <c r="G21" s="62" t="str">
        <f t="shared" ref="G21:G28" si="23">E21/C21</f>
        <v>81%</v>
      </c>
      <c r="H21" s="61" t="str">
        <f>SUMIFS('Element wise-detail Summary'!$I$3:$I$1048576,'Element wise-detail Summary'!$B$3:$B$1048576,A21,'Element wise-detail Summary'!$C$3:$C$1048576,B21)</f>
        <v>5</v>
      </c>
      <c r="I21" s="59" t="str">
        <f t="shared" ref="I21:I27" si="24">D21-H21</f>
        <v>16</v>
      </c>
      <c r="J21" s="63" t="str">
        <f t="shared" ref="J21:J28" si="25">H21/C21</f>
        <v>24%</v>
      </c>
      <c r="K21" s="64" t="str">
        <f t="shared" ref="K21:K27" si="26">E21-H21</f>
        <v>12</v>
      </c>
      <c r="L21" s="61" t="str">
        <f>SUMIFS('Element wise-detail Summary'!$M$3:$M$1048576,'Element wise-detail Summary'!$B$3:$B$1048576,A21,'Element wise-detail Summary'!$C$3:$C$1048576,B21)</f>
        <v>4</v>
      </c>
      <c r="M21" s="59" t="str">
        <f t="shared" ref="M21:M28" si="27">D21-L21</f>
        <v>17</v>
      </c>
      <c r="N21" s="63" t="str">
        <f t="shared" ref="N21:N28" si="28">L21/C21</f>
        <v>19%</v>
      </c>
      <c r="O21" s="65" t="s">
        <v>36</v>
      </c>
      <c r="P21" s="27" t="str">
        <f t="shared" si="8"/>
        <v>0</v>
      </c>
      <c r="Q21" s="56" t="str">
        <f>_xlfn.MAXIFS([1]Details!$B:$B,[1]Details!$G:$G,B21)</f>
        <v>#ERROR!</v>
      </c>
    </row>
    <row r="22" ht="24.75" customHeight="1" outlineLevel="1">
      <c r="A22" s="57" t="s">
        <v>34</v>
      </c>
      <c r="B22" s="58" t="s">
        <v>37</v>
      </c>
      <c r="C22" s="59">
        <v>28.0</v>
      </c>
      <c r="D22" s="60" t="str">
        <f>SUMIFS('Element wise-detail Summary'!$F$3:$F$1048576,'Element wise-detail Summary'!$B$3:$B$1048576,Summary!$A22,'Element wise-detail Summary'!$C$3:$C$1048576,Summary!B22)</f>
        <v>28</v>
      </c>
      <c r="E22" s="61" t="str">
        <f>SUMIFS('Element wise-detail Summary'!$G$3:$G$1048576,'Element wise-detail Summary'!$B$3:$B$1048576,Summary!$A22,'Element wise-detail Summary'!$C$3:$C$1048576,Summary!B22)</f>
        <v>27</v>
      </c>
      <c r="F22" s="59" t="str">
        <f t="shared" si="22"/>
        <v>1</v>
      </c>
      <c r="G22" s="62" t="str">
        <f t="shared" si="23"/>
        <v>96%</v>
      </c>
      <c r="H22" s="61" t="str">
        <f>SUMIFS('Element wise-detail Summary'!$I$3:$I$1048576,'Element wise-detail Summary'!$B$3:$B$1048576,A22,'Element wise-detail Summary'!$C$3:$C$1048576,B22)</f>
        <v>6</v>
      </c>
      <c r="I22" s="59" t="str">
        <f t="shared" si="24"/>
        <v>22</v>
      </c>
      <c r="J22" s="63" t="str">
        <f t="shared" si="25"/>
        <v>21%</v>
      </c>
      <c r="K22" s="64" t="str">
        <f t="shared" si="26"/>
        <v>21</v>
      </c>
      <c r="L22" s="61" t="str">
        <f>SUMIFS('Element wise-detail Summary'!$M$3:$M$1048576,'Element wise-detail Summary'!$B$3:$B$1048576,A22,'Element wise-detail Summary'!$C$3:$C$1048576,B22)</f>
        <v>3</v>
      </c>
      <c r="M22" s="59" t="str">
        <f t="shared" si="27"/>
        <v>25</v>
      </c>
      <c r="N22" s="63" t="str">
        <f t="shared" si="28"/>
        <v>11%</v>
      </c>
      <c r="O22" s="65" t="s">
        <v>38</v>
      </c>
      <c r="P22" s="27" t="str">
        <f t="shared" si="8"/>
        <v>0</v>
      </c>
      <c r="Q22" s="56" t="str">
        <f>_xlfn.MAXIFS([1]Details!$B:$B,[1]Details!$G:$G,B22)</f>
        <v>#ERROR!</v>
      </c>
    </row>
    <row r="23" ht="24.75" customHeight="1" outlineLevel="1">
      <c r="A23" s="57" t="s">
        <v>34</v>
      </c>
      <c r="B23" s="58" t="s">
        <v>39</v>
      </c>
      <c r="C23" s="59">
        <v>28.0</v>
      </c>
      <c r="D23" s="60" t="str">
        <f>SUMIFS('Element wise-detail Summary'!$F$3:$F$1048576,'Element wise-detail Summary'!$B$3:$B$1048576,Summary!$A23,'Element wise-detail Summary'!$C$3:$C$1048576,Summary!B23)</f>
        <v>28</v>
      </c>
      <c r="E23" s="61" t="str">
        <f>SUMIFS('Element wise-detail Summary'!$G$3:$G$1048576,'Element wise-detail Summary'!$B$3:$B$1048576,Summary!$A23,'Element wise-detail Summary'!$C$3:$C$1048576,Summary!B23)</f>
        <v>28</v>
      </c>
      <c r="F23" s="59" t="str">
        <f t="shared" si="22"/>
        <v>0</v>
      </c>
      <c r="G23" s="62" t="str">
        <f t="shared" si="23"/>
        <v>100%</v>
      </c>
      <c r="H23" s="61" t="str">
        <f>SUMIFS('Element wise-detail Summary'!$I$3:$I$1048576,'Element wise-detail Summary'!$B$3:$B$1048576,A23,'Element wise-detail Summary'!$C$3:$C$1048576,B23)</f>
        <v>8</v>
      </c>
      <c r="I23" s="59" t="str">
        <f t="shared" si="24"/>
        <v>20</v>
      </c>
      <c r="J23" s="63" t="str">
        <f t="shared" si="25"/>
        <v>29%</v>
      </c>
      <c r="K23" s="64" t="str">
        <f t="shared" si="26"/>
        <v>20</v>
      </c>
      <c r="L23" s="61" t="str">
        <f>SUMIFS('Element wise-detail Summary'!$M$3:$M$1048576,'Element wise-detail Summary'!$B$3:$B$1048576,A23,'Element wise-detail Summary'!$C$3:$C$1048576,B23)</f>
        <v>7</v>
      </c>
      <c r="M23" s="59" t="str">
        <f t="shared" si="27"/>
        <v>21</v>
      </c>
      <c r="N23" s="63" t="str">
        <f t="shared" si="28"/>
        <v>25%</v>
      </c>
      <c r="O23" s="65" t="s">
        <v>38</v>
      </c>
      <c r="P23" s="27" t="str">
        <f t="shared" si="8"/>
        <v>0</v>
      </c>
      <c r="Q23" s="56" t="str">
        <f>_xlfn.MAXIFS([1]Details!$B:$B,[1]Details!$G:$G,B23)</f>
        <v>#ERROR!</v>
      </c>
    </row>
    <row r="24" ht="24.75" customHeight="1" outlineLevel="1">
      <c r="A24" s="57" t="s">
        <v>34</v>
      </c>
      <c r="B24" s="58" t="s">
        <v>40</v>
      </c>
      <c r="C24" s="59">
        <v>25.0</v>
      </c>
      <c r="D24" s="60" t="str">
        <f>SUMIFS('Element wise-detail Summary'!$F$3:$F$1048576,'Element wise-detail Summary'!$B$3:$B$1048576,Summary!$A24,'Element wise-detail Summary'!$C$3:$C$1048576,Summary!B24)</f>
        <v>25</v>
      </c>
      <c r="E24" s="61" t="str">
        <f>SUMIFS('Element wise-detail Summary'!$G$3:$G$1048576,'Element wise-detail Summary'!$B$3:$B$1048576,Summary!$A24,'Element wise-detail Summary'!$C$3:$C$1048576,Summary!B24)</f>
        <v>17</v>
      </c>
      <c r="F24" s="59" t="str">
        <f t="shared" si="22"/>
        <v>8</v>
      </c>
      <c r="G24" s="62" t="str">
        <f t="shared" si="23"/>
        <v>68%</v>
      </c>
      <c r="H24" s="61" t="str">
        <f>SUMIFS('Element wise-detail Summary'!$I$3:$I$1048576,'Element wise-detail Summary'!$B$3:$B$1048576,A24,'Element wise-detail Summary'!$C$3:$C$1048576,B24)</f>
        <v>10</v>
      </c>
      <c r="I24" s="59" t="str">
        <f t="shared" si="24"/>
        <v>15</v>
      </c>
      <c r="J24" s="63" t="str">
        <f t="shared" si="25"/>
        <v>40%</v>
      </c>
      <c r="K24" s="64" t="str">
        <f t="shared" si="26"/>
        <v>7</v>
      </c>
      <c r="L24" s="61" t="str">
        <f>SUMIFS('Element wise-detail Summary'!$M$3:$M$1048576,'Element wise-detail Summary'!$B$3:$B$1048576,A24,'Element wise-detail Summary'!$C$3:$C$1048576,B24)</f>
        <v>6</v>
      </c>
      <c r="M24" s="59" t="str">
        <f t="shared" si="27"/>
        <v>19</v>
      </c>
      <c r="N24" s="63" t="str">
        <f t="shared" si="28"/>
        <v>24%</v>
      </c>
      <c r="O24" s="65" t="s">
        <v>32</v>
      </c>
      <c r="P24" s="27" t="str">
        <f t="shared" si="8"/>
        <v>0</v>
      </c>
      <c r="Q24" s="56" t="str">
        <f>_xlfn.MAXIFS([1]Details!$B:$B,[1]Details!$G:$G,B24)</f>
        <v>#ERROR!</v>
      </c>
    </row>
    <row r="25" ht="24.75" customHeight="1" outlineLevel="1">
      <c r="A25" s="57" t="s">
        <v>34</v>
      </c>
      <c r="B25" s="58" t="s">
        <v>41</v>
      </c>
      <c r="C25" s="59">
        <v>21.0</v>
      </c>
      <c r="D25" s="60" t="str">
        <f>SUMIFS('Element wise-detail Summary'!$F$3:$F$1048576,'Element wise-detail Summary'!$B$3:$B$1048576,Summary!$A25,'Element wise-detail Summary'!$C$3:$C$1048576,Summary!B25)</f>
        <v>21</v>
      </c>
      <c r="E25" s="61" t="str">
        <f>SUMIFS('Element wise-detail Summary'!$G$3:$G$1048576,'Element wise-detail Summary'!$B$3:$B$1048576,Summary!$A25,'Element wise-detail Summary'!$C$3:$C$1048576,Summary!B25)</f>
        <v>18</v>
      </c>
      <c r="F25" s="59" t="str">
        <f t="shared" si="22"/>
        <v>3</v>
      </c>
      <c r="G25" s="62" t="str">
        <f t="shared" si="23"/>
        <v>86%</v>
      </c>
      <c r="H25" s="61" t="str">
        <f>SUMIFS('Element wise-detail Summary'!$I$3:$I$1048576,'Element wise-detail Summary'!$B$3:$B$1048576,A25,'Element wise-detail Summary'!$C$3:$C$1048576,B25)</f>
        <v>9</v>
      </c>
      <c r="I25" s="59" t="str">
        <f t="shared" si="24"/>
        <v>12</v>
      </c>
      <c r="J25" s="63" t="str">
        <f t="shared" si="25"/>
        <v>43%</v>
      </c>
      <c r="K25" s="64" t="str">
        <f t="shared" si="26"/>
        <v>9</v>
      </c>
      <c r="L25" s="61" t="str">
        <f>SUMIFS('Element wise-detail Summary'!$M$3:$M$1048576,'Element wise-detail Summary'!$B$3:$B$1048576,A25,'Element wise-detail Summary'!$C$3:$C$1048576,B25)</f>
        <v>6</v>
      </c>
      <c r="M25" s="59" t="str">
        <f t="shared" si="27"/>
        <v>15</v>
      </c>
      <c r="N25" s="63" t="str">
        <f t="shared" si="28"/>
        <v>29%</v>
      </c>
      <c r="O25" s="65" t="s">
        <v>36</v>
      </c>
      <c r="P25" s="27" t="str">
        <f t="shared" si="8"/>
        <v>0</v>
      </c>
      <c r="Q25" s="56" t="str">
        <f>_xlfn.MAXIFS([1]Details!$B:$B,[1]Details!$G:$G,B25)</f>
        <v>#ERROR!</v>
      </c>
    </row>
    <row r="26" ht="24.75" customHeight="1" outlineLevel="1">
      <c r="A26" s="57" t="s">
        <v>34</v>
      </c>
      <c r="B26" s="58" t="s">
        <v>42</v>
      </c>
      <c r="C26" s="59">
        <v>20.0</v>
      </c>
      <c r="D26" s="60" t="str">
        <f>SUMIFS('Element wise-detail Summary'!$F$3:$F$1048576,'Element wise-detail Summary'!$B$3:$B$1048576,Summary!$A26,'Element wise-detail Summary'!$C$3:$C$1048576,Summary!B26)</f>
        <v>20</v>
      </c>
      <c r="E26" s="61" t="str">
        <f>SUMIFS('Element wise-detail Summary'!$G$3:$G$1048576,'Element wise-detail Summary'!$B$3:$B$1048576,Summary!$A26,'Element wise-detail Summary'!$C$3:$C$1048576,Summary!B26)</f>
        <v>20</v>
      </c>
      <c r="F26" s="59" t="str">
        <f t="shared" si="22"/>
        <v>0</v>
      </c>
      <c r="G26" s="62" t="str">
        <f t="shared" si="23"/>
        <v>100%</v>
      </c>
      <c r="H26" s="61" t="str">
        <f>SUMIFS('Element wise-detail Summary'!$I$3:$I$1048576,'Element wise-detail Summary'!$B$3:$B$1048576,A26,'Element wise-detail Summary'!$C$3:$C$1048576,B26)</f>
        <v>10</v>
      </c>
      <c r="I26" s="59" t="str">
        <f t="shared" si="24"/>
        <v>10</v>
      </c>
      <c r="J26" s="63" t="str">
        <f t="shared" si="25"/>
        <v>50%</v>
      </c>
      <c r="K26" s="64" t="str">
        <f t="shared" si="26"/>
        <v>10</v>
      </c>
      <c r="L26" s="61" t="str">
        <f>SUMIFS('Element wise-detail Summary'!$M$3:$M$1048576,'Element wise-detail Summary'!$B$3:$B$1048576,A26,'Element wise-detail Summary'!$C$3:$C$1048576,B26)</f>
        <v>10</v>
      </c>
      <c r="M26" s="59" t="str">
        <f t="shared" si="27"/>
        <v>10</v>
      </c>
      <c r="N26" s="63" t="str">
        <f t="shared" si="28"/>
        <v>50%</v>
      </c>
      <c r="O26" s="65" t="s">
        <v>27</v>
      </c>
      <c r="P26" s="27" t="str">
        <f t="shared" si="8"/>
        <v>0</v>
      </c>
      <c r="Q26" s="56" t="str">
        <f>_xlfn.MAXIFS([1]Details!$B:$B,[1]Details!$G:$G,B26)</f>
        <v>#ERROR!</v>
      </c>
    </row>
    <row r="27" ht="24.75" customHeight="1" outlineLevel="1">
      <c r="A27" s="57" t="s">
        <v>34</v>
      </c>
      <c r="B27" s="58" t="s">
        <v>43</v>
      </c>
      <c r="C27" s="59">
        <v>20.0</v>
      </c>
      <c r="D27" s="60" t="str">
        <f>SUMIFS('Element wise-detail Summary'!$F$3:$F$1048576,'Element wise-detail Summary'!$B$3:$B$1048576,Summary!$A27,'Element wise-detail Summary'!$C$3:$C$1048576,Summary!B27)</f>
        <v>20</v>
      </c>
      <c r="E27" s="61" t="str">
        <f>SUMIFS('Element wise-detail Summary'!$G$3:$G$1048576,'Element wise-detail Summary'!$B$3:$B$1048576,Summary!$A27,'Element wise-detail Summary'!$C$3:$C$1048576,Summary!B27)</f>
        <v>19</v>
      </c>
      <c r="F27" s="59" t="str">
        <f t="shared" si="22"/>
        <v>1</v>
      </c>
      <c r="G27" s="62" t="str">
        <f t="shared" si="23"/>
        <v>95%</v>
      </c>
      <c r="H27" s="61" t="str">
        <f>SUMIFS('Element wise-detail Summary'!$I$3:$I$1048576,'Element wise-detail Summary'!$B$3:$B$1048576,A27,'Element wise-detail Summary'!$C$3:$C$1048576,B27)</f>
        <v>10</v>
      </c>
      <c r="I27" s="59" t="str">
        <f t="shared" si="24"/>
        <v>10</v>
      </c>
      <c r="J27" s="63" t="str">
        <f t="shared" si="25"/>
        <v>50%</v>
      </c>
      <c r="K27" s="64" t="str">
        <f t="shared" si="26"/>
        <v>9</v>
      </c>
      <c r="L27" s="61" t="str">
        <f>SUMIFS('Element wise-detail Summary'!$M$3:$M$1048576,'Element wise-detail Summary'!$B$3:$B$1048576,A27,'Element wise-detail Summary'!$C$3:$C$1048576,B27)</f>
        <v>10</v>
      </c>
      <c r="M27" s="59" t="str">
        <f t="shared" si="27"/>
        <v>10</v>
      </c>
      <c r="N27" s="63" t="str">
        <f t="shared" si="28"/>
        <v>50%</v>
      </c>
      <c r="O27" s="65" t="s">
        <v>27</v>
      </c>
      <c r="P27" s="27" t="str">
        <f t="shared" si="8"/>
        <v>0</v>
      </c>
      <c r="Q27" s="56" t="str">
        <f>_xlfn.MAXIFS([1]Details!$B:$B,[1]Details!$G:$G,B27)</f>
        <v>#ERROR!</v>
      </c>
    </row>
    <row r="28" ht="24.75" customHeight="1">
      <c r="A28" s="38" t="s">
        <v>34</v>
      </c>
      <c r="B28" s="39" t="str">
        <f>COUNTA(B21:B27) &amp; " NOS"</f>
        <v>7 NOS</v>
      </c>
      <c r="C28" s="40" t="str">
        <f t="shared" ref="C28:F28" si="29">SUM(C21:C27)</f>
        <v>163</v>
      </c>
      <c r="D28" s="41" t="str">
        <f t="shared" si="29"/>
        <v>163</v>
      </c>
      <c r="E28" s="42" t="str">
        <f t="shared" si="29"/>
        <v>146</v>
      </c>
      <c r="F28" s="40" t="str">
        <f t="shared" si="29"/>
        <v>17</v>
      </c>
      <c r="G28" s="43" t="str">
        <f t="shared" si="23"/>
        <v>90%</v>
      </c>
      <c r="H28" s="42" t="str">
        <f t="shared" ref="H28:I28" si="30">SUM(H21:H27)</f>
        <v>58</v>
      </c>
      <c r="I28" s="40" t="str">
        <f t="shared" si="30"/>
        <v>105</v>
      </c>
      <c r="J28" s="44" t="str">
        <f t="shared" si="25"/>
        <v>36%</v>
      </c>
      <c r="K28" s="45" t="str">
        <f t="shared" ref="K28:L28" si="31">SUM(K21:K27)</f>
        <v>88</v>
      </c>
      <c r="L28" s="42" t="str">
        <f t="shared" si="31"/>
        <v>46</v>
      </c>
      <c r="M28" s="40" t="str">
        <f t="shared" si="27"/>
        <v>117</v>
      </c>
      <c r="N28" s="44" t="str">
        <f t="shared" si="28"/>
        <v>28%</v>
      </c>
      <c r="O28" s="46"/>
      <c r="P28" s="27" t="str">
        <f t="shared" si="8"/>
        <v>0</v>
      </c>
      <c r="Q28" s="27"/>
    </row>
    <row r="29" ht="7.5" customHeight="1">
      <c r="A29" s="47"/>
      <c r="B29" s="48"/>
      <c r="C29" s="49"/>
      <c r="D29" s="50"/>
      <c r="E29" s="51"/>
      <c r="F29" s="49"/>
      <c r="G29" s="52"/>
      <c r="H29" s="51"/>
      <c r="I29" s="49"/>
      <c r="J29" s="53"/>
      <c r="K29" s="49"/>
      <c r="L29" s="51"/>
      <c r="M29" s="49"/>
      <c r="N29" s="53"/>
      <c r="O29" s="54"/>
      <c r="P29" s="27" t="str">
        <f t="shared" si="8"/>
        <v>0</v>
      </c>
      <c r="Q29" s="27"/>
    </row>
    <row r="30" ht="24.75" customHeight="1" outlineLevel="1">
      <c r="A30" s="57" t="s">
        <v>44</v>
      </c>
      <c r="B30" s="58" t="s">
        <v>45</v>
      </c>
      <c r="C30" s="59">
        <v>21.0</v>
      </c>
      <c r="D30" s="60" t="str">
        <f>SUMIFS('Element wise-detail Summary'!$F$3:$F$1048576,'Element wise-detail Summary'!$B$3:$B$1048576,Summary!$A30,'Element wise-detail Summary'!$C$3:$C$1048576,Summary!B30)</f>
        <v>21</v>
      </c>
      <c r="E30" s="61" t="str">
        <f>SUMIFS('Element wise-detail Summary'!$G$3:$G$1048576,'Element wise-detail Summary'!$B$3:$B$1048576,Summary!$A30,'Element wise-detail Summary'!$C$3:$C$1048576,Summary!B30)</f>
        <v>16</v>
      </c>
      <c r="F30" s="59" t="str">
        <f t="shared" ref="F30:F34" si="32">D30-E30</f>
        <v>5</v>
      </c>
      <c r="G30" s="62" t="str">
        <f t="shared" ref="G30:G35" si="33">E30/C30</f>
        <v>76%</v>
      </c>
      <c r="H30" s="61" t="str">
        <f>SUMIFS('Element wise-detail Summary'!$I$3:$I$1048576,'Element wise-detail Summary'!$B$3:$B$1048576,A30,'Element wise-detail Summary'!$C$3:$C$1048576,B30)</f>
        <v>0</v>
      </c>
      <c r="I30" s="59" t="str">
        <f t="shared" ref="I30:I34" si="34">D30-H30</f>
        <v>21</v>
      </c>
      <c r="J30" s="63" t="str">
        <f t="shared" ref="J30:J35" si="35">H30/C30</f>
        <v>0%</v>
      </c>
      <c r="K30" s="64" t="str">
        <f t="shared" ref="K30:K34" si="36">E30-H30</f>
        <v>16</v>
      </c>
      <c r="L30" s="61" t="str">
        <f>SUMIFS('Element wise-detail Summary'!$M$3:$M$1048576,'Element wise-detail Summary'!$B$3:$B$1048576,A30,'Element wise-detail Summary'!$C$3:$C$1048576,B30)</f>
        <v>0</v>
      </c>
      <c r="M30" s="59" t="str">
        <f t="shared" ref="M30:M35" si="37">D30-L30</f>
        <v>21</v>
      </c>
      <c r="N30" s="63" t="str">
        <f t="shared" ref="N30:N35" si="38">L30/C30</f>
        <v>0%</v>
      </c>
      <c r="O30" s="65" t="s">
        <v>46</v>
      </c>
      <c r="P30" s="27" t="str">
        <f t="shared" si="8"/>
        <v>0</v>
      </c>
      <c r="Q30" s="56" t="str">
        <f>_xlfn.MAXIFS([1]Details!$B:$B,[1]Details!$G:$G,B30)</f>
        <v>#ERROR!</v>
      </c>
    </row>
    <row r="31" ht="24.75" customHeight="1" outlineLevel="1">
      <c r="A31" s="57" t="s">
        <v>44</v>
      </c>
      <c r="B31" s="58" t="s">
        <v>47</v>
      </c>
      <c r="C31" s="59">
        <v>27.0</v>
      </c>
      <c r="D31" s="60" t="str">
        <f>SUMIFS('Element wise-detail Summary'!$F$3:$F$1048576,'Element wise-detail Summary'!$B$3:$B$1048576,Summary!$A31,'Element wise-detail Summary'!$C$3:$C$1048576,Summary!B31)</f>
        <v>27</v>
      </c>
      <c r="E31" s="61" t="str">
        <f>SUMIFS('Element wise-detail Summary'!$G$3:$G$1048576,'Element wise-detail Summary'!$B$3:$B$1048576,Summary!$A31,'Element wise-detail Summary'!$C$3:$C$1048576,Summary!B31)</f>
        <v>22</v>
      </c>
      <c r="F31" s="59" t="str">
        <f t="shared" si="32"/>
        <v>5</v>
      </c>
      <c r="G31" s="62" t="str">
        <f t="shared" si="33"/>
        <v>81%</v>
      </c>
      <c r="H31" s="61" t="str">
        <f>SUMIFS('Element wise-detail Summary'!$I$3:$I$1048576,'Element wise-detail Summary'!$B$3:$B$1048576,A31,'Element wise-detail Summary'!$C$3:$C$1048576,B31)</f>
        <v>0</v>
      </c>
      <c r="I31" s="59" t="str">
        <f t="shared" si="34"/>
        <v>27</v>
      </c>
      <c r="J31" s="63" t="str">
        <f t="shared" si="35"/>
        <v>0%</v>
      </c>
      <c r="K31" s="64" t="str">
        <f t="shared" si="36"/>
        <v>22</v>
      </c>
      <c r="L31" s="61" t="str">
        <f>SUMIFS('Element wise-detail Summary'!$M$3:$M$1048576,'Element wise-detail Summary'!$B$3:$B$1048576,A31,'Element wise-detail Summary'!$C$3:$C$1048576,B31)</f>
        <v>0</v>
      </c>
      <c r="M31" s="59" t="str">
        <f t="shared" si="37"/>
        <v>27</v>
      </c>
      <c r="N31" s="63" t="str">
        <f t="shared" si="38"/>
        <v>0%</v>
      </c>
      <c r="O31" s="65" t="s">
        <v>46</v>
      </c>
      <c r="P31" s="27" t="str">
        <f t="shared" si="8"/>
        <v>0</v>
      </c>
      <c r="Q31" s="56" t="str">
        <f>_xlfn.MAXIFS([1]Details!$B:$B,[1]Details!$G:$G,B31)</f>
        <v>#ERROR!</v>
      </c>
    </row>
    <row r="32" ht="24.75" customHeight="1" outlineLevel="1">
      <c r="A32" s="57" t="s">
        <v>44</v>
      </c>
      <c r="B32" s="58" t="s">
        <v>48</v>
      </c>
      <c r="C32" s="59">
        <v>29.0</v>
      </c>
      <c r="D32" s="60" t="str">
        <f>SUMIFS('Element wise-detail Summary'!$F$3:$F$1048576,'Element wise-detail Summary'!$B$3:$B$1048576,Summary!$A32,'Element wise-detail Summary'!$C$3:$C$1048576,Summary!B32)</f>
        <v>29</v>
      </c>
      <c r="E32" s="61" t="str">
        <f>SUMIFS('Element wise-detail Summary'!$G$3:$G$1048576,'Element wise-detail Summary'!$B$3:$B$1048576,Summary!$A32,'Element wise-detail Summary'!$C$3:$C$1048576,Summary!B32)</f>
        <v>18</v>
      </c>
      <c r="F32" s="59" t="str">
        <f t="shared" si="32"/>
        <v>11</v>
      </c>
      <c r="G32" s="62" t="str">
        <f t="shared" si="33"/>
        <v>62%</v>
      </c>
      <c r="H32" s="61" t="str">
        <f>SUMIFS('Element wise-detail Summary'!$I$3:$I$1048576,'Element wise-detail Summary'!$B$3:$B$1048576,A32,'Element wise-detail Summary'!$C$3:$C$1048576,B32)</f>
        <v>9</v>
      </c>
      <c r="I32" s="59" t="str">
        <f t="shared" si="34"/>
        <v>20</v>
      </c>
      <c r="J32" s="63" t="str">
        <f t="shared" si="35"/>
        <v>31%</v>
      </c>
      <c r="K32" s="64" t="str">
        <f t="shared" si="36"/>
        <v>9</v>
      </c>
      <c r="L32" s="61" t="str">
        <f>SUMIFS('Element wise-detail Summary'!$M$3:$M$1048576,'Element wise-detail Summary'!$B$3:$B$1048576,A32,'Element wise-detail Summary'!$C$3:$C$1048576,B32)</f>
        <v>0</v>
      </c>
      <c r="M32" s="59" t="str">
        <f t="shared" si="37"/>
        <v>29</v>
      </c>
      <c r="N32" s="63" t="str">
        <f t="shared" si="38"/>
        <v>0%</v>
      </c>
      <c r="O32" s="65" t="s">
        <v>49</v>
      </c>
      <c r="P32" s="27" t="str">
        <f t="shared" si="8"/>
        <v>0</v>
      </c>
      <c r="Q32" s="56" t="str">
        <f>_xlfn.MAXIFS([1]Details!$B:$B,[1]Details!$G:$G,B32)</f>
        <v>#ERROR!</v>
      </c>
    </row>
    <row r="33" ht="24.75" customHeight="1" outlineLevel="1">
      <c r="A33" s="57" t="s">
        <v>44</v>
      </c>
      <c r="B33" s="58" t="s">
        <v>50</v>
      </c>
      <c r="C33" s="59">
        <v>25.0</v>
      </c>
      <c r="D33" s="60" t="str">
        <f>SUMIFS('Element wise-detail Summary'!$F$3:$F$1048576,'Element wise-detail Summary'!$B$3:$B$1048576,Summary!$A33,'Element wise-detail Summary'!$C$3:$C$1048576,Summary!B33)</f>
        <v>25</v>
      </c>
      <c r="E33" s="61" t="str">
        <f>SUMIFS('Element wise-detail Summary'!$G$3:$G$1048576,'Element wise-detail Summary'!$B$3:$B$1048576,Summary!$A33,'Element wise-detail Summary'!$C$3:$C$1048576,Summary!B33)</f>
        <v>15</v>
      </c>
      <c r="F33" s="59" t="str">
        <f t="shared" si="32"/>
        <v>10</v>
      </c>
      <c r="G33" s="62" t="str">
        <f t="shared" si="33"/>
        <v>60%</v>
      </c>
      <c r="H33" s="61" t="str">
        <f>SUMIFS('Element wise-detail Summary'!$I$3:$I$1048576,'Element wise-detail Summary'!$B$3:$B$1048576,A33,'Element wise-detail Summary'!$C$3:$C$1048576,B33)</f>
        <v>7</v>
      </c>
      <c r="I33" s="59" t="str">
        <f t="shared" si="34"/>
        <v>18</v>
      </c>
      <c r="J33" s="63" t="str">
        <f t="shared" si="35"/>
        <v>28%</v>
      </c>
      <c r="K33" s="64" t="str">
        <f t="shared" si="36"/>
        <v>8</v>
      </c>
      <c r="L33" s="61" t="str">
        <f>SUMIFS('Element wise-detail Summary'!$M$3:$M$1048576,'Element wise-detail Summary'!$B$3:$B$1048576,A33,'Element wise-detail Summary'!$C$3:$C$1048576,B33)</f>
        <v>7</v>
      </c>
      <c r="M33" s="59" t="str">
        <f t="shared" si="37"/>
        <v>18</v>
      </c>
      <c r="N33" s="63" t="str">
        <f t="shared" si="38"/>
        <v>28%</v>
      </c>
      <c r="O33" s="65" t="s">
        <v>51</v>
      </c>
      <c r="P33" s="27" t="str">
        <f t="shared" si="8"/>
        <v>0</v>
      </c>
      <c r="Q33" s="56" t="str">
        <f>_xlfn.MAXIFS([1]Details!$B:$B,[1]Details!$G:$G,B33)</f>
        <v>#ERROR!</v>
      </c>
    </row>
    <row r="34" ht="24.75" customHeight="1" outlineLevel="1">
      <c r="A34" s="57" t="s">
        <v>44</v>
      </c>
      <c r="B34" s="58" t="s">
        <v>52</v>
      </c>
      <c r="C34" s="59">
        <v>19.0</v>
      </c>
      <c r="D34" s="60" t="str">
        <f>SUMIFS('Element wise-detail Summary'!$F$3:$F$1048576,'Element wise-detail Summary'!$B$3:$B$1048576,Summary!$A34,'Element wise-detail Summary'!$C$3:$C$1048576,Summary!B34)</f>
        <v>19</v>
      </c>
      <c r="E34" s="61" t="str">
        <f>SUMIFS('Element wise-detail Summary'!$G$3:$G$1048576,'Element wise-detail Summary'!$B$3:$B$1048576,Summary!$A34,'Element wise-detail Summary'!$C$3:$C$1048576,Summary!B34)</f>
        <v>15</v>
      </c>
      <c r="F34" s="59" t="str">
        <f t="shared" si="32"/>
        <v>4</v>
      </c>
      <c r="G34" s="62" t="str">
        <f t="shared" si="33"/>
        <v>79%</v>
      </c>
      <c r="H34" s="61" t="str">
        <f>SUMIFS('Element wise-detail Summary'!$I$3:$I$1048576,'Element wise-detail Summary'!$B$3:$B$1048576,A34,'Element wise-detail Summary'!$C$3:$C$1048576,B34)</f>
        <v>1</v>
      </c>
      <c r="I34" s="59" t="str">
        <f t="shared" si="34"/>
        <v>18</v>
      </c>
      <c r="J34" s="63" t="str">
        <f t="shared" si="35"/>
        <v>5%</v>
      </c>
      <c r="K34" s="64" t="str">
        <f t="shared" si="36"/>
        <v>14</v>
      </c>
      <c r="L34" s="61" t="str">
        <f>SUMIFS('Element wise-detail Summary'!$M$3:$M$1048576,'Element wise-detail Summary'!$B$3:$B$1048576,A34,'Element wise-detail Summary'!$C$3:$C$1048576,B34)</f>
        <v>1</v>
      </c>
      <c r="M34" s="59" t="str">
        <f t="shared" si="37"/>
        <v>18</v>
      </c>
      <c r="N34" s="63" t="str">
        <f t="shared" si="38"/>
        <v>5%</v>
      </c>
      <c r="O34" s="65" t="s">
        <v>53</v>
      </c>
      <c r="P34" s="27" t="str">
        <f t="shared" si="8"/>
        <v>0</v>
      </c>
      <c r="Q34" s="56" t="str">
        <f>_xlfn.MAXIFS([1]Details!$B:$B,[1]Details!$G:$G,B34)</f>
        <v>#ERROR!</v>
      </c>
    </row>
    <row r="35" ht="24.75" customHeight="1">
      <c r="A35" s="38" t="s">
        <v>44</v>
      </c>
      <c r="B35" s="39" t="str">
        <f>COUNTA(B30:B34) &amp; " NOS"</f>
        <v>5 NOS</v>
      </c>
      <c r="C35" s="40" t="str">
        <f t="shared" ref="C35:F35" si="39">SUM(C30:C34)</f>
        <v>121</v>
      </c>
      <c r="D35" s="41" t="str">
        <f t="shared" si="39"/>
        <v>121</v>
      </c>
      <c r="E35" s="42" t="str">
        <f t="shared" si="39"/>
        <v>86</v>
      </c>
      <c r="F35" s="40" t="str">
        <f t="shared" si="39"/>
        <v>35</v>
      </c>
      <c r="G35" s="43" t="str">
        <f t="shared" si="33"/>
        <v>71%</v>
      </c>
      <c r="H35" s="42" t="str">
        <f t="shared" ref="H35:I35" si="40">SUM(H30:H34)</f>
        <v>17</v>
      </c>
      <c r="I35" s="40" t="str">
        <f t="shared" si="40"/>
        <v>104</v>
      </c>
      <c r="J35" s="44" t="str">
        <f t="shared" si="35"/>
        <v>14%</v>
      </c>
      <c r="K35" s="45" t="str">
        <f t="shared" ref="K35:L35" si="41">SUM(K30:K34)</f>
        <v>69</v>
      </c>
      <c r="L35" s="42" t="str">
        <f t="shared" si="41"/>
        <v>8</v>
      </c>
      <c r="M35" s="40" t="str">
        <f t="shared" si="37"/>
        <v>113</v>
      </c>
      <c r="N35" s="44" t="str">
        <f t="shared" si="38"/>
        <v>7%</v>
      </c>
      <c r="O35" s="46"/>
      <c r="P35" s="27" t="str">
        <f t="shared" si="8"/>
        <v>0</v>
      </c>
      <c r="Q35" s="27"/>
    </row>
    <row r="36" ht="7.5" customHeight="1">
      <c r="A36" s="47"/>
      <c r="B36" s="48"/>
      <c r="C36" s="49"/>
      <c r="D36" s="50"/>
      <c r="E36" s="51"/>
      <c r="F36" s="49"/>
      <c r="G36" s="52"/>
      <c r="H36" s="51"/>
      <c r="I36" s="49"/>
      <c r="J36" s="53"/>
      <c r="K36" s="49"/>
      <c r="L36" s="51"/>
      <c r="M36" s="49"/>
      <c r="N36" s="53"/>
      <c r="O36" s="54"/>
      <c r="P36" s="27" t="str">
        <f t="shared" si="8"/>
        <v>0</v>
      </c>
      <c r="Q36" s="27"/>
    </row>
    <row r="37" ht="24.75" customHeight="1" outlineLevel="1">
      <c r="A37" s="57" t="s">
        <v>54</v>
      </c>
      <c r="B37" s="58" t="s">
        <v>55</v>
      </c>
      <c r="C37" s="59">
        <v>29.0</v>
      </c>
      <c r="D37" s="60" t="str">
        <f>SUMIFS('Element wise-detail Summary'!$F$3:$F$1048576,'Element wise-detail Summary'!$B$3:$B$1048576,Summary!$A37,'Element wise-detail Summary'!$C$3:$C$1048576,Summary!B37)</f>
        <v>29</v>
      </c>
      <c r="E37" s="61" t="str">
        <f>SUMIFS('Element wise-detail Summary'!$G$3:$G$1048576,'Element wise-detail Summary'!$B$3:$B$1048576,Summary!$A37,'Element wise-detail Summary'!$C$3:$C$1048576,Summary!B37)</f>
        <v>26</v>
      </c>
      <c r="F37" s="59" t="str">
        <f t="shared" ref="F37:F45" si="42">D37-E37</f>
        <v>3</v>
      </c>
      <c r="G37" s="62" t="str">
        <f t="shared" ref="G37:G46" si="43">E37/C37</f>
        <v>90%</v>
      </c>
      <c r="H37" s="61" t="str">
        <f>SUMIFS('Element wise-detail Summary'!$I$3:$I$1048576,'Element wise-detail Summary'!$B$3:$B$1048576,A37,'Element wise-detail Summary'!$C$3:$C$1048576,B37)</f>
        <v>0</v>
      </c>
      <c r="I37" s="59" t="str">
        <f t="shared" ref="I37:I45" si="44">D37-H37</f>
        <v>29</v>
      </c>
      <c r="J37" s="63" t="str">
        <f t="shared" ref="J37:J46" si="45">H37/C37</f>
        <v>0%</v>
      </c>
      <c r="K37" s="64" t="str">
        <f t="shared" ref="K37:K45" si="46">E37-H37</f>
        <v>26</v>
      </c>
      <c r="L37" s="61" t="str">
        <f>SUMIFS('Element wise-detail Summary'!$M$3:$M$1048576,'Element wise-detail Summary'!$B$3:$B$1048576,A37,'Element wise-detail Summary'!$C$3:$C$1048576,B37)</f>
        <v>0</v>
      </c>
      <c r="M37" s="59" t="str">
        <f t="shared" ref="M37:M46" si="47">D37-L37</f>
        <v>29</v>
      </c>
      <c r="N37" s="63" t="str">
        <f t="shared" ref="N37:N46" si="48">L37/C37</f>
        <v>0%</v>
      </c>
      <c r="O37" s="65" t="s">
        <v>56</v>
      </c>
      <c r="P37" s="27" t="str">
        <f t="shared" si="8"/>
        <v>0</v>
      </c>
      <c r="Q37" s="56" t="str">
        <f>_xlfn.MAXIFS([1]Details!$B:$B,[1]Details!$G:$G,B37)</f>
        <v>#ERROR!</v>
      </c>
    </row>
    <row r="38" ht="24.75" customHeight="1" outlineLevel="1">
      <c r="A38" s="57" t="s">
        <v>54</v>
      </c>
      <c r="B38" s="58" t="s">
        <v>57</v>
      </c>
      <c r="C38" s="59">
        <v>16.0</v>
      </c>
      <c r="D38" s="60" t="str">
        <f>SUMIFS('Element wise-detail Summary'!$F$3:$F$1048576,'Element wise-detail Summary'!$B$3:$B$1048576,Summary!$A38,'Element wise-detail Summary'!$C$3:$C$1048576,Summary!B38)</f>
        <v>16</v>
      </c>
      <c r="E38" s="61" t="str">
        <f>SUMIFS('Element wise-detail Summary'!$G$3:$G$1048576,'Element wise-detail Summary'!$B$3:$B$1048576,Summary!$A38,'Element wise-detail Summary'!$C$3:$C$1048576,Summary!B38)</f>
        <v>15</v>
      </c>
      <c r="F38" s="59" t="str">
        <f t="shared" si="42"/>
        <v>1</v>
      </c>
      <c r="G38" s="62" t="str">
        <f t="shared" si="43"/>
        <v>94%</v>
      </c>
      <c r="H38" s="61" t="str">
        <f>SUMIFS('Element wise-detail Summary'!$I$3:$I$1048576,'Element wise-detail Summary'!$B$3:$B$1048576,A38,'Element wise-detail Summary'!$C$3:$C$1048576,B38)</f>
        <v>0</v>
      </c>
      <c r="I38" s="59" t="str">
        <f t="shared" si="44"/>
        <v>16</v>
      </c>
      <c r="J38" s="63" t="str">
        <f t="shared" si="45"/>
        <v>0%</v>
      </c>
      <c r="K38" s="64" t="str">
        <f t="shared" si="46"/>
        <v>15</v>
      </c>
      <c r="L38" s="61" t="str">
        <f>SUMIFS('Element wise-detail Summary'!$M$3:$M$1048576,'Element wise-detail Summary'!$B$3:$B$1048576,A38,'Element wise-detail Summary'!$C$3:$C$1048576,B38)</f>
        <v>0</v>
      </c>
      <c r="M38" s="59" t="str">
        <f t="shared" si="47"/>
        <v>16</v>
      </c>
      <c r="N38" s="63" t="str">
        <f t="shared" si="48"/>
        <v>0%</v>
      </c>
      <c r="O38" s="65" t="s">
        <v>53</v>
      </c>
      <c r="P38" s="27" t="str">
        <f t="shared" si="8"/>
        <v>0</v>
      </c>
      <c r="Q38" s="56" t="str">
        <f>_xlfn.MAXIFS([1]Details!$B:$B,[1]Details!$G:$G,B38)</f>
        <v>#ERROR!</v>
      </c>
    </row>
    <row r="39" ht="24.75" customHeight="1" outlineLevel="1">
      <c r="A39" s="57" t="s">
        <v>54</v>
      </c>
      <c r="B39" s="58" t="s">
        <v>58</v>
      </c>
      <c r="C39" s="59">
        <v>16.0</v>
      </c>
      <c r="D39" s="60" t="str">
        <f>SUMIFS('Element wise-detail Summary'!$F$3:$F$1048576,'Element wise-detail Summary'!$B$3:$B$1048576,Summary!$A39,'Element wise-detail Summary'!$C$3:$C$1048576,Summary!B39)</f>
        <v>16</v>
      </c>
      <c r="E39" s="61" t="str">
        <f>SUMIFS('Element wise-detail Summary'!$G$3:$G$1048576,'Element wise-detail Summary'!$B$3:$B$1048576,Summary!$A39,'Element wise-detail Summary'!$C$3:$C$1048576,Summary!B39)</f>
        <v>15</v>
      </c>
      <c r="F39" s="59" t="str">
        <f t="shared" si="42"/>
        <v>1</v>
      </c>
      <c r="G39" s="62" t="str">
        <f t="shared" si="43"/>
        <v>94%</v>
      </c>
      <c r="H39" s="61" t="str">
        <f>SUMIFS('Element wise-detail Summary'!$I$3:$I$1048576,'Element wise-detail Summary'!$B$3:$B$1048576,A39,'Element wise-detail Summary'!$C$3:$C$1048576,B39)</f>
        <v>0</v>
      </c>
      <c r="I39" s="59" t="str">
        <f t="shared" si="44"/>
        <v>16</v>
      </c>
      <c r="J39" s="63" t="str">
        <f t="shared" si="45"/>
        <v>0%</v>
      </c>
      <c r="K39" s="64" t="str">
        <f t="shared" si="46"/>
        <v>15</v>
      </c>
      <c r="L39" s="61" t="str">
        <f>SUMIFS('Element wise-detail Summary'!$M$3:$M$1048576,'Element wise-detail Summary'!$B$3:$B$1048576,A39,'Element wise-detail Summary'!$C$3:$C$1048576,B39)</f>
        <v>0</v>
      </c>
      <c r="M39" s="59" t="str">
        <f t="shared" si="47"/>
        <v>16</v>
      </c>
      <c r="N39" s="63" t="str">
        <f t="shared" si="48"/>
        <v>0%</v>
      </c>
      <c r="O39" s="65" t="s">
        <v>53</v>
      </c>
      <c r="P39" s="27" t="str">
        <f t="shared" si="8"/>
        <v>0</v>
      </c>
      <c r="Q39" s="56" t="str">
        <f>_xlfn.MAXIFS([1]Details!$B:$B,[1]Details!$G:$G,B39)</f>
        <v>#ERROR!</v>
      </c>
    </row>
    <row r="40" ht="24.75" customHeight="1" outlineLevel="1">
      <c r="A40" s="57" t="s">
        <v>54</v>
      </c>
      <c r="B40" s="58" t="s">
        <v>59</v>
      </c>
      <c r="C40" s="59">
        <v>17.0</v>
      </c>
      <c r="D40" s="60" t="str">
        <f>SUMIFS('Element wise-detail Summary'!$F$3:$F$1048576,'Element wise-detail Summary'!$B$3:$B$1048576,Summary!$A40,'Element wise-detail Summary'!$C$3:$C$1048576,Summary!B40)</f>
        <v>17</v>
      </c>
      <c r="E40" s="61" t="str">
        <f>SUMIFS('Element wise-detail Summary'!$G$3:$G$1048576,'Element wise-detail Summary'!$B$3:$B$1048576,Summary!$A40,'Element wise-detail Summary'!$C$3:$C$1048576,Summary!B40)</f>
        <v>14</v>
      </c>
      <c r="F40" s="59" t="str">
        <f t="shared" si="42"/>
        <v>3</v>
      </c>
      <c r="G40" s="62" t="str">
        <f t="shared" si="43"/>
        <v>82%</v>
      </c>
      <c r="H40" s="61" t="str">
        <f>SUMIFS('Element wise-detail Summary'!$I$3:$I$1048576,'Element wise-detail Summary'!$B$3:$B$1048576,A40,'Element wise-detail Summary'!$C$3:$C$1048576,B40)</f>
        <v>0</v>
      </c>
      <c r="I40" s="59" t="str">
        <f t="shared" si="44"/>
        <v>17</v>
      </c>
      <c r="J40" s="63" t="str">
        <f t="shared" si="45"/>
        <v>0%</v>
      </c>
      <c r="K40" s="64" t="str">
        <f t="shared" si="46"/>
        <v>14</v>
      </c>
      <c r="L40" s="61" t="str">
        <f>SUMIFS('Element wise-detail Summary'!$M$3:$M$1048576,'Element wise-detail Summary'!$B$3:$B$1048576,A40,'Element wise-detail Summary'!$C$3:$C$1048576,B40)</f>
        <v>0</v>
      </c>
      <c r="M40" s="59" t="str">
        <f t="shared" si="47"/>
        <v>17</v>
      </c>
      <c r="N40" s="63" t="str">
        <f t="shared" si="48"/>
        <v>0%</v>
      </c>
      <c r="O40" s="65" t="s">
        <v>53</v>
      </c>
      <c r="P40" s="27" t="str">
        <f t="shared" si="8"/>
        <v>0</v>
      </c>
      <c r="Q40" s="56" t="str">
        <f>_xlfn.MAXIFS([1]Details!$B:$B,[1]Details!$G:$G,B40)</f>
        <v>#ERROR!</v>
      </c>
    </row>
    <row r="41" ht="24.75" customHeight="1" outlineLevel="1">
      <c r="A41" s="57" t="s">
        <v>54</v>
      </c>
      <c r="B41" s="58" t="s">
        <v>60</v>
      </c>
      <c r="C41" s="59">
        <v>17.0</v>
      </c>
      <c r="D41" s="60" t="str">
        <f>SUMIFS('Element wise-detail Summary'!$F$3:$F$1048576,'Element wise-detail Summary'!$B$3:$B$1048576,Summary!$A41,'Element wise-detail Summary'!$C$3:$C$1048576,Summary!B41)</f>
        <v>17</v>
      </c>
      <c r="E41" s="61" t="str">
        <f>SUMIFS('Element wise-detail Summary'!$G$3:$G$1048576,'Element wise-detail Summary'!$B$3:$B$1048576,Summary!$A41,'Element wise-detail Summary'!$C$3:$C$1048576,Summary!B41)</f>
        <v>17</v>
      </c>
      <c r="F41" s="59" t="str">
        <f t="shared" si="42"/>
        <v>0</v>
      </c>
      <c r="G41" s="62" t="str">
        <f t="shared" si="43"/>
        <v>100%</v>
      </c>
      <c r="H41" s="61" t="str">
        <f>SUMIFS('Element wise-detail Summary'!$I$3:$I$1048576,'Element wise-detail Summary'!$B$3:$B$1048576,A41,'Element wise-detail Summary'!$C$3:$C$1048576,B41)</f>
        <v>0</v>
      </c>
      <c r="I41" s="59" t="str">
        <f t="shared" si="44"/>
        <v>17</v>
      </c>
      <c r="J41" s="63" t="str">
        <f t="shared" si="45"/>
        <v>0%</v>
      </c>
      <c r="K41" s="64" t="str">
        <f t="shared" si="46"/>
        <v>17</v>
      </c>
      <c r="L41" s="61" t="str">
        <f>SUMIFS('Element wise-detail Summary'!$M$3:$M$1048576,'Element wise-detail Summary'!$B$3:$B$1048576,A41,'Element wise-detail Summary'!$C$3:$C$1048576,B41)</f>
        <v>0</v>
      </c>
      <c r="M41" s="59" t="str">
        <f t="shared" si="47"/>
        <v>17</v>
      </c>
      <c r="N41" s="63" t="str">
        <f t="shared" si="48"/>
        <v>0%</v>
      </c>
      <c r="O41" s="65" t="s">
        <v>61</v>
      </c>
      <c r="P41" s="27" t="str">
        <f t="shared" si="8"/>
        <v>0</v>
      </c>
      <c r="Q41" s="56" t="str">
        <f>_xlfn.MAXIFS([1]Details!$B:$B,[1]Details!$G:$G,B41)</f>
        <v>#ERROR!</v>
      </c>
    </row>
    <row r="42" ht="24.75" customHeight="1" outlineLevel="1">
      <c r="A42" s="57" t="s">
        <v>54</v>
      </c>
      <c r="B42" s="58" t="s">
        <v>62</v>
      </c>
      <c r="C42" s="59">
        <v>16.0</v>
      </c>
      <c r="D42" s="60" t="str">
        <f>SUMIFS('Element wise-detail Summary'!$F$3:$F$1048576,'Element wise-detail Summary'!$B$3:$B$1048576,Summary!$A42,'Element wise-detail Summary'!$C$3:$C$1048576,Summary!B42)</f>
        <v>16</v>
      </c>
      <c r="E42" s="61" t="str">
        <f>SUMIFS('Element wise-detail Summary'!$G$3:$G$1048576,'Element wise-detail Summary'!$B$3:$B$1048576,Summary!$A42,'Element wise-detail Summary'!$C$3:$C$1048576,Summary!B42)</f>
        <v>13</v>
      </c>
      <c r="F42" s="59" t="str">
        <f t="shared" si="42"/>
        <v>3</v>
      </c>
      <c r="G42" s="62" t="str">
        <f t="shared" si="43"/>
        <v>81%</v>
      </c>
      <c r="H42" s="61" t="str">
        <f>SUMIFS('Element wise-detail Summary'!$I$3:$I$1048576,'Element wise-detail Summary'!$B$3:$B$1048576,A42,'Element wise-detail Summary'!$C$3:$C$1048576,B42)</f>
        <v>0</v>
      </c>
      <c r="I42" s="59" t="str">
        <f t="shared" si="44"/>
        <v>16</v>
      </c>
      <c r="J42" s="63" t="str">
        <f t="shared" si="45"/>
        <v>0%</v>
      </c>
      <c r="K42" s="64" t="str">
        <f t="shared" si="46"/>
        <v>13</v>
      </c>
      <c r="L42" s="61" t="str">
        <f>SUMIFS('Element wise-detail Summary'!$M$3:$M$1048576,'Element wise-detail Summary'!$B$3:$B$1048576,A42,'Element wise-detail Summary'!$C$3:$C$1048576,B42)</f>
        <v>0</v>
      </c>
      <c r="M42" s="59" t="str">
        <f t="shared" si="47"/>
        <v>16</v>
      </c>
      <c r="N42" s="63" t="str">
        <f t="shared" si="48"/>
        <v>0%</v>
      </c>
      <c r="O42" s="65" t="s">
        <v>53</v>
      </c>
      <c r="P42" s="27" t="str">
        <f t="shared" si="8"/>
        <v>0</v>
      </c>
      <c r="Q42" s="56" t="str">
        <f>_xlfn.MAXIFS([1]Details!$B:$B,[1]Details!$G:$G,B42)</f>
        <v>#ERROR!</v>
      </c>
    </row>
    <row r="43" ht="24.75" customHeight="1" outlineLevel="1">
      <c r="A43" s="57" t="s">
        <v>54</v>
      </c>
      <c r="B43" s="58" t="s">
        <v>63</v>
      </c>
      <c r="C43" s="59">
        <v>16.0</v>
      </c>
      <c r="D43" s="60" t="str">
        <f>SUMIFS('Element wise-detail Summary'!$F$3:$F$1048576,'Element wise-detail Summary'!$B$3:$B$1048576,Summary!$A43,'Element wise-detail Summary'!$C$3:$C$1048576,Summary!B43)</f>
        <v>16</v>
      </c>
      <c r="E43" s="61" t="str">
        <f>SUMIFS('Element wise-detail Summary'!$G$3:$G$1048576,'Element wise-detail Summary'!$B$3:$B$1048576,Summary!$A43,'Element wise-detail Summary'!$C$3:$C$1048576,Summary!B43)</f>
        <v>14</v>
      </c>
      <c r="F43" s="59" t="str">
        <f t="shared" si="42"/>
        <v>2</v>
      </c>
      <c r="G43" s="62" t="str">
        <f t="shared" si="43"/>
        <v>88%</v>
      </c>
      <c r="H43" s="61" t="str">
        <f>SUMIFS('Element wise-detail Summary'!$I$3:$I$1048576,'Element wise-detail Summary'!$B$3:$B$1048576,A43,'Element wise-detail Summary'!$C$3:$C$1048576,B43)</f>
        <v>0</v>
      </c>
      <c r="I43" s="59" t="str">
        <f t="shared" si="44"/>
        <v>16</v>
      </c>
      <c r="J43" s="63" t="str">
        <f t="shared" si="45"/>
        <v>0%</v>
      </c>
      <c r="K43" s="64" t="str">
        <f t="shared" si="46"/>
        <v>14</v>
      </c>
      <c r="L43" s="61" t="str">
        <f>SUMIFS('Element wise-detail Summary'!$M$3:$M$1048576,'Element wise-detail Summary'!$B$3:$B$1048576,A43,'Element wise-detail Summary'!$C$3:$C$1048576,B43)</f>
        <v>0</v>
      </c>
      <c r="M43" s="59" t="str">
        <f t="shared" si="47"/>
        <v>16</v>
      </c>
      <c r="N43" s="63" t="str">
        <f t="shared" si="48"/>
        <v>0%</v>
      </c>
      <c r="O43" s="65" t="s">
        <v>53</v>
      </c>
      <c r="P43" s="27" t="str">
        <f t="shared" si="8"/>
        <v>0</v>
      </c>
      <c r="Q43" s="56" t="str">
        <f>_xlfn.MAXIFS([1]Details!$B:$B,[1]Details!$G:$G,B43)</f>
        <v>#ERROR!</v>
      </c>
    </row>
    <row r="44" ht="24.75" customHeight="1" outlineLevel="1">
      <c r="A44" s="57" t="s">
        <v>54</v>
      </c>
      <c r="B44" s="58" t="s">
        <v>64</v>
      </c>
      <c r="C44" s="59">
        <v>16.0</v>
      </c>
      <c r="D44" s="60" t="str">
        <f>SUMIFS('Element wise-detail Summary'!$F$3:$F$1048576,'Element wise-detail Summary'!$B$3:$B$1048576,Summary!$A44,'Element wise-detail Summary'!$C$3:$C$1048576,Summary!B44)</f>
        <v>16</v>
      </c>
      <c r="E44" s="61" t="str">
        <f>SUMIFS('Element wise-detail Summary'!$G$3:$G$1048576,'Element wise-detail Summary'!$B$3:$B$1048576,Summary!$A44,'Element wise-detail Summary'!$C$3:$C$1048576,Summary!B44)</f>
        <v>14</v>
      </c>
      <c r="F44" s="59" t="str">
        <f t="shared" si="42"/>
        <v>2</v>
      </c>
      <c r="G44" s="62" t="str">
        <f t="shared" si="43"/>
        <v>88%</v>
      </c>
      <c r="H44" s="61" t="str">
        <f>SUMIFS('Element wise-detail Summary'!$I$3:$I$1048576,'Element wise-detail Summary'!$B$3:$B$1048576,A44,'Element wise-detail Summary'!$C$3:$C$1048576,B44)</f>
        <v>0</v>
      </c>
      <c r="I44" s="59" t="str">
        <f t="shared" si="44"/>
        <v>16</v>
      </c>
      <c r="J44" s="63" t="str">
        <f t="shared" si="45"/>
        <v>0%</v>
      </c>
      <c r="K44" s="64" t="str">
        <f t="shared" si="46"/>
        <v>14</v>
      </c>
      <c r="L44" s="61" t="str">
        <f>SUMIFS('Element wise-detail Summary'!$M$3:$M$1048576,'Element wise-detail Summary'!$B$3:$B$1048576,A44,'Element wise-detail Summary'!$C$3:$C$1048576,B44)</f>
        <v>0</v>
      </c>
      <c r="M44" s="59" t="str">
        <f t="shared" si="47"/>
        <v>16</v>
      </c>
      <c r="N44" s="63" t="str">
        <f t="shared" si="48"/>
        <v>0%</v>
      </c>
      <c r="O44" s="65" t="s">
        <v>53</v>
      </c>
      <c r="P44" s="27" t="str">
        <f t="shared" si="8"/>
        <v>0</v>
      </c>
      <c r="Q44" s="56" t="str">
        <f>_xlfn.MAXIFS([1]Details!$B:$B,[1]Details!$G:$G,B44)</f>
        <v>#ERROR!</v>
      </c>
    </row>
    <row r="45" ht="24.75" customHeight="1" outlineLevel="1">
      <c r="A45" s="57" t="s">
        <v>54</v>
      </c>
      <c r="B45" s="58" t="s">
        <v>65</v>
      </c>
      <c r="C45" s="59">
        <v>22.0</v>
      </c>
      <c r="D45" s="60" t="str">
        <f>SUMIFS('Element wise-detail Summary'!$F$3:$F$1048576,'Element wise-detail Summary'!$B$3:$B$1048576,Summary!$A45,'Element wise-detail Summary'!$C$3:$C$1048576,Summary!B45)</f>
        <v>22</v>
      </c>
      <c r="E45" s="61" t="str">
        <f>SUMIFS('Element wise-detail Summary'!$G$3:$G$1048576,'Element wise-detail Summary'!$B$3:$B$1048576,Summary!$A45,'Element wise-detail Summary'!$C$3:$C$1048576,Summary!B45)</f>
        <v>18</v>
      </c>
      <c r="F45" s="59" t="str">
        <f t="shared" si="42"/>
        <v>4</v>
      </c>
      <c r="G45" s="62" t="str">
        <f t="shared" si="43"/>
        <v>82%</v>
      </c>
      <c r="H45" s="61" t="str">
        <f>SUMIFS('Element wise-detail Summary'!$I$3:$I$1048576,'Element wise-detail Summary'!$B$3:$B$1048576,A45,'Element wise-detail Summary'!$C$3:$C$1048576,B45)</f>
        <v>0</v>
      </c>
      <c r="I45" s="59" t="str">
        <f t="shared" si="44"/>
        <v>22</v>
      </c>
      <c r="J45" s="63" t="str">
        <f t="shared" si="45"/>
        <v>0%</v>
      </c>
      <c r="K45" s="64" t="str">
        <f t="shared" si="46"/>
        <v>18</v>
      </c>
      <c r="L45" s="61" t="str">
        <f>SUMIFS('Element wise-detail Summary'!$M$3:$M$1048576,'Element wise-detail Summary'!$B$3:$B$1048576,A45,'Element wise-detail Summary'!$C$3:$C$1048576,B45)</f>
        <v>0</v>
      </c>
      <c r="M45" s="59" t="str">
        <f t="shared" si="47"/>
        <v>22</v>
      </c>
      <c r="N45" s="63" t="str">
        <f t="shared" si="48"/>
        <v>0%</v>
      </c>
      <c r="O45" s="65" t="s">
        <v>46</v>
      </c>
      <c r="P45" s="27" t="str">
        <f t="shared" si="8"/>
        <v>0</v>
      </c>
      <c r="Q45" s="56" t="str">
        <f>_xlfn.MAXIFS([1]Details!$B:$B,[1]Details!$G:$G,B45)</f>
        <v>#ERROR!</v>
      </c>
    </row>
    <row r="46" ht="24.75" customHeight="1">
      <c r="A46" s="38" t="s">
        <v>54</v>
      </c>
      <c r="B46" s="39" t="str">
        <f>COUNTA(B37:B45) &amp; " NOS"</f>
        <v>9 NOS</v>
      </c>
      <c r="C46" s="40" t="str">
        <f t="shared" ref="C46:F46" si="49">SUM(C37:C45)</f>
        <v>165</v>
      </c>
      <c r="D46" s="41" t="str">
        <f t="shared" si="49"/>
        <v>165</v>
      </c>
      <c r="E46" s="42" t="str">
        <f t="shared" si="49"/>
        <v>146</v>
      </c>
      <c r="F46" s="40" t="str">
        <f t="shared" si="49"/>
        <v>19</v>
      </c>
      <c r="G46" s="43" t="str">
        <f t="shared" si="43"/>
        <v>88%</v>
      </c>
      <c r="H46" s="42" t="str">
        <f t="shared" ref="H46:I46" si="50">SUM(H37:H45)</f>
        <v>0</v>
      </c>
      <c r="I46" s="40" t="str">
        <f t="shared" si="50"/>
        <v>165</v>
      </c>
      <c r="J46" s="44" t="str">
        <f t="shared" si="45"/>
        <v>0%</v>
      </c>
      <c r="K46" s="45" t="str">
        <f t="shared" ref="K46:L46" si="51">SUM(K37:K45)</f>
        <v>146</v>
      </c>
      <c r="L46" s="42" t="str">
        <f t="shared" si="51"/>
        <v>0</v>
      </c>
      <c r="M46" s="40" t="str">
        <f t="shared" si="47"/>
        <v>165</v>
      </c>
      <c r="N46" s="44" t="str">
        <f t="shared" si="48"/>
        <v>0%</v>
      </c>
      <c r="O46" s="46"/>
      <c r="P46" s="27" t="str">
        <f t="shared" si="8"/>
        <v>0</v>
      </c>
      <c r="Q46" s="27"/>
    </row>
    <row r="47" ht="7.5" customHeight="1">
      <c r="A47" s="66"/>
      <c r="B47" s="67"/>
      <c r="C47" s="68"/>
      <c r="D47" s="69"/>
      <c r="E47" s="70"/>
      <c r="F47" s="68"/>
      <c r="G47" s="71"/>
      <c r="H47" s="70"/>
      <c r="I47" s="68"/>
      <c r="J47" s="72"/>
      <c r="K47" s="68"/>
      <c r="L47" s="70"/>
      <c r="M47" s="68"/>
      <c r="N47" s="72"/>
      <c r="O47" s="73"/>
      <c r="P47" s="27"/>
      <c r="Q47" s="27"/>
    </row>
    <row r="48" ht="24.75" customHeight="1" outlineLevel="1">
      <c r="A48" s="18" t="s">
        <v>66</v>
      </c>
      <c r="B48" s="19" t="s">
        <v>67</v>
      </c>
      <c r="C48" s="20">
        <v>19.0</v>
      </c>
      <c r="D48" s="21" t="str">
        <f>SUMIFS('Element wise-detail Summary'!$F$3:$F$1048576,'Element wise-detail Summary'!$B$3:$B$1048576,Summary!$A48,'Element wise-detail Summary'!$C$3:$C$1048576,Summary!B48)</f>
        <v>19</v>
      </c>
      <c r="E48" s="22" t="str">
        <f>SUMIFS('Element wise-detail Summary'!$G$3:$G$1048576,'Element wise-detail Summary'!$B$3:$B$1048576,Summary!$A48,'Element wise-detail Summary'!$C$3:$C$1048576,Summary!B48)</f>
        <v>5</v>
      </c>
      <c r="F48" s="20" t="str">
        <f t="shared" ref="F48:F56" si="52">D48-E48</f>
        <v>14</v>
      </c>
      <c r="G48" s="23" t="str">
        <f t="shared" ref="G48:G57" si="53">E48/C48</f>
        <v>26%</v>
      </c>
      <c r="H48" s="22" t="str">
        <f>SUMIFS('Element wise-detail Summary'!$I$3:$I$1048576,'Element wise-detail Summary'!$B$3:$B$1048576,A48,'Element wise-detail Summary'!$C$3:$C$1048576,B48)</f>
        <v>0</v>
      </c>
      <c r="I48" s="20" t="str">
        <f t="shared" ref="I48:I56" si="54">D48-H48</f>
        <v>19</v>
      </c>
      <c r="J48" s="24" t="str">
        <f t="shared" ref="J48:J57" si="55">H48/C48</f>
        <v>0%</v>
      </c>
      <c r="K48" s="25" t="str">
        <f t="shared" ref="K48:K56" si="56">E48-H48</f>
        <v>5</v>
      </c>
      <c r="L48" s="22" t="str">
        <f>SUMIFS('Element wise-detail Summary'!$M$3:$M$1048576,'Element wise-detail Summary'!$B$3:$B$1048576,A48,'Element wise-detail Summary'!$C$3:$C$1048576,B48)</f>
        <v>0</v>
      </c>
      <c r="M48" s="20" t="str">
        <f t="shared" ref="M48:M56" si="57">D48-L48</f>
        <v>19</v>
      </c>
      <c r="N48" s="24" t="str">
        <f t="shared" ref="N48:N57" si="58">L48/C48</f>
        <v>0%</v>
      </c>
      <c r="O48" s="55"/>
      <c r="P48" s="27" t="str">
        <f t="shared" ref="P48:P57" si="59">+C48-D48</f>
        <v>0</v>
      </c>
      <c r="Q48" s="56" t="str">
        <f>_xlfn.MAXIFS([1]Details!$B:$B,[1]Details!$G:$G,B48)</f>
        <v>#ERROR!</v>
      </c>
    </row>
    <row r="49" ht="24.75" customHeight="1" outlineLevel="1">
      <c r="A49" s="18" t="s">
        <v>66</v>
      </c>
      <c r="B49" s="19" t="s">
        <v>68</v>
      </c>
      <c r="C49" s="20">
        <v>20.0</v>
      </c>
      <c r="D49" s="21" t="str">
        <f>SUMIFS('Element wise-detail Summary'!$F$3:$F$1048576,'Element wise-detail Summary'!$B$3:$B$1048576,Summary!$A49,'Element wise-detail Summary'!$C$3:$C$1048576,Summary!B49)</f>
        <v>20</v>
      </c>
      <c r="E49" s="22" t="str">
        <f>SUMIFS('Element wise-detail Summary'!$G$3:$G$1048576,'Element wise-detail Summary'!$B$3:$B$1048576,Summary!$A49,'Element wise-detail Summary'!$C$3:$C$1048576,Summary!B49)</f>
        <v>7</v>
      </c>
      <c r="F49" s="20" t="str">
        <f t="shared" si="52"/>
        <v>13</v>
      </c>
      <c r="G49" s="23" t="str">
        <f t="shared" si="53"/>
        <v>35%</v>
      </c>
      <c r="H49" s="22" t="str">
        <f>SUMIFS('Element wise-detail Summary'!$I$3:$I$1048576,'Element wise-detail Summary'!$B$3:$B$1048576,A49,'Element wise-detail Summary'!$C$3:$C$1048576,B49)</f>
        <v>0</v>
      </c>
      <c r="I49" s="20" t="str">
        <f t="shared" si="54"/>
        <v>20</v>
      </c>
      <c r="J49" s="24" t="str">
        <f t="shared" si="55"/>
        <v>0%</v>
      </c>
      <c r="K49" s="25" t="str">
        <f t="shared" si="56"/>
        <v>7</v>
      </c>
      <c r="L49" s="22" t="str">
        <f>SUMIFS('Element wise-detail Summary'!$M$3:$M$1048576,'Element wise-detail Summary'!$B$3:$B$1048576,A49,'Element wise-detail Summary'!$C$3:$C$1048576,B49)</f>
        <v>0</v>
      </c>
      <c r="M49" s="20" t="str">
        <f t="shared" si="57"/>
        <v>20</v>
      </c>
      <c r="N49" s="24" t="str">
        <f t="shared" si="58"/>
        <v>0%</v>
      </c>
      <c r="O49" s="55"/>
      <c r="P49" s="27" t="str">
        <f t="shared" si="59"/>
        <v>0</v>
      </c>
      <c r="Q49" s="56" t="str">
        <f>_xlfn.MAXIFS([1]Details!$B:$B,[1]Details!$G:$G,B49)</f>
        <v>#ERROR!</v>
      </c>
    </row>
    <row r="50" ht="24.75" customHeight="1" outlineLevel="1">
      <c r="A50" s="18" t="s">
        <v>66</v>
      </c>
      <c r="B50" s="19" t="s">
        <v>69</v>
      </c>
      <c r="C50" s="20">
        <v>20.0</v>
      </c>
      <c r="D50" s="21" t="str">
        <f>SUMIFS('Element wise-detail Summary'!$F$3:$F$1048576,'Element wise-detail Summary'!$B$3:$B$1048576,Summary!$A50,'Element wise-detail Summary'!$C$3:$C$1048576,Summary!B50)</f>
        <v>20</v>
      </c>
      <c r="E50" s="22" t="str">
        <f>SUMIFS('Element wise-detail Summary'!$G$3:$G$1048576,'Element wise-detail Summary'!$B$3:$B$1048576,Summary!$A50,'Element wise-detail Summary'!$C$3:$C$1048576,Summary!B50)</f>
        <v>1</v>
      </c>
      <c r="F50" s="20" t="str">
        <f t="shared" si="52"/>
        <v>19</v>
      </c>
      <c r="G50" s="23" t="str">
        <f t="shared" si="53"/>
        <v>5%</v>
      </c>
      <c r="H50" s="22" t="str">
        <f>SUMIFS('Element wise-detail Summary'!$I$3:$I$1048576,'Element wise-detail Summary'!$B$3:$B$1048576,A50,'Element wise-detail Summary'!$C$3:$C$1048576,B50)</f>
        <v>0</v>
      </c>
      <c r="I50" s="20" t="str">
        <f t="shared" si="54"/>
        <v>20</v>
      </c>
      <c r="J50" s="24" t="str">
        <f t="shared" si="55"/>
        <v>0%</v>
      </c>
      <c r="K50" s="25" t="str">
        <f t="shared" si="56"/>
        <v>1</v>
      </c>
      <c r="L50" s="22" t="str">
        <f>SUMIFS('Element wise-detail Summary'!$M$3:$M$1048576,'Element wise-detail Summary'!$B$3:$B$1048576,A50,'Element wise-detail Summary'!$C$3:$C$1048576,B50)</f>
        <v>0</v>
      </c>
      <c r="M50" s="20" t="str">
        <f t="shared" si="57"/>
        <v>20</v>
      </c>
      <c r="N50" s="24" t="str">
        <f t="shared" si="58"/>
        <v>0%</v>
      </c>
      <c r="O50" s="55"/>
      <c r="P50" s="27" t="str">
        <f t="shared" si="59"/>
        <v>0</v>
      </c>
      <c r="Q50" s="56" t="str">
        <f>_xlfn.MAXIFS([1]Details!$B:$B,[1]Details!$G:$G,B50)</f>
        <v>#ERROR!</v>
      </c>
    </row>
    <row r="51" ht="24.75" customHeight="1" outlineLevel="1">
      <c r="A51" s="18" t="s">
        <v>66</v>
      </c>
      <c r="B51" s="19" t="s">
        <v>70</v>
      </c>
      <c r="C51" s="20">
        <v>16.0</v>
      </c>
      <c r="D51" s="21" t="str">
        <f>SUMIFS('Element wise-detail Summary'!$F$3:$F$1048576,'Element wise-detail Summary'!$B$3:$B$1048576,Summary!$A51,'Element wise-detail Summary'!$C$3:$C$1048576,Summary!B51)</f>
        <v>16</v>
      </c>
      <c r="E51" s="22" t="str">
        <f>SUMIFS('Element wise-detail Summary'!$G$3:$G$1048576,'Element wise-detail Summary'!$B$3:$B$1048576,Summary!$A51,'Element wise-detail Summary'!$C$3:$C$1048576,Summary!B51)</f>
        <v>0</v>
      </c>
      <c r="F51" s="20" t="str">
        <f t="shared" si="52"/>
        <v>16</v>
      </c>
      <c r="G51" s="23" t="str">
        <f t="shared" si="53"/>
        <v>0%</v>
      </c>
      <c r="H51" s="22" t="str">
        <f>SUMIFS('Element wise-detail Summary'!$I$3:$I$1048576,'Element wise-detail Summary'!$B$3:$B$1048576,A51,'Element wise-detail Summary'!$C$3:$C$1048576,B51)</f>
        <v>0</v>
      </c>
      <c r="I51" s="20" t="str">
        <f t="shared" si="54"/>
        <v>16</v>
      </c>
      <c r="J51" s="24" t="str">
        <f t="shared" si="55"/>
        <v>0%</v>
      </c>
      <c r="K51" s="25" t="str">
        <f t="shared" si="56"/>
        <v>0</v>
      </c>
      <c r="L51" s="22" t="str">
        <f>SUMIFS('Element wise-detail Summary'!$M$3:$M$1048576,'Element wise-detail Summary'!$B$3:$B$1048576,A51,'Element wise-detail Summary'!$C$3:$C$1048576,B51)</f>
        <v>0</v>
      </c>
      <c r="M51" s="20" t="str">
        <f t="shared" si="57"/>
        <v>16</v>
      </c>
      <c r="N51" s="24" t="str">
        <f t="shared" si="58"/>
        <v>0%</v>
      </c>
      <c r="O51" s="55"/>
      <c r="P51" s="27" t="str">
        <f t="shared" si="59"/>
        <v>0</v>
      </c>
      <c r="Q51" s="56" t="str">
        <f>_xlfn.MAXIFS([1]Details!$B:$B,[1]Details!$G:$G,B51)</f>
        <v>#ERROR!</v>
      </c>
    </row>
    <row r="52" ht="24.75" customHeight="1" outlineLevel="1">
      <c r="A52" s="18" t="s">
        <v>66</v>
      </c>
      <c r="B52" s="19" t="s">
        <v>71</v>
      </c>
      <c r="C52" s="20">
        <v>16.0</v>
      </c>
      <c r="D52" s="21" t="str">
        <f>SUMIFS('Element wise-detail Summary'!$F$3:$F$1048576,'Element wise-detail Summary'!$B$3:$B$1048576,Summary!$A52,'Element wise-detail Summary'!$C$3:$C$1048576,Summary!B52)</f>
        <v>16</v>
      </c>
      <c r="E52" s="22" t="str">
        <f>SUMIFS('Element wise-detail Summary'!$G$3:$G$1048576,'Element wise-detail Summary'!$B$3:$B$1048576,Summary!$A52,'Element wise-detail Summary'!$C$3:$C$1048576,Summary!B52)</f>
        <v>2</v>
      </c>
      <c r="F52" s="20" t="str">
        <f t="shared" si="52"/>
        <v>14</v>
      </c>
      <c r="G52" s="23" t="str">
        <f t="shared" si="53"/>
        <v>13%</v>
      </c>
      <c r="H52" s="22" t="str">
        <f>SUMIFS('Element wise-detail Summary'!$I$3:$I$1048576,'Element wise-detail Summary'!$B$3:$B$1048576,A52,'Element wise-detail Summary'!$C$3:$C$1048576,B52)</f>
        <v>0</v>
      </c>
      <c r="I52" s="20" t="str">
        <f t="shared" si="54"/>
        <v>16</v>
      </c>
      <c r="J52" s="24" t="str">
        <f t="shared" si="55"/>
        <v>0%</v>
      </c>
      <c r="K52" s="25" t="str">
        <f t="shared" si="56"/>
        <v>2</v>
      </c>
      <c r="L52" s="22" t="str">
        <f>SUMIFS('Element wise-detail Summary'!$M$3:$M$1048576,'Element wise-detail Summary'!$B$3:$B$1048576,A52,'Element wise-detail Summary'!$C$3:$C$1048576,B52)</f>
        <v>0</v>
      </c>
      <c r="M52" s="20" t="str">
        <f t="shared" si="57"/>
        <v>16</v>
      </c>
      <c r="N52" s="24" t="str">
        <f t="shared" si="58"/>
        <v>0%</v>
      </c>
      <c r="O52" s="55"/>
      <c r="P52" s="27" t="str">
        <f t="shared" si="59"/>
        <v>0</v>
      </c>
      <c r="Q52" s="56" t="str">
        <f>_xlfn.MAXIFS([1]Details!$B:$B,[1]Details!$G:$G,B52)</f>
        <v>#ERROR!</v>
      </c>
    </row>
    <row r="53" ht="24.75" customHeight="1" outlineLevel="1">
      <c r="A53" s="18" t="s">
        <v>66</v>
      </c>
      <c r="B53" s="19" t="s">
        <v>72</v>
      </c>
      <c r="C53" s="20">
        <v>16.0</v>
      </c>
      <c r="D53" s="21" t="str">
        <f>SUMIFS('Element wise-detail Summary'!$F$3:$F$1048576,'Element wise-detail Summary'!$B$3:$B$1048576,Summary!$A53,'Element wise-detail Summary'!$C$3:$C$1048576,Summary!B53)</f>
        <v>16</v>
      </c>
      <c r="E53" s="22" t="str">
        <f>SUMIFS('Element wise-detail Summary'!$G$3:$G$1048576,'Element wise-detail Summary'!$B$3:$B$1048576,Summary!$A53,'Element wise-detail Summary'!$C$3:$C$1048576,Summary!B53)</f>
        <v>0</v>
      </c>
      <c r="F53" s="20" t="str">
        <f t="shared" si="52"/>
        <v>16</v>
      </c>
      <c r="G53" s="23" t="str">
        <f t="shared" si="53"/>
        <v>0%</v>
      </c>
      <c r="H53" s="22" t="str">
        <f>SUMIFS('Element wise-detail Summary'!$I$3:$I$1048576,'Element wise-detail Summary'!$B$3:$B$1048576,A53,'Element wise-detail Summary'!$C$3:$C$1048576,B53)</f>
        <v>0</v>
      </c>
      <c r="I53" s="20" t="str">
        <f t="shared" si="54"/>
        <v>16</v>
      </c>
      <c r="J53" s="24" t="str">
        <f t="shared" si="55"/>
        <v>0%</v>
      </c>
      <c r="K53" s="25" t="str">
        <f t="shared" si="56"/>
        <v>0</v>
      </c>
      <c r="L53" s="22" t="str">
        <f>SUMIFS('Element wise-detail Summary'!$M$3:$M$1048576,'Element wise-detail Summary'!$B$3:$B$1048576,A53,'Element wise-detail Summary'!$C$3:$C$1048576,B53)</f>
        <v>0</v>
      </c>
      <c r="M53" s="20" t="str">
        <f t="shared" si="57"/>
        <v>16</v>
      </c>
      <c r="N53" s="24" t="str">
        <f t="shared" si="58"/>
        <v>0%</v>
      </c>
      <c r="O53" s="55"/>
      <c r="P53" s="27" t="str">
        <f t="shared" si="59"/>
        <v>0</v>
      </c>
      <c r="Q53" s="56" t="str">
        <f>_xlfn.MAXIFS([1]Details!$B:$B,[1]Details!$G:$G,B53)</f>
        <v>#ERROR!</v>
      </c>
    </row>
    <row r="54" ht="24.75" customHeight="1" outlineLevel="1">
      <c r="A54" s="18" t="s">
        <v>66</v>
      </c>
      <c r="B54" s="19" t="s">
        <v>73</v>
      </c>
      <c r="C54" s="20">
        <v>17.0</v>
      </c>
      <c r="D54" s="21" t="str">
        <f>SUMIFS('Element wise-detail Summary'!$F$3:$F$1048576,'Element wise-detail Summary'!$B$3:$B$1048576,Summary!$A54,'Element wise-detail Summary'!$C$3:$C$1048576,Summary!B54)</f>
        <v>17</v>
      </c>
      <c r="E54" s="22" t="str">
        <f>SUMIFS('Element wise-detail Summary'!$G$3:$G$1048576,'Element wise-detail Summary'!$B$3:$B$1048576,Summary!$A54,'Element wise-detail Summary'!$C$3:$C$1048576,Summary!B54)</f>
        <v>4</v>
      </c>
      <c r="F54" s="20" t="str">
        <f t="shared" si="52"/>
        <v>13</v>
      </c>
      <c r="G54" s="23" t="str">
        <f t="shared" si="53"/>
        <v>24%</v>
      </c>
      <c r="H54" s="22" t="str">
        <f>SUMIFS('Element wise-detail Summary'!$I$3:$I$1048576,'Element wise-detail Summary'!$B$3:$B$1048576,A54,'Element wise-detail Summary'!$C$3:$C$1048576,B54)</f>
        <v>0</v>
      </c>
      <c r="I54" s="20" t="str">
        <f t="shared" si="54"/>
        <v>17</v>
      </c>
      <c r="J54" s="24" t="str">
        <f t="shared" si="55"/>
        <v>0%</v>
      </c>
      <c r="K54" s="25" t="str">
        <f t="shared" si="56"/>
        <v>4</v>
      </c>
      <c r="L54" s="22" t="str">
        <f>SUMIFS('Element wise-detail Summary'!$M$3:$M$1048576,'Element wise-detail Summary'!$B$3:$B$1048576,A54,'Element wise-detail Summary'!$C$3:$C$1048576,B54)</f>
        <v>0</v>
      </c>
      <c r="M54" s="20" t="str">
        <f t="shared" si="57"/>
        <v>17</v>
      </c>
      <c r="N54" s="24" t="str">
        <f t="shared" si="58"/>
        <v>0%</v>
      </c>
      <c r="O54" s="55"/>
      <c r="P54" s="27" t="str">
        <f t="shared" si="59"/>
        <v>0</v>
      </c>
      <c r="Q54" s="56" t="str">
        <f>_xlfn.MAXIFS([1]Details!$B:$B,[1]Details!$G:$G,B54)</f>
        <v>#ERROR!</v>
      </c>
    </row>
    <row r="55" ht="24.75" customHeight="1" outlineLevel="1">
      <c r="A55" s="18" t="s">
        <v>66</v>
      </c>
      <c r="B55" s="19" t="s">
        <v>74</v>
      </c>
      <c r="C55" s="20">
        <v>17.0</v>
      </c>
      <c r="D55" s="21" t="str">
        <f>SUMIFS('Element wise-detail Summary'!$F$3:$F$1048576,'Element wise-detail Summary'!$B$3:$B$1048576,Summary!$A55,'Element wise-detail Summary'!$C$3:$C$1048576,Summary!B55)</f>
        <v>17</v>
      </c>
      <c r="E55" s="22" t="str">
        <f>SUMIFS('Element wise-detail Summary'!$G$3:$G$1048576,'Element wise-detail Summary'!$B$3:$B$1048576,Summary!$A55,'Element wise-detail Summary'!$C$3:$C$1048576,Summary!B55)</f>
        <v>6</v>
      </c>
      <c r="F55" s="20" t="str">
        <f t="shared" si="52"/>
        <v>11</v>
      </c>
      <c r="G55" s="23" t="str">
        <f t="shared" si="53"/>
        <v>35%</v>
      </c>
      <c r="H55" s="22" t="str">
        <f>SUMIFS('Element wise-detail Summary'!$I$3:$I$1048576,'Element wise-detail Summary'!$B$3:$B$1048576,A55,'Element wise-detail Summary'!$C$3:$C$1048576,B55)</f>
        <v>0</v>
      </c>
      <c r="I55" s="20" t="str">
        <f t="shared" si="54"/>
        <v>17</v>
      </c>
      <c r="J55" s="24" t="str">
        <f t="shared" si="55"/>
        <v>0%</v>
      </c>
      <c r="K55" s="25" t="str">
        <f t="shared" si="56"/>
        <v>6</v>
      </c>
      <c r="L55" s="22" t="str">
        <f>SUMIFS('Element wise-detail Summary'!$M$3:$M$1048576,'Element wise-detail Summary'!$B$3:$B$1048576,A55,'Element wise-detail Summary'!$C$3:$C$1048576,B55)</f>
        <v>0</v>
      </c>
      <c r="M55" s="20" t="str">
        <f t="shared" si="57"/>
        <v>17</v>
      </c>
      <c r="N55" s="24" t="str">
        <f t="shared" si="58"/>
        <v>0%</v>
      </c>
      <c r="O55" s="55"/>
      <c r="P55" s="27" t="str">
        <f t="shared" si="59"/>
        <v>0</v>
      </c>
      <c r="Q55" s="56" t="str">
        <f>_xlfn.MAXIFS([1]Details!$B:$B,[1]Details!$G:$G,B55)</f>
        <v>#ERROR!</v>
      </c>
    </row>
    <row r="56" ht="24.75" customHeight="1" outlineLevel="1">
      <c r="A56" s="18" t="s">
        <v>66</v>
      </c>
      <c r="B56" s="19" t="s">
        <v>75</v>
      </c>
      <c r="C56" s="20">
        <v>19.0</v>
      </c>
      <c r="D56" s="21" t="str">
        <f>SUMIFS('Element wise-detail Summary'!$F$3:$F$1048576,'Element wise-detail Summary'!$B$3:$B$1048576,Summary!$A56,'Element wise-detail Summary'!$C$3:$C$1048576,Summary!B56)</f>
        <v>19</v>
      </c>
      <c r="E56" s="22" t="str">
        <f>SUMIFS('Element wise-detail Summary'!$G$3:$G$1048576,'Element wise-detail Summary'!$B$3:$B$1048576,Summary!$A56,'Element wise-detail Summary'!$C$3:$C$1048576,Summary!B56)</f>
        <v>5</v>
      </c>
      <c r="F56" s="20" t="str">
        <f t="shared" si="52"/>
        <v>14</v>
      </c>
      <c r="G56" s="23" t="str">
        <f t="shared" si="53"/>
        <v>26%</v>
      </c>
      <c r="H56" s="22" t="str">
        <f>SUMIFS('Element wise-detail Summary'!$I$3:$I$1048576,'Element wise-detail Summary'!$B$3:$B$1048576,A56,'Element wise-detail Summary'!$C$3:$C$1048576,B56)</f>
        <v>0</v>
      </c>
      <c r="I56" s="20" t="str">
        <f t="shared" si="54"/>
        <v>19</v>
      </c>
      <c r="J56" s="24" t="str">
        <f t="shared" si="55"/>
        <v>0%</v>
      </c>
      <c r="K56" s="25" t="str">
        <f t="shared" si="56"/>
        <v>5</v>
      </c>
      <c r="L56" s="22" t="str">
        <f>SUMIFS('Element wise-detail Summary'!$M$3:$M$1048576,'Element wise-detail Summary'!$B$3:$B$1048576,A56,'Element wise-detail Summary'!$C$3:$C$1048576,B56)</f>
        <v>0</v>
      </c>
      <c r="M56" s="20" t="str">
        <f t="shared" si="57"/>
        <v>19</v>
      </c>
      <c r="N56" s="24" t="str">
        <f t="shared" si="58"/>
        <v>0%</v>
      </c>
      <c r="O56" s="55"/>
      <c r="P56" s="27" t="str">
        <f t="shared" si="59"/>
        <v>0</v>
      </c>
      <c r="Q56" s="56" t="str">
        <f>_xlfn.MAXIFS([1]Details!$B:$B,[1]Details!$G:$G,B56)</f>
        <v>#ERROR!</v>
      </c>
    </row>
    <row r="57" ht="24.75" customHeight="1">
      <c r="A57" s="38" t="s">
        <v>66</v>
      </c>
      <c r="B57" s="39" t="str">
        <f>COUNTA(B48:B56) &amp; " NOS"</f>
        <v>9 NOS</v>
      </c>
      <c r="C57" s="40" t="str">
        <f t="shared" ref="C57:F57" si="60">SUM(C48:C56)</f>
        <v>160</v>
      </c>
      <c r="D57" s="41" t="str">
        <f t="shared" si="60"/>
        <v>160</v>
      </c>
      <c r="E57" s="42" t="str">
        <f t="shared" si="60"/>
        <v>30</v>
      </c>
      <c r="F57" s="40" t="str">
        <f t="shared" si="60"/>
        <v>130</v>
      </c>
      <c r="G57" s="43" t="str">
        <f t="shared" si="53"/>
        <v>19%</v>
      </c>
      <c r="H57" s="42" t="str">
        <f t="shared" ref="H57:I57" si="61">SUM(H48:H56)</f>
        <v>0</v>
      </c>
      <c r="I57" s="40" t="str">
        <f t="shared" si="61"/>
        <v>160</v>
      </c>
      <c r="J57" s="44" t="str">
        <f t="shared" si="55"/>
        <v>0%</v>
      </c>
      <c r="K57" s="45" t="str">
        <f t="shared" ref="K57:M57" si="62">SUM(K48:K56)</f>
        <v>30</v>
      </c>
      <c r="L57" s="42" t="str">
        <f t="shared" si="62"/>
        <v>0</v>
      </c>
      <c r="M57" s="40" t="str">
        <f t="shared" si="62"/>
        <v>160</v>
      </c>
      <c r="N57" s="44" t="str">
        <f t="shared" si="58"/>
        <v>0%</v>
      </c>
      <c r="O57" s="46"/>
      <c r="P57" s="27" t="str">
        <f t="shared" si="59"/>
        <v>0</v>
      </c>
      <c r="Q57" s="27"/>
    </row>
    <row r="58" ht="7.5" customHeight="1">
      <c r="A58" s="47"/>
      <c r="B58" s="48"/>
      <c r="C58" s="49"/>
      <c r="D58" s="50"/>
      <c r="E58" s="51"/>
      <c r="F58" s="49"/>
      <c r="G58" s="52"/>
      <c r="H58" s="51"/>
      <c r="I58" s="49"/>
      <c r="J58" s="53"/>
      <c r="K58" s="49"/>
      <c r="L58" s="51"/>
      <c r="M58" s="49"/>
      <c r="N58" s="53"/>
      <c r="O58" s="54"/>
      <c r="P58" s="27"/>
      <c r="Q58" s="27"/>
    </row>
    <row r="59" ht="24.75" customHeight="1" outlineLevel="1">
      <c r="A59" s="18" t="s">
        <v>76</v>
      </c>
      <c r="B59" s="19" t="s">
        <v>77</v>
      </c>
      <c r="C59" s="20">
        <v>16.0</v>
      </c>
      <c r="D59" s="21" t="str">
        <f>SUMIFS('Element wise-detail Summary'!$F$3:$F$1048576,'Element wise-detail Summary'!$B$3:$B$1048576,Summary!$A59,'Element wise-detail Summary'!$C$3:$C$1048576,Summary!B59)</f>
        <v>16</v>
      </c>
      <c r="E59" s="22" t="str">
        <f>SUMIFS('Element wise-detail Summary'!$G$3:$G$1048576,'Element wise-detail Summary'!$B$3:$B$1048576,Summary!$A59,'Element wise-detail Summary'!$C$3:$C$1048576,Summary!B59)</f>
        <v>0</v>
      </c>
      <c r="F59" s="20" t="str">
        <f t="shared" ref="F59:F64" si="63">D59-E59</f>
        <v>16</v>
      </c>
      <c r="G59" s="23" t="str">
        <f t="shared" ref="G59:G65" si="64">E59/C59</f>
        <v>0%</v>
      </c>
      <c r="H59" s="22" t="str">
        <f>SUMIFS('Element wise-detail Summary'!$I$3:$I$1048576,'Element wise-detail Summary'!$B$3:$B$1048576,A59,'Element wise-detail Summary'!$C$3:$C$1048576,B59)</f>
        <v>0</v>
      </c>
      <c r="I59" s="20" t="str">
        <f t="shared" ref="I59:I64" si="65">D59-H59</f>
        <v>16</v>
      </c>
      <c r="J59" s="24" t="str">
        <f t="shared" ref="J59:J65" si="66">H59/C59</f>
        <v>0%</v>
      </c>
      <c r="K59" s="25" t="str">
        <f t="shared" ref="K59:K64" si="67">E59-H59</f>
        <v>0</v>
      </c>
      <c r="L59" s="22" t="str">
        <f>SUMIFS('Element wise-detail Summary'!$M$3:$M$1048576,'Element wise-detail Summary'!$B$3:$B$1048576,A59,'Element wise-detail Summary'!$C$3:$C$1048576,B59)</f>
        <v>0</v>
      </c>
      <c r="M59" s="20" t="str">
        <f t="shared" ref="M59:M64" si="68">D59-L59</f>
        <v>16</v>
      </c>
      <c r="N59" s="24" t="str">
        <f t="shared" ref="N59:N65" si="69">L59/C59</f>
        <v>0%</v>
      </c>
      <c r="O59" s="55"/>
      <c r="P59" s="27" t="str">
        <f t="shared" ref="P59:P65" si="70">+C59-D59</f>
        <v>0</v>
      </c>
      <c r="Q59" s="56" t="str">
        <f>_xlfn.MAXIFS([1]Details!$B:$B,[1]Details!$G:$G,B59)</f>
        <v>#ERROR!</v>
      </c>
    </row>
    <row r="60" ht="24.75" customHeight="1" outlineLevel="1">
      <c r="A60" s="18" t="s">
        <v>76</v>
      </c>
      <c r="B60" s="19" t="s">
        <v>78</v>
      </c>
      <c r="C60" s="20">
        <v>16.0</v>
      </c>
      <c r="D60" s="21" t="str">
        <f>SUMIFS('Element wise-detail Summary'!$F$3:$F$1048576,'Element wise-detail Summary'!$B$3:$B$1048576,Summary!$A60,'Element wise-detail Summary'!$C$3:$C$1048576,Summary!B60)</f>
        <v>16</v>
      </c>
      <c r="E60" s="22" t="str">
        <f>SUMIFS('Element wise-detail Summary'!$G$3:$G$1048576,'Element wise-detail Summary'!$B$3:$B$1048576,Summary!$A60,'Element wise-detail Summary'!$C$3:$C$1048576,Summary!B60)</f>
        <v>0</v>
      </c>
      <c r="F60" s="20" t="str">
        <f t="shared" si="63"/>
        <v>16</v>
      </c>
      <c r="G60" s="23" t="str">
        <f t="shared" si="64"/>
        <v>0%</v>
      </c>
      <c r="H60" s="22" t="str">
        <f>SUMIFS('Element wise-detail Summary'!$I$3:$I$1048576,'Element wise-detail Summary'!$B$3:$B$1048576,A60,'Element wise-detail Summary'!$C$3:$C$1048576,B60)</f>
        <v>0</v>
      </c>
      <c r="I60" s="20" t="str">
        <f t="shared" si="65"/>
        <v>16</v>
      </c>
      <c r="J60" s="24" t="str">
        <f t="shared" si="66"/>
        <v>0%</v>
      </c>
      <c r="K60" s="25" t="str">
        <f t="shared" si="67"/>
        <v>0</v>
      </c>
      <c r="L60" s="22" t="str">
        <f>SUMIFS('Element wise-detail Summary'!$M$3:$M$1048576,'Element wise-detail Summary'!$B$3:$B$1048576,A60,'Element wise-detail Summary'!$C$3:$C$1048576,B60)</f>
        <v>0</v>
      </c>
      <c r="M60" s="20" t="str">
        <f t="shared" si="68"/>
        <v>16</v>
      </c>
      <c r="N60" s="24" t="str">
        <f t="shared" si="69"/>
        <v>0%</v>
      </c>
      <c r="O60" s="55"/>
      <c r="P60" s="27" t="str">
        <f t="shared" si="70"/>
        <v>0</v>
      </c>
      <c r="Q60" s="56" t="str">
        <f>_xlfn.MAXIFS([1]Details!$B:$B,[1]Details!$G:$G,B60)</f>
        <v>#ERROR!</v>
      </c>
    </row>
    <row r="61" ht="24.75" customHeight="1" outlineLevel="1">
      <c r="A61" s="18" t="s">
        <v>76</v>
      </c>
      <c r="B61" s="19" t="s">
        <v>79</v>
      </c>
      <c r="C61" s="20">
        <v>16.0</v>
      </c>
      <c r="D61" s="21" t="str">
        <f>SUMIFS('Element wise-detail Summary'!$F$3:$F$1048576,'Element wise-detail Summary'!$B$3:$B$1048576,Summary!$A61,'Element wise-detail Summary'!$C$3:$C$1048576,Summary!B61)</f>
        <v>16</v>
      </c>
      <c r="E61" s="22" t="str">
        <f>SUMIFS('Element wise-detail Summary'!$G$3:$G$1048576,'Element wise-detail Summary'!$B$3:$B$1048576,Summary!$A61,'Element wise-detail Summary'!$C$3:$C$1048576,Summary!B61)</f>
        <v>0</v>
      </c>
      <c r="F61" s="20" t="str">
        <f t="shared" si="63"/>
        <v>16</v>
      </c>
      <c r="G61" s="23" t="str">
        <f t="shared" si="64"/>
        <v>0%</v>
      </c>
      <c r="H61" s="22" t="str">
        <f>SUMIFS('Element wise-detail Summary'!$I$3:$I$1048576,'Element wise-detail Summary'!$B$3:$B$1048576,A61,'Element wise-detail Summary'!$C$3:$C$1048576,B61)</f>
        <v>0</v>
      </c>
      <c r="I61" s="20" t="str">
        <f t="shared" si="65"/>
        <v>16</v>
      </c>
      <c r="J61" s="24" t="str">
        <f t="shared" si="66"/>
        <v>0%</v>
      </c>
      <c r="K61" s="25" t="str">
        <f t="shared" si="67"/>
        <v>0</v>
      </c>
      <c r="L61" s="22" t="str">
        <f>SUMIFS('Element wise-detail Summary'!$M$3:$M$1048576,'Element wise-detail Summary'!$B$3:$B$1048576,A61,'Element wise-detail Summary'!$C$3:$C$1048576,B61)</f>
        <v>0</v>
      </c>
      <c r="M61" s="20" t="str">
        <f t="shared" si="68"/>
        <v>16</v>
      </c>
      <c r="N61" s="24" t="str">
        <f t="shared" si="69"/>
        <v>0%</v>
      </c>
      <c r="O61" s="55"/>
      <c r="P61" s="27" t="str">
        <f t="shared" si="70"/>
        <v>0</v>
      </c>
      <c r="Q61" s="56" t="str">
        <f>_xlfn.MAXIFS([1]Details!$B:$B,[1]Details!$G:$G,B61)</f>
        <v>#ERROR!</v>
      </c>
    </row>
    <row r="62" ht="24.75" customHeight="1" outlineLevel="1">
      <c r="A62" s="18" t="s">
        <v>76</v>
      </c>
      <c r="B62" s="19" t="s">
        <v>80</v>
      </c>
      <c r="C62" s="20">
        <v>16.0</v>
      </c>
      <c r="D62" s="21" t="str">
        <f>SUMIFS('Element wise-detail Summary'!$F$3:$F$1048576,'Element wise-detail Summary'!$B$3:$B$1048576,Summary!$A62,'Element wise-detail Summary'!$C$3:$C$1048576,Summary!B62)</f>
        <v>16</v>
      </c>
      <c r="E62" s="22" t="str">
        <f>SUMIFS('Element wise-detail Summary'!$G$3:$G$1048576,'Element wise-detail Summary'!$B$3:$B$1048576,Summary!$A62,'Element wise-detail Summary'!$C$3:$C$1048576,Summary!B62)</f>
        <v>1</v>
      </c>
      <c r="F62" s="20" t="str">
        <f t="shared" si="63"/>
        <v>15</v>
      </c>
      <c r="G62" s="23" t="str">
        <f t="shared" si="64"/>
        <v>6%</v>
      </c>
      <c r="H62" s="22" t="str">
        <f>SUMIFS('Element wise-detail Summary'!$I$3:$I$1048576,'Element wise-detail Summary'!$B$3:$B$1048576,A62,'Element wise-detail Summary'!$C$3:$C$1048576,B62)</f>
        <v>0</v>
      </c>
      <c r="I62" s="20" t="str">
        <f t="shared" si="65"/>
        <v>16</v>
      </c>
      <c r="J62" s="24" t="str">
        <f t="shared" si="66"/>
        <v>0%</v>
      </c>
      <c r="K62" s="25" t="str">
        <f t="shared" si="67"/>
        <v>1</v>
      </c>
      <c r="L62" s="22" t="str">
        <f>SUMIFS('Element wise-detail Summary'!$M$3:$M$1048576,'Element wise-detail Summary'!$B$3:$B$1048576,A62,'Element wise-detail Summary'!$C$3:$C$1048576,B62)</f>
        <v>0</v>
      </c>
      <c r="M62" s="20" t="str">
        <f t="shared" si="68"/>
        <v>16</v>
      </c>
      <c r="N62" s="24" t="str">
        <f t="shared" si="69"/>
        <v>0%</v>
      </c>
      <c r="O62" s="55"/>
      <c r="P62" s="27" t="str">
        <f t="shared" si="70"/>
        <v>0</v>
      </c>
      <c r="Q62" s="56" t="str">
        <f>_xlfn.MAXIFS([1]Details!$B:$B,[1]Details!$G:$G,B62)</f>
        <v>#ERROR!</v>
      </c>
    </row>
    <row r="63" ht="24.75" customHeight="1" outlineLevel="1">
      <c r="A63" s="18" t="s">
        <v>76</v>
      </c>
      <c r="B63" s="19" t="s">
        <v>81</v>
      </c>
      <c r="C63" s="20">
        <v>17.0</v>
      </c>
      <c r="D63" s="21" t="str">
        <f>SUMIFS('Element wise-detail Summary'!$F$3:$F$1048576,'Element wise-detail Summary'!$B$3:$B$1048576,Summary!$A63,'Element wise-detail Summary'!$C$3:$C$1048576,Summary!B63)</f>
        <v>17</v>
      </c>
      <c r="E63" s="22" t="str">
        <f>SUMIFS('Element wise-detail Summary'!$G$3:$G$1048576,'Element wise-detail Summary'!$B$3:$B$1048576,Summary!$A63,'Element wise-detail Summary'!$C$3:$C$1048576,Summary!B63)</f>
        <v>0</v>
      </c>
      <c r="F63" s="20" t="str">
        <f t="shared" si="63"/>
        <v>17</v>
      </c>
      <c r="G63" s="23" t="str">
        <f t="shared" si="64"/>
        <v>0%</v>
      </c>
      <c r="H63" s="22" t="str">
        <f>SUMIFS('Element wise-detail Summary'!$I$3:$I$1048576,'Element wise-detail Summary'!$B$3:$B$1048576,A63,'Element wise-detail Summary'!$C$3:$C$1048576,B63)</f>
        <v>0</v>
      </c>
      <c r="I63" s="20" t="str">
        <f t="shared" si="65"/>
        <v>17</v>
      </c>
      <c r="J63" s="24" t="str">
        <f t="shared" si="66"/>
        <v>0%</v>
      </c>
      <c r="K63" s="25" t="str">
        <f t="shared" si="67"/>
        <v>0</v>
      </c>
      <c r="L63" s="22" t="str">
        <f>SUMIFS('Element wise-detail Summary'!$M$3:$M$1048576,'Element wise-detail Summary'!$B$3:$B$1048576,A63,'Element wise-detail Summary'!$C$3:$C$1048576,B63)</f>
        <v>0</v>
      </c>
      <c r="M63" s="20" t="str">
        <f t="shared" si="68"/>
        <v>17</v>
      </c>
      <c r="N63" s="24" t="str">
        <f t="shared" si="69"/>
        <v>0%</v>
      </c>
      <c r="O63" s="55"/>
      <c r="P63" s="27" t="str">
        <f t="shared" si="70"/>
        <v>0</v>
      </c>
      <c r="Q63" s="56" t="str">
        <f>_xlfn.MAXIFS([1]Details!$B:$B,[1]Details!$G:$G,B63)</f>
        <v>#ERROR!</v>
      </c>
    </row>
    <row r="64" ht="24.75" customHeight="1" outlineLevel="1">
      <c r="A64" s="18" t="s">
        <v>76</v>
      </c>
      <c r="B64" s="19" t="s">
        <v>82</v>
      </c>
      <c r="C64" s="20">
        <v>25.0</v>
      </c>
      <c r="D64" s="21" t="str">
        <f>SUMIFS('Element wise-detail Summary'!$F$3:$F$1048576,'Element wise-detail Summary'!$B$3:$B$1048576,Summary!$A64,'Element wise-detail Summary'!$C$3:$C$1048576,Summary!B64)</f>
        <v>25</v>
      </c>
      <c r="E64" s="22" t="str">
        <f>SUMIFS('Element wise-detail Summary'!$G$3:$G$1048576,'Element wise-detail Summary'!$B$3:$B$1048576,Summary!$A64,'Element wise-detail Summary'!$C$3:$C$1048576,Summary!B64)</f>
        <v>2</v>
      </c>
      <c r="F64" s="20" t="str">
        <f t="shared" si="63"/>
        <v>23</v>
      </c>
      <c r="G64" s="23" t="str">
        <f t="shared" si="64"/>
        <v>8%</v>
      </c>
      <c r="H64" s="22" t="str">
        <f>SUMIFS('Element wise-detail Summary'!$I$3:$I$1048576,'Element wise-detail Summary'!$B$3:$B$1048576,A64,'Element wise-detail Summary'!$C$3:$C$1048576,B64)</f>
        <v>0</v>
      </c>
      <c r="I64" s="20" t="str">
        <f t="shared" si="65"/>
        <v>25</v>
      </c>
      <c r="J64" s="24" t="str">
        <f t="shared" si="66"/>
        <v>0%</v>
      </c>
      <c r="K64" s="25" t="str">
        <f t="shared" si="67"/>
        <v>2</v>
      </c>
      <c r="L64" s="22" t="str">
        <f>SUMIFS('Element wise-detail Summary'!$M$3:$M$1048576,'Element wise-detail Summary'!$B$3:$B$1048576,A64,'Element wise-detail Summary'!$C$3:$C$1048576,B64)</f>
        <v>0</v>
      </c>
      <c r="M64" s="20" t="str">
        <f t="shared" si="68"/>
        <v>25</v>
      </c>
      <c r="N64" s="24" t="str">
        <f t="shared" si="69"/>
        <v>0%</v>
      </c>
      <c r="O64" s="55"/>
      <c r="P64" s="27" t="str">
        <f t="shared" si="70"/>
        <v>0</v>
      </c>
      <c r="Q64" s="56" t="str">
        <f>_xlfn.MAXIFS([1]Details!$B:$B,[1]Details!$G:$G,B64)</f>
        <v>#ERROR!</v>
      </c>
    </row>
    <row r="65" ht="24.75" customHeight="1">
      <c r="A65" s="38" t="s">
        <v>76</v>
      </c>
      <c r="B65" s="39" t="str">
        <f>COUNTA(B59:B64) &amp; " NOS"</f>
        <v>6 NOS</v>
      </c>
      <c r="C65" s="40" t="str">
        <f t="shared" ref="C65:F65" si="71">SUM(C59:C64)</f>
        <v>106</v>
      </c>
      <c r="D65" s="41" t="str">
        <f t="shared" si="71"/>
        <v>106</v>
      </c>
      <c r="E65" s="42" t="str">
        <f t="shared" si="71"/>
        <v>3</v>
      </c>
      <c r="F65" s="40" t="str">
        <f t="shared" si="71"/>
        <v>103</v>
      </c>
      <c r="G65" s="43" t="str">
        <f t="shared" si="64"/>
        <v>3%</v>
      </c>
      <c r="H65" s="42" t="str">
        <f t="shared" ref="H65:I65" si="72">SUM(H59:H64)</f>
        <v>0</v>
      </c>
      <c r="I65" s="40" t="str">
        <f t="shared" si="72"/>
        <v>106</v>
      </c>
      <c r="J65" s="44" t="str">
        <f t="shared" si="66"/>
        <v>0%</v>
      </c>
      <c r="K65" s="45" t="str">
        <f t="shared" ref="K65:M65" si="73">SUM(K59:K64)</f>
        <v>3</v>
      </c>
      <c r="L65" s="42" t="str">
        <f t="shared" si="73"/>
        <v>0</v>
      </c>
      <c r="M65" s="40" t="str">
        <f t="shared" si="73"/>
        <v>106</v>
      </c>
      <c r="N65" s="44" t="str">
        <f t="shared" si="69"/>
        <v>0%</v>
      </c>
      <c r="O65" s="46"/>
      <c r="P65" s="27" t="str">
        <f t="shared" si="70"/>
        <v>0</v>
      </c>
      <c r="Q65" s="27"/>
    </row>
    <row r="66" ht="7.5" customHeight="1" outlineLevel="1">
      <c r="A66" s="18"/>
      <c r="B66" s="19"/>
      <c r="C66" s="20"/>
      <c r="D66" s="60"/>
      <c r="E66" s="61"/>
      <c r="F66" s="59"/>
      <c r="G66" s="62"/>
      <c r="H66" s="61"/>
      <c r="I66" s="59"/>
      <c r="J66" s="63"/>
      <c r="K66" s="64"/>
      <c r="L66" s="61"/>
      <c r="M66" s="59"/>
      <c r="N66" s="63"/>
      <c r="O66" s="65"/>
      <c r="P66" s="27"/>
      <c r="Q66" s="27"/>
    </row>
    <row r="67" ht="24.75" customHeight="1" outlineLevel="1">
      <c r="A67" s="18" t="s">
        <v>83</v>
      </c>
      <c r="B67" s="19" t="s">
        <v>84</v>
      </c>
      <c r="C67" s="20">
        <v>20.0</v>
      </c>
      <c r="D67" s="60" t="str">
        <f>SUMIFS('Element wise-detail Summary'!$F$3:$F$1048576,'Element wise-detail Summary'!$B$3:$B$1048576,Summary!$A67,'Element wise-detail Summary'!$C$3:$C$1048576,Summary!B67)</f>
        <v>20</v>
      </c>
      <c r="E67" s="61" t="str">
        <f>SUMIFS('Element wise-detail Summary'!$G$3:$G$1048576,'Element wise-detail Summary'!$B$3:$B$1048576,Summary!$A67,'Element wise-detail Summary'!$C$3:$C$1048576,Summary!B67)</f>
        <v>15</v>
      </c>
      <c r="F67" s="59" t="str">
        <f t="shared" ref="F67:F78" si="74">D67-E67</f>
        <v>5</v>
      </c>
      <c r="G67" s="62" t="str">
        <f t="shared" ref="G67:G79" si="75">E67/C67</f>
        <v>75%</v>
      </c>
      <c r="H67" s="61" t="str">
        <f>SUMIFS('Element wise-detail Summary'!$I$3:$I$1048576,'Element wise-detail Summary'!$B$3:$B$1048576,A67,'Element wise-detail Summary'!$C$3:$C$1048576,B67)</f>
        <v>0</v>
      </c>
      <c r="I67" s="59" t="str">
        <f t="shared" ref="I67:I78" si="76">D67-H67</f>
        <v>20</v>
      </c>
      <c r="J67" s="63" t="str">
        <f t="shared" ref="J67:J79" si="77">H67/C67</f>
        <v>0%</v>
      </c>
      <c r="K67" s="64" t="str">
        <f t="shared" ref="K67:K78" si="78">E67-H67</f>
        <v>15</v>
      </c>
      <c r="L67" s="61" t="str">
        <f>SUMIFS('Element wise-detail Summary'!$M$3:$M$1048576,'Element wise-detail Summary'!$B$3:$B$1048576,A67,'Element wise-detail Summary'!$C$3:$C$1048576,B67)</f>
        <v>0</v>
      </c>
      <c r="M67" s="59" t="str">
        <f t="shared" ref="M67:M79" si="79">D67-L67</f>
        <v>20</v>
      </c>
      <c r="N67" s="63" t="str">
        <f t="shared" ref="N67:N79" si="80">L67/C67</f>
        <v>0%</v>
      </c>
      <c r="O67" s="65" t="s">
        <v>46</v>
      </c>
      <c r="P67" s="27" t="str">
        <f t="shared" ref="P67:P79" si="81">+C67-D67</f>
        <v>0</v>
      </c>
      <c r="Q67" s="56" t="str">
        <f>_xlfn.MAXIFS([1]Details!$B:$B,[1]Details!$G:$G,B67)</f>
        <v>#ERROR!</v>
      </c>
    </row>
    <row r="68" ht="24.75" customHeight="1" outlineLevel="1">
      <c r="A68" s="18" t="s">
        <v>83</v>
      </c>
      <c r="B68" s="19" t="s">
        <v>85</v>
      </c>
      <c r="C68" s="20">
        <v>16.0</v>
      </c>
      <c r="D68" s="60" t="str">
        <f>SUMIFS('Element wise-detail Summary'!$F$3:$F$1048576,'Element wise-detail Summary'!$B$3:$B$1048576,Summary!$A68,'Element wise-detail Summary'!$C$3:$C$1048576,Summary!B68)</f>
        <v>16</v>
      </c>
      <c r="E68" s="61" t="str">
        <f>SUMIFS('Element wise-detail Summary'!$G$3:$G$1048576,'Element wise-detail Summary'!$B$3:$B$1048576,Summary!$A68,'Element wise-detail Summary'!$C$3:$C$1048576,Summary!B68)</f>
        <v>15</v>
      </c>
      <c r="F68" s="59" t="str">
        <f t="shared" si="74"/>
        <v>1</v>
      </c>
      <c r="G68" s="62" t="str">
        <f t="shared" si="75"/>
        <v>94%</v>
      </c>
      <c r="H68" s="61" t="str">
        <f>SUMIFS('Element wise-detail Summary'!$I$3:$I$1048576,'Element wise-detail Summary'!$B$3:$B$1048576,A68,'Element wise-detail Summary'!$C$3:$C$1048576,B68)</f>
        <v>0</v>
      </c>
      <c r="I68" s="59" t="str">
        <f t="shared" si="76"/>
        <v>16</v>
      </c>
      <c r="J68" s="63" t="str">
        <f t="shared" si="77"/>
        <v>0%</v>
      </c>
      <c r="K68" s="64" t="str">
        <f t="shared" si="78"/>
        <v>15</v>
      </c>
      <c r="L68" s="61" t="str">
        <f>SUMIFS('Element wise-detail Summary'!$M$3:$M$1048576,'Element wise-detail Summary'!$B$3:$B$1048576,A68,'Element wise-detail Summary'!$C$3:$C$1048576,B68)</f>
        <v>0</v>
      </c>
      <c r="M68" s="59" t="str">
        <f t="shared" si="79"/>
        <v>16</v>
      </c>
      <c r="N68" s="63" t="str">
        <f t="shared" si="80"/>
        <v>0%</v>
      </c>
      <c r="O68" s="65" t="s">
        <v>61</v>
      </c>
      <c r="P68" s="27" t="str">
        <f t="shared" si="81"/>
        <v>0</v>
      </c>
      <c r="Q68" s="56" t="str">
        <f>_xlfn.MAXIFS([1]Details!$B:$B,[1]Details!$G:$G,B68)</f>
        <v>#ERROR!</v>
      </c>
    </row>
    <row r="69" ht="24.75" customHeight="1" outlineLevel="1">
      <c r="A69" s="18" t="s">
        <v>83</v>
      </c>
      <c r="B69" s="19" t="s">
        <v>86</v>
      </c>
      <c r="C69" s="20">
        <v>16.0</v>
      </c>
      <c r="D69" s="60" t="str">
        <f>SUMIFS('Element wise-detail Summary'!$F$3:$F$1048576,'Element wise-detail Summary'!$B$3:$B$1048576,Summary!$A69,'Element wise-detail Summary'!$C$3:$C$1048576,Summary!B69)</f>
        <v>16</v>
      </c>
      <c r="E69" s="61" t="str">
        <f>SUMIFS('Element wise-detail Summary'!$G$3:$G$1048576,'Element wise-detail Summary'!$B$3:$B$1048576,Summary!$A69,'Element wise-detail Summary'!$C$3:$C$1048576,Summary!B69)</f>
        <v>15</v>
      </c>
      <c r="F69" s="59" t="str">
        <f t="shared" si="74"/>
        <v>1</v>
      </c>
      <c r="G69" s="62" t="str">
        <f t="shared" si="75"/>
        <v>94%</v>
      </c>
      <c r="H69" s="61" t="str">
        <f>SUMIFS('Element wise-detail Summary'!$I$3:$I$1048576,'Element wise-detail Summary'!$B$3:$B$1048576,A69,'Element wise-detail Summary'!$C$3:$C$1048576,B69)</f>
        <v>0</v>
      </c>
      <c r="I69" s="59" t="str">
        <f t="shared" si="76"/>
        <v>16</v>
      </c>
      <c r="J69" s="63" t="str">
        <f t="shared" si="77"/>
        <v>0%</v>
      </c>
      <c r="K69" s="64" t="str">
        <f t="shared" si="78"/>
        <v>15</v>
      </c>
      <c r="L69" s="61" t="str">
        <f>SUMIFS('Element wise-detail Summary'!$M$3:$M$1048576,'Element wise-detail Summary'!$B$3:$B$1048576,A69,'Element wise-detail Summary'!$C$3:$C$1048576,B69)</f>
        <v>0</v>
      </c>
      <c r="M69" s="59" t="str">
        <f t="shared" si="79"/>
        <v>16</v>
      </c>
      <c r="N69" s="63" t="str">
        <f t="shared" si="80"/>
        <v>0%</v>
      </c>
      <c r="O69" s="65" t="s">
        <v>61</v>
      </c>
      <c r="P69" s="27" t="str">
        <f t="shared" si="81"/>
        <v>0</v>
      </c>
      <c r="Q69" s="56" t="str">
        <f>_xlfn.MAXIFS([1]Details!$B:$B,[1]Details!$G:$G,B69)</f>
        <v>#ERROR!</v>
      </c>
    </row>
    <row r="70" ht="24.75" customHeight="1" outlineLevel="1">
      <c r="A70" s="18" t="s">
        <v>83</v>
      </c>
      <c r="B70" s="19" t="s">
        <v>87</v>
      </c>
      <c r="C70" s="20">
        <v>16.0</v>
      </c>
      <c r="D70" s="60" t="str">
        <f>SUMIFS('Element wise-detail Summary'!$F$3:$F$1048576,'Element wise-detail Summary'!$B$3:$B$1048576,Summary!$A70,'Element wise-detail Summary'!$C$3:$C$1048576,Summary!B70)</f>
        <v>16</v>
      </c>
      <c r="E70" s="61" t="str">
        <f>SUMIFS('Element wise-detail Summary'!$G$3:$G$1048576,'Element wise-detail Summary'!$B$3:$B$1048576,Summary!$A70,'Element wise-detail Summary'!$C$3:$C$1048576,Summary!B70)</f>
        <v>15</v>
      </c>
      <c r="F70" s="59" t="str">
        <f t="shared" si="74"/>
        <v>1</v>
      </c>
      <c r="G70" s="62" t="str">
        <f t="shared" si="75"/>
        <v>94%</v>
      </c>
      <c r="H70" s="61" t="str">
        <f>SUMIFS('Element wise-detail Summary'!$I$3:$I$1048576,'Element wise-detail Summary'!$B$3:$B$1048576,A70,'Element wise-detail Summary'!$C$3:$C$1048576,B70)</f>
        <v>0</v>
      </c>
      <c r="I70" s="59" t="str">
        <f t="shared" si="76"/>
        <v>16</v>
      </c>
      <c r="J70" s="63" t="str">
        <f t="shared" si="77"/>
        <v>0%</v>
      </c>
      <c r="K70" s="64" t="str">
        <f t="shared" si="78"/>
        <v>15</v>
      </c>
      <c r="L70" s="61" t="str">
        <f>SUMIFS('Element wise-detail Summary'!$M$3:$M$1048576,'Element wise-detail Summary'!$B$3:$B$1048576,A70,'Element wise-detail Summary'!$C$3:$C$1048576,B70)</f>
        <v>0</v>
      </c>
      <c r="M70" s="59" t="str">
        <f t="shared" si="79"/>
        <v>16</v>
      </c>
      <c r="N70" s="63" t="str">
        <f t="shared" si="80"/>
        <v>0%</v>
      </c>
      <c r="O70" s="65" t="s">
        <v>61</v>
      </c>
      <c r="P70" s="27" t="str">
        <f t="shared" si="81"/>
        <v>0</v>
      </c>
      <c r="Q70" s="56" t="str">
        <f>_xlfn.MAXIFS([1]Details!$B:$B,[1]Details!$G:$G,B70)</f>
        <v>#ERROR!</v>
      </c>
    </row>
    <row r="71" ht="24.75" customHeight="1" outlineLevel="1">
      <c r="A71" s="18" t="s">
        <v>83</v>
      </c>
      <c r="B71" s="19" t="s">
        <v>88</v>
      </c>
      <c r="C71" s="20">
        <v>17.0</v>
      </c>
      <c r="D71" s="60" t="str">
        <f>SUMIFS('Element wise-detail Summary'!$F$3:$F$1048576,'Element wise-detail Summary'!$B$3:$B$1048576,Summary!$A71,'Element wise-detail Summary'!$C$3:$C$1048576,Summary!B71)</f>
        <v>17</v>
      </c>
      <c r="E71" s="61" t="str">
        <f>SUMIFS('Element wise-detail Summary'!$G$3:$G$1048576,'Element wise-detail Summary'!$B$3:$B$1048576,Summary!$A71,'Element wise-detail Summary'!$C$3:$C$1048576,Summary!B71)</f>
        <v>17</v>
      </c>
      <c r="F71" s="59" t="str">
        <f t="shared" si="74"/>
        <v>0</v>
      </c>
      <c r="G71" s="62" t="str">
        <f t="shared" si="75"/>
        <v>100%</v>
      </c>
      <c r="H71" s="61" t="str">
        <f>SUMIFS('Element wise-detail Summary'!$I$3:$I$1048576,'Element wise-detail Summary'!$B$3:$B$1048576,A71,'Element wise-detail Summary'!$C$3:$C$1048576,B71)</f>
        <v>0</v>
      </c>
      <c r="I71" s="59" t="str">
        <f t="shared" si="76"/>
        <v>17</v>
      </c>
      <c r="J71" s="63" t="str">
        <f t="shared" si="77"/>
        <v>0%</v>
      </c>
      <c r="K71" s="64" t="str">
        <f t="shared" si="78"/>
        <v>17</v>
      </c>
      <c r="L71" s="61" t="str">
        <f>SUMIFS('Element wise-detail Summary'!$M$3:$M$1048576,'Element wise-detail Summary'!$B$3:$B$1048576,A71,'Element wise-detail Summary'!$C$3:$C$1048576,B71)</f>
        <v>0</v>
      </c>
      <c r="M71" s="59" t="str">
        <f t="shared" si="79"/>
        <v>17</v>
      </c>
      <c r="N71" s="63" t="str">
        <f t="shared" si="80"/>
        <v>0%</v>
      </c>
      <c r="O71" s="65" t="s">
        <v>53</v>
      </c>
      <c r="P71" s="27" t="str">
        <f t="shared" si="81"/>
        <v>0</v>
      </c>
      <c r="Q71" s="56" t="str">
        <f>_xlfn.MAXIFS([1]Details!$B:$B,[1]Details!$G:$G,B71)</f>
        <v>#ERROR!</v>
      </c>
    </row>
    <row r="72" ht="24.75" customHeight="1" outlineLevel="1">
      <c r="A72" s="18" t="s">
        <v>83</v>
      </c>
      <c r="B72" s="19" t="s">
        <v>89</v>
      </c>
      <c r="C72" s="20">
        <v>17.0</v>
      </c>
      <c r="D72" s="60" t="str">
        <f>SUMIFS('Element wise-detail Summary'!$F$3:$F$1048576,'Element wise-detail Summary'!$B$3:$B$1048576,Summary!$A72,'Element wise-detail Summary'!$C$3:$C$1048576,Summary!B72)</f>
        <v>17</v>
      </c>
      <c r="E72" s="61" t="str">
        <f>SUMIFS('Element wise-detail Summary'!$G$3:$G$1048576,'Element wise-detail Summary'!$B$3:$B$1048576,Summary!$A72,'Element wise-detail Summary'!$C$3:$C$1048576,Summary!B72)</f>
        <v>17</v>
      </c>
      <c r="F72" s="59" t="str">
        <f t="shared" si="74"/>
        <v>0</v>
      </c>
      <c r="G72" s="62" t="str">
        <f t="shared" si="75"/>
        <v>100%</v>
      </c>
      <c r="H72" s="61" t="str">
        <f>SUMIFS('Element wise-detail Summary'!$I$3:$I$1048576,'Element wise-detail Summary'!$B$3:$B$1048576,A72,'Element wise-detail Summary'!$C$3:$C$1048576,B72)</f>
        <v>0</v>
      </c>
      <c r="I72" s="59" t="str">
        <f t="shared" si="76"/>
        <v>17</v>
      </c>
      <c r="J72" s="63" t="str">
        <f t="shared" si="77"/>
        <v>0%</v>
      </c>
      <c r="K72" s="64" t="str">
        <f t="shared" si="78"/>
        <v>17</v>
      </c>
      <c r="L72" s="61" t="str">
        <f>SUMIFS('Element wise-detail Summary'!$M$3:$M$1048576,'Element wise-detail Summary'!$B$3:$B$1048576,A72,'Element wise-detail Summary'!$C$3:$C$1048576,B72)</f>
        <v>0</v>
      </c>
      <c r="M72" s="59" t="str">
        <f t="shared" si="79"/>
        <v>17</v>
      </c>
      <c r="N72" s="63" t="str">
        <f t="shared" si="80"/>
        <v>0%</v>
      </c>
      <c r="O72" s="65" t="s">
        <v>53</v>
      </c>
      <c r="P72" s="27" t="str">
        <f t="shared" si="81"/>
        <v>0</v>
      </c>
      <c r="Q72" s="56" t="str">
        <f>_xlfn.MAXIFS([1]Details!$B:$B,[1]Details!$G:$G,B72)</f>
        <v>#ERROR!</v>
      </c>
    </row>
    <row r="73" ht="24.75" customHeight="1" outlineLevel="1">
      <c r="A73" s="18" t="s">
        <v>83</v>
      </c>
      <c r="B73" s="19" t="s">
        <v>90</v>
      </c>
      <c r="C73" s="20">
        <v>16.0</v>
      </c>
      <c r="D73" s="60" t="str">
        <f>SUMIFS('Element wise-detail Summary'!$F$3:$F$1048576,'Element wise-detail Summary'!$B$3:$B$1048576,Summary!$A73,'Element wise-detail Summary'!$C$3:$C$1048576,Summary!B73)</f>
        <v>16</v>
      </c>
      <c r="E73" s="61" t="str">
        <f>SUMIFS('Element wise-detail Summary'!$G$3:$G$1048576,'Element wise-detail Summary'!$B$3:$B$1048576,Summary!$A73,'Element wise-detail Summary'!$C$3:$C$1048576,Summary!B73)</f>
        <v>14</v>
      </c>
      <c r="F73" s="59" t="str">
        <f t="shared" si="74"/>
        <v>2</v>
      </c>
      <c r="G73" s="62" t="str">
        <f t="shared" si="75"/>
        <v>88%</v>
      </c>
      <c r="H73" s="61" t="str">
        <f>SUMIFS('Element wise-detail Summary'!$I$3:$I$1048576,'Element wise-detail Summary'!$B$3:$B$1048576,A73,'Element wise-detail Summary'!$C$3:$C$1048576,B73)</f>
        <v>0</v>
      </c>
      <c r="I73" s="59" t="str">
        <f t="shared" si="76"/>
        <v>16</v>
      </c>
      <c r="J73" s="63" t="str">
        <f t="shared" si="77"/>
        <v>0%</v>
      </c>
      <c r="K73" s="64" t="str">
        <f t="shared" si="78"/>
        <v>14</v>
      </c>
      <c r="L73" s="61" t="str">
        <f>SUMIFS('Element wise-detail Summary'!$M$3:$M$1048576,'Element wise-detail Summary'!$B$3:$B$1048576,A73,'Element wise-detail Summary'!$C$3:$C$1048576,B73)</f>
        <v>0</v>
      </c>
      <c r="M73" s="59" t="str">
        <f t="shared" si="79"/>
        <v>16</v>
      </c>
      <c r="N73" s="63" t="str">
        <f t="shared" si="80"/>
        <v>0%</v>
      </c>
      <c r="O73" s="65" t="s">
        <v>61</v>
      </c>
      <c r="P73" s="27" t="str">
        <f t="shared" si="81"/>
        <v>0</v>
      </c>
      <c r="Q73" s="56" t="str">
        <f>_xlfn.MAXIFS([1]Details!$B:$B,[1]Details!$G:$G,B73)</f>
        <v>#ERROR!</v>
      </c>
    </row>
    <row r="74" ht="24.75" customHeight="1" outlineLevel="1">
      <c r="A74" s="18" t="s">
        <v>83</v>
      </c>
      <c r="B74" s="19" t="s">
        <v>91</v>
      </c>
      <c r="C74" s="20">
        <v>16.0</v>
      </c>
      <c r="D74" s="60" t="str">
        <f>SUMIFS('Element wise-detail Summary'!$F$3:$F$1048576,'Element wise-detail Summary'!$B$3:$B$1048576,Summary!$A74,'Element wise-detail Summary'!$C$3:$C$1048576,Summary!B74)</f>
        <v>16</v>
      </c>
      <c r="E74" s="61" t="str">
        <f>SUMIFS('Element wise-detail Summary'!$G$3:$G$1048576,'Element wise-detail Summary'!$B$3:$B$1048576,Summary!$A74,'Element wise-detail Summary'!$C$3:$C$1048576,Summary!B74)</f>
        <v>15</v>
      </c>
      <c r="F74" s="59" t="str">
        <f t="shared" si="74"/>
        <v>1</v>
      </c>
      <c r="G74" s="62" t="str">
        <f t="shared" si="75"/>
        <v>94%</v>
      </c>
      <c r="H74" s="61" t="str">
        <f>SUMIFS('Element wise-detail Summary'!$I$3:$I$1048576,'Element wise-detail Summary'!$B$3:$B$1048576,A74,'Element wise-detail Summary'!$C$3:$C$1048576,B74)</f>
        <v>0</v>
      </c>
      <c r="I74" s="59" t="str">
        <f t="shared" si="76"/>
        <v>16</v>
      </c>
      <c r="J74" s="63" t="str">
        <f t="shared" si="77"/>
        <v>0%</v>
      </c>
      <c r="K74" s="64" t="str">
        <f t="shared" si="78"/>
        <v>15</v>
      </c>
      <c r="L74" s="61" t="str">
        <f>SUMIFS('Element wise-detail Summary'!$M$3:$M$1048576,'Element wise-detail Summary'!$B$3:$B$1048576,A74,'Element wise-detail Summary'!$C$3:$C$1048576,B74)</f>
        <v>0</v>
      </c>
      <c r="M74" s="59" t="str">
        <f t="shared" si="79"/>
        <v>16</v>
      </c>
      <c r="N74" s="63" t="str">
        <f t="shared" si="80"/>
        <v>0%</v>
      </c>
      <c r="O74" s="65" t="s">
        <v>61</v>
      </c>
      <c r="P74" s="27" t="str">
        <f t="shared" si="81"/>
        <v>0</v>
      </c>
      <c r="Q74" s="56" t="str">
        <f>_xlfn.MAXIFS([1]Details!$B:$B,[1]Details!$G:$G,B74)</f>
        <v>#ERROR!</v>
      </c>
    </row>
    <row r="75" ht="24.75" customHeight="1" outlineLevel="1">
      <c r="A75" s="18" t="s">
        <v>83</v>
      </c>
      <c r="B75" s="19" t="s">
        <v>92</v>
      </c>
      <c r="C75" s="20">
        <v>16.0</v>
      </c>
      <c r="D75" s="60" t="str">
        <f>SUMIFS('Element wise-detail Summary'!$F$3:$F$1048576,'Element wise-detail Summary'!$B$3:$B$1048576,Summary!$A75,'Element wise-detail Summary'!$C$3:$C$1048576,Summary!B75)</f>
        <v>16</v>
      </c>
      <c r="E75" s="61" t="str">
        <f>SUMIFS('Element wise-detail Summary'!$G$3:$G$1048576,'Element wise-detail Summary'!$B$3:$B$1048576,Summary!$A75,'Element wise-detail Summary'!$C$3:$C$1048576,Summary!B75)</f>
        <v>15</v>
      </c>
      <c r="F75" s="59" t="str">
        <f t="shared" si="74"/>
        <v>1</v>
      </c>
      <c r="G75" s="62" t="str">
        <f t="shared" si="75"/>
        <v>94%</v>
      </c>
      <c r="H75" s="61" t="str">
        <f>SUMIFS('Element wise-detail Summary'!$I$3:$I$1048576,'Element wise-detail Summary'!$B$3:$B$1048576,A75,'Element wise-detail Summary'!$C$3:$C$1048576,B75)</f>
        <v>0</v>
      </c>
      <c r="I75" s="59" t="str">
        <f t="shared" si="76"/>
        <v>16</v>
      </c>
      <c r="J75" s="63" t="str">
        <f t="shared" si="77"/>
        <v>0%</v>
      </c>
      <c r="K75" s="64" t="str">
        <f t="shared" si="78"/>
        <v>15</v>
      </c>
      <c r="L75" s="61" t="str">
        <f>SUMIFS('Element wise-detail Summary'!$M$3:$M$1048576,'Element wise-detail Summary'!$B$3:$B$1048576,A75,'Element wise-detail Summary'!$C$3:$C$1048576,B75)</f>
        <v>0</v>
      </c>
      <c r="M75" s="59" t="str">
        <f t="shared" si="79"/>
        <v>16</v>
      </c>
      <c r="N75" s="63" t="str">
        <f t="shared" si="80"/>
        <v>0%</v>
      </c>
      <c r="O75" s="65" t="s">
        <v>61</v>
      </c>
      <c r="P75" s="27" t="str">
        <f t="shared" si="81"/>
        <v>0</v>
      </c>
      <c r="Q75" s="56" t="str">
        <f>_xlfn.MAXIFS([1]Details!$B:$B,[1]Details!$G:$G,B75)</f>
        <v>#ERROR!</v>
      </c>
    </row>
    <row r="76" ht="24.75" customHeight="1" outlineLevel="1">
      <c r="A76" s="18" t="s">
        <v>83</v>
      </c>
      <c r="B76" s="19" t="s">
        <v>93</v>
      </c>
      <c r="C76" s="20">
        <v>16.0</v>
      </c>
      <c r="D76" s="60" t="str">
        <f>SUMIFS('Element wise-detail Summary'!$F$3:$F$1048576,'Element wise-detail Summary'!$B$3:$B$1048576,Summary!$A76,'Element wise-detail Summary'!$C$3:$C$1048576,Summary!B76)</f>
        <v>16</v>
      </c>
      <c r="E76" s="61" t="str">
        <f>SUMIFS('Element wise-detail Summary'!$G$3:$G$1048576,'Element wise-detail Summary'!$B$3:$B$1048576,Summary!$A76,'Element wise-detail Summary'!$C$3:$C$1048576,Summary!B76)</f>
        <v>14</v>
      </c>
      <c r="F76" s="59" t="str">
        <f t="shared" si="74"/>
        <v>2</v>
      </c>
      <c r="G76" s="62" t="str">
        <f t="shared" si="75"/>
        <v>88%</v>
      </c>
      <c r="H76" s="61" t="str">
        <f>SUMIFS('Element wise-detail Summary'!$I$3:$I$1048576,'Element wise-detail Summary'!$B$3:$B$1048576,A76,'Element wise-detail Summary'!$C$3:$C$1048576,B76)</f>
        <v>0</v>
      </c>
      <c r="I76" s="59" t="str">
        <f t="shared" si="76"/>
        <v>16</v>
      </c>
      <c r="J76" s="63" t="str">
        <f t="shared" si="77"/>
        <v>0%</v>
      </c>
      <c r="K76" s="64" t="str">
        <f t="shared" si="78"/>
        <v>14</v>
      </c>
      <c r="L76" s="61" t="str">
        <f>SUMIFS('Element wise-detail Summary'!$M$3:$M$1048576,'Element wise-detail Summary'!$B$3:$B$1048576,A76,'Element wise-detail Summary'!$C$3:$C$1048576,B76)</f>
        <v>0</v>
      </c>
      <c r="M76" s="59" t="str">
        <f t="shared" si="79"/>
        <v>16</v>
      </c>
      <c r="N76" s="63" t="str">
        <f t="shared" si="80"/>
        <v>0%</v>
      </c>
      <c r="O76" s="65" t="s">
        <v>61</v>
      </c>
      <c r="P76" s="27" t="str">
        <f t="shared" si="81"/>
        <v>0</v>
      </c>
      <c r="Q76" s="56" t="str">
        <f>_xlfn.MAXIFS([1]Details!$B:$B,[1]Details!$G:$G,B76)</f>
        <v>#ERROR!</v>
      </c>
    </row>
    <row r="77" ht="24.75" customHeight="1" outlineLevel="1">
      <c r="A77" s="18" t="s">
        <v>83</v>
      </c>
      <c r="B77" s="19" t="s">
        <v>94</v>
      </c>
      <c r="C77" s="20">
        <v>16.0</v>
      </c>
      <c r="D77" s="60" t="str">
        <f>SUMIFS('Element wise-detail Summary'!$F$3:$F$1048576,'Element wise-detail Summary'!$B$3:$B$1048576,Summary!$A77,'Element wise-detail Summary'!$C$3:$C$1048576,Summary!B77)</f>
        <v>16</v>
      </c>
      <c r="E77" s="61" t="str">
        <f>SUMIFS('Element wise-detail Summary'!$G$3:$G$1048576,'Element wise-detail Summary'!$B$3:$B$1048576,Summary!$A77,'Element wise-detail Summary'!$C$3:$C$1048576,Summary!B77)</f>
        <v>15</v>
      </c>
      <c r="F77" s="59" t="str">
        <f t="shared" si="74"/>
        <v>1</v>
      </c>
      <c r="G77" s="62" t="str">
        <f t="shared" si="75"/>
        <v>94%</v>
      </c>
      <c r="H77" s="61" t="str">
        <f>SUMIFS('Element wise-detail Summary'!$I$3:$I$1048576,'Element wise-detail Summary'!$B$3:$B$1048576,A77,'Element wise-detail Summary'!$C$3:$C$1048576,B77)</f>
        <v>0</v>
      </c>
      <c r="I77" s="59" t="str">
        <f t="shared" si="76"/>
        <v>16</v>
      </c>
      <c r="J77" s="63" t="str">
        <f t="shared" si="77"/>
        <v>0%</v>
      </c>
      <c r="K77" s="64" t="str">
        <f t="shared" si="78"/>
        <v>15</v>
      </c>
      <c r="L77" s="61" t="str">
        <f>SUMIFS('Element wise-detail Summary'!$M$3:$M$1048576,'Element wise-detail Summary'!$B$3:$B$1048576,A77,'Element wise-detail Summary'!$C$3:$C$1048576,B77)</f>
        <v>0</v>
      </c>
      <c r="M77" s="59" t="str">
        <f t="shared" si="79"/>
        <v>16</v>
      </c>
      <c r="N77" s="63" t="str">
        <f t="shared" si="80"/>
        <v>0%</v>
      </c>
      <c r="O77" s="65" t="s">
        <v>61</v>
      </c>
      <c r="P77" s="27" t="str">
        <f t="shared" si="81"/>
        <v>0</v>
      </c>
      <c r="Q77" s="56" t="str">
        <f>_xlfn.MAXIFS([1]Details!$B:$B,[1]Details!$G:$G,B77)</f>
        <v>#ERROR!</v>
      </c>
    </row>
    <row r="78" ht="24.75" customHeight="1" outlineLevel="1">
      <c r="A78" s="18" t="s">
        <v>83</v>
      </c>
      <c r="B78" s="19" t="s">
        <v>95</v>
      </c>
      <c r="C78" s="20">
        <v>17.0</v>
      </c>
      <c r="D78" s="60" t="str">
        <f>SUMIFS('Element wise-detail Summary'!$F$3:$F$1048576,'Element wise-detail Summary'!$B$3:$B$1048576,Summary!$A78,'Element wise-detail Summary'!$C$3:$C$1048576,Summary!B78)</f>
        <v>17</v>
      </c>
      <c r="E78" s="61" t="str">
        <f>SUMIFS('Element wise-detail Summary'!$G$3:$G$1048576,'Element wise-detail Summary'!$B$3:$B$1048576,Summary!$A78,'Element wise-detail Summary'!$C$3:$C$1048576,Summary!B78)</f>
        <v>13</v>
      </c>
      <c r="F78" s="59" t="str">
        <f t="shared" si="74"/>
        <v>4</v>
      </c>
      <c r="G78" s="62" t="str">
        <f t="shared" si="75"/>
        <v>76%</v>
      </c>
      <c r="H78" s="61" t="str">
        <f>SUMIFS('Element wise-detail Summary'!$I$3:$I$1048576,'Element wise-detail Summary'!$B$3:$B$1048576,A78,'Element wise-detail Summary'!$C$3:$C$1048576,B78)</f>
        <v>0</v>
      </c>
      <c r="I78" s="59" t="str">
        <f t="shared" si="76"/>
        <v>17</v>
      </c>
      <c r="J78" s="63" t="str">
        <f t="shared" si="77"/>
        <v>0%</v>
      </c>
      <c r="K78" s="64" t="str">
        <f t="shared" si="78"/>
        <v>13</v>
      </c>
      <c r="L78" s="61" t="str">
        <f>SUMIFS('Element wise-detail Summary'!$M$3:$M$1048576,'Element wise-detail Summary'!$B$3:$B$1048576,A78,'Element wise-detail Summary'!$C$3:$C$1048576,B78)</f>
        <v>0</v>
      </c>
      <c r="M78" s="59" t="str">
        <f t="shared" si="79"/>
        <v>17</v>
      </c>
      <c r="N78" s="63" t="str">
        <f t="shared" si="80"/>
        <v>0%</v>
      </c>
      <c r="O78" s="65" t="s">
        <v>53</v>
      </c>
      <c r="P78" s="27" t="str">
        <f t="shared" si="81"/>
        <v>0</v>
      </c>
      <c r="Q78" s="56" t="str">
        <f>_xlfn.MAXIFS([1]Details!$B:$B,[1]Details!$G:$G,B78)</f>
        <v>#ERROR!</v>
      </c>
    </row>
    <row r="79" ht="24.75" customHeight="1">
      <c r="A79" s="38" t="s">
        <v>83</v>
      </c>
      <c r="B79" s="39" t="str">
        <f>COUNTA(B67:B78) &amp; " NOS"</f>
        <v>12 NOS</v>
      </c>
      <c r="C79" s="40" t="str">
        <f t="shared" ref="C79:F79" si="82">SUM(C67:C78)</f>
        <v>199</v>
      </c>
      <c r="D79" s="41" t="str">
        <f t="shared" si="82"/>
        <v>199</v>
      </c>
      <c r="E79" s="42" t="str">
        <f t="shared" si="82"/>
        <v>180</v>
      </c>
      <c r="F79" s="40" t="str">
        <f t="shared" si="82"/>
        <v>19</v>
      </c>
      <c r="G79" s="43" t="str">
        <f t="shared" si="75"/>
        <v>90%</v>
      </c>
      <c r="H79" s="42" t="str">
        <f t="shared" ref="H79:I79" si="83">SUM(H67:H78)</f>
        <v>0</v>
      </c>
      <c r="I79" s="40" t="str">
        <f t="shared" si="83"/>
        <v>199</v>
      </c>
      <c r="J79" s="44" t="str">
        <f t="shared" si="77"/>
        <v>0%</v>
      </c>
      <c r="K79" s="45" t="str">
        <f t="shared" ref="K79:L79" si="84">SUM(K67:K78)</f>
        <v>180</v>
      </c>
      <c r="L79" s="42" t="str">
        <f t="shared" si="84"/>
        <v>0</v>
      </c>
      <c r="M79" s="40" t="str">
        <f t="shared" si="79"/>
        <v>199</v>
      </c>
      <c r="N79" s="44" t="str">
        <f t="shared" si="80"/>
        <v>0%</v>
      </c>
      <c r="O79" s="46"/>
      <c r="P79" s="27" t="str">
        <f t="shared" si="81"/>
        <v>0</v>
      </c>
      <c r="Q79" s="27"/>
    </row>
    <row r="80" ht="7.5" customHeight="1">
      <c r="A80" s="47"/>
      <c r="B80" s="48"/>
      <c r="C80" s="49"/>
      <c r="D80" s="50"/>
      <c r="E80" s="51"/>
      <c r="F80" s="49"/>
      <c r="G80" s="52"/>
      <c r="H80" s="51"/>
      <c r="I80" s="49"/>
      <c r="J80" s="53"/>
      <c r="K80" s="49"/>
      <c r="L80" s="51"/>
      <c r="M80" s="49"/>
      <c r="N80" s="53"/>
      <c r="O80" s="54"/>
      <c r="P80" s="27"/>
      <c r="Q80" s="27"/>
    </row>
    <row r="81" ht="24.75" customHeight="1" outlineLevel="1">
      <c r="A81" s="18" t="s">
        <v>96</v>
      </c>
      <c r="B81" s="19" t="s">
        <v>97</v>
      </c>
      <c r="C81" s="20">
        <v>20.0</v>
      </c>
      <c r="D81" s="60" t="str">
        <f>SUMIFS('Element wise-detail Summary'!$F$3:$F$1048576,'Element wise-detail Summary'!$B$3:$B$1048576,Summary!$A81,'Element wise-detail Summary'!$C$3:$C$1048576,Summary!B81)</f>
        <v>20</v>
      </c>
      <c r="E81" s="61" t="str">
        <f>SUMIFS('Element wise-detail Summary'!$G$3:$G$1048576,'Element wise-detail Summary'!$B$3:$B$1048576,Summary!$A81,'Element wise-detail Summary'!$C$3:$C$1048576,Summary!B81)</f>
        <v>14</v>
      </c>
      <c r="F81" s="59" t="str">
        <f t="shared" ref="F81:F87" si="85">D81-E81</f>
        <v>6</v>
      </c>
      <c r="G81" s="62" t="str">
        <f t="shared" ref="G81:G88" si="86">E81/C81</f>
        <v>70%</v>
      </c>
      <c r="H81" s="61" t="str">
        <f>SUMIFS('Element wise-detail Summary'!$I$3:$I$1048576,'Element wise-detail Summary'!$B$3:$B$1048576,A81,'Element wise-detail Summary'!$C$3:$C$1048576,B81)</f>
        <v>0</v>
      </c>
      <c r="I81" s="59" t="str">
        <f t="shared" ref="I81:I87" si="87">D81-H81</f>
        <v>20</v>
      </c>
      <c r="J81" s="63" t="str">
        <f t="shared" ref="J81:J88" si="88">H81/C81</f>
        <v>0%</v>
      </c>
      <c r="K81" s="64" t="str">
        <f t="shared" ref="K81:K87" si="89">E81-H81</f>
        <v>14</v>
      </c>
      <c r="L81" s="61" t="str">
        <f>SUMIFS('Element wise-detail Summary'!$M$3:$M$1048576,'Element wise-detail Summary'!$B$3:$B$1048576,A81,'Element wise-detail Summary'!$C$3:$C$1048576,B81)</f>
        <v>0</v>
      </c>
      <c r="M81" s="59" t="str">
        <f t="shared" ref="M81:M88" si="90">D81-L81</f>
        <v>20</v>
      </c>
      <c r="N81" s="63" t="str">
        <f t="shared" ref="N81:N88" si="91">L81/C81</f>
        <v>0%</v>
      </c>
      <c r="O81" s="65" t="s">
        <v>53</v>
      </c>
      <c r="P81" s="27" t="str">
        <f t="shared" ref="P81:P88" si="92">+C81-D81</f>
        <v>0</v>
      </c>
      <c r="Q81" s="56" t="str">
        <f>_xlfn.MAXIFS([1]Details!$B:$B,[1]Details!$G:$G,B81)</f>
        <v>#ERROR!</v>
      </c>
    </row>
    <row r="82" ht="24.75" customHeight="1" outlineLevel="1">
      <c r="A82" s="18" t="s">
        <v>96</v>
      </c>
      <c r="B82" s="19" t="s">
        <v>98</v>
      </c>
      <c r="C82" s="20">
        <v>17.0</v>
      </c>
      <c r="D82" s="60" t="str">
        <f>SUMIFS('Element wise-detail Summary'!$F$3:$F$1048576,'Element wise-detail Summary'!$B$3:$B$1048576,Summary!$A82,'Element wise-detail Summary'!$C$3:$C$1048576,Summary!B82)</f>
        <v>17</v>
      </c>
      <c r="E82" s="61" t="str">
        <f>SUMIFS('Element wise-detail Summary'!$G$3:$G$1048576,'Element wise-detail Summary'!$B$3:$B$1048576,Summary!$A82,'Element wise-detail Summary'!$C$3:$C$1048576,Summary!B82)</f>
        <v>12</v>
      </c>
      <c r="F82" s="59" t="str">
        <f t="shared" si="85"/>
        <v>5</v>
      </c>
      <c r="G82" s="62" t="str">
        <f t="shared" si="86"/>
        <v>71%</v>
      </c>
      <c r="H82" s="61" t="str">
        <f>SUMIFS('Element wise-detail Summary'!$I$3:$I$1048576,'Element wise-detail Summary'!$B$3:$B$1048576,A82,'Element wise-detail Summary'!$C$3:$C$1048576,B82)</f>
        <v>0</v>
      </c>
      <c r="I82" s="59" t="str">
        <f t="shared" si="87"/>
        <v>17</v>
      </c>
      <c r="J82" s="63" t="str">
        <f t="shared" si="88"/>
        <v>0%</v>
      </c>
      <c r="K82" s="64" t="str">
        <f t="shared" si="89"/>
        <v>12</v>
      </c>
      <c r="L82" s="61" t="str">
        <f>SUMIFS('Element wise-detail Summary'!$M$3:$M$1048576,'Element wise-detail Summary'!$B$3:$B$1048576,A82,'Element wise-detail Summary'!$C$3:$C$1048576,B82)</f>
        <v>0</v>
      </c>
      <c r="M82" s="59" t="str">
        <f t="shared" si="90"/>
        <v>17</v>
      </c>
      <c r="N82" s="63" t="str">
        <f t="shared" si="91"/>
        <v>0%</v>
      </c>
      <c r="O82" s="65" t="s">
        <v>53</v>
      </c>
      <c r="P82" s="27" t="str">
        <f t="shared" si="92"/>
        <v>0</v>
      </c>
      <c r="Q82" s="56" t="str">
        <f>_xlfn.MAXIFS([1]Details!$B:$B,[1]Details!$G:$G,B82)</f>
        <v>#ERROR!</v>
      </c>
    </row>
    <row r="83" ht="24.75" customHeight="1" outlineLevel="1">
      <c r="A83" s="18" t="s">
        <v>96</v>
      </c>
      <c r="B83" s="19" t="s">
        <v>99</v>
      </c>
      <c r="C83" s="20">
        <v>17.0</v>
      </c>
      <c r="D83" s="60" t="str">
        <f>SUMIFS('Element wise-detail Summary'!$F$3:$F$1048576,'Element wise-detail Summary'!$B$3:$B$1048576,Summary!$A83,'Element wise-detail Summary'!$C$3:$C$1048576,Summary!B83)</f>
        <v>17</v>
      </c>
      <c r="E83" s="61" t="str">
        <f>SUMIFS('Element wise-detail Summary'!$G$3:$G$1048576,'Element wise-detail Summary'!$B$3:$B$1048576,Summary!$A83,'Element wise-detail Summary'!$C$3:$C$1048576,Summary!B83)</f>
        <v>15</v>
      </c>
      <c r="F83" s="59" t="str">
        <f t="shared" si="85"/>
        <v>2</v>
      </c>
      <c r="G83" s="62" t="str">
        <f t="shared" si="86"/>
        <v>88%</v>
      </c>
      <c r="H83" s="61" t="str">
        <f>SUMIFS('Element wise-detail Summary'!$I$3:$I$1048576,'Element wise-detail Summary'!$B$3:$B$1048576,A83,'Element wise-detail Summary'!$C$3:$C$1048576,B83)</f>
        <v>0</v>
      </c>
      <c r="I83" s="59" t="str">
        <f t="shared" si="87"/>
        <v>17</v>
      </c>
      <c r="J83" s="63" t="str">
        <f t="shared" si="88"/>
        <v>0%</v>
      </c>
      <c r="K83" s="64" t="str">
        <f t="shared" si="89"/>
        <v>15</v>
      </c>
      <c r="L83" s="61" t="str">
        <f>SUMIFS('Element wise-detail Summary'!$M$3:$M$1048576,'Element wise-detail Summary'!$B$3:$B$1048576,A83,'Element wise-detail Summary'!$C$3:$C$1048576,B83)</f>
        <v>0</v>
      </c>
      <c r="M83" s="59" t="str">
        <f t="shared" si="90"/>
        <v>17</v>
      </c>
      <c r="N83" s="63" t="str">
        <f t="shared" si="91"/>
        <v>0%</v>
      </c>
      <c r="O83" s="65" t="s">
        <v>53</v>
      </c>
      <c r="P83" s="27" t="str">
        <f t="shared" si="92"/>
        <v>0</v>
      </c>
      <c r="Q83" s="56" t="str">
        <f>_xlfn.MAXIFS([1]Details!$B:$B,[1]Details!$G:$G,B83)</f>
        <v>#ERROR!</v>
      </c>
    </row>
    <row r="84" ht="24.75" customHeight="1" outlineLevel="1">
      <c r="A84" s="18" t="s">
        <v>96</v>
      </c>
      <c r="B84" s="19" t="s">
        <v>100</v>
      </c>
      <c r="C84" s="20">
        <v>20.0</v>
      </c>
      <c r="D84" s="60" t="str">
        <f>SUMIFS('Element wise-detail Summary'!$F$3:$F$1048576,'Element wise-detail Summary'!$B$3:$B$1048576,Summary!$A84,'Element wise-detail Summary'!$C$3:$C$1048576,Summary!B84)</f>
        <v>20</v>
      </c>
      <c r="E84" s="61" t="str">
        <f>SUMIFS('Element wise-detail Summary'!$G$3:$G$1048576,'Element wise-detail Summary'!$B$3:$B$1048576,Summary!$A84,'Element wise-detail Summary'!$C$3:$C$1048576,Summary!B84)</f>
        <v>13</v>
      </c>
      <c r="F84" s="59" t="str">
        <f t="shared" si="85"/>
        <v>7</v>
      </c>
      <c r="G84" s="62" t="str">
        <f t="shared" si="86"/>
        <v>65%</v>
      </c>
      <c r="H84" s="61" t="str">
        <f>SUMIFS('Element wise-detail Summary'!$I$3:$I$1048576,'Element wise-detail Summary'!$B$3:$B$1048576,A84,'Element wise-detail Summary'!$C$3:$C$1048576,B84)</f>
        <v>0</v>
      </c>
      <c r="I84" s="59" t="str">
        <f t="shared" si="87"/>
        <v>20</v>
      </c>
      <c r="J84" s="63" t="str">
        <f t="shared" si="88"/>
        <v>0%</v>
      </c>
      <c r="K84" s="64" t="str">
        <f t="shared" si="89"/>
        <v>13</v>
      </c>
      <c r="L84" s="61" t="str">
        <f>SUMIFS('Element wise-detail Summary'!$M$3:$M$1048576,'Element wise-detail Summary'!$B$3:$B$1048576,A84,'Element wise-detail Summary'!$C$3:$C$1048576,B84)</f>
        <v>0</v>
      </c>
      <c r="M84" s="59" t="str">
        <f t="shared" si="90"/>
        <v>20</v>
      </c>
      <c r="N84" s="63" t="str">
        <f t="shared" si="91"/>
        <v>0%</v>
      </c>
      <c r="O84" s="65" t="s">
        <v>53</v>
      </c>
      <c r="P84" s="27" t="str">
        <f t="shared" si="92"/>
        <v>0</v>
      </c>
      <c r="Q84" s="56" t="str">
        <f>_xlfn.MAXIFS([1]Details!$B:$B,[1]Details!$G:$G,B84)</f>
        <v>#ERROR!</v>
      </c>
    </row>
    <row r="85" ht="24.75" customHeight="1" outlineLevel="1">
      <c r="A85" s="18" t="s">
        <v>96</v>
      </c>
      <c r="B85" s="19" t="s">
        <v>101</v>
      </c>
      <c r="C85" s="20">
        <v>25.0</v>
      </c>
      <c r="D85" s="60" t="str">
        <f>SUMIFS('Element wise-detail Summary'!$F$3:$F$1048576,'Element wise-detail Summary'!$B$3:$B$1048576,Summary!$A85,'Element wise-detail Summary'!$C$3:$C$1048576,Summary!B85)</f>
        <v>25</v>
      </c>
      <c r="E85" s="61" t="str">
        <f>SUMIFS('Element wise-detail Summary'!$G$3:$G$1048576,'Element wise-detail Summary'!$B$3:$B$1048576,Summary!$A85,'Element wise-detail Summary'!$C$3:$C$1048576,Summary!B85)</f>
        <v>20</v>
      </c>
      <c r="F85" s="59" t="str">
        <f t="shared" si="85"/>
        <v>5</v>
      </c>
      <c r="G85" s="62" t="str">
        <f t="shared" si="86"/>
        <v>80%</v>
      </c>
      <c r="H85" s="61" t="str">
        <f>SUMIFS('Element wise-detail Summary'!$I$3:$I$1048576,'Element wise-detail Summary'!$B$3:$B$1048576,A85,'Element wise-detail Summary'!$C$3:$C$1048576,B85)</f>
        <v>0</v>
      </c>
      <c r="I85" s="59" t="str">
        <f t="shared" si="87"/>
        <v>25</v>
      </c>
      <c r="J85" s="63" t="str">
        <f t="shared" si="88"/>
        <v>0%</v>
      </c>
      <c r="K85" s="64" t="str">
        <f t="shared" si="89"/>
        <v>20</v>
      </c>
      <c r="L85" s="61" t="str">
        <f>SUMIFS('Element wise-detail Summary'!$M$3:$M$1048576,'Element wise-detail Summary'!$B$3:$B$1048576,A85,'Element wise-detail Summary'!$C$3:$C$1048576,B85)</f>
        <v>0</v>
      </c>
      <c r="M85" s="59" t="str">
        <f t="shared" si="90"/>
        <v>25</v>
      </c>
      <c r="N85" s="63" t="str">
        <f t="shared" si="91"/>
        <v>0%</v>
      </c>
      <c r="O85" s="65" t="s">
        <v>102</v>
      </c>
      <c r="P85" s="27" t="str">
        <f t="shared" si="92"/>
        <v>0</v>
      </c>
      <c r="Q85" s="56" t="str">
        <f>_xlfn.MAXIFS([1]Details!$B:$B,[1]Details!$G:$G,B85)</f>
        <v>#ERROR!</v>
      </c>
    </row>
    <row r="86" ht="24.75" customHeight="1" outlineLevel="1">
      <c r="A86" s="18" t="s">
        <v>96</v>
      </c>
      <c r="B86" s="19" t="s">
        <v>103</v>
      </c>
      <c r="C86" s="20">
        <v>23.0</v>
      </c>
      <c r="D86" s="60" t="str">
        <f>SUMIFS('Element wise-detail Summary'!$F$3:$F$1048576,'Element wise-detail Summary'!$B$3:$B$1048576,Summary!$A86,'Element wise-detail Summary'!$C$3:$C$1048576,Summary!B86)</f>
        <v>23</v>
      </c>
      <c r="E86" s="61" t="str">
        <f>SUMIFS('Element wise-detail Summary'!$G$3:$G$1048576,'Element wise-detail Summary'!$B$3:$B$1048576,Summary!$A86,'Element wise-detail Summary'!$C$3:$C$1048576,Summary!B86)</f>
        <v>19</v>
      </c>
      <c r="F86" s="59" t="str">
        <f t="shared" si="85"/>
        <v>4</v>
      </c>
      <c r="G86" s="62" t="str">
        <f t="shared" si="86"/>
        <v>83%</v>
      </c>
      <c r="H86" s="61" t="str">
        <f>SUMIFS('Element wise-detail Summary'!$I$3:$I$1048576,'Element wise-detail Summary'!$B$3:$B$1048576,A86,'Element wise-detail Summary'!$C$3:$C$1048576,B86)</f>
        <v>0</v>
      </c>
      <c r="I86" s="59" t="str">
        <f t="shared" si="87"/>
        <v>23</v>
      </c>
      <c r="J86" s="63" t="str">
        <f t="shared" si="88"/>
        <v>0%</v>
      </c>
      <c r="K86" s="64" t="str">
        <f t="shared" si="89"/>
        <v>19</v>
      </c>
      <c r="L86" s="61" t="str">
        <f>SUMIFS('Element wise-detail Summary'!$M$3:$M$1048576,'Element wise-detail Summary'!$B$3:$B$1048576,A86,'Element wise-detail Summary'!$C$3:$C$1048576,B86)</f>
        <v>0</v>
      </c>
      <c r="M86" s="59" t="str">
        <f t="shared" si="90"/>
        <v>23</v>
      </c>
      <c r="N86" s="63" t="str">
        <f t="shared" si="91"/>
        <v>0%</v>
      </c>
      <c r="O86" s="65" t="s">
        <v>56</v>
      </c>
      <c r="P86" s="27" t="str">
        <f t="shared" si="92"/>
        <v>0</v>
      </c>
      <c r="Q86" s="56" t="str">
        <f>_xlfn.MAXIFS([1]Details!$B:$B,[1]Details!$G:$G,B86)</f>
        <v>#ERROR!</v>
      </c>
    </row>
    <row r="87" ht="24.75" customHeight="1" outlineLevel="1">
      <c r="A87" s="18" t="s">
        <v>96</v>
      </c>
      <c r="B87" s="19" t="s">
        <v>104</v>
      </c>
      <c r="C87" s="20">
        <v>19.0</v>
      </c>
      <c r="D87" s="60" t="str">
        <f>SUMIFS('Element wise-detail Summary'!$F$3:$F$1048576,'Element wise-detail Summary'!$B$3:$B$1048576,Summary!$A87,'Element wise-detail Summary'!$C$3:$C$1048576,Summary!B87)</f>
        <v>19</v>
      </c>
      <c r="E87" s="61" t="str">
        <f>SUMIFS('Element wise-detail Summary'!$G$3:$G$1048576,'Element wise-detail Summary'!$B$3:$B$1048576,Summary!$A87,'Element wise-detail Summary'!$C$3:$C$1048576,Summary!B87)</f>
        <v>10</v>
      </c>
      <c r="F87" s="59" t="str">
        <f t="shared" si="85"/>
        <v>9</v>
      </c>
      <c r="G87" s="62" t="str">
        <f t="shared" si="86"/>
        <v>53%</v>
      </c>
      <c r="H87" s="61" t="str">
        <f>SUMIFS('Element wise-detail Summary'!$I$3:$I$1048576,'Element wise-detail Summary'!$B$3:$B$1048576,A87,'Element wise-detail Summary'!$C$3:$C$1048576,B87)</f>
        <v>0</v>
      </c>
      <c r="I87" s="59" t="str">
        <f t="shared" si="87"/>
        <v>19</v>
      </c>
      <c r="J87" s="63" t="str">
        <f t="shared" si="88"/>
        <v>0%</v>
      </c>
      <c r="K87" s="64" t="str">
        <f t="shared" si="89"/>
        <v>10</v>
      </c>
      <c r="L87" s="61" t="str">
        <f>SUMIFS('Element wise-detail Summary'!$M$3:$M$1048576,'Element wise-detail Summary'!$B$3:$B$1048576,A87,'Element wise-detail Summary'!$C$3:$C$1048576,B87)</f>
        <v>0</v>
      </c>
      <c r="M87" s="59" t="str">
        <f t="shared" si="90"/>
        <v>19</v>
      </c>
      <c r="N87" s="63" t="str">
        <f t="shared" si="91"/>
        <v>0%</v>
      </c>
      <c r="O87" s="65" t="s">
        <v>53</v>
      </c>
      <c r="P87" s="27" t="str">
        <f t="shared" si="92"/>
        <v>0</v>
      </c>
      <c r="Q87" s="56" t="str">
        <f>_xlfn.MAXIFS([1]Details!$B:$B,[1]Details!$G:$G,B87)</f>
        <v>#ERROR!</v>
      </c>
    </row>
    <row r="88" ht="24.75" customHeight="1">
      <c r="A88" s="38" t="s">
        <v>96</v>
      </c>
      <c r="B88" s="39" t="str">
        <f>COUNTA(B81:B87) &amp; " NOS"</f>
        <v>7 NOS</v>
      </c>
      <c r="C88" s="40" t="str">
        <f t="shared" ref="C88:F88" si="93">SUM(C81:C87)</f>
        <v>141</v>
      </c>
      <c r="D88" s="41" t="str">
        <f t="shared" si="93"/>
        <v>141</v>
      </c>
      <c r="E88" s="42" t="str">
        <f t="shared" si="93"/>
        <v>103</v>
      </c>
      <c r="F88" s="40" t="str">
        <f t="shared" si="93"/>
        <v>38</v>
      </c>
      <c r="G88" s="43" t="str">
        <f t="shared" si="86"/>
        <v>73%</v>
      </c>
      <c r="H88" s="42" t="str">
        <f t="shared" ref="H88:I88" si="94">SUM(H81:H87)</f>
        <v>0</v>
      </c>
      <c r="I88" s="40" t="str">
        <f t="shared" si="94"/>
        <v>141</v>
      </c>
      <c r="J88" s="44" t="str">
        <f t="shared" si="88"/>
        <v>0%</v>
      </c>
      <c r="K88" s="45" t="str">
        <f t="shared" ref="K88:L88" si="95">SUM(K81:K87)</f>
        <v>103</v>
      </c>
      <c r="L88" s="42" t="str">
        <f t="shared" si="95"/>
        <v>0</v>
      </c>
      <c r="M88" s="40" t="str">
        <f t="shared" si="90"/>
        <v>141</v>
      </c>
      <c r="N88" s="44" t="str">
        <f t="shared" si="91"/>
        <v>0%</v>
      </c>
      <c r="O88" s="46"/>
      <c r="P88" s="27" t="str">
        <f t="shared" si="92"/>
        <v>0</v>
      </c>
      <c r="Q88" s="27"/>
    </row>
    <row r="89" ht="7.5" customHeight="1">
      <c r="A89" s="47"/>
      <c r="B89" s="48"/>
      <c r="C89" s="49"/>
      <c r="D89" s="50"/>
      <c r="E89" s="51"/>
      <c r="F89" s="49"/>
      <c r="G89" s="52"/>
      <c r="H89" s="51"/>
      <c r="I89" s="49"/>
      <c r="J89" s="53"/>
      <c r="K89" s="49"/>
      <c r="L89" s="51"/>
      <c r="M89" s="49"/>
      <c r="N89" s="53"/>
      <c r="O89" s="54"/>
      <c r="P89" s="27"/>
      <c r="Q89" s="27"/>
    </row>
    <row r="90" ht="24.75" customHeight="1" outlineLevel="1">
      <c r="A90" s="18" t="s">
        <v>105</v>
      </c>
      <c r="B90" s="19" t="s">
        <v>106</v>
      </c>
      <c r="C90" s="20">
        <v>27.0</v>
      </c>
      <c r="D90" s="60" t="str">
        <f>SUMIFS('Element wise-detail Summary'!$F$3:$F$1048576,'Element wise-detail Summary'!$B$3:$B$1048576,Summary!$A90,'Element wise-detail Summary'!$C$3:$C$1048576,Summary!B90)</f>
        <v>27</v>
      </c>
      <c r="E90" s="61" t="str">
        <f>SUMIFS('Element wise-detail Summary'!$G$3:$G$1048576,'Element wise-detail Summary'!$B$3:$B$1048576,Summary!$A90,'Element wise-detail Summary'!$C$3:$C$1048576,Summary!B90)</f>
        <v>1</v>
      </c>
      <c r="F90" s="59" t="str">
        <f t="shared" ref="F90:F99" si="96">D90-E90</f>
        <v>26</v>
      </c>
      <c r="G90" s="62" t="str">
        <f t="shared" ref="G90:G100" si="97">E90/C90</f>
        <v>4%</v>
      </c>
      <c r="H90" s="61" t="str">
        <f>SUMIFS('Element wise-detail Summary'!$I$3:$I$1048576,'Element wise-detail Summary'!$B$3:$B$1048576,A90,'Element wise-detail Summary'!$C$3:$C$1048576,B90)</f>
        <v>0</v>
      </c>
      <c r="I90" s="59" t="str">
        <f t="shared" ref="I90:I99" si="98">D90-H90</f>
        <v>27</v>
      </c>
      <c r="J90" s="63" t="str">
        <f t="shared" ref="J90:J100" si="99">H90/C90</f>
        <v>0%</v>
      </c>
      <c r="K90" s="64" t="str">
        <f t="shared" ref="K90:K99" si="100">E90-H90</f>
        <v>1</v>
      </c>
      <c r="L90" s="61" t="str">
        <f>SUMIFS('Element wise-detail Summary'!$M$3:$M$1048576,'Element wise-detail Summary'!$B$3:$B$1048576,A90,'Element wise-detail Summary'!$C$3:$C$1048576,B90)</f>
        <v>0</v>
      </c>
      <c r="M90" s="59" t="str">
        <f t="shared" ref="M90:M99" si="101">D90-L90</f>
        <v>27</v>
      </c>
      <c r="N90" s="63" t="str">
        <f t="shared" ref="N90:N100" si="102">L90/C90</f>
        <v>0%</v>
      </c>
      <c r="O90" s="65"/>
      <c r="P90" s="27" t="str">
        <f t="shared" ref="P90:P100" si="103">+C90-D90</f>
        <v>0</v>
      </c>
      <c r="Q90" s="56" t="str">
        <f>_xlfn.MAXIFS([1]Details!$B:$B,[1]Details!$G:$G,B90)</f>
        <v>#ERROR!</v>
      </c>
    </row>
    <row r="91" ht="24.75" customHeight="1" outlineLevel="1">
      <c r="A91" s="18" t="s">
        <v>105</v>
      </c>
      <c r="B91" s="19" t="s">
        <v>107</v>
      </c>
      <c r="C91" s="20">
        <v>31.0</v>
      </c>
      <c r="D91" s="60" t="str">
        <f>SUMIFS('Element wise-detail Summary'!$F$3:$F$1048576,'Element wise-detail Summary'!$B$3:$B$1048576,Summary!$A91,'Element wise-detail Summary'!$C$3:$C$1048576,Summary!B91)</f>
        <v>31</v>
      </c>
      <c r="E91" s="61" t="str">
        <f>SUMIFS('Element wise-detail Summary'!$G$3:$G$1048576,'Element wise-detail Summary'!$B$3:$B$1048576,Summary!$A91,'Element wise-detail Summary'!$C$3:$C$1048576,Summary!B91)</f>
        <v>1</v>
      </c>
      <c r="F91" s="59" t="str">
        <f t="shared" si="96"/>
        <v>30</v>
      </c>
      <c r="G91" s="62" t="str">
        <f t="shared" si="97"/>
        <v>3%</v>
      </c>
      <c r="H91" s="61" t="str">
        <f>SUMIFS('Element wise-detail Summary'!$I$3:$I$1048576,'Element wise-detail Summary'!$B$3:$B$1048576,A91,'Element wise-detail Summary'!$C$3:$C$1048576,B91)</f>
        <v>0</v>
      </c>
      <c r="I91" s="59" t="str">
        <f t="shared" si="98"/>
        <v>31</v>
      </c>
      <c r="J91" s="63" t="str">
        <f t="shared" si="99"/>
        <v>0%</v>
      </c>
      <c r="K91" s="64" t="str">
        <f t="shared" si="100"/>
        <v>1</v>
      </c>
      <c r="L91" s="61" t="str">
        <f>SUMIFS('Element wise-detail Summary'!$M$3:$M$1048576,'Element wise-detail Summary'!$B$3:$B$1048576,A91,'Element wise-detail Summary'!$C$3:$C$1048576,B91)</f>
        <v>0</v>
      </c>
      <c r="M91" s="59" t="str">
        <f t="shared" si="101"/>
        <v>31</v>
      </c>
      <c r="N91" s="63" t="str">
        <f t="shared" si="102"/>
        <v>0%</v>
      </c>
      <c r="O91" s="65"/>
      <c r="P91" s="27" t="str">
        <f t="shared" si="103"/>
        <v>0</v>
      </c>
      <c r="Q91" s="56" t="str">
        <f>_xlfn.MAXIFS([1]Details!$B:$B,[1]Details!$G:$G,B91)</f>
        <v>#ERROR!</v>
      </c>
    </row>
    <row r="92" ht="24.75" customHeight="1" outlineLevel="1">
      <c r="A92" s="18" t="s">
        <v>105</v>
      </c>
      <c r="B92" s="19" t="s">
        <v>108</v>
      </c>
      <c r="C92" s="20">
        <v>22.0</v>
      </c>
      <c r="D92" s="60" t="str">
        <f>SUMIFS('Element wise-detail Summary'!$F$3:$F$1048576,'Element wise-detail Summary'!$B$3:$B$1048576,Summary!$A92,'Element wise-detail Summary'!$C$3:$C$1048576,Summary!B92)</f>
        <v>15</v>
      </c>
      <c r="E92" s="61" t="str">
        <f>SUMIFS('Element wise-detail Summary'!$G$3:$G$1048576,'Element wise-detail Summary'!$B$3:$B$1048576,Summary!$A92,'Element wise-detail Summary'!$C$3:$C$1048576,Summary!B92)</f>
        <v>0</v>
      </c>
      <c r="F92" s="59" t="str">
        <f t="shared" si="96"/>
        <v>15</v>
      </c>
      <c r="G92" s="62" t="str">
        <f t="shared" si="97"/>
        <v>0%</v>
      </c>
      <c r="H92" s="61" t="str">
        <f>SUMIFS('Element wise-detail Summary'!$I$3:$I$1048576,'Element wise-detail Summary'!$B$3:$B$1048576,A92,'Element wise-detail Summary'!$C$3:$C$1048576,B92)</f>
        <v>0</v>
      </c>
      <c r="I92" s="59" t="str">
        <f t="shared" si="98"/>
        <v>15</v>
      </c>
      <c r="J92" s="63" t="str">
        <f t="shared" si="99"/>
        <v>0%</v>
      </c>
      <c r="K92" s="64" t="str">
        <f t="shared" si="100"/>
        <v>0</v>
      </c>
      <c r="L92" s="61" t="str">
        <f>SUMIFS('Element wise-detail Summary'!$M$3:$M$1048576,'Element wise-detail Summary'!$B$3:$B$1048576,A92,'Element wise-detail Summary'!$C$3:$C$1048576,B92)</f>
        <v>0</v>
      </c>
      <c r="M92" s="59" t="str">
        <f t="shared" si="101"/>
        <v>15</v>
      </c>
      <c r="N92" s="63" t="str">
        <f t="shared" si="102"/>
        <v>0%</v>
      </c>
      <c r="O92" s="65"/>
      <c r="P92" s="27" t="str">
        <f t="shared" si="103"/>
        <v>7</v>
      </c>
      <c r="Q92" s="56" t="str">
        <f>_xlfn.MAXIFS([1]Details!$B:$B,[1]Details!$G:$G,B92)</f>
        <v>#ERROR!</v>
      </c>
    </row>
    <row r="93" ht="24.75" customHeight="1" outlineLevel="1">
      <c r="A93" s="18" t="s">
        <v>105</v>
      </c>
      <c r="B93" s="19" t="s">
        <v>109</v>
      </c>
      <c r="C93" s="20">
        <v>28.0</v>
      </c>
      <c r="D93" s="60" t="str">
        <f>SUMIFS('Element wise-detail Summary'!$F$3:$F$1048576,'Element wise-detail Summary'!$B$3:$B$1048576,Summary!$A93,'Element wise-detail Summary'!$C$3:$C$1048576,Summary!B93)</f>
        <v>13</v>
      </c>
      <c r="E93" s="61" t="str">
        <f>SUMIFS('Element wise-detail Summary'!$G$3:$G$1048576,'Element wise-detail Summary'!$B$3:$B$1048576,Summary!$A93,'Element wise-detail Summary'!$C$3:$C$1048576,Summary!B93)</f>
        <v>1</v>
      </c>
      <c r="F93" s="59" t="str">
        <f t="shared" si="96"/>
        <v>12</v>
      </c>
      <c r="G93" s="62" t="str">
        <f t="shared" si="97"/>
        <v>4%</v>
      </c>
      <c r="H93" s="61" t="str">
        <f>SUMIFS('Element wise-detail Summary'!$I$3:$I$1048576,'Element wise-detail Summary'!$B$3:$B$1048576,A93,'Element wise-detail Summary'!$C$3:$C$1048576,B93)</f>
        <v>0</v>
      </c>
      <c r="I93" s="59" t="str">
        <f t="shared" si="98"/>
        <v>13</v>
      </c>
      <c r="J93" s="63" t="str">
        <f t="shared" si="99"/>
        <v>0%</v>
      </c>
      <c r="K93" s="64" t="str">
        <f t="shared" si="100"/>
        <v>1</v>
      </c>
      <c r="L93" s="61" t="str">
        <f>SUMIFS('Element wise-detail Summary'!$M$3:$M$1048576,'Element wise-detail Summary'!$B$3:$B$1048576,A93,'Element wise-detail Summary'!$C$3:$C$1048576,B93)</f>
        <v>0</v>
      </c>
      <c r="M93" s="59" t="str">
        <f t="shared" si="101"/>
        <v>13</v>
      </c>
      <c r="N93" s="63" t="str">
        <f t="shared" si="102"/>
        <v>0%</v>
      </c>
      <c r="O93" s="65"/>
      <c r="P93" s="27" t="str">
        <f t="shared" si="103"/>
        <v>15</v>
      </c>
      <c r="Q93" s="56" t="str">
        <f>_xlfn.MAXIFS([1]Details!$B:$B,[1]Details!$G:$G,B93)</f>
        <v>#ERROR!</v>
      </c>
    </row>
    <row r="94" ht="24.75" customHeight="1" outlineLevel="1">
      <c r="A94" s="18" t="s">
        <v>105</v>
      </c>
      <c r="B94" s="19" t="s">
        <v>110</v>
      </c>
      <c r="C94" s="20">
        <v>26.0</v>
      </c>
      <c r="D94" s="60" t="str">
        <f>SUMIFS('Element wise-detail Summary'!$F$3:$F$1048576,'Element wise-detail Summary'!$B$3:$B$1048576,Summary!$A94,'Element wise-detail Summary'!$C$3:$C$1048576,Summary!B94)</f>
        <v>8</v>
      </c>
      <c r="E94" s="61" t="str">
        <f>SUMIFS('Element wise-detail Summary'!$G$3:$G$1048576,'Element wise-detail Summary'!$B$3:$B$1048576,Summary!$A94,'Element wise-detail Summary'!$C$3:$C$1048576,Summary!B94)</f>
        <v>2</v>
      </c>
      <c r="F94" s="59" t="str">
        <f t="shared" si="96"/>
        <v>6</v>
      </c>
      <c r="G94" s="62" t="str">
        <f t="shared" si="97"/>
        <v>8%</v>
      </c>
      <c r="H94" s="61" t="str">
        <f>SUMIFS('Element wise-detail Summary'!$I$3:$I$1048576,'Element wise-detail Summary'!$B$3:$B$1048576,A94,'Element wise-detail Summary'!$C$3:$C$1048576,B94)</f>
        <v>0</v>
      </c>
      <c r="I94" s="59" t="str">
        <f t="shared" si="98"/>
        <v>8</v>
      </c>
      <c r="J94" s="63" t="str">
        <f t="shared" si="99"/>
        <v>0%</v>
      </c>
      <c r="K94" s="64" t="str">
        <f t="shared" si="100"/>
        <v>2</v>
      </c>
      <c r="L94" s="61" t="str">
        <f>SUMIFS('Element wise-detail Summary'!$M$3:$M$1048576,'Element wise-detail Summary'!$B$3:$B$1048576,A94,'Element wise-detail Summary'!$C$3:$C$1048576,B94)</f>
        <v>0</v>
      </c>
      <c r="M94" s="59" t="str">
        <f t="shared" si="101"/>
        <v>8</v>
      </c>
      <c r="N94" s="63" t="str">
        <f t="shared" si="102"/>
        <v>0%</v>
      </c>
      <c r="O94" s="65"/>
      <c r="P94" s="27" t="str">
        <f t="shared" si="103"/>
        <v>18</v>
      </c>
      <c r="Q94" s="56" t="str">
        <f>_xlfn.MAXIFS([1]Details!$B:$B,[1]Details!$G:$G,B94)</f>
        <v>#ERROR!</v>
      </c>
    </row>
    <row r="95" ht="24.75" customHeight="1" outlineLevel="1">
      <c r="A95" s="18" t="s">
        <v>105</v>
      </c>
      <c r="B95" s="19" t="s">
        <v>111</v>
      </c>
      <c r="C95" s="20">
        <v>23.0</v>
      </c>
      <c r="D95" s="60" t="str">
        <f>SUMIFS('Element wise-detail Summary'!$F$3:$F$1048576,'Element wise-detail Summary'!$B$3:$B$1048576,Summary!$A95,'Element wise-detail Summary'!$C$3:$C$1048576,Summary!B95)</f>
        <v>6</v>
      </c>
      <c r="E95" s="61" t="str">
        <f>SUMIFS('Element wise-detail Summary'!$G$3:$G$1048576,'Element wise-detail Summary'!$B$3:$B$1048576,Summary!$A95,'Element wise-detail Summary'!$C$3:$C$1048576,Summary!B95)</f>
        <v>1</v>
      </c>
      <c r="F95" s="59" t="str">
        <f t="shared" si="96"/>
        <v>5</v>
      </c>
      <c r="G95" s="62" t="str">
        <f t="shared" si="97"/>
        <v>4%</v>
      </c>
      <c r="H95" s="61" t="str">
        <f>SUMIFS('Element wise-detail Summary'!$I$3:$I$1048576,'Element wise-detail Summary'!$B$3:$B$1048576,A95,'Element wise-detail Summary'!$C$3:$C$1048576,B95)</f>
        <v>0</v>
      </c>
      <c r="I95" s="59" t="str">
        <f t="shared" si="98"/>
        <v>6</v>
      </c>
      <c r="J95" s="63" t="str">
        <f t="shared" si="99"/>
        <v>0%</v>
      </c>
      <c r="K95" s="64" t="str">
        <f t="shared" si="100"/>
        <v>1</v>
      </c>
      <c r="L95" s="61" t="str">
        <f>SUMIFS('Element wise-detail Summary'!$M$3:$M$1048576,'Element wise-detail Summary'!$B$3:$B$1048576,A95,'Element wise-detail Summary'!$C$3:$C$1048576,B95)</f>
        <v>0</v>
      </c>
      <c r="M95" s="59" t="str">
        <f t="shared" si="101"/>
        <v>6</v>
      </c>
      <c r="N95" s="63" t="str">
        <f t="shared" si="102"/>
        <v>0%</v>
      </c>
      <c r="O95" s="65"/>
      <c r="P95" s="27" t="str">
        <f t="shared" si="103"/>
        <v>17</v>
      </c>
      <c r="Q95" s="56" t="str">
        <f>_xlfn.MAXIFS([1]Details!$B:$B,[1]Details!$G:$G,B95)</f>
        <v>#ERROR!</v>
      </c>
    </row>
    <row r="96" ht="24.75" customHeight="1" outlineLevel="1">
      <c r="A96" s="18" t="s">
        <v>105</v>
      </c>
      <c r="B96" s="19" t="s">
        <v>112</v>
      </c>
      <c r="C96" s="20">
        <v>21.0</v>
      </c>
      <c r="D96" s="60" t="str">
        <f>SUMIFS('Element wise-detail Summary'!$F$3:$F$1048576,'Element wise-detail Summary'!$B$3:$B$1048576,Summary!$A96,'Element wise-detail Summary'!$C$3:$C$1048576,Summary!B96)</f>
        <v>5</v>
      </c>
      <c r="E96" s="61" t="str">
        <f>SUMIFS('Element wise-detail Summary'!$G$3:$G$1048576,'Element wise-detail Summary'!$B$3:$B$1048576,Summary!$A96,'Element wise-detail Summary'!$C$3:$C$1048576,Summary!B96)</f>
        <v>0</v>
      </c>
      <c r="F96" s="59" t="str">
        <f t="shared" si="96"/>
        <v>5</v>
      </c>
      <c r="G96" s="62" t="str">
        <f t="shared" si="97"/>
        <v>0%</v>
      </c>
      <c r="H96" s="61" t="str">
        <f>SUMIFS('Element wise-detail Summary'!$I$3:$I$1048576,'Element wise-detail Summary'!$B$3:$B$1048576,A96,'Element wise-detail Summary'!$C$3:$C$1048576,B96)</f>
        <v>0</v>
      </c>
      <c r="I96" s="59" t="str">
        <f t="shared" si="98"/>
        <v>5</v>
      </c>
      <c r="J96" s="63" t="str">
        <f t="shared" si="99"/>
        <v>0%</v>
      </c>
      <c r="K96" s="64" t="str">
        <f t="shared" si="100"/>
        <v>0</v>
      </c>
      <c r="L96" s="61" t="str">
        <f>SUMIFS('Element wise-detail Summary'!$M$3:$M$1048576,'Element wise-detail Summary'!$B$3:$B$1048576,A96,'Element wise-detail Summary'!$C$3:$C$1048576,B96)</f>
        <v>0</v>
      </c>
      <c r="M96" s="59" t="str">
        <f t="shared" si="101"/>
        <v>5</v>
      </c>
      <c r="N96" s="63" t="str">
        <f t="shared" si="102"/>
        <v>0%</v>
      </c>
      <c r="O96" s="65"/>
      <c r="P96" s="27" t="str">
        <f t="shared" si="103"/>
        <v>16</v>
      </c>
      <c r="Q96" s="56" t="str">
        <f>_xlfn.MAXIFS([1]Details!$B:$B,[1]Details!$G:$G,B96)</f>
        <v>#ERROR!</v>
      </c>
    </row>
    <row r="97" ht="24.75" customHeight="1" outlineLevel="1">
      <c r="A97" s="18" t="s">
        <v>105</v>
      </c>
      <c r="B97" s="19" t="s">
        <v>113</v>
      </c>
      <c r="C97" s="20">
        <v>17.0</v>
      </c>
      <c r="D97" s="60" t="str">
        <f>SUMIFS('Element wise-detail Summary'!$F$3:$F$1048576,'Element wise-detail Summary'!$B$3:$B$1048576,Summary!$A97,'Element wise-detail Summary'!$C$3:$C$1048576,Summary!B97)</f>
        <v>10</v>
      </c>
      <c r="E97" s="61" t="str">
        <f>SUMIFS('Element wise-detail Summary'!$G$3:$G$1048576,'Element wise-detail Summary'!$B$3:$B$1048576,Summary!$A97,'Element wise-detail Summary'!$C$3:$C$1048576,Summary!B97)</f>
        <v>0</v>
      </c>
      <c r="F97" s="59" t="str">
        <f t="shared" si="96"/>
        <v>10</v>
      </c>
      <c r="G97" s="62" t="str">
        <f t="shared" si="97"/>
        <v>0%</v>
      </c>
      <c r="H97" s="61" t="str">
        <f>SUMIFS('Element wise-detail Summary'!$I$3:$I$1048576,'Element wise-detail Summary'!$B$3:$B$1048576,A97,'Element wise-detail Summary'!$C$3:$C$1048576,B97)</f>
        <v>0</v>
      </c>
      <c r="I97" s="59" t="str">
        <f t="shared" si="98"/>
        <v>10</v>
      </c>
      <c r="J97" s="63" t="str">
        <f t="shared" si="99"/>
        <v>0%</v>
      </c>
      <c r="K97" s="64" t="str">
        <f t="shared" si="100"/>
        <v>0</v>
      </c>
      <c r="L97" s="61" t="str">
        <f>SUMIFS('Element wise-detail Summary'!$M$3:$M$1048576,'Element wise-detail Summary'!$B$3:$B$1048576,A97,'Element wise-detail Summary'!$C$3:$C$1048576,B97)</f>
        <v>0</v>
      </c>
      <c r="M97" s="59" t="str">
        <f t="shared" si="101"/>
        <v>10</v>
      </c>
      <c r="N97" s="63" t="str">
        <f t="shared" si="102"/>
        <v>0%</v>
      </c>
      <c r="O97" s="65"/>
      <c r="P97" s="27" t="str">
        <f t="shared" si="103"/>
        <v>7</v>
      </c>
      <c r="Q97" s="56" t="str">
        <f>_xlfn.MAXIFS([1]Details!$B:$B,[1]Details!$G:$G,B97)</f>
        <v>#ERROR!</v>
      </c>
    </row>
    <row r="98" ht="24.75" customHeight="1" outlineLevel="1">
      <c r="A98" s="18" t="s">
        <v>105</v>
      </c>
      <c r="B98" s="19" t="s">
        <v>114</v>
      </c>
      <c r="C98" s="20">
        <v>16.0</v>
      </c>
      <c r="D98" s="60" t="str">
        <f>SUMIFS('Element wise-detail Summary'!$F$3:$F$1048576,'Element wise-detail Summary'!$B$3:$B$1048576,Summary!$A98,'Element wise-detail Summary'!$C$3:$C$1048576,Summary!B98)</f>
        <v>16</v>
      </c>
      <c r="E98" s="61" t="str">
        <f>SUMIFS('Element wise-detail Summary'!$G$3:$G$1048576,'Element wise-detail Summary'!$B$3:$B$1048576,Summary!$A98,'Element wise-detail Summary'!$C$3:$C$1048576,Summary!B98)</f>
        <v>0</v>
      </c>
      <c r="F98" s="59" t="str">
        <f t="shared" si="96"/>
        <v>16</v>
      </c>
      <c r="G98" s="62" t="str">
        <f t="shared" si="97"/>
        <v>0%</v>
      </c>
      <c r="H98" s="61" t="str">
        <f>SUMIFS('Element wise-detail Summary'!$I$3:$I$1048576,'Element wise-detail Summary'!$B$3:$B$1048576,A98,'Element wise-detail Summary'!$C$3:$C$1048576,B98)</f>
        <v>0</v>
      </c>
      <c r="I98" s="59" t="str">
        <f t="shared" si="98"/>
        <v>16</v>
      </c>
      <c r="J98" s="63" t="str">
        <f t="shared" si="99"/>
        <v>0%</v>
      </c>
      <c r="K98" s="64" t="str">
        <f t="shared" si="100"/>
        <v>0</v>
      </c>
      <c r="L98" s="61" t="str">
        <f>SUMIFS('Element wise-detail Summary'!$M$3:$M$1048576,'Element wise-detail Summary'!$B$3:$B$1048576,A98,'Element wise-detail Summary'!$C$3:$C$1048576,B98)</f>
        <v>0</v>
      </c>
      <c r="M98" s="59" t="str">
        <f t="shared" si="101"/>
        <v>16</v>
      </c>
      <c r="N98" s="63" t="str">
        <f t="shared" si="102"/>
        <v>0%</v>
      </c>
      <c r="O98" s="65"/>
      <c r="P98" s="27" t="str">
        <f t="shared" si="103"/>
        <v>0</v>
      </c>
      <c r="Q98" s="56" t="str">
        <f>_xlfn.MAXIFS([1]Details!$B:$B,[1]Details!$G:$G,B98)</f>
        <v>#ERROR!</v>
      </c>
    </row>
    <row r="99" ht="24.75" customHeight="1" outlineLevel="1">
      <c r="A99" s="74" t="s">
        <v>105</v>
      </c>
      <c r="B99" s="75" t="s">
        <v>115</v>
      </c>
      <c r="C99" s="20">
        <v>16.0</v>
      </c>
      <c r="D99" s="60" t="str">
        <f>SUMIFS('Element wise-detail Summary'!$F$3:$F$1048576,'Element wise-detail Summary'!$B$3:$B$1048576,Summary!$A99,'Element wise-detail Summary'!$C$3:$C$1048576,Summary!B99)</f>
        <v>16</v>
      </c>
      <c r="E99" s="61" t="str">
        <f>SUMIFS('Element wise-detail Summary'!$G$3:$G$1048576,'Element wise-detail Summary'!$B$3:$B$1048576,Summary!$A99,'Element wise-detail Summary'!$C$3:$C$1048576,Summary!B99)</f>
        <v>0</v>
      </c>
      <c r="F99" s="59" t="str">
        <f t="shared" si="96"/>
        <v>16</v>
      </c>
      <c r="G99" s="62" t="str">
        <f t="shared" si="97"/>
        <v>0%</v>
      </c>
      <c r="H99" s="61" t="str">
        <f>SUMIFS('Element wise-detail Summary'!$I$3:$I$1048576,'Element wise-detail Summary'!$B$3:$B$1048576,A99,'Element wise-detail Summary'!$C$3:$C$1048576,B99)</f>
        <v>0</v>
      </c>
      <c r="I99" s="59" t="str">
        <f t="shared" si="98"/>
        <v>16</v>
      </c>
      <c r="J99" s="63" t="str">
        <f t="shared" si="99"/>
        <v>0%</v>
      </c>
      <c r="K99" s="64" t="str">
        <f t="shared" si="100"/>
        <v>0</v>
      </c>
      <c r="L99" s="61" t="str">
        <f>SUMIFS('Element wise-detail Summary'!$M$3:$M$1048576,'Element wise-detail Summary'!$B$3:$B$1048576,A99,'Element wise-detail Summary'!$C$3:$C$1048576,B99)</f>
        <v>0</v>
      </c>
      <c r="M99" s="59" t="str">
        <f t="shared" si="101"/>
        <v>16</v>
      </c>
      <c r="N99" s="63" t="str">
        <f t="shared" si="102"/>
        <v>0%</v>
      </c>
      <c r="O99" s="65"/>
      <c r="P99" s="27" t="str">
        <f t="shared" si="103"/>
        <v>0</v>
      </c>
      <c r="Q99" s="56" t="str">
        <f>_xlfn.MAXIFS([1]Details!$B:$B,[1]Details!$G:$G,B99)</f>
        <v>#ERROR!</v>
      </c>
    </row>
    <row r="100" ht="24.75" customHeight="1">
      <c r="A100" s="38" t="s">
        <v>105</v>
      </c>
      <c r="B100" s="39" t="str">
        <f>COUNTA(B90:B99) &amp; " NOS"</f>
        <v>10 NOS</v>
      </c>
      <c r="C100" s="40" t="str">
        <f t="shared" ref="C100:F100" si="104">SUM(C90:C99)</f>
        <v>227</v>
      </c>
      <c r="D100" s="41" t="str">
        <f t="shared" si="104"/>
        <v>147</v>
      </c>
      <c r="E100" s="42" t="str">
        <f t="shared" si="104"/>
        <v>6</v>
      </c>
      <c r="F100" s="40" t="str">
        <f t="shared" si="104"/>
        <v>141</v>
      </c>
      <c r="G100" s="43" t="str">
        <f t="shared" si="97"/>
        <v>3%</v>
      </c>
      <c r="H100" s="42" t="str">
        <f t="shared" ref="H100:I100" si="105">SUM(H90:H99)</f>
        <v>0</v>
      </c>
      <c r="I100" s="40" t="str">
        <f t="shared" si="105"/>
        <v>147</v>
      </c>
      <c r="J100" s="44" t="str">
        <f t="shared" si="99"/>
        <v>0%</v>
      </c>
      <c r="K100" s="45" t="str">
        <f t="shared" ref="K100:M100" si="106">SUM(K90:K99)</f>
        <v>6</v>
      </c>
      <c r="L100" s="42" t="str">
        <f t="shared" si="106"/>
        <v>0</v>
      </c>
      <c r="M100" s="40" t="str">
        <f t="shared" si="106"/>
        <v>147</v>
      </c>
      <c r="N100" s="44" t="str">
        <f t="shared" si="102"/>
        <v>0%</v>
      </c>
      <c r="O100" s="46"/>
      <c r="P100" s="27" t="str">
        <f t="shared" si="103"/>
        <v>80</v>
      </c>
      <c r="Q100" s="27"/>
    </row>
    <row r="101" ht="7.5" customHeight="1">
      <c r="A101" s="47"/>
      <c r="B101" s="48"/>
      <c r="C101" s="49"/>
      <c r="D101" s="50"/>
      <c r="E101" s="51"/>
      <c r="F101" s="49"/>
      <c r="G101" s="52"/>
      <c r="H101" s="51"/>
      <c r="I101" s="49"/>
      <c r="J101" s="53"/>
      <c r="K101" s="49"/>
      <c r="L101" s="51"/>
      <c r="M101" s="49"/>
      <c r="N101" s="53"/>
      <c r="O101" s="54"/>
      <c r="P101" s="27"/>
      <c r="Q101" s="27"/>
    </row>
    <row r="102" ht="24.75" customHeight="1" outlineLevel="1">
      <c r="A102" s="18" t="s">
        <v>116</v>
      </c>
      <c r="B102" s="19" t="s">
        <v>117</v>
      </c>
      <c r="C102" s="20">
        <v>27.0</v>
      </c>
      <c r="D102" s="60" t="str">
        <f>SUMIFS('Element wise-detail Summary'!$F$3:$F$1048576,'Element wise-detail Summary'!$B$3:$B$1048576,Summary!$A102,'Element wise-detail Summary'!$C$3:$C$1048576,Summary!B102)</f>
        <v>27</v>
      </c>
      <c r="E102" s="61" t="str">
        <f>SUMIFS('Element wise-detail Summary'!$G$3:$G$1048576,'Element wise-detail Summary'!$B$3:$B$1048576,Summary!$A102,'Element wise-detail Summary'!$C$3:$C$1048576,Summary!B102)</f>
        <v>4</v>
      </c>
      <c r="F102" s="59" t="str">
        <f t="shared" ref="F102:F112" si="107">D102-E102</f>
        <v>23</v>
      </c>
      <c r="G102" s="62" t="str">
        <f t="shared" ref="G102:G113" si="108">E102/C102</f>
        <v>15%</v>
      </c>
      <c r="H102" s="61" t="str">
        <f>SUMIFS('Element wise-detail Summary'!$I$3:$I$1048576,'Element wise-detail Summary'!$B$3:$B$1048576,A102,'Element wise-detail Summary'!$C$3:$C$1048576,B102)</f>
        <v>0</v>
      </c>
      <c r="I102" s="59" t="str">
        <f t="shared" ref="I102:I112" si="109">D102-H102</f>
        <v>27</v>
      </c>
      <c r="J102" s="63" t="str">
        <f t="shared" ref="J102:J113" si="110">H102/C102</f>
        <v>0%</v>
      </c>
      <c r="K102" s="64" t="str">
        <f t="shared" ref="K102:K112" si="111">E102-H102</f>
        <v>4</v>
      </c>
      <c r="L102" s="61" t="str">
        <f>SUMIFS('Element wise-detail Summary'!$M$3:$M$1048576,'Element wise-detail Summary'!$B$3:$B$1048576,A102,'Element wise-detail Summary'!$C$3:$C$1048576,B102)</f>
        <v>0</v>
      </c>
      <c r="M102" s="59" t="str">
        <f t="shared" ref="M102:M112" si="112">D102-L102</f>
        <v>27</v>
      </c>
      <c r="N102" s="63" t="str">
        <f t="shared" ref="N102:N113" si="113">L102/C102</f>
        <v>0%</v>
      </c>
      <c r="O102" s="65" t="s">
        <v>118</v>
      </c>
      <c r="P102" s="27" t="str">
        <f t="shared" ref="P102:P113" si="114">+C102-D102</f>
        <v>0</v>
      </c>
      <c r="Q102" s="56" t="str">
        <f>_xlfn.MAXIFS([1]Details!$B:$B,[1]Details!$G:$G,B102)</f>
        <v>#ERROR!</v>
      </c>
    </row>
    <row r="103" ht="24.75" customHeight="1" outlineLevel="1">
      <c r="A103" s="18" t="s">
        <v>116</v>
      </c>
      <c r="B103" s="19" t="s">
        <v>119</v>
      </c>
      <c r="C103" s="20">
        <v>16.0</v>
      </c>
      <c r="D103" s="60" t="str">
        <f>SUMIFS('Element wise-detail Summary'!$F$3:$F$1048576,'Element wise-detail Summary'!$B$3:$B$1048576,Summary!$A103,'Element wise-detail Summary'!$C$3:$C$1048576,Summary!B103)</f>
        <v>16</v>
      </c>
      <c r="E103" s="61" t="str">
        <f>SUMIFS('Element wise-detail Summary'!$G$3:$G$1048576,'Element wise-detail Summary'!$B$3:$B$1048576,Summary!$A103,'Element wise-detail Summary'!$C$3:$C$1048576,Summary!B103)</f>
        <v>11</v>
      </c>
      <c r="F103" s="59" t="str">
        <f t="shared" si="107"/>
        <v>5</v>
      </c>
      <c r="G103" s="62" t="str">
        <f t="shared" si="108"/>
        <v>69%</v>
      </c>
      <c r="H103" s="61" t="str">
        <f>SUMIFS('Element wise-detail Summary'!$I$3:$I$1048576,'Element wise-detail Summary'!$B$3:$B$1048576,A103,'Element wise-detail Summary'!$C$3:$C$1048576,B103)</f>
        <v>0</v>
      </c>
      <c r="I103" s="59" t="str">
        <f t="shared" si="109"/>
        <v>16</v>
      </c>
      <c r="J103" s="63" t="str">
        <f t="shared" si="110"/>
        <v>0%</v>
      </c>
      <c r="K103" s="64" t="str">
        <f t="shared" si="111"/>
        <v>11</v>
      </c>
      <c r="L103" s="61" t="str">
        <f>SUMIFS('Element wise-detail Summary'!$M$3:$M$1048576,'Element wise-detail Summary'!$B$3:$B$1048576,A103,'Element wise-detail Summary'!$C$3:$C$1048576,B103)</f>
        <v>0</v>
      </c>
      <c r="M103" s="59" t="str">
        <f t="shared" si="112"/>
        <v>16</v>
      </c>
      <c r="N103" s="63" t="str">
        <f t="shared" si="113"/>
        <v>0%</v>
      </c>
      <c r="O103" s="65" t="s">
        <v>61</v>
      </c>
      <c r="P103" s="27" t="str">
        <f t="shared" si="114"/>
        <v>0</v>
      </c>
      <c r="Q103" s="56" t="str">
        <f>_xlfn.MAXIFS([1]Details!$B:$B,[1]Details!$G:$G,B103)</f>
        <v>#ERROR!</v>
      </c>
    </row>
    <row r="104" ht="24.75" customHeight="1" outlineLevel="1">
      <c r="A104" s="18" t="s">
        <v>116</v>
      </c>
      <c r="B104" s="19" t="s">
        <v>120</v>
      </c>
      <c r="C104" s="20">
        <v>16.0</v>
      </c>
      <c r="D104" s="60" t="str">
        <f>SUMIFS('Element wise-detail Summary'!$F$3:$F$1048576,'Element wise-detail Summary'!$B$3:$B$1048576,Summary!$A104,'Element wise-detail Summary'!$C$3:$C$1048576,Summary!B104)</f>
        <v>16</v>
      </c>
      <c r="E104" s="61" t="str">
        <f>SUMIFS('Element wise-detail Summary'!$G$3:$G$1048576,'Element wise-detail Summary'!$B$3:$B$1048576,Summary!$A104,'Element wise-detail Summary'!$C$3:$C$1048576,Summary!B104)</f>
        <v>12</v>
      </c>
      <c r="F104" s="59" t="str">
        <f t="shared" si="107"/>
        <v>4</v>
      </c>
      <c r="G104" s="62" t="str">
        <f t="shared" si="108"/>
        <v>75%</v>
      </c>
      <c r="H104" s="61" t="str">
        <f>SUMIFS('Element wise-detail Summary'!$I$3:$I$1048576,'Element wise-detail Summary'!$B$3:$B$1048576,A104,'Element wise-detail Summary'!$C$3:$C$1048576,B104)</f>
        <v>0</v>
      </c>
      <c r="I104" s="59" t="str">
        <f t="shared" si="109"/>
        <v>16</v>
      </c>
      <c r="J104" s="63" t="str">
        <f t="shared" si="110"/>
        <v>0%</v>
      </c>
      <c r="K104" s="64" t="str">
        <f t="shared" si="111"/>
        <v>12</v>
      </c>
      <c r="L104" s="61" t="str">
        <f>SUMIFS('Element wise-detail Summary'!$M$3:$M$1048576,'Element wise-detail Summary'!$B$3:$B$1048576,A104,'Element wise-detail Summary'!$C$3:$C$1048576,B104)</f>
        <v>0</v>
      </c>
      <c r="M104" s="59" t="str">
        <f t="shared" si="112"/>
        <v>16</v>
      </c>
      <c r="N104" s="63" t="str">
        <f t="shared" si="113"/>
        <v>0%</v>
      </c>
      <c r="O104" s="65" t="s">
        <v>61</v>
      </c>
      <c r="P104" s="27" t="str">
        <f t="shared" si="114"/>
        <v>0</v>
      </c>
      <c r="Q104" s="56" t="str">
        <f>_xlfn.MAXIFS([1]Details!$B:$B,[1]Details!$G:$G,B104)</f>
        <v>#ERROR!</v>
      </c>
    </row>
    <row r="105" ht="24.75" customHeight="1" outlineLevel="1">
      <c r="A105" s="18" t="s">
        <v>116</v>
      </c>
      <c r="B105" s="19" t="s">
        <v>121</v>
      </c>
      <c r="C105" s="20">
        <v>16.0</v>
      </c>
      <c r="D105" s="60" t="str">
        <f>SUMIFS('Element wise-detail Summary'!$F$3:$F$1048576,'Element wise-detail Summary'!$B$3:$B$1048576,Summary!$A105,'Element wise-detail Summary'!$C$3:$C$1048576,Summary!B105)</f>
        <v>16</v>
      </c>
      <c r="E105" s="61" t="str">
        <f>SUMIFS('Element wise-detail Summary'!$G$3:$G$1048576,'Element wise-detail Summary'!$B$3:$B$1048576,Summary!$A105,'Element wise-detail Summary'!$C$3:$C$1048576,Summary!B105)</f>
        <v>9</v>
      </c>
      <c r="F105" s="59" t="str">
        <f t="shared" si="107"/>
        <v>7</v>
      </c>
      <c r="G105" s="62" t="str">
        <f t="shared" si="108"/>
        <v>56%</v>
      </c>
      <c r="H105" s="61" t="str">
        <f>SUMIFS('Element wise-detail Summary'!$I$3:$I$1048576,'Element wise-detail Summary'!$B$3:$B$1048576,A105,'Element wise-detail Summary'!$C$3:$C$1048576,B105)</f>
        <v>0</v>
      </c>
      <c r="I105" s="59" t="str">
        <f t="shared" si="109"/>
        <v>16</v>
      </c>
      <c r="J105" s="63" t="str">
        <f t="shared" si="110"/>
        <v>0%</v>
      </c>
      <c r="K105" s="64" t="str">
        <f t="shared" si="111"/>
        <v>9</v>
      </c>
      <c r="L105" s="61" t="str">
        <f>SUMIFS('Element wise-detail Summary'!$M$3:$M$1048576,'Element wise-detail Summary'!$B$3:$B$1048576,A105,'Element wise-detail Summary'!$C$3:$C$1048576,B105)</f>
        <v>0</v>
      </c>
      <c r="M105" s="59" t="str">
        <f t="shared" si="112"/>
        <v>16</v>
      </c>
      <c r="N105" s="63" t="str">
        <f t="shared" si="113"/>
        <v>0%</v>
      </c>
      <c r="O105" s="65" t="s">
        <v>61</v>
      </c>
      <c r="P105" s="27" t="str">
        <f t="shared" si="114"/>
        <v>0</v>
      </c>
      <c r="Q105" s="56" t="str">
        <f>_xlfn.MAXIFS([1]Details!$B:$B,[1]Details!$G:$G,B105)</f>
        <v>#ERROR!</v>
      </c>
    </row>
    <row r="106" ht="24.75" customHeight="1" outlineLevel="1">
      <c r="A106" s="18" t="s">
        <v>116</v>
      </c>
      <c r="B106" s="19" t="s">
        <v>122</v>
      </c>
      <c r="C106" s="20">
        <v>16.0</v>
      </c>
      <c r="D106" s="60" t="str">
        <f>SUMIFS('Element wise-detail Summary'!$F$3:$F$1048576,'Element wise-detail Summary'!$B$3:$B$1048576,Summary!$A106,'Element wise-detail Summary'!$C$3:$C$1048576,Summary!B106)</f>
        <v>16</v>
      </c>
      <c r="E106" s="61" t="str">
        <f>SUMIFS('Element wise-detail Summary'!$G$3:$G$1048576,'Element wise-detail Summary'!$B$3:$B$1048576,Summary!$A106,'Element wise-detail Summary'!$C$3:$C$1048576,Summary!B106)</f>
        <v>5</v>
      </c>
      <c r="F106" s="59" t="str">
        <f t="shared" si="107"/>
        <v>11</v>
      </c>
      <c r="G106" s="62" t="str">
        <f t="shared" si="108"/>
        <v>31%</v>
      </c>
      <c r="H106" s="61" t="str">
        <f>SUMIFS('Element wise-detail Summary'!$I$3:$I$1048576,'Element wise-detail Summary'!$B$3:$B$1048576,A106,'Element wise-detail Summary'!$C$3:$C$1048576,B106)</f>
        <v>0</v>
      </c>
      <c r="I106" s="59" t="str">
        <f t="shared" si="109"/>
        <v>16</v>
      </c>
      <c r="J106" s="63" t="str">
        <f t="shared" si="110"/>
        <v>0%</v>
      </c>
      <c r="K106" s="64" t="str">
        <f t="shared" si="111"/>
        <v>5</v>
      </c>
      <c r="L106" s="61" t="str">
        <f>SUMIFS('Element wise-detail Summary'!$M$3:$M$1048576,'Element wise-detail Summary'!$B$3:$B$1048576,A106,'Element wise-detail Summary'!$C$3:$C$1048576,B106)</f>
        <v>0</v>
      </c>
      <c r="M106" s="59" t="str">
        <f t="shared" si="112"/>
        <v>16</v>
      </c>
      <c r="N106" s="63" t="str">
        <f t="shared" si="113"/>
        <v>0%</v>
      </c>
      <c r="O106" s="65" t="s">
        <v>61</v>
      </c>
      <c r="P106" s="27" t="str">
        <f t="shared" si="114"/>
        <v>0</v>
      </c>
      <c r="Q106" s="56" t="str">
        <f>_xlfn.MAXIFS([1]Details!$B:$B,[1]Details!$G:$G,B106)</f>
        <v>#ERROR!</v>
      </c>
    </row>
    <row r="107" ht="24.75" customHeight="1" outlineLevel="1">
      <c r="A107" s="18" t="s">
        <v>116</v>
      </c>
      <c r="B107" s="19" t="s">
        <v>123</v>
      </c>
      <c r="C107" s="20">
        <v>16.0</v>
      </c>
      <c r="D107" s="60" t="str">
        <f>SUMIFS('Element wise-detail Summary'!$F$3:$F$1048576,'Element wise-detail Summary'!$B$3:$B$1048576,Summary!$A107,'Element wise-detail Summary'!$C$3:$C$1048576,Summary!B107)</f>
        <v>16</v>
      </c>
      <c r="E107" s="61" t="str">
        <f>SUMIFS('Element wise-detail Summary'!$G$3:$G$1048576,'Element wise-detail Summary'!$B$3:$B$1048576,Summary!$A107,'Element wise-detail Summary'!$C$3:$C$1048576,Summary!B107)</f>
        <v>6</v>
      </c>
      <c r="F107" s="59" t="str">
        <f t="shared" si="107"/>
        <v>10</v>
      </c>
      <c r="G107" s="62" t="str">
        <f t="shared" si="108"/>
        <v>38%</v>
      </c>
      <c r="H107" s="61" t="str">
        <f>SUMIFS('Element wise-detail Summary'!$I$3:$I$1048576,'Element wise-detail Summary'!$B$3:$B$1048576,A107,'Element wise-detail Summary'!$C$3:$C$1048576,B107)</f>
        <v>0</v>
      </c>
      <c r="I107" s="59" t="str">
        <f t="shared" si="109"/>
        <v>16</v>
      </c>
      <c r="J107" s="63" t="str">
        <f t="shared" si="110"/>
        <v>0%</v>
      </c>
      <c r="K107" s="64" t="str">
        <f t="shared" si="111"/>
        <v>6</v>
      </c>
      <c r="L107" s="61" t="str">
        <f>SUMIFS('Element wise-detail Summary'!$M$3:$M$1048576,'Element wise-detail Summary'!$B$3:$B$1048576,A107,'Element wise-detail Summary'!$C$3:$C$1048576,B107)</f>
        <v>0</v>
      </c>
      <c r="M107" s="59" t="str">
        <f t="shared" si="112"/>
        <v>16</v>
      </c>
      <c r="N107" s="63" t="str">
        <f t="shared" si="113"/>
        <v>0%</v>
      </c>
      <c r="O107" s="65" t="s">
        <v>61</v>
      </c>
      <c r="P107" s="27" t="str">
        <f t="shared" si="114"/>
        <v>0</v>
      </c>
      <c r="Q107" s="56" t="str">
        <f>_xlfn.MAXIFS([1]Details!$B:$B,[1]Details!$G:$G,B107)</f>
        <v>#ERROR!</v>
      </c>
    </row>
    <row r="108" ht="24.75" customHeight="1" outlineLevel="1">
      <c r="A108" s="18" t="s">
        <v>116</v>
      </c>
      <c r="B108" s="19" t="s">
        <v>124</v>
      </c>
      <c r="C108" s="20">
        <v>16.0</v>
      </c>
      <c r="D108" s="60" t="str">
        <f>SUMIFS('Element wise-detail Summary'!$F$3:$F$1048576,'Element wise-detail Summary'!$B$3:$B$1048576,Summary!$A108,'Element wise-detail Summary'!$C$3:$C$1048576,Summary!B108)</f>
        <v>16</v>
      </c>
      <c r="E108" s="61" t="str">
        <f>SUMIFS('Element wise-detail Summary'!$G$3:$G$1048576,'Element wise-detail Summary'!$B$3:$B$1048576,Summary!$A108,'Element wise-detail Summary'!$C$3:$C$1048576,Summary!B108)</f>
        <v>6</v>
      </c>
      <c r="F108" s="59" t="str">
        <f t="shared" si="107"/>
        <v>10</v>
      </c>
      <c r="G108" s="62" t="str">
        <f t="shared" si="108"/>
        <v>38%</v>
      </c>
      <c r="H108" s="61" t="str">
        <f>SUMIFS('Element wise-detail Summary'!$I$3:$I$1048576,'Element wise-detail Summary'!$B$3:$B$1048576,A108,'Element wise-detail Summary'!$C$3:$C$1048576,B108)</f>
        <v>0</v>
      </c>
      <c r="I108" s="59" t="str">
        <f t="shared" si="109"/>
        <v>16</v>
      </c>
      <c r="J108" s="63" t="str">
        <f t="shared" si="110"/>
        <v>0%</v>
      </c>
      <c r="K108" s="64" t="str">
        <f t="shared" si="111"/>
        <v>6</v>
      </c>
      <c r="L108" s="61" t="str">
        <f>SUMIFS('Element wise-detail Summary'!$M$3:$M$1048576,'Element wise-detail Summary'!$B$3:$B$1048576,A108,'Element wise-detail Summary'!$C$3:$C$1048576,B108)</f>
        <v>0</v>
      </c>
      <c r="M108" s="59" t="str">
        <f t="shared" si="112"/>
        <v>16</v>
      </c>
      <c r="N108" s="63" t="str">
        <f t="shared" si="113"/>
        <v>0%</v>
      </c>
      <c r="O108" s="65" t="s">
        <v>61</v>
      </c>
      <c r="P108" s="27" t="str">
        <f t="shared" si="114"/>
        <v>0</v>
      </c>
      <c r="Q108" s="56" t="str">
        <f>_xlfn.MAXIFS([1]Details!$B:$B,[1]Details!$G:$G,B108)</f>
        <v>#ERROR!</v>
      </c>
    </row>
    <row r="109" ht="24.75" customHeight="1" outlineLevel="1">
      <c r="A109" s="18" t="s">
        <v>116</v>
      </c>
      <c r="B109" s="19" t="s">
        <v>125</v>
      </c>
      <c r="C109" s="20">
        <v>18.0</v>
      </c>
      <c r="D109" s="60" t="str">
        <f>SUMIFS('Element wise-detail Summary'!$F$3:$F$1048576,'Element wise-detail Summary'!$B$3:$B$1048576,Summary!$A109,'Element wise-detail Summary'!$C$3:$C$1048576,Summary!B109)</f>
        <v>18</v>
      </c>
      <c r="E109" s="61" t="str">
        <f>SUMIFS('Element wise-detail Summary'!$G$3:$G$1048576,'Element wise-detail Summary'!$B$3:$B$1048576,Summary!$A109,'Element wise-detail Summary'!$C$3:$C$1048576,Summary!B109)</f>
        <v>6</v>
      </c>
      <c r="F109" s="59" t="str">
        <f t="shared" si="107"/>
        <v>12</v>
      </c>
      <c r="G109" s="62" t="str">
        <f t="shared" si="108"/>
        <v>33%</v>
      </c>
      <c r="H109" s="61" t="str">
        <f>SUMIFS('Element wise-detail Summary'!$I$3:$I$1048576,'Element wise-detail Summary'!$B$3:$B$1048576,A109,'Element wise-detail Summary'!$C$3:$C$1048576,B109)</f>
        <v>0</v>
      </c>
      <c r="I109" s="59" t="str">
        <f t="shared" si="109"/>
        <v>18</v>
      </c>
      <c r="J109" s="63" t="str">
        <f t="shared" si="110"/>
        <v>0%</v>
      </c>
      <c r="K109" s="64" t="str">
        <f t="shared" si="111"/>
        <v>6</v>
      </c>
      <c r="L109" s="61" t="str">
        <f>SUMIFS('Element wise-detail Summary'!$M$3:$M$1048576,'Element wise-detail Summary'!$B$3:$B$1048576,A109,'Element wise-detail Summary'!$C$3:$C$1048576,B109)</f>
        <v>0</v>
      </c>
      <c r="M109" s="59" t="str">
        <f t="shared" si="112"/>
        <v>18</v>
      </c>
      <c r="N109" s="63" t="str">
        <f t="shared" si="113"/>
        <v>0%</v>
      </c>
      <c r="O109" s="65" t="s">
        <v>56</v>
      </c>
      <c r="P109" s="27" t="str">
        <f t="shared" si="114"/>
        <v>0</v>
      </c>
      <c r="Q109" s="56" t="str">
        <f>_xlfn.MAXIFS([1]Details!$B:$B,[1]Details!$G:$G,B109)</f>
        <v>#ERROR!</v>
      </c>
    </row>
    <row r="110" ht="24.75" customHeight="1" outlineLevel="1">
      <c r="A110" s="18" t="s">
        <v>116</v>
      </c>
      <c r="B110" s="19" t="s">
        <v>126</v>
      </c>
      <c r="C110" s="20">
        <v>30.0</v>
      </c>
      <c r="D110" s="60" t="str">
        <f>SUMIFS('Element wise-detail Summary'!$F$3:$F$1048576,'Element wise-detail Summary'!$B$3:$B$1048576,Summary!$A110,'Element wise-detail Summary'!$C$3:$C$1048576,Summary!B110)</f>
        <v>30</v>
      </c>
      <c r="E110" s="61" t="str">
        <f>SUMIFS('Element wise-detail Summary'!$G$3:$G$1048576,'Element wise-detail Summary'!$B$3:$B$1048576,Summary!$A110,'Element wise-detail Summary'!$C$3:$C$1048576,Summary!B110)</f>
        <v>8</v>
      </c>
      <c r="F110" s="59" t="str">
        <f t="shared" si="107"/>
        <v>22</v>
      </c>
      <c r="G110" s="62" t="str">
        <f t="shared" si="108"/>
        <v>27%</v>
      </c>
      <c r="H110" s="61" t="str">
        <f>SUMIFS('Element wise-detail Summary'!$I$3:$I$1048576,'Element wise-detail Summary'!$B$3:$B$1048576,A110,'Element wise-detail Summary'!$C$3:$C$1048576,B110)</f>
        <v>0</v>
      </c>
      <c r="I110" s="59" t="str">
        <f t="shared" si="109"/>
        <v>30</v>
      </c>
      <c r="J110" s="63" t="str">
        <f t="shared" si="110"/>
        <v>0%</v>
      </c>
      <c r="K110" s="64" t="str">
        <f t="shared" si="111"/>
        <v>8</v>
      </c>
      <c r="L110" s="61" t="str">
        <f>SUMIFS('Element wise-detail Summary'!$M$3:$M$1048576,'Element wise-detail Summary'!$B$3:$B$1048576,A110,'Element wise-detail Summary'!$C$3:$C$1048576,B110)</f>
        <v>0</v>
      </c>
      <c r="M110" s="59" t="str">
        <f t="shared" si="112"/>
        <v>30</v>
      </c>
      <c r="N110" s="63" t="str">
        <f t="shared" si="113"/>
        <v>0%</v>
      </c>
      <c r="O110" s="65" t="s">
        <v>127</v>
      </c>
      <c r="P110" s="27" t="str">
        <f t="shared" si="114"/>
        <v>0</v>
      </c>
      <c r="Q110" s="56" t="str">
        <f>_xlfn.MAXIFS([1]Details!$B:$B,[1]Details!$G:$G,B110)</f>
        <v>#ERROR!</v>
      </c>
    </row>
    <row r="111" ht="24.75" customHeight="1" outlineLevel="1">
      <c r="A111" s="18" t="s">
        <v>116</v>
      </c>
      <c r="B111" s="19" t="s">
        <v>128</v>
      </c>
      <c r="C111" s="20">
        <v>26.0</v>
      </c>
      <c r="D111" s="60" t="str">
        <f>SUMIFS('Element wise-detail Summary'!$F$3:$F$1048576,'Element wise-detail Summary'!$B$3:$B$1048576,Summary!$A111,'Element wise-detail Summary'!$C$3:$C$1048576,Summary!B111)</f>
        <v>26</v>
      </c>
      <c r="E111" s="61" t="str">
        <f>SUMIFS('Element wise-detail Summary'!$G$3:$G$1048576,'Element wise-detail Summary'!$B$3:$B$1048576,Summary!$A111,'Element wise-detail Summary'!$C$3:$C$1048576,Summary!B111)</f>
        <v>7</v>
      </c>
      <c r="F111" s="59" t="str">
        <f t="shared" si="107"/>
        <v>19</v>
      </c>
      <c r="G111" s="62" t="str">
        <f t="shared" si="108"/>
        <v>27%</v>
      </c>
      <c r="H111" s="61" t="str">
        <f>SUMIFS('Element wise-detail Summary'!$I$3:$I$1048576,'Element wise-detail Summary'!$B$3:$B$1048576,A111,'Element wise-detail Summary'!$C$3:$C$1048576,B111)</f>
        <v>0</v>
      </c>
      <c r="I111" s="59" t="str">
        <f t="shared" si="109"/>
        <v>26</v>
      </c>
      <c r="J111" s="63" t="str">
        <f t="shared" si="110"/>
        <v>0%</v>
      </c>
      <c r="K111" s="64" t="str">
        <f t="shared" si="111"/>
        <v>7</v>
      </c>
      <c r="L111" s="61" t="str">
        <f>SUMIFS('Element wise-detail Summary'!$M$3:$M$1048576,'Element wise-detail Summary'!$B$3:$B$1048576,A111,'Element wise-detail Summary'!$C$3:$C$1048576,B111)</f>
        <v>0</v>
      </c>
      <c r="M111" s="59" t="str">
        <f t="shared" si="112"/>
        <v>26</v>
      </c>
      <c r="N111" s="63" t="str">
        <f t="shared" si="113"/>
        <v>0%</v>
      </c>
      <c r="O111" s="65" t="s">
        <v>129</v>
      </c>
      <c r="P111" s="27" t="str">
        <f t="shared" si="114"/>
        <v>0</v>
      </c>
      <c r="Q111" s="56" t="str">
        <f>_xlfn.MAXIFS([1]Details!$B:$B,[1]Details!$G:$G,B111)</f>
        <v>#ERROR!</v>
      </c>
    </row>
    <row r="112" ht="24.75" customHeight="1" outlineLevel="1">
      <c r="A112" s="18" t="s">
        <v>116</v>
      </c>
      <c r="B112" s="19" t="s">
        <v>130</v>
      </c>
      <c r="C112" s="20">
        <v>19.0</v>
      </c>
      <c r="D112" s="60" t="str">
        <f>SUMIFS('Element wise-detail Summary'!$F$3:$F$1048576,'Element wise-detail Summary'!$B$3:$B$1048576,Summary!$A112,'Element wise-detail Summary'!$C$3:$C$1048576,Summary!B112)</f>
        <v>19</v>
      </c>
      <c r="E112" s="61" t="str">
        <f>SUMIFS('Element wise-detail Summary'!$G$3:$G$1048576,'Element wise-detail Summary'!$B$3:$B$1048576,Summary!$A112,'Element wise-detail Summary'!$C$3:$C$1048576,Summary!B112)</f>
        <v>6</v>
      </c>
      <c r="F112" s="59" t="str">
        <f t="shared" si="107"/>
        <v>13</v>
      </c>
      <c r="G112" s="62" t="str">
        <f t="shared" si="108"/>
        <v>32%</v>
      </c>
      <c r="H112" s="61" t="str">
        <f>SUMIFS('Element wise-detail Summary'!$I$3:$I$1048576,'Element wise-detail Summary'!$B$3:$B$1048576,A112,'Element wise-detail Summary'!$C$3:$C$1048576,B112)</f>
        <v>0</v>
      </c>
      <c r="I112" s="59" t="str">
        <f t="shared" si="109"/>
        <v>19</v>
      </c>
      <c r="J112" s="63" t="str">
        <f t="shared" si="110"/>
        <v>0%</v>
      </c>
      <c r="K112" s="64" t="str">
        <f t="shared" si="111"/>
        <v>6</v>
      </c>
      <c r="L112" s="61" t="str">
        <f>SUMIFS('Element wise-detail Summary'!$M$3:$M$1048576,'Element wise-detail Summary'!$B$3:$B$1048576,A112,'Element wise-detail Summary'!$C$3:$C$1048576,B112)</f>
        <v>0</v>
      </c>
      <c r="M112" s="59" t="str">
        <f t="shared" si="112"/>
        <v>19</v>
      </c>
      <c r="N112" s="63" t="str">
        <f t="shared" si="113"/>
        <v>0%</v>
      </c>
      <c r="O112" s="65" t="s">
        <v>53</v>
      </c>
      <c r="P112" s="27" t="str">
        <f t="shared" si="114"/>
        <v>0</v>
      </c>
      <c r="Q112" s="56" t="str">
        <f>_xlfn.MAXIFS([1]Details!$B:$B,[1]Details!$G:$G,B112)</f>
        <v>#ERROR!</v>
      </c>
    </row>
    <row r="113" ht="24.75" customHeight="1">
      <c r="A113" s="38" t="s">
        <v>116</v>
      </c>
      <c r="B113" s="39" t="str">
        <f>COUNTA(B102:B112) &amp; " NOS"</f>
        <v>11 NOS</v>
      </c>
      <c r="C113" s="40" t="str">
        <f t="shared" ref="C113:F113" si="115">SUM(C102:C112)</f>
        <v>216</v>
      </c>
      <c r="D113" s="41" t="str">
        <f t="shared" si="115"/>
        <v>216</v>
      </c>
      <c r="E113" s="42" t="str">
        <f t="shared" si="115"/>
        <v>80</v>
      </c>
      <c r="F113" s="40" t="str">
        <f t="shared" si="115"/>
        <v>136</v>
      </c>
      <c r="G113" s="43" t="str">
        <f t="shared" si="108"/>
        <v>37%</v>
      </c>
      <c r="H113" s="42" t="str">
        <f t="shared" ref="H113:I113" si="116">SUM(H102:H112)</f>
        <v>0</v>
      </c>
      <c r="I113" s="40" t="str">
        <f t="shared" si="116"/>
        <v>216</v>
      </c>
      <c r="J113" s="44" t="str">
        <f t="shared" si="110"/>
        <v>0%</v>
      </c>
      <c r="K113" s="45" t="str">
        <f t="shared" ref="K113:M113" si="117">SUM(K102:K112)</f>
        <v>80</v>
      </c>
      <c r="L113" s="42" t="str">
        <f t="shared" si="117"/>
        <v>0</v>
      </c>
      <c r="M113" s="40" t="str">
        <f t="shared" si="117"/>
        <v>216</v>
      </c>
      <c r="N113" s="44" t="str">
        <f t="shared" si="113"/>
        <v>0%</v>
      </c>
      <c r="O113" s="46"/>
      <c r="P113" s="27" t="str">
        <f t="shared" si="114"/>
        <v>0</v>
      </c>
      <c r="Q113" s="27"/>
    </row>
    <row r="114" ht="7.5" hidden="1" customHeight="1">
      <c r="A114" s="47"/>
      <c r="B114" s="48"/>
      <c r="C114" s="49"/>
      <c r="D114" s="50"/>
      <c r="E114" s="51"/>
      <c r="F114" s="49"/>
      <c r="G114" s="52"/>
      <c r="H114" s="51"/>
      <c r="I114" s="49"/>
      <c r="J114" s="53"/>
      <c r="K114" s="49"/>
      <c r="L114" s="51"/>
      <c r="M114" s="49"/>
      <c r="N114" s="53"/>
      <c r="O114" s="54"/>
      <c r="P114" s="27"/>
      <c r="Q114" s="27"/>
    </row>
    <row r="115" ht="15.75" hidden="1" customHeight="1">
      <c r="A115" s="18" t="s">
        <v>131</v>
      </c>
      <c r="B115" s="19"/>
      <c r="C115" s="20"/>
      <c r="D115" s="21" t="str">
        <f>SUMIFS('Element wise-detail Summary'!$F$3:$F$1048576,'Element wise-detail Summary'!$B$3:$B$1048576,Summary!$A115)</f>
        <v>0</v>
      </c>
      <c r="E115" s="22" t="str">
        <f>SUMIFS('Element wise-detail Summary'!$G$3:$G$1048576,'Element wise-detail Summary'!$B$3:$B$1048576,Summary!$A115,'Element wise-detail Summary'!$C$3:$C$1048576,Summary!B115)</f>
        <v>0</v>
      </c>
      <c r="F115" s="20" t="str">
        <f>D115-E115</f>
        <v>0</v>
      </c>
      <c r="G115" s="23" t="str">
        <f>E115/C115</f>
        <v>#DIV/0!</v>
      </c>
      <c r="H115" s="22" t="str">
        <f>SUMIFS('Element wise-detail Summary'!$I$3:$I$1048576,'Element wise-detail Summary'!$B$3:$B$1048576,Summary!A134,'Element wise-detail Summary'!$C$3:$C$1048576,Summary!B134)</f>
        <v>0</v>
      </c>
      <c r="I115" s="20" t="str">
        <f>D115-H115</f>
        <v>0</v>
      </c>
      <c r="J115" s="24" t="str">
        <f>H115/C115</f>
        <v>#DIV/0!</v>
      </c>
      <c r="K115" s="25" t="str">
        <f>E115-H115</f>
        <v>0</v>
      </c>
      <c r="L115" s="22" t="str">
        <f>SUMIFS('Element wise-detail Summary'!$M$3:$M$1048576,'Element wise-detail Summary'!$B$3:$B$1048576,Summary!A134,'Element wise-detail Summary'!$C$3:$C$1048576,Summary!B134)</f>
        <v>0</v>
      </c>
      <c r="M115" s="20" t="str">
        <f>D115-L115</f>
        <v>0</v>
      </c>
      <c r="N115" s="24" t="str">
        <f>L115/C115</f>
        <v>#DIV/0!</v>
      </c>
      <c r="O115" s="55"/>
      <c r="P115" s="27" t="str">
        <f>+C115-D115</f>
        <v>0</v>
      </c>
      <c r="Q115" s="27"/>
    </row>
    <row r="116" ht="7.5" customHeight="1">
      <c r="A116" s="18"/>
      <c r="B116" s="19"/>
      <c r="C116" s="20"/>
      <c r="D116" s="21"/>
      <c r="E116" s="22"/>
      <c r="F116" s="20"/>
      <c r="G116" s="23"/>
      <c r="H116" s="22"/>
      <c r="I116" s="20"/>
      <c r="J116" s="24"/>
      <c r="K116" s="25"/>
      <c r="L116" s="22"/>
      <c r="M116" s="20"/>
      <c r="N116" s="24"/>
      <c r="O116" s="55"/>
      <c r="P116" s="27"/>
      <c r="Q116" s="27"/>
    </row>
    <row r="117" ht="24.75" customHeight="1" outlineLevel="1">
      <c r="A117" s="18" t="s">
        <v>132</v>
      </c>
      <c r="B117" s="19" t="s">
        <v>133</v>
      </c>
      <c r="C117" s="20">
        <v>14.0</v>
      </c>
      <c r="D117" s="21" t="str">
        <f>SUMIFS('Element wise-detail Summary'!$F$3:$F$1048576,'Element wise-detail Summary'!$B$3:$B$1048576,Summary!$A117,'Element wise-detail Summary'!$C$3:$C$1048576,Summary!B117)</f>
        <v>15</v>
      </c>
      <c r="E117" s="22" t="str">
        <f>SUMIFS('Element wise-detail Summary'!$G$3:$G$1048576,'Element wise-detail Summary'!$B$3:$B$1048576,Summary!$A117,'Element wise-detail Summary'!$C$3:$C$1048576,Summary!B117)</f>
        <v>0</v>
      </c>
      <c r="F117" s="20" t="str">
        <f t="shared" ref="F117:F123" si="118">D117-E117</f>
        <v>15</v>
      </c>
      <c r="G117" s="23" t="str">
        <f t="shared" ref="G117:G124" si="119">E117/C117</f>
        <v>0%</v>
      </c>
      <c r="H117" s="22" t="str">
        <f>SUMIFS('Element wise-detail Summary'!$I$3:$I$1048576,'Element wise-detail Summary'!$B$3:$B$1048576,A117,'Element wise-detail Summary'!$C$3:$C$1048576,B117)</f>
        <v>0</v>
      </c>
      <c r="I117" s="20" t="str">
        <f t="shared" ref="I117:I123" si="120">D117-H117</f>
        <v>15</v>
      </c>
      <c r="J117" s="24" t="str">
        <f t="shared" ref="J117:J124" si="121">H117/C117</f>
        <v>0%</v>
      </c>
      <c r="K117" s="25" t="str">
        <f t="shared" ref="K117:K123" si="122">E117-H117</f>
        <v>0</v>
      </c>
      <c r="L117" s="22" t="str">
        <f>SUMIFS('Element wise-detail Summary'!$M$3:$M$1048576,'Element wise-detail Summary'!$B$3:$B$1048576,A117,'Element wise-detail Summary'!$C$3:$C$1048576,B117)</f>
        <v>0</v>
      </c>
      <c r="M117" s="20" t="str">
        <f t="shared" ref="M117:M123" si="123">D117-L117</f>
        <v>15</v>
      </c>
      <c r="N117" s="24" t="str">
        <f t="shared" ref="N117:N124" si="124">L117/C117</f>
        <v>0%</v>
      </c>
      <c r="O117" s="55"/>
      <c r="P117" s="27" t="str">
        <f t="shared" ref="P117:P124" si="125">+C117-D117</f>
        <v>-1</v>
      </c>
      <c r="Q117" s="56" t="str">
        <f>_xlfn.MAXIFS([1]Details!$B:$B,[1]Details!$G:$G,B117)</f>
        <v>#ERROR!</v>
      </c>
    </row>
    <row r="118" ht="24.75" customHeight="1" outlineLevel="1">
      <c r="A118" s="18" t="s">
        <v>132</v>
      </c>
      <c r="B118" s="19" t="s">
        <v>134</v>
      </c>
      <c r="C118" s="20">
        <v>13.0</v>
      </c>
      <c r="D118" s="21" t="str">
        <f>SUMIFS('Element wise-detail Summary'!$F$3:$F$1048576,'Element wise-detail Summary'!$B$3:$B$1048576,Summary!$A118,'Element wise-detail Summary'!$C$3:$C$1048576,Summary!B118)</f>
        <v>13</v>
      </c>
      <c r="E118" s="22" t="str">
        <f>SUMIFS('Element wise-detail Summary'!$G$3:$G$1048576,'Element wise-detail Summary'!$B$3:$B$1048576,Summary!$A118,'Element wise-detail Summary'!$C$3:$C$1048576,Summary!B118)</f>
        <v>0</v>
      </c>
      <c r="F118" s="20" t="str">
        <f t="shared" si="118"/>
        <v>13</v>
      </c>
      <c r="G118" s="23" t="str">
        <f t="shared" si="119"/>
        <v>0%</v>
      </c>
      <c r="H118" s="22" t="str">
        <f>SUMIFS('Element wise-detail Summary'!$I$3:$I$1048576,'Element wise-detail Summary'!$B$3:$B$1048576,A118,'Element wise-detail Summary'!$C$3:$C$1048576,B118)</f>
        <v>0</v>
      </c>
      <c r="I118" s="20" t="str">
        <f t="shared" si="120"/>
        <v>13</v>
      </c>
      <c r="J118" s="24" t="str">
        <f t="shared" si="121"/>
        <v>0%</v>
      </c>
      <c r="K118" s="25" t="str">
        <f t="shared" si="122"/>
        <v>0</v>
      </c>
      <c r="L118" s="22" t="str">
        <f>SUMIFS('Element wise-detail Summary'!$M$3:$M$1048576,'Element wise-detail Summary'!$B$3:$B$1048576,A118,'Element wise-detail Summary'!$C$3:$C$1048576,B118)</f>
        <v>0</v>
      </c>
      <c r="M118" s="20" t="str">
        <f t="shared" si="123"/>
        <v>13</v>
      </c>
      <c r="N118" s="24" t="str">
        <f t="shared" si="124"/>
        <v>0%</v>
      </c>
      <c r="O118" s="55"/>
      <c r="P118" s="27" t="str">
        <f t="shared" si="125"/>
        <v>0</v>
      </c>
      <c r="Q118" s="56" t="str">
        <f>_xlfn.MAXIFS([1]Details!$B:$B,[1]Details!$G:$G,B118)</f>
        <v>#ERROR!</v>
      </c>
    </row>
    <row r="119" ht="24.75" customHeight="1" outlineLevel="1">
      <c r="A119" s="18" t="s">
        <v>132</v>
      </c>
      <c r="B119" s="19" t="s">
        <v>135</v>
      </c>
      <c r="C119" s="20">
        <v>16.0</v>
      </c>
      <c r="D119" s="21" t="str">
        <f>SUMIFS('Element wise-detail Summary'!$F$3:$F$1048576,'Element wise-detail Summary'!$B$3:$B$1048576,Summary!$A119,'Element wise-detail Summary'!$C$3:$C$1048576,Summary!B119)</f>
        <v>5</v>
      </c>
      <c r="E119" s="22" t="str">
        <f>SUMIFS('Element wise-detail Summary'!$G$3:$G$1048576,'Element wise-detail Summary'!$B$3:$B$1048576,Summary!$A119,'Element wise-detail Summary'!$C$3:$C$1048576,Summary!B119)</f>
        <v>0</v>
      </c>
      <c r="F119" s="20" t="str">
        <f t="shared" si="118"/>
        <v>5</v>
      </c>
      <c r="G119" s="23" t="str">
        <f t="shared" si="119"/>
        <v>0%</v>
      </c>
      <c r="H119" s="22" t="str">
        <f>SUMIFS('Element wise-detail Summary'!$I$3:$I$1048576,'Element wise-detail Summary'!$B$3:$B$1048576,A119,'Element wise-detail Summary'!$C$3:$C$1048576,B119)</f>
        <v>0</v>
      </c>
      <c r="I119" s="20" t="str">
        <f t="shared" si="120"/>
        <v>5</v>
      </c>
      <c r="J119" s="24" t="str">
        <f t="shared" si="121"/>
        <v>0%</v>
      </c>
      <c r="K119" s="25" t="str">
        <f t="shared" si="122"/>
        <v>0</v>
      </c>
      <c r="L119" s="22" t="str">
        <f>SUMIFS('Element wise-detail Summary'!$M$3:$M$1048576,'Element wise-detail Summary'!$B$3:$B$1048576,A119,'Element wise-detail Summary'!$C$3:$C$1048576,B119)</f>
        <v>0</v>
      </c>
      <c r="M119" s="20" t="str">
        <f t="shared" si="123"/>
        <v>5</v>
      </c>
      <c r="N119" s="24" t="str">
        <f t="shared" si="124"/>
        <v>0%</v>
      </c>
      <c r="O119" s="55"/>
      <c r="P119" s="27" t="str">
        <f t="shared" si="125"/>
        <v>11</v>
      </c>
      <c r="Q119" s="56" t="str">
        <f>_xlfn.MAXIFS([1]Details!$B:$B,[1]Details!$G:$G,B119)</f>
        <v>#ERROR!</v>
      </c>
    </row>
    <row r="120" ht="24.75" customHeight="1" outlineLevel="1">
      <c r="A120" s="18" t="s">
        <v>132</v>
      </c>
      <c r="B120" s="19" t="s">
        <v>136</v>
      </c>
      <c r="C120" s="20">
        <v>16.0</v>
      </c>
      <c r="D120" s="21" t="str">
        <f>SUMIFS('Element wise-detail Summary'!$F$3:$F$1048576,'Element wise-detail Summary'!$B$3:$B$1048576,Summary!$A120,'Element wise-detail Summary'!$C$3:$C$1048576,Summary!B120)</f>
        <v>4</v>
      </c>
      <c r="E120" s="22" t="str">
        <f>SUMIFS('Element wise-detail Summary'!$G$3:$G$1048576,'Element wise-detail Summary'!$B$3:$B$1048576,Summary!$A120,'Element wise-detail Summary'!$C$3:$C$1048576,Summary!B120)</f>
        <v>0</v>
      </c>
      <c r="F120" s="20" t="str">
        <f t="shared" si="118"/>
        <v>4</v>
      </c>
      <c r="G120" s="23" t="str">
        <f t="shared" si="119"/>
        <v>0%</v>
      </c>
      <c r="H120" s="22" t="str">
        <f>SUMIFS('Element wise-detail Summary'!$I$3:$I$1048576,'Element wise-detail Summary'!$B$3:$B$1048576,A120,'Element wise-detail Summary'!$C$3:$C$1048576,B120)</f>
        <v>0</v>
      </c>
      <c r="I120" s="20" t="str">
        <f t="shared" si="120"/>
        <v>4</v>
      </c>
      <c r="J120" s="24" t="str">
        <f t="shared" si="121"/>
        <v>0%</v>
      </c>
      <c r="K120" s="25" t="str">
        <f t="shared" si="122"/>
        <v>0</v>
      </c>
      <c r="L120" s="22" t="str">
        <f>SUMIFS('Element wise-detail Summary'!$M$3:$M$1048576,'Element wise-detail Summary'!$B$3:$B$1048576,A120,'Element wise-detail Summary'!$C$3:$C$1048576,B120)</f>
        <v>0</v>
      </c>
      <c r="M120" s="20" t="str">
        <f t="shared" si="123"/>
        <v>4</v>
      </c>
      <c r="N120" s="24" t="str">
        <f t="shared" si="124"/>
        <v>0%</v>
      </c>
      <c r="O120" s="55"/>
      <c r="P120" s="27" t="str">
        <f t="shared" si="125"/>
        <v>12</v>
      </c>
      <c r="Q120" s="56" t="str">
        <f>_xlfn.MAXIFS([1]Details!$B:$B,[1]Details!$G:$G,B120)</f>
        <v>#ERROR!</v>
      </c>
    </row>
    <row r="121" ht="24.75" customHeight="1" outlineLevel="1">
      <c r="A121" s="18" t="s">
        <v>132</v>
      </c>
      <c r="B121" s="19" t="s">
        <v>137</v>
      </c>
      <c r="C121" s="20">
        <v>16.0</v>
      </c>
      <c r="D121" s="21" t="str">
        <f>SUMIFS('Element wise-detail Summary'!$F$3:$F$1048576,'Element wise-detail Summary'!$B$3:$B$1048576,Summary!$A121,'Element wise-detail Summary'!$C$3:$C$1048576,Summary!B121)</f>
        <v>2</v>
      </c>
      <c r="E121" s="22" t="str">
        <f>SUMIFS('Element wise-detail Summary'!$G$3:$G$1048576,'Element wise-detail Summary'!$B$3:$B$1048576,Summary!$A121,'Element wise-detail Summary'!$C$3:$C$1048576,Summary!B121)</f>
        <v>0</v>
      </c>
      <c r="F121" s="20" t="str">
        <f t="shared" si="118"/>
        <v>2</v>
      </c>
      <c r="G121" s="23" t="str">
        <f t="shared" si="119"/>
        <v>0%</v>
      </c>
      <c r="H121" s="22" t="str">
        <f>SUMIFS('Element wise-detail Summary'!$I$3:$I$1048576,'Element wise-detail Summary'!$B$3:$B$1048576,A121,'Element wise-detail Summary'!$C$3:$C$1048576,B121)</f>
        <v>0</v>
      </c>
      <c r="I121" s="20" t="str">
        <f t="shared" si="120"/>
        <v>2</v>
      </c>
      <c r="J121" s="24" t="str">
        <f t="shared" si="121"/>
        <v>0%</v>
      </c>
      <c r="K121" s="25" t="str">
        <f t="shared" si="122"/>
        <v>0</v>
      </c>
      <c r="L121" s="22" t="str">
        <f>SUMIFS('Element wise-detail Summary'!$M$3:$M$1048576,'Element wise-detail Summary'!$B$3:$B$1048576,A121,'Element wise-detail Summary'!$C$3:$C$1048576,B121)</f>
        <v>0</v>
      </c>
      <c r="M121" s="20" t="str">
        <f t="shared" si="123"/>
        <v>2</v>
      </c>
      <c r="N121" s="24" t="str">
        <f t="shared" si="124"/>
        <v>0%</v>
      </c>
      <c r="O121" s="55"/>
      <c r="P121" s="27" t="str">
        <f t="shared" si="125"/>
        <v>14</v>
      </c>
      <c r="Q121" s="56" t="str">
        <f>_xlfn.MAXIFS([1]Details!$B:$B,[1]Details!$G:$G,B121)</f>
        <v>#ERROR!</v>
      </c>
    </row>
    <row r="122" ht="24.75" customHeight="1" outlineLevel="1">
      <c r="A122" s="18" t="s">
        <v>132</v>
      </c>
      <c r="B122" s="19" t="s">
        <v>138</v>
      </c>
      <c r="C122" s="20">
        <v>16.0</v>
      </c>
      <c r="D122" s="21" t="str">
        <f>SUMIFS('Element wise-detail Summary'!$F$3:$F$1048576,'Element wise-detail Summary'!$B$3:$B$1048576,Summary!$A122,'Element wise-detail Summary'!$C$3:$C$1048576,Summary!B122)</f>
        <v>2</v>
      </c>
      <c r="E122" s="22" t="str">
        <f>SUMIFS('Element wise-detail Summary'!$G$3:$G$1048576,'Element wise-detail Summary'!$B$3:$B$1048576,Summary!$A122,'Element wise-detail Summary'!$C$3:$C$1048576,Summary!B122)</f>
        <v>0</v>
      </c>
      <c r="F122" s="20" t="str">
        <f t="shared" si="118"/>
        <v>2</v>
      </c>
      <c r="G122" s="23" t="str">
        <f t="shared" si="119"/>
        <v>0%</v>
      </c>
      <c r="H122" s="22" t="str">
        <f>SUMIFS('Element wise-detail Summary'!$I$3:$I$1048576,'Element wise-detail Summary'!$B$3:$B$1048576,A122,'Element wise-detail Summary'!$C$3:$C$1048576,B122)</f>
        <v>0</v>
      </c>
      <c r="I122" s="20" t="str">
        <f t="shared" si="120"/>
        <v>2</v>
      </c>
      <c r="J122" s="24" t="str">
        <f t="shared" si="121"/>
        <v>0%</v>
      </c>
      <c r="K122" s="25" t="str">
        <f t="shared" si="122"/>
        <v>0</v>
      </c>
      <c r="L122" s="22" t="str">
        <f>SUMIFS('Element wise-detail Summary'!$M$3:$M$1048576,'Element wise-detail Summary'!$B$3:$B$1048576,A122,'Element wise-detail Summary'!$C$3:$C$1048576,B122)</f>
        <v>0</v>
      </c>
      <c r="M122" s="20" t="str">
        <f t="shared" si="123"/>
        <v>2</v>
      </c>
      <c r="N122" s="24" t="str">
        <f t="shared" si="124"/>
        <v>0%</v>
      </c>
      <c r="O122" s="55"/>
      <c r="P122" s="27" t="str">
        <f t="shared" si="125"/>
        <v>14</v>
      </c>
      <c r="Q122" s="56" t="str">
        <f>_xlfn.MAXIFS([1]Details!$B:$B,[1]Details!$G:$G,B122)</f>
        <v>#ERROR!</v>
      </c>
    </row>
    <row r="123" ht="24.75" customHeight="1" outlineLevel="1">
      <c r="A123" s="74" t="s">
        <v>132</v>
      </c>
      <c r="B123" s="75" t="s">
        <v>139</v>
      </c>
      <c r="C123" s="20">
        <v>30.0</v>
      </c>
      <c r="D123" s="21" t="str">
        <f>SUMIFS('Element wise-detail Summary'!$F$3:$F$1048576,'Element wise-detail Summary'!$B$3:$B$1048576,Summary!$A123,'Element wise-detail Summary'!$C$3:$C$1048576,Summary!B123)</f>
        <v>1</v>
      </c>
      <c r="E123" s="22" t="str">
        <f>SUMIFS('Element wise-detail Summary'!$G$3:$G$1048576,'Element wise-detail Summary'!$B$3:$B$1048576,Summary!$A123,'Element wise-detail Summary'!$C$3:$C$1048576,Summary!B123)</f>
        <v>0</v>
      </c>
      <c r="F123" s="20" t="str">
        <f t="shared" si="118"/>
        <v>1</v>
      </c>
      <c r="G123" s="23" t="str">
        <f t="shared" si="119"/>
        <v>0%</v>
      </c>
      <c r="H123" s="22" t="str">
        <f>SUMIFS('Element wise-detail Summary'!$I$3:$I$1048576,'Element wise-detail Summary'!$B$3:$B$1048576,A123,'Element wise-detail Summary'!$C$3:$C$1048576,B123)</f>
        <v>0</v>
      </c>
      <c r="I123" s="20" t="str">
        <f t="shared" si="120"/>
        <v>1</v>
      </c>
      <c r="J123" s="24" t="str">
        <f t="shared" si="121"/>
        <v>0%</v>
      </c>
      <c r="K123" s="25" t="str">
        <f t="shared" si="122"/>
        <v>0</v>
      </c>
      <c r="L123" s="22" t="str">
        <f>SUMIFS('Element wise-detail Summary'!$M$3:$M$1048576,'Element wise-detail Summary'!$B$3:$B$1048576,A123,'Element wise-detail Summary'!$C$3:$C$1048576,B123)</f>
        <v>0</v>
      </c>
      <c r="M123" s="20" t="str">
        <f t="shared" si="123"/>
        <v>1</v>
      </c>
      <c r="N123" s="24" t="str">
        <f t="shared" si="124"/>
        <v>0%</v>
      </c>
      <c r="O123" s="55"/>
      <c r="P123" s="27" t="str">
        <f t="shared" si="125"/>
        <v>29</v>
      </c>
      <c r="Q123" s="56" t="str">
        <f>_xlfn.MAXIFS([1]Details!$B:$B,[1]Details!$G:$G,B123)</f>
        <v>#ERROR!</v>
      </c>
    </row>
    <row r="124" ht="24.75" customHeight="1">
      <c r="A124" s="38" t="s">
        <v>132</v>
      </c>
      <c r="B124" s="39" t="str">
        <f>COUNTA(B117:B123) &amp; " NOS"</f>
        <v>7 NOS</v>
      </c>
      <c r="C124" s="40" t="str">
        <f t="shared" ref="C124:F124" si="126">SUM(C117:C123)</f>
        <v>121</v>
      </c>
      <c r="D124" s="41" t="str">
        <f t="shared" si="126"/>
        <v>42</v>
      </c>
      <c r="E124" s="42" t="str">
        <f t="shared" si="126"/>
        <v>0</v>
      </c>
      <c r="F124" s="40" t="str">
        <f t="shared" si="126"/>
        <v>42</v>
      </c>
      <c r="G124" s="43" t="str">
        <f t="shared" si="119"/>
        <v>0%</v>
      </c>
      <c r="H124" s="42" t="str">
        <f t="shared" ref="H124:I124" si="127">SUM(H117:H123)</f>
        <v>0</v>
      </c>
      <c r="I124" s="40" t="str">
        <f t="shared" si="127"/>
        <v>42</v>
      </c>
      <c r="J124" s="44" t="str">
        <f t="shared" si="121"/>
        <v>0%</v>
      </c>
      <c r="K124" s="45" t="str">
        <f t="shared" ref="K124:M124" si="128">SUM(K117:K123)</f>
        <v>0</v>
      </c>
      <c r="L124" s="42" t="str">
        <f t="shared" si="128"/>
        <v>0</v>
      </c>
      <c r="M124" s="40" t="str">
        <f t="shared" si="128"/>
        <v>42</v>
      </c>
      <c r="N124" s="44" t="str">
        <f t="shared" si="124"/>
        <v>0%</v>
      </c>
      <c r="O124" s="46"/>
      <c r="P124" s="27" t="str">
        <f t="shared" si="125"/>
        <v>79</v>
      </c>
      <c r="Q124" s="27"/>
    </row>
    <row r="125" ht="7.5" customHeight="1">
      <c r="A125" s="47"/>
      <c r="B125" s="48"/>
      <c r="C125" s="49"/>
      <c r="D125" s="50"/>
      <c r="E125" s="51"/>
      <c r="F125" s="49"/>
      <c r="G125" s="52"/>
      <c r="H125" s="51"/>
      <c r="I125" s="49"/>
      <c r="J125" s="53"/>
      <c r="K125" s="49"/>
      <c r="L125" s="51"/>
      <c r="M125" s="49"/>
      <c r="N125" s="53"/>
      <c r="O125" s="54"/>
      <c r="P125" s="27"/>
      <c r="Q125" s="27"/>
    </row>
    <row r="126" ht="24.75" customHeight="1" outlineLevel="1">
      <c r="A126" s="57" t="s">
        <v>140</v>
      </c>
      <c r="B126" s="58" t="s">
        <v>141</v>
      </c>
      <c r="C126" s="59">
        <v>20.0</v>
      </c>
      <c r="D126" s="60" t="str">
        <f>SUMIFS('Element wise-detail Summary'!$F$3:$F$1048576,'Element wise-detail Summary'!$B$3:$B$1048576,Summary!$A126,'Element wise-detail Summary'!$C$3:$C$1048576,Summary!B126)</f>
        <v>20</v>
      </c>
      <c r="E126" s="61" t="str">
        <f>SUMIFS('Element wise-detail Summary'!$G$3:$G$1048576,'Element wise-detail Summary'!$B$3:$B$1048576,Summary!$A126,'Element wise-detail Summary'!$C$3:$C$1048576,Summary!B126)</f>
        <v>10</v>
      </c>
      <c r="F126" s="59" t="str">
        <f t="shared" ref="F126:F133" si="129">D126-E126</f>
        <v>10</v>
      </c>
      <c r="G126" s="62" t="str">
        <f t="shared" ref="G126:G134" si="130">E126/C126</f>
        <v>50%</v>
      </c>
      <c r="H126" s="61" t="str">
        <f>SUMIFS('Element wise-detail Summary'!$I$3:$I$1048576,'Element wise-detail Summary'!$B$3:$B$1048576,A126,'Element wise-detail Summary'!$C$3:$C$1048576,B126)</f>
        <v>0</v>
      </c>
      <c r="I126" s="59" t="str">
        <f t="shared" ref="I126:I133" si="131">D126-H126</f>
        <v>20</v>
      </c>
      <c r="J126" s="63" t="str">
        <f t="shared" ref="J126:J134" si="132">H126/C126</f>
        <v>0%</v>
      </c>
      <c r="K126" s="64" t="str">
        <f t="shared" ref="K126:K133" si="133">E126-H126</f>
        <v>10</v>
      </c>
      <c r="L126" s="61" t="str">
        <f>SUMIFS('Element wise-detail Summary'!$M$3:$M$1048576,'Element wise-detail Summary'!$B$3:$B$1048576,A126,'Element wise-detail Summary'!$C$3:$C$1048576,B126)</f>
        <v>0</v>
      </c>
      <c r="M126" s="59" t="str">
        <f t="shared" ref="M126:M134" si="134">D126-L126</f>
        <v>20</v>
      </c>
      <c r="N126" s="63" t="str">
        <f t="shared" ref="N126:N134" si="135">L126/C126</f>
        <v>0%</v>
      </c>
      <c r="O126" s="65"/>
      <c r="P126" s="27" t="str">
        <f t="shared" ref="P126:P144" si="136">+C126-D126</f>
        <v>0</v>
      </c>
      <c r="Q126" s="56" t="str">
        <f>_xlfn.MAXIFS([1]Details!$B:$B,[1]Details!$G:$G,B126)</f>
        <v>#ERROR!</v>
      </c>
    </row>
    <row r="127" ht="24.75" customHeight="1" outlineLevel="1">
      <c r="A127" s="57" t="s">
        <v>140</v>
      </c>
      <c r="B127" s="58" t="s">
        <v>142</v>
      </c>
      <c r="C127" s="59">
        <v>16.0</v>
      </c>
      <c r="D127" s="60" t="str">
        <f>SUMIFS('Element wise-detail Summary'!$F$3:$F$1048576,'Element wise-detail Summary'!$B$3:$B$1048576,Summary!$A127,'Element wise-detail Summary'!$C$3:$C$1048576,Summary!B127)</f>
        <v>16</v>
      </c>
      <c r="E127" s="61" t="str">
        <f>SUMIFS('Element wise-detail Summary'!$G$3:$G$1048576,'Element wise-detail Summary'!$B$3:$B$1048576,Summary!$A127,'Element wise-detail Summary'!$C$3:$C$1048576,Summary!B127)</f>
        <v>11</v>
      </c>
      <c r="F127" s="59" t="str">
        <f t="shared" si="129"/>
        <v>5</v>
      </c>
      <c r="G127" s="62" t="str">
        <f t="shared" si="130"/>
        <v>69%</v>
      </c>
      <c r="H127" s="61" t="str">
        <f>SUMIFS('Element wise-detail Summary'!$I$3:$I$1048576,'Element wise-detail Summary'!$B$3:$B$1048576,A127,'Element wise-detail Summary'!$C$3:$C$1048576,B127)</f>
        <v>0</v>
      </c>
      <c r="I127" s="59" t="str">
        <f t="shared" si="131"/>
        <v>16</v>
      </c>
      <c r="J127" s="63" t="str">
        <f t="shared" si="132"/>
        <v>0%</v>
      </c>
      <c r="K127" s="64" t="str">
        <f t="shared" si="133"/>
        <v>11</v>
      </c>
      <c r="L127" s="61" t="str">
        <f>SUMIFS('Element wise-detail Summary'!$M$3:$M$1048576,'Element wise-detail Summary'!$B$3:$B$1048576,A127,'Element wise-detail Summary'!$C$3:$C$1048576,B127)</f>
        <v>0</v>
      </c>
      <c r="M127" s="59" t="str">
        <f t="shared" si="134"/>
        <v>16</v>
      </c>
      <c r="N127" s="63" t="str">
        <f t="shared" si="135"/>
        <v>0%</v>
      </c>
      <c r="O127" s="65"/>
      <c r="P127" s="27" t="str">
        <f t="shared" si="136"/>
        <v>0</v>
      </c>
      <c r="Q127" s="56" t="str">
        <f>_xlfn.MAXIFS([1]Details!$B:$B,[1]Details!$G:$G,B127)</f>
        <v>#ERROR!</v>
      </c>
    </row>
    <row r="128" ht="24.75" customHeight="1" outlineLevel="1">
      <c r="A128" s="57" t="s">
        <v>140</v>
      </c>
      <c r="B128" s="58" t="s">
        <v>143</v>
      </c>
      <c r="C128" s="59">
        <v>16.0</v>
      </c>
      <c r="D128" s="60" t="str">
        <f>SUMIFS('Element wise-detail Summary'!$F$3:$F$1048576,'Element wise-detail Summary'!$B$3:$B$1048576,Summary!$A128,'Element wise-detail Summary'!$C$3:$C$1048576,Summary!B128)</f>
        <v>16</v>
      </c>
      <c r="E128" s="61" t="str">
        <f>SUMIFS('Element wise-detail Summary'!$G$3:$G$1048576,'Element wise-detail Summary'!$B$3:$B$1048576,Summary!$A128,'Element wise-detail Summary'!$C$3:$C$1048576,Summary!B128)</f>
        <v>12</v>
      </c>
      <c r="F128" s="59" t="str">
        <f t="shared" si="129"/>
        <v>4</v>
      </c>
      <c r="G128" s="62" t="str">
        <f t="shared" si="130"/>
        <v>75%</v>
      </c>
      <c r="H128" s="61" t="str">
        <f>SUMIFS('Element wise-detail Summary'!$I$3:$I$1048576,'Element wise-detail Summary'!$B$3:$B$1048576,A128,'Element wise-detail Summary'!$C$3:$C$1048576,B128)</f>
        <v>0</v>
      </c>
      <c r="I128" s="59" t="str">
        <f t="shared" si="131"/>
        <v>16</v>
      </c>
      <c r="J128" s="63" t="str">
        <f t="shared" si="132"/>
        <v>0%</v>
      </c>
      <c r="K128" s="64" t="str">
        <f t="shared" si="133"/>
        <v>12</v>
      </c>
      <c r="L128" s="61" t="str">
        <f>SUMIFS('Element wise-detail Summary'!$M$3:$M$1048576,'Element wise-detail Summary'!$B$3:$B$1048576,A128,'Element wise-detail Summary'!$C$3:$C$1048576,B128)</f>
        <v>0</v>
      </c>
      <c r="M128" s="59" t="str">
        <f t="shared" si="134"/>
        <v>16</v>
      </c>
      <c r="N128" s="63" t="str">
        <f t="shared" si="135"/>
        <v>0%</v>
      </c>
      <c r="O128" s="65"/>
      <c r="P128" s="27" t="str">
        <f t="shared" si="136"/>
        <v>0</v>
      </c>
      <c r="Q128" s="56" t="str">
        <f>_xlfn.MAXIFS([1]Details!$B:$B,[1]Details!$G:$G,B128)</f>
        <v>#ERROR!</v>
      </c>
    </row>
    <row r="129" ht="24.75" customHeight="1" outlineLevel="1">
      <c r="A129" s="57" t="s">
        <v>140</v>
      </c>
      <c r="B129" s="58" t="s">
        <v>144</v>
      </c>
      <c r="C129" s="59">
        <v>19.0</v>
      </c>
      <c r="D129" s="60" t="str">
        <f>SUMIFS('Element wise-detail Summary'!$F$3:$F$1048576,'Element wise-detail Summary'!$B$3:$B$1048576,Summary!$A129,'Element wise-detail Summary'!$C$3:$C$1048576,Summary!B129)</f>
        <v>19</v>
      </c>
      <c r="E129" s="61" t="str">
        <f>SUMIFS('Element wise-detail Summary'!$G$3:$G$1048576,'Element wise-detail Summary'!$B$3:$B$1048576,Summary!$A129,'Element wise-detail Summary'!$C$3:$C$1048576,Summary!B129)</f>
        <v>10</v>
      </c>
      <c r="F129" s="59" t="str">
        <f t="shared" si="129"/>
        <v>9</v>
      </c>
      <c r="G129" s="62" t="str">
        <f t="shared" si="130"/>
        <v>53%</v>
      </c>
      <c r="H129" s="61" t="str">
        <f>SUMIFS('Element wise-detail Summary'!$I$3:$I$1048576,'Element wise-detail Summary'!$B$3:$B$1048576,A129,'Element wise-detail Summary'!$C$3:$C$1048576,B129)</f>
        <v>0</v>
      </c>
      <c r="I129" s="59" t="str">
        <f t="shared" si="131"/>
        <v>19</v>
      </c>
      <c r="J129" s="63" t="str">
        <f t="shared" si="132"/>
        <v>0%</v>
      </c>
      <c r="K129" s="64" t="str">
        <f t="shared" si="133"/>
        <v>10</v>
      </c>
      <c r="L129" s="61" t="str">
        <f>SUMIFS('Element wise-detail Summary'!$M$3:$M$1048576,'Element wise-detail Summary'!$B$3:$B$1048576,A129,'Element wise-detail Summary'!$C$3:$C$1048576,B129)</f>
        <v>0</v>
      </c>
      <c r="M129" s="59" t="str">
        <f t="shared" si="134"/>
        <v>19</v>
      </c>
      <c r="N129" s="63" t="str">
        <f t="shared" si="135"/>
        <v>0%</v>
      </c>
      <c r="O129" s="65"/>
      <c r="P129" s="27" t="str">
        <f t="shared" si="136"/>
        <v>0</v>
      </c>
      <c r="Q129" s="56" t="str">
        <f>_xlfn.MAXIFS([1]Details!$B:$B,[1]Details!$G:$G,B129)</f>
        <v>#ERROR!</v>
      </c>
    </row>
    <row r="130" ht="24.75" customHeight="1" outlineLevel="1">
      <c r="A130" s="57" t="s">
        <v>140</v>
      </c>
      <c r="B130" s="58" t="s">
        <v>145</v>
      </c>
      <c r="C130" s="59">
        <v>19.0</v>
      </c>
      <c r="D130" s="60" t="str">
        <f>SUMIFS('Element wise-detail Summary'!$F$3:$F$1048576,'Element wise-detail Summary'!$B$3:$B$1048576,Summary!$A130,'Element wise-detail Summary'!$C$3:$C$1048576,Summary!B130)</f>
        <v>19</v>
      </c>
      <c r="E130" s="61" t="str">
        <f>SUMIFS('Element wise-detail Summary'!$G$3:$G$1048576,'Element wise-detail Summary'!$B$3:$B$1048576,Summary!$A130,'Element wise-detail Summary'!$C$3:$C$1048576,Summary!B130)</f>
        <v>14</v>
      </c>
      <c r="F130" s="59" t="str">
        <f t="shared" si="129"/>
        <v>5</v>
      </c>
      <c r="G130" s="62" t="str">
        <f t="shared" si="130"/>
        <v>74%</v>
      </c>
      <c r="H130" s="61" t="str">
        <f>SUMIFS('Element wise-detail Summary'!$I$3:$I$1048576,'Element wise-detail Summary'!$B$3:$B$1048576,A130,'Element wise-detail Summary'!$C$3:$C$1048576,B130)</f>
        <v>0</v>
      </c>
      <c r="I130" s="59" t="str">
        <f t="shared" si="131"/>
        <v>19</v>
      </c>
      <c r="J130" s="63" t="str">
        <f t="shared" si="132"/>
        <v>0%</v>
      </c>
      <c r="K130" s="64" t="str">
        <f t="shared" si="133"/>
        <v>14</v>
      </c>
      <c r="L130" s="61" t="str">
        <f>SUMIFS('Element wise-detail Summary'!$M$3:$M$1048576,'Element wise-detail Summary'!$B$3:$B$1048576,A130,'Element wise-detail Summary'!$C$3:$C$1048576,B130)</f>
        <v>0</v>
      </c>
      <c r="M130" s="59" t="str">
        <f t="shared" si="134"/>
        <v>19</v>
      </c>
      <c r="N130" s="63" t="str">
        <f t="shared" si="135"/>
        <v>0%</v>
      </c>
      <c r="O130" s="65"/>
      <c r="P130" s="27" t="str">
        <f t="shared" si="136"/>
        <v>0</v>
      </c>
      <c r="Q130" s="56" t="str">
        <f>_xlfn.MAXIFS([1]Details!$B:$B,[1]Details!$G:$G,B130)</f>
        <v>#ERROR!</v>
      </c>
    </row>
    <row r="131" ht="24.75" customHeight="1" outlineLevel="1">
      <c r="A131" s="57" t="s">
        <v>140</v>
      </c>
      <c r="B131" s="58" t="s">
        <v>146</v>
      </c>
      <c r="C131" s="59">
        <v>18.0</v>
      </c>
      <c r="D131" s="60" t="str">
        <f>SUMIFS('Element wise-detail Summary'!$F$3:$F$1048576,'Element wise-detail Summary'!$B$3:$B$1048576,Summary!$A131,'Element wise-detail Summary'!$C$3:$C$1048576,Summary!B131)</f>
        <v>18</v>
      </c>
      <c r="E131" s="61" t="str">
        <f>SUMIFS('Element wise-detail Summary'!$G$3:$G$1048576,'Element wise-detail Summary'!$B$3:$B$1048576,Summary!$A131,'Element wise-detail Summary'!$C$3:$C$1048576,Summary!B131)</f>
        <v>10</v>
      </c>
      <c r="F131" s="59" t="str">
        <f t="shared" si="129"/>
        <v>8</v>
      </c>
      <c r="G131" s="62" t="str">
        <f t="shared" si="130"/>
        <v>56%</v>
      </c>
      <c r="H131" s="61" t="str">
        <f>SUMIFS('Element wise-detail Summary'!$I$3:$I$1048576,'Element wise-detail Summary'!$B$3:$B$1048576,A131,'Element wise-detail Summary'!$C$3:$C$1048576,B131)</f>
        <v>0</v>
      </c>
      <c r="I131" s="59" t="str">
        <f t="shared" si="131"/>
        <v>18</v>
      </c>
      <c r="J131" s="63" t="str">
        <f t="shared" si="132"/>
        <v>0%</v>
      </c>
      <c r="K131" s="64" t="str">
        <f t="shared" si="133"/>
        <v>10</v>
      </c>
      <c r="L131" s="61" t="str">
        <f>SUMIFS('Element wise-detail Summary'!$M$3:$M$1048576,'Element wise-detail Summary'!$B$3:$B$1048576,A131,'Element wise-detail Summary'!$C$3:$C$1048576,B131)</f>
        <v>0</v>
      </c>
      <c r="M131" s="59" t="str">
        <f t="shared" si="134"/>
        <v>18</v>
      </c>
      <c r="N131" s="63" t="str">
        <f t="shared" si="135"/>
        <v>0%</v>
      </c>
      <c r="O131" s="65"/>
      <c r="P131" s="27" t="str">
        <f t="shared" si="136"/>
        <v>0</v>
      </c>
      <c r="Q131" s="56" t="str">
        <f>_xlfn.MAXIFS([1]Details!$B:$B,[1]Details!$G:$G,B131)</f>
        <v>#ERROR!</v>
      </c>
    </row>
    <row r="132" ht="24.75" customHeight="1" outlineLevel="1">
      <c r="A132" s="57" t="s">
        <v>140</v>
      </c>
      <c r="B132" s="58" t="s">
        <v>147</v>
      </c>
      <c r="C132" s="59">
        <v>17.0</v>
      </c>
      <c r="D132" s="60" t="str">
        <f>SUMIFS('Element wise-detail Summary'!$F$3:$F$1048576,'Element wise-detail Summary'!$B$3:$B$1048576,Summary!$A132,'Element wise-detail Summary'!$C$3:$C$1048576,Summary!B132)</f>
        <v>17</v>
      </c>
      <c r="E132" s="61" t="str">
        <f>SUMIFS('Element wise-detail Summary'!$G$3:$G$1048576,'Element wise-detail Summary'!$B$3:$B$1048576,Summary!$A132,'Element wise-detail Summary'!$C$3:$C$1048576,Summary!B132)</f>
        <v>10</v>
      </c>
      <c r="F132" s="59" t="str">
        <f t="shared" si="129"/>
        <v>7</v>
      </c>
      <c r="G132" s="62" t="str">
        <f t="shared" si="130"/>
        <v>59%</v>
      </c>
      <c r="H132" s="61" t="str">
        <f>SUMIFS('Element wise-detail Summary'!$I$3:$I$1048576,'Element wise-detail Summary'!$B$3:$B$1048576,A132,'Element wise-detail Summary'!$C$3:$C$1048576,B132)</f>
        <v>0</v>
      </c>
      <c r="I132" s="59" t="str">
        <f t="shared" si="131"/>
        <v>17</v>
      </c>
      <c r="J132" s="63" t="str">
        <f t="shared" si="132"/>
        <v>0%</v>
      </c>
      <c r="K132" s="64" t="str">
        <f t="shared" si="133"/>
        <v>10</v>
      </c>
      <c r="L132" s="61" t="str">
        <f>SUMIFS('Element wise-detail Summary'!$M$3:$M$1048576,'Element wise-detail Summary'!$B$3:$B$1048576,A132,'Element wise-detail Summary'!$C$3:$C$1048576,B132)</f>
        <v>0</v>
      </c>
      <c r="M132" s="59" t="str">
        <f t="shared" si="134"/>
        <v>17</v>
      </c>
      <c r="N132" s="63" t="str">
        <f t="shared" si="135"/>
        <v>0%</v>
      </c>
      <c r="O132" s="65"/>
      <c r="P132" s="27" t="str">
        <f t="shared" si="136"/>
        <v>0</v>
      </c>
      <c r="Q132" s="56" t="str">
        <f>_xlfn.MAXIFS([1]Details!$B:$B,[1]Details!$G:$G,B132)</f>
        <v>#ERROR!</v>
      </c>
    </row>
    <row r="133" ht="24.75" customHeight="1" outlineLevel="1">
      <c r="A133" s="57" t="s">
        <v>140</v>
      </c>
      <c r="B133" s="58" t="s">
        <v>148</v>
      </c>
      <c r="C133" s="59">
        <v>17.0</v>
      </c>
      <c r="D133" s="60" t="str">
        <f>SUMIFS('Element wise-detail Summary'!$F$3:$F$1048576,'Element wise-detail Summary'!$B$3:$B$1048576,Summary!$A133,'Element wise-detail Summary'!$C$3:$C$1048576,Summary!B133)</f>
        <v>17</v>
      </c>
      <c r="E133" s="61" t="str">
        <f>SUMIFS('Element wise-detail Summary'!$G$3:$G$1048576,'Element wise-detail Summary'!$B$3:$B$1048576,Summary!$A133,'Element wise-detail Summary'!$C$3:$C$1048576,Summary!B133)</f>
        <v>13</v>
      </c>
      <c r="F133" s="59" t="str">
        <f t="shared" si="129"/>
        <v>4</v>
      </c>
      <c r="G133" s="62" t="str">
        <f t="shared" si="130"/>
        <v>76%</v>
      </c>
      <c r="H133" s="61" t="str">
        <f>SUMIFS('Element wise-detail Summary'!$I$3:$I$1048576,'Element wise-detail Summary'!$B$3:$B$1048576,A133,'Element wise-detail Summary'!$C$3:$C$1048576,B133)</f>
        <v>0</v>
      </c>
      <c r="I133" s="59" t="str">
        <f t="shared" si="131"/>
        <v>17</v>
      </c>
      <c r="J133" s="63" t="str">
        <f t="shared" si="132"/>
        <v>0%</v>
      </c>
      <c r="K133" s="64" t="str">
        <f t="shared" si="133"/>
        <v>13</v>
      </c>
      <c r="L133" s="61" t="str">
        <f>SUMIFS('Element wise-detail Summary'!$M$3:$M$1048576,'Element wise-detail Summary'!$B$3:$B$1048576,A133,'Element wise-detail Summary'!$C$3:$C$1048576,B133)</f>
        <v>0</v>
      </c>
      <c r="M133" s="59" t="str">
        <f t="shared" si="134"/>
        <v>17</v>
      </c>
      <c r="N133" s="63" t="str">
        <f t="shared" si="135"/>
        <v>0%</v>
      </c>
      <c r="O133" s="65"/>
      <c r="P133" s="27" t="str">
        <f t="shared" si="136"/>
        <v>0</v>
      </c>
      <c r="Q133" s="56" t="str">
        <f>_xlfn.MAXIFS([1]Details!$B:$B,[1]Details!$G:$G,B133)</f>
        <v>#ERROR!</v>
      </c>
    </row>
    <row r="134" ht="24.75" customHeight="1">
      <c r="A134" s="38" t="s">
        <v>140</v>
      </c>
      <c r="B134" s="39" t="str">
        <f>COUNTA(B126:B133) &amp; " NOS"</f>
        <v>8 NOS</v>
      </c>
      <c r="C134" s="40" t="str">
        <f t="shared" ref="C134:F134" si="137">SUM(C126:C133)</f>
        <v>142</v>
      </c>
      <c r="D134" s="41" t="str">
        <f t="shared" si="137"/>
        <v>142</v>
      </c>
      <c r="E134" s="42" t="str">
        <f t="shared" si="137"/>
        <v>90</v>
      </c>
      <c r="F134" s="40" t="str">
        <f t="shared" si="137"/>
        <v>52</v>
      </c>
      <c r="G134" s="43" t="str">
        <f t="shared" si="130"/>
        <v>63%</v>
      </c>
      <c r="H134" s="42" t="str">
        <f t="shared" ref="H134:I134" si="138">SUM(H126:H133)</f>
        <v>0</v>
      </c>
      <c r="I134" s="40" t="str">
        <f t="shared" si="138"/>
        <v>142</v>
      </c>
      <c r="J134" s="44" t="str">
        <f t="shared" si="132"/>
        <v>0%</v>
      </c>
      <c r="K134" s="45" t="str">
        <f t="shared" ref="K134:L134" si="139">SUM(K126:K133)</f>
        <v>90</v>
      </c>
      <c r="L134" s="42" t="str">
        <f t="shared" si="139"/>
        <v>0</v>
      </c>
      <c r="M134" s="40" t="str">
        <f t="shared" si="134"/>
        <v>142</v>
      </c>
      <c r="N134" s="44" t="str">
        <f t="shared" si="135"/>
        <v>0%</v>
      </c>
      <c r="O134" s="46"/>
      <c r="P134" s="27" t="str">
        <f t="shared" si="136"/>
        <v>0</v>
      </c>
      <c r="Q134" s="27"/>
    </row>
    <row r="135" ht="7.5" customHeight="1">
      <c r="A135" s="47"/>
      <c r="B135" s="48"/>
      <c r="C135" s="49"/>
      <c r="D135" s="50"/>
      <c r="E135" s="51"/>
      <c r="F135" s="49"/>
      <c r="G135" s="52"/>
      <c r="H135" s="51"/>
      <c r="I135" s="49"/>
      <c r="J135" s="53"/>
      <c r="K135" s="49"/>
      <c r="L135" s="51"/>
      <c r="M135" s="49"/>
      <c r="N135" s="53"/>
      <c r="O135" s="54"/>
      <c r="P135" s="27" t="str">
        <f t="shared" si="136"/>
        <v>0</v>
      </c>
      <c r="Q135" s="27"/>
    </row>
    <row r="136" ht="24.75" customHeight="1" outlineLevel="1">
      <c r="A136" s="57" t="s">
        <v>149</v>
      </c>
      <c r="B136" s="58" t="s">
        <v>150</v>
      </c>
      <c r="C136" s="59">
        <v>18.0</v>
      </c>
      <c r="D136" s="60" t="str">
        <f>SUMIFS('Element wise-detail Summary'!$F$3:$F$1048576,'Element wise-detail Summary'!$B$3:$B$1048576,Summary!$A136,'Element wise-detail Summary'!$C$3:$C$1048576,Summary!B136)</f>
        <v>8</v>
      </c>
      <c r="E136" s="61" t="str">
        <f>SUMIFS('Element wise-detail Summary'!$G$3:$G$1048576,'Element wise-detail Summary'!$B$3:$B$1048576,Summary!$A136,'Element wise-detail Summary'!$C$3:$C$1048576,Summary!B136)</f>
        <v>6</v>
      </c>
      <c r="F136" s="59" t="str">
        <f t="shared" ref="F136:F143" si="140">D136-E136</f>
        <v>2</v>
      </c>
      <c r="G136" s="62" t="str">
        <f t="shared" ref="G136:G144" si="141">E136/C136</f>
        <v>33%</v>
      </c>
      <c r="H136" s="61" t="str">
        <f>SUMIFS('Element wise-detail Summary'!$I$3:$I$1048576,'Element wise-detail Summary'!$B$3:$B$1048576,A136,'Element wise-detail Summary'!$C$3:$C$1048576,B136)</f>
        <v>0</v>
      </c>
      <c r="I136" s="59" t="str">
        <f t="shared" ref="I136:I143" si="142">D136-H136</f>
        <v>8</v>
      </c>
      <c r="J136" s="63" t="str">
        <f t="shared" ref="J136:J144" si="143">H136/C136</f>
        <v>0%</v>
      </c>
      <c r="K136" s="64" t="str">
        <f t="shared" ref="K136:K143" si="144">E136-H136</f>
        <v>6</v>
      </c>
      <c r="L136" s="61" t="str">
        <f>SUMIFS('Element wise-detail Summary'!$M$3:$M$1048576,'Element wise-detail Summary'!$B$3:$B$1048576,A136,'Element wise-detail Summary'!$C$3:$C$1048576,B136)</f>
        <v>0</v>
      </c>
      <c r="M136" s="59" t="str">
        <f t="shared" ref="M136:M144" si="145">D136-L136</f>
        <v>8</v>
      </c>
      <c r="N136" s="63" t="str">
        <f t="shared" ref="N136:N144" si="146">L136/C136</f>
        <v>0%</v>
      </c>
      <c r="O136" s="65"/>
      <c r="P136" s="27" t="str">
        <f t="shared" si="136"/>
        <v>10</v>
      </c>
      <c r="Q136" s="56" t="str">
        <f>_xlfn.MAXIFS([1]Details!$B:$B,[1]Details!$G:$G,B136)</f>
        <v>#ERROR!</v>
      </c>
    </row>
    <row r="137" ht="24.75" customHeight="1" outlineLevel="1">
      <c r="A137" s="57" t="s">
        <v>149</v>
      </c>
      <c r="B137" s="58" t="s">
        <v>151</v>
      </c>
      <c r="C137" s="59">
        <v>17.0</v>
      </c>
      <c r="D137" s="60" t="str">
        <f>SUMIFS('Element wise-detail Summary'!$F$3:$F$1048576,'Element wise-detail Summary'!$B$3:$B$1048576,Summary!$A137,'Element wise-detail Summary'!$C$3:$C$1048576,Summary!B137)</f>
        <v>16</v>
      </c>
      <c r="E137" s="61" t="str">
        <f>SUMIFS('Element wise-detail Summary'!$G$3:$G$1048576,'Element wise-detail Summary'!$B$3:$B$1048576,Summary!$A137,'Element wise-detail Summary'!$C$3:$C$1048576,Summary!B137)</f>
        <v>12</v>
      </c>
      <c r="F137" s="59" t="str">
        <f t="shared" si="140"/>
        <v>4</v>
      </c>
      <c r="G137" s="62" t="str">
        <f t="shared" si="141"/>
        <v>71%</v>
      </c>
      <c r="H137" s="61" t="str">
        <f>SUMIFS('Element wise-detail Summary'!$I$3:$I$1048576,'Element wise-detail Summary'!$B$3:$B$1048576,A137,'Element wise-detail Summary'!$C$3:$C$1048576,B137)</f>
        <v>0</v>
      </c>
      <c r="I137" s="59" t="str">
        <f t="shared" si="142"/>
        <v>16</v>
      </c>
      <c r="J137" s="63" t="str">
        <f t="shared" si="143"/>
        <v>0%</v>
      </c>
      <c r="K137" s="64" t="str">
        <f t="shared" si="144"/>
        <v>12</v>
      </c>
      <c r="L137" s="61" t="str">
        <f>SUMIFS('Element wise-detail Summary'!$M$3:$M$1048576,'Element wise-detail Summary'!$B$3:$B$1048576,A137,'Element wise-detail Summary'!$C$3:$C$1048576,B137)</f>
        <v>0</v>
      </c>
      <c r="M137" s="59" t="str">
        <f t="shared" si="145"/>
        <v>16</v>
      </c>
      <c r="N137" s="63" t="str">
        <f t="shared" si="146"/>
        <v>0%</v>
      </c>
      <c r="O137" s="65"/>
      <c r="P137" s="27" t="str">
        <f t="shared" si="136"/>
        <v>1</v>
      </c>
      <c r="Q137" s="56" t="str">
        <f>_xlfn.MAXIFS([1]Details!$B:$B,[1]Details!$G:$G,B137)</f>
        <v>#ERROR!</v>
      </c>
    </row>
    <row r="138" ht="24.75" customHeight="1" outlineLevel="1">
      <c r="A138" s="57" t="s">
        <v>149</v>
      </c>
      <c r="B138" s="58" t="s">
        <v>152</v>
      </c>
      <c r="C138" s="59">
        <v>26.0</v>
      </c>
      <c r="D138" s="60" t="str">
        <f>SUMIFS('Element wise-detail Summary'!$F$3:$F$1048576,'Element wise-detail Summary'!$B$3:$B$1048576,Summary!$A138,'Element wise-detail Summary'!$C$3:$C$1048576,Summary!B138)</f>
        <v>26</v>
      </c>
      <c r="E138" s="61" t="str">
        <f>SUMIFS('Element wise-detail Summary'!$G$3:$G$1048576,'Element wise-detail Summary'!$B$3:$B$1048576,Summary!$A138,'Element wise-detail Summary'!$C$3:$C$1048576,Summary!B138)</f>
        <v>15</v>
      </c>
      <c r="F138" s="59" t="str">
        <f t="shared" si="140"/>
        <v>11</v>
      </c>
      <c r="G138" s="62" t="str">
        <f t="shared" si="141"/>
        <v>58%</v>
      </c>
      <c r="H138" s="61" t="str">
        <f>SUMIFS('Element wise-detail Summary'!$I$3:$I$1048576,'Element wise-detail Summary'!$B$3:$B$1048576,A138,'Element wise-detail Summary'!$C$3:$C$1048576,B138)</f>
        <v>0</v>
      </c>
      <c r="I138" s="59" t="str">
        <f t="shared" si="142"/>
        <v>26</v>
      </c>
      <c r="J138" s="63" t="str">
        <f t="shared" si="143"/>
        <v>0%</v>
      </c>
      <c r="K138" s="64" t="str">
        <f t="shared" si="144"/>
        <v>15</v>
      </c>
      <c r="L138" s="61" t="str">
        <f>SUMIFS('Element wise-detail Summary'!$M$3:$M$1048576,'Element wise-detail Summary'!$B$3:$B$1048576,A138,'Element wise-detail Summary'!$C$3:$C$1048576,B138)</f>
        <v>0</v>
      </c>
      <c r="M138" s="59" t="str">
        <f t="shared" si="145"/>
        <v>26</v>
      </c>
      <c r="N138" s="63" t="str">
        <f t="shared" si="146"/>
        <v>0%</v>
      </c>
      <c r="O138" s="65"/>
      <c r="P138" s="27" t="str">
        <f t="shared" si="136"/>
        <v>0</v>
      </c>
      <c r="Q138" s="56" t="str">
        <f>_xlfn.MAXIFS([1]Details!$B:$B,[1]Details!$G:$G,B138)</f>
        <v>#ERROR!</v>
      </c>
    </row>
    <row r="139" ht="24.75" customHeight="1" outlineLevel="1">
      <c r="A139" s="57" t="s">
        <v>149</v>
      </c>
      <c r="B139" s="58" t="s">
        <v>153</v>
      </c>
      <c r="C139" s="59">
        <v>24.0</v>
      </c>
      <c r="D139" s="60" t="str">
        <f>SUMIFS('Element wise-detail Summary'!$F$3:$F$1048576,'Element wise-detail Summary'!$B$3:$B$1048576,Summary!$A139,'Element wise-detail Summary'!$C$3:$C$1048576,Summary!B139)</f>
        <v>23</v>
      </c>
      <c r="E139" s="61" t="str">
        <f>SUMIFS('Element wise-detail Summary'!$G$3:$G$1048576,'Element wise-detail Summary'!$B$3:$B$1048576,Summary!$A139,'Element wise-detail Summary'!$C$3:$C$1048576,Summary!B139)</f>
        <v>15</v>
      </c>
      <c r="F139" s="59" t="str">
        <f t="shared" si="140"/>
        <v>8</v>
      </c>
      <c r="G139" s="62" t="str">
        <f t="shared" si="141"/>
        <v>63%</v>
      </c>
      <c r="H139" s="61" t="str">
        <f>SUMIFS('Element wise-detail Summary'!$I$3:$I$1048576,'Element wise-detail Summary'!$B$3:$B$1048576,A139,'Element wise-detail Summary'!$C$3:$C$1048576,B139)</f>
        <v>0</v>
      </c>
      <c r="I139" s="59" t="str">
        <f t="shared" si="142"/>
        <v>23</v>
      </c>
      <c r="J139" s="63" t="str">
        <f t="shared" si="143"/>
        <v>0%</v>
      </c>
      <c r="K139" s="64" t="str">
        <f t="shared" si="144"/>
        <v>15</v>
      </c>
      <c r="L139" s="61" t="str">
        <f>SUMIFS('Element wise-detail Summary'!$M$3:$M$1048576,'Element wise-detail Summary'!$B$3:$B$1048576,A139,'Element wise-detail Summary'!$C$3:$C$1048576,B139)</f>
        <v>0</v>
      </c>
      <c r="M139" s="59" t="str">
        <f t="shared" si="145"/>
        <v>23</v>
      </c>
      <c r="N139" s="63" t="str">
        <f t="shared" si="146"/>
        <v>0%</v>
      </c>
      <c r="O139" s="65"/>
      <c r="P139" s="27" t="str">
        <f t="shared" si="136"/>
        <v>1</v>
      </c>
      <c r="Q139" s="56" t="str">
        <f>_xlfn.MAXIFS([1]Details!$B:$B,[1]Details!$G:$G,B139)</f>
        <v>#ERROR!</v>
      </c>
    </row>
    <row r="140" ht="24.75" customHeight="1" outlineLevel="1">
      <c r="A140" s="57" t="s">
        <v>149</v>
      </c>
      <c r="B140" s="58" t="s">
        <v>154</v>
      </c>
      <c r="C140" s="59">
        <v>16.0</v>
      </c>
      <c r="D140" s="60" t="str">
        <f>SUMIFS('Element wise-detail Summary'!$F$3:$F$1048576,'Element wise-detail Summary'!$B$3:$B$1048576,Summary!$A140,'Element wise-detail Summary'!$C$3:$C$1048576,Summary!B140)</f>
        <v>16</v>
      </c>
      <c r="E140" s="61" t="str">
        <f>SUMIFS('Element wise-detail Summary'!$G$3:$G$1048576,'Element wise-detail Summary'!$B$3:$B$1048576,Summary!$A140,'Element wise-detail Summary'!$C$3:$C$1048576,Summary!B140)</f>
        <v>13</v>
      </c>
      <c r="F140" s="59" t="str">
        <f t="shared" si="140"/>
        <v>3</v>
      </c>
      <c r="G140" s="62" t="str">
        <f t="shared" si="141"/>
        <v>81%</v>
      </c>
      <c r="H140" s="61" t="str">
        <f>SUMIFS('Element wise-detail Summary'!$I$3:$I$1048576,'Element wise-detail Summary'!$B$3:$B$1048576,A140,'Element wise-detail Summary'!$C$3:$C$1048576,B140)</f>
        <v>0</v>
      </c>
      <c r="I140" s="59" t="str">
        <f t="shared" si="142"/>
        <v>16</v>
      </c>
      <c r="J140" s="63" t="str">
        <f t="shared" si="143"/>
        <v>0%</v>
      </c>
      <c r="K140" s="64" t="str">
        <f t="shared" si="144"/>
        <v>13</v>
      </c>
      <c r="L140" s="61" t="str">
        <f>SUMIFS('Element wise-detail Summary'!$M$3:$M$1048576,'Element wise-detail Summary'!$B$3:$B$1048576,A140,'Element wise-detail Summary'!$C$3:$C$1048576,B140)</f>
        <v>0</v>
      </c>
      <c r="M140" s="59" t="str">
        <f t="shared" si="145"/>
        <v>16</v>
      </c>
      <c r="N140" s="63" t="str">
        <f t="shared" si="146"/>
        <v>0%</v>
      </c>
      <c r="O140" s="65"/>
      <c r="P140" s="27" t="str">
        <f t="shared" si="136"/>
        <v>0</v>
      </c>
      <c r="Q140" s="56" t="str">
        <f>_xlfn.MAXIFS([1]Details!$B:$B,[1]Details!$G:$G,B140)</f>
        <v>#ERROR!</v>
      </c>
    </row>
    <row r="141" ht="24.75" customHeight="1" outlineLevel="1">
      <c r="A141" s="57" t="s">
        <v>149</v>
      </c>
      <c r="B141" s="58" t="s">
        <v>155</v>
      </c>
      <c r="C141" s="59">
        <v>16.0</v>
      </c>
      <c r="D141" s="60" t="str">
        <f>SUMIFS('Element wise-detail Summary'!$F$3:$F$1048576,'Element wise-detail Summary'!$B$3:$B$1048576,Summary!$A141,'Element wise-detail Summary'!$C$3:$C$1048576,Summary!B141)</f>
        <v>16</v>
      </c>
      <c r="E141" s="61" t="str">
        <f>SUMIFS('Element wise-detail Summary'!$G$3:$G$1048576,'Element wise-detail Summary'!$B$3:$B$1048576,Summary!$A141,'Element wise-detail Summary'!$C$3:$C$1048576,Summary!B141)</f>
        <v>13</v>
      </c>
      <c r="F141" s="59" t="str">
        <f t="shared" si="140"/>
        <v>3</v>
      </c>
      <c r="G141" s="62" t="str">
        <f t="shared" si="141"/>
        <v>81%</v>
      </c>
      <c r="H141" s="61" t="str">
        <f>SUMIFS('Element wise-detail Summary'!$I$3:$I$1048576,'Element wise-detail Summary'!$B$3:$B$1048576,A141,'Element wise-detail Summary'!$C$3:$C$1048576,B141)</f>
        <v>0</v>
      </c>
      <c r="I141" s="59" t="str">
        <f t="shared" si="142"/>
        <v>16</v>
      </c>
      <c r="J141" s="63" t="str">
        <f t="shared" si="143"/>
        <v>0%</v>
      </c>
      <c r="K141" s="64" t="str">
        <f t="shared" si="144"/>
        <v>13</v>
      </c>
      <c r="L141" s="61" t="str">
        <f>SUMIFS('Element wise-detail Summary'!$M$3:$M$1048576,'Element wise-detail Summary'!$B$3:$B$1048576,A141,'Element wise-detail Summary'!$C$3:$C$1048576,B141)</f>
        <v>0</v>
      </c>
      <c r="M141" s="59" t="str">
        <f t="shared" si="145"/>
        <v>16</v>
      </c>
      <c r="N141" s="63" t="str">
        <f t="shared" si="146"/>
        <v>0%</v>
      </c>
      <c r="O141" s="65"/>
      <c r="P141" s="27" t="str">
        <f t="shared" si="136"/>
        <v>0</v>
      </c>
      <c r="Q141" s="56" t="str">
        <f>_xlfn.MAXIFS([1]Details!$B:$B,[1]Details!$G:$G,B141)</f>
        <v>#ERROR!</v>
      </c>
    </row>
    <row r="142" ht="24.75" customHeight="1" outlineLevel="1">
      <c r="A142" s="57" t="s">
        <v>149</v>
      </c>
      <c r="B142" s="58" t="s">
        <v>156</v>
      </c>
      <c r="C142" s="59">
        <v>16.0</v>
      </c>
      <c r="D142" s="60" t="str">
        <f>SUMIFS('Element wise-detail Summary'!$F$3:$F$1048576,'Element wise-detail Summary'!$B$3:$B$1048576,Summary!$A142,'Element wise-detail Summary'!$C$3:$C$1048576,Summary!B142)</f>
        <v>15</v>
      </c>
      <c r="E142" s="61" t="str">
        <f>SUMIFS('Element wise-detail Summary'!$G$3:$G$1048576,'Element wise-detail Summary'!$B$3:$B$1048576,Summary!$A142,'Element wise-detail Summary'!$C$3:$C$1048576,Summary!B142)</f>
        <v>11</v>
      </c>
      <c r="F142" s="59" t="str">
        <f t="shared" si="140"/>
        <v>4</v>
      </c>
      <c r="G142" s="62" t="str">
        <f t="shared" si="141"/>
        <v>69%</v>
      </c>
      <c r="H142" s="61" t="str">
        <f>SUMIFS('Element wise-detail Summary'!$I$3:$I$1048576,'Element wise-detail Summary'!$B$3:$B$1048576,A142,'Element wise-detail Summary'!$C$3:$C$1048576,B142)</f>
        <v>0</v>
      </c>
      <c r="I142" s="59" t="str">
        <f t="shared" si="142"/>
        <v>15</v>
      </c>
      <c r="J142" s="63" t="str">
        <f t="shared" si="143"/>
        <v>0%</v>
      </c>
      <c r="K142" s="64" t="str">
        <f t="shared" si="144"/>
        <v>11</v>
      </c>
      <c r="L142" s="61" t="str">
        <f>SUMIFS('Element wise-detail Summary'!$M$3:$M$1048576,'Element wise-detail Summary'!$B$3:$B$1048576,A142,'Element wise-detail Summary'!$C$3:$C$1048576,B142)</f>
        <v>0</v>
      </c>
      <c r="M142" s="59" t="str">
        <f t="shared" si="145"/>
        <v>15</v>
      </c>
      <c r="N142" s="63" t="str">
        <f t="shared" si="146"/>
        <v>0%</v>
      </c>
      <c r="O142" s="65"/>
      <c r="P142" s="27" t="str">
        <f t="shared" si="136"/>
        <v>1</v>
      </c>
      <c r="Q142" s="56" t="str">
        <f>_xlfn.MAXIFS([1]Details!$B:$B,[1]Details!$G:$G,B142)</f>
        <v>#ERROR!</v>
      </c>
    </row>
    <row r="143" ht="24.75" customHeight="1" outlineLevel="1">
      <c r="A143" s="57" t="s">
        <v>149</v>
      </c>
      <c r="B143" s="58" t="s">
        <v>157</v>
      </c>
      <c r="C143" s="59">
        <v>16.0</v>
      </c>
      <c r="D143" s="60" t="str">
        <f>SUMIFS('Element wise-detail Summary'!$F$3:$F$1048576,'Element wise-detail Summary'!$B$3:$B$1048576,Summary!$A143,'Element wise-detail Summary'!$C$3:$C$1048576,Summary!B143)</f>
        <v>14</v>
      </c>
      <c r="E143" s="61" t="str">
        <f>SUMIFS('Element wise-detail Summary'!$G$3:$G$1048576,'Element wise-detail Summary'!$B$3:$B$1048576,Summary!$A143,'Element wise-detail Summary'!$C$3:$C$1048576,Summary!B143)</f>
        <v>10</v>
      </c>
      <c r="F143" s="59" t="str">
        <f t="shared" si="140"/>
        <v>4</v>
      </c>
      <c r="G143" s="62" t="str">
        <f t="shared" si="141"/>
        <v>63%</v>
      </c>
      <c r="H143" s="61" t="str">
        <f>SUMIFS('Element wise-detail Summary'!$I$3:$I$1048576,'Element wise-detail Summary'!$B$3:$B$1048576,A143,'Element wise-detail Summary'!$C$3:$C$1048576,B143)</f>
        <v>0</v>
      </c>
      <c r="I143" s="59" t="str">
        <f t="shared" si="142"/>
        <v>14</v>
      </c>
      <c r="J143" s="63" t="str">
        <f t="shared" si="143"/>
        <v>0%</v>
      </c>
      <c r="K143" s="64" t="str">
        <f t="shared" si="144"/>
        <v>10</v>
      </c>
      <c r="L143" s="61" t="str">
        <f>SUMIFS('Element wise-detail Summary'!$M$3:$M$1048576,'Element wise-detail Summary'!$B$3:$B$1048576,A143,'Element wise-detail Summary'!$C$3:$C$1048576,B143)</f>
        <v>0</v>
      </c>
      <c r="M143" s="59" t="str">
        <f t="shared" si="145"/>
        <v>14</v>
      </c>
      <c r="N143" s="63" t="str">
        <f t="shared" si="146"/>
        <v>0%</v>
      </c>
      <c r="O143" s="65"/>
      <c r="P143" s="27" t="str">
        <f t="shared" si="136"/>
        <v>2</v>
      </c>
      <c r="Q143" s="56" t="str">
        <f>_xlfn.MAXIFS([1]Details!$B:$B,[1]Details!$G:$G,B143)</f>
        <v>#ERROR!</v>
      </c>
    </row>
    <row r="144" ht="24.75" customHeight="1">
      <c r="A144" s="38" t="s">
        <v>149</v>
      </c>
      <c r="B144" s="39" t="str">
        <f>COUNTA(B136:B143) &amp; " NOS"</f>
        <v>8 NOS</v>
      </c>
      <c r="C144" s="40" t="str">
        <f t="shared" ref="C144:F144" si="147">SUM(C136:C143)</f>
        <v>149</v>
      </c>
      <c r="D144" s="41" t="str">
        <f t="shared" si="147"/>
        <v>134</v>
      </c>
      <c r="E144" s="42" t="str">
        <f t="shared" si="147"/>
        <v>95</v>
      </c>
      <c r="F144" s="40" t="str">
        <f t="shared" si="147"/>
        <v>39</v>
      </c>
      <c r="G144" s="43" t="str">
        <f t="shared" si="141"/>
        <v>64%</v>
      </c>
      <c r="H144" s="42" t="str">
        <f t="shared" ref="H144:I144" si="148">SUM(H136:H143)</f>
        <v>0</v>
      </c>
      <c r="I144" s="40" t="str">
        <f t="shared" si="148"/>
        <v>134</v>
      </c>
      <c r="J144" s="44" t="str">
        <f t="shared" si="143"/>
        <v>0%</v>
      </c>
      <c r="K144" s="45" t="str">
        <f t="shared" ref="K144:L144" si="149">SUM(K136:K143)</f>
        <v>95</v>
      </c>
      <c r="L144" s="42" t="str">
        <f t="shared" si="149"/>
        <v>0</v>
      </c>
      <c r="M144" s="40" t="str">
        <f t="shared" si="145"/>
        <v>134</v>
      </c>
      <c r="N144" s="44" t="str">
        <f t="shared" si="146"/>
        <v>0%</v>
      </c>
      <c r="O144" s="46"/>
      <c r="P144" s="27" t="str">
        <f t="shared" si="136"/>
        <v>15</v>
      </c>
      <c r="Q144" s="27"/>
    </row>
    <row r="145" ht="7.5" customHeight="1">
      <c r="A145" s="66"/>
      <c r="B145" s="67"/>
      <c r="C145" s="68"/>
      <c r="D145" s="69"/>
      <c r="E145" s="70"/>
      <c r="F145" s="68"/>
      <c r="G145" s="71"/>
      <c r="H145" s="70"/>
      <c r="I145" s="68"/>
      <c r="J145" s="72"/>
      <c r="K145" s="68"/>
      <c r="L145" s="70"/>
      <c r="M145" s="68"/>
      <c r="N145" s="72"/>
      <c r="O145" s="73"/>
      <c r="P145" s="27"/>
      <c r="Q145" s="27"/>
    </row>
    <row r="146" ht="24.75" customHeight="1" outlineLevel="1">
      <c r="A146" s="18" t="s">
        <v>158</v>
      </c>
      <c r="B146" s="19" t="s">
        <v>159</v>
      </c>
      <c r="C146" s="20">
        <v>20.0</v>
      </c>
      <c r="D146" s="21" t="str">
        <f>SUMIFS('Element wise-detail Summary'!$F$3:$F$1048576,'Element wise-detail Summary'!$B$3:$B$1048576,Summary!$A146,'Element wise-detail Summary'!$C$3:$C$1048576,Summary!B146)</f>
        <v>20</v>
      </c>
      <c r="E146" s="22" t="str">
        <f>SUMIFS('Element wise-detail Summary'!$G$3:$G$1048576,'Element wise-detail Summary'!$B$3:$B$1048576,Summary!$A146,'Element wise-detail Summary'!$C$3:$C$1048576,Summary!B146)</f>
        <v>19</v>
      </c>
      <c r="F146" s="20" t="str">
        <f t="shared" ref="F146:F160" si="150">D146-E146</f>
        <v>1</v>
      </c>
      <c r="G146" s="23" t="str">
        <f t="shared" ref="G146:G161" si="151">E146/C146</f>
        <v>95%</v>
      </c>
      <c r="H146" s="22" t="str">
        <f>SUMIFS('Element wise-detail Summary'!$I$3:$I$1048576,'Element wise-detail Summary'!$B$3:$B$1048576,A146,'Element wise-detail Summary'!$C$3:$C$1048576,B146)</f>
        <v>0</v>
      </c>
      <c r="I146" s="20" t="str">
        <f t="shared" ref="I146:I160" si="152">D146-H146</f>
        <v>20</v>
      </c>
      <c r="J146" s="24" t="str">
        <f t="shared" ref="J146:J161" si="153">H146/C146</f>
        <v>0%</v>
      </c>
      <c r="K146" s="25" t="str">
        <f t="shared" ref="K146:K160" si="154">E146-H146</f>
        <v>19</v>
      </c>
      <c r="L146" s="22" t="str">
        <f>SUMIFS('Element wise-detail Summary'!$M$3:$M$1048576,'Element wise-detail Summary'!$B$3:$B$1048576,A146,'Element wise-detail Summary'!$C$3:$C$1048576,B146)</f>
        <v>0</v>
      </c>
      <c r="M146" s="20" t="str">
        <f t="shared" ref="M146:M161" si="155">D146-L146</f>
        <v>20</v>
      </c>
      <c r="N146" s="24" t="str">
        <f t="shared" ref="N146:N161" si="156">L146/C146</f>
        <v>0%</v>
      </c>
      <c r="O146" s="55"/>
      <c r="P146" s="27" t="str">
        <f t="shared" ref="P146:P161" si="157">+C146-D146</f>
        <v>0</v>
      </c>
      <c r="Q146" s="56" t="str">
        <f>_xlfn.MAXIFS([1]Details!$B:$B,[1]Details!$G:$G,B146)</f>
        <v>#ERROR!</v>
      </c>
    </row>
    <row r="147" ht="24.75" customHeight="1" outlineLevel="1">
      <c r="A147" s="18" t="s">
        <v>158</v>
      </c>
      <c r="B147" s="19" t="s">
        <v>160</v>
      </c>
      <c r="C147" s="20">
        <v>25.0</v>
      </c>
      <c r="D147" s="21" t="str">
        <f>SUMIFS('Element wise-detail Summary'!$F$3:$F$1048576,'Element wise-detail Summary'!$B$3:$B$1048576,Summary!$A147,'Element wise-detail Summary'!$C$3:$C$1048576,Summary!B147)</f>
        <v>25</v>
      </c>
      <c r="E147" s="22" t="str">
        <f>SUMIFS('Element wise-detail Summary'!$G$3:$G$1048576,'Element wise-detail Summary'!$B$3:$B$1048576,Summary!$A147,'Element wise-detail Summary'!$C$3:$C$1048576,Summary!B147)</f>
        <v>24</v>
      </c>
      <c r="F147" s="20" t="str">
        <f t="shared" si="150"/>
        <v>1</v>
      </c>
      <c r="G147" s="23" t="str">
        <f t="shared" si="151"/>
        <v>96%</v>
      </c>
      <c r="H147" s="22" t="str">
        <f>SUMIFS('Element wise-detail Summary'!$I$3:$I$1048576,'Element wise-detail Summary'!$B$3:$B$1048576,A147,'Element wise-detail Summary'!$C$3:$C$1048576,B147)</f>
        <v>0</v>
      </c>
      <c r="I147" s="20" t="str">
        <f t="shared" si="152"/>
        <v>25</v>
      </c>
      <c r="J147" s="24" t="str">
        <f t="shared" si="153"/>
        <v>0%</v>
      </c>
      <c r="K147" s="25" t="str">
        <f t="shared" si="154"/>
        <v>24</v>
      </c>
      <c r="L147" s="22" t="str">
        <f>SUMIFS('Element wise-detail Summary'!$M$3:$M$1048576,'Element wise-detail Summary'!$B$3:$B$1048576,A147,'Element wise-detail Summary'!$C$3:$C$1048576,B147)</f>
        <v>0</v>
      </c>
      <c r="M147" s="20" t="str">
        <f t="shared" si="155"/>
        <v>25</v>
      </c>
      <c r="N147" s="24" t="str">
        <f t="shared" si="156"/>
        <v>0%</v>
      </c>
      <c r="O147" s="55"/>
      <c r="P147" s="27" t="str">
        <f t="shared" si="157"/>
        <v>0</v>
      </c>
      <c r="Q147" s="56" t="str">
        <f>_xlfn.MAXIFS([1]Details!$B:$B,[1]Details!$G:$G,B147)</f>
        <v>#ERROR!</v>
      </c>
    </row>
    <row r="148" ht="24.75" customHeight="1" outlineLevel="1">
      <c r="A148" s="18" t="s">
        <v>158</v>
      </c>
      <c r="B148" s="19" t="s">
        <v>161</v>
      </c>
      <c r="C148" s="20">
        <v>35.0</v>
      </c>
      <c r="D148" s="21" t="str">
        <f>SUMIFS('Element wise-detail Summary'!$F$3:$F$1048576,'Element wise-detail Summary'!$B$3:$B$1048576,Summary!$A148,'Element wise-detail Summary'!$C$3:$C$1048576,Summary!B148)</f>
        <v>35</v>
      </c>
      <c r="E148" s="22" t="str">
        <f>SUMIFS('Element wise-detail Summary'!$G$3:$G$1048576,'Element wise-detail Summary'!$B$3:$B$1048576,Summary!$A148,'Element wise-detail Summary'!$C$3:$C$1048576,Summary!B148)</f>
        <v>20</v>
      </c>
      <c r="F148" s="20" t="str">
        <f t="shared" si="150"/>
        <v>15</v>
      </c>
      <c r="G148" s="23" t="str">
        <f t="shared" si="151"/>
        <v>57%</v>
      </c>
      <c r="H148" s="22" t="str">
        <f>SUMIFS('Element wise-detail Summary'!$I$3:$I$1048576,'Element wise-detail Summary'!$B$3:$B$1048576,A148,'Element wise-detail Summary'!$C$3:$C$1048576,B148)</f>
        <v>0</v>
      </c>
      <c r="I148" s="20" t="str">
        <f t="shared" si="152"/>
        <v>35</v>
      </c>
      <c r="J148" s="24" t="str">
        <f t="shared" si="153"/>
        <v>0%</v>
      </c>
      <c r="K148" s="25" t="str">
        <f t="shared" si="154"/>
        <v>20</v>
      </c>
      <c r="L148" s="22" t="str">
        <f>SUMIFS('Element wise-detail Summary'!$M$3:$M$1048576,'Element wise-detail Summary'!$B$3:$B$1048576,A148,'Element wise-detail Summary'!$C$3:$C$1048576,B148)</f>
        <v>0</v>
      </c>
      <c r="M148" s="20" t="str">
        <f t="shared" si="155"/>
        <v>35</v>
      </c>
      <c r="N148" s="24" t="str">
        <f t="shared" si="156"/>
        <v>0%</v>
      </c>
      <c r="O148" s="55"/>
      <c r="P148" s="27" t="str">
        <f t="shared" si="157"/>
        <v>0</v>
      </c>
      <c r="Q148" s="56" t="str">
        <f>_xlfn.MAXIFS([1]Details!$B:$B,[1]Details!$G:$G,B148)</f>
        <v>#ERROR!</v>
      </c>
    </row>
    <row r="149" ht="24.75" customHeight="1" outlineLevel="1">
      <c r="A149" s="18" t="s">
        <v>158</v>
      </c>
      <c r="B149" s="19" t="s">
        <v>162</v>
      </c>
      <c r="C149" s="20">
        <v>32.0</v>
      </c>
      <c r="D149" s="21" t="str">
        <f>SUMIFS('Element wise-detail Summary'!$F$3:$F$1048576,'Element wise-detail Summary'!$B$3:$B$1048576,Summary!$A149,'Element wise-detail Summary'!$C$3:$C$1048576,Summary!B149)</f>
        <v>32</v>
      </c>
      <c r="E149" s="22" t="str">
        <f>SUMIFS('Element wise-detail Summary'!$G$3:$G$1048576,'Element wise-detail Summary'!$B$3:$B$1048576,Summary!$A149,'Element wise-detail Summary'!$C$3:$C$1048576,Summary!B149)</f>
        <v>11</v>
      </c>
      <c r="F149" s="20" t="str">
        <f t="shared" si="150"/>
        <v>21</v>
      </c>
      <c r="G149" s="23" t="str">
        <f t="shared" si="151"/>
        <v>34%</v>
      </c>
      <c r="H149" s="22" t="str">
        <f>SUMIFS('Element wise-detail Summary'!$I$3:$I$1048576,'Element wise-detail Summary'!$B$3:$B$1048576,A149,'Element wise-detail Summary'!$C$3:$C$1048576,B149)</f>
        <v>0</v>
      </c>
      <c r="I149" s="20" t="str">
        <f t="shared" si="152"/>
        <v>32</v>
      </c>
      <c r="J149" s="24" t="str">
        <f t="shared" si="153"/>
        <v>0%</v>
      </c>
      <c r="K149" s="25" t="str">
        <f t="shared" si="154"/>
        <v>11</v>
      </c>
      <c r="L149" s="22" t="str">
        <f>SUMIFS('Element wise-detail Summary'!$M$3:$M$1048576,'Element wise-detail Summary'!$B$3:$B$1048576,A149,'Element wise-detail Summary'!$C$3:$C$1048576,B149)</f>
        <v>0</v>
      </c>
      <c r="M149" s="20" t="str">
        <f t="shared" si="155"/>
        <v>32</v>
      </c>
      <c r="N149" s="24" t="str">
        <f t="shared" si="156"/>
        <v>0%</v>
      </c>
      <c r="O149" s="55"/>
      <c r="P149" s="27" t="str">
        <f t="shared" si="157"/>
        <v>0</v>
      </c>
      <c r="Q149" s="56" t="str">
        <f>_xlfn.MAXIFS([1]Details!$B:$B,[1]Details!$G:$G,B149)</f>
        <v>#ERROR!</v>
      </c>
    </row>
    <row r="150" ht="24.75" customHeight="1" outlineLevel="1">
      <c r="A150" s="18" t="s">
        <v>158</v>
      </c>
      <c r="B150" s="19" t="s">
        <v>163</v>
      </c>
      <c r="C150" s="20">
        <v>24.0</v>
      </c>
      <c r="D150" s="21" t="str">
        <f>SUMIFS('Element wise-detail Summary'!$F$3:$F$1048576,'Element wise-detail Summary'!$B$3:$B$1048576,Summary!$A150,'Element wise-detail Summary'!$C$3:$C$1048576,Summary!B150)</f>
        <v>24</v>
      </c>
      <c r="E150" s="22" t="str">
        <f>SUMIFS('Element wise-detail Summary'!$G$3:$G$1048576,'Element wise-detail Summary'!$B$3:$B$1048576,Summary!$A150,'Element wise-detail Summary'!$C$3:$C$1048576,Summary!B150)</f>
        <v>15</v>
      </c>
      <c r="F150" s="20" t="str">
        <f t="shared" si="150"/>
        <v>9</v>
      </c>
      <c r="G150" s="23" t="str">
        <f t="shared" si="151"/>
        <v>63%</v>
      </c>
      <c r="H150" s="22" t="str">
        <f>SUMIFS('Element wise-detail Summary'!$I$3:$I$1048576,'Element wise-detail Summary'!$B$3:$B$1048576,A150,'Element wise-detail Summary'!$C$3:$C$1048576,B150)</f>
        <v>0</v>
      </c>
      <c r="I150" s="20" t="str">
        <f t="shared" si="152"/>
        <v>24</v>
      </c>
      <c r="J150" s="24" t="str">
        <f t="shared" si="153"/>
        <v>0%</v>
      </c>
      <c r="K150" s="25" t="str">
        <f t="shared" si="154"/>
        <v>15</v>
      </c>
      <c r="L150" s="22" t="str">
        <f>SUMIFS('Element wise-detail Summary'!$M$3:$M$1048576,'Element wise-detail Summary'!$B$3:$B$1048576,A150,'Element wise-detail Summary'!$C$3:$C$1048576,B150)</f>
        <v>0</v>
      </c>
      <c r="M150" s="20" t="str">
        <f t="shared" si="155"/>
        <v>24</v>
      </c>
      <c r="N150" s="24" t="str">
        <f t="shared" si="156"/>
        <v>0%</v>
      </c>
      <c r="O150" s="55"/>
      <c r="P150" s="27" t="str">
        <f t="shared" si="157"/>
        <v>0</v>
      </c>
      <c r="Q150" s="56" t="str">
        <f>_xlfn.MAXIFS([1]Details!$B:$B,[1]Details!$G:$G,B150)</f>
        <v>#ERROR!</v>
      </c>
    </row>
    <row r="151" ht="24.75" customHeight="1" outlineLevel="1">
      <c r="A151" s="18" t="s">
        <v>158</v>
      </c>
      <c r="B151" s="19" t="s">
        <v>164</v>
      </c>
      <c r="C151" s="20">
        <v>21.0</v>
      </c>
      <c r="D151" s="21" t="str">
        <f>SUMIFS('Element wise-detail Summary'!$F$3:$F$1048576,'Element wise-detail Summary'!$B$3:$B$1048576,Summary!$A151,'Element wise-detail Summary'!$C$3:$C$1048576,Summary!B151)</f>
        <v>21</v>
      </c>
      <c r="E151" s="22" t="str">
        <f>SUMIFS('Element wise-detail Summary'!$G$3:$G$1048576,'Element wise-detail Summary'!$B$3:$B$1048576,Summary!$A151,'Element wise-detail Summary'!$C$3:$C$1048576,Summary!B151)</f>
        <v>14</v>
      </c>
      <c r="F151" s="20" t="str">
        <f t="shared" si="150"/>
        <v>7</v>
      </c>
      <c r="G151" s="23" t="str">
        <f t="shared" si="151"/>
        <v>67%</v>
      </c>
      <c r="H151" s="22" t="str">
        <f>SUMIFS('Element wise-detail Summary'!$I$3:$I$1048576,'Element wise-detail Summary'!$B$3:$B$1048576,A151,'Element wise-detail Summary'!$C$3:$C$1048576,B151)</f>
        <v>0</v>
      </c>
      <c r="I151" s="20" t="str">
        <f t="shared" si="152"/>
        <v>21</v>
      </c>
      <c r="J151" s="24" t="str">
        <f t="shared" si="153"/>
        <v>0%</v>
      </c>
      <c r="K151" s="25" t="str">
        <f t="shared" si="154"/>
        <v>14</v>
      </c>
      <c r="L151" s="22" t="str">
        <f>SUMIFS('Element wise-detail Summary'!$M$3:$M$1048576,'Element wise-detail Summary'!$B$3:$B$1048576,A151,'Element wise-detail Summary'!$C$3:$C$1048576,B151)</f>
        <v>0</v>
      </c>
      <c r="M151" s="20" t="str">
        <f t="shared" si="155"/>
        <v>21</v>
      </c>
      <c r="N151" s="24" t="str">
        <f t="shared" si="156"/>
        <v>0%</v>
      </c>
      <c r="O151" s="55"/>
      <c r="P151" s="27" t="str">
        <f t="shared" si="157"/>
        <v>0</v>
      </c>
      <c r="Q151" s="56" t="str">
        <f>_xlfn.MAXIFS([1]Details!$B:$B,[1]Details!$G:$G,B151)</f>
        <v>#ERROR!</v>
      </c>
    </row>
    <row r="152" ht="24.75" customHeight="1" outlineLevel="1">
      <c r="A152" s="18" t="s">
        <v>158</v>
      </c>
      <c r="B152" s="19" t="s">
        <v>165</v>
      </c>
      <c r="C152" s="20">
        <v>16.0</v>
      </c>
      <c r="D152" s="21" t="str">
        <f>SUMIFS('Element wise-detail Summary'!$F$3:$F$1048576,'Element wise-detail Summary'!$B$3:$B$1048576,Summary!$A152,'Element wise-detail Summary'!$C$3:$C$1048576,Summary!B152)</f>
        <v>16</v>
      </c>
      <c r="E152" s="22" t="str">
        <f>SUMIFS('Element wise-detail Summary'!$G$3:$G$1048576,'Element wise-detail Summary'!$B$3:$B$1048576,Summary!$A152,'Element wise-detail Summary'!$C$3:$C$1048576,Summary!B152)</f>
        <v>9</v>
      </c>
      <c r="F152" s="20" t="str">
        <f t="shared" si="150"/>
        <v>7</v>
      </c>
      <c r="G152" s="23" t="str">
        <f t="shared" si="151"/>
        <v>56%</v>
      </c>
      <c r="H152" s="22" t="str">
        <f>SUMIFS('Element wise-detail Summary'!$I$3:$I$1048576,'Element wise-detail Summary'!$B$3:$B$1048576,A152,'Element wise-detail Summary'!$C$3:$C$1048576,B152)</f>
        <v>0</v>
      </c>
      <c r="I152" s="20" t="str">
        <f t="shared" si="152"/>
        <v>16</v>
      </c>
      <c r="J152" s="24" t="str">
        <f t="shared" si="153"/>
        <v>0%</v>
      </c>
      <c r="K152" s="25" t="str">
        <f t="shared" si="154"/>
        <v>9</v>
      </c>
      <c r="L152" s="22" t="str">
        <f>SUMIFS('Element wise-detail Summary'!$M$3:$M$1048576,'Element wise-detail Summary'!$B$3:$B$1048576,A152,'Element wise-detail Summary'!$C$3:$C$1048576,B152)</f>
        <v>0</v>
      </c>
      <c r="M152" s="20" t="str">
        <f t="shared" si="155"/>
        <v>16</v>
      </c>
      <c r="N152" s="24" t="str">
        <f t="shared" si="156"/>
        <v>0%</v>
      </c>
      <c r="O152" s="55"/>
      <c r="P152" s="27" t="str">
        <f t="shared" si="157"/>
        <v>0</v>
      </c>
      <c r="Q152" s="56" t="str">
        <f>_xlfn.MAXIFS([1]Details!$B:$B,[1]Details!$G:$G,B152)</f>
        <v>#ERROR!</v>
      </c>
    </row>
    <row r="153" ht="24.75" customHeight="1" outlineLevel="1">
      <c r="A153" s="18" t="s">
        <v>158</v>
      </c>
      <c r="B153" s="19" t="s">
        <v>166</v>
      </c>
      <c r="C153" s="20">
        <v>16.0</v>
      </c>
      <c r="D153" s="21" t="str">
        <f>SUMIFS('Element wise-detail Summary'!$F$3:$F$1048576,'Element wise-detail Summary'!$B$3:$B$1048576,Summary!$A153,'Element wise-detail Summary'!$C$3:$C$1048576,Summary!B153)</f>
        <v>16</v>
      </c>
      <c r="E153" s="22" t="str">
        <f>SUMIFS('Element wise-detail Summary'!$G$3:$G$1048576,'Element wise-detail Summary'!$B$3:$B$1048576,Summary!$A153,'Element wise-detail Summary'!$C$3:$C$1048576,Summary!B153)</f>
        <v>9</v>
      </c>
      <c r="F153" s="20" t="str">
        <f t="shared" si="150"/>
        <v>7</v>
      </c>
      <c r="G153" s="23" t="str">
        <f t="shared" si="151"/>
        <v>56%</v>
      </c>
      <c r="H153" s="22" t="str">
        <f>SUMIFS('Element wise-detail Summary'!$I$3:$I$1048576,'Element wise-detail Summary'!$B$3:$B$1048576,A153,'Element wise-detail Summary'!$C$3:$C$1048576,B153)</f>
        <v>0</v>
      </c>
      <c r="I153" s="20" t="str">
        <f t="shared" si="152"/>
        <v>16</v>
      </c>
      <c r="J153" s="24" t="str">
        <f t="shared" si="153"/>
        <v>0%</v>
      </c>
      <c r="K153" s="25" t="str">
        <f t="shared" si="154"/>
        <v>9</v>
      </c>
      <c r="L153" s="22" t="str">
        <f>SUMIFS('Element wise-detail Summary'!$M$3:$M$1048576,'Element wise-detail Summary'!$B$3:$B$1048576,A153,'Element wise-detail Summary'!$C$3:$C$1048576,B153)</f>
        <v>0</v>
      </c>
      <c r="M153" s="20" t="str">
        <f t="shared" si="155"/>
        <v>16</v>
      </c>
      <c r="N153" s="24" t="str">
        <f t="shared" si="156"/>
        <v>0%</v>
      </c>
      <c r="O153" s="55"/>
      <c r="P153" s="27" t="str">
        <f t="shared" si="157"/>
        <v>0</v>
      </c>
      <c r="Q153" s="56" t="str">
        <f>_xlfn.MAXIFS([1]Details!$B:$B,[1]Details!$G:$G,B153)</f>
        <v>#ERROR!</v>
      </c>
    </row>
    <row r="154" ht="24.75" customHeight="1" outlineLevel="1">
      <c r="A154" s="18" t="s">
        <v>158</v>
      </c>
      <c r="B154" s="19" t="s">
        <v>167</v>
      </c>
      <c r="C154" s="20">
        <v>16.0</v>
      </c>
      <c r="D154" s="21" t="str">
        <f>SUMIFS('Element wise-detail Summary'!$F$3:$F$1048576,'Element wise-detail Summary'!$B$3:$B$1048576,Summary!$A154,'Element wise-detail Summary'!$C$3:$C$1048576,Summary!B154)</f>
        <v>16</v>
      </c>
      <c r="E154" s="22" t="str">
        <f>SUMIFS('Element wise-detail Summary'!$G$3:$G$1048576,'Element wise-detail Summary'!$B$3:$B$1048576,Summary!$A154,'Element wise-detail Summary'!$C$3:$C$1048576,Summary!B154)</f>
        <v>8</v>
      </c>
      <c r="F154" s="20" t="str">
        <f t="shared" si="150"/>
        <v>8</v>
      </c>
      <c r="G154" s="23" t="str">
        <f t="shared" si="151"/>
        <v>50%</v>
      </c>
      <c r="H154" s="22" t="str">
        <f>SUMIFS('Element wise-detail Summary'!$I$3:$I$1048576,'Element wise-detail Summary'!$B$3:$B$1048576,A154,'Element wise-detail Summary'!$C$3:$C$1048576,B154)</f>
        <v>0</v>
      </c>
      <c r="I154" s="20" t="str">
        <f t="shared" si="152"/>
        <v>16</v>
      </c>
      <c r="J154" s="24" t="str">
        <f t="shared" si="153"/>
        <v>0%</v>
      </c>
      <c r="K154" s="25" t="str">
        <f t="shared" si="154"/>
        <v>8</v>
      </c>
      <c r="L154" s="22" t="str">
        <f>SUMIFS('Element wise-detail Summary'!$M$3:$M$1048576,'Element wise-detail Summary'!$B$3:$B$1048576,A154,'Element wise-detail Summary'!$C$3:$C$1048576,B154)</f>
        <v>0</v>
      </c>
      <c r="M154" s="20" t="str">
        <f t="shared" si="155"/>
        <v>16</v>
      </c>
      <c r="N154" s="24" t="str">
        <f t="shared" si="156"/>
        <v>0%</v>
      </c>
      <c r="O154" s="55"/>
      <c r="P154" s="27" t="str">
        <f t="shared" si="157"/>
        <v>0</v>
      </c>
      <c r="Q154" s="56" t="str">
        <f>_xlfn.MAXIFS([1]Details!$B:$B,[1]Details!$G:$G,B154)</f>
        <v>#ERROR!</v>
      </c>
    </row>
    <row r="155" ht="24.75" customHeight="1" outlineLevel="1">
      <c r="A155" s="18" t="s">
        <v>158</v>
      </c>
      <c r="B155" s="19" t="s">
        <v>168</v>
      </c>
      <c r="C155" s="20">
        <v>16.0</v>
      </c>
      <c r="D155" s="21" t="str">
        <f>SUMIFS('Element wise-detail Summary'!$F$3:$F$1048576,'Element wise-detail Summary'!$B$3:$B$1048576,Summary!$A155,'Element wise-detail Summary'!$C$3:$C$1048576,Summary!B155)</f>
        <v>16</v>
      </c>
      <c r="E155" s="22" t="str">
        <f>SUMIFS('Element wise-detail Summary'!$G$3:$G$1048576,'Element wise-detail Summary'!$B$3:$B$1048576,Summary!$A155,'Element wise-detail Summary'!$C$3:$C$1048576,Summary!B155)</f>
        <v>8</v>
      </c>
      <c r="F155" s="20" t="str">
        <f t="shared" si="150"/>
        <v>8</v>
      </c>
      <c r="G155" s="23" t="str">
        <f t="shared" si="151"/>
        <v>50%</v>
      </c>
      <c r="H155" s="22" t="str">
        <f>SUMIFS('Element wise-detail Summary'!$I$3:$I$1048576,'Element wise-detail Summary'!$B$3:$B$1048576,A155,'Element wise-detail Summary'!$C$3:$C$1048576,B155)</f>
        <v>0</v>
      </c>
      <c r="I155" s="20" t="str">
        <f t="shared" si="152"/>
        <v>16</v>
      </c>
      <c r="J155" s="24" t="str">
        <f t="shared" si="153"/>
        <v>0%</v>
      </c>
      <c r="K155" s="25" t="str">
        <f t="shared" si="154"/>
        <v>8</v>
      </c>
      <c r="L155" s="22" t="str">
        <f>SUMIFS('Element wise-detail Summary'!$M$3:$M$1048576,'Element wise-detail Summary'!$B$3:$B$1048576,A155,'Element wise-detail Summary'!$C$3:$C$1048576,B155)</f>
        <v>0</v>
      </c>
      <c r="M155" s="20" t="str">
        <f t="shared" si="155"/>
        <v>16</v>
      </c>
      <c r="N155" s="24" t="str">
        <f t="shared" si="156"/>
        <v>0%</v>
      </c>
      <c r="O155" s="55"/>
      <c r="P155" s="27" t="str">
        <f t="shared" si="157"/>
        <v>0</v>
      </c>
      <c r="Q155" s="56" t="str">
        <f>_xlfn.MAXIFS([1]Details!$B:$B,[1]Details!$G:$G,B155)</f>
        <v>#ERROR!</v>
      </c>
    </row>
    <row r="156" ht="24.75" customHeight="1" outlineLevel="1">
      <c r="A156" s="18" t="s">
        <v>158</v>
      </c>
      <c r="B156" s="19" t="s">
        <v>169</v>
      </c>
      <c r="C156" s="20">
        <v>16.0</v>
      </c>
      <c r="D156" s="21" t="str">
        <f>SUMIFS('Element wise-detail Summary'!$F$3:$F$1048576,'Element wise-detail Summary'!$B$3:$B$1048576,Summary!$A156,'Element wise-detail Summary'!$C$3:$C$1048576,Summary!B156)</f>
        <v>16</v>
      </c>
      <c r="E156" s="22" t="str">
        <f>SUMIFS('Element wise-detail Summary'!$G$3:$G$1048576,'Element wise-detail Summary'!$B$3:$B$1048576,Summary!$A156,'Element wise-detail Summary'!$C$3:$C$1048576,Summary!B156)</f>
        <v>6</v>
      </c>
      <c r="F156" s="20" t="str">
        <f t="shared" si="150"/>
        <v>10</v>
      </c>
      <c r="G156" s="23" t="str">
        <f t="shared" si="151"/>
        <v>38%</v>
      </c>
      <c r="H156" s="22" t="str">
        <f>SUMIFS('Element wise-detail Summary'!$I$3:$I$1048576,'Element wise-detail Summary'!$B$3:$B$1048576,A156,'Element wise-detail Summary'!$C$3:$C$1048576,B156)</f>
        <v>0</v>
      </c>
      <c r="I156" s="20" t="str">
        <f t="shared" si="152"/>
        <v>16</v>
      </c>
      <c r="J156" s="24" t="str">
        <f t="shared" si="153"/>
        <v>0%</v>
      </c>
      <c r="K156" s="25" t="str">
        <f t="shared" si="154"/>
        <v>6</v>
      </c>
      <c r="L156" s="22" t="str">
        <f>SUMIFS('Element wise-detail Summary'!$M$3:$M$1048576,'Element wise-detail Summary'!$B$3:$B$1048576,A156,'Element wise-detail Summary'!$C$3:$C$1048576,B156)</f>
        <v>0</v>
      </c>
      <c r="M156" s="20" t="str">
        <f t="shared" si="155"/>
        <v>16</v>
      </c>
      <c r="N156" s="24" t="str">
        <f t="shared" si="156"/>
        <v>0%</v>
      </c>
      <c r="O156" s="55"/>
      <c r="P156" s="27" t="str">
        <f t="shared" si="157"/>
        <v>0</v>
      </c>
      <c r="Q156" s="56" t="str">
        <f>_xlfn.MAXIFS([1]Details!$B:$B,[1]Details!$G:$G,B156)</f>
        <v>#ERROR!</v>
      </c>
    </row>
    <row r="157" ht="24.75" customHeight="1" outlineLevel="1">
      <c r="A157" s="18" t="s">
        <v>158</v>
      </c>
      <c r="B157" s="19" t="s">
        <v>170</v>
      </c>
      <c r="C157" s="20">
        <v>16.0</v>
      </c>
      <c r="D157" s="21" t="str">
        <f>SUMIFS('Element wise-detail Summary'!$F$3:$F$1048576,'Element wise-detail Summary'!$B$3:$B$1048576,Summary!$A157,'Element wise-detail Summary'!$C$3:$C$1048576,Summary!B157)</f>
        <v>16</v>
      </c>
      <c r="E157" s="22" t="str">
        <f>SUMIFS('Element wise-detail Summary'!$G$3:$G$1048576,'Element wise-detail Summary'!$B$3:$B$1048576,Summary!$A157,'Element wise-detail Summary'!$C$3:$C$1048576,Summary!B157)</f>
        <v>8</v>
      </c>
      <c r="F157" s="20" t="str">
        <f t="shared" si="150"/>
        <v>8</v>
      </c>
      <c r="G157" s="23" t="str">
        <f t="shared" si="151"/>
        <v>50%</v>
      </c>
      <c r="H157" s="22" t="str">
        <f>SUMIFS('Element wise-detail Summary'!$I$3:$I$1048576,'Element wise-detail Summary'!$B$3:$B$1048576,A157,'Element wise-detail Summary'!$C$3:$C$1048576,B157)</f>
        <v>0</v>
      </c>
      <c r="I157" s="20" t="str">
        <f t="shared" si="152"/>
        <v>16</v>
      </c>
      <c r="J157" s="24" t="str">
        <f t="shared" si="153"/>
        <v>0%</v>
      </c>
      <c r="K157" s="25" t="str">
        <f t="shared" si="154"/>
        <v>8</v>
      </c>
      <c r="L157" s="22" t="str">
        <f>SUMIFS('Element wise-detail Summary'!$M$3:$M$1048576,'Element wise-detail Summary'!$B$3:$B$1048576,A157,'Element wise-detail Summary'!$C$3:$C$1048576,B157)</f>
        <v>0</v>
      </c>
      <c r="M157" s="20" t="str">
        <f t="shared" si="155"/>
        <v>16</v>
      </c>
      <c r="N157" s="24" t="str">
        <f t="shared" si="156"/>
        <v>0%</v>
      </c>
      <c r="O157" s="55"/>
      <c r="P157" s="27" t="str">
        <f t="shared" si="157"/>
        <v>0</v>
      </c>
      <c r="Q157" s="56" t="str">
        <f>_xlfn.MAXIFS([1]Details!$B:$B,[1]Details!$G:$G,B157)</f>
        <v>#ERROR!</v>
      </c>
    </row>
    <row r="158" ht="24.75" customHeight="1" outlineLevel="1">
      <c r="A158" s="18" t="s">
        <v>158</v>
      </c>
      <c r="B158" s="19" t="s">
        <v>171</v>
      </c>
      <c r="C158" s="20">
        <v>16.0</v>
      </c>
      <c r="D158" s="21" t="str">
        <f>SUMIFS('Element wise-detail Summary'!$F$3:$F$1048576,'Element wise-detail Summary'!$B$3:$B$1048576,Summary!$A158,'Element wise-detail Summary'!$C$3:$C$1048576,Summary!B158)</f>
        <v>16</v>
      </c>
      <c r="E158" s="22" t="str">
        <f>SUMIFS('Element wise-detail Summary'!$G$3:$G$1048576,'Element wise-detail Summary'!$B$3:$B$1048576,Summary!$A158,'Element wise-detail Summary'!$C$3:$C$1048576,Summary!B158)</f>
        <v>8</v>
      </c>
      <c r="F158" s="20" t="str">
        <f t="shared" si="150"/>
        <v>8</v>
      </c>
      <c r="G158" s="23" t="str">
        <f t="shared" si="151"/>
        <v>50%</v>
      </c>
      <c r="H158" s="22" t="str">
        <f>SUMIFS('Element wise-detail Summary'!$I$3:$I$1048576,'Element wise-detail Summary'!$B$3:$B$1048576,A158,'Element wise-detail Summary'!$C$3:$C$1048576,B158)</f>
        <v>0</v>
      </c>
      <c r="I158" s="20" t="str">
        <f t="shared" si="152"/>
        <v>16</v>
      </c>
      <c r="J158" s="24" t="str">
        <f t="shared" si="153"/>
        <v>0%</v>
      </c>
      <c r="K158" s="25" t="str">
        <f t="shared" si="154"/>
        <v>8</v>
      </c>
      <c r="L158" s="22" t="str">
        <f>SUMIFS('Element wise-detail Summary'!$M$3:$M$1048576,'Element wise-detail Summary'!$B$3:$B$1048576,A158,'Element wise-detail Summary'!$C$3:$C$1048576,B158)</f>
        <v>0</v>
      </c>
      <c r="M158" s="20" t="str">
        <f t="shared" si="155"/>
        <v>16</v>
      </c>
      <c r="N158" s="24" t="str">
        <f t="shared" si="156"/>
        <v>0%</v>
      </c>
      <c r="O158" s="55"/>
      <c r="P158" s="27" t="str">
        <f t="shared" si="157"/>
        <v>0</v>
      </c>
      <c r="Q158" s="56" t="str">
        <f>_xlfn.MAXIFS([1]Details!$B:$B,[1]Details!$G:$G,B158)</f>
        <v>#ERROR!</v>
      </c>
    </row>
    <row r="159" ht="24.75" customHeight="1" outlineLevel="1">
      <c r="A159" s="18" t="s">
        <v>158</v>
      </c>
      <c r="B159" s="19" t="s">
        <v>172</v>
      </c>
      <c r="C159" s="20">
        <v>17.0</v>
      </c>
      <c r="D159" s="21" t="str">
        <f>SUMIFS('Element wise-detail Summary'!$F$3:$F$1048576,'Element wise-detail Summary'!$B$3:$B$1048576,Summary!$A159,'Element wise-detail Summary'!$C$3:$C$1048576,Summary!B159)</f>
        <v>17</v>
      </c>
      <c r="E159" s="22" t="str">
        <f>SUMIFS('Element wise-detail Summary'!$G$3:$G$1048576,'Element wise-detail Summary'!$B$3:$B$1048576,Summary!$A159,'Element wise-detail Summary'!$C$3:$C$1048576,Summary!B159)</f>
        <v>11</v>
      </c>
      <c r="F159" s="20" t="str">
        <f t="shared" si="150"/>
        <v>6</v>
      </c>
      <c r="G159" s="23" t="str">
        <f t="shared" si="151"/>
        <v>65%</v>
      </c>
      <c r="H159" s="22" t="str">
        <f>SUMIFS('Element wise-detail Summary'!$I$3:$I$1048576,'Element wise-detail Summary'!$B$3:$B$1048576,A159,'Element wise-detail Summary'!$C$3:$C$1048576,B159)</f>
        <v>0</v>
      </c>
      <c r="I159" s="20" t="str">
        <f t="shared" si="152"/>
        <v>17</v>
      </c>
      <c r="J159" s="24" t="str">
        <f t="shared" si="153"/>
        <v>0%</v>
      </c>
      <c r="K159" s="25" t="str">
        <f t="shared" si="154"/>
        <v>11</v>
      </c>
      <c r="L159" s="22" t="str">
        <f>SUMIFS('Element wise-detail Summary'!$M$3:$M$1048576,'Element wise-detail Summary'!$B$3:$B$1048576,A159,'Element wise-detail Summary'!$C$3:$C$1048576,B159)</f>
        <v>0</v>
      </c>
      <c r="M159" s="20" t="str">
        <f t="shared" si="155"/>
        <v>17</v>
      </c>
      <c r="N159" s="24" t="str">
        <f t="shared" si="156"/>
        <v>0%</v>
      </c>
      <c r="O159" s="55"/>
      <c r="P159" s="27" t="str">
        <f t="shared" si="157"/>
        <v>0</v>
      </c>
      <c r="Q159" s="56" t="str">
        <f>_xlfn.MAXIFS([1]Details!$B:$B,[1]Details!$G:$G,B159)</f>
        <v>#ERROR!</v>
      </c>
    </row>
    <row r="160" ht="24.75" customHeight="1" outlineLevel="1">
      <c r="A160" s="74" t="s">
        <v>158</v>
      </c>
      <c r="B160" s="75" t="s">
        <v>173</v>
      </c>
      <c r="C160" s="76">
        <v>18.0</v>
      </c>
      <c r="D160" s="77" t="str">
        <f>SUMIFS('Element wise-detail Summary'!$F$3:$F$1048576,'Element wise-detail Summary'!$B$3:$B$1048576,Summary!$A160,'Element wise-detail Summary'!$C$3:$C$1048576,Summary!B160)</f>
        <v>18</v>
      </c>
      <c r="E160" s="78" t="str">
        <f>SUMIFS('Element wise-detail Summary'!$G$3:$G$1048576,'Element wise-detail Summary'!$B$3:$B$1048576,Summary!$A160,'Element wise-detail Summary'!$C$3:$C$1048576,Summary!B160)</f>
        <v>9</v>
      </c>
      <c r="F160" s="76" t="str">
        <f t="shared" si="150"/>
        <v>9</v>
      </c>
      <c r="G160" s="79" t="str">
        <f t="shared" si="151"/>
        <v>50%</v>
      </c>
      <c r="H160" s="78" t="str">
        <f>SUMIFS('Element wise-detail Summary'!$I$3:$I$1048576,'Element wise-detail Summary'!$B$3:$B$1048576,A160,'Element wise-detail Summary'!$C$3:$C$1048576,B160)</f>
        <v>0</v>
      </c>
      <c r="I160" s="76" t="str">
        <f t="shared" si="152"/>
        <v>18</v>
      </c>
      <c r="J160" s="80" t="str">
        <f t="shared" si="153"/>
        <v>0%</v>
      </c>
      <c r="K160" s="81" t="str">
        <f t="shared" si="154"/>
        <v>9</v>
      </c>
      <c r="L160" s="78" t="str">
        <f>SUMIFS('Element wise-detail Summary'!$M$3:$M$1048576,'Element wise-detail Summary'!$B$3:$B$1048576,A160,'Element wise-detail Summary'!$C$3:$C$1048576,B160)</f>
        <v>0</v>
      </c>
      <c r="M160" s="76" t="str">
        <f t="shared" si="155"/>
        <v>18</v>
      </c>
      <c r="N160" s="80" t="str">
        <f t="shared" si="156"/>
        <v>0%</v>
      </c>
      <c r="O160" s="82"/>
      <c r="P160" s="27" t="str">
        <f t="shared" si="157"/>
        <v>0</v>
      </c>
      <c r="Q160" s="56" t="str">
        <f>_xlfn.MAXIFS([1]Details!$B:$B,[1]Details!$G:$G,B160)</f>
        <v>#ERROR!</v>
      </c>
    </row>
    <row r="161" ht="24.75" customHeight="1">
      <c r="A161" s="38" t="s">
        <v>158</v>
      </c>
      <c r="B161" s="39" t="str">
        <f>COUNTA(B146:B160) &amp; " NOS"</f>
        <v>15 NOS</v>
      </c>
      <c r="C161" s="40" t="str">
        <f t="shared" ref="C161:F161" si="158">SUM(C146:C160)</f>
        <v>304</v>
      </c>
      <c r="D161" s="41" t="str">
        <f t="shared" si="158"/>
        <v>304</v>
      </c>
      <c r="E161" s="42" t="str">
        <f t="shared" si="158"/>
        <v>179</v>
      </c>
      <c r="F161" s="40" t="str">
        <f t="shared" si="158"/>
        <v>125</v>
      </c>
      <c r="G161" s="43" t="str">
        <f t="shared" si="151"/>
        <v>59%</v>
      </c>
      <c r="H161" s="42" t="str">
        <f t="shared" ref="H161:I161" si="159">SUM(H146:H160)</f>
        <v>0</v>
      </c>
      <c r="I161" s="40" t="str">
        <f t="shared" si="159"/>
        <v>304</v>
      </c>
      <c r="J161" s="44" t="str">
        <f t="shared" si="153"/>
        <v>0%</v>
      </c>
      <c r="K161" s="45" t="str">
        <f t="shared" ref="K161:L161" si="160">SUM(K146:K160)</f>
        <v>179</v>
      </c>
      <c r="L161" s="42" t="str">
        <f t="shared" si="160"/>
        <v>0</v>
      </c>
      <c r="M161" s="40" t="str">
        <f t="shared" si="155"/>
        <v>304</v>
      </c>
      <c r="N161" s="44" t="str">
        <f t="shared" si="156"/>
        <v>0%</v>
      </c>
      <c r="O161" s="46"/>
      <c r="P161" s="27" t="str">
        <f t="shared" si="157"/>
        <v>0</v>
      </c>
      <c r="Q161" s="27"/>
    </row>
    <row r="162" ht="7.5" customHeight="1">
      <c r="A162" s="18"/>
      <c r="B162" s="19"/>
      <c r="C162" s="20"/>
      <c r="D162" s="21"/>
      <c r="E162" s="22"/>
      <c r="F162" s="20"/>
      <c r="G162" s="23"/>
      <c r="H162" s="22"/>
      <c r="I162" s="20"/>
      <c r="J162" s="24"/>
      <c r="K162" s="25"/>
      <c r="L162" s="22"/>
      <c r="M162" s="20"/>
      <c r="N162" s="24"/>
      <c r="O162" s="55"/>
      <c r="P162" s="27"/>
      <c r="Q162" s="27"/>
    </row>
    <row r="163" ht="24.75" customHeight="1" outlineLevel="1">
      <c r="A163" s="18" t="s">
        <v>174</v>
      </c>
      <c r="B163" s="19" t="s">
        <v>175</v>
      </c>
      <c r="C163" s="20">
        <v>17.0</v>
      </c>
      <c r="D163" s="21" t="str">
        <f>SUMIFS('Element wise-detail Summary'!$F$3:$F$1048576,'Element wise-detail Summary'!$B$3:$B$1048576,Summary!$A163,'Element wise-detail Summary'!$C$3:$C$1048576,Summary!B163)</f>
        <v>3</v>
      </c>
      <c r="E163" s="22" t="str">
        <f>SUMIFS('Element wise-detail Summary'!$G$3:$G$1048576,'Element wise-detail Summary'!$B$3:$B$1048576,Summary!$A163,'Element wise-detail Summary'!$C$3:$C$1048576,Summary!B163)</f>
        <v>2</v>
      </c>
      <c r="F163" s="20" t="str">
        <f t="shared" ref="F163:F169" si="161">D163-E163</f>
        <v>1</v>
      </c>
      <c r="G163" s="23" t="str">
        <f t="shared" ref="G163:G170" si="162">E163/C163</f>
        <v>12%</v>
      </c>
      <c r="H163" s="22" t="str">
        <f>SUMIFS('Element wise-detail Summary'!$I$3:$I$1048576,'Element wise-detail Summary'!$B$3:$B$1048576,A163,'Element wise-detail Summary'!$C$3:$C$1048576,B163)</f>
        <v>0</v>
      </c>
      <c r="I163" s="20" t="str">
        <f t="shared" ref="I163:I169" si="163">D163-H163</f>
        <v>3</v>
      </c>
      <c r="J163" s="24" t="str">
        <f t="shared" ref="J163:J170" si="164">H163/C163</f>
        <v>0%</v>
      </c>
      <c r="K163" s="25" t="str">
        <f t="shared" ref="K163:K169" si="165">E163-H163</f>
        <v>2</v>
      </c>
      <c r="L163" s="22" t="str">
        <f>SUMIFS('Element wise-detail Summary'!$M$3:$M$1048576,'Element wise-detail Summary'!$B$3:$B$1048576,A163,'Element wise-detail Summary'!$C$3:$C$1048576,B163)</f>
        <v>0</v>
      </c>
      <c r="M163" s="20" t="str">
        <f t="shared" ref="M163:M169" si="166">D163-L163</f>
        <v>3</v>
      </c>
      <c r="N163" s="24" t="str">
        <f t="shared" ref="N163:N170" si="167">L163/C163</f>
        <v>0%</v>
      </c>
      <c r="O163" s="55"/>
      <c r="P163" s="27" t="str">
        <f t="shared" ref="P163:P170" si="168">+C163-D163</f>
        <v>14</v>
      </c>
      <c r="Q163" s="56" t="str">
        <f>_xlfn.MAXIFS([1]Details!$B:$B,[1]Details!$G:$G,B163)</f>
        <v>#ERROR!</v>
      </c>
    </row>
    <row r="164" ht="24.75" customHeight="1" outlineLevel="1">
      <c r="A164" s="18" t="s">
        <v>174</v>
      </c>
      <c r="B164" s="19" t="s">
        <v>176</v>
      </c>
      <c r="C164" s="20">
        <v>17.0</v>
      </c>
      <c r="D164" s="21" t="str">
        <f>SUMIFS('Element wise-detail Summary'!$F$3:$F$1048576,'Element wise-detail Summary'!$B$3:$B$1048576,Summary!$A164,'Element wise-detail Summary'!$C$3:$C$1048576,Summary!B164)</f>
        <v>0</v>
      </c>
      <c r="E164" s="22" t="str">
        <f>SUMIFS('Element wise-detail Summary'!$G$3:$G$1048576,'Element wise-detail Summary'!$B$3:$B$1048576,Summary!$A164,'Element wise-detail Summary'!$C$3:$C$1048576,Summary!B164)</f>
        <v>0</v>
      </c>
      <c r="F164" s="20" t="str">
        <f t="shared" si="161"/>
        <v>0</v>
      </c>
      <c r="G164" s="23" t="str">
        <f t="shared" si="162"/>
        <v>0%</v>
      </c>
      <c r="H164" s="22" t="str">
        <f>SUMIFS('Element wise-detail Summary'!$I$3:$I$1048576,'Element wise-detail Summary'!$B$3:$B$1048576,A164,'Element wise-detail Summary'!$C$3:$C$1048576,B164)</f>
        <v>0</v>
      </c>
      <c r="I164" s="20" t="str">
        <f t="shared" si="163"/>
        <v>0</v>
      </c>
      <c r="J164" s="24" t="str">
        <f t="shared" si="164"/>
        <v>0%</v>
      </c>
      <c r="K164" s="25" t="str">
        <f t="shared" si="165"/>
        <v>0</v>
      </c>
      <c r="L164" s="22" t="str">
        <f>SUMIFS('Element wise-detail Summary'!$M$3:$M$1048576,'Element wise-detail Summary'!$B$3:$B$1048576,A164,'Element wise-detail Summary'!$C$3:$C$1048576,B164)</f>
        <v>0</v>
      </c>
      <c r="M164" s="20" t="str">
        <f t="shared" si="166"/>
        <v>0</v>
      </c>
      <c r="N164" s="24" t="str">
        <f t="shared" si="167"/>
        <v>0%</v>
      </c>
      <c r="O164" s="55"/>
      <c r="P164" s="27" t="str">
        <f t="shared" si="168"/>
        <v>17</v>
      </c>
      <c r="Q164" s="56" t="str">
        <f>_xlfn.MAXIFS([1]Details!$B:$B,[1]Details!$G:$G,B164)</f>
        <v>#ERROR!</v>
      </c>
    </row>
    <row r="165" ht="24.75" customHeight="1" outlineLevel="1">
      <c r="A165" s="18" t="s">
        <v>174</v>
      </c>
      <c r="B165" s="19" t="s">
        <v>177</v>
      </c>
      <c r="C165" s="20">
        <v>15.0</v>
      </c>
      <c r="D165" s="21" t="str">
        <f>SUMIFS('Element wise-detail Summary'!$F$3:$F$1048576,'Element wise-detail Summary'!$B$3:$B$1048576,Summary!$A165,'Element wise-detail Summary'!$C$3:$C$1048576,Summary!B165)</f>
        <v>0</v>
      </c>
      <c r="E165" s="22" t="str">
        <f>SUMIFS('Element wise-detail Summary'!$G$3:$G$1048576,'Element wise-detail Summary'!$B$3:$B$1048576,Summary!$A165,'Element wise-detail Summary'!$C$3:$C$1048576,Summary!B165)</f>
        <v>0</v>
      </c>
      <c r="F165" s="20" t="str">
        <f t="shared" si="161"/>
        <v>0</v>
      </c>
      <c r="G165" s="23" t="str">
        <f t="shared" si="162"/>
        <v>0%</v>
      </c>
      <c r="H165" s="22" t="str">
        <f>SUMIFS('Element wise-detail Summary'!$I$3:$I$1048576,'Element wise-detail Summary'!$B$3:$B$1048576,A165,'Element wise-detail Summary'!$C$3:$C$1048576,B165)</f>
        <v>0</v>
      </c>
      <c r="I165" s="20" t="str">
        <f t="shared" si="163"/>
        <v>0</v>
      </c>
      <c r="J165" s="24" t="str">
        <f t="shared" si="164"/>
        <v>0%</v>
      </c>
      <c r="K165" s="25" t="str">
        <f t="shared" si="165"/>
        <v>0</v>
      </c>
      <c r="L165" s="22" t="str">
        <f>SUMIFS('Element wise-detail Summary'!$M$3:$M$1048576,'Element wise-detail Summary'!$B$3:$B$1048576,A165,'Element wise-detail Summary'!$C$3:$C$1048576,B165)</f>
        <v>0</v>
      </c>
      <c r="M165" s="20" t="str">
        <f t="shared" si="166"/>
        <v>0</v>
      </c>
      <c r="N165" s="24" t="str">
        <f t="shared" si="167"/>
        <v>0%</v>
      </c>
      <c r="O165" s="55"/>
      <c r="P165" s="27" t="str">
        <f t="shared" si="168"/>
        <v>15</v>
      </c>
      <c r="Q165" s="56" t="str">
        <f>_xlfn.MAXIFS([1]Details!$B:$B,[1]Details!$G:$G,B165)</f>
        <v>#ERROR!</v>
      </c>
    </row>
    <row r="166" ht="24.75" customHeight="1" outlineLevel="1">
      <c r="A166" s="18" t="s">
        <v>174</v>
      </c>
      <c r="B166" s="19" t="s">
        <v>178</v>
      </c>
      <c r="C166" s="20">
        <v>16.0</v>
      </c>
      <c r="D166" s="21" t="str">
        <f>SUMIFS('Element wise-detail Summary'!$F$3:$F$1048576,'Element wise-detail Summary'!$B$3:$B$1048576,Summary!$A166,'Element wise-detail Summary'!$C$3:$C$1048576,Summary!B166)</f>
        <v>0</v>
      </c>
      <c r="E166" s="22" t="str">
        <f>SUMIFS('Element wise-detail Summary'!$G$3:$G$1048576,'Element wise-detail Summary'!$B$3:$B$1048576,Summary!$A166,'Element wise-detail Summary'!$C$3:$C$1048576,Summary!B166)</f>
        <v>0</v>
      </c>
      <c r="F166" s="20" t="str">
        <f t="shared" si="161"/>
        <v>0</v>
      </c>
      <c r="G166" s="23" t="str">
        <f t="shared" si="162"/>
        <v>0%</v>
      </c>
      <c r="H166" s="22" t="str">
        <f>SUMIFS('Element wise-detail Summary'!$I$3:$I$1048576,'Element wise-detail Summary'!$B$3:$B$1048576,A166,'Element wise-detail Summary'!$C$3:$C$1048576,B166)</f>
        <v>0</v>
      </c>
      <c r="I166" s="20" t="str">
        <f t="shared" si="163"/>
        <v>0</v>
      </c>
      <c r="J166" s="24" t="str">
        <f t="shared" si="164"/>
        <v>0%</v>
      </c>
      <c r="K166" s="25" t="str">
        <f t="shared" si="165"/>
        <v>0</v>
      </c>
      <c r="L166" s="22" t="str">
        <f>SUMIFS('Element wise-detail Summary'!$M$3:$M$1048576,'Element wise-detail Summary'!$B$3:$B$1048576,A166,'Element wise-detail Summary'!$C$3:$C$1048576,B166)</f>
        <v>0</v>
      </c>
      <c r="M166" s="20" t="str">
        <f t="shared" si="166"/>
        <v>0</v>
      </c>
      <c r="N166" s="24" t="str">
        <f t="shared" si="167"/>
        <v>0%</v>
      </c>
      <c r="O166" s="55"/>
      <c r="P166" s="27" t="str">
        <f t="shared" si="168"/>
        <v>16</v>
      </c>
      <c r="Q166" s="56" t="str">
        <f>_xlfn.MAXIFS([1]Details!$B:$B,[1]Details!$G:$G,B166)</f>
        <v>#ERROR!</v>
      </c>
    </row>
    <row r="167" ht="24.75" customHeight="1" outlineLevel="1">
      <c r="A167" s="18" t="s">
        <v>174</v>
      </c>
      <c r="B167" s="19" t="s">
        <v>179</v>
      </c>
      <c r="C167" s="20">
        <v>29.0</v>
      </c>
      <c r="D167" s="21" t="str">
        <f>SUMIFS('Element wise-detail Summary'!$F$3:$F$1048576,'Element wise-detail Summary'!$B$3:$B$1048576,Summary!$A167,'Element wise-detail Summary'!$C$3:$C$1048576,Summary!B167)</f>
        <v>1</v>
      </c>
      <c r="E167" s="22" t="str">
        <f>SUMIFS('Element wise-detail Summary'!$G$3:$G$1048576,'Element wise-detail Summary'!$B$3:$B$1048576,Summary!$A167,'Element wise-detail Summary'!$C$3:$C$1048576,Summary!B167)</f>
        <v>1</v>
      </c>
      <c r="F167" s="20" t="str">
        <f t="shared" si="161"/>
        <v>0</v>
      </c>
      <c r="G167" s="23" t="str">
        <f t="shared" si="162"/>
        <v>3%</v>
      </c>
      <c r="H167" s="22" t="str">
        <f>SUMIFS('Element wise-detail Summary'!$I$3:$I$1048576,'Element wise-detail Summary'!$B$3:$B$1048576,A167,'Element wise-detail Summary'!$C$3:$C$1048576,B167)</f>
        <v>0</v>
      </c>
      <c r="I167" s="20" t="str">
        <f t="shared" si="163"/>
        <v>1</v>
      </c>
      <c r="J167" s="24" t="str">
        <f t="shared" si="164"/>
        <v>0%</v>
      </c>
      <c r="K167" s="25" t="str">
        <f t="shared" si="165"/>
        <v>1</v>
      </c>
      <c r="L167" s="22" t="str">
        <f>SUMIFS('Element wise-detail Summary'!$M$3:$M$1048576,'Element wise-detail Summary'!$B$3:$B$1048576,A167,'Element wise-detail Summary'!$C$3:$C$1048576,B167)</f>
        <v>0</v>
      </c>
      <c r="M167" s="20" t="str">
        <f t="shared" si="166"/>
        <v>1</v>
      </c>
      <c r="N167" s="24" t="str">
        <f t="shared" si="167"/>
        <v>0%</v>
      </c>
      <c r="O167" s="55"/>
      <c r="P167" s="27" t="str">
        <f t="shared" si="168"/>
        <v>28</v>
      </c>
      <c r="Q167" s="56" t="str">
        <f>_xlfn.MAXIFS([1]Details!$B:$B,[1]Details!$G:$G,B167)</f>
        <v>#ERROR!</v>
      </c>
    </row>
    <row r="168" ht="24.75" customHeight="1" outlineLevel="1">
      <c r="A168" s="18" t="s">
        <v>174</v>
      </c>
      <c r="B168" s="19" t="s">
        <v>180</v>
      </c>
      <c r="C168" s="20">
        <v>25.0</v>
      </c>
      <c r="D168" s="21" t="str">
        <f>SUMIFS('Element wise-detail Summary'!$F$3:$F$1048576,'Element wise-detail Summary'!$B$3:$B$1048576,Summary!$A168,'Element wise-detail Summary'!$C$3:$C$1048576,Summary!B168)</f>
        <v>0</v>
      </c>
      <c r="E168" s="22" t="str">
        <f>SUMIFS('Element wise-detail Summary'!$G$3:$G$1048576,'Element wise-detail Summary'!$B$3:$B$1048576,Summary!$A168,'Element wise-detail Summary'!$C$3:$C$1048576,Summary!B168)</f>
        <v>0</v>
      </c>
      <c r="F168" s="20" t="str">
        <f t="shared" si="161"/>
        <v>0</v>
      </c>
      <c r="G168" s="23" t="str">
        <f t="shared" si="162"/>
        <v>0%</v>
      </c>
      <c r="H168" s="22" t="str">
        <f>SUMIFS('Element wise-detail Summary'!$I$3:$I$1048576,'Element wise-detail Summary'!$B$3:$B$1048576,A168,'Element wise-detail Summary'!$C$3:$C$1048576,B168)</f>
        <v>0</v>
      </c>
      <c r="I168" s="20" t="str">
        <f t="shared" si="163"/>
        <v>0</v>
      </c>
      <c r="J168" s="24" t="str">
        <f t="shared" si="164"/>
        <v>0%</v>
      </c>
      <c r="K168" s="25" t="str">
        <f t="shared" si="165"/>
        <v>0</v>
      </c>
      <c r="L168" s="22" t="str">
        <f>SUMIFS('Element wise-detail Summary'!$M$3:$M$1048576,'Element wise-detail Summary'!$B$3:$B$1048576,A168,'Element wise-detail Summary'!$C$3:$C$1048576,B168)</f>
        <v>0</v>
      </c>
      <c r="M168" s="20" t="str">
        <f t="shared" si="166"/>
        <v>0</v>
      </c>
      <c r="N168" s="24" t="str">
        <f t="shared" si="167"/>
        <v>0%</v>
      </c>
      <c r="O168" s="55"/>
      <c r="P168" s="27" t="str">
        <f t="shared" si="168"/>
        <v>25</v>
      </c>
      <c r="Q168" s="56" t="str">
        <f>_xlfn.MAXIFS([1]Details!$B:$B,[1]Details!$G:$G,B168)</f>
        <v>#ERROR!</v>
      </c>
    </row>
    <row r="169" ht="24.75" customHeight="1" outlineLevel="1">
      <c r="A169" s="74" t="s">
        <v>174</v>
      </c>
      <c r="B169" s="75" t="s">
        <v>181</v>
      </c>
      <c r="C169" s="76">
        <v>21.0</v>
      </c>
      <c r="D169" s="77" t="str">
        <f>SUMIFS('Element wise-detail Summary'!$F$3:$F$1048576,'Element wise-detail Summary'!$B$3:$B$1048576,Summary!$A169,'Element wise-detail Summary'!$C$3:$C$1048576,Summary!B169)</f>
        <v>1</v>
      </c>
      <c r="E169" s="78" t="str">
        <f>SUMIFS('Element wise-detail Summary'!$G$3:$G$1048576,'Element wise-detail Summary'!$B$3:$B$1048576,Summary!$A169,'Element wise-detail Summary'!$C$3:$C$1048576,Summary!B169)</f>
        <v>1</v>
      </c>
      <c r="F169" s="76" t="str">
        <f t="shared" si="161"/>
        <v>0</v>
      </c>
      <c r="G169" s="79" t="str">
        <f t="shared" si="162"/>
        <v>5%</v>
      </c>
      <c r="H169" s="78" t="str">
        <f>SUMIFS('Element wise-detail Summary'!$I$3:$I$1048576,'Element wise-detail Summary'!$B$3:$B$1048576,A169,'Element wise-detail Summary'!$C$3:$C$1048576,B169)</f>
        <v>0</v>
      </c>
      <c r="I169" s="76" t="str">
        <f t="shared" si="163"/>
        <v>1</v>
      </c>
      <c r="J169" s="80" t="str">
        <f t="shared" si="164"/>
        <v>0%</v>
      </c>
      <c r="K169" s="81" t="str">
        <f t="shared" si="165"/>
        <v>1</v>
      </c>
      <c r="L169" s="78" t="str">
        <f>SUMIFS('Element wise-detail Summary'!$M$3:$M$1048576,'Element wise-detail Summary'!$B$3:$B$1048576,A169,'Element wise-detail Summary'!$C$3:$C$1048576,B169)</f>
        <v>0</v>
      </c>
      <c r="M169" s="76" t="str">
        <f t="shared" si="166"/>
        <v>1</v>
      </c>
      <c r="N169" s="80" t="str">
        <f t="shared" si="167"/>
        <v>0%</v>
      </c>
      <c r="O169" s="82"/>
      <c r="P169" s="27" t="str">
        <f t="shared" si="168"/>
        <v>20</v>
      </c>
      <c r="Q169" s="56" t="str">
        <f>_xlfn.MAXIFS([1]Details!$B:$B,[1]Details!$G:$G,B169)</f>
        <v>#ERROR!</v>
      </c>
    </row>
    <row r="170" ht="24.75" customHeight="1">
      <c r="A170" s="38" t="s">
        <v>174</v>
      </c>
      <c r="B170" s="39" t="str">
        <f>COUNTA(B163:B169) &amp; " NOS"</f>
        <v>7 NOS</v>
      </c>
      <c r="C170" s="40" t="str">
        <f t="shared" ref="C170:F170" si="169">SUM(C163:C169)</f>
        <v>140</v>
      </c>
      <c r="D170" s="41" t="str">
        <f t="shared" si="169"/>
        <v>5</v>
      </c>
      <c r="E170" s="42" t="str">
        <f t="shared" si="169"/>
        <v>4</v>
      </c>
      <c r="F170" s="40" t="str">
        <f t="shared" si="169"/>
        <v>1</v>
      </c>
      <c r="G170" s="43" t="str">
        <f t="shared" si="162"/>
        <v>3%</v>
      </c>
      <c r="H170" s="42" t="str">
        <f t="shared" ref="H170:I170" si="170">SUM(H163:H169)</f>
        <v>0</v>
      </c>
      <c r="I170" s="40" t="str">
        <f t="shared" si="170"/>
        <v>5</v>
      </c>
      <c r="J170" s="44" t="str">
        <f t="shared" si="164"/>
        <v>0%</v>
      </c>
      <c r="K170" s="45" t="str">
        <f t="shared" ref="K170:M170" si="171">SUM(K163:K169)</f>
        <v>4</v>
      </c>
      <c r="L170" s="42" t="str">
        <f t="shared" si="171"/>
        <v>0</v>
      </c>
      <c r="M170" s="40" t="str">
        <f t="shared" si="171"/>
        <v>5</v>
      </c>
      <c r="N170" s="44" t="str">
        <f t="shared" si="167"/>
        <v>0%</v>
      </c>
      <c r="O170" s="46"/>
      <c r="P170" s="27" t="str">
        <f t="shared" si="168"/>
        <v>135</v>
      </c>
      <c r="Q170" s="27"/>
    </row>
    <row r="171" ht="7.5" customHeight="1">
      <c r="A171" s="18"/>
      <c r="B171" s="19"/>
      <c r="C171" s="20"/>
      <c r="D171" s="21"/>
      <c r="E171" s="22"/>
      <c r="F171" s="20"/>
      <c r="G171" s="23"/>
      <c r="H171" s="22"/>
      <c r="I171" s="20"/>
      <c r="J171" s="24"/>
      <c r="K171" s="25"/>
      <c r="L171" s="22"/>
      <c r="M171" s="20"/>
      <c r="N171" s="24"/>
      <c r="O171" s="55"/>
      <c r="P171" s="27"/>
      <c r="Q171" s="27"/>
    </row>
    <row r="172" ht="15.75" hidden="1" customHeight="1" outlineLevel="1">
      <c r="A172" s="18" t="s">
        <v>182</v>
      </c>
      <c r="B172" s="19"/>
      <c r="C172" s="20"/>
      <c r="D172" s="21" t="str">
        <f>SUMIFS('Element wise-detail Summary'!$F$3:$F$1048576,'Element wise-detail Summary'!$B$3:$B$1048576,Summary!$A172)</f>
        <v>0</v>
      </c>
      <c r="E172" s="22" t="str">
        <f>SUMIFS('Element wise-detail Summary'!$G$3:$G$1048576,'Element wise-detail Summary'!$B$3:$B$1048576,Summary!$A172,'Element wise-detail Summary'!$C$3:$C$1048576,Summary!B172)</f>
        <v>0</v>
      </c>
      <c r="F172" s="20" t="str">
        <f t="shared" ref="F172:F225" si="172">D172-E172</f>
        <v>0</v>
      </c>
      <c r="G172" s="23" t="str">
        <f t="shared" ref="G172:G226" si="173">E172/C172</f>
        <v>#DIV/0!</v>
      </c>
      <c r="H172" s="22" t="str">
        <f>SUMIFS('Element wise-detail Summary'!$I$3:$I$1048576,'Element wise-detail Summary'!$B$3:$B$1048576,Summary!A173,'Element wise-detail Summary'!$C$3:$C$1048576,Summary!B173)</f>
        <v>0</v>
      </c>
      <c r="I172" s="20" t="str">
        <f t="shared" ref="I172:I225" si="174">D172-H172</f>
        <v>0</v>
      </c>
      <c r="J172" s="24" t="str">
        <f t="shared" ref="J172:J226" si="175">H172/C172</f>
        <v>#DIV/0!</v>
      </c>
      <c r="K172" s="25" t="str">
        <f t="shared" ref="K172:K225" si="176">E172-H172</f>
        <v>0</v>
      </c>
      <c r="L172" s="22" t="str">
        <f>SUMIFS('Element wise-detail Summary'!$M$3:$M$1048576,'Element wise-detail Summary'!$B$3:$B$1048576,Summary!A173,'Element wise-detail Summary'!$C$3:$C$1048576,Summary!B173)</f>
        <v>0</v>
      </c>
      <c r="M172" s="20" t="str">
        <f t="shared" ref="M172:M225" si="177">D172-L172</f>
        <v>0</v>
      </c>
      <c r="N172" s="24" t="str">
        <f t="shared" ref="N172:N226" si="178">L172/C172</f>
        <v>#DIV/0!</v>
      </c>
      <c r="O172" s="55"/>
      <c r="P172" s="27" t="str">
        <f t="shared" ref="P172:P226" si="179">+C172-D172</f>
        <v>0</v>
      </c>
      <c r="Q172" s="27"/>
    </row>
    <row r="173" ht="15.75" hidden="1" customHeight="1" outlineLevel="1">
      <c r="A173" s="18" t="s">
        <v>183</v>
      </c>
      <c r="B173" s="19"/>
      <c r="C173" s="20"/>
      <c r="D173" s="21" t="str">
        <f>SUMIFS('Element wise-detail Summary'!$F$3:$F$1048576,'Element wise-detail Summary'!$B$3:$B$1048576,Summary!$A173)</f>
        <v>0</v>
      </c>
      <c r="E173" s="22" t="str">
        <f>SUMIFS('Element wise-detail Summary'!$G$3:$G$1048576,'Element wise-detail Summary'!$B$3:$B$1048576,Summary!$A173,'Element wise-detail Summary'!$C$3:$C$1048576,Summary!B173)</f>
        <v>0</v>
      </c>
      <c r="F173" s="20" t="str">
        <f t="shared" si="172"/>
        <v>0</v>
      </c>
      <c r="G173" s="23" t="str">
        <f t="shared" si="173"/>
        <v>#DIV/0!</v>
      </c>
      <c r="H173" s="22" t="str">
        <f>SUMIFS('Element wise-detail Summary'!$I$3:$I$1048576,'Element wise-detail Summary'!$B$3:$B$1048576,Summary!A174,'Element wise-detail Summary'!$C$3:$C$1048576,Summary!B174)</f>
        <v>0</v>
      </c>
      <c r="I173" s="20" t="str">
        <f t="shared" si="174"/>
        <v>0</v>
      </c>
      <c r="J173" s="24" t="str">
        <f t="shared" si="175"/>
        <v>#DIV/0!</v>
      </c>
      <c r="K173" s="25" t="str">
        <f t="shared" si="176"/>
        <v>0</v>
      </c>
      <c r="L173" s="22" t="str">
        <f>SUMIFS('Element wise-detail Summary'!$M$3:$M$1048576,'Element wise-detail Summary'!$B$3:$B$1048576,Summary!A174,'Element wise-detail Summary'!$C$3:$C$1048576,Summary!B174)</f>
        <v>0</v>
      </c>
      <c r="M173" s="20" t="str">
        <f t="shared" si="177"/>
        <v>0</v>
      </c>
      <c r="N173" s="24" t="str">
        <f t="shared" si="178"/>
        <v>#DIV/0!</v>
      </c>
      <c r="O173" s="55"/>
      <c r="P173" s="27" t="str">
        <f t="shared" si="179"/>
        <v>0</v>
      </c>
      <c r="Q173" s="27"/>
    </row>
    <row r="174" ht="15.75" hidden="1" customHeight="1" outlineLevel="1">
      <c r="A174" s="18" t="s">
        <v>184</v>
      </c>
      <c r="B174" s="19"/>
      <c r="C174" s="20"/>
      <c r="D174" s="21" t="str">
        <f>SUMIFS('Element wise-detail Summary'!$F$3:$F$1048576,'Element wise-detail Summary'!$B$3:$B$1048576,Summary!$A174)</f>
        <v>0</v>
      </c>
      <c r="E174" s="22" t="str">
        <f>SUMIFS('Element wise-detail Summary'!$G$3:$G$1048576,'Element wise-detail Summary'!$B$3:$B$1048576,Summary!$A174,'Element wise-detail Summary'!$C$3:$C$1048576,Summary!B174)</f>
        <v>0</v>
      </c>
      <c r="F174" s="20" t="str">
        <f t="shared" si="172"/>
        <v>0</v>
      </c>
      <c r="G174" s="23" t="str">
        <f t="shared" si="173"/>
        <v>#DIV/0!</v>
      </c>
      <c r="H174" s="22" t="str">
        <f>SUMIFS('Element wise-detail Summary'!$I$3:$I$1048576,'Element wise-detail Summary'!$B$3:$B$1048576,Summary!A175,'Element wise-detail Summary'!$C$3:$C$1048576,Summary!B175)</f>
        <v>0</v>
      </c>
      <c r="I174" s="20" t="str">
        <f t="shared" si="174"/>
        <v>0</v>
      </c>
      <c r="J174" s="24" t="str">
        <f t="shared" si="175"/>
        <v>#DIV/0!</v>
      </c>
      <c r="K174" s="25" t="str">
        <f t="shared" si="176"/>
        <v>0</v>
      </c>
      <c r="L174" s="22" t="str">
        <f>SUMIFS('Element wise-detail Summary'!$M$3:$M$1048576,'Element wise-detail Summary'!$B$3:$B$1048576,Summary!A175,'Element wise-detail Summary'!$C$3:$C$1048576,Summary!B175)</f>
        <v>0</v>
      </c>
      <c r="M174" s="20" t="str">
        <f t="shared" si="177"/>
        <v>0</v>
      </c>
      <c r="N174" s="24" t="str">
        <f t="shared" si="178"/>
        <v>#DIV/0!</v>
      </c>
      <c r="O174" s="55"/>
      <c r="P174" s="27" t="str">
        <f t="shared" si="179"/>
        <v>0</v>
      </c>
      <c r="Q174" s="27"/>
    </row>
    <row r="175" ht="15.75" hidden="1" customHeight="1" outlineLevel="1">
      <c r="A175" s="18" t="s">
        <v>185</v>
      </c>
      <c r="B175" s="19"/>
      <c r="C175" s="20"/>
      <c r="D175" s="21" t="str">
        <f>SUMIFS('Element wise-detail Summary'!$F$3:$F$1048576,'Element wise-detail Summary'!$B$3:$B$1048576,Summary!$A175)</f>
        <v>0</v>
      </c>
      <c r="E175" s="22" t="str">
        <f>SUMIFS('Element wise-detail Summary'!$G$3:$G$1048576,'Element wise-detail Summary'!$B$3:$B$1048576,Summary!$A175,'Element wise-detail Summary'!$C$3:$C$1048576,Summary!B175)</f>
        <v>0</v>
      </c>
      <c r="F175" s="20" t="str">
        <f t="shared" si="172"/>
        <v>0</v>
      </c>
      <c r="G175" s="23" t="str">
        <f t="shared" si="173"/>
        <v>#DIV/0!</v>
      </c>
      <c r="H175" s="22" t="str">
        <f>SUMIFS('Element wise-detail Summary'!$I$3:$I$1048576,'Element wise-detail Summary'!$B$3:$B$1048576,Summary!A176,'Element wise-detail Summary'!$C$3:$C$1048576,Summary!B176)</f>
        <v>0</v>
      </c>
      <c r="I175" s="20" t="str">
        <f t="shared" si="174"/>
        <v>0</v>
      </c>
      <c r="J175" s="24" t="str">
        <f t="shared" si="175"/>
        <v>#DIV/0!</v>
      </c>
      <c r="K175" s="25" t="str">
        <f t="shared" si="176"/>
        <v>0</v>
      </c>
      <c r="L175" s="22" t="str">
        <f>SUMIFS('Element wise-detail Summary'!$M$3:$M$1048576,'Element wise-detail Summary'!$B$3:$B$1048576,Summary!A176,'Element wise-detail Summary'!$C$3:$C$1048576,Summary!B176)</f>
        <v>0</v>
      </c>
      <c r="M175" s="20" t="str">
        <f t="shared" si="177"/>
        <v>0</v>
      </c>
      <c r="N175" s="24" t="str">
        <f t="shared" si="178"/>
        <v>#DIV/0!</v>
      </c>
      <c r="O175" s="55"/>
      <c r="P175" s="27" t="str">
        <f t="shared" si="179"/>
        <v>0</v>
      </c>
      <c r="Q175" s="27"/>
    </row>
    <row r="176" ht="15.75" hidden="1" customHeight="1" outlineLevel="1">
      <c r="A176" s="18" t="s">
        <v>186</v>
      </c>
      <c r="B176" s="19"/>
      <c r="C176" s="20"/>
      <c r="D176" s="21" t="str">
        <f>SUMIFS('Element wise-detail Summary'!$F$3:$F$1048576,'Element wise-detail Summary'!$B$3:$B$1048576,Summary!$A176)</f>
        <v>0</v>
      </c>
      <c r="E176" s="22" t="str">
        <f>SUMIFS('Element wise-detail Summary'!$G$3:$G$1048576,'Element wise-detail Summary'!$B$3:$B$1048576,Summary!$A176,'Element wise-detail Summary'!$C$3:$C$1048576,Summary!B176)</f>
        <v>0</v>
      </c>
      <c r="F176" s="20" t="str">
        <f t="shared" si="172"/>
        <v>0</v>
      </c>
      <c r="G176" s="23" t="str">
        <f t="shared" si="173"/>
        <v>#DIV/0!</v>
      </c>
      <c r="H176" s="22" t="str">
        <f>SUMIFS('Element wise-detail Summary'!$I$3:$I$1048576,'Element wise-detail Summary'!$B$3:$B$1048576,Summary!A177,'Element wise-detail Summary'!$C$3:$C$1048576,Summary!B177)</f>
        <v>0</v>
      </c>
      <c r="I176" s="20" t="str">
        <f t="shared" si="174"/>
        <v>0</v>
      </c>
      <c r="J176" s="24" t="str">
        <f t="shared" si="175"/>
        <v>#DIV/0!</v>
      </c>
      <c r="K176" s="25" t="str">
        <f t="shared" si="176"/>
        <v>0</v>
      </c>
      <c r="L176" s="22" t="str">
        <f>SUMIFS('Element wise-detail Summary'!$M$3:$M$1048576,'Element wise-detail Summary'!$B$3:$B$1048576,Summary!A177,'Element wise-detail Summary'!$C$3:$C$1048576,Summary!B177)</f>
        <v>0</v>
      </c>
      <c r="M176" s="20" t="str">
        <f t="shared" si="177"/>
        <v>0</v>
      </c>
      <c r="N176" s="24" t="str">
        <f t="shared" si="178"/>
        <v>#DIV/0!</v>
      </c>
      <c r="O176" s="55"/>
      <c r="P176" s="27" t="str">
        <f t="shared" si="179"/>
        <v>0</v>
      </c>
      <c r="Q176" s="27"/>
    </row>
    <row r="177" ht="15.75" hidden="1" customHeight="1" outlineLevel="1">
      <c r="A177" s="18" t="s">
        <v>187</v>
      </c>
      <c r="B177" s="19"/>
      <c r="C177" s="20"/>
      <c r="D177" s="21" t="str">
        <f>SUMIFS('Element wise-detail Summary'!$F$3:$F$1048576,'Element wise-detail Summary'!$B$3:$B$1048576,Summary!$A177)</f>
        <v>0</v>
      </c>
      <c r="E177" s="22" t="str">
        <f>SUMIFS('Element wise-detail Summary'!$G$3:$G$1048576,'Element wise-detail Summary'!$B$3:$B$1048576,Summary!$A177,'Element wise-detail Summary'!$C$3:$C$1048576,Summary!B177)</f>
        <v>0</v>
      </c>
      <c r="F177" s="20" t="str">
        <f t="shared" si="172"/>
        <v>0</v>
      </c>
      <c r="G177" s="23" t="str">
        <f t="shared" si="173"/>
        <v>#DIV/0!</v>
      </c>
      <c r="H177" s="22" t="str">
        <f>SUMIFS('Element wise-detail Summary'!$I$3:$I$1048576,'Element wise-detail Summary'!$B$3:$B$1048576,Summary!A178,'Element wise-detail Summary'!$C$3:$C$1048576,Summary!B178)</f>
        <v>0</v>
      </c>
      <c r="I177" s="20" t="str">
        <f t="shared" si="174"/>
        <v>0</v>
      </c>
      <c r="J177" s="24" t="str">
        <f t="shared" si="175"/>
        <v>#DIV/0!</v>
      </c>
      <c r="K177" s="25" t="str">
        <f t="shared" si="176"/>
        <v>0</v>
      </c>
      <c r="L177" s="22" t="str">
        <f>SUMIFS('Element wise-detail Summary'!$M$3:$M$1048576,'Element wise-detail Summary'!$B$3:$B$1048576,Summary!A178,'Element wise-detail Summary'!$C$3:$C$1048576,Summary!B178)</f>
        <v>0</v>
      </c>
      <c r="M177" s="20" t="str">
        <f t="shared" si="177"/>
        <v>0</v>
      </c>
      <c r="N177" s="24" t="str">
        <f t="shared" si="178"/>
        <v>#DIV/0!</v>
      </c>
      <c r="O177" s="55"/>
      <c r="P177" s="27" t="str">
        <f t="shared" si="179"/>
        <v>0</v>
      </c>
      <c r="Q177" s="27"/>
    </row>
    <row r="178" ht="15.75" hidden="1" customHeight="1" outlineLevel="1">
      <c r="A178" s="18" t="s">
        <v>188</v>
      </c>
      <c r="B178" s="19"/>
      <c r="C178" s="20"/>
      <c r="D178" s="21" t="str">
        <f>SUMIFS('Element wise-detail Summary'!$F$3:$F$1048576,'Element wise-detail Summary'!$B$3:$B$1048576,Summary!$A178)</f>
        <v>0</v>
      </c>
      <c r="E178" s="22" t="str">
        <f>SUMIFS('Element wise-detail Summary'!$G$3:$G$1048576,'Element wise-detail Summary'!$B$3:$B$1048576,Summary!$A178,'Element wise-detail Summary'!$C$3:$C$1048576,Summary!B178)</f>
        <v>0</v>
      </c>
      <c r="F178" s="20" t="str">
        <f t="shared" si="172"/>
        <v>0</v>
      </c>
      <c r="G178" s="23" t="str">
        <f t="shared" si="173"/>
        <v>#DIV/0!</v>
      </c>
      <c r="H178" s="22" t="str">
        <f>SUMIFS('Element wise-detail Summary'!$I$3:$I$1048576,'Element wise-detail Summary'!$B$3:$B$1048576,Summary!A179,'Element wise-detail Summary'!$C$3:$C$1048576,Summary!B179)</f>
        <v>0</v>
      </c>
      <c r="I178" s="20" t="str">
        <f t="shared" si="174"/>
        <v>0</v>
      </c>
      <c r="J178" s="24" t="str">
        <f t="shared" si="175"/>
        <v>#DIV/0!</v>
      </c>
      <c r="K178" s="25" t="str">
        <f t="shared" si="176"/>
        <v>0</v>
      </c>
      <c r="L178" s="22" t="str">
        <f>SUMIFS('Element wise-detail Summary'!$M$3:$M$1048576,'Element wise-detail Summary'!$B$3:$B$1048576,Summary!A179,'Element wise-detail Summary'!$C$3:$C$1048576,Summary!B179)</f>
        <v>0</v>
      </c>
      <c r="M178" s="20" t="str">
        <f t="shared" si="177"/>
        <v>0</v>
      </c>
      <c r="N178" s="24" t="str">
        <f t="shared" si="178"/>
        <v>#DIV/0!</v>
      </c>
      <c r="O178" s="55"/>
      <c r="P178" s="27" t="str">
        <f t="shared" si="179"/>
        <v>0</v>
      </c>
      <c r="Q178" s="27"/>
    </row>
    <row r="179" ht="15.75" hidden="1" customHeight="1" outlineLevel="1">
      <c r="A179" s="18" t="s">
        <v>189</v>
      </c>
      <c r="B179" s="19"/>
      <c r="C179" s="20"/>
      <c r="D179" s="21" t="str">
        <f>SUMIFS('Element wise-detail Summary'!$F$3:$F$1048576,'Element wise-detail Summary'!$B$3:$B$1048576,Summary!$A179)</f>
        <v>0</v>
      </c>
      <c r="E179" s="22" t="str">
        <f>SUMIFS('Element wise-detail Summary'!$G$3:$G$1048576,'Element wise-detail Summary'!$B$3:$B$1048576,Summary!$A179,'Element wise-detail Summary'!$C$3:$C$1048576,Summary!B179)</f>
        <v>0</v>
      </c>
      <c r="F179" s="20" t="str">
        <f t="shared" si="172"/>
        <v>0</v>
      </c>
      <c r="G179" s="23" t="str">
        <f t="shared" si="173"/>
        <v>#DIV/0!</v>
      </c>
      <c r="H179" s="22" t="str">
        <f>SUMIFS('Element wise-detail Summary'!$I$3:$I$1048576,'Element wise-detail Summary'!$B$3:$B$1048576,Summary!A180,'Element wise-detail Summary'!$C$3:$C$1048576,Summary!B180)</f>
        <v>0</v>
      </c>
      <c r="I179" s="20" t="str">
        <f t="shared" si="174"/>
        <v>0</v>
      </c>
      <c r="J179" s="24" t="str">
        <f t="shared" si="175"/>
        <v>#DIV/0!</v>
      </c>
      <c r="K179" s="25" t="str">
        <f t="shared" si="176"/>
        <v>0</v>
      </c>
      <c r="L179" s="22" t="str">
        <f>SUMIFS('Element wise-detail Summary'!$M$3:$M$1048576,'Element wise-detail Summary'!$B$3:$B$1048576,Summary!A180,'Element wise-detail Summary'!$C$3:$C$1048576,Summary!B180)</f>
        <v>0</v>
      </c>
      <c r="M179" s="20" t="str">
        <f t="shared" si="177"/>
        <v>0</v>
      </c>
      <c r="N179" s="24" t="str">
        <f t="shared" si="178"/>
        <v>#DIV/0!</v>
      </c>
      <c r="O179" s="55"/>
      <c r="P179" s="27" t="str">
        <f t="shared" si="179"/>
        <v>0</v>
      </c>
      <c r="Q179" s="27"/>
    </row>
    <row r="180" ht="15.75" hidden="1" customHeight="1" outlineLevel="1">
      <c r="A180" s="18" t="s">
        <v>190</v>
      </c>
      <c r="B180" s="19"/>
      <c r="C180" s="20"/>
      <c r="D180" s="21" t="str">
        <f>SUMIFS('Element wise-detail Summary'!$F$3:$F$1048576,'Element wise-detail Summary'!$B$3:$B$1048576,Summary!$A180)</f>
        <v>0</v>
      </c>
      <c r="E180" s="22" t="str">
        <f>SUMIFS('Element wise-detail Summary'!$G$3:$G$1048576,'Element wise-detail Summary'!$B$3:$B$1048576,Summary!$A180,'Element wise-detail Summary'!$C$3:$C$1048576,Summary!B180)</f>
        <v>0</v>
      </c>
      <c r="F180" s="20" t="str">
        <f t="shared" si="172"/>
        <v>0</v>
      </c>
      <c r="G180" s="23" t="str">
        <f t="shared" si="173"/>
        <v>#DIV/0!</v>
      </c>
      <c r="H180" s="22" t="str">
        <f>SUMIFS('Element wise-detail Summary'!$I$3:$I$1048576,'Element wise-detail Summary'!$B$3:$B$1048576,Summary!A181,'Element wise-detail Summary'!$C$3:$C$1048576,Summary!B181)</f>
        <v>0</v>
      </c>
      <c r="I180" s="20" t="str">
        <f t="shared" si="174"/>
        <v>0</v>
      </c>
      <c r="J180" s="24" t="str">
        <f t="shared" si="175"/>
        <v>#DIV/0!</v>
      </c>
      <c r="K180" s="25" t="str">
        <f t="shared" si="176"/>
        <v>0</v>
      </c>
      <c r="L180" s="22" t="str">
        <f>SUMIFS('Element wise-detail Summary'!$M$3:$M$1048576,'Element wise-detail Summary'!$B$3:$B$1048576,Summary!A181,'Element wise-detail Summary'!$C$3:$C$1048576,Summary!B181)</f>
        <v>0</v>
      </c>
      <c r="M180" s="20" t="str">
        <f t="shared" si="177"/>
        <v>0</v>
      </c>
      <c r="N180" s="24" t="str">
        <f t="shared" si="178"/>
        <v>#DIV/0!</v>
      </c>
      <c r="O180" s="55"/>
      <c r="P180" s="27" t="str">
        <f t="shared" si="179"/>
        <v>0</v>
      </c>
      <c r="Q180" s="27"/>
    </row>
    <row r="181" ht="15.75" hidden="1" customHeight="1" outlineLevel="1">
      <c r="A181" s="18" t="s">
        <v>191</v>
      </c>
      <c r="B181" s="19"/>
      <c r="C181" s="20"/>
      <c r="D181" s="21" t="str">
        <f>SUMIFS('Element wise-detail Summary'!$F$3:$F$1048576,'Element wise-detail Summary'!$B$3:$B$1048576,Summary!$A181)</f>
        <v>0</v>
      </c>
      <c r="E181" s="22" t="str">
        <f>SUMIFS('Element wise-detail Summary'!$G$3:$G$1048576,'Element wise-detail Summary'!$B$3:$B$1048576,Summary!$A181,'Element wise-detail Summary'!$C$3:$C$1048576,Summary!B181)</f>
        <v>0</v>
      </c>
      <c r="F181" s="20" t="str">
        <f t="shared" si="172"/>
        <v>0</v>
      </c>
      <c r="G181" s="23" t="str">
        <f t="shared" si="173"/>
        <v>#DIV/0!</v>
      </c>
      <c r="H181" s="22" t="str">
        <f>SUMIFS('Element wise-detail Summary'!$I$3:$I$1048576,'Element wise-detail Summary'!$B$3:$B$1048576,Summary!A182,'Element wise-detail Summary'!$C$3:$C$1048576,Summary!B182)</f>
        <v>0</v>
      </c>
      <c r="I181" s="20" t="str">
        <f t="shared" si="174"/>
        <v>0</v>
      </c>
      <c r="J181" s="24" t="str">
        <f t="shared" si="175"/>
        <v>#DIV/0!</v>
      </c>
      <c r="K181" s="25" t="str">
        <f t="shared" si="176"/>
        <v>0</v>
      </c>
      <c r="L181" s="22" t="str">
        <f>SUMIFS('Element wise-detail Summary'!$M$3:$M$1048576,'Element wise-detail Summary'!$B$3:$B$1048576,Summary!A182,'Element wise-detail Summary'!$C$3:$C$1048576,Summary!B182)</f>
        <v>0</v>
      </c>
      <c r="M181" s="20" t="str">
        <f t="shared" si="177"/>
        <v>0</v>
      </c>
      <c r="N181" s="24" t="str">
        <f t="shared" si="178"/>
        <v>#DIV/0!</v>
      </c>
      <c r="O181" s="55"/>
      <c r="P181" s="27" t="str">
        <f t="shared" si="179"/>
        <v>0</v>
      </c>
      <c r="Q181" s="27"/>
    </row>
    <row r="182" ht="15.75" hidden="1" customHeight="1" outlineLevel="1">
      <c r="A182" s="18" t="s">
        <v>192</v>
      </c>
      <c r="B182" s="19"/>
      <c r="C182" s="20"/>
      <c r="D182" s="21" t="str">
        <f>SUMIFS('Element wise-detail Summary'!$F$3:$F$1048576,'Element wise-detail Summary'!$B$3:$B$1048576,Summary!$A182)</f>
        <v>0</v>
      </c>
      <c r="E182" s="22" t="str">
        <f>SUMIFS('Element wise-detail Summary'!$G$3:$G$1048576,'Element wise-detail Summary'!$B$3:$B$1048576,Summary!$A182,'Element wise-detail Summary'!$C$3:$C$1048576,Summary!B182)</f>
        <v>0</v>
      </c>
      <c r="F182" s="20" t="str">
        <f t="shared" si="172"/>
        <v>0</v>
      </c>
      <c r="G182" s="23" t="str">
        <f t="shared" si="173"/>
        <v>#DIV/0!</v>
      </c>
      <c r="H182" s="22" t="str">
        <f>SUMIFS('Element wise-detail Summary'!$I$3:$I$1048576,'Element wise-detail Summary'!$B$3:$B$1048576,Summary!A183,'Element wise-detail Summary'!$C$3:$C$1048576,Summary!B183)</f>
        <v>0</v>
      </c>
      <c r="I182" s="20" t="str">
        <f t="shared" si="174"/>
        <v>0</v>
      </c>
      <c r="J182" s="24" t="str">
        <f t="shared" si="175"/>
        <v>#DIV/0!</v>
      </c>
      <c r="K182" s="25" t="str">
        <f t="shared" si="176"/>
        <v>0</v>
      </c>
      <c r="L182" s="22" t="str">
        <f>SUMIFS('Element wise-detail Summary'!$M$3:$M$1048576,'Element wise-detail Summary'!$B$3:$B$1048576,Summary!A183,'Element wise-detail Summary'!$C$3:$C$1048576,Summary!B183)</f>
        <v>0</v>
      </c>
      <c r="M182" s="20" t="str">
        <f t="shared" si="177"/>
        <v>0</v>
      </c>
      <c r="N182" s="24" t="str">
        <f t="shared" si="178"/>
        <v>#DIV/0!</v>
      </c>
      <c r="O182" s="55"/>
      <c r="P182" s="27" t="str">
        <f t="shared" si="179"/>
        <v>0</v>
      </c>
      <c r="Q182" s="27"/>
    </row>
    <row r="183" ht="15.75" hidden="1" customHeight="1" outlineLevel="1">
      <c r="A183" s="18" t="s">
        <v>193</v>
      </c>
      <c r="B183" s="19"/>
      <c r="C183" s="20"/>
      <c r="D183" s="21" t="str">
        <f>SUMIFS('Element wise-detail Summary'!$F$3:$F$1048576,'Element wise-detail Summary'!$B$3:$B$1048576,Summary!$A183)</f>
        <v>0</v>
      </c>
      <c r="E183" s="22" t="str">
        <f>SUMIFS('Element wise-detail Summary'!$G$3:$G$1048576,'Element wise-detail Summary'!$B$3:$B$1048576,Summary!$A183,'Element wise-detail Summary'!$C$3:$C$1048576,Summary!B183)</f>
        <v>0</v>
      </c>
      <c r="F183" s="20" t="str">
        <f t="shared" si="172"/>
        <v>0</v>
      </c>
      <c r="G183" s="23" t="str">
        <f t="shared" si="173"/>
        <v>#DIV/0!</v>
      </c>
      <c r="H183" s="22" t="str">
        <f>SUMIFS('Element wise-detail Summary'!$I$3:$I$1048576,'Element wise-detail Summary'!$B$3:$B$1048576,Summary!A184,'Element wise-detail Summary'!$C$3:$C$1048576,Summary!B184)</f>
        <v>0</v>
      </c>
      <c r="I183" s="20" t="str">
        <f t="shared" si="174"/>
        <v>0</v>
      </c>
      <c r="J183" s="24" t="str">
        <f t="shared" si="175"/>
        <v>#DIV/0!</v>
      </c>
      <c r="K183" s="25" t="str">
        <f t="shared" si="176"/>
        <v>0</v>
      </c>
      <c r="L183" s="22" t="str">
        <f>SUMIFS('Element wise-detail Summary'!$M$3:$M$1048576,'Element wise-detail Summary'!$B$3:$B$1048576,Summary!A184,'Element wise-detail Summary'!$C$3:$C$1048576,Summary!B184)</f>
        <v>0</v>
      </c>
      <c r="M183" s="20" t="str">
        <f t="shared" si="177"/>
        <v>0</v>
      </c>
      <c r="N183" s="24" t="str">
        <f t="shared" si="178"/>
        <v>#DIV/0!</v>
      </c>
      <c r="O183" s="55"/>
      <c r="P183" s="27" t="str">
        <f t="shared" si="179"/>
        <v>0</v>
      </c>
      <c r="Q183" s="27"/>
    </row>
    <row r="184" ht="15.75" hidden="1" customHeight="1" outlineLevel="1">
      <c r="A184" s="18" t="s">
        <v>194</v>
      </c>
      <c r="B184" s="19"/>
      <c r="C184" s="20"/>
      <c r="D184" s="21" t="str">
        <f>SUMIFS('Element wise-detail Summary'!$F$3:$F$1048576,'Element wise-detail Summary'!$B$3:$B$1048576,Summary!$A184)</f>
        <v>0</v>
      </c>
      <c r="E184" s="22" t="str">
        <f>SUMIFS('Element wise-detail Summary'!$G$3:$G$1048576,'Element wise-detail Summary'!$B$3:$B$1048576,Summary!$A184,'Element wise-detail Summary'!$C$3:$C$1048576,Summary!B184)</f>
        <v>0</v>
      </c>
      <c r="F184" s="20" t="str">
        <f t="shared" si="172"/>
        <v>0</v>
      </c>
      <c r="G184" s="23" t="str">
        <f t="shared" si="173"/>
        <v>#DIV/0!</v>
      </c>
      <c r="H184" s="22" t="str">
        <f>SUMIFS('Element wise-detail Summary'!$I$3:$I$1048576,'Element wise-detail Summary'!$B$3:$B$1048576,Summary!A185,'Element wise-detail Summary'!$C$3:$C$1048576,Summary!B185)</f>
        <v>0</v>
      </c>
      <c r="I184" s="20" t="str">
        <f t="shared" si="174"/>
        <v>0</v>
      </c>
      <c r="J184" s="24" t="str">
        <f t="shared" si="175"/>
        <v>#DIV/0!</v>
      </c>
      <c r="K184" s="25" t="str">
        <f t="shared" si="176"/>
        <v>0</v>
      </c>
      <c r="L184" s="22" t="str">
        <f>SUMIFS('Element wise-detail Summary'!$M$3:$M$1048576,'Element wise-detail Summary'!$B$3:$B$1048576,Summary!A185,'Element wise-detail Summary'!$C$3:$C$1048576,Summary!B185)</f>
        <v>0</v>
      </c>
      <c r="M184" s="20" t="str">
        <f t="shared" si="177"/>
        <v>0</v>
      </c>
      <c r="N184" s="24" t="str">
        <f t="shared" si="178"/>
        <v>#DIV/0!</v>
      </c>
      <c r="O184" s="55"/>
      <c r="P184" s="27" t="str">
        <f t="shared" si="179"/>
        <v>0</v>
      </c>
      <c r="Q184" s="27"/>
    </row>
    <row r="185" ht="15.75" hidden="1" customHeight="1" outlineLevel="1">
      <c r="A185" s="18" t="s">
        <v>195</v>
      </c>
      <c r="B185" s="19"/>
      <c r="C185" s="20"/>
      <c r="D185" s="21" t="str">
        <f>SUMIFS('Element wise-detail Summary'!$F$3:$F$1048576,'Element wise-detail Summary'!$B$3:$B$1048576,Summary!$A185)</f>
        <v>0</v>
      </c>
      <c r="E185" s="22" t="str">
        <f>SUMIFS('Element wise-detail Summary'!$G$3:$G$1048576,'Element wise-detail Summary'!$B$3:$B$1048576,Summary!$A185,'Element wise-detail Summary'!$C$3:$C$1048576,Summary!B185)</f>
        <v>0</v>
      </c>
      <c r="F185" s="20" t="str">
        <f t="shared" si="172"/>
        <v>0</v>
      </c>
      <c r="G185" s="23" t="str">
        <f t="shared" si="173"/>
        <v>#DIV/0!</v>
      </c>
      <c r="H185" s="22" t="str">
        <f>SUMIFS('Element wise-detail Summary'!$I$3:$I$1048576,'Element wise-detail Summary'!$B$3:$B$1048576,Summary!A186,'Element wise-detail Summary'!$C$3:$C$1048576,Summary!B186)</f>
        <v>0</v>
      </c>
      <c r="I185" s="20" t="str">
        <f t="shared" si="174"/>
        <v>0</v>
      </c>
      <c r="J185" s="24" t="str">
        <f t="shared" si="175"/>
        <v>#DIV/0!</v>
      </c>
      <c r="K185" s="25" t="str">
        <f t="shared" si="176"/>
        <v>0</v>
      </c>
      <c r="L185" s="22" t="str">
        <f>SUMIFS('Element wise-detail Summary'!$M$3:$M$1048576,'Element wise-detail Summary'!$B$3:$B$1048576,Summary!A186,'Element wise-detail Summary'!$C$3:$C$1048576,Summary!B186)</f>
        <v>0</v>
      </c>
      <c r="M185" s="20" t="str">
        <f t="shared" si="177"/>
        <v>0</v>
      </c>
      <c r="N185" s="24" t="str">
        <f t="shared" si="178"/>
        <v>#DIV/0!</v>
      </c>
      <c r="O185" s="55"/>
      <c r="P185" s="27" t="str">
        <f t="shared" si="179"/>
        <v>0</v>
      </c>
      <c r="Q185" s="27"/>
    </row>
    <row r="186" ht="15.75" hidden="1" customHeight="1" outlineLevel="1">
      <c r="A186" s="18" t="s">
        <v>196</v>
      </c>
      <c r="B186" s="19"/>
      <c r="C186" s="20"/>
      <c r="D186" s="21" t="str">
        <f>SUMIFS('Element wise-detail Summary'!$F$3:$F$1048576,'Element wise-detail Summary'!$B$3:$B$1048576,Summary!$A186)</f>
        <v>0</v>
      </c>
      <c r="E186" s="22" t="str">
        <f>SUMIFS('Element wise-detail Summary'!$G$3:$G$1048576,'Element wise-detail Summary'!$B$3:$B$1048576,Summary!$A186,'Element wise-detail Summary'!$C$3:$C$1048576,Summary!B186)</f>
        <v>0</v>
      </c>
      <c r="F186" s="20" t="str">
        <f t="shared" si="172"/>
        <v>0</v>
      </c>
      <c r="G186" s="23" t="str">
        <f t="shared" si="173"/>
        <v>#DIV/0!</v>
      </c>
      <c r="H186" s="22" t="str">
        <f>SUMIFS('Element wise-detail Summary'!$I$3:$I$1048576,'Element wise-detail Summary'!$B$3:$B$1048576,Summary!A115,'Element wise-detail Summary'!$C$3:$C$1048576,Summary!B115)</f>
        <v>0</v>
      </c>
      <c r="I186" s="20" t="str">
        <f t="shared" si="174"/>
        <v>0</v>
      </c>
      <c r="J186" s="24" t="str">
        <f t="shared" si="175"/>
        <v>#DIV/0!</v>
      </c>
      <c r="K186" s="25" t="str">
        <f t="shared" si="176"/>
        <v>0</v>
      </c>
      <c r="L186" s="22" t="str">
        <f>SUMIFS('Element wise-detail Summary'!$M$3:$M$1048576,'Element wise-detail Summary'!$B$3:$B$1048576,Summary!A115,'Element wise-detail Summary'!$C$3:$C$1048576,Summary!B115)</f>
        <v>0</v>
      </c>
      <c r="M186" s="20" t="str">
        <f t="shared" si="177"/>
        <v>0</v>
      </c>
      <c r="N186" s="24" t="str">
        <f t="shared" si="178"/>
        <v>#DIV/0!</v>
      </c>
      <c r="O186" s="55"/>
      <c r="P186" s="27" t="str">
        <f t="shared" si="179"/>
        <v>0</v>
      </c>
      <c r="Q186" s="27"/>
    </row>
    <row r="187" ht="15.75" hidden="1" customHeight="1" outlineLevel="1">
      <c r="A187" s="18" t="s">
        <v>197</v>
      </c>
      <c r="B187" s="19"/>
      <c r="C187" s="20"/>
      <c r="D187" s="21" t="str">
        <f>SUMIFS('Element wise-detail Summary'!$F$3:$F$1048576,'Element wise-detail Summary'!$B$3:$B$1048576,Summary!$A187)</f>
        <v>0</v>
      </c>
      <c r="E187" s="22" t="str">
        <f>SUMIFS('Element wise-detail Summary'!$G$3:$G$1048576,'Element wise-detail Summary'!$B$3:$B$1048576,Summary!$A187,'Element wise-detail Summary'!$C$3:$C$1048576,Summary!B187)</f>
        <v>0</v>
      </c>
      <c r="F187" s="20" t="str">
        <f t="shared" si="172"/>
        <v>0</v>
      </c>
      <c r="G187" s="23" t="str">
        <f t="shared" si="173"/>
        <v>#DIV/0!</v>
      </c>
      <c r="H187" s="22" t="str">
        <f>SUMIFS('Element wise-detail Summary'!$I$3:$I$1048576,'Element wise-detail Summary'!$B$3:$B$1048576,Summary!A188,'Element wise-detail Summary'!$C$3:$C$1048576,Summary!B188)</f>
        <v>0</v>
      </c>
      <c r="I187" s="20" t="str">
        <f t="shared" si="174"/>
        <v>0</v>
      </c>
      <c r="J187" s="24" t="str">
        <f t="shared" si="175"/>
        <v>#DIV/0!</v>
      </c>
      <c r="K187" s="25" t="str">
        <f t="shared" si="176"/>
        <v>0</v>
      </c>
      <c r="L187" s="22" t="str">
        <f>SUMIFS('Element wise-detail Summary'!$M$3:$M$1048576,'Element wise-detail Summary'!$B$3:$B$1048576,Summary!A188,'Element wise-detail Summary'!$C$3:$C$1048576,Summary!B188)</f>
        <v>0</v>
      </c>
      <c r="M187" s="20" t="str">
        <f t="shared" si="177"/>
        <v>0</v>
      </c>
      <c r="N187" s="24" t="str">
        <f t="shared" si="178"/>
        <v>#DIV/0!</v>
      </c>
      <c r="O187" s="55"/>
      <c r="P187" s="27" t="str">
        <f t="shared" si="179"/>
        <v>0</v>
      </c>
      <c r="Q187" s="27"/>
    </row>
    <row r="188" ht="15.75" hidden="1" customHeight="1" outlineLevel="1">
      <c r="A188" s="18" t="s">
        <v>198</v>
      </c>
      <c r="B188" s="19"/>
      <c r="C188" s="20"/>
      <c r="D188" s="21" t="str">
        <f>SUMIFS('Element wise-detail Summary'!$F$3:$F$1048576,'Element wise-detail Summary'!$B$3:$B$1048576,Summary!$A188)</f>
        <v>0</v>
      </c>
      <c r="E188" s="22" t="str">
        <f>SUMIFS('Element wise-detail Summary'!$G$3:$G$1048576,'Element wise-detail Summary'!$B$3:$B$1048576,Summary!$A188,'Element wise-detail Summary'!$C$3:$C$1048576,Summary!B188)</f>
        <v>0</v>
      </c>
      <c r="F188" s="20" t="str">
        <f t="shared" si="172"/>
        <v>0</v>
      </c>
      <c r="G188" s="23" t="str">
        <f t="shared" si="173"/>
        <v>#DIV/0!</v>
      </c>
      <c r="H188" s="22" t="str">
        <f>SUMIFS('Element wise-detail Summary'!$I$3:$I$1048576,'Element wise-detail Summary'!$B$3:$B$1048576,Summary!A189,'Element wise-detail Summary'!$C$3:$C$1048576,Summary!B189)</f>
        <v>0</v>
      </c>
      <c r="I188" s="20" t="str">
        <f t="shared" si="174"/>
        <v>0</v>
      </c>
      <c r="J188" s="24" t="str">
        <f t="shared" si="175"/>
        <v>#DIV/0!</v>
      </c>
      <c r="K188" s="25" t="str">
        <f t="shared" si="176"/>
        <v>0</v>
      </c>
      <c r="L188" s="22" t="str">
        <f>SUMIFS('Element wise-detail Summary'!$M$3:$M$1048576,'Element wise-detail Summary'!$B$3:$B$1048576,Summary!A189,'Element wise-detail Summary'!$C$3:$C$1048576,Summary!B189)</f>
        <v>0</v>
      </c>
      <c r="M188" s="20" t="str">
        <f t="shared" si="177"/>
        <v>0</v>
      </c>
      <c r="N188" s="24" t="str">
        <f t="shared" si="178"/>
        <v>#DIV/0!</v>
      </c>
      <c r="O188" s="55"/>
      <c r="P188" s="27" t="str">
        <f t="shared" si="179"/>
        <v>0</v>
      </c>
      <c r="Q188" s="27"/>
    </row>
    <row r="189" ht="15.75" hidden="1" customHeight="1" outlineLevel="1">
      <c r="A189" s="18" t="s">
        <v>199</v>
      </c>
      <c r="B189" s="19"/>
      <c r="C189" s="20"/>
      <c r="D189" s="21" t="str">
        <f>SUMIFS('Element wise-detail Summary'!$F$3:$F$1048576,'Element wise-detail Summary'!$B$3:$B$1048576,Summary!$A189)</f>
        <v>0</v>
      </c>
      <c r="E189" s="22" t="str">
        <f>SUMIFS('Element wise-detail Summary'!$G$3:$G$1048576,'Element wise-detail Summary'!$B$3:$B$1048576,Summary!$A189,'Element wise-detail Summary'!$C$3:$C$1048576,Summary!B189)</f>
        <v>0</v>
      </c>
      <c r="F189" s="20" t="str">
        <f t="shared" si="172"/>
        <v>0</v>
      </c>
      <c r="G189" s="23" t="str">
        <f t="shared" si="173"/>
        <v>#DIV/0!</v>
      </c>
      <c r="H189" s="22" t="str">
        <f>SUMIFS('Element wise-detail Summary'!$I$3:$I$1048576,'Element wise-detail Summary'!$B$3:$B$1048576,Summary!A190,'Element wise-detail Summary'!$C$3:$C$1048576,Summary!B190)</f>
        <v>0</v>
      </c>
      <c r="I189" s="20" t="str">
        <f t="shared" si="174"/>
        <v>0</v>
      </c>
      <c r="J189" s="24" t="str">
        <f t="shared" si="175"/>
        <v>#DIV/0!</v>
      </c>
      <c r="K189" s="25" t="str">
        <f t="shared" si="176"/>
        <v>0</v>
      </c>
      <c r="L189" s="22" t="str">
        <f>SUMIFS('Element wise-detail Summary'!$M$3:$M$1048576,'Element wise-detail Summary'!$B$3:$B$1048576,Summary!A190,'Element wise-detail Summary'!$C$3:$C$1048576,Summary!B190)</f>
        <v>0</v>
      </c>
      <c r="M189" s="20" t="str">
        <f t="shared" si="177"/>
        <v>0</v>
      </c>
      <c r="N189" s="24" t="str">
        <f t="shared" si="178"/>
        <v>#DIV/0!</v>
      </c>
      <c r="O189" s="55"/>
      <c r="P189" s="27" t="str">
        <f t="shared" si="179"/>
        <v>0</v>
      </c>
      <c r="Q189" s="27"/>
    </row>
    <row r="190" ht="15.75" hidden="1" customHeight="1" outlineLevel="1">
      <c r="A190" s="18" t="s">
        <v>200</v>
      </c>
      <c r="B190" s="19"/>
      <c r="C190" s="20"/>
      <c r="D190" s="21" t="str">
        <f>SUMIFS('Element wise-detail Summary'!$F$3:$F$1048576,'Element wise-detail Summary'!$B$3:$B$1048576,Summary!$A190)</f>
        <v>0</v>
      </c>
      <c r="E190" s="22" t="str">
        <f>SUMIFS('Element wise-detail Summary'!$G$3:$G$1048576,'Element wise-detail Summary'!$B$3:$B$1048576,Summary!$A190,'Element wise-detail Summary'!$C$3:$C$1048576,Summary!B190)</f>
        <v>0</v>
      </c>
      <c r="F190" s="20" t="str">
        <f t="shared" si="172"/>
        <v>0</v>
      </c>
      <c r="G190" s="23" t="str">
        <f t="shared" si="173"/>
        <v>#DIV/0!</v>
      </c>
      <c r="H190" s="22" t="str">
        <f>SUMIFS('Element wise-detail Summary'!$I$3:$I$1048576,'Element wise-detail Summary'!$B$3:$B$1048576,Summary!A59,'Element wise-detail Summary'!$C$3:$C$1048576,Summary!B59)</f>
        <v>0</v>
      </c>
      <c r="I190" s="20" t="str">
        <f t="shared" si="174"/>
        <v>0</v>
      </c>
      <c r="J190" s="24" t="str">
        <f t="shared" si="175"/>
        <v>#DIV/0!</v>
      </c>
      <c r="K190" s="25" t="str">
        <f t="shared" si="176"/>
        <v>0</v>
      </c>
      <c r="L190" s="22" t="str">
        <f>SUMIFS('Element wise-detail Summary'!$M$3:$M$1048576,'Element wise-detail Summary'!$B$3:$B$1048576,Summary!A59,'Element wise-detail Summary'!$C$3:$C$1048576,Summary!B59)</f>
        <v>0</v>
      </c>
      <c r="M190" s="20" t="str">
        <f t="shared" si="177"/>
        <v>0</v>
      </c>
      <c r="N190" s="24" t="str">
        <f t="shared" si="178"/>
        <v>#DIV/0!</v>
      </c>
      <c r="O190" s="55"/>
      <c r="P190" s="27" t="str">
        <f t="shared" si="179"/>
        <v>0</v>
      </c>
      <c r="Q190" s="27"/>
    </row>
    <row r="191" ht="15.75" hidden="1" customHeight="1" outlineLevel="1">
      <c r="A191" s="18" t="s">
        <v>201</v>
      </c>
      <c r="B191" s="19"/>
      <c r="C191" s="20"/>
      <c r="D191" s="21" t="str">
        <f>SUMIFS('Element wise-detail Summary'!$F$3:$F$1048576,'Element wise-detail Summary'!$B$3:$B$1048576,Summary!$A191)</f>
        <v>0</v>
      </c>
      <c r="E191" s="22" t="str">
        <f>SUMIFS('Element wise-detail Summary'!$G$3:$G$1048576,'Element wise-detail Summary'!$B$3:$B$1048576,Summary!$A191,'Element wise-detail Summary'!$C$3:$C$1048576,Summary!B191)</f>
        <v>0</v>
      </c>
      <c r="F191" s="20" t="str">
        <f t="shared" si="172"/>
        <v>0</v>
      </c>
      <c r="G191" s="23" t="str">
        <f t="shared" si="173"/>
        <v>#DIV/0!</v>
      </c>
      <c r="H191" s="22" t="str">
        <f>SUMIFS('Element wise-detail Summary'!$I$3:$I$1048576,'Element wise-detail Summary'!$B$3:$B$1048576,Summary!A192,'Element wise-detail Summary'!$C$3:$C$1048576,Summary!B192)</f>
        <v>0</v>
      </c>
      <c r="I191" s="20" t="str">
        <f t="shared" si="174"/>
        <v>0</v>
      </c>
      <c r="J191" s="24" t="str">
        <f t="shared" si="175"/>
        <v>#DIV/0!</v>
      </c>
      <c r="K191" s="25" t="str">
        <f t="shared" si="176"/>
        <v>0</v>
      </c>
      <c r="L191" s="22" t="str">
        <f>SUMIFS('Element wise-detail Summary'!$M$3:$M$1048576,'Element wise-detail Summary'!$B$3:$B$1048576,Summary!A192,'Element wise-detail Summary'!$C$3:$C$1048576,Summary!B192)</f>
        <v>0</v>
      </c>
      <c r="M191" s="20" t="str">
        <f t="shared" si="177"/>
        <v>0</v>
      </c>
      <c r="N191" s="24" t="str">
        <f t="shared" si="178"/>
        <v>#DIV/0!</v>
      </c>
      <c r="O191" s="55"/>
      <c r="P191" s="27" t="str">
        <f t="shared" si="179"/>
        <v>0</v>
      </c>
      <c r="Q191" s="27"/>
    </row>
    <row r="192" ht="15.75" hidden="1" customHeight="1" outlineLevel="1">
      <c r="A192" s="18" t="s">
        <v>202</v>
      </c>
      <c r="B192" s="19"/>
      <c r="C192" s="20"/>
      <c r="D192" s="21" t="str">
        <f>SUMIFS('Element wise-detail Summary'!$F$3:$F$1048576,'Element wise-detail Summary'!$B$3:$B$1048576,Summary!$A192)</f>
        <v>0</v>
      </c>
      <c r="E192" s="22" t="str">
        <f>SUMIFS('Element wise-detail Summary'!$G$3:$G$1048576,'Element wise-detail Summary'!$B$3:$B$1048576,Summary!$A192,'Element wise-detail Summary'!$C$3:$C$1048576,Summary!B192)</f>
        <v>0</v>
      </c>
      <c r="F192" s="20" t="str">
        <f t="shared" si="172"/>
        <v>0</v>
      </c>
      <c r="G192" s="23" t="str">
        <f t="shared" si="173"/>
        <v>#DIV/0!</v>
      </c>
      <c r="H192" s="22" t="str">
        <f>SUMIFS('Element wise-detail Summary'!$I$3:$I$1048576,'Element wise-detail Summary'!$B$3:$B$1048576,Summary!A193,'Element wise-detail Summary'!$C$3:$C$1048576,Summary!B193)</f>
        <v>0</v>
      </c>
      <c r="I192" s="20" t="str">
        <f t="shared" si="174"/>
        <v>0</v>
      </c>
      <c r="J192" s="24" t="str">
        <f t="shared" si="175"/>
        <v>#DIV/0!</v>
      </c>
      <c r="K192" s="25" t="str">
        <f t="shared" si="176"/>
        <v>0</v>
      </c>
      <c r="L192" s="22" t="str">
        <f>SUMIFS('Element wise-detail Summary'!$M$3:$M$1048576,'Element wise-detail Summary'!$B$3:$B$1048576,Summary!A193,'Element wise-detail Summary'!$C$3:$C$1048576,Summary!B193)</f>
        <v>0</v>
      </c>
      <c r="M192" s="20" t="str">
        <f t="shared" si="177"/>
        <v>0</v>
      </c>
      <c r="N192" s="24" t="str">
        <f t="shared" si="178"/>
        <v>#DIV/0!</v>
      </c>
      <c r="O192" s="55"/>
      <c r="P192" s="27" t="str">
        <f t="shared" si="179"/>
        <v>0</v>
      </c>
      <c r="Q192" s="27"/>
    </row>
    <row r="193" ht="15.75" hidden="1" customHeight="1" outlineLevel="1">
      <c r="A193" s="18" t="s">
        <v>203</v>
      </c>
      <c r="B193" s="19"/>
      <c r="C193" s="20"/>
      <c r="D193" s="21" t="str">
        <f>SUMIFS('Element wise-detail Summary'!$F$3:$F$1048576,'Element wise-detail Summary'!$B$3:$B$1048576,Summary!$A193)</f>
        <v>0</v>
      </c>
      <c r="E193" s="22" t="str">
        <f>SUMIFS('Element wise-detail Summary'!$G$3:$G$1048576,'Element wise-detail Summary'!$B$3:$B$1048576,Summary!$A193,'Element wise-detail Summary'!$C$3:$C$1048576,Summary!B193)</f>
        <v>0</v>
      </c>
      <c r="F193" s="20" t="str">
        <f t="shared" si="172"/>
        <v>0</v>
      </c>
      <c r="G193" s="23" t="str">
        <f t="shared" si="173"/>
        <v>#DIV/0!</v>
      </c>
      <c r="H193" s="22" t="str">
        <f>SUMIFS('Element wise-detail Summary'!$I$3:$I$1048576,'Element wise-detail Summary'!$B$3:$B$1048576,Summary!A194,'Element wise-detail Summary'!$C$3:$C$1048576,Summary!B194)</f>
        <v>0</v>
      </c>
      <c r="I193" s="20" t="str">
        <f t="shared" si="174"/>
        <v>0</v>
      </c>
      <c r="J193" s="24" t="str">
        <f t="shared" si="175"/>
        <v>#DIV/0!</v>
      </c>
      <c r="K193" s="25" t="str">
        <f t="shared" si="176"/>
        <v>0</v>
      </c>
      <c r="L193" s="22" t="str">
        <f>SUMIFS('Element wise-detail Summary'!$M$3:$M$1048576,'Element wise-detail Summary'!$B$3:$B$1048576,Summary!A194,'Element wise-detail Summary'!$C$3:$C$1048576,Summary!B194)</f>
        <v>0</v>
      </c>
      <c r="M193" s="20" t="str">
        <f t="shared" si="177"/>
        <v>0</v>
      </c>
      <c r="N193" s="24" t="str">
        <f t="shared" si="178"/>
        <v>#DIV/0!</v>
      </c>
      <c r="O193" s="55"/>
      <c r="P193" s="27" t="str">
        <f t="shared" si="179"/>
        <v>0</v>
      </c>
      <c r="Q193" s="27"/>
    </row>
    <row r="194" ht="15.75" hidden="1" customHeight="1" outlineLevel="1">
      <c r="A194" s="18" t="s">
        <v>204</v>
      </c>
      <c r="B194" s="19"/>
      <c r="C194" s="20"/>
      <c r="D194" s="21" t="str">
        <f>SUMIFS('Element wise-detail Summary'!$F$3:$F$1048576,'Element wise-detail Summary'!$B$3:$B$1048576,Summary!$A194)</f>
        <v>0</v>
      </c>
      <c r="E194" s="22" t="str">
        <f>SUMIFS('Element wise-detail Summary'!$G$3:$G$1048576,'Element wise-detail Summary'!$B$3:$B$1048576,Summary!$A194,'Element wise-detail Summary'!$C$3:$C$1048576,Summary!B194)</f>
        <v>0</v>
      </c>
      <c r="F194" s="20" t="str">
        <f t="shared" si="172"/>
        <v>0</v>
      </c>
      <c r="G194" s="23" t="str">
        <f t="shared" si="173"/>
        <v>#DIV/0!</v>
      </c>
      <c r="H194" s="22" t="str">
        <f>SUMIFS('Element wise-detail Summary'!$I$3:$I$1048576,'Element wise-detail Summary'!$B$3:$B$1048576,Summary!A195,'Element wise-detail Summary'!$C$3:$C$1048576,Summary!B195)</f>
        <v>0</v>
      </c>
      <c r="I194" s="20" t="str">
        <f t="shared" si="174"/>
        <v>0</v>
      </c>
      <c r="J194" s="24" t="str">
        <f t="shared" si="175"/>
        <v>#DIV/0!</v>
      </c>
      <c r="K194" s="25" t="str">
        <f t="shared" si="176"/>
        <v>0</v>
      </c>
      <c r="L194" s="22" t="str">
        <f>SUMIFS('Element wise-detail Summary'!$M$3:$M$1048576,'Element wise-detail Summary'!$B$3:$B$1048576,Summary!A195,'Element wise-detail Summary'!$C$3:$C$1048576,Summary!B195)</f>
        <v>0</v>
      </c>
      <c r="M194" s="20" t="str">
        <f t="shared" si="177"/>
        <v>0</v>
      </c>
      <c r="N194" s="24" t="str">
        <f t="shared" si="178"/>
        <v>#DIV/0!</v>
      </c>
      <c r="O194" s="55"/>
      <c r="P194" s="27" t="str">
        <f t="shared" si="179"/>
        <v>0</v>
      </c>
      <c r="Q194" s="27"/>
    </row>
    <row r="195" ht="15.75" hidden="1" customHeight="1" outlineLevel="1">
      <c r="A195" s="18" t="s">
        <v>205</v>
      </c>
      <c r="B195" s="19"/>
      <c r="C195" s="20"/>
      <c r="D195" s="21" t="str">
        <f>SUMIFS('Element wise-detail Summary'!$F$3:$F$1048576,'Element wise-detail Summary'!$B$3:$B$1048576,Summary!$A195)</f>
        <v>0</v>
      </c>
      <c r="E195" s="22" t="str">
        <f>SUMIFS('Element wise-detail Summary'!$G$3:$G$1048576,'Element wise-detail Summary'!$B$3:$B$1048576,Summary!$A195,'Element wise-detail Summary'!$C$3:$C$1048576,Summary!B195)</f>
        <v>0</v>
      </c>
      <c r="F195" s="20" t="str">
        <f t="shared" si="172"/>
        <v>0</v>
      </c>
      <c r="G195" s="23" t="str">
        <f t="shared" si="173"/>
        <v>#DIV/0!</v>
      </c>
      <c r="H195" s="22" t="str">
        <f>SUMIFS('Element wise-detail Summary'!$I$3:$I$1048576,'Element wise-detail Summary'!$B$3:$B$1048576,Summary!A196,'Element wise-detail Summary'!$C$3:$C$1048576,Summary!B196)</f>
        <v>0</v>
      </c>
      <c r="I195" s="20" t="str">
        <f t="shared" si="174"/>
        <v>0</v>
      </c>
      <c r="J195" s="24" t="str">
        <f t="shared" si="175"/>
        <v>#DIV/0!</v>
      </c>
      <c r="K195" s="25" t="str">
        <f t="shared" si="176"/>
        <v>0</v>
      </c>
      <c r="L195" s="22" t="str">
        <f>SUMIFS('Element wise-detail Summary'!$M$3:$M$1048576,'Element wise-detail Summary'!$B$3:$B$1048576,Summary!A196,'Element wise-detail Summary'!$C$3:$C$1048576,Summary!B196)</f>
        <v>0</v>
      </c>
      <c r="M195" s="20" t="str">
        <f t="shared" si="177"/>
        <v>0</v>
      </c>
      <c r="N195" s="24" t="str">
        <f t="shared" si="178"/>
        <v>#DIV/0!</v>
      </c>
      <c r="O195" s="55"/>
      <c r="P195" s="27" t="str">
        <f t="shared" si="179"/>
        <v>0</v>
      </c>
      <c r="Q195" s="27"/>
    </row>
    <row r="196" ht="15.75" hidden="1" customHeight="1" outlineLevel="1">
      <c r="A196" s="18" t="s">
        <v>206</v>
      </c>
      <c r="B196" s="19"/>
      <c r="C196" s="20"/>
      <c r="D196" s="21" t="str">
        <f>SUMIFS('Element wise-detail Summary'!$F$3:$F$1048576,'Element wise-detail Summary'!$B$3:$B$1048576,Summary!$A196)</f>
        <v>0</v>
      </c>
      <c r="E196" s="22" t="str">
        <f>SUMIFS('Element wise-detail Summary'!$G$3:$G$1048576,'Element wise-detail Summary'!$B$3:$B$1048576,Summary!$A196,'Element wise-detail Summary'!$C$3:$C$1048576,Summary!B196)</f>
        <v>0</v>
      </c>
      <c r="F196" s="20" t="str">
        <f t="shared" si="172"/>
        <v>0</v>
      </c>
      <c r="G196" s="23" t="str">
        <f t="shared" si="173"/>
        <v>#DIV/0!</v>
      </c>
      <c r="H196" s="22" t="str">
        <f>SUMIFS('Element wise-detail Summary'!$I$3:$I$1048576,'Element wise-detail Summary'!$B$3:$B$1048576,Summary!A197,'Element wise-detail Summary'!$C$3:$C$1048576,Summary!B197)</f>
        <v>0</v>
      </c>
      <c r="I196" s="20" t="str">
        <f t="shared" si="174"/>
        <v>0</v>
      </c>
      <c r="J196" s="24" t="str">
        <f t="shared" si="175"/>
        <v>#DIV/0!</v>
      </c>
      <c r="K196" s="25" t="str">
        <f t="shared" si="176"/>
        <v>0</v>
      </c>
      <c r="L196" s="22" t="str">
        <f>SUMIFS('Element wise-detail Summary'!$M$3:$M$1048576,'Element wise-detail Summary'!$B$3:$B$1048576,Summary!A197,'Element wise-detail Summary'!$C$3:$C$1048576,Summary!B197)</f>
        <v>0</v>
      </c>
      <c r="M196" s="20" t="str">
        <f t="shared" si="177"/>
        <v>0</v>
      </c>
      <c r="N196" s="24" t="str">
        <f t="shared" si="178"/>
        <v>#DIV/0!</v>
      </c>
      <c r="O196" s="55"/>
      <c r="P196" s="27" t="str">
        <f t="shared" si="179"/>
        <v>0</v>
      </c>
      <c r="Q196" s="27"/>
    </row>
    <row r="197" ht="15.75" hidden="1" customHeight="1" outlineLevel="1">
      <c r="A197" s="18" t="s">
        <v>207</v>
      </c>
      <c r="B197" s="19"/>
      <c r="C197" s="20"/>
      <c r="D197" s="21" t="str">
        <f>SUMIFS('Element wise-detail Summary'!$F$3:$F$1048576,'Element wise-detail Summary'!$B$3:$B$1048576,Summary!$A197)</f>
        <v>0</v>
      </c>
      <c r="E197" s="22" t="str">
        <f>SUMIFS('Element wise-detail Summary'!$G$3:$G$1048576,'Element wise-detail Summary'!$B$3:$B$1048576,Summary!$A197,'Element wise-detail Summary'!$C$3:$C$1048576,Summary!B197)</f>
        <v>0</v>
      </c>
      <c r="F197" s="20" t="str">
        <f t="shared" si="172"/>
        <v>0</v>
      </c>
      <c r="G197" s="23" t="str">
        <f t="shared" si="173"/>
        <v>#DIV/0!</v>
      </c>
      <c r="H197" s="22" t="str">
        <f>SUMIFS('Element wise-detail Summary'!$I$3:$I$1048576,'Element wise-detail Summary'!$B$3:$B$1048576,Summary!A198,'Element wise-detail Summary'!$C$3:$C$1048576,Summary!B198)</f>
        <v>0</v>
      </c>
      <c r="I197" s="20" t="str">
        <f t="shared" si="174"/>
        <v>0</v>
      </c>
      <c r="J197" s="24" t="str">
        <f t="shared" si="175"/>
        <v>#DIV/0!</v>
      </c>
      <c r="K197" s="25" t="str">
        <f t="shared" si="176"/>
        <v>0</v>
      </c>
      <c r="L197" s="22" t="str">
        <f>SUMIFS('Element wise-detail Summary'!$M$3:$M$1048576,'Element wise-detail Summary'!$B$3:$B$1048576,Summary!A198,'Element wise-detail Summary'!$C$3:$C$1048576,Summary!B198)</f>
        <v>0</v>
      </c>
      <c r="M197" s="20" t="str">
        <f t="shared" si="177"/>
        <v>0</v>
      </c>
      <c r="N197" s="24" t="str">
        <f t="shared" si="178"/>
        <v>#DIV/0!</v>
      </c>
      <c r="O197" s="55"/>
      <c r="P197" s="27" t="str">
        <f t="shared" si="179"/>
        <v>0</v>
      </c>
      <c r="Q197" s="27"/>
    </row>
    <row r="198" ht="15.75" hidden="1" customHeight="1" outlineLevel="1">
      <c r="A198" s="18" t="s">
        <v>208</v>
      </c>
      <c r="B198" s="19"/>
      <c r="C198" s="20"/>
      <c r="D198" s="21" t="str">
        <f>SUMIFS('Element wise-detail Summary'!$F$3:$F$1048576,'Element wise-detail Summary'!$B$3:$B$1048576,Summary!$A198)</f>
        <v>0</v>
      </c>
      <c r="E198" s="22" t="str">
        <f>SUMIFS('Element wise-detail Summary'!$G$3:$G$1048576,'Element wise-detail Summary'!$B$3:$B$1048576,Summary!$A198,'Element wise-detail Summary'!$C$3:$C$1048576,Summary!B198)</f>
        <v>0</v>
      </c>
      <c r="F198" s="20" t="str">
        <f t="shared" si="172"/>
        <v>0</v>
      </c>
      <c r="G198" s="23" t="str">
        <f t="shared" si="173"/>
        <v>#DIV/0!</v>
      </c>
      <c r="H198" s="22" t="str">
        <f>SUMIFS('Element wise-detail Summary'!$I$3:$I$1048576,'Element wise-detail Summary'!$B$3:$B$1048576,Summary!A199,'Element wise-detail Summary'!$C$3:$C$1048576,Summary!B199)</f>
        <v>0</v>
      </c>
      <c r="I198" s="20" t="str">
        <f t="shared" si="174"/>
        <v>0</v>
      </c>
      <c r="J198" s="24" t="str">
        <f t="shared" si="175"/>
        <v>#DIV/0!</v>
      </c>
      <c r="K198" s="25" t="str">
        <f t="shared" si="176"/>
        <v>0</v>
      </c>
      <c r="L198" s="22" t="str">
        <f>SUMIFS('Element wise-detail Summary'!$M$3:$M$1048576,'Element wise-detail Summary'!$B$3:$B$1048576,Summary!A199,'Element wise-detail Summary'!$C$3:$C$1048576,Summary!B199)</f>
        <v>0</v>
      </c>
      <c r="M198" s="20" t="str">
        <f t="shared" si="177"/>
        <v>0</v>
      </c>
      <c r="N198" s="24" t="str">
        <f t="shared" si="178"/>
        <v>#DIV/0!</v>
      </c>
      <c r="O198" s="55"/>
      <c r="P198" s="27" t="str">
        <f t="shared" si="179"/>
        <v>0</v>
      </c>
      <c r="Q198" s="27"/>
    </row>
    <row r="199" ht="15.75" hidden="1" customHeight="1" outlineLevel="1">
      <c r="A199" s="18" t="s">
        <v>209</v>
      </c>
      <c r="B199" s="19"/>
      <c r="C199" s="20"/>
      <c r="D199" s="21" t="str">
        <f>SUMIFS('Element wise-detail Summary'!$F$3:$F$1048576,'Element wise-detail Summary'!$B$3:$B$1048576,Summary!$A199)</f>
        <v>0</v>
      </c>
      <c r="E199" s="22" t="str">
        <f>SUMIFS('Element wise-detail Summary'!$G$3:$G$1048576,'Element wise-detail Summary'!$B$3:$B$1048576,Summary!$A199,'Element wise-detail Summary'!$C$3:$C$1048576,Summary!B199)</f>
        <v>0</v>
      </c>
      <c r="F199" s="20" t="str">
        <f t="shared" si="172"/>
        <v>0</v>
      </c>
      <c r="G199" s="23" t="str">
        <f t="shared" si="173"/>
        <v>#DIV/0!</v>
      </c>
      <c r="H199" s="22" t="str">
        <f>SUMIFS('Element wise-detail Summary'!$I$3:$I$1048576,'Element wise-detail Summary'!$B$3:$B$1048576,Summary!A200,'Element wise-detail Summary'!$C$3:$C$1048576,Summary!B200)</f>
        <v>0</v>
      </c>
      <c r="I199" s="20" t="str">
        <f t="shared" si="174"/>
        <v>0</v>
      </c>
      <c r="J199" s="24" t="str">
        <f t="shared" si="175"/>
        <v>#DIV/0!</v>
      </c>
      <c r="K199" s="25" t="str">
        <f t="shared" si="176"/>
        <v>0</v>
      </c>
      <c r="L199" s="22" t="str">
        <f>SUMIFS('Element wise-detail Summary'!$M$3:$M$1048576,'Element wise-detail Summary'!$B$3:$B$1048576,Summary!A200,'Element wise-detail Summary'!$C$3:$C$1048576,Summary!B200)</f>
        <v>0</v>
      </c>
      <c r="M199" s="20" t="str">
        <f t="shared" si="177"/>
        <v>0</v>
      </c>
      <c r="N199" s="24" t="str">
        <f t="shared" si="178"/>
        <v>#DIV/0!</v>
      </c>
      <c r="O199" s="55"/>
      <c r="P199" s="27" t="str">
        <f t="shared" si="179"/>
        <v>0</v>
      </c>
      <c r="Q199" s="27"/>
    </row>
    <row r="200" ht="15.75" hidden="1" customHeight="1" outlineLevel="1">
      <c r="A200" s="18" t="s">
        <v>210</v>
      </c>
      <c r="B200" s="19"/>
      <c r="C200" s="20"/>
      <c r="D200" s="21" t="str">
        <f>SUMIFS('Element wise-detail Summary'!$F$3:$F$1048576,'Element wise-detail Summary'!$B$3:$B$1048576,Summary!$A200)</f>
        <v>0</v>
      </c>
      <c r="E200" s="22" t="str">
        <f>SUMIFS('Element wise-detail Summary'!$G$3:$G$1048576,'Element wise-detail Summary'!$B$3:$B$1048576,Summary!$A200,'Element wise-detail Summary'!$C$3:$C$1048576,Summary!B200)</f>
        <v>0</v>
      </c>
      <c r="F200" s="20" t="str">
        <f t="shared" si="172"/>
        <v>0</v>
      </c>
      <c r="G200" s="23" t="str">
        <f t="shared" si="173"/>
        <v>#DIV/0!</v>
      </c>
      <c r="H200" s="22" t="str">
        <f>SUMIFS('Element wise-detail Summary'!$I$3:$I$1048576,'Element wise-detail Summary'!$B$3:$B$1048576,Summary!A201,'Element wise-detail Summary'!$C$3:$C$1048576,Summary!B201)</f>
        <v>0</v>
      </c>
      <c r="I200" s="20" t="str">
        <f t="shared" si="174"/>
        <v>0</v>
      </c>
      <c r="J200" s="24" t="str">
        <f t="shared" si="175"/>
        <v>#DIV/0!</v>
      </c>
      <c r="K200" s="25" t="str">
        <f t="shared" si="176"/>
        <v>0</v>
      </c>
      <c r="L200" s="22" t="str">
        <f>SUMIFS('Element wise-detail Summary'!$M$3:$M$1048576,'Element wise-detail Summary'!$B$3:$B$1048576,Summary!A201,'Element wise-detail Summary'!$C$3:$C$1048576,Summary!B201)</f>
        <v>0</v>
      </c>
      <c r="M200" s="20" t="str">
        <f t="shared" si="177"/>
        <v>0</v>
      </c>
      <c r="N200" s="24" t="str">
        <f t="shared" si="178"/>
        <v>#DIV/0!</v>
      </c>
      <c r="O200" s="55"/>
      <c r="P200" s="27" t="str">
        <f t="shared" si="179"/>
        <v>0</v>
      </c>
      <c r="Q200" s="27"/>
    </row>
    <row r="201" ht="15.75" hidden="1" customHeight="1" outlineLevel="1">
      <c r="A201" s="18" t="s">
        <v>211</v>
      </c>
      <c r="B201" s="19"/>
      <c r="C201" s="20"/>
      <c r="D201" s="21" t="str">
        <f>SUMIFS('Element wise-detail Summary'!$F$3:$F$1048576,'Element wise-detail Summary'!$B$3:$B$1048576,Summary!$A201)</f>
        <v>0</v>
      </c>
      <c r="E201" s="22" t="str">
        <f>SUMIFS('Element wise-detail Summary'!$G$3:$G$1048576,'Element wise-detail Summary'!$B$3:$B$1048576,Summary!$A201,'Element wise-detail Summary'!$C$3:$C$1048576,Summary!B201)</f>
        <v>0</v>
      </c>
      <c r="F201" s="20" t="str">
        <f t="shared" si="172"/>
        <v>0</v>
      </c>
      <c r="G201" s="23" t="str">
        <f t="shared" si="173"/>
        <v>#DIV/0!</v>
      </c>
      <c r="H201" s="22" t="str">
        <f>SUMIFS('Element wise-detail Summary'!$I$3:$I$1048576,'Element wise-detail Summary'!$B$3:$B$1048576,Summary!A202,'Element wise-detail Summary'!$C$3:$C$1048576,Summary!B202)</f>
        <v>0</v>
      </c>
      <c r="I201" s="20" t="str">
        <f t="shared" si="174"/>
        <v>0</v>
      </c>
      <c r="J201" s="24" t="str">
        <f t="shared" si="175"/>
        <v>#DIV/0!</v>
      </c>
      <c r="K201" s="25" t="str">
        <f t="shared" si="176"/>
        <v>0</v>
      </c>
      <c r="L201" s="22" t="str">
        <f>SUMIFS('Element wise-detail Summary'!$M$3:$M$1048576,'Element wise-detail Summary'!$B$3:$B$1048576,Summary!A202,'Element wise-detail Summary'!$C$3:$C$1048576,Summary!B202)</f>
        <v>0</v>
      </c>
      <c r="M201" s="20" t="str">
        <f t="shared" si="177"/>
        <v>0</v>
      </c>
      <c r="N201" s="24" t="str">
        <f t="shared" si="178"/>
        <v>#DIV/0!</v>
      </c>
      <c r="O201" s="55"/>
      <c r="P201" s="27" t="str">
        <f t="shared" si="179"/>
        <v>0</v>
      </c>
      <c r="Q201" s="27"/>
    </row>
    <row r="202" ht="15.75" hidden="1" customHeight="1" outlineLevel="1">
      <c r="A202" s="18" t="s">
        <v>212</v>
      </c>
      <c r="B202" s="19"/>
      <c r="C202" s="20"/>
      <c r="D202" s="21" t="str">
        <f>SUMIFS('Element wise-detail Summary'!$F$3:$F$1048576,'Element wise-detail Summary'!$B$3:$B$1048576,Summary!$A202)</f>
        <v>0</v>
      </c>
      <c r="E202" s="22" t="str">
        <f>SUMIFS('Element wise-detail Summary'!$G$3:$G$1048576,'Element wise-detail Summary'!$B$3:$B$1048576,Summary!$A202,'Element wise-detail Summary'!$C$3:$C$1048576,Summary!B202)</f>
        <v>0</v>
      </c>
      <c r="F202" s="20" t="str">
        <f t="shared" si="172"/>
        <v>0</v>
      </c>
      <c r="G202" s="23" t="str">
        <f t="shared" si="173"/>
        <v>#DIV/0!</v>
      </c>
      <c r="H202" s="22" t="str">
        <f>SUMIFS('Element wise-detail Summary'!$I$3:$I$1048576,'Element wise-detail Summary'!$B$3:$B$1048576,Summary!A203,'Element wise-detail Summary'!$C$3:$C$1048576,Summary!B203)</f>
        <v>0</v>
      </c>
      <c r="I202" s="20" t="str">
        <f t="shared" si="174"/>
        <v>0</v>
      </c>
      <c r="J202" s="24" t="str">
        <f t="shared" si="175"/>
        <v>#DIV/0!</v>
      </c>
      <c r="K202" s="25" t="str">
        <f t="shared" si="176"/>
        <v>0</v>
      </c>
      <c r="L202" s="22" t="str">
        <f>SUMIFS('Element wise-detail Summary'!$M$3:$M$1048576,'Element wise-detail Summary'!$B$3:$B$1048576,Summary!A203,'Element wise-detail Summary'!$C$3:$C$1048576,Summary!B203)</f>
        <v>0</v>
      </c>
      <c r="M202" s="20" t="str">
        <f t="shared" si="177"/>
        <v>0</v>
      </c>
      <c r="N202" s="24" t="str">
        <f t="shared" si="178"/>
        <v>#DIV/0!</v>
      </c>
      <c r="O202" s="55"/>
      <c r="P202" s="27" t="str">
        <f t="shared" si="179"/>
        <v>0</v>
      </c>
      <c r="Q202" s="27"/>
    </row>
    <row r="203" ht="15.75" hidden="1" customHeight="1" outlineLevel="1">
      <c r="A203" s="18" t="s">
        <v>213</v>
      </c>
      <c r="B203" s="19"/>
      <c r="C203" s="20"/>
      <c r="D203" s="21" t="str">
        <f>SUMIFS('Element wise-detail Summary'!$F$3:$F$1048576,'Element wise-detail Summary'!$B$3:$B$1048576,Summary!$A203)</f>
        <v>0</v>
      </c>
      <c r="E203" s="22" t="str">
        <f>SUMIFS('Element wise-detail Summary'!$G$3:$G$1048576,'Element wise-detail Summary'!$B$3:$B$1048576,Summary!$A203,'Element wise-detail Summary'!$C$3:$C$1048576,Summary!B203)</f>
        <v>0</v>
      </c>
      <c r="F203" s="20" t="str">
        <f t="shared" si="172"/>
        <v>0</v>
      </c>
      <c r="G203" s="23" t="str">
        <f t="shared" si="173"/>
        <v>#DIV/0!</v>
      </c>
      <c r="H203" s="22" t="str">
        <f>SUMIFS('Element wise-detail Summary'!$I$3:$I$1048576,'Element wise-detail Summary'!$B$3:$B$1048576,Summary!A204,'Element wise-detail Summary'!$C$3:$C$1048576,Summary!B204)</f>
        <v>0</v>
      </c>
      <c r="I203" s="20" t="str">
        <f t="shared" si="174"/>
        <v>0</v>
      </c>
      <c r="J203" s="24" t="str">
        <f t="shared" si="175"/>
        <v>#DIV/0!</v>
      </c>
      <c r="K203" s="25" t="str">
        <f t="shared" si="176"/>
        <v>0</v>
      </c>
      <c r="L203" s="22" t="str">
        <f>SUMIFS('Element wise-detail Summary'!$M$3:$M$1048576,'Element wise-detail Summary'!$B$3:$B$1048576,Summary!A204,'Element wise-detail Summary'!$C$3:$C$1048576,Summary!B204)</f>
        <v>0</v>
      </c>
      <c r="M203" s="20" t="str">
        <f t="shared" si="177"/>
        <v>0</v>
      </c>
      <c r="N203" s="24" t="str">
        <f t="shared" si="178"/>
        <v>#DIV/0!</v>
      </c>
      <c r="O203" s="55"/>
      <c r="P203" s="27" t="str">
        <f t="shared" si="179"/>
        <v>0</v>
      </c>
      <c r="Q203" s="27"/>
    </row>
    <row r="204" ht="15.75" hidden="1" customHeight="1" outlineLevel="1">
      <c r="A204" s="18" t="s">
        <v>214</v>
      </c>
      <c r="B204" s="19"/>
      <c r="C204" s="20"/>
      <c r="D204" s="21" t="str">
        <f>SUMIFS('Element wise-detail Summary'!$F$3:$F$1048576,'Element wise-detail Summary'!$B$3:$B$1048576,Summary!$A204)</f>
        <v>0</v>
      </c>
      <c r="E204" s="22" t="str">
        <f>SUMIFS('Element wise-detail Summary'!$G$3:$G$1048576,'Element wise-detail Summary'!$B$3:$B$1048576,Summary!$A204,'Element wise-detail Summary'!$C$3:$C$1048576,Summary!B204)</f>
        <v>0</v>
      </c>
      <c r="F204" s="20" t="str">
        <f t="shared" si="172"/>
        <v>0</v>
      </c>
      <c r="G204" s="23" t="str">
        <f t="shared" si="173"/>
        <v>#DIV/0!</v>
      </c>
      <c r="H204" s="22" t="str">
        <f>SUMIFS('Element wise-detail Summary'!$I$3:$I$1048576,'Element wise-detail Summary'!$B$3:$B$1048576,Summary!A205,'Element wise-detail Summary'!$C$3:$C$1048576,Summary!B205)</f>
        <v>0</v>
      </c>
      <c r="I204" s="20" t="str">
        <f t="shared" si="174"/>
        <v>0</v>
      </c>
      <c r="J204" s="24" t="str">
        <f t="shared" si="175"/>
        <v>#DIV/0!</v>
      </c>
      <c r="K204" s="25" t="str">
        <f t="shared" si="176"/>
        <v>0</v>
      </c>
      <c r="L204" s="22" t="str">
        <f>SUMIFS('Element wise-detail Summary'!$M$3:$M$1048576,'Element wise-detail Summary'!$B$3:$B$1048576,Summary!A205,'Element wise-detail Summary'!$C$3:$C$1048576,Summary!B205)</f>
        <v>0</v>
      </c>
      <c r="M204" s="20" t="str">
        <f t="shared" si="177"/>
        <v>0</v>
      </c>
      <c r="N204" s="24" t="str">
        <f t="shared" si="178"/>
        <v>#DIV/0!</v>
      </c>
      <c r="O204" s="55"/>
      <c r="P204" s="27" t="str">
        <f t="shared" si="179"/>
        <v>0</v>
      </c>
      <c r="Q204" s="27"/>
    </row>
    <row r="205" ht="15.75" hidden="1" customHeight="1" outlineLevel="1">
      <c r="A205" s="18" t="s">
        <v>215</v>
      </c>
      <c r="B205" s="19"/>
      <c r="C205" s="20"/>
      <c r="D205" s="21" t="str">
        <f>SUMIFS('Element wise-detail Summary'!$F$3:$F$1048576,'Element wise-detail Summary'!$B$3:$B$1048576,Summary!$A205)</f>
        <v>0</v>
      </c>
      <c r="E205" s="22" t="str">
        <f>SUMIFS('Element wise-detail Summary'!$G$3:$G$1048576,'Element wise-detail Summary'!$B$3:$B$1048576,Summary!$A205,'Element wise-detail Summary'!$C$3:$C$1048576,Summary!B205)</f>
        <v>0</v>
      </c>
      <c r="F205" s="20" t="str">
        <f t="shared" si="172"/>
        <v>0</v>
      </c>
      <c r="G205" s="23" t="str">
        <f t="shared" si="173"/>
        <v>#DIV/0!</v>
      </c>
      <c r="H205" s="22" t="str">
        <f>SUMIFS('Element wise-detail Summary'!$I$3:$I$1048576,'Element wise-detail Summary'!$B$3:$B$1048576,Summary!A206,'Element wise-detail Summary'!$C$3:$C$1048576,Summary!B206)</f>
        <v>0</v>
      </c>
      <c r="I205" s="20" t="str">
        <f t="shared" si="174"/>
        <v>0</v>
      </c>
      <c r="J205" s="24" t="str">
        <f t="shared" si="175"/>
        <v>#DIV/0!</v>
      </c>
      <c r="K205" s="25" t="str">
        <f t="shared" si="176"/>
        <v>0</v>
      </c>
      <c r="L205" s="22" t="str">
        <f>SUMIFS('Element wise-detail Summary'!$M$3:$M$1048576,'Element wise-detail Summary'!$B$3:$B$1048576,Summary!A206,'Element wise-detail Summary'!$C$3:$C$1048576,Summary!B206)</f>
        <v>0</v>
      </c>
      <c r="M205" s="20" t="str">
        <f t="shared" si="177"/>
        <v>0</v>
      </c>
      <c r="N205" s="24" t="str">
        <f t="shared" si="178"/>
        <v>#DIV/0!</v>
      </c>
      <c r="O205" s="55"/>
      <c r="P205" s="27" t="str">
        <f t="shared" si="179"/>
        <v>0</v>
      </c>
      <c r="Q205" s="27"/>
    </row>
    <row r="206" ht="15.75" hidden="1" customHeight="1" outlineLevel="1">
      <c r="A206" s="18" t="s">
        <v>216</v>
      </c>
      <c r="B206" s="19"/>
      <c r="C206" s="20"/>
      <c r="D206" s="21" t="str">
        <f>SUMIFS('Element wise-detail Summary'!$F$3:$F$1048576,'Element wise-detail Summary'!$B$3:$B$1048576,Summary!$A206)</f>
        <v>0</v>
      </c>
      <c r="E206" s="22" t="str">
        <f>SUMIFS('Element wise-detail Summary'!$G$3:$G$1048576,'Element wise-detail Summary'!$B$3:$B$1048576,Summary!$A206,'Element wise-detail Summary'!$C$3:$C$1048576,Summary!B206)</f>
        <v>0</v>
      </c>
      <c r="F206" s="20" t="str">
        <f t="shared" si="172"/>
        <v>0</v>
      </c>
      <c r="G206" s="23" t="str">
        <f t="shared" si="173"/>
        <v>#DIV/0!</v>
      </c>
      <c r="H206" s="22" t="str">
        <f>SUMIFS('Element wise-detail Summary'!$I$3:$I$1048576,'Element wise-detail Summary'!$B$3:$B$1048576,Summary!A207,'Element wise-detail Summary'!$C$3:$C$1048576,Summary!B207)</f>
        <v>0</v>
      </c>
      <c r="I206" s="20" t="str">
        <f t="shared" si="174"/>
        <v>0</v>
      </c>
      <c r="J206" s="24" t="str">
        <f t="shared" si="175"/>
        <v>#DIV/0!</v>
      </c>
      <c r="K206" s="25" t="str">
        <f t="shared" si="176"/>
        <v>0</v>
      </c>
      <c r="L206" s="22" t="str">
        <f>SUMIFS('Element wise-detail Summary'!$M$3:$M$1048576,'Element wise-detail Summary'!$B$3:$B$1048576,Summary!A207,'Element wise-detail Summary'!$C$3:$C$1048576,Summary!B207)</f>
        <v>0</v>
      </c>
      <c r="M206" s="20" t="str">
        <f t="shared" si="177"/>
        <v>0</v>
      </c>
      <c r="N206" s="24" t="str">
        <f t="shared" si="178"/>
        <v>#DIV/0!</v>
      </c>
      <c r="O206" s="55"/>
      <c r="P206" s="27" t="str">
        <f t="shared" si="179"/>
        <v>0</v>
      </c>
      <c r="Q206" s="27"/>
    </row>
    <row r="207" ht="15.75" hidden="1" customHeight="1" outlineLevel="1">
      <c r="A207" s="18" t="s">
        <v>217</v>
      </c>
      <c r="B207" s="19"/>
      <c r="C207" s="20"/>
      <c r="D207" s="21" t="str">
        <f>SUMIFS('Element wise-detail Summary'!$F$3:$F$1048576,'Element wise-detail Summary'!$B$3:$B$1048576,Summary!$A207)</f>
        <v>0</v>
      </c>
      <c r="E207" s="22" t="str">
        <f>SUMIFS('Element wise-detail Summary'!$G$3:$G$1048576,'Element wise-detail Summary'!$B$3:$B$1048576,Summary!$A207,'Element wise-detail Summary'!$C$3:$C$1048576,Summary!B207)</f>
        <v>0</v>
      </c>
      <c r="F207" s="20" t="str">
        <f t="shared" si="172"/>
        <v>0</v>
      </c>
      <c r="G207" s="23" t="str">
        <f t="shared" si="173"/>
        <v>#DIV/0!</v>
      </c>
      <c r="H207" s="22" t="str">
        <f>SUMIFS('Element wise-detail Summary'!$I$3:$I$1048576,'Element wise-detail Summary'!$B$3:$B$1048576,Summary!A208,'Element wise-detail Summary'!$C$3:$C$1048576,Summary!B208)</f>
        <v>0</v>
      </c>
      <c r="I207" s="20" t="str">
        <f t="shared" si="174"/>
        <v>0</v>
      </c>
      <c r="J207" s="24" t="str">
        <f t="shared" si="175"/>
        <v>#DIV/0!</v>
      </c>
      <c r="K207" s="25" t="str">
        <f t="shared" si="176"/>
        <v>0</v>
      </c>
      <c r="L207" s="22" t="str">
        <f>SUMIFS('Element wise-detail Summary'!$M$3:$M$1048576,'Element wise-detail Summary'!$B$3:$B$1048576,Summary!A208,'Element wise-detail Summary'!$C$3:$C$1048576,Summary!B208)</f>
        <v>0</v>
      </c>
      <c r="M207" s="20" t="str">
        <f t="shared" si="177"/>
        <v>0</v>
      </c>
      <c r="N207" s="24" t="str">
        <f t="shared" si="178"/>
        <v>#DIV/0!</v>
      </c>
      <c r="O207" s="55"/>
      <c r="P207" s="27" t="str">
        <f t="shared" si="179"/>
        <v>0</v>
      </c>
      <c r="Q207" s="27"/>
    </row>
    <row r="208" ht="15.75" hidden="1" customHeight="1" outlineLevel="1">
      <c r="A208" s="18" t="s">
        <v>218</v>
      </c>
      <c r="B208" s="19"/>
      <c r="C208" s="20"/>
      <c r="D208" s="21" t="str">
        <f>SUMIFS('Element wise-detail Summary'!$F$3:$F$1048576,'Element wise-detail Summary'!$B$3:$B$1048576,Summary!$A208)</f>
        <v>0</v>
      </c>
      <c r="E208" s="22" t="str">
        <f>SUMIFS('Element wise-detail Summary'!$G$3:$G$1048576,'Element wise-detail Summary'!$B$3:$B$1048576,Summary!$A208,'Element wise-detail Summary'!$C$3:$C$1048576,Summary!B208)</f>
        <v>0</v>
      </c>
      <c r="F208" s="20" t="str">
        <f t="shared" si="172"/>
        <v>0</v>
      </c>
      <c r="G208" s="23" t="str">
        <f t="shared" si="173"/>
        <v>#DIV/0!</v>
      </c>
      <c r="H208" s="22" t="str">
        <f>SUMIFS('Element wise-detail Summary'!$I$3:$I$1048576,'Element wise-detail Summary'!$B$3:$B$1048576,Summary!A209,'Element wise-detail Summary'!$C$3:$C$1048576,Summary!B209)</f>
        <v>0</v>
      </c>
      <c r="I208" s="20" t="str">
        <f t="shared" si="174"/>
        <v>0</v>
      </c>
      <c r="J208" s="24" t="str">
        <f t="shared" si="175"/>
        <v>#DIV/0!</v>
      </c>
      <c r="K208" s="25" t="str">
        <f t="shared" si="176"/>
        <v>0</v>
      </c>
      <c r="L208" s="22" t="str">
        <f>SUMIFS('Element wise-detail Summary'!$M$3:$M$1048576,'Element wise-detail Summary'!$B$3:$B$1048576,Summary!A209,'Element wise-detail Summary'!$C$3:$C$1048576,Summary!B209)</f>
        <v>0</v>
      </c>
      <c r="M208" s="20" t="str">
        <f t="shared" si="177"/>
        <v>0</v>
      </c>
      <c r="N208" s="24" t="str">
        <f t="shared" si="178"/>
        <v>#DIV/0!</v>
      </c>
      <c r="O208" s="55"/>
      <c r="P208" s="27" t="str">
        <f t="shared" si="179"/>
        <v>0</v>
      </c>
      <c r="Q208" s="27"/>
    </row>
    <row r="209" ht="15.75" hidden="1" customHeight="1" outlineLevel="1">
      <c r="A209" s="18" t="s">
        <v>219</v>
      </c>
      <c r="B209" s="19"/>
      <c r="C209" s="20"/>
      <c r="D209" s="21" t="str">
        <f>SUMIFS('Element wise-detail Summary'!$F$3:$F$1048576,'Element wise-detail Summary'!$B$3:$B$1048576,Summary!$A209)</f>
        <v>0</v>
      </c>
      <c r="E209" s="22" t="str">
        <f>SUMIFS('Element wise-detail Summary'!$G$3:$G$1048576,'Element wise-detail Summary'!$B$3:$B$1048576,Summary!$A209,'Element wise-detail Summary'!$C$3:$C$1048576,Summary!B209)</f>
        <v>0</v>
      </c>
      <c r="F209" s="20" t="str">
        <f t="shared" si="172"/>
        <v>0</v>
      </c>
      <c r="G209" s="23" t="str">
        <f t="shared" si="173"/>
        <v>#DIV/0!</v>
      </c>
      <c r="H209" s="22" t="str">
        <f>SUMIFS('Element wise-detail Summary'!$I$3:$I$1048576,'Element wise-detail Summary'!$B$3:$B$1048576,Summary!A210,'Element wise-detail Summary'!$C$3:$C$1048576,Summary!B210)</f>
        <v>0</v>
      </c>
      <c r="I209" s="20" t="str">
        <f t="shared" si="174"/>
        <v>0</v>
      </c>
      <c r="J209" s="24" t="str">
        <f t="shared" si="175"/>
        <v>#DIV/0!</v>
      </c>
      <c r="K209" s="25" t="str">
        <f t="shared" si="176"/>
        <v>0</v>
      </c>
      <c r="L209" s="22" t="str">
        <f>SUMIFS('Element wise-detail Summary'!$M$3:$M$1048576,'Element wise-detail Summary'!$B$3:$B$1048576,Summary!A210,'Element wise-detail Summary'!$C$3:$C$1048576,Summary!B210)</f>
        <v>0</v>
      </c>
      <c r="M209" s="20" t="str">
        <f t="shared" si="177"/>
        <v>0</v>
      </c>
      <c r="N209" s="24" t="str">
        <f t="shared" si="178"/>
        <v>#DIV/0!</v>
      </c>
      <c r="O209" s="55"/>
      <c r="P209" s="27" t="str">
        <f t="shared" si="179"/>
        <v>0</v>
      </c>
      <c r="Q209" s="27"/>
    </row>
    <row r="210" ht="15.75" hidden="1" customHeight="1" outlineLevel="1">
      <c r="A210" s="18" t="s">
        <v>220</v>
      </c>
      <c r="B210" s="19"/>
      <c r="C210" s="20"/>
      <c r="D210" s="21" t="str">
        <f>SUMIFS('Element wise-detail Summary'!$F$3:$F$1048576,'Element wise-detail Summary'!$B$3:$B$1048576,Summary!$A210)</f>
        <v>0</v>
      </c>
      <c r="E210" s="22" t="str">
        <f>SUMIFS('Element wise-detail Summary'!$G$3:$G$1048576,'Element wise-detail Summary'!$B$3:$B$1048576,Summary!$A210,'Element wise-detail Summary'!$C$3:$C$1048576,Summary!B210)</f>
        <v>0</v>
      </c>
      <c r="F210" s="20" t="str">
        <f t="shared" si="172"/>
        <v>0</v>
      </c>
      <c r="G210" s="23" t="str">
        <f t="shared" si="173"/>
        <v>#DIV/0!</v>
      </c>
      <c r="H210" s="22" t="str">
        <f>SUMIFS('Element wise-detail Summary'!$I$3:$I$1048576,'Element wise-detail Summary'!$B$3:$B$1048576,Summary!A211,'Element wise-detail Summary'!$C$3:$C$1048576,Summary!B211)</f>
        <v>0</v>
      </c>
      <c r="I210" s="20" t="str">
        <f t="shared" si="174"/>
        <v>0</v>
      </c>
      <c r="J210" s="24" t="str">
        <f t="shared" si="175"/>
        <v>#DIV/0!</v>
      </c>
      <c r="K210" s="25" t="str">
        <f t="shared" si="176"/>
        <v>0</v>
      </c>
      <c r="L210" s="22" t="str">
        <f>SUMIFS('Element wise-detail Summary'!$M$3:$M$1048576,'Element wise-detail Summary'!$B$3:$B$1048576,Summary!A211,'Element wise-detail Summary'!$C$3:$C$1048576,Summary!B211)</f>
        <v>0</v>
      </c>
      <c r="M210" s="20" t="str">
        <f t="shared" si="177"/>
        <v>0</v>
      </c>
      <c r="N210" s="24" t="str">
        <f t="shared" si="178"/>
        <v>#DIV/0!</v>
      </c>
      <c r="O210" s="55"/>
      <c r="P210" s="27" t="str">
        <f t="shared" si="179"/>
        <v>0</v>
      </c>
      <c r="Q210" s="27"/>
    </row>
    <row r="211" ht="15.75" hidden="1" customHeight="1" outlineLevel="1">
      <c r="A211" s="18" t="s">
        <v>221</v>
      </c>
      <c r="B211" s="19"/>
      <c r="C211" s="20"/>
      <c r="D211" s="21" t="str">
        <f>SUMIFS('Element wise-detail Summary'!$F$3:$F$1048576,'Element wise-detail Summary'!$B$3:$B$1048576,Summary!$A211)</f>
        <v>0</v>
      </c>
      <c r="E211" s="22" t="str">
        <f>SUMIFS('Element wise-detail Summary'!$G$3:$G$1048576,'Element wise-detail Summary'!$B$3:$B$1048576,Summary!$A211,'Element wise-detail Summary'!$C$3:$C$1048576,Summary!B211)</f>
        <v>0</v>
      </c>
      <c r="F211" s="20" t="str">
        <f t="shared" si="172"/>
        <v>0</v>
      </c>
      <c r="G211" s="23" t="str">
        <f t="shared" si="173"/>
        <v>#DIV/0!</v>
      </c>
      <c r="H211" s="22" t="str">
        <f>SUMIFS('Element wise-detail Summary'!$I$3:$I$1048576,'Element wise-detail Summary'!$B$3:$B$1048576,Summary!A212,'Element wise-detail Summary'!$C$3:$C$1048576,Summary!B212)</f>
        <v>0</v>
      </c>
      <c r="I211" s="20" t="str">
        <f t="shared" si="174"/>
        <v>0</v>
      </c>
      <c r="J211" s="24" t="str">
        <f t="shared" si="175"/>
        <v>#DIV/0!</v>
      </c>
      <c r="K211" s="25" t="str">
        <f t="shared" si="176"/>
        <v>0</v>
      </c>
      <c r="L211" s="22" t="str">
        <f>SUMIFS('Element wise-detail Summary'!$M$3:$M$1048576,'Element wise-detail Summary'!$B$3:$B$1048576,Summary!A212,'Element wise-detail Summary'!$C$3:$C$1048576,Summary!B212)</f>
        <v>0</v>
      </c>
      <c r="M211" s="20" t="str">
        <f t="shared" si="177"/>
        <v>0</v>
      </c>
      <c r="N211" s="24" t="str">
        <f t="shared" si="178"/>
        <v>#DIV/0!</v>
      </c>
      <c r="O211" s="55"/>
      <c r="P211" s="27" t="str">
        <f t="shared" si="179"/>
        <v>0</v>
      </c>
      <c r="Q211" s="27"/>
    </row>
    <row r="212" ht="15.75" hidden="1" customHeight="1" outlineLevel="1">
      <c r="A212" s="18" t="s">
        <v>222</v>
      </c>
      <c r="B212" s="19"/>
      <c r="C212" s="20"/>
      <c r="D212" s="21" t="str">
        <f>SUMIFS('Element wise-detail Summary'!$F$3:$F$1048576,'Element wise-detail Summary'!$B$3:$B$1048576,Summary!$A212)</f>
        <v>0</v>
      </c>
      <c r="E212" s="22" t="str">
        <f>SUMIFS('Element wise-detail Summary'!$G$3:$G$1048576,'Element wise-detail Summary'!$B$3:$B$1048576,Summary!$A212,'Element wise-detail Summary'!$C$3:$C$1048576,Summary!B212)</f>
        <v>0</v>
      </c>
      <c r="F212" s="20" t="str">
        <f t="shared" si="172"/>
        <v>0</v>
      </c>
      <c r="G212" s="23" t="str">
        <f t="shared" si="173"/>
        <v>#DIV/0!</v>
      </c>
      <c r="H212" s="22" t="str">
        <f>SUMIFS('Element wise-detail Summary'!$I$3:$I$1048576,'Element wise-detail Summary'!$B$3:$B$1048576,Summary!A213,'Element wise-detail Summary'!$C$3:$C$1048576,Summary!B213)</f>
        <v>0</v>
      </c>
      <c r="I212" s="20" t="str">
        <f t="shared" si="174"/>
        <v>0</v>
      </c>
      <c r="J212" s="24" t="str">
        <f t="shared" si="175"/>
        <v>#DIV/0!</v>
      </c>
      <c r="K212" s="25" t="str">
        <f t="shared" si="176"/>
        <v>0</v>
      </c>
      <c r="L212" s="22" t="str">
        <f>SUMIFS('Element wise-detail Summary'!$M$3:$M$1048576,'Element wise-detail Summary'!$B$3:$B$1048576,Summary!A213,'Element wise-detail Summary'!$C$3:$C$1048576,Summary!B213)</f>
        <v>0</v>
      </c>
      <c r="M212" s="20" t="str">
        <f t="shared" si="177"/>
        <v>0</v>
      </c>
      <c r="N212" s="24" t="str">
        <f t="shared" si="178"/>
        <v>#DIV/0!</v>
      </c>
      <c r="O212" s="55"/>
      <c r="P212" s="27" t="str">
        <f t="shared" si="179"/>
        <v>0</v>
      </c>
      <c r="Q212" s="27"/>
    </row>
    <row r="213" ht="15.75" hidden="1" customHeight="1" outlineLevel="1">
      <c r="A213" s="18" t="s">
        <v>223</v>
      </c>
      <c r="B213" s="19"/>
      <c r="C213" s="20"/>
      <c r="D213" s="21" t="str">
        <f>SUMIFS('Element wise-detail Summary'!$F$3:$F$1048576,'Element wise-detail Summary'!$B$3:$B$1048576,Summary!$A213)</f>
        <v>0</v>
      </c>
      <c r="E213" s="22" t="str">
        <f>SUMIFS('Element wise-detail Summary'!$G$3:$G$1048576,'Element wise-detail Summary'!$B$3:$B$1048576,Summary!$A213,'Element wise-detail Summary'!$C$3:$C$1048576,Summary!B213)</f>
        <v>0</v>
      </c>
      <c r="F213" s="20" t="str">
        <f t="shared" si="172"/>
        <v>0</v>
      </c>
      <c r="G213" s="23" t="str">
        <f t="shared" si="173"/>
        <v>#DIV/0!</v>
      </c>
      <c r="H213" s="22" t="str">
        <f>SUMIFS('Element wise-detail Summary'!$I$3:$I$1048576,'Element wise-detail Summary'!$B$3:$B$1048576,Summary!A214,'Element wise-detail Summary'!$C$3:$C$1048576,Summary!B214)</f>
        <v>0</v>
      </c>
      <c r="I213" s="20" t="str">
        <f t="shared" si="174"/>
        <v>0</v>
      </c>
      <c r="J213" s="24" t="str">
        <f t="shared" si="175"/>
        <v>#DIV/0!</v>
      </c>
      <c r="K213" s="25" t="str">
        <f t="shared" si="176"/>
        <v>0</v>
      </c>
      <c r="L213" s="22" t="str">
        <f>SUMIFS('Element wise-detail Summary'!$M$3:$M$1048576,'Element wise-detail Summary'!$B$3:$B$1048576,Summary!A214,'Element wise-detail Summary'!$C$3:$C$1048576,Summary!B214)</f>
        <v>0</v>
      </c>
      <c r="M213" s="20" t="str">
        <f t="shared" si="177"/>
        <v>0</v>
      </c>
      <c r="N213" s="24" t="str">
        <f t="shared" si="178"/>
        <v>#DIV/0!</v>
      </c>
      <c r="O213" s="55"/>
      <c r="P213" s="27" t="str">
        <f t="shared" si="179"/>
        <v>0</v>
      </c>
      <c r="Q213" s="27"/>
    </row>
    <row r="214" ht="15.75" hidden="1" customHeight="1" outlineLevel="1">
      <c r="A214" s="18" t="s">
        <v>224</v>
      </c>
      <c r="B214" s="19"/>
      <c r="C214" s="20"/>
      <c r="D214" s="21" t="str">
        <f>SUMIFS('Element wise-detail Summary'!$F$3:$F$1048576,'Element wise-detail Summary'!$B$3:$B$1048576,Summary!$A214)</f>
        <v>0</v>
      </c>
      <c r="E214" s="22" t="str">
        <f>SUMIFS('Element wise-detail Summary'!$G$3:$G$1048576,'Element wise-detail Summary'!$B$3:$B$1048576,Summary!$A214,'Element wise-detail Summary'!$C$3:$C$1048576,Summary!B214)</f>
        <v>0</v>
      </c>
      <c r="F214" s="20" t="str">
        <f t="shared" si="172"/>
        <v>0</v>
      </c>
      <c r="G214" s="23" t="str">
        <f t="shared" si="173"/>
        <v>#DIV/0!</v>
      </c>
      <c r="H214" s="22" t="str">
        <f>SUMIFS('Element wise-detail Summary'!$I$3:$I$1048576,'Element wise-detail Summary'!$B$3:$B$1048576,Summary!A215,'Element wise-detail Summary'!$C$3:$C$1048576,Summary!B215)</f>
        <v>0</v>
      </c>
      <c r="I214" s="20" t="str">
        <f t="shared" si="174"/>
        <v>0</v>
      </c>
      <c r="J214" s="24" t="str">
        <f t="shared" si="175"/>
        <v>#DIV/0!</v>
      </c>
      <c r="K214" s="25" t="str">
        <f t="shared" si="176"/>
        <v>0</v>
      </c>
      <c r="L214" s="22" t="str">
        <f>SUMIFS('Element wise-detail Summary'!$M$3:$M$1048576,'Element wise-detail Summary'!$B$3:$B$1048576,Summary!A215,'Element wise-detail Summary'!$C$3:$C$1048576,Summary!B215)</f>
        <v>0</v>
      </c>
      <c r="M214" s="20" t="str">
        <f t="shared" si="177"/>
        <v>0</v>
      </c>
      <c r="N214" s="24" t="str">
        <f t="shared" si="178"/>
        <v>#DIV/0!</v>
      </c>
      <c r="O214" s="55"/>
      <c r="P214" s="27" t="str">
        <f t="shared" si="179"/>
        <v>0</v>
      </c>
      <c r="Q214" s="27"/>
    </row>
    <row r="215" ht="15.75" hidden="1" customHeight="1" outlineLevel="1">
      <c r="A215" s="18" t="s">
        <v>225</v>
      </c>
      <c r="B215" s="19"/>
      <c r="C215" s="20"/>
      <c r="D215" s="21" t="str">
        <f>SUMIFS('Element wise-detail Summary'!$F$3:$F$1048576,'Element wise-detail Summary'!$B$3:$B$1048576,Summary!$A215)</f>
        <v>0</v>
      </c>
      <c r="E215" s="22" t="str">
        <f>SUMIFS('Element wise-detail Summary'!$G$3:$G$1048576,'Element wise-detail Summary'!$B$3:$B$1048576,Summary!$A215,'Element wise-detail Summary'!$C$3:$C$1048576,Summary!B215)</f>
        <v>0</v>
      </c>
      <c r="F215" s="20" t="str">
        <f t="shared" si="172"/>
        <v>0</v>
      </c>
      <c r="G215" s="23" t="str">
        <f t="shared" si="173"/>
        <v>#DIV/0!</v>
      </c>
      <c r="H215" s="22" t="str">
        <f>SUMIFS('Element wise-detail Summary'!$I$3:$I$1048576,'Element wise-detail Summary'!$B$3:$B$1048576,Summary!A216,'Element wise-detail Summary'!$C$3:$C$1048576,Summary!B216)</f>
        <v>0</v>
      </c>
      <c r="I215" s="20" t="str">
        <f t="shared" si="174"/>
        <v>0</v>
      </c>
      <c r="J215" s="24" t="str">
        <f t="shared" si="175"/>
        <v>#DIV/0!</v>
      </c>
      <c r="K215" s="25" t="str">
        <f t="shared" si="176"/>
        <v>0</v>
      </c>
      <c r="L215" s="22" t="str">
        <f>SUMIFS('Element wise-detail Summary'!$M$3:$M$1048576,'Element wise-detail Summary'!$B$3:$B$1048576,Summary!A216,'Element wise-detail Summary'!$C$3:$C$1048576,Summary!B216)</f>
        <v>0</v>
      </c>
      <c r="M215" s="20" t="str">
        <f t="shared" si="177"/>
        <v>0</v>
      </c>
      <c r="N215" s="24" t="str">
        <f t="shared" si="178"/>
        <v>#DIV/0!</v>
      </c>
      <c r="O215" s="55"/>
      <c r="P215" s="27" t="str">
        <f t="shared" si="179"/>
        <v>0</v>
      </c>
      <c r="Q215" s="27"/>
    </row>
    <row r="216" ht="15.75" hidden="1" customHeight="1" outlineLevel="1">
      <c r="A216" s="18" t="s">
        <v>226</v>
      </c>
      <c r="B216" s="19"/>
      <c r="C216" s="20"/>
      <c r="D216" s="21" t="str">
        <f>SUMIFS('Element wise-detail Summary'!$F$3:$F$1048576,'Element wise-detail Summary'!$B$3:$B$1048576,Summary!$A216)</f>
        <v>0</v>
      </c>
      <c r="E216" s="22" t="str">
        <f>SUMIFS('Element wise-detail Summary'!$G$3:$G$1048576,'Element wise-detail Summary'!$B$3:$B$1048576,Summary!$A216,'Element wise-detail Summary'!$C$3:$C$1048576,Summary!B216)</f>
        <v>0</v>
      </c>
      <c r="F216" s="20" t="str">
        <f t="shared" si="172"/>
        <v>0</v>
      </c>
      <c r="G216" s="23" t="str">
        <f t="shared" si="173"/>
        <v>#DIV/0!</v>
      </c>
      <c r="H216" s="22" t="str">
        <f>SUMIFS('Element wise-detail Summary'!$I$3:$I$1048576,'Element wise-detail Summary'!$B$3:$B$1048576,Summary!A217,'Element wise-detail Summary'!$C$3:$C$1048576,Summary!B217)</f>
        <v>0</v>
      </c>
      <c r="I216" s="20" t="str">
        <f t="shared" si="174"/>
        <v>0</v>
      </c>
      <c r="J216" s="24" t="str">
        <f t="shared" si="175"/>
        <v>#DIV/0!</v>
      </c>
      <c r="K216" s="25" t="str">
        <f t="shared" si="176"/>
        <v>0</v>
      </c>
      <c r="L216" s="22" t="str">
        <f>SUMIFS('Element wise-detail Summary'!$M$3:$M$1048576,'Element wise-detail Summary'!$B$3:$B$1048576,Summary!A217,'Element wise-detail Summary'!$C$3:$C$1048576,Summary!B217)</f>
        <v>0</v>
      </c>
      <c r="M216" s="20" t="str">
        <f t="shared" si="177"/>
        <v>0</v>
      </c>
      <c r="N216" s="24" t="str">
        <f t="shared" si="178"/>
        <v>#DIV/0!</v>
      </c>
      <c r="O216" s="55"/>
      <c r="P216" s="27" t="str">
        <f t="shared" si="179"/>
        <v>0</v>
      </c>
      <c r="Q216" s="27"/>
    </row>
    <row r="217" ht="15.75" hidden="1" customHeight="1" outlineLevel="1">
      <c r="A217" s="18" t="s">
        <v>227</v>
      </c>
      <c r="B217" s="19"/>
      <c r="C217" s="20"/>
      <c r="D217" s="21" t="str">
        <f>SUMIFS('Element wise-detail Summary'!$F$3:$F$1048576,'Element wise-detail Summary'!$B$3:$B$1048576,Summary!$A217)</f>
        <v>0</v>
      </c>
      <c r="E217" s="22" t="str">
        <f>SUMIFS('Element wise-detail Summary'!$G$3:$G$1048576,'Element wise-detail Summary'!$B$3:$B$1048576,Summary!$A217,'Element wise-detail Summary'!$C$3:$C$1048576,Summary!B217)</f>
        <v>0</v>
      </c>
      <c r="F217" s="20" t="str">
        <f t="shared" si="172"/>
        <v>0</v>
      </c>
      <c r="G217" s="23" t="str">
        <f t="shared" si="173"/>
        <v>#DIV/0!</v>
      </c>
      <c r="H217" s="22" t="str">
        <f>SUMIFS('Element wise-detail Summary'!$I$3:$I$1048576,'Element wise-detail Summary'!$B$3:$B$1048576,Summary!A218,'Element wise-detail Summary'!$C$3:$C$1048576,Summary!B218)</f>
        <v>0</v>
      </c>
      <c r="I217" s="20" t="str">
        <f t="shared" si="174"/>
        <v>0</v>
      </c>
      <c r="J217" s="24" t="str">
        <f t="shared" si="175"/>
        <v>#DIV/0!</v>
      </c>
      <c r="K217" s="25" t="str">
        <f t="shared" si="176"/>
        <v>0</v>
      </c>
      <c r="L217" s="22" t="str">
        <f>SUMIFS('Element wise-detail Summary'!$M$3:$M$1048576,'Element wise-detail Summary'!$B$3:$B$1048576,Summary!A218,'Element wise-detail Summary'!$C$3:$C$1048576,Summary!B218)</f>
        <v>0</v>
      </c>
      <c r="M217" s="20" t="str">
        <f t="shared" si="177"/>
        <v>0</v>
      </c>
      <c r="N217" s="24" t="str">
        <f t="shared" si="178"/>
        <v>#DIV/0!</v>
      </c>
      <c r="O217" s="55"/>
      <c r="P217" s="27" t="str">
        <f t="shared" si="179"/>
        <v>0</v>
      </c>
      <c r="Q217" s="27"/>
    </row>
    <row r="218" ht="15.75" hidden="1" customHeight="1" outlineLevel="1">
      <c r="A218" s="18" t="s">
        <v>228</v>
      </c>
      <c r="B218" s="19"/>
      <c r="C218" s="20"/>
      <c r="D218" s="21" t="str">
        <f>SUMIFS('Element wise-detail Summary'!$F$3:$F$1048576,'Element wise-detail Summary'!$B$3:$B$1048576,Summary!$A218)</f>
        <v>0</v>
      </c>
      <c r="E218" s="22" t="str">
        <f>SUMIFS('Element wise-detail Summary'!$G$3:$G$1048576,'Element wise-detail Summary'!$B$3:$B$1048576,Summary!$A218,'Element wise-detail Summary'!$C$3:$C$1048576,Summary!B218)</f>
        <v>0</v>
      </c>
      <c r="F218" s="20" t="str">
        <f t="shared" si="172"/>
        <v>0</v>
      </c>
      <c r="G218" s="23" t="str">
        <f t="shared" si="173"/>
        <v>#DIV/0!</v>
      </c>
      <c r="H218" s="22" t="str">
        <f>SUMIFS('Element wise-detail Summary'!$I$3:$I$1048576,'Element wise-detail Summary'!$B$3:$B$1048576,Summary!A219,'Element wise-detail Summary'!$C$3:$C$1048576,Summary!B219)</f>
        <v>0</v>
      </c>
      <c r="I218" s="20" t="str">
        <f t="shared" si="174"/>
        <v>0</v>
      </c>
      <c r="J218" s="24" t="str">
        <f t="shared" si="175"/>
        <v>#DIV/0!</v>
      </c>
      <c r="K218" s="25" t="str">
        <f t="shared" si="176"/>
        <v>0</v>
      </c>
      <c r="L218" s="22" t="str">
        <f>SUMIFS('Element wise-detail Summary'!$M$3:$M$1048576,'Element wise-detail Summary'!$B$3:$B$1048576,Summary!A219,'Element wise-detail Summary'!$C$3:$C$1048576,Summary!B219)</f>
        <v>0</v>
      </c>
      <c r="M218" s="20" t="str">
        <f t="shared" si="177"/>
        <v>0</v>
      </c>
      <c r="N218" s="24" t="str">
        <f t="shared" si="178"/>
        <v>#DIV/0!</v>
      </c>
      <c r="O218" s="55"/>
      <c r="P218" s="27" t="str">
        <f t="shared" si="179"/>
        <v>0</v>
      </c>
      <c r="Q218" s="27"/>
    </row>
    <row r="219" ht="15.75" hidden="1" customHeight="1" outlineLevel="1">
      <c r="A219" s="18" t="s">
        <v>229</v>
      </c>
      <c r="B219" s="19"/>
      <c r="C219" s="20"/>
      <c r="D219" s="21" t="str">
        <f>SUMIFS('Element wise-detail Summary'!$F$3:$F$1048576,'Element wise-detail Summary'!$B$3:$B$1048576,Summary!$A219)</f>
        <v>0</v>
      </c>
      <c r="E219" s="22" t="str">
        <f>SUMIFS('Element wise-detail Summary'!$G$3:$G$1048576,'Element wise-detail Summary'!$B$3:$B$1048576,Summary!$A219,'Element wise-detail Summary'!$C$3:$C$1048576,Summary!B219)</f>
        <v>0</v>
      </c>
      <c r="F219" s="20" t="str">
        <f t="shared" si="172"/>
        <v>0</v>
      </c>
      <c r="G219" s="23" t="str">
        <f t="shared" si="173"/>
        <v>#DIV/0!</v>
      </c>
      <c r="H219" s="22" t="str">
        <f>SUMIFS('Element wise-detail Summary'!$I$3:$I$1048576,'Element wise-detail Summary'!$B$3:$B$1048576,Summary!A220,'Element wise-detail Summary'!$C$3:$C$1048576,Summary!B220)</f>
        <v>0</v>
      </c>
      <c r="I219" s="20" t="str">
        <f t="shared" si="174"/>
        <v>0</v>
      </c>
      <c r="J219" s="24" t="str">
        <f t="shared" si="175"/>
        <v>#DIV/0!</v>
      </c>
      <c r="K219" s="25" t="str">
        <f t="shared" si="176"/>
        <v>0</v>
      </c>
      <c r="L219" s="22" t="str">
        <f>SUMIFS('Element wise-detail Summary'!$M$3:$M$1048576,'Element wise-detail Summary'!$B$3:$B$1048576,Summary!A220,'Element wise-detail Summary'!$C$3:$C$1048576,Summary!B220)</f>
        <v>0</v>
      </c>
      <c r="M219" s="20" t="str">
        <f t="shared" si="177"/>
        <v>0</v>
      </c>
      <c r="N219" s="24" t="str">
        <f t="shared" si="178"/>
        <v>#DIV/0!</v>
      </c>
      <c r="O219" s="55"/>
      <c r="P219" s="27" t="str">
        <f t="shared" si="179"/>
        <v>0</v>
      </c>
      <c r="Q219" s="27"/>
    </row>
    <row r="220" ht="15.75" hidden="1" customHeight="1" outlineLevel="1">
      <c r="A220" s="18" t="s">
        <v>230</v>
      </c>
      <c r="B220" s="19"/>
      <c r="C220" s="20"/>
      <c r="D220" s="21" t="str">
        <f>SUMIFS('Element wise-detail Summary'!$F$3:$F$1048576,'Element wise-detail Summary'!$B$3:$B$1048576,Summary!$A220)</f>
        <v>0</v>
      </c>
      <c r="E220" s="22" t="str">
        <f>SUMIFS('Element wise-detail Summary'!$G$3:$G$1048576,'Element wise-detail Summary'!$B$3:$B$1048576,Summary!$A220,'Element wise-detail Summary'!$C$3:$C$1048576,Summary!B220)</f>
        <v>0</v>
      </c>
      <c r="F220" s="20" t="str">
        <f t="shared" si="172"/>
        <v>0</v>
      </c>
      <c r="G220" s="23" t="str">
        <f t="shared" si="173"/>
        <v>#DIV/0!</v>
      </c>
      <c r="H220" s="22" t="str">
        <f>SUMIFS('Element wise-detail Summary'!$I$3:$I$1048576,'Element wise-detail Summary'!$B$3:$B$1048576,Summary!A221,'Element wise-detail Summary'!$C$3:$C$1048576,Summary!B221)</f>
        <v>0</v>
      </c>
      <c r="I220" s="20" t="str">
        <f t="shared" si="174"/>
        <v>0</v>
      </c>
      <c r="J220" s="24" t="str">
        <f t="shared" si="175"/>
        <v>#DIV/0!</v>
      </c>
      <c r="K220" s="25" t="str">
        <f t="shared" si="176"/>
        <v>0</v>
      </c>
      <c r="L220" s="22" t="str">
        <f>SUMIFS('Element wise-detail Summary'!$M$3:$M$1048576,'Element wise-detail Summary'!$B$3:$B$1048576,Summary!A221,'Element wise-detail Summary'!$C$3:$C$1048576,Summary!B221)</f>
        <v>0</v>
      </c>
      <c r="M220" s="20" t="str">
        <f t="shared" si="177"/>
        <v>0</v>
      </c>
      <c r="N220" s="24" t="str">
        <f t="shared" si="178"/>
        <v>#DIV/0!</v>
      </c>
      <c r="O220" s="55"/>
      <c r="P220" s="27" t="str">
        <f t="shared" si="179"/>
        <v>0</v>
      </c>
      <c r="Q220" s="27"/>
    </row>
    <row r="221" ht="15.75" hidden="1" customHeight="1" outlineLevel="1">
      <c r="A221" s="18" t="s">
        <v>231</v>
      </c>
      <c r="B221" s="19"/>
      <c r="C221" s="20"/>
      <c r="D221" s="21" t="str">
        <f>SUMIFS('Element wise-detail Summary'!$F$3:$F$1048576,'Element wise-detail Summary'!$B$3:$B$1048576,Summary!$A221)</f>
        <v>0</v>
      </c>
      <c r="E221" s="22" t="str">
        <f>SUMIFS('Element wise-detail Summary'!$G$3:$G$1048576,'Element wise-detail Summary'!$B$3:$B$1048576,Summary!$A221,'Element wise-detail Summary'!$C$3:$C$1048576,Summary!B221)</f>
        <v>0</v>
      </c>
      <c r="F221" s="20" t="str">
        <f t="shared" si="172"/>
        <v>0</v>
      </c>
      <c r="G221" s="23" t="str">
        <f t="shared" si="173"/>
        <v>#DIV/0!</v>
      </c>
      <c r="H221" s="22" t="str">
        <f>SUMIFS('Element wise-detail Summary'!$I$3:$I$1048576,'Element wise-detail Summary'!$B$3:$B$1048576,Summary!A222,'Element wise-detail Summary'!$C$3:$C$1048576,Summary!B222)</f>
        <v>0</v>
      </c>
      <c r="I221" s="20" t="str">
        <f t="shared" si="174"/>
        <v>0</v>
      </c>
      <c r="J221" s="24" t="str">
        <f t="shared" si="175"/>
        <v>#DIV/0!</v>
      </c>
      <c r="K221" s="25" t="str">
        <f t="shared" si="176"/>
        <v>0</v>
      </c>
      <c r="L221" s="22" t="str">
        <f>SUMIFS('Element wise-detail Summary'!$M$3:$M$1048576,'Element wise-detail Summary'!$B$3:$B$1048576,Summary!A222,'Element wise-detail Summary'!$C$3:$C$1048576,Summary!B222)</f>
        <v>0</v>
      </c>
      <c r="M221" s="20" t="str">
        <f t="shared" si="177"/>
        <v>0</v>
      </c>
      <c r="N221" s="24" t="str">
        <f t="shared" si="178"/>
        <v>#DIV/0!</v>
      </c>
      <c r="O221" s="55"/>
      <c r="P221" s="27" t="str">
        <f t="shared" si="179"/>
        <v>0</v>
      </c>
      <c r="Q221" s="27"/>
    </row>
    <row r="222" ht="15.75" hidden="1" customHeight="1" outlineLevel="1">
      <c r="A222" s="18" t="s">
        <v>232</v>
      </c>
      <c r="B222" s="19"/>
      <c r="C222" s="20"/>
      <c r="D222" s="21" t="str">
        <f>SUMIFS('Element wise-detail Summary'!$F$3:$F$1048576,'Element wise-detail Summary'!$B$3:$B$1048576,Summary!$A222)</f>
        <v>0</v>
      </c>
      <c r="E222" s="22" t="str">
        <f>SUMIFS('Element wise-detail Summary'!$G$3:$G$1048576,'Element wise-detail Summary'!$B$3:$B$1048576,Summary!$A222,'Element wise-detail Summary'!$C$3:$C$1048576,Summary!B222)</f>
        <v>0</v>
      </c>
      <c r="F222" s="20" t="str">
        <f t="shared" si="172"/>
        <v>0</v>
      </c>
      <c r="G222" s="23" t="str">
        <f t="shared" si="173"/>
        <v>#DIV/0!</v>
      </c>
      <c r="H222" s="22" t="str">
        <f>SUMIFS('Element wise-detail Summary'!$I$3:$I$1048576,'Element wise-detail Summary'!$B$3:$B$1048576,Summary!A223,'Element wise-detail Summary'!$C$3:$C$1048576,Summary!B223)</f>
        <v>0</v>
      </c>
      <c r="I222" s="20" t="str">
        <f t="shared" si="174"/>
        <v>0</v>
      </c>
      <c r="J222" s="24" t="str">
        <f t="shared" si="175"/>
        <v>#DIV/0!</v>
      </c>
      <c r="K222" s="25" t="str">
        <f t="shared" si="176"/>
        <v>0</v>
      </c>
      <c r="L222" s="22" t="str">
        <f>SUMIFS('Element wise-detail Summary'!$M$3:$M$1048576,'Element wise-detail Summary'!$B$3:$B$1048576,Summary!A223,'Element wise-detail Summary'!$C$3:$C$1048576,Summary!B223)</f>
        <v>0</v>
      </c>
      <c r="M222" s="20" t="str">
        <f t="shared" si="177"/>
        <v>0</v>
      </c>
      <c r="N222" s="24" t="str">
        <f t="shared" si="178"/>
        <v>#DIV/0!</v>
      </c>
      <c r="O222" s="55"/>
      <c r="P222" s="27" t="str">
        <f t="shared" si="179"/>
        <v>0</v>
      </c>
      <c r="Q222" s="27"/>
    </row>
    <row r="223" ht="15.75" hidden="1" customHeight="1" outlineLevel="1">
      <c r="A223" s="18" t="s">
        <v>233</v>
      </c>
      <c r="B223" s="19"/>
      <c r="C223" s="20"/>
      <c r="D223" s="21" t="str">
        <f>SUMIFS('Element wise-detail Summary'!$F$3:$F$1048576,'Element wise-detail Summary'!$B$3:$B$1048576,Summary!$A223)</f>
        <v>0</v>
      </c>
      <c r="E223" s="22" t="str">
        <f>SUMIFS('Element wise-detail Summary'!$G$3:$G$1048576,'Element wise-detail Summary'!$B$3:$B$1048576,Summary!$A223,'Element wise-detail Summary'!$C$3:$C$1048576,Summary!B223)</f>
        <v>0</v>
      </c>
      <c r="F223" s="20" t="str">
        <f t="shared" si="172"/>
        <v>0</v>
      </c>
      <c r="G223" s="23" t="str">
        <f t="shared" si="173"/>
        <v>#DIV/0!</v>
      </c>
      <c r="H223" s="22" t="str">
        <f>SUMIFS('Element wise-detail Summary'!$I$3:$I$1048576,'Element wise-detail Summary'!$B$3:$B$1048576,Summary!A224,'Element wise-detail Summary'!$C$3:$C$1048576,Summary!B224)</f>
        <v>0</v>
      </c>
      <c r="I223" s="20" t="str">
        <f t="shared" si="174"/>
        <v>0</v>
      </c>
      <c r="J223" s="24" t="str">
        <f t="shared" si="175"/>
        <v>#DIV/0!</v>
      </c>
      <c r="K223" s="25" t="str">
        <f t="shared" si="176"/>
        <v>0</v>
      </c>
      <c r="L223" s="22" t="str">
        <f>SUMIFS('Element wise-detail Summary'!$M$3:$M$1048576,'Element wise-detail Summary'!$B$3:$B$1048576,Summary!A224,'Element wise-detail Summary'!$C$3:$C$1048576,Summary!B224)</f>
        <v>0</v>
      </c>
      <c r="M223" s="20" t="str">
        <f t="shared" si="177"/>
        <v>0</v>
      </c>
      <c r="N223" s="24" t="str">
        <f t="shared" si="178"/>
        <v>#DIV/0!</v>
      </c>
      <c r="O223" s="55"/>
      <c r="P223" s="27" t="str">
        <f t="shared" si="179"/>
        <v>0</v>
      </c>
      <c r="Q223" s="27"/>
    </row>
    <row r="224" ht="15.75" hidden="1" customHeight="1" outlineLevel="1">
      <c r="A224" s="18" t="s">
        <v>234</v>
      </c>
      <c r="B224" s="19"/>
      <c r="C224" s="20"/>
      <c r="D224" s="21" t="str">
        <f>SUMIFS('Element wise-detail Summary'!$F$3:$F$1048576,'Element wise-detail Summary'!$B$3:$B$1048576,Summary!$A224)</f>
        <v>0</v>
      </c>
      <c r="E224" s="22" t="str">
        <f>SUMIFS('Element wise-detail Summary'!$G$3:$G$1048576,'Element wise-detail Summary'!$B$3:$B$1048576,Summary!$A224,'Element wise-detail Summary'!$C$3:$C$1048576,Summary!B224)</f>
        <v>0</v>
      </c>
      <c r="F224" s="20" t="str">
        <f t="shared" si="172"/>
        <v>0</v>
      </c>
      <c r="G224" s="23" t="str">
        <f t="shared" si="173"/>
        <v>#DIV/0!</v>
      </c>
      <c r="H224" s="22" t="str">
        <f>SUMIFS('Element wise-detail Summary'!$I$3:$I$1048576,'Element wise-detail Summary'!$B$3:$B$1048576,Summary!A225,'Element wise-detail Summary'!$C$3:$C$1048576,Summary!B225)</f>
        <v>0</v>
      </c>
      <c r="I224" s="20" t="str">
        <f t="shared" si="174"/>
        <v>0</v>
      </c>
      <c r="J224" s="24" t="str">
        <f t="shared" si="175"/>
        <v>#DIV/0!</v>
      </c>
      <c r="K224" s="25" t="str">
        <f t="shared" si="176"/>
        <v>0</v>
      </c>
      <c r="L224" s="22" t="str">
        <f>SUMIFS('Element wise-detail Summary'!$M$3:$M$1048576,'Element wise-detail Summary'!$B$3:$B$1048576,Summary!A225,'Element wise-detail Summary'!$C$3:$C$1048576,Summary!B225)</f>
        <v>0</v>
      </c>
      <c r="M224" s="20" t="str">
        <f t="shared" si="177"/>
        <v>0</v>
      </c>
      <c r="N224" s="24" t="str">
        <f t="shared" si="178"/>
        <v>#DIV/0!</v>
      </c>
      <c r="O224" s="55"/>
      <c r="P224" s="27" t="str">
        <f t="shared" si="179"/>
        <v>0</v>
      </c>
      <c r="Q224" s="27"/>
    </row>
    <row r="225" ht="15.75" hidden="1" customHeight="1" outlineLevel="1">
      <c r="A225" s="29" t="s">
        <v>235</v>
      </c>
      <c r="B225" s="30"/>
      <c r="C225" s="31"/>
      <c r="D225" s="32" t="str">
        <f>SUMIFS('Element wise-detail Summary'!$F$3:$F$1048576,'Element wise-detail Summary'!$B$3:$B$1048576,Summary!$A225)</f>
        <v>0</v>
      </c>
      <c r="E225" s="33" t="str">
        <f>SUMIFS('Element wise-detail Summary'!$G$3:$G$1048576,'Element wise-detail Summary'!$B$3:$B$1048576,Summary!$A225,'Element wise-detail Summary'!$C$3:$C$1048576,Summary!B225)</f>
        <v>0</v>
      </c>
      <c r="F225" s="31" t="str">
        <f t="shared" si="172"/>
        <v>0</v>
      </c>
      <c r="G225" s="34" t="str">
        <f t="shared" si="173"/>
        <v>#DIV/0!</v>
      </c>
      <c r="H225" s="33" t="str">
        <f>SUMIFS('Element wise-detail Summary'!$I$3:$I$1048576,'Element wise-detail Summary'!$B$3:$B$1048576,Summary!A226,'Element wise-detail Summary'!$C$3:$C$1048576,Summary!B226)</f>
        <v>0</v>
      </c>
      <c r="I225" s="31" t="str">
        <f t="shared" si="174"/>
        <v>0</v>
      </c>
      <c r="J225" s="35" t="str">
        <f t="shared" si="175"/>
        <v>#DIV/0!</v>
      </c>
      <c r="K225" s="36" t="str">
        <f t="shared" si="176"/>
        <v>0</v>
      </c>
      <c r="L225" s="33" t="str">
        <f>SUMIFS('Element wise-detail Summary'!$M$3:$M$1048576,'Element wise-detail Summary'!$B$3:$B$1048576,Summary!A226,'Element wise-detail Summary'!$C$3:$C$1048576,Summary!B226)</f>
        <v>0</v>
      </c>
      <c r="M225" s="31" t="str">
        <f t="shared" si="177"/>
        <v>0</v>
      </c>
      <c r="N225" s="35" t="str">
        <f t="shared" si="178"/>
        <v>#DIV/0!</v>
      </c>
      <c r="O225" s="26"/>
      <c r="P225" s="27" t="str">
        <f t="shared" si="179"/>
        <v>0</v>
      </c>
      <c r="Q225" s="27"/>
    </row>
    <row r="226" ht="15.75" customHeight="1" collapsed="1">
      <c r="A226" s="83" t="s">
        <v>236</v>
      </c>
      <c r="B226" s="84"/>
      <c r="C226" s="85" t="str">
        <f t="shared" ref="C226:F226" si="180">SUM(C9,C19,C28,C35,C46,C57,C65,C79,C88,C100,C113,C124,C134,C144,C161,C170)</f>
        <v>2564</v>
      </c>
      <c r="D226" s="86" t="str">
        <f t="shared" si="180"/>
        <v>2255</v>
      </c>
      <c r="E226" s="87" t="str">
        <f t="shared" si="180"/>
        <v>1338</v>
      </c>
      <c r="F226" s="85" t="str">
        <f t="shared" si="180"/>
        <v>917</v>
      </c>
      <c r="G226" s="88" t="str">
        <f t="shared" si="173"/>
        <v>52%</v>
      </c>
      <c r="H226" s="87" t="str">
        <f t="shared" ref="H226:I226" si="181">SUM(H9,H19,H28,H35,H46,H57,H65,H79,H88,H100,H113,H124,H134,H144,H161,H170)</f>
        <v>226</v>
      </c>
      <c r="I226" s="85" t="str">
        <f t="shared" si="181"/>
        <v>2029</v>
      </c>
      <c r="J226" s="89" t="str">
        <f t="shared" si="175"/>
        <v>9%</v>
      </c>
      <c r="K226" s="90" t="str">
        <f t="shared" ref="K226:M226" si="182">SUM(K9,K19,K28,K35,K46,K57,K65,K79,K88,K100,K113,K124,K134,K144,K161,K170)</f>
        <v>1112</v>
      </c>
      <c r="L226" s="87" t="str">
        <f t="shared" si="182"/>
        <v>182</v>
      </c>
      <c r="M226" s="85" t="str">
        <f t="shared" si="182"/>
        <v>2073</v>
      </c>
      <c r="N226" s="89" t="str">
        <f t="shared" si="178"/>
        <v>7%</v>
      </c>
      <c r="O226" s="91"/>
      <c r="P226" s="27" t="str">
        <f t="shared" si="179"/>
        <v>309</v>
      </c>
      <c r="Q226" s="2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>
      <c r="L235" s="92"/>
    </row>
  </sheetData>
  <mergeCells count="4">
    <mergeCell ref="N2:O3"/>
    <mergeCell ref="L2:M3"/>
    <mergeCell ref="O6:O8"/>
    <mergeCell ref="A226:B226"/>
  </mergeCells>
  <conditionalFormatting sqref="D6:D65 D67:D186">
    <cfRule type="expression" dxfId="0" priority="1">
      <formula>IF($P6&gt;0,1)</formula>
    </cfRule>
  </conditionalFormatting>
  <conditionalFormatting sqref="C6:F226 H6:N225 H226:O226">
    <cfRule type="cellIs" dxfId="1" priority="2" operator="equal">
      <formula>0</formula>
    </cfRule>
  </conditionalFormatting>
  <conditionalFormatting sqref="P6:P226">
    <cfRule type="cellIs" dxfId="2" priority="3" operator="greaterThan">
      <formula>0</formula>
    </cfRule>
  </conditionalFormatting>
  <conditionalFormatting sqref="Q11:Q45">
    <cfRule type="cellIs" dxfId="3" priority="4" operator="equal">
      <formula>TODAY()</formula>
    </cfRule>
  </conditionalFormatting>
  <conditionalFormatting sqref="Q11:Q45">
    <cfRule type="cellIs" dxfId="4" priority="5" operator="greaterThan">
      <formula>TODAY()</formula>
    </cfRule>
  </conditionalFormatting>
  <conditionalFormatting sqref="Q48:Q56">
    <cfRule type="cellIs" dxfId="3" priority="6" operator="equal">
      <formula>TODAY()</formula>
    </cfRule>
  </conditionalFormatting>
  <conditionalFormatting sqref="Q48:Q56">
    <cfRule type="cellIs" dxfId="4" priority="7" operator="greaterThan">
      <formula>TODAY()</formula>
    </cfRule>
  </conditionalFormatting>
  <conditionalFormatting sqref="Q59:Q64">
    <cfRule type="cellIs" dxfId="3" priority="8" operator="equal">
      <formula>TODAY()</formula>
    </cfRule>
  </conditionalFormatting>
  <conditionalFormatting sqref="Q59:Q64">
    <cfRule type="cellIs" dxfId="4" priority="9" operator="greaterThan">
      <formula>TODAY()</formula>
    </cfRule>
  </conditionalFormatting>
  <conditionalFormatting sqref="Q67:Q78">
    <cfRule type="cellIs" dxfId="3" priority="10" operator="equal">
      <formula>TODAY()</formula>
    </cfRule>
  </conditionalFormatting>
  <conditionalFormatting sqref="Q67:Q78">
    <cfRule type="cellIs" dxfId="4" priority="11" operator="greaterThan">
      <formula>TODAY()</formula>
    </cfRule>
  </conditionalFormatting>
  <conditionalFormatting sqref="Q81:Q87">
    <cfRule type="cellIs" dxfId="3" priority="12" operator="equal">
      <formula>TODAY()</formula>
    </cfRule>
  </conditionalFormatting>
  <conditionalFormatting sqref="Q81:Q87">
    <cfRule type="cellIs" dxfId="4" priority="13" operator="greaterThan">
      <formula>TODAY()</formula>
    </cfRule>
  </conditionalFormatting>
  <conditionalFormatting sqref="Q90:Q99">
    <cfRule type="cellIs" dxfId="3" priority="14" operator="equal">
      <formula>TODAY()</formula>
    </cfRule>
  </conditionalFormatting>
  <conditionalFormatting sqref="Q90:Q99">
    <cfRule type="cellIs" dxfId="4" priority="15" operator="greaterThan">
      <formula>TODAY()</formula>
    </cfRule>
  </conditionalFormatting>
  <conditionalFormatting sqref="Q102:Q112">
    <cfRule type="cellIs" dxfId="3" priority="16" operator="equal">
      <formula>TODAY()</formula>
    </cfRule>
  </conditionalFormatting>
  <conditionalFormatting sqref="Q102:Q112">
    <cfRule type="cellIs" dxfId="4" priority="17" operator="greaterThan">
      <formula>TODAY()</formula>
    </cfRule>
  </conditionalFormatting>
  <conditionalFormatting sqref="Q117:Q123">
    <cfRule type="cellIs" dxfId="3" priority="18" operator="equal">
      <formula>TODAY()</formula>
    </cfRule>
  </conditionalFormatting>
  <conditionalFormatting sqref="Q117:Q123">
    <cfRule type="cellIs" dxfId="4" priority="19" operator="greaterThan">
      <formula>TODAY()</formula>
    </cfRule>
  </conditionalFormatting>
  <conditionalFormatting sqref="Q126:Q133">
    <cfRule type="cellIs" dxfId="3" priority="20" operator="equal">
      <formula>TODAY()</formula>
    </cfRule>
  </conditionalFormatting>
  <conditionalFormatting sqref="Q126:Q133">
    <cfRule type="cellIs" dxfId="4" priority="21" operator="greaterThan">
      <formula>TODAY()</formula>
    </cfRule>
  </conditionalFormatting>
  <conditionalFormatting sqref="Q136:Q143">
    <cfRule type="cellIs" dxfId="3" priority="22" operator="equal">
      <formula>TODAY()</formula>
    </cfRule>
  </conditionalFormatting>
  <conditionalFormatting sqref="Q136:Q143">
    <cfRule type="cellIs" dxfId="4" priority="23" operator="greaterThan">
      <formula>TODAY()</formula>
    </cfRule>
  </conditionalFormatting>
  <conditionalFormatting sqref="Q146:Q160">
    <cfRule type="cellIs" dxfId="3" priority="24" operator="equal">
      <formula>TODAY()</formula>
    </cfRule>
  </conditionalFormatting>
  <conditionalFormatting sqref="Q146:Q160">
    <cfRule type="cellIs" dxfId="4" priority="25" operator="greaterThan">
      <formula>TODAY()</formula>
    </cfRule>
  </conditionalFormatting>
  <conditionalFormatting sqref="Q163:Q169">
    <cfRule type="cellIs" dxfId="3" priority="26" operator="equal">
      <formula>TODAY()</formula>
    </cfRule>
  </conditionalFormatting>
  <conditionalFormatting sqref="Q163:Q169">
    <cfRule type="cellIs" dxfId="4" priority="27" operator="greaterThan">
      <formula>TODAY()</formula>
    </cfRule>
  </conditionalFormatting>
  <printOptions horizontalCentered="1"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6.83" defaultRowHeight="15.0"/>
  <cols>
    <col customWidth="1" min="1" max="1" width="29.67"/>
    <col customWidth="1" min="2" max="3" width="6.17"/>
    <col customWidth="1" min="4" max="4" width="17.0"/>
    <col customWidth="1" min="5" max="5" width="12.5"/>
    <col customWidth="1" min="6" max="10" width="10.33"/>
    <col customWidth="1" min="11" max="11" width="10.67"/>
    <col customWidth="1" min="12" max="12" width="10.17"/>
    <col customWidth="1" min="13" max="14" width="10.67"/>
    <col customWidth="1" min="15" max="15" width="10.0"/>
    <col customWidth="1" min="16" max="16" width="12.17"/>
    <col customWidth="1" hidden="1" min="17" max="17" width="43.5"/>
    <col customWidth="1" min="18" max="23" width="10.17"/>
    <col customWidth="1" min="24" max="24" width="13.67"/>
    <col customWidth="1" min="25" max="25" width="10.17"/>
  </cols>
  <sheetData>
    <row r="1" ht="31.5" customHeight="1">
      <c r="A1" s="93" t="s">
        <v>237</v>
      </c>
      <c r="B1" s="94" t="s">
        <v>2</v>
      </c>
      <c r="C1" s="94" t="s">
        <v>3</v>
      </c>
      <c r="D1" s="94" t="s">
        <v>238</v>
      </c>
      <c r="E1" s="94" t="s">
        <v>239</v>
      </c>
      <c r="F1" s="95" t="str">
        <f t="shared" ref="F1:K1" si="1">SUBTOTAL(9,F3:F1048576)</f>
        <v>2255</v>
      </c>
      <c r="G1" s="95" t="str">
        <f t="shared" si="1"/>
        <v>1338</v>
      </c>
      <c r="H1" s="95" t="str">
        <f t="shared" si="1"/>
        <v>917</v>
      </c>
      <c r="I1" s="95" t="str">
        <f t="shared" si="1"/>
        <v>226</v>
      </c>
      <c r="J1" s="95" t="str">
        <f t="shared" si="1"/>
        <v>2029</v>
      </c>
      <c r="K1" s="95" t="str">
        <f t="shared" si="1"/>
        <v>1112</v>
      </c>
      <c r="L1" s="95"/>
      <c r="M1" s="95" t="str">
        <f t="shared" ref="M1:P1" si="2">SUBTOTAL(9,M3:M1048576)</f>
        <v>182</v>
      </c>
      <c r="N1" s="95" t="str">
        <f t="shared" si="2"/>
        <v>2073</v>
      </c>
      <c r="O1" s="95" t="str">
        <f t="shared" si="2"/>
        <v>3186.4672</v>
      </c>
      <c r="P1" s="95" t="str">
        <f t="shared" si="2"/>
        <v>7966.168</v>
      </c>
      <c r="Q1" s="96"/>
    </row>
    <row r="2">
      <c r="A2" s="93"/>
      <c r="B2" s="94"/>
      <c r="C2" s="94"/>
      <c r="D2" s="94"/>
      <c r="E2" s="94"/>
      <c r="F2" s="97" t="s">
        <v>5</v>
      </c>
      <c r="G2" s="98" t="s">
        <v>6</v>
      </c>
      <c r="H2" s="97" t="s">
        <v>240</v>
      </c>
      <c r="I2" s="99" t="s">
        <v>9</v>
      </c>
      <c r="J2" s="97" t="s">
        <v>241</v>
      </c>
      <c r="K2" s="100" t="s">
        <v>242</v>
      </c>
      <c r="L2" s="100" t="s">
        <v>243</v>
      </c>
      <c r="M2" s="101" t="s">
        <v>244</v>
      </c>
      <c r="N2" s="97" t="s">
        <v>14</v>
      </c>
      <c r="O2" s="102" t="s">
        <v>245</v>
      </c>
      <c r="P2" s="103" t="s">
        <v>246</v>
      </c>
      <c r="Q2" s="104"/>
    </row>
    <row r="3">
      <c r="A3" s="105" t="s">
        <v>247</v>
      </c>
      <c r="B3" s="19" t="str">
        <f t="array" ref="B3">XLOOKUP(A3,Data!F:F,Data!G:G)</f>
        <v>A1A</v>
      </c>
      <c r="C3" s="19" t="str">
        <f t="shared" ref="C3:C2572" si="3">MID(A3,11,4)</f>
        <v>A001</v>
      </c>
      <c r="D3" s="19" t="str">
        <f t="array" ref="D3">XLOOKUP(A3,Data!F:F,Data!C:C)</f>
        <v>EXT</v>
      </c>
      <c r="E3" s="19" t="str">
        <f t="array" ref="E3">XLOOKUP(A3,Data!F:F,Data!H:H)</f>
        <v>BW</v>
      </c>
      <c r="F3" s="106" t="str">
        <f>SUMIFS(Data!J:J,Data!F:F,A3)</f>
        <v>1</v>
      </c>
      <c r="G3" s="106" t="str">
        <f>SUMIFS(Cast!C:C,CastElements,A3)</f>
        <v>0</v>
      </c>
      <c r="H3" s="106" t="str">
        <f t="shared" ref="H3:H2572" si="4">F3-G3</f>
        <v>1</v>
      </c>
      <c r="I3" s="106" t="str">
        <f>SUMIFS(Del!C:C,Del!B:B,A3)</f>
        <v>0</v>
      </c>
      <c r="J3" s="106" t="str">
        <f t="shared" ref="J3:J2572" si="5">F3-I3</f>
        <v>1</v>
      </c>
      <c r="K3" s="106" t="str">
        <f t="shared" ref="K3:K2572" si="6">G3-I3</f>
        <v>0</v>
      </c>
      <c r="L3" s="106"/>
      <c r="M3" s="106" t="str">
        <f>SUMIFS(Ere!C:C,Ere!B:B,A3)</f>
        <v>0</v>
      </c>
      <c r="N3" s="106" t="str">
        <f t="shared" ref="N3:N2572" si="7">F3-M3</f>
        <v>1</v>
      </c>
      <c r="O3" s="107" t="str">
        <f t="array" ref="O3">XLOOKUP(A3,Data!F:F,Data!O:O)</f>
        <v>  1.20 </v>
      </c>
      <c r="P3" s="107" t="str">
        <f t="shared" ref="P3:P2572" si="8">+O3*2.5</f>
        <v>  2.99 </v>
      </c>
      <c r="Q3" s="27"/>
    </row>
    <row r="4">
      <c r="A4" s="105" t="s">
        <v>248</v>
      </c>
      <c r="B4" s="19" t="str">
        <f t="array" ref="B4">XLOOKUP(A4,Data!F:F,Data!G:G)</f>
        <v>A1A</v>
      </c>
      <c r="C4" s="19" t="str">
        <f t="shared" si="3"/>
        <v>A001</v>
      </c>
      <c r="D4" s="19" t="str">
        <f t="array" ref="D4">XLOOKUP(A4,Data!F:F,Data!C:C)</f>
        <v>EXT</v>
      </c>
      <c r="E4" s="19" t="str">
        <f t="array" ref="E4">XLOOKUP(A4,Data!F:F,Data!H:H)</f>
        <v>BW</v>
      </c>
      <c r="F4" s="106" t="str">
        <f>SUMIFS(Data!J:J,Data!F:F,A4)</f>
        <v>1</v>
      </c>
      <c r="G4" s="106" t="str">
        <f>SUMIFS(Cast!C:C,CastElements,A4)</f>
        <v>0</v>
      </c>
      <c r="H4" s="106" t="str">
        <f t="shared" si="4"/>
        <v>1</v>
      </c>
      <c r="I4" s="106" t="str">
        <f>SUMIFS(Del!C:C,Del!B:B,A4)</f>
        <v>0</v>
      </c>
      <c r="J4" s="106" t="str">
        <f t="shared" si="5"/>
        <v>1</v>
      </c>
      <c r="K4" s="106" t="str">
        <f t="shared" si="6"/>
        <v>0</v>
      </c>
      <c r="L4" s="106"/>
      <c r="M4" s="106" t="str">
        <f>SUMIFS(Ere!C:C,Ere!B:B,A4)</f>
        <v>0</v>
      </c>
      <c r="N4" s="106" t="str">
        <f t="shared" si="7"/>
        <v>1</v>
      </c>
      <c r="O4" s="107" t="str">
        <f t="array" ref="O4">XLOOKUP(A4,Data!F:F,Data!O:O)</f>
        <v>  1.64 </v>
      </c>
      <c r="P4" s="107" t="str">
        <f t="shared" si="8"/>
        <v>  4.09 </v>
      </c>
      <c r="Q4" s="27"/>
    </row>
    <row r="5">
      <c r="A5" s="105" t="s">
        <v>249</v>
      </c>
      <c r="B5" s="19" t="str">
        <f t="array" ref="B5">XLOOKUP(A5,Data!F:F,Data!G:G)</f>
        <v>A1A</v>
      </c>
      <c r="C5" s="19" t="str">
        <f t="shared" si="3"/>
        <v>A001</v>
      </c>
      <c r="D5" s="19" t="str">
        <f t="array" ref="D5">XLOOKUP(A5,Data!F:F,Data!C:C)</f>
        <v>EXT</v>
      </c>
      <c r="E5" s="19" t="str">
        <f t="array" ref="E5">XLOOKUP(A5,Data!F:F,Data!H:H)</f>
        <v>BW</v>
      </c>
      <c r="F5" s="106" t="str">
        <f>SUMIFS(Data!J:J,Data!F:F,A5)</f>
        <v>1</v>
      </c>
      <c r="G5" s="106" t="str">
        <f>SUMIFS(Cast!C:C,CastElements,A5)</f>
        <v>0</v>
      </c>
      <c r="H5" s="106" t="str">
        <f t="shared" si="4"/>
        <v>1</v>
      </c>
      <c r="I5" s="106" t="str">
        <f>SUMIFS(Del!C:C,Del!B:B,A5)</f>
        <v>0</v>
      </c>
      <c r="J5" s="106" t="str">
        <f t="shared" si="5"/>
        <v>1</v>
      </c>
      <c r="K5" s="106" t="str">
        <f t="shared" si="6"/>
        <v>0</v>
      </c>
      <c r="L5" s="106"/>
      <c r="M5" s="106" t="str">
        <f>SUMIFS(Ere!C:C,Ere!B:B,A5)</f>
        <v>0</v>
      </c>
      <c r="N5" s="106" t="str">
        <f t="shared" si="7"/>
        <v>1</v>
      </c>
      <c r="O5" s="107" t="str">
        <f t="array" ref="O5">XLOOKUP(A5,Data!F:F,Data!O:O)</f>
        <v>  1.47 </v>
      </c>
      <c r="P5" s="107" t="str">
        <f t="shared" si="8"/>
        <v>  3.66 </v>
      </c>
      <c r="Q5" s="27"/>
    </row>
    <row r="6">
      <c r="A6" s="105" t="s">
        <v>250</v>
      </c>
      <c r="B6" s="19" t="str">
        <f t="array" ref="B6">XLOOKUP(A6,Data!F:F,Data!G:G)</f>
        <v>A1A</v>
      </c>
      <c r="C6" s="19" t="str">
        <f t="shared" si="3"/>
        <v>A001</v>
      </c>
      <c r="D6" s="19" t="str">
        <f t="array" ref="D6">XLOOKUP(A6,Data!F:F,Data!C:C)</f>
        <v>EXT</v>
      </c>
      <c r="E6" s="19" t="str">
        <f t="array" ref="E6">XLOOKUP(A6,Data!F:F,Data!H:H)</f>
        <v>BW</v>
      </c>
      <c r="F6" s="106" t="str">
        <f>SUMIFS(Data!J:J,Data!F:F,A6)</f>
        <v>1</v>
      </c>
      <c r="G6" s="106" t="str">
        <f>SUMIFS(Cast!C:C,CastElements,A6)</f>
        <v>1</v>
      </c>
      <c r="H6" s="106" t="str">
        <f t="shared" si="4"/>
        <v>0</v>
      </c>
      <c r="I6" s="106" t="str">
        <f>SUMIFS(Del!C:C,Del!B:B,A6)</f>
        <v>0</v>
      </c>
      <c r="J6" s="106" t="str">
        <f t="shared" si="5"/>
        <v>1</v>
      </c>
      <c r="K6" s="106" t="str">
        <f t="shared" si="6"/>
        <v>1</v>
      </c>
      <c r="L6" s="106"/>
      <c r="M6" s="106" t="str">
        <f>SUMIFS(Ere!C:C,Ere!B:B,A6)</f>
        <v>0</v>
      </c>
      <c r="N6" s="106" t="str">
        <f t="shared" si="7"/>
        <v>1</v>
      </c>
      <c r="O6" s="107" t="str">
        <f t="array" ref="O6">XLOOKUP(A6,Data!F:F,Data!O:O)</f>
        <v>  1.11 </v>
      </c>
      <c r="P6" s="107" t="str">
        <f t="shared" si="8"/>
        <v>  2.77 </v>
      </c>
      <c r="Q6" s="27"/>
    </row>
    <row r="7">
      <c r="A7" s="105" t="s">
        <v>251</v>
      </c>
      <c r="B7" s="19" t="str">
        <f t="array" ref="B7">XLOOKUP(A7,Data!F:F,Data!G:G)</f>
        <v>A1A</v>
      </c>
      <c r="C7" s="19" t="str">
        <f t="shared" si="3"/>
        <v>A001</v>
      </c>
      <c r="D7" s="19" t="str">
        <f t="array" ref="D7">XLOOKUP(A7,Data!F:F,Data!C:C)</f>
        <v>EXT</v>
      </c>
      <c r="E7" s="19" t="str">
        <f t="array" ref="E7">XLOOKUP(A7,Data!F:F,Data!H:H)</f>
        <v>BW</v>
      </c>
      <c r="F7" s="106" t="str">
        <f>SUMIFS(Data!J:J,Data!F:F,A7)</f>
        <v>1</v>
      </c>
      <c r="G7" s="106" t="str">
        <f>SUMIFS(Cast!C:C,CastElements,A7)</f>
        <v>0</v>
      </c>
      <c r="H7" s="106" t="str">
        <f t="shared" si="4"/>
        <v>1</v>
      </c>
      <c r="I7" s="106" t="str">
        <f>SUMIFS(Del!C:C,Del!B:B,A7)</f>
        <v>0</v>
      </c>
      <c r="J7" s="106" t="str">
        <f t="shared" si="5"/>
        <v>1</v>
      </c>
      <c r="K7" s="106" t="str">
        <f t="shared" si="6"/>
        <v>0</v>
      </c>
      <c r="L7" s="106"/>
      <c r="M7" s="106" t="str">
        <f>SUMIFS(Ere!C:C,Ere!B:B,A7)</f>
        <v>0</v>
      </c>
      <c r="N7" s="106" t="str">
        <f t="shared" si="7"/>
        <v>1</v>
      </c>
      <c r="O7" s="107" t="str">
        <f t="array" ref="O7">XLOOKUP(A7,Data!F:F,Data!O:O)</f>
        <v>  1.24 </v>
      </c>
      <c r="P7" s="107" t="str">
        <f t="shared" si="8"/>
        <v>  3.09 </v>
      </c>
      <c r="Q7" s="27"/>
    </row>
    <row r="8">
      <c r="A8" s="105" t="s">
        <v>252</v>
      </c>
      <c r="B8" s="19" t="str">
        <f t="array" ref="B8">XLOOKUP(A8,Data!F:F,Data!G:G)</f>
        <v>A1A</v>
      </c>
      <c r="C8" s="19" t="str">
        <f t="shared" si="3"/>
        <v>A001</v>
      </c>
      <c r="D8" s="19" t="str">
        <f t="array" ref="D8">XLOOKUP(A8,Data!F:F,Data!C:C)</f>
        <v/>
      </c>
      <c r="E8" s="19" t="str">
        <f t="array" ref="E8">XLOOKUP(A8,Data!F:F,Data!H:H)</f>
        <v>BW</v>
      </c>
      <c r="F8" s="106" t="str">
        <f>SUMIFS(Data!J:J,Data!F:F,A8)</f>
        <v>1</v>
      </c>
      <c r="G8" s="106" t="str">
        <f>SUMIFS(Cast!C:C,CastElements,A8)</f>
        <v>0</v>
      </c>
      <c r="H8" s="106" t="str">
        <f t="shared" si="4"/>
        <v>1</v>
      </c>
      <c r="I8" s="106" t="str">
        <f>SUMIFS(Del!C:C,Del!B:B,A8)</f>
        <v>0</v>
      </c>
      <c r="J8" s="106" t="str">
        <f t="shared" si="5"/>
        <v>1</v>
      </c>
      <c r="K8" s="106" t="str">
        <f t="shared" si="6"/>
        <v>0</v>
      </c>
      <c r="L8" s="106"/>
      <c r="M8" s="106" t="str">
        <f>SUMIFS(Ere!C:C,Ere!B:B,A8)</f>
        <v>0</v>
      </c>
      <c r="N8" s="106" t="str">
        <f t="shared" si="7"/>
        <v>1</v>
      </c>
      <c r="O8" s="107" t="str">
        <f t="array" ref="O8">XLOOKUP(A8,Data!F:F,Data!O:O)</f>
        <v>  2.77 </v>
      </c>
      <c r="P8" s="107" t="str">
        <f t="shared" si="8"/>
        <v>  6.93 </v>
      </c>
      <c r="Q8" s="27"/>
    </row>
    <row r="9">
      <c r="A9" s="105" t="s">
        <v>253</v>
      </c>
      <c r="B9" s="19" t="str">
        <f t="array" ref="B9">XLOOKUP(A9,Data!F:F,Data!G:G)</f>
        <v>A1A</v>
      </c>
      <c r="C9" s="19" t="str">
        <f t="shared" si="3"/>
        <v>A001</v>
      </c>
      <c r="D9" s="19" t="str">
        <f t="array" ref="D9">XLOOKUP(A9,Data!F:F,Data!C:C)</f>
        <v/>
      </c>
      <c r="E9" s="19" t="str">
        <f t="array" ref="E9">XLOOKUP(A9,Data!F:F,Data!H:H)</f>
        <v>BW</v>
      </c>
      <c r="F9" s="106" t="str">
        <f>SUMIFS(Data!J:J,Data!F:F,A9)</f>
        <v>1</v>
      </c>
      <c r="G9" s="106" t="str">
        <f>SUMIFS(Cast!C:C,CastElements,A9)</f>
        <v>0</v>
      </c>
      <c r="H9" s="106" t="str">
        <f t="shared" si="4"/>
        <v>1</v>
      </c>
      <c r="I9" s="106" t="str">
        <f>SUMIFS(Del!C:C,Del!B:B,A9)</f>
        <v>0</v>
      </c>
      <c r="J9" s="106" t="str">
        <f t="shared" si="5"/>
        <v>1</v>
      </c>
      <c r="K9" s="106" t="str">
        <f t="shared" si="6"/>
        <v>0</v>
      </c>
      <c r="L9" s="106"/>
      <c r="M9" s="106" t="str">
        <f>SUMIFS(Ere!C:C,Ere!B:B,A9)</f>
        <v>0</v>
      </c>
      <c r="N9" s="106" t="str">
        <f t="shared" si="7"/>
        <v>1</v>
      </c>
      <c r="O9" s="107" t="str">
        <f t="array" ref="O9">XLOOKUP(A9,Data!F:F,Data!O:O)</f>
        <v>  3.27 </v>
      </c>
      <c r="P9" s="107" t="str">
        <f t="shared" si="8"/>
        <v>  8.17 </v>
      </c>
      <c r="Q9" s="27"/>
    </row>
    <row r="10">
      <c r="A10" s="105" t="s">
        <v>254</v>
      </c>
      <c r="B10" s="19" t="str">
        <f t="array" ref="B10">XLOOKUP(A10,Data!F:F,Data!G:G)</f>
        <v>A1A</v>
      </c>
      <c r="C10" s="19" t="str">
        <f t="shared" si="3"/>
        <v>A001</v>
      </c>
      <c r="D10" s="19" t="str">
        <f t="array" ref="D10">XLOOKUP(A10,Data!F:F,Data!C:C)</f>
        <v/>
      </c>
      <c r="E10" s="19" t="str">
        <f t="array" ref="E10">XLOOKUP(A10,Data!F:F,Data!H:H)</f>
        <v>BW</v>
      </c>
      <c r="F10" s="106" t="str">
        <f>SUMIFS(Data!J:J,Data!F:F,A10)</f>
        <v>1</v>
      </c>
      <c r="G10" s="106" t="str">
        <f>SUMIFS(Cast!C:C,CastElements,A10)</f>
        <v>1</v>
      </c>
      <c r="H10" s="106" t="str">
        <f t="shared" si="4"/>
        <v>0</v>
      </c>
      <c r="I10" s="106" t="str">
        <f>SUMIFS(Del!C:C,Del!B:B,A10)</f>
        <v>0</v>
      </c>
      <c r="J10" s="106" t="str">
        <f t="shared" si="5"/>
        <v>1</v>
      </c>
      <c r="K10" s="106" t="str">
        <f t="shared" si="6"/>
        <v>1</v>
      </c>
      <c r="L10" s="106"/>
      <c r="M10" s="106" t="str">
        <f>SUMIFS(Ere!C:C,Ere!B:B,A10)</f>
        <v>0</v>
      </c>
      <c r="N10" s="106" t="str">
        <f t="shared" si="7"/>
        <v>1</v>
      </c>
      <c r="O10" s="107" t="str">
        <f t="array" ref="O10">XLOOKUP(A10,Data!F:F,Data!O:O)</f>
        <v>  2.20 </v>
      </c>
      <c r="P10" s="107" t="str">
        <f t="shared" si="8"/>
        <v>  5.51 </v>
      </c>
      <c r="Q10" s="27"/>
    </row>
    <row r="11">
      <c r="A11" s="105" t="s">
        <v>255</v>
      </c>
      <c r="B11" s="19" t="str">
        <f t="array" ref="B11">XLOOKUP(A11,Data!F:F,Data!G:G)</f>
        <v>A1A</v>
      </c>
      <c r="C11" s="19" t="str">
        <f t="shared" si="3"/>
        <v>A001</v>
      </c>
      <c r="D11" s="19" t="str">
        <f t="array" ref="D11">XLOOKUP(A11,Data!F:F,Data!C:C)</f>
        <v/>
      </c>
      <c r="E11" s="19" t="str">
        <f t="array" ref="E11">XLOOKUP(A11,Data!F:F,Data!H:H)</f>
        <v>BW</v>
      </c>
      <c r="F11" s="106" t="str">
        <f>SUMIFS(Data!J:J,Data!F:F,A11)</f>
        <v>1</v>
      </c>
      <c r="G11" s="106" t="str">
        <f>SUMIFS(Cast!C:C,CastElements,A11)</f>
        <v>1</v>
      </c>
      <c r="H11" s="106" t="str">
        <f t="shared" si="4"/>
        <v>0</v>
      </c>
      <c r="I11" s="106" t="str">
        <f>SUMIFS(Del!C:C,Del!B:B,A11)</f>
        <v>0</v>
      </c>
      <c r="J11" s="106" t="str">
        <f t="shared" si="5"/>
        <v>1</v>
      </c>
      <c r="K11" s="106" t="str">
        <f t="shared" si="6"/>
        <v>1</v>
      </c>
      <c r="L11" s="106"/>
      <c r="M11" s="106" t="str">
        <f>SUMIFS(Ere!C:C,Ere!B:B,A11)</f>
        <v>0</v>
      </c>
      <c r="N11" s="106" t="str">
        <f t="shared" si="7"/>
        <v>1</v>
      </c>
      <c r="O11" s="107" t="str">
        <f t="array" ref="O11">XLOOKUP(A11,Data!F:F,Data!O:O)</f>
        <v>  2.21 </v>
      </c>
      <c r="P11" s="107" t="str">
        <f t="shared" si="8"/>
        <v>  5.53 </v>
      </c>
      <c r="Q11" s="27"/>
    </row>
    <row r="12">
      <c r="A12" s="105" t="s">
        <v>256</v>
      </c>
      <c r="B12" s="19" t="str">
        <f t="array" ref="B12">XLOOKUP(A12,Data!F:F,Data!G:G)</f>
        <v>A1A</v>
      </c>
      <c r="C12" s="19" t="str">
        <f t="shared" si="3"/>
        <v>A001</v>
      </c>
      <c r="D12" s="19" t="str">
        <f t="array" ref="D12">XLOOKUP(A12,Data!F:F,Data!C:C)</f>
        <v/>
      </c>
      <c r="E12" s="19" t="str">
        <f t="array" ref="E12">XLOOKUP(A12,Data!F:F,Data!H:H)</f>
        <v>BW</v>
      </c>
      <c r="F12" s="106" t="str">
        <f>SUMIFS(Data!J:J,Data!F:F,A12)</f>
        <v>1</v>
      </c>
      <c r="G12" s="106" t="str">
        <f>SUMIFS(Cast!C:C,CastElements,A12)</f>
        <v>0</v>
      </c>
      <c r="H12" s="106" t="str">
        <f t="shared" si="4"/>
        <v>1</v>
      </c>
      <c r="I12" s="106" t="str">
        <f>SUMIFS(Del!C:C,Del!B:B,A12)</f>
        <v>0</v>
      </c>
      <c r="J12" s="106" t="str">
        <f t="shared" si="5"/>
        <v>1</v>
      </c>
      <c r="K12" s="106" t="str">
        <f t="shared" si="6"/>
        <v>0</v>
      </c>
      <c r="L12" s="106"/>
      <c r="M12" s="106" t="str">
        <f>SUMIFS(Ere!C:C,Ere!B:B,A12)</f>
        <v>0</v>
      </c>
      <c r="N12" s="106" t="str">
        <f t="shared" si="7"/>
        <v>1</v>
      </c>
      <c r="O12" s="107" t="str">
        <f t="array" ref="O12">XLOOKUP(A12,Data!F:F,Data!O:O)</f>
        <v>  2.41 </v>
      </c>
      <c r="P12" s="107" t="str">
        <f t="shared" si="8"/>
        <v>  6.03 </v>
      </c>
      <c r="Q12" s="27"/>
    </row>
    <row r="13">
      <c r="A13" s="105" t="s">
        <v>257</v>
      </c>
      <c r="B13" s="19" t="str">
        <f t="array" ref="B13">XLOOKUP(A13,Data!F:F,Data!G:G)</f>
        <v>A1A</v>
      </c>
      <c r="C13" s="19" t="str">
        <f t="shared" si="3"/>
        <v>A001</v>
      </c>
      <c r="D13" s="19" t="str">
        <f t="array" ref="D13">XLOOKUP(A13,Data!F:F,Data!C:C)</f>
        <v/>
      </c>
      <c r="E13" s="19" t="str">
        <f t="array" ref="E13">XLOOKUP(A13,Data!F:F,Data!H:H)</f>
        <v>BW</v>
      </c>
      <c r="F13" s="106" t="str">
        <f>SUMIFS(Data!J:J,Data!F:F,A13)</f>
        <v>1</v>
      </c>
      <c r="G13" s="106" t="str">
        <f>SUMIFS(Cast!C:C,CastElements,A13)</f>
        <v>1</v>
      </c>
      <c r="H13" s="106" t="str">
        <f t="shared" si="4"/>
        <v>0</v>
      </c>
      <c r="I13" s="106" t="str">
        <f>SUMIFS(Del!C:C,Del!B:B,A13)</f>
        <v>0</v>
      </c>
      <c r="J13" s="106" t="str">
        <f t="shared" si="5"/>
        <v>1</v>
      </c>
      <c r="K13" s="106" t="str">
        <f t="shared" si="6"/>
        <v>1</v>
      </c>
      <c r="L13" s="106"/>
      <c r="M13" s="106" t="str">
        <f>SUMIFS(Ere!C:C,Ere!B:B,A13)</f>
        <v>0</v>
      </c>
      <c r="N13" s="106" t="str">
        <f t="shared" si="7"/>
        <v>1</v>
      </c>
      <c r="O13" s="107" t="str">
        <f t="array" ref="O13">XLOOKUP(A13,Data!F:F,Data!O:O)</f>
        <v>  2.49 </v>
      </c>
      <c r="P13" s="107" t="str">
        <f t="shared" si="8"/>
        <v>  6.21 </v>
      </c>
      <c r="Q13" s="27"/>
    </row>
    <row r="14">
      <c r="A14" s="105" t="s">
        <v>258</v>
      </c>
      <c r="B14" s="19" t="str">
        <f t="array" ref="B14">XLOOKUP(A14,Data!F:F,Data!G:G)</f>
        <v>A1A</v>
      </c>
      <c r="C14" s="19" t="str">
        <f t="shared" si="3"/>
        <v>A001</v>
      </c>
      <c r="D14" s="19" t="str">
        <f t="array" ref="D14">XLOOKUP(A14,Data!F:F,Data!C:C)</f>
        <v/>
      </c>
      <c r="E14" s="19" t="str">
        <f t="array" ref="E14">XLOOKUP(A14,Data!F:F,Data!H:H)</f>
        <v>BW</v>
      </c>
      <c r="F14" s="106" t="str">
        <f>SUMIFS(Data!J:J,Data!F:F,A14)</f>
        <v>1</v>
      </c>
      <c r="G14" s="106" t="str">
        <f>SUMIFS(Cast!C:C,CastElements,A14)</f>
        <v>1</v>
      </c>
      <c r="H14" s="106" t="str">
        <f t="shared" si="4"/>
        <v>0</v>
      </c>
      <c r="I14" s="106" t="str">
        <f>SUMIFS(Del!C:C,Del!B:B,A14)</f>
        <v>0</v>
      </c>
      <c r="J14" s="106" t="str">
        <f t="shared" si="5"/>
        <v>1</v>
      </c>
      <c r="K14" s="106" t="str">
        <f t="shared" si="6"/>
        <v>1</v>
      </c>
      <c r="L14" s="106"/>
      <c r="M14" s="106" t="str">
        <f>SUMIFS(Ere!C:C,Ere!B:B,A14)</f>
        <v>0</v>
      </c>
      <c r="N14" s="106" t="str">
        <f t="shared" si="7"/>
        <v>1</v>
      </c>
      <c r="O14" s="107" t="str">
        <f t="array" ref="O14">XLOOKUP(A14,Data!F:F,Data!O:O)</f>
        <v>  2.33 </v>
      </c>
      <c r="P14" s="107" t="str">
        <f t="shared" si="8"/>
        <v>  5.83 </v>
      </c>
      <c r="Q14" s="27"/>
    </row>
    <row r="15">
      <c r="A15" s="105" t="s">
        <v>259</v>
      </c>
      <c r="B15" s="19" t="str">
        <f t="array" ref="B15">XLOOKUP(A15,Data!F:F,Data!G:G)</f>
        <v>A1A</v>
      </c>
      <c r="C15" s="19" t="str">
        <f t="shared" si="3"/>
        <v>A001</v>
      </c>
      <c r="D15" s="19" t="str">
        <f t="array" ref="D15">XLOOKUP(A15,Data!F:F,Data!C:C)</f>
        <v/>
      </c>
      <c r="E15" s="19" t="str">
        <f t="array" ref="E15">XLOOKUP(A15,Data!F:F,Data!H:H)</f>
        <v>BW</v>
      </c>
      <c r="F15" s="106" t="str">
        <f>SUMIFS(Data!J:J,Data!F:F,A15)</f>
        <v>1</v>
      </c>
      <c r="G15" s="106" t="str">
        <f>SUMIFS(Cast!C:C,CastElements,A15)</f>
        <v>1</v>
      </c>
      <c r="H15" s="106" t="str">
        <f t="shared" si="4"/>
        <v>0</v>
      </c>
      <c r="I15" s="106" t="str">
        <f>SUMIFS(Del!C:C,Del!B:B,A15)</f>
        <v>0</v>
      </c>
      <c r="J15" s="106" t="str">
        <f t="shared" si="5"/>
        <v>1</v>
      </c>
      <c r="K15" s="106" t="str">
        <f t="shared" si="6"/>
        <v>1</v>
      </c>
      <c r="L15" s="106"/>
      <c r="M15" s="106" t="str">
        <f>SUMIFS(Ere!C:C,Ere!B:B,A15)</f>
        <v>0</v>
      </c>
      <c r="N15" s="106" t="str">
        <f t="shared" si="7"/>
        <v>1</v>
      </c>
      <c r="O15" s="107" t="str">
        <f t="array" ref="O15">XLOOKUP(A15,Data!F:F,Data!O:O)</f>
        <v>  2.33 </v>
      </c>
      <c r="P15" s="107" t="str">
        <f t="shared" si="8"/>
        <v>  5.83 </v>
      </c>
      <c r="Q15" s="27"/>
    </row>
    <row r="16">
      <c r="A16" s="105" t="s">
        <v>260</v>
      </c>
      <c r="B16" s="19" t="str">
        <f t="array" ref="B16">XLOOKUP(A16,Data!F:F,Data!G:G)</f>
        <v>A1A</v>
      </c>
      <c r="C16" s="19" t="str">
        <f t="shared" si="3"/>
        <v>A001</v>
      </c>
      <c r="D16" s="19" t="str">
        <f t="array" ref="D16">XLOOKUP(A16,Data!F:F,Data!C:C)</f>
        <v/>
      </c>
      <c r="E16" s="19" t="str">
        <f t="array" ref="E16">XLOOKUP(A16,Data!F:F,Data!H:H)</f>
        <v>BW</v>
      </c>
      <c r="F16" s="106" t="str">
        <f>SUMIFS(Data!J:J,Data!F:F,A16)</f>
        <v>1</v>
      </c>
      <c r="G16" s="106" t="str">
        <f>SUMIFS(Cast!C:C,CastElements,A16)</f>
        <v>1</v>
      </c>
      <c r="H16" s="106" t="str">
        <f t="shared" si="4"/>
        <v>0</v>
      </c>
      <c r="I16" s="106" t="str">
        <f>SUMIFS(Del!C:C,Del!B:B,A16)</f>
        <v>0</v>
      </c>
      <c r="J16" s="106" t="str">
        <f t="shared" si="5"/>
        <v>1</v>
      </c>
      <c r="K16" s="106" t="str">
        <f t="shared" si="6"/>
        <v>1</v>
      </c>
      <c r="L16" s="106"/>
      <c r="M16" s="106" t="str">
        <f>SUMIFS(Ere!C:C,Ere!B:B,A16)</f>
        <v>0</v>
      </c>
      <c r="N16" s="106" t="str">
        <f t="shared" si="7"/>
        <v>1</v>
      </c>
      <c r="O16" s="107" t="str">
        <f t="array" ref="O16">XLOOKUP(A16,Data!F:F,Data!O:O)</f>
        <v>  2.33 </v>
      </c>
      <c r="P16" s="107" t="str">
        <f t="shared" si="8"/>
        <v>  5.83 </v>
      </c>
      <c r="Q16" s="27"/>
    </row>
    <row r="17">
      <c r="A17" s="105" t="s">
        <v>261</v>
      </c>
      <c r="B17" s="19" t="str">
        <f t="array" ref="B17">XLOOKUP(A17,Data!F:F,Data!G:G)</f>
        <v>A1A</v>
      </c>
      <c r="C17" s="19" t="str">
        <f t="shared" si="3"/>
        <v>A001</v>
      </c>
      <c r="D17" s="19" t="str">
        <f t="array" ref="D17">XLOOKUP(A17,Data!F:F,Data!C:C)</f>
        <v/>
      </c>
      <c r="E17" s="19" t="str">
        <f t="array" ref="E17">XLOOKUP(A17,Data!F:F,Data!H:H)</f>
        <v>BW</v>
      </c>
      <c r="F17" s="106" t="str">
        <f>SUMIFS(Data!J:J,Data!F:F,A17)</f>
        <v>1</v>
      </c>
      <c r="G17" s="106" t="str">
        <f>SUMIFS(Cast!C:C,CastElements,A17)</f>
        <v>1</v>
      </c>
      <c r="H17" s="106" t="str">
        <f t="shared" si="4"/>
        <v>0</v>
      </c>
      <c r="I17" s="106" t="str">
        <f>SUMIFS(Del!C:C,Del!B:B,A17)</f>
        <v>0</v>
      </c>
      <c r="J17" s="106" t="str">
        <f t="shared" si="5"/>
        <v>1</v>
      </c>
      <c r="K17" s="106" t="str">
        <f t="shared" si="6"/>
        <v>1</v>
      </c>
      <c r="L17" s="106"/>
      <c r="M17" s="106" t="str">
        <f>SUMIFS(Ere!C:C,Ere!B:B,A17)</f>
        <v>0</v>
      </c>
      <c r="N17" s="106" t="str">
        <f t="shared" si="7"/>
        <v>1</v>
      </c>
      <c r="O17" s="107" t="str">
        <f t="array" ref="O17">XLOOKUP(A17,Data!F:F,Data!O:O)</f>
        <v>  1.99 </v>
      </c>
      <c r="P17" s="107" t="str">
        <f t="shared" si="8"/>
        <v>  4.99 </v>
      </c>
      <c r="Q17" s="27"/>
    </row>
    <row r="18">
      <c r="A18" s="105" t="s">
        <v>262</v>
      </c>
      <c r="B18" s="19" t="str">
        <f t="array" ref="B18">XLOOKUP(A18,Data!F:F,Data!G:G)</f>
        <v>A1A</v>
      </c>
      <c r="C18" s="19" t="str">
        <f t="shared" si="3"/>
        <v>A001</v>
      </c>
      <c r="D18" s="19" t="str">
        <f t="array" ref="D18">XLOOKUP(A18,Data!F:F,Data!C:C)</f>
        <v/>
      </c>
      <c r="E18" s="19" t="str">
        <f t="array" ref="E18">XLOOKUP(A18,Data!F:F,Data!H:H)</f>
        <v>BW</v>
      </c>
      <c r="F18" s="106" t="str">
        <f>SUMIFS(Data!J:J,Data!F:F,A18)</f>
        <v>1</v>
      </c>
      <c r="G18" s="106" t="str">
        <f>SUMIFS(Cast!C:C,CastElements,A18)</f>
        <v>0</v>
      </c>
      <c r="H18" s="106" t="str">
        <f t="shared" si="4"/>
        <v>1</v>
      </c>
      <c r="I18" s="106" t="str">
        <f>SUMIFS(Del!C:C,Del!B:B,A18)</f>
        <v>0</v>
      </c>
      <c r="J18" s="106" t="str">
        <f t="shared" si="5"/>
        <v>1</v>
      </c>
      <c r="K18" s="106" t="str">
        <f t="shared" si="6"/>
        <v>0</v>
      </c>
      <c r="L18" s="106"/>
      <c r="M18" s="106" t="str">
        <f>SUMIFS(Ere!C:C,Ere!B:B,A18)</f>
        <v>0</v>
      </c>
      <c r="N18" s="106" t="str">
        <f t="shared" si="7"/>
        <v>1</v>
      </c>
      <c r="O18" s="107" t="str">
        <f t="array" ref="O18">XLOOKUP(A18,Data!F:F,Data!O:O)</f>
        <v>  0.81 </v>
      </c>
      <c r="P18" s="107" t="str">
        <f t="shared" si="8"/>
        <v>  2.02 </v>
      </c>
      <c r="Q18" s="27"/>
    </row>
    <row r="19">
      <c r="A19" s="105" t="s">
        <v>263</v>
      </c>
      <c r="B19" s="19" t="str">
        <f t="array" ref="B19">XLOOKUP(A19,Data!F:F,Data!G:G)</f>
        <v>A1A</v>
      </c>
      <c r="C19" s="19" t="str">
        <f t="shared" si="3"/>
        <v>A001</v>
      </c>
      <c r="D19" s="19" t="str">
        <f t="array" ref="D19">XLOOKUP(A19,Data!F:F,Data!C:C)</f>
        <v/>
      </c>
      <c r="E19" s="19" t="str">
        <f t="array" ref="E19">XLOOKUP(A19,Data!F:F,Data!H:H)</f>
        <v>BW</v>
      </c>
      <c r="F19" s="106" t="str">
        <f>SUMIFS(Data!J:J,Data!F:F,A19)</f>
        <v>1</v>
      </c>
      <c r="G19" s="106" t="str">
        <f>SUMIFS(Cast!C:C,CastElements,A19)</f>
        <v>0</v>
      </c>
      <c r="H19" s="106" t="str">
        <f t="shared" si="4"/>
        <v>1</v>
      </c>
      <c r="I19" s="106" t="str">
        <f>SUMIFS(Del!C:C,Del!B:B,A19)</f>
        <v>0</v>
      </c>
      <c r="J19" s="106" t="str">
        <f t="shared" si="5"/>
        <v>1</v>
      </c>
      <c r="K19" s="106" t="str">
        <f t="shared" si="6"/>
        <v>0</v>
      </c>
      <c r="L19" s="106"/>
      <c r="M19" s="106" t="str">
        <f>SUMIFS(Ere!C:C,Ere!B:B,A19)</f>
        <v>0</v>
      </c>
      <c r="N19" s="106" t="str">
        <f t="shared" si="7"/>
        <v>1</v>
      </c>
      <c r="O19" s="107" t="str">
        <f t="array" ref="O19">XLOOKUP(A19,Data!F:F,Data!O:O)</f>
        <v>  0.99 </v>
      </c>
      <c r="P19" s="107" t="str">
        <f t="shared" si="8"/>
        <v>  2.48 </v>
      </c>
      <c r="Q19" s="27"/>
      <c r="R19" s="27"/>
      <c r="S19" s="27"/>
      <c r="T19" s="27"/>
      <c r="U19" s="27"/>
      <c r="V19" s="27"/>
      <c r="W19" s="27"/>
      <c r="X19" s="27"/>
      <c r="Y19" s="27"/>
    </row>
    <row r="20">
      <c r="A20" s="105" t="s">
        <v>264</v>
      </c>
      <c r="B20" s="19" t="str">
        <f t="array" ref="B20">XLOOKUP(A20,Data!F:F,Data!G:G)</f>
        <v>A1A</v>
      </c>
      <c r="C20" s="19" t="str">
        <f t="shared" si="3"/>
        <v>A001</v>
      </c>
      <c r="D20" s="19" t="str">
        <f t="array" ref="D20">XLOOKUP(A20,Data!F:F,Data!C:C)</f>
        <v/>
      </c>
      <c r="E20" s="19" t="str">
        <f t="array" ref="E20">XLOOKUP(A20,Data!F:F,Data!H:H)</f>
        <v>BW</v>
      </c>
      <c r="F20" s="106" t="str">
        <f>SUMIFS(Data!J:J,Data!F:F,A20)</f>
        <v>1</v>
      </c>
      <c r="G20" s="106" t="str">
        <f>SUMIFS(Cast!C:C,CastElements,A20)</f>
        <v>1</v>
      </c>
      <c r="H20" s="106" t="str">
        <f t="shared" si="4"/>
        <v>0</v>
      </c>
      <c r="I20" s="106" t="str">
        <f>SUMIFS(Del!C:C,Del!B:B,A20)</f>
        <v>0</v>
      </c>
      <c r="J20" s="106" t="str">
        <f t="shared" si="5"/>
        <v>1</v>
      </c>
      <c r="K20" s="106" t="str">
        <f t="shared" si="6"/>
        <v>1</v>
      </c>
      <c r="L20" s="106"/>
      <c r="M20" s="106" t="str">
        <f>SUMIFS(Ere!C:C,Ere!B:B,A20)</f>
        <v>0</v>
      </c>
      <c r="N20" s="106" t="str">
        <f t="shared" si="7"/>
        <v>1</v>
      </c>
      <c r="O20" s="107" t="str">
        <f t="array" ref="O20">XLOOKUP(A20,Data!F:F,Data!O:O)</f>
        <v>  0.46 </v>
      </c>
      <c r="P20" s="107" t="str">
        <f t="shared" si="8"/>
        <v>  1.15 </v>
      </c>
      <c r="Q20" s="27"/>
      <c r="R20" s="27"/>
      <c r="S20" s="27"/>
      <c r="T20" s="27"/>
      <c r="U20" s="27"/>
      <c r="V20" s="27"/>
      <c r="W20" s="27"/>
      <c r="X20" s="27"/>
      <c r="Y20" s="27"/>
    </row>
    <row r="21" ht="15.75" customHeight="1">
      <c r="A21" s="105" t="s">
        <v>265</v>
      </c>
      <c r="B21" s="19" t="str">
        <f t="array" ref="B21">XLOOKUP(A21,Data!F:F,Data!G:G)</f>
        <v>A1A</v>
      </c>
      <c r="C21" s="19" t="str">
        <f t="shared" si="3"/>
        <v>A001</v>
      </c>
      <c r="D21" s="19" t="str">
        <f t="array" ref="D21">XLOOKUP(A21,Data!F:F,Data!C:C)</f>
        <v/>
      </c>
      <c r="E21" s="19" t="str">
        <f t="array" ref="E21">XLOOKUP(A21,Data!F:F,Data!H:H)</f>
        <v>BW</v>
      </c>
      <c r="F21" s="106" t="str">
        <f>SUMIFS(Data!J:J,Data!F:F,A21)</f>
        <v>1</v>
      </c>
      <c r="G21" s="106" t="str">
        <f>SUMIFS(Cast!C:C,CastElements,A21)</f>
        <v>1</v>
      </c>
      <c r="H21" s="106" t="str">
        <f t="shared" si="4"/>
        <v>0</v>
      </c>
      <c r="I21" s="106" t="str">
        <f>SUMIFS(Del!C:C,Del!B:B,A21)</f>
        <v>0</v>
      </c>
      <c r="J21" s="106" t="str">
        <f t="shared" si="5"/>
        <v>1</v>
      </c>
      <c r="K21" s="106" t="str">
        <f t="shared" si="6"/>
        <v>1</v>
      </c>
      <c r="L21" s="106"/>
      <c r="M21" s="106" t="str">
        <f>SUMIFS(Ere!C:C,Ere!B:B,A21)</f>
        <v>0</v>
      </c>
      <c r="N21" s="106" t="str">
        <f t="shared" si="7"/>
        <v>1</v>
      </c>
      <c r="O21" s="107" t="str">
        <f t="array" ref="O21">XLOOKUP(A21,Data!F:F,Data!O:O)</f>
        <v>  0.93 </v>
      </c>
      <c r="P21" s="107" t="str">
        <f t="shared" si="8"/>
        <v>  2.33 </v>
      </c>
      <c r="Q21" s="27"/>
      <c r="R21" s="27"/>
      <c r="S21" s="27"/>
      <c r="T21" s="27"/>
      <c r="U21" s="27"/>
      <c r="V21" s="27"/>
      <c r="W21" s="27"/>
      <c r="X21" s="27"/>
      <c r="Y21" s="27"/>
    </row>
    <row r="22" ht="15.75" customHeight="1">
      <c r="A22" s="105" t="s">
        <v>266</v>
      </c>
      <c r="B22" s="19" t="str">
        <f t="array" ref="B22">XLOOKUP(A22,Data!F:F,Data!G:G)</f>
        <v>A1A</v>
      </c>
      <c r="C22" s="19" t="str">
        <f t="shared" si="3"/>
        <v>A001</v>
      </c>
      <c r="D22" s="19" t="str">
        <f t="array" ref="D22">XLOOKUP(A22,Data!F:F,Data!C:C)</f>
        <v/>
      </c>
      <c r="E22" s="19" t="str">
        <f t="array" ref="E22">XLOOKUP(A22,Data!F:F,Data!H:H)</f>
        <v>CF</v>
      </c>
      <c r="F22" s="106" t="str">
        <f>SUMIFS(Data!J:J,Data!F:F,A22)</f>
        <v>1</v>
      </c>
      <c r="G22" s="106" t="str">
        <f>SUMIFS(Cast!C:C,CastElements,A22)</f>
        <v>0</v>
      </c>
      <c r="H22" s="106" t="str">
        <f t="shared" si="4"/>
        <v>1</v>
      </c>
      <c r="I22" s="106" t="str">
        <f>SUMIFS(Del!C:C,Del!B:B,A22)</f>
        <v>0</v>
      </c>
      <c r="J22" s="106" t="str">
        <f t="shared" si="5"/>
        <v>1</v>
      </c>
      <c r="K22" s="106" t="str">
        <f t="shared" si="6"/>
        <v>0</v>
      </c>
      <c r="L22" s="106"/>
      <c r="M22" s="106" t="str">
        <f>SUMIFS(Ere!C:C,Ere!B:B,A22)</f>
        <v>0</v>
      </c>
      <c r="N22" s="106" t="str">
        <f t="shared" si="7"/>
        <v>1</v>
      </c>
      <c r="O22" s="107" t="str">
        <f t="array" ref="O22">XLOOKUP(A22,Data!F:F,Data!O:O)</f>
        <v>  0.54 </v>
      </c>
      <c r="P22" s="107" t="str">
        <f t="shared" si="8"/>
        <v>  1.34 </v>
      </c>
      <c r="Q22" s="27"/>
      <c r="R22" s="27"/>
      <c r="S22" s="27"/>
      <c r="T22" s="27"/>
      <c r="U22" s="27"/>
      <c r="V22" s="27"/>
      <c r="W22" s="27"/>
      <c r="X22" s="27"/>
      <c r="Y22" s="27"/>
    </row>
    <row r="23" ht="15.75" customHeight="1">
      <c r="A23" s="105" t="s">
        <v>267</v>
      </c>
      <c r="B23" s="19" t="str">
        <f t="array" ref="B23">XLOOKUP(A23,Data!F:F,Data!G:G)</f>
        <v>A1A</v>
      </c>
      <c r="C23" s="19" t="str">
        <f t="shared" si="3"/>
        <v>A002</v>
      </c>
      <c r="D23" s="19" t="str">
        <f t="array" ref="D23">XLOOKUP(A23,Data!F:F,Data!C:C)</f>
        <v>EXT</v>
      </c>
      <c r="E23" s="19" t="str">
        <f t="array" ref="E23">XLOOKUP(A23,Data!F:F,Data!H:H)</f>
        <v>BW</v>
      </c>
      <c r="F23" s="106" t="str">
        <f>SUMIFS(Data!J:J,Data!F:F,A23)</f>
        <v>1</v>
      </c>
      <c r="G23" s="106" t="str">
        <f>SUMIFS(Cast!C:C,CastElements,A23)</f>
        <v>0</v>
      </c>
      <c r="H23" s="106" t="str">
        <f t="shared" si="4"/>
        <v>1</v>
      </c>
      <c r="I23" s="106" t="str">
        <f>SUMIFS(Del!C:C,Del!B:B,A23)</f>
        <v>0</v>
      </c>
      <c r="J23" s="106" t="str">
        <f t="shared" si="5"/>
        <v>1</v>
      </c>
      <c r="K23" s="106" t="str">
        <f t="shared" si="6"/>
        <v>0</v>
      </c>
      <c r="L23" s="106"/>
      <c r="M23" s="106" t="str">
        <f>SUMIFS(Ere!C:C,Ere!B:B,A23)</f>
        <v>0</v>
      </c>
      <c r="N23" s="106" t="str">
        <f t="shared" si="7"/>
        <v>1</v>
      </c>
      <c r="O23" s="107" t="str">
        <f t="array" ref="O23">XLOOKUP(A23,Data!F:F,Data!O:O)</f>
        <v>  1.03 </v>
      </c>
      <c r="P23" s="107" t="str">
        <f t="shared" si="8"/>
        <v>  2.58 </v>
      </c>
      <c r="Q23" s="27"/>
      <c r="R23" s="27"/>
      <c r="S23" s="27"/>
      <c r="T23" s="27"/>
      <c r="U23" s="27"/>
      <c r="V23" s="27"/>
      <c r="W23" s="27"/>
      <c r="X23" s="27"/>
      <c r="Y23" s="27"/>
    </row>
    <row r="24" ht="15.75" customHeight="1">
      <c r="A24" s="105" t="s">
        <v>268</v>
      </c>
      <c r="B24" s="19" t="str">
        <f t="array" ref="B24">XLOOKUP(A24,Data!F:F,Data!G:G)</f>
        <v>A1A</v>
      </c>
      <c r="C24" s="19" t="str">
        <f t="shared" si="3"/>
        <v>A002</v>
      </c>
      <c r="D24" s="19" t="str">
        <f t="array" ref="D24">XLOOKUP(A24,Data!F:F,Data!C:C)</f>
        <v>EXT</v>
      </c>
      <c r="E24" s="19" t="str">
        <f t="array" ref="E24">XLOOKUP(A24,Data!F:F,Data!H:H)</f>
        <v>BW</v>
      </c>
      <c r="F24" s="106" t="str">
        <f>SUMIFS(Data!J:J,Data!F:F,A24)</f>
        <v>1</v>
      </c>
      <c r="G24" s="106" t="str">
        <f>SUMIFS(Cast!C:C,CastElements,A24)</f>
        <v>0</v>
      </c>
      <c r="H24" s="106" t="str">
        <f t="shared" si="4"/>
        <v>1</v>
      </c>
      <c r="I24" s="106" t="str">
        <f>SUMIFS(Del!C:C,Del!B:B,A24)</f>
        <v>0</v>
      </c>
      <c r="J24" s="106" t="str">
        <f t="shared" si="5"/>
        <v>1</v>
      </c>
      <c r="K24" s="106" t="str">
        <f t="shared" si="6"/>
        <v>0</v>
      </c>
      <c r="L24" s="106"/>
      <c r="M24" s="106" t="str">
        <f>SUMIFS(Ere!C:C,Ere!B:B,A24)</f>
        <v>0</v>
      </c>
      <c r="N24" s="106" t="str">
        <f t="shared" si="7"/>
        <v>1</v>
      </c>
      <c r="O24" s="107" t="str">
        <f t="array" ref="O24">XLOOKUP(A24,Data!F:F,Data!O:O)</f>
        <v>  1.12 </v>
      </c>
      <c r="P24" s="107" t="str">
        <f t="shared" si="8"/>
        <v>  2.80 </v>
      </c>
      <c r="Q24" s="27"/>
      <c r="R24" s="27"/>
      <c r="S24" s="27"/>
      <c r="T24" s="27"/>
      <c r="U24" s="27"/>
      <c r="V24" s="27"/>
      <c r="W24" s="27"/>
      <c r="X24" s="27"/>
      <c r="Y24" s="27"/>
    </row>
    <row r="25" ht="15.75" customHeight="1">
      <c r="A25" s="105" t="s">
        <v>269</v>
      </c>
      <c r="B25" s="19" t="str">
        <f t="array" ref="B25">XLOOKUP(A25,Data!F:F,Data!G:G)</f>
        <v>A1A</v>
      </c>
      <c r="C25" s="19" t="str">
        <f t="shared" si="3"/>
        <v>A002</v>
      </c>
      <c r="D25" s="19" t="str">
        <f t="array" ref="D25">XLOOKUP(A25,Data!F:F,Data!C:C)</f>
        <v>EXT</v>
      </c>
      <c r="E25" s="19" t="str">
        <f t="array" ref="E25">XLOOKUP(A25,Data!F:F,Data!H:H)</f>
        <v>BW</v>
      </c>
      <c r="F25" s="106" t="str">
        <f>SUMIFS(Data!J:J,Data!F:F,A25)</f>
        <v>1</v>
      </c>
      <c r="G25" s="106" t="str">
        <f>SUMIFS(Cast!C:C,CastElements,A25)</f>
        <v>1</v>
      </c>
      <c r="H25" s="106" t="str">
        <f t="shared" si="4"/>
        <v>0</v>
      </c>
      <c r="I25" s="106" t="str">
        <f>SUMIFS(Del!C:C,Del!B:B,A25)</f>
        <v>0</v>
      </c>
      <c r="J25" s="106" t="str">
        <f t="shared" si="5"/>
        <v>1</v>
      </c>
      <c r="K25" s="106" t="str">
        <f t="shared" si="6"/>
        <v>1</v>
      </c>
      <c r="L25" s="106"/>
      <c r="M25" s="106" t="str">
        <f>SUMIFS(Ere!C:C,Ere!B:B,A25)</f>
        <v>0</v>
      </c>
      <c r="N25" s="106" t="str">
        <f t="shared" si="7"/>
        <v>1</v>
      </c>
      <c r="O25" s="107" t="str">
        <f t="array" ref="O25">XLOOKUP(A25,Data!F:F,Data!O:O)</f>
        <v>  0.95 </v>
      </c>
      <c r="P25" s="107" t="str">
        <f t="shared" si="8"/>
        <v>  2.38 </v>
      </c>
      <c r="Q25" s="27"/>
      <c r="R25" s="27"/>
      <c r="S25" s="27"/>
      <c r="T25" s="27"/>
      <c r="U25" s="27"/>
      <c r="V25" s="27"/>
      <c r="W25" s="27"/>
      <c r="X25" s="27"/>
      <c r="Y25" s="27"/>
    </row>
    <row r="26" ht="15.75" customHeight="1">
      <c r="A26" s="105" t="s">
        <v>270</v>
      </c>
      <c r="B26" s="19" t="str">
        <f t="array" ref="B26">XLOOKUP(A26,Data!F:F,Data!G:G)</f>
        <v>A1A</v>
      </c>
      <c r="C26" s="19" t="str">
        <f t="shared" si="3"/>
        <v>A002</v>
      </c>
      <c r="D26" s="19" t="str">
        <f t="array" ref="D26">XLOOKUP(A26,Data!F:F,Data!C:C)</f>
        <v/>
      </c>
      <c r="E26" s="19" t="str">
        <f t="array" ref="E26">XLOOKUP(A26,Data!F:F,Data!H:H)</f>
        <v>BW</v>
      </c>
      <c r="F26" s="106" t="str">
        <f>SUMIFS(Data!J:J,Data!F:F,A26)</f>
        <v>1</v>
      </c>
      <c r="G26" s="106" t="str">
        <f>SUMIFS(Cast!C:C,CastElements,A26)</f>
        <v>0</v>
      </c>
      <c r="H26" s="106" t="str">
        <f t="shared" si="4"/>
        <v>1</v>
      </c>
      <c r="I26" s="106" t="str">
        <f>SUMIFS(Del!C:C,Del!B:B,A26)</f>
        <v>0</v>
      </c>
      <c r="J26" s="106" t="str">
        <f t="shared" si="5"/>
        <v>1</v>
      </c>
      <c r="K26" s="106" t="str">
        <f t="shared" si="6"/>
        <v>0</v>
      </c>
      <c r="L26" s="106"/>
      <c r="M26" s="106" t="str">
        <f>SUMIFS(Ere!C:C,Ere!B:B,A26)</f>
        <v>0</v>
      </c>
      <c r="N26" s="106" t="str">
        <f t="shared" si="7"/>
        <v>1</v>
      </c>
      <c r="O26" s="107" t="str">
        <f t="array" ref="O26">XLOOKUP(A26,Data!F:F,Data!O:O)</f>
        <v>  1.92 </v>
      </c>
      <c r="P26" s="107" t="str">
        <f t="shared" si="8"/>
        <v>  4.81 </v>
      </c>
      <c r="Q26" s="27"/>
      <c r="R26" s="27"/>
      <c r="S26" s="27"/>
      <c r="T26" s="27"/>
      <c r="U26" s="27"/>
      <c r="V26" s="27"/>
      <c r="W26" s="27"/>
      <c r="X26" s="27"/>
      <c r="Y26" s="27"/>
    </row>
    <row r="27" ht="15.75" customHeight="1">
      <c r="A27" s="105" t="s">
        <v>271</v>
      </c>
      <c r="B27" s="19" t="str">
        <f t="array" ref="B27">XLOOKUP(A27,Data!F:F,Data!G:G)</f>
        <v>A1A</v>
      </c>
      <c r="C27" s="19" t="str">
        <f t="shared" si="3"/>
        <v>A002</v>
      </c>
      <c r="D27" s="19" t="str">
        <f t="array" ref="D27">XLOOKUP(A27,Data!F:F,Data!C:C)</f>
        <v/>
      </c>
      <c r="E27" s="19" t="str">
        <f t="array" ref="E27">XLOOKUP(A27,Data!F:F,Data!H:H)</f>
        <v>BW</v>
      </c>
      <c r="F27" s="106" t="str">
        <f>SUMIFS(Data!J:J,Data!F:F,A27)</f>
        <v>1</v>
      </c>
      <c r="G27" s="106" t="str">
        <f>SUMIFS(Cast!C:C,CastElements,A27)</f>
        <v>1</v>
      </c>
      <c r="H27" s="106" t="str">
        <f t="shared" si="4"/>
        <v>0</v>
      </c>
      <c r="I27" s="106" t="str">
        <f>SUMIFS(Del!C:C,Del!B:B,A27)</f>
        <v>0</v>
      </c>
      <c r="J27" s="106" t="str">
        <f t="shared" si="5"/>
        <v>1</v>
      </c>
      <c r="K27" s="106" t="str">
        <f t="shared" si="6"/>
        <v>1</v>
      </c>
      <c r="L27" s="106"/>
      <c r="M27" s="106" t="str">
        <f>SUMIFS(Ere!C:C,Ere!B:B,A27)</f>
        <v>0</v>
      </c>
      <c r="N27" s="106" t="str">
        <f t="shared" si="7"/>
        <v>1</v>
      </c>
      <c r="O27" s="107" t="str">
        <f t="array" ref="O27">XLOOKUP(A27,Data!F:F,Data!O:O)</f>
        <v>  1.98 </v>
      </c>
      <c r="P27" s="107" t="str">
        <f t="shared" si="8"/>
        <v>  4.96 </v>
      </c>
      <c r="Q27" s="27"/>
      <c r="R27" s="27"/>
      <c r="S27" s="27"/>
      <c r="T27" s="27"/>
      <c r="U27" s="27"/>
      <c r="V27" s="27"/>
      <c r="W27" s="27"/>
      <c r="X27" s="27"/>
      <c r="Y27" s="27"/>
    </row>
    <row r="28" ht="15.75" customHeight="1">
      <c r="A28" s="105" t="s">
        <v>272</v>
      </c>
      <c r="B28" s="19" t="str">
        <f t="array" ref="B28">XLOOKUP(A28,Data!F:F,Data!G:G)</f>
        <v>A1A</v>
      </c>
      <c r="C28" s="19" t="str">
        <f t="shared" si="3"/>
        <v>A002</v>
      </c>
      <c r="D28" s="19" t="str">
        <f t="array" ref="D28">XLOOKUP(A28,Data!F:F,Data!C:C)</f>
        <v/>
      </c>
      <c r="E28" s="19" t="str">
        <f t="array" ref="E28">XLOOKUP(A28,Data!F:F,Data!H:H)</f>
        <v>BW</v>
      </c>
      <c r="F28" s="106" t="str">
        <f>SUMIFS(Data!J:J,Data!F:F,A28)</f>
        <v>1</v>
      </c>
      <c r="G28" s="106" t="str">
        <f>SUMIFS(Cast!C:C,CastElements,A28)</f>
        <v>1</v>
      </c>
      <c r="H28" s="106" t="str">
        <f t="shared" si="4"/>
        <v>0</v>
      </c>
      <c r="I28" s="106" t="str">
        <f>SUMIFS(Del!C:C,Del!B:B,A28)</f>
        <v>0</v>
      </c>
      <c r="J28" s="106" t="str">
        <f t="shared" si="5"/>
        <v>1</v>
      </c>
      <c r="K28" s="106" t="str">
        <f t="shared" si="6"/>
        <v>1</v>
      </c>
      <c r="L28" s="106"/>
      <c r="M28" s="106" t="str">
        <f>SUMIFS(Ere!C:C,Ere!B:B,A28)</f>
        <v>0</v>
      </c>
      <c r="N28" s="106" t="str">
        <f t="shared" si="7"/>
        <v>1</v>
      </c>
      <c r="O28" s="107" t="str">
        <f t="array" ref="O28">XLOOKUP(A28,Data!F:F,Data!O:O)</f>
        <v>  1.98 </v>
      </c>
      <c r="P28" s="107" t="str">
        <f t="shared" si="8"/>
        <v>  4.96 </v>
      </c>
      <c r="Q28" s="27"/>
      <c r="R28" s="27"/>
      <c r="S28" s="27"/>
      <c r="T28" s="27"/>
      <c r="U28" s="27"/>
      <c r="V28" s="27"/>
      <c r="W28" s="27"/>
      <c r="X28" s="27"/>
      <c r="Y28" s="27"/>
    </row>
    <row r="29" ht="15.75" customHeight="1">
      <c r="A29" s="105" t="s">
        <v>273</v>
      </c>
      <c r="B29" s="19" t="str">
        <f t="array" ref="B29">XLOOKUP(A29,Data!F:F,Data!G:G)</f>
        <v>A1A</v>
      </c>
      <c r="C29" s="19" t="str">
        <f t="shared" si="3"/>
        <v>A002</v>
      </c>
      <c r="D29" s="19" t="str">
        <f t="array" ref="D29">XLOOKUP(A29,Data!F:F,Data!C:C)</f>
        <v/>
      </c>
      <c r="E29" s="19" t="str">
        <f t="array" ref="E29">XLOOKUP(A29,Data!F:F,Data!H:H)</f>
        <v>BW</v>
      </c>
      <c r="F29" s="106" t="str">
        <f>SUMIFS(Data!J:J,Data!F:F,A29)</f>
        <v>1</v>
      </c>
      <c r="G29" s="106" t="str">
        <f>SUMIFS(Cast!C:C,CastElements,A29)</f>
        <v>1</v>
      </c>
      <c r="H29" s="106" t="str">
        <f t="shared" si="4"/>
        <v>0</v>
      </c>
      <c r="I29" s="106" t="str">
        <f>SUMIFS(Del!C:C,Del!B:B,A29)</f>
        <v>0</v>
      </c>
      <c r="J29" s="106" t="str">
        <f t="shared" si="5"/>
        <v>1</v>
      </c>
      <c r="K29" s="106" t="str">
        <f t="shared" si="6"/>
        <v>1</v>
      </c>
      <c r="L29" s="106"/>
      <c r="M29" s="106" t="str">
        <f>SUMIFS(Ere!C:C,Ere!B:B,A29)</f>
        <v>0</v>
      </c>
      <c r="N29" s="106" t="str">
        <f t="shared" si="7"/>
        <v>1</v>
      </c>
      <c r="O29" s="107" t="str">
        <f t="array" ref="O29">XLOOKUP(A29,Data!F:F,Data!O:O)</f>
        <v>  1.98 </v>
      </c>
      <c r="P29" s="107" t="str">
        <f t="shared" si="8"/>
        <v>  4.96 </v>
      </c>
      <c r="Q29" s="27"/>
      <c r="R29" s="27"/>
      <c r="S29" s="27"/>
      <c r="T29" s="27"/>
      <c r="U29" s="27"/>
      <c r="V29" s="27"/>
      <c r="W29" s="27"/>
      <c r="X29" s="27"/>
      <c r="Y29" s="27"/>
    </row>
    <row r="30" ht="15.75" customHeight="1">
      <c r="A30" s="105" t="s">
        <v>274</v>
      </c>
      <c r="B30" s="19" t="str">
        <f t="array" ref="B30">XLOOKUP(A30,Data!F:F,Data!G:G)</f>
        <v>A1A</v>
      </c>
      <c r="C30" s="19" t="str">
        <f t="shared" si="3"/>
        <v>A002</v>
      </c>
      <c r="D30" s="19" t="str">
        <f t="array" ref="D30">XLOOKUP(A30,Data!F:F,Data!C:C)</f>
        <v/>
      </c>
      <c r="E30" s="19" t="str">
        <f t="array" ref="E30">XLOOKUP(A30,Data!F:F,Data!H:H)</f>
        <v>BW</v>
      </c>
      <c r="F30" s="106" t="str">
        <f>SUMIFS(Data!J:J,Data!F:F,A30)</f>
        <v>1</v>
      </c>
      <c r="G30" s="106" t="str">
        <f>SUMIFS(Cast!C:C,CastElements,A30)</f>
        <v>1</v>
      </c>
      <c r="H30" s="106" t="str">
        <f t="shared" si="4"/>
        <v>0</v>
      </c>
      <c r="I30" s="106" t="str">
        <f>SUMIFS(Del!C:C,Del!B:B,A30)</f>
        <v>0</v>
      </c>
      <c r="J30" s="106" t="str">
        <f t="shared" si="5"/>
        <v>1</v>
      </c>
      <c r="K30" s="106" t="str">
        <f t="shared" si="6"/>
        <v>1</v>
      </c>
      <c r="L30" s="106"/>
      <c r="M30" s="106" t="str">
        <f>SUMIFS(Ere!C:C,Ere!B:B,A30)</f>
        <v>0</v>
      </c>
      <c r="N30" s="106" t="str">
        <f t="shared" si="7"/>
        <v>1</v>
      </c>
      <c r="O30" s="107" t="str">
        <f t="array" ref="O30">XLOOKUP(A30,Data!F:F,Data!O:O)</f>
        <v>  1.65 </v>
      </c>
      <c r="P30" s="107" t="str">
        <f t="shared" si="8"/>
        <v>  4.11 </v>
      </c>
      <c r="Q30" s="27"/>
      <c r="R30" s="27"/>
      <c r="S30" s="27"/>
      <c r="T30" s="27"/>
      <c r="U30" s="27"/>
      <c r="V30" s="27"/>
      <c r="W30" s="27"/>
      <c r="X30" s="27"/>
      <c r="Y30" s="27"/>
    </row>
    <row r="31" ht="15.75" customHeight="1">
      <c r="A31" s="105" t="s">
        <v>275</v>
      </c>
      <c r="B31" s="19" t="str">
        <f t="array" ref="B31">XLOOKUP(A31,Data!F:F,Data!G:G)</f>
        <v>A1A</v>
      </c>
      <c r="C31" s="19" t="str">
        <f t="shared" si="3"/>
        <v>A002</v>
      </c>
      <c r="D31" s="19" t="str">
        <f t="array" ref="D31">XLOOKUP(A31,Data!F:F,Data!C:C)</f>
        <v/>
      </c>
      <c r="E31" s="19" t="str">
        <f t="array" ref="E31">XLOOKUP(A31,Data!F:F,Data!H:H)</f>
        <v>BW</v>
      </c>
      <c r="F31" s="106" t="str">
        <f>SUMIFS(Data!J:J,Data!F:F,A31)</f>
        <v>1</v>
      </c>
      <c r="G31" s="106" t="str">
        <f>SUMIFS(Cast!C:C,CastElements,A31)</f>
        <v>1</v>
      </c>
      <c r="H31" s="106" t="str">
        <f t="shared" si="4"/>
        <v>0</v>
      </c>
      <c r="I31" s="106" t="str">
        <f>SUMIFS(Del!C:C,Del!B:B,A31)</f>
        <v>0</v>
      </c>
      <c r="J31" s="106" t="str">
        <f t="shared" si="5"/>
        <v>1</v>
      </c>
      <c r="K31" s="106" t="str">
        <f t="shared" si="6"/>
        <v>1</v>
      </c>
      <c r="L31" s="106"/>
      <c r="M31" s="106" t="str">
        <f>SUMIFS(Ere!C:C,Ere!B:B,A31)</f>
        <v>0</v>
      </c>
      <c r="N31" s="106" t="str">
        <f t="shared" si="7"/>
        <v>1</v>
      </c>
      <c r="O31" s="107" t="str">
        <f t="array" ref="O31">XLOOKUP(A31,Data!F:F,Data!O:O)</f>
        <v>  2.48 </v>
      </c>
      <c r="P31" s="107" t="str">
        <f t="shared" si="8"/>
        <v>  6.21 </v>
      </c>
      <c r="Q31" s="27"/>
      <c r="R31" s="27"/>
      <c r="S31" s="27"/>
      <c r="T31" s="27"/>
      <c r="U31" s="27"/>
      <c r="V31" s="27"/>
      <c r="W31" s="27"/>
      <c r="X31" s="27"/>
      <c r="Y31" s="27"/>
    </row>
    <row r="32" ht="15.75" customHeight="1">
      <c r="A32" s="105" t="s">
        <v>276</v>
      </c>
      <c r="B32" s="19" t="str">
        <f t="array" ref="B32">XLOOKUP(A32,Data!F:F,Data!G:G)</f>
        <v>A1A</v>
      </c>
      <c r="C32" s="19" t="str">
        <f t="shared" si="3"/>
        <v>A002</v>
      </c>
      <c r="D32" s="19" t="str">
        <f t="array" ref="D32">XLOOKUP(A32,Data!F:F,Data!C:C)</f>
        <v/>
      </c>
      <c r="E32" s="19" t="str">
        <f t="array" ref="E32">XLOOKUP(A32,Data!F:F,Data!H:H)</f>
        <v>BW</v>
      </c>
      <c r="F32" s="106" t="str">
        <f>SUMIFS(Data!J:J,Data!F:F,A32)</f>
        <v>1</v>
      </c>
      <c r="G32" s="106" t="str">
        <f>SUMIFS(Cast!C:C,CastElements,A32)</f>
        <v>1</v>
      </c>
      <c r="H32" s="106" t="str">
        <f t="shared" si="4"/>
        <v>0</v>
      </c>
      <c r="I32" s="106" t="str">
        <f>SUMIFS(Del!C:C,Del!B:B,A32)</f>
        <v>0</v>
      </c>
      <c r="J32" s="106" t="str">
        <f t="shared" si="5"/>
        <v>1</v>
      </c>
      <c r="K32" s="106" t="str">
        <f t="shared" si="6"/>
        <v>1</v>
      </c>
      <c r="L32" s="106"/>
      <c r="M32" s="106" t="str">
        <f>SUMIFS(Ere!C:C,Ere!B:B,A32)</f>
        <v>0</v>
      </c>
      <c r="N32" s="106" t="str">
        <f t="shared" si="7"/>
        <v>1</v>
      </c>
      <c r="O32" s="107" t="str">
        <f t="array" ref="O32">XLOOKUP(A32,Data!F:F,Data!O:O)</f>
        <v>  2.33 </v>
      </c>
      <c r="P32" s="107" t="str">
        <f t="shared" si="8"/>
        <v>  5.83 </v>
      </c>
      <c r="Q32" s="27"/>
      <c r="R32" s="27"/>
      <c r="S32" s="27"/>
      <c r="T32" s="27"/>
      <c r="U32" s="27"/>
      <c r="V32" s="27"/>
      <c r="W32" s="27"/>
      <c r="X32" s="27"/>
      <c r="Y32" s="27"/>
    </row>
    <row r="33" ht="15.75" customHeight="1">
      <c r="A33" s="105" t="s">
        <v>277</v>
      </c>
      <c r="B33" s="19" t="str">
        <f t="array" ref="B33">XLOOKUP(A33,Data!F:F,Data!G:G)</f>
        <v>A1A</v>
      </c>
      <c r="C33" s="19" t="str">
        <f t="shared" si="3"/>
        <v>A002</v>
      </c>
      <c r="D33" s="19" t="str">
        <f t="array" ref="D33">XLOOKUP(A33,Data!F:F,Data!C:C)</f>
        <v/>
      </c>
      <c r="E33" s="19" t="str">
        <f t="array" ref="E33">XLOOKUP(A33,Data!F:F,Data!H:H)</f>
        <v>BW</v>
      </c>
      <c r="F33" s="106" t="str">
        <f>SUMIFS(Data!J:J,Data!F:F,A33)</f>
        <v>1</v>
      </c>
      <c r="G33" s="106" t="str">
        <f>SUMIFS(Cast!C:C,CastElements,A33)</f>
        <v>1</v>
      </c>
      <c r="H33" s="106" t="str">
        <f t="shared" si="4"/>
        <v>0</v>
      </c>
      <c r="I33" s="106" t="str">
        <f>SUMIFS(Del!C:C,Del!B:B,A33)</f>
        <v>0</v>
      </c>
      <c r="J33" s="106" t="str">
        <f t="shared" si="5"/>
        <v>1</v>
      </c>
      <c r="K33" s="106" t="str">
        <f t="shared" si="6"/>
        <v>1</v>
      </c>
      <c r="L33" s="106"/>
      <c r="M33" s="106" t="str">
        <f>SUMIFS(Ere!C:C,Ere!B:B,A33)</f>
        <v>0</v>
      </c>
      <c r="N33" s="106" t="str">
        <f t="shared" si="7"/>
        <v>1</v>
      </c>
      <c r="O33" s="107" t="str">
        <f t="array" ref="O33">XLOOKUP(A33,Data!F:F,Data!O:O)</f>
        <v>  2.33 </v>
      </c>
      <c r="P33" s="107" t="str">
        <f t="shared" si="8"/>
        <v>  5.83 </v>
      </c>
      <c r="Q33" s="27"/>
      <c r="R33" s="27"/>
      <c r="S33" s="27"/>
      <c r="T33" s="27"/>
      <c r="U33" s="27"/>
      <c r="V33" s="27"/>
      <c r="W33" s="27"/>
      <c r="X33" s="27"/>
      <c r="Y33" s="27"/>
    </row>
    <row r="34" ht="15.75" customHeight="1">
      <c r="A34" s="105" t="s">
        <v>278</v>
      </c>
      <c r="B34" s="19" t="str">
        <f t="array" ref="B34">XLOOKUP(A34,Data!F:F,Data!G:G)</f>
        <v>A1A</v>
      </c>
      <c r="C34" s="19" t="str">
        <f t="shared" si="3"/>
        <v>A002</v>
      </c>
      <c r="D34" s="19" t="str">
        <f t="array" ref="D34">XLOOKUP(A34,Data!F:F,Data!C:C)</f>
        <v/>
      </c>
      <c r="E34" s="19" t="str">
        <f t="array" ref="E34">XLOOKUP(A34,Data!F:F,Data!H:H)</f>
        <v>BW</v>
      </c>
      <c r="F34" s="106" t="str">
        <f>SUMIFS(Data!J:J,Data!F:F,A34)</f>
        <v>1</v>
      </c>
      <c r="G34" s="106" t="str">
        <f>SUMIFS(Cast!C:C,CastElements,A34)</f>
        <v>1</v>
      </c>
      <c r="H34" s="106" t="str">
        <f t="shared" si="4"/>
        <v>0</v>
      </c>
      <c r="I34" s="106" t="str">
        <f>SUMIFS(Del!C:C,Del!B:B,A34)</f>
        <v>0</v>
      </c>
      <c r="J34" s="106" t="str">
        <f t="shared" si="5"/>
        <v>1</v>
      </c>
      <c r="K34" s="106" t="str">
        <f t="shared" si="6"/>
        <v>1</v>
      </c>
      <c r="L34" s="106"/>
      <c r="M34" s="106" t="str">
        <f>SUMIFS(Ere!C:C,Ere!B:B,A34)</f>
        <v>0</v>
      </c>
      <c r="N34" s="106" t="str">
        <f t="shared" si="7"/>
        <v>1</v>
      </c>
      <c r="O34" s="107" t="str">
        <f t="array" ref="O34">XLOOKUP(A34,Data!F:F,Data!O:O)</f>
        <v>  2.33 </v>
      </c>
      <c r="P34" s="107" t="str">
        <f t="shared" si="8"/>
        <v>  5.83 </v>
      </c>
      <c r="Q34" s="27"/>
      <c r="R34" s="27"/>
      <c r="S34" s="27"/>
      <c r="T34" s="27"/>
      <c r="U34" s="27"/>
      <c r="V34" s="27"/>
      <c r="W34" s="27"/>
      <c r="X34" s="27"/>
      <c r="Y34" s="27"/>
    </row>
    <row r="35" ht="15.75" customHeight="1">
      <c r="A35" s="105" t="s">
        <v>279</v>
      </c>
      <c r="B35" s="19" t="str">
        <f t="array" ref="B35">XLOOKUP(A35,Data!F:F,Data!G:G)</f>
        <v>A1A</v>
      </c>
      <c r="C35" s="19" t="str">
        <f t="shared" si="3"/>
        <v>A002</v>
      </c>
      <c r="D35" s="19" t="str">
        <f t="array" ref="D35">XLOOKUP(A35,Data!F:F,Data!C:C)</f>
        <v/>
      </c>
      <c r="E35" s="19" t="str">
        <f t="array" ref="E35">XLOOKUP(A35,Data!F:F,Data!H:H)</f>
        <v>BW</v>
      </c>
      <c r="F35" s="106" t="str">
        <f>SUMIFS(Data!J:J,Data!F:F,A35)</f>
        <v>1</v>
      </c>
      <c r="G35" s="106" t="str">
        <f>SUMIFS(Cast!C:C,CastElements,A35)</f>
        <v>1</v>
      </c>
      <c r="H35" s="106" t="str">
        <f t="shared" si="4"/>
        <v>0</v>
      </c>
      <c r="I35" s="106" t="str">
        <f>SUMIFS(Del!C:C,Del!B:B,A35)</f>
        <v>0</v>
      </c>
      <c r="J35" s="106" t="str">
        <f t="shared" si="5"/>
        <v>1</v>
      </c>
      <c r="K35" s="106" t="str">
        <f t="shared" si="6"/>
        <v>1</v>
      </c>
      <c r="L35" s="106"/>
      <c r="M35" s="106" t="str">
        <f>SUMIFS(Ere!C:C,Ere!B:B,A35)</f>
        <v>0</v>
      </c>
      <c r="N35" s="106" t="str">
        <f t="shared" si="7"/>
        <v>1</v>
      </c>
      <c r="O35" s="107" t="str">
        <f t="array" ref="O35">XLOOKUP(A35,Data!F:F,Data!O:O)</f>
        <v>  1.99 </v>
      </c>
      <c r="P35" s="107" t="str">
        <f t="shared" si="8"/>
        <v>  4.98 </v>
      </c>
      <c r="Q35" s="27"/>
      <c r="R35" s="27"/>
      <c r="S35" s="27"/>
      <c r="T35" s="27"/>
      <c r="U35" s="27"/>
      <c r="V35" s="27"/>
      <c r="W35" s="27"/>
      <c r="X35" s="27"/>
      <c r="Y35" s="27"/>
    </row>
    <row r="36" ht="15.75" customHeight="1">
      <c r="A36" s="105" t="s">
        <v>280</v>
      </c>
      <c r="B36" s="19" t="str">
        <f t="array" ref="B36">XLOOKUP(A36,Data!F:F,Data!G:G)</f>
        <v>A1A</v>
      </c>
      <c r="C36" s="19" t="str">
        <f t="shared" si="3"/>
        <v>A002</v>
      </c>
      <c r="D36" s="19" t="str">
        <f t="array" ref="D36">XLOOKUP(A36,Data!F:F,Data!C:C)</f>
        <v/>
      </c>
      <c r="E36" s="19" t="str">
        <f t="array" ref="E36">XLOOKUP(A36,Data!F:F,Data!H:H)</f>
        <v>BW</v>
      </c>
      <c r="F36" s="106" t="str">
        <f>SUMIFS(Data!J:J,Data!F:F,A36)</f>
        <v>1</v>
      </c>
      <c r="G36" s="106" t="str">
        <f>SUMIFS(Cast!C:C,CastElements,A36)</f>
        <v>0</v>
      </c>
      <c r="H36" s="106" t="str">
        <f t="shared" si="4"/>
        <v>1</v>
      </c>
      <c r="I36" s="106" t="str">
        <f>SUMIFS(Del!C:C,Del!B:B,A36)</f>
        <v>0</v>
      </c>
      <c r="J36" s="106" t="str">
        <f t="shared" si="5"/>
        <v>1</v>
      </c>
      <c r="K36" s="106" t="str">
        <f t="shared" si="6"/>
        <v>0</v>
      </c>
      <c r="L36" s="106"/>
      <c r="M36" s="106" t="str">
        <f>SUMIFS(Ere!C:C,Ere!B:B,A36)</f>
        <v>0</v>
      </c>
      <c r="N36" s="106" t="str">
        <f t="shared" si="7"/>
        <v>1</v>
      </c>
      <c r="O36" s="107" t="str">
        <f t="array" ref="O36">XLOOKUP(A36,Data!F:F,Data!O:O)</f>
        <v>  0.44 </v>
      </c>
      <c r="P36" s="107" t="str">
        <f t="shared" si="8"/>
        <v>  1.11 </v>
      </c>
      <c r="Q36" s="27"/>
      <c r="R36" s="27"/>
      <c r="S36" s="27"/>
      <c r="T36" s="27"/>
      <c r="U36" s="27"/>
      <c r="V36" s="27"/>
      <c r="W36" s="27"/>
      <c r="X36" s="27"/>
      <c r="Y36" s="27"/>
    </row>
    <row r="37" ht="15.75" customHeight="1">
      <c r="A37" s="105" t="s">
        <v>281</v>
      </c>
      <c r="B37" s="19" t="str">
        <f t="array" ref="B37">XLOOKUP(A37,Data!F:F,Data!G:G)</f>
        <v>A1A</v>
      </c>
      <c r="C37" s="19" t="str">
        <f t="shared" si="3"/>
        <v>A002</v>
      </c>
      <c r="D37" s="19" t="str">
        <f t="array" ref="D37">XLOOKUP(A37,Data!F:F,Data!C:C)</f>
        <v/>
      </c>
      <c r="E37" s="19" t="str">
        <f t="array" ref="E37">XLOOKUP(A37,Data!F:F,Data!H:H)</f>
        <v>BW</v>
      </c>
      <c r="F37" s="106" t="str">
        <f>SUMIFS(Data!J:J,Data!F:F,A37)</f>
        <v>1</v>
      </c>
      <c r="G37" s="106" t="str">
        <f>SUMIFS(Cast!C:C,CastElements,A37)</f>
        <v>1</v>
      </c>
      <c r="H37" s="106" t="str">
        <f t="shared" si="4"/>
        <v>0</v>
      </c>
      <c r="I37" s="106" t="str">
        <f>SUMIFS(Del!C:C,Del!B:B,A37)</f>
        <v>0</v>
      </c>
      <c r="J37" s="106" t="str">
        <f t="shared" si="5"/>
        <v>1</v>
      </c>
      <c r="K37" s="106" t="str">
        <f t="shared" si="6"/>
        <v>1</v>
      </c>
      <c r="L37" s="106"/>
      <c r="M37" s="106" t="str">
        <f>SUMIFS(Ere!C:C,Ere!B:B,A37)</f>
        <v>0</v>
      </c>
      <c r="N37" s="106" t="str">
        <f t="shared" si="7"/>
        <v>1</v>
      </c>
      <c r="O37" s="107" t="str">
        <f t="array" ref="O37">XLOOKUP(A37,Data!F:F,Data!O:O)</f>
        <v>  0.46 </v>
      </c>
      <c r="P37" s="107" t="str">
        <f t="shared" si="8"/>
        <v>  1.16 </v>
      </c>
      <c r="Q37" s="27"/>
      <c r="R37" s="27"/>
      <c r="S37" s="27"/>
      <c r="T37" s="27"/>
      <c r="U37" s="27"/>
      <c r="V37" s="27"/>
      <c r="W37" s="27"/>
      <c r="X37" s="27"/>
      <c r="Y37" s="27"/>
    </row>
    <row r="38" ht="15.75" customHeight="1">
      <c r="A38" s="105" t="s">
        <v>282</v>
      </c>
      <c r="B38" s="19" t="str">
        <f t="array" ref="B38">XLOOKUP(A38,Data!F:F,Data!G:G)</f>
        <v>A1A</v>
      </c>
      <c r="C38" s="19" t="str">
        <f t="shared" si="3"/>
        <v>A002</v>
      </c>
      <c r="D38" s="19" t="str">
        <f t="array" ref="D38">XLOOKUP(A38,Data!F:F,Data!C:C)</f>
        <v/>
      </c>
      <c r="E38" s="19" t="str">
        <f t="array" ref="E38">XLOOKUP(A38,Data!F:F,Data!H:H)</f>
        <v>CF</v>
      </c>
      <c r="F38" s="106" t="str">
        <f>SUMIFS(Data!J:J,Data!F:F,A38)</f>
        <v>1</v>
      </c>
      <c r="G38" s="106" t="str">
        <f>SUMIFS(Cast!C:C,CastElements,A38)</f>
        <v>0</v>
      </c>
      <c r="H38" s="106" t="str">
        <f t="shared" si="4"/>
        <v>1</v>
      </c>
      <c r="I38" s="106" t="str">
        <f>SUMIFS(Del!C:C,Del!B:B,A38)</f>
        <v>0</v>
      </c>
      <c r="J38" s="106" t="str">
        <f t="shared" si="5"/>
        <v>1</v>
      </c>
      <c r="K38" s="106" t="str">
        <f t="shared" si="6"/>
        <v>0</v>
      </c>
      <c r="L38" s="106"/>
      <c r="M38" s="106" t="str">
        <f>SUMIFS(Ere!C:C,Ere!B:B,A38)</f>
        <v>0</v>
      </c>
      <c r="N38" s="106" t="str">
        <f t="shared" si="7"/>
        <v>1</v>
      </c>
      <c r="O38" s="107" t="str">
        <f t="array" ref="O38">XLOOKUP(A38,Data!F:F,Data!O:O)</f>
        <v>  0.54 </v>
      </c>
      <c r="P38" s="107" t="str">
        <f t="shared" si="8"/>
        <v>  1.34 </v>
      </c>
      <c r="Q38" s="27"/>
      <c r="R38" s="27"/>
      <c r="S38" s="27"/>
      <c r="T38" s="27"/>
      <c r="U38" s="27"/>
      <c r="V38" s="27"/>
      <c r="W38" s="27"/>
      <c r="X38" s="27"/>
      <c r="Y38" s="27"/>
    </row>
    <row r="39" ht="15.75" customHeight="1">
      <c r="A39" s="105" t="s">
        <v>283</v>
      </c>
      <c r="B39" s="19" t="str">
        <f t="array" ref="B39">XLOOKUP(A39,Data!F:F,Data!G:G)</f>
        <v>A1A</v>
      </c>
      <c r="C39" s="19" t="str">
        <f t="shared" si="3"/>
        <v>A003</v>
      </c>
      <c r="D39" s="19" t="str">
        <f t="array" ref="D39">XLOOKUP(A39,Data!F:F,Data!C:C)</f>
        <v>EXT</v>
      </c>
      <c r="E39" s="19" t="str">
        <f t="array" ref="E39">XLOOKUP(A39,Data!F:F,Data!H:H)</f>
        <v>BW</v>
      </c>
      <c r="F39" s="106" t="str">
        <f>SUMIFS(Data!J:J,Data!F:F,A39)</f>
        <v>1</v>
      </c>
      <c r="G39" s="106" t="str">
        <f>SUMIFS(Cast!C:C,CastElements,A39)</f>
        <v>0</v>
      </c>
      <c r="H39" s="106" t="str">
        <f t="shared" si="4"/>
        <v>1</v>
      </c>
      <c r="I39" s="106" t="str">
        <f>SUMIFS(Del!C:C,Del!B:B,A39)</f>
        <v>0</v>
      </c>
      <c r="J39" s="106" t="str">
        <f t="shared" si="5"/>
        <v>1</v>
      </c>
      <c r="K39" s="106" t="str">
        <f t="shared" si="6"/>
        <v>0</v>
      </c>
      <c r="L39" s="106"/>
      <c r="M39" s="106" t="str">
        <f>SUMIFS(Ere!C:C,Ere!B:B,A39)</f>
        <v>0</v>
      </c>
      <c r="N39" s="106" t="str">
        <f t="shared" si="7"/>
        <v>1</v>
      </c>
      <c r="O39" s="107" t="str">
        <f t="array" ref="O39">XLOOKUP(A39,Data!F:F,Data!O:O)</f>
        <v>  1.03 </v>
      </c>
      <c r="P39" s="107" t="str">
        <f t="shared" si="8"/>
        <v>  2.58 </v>
      </c>
      <c r="Q39" s="27"/>
      <c r="R39" s="27"/>
      <c r="S39" s="27"/>
      <c r="T39" s="27"/>
      <c r="U39" s="27"/>
      <c r="V39" s="27"/>
      <c r="W39" s="27"/>
      <c r="X39" s="27"/>
      <c r="Y39" s="27"/>
    </row>
    <row r="40" ht="15.75" customHeight="1">
      <c r="A40" s="105" t="s">
        <v>284</v>
      </c>
      <c r="B40" s="19" t="str">
        <f t="array" ref="B40">XLOOKUP(A40,Data!F:F,Data!G:G)</f>
        <v>A1A</v>
      </c>
      <c r="C40" s="19" t="str">
        <f t="shared" si="3"/>
        <v>A003</v>
      </c>
      <c r="D40" s="19" t="str">
        <f t="array" ref="D40">XLOOKUP(A40,Data!F:F,Data!C:C)</f>
        <v>EXT</v>
      </c>
      <c r="E40" s="19" t="str">
        <f t="array" ref="E40">XLOOKUP(A40,Data!F:F,Data!H:H)</f>
        <v>BW</v>
      </c>
      <c r="F40" s="106" t="str">
        <f>SUMIFS(Data!J:J,Data!F:F,A40)</f>
        <v>1</v>
      </c>
      <c r="G40" s="106" t="str">
        <f>SUMIFS(Cast!C:C,CastElements,A40)</f>
        <v>0</v>
      </c>
      <c r="H40" s="106" t="str">
        <f t="shared" si="4"/>
        <v>1</v>
      </c>
      <c r="I40" s="106" t="str">
        <f>SUMIFS(Del!C:C,Del!B:B,A40)</f>
        <v>0</v>
      </c>
      <c r="J40" s="106" t="str">
        <f t="shared" si="5"/>
        <v>1</v>
      </c>
      <c r="K40" s="106" t="str">
        <f t="shared" si="6"/>
        <v>0</v>
      </c>
      <c r="L40" s="106"/>
      <c r="M40" s="106" t="str">
        <f>SUMIFS(Ere!C:C,Ere!B:B,A40)</f>
        <v>0</v>
      </c>
      <c r="N40" s="106" t="str">
        <f t="shared" si="7"/>
        <v>1</v>
      </c>
      <c r="O40" s="107" t="str">
        <f t="array" ref="O40">XLOOKUP(A40,Data!F:F,Data!O:O)</f>
        <v>  1.12 </v>
      </c>
      <c r="P40" s="107" t="str">
        <f t="shared" si="8"/>
        <v>  2.81 </v>
      </c>
      <c r="Q40" s="27"/>
      <c r="R40" s="27"/>
      <c r="S40" s="27"/>
      <c r="T40" s="27"/>
      <c r="U40" s="27"/>
      <c r="V40" s="27"/>
      <c r="W40" s="27"/>
      <c r="X40" s="27"/>
      <c r="Y40" s="27"/>
    </row>
    <row r="41" ht="15.75" customHeight="1">
      <c r="A41" s="105" t="s">
        <v>285</v>
      </c>
      <c r="B41" s="19" t="str">
        <f t="array" ref="B41">XLOOKUP(A41,Data!F:F,Data!G:G)</f>
        <v>A1A</v>
      </c>
      <c r="C41" s="19" t="str">
        <f t="shared" si="3"/>
        <v>A003</v>
      </c>
      <c r="D41" s="19" t="str">
        <f t="array" ref="D41">XLOOKUP(A41,Data!F:F,Data!C:C)</f>
        <v>EXT</v>
      </c>
      <c r="E41" s="19" t="str">
        <f t="array" ref="E41">XLOOKUP(A41,Data!F:F,Data!H:H)</f>
        <v>BW</v>
      </c>
      <c r="F41" s="106" t="str">
        <f>SUMIFS(Data!J:J,Data!F:F,A41)</f>
        <v>1</v>
      </c>
      <c r="G41" s="106" t="str">
        <f>SUMIFS(Cast!C:C,CastElements,A41)</f>
        <v>1</v>
      </c>
      <c r="H41" s="106" t="str">
        <f t="shared" si="4"/>
        <v>0</v>
      </c>
      <c r="I41" s="106" t="str">
        <f>SUMIFS(Del!C:C,Del!B:B,A41)</f>
        <v>0</v>
      </c>
      <c r="J41" s="106" t="str">
        <f t="shared" si="5"/>
        <v>1</v>
      </c>
      <c r="K41" s="106" t="str">
        <f t="shared" si="6"/>
        <v>1</v>
      </c>
      <c r="L41" s="106"/>
      <c r="M41" s="106" t="str">
        <f>SUMIFS(Ere!C:C,Ere!B:B,A41)</f>
        <v>0</v>
      </c>
      <c r="N41" s="106" t="str">
        <f t="shared" si="7"/>
        <v>1</v>
      </c>
      <c r="O41" s="107" t="str">
        <f t="array" ref="O41">XLOOKUP(A41,Data!F:F,Data!O:O)</f>
        <v>  0.95 </v>
      </c>
      <c r="P41" s="107" t="str">
        <f t="shared" si="8"/>
        <v>  2.38 </v>
      </c>
      <c r="Q41" s="27"/>
      <c r="R41" s="27"/>
      <c r="S41" s="27"/>
      <c r="T41" s="27"/>
      <c r="U41" s="27"/>
      <c r="V41" s="27"/>
      <c r="W41" s="27"/>
      <c r="X41" s="27"/>
      <c r="Y41" s="27"/>
    </row>
    <row r="42" ht="15.75" customHeight="1">
      <c r="A42" s="105" t="s">
        <v>286</v>
      </c>
      <c r="B42" s="19" t="str">
        <f t="array" ref="B42">XLOOKUP(A42,Data!F:F,Data!G:G)</f>
        <v>A1A</v>
      </c>
      <c r="C42" s="19" t="str">
        <f t="shared" si="3"/>
        <v>A003</v>
      </c>
      <c r="D42" s="19" t="str">
        <f t="array" ref="D42">XLOOKUP(A42,Data!F:F,Data!C:C)</f>
        <v/>
      </c>
      <c r="E42" s="19" t="str">
        <f t="array" ref="E42">XLOOKUP(A42,Data!F:F,Data!H:H)</f>
        <v>BW</v>
      </c>
      <c r="F42" s="106" t="str">
        <f>SUMIFS(Data!J:J,Data!F:F,A42)</f>
        <v>1</v>
      </c>
      <c r="G42" s="106" t="str">
        <f>SUMIFS(Cast!C:C,CastElements,A42)</f>
        <v>1</v>
      </c>
      <c r="H42" s="106" t="str">
        <f t="shared" si="4"/>
        <v>0</v>
      </c>
      <c r="I42" s="106" t="str">
        <f>SUMIFS(Del!C:C,Del!B:B,A42)</f>
        <v>0</v>
      </c>
      <c r="J42" s="106" t="str">
        <f t="shared" si="5"/>
        <v>1</v>
      </c>
      <c r="K42" s="106" t="str">
        <f t="shared" si="6"/>
        <v>1</v>
      </c>
      <c r="L42" s="106"/>
      <c r="M42" s="106" t="str">
        <f>SUMIFS(Ere!C:C,Ere!B:B,A42)</f>
        <v>0</v>
      </c>
      <c r="N42" s="106" t="str">
        <f t="shared" si="7"/>
        <v>1</v>
      </c>
      <c r="O42" s="107" t="str">
        <f t="array" ref="O42">XLOOKUP(A42,Data!F:F,Data!O:O)</f>
        <v>  2.15 </v>
      </c>
      <c r="P42" s="107" t="str">
        <f t="shared" si="8"/>
        <v>  5.38 </v>
      </c>
      <c r="Q42" s="27"/>
      <c r="R42" s="27"/>
      <c r="S42" s="27"/>
      <c r="T42" s="27"/>
      <c r="U42" s="27"/>
      <c r="V42" s="27"/>
      <c r="W42" s="27"/>
      <c r="X42" s="27"/>
      <c r="Y42" s="27"/>
    </row>
    <row r="43" ht="15.75" customHeight="1">
      <c r="A43" s="105" t="s">
        <v>287</v>
      </c>
      <c r="B43" s="19" t="str">
        <f t="array" ref="B43">XLOOKUP(A43,Data!F:F,Data!G:G)</f>
        <v>A1A</v>
      </c>
      <c r="C43" s="19" t="str">
        <f t="shared" si="3"/>
        <v>A003</v>
      </c>
      <c r="D43" s="19" t="str">
        <f t="array" ref="D43">XLOOKUP(A43,Data!F:F,Data!C:C)</f>
        <v/>
      </c>
      <c r="E43" s="19" t="str">
        <f t="array" ref="E43">XLOOKUP(A43,Data!F:F,Data!H:H)</f>
        <v>BW</v>
      </c>
      <c r="F43" s="106" t="str">
        <f>SUMIFS(Data!J:J,Data!F:F,A43)</f>
        <v>1</v>
      </c>
      <c r="G43" s="106" t="str">
        <f>SUMIFS(Cast!C:C,CastElements,A43)</f>
        <v>1</v>
      </c>
      <c r="H43" s="106" t="str">
        <f t="shared" si="4"/>
        <v>0</v>
      </c>
      <c r="I43" s="106" t="str">
        <f>SUMIFS(Del!C:C,Del!B:B,A43)</f>
        <v>0</v>
      </c>
      <c r="J43" s="106" t="str">
        <f t="shared" si="5"/>
        <v>1</v>
      </c>
      <c r="K43" s="106" t="str">
        <f t="shared" si="6"/>
        <v>1</v>
      </c>
      <c r="L43" s="106"/>
      <c r="M43" s="106" t="str">
        <f>SUMIFS(Ere!C:C,Ere!B:B,A43)</f>
        <v>0</v>
      </c>
      <c r="N43" s="106" t="str">
        <f t="shared" si="7"/>
        <v>1</v>
      </c>
      <c r="O43" s="107" t="str">
        <f t="array" ref="O43">XLOOKUP(A43,Data!F:F,Data!O:O)</f>
        <v>  2.00 </v>
      </c>
      <c r="P43" s="107" t="str">
        <f t="shared" si="8"/>
        <v>  5.01 </v>
      </c>
      <c r="Q43" s="27"/>
      <c r="R43" s="27"/>
      <c r="S43" s="27"/>
      <c r="T43" s="27"/>
      <c r="U43" s="27"/>
      <c r="V43" s="27"/>
      <c r="W43" s="27"/>
      <c r="X43" s="27"/>
      <c r="Y43" s="27"/>
    </row>
    <row r="44" ht="15.75" customHeight="1">
      <c r="A44" s="105" t="s">
        <v>288</v>
      </c>
      <c r="B44" s="19" t="str">
        <f t="array" ref="B44">XLOOKUP(A44,Data!F:F,Data!G:G)</f>
        <v>A1A</v>
      </c>
      <c r="C44" s="19" t="str">
        <f t="shared" si="3"/>
        <v>A003</v>
      </c>
      <c r="D44" s="19" t="str">
        <f t="array" ref="D44">XLOOKUP(A44,Data!F:F,Data!C:C)</f>
        <v/>
      </c>
      <c r="E44" s="19" t="str">
        <f t="array" ref="E44">XLOOKUP(A44,Data!F:F,Data!H:H)</f>
        <v>BW</v>
      </c>
      <c r="F44" s="106" t="str">
        <f>SUMIFS(Data!J:J,Data!F:F,A44)</f>
        <v>1</v>
      </c>
      <c r="G44" s="106" t="str">
        <f>SUMIFS(Cast!C:C,CastElements,A44)</f>
        <v>1</v>
      </c>
      <c r="H44" s="106" t="str">
        <f t="shared" si="4"/>
        <v>0</v>
      </c>
      <c r="I44" s="106" t="str">
        <f>SUMIFS(Del!C:C,Del!B:B,A44)</f>
        <v>0</v>
      </c>
      <c r="J44" s="106" t="str">
        <f t="shared" si="5"/>
        <v>1</v>
      </c>
      <c r="K44" s="106" t="str">
        <f t="shared" si="6"/>
        <v>1</v>
      </c>
      <c r="L44" s="106"/>
      <c r="M44" s="106" t="str">
        <f>SUMIFS(Ere!C:C,Ere!B:B,A44)</f>
        <v>0</v>
      </c>
      <c r="N44" s="106" t="str">
        <f t="shared" si="7"/>
        <v>1</v>
      </c>
      <c r="O44" s="107" t="str">
        <f t="array" ref="O44">XLOOKUP(A44,Data!F:F,Data!O:O)</f>
        <v>  2.00 </v>
      </c>
      <c r="P44" s="107" t="str">
        <f t="shared" si="8"/>
        <v>  5.01 </v>
      </c>
      <c r="Q44" s="27"/>
      <c r="R44" s="27"/>
      <c r="S44" s="27"/>
      <c r="T44" s="27"/>
      <c r="U44" s="27"/>
      <c r="V44" s="27"/>
      <c r="W44" s="27"/>
      <c r="X44" s="27"/>
      <c r="Y44" s="27"/>
    </row>
    <row r="45" ht="15.75" customHeight="1">
      <c r="A45" s="105" t="s">
        <v>289</v>
      </c>
      <c r="B45" s="19" t="str">
        <f t="array" ref="B45">XLOOKUP(A45,Data!F:F,Data!G:G)</f>
        <v>A1A</v>
      </c>
      <c r="C45" s="19" t="str">
        <f t="shared" si="3"/>
        <v>A003</v>
      </c>
      <c r="D45" s="19" t="str">
        <f t="array" ref="D45">XLOOKUP(A45,Data!F:F,Data!C:C)</f>
        <v/>
      </c>
      <c r="E45" s="19" t="str">
        <f t="array" ref="E45">XLOOKUP(A45,Data!F:F,Data!H:H)</f>
        <v>BW</v>
      </c>
      <c r="F45" s="106" t="str">
        <f>SUMIFS(Data!J:J,Data!F:F,A45)</f>
        <v>1</v>
      </c>
      <c r="G45" s="106" t="str">
        <f>SUMIFS(Cast!C:C,CastElements,A45)</f>
        <v>1</v>
      </c>
      <c r="H45" s="106" t="str">
        <f t="shared" si="4"/>
        <v>0</v>
      </c>
      <c r="I45" s="106" t="str">
        <f>SUMIFS(Del!C:C,Del!B:B,A45)</f>
        <v>0</v>
      </c>
      <c r="J45" s="106" t="str">
        <f t="shared" si="5"/>
        <v>1</v>
      </c>
      <c r="K45" s="106" t="str">
        <f t="shared" si="6"/>
        <v>1</v>
      </c>
      <c r="L45" s="106"/>
      <c r="M45" s="106" t="str">
        <f>SUMIFS(Ere!C:C,Ere!B:B,A45)</f>
        <v>0</v>
      </c>
      <c r="N45" s="106" t="str">
        <f t="shared" si="7"/>
        <v>1</v>
      </c>
      <c r="O45" s="107" t="str">
        <f t="array" ref="O45">XLOOKUP(A45,Data!F:F,Data!O:O)</f>
        <v>  2.00 </v>
      </c>
      <c r="P45" s="107" t="str">
        <f t="shared" si="8"/>
        <v>  5.01 </v>
      </c>
      <c r="Q45" s="27"/>
      <c r="R45" s="27"/>
      <c r="S45" s="27"/>
      <c r="T45" s="27"/>
      <c r="U45" s="27"/>
      <c r="V45" s="27"/>
      <c r="W45" s="27"/>
      <c r="X45" s="27"/>
      <c r="Y45" s="27"/>
    </row>
    <row r="46" ht="15.75" customHeight="1">
      <c r="A46" s="105" t="s">
        <v>290</v>
      </c>
      <c r="B46" s="19" t="str">
        <f t="array" ref="B46">XLOOKUP(A46,Data!F:F,Data!G:G)</f>
        <v>A1A</v>
      </c>
      <c r="C46" s="19" t="str">
        <f t="shared" si="3"/>
        <v>A003</v>
      </c>
      <c r="D46" s="19" t="str">
        <f t="array" ref="D46">XLOOKUP(A46,Data!F:F,Data!C:C)</f>
        <v/>
      </c>
      <c r="E46" s="19" t="str">
        <f t="array" ref="E46">XLOOKUP(A46,Data!F:F,Data!H:H)</f>
        <v>BW</v>
      </c>
      <c r="F46" s="106" t="str">
        <f>SUMIFS(Data!J:J,Data!F:F,A46)</f>
        <v>1</v>
      </c>
      <c r="G46" s="106" t="str">
        <f>SUMIFS(Cast!C:C,CastElements,A46)</f>
        <v>0</v>
      </c>
      <c r="H46" s="106" t="str">
        <f t="shared" si="4"/>
        <v>1</v>
      </c>
      <c r="I46" s="106" t="str">
        <f>SUMIFS(Del!C:C,Del!B:B,A46)</f>
        <v>0</v>
      </c>
      <c r="J46" s="106" t="str">
        <f t="shared" si="5"/>
        <v>1</v>
      </c>
      <c r="K46" s="106" t="str">
        <f t="shared" si="6"/>
        <v>0</v>
      </c>
      <c r="L46" s="106"/>
      <c r="M46" s="106" t="str">
        <f>SUMIFS(Ere!C:C,Ere!B:B,A46)</f>
        <v>0</v>
      </c>
      <c r="N46" s="106" t="str">
        <f t="shared" si="7"/>
        <v>1</v>
      </c>
      <c r="O46" s="107" t="str">
        <f t="array" ref="O46">XLOOKUP(A46,Data!F:F,Data!O:O)</f>
        <v>  1.67 </v>
      </c>
      <c r="P46" s="107" t="str">
        <f t="shared" si="8"/>
        <v>  4.17 </v>
      </c>
      <c r="Q46" s="27"/>
      <c r="R46" s="27"/>
      <c r="S46" s="27"/>
      <c r="T46" s="27"/>
      <c r="U46" s="27"/>
      <c r="V46" s="27"/>
      <c r="W46" s="27"/>
      <c r="X46" s="27"/>
      <c r="Y46" s="27"/>
    </row>
    <row r="47" ht="15.75" customHeight="1">
      <c r="A47" s="105" t="s">
        <v>291</v>
      </c>
      <c r="B47" s="19" t="str">
        <f t="array" ref="B47">XLOOKUP(A47,Data!F:F,Data!G:G)</f>
        <v>A1A</v>
      </c>
      <c r="C47" s="19" t="str">
        <f t="shared" si="3"/>
        <v>A003</v>
      </c>
      <c r="D47" s="19" t="str">
        <f t="array" ref="D47">XLOOKUP(A47,Data!F:F,Data!C:C)</f>
        <v/>
      </c>
      <c r="E47" s="19" t="str">
        <f t="array" ref="E47">XLOOKUP(A47,Data!F:F,Data!H:H)</f>
        <v>BW</v>
      </c>
      <c r="F47" s="106" t="str">
        <f>SUMIFS(Data!J:J,Data!F:F,A47)</f>
        <v>1</v>
      </c>
      <c r="G47" s="106" t="str">
        <f>SUMIFS(Cast!C:C,CastElements,A47)</f>
        <v>1</v>
      </c>
      <c r="H47" s="106" t="str">
        <f t="shared" si="4"/>
        <v>0</v>
      </c>
      <c r="I47" s="106" t="str">
        <f>SUMIFS(Del!C:C,Del!B:B,A47)</f>
        <v>0</v>
      </c>
      <c r="J47" s="106" t="str">
        <f t="shared" si="5"/>
        <v>1</v>
      </c>
      <c r="K47" s="106" t="str">
        <f t="shared" si="6"/>
        <v>1</v>
      </c>
      <c r="L47" s="106"/>
      <c r="M47" s="106" t="str">
        <f>SUMIFS(Ere!C:C,Ere!B:B,A47)</f>
        <v>0</v>
      </c>
      <c r="N47" s="106" t="str">
        <f t="shared" si="7"/>
        <v>1</v>
      </c>
      <c r="O47" s="107" t="str">
        <f t="array" ref="O47">XLOOKUP(A47,Data!F:F,Data!O:O)</f>
        <v>  2.22 </v>
      </c>
      <c r="P47" s="107" t="str">
        <f t="shared" si="8"/>
        <v>  5.55 </v>
      </c>
      <c r="Q47" s="27"/>
      <c r="R47" s="27"/>
      <c r="S47" s="27"/>
      <c r="T47" s="27"/>
      <c r="U47" s="27"/>
      <c r="V47" s="27"/>
      <c r="W47" s="27"/>
      <c r="X47" s="27"/>
      <c r="Y47" s="27"/>
    </row>
    <row r="48" ht="15.75" customHeight="1">
      <c r="A48" s="105" t="s">
        <v>292</v>
      </c>
      <c r="B48" s="19" t="str">
        <f t="array" ref="B48">XLOOKUP(A48,Data!F:F,Data!G:G)</f>
        <v>A1A</v>
      </c>
      <c r="C48" s="19" t="str">
        <f t="shared" si="3"/>
        <v>A003</v>
      </c>
      <c r="D48" s="19" t="str">
        <f t="array" ref="D48">XLOOKUP(A48,Data!F:F,Data!C:C)</f>
        <v/>
      </c>
      <c r="E48" s="19" t="str">
        <f t="array" ref="E48">XLOOKUP(A48,Data!F:F,Data!H:H)</f>
        <v>BW</v>
      </c>
      <c r="F48" s="106" t="str">
        <f>SUMIFS(Data!J:J,Data!F:F,A48)</f>
        <v>1</v>
      </c>
      <c r="G48" s="106" t="str">
        <f>SUMIFS(Cast!C:C,CastElements,A48)</f>
        <v>1</v>
      </c>
      <c r="H48" s="106" t="str">
        <f t="shared" si="4"/>
        <v>0</v>
      </c>
      <c r="I48" s="106" t="str">
        <f>SUMIFS(Del!C:C,Del!B:B,A48)</f>
        <v>0</v>
      </c>
      <c r="J48" s="106" t="str">
        <f t="shared" si="5"/>
        <v>1</v>
      </c>
      <c r="K48" s="106" t="str">
        <f t="shared" si="6"/>
        <v>1</v>
      </c>
      <c r="L48" s="106"/>
      <c r="M48" s="106" t="str">
        <f>SUMIFS(Ere!C:C,Ere!B:B,A48)</f>
        <v>0</v>
      </c>
      <c r="N48" s="106" t="str">
        <f t="shared" si="7"/>
        <v>1</v>
      </c>
      <c r="O48" s="107" t="str">
        <f t="array" ref="O48">XLOOKUP(A48,Data!F:F,Data!O:O)</f>
        <v>  2.22 </v>
      </c>
      <c r="P48" s="107" t="str">
        <f t="shared" si="8"/>
        <v>  5.55 </v>
      </c>
      <c r="Q48" s="27"/>
      <c r="R48" s="27"/>
      <c r="S48" s="27"/>
      <c r="T48" s="27"/>
      <c r="U48" s="27"/>
      <c r="V48" s="27"/>
      <c r="W48" s="27"/>
      <c r="X48" s="27"/>
      <c r="Y48" s="27"/>
    </row>
    <row r="49" ht="15.75" customHeight="1">
      <c r="A49" s="105" t="s">
        <v>293</v>
      </c>
      <c r="B49" s="19" t="str">
        <f t="array" ref="B49">XLOOKUP(A49,Data!F:F,Data!G:G)</f>
        <v>A1A</v>
      </c>
      <c r="C49" s="19" t="str">
        <f t="shared" si="3"/>
        <v>A003</v>
      </c>
      <c r="D49" s="19" t="str">
        <f t="array" ref="D49">XLOOKUP(A49,Data!F:F,Data!C:C)</f>
        <v/>
      </c>
      <c r="E49" s="19" t="str">
        <f t="array" ref="E49">XLOOKUP(A49,Data!F:F,Data!H:H)</f>
        <v>BW</v>
      </c>
      <c r="F49" s="106" t="str">
        <f>SUMIFS(Data!J:J,Data!F:F,A49)</f>
        <v>1</v>
      </c>
      <c r="G49" s="106" t="str">
        <f>SUMIFS(Cast!C:C,CastElements,A49)</f>
        <v>1</v>
      </c>
      <c r="H49" s="106" t="str">
        <f t="shared" si="4"/>
        <v>0</v>
      </c>
      <c r="I49" s="106" t="str">
        <f>SUMIFS(Del!C:C,Del!B:B,A49)</f>
        <v>0</v>
      </c>
      <c r="J49" s="106" t="str">
        <f t="shared" si="5"/>
        <v>1</v>
      </c>
      <c r="K49" s="106" t="str">
        <f t="shared" si="6"/>
        <v>1</v>
      </c>
      <c r="L49" s="106"/>
      <c r="M49" s="106" t="str">
        <f>SUMIFS(Ere!C:C,Ere!B:B,A49)</f>
        <v>0</v>
      </c>
      <c r="N49" s="106" t="str">
        <f t="shared" si="7"/>
        <v>1</v>
      </c>
      <c r="O49" s="107" t="str">
        <f t="array" ref="O49">XLOOKUP(A49,Data!F:F,Data!O:O)</f>
        <v>  2.22 </v>
      </c>
      <c r="P49" s="107" t="str">
        <f t="shared" si="8"/>
        <v>  5.55 </v>
      </c>
      <c r="Q49" s="27"/>
      <c r="R49" s="27"/>
      <c r="S49" s="27"/>
      <c r="T49" s="27"/>
      <c r="U49" s="27"/>
      <c r="V49" s="27"/>
      <c r="W49" s="27"/>
      <c r="X49" s="27"/>
      <c r="Y49" s="27"/>
    </row>
    <row r="50" ht="15.75" customHeight="1">
      <c r="A50" s="105" t="s">
        <v>294</v>
      </c>
      <c r="B50" s="19" t="str">
        <f t="array" ref="B50">XLOOKUP(A50,Data!F:F,Data!G:G)</f>
        <v>A1A</v>
      </c>
      <c r="C50" s="19" t="str">
        <f t="shared" si="3"/>
        <v>A003</v>
      </c>
      <c r="D50" s="19" t="str">
        <f t="array" ref="D50">XLOOKUP(A50,Data!F:F,Data!C:C)</f>
        <v/>
      </c>
      <c r="E50" s="19" t="str">
        <f t="array" ref="E50">XLOOKUP(A50,Data!F:F,Data!H:H)</f>
        <v>BW</v>
      </c>
      <c r="F50" s="106" t="str">
        <f>SUMIFS(Data!J:J,Data!F:F,A50)</f>
        <v>1</v>
      </c>
      <c r="G50" s="106" t="str">
        <f>SUMIFS(Cast!C:C,CastElements,A50)</f>
        <v>1</v>
      </c>
      <c r="H50" s="106" t="str">
        <f t="shared" si="4"/>
        <v>0</v>
      </c>
      <c r="I50" s="106" t="str">
        <f>SUMIFS(Del!C:C,Del!B:B,A50)</f>
        <v>0</v>
      </c>
      <c r="J50" s="106" t="str">
        <f t="shared" si="5"/>
        <v>1</v>
      </c>
      <c r="K50" s="106" t="str">
        <f t="shared" si="6"/>
        <v>1</v>
      </c>
      <c r="L50" s="106"/>
      <c r="M50" s="106" t="str">
        <f>SUMIFS(Ere!C:C,Ere!B:B,A50)</f>
        <v>0</v>
      </c>
      <c r="N50" s="106" t="str">
        <f t="shared" si="7"/>
        <v>1</v>
      </c>
      <c r="O50" s="107" t="str">
        <f t="array" ref="O50">XLOOKUP(A50,Data!F:F,Data!O:O)</f>
        <v>  2.22 </v>
      </c>
      <c r="P50" s="107" t="str">
        <f t="shared" si="8"/>
        <v>  5.55 </v>
      </c>
      <c r="Q50" s="27"/>
      <c r="R50" s="27"/>
      <c r="S50" s="27"/>
      <c r="T50" s="27"/>
      <c r="U50" s="27"/>
      <c r="V50" s="27"/>
      <c r="W50" s="27"/>
      <c r="X50" s="27"/>
      <c r="Y50" s="27"/>
    </row>
    <row r="51" ht="15.75" customHeight="1">
      <c r="A51" s="105" t="s">
        <v>295</v>
      </c>
      <c r="B51" s="19" t="str">
        <f t="array" ref="B51">XLOOKUP(A51,Data!F:F,Data!G:G)</f>
        <v>A1A</v>
      </c>
      <c r="C51" s="19" t="str">
        <f t="shared" si="3"/>
        <v>A003</v>
      </c>
      <c r="D51" s="19" t="str">
        <f t="array" ref="D51">XLOOKUP(A51,Data!F:F,Data!C:C)</f>
        <v/>
      </c>
      <c r="E51" s="19" t="str">
        <f t="array" ref="E51">XLOOKUP(A51,Data!F:F,Data!H:H)</f>
        <v>BW</v>
      </c>
      <c r="F51" s="106" t="str">
        <f>SUMIFS(Data!J:J,Data!F:F,A51)</f>
        <v>1</v>
      </c>
      <c r="G51" s="106" t="str">
        <f>SUMIFS(Cast!C:C,CastElements,A51)</f>
        <v>1</v>
      </c>
      <c r="H51" s="106" t="str">
        <f t="shared" si="4"/>
        <v>0</v>
      </c>
      <c r="I51" s="106" t="str">
        <f>SUMIFS(Del!C:C,Del!B:B,A51)</f>
        <v>0</v>
      </c>
      <c r="J51" s="106" t="str">
        <f t="shared" si="5"/>
        <v>1</v>
      </c>
      <c r="K51" s="106" t="str">
        <f t="shared" si="6"/>
        <v>1</v>
      </c>
      <c r="L51" s="106"/>
      <c r="M51" s="106" t="str">
        <f>SUMIFS(Ere!C:C,Ere!B:B,A51)</f>
        <v>0</v>
      </c>
      <c r="N51" s="106" t="str">
        <f t="shared" si="7"/>
        <v>1</v>
      </c>
      <c r="O51" s="107" t="str">
        <f t="array" ref="O51">XLOOKUP(A51,Data!F:F,Data!O:O)</f>
        <v>  1.88 </v>
      </c>
      <c r="P51" s="107" t="str">
        <f t="shared" si="8"/>
        <v>  4.71 </v>
      </c>
      <c r="Q51" s="27"/>
      <c r="R51" s="27"/>
      <c r="S51" s="27"/>
      <c r="T51" s="27"/>
      <c r="U51" s="27"/>
      <c r="V51" s="27"/>
      <c r="W51" s="27"/>
      <c r="X51" s="27"/>
      <c r="Y51" s="27"/>
    </row>
    <row r="52" ht="15.75" customHeight="1">
      <c r="A52" s="105" t="s">
        <v>296</v>
      </c>
      <c r="B52" s="19" t="str">
        <f t="array" ref="B52">XLOOKUP(A52,Data!F:F,Data!G:G)</f>
        <v>A1A</v>
      </c>
      <c r="C52" s="19" t="str">
        <f t="shared" si="3"/>
        <v>A003</v>
      </c>
      <c r="D52" s="19" t="str">
        <f t="array" ref="D52">XLOOKUP(A52,Data!F:F,Data!C:C)</f>
        <v/>
      </c>
      <c r="E52" s="19" t="str">
        <f t="array" ref="E52">XLOOKUP(A52,Data!F:F,Data!H:H)</f>
        <v>BW</v>
      </c>
      <c r="F52" s="106" t="str">
        <f>SUMIFS(Data!J:J,Data!F:F,A52)</f>
        <v>1</v>
      </c>
      <c r="G52" s="106" t="str">
        <f>SUMIFS(Cast!C:C,CastElements,A52)</f>
        <v>1</v>
      </c>
      <c r="H52" s="106" t="str">
        <f t="shared" si="4"/>
        <v>0</v>
      </c>
      <c r="I52" s="106" t="str">
        <f>SUMIFS(Del!C:C,Del!B:B,A52)</f>
        <v>0</v>
      </c>
      <c r="J52" s="106" t="str">
        <f t="shared" si="5"/>
        <v>1</v>
      </c>
      <c r="K52" s="106" t="str">
        <f t="shared" si="6"/>
        <v>1</v>
      </c>
      <c r="L52" s="106"/>
      <c r="M52" s="106" t="str">
        <f>SUMIFS(Ere!C:C,Ere!B:B,A52)</f>
        <v>0</v>
      </c>
      <c r="N52" s="106" t="str">
        <f t="shared" si="7"/>
        <v>1</v>
      </c>
      <c r="O52" s="107" t="str">
        <f t="array" ref="O52">XLOOKUP(A52,Data!F:F,Data!O:O)</f>
        <v>  0.40 </v>
      </c>
      <c r="P52" s="107" t="str">
        <f t="shared" si="8"/>
        <v>  0.99 </v>
      </c>
      <c r="Q52" s="27"/>
      <c r="R52" s="27"/>
      <c r="S52" s="27"/>
      <c r="T52" s="27"/>
      <c r="U52" s="27"/>
      <c r="V52" s="27"/>
      <c r="W52" s="27"/>
      <c r="X52" s="27"/>
      <c r="Y52" s="27"/>
    </row>
    <row r="53" ht="15.75" customHeight="1">
      <c r="A53" s="105" t="s">
        <v>297</v>
      </c>
      <c r="B53" s="19" t="str">
        <f t="array" ref="B53">XLOOKUP(A53,Data!F:F,Data!G:G)</f>
        <v>A1A</v>
      </c>
      <c r="C53" s="19" t="str">
        <f t="shared" si="3"/>
        <v>A003</v>
      </c>
      <c r="D53" s="19" t="str">
        <f t="array" ref="D53">XLOOKUP(A53,Data!F:F,Data!C:C)</f>
        <v/>
      </c>
      <c r="E53" s="19" t="str">
        <f t="array" ref="E53">XLOOKUP(A53,Data!F:F,Data!H:H)</f>
        <v>BW</v>
      </c>
      <c r="F53" s="106" t="str">
        <f>SUMIFS(Data!J:J,Data!F:F,A53)</f>
        <v>1</v>
      </c>
      <c r="G53" s="106" t="str">
        <f>SUMIFS(Cast!C:C,CastElements,A53)</f>
        <v>1</v>
      </c>
      <c r="H53" s="106" t="str">
        <f t="shared" si="4"/>
        <v>0</v>
      </c>
      <c r="I53" s="106" t="str">
        <f>SUMIFS(Del!C:C,Del!B:B,A53)</f>
        <v>0</v>
      </c>
      <c r="J53" s="106" t="str">
        <f t="shared" si="5"/>
        <v>1</v>
      </c>
      <c r="K53" s="106" t="str">
        <f t="shared" si="6"/>
        <v>1</v>
      </c>
      <c r="L53" s="106"/>
      <c r="M53" s="106" t="str">
        <f>SUMIFS(Ere!C:C,Ere!B:B,A53)</f>
        <v>0</v>
      </c>
      <c r="N53" s="106" t="str">
        <f t="shared" si="7"/>
        <v>1</v>
      </c>
      <c r="O53" s="107" t="str">
        <f t="array" ref="O53">XLOOKUP(A53,Data!F:F,Data!O:O)</f>
        <v>  0.49 </v>
      </c>
      <c r="P53" s="107" t="str">
        <f t="shared" si="8"/>
        <v>  1.23 </v>
      </c>
      <c r="Q53" s="27"/>
      <c r="R53" s="27"/>
      <c r="S53" s="27"/>
      <c r="T53" s="27"/>
      <c r="U53" s="27"/>
      <c r="V53" s="27"/>
      <c r="W53" s="27"/>
      <c r="X53" s="27"/>
      <c r="Y53" s="27"/>
    </row>
    <row r="54" ht="15.75" customHeight="1">
      <c r="A54" s="105" t="s">
        <v>298</v>
      </c>
      <c r="B54" s="19" t="str">
        <f t="array" ref="B54">XLOOKUP(A54,Data!F:F,Data!G:G)</f>
        <v>A1A</v>
      </c>
      <c r="C54" s="19" t="str">
        <f t="shared" si="3"/>
        <v>A003</v>
      </c>
      <c r="D54" s="19" t="str">
        <f t="array" ref="D54">XLOOKUP(A54,Data!F:F,Data!C:C)</f>
        <v/>
      </c>
      <c r="E54" s="19" t="str">
        <f t="array" ref="E54">XLOOKUP(A54,Data!F:F,Data!H:H)</f>
        <v>CF</v>
      </c>
      <c r="F54" s="106" t="str">
        <f>SUMIFS(Data!J:J,Data!F:F,A54)</f>
        <v>1</v>
      </c>
      <c r="G54" s="106" t="str">
        <f>SUMIFS(Cast!C:C,CastElements,A54)</f>
        <v>0</v>
      </c>
      <c r="H54" s="106" t="str">
        <f t="shared" si="4"/>
        <v>1</v>
      </c>
      <c r="I54" s="106" t="str">
        <f>SUMIFS(Del!C:C,Del!B:B,A54)</f>
        <v>0</v>
      </c>
      <c r="J54" s="106" t="str">
        <f t="shared" si="5"/>
        <v>1</v>
      </c>
      <c r="K54" s="106" t="str">
        <f t="shared" si="6"/>
        <v>0</v>
      </c>
      <c r="L54" s="106"/>
      <c r="M54" s="106" t="str">
        <f>SUMIFS(Ere!C:C,Ere!B:B,A54)</f>
        <v>0</v>
      </c>
      <c r="N54" s="106" t="str">
        <f t="shared" si="7"/>
        <v>1</v>
      </c>
      <c r="O54" s="107" t="str">
        <f t="array" ref="O54">XLOOKUP(A54,Data!F:F,Data!O:O)</f>
        <v>  0.43 </v>
      </c>
      <c r="P54" s="107" t="str">
        <f t="shared" si="8"/>
        <v>  1.08 </v>
      </c>
      <c r="Q54" s="27"/>
      <c r="R54" s="27"/>
      <c r="S54" s="27"/>
      <c r="T54" s="27"/>
      <c r="U54" s="27"/>
      <c r="V54" s="27"/>
      <c r="W54" s="27"/>
      <c r="X54" s="27"/>
      <c r="Y54" s="27"/>
    </row>
    <row r="55" ht="15.75" customHeight="1">
      <c r="A55" s="105" t="s">
        <v>299</v>
      </c>
      <c r="B55" s="19" t="str">
        <f t="array" ref="B55">XLOOKUP(A55,Data!F:F,Data!G:G)</f>
        <v>A1A</v>
      </c>
      <c r="C55" s="19" t="str">
        <f t="shared" si="3"/>
        <v>A004</v>
      </c>
      <c r="D55" s="19" t="str">
        <f t="array" ref="D55">XLOOKUP(A55,Data!F:F,Data!C:C)</f>
        <v>EXT</v>
      </c>
      <c r="E55" s="19" t="str">
        <f t="array" ref="E55">XLOOKUP(A55,Data!F:F,Data!H:H)</f>
        <v>BW</v>
      </c>
      <c r="F55" s="106" t="str">
        <f>SUMIFS(Data!J:J,Data!F:F,A55)</f>
        <v>1</v>
      </c>
      <c r="G55" s="106" t="str">
        <f>SUMIFS(Cast!C:C,CastElements,A55)</f>
        <v>0</v>
      </c>
      <c r="H55" s="106" t="str">
        <f t="shared" si="4"/>
        <v>1</v>
      </c>
      <c r="I55" s="106" t="str">
        <f>SUMIFS(Del!C:C,Del!B:B,A55)</f>
        <v>0</v>
      </c>
      <c r="J55" s="106" t="str">
        <f t="shared" si="5"/>
        <v>1</v>
      </c>
      <c r="K55" s="106" t="str">
        <f t="shared" si="6"/>
        <v>0</v>
      </c>
      <c r="L55" s="106"/>
      <c r="M55" s="106" t="str">
        <f>SUMIFS(Ere!C:C,Ere!B:B,A55)</f>
        <v>0</v>
      </c>
      <c r="N55" s="106" t="str">
        <f t="shared" si="7"/>
        <v>1</v>
      </c>
      <c r="O55" s="107" t="str">
        <f t="array" ref="O55">XLOOKUP(A55,Data!F:F,Data!O:O)</f>
        <v>  0.55 </v>
      </c>
      <c r="P55" s="107" t="str">
        <f t="shared" si="8"/>
        <v>  1.37 </v>
      </c>
      <c r="Q55" s="27"/>
      <c r="R55" s="27"/>
      <c r="S55" s="27"/>
      <c r="T55" s="27"/>
      <c r="U55" s="27"/>
      <c r="V55" s="27"/>
      <c r="W55" s="27"/>
      <c r="X55" s="27"/>
      <c r="Y55" s="27"/>
    </row>
    <row r="56" ht="15.75" customHeight="1">
      <c r="A56" s="105" t="s">
        <v>300</v>
      </c>
      <c r="B56" s="19" t="str">
        <f t="array" ref="B56">XLOOKUP(A56,Data!F:F,Data!G:G)</f>
        <v>A1A</v>
      </c>
      <c r="C56" s="19" t="str">
        <f t="shared" si="3"/>
        <v>A004</v>
      </c>
      <c r="D56" s="19" t="str">
        <f t="array" ref="D56">XLOOKUP(A56,Data!F:F,Data!C:C)</f>
        <v>EXT</v>
      </c>
      <c r="E56" s="19" t="str">
        <f t="array" ref="E56">XLOOKUP(A56,Data!F:F,Data!H:H)</f>
        <v>BW</v>
      </c>
      <c r="F56" s="106" t="str">
        <f>SUMIFS(Data!J:J,Data!F:F,A56)</f>
        <v>1</v>
      </c>
      <c r="G56" s="106" t="str">
        <f>SUMIFS(Cast!C:C,CastElements,A56)</f>
        <v>0</v>
      </c>
      <c r="H56" s="106" t="str">
        <f t="shared" si="4"/>
        <v>1</v>
      </c>
      <c r="I56" s="106" t="str">
        <f>SUMIFS(Del!C:C,Del!B:B,A56)</f>
        <v>0</v>
      </c>
      <c r="J56" s="106" t="str">
        <f t="shared" si="5"/>
        <v>1</v>
      </c>
      <c r="K56" s="106" t="str">
        <f t="shared" si="6"/>
        <v>0</v>
      </c>
      <c r="L56" s="106"/>
      <c r="M56" s="106" t="str">
        <f>SUMIFS(Ere!C:C,Ere!B:B,A56)</f>
        <v>0</v>
      </c>
      <c r="N56" s="106" t="str">
        <f t="shared" si="7"/>
        <v>1</v>
      </c>
      <c r="O56" s="107" t="str">
        <f t="array" ref="O56">XLOOKUP(A56,Data!F:F,Data!O:O)</f>
        <v>  0.55 </v>
      </c>
      <c r="P56" s="107" t="str">
        <f t="shared" si="8"/>
        <v>  1.37 </v>
      </c>
      <c r="Q56" s="27"/>
      <c r="R56" s="27"/>
      <c r="S56" s="27"/>
      <c r="T56" s="27"/>
      <c r="U56" s="27"/>
      <c r="V56" s="27"/>
      <c r="W56" s="27"/>
      <c r="X56" s="27"/>
      <c r="Y56" s="27"/>
    </row>
    <row r="57" ht="15.75" customHeight="1">
      <c r="A57" s="105" t="s">
        <v>301</v>
      </c>
      <c r="B57" s="19" t="str">
        <f t="array" ref="B57">XLOOKUP(A57,Data!F:F,Data!G:G)</f>
        <v>A1A</v>
      </c>
      <c r="C57" s="19" t="str">
        <f t="shared" si="3"/>
        <v>A004</v>
      </c>
      <c r="D57" s="19" t="str">
        <f t="array" ref="D57">XLOOKUP(A57,Data!F:F,Data!C:C)</f>
        <v>EXT</v>
      </c>
      <c r="E57" s="19" t="str">
        <f t="array" ref="E57">XLOOKUP(A57,Data!F:F,Data!H:H)</f>
        <v>BW</v>
      </c>
      <c r="F57" s="106" t="str">
        <f>SUMIFS(Data!J:J,Data!F:F,A57)</f>
        <v>1</v>
      </c>
      <c r="G57" s="106" t="str">
        <f>SUMIFS(Cast!C:C,CastElements,A57)</f>
        <v>0</v>
      </c>
      <c r="H57" s="106" t="str">
        <f t="shared" si="4"/>
        <v>1</v>
      </c>
      <c r="I57" s="106" t="str">
        <f>SUMIFS(Del!C:C,Del!B:B,A57)</f>
        <v>0</v>
      </c>
      <c r="J57" s="106" t="str">
        <f t="shared" si="5"/>
        <v>1</v>
      </c>
      <c r="K57" s="106" t="str">
        <f t="shared" si="6"/>
        <v>0</v>
      </c>
      <c r="L57" s="106"/>
      <c r="M57" s="106" t="str">
        <f>SUMIFS(Ere!C:C,Ere!B:B,A57)</f>
        <v>0</v>
      </c>
      <c r="N57" s="106" t="str">
        <f t="shared" si="7"/>
        <v>1</v>
      </c>
      <c r="O57" s="107" t="str">
        <f t="array" ref="O57">XLOOKUP(A57,Data!F:F,Data!O:O)</f>
        <v>  0.55 </v>
      </c>
      <c r="P57" s="107" t="str">
        <f t="shared" si="8"/>
        <v>  1.37 </v>
      </c>
      <c r="Q57" s="27"/>
      <c r="R57" s="27"/>
      <c r="S57" s="27"/>
      <c r="T57" s="27"/>
      <c r="U57" s="27"/>
      <c r="V57" s="27"/>
      <c r="W57" s="27"/>
      <c r="X57" s="27"/>
      <c r="Y57" s="27"/>
    </row>
    <row r="58" ht="15.75" customHeight="1">
      <c r="A58" s="105" t="s">
        <v>302</v>
      </c>
      <c r="B58" s="19" t="str">
        <f t="array" ref="B58">XLOOKUP(A58,Data!F:F,Data!G:G)</f>
        <v>A1A</v>
      </c>
      <c r="C58" s="19" t="str">
        <f t="shared" si="3"/>
        <v>A004</v>
      </c>
      <c r="D58" s="19" t="str">
        <f t="array" ref="D58">XLOOKUP(A58,Data!F:F,Data!C:C)</f>
        <v>EXT</v>
      </c>
      <c r="E58" s="19" t="str">
        <f t="array" ref="E58">XLOOKUP(A58,Data!F:F,Data!H:H)</f>
        <v>BW</v>
      </c>
      <c r="F58" s="106" t="str">
        <f>SUMIFS(Data!J:J,Data!F:F,A58)</f>
        <v>1</v>
      </c>
      <c r="G58" s="106" t="str">
        <f>SUMIFS(Cast!C:C,CastElements,A58)</f>
        <v>0</v>
      </c>
      <c r="H58" s="106" t="str">
        <f t="shared" si="4"/>
        <v>1</v>
      </c>
      <c r="I58" s="106" t="str">
        <f>SUMIFS(Del!C:C,Del!B:B,A58)</f>
        <v>0</v>
      </c>
      <c r="J58" s="106" t="str">
        <f t="shared" si="5"/>
        <v>1</v>
      </c>
      <c r="K58" s="106" t="str">
        <f t="shared" si="6"/>
        <v>0</v>
      </c>
      <c r="L58" s="106"/>
      <c r="M58" s="106" t="str">
        <f>SUMIFS(Ere!C:C,Ere!B:B,A58)</f>
        <v>0</v>
      </c>
      <c r="N58" s="106" t="str">
        <f t="shared" si="7"/>
        <v>1</v>
      </c>
      <c r="O58" s="107" t="str">
        <f t="array" ref="O58">XLOOKUP(A58,Data!F:F,Data!O:O)</f>
        <v>  0.55 </v>
      </c>
      <c r="P58" s="107" t="str">
        <f t="shared" si="8"/>
        <v>  1.37 </v>
      </c>
      <c r="Q58" s="27"/>
      <c r="R58" s="27"/>
      <c r="S58" s="27"/>
      <c r="T58" s="27"/>
      <c r="U58" s="27"/>
      <c r="V58" s="27"/>
      <c r="W58" s="27"/>
      <c r="X58" s="27"/>
      <c r="Y58" s="27"/>
    </row>
    <row r="59" ht="15.75" customHeight="1">
      <c r="A59" s="105" t="s">
        <v>303</v>
      </c>
      <c r="B59" s="19" t="str">
        <f t="array" ref="B59">XLOOKUP(A59,Data!F:F,Data!G:G)</f>
        <v>A1A</v>
      </c>
      <c r="C59" s="19" t="str">
        <f t="shared" si="3"/>
        <v>A004</v>
      </c>
      <c r="D59" s="19" t="str">
        <f t="array" ref="D59">XLOOKUP(A59,Data!F:F,Data!C:C)</f>
        <v>EXT</v>
      </c>
      <c r="E59" s="19" t="str">
        <f t="array" ref="E59">XLOOKUP(A59,Data!F:F,Data!H:H)</f>
        <v>BW</v>
      </c>
      <c r="F59" s="106" t="str">
        <f>SUMIFS(Data!J:J,Data!F:F,A59)</f>
        <v>1</v>
      </c>
      <c r="G59" s="106" t="str">
        <f>SUMIFS(Cast!C:C,CastElements,A59)</f>
        <v>0</v>
      </c>
      <c r="H59" s="106" t="str">
        <f t="shared" si="4"/>
        <v>1</v>
      </c>
      <c r="I59" s="106" t="str">
        <f>SUMIFS(Del!C:C,Del!B:B,A59)</f>
        <v>0</v>
      </c>
      <c r="J59" s="106" t="str">
        <f t="shared" si="5"/>
        <v>1</v>
      </c>
      <c r="K59" s="106" t="str">
        <f t="shared" si="6"/>
        <v>0</v>
      </c>
      <c r="L59" s="106"/>
      <c r="M59" s="106" t="str">
        <f>SUMIFS(Ere!C:C,Ere!B:B,A59)</f>
        <v>0</v>
      </c>
      <c r="N59" s="106" t="str">
        <f t="shared" si="7"/>
        <v>1</v>
      </c>
      <c r="O59" s="107" t="str">
        <f t="array" ref="O59">XLOOKUP(A59,Data!F:F,Data!O:O)</f>
        <v>  0.64 </v>
      </c>
      <c r="P59" s="107" t="str">
        <f t="shared" si="8"/>
        <v>  1.59 </v>
      </c>
      <c r="Q59" s="27"/>
      <c r="R59" s="27"/>
      <c r="S59" s="27"/>
      <c r="T59" s="27"/>
      <c r="U59" s="27"/>
      <c r="V59" s="27"/>
      <c r="W59" s="27"/>
      <c r="X59" s="27"/>
      <c r="Y59" s="27"/>
    </row>
    <row r="60" ht="15.75" customHeight="1">
      <c r="A60" s="105" t="s">
        <v>304</v>
      </c>
      <c r="B60" s="19" t="str">
        <f t="array" ref="B60">XLOOKUP(A60,Data!F:F,Data!G:G)</f>
        <v>A1A</v>
      </c>
      <c r="C60" s="19" t="str">
        <f t="shared" si="3"/>
        <v>A004</v>
      </c>
      <c r="D60" s="19" t="str">
        <f t="array" ref="D60">XLOOKUP(A60,Data!F:F,Data!C:C)</f>
        <v>EXT</v>
      </c>
      <c r="E60" s="19" t="str">
        <f t="array" ref="E60">XLOOKUP(A60,Data!F:F,Data!H:H)</f>
        <v>BW</v>
      </c>
      <c r="F60" s="106" t="str">
        <f>SUMIFS(Data!J:J,Data!F:F,A60)</f>
        <v>1</v>
      </c>
      <c r="G60" s="106" t="str">
        <f>SUMIFS(Cast!C:C,CastElements,A60)</f>
        <v>1</v>
      </c>
      <c r="H60" s="106" t="str">
        <f t="shared" si="4"/>
        <v>0</v>
      </c>
      <c r="I60" s="106" t="str">
        <f>SUMIFS(Del!C:C,Del!B:B,A60)</f>
        <v>0</v>
      </c>
      <c r="J60" s="106" t="str">
        <f t="shared" si="5"/>
        <v>1</v>
      </c>
      <c r="K60" s="106" t="str">
        <f t="shared" si="6"/>
        <v>1</v>
      </c>
      <c r="L60" s="106"/>
      <c r="M60" s="106" t="str">
        <f>SUMIFS(Ere!C:C,Ere!B:B,A60)</f>
        <v>0</v>
      </c>
      <c r="N60" s="106" t="str">
        <f t="shared" si="7"/>
        <v>1</v>
      </c>
      <c r="O60" s="107" t="str">
        <f t="array" ref="O60">XLOOKUP(A60,Data!F:F,Data!O:O)</f>
        <v>  0.95 </v>
      </c>
      <c r="P60" s="107" t="str">
        <f t="shared" si="8"/>
        <v>  2.38 </v>
      </c>
      <c r="Q60" s="27"/>
      <c r="R60" s="27"/>
      <c r="S60" s="27"/>
      <c r="T60" s="27"/>
      <c r="U60" s="27"/>
      <c r="V60" s="27"/>
      <c r="W60" s="27"/>
      <c r="X60" s="27"/>
      <c r="Y60" s="27"/>
    </row>
    <row r="61" ht="15.75" customHeight="1">
      <c r="A61" s="105" t="s">
        <v>305</v>
      </c>
      <c r="B61" s="19" t="str">
        <f t="array" ref="B61">XLOOKUP(A61,Data!F:F,Data!G:G)</f>
        <v>A1A</v>
      </c>
      <c r="C61" s="19" t="str">
        <f t="shared" si="3"/>
        <v>A004</v>
      </c>
      <c r="D61" s="19" t="str">
        <f t="array" ref="D61">XLOOKUP(A61,Data!F:F,Data!C:C)</f>
        <v/>
      </c>
      <c r="E61" s="19" t="str">
        <f t="array" ref="E61">XLOOKUP(A61,Data!F:F,Data!H:H)</f>
        <v>BW</v>
      </c>
      <c r="F61" s="106" t="str">
        <f>SUMIFS(Data!J:J,Data!F:F,A61)</f>
        <v>1</v>
      </c>
      <c r="G61" s="106" t="str">
        <f>SUMIFS(Cast!C:C,CastElements,A61)</f>
        <v>0</v>
      </c>
      <c r="H61" s="106" t="str">
        <f t="shared" si="4"/>
        <v>1</v>
      </c>
      <c r="I61" s="106" t="str">
        <f>SUMIFS(Del!C:C,Del!B:B,A61)</f>
        <v>0</v>
      </c>
      <c r="J61" s="106" t="str">
        <f t="shared" si="5"/>
        <v>1</v>
      </c>
      <c r="K61" s="106" t="str">
        <f t="shared" si="6"/>
        <v>0</v>
      </c>
      <c r="L61" s="106"/>
      <c r="M61" s="106" t="str">
        <f>SUMIFS(Ere!C:C,Ere!B:B,A61)</f>
        <v>0</v>
      </c>
      <c r="N61" s="106" t="str">
        <f t="shared" si="7"/>
        <v>1</v>
      </c>
      <c r="O61" s="107" t="str">
        <f t="array" ref="O61">XLOOKUP(A61,Data!F:F,Data!O:O)</f>
        <v>  2.13 </v>
      </c>
      <c r="P61" s="107" t="str">
        <f t="shared" si="8"/>
        <v>  5.32 </v>
      </c>
      <c r="Q61" s="27"/>
      <c r="R61" s="27"/>
      <c r="S61" s="27"/>
      <c r="T61" s="27"/>
      <c r="U61" s="27"/>
      <c r="V61" s="27"/>
      <c r="W61" s="27"/>
      <c r="X61" s="27"/>
      <c r="Y61" s="27"/>
    </row>
    <row r="62" ht="15.75" customHeight="1">
      <c r="A62" s="105" t="s">
        <v>306</v>
      </c>
      <c r="B62" s="19" t="str">
        <f t="array" ref="B62">XLOOKUP(A62,Data!F:F,Data!G:G)</f>
        <v>A1A</v>
      </c>
      <c r="C62" s="19" t="str">
        <f t="shared" si="3"/>
        <v>A004</v>
      </c>
      <c r="D62" s="19" t="str">
        <f t="array" ref="D62">XLOOKUP(A62,Data!F:F,Data!C:C)</f>
        <v/>
      </c>
      <c r="E62" s="19" t="str">
        <f t="array" ref="E62">XLOOKUP(A62,Data!F:F,Data!H:H)</f>
        <v>BW</v>
      </c>
      <c r="F62" s="106" t="str">
        <f>SUMIFS(Data!J:J,Data!F:F,A62)</f>
        <v>1</v>
      </c>
      <c r="G62" s="106" t="str">
        <f>SUMIFS(Cast!C:C,CastElements,A62)</f>
        <v>1</v>
      </c>
      <c r="H62" s="106" t="str">
        <f t="shared" si="4"/>
        <v>0</v>
      </c>
      <c r="I62" s="106" t="str">
        <f>SUMIFS(Del!C:C,Del!B:B,A62)</f>
        <v>0</v>
      </c>
      <c r="J62" s="106" t="str">
        <f t="shared" si="5"/>
        <v>1</v>
      </c>
      <c r="K62" s="106" t="str">
        <f t="shared" si="6"/>
        <v>1</v>
      </c>
      <c r="L62" s="106"/>
      <c r="M62" s="106" t="str">
        <f>SUMIFS(Ere!C:C,Ere!B:B,A62)</f>
        <v>0</v>
      </c>
      <c r="N62" s="106" t="str">
        <f t="shared" si="7"/>
        <v>1</v>
      </c>
      <c r="O62" s="107" t="str">
        <f t="array" ref="O62">XLOOKUP(A62,Data!F:F,Data!O:O)</f>
        <v>  1.96 </v>
      </c>
      <c r="P62" s="107" t="str">
        <f t="shared" si="8"/>
        <v>  4.89 </v>
      </c>
      <c r="Q62" s="27"/>
      <c r="R62" s="27"/>
      <c r="S62" s="27"/>
      <c r="T62" s="27"/>
      <c r="U62" s="27"/>
      <c r="V62" s="27"/>
      <c r="W62" s="27"/>
      <c r="X62" s="27"/>
      <c r="Y62" s="27"/>
    </row>
    <row r="63" ht="15.75" customHeight="1">
      <c r="A63" s="105" t="s">
        <v>307</v>
      </c>
      <c r="B63" s="19" t="str">
        <f t="array" ref="B63">XLOOKUP(A63,Data!F:F,Data!G:G)</f>
        <v>A1A</v>
      </c>
      <c r="C63" s="19" t="str">
        <f t="shared" si="3"/>
        <v>A004</v>
      </c>
      <c r="D63" s="19" t="str">
        <f t="array" ref="D63">XLOOKUP(A63,Data!F:F,Data!C:C)</f>
        <v/>
      </c>
      <c r="E63" s="19" t="str">
        <f t="array" ref="E63">XLOOKUP(A63,Data!F:F,Data!H:H)</f>
        <v>BW</v>
      </c>
      <c r="F63" s="106" t="str">
        <f>SUMIFS(Data!J:J,Data!F:F,A63)</f>
        <v>1</v>
      </c>
      <c r="G63" s="106" t="str">
        <f>SUMIFS(Cast!C:C,CastElements,A63)</f>
        <v>1</v>
      </c>
      <c r="H63" s="106" t="str">
        <f t="shared" si="4"/>
        <v>0</v>
      </c>
      <c r="I63" s="106" t="str">
        <f>SUMIFS(Del!C:C,Del!B:B,A63)</f>
        <v>0</v>
      </c>
      <c r="J63" s="106" t="str">
        <f t="shared" si="5"/>
        <v>1</v>
      </c>
      <c r="K63" s="106" t="str">
        <f t="shared" si="6"/>
        <v>1</v>
      </c>
      <c r="L63" s="106"/>
      <c r="M63" s="106" t="str">
        <f>SUMIFS(Ere!C:C,Ere!B:B,A63)</f>
        <v>0</v>
      </c>
      <c r="N63" s="106" t="str">
        <f t="shared" si="7"/>
        <v>1</v>
      </c>
      <c r="O63" s="107" t="str">
        <f t="array" ref="O63">XLOOKUP(A63,Data!F:F,Data!O:O)</f>
        <v>  1.96 </v>
      </c>
      <c r="P63" s="107" t="str">
        <f t="shared" si="8"/>
        <v>  4.89 </v>
      </c>
      <c r="Q63" s="27"/>
      <c r="R63" s="27"/>
      <c r="S63" s="27"/>
      <c r="T63" s="27"/>
      <c r="U63" s="27"/>
      <c r="V63" s="27"/>
      <c r="W63" s="27"/>
      <c r="X63" s="27"/>
      <c r="Y63" s="27"/>
    </row>
    <row r="64" ht="15.75" customHeight="1">
      <c r="A64" s="105" t="s">
        <v>308</v>
      </c>
      <c r="B64" s="19" t="str">
        <f t="array" ref="B64">XLOOKUP(A64,Data!F:F,Data!G:G)</f>
        <v>A1A</v>
      </c>
      <c r="C64" s="19" t="str">
        <f t="shared" si="3"/>
        <v>A004</v>
      </c>
      <c r="D64" s="19" t="str">
        <f t="array" ref="D64">XLOOKUP(A64,Data!F:F,Data!C:C)</f>
        <v/>
      </c>
      <c r="E64" s="19" t="str">
        <f t="array" ref="E64">XLOOKUP(A64,Data!F:F,Data!H:H)</f>
        <v>BW</v>
      </c>
      <c r="F64" s="106" t="str">
        <f>SUMIFS(Data!J:J,Data!F:F,A64)</f>
        <v>1</v>
      </c>
      <c r="G64" s="106" t="str">
        <f>SUMIFS(Cast!C:C,CastElements,A64)</f>
        <v>1</v>
      </c>
      <c r="H64" s="106" t="str">
        <f t="shared" si="4"/>
        <v>0</v>
      </c>
      <c r="I64" s="106" t="str">
        <f>SUMIFS(Del!C:C,Del!B:B,A64)</f>
        <v>0</v>
      </c>
      <c r="J64" s="106" t="str">
        <f t="shared" si="5"/>
        <v>1</v>
      </c>
      <c r="K64" s="106" t="str">
        <f t="shared" si="6"/>
        <v>1</v>
      </c>
      <c r="L64" s="106"/>
      <c r="M64" s="106" t="str">
        <f>SUMIFS(Ere!C:C,Ere!B:B,A64)</f>
        <v>0</v>
      </c>
      <c r="N64" s="106" t="str">
        <f t="shared" si="7"/>
        <v>1</v>
      </c>
      <c r="O64" s="107" t="str">
        <f t="array" ref="O64">XLOOKUP(A64,Data!F:F,Data!O:O)</f>
        <v>  1.96 </v>
      </c>
      <c r="P64" s="107" t="str">
        <f t="shared" si="8"/>
        <v>  4.89 </v>
      </c>
      <c r="Q64" s="27"/>
      <c r="R64" s="27"/>
      <c r="S64" s="27"/>
      <c r="T64" s="27"/>
      <c r="U64" s="27"/>
      <c r="V64" s="27"/>
      <c r="W64" s="27"/>
      <c r="X64" s="27"/>
      <c r="Y64" s="27"/>
    </row>
    <row r="65" ht="15.75" customHeight="1">
      <c r="A65" s="105" t="s">
        <v>309</v>
      </c>
      <c r="B65" s="19" t="str">
        <f t="array" ref="B65">XLOOKUP(A65,Data!F:F,Data!G:G)</f>
        <v>A1A</v>
      </c>
      <c r="C65" s="19" t="str">
        <f t="shared" si="3"/>
        <v>A004</v>
      </c>
      <c r="D65" s="19" t="str">
        <f t="array" ref="D65">XLOOKUP(A65,Data!F:F,Data!C:C)</f>
        <v/>
      </c>
      <c r="E65" s="19" t="str">
        <f t="array" ref="E65">XLOOKUP(A65,Data!F:F,Data!H:H)</f>
        <v>BW</v>
      </c>
      <c r="F65" s="106" t="str">
        <f>SUMIFS(Data!J:J,Data!F:F,A65)</f>
        <v>1</v>
      </c>
      <c r="G65" s="106" t="str">
        <f>SUMIFS(Cast!C:C,CastElements,A65)</f>
        <v>1</v>
      </c>
      <c r="H65" s="106" t="str">
        <f t="shared" si="4"/>
        <v>0</v>
      </c>
      <c r="I65" s="106" t="str">
        <f>SUMIFS(Del!C:C,Del!B:B,A65)</f>
        <v>0</v>
      </c>
      <c r="J65" s="106" t="str">
        <f t="shared" si="5"/>
        <v>1</v>
      </c>
      <c r="K65" s="106" t="str">
        <f t="shared" si="6"/>
        <v>1</v>
      </c>
      <c r="L65" s="106"/>
      <c r="M65" s="106" t="str">
        <f>SUMIFS(Ere!C:C,Ere!B:B,A65)</f>
        <v>0</v>
      </c>
      <c r="N65" s="106" t="str">
        <f t="shared" si="7"/>
        <v>1</v>
      </c>
      <c r="O65" s="107" t="str">
        <f t="array" ref="O65">XLOOKUP(A65,Data!F:F,Data!O:O)</f>
        <v>  1.62 </v>
      </c>
      <c r="P65" s="107" t="str">
        <f t="shared" si="8"/>
        <v>  4.05 </v>
      </c>
      <c r="Q65" s="27"/>
      <c r="R65" s="27"/>
      <c r="S65" s="27"/>
      <c r="T65" s="27"/>
      <c r="U65" s="27"/>
      <c r="V65" s="27"/>
      <c r="W65" s="27"/>
      <c r="X65" s="27"/>
      <c r="Y65" s="27"/>
    </row>
    <row r="66" ht="15.75" customHeight="1">
      <c r="A66" s="105" t="s">
        <v>310</v>
      </c>
      <c r="B66" s="19" t="str">
        <f t="array" ref="B66">XLOOKUP(A66,Data!F:F,Data!G:G)</f>
        <v>A1A</v>
      </c>
      <c r="C66" s="19" t="str">
        <f t="shared" si="3"/>
        <v>A004</v>
      </c>
      <c r="D66" s="19" t="str">
        <f t="array" ref="D66">XLOOKUP(A66,Data!F:F,Data!C:C)</f>
        <v/>
      </c>
      <c r="E66" s="19" t="str">
        <f t="array" ref="E66">XLOOKUP(A66,Data!F:F,Data!H:H)</f>
        <v>BW</v>
      </c>
      <c r="F66" s="106" t="str">
        <f>SUMIFS(Data!J:J,Data!F:F,A66)</f>
        <v>1</v>
      </c>
      <c r="G66" s="106" t="str">
        <f>SUMIFS(Cast!C:C,CastElements,A66)</f>
        <v>1</v>
      </c>
      <c r="H66" s="106" t="str">
        <f t="shared" si="4"/>
        <v>0</v>
      </c>
      <c r="I66" s="106" t="str">
        <f>SUMIFS(Del!C:C,Del!B:B,A66)</f>
        <v>0</v>
      </c>
      <c r="J66" s="106" t="str">
        <f t="shared" si="5"/>
        <v>1</v>
      </c>
      <c r="K66" s="106" t="str">
        <f t="shared" si="6"/>
        <v>1</v>
      </c>
      <c r="L66" s="106"/>
      <c r="M66" s="106" t="str">
        <f>SUMIFS(Ere!C:C,Ere!B:B,A66)</f>
        <v>0</v>
      </c>
      <c r="N66" s="106" t="str">
        <f t="shared" si="7"/>
        <v>1</v>
      </c>
      <c r="O66" s="107" t="str">
        <f t="array" ref="O66">XLOOKUP(A66,Data!F:F,Data!O:O)</f>
        <v>  2.33 </v>
      </c>
      <c r="P66" s="107" t="str">
        <f t="shared" si="8"/>
        <v>  5.83 </v>
      </c>
      <c r="Q66" s="27"/>
      <c r="R66" s="27"/>
      <c r="S66" s="27"/>
      <c r="T66" s="27"/>
      <c r="U66" s="27"/>
      <c r="V66" s="27"/>
      <c r="W66" s="27"/>
      <c r="X66" s="27"/>
      <c r="Y66" s="27"/>
    </row>
    <row r="67" ht="15.75" customHeight="1">
      <c r="A67" s="105" t="s">
        <v>311</v>
      </c>
      <c r="B67" s="19" t="str">
        <f t="array" ref="B67">XLOOKUP(A67,Data!F:F,Data!G:G)</f>
        <v>A1A</v>
      </c>
      <c r="C67" s="19" t="str">
        <f t="shared" si="3"/>
        <v>A004</v>
      </c>
      <c r="D67" s="19" t="str">
        <f t="array" ref="D67">XLOOKUP(A67,Data!F:F,Data!C:C)</f>
        <v/>
      </c>
      <c r="E67" s="19" t="str">
        <f t="array" ref="E67">XLOOKUP(A67,Data!F:F,Data!H:H)</f>
        <v>BW</v>
      </c>
      <c r="F67" s="106" t="str">
        <f>SUMIFS(Data!J:J,Data!F:F,A67)</f>
        <v>1</v>
      </c>
      <c r="G67" s="106" t="str">
        <f>SUMIFS(Cast!C:C,CastElements,A67)</f>
        <v>1</v>
      </c>
      <c r="H67" s="106" t="str">
        <f t="shared" si="4"/>
        <v>0</v>
      </c>
      <c r="I67" s="106" t="str">
        <f>SUMIFS(Del!C:C,Del!B:B,A67)</f>
        <v>0</v>
      </c>
      <c r="J67" s="106" t="str">
        <f t="shared" si="5"/>
        <v>1</v>
      </c>
      <c r="K67" s="106" t="str">
        <f t="shared" si="6"/>
        <v>1</v>
      </c>
      <c r="L67" s="106"/>
      <c r="M67" s="106" t="str">
        <f>SUMIFS(Ere!C:C,Ere!B:B,A67)</f>
        <v>0</v>
      </c>
      <c r="N67" s="106" t="str">
        <f t="shared" si="7"/>
        <v>1</v>
      </c>
      <c r="O67" s="107" t="str">
        <f t="array" ref="O67">XLOOKUP(A67,Data!F:F,Data!O:O)</f>
        <v>  2.16 </v>
      </c>
      <c r="P67" s="107" t="str">
        <f t="shared" si="8"/>
        <v>  5.40 </v>
      </c>
      <c r="Q67" s="27"/>
    </row>
    <row r="68" ht="15.75" customHeight="1">
      <c r="A68" s="105" t="s">
        <v>312</v>
      </c>
      <c r="B68" s="19" t="str">
        <f t="array" ref="B68">XLOOKUP(A68,Data!F:F,Data!G:G)</f>
        <v>A1A</v>
      </c>
      <c r="C68" s="19" t="str">
        <f t="shared" si="3"/>
        <v>A004</v>
      </c>
      <c r="D68" s="19" t="str">
        <f t="array" ref="D68">XLOOKUP(A68,Data!F:F,Data!C:C)</f>
        <v/>
      </c>
      <c r="E68" s="19" t="str">
        <f t="array" ref="E68">XLOOKUP(A68,Data!F:F,Data!H:H)</f>
        <v>BW</v>
      </c>
      <c r="F68" s="106" t="str">
        <f>SUMIFS(Data!J:J,Data!F:F,A68)</f>
        <v>1</v>
      </c>
      <c r="G68" s="106" t="str">
        <f>SUMIFS(Cast!C:C,CastElements,A68)</f>
        <v>1</v>
      </c>
      <c r="H68" s="106" t="str">
        <f t="shared" si="4"/>
        <v>0</v>
      </c>
      <c r="I68" s="106" t="str">
        <f>SUMIFS(Del!C:C,Del!B:B,A68)</f>
        <v>0</v>
      </c>
      <c r="J68" s="106" t="str">
        <f t="shared" si="5"/>
        <v>1</v>
      </c>
      <c r="K68" s="106" t="str">
        <f t="shared" si="6"/>
        <v>1</v>
      </c>
      <c r="L68" s="106"/>
      <c r="M68" s="106" t="str">
        <f>SUMIFS(Ere!C:C,Ere!B:B,A68)</f>
        <v>0</v>
      </c>
      <c r="N68" s="106" t="str">
        <f t="shared" si="7"/>
        <v>1</v>
      </c>
      <c r="O68" s="107" t="str">
        <f t="array" ref="O68">XLOOKUP(A68,Data!F:F,Data!O:O)</f>
        <v>  2.16 </v>
      </c>
      <c r="P68" s="107" t="str">
        <f t="shared" si="8"/>
        <v>  5.40 </v>
      </c>
      <c r="Q68" s="27"/>
    </row>
    <row r="69" ht="15.75" customHeight="1">
      <c r="A69" s="105" t="s">
        <v>313</v>
      </c>
      <c r="B69" s="19" t="str">
        <f t="array" ref="B69">XLOOKUP(A69,Data!F:F,Data!G:G)</f>
        <v>A1A</v>
      </c>
      <c r="C69" s="19" t="str">
        <f t="shared" si="3"/>
        <v>A004</v>
      </c>
      <c r="D69" s="19" t="str">
        <f t="array" ref="D69">XLOOKUP(A69,Data!F:F,Data!C:C)</f>
        <v/>
      </c>
      <c r="E69" s="19" t="str">
        <f t="array" ref="E69">XLOOKUP(A69,Data!F:F,Data!H:H)</f>
        <v>BW</v>
      </c>
      <c r="F69" s="106" t="str">
        <f>SUMIFS(Data!J:J,Data!F:F,A69)</f>
        <v>1</v>
      </c>
      <c r="G69" s="106" t="str">
        <f>SUMIFS(Cast!C:C,CastElements,A69)</f>
        <v>1</v>
      </c>
      <c r="H69" s="106" t="str">
        <f t="shared" si="4"/>
        <v>0</v>
      </c>
      <c r="I69" s="106" t="str">
        <f>SUMIFS(Del!C:C,Del!B:B,A69)</f>
        <v>0</v>
      </c>
      <c r="J69" s="106" t="str">
        <f t="shared" si="5"/>
        <v>1</v>
      </c>
      <c r="K69" s="106" t="str">
        <f t="shared" si="6"/>
        <v>1</v>
      </c>
      <c r="L69" s="106"/>
      <c r="M69" s="106" t="str">
        <f>SUMIFS(Ere!C:C,Ere!B:B,A69)</f>
        <v>0</v>
      </c>
      <c r="N69" s="106" t="str">
        <f t="shared" si="7"/>
        <v>1</v>
      </c>
      <c r="O69" s="107" t="str">
        <f t="array" ref="O69">XLOOKUP(A69,Data!F:F,Data!O:O)</f>
        <v>  2.16 </v>
      </c>
      <c r="P69" s="107" t="str">
        <f t="shared" si="8"/>
        <v>  5.40 </v>
      </c>
      <c r="Q69" s="27"/>
    </row>
    <row r="70" ht="15.75" customHeight="1">
      <c r="A70" s="105" t="s">
        <v>314</v>
      </c>
      <c r="B70" s="19" t="str">
        <f t="array" ref="B70">XLOOKUP(A70,Data!F:F,Data!G:G)</f>
        <v>A1A</v>
      </c>
      <c r="C70" s="19" t="str">
        <f t="shared" si="3"/>
        <v>A004</v>
      </c>
      <c r="D70" s="19" t="str">
        <f t="array" ref="D70">XLOOKUP(A70,Data!F:F,Data!C:C)</f>
        <v/>
      </c>
      <c r="E70" s="19" t="str">
        <f t="array" ref="E70">XLOOKUP(A70,Data!F:F,Data!H:H)</f>
        <v>BW</v>
      </c>
      <c r="F70" s="106" t="str">
        <f>SUMIFS(Data!J:J,Data!F:F,A70)</f>
        <v>1</v>
      </c>
      <c r="G70" s="106" t="str">
        <f>SUMIFS(Cast!C:C,CastElements,A70)</f>
        <v>1</v>
      </c>
      <c r="H70" s="106" t="str">
        <f t="shared" si="4"/>
        <v>0</v>
      </c>
      <c r="I70" s="106" t="str">
        <f>SUMIFS(Del!C:C,Del!B:B,A70)</f>
        <v>0</v>
      </c>
      <c r="J70" s="106" t="str">
        <f t="shared" si="5"/>
        <v>1</v>
      </c>
      <c r="K70" s="106" t="str">
        <f t="shared" si="6"/>
        <v>1</v>
      </c>
      <c r="L70" s="106"/>
      <c r="M70" s="106" t="str">
        <f>SUMIFS(Ere!C:C,Ere!B:B,A70)</f>
        <v>0</v>
      </c>
      <c r="N70" s="106" t="str">
        <f t="shared" si="7"/>
        <v>1</v>
      </c>
      <c r="O70" s="107" t="str">
        <f t="array" ref="O70">XLOOKUP(A70,Data!F:F,Data!O:O)</f>
        <v>  1.82 </v>
      </c>
      <c r="P70" s="107" t="str">
        <f t="shared" si="8"/>
        <v>  4.56 </v>
      </c>
      <c r="Q70" s="27"/>
    </row>
    <row r="71" ht="15.75" customHeight="1">
      <c r="A71" s="105" t="s">
        <v>315</v>
      </c>
      <c r="B71" s="19" t="str">
        <f t="array" ref="B71">XLOOKUP(A71,Data!F:F,Data!G:G)</f>
        <v>A1A</v>
      </c>
      <c r="C71" s="19" t="str">
        <f t="shared" si="3"/>
        <v>A004</v>
      </c>
      <c r="D71" s="19" t="str">
        <f t="array" ref="D71">XLOOKUP(A71,Data!F:F,Data!C:C)</f>
        <v/>
      </c>
      <c r="E71" s="19" t="str">
        <f t="array" ref="E71">XLOOKUP(A71,Data!F:F,Data!H:H)</f>
        <v>BW</v>
      </c>
      <c r="F71" s="106" t="str">
        <f>SUMIFS(Data!J:J,Data!F:F,A71)</f>
        <v>1</v>
      </c>
      <c r="G71" s="106" t="str">
        <f>SUMIFS(Cast!C:C,CastElements,A71)</f>
        <v>0</v>
      </c>
      <c r="H71" s="106" t="str">
        <f t="shared" si="4"/>
        <v>1</v>
      </c>
      <c r="I71" s="106" t="str">
        <f>SUMIFS(Del!C:C,Del!B:B,A71)</f>
        <v>0</v>
      </c>
      <c r="J71" s="106" t="str">
        <f t="shared" si="5"/>
        <v>1</v>
      </c>
      <c r="K71" s="106" t="str">
        <f t="shared" si="6"/>
        <v>0</v>
      </c>
      <c r="L71" s="106"/>
      <c r="M71" s="106" t="str">
        <f>SUMIFS(Ere!C:C,Ere!B:B,A71)</f>
        <v>0</v>
      </c>
      <c r="N71" s="106" t="str">
        <f t="shared" si="7"/>
        <v>1</v>
      </c>
      <c r="O71" s="107" t="str">
        <f t="array" ref="O71">XLOOKUP(A71,Data!F:F,Data!O:O)</f>
        <v>  0.64 </v>
      </c>
      <c r="P71" s="107" t="str">
        <f t="shared" si="8"/>
        <v>  1.61 </v>
      </c>
      <c r="Q71" s="27"/>
    </row>
    <row r="72" ht="15.75" customHeight="1">
      <c r="A72" s="105" t="s">
        <v>316</v>
      </c>
      <c r="B72" s="19" t="str">
        <f t="array" ref="B72">XLOOKUP(A72,Data!F:F,Data!G:G)</f>
        <v>A1A</v>
      </c>
      <c r="C72" s="19" t="str">
        <f t="shared" si="3"/>
        <v>A004</v>
      </c>
      <c r="D72" s="19" t="str">
        <f t="array" ref="D72">XLOOKUP(A72,Data!F:F,Data!C:C)</f>
        <v/>
      </c>
      <c r="E72" s="19" t="str">
        <f t="array" ref="E72">XLOOKUP(A72,Data!F:F,Data!H:H)</f>
        <v>BW</v>
      </c>
      <c r="F72" s="106" t="str">
        <f>SUMIFS(Data!J:J,Data!F:F,A72)</f>
        <v>1</v>
      </c>
      <c r="G72" s="106" t="str">
        <f>SUMIFS(Cast!C:C,CastElements,A72)</f>
        <v>0</v>
      </c>
      <c r="H72" s="106" t="str">
        <f t="shared" si="4"/>
        <v>1</v>
      </c>
      <c r="I72" s="106" t="str">
        <f>SUMIFS(Del!C:C,Del!B:B,A72)</f>
        <v>0</v>
      </c>
      <c r="J72" s="106" t="str">
        <f t="shared" si="5"/>
        <v>1</v>
      </c>
      <c r="K72" s="106" t="str">
        <f t="shared" si="6"/>
        <v>0</v>
      </c>
      <c r="L72" s="106"/>
      <c r="M72" s="106" t="str">
        <f>SUMIFS(Ere!C:C,Ere!B:B,A72)</f>
        <v>0</v>
      </c>
      <c r="N72" s="106" t="str">
        <f t="shared" si="7"/>
        <v>1</v>
      </c>
      <c r="O72" s="107" t="str">
        <f t="array" ref="O72">XLOOKUP(A72,Data!F:F,Data!O:O)</f>
        <v>  0.58 </v>
      </c>
      <c r="P72" s="107" t="str">
        <f t="shared" si="8"/>
        <v>  1.45 </v>
      </c>
      <c r="Q72" s="27"/>
    </row>
    <row r="73" ht="15.75" customHeight="1">
      <c r="A73" s="105" t="s">
        <v>317</v>
      </c>
      <c r="B73" s="19" t="str">
        <f t="array" ref="B73">XLOOKUP(A73,Data!F:F,Data!G:G)</f>
        <v>A1A</v>
      </c>
      <c r="C73" s="19" t="str">
        <f t="shared" si="3"/>
        <v>A004</v>
      </c>
      <c r="D73" s="19" t="str">
        <f t="array" ref="D73">XLOOKUP(A73,Data!F:F,Data!C:C)</f>
        <v/>
      </c>
      <c r="E73" s="19" t="str">
        <f t="array" ref="E73">XLOOKUP(A73,Data!F:F,Data!H:H)</f>
        <v>CF</v>
      </c>
      <c r="F73" s="106" t="str">
        <f>SUMIFS(Data!J:J,Data!F:F,A73)</f>
        <v>1</v>
      </c>
      <c r="G73" s="106" t="str">
        <f>SUMIFS(Cast!C:C,CastElements,A73)</f>
        <v>0</v>
      </c>
      <c r="H73" s="106" t="str">
        <f t="shared" si="4"/>
        <v>1</v>
      </c>
      <c r="I73" s="106" t="str">
        <f>SUMIFS(Del!C:C,Del!B:B,A73)</f>
        <v>0</v>
      </c>
      <c r="J73" s="106" t="str">
        <f t="shared" si="5"/>
        <v>1</v>
      </c>
      <c r="K73" s="106" t="str">
        <f t="shared" si="6"/>
        <v>0</v>
      </c>
      <c r="L73" s="106"/>
      <c r="M73" s="106" t="str">
        <f>SUMIFS(Ere!C:C,Ere!B:B,A73)</f>
        <v>0</v>
      </c>
      <c r="N73" s="106" t="str">
        <f t="shared" si="7"/>
        <v>1</v>
      </c>
      <c r="O73" s="107" t="str">
        <f t="array" ref="O73">XLOOKUP(A73,Data!F:F,Data!O:O)</f>
        <v>  0.47 </v>
      </c>
      <c r="P73" s="107" t="str">
        <f t="shared" si="8"/>
        <v>  1.18 </v>
      </c>
      <c r="Q73" s="27"/>
    </row>
    <row r="74" ht="15.75" customHeight="1">
      <c r="A74" s="105" t="s">
        <v>318</v>
      </c>
      <c r="B74" s="19" t="str">
        <f t="array" ref="B74">XLOOKUP(A74,Data!F:F,Data!G:G)</f>
        <v>A1A</v>
      </c>
      <c r="C74" s="19" t="str">
        <f t="shared" si="3"/>
        <v>A005</v>
      </c>
      <c r="D74" s="19" t="str">
        <f t="array" ref="D74">XLOOKUP(A74,Data!F:F,Data!C:C)</f>
        <v>EXT</v>
      </c>
      <c r="E74" s="19" t="str">
        <f t="array" ref="E74">XLOOKUP(A74,Data!F:F,Data!H:H)</f>
        <v>BW</v>
      </c>
      <c r="F74" s="106" t="str">
        <f>SUMIFS(Data!J:J,Data!F:F,A74)</f>
        <v>1</v>
      </c>
      <c r="G74" s="106" t="str">
        <f>SUMIFS(Cast!C:C,CastElements,A74)</f>
        <v>1</v>
      </c>
      <c r="H74" s="106" t="str">
        <f t="shared" si="4"/>
        <v>0</v>
      </c>
      <c r="I74" s="106" t="str">
        <f>SUMIFS(Del!C:C,Del!B:B,A74)</f>
        <v>0</v>
      </c>
      <c r="J74" s="106" t="str">
        <f t="shared" si="5"/>
        <v>1</v>
      </c>
      <c r="K74" s="106" t="str">
        <f t="shared" si="6"/>
        <v>1</v>
      </c>
      <c r="L74" s="106"/>
      <c r="M74" s="106" t="str">
        <f>SUMIFS(Ere!C:C,Ere!B:B,A74)</f>
        <v>0</v>
      </c>
      <c r="N74" s="106" t="str">
        <f t="shared" si="7"/>
        <v>1</v>
      </c>
      <c r="O74" s="107" t="str">
        <f t="array" ref="O74">XLOOKUP(A74,Data!F:F,Data!O:O)</f>
        <v>  0.89 </v>
      </c>
      <c r="P74" s="107" t="str">
        <f t="shared" si="8"/>
        <v>  2.22 </v>
      </c>
      <c r="Q74" s="27"/>
    </row>
    <row r="75" ht="15.75" customHeight="1">
      <c r="A75" s="105" t="s">
        <v>319</v>
      </c>
      <c r="B75" s="19" t="str">
        <f t="array" ref="B75">XLOOKUP(A75,Data!F:F,Data!G:G)</f>
        <v>A1A</v>
      </c>
      <c r="C75" s="19" t="str">
        <f t="shared" si="3"/>
        <v>A005</v>
      </c>
      <c r="D75" s="19" t="str">
        <f t="array" ref="D75">XLOOKUP(A75,Data!F:F,Data!C:C)</f>
        <v>EXT</v>
      </c>
      <c r="E75" s="19" t="str">
        <f t="array" ref="E75">XLOOKUP(A75,Data!F:F,Data!H:H)</f>
        <v>BW</v>
      </c>
      <c r="F75" s="106" t="str">
        <f>SUMIFS(Data!J:J,Data!F:F,A75)</f>
        <v>1</v>
      </c>
      <c r="G75" s="106" t="str">
        <f>SUMIFS(Cast!C:C,CastElements,A75)</f>
        <v>1</v>
      </c>
      <c r="H75" s="106" t="str">
        <f t="shared" si="4"/>
        <v>0</v>
      </c>
      <c r="I75" s="106" t="str">
        <f>SUMIFS(Del!C:C,Del!B:B,A75)</f>
        <v>0</v>
      </c>
      <c r="J75" s="106" t="str">
        <f t="shared" si="5"/>
        <v>1</v>
      </c>
      <c r="K75" s="106" t="str">
        <f t="shared" si="6"/>
        <v>1</v>
      </c>
      <c r="L75" s="106"/>
      <c r="M75" s="106" t="str">
        <f>SUMIFS(Ere!C:C,Ere!B:B,A75)</f>
        <v>0</v>
      </c>
      <c r="N75" s="106" t="str">
        <f t="shared" si="7"/>
        <v>1</v>
      </c>
      <c r="O75" s="107" t="str">
        <f t="array" ref="O75">XLOOKUP(A75,Data!F:F,Data!O:O)</f>
        <v>  1.26 </v>
      </c>
      <c r="P75" s="107" t="str">
        <f t="shared" si="8"/>
        <v>  3.16 </v>
      </c>
      <c r="Q75" s="27"/>
    </row>
    <row r="76" ht="15.75" customHeight="1">
      <c r="A76" s="105" t="s">
        <v>320</v>
      </c>
      <c r="B76" s="19" t="str">
        <f t="array" ref="B76">XLOOKUP(A76,Data!F:F,Data!G:G)</f>
        <v>A1A</v>
      </c>
      <c r="C76" s="19" t="str">
        <f t="shared" si="3"/>
        <v>A005</v>
      </c>
      <c r="D76" s="19" t="str">
        <f t="array" ref="D76">XLOOKUP(A76,Data!F:F,Data!C:C)</f>
        <v>EXT</v>
      </c>
      <c r="E76" s="19" t="str">
        <f t="array" ref="E76">XLOOKUP(A76,Data!F:F,Data!H:H)</f>
        <v>BW</v>
      </c>
      <c r="F76" s="106" t="str">
        <f>SUMIFS(Data!J:J,Data!F:F,A76)</f>
        <v>1</v>
      </c>
      <c r="G76" s="106" t="str">
        <f>SUMIFS(Cast!C:C,CastElements,A76)</f>
        <v>1</v>
      </c>
      <c r="H76" s="106" t="str">
        <f t="shared" si="4"/>
        <v>0</v>
      </c>
      <c r="I76" s="106" t="str">
        <f>SUMIFS(Del!C:C,Del!B:B,A76)</f>
        <v>0</v>
      </c>
      <c r="J76" s="106" t="str">
        <f t="shared" si="5"/>
        <v>1</v>
      </c>
      <c r="K76" s="106" t="str">
        <f t="shared" si="6"/>
        <v>1</v>
      </c>
      <c r="L76" s="106"/>
      <c r="M76" s="106" t="str">
        <f>SUMIFS(Ere!C:C,Ere!B:B,A76)</f>
        <v>0</v>
      </c>
      <c r="N76" s="106" t="str">
        <f t="shared" si="7"/>
        <v>1</v>
      </c>
      <c r="O76" s="107" t="str">
        <f t="array" ref="O76">XLOOKUP(A76,Data!F:F,Data!O:O)</f>
        <v>  1.20 </v>
      </c>
      <c r="P76" s="107" t="str">
        <f t="shared" si="8"/>
        <v>  3.01 </v>
      </c>
      <c r="Q76" s="27"/>
    </row>
    <row r="77" ht="15.75" customHeight="1">
      <c r="A77" s="105" t="s">
        <v>321</v>
      </c>
      <c r="B77" s="19" t="str">
        <f t="array" ref="B77">XLOOKUP(A77,Data!F:F,Data!G:G)</f>
        <v>A1A</v>
      </c>
      <c r="C77" s="19" t="str">
        <f t="shared" si="3"/>
        <v>A005</v>
      </c>
      <c r="D77" s="19" t="str">
        <f t="array" ref="D77">XLOOKUP(A77,Data!F:F,Data!C:C)</f>
        <v>EXT</v>
      </c>
      <c r="E77" s="19" t="str">
        <f t="array" ref="E77">XLOOKUP(A77,Data!F:F,Data!H:H)</f>
        <v>BW</v>
      </c>
      <c r="F77" s="106" t="str">
        <f>SUMIFS(Data!J:J,Data!F:F,A77)</f>
        <v>1</v>
      </c>
      <c r="G77" s="106" t="str">
        <f>SUMIFS(Cast!C:C,CastElements,A77)</f>
        <v>1</v>
      </c>
      <c r="H77" s="106" t="str">
        <f t="shared" si="4"/>
        <v>0</v>
      </c>
      <c r="I77" s="106" t="str">
        <f>SUMIFS(Del!C:C,Del!B:B,A77)</f>
        <v>0</v>
      </c>
      <c r="J77" s="106" t="str">
        <f t="shared" si="5"/>
        <v>1</v>
      </c>
      <c r="K77" s="106" t="str">
        <f t="shared" si="6"/>
        <v>1</v>
      </c>
      <c r="L77" s="106"/>
      <c r="M77" s="106" t="str">
        <f>SUMIFS(Ere!C:C,Ere!B:B,A77)</f>
        <v>0</v>
      </c>
      <c r="N77" s="106" t="str">
        <f t="shared" si="7"/>
        <v>1</v>
      </c>
      <c r="O77" s="107" t="str">
        <f t="array" ref="O77">XLOOKUP(A77,Data!F:F,Data!O:O)</f>
        <v>  0.95 </v>
      </c>
      <c r="P77" s="107" t="str">
        <f t="shared" si="8"/>
        <v>  2.37 </v>
      </c>
      <c r="Q77" s="27"/>
    </row>
    <row r="78" ht="15.75" customHeight="1">
      <c r="A78" s="105" t="s">
        <v>322</v>
      </c>
      <c r="B78" s="19" t="str">
        <f t="array" ref="B78">XLOOKUP(A78,Data!F:F,Data!G:G)</f>
        <v>A1A</v>
      </c>
      <c r="C78" s="19" t="str">
        <f t="shared" si="3"/>
        <v>A005</v>
      </c>
      <c r="D78" s="19" t="str">
        <f t="array" ref="D78">XLOOKUP(A78,Data!F:F,Data!C:C)</f>
        <v>EXT</v>
      </c>
      <c r="E78" s="19" t="str">
        <f t="array" ref="E78">XLOOKUP(A78,Data!F:F,Data!H:H)</f>
        <v>BW</v>
      </c>
      <c r="F78" s="106" t="str">
        <f>SUMIFS(Data!J:J,Data!F:F,A78)</f>
        <v>1</v>
      </c>
      <c r="G78" s="106" t="str">
        <f>SUMIFS(Cast!C:C,CastElements,A78)</f>
        <v>0</v>
      </c>
      <c r="H78" s="106" t="str">
        <f t="shared" si="4"/>
        <v>1</v>
      </c>
      <c r="I78" s="106" t="str">
        <f>SUMIFS(Del!C:C,Del!B:B,A78)</f>
        <v>0</v>
      </c>
      <c r="J78" s="106" t="str">
        <f t="shared" si="5"/>
        <v>1</v>
      </c>
      <c r="K78" s="106" t="str">
        <f t="shared" si="6"/>
        <v>0</v>
      </c>
      <c r="L78" s="106"/>
      <c r="M78" s="106" t="str">
        <f>SUMIFS(Ere!C:C,Ere!B:B,A78)</f>
        <v>0</v>
      </c>
      <c r="N78" s="106" t="str">
        <f t="shared" si="7"/>
        <v>1</v>
      </c>
      <c r="O78" s="107" t="str">
        <f t="array" ref="O78">XLOOKUP(A78,Data!F:F,Data!O:O)</f>
        <v>  1.56 </v>
      </c>
      <c r="P78" s="107" t="str">
        <f t="shared" si="8"/>
        <v>  3.90 </v>
      </c>
      <c r="Q78" s="27"/>
    </row>
    <row r="79" ht="15.75" customHeight="1">
      <c r="A79" s="105" t="s">
        <v>323</v>
      </c>
      <c r="B79" s="19" t="str">
        <f t="array" ref="B79">XLOOKUP(A79,Data!F:F,Data!G:G)</f>
        <v>A1A</v>
      </c>
      <c r="C79" s="19" t="str">
        <f t="shared" si="3"/>
        <v>A005</v>
      </c>
      <c r="D79" s="19" t="str">
        <f t="array" ref="D79">XLOOKUP(A79,Data!F:F,Data!C:C)</f>
        <v>EXT</v>
      </c>
      <c r="E79" s="19" t="str">
        <f t="array" ref="E79">XLOOKUP(A79,Data!F:F,Data!H:H)</f>
        <v>BW</v>
      </c>
      <c r="F79" s="106" t="str">
        <f>SUMIFS(Data!J:J,Data!F:F,A79)</f>
        <v>1</v>
      </c>
      <c r="G79" s="106" t="str">
        <f>SUMIFS(Cast!C:C,CastElements,A79)</f>
        <v>0</v>
      </c>
      <c r="H79" s="106" t="str">
        <f t="shared" si="4"/>
        <v>1</v>
      </c>
      <c r="I79" s="106" t="str">
        <f>SUMIFS(Del!C:C,Del!B:B,A79)</f>
        <v>0</v>
      </c>
      <c r="J79" s="106" t="str">
        <f t="shared" si="5"/>
        <v>1</v>
      </c>
      <c r="K79" s="106" t="str">
        <f t="shared" si="6"/>
        <v>0</v>
      </c>
      <c r="L79" s="106"/>
      <c r="M79" s="106" t="str">
        <f>SUMIFS(Ere!C:C,Ere!B:B,A79)</f>
        <v>0</v>
      </c>
      <c r="N79" s="106" t="str">
        <f t="shared" si="7"/>
        <v>1</v>
      </c>
      <c r="O79" s="107" t="str">
        <f t="array" ref="O79">XLOOKUP(A79,Data!F:F,Data!O:O)</f>
        <v>  1.64 </v>
      </c>
      <c r="P79" s="107" t="str">
        <f t="shared" si="8"/>
        <v>  4.10 </v>
      </c>
      <c r="Q79" s="27"/>
    </row>
    <row r="80" ht="15.75" customHeight="1">
      <c r="A80" s="105" t="s">
        <v>324</v>
      </c>
      <c r="B80" s="19" t="str">
        <f t="array" ref="B80">XLOOKUP(A80,Data!F:F,Data!G:G)</f>
        <v>A1A</v>
      </c>
      <c r="C80" s="19" t="str">
        <f t="shared" si="3"/>
        <v>A005</v>
      </c>
      <c r="D80" s="19" t="str">
        <f t="array" ref="D80">XLOOKUP(A80,Data!F:F,Data!C:C)</f>
        <v/>
      </c>
      <c r="E80" s="19" t="str">
        <f t="array" ref="E80">XLOOKUP(A80,Data!F:F,Data!H:H)</f>
        <v>BW</v>
      </c>
      <c r="F80" s="106" t="str">
        <f>SUMIFS(Data!J:J,Data!F:F,A80)</f>
        <v>1</v>
      </c>
      <c r="G80" s="106" t="str">
        <f>SUMIFS(Cast!C:C,CastElements,A80)</f>
        <v>1</v>
      </c>
      <c r="H80" s="106" t="str">
        <f t="shared" si="4"/>
        <v>0</v>
      </c>
      <c r="I80" s="106" t="str">
        <f>SUMIFS(Del!C:C,Del!B:B,A80)</f>
        <v>0</v>
      </c>
      <c r="J80" s="106" t="str">
        <f t="shared" si="5"/>
        <v>1</v>
      </c>
      <c r="K80" s="106" t="str">
        <f t="shared" si="6"/>
        <v>1</v>
      </c>
      <c r="L80" s="106"/>
      <c r="M80" s="106" t="str">
        <f>SUMIFS(Ere!C:C,Ere!B:B,A80)</f>
        <v>0</v>
      </c>
      <c r="N80" s="106" t="str">
        <f t="shared" si="7"/>
        <v>1</v>
      </c>
      <c r="O80" s="107" t="str">
        <f t="array" ref="O80">XLOOKUP(A80,Data!F:F,Data!O:O)</f>
        <v>  2.15 </v>
      </c>
      <c r="P80" s="107" t="str">
        <f t="shared" si="8"/>
        <v>  5.39 </v>
      </c>
      <c r="Q80" s="27"/>
    </row>
    <row r="81" ht="15.75" customHeight="1">
      <c r="A81" s="105" t="s">
        <v>325</v>
      </c>
      <c r="B81" s="19" t="str">
        <f t="array" ref="B81">XLOOKUP(A81,Data!F:F,Data!G:G)</f>
        <v>A1A</v>
      </c>
      <c r="C81" s="19" t="str">
        <f t="shared" si="3"/>
        <v>A005</v>
      </c>
      <c r="D81" s="19" t="str">
        <f t="array" ref="D81">XLOOKUP(A81,Data!F:F,Data!C:C)</f>
        <v/>
      </c>
      <c r="E81" s="19" t="str">
        <f t="array" ref="E81">XLOOKUP(A81,Data!F:F,Data!H:H)</f>
        <v>BW</v>
      </c>
      <c r="F81" s="106" t="str">
        <f>SUMIFS(Data!J:J,Data!F:F,A81)</f>
        <v>1</v>
      </c>
      <c r="G81" s="106" t="str">
        <f>SUMIFS(Cast!C:C,CastElements,A81)</f>
        <v>1</v>
      </c>
      <c r="H81" s="106" t="str">
        <f t="shared" si="4"/>
        <v>0</v>
      </c>
      <c r="I81" s="106" t="str">
        <f>SUMIFS(Del!C:C,Del!B:B,A81)</f>
        <v>0</v>
      </c>
      <c r="J81" s="106" t="str">
        <f t="shared" si="5"/>
        <v>1</v>
      </c>
      <c r="K81" s="106" t="str">
        <f t="shared" si="6"/>
        <v>1</v>
      </c>
      <c r="L81" s="106"/>
      <c r="M81" s="106" t="str">
        <f>SUMIFS(Ere!C:C,Ere!B:B,A81)</f>
        <v>0</v>
      </c>
      <c r="N81" s="106" t="str">
        <f t="shared" si="7"/>
        <v>1</v>
      </c>
      <c r="O81" s="107" t="str">
        <f t="array" ref="O81">XLOOKUP(A81,Data!F:F,Data!O:O)</f>
        <v>  1.97 </v>
      </c>
      <c r="P81" s="107" t="str">
        <f t="shared" si="8"/>
        <v>  4.91 </v>
      </c>
      <c r="Q81" s="27"/>
    </row>
    <row r="82" ht="15.75" customHeight="1">
      <c r="A82" s="105" t="s">
        <v>326</v>
      </c>
      <c r="B82" s="19" t="str">
        <f t="array" ref="B82">XLOOKUP(A82,Data!F:F,Data!G:G)</f>
        <v>A1A</v>
      </c>
      <c r="C82" s="19" t="str">
        <f t="shared" si="3"/>
        <v>A005</v>
      </c>
      <c r="D82" s="19" t="str">
        <f t="array" ref="D82">XLOOKUP(A82,Data!F:F,Data!C:C)</f>
        <v/>
      </c>
      <c r="E82" s="19" t="str">
        <f t="array" ref="E82">XLOOKUP(A82,Data!F:F,Data!H:H)</f>
        <v>BW</v>
      </c>
      <c r="F82" s="106" t="str">
        <f>SUMIFS(Data!J:J,Data!F:F,A82)</f>
        <v>1</v>
      </c>
      <c r="G82" s="106" t="str">
        <f>SUMIFS(Cast!C:C,CastElements,A82)</f>
        <v>1</v>
      </c>
      <c r="H82" s="106" t="str">
        <f t="shared" si="4"/>
        <v>0</v>
      </c>
      <c r="I82" s="106" t="str">
        <f>SUMIFS(Del!C:C,Del!B:B,A82)</f>
        <v>0</v>
      </c>
      <c r="J82" s="106" t="str">
        <f t="shared" si="5"/>
        <v>1</v>
      </c>
      <c r="K82" s="106" t="str">
        <f t="shared" si="6"/>
        <v>1</v>
      </c>
      <c r="L82" s="106"/>
      <c r="M82" s="106" t="str">
        <f>SUMIFS(Ere!C:C,Ere!B:B,A82)</f>
        <v>0</v>
      </c>
      <c r="N82" s="106" t="str">
        <f t="shared" si="7"/>
        <v>1</v>
      </c>
      <c r="O82" s="107" t="str">
        <f t="array" ref="O82">XLOOKUP(A82,Data!F:F,Data!O:O)</f>
        <v>  1.97 </v>
      </c>
      <c r="P82" s="107" t="str">
        <f t="shared" si="8"/>
        <v>  4.91 </v>
      </c>
      <c r="Q82" s="27"/>
    </row>
    <row r="83" ht="15.75" customHeight="1">
      <c r="A83" s="105" t="s">
        <v>327</v>
      </c>
      <c r="B83" s="19" t="str">
        <f t="array" ref="B83">XLOOKUP(A83,Data!F:F,Data!G:G)</f>
        <v>A1A</v>
      </c>
      <c r="C83" s="19" t="str">
        <f t="shared" si="3"/>
        <v>A005</v>
      </c>
      <c r="D83" s="19" t="str">
        <f t="array" ref="D83">XLOOKUP(A83,Data!F:F,Data!C:C)</f>
        <v/>
      </c>
      <c r="E83" s="19" t="str">
        <f t="array" ref="E83">XLOOKUP(A83,Data!F:F,Data!H:H)</f>
        <v>BW</v>
      </c>
      <c r="F83" s="106" t="str">
        <f>SUMIFS(Data!J:J,Data!F:F,A83)</f>
        <v>1</v>
      </c>
      <c r="G83" s="106" t="str">
        <f>SUMIFS(Cast!C:C,CastElements,A83)</f>
        <v>1</v>
      </c>
      <c r="H83" s="106" t="str">
        <f t="shared" si="4"/>
        <v>0</v>
      </c>
      <c r="I83" s="106" t="str">
        <f>SUMIFS(Del!C:C,Del!B:B,A83)</f>
        <v>0</v>
      </c>
      <c r="J83" s="106" t="str">
        <f t="shared" si="5"/>
        <v>1</v>
      </c>
      <c r="K83" s="106" t="str">
        <f t="shared" si="6"/>
        <v>1</v>
      </c>
      <c r="L83" s="106"/>
      <c r="M83" s="106" t="str">
        <f>SUMIFS(Ere!C:C,Ere!B:B,A83)</f>
        <v>0</v>
      </c>
      <c r="N83" s="106" t="str">
        <f t="shared" si="7"/>
        <v>1</v>
      </c>
      <c r="O83" s="107" t="str">
        <f t="array" ref="O83">XLOOKUP(A83,Data!F:F,Data!O:O)</f>
        <v>  1.97 </v>
      </c>
      <c r="P83" s="107" t="str">
        <f t="shared" si="8"/>
        <v>  4.91 </v>
      </c>
      <c r="Q83" s="27"/>
    </row>
    <row r="84" ht="15.75" customHeight="1">
      <c r="A84" s="105" t="s">
        <v>328</v>
      </c>
      <c r="B84" s="19" t="str">
        <f t="array" ref="B84">XLOOKUP(A84,Data!F:F,Data!G:G)</f>
        <v>A1A</v>
      </c>
      <c r="C84" s="19" t="str">
        <f t="shared" si="3"/>
        <v>A005</v>
      </c>
      <c r="D84" s="19" t="str">
        <f t="array" ref="D84">XLOOKUP(A84,Data!F:F,Data!C:C)</f>
        <v/>
      </c>
      <c r="E84" s="19" t="str">
        <f t="array" ref="E84">XLOOKUP(A84,Data!F:F,Data!H:H)</f>
        <v>BW</v>
      </c>
      <c r="F84" s="106" t="str">
        <f>SUMIFS(Data!J:J,Data!F:F,A84)</f>
        <v>1</v>
      </c>
      <c r="G84" s="106" t="str">
        <f>SUMIFS(Cast!C:C,CastElements,A84)</f>
        <v>0</v>
      </c>
      <c r="H84" s="106" t="str">
        <f t="shared" si="4"/>
        <v>1</v>
      </c>
      <c r="I84" s="106" t="str">
        <f>SUMIFS(Del!C:C,Del!B:B,A84)</f>
        <v>0</v>
      </c>
      <c r="J84" s="106" t="str">
        <f t="shared" si="5"/>
        <v>1</v>
      </c>
      <c r="K84" s="106" t="str">
        <f t="shared" si="6"/>
        <v>0</v>
      </c>
      <c r="L84" s="106"/>
      <c r="M84" s="106" t="str">
        <f>SUMIFS(Ere!C:C,Ere!B:B,A84)</f>
        <v>0</v>
      </c>
      <c r="N84" s="106" t="str">
        <f t="shared" si="7"/>
        <v>1</v>
      </c>
      <c r="O84" s="107" t="str">
        <f t="array" ref="O84">XLOOKUP(A84,Data!F:F,Data!O:O)</f>
        <v>  1.63 </v>
      </c>
      <c r="P84" s="107" t="str">
        <f t="shared" si="8"/>
        <v>  4.07 </v>
      </c>
      <c r="Q84" s="27"/>
    </row>
    <row r="85" ht="15.75" customHeight="1">
      <c r="A85" s="105" t="s">
        <v>329</v>
      </c>
      <c r="B85" s="19" t="str">
        <f t="array" ref="B85">XLOOKUP(A85,Data!F:F,Data!G:G)</f>
        <v>A1A</v>
      </c>
      <c r="C85" s="19" t="str">
        <f t="shared" si="3"/>
        <v>A005</v>
      </c>
      <c r="D85" s="19" t="str">
        <f t="array" ref="D85">XLOOKUP(A85,Data!F:F,Data!C:C)</f>
        <v/>
      </c>
      <c r="E85" s="19" t="str">
        <f t="array" ref="E85">XLOOKUP(A85,Data!F:F,Data!H:H)</f>
        <v>BW</v>
      </c>
      <c r="F85" s="106" t="str">
        <f>SUMIFS(Data!J:J,Data!F:F,A85)</f>
        <v>1</v>
      </c>
      <c r="G85" s="106" t="str">
        <f>SUMIFS(Cast!C:C,CastElements,A85)</f>
        <v>1</v>
      </c>
      <c r="H85" s="106" t="str">
        <f t="shared" si="4"/>
        <v>0</v>
      </c>
      <c r="I85" s="106" t="str">
        <f>SUMIFS(Del!C:C,Del!B:B,A85)</f>
        <v>0</v>
      </c>
      <c r="J85" s="106" t="str">
        <f t="shared" si="5"/>
        <v>1</v>
      </c>
      <c r="K85" s="106" t="str">
        <f t="shared" si="6"/>
        <v>1</v>
      </c>
      <c r="L85" s="106"/>
      <c r="M85" s="106" t="str">
        <f>SUMIFS(Ere!C:C,Ere!B:B,A85)</f>
        <v>0</v>
      </c>
      <c r="N85" s="106" t="str">
        <f t="shared" si="7"/>
        <v>1</v>
      </c>
      <c r="O85" s="107" t="str">
        <f t="array" ref="O85">XLOOKUP(A85,Data!F:F,Data!O:O)</f>
        <v>  1.88 </v>
      </c>
      <c r="P85" s="107" t="str">
        <f t="shared" si="8"/>
        <v>  4.69 </v>
      </c>
      <c r="Q85" s="27"/>
    </row>
    <row r="86" ht="15.75" customHeight="1">
      <c r="A86" s="105" t="s">
        <v>330</v>
      </c>
      <c r="B86" s="19" t="str">
        <f t="array" ref="B86">XLOOKUP(A86,Data!F:F,Data!G:G)</f>
        <v>A1A</v>
      </c>
      <c r="C86" s="19" t="str">
        <f t="shared" si="3"/>
        <v>A005</v>
      </c>
      <c r="D86" s="19" t="str">
        <f t="array" ref="D86">XLOOKUP(A86,Data!F:F,Data!C:C)</f>
        <v/>
      </c>
      <c r="E86" s="19" t="str">
        <f t="array" ref="E86">XLOOKUP(A86,Data!F:F,Data!H:H)</f>
        <v>BW</v>
      </c>
      <c r="F86" s="106" t="str">
        <f>SUMIFS(Data!J:J,Data!F:F,A86)</f>
        <v>1</v>
      </c>
      <c r="G86" s="106" t="str">
        <f>SUMIFS(Cast!C:C,CastElements,A86)</f>
        <v>1</v>
      </c>
      <c r="H86" s="106" t="str">
        <f t="shared" si="4"/>
        <v>0</v>
      </c>
      <c r="I86" s="106" t="str">
        <f>SUMIFS(Del!C:C,Del!B:B,A86)</f>
        <v>0</v>
      </c>
      <c r="J86" s="106" t="str">
        <f t="shared" si="5"/>
        <v>1</v>
      </c>
      <c r="K86" s="106" t="str">
        <f t="shared" si="6"/>
        <v>1</v>
      </c>
      <c r="L86" s="106"/>
      <c r="M86" s="106" t="str">
        <f>SUMIFS(Ere!C:C,Ere!B:B,A86)</f>
        <v>0</v>
      </c>
      <c r="N86" s="106" t="str">
        <f t="shared" si="7"/>
        <v>1</v>
      </c>
      <c r="O86" s="107" t="str">
        <f t="array" ref="O86">XLOOKUP(A86,Data!F:F,Data!O:O)</f>
        <v>  1.93 </v>
      </c>
      <c r="P86" s="107" t="str">
        <f t="shared" si="8"/>
        <v>  4.84 </v>
      </c>
      <c r="Q86" s="27"/>
    </row>
    <row r="87" ht="15.75" customHeight="1">
      <c r="A87" s="105" t="s">
        <v>331</v>
      </c>
      <c r="B87" s="19" t="str">
        <f t="array" ref="B87">XLOOKUP(A87,Data!F:F,Data!G:G)</f>
        <v>A1A</v>
      </c>
      <c r="C87" s="19" t="str">
        <f t="shared" si="3"/>
        <v>A005</v>
      </c>
      <c r="D87" s="19" t="str">
        <f t="array" ref="D87">XLOOKUP(A87,Data!F:F,Data!C:C)</f>
        <v/>
      </c>
      <c r="E87" s="19" t="str">
        <f t="array" ref="E87">XLOOKUP(A87,Data!F:F,Data!H:H)</f>
        <v>BW</v>
      </c>
      <c r="F87" s="106" t="str">
        <f>SUMIFS(Data!J:J,Data!F:F,A87)</f>
        <v>1</v>
      </c>
      <c r="G87" s="106" t="str">
        <f>SUMIFS(Cast!C:C,CastElements,A87)</f>
        <v>1</v>
      </c>
      <c r="H87" s="106" t="str">
        <f t="shared" si="4"/>
        <v>0</v>
      </c>
      <c r="I87" s="106" t="str">
        <f>SUMIFS(Del!C:C,Del!B:B,A87)</f>
        <v>0</v>
      </c>
      <c r="J87" s="106" t="str">
        <f t="shared" si="5"/>
        <v>1</v>
      </c>
      <c r="K87" s="106" t="str">
        <f t="shared" si="6"/>
        <v>1</v>
      </c>
      <c r="L87" s="106"/>
      <c r="M87" s="106" t="str">
        <f>SUMIFS(Ere!C:C,Ere!B:B,A87)</f>
        <v>0</v>
      </c>
      <c r="N87" s="106" t="str">
        <f t="shared" si="7"/>
        <v>1</v>
      </c>
      <c r="O87" s="107" t="str">
        <f t="array" ref="O87">XLOOKUP(A87,Data!F:F,Data!O:O)</f>
        <v>  1.93 </v>
      </c>
      <c r="P87" s="107" t="str">
        <f t="shared" si="8"/>
        <v>  4.84 </v>
      </c>
      <c r="Q87" s="27"/>
    </row>
    <row r="88" ht="15.75" customHeight="1">
      <c r="A88" s="105" t="s">
        <v>332</v>
      </c>
      <c r="B88" s="19" t="str">
        <f t="array" ref="B88">XLOOKUP(A88,Data!F:F,Data!G:G)</f>
        <v>A1A</v>
      </c>
      <c r="C88" s="19" t="str">
        <f t="shared" si="3"/>
        <v>A005</v>
      </c>
      <c r="D88" s="19" t="str">
        <f t="array" ref="D88">XLOOKUP(A88,Data!F:F,Data!C:C)</f>
        <v/>
      </c>
      <c r="E88" s="19" t="str">
        <f t="array" ref="E88">XLOOKUP(A88,Data!F:F,Data!H:H)</f>
        <v>BW</v>
      </c>
      <c r="F88" s="106" t="str">
        <f>SUMIFS(Data!J:J,Data!F:F,A88)</f>
        <v>1</v>
      </c>
      <c r="G88" s="106" t="str">
        <f>SUMIFS(Cast!C:C,CastElements,A88)</f>
        <v>1</v>
      </c>
      <c r="H88" s="106" t="str">
        <f t="shared" si="4"/>
        <v>0</v>
      </c>
      <c r="I88" s="106" t="str">
        <f>SUMIFS(Del!C:C,Del!B:B,A88)</f>
        <v>0</v>
      </c>
      <c r="J88" s="106" t="str">
        <f t="shared" si="5"/>
        <v>1</v>
      </c>
      <c r="K88" s="106" t="str">
        <f t="shared" si="6"/>
        <v>1</v>
      </c>
      <c r="L88" s="106"/>
      <c r="M88" s="106" t="str">
        <f>SUMIFS(Ere!C:C,Ere!B:B,A88)</f>
        <v>0</v>
      </c>
      <c r="N88" s="106" t="str">
        <f t="shared" si="7"/>
        <v>1</v>
      </c>
      <c r="O88" s="107" t="str">
        <f t="array" ref="O88">XLOOKUP(A88,Data!F:F,Data!O:O)</f>
        <v>  1.93 </v>
      </c>
      <c r="P88" s="107" t="str">
        <f t="shared" si="8"/>
        <v>  4.84 </v>
      </c>
      <c r="Q88" s="27"/>
    </row>
    <row r="89" ht="15.75" customHeight="1">
      <c r="A89" s="105" t="s">
        <v>333</v>
      </c>
      <c r="B89" s="19" t="str">
        <f t="array" ref="B89">XLOOKUP(A89,Data!F:F,Data!G:G)</f>
        <v>A1A</v>
      </c>
      <c r="C89" s="19" t="str">
        <f t="shared" si="3"/>
        <v>A005</v>
      </c>
      <c r="D89" s="19" t="str">
        <f t="array" ref="D89">XLOOKUP(A89,Data!F:F,Data!C:C)</f>
        <v/>
      </c>
      <c r="E89" s="19" t="str">
        <f t="array" ref="E89">XLOOKUP(A89,Data!F:F,Data!H:H)</f>
        <v>BW</v>
      </c>
      <c r="F89" s="106" t="str">
        <f>SUMIFS(Data!J:J,Data!F:F,A89)</f>
        <v>1</v>
      </c>
      <c r="G89" s="106" t="str">
        <f>SUMIFS(Cast!C:C,CastElements,A89)</f>
        <v>1</v>
      </c>
      <c r="H89" s="106" t="str">
        <f t="shared" si="4"/>
        <v>0</v>
      </c>
      <c r="I89" s="106" t="str">
        <f>SUMIFS(Del!C:C,Del!B:B,A89)</f>
        <v>0</v>
      </c>
      <c r="J89" s="106" t="str">
        <f t="shared" si="5"/>
        <v>1</v>
      </c>
      <c r="K89" s="106" t="str">
        <f t="shared" si="6"/>
        <v>1</v>
      </c>
      <c r="L89" s="106"/>
      <c r="M89" s="106" t="str">
        <f>SUMIFS(Ere!C:C,Ere!B:B,A89)</f>
        <v>0</v>
      </c>
      <c r="N89" s="106" t="str">
        <f t="shared" si="7"/>
        <v>1</v>
      </c>
      <c r="O89" s="107" t="str">
        <f t="array" ref="O89">XLOOKUP(A89,Data!F:F,Data!O:O)</f>
        <v>  1.60 </v>
      </c>
      <c r="P89" s="107" t="str">
        <f t="shared" si="8"/>
        <v>  3.99 </v>
      </c>
      <c r="Q89" s="27"/>
    </row>
    <row r="90" ht="15.75" customHeight="1">
      <c r="A90" s="105" t="s">
        <v>334</v>
      </c>
      <c r="B90" s="19" t="str">
        <f t="array" ref="B90">XLOOKUP(A90,Data!F:F,Data!G:G)</f>
        <v>A1A</v>
      </c>
      <c r="C90" s="19" t="str">
        <f t="shared" si="3"/>
        <v>A005</v>
      </c>
      <c r="D90" s="19" t="str">
        <f t="array" ref="D90">XLOOKUP(A90,Data!F:F,Data!C:C)</f>
        <v/>
      </c>
      <c r="E90" s="19" t="str">
        <f t="array" ref="E90">XLOOKUP(A90,Data!F:F,Data!H:H)</f>
        <v>BW</v>
      </c>
      <c r="F90" s="106" t="str">
        <f>SUMIFS(Data!J:J,Data!F:F,A90)</f>
        <v>1</v>
      </c>
      <c r="G90" s="106" t="str">
        <f>SUMIFS(Cast!C:C,CastElements,A90)</f>
        <v>0</v>
      </c>
      <c r="H90" s="106" t="str">
        <f t="shared" si="4"/>
        <v>1</v>
      </c>
      <c r="I90" s="106" t="str">
        <f>SUMIFS(Del!C:C,Del!B:B,A90)</f>
        <v>0</v>
      </c>
      <c r="J90" s="106" t="str">
        <f t="shared" si="5"/>
        <v>1</v>
      </c>
      <c r="K90" s="106" t="str">
        <f t="shared" si="6"/>
        <v>0</v>
      </c>
      <c r="L90" s="106"/>
      <c r="M90" s="106" t="str">
        <f>SUMIFS(Ere!C:C,Ere!B:B,A90)</f>
        <v>0</v>
      </c>
      <c r="N90" s="106" t="str">
        <f t="shared" si="7"/>
        <v>1</v>
      </c>
      <c r="O90" s="107" t="str">
        <f t="array" ref="O90">XLOOKUP(A90,Data!F:F,Data!O:O)</f>
        <v>  0.65 </v>
      </c>
      <c r="P90" s="107" t="str">
        <f t="shared" si="8"/>
        <v>  1.62 </v>
      </c>
      <c r="Q90" s="27"/>
    </row>
    <row r="91" ht="15.75" customHeight="1">
      <c r="A91" s="105" t="s">
        <v>335</v>
      </c>
      <c r="B91" s="19" t="str">
        <f t="array" ref="B91">XLOOKUP(A91,Data!F:F,Data!G:G)</f>
        <v>A1A</v>
      </c>
      <c r="C91" s="19" t="str">
        <f t="shared" si="3"/>
        <v>A005</v>
      </c>
      <c r="D91" s="19" t="str">
        <f t="array" ref="D91">XLOOKUP(A91,Data!F:F,Data!C:C)</f>
        <v/>
      </c>
      <c r="E91" s="19" t="str">
        <f t="array" ref="E91">XLOOKUP(A91,Data!F:F,Data!H:H)</f>
        <v>BW</v>
      </c>
      <c r="F91" s="106" t="str">
        <f>SUMIFS(Data!J:J,Data!F:F,A91)</f>
        <v>1</v>
      </c>
      <c r="G91" s="106" t="str">
        <f>SUMIFS(Cast!C:C,CastElements,A91)</f>
        <v>1</v>
      </c>
      <c r="H91" s="106" t="str">
        <f t="shared" si="4"/>
        <v>0</v>
      </c>
      <c r="I91" s="106" t="str">
        <f>SUMIFS(Del!C:C,Del!B:B,A91)</f>
        <v>0</v>
      </c>
      <c r="J91" s="106" t="str">
        <f t="shared" si="5"/>
        <v>1</v>
      </c>
      <c r="K91" s="106" t="str">
        <f t="shared" si="6"/>
        <v>1</v>
      </c>
      <c r="L91" s="106"/>
      <c r="M91" s="106" t="str">
        <f>SUMIFS(Ere!C:C,Ere!B:B,A91)</f>
        <v>0</v>
      </c>
      <c r="N91" s="106" t="str">
        <f t="shared" si="7"/>
        <v>1</v>
      </c>
      <c r="O91" s="107" t="str">
        <f t="array" ref="O91">XLOOKUP(A91,Data!F:F,Data!O:O)</f>
        <v>  0.60 </v>
      </c>
      <c r="P91" s="107" t="str">
        <f t="shared" si="8"/>
        <v>  1.49 </v>
      </c>
      <c r="Q91" s="27"/>
    </row>
    <row r="92" ht="15.75" customHeight="1">
      <c r="A92" s="105" t="s">
        <v>336</v>
      </c>
      <c r="B92" s="19" t="str">
        <f t="array" ref="B92">XLOOKUP(A92,Data!F:F,Data!G:G)</f>
        <v>A1A</v>
      </c>
      <c r="C92" s="19" t="str">
        <f t="shared" si="3"/>
        <v>A005</v>
      </c>
      <c r="D92" s="19" t="str">
        <f t="array" ref="D92">XLOOKUP(A92,Data!F:F,Data!C:C)</f>
        <v/>
      </c>
      <c r="E92" s="19" t="str">
        <f t="array" ref="E92">XLOOKUP(A92,Data!F:F,Data!H:H)</f>
        <v>CF</v>
      </c>
      <c r="F92" s="106" t="str">
        <f>SUMIFS(Data!J:J,Data!F:F,A92)</f>
        <v>1</v>
      </c>
      <c r="G92" s="106" t="str">
        <f>SUMIFS(Cast!C:C,CastElements,A92)</f>
        <v>0</v>
      </c>
      <c r="H92" s="106" t="str">
        <f t="shared" si="4"/>
        <v>1</v>
      </c>
      <c r="I92" s="106" t="str">
        <f>SUMIFS(Del!C:C,Del!B:B,A92)</f>
        <v>0</v>
      </c>
      <c r="J92" s="106" t="str">
        <f t="shared" si="5"/>
        <v>1</v>
      </c>
      <c r="K92" s="106" t="str">
        <f t="shared" si="6"/>
        <v>0</v>
      </c>
      <c r="L92" s="106"/>
      <c r="M92" s="106" t="str">
        <f>SUMIFS(Ere!C:C,Ere!B:B,A92)</f>
        <v>0</v>
      </c>
      <c r="N92" s="106" t="str">
        <f t="shared" si="7"/>
        <v>1</v>
      </c>
      <c r="O92" s="107" t="str">
        <f t="array" ref="O92">XLOOKUP(A92,Data!F:F,Data!O:O)</f>
        <v>  0.47 </v>
      </c>
      <c r="P92" s="107" t="str">
        <f t="shared" si="8"/>
        <v>  1.16 </v>
      </c>
      <c r="Q92" s="27"/>
    </row>
    <row r="93" ht="15.75" customHeight="1">
      <c r="A93" s="105" t="s">
        <v>337</v>
      </c>
      <c r="B93" s="19" t="str">
        <f t="array" ref="B93">XLOOKUP(A93,Data!F:F,Data!G:G)</f>
        <v>A1A</v>
      </c>
      <c r="C93" s="19" t="str">
        <f t="shared" si="3"/>
        <v>A006</v>
      </c>
      <c r="D93" s="19" t="str">
        <f t="array" ref="D93">XLOOKUP(A93,Data!F:F,Data!C:C)</f>
        <v>EXT</v>
      </c>
      <c r="E93" s="19" t="str">
        <f t="array" ref="E93">XLOOKUP(A93,Data!F:F,Data!H:H)</f>
        <v>BW</v>
      </c>
      <c r="F93" s="106" t="str">
        <f>SUMIFS(Data!J:J,Data!F:F,A93)</f>
        <v>1</v>
      </c>
      <c r="G93" s="106" t="str">
        <f>SUMIFS(Cast!C:C,CastElements,A93)</f>
        <v>0</v>
      </c>
      <c r="H93" s="106" t="str">
        <f t="shared" si="4"/>
        <v>1</v>
      </c>
      <c r="I93" s="106" t="str">
        <f>SUMIFS(Del!C:C,Del!B:B,A93)</f>
        <v>0</v>
      </c>
      <c r="J93" s="106" t="str">
        <f t="shared" si="5"/>
        <v>1</v>
      </c>
      <c r="K93" s="106" t="str">
        <f t="shared" si="6"/>
        <v>0</v>
      </c>
      <c r="L93" s="106"/>
      <c r="M93" s="106" t="str">
        <f>SUMIFS(Ere!C:C,Ere!B:B,A93)</f>
        <v>0</v>
      </c>
      <c r="N93" s="106" t="str">
        <f t="shared" si="7"/>
        <v>1</v>
      </c>
      <c r="O93" s="107" t="str">
        <f t="array" ref="O93">XLOOKUP(A93,Data!F:F,Data!O:O)</f>
        <v>  1.20 </v>
      </c>
      <c r="P93" s="107" t="str">
        <f t="shared" si="8"/>
        <v>  2.99 </v>
      </c>
      <c r="Q93" s="27"/>
    </row>
    <row r="94" ht="15.75" customHeight="1">
      <c r="A94" s="105" t="s">
        <v>338</v>
      </c>
      <c r="B94" s="19" t="str">
        <f t="array" ref="B94">XLOOKUP(A94,Data!F:F,Data!G:G)</f>
        <v>A1A</v>
      </c>
      <c r="C94" s="19" t="str">
        <f t="shared" si="3"/>
        <v>A006</v>
      </c>
      <c r="D94" s="19" t="str">
        <f t="array" ref="D94">XLOOKUP(A94,Data!F:F,Data!C:C)</f>
        <v>EXT</v>
      </c>
      <c r="E94" s="19" t="str">
        <f t="array" ref="E94">XLOOKUP(A94,Data!F:F,Data!H:H)</f>
        <v>BW</v>
      </c>
      <c r="F94" s="106" t="str">
        <f>SUMIFS(Data!J:J,Data!F:F,A94)</f>
        <v>1</v>
      </c>
      <c r="G94" s="106" t="str">
        <f>SUMIFS(Cast!C:C,CastElements,A94)</f>
        <v>0</v>
      </c>
      <c r="H94" s="106" t="str">
        <f t="shared" si="4"/>
        <v>1</v>
      </c>
      <c r="I94" s="106" t="str">
        <f>SUMIFS(Del!C:C,Del!B:B,A94)</f>
        <v>0</v>
      </c>
      <c r="J94" s="106" t="str">
        <f t="shared" si="5"/>
        <v>1</v>
      </c>
      <c r="K94" s="106" t="str">
        <f t="shared" si="6"/>
        <v>0</v>
      </c>
      <c r="L94" s="106"/>
      <c r="M94" s="106" t="str">
        <f>SUMIFS(Ere!C:C,Ere!B:B,A94)</f>
        <v>0</v>
      </c>
      <c r="N94" s="106" t="str">
        <f t="shared" si="7"/>
        <v>1</v>
      </c>
      <c r="O94" s="107" t="str">
        <f t="array" ref="O94">XLOOKUP(A94,Data!F:F,Data!O:O)</f>
        <v>  1.71 </v>
      </c>
      <c r="P94" s="107" t="str">
        <f t="shared" si="8"/>
        <v>  4.28 </v>
      </c>
      <c r="Q94" s="27"/>
    </row>
    <row r="95" ht="15.75" customHeight="1">
      <c r="A95" s="105" t="s">
        <v>339</v>
      </c>
      <c r="B95" s="19" t="str">
        <f t="array" ref="B95">XLOOKUP(A95,Data!F:F,Data!G:G)</f>
        <v>A1A</v>
      </c>
      <c r="C95" s="19" t="str">
        <f t="shared" si="3"/>
        <v>A006</v>
      </c>
      <c r="D95" s="19" t="str">
        <f t="array" ref="D95">XLOOKUP(A95,Data!F:F,Data!C:C)</f>
        <v>EXT</v>
      </c>
      <c r="E95" s="19" t="str">
        <f t="array" ref="E95">XLOOKUP(A95,Data!F:F,Data!H:H)</f>
        <v>BW</v>
      </c>
      <c r="F95" s="106" t="str">
        <f>SUMIFS(Data!J:J,Data!F:F,A95)</f>
        <v>1</v>
      </c>
      <c r="G95" s="106" t="str">
        <f>SUMIFS(Cast!C:C,CastElements,A95)</f>
        <v>0</v>
      </c>
      <c r="H95" s="106" t="str">
        <f t="shared" si="4"/>
        <v>1</v>
      </c>
      <c r="I95" s="106" t="str">
        <f>SUMIFS(Del!C:C,Del!B:B,A95)</f>
        <v>0</v>
      </c>
      <c r="J95" s="106" t="str">
        <f t="shared" si="5"/>
        <v>1</v>
      </c>
      <c r="K95" s="106" t="str">
        <f t="shared" si="6"/>
        <v>0</v>
      </c>
      <c r="L95" s="106"/>
      <c r="M95" s="106" t="str">
        <f>SUMIFS(Ere!C:C,Ere!B:B,A95)</f>
        <v>0</v>
      </c>
      <c r="N95" s="106" t="str">
        <f t="shared" si="7"/>
        <v>1</v>
      </c>
      <c r="O95" s="107" t="str">
        <f t="array" ref="O95">XLOOKUP(A95,Data!F:F,Data!O:O)</f>
        <v>  1.44 </v>
      </c>
      <c r="P95" s="107" t="str">
        <f t="shared" si="8"/>
        <v>  3.59 </v>
      </c>
      <c r="Q95" s="27"/>
    </row>
    <row r="96" ht="15.75" customHeight="1">
      <c r="A96" s="105" t="s">
        <v>340</v>
      </c>
      <c r="B96" s="19" t="str">
        <f t="array" ref="B96">XLOOKUP(A96,Data!F:F,Data!G:G)</f>
        <v>A1A</v>
      </c>
      <c r="C96" s="19" t="str">
        <f t="shared" si="3"/>
        <v>A006</v>
      </c>
      <c r="D96" s="19" t="str">
        <f t="array" ref="D96">XLOOKUP(A96,Data!F:F,Data!C:C)</f>
        <v>EXT</v>
      </c>
      <c r="E96" s="19" t="str">
        <f t="array" ref="E96">XLOOKUP(A96,Data!F:F,Data!H:H)</f>
        <v>BW</v>
      </c>
      <c r="F96" s="106" t="str">
        <f>SUMIFS(Data!J:J,Data!F:F,A96)</f>
        <v>1</v>
      </c>
      <c r="G96" s="106" t="str">
        <f>SUMIFS(Cast!C:C,CastElements,A96)</f>
        <v>0</v>
      </c>
      <c r="H96" s="106" t="str">
        <f t="shared" si="4"/>
        <v>1</v>
      </c>
      <c r="I96" s="106" t="str">
        <f>SUMIFS(Del!C:C,Del!B:B,A96)</f>
        <v>0</v>
      </c>
      <c r="J96" s="106" t="str">
        <f t="shared" si="5"/>
        <v>1</v>
      </c>
      <c r="K96" s="106" t="str">
        <f t="shared" si="6"/>
        <v>0</v>
      </c>
      <c r="L96" s="106"/>
      <c r="M96" s="106" t="str">
        <f>SUMIFS(Ere!C:C,Ere!B:B,A96)</f>
        <v>0</v>
      </c>
      <c r="N96" s="106" t="str">
        <f t="shared" si="7"/>
        <v>1</v>
      </c>
      <c r="O96" s="107" t="str">
        <f t="array" ref="O96">XLOOKUP(A96,Data!F:F,Data!O:O)</f>
        <v>  1.31 </v>
      </c>
      <c r="P96" s="107" t="str">
        <f t="shared" si="8"/>
        <v>  3.29 </v>
      </c>
      <c r="Q96" s="27"/>
    </row>
    <row r="97" ht="15.75" customHeight="1">
      <c r="A97" s="105" t="s">
        <v>341</v>
      </c>
      <c r="B97" s="19" t="str">
        <f t="array" ref="B97">XLOOKUP(A97,Data!F:F,Data!G:G)</f>
        <v>A1A</v>
      </c>
      <c r="C97" s="19" t="str">
        <f t="shared" si="3"/>
        <v>A006</v>
      </c>
      <c r="D97" s="19" t="str">
        <f t="array" ref="D97">XLOOKUP(A97,Data!F:F,Data!C:C)</f>
        <v>EXT</v>
      </c>
      <c r="E97" s="19" t="str">
        <f t="array" ref="E97">XLOOKUP(A97,Data!F:F,Data!H:H)</f>
        <v>BW</v>
      </c>
      <c r="F97" s="106" t="str">
        <f>SUMIFS(Data!J:J,Data!F:F,A97)</f>
        <v>1</v>
      </c>
      <c r="G97" s="106" t="str">
        <f>SUMIFS(Cast!C:C,CastElements,A97)</f>
        <v>0</v>
      </c>
      <c r="H97" s="106" t="str">
        <f t="shared" si="4"/>
        <v>1</v>
      </c>
      <c r="I97" s="106" t="str">
        <f>SUMIFS(Del!C:C,Del!B:B,A97)</f>
        <v>0</v>
      </c>
      <c r="J97" s="106" t="str">
        <f t="shared" si="5"/>
        <v>1</v>
      </c>
      <c r="K97" s="106" t="str">
        <f t="shared" si="6"/>
        <v>0</v>
      </c>
      <c r="L97" s="106"/>
      <c r="M97" s="106" t="str">
        <f>SUMIFS(Ere!C:C,Ere!B:B,A97)</f>
        <v>0</v>
      </c>
      <c r="N97" s="106" t="str">
        <f t="shared" si="7"/>
        <v>1</v>
      </c>
      <c r="O97" s="107" t="str">
        <f t="array" ref="O97">XLOOKUP(A97,Data!F:F,Data!O:O)</f>
        <v>  1.81 </v>
      </c>
      <c r="P97" s="107" t="str">
        <f t="shared" si="8"/>
        <v>  4.53 </v>
      </c>
      <c r="Q97" s="27"/>
    </row>
    <row r="98" ht="15.75" customHeight="1">
      <c r="A98" s="105" t="s">
        <v>342</v>
      </c>
      <c r="B98" s="19" t="str">
        <f t="array" ref="B98">XLOOKUP(A98,Data!F:F,Data!G:G)</f>
        <v>A1A</v>
      </c>
      <c r="C98" s="19" t="str">
        <f t="shared" si="3"/>
        <v>A006</v>
      </c>
      <c r="D98" s="19" t="str">
        <f t="array" ref="D98">XLOOKUP(A98,Data!F:F,Data!C:C)</f>
        <v/>
      </c>
      <c r="E98" s="19" t="str">
        <f t="array" ref="E98">XLOOKUP(A98,Data!F:F,Data!H:H)</f>
        <v>BW</v>
      </c>
      <c r="F98" s="106" t="str">
        <f>SUMIFS(Data!J:J,Data!F:F,A98)</f>
        <v>1</v>
      </c>
      <c r="G98" s="106" t="str">
        <f>SUMIFS(Cast!C:C,CastElements,A98)</f>
        <v>1</v>
      </c>
      <c r="H98" s="106" t="str">
        <f t="shared" si="4"/>
        <v>0</v>
      </c>
      <c r="I98" s="106" t="str">
        <f>SUMIFS(Del!C:C,Del!B:B,A98)</f>
        <v>0</v>
      </c>
      <c r="J98" s="106" t="str">
        <f t="shared" si="5"/>
        <v>1</v>
      </c>
      <c r="K98" s="106" t="str">
        <f t="shared" si="6"/>
        <v>1</v>
      </c>
      <c r="L98" s="106"/>
      <c r="M98" s="106" t="str">
        <f>SUMIFS(Ere!C:C,Ere!B:B,A98)</f>
        <v>0</v>
      </c>
      <c r="N98" s="106" t="str">
        <f t="shared" si="7"/>
        <v>1</v>
      </c>
      <c r="O98" s="107" t="str">
        <f t="array" ref="O98">XLOOKUP(A98,Data!F:F,Data!O:O)</f>
        <v>  2.15 </v>
      </c>
      <c r="P98" s="107" t="str">
        <f t="shared" si="8"/>
        <v>  5.38 </v>
      </c>
      <c r="Q98" s="27"/>
    </row>
    <row r="99" ht="15.75" customHeight="1">
      <c r="A99" s="105" t="s">
        <v>343</v>
      </c>
      <c r="B99" s="19" t="str">
        <f t="array" ref="B99">XLOOKUP(A99,Data!F:F,Data!G:G)</f>
        <v>A1A</v>
      </c>
      <c r="C99" s="19" t="str">
        <f t="shared" si="3"/>
        <v>A006</v>
      </c>
      <c r="D99" s="19" t="str">
        <f t="array" ref="D99">XLOOKUP(A99,Data!F:F,Data!C:C)</f>
        <v/>
      </c>
      <c r="E99" s="19" t="str">
        <f t="array" ref="E99">XLOOKUP(A99,Data!F:F,Data!H:H)</f>
        <v>BW</v>
      </c>
      <c r="F99" s="106" t="str">
        <f>SUMIFS(Data!J:J,Data!F:F,A99)</f>
        <v>1</v>
      </c>
      <c r="G99" s="106" t="str">
        <f>SUMIFS(Cast!C:C,CastElements,A99)</f>
        <v>1</v>
      </c>
      <c r="H99" s="106" t="str">
        <f t="shared" si="4"/>
        <v>0</v>
      </c>
      <c r="I99" s="106" t="str">
        <f>SUMIFS(Del!C:C,Del!B:B,A99)</f>
        <v>0</v>
      </c>
      <c r="J99" s="106" t="str">
        <f t="shared" si="5"/>
        <v>1</v>
      </c>
      <c r="K99" s="106" t="str">
        <f t="shared" si="6"/>
        <v>1</v>
      </c>
      <c r="L99" s="106"/>
      <c r="M99" s="106" t="str">
        <f>SUMIFS(Ere!C:C,Ere!B:B,A99)</f>
        <v>0</v>
      </c>
      <c r="N99" s="106" t="str">
        <f t="shared" si="7"/>
        <v>1</v>
      </c>
      <c r="O99" s="107" t="str">
        <f t="array" ref="O99">XLOOKUP(A99,Data!F:F,Data!O:O)</f>
        <v>  1.87 </v>
      </c>
      <c r="P99" s="107" t="str">
        <f t="shared" si="8"/>
        <v>  4.68 </v>
      </c>
      <c r="Q99" s="27"/>
    </row>
    <row r="100" ht="15.75" customHeight="1">
      <c r="A100" s="105" t="s">
        <v>344</v>
      </c>
      <c r="B100" s="19" t="str">
        <f t="array" ref="B100">XLOOKUP(A100,Data!F:F,Data!G:G)</f>
        <v>A1A</v>
      </c>
      <c r="C100" s="19" t="str">
        <f t="shared" si="3"/>
        <v>A006</v>
      </c>
      <c r="D100" s="19" t="str">
        <f t="array" ref="D100">XLOOKUP(A100,Data!F:F,Data!C:C)</f>
        <v/>
      </c>
      <c r="E100" s="19" t="str">
        <f t="array" ref="E100">XLOOKUP(A100,Data!F:F,Data!H:H)</f>
        <v>BW</v>
      </c>
      <c r="F100" s="106" t="str">
        <f>SUMIFS(Data!J:J,Data!F:F,A100)</f>
        <v>1</v>
      </c>
      <c r="G100" s="106" t="str">
        <f>SUMIFS(Cast!C:C,CastElements,A100)</f>
        <v>1</v>
      </c>
      <c r="H100" s="106" t="str">
        <f t="shared" si="4"/>
        <v>0</v>
      </c>
      <c r="I100" s="106" t="str">
        <f>SUMIFS(Del!C:C,Del!B:B,A100)</f>
        <v>0</v>
      </c>
      <c r="J100" s="106" t="str">
        <f t="shared" si="5"/>
        <v>1</v>
      </c>
      <c r="K100" s="106" t="str">
        <f t="shared" si="6"/>
        <v>1</v>
      </c>
      <c r="L100" s="106"/>
      <c r="M100" s="106" t="str">
        <f>SUMIFS(Ere!C:C,Ere!B:B,A100)</f>
        <v>0</v>
      </c>
      <c r="N100" s="106" t="str">
        <f t="shared" si="7"/>
        <v>1</v>
      </c>
      <c r="O100" s="107" t="str">
        <f t="array" ref="O100">XLOOKUP(A100,Data!F:F,Data!O:O)</f>
        <v>  1.87 </v>
      </c>
      <c r="P100" s="107" t="str">
        <f t="shared" si="8"/>
        <v>  4.68 </v>
      </c>
      <c r="Q100" s="27"/>
    </row>
    <row r="101" ht="15.75" customHeight="1">
      <c r="A101" s="105" t="s">
        <v>345</v>
      </c>
      <c r="B101" s="19" t="str">
        <f t="array" ref="B101">XLOOKUP(A101,Data!F:F,Data!G:G)</f>
        <v>A1A</v>
      </c>
      <c r="C101" s="19" t="str">
        <f t="shared" si="3"/>
        <v>A006</v>
      </c>
      <c r="D101" s="19" t="str">
        <f t="array" ref="D101">XLOOKUP(A101,Data!F:F,Data!C:C)</f>
        <v/>
      </c>
      <c r="E101" s="19" t="str">
        <f t="array" ref="E101">XLOOKUP(A101,Data!F:F,Data!H:H)</f>
        <v>BW</v>
      </c>
      <c r="F101" s="106" t="str">
        <f>SUMIFS(Data!J:J,Data!F:F,A101)</f>
        <v>1</v>
      </c>
      <c r="G101" s="106" t="str">
        <f>SUMIFS(Cast!C:C,CastElements,A101)</f>
        <v>1</v>
      </c>
      <c r="H101" s="106" t="str">
        <f t="shared" si="4"/>
        <v>0</v>
      </c>
      <c r="I101" s="106" t="str">
        <f>SUMIFS(Del!C:C,Del!B:B,A101)</f>
        <v>0</v>
      </c>
      <c r="J101" s="106" t="str">
        <f t="shared" si="5"/>
        <v>1</v>
      </c>
      <c r="K101" s="106" t="str">
        <f t="shared" si="6"/>
        <v>1</v>
      </c>
      <c r="L101" s="106"/>
      <c r="M101" s="106" t="str">
        <f>SUMIFS(Ere!C:C,Ere!B:B,A101)</f>
        <v>0</v>
      </c>
      <c r="N101" s="106" t="str">
        <f t="shared" si="7"/>
        <v>1</v>
      </c>
      <c r="O101" s="107" t="str">
        <f t="array" ref="O101">XLOOKUP(A101,Data!F:F,Data!O:O)</f>
        <v>  1.87 </v>
      </c>
      <c r="P101" s="107" t="str">
        <f t="shared" si="8"/>
        <v>  4.68 </v>
      </c>
      <c r="Q101" s="27"/>
    </row>
    <row r="102" ht="15.75" customHeight="1">
      <c r="A102" s="105" t="s">
        <v>346</v>
      </c>
      <c r="B102" s="19" t="str">
        <f t="array" ref="B102">XLOOKUP(A102,Data!F:F,Data!G:G)</f>
        <v>A1A</v>
      </c>
      <c r="C102" s="19" t="str">
        <f t="shared" si="3"/>
        <v>A006</v>
      </c>
      <c r="D102" s="19" t="str">
        <f t="array" ref="D102">XLOOKUP(A102,Data!F:F,Data!C:C)</f>
        <v/>
      </c>
      <c r="E102" s="19" t="str">
        <f t="array" ref="E102">XLOOKUP(A102,Data!F:F,Data!H:H)</f>
        <v>BW</v>
      </c>
      <c r="F102" s="106" t="str">
        <f>SUMIFS(Data!J:J,Data!F:F,A102)</f>
        <v>1</v>
      </c>
      <c r="G102" s="106" t="str">
        <f>SUMIFS(Cast!C:C,CastElements,A102)</f>
        <v>0</v>
      </c>
      <c r="H102" s="106" t="str">
        <f t="shared" si="4"/>
        <v>1</v>
      </c>
      <c r="I102" s="106" t="str">
        <f>SUMIFS(Del!C:C,Del!B:B,A102)</f>
        <v>0</v>
      </c>
      <c r="J102" s="106" t="str">
        <f t="shared" si="5"/>
        <v>1</v>
      </c>
      <c r="K102" s="106" t="str">
        <f t="shared" si="6"/>
        <v>0</v>
      </c>
      <c r="L102" s="106"/>
      <c r="M102" s="106" t="str">
        <f>SUMIFS(Ere!C:C,Ere!B:B,A102)</f>
        <v>0</v>
      </c>
      <c r="N102" s="106" t="str">
        <f t="shared" si="7"/>
        <v>1</v>
      </c>
      <c r="O102" s="107" t="str">
        <f t="array" ref="O102">XLOOKUP(A102,Data!F:F,Data!O:O)</f>
        <v>  1.54 </v>
      </c>
      <c r="P102" s="107" t="str">
        <f t="shared" si="8"/>
        <v>  3.84 </v>
      </c>
      <c r="Q102" s="27"/>
    </row>
    <row r="103" ht="15.75" customHeight="1">
      <c r="A103" s="105" t="s">
        <v>347</v>
      </c>
      <c r="B103" s="19" t="str">
        <f t="array" ref="B103">XLOOKUP(A103,Data!F:F,Data!G:G)</f>
        <v>A1A</v>
      </c>
      <c r="C103" s="19" t="str">
        <f t="shared" si="3"/>
        <v>A006</v>
      </c>
      <c r="D103" s="19" t="str">
        <f t="array" ref="D103">XLOOKUP(A103,Data!F:F,Data!C:C)</f>
        <v/>
      </c>
      <c r="E103" s="19" t="str">
        <f t="array" ref="E103">XLOOKUP(A103,Data!F:F,Data!H:H)</f>
        <v>BW</v>
      </c>
      <c r="F103" s="106" t="str">
        <f>SUMIFS(Data!J:J,Data!F:F,A103)</f>
        <v>1</v>
      </c>
      <c r="G103" s="106" t="str">
        <f>SUMIFS(Cast!C:C,CastElements,A103)</f>
        <v>1</v>
      </c>
      <c r="H103" s="106" t="str">
        <f t="shared" si="4"/>
        <v>0</v>
      </c>
      <c r="I103" s="106" t="str">
        <f>SUMIFS(Del!C:C,Del!B:B,A103)</f>
        <v>0</v>
      </c>
      <c r="J103" s="106" t="str">
        <f t="shared" si="5"/>
        <v>1</v>
      </c>
      <c r="K103" s="106" t="str">
        <f t="shared" si="6"/>
        <v>1</v>
      </c>
      <c r="L103" s="106"/>
      <c r="M103" s="106" t="str">
        <f>SUMIFS(Ere!C:C,Ere!B:B,A103)</f>
        <v>0</v>
      </c>
      <c r="N103" s="106" t="str">
        <f t="shared" si="7"/>
        <v>1</v>
      </c>
      <c r="O103" s="107" t="str">
        <f t="array" ref="O103">XLOOKUP(A103,Data!F:F,Data!O:O)</f>
        <v>  2.01 </v>
      </c>
      <c r="P103" s="107" t="str">
        <f t="shared" si="8"/>
        <v>  5.04 </v>
      </c>
      <c r="Q103" s="27"/>
    </row>
    <row r="104" ht="15.75" customHeight="1">
      <c r="A104" s="105" t="s">
        <v>348</v>
      </c>
      <c r="B104" s="19" t="str">
        <f t="array" ref="B104">XLOOKUP(A104,Data!F:F,Data!G:G)</f>
        <v>A1A</v>
      </c>
      <c r="C104" s="19" t="str">
        <f t="shared" si="3"/>
        <v>A006</v>
      </c>
      <c r="D104" s="19" t="str">
        <f t="array" ref="D104">XLOOKUP(A104,Data!F:F,Data!C:C)</f>
        <v/>
      </c>
      <c r="E104" s="19" t="str">
        <f t="array" ref="E104">XLOOKUP(A104,Data!F:F,Data!H:H)</f>
        <v>BW</v>
      </c>
      <c r="F104" s="106" t="str">
        <f>SUMIFS(Data!J:J,Data!F:F,A104)</f>
        <v>1</v>
      </c>
      <c r="G104" s="106" t="str">
        <f>SUMIFS(Cast!C:C,CastElements,A104)</f>
        <v>1</v>
      </c>
      <c r="H104" s="106" t="str">
        <f t="shared" si="4"/>
        <v>0</v>
      </c>
      <c r="I104" s="106" t="str">
        <f>SUMIFS(Del!C:C,Del!B:B,A104)</f>
        <v>0</v>
      </c>
      <c r="J104" s="106" t="str">
        <f t="shared" si="5"/>
        <v>1</v>
      </c>
      <c r="K104" s="106" t="str">
        <f t="shared" si="6"/>
        <v>1</v>
      </c>
      <c r="L104" s="106"/>
      <c r="M104" s="106" t="str">
        <f>SUMIFS(Ere!C:C,Ere!B:B,A104)</f>
        <v>0</v>
      </c>
      <c r="N104" s="106" t="str">
        <f t="shared" si="7"/>
        <v>1</v>
      </c>
      <c r="O104" s="107" t="str">
        <f t="array" ref="O104">XLOOKUP(A104,Data!F:F,Data!O:O)</f>
        <v>  2.01 </v>
      </c>
      <c r="P104" s="107" t="str">
        <f t="shared" si="8"/>
        <v>  5.04 </v>
      </c>
      <c r="Q104" s="27"/>
    </row>
    <row r="105" ht="15.75" customHeight="1">
      <c r="A105" s="105" t="s">
        <v>349</v>
      </c>
      <c r="B105" s="19" t="str">
        <f t="array" ref="B105">XLOOKUP(A105,Data!F:F,Data!G:G)</f>
        <v>A1A</v>
      </c>
      <c r="C105" s="19" t="str">
        <f t="shared" si="3"/>
        <v>A006</v>
      </c>
      <c r="D105" s="19" t="str">
        <f t="array" ref="D105">XLOOKUP(A105,Data!F:F,Data!C:C)</f>
        <v/>
      </c>
      <c r="E105" s="19" t="str">
        <f t="array" ref="E105">XLOOKUP(A105,Data!F:F,Data!H:H)</f>
        <v>BW</v>
      </c>
      <c r="F105" s="106" t="str">
        <f>SUMIFS(Data!J:J,Data!F:F,A105)</f>
        <v>1</v>
      </c>
      <c r="G105" s="106" t="str">
        <f>SUMIFS(Cast!C:C,CastElements,A105)</f>
        <v>1</v>
      </c>
      <c r="H105" s="106" t="str">
        <f t="shared" si="4"/>
        <v>0</v>
      </c>
      <c r="I105" s="106" t="str">
        <f>SUMIFS(Del!C:C,Del!B:B,A105)</f>
        <v>0</v>
      </c>
      <c r="J105" s="106" t="str">
        <f t="shared" si="5"/>
        <v>1</v>
      </c>
      <c r="K105" s="106" t="str">
        <f t="shared" si="6"/>
        <v>1</v>
      </c>
      <c r="L105" s="106"/>
      <c r="M105" s="106" t="str">
        <f>SUMIFS(Ere!C:C,Ere!B:B,A105)</f>
        <v>0</v>
      </c>
      <c r="N105" s="106" t="str">
        <f t="shared" si="7"/>
        <v>1</v>
      </c>
      <c r="O105" s="107" t="str">
        <f t="array" ref="O105">XLOOKUP(A105,Data!F:F,Data!O:O)</f>
        <v>  2.01 </v>
      </c>
      <c r="P105" s="107" t="str">
        <f t="shared" si="8"/>
        <v>  5.04 </v>
      </c>
      <c r="Q105" s="27"/>
    </row>
    <row r="106" ht="15.75" customHeight="1">
      <c r="A106" s="105" t="s">
        <v>350</v>
      </c>
      <c r="B106" s="19" t="str">
        <f t="array" ref="B106">XLOOKUP(A106,Data!F:F,Data!G:G)</f>
        <v>A1A</v>
      </c>
      <c r="C106" s="19" t="str">
        <f t="shared" si="3"/>
        <v>A006</v>
      </c>
      <c r="D106" s="19" t="str">
        <f t="array" ref="D106">XLOOKUP(A106,Data!F:F,Data!C:C)</f>
        <v/>
      </c>
      <c r="E106" s="19" t="str">
        <f t="array" ref="E106">XLOOKUP(A106,Data!F:F,Data!H:H)</f>
        <v>BW</v>
      </c>
      <c r="F106" s="106" t="str">
        <f>SUMIFS(Data!J:J,Data!F:F,A106)</f>
        <v>1</v>
      </c>
      <c r="G106" s="106" t="str">
        <f>SUMIFS(Cast!C:C,CastElements,A106)</f>
        <v>1</v>
      </c>
      <c r="H106" s="106" t="str">
        <f t="shared" si="4"/>
        <v>0</v>
      </c>
      <c r="I106" s="106" t="str">
        <f>SUMIFS(Del!C:C,Del!B:B,A106)</f>
        <v>0</v>
      </c>
      <c r="J106" s="106" t="str">
        <f t="shared" si="5"/>
        <v>1</v>
      </c>
      <c r="K106" s="106" t="str">
        <f t="shared" si="6"/>
        <v>1</v>
      </c>
      <c r="L106" s="106"/>
      <c r="M106" s="106" t="str">
        <f>SUMIFS(Ere!C:C,Ere!B:B,A106)</f>
        <v>0</v>
      </c>
      <c r="N106" s="106" t="str">
        <f t="shared" si="7"/>
        <v>1</v>
      </c>
      <c r="O106" s="107" t="str">
        <f t="array" ref="O106">XLOOKUP(A106,Data!F:F,Data!O:O)</f>
        <v>  2.01 </v>
      </c>
      <c r="P106" s="107" t="str">
        <f t="shared" si="8"/>
        <v>  5.04 </v>
      </c>
      <c r="Q106" s="27"/>
    </row>
    <row r="107" ht="15.75" customHeight="1">
      <c r="A107" s="105" t="s">
        <v>351</v>
      </c>
      <c r="B107" s="19" t="str">
        <f t="array" ref="B107">XLOOKUP(A107,Data!F:F,Data!G:G)</f>
        <v>A1A</v>
      </c>
      <c r="C107" s="19" t="str">
        <f t="shared" si="3"/>
        <v>A006</v>
      </c>
      <c r="D107" s="19" t="str">
        <f t="array" ref="D107">XLOOKUP(A107,Data!F:F,Data!C:C)</f>
        <v/>
      </c>
      <c r="E107" s="19" t="str">
        <f t="array" ref="E107">XLOOKUP(A107,Data!F:F,Data!H:H)</f>
        <v>BW</v>
      </c>
      <c r="F107" s="106" t="str">
        <f>SUMIFS(Data!J:J,Data!F:F,A107)</f>
        <v>1</v>
      </c>
      <c r="G107" s="106" t="str">
        <f>SUMIFS(Cast!C:C,CastElements,A107)</f>
        <v>0</v>
      </c>
      <c r="H107" s="106" t="str">
        <f t="shared" si="4"/>
        <v>1</v>
      </c>
      <c r="I107" s="106" t="str">
        <f>SUMIFS(Del!C:C,Del!B:B,A107)</f>
        <v>0</v>
      </c>
      <c r="J107" s="106" t="str">
        <f t="shared" si="5"/>
        <v>1</v>
      </c>
      <c r="K107" s="106" t="str">
        <f t="shared" si="6"/>
        <v>0</v>
      </c>
      <c r="L107" s="106"/>
      <c r="M107" s="106" t="str">
        <f>SUMIFS(Ere!C:C,Ere!B:B,A107)</f>
        <v>0</v>
      </c>
      <c r="N107" s="106" t="str">
        <f t="shared" si="7"/>
        <v>1</v>
      </c>
      <c r="O107" s="107" t="str">
        <f t="array" ref="O107">XLOOKUP(A107,Data!F:F,Data!O:O)</f>
        <v>  1.68 </v>
      </c>
      <c r="P107" s="107" t="str">
        <f t="shared" si="8"/>
        <v>  4.20 </v>
      </c>
      <c r="Q107" s="27"/>
    </row>
    <row r="108" ht="15.75" customHeight="1">
      <c r="A108" s="105" t="s">
        <v>352</v>
      </c>
      <c r="B108" s="19" t="str">
        <f t="array" ref="B108">XLOOKUP(A108,Data!F:F,Data!G:G)</f>
        <v>A1A</v>
      </c>
      <c r="C108" s="19" t="str">
        <f t="shared" si="3"/>
        <v>A006</v>
      </c>
      <c r="D108" s="19" t="str">
        <f t="array" ref="D108">XLOOKUP(A108,Data!F:F,Data!C:C)</f>
        <v/>
      </c>
      <c r="E108" s="19" t="str">
        <f t="array" ref="E108">XLOOKUP(A108,Data!F:F,Data!H:H)</f>
        <v>BW</v>
      </c>
      <c r="F108" s="106" t="str">
        <f>SUMIFS(Data!J:J,Data!F:F,A108)</f>
        <v>1</v>
      </c>
      <c r="G108" s="106" t="str">
        <f>SUMIFS(Cast!C:C,CastElements,A108)</f>
        <v>1</v>
      </c>
      <c r="H108" s="106" t="str">
        <f t="shared" si="4"/>
        <v>0</v>
      </c>
      <c r="I108" s="106" t="str">
        <f>SUMIFS(Del!C:C,Del!B:B,A108)</f>
        <v>0</v>
      </c>
      <c r="J108" s="106" t="str">
        <f t="shared" si="5"/>
        <v>1</v>
      </c>
      <c r="K108" s="106" t="str">
        <f t="shared" si="6"/>
        <v>1</v>
      </c>
      <c r="L108" s="106"/>
      <c r="M108" s="106" t="str">
        <f>SUMIFS(Ere!C:C,Ere!B:B,A108)</f>
        <v>0</v>
      </c>
      <c r="N108" s="106" t="str">
        <f t="shared" si="7"/>
        <v>1</v>
      </c>
      <c r="O108" s="107" t="str">
        <f t="array" ref="O108">XLOOKUP(A108,Data!F:F,Data!O:O)</f>
        <v>  0.54 </v>
      </c>
      <c r="P108" s="107" t="str">
        <f t="shared" si="8"/>
        <v>  1.34 </v>
      </c>
      <c r="Q108" s="27"/>
    </row>
    <row r="109" ht="15.75" customHeight="1">
      <c r="A109" s="105" t="s">
        <v>353</v>
      </c>
      <c r="B109" s="19" t="str">
        <f t="array" ref="B109">XLOOKUP(A109,Data!F:F,Data!G:G)</f>
        <v>A1A</v>
      </c>
      <c r="C109" s="19" t="str">
        <f t="shared" si="3"/>
        <v>A006</v>
      </c>
      <c r="D109" s="19" t="str">
        <f t="array" ref="D109">XLOOKUP(A109,Data!F:F,Data!C:C)</f>
        <v/>
      </c>
      <c r="E109" s="19" t="str">
        <f t="array" ref="E109">XLOOKUP(A109,Data!F:F,Data!H:H)</f>
        <v>BW</v>
      </c>
      <c r="F109" s="106" t="str">
        <f>SUMIFS(Data!J:J,Data!F:F,A109)</f>
        <v>1</v>
      </c>
      <c r="G109" s="106" t="str">
        <f>SUMIFS(Cast!C:C,CastElements,A109)</f>
        <v>1</v>
      </c>
      <c r="H109" s="106" t="str">
        <f t="shared" si="4"/>
        <v>0</v>
      </c>
      <c r="I109" s="106" t="str">
        <f>SUMIFS(Del!C:C,Del!B:B,A109)</f>
        <v>0</v>
      </c>
      <c r="J109" s="106" t="str">
        <f t="shared" si="5"/>
        <v>1</v>
      </c>
      <c r="K109" s="106" t="str">
        <f t="shared" si="6"/>
        <v>1</v>
      </c>
      <c r="L109" s="106"/>
      <c r="M109" s="106" t="str">
        <f>SUMIFS(Ere!C:C,Ere!B:B,A109)</f>
        <v>0</v>
      </c>
      <c r="N109" s="106" t="str">
        <f t="shared" si="7"/>
        <v>1</v>
      </c>
      <c r="O109" s="107" t="str">
        <f t="array" ref="O109">XLOOKUP(A109,Data!F:F,Data!O:O)</f>
        <v>  0.49 </v>
      </c>
      <c r="P109" s="107" t="str">
        <f t="shared" si="8"/>
        <v>  1.23 </v>
      </c>
      <c r="Q109" s="27"/>
    </row>
    <row r="110" ht="15.75" customHeight="1">
      <c r="A110" s="105" t="s">
        <v>354</v>
      </c>
      <c r="B110" s="19" t="str">
        <f t="array" ref="B110">XLOOKUP(A110,Data!F:F,Data!G:G)</f>
        <v>A1A</v>
      </c>
      <c r="C110" s="19" t="str">
        <f t="shared" si="3"/>
        <v>A006</v>
      </c>
      <c r="D110" s="19" t="str">
        <f t="array" ref="D110">XLOOKUP(A110,Data!F:F,Data!C:C)</f>
        <v/>
      </c>
      <c r="E110" s="19" t="str">
        <f t="array" ref="E110">XLOOKUP(A110,Data!F:F,Data!H:H)</f>
        <v>CF</v>
      </c>
      <c r="F110" s="106" t="str">
        <f>SUMIFS(Data!J:J,Data!F:F,A110)</f>
        <v>1</v>
      </c>
      <c r="G110" s="106" t="str">
        <f>SUMIFS(Cast!C:C,CastElements,A110)</f>
        <v>0</v>
      </c>
      <c r="H110" s="106" t="str">
        <f t="shared" si="4"/>
        <v>1</v>
      </c>
      <c r="I110" s="106" t="str">
        <f>SUMIFS(Del!C:C,Del!B:B,A110)</f>
        <v>0</v>
      </c>
      <c r="J110" s="106" t="str">
        <f t="shared" si="5"/>
        <v>1</v>
      </c>
      <c r="K110" s="106" t="str">
        <f t="shared" si="6"/>
        <v>0</v>
      </c>
      <c r="L110" s="106"/>
      <c r="M110" s="106" t="str">
        <f>SUMIFS(Ere!C:C,Ere!B:B,A110)</f>
        <v>0</v>
      </c>
      <c r="N110" s="106" t="str">
        <f t="shared" si="7"/>
        <v>1</v>
      </c>
      <c r="O110" s="107" t="str">
        <f t="array" ref="O110">XLOOKUP(A110,Data!F:F,Data!O:O)</f>
        <v>  0.51 </v>
      </c>
      <c r="P110" s="107" t="str">
        <f t="shared" si="8"/>
        <v>  1.27 </v>
      </c>
      <c r="Q110" s="27"/>
    </row>
    <row r="111" ht="15.75" customHeight="1">
      <c r="A111" s="105" t="s">
        <v>355</v>
      </c>
      <c r="B111" s="19" t="str">
        <f t="array" ref="B111">XLOOKUP(A111,Data!F:F,Data!G:G)</f>
        <v>A1A</v>
      </c>
      <c r="C111" s="19" t="str">
        <f t="shared" si="3"/>
        <v>A007</v>
      </c>
      <c r="D111" s="19" t="str">
        <f t="array" ref="D111">XLOOKUP(A111,Data!F:F,Data!C:C)</f>
        <v>EXT</v>
      </c>
      <c r="E111" s="19" t="str">
        <f t="array" ref="E111">XLOOKUP(A111,Data!F:F,Data!H:H)</f>
        <v>BW</v>
      </c>
      <c r="F111" s="106" t="str">
        <f>SUMIFS(Data!J:J,Data!F:F,A111)</f>
        <v>1</v>
      </c>
      <c r="G111" s="106" t="str">
        <f>SUMIFS(Cast!C:C,CastElements,A111)</f>
        <v>0</v>
      </c>
      <c r="H111" s="106" t="str">
        <f t="shared" si="4"/>
        <v>1</v>
      </c>
      <c r="I111" s="106" t="str">
        <f>SUMIFS(Del!C:C,Del!B:B,A111)</f>
        <v>0</v>
      </c>
      <c r="J111" s="106" t="str">
        <f t="shared" si="5"/>
        <v>1</v>
      </c>
      <c r="K111" s="106" t="str">
        <f t="shared" si="6"/>
        <v>0</v>
      </c>
      <c r="L111" s="106"/>
      <c r="M111" s="106" t="str">
        <f>SUMIFS(Ere!C:C,Ere!B:B,A111)</f>
        <v>0</v>
      </c>
      <c r="N111" s="106" t="str">
        <f t="shared" si="7"/>
        <v>1</v>
      </c>
      <c r="O111" s="107" t="str">
        <f t="array" ref="O111">XLOOKUP(A111,Data!F:F,Data!O:O)</f>
        <v>  0.87 </v>
      </c>
      <c r="P111" s="107" t="str">
        <f t="shared" si="8"/>
        <v>  2.18 </v>
      </c>
      <c r="Q111" s="27"/>
    </row>
    <row r="112" ht="15.75" customHeight="1">
      <c r="A112" s="105" t="s">
        <v>356</v>
      </c>
      <c r="B112" s="19" t="str">
        <f t="array" ref="B112">XLOOKUP(A112,Data!F:F,Data!G:G)</f>
        <v>A1A</v>
      </c>
      <c r="C112" s="19" t="str">
        <f t="shared" si="3"/>
        <v>A007</v>
      </c>
      <c r="D112" s="19" t="str">
        <f t="array" ref="D112">XLOOKUP(A112,Data!F:F,Data!C:C)</f>
        <v>EXT</v>
      </c>
      <c r="E112" s="19" t="str">
        <f t="array" ref="E112">XLOOKUP(A112,Data!F:F,Data!H:H)</f>
        <v>BW</v>
      </c>
      <c r="F112" s="106" t="str">
        <f>SUMIFS(Data!J:J,Data!F:F,A112)</f>
        <v>1</v>
      </c>
      <c r="G112" s="106" t="str">
        <f>SUMIFS(Cast!C:C,CastElements,A112)</f>
        <v>0</v>
      </c>
      <c r="H112" s="106" t="str">
        <f t="shared" si="4"/>
        <v>1</v>
      </c>
      <c r="I112" s="106" t="str">
        <f>SUMIFS(Del!C:C,Del!B:B,A112)</f>
        <v>0</v>
      </c>
      <c r="J112" s="106" t="str">
        <f t="shared" si="5"/>
        <v>1</v>
      </c>
      <c r="K112" s="106" t="str">
        <f t="shared" si="6"/>
        <v>0</v>
      </c>
      <c r="L112" s="106"/>
      <c r="M112" s="106" t="str">
        <f>SUMIFS(Ere!C:C,Ere!B:B,A112)</f>
        <v>0</v>
      </c>
      <c r="N112" s="106" t="str">
        <f t="shared" si="7"/>
        <v>1</v>
      </c>
      <c r="O112" s="107" t="str">
        <f t="array" ref="O112">XLOOKUP(A112,Data!F:F,Data!O:O)</f>
        <v>  1.44 </v>
      </c>
      <c r="P112" s="107" t="str">
        <f t="shared" si="8"/>
        <v>  3.59 </v>
      </c>
      <c r="Q112" s="27"/>
    </row>
    <row r="113" ht="15.75" customHeight="1">
      <c r="A113" s="105" t="s">
        <v>357</v>
      </c>
      <c r="B113" s="19" t="str">
        <f t="array" ref="B113">XLOOKUP(A113,Data!F:F,Data!G:G)</f>
        <v>A1A</v>
      </c>
      <c r="C113" s="19" t="str">
        <f t="shared" si="3"/>
        <v>A007</v>
      </c>
      <c r="D113" s="19" t="str">
        <f t="array" ref="D113">XLOOKUP(A113,Data!F:F,Data!C:C)</f>
        <v>EXT</v>
      </c>
      <c r="E113" s="19" t="str">
        <f t="array" ref="E113">XLOOKUP(A113,Data!F:F,Data!H:H)</f>
        <v>BW</v>
      </c>
      <c r="F113" s="106" t="str">
        <f>SUMIFS(Data!J:J,Data!F:F,A113)</f>
        <v>1</v>
      </c>
      <c r="G113" s="106" t="str">
        <f>SUMIFS(Cast!C:C,CastElements,A113)</f>
        <v>0</v>
      </c>
      <c r="H113" s="106" t="str">
        <f t="shared" si="4"/>
        <v>1</v>
      </c>
      <c r="I113" s="106" t="str">
        <f>SUMIFS(Del!C:C,Del!B:B,A113)</f>
        <v>0</v>
      </c>
      <c r="J113" s="106" t="str">
        <f t="shared" si="5"/>
        <v>1</v>
      </c>
      <c r="K113" s="106" t="str">
        <f t="shared" si="6"/>
        <v>0</v>
      </c>
      <c r="L113" s="106"/>
      <c r="M113" s="106" t="str">
        <f>SUMIFS(Ere!C:C,Ere!B:B,A113)</f>
        <v>0</v>
      </c>
      <c r="N113" s="106" t="str">
        <f t="shared" si="7"/>
        <v>1</v>
      </c>
      <c r="O113" s="107" t="str">
        <f t="array" ref="O113">XLOOKUP(A113,Data!F:F,Data!O:O)</f>
        <v>  1.31 </v>
      </c>
      <c r="P113" s="107" t="str">
        <f t="shared" si="8"/>
        <v>  3.29 </v>
      </c>
      <c r="Q113" s="27"/>
    </row>
    <row r="114" ht="15.75" customHeight="1">
      <c r="A114" s="105" t="s">
        <v>358</v>
      </c>
      <c r="B114" s="19" t="str">
        <f t="array" ref="B114">XLOOKUP(A114,Data!F:F,Data!G:G)</f>
        <v>A1A</v>
      </c>
      <c r="C114" s="19" t="str">
        <f t="shared" si="3"/>
        <v>A007</v>
      </c>
      <c r="D114" s="19" t="str">
        <f t="array" ref="D114">XLOOKUP(A114,Data!F:F,Data!C:C)</f>
        <v>EXT</v>
      </c>
      <c r="E114" s="19" t="str">
        <f t="array" ref="E114">XLOOKUP(A114,Data!F:F,Data!H:H)</f>
        <v>BW</v>
      </c>
      <c r="F114" s="106" t="str">
        <f>SUMIFS(Data!J:J,Data!F:F,A114)</f>
        <v>1</v>
      </c>
      <c r="G114" s="106" t="str">
        <f>SUMIFS(Cast!C:C,CastElements,A114)</f>
        <v>1</v>
      </c>
      <c r="H114" s="106" t="str">
        <f t="shared" si="4"/>
        <v>0</v>
      </c>
      <c r="I114" s="106" t="str">
        <f>SUMIFS(Del!C:C,Del!B:B,A114)</f>
        <v>0</v>
      </c>
      <c r="J114" s="106" t="str">
        <f t="shared" si="5"/>
        <v>1</v>
      </c>
      <c r="K114" s="106" t="str">
        <f t="shared" si="6"/>
        <v>1</v>
      </c>
      <c r="L114" s="106"/>
      <c r="M114" s="106" t="str">
        <f>SUMIFS(Ere!C:C,Ere!B:B,A114)</f>
        <v>0</v>
      </c>
      <c r="N114" s="106" t="str">
        <f t="shared" si="7"/>
        <v>1</v>
      </c>
      <c r="O114" s="107" t="str">
        <f t="array" ref="O114">XLOOKUP(A114,Data!F:F,Data!O:O)</f>
        <v>  1.81 </v>
      </c>
      <c r="P114" s="107" t="str">
        <f t="shared" si="8"/>
        <v>  4.53 </v>
      </c>
      <c r="Q114" s="27"/>
    </row>
    <row r="115" ht="15.75" customHeight="1">
      <c r="A115" s="105" t="s">
        <v>359</v>
      </c>
      <c r="B115" s="19" t="str">
        <f t="array" ref="B115">XLOOKUP(A115,Data!F:F,Data!G:G)</f>
        <v>A1A</v>
      </c>
      <c r="C115" s="19" t="str">
        <f t="shared" si="3"/>
        <v>A007</v>
      </c>
      <c r="D115" s="19" t="str">
        <f t="array" ref="D115">XLOOKUP(A115,Data!F:F,Data!C:C)</f>
        <v/>
      </c>
      <c r="E115" s="19" t="str">
        <f t="array" ref="E115">XLOOKUP(A115,Data!F:F,Data!H:H)</f>
        <v>BW</v>
      </c>
      <c r="F115" s="106" t="str">
        <f>SUMIFS(Data!J:J,Data!F:F,A115)</f>
        <v>1</v>
      </c>
      <c r="G115" s="106" t="str">
        <f>SUMIFS(Cast!C:C,CastElements,A115)</f>
        <v>0</v>
      </c>
      <c r="H115" s="106" t="str">
        <f t="shared" si="4"/>
        <v>1</v>
      </c>
      <c r="I115" s="106" t="str">
        <f>SUMIFS(Del!C:C,Del!B:B,A115)</f>
        <v>0</v>
      </c>
      <c r="J115" s="106" t="str">
        <f t="shared" si="5"/>
        <v>1</v>
      </c>
      <c r="K115" s="106" t="str">
        <f t="shared" si="6"/>
        <v>0</v>
      </c>
      <c r="L115" s="106"/>
      <c r="M115" s="106" t="str">
        <f>SUMIFS(Ere!C:C,Ere!B:B,A115)</f>
        <v>0</v>
      </c>
      <c r="N115" s="106" t="str">
        <f t="shared" si="7"/>
        <v>1</v>
      </c>
      <c r="O115" s="107" t="str">
        <f t="array" ref="O115">XLOOKUP(A115,Data!F:F,Data!O:O)</f>
        <v>  2.15 </v>
      </c>
      <c r="P115" s="107" t="str">
        <f t="shared" si="8"/>
        <v>  5.38 </v>
      </c>
      <c r="Q115" s="27"/>
    </row>
    <row r="116" ht="15.75" customHeight="1">
      <c r="A116" s="105" t="s">
        <v>360</v>
      </c>
      <c r="B116" s="19" t="str">
        <f t="array" ref="B116">XLOOKUP(A116,Data!F:F,Data!G:G)</f>
        <v>A1A</v>
      </c>
      <c r="C116" s="19" t="str">
        <f t="shared" si="3"/>
        <v>A007</v>
      </c>
      <c r="D116" s="19" t="str">
        <f t="array" ref="D116">XLOOKUP(A116,Data!F:F,Data!C:C)</f>
        <v/>
      </c>
      <c r="E116" s="19" t="str">
        <f t="array" ref="E116">XLOOKUP(A116,Data!F:F,Data!H:H)</f>
        <v>BW</v>
      </c>
      <c r="F116" s="106" t="str">
        <f>SUMIFS(Data!J:J,Data!F:F,A116)</f>
        <v>1</v>
      </c>
      <c r="G116" s="106" t="str">
        <f>SUMIFS(Cast!C:C,CastElements,A116)</f>
        <v>1</v>
      </c>
      <c r="H116" s="106" t="str">
        <f t="shared" si="4"/>
        <v>0</v>
      </c>
      <c r="I116" s="106" t="str">
        <f>SUMIFS(Del!C:C,Del!B:B,A116)</f>
        <v>0</v>
      </c>
      <c r="J116" s="106" t="str">
        <f t="shared" si="5"/>
        <v>1</v>
      </c>
      <c r="K116" s="106" t="str">
        <f t="shared" si="6"/>
        <v>1</v>
      </c>
      <c r="L116" s="106"/>
      <c r="M116" s="106" t="str">
        <f>SUMIFS(Ere!C:C,Ere!B:B,A116)</f>
        <v>0</v>
      </c>
      <c r="N116" s="106" t="str">
        <f t="shared" si="7"/>
        <v>1</v>
      </c>
      <c r="O116" s="107" t="str">
        <f t="array" ref="O116">XLOOKUP(A116,Data!F:F,Data!O:O)</f>
        <v>  1.96 </v>
      </c>
      <c r="P116" s="107" t="str">
        <f t="shared" si="8"/>
        <v>  4.90 </v>
      </c>
      <c r="Q116" s="27"/>
    </row>
    <row r="117" ht="15.75" customHeight="1">
      <c r="A117" s="105" t="s">
        <v>361</v>
      </c>
      <c r="B117" s="19" t="str">
        <f t="array" ref="B117">XLOOKUP(A117,Data!F:F,Data!G:G)</f>
        <v>A1A</v>
      </c>
      <c r="C117" s="19" t="str">
        <f t="shared" si="3"/>
        <v>A007</v>
      </c>
      <c r="D117" s="19" t="str">
        <f t="array" ref="D117">XLOOKUP(A117,Data!F:F,Data!C:C)</f>
        <v/>
      </c>
      <c r="E117" s="19" t="str">
        <f t="array" ref="E117">XLOOKUP(A117,Data!F:F,Data!H:H)</f>
        <v>BW</v>
      </c>
      <c r="F117" s="106" t="str">
        <f>SUMIFS(Data!J:J,Data!F:F,A117)</f>
        <v>1</v>
      </c>
      <c r="G117" s="106" t="str">
        <f>SUMIFS(Cast!C:C,CastElements,A117)</f>
        <v>1</v>
      </c>
      <c r="H117" s="106" t="str">
        <f t="shared" si="4"/>
        <v>0</v>
      </c>
      <c r="I117" s="106" t="str">
        <f>SUMIFS(Del!C:C,Del!B:B,A117)</f>
        <v>0</v>
      </c>
      <c r="J117" s="106" t="str">
        <f t="shared" si="5"/>
        <v>1</v>
      </c>
      <c r="K117" s="106" t="str">
        <f t="shared" si="6"/>
        <v>1</v>
      </c>
      <c r="L117" s="106"/>
      <c r="M117" s="106" t="str">
        <f>SUMIFS(Ere!C:C,Ere!B:B,A117)</f>
        <v>0</v>
      </c>
      <c r="N117" s="106" t="str">
        <f t="shared" si="7"/>
        <v>1</v>
      </c>
      <c r="O117" s="107" t="str">
        <f t="array" ref="O117">XLOOKUP(A117,Data!F:F,Data!O:O)</f>
        <v>  1.96 </v>
      </c>
      <c r="P117" s="107" t="str">
        <f t="shared" si="8"/>
        <v>  4.90 </v>
      </c>
      <c r="Q117" s="27"/>
    </row>
    <row r="118" ht="15.75" customHeight="1">
      <c r="A118" s="105" t="s">
        <v>362</v>
      </c>
      <c r="B118" s="19" t="str">
        <f t="array" ref="B118">XLOOKUP(A118,Data!F:F,Data!G:G)</f>
        <v>A1A</v>
      </c>
      <c r="C118" s="19" t="str">
        <f t="shared" si="3"/>
        <v>A007</v>
      </c>
      <c r="D118" s="19" t="str">
        <f t="array" ref="D118">XLOOKUP(A118,Data!F:F,Data!C:C)</f>
        <v/>
      </c>
      <c r="E118" s="19" t="str">
        <f t="array" ref="E118">XLOOKUP(A118,Data!F:F,Data!H:H)</f>
        <v>BW</v>
      </c>
      <c r="F118" s="106" t="str">
        <f>SUMIFS(Data!J:J,Data!F:F,A118)</f>
        <v>1</v>
      </c>
      <c r="G118" s="106" t="str">
        <f>SUMIFS(Cast!C:C,CastElements,A118)</f>
        <v>1</v>
      </c>
      <c r="H118" s="106" t="str">
        <f t="shared" si="4"/>
        <v>0</v>
      </c>
      <c r="I118" s="106" t="str">
        <f>SUMIFS(Del!C:C,Del!B:B,A118)</f>
        <v>0</v>
      </c>
      <c r="J118" s="106" t="str">
        <f t="shared" si="5"/>
        <v>1</v>
      </c>
      <c r="K118" s="106" t="str">
        <f t="shared" si="6"/>
        <v>1</v>
      </c>
      <c r="L118" s="106"/>
      <c r="M118" s="106" t="str">
        <f>SUMIFS(Ere!C:C,Ere!B:B,A118)</f>
        <v>0</v>
      </c>
      <c r="N118" s="106" t="str">
        <f t="shared" si="7"/>
        <v>1</v>
      </c>
      <c r="O118" s="107" t="str">
        <f t="array" ref="O118">XLOOKUP(A118,Data!F:F,Data!O:O)</f>
        <v>  1.96 </v>
      </c>
      <c r="P118" s="107" t="str">
        <f t="shared" si="8"/>
        <v>  4.90 </v>
      </c>
      <c r="Q118" s="27"/>
    </row>
    <row r="119" ht="15.75" customHeight="1">
      <c r="A119" s="105" t="s">
        <v>363</v>
      </c>
      <c r="B119" s="19" t="str">
        <f t="array" ref="B119">XLOOKUP(A119,Data!F:F,Data!G:G)</f>
        <v>A1A</v>
      </c>
      <c r="C119" s="19" t="str">
        <f t="shared" si="3"/>
        <v>A007</v>
      </c>
      <c r="D119" s="19" t="str">
        <f t="array" ref="D119">XLOOKUP(A119,Data!F:F,Data!C:C)</f>
        <v/>
      </c>
      <c r="E119" s="19" t="str">
        <f t="array" ref="E119">XLOOKUP(A119,Data!F:F,Data!H:H)</f>
        <v>BW</v>
      </c>
      <c r="F119" s="106" t="str">
        <f>SUMIFS(Data!J:J,Data!F:F,A119)</f>
        <v>1</v>
      </c>
      <c r="G119" s="106" t="str">
        <f>SUMIFS(Cast!C:C,CastElements,A119)</f>
        <v>0</v>
      </c>
      <c r="H119" s="106" t="str">
        <f t="shared" si="4"/>
        <v>1</v>
      </c>
      <c r="I119" s="106" t="str">
        <f>SUMIFS(Del!C:C,Del!B:B,A119)</f>
        <v>0</v>
      </c>
      <c r="J119" s="106" t="str">
        <f t="shared" si="5"/>
        <v>1</v>
      </c>
      <c r="K119" s="106" t="str">
        <f t="shared" si="6"/>
        <v>0</v>
      </c>
      <c r="L119" s="106"/>
      <c r="M119" s="106" t="str">
        <f>SUMIFS(Ere!C:C,Ere!B:B,A119)</f>
        <v>0</v>
      </c>
      <c r="N119" s="106" t="str">
        <f t="shared" si="7"/>
        <v>1</v>
      </c>
      <c r="O119" s="107" t="str">
        <f t="array" ref="O119">XLOOKUP(A119,Data!F:F,Data!O:O)</f>
        <v>  1.62 </v>
      </c>
      <c r="P119" s="107" t="str">
        <f t="shared" si="8"/>
        <v>  4.06 </v>
      </c>
      <c r="Q119" s="27"/>
    </row>
    <row r="120" ht="15.75" customHeight="1">
      <c r="A120" s="105" t="s">
        <v>364</v>
      </c>
      <c r="B120" s="19" t="str">
        <f t="array" ref="B120">XLOOKUP(A120,Data!F:F,Data!G:G)</f>
        <v>A1A</v>
      </c>
      <c r="C120" s="19" t="str">
        <f t="shared" si="3"/>
        <v>A007</v>
      </c>
      <c r="D120" s="19" t="str">
        <f t="array" ref="D120">XLOOKUP(A120,Data!F:F,Data!C:C)</f>
        <v/>
      </c>
      <c r="E120" s="19" t="str">
        <f t="array" ref="E120">XLOOKUP(A120,Data!F:F,Data!H:H)</f>
        <v>BW</v>
      </c>
      <c r="F120" s="106" t="str">
        <f>SUMIFS(Data!J:J,Data!F:F,A120)</f>
        <v>1</v>
      </c>
      <c r="G120" s="106" t="str">
        <f>SUMIFS(Cast!C:C,CastElements,A120)</f>
        <v>1</v>
      </c>
      <c r="H120" s="106" t="str">
        <f t="shared" si="4"/>
        <v>0</v>
      </c>
      <c r="I120" s="106" t="str">
        <f>SUMIFS(Del!C:C,Del!B:B,A120)</f>
        <v>0</v>
      </c>
      <c r="J120" s="106" t="str">
        <f t="shared" si="5"/>
        <v>1</v>
      </c>
      <c r="K120" s="106" t="str">
        <f t="shared" si="6"/>
        <v>1</v>
      </c>
      <c r="L120" s="106"/>
      <c r="M120" s="106" t="str">
        <f>SUMIFS(Ere!C:C,Ere!B:B,A120)</f>
        <v>0</v>
      </c>
      <c r="N120" s="106" t="str">
        <f t="shared" si="7"/>
        <v>1</v>
      </c>
      <c r="O120" s="107" t="str">
        <f t="array" ref="O120">XLOOKUP(A120,Data!F:F,Data!O:O)</f>
        <v>  2.19 </v>
      </c>
      <c r="P120" s="107" t="str">
        <f t="shared" si="8"/>
        <v>  5.47 </v>
      </c>
      <c r="Q120" s="27"/>
    </row>
    <row r="121" ht="15.75" customHeight="1">
      <c r="A121" s="105" t="s">
        <v>365</v>
      </c>
      <c r="B121" s="19" t="str">
        <f t="array" ref="B121">XLOOKUP(A121,Data!F:F,Data!G:G)</f>
        <v>A1A</v>
      </c>
      <c r="C121" s="19" t="str">
        <f t="shared" si="3"/>
        <v>A007</v>
      </c>
      <c r="D121" s="19" t="str">
        <f t="array" ref="D121">XLOOKUP(A121,Data!F:F,Data!C:C)</f>
        <v/>
      </c>
      <c r="E121" s="19" t="str">
        <f t="array" ref="E121">XLOOKUP(A121,Data!F:F,Data!H:H)</f>
        <v>BW</v>
      </c>
      <c r="F121" s="106" t="str">
        <f>SUMIFS(Data!J:J,Data!F:F,A121)</f>
        <v>1</v>
      </c>
      <c r="G121" s="106" t="str">
        <f>SUMIFS(Cast!C:C,CastElements,A121)</f>
        <v>1</v>
      </c>
      <c r="H121" s="106" t="str">
        <f t="shared" si="4"/>
        <v>0</v>
      </c>
      <c r="I121" s="106" t="str">
        <f>SUMIFS(Del!C:C,Del!B:B,A121)</f>
        <v>0</v>
      </c>
      <c r="J121" s="106" t="str">
        <f t="shared" si="5"/>
        <v>1</v>
      </c>
      <c r="K121" s="106" t="str">
        <f t="shared" si="6"/>
        <v>1</v>
      </c>
      <c r="L121" s="106"/>
      <c r="M121" s="106" t="str">
        <f>SUMIFS(Ere!C:C,Ere!B:B,A121)</f>
        <v>0</v>
      </c>
      <c r="N121" s="106" t="str">
        <f t="shared" si="7"/>
        <v>1</v>
      </c>
      <c r="O121" s="107" t="str">
        <f t="array" ref="O121">XLOOKUP(A121,Data!F:F,Data!O:O)</f>
        <v>  2.19 </v>
      </c>
      <c r="P121" s="107" t="str">
        <f t="shared" si="8"/>
        <v>  5.47 </v>
      </c>
      <c r="Q121" s="27"/>
    </row>
    <row r="122" ht="15.75" customHeight="1">
      <c r="A122" s="105" t="s">
        <v>366</v>
      </c>
      <c r="B122" s="19" t="str">
        <f t="array" ref="B122">XLOOKUP(A122,Data!F:F,Data!G:G)</f>
        <v>A1A</v>
      </c>
      <c r="C122" s="19" t="str">
        <f t="shared" si="3"/>
        <v>A007</v>
      </c>
      <c r="D122" s="19" t="str">
        <f t="array" ref="D122">XLOOKUP(A122,Data!F:F,Data!C:C)</f>
        <v/>
      </c>
      <c r="E122" s="19" t="str">
        <f t="array" ref="E122">XLOOKUP(A122,Data!F:F,Data!H:H)</f>
        <v>BW</v>
      </c>
      <c r="F122" s="106" t="str">
        <f>SUMIFS(Data!J:J,Data!F:F,A122)</f>
        <v>1</v>
      </c>
      <c r="G122" s="106" t="str">
        <f>SUMIFS(Cast!C:C,CastElements,A122)</f>
        <v>1</v>
      </c>
      <c r="H122" s="106" t="str">
        <f t="shared" si="4"/>
        <v>0</v>
      </c>
      <c r="I122" s="106" t="str">
        <f>SUMIFS(Del!C:C,Del!B:B,A122)</f>
        <v>0</v>
      </c>
      <c r="J122" s="106" t="str">
        <f t="shared" si="5"/>
        <v>1</v>
      </c>
      <c r="K122" s="106" t="str">
        <f t="shared" si="6"/>
        <v>1</v>
      </c>
      <c r="L122" s="106"/>
      <c r="M122" s="106" t="str">
        <f>SUMIFS(Ere!C:C,Ere!B:B,A122)</f>
        <v>0</v>
      </c>
      <c r="N122" s="106" t="str">
        <f t="shared" si="7"/>
        <v>1</v>
      </c>
      <c r="O122" s="107" t="str">
        <f t="array" ref="O122">XLOOKUP(A122,Data!F:F,Data!O:O)</f>
        <v>  2.19 </v>
      </c>
      <c r="P122" s="107" t="str">
        <f t="shared" si="8"/>
        <v>  5.47 </v>
      </c>
      <c r="Q122" s="27"/>
    </row>
    <row r="123" ht="15.75" customHeight="1">
      <c r="A123" s="105" t="s">
        <v>367</v>
      </c>
      <c r="B123" s="19" t="str">
        <f t="array" ref="B123">XLOOKUP(A123,Data!F:F,Data!G:G)</f>
        <v>A1A</v>
      </c>
      <c r="C123" s="19" t="str">
        <f t="shared" si="3"/>
        <v>A007</v>
      </c>
      <c r="D123" s="19" t="str">
        <f t="array" ref="D123">XLOOKUP(A123,Data!F:F,Data!C:C)</f>
        <v/>
      </c>
      <c r="E123" s="19" t="str">
        <f t="array" ref="E123">XLOOKUP(A123,Data!F:F,Data!H:H)</f>
        <v>BW</v>
      </c>
      <c r="F123" s="106" t="str">
        <f>SUMIFS(Data!J:J,Data!F:F,A123)</f>
        <v>1</v>
      </c>
      <c r="G123" s="106" t="str">
        <f>SUMIFS(Cast!C:C,CastElements,A123)</f>
        <v>1</v>
      </c>
      <c r="H123" s="106" t="str">
        <f t="shared" si="4"/>
        <v>0</v>
      </c>
      <c r="I123" s="106" t="str">
        <f>SUMIFS(Del!C:C,Del!B:B,A123)</f>
        <v>0</v>
      </c>
      <c r="J123" s="106" t="str">
        <f t="shared" si="5"/>
        <v>1</v>
      </c>
      <c r="K123" s="106" t="str">
        <f t="shared" si="6"/>
        <v>1</v>
      </c>
      <c r="L123" s="106"/>
      <c r="M123" s="106" t="str">
        <f>SUMIFS(Ere!C:C,Ere!B:B,A123)</f>
        <v>0</v>
      </c>
      <c r="N123" s="106" t="str">
        <f t="shared" si="7"/>
        <v>1</v>
      </c>
      <c r="O123" s="107" t="str">
        <f t="array" ref="O123">XLOOKUP(A123,Data!F:F,Data!O:O)</f>
        <v>  2.19 </v>
      </c>
      <c r="P123" s="107" t="str">
        <f t="shared" si="8"/>
        <v>  5.47 </v>
      </c>
      <c r="Q123" s="27"/>
    </row>
    <row r="124" ht="15.75" customHeight="1">
      <c r="A124" s="105" t="s">
        <v>368</v>
      </c>
      <c r="B124" s="19" t="str">
        <f t="array" ref="B124">XLOOKUP(A124,Data!F:F,Data!G:G)</f>
        <v>A1A</v>
      </c>
      <c r="C124" s="19" t="str">
        <f t="shared" si="3"/>
        <v>A007</v>
      </c>
      <c r="D124" s="19" t="str">
        <f t="array" ref="D124">XLOOKUP(A124,Data!F:F,Data!C:C)</f>
        <v/>
      </c>
      <c r="E124" s="19" t="str">
        <f t="array" ref="E124">XLOOKUP(A124,Data!F:F,Data!H:H)</f>
        <v>BW</v>
      </c>
      <c r="F124" s="106" t="str">
        <f>SUMIFS(Data!J:J,Data!F:F,A124)</f>
        <v>1</v>
      </c>
      <c r="G124" s="106" t="str">
        <f>SUMIFS(Cast!C:C,CastElements,A124)</f>
        <v>1</v>
      </c>
      <c r="H124" s="106" t="str">
        <f t="shared" si="4"/>
        <v>0</v>
      </c>
      <c r="I124" s="106" t="str">
        <f>SUMIFS(Del!C:C,Del!B:B,A124)</f>
        <v>0</v>
      </c>
      <c r="J124" s="106" t="str">
        <f t="shared" si="5"/>
        <v>1</v>
      </c>
      <c r="K124" s="106" t="str">
        <f t="shared" si="6"/>
        <v>1</v>
      </c>
      <c r="L124" s="106"/>
      <c r="M124" s="106" t="str">
        <f>SUMIFS(Ere!C:C,Ere!B:B,A124)</f>
        <v>0</v>
      </c>
      <c r="N124" s="106" t="str">
        <f t="shared" si="7"/>
        <v>1</v>
      </c>
      <c r="O124" s="107" t="str">
        <f t="array" ref="O124">XLOOKUP(A124,Data!F:F,Data!O:O)</f>
        <v>  1.85 </v>
      </c>
      <c r="P124" s="107" t="str">
        <f t="shared" si="8"/>
        <v>  4.63 </v>
      </c>
      <c r="Q124" s="27"/>
    </row>
    <row r="125" ht="15.75" customHeight="1">
      <c r="A125" s="105" t="s">
        <v>369</v>
      </c>
      <c r="B125" s="19" t="str">
        <f t="array" ref="B125">XLOOKUP(A125,Data!F:F,Data!G:G)</f>
        <v>A1A</v>
      </c>
      <c r="C125" s="19" t="str">
        <f t="shared" si="3"/>
        <v>A007</v>
      </c>
      <c r="D125" s="19" t="str">
        <f t="array" ref="D125">XLOOKUP(A125,Data!F:F,Data!C:C)</f>
        <v/>
      </c>
      <c r="E125" s="19" t="str">
        <f t="array" ref="E125">XLOOKUP(A125,Data!F:F,Data!H:H)</f>
        <v>BW</v>
      </c>
      <c r="F125" s="106" t="str">
        <f>SUMIFS(Data!J:J,Data!F:F,A125)</f>
        <v>1</v>
      </c>
      <c r="G125" s="106" t="str">
        <f>SUMIFS(Cast!C:C,CastElements,A125)</f>
        <v>0</v>
      </c>
      <c r="H125" s="106" t="str">
        <f t="shared" si="4"/>
        <v>1</v>
      </c>
      <c r="I125" s="106" t="str">
        <f>SUMIFS(Del!C:C,Del!B:B,A125)</f>
        <v>0</v>
      </c>
      <c r="J125" s="106" t="str">
        <f t="shared" si="5"/>
        <v>1</v>
      </c>
      <c r="K125" s="106" t="str">
        <f t="shared" si="6"/>
        <v>0</v>
      </c>
      <c r="L125" s="106"/>
      <c r="M125" s="106" t="str">
        <f>SUMIFS(Ere!C:C,Ere!B:B,A125)</f>
        <v>0</v>
      </c>
      <c r="N125" s="106" t="str">
        <f t="shared" si="7"/>
        <v>1</v>
      </c>
      <c r="O125" s="107" t="str">
        <f t="array" ref="O125">XLOOKUP(A125,Data!F:F,Data!O:O)</f>
        <v>  0.38 </v>
      </c>
      <c r="P125" s="107" t="str">
        <f t="shared" si="8"/>
        <v>  0.94 </v>
      </c>
      <c r="Q125" s="27"/>
    </row>
    <row r="126" ht="15.75" customHeight="1">
      <c r="A126" s="105" t="s">
        <v>370</v>
      </c>
      <c r="B126" s="19" t="str">
        <f t="array" ref="B126">XLOOKUP(A126,Data!F:F,Data!G:G)</f>
        <v>A1A</v>
      </c>
      <c r="C126" s="19" t="str">
        <f t="shared" si="3"/>
        <v>A007</v>
      </c>
      <c r="D126" s="19" t="str">
        <f t="array" ref="D126">XLOOKUP(A126,Data!F:F,Data!C:C)</f>
        <v/>
      </c>
      <c r="E126" s="19" t="str">
        <f t="array" ref="E126">XLOOKUP(A126,Data!F:F,Data!H:H)</f>
        <v>BW</v>
      </c>
      <c r="F126" s="106" t="str">
        <f>SUMIFS(Data!J:J,Data!F:F,A126)</f>
        <v>1</v>
      </c>
      <c r="G126" s="106" t="str">
        <f>SUMIFS(Cast!C:C,CastElements,A126)</f>
        <v>1</v>
      </c>
      <c r="H126" s="106" t="str">
        <f t="shared" si="4"/>
        <v>0</v>
      </c>
      <c r="I126" s="106" t="str">
        <f>SUMIFS(Del!C:C,Del!B:B,A126)</f>
        <v>0</v>
      </c>
      <c r="J126" s="106" t="str">
        <f t="shared" si="5"/>
        <v>1</v>
      </c>
      <c r="K126" s="106" t="str">
        <f t="shared" si="6"/>
        <v>1</v>
      </c>
      <c r="L126" s="106"/>
      <c r="M126" s="106" t="str">
        <f>SUMIFS(Ere!C:C,Ere!B:B,A126)</f>
        <v>0</v>
      </c>
      <c r="N126" s="106" t="str">
        <f t="shared" si="7"/>
        <v>1</v>
      </c>
      <c r="O126" s="107" t="str">
        <f t="array" ref="O126">XLOOKUP(A126,Data!F:F,Data!O:O)</f>
        <v>  0.49 </v>
      </c>
      <c r="P126" s="107" t="str">
        <f t="shared" si="8"/>
        <v>  1.23 </v>
      </c>
      <c r="Q126" s="27"/>
    </row>
    <row r="127" ht="15.75" customHeight="1">
      <c r="A127" s="105" t="s">
        <v>371</v>
      </c>
      <c r="B127" s="19" t="str">
        <f t="array" ref="B127">XLOOKUP(A127,Data!F:F,Data!G:G)</f>
        <v>A1A</v>
      </c>
      <c r="C127" s="19" t="str">
        <f t="shared" si="3"/>
        <v>A007</v>
      </c>
      <c r="D127" s="19" t="str">
        <f t="array" ref="D127">XLOOKUP(A127,Data!F:F,Data!C:C)</f>
        <v/>
      </c>
      <c r="E127" s="19" t="str">
        <f t="array" ref="E127">XLOOKUP(A127,Data!F:F,Data!H:H)</f>
        <v>CF</v>
      </c>
      <c r="F127" s="106" t="str">
        <f>SUMIFS(Data!J:J,Data!F:F,A127)</f>
        <v>1</v>
      </c>
      <c r="G127" s="106" t="str">
        <f>SUMIFS(Cast!C:C,CastElements,A127)</f>
        <v>0</v>
      </c>
      <c r="H127" s="106" t="str">
        <f t="shared" si="4"/>
        <v>1</v>
      </c>
      <c r="I127" s="106" t="str">
        <f>SUMIFS(Del!C:C,Del!B:B,A127)</f>
        <v>0</v>
      </c>
      <c r="J127" s="106" t="str">
        <f t="shared" si="5"/>
        <v>1</v>
      </c>
      <c r="K127" s="106" t="str">
        <f t="shared" si="6"/>
        <v>0</v>
      </c>
      <c r="L127" s="106"/>
      <c r="M127" s="106" t="str">
        <f>SUMIFS(Ere!C:C,Ere!B:B,A127)</f>
        <v>0</v>
      </c>
      <c r="N127" s="106" t="str">
        <f t="shared" si="7"/>
        <v>1</v>
      </c>
      <c r="O127" s="107" t="str">
        <f t="array" ref="O127">XLOOKUP(A127,Data!F:F,Data!O:O)</f>
        <v>  0.47 </v>
      </c>
      <c r="P127" s="107" t="str">
        <f t="shared" si="8"/>
        <v>  1.17 </v>
      </c>
      <c r="Q127" s="27"/>
    </row>
    <row r="128" ht="15.75" customHeight="1">
      <c r="A128" s="105" t="s">
        <v>372</v>
      </c>
      <c r="B128" s="19" t="str">
        <f t="array" ref="B128">XLOOKUP(A128,Data!F:F,Data!G:G)</f>
        <v>A1A</v>
      </c>
      <c r="C128" s="19" t="str">
        <f t="shared" si="3"/>
        <v>A008</v>
      </c>
      <c r="D128" s="19" t="str">
        <f t="array" ref="D128">XLOOKUP(A128,Data!F:F,Data!C:C)</f>
        <v>EXT</v>
      </c>
      <c r="E128" s="19" t="str">
        <f t="array" ref="E128">XLOOKUP(A128,Data!F:F,Data!H:H)</f>
        <v>BW</v>
      </c>
      <c r="F128" s="106" t="str">
        <f>SUMIFS(Data!J:J,Data!F:F,A128)</f>
        <v>1</v>
      </c>
      <c r="G128" s="106" t="str">
        <f>SUMIFS(Cast!C:C,CastElements,A128)</f>
        <v>1</v>
      </c>
      <c r="H128" s="106" t="str">
        <f t="shared" si="4"/>
        <v>0</v>
      </c>
      <c r="I128" s="106" t="str">
        <f>SUMIFS(Del!C:C,Del!B:B,A128)</f>
        <v>0</v>
      </c>
      <c r="J128" s="106" t="str">
        <f t="shared" si="5"/>
        <v>1</v>
      </c>
      <c r="K128" s="106" t="str">
        <f t="shared" si="6"/>
        <v>1</v>
      </c>
      <c r="L128" s="106"/>
      <c r="M128" s="106" t="str">
        <f>SUMIFS(Ere!C:C,Ere!B:B,A128)</f>
        <v>0</v>
      </c>
      <c r="N128" s="106" t="str">
        <f t="shared" si="7"/>
        <v>1</v>
      </c>
      <c r="O128" s="107" t="str">
        <f t="array" ref="O128">XLOOKUP(A128,Data!F:F,Data!O:O)</f>
        <v>  0.92 </v>
      </c>
      <c r="P128" s="107" t="str">
        <f t="shared" si="8"/>
        <v>  2.30 </v>
      </c>
      <c r="Q128" s="27"/>
    </row>
    <row r="129" ht="15.75" customHeight="1">
      <c r="A129" s="105" t="s">
        <v>373</v>
      </c>
      <c r="B129" s="19" t="str">
        <f t="array" ref="B129">XLOOKUP(A129,Data!F:F,Data!G:G)</f>
        <v>A1A</v>
      </c>
      <c r="C129" s="19" t="str">
        <f t="shared" si="3"/>
        <v>A008</v>
      </c>
      <c r="D129" s="19" t="str">
        <f t="array" ref="D129">XLOOKUP(A129,Data!F:F,Data!C:C)</f>
        <v>EXT</v>
      </c>
      <c r="E129" s="19" t="str">
        <f t="array" ref="E129">XLOOKUP(A129,Data!F:F,Data!H:H)</f>
        <v>BW</v>
      </c>
      <c r="F129" s="106" t="str">
        <f>SUMIFS(Data!J:J,Data!F:F,A129)</f>
        <v>1</v>
      </c>
      <c r="G129" s="106" t="str">
        <f>SUMIFS(Cast!C:C,CastElements,A129)</f>
        <v>1</v>
      </c>
      <c r="H129" s="106" t="str">
        <f t="shared" si="4"/>
        <v>0</v>
      </c>
      <c r="I129" s="106" t="str">
        <f>SUMIFS(Del!C:C,Del!B:B,A129)</f>
        <v>0</v>
      </c>
      <c r="J129" s="106" t="str">
        <f t="shared" si="5"/>
        <v>1</v>
      </c>
      <c r="K129" s="106" t="str">
        <f t="shared" si="6"/>
        <v>1</v>
      </c>
      <c r="L129" s="106"/>
      <c r="M129" s="106" t="str">
        <f>SUMIFS(Ere!C:C,Ere!B:B,A129)</f>
        <v>0</v>
      </c>
      <c r="N129" s="106" t="str">
        <f t="shared" si="7"/>
        <v>1</v>
      </c>
      <c r="O129" s="107" t="str">
        <f t="array" ref="O129">XLOOKUP(A129,Data!F:F,Data!O:O)</f>
        <v>  1.36 </v>
      </c>
      <c r="P129" s="107" t="str">
        <f t="shared" si="8"/>
        <v>  3.40 </v>
      </c>
      <c r="Q129" s="27"/>
    </row>
    <row r="130" ht="15.75" customHeight="1">
      <c r="A130" s="105" t="s">
        <v>374</v>
      </c>
      <c r="B130" s="19" t="str">
        <f t="array" ref="B130">XLOOKUP(A130,Data!F:F,Data!G:G)</f>
        <v>A1A</v>
      </c>
      <c r="C130" s="19" t="str">
        <f t="shared" si="3"/>
        <v>A008</v>
      </c>
      <c r="D130" s="19" t="str">
        <f t="array" ref="D130">XLOOKUP(A130,Data!F:F,Data!C:C)</f>
        <v/>
      </c>
      <c r="E130" s="19" t="str">
        <f t="array" ref="E130">XLOOKUP(A130,Data!F:F,Data!H:H)</f>
        <v>BW</v>
      </c>
      <c r="F130" s="106" t="str">
        <f>SUMIFS(Data!J:J,Data!F:F,A130)</f>
        <v>1</v>
      </c>
      <c r="G130" s="106" t="str">
        <f>SUMIFS(Cast!C:C,CastElements,A130)</f>
        <v>1</v>
      </c>
      <c r="H130" s="106" t="str">
        <f t="shared" si="4"/>
        <v>0</v>
      </c>
      <c r="I130" s="106" t="str">
        <f>SUMIFS(Del!C:C,Del!B:B,A130)</f>
        <v>0</v>
      </c>
      <c r="J130" s="106" t="str">
        <f t="shared" si="5"/>
        <v>1</v>
      </c>
      <c r="K130" s="106" t="str">
        <f t="shared" si="6"/>
        <v>1</v>
      </c>
      <c r="L130" s="106"/>
      <c r="M130" s="106" t="str">
        <f>SUMIFS(Ere!C:C,Ere!B:B,A130)</f>
        <v>0</v>
      </c>
      <c r="N130" s="106" t="str">
        <f t="shared" si="7"/>
        <v>1</v>
      </c>
      <c r="O130" s="107" t="str">
        <f t="array" ref="O130">XLOOKUP(A130,Data!F:F,Data!O:O)</f>
        <v>  0.76 </v>
      </c>
      <c r="P130" s="107" t="str">
        <f t="shared" si="8"/>
        <v>  1.91 </v>
      </c>
      <c r="Q130" s="27"/>
    </row>
    <row r="131" ht="15.75" customHeight="1">
      <c r="A131" s="105" t="s">
        <v>375</v>
      </c>
      <c r="B131" s="19" t="str">
        <f t="array" ref="B131">XLOOKUP(A131,Data!F:F,Data!G:G)</f>
        <v>A1A</v>
      </c>
      <c r="C131" s="19" t="str">
        <f t="shared" si="3"/>
        <v>A008</v>
      </c>
      <c r="D131" s="19" t="str">
        <f t="array" ref="D131">XLOOKUP(A131,Data!F:F,Data!C:C)</f>
        <v>EXT</v>
      </c>
      <c r="E131" s="19" t="str">
        <f t="array" ref="E131">XLOOKUP(A131,Data!F:F,Data!H:H)</f>
        <v>BW</v>
      </c>
      <c r="F131" s="106" t="str">
        <f>SUMIFS(Data!J:J,Data!F:F,A131)</f>
        <v>1</v>
      </c>
      <c r="G131" s="106" t="str">
        <f>SUMIFS(Cast!C:C,CastElements,A131)</f>
        <v>0</v>
      </c>
      <c r="H131" s="106" t="str">
        <f t="shared" si="4"/>
        <v>1</v>
      </c>
      <c r="I131" s="106" t="str">
        <f>SUMIFS(Del!C:C,Del!B:B,A131)</f>
        <v>0</v>
      </c>
      <c r="J131" s="106" t="str">
        <f t="shared" si="5"/>
        <v>1</v>
      </c>
      <c r="K131" s="106" t="str">
        <f t="shared" si="6"/>
        <v>0</v>
      </c>
      <c r="L131" s="106"/>
      <c r="M131" s="106" t="str">
        <f>SUMIFS(Ere!C:C,Ere!B:B,A131)</f>
        <v>0</v>
      </c>
      <c r="N131" s="106" t="str">
        <f t="shared" si="7"/>
        <v>1</v>
      </c>
      <c r="O131" s="107" t="str">
        <f t="array" ref="O131">XLOOKUP(A131,Data!F:F,Data!O:O)</f>
        <v>  1.68 </v>
      </c>
      <c r="P131" s="107" t="str">
        <f t="shared" si="8"/>
        <v>  4.20 </v>
      </c>
      <c r="Q131" s="27"/>
    </row>
    <row r="132" ht="15.75" customHeight="1">
      <c r="A132" s="105" t="s">
        <v>376</v>
      </c>
      <c r="B132" s="19" t="str">
        <f t="array" ref="B132">XLOOKUP(A132,Data!F:F,Data!G:G)</f>
        <v>A1A</v>
      </c>
      <c r="C132" s="19" t="str">
        <f t="shared" si="3"/>
        <v>A008</v>
      </c>
      <c r="D132" s="19" t="str">
        <f t="array" ref="D132">XLOOKUP(A132,Data!F:F,Data!C:C)</f>
        <v>EXT</v>
      </c>
      <c r="E132" s="19" t="str">
        <f t="array" ref="E132">XLOOKUP(A132,Data!F:F,Data!H:H)</f>
        <v>BW</v>
      </c>
      <c r="F132" s="106" t="str">
        <f>SUMIFS(Data!J:J,Data!F:F,A132)</f>
        <v>1</v>
      </c>
      <c r="G132" s="106" t="str">
        <f>SUMIFS(Cast!C:C,CastElements,A132)</f>
        <v>0</v>
      </c>
      <c r="H132" s="106" t="str">
        <f t="shared" si="4"/>
        <v>1</v>
      </c>
      <c r="I132" s="106" t="str">
        <f>SUMIFS(Del!C:C,Del!B:B,A132)</f>
        <v>0</v>
      </c>
      <c r="J132" s="106" t="str">
        <f t="shared" si="5"/>
        <v>1</v>
      </c>
      <c r="K132" s="106" t="str">
        <f t="shared" si="6"/>
        <v>0</v>
      </c>
      <c r="L132" s="106"/>
      <c r="M132" s="106" t="str">
        <f>SUMIFS(Ere!C:C,Ere!B:B,A132)</f>
        <v>0</v>
      </c>
      <c r="N132" s="106" t="str">
        <f t="shared" si="7"/>
        <v>1</v>
      </c>
      <c r="O132" s="107" t="str">
        <f t="array" ref="O132">XLOOKUP(A132,Data!F:F,Data!O:O)</f>
        <v>  1.69 </v>
      </c>
      <c r="P132" s="107" t="str">
        <f t="shared" si="8"/>
        <v>  4.23 </v>
      </c>
      <c r="Q132" s="27"/>
    </row>
    <row r="133" ht="15.75" customHeight="1">
      <c r="A133" s="105" t="s">
        <v>377</v>
      </c>
      <c r="B133" s="19" t="str">
        <f t="array" ref="B133">XLOOKUP(A133,Data!F:F,Data!G:G)</f>
        <v>A1A</v>
      </c>
      <c r="C133" s="19" t="str">
        <f t="shared" si="3"/>
        <v>A008</v>
      </c>
      <c r="D133" s="19" t="str">
        <f t="array" ref="D133">XLOOKUP(A133,Data!F:F,Data!C:C)</f>
        <v/>
      </c>
      <c r="E133" s="19" t="str">
        <f t="array" ref="E133">XLOOKUP(A133,Data!F:F,Data!H:H)</f>
        <v>BW</v>
      </c>
      <c r="F133" s="106" t="str">
        <f>SUMIFS(Data!J:J,Data!F:F,A133)</f>
        <v>1</v>
      </c>
      <c r="G133" s="106" t="str">
        <f>SUMIFS(Cast!C:C,CastElements,A133)</f>
        <v>1</v>
      </c>
      <c r="H133" s="106" t="str">
        <f t="shared" si="4"/>
        <v>0</v>
      </c>
      <c r="I133" s="106" t="str">
        <f>SUMIFS(Del!C:C,Del!B:B,A133)</f>
        <v>0</v>
      </c>
      <c r="J133" s="106" t="str">
        <f t="shared" si="5"/>
        <v>1</v>
      </c>
      <c r="K133" s="106" t="str">
        <f t="shared" si="6"/>
        <v>1</v>
      </c>
      <c r="L133" s="106"/>
      <c r="M133" s="106" t="str">
        <f>SUMIFS(Ere!C:C,Ere!B:B,A133)</f>
        <v>0</v>
      </c>
      <c r="N133" s="106" t="str">
        <f t="shared" si="7"/>
        <v>1</v>
      </c>
      <c r="O133" s="107" t="str">
        <f t="array" ref="O133">XLOOKUP(A133,Data!F:F,Data!O:O)</f>
        <v>  1.63 </v>
      </c>
      <c r="P133" s="107" t="str">
        <f t="shared" si="8"/>
        <v>  4.07 </v>
      </c>
      <c r="Q133" s="27"/>
    </row>
    <row r="134" ht="15.75" customHeight="1">
      <c r="A134" s="105" t="s">
        <v>378</v>
      </c>
      <c r="B134" s="19" t="str">
        <f t="array" ref="B134">XLOOKUP(A134,Data!F:F,Data!G:G)</f>
        <v>A1A</v>
      </c>
      <c r="C134" s="19" t="str">
        <f t="shared" si="3"/>
        <v>A008</v>
      </c>
      <c r="D134" s="19" t="str">
        <f t="array" ref="D134">XLOOKUP(A134,Data!F:F,Data!C:C)</f>
        <v/>
      </c>
      <c r="E134" s="19" t="str">
        <f t="array" ref="E134">XLOOKUP(A134,Data!F:F,Data!H:H)</f>
        <v>BW</v>
      </c>
      <c r="F134" s="106" t="str">
        <f>SUMIFS(Data!J:J,Data!F:F,A134)</f>
        <v>1</v>
      </c>
      <c r="G134" s="106" t="str">
        <f>SUMIFS(Cast!C:C,CastElements,A134)</f>
        <v>1</v>
      </c>
      <c r="H134" s="106" t="str">
        <f t="shared" si="4"/>
        <v>0</v>
      </c>
      <c r="I134" s="106" t="str">
        <f>SUMIFS(Del!C:C,Del!B:B,A134)</f>
        <v>0</v>
      </c>
      <c r="J134" s="106" t="str">
        <f t="shared" si="5"/>
        <v>1</v>
      </c>
      <c r="K134" s="106" t="str">
        <f t="shared" si="6"/>
        <v>1</v>
      </c>
      <c r="L134" s="106"/>
      <c r="M134" s="106" t="str">
        <f>SUMIFS(Ere!C:C,Ere!B:B,A134)</f>
        <v>0</v>
      </c>
      <c r="N134" s="106" t="str">
        <f t="shared" si="7"/>
        <v>1</v>
      </c>
      <c r="O134" s="107" t="str">
        <f t="array" ref="O134">XLOOKUP(A134,Data!F:F,Data!O:O)</f>
        <v>  1.74 </v>
      </c>
      <c r="P134" s="107" t="str">
        <f t="shared" si="8"/>
        <v>  4.35 </v>
      </c>
      <c r="Q134" s="27"/>
    </row>
    <row r="135" ht="15.75" customHeight="1">
      <c r="A135" s="105" t="s">
        <v>379</v>
      </c>
      <c r="B135" s="19" t="str">
        <f t="array" ref="B135">XLOOKUP(A135,Data!F:F,Data!G:G)</f>
        <v>A1A</v>
      </c>
      <c r="C135" s="19" t="str">
        <f t="shared" si="3"/>
        <v>A008</v>
      </c>
      <c r="D135" s="19" t="str">
        <f t="array" ref="D135">XLOOKUP(A135,Data!F:F,Data!C:C)</f>
        <v/>
      </c>
      <c r="E135" s="19" t="str">
        <f t="array" ref="E135">XLOOKUP(A135,Data!F:F,Data!H:H)</f>
        <v>BW</v>
      </c>
      <c r="F135" s="106" t="str">
        <f>SUMIFS(Data!J:J,Data!F:F,A135)</f>
        <v>1</v>
      </c>
      <c r="G135" s="106" t="str">
        <f>SUMIFS(Cast!C:C,CastElements,A135)</f>
        <v>1</v>
      </c>
      <c r="H135" s="106" t="str">
        <f t="shared" si="4"/>
        <v>0</v>
      </c>
      <c r="I135" s="106" t="str">
        <f>SUMIFS(Del!C:C,Del!B:B,A135)</f>
        <v>0</v>
      </c>
      <c r="J135" s="106" t="str">
        <f t="shared" si="5"/>
        <v>1</v>
      </c>
      <c r="K135" s="106" t="str">
        <f t="shared" si="6"/>
        <v>1</v>
      </c>
      <c r="L135" s="106"/>
      <c r="M135" s="106" t="str">
        <f>SUMIFS(Ere!C:C,Ere!B:B,A135)</f>
        <v>0</v>
      </c>
      <c r="N135" s="106" t="str">
        <f t="shared" si="7"/>
        <v>1</v>
      </c>
      <c r="O135" s="107" t="str">
        <f t="array" ref="O135">XLOOKUP(A135,Data!F:F,Data!O:O)</f>
        <v>  2.16 </v>
      </c>
      <c r="P135" s="107" t="str">
        <f t="shared" si="8"/>
        <v>  5.39 </v>
      </c>
      <c r="Q135" s="27"/>
    </row>
    <row r="136" ht="15.75" customHeight="1">
      <c r="A136" s="105" t="s">
        <v>380</v>
      </c>
      <c r="B136" s="19" t="str">
        <f t="array" ref="B136">XLOOKUP(A136,Data!F:F,Data!G:G)</f>
        <v>A1A</v>
      </c>
      <c r="C136" s="19" t="str">
        <f t="shared" si="3"/>
        <v>A008</v>
      </c>
      <c r="D136" s="19" t="str">
        <f t="array" ref="D136">XLOOKUP(A136,Data!F:F,Data!C:C)</f>
        <v/>
      </c>
      <c r="E136" s="19" t="str">
        <f t="array" ref="E136">XLOOKUP(A136,Data!F:F,Data!H:H)</f>
        <v>BW</v>
      </c>
      <c r="F136" s="106" t="str">
        <f>SUMIFS(Data!J:J,Data!F:F,A136)</f>
        <v>1</v>
      </c>
      <c r="G136" s="106" t="str">
        <f>SUMIFS(Cast!C:C,CastElements,A136)</f>
        <v>1</v>
      </c>
      <c r="H136" s="106" t="str">
        <f t="shared" si="4"/>
        <v>0</v>
      </c>
      <c r="I136" s="106" t="str">
        <f>SUMIFS(Del!C:C,Del!B:B,A136)</f>
        <v>0</v>
      </c>
      <c r="J136" s="106" t="str">
        <f t="shared" si="5"/>
        <v>1</v>
      </c>
      <c r="K136" s="106" t="str">
        <f t="shared" si="6"/>
        <v>1</v>
      </c>
      <c r="L136" s="106"/>
      <c r="M136" s="106" t="str">
        <f>SUMIFS(Ere!C:C,Ere!B:B,A136)</f>
        <v>0</v>
      </c>
      <c r="N136" s="106" t="str">
        <f t="shared" si="7"/>
        <v>1</v>
      </c>
      <c r="O136" s="107" t="str">
        <f t="array" ref="O136">XLOOKUP(A136,Data!F:F,Data!O:O)</f>
        <v>  2.04 </v>
      </c>
      <c r="P136" s="107" t="str">
        <f t="shared" si="8"/>
        <v>  5.09 </v>
      </c>
      <c r="Q136" s="27"/>
    </row>
    <row r="137" ht="15.75" customHeight="1">
      <c r="A137" s="105" t="s">
        <v>381</v>
      </c>
      <c r="B137" s="19" t="str">
        <f t="array" ref="B137">XLOOKUP(A137,Data!F:F,Data!G:G)</f>
        <v>A1A</v>
      </c>
      <c r="C137" s="19" t="str">
        <f t="shared" si="3"/>
        <v>A008</v>
      </c>
      <c r="D137" s="19" t="str">
        <f t="array" ref="D137">XLOOKUP(A137,Data!F:F,Data!C:C)</f>
        <v/>
      </c>
      <c r="E137" s="19" t="str">
        <f t="array" ref="E137">XLOOKUP(A137,Data!F:F,Data!H:H)</f>
        <v>BW</v>
      </c>
      <c r="F137" s="106" t="str">
        <f>SUMIFS(Data!J:J,Data!F:F,A137)</f>
        <v>1</v>
      </c>
      <c r="G137" s="106" t="str">
        <f>SUMIFS(Cast!C:C,CastElements,A137)</f>
        <v>1</v>
      </c>
      <c r="H137" s="106" t="str">
        <f t="shared" si="4"/>
        <v>0</v>
      </c>
      <c r="I137" s="106" t="str">
        <f>SUMIFS(Del!C:C,Del!B:B,A137)</f>
        <v>0</v>
      </c>
      <c r="J137" s="106" t="str">
        <f t="shared" si="5"/>
        <v>1</v>
      </c>
      <c r="K137" s="106" t="str">
        <f t="shared" si="6"/>
        <v>1</v>
      </c>
      <c r="L137" s="106"/>
      <c r="M137" s="106" t="str">
        <f>SUMIFS(Ere!C:C,Ere!B:B,A137)</f>
        <v>0</v>
      </c>
      <c r="N137" s="106" t="str">
        <f t="shared" si="7"/>
        <v>1</v>
      </c>
      <c r="O137" s="107" t="str">
        <f t="array" ref="O137">XLOOKUP(A137,Data!F:F,Data!O:O)</f>
        <v>  2.33 </v>
      </c>
      <c r="P137" s="107" t="str">
        <f t="shared" si="8"/>
        <v>  5.84 </v>
      </c>
      <c r="Q137" s="27"/>
    </row>
    <row r="138" ht="15.75" customHeight="1">
      <c r="A138" s="105" t="s">
        <v>382</v>
      </c>
      <c r="B138" s="19" t="str">
        <f t="array" ref="B138">XLOOKUP(A138,Data!F:F,Data!G:G)</f>
        <v>A1A</v>
      </c>
      <c r="C138" s="19" t="str">
        <f t="shared" si="3"/>
        <v>A008</v>
      </c>
      <c r="D138" s="19" t="str">
        <f t="array" ref="D138">XLOOKUP(A138,Data!F:F,Data!C:C)</f>
        <v/>
      </c>
      <c r="E138" s="19" t="str">
        <f t="array" ref="E138">XLOOKUP(A138,Data!F:F,Data!H:H)</f>
        <v>BW</v>
      </c>
      <c r="F138" s="106" t="str">
        <f>SUMIFS(Data!J:J,Data!F:F,A138)</f>
        <v>1</v>
      </c>
      <c r="G138" s="106" t="str">
        <f>SUMIFS(Cast!C:C,CastElements,A138)</f>
        <v>1</v>
      </c>
      <c r="H138" s="106" t="str">
        <f t="shared" si="4"/>
        <v>0</v>
      </c>
      <c r="I138" s="106" t="str">
        <f>SUMIFS(Del!C:C,Del!B:B,A138)</f>
        <v>0</v>
      </c>
      <c r="J138" s="106" t="str">
        <f t="shared" si="5"/>
        <v>1</v>
      </c>
      <c r="K138" s="106" t="str">
        <f t="shared" si="6"/>
        <v>1</v>
      </c>
      <c r="L138" s="106"/>
      <c r="M138" s="106" t="str">
        <f>SUMIFS(Ere!C:C,Ere!B:B,A138)</f>
        <v>0</v>
      </c>
      <c r="N138" s="106" t="str">
        <f t="shared" si="7"/>
        <v>1</v>
      </c>
      <c r="O138" s="107" t="str">
        <f t="array" ref="O138">XLOOKUP(A138,Data!F:F,Data!O:O)</f>
        <v>  2.16 </v>
      </c>
      <c r="P138" s="107" t="str">
        <f t="shared" si="8"/>
        <v>  5.39 </v>
      </c>
      <c r="Q138" s="27"/>
    </row>
    <row r="139" ht="15.75" customHeight="1">
      <c r="A139" s="105" t="s">
        <v>383</v>
      </c>
      <c r="B139" s="19" t="str">
        <f t="array" ref="B139">XLOOKUP(A139,Data!F:F,Data!G:G)</f>
        <v>A1A</v>
      </c>
      <c r="C139" s="19" t="str">
        <f t="shared" si="3"/>
        <v>A008</v>
      </c>
      <c r="D139" s="19" t="str">
        <f t="array" ref="D139">XLOOKUP(A139,Data!F:F,Data!C:C)</f>
        <v/>
      </c>
      <c r="E139" s="19" t="str">
        <f t="array" ref="E139">XLOOKUP(A139,Data!F:F,Data!H:H)</f>
        <v>BW</v>
      </c>
      <c r="F139" s="106" t="str">
        <f>SUMIFS(Data!J:J,Data!F:F,A139)</f>
        <v>1</v>
      </c>
      <c r="G139" s="106" t="str">
        <f>SUMIFS(Cast!C:C,CastElements,A139)</f>
        <v>1</v>
      </c>
      <c r="H139" s="106" t="str">
        <f t="shared" si="4"/>
        <v>0</v>
      </c>
      <c r="I139" s="106" t="str">
        <f>SUMIFS(Del!C:C,Del!B:B,A139)</f>
        <v>0</v>
      </c>
      <c r="J139" s="106" t="str">
        <f t="shared" si="5"/>
        <v>1</v>
      </c>
      <c r="K139" s="106" t="str">
        <f t="shared" si="6"/>
        <v>1</v>
      </c>
      <c r="L139" s="106"/>
      <c r="M139" s="106" t="str">
        <f>SUMIFS(Ere!C:C,Ere!B:B,A139)</f>
        <v>0</v>
      </c>
      <c r="N139" s="106" t="str">
        <f t="shared" si="7"/>
        <v>1</v>
      </c>
      <c r="O139" s="107" t="str">
        <f t="array" ref="O139">XLOOKUP(A139,Data!F:F,Data!O:O)</f>
        <v>  2.16 </v>
      </c>
      <c r="P139" s="107" t="str">
        <f t="shared" si="8"/>
        <v>  5.39 </v>
      </c>
      <c r="Q139" s="27"/>
    </row>
    <row r="140" ht="15.75" customHeight="1">
      <c r="A140" s="105" t="s">
        <v>384</v>
      </c>
      <c r="B140" s="19" t="str">
        <f t="array" ref="B140">XLOOKUP(A140,Data!F:F,Data!G:G)</f>
        <v>A1A</v>
      </c>
      <c r="C140" s="19" t="str">
        <f t="shared" si="3"/>
        <v>A008</v>
      </c>
      <c r="D140" s="19" t="str">
        <f t="array" ref="D140">XLOOKUP(A140,Data!F:F,Data!C:C)</f>
        <v/>
      </c>
      <c r="E140" s="19" t="str">
        <f t="array" ref="E140">XLOOKUP(A140,Data!F:F,Data!H:H)</f>
        <v>BW</v>
      </c>
      <c r="F140" s="106" t="str">
        <f>SUMIFS(Data!J:J,Data!F:F,A140)</f>
        <v>1</v>
      </c>
      <c r="G140" s="106" t="str">
        <f>SUMIFS(Cast!C:C,CastElements,A140)</f>
        <v>1</v>
      </c>
      <c r="H140" s="106" t="str">
        <f t="shared" si="4"/>
        <v>0</v>
      </c>
      <c r="I140" s="106" t="str">
        <f>SUMIFS(Del!C:C,Del!B:B,A140)</f>
        <v>0</v>
      </c>
      <c r="J140" s="106" t="str">
        <f t="shared" si="5"/>
        <v>1</v>
      </c>
      <c r="K140" s="106" t="str">
        <f t="shared" si="6"/>
        <v>1</v>
      </c>
      <c r="L140" s="106"/>
      <c r="M140" s="106" t="str">
        <f>SUMIFS(Ere!C:C,Ere!B:B,A140)</f>
        <v>0</v>
      </c>
      <c r="N140" s="106" t="str">
        <f t="shared" si="7"/>
        <v>1</v>
      </c>
      <c r="O140" s="107" t="str">
        <f t="array" ref="O140">XLOOKUP(A140,Data!F:F,Data!O:O)</f>
        <v>  2.16 </v>
      </c>
      <c r="P140" s="107" t="str">
        <f t="shared" si="8"/>
        <v>  5.39 </v>
      </c>
      <c r="Q140" s="27"/>
    </row>
    <row r="141" ht="15.75" customHeight="1">
      <c r="A141" s="105" t="s">
        <v>385</v>
      </c>
      <c r="B141" s="19" t="str">
        <f t="array" ref="B141">XLOOKUP(A141,Data!F:F,Data!G:G)</f>
        <v>A1A</v>
      </c>
      <c r="C141" s="19" t="str">
        <f t="shared" si="3"/>
        <v>A008</v>
      </c>
      <c r="D141" s="19" t="str">
        <f t="array" ref="D141">XLOOKUP(A141,Data!F:F,Data!C:C)</f>
        <v/>
      </c>
      <c r="E141" s="19" t="str">
        <f t="array" ref="E141">XLOOKUP(A141,Data!F:F,Data!H:H)</f>
        <v>BW</v>
      </c>
      <c r="F141" s="106" t="str">
        <f>SUMIFS(Data!J:J,Data!F:F,A141)</f>
        <v>1</v>
      </c>
      <c r="G141" s="106" t="str">
        <f>SUMIFS(Cast!C:C,CastElements,A141)</f>
        <v>1</v>
      </c>
      <c r="H141" s="106" t="str">
        <f t="shared" si="4"/>
        <v>0</v>
      </c>
      <c r="I141" s="106" t="str">
        <f>SUMIFS(Del!C:C,Del!B:B,A141)</f>
        <v>0</v>
      </c>
      <c r="J141" s="106" t="str">
        <f t="shared" si="5"/>
        <v>1</v>
      </c>
      <c r="K141" s="106" t="str">
        <f t="shared" si="6"/>
        <v>1</v>
      </c>
      <c r="L141" s="106"/>
      <c r="M141" s="106" t="str">
        <f>SUMIFS(Ere!C:C,Ere!B:B,A141)</f>
        <v>0</v>
      </c>
      <c r="N141" s="106" t="str">
        <f t="shared" si="7"/>
        <v>1</v>
      </c>
      <c r="O141" s="107" t="str">
        <f t="array" ref="O141">XLOOKUP(A141,Data!F:F,Data!O:O)</f>
        <v>  1.82 </v>
      </c>
      <c r="P141" s="107" t="str">
        <f t="shared" si="8"/>
        <v>  4.55 </v>
      </c>
      <c r="Q141" s="27"/>
    </row>
    <row r="142" ht="15.75" customHeight="1">
      <c r="A142" s="105" t="s">
        <v>386</v>
      </c>
      <c r="B142" s="19" t="str">
        <f t="array" ref="B142">XLOOKUP(A142,Data!F:F,Data!G:G)</f>
        <v>A1A</v>
      </c>
      <c r="C142" s="19" t="str">
        <f t="shared" si="3"/>
        <v>A008</v>
      </c>
      <c r="D142" s="19" t="str">
        <f t="array" ref="D142">XLOOKUP(A142,Data!F:F,Data!C:C)</f>
        <v/>
      </c>
      <c r="E142" s="19" t="str">
        <f t="array" ref="E142">XLOOKUP(A142,Data!F:F,Data!H:H)</f>
        <v>BW</v>
      </c>
      <c r="F142" s="106" t="str">
        <f>SUMIFS(Data!J:J,Data!F:F,A142)</f>
        <v>1</v>
      </c>
      <c r="G142" s="106" t="str">
        <f>SUMIFS(Cast!C:C,CastElements,A142)</f>
        <v>1</v>
      </c>
      <c r="H142" s="106" t="str">
        <f t="shared" si="4"/>
        <v>0</v>
      </c>
      <c r="I142" s="106" t="str">
        <f>SUMIFS(Del!C:C,Del!B:B,A142)</f>
        <v>0</v>
      </c>
      <c r="J142" s="106" t="str">
        <f t="shared" si="5"/>
        <v>1</v>
      </c>
      <c r="K142" s="106" t="str">
        <f t="shared" si="6"/>
        <v>1</v>
      </c>
      <c r="L142" s="106"/>
      <c r="M142" s="106" t="str">
        <f>SUMIFS(Ere!C:C,Ere!B:B,A142)</f>
        <v>0</v>
      </c>
      <c r="N142" s="106" t="str">
        <f t="shared" si="7"/>
        <v>1</v>
      </c>
      <c r="O142" s="107" t="str">
        <f t="array" ref="O142">XLOOKUP(A142,Data!F:F,Data!O:O)</f>
        <v>  0.44 </v>
      </c>
      <c r="P142" s="107" t="str">
        <f t="shared" si="8"/>
        <v>  1.11 </v>
      </c>
      <c r="Q142" s="27"/>
    </row>
    <row r="143" ht="15.75" customHeight="1">
      <c r="A143" s="105" t="s">
        <v>387</v>
      </c>
      <c r="B143" s="19" t="str">
        <f t="array" ref="B143">XLOOKUP(A143,Data!F:F,Data!G:G)</f>
        <v>A1A</v>
      </c>
      <c r="C143" s="19" t="str">
        <f t="shared" si="3"/>
        <v>A008</v>
      </c>
      <c r="D143" s="19" t="str">
        <f t="array" ref="D143">XLOOKUP(A143,Data!F:F,Data!C:C)</f>
        <v/>
      </c>
      <c r="E143" s="19" t="str">
        <f t="array" ref="E143">XLOOKUP(A143,Data!F:F,Data!H:H)</f>
        <v>BW</v>
      </c>
      <c r="F143" s="106" t="str">
        <f>SUMIFS(Data!J:J,Data!F:F,A143)</f>
        <v>1</v>
      </c>
      <c r="G143" s="106" t="str">
        <f>SUMIFS(Cast!C:C,CastElements,A143)</f>
        <v>0</v>
      </c>
      <c r="H143" s="106" t="str">
        <f t="shared" si="4"/>
        <v>1</v>
      </c>
      <c r="I143" s="106" t="str">
        <f>SUMIFS(Del!C:C,Del!B:B,A143)</f>
        <v>0</v>
      </c>
      <c r="J143" s="106" t="str">
        <f t="shared" si="5"/>
        <v>1</v>
      </c>
      <c r="K143" s="106" t="str">
        <f t="shared" si="6"/>
        <v>0</v>
      </c>
      <c r="L143" s="106"/>
      <c r="M143" s="106" t="str">
        <f>SUMIFS(Ere!C:C,Ere!B:B,A143)</f>
        <v>0</v>
      </c>
      <c r="N143" s="106" t="str">
        <f t="shared" si="7"/>
        <v>1</v>
      </c>
      <c r="O143" s="107" t="str">
        <f t="array" ref="O143">XLOOKUP(A143,Data!F:F,Data!O:O)</f>
        <v>  0.40 </v>
      </c>
      <c r="P143" s="107" t="str">
        <f t="shared" si="8"/>
        <v>  0.99 </v>
      </c>
      <c r="Q143" s="27"/>
    </row>
    <row r="144" ht="15.75" customHeight="1">
      <c r="A144" s="105" t="s">
        <v>388</v>
      </c>
      <c r="B144" s="19" t="str">
        <f t="array" ref="B144">XLOOKUP(A144,Data!F:F,Data!G:G)</f>
        <v>A1A</v>
      </c>
      <c r="C144" s="19" t="str">
        <f t="shared" si="3"/>
        <v>A008</v>
      </c>
      <c r="D144" s="19" t="str">
        <f t="array" ref="D144">XLOOKUP(A144,Data!F:F,Data!C:C)</f>
        <v/>
      </c>
      <c r="E144" s="19" t="str">
        <f t="array" ref="E144">XLOOKUP(A144,Data!F:F,Data!H:H)</f>
        <v>CF</v>
      </c>
      <c r="F144" s="106" t="str">
        <f>SUMIFS(Data!J:J,Data!F:F,A144)</f>
        <v>1</v>
      </c>
      <c r="G144" s="106" t="str">
        <f>SUMIFS(Cast!C:C,CastElements,A144)</f>
        <v>0</v>
      </c>
      <c r="H144" s="106" t="str">
        <f t="shared" si="4"/>
        <v>1</v>
      </c>
      <c r="I144" s="106" t="str">
        <f>SUMIFS(Del!C:C,Del!B:B,A144)</f>
        <v>0</v>
      </c>
      <c r="J144" s="106" t="str">
        <f t="shared" si="5"/>
        <v>1</v>
      </c>
      <c r="K144" s="106" t="str">
        <f t="shared" si="6"/>
        <v>0</v>
      </c>
      <c r="L144" s="106"/>
      <c r="M144" s="106" t="str">
        <f>SUMIFS(Ere!C:C,Ere!B:B,A144)</f>
        <v>0</v>
      </c>
      <c r="N144" s="106" t="str">
        <f t="shared" si="7"/>
        <v>1</v>
      </c>
      <c r="O144" s="107" t="str">
        <f t="array" ref="O144">XLOOKUP(A144,Data!F:F,Data!O:O)</f>
        <v>  0.48 </v>
      </c>
      <c r="P144" s="107" t="str">
        <f t="shared" si="8"/>
        <v>  1.19 </v>
      </c>
      <c r="Q144" s="27"/>
    </row>
    <row r="145" ht="15.75" customHeight="1">
      <c r="A145" s="105" t="s">
        <v>389</v>
      </c>
      <c r="B145" s="19" t="str">
        <f t="array" ref="B145">XLOOKUP(A145,Data!F:F,Data!G:G)</f>
        <v>A1B</v>
      </c>
      <c r="C145" s="19" t="str">
        <f t="shared" si="3"/>
        <v>A009</v>
      </c>
      <c r="D145" s="19" t="str">
        <f t="array" ref="D145">XLOOKUP(A145,Data!F:F,Data!C:C)</f>
        <v>EXT</v>
      </c>
      <c r="E145" s="19" t="str">
        <f t="array" ref="E145">XLOOKUP(A145,Data!F:F,Data!H:H)</f>
        <v>BW</v>
      </c>
      <c r="F145" s="106" t="str">
        <f>SUMIFS(Data!J:J,Data!F:F,A145)</f>
        <v>1</v>
      </c>
      <c r="G145" s="106" t="str">
        <f>SUMIFS(Cast!C:C,CastElements,A145)</f>
        <v>0</v>
      </c>
      <c r="H145" s="106" t="str">
        <f t="shared" si="4"/>
        <v>1</v>
      </c>
      <c r="I145" s="106" t="str">
        <f>SUMIFS(Del!C:C,Del!B:B,A145)</f>
        <v>0</v>
      </c>
      <c r="J145" s="106" t="str">
        <f t="shared" si="5"/>
        <v>1</v>
      </c>
      <c r="K145" s="106" t="str">
        <f t="shared" si="6"/>
        <v>0</v>
      </c>
      <c r="L145" s="106"/>
      <c r="M145" s="106" t="str">
        <f>SUMIFS(Ere!C:C,Ere!B:B,A145)</f>
        <v>0</v>
      </c>
      <c r="N145" s="106" t="str">
        <f t="shared" si="7"/>
        <v>1</v>
      </c>
      <c r="O145" s="107" t="str">
        <f t="array" ref="O145">XLOOKUP(A145,Data!F:F,Data!O:O)</f>
        <v>  1.25 </v>
      </c>
      <c r="P145" s="107" t="str">
        <f t="shared" si="8"/>
        <v>  3.13 </v>
      </c>
      <c r="Q145" s="27"/>
    </row>
    <row r="146" ht="15.75" customHeight="1">
      <c r="A146" s="105" t="s">
        <v>390</v>
      </c>
      <c r="B146" s="19" t="str">
        <f t="array" ref="B146">XLOOKUP(A146,Data!F:F,Data!G:G)</f>
        <v>A1B</v>
      </c>
      <c r="C146" s="19" t="str">
        <f t="shared" si="3"/>
        <v>A009</v>
      </c>
      <c r="D146" s="19" t="str">
        <f t="array" ref="D146">XLOOKUP(A146,Data!F:F,Data!C:C)</f>
        <v/>
      </c>
      <c r="E146" s="19" t="str">
        <f t="array" ref="E146">XLOOKUP(A146,Data!F:F,Data!H:H)</f>
        <v>BW</v>
      </c>
      <c r="F146" s="106" t="str">
        <f>SUMIFS(Data!J:J,Data!F:F,A146)</f>
        <v>1</v>
      </c>
      <c r="G146" s="106" t="str">
        <f>SUMIFS(Cast!C:C,CastElements,A146)</f>
        <v>1</v>
      </c>
      <c r="H146" s="106" t="str">
        <f t="shared" si="4"/>
        <v>0</v>
      </c>
      <c r="I146" s="106" t="str">
        <f>SUMIFS(Del!C:C,Del!B:B,A146)</f>
        <v>0</v>
      </c>
      <c r="J146" s="106" t="str">
        <f t="shared" si="5"/>
        <v>1</v>
      </c>
      <c r="K146" s="106" t="str">
        <f t="shared" si="6"/>
        <v>1</v>
      </c>
      <c r="L146" s="106"/>
      <c r="M146" s="106" t="str">
        <f>SUMIFS(Ere!C:C,Ere!B:B,A146)</f>
        <v>0</v>
      </c>
      <c r="N146" s="106" t="str">
        <f t="shared" si="7"/>
        <v>1</v>
      </c>
      <c r="O146" s="107" t="str">
        <f t="array" ref="O146">XLOOKUP(A146,Data!F:F,Data!O:O)</f>
        <v>  2.10 </v>
      </c>
      <c r="P146" s="107" t="str">
        <f t="shared" si="8"/>
        <v>  5.24 </v>
      </c>
      <c r="Q146" s="27"/>
    </row>
    <row r="147" ht="15.75" customHeight="1">
      <c r="A147" s="105" t="s">
        <v>391</v>
      </c>
      <c r="B147" s="19" t="str">
        <f t="array" ref="B147">XLOOKUP(A147,Data!F:F,Data!G:G)</f>
        <v>A1B</v>
      </c>
      <c r="C147" s="19" t="str">
        <f t="shared" si="3"/>
        <v>A009</v>
      </c>
      <c r="D147" s="19" t="str">
        <f t="array" ref="D147">XLOOKUP(A147,Data!F:F,Data!C:C)</f>
        <v/>
      </c>
      <c r="E147" s="19" t="str">
        <f t="array" ref="E147">XLOOKUP(A147,Data!F:F,Data!H:H)</f>
        <v>BW</v>
      </c>
      <c r="F147" s="106" t="str">
        <f>SUMIFS(Data!J:J,Data!F:F,A147)</f>
        <v>1</v>
      </c>
      <c r="G147" s="106" t="str">
        <f>SUMIFS(Cast!C:C,CastElements,A147)</f>
        <v>1</v>
      </c>
      <c r="H147" s="106" t="str">
        <f t="shared" si="4"/>
        <v>0</v>
      </c>
      <c r="I147" s="106" t="str">
        <f>SUMIFS(Del!C:C,Del!B:B,A147)</f>
        <v>0</v>
      </c>
      <c r="J147" s="106" t="str">
        <f t="shared" si="5"/>
        <v>1</v>
      </c>
      <c r="K147" s="106" t="str">
        <f t="shared" si="6"/>
        <v>1</v>
      </c>
      <c r="L147" s="106"/>
      <c r="M147" s="106" t="str">
        <f>SUMIFS(Ere!C:C,Ere!B:B,A147)</f>
        <v>0</v>
      </c>
      <c r="N147" s="106" t="str">
        <f t="shared" si="7"/>
        <v>1</v>
      </c>
      <c r="O147" s="107" t="str">
        <f t="array" ref="O147">XLOOKUP(A147,Data!F:F,Data!O:O)</f>
        <v>  2.10 </v>
      </c>
      <c r="P147" s="107" t="str">
        <f t="shared" si="8"/>
        <v>  5.24 </v>
      </c>
      <c r="Q147" s="27"/>
    </row>
    <row r="148" ht="15.75" customHeight="1">
      <c r="A148" s="105" t="s">
        <v>392</v>
      </c>
      <c r="B148" s="19" t="str">
        <f t="array" ref="B148">XLOOKUP(A148,Data!F:F,Data!G:G)</f>
        <v>A1B</v>
      </c>
      <c r="C148" s="19" t="str">
        <f t="shared" si="3"/>
        <v>A009</v>
      </c>
      <c r="D148" s="19" t="str">
        <f t="array" ref="D148">XLOOKUP(A148,Data!F:F,Data!C:C)</f>
        <v/>
      </c>
      <c r="E148" s="19" t="str">
        <f t="array" ref="E148">XLOOKUP(A148,Data!F:F,Data!H:H)</f>
        <v>BW</v>
      </c>
      <c r="F148" s="106" t="str">
        <f>SUMIFS(Data!J:J,Data!F:F,A148)</f>
        <v>1</v>
      </c>
      <c r="G148" s="106" t="str">
        <f>SUMIFS(Cast!C:C,CastElements,A148)</f>
        <v>1</v>
      </c>
      <c r="H148" s="106" t="str">
        <f t="shared" si="4"/>
        <v>0</v>
      </c>
      <c r="I148" s="106" t="str">
        <f>SUMIFS(Del!C:C,Del!B:B,A148)</f>
        <v>0</v>
      </c>
      <c r="J148" s="106" t="str">
        <f t="shared" si="5"/>
        <v>1</v>
      </c>
      <c r="K148" s="106" t="str">
        <f t="shared" si="6"/>
        <v>1</v>
      </c>
      <c r="L148" s="106"/>
      <c r="M148" s="106" t="str">
        <f>SUMIFS(Ere!C:C,Ere!B:B,A148)</f>
        <v>0</v>
      </c>
      <c r="N148" s="106" t="str">
        <f t="shared" si="7"/>
        <v>1</v>
      </c>
      <c r="O148" s="107" t="str">
        <f t="array" ref="O148">XLOOKUP(A148,Data!F:F,Data!O:O)</f>
        <v>  2.10 </v>
      </c>
      <c r="P148" s="107" t="str">
        <f t="shared" si="8"/>
        <v>  5.24 </v>
      </c>
      <c r="Q148" s="27"/>
    </row>
    <row r="149" ht="15.75" customHeight="1">
      <c r="A149" s="105" t="s">
        <v>393</v>
      </c>
      <c r="B149" s="19" t="str">
        <f t="array" ref="B149">XLOOKUP(A149,Data!F:F,Data!G:G)</f>
        <v>A1B</v>
      </c>
      <c r="C149" s="19" t="str">
        <f t="shared" si="3"/>
        <v>A009</v>
      </c>
      <c r="D149" s="19" t="str">
        <f t="array" ref="D149">XLOOKUP(A149,Data!F:F,Data!C:C)</f>
        <v/>
      </c>
      <c r="E149" s="19" t="str">
        <f t="array" ref="E149">XLOOKUP(A149,Data!F:F,Data!H:H)</f>
        <v>BW</v>
      </c>
      <c r="F149" s="106" t="str">
        <f>SUMIFS(Data!J:J,Data!F:F,A149)</f>
        <v>1</v>
      </c>
      <c r="G149" s="106" t="str">
        <f>SUMIFS(Cast!C:C,CastElements,A149)</f>
        <v>1</v>
      </c>
      <c r="H149" s="106" t="str">
        <f t="shared" si="4"/>
        <v>0</v>
      </c>
      <c r="I149" s="106" t="str">
        <f>SUMIFS(Del!C:C,Del!B:B,A149)</f>
        <v>0</v>
      </c>
      <c r="J149" s="106" t="str">
        <f t="shared" si="5"/>
        <v>1</v>
      </c>
      <c r="K149" s="106" t="str">
        <f t="shared" si="6"/>
        <v>1</v>
      </c>
      <c r="L149" s="106"/>
      <c r="M149" s="106" t="str">
        <f>SUMIFS(Ere!C:C,Ere!B:B,A149)</f>
        <v>0</v>
      </c>
      <c r="N149" s="106" t="str">
        <f t="shared" si="7"/>
        <v>1</v>
      </c>
      <c r="O149" s="107" t="str">
        <f t="array" ref="O149">XLOOKUP(A149,Data!F:F,Data!O:O)</f>
        <v>  2.10 </v>
      </c>
      <c r="P149" s="107" t="str">
        <f t="shared" si="8"/>
        <v>  5.24 </v>
      </c>
      <c r="Q149" s="27"/>
    </row>
    <row r="150" ht="15.75" customHeight="1">
      <c r="A150" s="105" t="s">
        <v>394</v>
      </c>
      <c r="B150" s="19" t="str">
        <f t="array" ref="B150">XLOOKUP(A150,Data!F:F,Data!G:G)</f>
        <v>A1B</v>
      </c>
      <c r="C150" s="19" t="str">
        <f t="shared" si="3"/>
        <v>A009</v>
      </c>
      <c r="D150" s="19" t="str">
        <f t="array" ref="D150">XLOOKUP(A150,Data!F:F,Data!C:C)</f>
        <v/>
      </c>
      <c r="E150" s="19" t="str">
        <f t="array" ref="E150">XLOOKUP(A150,Data!F:F,Data!H:H)</f>
        <v>BW</v>
      </c>
      <c r="F150" s="106" t="str">
        <f>SUMIFS(Data!J:J,Data!F:F,A150)</f>
        <v>1</v>
      </c>
      <c r="G150" s="106" t="str">
        <f>SUMIFS(Cast!C:C,CastElements,A150)</f>
        <v>1</v>
      </c>
      <c r="H150" s="106" t="str">
        <f t="shared" si="4"/>
        <v>0</v>
      </c>
      <c r="I150" s="106" t="str">
        <f>SUMIFS(Del!C:C,Del!B:B,A150)</f>
        <v>0</v>
      </c>
      <c r="J150" s="106" t="str">
        <f t="shared" si="5"/>
        <v>1</v>
      </c>
      <c r="K150" s="106" t="str">
        <f t="shared" si="6"/>
        <v>1</v>
      </c>
      <c r="L150" s="106"/>
      <c r="M150" s="106" t="str">
        <f>SUMIFS(Ere!C:C,Ere!B:B,A150)</f>
        <v>0</v>
      </c>
      <c r="N150" s="106" t="str">
        <f t="shared" si="7"/>
        <v>1</v>
      </c>
      <c r="O150" s="107" t="str">
        <f t="array" ref="O150">XLOOKUP(A150,Data!F:F,Data!O:O)</f>
        <v>  1.83 </v>
      </c>
      <c r="P150" s="107" t="str">
        <f t="shared" si="8"/>
        <v>  4.58 </v>
      </c>
      <c r="Q150" s="27"/>
    </row>
    <row r="151" ht="15.75" customHeight="1">
      <c r="A151" s="105" t="s">
        <v>395</v>
      </c>
      <c r="B151" s="19" t="str">
        <f t="array" ref="B151">XLOOKUP(A151,Data!F:F,Data!G:G)</f>
        <v>A1B</v>
      </c>
      <c r="C151" s="19" t="str">
        <f t="shared" si="3"/>
        <v>A009</v>
      </c>
      <c r="D151" s="19" t="str">
        <f t="array" ref="D151">XLOOKUP(A151,Data!F:F,Data!C:C)</f>
        <v>EXT</v>
      </c>
      <c r="E151" s="19" t="str">
        <f t="array" ref="E151">XLOOKUP(A151,Data!F:F,Data!H:H)</f>
        <v>BW</v>
      </c>
      <c r="F151" s="106" t="str">
        <f>SUMIFS(Data!J:J,Data!F:F,A151)</f>
        <v>1</v>
      </c>
      <c r="G151" s="106" t="str">
        <f>SUMIFS(Cast!C:C,CastElements,A151)</f>
        <v>0</v>
      </c>
      <c r="H151" s="106" t="str">
        <f t="shared" si="4"/>
        <v>1</v>
      </c>
      <c r="I151" s="106" t="str">
        <f>SUMIFS(Del!C:C,Del!B:B,A151)</f>
        <v>0</v>
      </c>
      <c r="J151" s="106" t="str">
        <f t="shared" si="5"/>
        <v>1</v>
      </c>
      <c r="K151" s="106" t="str">
        <f t="shared" si="6"/>
        <v>0</v>
      </c>
      <c r="L151" s="106"/>
      <c r="M151" s="106" t="str">
        <f>SUMIFS(Ere!C:C,Ere!B:B,A151)</f>
        <v>0</v>
      </c>
      <c r="N151" s="106" t="str">
        <f t="shared" si="7"/>
        <v>1</v>
      </c>
      <c r="O151" s="107" t="str">
        <f t="array" ref="O151">XLOOKUP(A151,Data!F:F,Data!O:O)</f>
        <v>  0.91 </v>
      </c>
      <c r="P151" s="107" t="str">
        <f t="shared" si="8"/>
        <v>  2.28 </v>
      </c>
      <c r="Q151" s="27"/>
    </row>
    <row r="152" ht="15.75" customHeight="1">
      <c r="A152" s="105" t="s">
        <v>396</v>
      </c>
      <c r="B152" s="19" t="str">
        <f t="array" ref="B152">XLOOKUP(A152,Data!F:F,Data!G:G)</f>
        <v>A1B</v>
      </c>
      <c r="C152" s="19" t="str">
        <f t="shared" si="3"/>
        <v>A009</v>
      </c>
      <c r="D152" s="19" t="str">
        <f t="array" ref="D152">XLOOKUP(A152,Data!F:F,Data!C:C)</f>
        <v/>
      </c>
      <c r="E152" s="19" t="str">
        <f t="array" ref="E152">XLOOKUP(A152,Data!F:F,Data!H:H)</f>
        <v>BW</v>
      </c>
      <c r="F152" s="106" t="str">
        <f>SUMIFS(Data!J:J,Data!F:F,A152)</f>
        <v>1</v>
      </c>
      <c r="G152" s="106" t="str">
        <f>SUMIFS(Cast!C:C,CastElements,A152)</f>
        <v>1</v>
      </c>
      <c r="H152" s="106" t="str">
        <f t="shared" si="4"/>
        <v>0</v>
      </c>
      <c r="I152" s="106" t="str">
        <f>SUMIFS(Del!C:C,Del!B:B,A152)</f>
        <v>0</v>
      </c>
      <c r="J152" s="106" t="str">
        <f t="shared" si="5"/>
        <v>1</v>
      </c>
      <c r="K152" s="106" t="str">
        <f t="shared" si="6"/>
        <v>1</v>
      </c>
      <c r="L152" s="106"/>
      <c r="M152" s="106" t="str">
        <f>SUMIFS(Ere!C:C,Ere!B:B,A152)</f>
        <v>0</v>
      </c>
      <c r="N152" s="106" t="str">
        <f t="shared" si="7"/>
        <v>1</v>
      </c>
      <c r="O152" s="107" t="str">
        <f t="array" ref="O152">XLOOKUP(A152,Data!F:F,Data!O:O)</f>
        <v>  0.50 </v>
      </c>
      <c r="P152" s="107" t="str">
        <f t="shared" si="8"/>
        <v>  1.26 </v>
      </c>
      <c r="Q152" s="27"/>
    </row>
    <row r="153" ht="15.75" customHeight="1">
      <c r="A153" s="105" t="s">
        <v>397</v>
      </c>
      <c r="B153" s="19" t="str">
        <f t="array" ref="B153">XLOOKUP(A153,Data!F:F,Data!G:G)</f>
        <v>A1B</v>
      </c>
      <c r="C153" s="19" t="str">
        <f t="shared" si="3"/>
        <v>A009</v>
      </c>
      <c r="D153" s="19" t="str">
        <f t="array" ref="D153">XLOOKUP(A153,Data!F:F,Data!C:C)</f>
        <v/>
      </c>
      <c r="E153" s="19" t="str">
        <f t="array" ref="E153">XLOOKUP(A153,Data!F:F,Data!H:H)</f>
        <v/>
      </c>
      <c r="F153" s="106" t="str">
        <f>SUMIFS(Data!J:J,Data!F:F,A153)</f>
        <v>0</v>
      </c>
      <c r="G153" s="106" t="str">
        <f>SUMIFS(Cast!C:C,CastElements,A153)</f>
        <v>0</v>
      </c>
      <c r="H153" s="106" t="str">
        <f t="shared" si="4"/>
        <v>0</v>
      </c>
      <c r="I153" s="106" t="str">
        <f>SUMIFS(Del!C:C,Del!B:B,A153)</f>
        <v>0</v>
      </c>
      <c r="J153" s="106" t="str">
        <f t="shared" si="5"/>
        <v>0</v>
      </c>
      <c r="K153" s="106" t="str">
        <f t="shared" si="6"/>
        <v>0</v>
      </c>
      <c r="L153" s="106"/>
      <c r="M153" s="106" t="str">
        <f>SUMIFS(Ere!C:C,Ere!B:B,A153)</f>
        <v>0</v>
      </c>
      <c r="N153" s="106" t="str">
        <f t="shared" si="7"/>
        <v>0</v>
      </c>
      <c r="O153" s="107" t="str">
        <f t="array" ref="O153">XLOOKUP(A153,Data!F:F,Data!O:O)</f>
        <v/>
      </c>
      <c r="P153" s="107" t="str">
        <f t="shared" si="8"/>
        <v>  -   </v>
      </c>
      <c r="Q153" s="27"/>
    </row>
    <row r="154" ht="15.75" customHeight="1">
      <c r="A154" s="105" t="s">
        <v>398</v>
      </c>
      <c r="B154" s="19" t="str">
        <f t="array" ref="B154">XLOOKUP(A154,Data!F:F,Data!G:G)</f>
        <v>A1B</v>
      </c>
      <c r="C154" s="19" t="str">
        <f t="shared" si="3"/>
        <v>A009</v>
      </c>
      <c r="D154" s="19" t="str">
        <f t="array" ref="D154">XLOOKUP(A154,Data!F:F,Data!C:C)</f>
        <v/>
      </c>
      <c r="E154" s="19" t="str">
        <f t="array" ref="E154">XLOOKUP(A154,Data!F:F,Data!H:H)</f>
        <v/>
      </c>
      <c r="F154" s="106" t="str">
        <f>SUMIFS(Data!J:J,Data!F:F,A154)</f>
        <v>0</v>
      </c>
      <c r="G154" s="106" t="str">
        <f>SUMIFS(Cast!C:C,CastElements,A154)</f>
        <v>0</v>
      </c>
      <c r="H154" s="106" t="str">
        <f t="shared" si="4"/>
        <v>0</v>
      </c>
      <c r="I154" s="106" t="str">
        <f>SUMIFS(Del!C:C,Del!B:B,A154)</f>
        <v>0</v>
      </c>
      <c r="J154" s="106" t="str">
        <f t="shared" si="5"/>
        <v>0</v>
      </c>
      <c r="K154" s="106" t="str">
        <f t="shared" si="6"/>
        <v>0</v>
      </c>
      <c r="L154" s="106"/>
      <c r="M154" s="106" t="str">
        <f>SUMIFS(Ere!C:C,Ere!B:B,A154)</f>
        <v>0</v>
      </c>
      <c r="N154" s="106" t="str">
        <f t="shared" si="7"/>
        <v>0</v>
      </c>
      <c r="O154" s="107" t="str">
        <f t="array" ref="O154">XLOOKUP(A154,Data!F:F,Data!O:O)</f>
        <v/>
      </c>
      <c r="P154" s="107" t="str">
        <f t="shared" si="8"/>
        <v>  -   </v>
      </c>
      <c r="Q154" s="27"/>
    </row>
    <row r="155" ht="15.75" customHeight="1">
      <c r="A155" s="105" t="s">
        <v>399</v>
      </c>
      <c r="B155" s="19" t="str">
        <f t="array" ref="B155">XLOOKUP(A155,Data!F:F,Data!G:G)</f>
        <v>A1B</v>
      </c>
      <c r="C155" s="19" t="str">
        <f t="shared" si="3"/>
        <v>A009</v>
      </c>
      <c r="D155" s="19" t="str">
        <f t="array" ref="D155">XLOOKUP(A155,Data!F:F,Data!C:C)</f>
        <v/>
      </c>
      <c r="E155" s="19" t="str">
        <f t="array" ref="E155">XLOOKUP(A155,Data!F:F,Data!H:H)</f>
        <v/>
      </c>
      <c r="F155" s="106" t="str">
        <f>SUMIFS(Data!J:J,Data!F:F,A155)</f>
        <v>0</v>
      </c>
      <c r="G155" s="106" t="str">
        <f>SUMIFS(Cast!C:C,CastElements,A155)</f>
        <v>0</v>
      </c>
      <c r="H155" s="106" t="str">
        <f t="shared" si="4"/>
        <v>0</v>
      </c>
      <c r="I155" s="106" t="str">
        <f>SUMIFS(Del!C:C,Del!B:B,A155)</f>
        <v>0</v>
      </c>
      <c r="J155" s="106" t="str">
        <f t="shared" si="5"/>
        <v>0</v>
      </c>
      <c r="K155" s="106" t="str">
        <f t="shared" si="6"/>
        <v>0</v>
      </c>
      <c r="L155" s="106"/>
      <c r="M155" s="106" t="str">
        <f>SUMIFS(Ere!C:C,Ere!B:B,A155)</f>
        <v>0</v>
      </c>
      <c r="N155" s="106" t="str">
        <f t="shared" si="7"/>
        <v>0</v>
      </c>
      <c r="O155" s="107" t="str">
        <f t="array" ref="O155">XLOOKUP(A155,Data!F:F,Data!O:O)</f>
        <v/>
      </c>
      <c r="P155" s="107" t="str">
        <f t="shared" si="8"/>
        <v>  -   </v>
      </c>
      <c r="Q155" s="27"/>
    </row>
    <row r="156" ht="15.75" customHeight="1">
      <c r="A156" s="105" t="s">
        <v>400</v>
      </c>
      <c r="B156" s="19" t="str">
        <f t="array" ref="B156">XLOOKUP(A156,Data!F:F,Data!G:G)</f>
        <v>A1B</v>
      </c>
      <c r="C156" s="19" t="str">
        <f t="shared" si="3"/>
        <v>A009</v>
      </c>
      <c r="D156" s="19" t="str">
        <f t="array" ref="D156">XLOOKUP(A156,Data!F:F,Data!C:C)</f>
        <v/>
      </c>
      <c r="E156" s="19" t="str">
        <f t="array" ref="E156">XLOOKUP(A156,Data!F:F,Data!H:H)</f>
        <v/>
      </c>
      <c r="F156" s="106" t="str">
        <f>SUMIFS(Data!J:J,Data!F:F,A156)</f>
        <v>0</v>
      </c>
      <c r="G156" s="106" t="str">
        <f>SUMIFS(Cast!C:C,CastElements,A156)</f>
        <v>0</v>
      </c>
      <c r="H156" s="106" t="str">
        <f t="shared" si="4"/>
        <v>0</v>
      </c>
      <c r="I156" s="106" t="str">
        <f>SUMIFS(Del!C:C,Del!B:B,A156)</f>
        <v>0</v>
      </c>
      <c r="J156" s="106" t="str">
        <f t="shared" si="5"/>
        <v>0</v>
      </c>
      <c r="K156" s="106" t="str">
        <f t="shared" si="6"/>
        <v>0</v>
      </c>
      <c r="L156" s="106"/>
      <c r="M156" s="106" t="str">
        <f>SUMIFS(Ere!C:C,Ere!B:B,A156)</f>
        <v>0</v>
      </c>
      <c r="N156" s="106" t="str">
        <f t="shared" si="7"/>
        <v>0</v>
      </c>
      <c r="O156" s="107" t="str">
        <f t="array" ref="O156">XLOOKUP(A156,Data!F:F,Data!O:O)</f>
        <v/>
      </c>
      <c r="P156" s="107" t="str">
        <f t="shared" si="8"/>
        <v>  -   </v>
      </c>
      <c r="Q156" s="27"/>
    </row>
    <row r="157" ht="15.75" customHeight="1">
      <c r="A157" s="105" t="s">
        <v>401</v>
      </c>
      <c r="B157" s="19" t="str">
        <f t="array" ref="B157">XLOOKUP(A157,Data!F:F,Data!G:G)</f>
        <v>A1B</v>
      </c>
      <c r="C157" s="19" t="str">
        <f t="shared" si="3"/>
        <v>A009</v>
      </c>
      <c r="D157" s="19" t="str">
        <f t="array" ref="D157">XLOOKUP(A157,Data!F:F,Data!C:C)</f>
        <v/>
      </c>
      <c r="E157" s="19" t="str">
        <f t="array" ref="E157">XLOOKUP(A157,Data!F:F,Data!H:H)</f>
        <v/>
      </c>
      <c r="F157" s="106" t="str">
        <f>SUMIFS(Data!J:J,Data!F:F,A157)</f>
        <v>0</v>
      </c>
      <c r="G157" s="106" t="str">
        <f>SUMIFS(Cast!C:C,CastElements,A157)</f>
        <v>0</v>
      </c>
      <c r="H157" s="106" t="str">
        <f t="shared" si="4"/>
        <v>0</v>
      </c>
      <c r="I157" s="106" t="str">
        <f>SUMIFS(Del!C:C,Del!B:B,A157)</f>
        <v>0</v>
      </c>
      <c r="J157" s="106" t="str">
        <f t="shared" si="5"/>
        <v>0</v>
      </c>
      <c r="K157" s="106" t="str">
        <f t="shared" si="6"/>
        <v>0</v>
      </c>
      <c r="L157" s="106"/>
      <c r="M157" s="106" t="str">
        <f>SUMIFS(Ere!C:C,Ere!B:B,A157)</f>
        <v>0</v>
      </c>
      <c r="N157" s="106" t="str">
        <f t="shared" si="7"/>
        <v>0</v>
      </c>
      <c r="O157" s="107" t="str">
        <f t="array" ref="O157">XLOOKUP(A157,Data!F:F,Data!O:O)</f>
        <v/>
      </c>
      <c r="P157" s="107" t="str">
        <f t="shared" si="8"/>
        <v>  -   </v>
      </c>
      <c r="Q157" s="27"/>
    </row>
    <row r="158" ht="15.75" customHeight="1">
      <c r="A158" s="105" t="s">
        <v>402</v>
      </c>
      <c r="B158" s="19" t="str">
        <f t="array" ref="B158">XLOOKUP(A158,Data!F:F,Data!G:G)</f>
        <v>A1B</v>
      </c>
      <c r="C158" s="19" t="str">
        <f t="shared" si="3"/>
        <v>A009</v>
      </c>
      <c r="D158" s="19" t="str">
        <f t="array" ref="D158">XLOOKUP(A158,Data!F:F,Data!C:C)</f>
        <v/>
      </c>
      <c r="E158" s="19" t="str">
        <f t="array" ref="E158">XLOOKUP(A158,Data!F:F,Data!H:H)</f>
        <v/>
      </c>
      <c r="F158" s="106" t="str">
        <f>SUMIFS(Data!J:J,Data!F:F,A158)</f>
        <v>0</v>
      </c>
      <c r="G158" s="106" t="str">
        <f>SUMIFS(Cast!C:C,CastElements,A158)</f>
        <v>0</v>
      </c>
      <c r="H158" s="106" t="str">
        <f t="shared" si="4"/>
        <v>0</v>
      </c>
      <c r="I158" s="106" t="str">
        <f>SUMIFS(Del!C:C,Del!B:B,A158)</f>
        <v>0</v>
      </c>
      <c r="J158" s="106" t="str">
        <f t="shared" si="5"/>
        <v>0</v>
      </c>
      <c r="K158" s="106" t="str">
        <f t="shared" si="6"/>
        <v>0</v>
      </c>
      <c r="L158" s="106"/>
      <c r="M158" s="106" t="str">
        <f>SUMIFS(Ere!C:C,Ere!B:B,A158)</f>
        <v>0</v>
      </c>
      <c r="N158" s="106" t="str">
        <f t="shared" si="7"/>
        <v>0</v>
      </c>
      <c r="O158" s="107" t="str">
        <f t="array" ref="O158">XLOOKUP(A158,Data!F:F,Data!O:O)</f>
        <v/>
      </c>
      <c r="P158" s="107" t="str">
        <f t="shared" si="8"/>
        <v>  -   </v>
      </c>
      <c r="Q158" s="27"/>
    </row>
    <row r="159" ht="15.75" customHeight="1">
      <c r="A159" s="105" t="s">
        <v>403</v>
      </c>
      <c r="B159" s="19" t="str">
        <f t="array" ref="B159">XLOOKUP(A159,Data!F:F,Data!G:G)</f>
        <v>A1B</v>
      </c>
      <c r="C159" s="19" t="str">
        <f t="shared" si="3"/>
        <v>A009</v>
      </c>
      <c r="D159" s="19" t="str">
        <f t="array" ref="D159">XLOOKUP(A159,Data!F:F,Data!C:C)</f>
        <v/>
      </c>
      <c r="E159" s="19" t="str">
        <f t="array" ref="E159">XLOOKUP(A159,Data!F:F,Data!H:H)</f>
        <v/>
      </c>
      <c r="F159" s="106" t="str">
        <f>SUMIFS(Data!J:J,Data!F:F,A159)</f>
        <v>0</v>
      </c>
      <c r="G159" s="106" t="str">
        <f>SUMIFS(Cast!C:C,CastElements,A159)</f>
        <v>0</v>
      </c>
      <c r="H159" s="106" t="str">
        <f t="shared" si="4"/>
        <v>0</v>
      </c>
      <c r="I159" s="106" t="str">
        <f>SUMIFS(Del!C:C,Del!B:B,A159)</f>
        <v>0</v>
      </c>
      <c r="J159" s="106" t="str">
        <f t="shared" si="5"/>
        <v>0</v>
      </c>
      <c r="K159" s="106" t="str">
        <f t="shared" si="6"/>
        <v>0</v>
      </c>
      <c r="L159" s="106"/>
      <c r="M159" s="106" t="str">
        <f>SUMIFS(Ere!C:C,Ere!B:B,A159)</f>
        <v>0</v>
      </c>
      <c r="N159" s="106" t="str">
        <f t="shared" si="7"/>
        <v>0</v>
      </c>
      <c r="O159" s="107" t="str">
        <f t="array" ref="O159">XLOOKUP(A159,Data!F:F,Data!O:O)</f>
        <v/>
      </c>
      <c r="P159" s="107" t="str">
        <f t="shared" si="8"/>
        <v>  -   </v>
      </c>
      <c r="Q159" s="27"/>
    </row>
    <row r="160" ht="15.75" customHeight="1">
      <c r="A160" s="105" t="s">
        <v>404</v>
      </c>
      <c r="B160" s="19" t="str">
        <f t="array" ref="B160">XLOOKUP(A160,Data!F:F,Data!G:G)</f>
        <v>A1B</v>
      </c>
      <c r="C160" s="19" t="str">
        <f t="shared" si="3"/>
        <v>A009</v>
      </c>
      <c r="D160" s="19" t="str">
        <f t="array" ref="D160">XLOOKUP(A160,Data!F:F,Data!C:C)</f>
        <v/>
      </c>
      <c r="E160" s="19" t="str">
        <f t="array" ref="E160">XLOOKUP(A160,Data!F:F,Data!H:H)</f>
        <v/>
      </c>
      <c r="F160" s="106" t="str">
        <f>SUMIFS(Data!J:J,Data!F:F,A160)</f>
        <v>0</v>
      </c>
      <c r="G160" s="106" t="str">
        <f>SUMIFS(Cast!C:C,CastElements,A160)</f>
        <v>0</v>
      </c>
      <c r="H160" s="106" t="str">
        <f t="shared" si="4"/>
        <v>0</v>
      </c>
      <c r="I160" s="106" t="str">
        <f>SUMIFS(Del!C:C,Del!B:B,A160)</f>
        <v>0</v>
      </c>
      <c r="J160" s="106" t="str">
        <f t="shared" si="5"/>
        <v>0</v>
      </c>
      <c r="K160" s="106" t="str">
        <f t="shared" si="6"/>
        <v>0</v>
      </c>
      <c r="L160" s="106"/>
      <c r="M160" s="106" t="str">
        <f>SUMIFS(Ere!C:C,Ere!B:B,A160)</f>
        <v>0</v>
      </c>
      <c r="N160" s="106" t="str">
        <f t="shared" si="7"/>
        <v>0</v>
      </c>
      <c r="O160" s="107" t="str">
        <f t="array" ref="O160">XLOOKUP(A160,Data!F:F,Data!O:O)</f>
        <v/>
      </c>
      <c r="P160" s="107" t="str">
        <f t="shared" si="8"/>
        <v>  -   </v>
      </c>
      <c r="Q160" s="27"/>
    </row>
    <row r="161" ht="15.75" customHeight="1">
      <c r="A161" s="105" t="s">
        <v>405</v>
      </c>
      <c r="B161" s="19" t="str">
        <f t="array" ref="B161">XLOOKUP(A161,Data!F:F,Data!G:G)</f>
        <v>A1B</v>
      </c>
      <c r="C161" s="19" t="str">
        <f t="shared" si="3"/>
        <v>A009</v>
      </c>
      <c r="D161" s="19" t="str">
        <f t="array" ref="D161">XLOOKUP(A161,Data!F:F,Data!C:C)</f>
        <v>EXT</v>
      </c>
      <c r="E161" s="19" t="str">
        <f t="array" ref="E161">XLOOKUP(A161,Data!F:F,Data!H:H)</f>
        <v/>
      </c>
      <c r="F161" s="106" t="str">
        <f>SUMIFS(Data!J:J,Data!F:F,A161)</f>
        <v>0</v>
      </c>
      <c r="G161" s="106" t="str">
        <f>SUMIFS(Cast!C:C,CastElements,A161)</f>
        <v>0</v>
      </c>
      <c r="H161" s="106" t="str">
        <f t="shared" si="4"/>
        <v>0</v>
      </c>
      <c r="I161" s="106" t="str">
        <f>SUMIFS(Del!C:C,Del!B:B,A161)</f>
        <v>0</v>
      </c>
      <c r="J161" s="106" t="str">
        <f t="shared" si="5"/>
        <v>0</v>
      </c>
      <c r="K161" s="106" t="str">
        <f t="shared" si="6"/>
        <v>0</v>
      </c>
      <c r="L161" s="106"/>
      <c r="M161" s="106" t="str">
        <f>SUMIFS(Ere!C:C,Ere!B:B,A161)</f>
        <v>0</v>
      </c>
      <c r="N161" s="106" t="str">
        <f t="shared" si="7"/>
        <v>0</v>
      </c>
      <c r="O161" s="107" t="str">
        <f t="array" ref="O161">XLOOKUP(A161,Data!F:F,Data!O:O)</f>
        <v/>
      </c>
      <c r="P161" s="107" t="str">
        <f t="shared" si="8"/>
        <v>  -   </v>
      </c>
      <c r="Q161" s="27"/>
    </row>
    <row r="162" ht="15.75" customHeight="1">
      <c r="A162" s="105" t="s">
        <v>406</v>
      </c>
      <c r="B162" s="19" t="str">
        <f t="array" ref="B162">XLOOKUP(A162,Data!F:F,Data!G:G)</f>
        <v>A1B</v>
      </c>
      <c r="C162" s="19" t="str">
        <f t="shared" si="3"/>
        <v>A009</v>
      </c>
      <c r="D162" s="19" t="str">
        <f t="array" ref="D162">XLOOKUP(A162,Data!F:F,Data!C:C)</f>
        <v>EXT</v>
      </c>
      <c r="E162" s="19" t="str">
        <f t="array" ref="E162">XLOOKUP(A162,Data!F:F,Data!H:H)</f>
        <v/>
      </c>
      <c r="F162" s="106" t="str">
        <f>SUMIFS(Data!J:J,Data!F:F,A162)</f>
        <v>0</v>
      </c>
      <c r="G162" s="106" t="str">
        <f>SUMIFS(Cast!C:C,CastElements,A162)</f>
        <v>0</v>
      </c>
      <c r="H162" s="106" t="str">
        <f t="shared" si="4"/>
        <v>0</v>
      </c>
      <c r="I162" s="106" t="str">
        <f>SUMIFS(Del!C:C,Del!B:B,A162)</f>
        <v>0</v>
      </c>
      <c r="J162" s="106" t="str">
        <f t="shared" si="5"/>
        <v>0</v>
      </c>
      <c r="K162" s="106" t="str">
        <f t="shared" si="6"/>
        <v>0</v>
      </c>
      <c r="L162" s="106"/>
      <c r="M162" s="106" t="str">
        <f>SUMIFS(Ere!C:C,Ere!B:B,A162)</f>
        <v>0</v>
      </c>
      <c r="N162" s="106" t="str">
        <f t="shared" si="7"/>
        <v>0</v>
      </c>
      <c r="O162" s="107" t="str">
        <f t="array" ref="O162">XLOOKUP(A162,Data!F:F,Data!O:O)</f>
        <v/>
      </c>
      <c r="P162" s="107" t="str">
        <f t="shared" si="8"/>
        <v>  -   </v>
      </c>
      <c r="Q162" s="27"/>
    </row>
    <row r="163" ht="15.75" customHeight="1">
      <c r="A163" s="105" t="s">
        <v>407</v>
      </c>
      <c r="B163" s="19" t="str">
        <f t="array" ref="B163">XLOOKUP(A163,Data!F:F,Data!G:G)</f>
        <v>A1B</v>
      </c>
      <c r="C163" s="19" t="str">
        <f t="shared" si="3"/>
        <v>A010</v>
      </c>
      <c r="D163" s="19" t="str">
        <f t="array" ref="D163">XLOOKUP(A163,Data!F:F,Data!C:C)</f>
        <v>EXT</v>
      </c>
      <c r="E163" s="19" t="str">
        <f t="array" ref="E163">XLOOKUP(A163,Data!F:F,Data!H:H)</f>
        <v>BW</v>
      </c>
      <c r="F163" s="106" t="str">
        <f>SUMIFS(Data!J:J,Data!F:F,A163)</f>
        <v>1</v>
      </c>
      <c r="G163" s="106" t="str">
        <f>SUMIFS(Cast!C:C,CastElements,A163)</f>
        <v>0</v>
      </c>
      <c r="H163" s="106" t="str">
        <f t="shared" si="4"/>
        <v>1</v>
      </c>
      <c r="I163" s="106" t="str">
        <f>SUMIFS(Del!C:C,Del!B:B,A163)</f>
        <v>0</v>
      </c>
      <c r="J163" s="106" t="str">
        <f t="shared" si="5"/>
        <v>1</v>
      </c>
      <c r="K163" s="106" t="str">
        <f t="shared" si="6"/>
        <v>0</v>
      </c>
      <c r="L163" s="106"/>
      <c r="M163" s="106" t="str">
        <f>SUMIFS(Ere!C:C,Ere!B:B,A163)</f>
        <v>0</v>
      </c>
      <c r="N163" s="106" t="str">
        <f t="shared" si="7"/>
        <v>1</v>
      </c>
      <c r="O163" s="107" t="str">
        <f t="array" ref="O163">XLOOKUP(A163,Data!F:F,Data!O:O)</f>
        <v>  1.39 </v>
      </c>
      <c r="P163" s="107" t="str">
        <f t="shared" si="8"/>
        <v>  3.48 </v>
      </c>
      <c r="Q163" s="27"/>
    </row>
    <row r="164" ht="15.75" customHeight="1">
      <c r="A164" s="105" t="s">
        <v>408</v>
      </c>
      <c r="B164" s="19" t="str">
        <f t="array" ref="B164">XLOOKUP(A164,Data!F:F,Data!G:G)</f>
        <v>A1B</v>
      </c>
      <c r="C164" s="19" t="str">
        <f t="shared" si="3"/>
        <v>A010</v>
      </c>
      <c r="D164" s="19" t="str">
        <f t="array" ref="D164">XLOOKUP(A164,Data!F:F,Data!C:C)</f>
        <v/>
      </c>
      <c r="E164" s="19" t="str">
        <f t="array" ref="E164">XLOOKUP(A164,Data!F:F,Data!H:H)</f>
        <v>BW</v>
      </c>
      <c r="F164" s="106" t="str">
        <f>SUMIFS(Data!J:J,Data!F:F,A164)</f>
        <v>1</v>
      </c>
      <c r="G164" s="106" t="str">
        <f>SUMIFS(Cast!C:C,CastElements,A164)</f>
        <v>1</v>
      </c>
      <c r="H164" s="106" t="str">
        <f t="shared" si="4"/>
        <v>0</v>
      </c>
      <c r="I164" s="106" t="str">
        <f>SUMIFS(Del!C:C,Del!B:B,A164)</f>
        <v>0</v>
      </c>
      <c r="J164" s="106" t="str">
        <f t="shared" si="5"/>
        <v>1</v>
      </c>
      <c r="K164" s="106" t="str">
        <f t="shared" si="6"/>
        <v>1</v>
      </c>
      <c r="L164" s="106"/>
      <c r="M164" s="106" t="str">
        <f>SUMIFS(Ere!C:C,Ere!B:B,A164)</f>
        <v>0</v>
      </c>
      <c r="N164" s="106" t="str">
        <f t="shared" si="7"/>
        <v>1</v>
      </c>
      <c r="O164" s="107" t="str">
        <f t="array" ref="O164">XLOOKUP(A164,Data!F:F,Data!O:O)</f>
        <v>  1.92 </v>
      </c>
      <c r="P164" s="107" t="str">
        <f t="shared" si="8"/>
        <v>  4.79 </v>
      </c>
      <c r="Q164" s="27"/>
    </row>
    <row r="165" ht="15.75" customHeight="1">
      <c r="A165" s="105" t="s">
        <v>409</v>
      </c>
      <c r="B165" s="19" t="str">
        <f t="array" ref="B165">XLOOKUP(A165,Data!F:F,Data!G:G)</f>
        <v>A1B</v>
      </c>
      <c r="C165" s="19" t="str">
        <f t="shared" si="3"/>
        <v>A010</v>
      </c>
      <c r="D165" s="19" t="str">
        <f t="array" ref="D165">XLOOKUP(A165,Data!F:F,Data!C:C)</f>
        <v/>
      </c>
      <c r="E165" s="19" t="str">
        <f t="array" ref="E165">XLOOKUP(A165,Data!F:F,Data!H:H)</f>
        <v>BW</v>
      </c>
      <c r="F165" s="106" t="str">
        <f>SUMIFS(Data!J:J,Data!F:F,A165)</f>
        <v>1</v>
      </c>
      <c r="G165" s="106" t="str">
        <f>SUMIFS(Cast!C:C,CastElements,A165)</f>
        <v>1</v>
      </c>
      <c r="H165" s="106" t="str">
        <f t="shared" si="4"/>
        <v>0</v>
      </c>
      <c r="I165" s="106" t="str">
        <f>SUMIFS(Del!C:C,Del!B:B,A165)</f>
        <v>0</v>
      </c>
      <c r="J165" s="106" t="str">
        <f t="shared" si="5"/>
        <v>1</v>
      </c>
      <c r="K165" s="106" t="str">
        <f t="shared" si="6"/>
        <v>1</v>
      </c>
      <c r="L165" s="106"/>
      <c r="M165" s="106" t="str">
        <f>SUMIFS(Ere!C:C,Ere!B:B,A165)</f>
        <v>0</v>
      </c>
      <c r="N165" s="106" t="str">
        <f t="shared" si="7"/>
        <v>1</v>
      </c>
      <c r="O165" s="107" t="str">
        <f t="array" ref="O165">XLOOKUP(A165,Data!F:F,Data!O:O)</f>
        <v>  1.97 </v>
      </c>
      <c r="P165" s="107" t="str">
        <f t="shared" si="8"/>
        <v>  4.93 </v>
      </c>
      <c r="Q165" s="27"/>
    </row>
    <row r="166" ht="15.75" customHeight="1">
      <c r="A166" s="105" t="s">
        <v>410</v>
      </c>
      <c r="B166" s="19" t="str">
        <f t="array" ref="B166">XLOOKUP(A166,Data!F:F,Data!G:G)</f>
        <v>A1B</v>
      </c>
      <c r="C166" s="19" t="str">
        <f t="shared" si="3"/>
        <v>A010</v>
      </c>
      <c r="D166" s="19" t="str">
        <f t="array" ref="D166">XLOOKUP(A166,Data!F:F,Data!C:C)</f>
        <v/>
      </c>
      <c r="E166" s="19" t="str">
        <f t="array" ref="E166">XLOOKUP(A166,Data!F:F,Data!H:H)</f>
        <v>BW</v>
      </c>
      <c r="F166" s="106" t="str">
        <f>SUMIFS(Data!J:J,Data!F:F,A166)</f>
        <v>1</v>
      </c>
      <c r="G166" s="106" t="str">
        <f>SUMIFS(Cast!C:C,CastElements,A166)</f>
        <v>1</v>
      </c>
      <c r="H166" s="106" t="str">
        <f t="shared" si="4"/>
        <v>0</v>
      </c>
      <c r="I166" s="106" t="str">
        <f>SUMIFS(Del!C:C,Del!B:B,A166)</f>
        <v>0</v>
      </c>
      <c r="J166" s="106" t="str">
        <f t="shared" si="5"/>
        <v>1</v>
      </c>
      <c r="K166" s="106" t="str">
        <f t="shared" si="6"/>
        <v>1</v>
      </c>
      <c r="L166" s="106"/>
      <c r="M166" s="106" t="str">
        <f>SUMIFS(Ere!C:C,Ere!B:B,A166)</f>
        <v>0</v>
      </c>
      <c r="N166" s="106" t="str">
        <f t="shared" si="7"/>
        <v>1</v>
      </c>
      <c r="O166" s="107" t="str">
        <f t="array" ref="O166">XLOOKUP(A166,Data!F:F,Data!O:O)</f>
        <v>  1.97 </v>
      </c>
      <c r="P166" s="107" t="str">
        <f t="shared" si="8"/>
        <v>  4.93 </v>
      </c>
      <c r="Q166" s="27"/>
    </row>
    <row r="167" ht="15.75" customHeight="1">
      <c r="A167" s="105" t="s">
        <v>411</v>
      </c>
      <c r="B167" s="19" t="str">
        <f t="array" ref="B167">XLOOKUP(A167,Data!F:F,Data!G:G)</f>
        <v>A1B</v>
      </c>
      <c r="C167" s="19" t="str">
        <f t="shared" si="3"/>
        <v>A010</v>
      </c>
      <c r="D167" s="19" t="str">
        <f t="array" ref="D167">XLOOKUP(A167,Data!F:F,Data!C:C)</f>
        <v/>
      </c>
      <c r="E167" s="19" t="str">
        <f t="array" ref="E167">XLOOKUP(A167,Data!F:F,Data!H:H)</f>
        <v>BW</v>
      </c>
      <c r="F167" s="106" t="str">
        <f>SUMIFS(Data!J:J,Data!F:F,A167)</f>
        <v>1</v>
      </c>
      <c r="G167" s="106" t="str">
        <f>SUMIFS(Cast!C:C,CastElements,A167)</f>
        <v>1</v>
      </c>
      <c r="H167" s="106" t="str">
        <f t="shared" si="4"/>
        <v>0</v>
      </c>
      <c r="I167" s="106" t="str">
        <f>SUMIFS(Del!C:C,Del!B:B,A167)</f>
        <v>0</v>
      </c>
      <c r="J167" s="106" t="str">
        <f t="shared" si="5"/>
        <v>1</v>
      </c>
      <c r="K167" s="106" t="str">
        <f t="shared" si="6"/>
        <v>1</v>
      </c>
      <c r="L167" s="106"/>
      <c r="M167" s="106" t="str">
        <f>SUMIFS(Ere!C:C,Ere!B:B,A167)</f>
        <v>0</v>
      </c>
      <c r="N167" s="106" t="str">
        <f t="shared" si="7"/>
        <v>1</v>
      </c>
      <c r="O167" s="107" t="str">
        <f t="array" ref="O167">XLOOKUP(A167,Data!F:F,Data!O:O)</f>
        <v>  1.97 </v>
      </c>
      <c r="P167" s="107" t="str">
        <f t="shared" si="8"/>
        <v>  4.93 </v>
      </c>
      <c r="Q167" s="27"/>
    </row>
    <row r="168" ht="15.75" customHeight="1">
      <c r="A168" s="105" t="s">
        <v>412</v>
      </c>
      <c r="B168" s="19" t="str">
        <f t="array" ref="B168">XLOOKUP(A168,Data!F:F,Data!G:G)</f>
        <v>A1B</v>
      </c>
      <c r="C168" s="19" t="str">
        <f t="shared" si="3"/>
        <v>A010</v>
      </c>
      <c r="D168" s="19" t="str">
        <f t="array" ref="D168">XLOOKUP(A168,Data!F:F,Data!C:C)</f>
        <v/>
      </c>
      <c r="E168" s="19" t="str">
        <f t="array" ref="E168">XLOOKUP(A168,Data!F:F,Data!H:H)</f>
        <v>BW</v>
      </c>
      <c r="F168" s="106" t="str">
        <f>SUMIFS(Data!J:J,Data!F:F,A168)</f>
        <v>1</v>
      </c>
      <c r="G168" s="106" t="str">
        <f>SUMIFS(Cast!C:C,CastElements,A168)</f>
        <v>1</v>
      </c>
      <c r="H168" s="106" t="str">
        <f t="shared" si="4"/>
        <v>0</v>
      </c>
      <c r="I168" s="106" t="str">
        <f>SUMIFS(Del!C:C,Del!B:B,A168)</f>
        <v>0</v>
      </c>
      <c r="J168" s="106" t="str">
        <f t="shared" si="5"/>
        <v>1</v>
      </c>
      <c r="K168" s="106" t="str">
        <f t="shared" si="6"/>
        <v>1</v>
      </c>
      <c r="L168" s="106"/>
      <c r="M168" s="106" t="str">
        <f>SUMIFS(Ere!C:C,Ere!B:B,A168)</f>
        <v>0</v>
      </c>
      <c r="N168" s="106" t="str">
        <f t="shared" si="7"/>
        <v>1</v>
      </c>
      <c r="O168" s="107" t="str">
        <f t="array" ref="O168">XLOOKUP(A168,Data!F:F,Data!O:O)</f>
        <v>  2.12 </v>
      </c>
      <c r="P168" s="107" t="str">
        <f t="shared" si="8"/>
        <v>  5.30 </v>
      </c>
      <c r="Q168" s="27"/>
    </row>
    <row r="169" ht="15.75" customHeight="1">
      <c r="A169" s="105" t="s">
        <v>413</v>
      </c>
      <c r="B169" s="19" t="str">
        <f t="array" ref="B169">XLOOKUP(A169,Data!F:F,Data!G:G)</f>
        <v>A1B</v>
      </c>
      <c r="C169" s="19" t="str">
        <f t="shared" si="3"/>
        <v>A010</v>
      </c>
      <c r="D169" s="19" t="str">
        <f t="array" ref="D169">XLOOKUP(A169,Data!F:F,Data!C:C)</f>
        <v/>
      </c>
      <c r="E169" s="19" t="str">
        <f t="array" ref="E169">XLOOKUP(A169,Data!F:F,Data!H:H)</f>
        <v>BW</v>
      </c>
      <c r="F169" s="106" t="str">
        <f>SUMIFS(Data!J:J,Data!F:F,A169)</f>
        <v>1</v>
      </c>
      <c r="G169" s="106" t="str">
        <f>SUMIFS(Cast!C:C,CastElements,A169)</f>
        <v>1</v>
      </c>
      <c r="H169" s="106" t="str">
        <f t="shared" si="4"/>
        <v>0</v>
      </c>
      <c r="I169" s="106" t="str">
        <f>SUMIFS(Del!C:C,Del!B:B,A169)</f>
        <v>0</v>
      </c>
      <c r="J169" s="106" t="str">
        <f t="shared" si="5"/>
        <v>1</v>
      </c>
      <c r="K169" s="106" t="str">
        <f t="shared" si="6"/>
        <v>1</v>
      </c>
      <c r="L169" s="106"/>
      <c r="M169" s="106" t="str">
        <f>SUMIFS(Ere!C:C,Ere!B:B,A169)</f>
        <v>0</v>
      </c>
      <c r="N169" s="106" t="str">
        <f t="shared" si="7"/>
        <v>1</v>
      </c>
      <c r="O169" s="107" t="str">
        <f t="array" ref="O169">XLOOKUP(A169,Data!F:F,Data!O:O)</f>
        <v>  2.12 </v>
      </c>
      <c r="P169" s="107" t="str">
        <f t="shared" si="8"/>
        <v>  5.30 </v>
      </c>
      <c r="Q169" s="27"/>
    </row>
    <row r="170" ht="15.75" customHeight="1">
      <c r="A170" s="105" t="s">
        <v>414</v>
      </c>
      <c r="B170" s="19" t="str">
        <f t="array" ref="B170">XLOOKUP(A170,Data!F:F,Data!G:G)</f>
        <v>A1B</v>
      </c>
      <c r="C170" s="19" t="str">
        <f t="shared" si="3"/>
        <v>A010</v>
      </c>
      <c r="D170" s="19" t="str">
        <f t="array" ref="D170">XLOOKUP(A170,Data!F:F,Data!C:C)</f>
        <v/>
      </c>
      <c r="E170" s="19" t="str">
        <f t="array" ref="E170">XLOOKUP(A170,Data!F:F,Data!H:H)</f>
        <v>BW</v>
      </c>
      <c r="F170" s="106" t="str">
        <f>SUMIFS(Data!J:J,Data!F:F,A170)</f>
        <v>1</v>
      </c>
      <c r="G170" s="106" t="str">
        <f>SUMIFS(Cast!C:C,CastElements,A170)</f>
        <v>1</v>
      </c>
      <c r="H170" s="106" t="str">
        <f t="shared" si="4"/>
        <v>0</v>
      </c>
      <c r="I170" s="106" t="str">
        <f>SUMIFS(Del!C:C,Del!B:B,A170)</f>
        <v>0</v>
      </c>
      <c r="J170" s="106" t="str">
        <f t="shared" si="5"/>
        <v>1</v>
      </c>
      <c r="K170" s="106" t="str">
        <f t="shared" si="6"/>
        <v>1</v>
      </c>
      <c r="L170" s="106"/>
      <c r="M170" s="106" t="str">
        <f>SUMIFS(Ere!C:C,Ere!B:B,A170)</f>
        <v>0</v>
      </c>
      <c r="N170" s="106" t="str">
        <f t="shared" si="7"/>
        <v>1</v>
      </c>
      <c r="O170" s="107" t="str">
        <f t="array" ref="O170">XLOOKUP(A170,Data!F:F,Data!O:O)</f>
        <v>  2.12 </v>
      </c>
      <c r="P170" s="107" t="str">
        <f t="shared" si="8"/>
        <v>  5.30 </v>
      </c>
      <c r="Q170" s="27"/>
    </row>
    <row r="171" ht="15.75" customHeight="1">
      <c r="A171" s="105" t="s">
        <v>415</v>
      </c>
      <c r="B171" s="19" t="str">
        <f t="array" ref="B171">XLOOKUP(A171,Data!F:F,Data!G:G)</f>
        <v>A1B</v>
      </c>
      <c r="C171" s="19" t="str">
        <f t="shared" si="3"/>
        <v>A010</v>
      </c>
      <c r="D171" s="19" t="str">
        <f t="array" ref="D171">XLOOKUP(A171,Data!F:F,Data!C:C)</f>
        <v/>
      </c>
      <c r="E171" s="19" t="str">
        <f t="array" ref="E171">XLOOKUP(A171,Data!F:F,Data!H:H)</f>
        <v>BW</v>
      </c>
      <c r="F171" s="106" t="str">
        <f>SUMIFS(Data!J:J,Data!F:F,A171)</f>
        <v>1</v>
      </c>
      <c r="G171" s="106" t="str">
        <f>SUMIFS(Cast!C:C,CastElements,A171)</f>
        <v>1</v>
      </c>
      <c r="H171" s="106" t="str">
        <f t="shared" si="4"/>
        <v>0</v>
      </c>
      <c r="I171" s="106" t="str">
        <f>SUMIFS(Del!C:C,Del!B:B,A171)</f>
        <v>0</v>
      </c>
      <c r="J171" s="106" t="str">
        <f t="shared" si="5"/>
        <v>1</v>
      </c>
      <c r="K171" s="106" t="str">
        <f t="shared" si="6"/>
        <v>1</v>
      </c>
      <c r="L171" s="106"/>
      <c r="M171" s="106" t="str">
        <f>SUMIFS(Ere!C:C,Ere!B:B,A171)</f>
        <v>0</v>
      </c>
      <c r="N171" s="106" t="str">
        <f t="shared" si="7"/>
        <v>1</v>
      </c>
      <c r="O171" s="107" t="str">
        <f t="array" ref="O171">XLOOKUP(A171,Data!F:F,Data!O:O)</f>
        <v>  2.24 </v>
      </c>
      <c r="P171" s="107" t="str">
        <f t="shared" si="8"/>
        <v>  5.60 </v>
      </c>
      <c r="Q171" s="27"/>
    </row>
    <row r="172" ht="15.75" customHeight="1">
      <c r="A172" s="105" t="s">
        <v>416</v>
      </c>
      <c r="B172" s="19" t="str">
        <f t="array" ref="B172">XLOOKUP(A172,Data!F:F,Data!G:G)</f>
        <v>A1B</v>
      </c>
      <c r="C172" s="19" t="str">
        <f t="shared" si="3"/>
        <v>A010</v>
      </c>
      <c r="D172" s="19" t="str">
        <f t="array" ref="D172">XLOOKUP(A172,Data!F:F,Data!C:C)</f>
        <v/>
      </c>
      <c r="E172" s="19" t="str">
        <f t="array" ref="E172">XLOOKUP(A172,Data!F:F,Data!H:H)</f>
        <v>BW</v>
      </c>
      <c r="F172" s="106" t="str">
        <f>SUMIFS(Data!J:J,Data!F:F,A172)</f>
        <v>1</v>
      </c>
      <c r="G172" s="106" t="str">
        <f>SUMIFS(Cast!C:C,CastElements,A172)</f>
        <v>1</v>
      </c>
      <c r="H172" s="106" t="str">
        <f t="shared" si="4"/>
        <v>0</v>
      </c>
      <c r="I172" s="106" t="str">
        <f>SUMIFS(Del!C:C,Del!B:B,A172)</f>
        <v>0</v>
      </c>
      <c r="J172" s="106" t="str">
        <f t="shared" si="5"/>
        <v>1</v>
      </c>
      <c r="K172" s="106" t="str">
        <f t="shared" si="6"/>
        <v>1</v>
      </c>
      <c r="L172" s="106"/>
      <c r="M172" s="106" t="str">
        <f>SUMIFS(Ere!C:C,Ere!B:B,A172)</f>
        <v>0</v>
      </c>
      <c r="N172" s="106" t="str">
        <f t="shared" si="7"/>
        <v>1</v>
      </c>
      <c r="O172" s="107" t="str">
        <f t="array" ref="O172">XLOOKUP(A172,Data!F:F,Data!O:O)</f>
        <v>  1.64 </v>
      </c>
      <c r="P172" s="107" t="str">
        <f t="shared" si="8"/>
        <v>  4.10 </v>
      </c>
      <c r="Q172" s="27"/>
    </row>
    <row r="173" ht="15.75" customHeight="1">
      <c r="A173" s="105" t="s">
        <v>417</v>
      </c>
      <c r="B173" s="19" t="str">
        <f t="array" ref="B173">XLOOKUP(A173,Data!F:F,Data!G:G)</f>
        <v>A1B</v>
      </c>
      <c r="C173" s="19" t="str">
        <f t="shared" si="3"/>
        <v>A010</v>
      </c>
      <c r="D173" s="19" t="str">
        <f t="array" ref="D173">XLOOKUP(A173,Data!F:F,Data!C:C)</f>
        <v/>
      </c>
      <c r="E173" s="19" t="str">
        <f t="array" ref="E173">XLOOKUP(A173,Data!F:F,Data!H:H)</f>
        <v>BW</v>
      </c>
      <c r="F173" s="106" t="str">
        <f>SUMIFS(Data!J:J,Data!F:F,A173)</f>
        <v>1</v>
      </c>
      <c r="G173" s="106" t="str">
        <f>SUMIFS(Cast!C:C,CastElements,A173)</f>
        <v>0</v>
      </c>
      <c r="H173" s="106" t="str">
        <f t="shared" si="4"/>
        <v>1</v>
      </c>
      <c r="I173" s="106" t="str">
        <f>SUMIFS(Del!C:C,Del!B:B,A173)</f>
        <v>0</v>
      </c>
      <c r="J173" s="106" t="str">
        <f t="shared" si="5"/>
        <v>1</v>
      </c>
      <c r="K173" s="106" t="str">
        <f t="shared" si="6"/>
        <v>0</v>
      </c>
      <c r="L173" s="106"/>
      <c r="M173" s="106" t="str">
        <f>SUMIFS(Ere!C:C,Ere!B:B,A173)</f>
        <v>0</v>
      </c>
      <c r="N173" s="106" t="str">
        <f t="shared" si="7"/>
        <v>1</v>
      </c>
      <c r="O173" s="107" t="str">
        <f t="array" ref="O173">XLOOKUP(A173,Data!F:F,Data!O:O)</f>
        <v>  1.71 </v>
      </c>
      <c r="P173" s="107" t="str">
        <f t="shared" si="8"/>
        <v>  4.28 </v>
      </c>
      <c r="Q173" s="27"/>
    </row>
    <row r="174" ht="15.75" customHeight="1">
      <c r="A174" s="105" t="s">
        <v>418</v>
      </c>
      <c r="B174" s="19" t="str">
        <f t="array" ref="B174">XLOOKUP(A174,Data!F:F,Data!G:G)</f>
        <v>A1B</v>
      </c>
      <c r="C174" s="19" t="str">
        <f t="shared" si="3"/>
        <v>A010</v>
      </c>
      <c r="D174" s="19" t="str">
        <f t="array" ref="D174">XLOOKUP(A174,Data!F:F,Data!C:C)</f>
        <v/>
      </c>
      <c r="E174" s="19" t="str">
        <f t="array" ref="E174">XLOOKUP(A174,Data!F:F,Data!H:H)</f>
        <v>CF</v>
      </c>
      <c r="F174" s="106" t="str">
        <f>SUMIFS(Data!J:J,Data!F:F,A174)</f>
        <v>1</v>
      </c>
      <c r="G174" s="106" t="str">
        <f>SUMIFS(Cast!C:C,CastElements,A174)</f>
        <v>1</v>
      </c>
      <c r="H174" s="106" t="str">
        <f t="shared" si="4"/>
        <v>0</v>
      </c>
      <c r="I174" s="106" t="str">
        <f>SUMIFS(Del!C:C,Del!B:B,A174)</f>
        <v>0</v>
      </c>
      <c r="J174" s="106" t="str">
        <f t="shared" si="5"/>
        <v>1</v>
      </c>
      <c r="K174" s="106" t="str">
        <f t="shared" si="6"/>
        <v>1</v>
      </c>
      <c r="L174" s="106"/>
      <c r="M174" s="106" t="str">
        <f>SUMIFS(Ere!C:C,Ere!B:B,A174)</f>
        <v>0</v>
      </c>
      <c r="N174" s="106" t="str">
        <f t="shared" si="7"/>
        <v>1</v>
      </c>
      <c r="O174" s="107" t="str">
        <f t="array" ref="O174">XLOOKUP(A174,Data!F:F,Data!O:O)</f>
        <v>  0.42 </v>
      </c>
      <c r="P174" s="107" t="str">
        <f t="shared" si="8"/>
        <v>  1.05 </v>
      </c>
      <c r="Q174" s="27"/>
    </row>
    <row r="175" ht="15.75" customHeight="1">
      <c r="A175" s="105" t="s">
        <v>419</v>
      </c>
      <c r="B175" s="19" t="str">
        <f t="array" ref="B175">XLOOKUP(A175,Data!F:F,Data!G:G)</f>
        <v>A1B</v>
      </c>
      <c r="C175" s="19" t="str">
        <f t="shared" si="3"/>
        <v>A010</v>
      </c>
      <c r="D175" s="19" t="str">
        <f t="array" ref="D175">XLOOKUP(A175,Data!F:F,Data!C:C)</f>
        <v>EXT</v>
      </c>
      <c r="E175" s="19" t="str">
        <f t="array" ref="E175">XLOOKUP(A175,Data!F:F,Data!H:H)</f>
        <v>BW</v>
      </c>
      <c r="F175" s="106" t="str">
        <f>SUMIFS(Data!J:J,Data!F:F,A175)</f>
        <v>1</v>
      </c>
      <c r="G175" s="106" t="str">
        <f>SUMIFS(Cast!C:C,CastElements,A175)</f>
        <v>0</v>
      </c>
      <c r="H175" s="106" t="str">
        <f t="shared" si="4"/>
        <v>1</v>
      </c>
      <c r="I175" s="106" t="str">
        <f>SUMIFS(Del!C:C,Del!B:B,A175)</f>
        <v>0</v>
      </c>
      <c r="J175" s="106" t="str">
        <f t="shared" si="5"/>
        <v>1</v>
      </c>
      <c r="K175" s="106" t="str">
        <f t="shared" si="6"/>
        <v>0</v>
      </c>
      <c r="L175" s="106"/>
      <c r="M175" s="106" t="str">
        <f>SUMIFS(Ere!C:C,Ere!B:B,A175)</f>
        <v>0</v>
      </c>
      <c r="N175" s="106" t="str">
        <f t="shared" si="7"/>
        <v>1</v>
      </c>
      <c r="O175" s="107" t="str">
        <f t="array" ref="O175">XLOOKUP(A175,Data!F:F,Data!O:O)</f>
        <v>  1.31 </v>
      </c>
      <c r="P175" s="107" t="str">
        <f t="shared" si="8"/>
        <v>  3.29 </v>
      </c>
      <c r="Q175" s="27"/>
    </row>
    <row r="176" ht="15.75" customHeight="1">
      <c r="A176" s="105" t="s">
        <v>420</v>
      </c>
      <c r="B176" s="19" t="str">
        <f t="array" ref="B176">XLOOKUP(A176,Data!F:F,Data!G:G)</f>
        <v>A1B</v>
      </c>
      <c r="C176" s="19" t="str">
        <f t="shared" si="3"/>
        <v>A010</v>
      </c>
      <c r="D176" s="19" t="str">
        <f t="array" ref="D176">XLOOKUP(A176,Data!F:F,Data!C:C)</f>
        <v>EXT</v>
      </c>
      <c r="E176" s="19" t="str">
        <f t="array" ref="E176">XLOOKUP(A176,Data!F:F,Data!H:H)</f>
        <v>BW</v>
      </c>
      <c r="F176" s="106" t="str">
        <f>SUMIFS(Data!J:J,Data!F:F,A176)</f>
        <v>1</v>
      </c>
      <c r="G176" s="106" t="str">
        <f>SUMIFS(Cast!C:C,CastElements,A176)</f>
        <v>0</v>
      </c>
      <c r="H176" s="106" t="str">
        <f t="shared" si="4"/>
        <v>1</v>
      </c>
      <c r="I176" s="106" t="str">
        <f>SUMIFS(Del!C:C,Del!B:B,A176)</f>
        <v>0</v>
      </c>
      <c r="J176" s="106" t="str">
        <f t="shared" si="5"/>
        <v>1</v>
      </c>
      <c r="K176" s="106" t="str">
        <f t="shared" si="6"/>
        <v>0</v>
      </c>
      <c r="L176" s="106"/>
      <c r="M176" s="106" t="str">
        <f>SUMIFS(Ere!C:C,Ere!B:B,A176)</f>
        <v>0</v>
      </c>
      <c r="N176" s="106" t="str">
        <f t="shared" si="7"/>
        <v>1</v>
      </c>
      <c r="O176" s="107" t="str">
        <f t="array" ref="O176">XLOOKUP(A176,Data!F:F,Data!O:O)</f>
        <v>  1.83 </v>
      </c>
      <c r="P176" s="107" t="str">
        <f t="shared" si="8"/>
        <v>  4.58 </v>
      </c>
      <c r="Q176" s="27"/>
    </row>
    <row r="177" ht="15.75" customHeight="1">
      <c r="A177" s="105" t="s">
        <v>421</v>
      </c>
      <c r="B177" s="19" t="str">
        <f t="array" ref="B177">XLOOKUP(A177,Data!F:F,Data!G:G)</f>
        <v>A1B</v>
      </c>
      <c r="C177" s="19" t="str">
        <f t="shared" si="3"/>
        <v>A010</v>
      </c>
      <c r="D177" s="19" t="str">
        <f t="array" ref="D177">XLOOKUP(A177,Data!F:F,Data!C:C)</f>
        <v/>
      </c>
      <c r="E177" s="19" t="str">
        <f t="array" ref="E177">XLOOKUP(A177,Data!F:F,Data!H:H)</f>
        <v>BW</v>
      </c>
      <c r="F177" s="106" t="str">
        <f>SUMIFS(Data!J:J,Data!F:F,A177)</f>
        <v>1</v>
      </c>
      <c r="G177" s="106" t="str">
        <f>SUMIFS(Cast!C:C,CastElements,A177)</f>
        <v>1</v>
      </c>
      <c r="H177" s="106" t="str">
        <f t="shared" si="4"/>
        <v>0</v>
      </c>
      <c r="I177" s="106" t="str">
        <f>SUMIFS(Del!C:C,Del!B:B,A177)</f>
        <v>0</v>
      </c>
      <c r="J177" s="106" t="str">
        <f t="shared" si="5"/>
        <v>1</v>
      </c>
      <c r="K177" s="106" t="str">
        <f t="shared" si="6"/>
        <v>1</v>
      </c>
      <c r="L177" s="106"/>
      <c r="M177" s="106" t="str">
        <f>SUMIFS(Ere!C:C,Ere!B:B,A177)</f>
        <v>0</v>
      </c>
      <c r="N177" s="106" t="str">
        <f t="shared" si="7"/>
        <v>1</v>
      </c>
      <c r="O177" s="107" t="str">
        <f t="array" ref="O177">XLOOKUP(A177,Data!F:F,Data!O:O)</f>
        <v>  0.41 </v>
      </c>
      <c r="P177" s="107" t="str">
        <f t="shared" si="8"/>
        <v>  1.02 </v>
      </c>
      <c r="Q177" s="27"/>
    </row>
    <row r="178" ht="15.75" customHeight="1">
      <c r="A178" s="105" t="s">
        <v>422</v>
      </c>
      <c r="B178" s="19" t="str">
        <f t="array" ref="B178">XLOOKUP(A178,Data!F:F,Data!G:G)</f>
        <v>A1B</v>
      </c>
      <c r="C178" s="19" t="str">
        <f t="shared" si="3"/>
        <v>A010</v>
      </c>
      <c r="D178" s="19" t="str">
        <f t="array" ref="D178">XLOOKUP(A178,Data!F:F,Data!C:C)</f>
        <v/>
      </c>
      <c r="E178" s="19" t="str">
        <f t="array" ref="E178">XLOOKUP(A178,Data!F:F,Data!H:H)</f>
        <v>BW</v>
      </c>
      <c r="F178" s="106" t="str">
        <f>SUMIFS(Data!J:J,Data!F:F,A178)</f>
        <v>1</v>
      </c>
      <c r="G178" s="106" t="str">
        <f>SUMIFS(Cast!C:C,CastElements,A178)</f>
        <v>1</v>
      </c>
      <c r="H178" s="106" t="str">
        <f t="shared" si="4"/>
        <v>0</v>
      </c>
      <c r="I178" s="106" t="str">
        <f>SUMIFS(Del!C:C,Del!B:B,A178)</f>
        <v>0</v>
      </c>
      <c r="J178" s="106" t="str">
        <f t="shared" si="5"/>
        <v>1</v>
      </c>
      <c r="K178" s="106" t="str">
        <f t="shared" si="6"/>
        <v>1</v>
      </c>
      <c r="L178" s="106"/>
      <c r="M178" s="106" t="str">
        <f>SUMIFS(Ere!C:C,Ere!B:B,A178)</f>
        <v>0</v>
      </c>
      <c r="N178" s="106" t="str">
        <f t="shared" si="7"/>
        <v>1</v>
      </c>
      <c r="O178" s="107" t="str">
        <f t="array" ref="O178">XLOOKUP(A178,Data!F:F,Data!O:O)</f>
        <v>  0.57 </v>
      </c>
      <c r="P178" s="107" t="str">
        <f t="shared" si="8"/>
        <v>  1.42 </v>
      </c>
      <c r="Q178" s="27"/>
    </row>
    <row r="179" ht="15.75" customHeight="1">
      <c r="A179" s="105" t="s">
        <v>423</v>
      </c>
      <c r="B179" s="19" t="str">
        <f t="array" ref="B179">XLOOKUP(A179,Data!F:F,Data!G:G)</f>
        <v>A1B</v>
      </c>
      <c r="C179" s="19" t="str">
        <f t="shared" si="3"/>
        <v>A010</v>
      </c>
      <c r="D179" s="19" t="str">
        <f t="array" ref="D179">XLOOKUP(A179,Data!F:F,Data!C:C)</f>
        <v>EXT</v>
      </c>
      <c r="E179" s="19" t="str">
        <f t="array" ref="E179">XLOOKUP(A179,Data!F:F,Data!H:H)</f>
        <v/>
      </c>
      <c r="F179" s="106" t="str">
        <f>SUMIFS(Data!J:J,Data!F:F,A179)</f>
        <v>0</v>
      </c>
      <c r="G179" s="106" t="str">
        <f>SUMIFS(Cast!C:C,CastElements,A179)</f>
        <v>0</v>
      </c>
      <c r="H179" s="106" t="str">
        <f t="shared" si="4"/>
        <v>0</v>
      </c>
      <c r="I179" s="106" t="str">
        <f>SUMIFS(Del!C:C,Del!B:B,A179)</f>
        <v>0</v>
      </c>
      <c r="J179" s="106" t="str">
        <f t="shared" si="5"/>
        <v>0</v>
      </c>
      <c r="K179" s="106" t="str">
        <f t="shared" si="6"/>
        <v>0</v>
      </c>
      <c r="L179" s="106"/>
      <c r="M179" s="106" t="str">
        <f>SUMIFS(Ere!C:C,Ere!B:B,A179)</f>
        <v>0</v>
      </c>
      <c r="N179" s="106" t="str">
        <f t="shared" si="7"/>
        <v>0</v>
      </c>
      <c r="O179" s="107" t="str">
        <f t="array" ref="O179">XLOOKUP(A179,Data!F:F,Data!O:O)</f>
        <v/>
      </c>
      <c r="P179" s="107" t="str">
        <f t="shared" si="8"/>
        <v>  -   </v>
      </c>
      <c r="Q179" s="27"/>
    </row>
    <row r="180" ht="15.75" customHeight="1">
      <c r="A180" s="105" t="s">
        <v>424</v>
      </c>
      <c r="B180" s="19" t="str">
        <f t="array" ref="B180">XLOOKUP(A180,Data!F:F,Data!G:G)</f>
        <v>A1B</v>
      </c>
      <c r="C180" s="19" t="str">
        <f t="shared" si="3"/>
        <v>A011</v>
      </c>
      <c r="D180" s="19" t="str">
        <f t="array" ref="D180">XLOOKUP(A180,Data!F:F,Data!C:C)</f>
        <v/>
      </c>
      <c r="E180" s="19" t="str">
        <f t="array" ref="E180">XLOOKUP(A180,Data!F:F,Data!H:H)</f>
        <v>BW</v>
      </c>
      <c r="F180" s="106" t="str">
        <f>SUMIFS(Data!J:J,Data!F:F,A180)</f>
        <v>1</v>
      </c>
      <c r="G180" s="106" t="str">
        <f>SUMIFS(Cast!C:C,CastElements,A180)</f>
        <v>1</v>
      </c>
      <c r="H180" s="106" t="str">
        <f t="shared" si="4"/>
        <v>0</v>
      </c>
      <c r="I180" s="106" t="str">
        <f>SUMIFS(Del!C:C,Del!B:B,A180)</f>
        <v>0</v>
      </c>
      <c r="J180" s="106" t="str">
        <f t="shared" si="5"/>
        <v>1</v>
      </c>
      <c r="K180" s="106" t="str">
        <f t="shared" si="6"/>
        <v>1</v>
      </c>
      <c r="L180" s="106"/>
      <c r="M180" s="106" t="str">
        <f>SUMIFS(Ere!C:C,Ere!B:B,A180)</f>
        <v>0</v>
      </c>
      <c r="N180" s="106" t="str">
        <f t="shared" si="7"/>
        <v>1</v>
      </c>
      <c r="O180" s="107" t="str">
        <f t="array" ref="O180">XLOOKUP(A180,Data!F:F,Data!O:O)</f>
        <v>  1.86 </v>
      </c>
      <c r="P180" s="107" t="str">
        <f t="shared" si="8"/>
        <v>  4.66 </v>
      </c>
      <c r="Q180" s="27"/>
    </row>
    <row r="181" ht="15.75" customHeight="1">
      <c r="A181" s="105" t="s">
        <v>425</v>
      </c>
      <c r="B181" s="19" t="str">
        <f t="array" ref="B181">XLOOKUP(A181,Data!F:F,Data!G:G)</f>
        <v>A1B</v>
      </c>
      <c r="C181" s="19" t="str">
        <f t="shared" si="3"/>
        <v>A011</v>
      </c>
      <c r="D181" s="19" t="str">
        <f t="array" ref="D181">XLOOKUP(A181,Data!F:F,Data!C:C)</f>
        <v/>
      </c>
      <c r="E181" s="19" t="str">
        <f t="array" ref="E181">XLOOKUP(A181,Data!F:F,Data!H:H)</f>
        <v>BW</v>
      </c>
      <c r="F181" s="106" t="str">
        <f>SUMIFS(Data!J:J,Data!F:F,A181)</f>
        <v>1</v>
      </c>
      <c r="G181" s="106" t="str">
        <f>SUMIFS(Cast!C:C,CastElements,A181)</f>
        <v>1</v>
      </c>
      <c r="H181" s="106" t="str">
        <f t="shared" si="4"/>
        <v>0</v>
      </c>
      <c r="I181" s="106" t="str">
        <f>SUMIFS(Del!C:C,Del!B:B,A181)</f>
        <v>0</v>
      </c>
      <c r="J181" s="106" t="str">
        <f t="shared" si="5"/>
        <v>1</v>
      </c>
      <c r="K181" s="106" t="str">
        <f t="shared" si="6"/>
        <v>1</v>
      </c>
      <c r="L181" s="106"/>
      <c r="M181" s="106" t="str">
        <f>SUMIFS(Ere!C:C,Ere!B:B,A181)</f>
        <v>0</v>
      </c>
      <c r="N181" s="106" t="str">
        <f t="shared" si="7"/>
        <v>1</v>
      </c>
      <c r="O181" s="107" t="str">
        <f t="array" ref="O181">XLOOKUP(A181,Data!F:F,Data!O:O)</f>
        <v>  1.84 </v>
      </c>
      <c r="P181" s="107" t="str">
        <f t="shared" si="8"/>
        <v>  4.61 </v>
      </c>
      <c r="Q181" s="27"/>
    </row>
    <row r="182" ht="15.75" customHeight="1">
      <c r="A182" s="105" t="s">
        <v>426</v>
      </c>
      <c r="B182" s="19" t="str">
        <f t="array" ref="B182">XLOOKUP(A182,Data!F:F,Data!G:G)</f>
        <v>A1B</v>
      </c>
      <c r="C182" s="19" t="str">
        <f t="shared" si="3"/>
        <v>A011</v>
      </c>
      <c r="D182" s="19" t="str">
        <f t="array" ref="D182">XLOOKUP(A182,Data!F:F,Data!C:C)</f>
        <v/>
      </c>
      <c r="E182" s="19" t="str">
        <f t="array" ref="E182">XLOOKUP(A182,Data!F:F,Data!H:H)</f>
        <v>BW</v>
      </c>
      <c r="F182" s="106" t="str">
        <f>SUMIFS(Data!J:J,Data!F:F,A182)</f>
        <v>1</v>
      </c>
      <c r="G182" s="106" t="str">
        <f>SUMIFS(Cast!C:C,CastElements,A182)</f>
        <v>1</v>
      </c>
      <c r="H182" s="106" t="str">
        <f t="shared" si="4"/>
        <v>0</v>
      </c>
      <c r="I182" s="106" t="str">
        <f>SUMIFS(Del!C:C,Del!B:B,A182)</f>
        <v>0</v>
      </c>
      <c r="J182" s="106" t="str">
        <f t="shared" si="5"/>
        <v>1</v>
      </c>
      <c r="K182" s="106" t="str">
        <f t="shared" si="6"/>
        <v>1</v>
      </c>
      <c r="L182" s="106"/>
      <c r="M182" s="106" t="str">
        <f>SUMIFS(Ere!C:C,Ere!B:B,A182)</f>
        <v>0</v>
      </c>
      <c r="N182" s="106" t="str">
        <f t="shared" si="7"/>
        <v>1</v>
      </c>
      <c r="O182" s="107" t="str">
        <f t="array" ref="O182">XLOOKUP(A182,Data!F:F,Data!O:O)</f>
        <v>  1.84 </v>
      </c>
      <c r="P182" s="107" t="str">
        <f t="shared" si="8"/>
        <v>  4.61 </v>
      </c>
      <c r="Q182" s="27"/>
    </row>
    <row r="183" ht="15.75" customHeight="1">
      <c r="A183" s="105" t="s">
        <v>427</v>
      </c>
      <c r="B183" s="19" t="str">
        <f t="array" ref="B183">XLOOKUP(A183,Data!F:F,Data!G:G)</f>
        <v>A1B</v>
      </c>
      <c r="C183" s="19" t="str">
        <f t="shared" si="3"/>
        <v>A011</v>
      </c>
      <c r="D183" s="19" t="str">
        <f t="array" ref="D183">XLOOKUP(A183,Data!F:F,Data!C:C)</f>
        <v/>
      </c>
      <c r="E183" s="19" t="str">
        <f t="array" ref="E183">XLOOKUP(A183,Data!F:F,Data!H:H)</f>
        <v>BW</v>
      </c>
      <c r="F183" s="106" t="str">
        <f>SUMIFS(Data!J:J,Data!F:F,A183)</f>
        <v>1</v>
      </c>
      <c r="G183" s="106" t="str">
        <f>SUMIFS(Cast!C:C,CastElements,A183)</f>
        <v>1</v>
      </c>
      <c r="H183" s="106" t="str">
        <f t="shared" si="4"/>
        <v>0</v>
      </c>
      <c r="I183" s="106" t="str">
        <f>SUMIFS(Del!C:C,Del!B:B,A183)</f>
        <v>0</v>
      </c>
      <c r="J183" s="106" t="str">
        <f t="shared" si="5"/>
        <v>1</v>
      </c>
      <c r="K183" s="106" t="str">
        <f t="shared" si="6"/>
        <v>1</v>
      </c>
      <c r="L183" s="106"/>
      <c r="M183" s="106" t="str">
        <f>SUMIFS(Ere!C:C,Ere!B:B,A183)</f>
        <v>0</v>
      </c>
      <c r="N183" s="106" t="str">
        <f t="shared" si="7"/>
        <v>1</v>
      </c>
      <c r="O183" s="107" t="str">
        <f t="array" ref="O183">XLOOKUP(A183,Data!F:F,Data!O:O)</f>
        <v>  1.84 </v>
      </c>
      <c r="P183" s="107" t="str">
        <f t="shared" si="8"/>
        <v>  4.61 </v>
      </c>
      <c r="Q183" s="27"/>
    </row>
    <row r="184" ht="15.75" customHeight="1">
      <c r="A184" s="105" t="s">
        <v>428</v>
      </c>
      <c r="B184" s="19" t="str">
        <f t="array" ref="B184">XLOOKUP(A184,Data!F:F,Data!G:G)</f>
        <v>A1B</v>
      </c>
      <c r="C184" s="19" t="str">
        <f t="shared" si="3"/>
        <v>A011</v>
      </c>
      <c r="D184" s="19" t="str">
        <f t="array" ref="D184">XLOOKUP(A184,Data!F:F,Data!C:C)</f>
        <v/>
      </c>
      <c r="E184" s="19" t="str">
        <f t="array" ref="E184">XLOOKUP(A184,Data!F:F,Data!H:H)</f>
        <v>BW</v>
      </c>
      <c r="F184" s="106" t="str">
        <f>SUMIFS(Data!J:J,Data!F:F,A184)</f>
        <v>1</v>
      </c>
      <c r="G184" s="106" t="str">
        <f>SUMIFS(Cast!C:C,CastElements,A184)</f>
        <v>1</v>
      </c>
      <c r="H184" s="106" t="str">
        <f t="shared" si="4"/>
        <v>0</v>
      </c>
      <c r="I184" s="106" t="str">
        <f>SUMIFS(Del!C:C,Del!B:B,A184)</f>
        <v>0</v>
      </c>
      <c r="J184" s="106" t="str">
        <f t="shared" si="5"/>
        <v>1</v>
      </c>
      <c r="K184" s="106" t="str">
        <f t="shared" si="6"/>
        <v>1</v>
      </c>
      <c r="L184" s="106"/>
      <c r="M184" s="106" t="str">
        <f>SUMIFS(Ere!C:C,Ere!B:B,A184)</f>
        <v>0</v>
      </c>
      <c r="N184" s="106" t="str">
        <f t="shared" si="7"/>
        <v>1</v>
      </c>
      <c r="O184" s="107" t="str">
        <f t="array" ref="O184">XLOOKUP(A184,Data!F:F,Data!O:O)</f>
        <v>  1.84 </v>
      </c>
      <c r="P184" s="107" t="str">
        <f t="shared" si="8"/>
        <v>  4.61 </v>
      </c>
      <c r="Q184" s="27"/>
    </row>
    <row r="185" ht="15.75" customHeight="1">
      <c r="A185" s="105" t="s">
        <v>429</v>
      </c>
      <c r="B185" s="19" t="str">
        <f t="array" ref="B185">XLOOKUP(A185,Data!F:F,Data!G:G)</f>
        <v>A1B</v>
      </c>
      <c r="C185" s="19" t="str">
        <f t="shared" si="3"/>
        <v>A011</v>
      </c>
      <c r="D185" s="19" t="str">
        <f t="array" ref="D185">XLOOKUP(A185,Data!F:F,Data!C:C)</f>
        <v/>
      </c>
      <c r="E185" s="19" t="str">
        <f t="array" ref="E185">XLOOKUP(A185,Data!F:F,Data!H:H)</f>
        <v>BW</v>
      </c>
      <c r="F185" s="106" t="str">
        <f>SUMIFS(Data!J:J,Data!F:F,A185)</f>
        <v>1</v>
      </c>
      <c r="G185" s="106" t="str">
        <f>SUMIFS(Cast!C:C,CastElements,A185)</f>
        <v>1</v>
      </c>
      <c r="H185" s="106" t="str">
        <f t="shared" si="4"/>
        <v>0</v>
      </c>
      <c r="I185" s="106" t="str">
        <f>SUMIFS(Del!C:C,Del!B:B,A185)</f>
        <v>0</v>
      </c>
      <c r="J185" s="106" t="str">
        <f t="shared" si="5"/>
        <v>1</v>
      </c>
      <c r="K185" s="106" t="str">
        <f t="shared" si="6"/>
        <v>1</v>
      </c>
      <c r="L185" s="106"/>
      <c r="M185" s="106" t="str">
        <f>SUMIFS(Ere!C:C,Ere!B:B,A185)</f>
        <v>0</v>
      </c>
      <c r="N185" s="106" t="str">
        <f t="shared" si="7"/>
        <v>1</v>
      </c>
      <c r="O185" s="107" t="str">
        <f t="array" ref="O185">XLOOKUP(A185,Data!F:F,Data!O:O)</f>
        <v>  1.94 </v>
      </c>
      <c r="P185" s="107" t="str">
        <f t="shared" si="8"/>
        <v>  4.85 </v>
      </c>
      <c r="Q185" s="27"/>
    </row>
    <row r="186" ht="15.75" customHeight="1">
      <c r="A186" s="105" t="s">
        <v>430</v>
      </c>
      <c r="B186" s="19" t="str">
        <f t="array" ref="B186">XLOOKUP(A186,Data!F:F,Data!G:G)</f>
        <v>A1B</v>
      </c>
      <c r="C186" s="19" t="str">
        <f t="shared" si="3"/>
        <v>A011</v>
      </c>
      <c r="D186" s="19" t="str">
        <f t="array" ref="D186">XLOOKUP(A186,Data!F:F,Data!C:C)</f>
        <v/>
      </c>
      <c r="E186" s="19" t="str">
        <f t="array" ref="E186">XLOOKUP(A186,Data!F:F,Data!H:H)</f>
        <v>BW</v>
      </c>
      <c r="F186" s="106" t="str">
        <f>SUMIFS(Data!J:J,Data!F:F,A186)</f>
        <v>1</v>
      </c>
      <c r="G186" s="106" t="str">
        <f>SUMIFS(Cast!C:C,CastElements,A186)</f>
        <v>1</v>
      </c>
      <c r="H186" s="106" t="str">
        <f t="shared" si="4"/>
        <v>0</v>
      </c>
      <c r="I186" s="106" t="str">
        <f>SUMIFS(Del!C:C,Del!B:B,A186)</f>
        <v>0</v>
      </c>
      <c r="J186" s="106" t="str">
        <f t="shared" si="5"/>
        <v>1</v>
      </c>
      <c r="K186" s="106" t="str">
        <f t="shared" si="6"/>
        <v>1</v>
      </c>
      <c r="L186" s="106"/>
      <c r="M186" s="106" t="str">
        <f>SUMIFS(Ere!C:C,Ere!B:B,A186)</f>
        <v>0</v>
      </c>
      <c r="N186" s="106" t="str">
        <f t="shared" si="7"/>
        <v>1</v>
      </c>
      <c r="O186" s="107" t="str">
        <f t="array" ref="O186">XLOOKUP(A186,Data!F:F,Data!O:O)</f>
        <v>  1.94 </v>
      </c>
      <c r="P186" s="107" t="str">
        <f t="shared" si="8"/>
        <v>  4.85 </v>
      </c>
      <c r="Q186" s="27"/>
    </row>
    <row r="187" ht="15.75" customHeight="1">
      <c r="A187" s="105" t="s">
        <v>431</v>
      </c>
      <c r="B187" s="19" t="str">
        <f t="array" ref="B187">XLOOKUP(A187,Data!F:F,Data!G:G)</f>
        <v>A1B</v>
      </c>
      <c r="C187" s="19" t="str">
        <f t="shared" si="3"/>
        <v>A011</v>
      </c>
      <c r="D187" s="19" t="str">
        <f t="array" ref="D187">XLOOKUP(A187,Data!F:F,Data!C:C)</f>
        <v/>
      </c>
      <c r="E187" s="19" t="str">
        <f t="array" ref="E187">XLOOKUP(A187,Data!F:F,Data!H:H)</f>
        <v>BW</v>
      </c>
      <c r="F187" s="106" t="str">
        <f>SUMIFS(Data!J:J,Data!F:F,A187)</f>
        <v>1</v>
      </c>
      <c r="G187" s="106" t="str">
        <f>SUMIFS(Cast!C:C,CastElements,A187)</f>
        <v>1</v>
      </c>
      <c r="H187" s="106" t="str">
        <f t="shared" si="4"/>
        <v>0</v>
      </c>
      <c r="I187" s="106" t="str">
        <f>SUMIFS(Del!C:C,Del!B:B,A187)</f>
        <v>0</v>
      </c>
      <c r="J187" s="106" t="str">
        <f t="shared" si="5"/>
        <v>1</v>
      </c>
      <c r="K187" s="106" t="str">
        <f t="shared" si="6"/>
        <v>1</v>
      </c>
      <c r="L187" s="106"/>
      <c r="M187" s="106" t="str">
        <f>SUMIFS(Ere!C:C,Ere!B:B,A187)</f>
        <v>0</v>
      </c>
      <c r="N187" s="106" t="str">
        <f t="shared" si="7"/>
        <v>1</v>
      </c>
      <c r="O187" s="107" t="str">
        <f t="array" ref="O187">XLOOKUP(A187,Data!F:F,Data!O:O)</f>
        <v>  1.94 </v>
      </c>
      <c r="P187" s="107" t="str">
        <f t="shared" si="8"/>
        <v>  4.85 </v>
      </c>
      <c r="Q187" s="27"/>
    </row>
    <row r="188" ht="15.75" customHeight="1">
      <c r="A188" s="105" t="s">
        <v>432</v>
      </c>
      <c r="B188" s="19" t="str">
        <f t="array" ref="B188">XLOOKUP(A188,Data!F:F,Data!G:G)</f>
        <v>A1B</v>
      </c>
      <c r="C188" s="19" t="str">
        <f t="shared" si="3"/>
        <v>A011</v>
      </c>
      <c r="D188" s="19" t="str">
        <f t="array" ref="D188">XLOOKUP(A188,Data!F:F,Data!C:C)</f>
        <v/>
      </c>
      <c r="E188" s="19" t="str">
        <f t="array" ref="E188">XLOOKUP(A188,Data!F:F,Data!H:H)</f>
        <v>BW</v>
      </c>
      <c r="F188" s="106" t="str">
        <f>SUMIFS(Data!J:J,Data!F:F,A188)</f>
        <v>1</v>
      </c>
      <c r="G188" s="106" t="str">
        <f>SUMIFS(Cast!C:C,CastElements,A188)</f>
        <v>1</v>
      </c>
      <c r="H188" s="106" t="str">
        <f t="shared" si="4"/>
        <v>0</v>
      </c>
      <c r="I188" s="106" t="str">
        <f>SUMIFS(Del!C:C,Del!B:B,A188)</f>
        <v>0</v>
      </c>
      <c r="J188" s="106" t="str">
        <f t="shared" si="5"/>
        <v>1</v>
      </c>
      <c r="K188" s="106" t="str">
        <f t="shared" si="6"/>
        <v>1</v>
      </c>
      <c r="L188" s="106"/>
      <c r="M188" s="106" t="str">
        <f>SUMIFS(Ere!C:C,Ere!B:B,A188)</f>
        <v>0</v>
      </c>
      <c r="N188" s="106" t="str">
        <f t="shared" si="7"/>
        <v>1</v>
      </c>
      <c r="O188" s="107" t="str">
        <f t="array" ref="O188">XLOOKUP(A188,Data!F:F,Data!O:O)</f>
        <v>  2.05 </v>
      </c>
      <c r="P188" s="107" t="str">
        <f t="shared" si="8"/>
        <v>  5.12 </v>
      </c>
      <c r="Q188" s="27"/>
    </row>
    <row r="189" ht="15.75" customHeight="1">
      <c r="A189" s="105" t="s">
        <v>433</v>
      </c>
      <c r="B189" s="19" t="str">
        <f t="array" ref="B189">XLOOKUP(A189,Data!F:F,Data!G:G)</f>
        <v>A1B</v>
      </c>
      <c r="C189" s="19" t="str">
        <f t="shared" si="3"/>
        <v>A011</v>
      </c>
      <c r="D189" s="19" t="str">
        <f t="array" ref="D189">XLOOKUP(A189,Data!F:F,Data!C:C)</f>
        <v/>
      </c>
      <c r="E189" s="19" t="str">
        <f t="array" ref="E189">XLOOKUP(A189,Data!F:F,Data!H:H)</f>
        <v>BW</v>
      </c>
      <c r="F189" s="106" t="str">
        <f>SUMIFS(Data!J:J,Data!F:F,A189)</f>
        <v>1</v>
      </c>
      <c r="G189" s="106" t="str">
        <f>SUMIFS(Cast!C:C,CastElements,A189)</f>
        <v>1</v>
      </c>
      <c r="H189" s="106" t="str">
        <f t="shared" si="4"/>
        <v>0</v>
      </c>
      <c r="I189" s="106" t="str">
        <f>SUMIFS(Del!C:C,Del!B:B,A189)</f>
        <v>0</v>
      </c>
      <c r="J189" s="106" t="str">
        <f t="shared" si="5"/>
        <v>1</v>
      </c>
      <c r="K189" s="106" t="str">
        <f t="shared" si="6"/>
        <v>1</v>
      </c>
      <c r="L189" s="106"/>
      <c r="M189" s="106" t="str">
        <f>SUMIFS(Ere!C:C,Ere!B:B,A189)</f>
        <v>0</v>
      </c>
      <c r="N189" s="106" t="str">
        <f t="shared" si="7"/>
        <v>1</v>
      </c>
      <c r="O189" s="107" t="str">
        <f t="array" ref="O189">XLOOKUP(A189,Data!F:F,Data!O:O)</f>
        <v>  0.38 </v>
      </c>
      <c r="P189" s="107" t="str">
        <f t="shared" si="8"/>
        <v>  0.95 </v>
      </c>
      <c r="Q189" s="27"/>
    </row>
    <row r="190" ht="15.75" customHeight="1">
      <c r="A190" s="105" t="s">
        <v>434</v>
      </c>
      <c r="B190" s="19" t="str">
        <f t="array" ref="B190">XLOOKUP(A190,Data!F:F,Data!G:G)</f>
        <v>A1B</v>
      </c>
      <c r="C190" s="19" t="str">
        <f t="shared" si="3"/>
        <v>A011</v>
      </c>
      <c r="D190" s="19" t="str">
        <f t="array" ref="D190">XLOOKUP(A190,Data!F:F,Data!C:C)</f>
        <v/>
      </c>
      <c r="E190" s="19" t="str">
        <f t="array" ref="E190">XLOOKUP(A190,Data!F:F,Data!H:H)</f>
        <v>BW</v>
      </c>
      <c r="F190" s="106" t="str">
        <f>SUMIFS(Data!J:J,Data!F:F,A190)</f>
        <v>1</v>
      </c>
      <c r="G190" s="106" t="str">
        <f>SUMIFS(Cast!C:C,CastElements,A190)</f>
        <v>0</v>
      </c>
      <c r="H190" s="106" t="str">
        <f t="shared" si="4"/>
        <v>1</v>
      </c>
      <c r="I190" s="106" t="str">
        <f>SUMIFS(Del!C:C,Del!B:B,A190)</f>
        <v>0</v>
      </c>
      <c r="J190" s="106" t="str">
        <f t="shared" si="5"/>
        <v>1</v>
      </c>
      <c r="K190" s="106" t="str">
        <f t="shared" si="6"/>
        <v>0</v>
      </c>
      <c r="L190" s="106"/>
      <c r="M190" s="106" t="str">
        <f>SUMIFS(Ere!C:C,Ere!B:B,A190)</f>
        <v>0</v>
      </c>
      <c r="N190" s="106" t="str">
        <f t="shared" si="7"/>
        <v>1</v>
      </c>
      <c r="O190" s="107" t="str">
        <f t="array" ref="O190">XLOOKUP(A190,Data!F:F,Data!O:O)</f>
        <v>  0.47 </v>
      </c>
      <c r="P190" s="107" t="str">
        <f t="shared" si="8"/>
        <v>  1.19 </v>
      </c>
      <c r="Q190" s="27"/>
    </row>
    <row r="191" ht="15.75" customHeight="1">
      <c r="A191" s="105" t="s">
        <v>435</v>
      </c>
      <c r="B191" s="19" t="str">
        <f t="array" ref="B191">XLOOKUP(A191,Data!F:F,Data!G:G)</f>
        <v>A1B</v>
      </c>
      <c r="C191" s="19" t="str">
        <f t="shared" si="3"/>
        <v>A011</v>
      </c>
      <c r="D191" s="19" t="str">
        <f t="array" ref="D191">XLOOKUP(A191,Data!F:F,Data!C:C)</f>
        <v/>
      </c>
      <c r="E191" s="19" t="str">
        <f t="array" ref="E191">XLOOKUP(A191,Data!F:F,Data!H:H)</f>
        <v>BW</v>
      </c>
      <c r="F191" s="106" t="str">
        <f>SUMIFS(Data!J:J,Data!F:F,A191)</f>
        <v>1</v>
      </c>
      <c r="G191" s="106" t="str">
        <f>SUMIFS(Cast!C:C,CastElements,A191)</f>
        <v>0</v>
      </c>
      <c r="H191" s="106" t="str">
        <f t="shared" si="4"/>
        <v>1</v>
      </c>
      <c r="I191" s="106" t="str">
        <f>SUMIFS(Del!C:C,Del!B:B,A191)</f>
        <v>0</v>
      </c>
      <c r="J191" s="106" t="str">
        <f t="shared" si="5"/>
        <v>1</v>
      </c>
      <c r="K191" s="106" t="str">
        <f t="shared" si="6"/>
        <v>0</v>
      </c>
      <c r="L191" s="106"/>
      <c r="M191" s="106" t="str">
        <f>SUMIFS(Ere!C:C,Ere!B:B,A191)</f>
        <v>0</v>
      </c>
      <c r="N191" s="106" t="str">
        <f t="shared" si="7"/>
        <v>1</v>
      </c>
      <c r="O191" s="107" t="str">
        <f t="array" ref="O191">XLOOKUP(A191,Data!F:F,Data!O:O)</f>
        <v>  1.55 </v>
      </c>
      <c r="P191" s="107" t="str">
        <f t="shared" si="8"/>
        <v>  3.88 </v>
      </c>
      <c r="Q191" s="27"/>
    </row>
    <row r="192" ht="15.75" customHeight="1">
      <c r="A192" s="105" t="s">
        <v>436</v>
      </c>
      <c r="B192" s="19" t="str">
        <f t="array" ref="B192">XLOOKUP(A192,Data!F:F,Data!G:G)</f>
        <v>A1B</v>
      </c>
      <c r="C192" s="19" t="str">
        <f t="shared" si="3"/>
        <v>A011</v>
      </c>
      <c r="D192" s="19" t="str">
        <f t="array" ref="D192">XLOOKUP(A192,Data!F:F,Data!C:C)</f>
        <v/>
      </c>
      <c r="E192" s="19" t="str">
        <f t="array" ref="E192">XLOOKUP(A192,Data!F:F,Data!H:H)</f>
        <v>BW</v>
      </c>
      <c r="F192" s="106" t="str">
        <f>SUMIFS(Data!J:J,Data!F:F,A192)</f>
        <v>1</v>
      </c>
      <c r="G192" s="106" t="str">
        <f>SUMIFS(Cast!C:C,CastElements,A192)</f>
        <v>1</v>
      </c>
      <c r="H192" s="106" t="str">
        <f t="shared" si="4"/>
        <v>0</v>
      </c>
      <c r="I192" s="106" t="str">
        <f>SUMIFS(Del!C:C,Del!B:B,A192)</f>
        <v>0</v>
      </c>
      <c r="J192" s="106" t="str">
        <f t="shared" si="5"/>
        <v>1</v>
      </c>
      <c r="K192" s="106" t="str">
        <f t="shared" si="6"/>
        <v>1</v>
      </c>
      <c r="L192" s="106"/>
      <c r="M192" s="106" t="str">
        <f>SUMIFS(Ere!C:C,Ere!B:B,A192)</f>
        <v>0</v>
      </c>
      <c r="N192" s="106" t="str">
        <f t="shared" si="7"/>
        <v>1</v>
      </c>
      <c r="O192" s="107" t="str">
        <f t="array" ref="O192">XLOOKUP(A192,Data!F:F,Data!O:O)</f>
        <v>  1.61 </v>
      </c>
      <c r="P192" s="107" t="str">
        <f t="shared" si="8"/>
        <v>  4.02 </v>
      </c>
      <c r="Q192" s="27"/>
    </row>
    <row r="193" ht="15.75" customHeight="1">
      <c r="A193" s="105" t="s">
        <v>437</v>
      </c>
      <c r="B193" s="19" t="str">
        <f t="array" ref="B193">XLOOKUP(A193,Data!F:F,Data!G:G)</f>
        <v>A1B</v>
      </c>
      <c r="C193" s="19" t="str">
        <f t="shared" si="3"/>
        <v>A011</v>
      </c>
      <c r="D193" s="19" t="str">
        <f t="array" ref="D193">XLOOKUP(A193,Data!F:F,Data!C:C)</f>
        <v/>
      </c>
      <c r="E193" s="19" t="str">
        <f t="array" ref="E193">XLOOKUP(A193,Data!F:F,Data!H:H)</f>
        <v>CF</v>
      </c>
      <c r="F193" s="106" t="str">
        <f>SUMIFS(Data!J:J,Data!F:F,A193)</f>
        <v>1</v>
      </c>
      <c r="G193" s="106" t="str">
        <f>SUMIFS(Cast!C:C,CastElements,A193)</f>
        <v>1</v>
      </c>
      <c r="H193" s="106" t="str">
        <f t="shared" si="4"/>
        <v>0</v>
      </c>
      <c r="I193" s="106" t="str">
        <f>SUMIFS(Del!C:C,Del!B:B,A193)</f>
        <v>0</v>
      </c>
      <c r="J193" s="106" t="str">
        <f t="shared" si="5"/>
        <v>1</v>
      </c>
      <c r="K193" s="106" t="str">
        <f t="shared" si="6"/>
        <v>1</v>
      </c>
      <c r="L193" s="106"/>
      <c r="M193" s="106" t="str">
        <f>SUMIFS(Ere!C:C,Ere!B:B,A193)</f>
        <v>0</v>
      </c>
      <c r="N193" s="106" t="str">
        <f t="shared" si="7"/>
        <v>1</v>
      </c>
      <c r="O193" s="107" t="str">
        <f t="array" ref="O193">XLOOKUP(A193,Data!F:F,Data!O:O)</f>
        <v>  0.42 </v>
      </c>
      <c r="P193" s="107" t="str">
        <f t="shared" si="8"/>
        <v>  1.05 </v>
      </c>
      <c r="Q193" s="27"/>
    </row>
    <row r="194" ht="15.75" customHeight="1">
      <c r="A194" s="105" t="s">
        <v>438</v>
      </c>
      <c r="B194" s="19" t="str">
        <f t="array" ref="B194">XLOOKUP(A194,Data!F:F,Data!G:G)</f>
        <v>A1B</v>
      </c>
      <c r="C194" s="19" t="str">
        <f t="shared" si="3"/>
        <v>A011</v>
      </c>
      <c r="D194" s="19" t="str">
        <f t="array" ref="D194">XLOOKUP(A194,Data!F:F,Data!C:C)</f>
        <v>EXT</v>
      </c>
      <c r="E194" s="19" t="str">
        <f t="array" ref="E194">XLOOKUP(A194,Data!F:F,Data!H:H)</f>
        <v>BW</v>
      </c>
      <c r="F194" s="106" t="str">
        <f>SUMIFS(Data!J:J,Data!F:F,A194)</f>
        <v>1</v>
      </c>
      <c r="G194" s="106" t="str">
        <f>SUMIFS(Cast!C:C,CastElements,A194)</f>
        <v>0</v>
      </c>
      <c r="H194" s="106" t="str">
        <f t="shared" si="4"/>
        <v>1</v>
      </c>
      <c r="I194" s="106" t="str">
        <f>SUMIFS(Del!C:C,Del!B:B,A194)</f>
        <v>0</v>
      </c>
      <c r="J194" s="106" t="str">
        <f t="shared" si="5"/>
        <v>1</v>
      </c>
      <c r="K194" s="106" t="str">
        <f t="shared" si="6"/>
        <v>0</v>
      </c>
      <c r="L194" s="106"/>
      <c r="M194" s="106" t="str">
        <f>SUMIFS(Ere!C:C,Ere!B:B,A194)</f>
        <v>0</v>
      </c>
      <c r="N194" s="106" t="str">
        <f t="shared" si="7"/>
        <v>1</v>
      </c>
      <c r="O194" s="107" t="str">
        <f t="array" ref="O194">XLOOKUP(A194,Data!F:F,Data!O:O)</f>
        <v>  0.89 </v>
      </c>
      <c r="P194" s="107" t="str">
        <f t="shared" si="8"/>
        <v>  2.21 </v>
      </c>
      <c r="Q194" s="27"/>
    </row>
    <row r="195" ht="15.75" customHeight="1">
      <c r="A195" s="105" t="s">
        <v>439</v>
      </c>
      <c r="B195" s="19" t="str">
        <f t="array" ref="B195">XLOOKUP(A195,Data!F:F,Data!G:G)</f>
        <v>A1B</v>
      </c>
      <c r="C195" s="19" t="str">
        <f t="shared" si="3"/>
        <v>A011</v>
      </c>
      <c r="D195" s="19" t="str">
        <f t="array" ref="D195">XLOOKUP(A195,Data!F:F,Data!C:C)</f>
        <v>EXT</v>
      </c>
      <c r="E195" s="19" t="str">
        <f t="array" ref="E195">XLOOKUP(A195,Data!F:F,Data!H:H)</f>
        <v>BW</v>
      </c>
      <c r="F195" s="106" t="str">
        <f>SUMIFS(Data!J:J,Data!F:F,A195)</f>
        <v>1</v>
      </c>
      <c r="G195" s="106" t="str">
        <f>SUMIFS(Cast!C:C,CastElements,A195)</f>
        <v>1</v>
      </c>
      <c r="H195" s="106" t="str">
        <f t="shared" si="4"/>
        <v>0</v>
      </c>
      <c r="I195" s="106" t="str">
        <f>SUMIFS(Del!C:C,Del!B:B,A195)</f>
        <v>0</v>
      </c>
      <c r="J195" s="106" t="str">
        <f t="shared" si="5"/>
        <v>1</v>
      </c>
      <c r="K195" s="106" t="str">
        <f t="shared" si="6"/>
        <v>1</v>
      </c>
      <c r="L195" s="106"/>
      <c r="M195" s="106" t="str">
        <f>SUMIFS(Ere!C:C,Ere!B:B,A195)</f>
        <v>0</v>
      </c>
      <c r="N195" s="106" t="str">
        <f t="shared" si="7"/>
        <v>1</v>
      </c>
      <c r="O195" s="107" t="str">
        <f t="array" ref="O195">XLOOKUP(A195,Data!F:F,Data!O:O)</f>
        <v>  1.26 </v>
      </c>
      <c r="P195" s="107" t="str">
        <f t="shared" si="8"/>
        <v>  3.16 </v>
      </c>
      <c r="Q195" s="27"/>
    </row>
    <row r="196" ht="15.75" customHeight="1">
      <c r="A196" s="105" t="s">
        <v>440</v>
      </c>
      <c r="B196" s="19" t="str">
        <f t="array" ref="B196">XLOOKUP(A196,Data!F:F,Data!G:G)</f>
        <v>A1B</v>
      </c>
      <c r="C196" s="19" t="str">
        <f t="shared" si="3"/>
        <v>A011</v>
      </c>
      <c r="D196" s="19" t="str">
        <f t="array" ref="D196">XLOOKUP(A196,Data!F:F,Data!C:C)</f>
        <v>EXT</v>
      </c>
      <c r="E196" s="19" t="str">
        <f t="array" ref="E196">XLOOKUP(A196,Data!F:F,Data!H:H)</f>
        <v>BW</v>
      </c>
      <c r="F196" s="106" t="str">
        <f>SUMIFS(Data!J:J,Data!F:F,A196)</f>
        <v>1</v>
      </c>
      <c r="G196" s="106" t="str">
        <f>SUMIFS(Cast!C:C,CastElements,A196)</f>
        <v>1</v>
      </c>
      <c r="H196" s="106" t="str">
        <f t="shared" si="4"/>
        <v>0</v>
      </c>
      <c r="I196" s="106" t="str">
        <f>SUMIFS(Del!C:C,Del!B:B,A196)</f>
        <v>0</v>
      </c>
      <c r="J196" s="106" t="str">
        <f t="shared" si="5"/>
        <v>1</v>
      </c>
      <c r="K196" s="106" t="str">
        <f t="shared" si="6"/>
        <v>1</v>
      </c>
      <c r="L196" s="106"/>
      <c r="M196" s="106" t="str">
        <f>SUMIFS(Ere!C:C,Ere!B:B,A196)</f>
        <v>0</v>
      </c>
      <c r="N196" s="106" t="str">
        <f t="shared" si="7"/>
        <v>1</v>
      </c>
      <c r="O196" s="107" t="str">
        <f t="array" ref="O196">XLOOKUP(A196,Data!F:F,Data!O:O)</f>
        <v>  1.55 </v>
      </c>
      <c r="P196" s="107" t="str">
        <f t="shared" si="8"/>
        <v>  3.88 </v>
      </c>
      <c r="Q196" s="27"/>
    </row>
    <row r="197" ht="15.75" customHeight="1">
      <c r="A197" s="105" t="s">
        <v>441</v>
      </c>
      <c r="B197" s="19" t="str">
        <f t="array" ref="B197">XLOOKUP(A197,Data!F:F,Data!G:G)</f>
        <v>A1B</v>
      </c>
      <c r="C197" s="19" t="str">
        <f t="shared" si="3"/>
        <v>A011</v>
      </c>
      <c r="D197" s="19" t="str">
        <f t="array" ref="D197">XLOOKUP(A197,Data!F:F,Data!C:C)</f>
        <v>EXT</v>
      </c>
      <c r="E197" s="19" t="str">
        <f t="array" ref="E197">XLOOKUP(A197,Data!F:F,Data!H:H)</f>
        <v>BW</v>
      </c>
      <c r="F197" s="106" t="str">
        <f>SUMIFS(Data!J:J,Data!F:F,A197)</f>
        <v>1</v>
      </c>
      <c r="G197" s="106" t="str">
        <f>SUMIFS(Cast!C:C,CastElements,A197)</f>
        <v>0</v>
      </c>
      <c r="H197" s="106" t="str">
        <f t="shared" si="4"/>
        <v>1</v>
      </c>
      <c r="I197" s="106" t="str">
        <f>SUMIFS(Del!C:C,Del!B:B,A197)</f>
        <v>0</v>
      </c>
      <c r="J197" s="106" t="str">
        <f t="shared" si="5"/>
        <v>1</v>
      </c>
      <c r="K197" s="106" t="str">
        <f t="shared" si="6"/>
        <v>0</v>
      </c>
      <c r="L197" s="106"/>
      <c r="M197" s="106" t="str">
        <f>SUMIFS(Ere!C:C,Ere!B:B,A197)</f>
        <v>0</v>
      </c>
      <c r="N197" s="106" t="str">
        <f t="shared" si="7"/>
        <v>1</v>
      </c>
      <c r="O197" s="107" t="str">
        <f t="array" ref="O197">XLOOKUP(A197,Data!F:F,Data!O:O)</f>
        <v>  1.19 </v>
      </c>
      <c r="P197" s="107" t="str">
        <f t="shared" si="8"/>
        <v>  2.98 </v>
      </c>
      <c r="Q197" s="27"/>
    </row>
    <row r="198" ht="15.75" customHeight="1">
      <c r="A198" s="105" t="s">
        <v>442</v>
      </c>
      <c r="B198" s="19" t="str">
        <f t="array" ref="B198">XLOOKUP(A198,Data!F:F,Data!G:G)</f>
        <v>A1B</v>
      </c>
      <c r="C198" s="19" t="str">
        <f t="shared" si="3"/>
        <v>A011</v>
      </c>
      <c r="D198" s="19" t="str">
        <f t="array" ref="D198">XLOOKUP(A198,Data!F:F,Data!C:C)</f>
        <v>EXT</v>
      </c>
      <c r="E198" s="19" t="str">
        <f t="array" ref="E198">XLOOKUP(A198,Data!F:F,Data!H:H)</f>
        <v>BW</v>
      </c>
      <c r="F198" s="106" t="str">
        <f>SUMIFS(Data!J:J,Data!F:F,A198)</f>
        <v>1</v>
      </c>
      <c r="G198" s="106" t="str">
        <f>SUMIFS(Cast!C:C,CastElements,A198)</f>
        <v>0</v>
      </c>
      <c r="H198" s="106" t="str">
        <f t="shared" si="4"/>
        <v>1</v>
      </c>
      <c r="I198" s="106" t="str">
        <f>SUMIFS(Del!C:C,Del!B:B,A198)</f>
        <v>0</v>
      </c>
      <c r="J198" s="106" t="str">
        <f t="shared" si="5"/>
        <v>1</v>
      </c>
      <c r="K198" s="106" t="str">
        <f t="shared" si="6"/>
        <v>0</v>
      </c>
      <c r="L198" s="106"/>
      <c r="M198" s="106" t="str">
        <f>SUMIFS(Ere!C:C,Ere!B:B,A198)</f>
        <v>0</v>
      </c>
      <c r="N198" s="106" t="str">
        <f t="shared" si="7"/>
        <v>1</v>
      </c>
      <c r="O198" s="107" t="str">
        <f t="array" ref="O198">XLOOKUP(A198,Data!F:F,Data!O:O)</f>
        <v>  0.94 </v>
      </c>
      <c r="P198" s="107" t="str">
        <f t="shared" si="8"/>
        <v>  2.34 </v>
      </c>
      <c r="Q198" s="27"/>
    </row>
    <row r="199" ht="15.75" customHeight="1">
      <c r="A199" s="105" t="s">
        <v>443</v>
      </c>
      <c r="B199" s="19" t="str">
        <f t="array" ref="B199">XLOOKUP(A199,Data!F:F,Data!G:G)</f>
        <v>A1B</v>
      </c>
      <c r="C199" s="19" t="str">
        <f t="shared" si="3"/>
        <v>A011</v>
      </c>
      <c r="D199" s="19" t="str">
        <f t="array" ref="D199">XLOOKUP(A199,Data!F:F,Data!C:C)</f>
        <v>EXT</v>
      </c>
      <c r="E199" s="19" t="str">
        <f t="array" ref="E199">XLOOKUP(A199,Data!F:F,Data!H:H)</f>
        <v>BW</v>
      </c>
      <c r="F199" s="106" t="str">
        <f>SUMIFS(Data!J:J,Data!F:F,A199)</f>
        <v>1</v>
      </c>
      <c r="G199" s="106" t="str">
        <f>SUMIFS(Cast!C:C,CastElements,A199)</f>
        <v>0</v>
      </c>
      <c r="H199" s="106" t="str">
        <f t="shared" si="4"/>
        <v>1</v>
      </c>
      <c r="I199" s="106" t="str">
        <f>SUMIFS(Del!C:C,Del!B:B,A199)</f>
        <v>0</v>
      </c>
      <c r="J199" s="106" t="str">
        <f t="shared" si="5"/>
        <v>1</v>
      </c>
      <c r="K199" s="106" t="str">
        <f t="shared" si="6"/>
        <v>0</v>
      </c>
      <c r="L199" s="106"/>
      <c r="M199" s="106" t="str">
        <f>SUMIFS(Ere!C:C,Ere!B:B,A199)</f>
        <v>0</v>
      </c>
      <c r="N199" s="106" t="str">
        <f t="shared" si="7"/>
        <v>1</v>
      </c>
      <c r="O199" s="107" t="str">
        <f t="array" ref="O199">XLOOKUP(A199,Data!F:F,Data!O:O)</f>
        <v>  0.94 </v>
      </c>
      <c r="P199" s="107" t="str">
        <f t="shared" si="8"/>
        <v>  2.34 </v>
      </c>
      <c r="Q199" s="27"/>
    </row>
    <row r="200" ht="15.75" customHeight="1">
      <c r="A200" s="105" t="s">
        <v>444</v>
      </c>
      <c r="B200" s="19" t="str">
        <f t="array" ref="B200">XLOOKUP(A200,Data!F:F,Data!G:G)</f>
        <v>A1B</v>
      </c>
      <c r="C200" s="19" t="str">
        <f t="shared" si="3"/>
        <v>A011</v>
      </c>
      <c r="D200" s="19" t="str">
        <f t="array" ref="D200">XLOOKUP(A200,Data!F:F,Data!C:C)</f>
        <v>EXT</v>
      </c>
      <c r="E200" s="19" t="str">
        <f t="array" ref="E200">XLOOKUP(A200,Data!F:F,Data!H:H)</f>
        <v>BW</v>
      </c>
      <c r="F200" s="106" t="str">
        <f>SUMIFS(Data!J:J,Data!F:F,A200)</f>
        <v>1</v>
      </c>
      <c r="G200" s="106" t="str">
        <f>SUMIFS(Cast!C:C,CastElements,A200)</f>
        <v>0</v>
      </c>
      <c r="H200" s="106" t="str">
        <f t="shared" si="4"/>
        <v>1</v>
      </c>
      <c r="I200" s="106" t="str">
        <f>SUMIFS(Del!C:C,Del!B:B,A200)</f>
        <v>0</v>
      </c>
      <c r="J200" s="106" t="str">
        <f t="shared" si="5"/>
        <v>1</v>
      </c>
      <c r="K200" s="106" t="str">
        <f t="shared" si="6"/>
        <v>0</v>
      </c>
      <c r="L200" s="106"/>
      <c r="M200" s="106" t="str">
        <f>SUMIFS(Ere!C:C,Ere!B:B,A200)</f>
        <v>0</v>
      </c>
      <c r="N200" s="106" t="str">
        <f t="shared" si="7"/>
        <v>1</v>
      </c>
      <c r="O200" s="107" t="str">
        <f t="array" ref="O200">XLOOKUP(A200,Data!F:F,Data!O:O)</f>
        <v>  1.18 </v>
      </c>
      <c r="P200" s="107" t="str">
        <f t="shared" si="8"/>
        <v>  2.96 </v>
      </c>
      <c r="Q200" s="27"/>
    </row>
    <row r="201" ht="15.75" customHeight="1">
      <c r="A201" s="105" t="s">
        <v>445</v>
      </c>
      <c r="B201" s="19" t="str">
        <f t="array" ref="B201">XLOOKUP(A201,Data!F:F,Data!G:G)</f>
        <v>A1B</v>
      </c>
      <c r="C201" s="19" t="str">
        <f t="shared" si="3"/>
        <v>A011</v>
      </c>
      <c r="D201" s="19" t="str">
        <f t="array" ref="D201">XLOOKUP(A201,Data!F:F,Data!C:C)</f>
        <v>EXT</v>
      </c>
      <c r="E201" s="19" t="str">
        <f t="array" ref="E201">XLOOKUP(A201,Data!F:F,Data!H:H)</f>
        <v>BW</v>
      </c>
      <c r="F201" s="106" t="str">
        <f>SUMIFS(Data!J:J,Data!F:F,A201)</f>
        <v>1</v>
      </c>
      <c r="G201" s="106" t="str">
        <f>SUMIFS(Cast!C:C,CastElements,A201)</f>
        <v>0</v>
      </c>
      <c r="H201" s="106" t="str">
        <f t="shared" si="4"/>
        <v>1</v>
      </c>
      <c r="I201" s="106" t="str">
        <f>SUMIFS(Del!C:C,Del!B:B,A201)</f>
        <v>0</v>
      </c>
      <c r="J201" s="106" t="str">
        <f t="shared" si="5"/>
        <v>1</v>
      </c>
      <c r="K201" s="106" t="str">
        <f t="shared" si="6"/>
        <v>0</v>
      </c>
      <c r="L201" s="106"/>
      <c r="M201" s="106" t="str">
        <f>SUMIFS(Ere!C:C,Ere!B:B,A201)</f>
        <v>0</v>
      </c>
      <c r="N201" s="106" t="str">
        <f t="shared" si="7"/>
        <v>1</v>
      </c>
      <c r="O201" s="107" t="str">
        <f t="array" ref="O201">XLOOKUP(A201,Data!F:F,Data!O:O)</f>
        <v>  1.06 </v>
      </c>
      <c r="P201" s="107" t="str">
        <f t="shared" si="8"/>
        <v>  2.65 </v>
      </c>
      <c r="Q201" s="27"/>
    </row>
    <row r="202" ht="15.75" customHeight="1">
      <c r="A202" s="105" t="s">
        <v>446</v>
      </c>
      <c r="B202" s="19" t="str">
        <f t="array" ref="B202">XLOOKUP(A202,Data!F:F,Data!G:G)</f>
        <v>A1B</v>
      </c>
      <c r="C202" s="19" t="str">
        <f t="shared" si="3"/>
        <v>A011</v>
      </c>
      <c r="D202" s="19" t="str">
        <f t="array" ref="D202">XLOOKUP(A202,Data!F:F,Data!C:C)</f>
        <v>EXT</v>
      </c>
      <c r="E202" s="19" t="str">
        <f t="array" ref="E202">XLOOKUP(A202,Data!F:F,Data!H:H)</f>
        <v>BW</v>
      </c>
      <c r="F202" s="106" t="str">
        <f>SUMIFS(Data!J:J,Data!F:F,A202)</f>
        <v>1</v>
      </c>
      <c r="G202" s="106" t="str">
        <f>SUMIFS(Cast!C:C,CastElements,A202)</f>
        <v>0</v>
      </c>
      <c r="H202" s="106" t="str">
        <f t="shared" si="4"/>
        <v>1</v>
      </c>
      <c r="I202" s="106" t="str">
        <f>SUMIFS(Del!C:C,Del!B:B,A202)</f>
        <v>0</v>
      </c>
      <c r="J202" s="106" t="str">
        <f t="shared" si="5"/>
        <v>1</v>
      </c>
      <c r="K202" s="106" t="str">
        <f t="shared" si="6"/>
        <v>0</v>
      </c>
      <c r="L202" s="106"/>
      <c r="M202" s="106" t="str">
        <f>SUMIFS(Ere!C:C,Ere!B:B,A202)</f>
        <v>0</v>
      </c>
      <c r="N202" s="106" t="str">
        <f t="shared" si="7"/>
        <v>1</v>
      </c>
      <c r="O202" s="107" t="str">
        <f t="array" ref="O202">XLOOKUP(A202,Data!F:F,Data!O:O)</f>
        <v>  0.95 </v>
      </c>
      <c r="P202" s="107" t="str">
        <f t="shared" si="8"/>
        <v>  2.37 </v>
      </c>
      <c r="Q202" s="27"/>
    </row>
    <row r="203" ht="15.75" customHeight="1">
      <c r="A203" s="105" t="s">
        <v>447</v>
      </c>
      <c r="B203" s="19" t="str">
        <f t="array" ref="B203">XLOOKUP(A203,Data!F:F,Data!G:G)</f>
        <v>A1B</v>
      </c>
      <c r="C203" s="19" t="str">
        <f t="shared" si="3"/>
        <v>A011</v>
      </c>
      <c r="D203" s="19" t="str">
        <f t="array" ref="D203">XLOOKUP(A203,Data!F:F,Data!C:C)</f>
        <v>EXT</v>
      </c>
      <c r="E203" s="19" t="str">
        <f t="array" ref="E203">XLOOKUP(A203,Data!F:F,Data!H:H)</f>
        <v>BW</v>
      </c>
      <c r="F203" s="106" t="str">
        <f>SUMIFS(Data!J:J,Data!F:F,A203)</f>
        <v>1</v>
      </c>
      <c r="G203" s="106" t="str">
        <f>SUMIFS(Cast!C:C,CastElements,A203)</f>
        <v>0</v>
      </c>
      <c r="H203" s="106" t="str">
        <f t="shared" si="4"/>
        <v>1</v>
      </c>
      <c r="I203" s="106" t="str">
        <f>SUMIFS(Del!C:C,Del!B:B,A203)</f>
        <v>0</v>
      </c>
      <c r="J203" s="106" t="str">
        <f t="shared" si="5"/>
        <v>1</v>
      </c>
      <c r="K203" s="106" t="str">
        <f t="shared" si="6"/>
        <v>0</v>
      </c>
      <c r="L203" s="106"/>
      <c r="M203" s="106" t="str">
        <f>SUMIFS(Ere!C:C,Ere!B:B,A203)</f>
        <v>0</v>
      </c>
      <c r="N203" s="106" t="str">
        <f t="shared" si="7"/>
        <v>1</v>
      </c>
      <c r="O203" s="107" t="str">
        <f t="array" ref="O203">XLOOKUP(A203,Data!F:F,Data!O:O)</f>
        <v>  1.27 </v>
      </c>
      <c r="P203" s="107" t="str">
        <f t="shared" si="8"/>
        <v>  3.19 </v>
      </c>
      <c r="Q203" s="27"/>
    </row>
    <row r="204" ht="15.75" customHeight="1">
      <c r="A204" s="105" t="s">
        <v>448</v>
      </c>
      <c r="B204" s="19" t="str">
        <f t="array" ref="B204">XLOOKUP(A204,Data!F:F,Data!G:G)</f>
        <v>A1B</v>
      </c>
      <c r="C204" s="19" t="str">
        <f t="shared" si="3"/>
        <v>A011</v>
      </c>
      <c r="D204" s="19" t="str">
        <f t="array" ref="D204">XLOOKUP(A204,Data!F:F,Data!C:C)</f>
        <v/>
      </c>
      <c r="E204" s="19" t="str">
        <f t="array" ref="E204">XLOOKUP(A204,Data!F:F,Data!H:H)</f>
        <v>BW</v>
      </c>
      <c r="F204" s="106" t="str">
        <f>SUMIFS(Data!J:J,Data!F:F,A204)</f>
        <v>1</v>
      </c>
      <c r="G204" s="106" t="str">
        <f>SUMIFS(Cast!C:C,CastElements,A204)</f>
        <v>0</v>
      </c>
      <c r="H204" s="106" t="str">
        <f t="shared" si="4"/>
        <v>1</v>
      </c>
      <c r="I204" s="106" t="str">
        <f>SUMIFS(Del!C:C,Del!B:B,A204)</f>
        <v>0</v>
      </c>
      <c r="J204" s="106" t="str">
        <f t="shared" si="5"/>
        <v>1</v>
      </c>
      <c r="K204" s="106" t="str">
        <f t="shared" si="6"/>
        <v>0</v>
      </c>
      <c r="L204" s="106"/>
      <c r="M204" s="106" t="str">
        <f>SUMIFS(Ere!C:C,Ere!B:B,A204)</f>
        <v>0</v>
      </c>
      <c r="N204" s="106" t="str">
        <f t="shared" si="7"/>
        <v>1</v>
      </c>
      <c r="O204" s="107" t="str">
        <f t="array" ref="O204">XLOOKUP(A204,Data!F:F,Data!O:O)</f>
        <v>  0.39 </v>
      </c>
      <c r="P204" s="107" t="str">
        <f t="shared" si="8"/>
        <v>  0.98 </v>
      </c>
      <c r="Q204" s="27"/>
    </row>
    <row r="205" ht="15.75" customHeight="1">
      <c r="A205" s="105" t="s">
        <v>449</v>
      </c>
      <c r="B205" s="19" t="str">
        <f t="array" ref="B205">XLOOKUP(A205,Data!F:F,Data!G:G)</f>
        <v>A1B</v>
      </c>
      <c r="C205" s="19" t="str">
        <f t="shared" si="3"/>
        <v>A011</v>
      </c>
      <c r="D205" s="19" t="str">
        <f t="array" ref="D205">XLOOKUP(A205,Data!F:F,Data!C:C)</f>
        <v/>
      </c>
      <c r="E205" s="19" t="str">
        <f t="array" ref="E205">XLOOKUP(A205,Data!F:F,Data!H:H)</f>
        <v>BW</v>
      </c>
      <c r="F205" s="106" t="str">
        <f>SUMIFS(Data!J:J,Data!F:F,A205)</f>
        <v>1</v>
      </c>
      <c r="G205" s="106" t="str">
        <f>SUMIFS(Cast!C:C,CastElements,A205)</f>
        <v>1</v>
      </c>
      <c r="H205" s="106" t="str">
        <f t="shared" si="4"/>
        <v>0</v>
      </c>
      <c r="I205" s="106" t="str">
        <f>SUMIFS(Del!C:C,Del!B:B,A205)</f>
        <v>0</v>
      </c>
      <c r="J205" s="106" t="str">
        <f t="shared" si="5"/>
        <v>1</v>
      </c>
      <c r="K205" s="106" t="str">
        <f t="shared" si="6"/>
        <v>1</v>
      </c>
      <c r="L205" s="106"/>
      <c r="M205" s="106" t="str">
        <f>SUMIFS(Ere!C:C,Ere!B:B,A205)</f>
        <v>0</v>
      </c>
      <c r="N205" s="106" t="str">
        <f t="shared" si="7"/>
        <v>1</v>
      </c>
      <c r="O205" s="107" t="str">
        <f t="array" ref="O205">XLOOKUP(A205,Data!F:F,Data!O:O)</f>
        <v>  0.55 </v>
      </c>
      <c r="P205" s="107" t="str">
        <f t="shared" si="8"/>
        <v>  1.37 </v>
      </c>
      <c r="Q205" s="27"/>
    </row>
    <row r="206" ht="15.75" customHeight="1">
      <c r="A206" s="105" t="s">
        <v>450</v>
      </c>
      <c r="B206" s="19" t="str">
        <f t="array" ref="B206">XLOOKUP(A206,Data!F:F,Data!G:G)</f>
        <v>A1B</v>
      </c>
      <c r="C206" s="19" t="str">
        <f t="shared" si="3"/>
        <v>A012</v>
      </c>
      <c r="D206" s="19" t="str">
        <f t="array" ref="D206">XLOOKUP(A206,Data!F:F,Data!C:C)</f>
        <v>EXT</v>
      </c>
      <c r="E206" s="19" t="str">
        <f t="array" ref="E206">XLOOKUP(A206,Data!F:F,Data!H:H)</f>
        <v>BW</v>
      </c>
      <c r="F206" s="106" t="str">
        <f>SUMIFS(Data!J:J,Data!F:F,A206)</f>
        <v>1</v>
      </c>
      <c r="G206" s="106" t="str">
        <f>SUMIFS(Cast!C:C,CastElements,A206)</f>
        <v>0</v>
      </c>
      <c r="H206" s="106" t="str">
        <f t="shared" si="4"/>
        <v>1</v>
      </c>
      <c r="I206" s="106" t="str">
        <f>SUMIFS(Del!C:C,Del!B:B,A206)</f>
        <v>0</v>
      </c>
      <c r="J206" s="106" t="str">
        <f t="shared" si="5"/>
        <v>1</v>
      </c>
      <c r="K206" s="106" t="str">
        <f t="shared" si="6"/>
        <v>0</v>
      </c>
      <c r="L206" s="106"/>
      <c r="M206" s="106" t="str">
        <f>SUMIFS(Ere!C:C,Ere!B:B,A206)</f>
        <v>0</v>
      </c>
      <c r="N206" s="106" t="str">
        <f t="shared" si="7"/>
        <v>1</v>
      </c>
      <c r="O206" s="107" t="str">
        <f t="array" ref="O206">XLOOKUP(A206,Data!F:F,Data!O:O)</f>
        <v>  0.48 </v>
      </c>
      <c r="P206" s="107" t="str">
        <f t="shared" si="8"/>
        <v>  1.20 </v>
      </c>
      <c r="Q206" s="27"/>
    </row>
    <row r="207" ht="15.75" customHeight="1">
      <c r="A207" s="105" t="s">
        <v>451</v>
      </c>
      <c r="B207" s="19" t="str">
        <f t="array" ref="B207">XLOOKUP(A207,Data!F:F,Data!G:G)</f>
        <v>A1B</v>
      </c>
      <c r="C207" s="19" t="str">
        <f t="shared" si="3"/>
        <v>A012</v>
      </c>
      <c r="D207" s="19" t="str">
        <f t="array" ref="D207">XLOOKUP(A207,Data!F:F,Data!C:C)</f>
        <v>EXT</v>
      </c>
      <c r="E207" s="19" t="str">
        <f t="array" ref="E207">XLOOKUP(A207,Data!F:F,Data!H:H)</f>
        <v>BW</v>
      </c>
      <c r="F207" s="106" t="str">
        <f>SUMIFS(Data!J:J,Data!F:F,A207)</f>
        <v>1</v>
      </c>
      <c r="G207" s="106" t="str">
        <f>SUMIFS(Cast!C:C,CastElements,A207)</f>
        <v>1</v>
      </c>
      <c r="H207" s="106" t="str">
        <f t="shared" si="4"/>
        <v>0</v>
      </c>
      <c r="I207" s="106" t="str">
        <f>SUMIFS(Del!C:C,Del!B:B,A207)</f>
        <v>0</v>
      </c>
      <c r="J207" s="106" t="str">
        <f t="shared" si="5"/>
        <v>1</v>
      </c>
      <c r="K207" s="106" t="str">
        <f t="shared" si="6"/>
        <v>1</v>
      </c>
      <c r="L207" s="106"/>
      <c r="M207" s="106" t="str">
        <f>SUMIFS(Ere!C:C,Ere!B:B,A207)</f>
        <v>0</v>
      </c>
      <c r="N207" s="106" t="str">
        <f t="shared" si="7"/>
        <v>1</v>
      </c>
      <c r="O207" s="107" t="str">
        <f t="array" ref="O207">XLOOKUP(A207,Data!F:F,Data!O:O)</f>
        <v>  0.53 </v>
      </c>
      <c r="P207" s="107" t="str">
        <f t="shared" si="8"/>
        <v>  1.32 </v>
      </c>
      <c r="Q207" s="27"/>
    </row>
    <row r="208" ht="15.75" customHeight="1">
      <c r="A208" s="105" t="s">
        <v>452</v>
      </c>
      <c r="B208" s="19" t="str">
        <f t="array" ref="B208">XLOOKUP(A208,Data!F:F,Data!G:G)</f>
        <v>A1B</v>
      </c>
      <c r="C208" s="19" t="str">
        <f t="shared" si="3"/>
        <v>A012</v>
      </c>
      <c r="D208" s="19" t="str">
        <f t="array" ref="D208">XLOOKUP(A208,Data!F:F,Data!C:C)</f>
        <v>EXT</v>
      </c>
      <c r="E208" s="19" t="str">
        <f t="array" ref="E208">XLOOKUP(A208,Data!F:F,Data!H:H)</f>
        <v>BW</v>
      </c>
      <c r="F208" s="106" t="str">
        <f>SUMIFS(Data!J:J,Data!F:F,A208)</f>
        <v>1</v>
      </c>
      <c r="G208" s="106" t="str">
        <f>SUMIFS(Cast!C:C,CastElements,A208)</f>
        <v>1</v>
      </c>
      <c r="H208" s="106" t="str">
        <f t="shared" si="4"/>
        <v>0</v>
      </c>
      <c r="I208" s="106" t="str">
        <f>SUMIFS(Del!C:C,Del!B:B,A208)</f>
        <v>0</v>
      </c>
      <c r="J208" s="106" t="str">
        <f t="shared" si="5"/>
        <v>1</v>
      </c>
      <c r="K208" s="106" t="str">
        <f t="shared" si="6"/>
        <v>1</v>
      </c>
      <c r="L208" s="106"/>
      <c r="M208" s="106" t="str">
        <f>SUMIFS(Ere!C:C,Ere!B:B,A208)</f>
        <v>0</v>
      </c>
      <c r="N208" s="106" t="str">
        <f t="shared" si="7"/>
        <v>1</v>
      </c>
      <c r="O208" s="107" t="str">
        <f t="array" ref="O208">XLOOKUP(A208,Data!F:F,Data!O:O)</f>
        <v>  0.53 </v>
      </c>
      <c r="P208" s="107" t="str">
        <f t="shared" si="8"/>
        <v>  1.32 </v>
      </c>
      <c r="Q208" s="27"/>
    </row>
    <row r="209" ht="15.75" customHeight="1">
      <c r="A209" s="105" t="s">
        <v>453</v>
      </c>
      <c r="B209" s="19" t="str">
        <f t="array" ref="B209">XLOOKUP(A209,Data!F:F,Data!G:G)</f>
        <v>A1B</v>
      </c>
      <c r="C209" s="19" t="str">
        <f t="shared" si="3"/>
        <v>A012</v>
      </c>
      <c r="D209" s="19" t="str">
        <f t="array" ref="D209">XLOOKUP(A209,Data!F:F,Data!C:C)</f>
        <v>EXT</v>
      </c>
      <c r="E209" s="19" t="str">
        <f t="array" ref="E209">XLOOKUP(A209,Data!F:F,Data!H:H)</f>
        <v>BW</v>
      </c>
      <c r="F209" s="106" t="str">
        <f>SUMIFS(Data!J:J,Data!F:F,A209)</f>
        <v>1</v>
      </c>
      <c r="G209" s="106" t="str">
        <f>SUMIFS(Cast!C:C,CastElements,A209)</f>
        <v>0</v>
      </c>
      <c r="H209" s="106" t="str">
        <f t="shared" si="4"/>
        <v>1</v>
      </c>
      <c r="I209" s="106" t="str">
        <f>SUMIFS(Del!C:C,Del!B:B,A209)</f>
        <v>0</v>
      </c>
      <c r="J209" s="106" t="str">
        <f t="shared" si="5"/>
        <v>1</v>
      </c>
      <c r="K209" s="106" t="str">
        <f t="shared" si="6"/>
        <v>0</v>
      </c>
      <c r="L209" s="106"/>
      <c r="M209" s="106" t="str">
        <f>SUMIFS(Ere!C:C,Ere!B:B,A209)</f>
        <v>0</v>
      </c>
      <c r="N209" s="106" t="str">
        <f t="shared" si="7"/>
        <v>1</v>
      </c>
      <c r="O209" s="107" t="str">
        <f t="array" ref="O209">XLOOKUP(A209,Data!F:F,Data!O:O)</f>
        <v>  0.53 </v>
      </c>
      <c r="P209" s="107" t="str">
        <f t="shared" si="8"/>
        <v>  1.32 </v>
      </c>
      <c r="Q209" s="27"/>
    </row>
    <row r="210" ht="15.75" customHeight="1">
      <c r="A210" s="105" t="s">
        <v>454</v>
      </c>
      <c r="B210" s="19" t="str">
        <f t="array" ref="B210">XLOOKUP(A210,Data!F:F,Data!G:G)</f>
        <v>A1B</v>
      </c>
      <c r="C210" s="19" t="str">
        <f t="shared" si="3"/>
        <v>A012</v>
      </c>
      <c r="D210" s="19" t="str">
        <f t="array" ref="D210">XLOOKUP(A210,Data!F:F,Data!C:C)</f>
        <v>EXT</v>
      </c>
      <c r="E210" s="19" t="str">
        <f t="array" ref="E210">XLOOKUP(A210,Data!F:F,Data!H:H)</f>
        <v>BW</v>
      </c>
      <c r="F210" s="106" t="str">
        <f>SUMIFS(Data!J:J,Data!F:F,A210)</f>
        <v>1</v>
      </c>
      <c r="G210" s="106" t="str">
        <f>SUMIFS(Cast!C:C,CastElements,A210)</f>
        <v>0</v>
      </c>
      <c r="H210" s="106" t="str">
        <f t="shared" si="4"/>
        <v>1</v>
      </c>
      <c r="I210" s="106" t="str">
        <f>SUMIFS(Del!C:C,Del!B:B,A210)</f>
        <v>0</v>
      </c>
      <c r="J210" s="106" t="str">
        <f t="shared" si="5"/>
        <v>1</v>
      </c>
      <c r="K210" s="106" t="str">
        <f t="shared" si="6"/>
        <v>0</v>
      </c>
      <c r="L210" s="106"/>
      <c r="M210" s="106" t="str">
        <f>SUMIFS(Ere!C:C,Ere!B:B,A210)</f>
        <v>0</v>
      </c>
      <c r="N210" s="106" t="str">
        <f t="shared" si="7"/>
        <v>1</v>
      </c>
      <c r="O210" s="107" t="str">
        <f t="array" ref="O210">XLOOKUP(A210,Data!F:F,Data!O:O)</f>
        <v>  0.53 </v>
      </c>
      <c r="P210" s="107" t="str">
        <f t="shared" si="8"/>
        <v>  1.32 </v>
      </c>
      <c r="Q210" s="27"/>
    </row>
    <row r="211" ht="15.75" customHeight="1">
      <c r="A211" s="105" t="s">
        <v>455</v>
      </c>
      <c r="B211" s="19" t="str">
        <f t="array" ref="B211">XLOOKUP(A211,Data!F:F,Data!G:G)</f>
        <v>A1B</v>
      </c>
      <c r="C211" s="19" t="str">
        <f t="shared" si="3"/>
        <v>A012</v>
      </c>
      <c r="D211" s="19" t="str">
        <f t="array" ref="D211">XLOOKUP(A211,Data!F:F,Data!C:C)</f>
        <v>EXT</v>
      </c>
      <c r="E211" s="19" t="str">
        <f t="array" ref="E211">XLOOKUP(A211,Data!F:F,Data!H:H)</f>
        <v>BW</v>
      </c>
      <c r="F211" s="106" t="str">
        <f>SUMIFS(Data!J:J,Data!F:F,A211)</f>
        <v>1</v>
      </c>
      <c r="G211" s="106" t="str">
        <f>SUMIFS(Cast!C:C,CastElements,A211)</f>
        <v>0</v>
      </c>
      <c r="H211" s="106" t="str">
        <f t="shared" si="4"/>
        <v>1</v>
      </c>
      <c r="I211" s="106" t="str">
        <f>SUMIFS(Del!C:C,Del!B:B,A211)</f>
        <v>0</v>
      </c>
      <c r="J211" s="106" t="str">
        <f t="shared" si="5"/>
        <v>1</v>
      </c>
      <c r="K211" s="106" t="str">
        <f t="shared" si="6"/>
        <v>0</v>
      </c>
      <c r="L211" s="106"/>
      <c r="M211" s="106" t="str">
        <f>SUMIFS(Ere!C:C,Ere!B:B,A211)</f>
        <v>0</v>
      </c>
      <c r="N211" s="106" t="str">
        <f t="shared" si="7"/>
        <v>1</v>
      </c>
      <c r="O211" s="107" t="str">
        <f t="array" ref="O211">XLOOKUP(A211,Data!F:F,Data!O:O)</f>
        <v>  0.53 </v>
      </c>
      <c r="P211" s="107" t="str">
        <f t="shared" si="8"/>
        <v>  1.32 </v>
      </c>
      <c r="Q211" s="27"/>
    </row>
    <row r="212" ht="15.75" customHeight="1">
      <c r="A212" s="105" t="s">
        <v>456</v>
      </c>
      <c r="B212" s="19" t="str">
        <f t="array" ref="B212">XLOOKUP(A212,Data!F:F,Data!G:G)</f>
        <v>A1B</v>
      </c>
      <c r="C212" s="19" t="str">
        <f t="shared" si="3"/>
        <v>A012</v>
      </c>
      <c r="D212" s="19" t="str">
        <f t="array" ref="D212">XLOOKUP(A212,Data!F:F,Data!C:C)</f>
        <v>EXT</v>
      </c>
      <c r="E212" s="19" t="str">
        <f t="array" ref="E212">XLOOKUP(A212,Data!F:F,Data!H:H)</f>
        <v>BW</v>
      </c>
      <c r="F212" s="106" t="str">
        <f>SUMIFS(Data!J:J,Data!F:F,A212)</f>
        <v>1</v>
      </c>
      <c r="G212" s="106" t="str">
        <f>SUMIFS(Cast!C:C,CastElements,A212)</f>
        <v>0</v>
      </c>
      <c r="H212" s="106" t="str">
        <f t="shared" si="4"/>
        <v>1</v>
      </c>
      <c r="I212" s="106" t="str">
        <f>SUMIFS(Del!C:C,Del!B:B,A212)</f>
        <v>0</v>
      </c>
      <c r="J212" s="106" t="str">
        <f t="shared" si="5"/>
        <v>1</v>
      </c>
      <c r="K212" s="106" t="str">
        <f t="shared" si="6"/>
        <v>0</v>
      </c>
      <c r="L212" s="106"/>
      <c r="M212" s="106" t="str">
        <f>SUMIFS(Ere!C:C,Ere!B:B,A212)</f>
        <v>0</v>
      </c>
      <c r="N212" s="106" t="str">
        <f t="shared" si="7"/>
        <v>1</v>
      </c>
      <c r="O212" s="107" t="str">
        <f t="array" ref="O212">XLOOKUP(A212,Data!F:F,Data!O:O)</f>
        <v>  0.53 </v>
      </c>
      <c r="P212" s="107" t="str">
        <f t="shared" si="8"/>
        <v>  1.32 </v>
      </c>
      <c r="Q212" s="27"/>
    </row>
    <row r="213" ht="15.75" customHeight="1">
      <c r="A213" s="105" t="s">
        <v>457</v>
      </c>
      <c r="B213" s="19" t="str">
        <f t="array" ref="B213">XLOOKUP(A213,Data!F:F,Data!G:G)</f>
        <v>A1B</v>
      </c>
      <c r="C213" s="19" t="str">
        <f t="shared" si="3"/>
        <v>A012</v>
      </c>
      <c r="D213" s="19" t="str">
        <f t="array" ref="D213">XLOOKUP(A213,Data!F:F,Data!C:C)</f>
        <v>EXT</v>
      </c>
      <c r="E213" s="19" t="str">
        <f t="array" ref="E213">XLOOKUP(A213,Data!F:F,Data!H:H)</f>
        <v>BW</v>
      </c>
      <c r="F213" s="106" t="str">
        <f>SUMIFS(Data!J:J,Data!F:F,A213)</f>
        <v>1</v>
      </c>
      <c r="G213" s="106" t="str">
        <f>SUMIFS(Cast!C:C,CastElements,A213)</f>
        <v>0</v>
      </c>
      <c r="H213" s="106" t="str">
        <f t="shared" si="4"/>
        <v>1</v>
      </c>
      <c r="I213" s="106" t="str">
        <f>SUMIFS(Del!C:C,Del!B:B,A213)</f>
        <v>0</v>
      </c>
      <c r="J213" s="106" t="str">
        <f t="shared" si="5"/>
        <v>1</v>
      </c>
      <c r="K213" s="106" t="str">
        <f t="shared" si="6"/>
        <v>0</v>
      </c>
      <c r="L213" s="106"/>
      <c r="M213" s="106" t="str">
        <f>SUMIFS(Ere!C:C,Ere!B:B,A213)</f>
        <v>0</v>
      </c>
      <c r="N213" s="106" t="str">
        <f t="shared" si="7"/>
        <v>1</v>
      </c>
      <c r="O213" s="107" t="str">
        <f t="array" ref="O213">XLOOKUP(A213,Data!F:F,Data!O:O)</f>
        <v>  0.53 </v>
      </c>
      <c r="P213" s="107" t="str">
        <f t="shared" si="8"/>
        <v>  1.32 </v>
      </c>
      <c r="Q213" s="27"/>
    </row>
    <row r="214" ht="15.75" customHeight="1">
      <c r="A214" s="105" t="s">
        <v>458</v>
      </c>
      <c r="B214" s="19" t="str">
        <f t="array" ref="B214">XLOOKUP(A214,Data!F:F,Data!G:G)</f>
        <v>A1B</v>
      </c>
      <c r="C214" s="19" t="str">
        <f t="shared" si="3"/>
        <v>A012</v>
      </c>
      <c r="D214" s="19" t="str">
        <f t="array" ref="D214">XLOOKUP(A214,Data!F:F,Data!C:C)</f>
        <v/>
      </c>
      <c r="E214" s="19" t="str">
        <f t="array" ref="E214">XLOOKUP(A214,Data!F:F,Data!H:H)</f>
        <v>BW</v>
      </c>
      <c r="F214" s="106" t="str">
        <f>SUMIFS(Data!J:J,Data!F:F,A214)</f>
        <v>1</v>
      </c>
      <c r="G214" s="106" t="str">
        <f>SUMIFS(Cast!C:C,CastElements,A214)</f>
        <v>1</v>
      </c>
      <c r="H214" s="106" t="str">
        <f t="shared" si="4"/>
        <v>0</v>
      </c>
      <c r="I214" s="106" t="str">
        <f>SUMIFS(Del!C:C,Del!B:B,A214)</f>
        <v>0</v>
      </c>
      <c r="J214" s="106" t="str">
        <f t="shared" si="5"/>
        <v>1</v>
      </c>
      <c r="K214" s="106" t="str">
        <f t="shared" si="6"/>
        <v>1</v>
      </c>
      <c r="L214" s="106"/>
      <c r="M214" s="106" t="str">
        <f>SUMIFS(Ere!C:C,Ere!B:B,A214)</f>
        <v>0</v>
      </c>
      <c r="N214" s="106" t="str">
        <f t="shared" si="7"/>
        <v>1</v>
      </c>
      <c r="O214" s="107" t="str">
        <f t="array" ref="O214">XLOOKUP(A214,Data!F:F,Data!O:O)</f>
        <v>  1.95 </v>
      </c>
      <c r="P214" s="107" t="str">
        <f t="shared" si="8"/>
        <v>  4.86 </v>
      </c>
      <c r="Q214" s="27"/>
    </row>
    <row r="215" ht="15.75" customHeight="1">
      <c r="A215" s="105" t="s">
        <v>459</v>
      </c>
      <c r="B215" s="19" t="str">
        <f t="array" ref="B215">XLOOKUP(A215,Data!F:F,Data!G:G)</f>
        <v>A1B</v>
      </c>
      <c r="C215" s="19" t="str">
        <f t="shared" si="3"/>
        <v>A012</v>
      </c>
      <c r="D215" s="19" t="str">
        <f t="array" ref="D215">XLOOKUP(A215,Data!F:F,Data!C:C)</f>
        <v/>
      </c>
      <c r="E215" s="19" t="str">
        <f t="array" ref="E215">XLOOKUP(A215,Data!F:F,Data!H:H)</f>
        <v>BW</v>
      </c>
      <c r="F215" s="106" t="str">
        <f>SUMIFS(Data!J:J,Data!F:F,A215)</f>
        <v>1</v>
      </c>
      <c r="G215" s="106" t="str">
        <f>SUMIFS(Cast!C:C,CastElements,A215)</f>
        <v>1</v>
      </c>
      <c r="H215" s="106" t="str">
        <f t="shared" si="4"/>
        <v>0</v>
      </c>
      <c r="I215" s="106" t="str">
        <f>SUMIFS(Del!C:C,Del!B:B,A215)</f>
        <v>0</v>
      </c>
      <c r="J215" s="106" t="str">
        <f t="shared" si="5"/>
        <v>1</v>
      </c>
      <c r="K215" s="106" t="str">
        <f t="shared" si="6"/>
        <v>1</v>
      </c>
      <c r="L215" s="106"/>
      <c r="M215" s="106" t="str">
        <f>SUMIFS(Ere!C:C,Ere!B:B,A215)</f>
        <v>0</v>
      </c>
      <c r="N215" s="106" t="str">
        <f t="shared" si="7"/>
        <v>1</v>
      </c>
      <c r="O215" s="107" t="str">
        <f t="array" ref="O215">XLOOKUP(A215,Data!F:F,Data!O:O)</f>
        <v>  1.95 </v>
      </c>
      <c r="P215" s="107" t="str">
        <f t="shared" si="8"/>
        <v>  4.86 </v>
      </c>
      <c r="Q215" s="27"/>
    </row>
    <row r="216" ht="15.75" customHeight="1">
      <c r="A216" s="105" t="s">
        <v>460</v>
      </c>
      <c r="B216" s="19" t="str">
        <f t="array" ref="B216">XLOOKUP(A216,Data!F:F,Data!G:G)</f>
        <v>A1B</v>
      </c>
      <c r="C216" s="19" t="str">
        <f t="shared" si="3"/>
        <v>A012</v>
      </c>
      <c r="D216" s="19" t="str">
        <f t="array" ref="D216">XLOOKUP(A216,Data!F:F,Data!C:C)</f>
        <v/>
      </c>
      <c r="E216" s="19" t="str">
        <f t="array" ref="E216">XLOOKUP(A216,Data!F:F,Data!H:H)</f>
        <v>BW</v>
      </c>
      <c r="F216" s="106" t="str">
        <f>SUMIFS(Data!J:J,Data!F:F,A216)</f>
        <v>1</v>
      </c>
      <c r="G216" s="106" t="str">
        <f>SUMIFS(Cast!C:C,CastElements,A216)</f>
        <v>1</v>
      </c>
      <c r="H216" s="106" t="str">
        <f t="shared" si="4"/>
        <v>0</v>
      </c>
      <c r="I216" s="106" t="str">
        <f>SUMIFS(Del!C:C,Del!B:B,A216)</f>
        <v>0</v>
      </c>
      <c r="J216" s="106" t="str">
        <f t="shared" si="5"/>
        <v>1</v>
      </c>
      <c r="K216" s="106" t="str">
        <f t="shared" si="6"/>
        <v>1</v>
      </c>
      <c r="L216" s="106"/>
      <c r="M216" s="106" t="str">
        <f>SUMIFS(Ere!C:C,Ere!B:B,A216)</f>
        <v>0</v>
      </c>
      <c r="N216" s="106" t="str">
        <f t="shared" si="7"/>
        <v>1</v>
      </c>
      <c r="O216" s="107" t="str">
        <f t="array" ref="O216">XLOOKUP(A216,Data!F:F,Data!O:O)</f>
        <v>  1.95 </v>
      </c>
      <c r="P216" s="107" t="str">
        <f t="shared" si="8"/>
        <v>  4.86 </v>
      </c>
      <c r="Q216" s="27"/>
    </row>
    <row r="217" ht="15.75" customHeight="1">
      <c r="A217" s="105" t="s">
        <v>461</v>
      </c>
      <c r="B217" s="19" t="str">
        <f t="array" ref="B217">XLOOKUP(A217,Data!F:F,Data!G:G)</f>
        <v>A1B</v>
      </c>
      <c r="C217" s="19" t="str">
        <f t="shared" si="3"/>
        <v>A012</v>
      </c>
      <c r="D217" s="19" t="str">
        <f t="array" ref="D217">XLOOKUP(A217,Data!F:F,Data!C:C)</f>
        <v/>
      </c>
      <c r="E217" s="19" t="str">
        <f t="array" ref="E217">XLOOKUP(A217,Data!F:F,Data!H:H)</f>
        <v>BW</v>
      </c>
      <c r="F217" s="106" t="str">
        <f>SUMIFS(Data!J:J,Data!F:F,A217)</f>
        <v>1</v>
      </c>
      <c r="G217" s="106" t="str">
        <f>SUMIFS(Cast!C:C,CastElements,A217)</f>
        <v>1</v>
      </c>
      <c r="H217" s="106" t="str">
        <f t="shared" si="4"/>
        <v>0</v>
      </c>
      <c r="I217" s="106" t="str">
        <f>SUMIFS(Del!C:C,Del!B:B,A217)</f>
        <v>0</v>
      </c>
      <c r="J217" s="106" t="str">
        <f t="shared" si="5"/>
        <v>1</v>
      </c>
      <c r="K217" s="106" t="str">
        <f t="shared" si="6"/>
        <v>1</v>
      </c>
      <c r="L217" s="106"/>
      <c r="M217" s="106" t="str">
        <f>SUMIFS(Ere!C:C,Ere!B:B,A217)</f>
        <v>0</v>
      </c>
      <c r="N217" s="106" t="str">
        <f t="shared" si="7"/>
        <v>1</v>
      </c>
      <c r="O217" s="107" t="str">
        <f t="array" ref="O217">XLOOKUP(A217,Data!F:F,Data!O:O)</f>
        <v>  1.84 </v>
      </c>
      <c r="P217" s="107" t="str">
        <f t="shared" si="8"/>
        <v>  4.61 </v>
      </c>
      <c r="Q217" s="27"/>
    </row>
    <row r="218" ht="15.75" customHeight="1">
      <c r="A218" s="105" t="s">
        <v>462</v>
      </c>
      <c r="B218" s="19" t="str">
        <f t="array" ref="B218">XLOOKUP(A218,Data!F:F,Data!G:G)</f>
        <v>A1B</v>
      </c>
      <c r="C218" s="19" t="str">
        <f t="shared" si="3"/>
        <v>A012</v>
      </c>
      <c r="D218" s="19" t="str">
        <f t="array" ref="D218">XLOOKUP(A218,Data!F:F,Data!C:C)</f>
        <v/>
      </c>
      <c r="E218" s="19" t="str">
        <f t="array" ref="E218">XLOOKUP(A218,Data!F:F,Data!H:H)</f>
        <v>BW</v>
      </c>
      <c r="F218" s="106" t="str">
        <f>SUMIFS(Data!J:J,Data!F:F,A218)</f>
        <v>1</v>
      </c>
      <c r="G218" s="106" t="str">
        <f>SUMIFS(Cast!C:C,CastElements,A218)</f>
        <v>1</v>
      </c>
      <c r="H218" s="106" t="str">
        <f t="shared" si="4"/>
        <v>0</v>
      </c>
      <c r="I218" s="106" t="str">
        <f>SUMIFS(Del!C:C,Del!B:B,A218)</f>
        <v>0</v>
      </c>
      <c r="J218" s="106" t="str">
        <f t="shared" si="5"/>
        <v>1</v>
      </c>
      <c r="K218" s="106" t="str">
        <f t="shared" si="6"/>
        <v>1</v>
      </c>
      <c r="L218" s="106"/>
      <c r="M218" s="106" t="str">
        <f>SUMIFS(Ere!C:C,Ere!B:B,A218)</f>
        <v>0</v>
      </c>
      <c r="N218" s="106" t="str">
        <f t="shared" si="7"/>
        <v>1</v>
      </c>
      <c r="O218" s="107" t="str">
        <f t="array" ref="O218">XLOOKUP(A218,Data!F:F,Data!O:O)</f>
        <v>  1.84 </v>
      </c>
      <c r="P218" s="107" t="str">
        <f t="shared" si="8"/>
        <v>  4.61 </v>
      </c>
      <c r="Q218" s="27"/>
    </row>
    <row r="219" ht="15.75" customHeight="1">
      <c r="A219" s="105" t="s">
        <v>463</v>
      </c>
      <c r="B219" s="19" t="str">
        <f t="array" ref="B219">XLOOKUP(A219,Data!F:F,Data!G:G)</f>
        <v>A1B</v>
      </c>
      <c r="C219" s="19" t="str">
        <f t="shared" si="3"/>
        <v>A012</v>
      </c>
      <c r="D219" s="19" t="str">
        <f t="array" ref="D219">XLOOKUP(A219,Data!F:F,Data!C:C)</f>
        <v/>
      </c>
      <c r="E219" s="19" t="str">
        <f t="array" ref="E219">XLOOKUP(A219,Data!F:F,Data!H:H)</f>
        <v>BW</v>
      </c>
      <c r="F219" s="106" t="str">
        <f>SUMIFS(Data!J:J,Data!F:F,A219)</f>
        <v>1</v>
      </c>
      <c r="G219" s="106" t="str">
        <f>SUMIFS(Cast!C:C,CastElements,A219)</f>
        <v>1</v>
      </c>
      <c r="H219" s="106" t="str">
        <f t="shared" si="4"/>
        <v>0</v>
      </c>
      <c r="I219" s="106" t="str">
        <f>SUMIFS(Del!C:C,Del!B:B,A219)</f>
        <v>0</v>
      </c>
      <c r="J219" s="106" t="str">
        <f t="shared" si="5"/>
        <v>1</v>
      </c>
      <c r="K219" s="106" t="str">
        <f t="shared" si="6"/>
        <v>1</v>
      </c>
      <c r="L219" s="106"/>
      <c r="M219" s="106" t="str">
        <f>SUMIFS(Ere!C:C,Ere!B:B,A219)</f>
        <v>0</v>
      </c>
      <c r="N219" s="106" t="str">
        <f t="shared" si="7"/>
        <v>1</v>
      </c>
      <c r="O219" s="107" t="str">
        <f t="array" ref="O219">XLOOKUP(A219,Data!F:F,Data!O:O)</f>
        <v>  1.84 </v>
      </c>
      <c r="P219" s="107" t="str">
        <f t="shared" si="8"/>
        <v>  4.61 </v>
      </c>
      <c r="Q219" s="27"/>
    </row>
    <row r="220" ht="15.75" customHeight="1">
      <c r="A220" s="105" t="s">
        <v>464</v>
      </c>
      <c r="B220" s="19" t="str">
        <f t="array" ref="B220">XLOOKUP(A220,Data!F:F,Data!G:G)</f>
        <v>A1B</v>
      </c>
      <c r="C220" s="19" t="str">
        <f t="shared" si="3"/>
        <v>A012</v>
      </c>
      <c r="D220" s="19" t="str">
        <f t="array" ref="D220">XLOOKUP(A220,Data!F:F,Data!C:C)</f>
        <v/>
      </c>
      <c r="E220" s="19" t="str">
        <f t="array" ref="E220">XLOOKUP(A220,Data!F:F,Data!H:H)</f>
        <v>BW</v>
      </c>
      <c r="F220" s="106" t="str">
        <f>SUMIFS(Data!J:J,Data!F:F,A220)</f>
        <v>1</v>
      </c>
      <c r="G220" s="106" t="str">
        <f>SUMIFS(Cast!C:C,CastElements,A220)</f>
        <v>1</v>
      </c>
      <c r="H220" s="106" t="str">
        <f t="shared" si="4"/>
        <v>0</v>
      </c>
      <c r="I220" s="106" t="str">
        <f>SUMIFS(Del!C:C,Del!B:B,A220)</f>
        <v>0</v>
      </c>
      <c r="J220" s="106" t="str">
        <f t="shared" si="5"/>
        <v>1</v>
      </c>
      <c r="K220" s="106" t="str">
        <f t="shared" si="6"/>
        <v>1</v>
      </c>
      <c r="L220" s="106"/>
      <c r="M220" s="106" t="str">
        <f>SUMIFS(Ere!C:C,Ere!B:B,A220)</f>
        <v>0</v>
      </c>
      <c r="N220" s="106" t="str">
        <f t="shared" si="7"/>
        <v>1</v>
      </c>
      <c r="O220" s="107" t="str">
        <f t="array" ref="O220">XLOOKUP(A220,Data!F:F,Data!O:O)</f>
        <v>  1.84 </v>
      </c>
      <c r="P220" s="107" t="str">
        <f t="shared" si="8"/>
        <v>  4.61 </v>
      </c>
      <c r="Q220" s="27"/>
    </row>
    <row r="221" ht="15.75" customHeight="1">
      <c r="A221" s="105" t="s">
        <v>465</v>
      </c>
      <c r="B221" s="19" t="str">
        <f t="array" ref="B221">XLOOKUP(A221,Data!F:F,Data!G:G)</f>
        <v>A1B</v>
      </c>
      <c r="C221" s="19" t="str">
        <f t="shared" si="3"/>
        <v>A012</v>
      </c>
      <c r="D221" s="19" t="str">
        <f t="array" ref="D221">XLOOKUP(A221,Data!F:F,Data!C:C)</f>
        <v/>
      </c>
      <c r="E221" s="19" t="str">
        <f t="array" ref="E221">XLOOKUP(A221,Data!F:F,Data!H:H)</f>
        <v>BW</v>
      </c>
      <c r="F221" s="106" t="str">
        <f>SUMIFS(Data!J:J,Data!F:F,A221)</f>
        <v>1</v>
      </c>
      <c r="G221" s="106" t="str">
        <f>SUMIFS(Cast!C:C,CastElements,A221)</f>
        <v>1</v>
      </c>
      <c r="H221" s="106" t="str">
        <f t="shared" si="4"/>
        <v>0</v>
      </c>
      <c r="I221" s="106" t="str">
        <f>SUMIFS(Del!C:C,Del!B:B,A221)</f>
        <v>0</v>
      </c>
      <c r="J221" s="106" t="str">
        <f t="shared" si="5"/>
        <v>1</v>
      </c>
      <c r="K221" s="106" t="str">
        <f t="shared" si="6"/>
        <v>1</v>
      </c>
      <c r="L221" s="106"/>
      <c r="M221" s="106" t="str">
        <f>SUMIFS(Ere!C:C,Ere!B:B,A221)</f>
        <v>0</v>
      </c>
      <c r="N221" s="106" t="str">
        <f t="shared" si="7"/>
        <v>1</v>
      </c>
      <c r="O221" s="107" t="str">
        <f t="array" ref="O221">XLOOKUP(A221,Data!F:F,Data!O:O)</f>
        <v>  1.01 </v>
      </c>
      <c r="P221" s="107" t="str">
        <f t="shared" si="8"/>
        <v>  2.53 </v>
      </c>
      <c r="Q221" s="27"/>
    </row>
    <row r="222" ht="15.75" customHeight="1">
      <c r="A222" s="105" t="s">
        <v>466</v>
      </c>
      <c r="B222" s="19" t="str">
        <f t="array" ref="B222">XLOOKUP(A222,Data!F:F,Data!G:G)</f>
        <v>A1B</v>
      </c>
      <c r="C222" s="19" t="str">
        <f t="shared" si="3"/>
        <v>A012</v>
      </c>
      <c r="D222" s="19" t="str">
        <f t="array" ref="D222">XLOOKUP(A222,Data!F:F,Data!C:C)</f>
        <v/>
      </c>
      <c r="E222" s="19" t="str">
        <f t="array" ref="E222">XLOOKUP(A222,Data!F:F,Data!H:H)</f>
        <v>BW</v>
      </c>
      <c r="F222" s="106" t="str">
        <f>SUMIFS(Data!J:J,Data!F:F,A222)</f>
        <v>1</v>
      </c>
      <c r="G222" s="106" t="str">
        <f>SUMIFS(Cast!C:C,CastElements,A222)</f>
        <v>1</v>
      </c>
      <c r="H222" s="106" t="str">
        <f t="shared" si="4"/>
        <v>0</v>
      </c>
      <c r="I222" s="106" t="str">
        <f>SUMIFS(Del!C:C,Del!B:B,A222)</f>
        <v>0</v>
      </c>
      <c r="J222" s="106" t="str">
        <f t="shared" si="5"/>
        <v>1</v>
      </c>
      <c r="K222" s="106" t="str">
        <f t="shared" si="6"/>
        <v>1</v>
      </c>
      <c r="L222" s="106"/>
      <c r="M222" s="106" t="str">
        <f>SUMIFS(Ere!C:C,Ere!B:B,A222)</f>
        <v>0</v>
      </c>
      <c r="N222" s="106" t="str">
        <f t="shared" si="7"/>
        <v>1</v>
      </c>
      <c r="O222" s="107" t="str">
        <f t="array" ref="O222">XLOOKUP(A222,Data!F:F,Data!O:O)</f>
        <v>  2.05 </v>
      </c>
      <c r="P222" s="107" t="str">
        <f t="shared" si="8"/>
        <v>  5.12 </v>
      </c>
      <c r="Q222" s="27"/>
    </row>
    <row r="223" ht="15.75" customHeight="1">
      <c r="A223" s="105" t="s">
        <v>467</v>
      </c>
      <c r="B223" s="19" t="str">
        <f t="array" ref="B223">XLOOKUP(A223,Data!F:F,Data!G:G)</f>
        <v>A1B</v>
      </c>
      <c r="C223" s="19" t="str">
        <f t="shared" si="3"/>
        <v>A012</v>
      </c>
      <c r="D223" s="19" t="str">
        <f t="array" ref="D223">XLOOKUP(A223,Data!F:F,Data!C:C)</f>
        <v/>
      </c>
      <c r="E223" s="19" t="str">
        <f t="array" ref="E223">XLOOKUP(A223,Data!F:F,Data!H:H)</f>
        <v>BW</v>
      </c>
      <c r="F223" s="106" t="str">
        <f>SUMIFS(Data!J:J,Data!F:F,A223)</f>
        <v>1</v>
      </c>
      <c r="G223" s="106" t="str">
        <f>SUMIFS(Cast!C:C,CastElements,A223)</f>
        <v>1</v>
      </c>
      <c r="H223" s="106" t="str">
        <f t="shared" si="4"/>
        <v>0</v>
      </c>
      <c r="I223" s="106" t="str">
        <f>SUMIFS(Del!C:C,Del!B:B,A223)</f>
        <v>0</v>
      </c>
      <c r="J223" s="106" t="str">
        <f t="shared" si="5"/>
        <v>1</v>
      </c>
      <c r="K223" s="106" t="str">
        <f t="shared" si="6"/>
        <v>1</v>
      </c>
      <c r="L223" s="106"/>
      <c r="M223" s="106" t="str">
        <f>SUMIFS(Ere!C:C,Ere!B:B,A223)</f>
        <v>0</v>
      </c>
      <c r="N223" s="106" t="str">
        <f t="shared" si="7"/>
        <v>1</v>
      </c>
      <c r="O223" s="107" t="str">
        <f t="array" ref="O223">XLOOKUP(A223,Data!F:F,Data!O:O)</f>
        <v>  1.92 </v>
      </c>
      <c r="P223" s="107" t="str">
        <f t="shared" si="8"/>
        <v>  4.81 </v>
      </c>
      <c r="Q223" s="27"/>
    </row>
    <row r="224" ht="15.75" customHeight="1">
      <c r="A224" s="105" t="s">
        <v>468</v>
      </c>
      <c r="B224" s="19" t="str">
        <f t="array" ref="B224">XLOOKUP(A224,Data!F:F,Data!G:G)</f>
        <v>A1B</v>
      </c>
      <c r="C224" s="19" t="str">
        <f t="shared" si="3"/>
        <v>A012</v>
      </c>
      <c r="D224" s="19" t="str">
        <f t="array" ref="D224">XLOOKUP(A224,Data!F:F,Data!C:C)</f>
        <v/>
      </c>
      <c r="E224" s="19" t="str">
        <f t="array" ref="E224">XLOOKUP(A224,Data!F:F,Data!H:H)</f>
        <v>BW</v>
      </c>
      <c r="F224" s="106" t="str">
        <f>SUMIFS(Data!J:J,Data!F:F,A224)</f>
        <v>1</v>
      </c>
      <c r="G224" s="106" t="str">
        <f>SUMIFS(Cast!C:C,CastElements,A224)</f>
        <v>1</v>
      </c>
      <c r="H224" s="106" t="str">
        <f t="shared" si="4"/>
        <v>0</v>
      </c>
      <c r="I224" s="106" t="str">
        <f>SUMIFS(Del!C:C,Del!B:B,A224)</f>
        <v>0</v>
      </c>
      <c r="J224" s="106" t="str">
        <f t="shared" si="5"/>
        <v>1</v>
      </c>
      <c r="K224" s="106" t="str">
        <f t="shared" si="6"/>
        <v>1</v>
      </c>
      <c r="L224" s="106"/>
      <c r="M224" s="106" t="str">
        <f>SUMIFS(Ere!C:C,Ere!B:B,A224)</f>
        <v>0</v>
      </c>
      <c r="N224" s="106" t="str">
        <f t="shared" si="7"/>
        <v>1</v>
      </c>
      <c r="O224" s="107" t="str">
        <f t="array" ref="O224">XLOOKUP(A224,Data!F:F,Data!O:O)</f>
        <v>  1.64 </v>
      </c>
      <c r="P224" s="107" t="str">
        <f t="shared" si="8"/>
        <v>  4.09 </v>
      </c>
      <c r="Q224" s="27"/>
    </row>
    <row r="225" ht="15.75" customHeight="1">
      <c r="A225" s="105" t="s">
        <v>469</v>
      </c>
      <c r="B225" s="19" t="str">
        <f t="array" ref="B225">XLOOKUP(A225,Data!F:F,Data!G:G)</f>
        <v>A1B</v>
      </c>
      <c r="C225" s="19" t="str">
        <f t="shared" si="3"/>
        <v>A012</v>
      </c>
      <c r="D225" s="19" t="str">
        <f t="array" ref="D225">XLOOKUP(A225,Data!F:F,Data!C:C)</f>
        <v/>
      </c>
      <c r="E225" s="19" t="str">
        <f t="array" ref="E225">XLOOKUP(A225,Data!F:F,Data!H:H)</f>
        <v>BW</v>
      </c>
      <c r="F225" s="106" t="str">
        <f>SUMIFS(Data!J:J,Data!F:F,A225)</f>
        <v>1</v>
      </c>
      <c r="G225" s="106" t="str">
        <f>SUMIFS(Cast!C:C,CastElements,A225)</f>
        <v>1</v>
      </c>
      <c r="H225" s="106" t="str">
        <f t="shared" si="4"/>
        <v>0</v>
      </c>
      <c r="I225" s="106" t="str">
        <f>SUMIFS(Del!C:C,Del!B:B,A225)</f>
        <v>0</v>
      </c>
      <c r="J225" s="106" t="str">
        <f t="shared" si="5"/>
        <v>1</v>
      </c>
      <c r="K225" s="106" t="str">
        <f t="shared" si="6"/>
        <v>1</v>
      </c>
      <c r="L225" s="106"/>
      <c r="M225" s="106" t="str">
        <f>SUMIFS(Ere!C:C,Ere!B:B,A225)</f>
        <v>0</v>
      </c>
      <c r="N225" s="106" t="str">
        <f t="shared" si="7"/>
        <v>1</v>
      </c>
      <c r="O225" s="107" t="str">
        <f t="array" ref="O225">XLOOKUP(A225,Data!F:F,Data!O:O)</f>
        <v>  1.55 </v>
      </c>
      <c r="P225" s="107" t="str">
        <f t="shared" si="8"/>
        <v>  3.87 </v>
      </c>
      <c r="Q225" s="27"/>
    </row>
    <row r="226" ht="15.75" customHeight="1">
      <c r="A226" s="105" t="s">
        <v>470</v>
      </c>
      <c r="B226" s="19" t="str">
        <f t="array" ref="B226">XLOOKUP(A226,Data!F:F,Data!G:G)</f>
        <v>A1B</v>
      </c>
      <c r="C226" s="19" t="str">
        <f t="shared" si="3"/>
        <v>A012</v>
      </c>
      <c r="D226" s="19" t="str">
        <f t="array" ref="D226">XLOOKUP(A226,Data!F:F,Data!C:C)</f>
        <v/>
      </c>
      <c r="E226" s="19" t="str">
        <f t="array" ref="E226">XLOOKUP(A226,Data!F:F,Data!H:H)</f>
        <v>CF</v>
      </c>
      <c r="F226" s="106" t="str">
        <f>SUMIFS(Data!J:J,Data!F:F,A226)</f>
        <v>1</v>
      </c>
      <c r="G226" s="106" t="str">
        <f>SUMIFS(Cast!C:C,CastElements,A226)</f>
        <v>1</v>
      </c>
      <c r="H226" s="106" t="str">
        <f t="shared" si="4"/>
        <v>0</v>
      </c>
      <c r="I226" s="106" t="str">
        <f>SUMIFS(Del!C:C,Del!B:B,A226)</f>
        <v>0</v>
      </c>
      <c r="J226" s="106" t="str">
        <f t="shared" si="5"/>
        <v>1</v>
      </c>
      <c r="K226" s="106" t="str">
        <f t="shared" si="6"/>
        <v>1</v>
      </c>
      <c r="L226" s="106"/>
      <c r="M226" s="106" t="str">
        <f>SUMIFS(Ere!C:C,Ere!B:B,A226)</f>
        <v>0</v>
      </c>
      <c r="N226" s="106" t="str">
        <f t="shared" si="7"/>
        <v>1</v>
      </c>
      <c r="O226" s="107" t="str">
        <f t="array" ref="O226">XLOOKUP(A226,Data!F:F,Data!O:O)</f>
        <v>  0.46 </v>
      </c>
      <c r="P226" s="107" t="str">
        <f t="shared" si="8"/>
        <v>  1.14 </v>
      </c>
      <c r="Q226" s="27"/>
    </row>
    <row r="227" ht="15.75" customHeight="1">
      <c r="A227" s="105" t="s">
        <v>471</v>
      </c>
      <c r="B227" s="19" t="str">
        <f t="array" ref="B227">XLOOKUP(A227,Data!F:F,Data!G:G)</f>
        <v>A1B</v>
      </c>
      <c r="C227" s="19" t="str">
        <f t="shared" si="3"/>
        <v>A012</v>
      </c>
      <c r="D227" s="19" t="str">
        <f t="array" ref="D227">XLOOKUP(A227,Data!F:F,Data!C:C)</f>
        <v/>
      </c>
      <c r="E227" s="19" t="str">
        <f t="array" ref="E227">XLOOKUP(A227,Data!F:F,Data!H:H)</f>
        <v>BW</v>
      </c>
      <c r="F227" s="106" t="str">
        <f>SUMIFS(Data!J:J,Data!F:F,A227)</f>
        <v>1</v>
      </c>
      <c r="G227" s="106" t="str">
        <f>SUMIFS(Cast!C:C,CastElements,A227)</f>
        <v>0</v>
      </c>
      <c r="H227" s="106" t="str">
        <f t="shared" si="4"/>
        <v>1</v>
      </c>
      <c r="I227" s="106" t="str">
        <f>SUMIFS(Del!C:C,Del!B:B,A227)</f>
        <v>0</v>
      </c>
      <c r="J227" s="106" t="str">
        <f t="shared" si="5"/>
        <v>1</v>
      </c>
      <c r="K227" s="106" t="str">
        <f t="shared" si="6"/>
        <v>0</v>
      </c>
      <c r="L227" s="106"/>
      <c r="M227" s="106" t="str">
        <f>SUMIFS(Ere!C:C,Ere!B:B,A227)</f>
        <v>0</v>
      </c>
      <c r="N227" s="106" t="str">
        <f t="shared" si="7"/>
        <v>1</v>
      </c>
      <c r="O227" s="107" t="str">
        <f t="array" ref="O227">XLOOKUP(A227,Data!F:F,Data!O:O)</f>
        <v>  0.34 </v>
      </c>
      <c r="P227" s="107" t="str">
        <f t="shared" si="8"/>
        <v>  0.85 </v>
      </c>
      <c r="Q227" s="27"/>
    </row>
    <row r="228" ht="15.75" customHeight="1">
      <c r="A228" s="105" t="s">
        <v>472</v>
      </c>
      <c r="B228" s="19" t="str">
        <f t="array" ref="B228">XLOOKUP(A228,Data!F:F,Data!G:G)</f>
        <v>A1B</v>
      </c>
      <c r="C228" s="19" t="str">
        <f t="shared" si="3"/>
        <v>A012</v>
      </c>
      <c r="D228" s="19" t="str">
        <f t="array" ref="D228">XLOOKUP(A228,Data!F:F,Data!C:C)</f>
        <v/>
      </c>
      <c r="E228" s="19" t="str">
        <f t="array" ref="E228">XLOOKUP(A228,Data!F:F,Data!H:H)</f>
        <v>BW</v>
      </c>
      <c r="F228" s="106" t="str">
        <f>SUMIFS(Data!J:J,Data!F:F,A228)</f>
        <v>1</v>
      </c>
      <c r="G228" s="106" t="str">
        <f>SUMIFS(Cast!C:C,CastElements,A228)</f>
        <v>0</v>
      </c>
      <c r="H228" s="106" t="str">
        <f t="shared" si="4"/>
        <v>1</v>
      </c>
      <c r="I228" s="106" t="str">
        <f>SUMIFS(Del!C:C,Del!B:B,A228)</f>
        <v>0</v>
      </c>
      <c r="J228" s="106" t="str">
        <f t="shared" si="5"/>
        <v>1</v>
      </c>
      <c r="K228" s="106" t="str">
        <f t="shared" si="6"/>
        <v>0</v>
      </c>
      <c r="L228" s="106"/>
      <c r="M228" s="106" t="str">
        <f>SUMIFS(Ere!C:C,Ere!B:B,A228)</f>
        <v>0</v>
      </c>
      <c r="N228" s="106" t="str">
        <f t="shared" si="7"/>
        <v>1</v>
      </c>
      <c r="O228" s="107" t="str">
        <f t="array" ref="O228">XLOOKUP(A228,Data!F:F,Data!O:O)</f>
        <v>  0.39 </v>
      </c>
      <c r="P228" s="107" t="str">
        <f t="shared" si="8"/>
        <v>  0.98 </v>
      </c>
      <c r="Q228" s="27"/>
    </row>
    <row r="229" ht="15.75" customHeight="1">
      <c r="A229" s="105" t="s">
        <v>473</v>
      </c>
      <c r="B229" s="19" t="str">
        <f t="array" ref="B229">XLOOKUP(A229,Data!F:F,Data!G:G)</f>
        <v>A1B</v>
      </c>
      <c r="C229" s="19" t="str">
        <f t="shared" si="3"/>
        <v>A012</v>
      </c>
      <c r="D229" s="19" t="str">
        <f t="array" ref="D229">XLOOKUP(A229,Data!F:F,Data!C:C)</f>
        <v>EXT</v>
      </c>
      <c r="E229" s="19" t="str">
        <f t="array" ref="E229">XLOOKUP(A229,Data!F:F,Data!H:H)</f>
        <v/>
      </c>
      <c r="F229" s="106" t="str">
        <f>SUMIFS(Data!J:J,Data!F:F,A229)</f>
        <v>0</v>
      </c>
      <c r="G229" s="106" t="str">
        <f>SUMIFS(Cast!C:C,CastElements,A229)</f>
        <v>0</v>
      </c>
      <c r="H229" s="106" t="str">
        <f t="shared" si="4"/>
        <v>0</v>
      </c>
      <c r="I229" s="106" t="str">
        <f>SUMIFS(Del!C:C,Del!B:B,A229)</f>
        <v>0</v>
      </c>
      <c r="J229" s="106" t="str">
        <f t="shared" si="5"/>
        <v>0</v>
      </c>
      <c r="K229" s="106" t="str">
        <f t="shared" si="6"/>
        <v>0</v>
      </c>
      <c r="L229" s="106"/>
      <c r="M229" s="106" t="str">
        <f>SUMIFS(Ere!C:C,Ere!B:B,A229)</f>
        <v>0</v>
      </c>
      <c r="N229" s="106" t="str">
        <f t="shared" si="7"/>
        <v>0</v>
      </c>
      <c r="O229" s="107" t="str">
        <f t="array" ref="O229">XLOOKUP(A229,Data!F:F,Data!O:O)</f>
        <v/>
      </c>
      <c r="P229" s="107" t="str">
        <f t="shared" si="8"/>
        <v>  -   </v>
      </c>
      <c r="Q229" s="27"/>
    </row>
    <row r="230" ht="15.75" customHeight="1">
      <c r="A230" s="105" t="s">
        <v>474</v>
      </c>
      <c r="B230" s="19" t="str">
        <f t="array" ref="B230">XLOOKUP(A230,Data!F:F,Data!G:G)</f>
        <v>A1B</v>
      </c>
      <c r="C230" s="19" t="str">
        <f t="shared" si="3"/>
        <v>A013</v>
      </c>
      <c r="D230" s="19" t="str">
        <f t="array" ref="D230">XLOOKUP(A230,Data!F:F,Data!C:C)</f>
        <v>EXT</v>
      </c>
      <c r="E230" s="19" t="str">
        <f t="array" ref="E230">XLOOKUP(A230,Data!F:F,Data!H:H)</f>
        <v>BW</v>
      </c>
      <c r="F230" s="106" t="str">
        <f>SUMIFS(Data!J:J,Data!F:F,A230)</f>
        <v>1</v>
      </c>
      <c r="G230" s="106" t="str">
        <f>SUMIFS(Cast!C:C,CastElements,A230)</f>
        <v>0</v>
      </c>
      <c r="H230" s="106" t="str">
        <f t="shared" si="4"/>
        <v>1</v>
      </c>
      <c r="I230" s="106" t="str">
        <f>SUMIFS(Del!C:C,Del!B:B,A230)</f>
        <v>0</v>
      </c>
      <c r="J230" s="106" t="str">
        <f t="shared" si="5"/>
        <v>1</v>
      </c>
      <c r="K230" s="106" t="str">
        <f t="shared" si="6"/>
        <v>0</v>
      </c>
      <c r="L230" s="106"/>
      <c r="M230" s="106" t="str">
        <f>SUMIFS(Ere!C:C,Ere!B:B,A230)</f>
        <v>0</v>
      </c>
      <c r="N230" s="106" t="str">
        <f t="shared" si="7"/>
        <v>1</v>
      </c>
      <c r="O230" s="107" t="str">
        <f t="array" ref="O230">XLOOKUP(A230,Data!F:F,Data!O:O)</f>
        <v>  1.13 </v>
      </c>
      <c r="P230" s="107" t="str">
        <f t="shared" si="8"/>
        <v>  2.84 </v>
      </c>
      <c r="Q230" s="27"/>
    </row>
    <row r="231" ht="15.75" customHeight="1">
      <c r="A231" s="105" t="s">
        <v>475</v>
      </c>
      <c r="B231" s="19" t="str">
        <f t="array" ref="B231">XLOOKUP(A231,Data!F:F,Data!G:G)</f>
        <v>A1B</v>
      </c>
      <c r="C231" s="19" t="str">
        <f t="shared" si="3"/>
        <v>A013</v>
      </c>
      <c r="D231" s="19" t="str">
        <f t="array" ref="D231">XLOOKUP(A231,Data!F:F,Data!C:C)</f>
        <v>EXT</v>
      </c>
      <c r="E231" s="19" t="str">
        <f t="array" ref="E231">XLOOKUP(A231,Data!F:F,Data!H:H)</f>
        <v>BW</v>
      </c>
      <c r="F231" s="106" t="str">
        <f>SUMIFS(Data!J:J,Data!F:F,A231)</f>
        <v>1</v>
      </c>
      <c r="G231" s="106" t="str">
        <f>SUMIFS(Cast!C:C,CastElements,A231)</f>
        <v>0</v>
      </c>
      <c r="H231" s="106" t="str">
        <f t="shared" si="4"/>
        <v>1</v>
      </c>
      <c r="I231" s="106" t="str">
        <f>SUMIFS(Del!C:C,Del!B:B,A231)</f>
        <v>0</v>
      </c>
      <c r="J231" s="106" t="str">
        <f t="shared" si="5"/>
        <v>1</v>
      </c>
      <c r="K231" s="106" t="str">
        <f t="shared" si="6"/>
        <v>0</v>
      </c>
      <c r="L231" s="106"/>
      <c r="M231" s="106" t="str">
        <f>SUMIFS(Ere!C:C,Ere!B:B,A231)</f>
        <v>0</v>
      </c>
      <c r="N231" s="106" t="str">
        <f t="shared" si="7"/>
        <v>1</v>
      </c>
      <c r="O231" s="107" t="str">
        <f t="array" ref="O231">XLOOKUP(A231,Data!F:F,Data!O:O)</f>
        <v>  0.99 </v>
      </c>
      <c r="P231" s="107" t="str">
        <f t="shared" si="8"/>
        <v>  2.48 </v>
      </c>
      <c r="Q231" s="27"/>
    </row>
    <row r="232" ht="15.75" customHeight="1">
      <c r="A232" s="105" t="s">
        <v>476</v>
      </c>
      <c r="B232" s="19" t="str">
        <f t="array" ref="B232">XLOOKUP(A232,Data!F:F,Data!G:G)</f>
        <v>A1B</v>
      </c>
      <c r="C232" s="19" t="str">
        <f t="shared" si="3"/>
        <v>A013</v>
      </c>
      <c r="D232" s="19" t="str">
        <f t="array" ref="D232">XLOOKUP(A232,Data!F:F,Data!C:C)</f>
        <v>EXT</v>
      </c>
      <c r="E232" s="19" t="str">
        <f t="array" ref="E232">XLOOKUP(A232,Data!F:F,Data!H:H)</f>
        <v>BW</v>
      </c>
      <c r="F232" s="106" t="str">
        <f>SUMIFS(Data!J:J,Data!F:F,A232)</f>
        <v>1</v>
      </c>
      <c r="G232" s="106" t="str">
        <f>SUMIFS(Cast!C:C,CastElements,A232)</f>
        <v>1</v>
      </c>
      <c r="H232" s="106" t="str">
        <f t="shared" si="4"/>
        <v>0</v>
      </c>
      <c r="I232" s="106" t="str">
        <f>SUMIFS(Del!C:C,Del!B:B,A232)</f>
        <v>0</v>
      </c>
      <c r="J232" s="106" t="str">
        <f t="shared" si="5"/>
        <v>1</v>
      </c>
      <c r="K232" s="106" t="str">
        <f t="shared" si="6"/>
        <v>1</v>
      </c>
      <c r="L232" s="106"/>
      <c r="M232" s="106" t="str">
        <f>SUMIFS(Ere!C:C,Ere!B:B,A232)</f>
        <v>0</v>
      </c>
      <c r="N232" s="106" t="str">
        <f t="shared" si="7"/>
        <v>1</v>
      </c>
      <c r="O232" s="107" t="str">
        <f t="array" ref="O232">XLOOKUP(A232,Data!F:F,Data!O:O)</f>
        <v>  0.85 </v>
      </c>
      <c r="P232" s="107" t="str">
        <f t="shared" si="8"/>
        <v>  2.12 </v>
      </c>
      <c r="Q232" s="27"/>
    </row>
    <row r="233" ht="15.75" customHeight="1">
      <c r="A233" s="105" t="s">
        <v>477</v>
      </c>
      <c r="B233" s="19" t="str">
        <f t="array" ref="B233">XLOOKUP(A233,Data!F:F,Data!G:G)</f>
        <v>A1B</v>
      </c>
      <c r="C233" s="19" t="str">
        <f t="shared" si="3"/>
        <v>A013</v>
      </c>
      <c r="D233" s="19" t="str">
        <f t="array" ref="D233">XLOOKUP(A233,Data!F:F,Data!C:C)</f>
        <v/>
      </c>
      <c r="E233" s="19" t="str">
        <f t="array" ref="E233">XLOOKUP(A233,Data!F:F,Data!H:H)</f>
        <v>BW</v>
      </c>
      <c r="F233" s="106" t="str">
        <f>SUMIFS(Data!J:J,Data!F:F,A233)</f>
        <v>1</v>
      </c>
      <c r="G233" s="106" t="str">
        <f>SUMIFS(Cast!C:C,CastElements,A233)</f>
        <v>1</v>
      </c>
      <c r="H233" s="106" t="str">
        <f t="shared" si="4"/>
        <v>0</v>
      </c>
      <c r="I233" s="106" t="str">
        <f>SUMIFS(Del!C:C,Del!B:B,A233)</f>
        <v>0</v>
      </c>
      <c r="J233" s="106" t="str">
        <f t="shared" si="5"/>
        <v>1</v>
      </c>
      <c r="K233" s="106" t="str">
        <f t="shared" si="6"/>
        <v>1</v>
      </c>
      <c r="L233" s="106"/>
      <c r="M233" s="106" t="str">
        <f>SUMIFS(Ere!C:C,Ere!B:B,A233)</f>
        <v>0</v>
      </c>
      <c r="N233" s="106" t="str">
        <f t="shared" si="7"/>
        <v>1</v>
      </c>
      <c r="O233" s="107" t="str">
        <f t="array" ref="O233">XLOOKUP(A233,Data!F:F,Data!O:O)</f>
        <v>  1.97 </v>
      </c>
      <c r="P233" s="107" t="str">
        <f t="shared" si="8"/>
        <v>  4.92 </v>
      </c>
      <c r="Q233" s="27"/>
    </row>
    <row r="234" ht="15.75" customHeight="1">
      <c r="A234" s="105" t="s">
        <v>478</v>
      </c>
      <c r="B234" s="19" t="str">
        <f t="array" ref="B234">XLOOKUP(A234,Data!F:F,Data!G:G)</f>
        <v>A1B</v>
      </c>
      <c r="C234" s="19" t="str">
        <f t="shared" si="3"/>
        <v>A013</v>
      </c>
      <c r="D234" s="19" t="str">
        <f t="array" ref="D234">XLOOKUP(A234,Data!F:F,Data!C:C)</f>
        <v/>
      </c>
      <c r="E234" s="19" t="str">
        <f t="array" ref="E234">XLOOKUP(A234,Data!F:F,Data!H:H)</f>
        <v>BW</v>
      </c>
      <c r="F234" s="106" t="str">
        <f>SUMIFS(Data!J:J,Data!F:F,A234)</f>
        <v>1</v>
      </c>
      <c r="G234" s="106" t="str">
        <f>SUMIFS(Cast!C:C,CastElements,A234)</f>
        <v>1</v>
      </c>
      <c r="H234" s="106" t="str">
        <f t="shared" si="4"/>
        <v>0</v>
      </c>
      <c r="I234" s="106" t="str">
        <f>SUMIFS(Del!C:C,Del!B:B,A234)</f>
        <v>0</v>
      </c>
      <c r="J234" s="106" t="str">
        <f t="shared" si="5"/>
        <v>1</v>
      </c>
      <c r="K234" s="106" t="str">
        <f t="shared" si="6"/>
        <v>1</v>
      </c>
      <c r="L234" s="106"/>
      <c r="M234" s="106" t="str">
        <f>SUMIFS(Ere!C:C,Ere!B:B,A234)</f>
        <v>0</v>
      </c>
      <c r="N234" s="106" t="str">
        <f t="shared" si="7"/>
        <v>1</v>
      </c>
      <c r="O234" s="107" t="str">
        <f t="array" ref="O234">XLOOKUP(A234,Data!F:F,Data!O:O)</f>
        <v>  1.92 </v>
      </c>
      <c r="P234" s="107" t="str">
        <f t="shared" si="8"/>
        <v>  4.81 </v>
      </c>
      <c r="Q234" s="27"/>
    </row>
    <row r="235" ht="15.75" customHeight="1">
      <c r="A235" s="105" t="s">
        <v>479</v>
      </c>
      <c r="B235" s="19" t="str">
        <f t="array" ref="B235">XLOOKUP(A235,Data!F:F,Data!G:G)</f>
        <v>A1B</v>
      </c>
      <c r="C235" s="19" t="str">
        <f t="shared" si="3"/>
        <v>A013</v>
      </c>
      <c r="D235" s="19" t="str">
        <f t="array" ref="D235">XLOOKUP(A235,Data!F:F,Data!C:C)</f>
        <v/>
      </c>
      <c r="E235" s="19" t="str">
        <f t="array" ref="E235">XLOOKUP(A235,Data!F:F,Data!H:H)</f>
        <v>BW</v>
      </c>
      <c r="F235" s="106" t="str">
        <f>SUMIFS(Data!J:J,Data!F:F,A235)</f>
        <v>1</v>
      </c>
      <c r="G235" s="106" t="str">
        <f>SUMIFS(Cast!C:C,CastElements,A235)</f>
        <v>1</v>
      </c>
      <c r="H235" s="106" t="str">
        <f t="shared" si="4"/>
        <v>0</v>
      </c>
      <c r="I235" s="106" t="str">
        <f>SUMIFS(Del!C:C,Del!B:B,A235)</f>
        <v>0</v>
      </c>
      <c r="J235" s="106" t="str">
        <f t="shared" si="5"/>
        <v>1</v>
      </c>
      <c r="K235" s="106" t="str">
        <f t="shared" si="6"/>
        <v>1</v>
      </c>
      <c r="L235" s="106"/>
      <c r="M235" s="106" t="str">
        <f>SUMIFS(Ere!C:C,Ere!B:B,A235)</f>
        <v>0</v>
      </c>
      <c r="N235" s="106" t="str">
        <f t="shared" si="7"/>
        <v>1</v>
      </c>
      <c r="O235" s="107" t="str">
        <f t="array" ref="O235">XLOOKUP(A235,Data!F:F,Data!O:O)</f>
        <v>  1.92 </v>
      </c>
      <c r="P235" s="107" t="str">
        <f t="shared" si="8"/>
        <v>  4.81 </v>
      </c>
      <c r="Q235" s="27"/>
    </row>
    <row r="236" ht="15.75" customHeight="1">
      <c r="A236" s="105" t="s">
        <v>480</v>
      </c>
      <c r="B236" s="19" t="str">
        <f t="array" ref="B236">XLOOKUP(A236,Data!F:F,Data!G:G)</f>
        <v>A1B</v>
      </c>
      <c r="C236" s="19" t="str">
        <f t="shared" si="3"/>
        <v>A013</v>
      </c>
      <c r="D236" s="19" t="str">
        <f t="array" ref="D236">XLOOKUP(A236,Data!F:F,Data!C:C)</f>
        <v/>
      </c>
      <c r="E236" s="19" t="str">
        <f t="array" ref="E236">XLOOKUP(A236,Data!F:F,Data!H:H)</f>
        <v>BW</v>
      </c>
      <c r="F236" s="106" t="str">
        <f>SUMIFS(Data!J:J,Data!F:F,A236)</f>
        <v>1</v>
      </c>
      <c r="G236" s="106" t="str">
        <f>SUMIFS(Cast!C:C,CastElements,A236)</f>
        <v>1</v>
      </c>
      <c r="H236" s="106" t="str">
        <f t="shared" si="4"/>
        <v>0</v>
      </c>
      <c r="I236" s="106" t="str">
        <f>SUMIFS(Del!C:C,Del!B:B,A236)</f>
        <v>0</v>
      </c>
      <c r="J236" s="106" t="str">
        <f t="shared" si="5"/>
        <v>1</v>
      </c>
      <c r="K236" s="106" t="str">
        <f t="shared" si="6"/>
        <v>1</v>
      </c>
      <c r="L236" s="106"/>
      <c r="M236" s="106" t="str">
        <f>SUMIFS(Ere!C:C,Ere!B:B,A236)</f>
        <v>0</v>
      </c>
      <c r="N236" s="106" t="str">
        <f t="shared" si="7"/>
        <v>1</v>
      </c>
      <c r="O236" s="107" t="str">
        <f t="array" ref="O236">XLOOKUP(A236,Data!F:F,Data!O:O)</f>
        <v>  1.92 </v>
      </c>
      <c r="P236" s="107" t="str">
        <f t="shared" si="8"/>
        <v>  4.81 </v>
      </c>
      <c r="Q236" s="27"/>
    </row>
    <row r="237" ht="15.75" customHeight="1">
      <c r="A237" s="105" t="s">
        <v>481</v>
      </c>
      <c r="B237" s="19" t="str">
        <f t="array" ref="B237">XLOOKUP(A237,Data!F:F,Data!G:G)</f>
        <v>A1B</v>
      </c>
      <c r="C237" s="19" t="str">
        <f t="shared" si="3"/>
        <v>A013</v>
      </c>
      <c r="D237" s="19" t="str">
        <f t="array" ref="D237">XLOOKUP(A237,Data!F:F,Data!C:C)</f>
        <v/>
      </c>
      <c r="E237" s="19" t="str">
        <f t="array" ref="E237">XLOOKUP(A237,Data!F:F,Data!H:H)</f>
        <v>BW</v>
      </c>
      <c r="F237" s="106" t="str">
        <f>SUMIFS(Data!J:J,Data!F:F,A237)</f>
        <v>1</v>
      </c>
      <c r="G237" s="106" t="str">
        <f>SUMIFS(Cast!C:C,CastElements,A237)</f>
        <v>1</v>
      </c>
      <c r="H237" s="106" t="str">
        <f t="shared" si="4"/>
        <v>0</v>
      </c>
      <c r="I237" s="106" t="str">
        <f>SUMIFS(Del!C:C,Del!B:B,A237)</f>
        <v>0</v>
      </c>
      <c r="J237" s="106" t="str">
        <f t="shared" si="5"/>
        <v>1</v>
      </c>
      <c r="K237" s="106" t="str">
        <f t="shared" si="6"/>
        <v>1</v>
      </c>
      <c r="L237" s="106"/>
      <c r="M237" s="106" t="str">
        <f>SUMIFS(Ere!C:C,Ere!B:B,A237)</f>
        <v>0</v>
      </c>
      <c r="N237" s="106" t="str">
        <f t="shared" si="7"/>
        <v>1</v>
      </c>
      <c r="O237" s="107" t="str">
        <f t="array" ref="O237">XLOOKUP(A237,Data!F:F,Data!O:O)</f>
        <v>  1.97 </v>
      </c>
      <c r="P237" s="107" t="str">
        <f t="shared" si="8"/>
        <v>  4.93 </v>
      </c>
      <c r="Q237" s="27"/>
    </row>
    <row r="238" ht="15.75" customHeight="1">
      <c r="A238" s="105" t="s">
        <v>482</v>
      </c>
      <c r="B238" s="19" t="str">
        <f t="array" ref="B238">XLOOKUP(A238,Data!F:F,Data!G:G)</f>
        <v>A1B</v>
      </c>
      <c r="C238" s="19" t="str">
        <f t="shared" si="3"/>
        <v>A013</v>
      </c>
      <c r="D238" s="19" t="str">
        <f t="array" ref="D238">XLOOKUP(A238,Data!F:F,Data!C:C)</f>
        <v/>
      </c>
      <c r="E238" s="19" t="str">
        <f t="array" ref="E238">XLOOKUP(A238,Data!F:F,Data!H:H)</f>
        <v>BW</v>
      </c>
      <c r="F238" s="106" t="str">
        <f>SUMIFS(Data!J:J,Data!F:F,A238)</f>
        <v>1</v>
      </c>
      <c r="G238" s="106" t="str">
        <f>SUMIFS(Cast!C:C,CastElements,A238)</f>
        <v>1</v>
      </c>
      <c r="H238" s="106" t="str">
        <f t="shared" si="4"/>
        <v>0</v>
      </c>
      <c r="I238" s="106" t="str">
        <f>SUMIFS(Del!C:C,Del!B:B,A238)</f>
        <v>0</v>
      </c>
      <c r="J238" s="106" t="str">
        <f t="shared" si="5"/>
        <v>1</v>
      </c>
      <c r="K238" s="106" t="str">
        <f t="shared" si="6"/>
        <v>1</v>
      </c>
      <c r="L238" s="106"/>
      <c r="M238" s="106" t="str">
        <f>SUMIFS(Ere!C:C,Ere!B:B,A238)</f>
        <v>0</v>
      </c>
      <c r="N238" s="106" t="str">
        <f t="shared" si="7"/>
        <v>1</v>
      </c>
      <c r="O238" s="107" t="str">
        <f t="array" ref="O238">XLOOKUP(A238,Data!F:F,Data!O:O)</f>
        <v>  1.97 </v>
      </c>
      <c r="P238" s="107" t="str">
        <f t="shared" si="8"/>
        <v>  4.93 </v>
      </c>
      <c r="Q238" s="27"/>
    </row>
    <row r="239" ht="15.75" customHeight="1">
      <c r="A239" s="105" t="s">
        <v>483</v>
      </c>
      <c r="B239" s="19" t="str">
        <f t="array" ref="B239">XLOOKUP(A239,Data!F:F,Data!G:G)</f>
        <v>A1B</v>
      </c>
      <c r="C239" s="19" t="str">
        <f t="shared" si="3"/>
        <v>A013</v>
      </c>
      <c r="D239" s="19" t="str">
        <f t="array" ref="D239">XLOOKUP(A239,Data!F:F,Data!C:C)</f>
        <v/>
      </c>
      <c r="E239" s="19" t="str">
        <f t="array" ref="E239">XLOOKUP(A239,Data!F:F,Data!H:H)</f>
        <v>BW</v>
      </c>
      <c r="F239" s="106" t="str">
        <f>SUMIFS(Data!J:J,Data!F:F,A239)</f>
        <v>1</v>
      </c>
      <c r="G239" s="106" t="str">
        <f>SUMIFS(Cast!C:C,CastElements,A239)</f>
        <v>1</v>
      </c>
      <c r="H239" s="106" t="str">
        <f t="shared" si="4"/>
        <v>0</v>
      </c>
      <c r="I239" s="106" t="str">
        <f>SUMIFS(Del!C:C,Del!B:B,A239)</f>
        <v>0</v>
      </c>
      <c r="J239" s="106" t="str">
        <f t="shared" si="5"/>
        <v>1</v>
      </c>
      <c r="K239" s="106" t="str">
        <f t="shared" si="6"/>
        <v>1</v>
      </c>
      <c r="L239" s="106"/>
      <c r="M239" s="106" t="str">
        <f>SUMIFS(Ere!C:C,Ere!B:B,A239)</f>
        <v>0</v>
      </c>
      <c r="N239" s="106" t="str">
        <f t="shared" si="7"/>
        <v>1</v>
      </c>
      <c r="O239" s="107" t="str">
        <f t="array" ref="O239">XLOOKUP(A239,Data!F:F,Data!O:O)</f>
        <v>  1.97 </v>
      </c>
      <c r="P239" s="107" t="str">
        <f t="shared" si="8"/>
        <v>  4.93 </v>
      </c>
      <c r="Q239" s="27"/>
    </row>
    <row r="240" ht="15.75" customHeight="1">
      <c r="A240" s="105" t="s">
        <v>484</v>
      </c>
      <c r="B240" s="19" t="str">
        <f t="array" ref="B240">XLOOKUP(A240,Data!F:F,Data!G:G)</f>
        <v>A1B</v>
      </c>
      <c r="C240" s="19" t="str">
        <f t="shared" si="3"/>
        <v>A013</v>
      </c>
      <c r="D240" s="19" t="str">
        <f t="array" ref="D240">XLOOKUP(A240,Data!F:F,Data!C:C)</f>
        <v/>
      </c>
      <c r="E240" s="19" t="str">
        <f t="array" ref="E240">XLOOKUP(A240,Data!F:F,Data!H:H)</f>
        <v>BW</v>
      </c>
      <c r="F240" s="106" t="str">
        <f>SUMIFS(Data!J:J,Data!F:F,A240)</f>
        <v>1</v>
      </c>
      <c r="G240" s="106" t="str">
        <f>SUMIFS(Cast!C:C,CastElements,A240)</f>
        <v>1</v>
      </c>
      <c r="H240" s="106" t="str">
        <f t="shared" si="4"/>
        <v>0</v>
      </c>
      <c r="I240" s="106" t="str">
        <f>SUMIFS(Del!C:C,Del!B:B,A240)</f>
        <v>0</v>
      </c>
      <c r="J240" s="106" t="str">
        <f t="shared" si="5"/>
        <v>1</v>
      </c>
      <c r="K240" s="106" t="str">
        <f t="shared" si="6"/>
        <v>1</v>
      </c>
      <c r="L240" s="106"/>
      <c r="M240" s="106" t="str">
        <f>SUMIFS(Ere!C:C,Ere!B:B,A240)</f>
        <v>0</v>
      </c>
      <c r="N240" s="106" t="str">
        <f t="shared" si="7"/>
        <v>1</v>
      </c>
      <c r="O240" s="107" t="str">
        <f t="array" ref="O240">XLOOKUP(A240,Data!F:F,Data!O:O)</f>
        <v>  1.91 </v>
      </c>
      <c r="P240" s="107" t="str">
        <f t="shared" si="8"/>
        <v>  4.78 </v>
      </c>
      <c r="Q240" s="27"/>
    </row>
    <row r="241" ht="15.75" customHeight="1">
      <c r="A241" s="105" t="s">
        <v>485</v>
      </c>
      <c r="B241" s="19" t="str">
        <f t="array" ref="B241">XLOOKUP(A241,Data!F:F,Data!G:G)</f>
        <v>A1B</v>
      </c>
      <c r="C241" s="19" t="str">
        <f t="shared" si="3"/>
        <v>A013</v>
      </c>
      <c r="D241" s="19" t="str">
        <f t="array" ref="D241">XLOOKUP(A241,Data!F:F,Data!C:C)</f>
        <v/>
      </c>
      <c r="E241" s="19" t="str">
        <f t="array" ref="E241">XLOOKUP(A241,Data!F:F,Data!H:H)</f>
        <v>BW</v>
      </c>
      <c r="F241" s="106" t="str">
        <f>SUMIFS(Data!J:J,Data!F:F,A241)</f>
        <v>1</v>
      </c>
      <c r="G241" s="106" t="str">
        <f>SUMIFS(Cast!C:C,CastElements,A241)</f>
        <v>1</v>
      </c>
      <c r="H241" s="106" t="str">
        <f t="shared" si="4"/>
        <v>0</v>
      </c>
      <c r="I241" s="106" t="str">
        <f>SUMIFS(Del!C:C,Del!B:B,A241)</f>
        <v>0</v>
      </c>
      <c r="J241" s="106" t="str">
        <f t="shared" si="5"/>
        <v>1</v>
      </c>
      <c r="K241" s="106" t="str">
        <f t="shared" si="6"/>
        <v>1</v>
      </c>
      <c r="L241" s="106"/>
      <c r="M241" s="106" t="str">
        <f>SUMIFS(Ere!C:C,Ere!B:B,A241)</f>
        <v>0</v>
      </c>
      <c r="N241" s="106" t="str">
        <f t="shared" si="7"/>
        <v>1</v>
      </c>
      <c r="O241" s="107" t="str">
        <f t="array" ref="O241">XLOOKUP(A241,Data!F:F,Data!O:O)</f>
        <v>  1.62 </v>
      </c>
      <c r="P241" s="107" t="str">
        <f t="shared" si="8"/>
        <v>  4.05 </v>
      </c>
      <c r="Q241" s="27"/>
    </row>
    <row r="242" ht="15.75" customHeight="1">
      <c r="A242" s="105" t="s">
        <v>486</v>
      </c>
      <c r="B242" s="19" t="str">
        <f t="array" ref="B242">XLOOKUP(A242,Data!F:F,Data!G:G)</f>
        <v>A1B</v>
      </c>
      <c r="C242" s="19" t="str">
        <f t="shared" si="3"/>
        <v>A013</v>
      </c>
      <c r="D242" s="19" t="str">
        <f t="array" ref="D242">XLOOKUP(A242,Data!F:F,Data!C:C)</f>
        <v/>
      </c>
      <c r="E242" s="19" t="str">
        <f t="array" ref="E242">XLOOKUP(A242,Data!F:F,Data!H:H)</f>
        <v>BW</v>
      </c>
      <c r="F242" s="106" t="str">
        <f>SUMIFS(Data!J:J,Data!F:F,A242)</f>
        <v>1</v>
      </c>
      <c r="G242" s="106" t="str">
        <f>SUMIFS(Cast!C:C,CastElements,A242)</f>
        <v>1</v>
      </c>
      <c r="H242" s="106" t="str">
        <f t="shared" si="4"/>
        <v>0</v>
      </c>
      <c r="I242" s="106" t="str">
        <f>SUMIFS(Del!C:C,Del!B:B,A242)</f>
        <v>0</v>
      </c>
      <c r="J242" s="106" t="str">
        <f t="shared" si="5"/>
        <v>1</v>
      </c>
      <c r="K242" s="106" t="str">
        <f t="shared" si="6"/>
        <v>1</v>
      </c>
      <c r="L242" s="106"/>
      <c r="M242" s="106" t="str">
        <f>SUMIFS(Ere!C:C,Ere!B:B,A242)</f>
        <v>0</v>
      </c>
      <c r="N242" s="106" t="str">
        <f t="shared" si="7"/>
        <v>1</v>
      </c>
      <c r="O242" s="107" t="str">
        <f t="array" ref="O242">XLOOKUP(A242,Data!F:F,Data!O:O)</f>
        <v>  1.66 </v>
      </c>
      <c r="P242" s="107" t="str">
        <f t="shared" si="8"/>
        <v>  4.16 </v>
      </c>
      <c r="Q242" s="27"/>
    </row>
    <row r="243" ht="15.75" customHeight="1">
      <c r="A243" s="105" t="s">
        <v>487</v>
      </c>
      <c r="B243" s="19" t="str">
        <f t="array" ref="B243">XLOOKUP(A243,Data!F:F,Data!G:G)</f>
        <v>A1B</v>
      </c>
      <c r="C243" s="19" t="str">
        <f t="shared" si="3"/>
        <v>A013</v>
      </c>
      <c r="D243" s="19" t="str">
        <f t="array" ref="D243">XLOOKUP(A243,Data!F:F,Data!C:C)</f>
        <v/>
      </c>
      <c r="E243" s="19" t="str">
        <f t="array" ref="E243">XLOOKUP(A243,Data!F:F,Data!H:H)</f>
        <v>CF</v>
      </c>
      <c r="F243" s="106" t="str">
        <f>SUMIFS(Data!J:J,Data!F:F,A243)</f>
        <v>1</v>
      </c>
      <c r="G243" s="106" t="str">
        <f>SUMIFS(Cast!C:C,CastElements,A243)</f>
        <v>1</v>
      </c>
      <c r="H243" s="106" t="str">
        <f t="shared" si="4"/>
        <v>0</v>
      </c>
      <c r="I243" s="106" t="str">
        <f>SUMIFS(Del!C:C,Del!B:B,A243)</f>
        <v>0</v>
      </c>
      <c r="J243" s="106" t="str">
        <f t="shared" si="5"/>
        <v>1</v>
      </c>
      <c r="K243" s="106" t="str">
        <f t="shared" si="6"/>
        <v>1</v>
      </c>
      <c r="L243" s="106"/>
      <c r="M243" s="106" t="str">
        <f>SUMIFS(Ere!C:C,Ere!B:B,A243)</f>
        <v>0</v>
      </c>
      <c r="N243" s="106" t="str">
        <f t="shared" si="7"/>
        <v>1</v>
      </c>
      <c r="O243" s="107" t="str">
        <f t="array" ref="O243">XLOOKUP(A243,Data!F:F,Data!O:O)</f>
        <v>  0.46 </v>
      </c>
      <c r="P243" s="107" t="str">
        <f t="shared" si="8"/>
        <v>  1.14 </v>
      </c>
      <c r="Q243" s="27"/>
    </row>
    <row r="244" ht="15.75" customHeight="1">
      <c r="A244" s="105" t="s">
        <v>488</v>
      </c>
      <c r="B244" s="19" t="str">
        <f t="array" ref="B244">XLOOKUP(A244,Data!F:F,Data!G:G)</f>
        <v>A1B</v>
      </c>
      <c r="C244" s="19" t="str">
        <f t="shared" si="3"/>
        <v>A013</v>
      </c>
      <c r="D244" s="19" t="str">
        <f t="array" ref="D244">XLOOKUP(A244,Data!F:F,Data!C:C)</f>
        <v/>
      </c>
      <c r="E244" s="19" t="str">
        <f t="array" ref="E244">XLOOKUP(A244,Data!F:F,Data!H:H)</f>
        <v>BW</v>
      </c>
      <c r="F244" s="106" t="str">
        <f>SUMIFS(Data!J:J,Data!F:F,A244)</f>
        <v>1</v>
      </c>
      <c r="G244" s="106" t="str">
        <f>SUMIFS(Cast!C:C,CastElements,A244)</f>
        <v>0</v>
      </c>
      <c r="H244" s="106" t="str">
        <f t="shared" si="4"/>
        <v>1</v>
      </c>
      <c r="I244" s="106" t="str">
        <f>SUMIFS(Del!C:C,Del!B:B,A244)</f>
        <v>0</v>
      </c>
      <c r="J244" s="106" t="str">
        <f t="shared" si="5"/>
        <v>1</v>
      </c>
      <c r="K244" s="106" t="str">
        <f t="shared" si="6"/>
        <v>0</v>
      </c>
      <c r="L244" s="106"/>
      <c r="M244" s="106" t="str">
        <f>SUMIFS(Ere!C:C,Ere!B:B,A244)</f>
        <v>0</v>
      </c>
      <c r="N244" s="106" t="str">
        <f t="shared" si="7"/>
        <v>1</v>
      </c>
      <c r="O244" s="107" t="str">
        <f t="array" ref="O244">XLOOKUP(A244,Data!F:F,Data!O:O)</f>
        <v>  0.33 </v>
      </c>
      <c r="P244" s="107" t="str">
        <f t="shared" si="8"/>
        <v>  0.83 </v>
      </c>
      <c r="Q244" s="27"/>
    </row>
    <row r="245" ht="15.75" customHeight="1">
      <c r="A245" s="105" t="s">
        <v>489</v>
      </c>
      <c r="B245" s="19" t="str">
        <f t="array" ref="B245">XLOOKUP(A245,Data!F:F,Data!G:G)</f>
        <v>A1B</v>
      </c>
      <c r="C245" s="19" t="str">
        <f t="shared" si="3"/>
        <v>A013</v>
      </c>
      <c r="D245" s="19" t="str">
        <f t="array" ref="D245">XLOOKUP(A245,Data!F:F,Data!C:C)</f>
        <v/>
      </c>
      <c r="E245" s="19" t="str">
        <f t="array" ref="E245">XLOOKUP(A245,Data!F:F,Data!H:H)</f>
        <v>BW</v>
      </c>
      <c r="F245" s="106" t="str">
        <f>SUMIFS(Data!J:J,Data!F:F,A245)</f>
        <v>1</v>
      </c>
      <c r="G245" s="106" t="str">
        <f>SUMIFS(Cast!C:C,CastElements,A245)</f>
        <v>1</v>
      </c>
      <c r="H245" s="106" t="str">
        <f t="shared" si="4"/>
        <v>0</v>
      </c>
      <c r="I245" s="106" t="str">
        <f>SUMIFS(Del!C:C,Del!B:B,A245)</f>
        <v>0</v>
      </c>
      <c r="J245" s="106" t="str">
        <f t="shared" si="5"/>
        <v>1</v>
      </c>
      <c r="K245" s="106" t="str">
        <f t="shared" si="6"/>
        <v>1</v>
      </c>
      <c r="L245" s="106"/>
      <c r="M245" s="106" t="str">
        <f>SUMIFS(Ere!C:C,Ere!B:B,A245)</f>
        <v>0</v>
      </c>
      <c r="N245" s="106" t="str">
        <f t="shared" si="7"/>
        <v>1</v>
      </c>
      <c r="O245" s="107" t="str">
        <f t="array" ref="O245">XLOOKUP(A245,Data!F:F,Data!O:O)</f>
        <v>  0.50 </v>
      </c>
      <c r="P245" s="107" t="str">
        <f t="shared" si="8"/>
        <v>  1.26 </v>
      </c>
      <c r="Q245" s="27"/>
    </row>
    <row r="246" ht="15.75" customHeight="1">
      <c r="A246" s="105" t="s">
        <v>490</v>
      </c>
      <c r="B246" s="19" t="str">
        <f t="array" ref="B246">XLOOKUP(A246,Data!F:F,Data!G:G)</f>
        <v>A1B</v>
      </c>
      <c r="C246" s="19" t="str">
        <f t="shared" si="3"/>
        <v>A014</v>
      </c>
      <c r="D246" s="19" t="str">
        <f t="array" ref="D246">XLOOKUP(A246,Data!F:F,Data!C:C)</f>
        <v>EXT</v>
      </c>
      <c r="E246" s="19" t="str">
        <f t="array" ref="E246">XLOOKUP(A246,Data!F:F,Data!H:H)</f>
        <v>BW</v>
      </c>
      <c r="F246" s="106" t="str">
        <f>SUMIFS(Data!J:J,Data!F:F,A246)</f>
        <v>1</v>
      </c>
      <c r="G246" s="106" t="str">
        <f>SUMIFS(Cast!C:C,CastElements,A246)</f>
        <v>0</v>
      </c>
      <c r="H246" s="106" t="str">
        <f t="shared" si="4"/>
        <v>1</v>
      </c>
      <c r="I246" s="106" t="str">
        <f>SUMIFS(Del!C:C,Del!B:B,A246)</f>
        <v>0</v>
      </c>
      <c r="J246" s="106" t="str">
        <f t="shared" si="5"/>
        <v>1</v>
      </c>
      <c r="K246" s="106" t="str">
        <f t="shared" si="6"/>
        <v>0</v>
      </c>
      <c r="L246" s="106"/>
      <c r="M246" s="106" t="str">
        <f>SUMIFS(Ere!C:C,Ere!B:B,A246)</f>
        <v>0</v>
      </c>
      <c r="N246" s="106" t="str">
        <f t="shared" si="7"/>
        <v>1</v>
      </c>
      <c r="O246" s="107" t="str">
        <f t="array" ref="O246">XLOOKUP(A246,Data!F:F,Data!O:O)</f>
        <v>  0.99 </v>
      </c>
      <c r="P246" s="107" t="str">
        <f t="shared" si="8"/>
        <v>  2.48 </v>
      </c>
      <c r="Q246" s="27"/>
    </row>
    <row r="247" ht="15.75" customHeight="1">
      <c r="A247" s="105" t="s">
        <v>491</v>
      </c>
      <c r="B247" s="19" t="str">
        <f t="array" ref="B247">XLOOKUP(A247,Data!F:F,Data!G:G)</f>
        <v>A1B</v>
      </c>
      <c r="C247" s="19" t="str">
        <f t="shared" si="3"/>
        <v>A014</v>
      </c>
      <c r="D247" s="19" t="str">
        <f t="array" ref="D247">XLOOKUP(A247,Data!F:F,Data!C:C)</f>
        <v>EXT</v>
      </c>
      <c r="E247" s="19" t="str">
        <f t="array" ref="E247">XLOOKUP(A247,Data!F:F,Data!H:H)</f>
        <v>BW</v>
      </c>
      <c r="F247" s="106" t="str">
        <f>SUMIFS(Data!J:J,Data!F:F,A247)</f>
        <v>1</v>
      </c>
      <c r="G247" s="106" t="str">
        <f>SUMIFS(Cast!C:C,CastElements,A247)</f>
        <v>1</v>
      </c>
      <c r="H247" s="106" t="str">
        <f t="shared" si="4"/>
        <v>0</v>
      </c>
      <c r="I247" s="106" t="str">
        <f>SUMIFS(Del!C:C,Del!B:B,A247)</f>
        <v>0</v>
      </c>
      <c r="J247" s="106" t="str">
        <f t="shared" si="5"/>
        <v>1</v>
      </c>
      <c r="K247" s="106" t="str">
        <f t="shared" si="6"/>
        <v>1</v>
      </c>
      <c r="L247" s="106"/>
      <c r="M247" s="106" t="str">
        <f>SUMIFS(Ere!C:C,Ere!B:B,A247)</f>
        <v>0</v>
      </c>
      <c r="N247" s="106" t="str">
        <f t="shared" si="7"/>
        <v>1</v>
      </c>
      <c r="O247" s="107" t="str">
        <f t="array" ref="O247">XLOOKUP(A247,Data!F:F,Data!O:O)</f>
        <v>  0.80 </v>
      </c>
      <c r="P247" s="107" t="str">
        <f t="shared" si="8"/>
        <v>  1.99 </v>
      </c>
      <c r="Q247" s="27"/>
    </row>
    <row r="248" ht="15.75" customHeight="1">
      <c r="A248" s="105" t="s">
        <v>492</v>
      </c>
      <c r="B248" s="19" t="str">
        <f t="array" ref="B248">XLOOKUP(A248,Data!F:F,Data!G:G)</f>
        <v>A1B</v>
      </c>
      <c r="C248" s="19" t="str">
        <f t="shared" si="3"/>
        <v>A014</v>
      </c>
      <c r="D248" s="19" t="str">
        <f t="array" ref="D248">XLOOKUP(A248,Data!F:F,Data!C:C)</f>
        <v/>
      </c>
      <c r="E248" s="19" t="str">
        <f t="array" ref="E248">XLOOKUP(A248,Data!F:F,Data!H:H)</f>
        <v>BW</v>
      </c>
      <c r="F248" s="106" t="str">
        <f>SUMIFS(Data!J:J,Data!F:F,A248)</f>
        <v>1</v>
      </c>
      <c r="G248" s="106" t="str">
        <f>SUMIFS(Cast!C:C,CastElements,A248)</f>
        <v>1</v>
      </c>
      <c r="H248" s="106" t="str">
        <f t="shared" si="4"/>
        <v>0</v>
      </c>
      <c r="I248" s="106" t="str">
        <f>SUMIFS(Del!C:C,Del!B:B,A248)</f>
        <v>0</v>
      </c>
      <c r="J248" s="106" t="str">
        <f t="shared" si="5"/>
        <v>1</v>
      </c>
      <c r="K248" s="106" t="str">
        <f t="shared" si="6"/>
        <v>1</v>
      </c>
      <c r="L248" s="106"/>
      <c r="M248" s="106" t="str">
        <f>SUMIFS(Ere!C:C,Ere!B:B,A248)</f>
        <v>0</v>
      </c>
      <c r="N248" s="106" t="str">
        <f t="shared" si="7"/>
        <v>1</v>
      </c>
      <c r="O248" s="107" t="str">
        <f t="array" ref="O248">XLOOKUP(A248,Data!F:F,Data!O:O)</f>
        <v>  1.91 </v>
      </c>
      <c r="P248" s="107" t="str">
        <f t="shared" si="8"/>
        <v>  4.78 </v>
      </c>
      <c r="Q248" s="27"/>
    </row>
    <row r="249" ht="15.75" customHeight="1">
      <c r="A249" s="105" t="s">
        <v>493</v>
      </c>
      <c r="B249" s="19" t="str">
        <f t="array" ref="B249">XLOOKUP(A249,Data!F:F,Data!G:G)</f>
        <v>A1B</v>
      </c>
      <c r="C249" s="19" t="str">
        <f t="shared" si="3"/>
        <v>A014</v>
      </c>
      <c r="D249" s="19" t="str">
        <f t="array" ref="D249">XLOOKUP(A249,Data!F:F,Data!C:C)</f>
        <v/>
      </c>
      <c r="E249" s="19" t="str">
        <f t="array" ref="E249">XLOOKUP(A249,Data!F:F,Data!H:H)</f>
        <v>BW</v>
      </c>
      <c r="F249" s="106" t="str">
        <f>SUMIFS(Data!J:J,Data!F:F,A249)</f>
        <v>1</v>
      </c>
      <c r="G249" s="106" t="str">
        <f>SUMIFS(Cast!C:C,CastElements,A249)</f>
        <v>1</v>
      </c>
      <c r="H249" s="106" t="str">
        <f t="shared" si="4"/>
        <v>0</v>
      </c>
      <c r="I249" s="106" t="str">
        <f>SUMIFS(Del!C:C,Del!B:B,A249)</f>
        <v>0</v>
      </c>
      <c r="J249" s="106" t="str">
        <f t="shared" si="5"/>
        <v>1</v>
      </c>
      <c r="K249" s="106" t="str">
        <f t="shared" si="6"/>
        <v>1</v>
      </c>
      <c r="L249" s="106"/>
      <c r="M249" s="106" t="str">
        <f>SUMIFS(Ere!C:C,Ere!B:B,A249)</f>
        <v>0</v>
      </c>
      <c r="N249" s="106" t="str">
        <f t="shared" si="7"/>
        <v>1</v>
      </c>
      <c r="O249" s="107" t="str">
        <f t="array" ref="O249">XLOOKUP(A249,Data!F:F,Data!O:O)</f>
        <v>  1.87 </v>
      </c>
      <c r="P249" s="107" t="str">
        <f t="shared" si="8"/>
        <v>  4.68 </v>
      </c>
      <c r="Q249" s="27"/>
    </row>
    <row r="250" ht="15.75" customHeight="1">
      <c r="A250" s="105" t="s">
        <v>494</v>
      </c>
      <c r="B250" s="19" t="str">
        <f t="array" ref="B250">XLOOKUP(A250,Data!F:F,Data!G:G)</f>
        <v>A1B</v>
      </c>
      <c r="C250" s="19" t="str">
        <f t="shared" si="3"/>
        <v>A014</v>
      </c>
      <c r="D250" s="19" t="str">
        <f t="array" ref="D250">XLOOKUP(A250,Data!F:F,Data!C:C)</f>
        <v/>
      </c>
      <c r="E250" s="19" t="str">
        <f t="array" ref="E250">XLOOKUP(A250,Data!F:F,Data!H:H)</f>
        <v>BW</v>
      </c>
      <c r="F250" s="106" t="str">
        <f>SUMIFS(Data!J:J,Data!F:F,A250)</f>
        <v>1</v>
      </c>
      <c r="G250" s="106" t="str">
        <f>SUMIFS(Cast!C:C,CastElements,A250)</f>
        <v>1</v>
      </c>
      <c r="H250" s="106" t="str">
        <f t="shared" si="4"/>
        <v>0</v>
      </c>
      <c r="I250" s="106" t="str">
        <f>SUMIFS(Del!C:C,Del!B:B,A250)</f>
        <v>0</v>
      </c>
      <c r="J250" s="106" t="str">
        <f t="shared" si="5"/>
        <v>1</v>
      </c>
      <c r="K250" s="106" t="str">
        <f t="shared" si="6"/>
        <v>1</v>
      </c>
      <c r="L250" s="106"/>
      <c r="M250" s="106" t="str">
        <f>SUMIFS(Ere!C:C,Ere!B:B,A250)</f>
        <v>0</v>
      </c>
      <c r="N250" s="106" t="str">
        <f t="shared" si="7"/>
        <v>1</v>
      </c>
      <c r="O250" s="107" t="str">
        <f t="array" ref="O250">XLOOKUP(A250,Data!F:F,Data!O:O)</f>
        <v>  1.87 </v>
      </c>
      <c r="P250" s="107" t="str">
        <f t="shared" si="8"/>
        <v>  4.68 </v>
      </c>
      <c r="Q250" s="27"/>
    </row>
    <row r="251" ht="15.75" customHeight="1">
      <c r="A251" s="105" t="s">
        <v>495</v>
      </c>
      <c r="B251" s="19" t="str">
        <f t="array" ref="B251">XLOOKUP(A251,Data!F:F,Data!G:G)</f>
        <v>A1B</v>
      </c>
      <c r="C251" s="19" t="str">
        <f t="shared" si="3"/>
        <v>A014</v>
      </c>
      <c r="D251" s="19" t="str">
        <f t="array" ref="D251">XLOOKUP(A251,Data!F:F,Data!C:C)</f>
        <v/>
      </c>
      <c r="E251" s="19" t="str">
        <f t="array" ref="E251">XLOOKUP(A251,Data!F:F,Data!H:H)</f>
        <v>BW</v>
      </c>
      <c r="F251" s="106" t="str">
        <f>SUMIFS(Data!J:J,Data!F:F,A251)</f>
        <v>1</v>
      </c>
      <c r="G251" s="106" t="str">
        <f>SUMIFS(Cast!C:C,CastElements,A251)</f>
        <v>1</v>
      </c>
      <c r="H251" s="106" t="str">
        <f t="shared" si="4"/>
        <v>0</v>
      </c>
      <c r="I251" s="106" t="str">
        <f>SUMIFS(Del!C:C,Del!B:B,A251)</f>
        <v>0</v>
      </c>
      <c r="J251" s="106" t="str">
        <f t="shared" si="5"/>
        <v>1</v>
      </c>
      <c r="K251" s="106" t="str">
        <f t="shared" si="6"/>
        <v>1</v>
      </c>
      <c r="L251" s="106"/>
      <c r="M251" s="106" t="str">
        <f>SUMIFS(Ere!C:C,Ere!B:B,A251)</f>
        <v>0</v>
      </c>
      <c r="N251" s="106" t="str">
        <f t="shared" si="7"/>
        <v>1</v>
      </c>
      <c r="O251" s="107" t="str">
        <f t="array" ref="O251">XLOOKUP(A251,Data!F:F,Data!O:O)</f>
        <v>  1.87 </v>
      </c>
      <c r="P251" s="107" t="str">
        <f t="shared" si="8"/>
        <v>  4.68 </v>
      </c>
      <c r="Q251" s="27"/>
    </row>
    <row r="252" ht="15.75" customHeight="1">
      <c r="A252" s="105" t="s">
        <v>496</v>
      </c>
      <c r="B252" s="19" t="str">
        <f t="array" ref="B252">XLOOKUP(A252,Data!F:F,Data!G:G)</f>
        <v>A1B</v>
      </c>
      <c r="C252" s="19" t="str">
        <f t="shared" si="3"/>
        <v>A014</v>
      </c>
      <c r="D252" s="19" t="str">
        <f t="array" ref="D252">XLOOKUP(A252,Data!F:F,Data!C:C)</f>
        <v/>
      </c>
      <c r="E252" s="19" t="str">
        <f t="array" ref="E252">XLOOKUP(A252,Data!F:F,Data!H:H)</f>
        <v>BW</v>
      </c>
      <c r="F252" s="106" t="str">
        <f>SUMIFS(Data!J:J,Data!F:F,A252)</f>
        <v>1</v>
      </c>
      <c r="G252" s="106" t="str">
        <f>SUMIFS(Cast!C:C,CastElements,A252)</f>
        <v>1</v>
      </c>
      <c r="H252" s="106" t="str">
        <f t="shared" si="4"/>
        <v>0</v>
      </c>
      <c r="I252" s="106" t="str">
        <f>SUMIFS(Del!C:C,Del!B:B,A252)</f>
        <v>0</v>
      </c>
      <c r="J252" s="106" t="str">
        <f t="shared" si="5"/>
        <v>1</v>
      </c>
      <c r="K252" s="106" t="str">
        <f t="shared" si="6"/>
        <v>1</v>
      </c>
      <c r="L252" s="106"/>
      <c r="M252" s="106" t="str">
        <f>SUMIFS(Ere!C:C,Ere!B:B,A252)</f>
        <v>0</v>
      </c>
      <c r="N252" s="106" t="str">
        <f t="shared" si="7"/>
        <v>1</v>
      </c>
      <c r="O252" s="107" t="str">
        <f t="array" ref="O252">XLOOKUP(A252,Data!F:F,Data!O:O)</f>
        <v>  1.95 </v>
      </c>
      <c r="P252" s="107" t="str">
        <f t="shared" si="8"/>
        <v>  4.88 </v>
      </c>
      <c r="Q252" s="27"/>
    </row>
    <row r="253" ht="15.75" customHeight="1">
      <c r="A253" s="105" t="s">
        <v>497</v>
      </c>
      <c r="B253" s="19" t="str">
        <f t="array" ref="B253">XLOOKUP(A253,Data!F:F,Data!G:G)</f>
        <v>A1B</v>
      </c>
      <c r="C253" s="19" t="str">
        <f t="shared" si="3"/>
        <v>A014</v>
      </c>
      <c r="D253" s="19" t="str">
        <f t="array" ref="D253">XLOOKUP(A253,Data!F:F,Data!C:C)</f>
        <v/>
      </c>
      <c r="E253" s="19" t="str">
        <f t="array" ref="E253">XLOOKUP(A253,Data!F:F,Data!H:H)</f>
        <v>BW</v>
      </c>
      <c r="F253" s="106" t="str">
        <f>SUMIFS(Data!J:J,Data!F:F,A253)</f>
        <v>1</v>
      </c>
      <c r="G253" s="106" t="str">
        <f>SUMIFS(Cast!C:C,CastElements,A253)</f>
        <v>1</v>
      </c>
      <c r="H253" s="106" t="str">
        <f t="shared" si="4"/>
        <v>0</v>
      </c>
      <c r="I253" s="106" t="str">
        <f>SUMIFS(Del!C:C,Del!B:B,A253)</f>
        <v>0</v>
      </c>
      <c r="J253" s="106" t="str">
        <f t="shared" si="5"/>
        <v>1</v>
      </c>
      <c r="K253" s="106" t="str">
        <f t="shared" si="6"/>
        <v>1</v>
      </c>
      <c r="L253" s="106"/>
      <c r="M253" s="106" t="str">
        <f>SUMIFS(Ere!C:C,Ere!B:B,A253)</f>
        <v>0</v>
      </c>
      <c r="N253" s="106" t="str">
        <f t="shared" si="7"/>
        <v>1</v>
      </c>
      <c r="O253" s="107" t="str">
        <f t="array" ref="O253">XLOOKUP(A253,Data!F:F,Data!O:O)</f>
        <v>  1.95 </v>
      </c>
      <c r="P253" s="107" t="str">
        <f t="shared" si="8"/>
        <v>  4.88 </v>
      </c>
      <c r="Q253" s="27"/>
    </row>
    <row r="254" ht="15.75" customHeight="1">
      <c r="A254" s="105" t="s">
        <v>498</v>
      </c>
      <c r="B254" s="19" t="str">
        <f t="array" ref="B254">XLOOKUP(A254,Data!F:F,Data!G:G)</f>
        <v>A1B</v>
      </c>
      <c r="C254" s="19" t="str">
        <f t="shared" si="3"/>
        <v>A014</v>
      </c>
      <c r="D254" s="19" t="str">
        <f t="array" ref="D254">XLOOKUP(A254,Data!F:F,Data!C:C)</f>
        <v/>
      </c>
      <c r="E254" s="19" t="str">
        <f t="array" ref="E254">XLOOKUP(A254,Data!F:F,Data!H:H)</f>
        <v>BW</v>
      </c>
      <c r="F254" s="106" t="str">
        <f>SUMIFS(Data!J:J,Data!F:F,A254)</f>
        <v>1</v>
      </c>
      <c r="G254" s="106" t="str">
        <f>SUMIFS(Cast!C:C,CastElements,A254)</f>
        <v>1</v>
      </c>
      <c r="H254" s="106" t="str">
        <f t="shared" si="4"/>
        <v>0</v>
      </c>
      <c r="I254" s="106" t="str">
        <f>SUMIFS(Del!C:C,Del!B:B,A254)</f>
        <v>0</v>
      </c>
      <c r="J254" s="106" t="str">
        <f t="shared" si="5"/>
        <v>1</v>
      </c>
      <c r="K254" s="106" t="str">
        <f t="shared" si="6"/>
        <v>1</v>
      </c>
      <c r="L254" s="106"/>
      <c r="M254" s="106" t="str">
        <f>SUMIFS(Ere!C:C,Ere!B:B,A254)</f>
        <v>0</v>
      </c>
      <c r="N254" s="106" t="str">
        <f t="shared" si="7"/>
        <v>1</v>
      </c>
      <c r="O254" s="107" t="str">
        <f t="array" ref="O254">XLOOKUP(A254,Data!F:F,Data!O:O)</f>
        <v>  1.95 </v>
      </c>
      <c r="P254" s="107" t="str">
        <f t="shared" si="8"/>
        <v>  4.88 </v>
      </c>
      <c r="Q254" s="27"/>
    </row>
    <row r="255" ht="15.75" customHeight="1">
      <c r="A255" s="105" t="s">
        <v>499</v>
      </c>
      <c r="B255" s="19" t="str">
        <f t="array" ref="B255">XLOOKUP(A255,Data!F:F,Data!G:G)</f>
        <v>A1B</v>
      </c>
      <c r="C255" s="19" t="str">
        <f t="shared" si="3"/>
        <v>A014</v>
      </c>
      <c r="D255" s="19" t="str">
        <f t="array" ref="D255">XLOOKUP(A255,Data!F:F,Data!C:C)</f>
        <v/>
      </c>
      <c r="E255" s="19" t="str">
        <f t="array" ref="E255">XLOOKUP(A255,Data!F:F,Data!H:H)</f>
        <v>BW</v>
      </c>
      <c r="F255" s="106" t="str">
        <f>SUMIFS(Data!J:J,Data!F:F,A255)</f>
        <v>1</v>
      </c>
      <c r="G255" s="106" t="str">
        <f>SUMIFS(Cast!C:C,CastElements,A255)</f>
        <v>1</v>
      </c>
      <c r="H255" s="106" t="str">
        <f t="shared" si="4"/>
        <v>0</v>
      </c>
      <c r="I255" s="106" t="str">
        <f>SUMIFS(Del!C:C,Del!B:B,A255)</f>
        <v>0</v>
      </c>
      <c r="J255" s="106" t="str">
        <f t="shared" si="5"/>
        <v>1</v>
      </c>
      <c r="K255" s="106" t="str">
        <f t="shared" si="6"/>
        <v>1</v>
      </c>
      <c r="L255" s="106"/>
      <c r="M255" s="106" t="str">
        <f>SUMIFS(Ere!C:C,Ere!B:B,A255)</f>
        <v>0</v>
      </c>
      <c r="N255" s="106" t="str">
        <f t="shared" si="7"/>
        <v>1</v>
      </c>
      <c r="O255" s="107" t="str">
        <f t="array" ref="O255">XLOOKUP(A255,Data!F:F,Data!O:O)</f>
        <v>  1.95 </v>
      </c>
      <c r="P255" s="107" t="str">
        <f t="shared" si="8"/>
        <v>  4.88 </v>
      </c>
      <c r="Q255" s="27"/>
    </row>
    <row r="256" ht="15.75" customHeight="1">
      <c r="A256" s="105" t="s">
        <v>500</v>
      </c>
      <c r="B256" s="19" t="str">
        <f t="array" ref="B256">XLOOKUP(A256,Data!F:F,Data!G:G)</f>
        <v>A1B</v>
      </c>
      <c r="C256" s="19" t="str">
        <f t="shared" si="3"/>
        <v>A014</v>
      </c>
      <c r="D256" s="19" t="str">
        <f t="array" ref="D256">XLOOKUP(A256,Data!F:F,Data!C:C)</f>
        <v/>
      </c>
      <c r="E256" s="19" t="str">
        <f t="array" ref="E256">XLOOKUP(A256,Data!F:F,Data!H:H)</f>
        <v>BW</v>
      </c>
      <c r="F256" s="106" t="str">
        <f>SUMIFS(Data!J:J,Data!F:F,A256)</f>
        <v>1</v>
      </c>
      <c r="G256" s="106" t="str">
        <f>SUMIFS(Cast!C:C,CastElements,A256)</f>
        <v>1</v>
      </c>
      <c r="H256" s="106" t="str">
        <f t="shared" si="4"/>
        <v>0</v>
      </c>
      <c r="I256" s="106" t="str">
        <f>SUMIFS(Del!C:C,Del!B:B,A256)</f>
        <v>0</v>
      </c>
      <c r="J256" s="106" t="str">
        <f t="shared" si="5"/>
        <v>1</v>
      </c>
      <c r="K256" s="106" t="str">
        <f t="shared" si="6"/>
        <v>1</v>
      </c>
      <c r="L256" s="106"/>
      <c r="M256" s="106" t="str">
        <f>SUMIFS(Ere!C:C,Ere!B:B,A256)</f>
        <v>0</v>
      </c>
      <c r="N256" s="106" t="str">
        <f t="shared" si="7"/>
        <v>1</v>
      </c>
      <c r="O256" s="107" t="str">
        <f t="array" ref="O256">XLOOKUP(A256,Data!F:F,Data!O:O)</f>
        <v>  1.59 </v>
      </c>
      <c r="P256" s="107" t="str">
        <f t="shared" si="8"/>
        <v>  3.97 </v>
      </c>
      <c r="Q256" s="27"/>
    </row>
    <row r="257" ht="15.75" customHeight="1">
      <c r="A257" s="105" t="s">
        <v>501</v>
      </c>
      <c r="B257" s="19" t="str">
        <f t="array" ref="B257">XLOOKUP(A257,Data!F:F,Data!G:G)</f>
        <v>A1B</v>
      </c>
      <c r="C257" s="19" t="str">
        <f t="shared" si="3"/>
        <v>A014</v>
      </c>
      <c r="D257" s="19" t="str">
        <f t="array" ref="D257">XLOOKUP(A257,Data!F:F,Data!C:C)</f>
        <v/>
      </c>
      <c r="E257" s="19" t="str">
        <f t="array" ref="E257">XLOOKUP(A257,Data!F:F,Data!H:H)</f>
        <v>BW</v>
      </c>
      <c r="F257" s="106" t="str">
        <f>SUMIFS(Data!J:J,Data!F:F,A257)</f>
        <v>1</v>
      </c>
      <c r="G257" s="106" t="str">
        <f>SUMIFS(Cast!C:C,CastElements,A257)</f>
        <v>1</v>
      </c>
      <c r="H257" s="106" t="str">
        <f t="shared" si="4"/>
        <v>0</v>
      </c>
      <c r="I257" s="106" t="str">
        <f>SUMIFS(Del!C:C,Del!B:B,A257)</f>
        <v>0</v>
      </c>
      <c r="J257" s="106" t="str">
        <f t="shared" si="5"/>
        <v>1</v>
      </c>
      <c r="K257" s="106" t="str">
        <f t="shared" si="6"/>
        <v>1</v>
      </c>
      <c r="L257" s="106"/>
      <c r="M257" s="106" t="str">
        <f>SUMIFS(Ere!C:C,Ere!B:B,A257)</f>
        <v>0</v>
      </c>
      <c r="N257" s="106" t="str">
        <f t="shared" si="7"/>
        <v>1</v>
      </c>
      <c r="O257" s="107" t="str">
        <f t="array" ref="O257">XLOOKUP(A257,Data!F:F,Data!O:O)</f>
        <v>  1.65 </v>
      </c>
      <c r="P257" s="107" t="str">
        <f t="shared" si="8"/>
        <v>  4.13 </v>
      </c>
      <c r="Q257" s="27"/>
    </row>
    <row r="258" ht="15.75" customHeight="1">
      <c r="A258" s="105" t="s">
        <v>502</v>
      </c>
      <c r="B258" s="19" t="str">
        <f t="array" ref="B258">XLOOKUP(A258,Data!F:F,Data!G:G)</f>
        <v>A1B</v>
      </c>
      <c r="C258" s="19" t="str">
        <f t="shared" si="3"/>
        <v>A014</v>
      </c>
      <c r="D258" s="19" t="str">
        <f t="array" ref="D258">XLOOKUP(A258,Data!F:F,Data!C:C)</f>
        <v/>
      </c>
      <c r="E258" s="19" t="str">
        <f t="array" ref="E258">XLOOKUP(A258,Data!F:F,Data!H:H)</f>
        <v>CF</v>
      </c>
      <c r="F258" s="106" t="str">
        <f>SUMIFS(Data!J:J,Data!F:F,A258)</f>
        <v>1</v>
      </c>
      <c r="G258" s="106" t="str">
        <f>SUMIFS(Cast!C:C,CastElements,A258)</f>
        <v>0</v>
      </c>
      <c r="H258" s="106" t="str">
        <f t="shared" si="4"/>
        <v>1</v>
      </c>
      <c r="I258" s="106" t="str">
        <f>SUMIFS(Del!C:C,Del!B:B,A258)</f>
        <v>0</v>
      </c>
      <c r="J258" s="106" t="str">
        <f t="shared" si="5"/>
        <v>1</v>
      </c>
      <c r="K258" s="106" t="str">
        <f t="shared" si="6"/>
        <v>0</v>
      </c>
      <c r="L258" s="106"/>
      <c r="M258" s="106" t="str">
        <f>SUMIFS(Ere!C:C,Ere!B:B,A258)</f>
        <v>0</v>
      </c>
      <c r="N258" s="106" t="str">
        <f t="shared" si="7"/>
        <v>1</v>
      </c>
      <c r="O258" s="107" t="str">
        <f t="array" ref="O258">XLOOKUP(A258,Data!F:F,Data!O:O)</f>
        <v>  0.51 </v>
      </c>
      <c r="P258" s="107" t="str">
        <f t="shared" si="8"/>
        <v>  1.27 </v>
      </c>
      <c r="Q258" s="27"/>
    </row>
    <row r="259" ht="15.75" customHeight="1">
      <c r="A259" s="105" t="s">
        <v>503</v>
      </c>
      <c r="B259" s="19" t="str">
        <f t="array" ref="B259">XLOOKUP(A259,Data!F:F,Data!G:G)</f>
        <v>A1B</v>
      </c>
      <c r="C259" s="19" t="str">
        <f t="shared" si="3"/>
        <v>A014</v>
      </c>
      <c r="D259" s="19" t="str">
        <f t="array" ref="D259">XLOOKUP(A259,Data!F:F,Data!C:C)</f>
        <v>EXT</v>
      </c>
      <c r="E259" s="19" t="str">
        <f t="array" ref="E259">XLOOKUP(A259,Data!F:F,Data!H:H)</f>
        <v>BW</v>
      </c>
      <c r="F259" s="106" t="str">
        <f>SUMIFS(Data!J:J,Data!F:F,A259)</f>
        <v>1</v>
      </c>
      <c r="G259" s="106" t="str">
        <f>SUMIFS(Cast!C:C,CastElements,A259)</f>
        <v>0</v>
      </c>
      <c r="H259" s="106" t="str">
        <f t="shared" si="4"/>
        <v>1</v>
      </c>
      <c r="I259" s="106" t="str">
        <f>SUMIFS(Del!C:C,Del!B:B,A259)</f>
        <v>0</v>
      </c>
      <c r="J259" s="106" t="str">
        <f t="shared" si="5"/>
        <v>1</v>
      </c>
      <c r="K259" s="106" t="str">
        <f t="shared" si="6"/>
        <v>0</v>
      </c>
      <c r="L259" s="106"/>
      <c r="M259" s="106" t="str">
        <f>SUMIFS(Ere!C:C,Ere!B:B,A259)</f>
        <v>0</v>
      </c>
      <c r="N259" s="106" t="str">
        <f t="shared" si="7"/>
        <v>1</v>
      </c>
      <c r="O259" s="107" t="str">
        <f t="array" ref="O259">XLOOKUP(A259,Data!F:F,Data!O:O)</f>
        <v>  1.19 </v>
      </c>
      <c r="P259" s="107" t="str">
        <f t="shared" si="8"/>
        <v>  2.98 </v>
      </c>
      <c r="Q259" s="27"/>
    </row>
    <row r="260" ht="15.75" customHeight="1">
      <c r="A260" s="105" t="s">
        <v>504</v>
      </c>
      <c r="B260" s="19" t="str">
        <f t="array" ref="B260">XLOOKUP(A260,Data!F:F,Data!G:G)</f>
        <v>A1B</v>
      </c>
      <c r="C260" s="19" t="str">
        <f t="shared" si="3"/>
        <v>A014</v>
      </c>
      <c r="D260" s="19" t="str">
        <f t="array" ref="D260">XLOOKUP(A260,Data!F:F,Data!C:C)</f>
        <v/>
      </c>
      <c r="E260" s="19" t="str">
        <f t="array" ref="E260">XLOOKUP(A260,Data!F:F,Data!H:H)</f>
        <v>BW</v>
      </c>
      <c r="F260" s="106" t="str">
        <f>SUMIFS(Data!J:J,Data!F:F,A260)</f>
        <v>1</v>
      </c>
      <c r="G260" s="106" t="str">
        <f>SUMIFS(Cast!C:C,CastElements,A260)</f>
        <v>1</v>
      </c>
      <c r="H260" s="106" t="str">
        <f t="shared" si="4"/>
        <v>0</v>
      </c>
      <c r="I260" s="106" t="str">
        <f>SUMIFS(Del!C:C,Del!B:B,A260)</f>
        <v>0</v>
      </c>
      <c r="J260" s="106" t="str">
        <f t="shared" si="5"/>
        <v>1</v>
      </c>
      <c r="K260" s="106" t="str">
        <f t="shared" si="6"/>
        <v>1</v>
      </c>
      <c r="L260" s="106"/>
      <c r="M260" s="106" t="str">
        <f>SUMIFS(Ere!C:C,Ere!B:B,A260)</f>
        <v>0</v>
      </c>
      <c r="N260" s="106" t="str">
        <f t="shared" si="7"/>
        <v>1</v>
      </c>
      <c r="O260" s="107" t="str">
        <f t="array" ref="O260">XLOOKUP(A260,Data!F:F,Data!O:O)</f>
        <v>  0.37 </v>
      </c>
      <c r="P260" s="107" t="str">
        <f t="shared" si="8"/>
        <v>  0.94 </v>
      </c>
      <c r="Q260" s="27"/>
    </row>
    <row r="261" ht="15.75" customHeight="1">
      <c r="A261" s="105" t="s">
        <v>505</v>
      </c>
      <c r="B261" s="19" t="str">
        <f t="array" ref="B261">XLOOKUP(A261,Data!F:F,Data!G:G)</f>
        <v>A1B</v>
      </c>
      <c r="C261" s="19" t="str">
        <f t="shared" si="3"/>
        <v>A014</v>
      </c>
      <c r="D261" s="19" t="str">
        <f t="array" ref="D261">XLOOKUP(A261,Data!F:F,Data!C:C)</f>
        <v/>
      </c>
      <c r="E261" s="19" t="str">
        <f t="array" ref="E261">XLOOKUP(A261,Data!F:F,Data!H:H)</f>
        <v>BW</v>
      </c>
      <c r="F261" s="106" t="str">
        <f>SUMIFS(Data!J:J,Data!F:F,A261)</f>
        <v>1</v>
      </c>
      <c r="G261" s="106" t="str">
        <f>SUMIFS(Cast!C:C,CastElements,A261)</f>
        <v>1</v>
      </c>
      <c r="H261" s="106" t="str">
        <f t="shared" si="4"/>
        <v>0</v>
      </c>
      <c r="I261" s="106" t="str">
        <f>SUMIFS(Del!C:C,Del!B:B,A261)</f>
        <v>0</v>
      </c>
      <c r="J261" s="106" t="str">
        <f t="shared" si="5"/>
        <v>1</v>
      </c>
      <c r="K261" s="106" t="str">
        <f t="shared" si="6"/>
        <v>1</v>
      </c>
      <c r="L261" s="106"/>
      <c r="M261" s="106" t="str">
        <f>SUMIFS(Ere!C:C,Ere!B:B,A261)</f>
        <v>0</v>
      </c>
      <c r="N261" s="106" t="str">
        <f t="shared" si="7"/>
        <v>1</v>
      </c>
      <c r="O261" s="107" t="str">
        <f t="array" ref="O261">XLOOKUP(A261,Data!F:F,Data!O:O)</f>
        <v>  0.50 </v>
      </c>
      <c r="P261" s="107" t="str">
        <f t="shared" si="8"/>
        <v>  1.26 </v>
      </c>
      <c r="Q261" s="27"/>
    </row>
    <row r="262" ht="15.75" customHeight="1">
      <c r="A262" s="105" t="s">
        <v>506</v>
      </c>
      <c r="B262" s="19" t="str">
        <f t="array" ref="B262">XLOOKUP(A262,Data!F:F,Data!G:G)</f>
        <v>A1B</v>
      </c>
      <c r="C262" s="19" t="str">
        <f t="shared" si="3"/>
        <v>A015</v>
      </c>
      <c r="D262" s="19" t="str">
        <f t="array" ref="D262">XLOOKUP(A262,Data!F:F,Data!C:C)</f>
        <v>EXT</v>
      </c>
      <c r="E262" s="19" t="str">
        <f t="array" ref="E262">XLOOKUP(A262,Data!F:F,Data!H:H)</f>
        <v>BW</v>
      </c>
      <c r="F262" s="106" t="str">
        <f>SUMIFS(Data!J:J,Data!F:F,A262)</f>
        <v>1</v>
      </c>
      <c r="G262" s="106" t="str">
        <f>SUMIFS(Cast!C:C,CastElements,A262)</f>
        <v>0</v>
      </c>
      <c r="H262" s="106" t="str">
        <f t="shared" si="4"/>
        <v>1</v>
      </c>
      <c r="I262" s="106" t="str">
        <f>SUMIFS(Del!C:C,Del!B:B,A262)</f>
        <v>0</v>
      </c>
      <c r="J262" s="106" t="str">
        <f t="shared" si="5"/>
        <v>1</v>
      </c>
      <c r="K262" s="106" t="str">
        <f t="shared" si="6"/>
        <v>0</v>
      </c>
      <c r="L262" s="106"/>
      <c r="M262" s="106" t="str">
        <f>SUMIFS(Ere!C:C,Ere!B:B,A262)</f>
        <v>0</v>
      </c>
      <c r="N262" s="106" t="str">
        <f t="shared" si="7"/>
        <v>1</v>
      </c>
      <c r="O262" s="107" t="str">
        <f t="array" ref="O262">XLOOKUP(A262,Data!F:F,Data!O:O)</f>
        <v>  0.97 </v>
      </c>
      <c r="P262" s="107" t="str">
        <f t="shared" si="8"/>
        <v>  2.43 </v>
      </c>
      <c r="Q262" s="27"/>
    </row>
    <row r="263" ht="15.75" customHeight="1">
      <c r="A263" s="105" t="s">
        <v>507</v>
      </c>
      <c r="B263" s="19" t="str">
        <f t="array" ref="B263">XLOOKUP(A263,Data!F:F,Data!G:G)</f>
        <v>A1B</v>
      </c>
      <c r="C263" s="19" t="str">
        <f t="shared" si="3"/>
        <v>A015</v>
      </c>
      <c r="D263" s="19" t="str">
        <f t="array" ref="D263">XLOOKUP(A263,Data!F:F,Data!C:C)</f>
        <v/>
      </c>
      <c r="E263" s="19" t="str">
        <f t="array" ref="E263">XLOOKUP(A263,Data!F:F,Data!H:H)</f>
        <v>BW</v>
      </c>
      <c r="F263" s="106" t="str">
        <f>SUMIFS(Data!J:J,Data!F:F,A263)</f>
        <v>1</v>
      </c>
      <c r="G263" s="106" t="str">
        <f>SUMIFS(Cast!C:C,CastElements,A263)</f>
        <v>1</v>
      </c>
      <c r="H263" s="106" t="str">
        <f t="shared" si="4"/>
        <v>0</v>
      </c>
      <c r="I263" s="106" t="str">
        <f>SUMIFS(Del!C:C,Del!B:B,A263)</f>
        <v>0</v>
      </c>
      <c r="J263" s="106" t="str">
        <f t="shared" si="5"/>
        <v>1</v>
      </c>
      <c r="K263" s="106" t="str">
        <f t="shared" si="6"/>
        <v>1</v>
      </c>
      <c r="L263" s="106"/>
      <c r="M263" s="106" t="str">
        <f>SUMIFS(Ere!C:C,Ere!B:B,A263)</f>
        <v>0</v>
      </c>
      <c r="N263" s="106" t="str">
        <f t="shared" si="7"/>
        <v>1</v>
      </c>
      <c r="O263" s="107" t="str">
        <f t="array" ref="O263">XLOOKUP(A263,Data!F:F,Data!O:O)</f>
        <v>  1.80 </v>
      </c>
      <c r="P263" s="107" t="str">
        <f t="shared" si="8"/>
        <v>  4.50 </v>
      </c>
      <c r="Q263" s="27"/>
    </row>
    <row r="264" ht="15.75" customHeight="1">
      <c r="A264" s="105" t="s">
        <v>508</v>
      </c>
      <c r="B264" s="19" t="str">
        <f t="array" ref="B264">XLOOKUP(A264,Data!F:F,Data!G:G)</f>
        <v>A1B</v>
      </c>
      <c r="C264" s="19" t="str">
        <f t="shared" si="3"/>
        <v>A015</v>
      </c>
      <c r="D264" s="19" t="str">
        <f t="array" ref="D264">XLOOKUP(A264,Data!F:F,Data!C:C)</f>
        <v/>
      </c>
      <c r="E264" s="19" t="str">
        <f t="array" ref="E264">XLOOKUP(A264,Data!F:F,Data!H:H)</f>
        <v>BW</v>
      </c>
      <c r="F264" s="106" t="str">
        <f>SUMIFS(Data!J:J,Data!F:F,A264)</f>
        <v>1</v>
      </c>
      <c r="G264" s="106" t="str">
        <f>SUMIFS(Cast!C:C,CastElements,A264)</f>
        <v>1</v>
      </c>
      <c r="H264" s="106" t="str">
        <f t="shared" si="4"/>
        <v>0</v>
      </c>
      <c r="I264" s="106" t="str">
        <f>SUMIFS(Del!C:C,Del!B:B,A264)</f>
        <v>0</v>
      </c>
      <c r="J264" s="106" t="str">
        <f t="shared" si="5"/>
        <v>1</v>
      </c>
      <c r="K264" s="106" t="str">
        <f t="shared" si="6"/>
        <v>1</v>
      </c>
      <c r="L264" s="106"/>
      <c r="M264" s="106" t="str">
        <f>SUMIFS(Ere!C:C,Ere!B:B,A264)</f>
        <v>0</v>
      </c>
      <c r="N264" s="106" t="str">
        <f t="shared" si="7"/>
        <v>1</v>
      </c>
      <c r="O264" s="107" t="str">
        <f t="array" ref="O264">XLOOKUP(A264,Data!F:F,Data!O:O)</f>
        <v>  1.81 </v>
      </c>
      <c r="P264" s="107" t="str">
        <f t="shared" si="8"/>
        <v>  4.53 </v>
      </c>
      <c r="Q264" s="27"/>
    </row>
    <row r="265" ht="15.75" customHeight="1">
      <c r="A265" s="105" t="s">
        <v>509</v>
      </c>
      <c r="B265" s="19" t="str">
        <f t="array" ref="B265">XLOOKUP(A265,Data!F:F,Data!G:G)</f>
        <v>A1B</v>
      </c>
      <c r="C265" s="19" t="str">
        <f t="shared" si="3"/>
        <v>A015</v>
      </c>
      <c r="D265" s="19" t="str">
        <f t="array" ref="D265">XLOOKUP(A265,Data!F:F,Data!C:C)</f>
        <v/>
      </c>
      <c r="E265" s="19" t="str">
        <f t="array" ref="E265">XLOOKUP(A265,Data!F:F,Data!H:H)</f>
        <v>BW</v>
      </c>
      <c r="F265" s="106" t="str">
        <f>SUMIFS(Data!J:J,Data!F:F,A265)</f>
        <v>1</v>
      </c>
      <c r="G265" s="106" t="str">
        <f>SUMIFS(Cast!C:C,CastElements,A265)</f>
        <v>1</v>
      </c>
      <c r="H265" s="106" t="str">
        <f t="shared" si="4"/>
        <v>0</v>
      </c>
      <c r="I265" s="106" t="str">
        <f>SUMIFS(Del!C:C,Del!B:B,A265)</f>
        <v>0</v>
      </c>
      <c r="J265" s="106" t="str">
        <f t="shared" si="5"/>
        <v>1</v>
      </c>
      <c r="K265" s="106" t="str">
        <f t="shared" si="6"/>
        <v>1</v>
      </c>
      <c r="L265" s="106"/>
      <c r="M265" s="106" t="str">
        <f>SUMIFS(Ere!C:C,Ere!B:B,A265)</f>
        <v>0</v>
      </c>
      <c r="N265" s="106" t="str">
        <f t="shared" si="7"/>
        <v>1</v>
      </c>
      <c r="O265" s="107" t="str">
        <f t="array" ref="O265">XLOOKUP(A265,Data!F:F,Data!O:O)</f>
        <v>  1.81 </v>
      </c>
      <c r="P265" s="107" t="str">
        <f t="shared" si="8"/>
        <v>  4.53 </v>
      </c>
      <c r="Q265" s="27"/>
    </row>
    <row r="266" ht="15.75" customHeight="1">
      <c r="A266" s="105" t="s">
        <v>510</v>
      </c>
      <c r="B266" s="19" t="str">
        <f t="array" ref="B266">XLOOKUP(A266,Data!F:F,Data!G:G)</f>
        <v>A1B</v>
      </c>
      <c r="C266" s="19" t="str">
        <f t="shared" si="3"/>
        <v>A015</v>
      </c>
      <c r="D266" s="19" t="str">
        <f t="array" ref="D266">XLOOKUP(A266,Data!F:F,Data!C:C)</f>
        <v/>
      </c>
      <c r="E266" s="19" t="str">
        <f t="array" ref="E266">XLOOKUP(A266,Data!F:F,Data!H:H)</f>
        <v>BW</v>
      </c>
      <c r="F266" s="106" t="str">
        <f>SUMIFS(Data!J:J,Data!F:F,A266)</f>
        <v>1</v>
      </c>
      <c r="G266" s="106" t="str">
        <f>SUMIFS(Cast!C:C,CastElements,A266)</f>
        <v>1</v>
      </c>
      <c r="H266" s="106" t="str">
        <f t="shared" si="4"/>
        <v>0</v>
      </c>
      <c r="I266" s="106" t="str">
        <f>SUMIFS(Del!C:C,Del!B:B,A266)</f>
        <v>0</v>
      </c>
      <c r="J266" s="106" t="str">
        <f t="shared" si="5"/>
        <v>1</v>
      </c>
      <c r="K266" s="106" t="str">
        <f t="shared" si="6"/>
        <v>1</v>
      </c>
      <c r="L266" s="106"/>
      <c r="M266" s="106" t="str">
        <f>SUMIFS(Ere!C:C,Ere!B:B,A266)</f>
        <v>0</v>
      </c>
      <c r="N266" s="106" t="str">
        <f t="shared" si="7"/>
        <v>1</v>
      </c>
      <c r="O266" s="107" t="str">
        <f t="array" ref="O266">XLOOKUP(A266,Data!F:F,Data!O:O)</f>
        <v>  1.81 </v>
      </c>
      <c r="P266" s="107" t="str">
        <f t="shared" si="8"/>
        <v>  4.53 </v>
      </c>
      <c r="Q266" s="27"/>
    </row>
    <row r="267" ht="15.75" customHeight="1">
      <c r="A267" s="105" t="s">
        <v>511</v>
      </c>
      <c r="B267" s="19" t="str">
        <f t="array" ref="B267">XLOOKUP(A267,Data!F:F,Data!G:G)</f>
        <v>A1B</v>
      </c>
      <c r="C267" s="19" t="str">
        <f t="shared" si="3"/>
        <v>A015</v>
      </c>
      <c r="D267" s="19" t="str">
        <f t="array" ref="D267">XLOOKUP(A267,Data!F:F,Data!C:C)</f>
        <v/>
      </c>
      <c r="E267" s="19" t="str">
        <f t="array" ref="E267">XLOOKUP(A267,Data!F:F,Data!H:H)</f>
        <v>BW</v>
      </c>
      <c r="F267" s="106" t="str">
        <f>SUMIFS(Data!J:J,Data!F:F,A267)</f>
        <v>1</v>
      </c>
      <c r="G267" s="106" t="str">
        <f>SUMIFS(Cast!C:C,CastElements,A267)</f>
        <v>1</v>
      </c>
      <c r="H267" s="106" t="str">
        <f t="shared" si="4"/>
        <v>0</v>
      </c>
      <c r="I267" s="106" t="str">
        <f>SUMIFS(Del!C:C,Del!B:B,A267)</f>
        <v>0</v>
      </c>
      <c r="J267" s="106" t="str">
        <f t="shared" si="5"/>
        <v>1</v>
      </c>
      <c r="K267" s="106" t="str">
        <f t="shared" si="6"/>
        <v>1</v>
      </c>
      <c r="L267" s="106"/>
      <c r="M267" s="106" t="str">
        <f>SUMIFS(Ere!C:C,Ere!B:B,A267)</f>
        <v>0</v>
      </c>
      <c r="N267" s="106" t="str">
        <f t="shared" si="7"/>
        <v>1</v>
      </c>
      <c r="O267" s="107" t="str">
        <f t="array" ref="O267">XLOOKUP(A267,Data!F:F,Data!O:O)</f>
        <v>  1.89 </v>
      </c>
      <c r="P267" s="107" t="str">
        <f t="shared" si="8"/>
        <v>  4.72 </v>
      </c>
      <c r="Q267" s="27"/>
    </row>
    <row r="268" ht="15.75" customHeight="1">
      <c r="A268" s="105" t="s">
        <v>512</v>
      </c>
      <c r="B268" s="19" t="str">
        <f t="array" ref="B268">XLOOKUP(A268,Data!F:F,Data!G:G)</f>
        <v>A1B</v>
      </c>
      <c r="C268" s="19" t="str">
        <f t="shared" si="3"/>
        <v>A015</v>
      </c>
      <c r="D268" s="19" t="str">
        <f t="array" ref="D268">XLOOKUP(A268,Data!F:F,Data!C:C)</f>
        <v/>
      </c>
      <c r="E268" s="19" t="str">
        <f t="array" ref="E268">XLOOKUP(A268,Data!F:F,Data!H:H)</f>
        <v>BW</v>
      </c>
      <c r="F268" s="106" t="str">
        <f>SUMIFS(Data!J:J,Data!F:F,A268)</f>
        <v>1</v>
      </c>
      <c r="G268" s="106" t="str">
        <f>SUMIFS(Cast!C:C,CastElements,A268)</f>
        <v>1</v>
      </c>
      <c r="H268" s="106" t="str">
        <f t="shared" si="4"/>
        <v>0</v>
      </c>
      <c r="I268" s="106" t="str">
        <f>SUMIFS(Del!C:C,Del!B:B,A268)</f>
        <v>0</v>
      </c>
      <c r="J268" s="106" t="str">
        <f t="shared" si="5"/>
        <v>1</v>
      </c>
      <c r="K268" s="106" t="str">
        <f t="shared" si="6"/>
        <v>1</v>
      </c>
      <c r="L268" s="106"/>
      <c r="M268" s="106" t="str">
        <f>SUMIFS(Ere!C:C,Ere!B:B,A268)</f>
        <v>0</v>
      </c>
      <c r="N268" s="106" t="str">
        <f t="shared" si="7"/>
        <v>1</v>
      </c>
      <c r="O268" s="107" t="str">
        <f t="array" ref="O268">XLOOKUP(A268,Data!F:F,Data!O:O)</f>
        <v>  1.89 </v>
      </c>
      <c r="P268" s="107" t="str">
        <f t="shared" si="8"/>
        <v>  4.72 </v>
      </c>
      <c r="Q268" s="27"/>
    </row>
    <row r="269" ht="15.75" customHeight="1">
      <c r="A269" s="105" t="s">
        <v>513</v>
      </c>
      <c r="B269" s="19" t="str">
        <f t="array" ref="B269">XLOOKUP(A269,Data!F:F,Data!G:G)</f>
        <v>A1B</v>
      </c>
      <c r="C269" s="19" t="str">
        <f t="shared" si="3"/>
        <v>A015</v>
      </c>
      <c r="D269" s="19" t="str">
        <f t="array" ref="D269">XLOOKUP(A269,Data!F:F,Data!C:C)</f>
        <v/>
      </c>
      <c r="E269" s="19" t="str">
        <f t="array" ref="E269">XLOOKUP(A269,Data!F:F,Data!H:H)</f>
        <v>BW</v>
      </c>
      <c r="F269" s="106" t="str">
        <f>SUMIFS(Data!J:J,Data!F:F,A269)</f>
        <v>1</v>
      </c>
      <c r="G269" s="106" t="str">
        <f>SUMIFS(Cast!C:C,CastElements,A269)</f>
        <v>1</v>
      </c>
      <c r="H269" s="106" t="str">
        <f t="shared" si="4"/>
        <v>0</v>
      </c>
      <c r="I269" s="106" t="str">
        <f>SUMIFS(Del!C:C,Del!B:B,A269)</f>
        <v>0</v>
      </c>
      <c r="J269" s="106" t="str">
        <f t="shared" si="5"/>
        <v>1</v>
      </c>
      <c r="K269" s="106" t="str">
        <f t="shared" si="6"/>
        <v>1</v>
      </c>
      <c r="L269" s="106"/>
      <c r="M269" s="106" t="str">
        <f>SUMIFS(Ere!C:C,Ere!B:B,A269)</f>
        <v>0</v>
      </c>
      <c r="N269" s="106" t="str">
        <f t="shared" si="7"/>
        <v>1</v>
      </c>
      <c r="O269" s="107" t="str">
        <f t="array" ref="O269">XLOOKUP(A269,Data!F:F,Data!O:O)</f>
        <v>  1.89 </v>
      </c>
      <c r="P269" s="107" t="str">
        <f t="shared" si="8"/>
        <v>  4.72 </v>
      </c>
      <c r="Q269" s="27"/>
    </row>
    <row r="270" ht="15.75" customHeight="1">
      <c r="A270" s="105" t="s">
        <v>514</v>
      </c>
      <c r="B270" s="19" t="str">
        <f t="array" ref="B270">XLOOKUP(A270,Data!F:F,Data!G:G)</f>
        <v>A1B</v>
      </c>
      <c r="C270" s="19" t="str">
        <f t="shared" si="3"/>
        <v>A015</v>
      </c>
      <c r="D270" s="19" t="str">
        <f t="array" ref="D270">XLOOKUP(A270,Data!F:F,Data!C:C)</f>
        <v/>
      </c>
      <c r="E270" s="19" t="str">
        <f t="array" ref="E270">XLOOKUP(A270,Data!F:F,Data!H:H)</f>
        <v>BW</v>
      </c>
      <c r="F270" s="106" t="str">
        <f>SUMIFS(Data!J:J,Data!F:F,A270)</f>
        <v>1</v>
      </c>
      <c r="G270" s="106" t="str">
        <f>SUMIFS(Cast!C:C,CastElements,A270)</f>
        <v>1</v>
      </c>
      <c r="H270" s="106" t="str">
        <f t="shared" si="4"/>
        <v>0</v>
      </c>
      <c r="I270" s="106" t="str">
        <f>SUMIFS(Del!C:C,Del!B:B,A270)</f>
        <v>0</v>
      </c>
      <c r="J270" s="106" t="str">
        <f t="shared" si="5"/>
        <v>1</v>
      </c>
      <c r="K270" s="106" t="str">
        <f t="shared" si="6"/>
        <v>1</v>
      </c>
      <c r="L270" s="106"/>
      <c r="M270" s="106" t="str">
        <f>SUMIFS(Ere!C:C,Ere!B:B,A270)</f>
        <v>0</v>
      </c>
      <c r="N270" s="106" t="str">
        <f t="shared" si="7"/>
        <v>1</v>
      </c>
      <c r="O270" s="107" t="str">
        <f t="array" ref="O270">XLOOKUP(A270,Data!F:F,Data!O:O)</f>
        <v>  0.35 </v>
      </c>
      <c r="P270" s="107" t="str">
        <f t="shared" si="8"/>
        <v>  0.88 </v>
      </c>
      <c r="Q270" s="27"/>
    </row>
    <row r="271" ht="15.75" customHeight="1">
      <c r="A271" s="105" t="s">
        <v>515</v>
      </c>
      <c r="B271" s="19" t="str">
        <f t="array" ref="B271">XLOOKUP(A271,Data!F:F,Data!G:G)</f>
        <v>A1B</v>
      </c>
      <c r="C271" s="19" t="str">
        <f t="shared" si="3"/>
        <v>A015</v>
      </c>
      <c r="D271" s="19" t="str">
        <f t="array" ref="D271">XLOOKUP(A271,Data!F:F,Data!C:C)</f>
        <v/>
      </c>
      <c r="E271" s="19" t="str">
        <f t="array" ref="E271">XLOOKUP(A271,Data!F:F,Data!H:H)</f>
        <v>BW</v>
      </c>
      <c r="F271" s="106" t="str">
        <f>SUMIFS(Data!J:J,Data!F:F,A271)</f>
        <v>1</v>
      </c>
      <c r="G271" s="106" t="str">
        <f>SUMIFS(Cast!C:C,CastElements,A271)</f>
        <v>0</v>
      </c>
      <c r="H271" s="106" t="str">
        <f t="shared" si="4"/>
        <v>1</v>
      </c>
      <c r="I271" s="106" t="str">
        <f>SUMIFS(Del!C:C,Del!B:B,A271)</f>
        <v>0</v>
      </c>
      <c r="J271" s="106" t="str">
        <f t="shared" si="5"/>
        <v>1</v>
      </c>
      <c r="K271" s="106" t="str">
        <f t="shared" si="6"/>
        <v>0</v>
      </c>
      <c r="L271" s="106"/>
      <c r="M271" s="106" t="str">
        <f>SUMIFS(Ere!C:C,Ere!B:B,A271)</f>
        <v>0</v>
      </c>
      <c r="N271" s="106" t="str">
        <f t="shared" si="7"/>
        <v>1</v>
      </c>
      <c r="O271" s="107" t="str">
        <f t="array" ref="O271">XLOOKUP(A271,Data!F:F,Data!O:O)</f>
        <v>  0.44 </v>
      </c>
      <c r="P271" s="107" t="str">
        <f t="shared" si="8"/>
        <v>  1.09 </v>
      </c>
      <c r="Q271" s="27"/>
    </row>
    <row r="272" ht="15.75" customHeight="1">
      <c r="A272" s="105" t="s">
        <v>516</v>
      </c>
      <c r="B272" s="19" t="str">
        <f t="array" ref="B272">XLOOKUP(A272,Data!F:F,Data!G:G)</f>
        <v>A1B</v>
      </c>
      <c r="C272" s="19" t="str">
        <f t="shared" si="3"/>
        <v>A015</v>
      </c>
      <c r="D272" s="19" t="str">
        <f t="array" ref="D272">XLOOKUP(A272,Data!F:F,Data!C:C)</f>
        <v/>
      </c>
      <c r="E272" s="19" t="str">
        <f t="array" ref="E272">XLOOKUP(A272,Data!F:F,Data!H:H)</f>
        <v>BW</v>
      </c>
      <c r="F272" s="106" t="str">
        <f>SUMIFS(Data!J:J,Data!F:F,A272)</f>
        <v>1</v>
      </c>
      <c r="G272" s="106" t="str">
        <f>SUMIFS(Cast!C:C,CastElements,A272)</f>
        <v>1</v>
      </c>
      <c r="H272" s="106" t="str">
        <f t="shared" si="4"/>
        <v>0</v>
      </c>
      <c r="I272" s="106" t="str">
        <f>SUMIFS(Del!C:C,Del!B:B,A272)</f>
        <v>0</v>
      </c>
      <c r="J272" s="106" t="str">
        <f t="shared" si="5"/>
        <v>1</v>
      </c>
      <c r="K272" s="106" t="str">
        <f t="shared" si="6"/>
        <v>1</v>
      </c>
      <c r="L272" s="106"/>
      <c r="M272" s="106" t="str">
        <f>SUMIFS(Ere!C:C,Ere!B:B,A272)</f>
        <v>0</v>
      </c>
      <c r="N272" s="106" t="str">
        <f t="shared" si="7"/>
        <v>1</v>
      </c>
      <c r="O272" s="107" t="str">
        <f t="array" ref="O272">XLOOKUP(A272,Data!F:F,Data!O:O)</f>
        <v>  1.92 </v>
      </c>
      <c r="P272" s="107" t="str">
        <f t="shared" si="8"/>
        <v>  4.79 </v>
      </c>
      <c r="Q272" s="27"/>
    </row>
    <row r="273" ht="15.75" customHeight="1">
      <c r="A273" s="105" t="s">
        <v>517</v>
      </c>
      <c r="B273" s="19" t="str">
        <f t="array" ref="B273">XLOOKUP(A273,Data!F:F,Data!G:G)</f>
        <v>A1B</v>
      </c>
      <c r="C273" s="19" t="str">
        <f t="shared" si="3"/>
        <v>A015</v>
      </c>
      <c r="D273" s="19" t="str">
        <f t="array" ref="D273">XLOOKUP(A273,Data!F:F,Data!C:C)</f>
        <v/>
      </c>
      <c r="E273" s="19" t="str">
        <f t="array" ref="E273">XLOOKUP(A273,Data!F:F,Data!H:H)</f>
        <v>BW</v>
      </c>
      <c r="F273" s="106" t="str">
        <f>SUMIFS(Data!J:J,Data!F:F,A273)</f>
        <v>1</v>
      </c>
      <c r="G273" s="106" t="str">
        <f>SUMIFS(Cast!C:C,CastElements,A273)</f>
        <v>1</v>
      </c>
      <c r="H273" s="106" t="str">
        <f t="shared" si="4"/>
        <v>0</v>
      </c>
      <c r="I273" s="106" t="str">
        <f>SUMIFS(Del!C:C,Del!B:B,A273)</f>
        <v>0</v>
      </c>
      <c r="J273" s="106" t="str">
        <f t="shared" si="5"/>
        <v>1</v>
      </c>
      <c r="K273" s="106" t="str">
        <f t="shared" si="6"/>
        <v>1</v>
      </c>
      <c r="L273" s="106"/>
      <c r="M273" s="106" t="str">
        <f>SUMIFS(Ere!C:C,Ere!B:B,A273)</f>
        <v>0</v>
      </c>
      <c r="N273" s="106" t="str">
        <f t="shared" si="7"/>
        <v>1</v>
      </c>
      <c r="O273" s="107" t="str">
        <f t="array" ref="O273">XLOOKUP(A273,Data!F:F,Data!O:O)</f>
        <v>  1.58 </v>
      </c>
      <c r="P273" s="107" t="str">
        <f t="shared" si="8"/>
        <v>  3.94 </v>
      </c>
      <c r="Q273" s="27"/>
    </row>
    <row r="274" ht="15.75" customHeight="1">
      <c r="A274" s="105" t="s">
        <v>518</v>
      </c>
      <c r="B274" s="19" t="str">
        <f t="array" ref="B274">XLOOKUP(A274,Data!F:F,Data!G:G)</f>
        <v>A1B</v>
      </c>
      <c r="C274" s="19" t="str">
        <f t="shared" si="3"/>
        <v>A015</v>
      </c>
      <c r="D274" s="19" t="str">
        <f t="array" ref="D274">XLOOKUP(A274,Data!F:F,Data!C:C)</f>
        <v/>
      </c>
      <c r="E274" s="19" t="str">
        <f t="array" ref="E274">XLOOKUP(A274,Data!F:F,Data!H:H)</f>
        <v>CF</v>
      </c>
      <c r="F274" s="106" t="str">
        <f>SUMIFS(Data!J:J,Data!F:F,A274)</f>
        <v>1</v>
      </c>
      <c r="G274" s="106" t="str">
        <f>SUMIFS(Cast!C:C,CastElements,A274)</f>
        <v>1</v>
      </c>
      <c r="H274" s="106" t="str">
        <f t="shared" si="4"/>
        <v>0</v>
      </c>
      <c r="I274" s="106" t="str">
        <f>SUMIFS(Del!C:C,Del!B:B,A274)</f>
        <v>0</v>
      </c>
      <c r="J274" s="106" t="str">
        <f t="shared" si="5"/>
        <v>1</v>
      </c>
      <c r="K274" s="106" t="str">
        <f t="shared" si="6"/>
        <v>1</v>
      </c>
      <c r="L274" s="106"/>
      <c r="M274" s="106" t="str">
        <f>SUMIFS(Ere!C:C,Ere!B:B,A274)</f>
        <v>0</v>
      </c>
      <c r="N274" s="106" t="str">
        <f t="shared" si="7"/>
        <v>1</v>
      </c>
      <c r="O274" s="107" t="str">
        <f t="array" ref="O274">XLOOKUP(A274,Data!F:F,Data!O:O)</f>
        <v>  0.42 </v>
      </c>
      <c r="P274" s="107" t="str">
        <f t="shared" si="8"/>
        <v>  1.05 </v>
      </c>
      <c r="Q274" s="27"/>
    </row>
    <row r="275" ht="15.75" customHeight="1">
      <c r="A275" s="105" t="s">
        <v>519</v>
      </c>
      <c r="B275" s="19" t="str">
        <f t="array" ref="B275">XLOOKUP(A275,Data!F:F,Data!G:G)</f>
        <v>A1B</v>
      </c>
      <c r="C275" s="19" t="str">
        <f t="shared" si="3"/>
        <v>A015</v>
      </c>
      <c r="D275" s="19" t="str">
        <f t="array" ref="D275">XLOOKUP(A275,Data!F:F,Data!C:C)</f>
        <v>EXT</v>
      </c>
      <c r="E275" s="19" t="str">
        <f t="array" ref="E275">XLOOKUP(A275,Data!F:F,Data!H:H)</f>
        <v>BW</v>
      </c>
      <c r="F275" s="106" t="str">
        <f>SUMIFS(Data!J:J,Data!F:F,A275)</f>
        <v>1</v>
      </c>
      <c r="G275" s="106" t="str">
        <f>SUMIFS(Cast!C:C,CastElements,A275)</f>
        <v>0</v>
      </c>
      <c r="H275" s="106" t="str">
        <f t="shared" si="4"/>
        <v>1</v>
      </c>
      <c r="I275" s="106" t="str">
        <f>SUMIFS(Del!C:C,Del!B:B,A275)</f>
        <v>0</v>
      </c>
      <c r="J275" s="106" t="str">
        <f t="shared" si="5"/>
        <v>1</v>
      </c>
      <c r="K275" s="106" t="str">
        <f t="shared" si="6"/>
        <v>0</v>
      </c>
      <c r="L275" s="106"/>
      <c r="M275" s="106" t="str">
        <f>SUMIFS(Ere!C:C,Ere!B:B,A275)</f>
        <v>0</v>
      </c>
      <c r="N275" s="106" t="str">
        <f t="shared" si="7"/>
        <v>1</v>
      </c>
      <c r="O275" s="107" t="str">
        <f t="array" ref="O275">XLOOKUP(A275,Data!F:F,Data!O:O)</f>
        <v>  0.95 </v>
      </c>
      <c r="P275" s="107" t="str">
        <f t="shared" si="8"/>
        <v>  2.38 </v>
      </c>
      <c r="Q275" s="27"/>
    </row>
    <row r="276" ht="15.75" customHeight="1">
      <c r="A276" s="105" t="s">
        <v>520</v>
      </c>
      <c r="B276" s="19" t="str">
        <f t="array" ref="B276">XLOOKUP(A276,Data!F:F,Data!G:G)</f>
        <v>A1B</v>
      </c>
      <c r="C276" s="19" t="str">
        <f t="shared" si="3"/>
        <v>A015</v>
      </c>
      <c r="D276" s="19" t="str">
        <f t="array" ref="D276">XLOOKUP(A276,Data!F:F,Data!C:C)</f>
        <v>EXT</v>
      </c>
      <c r="E276" s="19" t="str">
        <f t="array" ref="E276">XLOOKUP(A276,Data!F:F,Data!H:H)</f>
        <v>BW</v>
      </c>
      <c r="F276" s="106" t="str">
        <f>SUMIFS(Data!J:J,Data!F:F,A276)</f>
        <v>1</v>
      </c>
      <c r="G276" s="106" t="str">
        <f>SUMIFS(Cast!C:C,CastElements,A276)</f>
        <v>0</v>
      </c>
      <c r="H276" s="106" t="str">
        <f t="shared" si="4"/>
        <v>1</v>
      </c>
      <c r="I276" s="106" t="str">
        <f>SUMIFS(Del!C:C,Del!B:B,A276)</f>
        <v>0</v>
      </c>
      <c r="J276" s="106" t="str">
        <f t="shared" si="5"/>
        <v>1</v>
      </c>
      <c r="K276" s="106" t="str">
        <f t="shared" si="6"/>
        <v>0</v>
      </c>
      <c r="L276" s="106"/>
      <c r="M276" s="106" t="str">
        <f>SUMIFS(Ere!C:C,Ere!B:B,A276)</f>
        <v>0</v>
      </c>
      <c r="N276" s="106" t="str">
        <f t="shared" si="7"/>
        <v>1</v>
      </c>
      <c r="O276" s="107" t="str">
        <f t="array" ref="O276">XLOOKUP(A276,Data!F:F,Data!O:O)</f>
        <v>  1.10 </v>
      </c>
      <c r="P276" s="107" t="str">
        <f t="shared" si="8"/>
        <v>  2.76 </v>
      </c>
      <c r="Q276" s="27"/>
    </row>
    <row r="277" ht="15.75" customHeight="1">
      <c r="A277" s="105" t="s">
        <v>521</v>
      </c>
      <c r="B277" s="19" t="str">
        <f t="array" ref="B277">XLOOKUP(A277,Data!F:F,Data!G:G)</f>
        <v>A1B</v>
      </c>
      <c r="C277" s="19" t="str">
        <f t="shared" si="3"/>
        <v>A015</v>
      </c>
      <c r="D277" s="19" t="str">
        <f t="array" ref="D277">XLOOKUP(A277,Data!F:F,Data!C:C)</f>
        <v/>
      </c>
      <c r="E277" s="19" t="str">
        <f t="array" ref="E277">XLOOKUP(A277,Data!F:F,Data!H:H)</f>
        <v/>
      </c>
      <c r="F277" s="106" t="str">
        <f>SUMIFS(Data!J:J,Data!F:F,A277)</f>
        <v>0</v>
      </c>
      <c r="G277" s="106" t="str">
        <f>SUMIFS(Cast!C:C,CastElements,A277)</f>
        <v>0</v>
      </c>
      <c r="H277" s="106" t="str">
        <f t="shared" si="4"/>
        <v>0</v>
      </c>
      <c r="I277" s="106" t="str">
        <f>SUMIFS(Del!C:C,Del!B:B,A277)</f>
        <v>0</v>
      </c>
      <c r="J277" s="106" t="str">
        <f t="shared" si="5"/>
        <v>0</v>
      </c>
      <c r="K277" s="106" t="str">
        <f t="shared" si="6"/>
        <v>0</v>
      </c>
      <c r="L277" s="106"/>
      <c r="M277" s="106" t="str">
        <f>SUMIFS(Ere!C:C,Ere!B:B,A277)</f>
        <v>0</v>
      </c>
      <c r="N277" s="106" t="str">
        <f t="shared" si="7"/>
        <v>0</v>
      </c>
      <c r="O277" s="107" t="str">
        <f t="array" ref="O277">XLOOKUP(A277,Data!F:F,Data!O:O)</f>
        <v/>
      </c>
      <c r="P277" s="107" t="str">
        <f t="shared" si="8"/>
        <v>  -   </v>
      </c>
      <c r="Q277" s="27"/>
    </row>
    <row r="278" ht="15.75" customHeight="1">
      <c r="A278" s="105" t="s">
        <v>522</v>
      </c>
      <c r="B278" s="19" t="str">
        <f t="array" ref="B278">XLOOKUP(A278,Data!F:F,Data!G:G)</f>
        <v>A1B</v>
      </c>
      <c r="C278" s="19" t="str">
        <f t="shared" si="3"/>
        <v>A016</v>
      </c>
      <c r="D278" s="19" t="str">
        <f t="array" ref="D278">XLOOKUP(A278,Data!F:F,Data!C:C)</f>
        <v>EXT</v>
      </c>
      <c r="E278" s="19" t="str">
        <f t="array" ref="E278">XLOOKUP(A278,Data!F:F,Data!H:H)</f>
        <v>BW</v>
      </c>
      <c r="F278" s="106" t="str">
        <f>SUMIFS(Data!J:J,Data!F:F,A278)</f>
        <v>1</v>
      </c>
      <c r="G278" s="106" t="str">
        <f>SUMIFS(Cast!C:C,CastElements,A278)</f>
        <v>0</v>
      </c>
      <c r="H278" s="106" t="str">
        <f t="shared" si="4"/>
        <v>1</v>
      </c>
      <c r="I278" s="106" t="str">
        <f>SUMIFS(Del!C:C,Del!B:B,A278)</f>
        <v>0</v>
      </c>
      <c r="J278" s="106" t="str">
        <f t="shared" si="5"/>
        <v>1</v>
      </c>
      <c r="K278" s="106" t="str">
        <f t="shared" si="6"/>
        <v>0</v>
      </c>
      <c r="L278" s="106"/>
      <c r="M278" s="106" t="str">
        <f>SUMIFS(Ere!C:C,Ere!B:B,A278)</f>
        <v>0</v>
      </c>
      <c r="N278" s="106" t="str">
        <f t="shared" si="7"/>
        <v>1</v>
      </c>
      <c r="O278" s="107" t="str">
        <f t="array" ref="O278">XLOOKUP(A278,Data!F:F,Data!O:O)</f>
        <v>  1.09 </v>
      </c>
      <c r="P278" s="107" t="str">
        <f t="shared" si="8"/>
        <v>  2.72 </v>
      </c>
      <c r="Q278" s="27"/>
    </row>
    <row r="279" ht="15.75" customHeight="1">
      <c r="A279" s="105" t="s">
        <v>523</v>
      </c>
      <c r="B279" s="19" t="str">
        <f t="array" ref="B279">XLOOKUP(A279,Data!F:F,Data!G:G)</f>
        <v>A1B</v>
      </c>
      <c r="C279" s="19" t="str">
        <f t="shared" si="3"/>
        <v>A016</v>
      </c>
      <c r="D279" s="19" t="str">
        <f t="array" ref="D279">XLOOKUP(A279,Data!F:F,Data!C:C)</f>
        <v/>
      </c>
      <c r="E279" s="19" t="str">
        <f t="array" ref="E279">XLOOKUP(A279,Data!F:F,Data!H:H)</f>
        <v>BW</v>
      </c>
      <c r="F279" s="106" t="str">
        <f>SUMIFS(Data!J:J,Data!F:F,A279)</f>
        <v>1</v>
      </c>
      <c r="G279" s="106" t="str">
        <f>SUMIFS(Cast!C:C,CastElements,A279)</f>
        <v>0</v>
      </c>
      <c r="H279" s="106" t="str">
        <f t="shared" si="4"/>
        <v>1</v>
      </c>
      <c r="I279" s="106" t="str">
        <f>SUMIFS(Del!C:C,Del!B:B,A279)</f>
        <v>0</v>
      </c>
      <c r="J279" s="106" t="str">
        <f t="shared" si="5"/>
        <v>1</v>
      </c>
      <c r="K279" s="106" t="str">
        <f t="shared" si="6"/>
        <v>0</v>
      </c>
      <c r="L279" s="106"/>
      <c r="M279" s="106" t="str">
        <f>SUMIFS(Ere!C:C,Ere!B:B,A279)</f>
        <v>0</v>
      </c>
      <c r="N279" s="106" t="str">
        <f t="shared" si="7"/>
        <v>1</v>
      </c>
      <c r="O279" s="107" t="str">
        <f t="array" ref="O279">XLOOKUP(A279,Data!F:F,Data!O:O)</f>
        <v>  1.73 </v>
      </c>
      <c r="P279" s="107" t="str">
        <f t="shared" si="8"/>
        <v>  4.33 </v>
      </c>
      <c r="Q279" s="27"/>
    </row>
    <row r="280" ht="15.75" customHeight="1">
      <c r="A280" s="105" t="s">
        <v>524</v>
      </c>
      <c r="B280" s="19" t="str">
        <f t="array" ref="B280">XLOOKUP(A280,Data!F:F,Data!G:G)</f>
        <v>A1B</v>
      </c>
      <c r="C280" s="19" t="str">
        <f t="shared" si="3"/>
        <v>A016</v>
      </c>
      <c r="D280" s="19" t="str">
        <f t="array" ref="D280">XLOOKUP(A280,Data!F:F,Data!C:C)</f>
        <v/>
      </c>
      <c r="E280" s="19" t="str">
        <f t="array" ref="E280">XLOOKUP(A280,Data!F:F,Data!H:H)</f>
        <v>BW</v>
      </c>
      <c r="F280" s="106" t="str">
        <f>SUMIFS(Data!J:J,Data!F:F,A280)</f>
        <v>1</v>
      </c>
      <c r="G280" s="106" t="str">
        <f>SUMIFS(Cast!C:C,CastElements,A280)</f>
        <v>1</v>
      </c>
      <c r="H280" s="106" t="str">
        <f t="shared" si="4"/>
        <v>0</v>
      </c>
      <c r="I280" s="106" t="str">
        <f>SUMIFS(Del!C:C,Del!B:B,A280)</f>
        <v>0</v>
      </c>
      <c r="J280" s="106" t="str">
        <f t="shared" si="5"/>
        <v>1</v>
      </c>
      <c r="K280" s="106" t="str">
        <f t="shared" si="6"/>
        <v>1</v>
      </c>
      <c r="L280" s="106"/>
      <c r="M280" s="106" t="str">
        <f>SUMIFS(Ere!C:C,Ere!B:B,A280)</f>
        <v>0</v>
      </c>
      <c r="N280" s="106" t="str">
        <f t="shared" si="7"/>
        <v>1</v>
      </c>
      <c r="O280" s="107" t="str">
        <f t="array" ref="O280">XLOOKUP(A280,Data!F:F,Data!O:O)</f>
        <v>  1.80 </v>
      </c>
      <c r="P280" s="107" t="str">
        <f t="shared" si="8"/>
        <v>  4.50 </v>
      </c>
      <c r="Q280" s="27"/>
    </row>
    <row r="281" ht="15.75" customHeight="1">
      <c r="A281" s="105" t="s">
        <v>525</v>
      </c>
      <c r="B281" s="19" t="str">
        <f t="array" ref="B281">XLOOKUP(A281,Data!F:F,Data!G:G)</f>
        <v>A1B</v>
      </c>
      <c r="C281" s="19" t="str">
        <f t="shared" si="3"/>
        <v>A016</v>
      </c>
      <c r="D281" s="19" t="str">
        <f t="array" ref="D281">XLOOKUP(A281,Data!F:F,Data!C:C)</f>
        <v/>
      </c>
      <c r="E281" s="19" t="str">
        <f t="array" ref="E281">XLOOKUP(A281,Data!F:F,Data!H:H)</f>
        <v>BW</v>
      </c>
      <c r="F281" s="106" t="str">
        <f>SUMIFS(Data!J:J,Data!F:F,A281)</f>
        <v>1</v>
      </c>
      <c r="G281" s="106" t="str">
        <f>SUMIFS(Cast!C:C,CastElements,A281)</f>
        <v>1</v>
      </c>
      <c r="H281" s="106" t="str">
        <f t="shared" si="4"/>
        <v>0</v>
      </c>
      <c r="I281" s="106" t="str">
        <f>SUMIFS(Del!C:C,Del!B:B,A281)</f>
        <v>0</v>
      </c>
      <c r="J281" s="106" t="str">
        <f t="shared" si="5"/>
        <v>1</v>
      </c>
      <c r="K281" s="106" t="str">
        <f t="shared" si="6"/>
        <v>1</v>
      </c>
      <c r="L281" s="106"/>
      <c r="M281" s="106" t="str">
        <f>SUMIFS(Ere!C:C,Ere!B:B,A281)</f>
        <v>0</v>
      </c>
      <c r="N281" s="106" t="str">
        <f t="shared" si="7"/>
        <v>1</v>
      </c>
      <c r="O281" s="107" t="str">
        <f t="array" ref="O281">XLOOKUP(A281,Data!F:F,Data!O:O)</f>
        <v>  2.17 </v>
      </c>
      <c r="P281" s="107" t="str">
        <f t="shared" si="8"/>
        <v>  5.43 </v>
      </c>
      <c r="Q281" s="27"/>
    </row>
    <row r="282" ht="15.75" customHeight="1">
      <c r="A282" s="105" t="s">
        <v>526</v>
      </c>
      <c r="B282" s="19" t="str">
        <f t="array" ref="B282">XLOOKUP(A282,Data!F:F,Data!G:G)</f>
        <v>A1B</v>
      </c>
      <c r="C282" s="19" t="str">
        <f t="shared" si="3"/>
        <v>A016</v>
      </c>
      <c r="D282" s="19" t="str">
        <f t="array" ref="D282">XLOOKUP(A282,Data!F:F,Data!C:C)</f>
        <v/>
      </c>
      <c r="E282" s="19" t="str">
        <f t="array" ref="E282">XLOOKUP(A282,Data!F:F,Data!H:H)</f>
        <v>BW</v>
      </c>
      <c r="F282" s="106" t="str">
        <f>SUMIFS(Data!J:J,Data!F:F,A282)</f>
        <v>1</v>
      </c>
      <c r="G282" s="106" t="str">
        <f>SUMIFS(Cast!C:C,CastElements,A282)</f>
        <v>1</v>
      </c>
      <c r="H282" s="106" t="str">
        <f t="shared" si="4"/>
        <v>0</v>
      </c>
      <c r="I282" s="106" t="str">
        <f>SUMIFS(Del!C:C,Del!B:B,A282)</f>
        <v>0</v>
      </c>
      <c r="J282" s="106" t="str">
        <f t="shared" si="5"/>
        <v>1</v>
      </c>
      <c r="K282" s="106" t="str">
        <f t="shared" si="6"/>
        <v>1</v>
      </c>
      <c r="L282" s="106"/>
      <c r="M282" s="106" t="str">
        <f>SUMIFS(Ere!C:C,Ere!B:B,A282)</f>
        <v>0</v>
      </c>
      <c r="N282" s="106" t="str">
        <f t="shared" si="7"/>
        <v>1</v>
      </c>
      <c r="O282" s="107" t="str">
        <f t="array" ref="O282">XLOOKUP(A282,Data!F:F,Data!O:O)</f>
        <v>  1.91 </v>
      </c>
      <c r="P282" s="107" t="str">
        <f t="shared" si="8"/>
        <v>  4.77 </v>
      </c>
      <c r="Q282" s="27"/>
    </row>
    <row r="283" ht="15.75" customHeight="1">
      <c r="A283" s="105" t="s">
        <v>527</v>
      </c>
      <c r="B283" s="19" t="str">
        <f t="array" ref="B283">XLOOKUP(A283,Data!F:F,Data!G:G)</f>
        <v>A1B</v>
      </c>
      <c r="C283" s="19" t="str">
        <f t="shared" si="3"/>
        <v>A016</v>
      </c>
      <c r="D283" s="19" t="str">
        <f t="array" ref="D283">XLOOKUP(A283,Data!F:F,Data!C:C)</f>
        <v/>
      </c>
      <c r="E283" s="19" t="str">
        <f t="array" ref="E283">XLOOKUP(A283,Data!F:F,Data!H:H)</f>
        <v>BW</v>
      </c>
      <c r="F283" s="106" t="str">
        <f>SUMIFS(Data!J:J,Data!F:F,A283)</f>
        <v>1</v>
      </c>
      <c r="G283" s="106" t="str">
        <f>SUMIFS(Cast!C:C,CastElements,A283)</f>
        <v>1</v>
      </c>
      <c r="H283" s="106" t="str">
        <f t="shared" si="4"/>
        <v>0</v>
      </c>
      <c r="I283" s="106" t="str">
        <f>SUMIFS(Del!C:C,Del!B:B,A283)</f>
        <v>0</v>
      </c>
      <c r="J283" s="106" t="str">
        <f t="shared" si="5"/>
        <v>1</v>
      </c>
      <c r="K283" s="106" t="str">
        <f t="shared" si="6"/>
        <v>1</v>
      </c>
      <c r="L283" s="106"/>
      <c r="M283" s="106" t="str">
        <f>SUMIFS(Ere!C:C,Ere!B:B,A283)</f>
        <v>0</v>
      </c>
      <c r="N283" s="106" t="str">
        <f t="shared" si="7"/>
        <v>1</v>
      </c>
      <c r="O283" s="107" t="str">
        <f t="array" ref="O283">XLOOKUP(A283,Data!F:F,Data!O:O)</f>
        <v>  1.91 </v>
      </c>
      <c r="P283" s="107" t="str">
        <f t="shared" si="8"/>
        <v>  4.77 </v>
      </c>
      <c r="Q283" s="27"/>
    </row>
    <row r="284" ht="15.75" customHeight="1">
      <c r="A284" s="105" t="s">
        <v>528</v>
      </c>
      <c r="B284" s="19" t="str">
        <f t="array" ref="B284">XLOOKUP(A284,Data!F:F,Data!G:G)</f>
        <v>A1B</v>
      </c>
      <c r="C284" s="19" t="str">
        <f t="shared" si="3"/>
        <v>A016</v>
      </c>
      <c r="D284" s="19" t="str">
        <f t="array" ref="D284">XLOOKUP(A284,Data!F:F,Data!C:C)</f>
        <v/>
      </c>
      <c r="E284" s="19" t="str">
        <f t="array" ref="E284">XLOOKUP(A284,Data!F:F,Data!H:H)</f>
        <v>BW</v>
      </c>
      <c r="F284" s="106" t="str">
        <f>SUMIFS(Data!J:J,Data!F:F,A284)</f>
        <v>1</v>
      </c>
      <c r="G284" s="106" t="str">
        <f>SUMIFS(Cast!C:C,CastElements,A284)</f>
        <v>1</v>
      </c>
      <c r="H284" s="106" t="str">
        <f t="shared" si="4"/>
        <v>0</v>
      </c>
      <c r="I284" s="106" t="str">
        <f>SUMIFS(Del!C:C,Del!B:B,A284)</f>
        <v>0</v>
      </c>
      <c r="J284" s="106" t="str">
        <f t="shared" si="5"/>
        <v>1</v>
      </c>
      <c r="K284" s="106" t="str">
        <f t="shared" si="6"/>
        <v>1</v>
      </c>
      <c r="L284" s="106"/>
      <c r="M284" s="106" t="str">
        <f>SUMIFS(Ere!C:C,Ere!B:B,A284)</f>
        <v>0</v>
      </c>
      <c r="N284" s="106" t="str">
        <f t="shared" si="7"/>
        <v>1</v>
      </c>
      <c r="O284" s="107" t="str">
        <f t="array" ref="O284">XLOOKUP(A284,Data!F:F,Data!O:O)</f>
        <v>  1.91 </v>
      </c>
      <c r="P284" s="107" t="str">
        <f t="shared" si="8"/>
        <v>  4.77 </v>
      </c>
      <c r="Q284" s="27"/>
    </row>
    <row r="285" ht="15.75" customHeight="1">
      <c r="A285" s="105" t="s">
        <v>529</v>
      </c>
      <c r="B285" s="19" t="str">
        <f t="array" ref="B285">XLOOKUP(A285,Data!F:F,Data!G:G)</f>
        <v>A1B</v>
      </c>
      <c r="C285" s="19" t="str">
        <f t="shared" si="3"/>
        <v>A016</v>
      </c>
      <c r="D285" s="19" t="str">
        <f t="array" ref="D285">XLOOKUP(A285,Data!F:F,Data!C:C)</f>
        <v/>
      </c>
      <c r="E285" s="19" t="str">
        <f t="array" ref="E285">XLOOKUP(A285,Data!F:F,Data!H:H)</f>
        <v>BW</v>
      </c>
      <c r="F285" s="106" t="str">
        <f>SUMIFS(Data!J:J,Data!F:F,A285)</f>
        <v>1</v>
      </c>
      <c r="G285" s="106" t="str">
        <f>SUMIFS(Cast!C:C,CastElements,A285)</f>
        <v>1</v>
      </c>
      <c r="H285" s="106" t="str">
        <f t="shared" si="4"/>
        <v>0</v>
      </c>
      <c r="I285" s="106" t="str">
        <f>SUMIFS(Del!C:C,Del!B:B,A285)</f>
        <v>0</v>
      </c>
      <c r="J285" s="106" t="str">
        <f t="shared" si="5"/>
        <v>1</v>
      </c>
      <c r="K285" s="106" t="str">
        <f t="shared" si="6"/>
        <v>1</v>
      </c>
      <c r="L285" s="106"/>
      <c r="M285" s="106" t="str">
        <f>SUMIFS(Ere!C:C,Ere!B:B,A285)</f>
        <v>0</v>
      </c>
      <c r="N285" s="106" t="str">
        <f t="shared" si="7"/>
        <v>1</v>
      </c>
      <c r="O285" s="107" t="str">
        <f t="array" ref="O285">XLOOKUP(A285,Data!F:F,Data!O:O)</f>
        <v>  1.99 </v>
      </c>
      <c r="P285" s="107" t="str">
        <f t="shared" si="8"/>
        <v>  4.98 </v>
      </c>
      <c r="Q285" s="27"/>
    </row>
    <row r="286" ht="15.75" customHeight="1">
      <c r="A286" s="105" t="s">
        <v>530</v>
      </c>
      <c r="B286" s="19" t="str">
        <f t="array" ref="B286">XLOOKUP(A286,Data!F:F,Data!G:G)</f>
        <v>A1B</v>
      </c>
      <c r="C286" s="19" t="str">
        <f t="shared" si="3"/>
        <v>A016</v>
      </c>
      <c r="D286" s="19" t="str">
        <f t="array" ref="D286">XLOOKUP(A286,Data!F:F,Data!C:C)</f>
        <v/>
      </c>
      <c r="E286" s="19" t="str">
        <f t="array" ref="E286">XLOOKUP(A286,Data!F:F,Data!H:H)</f>
        <v>BW</v>
      </c>
      <c r="F286" s="106" t="str">
        <f>SUMIFS(Data!J:J,Data!F:F,A286)</f>
        <v>1</v>
      </c>
      <c r="G286" s="106" t="str">
        <f>SUMIFS(Cast!C:C,CastElements,A286)</f>
        <v>1</v>
      </c>
      <c r="H286" s="106" t="str">
        <f t="shared" si="4"/>
        <v>0</v>
      </c>
      <c r="I286" s="106" t="str">
        <f>SUMIFS(Del!C:C,Del!B:B,A286)</f>
        <v>0</v>
      </c>
      <c r="J286" s="106" t="str">
        <f t="shared" si="5"/>
        <v>1</v>
      </c>
      <c r="K286" s="106" t="str">
        <f t="shared" si="6"/>
        <v>1</v>
      </c>
      <c r="L286" s="106"/>
      <c r="M286" s="106" t="str">
        <f>SUMIFS(Ere!C:C,Ere!B:B,A286)</f>
        <v>0</v>
      </c>
      <c r="N286" s="106" t="str">
        <f t="shared" si="7"/>
        <v>1</v>
      </c>
      <c r="O286" s="107" t="str">
        <f t="array" ref="O286">XLOOKUP(A286,Data!F:F,Data!O:O)</f>
        <v>  0.33 </v>
      </c>
      <c r="P286" s="107" t="str">
        <f t="shared" si="8"/>
        <v>  0.84 </v>
      </c>
      <c r="Q286" s="27"/>
    </row>
    <row r="287" ht="15.75" customHeight="1">
      <c r="A287" s="105" t="s">
        <v>531</v>
      </c>
      <c r="B287" s="19" t="str">
        <f t="array" ref="B287">XLOOKUP(A287,Data!F:F,Data!G:G)</f>
        <v>A1B</v>
      </c>
      <c r="C287" s="19" t="str">
        <f t="shared" si="3"/>
        <v>A016</v>
      </c>
      <c r="D287" s="19" t="str">
        <f t="array" ref="D287">XLOOKUP(A287,Data!F:F,Data!C:C)</f>
        <v/>
      </c>
      <c r="E287" s="19" t="str">
        <f t="array" ref="E287">XLOOKUP(A287,Data!F:F,Data!H:H)</f>
        <v>BW</v>
      </c>
      <c r="F287" s="106" t="str">
        <f>SUMIFS(Data!J:J,Data!F:F,A287)</f>
        <v>1</v>
      </c>
      <c r="G287" s="106" t="str">
        <f>SUMIFS(Cast!C:C,CastElements,A287)</f>
        <v>1</v>
      </c>
      <c r="H287" s="106" t="str">
        <f t="shared" si="4"/>
        <v>0</v>
      </c>
      <c r="I287" s="106" t="str">
        <f>SUMIFS(Del!C:C,Del!B:B,A287)</f>
        <v>0</v>
      </c>
      <c r="J287" s="106" t="str">
        <f t="shared" si="5"/>
        <v>1</v>
      </c>
      <c r="K287" s="106" t="str">
        <f t="shared" si="6"/>
        <v>1</v>
      </c>
      <c r="L287" s="106"/>
      <c r="M287" s="106" t="str">
        <f>SUMIFS(Ere!C:C,Ere!B:B,A287)</f>
        <v>0</v>
      </c>
      <c r="N287" s="106" t="str">
        <f t="shared" si="7"/>
        <v>1</v>
      </c>
      <c r="O287" s="107" t="str">
        <f t="array" ref="O287">XLOOKUP(A287,Data!F:F,Data!O:O)</f>
        <v>  2.37 </v>
      </c>
      <c r="P287" s="107" t="str">
        <f t="shared" si="8"/>
        <v>  5.92 </v>
      </c>
      <c r="Q287" s="27"/>
    </row>
    <row r="288" ht="15.75" customHeight="1">
      <c r="A288" s="105" t="s">
        <v>532</v>
      </c>
      <c r="B288" s="19" t="str">
        <f t="array" ref="B288">XLOOKUP(A288,Data!F:F,Data!G:G)</f>
        <v>A1B</v>
      </c>
      <c r="C288" s="19" t="str">
        <f t="shared" si="3"/>
        <v>A016</v>
      </c>
      <c r="D288" s="19" t="str">
        <f t="array" ref="D288">XLOOKUP(A288,Data!F:F,Data!C:C)</f>
        <v/>
      </c>
      <c r="E288" s="19" t="str">
        <f t="array" ref="E288">XLOOKUP(A288,Data!F:F,Data!H:H)</f>
        <v>BW</v>
      </c>
      <c r="F288" s="106" t="str">
        <f>SUMIFS(Data!J:J,Data!F:F,A288)</f>
        <v>1</v>
      </c>
      <c r="G288" s="106" t="str">
        <f>SUMIFS(Cast!C:C,CastElements,A288)</f>
        <v>1</v>
      </c>
      <c r="H288" s="106" t="str">
        <f t="shared" si="4"/>
        <v>0</v>
      </c>
      <c r="I288" s="106" t="str">
        <f>SUMIFS(Del!C:C,Del!B:B,A288)</f>
        <v>0</v>
      </c>
      <c r="J288" s="106" t="str">
        <f t="shared" si="5"/>
        <v>1</v>
      </c>
      <c r="K288" s="106" t="str">
        <f t="shared" si="6"/>
        <v>1</v>
      </c>
      <c r="L288" s="106"/>
      <c r="M288" s="106" t="str">
        <f>SUMIFS(Ere!C:C,Ere!B:B,A288)</f>
        <v>0</v>
      </c>
      <c r="N288" s="106" t="str">
        <f t="shared" si="7"/>
        <v>1</v>
      </c>
      <c r="O288" s="107" t="str">
        <f t="array" ref="O288">XLOOKUP(A288,Data!F:F,Data!O:O)</f>
        <v>  1.62 </v>
      </c>
      <c r="P288" s="107" t="str">
        <f t="shared" si="8"/>
        <v>  4.04 </v>
      </c>
      <c r="Q288" s="27"/>
    </row>
    <row r="289" ht="15.75" customHeight="1">
      <c r="A289" s="105" t="s">
        <v>533</v>
      </c>
      <c r="B289" s="19" t="str">
        <f t="array" ref="B289">XLOOKUP(A289,Data!F:F,Data!G:G)</f>
        <v>A1B</v>
      </c>
      <c r="C289" s="19" t="str">
        <f t="shared" si="3"/>
        <v>A016</v>
      </c>
      <c r="D289" s="19" t="str">
        <f t="array" ref="D289">XLOOKUP(A289,Data!F:F,Data!C:C)</f>
        <v/>
      </c>
      <c r="E289" s="19" t="str">
        <f t="array" ref="E289">XLOOKUP(A289,Data!F:F,Data!H:H)</f>
        <v>CF</v>
      </c>
      <c r="F289" s="106" t="str">
        <f>SUMIFS(Data!J:J,Data!F:F,A289)</f>
        <v>1</v>
      </c>
      <c r="G289" s="106" t="str">
        <f>SUMIFS(Cast!C:C,CastElements,A289)</f>
        <v>1</v>
      </c>
      <c r="H289" s="106" t="str">
        <f t="shared" si="4"/>
        <v>0</v>
      </c>
      <c r="I289" s="106" t="str">
        <f>SUMIFS(Del!C:C,Del!B:B,A289)</f>
        <v>0</v>
      </c>
      <c r="J289" s="106" t="str">
        <f t="shared" si="5"/>
        <v>1</v>
      </c>
      <c r="K289" s="106" t="str">
        <f t="shared" si="6"/>
        <v>1</v>
      </c>
      <c r="L289" s="106"/>
      <c r="M289" s="106" t="str">
        <f>SUMIFS(Ere!C:C,Ere!B:B,A289)</f>
        <v>0</v>
      </c>
      <c r="N289" s="106" t="str">
        <f t="shared" si="7"/>
        <v>1</v>
      </c>
      <c r="O289" s="107" t="str">
        <f t="array" ref="O289">XLOOKUP(A289,Data!F:F,Data!O:O)</f>
        <v>  0.42 </v>
      </c>
      <c r="P289" s="107" t="str">
        <f t="shared" si="8"/>
        <v>  1.05 </v>
      </c>
      <c r="Q289" s="27"/>
    </row>
    <row r="290" ht="15.75" customHeight="1">
      <c r="A290" s="105" t="s">
        <v>534</v>
      </c>
      <c r="B290" s="19" t="str">
        <f t="array" ref="B290">XLOOKUP(A290,Data!F:F,Data!G:G)</f>
        <v>A1B</v>
      </c>
      <c r="C290" s="19" t="str">
        <f t="shared" si="3"/>
        <v>A016</v>
      </c>
      <c r="D290" s="19" t="str">
        <f t="array" ref="D290">XLOOKUP(A290,Data!F:F,Data!C:C)</f>
        <v>EXT</v>
      </c>
      <c r="E290" s="19" t="str">
        <f t="array" ref="E290">XLOOKUP(A290,Data!F:F,Data!H:H)</f>
        <v>BW</v>
      </c>
      <c r="F290" s="106" t="str">
        <f>SUMIFS(Data!J:J,Data!F:F,A290)</f>
        <v>1</v>
      </c>
      <c r="G290" s="106" t="str">
        <f>SUMIFS(Cast!C:C,CastElements,A290)</f>
        <v>0</v>
      </c>
      <c r="H290" s="106" t="str">
        <f t="shared" si="4"/>
        <v>1</v>
      </c>
      <c r="I290" s="106" t="str">
        <f>SUMIFS(Del!C:C,Del!B:B,A290)</f>
        <v>0</v>
      </c>
      <c r="J290" s="106" t="str">
        <f t="shared" si="5"/>
        <v>1</v>
      </c>
      <c r="K290" s="106" t="str">
        <f t="shared" si="6"/>
        <v>0</v>
      </c>
      <c r="L290" s="106"/>
      <c r="M290" s="106" t="str">
        <f>SUMIFS(Ere!C:C,Ere!B:B,A290)</f>
        <v>0</v>
      </c>
      <c r="N290" s="106" t="str">
        <f t="shared" si="7"/>
        <v>1</v>
      </c>
      <c r="O290" s="107" t="str">
        <f t="array" ref="O290">XLOOKUP(A290,Data!F:F,Data!O:O)</f>
        <v>  0.99 </v>
      </c>
      <c r="P290" s="107" t="str">
        <f t="shared" si="8"/>
        <v>  2.48 </v>
      </c>
      <c r="Q290" s="27"/>
    </row>
    <row r="291" ht="15.75" customHeight="1">
      <c r="A291" s="105" t="s">
        <v>535</v>
      </c>
      <c r="B291" s="19" t="str">
        <f t="array" ref="B291">XLOOKUP(A291,Data!F:F,Data!G:G)</f>
        <v>A1B</v>
      </c>
      <c r="C291" s="19" t="str">
        <f t="shared" si="3"/>
        <v>A016</v>
      </c>
      <c r="D291" s="19" t="str">
        <f t="array" ref="D291">XLOOKUP(A291,Data!F:F,Data!C:C)</f>
        <v>EXT</v>
      </c>
      <c r="E291" s="19" t="str">
        <f t="array" ref="E291">XLOOKUP(A291,Data!F:F,Data!H:H)</f>
        <v>BW</v>
      </c>
      <c r="F291" s="106" t="str">
        <f>SUMIFS(Data!J:J,Data!F:F,A291)</f>
        <v>1</v>
      </c>
      <c r="G291" s="106" t="str">
        <f>SUMIFS(Cast!C:C,CastElements,A291)</f>
        <v>0</v>
      </c>
      <c r="H291" s="106" t="str">
        <f t="shared" si="4"/>
        <v>1</v>
      </c>
      <c r="I291" s="106" t="str">
        <f>SUMIFS(Del!C:C,Del!B:B,A291)</f>
        <v>0</v>
      </c>
      <c r="J291" s="106" t="str">
        <f t="shared" si="5"/>
        <v>1</v>
      </c>
      <c r="K291" s="106" t="str">
        <f t="shared" si="6"/>
        <v>0</v>
      </c>
      <c r="L291" s="106"/>
      <c r="M291" s="106" t="str">
        <f>SUMIFS(Ere!C:C,Ere!B:B,A291)</f>
        <v>0</v>
      </c>
      <c r="N291" s="106" t="str">
        <f t="shared" si="7"/>
        <v>1</v>
      </c>
      <c r="O291" s="107" t="str">
        <f t="array" ref="O291">XLOOKUP(A291,Data!F:F,Data!O:O)</f>
        <v>  0.93 </v>
      </c>
      <c r="P291" s="107" t="str">
        <f t="shared" si="8"/>
        <v>  2.33 </v>
      </c>
      <c r="Q291" s="27"/>
    </row>
    <row r="292" ht="15.75" customHeight="1">
      <c r="A292" s="105" t="s">
        <v>536</v>
      </c>
      <c r="B292" s="19" t="str">
        <f t="array" ref="B292">XLOOKUP(A292,Data!F:F,Data!G:G)</f>
        <v>A1B</v>
      </c>
      <c r="C292" s="19" t="str">
        <f t="shared" si="3"/>
        <v>A016</v>
      </c>
      <c r="D292" s="19" t="str">
        <f t="array" ref="D292">XLOOKUP(A292,Data!F:F,Data!C:C)</f>
        <v/>
      </c>
      <c r="E292" s="19" t="str">
        <f t="array" ref="E292">XLOOKUP(A292,Data!F:F,Data!H:H)</f>
        <v/>
      </c>
      <c r="F292" s="106" t="str">
        <f>SUMIFS(Data!J:J,Data!F:F,A292)</f>
        <v>0</v>
      </c>
      <c r="G292" s="106" t="str">
        <f>SUMIFS(Cast!C:C,CastElements,A292)</f>
        <v>0</v>
      </c>
      <c r="H292" s="106" t="str">
        <f t="shared" si="4"/>
        <v>0</v>
      </c>
      <c r="I292" s="106" t="str">
        <f>SUMIFS(Del!C:C,Del!B:B,A292)</f>
        <v>0</v>
      </c>
      <c r="J292" s="106" t="str">
        <f t="shared" si="5"/>
        <v>0</v>
      </c>
      <c r="K292" s="106" t="str">
        <f t="shared" si="6"/>
        <v>0</v>
      </c>
      <c r="L292" s="106"/>
      <c r="M292" s="106" t="str">
        <f>SUMIFS(Ere!C:C,Ere!B:B,A292)</f>
        <v>0</v>
      </c>
      <c r="N292" s="106" t="str">
        <f t="shared" si="7"/>
        <v>0</v>
      </c>
      <c r="O292" s="107" t="str">
        <f t="array" ref="O292">XLOOKUP(A292,Data!F:F,Data!O:O)</f>
        <v/>
      </c>
      <c r="P292" s="107" t="str">
        <f t="shared" si="8"/>
        <v>  -   </v>
      </c>
      <c r="Q292" s="27"/>
    </row>
    <row r="293" ht="15.75" customHeight="1">
      <c r="A293" s="105" t="s">
        <v>537</v>
      </c>
      <c r="B293" s="19" t="str">
        <f t="array" ref="B293">XLOOKUP(A293,Data!F:F,Data!G:G)</f>
        <v>A1B</v>
      </c>
      <c r="C293" s="19" t="str">
        <f t="shared" si="3"/>
        <v>A016</v>
      </c>
      <c r="D293" s="19" t="str">
        <f t="array" ref="D293">XLOOKUP(A293,Data!F:F,Data!C:C)</f>
        <v>EXT</v>
      </c>
      <c r="E293" s="19" t="str">
        <f t="array" ref="E293">XLOOKUP(A293,Data!F:F,Data!H:H)</f>
        <v/>
      </c>
      <c r="F293" s="106" t="str">
        <f>SUMIFS(Data!J:J,Data!F:F,A293)</f>
        <v>0</v>
      </c>
      <c r="G293" s="106" t="str">
        <f>SUMIFS(Cast!C:C,CastElements,A293)</f>
        <v>0</v>
      </c>
      <c r="H293" s="106" t="str">
        <f t="shared" si="4"/>
        <v>0</v>
      </c>
      <c r="I293" s="106" t="str">
        <f>SUMIFS(Del!C:C,Del!B:B,A293)</f>
        <v>0</v>
      </c>
      <c r="J293" s="106" t="str">
        <f t="shared" si="5"/>
        <v>0</v>
      </c>
      <c r="K293" s="106" t="str">
        <f t="shared" si="6"/>
        <v>0</v>
      </c>
      <c r="L293" s="106"/>
      <c r="M293" s="106" t="str">
        <f>SUMIFS(Ere!C:C,Ere!B:B,A293)</f>
        <v>0</v>
      </c>
      <c r="N293" s="106" t="str">
        <f t="shared" si="7"/>
        <v>0</v>
      </c>
      <c r="O293" s="107" t="str">
        <f t="array" ref="O293">XLOOKUP(A293,Data!F:F,Data!O:O)</f>
        <v/>
      </c>
      <c r="P293" s="107" t="str">
        <f t="shared" si="8"/>
        <v>  -   </v>
      </c>
      <c r="Q293" s="27"/>
    </row>
    <row r="294" ht="15.75" customHeight="1">
      <c r="A294" s="105" t="s">
        <v>538</v>
      </c>
      <c r="B294" s="19" t="str">
        <f t="array" ref="B294">XLOOKUP(A294,Data!F:F,Data!G:G)</f>
        <v>A1C</v>
      </c>
      <c r="C294" s="19" t="str">
        <f t="shared" si="3"/>
        <v>A017</v>
      </c>
      <c r="D294" s="19" t="str">
        <f t="array" ref="D294">XLOOKUP(A294,Data!F:F,Data!C:C)</f>
        <v/>
      </c>
      <c r="E294" s="19" t="str">
        <f t="array" ref="E294">XLOOKUP(A294,Data!F:F,Data!H:H)</f>
        <v/>
      </c>
      <c r="F294" s="106" t="str">
        <f>SUMIFS(Data!J:J,Data!F:F,A294)</f>
        <v>0</v>
      </c>
      <c r="G294" s="106" t="str">
        <f>SUMIFS(Cast!C:C,CastElements,A294)</f>
        <v>0</v>
      </c>
      <c r="H294" s="106" t="str">
        <f t="shared" si="4"/>
        <v>0</v>
      </c>
      <c r="I294" s="106" t="str">
        <f>SUMIFS(Del!C:C,Del!B:B,A294)</f>
        <v>0</v>
      </c>
      <c r="J294" s="106" t="str">
        <f t="shared" si="5"/>
        <v>0</v>
      </c>
      <c r="K294" s="106" t="str">
        <f t="shared" si="6"/>
        <v>0</v>
      </c>
      <c r="L294" s="106"/>
      <c r="M294" s="106" t="str">
        <f>SUMIFS(Ere!C:C,Ere!B:B,A294)</f>
        <v>0</v>
      </c>
      <c r="N294" s="106" t="str">
        <f t="shared" si="7"/>
        <v>0</v>
      </c>
      <c r="O294" s="107" t="str">
        <f t="array" ref="O294">XLOOKUP(A294,Data!F:F,Data!O:O)</f>
        <v/>
      </c>
      <c r="P294" s="107" t="str">
        <f t="shared" si="8"/>
        <v>  -   </v>
      </c>
      <c r="Q294" s="27"/>
    </row>
    <row r="295" ht="15.75" customHeight="1">
      <c r="A295" s="105" t="s">
        <v>539</v>
      </c>
      <c r="B295" s="19" t="str">
        <f t="array" ref="B295">XLOOKUP(A295,Data!F:F,Data!G:G)</f>
        <v>A1C</v>
      </c>
      <c r="C295" s="19" t="str">
        <f t="shared" si="3"/>
        <v>A017</v>
      </c>
      <c r="D295" s="19" t="str">
        <f t="array" ref="D295">XLOOKUP(A295,Data!F:F,Data!C:C)</f>
        <v/>
      </c>
      <c r="E295" s="19" t="str">
        <f t="array" ref="E295">XLOOKUP(A295,Data!F:F,Data!H:H)</f>
        <v/>
      </c>
      <c r="F295" s="106" t="str">
        <f>SUMIFS(Data!J:J,Data!F:F,A295)</f>
        <v>0</v>
      </c>
      <c r="G295" s="106" t="str">
        <f>SUMIFS(Cast!C:C,CastElements,A295)</f>
        <v>0</v>
      </c>
      <c r="H295" s="106" t="str">
        <f t="shared" si="4"/>
        <v>0</v>
      </c>
      <c r="I295" s="106" t="str">
        <f>SUMIFS(Del!C:C,Del!B:B,A295)</f>
        <v>0</v>
      </c>
      <c r="J295" s="106" t="str">
        <f t="shared" si="5"/>
        <v>0</v>
      </c>
      <c r="K295" s="106" t="str">
        <f t="shared" si="6"/>
        <v>0</v>
      </c>
      <c r="L295" s="106"/>
      <c r="M295" s="106" t="str">
        <f>SUMIFS(Ere!C:C,Ere!B:B,A295)</f>
        <v>0</v>
      </c>
      <c r="N295" s="106" t="str">
        <f t="shared" si="7"/>
        <v>0</v>
      </c>
      <c r="O295" s="107" t="str">
        <f t="array" ref="O295">XLOOKUP(A295,Data!F:F,Data!O:O)</f>
        <v/>
      </c>
      <c r="P295" s="107" t="str">
        <f t="shared" si="8"/>
        <v>  -   </v>
      </c>
      <c r="Q295" s="27"/>
    </row>
    <row r="296" ht="15.75" customHeight="1">
      <c r="A296" s="105" t="s">
        <v>540</v>
      </c>
      <c r="B296" s="19" t="str">
        <f t="array" ref="B296">XLOOKUP(A296,Data!F:F,Data!G:G)</f>
        <v>A1C</v>
      </c>
      <c r="C296" s="19" t="str">
        <f t="shared" si="3"/>
        <v>A017</v>
      </c>
      <c r="D296" s="19" t="str">
        <f t="array" ref="D296">XLOOKUP(A296,Data!F:F,Data!C:C)</f>
        <v/>
      </c>
      <c r="E296" s="19" t="str">
        <f t="array" ref="E296">XLOOKUP(A296,Data!F:F,Data!H:H)</f>
        <v/>
      </c>
      <c r="F296" s="106" t="str">
        <f>SUMIFS(Data!J:J,Data!F:F,A296)</f>
        <v>0</v>
      </c>
      <c r="G296" s="106" t="str">
        <f>SUMIFS(Cast!C:C,CastElements,A296)</f>
        <v>0</v>
      </c>
      <c r="H296" s="106" t="str">
        <f t="shared" si="4"/>
        <v>0</v>
      </c>
      <c r="I296" s="106" t="str">
        <f>SUMIFS(Del!C:C,Del!B:B,A296)</f>
        <v>0</v>
      </c>
      <c r="J296" s="106" t="str">
        <f t="shared" si="5"/>
        <v>0</v>
      </c>
      <c r="K296" s="106" t="str">
        <f t="shared" si="6"/>
        <v>0</v>
      </c>
      <c r="L296" s="106"/>
      <c r="M296" s="106" t="str">
        <f>SUMIFS(Ere!C:C,Ere!B:B,A296)</f>
        <v>0</v>
      </c>
      <c r="N296" s="106" t="str">
        <f t="shared" si="7"/>
        <v>0</v>
      </c>
      <c r="O296" s="107" t="str">
        <f t="array" ref="O296">XLOOKUP(A296,Data!F:F,Data!O:O)</f>
        <v/>
      </c>
      <c r="P296" s="107" t="str">
        <f t="shared" si="8"/>
        <v>  -   </v>
      </c>
      <c r="Q296" s="27"/>
    </row>
    <row r="297" ht="15.75" customHeight="1">
      <c r="A297" s="105" t="s">
        <v>541</v>
      </c>
      <c r="B297" s="19" t="str">
        <f t="array" ref="B297">XLOOKUP(A297,Data!F:F,Data!G:G)</f>
        <v>A1C</v>
      </c>
      <c r="C297" s="19" t="str">
        <f t="shared" si="3"/>
        <v>A017</v>
      </c>
      <c r="D297" s="19" t="str">
        <f t="array" ref="D297">XLOOKUP(A297,Data!F:F,Data!C:C)</f>
        <v/>
      </c>
      <c r="E297" s="19" t="str">
        <f t="array" ref="E297">XLOOKUP(A297,Data!F:F,Data!H:H)</f>
        <v/>
      </c>
      <c r="F297" s="106" t="str">
        <f>SUMIFS(Data!J:J,Data!F:F,A297)</f>
        <v>0</v>
      </c>
      <c r="G297" s="106" t="str">
        <f>SUMIFS(Cast!C:C,CastElements,A297)</f>
        <v>0</v>
      </c>
      <c r="H297" s="106" t="str">
        <f t="shared" si="4"/>
        <v>0</v>
      </c>
      <c r="I297" s="106" t="str">
        <f>SUMIFS(Del!C:C,Del!B:B,A297)</f>
        <v>0</v>
      </c>
      <c r="J297" s="106" t="str">
        <f t="shared" si="5"/>
        <v>0</v>
      </c>
      <c r="K297" s="106" t="str">
        <f t="shared" si="6"/>
        <v>0</v>
      </c>
      <c r="L297" s="106"/>
      <c r="M297" s="106" t="str">
        <f>SUMIFS(Ere!C:C,Ere!B:B,A297)</f>
        <v>0</v>
      </c>
      <c r="N297" s="106" t="str">
        <f t="shared" si="7"/>
        <v>0</v>
      </c>
      <c r="O297" s="107" t="str">
        <f t="array" ref="O297">XLOOKUP(A297,Data!F:F,Data!O:O)</f>
        <v/>
      </c>
      <c r="P297" s="107" t="str">
        <f t="shared" si="8"/>
        <v>  -   </v>
      </c>
      <c r="Q297" s="27"/>
    </row>
    <row r="298" ht="15.75" customHeight="1">
      <c r="A298" s="105" t="s">
        <v>542</v>
      </c>
      <c r="B298" s="19" t="str">
        <f t="array" ref="B298">XLOOKUP(A298,Data!F:F,Data!G:G)</f>
        <v>A1C</v>
      </c>
      <c r="C298" s="19" t="str">
        <f t="shared" si="3"/>
        <v>A017</v>
      </c>
      <c r="D298" s="19" t="str">
        <f t="array" ref="D298">XLOOKUP(A298,Data!F:F,Data!C:C)</f>
        <v/>
      </c>
      <c r="E298" s="19" t="str">
        <f t="array" ref="E298">XLOOKUP(A298,Data!F:F,Data!H:H)</f>
        <v/>
      </c>
      <c r="F298" s="106" t="str">
        <f>SUMIFS(Data!J:J,Data!F:F,A298)</f>
        <v>0</v>
      </c>
      <c r="G298" s="106" t="str">
        <f>SUMIFS(Cast!C:C,CastElements,A298)</f>
        <v>0</v>
      </c>
      <c r="H298" s="106" t="str">
        <f t="shared" si="4"/>
        <v>0</v>
      </c>
      <c r="I298" s="106" t="str">
        <f>SUMIFS(Del!C:C,Del!B:B,A298)</f>
        <v>0</v>
      </c>
      <c r="J298" s="106" t="str">
        <f t="shared" si="5"/>
        <v>0</v>
      </c>
      <c r="K298" s="106" t="str">
        <f t="shared" si="6"/>
        <v>0</v>
      </c>
      <c r="L298" s="106"/>
      <c r="M298" s="106" t="str">
        <f>SUMIFS(Ere!C:C,Ere!B:B,A298)</f>
        <v>0</v>
      </c>
      <c r="N298" s="106" t="str">
        <f t="shared" si="7"/>
        <v>0</v>
      </c>
      <c r="O298" s="107" t="str">
        <f t="array" ref="O298">XLOOKUP(A298,Data!F:F,Data!O:O)</f>
        <v/>
      </c>
      <c r="P298" s="107" t="str">
        <f t="shared" si="8"/>
        <v>  -   </v>
      </c>
      <c r="Q298" s="27"/>
    </row>
    <row r="299" ht="15.75" customHeight="1">
      <c r="A299" s="105" t="s">
        <v>543</v>
      </c>
      <c r="B299" s="19" t="str">
        <f t="array" ref="B299">XLOOKUP(A299,Data!F:F,Data!G:G)</f>
        <v>A1C</v>
      </c>
      <c r="C299" s="19" t="str">
        <f t="shared" si="3"/>
        <v>A017</v>
      </c>
      <c r="D299" s="19" t="str">
        <f t="array" ref="D299">XLOOKUP(A299,Data!F:F,Data!C:C)</f>
        <v/>
      </c>
      <c r="E299" s="19" t="str">
        <f t="array" ref="E299">XLOOKUP(A299,Data!F:F,Data!H:H)</f>
        <v/>
      </c>
      <c r="F299" s="106" t="str">
        <f>SUMIFS(Data!J:J,Data!F:F,A299)</f>
        <v>0</v>
      </c>
      <c r="G299" s="106" t="str">
        <f>SUMIFS(Cast!C:C,CastElements,A299)</f>
        <v>0</v>
      </c>
      <c r="H299" s="106" t="str">
        <f t="shared" si="4"/>
        <v>0</v>
      </c>
      <c r="I299" s="106" t="str">
        <f>SUMIFS(Del!C:C,Del!B:B,A299)</f>
        <v>0</v>
      </c>
      <c r="J299" s="106" t="str">
        <f t="shared" si="5"/>
        <v>0</v>
      </c>
      <c r="K299" s="106" t="str">
        <f t="shared" si="6"/>
        <v>0</v>
      </c>
      <c r="L299" s="106"/>
      <c r="M299" s="106" t="str">
        <f>SUMIFS(Ere!C:C,Ere!B:B,A299)</f>
        <v>0</v>
      </c>
      <c r="N299" s="106" t="str">
        <f t="shared" si="7"/>
        <v>0</v>
      </c>
      <c r="O299" s="107" t="str">
        <f t="array" ref="O299">XLOOKUP(A299,Data!F:F,Data!O:O)</f>
        <v/>
      </c>
      <c r="P299" s="107" t="str">
        <f t="shared" si="8"/>
        <v>  -   </v>
      </c>
      <c r="Q299" s="27"/>
    </row>
    <row r="300" ht="15.75" customHeight="1">
      <c r="A300" s="105" t="s">
        <v>544</v>
      </c>
      <c r="B300" s="19" t="str">
        <f t="array" ref="B300">XLOOKUP(A300,Data!F:F,Data!G:G)</f>
        <v>A1C</v>
      </c>
      <c r="C300" s="19" t="str">
        <f t="shared" si="3"/>
        <v>A017</v>
      </c>
      <c r="D300" s="19" t="str">
        <f t="array" ref="D300">XLOOKUP(A300,Data!F:F,Data!C:C)</f>
        <v/>
      </c>
      <c r="E300" s="19" t="str">
        <f t="array" ref="E300">XLOOKUP(A300,Data!F:F,Data!H:H)</f>
        <v/>
      </c>
      <c r="F300" s="106" t="str">
        <f>SUMIFS(Data!J:J,Data!F:F,A300)</f>
        <v>0</v>
      </c>
      <c r="G300" s="106" t="str">
        <f>SUMIFS(Cast!C:C,CastElements,A300)</f>
        <v>0</v>
      </c>
      <c r="H300" s="106" t="str">
        <f t="shared" si="4"/>
        <v>0</v>
      </c>
      <c r="I300" s="106" t="str">
        <f>SUMIFS(Del!C:C,Del!B:B,A300)</f>
        <v>0</v>
      </c>
      <c r="J300" s="106" t="str">
        <f t="shared" si="5"/>
        <v>0</v>
      </c>
      <c r="K300" s="106" t="str">
        <f t="shared" si="6"/>
        <v>0</v>
      </c>
      <c r="L300" s="106"/>
      <c r="M300" s="106" t="str">
        <f>SUMIFS(Ere!C:C,Ere!B:B,A300)</f>
        <v>0</v>
      </c>
      <c r="N300" s="106" t="str">
        <f t="shared" si="7"/>
        <v>0</v>
      </c>
      <c r="O300" s="107" t="str">
        <f t="array" ref="O300">XLOOKUP(A300,Data!F:F,Data!O:O)</f>
        <v/>
      </c>
      <c r="P300" s="107" t="str">
        <f t="shared" si="8"/>
        <v>  -   </v>
      </c>
      <c r="Q300" s="27"/>
    </row>
    <row r="301" ht="15.75" customHeight="1">
      <c r="A301" s="105" t="s">
        <v>545</v>
      </c>
      <c r="B301" s="19" t="str">
        <f t="array" ref="B301">XLOOKUP(A301,Data!F:F,Data!G:G)</f>
        <v>A1C</v>
      </c>
      <c r="C301" s="19" t="str">
        <f t="shared" si="3"/>
        <v>A017</v>
      </c>
      <c r="D301" s="19" t="str">
        <f t="array" ref="D301">XLOOKUP(A301,Data!F:F,Data!C:C)</f>
        <v/>
      </c>
      <c r="E301" s="19" t="str">
        <f t="array" ref="E301">XLOOKUP(A301,Data!F:F,Data!H:H)</f>
        <v/>
      </c>
      <c r="F301" s="106" t="str">
        <f>SUMIFS(Data!J:J,Data!F:F,A301)</f>
        <v>0</v>
      </c>
      <c r="G301" s="106" t="str">
        <f>SUMIFS(Cast!C:C,CastElements,A301)</f>
        <v>0</v>
      </c>
      <c r="H301" s="106" t="str">
        <f t="shared" si="4"/>
        <v>0</v>
      </c>
      <c r="I301" s="106" t="str">
        <f>SUMIFS(Del!C:C,Del!B:B,A301)</f>
        <v>0</v>
      </c>
      <c r="J301" s="106" t="str">
        <f t="shared" si="5"/>
        <v>0</v>
      </c>
      <c r="K301" s="106" t="str">
        <f t="shared" si="6"/>
        <v>0</v>
      </c>
      <c r="L301" s="106"/>
      <c r="M301" s="106" t="str">
        <f>SUMIFS(Ere!C:C,Ere!B:B,A301)</f>
        <v>0</v>
      </c>
      <c r="N301" s="106" t="str">
        <f t="shared" si="7"/>
        <v>0</v>
      </c>
      <c r="O301" s="107" t="str">
        <f t="array" ref="O301">XLOOKUP(A301,Data!F:F,Data!O:O)</f>
        <v/>
      </c>
      <c r="P301" s="107" t="str">
        <f t="shared" si="8"/>
        <v>  -   </v>
      </c>
      <c r="Q301" s="27"/>
    </row>
    <row r="302" ht="15.75" customHeight="1">
      <c r="A302" s="105" t="s">
        <v>546</v>
      </c>
      <c r="B302" s="19" t="str">
        <f t="array" ref="B302">XLOOKUP(A302,Data!F:F,Data!G:G)</f>
        <v>A1C</v>
      </c>
      <c r="C302" s="19" t="str">
        <f t="shared" si="3"/>
        <v>A017</v>
      </c>
      <c r="D302" s="19" t="str">
        <f t="array" ref="D302">XLOOKUP(A302,Data!F:F,Data!C:C)</f>
        <v/>
      </c>
      <c r="E302" s="19" t="str">
        <f t="array" ref="E302">XLOOKUP(A302,Data!F:F,Data!H:H)</f>
        <v/>
      </c>
      <c r="F302" s="106" t="str">
        <f>SUMIFS(Data!J:J,Data!F:F,A302)</f>
        <v>0</v>
      </c>
      <c r="G302" s="106" t="str">
        <f>SUMIFS(Cast!C:C,CastElements,A302)</f>
        <v>0</v>
      </c>
      <c r="H302" s="106" t="str">
        <f t="shared" si="4"/>
        <v>0</v>
      </c>
      <c r="I302" s="106" t="str">
        <f>SUMIFS(Del!C:C,Del!B:B,A302)</f>
        <v>0</v>
      </c>
      <c r="J302" s="106" t="str">
        <f t="shared" si="5"/>
        <v>0</v>
      </c>
      <c r="K302" s="106" t="str">
        <f t="shared" si="6"/>
        <v>0</v>
      </c>
      <c r="L302" s="106"/>
      <c r="M302" s="106" t="str">
        <f>SUMIFS(Ere!C:C,Ere!B:B,A302)</f>
        <v>0</v>
      </c>
      <c r="N302" s="106" t="str">
        <f t="shared" si="7"/>
        <v>0</v>
      </c>
      <c r="O302" s="107" t="str">
        <f t="array" ref="O302">XLOOKUP(A302,Data!F:F,Data!O:O)</f>
        <v/>
      </c>
      <c r="P302" s="107" t="str">
        <f t="shared" si="8"/>
        <v>  -   </v>
      </c>
      <c r="Q302" s="27"/>
    </row>
    <row r="303" ht="15.75" customHeight="1">
      <c r="A303" s="105" t="s">
        <v>547</v>
      </c>
      <c r="B303" s="19" t="str">
        <f t="array" ref="B303">XLOOKUP(A303,Data!F:F,Data!G:G)</f>
        <v>A1C</v>
      </c>
      <c r="C303" s="19" t="str">
        <f t="shared" si="3"/>
        <v>A017</v>
      </c>
      <c r="D303" s="19" t="str">
        <f t="array" ref="D303">XLOOKUP(A303,Data!F:F,Data!C:C)</f>
        <v/>
      </c>
      <c r="E303" s="19" t="str">
        <f t="array" ref="E303">XLOOKUP(A303,Data!F:F,Data!H:H)</f>
        <v/>
      </c>
      <c r="F303" s="106" t="str">
        <f>SUMIFS(Data!J:J,Data!F:F,A303)</f>
        <v>0</v>
      </c>
      <c r="G303" s="106" t="str">
        <f>SUMIFS(Cast!C:C,CastElements,A303)</f>
        <v>0</v>
      </c>
      <c r="H303" s="106" t="str">
        <f t="shared" si="4"/>
        <v>0</v>
      </c>
      <c r="I303" s="106" t="str">
        <f>SUMIFS(Del!C:C,Del!B:B,A303)</f>
        <v>0</v>
      </c>
      <c r="J303" s="106" t="str">
        <f t="shared" si="5"/>
        <v>0</v>
      </c>
      <c r="K303" s="106" t="str">
        <f t="shared" si="6"/>
        <v>0</v>
      </c>
      <c r="L303" s="106"/>
      <c r="M303" s="106" t="str">
        <f>SUMIFS(Ere!C:C,Ere!B:B,A303)</f>
        <v>0</v>
      </c>
      <c r="N303" s="106" t="str">
        <f t="shared" si="7"/>
        <v>0</v>
      </c>
      <c r="O303" s="107" t="str">
        <f t="array" ref="O303">XLOOKUP(A303,Data!F:F,Data!O:O)</f>
        <v/>
      </c>
      <c r="P303" s="107" t="str">
        <f t="shared" si="8"/>
        <v>  -   </v>
      </c>
      <c r="Q303" s="27"/>
    </row>
    <row r="304" ht="15.75" customHeight="1">
      <c r="A304" s="105" t="s">
        <v>548</v>
      </c>
      <c r="B304" s="19" t="str">
        <f t="array" ref="B304">XLOOKUP(A304,Data!F:F,Data!G:G)</f>
        <v>A1C</v>
      </c>
      <c r="C304" s="19" t="str">
        <f t="shared" si="3"/>
        <v>A017</v>
      </c>
      <c r="D304" s="19" t="str">
        <f t="array" ref="D304">XLOOKUP(A304,Data!F:F,Data!C:C)</f>
        <v/>
      </c>
      <c r="E304" s="19" t="str">
        <f t="array" ref="E304">XLOOKUP(A304,Data!F:F,Data!H:H)</f>
        <v/>
      </c>
      <c r="F304" s="106" t="str">
        <f>SUMIFS(Data!J:J,Data!F:F,A304)</f>
        <v>0</v>
      </c>
      <c r="G304" s="106" t="str">
        <f>SUMIFS(Cast!C:C,CastElements,A304)</f>
        <v>0</v>
      </c>
      <c r="H304" s="106" t="str">
        <f t="shared" si="4"/>
        <v>0</v>
      </c>
      <c r="I304" s="106" t="str">
        <f>SUMIFS(Del!C:C,Del!B:B,A304)</f>
        <v>0</v>
      </c>
      <c r="J304" s="106" t="str">
        <f t="shared" si="5"/>
        <v>0</v>
      </c>
      <c r="K304" s="106" t="str">
        <f t="shared" si="6"/>
        <v>0</v>
      </c>
      <c r="L304" s="106"/>
      <c r="M304" s="106" t="str">
        <f>SUMIFS(Ere!C:C,Ere!B:B,A304)</f>
        <v>0</v>
      </c>
      <c r="N304" s="106" t="str">
        <f t="shared" si="7"/>
        <v>0</v>
      </c>
      <c r="O304" s="107" t="str">
        <f t="array" ref="O304">XLOOKUP(A304,Data!F:F,Data!O:O)</f>
        <v/>
      </c>
      <c r="P304" s="107" t="str">
        <f t="shared" si="8"/>
        <v>  -   </v>
      </c>
      <c r="Q304" s="27"/>
    </row>
    <row r="305" ht="15.75" customHeight="1">
      <c r="A305" s="105" t="s">
        <v>549</v>
      </c>
      <c r="B305" s="19" t="str">
        <f t="array" ref="B305">XLOOKUP(A305,Data!F:F,Data!G:G)</f>
        <v>A1C</v>
      </c>
      <c r="C305" s="19" t="str">
        <f t="shared" si="3"/>
        <v>A017</v>
      </c>
      <c r="D305" s="19" t="str">
        <f t="array" ref="D305">XLOOKUP(A305,Data!F:F,Data!C:C)</f>
        <v/>
      </c>
      <c r="E305" s="19" t="str">
        <f t="array" ref="E305">XLOOKUP(A305,Data!F:F,Data!H:H)</f>
        <v>BW</v>
      </c>
      <c r="F305" s="106" t="str">
        <f>SUMIFS(Data!J:J,Data!F:F,A305)</f>
        <v>1</v>
      </c>
      <c r="G305" s="106" t="str">
        <f>SUMIFS(Cast!C:C,CastElements,A305)</f>
        <v>1</v>
      </c>
      <c r="H305" s="106" t="str">
        <f t="shared" si="4"/>
        <v>0</v>
      </c>
      <c r="I305" s="106" t="str">
        <f>SUMIFS(Del!C:C,Del!B:B,A305)</f>
        <v>0</v>
      </c>
      <c r="J305" s="106" t="str">
        <f t="shared" si="5"/>
        <v>1</v>
      </c>
      <c r="K305" s="106" t="str">
        <f t="shared" si="6"/>
        <v>1</v>
      </c>
      <c r="L305" s="106"/>
      <c r="M305" s="106" t="str">
        <f>SUMIFS(Ere!C:C,Ere!B:B,A305)</f>
        <v>0</v>
      </c>
      <c r="N305" s="106" t="str">
        <f t="shared" si="7"/>
        <v>1</v>
      </c>
      <c r="O305" s="107" t="str">
        <f t="array" ref="O305">XLOOKUP(A305,Data!F:F,Data!O:O)</f>
        <v>  2.21 </v>
      </c>
      <c r="P305" s="107" t="str">
        <f t="shared" si="8"/>
        <v>  5.52 </v>
      </c>
      <c r="Q305" s="27"/>
    </row>
    <row r="306" ht="15.75" customHeight="1">
      <c r="A306" s="105" t="s">
        <v>550</v>
      </c>
      <c r="B306" s="19" t="str">
        <f t="array" ref="B306">XLOOKUP(A306,Data!F:F,Data!G:G)</f>
        <v>A1C</v>
      </c>
      <c r="C306" s="19" t="str">
        <f t="shared" si="3"/>
        <v>A017</v>
      </c>
      <c r="D306" s="19" t="str">
        <f t="array" ref="D306">XLOOKUP(A306,Data!F:F,Data!C:C)</f>
        <v/>
      </c>
      <c r="E306" s="19" t="str">
        <f t="array" ref="E306">XLOOKUP(A306,Data!F:F,Data!H:H)</f>
        <v>BW</v>
      </c>
      <c r="F306" s="106" t="str">
        <f>SUMIFS(Data!J:J,Data!F:F,A306)</f>
        <v>1</v>
      </c>
      <c r="G306" s="106" t="str">
        <f>SUMIFS(Cast!C:C,CastElements,A306)</f>
        <v>1</v>
      </c>
      <c r="H306" s="106" t="str">
        <f t="shared" si="4"/>
        <v>0</v>
      </c>
      <c r="I306" s="106" t="str">
        <f>SUMIFS(Del!C:C,Del!B:B,A306)</f>
        <v>0</v>
      </c>
      <c r="J306" s="106" t="str">
        <f t="shared" si="5"/>
        <v>1</v>
      </c>
      <c r="K306" s="106" t="str">
        <f t="shared" si="6"/>
        <v>1</v>
      </c>
      <c r="L306" s="106"/>
      <c r="M306" s="106" t="str">
        <f>SUMIFS(Ere!C:C,Ere!B:B,A306)</f>
        <v>0</v>
      </c>
      <c r="N306" s="106" t="str">
        <f t="shared" si="7"/>
        <v>1</v>
      </c>
      <c r="O306" s="107" t="str">
        <f t="array" ref="O306">XLOOKUP(A306,Data!F:F,Data!O:O)</f>
        <v>  2.21 </v>
      </c>
      <c r="P306" s="107" t="str">
        <f t="shared" si="8"/>
        <v>  5.52 </v>
      </c>
      <c r="Q306" s="27"/>
    </row>
    <row r="307" ht="15.75" customHeight="1">
      <c r="A307" s="105" t="s">
        <v>551</v>
      </c>
      <c r="B307" s="19" t="str">
        <f t="array" ref="B307">XLOOKUP(A307,Data!F:F,Data!G:G)</f>
        <v>A1C</v>
      </c>
      <c r="C307" s="19" t="str">
        <f t="shared" si="3"/>
        <v>A017</v>
      </c>
      <c r="D307" s="19" t="str">
        <f t="array" ref="D307">XLOOKUP(A307,Data!F:F,Data!C:C)</f>
        <v/>
      </c>
      <c r="E307" s="19" t="str">
        <f t="array" ref="E307">XLOOKUP(A307,Data!F:F,Data!H:H)</f>
        <v>BW</v>
      </c>
      <c r="F307" s="106" t="str">
        <f>SUMIFS(Data!J:J,Data!F:F,A307)</f>
        <v>1</v>
      </c>
      <c r="G307" s="106" t="str">
        <f>SUMIFS(Cast!C:C,CastElements,A307)</f>
        <v>0</v>
      </c>
      <c r="H307" s="106" t="str">
        <f t="shared" si="4"/>
        <v>1</v>
      </c>
      <c r="I307" s="106" t="str">
        <f>SUMIFS(Del!C:C,Del!B:B,A307)</f>
        <v>0</v>
      </c>
      <c r="J307" s="106" t="str">
        <f t="shared" si="5"/>
        <v>1</v>
      </c>
      <c r="K307" s="106" t="str">
        <f t="shared" si="6"/>
        <v>0</v>
      </c>
      <c r="L307" s="106"/>
      <c r="M307" s="106" t="str">
        <f>SUMIFS(Ere!C:C,Ere!B:B,A307)</f>
        <v>0</v>
      </c>
      <c r="N307" s="106" t="str">
        <f t="shared" si="7"/>
        <v>1</v>
      </c>
      <c r="O307" s="107" t="str">
        <f t="array" ref="O307">XLOOKUP(A307,Data!F:F,Data!O:O)</f>
        <v>  2.21 </v>
      </c>
      <c r="P307" s="107" t="str">
        <f t="shared" si="8"/>
        <v>  5.52 </v>
      </c>
      <c r="Q307" s="27"/>
    </row>
    <row r="308" ht="15.75" customHeight="1">
      <c r="A308" s="105" t="s">
        <v>552</v>
      </c>
      <c r="B308" s="19" t="str">
        <f t="array" ref="B308">XLOOKUP(A308,Data!F:F,Data!G:G)</f>
        <v>A1C</v>
      </c>
      <c r="C308" s="19" t="str">
        <f t="shared" si="3"/>
        <v>A017</v>
      </c>
      <c r="D308" s="19" t="str">
        <f t="array" ref="D308">XLOOKUP(A308,Data!F:F,Data!C:C)</f>
        <v/>
      </c>
      <c r="E308" s="19" t="str">
        <f t="array" ref="E308">XLOOKUP(A308,Data!F:F,Data!H:H)</f>
        <v/>
      </c>
      <c r="F308" s="106" t="str">
        <f>SUMIFS(Data!J:J,Data!F:F,A308)</f>
        <v>0</v>
      </c>
      <c r="G308" s="106" t="str">
        <f>SUMIFS(Cast!C:C,CastElements,A308)</f>
        <v>0</v>
      </c>
      <c r="H308" s="106" t="str">
        <f t="shared" si="4"/>
        <v>0</v>
      </c>
      <c r="I308" s="106" t="str">
        <f>SUMIFS(Del!C:C,Del!B:B,A308)</f>
        <v>0</v>
      </c>
      <c r="J308" s="106" t="str">
        <f t="shared" si="5"/>
        <v>0</v>
      </c>
      <c r="K308" s="106" t="str">
        <f t="shared" si="6"/>
        <v>0</v>
      </c>
      <c r="L308" s="106"/>
      <c r="M308" s="106" t="str">
        <f>SUMIFS(Ere!C:C,Ere!B:B,A308)</f>
        <v>0</v>
      </c>
      <c r="N308" s="106" t="str">
        <f t="shared" si="7"/>
        <v>0</v>
      </c>
      <c r="O308" s="107" t="str">
        <f t="array" ref="O308">XLOOKUP(A308,Data!F:F,Data!O:O)</f>
        <v/>
      </c>
      <c r="P308" s="107" t="str">
        <f t="shared" si="8"/>
        <v>  -   </v>
      </c>
      <c r="Q308" s="27"/>
    </row>
    <row r="309" ht="15.75" customHeight="1">
      <c r="A309" s="105" t="s">
        <v>553</v>
      </c>
      <c r="B309" s="19" t="str">
        <f t="array" ref="B309">XLOOKUP(A309,Data!F:F,Data!G:G)</f>
        <v>A1C</v>
      </c>
      <c r="C309" s="19" t="str">
        <f t="shared" si="3"/>
        <v>A017</v>
      </c>
      <c r="D309" s="19" t="str">
        <f t="array" ref="D309">XLOOKUP(A309,Data!F:F,Data!C:C)</f>
        <v/>
      </c>
      <c r="E309" s="19" t="str">
        <f t="array" ref="E309">XLOOKUP(A309,Data!F:F,Data!H:H)</f>
        <v/>
      </c>
      <c r="F309" s="106" t="str">
        <f>SUMIFS(Data!J:J,Data!F:F,A309)</f>
        <v>0</v>
      </c>
      <c r="G309" s="106" t="str">
        <f>SUMIFS(Cast!C:C,CastElements,A309)</f>
        <v>0</v>
      </c>
      <c r="H309" s="106" t="str">
        <f t="shared" si="4"/>
        <v>0</v>
      </c>
      <c r="I309" s="106" t="str">
        <f>SUMIFS(Del!C:C,Del!B:B,A309)</f>
        <v>0</v>
      </c>
      <c r="J309" s="106" t="str">
        <f t="shared" si="5"/>
        <v>0</v>
      </c>
      <c r="K309" s="106" t="str">
        <f t="shared" si="6"/>
        <v>0</v>
      </c>
      <c r="L309" s="106"/>
      <c r="M309" s="106" t="str">
        <f>SUMIFS(Ere!C:C,Ere!B:B,A309)</f>
        <v>0</v>
      </c>
      <c r="N309" s="106" t="str">
        <f t="shared" si="7"/>
        <v>0</v>
      </c>
      <c r="O309" s="107" t="str">
        <f t="array" ref="O309">XLOOKUP(A309,Data!F:F,Data!O:O)</f>
        <v/>
      </c>
      <c r="P309" s="107" t="str">
        <f t="shared" si="8"/>
        <v>  -   </v>
      </c>
      <c r="Q309" s="27"/>
    </row>
    <row r="310" ht="15.75" customHeight="1">
      <c r="A310" s="105" t="s">
        <v>554</v>
      </c>
      <c r="B310" s="19" t="str">
        <f t="array" ref="B310">XLOOKUP(A310,Data!F:F,Data!G:G)</f>
        <v>A1C</v>
      </c>
      <c r="C310" s="19" t="str">
        <f t="shared" si="3"/>
        <v>A017</v>
      </c>
      <c r="D310" s="19" t="str">
        <f t="array" ref="D310">XLOOKUP(A310,Data!F:F,Data!C:C)</f>
        <v/>
      </c>
      <c r="E310" s="19" t="str">
        <f t="array" ref="E310">XLOOKUP(A310,Data!F:F,Data!H:H)</f>
        <v/>
      </c>
      <c r="F310" s="106" t="str">
        <f>SUMIFS(Data!J:J,Data!F:F,A310)</f>
        <v>0</v>
      </c>
      <c r="G310" s="106" t="str">
        <f>SUMIFS(Cast!C:C,CastElements,A310)</f>
        <v>0</v>
      </c>
      <c r="H310" s="106" t="str">
        <f t="shared" si="4"/>
        <v>0</v>
      </c>
      <c r="I310" s="106" t="str">
        <f>SUMIFS(Del!C:C,Del!B:B,A310)</f>
        <v>0</v>
      </c>
      <c r="J310" s="106" t="str">
        <f t="shared" si="5"/>
        <v>0</v>
      </c>
      <c r="K310" s="106" t="str">
        <f t="shared" si="6"/>
        <v>0</v>
      </c>
      <c r="L310" s="106"/>
      <c r="M310" s="106" t="str">
        <f>SUMIFS(Ere!C:C,Ere!B:B,A310)</f>
        <v>0</v>
      </c>
      <c r="N310" s="106" t="str">
        <f t="shared" si="7"/>
        <v>0</v>
      </c>
      <c r="O310" s="107" t="str">
        <f t="array" ref="O310">XLOOKUP(A310,Data!F:F,Data!O:O)</f>
        <v/>
      </c>
      <c r="P310" s="107" t="str">
        <f t="shared" si="8"/>
        <v>  -   </v>
      </c>
      <c r="Q310" s="27"/>
    </row>
    <row r="311" ht="15.75" customHeight="1">
      <c r="A311" s="105" t="s">
        <v>555</v>
      </c>
      <c r="B311" s="19" t="str">
        <f t="array" ref="B311">XLOOKUP(A311,Data!F:F,Data!G:G)</f>
        <v>A1C</v>
      </c>
      <c r="C311" s="19" t="str">
        <f t="shared" si="3"/>
        <v>A018</v>
      </c>
      <c r="D311" s="19" t="str">
        <f t="array" ref="D311">XLOOKUP(A311,Data!F:F,Data!C:C)</f>
        <v/>
      </c>
      <c r="E311" s="19" t="str">
        <f t="array" ref="E311">XLOOKUP(A311,Data!F:F,Data!H:H)</f>
        <v/>
      </c>
      <c r="F311" s="106" t="str">
        <f>SUMIFS(Data!J:J,Data!F:F,A311)</f>
        <v>0</v>
      </c>
      <c r="G311" s="106" t="str">
        <f>SUMIFS(Cast!C:C,CastElements,A311)</f>
        <v>0</v>
      </c>
      <c r="H311" s="106" t="str">
        <f t="shared" si="4"/>
        <v>0</v>
      </c>
      <c r="I311" s="106" t="str">
        <f>SUMIFS(Del!C:C,Del!B:B,A311)</f>
        <v>0</v>
      </c>
      <c r="J311" s="106" t="str">
        <f t="shared" si="5"/>
        <v>0</v>
      </c>
      <c r="K311" s="106" t="str">
        <f t="shared" si="6"/>
        <v>0</v>
      </c>
      <c r="L311" s="106"/>
      <c r="M311" s="106" t="str">
        <f>SUMIFS(Ere!C:C,Ere!B:B,A311)</f>
        <v>0</v>
      </c>
      <c r="N311" s="106" t="str">
        <f t="shared" si="7"/>
        <v>0</v>
      </c>
      <c r="O311" s="107" t="str">
        <f t="array" ref="O311">XLOOKUP(A311,Data!F:F,Data!O:O)</f>
        <v/>
      </c>
      <c r="P311" s="107" t="str">
        <f t="shared" si="8"/>
        <v>  -   </v>
      </c>
      <c r="Q311" s="27"/>
    </row>
    <row r="312" ht="15.75" customHeight="1">
      <c r="A312" s="105" t="s">
        <v>556</v>
      </c>
      <c r="B312" s="19" t="str">
        <f t="array" ref="B312">XLOOKUP(A312,Data!F:F,Data!G:G)</f>
        <v>A1C</v>
      </c>
      <c r="C312" s="19" t="str">
        <f t="shared" si="3"/>
        <v>A018</v>
      </c>
      <c r="D312" s="19" t="str">
        <f t="array" ref="D312">XLOOKUP(A312,Data!F:F,Data!C:C)</f>
        <v/>
      </c>
      <c r="E312" s="19" t="str">
        <f t="array" ref="E312">XLOOKUP(A312,Data!F:F,Data!H:H)</f>
        <v/>
      </c>
      <c r="F312" s="106" t="str">
        <f>SUMIFS(Data!J:J,Data!F:F,A312)</f>
        <v>0</v>
      </c>
      <c r="G312" s="106" t="str">
        <f>SUMIFS(Cast!C:C,CastElements,A312)</f>
        <v>0</v>
      </c>
      <c r="H312" s="106" t="str">
        <f t="shared" si="4"/>
        <v>0</v>
      </c>
      <c r="I312" s="106" t="str">
        <f>SUMIFS(Del!C:C,Del!B:B,A312)</f>
        <v>0</v>
      </c>
      <c r="J312" s="106" t="str">
        <f t="shared" si="5"/>
        <v>0</v>
      </c>
      <c r="K312" s="106" t="str">
        <f t="shared" si="6"/>
        <v>0</v>
      </c>
      <c r="L312" s="106"/>
      <c r="M312" s="106" t="str">
        <f>SUMIFS(Ere!C:C,Ere!B:B,A312)</f>
        <v>0</v>
      </c>
      <c r="N312" s="106" t="str">
        <f t="shared" si="7"/>
        <v>0</v>
      </c>
      <c r="O312" s="107" t="str">
        <f t="array" ref="O312">XLOOKUP(A312,Data!F:F,Data!O:O)</f>
        <v/>
      </c>
      <c r="P312" s="107" t="str">
        <f t="shared" si="8"/>
        <v>  -   </v>
      </c>
      <c r="Q312" s="27"/>
    </row>
    <row r="313" ht="15.75" customHeight="1">
      <c r="A313" s="105" t="s">
        <v>557</v>
      </c>
      <c r="B313" s="19" t="str">
        <f t="array" ref="B313">XLOOKUP(A313,Data!F:F,Data!G:G)</f>
        <v>A1C</v>
      </c>
      <c r="C313" s="19" t="str">
        <f t="shared" si="3"/>
        <v>A018</v>
      </c>
      <c r="D313" s="19" t="str">
        <f t="array" ref="D313">XLOOKUP(A313,Data!F:F,Data!C:C)</f>
        <v/>
      </c>
      <c r="E313" s="19" t="str">
        <f t="array" ref="E313">XLOOKUP(A313,Data!F:F,Data!H:H)</f>
        <v/>
      </c>
      <c r="F313" s="106" t="str">
        <f>SUMIFS(Data!J:J,Data!F:F,A313)</f>
        <v>0</v>
      </c>
      <c r="G313" s="106" t="str">
        <f>SUMIFS(Cast!C:C,CastElements,A313)</f>
        <v>0</v>
      </c>
      <c r="H313" s="106" t="str">
        <f t="shared" si="4"/>
        <v>0</v>
      </c>
      <c r="I313" s="106" t="str">
        <f>SUMIFS(Del!C:C,Del!B:B,A313)</f>
        <v>0</v>
      </c>
      <c r="J313" s="106" t="str">
        <f t="shared" si="5"/>
        <v>0</v>
      </c>
      <c r="K313" s="106" t="str">
        <f t="shared" si="6"/>
        <v>0</v>
      </c>
      <c r="L313" s="106"/>
      <c r="M313" s="106" t="str">
        <f>SUMIFS(Ere!C:C,Ere!B:B,A313)</f>
        <v>0</v>
      </c>
      <c r="N313" s="106" t="str">
        <f t="shared" si="7"/>
        <v>0</v>
      </c>
      <c r="O313" s="107" t="str">
        <f t="array" ref="O313">XLOOKUP(A313,Data!F:F,Data!O:O)</f>
        <v/>
      </c>
      <c r="P313" s="107" t="str">
        <f t="shared" si="8"/>
        <v>  -   </v>
      </c>
      <c r="Q313" s="27"/>
    </row>
    <row r="314" ht="15.75" customHeight="1">
      <c r="A314" s="105" t="s">
        <v>558</v>
      </c>
      <c r="B314" s="19" t="str">
        <f t="array" ref="B314">XLOOKUP(A314,Data!F:F,Data!G:G)</f>
        <v>A1C</v>
      </c>
      <c r="C314" s="19" t="str">
        <f t="shared" si="3"/>
        <v>A018</v>
      </c>
      <c r="D314" s="19" t="str">
        <f t="array" ref="D314">XLOOKUP(A314,Data!F:F,Data!C:C)</f>
        <v/>
      </c>
      <c r="E314" s="19" t="str">
        <f t="array" ref="E314">XLOOKUP(A314,Data!F:F,Data!H:H)</f>
        <v/>
      </c>
      <c r="F314" s="106" t="str">
        <f>SUMIFS(Data!J:J,Data!F:F,A314)</f>
        <v>0</v>
      </c>
      <c r="G314" s="106" t="str">
        <f>SUMIFS(Cast!C:C,CastElements,A314)</f>
        <v>0</v>
      </c>
      <c r="H314" s="106" t="str">
        <f t="shared" si="4"/>
        <v>0</v>
      </c>
      <c r="I314" s="106" t="str">
        <f>SUMIFS(Del!C:C,Del!B:B,A314)</f>
        <v>0</v>
      </c>
      <c r="J314" s="106" t="str">
        <f t="shared" si="5"/>
        <v>0</v>
      </c>
      <c r="K314" s="106" t="str">
        <f t="shared" si="6"/>
        <v>0</v>
      </c>
      <c r="L314" s="106"/>
      <c r="M314" s="106" t="str">
        <f>SUMIFS(Ere!C:C,Ere!B:B,A314)</f>
        <v>0</v>
      </c>
      <c r="N314" s="106" t="str">
        <f t="shared" si="7"/>
        <v>0</v>
      </c>
      <c r="O314" s="107" t="str">
        <f t="array" ref="O314">XLOOKUP(A314,Data!F:F,Data!O:O)</f>
        <v/>
      </c>
      <c r="P314" s="107" t="str">
        <f t="shared" si="8"/>
        <v>  -   </v>
      </c>
      <c r="Q314" s="27"/>
    </row>
    <row r="315" ht="15.75" customHeight="1">
      <c r="A315" s="105" t="s">
        <v>559</v>
      </c>
      <c r="B315" s="19" t="str">
        <f t="array" ref="B315">XLOOKUP(A315,Data!F:F,Data!G:G)</f>
        <v>A1C</v>
      </c>
      <c r="C315" s="19" t="str">
        <f t="shared" si="3"/>
        <v>A018</v>
      </c>
      <c r="D315" s="19" t="str">
        <f t="array" ref="D315">XLOOKUP(A315,Data!F:F,Data!C:C)</f>
        <v/>
      </c>
      <c r="E315" s="19" t="str">
        <f t="array" ref="E315">XLOOKUP(A315,Data!F:F,Data!H:H)</f>
        <v/>
      </c>
      <c r="F315" s="106" t="str">
        <f>SUMIFS(Data!J:J,Data!F:F,A315)</f>
        <v>0</v>
      </c>
      <c r="G315" s="106" t="str">
        <f>SUMIFS(Cast!C:C,CastElements,A315)</f>
        <v>0</v>
      </c>
      <c r="H315" s="106" t="str">
        <f t="shared" si="4"/>
        <v>0</v>
      </c>
      <c r="I315" s="106" t="str">
        <f>SUMIFS(Del!C:C,Del!B:B,A315)</f>
        <v>0</v>
      </c>
      <c r="J315" s="106" t="str">
        <f t="shared" si="5"/>
        <v>0</v>
      </c>
      <c r="K315" s="106" t="str">
        <f t="shared" si="6"/>
        <v>0</v>
      </c>
      <c r="L315" s="106"/>
      <c r="M315" s="106" t="str">
        <f>SUMIFS(Ere!C:C,Ere!B:B,A315)</f>
        <v>0</v>
      </c>
      <c r="N315" s="106" t="str">
        <f t="shared" si="7"/>
        <v>0</v>
      </c>
      <c r="O315" s="107" t="str">
        <f t="array" ref="O315">XLOOKUP(A315,Data!F:F,Data!O:O)</f>
        <v/>
      </c>
      <c r="P315" s="107" t="str">
        <f t="shared" si="8"/>
        <v>  -   </v>
      </c>
      <c r="Q315" s="27"/>
    </row>
    <row r="316" ht="15.75" customHeight="1">
      <c r="A316" s="105" t="s">
        <v>560</v>
      </c>
      <c r="B316" s="19" t="str">
        <f t="array" ref="B316">XLOOKUP(A316,Data!F:F,Data!G:G)</f>
        <v>A1C</v>
      </c>
      <c r="C316" s="19" t="str">
        <f t="shared" si="3"/>
        <v>A018</v>
      </c>
      <c r="D316" s="19" t="str">
        <f t="array" ref="D316">XLOOKUP(A316,Data!F:F,Data!C:C)</f>
        <v/>
      </c>
      <c r="E316" s="19" t="str">
        <f t="array" ref="E316">XLOOKUP(A316,Data!F:F,Data!H:H)</f>
        <v/>
      </c>
      <c r="F316" s="106" t="str">
        <f>SUMIFS(Data!J:J,Data!F:F,A316)</f>
        <v>0</v>
      </c>
      <c r="G316" s="106" t="str">
        <f>SUMIFS(Cast!C:C,CastElements,A316)</f>
        <v>0</v>
      </c>
      <c r="H316" s="106" t="str">
        <f t="shared" si="4"/>
        <v>0</v>
      </c>
      <c r="I316" s="106" t="str">
        <f>SUMIFS(Del!C:C,Del!B:B,A316)</f>
        <v>0</v>
      </c>
      <c r="J316" s="106" t="str">
        <f t="shared" si="5"/>
        <v>0</v>
      </c>
      <c r="K316" s="106" t="str">
        <f t="shared" si="6"/>
        <v>0</v>
      </c>
      <c r="L316" s="106"/>
      <c r="M316" s="106" t="str">
        <f>SUMIFS(Ere!C:C,Ere!B:B,A316)</f>
        <v>0</v>
      </c>
      <c r="N316" s="106" t="str">
        <f t="shared" si="7"/>
        <v>0</v>
      </c>
      <c r="O316" s="107" t="str">
        <f t="array" ref="O316">XLOOKUP(A316,Data!F:F,Data!O:O)</f>
        <v/>
      </c>
      <c r="P316" s="107" t="str">
        <f t="shared" si="8"/>
        <v>  -   </v>
      </c>
      <c r="Q316" s="27"/>
    </row>
    <row r="317" ht="15.75" customHeight="1">
      <c r="A317" s="105" t="s">
        <v>561</v>
      </c>
      <c r="B317" s="19" t="str">
        <f t="array" ref="B317">XLOOKUP(A317,Data!F:F,Data!G:G)</f>
        <v>A1C</v>
      </c>
      <c r="C317" s="19" t="str">
        <f t="shared" si="3"/>
        <v>A018</v>
      </c>
      <c r="D317" s="19" t="str">
        <f t="array" ref="D317">XLOOKUP(A317,Data!F:F,Data!C:C)</f>
        <v/>
      </c>
      <c r="E317" s="19" t="str">
        <f t="array" ref="E317">XLOOKUP(A317,Data!F:F,Data!H:H)</f>
        <v/>
      </c>
      <c r="F317" s="106" t="str">
        <f>SUMIFS(Data!J:J,Data!F:F,A317)</f>
        <v>0</v>
      </c>
      <c r="G317" s="106" t="str">
        <f>SUMIFS(Cast!C:C,CastElements,A317)</f>
        <v>0</v>
      </c>
      <c r="H317" s="106" t="str">
        <f t="shared" si="4"/>
        <v>0</v>
      </c>
      <c r="I317" s="106" t="str">
        <f>SUMIFS(Del!C:C,Del!B:B,A317)</f>
        <v>0</v>
      </c>
      <c r="J317" s="106" t="str">
        <f t="shared" si="5"/>
        <v>0</v>
      </c>
      <c r="K317" s="106" t="str">
        <f t="shared" si="6"/>
        <v>0</v>
      </c>
      <c r="L317" s="106"/>
      <c r="M317" s="106" t="str">
        <f>SUMIFS(Ere!C:C,Ere!B:B,A317)</f>
        <v>0</v>
      </c>
      <c r="N317" s="106" t="str">
        <f t="shared" si="7"/>
        <v>0</v>
      </c>
      <c r="O317" s="107" t="str">
        <f t="array" ref="O317">XLOOKUP(A317,Data!F:F,Data!O:O)</f>
        <v/>
      </c>
      <c r="P317" s="107" t="str">
        <f t="shared" si="8"/>
        <v>  -   </v>
      </c>
      <c r="Q317" s="27"/>
    </row>
    <row r="318" ht="15.75" customHeight="1">
      <c r="A318" s="105" t="s">
        <v>562</v>
      </c>
      <c r="B318" s="19" t="str">
        <f t="array" ref="B318">XLOOKUP(A318,Data!F:F,Data!G:G)</f>
        <v>A1C</v>
      </c>
      <c r="C318" s="19" t="str">
        <f t="shared" si="3"/>
        <v>A018</v>
      </c>
      <c r="D318" s="19" t="str">
        <f t="array" ref="D318">XLOOKUP(A318,Data!F:F,Data!C:C)</f>
        <v/>
      </c>
      <c r="E318" s="19" t="str">
        <f t="array" ref="E318">XLOOKUP(A318,Data!F:F,Data!H:H)</f>
        <v/>
      </c>
      <c r="F318" s="106" t="str">
        <f>SUMIFS(Data!J:J,Data!F:F,A318)</f>
        <v>0</v>
      </c>
      <c r="G318" s="106" t="str">
        <f>SUMIFS(Cast!C:C,CastElements,A318)</f>
        <v>0</v>
      </c>
      <c r="H318" s="106" t="str">
        <f t="shared" si="4"/>
        <v>0</v>
      </c>
      <c r="I318" s="106" t="str">
        <f>SUMIFS(Del!C:C,Del!B:B,A318)</f>
        <v>0</v>
      </c>
      <c r="J318" s="106" t="str">
        <f t="shared" si="5"/>
        <v>0</v>
      </c>
      <c r="K318" s="106" t="str">
        <f t="shared" si="6"/>
        <v>0</v>
      </c>
      <c r="L318" s="106"/>
      <c r="M318" s="106" t="str">
        <f>SUMIFS(Ere!C:C,Ere!B:B,A318)</f>
        <v>0</v>
      </c>
      <c r="N318" s="106" t="str">
        <f t="shared" si="7"/>
        <v>0</v>
      </c>
      <c r="O318" s="107" t="str">
        <f t="array" ref="O318">XLOOKUP(A318,Data!F:F,Data!O:O)</f>
        <v/>
      </c>
      <c r="P318" s="107" t="str">
        <f t="shared" si="8"/>
        <v>  -   </v>
      </c>
      <c r="Q318" s="27"/>
    </row>
    <row r="319" ht="15.75" customHeight="1">
      <c r="A319" s="105" t="s">
        <v>563</v>
      </c>
      <c r="B319" s="19" t="str">
        <f t="array" ref="B319">XLOOKUP(A319,Data!F:F,Data!G:G)</f>
        <v>A1C</v>
      </c>
      <c r="C319" s="19" t="str">
        <f t="shared" si="3"/>
        <v>A018</v>
      </c>
      <c r="D319" s="19" t="str">
        <f t="array" ref="D319">XLOOKUP(A319,Data!F:F,Data!C:C)</f>
        <v/>
      </c>
      <c r="E319" s="19" t="str">
        <f t="array" ref="E319">XLOOKUP(A319,Data!F:F,Data!H:H)</f>
        <v/>
      </c>
      <c r="F319" s="106" t="str">
        <f>SUMIFS(Data!J:J,Data!F:F,A319)</f>
        <v>0</v>
      </c>
      <c r="G319" s="106" t="str">
        <f>SUMIFS(Cast!C:C,CastElements,A319)</f>
        <v>0</v>
      </c>
      <c r="H319" s="106" t="str">
        <f t="shared" si="4"/>
        <v>0</v>
      </c>
      <c r="I319" s="106" t="str">
        <f>SUMIFS(Del!C:C,Del!B:B,A319)</f>
        <v>0</v>
      </c>
      <c r="J319" s="106" t="str">
        <f t="shared" si="5"/>
        <v>0</v>
      </c>
      <c r="K319" s="106" t="str">
        <f t="shared" si="6"/>
        <v>0</v>
      </c>
      <c r="L319" s="106"/>
      <c r="M319" s="106" t="str">
        <f>SUMIFS(Ere!C:C,Ere!B:B,A319)</f>
        <v>0</v>
      </c>
      <c r="N319" s="106" t="str">
        <f t="shared" si="7"/>
        <v>0</v>
      </c>
      <c r="O319" s="107" t="str">
        <f t="array" ref="O319">XLOOKUP(A319,Data!F:F,Data!O:O)</f>
        <v/>
      </c>
      <c r="P319" s="107" t="str">
        <f t="shared" si="8"/>
        <v>  -   </v>
      </c>
      <c r="Q319" s="27"/>
    </row>
    <row r="320" ht="15.75" customHeight="1">
      <c r="A320" s="105" t="s">
        <v>564</v>
      </c>
      <c r="B320" s="19" t="str">
        <f t="array" ref="B320">XLOOKUP(A320,Data!F:F,Data!G:G)</f>
        <v>A1C</v>
      </c>
      <c r="C320" s="19" t="str">
        <f t="shared" si="3"/>
        <v>A018</v>
      </c>
      <c r="D320" s="19" t="str">
        <f t="array" ref="D320">XLOOKUP(A320,Data!F:F,Data!C:C)</f>
        <v/>
      </c>
      <c r="E320" s="19" t="str">
        <f t="array" ref="E320">XLOOKUP(A320,Data!F:F,Data!H:H)</f>
        <v/>
      </c>
      <c r="F320" s="106" t="str">
        <f>SUMIFS(Data!J:J,Data!F:F,A320)</f>
        <v>0</v>
      </c>
      <c r="G320" s="106" t="str">
        <f>SUMIFS(Cast!C:C,CastElements,A320)</f>
        <v>0</v>
      </c>
      <c r="H320" s="106" t="str">
        <f t="shared" si="4"/>
        <v>0</v>
      </c>
      <c r="I320" s="106" t="str">
        <f>SUMIFS(Del!C:C,Del!B:B,A320)</f>
        <v>0</v>
      </c>
      <c r="J320" s="106" t="str">
        <f t="shared" si="5"/>
        <v>0</v>
      </c>
      <c r="K320" s="106" t="str">
        <f t="shared" si="6"/>
        <v>0</v>
      </c>
      <c r="L320" s="106"/>
      <c r="M320" s="106" t="str">
        <f>SUMIFS(Ere!C:C,Ere!B:B,A320)</f>
        <v>0</v>
      </c>
      <c r="N320" s="106" t="str">
        <f t="shared" si="7"/>
        <v>0</v>
      </c>
      <c r="O320" s="107" t="str">
        <f t="array" ref="O320">XLOOKUP(A320,Data!F:F,Data!O:O)</f>
        <v/>
      </c>
      <c r="P320" s="107" t="str">
        <f t="shared" si="8"/>
        <v>  -   </v>
      </c>
      <c r="Q320" s="27"/>
    </row>
    <row r="321" ht="15.75" customHeight="1">
      <c r="A321" s="105" t="s">
        <v>565</v>
      </c>
      <c r="B321" s="19" t="str">
        <f t="array" ref="B321">XLOOKUP(A321,Data!F:F,Data!G:G)</f>
        <v>A1C</v>
      </c>
      <c r="C321" s="19" t="str">
        <f t="shared" si="3"/>
        <v>A018</v>
      </c>
      <c r="D321" s="19" t="str">
        <f t="array" ref="D321">XLOOKUP(A321,Data!F:F,Data!C:C)</f>
        <v/>
      </c>
      <c r="E321" s="19" t="str">
        <f t="array" ref="E321">XLOOKUP(A321,Data!F:F,Data!H:H)</f>
        <v/>
      </c>
      <c r="F321" s="106" t="str">
        <f>SUMIFS(Data!J:J,Data!F:F,A321)</f>
        <v>0</v>
      </c>
      <c r="G321" s="106" t="str">
        <f>SUMIFS(Cast!C:C,CastElements,A321)</f>
        <v>0</v>
      </c>
      <c r="H321" s="106" t="str">
        <f t="shared" si="4"/>
        <v>0</v>
      </c>
      <c r="I321" s="106" t="str">
        <f>SUMIFS(Del!C:C,Del!B:B,A321)</f>
        <v>0</v>
      </c>
      <c r="J321" s="106" t="str">
        <f t="shared" si="5"/>
        <v>0</v>
      </c>
      <c r="K321" s="106" t="str">
        <f t="shared" si="6"/>
        <v>0</v>
      </c>
      <c r="L321" s="106"/>
      <c r="M321" s="106" t="str">
        <f>SUMIFS(Ere!C:C,Ere!B:B,A321)</f>
        <v>0</v>
      </c>
      <c r="N321" s="106" t="str">
        <f t="shared" si="7"/>
        <v>0</v>
      </c>
      <c r="O321" s="107" t="str">
        <f t="array" ref="O321">XLOOKUP(A321,Data!F:F,Data!O:O)</f>
        <v/>
      </c>
      <c r="P321" s="107" t="str">
        <f t="shared" si="8"/>
        <v>  -   </v>
      </c>
      <c r="Q321" s="27"/>
    </row>
    <row r="322" ht="15.75" customHeight="1">
      <c r="A322" s="105" t="s">
        <v>566</v>
      </c>
      <c r="B322" s="19" t="str">
        <f t="array" ref="B322">XLOOKUP(A322,Data!F:F,Data!G:G)</f>
        <v>A1C</v>
      </c>
      <c r="C322" s="19" t="str">
        <f t="shared" si="3"/>
        <v>A018</v>
      </c>
      <c r="D322" s="19" t="str">
        <f t="array" ref="D322">XLOOKUP(A322,Data!F:F,Data!C:C)</f>
        <v/>
      </c>
      <c r="E322" s="19" t="str">
        <f t="array" ref="E322">XLOOKUP(A322,Data!F:F,Data!H:H)</f>
        <v/>
      </c>
      <c r="F322" s="106" t="str">
        <f>SUMIFS(Data!J:J,Data!F:F,A322)</f>
        <v>0</v>
      </c>
      <c r="G322" s="106" t="str">
        <f>SUMIFS(Cast!C:C,CastElements,A322)</f>
        <v>0</v>
      </c>
      <c r="H322" s="106" t="str">
        <f t="shared" si="4"/>
        <v>0</v>
      </c>
      <c r="I322" s="106" t="str">
        <f>SUMIFS(Del!C:C,Del!B:B,A322)</f>
        <v>0</v>
      </c>
      <c r="J322" s="106" t="str">
        <f t="shared" si="5"/>
        <v>0</v>
      </c>
      <c r="K322" s="106" t="str">
        <f t="shared" si="6"/>
        <v>0</v>
      </c>
      <c r="L322" s="106"/>
      <c r="M322" s="106" t="str">
        <f>SUMIFS(Ere!C:C,Ere!B:B,A322)</f>
        <v>0</v>
      </c>
      <c r="N322" s="106" t="str">
        <f t="shared" si="7"/>
        <v>0</v>
      </c>
      <c r="O322" s="107" t="str">
        <f t="array" ref="O322">XLOOKUP(A322,Data!F:F,Data!O:O)</f>
        <v/>
      </c>
      <c r="P322" s="107" t="str">
        <f t="shared" si="8"/>
        <v>  -   </v>
      </c>
      <c r="Q322" s="27"/>
    </row>
    <row r="323" ht="15.75" customHeight="1">
      <c r="A323" s="105" t="s">
        <v>567</v>
      </c>
      <c r="B323" s="19" t="str">
        <f t="array" ref="B323">XLOOKUP(A323,Data!F:F,Data!G:G)</f>
        <v>A1C</v>
      </c>
      <c r="C323" s="19" t="str">
        <f t="shared" si="3"/>
        <v>A018</v>
      </c>
      <c r="D323" s="19" t="str">
        <f t="array" ref="D323">XLOOKUP(A323,Data!F:F,Data!C:C)</f>
        <v/>
      </c>
      <c r="E323" s="19" t="str">
        <f t="array" ref="E323">XLOOKUP(A323,Data!F:F,Data!H:H)</f>
        <v/>
      </c>
      <c r="F323" s="106" t="str">
        <f>SUMIFS(Data!J:J,Data!F:F,A323)</f>
        <v>0</v>
      </c>
      <c r="G323" s="106" t="str">
        <f>SUMIFS(Cast!C:C,CastElements,A323)</f>
        <v>0</v>
      </c>
      <c r="H323" s="106" t="str">
        <f t="shared" si="4"/>
        <v>0</v>
      </c>
      <c r="I323" s="106" t="str">
        <f>SUMIFS(Del!C:C,Del!B:B,A323)</f>
        <v>0</v>
      </c>
      <c r="J323" s="106" t="str">
        <f t="shared" si="5"/>
        <v>0</v>
      </c>
      <c r="K323" s="106" t="str">
        <f t="shared" si="6"/>
        <v>0</v>
      </c>
      <c r="L323" s="106"/>
      <c r="M323" s="106" t="str">
        <f>SUMIFS(Ere!C:C,Ere!B:B,A323)</f>
        <v>0</v>
      </c>
      <c r="N323" s="106" t="str">
        <f t="shared" si="7"/>
        <v>0</v>
      </c>
      <c r="O323" s="107" t="str">
        <f t="array" ref="O323">XLOOKUP(A323,Data!F:F,Data!O:O)</f>
        <v/>
      </c>
      <c r="P323" s="107" t="str">
        <f t="shared" si="8"/>
        <v>  -   </v>
      </c>
      <c r="Q323" s="27"/>
    </row>
    <row r="324" ht="15.75" customHeight="1">
      <c r="A324" s="105" t="s">
        <v>568</v>
      </c>
      <c r="B324" s="19" t="str">
        <f t="array" ref="B324">XLOOKUP(A324,Data!F:F,Data!G:G)</f>
        <v>A1C</v>
      </c>
      <c r="C324" s="19" t="str">
        <f t="shared" si="3"/>
        <v>A018</v>
      </c>
      <c r="D324" s="19" t="str">
        <f t="array" ref="D324">XLOOKUP(A324,Data!F:F,Data!C:C)</f>
        <v/>
      </c>
      <c r="E324" s="19" t="str">
        <f t="array" ref="E324">XLOOKUP(A324,Data!F:F,Data!H:H)</f>
        <v/>
      </c>
      <c r="F324" s="106" t="str">
        <f>SUMIFS(Data!J:J,Data!F:F,A324)</f>
        <v>0</v>
      </c>
      <c r="G324" s="106" t="str">
        <f>SUMIFS(Cast!C:C,CastElements,A324)</f>
        <v>0</v>
      </c>
      <c r="H324" s="106" t="str">
        <f t="shared" si="4"/>
        <v>0</v>
      </c>
      <c r="I324" s="106" t="str">
        <f>SUMIFS(Del!C:C,Del!B:B,A324)</f>
        <v>0</v>
      </c>
      <c r="J324" s="106" t="str">
        <f t="shared" si="5"/>
        <v>0</v>
      </c>
      <c r="K324" s="106" t="str">
        <f t="shared" si="6"/>
        <v>0</v>
      </c>
      <c r="L324" s="106"/>
      <c r="M324" s="106" t="str">
        <f>SUMIFS(Ere!C:C,Ere!B:B,A324)</f>
        <v>0</v>
      </c>
      <c r="N324" s="106" t="str">
        <f t="shared" si="7"/>
        <v>0</v>
      </c>
      <c r="O324" s="107" t="str">
        <f t="array" ref="O324">XLOOKUP(A324,Data!F:F,Data!O:O)</f>
        <v/>
      </c>
      <c r="P324" s="107" t="str">
        <f t="shared" si="8"/>
        <v>  -   </v>
      </c>
      <c r="Q324" s="27"/>
    </row>
    <row r="325" ht="15.75" customHeight="1">
      <c r="A325" s="105" t="s">
        <v>569</v>
      </c>
      <c r="B325" s="19" t="str">
        <f t="array" ref="B325">XLOOKUP(A325,Data!F:F,Data!G:G)</f>
        <v>A1C</v>
      </c>
      <c r="C325" s="19" t="str">
        <f t="shared" si="3"/>
        <v>A018</v>
      </c>
      <c r="D325" s="19" t="str">
        <f t="array" ref="D325">XLOOKUP(A325,Data!F:F,Data!C:C)</f>
        <v/>
      </c>
      <c r="E325" s="19" t="str">
        <f t="array" ref="E325">XLOOKUP(A325,Data!F:F,Data!H:H)</f>
        <v/>
      </c>
      <c r="F325" s="106" t="str">
        <f>SUMIFS(Data!J:J,Data!F:F,A325)</f>
        <v>0</v>
      </c>
      <c r="G325" s="106" t="str">
        <f>SUMIFS(Cast!C:C,CastElements,A325)</f>
        <v>0</v>
      </c>
      <c r="H325" s="106" t="str">
        <f t="shared" si="4"/>
        <v>0</v>
      </c>
      <c r="I325" s="106" t="str">
        <f>SUMIFS(Del!C:C,Del!B:B,A325)</f>
        <v>0</v>
      </c>
      <c r="J325" s="106" t="str">
        <f t="shared" si="5"/>
        <v>0</v>
      </c>
      <c r="K325" s="106" t="str">
        <f t="shared" si="6"/>
        <v>0</v>
      </c>
      <c r="L325" s="106"/>
      <c r="M325" s="106" t="str">
        <f>SUMIFS(Ere!C:C,Ere!B:B,A325)</f>
        <v>0</v>
      </c>
      <c r="N325" s="106" t="str">
        <f t="shared" si="7"/>
        <v>0</v>
      </c>
      <c r="O325" s="107" t="str">
        <f t="array" ref="O325">XLOOKUP(A325,Data!F:F,Data!O:O)</f>
        <v/>
      </c>
      <c r="P325" s="107" t="str">
        <f t="shared" si="8"/>
        <v>  -   </v>
      </c>
      <c r="Q325" s="27"/>
    </row>
    <row r="326" ht="15.75" customHeight="1">
      <c r="A326" s="105" t="s">
        <v>570</v>
      </c>
      <c r="B326" s="19" t="str">
        <f t="array" ref="B326">XLOOKUP(A326,Data!F:F,Data!G:G)</f>
        <v>A1C</v>
      </c>
      <c r="C326" s="19" t="str">
        <f t="shared" si="3"/>
        <v>A018</v>
      </c>
      <c r="D326" s="19" t="str">
        <f t="array" ref="D326">XLOOKUP(A326,Data!F:F,Data!C:C)</f>
        <v/>
      </c>
      <c r="E326" s="19" t="str">
        <f t="array" ref="E326">XLOOKUP(A326,Data!F:F,Data!H:H)</f>
        <v/>
      </c>
      <c r="F326" s="106" t="str">
        <f>SUMIFS(Data!J:J,Data!F:F,A326)</f>
        <v>0</v>
      </c>
      <c r="G326" s="106" t="str">
        <f>SUMIFS(Cast!C:C,CastElements,A326)</f>
        <v>0</v>
      </c>
      <c r="H326" s="106" t="str">
        <f t="shared" si="4"/>
        <v>0</v>
      </c>
      <c r="I326" s="106" t="str">
        <f>SUMIFS(Del!C:C,Del!B:B,A326)</f>
        <v>0</v>
      </c>
      <c r="J326" s="106" t="str">
        <f t="shared" si="5"/>
        <v>0</v>
      </c>
      <c r="K326" s="106" t="str">
        <f t="shared" si="6"/>
        <v>0</v>
      </c>
      <c r="L326" s="106"/>
      <c r="M326" s="106" t="str">
        <f>SUMIFS(Ere!C:C,Ere!B:B,A326)</f>
        <v>0</v>
      </c>
      <c r="N326" s="106" t="str">
        <f t="shared" si="7"/>
        <v>0</v>
      </c>
      <c r="O326" s="107" t="str">
        <f t="array" ref="O326">XLOOKUP(A326,Data!F:F,Data!O:O)</f>
        <v/>
      </c>
      <c r="P326" s="107" t="str">
        <f t="shared" si="8"/>
        <v>  -   </v>
      </c>
      <c r="Q326" s="27"/>
    </row>
    <row r="327" ht="15.75" customHeight="1">
      <c r="A327" s="105" t="s">
        <v>571</v>
      </c>
      <c r="B327" s="19" t="str">
        <f t="array" ref="B327">XLOOKUP(A327,Data!F:F,Data!G:G)</f>
        <v>A1C</v>
      </c>
      <c r="C327" s="19" t="str">
        <f t="shared" si="3"/>
        <v>A018</v>
      </c>
      <c r="D327" s="19" t="str">
        <f t="array" ref="D327">XLOOKUP(A327,Data!F:F,Data!C:C)</f>
        <v/>
      </c>
      <c r="E327" s="19" t="str">
        <f t="array" ref="E327">XLOOKUP(A327,Data!F:F,Data!H:H)</f>
        <v/>
      </c>
      <c r="F327" s="106" t="str">
        <f>SUMIFS(Data!J:J,Data!F:F,A327)</f>
        <v>0</v>
      </c>
      <c r="G327" s="106" t="str">
        <f>SUMIFS(Cast!C:C,CastElements,A327)</f>
        <v>0</v>
      </c>
      <c r="H327" s="106" t="str">
        <f t="shared" si="4"/>
        <v>0</v>
      </c>
      <c r="I327" s="106" t="str">
        <f>SUMIFS(Del!C:C,Del!B:B,A327)</f>
        <v>0</v>
      </c>
      <c r="J327" s="106" t="str">
        <f t="shared" si="5"/>
        <v>0</v>
      </c>
      <c r="K327" s="106" t="str">
        <f t="shared" si="6"/>
        <v>0</v>
      </c>
      <c r="L327" s="106"/>
      <c r="M327" s="106" t="str">
        <f>SUMIFS(Ere!C:C,Ere!B:B,A327)</f>
        <v>0</v>
      </c>
      <c r="N327" s="106" t="str">
        <f t="shared" si="7"/>
        <v>0</v>
      </c>
      <c r="O327" s="107" t="str">
        <f t="array" ref="O327">XLOOKUP(A327,Data!F:F,Data!O:O)</f>
        <v/>
      </c>
      <c r="P327" s="107" t="str">
        <f t="shared" si="8"/>
        <v>  -   </v>
      </c>
      <c r="Q327" s="27"/>
    </row>
    <row r="328" ht="15.75" customHeight="1">
      <c r="A328" s="105" t="s">
        <v>572</v>
      </c>
      <c r="B328" s="19" t="str">
        <f t="array" ref="B328">XLOOKUP(A328,Data!F:F,Data!G:G)</f>
        <v>A1C</v>
      </c>
      <c r="C328" s="19" t="str">
        <f t="shared" si="3"/>
        <v>A019</v>
      </c>
      <c r="D328" s="19" t="str">
        <f t="array" ref="D328">XLOOKUP(A328,Data!F:F,Data!C:C)</f>
        <v/>
      </c>
      <c r="E328" s="19" t="str">
        <f t="array" ref="E328">XLOOKUP(A328,Data!F:F,Data!H:H)</f>
        <v/>
      </c>
      <c r="F328" s="106" t="str">
        <f>SUMIFS(Data!J:J,Data!F:F,A328)</f>
        <v>0</v>
      </c>
      <c r="G328" s="106" t="str">
        <f>SUMIFS(Cast!C:C,CastElements,A328)</f>
        <v>0</v>
      </c>
      <c r="H328" s="106" t="str">
        <f t="shared" si="4"/>
        <v>0</v>
      </c>
      <c r="I328" s="106" t="str">
        <f>SUMIFS(Del!C:C,Del!B:B,A328)</f>
        <v>0</v>
      </c>
      <c r="J328" s="106" t="str">
        <f t="shared" si="5"/>
        <v>0</v>
      </c>
      <c r="K328" s="106" t="str">
        <f t="shared" si="6"/>
        <v>0</v>
      </c>
      <c r="L328" s="106"/>
      <c r="M328" s="106" t="str">
        <f>SUMIFS(Ere!C:C,Ere!B:B,A328)</f>
        <v>0</v>
      </c>
      <c r="N328" s="106" t="str">
        <f t="shared" si="7"/>
        <v>0</v>
      </c>
      <c r="O328" s="107" t="str">
        <f t="array" ref="O328">XLOOKUP(A328,Data!F:F,Data!O:O)</f>
        <v/>
      </c>
      <c r="P328" s="107" t="str">
        <f t="shared" si="8"/>
        <v>  -   </v>
      </c>
      <c r="Q328" s="27"/>
    </row>
    <row r="329" ht="15.75" customHeight="1">
      <c r="A329" s="105" t="s">
        <v>573</v>
      </c>
      <c r="B329" s="19" t="str">
        <f t="array" ref="B329">XLOOKUP(A329,Data!F:F,Data!G:G)</f>
        <v>A1C</v>
      </c>
      <c r="C329" s="19" t="str">
        <f t="shared" si="3"/>
        <v>A019</v>
      </c>
      <c r="D329" s="19" t="str">
        <f t="array" ref="D329">XLOOKUP(A329,Data!F:F,Data!C:C)</f>
        <v/>
      </c>
      <c r="E329" s="19" t="str">
        <f t="array" ref="E329">XLOOKUP(A329,Data!F:F,Data!H:H)</f>
        <v/>
      </c>
      <c r="F329" s="106" t="str">
        <f>SUMIFS(Data!J:J,Data!F:F,A329)</f>
        <v>0</v>
      </c>
      <c r="G329" s="106" t="str">
        <f>SUMIFS(Cast!C:C,CastElements,A329)</f>
        <v>0</v>
      </c>
      <c r="H329" s="106" t="str">
        <f t="shared" si="4"/>
        <v>0</v>
      </c>
      <c r="I329" s="106" t="str">
        <f>SUMIFS(Del!C:C,Del!B:B,A329)</f>
        <v>0</v>
      </c>
      <c r="J329" s="106" t="str">
        <f t="shared" si="5"/>
        <v>0</v>
      </c>
      <c r="K329" s="106" t="str">
        <f t="shared" si="6"/>
        <v>0</v>
      </c>
      <c r="L329" s="106"/>
      <c r="M329" s="106" t="str">
        <f>SUMIFS(Ere!C:C,Ere!B:B,A329)</f>
        <v>0</v>
      </c>
      <c r="N329" s="106" t="str">
        <f t="shared" si="7"/>
        <v>0</v>
      </c>
      <c r="O329" s="107" t="str">
        <f t="array" ref="O329">XLOOKUP(A329,Data!F:F,Data!O:O)</f>
        <v/>
      </c>
      <c r="P329" s="107" t="str">
        <f t="shared" si="8"/>
        <v>  -   </v>
      </c>
      <c r="Q329" s="27"/>
    </row>
    <row r="330" ht="15.75" customHeight="1">
      <c r="A330" s="105" t="s">
        <v>574</v>
      </c>
      <c r="B330" s="19" t="str">
        <f t="array" ref="B330">XLOOKUP(A330,Data!F:F,Data!G:G)</f>
        <v>A1C</v>
      </c>
      <c r="C330" s="19" t="str">
        <f t="shared" si="3"/>
        <v>A019</v>
      </c>
      <c r="D330" s="19" t="str">
        <f t="array" ref="D330">XLOOKUP(A330,Data!F:F,Data!C:C)</f>
        <v/>
      </c>
      <c r="E330" s="19" t="str">
        <f t="array" ref="E330">XLOOKUP(A330,Data!F:F,Data!H:H)</f>
        <v/>
      </c>
      <c r="F330" s="106" t="str">
        <f>SUMIFS(Data!J:J,Data!F:F,A330)</f>
        <v>0</v>
      </c>
      <c r="G330" s="106" t="str">
        <f>SUMIFS(Cast!C:C,CastElements,A330)</f>
        <v>0</v>
      </c>
      <c r="H330" s="106" t="str">
        <f t="shared" si="4"/>
        <v>0</v>
      </c>
      <c r="I330" s="106" t="str">
        <f>SUMIFS(Del!C:C,Del!B:B,A330)</f>
        <v>0</v>
      </c>
      <c r="J330" s="106" t="str">
        <f t="shared" si="5"/>
        <v>0</v>
      </c>
      <c r="K330" s="106" t="str">
        <f t="shared" si="6"/>
        <v>0</v>
      </c>
      <c r="L330" s="106"/>
      <c r="M330" s="106" t="str">
        <f>SUMIFS(Ere!C:C,Ere!B:B,A330)</f>
        <v>0</v>
      </c>
      <c r="N330" s="106" t="str">
        <f t="shared" si="7"/>
        <v>0</v>
      </c>
      <c r="O330" s="107" t="str">
        <f t="array" ref="O330">XLOOKUP(A330,Data!F:F,Data!O:O)</f>
        <v/>
      </c>
      <c r="P330" s="107" t="str">
        <f t="shared" si="8"/>
        <v>  -   </v>
      </c>
      <c r="Q330" s="27"/>
    </row>
    <row r="331" ht="15.75" customHeight="1">
      <c r="A331" s="105" t="s">
        <v>575</v>
      </c>
      <c r="B331" s="19" t="str">
        <f t="array" ref="B331">XLOOKUP(A331,Data!F:F,Data!G:G)</f>
        <v>A1C</v>
      </c>
      <c r="C331" s="19" t="str">
        <f t="shared" si="3"/>
        <v>A019</v>
      </c>
      <c r="D331" s="19" t="str">
        <f t="array" ref="D331">XLOOKUP(A331,Data!F:F,Data!C:C)</f>
        <v/>
      </c>
      <c r="E331" s="19" t="str">
        <f t="array" ref="E331">XLOOKUP(A331,Data!F:F,Data!H:H)</f>
        <v/>
      </c>
      <c r="F331" s="106" t="str">
        <f>SUMIFS(Data!J:J,Data!F:F,A331)</f>
        <v>0</v>
      </c>
      <c r="G331" s="106" t="str">
        <f>SUMIFS(Cast!C:C,CastElements,A331)</f>
        <v>0</v>
      </c>
      <c r="H331" s="106" t="str">
        <f t="shared" si="4"/>
        <v>0</v>
      </c>
      <c r="I331" s="106" t="str">
        <f>SUMIFS(Del!C:C,Del!B:B,A331)</f>
        <v>0</v>
      </c>
      <c r="J331" s="106" t="str">
        <f t="shared" si="5"/>
        <v>0</v>
      </c>
      <c r="K331" s="106" t="str">
        <f t="shared" si="6"/>
        <v>0</v>
      </c>
      <c r="L331" s="106"/>
      <c r="M331" s="106" t="str">
        <f>SUMIFS(Ere!C:C,Ere!B:B,A331)</f>
        <v>0</v>
      </c>
      <c r="N331" s="106" t="str">
        <f t="shared" si="7"/>
        <v>0</v>
      </c>
      <c r="O331" s="107" t="str">
        <f t="array" ref="O331">XLOOKUP(A331,Data!F:F,Data!O:O)</f>
        <v/>
      </c>
      <c r="P331" s="107" t="str">
        <f t="shared" si="8"/>
        <v>  -   </v>
      </c>
      <c r="Q331" s="27"/>
    </row>
    <row r="332" ht="15.75" customHeight="1">
      <c r="A332" s="105" t="s">
        <v>576</v>
      </c>
      <c r="B332" s="19" t="str">
        <f t="array" ref="B332">XLOOKUP(A332,Data!F:F,Data!G:G)</f>
        <v>A1C</v>
      </c>
      <c r="C332" s="19" t="str">
        <f t="shared" si="3"/>
        <v>A019</v>
      </c>
      <c r="D332" s="19" t="str">
        <f t="array" ref="D332">XLOOKUP(A332,Data!F:F,Data!C:C)</f>
        <v/>
      </c>
      <c r="E332" s="19" t="str">
        <f t="array" ref="E332">XLOOKUP(A332,Data!F:F,Data!H:H)</f>
        <v/>
      </c>
      <c r="F332" s="106" t="str">
        <f>SUMIFS(Data!J:J,Data!F:F,A332)</f>
        <v>0</v>
      </c>
      <c r="G332" s="106" t="str">
        <f>SUMIFS(Cast!C:C,CastElements,A332)</f>
        <v>0</v>
      </c>
      <c r="H332" s="106" t="str">
        <f t="shared" si="4"/>
        <v>0</v>
      </c>
      <c r="I332" s="106" t="str">
        <f>SUMIFS(Del!C:C,Del!B:B,A332)</f>
        <v>0</v>
      </c>
      <c r="J332" s="106" t="str">
        <f t="shared" si="5"/>
        <v>0</v>
      </c>
      <c r="K332" s="106" t="str">
        <f t="shared" si="6"/>
        <v>0</v>
      </c>
      <c r="L332" s="106"/>
      <c r="M332" s="106" t="str">
        <f>SUMIFS(Ere!C:C,Ere!B:B,A332)</f>
        <v>0</v>
      </c>
      <c r="N332" s="106" t="str">
        <f t="shared" si="7"/>
        <v>0</v>
      </c>
      <c r="O332" s="107" t="str">
        <f t="array" ref="O332">XLOOKUP(A332,Data!F:F,Data!O:O)</f>
        <v/>
      </c>
      <c r="P332" s="107" t="str">
        <f t="shared" si="8"/>
        <v>  -   </v>
      </c>
      <c r="Q332" s="27"/>
    </row>
    <row r="333" ht="15.75" customHeight="1">
      <c r="A333" s="105" t="s">
        <v>577</v>
      </c>
      <c r="B333" s="19" t="str">
        <f t="array" ref="B333">XLOOKUP(A333,Data!F:F,Data!G:G)</f>
        <v>A1C</v>
      </c>
      <c r="C333" s="19" t="str">
        <f t="shared" si="3"/>
        <v>A019</v>
      </c>
      <c r="D333" s="19" t="str">
        <f t="array" ref="D333">XLOOKUP(A333,Data!F:F,Data!C:C)</f>
        <v/>
      </c>
      <c r="E333" s="19" t="str">
        <f t="array" ref="E333">XLOOKUP(A333,Data!F:F,Data!H:H)</f>
        <v/>
      </c>
      <c r="F333" s="106" t="str">
        <f>SUMIFS(Data!J:J,Data!F:F,A333)</f>
        <v>0</v>
      </c>
      <c r="G333" s="106" t="str">
        <f>SUMIFS(Cast!C:C,CastElements,A333)</f>
        <v>0</v>
      </c>
      <c r="H333" s="106" t="str">
        <f t="shared" si="4"/>
        <v>0</v>
      </c>
      <c r="I333" s="106" t="str">
        <f>SUMIFS(Del!C:C,Del!B:B,A333)</f>
        <v>0</v>
      </c>
      <c r="J333" s="106" t="str">
        <f t="shared" si="5"/>
        <v>0</v>
      </c>
      <c r="K333" s="106" t="str">
        <f t="shared" si="6"/>
        <v>0</v>
      </c>
      <c r="L333" s="106"/>
      <c r="M333" s="106" t="str">
        <f>SUMIFS(Ere!C:C,Ere!B:B,A333)</f>
        <v>0</v>
      </c>
      <c r="N333" s="106" t="str">
        <f t="shared" si="7"/>
        <v>0</v>
      </c>
      <c r="O333" s="107" t="str">
        <f t="array" ref="O333">XLOOKUP(A333,Data!F:F,Data!O:O)</f>
        <v/>
      </c>
      <c r="P333" s="107" t="str">
        <f t="shared" si="8"/>
        <v>  -   </v>
      </c>
      <c r="Q333" s="27"/>
    </row>
    <row r="334" ht="15.75" customHeight="1">
      <c r="A334" s="105" t="s">
        <v>578</v>
      </c>
      <c r="B334" s="19" t="str">
        <f t="array" ref="B334">XLOOKUP(A334,Data!F:F,Data!G:G)</f>
        <v>A1C</v>
      </c>
      <c r="C334" s="19" t="str">
        <f t="shared" si="3"/>
        <v>A019</v>
      </c>
      <c r="D334" s="19" t="str">
        <f t="array" ref="D334">XLOOKUP(A334,Data!F:F,Data!C:C)</f>
        <v/>
      </c>
      <c r="E334" s="19" t="str">
        <f t="array" ref="E334">XLOOKUP(A334,Data!F:F,Data!H:H)</f>
        <v/>
      </c>
      <c r="F334" s="106" t="str">
        <f>SUMIFS(Data!J:J,Data!F:F,A334)</f>
        <v>0</v>
      </c>
      <c r="G334" s="106" t="str">
        <f>SUMIFS(Cast!C:C,CastElements,A334)</f>
        <v>0</v>
      </c>
      <c r="H334" s="106" t="str">
        <f t="shared" si="4"/>
        <v>0</v>
      </c>
      <c r="I334" s="106" t="str">
        <f>SUMIFS(Del!C:C,Del!B:B,A334)</f>
        <v>0</v>
      </c>
      <c r="J334" s="106" t="str">
        <f t="shared" si="5"/>
        <v>0</v>
      </c>
      <c r="K334" s="106" t="str">
        <f t="shared" si="6"/>
        <v>0</v>
      </c>
      <c r="L334" s="106"/>
      <c r="M334" s="106" t="str">
        <f>SUMIFS(Ere!C:C,Ere!B:B,A334)</f>
        <v>0</v>
      </c>
      <c r="N334" s="106" t="str">
        <f t="shared" si="7"/>
        <v>0</v>
      </c>
      <c r="O334" s="107" t="str">
        <f t="array" ref="O334">XLOOKUP(A334,Data!F:F,Data!O:O)</f>
        <v/>
      </c>
      <c r="P334" s="107" t="str">
        <f t="shared" si="8"/>
        <v>  -   </v>
      </c>
      <c r="Q334" s="27"/>
    </row>
    <row r="335" ht="15.75" customHeight="1">
      <c r="A335" s="105" t="s">
        <v>579</v>
      </c>
      <c r="B335" s="19" t="str">
        <f t="array" ref="B335">XLOOKUP(A335,Data!F:F,Data!G:G)</f>
        <v>A1C</v>
      </c>
      <c r="C335" s="19" t="str">
        <f t="shared" si="3"/>
        <v>A019</v>
      </c>
      <c r="D335" s="19" t="str">
        <f t="array" ref="D335">XLOOKUP(A335,Data!F:F,Data!C:C)</f>
        <v/>
      </c>
      <c r="E335" s="19" t="str">
        <f t="array" ref="E335">XLOOKUP(A335,Data!F:F,Data!H:H)</f>
        <v/>
      </c>
      <c r="F335" s="106" t="str">
        <f>SUMIFS(Data!J:J,Data!F:F,A335)</f>
        <v>0</v>
      </c>
      <c r="G335" s="106" t="str">
        <f>SUMIFS(Cast!C:C,CastElements,A335)</f>
        <v>0</v>
      </c>
      <c r="H335" s="106" t="str">
        <f t="shared" si="4"/>
        <v>0</v>
      </c>
      <c r="I335" s="106" t="str">
        <f>SUMIFS(Del!C:C,Del!B:B,A335)</f>
        <v>0</v>
      </c>
      <c r="J335" s="106" t="str">
        <f t="shared" si="5"/>
        <v>0</v>
      </c>
      <c r="K335" s="106" t="str">
        <f t="shared" si="6"/>
        <v>0</v>
      </c>
      <c r="L335" s="106"/>
      <c r="M335" s="106" t="str">
        <f>SUMIFS(Ere!C:C,Ere!B:B,A335)</f>
        <v>0</v>
      </c>
      <c r="N335" s="106" t="str">
        <f t="shared" si="7"/>
        <v>0</v>
      </c>
      <c r="O335" s="107" t="str">
        <f t="array" ref="O335">XLOOKUP(A335,Data!F:F,Data!O:O)</f>
        <v/>
      </c>
      <c r="P335" s="107" t="str">
        <f t="shared" si="8"/>
        <v>  -   </v>
      </c>
      <c r="Q335" s="27"/>
    </row>
    <row r="336" ht="15.75" customHeight="1">
      <c r="A336" s="105" t="s">
        <v>580</v>
      </c>
      <c r="B336" s="19" t="str">
        <f t="array" ref="B336">XLOOKUP(A336,Data!F:F,Data!G:G)</f>
        <v>A1C</v>
      </c>
      <c r="C336" s="19" t="str">
        <f t="shared" si="3"/>
        <v>A019</v>
      </c>
      <c r="D336" s="19" t="str">
        <f t="array" ref="D336">XLOOKUP(A336,Data!F:F,Data!C:C)</f>
        <v/>
      </c>
      <c r="E336" s="19" t="str">
        <f t="array" ref="E336">XLOOKUP(A336,Data!F:F,Data!H:H)</f>
        <v/>
      </c>
      <c r="F336" s="106" t="str">
        <f>SUMIFS(Data!J:J,Data!F:F,A336)</f>
        <v>0</v>
      </c>
      <c r="G336" s="106" t="str">
        <f>SUMIFS(Cast!C:C,CastElements,A336)</f>
        <v>0</v>
      </c>
      <c r="H336" s="106" t="str">
        <f t="shared" si="4"/>
        <v>0</v>
      </c>
      <c r="I336" s="106" t="str">
        <f>SUMIFS(Del!C:C,Del!B:B,A336)</f>
        <v>0</v>
      </c>
      <c r="J336" s="106" t="str">
        <f t="shared" si="5"/>
        <v>0</v>
      </c>
      <c r="K336" s="106" t="str">
        <f t="shared" si="6"/>
        <v>0</v>
      </c>
      <c r="L336" s="106"/>
      <c r="M336" s="106" t="str">
        <f>SUMIFS(Ere!C:C,Ere!B:B,A336)</f>
        <v>0</v>
      </c>
      <c r="N336" s="106" t="str">
        <f t="shared" si="7"/>
        <v>0</v>
      </c>
      <c r="O336" s="107" t="str">
        <f t="array" ref="O336">XLOOKUP(A336,Data!F:F,Data!O:O)</f>
        <v/>
      </c>
      <c r="P336" s="107" t="str">
        <f t="shared" si="8"/>
        <v>  -   </v>
      </c>
      <c r="Q336" s="27"/>
    </row>
    <row r="337" ht="15.75" customHeight="1">
      <c r="A337" s="105" t="s">
        <v>581</v>
      </c>
      <c r="B337" s="19" t="str">
        <f t="array" ref="B337">XLOOKUP(A337,Data!F:F,Data!G:G)</f>
        <v>A1C</v>
      </c>
      <c r="C337" s="19" t="str">
        <f t="shared" si="3"/>
        <v>A019</v>
      </c>
      <c r="D337" s="19" t="str">
        <f t="array" ref="D337">XLOOKUP(A337,Data!F:F,Data!C:C)</f>
        <v/>
      </c>
      <c r="E337" s="19" t="str">
        <f t="array" ref="E337">XLOOKUP(A337,Data!F:F,Data!H:H)</f>
        <v/>
      </c>
      <c r="F337" s="106" t="str">
        <f>SUMIFS(Data!J:J,Data!F:F,A337)</f>
        <v>0</v>
      </c>
      <c r="G337" s="106" t="str">
        <f>SUMIFS(Cast!C:C,CastElements,A337)</f>
        <v>0</v>
      </c>
      <c r="H337" s="106" t="str">
        <f t="shared" si="4"/>
        <v>0</v>
      </c>
      <c r="I337" s="106" t="str">
        <f>SUMIFS(Del!C:C,Del!B:B,A337)</f>
        <v>0</v>
      </c>
      <c r="J337" s="106" t="str">
        <f t="shared" si="5"/>
        <v>0</v>
      </c>
      <c r="K337" s="106" t="str">
        <f t="shared" si="6"/>
        <v>0</v>
      </c>
      <c r="L337" s="106"/>
      <c r="M337" s="106" t="str">
        <f>SUMIFS(Ere!C:C,Ere!B:B,A337)</f>
        <v>0</v>
      </c>
      <c r="N337" s="106" t="str">
        <f t="shared" si="7"/>
        <v>0</v>
      </c>
      <c r="O337" s="107" t="str">
        <f t="array" ref="O337">XLOOKUP(A337,Data!F:F,Data!O:O)</f>
        <v/>
      </c>
      <c r="P337" s="107" t="str">
        <f t="shared" si="8"/>
        <v>  -   </v>
      </c>
      <c r="Q337" s="27"/>
    </row>
    <row r="338" ht="15.75" customHeight="1">
      <c r="A338" s="105" t="s">
        <v>582</v>
      </c>
      <c r="B338" s="19" t="str">
        <f t="array" ref="B338">XLOOKUP(A338,Data!F:F,Data!G:G)</f>
        <v>A1C</v>
      </c>
      <c r="C338" s="19" t="str">
        <f t="shared" si="3"/>
        <v>A019</v>
      </c>
      <c r="D338" s="19" t="str">
        <f t="array" ref="D338">XLOOKUP(A338,Data!F:F,Data!C:C)</f>
        <v/>
      </c>
      <c r="E338" s="19" t="str">
        <f t="array" ref="E338">XLOOKUP(A338,Data!F:F,Data!H:H)</f>
        <v/>
      </c>
      <c r="F338" s="106" t="str">
        <f>SUMIFS(Data!J:J,Data!F:F,A338)</f>
        <v>0</v>
      </c>
      <c r="G338" s="106" t="str">
        <f>SUMIFS(Cast!C:C,CastElements,A338)</f>
        <v>0</v>
      </c>
      <c r="H338" s="106" t="str">
        <f t="shared" si="4"/>
        <v>0</v>
      </c>
      <c r="I338" s="106" t="str">
        <f>SUMIFS(Del!C:C,Del!B:B,A338)</f>
        <v>0</v>
      </c>
      <c r="J338" s="106" t="str">
        <f t="shared" si="5"/>
        <v>0</v>
      </c>
      <c r="K338" s="106" t="str">
        <f t="shared" si="6"/>
        <v>0</v>
      </c>
      <c r="L338" s="106"/>
      <c r="M338" s="106" t="str">
        <f>SUMIFS(Ere!C:C,Ere!B:B,A338)</f>
        <v>0</v>
      </c>
      <c r="N338" s="106" t="str">
        <f t="shared" si="7"/>
        <v>0</v>
      </c>
      <c r="O338" s="107" t="str">
        <f t="array" ref="O338">XLOOKUP(A338,Data!F:F,Data!O:O)</f>
        <v/>
      </c>
      <c r="P338" s="107" t="str">
        <f t="shared" si="8"/>
        <v>  -   </v>
      </c>
      <c r="Q338" s="27"/>
    </row>
    <row r="339" ht="15.75" customHeight="1">
      <c r="A339" s="105" t="s">
        <v>583</v>
      </c>
      <c r="B339" s="19" t="str">
        <f t="array" ref="B339">XLOOKUP(A339,Data!F:F,Data!G:G)</f>
        <v>A1C</v>
      </c>
      <c r="C339" s="19" t="str">
        <f t="shared" si="3"/>
        <v>A019</v>
      </c>
      <c r="D339" s="19" t="str">
        <f t="array" ref="D339">XLOOKUP(A339,Data!F:F,Data!C:C)</f>
        <v/>
      </c>
      <c r="E339" s="19" t="str">
        <f t="array" ref="E339">XLOOKUP(A339,Data!F:F,Data!H:H)</f>
        <v/>
      </c>
      <c r="F339" s="106" t="str">
        <f>SUMIFS(Data!J:J,Data!F:F,A339)</f>
        <v>0</v>
      </c>
      <c r="G339" s="106" t="str">
        <f>SUMIFS(Cast!C:C,CastElements,A339)</f>
        <v>0</v>
      </c>
      <c r="H339" s="106" t="str">
        <f t="shared" si="4"/>
        <v>0</v>
      </c>
      <c r="I339" s="106" t="str">
        <f>SUMIFS(Del!C:C,Del!B:B,A339)</f>
        <v>0</v>
      </c>
      <c r="J339" s="106" t="str">
        <f t="shared" si="5"/>
        <v>0</v>
      </c>
      <c r="K339" s="106" t="str">
        <f t="shared" si="6"/>
        <v>0</v>
      </c>
      <c r="L339" s="106"/>
      <c r="M339" s="106" t="str">
        <f>SUMIFS(Ere!C:C,Ere!B:B,A339)</f>
        <v>0</v>
      </c>
      <c r="N339" s="106" t="str">
        <f t="shared" si="7"/>
        <v>0</v>
      </c>
      <c r="O339" s="107" t="str">
        <f t="array" ref="O339">XLOOKUP(A339,Data!F:F,Data!O:O)</f>
        <v/>
      </c>
      <c r="P339" s="107" t="str">
        <f t="shared" si="8"/>
        <v>  -   </v>
      </c>
      <c r="Q339" s="27"/>
    </row>
    <row r="340" ht="15.75" customHeight="1">
      <c r="A340" s="105" t="s">
        <v>584</v>
      </c>
      <c r="B340" s="19" t="str">
        <f t="array" ref="B340">XLOOKUP(A340,Data!F:F,Data!G:G)</f>
        <v>A1C</v>
      </c>
      <c r="C340" s="19" t="str">
        <f t="shared" si="3"/>
        <v>A019</v>
      </c>
      <c r="D340" s="19" t="str">
        <f t="array" ref="D340">XLOOKUP(A340,Data!F:F,Data!C:C)</f>
        <v/>
      </c>
      <c r="E340" s="19" t="str">
        <f t="array" ref="E340">XLOOKUP(A340,Data!F:F,Data!H:H)</f>
        <v/>
      </c>
      <c r="F340" s="106" t="str">
        <f>SUMIFS(Data!J:J,Data!F:F,A340)</f>
        <v>0</v>
      </c>
      <c r="G340" s="106" t="str">
        <f>SUMIFS(Cast!C:C,CastElements,A340)</f>
        <v>0</v>
      </c>
      <c r="H340" s="106" t="str">
        <f t="shared" si="4"/>
        <v>0</v>
      </c>
      <c r="I340" s="106" t="str">
        <f>SUMIFS(Del!C:C,Del!B:B,A340)</f>
        <v>0</v>
      </c>
      <c r="J340" s="106" t="str">
        <f t="shared" si="5"/>
        <v>0</v>
      </c>
      <c r="K340" s="106" t="str">
        <f t="shared" si="6"/>
        <v>0</v>
      </c>
      <c r="L340" s="106"/>
      <c r="M340" s="106" t="str">
        <f>SUMIFS(Ere!C:C,Ere!B:B,A340)</f>
        <v>0</v>
      </c>
      <c r="N340" s="106" t="str">
        <f t="shared" si="7"/>
        <v>0</v>
      </c>
      <c r="O340" s="107" t="str">
        <f t="array" ref="O340">XLOOKUP(A340,Data!F:F,Data!O:O)</f>
        <v/>
      </c>
      <c r="P340" s="107" t="str">
        <f t="shared" si="8"/>
        <v>  -   </v>
      </c>
      <c r="Q340" s="27"/>
    </row>
    <row r="341" ht="15.75" customHeight="1">
      <c r="A341" s="105" t="s">
        <v>585</v>
      </c>
      <c r="B341" s="19" t="str">
        <f t="array" ref="B341">XLOOKUP(A341,Data!F:F,Data!G:G)</f>
        <v>A1C</v>
      </c>
      <c r="C341" s="19" t="str">
        <f t="shared" si="3"/>
        <v>A019</v>
      </c>
      <c r="D341" s="19" t="str">
        <f t="array" ref="D341">XLOOKUP(A341,Data!F:F,Data!C:C)</f>
        <v/>
      </c>
      <c r="E341" s="19" t="str">
        <f t="array" ref="E341">XLOOKUP(A341,Data!F:F,Data!H:H)</f>
        <v/>
      </c>
      <c r="F341" s="106" t="str">
        <f>SUMIFS(Data!J:J,Data!F:F,A341)</f>
        <v>0</v>
      </c>
      <c r="G341" s="106" t="str">
        <f>SUMIFS(Cast!C:C,CastElements,A341)</f>
        <v>0</v>
      </c>
      <c r="H341" s="106" t="str">
        <f t="shared" si="4"/>
        <v>0</v>
      </c>
      <c r="I341" s="106" t="str">
        <f>SUMIFS(Del!C:C,Del!B:B,A341)</f>
        <v>0</v>
      </c>
      <c r="J341" s="106" t="str">
        <f t="shared" si="5"/>
        <v>0</v>
      </c>
      <c r="K341" s="106" t="str">
        <f t="shared" si="6"/>
        <v>0</v>
      </c>
      <c r="L341" s="106"/>
      <c r="M341" s="106" t="str">
        <f>SUMIFS(Ere!C:C,Ere!B:B,A341)</f>
        <v>0</v>
      </c>
      <c r="N341" s="106" t="str">
        <f t="shared" si="7"/>
        <v>0</v>
      </c>
      <c r="O341" s="107" t="str">
        <f t="array" ref="O341">XLOOKUP(A341,Data!F:F,Data!O:O)</f>
        <v/>
      </c>
      <c r="P341" s="107" t="str">
        <f t="shared" si="8"/>
        <v>  -   </v>
      </c>
      <c r="Q341" s="27"/>
    </row>
    <row r="342" ht="15.75" customHeight="1">
      <c r="A342" s="105" t="s">
        <v>586</v>
      </c>
      <c r="B342" s="19" t="str">
        <f t="array" ref="B342">XLOOKUP(A342,Data!F:F,Data!G:G)</f>
        <v>A1C</v>
      </c>
      <c r="C342" s="19" t="str">
        <f t="shared" si="3"/>
        <v>A019</v>
      </c>
      <c r="D342" s="19" t="str">
        <f t="array" ref="D342">XLOOKUP(A342,Data!F:F,Data!C:C)</f>
        <v/>
      </c>
      <c r="E342" s="19" t="str">
        <f t="array" ref="E342">XLOOKUP(A342,Data!F:F,Data!H:H)</f>
        <v/>
      </c>
      <c r="F342" s="106" t="str">
        <f>SUMIFS(Data!J:J,Data!F:F,A342)</f>
        <v>0</v>
      </c>
      <c r="G342" s="106" t="str">
        <f>SUMIFS(Cast!C:C,CastElements,A342)</f>
        <v>0</v>
      </c>
      <c r="H342" s="106" t="str">
        <f t="shared" si="4"/>
        <v>0</v>
      </c>
      <c r="I342" s="106" t="str">
        <f>SUMIFS(Del!C:C,Del!B:B,A342)</f>
        <v>0</v>
      </c>
      <c r="J342" s="106" t="str">
        <f t="shared" si="5"/>
        <v>0</v>
      </c>
      <c r="K342" s="106" t="str">
        <f t="shared" si="6"/>
        <v>0</v>
      </c>
      <c r="L342" s="106"/>
      <c r="M342" s="106" t="str">
        <f>SUMIFS(Ere!C:C,Ere!B:B,A342)</f>
        <v>0</v>
      </c>
      <c r="N342" s="106" t="str">
        <f t="shared" si="7"/>
        <v>0</v>
      </c>
      <c r="O342" s="107" t="str">
        <f t="array" ref="O342">XLOOKUP(A342,Data!F:F,Data!O:O)</f>
        <v/>
      </c>
      <c r="P342" s="107" t="str">
        <f t="shared" si="8"/>
        <v>  -   </v>
      </c>
      <c r="Q342" s="27"/>
    </row>
    <row r="343" ht="15.75" customHeight="1">
      <c r="A343" s="105" t="s">
        <v>587</v>
      </c>
      <c r="B343" s="19" t="str">
        <f t="array" ref="B343">XLOOKUP(A343,Data!F:F,Data!G:G)</f>
        <v>A1C</v>
      </c>
      <c r="C343" s="19" t="str">
        <f t="shared" si="3"/>
        <v>A020</v>
      </c>
      <c r="D343" s="19" t="str">
        <f t="array" ref="D343">XLOOKUP(A343,Data!F:F,Data!C:C)</f>
        <v/>
      </c>
      <c r="E343" s="19" t="str">
        <f t="array" ref="E343">XLOOKUP(A343,Data!F:F,Data!H:H)</f>
        <v/>
      </c>
      <c r="F343" s="106" t="str">
        <f>SUMIFS(Data!J:J,Data!F:F,A343)</f>
        <v>0</v>
      </c>
      <c r="G343" s="106" t="str">
        <f>SUMIFS(Cast!C:C,CastElements,A343)</f>
        <v>0</v>
      </c>
      <c r="H343" s="106" t="str">
        <f t="shared" si="4"/>
        <v>0</v>
      </c>
      <c r="I343" s="106" t="str">
        <f>SUMIFS(Del!C:C,Del!B:B,A343)</f>
        <v>0</v>
      </c>
      <c r="J343" s="106" t="str">
        <f t="shared" si="5"/>
        <v>0</v>
      </c>
      <c r="K343" s="106" t="str">
        <f t="shared" si="6"/>
        <v>0</v>
      </c>
      <c r="L343" s="106"/>
      <c r="M343" s="106" t="str">
        <f>SUMIFS(Ere!C:C,Ere!B:B,A343)</f>
        <v>0</v>
      </c>
      <c r="N343" s="106" t="str">
        <f t="shared" si="7"/>
        <v>0</v>
      </c>
      <c r="O343" s="107" t="str">
        <f t="array" ref="O343">XLOOKUP(A343,Data!F:F,Data!O:O)</f>
        <v/>
      </c>
      <c r="P343" s="107" t="str">
        <f t="shared" si="8"/>
        <v>  -   </v>
      </c>
      <c r="Q343" s="27"/>
    </row>
    <row r="344" ht="15.75" customHeight="1">
      <c r="A344" s="105" t="s">
        <v>588</v>
      </c>
      <c r="B344" s="19" t="str">
        <f t="array" ref="B344">XLOOKUP(A344,Data!F:F,Data!G:G)</f>
        <v>A1C</v>
      </c>
      <c r="C344" s="19" t="str">
        <f t="shared" si="3"/>
        <v>A020</v>
      </c>
      <c r="D344" s="19" t="str">
        <f t="array" ref="D344">XLOOKUP(A344,Data!F:F,Data!C:C)</f>
        <v/>
      </c>
      <c r="E344" s="19" t="str">
        <f t="array" ref="E344">XLOOKUP(A344,Data!F:F,Data!H:H)</f>
        <v/>
      </c>
      <c r="F344" s="106" t="str">
        <f>SUMIFS(Data!J:J,Data!F:F,A344)</f>
        <v>0</v>
      </c>
      <c r="G344" s="106" t="str">
        <f>SUMIFS(Cast!C:C,CastElements,A344)</f>
        <v>0</v>
      </c>
      <c r="H344" s="106" t="str">
        <f t="shared" si="4"/>
        <v>0</v>
      </c>
      <c r="I344" s="106" t="str">
        <f>SUMIFS(Del!C:C,Del!B:B,A344)</f>
        <v>0</v>
      </c>
      <c r="J344" s="106" t="str">
        <f t="shared" si="5"/>
        <v>0</v>
      </c>
      <c r="K344" s="106" t="str">
        <f t="shared" si="6"/>
        <v>0</v>
      </c>
      <c r="L344" s="106"/>
      <c r="M344" s="106" t="str">
        <f>SUMIFS(Ere!C:C,Ere!B:B,A344)</f>
        <v>0</v>
      </c>
      <c r="N344" s="106" t="str">
        <f t="shared" si="7"/>
        <v>0</v>
      </c>
      <c r="O344" s="107" t="str">
        <f t="array" ref="O344">XLOOKUP(A344,Data!F:F,Data!O:O)</f>
        <v/>
      </c>
      <c r="P344" s="107" t="str">
        <f t="shared" si="8"/>
        <v>  -   </v>
      </c>
      <c r="Q344" s="27"/>
    </row>
    <row r="345" ht="15.75" customHeight="1">
      <c r="A345" s="105" t="s">
        <v>589</v>
      </c>
      <c r="B345" s="19" t="str">
        <f t="array" ref="B345">XLOOKUP(A345,Data!F:F,Data!G:G)</f>
        <v>A1C</v>
      </c>
      <c r="C345" s="19" t="str">
        <f t="shared" si="3"/>
        <v>A020</v>
      </c>
      <c r="D345" s="19" t="str">
        <f t="array" ref="D345">XLOOKUP(A345,Data!F:F,Data!C:C)</f>
        <v/>
      </c>
      <c r="E345" s="19" t="str">
        <f t="array" ref="E345">XLOOKUP(A345,Data!F:F,Data!H:H)</f>
        <v/>
      </c>
      <c r="F345" s="106" t="str">
        <f>SUMIFS(Data!J:J,Data!F:F,A345)</f>
        <v>0</v>
      </c>
      <c r="G345" s="106" t="str">
        <f>SUMIFS(Cast!C:C,CastElements,A345)</f>
        <v>0</v>
      </c>
      <c r="H345" s="106" t="str">
        <f t="shared" si="4"/>
        <v>0</v>
      </c>
      <c r="I345" s="106" t="str">
        <f>SUMIFS(Del!C:C,Del!B:B,A345)</f>
        <v>0</v>
      </c>
      <c r="J345" s="106" t="str">
        <f t="shared" si="5"/>
        <v>0</v>
      </c>
      <c r="K345" s="106" t="str">
        <f t="shared" si="6"/>
        <v>0</v>
      </c>
      <c r="L345" s="106"/>
      <c r="M345" s="106" t="str">
        <f>SUMIFS(Ere!C:C,Ere!B:B,A345)</f>
        <v>0</v>
      </c>
      <c r="N345" s="106" t="str">
        <f t="shared" si="7"/>
        <v>0</v>
      </c>
      <c r="O345" s="107" t="str">
        <f t="array" ref="O345">XLOOKUP(A345,Data!F:F,Data!O:O)</f>
        <v/>
      </c>
      <c r="P345" s="107" t="str">
        <f t="shared" si="8"/>
        <v>  -   </v>
      </c>
      <c r="Q345" s="27"/>
    </row>
    <row r="346" ht="15.75" customHeight="1">
      <c r="A346" s="105" t="s">
        <v>590</v>
      </c>
      <c r="B346" s="19" t="str">
        <f t="array" ref="B346">XLOOKUP(A346,Data!F:F,Data!G:G)</f>
        <v>A1C</v>
      </c>
      <c r="C346" s="19" t="str">
        <f t="shared" si="3"/>
        <v>A020</v>
      </c>
      <c r="D346" s="19" t="str">
        <f t="array" ref="D346">XLOOKUP(A346,Data!F:F,Data!C:C)</f>
        <v/>
      </c>
      <c r="E346" s="19" t="str">
        <f t="array" ref="E346">XLOOKUP(A346,Data!F:F,Data!H:H)</f>
        <v/>
      </c>
      <c r="F346" s="106" t="str">
        <f>SUMIFS(Data!J:J,Data!F:F,A346)</f>
        <v>0</v>
      </c>
      <c r="G346" s="106" t="str">
        <f>SUMIFS(Cast!C:C,CastElements,A346)</f>
        <v>0</v>
      </c>
      <c r="H346" s="106" t="str">
        <f t="shared" si="4"/>
        <v>0</v>
      </c>
      <c r="I346" s="106" t="str">
        <f>SUMIFS(Del!C:C,Del!B:B,A346)</f>
        <v>0</v>
      </c>
      <c r="J346" s="106" t="str">
        <f t="shared" si="5"/>
        <v>0</v>
      </c>
      <c r="K346" s="106" t="str">
        <f t="shared" si="6"/>
        <v>0</v>
      </c>
      <c r="L346" s="106"/>
      <c r="M346" s="106" t="str">
        <f>SUMIFS(Ere!C:C,Ere!B:B,A346)</f>
        <v>0</v>
      </c>
      <c r="N346" s="106" t="str">
        <f t="shared" si="7"/>
        <v>0</v>
      </c>
      <c r="O346" s="107" t="str">
        <f t="array" ref="O346">XLOOKUP(A346,Data!F:F,Data!O:O)</f>
        <v/>
      </c>
      <c r="P346" s="107" t="str">
        <f t="shared" si="8"/>
        <v>  -   </v>
      </c>
      <c r="Q346" s="27"/>
    </row>
    <row r="347" ht="15.75" customHeight="1">
      <c r="A347" s="105" t="s">
        <v>591</v>
      </c>
      <c r="B347" s="19" t="str">
        <f t="array" ref="B347">XLOOKUP(A347,Data!F:F,Data!G:G)</f>
        <v>A1C</v>
      </c>
      <c r="C347" s="19" t="str">
        <f t="shared" si="3"/>
        <v>A020</v>
      </c>
      <c r="D347" s="19" t="str">
        <f t="array" ref="D347">XLOOKUP(A347,Data!F:F,Data!C:C)</f>
        <v/>
      </c>
      <c r="E347" s="19" t="str">
        <f t="array" ref="E347">XLOOKUP(A347,Data!F:F,Data!H:H)</f>
        <v/>
      </c>
      <c r="F347" s="106" t="str">
        <f>SUMIFS(Data!J:J,Data!F:F,A347)</f>
        <v>0</v>
      </c>
      <c r="G347" s="106" t="str">
        <f>SUMIFS(Cast!C:C,CastElements,A347)</f>
        <v>0</v>
      </c>
      <c r="H347" s="106" t="str">
        <f t="shared" si="4"/>
        <v>0</v>
      </c>
      <c r="I347" s="106" t="str">
        <f>SUMIFS(Del!C:C,Del!B:B,A347)</f>
        <v>0</v>
      </c>
      <c r="J347" s="106" t="str">
        <f t="shared" si="5"/>
        <v>0</v>
      </c>
      <c r="K347" s="106" t="str">
        <f t="shared" si="6"/>
        <v>0</v>
      </c>
      <c r="L347" s="106"/>
      <c r="M347" s="106" t="str">
        <f>SUMIFS(Ere!C:C,Ere!B:B,A347)</f>
        <v>0</v>
      </c>
      <c r="N347" s="106" t="str">
        <f t="shared" si="7"/>
        <v>0</v>
      </c>
      <c r="O347" s="107" t="str">
        <f t="array" ref="O347">XLOOKUP(A347,Data!F:F,Data!O:O)</f>
        <v/>
      </c>
      <c r="P347" s="107" t="str">
        <f t="shared" si="8"/>
        <v>  -   </v>
      </c>
      <c r="Q347" s="27"/>
    </row>
    <row r="348" ht="15.75" customHeight="1">
      <c r="A348" s="105" t="s">
        <v>592</v>
      </c>
      <c r="B348" s="19" t="str">
        <f t="array" ref="B348">XLOOKUP(A348,Data!F:F,Data!G:G)</f>
        <v>A1C</v>
      </c>
      <c r="C348" s="19" t="str">
        <f t="shared" si="3"/>
        <v>A020</v>
      </c>
      <c r="D348" s="19" t="str">
        <f t="array" ref="D348">XLOOKUP(A348,Data!F:F,Data!C:C)</f>
        <v/>
      </c>
      <c r="E348" s="19" t="str">
        <f t="array" ref="E348">XLOOKUP(A348,Data!F:F,Data!H:H)</f>
        <v/>
      </c>
      <c r="F348" s="106" t="str">
        <f>SUMIFS(Data!J:J,Data!F:F,A348)</f>
        <v>0</v>
      </c>
      <c r="G348" s="106" t="str">
        <f>SUMIFS(Cast!C:C,CastElements,A348)</f>
        <v>0</v>
      </c>
      <c r="H348" s="106" t="str">
        <f t="shared" si="4"/>
        <v>0</v>
      </c>
      <c r="I348" s="106" t="str">
        <f>SUMIFS(Del!C:C,Del!B:B,A348)</f>
        <v>0</v>
      </c>
      <c r="J348" s="106" t="str">
        <f t="shared" si="5"/>
        <v>0</v>
      </c>
      <c r="K348" s="106" t="str">
        <f t="shared" si="6"/>
        <v>0</v>
      </c>
      <c r="L348" s="106"/>
      <c r="M348" s="106" t="str">
        <f>SUMIFS(Ere!C:C,Ere!B:B,A348)</f>
        <v>0</v>
      </c>
      <c r="N348" s="106" t="str">
        <f t="shared" si="7"/>
        <v>0</v>
      </c>
      <c r="O348" s="107" t="str">
        <f t="array" ref="O348">XLOOKUP(A348,Data!F:F,Data!O:O)</f>
        <v/>
      </c>
      <c r="P348" s="107" t="str">
        <f t="shared" si="8"/>
        <v>  -   </v>
      </c>
      <c r="Q348" s="27"/>
    </row>
    <row r="349" ht="15.75" customHeight="1">
      <c r="A349" s="105" t="s">
        <v>593</v>
      </c>
      <c r="B349" s="19" t="str">
        <f t="array" ref="B349">XLOOKUP(A349,Data!F:F,Data!G:G)</f>
        <v>A1C</v>
      </c>
      <c r="C349" s="19" t="str">
        <f t="shared" si="3"/>
        <v>A020</v>
      </c>
      <c r="D349" s="19" t="str">
        <f t="array" ref="D349">XLOOKUP(A349,Data!F:F,Data!C:C)</f>
        <v/>
      </c>
      <c r="E349" s="19" t="str">
        <f t="array" ref="E349">XLOOKUP(A349,Data!F:F,Data!H:H)</f>
        <v/>
      </c>
      <c r="F349" s="106" t="str">
        <f>SUMIFS(Data!J:J,Data!F:F,A349)</f>
        <v>0</v>
      </c>
      <c r="G349" s="106" t="str">
        <f>SUMIFS(Cast!C:C,CastElements,A349)</f>
        <v>0</v>
      </c>
      <c r="H349" s="106" t="str">
        <f t="shared" si="4"/>
        <v>0</v>
      </c>
      <c r="I349" s="106" t="str">
        <f>SUMIFS(Del!C:C,Del!B:B,A349)</f>
        <v>0</v>
      </c>
      <c r="J349" s="106" t="str">
        <f t="shared" si="5"/>
        <v>0</v>
      </c>
      <c r="K349" s="106" t="str">
        <f t="shared" si="6"/>
        <v>0</v>
      </c>
      <c r="L349" s="106"/>
      <c r="M349" s="106" t="str">
        <f>SUMIFS(Ere!C:C,Ere!B:B,A349)</f>
        <v>0</v>
      </c>
      <c r="N349" s="106" t="str">
        <f t="shared" si="7"/>
        <v>0</v>
      </c>
      <c r="O349" s="107" t="str">
        <f t="array" ref="O349">XLOOKUP(A349,Data!F:F,Data!O:O)</f>
        <v/>
      </c>
      <c r="P349" s="107" t="str">
        <f t="shared" si="8"/>
        <v>  -   </v>
      </c>
      <c r="Q349" s="27"/>
    </row>
    <row r="350" ht="15.75" customHeight="1">
      <c r="A350" s="105" t="s">
        <v>594</v>
      </c>
      <c r="B350" s="19" t="str">
        <f t="array" ref="B350">XLOOKUP(A350,Data!F:F,Data!G:G)</f>
        <v>A1C</v>
      </c>
      <c r="C350" s="19" t="str">
        <f t="shared" si="3"/>
        <v>A020</v>
      </c>
      <c r="D350" s="19" t="str">
        <f t="array" ref="D350">XLOOKUP(A350,Data!F:F,Data!C:C)</f>
        <v/>
      </c>
      <c r="E350" s="19" t="str">
        <f t="array" ref="E350">XLOOKUP(A350,Data!F:F,Data!H:H)</f>
        <v/>
      </c>
      <c r="F350" s="106" t="str">
        <f>SUMIFS(Data!J:J,Data!F:F,A350)</f>
        <v>0</v>
      </c>
      <c r="G350" s="106" t="str">
        <f>SUMIFS(Cast!C:C,CastElements,A350)</f>
        <v>0</v>
      </c>
      <c r="H350" s="106" t="str">
        <f t="shared" si="4"/>
        <v>0</v>
      </c>
      <c r="I350" s="106" t="str">
        <f>SUMIFS(Del!C:C,Del!B:B,A350)</f>
        <v>0</v>
      </c>
      <c r="J350" s="106" t="str">
        <f t="shared" si="5"/>
        <v>0</v>
      </c>
      <c r="K350" s="106" t="str">
        <f t="shared" si="6"/>
        <v>0</v>
      </c>
      <c r="L350" s="106"/>
      <c r="M350" s="106" t="str">
        <f>SUMIFS(Ere!C:C,Ere!B:B,A350)</f>
        <v>0</v>
      </c>
      <c r="N350" s="106" t="str">
        <f t="shared" si="7"/>
        <v>0</v>
      </c>
      <c r="O350" s="107" t="str">
        <f t="array" ref="O350">XLOOKUP(A350,Data!F:F,Data!O:O)</f>
        <v/>
      </c>
      <c r="P350" s="107" t="str">
        <f t="shared" si="8"/>
        <v>  -   </v>
      </c>
      <c r="Q350" s="27"/>
    </row>
    <row r="351" ht="15.75" customHeight="1">
      <c r="A351" s="105" t="s">
        <v>595</v>
      </c>
      <c r="B351" s="19" t="str">
        <f t="array" ref="B351">XLOOKUP(A351,Data!F:F,Data!G:G)</f>
        <v>A1C</v>
      </c>
      <c r="C351" s="19" t="str">
        <f t="shared" si="3"/>
        <v>A020</v>
      </c>
      <c r="D351" s="19" t="str">
        <f t="array" ref="D351">XLOOKUP(A351,Data!F:F,Data!C:C)</f>
        <v/>
      </c>
      <c r="E351" s="19" t="str">
        <f t="array" ref="E351">XLOOKUP(A351,Data!F:F,Data!H:H)</f>
        <v/>
      </c>
      <c r="F351" s="106" t="str">
        <f>SUMIFS(Data!J:J,Data!F:F,A351)</f>
        <v>0</v>
      </c>
      <c r="G351" s="106" t="str">
        <f>SUMIFS(Cast!C:C,CastElements,A351)</f>
        <v>0</v>
      </c>
      <c r="H351" s="106" t="str">
        <f t="shared" si="4"/>
        <v>0</v>
      </c>
      <c r="I351" s="106" t="str">
        <f>SUMIFS(Del!C:C,Del!B:B,A351)</f>
        <v>0</v>
      </c>
      <c r="J351" s="106" t="str">
        <f t="shared" si="5"/>
        <v>0</v>
      </c>
      <c r="K351" s="106" t="str">
        <f t="shared" si="6"/>
        <v>0</v>
      </c>
      <c r="L351" s="106"/>
      <c r="M351" s="106" t="str">
        <f>SUMIFS(Ere!C:C,Ere!B:B,A351)</f>
        <v>0</v>
      </c>
      <c r="N351" s="106" t="str">
        <f t="shared" si="7"/>
        <v>0</v>
      </c>
      <c r="O351" s="107" t="str">
        <f t="array" ref="O351">XLOOKUP(A351,Data!F:F,Data!O:O)</f>
        <v/>
      </c>
      <c r="P351" s="107" t="str">
        <f t="shared" si="8"/>
        <v>  -   </v>
      </c>
      <c r="Q351" s="27"/>
    </row>
    <row r="352" ht="15.75" customHeight="1">
      <c r="A352" s="105" t="s">
        <v>596</v>
      </c>
      <c r="B352" s="19" t="str">
        <f t="array" ref="B352">XLOOKUP(A352,Data!F:F,Data!G:G)</f>
        <v>A1C</v>
      </c>
      <c r="C352" s="19" t="str">
        <f t="shared" si="3"/>
        <v>A020</v>
      </c>
      <c r="D352" s="19" t="str">
        <f t="array" ref="D352">XLOOKUP(A352,Data!F:F,Data!C:C)</f>
        <v/>
      </c>
      <c r="E352" s="19" t="str">
        <f t="array" ref="E352">XLOOKUP(A352,Data!F:F,Data!H:H)</f>
        <v/>
      </c>
      <c r="F352" s="106" t="str">
        <f>SUMIFS(Data!J:J,Data!F:F,A352)</f>
        <v>0</v>
      </c>
      <c r="G352" s="106" t="str">
        <f>SUMIFS(Cast!C:C,CastElements,A352)</f>
        <v>0</v>
      </c>
      <c r="H352" s="106" t="str">
        <f t="shared" si="4"/>
        <v>0</v>
      </c>
      <c r="I352" s="106" t="str">
        <f>SUMIFS(Del!C:C,Del!B:B,A352)</f>
        <v>0</v>
      </c>
      <c r="J352" s="106" t="str">
        <f t="shared" si="5"/>
        <v>0</v>
      </c>
      <c r="K352" s="106" t="str">
        <f t="shared" si="6"/>
        <v>0</v>
      </c>
      <c r="L352" s="106"/>
      <c r="M352" s="106" t="str">
        <f>SUMIFS(Ere!C:C,Ere!B:B,A352)</f>
        <v>0</v>
      </c>
      <c r="N352" s="106" t="str">
        <f t="shared" si="7"/>
        <v>0</v>
      </c>
      <c r="O352" s="107" t="str">
        <f t="array" ref="O352">XLOOKUP(A352,Data!F:F,Data!O:O)</f>
        <v/>
      </c>
      <c r="P352" s="107" t="str">
        <f t="shared" si="8"/>
        <v>  -   </v>
      </c>
      <c r="Q352" s="27"/>
    </row>
    <row r="353" ht="15.75" customHeight="1">
      <c r="A353" s="105" t="s">
        <v>597</v>
      </c>
      <c r="B353" s="19" t="str">
        <f t="array" ref="B353">XLOOKUP(A353,Data!F:F,Data!G:G)</f>
        <v>A1C</v>
      </c>
      <c r="C353" s="19" t="str">
        <f t="shared" si="3"/>
        <v>A020</v>
      </c>
      <c r="D353" s="19" t="str">
        <f t="array" ref="D353">XLOOKUP(A353,Data!F:F,Data!C:C)</f>
        <v/>
      </c>
      <c r="E353" s="19" t="str">
        <f t="array" ref="E353">XLOOKUP(A353,Data!F:F,Data!H:H)</f>
        <v/>
      </c>
      <c r="F353" s="106" t="str">
        <f>SUMIFS(Data!J:J,Data!F:F,A353)</f>
        <v>0</v>
      </c>
      <c r="G353" s="106" t="str">
        <f>SUMIFS(Cast!C:C,CastElements,A353)</f>
        <v>0</v>
      </c>
      <c r="H353" s="106" t="str">
        <f t="shared" si="4"/>
        <v>0</v>
      </c>
      <c r="I353" s="106" t="str">
        <f>SUMIFS(Del!C:C,Del!B:B,A353)</f>
        <v>0</v>
      </c>
      <c r="J353" s="106" t="str">
        <f t="shared" si="5"/>
        <v>0</v>
      </c>
      <c r="K353" s="106" t="str">
        <f t="shared" si="6"/>
        <v>0</v>
      </c>
      <c r="L353" s="106"/>
      <c r="M353" s="106" t="str">
        <f>SUMIFS(Ere!C:C,Ere!B:B,A353)</f>
        <v>0</v>
      </c>
      <c r="N353" s="106" t="str">
        <f t="shared" si="7"/>
        <v>0</v>
      </c>
      <c r="O353" s="107" t="str">
        <f t="array" ref="O353">XLOOKUP(A353,Data!F:F,Data!O:O)</f>
        <v/>
      </c>
      <c r="P353" s="107" t="str">
        <f t="shared" si="8"/>
        <v>  -   </v>
      </c>
      <c r="Q353" s="27"/>
    </row>
    <row r="354" ht="15.75" customHeight="1">
      <c r="A354" s="105" t="s">
        <v>598</v>
      </c>
      <c r="B354" s="19" t="str">
        <f t="array" ref="B354">XLOOKUP(A354,Data!F:F,Data!G:G)</f>
        <v>A1C</v>
      </c>
      <c r="C354" s="19" t="str">
        <f t="shared" si="3"/>
        <v>A020</v>
      </c>
      <c r="D354" s="19" t="str">
        <f t="array" ref="D354">XLOOKUP(A354,Data!F:F,Data!C:C)</f>
        <v/>
      </c>
      <c r="E354" s="19" t="str">
        <f t="array" ref="E354">XLOOKUP(A354,Data!F:F,Data!H:H)</f>
        <v/>
      </c>
      <c r="F354" s="106" t="str">
        <f>SUMIFS(Data!J:J,Data!F:F,A354)</f>
        <v>0</v>
      </c>
      <c r="G354" s="106" t="str">
        <f>SUMIFS(Cast!C:C,CastElements,A354)</f>
        <v>0</v>
      </c>
      <c r="H354" s="106" t="str">
        <f t="shared" si="4"/>
        <v>0</v>
      </c>
      <c r="I354" s="106" t="str">
        <f>SUMIFS(Del!C:C,Del!B:B,A354)</f>
        <v>0</v>
      </c>
      <c r="J354" s="106" t="str">
        <f t="shared" si="5"/>
        <v>0</v>
      </c>
      <c r="K354" s="106" t="str">
        <f t="shared" si="6"/>
        <v>0</v>
      </c>
      <c r="L354" s="106"/>
      <c r="M354" s="106" t="str">
        <f>SUMIFS(Ere!C:C,Ere!B:B,A354)</f>
        <v>0</v>
      </c>
      <c r="N354" s="106" t="str">
        <f t="shared" si="7"/>
        <v>0</v>
      </c>
      <c r="O354" s="107" t="str">
        <f t="array" ref="O354">XLOOKUP(A354,Data!F:F,Data!O:O)</f>
        <v/>
      </c>
      <c r="P354" s="107" t="str">
        <f t="shared" si="8"/>
        <v>  -   </v>
      </c>
      <c r="Q354" s="27"/>
    </row>
    <row r="355" ht="15.75" customHeight="1">
      <c r="A355" s="105" t="s">
        <v>599</v>
      </c>
      <c r="B355" s="19" t="str">
        <f t="array" ref="B355">XLOOKUP(A355,Data!F:F,Data!G:G)</f>
        <v>A1C</v>
      </c>
      <c r="C355" s="19" t="str">
        <f t="shared" si="3"/>
        <v>A020</v>
      </c>
      <c r="D355" s="19" t="str">
        <f t="array" ref="D355">XLOOKUP(A355,Data!F:F,Data!C:C)</f>
        <v/>
      </c>
      <c r="E355" s="19" t="str">
        <f t="array" ref="E355">XLOOKUP(A355,Data!F:F,Data!H:H)</f>
        <v/>
      </c>
      <c r="F355" s="106" t="str">
        <f>SUMIFS(Data!J:J,Data!F:F,A355)</f>
        <v>0</v>
      </c>
      <c r="G355" s="106" t="str">
        <f>SUMIFS(Cast!C:C,CastElements,A355)</f>
        <v>0</v>
      </c>
      <c r="H355" s="106" t="str">
        <f t="shared" si="4"/>
        <v>0</v>
      </c>
      <c r="I355" s="106" t="str">
        <f>SUMIFS(Del!C:C,Del!B:B,A355)</f>
        <v>0</v>
      </c>
      <c r="J355" s="106" t="str">
        <f t="shared" si="5"/>
        <v>0</v>
      </c>
      <c r="K355" s="106" t="str">
        <f t="shared" si="6"/>
        <v>0</v>
      </c>
      <c r="L355" s="106"/>
      <c r="M355" s="106" t="str">
        <f>SUMIFS(Ere!C:C,Ere!B:B,A355)</f>
        <v>0</v>
      </c>
      <c r="N355" s="106" t="str">
        <f t="shared" si="7"/>
        <v>0</v>
      </c>
      <c r="O355" s="107" t="str">
        <f t="array" ref="O355">XLOOKUP(A355,Data!F:F,Data!O:O)</f>
        <v/>
      </c>
      <c r="P355" s="107" t="str">
        <f t="shared" si="8"/>
        <v>  -   </v>
      </c>
      <c r="Q355" s="27"/>
    </row>
    <row r="356" ht="15.75" customHeight="1">
      <c r="A356" s="105" t="s">
        <v>600</v>
      </c>
      <c r="B356" s="19" t="str">
        <f t="array" ref="B356">XLOOKUP(A356,Data!F:F,Data!G:G)</f>
        <v>A1C</v>
      </c>
      <c r="C356" s="19" t="str">
        <f t="shared" si="3"/>
        <v>A020</v>
      </c>
      <c r="D356" s="19" t="str">
        <f t="array" ref="D356">XLOOKUP(A356,Data!F:F,Data!C:C)</f>
        <v/>
      </c>
      <c r="E356" s="19" t="str">
        <f t="array" ref="E356">XLOOKUP(A356,Data!F:F,Data!H:H)</f>
        <v/>
      </c>
      <c r="F356" s="106" t="str">
        <f>SUMIFS(Data!J:J,Data!F:F,A356)</f>
        <v>0</v>
      </c>
      <c r="G356" s="106" t="str">
        <f>SUMIFS(Cast!C:C,CastElements,A356)</f>
        <v>0</v>
      </c>
      <c r="H356" s="106" t="str">
        <f t="shared" si="4"/>
        <v>0</v>
      </c>
      <c r="I356" s="106" t="str">
        <f>SUMIFS(Del!C:C,Del!B:B,A356)</f>
        <v>0</v>
      </c>
      <c r="J356" s="106" t="str">
        <f t="shared" si="5"/>
        <v>0</v>
      </c>
      <c r="K356" s="106" t="str">
        <f t="shared" si="6"/>
        <v>0</v>
      </c>
      <c r="L356" s="106"/>
      <c r="M356" s="106" t="str">
        <f>SUMIFS(Ere!C:C,Ere!B:B,A356)</f>
        <v>0</v>
      </c>
      <c r="N356" s="106" t="str">
        <f t="shared" si="7"/>
        <v>0</v>
      </c>
      <c r="O356" s="107" t="str">
        <f t="array" ref="O356">XLOOKUP(A356,Data!F:F,Data!O:O)</f>
        <v/>
      </c>
      <c r="P356" s="107" t="str">
        <f t="shared" si="8"/>
        <v>  -   </v>
      </c>
      <c r="Q356" s="27"/>
    </row>
    <row r="357" ht="15.75" customHeight="1">
      <c r="A357" s="105" t="s">
        <v>601</v>
      </c>
      <c r="B357" s="19" t="str">
        <f t="array" ref="B357">XLOOKUP(A357,Data!F:F,Data!G:G)</f>
        <v>A1C</v>
      </c>
      <c r="C357" s="19" t="str">
        <f t="shared" si="3"/>
        <v>A020</v>
      </c>
      <c r="D357" s="19" t="str">
        <f t="array" ref="D357">XLOOKUP(A357,Data!F:F,Data!C:C)</f>
        <v/>
      </c>
      <c r="E357" s="19" t="str">
        <f t="array" ref="E357">XLOOKUP(A357,Data!F:F,Data!H:H)</f>
        <v/>
      </c>
      <c r="F357" s="106" t="str">
        <f>SUMIFS(Data!J:J,Data!F:F,A357)</f>
        <v>0</v>
      </c>
      <c r="G357" s="106" t="str">
        <f>SUMIFS(Cast!C:C,CastElements,A357)</f>
        <v>0</v>
      </c>
      <c r="H357" s="106" t="str">
        <f t="shared" si="4"/>
        <v>0</v>
      </c>
      <c r="I357" s="106" t="str">
        <f>SUMIFS(Del!C:C,Del!B:B,A357)</f>
        <v>0</v>
      </c>
      <c r="J357" s="106" t="str">
        <f t="shared" si="5"/>
        <v>0</v>
      </c>
      <c r="K357" s="106" t="str">
        <f t="shared" si="6"/>
        <v>0</v>
      </c>
      <c r="L357" s="106"/>
      <c r="M357" s="106" t="str">
        <f>SUMIFS(Ere!C:C,Ere!B:B,A357)</f>
        <v>0</v>
      </c>
      <c r="N357" s="106" t="str">
        <f t="shared" si="7"/>
        <v>0</v>
      </c>
      <c r="O357" s="107" t="str">
        <f t="array" ref="O357">XLOOKUP(A357,Data!F:F,Data!O:O)</f>
        <v/>
      </c>
      <c r="P357" s="107" t="str">
        <f t="shared" si="8"/>
        <v>  -   </v>
      </c>
      <c r="Q357" s="27"/>
    </row>
    <row r="358" ht="15.75" customHeight="1">
      <c r="A358" s="105" t="s">
        <v>602</v>
      </c>
      <c r="B358" s="19" t="str">
        <f t="array" ref="B358">XLOOKUP(A358,Data!F:F,Data!G:G)</f>
        <v>A1C</v>
      </c>
      <c r="C358" s="19" t="str">
        <f t="shared" si="3"/>
        <v>A020</v>
      </c>
      <c r="D358" s="19" t="str">
        <f t="array" ref="D358">XLOOKUP(A358,Data!F:F,Data!C:C)</f>
        <v/>
      </c>
      <c r="E358" s="19" t="str">
        <f t="array" ref="E358">XLOOKUP(A358,Data!F:F,Data!H:H)</f>
        <v/>
      </c>
      <c r="F358" s="106" t="str">
        <f>SUMIFS(Data!J:J,Data!F:F,A358)</f>
        <v>0</v>
      </c>
      <c r="G358" s="106" t="str">
        <f>SUMIFS(Cast!C:C,CastElements,A358)</f>
        <v>0</v>
      </c>
      <c r="H358" s="106" t="str">
        <f t="shared" si="4"/>
        <v>0</v>
      </c>
      <c r="I358" s="106" t="str">
        <f>SUMIFS(Del!C:C,Del!B:B,A358)</f>
        <v>0</v>
      </c>
      <c r="J358" s="106" t="str">
        <f t="shared" si="5"/>
        <v>0</v>
      </c>
      <c r="K358" s="106" t="str">
        <f t="shared" si="6"/>
        <v>0</v>
      </c>
      <c r="L358" s="106"/>
      <c r="M358" s="106" t="str">
        <f>SUMIFS(Ere!C:C,Ere!B:B,A358)</f>
        <v>0</v>
      </c>
      <c r="N358" s="106" t="str">
        <f t="shared" si="7"/>
        <v>0</v>
      </c>
      <c r="O358" s="107" t="str">
        <f t="array" ref="O358">XLOOKUP(A358,Data!F:F,Data!O:O)</f>
        <v/>
      </c>
      <c r="P358" s="107" t="str">
        <f t="shared" si="8"/>
        <v>  -   </v>
      </c>
      <c r="Q358" s="27"/>
    </row>
    <row r="359" ht="15.75" customHeight="1">
      <c r="A359" s="105" t="s">
        <v>603</v>
      </c>
      <c r="B359" s="19" t="str">
        <f t="array" ref="B359">XLOOKUP(A359,Data!F:F,Data!G:G)</f>
        <v>A1C</v>
      </c>
      <c r="C359" s="19" t="str">
        <f t="shared" si="3"/>
        <v>A021</v>
      </c>
      <c r="D359" s="19" t="str">
        <f t="array" ref="D359">XLOOKUP(A359,Data!F:F,Data!C:C)</f>
        <v/>
      </c>
      <c r="E359" s="19" t="str">
        <f t="array" ref="E359">XLOOKUP(A359,Data!F:F,Data!H:H)</f>
        <v>BW</v>
      </c>
      <c r="F359" s="106" t="str">
        <f>SUMIFS(Data!J:J,Data!F:F,A359)</f>
        <v>1</v>
      </c>
      <c r="G359" s="106" t="str">
        <f>SUMIFS(Cast!C:C,CastElements,A359)</f>
        <v>1</v>
      </c>
      <c r="H359" s="106" t="str">
        <f t="shared" si="4"/>
        <v>0</v>
      </c>
      <c r="I359" s="106" t="str">
        <f>SUMIFS(Del!C:C,Del!B:B,A359)</f>
        <v>0</v>
      </c>
      <c r="J359" s="106" t="str">
        <f t="shared" si="5"/>
        <v>1</v>
      </c>
      <c r="K359" s="106" t="str">
        <f t="shared" si="6"/>
        <v>1</v>
      </c>
      <c r="L359" s="106"/>
      <c r="M359" s="106" t="str">
        <f>SUMIFS(Ere!C:C,Ere!B:B,A359)</f>
        <v>0</v>
      </c>
      <c r="N359" s="106" t="str">
        <f t="shared" si="7"/>
        <v>1</v>
      </c>
      <c r="O359" s="107" t="str">
        <f t="array" ref="O359">XLOOKUP(A359,Data!F:F,Data!O:O)</f>
        <v>  1.00 </v>
      </c>
      <c r="P359" s="107" t="str">
        <f t="shared" si="8"/>
        <v>  2.50 </v>
      </c>
      <c r="Q359" s="27"/>
    </row>
    <row r="360" ht="15.75" customHeight="1">
      <c r="A360" s="105" t="s">
        <v>604</v>
      </c>
      <c r="B360" s="19" t="str">
        <f t="array" ref="B360">XLOOKUP(A360,Data!F:F,Data!G:G)</f>
        <v>A1C</v>
      </c>
      <c r="C360" s="19" t="str">
        <f t="shared" si="3"/>
        <v>A021</v>
      </c>
      <c r="D360" s="19" t="str">
        <f t="array" ref="D360">XLOOKUP(A360,Data!F:F,Data!C:C)</f>
        <v/>
      </c>
      <c r="E360" s="19" t="str">
        <f t="array" ref="E360">XLOOKUP(A360,Data!F:F,Data!H:H)</f>
        <v/>
      </c>
      <c r="F360" s="106" t="str">
        <f>SUMIFS(Data!J:J,Data!F:F,A360)</f>
        <v>0</v>
      </c>
      <c r="G360" s="106" t="str">
        <f>SUMIFS(Cast!C:C,CastElements,A360)</f>
        <v>0</v>
      </c>
      <c r="H360" s="106" t="str">
        <f t="shared" si="4"/>
        <v>0</v>
      </c>
      <c r="I360" s="106" t="str">
        <f>SUMIFS(Del!C:C,Del!B:B,A360)</f>
        <v>0</v>
      </c>
      <c r="J360" s="106" t="str">
        <f t="shared" si="5"/>
        <v>0</v>
      </c>
      <c r="K360" s="106" t="str">
        <f t="shared" si="6"/>
        <v>0</v>
      </c>
      <c r="L360" s="106"/>
      <c r="M360" s="106" t="str">
        <f>SUMIFS(Ere!C:C,Ere!B:B,A360)</f>
        <v>0</v>
      </c>
      <c r="N360" s="106" t="str">
        <f t="shared" si="7"/>
        <v>0</v>
      </c>
      <c r="O360" s="107" t="str">
        <f t="array" ref="O360">XLOOKUP(A360,Data!F:F,Data!O:O)</f>
        <v/>
      </c>
      <c r="P360" s="107" t="str">
        <f t="shared" si="8"/>
        <v>  -   </v>
      </c>
      <c r="Q360" s="27"/>
    </row>
    <row r="361" ht="15.75" customHeight="1">
      <c r="A361" s="105" t="s">
        <v>605</v>
      </c>
      <c r="B361" s="19" t="str">
        <f t="array" ref="B361">XLOOKUP(A361,Data!F:F,Data!G:G)</f>
        <v>A1C</v>
      </c>
      <c r="C361" s="19" t="str">
        <f t="shared" si="3"/>
        <v>A021</v>
      </c>
      <c r="D361" s="19" t="str">
        <f t="array" ref="D361">XLOOKUP(A361,Data!F:F,Data!C:C)</f>
        <v/>
      </c>
      <c r="E361" s="19" t="str">
        <f t="array" ref="E361">XLOOKUP(A361,Data!F:F,Data!H:H)</f>
        <v/>
      </c>
      <c r="F361" s="106" t="str">
        <f>SUMIFS(Data!J:J,Data!F:F,A361)</f>
        <v>0</v>
      </c>
      <c r="G361" s="106" t="str">
        <f>SUMIFS(Cast!C:C,CastElements,A361)</f>
        <v>0</v>
      </c>
      <c r="H361" s="106" t="str">
        <f t="shared" si="4"/>
        <v>0</v>
      </c>
      <c r="I361" s="106" t="str">
        <f>SUMIFS(Del!C:C,Del!B:B,A361)</f>
        <v>0</v>
      </c>
      <c r="J361" s="106" t="str">
        <f t="shared" si="5"/>
        <v>0</v>
      </c>
      <c r="K361" s="106" t="str">
        <f t="shared" si="6"/>
        <v>0</v>
      </c>
      <c r="L361" s="106"/>
      <c r="M361" s="106" t="str">
        <f>SUMIFS(Ere!C:C,Ere!B:B,A361)</f>
        <v>0</v>
      </c>
      <c r="N361" s="106" t="str">
        <f t="shared" si="7"/>
        <v>0</v>
      </c>
      <c r="O361" s="107" t="str">
        <f t="array" ref="O361">XLOOKUP(A361,Data!F:F,Data!O:O)</f>
        <v/>
      </c>
      <c r="P361" s="107" t="str">
        <f t="shared" si="8"/>
        <v>  -   </v>
      </c>
      <c r="Q361" s="27"/>
    </row>
    <row r="362" ht="15.75" customHeight="1">
      <c r="A362" s="105" t="s">
        <v>606</v>
      </c>
      <c r="B362" s="19" t="str">
        <f t="array" ref="B362">XLOOKUP(A362,Data!F:F,Data!G:G)</f>
        <v>A1C</v>
      </c>
      <c r="C362" s="19" t="str">
        <f t="shared" si="3"/>
        <v>A021</v>
      </c>
      <c r="D362" s="19" t="str">
        <f t="array" ref="D362">XLOOKUP(A362,Data!F:F,Data!C:C)</f>
        <v/>
      </c>
      <c r="E362" s="19" t="str">
        <f t="array" ref="E362">XLOOKUP(A362,Data!F:F,Data!H:H)</f>
        <v/>
      </c>
      <c r="F362" s="106" t="str">
        <f>SUMIFS(Data!J:J,Data!F:F,A362)</f>
        <v>0</v>
      </c>
      <c r="G362" s="106" t="str">
        <f>SUMIFS(Cast!C:C,CastElements,A362)</f>
        <v>0</v>
      </c>
      <c r="H362" s="106" t="str">
        <f t="shared" si="4"/>
        <v>0</v>
      </c>
      <c r="I362" s="106" t="str">
        <f>SUMIFS(Del!C:C,Del!B:B,A362)</f>
        <v>0</v>
      </c>
      <c r="J362" s="106" t="str">
        <f t="shared" si="5"/>
        <v>0</v>
      </c>
      <c r="K362" s="106" t="str">
        <f t="shared" si="6"/>
        <v>0</v>
      </c>
      <c r="L362" s="106"/>
      <c r="M362" s="106" t="str">
        <f>SUMIFS(Ere!C:C,Ere!B:B,A362)</f>
        <v>0</v>
      </c>
      <c r="N362" s="106" t="str">
        <f t="shared" si="7"/>
        <v>0</v>
      </c>
      <c r="O362" s="107" t="str">
        <f t="array" ref="O362">XLOOKUP(A362,Data!F:F,Data!O:O)</f>
        <v/>
      </c>
      <c r="P362" s="107" t="str">
        <f t="shared" si="8"/>
        <v>  -   </v>
      </c>
      <c r="Q362" s="27"/>
    </row>
    <row r="363" ht="15.75" customHeight="1">
      <c r="A363" s="105" t="s">
        <v>607</v>
      </c>
      <c r="B363" s="19" t="str">
        <f t="array" ref="B363">XLOOKUP(A363,Data!F:F,Data!G:G)</f>
        <v>A1C</v>
      </c>
      <c r="C363" s="19" t="str">
        <f t="shared" si="3"/>
        <v>A021</v>
      </c>
      <c r="D363" s="19" t="str">
        <f t="array" ref="D363">XLOOKUP(A363,Data!F:F,Data!C:C)</f>
        <v/>
      </c>
      <c r="E363" s="19" t="str">
        <f t="array" ref="E363">XLOOKUP(A363,Data!F:F,Data!H:H)</f>
        <v/>
      </c>
      <c r="F363" s="106" t="str">
        <f>SUMIFS(Data!J:J,Data!F:F,A363)</f>
        <v>0</v>
      </c>
      <c r="G363" s="106" t="str">
        <f>SUMIFS(Cast!C:C,CastElements,A363)</f>
        <v>0</v>
      </c>
      <c r="H363" s="106" t="str">
        <f t="shared" si="4"/>
        <v>0</v>
      </c>
      <c r="I363" s="106" t="str">
        <f>SUMIFS(Del!C:C,Del!B:B,A363)</f>
        <v>0</v>
      </c>
      <c r="J363" s="106" t="str">
        <f t="shared" si="5"/>
        <v>0</v>
      </c>
      <c r="K363" s="106" t="str">
        <f t="shared" si="6"/>
        <v>0</v>
      </c>
      <c r="L363" s="106"/>
      <c r="M363" s="106" t="str">
        <f>SUMIFS(Ere!C:C,Ere!B:B,A363)</f>
        <v>0</v>
      </c>
      <c r="N363" s="106" t="str">
        <f t="shared" si="7"/>
        <v>0</v>
      </c>
      <c r="O363" s="107" t="str">
        <f t="array" ref="O363">XLOOKUP(A363,Data!F:F,Data!O:O)</f>
        <v/>
      </c>
      <c r="P363" s="107" t="str">
        <f t="shared" si="8"/>
        <v>  -   </v>
      </c>
      <c r="Q363" s="27"/>
    </row>
    <row r="364" ht="15.75" customHeight="1">
      <c r="A364" s="105" t="s">
        <v>608</v>
      </c>
      <c r="B364" s="19" t="str">
        <f t="array" ref="B364">XLOOKUP(A364,Data!F:F,Data!G:G)</f>
        <v>A1C</v>
      </c>
      <c r="C364" s="19" t="str">
        <f t="shared" si="3"/>
        <v>A021</v>
      </c>
      <c r="D364" s="19" t="str">
        <f t="array" ref="D364">XLOOKUP(A364,Data!F:F,Data!C:C)</f>
        <v/>
      </c>
      <c r="E364" s="19" t="str">
        <f t="array" ref="E364">XLOOKUP(A364,Data!F:F,Data!H:H)</f>
        <v/>
      </c>
      <c r="F364" s="106" t="str">
        <f>SUMIFS(Data!J:J,Data!F:F,A364)</f>
        <v>0</v>
      </c>
      <c r="G364" s="106" t="str">
        <f>SUMIFS(Cast!C:C,CastElements,A364)</f>
        <v>0</v>
      </c>
      <c r="H364" s="106" t="str">
        <f t="shared" si="4"/>
        <v>0</v>
      </c>
      <c r="I364" s="106" t="str">
        <f>SUMIFS(Del!C:C,Del!B:B,A364)</f>
        <v>0</v>
      </c>
      <c r="J364" s="106" t="str">
        <f t="shared" si="5"/>
        <v>0</v>
      </c>
      <c r="K364" s="106" t="str">
        <f t="shared" si="6"/>
        <v>0</v>
      </c>
      <c r="L364" s="106"/>
      <c r="M364" s="106" t="str">
        <f>SUMIFS(Ere!C:C,Ere!B:B,A364)</f>
        <v>0</v>
      </c>
      <c r="N364" s="106" t="str">
        <f t="shared" si="7"/>
        <v>0</v>
      </c>
      <c r="O364" s="107" t="str">
        <f t="array" ref="O364">XLOOKUP(A364,Data!F:F,Data!O:O)</f>
        <v/>
      </c>
      <c r="P364" s="107" t="str">
        <f t="shared" si="8"/>
        <v>  -   </v>
      </c>
      <c r="Q364" s="27"/>
    </row>
    <row r="365" ht="15.75" customHeight="1">
      <c r="A365" s="105" t="s">
        <v>609</v>
      </c>
      <c r="B365" s="19" t="str">
        <f t="array" ref="B365">XLOOKUP(A365,Data!F:F,Data!G:G)</f>
        <v>A1C</v>
      </c>
      <c r="C365" s="19" t="str">
        <f t="shared" si="3"/>
        <v>A021</v>
      </c>
      <c r="D365" s="19" t="str">
        <f t="array" ref="D365">XLOOKUP(A365,Data!F:F,Data!C:C)</f>
        <v/>
      </c>
      <c r="E365" s="19" t="str">
        <f t="array" ref="E365">XLOOKUP(A365,Data!F:F,Data!H:H)</f>
        <v/>
      </c>
      <c r="F365" s="106" t="str">
        <f>SUMIFS(Data!J:J,Data!F:F,A365)</f>
        <v>0</v>
      </c>
      <c r="G365" s="106" t="str">
        <f>SUMIFS(Cast!C:C,CastElements,A365)</f>
        <v>0</v>
      </c>
      <c r="H365" s="106" t="str">
        <f t="shared" si="4"/>
        <v>0</v>
      </c>
      <c r="I365" s="106" t="str">
        <f>SUMIFS(Del!C:C,Del!B:B,A365)</f>
        <v>0</v>
      </c>
      <c r="J365" s="106" t="str">
        <f t="shared" si="5"/>
        <v>0</v>
      </c>
      <c r="K365" s="106" t="str">
        <f t="shared" si="6"/>
        <v>0</v>
      </c>
      <c r="L365" s="106"/>
      <c r="M365" s="106" t="str">
        <f>SUMIFS(Ere!C:C,Ere!B:B,A365)</f>
        <v>0</v>
      </c>
      <c r="N365" s="106" t="str">
        <f t="shared" si="7"/>
        <v>0</v>
      </c>
      <c r="O365" s="107" t="str">
        <f t="array" ref="O365">XLOOKUP(A365,Data!F:F,Data!O:O)</f>
        <v/>
      </c>
      <c r="P365" s="107" t="str">
        <f t="shared" si="8"/>
        <v>  -   </v>
      </c>
      <c r="Q365" s="27"/>
    </row>
    <row r="366" ht="15.75" customHeight="1">
      <c r="A366" s="105" t="s">
        <v>610</v>
      </c>
      <c r="B366" s="19" t="str">
        <f t="array" ref="B366">XLOOKUP(A366,Data!F:F,Data!G:G)</f>
        <v>A1C</v>
      </c>
      <c r="C366" s="19" t="str">
        <f t="shared" si="3"/>
        <v>A021</v>
      </c>
      <c r="D366" s="19" t="str">
        <f t="array" ref="D366">XLOOKUP(A366,Data!F:F,Data!C:C)</f>
        <v/>
      </c>
      <c r="E366" s="19" t="str">
        <f t="array" ref="E366">XLOOKUP(A366,Data!F:F,Data!H:H)</f>
        <v/>
      </c>
      <c r="F366" s="106" t="str">
        <f>SUMIFS(Data!J:J,Data!F:F,A366)</f>
        <v>0</v>
      </c>
      <c r="G366" s="106" t="str">
        <f>SUMIFS(Cast!C:C,CastElements,A366)</f>
        <v>0</v>
      </c>
      <c r="H366" s="106" t="str">
        <f t="shared" si="4"/>
        <v>0</v>
      </c>
      <c r="I366" s="106" t="str">
        <f>SUMIFS(Del!C:C,Del!B:B,A366)</f>
        <v>0</v>
      </c>
      <c r="J366" s="106" t="str">
        <f t="shared" si="5"/>
        <v>0</v>
      </c>
      <c r="K366" s="106" t="str">
        <f t="shared" si="6"/>
        <v>0</v>
      </c>
      <c r="L366" s="106"/>
      <c r="M366" s="106" t="str">
        <f>SUMIFS(Ere!C:C,Ere!B:B,A366)</f>
        <v>0</v>
      </c>
      <c r="N366" s="106" t="str">
        <f t="shared" si="7"/>
        <v>0</v>
      </c>
      <c r="O366" s="107" t="str">
        <f t="array" ref="O366">XLOOKUP(A366,Data!F:F,Data!O:O)</f>
        <v/>
      </c>
      <c r="P366" s="107" t="str">
        <f t="shared" si="8"/>
        <v>  -   </v>
      </c>
      <c r="Q366" s="27"/>
    </row>
    <row r="367" ht="15.75" customHeight="1">
      <c r="A367" s="105" t="s">
        <v>611</v>
      </c>
      <c r="B367" s="19" t="str">
        <f t="array" ref="B367">XLOOKUP(A367,Data!F:F,Data!G:G)</f>
        <v>A1C</v>
      </c>
      <c r="C367" s="19" t="str">
        <f t="shared" si="3"/>
        <v>A021</v>
      </c>
      <c r="D367" s="19" t="str">
        <f t="array" ref="D367">XLOOKUP(A367,Data!F:F,Data!C:C)</f>
        <v/>
      </c>
      <c r="E367" s="19" t="str">
        <f t="array" ref="E367">XLOOKUP(A367,Data!F:F,Data!H:H)</f>
        <v/>
      </c>
      <c r="F367" s="106" t="str">
        <f>SUMIFS(Data!J:J,Data!F:F,A367)</f>
        <v>0</v>
      </c>
      <c r="G367" s="106" t="str">
        <f>SUMIFS(Cast!C:C,CastElements,A367)</f>
        <v>0</v>
      </c>
      <c r="H367" s="106" t="str">
        <f t="shared" si="4"/>
        <v>0</v>
      </c>
      <c r="I367" s="106" t="str">
        <f>SUMIFS(Del!C:C,Del!B:B,A367)</f>
        <v>0</v>
      </c>
      <c r="J367" s="106" t="str">
        <f t="shared" si="5"/>
        <v>0</v>
      </c>
      <c r="K367" s="106" t="str">
        <f t="shared" si="6"/>
        <v>0</v>
      </c>
      <c r="L367" s="106"/>
      <c r="M367" s="106" t="str">
        <f>SUMIFS(Ere!C:C,Ere!B:B,A367)</f>
        <v>0</v>
      </c>
      <c r="N367" s="106" t="str">
        <f t="shared" si="7"/>
        <v>0</v>
      </c>
      <c r="O367" s="107" t="str">
        <f t="array" ref="O367">XLOOKUP(A367,Data!F:F,Data!O:O)</f>
        <v/>
      </c>
      <c r="P367" s="107" t="str">
        <f t="shared" si="8"/>
        <v>  -   </v>
      </c>
      <c r="Q367" s="27"/>
    </row>
    <row r="368" ht="15.75" customHeight="1">
      <c r="A368" s="105" t="s">
        <v>612</v>
      </c>
      <c r="B368" s="19" t="str">
        <f t="array" ref="B368">XLOOKUP(A368,Data!F:F,Data!G:G)</f>
        <v>A1C</v>
      </c>
      <c r="C368" s="19" t="str">
        <f t="shared" si="3"/>
        <v>A021</v>
      </c>
      <c r="D368" s="19" t="str">
        <f t="array" ref="D368">XLOOKUP(A368,Data!F:F,Data!C:C)</f>
        <v/>
      </c>
      <c r="E368" s="19" t="str">
        <f t="array" ref="E368">XLOOKUP(A368,Data!F:F,Data!H:H)</f>
        <v/>
      </c>
      <c r="F368" s="106" t="str">
        <f>SUMIFS(Data!J:J,Data!F:F,A368)</f>
        <v>0</v>
      </c>
      <c r="G368" s="106" t="str">
        <f>SUMIFS(Cast!C:C,CastElements,A368)</f>
        <v>0</v>
      </c>
      <c r="H368" s="106" t="str">
        <f t="shared" si="4"/>
        <v>0</v>
      </c>
      <c r="I368" s="106" t="str">
        <f>SUMIFS(Del!C:C,Del!B:B,A368)</f>
        <v>0</v>
      </c>
      <c r="J368" s="106" t="str">
        <f t="shared" si="5"/>
        <v>0</v>
      </c>
      <c r="K368" s="106" t="str">
        <f t="shared" si="6"/>
        <v>0</v>
      </c>
      <c r="L368" s="106"/>
      <c r="M368" s="106" t="str">
        <f>SUMIFS(Ere!C:C,Ere!B:B,A368)</f>
        <v>0</v>
      </c>
      <c r="N368" s="106" t="str">
        <f t="shared" si="7"/>
        <v>0</v>
      </c>
      <c r="O368" s="107" t="str">
        <f t="array" ref="O368">XLOOKUP(A368,Data!F:F,Data!O:O)</f>
        <v/>
      </c>
      <c r="P368" s="107" t="str">
        <f t="shared" si="8"/>
        <v>  -   </v>
      </c>
      <c r="Q368" s="27"/>
    </row>
    <row r="369" ht="15.75" customHeight="1">
      <c r="A369" s="105" t="s">
        <v>613</v>
      </c>
      <c r="B369" s="19" t="str">
        <f t="array" ref="B369">XLOOKUP(A369,Data!F:F,Data!G:G)</f>
        <v>A1C</v>
      </c>
      <c r="C369" s="19" t="str">
        <f t="shared" si="3"/>
        <v>A021</v>
      </c>
      <c r="D369" s="19" t="str">
        <f t="array" ref="D369">XLOOKUP(A369,Data!F:F,Data!C:C)</f>
        <v/>
      </c>
      <c r="E369" s="19" t="str">
        <f t="array" ref="E369">XLOOKUP(A369,Data!F:F,Data!H:H)</f>
        <v/>
      </c>
      <c r="F369" s="106" t="str">
        <f>SUMIFS(Data!J:J,Data!F:F,A369)</f>
        <v>0</v>
      </c>
      <c r="G369" s="106" t="str">
        <f>SUMIFS(Cast!C:C,CastElements,A369)</f>
        <v>0</v>
      </c>
      <c r="H369" s="106" t="str">
        <f t="shared" si="4"/>
        <v>0</v>
      </c>
      <c r="I369" s="106" t="str">
        <f>SUMIFS(Del!C:C,Del!B:B,A369)</f>
        <v>0</v>
      </c>
      <c r="J369" s="106" t="str">
        <f t="shared" si="5"/>
        <v>0</v>
      </c>
      <c r="K369" s="106" t="str">
        <f t="shared" si="6"/>
        <v>0</v>
      </c>
      <c r="L369" s="106"/>
      <c r="M369" s="106" t="str">
        <f>SUMIFS(Ere!C:C,Ere!B:B,A369)</f>
        <v>0</v>
      </c>
      <c r="N369" s="106" t="str">
        <f t="shared" si="7"/>
        <v>0</v>
      </c>
      <c r="O369" s="107" t="str">
        <f t="array" ref="O369">XLOOKUP(A369,Data!F:F,Data!O:O)</f>
        <v/>
      </c>
      <c r="P369" s="107" t="str">
        <f t="shared" si="8"/>
        <v>  -   </v>
      </c>
      <c r="Q369" s="27"/>
    </row>
    <row r="370" ht="15.75" customHeight="1">
      <c r="A370" s="105" t="s">
        <v>614</v>
      </c>
      <c r="B370" s="19" t="str">
        <f t="array" ref="B370">XLOOKUP(A370,Data!F:F,Data!G:G)</f>
        <v>A1C</v>
      </c>
      <c r="C370" s="19" t="str">
        <f t="shared" si="3"/>
        <v>A021</v>
      </c>
      <c r="D370" s="19" t="str">
        <f t="array" ref="D370">XLOOKUP(A370,Data!F:F,Data!C:C)</f>
        <v/>
      </c>
      <c r="E370" s="19" t="str">
        <f t="array" ref="E370">XLOOKUP(A370,Data!F:F,Data!H:H)</f>
        <v/>
      </c>
      <c r="F370" s="106" t="str">
        <f>SUMIFS(Data!J:J,Data!F:F,A370)</f>
        <v>0</v>
      </c>
      <c r="G370" s="106" t="str">
        <f>SUMIFS(Cast!C:C,CastElements,A370)</f>
        <v>0</v>
      </c>
      <c r="H370" s="106" t="str">
        <f t="shared" si="4"/>
        <v>0</v>
      </c>
      <c r="I370" s="106" t="str">
        <f>SUMIFS(Del!C:C,Del!B:B,A370)</f>
        <v>0</v>
      </c>
      <c r="J370" s="106" t="str">
        <f t="shared" si="5"/>
        <v>0</v>
      </c>
      <c r="K370" s="106" t="str">
        <f t="shared" si="6"/>
        <v>0</v>
      </c>
      <c r="L370" s="106"/>
      <c r="M370" s="106" t="str">
        <f>SUMIFS(Ere!C:C,Ere!B:B,A370)</f>
        <v>0</v>
      </c>
      <c r="N370" s="106" t="str">
        <f t="shared" si="7"/>
        <v>0</v>
      </c>
      <c r="O370" s="107" t="str">
        <f t="array" ref="O370">XLOOKUP(A370,Data!F:F,Data!O:O)</f>
        <v/>
      </c>
      <c r="P370" s="107" t="str">
        <f t="shared" si="8"/>
        <v>  -   </v>
      </c>
      <c r="Q370" s="27"/>
    </row>
    <row r="371" ht="15.75" customHeight="1">
      <c r="A371" s="105" t="s">
        <v>615</v>
      </c>
      <c r="B371" s="19" t="str">
        <f t="array" ref="B371">XLOOKUP(A371,Data!F:F,Data!G:G)</f>
        <v>A1C</v>
      </c>
      <c r="C371" s="19" t="str">
        <f t="shared" si="3"/>
        <v>A021</v>
      </c>
      <c r="D371" s="19" t="str">
        <f t="array" ref="D371">XLOOKUP(A371,Data!F:F,Data!C:C)</f>
        <v/>
      </c>
      <c r="E371" s="19" t="str">
        <f t="array" ref="E371">XLOOKUP(A371,Data!F:F,Data!H:H)</f>
        <v/>
      </c>
      <c r="F371" s="106" t="str">
        <f>SUMIFS(Data!J:J,Data!F:F,A371)</f>
        <v>0</v>
      </c>
      <c r="G371" s="106" t="str">
        <f>SUMIFS(Cast!C:C,CastElements,A371)</f>
        <v>0</v>
      </c>
      <c r="H371" s="106" t="str">
        <f t="shared" si="4"/>
        <v>0</v>
      </c>
      <c r="I371" s="106" t="str">
        <f>SUMIFS(Del!C:C,Del!B:B,A371)</f>
        <v>0</v>
      </c>
      <c r="J371" s="106" t="str">
        <f t="shared" si="5"/>
        <v>0</v>
      </c>
      <c r="K371" s="106" t="str">
        <f t="shared" si="6"/>
        <v>0</v>
      </c>
      <c r="L371" s="106"/>
      <c r="M371" s="106" t="str">
        <f>SUMIFS(Ere!C:C,Ere!B:B,A371)</f>
        <v>0</v>
      </c>
      <c r="N371" s="106" t="str">
        <f t="shared" si="7"/>
        <v>0</v>
      </c>
      <c r="O371" s="107" t="str">
        <f t="array" ref="O371">XLOOKUP(A371,Data!F:F,Data!O:O)</f>
        <v/>
      </c>
      <c r="P371" s="107" t="str">
        <f t="shared" si="8"/>
        <v>  -   </v>
      </c>
      <c r="Q371" s="27"/>
    </row>
    <row r="372" ht="15.75" customHeight="1">
      <c r="A372" s="105" t="s">
        <v>616</v>
      </c>
      <c r="B372" s="19" t="str">
        <f t="array" ref="B372">XLOOKUP(A372,Data!F:F,Data!G:G)</f>
        <v>A1C</v>
      </c>
      <c r="C372" s="19" t="str">
        <f t="shared" si="3"/>
        <v>A021</v>
      </c>
      <c r="D372" s="19" t="str">
        <f t="array" ref="D372">XLOOKUP(A372,Data!F:F,Data!C:C)</f>
        <v/>
      </c>
      <c r="E372" s="19" t="str">
        <f t="array" ref="E372">XLOOKUP(A372,Data!F:F,Data!H:H)</f>
        <v/>
      </c>
      <c r="F372" s="106" t="str">
        <f>SUMIFS(Data!J:J,Data!F:F,A372)</f>
        <v>0</v>
      </c>
      <c r="G372" s="106" t="str">
        <f>SUMIFS(Cast!C:C,CastElements,A372)</f>
        <v>0</v>
      </c>
      <c r="H372" s="106" t="str">
        <f t="shared" si="4"/>
        <v>0</v>
      </c>
      <c r="I372" s="106" t="str">
        <f>SUMIFS(Del!C:C,Del!B:B,A372)</f>
        <v>0</v>
      </c>
      <c r="J372" s="106" t="str">
        <f t="shared" si="5"/>
        <v>0</v>
      </c>
      <c r="K372" s="106" t="str">
        <f t="shared" si="6"/>
        <v>0</v>
      </c>
      <c r="L372" s="106"/>
      <c r="M372" s="106" t="str">
        <f>SUMIFS(Ere!C:C,Ere!B:B,A372)</f>
        <v>0</v>
      </c>
      <c r="N372" s="106" t="str">
        <f t="shared" si="7"/>
        <v>0</v>
      </c>
      <c r="O372" s="107" t="str">
        <f t="array" ref="O372">XLOOKUP(A372,Data!F:F,Data!O:O)</f>
        <v/>
      </c>
      <c r="P372" s="107" t="str">
        <f t="shared" si="8"/>
        <v>  -   </v>
      </c>
      <c r="Q372" s="27"/>
    </row>
    <row r="373" ht="15.75" customHeight="1">
      <c r="A373" s="105" t="s">
        <v>617</v>
      </c>
      <c r="B373" s="19" t="str">
        <f t="array" ref="B373">XLOOKUP(A373,Data!F:F,Data!G:G)</f>
        <v>A1C</v>
      </c>
      <c r="C373" s="19" t="str">
        <f t="shared" si="3"/>
        <v>A021</v>
      </c>
      <c r="D373" s="19" t="str">
        <f t="array" ref="D373">XLOOKUP(A373,Data!F:F,Data!C:C)</f>
        <v/>
      </c>
      <c r="E373" s="19" t="str">
        <f t="array" ref="E373">XLOOKUP(A373,Data!F:F,Data!H:H)</f>
        <v/>
      </c>
      <c r="F373" s="106" t="str">
        <f>SUMIFS(Data!J:J,Data!F:F,A373)</f>
        <v>0</v>
      </c>
      <c r="G373" s="106" t="str">
        <f>SUMIFS(Cast!C:C,CastElements,A373)</f>
        <v>0</v>
      </c>
      <c r="H373" s="106" t="str">
        <f t="shared" si="4"/>
        <v>0</v>
      </c>
      <c r="I373" s="106" t="str">
        <f>SUMIFS(Del!C:C,Del!B:B,A373)</f>
        <v>0</v>
      </c>
      <c r="J373" s="106" t="str">
        <f t="shared" si="5"/>
        <v>0</v>
      </c>
      <c r="K373" s="106" t="str">
        <f t="shared" si="6"/>
        <v>0</v>
      </c>
      <c r="L373" s="106"/>
      <c r="M373" s="106" t="str">
        <f>SUMIFS(Ere!C:C,Ere!B:B,A373)</f>
        <v>0</v>
      </c>
      <c r="N373" s="106" t="str">
        <f t="shared" si="7"/>
        <v>0</v>
      </c>
      <c r="O373" s="107" t="str">
        <f t="array" ref="O373">XLOOKUP(A373,Data!F:F,Data!O:O)</f>
        <v/>
      </c>
      <c r="P373" s="107" t="str">
        <f t="shared" si="8"/>
        <v>  -   </v>
      </c>
      <c r="Q373" s="27"/>
    </row>
    <row r="374" ht="15.75" customHeight="1">
      <c r="A374" s="105" t="s">
        <v>618</v>
      </c>
      <c r="B374" s="19" t="str">
        <f t="array" ref="B374">XLOOKUP(A374,Data!F:F,Data!G:G)</f>
        <v>A1C</v>
      </c>
      <c r="C374" s="19" t="str">
        <f t="shared" si="3"/>
        <v>A021</v>
      </c>
      <c r="D374" s="19" t="str">
        <f t="array" ref="D374">XLOOKUP(A374,Data!F:F,Data!C:C)</f>
        <v/>
      </c>
      <c r="E374" s="19" t="str">
        <f t="array" ref="E374">XLOOKUP(A374,Data!F:F,Data!H:H)</f>
        <v/>
      </c>
      <c r="F374" s="106" t="str">
        <f>SUMIFS(Data!J:J,Data!F:F,A374)</f>
        <v>0</v>
      </c>
      <c r="G374" s="106" t="str">
        <f>SUMIFS(Cast!C:C,CastElements,A374)</f>
        <v>0</v>
      </c>
      <c r="H374" s="106" t="str">
        <f t="shared" si="4"/>
        <v>0</v>
      </c>
      <c r="I374" s="106" t="str">
        <f>SUMIFS(Del!C:C,Del!B:B,A374)</f>
        <v>0</v>
      </c>
      <c r="J374" s="106" t="str">
        <f t="shared" si="5"/>
        <v>0</v>
      </c>
      <c r="K374" s="106" t="str">
        <f t="shared" si="6"/>
        <v>0</v>
      </c>
      <c r="L374" s="106"/>
      <c r="M374" s="106" t="str">
        <f>SUMIFS(Ere!C:C,Ere!B:B,A374)</f>
        <v>0</v>
      </c>
      <c r="N374" s="106" t="str">
        <f t="shared" si="7"/>
        <v>0</v>
      </c>
      <c r="O374" s="107" t="str">
        <f t="array" ref="O374">XLOOKUP(A374,Data!F:F,Data!O:O)</f>
        <v/>
      </c>
      <c r="P374" s="107" t="str">
        <f t="shared" si="8"/>
        <v>  -   </v>
      </c>
      <c r="Q374" s="27"/>
    </row>
    <row r="375" ht="15.75" customHeight="1">
      <c r="A375" s="105" t="s">
        <v>619</v>
      </c>
      <c r="B375" s="19" t="str">
        <f t="array" ref="B375">XLOOKUP(A375,Data!F:F,Data!G:G)</f>
        <v>A1C</v>
      </c>
      <c r="C375" s="19" t="str">
        <f t="shared" si="3"/>
        <v>A021</v>
      </c>
      <c r="D375" s="19" t="str">
        <f t="array" ref="D375">XLOOKUP(A375,Data!F:F,Data!C:C)</f>
        <v/>
      </c>
      <c r="E375" s="19" t="str">
        <f t="array" ref="E375">XLOOKUP(A375,Data!F:F,Data!H:H)</f>
        <v/>
      </c>
      <c r="F375" s="106" t="str">
        <f>SUMIFS(Data!J:J,Data!F:F,A375)</f>
        <v>0</v>
      </c>
      <c r="G375" s="106" t="str">
        <f>SUMIFS(Cast!C:C,CastElements,A375)</f>
        <v>0</v>
      </c>
      <c r="H375" s="106" t="str">
        <f t="shared" si="4"/>
        <v>0</v>
      </c>
      <c r="I375" s="106" t="str">
        <f>SUMIFS(Del!C:C,Del!B:B,A375)</f>
        <v>0</v>
      </c>
      <c r="J375" s="106" t="str">
        <f t="shared" si="5"/>
        <v>0</v>
      </c>
      <c r="K375" s="106" t="str">
        <f t="shared" si="6"/>
        <v>0</v>
      </c>
      <c r="L375" s="106"/>
      <c r="M375" s="106" t="str">
        <f>SUMIFS(Ere!C:C,Ere!B:B,A375)</f>
        <v>0</v>
      </c>
      <c r="N375" s="106" t="str">
        <f t="shared" si="7"/>
        <v>0</v>
      </c>
      <c r="O375" s="107" t="str">
        <f t="array" ref="O375">XLOOKUP(A375,Data!F:F,Data!O:O)</f>
        <v/>
      </c>
      <c r="P375" s="107" t="str">
        <f t="shared" si="8"/>
        <v>  -   </v>
      </c>
      <c r="Q375" s="27"/>
    </row>
    <row r="376" ht="15.75" customHeight="1">
      <c r="A376" s="105" t="s">
        <v>620</v>
      </c>
      <c r="B376" s="19" t="str">
        <f t="array" ref="B376">XLOOKUP(A376,Data!F:F,Data!G:G)</f>
        <v>A1C</v>
      </c>
      <c r="C376" s="19" t="str">
        <f t="shared" si="3"/>
        <v>A021</v>
      </c>
      <c r="D376" s="19" t="str">
        <f t="array" ref="D376">XLOOKUP(A376,Data!F:F,Data!C:C)</f>
        <v/>
      </c>
      <c r="E376" s="19" t="str">
        <f t="array" ref="E376">XLOOKUP(A376,Data!F:F,Data!H:H)</f>
        <v/>
      </c>
      <c r="F376" s="106" t="str">
        <f>SUMIFS(Data!J:J,Data!F:F,A376)</f>
        <v>0</v>
      </c>
      <c r="G376" s="106" t="str">
        <f>SUMIFS(Cast!C:C,CastElements,A376)</f>
        <v>0</v>
      </c>
      <c r="H376" s="106" t="str">
        <f t="shared" si="4"/>
        <v>0</v>
      </c>
      <c r="I376" s="106" t="str">
        <f>SUMIFS(Del!C:C,Del!B:B,A376)</f>
        <v>0</v>
      </c>
      <c r="J376" s="106" t="str">
        <f t="shared" si="5"/>
        <v>0</v>
      </c>
      <c r="K376" s="106" t="str">
        <f t="shared" si="6"/>
        <v>0</v>
      </c>
      <c r="L376" s="106"/>
      <c r="M376" s="106" t="str">
        <f>SUMIFS(Ere!C:C,Ere!B:B,A376)</f>
        <v>0</v>
      </c>
      <c r="N376" s="106" t="str">
        <f t="shared" si="7"/>
        <v>0</v>
      </c>
      <c r="O376" s="107" t="str">
        <f t="array" ref="O376">XLOOKUP(A376,Data!F:F,Data!O:O)</f>
        <v/>
      </c>
      <c r="P376" s="107" t="str">
        <f t="shared" si="8"/>
        <v>  -   </v>
      </c>
      <c r="Q376" s="27"/>
    </row>
    <row r="377" ht="15.75" customHeight="1">
      <c r="A377" s="105" t="s">
        <v>621</v>
      </c>
      <c r="B377" s="19" t="str">
        <f t="array" ref="B377">XLOOKUP(A377,Data!F:F,Data!G:G)</f>
        <v>A1C</v>
      </c>
      <c r="C377" s="19" t="str">
        <f t="shared" si="3"/>
        <v>A021</v>
      </c>
      <c r="D377" s="19" t="str">
        <f t="array" ref="D377">XLOOKUP(A377,Data!F:F,Data!C:C)</f>
        <v/>
      </c>
      <c r="E377" s="19" t="str">
        <f t="array" ref="E377">XLOOKUP(A377,Data!F:F,Data!H:H)</f>
        <v/>
      </c>
      <c r="F377" s="106" t="str">
        <f>SUMIFS(Data!J:J,Data!F:F,A377)</f>
        <v>0</v>
      </c>
      <c r="G377" s="106" t="str">
        <f>SUMIFS(Cast!C:C,CastElements,A377)</f>
        <v>0</v>
      </c>
      <c r="H377" s="106" t="str">
        <f t="shared" si="4"/>
        <v>0</v>
      </c>
      <c r="I377" s="106" t="str">
        <f>SUMIFS(Del!C:C,Del!B:B,A377)</f>
        <v>0</v>
      </c>
      <c r="J377" s="106" t="str">
        <f t="shared" si="5"/>
        <v>0</v>
      </c>
      <c r="K377" s="106" t="str">
        <f t="shared" si="6"/>
        <v>0</v>
      </c>
      <c r="L377" s="106"/>
      <c r="M377" s="106" t="str">
        <f>SUMIFS(Ere!C:C,Ere!B:B,A377)</f>
        <v>0</v>
      </c>
      <c r="N377" s="106" t="str">
        <f t="shared" si="7"/>
        <v>0</v>
      </c>
      <c r="O377" s="107" t="str">
        <f t="array" ref="O377">XLOOKUP(A377,Data!F:F,Data!O:O)</f>
        <v/>
      </c>
      <c r="P377" s="107" t="str">
        <f t="shared" si="8"/>
        <v>  -   </v>
      </c>
      <c r="Q377" s="27"/>
    </row>
    <row r="378" ht="15.75" customHeight="1">
      <c r="A378" s="105" t="s">
        <v>622</v>
      </c>
      <c r="B378" s="19" t="str">
        <f t="array" ref="B378">XLOOKUP(A378,Data!F:F,Data!G:G)</f>
        <v>A1C</v>
      </c>
      <c r="C378" s="19" t="str">
        <f t="shared" si="3"/>
        <v>A021</v>
      </c>
      <c r="D378" s="19" t="str">
        <f t="array" ref="D378">XLOOKUP(A378,Data!F:F,Data!C:C)</f>
        <v/>
      </c>
      <c r="E378" s="19" t="str">
        <f t="array" ref="E378">XLOOKUP(A378,Data!F:F,Data!H:H)</f>
        <v/>
      </c>
      <c r="F378" s="106" t="str">
        <f>SUMIFS(Data!J:J,Data!F:F,A378)</f>
        <v>0</v>
      </c>
      <c r="G378" s="106" t="str">
        <f>SUMIFS(Cast!C:C,CastElements,A378)</f>
        <v>0</v>
      </c>
      <c r="H378" s="106" t="str">
        <f t="shared" si="4"/>
        <v>0</v>
      </c>
      <c r="I378" s="106" t="str">
        <f>SUMIFS(Del!C:C,Del!B:B,A378)</f>
        <v>0</v>
      </c>
      <c r="J378" s="106" t="str">
        <f t="shared" si="5"/>
        <v>0</v>
      </c>
      <c r="K378" s="106" t="str">
        <f t="shared" si="6"/>
        <v>0</v>
      </c>
      <c r="L378" s="106"/>
      <c r="M378" s="106" t="str">
        <f>SUMIFS(Ere!C:C,Ere!B:B,A378)</f>
        <v>0</v>
      </c>
      <c r="N378" s="106" t="str">
        <f t="shared" si="7"/>
        <v>0</v>
      </c>
      <c r="O378" s="107" t="str">
        <f t="array" ref="O378">XLOOKUP(A378,Data!F:F,Data!O:O)</f>
        <v/>
      </c>
      <c r="P378" s="107" t="str">
        <f t="shared" si="8"/>
        <v>  -   </v>
      </c>
      <c r="Q378" s="27"/>
    </row>
    <row r="379" ht="15.75" customHeight="1">
      <c r="A379" s="105" t="s">
        <v>623</v>
      </c>
      <c r="B379" s="19" t="str">
        <f t="array" ref="B379">XLOOKUP(A379,Data!F:F,Data!G:G)</f>
        <v>A1C</v>
      </c>
      <c r="C379" s="19" t="str">
        <f t="shared" si="3"/>
        <v>A021</v>
      </c>
      <c r="D379" s="19" t="str">
        <f t="array" ref="D379">XLOOKUP(A379,Data!F:F,Data!C:C)</f>
        <v/>
      </c>
      <c r="E379" s="19" t="str">
        <f t="array" ref="E379">XLOOKUP(A379,Data!F:F,Data!H:H)</f>
        <v/>
      </c>
      <c r="F379" s="106" t="str">
        <f>SUMIFS(Data!J:J,Data!F:F,A379)</f>
        <v>0</v>
      </c>
      <c r="G379" s="106" t="str">
        <f>SUMIFS(Cast!C:C,CastElements,A379)</f>
        <v>0</v>
      </c>
      <c r="H379" s="106" t="str">
        <f t="shared" si="4"/>
        <v>0</v>
      </c>
      <c r="I379" s="106" t="str">
        <f>SUMIFS(Del!C:C,Del!B:B,A379)</f>
        <v>0</v>
      </c>
      <c r="J379" s="106" t="str">
        <f t="shared" si="5"/>
        <v>0</v>
      </c>
      <c r="K379" s="106" t="str">
        <f t="shared" si="6"/>
        <v>0</v>
      </c>
      <c r="L379" s="106"/>
      <c r="M379" s="106" t="str">
        <f>SUMIFS(Ere!C:C,Ere!B:B,A379)</f>
        <v>0</v>
      </c>
      <c r="N379" s="106" t="str">
        <f t="shared" si="7"/>
        <v>0</v>
      </c>
      <c r="O379" s="107" t="str">
        <f t="array" ref="O379">XLOOKUP(A379,Data!F:F,Data!O:O)</f>
        <v/>
      </c>
      <c r="P379" s="107" t="str">
        <f t="shared" si="8"/>
        <v>  -   </v>
      </c>
      <c r="Q379" s="27"/>
    </row>
    <row r="380" ht="15.75" customHeight="1">
      <c r="A380" s="105" t="s">
        <v>624</v>
      </c>
      <c r="B380" s="19" t="str">
        <f t="array" ref="B380">XLOOKUP(A380,Data!F:F,Data!G:G)</f>
        <v>A1C</v>
      </c>
      <c r="C380" s="19" t="str">
        <f t="shared" si="3"/>
        <v>A021</v>
      </c>
      <c r="D380" s="19" t="str">
        <f t="array" ref="D380">XLOOKUP(A380,Data!F:F,Data!C:C)</f>
        <v/>
      </c>
      <c r="E380" s="19" t="str">
        <f t="array" ref="E380">XLOOKUP(A380,Data!F:F,Data!H:H)</f>
        <v/>
      </c>
      <c r="F380" s="106" t="str">
        <f>SUMIFS(Data!J:J,Data!F:F,A380)</f>
        <v>0</v>
      </c>
      <c r="G380" s="106" t="str">
        <f>SUMIFS(Cast!C:C,CastElements,A380)</f>
        <v>0</v>
      </c>
      <c r="H380" s="106" t="str">
        <f t="shared" si="4"/>
        <v>0</v>
      </c>
      <c r="I380" s="106" t="str">
        <f>SUMIFS(Del!C:C,Del!B:B,A380)</f>
        <v>0</v>
      </c>
      <c r="J380" s="106" t="str">
        <f t="shared" si="5"/>
        <v>0</v>
      </c>
      <c r="K380" s="106" t="str">
        <f t="shared" si="6"/>
        <v>0</v>
      </c>
      <c r="L380" s="106"/>
      <c r="M380" s="106" t="str">
        <f>SUMIFS(Ere!C:C,Ere!B:B,A380)</f>
        <v>0</v>
      </c>
      <c r="N380" s="106" t="str">
        <f t="shared" si="7"/>
        <v>0</v>
      </c>
      <c r="O380" s="107" t="str">
        <f t="array" ref="O380">XLOOKUP(A380,Data!F:F,Data!O:O)</f>
        <v/>
      </c>
      <c r="P380" s="107" t="str">
        <f t="shared" si="8"/>
        <v>  -   </v>
      </c>
      <c r="Q380" s="27"/>
    </row>
    <row r="381" ht="15.75" customHeight="1">
      <c r="A381" s="105" t="s">
        <v>625</v>
      </c>
      <c r="B381" s="19" t="str">
        <f t="array" ref="B381">XLOOKUP(A381,Data!F:F,Data!G:G)</f>
        <v>A1C</v>
      </c>
      <c r="C381" s="19" t="str">
        <f t="shared" si="3"/>
        <v>A021</v>
      </c>
      <c r="D381" s="19" t="str">
        <f t="array" ref="D381">XLOOKUP(A381,Data!F:F,Data!C:C)</f>
        <v/>
      </c>
      <c r="E381" s="19" t="str">
        <f t="array" ref="E381">XLOOKUP(A381,Data!F:F,Data!H:H)</f>
        <v/>
      </c>
      <c r="F381" s="106" t="str">
        <f>SUMIFS(Data!J:J,Data!F:F,A381)</f>
        <v>0</v>
      </c>
      <c r="G381" s="106" t="str">
        <f>SUMIFS(Cast!C:C,CastElements,A381)</f>
        <v>0</v>
      </c>
      <c r="H381" s="106" t="str">
        <f t="shared" si="4"/>
        <v>0</v>
      </c>
      <c r="I381" s="106" t="str">
        <f>SUMIFS(Del!C:C,Del!B:B,A381)</f>
        <v>0</v>
      </c>
      <c r="J381" s="106" t="str">
        <f t="shared" si="5"/>
        <v>0</v>
      </c>
      <c r="K381" s="106" t="str">
        <f t="shared" si="6"/>
        <v>0</v>
      </c>
      <c r="L381" s="106"/>
      <c r="M381" s="106" t="str">
        <f>SUMIFS(Ere!C:C,Ere!B:B,A381)</f>
        <v>0</v>
      </c>
      <c r="N381" s="106" t="str">
        <f t="shared" si="7"/>
        <v>0</v>
      </c>
      <c r="O381" s="107" t="str">
        <f t="array" ref="O381">XLOOKUP(A381,Data!F:F,Data!O:O)</f>
        <v/>
      </c>
      <c r="P381" s="107" t="str">
        <f t="shared" si="8"/>
        <v>  -   </v>
      </c>
      <c r="Q381" s="27"/>
    </row>
    <row r="382" ht="15.75" customHeight="1">
      <c r="A382" s="105" t="s">
        <v>626</v>
      </c>
      <c r="B382" s="19" t="str">
        <f t="array" ref="B382">XLOOKUP(A382,Data!F:F,Data!G:G)</f>
        <v>A1C</v>
      </c>
      <c r="C382" s="19" t="str">
        <f t="shared" si="3"/>
        <v>A021</v>
      </c>
      <c r="D382" s="19" t="str">
        <f t="array" ref="D382">XLOOKUP(A382,Data!F:F,Data!C:C)</f>
        <v/>
      </c>
      <c r="E382" s="19" t="str">
        <f t="array" ref="E382">XLOOKUP(A382,Data!F:F,Data!H:H)</f>
        <v/>
      </c>
      <c r="F382" s="106" t="str">
        <f>SUMIFS(Data!J:J,Data!F:F,A382)</f>
        <v>0</v>
      </c>
      <c r="G382" s="106" t="str">
        <f>SUMIFS(Cast!C:C,CastElements,A382)</f>
        <v>0</v>
      </c>
      <c r="H382" s="106" t="str">
        <f t="shared" si="4"/>
        <v>0</v>
      </c>
      <c r="I382" s="106" t="str">
        <f>SUMIFS(Del!C:C,Del!B:B,A382)</f>
        <v>0</v>
      </c>
      <c r="J382" s="106" t="str">
        <f t="shared" si="5"/>
        <v>0</v>
      </c>
      <c r="K382" s="106" t="str">
        <f t="shared" si="6"/>
        <v>0</v>
      </c>
      <c r="L382" s="106"/>
      <c r="M382" s="106" t="str">
        <f>SUMIFS(Ere!C:C,Ere!B:B,A382)</f>
        <v>0</v>
      </c>
      <c r="N382" s="106" t="str">
        <f t="shared" si="7"/>
        <v>0</v>
      </c>
      <c r="O382" s="107" t="str">
        <f t="array" ref="O382">XLOOKUP(A382,Data!F:F,Data!O:O)</f>
        <v/>
      </c>
      <c r="P382" s="107" t="str">
        <f t="shared" si="8"/>
        <v>  -   </v>
      </c>
      <c r="Q382" s="27"/>
    </row>
    <row r="383" ht="15.75" customHeight="1">
      <c r="A383" s="105" t="s">
        <v>627</v>
      </c>
      <c r="B383" s="19" t="str">
        <f t="array" ref="B383">XLOOKUP(A383,Data!F:F,Data!G:G)</f>
        <v>A1C</v>
      </c>
      <c r="C383" s="19" t="str">
        <f t="shared" si="3"/>
        <v>A021</v>
      </c>
      <c r="D383" s="19" t="str">
        <f t="array" ref="D383">XLOOKUP(A383,Data!F:F,Data!C:C)</f>
        <v/>
      </c>
      <c r="E383" s="19" t="str">
        <f t="array" ref="E383">XLOOKUP(A383,Data!F:F,Data!H:H)</f>
        <v/>
      </c>
      <c r="F383" s="106" t="str">
        <f>SUMIFS(Data!J:J,Data!F:F,A383)</f>
        <v>0</v>
      </c>
      <c r="G383" s="106" t="str">
        <f>SUMIFS(Cast!C:C,CastElements,A383)</f>
        <v>0</v>
      </c>
      <c r="H383" s="106" t="str">
        <f t="shared" si="4"/>
        <v>0</v>
      </c>
      <c r="I383" s="106" t="str">
        <f>SUMIFS(Del!C:C,Del!B:B,A383)</f>
        <v>0</v>
      </c>
      <c r="J383" s="106" t="str">
        <f t="shared" si="5"/>
        <v>0</v>
      </c>
      <c r="K383" s="106" t="str">
        <f t="shared" si="6"/>
        <v>0</v>
      </c>
      <c r="L383" s="106"/>
      <c r="M383" s="106" t="str">
        <f>SUMIFS(Ere!C:C,Ere!B:B,A383)</f>
        <v>0</v>
      </c>
      <c r="N383" s="106" t="str">
        <f t="shared" si="7"/>
        <v>0</v>
      </c>
      <c r="O383" s="107" t="str">
        <f t="array" ref="O383">XLOOKUP(A383,Data!F:F,Data!O:O)</f>
        <v/>
      </c>
      <c r="P383" s="107" t="str">
        <f t="shared" si="8"/>
        <v>  -   </v>
      </c>
      <c r="Q383" s="27"/>
    </row>
    <row r="384" ht="15.75" customHeight="1">
      <c r="A384" s="105" t="s">
        <v>628</v>
      </c>
      <c r="B384" s="19" t="str">
        <f t="array" ref="B384">XLOOKUP(A384,Data!F:F,Data!G:G)</f>
        <v>A1C</v>
      </c>
      <c r="C384" s="19" t="str">
        <f t="shared" si="3"/>
        <v>A021</v>
      </c>
      <c r="D384" s="19" t="str">
        <f t="array" ref="D384">XLOOKUP(A384,Data!F:F,Data!C:C)</f>
        <v/>
      </c>
      <c r="E384" s="19" t="str">
        <f t="array" ref="E384">XLOOKUP(A384,Data!F:F,Data!H:H)</f>
        <v/>
      </c>
      <c r="F384" s="106" t="str">
        <f>SUMIFS(Data!J:J,Data!F:F,A384)</f>
        <v>0</v>
      </c>
      <c r="G384" s="106" t="str">
        <f>SUMIFS(Cast!C:C,CastElements,A384)</f>
        <v>0</v>
      </c>
      <c r="H384" s="106" t="str">
        <f t="shared" si="4"/>
        <v>0</v>
      </c>
      <c r="I384" s="106" t="str">
        <f>SUMIFS(Del!C:C,Del!B:B,A384)</f>
        <v>0</v>
      </c>
      <c r="J384" s="106" t="str">
        <f t="shared" si="5"/>
        <v>0</v>
      </c>
      <c r="K384" s="106" t="str">
        <f t="shared" si="6"/>
        <v>0</v>
      </c>
      <c r="L384" s="106"/>
      <c r="M384" s="106" t="str">
        <f>SUMIFS(Ere!C:C,Ere!B:B,A384)</f>
        <v>0</v>
      </c>
      <c r="N384" s="106" t="str">
        <f t="shared" si="7"/>
        <v>0</v>
      </c>
      <c r="O384" s="107" t="str">
        <f t="array" ref="O384">XLOOKUP(A384,Data!F:F,Data!O:O)</f>
        <v/>
      </c>
      <c r="P384" s="107" t="str">
        <f t="shared" si="8"/>
        <v>  -   </v>
      </c>
      <c r="Q384" s="27"/>
    </row>
    <row r="385" ht="15.75" customHeight="1">
      <c r="A385" s="105" t="s">
        <v>629</v>
      </c>
      <c r="B385" s="19" t="str">
        <f t="array" ref="B385">XLOOKUP(A385,Data!F:F,Data!G:G)</f>
        <v>A1C</v>
      </c>
      <c r="C385" s="19" t="str">
        <f t="shared" si="3"/>
        <v>A021</v>
      </c>
      <c r="D385" s="19" t="str">
        <f t="array" ref="D385">XLOOKUP(A385,Data!F:F,Data!C:C)</f>
        <v/>
      </c>
      <c r="E385" s="19" t="str">
        <f t="array" ref="E385">XLOOKUP(A385,Data!F:F,Data!H:H)</f>
        <v/>
      </c>
      <c r="F385" s="106" t="str">
        <f>SUMIFS(Data!J:J,Data!F:F,A385)</f>
        <v>0</v>
      </c>
      <c r="G385" s="106" t="str">
        <f>SUMIFS(Cast!C:C,CastElements,A385)</f>
        <v>0</v>
      </c>
      <c r="H385" s="106" t="str">
        <f t="shared" si="4"/>
        <v>0</v>
      </c>
      <c r="I385" s="106" t="str">
        <f>SUMIFS(Del!C:C,Del!B:B,A385)</f>
        <v>0</v>
      </c>
      <c r="J385" s="106" t="str">
        <f t="shared" si="5"/>
        <v>0</v>
      </c>
      <c r="K385" s="106" t="str">
        <f t="shared" si="6"/>
        <v>0</v>
      </c>
      <c r="L385" s="106"/>
      <c r="M385" s="106" t="str">
        <f>SUMIFS(Ere!C:C,Ere!B:B,A385)</f>
        <v>0</v>
      </c>
      <c r="N385" s="106" t="str">
        <f t="shared" si="7"/>
        <v>0</v>
      </c>
      <c r="O385" s="107" t="str">
        <f t="array" ref="O385">XLOOKUP(A385,Data!F:F,Data!O:O)</f>
        <v/>
      </c>
      <c r="P385" s="107" t="str">
        <f t="shared" si="8"/>
        <v>  -   </v>
      </c>
      <c r="Q385" s="27"/>
    </row>
    <row r="386" ht="15.75" customHeight="1">
      <c r="A386" s="105" t="s">
        <v>630</v>
      </c>
      <c r="B386" s="19" t="str">
        <f t="array" ref="B386">XLOOKUP(A386,Data!F:F,Data!G:G)</f>
        <v>A1C</v>
      </c>
      <c r="C386" s="19" t="str">
        <f t="shared" si="3"/>
        <v>A021</v>
      </c>
      <c r="D386" s="19" t="str">
        <f t="array" ref="D386">XLOOKUP(A386,Data!F:F,Data!C:C)</f>
        <v/>
      </c>
      <c r="E386" s="19" t="str">
        <f t="array" ref="E386">XLOOKUP(A386,Data!F:F,Data!H:H)</f>
        <v/>
      </c>
      <c r="F386" s="106" t="str">
        <f>SUMIFS(Data!J:J,Data!F:F,A386)</f>
        <v>0</v>
      </c>
      <c r="G386" s="106" t="str">
        <f>SUMIFS(Cast!C:C,CastElements,A386)</f>
        <v>0</v>
      </c>
      <c r="H386" s="106" t="str">
        <f t="shared" si="4"/>
        <v>0</v>
      </c>
      <c r="I386" s="106" t="str">
        <f>SUMIFS(Del!C:C,Del!B:B,A386)</f>
        <v>0</v>
      </c>
      <c r="J386" s="106" t="str">
        <f t="shared" si="5"/>
        <v>0</v>
      </c>
      <c r="K386" s="106" t="str">
        <f t="shared" si="6"/>
        <v>0</v>
      </c>
      <c r="L386" s="106"/>
      <c r="M386" s="106" t="str">
        <f>SUMIFS(Ere!C:C,Ere!B:B,A386)</f>
        <v>0</v>
      </c>
      <c r="N386" s="106" t="str">
        <f t="shared" si="7"/>
        <v>0</v>
      </c>
      <c r="O386" s="107" t="str">
        <f t="array" ref="O386">XLOOKUP(A386,Data!F:F,Data!O:O)</f>
        <v/>
      </c>
      <c r="P386" s="107" t="str">
        <f t="shared" si="8"/>
        <v>  -   </v>
      </c>
      <c r="Q386" s="27"/>
    </row>
    <row r="387" ht="15.75" customHeight="1">
      <c r="A387" s="105" t="s">
        <v>631</v>
      </c>
      <c r="B387" s="19" t="str">
        <f t="array" ref="B387">XLOOKUP(A387,Data!F:F,Data!G:G)</f>
        <v>A1C</v>
      </c>
      <c r="C387" s="19" t="str">
        <f t="shared" si="3"/>
        <v>A021</v>
      </c>
      <c r="D387" s="19" t="str">
        <f t="array" ref="D387">XLOOKUP(A387,Data!F:F,Data!C:C)</f>
        <v/>
      </c>
      <c r="E387" s="19" t="str">
        <f t="array" ref="E387">XLOOKUP(A387,Data!F:F,Data!H:H)</f>
        <v/>
      </c>
      <c r="F387" s="106" t="str">
        <f>SUMIFS(Data!J:J,Data!F:F,A387)</f>
        <v>0</v>
      </c>
      <c r="G387" s="106" t="str">
        <f>SUMIFS(Cast!C:C,CastElements,A387)</f>
        <v>0</v>
      </c>
      <c r="H387" s="106" t="str">
        <f t="shared" si="4"/>
        <v>0</v>
      </c>
      <c r="I387" s="106" t="str">
        <f>SUMIFS(Del!C:C,Del!B:B,A387)</f>
        <v>0</v>
      </c>
      <c r="J387" s="106" t="str">
        <f t="shared" si="5"/>
        <v>0</v>
      </c>
      <c r="K387" s="106" t="str">
        <f t="shared" si="6"/>
        <v>0</v>
      </c>
      <c r="L387" s="106"/>
      <c r="M387" s="106" t="str">
        <f>SUMIFS(Ere!C:C,Ere!B:B,A387)</f>
        <v>0</v>
      </c>
      <c r="N387" s="106" t="str">
        <f t="shared" si="7"/>
        <v>0</v>
      </c>
      <c r="O387" s="107" t="str">
        <f t="array" ref="O387">XLOOKUP(A387,Data!F:F,Data!O:O)</f>
        <v/>
      </c>
      <c r="P387" s="107" t="str">
        <f t="shared" si="8"/>
        <v>  -   </v>
      </c>
      <c r="Q387" s="27"/>
    </row>
    <row r="388" ht="15.75" customHeight="1">
      <c r="A388" s="105" t="s">
        <v>632</v>
      </c>
      <c r="B388" s="19" t="str">
        <f t="array" ref="B388">XLOOKUP(A388,Data!F:F,Data!G:G)</f>
        <v>A1C</v>
      </c>
      <c r="C388" s="19" t="str">
        <f t="shared" si="3"/>
        <v>A022</v>
      </c>
      <c r="D388" s="19" t="str">
        <f t="array" ref="D388">XLOOKUP(A388,Data!F:F,Data!C:C)</f>
        <v/>
      </c>
      <c r="E388" s="19" t="str">
        <f t="array" ref="E388">XLOOKUP(A388,Data!F:F,Data!H:H)</f>
        <v/>
      </c>
      <c r="F388" s="106" t="str">
        <f>SUMIFS(Data!J:J,Data!F:F,A388)</f>
        <v>0</v>
      </c>
      <c r="G388" s="106" t="str">
        <f>SUMIFS(Cast!C:C,CastElements,A388)</f>
        <v>0</v>
      </c>
      <c r="H388" s="106" t="str">
        <f t="shared" si="4"/>
        <v>0</v>
      </c>
      <c r="I388" s="106" t="str">
        <f>SUMIFS(Del!C:C,Del!B:B,A388)</f>
        <v>0</v>
      </c>
      <c r="J388" s="106" t="str">
        <f t="shared" si="5"/>
        <v>0</v>
      </c>
      <c r="K388" s="106" t="str">
        <f t="shared" si="6"/>
        <v>0</v>
      </c>
      <c r="L388" s="106"/>
      <c r="M388" s="106" t="str">
        <f>SUMIFS(Ere!C:C,Ere!B:B,A388)</f>
        <v>0</v>
      </c>
      <c r="N388" s="106" t="str">
        <f t="shared" si="7"/>
        <v>0</v>
      </c>
      <c r="O388" s="107" t="str">
        <f t="array" ref="O388">XLOOKUP(A388,Data!F:F,Data!O:O)</f>
        <v/>
      </c>
      <c r="P388" s="107" t="str">
        <f t="shared" si="8"/>
        <v>  -   </v>
      </c>
      <c r="Q388" s="27"/>
    </row>
    <row r="389" ht="15.75" customHeight="1">
      <c r="A389" s="105" t="s">
        <v>633</v>
      </c>
      <c r="B389" s="19" t="str">
        <f t="array" ref="B389">XLOOKUP(A389,Data!F:F,Data!G:G)</f>
        <v>A1C</v>
      </c>
      <c r="C389" s="19" t="str">
        <f t="shared" si="3"/>
        <v>A022</v>
      </c>
      <c r="D389" s="19" t="str">
        <f t="array" ref="D389">XLOOKUP(A389,Data!F:F,Data!C:C)</f>
        <v/>
      </c>
      <c r="E389" s="19" t="str">
        <f t="array" ref="E389">XLOOKUP(A389,Data!F:F,Data!H:H)</f>
        <v/>
      </c>
      <c r="F389" s="106" t="str">
        <f>SUMIFS(Data!J:J,Data!F:F,A389)</f>
        <v>0</v>
      </c>
      <c r="G389" s="106" t="str">
        <f>SUMIFS(Cast!C:C,CastElements,A389)</f>
        <v>0</v>
      </c>
      <c r="H389" s="106" t="str">
        <f t="shared" si="4"/>
        <v>0</v>
      </c>
      <c r="I389" s="106" t="str">
        <f>SUMIFS(Del!C:C,Del!B:B,A389)</f>
        <v>0</v>
      </c>
      <c r="J389" s="106" t="str">
        <f t="shared" si="5"/>
        <v>0</v>
      </c>
      <c r="K389" s="106" t="str">
        <f t="shared" si="6"/>
        <v>0</v>
      </c>
      <c r="L389" s="106"/>
      <c r="M389" s="106" t="str">
        <f>SUMIFS(Ere!C:C,Ere!B:B,A389)</f>
        <v>0</v>
      </c>
      <c r="N389" s="106" t="str">
        <f t="shared" si="7"/>
        <v>0</v>
      </c>
      <c r="O389" s="107" t="str">
        <f t="array" ref="O389">XLOOKUP(A389,Data!F:F,Data!O:O)</f>
        <v/>
      </c>
      <c r="P389" s="107" t="str">
        <f t="shared" si="8"/>
        <v>  -   </v>
      </c>
      <c r="Q389" s="27"/>
    </row>
    <row r="390" ht="15.75" customHeight="1">
      <c r="A390" s="105" t="s">
        <v>634</v>
      </c>
      <c r="B390" s="19" t="str">
        <f t="array" ref="B390">XLOOKUP(A390,Data!F:F,Data!G:G)</f>
        <v>A1C</v>
      </c>
      <c r="C390" s="19" t="str">
        <f t="shared" si="3"/>
        <v>A022</v>
      </c>
      <c r="D390" s="19" t="str">
        <f t="array" ref="D390">XLOOKUP(A390,Data!F:F,Data!C:C)</f>
        <v/>
      </c>
      <c r="E390" s="19" t="str">
        <f t="array" ref="E390">XLOOKUP(A390,Data!F:F,Data!H:H)</f>
        <v/>
      </c>
      <c r="F390" s="106" t="str">
        <f>SUMIFS(Data!J:J,Data!F:F,A390)</f>
        <v>0</v>
      </c>
      <c r="G390" s="106" t="str">
        <f>SUMIFS(Cast!C:C,CastElements,A390)</f>
        <v>0</v>
      </c>
      <c r="H390" s="106" t="str">
        <f t="shared" si="4"/>
        <v>0</v>
      </c>
      <c r="I390" s="106" t="str">
        <f>SUMIFS(Del!C:C,Del!B:B,A390)</f>
        <v>0</v>
      </c>
      <c r="J390" s="106" t="str">
        <f t="shared" si="5"/>
        <v>0</v>
      </c>
      <c r="K390" s="106" t="str">
        <f t="shared" si="6"/>
        <v>0</v>
      </c>
      <c r="L390" s="106"/>
      <c r="M390" s="106" t="str">
        <f>SUMIFS(Ere!C:C,Ere!B:B,A390)</f>
        <v>0</v>
      </c>
      <c r="N390" s="106" t="str">
        <f t="shared" si="7"/>
        <v>0</v>
      </c>
      <c r="O390" s="107" t="str">
        <f t="array" ref="O390">XLOOKUP(A390,Data!F:F,Data!O:O)</f>
        <v/>
      </c>
      <c r="P390" s="107" t="str">
        <f t="shared" si="8"/>
        <v>  -   </v>
      </c>
      <c r="Q390" s="27"/>
    </row>
    <row r="391" ht="15.75" customHeight="1">
      <c r="A391" s="105" t="s">
        <v>635</v>
      </c>
      <c r="B391" s="19" t="str">
        <f t="array" ref="B391">XLOOKUP(A391,Data!F:F,Data!G:G)</f>
        <v>A1C</v>
      </c>
      <c r="C391" s="19" t="str">
        <f t="shared" si="3"/>
        <v>A022</v>
      </c>
      <c r="D391" s="19" t="str">
        <f t="array" ref="D391">XLOOKUP(A391,Data!F:F,Data!C:C)</f>
        <v/>
      </c>
      <c r="E391" s="19" t="str">
        <f t="array" ref="E391">XLOOKUP(A391,Data!F:F,Data!H:H)</f>
        <v/>
      </c>
      <c r="F391" s="106" t="str">
        <f>SUMIFS(Data!J:J,Data!F:F,A391)</f>
        <v>0</v>
      </c>
      <c r="G391" s="106" t="str">
        <f>SUMIFS(Cast!C:C,CastElements,A391)</f>
        <v>0</v>
      </c>
      <c r="H391" s="106" t="str">
        <f t="shared" si="4"/>
        <v>0</v>
      </c>
      <c r="I391" s="106" t="str">
        <f>SUMIFS(Del!C:C,Del!B:B,A391)</f>
        <v>0</v>
      </c>
      <c r="J391" s="106" t="str">
        <f t="shared" si="5"/>
        <v>0</v>
      </c>
      <c r="K391" s="106" t="str">
        <f t="shared" si="6"/>
        <v>0</v>
      </c>
      <c r="L391" s="106"/>
      <c r="M391" s="106" t="str">
        <f>SUMIFS(Ere!C:C,Ere!B:B,A391)</f>
        <v>0</v>
      </c>
      <c r="N391" s="106" t="str">
        <f t="shared" si="7"/>
        <v>0</v>
      </c>
      <c r="O391" s="107" t="str">
        <f t="array" ref="O391">XLOOKUP(A391,Data!F:F,Data!O:O)</f>
        <v/>
      </c>
      <c r="P391" s="107" t="str">
        <f t="shared" si="8"/>
        <v>  -   </v>
      </c>
      <c r="Q391" s="27"/>
    </row>
    <row r="392" ht="15.75" customHeight="1">
      <c r="A392" s="105" t="s">
        <v>636</v>
      </c>
      <c r="B392" s="19" t="str">
        <f t="array" ref="B392">XLOOKUP(A392,Data!F:F,Data!G:G)</f>
        <v>A1C</v>
      </c>
      <c r="C392" s="19" t="str">
        <f t="shared" si="3"/>
        <v>A022</v>
      </c>
      <c r="D392" s="19" t="str">
        <f t="array" ref="D392">XLOOKUP(A392,Data!F:F,Data!C:C)</f>
        <v/>
      </c>
      <c r="E392" s="19" t="str">
        <f t="array" ref="E392">XLOOKUP(A392,Data!F:F,Data!H:H)</f>
        <v/>
      </c>
      <c r="F392" s="106" t="str">
        <f>SUMIFS(Data!J:J,Data!F:F,A392)</f>
        <v>0</v>
      </c>
      <c r="G392" s="106" t="str">
        <f>SUMIFS(Cast!C:C,CastElements,A392)</f>
        <v>0</v>
      </c>
      <c r="H392" s="106" t="str">
        <f t="shared" si="4"/>
        <v>0</v>
      </c>
      <c r="I392" s="106" t="str">
        <f>SUMIFS(Del!C:C,Del!B:B,A392)</f>
        <v>0</v>
      </c>
      <c r="J392" s="106" t="str">
        <f t="shared" si="5"/>
        <v>0</v>
      </c>
      <c r="K392" s="106" t="str">
        <f t="shared" si="6"/>
        <v>0</v>
      </c>
      <c r="L392" s="106"/>
      <c r="M392" s="106" t="str">
        <f>SUMIFS(Ere!C:C,Ere!B:B,A392)</f>
        <v>0</v>
      </c>
      <c r="N392" s="106" t="str">
        <f t="shared" si="7"/>
        <v>0</v>
      </c>
      <c r="O392" s="107" t="str">
        <f t="array" ref="O392">XLOOKUP(A392,Data!F:F,Data!O:O)</f>
        <v/>
      </c>
      <c r="P392" s="107" t="str">
        <f t="shared" si="8"/>
        <v>  -   </v>
      </c>
      <c r="Q392" s="27"/>
    </row>
    <row r="393" ht="15.75" customHeight="1">
      <c r="A393" s="105" t="s">
        <v>637</v>
      </c>
      <c r="B393" s="19" t="str">
        <f t="array" ref="B393">XLOOKUP(A393,Data!F:F,Data!G:G)</f>
        <v>A1C</v>
      </c>
      <c r="C393" s="19" t="str">
        <f t="shared" si="3"/>
        <v>A022</v>
      </c>
      <c r="D393" s="19" t="str">
        <f t="array" ref="D393">XLOOKUP(A393,Data!F:F,Data!C:C)</f>
        <v/>
      </c>
      <c r="E393" s="19" t="str">
        <f t="array" ref="E393">XLOOKUP(A393,Data!F:F,Data!H:H)</f>
        <v/>
      </c>
      <c r="F393" s="106" t="str">
        <f>SUMIFS(Data!J:J,Data!F:F,A393)</f>
        <v>0</v>
      </c>
      <c r="G393" s="106" t="str">
        <f>SUMIFS(Cast!C:C,CastElements,A393)</f>
        <v>0</v>
      </c>
      <c r="H393" s="106" t="str">
        <f t="shared" si="4"/>
        <v>0</v>
      </c>
      <c r="I393" s="106" t="str">
        <f>SUMIFS(Del!C:C,Del!B:B,A393)</f>
        <v>0</v>
      </c>
      <c r="J393" s="106" t="str">
        <f t="shared" si="5"/>
        <v>0</v>
      </c>
      <c r="K393" s="106" t="str">
        <f t="shared" si="6"/>
        <v>0</v>
      </c>
      <c r="L393" s="106"/>
      <c r="M393" s="106" t="str">
        <f>SUMIFS(Ere!C:C,Ere!B:B,A393)</f>
        <v>0</v>
      </c>
      <c r="N393" s="106" t="str">
        <f t="shared" si="7"/>
        <v>0</v>
      </c>
      <c r="O393" s="107" t="str">
        <f t="array" ref="O393">XLOOKUP(A393,Data!F:F,Data!O:O)</f>
        <v/>
      </c>
      <c r="P393" s="107" t="str">
        <f t="shared" si="8"/>
        <v>  -   </v>
      </c>
      <c r="Q393" s="27"/>
    </row>
    <row r="394" ht="15.75" customHeight="1">
      <c r="A394" s="105" t="s">
        <v>638</v>
      </c>
      <c r="B394" s="19" t="str">
        <f t="array" ref="B394">XLOOKUP(A394,Data!F:F,Data!G:G)</f>
        <v>A1C</v>
      </c>
      <c r="C394" s="19" t="str">
        <f t="shared" si="3"/>
        <v>A022</v>
      </c>
      <c r="D394" s="19" t="str">
        <f t="array" ref="D394">XLOOKUP(A394,Data!F:F,Data!C:C)</f>
        <v/>
      </c>
      <c r="E394" s="19" t="str">
        <f t="array" ref="E394">XLOOKUP(A394,Data!F:F,Data!H:H)</f>
        <v/>
      </c>
      <c r="F394" s="106" t="str">
        <f>SUMIFS(Data!J:J,Data!F:F,A394)</f>
        <v>0</v>
      </c>
      <c r="G394" s="106" t="str">
        <f>SUMIFS(Cast!C:C,CastElements,A394)</f>
        <v>0</v>
      </c>
      <c r="H394" s="106" t="str">
        <f t="shared" si="4"/>
        <v>0</v>
      </c>
      <c r="I394" s="106" t="str">
        <f>SUMIFS(Del!C:C,Del!B:B,A394)</f>
        <v>0</v>
      </c>
      <c r="J394" s="106" t="str">
        <f t="shared" si="5"/>
        <v>0</v>
      </c>
      <c r="K394" s="106" t="str">
        <f t="shared" si="6"/>
        <v>0</v>
      </c>
      <c r="L394" s="106"/>
      <c r="M394" s="106" t="str">
        <f>SUMIFS(Ere!C:C,Ere!B:B,A394)</f>
        <v>0</v>
      </c>
      <c r="N394" s="106" t="str">
        <f t="shared" si="7"/>
        <v>0</v>
      </c>
      <c r="O394" s="107" t="str">
        <f t="array" ref="O394">XLOOKUP(A394,Data!F:F,Data!O:O)</f>
        <v/>
      </c>
      <c r="P394" s="107" t="str">
        <f t="shared" si="8"/>
        <v>  -   </v>
      </c>
      <c r="Q394" s="27"/>
    </row>
    <row r="395" ht="15.75" customHeight="1">
      <c r="A395" s="105" t="s">
        <v>639</v>
      </c>
      <c r="B395" s="19" t="str">
        <f t="array" ref="B395">XLOOKUP(A395,Data!F:F,Data!G:G)</f>
        <v>A1C</v>
      </c>
      <c r="C395" s="19" t="str">
        <f t="shared" si="3"/>
        <v>A022</v>
      </c>
      <c r="D395" s="19" t="str">
        <f t="array" ref="D395">XLOOKUP(A395,Data!F:F,Data!C:C)</f>
        <v/>
      </c>
      <c r="E395" s="19" t="str">
        <f t="array" ref="E395">XLOOKUP(A395,Data!F:F,Data!H:H)</f>
        <v/>
      </c>
      <c r="F395" s="106" t="str">
        <f>SUMIFS(Data!J:J,Data!F:F,A395)</f>
        <v>0</v>
      </c>
      <c r="G395" s="106" t="str">
        <f>SUMIFS(Cast!C:C,CastElements,A395)</f>
        <v>0</v>
      </c>
      <c r="H395" s="106" t="str">
        <f t="shared" si="4"/>
        <v>0</v>
      </c>
      <c r="I395" s="106" t="str">
        <f>SUMIFS(Del!C:C,Del!B:B,A395)</f>
        <v>0</v>
      </c>
      <c r="J395" s="106" t="str">
        <f t="shared" si="5"/>
        <v>0</v>
      </c>
      <c r="K395" s="106" t="str">
        <f t="shared" si="6"/>
        <v>0</v>
      </c>
      <c r="L395" s="106"/>
      <c r="M395" s="106" t="str">
        <f>SUMIFS(Ere!C:C,Ere!B:B,A395)</f>
        <v>0</v>
      </c>
      <c r="N395" s="106" t="str">
        <f t="shared" si="7"/>
        <v>0</v>
      </c>
      <c r="O395" s="107" t="str">
        <f t="array" ref="O395">XLOOKUP(A395,Data!F:F,Data!O:O)</f>
        <v/>
      </c>
      <c r="P395" s="107" t="str">
        <f t="shared" si="8"/>
        <v>  -   </v>
      </c>
      <c r="Q395" s="27"/>
    </row>
    <row r="396" ht="15.75" customHeight="1">
      <c r="A396" s="105" t="s">
        <v>640</v>
      </c>
      <c r="B396" s="19" t="str">
        <f t="array" ref="B396">XLOOKUP(A396,Data!F:F,Data!G:G)</f>
        <v>A1C</v>
      </c>
      <c r="C396" s="19" t="str">
        <f t="shared" si="3"/>
        <v>A022</v>
      </c>
      <c r="D396" s="19" t="str">
        <f t="array" ref="D396">XLOOKUP(A396,Data!F:F,Data!C:C)</f>
        <v/>
      </c>
      <c r="E396" s="19" t="str">
        <f t="array" ref="E396">XLOOKUP(A396,Data!F:F,Data!H:H)</f>
        <v/>
      </c>
      <c r="F396" s="106" t="str">
        <f>SUMIFS(Data!J:J,Data!F:F,A396)</f>
        <v>0</v>
      </c>
      <c r="G396" s="106" t="str">
        <f>SUMIFS(Cast!C:C,CastElements,A396)</f>
        <v>0</v>
      </c>
      <c r="H396" s="106" t="str">
        <f t="shared" si="4"/>
        <v>0</v>
      </c>
      <c r="I396" s="106" t="str">
        <f>SUMIFS(Del!C:C,Del!B:B,A396)</f>
        <v>0</v>
      </c>
      <c r="J396" s="106" t="str">
        <f t="shared" si="5"/>
        <v>0</v>
      </c>
      <c r="K396" s="106" t="str">
        <f t="shared" si="6"/>
        <v>0</v>
      </c>
      <c r="L396" s="106"/>
      <c r="M396" s="106" t="str">
        <f>SUMIFS(Ere!C:C,Ere!B:B,A396)</f>
        <v>0</v>
      </c>
      <c r="N396" s="106" t="str">
        <f t="shared" si="7"/>
        <v>0</v>
      </c>
      <c r="O396" s="107" t="str">
        <f t="array" ref="O396">XLOOKUP(A396,Data!F:F,Data!O:O)</f>
        <v/>
      </c>
      <c r="P396" s="107" t="str">
        <f t="shared" si="8"/>
        <v>  -   </v>
      </c>
      <c r="Q396" s="27"/>
    </row>
    <row r="397" ht="15.75" customHeight="1">
      <c r="A397" s="105" t="s">
        <v>641</v>
      </c>
      <c r="B397" s="19" t="str">
        <f t="array" ref="B397">XLOOKUP(A397,Data!F:F,Data!G:G)</f>
        <v>A1C</v>
      </c>
      <c r="C397" s="19" t="str">
        <f t="shared" si="3"/>
        <v>A022</v>
      </c>
      <c r="D397" s="19" t="str">
        <f t="array" ref="D397">XLOOKUP(A397,Data!F:F,Data!C:C)</f>
        <v/>
      </c>
      <c r="E397" s="19" t="str">
        <f t="array" ref="E397">XLOOKUP(A397,Data!F:F,Data!H:H)</f>
        <v/>
      </c>
      <c r="F397" s="106" t="str">
        <f>SUMIFS(Data!J:J,Data!F:F,A397)</f>
        <v>0</v>
      </c>
      <c r="G397" s="106" t="str">
        <f>SUMIFS(Cast!C:C,CastElements,A397)</f>
        <v>0</v>
      </c>
      <c r="H397" s="106" t="str">
        <f t="shared" si="4"/>
        <v>0</v>
      </c>
      <c r="I397" s="106" t="str">
        <f>SUMIFS(Del!C:C,Del!B:B,A397)</f>
        <v>0</v>
      </c>
      <c r="J397" s="106" t="str">
        <f t="shared" si="5"/>
        <v>0</v>
      </c>
      <c r="K397" s="106" t="str">
        <f t="shared" si="6"/>
        <v>0</v>
      </c>
      <c r="L397" s="106"/>
      <c r="M397" s="106" t="str">
        <f>SUMIFS(Ere!C:C,Ere!B:B,A397)</f>
        <v>0</v>
      </c>
      <c r="N397" s="106" t="str">
        <f t="shared" si="7"/>
        <v>0</v>
      </c>
      <c r="O397" s="107" t="str">
        <f t="array" ref="O397">XLOOKUP(A397,Data!F:F,Data!O:O)</f>
        <v/>
      </c>
      <c r="P397" s="107" t="str">
        <f t="shared" si="8"/>
        <v>  -   </v>
      </c>
      <c r="Q397" s="27"/>
    </row>
    <row r="398" ht="15.75" customHeight="1">
      <c r="A398" s="105" t="s">
        <v>642</v>
      </c>
      <c r="B398" s="19" t="str">
        <f t="array" ref="B398">XLOOKUP(A398,Data!F:F,Data!G:G)</f>
        <v>A1C</v>
      </c>
      <c r="C398" s="19" t="str">
        <f t="shared" si="3"/>
        <v>A022</v>
      </c>
      <c r="D398" s="19" t="str">
        <f t="array" ref="D398">XLOOKUP(A398,Data!F:F,Data!C:C)</f>
        <v/>
      </c>
      <c r="E398" s="19" t="str">
        <f t="array" ref="E398">XLOOKUP(A398,Data!F:F,Data!H:H)</f>
        <v/>
      </c>
      <c r="F398" s="106" t="str">
        <f>SUMIFS(Data!J:J,Data!F:F,A398)</f>
        <v>0</v>
      </c>
      <c r="G398" s="106" t="str">
        <f>SUMIFS(Cast!C:C,CastElements,A398)</f>
        <v>0</v>
      </c>
      <c r="H398" s="106" t="str">
        <f t="shared" si="4"/>
        <v>0</v>
      </c>
      <c r="I398" s="106" t="str">
        <f>SUMIFS(Del!C:C,Del!B:B,A398)</f>
        <v>0</v>
      </c>
      <c r="J398" s="106" t="str">
        <f t="shared" si="5"/>
        <v>0</v>
      </c>
      <c r="K398" s="106" t="str">
        <f t="shared" si="6"/>
        <v>0</v>
      </c>
      <c r="L398" s="106"/>
      <c r="M398" s="106" t="str">
        <f>SUMIFS(Ere!C:C,Ere!B:B,A398)</f>
        <v>0</v>
      </c>
      <c r="N398" s="106" t="str">
        <f t="shared" si="7"/>
        <v>0</v>
      </c>
      <c r="O398" s="107" t="str">
        <f t="array" ref="O398">XLOOKUP(A398,Data!F:F,Data!O:O)</f>
        <v/>
      </c>
      <c r="P398" s="107" t="str">
        <f t="shared" si="8"/>
        <v>  -   </v>
      </c>
      <c r="Q398" s="27"/>
    </row>
    <row r="399" ht="15.75" customHeight="1">
      <c r="A399" s="105" t="s">
        <v>643</v>
      </c>
      <c r="B399" s="19" t="str">
        <f t="array" ref="B399">XLOOKUP(A399,Data!F:F,Data!G:G)</f>
        <v>A1C</v>
      </c>
      <c r="C399" s="19" t="str">
        <f t="shared" si="3"/>
        <v>A022</v>
      </c>
      <c r="D399" s="19" t="str">
        <f t="array" ref="D399">XLOOKUP(A399,Data!F:F,Data!C:C)</f>
        <v/>
      </c>
      <c r="E399" s="19" t="str">
        <f t="array" ref="E399">XLOOKUP(A399,Data!F:F,Data!H:H)</f>
        <v/>
      </c>
      <c r="F399" s="106" t="str">
        <f>SUMIFS(Data!J:J,Data!F:F,A399)</f>
        <v>0</v>
      </c>
      <c r="G399" s="106" t="str">
        <f>SUMIFS(Cast!C:C,CastElements,A399)</f>
        <v>0</v>
      </c>
      <c r="H399" s="106" t="str">
        <f t="shared" si="4"/>
        <v>0</v>
      </c>
      <c r="I399" s="106" t="str">
        <f>SUMIFS(Del!C:C,Del!B:B,A399)</f>
        <v>0</v>
      </c>
      <c r="J399" s="106" t="str">
        <f t="shared" si="5"/>
        <v>0</v>
      </c>
      <c r="K399" s="106" t="str">
        <f t="shared" si="6"/>
        <v>0</v>
      </c>
      <c r="L399" s="106"/>
      <c r="M399" s="106" t="str">
        <f>SUMIFS(Ere!C:C,Ere!B:B,A399)</f>
        <v>0</v>
      </c>
      <c r="N399" s="106" t="str">
        <f t="shared" si="7"/>
        <v>0</v>
      </c>
      <c r="O399" s="107" t="str">
        <f t="array" ref="O399">XLOOKUP(A399,Data!F:F,Data!O:O)</f>
        <v/>
      </c>
      <c r="P399" s="107" t="str">
        <f t="shared" si="8"/>
        <v>  -   </v>
      </c>
      <c r="Q399" s="27"/>
    </row>
    <row r="400" ht="15.75" customHeight="1">
      <c r="A400" s="105" t="s">
        <v>644</v>
      </c>
      <c r="B400" s="19" t="str">
        <f t="array" ref="B400">XLOOKUP(A400,Data!F:F,Data!G:G)</f>
        <v>A1C</v>
      </c>
      <c r="C400" s="19" t="str">
        <f t="shared" si="3"/>
        <v>A022</v>
      </c>
      <c r="D400" s="19" t="str">
        <f t="array" ref="D400">XLOOKUP(A400,Data!F:F,Data!C:C)</f>
        <v/>
      </c>
      <c r="E400" s="19" t="str">
        <f t="array" ref="E400">XLOOKUP(A400,Data!F:F,Data!H:H)</f>
        <v/>
      </c>
      <c r="F400" s="106" t="str">
        <f>SUMIFS(Data!J:J,Data!F:F,A400)</f>
        <v>0</v>
      </c>
      <c r="G400" s="106" t="str">
        <f>SUMIFS(Cast!C:C,CastElements,A400)</f>
        <v>0</v>
      </c>
      <c r="H400" s="106" t="str">
        <f t="shared" si="4"/>
        <v>0</v>
      </c>
      <c r="I400" s="106" t="str">
        <f>SUMIFS(Del!C:C,Del!B:B,A400)</f>
        <v>0</v>
      </c>
      <c r="J400" s="106" t="str">
        <f t="shared" si="5"/>
        <v>0</v>
      </c>
      <c r="K400" s="106" t="str">
        <f t="shared" si="6"/>
        <v>0</v>
      </c>
      <c r="L400" s="106"/>
      <c r="M400" s="106" t="str">
        <f>SUMIFS(Ere!C:C,Ere!B:B,A400)</f>
        <v>0</v>
      </c>
      <c r="N400" s="106" t="str">
        <f t="shared" si="7"/>
        <v>0</v>
      </c>
      <c r="O400" s="107" t="str">
        <f t="array" ref="O400">XLOOKUP(A400,Data!F:F,Data!O:O)</f>
        <v/>
      </c>
      <c r="P400" s="107" t="str">
        <f t="shared" si="8"/>
        <v>  -   </v>
      </c>
      <c r="Q400" s="27"/>
    </row>
    <row r="401" ht="15.75" customHeight="1">
      <c r="A401" s="105" t="s">
        <v>645</v>
      </c>
      <c r="B401" s="19" t="str">
        <f t="array" ref="B401">XLOOKUP(A401,Data!F:F,Data!G:G)</f>
        <v>A1C</v>
      </c>
      <c r="C401" s="19" t="str">
        <f t="shared" si="3"/>
        <v>A022</v>
      </c>
      <c r="D401" s="19" t="str">
        <f t="array" ref="D401">XLOOKUP(A401,Data!F:F,Data!C:C)</f>
        <v/>
      </c>
      <c r="E401" s="19" t="str">
        <f t="array" ref="E401">XLOOKUP(A401,Data!F:F,Data!H:H)</f>
        <v/>
      </c>
      <c r="F401" s="106" t="str">
        <f>SUMIFS(Data!J:J,Data!F:F,A401)</f>
        <v>0</v>
      </c>
      <c r="G401" s="106" t="str">
        <f>SUMIFS(Cast!C:C,CastElements,A401)</f>
        <v>0</v>
      </c>
      <c r="H401" s="106" t="str">
        <f t="shared" si="4"/>
        <v>0</v>
      </c>
      <c r="I401" s="106" t="str">
        <f>SUMIFS(Del!C:C,Del!B:B,A401)</f>
        <v>0</v>
      </c>
      <c r="J401" s="106" t="str">
        <f t="shared" si="5"/>
        <v>0</v>
      </c>
      <c r="K401" s="106" t="str">
        <f t="shared" si="6"/>
        <v>0</v>
      </c>
      <c r="L401" s="106"/>
      <c r="M401" s="106" t="str">
        <f>SUMIFS(Ere!C:C,Ere!B:B,A401)</f>
        <v>0</v>
      </c>
      <c r="N401" s="106" t="str">
        <f t="shared" si="7"/>
        <v>0</v>
      </c>
      <c r="O401" s="107" t="str">
        <f t="array" ref="O401">XLOOKUP(A401,Data!F:F,Data!O:O)</f>
        <v/>
      </c>
      <c r="P401" s="107" t="str">
        <f t="shared" si="8"/>
        <v>  -   </v>
      </c>
      <c r="Q401" s="27"/>
    </row>
    <row r="402" ht="15.75" customHeight="1">
      <c r="A402" s="105" t="s">
        <v>646</v>
      </c>
      <c r="B402" s="19" t="str">
        <f t="array" ref="B402">XLOOKUP(A402,Data!F:F,Data!G:G)</f>
        <v>A1C</v>
      </c>
      <c r="C402" s="19" t="str">
        <f t="shared" si="3"/>
        <v>A022</v>
      </c>
      <c r="D402" s="19" t="str">
        <f t="array" ref="D402">XLOOKUP(A402,Data!F:F,Data!C:C)</f>
        <v/>
      </c>
      <c r="E402" s="19" t="str">
        <f t="array" ref="E402">XLOOKUP(A402,Data!F:F,Data!H:H)</f>
        <v/>
      </c>
      <c r="F402" s="106" t="str">
        <f>SUMIFS(Data!J:J,Data!F:F,A402)</f>
        <v>0</v>
      </c>
      <c r="G402" s="106" t="str">
        <f>SUMIFS(Cast!C:C,CastElements,A402)</f>
        <v>0</v>
      </c>
      <c r="H402" s="106" t="str">
        <f t="shared" si="4"/>
        <v>0</v>
      </c>
      <c r="I402" s="106" t="str">
        <f>SUMIFS(Del!C:C,Del!B:B,A402)</f>
        <v>0</v>
      </c>
      <c r="J402" s="106" t="str">
        <f t="shared" si="5"/>
        <v>0</v>
      </c>
      <c r="K402" s="106" t="str">
        <f t="shared" si="6"/>
        <v>0</v>
      </c>
      <c r="L402" s="106"/>
      <c r="M402" s="106" t="str">
        <f>SUMIFS(Ere!C:C,Ere!B:B,A402)</f>
        <v>0</v>
      </c>
      <c r="N402" s="106" t="str">
        <f t="shared" si="7"/>
        <v>0</v>
      </c>
      <c r="O402" s="107" t="str">
        <f t="array" ref="O402">XLOOKUP(A402,Data!F:F,Data!O:O)</f>
        <v/>
      </c>
      <c r="P402" s="107" t="str">
        <f t="shared" si="8"/>
        <v>  -   </v>
      </c>
      <c r="Q402" s="27"/>
    </row>
    <row r="403" ht="15.75" customHeight="1">
      <c r="A403" s="105" t="s">
        <v>647</v>
      </c>
      <c r="B403" s="19" t="str">
        <f t="array" ref="B403">XLOOKUP(A403,Data!F:F,Data!G:G)</f>
        <v>A1C</v>
      </c>
      <c r="C403" s="19" t="str">
        <f t="shared" si="3"/>
        <v>A022</v>
      </c>
      <c r="D403" s="19" t="str">
        <f t="array" ref="D403">XLOOKUP(A403,Data!F:F,Data!C:C)</f>
        <v/>
      </c>
      <c r="E403" s="19" t="str">
        <f t="array" ref="E403">XLOOKUP(A403,Data!F:F,Data!H:H)</f>
        <v/>
      </c>
      <c r="F403" s="106" t="str">
        <f>SUMIFS(Data!J:J,Data!F:F,A403)</f>
        <v>0</v>
      </c>
      <c r="G403" s="106" t="str">
        <f>SUMIFS(Cast!C:C,CastElements,A403)</f>
        <v>0</v>
      </c>
      <c r="H403" s="106" t="str">
        <f t="shared" si="4"/>
        <v>0</v>
      </c>
      <c r="I403" s="106" t="str">
        <f>SUMIFS(Del!C:C,Del!B:B,A403)</f>
        <v>0</v>
      </c>
      <c r="J403" s="106" t="str">
        <f t="shared" si="5"/>
        <v>0</v>
      </c>
      <c r="K403" s="106" t="str">
        <f t="shared" si="6"/>
        <v>0</v>
      </c>
      <c r="L403" s="106"/>
      <c r="M403" s="106" t="str">
        <f>SUMIFS(Ere!C:C,Ere!B:B,A403)</f>
        <v>0</v>
      </c>
      <c r="N403" s="106" t="str">
        <f t="shared" si="7"/>
        <v>0</v>
      </c>
      <c r="O403" s="107" t="str">
        <f t="array" ref="O403">XLOOKUP(A403,Data!F:F,Data!O:O)</f>
        <v/>
      </c>
      <c r="P403" s="107" t="str">
        <f t="shared" si="8"/>
        <v>  -   </v>
      </c>
      <c r="Q403" s="27"/>
    </row>
    <row r="404" ht="15.75" customHeight="1">
      <c r="A404" s="105" t="s">
        <v>648</v>
      </c>
      <c r="B404" s="19" t="str">
        <f t="array" ref="B404">XLOOKUP(A404,Data!F:F,Data!G:G)</f>
        <v>A1C</v>
      </c>
      <c r="C404" s="19" t="str">
        <f t="shared" si="3"/>
        <v>A022</v>
      </c>
      <c r="D404" s="19" t="str">
        <f t="array" ref="D404">XLOOKUP(A404,Data!F:F,Data!C:C)</f>
        <v/>
      </c>
      <c r="E404" s="19" t="str">
        <f t="array" ref="E404">XLOOKUP(A404,Data!F:F,Data!H:H)</f>
        <v/>
      </c>
      <c r="F404" s="106" t="str">
        <f>SUMIFS(Data!J:J,Data!F:F,A404)</f>
        <v>0</v>
      </c>
      <c r="G404" s="106" t="str">
        <f>SUMIFS(Cast!C:C,CastElements,A404)</f>
        <v>0</v>
      </c>
      <c r="H404" s="106" t="str">
        <f t="shared" si="4"/>
        <v>0</v>
      </c>
      <c r="I404" s="106" t="str">
        <f>SUMIFS(Del!C:C,Del!B:B,A404)</f>
        <v>0</v>
      </c>
      <c r="J404" s="106" t="str">
        <f t="shared" si="5"/>
        <v>0</v>
      </c>
      <c r="K404" s="106" t="str">
        <f t="shared" si="6"/>
        <v>0</v>
      </c>
      <c r="L404" s="106"/>
      <c r="M404" s="106" t="str">
        <f>SUMIFS(Ere!C:C,Ere!B:B,A404)</f>
        <v>0</v>
      </c>
      <c r="N404" s="106" t="str">
        <f t="shared" si="7"/>
        <v>0</v>
      </c>
      <c r="O404" s="107" t="str">
        <f t="array" ref="O404">XLOOKUP(A404,Data!F:F,Data!O:O)</f>
        <v/>
      </c>
      <c r="P404" s="107" t="str">
        <f t="shared" si="8"/>
        <v>  -   </v>
      </c>
      <c r="Q404" s="27"/>
    </row>
    <row r="405" ht="15.75" customHeight="1">
      <c r="A405" s="105" t="s">
        <v>649</v>
      </c>
      <c r="B405" s="19" t="str">
        <f t="array" ref="B405">XLOOKUP(A405,Data!F:F,Data!G:G)</f>
        <v>A1C</v>
      </c>
      <c r="C405" s="19" t="str">
        <f t="shared" si="3"/>
        <v>A022</v>
      </c>
      <c r="D405" s="19" t="str">
        <f t="array" ref="D405">XLOOKUP(A405,Data!F:F,Data!C:C)</f>
        <v/>
      </c>
      <c r="E405" s="19" t="str">
        <f t="array" ref="E405">XLOOKUP(A405,Data!F:F,Data!H:H)</f>
        <v/>
      </c>
      <c r="F405" s="106" t="str">
        <f>SUMIFS(Data!J:J,Data!F:F,A405)</f>
        <v>0</v>
      </c>
      <c r="G405" s="106" t="str">
        <f>SUMIFS(Cast!C:C,CastElements,A405)</f>
        <v>0</v>
      </c>
      <c r="H405" s="106" t="str">
        <f t="shared" si="4"/>
        <v>0</v>
      </c>
      <c r="I405" s="106" t="str">
        <f>SUMIFS(Del!C:C,Del!B:B,A405)</f>
        <v>0</v>
      </c>
      <c r="J405" s="106" t="str">
        <f t="shared" si="5"/>
        <v>0</v>
      </c>
      <c r="K405" s="106" t="str">
        <f t="shared" si="6"/>
        <v>0</v>
      </c>
      <c r="L405" s="106"/>
      <c r="M405" s="106" t="str">
        <f>SUMIFS(Ere!C:C,Ere!B:B,A405)</f>
        <v>0</v>
      </c>
      <c r="N405" s="106" t="str">
        <f t="shared" si="7"/>
        <v>0</v>
      </c>
      <c r="O405" s="107" t="str">
        <f t="array" ref="O405">XLOOKUP(A405,Data!F:F,Data!O:O)</f>
        <v/>
      </c>
      <c r="P405" s="107" t="str">
        <f t="shared" si="8"/>
        <v>  -   </v>
      </c>
      <c r="Q405" s="27"/>
    </row>
    <row r="406" ht="15.75" customHeight="1">
      <c r="A406" s="105" t="s">
        <v>650</v>
      </c>
      <c r="B406" s="19" t="str">
        <f t="array" ref="B406">XLOOKUP(A406,Data!F:F,Data!G:G)</f>
        <v>A1C</v>
      </c>
      <c r="C406" s="19" t="str">
        <f t="shared" si="3"/>
        <v>A022</v>
      </c>
      <c r="D406" s="19" t="str">
        <f t="array" ref="D406">XLOOKUP(A406,Data!F:F,Data!C:C)</f>
        <v/>
      </c>
      <c r="E406" s="19" t="str">
        <f t="array" ref="E406">XLOOKUP(A406,Data!F:F,Data!H:H)</f>
        <v/>
      </c>
      <c r="F406" s="106" t="str">
        <f>SUMIFS(Data!J:J,Data!F:F,A406)</f>
        <v>0</v>
      </c>
      <c r="G406" s="106" t="str">
        <f>SUMIFS(Cast!C:C,CastElements,A406)</f>
        <v>0</v>
      </c>
      <c r="H406" s="106" t="str">
        <f t="shared" si="4"/>
        <v>0</v>
      </c>
      <c r="I406" s="106" t="str">
        <f>SUMIFS(Del!C:C,Del!B:B,A406)</f>
        <v>0</v>
      </c>
      <c r="J406" s="106" t="str">
        <f t="shared" si="5"/>
        <v>0</v>
      </c>
      <c r="K406" s="106" t="str">
        <f t="shared" si="6"/>
        <v>0</v>
      </c>
      <c r="L406" s="106"/>
      <c r="M406" s="106" t="str">
        <f>SUMIFS(Ere!C:C,Ere!B:B,A406)</f>
        <v>0</v>
      </c>
      <c r="N406" s="106" t="str">
        <f t="shared" si="7"/>
        <v>0</v>
      </c>
      <c r="O406" s="107" t="str">
        <f t="array" ref="O406">XLOOKUP(A406,Data!F:F,Data!O:O)</f>
        <v/>
      </c>
      <c r="P406" s="107" t="str">
        <f t="shared" si="8"/>
        <v>  -   </v>
      </c>
      <c r="Q406" s="27"/>
    </row>
    <row r="407" ht="15.75" customHeight="1">
      <c r="A407" s="105" t="s">
        <v>651</v>
      </c>
      <c r="B407" s="19" t="str">
        <f t="array" ref="B407">XLOOKUP(A407,Data!F:F,Data!G:G)</f>
        <v>A1C</v>
      </c>
      <c r="C407" s="19" t="str">
        <f t="shared" si="3"/>
        <v>A022</v>
      </c>
      <c r="D407" s="19" t="str">
        <f t="array" ref="D407">XLOOKUP(A407,Data!F:F,Data!C:C)</f>
        <v/>
      </c>
      <c r="E407" s="19" t="str">
        <f t="array" ref="E407">XLOOKUP(A407,Data!F:F,Data!H:H)</f>
        <v/>
      </c>
      <c r="F407" s="106" t="str">
        <f>SUMIFS(Data!J:J,Data!F:F,A407)</f>
        <v>0</v>
      </c>
      <c r="G407" s="106" t="str">
        <f>SUMIFS(Cast!C:C,CastElements,A407)</f>
        <v>0</v>
      </c>
      <c r="H407" s="106" t="str">
        <f t="shared" si="4"/>
        <v>0</v>
      </c>
      <c r="I407" s="106" t="str">
        <f>SUMIFS(Del!C:C,Del!B:B,A407)</f>
        <v>0</v>
      </c>
      <c r="J407" s="106" t="str">
        <f t="shared" si="5"/>
        <v>0</v>
      </c>
      <c r="K407" s="106" t="str">
        <f t="shared" si="6"/>
        <v>0</v>
      </c>
      <c r="L407" s="106"/>
      <c r="M407" s="106" t="str">
        <f>SUMIFS(Ere!C:C,Ere!B:B,A407)</f>
        <v>0</v>
      </c>
      <c r="N407" s="106" t="str">
        <f t="shared" si="7"/>
        <v>0</v>
      </c>
      <c r="O407" s="107" t="str">
        <f t="array" ref="O407">XLOOKUP(A407,Data!F:F,Data!O:O)</f>
        <v/>
      </c>
      <c r="P407" s="107" t="str">
        <f t="shared" si="8"/>
        <v>  -   </v>
      </c>
      <c r="Q407" s="27"/>
    </row>
    <row r="408" ht="15.75" customHeight="1">
      <c r="A408" s="105" t="s">
        <v>652</v>
      </c>
      <c r="B408" s="19" t="str">
        <f t="array" ref="B408">XLOOKUP(A408,Data!F:F,Data!G:G)</f>
        <v>A1C</v>
      </c>
      <c r="C408" s="19" t="str">
        <f t="shared" si="3"/>
        <v>A022</v>
      </c>
      <c r="D408" s="19" t="str">
        <f t="array" ref="D408">XLOOKUP(A408,Data!F:F,Data!C:C)</f>
        <v/>
      </c>
      <c r="E408" s="19" t="str">
        <f t="array" ref="E408">XLOOKUP(A408,Data!F:F,Data!H:H)</f>
        <v/>
      </c>
      <c r="F408" s="106" t="str">
        <f>SUMIFS(Data!J:J,Data!F:F,A408)</f>
        <v>0</v>
      </c>
      <c r="G408" s="106" t="str">
        <f>SUMIFS(Cast!C:C,CastElements,A408)</f>
        <v>0</v>
      </c>
      <c r="H408" s="106" t="str">
        <f t="shared" si="4"/>
        <v>0</v>
      </c>
      <c r="I408" s="106" t="str">
        <f>SUMIFS(Del!C:C,Del!B:B,A408)</f>
        <v>0</v>
      </c>
      <c r="J408" s="106" t="str">
        <f t="shared" si="5"/>
        <v>0</v>
      </c>
      <c r="K408" s="106" t="str">
        <f t="shared" si="6"/>
        <v>0</v>
      </c>
      <c r="L408" s="106"/>
      <c r="M408" s="106" t="str">
        <f>SUMIFS(Ere!C:C,Ere!B:B,A408)</f>
        <v>0</v>
      </c>
      <c r="N408" s="106" t="str">
        <f t="shared" si="7"/>
        <v>0</v>
      </c>
      <c r="O408" s="107" t="str">
        <f t="array" ref="O408">XLOOKUP(A408,Data!F:F,Data!O:O)</f>
        <v/>
      </c>
      <c r="P408" s="107" t="str">
        <f t="shared" si="8"/>
        <v>  -   </v>
      </c>
      <c r="Q408" s="27"/>
    </row>
    <row r="409" ht="15.75" customHeight="1">
      <c r="A409" s="105" t="s">
        <v>653</v>
      </c>
      <c r="B409" s="19" t="str">
        <f t="array" ref="B409">XLOOKUP(A409,Data!F:F,Data!G:G)</f>
        <v>A1C</v>
      </c>
      <c r="C409" s="19" t="str">
        <f t="shared" si="3"/>
        <v>A022</v>
      </c>
      <c r="D409" s="19" t="str">
        <f t="array" ref="D409">XLOOKUP(A409,Data!F:F,Data!C:C)</f>
        <v/>
      </c>
      <c r="E409" s="19" t="str">
        <f t="array" ref="E409">XLOOKUP(A409,Data!F:F,Data!H:H)</f>
        <v/>
      </c>
      <c r="F409" s="106" t="str">
        <f>SUMIFS(Data!J:J,Data!F:F,A409)</f>
        <v>0</v>
      </c>
      <c r="G409" s="106" t="str">
        <f>SUMIFS(Cast!C:C,CastElements,A409)</f>
        <v>0</v>
      </c>
      <c r="H409" s="106" t="str">
        <f t="shared" si="4"/>
        <v>0</v>
      </c>
      <c r="I409" s="106" t="str">
        <f>SUMIFS(Del!C:C,Del!B:B,A409)</f>
        <v>0</v>
      </c>
      <c r="J409" s="106" t="str">
        <f t="shared" si="5"/>
        <v>0</v>
      </c>
      <c r="K409" s="106" t="str">
        <f t="shared" si="6"/>
        <v>0</v>
      </c>
      <c r="L409" s="106"/>
      <c r="M409" s="106" t="str">
        <f>SUMIFS(Ere!C:C,Ere!B:B,A409)</f>
        <v>0</v>
      </c>
      <c r="N409" s="106" t="str">
        <f t="shared" si="7"/>
        <v>0</v>
      </c>
      <c r="O409" s="107" t="str">
        <f t="array" ref="O409">XLOOKUP(A409,Data!F:F,Data!O:O)</f>
        <v/>
      </c>
      <c r="P409" s="107" t="str">
        <f t="shared" si="8"/>
        <v>  -   </v>
      </c>
      <c r="Q409" s="27"/>
    </row>
    <row r="410" ht="15.75" customHeight="1">
      <c r="A410" s="105" t="s">
        <v>654</v>
      </c>
      <c r="B410" s="19" t="str">
        <f t="array" ref="B410">XLOOKUP(A410,Data!F:F,Data!G:G)</f>
        <v>A1C</v>
      </c>
      <c r="C410" s="19" t="str">
        <f t="shared" si="3"/>
        <v>A022</v>
      </c>
      <c r="D410" s="19" t="str">
        <f t="array" ref="D410">XLOOKUP(A410,Data!F:F,Data!C:C)</f>
        <v/>
      </c>
      <c r="E410" s="19" t="str">
        <f t="array" ref="E410">XLOOKUP(A410,Data!F:F,Data!H:H)</f>
        <v/>
      </c>
      <c r="F410" s="106" t="str">
        <f>SUMIFS(Data!J:J,Data!F:F,A410)</f>
        <v>0</v>
      </c>
      <c r="G410" s="106" t="str">
        <f>SUMIFS(Cast!C:C,CastElements,A410)</f>
        <v>0</v>
      </c>
      <c r="H410" s="106" t="str">
        <f t="shared" si="4"/>
        <v>0</v>
      </c>
      <c r="I410" s="106" t="str">
        <f>SUMIFS(Del!C:C,Del!B:B,A410)</f>
        <v>0</v>
      </c>
      <c r="J410" s="106" t="str">
        <f t="shared" si="5"/>
        <v>0</v>
      </c>
      <c r="K410" s="106" t="str">
        <f t="shared" si="6"/>
        <v>0</v>
      </c>
      <c r="L410" s="106"/>
      <c r="M410" s="106" t="str">
        <f>SUMIFS(Ere!C:C,Ere!B:B,A410)</f>
        <v>0</v>
      </c>
      <c r="N410" s="106" t="str">
        <f t="shared" si="7"/>
        <v>0</v>
      </c>
      <c r="O410" s="107" t="str">
        <f t="array" ref="O410">XLOOKUP(A410,Data!F:F,Data!O:O)</f>
        <v/>
      </c>
      <c r="P410" s="107" t="str">
        <f t="shared" si="8"/>
        <v>  -   </v>
      </c>
      <c r="Q410" s="27"/>
    </row>
    <row r="411" ht="15.75" customHeight="1">
      <c r="A411" s="105" t="s">
        <v>655</v>
      </c>
      <c r="B411" s="19" t="str">
        <f t="array" ref="B411">XLOOKUP(A411,Data!F:F,Data!G:G)</f>
        <v>A1C</v>
      </c>
      <c r="C411" s="19" t="str">
        <f t="shared" si="3"/>
        <v>A022</v>
      </c>
      <c r="D411" s="19" t="str">
        <f t="array" ref="D411">XLOOKUP(A411,Data!F:F,Data!C:C)</f>
        <v/>
      </c>
      <c r="E411" s="19" t="str">
        <f t="array" ref="E411">XLOOKUP(A411,Data!F:F,Data!H:H)</f>
        <v/>
      </c>
      <c r="F411" s="106" t="str">
        <f>SUMIFS(Data!J:J,Data!F:F,A411)</f>
        <v>0</v>
      </c>
      <c r="G411" s="106" t="str">
        <f>SUMIFS(Cast!C:C,CastElements,A411)</f>
        <v>0</v>
      </c>
      <c r="H411" s="106" t="str">
        <f t="shared" si="4"/>
        <v>0</v>
      </c>
      <c r="I411" s="106" t="str">
        <f>SUMIFS(Del!C:C,Del!B:B,A411)</f>
        <v>0</v>
      </c>
      <c r="J411" s="106" t="str">
        <f t="shared" si="5"/>
        <v>0</v>
      </c>
      <c r="K411" s="106" t="str">
        <f t="shared" si="6"/>
        <v>0</v>
      </c>
      <c r="L411" s="106"/>
      <c r="M411" s="106" t="str">
        <f>SUMIFS(Ere!C:C,Ere!B:B,A411)</f>
        <v>0</v>
      </c>
      <c r="N411" s="106" t="str">
        <f t="shared" si="7"/>
        <v>0</v>
      </c>
      <c r="O411" s="107" t="str">
        <f t="array" ref="O411">XLOOKUP(A411,Data!F:F,Data!O:O)</f>
        <v/>
      </c>
      <c r="P411" s="107" t="str">
        <f t="shared" si="8"/>
        <v>  -   </v>
      </c>
      <c r="Q411" s="27"/>
    </row>
    <row r="412" ht="15.75" customHeight="1">
      <c r="A412" s="105" t="s">
        <v>656</v>
      </c>
      <c r="B412" s="19" t="str">
        <f t="array" ref="B412">XLOOKUP(A412,Data!F:F,Data!G:G)</f>
        <v>A1C</v>
      </c>
      <c r="C412" s="19" t="str">
        <f t="shared" si="3"/>
        <v>A022</v>
      </c>
      <c r="D412" s="19" t="str">
        <f t="array" ref="D412">XLOOKUP(A412,Data!F:F,Data!C:C)</f>
        <v/>
      </c>
      <c r="E412" s="19" t="str">
        <f t="array" ref="E412">XLOOKUP(A412,Data!F:F,Data!H:H)</f>
        <v/>
      </c>
      <c r="F412" s="106" t="str">
        <f>SUMIFS(Data!J:J,Data!F:F,A412)</f>
        <v>0</v>
      </c>
      <c r="G412" s="106" t="str">
        <f>SUMIFS(Cast!C:C,CastElements,A412)</f>
        <v>0</v>
      </c>
      <c r="H412" s="106" t="str">
        <f t="shared" si="4"/>
        <v>0</v>
      </c>
      <c r="I412" s="106" t="str">
        <f>SUMIFS(Del!C:C,Del!B:B,A412)</f>
        <v>0</v>
      </c>
      <c r="J412" s="106" t="str">
        <f t="shared" si="5"/>
        <v>0</v>
      </c>
      <c r="K412" s="106" t="str">
        <f t="shared" si="6"/>
        <v>0</v>
      </c>
      <c r="L412" s="106"/>
      <c r="M412" s="106" t="str">
        <f>SUMIFS(Ere!C:C,Ere!B:B,A412)</f>
        <v>0</v>
      </c>
      <c r="N412" s="106" t="str">
        <f t="shared" si="7"/>
        <v>0</v>
      </c>
      <c r="O412" s="107" t="str">
        <f t="array" ref="O412">XLOOKUP(A412,Data!F:F,Data!O:O)</f>
        <v/>
      </c>
      <c r="P412" s="107" t="str">
        <f t="shared" si="8"/>
        <v>  -   </v>
      </c>
      <c r="Q412" s="27"/>
    </row>
    <row r="413" ht="15.75" customHeight="1">
      <c r="A413" s="105" t="s">
        <v>657</v>
      </c>
      <c r="B413" s="19" t="str">
        <f t="array" ref="B413">XLOOKUP(A413,Data!F:F,Data!G:G)</f>
        <v>A1C</v>
      </c>
      <c r="C413" s="19" t="str">
        <f t="shared" si="3"/>
        <v>A023</v>
      </c>
      <c r="D413" s="19" t="str">
        <f t="array" ref="D413">XLOOKUP(A413,Data!F:F,Data!C:C)</f>
        <v/>
      </c>
      <c r="E413" s="19" t="str">
        <f t="array" ref="E413">XLOOKUP(A413,Data!F:F,Data!H:H)</f>
        <v>BW</v>
      </c>
      <c r="F413" s="106" t="str">
        <f>SUMIFS(Data!J:J,Data!F:F,A413)</f>
        <v>1</v>
      </c>
      <c r="G413" s="106" t="str">
        <f>SUMIFS(Cast!C:C,CastElements,A413)</f>
        <v>1</v>
      </c>
      <c r="H413" s="106" t="str">
        <f t="shared" si="4"/>
        <v>0</v>
      </c>
      <c r="I413" s="106" t="str">
        <f>SUMIFS(Del!C:C,Del!B:B,A413)</f>
        <v>0</v>
      </c>
      <c r="J413" s="106" t="str">
        <f t="shared" si="5"/>
        <v>1</v>
      </c>
      <c r="K413" s="106" t="str">
        <f t="shared" si="6"/>
        <v>1</v>
      </c>
      <c r="L413" s="106"/>
      <c r="M413" s="106" t="str">
        <f>SUMIFS(Ere!C:C,Ere!B:B,A413)</f>
        <v>0</v>
      </c>
      <c r="N413" s="106" t="str">
        <f t="shared" si="7"/>
        <v>1</v>
      </c>
      <c r="O413" s="107" t="str">
        <f t="array" ref="O413">XLOOKUP(A413,Data!F:F,Data!O:O)</f>
        <v>  0.88 </v>
      </c>
      <c r="P413" s="107" t="str">
        <f t="shared" si="8"/>
        <v>  2.21 </v>
      </c>
      <c r="Q413" s="27"/>
    </row>
    <row r="414" ht="15.75" customHeight="1">
      <c r="A414" s="105" t="s">
        <v>658</v>
      </c>
      <c r="B414" s="19" t="str">
        <f t="array" ref="B414">XLOOKUP(A414,Data!F:F,Data!G:G)</f>
        <v>A1C</v>
      </c>
      <c r="C414" s="19" t="str">
        <f t="shared" si="3"/>
        <v>A023</v>
      </c>
      <c r="D414" s="19" t="str">
        <f t="array" ref="D414">XLOOKUP(A414,Data!F:F,Data!C:C)</f>
        <v/>
      </c>
      <c r="E414" s="19" t="str">
        <f t="array" ref="E414">XLOOKUP(A414,Data!F:F,Data!H:H)</f>
        <v/>
      </c>
      <c r="F414" s="106" t="str">
        <f>SUMIFS(Data!J:J,Data!F:F,A414)</f>
        <v>0</v>
      </c>
      <c r="G414" s="106" t="str">
        <f>SUMIFS(Cast!C:C,CastElements,A414)</f>
        <v>0</v>
      </c>
      <c r="H414" s="106" t="str">
        <f t="shared" si="4"/>
        <v>0</v>
      </c>
      <c r="I414" s="106" t="str">
        <f>SUMIFS(Del!C:C,Del!B:B,A414)</f>
        <v>0</v>
      </c>
      <c r="J414" s="106" t="str">
        <f t="shared" si="5"/>
        <v>0</v>
      </c>
      <c r="K414" s="106" t="str">
        <f t="shared" si="6"/>
        <v>0</v>
      </c>
      <c r="L414" s="106"/>
      <c r="M414" s="106" t="str">
        <f>SUMIFS(Ere!C:C,Ere!B:B,A414)</f>
        <v>0</v>
      </c>
      <c r="N414" s="106" t="str">
        <f t="shared" si="7"/>
        <v>0</v>
      </c>
      <c r="O414" s="107" t="str">
        <f t="array" ref="O414">XLOOKUP(A414,Data!F:F,Data!O:O)</f>
        <v/>
      </c>
      <c r="P414" s="107" t="str">
        <f t="shared" si="8"/>
        <v>  -   </v>
      </c>
      <c r="Q414" s="27"/>
    </row>
    <row r="415" ht="15.75" customHeight="1">
      <c r="A415" s="105" t="s">
        <v>659</v>
      </c>
      <c r="B415" s="19" t="str">
        <f t="array" ref="B415">XLOOKUP(A415,Data!F:F,Data!G:G)</f>
        <v>A1C</v>
      </c>
      <c r="C415" s="19" t="str">
        <f t="shared" si="3"/>
        <v>A023</v>
      </c>
      <c r="D415" s="19" t="str">
        <f t="array" ref="D415">XLOOKUP(A415,Data!F:F,Data!C:C)</f>
        <v/>
      </c>
      <c r="E415" s="19" t="str">
        <f t="array" ref="E415">XLOOKUP(A415,Data!F:F,Data!H:H)</f>
        <v/>
      </c>
      <c r="F415" s="106" t="str">
        <f>SUMIFS(Data!J:J,Data!F:F,A415)</f>
        <v>0</v>
      </c>
      <c r="G415" s="106" t="str">
        <f>SUMIFS(Cast!C:C,CastElements,A415)</f>
        <v>0</v>
      </c>
      <c r="H415" s="106" t="str">
        <f t="shared" si="4"/>
        <v>0</v>
      </c>
      <c r="I415" s="106" t="str">
        <f>SUMIFS(Del!C:C,Del!B:B,A415)</f>
        <v>0</v>
      </c>
      <c r="J415" s="106" t="str">
        <f t="shared" si="5"/>
        <v>0</v>
      </c>
      <c r="K415" s="106" t="str">
        <f t="shared" si="6"/>
        <v>0</v>
      </c>
      <c r="L415" s="106"/>
      <c r="M415" s="106" t="str">
        <f>SUMIFS(Ere!C:C,Ere!B:B,A415)</f>
        <v>0</v>
      </c>
      <c r="N415" s="106" t="str">
        <f t="shared" si="7"/>
        <v>0</v>
      </c>
      <c r="O415" s="107" t="str">
        <f t="array" ref="O415">XLOOKUP(A415,Data!F:F,Data!O:O)</f>
        <v/>
      </c>
      <c r="P415" s="107" t="str">
        <f t="shared" si="8"/>
        <v>  -   </v>
      </c>
      <c r="Q415" s="27"/>
    </row>
    <row r="416" ht="15.75" customHeight="1">
      <c r="A416" s="105" t="s">
        <v>660</v>
      </c>
      <c r="B416" s="19" t="str">
        <f t="array" ref="B416">XLOOKUP(A416,Data!F:F,Data!G:G)</f>
        <v>A1C</v>
      </c>
      <c r="C416" s="19" t="str">
        <f t="shared" si="3"/>
        <v>A023</v>
      </c>
      <c r="D416" s="19" t="str">
        <f t="array" ref="D416">XLOOKUP(A416,Data!F:F,Data!C:C)</f>
        <v/>
      </c>
      <c r="E416" s="19" t="str">
        <f t="array" ref="E416">XLOOKUP(A416,Data!F:F,Data!H:H)</f>
        <v/>
      </c>
      <c r="F416" s="106" t="str">
        <f>SUMIFS(Data!J:J,Data!F:F,A416)</f>
        <v>0</v>
      </c>
      <c r="G416" s="106" t="str">
        <f>SUMIFS(Cast!C:C,CastElements,A416)</f>
        <v>0</v>
      </c>
      <c r="H416" s="106" t="str">
        <f t="shared" si="4"/>
        <v>0</v>
      </c>
      <c r="I416" s="106" t="str">
        <f>SUMIFS(Del!C:C,Del!B:B,A416)</f>
        <v>0</v>
      </c>
      <c r="J416" s="106" t="str">
        <f t="shared" si="5"/>
        <v>0</v>
      </c>
      <c r="K416" s="106" t="str">
        <f t="shared" si="6"/>
        <v>0</v>
      </c>
      <c r="L416" s="106"/>
      <c r="M416" s="106" t="str">
        <f>SUMIFS(Ere!C:C,Ere!B:B,A416)</f>
        <v>0</v>
      </c>
      <c r="N416" s="106" t="str">
        <f t="shared" si="7"/>
        <v>0</v>
      </c>
      <c r="O416" s="107" t="str">
        <f t="array" ref="O416">XLOOKUP(A416,Data!F:F,Data!O:O)</f>
        <v/>
      </c>
      <c r="P416" s="107" t="str">
        <f t="shared" si="8"/>
        <v>  -   </v>
      </c>
      <c r="Q416" s="27"/>
    </row>
    <row r="417" ht="15.75" customHeight="1">
      <c r="A417" s="105" t="s">
        <v>661</v>
      </c>
      <c r="B417" s="19" t="str">
        <f t="array" ref="B417">XLOOKUP(A417,Data!F:F,Data!G:G)</f>
        <v>A1C</v>
      </c>
      <c r="C417" s="19" t="str">
        <f t="shared" si="3"/>
        <v>A023</v>
      </c>
      <c r="D417" s="19" t="str">
        <f t="array" ref="D417">XLOOKUP(A417,Data!F:F,Data!C:C)</f>
        <v/>
      </c>
      <c r="E417" s="19" t="str">
        <f t="array" ref="E417">XLOOKUP(A417,Data!F:F,Data!H:H)</f>
        <v/>
      </c>
      <c r="F417" s="106" t="str">
        <f>SUMIFS(Data!J:J,Data!F:F,A417)</f>
        <v>0</v>
      </c>
      <c r="G417" s="106" t="str">
        <f>SUMIFS(Cast!C:C,CastElements,A417)</f>
        <v>0</v>
      </c>
      <c r="H417" s="106" t="str">
        <f t="shared" si="4"/>
        <v>0</v>
      </c>
      <c r="I417" s="106" t="str">
        <f>SUMIFS(Del!C:C,Del!B:B,A417)</f>
        <v>0</v>
      </c>
      <c r="J417" s="106" t="str">
        <f t="shared" si="5"/>
        <v>0</v>
      </c>
      <c r="K417" s="106" t="str">
        <f t="shared" si="6"/>
        <v>0</v>
      </c>
      <c r="L417" s="106"/>
      <c r="M417" s="106" t="str">
        <f>SUMIFS(Ere!C:C,Ere!B:B,A417)</f>
        <v>0</v>
      </c>
      <c r="N417" s="106" t="str">
        <f t="shared" si="7"/>
        <v>0</v>
      </c>
      <c r="O417" s="107" t="str">
        <f t="array" ref="O417">XLOOKUP(A417,Data!F:F,Data!O:O)</f>
        <v/>
      </c>
      <c r="P417" s="107" t="str">
        <f t="shared" si="8"/>
        <v>  -   </v>
      </c>
      <c r="Q417" s="27"/>
    </row>
    <row r="418" ht="15.75" customHeight="1">
      <c r="A418" s="105" t="s">
        <v>662</v>
      </c>
      <c r="B418" s="19" t="str">
        <f t="array" ref="B418">XLOOKUP(A418,Data!F:F,Data!G:G)</f>
        <v>A1C</v>
      </c>
      <c r="C418" s="19" t="str">
        <f t="shared" si="3"/>
        <v>A023</v>
      </c>
      <c r="D418" s="19" t="str">
        <f t="array" ref="D418">XLOOKUP(A418,Data!F:F,Data!C:C)</f>
        <v/>
      </c>
      <c r="E418" s="19" t="str">
        <f t="array" ref="E418">XLOOKUP(A418,Data!F:F,Data!H:H)</f>
        <v/>
      </c>
      <c r="F418" s="106" t="str">
        <f>SUMIFS(Data!J:J,Data!F:F,A418)</f>
        <v>0</v>
      </c>
      <c r="G418" s="106" t="str">
        <f>SUMIFS(Cast!C:C,CastElements,A418)</f>
        <v>0</v>
      </c>
      <c r="H418" s="106" t="str">
        <f t="shared" si="4"/>
        <v>0</v>
      </c>
      <c r="I418" s="106" t="str">
        <f>SUMIFS(Del!C:C,Del!B:B,A418)</f>
        <v>0</v>
      </c>
      <c r="J418" s="106" t="str">
        <f t="shared" si="5"/>
        <v>0</v>
      </c>
      <c r="K418" s="106" t="str">
        <f t="shared" si="6"/>
        <v>0</v>
      </c>
      <c r="L418" s="106"/>
      <c r="M418" s="106" t="str">
        <f>SUMIFS(Ere!C:C,Ere!B:B,A418)</f>
        <v>0</v>
      </c>
      <c r="N418" s="106" t="str">
        <f t="shared" si="7"/>
        <v>0</v>
      </c>
      <c r="O418" s="107" t="str">
        <f t="array" ref="O418">XLOOKUP(A418,Data!F:F,Data!O:O)</f>
        <v/>
      </c>
      <c r="P418" s="107" t="str">
        <f t="shared" si="8"/>
        <v>  -   </v>
      </c>
      <c r="Q418" s="27"/>
    </row>
    <row r="419" ht="15.75" customHeight="1">
      <c r="A419" s="105" t="s">
        <v>663</v>
      </c>
      <c r="B419" s="19" t="str">
        <f t="array" ref="B419">XLOOKUP(A419,Data!F:F,Data!G:G)</f>
        <v>A1C</v>
      </c>
      <c r="C419" s="19" t="str">
        <f t="shared" si="3"/>
        <v>A023</v>
      </c>
      <c r="D419" s="19" t="str">
        <f t="array" ref="D419">XLOOKUP(A419,Data!F:F,Data!C:C)</f>
        <v/>
      </c>
      <c r="E419" s="19" t="str">
        <f t="array" ref="E419">XLOOKUP(A419,Data!F:F,Data!H:H)</f>
        <v/>
      </c>
      <c r="F419" s="106" t="str">
        <f>SUMIFS(Data!J:J,Data!F:F,A419)</f>
        <v>0</v>
      </c>
      <c r="G419" s="106" t="str">
        <f>SUMIFS(Cast!C:C,CastElements,A419)</f>
        <v>0</v>
      </c>
      <c r="H419" s="106" t="str">
        <f t="shared" si="4"/>
        <v>0</v>
      </c>
      <c r="I419" s="106" t="str">
        <f>SUMIFS(Del!C:C,Del!B:B,A419)</f>
        <v>0</v>
      </c>
      <c r="J419" s="106" t="str">
        <f t="shared" si="5"/>
        <v>0</v>
      </c>
      <c r="K419" s="106" t="str">
        <f t="shared" si="6"/>
        <v>0</v>
      </c>
      <c r="L419" s="106"/>
      <c r="M419" s="106" t="str">
        <f>SUMIFS(Ere!C:C,Ere!B:B,A419)</f>
        <v>0</v>
      </c>
      <c r="N419" s="106" t="str">
        <f t="shared" si="7"/>
        <v>0</v>
      </c>
      <c r="O419" s="107" t="str">
        <f t="array" ref="O419">XLOOKUP(A419,Data!F:F,Data!O:O)</f>
        <v/>
      </c>
      <c r="P419" s="107" t="str">
        <f t="shared" si="8"/>
        <v>  -   </v>
      </c>
      <c r="Q419" s="27"/>
    </row>
    <row r="420" ht="15.75" customHeight="1">
      <c r="A420" s="105" t="s">
        <v>664</v>
      </c>
      <c r="B420" s="19" t="str">
        <f t="array" ref="B420">XLOOKUP(A420,Data!F:F,Data!G:G)</f>
        <v>A1C</v>
      </c>
      <c r="C420" s="19" t="str">
        <f t="shared" si="3"/>
        <v>A023</v>
      </c>
      <c r="D420" s="19" t="str">
        <f t="array" ref="D420">XLOOKUP(A420,Data!F:F,Data!C:C)</f>
        <v/>
      </c>
      <c r="E420" s="19" t="str">
        <f t="array" ref="E420">XLOOKUP(A420,Data!F:F,Data!H:H)</f>
        <v/>
      </c>
      <c r="F420" s="106" t="str">
        <f>SUMIFS(Data!J:J,Data!F:F,A420)</f>
        <v>0</v>
      </c>
      <c r="G420" s="106" t="str">
        <f>SUMIFS(Cast!C:C,CastElements,A420)</f>
        <v>0</v>
      </c>
      <c r="H420" s="106" t="str">
        <f t="shared" si="4"/>
        <v>0</v>
      </c>
      <c r="I420" s="106" t="str">
        <f>SUMIFS(Del!C:C,Del!B:B,A420)</f>
        <v>0</v>
      </c>
      <c r="J420" s="106" t="str">
        <f t="shared" si="5"/>
        <v>0</v>
      </c>
      <c r="K420" s="106" t="str">
        <f t="shared" si="6"/>
        <v>0</v>
      </c>
      <c r="L420" s="106"/>
      <c r="M420" s="106" t="str">
        <f>SUMIFS(Ere!C:C,Ere!B:B,A420)</f>
        <v>0</v>
      </c>
      <c r="N420" s="106" t="str">
        <f t="shared" si="7"/>
        <v>0</v>
      </c>
      <c r="O420" s="107" t="str">
        <f t="array" ref="O420">XLOOKUP(A420,Data!F:F,Data!O:O)</f>
        <v/>
      </c>
      <c r="P420" s="107" t="str">
        <f t="shared" si="8"/>
        <v>  -   </v>
      </c>
      <c r="Q420" s="27"/>
    </row>
    <row r="421" ht="15.75" customHeight="1">
      <c r="A421" s="105" t="s">
        <v>665</v>
      </c>
      <c r="B421" s="19" t="str">
        <f t="array" ref="B421">XLOOKUP(A421,Data!F:F,Data!G:G)</f>
        <v>A1C</v>
      </c>
      <c r="C421" s="19" t="str">
        <f t="shared" si="3"/>
        <v>A023</v>
      </c>
      <c r="D421" s="19" t="str">
        <f t="array" ref="D421">XLOOKUP(A421,Data!F:F,Data!C:C)</f>
        <v/>
      </c>
      <c r="E421" s="19" t="str">
        <f t="array" ref="E421">XLOOKUP(A421,Data!F:F,Data!H:H)</f>
        <v/>
      </c>
      <c r="F421" s="106" t="str">
        <f>SUMIFS(Data!J:J,Data!F:F,A421)</f>
        <v>0</v>
      </c>
      <c r="G421" s="106" t="str">
        <f>SUMIFS(Cast!C:C,CastElements,A421)</f>
        <v>0</v>
      </c>
      <c r="H421" s="106" t="str">
        <f t="shared" si="4"/>
        <v>0</v>
      </c>
      <c r="I421" s="106" t="str">
        <f>SUMIFS(Del!C:C,Del!B:B,A421)</f>
        <v>0</v>
      </c>
      <c r="J421" s="106" t="str">
        <f t="shared" si="5"/>
        <v>0</v>
      </c>
      <c r="K421" s="106" t="str">
        <f t="shared" si="6"/>
        <v>0</v>
      </c>
      <c r="L421" s="106"/>
      <c r="M421" s="106" t="str">
        <f>SUMIFS(Ere!C:C,Ere!B:B,A421)</f>
        <v>0</v>
      </c>
      <c r="N421" s="106" t="str">
        <f t="shared" si="7"/>
        <v>0</v>
      </c>
      <c r="O421" s="107" t="str">
        <f t="array" ref="O421">XLOOKUP(A421,Data!F:F,Data!O:O)</f>
        <v/>
      </c>
      <c r="P421" s="107" t="str">
        <f t="shared" si="8"/>
        <v>  -   </v>
      </c>
      <c r="Q421" s="27"/>
    </row>
    <row r="422" ht="15.75" customHeight="1">
      <c r="A422" s="105" t="s">
        <v>666</v>
      </c>
      <c r="B422" s="19" t="str">
        <f t="array" ref="B422">XLOOKUP(A422,Data!F:F,Data!G:G)</f>
        <v>A1C</v>
      </c>
      <c r="C422" s="19" t="str">
        <f t="shared" si="3"/>
        <v>A023</v>
      </c>
      <c r="D422" s="19" t="str">
        <f t="array" ref="D422">XLOOKUP(A422,Data!F:F,Data!C:C)</f>
        <v/>
      </c>
      <c r="E422" s="19" t="str">
        <f t="array" ref="E422">XLOOKUP(A422,Data!F:F,Data!H:H)</f>
        <v/>
      </c>
      <c r="F422" s="106" t="str">
        <f>SUMIFS(Data!J:J,Data!F:F,A422)</f>
        <v>0</v>
      </c>
      <c r="G422" s="106" t="str">
        <f>SUMIFS(Cast!C:C,CastElements,A422)</f>
        <v>0</v>
      </c>
      <c r="H422" s="106" t="str">
        <f t="shared" si="4"/>
        <v>0</v>
      </c>
      <c r="I422" s="106" t="str">
        <f>SUMIFS(Del!C:C,Del!B:B,A422)</f>
        <v>0</v>
      </c>
      <c r="J422" s="106" t="str">
        <f t="shared" si="5"/>
        <v>0</v>
      </c>
      <c r="K422" s="106" t="str">
        <f t="shared" si="6"/>
        <v>0</v>
      </c>
      <c r="L422" s="106"/>
      <c r="M422" s="106" t="str">
        <f>SUMIFS(Ere!C:C,Ere!B:B,A422)</f>
        <v>0</v>
      </c>
      <c r="N422" s="106" t="str">
        <f t="shared" si="7"/>
        <v>0</v>
      </c>
      <c r="O422" s="107" t="str">
        <f t="array" ref="O422">XLOOKUP(A422,Data!F:F,Data!O:O)</f>
        <v/>
      </c>
      <c r="P422" s="107" t="str">
        <f t="shared" si="8"/>
        <v>  -   </v>
      </c>
      <c r="Q422" s="27"/>
    </row>
    <row r="423" ht="15.75" customHeight="1">
      <c r="A423" s="105" t="s">
        <v>667</v>
      </c>
      <c r="B423" s="19" t="str">
        <f t="array" ref="B423">XLOOKUP(A423,Data!F:F,Data!G:G)</f>
        <v>A1C</v>
      </c>
      <c r="C423" s="19" t="str">
        <f t="shared" si="3"/>
        <v>A023</v>
      </c>
      <c r="D423" s="19" t="str">
        <f t="array" ref="D423">XLOOKUP(A423,Data!F:F,Data!C:C)</f>
        <v/>
      </c>
      <c r="E423" s="19" t="str">
        <f t="array" ref="E423">XLOOKUP(A423,Data!F:F,Data!H:H)</f>
        <v/>
      </c>
      <c r="F423" s="106" t="str">
        <f>SUMIFS(Data!J:J,Data!F:F,A423)</f>
        <v>0</v>
      </c>
      <c r="G423" s="106" t="str">
        <f>SUMIFS(Cast!C:C,CastElements,A423)</f>
        <v>0</v>
      </c>
      <c r="H423" s="106" t="str">
        <f t="shared" si="4"/>
        <v>0</v>
      </c>
      <c r="I423" s="106" t="str">
        <f>SUMIFS(Del!C:C,Del!B:B,A423)</f>
        <v>0</v>
      </c>
      <c r="J423" s="106" t="str">
        <f t="shared" si="5"/>
        <v>0</v>
      </c>
      <c r="K423" s="106" t="str">
        <f t="shared" si="6"/>
        <v>0</v>
      </c>
      <c r="L423" s="106"/>
      <c r="M423" s="106" t="str">
        <f>SUMIFS(Ere!C:C,Ere!B:B,A423)</f>
        <v>0</v>
      </c>
      <c r="N423" s="106" t="str">
        <f t="shared" si="7"/>
        <v>0</v>
      </c>
      <c r="O423" s="107" t="str">
        <f t="array" ref="O423">XLOOKUP(A423,Data!F:F,Data!O:O)</f>
        <v/>
      </c>
      <c r="P423" s="107" t="str">
        <f t="shared" si="8"/>
        <v>  -   </v>
      </c>
      <c r="Q423" s="27"/>
    </row>
    <row r="424" ht="15.75" customHeight="1">
      <c r="A424" s="105" t="s">
        <v>668</v>
      </c>
      <c r="B424" s="19" t="str">
        <f t="array" ref="B424">XLOOKUP(A424,Data!F:F,Data!G:G)</f>
        <v>A1C</v>
      </c>
      <c r="C424" s="19" t="str">
        <f t="shared" si="3"/>
        <v>A023</v>
      </c>
      <c r="D424" s="19" t="str">
        <f t="array" ref="D424">XLOOKUP(A424,Data!F:F,Data!C:C)</f>
        <v/>
      </c>
      <c r="E424" s="19" t="str">
        <f t="array" ref="E424">XLOOKUP(A424,Data!F:F,Data!H:H)</f>
        <v/>
      </c>
      <c r="F424" s="106" t="str">
        <f>SUMIFS(Data!J:J,Data!F:F,A424)</f>
        <v>0</v>
      </c>
      <c r="G424" s="106" t="str">
        <f>SUMIFS(Cast!C:C,CastElements,A424)</f>
        <v>0</v>
      </c>
      <c r="H424" s="106" t="str">
        <f t="shared" si="4"/>
        <v>0</v>
      </c>
      <c r="I424" s="106" t="str">
        <f>SUMIFS(Del!C:C,Del!B:B,A424)</f>
        <v>0</v>
      </c>
      <c r="J424" s="106" t="str">
        <f t="shared" si="5"/>
        <v>0</v>
      </c>
      <c r="K424" s="106" t="str">
        <f t="shared" si="6"/>
        <v>0</v>
      </c>
      <c r="L424" s="106"/>
      <c r="M424" s="106" t="str">
        <f>SUMIFS(Ere!C:C,Ere!B:B,A424)</f>
        <v>0</v>
      </c>
      <c r="N424" s="106" t="str">
        <f t="shared" si="7"/>
        <v>0</v>
      </c>
      <c r="O424" s="107" t="str">
        <f t="array" ref="O424">XLOOKUP(A424,Data!F:F,Data!O:O)</f>
        <v/>
      </c>
      <c r="P424" s="107" t="str">
        <f t="shared" si="8"/>
        <v>  -   </v>
      </c>
      <c r="Q424" s="27"/>
    </row>
    <row r="425" ht="15.75" customHeight="1">
      <c r="A425" s="105" t="s">
        <v>669</v>
      </c>
      <c r="B425" s="19" t="str">
        <f t="array" ref="B425">XLOOKUP(A425,Data!F:F,Data!G:G)</f>
        <v>A1C</v>
      </c>
      <c r="C425" s="19" t="str">
        <f t="shared" si="3"/>
        <v>A023</v>
      </c>
      <c r="D425" s="19" t="str">
        <f t="array" ref="D425">XLOOKUP(A425,Data!F:F,Data!C:C)</f>
        <v/>
      </c>
      <c r="E425" s="19" t="str">
        <f t="array" ref="E425">XLOOKUP(A425,Data!F:F,Data!H:H)</f>
        <v/>
      </c>
      <c r="F425" s="106" t="str">
        <f>SUMIFS(Data!J:J,Data!F:F,A425)</f>
        <v>0</v>
      </c>
      <c r="G425" s="106" t="str">
        <f>SUMIFS(Cast!C:C,CastElements,A425)</f>
        <v>0</v>
      </c>
      <c r="H425" s="106" t="str">
        <f t="shared" si="4"/>
        <v>0</v>
      </c>
      <c r="I425" s="106" t="str">
        <f>SUMIFS(Del!C:C,Del!B:B,A425)</f>
        <v>0</v>
      </c>
      <c r="J425" s="106" t="str">
        <f t="shared" si="5"/>
        <v>0</v>
      </c>
      <c r="K425" s="106" t="str">
        <f t="shared" si="6"/>
        <v>0</v>
      </c>
      <c r="L425" s="106"/>
      <c r="M425" s="106" t="str">
        <f>SUMIFS(Ere!C:C,Ere!B:B,A425)</f>
        <v>0</v>
      </c>
      <c r="N425" s="106" t="str">
        <f t="shared" si="7"/>
        <v>0</v>
      </c>
      <c r="O425" s="107" t="str">
        <f t="array" ref="O425">XLOOKUP(A425,Data!F:F,Data!O:O)</f>
        <v/>
      </c>
      <c r="P425" s="107" t="str">
        <f t="shared" si="8"/>
        <v>  -   </v>
      </c>
      <c r="Q425" s="27"/>
    </row>
    <row r="426" ht="15.75" customHeight="1">
      <c r="A426" s="105" t="s">
        <v>670</v>
      </c>
      <c r="B426" s="19" t="str">
        <f t="array" ref="B426">XLOOKUP(A426,Data!F:F,Data!G:G)</f>
        <v>A1C</v>
      </c>
      <c r="C426" s="19" t="str">
        <f t="shared" si="3"/>
        <v>A023</v>
      </c>
      <c r="D426" s="19" t="str">
        <f t="array" ref="D426">XLOOKUP(A426,Data!F:F,Data!C:C)</f>
        <v/>
      </c>
      <c r="E426" s="19" t="str">
        <f t="array" ref="E426">XLOOKUP(A426,Data!F:F,Data!H:H)</f>
        <v/>
      </c>
      <c r="F426" s="106" t="str">
        <f>SUMIFS(Data!J:J,Data!F:F,A426)</f>
        <v>0</v>
      </c>
      <c r="G426" s="106" t="str">
        <f>SUMIFS(Cast!C:C,CastElements,A426)</f>
        <v>0</v>
      </c>
      <c r="H426" s="106" t="str">
        <f t="shared" si="4"/>
        <v>0</v>
      </c>
      <c r="I426" s="106" t="str">
        <f>SUMIFS(Del!C:C,Del!B:B,A426)</f>
        <v>0</v>
      </c>
      <c r="J426" s="106" t="str">
        <f t="shared" si="5"/>
        <v>0</v>
      </c>
      <c r="K426" s="106" t="str">
        <f t="shared" si="6"/>
        <v>0</v>
      </c>
      <c r="L426" s="106"/>
      <c r="M426" s="106" t="str">
        <f>SUMIFS(Ere!C:C,Ere!B:B,A426)</f>
        <v>0</v>
      </c>
      <c r="N426" s="106" t="str">
        <f t="shared" si="7"/>
        <v>0</v>
      </c>
      <c r="O426" s="107" t="str">
        <f t="array" ref="O426">XLOOKUP(A426,Data!F:F,Data!O:O)</f>
        <v/>
      </c>
      <c r="P426" s="107" t="str">
        <f t="shared" si="8"/>
        <v>  -   </v>
      </c>
      <c r="Q426" s="27"/>
    </row>
    <row r="427" ht="15.75" customHeight="1">
      <c r="A427" s="105" t="s">
        <v>671</v>
      </c>
      <c r="B427" s="19" t="str">
        <f t="array" ref="B427">XLOOKUP(A427,Data!F:F,Data!G:G)</f>
        <v>A1C</v>
      </c>
      <c r="C427" s="19" t="str">
        <f t="shared" si="3"/>
        <v>A023</v>
      </c>
      <c r="D427" s="19" t="str">
        <f t="array" ref="D427">XLOOKUP(A427,Data!F:F,Data!C:C)</f>
        <v/>
      </c>
      <c r="E427" s="19" t="str">
        <f t="array" ref="E427">XLOOKUP(A427,Data!F:F,Data!H:H)</f>
        <v/>
      </c>
      <c r="F427" s="106" t="str">
        <f>SUMIFS(Data!J:J,Data!F:F,A427)</f>
        <v>0</v>
      </c>
      <c r="G427" s="106" t="str">
        <f>SUMIFS(Cast!C:C,CastElements,A427)</f>
        <v>0</v>
      </c>
      <c r="H427" s="106" t="str">
        <f t="shared" si="4"/>
        <v>0</v>
      </c>
      <c r="I427" s="106" t="str">
        <f>SUMIFS(Del!C:C,Del!B:B,A427)</f>
        <v>0</v>
      </c>
      <c r="J427" s="106" t="str">
        <f t="shared" si="5"/>
        <v>0</v>
      </c>
      <c r="K427" s="106" t="str">
        <f t="shared" si="6"/>
        <v>0</v>
      </c>
      <c r="L427" s="106"/>
      <c r="M427" s="106" t="str">
        <f>SUMIFS(Ere!C:C,Ere!B:B,A427)</f>
        <v>0</v>
      </c>
      <c r="N427" s="106" t="str">
        <f t="shared" si="7"/>
        <v>0</v>
      </c>
      <c r="O427" s="107" t="str">
        <f t="array" ref="O427">XLOOKUP(A427,Data!F:F,Data!O:O)</f>
        <v/>
      </c>
      <c r="P427" s="107" t="str">
        <f t="shared" si="8"/>
        <v>  -   </v>
      </c>
      <c r="Q427" s="27"/>
    </row>
    <row r="428" ht="15.75" customHeight="1">
      <c r="A428" s="105" t="s">
        <v>672</v>
      </c>
      <c r="B428" s="19" t="str">
        <f t="array" ref="B428">XLOOKUP(A428,Data!F:F,Data!G:G)</f>
        <v>A1C</v>
      </c>
      <c r="C428" s="19" t="str">
        <f t="shared" si="3"/>
        <v>A023</v>
      </c>
      <c r="D428" s="19" t="str">
        <f t="array" ref="D428">XLOOKUP(A428,Data!F:F,Data!C:C)</f>
        <v/>
      </c>
      <c r="E428" s="19" t="str">
        <f t="array" ref="E428">XLOOKUP(A428,Data!F:F,Data!H:H)</f>
        <v/>
      </c>
      <c r="F428" s="106" t="str">
        <f>SUMIFS(Data!J:J,Data!F:F,A428)</f>
        <v>0</v>
      </c>
      <c r="G428" s="106" t="str">
        <f>SUMIFS(Cast!C:C,CastElements,A428)</f>
        <v>0</v>
      </c>
      <c r="H428" s="106" t="str">
        <f t="shared" si="4"/>
        <v>0</v>
      </c>
      <c r="I428" s="106" t="str">
        <f>SUMIFS(Del!C:C,Del!B:B,A428)</f>
        <v>0</v>
      </c>
      <c r="J428" s="106" t="str">
        <f t="shared" si="5"/>
        <v>0</v>
      </c>
      <c r="K428" s="106" t="str">
        <f t="shared" si="6"/>
        <v>0</v>
      </c>
      <c r="L428" s="106"/>
      <c r="M428" s="106" t="str">
        <f>SUMIFS(Ere!C:C,Ere!B:B,A428)</f>
        <v>0</v>
      </c>
      <c r="N428" s="106" t="str">
        <f t="shared" si="7"/>
        <v>0</v>
      </c>
      <c r="O428" s="107" t="str">
        <f t="array" ref="O428">XLOOKUP(A428,Data!F:F,Data!O:O)</f>
        <v/>
      </c>
      <c r="P428" s="107" t="str">
        <f t="shared" si="8"/>
        <v>  -   </v>
      </c>
      <c r="Q428" s="27"/>
    </row>
    <row r="429" ht="15.75" customHeight="1">
      <c r="A429" s="105" t="s">
        <v>673</v>
      </c>
      <c r="B429" s="19" t="str">
        <f t="array" ref="B429">XLOOKUP(A429,Data!F:F,Data!G:G)</f>
        <v>A1C</v>
      </c>
      <c r="C429" s="19" t="str">
        <f t="shared" si="3"/>
        <v>A023</v>
      </c>
      <c r="D429" s="19" t="str">
        <f t="array" ref="D429">XLOOKUP(A429,Data!F:F,Data!C:C)</f>
        <v/>
      </c>
      <c r="E429" s="19" t="str">
        <f t="array" ref="E429">XLOOKUP(A429,Data!F:F,Data!H:H)</f>
        <v/>
      </c>
      <c r="F429" s="106" t="str">
        <f>SUMIFS(Data!J:J,Data!F:F,A429)</f>
        <v>0</v>
      </c>
      <c r="G429" s="106" t="str">
        <f>SUMIFS(Cast!C:C,CastElements,A429)</f>
        <v>0</v>
      </c>
      <c r="H429" s="106" t="str">
        <f t="shared" si="4"/>
        <v>0</v>
      </c>
      <c r="I429" s="106" t="str">
        <f>SUMIFS(Del!C:C,Del!B:B,A429)</f>
        <v>0</v>
      </c>
      <c r="J429" s="106" t="str">
        <f t="shared" si="5"/>
        <v>0</v>
      </c>
      <c r="K429" s="106" t="str">
        <f t="shared" si="6"/>
        <v>0</v>
      </c>
      <c r="L429" s="106"/>
      <c r="M429" s="106" t="str">
        <f>SUMIFS(Ere!C:C,Ere!B:B,A429)</f>
        <v>0</v>
      </c>
      <c r="N429" s="106" t="str">
        <f t="shared" si="7"/>
        <v>0</v>
      </c>
      <c r="O429" s="107" t="str">
        <f t="array" ref="O429">XLOOKUP(A429,Data!F:F,Data!O:O)</f>
        <v/>
      </c>
      <c r="P429" s="107" t="str">
        <f t="shared" si="8"/>
        <v>  -   </v>
      </c>
      <c r="Q429" s="27"/>
    </row>
    <row r="430" ht="15.75" customHeight="1">
      <c r="A430" s="105" t="s">
        <v>674</v>
      </c>
      <c r="B430" s="19" t="str">
        <f t="array" ref="B430">XLOOKUP(A430,Data!F:F,Data!G:G)</f>
        <v>A1C</v>
      </c>
      <c r="C430" s="19" t="str">
        <f t="shared" si="3"/>
        <v>A023</v>
      </c>
      <c r="D430" s="19" t="str">
        <f t="array" ref="D430">XLOOKUP(A430,Data!F:F,Data!C:C)</f>
        <v/>
      </c>
      <c r="E430" s="19" t="str">
        <f t="array" ref="E430">XLOOKUP(A430,Data!F:F,Data!H:H)</f>
        <v/>
      </c>
      <c r="F430" s="106" t="str">
        <f>SUMIFS(Data!J:J,Data!F:F,A430)</f>
        <v>0</v>
      </c>
      <c r="G430" s="106" t="str">
        <f>SUMIFS(Cast!C:C,CastElements,A430)</f>
        <v>0</v>
      </c>
      <c r="H430" s="106" t="str">
        <f t="shared" si="4"/>
        <v>0</v>
      </c>
      <c r="I430" s="106" t="str">
        <f>SUMIFS(Del!C:C,Del!B:B,A430)</f>
        <v>0</v>
      </c>
      <c r="J430" s="106" t="str">
        <f t="shared" si="5"/>
        <v>0</v>
      </c>
      <c r="K430" s="106" t="str">
        <f t="shared" si="6"/>
        <v>0</v>
      </c>
      <c r="L430" s="106"/>
      <c r="M430" s="106" t="str">
        <f>SUMIFS(Ere!C:C,Ere!B:B,A430)</f>
        <v>0</v>
      </c>
      <c r="N430" s="106" t="str">
        <f t="shared" si="7"/>
        <v>0</v>
      </c>
      <c r="O430" s="107" t="str">
        <f t="array" ref="O430">XLOOKUP(A430,Data!F:F,Data!O:O)</f>
        <v/>
      </c>
      <c r="P430" s="107" t="str">
        <f t="shared" si="8"/>
        <v>  -   </v>
      </c>
      <c r="Q430" s="27"/>
    </row>
    <row r="431" ht="15.75" customHeight="1">
      <c r="A431" s="105" t="s">
        <v>675</v>
      </c>
      <c r="B431" s="19" t="str">
        <f t="array" ref="B431">XLOOKUP(A431,Data!F:F,Data!G:G)</f>
        <v>A1C</v>
      </c>
      <c r="C431" s="19" t="str">
        <f t="shared" si="3"/>
        <v>A023</v>
      </c>
      <c r="D431" s="19" t="str">
        <f t="array" ref="D431">XLOOKUP(A431,Data!F:F,Data!C:C)</f>
        <v/>
      </c>
      <c r="E431" s="19" t="str">
        <f t="array" ref="E431">XLOOKUP(A431,Data!F:F,Data!H:H)</f>
        <v/>
      </c>
      <c r="F431" s="106" t="str">
        <f>SUMIFS(Data!J:J,Data!F:F,A431)</f>
        <v>0</v>
      </c>
      <c r="G431" s="106" t="str">
        <f>SUMIFS(Cast!C:C,CastElements,A431)</f>
        <v>0</v>
      </c>
      <c r="H431" s="106" t="str">
        <f t="shared" si="4"/>
        <v>0</v>
      </c>
      <c r="I431" s="106" t="str">
        <f>SUMIFS(Del!C:C,Del!B:B,A431)</f>
        <v>0</v>
      </c>
      <c r="J431" s="106" t="str">
        <f t="shared" si="5"/>
        <v>0</v>
      </c>
      <c r="K431" s="106" t="str">
        <f t="shared" si="6"/>
        <v>0</v>
      </c>
      <c r="L431" s="106"/>
      <c r="M431" s="106" t="str">
        <f>SUMIFS(Ere!C:C,Ere!B:B,A431)</f>
        <v>0</v>
      </c>
      <c r="N431" s="106" t="str">
        <f t="shared" si="7"/>
        <v>0</v>
      </c>
      <c r="O431" s="107" t="str">
        <f t="array" ref="O431">XLOOKUP(A431,Data!F:F,Data!O:O)</f>
        <v/>
      </c>
      <c r="P431" s="107" t="str">
        <f t="shared" si="8"/>
        <v>  -   </v>
      </c>
      <c r="Q431" s="27"/>
    </row>
    <row r="432" ht="15.75" customHeight="1">
      <c r="A432" s="105" t="s">
        <v>676</v>
      </c>
      <c r="B432" s="19" t="str">
        <f t="array" ref="B432">XLOOKUP(A432,Data!F:F,Data!G:G)</f>
        <v>A1C</v>
      </c>
      <c r="C432" s="19" t="str">
        <f t="shared" si="3"/>
        <v>A023</v>
      </c>
      <c r="D432" s="19" t="str">
        <f t="array" ref="D432">XLOOKUP(A432,Data!F:F,Data!C:C)</f>
        <v/>
      </c>
      <c r="E432" s="19" t="str">
        <f t="array" ref="E432">XLOOKUP(A432,Data!F:F,Data!H:H)</f>
        <v/>
      </c>
      <c r="F432" s="106" t="str">
        <f>SUMIFS(Data!J:J,Data!F:F,A432)</f>
        <v>0</v>
      </c>
      <c r="G432" s="106" t="str">
        <f>SUMIFS(Cast!C:C,CastElements,A432)</f>
        <v>0</v>
      </c>
      <c r="H432" s="106" t="str">
        <f t="shared" si="4"/>
        <v>0</v>
      </c>
      <c r="I432" s="106" t="str">
        <f>SUMIFS(Del!C:C,Del!B:B,A432)</f>
        <v>0</v>
      </c>
      <c r="J432" s="106" t="str">
        <f t="shared" si="5"/>
        <v>0</v>
      </c>
      <c r="K432" s="106" t="str">
        <f t="shared" si="6"/>
        <v>0</v>
      </c>
      <c r="L432" s="106"/>
      <c r="M432" s="106" t="str">
        <f>SUMIFS(Ere!C:C,Ere!B:B,A432)</f>
        <v>0</v>
      </c>
      <c r="N432" s="106" t="str">
        <f t="shared" si="7"/>
        <v>0</v>
      </c>
      <c r="O432" s="107" t="str">
        <f t="array" ref="O432">XLOOKUP(A432,Data!F:F,Data!O:O)</f>
        <v/>
      </c>
      <c r="P432" s="107" t="str">
        <f t="shared" si="8"/>
        <v>  -   </v>
      </c>
      <c r="Q432" s="27"/>
    </row>
    <row r="433" ht="15.75" customHeight="1">
      <c r="A433" s="105" t="s">
        <v>677</v>
      </c>
      <c r="B433" s="19" t="str">
        <f t="array" ref="B433">XLOOKUP(A433,Data!F:F,Data!G:G)</f>
        <v>A1C</v>
      </c>
      <c r="C433" s="19" t="str">
        <f t="shared" si="3"/>
        <v>A023</v>
      </c>
      <c r="D433" s="19" t="str">
        <f t="array" ref="D433">XLOOKUP(A433,Data!F:F,Data!C:C)</f>
        <v/>
      </c>
      <c r="E433" s="19" t="str">
        <f t="array" ref="E433">XLOOKUP(A433,Data!F:F,Data!H:H)</f>
        <v/>
      </c>
      <c r="F433" s="106" t="str">
        <f>SUMIFS(Data!J:J,Data!F:F,A433)</f>
        <v>0</v>
      </c>
      <c r="G433" s="106" t="str">
        <f>SUMIFS(Cast!C:C,CastElements,A433)</f>
        <v>0</v>
      </c>
      <c r="H433" s="106" t="str">
        <f t="shared" si="4"/>
        <v>0</v>
      </c>
      <c r="I433" s="106" t="str">
        <f>SUMIFS(Del!C:C,Del!B:B,A433)</f>
        <v>0</v>
      </c>
      <c r="J433" s="106" t="str">
        <f t="shared" si="5"/>
        <v>0</v>
      </c>
      <c r="K433" s="106" t="str">
        <f t="shared" si="6"/>
        <v>0</v>
      </c>
      <c r="L433" s="106"/>
      <c r="M433" s="106" t="str">
        <f>SUMIFS(Ere!C:C,Ere!B:B,A433)</f>
        <v>0</v>
      </c>
      <c r="N433" s="106" t="str">
        <f t="shared" si="7"/>
        <v>0</v>
      </c>
      <c r="O433" s="107" t="str">
        <f t="array" ref="O433">XLOOKUP(A433,Data!F:F,Data!O:O)</f>
        <v/>
      </c>
      <c r="P433" s="107" t="str">
        <f t="shared" si="8"/>
        <v>  -   </v>
      </c>
      <c r="Q433" s="27"/>
    </row>
    <row r="434" ht="15.75" customHeight="1">
      <c r="A434" s="105" t="s">
        <v>678</v>
      </c>
      <c r="B434" s="19" t="str">
        <f t="array" ref="B434">XLOOKUP(A434,Data!F:F,Data!G:G)</f>
        <v>A1D</v>
      </c>
      <c r="C434" s="19" t="str">
        <f t="shared" si="3"/>
        <v>A043</v>
      </c>
      <c r="D434" s="19" t="str">
        <f t="array" ref="D434">XLOOKUP(A434,Data!F:F,Data!C:C)</f>
        <v/>
      </c>
      <c r="E434" s="19" t="str">
        <f t="array" ref="E434">XLOOKUP(A434,Data!F:F,Data!H:H)</f>
        <v>BW</v>
      </c>
      <c r="F434" s="106" t="str">
        <f>SUMIFS(Data!J:J,Data!F:F,A434)</f>
        <v>1</v>
      </c>
      <c r="G434" s="106" t="str">
        <f>SUMIFS(Cast!C:C,CastElements,A434)</f>
        <v>1</v>
      </c>
      <c r="H434" s="106" t="str">
        <f t="shared" si="4"/>
        <v>0</v>
      </c>
      <c r="I434" s="106" t="str">
        <f>SUMIFS(Del!C:C,Del!B:B,A434)</f>
        <v>0</v>
      </c>
      <c r="J434" s="106" t="str">
        <f t="shared" si="5"/>
        <v>1</v>
      </c>
      <c r="K434" s="106" t="str">
        <f t="shared" si="6"/>
        <v>1</v>
      </c>
      <c r="L434" s="106"/>
      <c r="M434" s="106" t="str">
        <f>SUMIFS(Ere!C:C,Ere!B:B,A434)</f>
        <v>0</v>
      </c>
      <c r="N434" s="106" t="str">
        <f t="shared" si="7"/>
        <v>1</v>
      </c>
      <c r="O434" s="107" t="str">
        <f t="array" ref="O434">XLOOKUP(A434,Data!F:F,Data!O:O)</f>
        <v>  0.47 </v>
      </c>
      <c r="P434" s="107" t="str">
        <f t="shared" si="8"/>
        <v>  1.18 </v>
      </c>
      <c r="Q434" s="27"/>
    </row>
    <row r="435" ht="15.75" customHeight="1">
      <c r="A435" s="105" t="s">
        <v>679</v>
      </c>
      <c r="B435" s="19" t="str">
        <f t="array" ref="B435">XLOOKUP(A435,Data!F:F,Data!G:G)</f>
        <v>A1D</v>
      </c>
      <c r="C435" s="19" t="str">
        <f t="shared" si="3"/>
        <v>A043</v>
      </c>
      <c r="D435" s="19" t="str">
        <f t="array" ref="D435">XLOOKUP(A435,Data!F:F,Data!C:C)</f>
        <v/>
      </c>
      <c r="E435" s="19" t="str">
        <f t="array" ref="E435">XLOOKUP(A435,Data!F:F,Data!H:H)</f>
        <v>BW</v>
      </c>
      <c r="F435" s="106" t="str">
        <f>SUMIFS(Data!J:J,Data!F:F,A435)</f>
        <v>1</v>
      </c>
      <c r="G435" s="106" t="str">
        <f>SUMIFS(Cast!C:C,CastElements,A435)</f>
        <v>1</v>
      </c>
      <c r="H435" s="106" t="str">
        <f t="shared" si="4"/>
        <v>0</v>
      </c>
      <c r="I435" s="106" t="str">
        <f>SUMIFS(Del!C:C,Del!B:B,A435)</f>
        <v>0</v>
      </c>
      <c r="J435" s="106" t="str">
        <f t="shared" si="5"/>
        <v>1</v>
      </c>
      <c r="K435" s="106" t="str">
        <f t="shared" si="6"/>
        <v>1</v>
      </c>
      <c r="L435" s="106"/>
      <c r="M435" s="106" t="str">
        <f>SUMIFS(Ere!C:C,Ere!B:B,A435)</f>
        <v>0</v>
      </c>
      <c r="N435" s="106" t="str">
        <f t="shared" si="7"/>
        <v>1</v>
      </c>
      <c r="O435" s="107" t="str">
        <f t="array" ref="O435">XLOOKUP(A435,Data!F:F,Data!O:O)</f>
        <v>  1.02 </v>
      </c>
      <c r="P435" s="107" t="str">
        <f t="shared" si="8"/>
        <v>  2.54 </v>
      </c>
      <c r="Q435" s="27"/>
    </row>
    <row r="436" ht="15.75" customHeight="1">
      <c r="A436" s="105" t="s">
        <v>680</v>
      </c>
      <c r="B436" s="19" t="str">
        <f t="array" ref="B436">XLOOKUP(A436,Data!F:F,Data!G:G)</f>
        <v>A1D</v>
      </c>
      <c r="C436" s="19" t="str">
        <f t="shared" si="3"/>
        <v>A043</v>
      </c>
      <c r="D436" s="19" t="str">
        <f t="array" ref="D436">XLOOKUP(A436,Data!F:F,Data!C:C)</f>
        <v/>
      </c>
      <c r="E436" s="19" t="str">
        <f t="array" ref="E436">XLOOKUP(A436,Data!F:F,Data!H:H)</f>
        <v>BW</v>
      </c>
      <c r="F436" s="106" t="str">
        <f>SUMIFS(Data!J:J,Data!F:F,A436)</f>
        <v>1</v>
      </c>
      <c r="G436" s="106" t="str">
        <f>SUMIFS(Cast!C:C,CastElements,A436)</f>
        <v>1</v>
      </c>
      <c r="H436" s="106" t="str">
        <f t="shared" si="4"/>
        <v>0</v>
      </c>
      <c r="I436" s="106" t="str">
        <f>SUMIFS(Del!C:C,Del!B:B,A436)</f>
        <v>0</v>
      </c>
      <c r="J436" s="106" t="str">
        <f t="shared" si="5"/>
        <v>1</v>
      </c>
      <c r="K436" s="106" t="str">
        <f t="shared" si="6"/>
        <v>1</v>
      </c>
      <c r="L436" s="106"/>
      <c r="M436" s="106" t="str">
        <f>SUMIFS(Ere!C:C,Ere!B:B,A436)</f>
        <v>0</v>
      </c>
      <c r="N436" s="106" t="str">
        <f t="shared" si="7"/>
        <v>1</v>
      </c>
      <c r="O436" s="107" t="str">
        <f t="array" ref="O436">XLOOKUP(A436,Data!F:F,Data!O:O)</f>
        <v>  1.36 </v>
      </c>
      <c r="P436" s="107" t="str">
        <f t="shared" si="8"/>
        <v>  3.40 </v>
      </c>
      <c r="Q436" s="27"/>
    </row>
    <row r="437" ht="15.75" customHeight="1">
      <c r="A437" s="105" t="s">
        <v>681</v>
      </c>
      <c r="B437" s="19" t="str">
        <f t="array" ref="B437">XLOOKUP(A437,Data!F:F,Data!G:G)</f>
        <v>A1D</v>
      </c>
      <c r="C437" s="19" t="str">
        <f t="shared" si="3"/>
        <v>A043</v>
      </c>
      <c r="D437" s="19" t="str">
        <f t="array" ref="D437">XLOOKUP(A437,Data!F:F,Data!C:C)</f>
        <v/>
      </c>
      <c r="E437" s="19" t="str">
        <f t="array" ref="E437">XLOOKUP(A437,Data!F:F,Data!H:H)</f>
        <v>BW</v>
      </c>
      <c r="F437" s="106" t="str">
        <f>SUMIFS(Data!J:J,Data!F:F,A437)</f>
        <v>1</v>
      </c>
      <c r="G437" s="106" t="str">
        <f>SUMIFS(Cast!C:C,CastElements,A437)</f>
        <v>1</v>
      </c>
      <c r="H437" s="106" t="str">
        <f t="shared" si="4"/>
        <v>0</v>
      </c>
      <c r="I437" s="106" t="str">
        <f>SUMIFS(Del!C:C,Del!B:B,A437)</f>
        <v>0</v>
      </c>
      <c r="J437" s="106" t="str">
        <f t="shared" si="5"/>
        <v>1</v>
      </c>
      <c r="K437" s="106" t="str">
        <f t="shared" si="6"/>
        <v>1</v>
      </c>
      <c r="L437" s="106"/>
      <c r="M437" s="106" t="str">
        <f>SUMIFS(Ere!C:C,Ere!B:B,A437)</f>
        <v>0</v>
      </c>
      <c r="N437" s="106" t="str">
        <f t="shared" si="7"/>
        <v>1</v>
      </c>
      <c r="O437" s="107" t="str">
        <f t="array" ref="O437">XLOOKUP(A437,Data!F:F,Data!O:O)</f>
        <v>  1.23 </v>
      </c>
      <c r="P437" s="107" t="str">
        <f t="shared" si="8"/>
        <v>  3.07 </v>
      </c>
      <c r="Q437" s="27"/>
    </row>
    <row r="438" ht="15.75" customHeight="1">
      <c r="A438" s="105" t="s">
        <v>682</v>
      </c>
      <c r="B438" s="19" t="str">
        <f t="array" ref="B438">XLOOKUP(A438,Data!F:F,Data!G:G)</f>
        <v>A1D</v>
      </c>
      <c r="C438" s="19" t="str">
        <f t="shared" si="3"/>
        <v>A043</v>
      </c>
      <c r="D438" s="19" t="str">
        <f t="array" ref="D438">XLOOKUP(A438,Data!F:F,Data!C:C)</f>
        <v/>
      </c>
      <c r="E438" s="19" t="str">
        <f t="array" ref="E438">XLOOKUP(A438,Data!F:F,Data!H:H)</f>
        <v>BW</v>
      </c>
      <c r="F438" s="106" t="str">
        <f>SUMIFS(Data!J:J,Data!F:F,A438)</f>
        <v>1</v>
      </c>
      <c r="G438" s="106" t="str">
        <f>SUMIFS(Cast!C:C,CastElements,A438)</f>
        <v>1</v>
      </c>
      <c r="H438" s="106" t="str">
        <f t="shared" si="4"/>
        <v>0</v>
      </c>
      <c r="I438" s="106" t="str">
        <f>SUMIFS(Del!C:C,Del!B:B,A438)</f>
        <v>0</v>
      </c>
      <c r="J438" s="106" t="str">
        <f t="shared" si="5"/>
        <v>1</v>
      </c>
      <c r="K438" s="106" t="str">
        <f t="shared" si="6"/>
        <v>1</v>
      </c>
      <c r="L438" s="106"/>
      <c r="M438" s="106" t="str">
        <f>SUMIFS(Ere!C:C,Ere!B:B,A438)</f>
        <v>0</v>
      </c>
      <c r="N438" s="106" t="str">
        <f t="shared" si="7"/>
        <v>1</v>
      </c>
      <c r="O438" s="107" t="str">
        <f t="array" ref="O438">XLOOKUP(A438,Data!F:F,Data!O:O)</f>
        <v>  2.13 </v>
      </c>
      <c r="P438" s="107" t="str">
        <f t="shared" si="8"/>
        <v>  5.32 </v>
      </c>
      <c r="Q438" s="27"/>
    </row>
    <row r="439" ht="15.75" customHeight="1">
      <c r="A439" s="105" t="s">
        <v>683</v>
      </c>
      <c r="B439" s="19" t="str">
        <f t="array" ref="B439">XLOOKUP(A439,Data!F:F,Data!G:G)</f>
        <v>A1D</v>
      </c>
      <c r="C439" s="19" t="str">
        <f t="shared" si="3"/>
        <v>A043</v>
      </c>
      <c r="D439" s="19" t="str">
        <f t="array" ref="D439">XLOOKUP(A439,Data!F:F,Data!C:C)</f>
        <v/>
      </c>
      <c r="E439" s="19" t="str">
        <f t="array" ref="E439">XLOOKUP(A439,Data!F:F,Data!H:H)</f>
        <v>BW</v>
      </c>
      <c r="F439" s="106" t="str">
        <f>SUMIFS(Data!J:J,Data!F:F,A439)</f>
        <v>1</v>
      </c>
      <c r="G439" s="106" t="str">
        <f>SUMIFS(Cast!C:C,CastElements,A439)</f>
        <v>1</v>
      </c>
      <c r="H439" s="106" t="str">
        <f t="shared" si="4"/>
        <v>0</v>
      </c>
      <c r="I439" s="106" t="str">
        <f>SUMIFS(Del!C:C,Del!B:B,A439)</f>
        <v>0</v>
      </c>
      <c r="J439" s="106" t="str">
        <f t="shared" si="5"/>
        <v>1</v>
      </c>
      <c r="K439" s="106" t="str">
        <f t="shared" si="6"/>
        <v>1</v>
      </c>
      <c r="L439" s="106"/>
      <c r="M439" s="106" t="str">
        <f>SUMIFS(Ere!C:C,Ere!B:B,A439)</f>
        <v>0</v>
      </c>
      <c r="N439" s="106" t="str">
        <f t="shared" si="7"/>
        <v>1</v>
      </c>
      <c r="O439" s="107" t="str">
        <f t="array" ref="O439">XLOOKUP(A439,Data!F:F,Data!O:O)</f>
        <v>  1.75 </v>
      </c>
      <c r="P439" s="107" t="str">
        <f t="shared" si="8"/>
        <v>  4.36 </v>
      </c>
      <c r="Q439" s="27"/>
    </row>
    <row r="440" ht="15.75" customHeight="1">
      <c r="A440" s="105" t="s">
        <v>684</v>
      </c>
      <c r="B440" s="19" t="str">
        <f t="array" ref="B440">XLOOKUP(A440,Data!F:F,Data!G:G)</f>
        <v>A1D</v>
      </c>
      <c r="C440" s="19" t="str">
        <f t="shared" si="3"/>
        <v>A043</v>
      </c>
      <c r="D440" s="19" t="str">
        <f t="array" ref="D440">XLOOKUP(A440,Data!F:F,Data!C:C)</f>
        <v/>
      </c>
      <c r="E440" s="19" t="str">
        <f t="array" ref="E440">XLOOKUP(A440,Data!F:F,Data!H:H)</f>
        <v>BW</v>
      </c>
      <c r="F440" s="106" t="str">
        <f>SUMIFS(Data!J:J,Data!F:F,A440)</f>
        <v>1</v>
      </c>
      <c r="G440" s="106" t="str">
        <f>SUMIFS(Cast!C:C,CastElements,A440)</f>
        <v>1</v>
      </c>
      <c r="H440" s="106" t="str">
        <f t="shared" si="4"/>
        <v>0</v>
      </c>
      <c r="I440" s="106" t="str">
        <f>SUMIFS(Del!C:C,Del!B:B,A440)</f>
        <v>0</v>
      </c>
      <c r="J440" s="106" t="str">
        <f t="shared" si="5"/>
        <v>1</v>
      </c>
      <c r="K440" s="106" t="str">
        <f t="shared" si="6"/>
        <v>1</v>
      </c>
      <c r="L440" s="106"/>
      <c r="M440" s="106" t="str">
        <f>SUMIFS(Ere!C:C,Ere!B:B,A440)</f>
        <v>0</v>
      </c>
      <c r="N440" s="106" t="str">
        <f t="shared" si="7"/>
        <v>1</v>
      </c>
      <c r="O440" s="107" t="str">
        <f t="array" ref="O440">XLOOKUP(A440,Data!F:F,Data!O:O)</f>
        <v>  1.54 </v>
      </c>
      <c r="P440" s="107" t="str">
        <f t="shared" si="8"/>
        <v>  3.86 </v>
      </c>
      <c r="Q440" s="27"/>
    </row>
    <row r="441" ht="15.75" customHeight="1">
      <c r="A441" s="105" t="s">
        <v>685</v>
      </c>
      <c r="B441" s="19" t="str">
        <f t="array" ref="B441">XLOOKUP(A441,Data!F:F,Data!G:G)</f>
        <v>A1D</v>
      </c>
      <c r="C441" s="19" t="str">
        <f t="shared" si="3"/>
        <v>A043</v>
      </c>
      <c r="D441" s="19" t="str">
        <f t="array" ref="D441">XLOOKUP(A441,Data!F:F,Data!C:C)</f>
        <v/>
      </c>
      <c r="E441" s="19" t="str">
        <f t="array" ref="E441">XLOOKUP(A441,Data!F:F,Data!H:H)</f>
        <v>BW</v>
      </c>
      <c r="F441" s="106" t="str">
        <f>SUMIFS(Data!J:J,Data!F:F,A441)</f>
        <v>1</v>
      </c>
      <c r="G441" s="106" t="str">
        <f>SUMIFS(Cast!C:C,CastElements,A441)</f>
        <v>1</v>
      </c>
      <c r="H441" s="106" t="str">
        <f t="shared" si="4"/>
        <v>0</v>
      </c>
      <c r="I441" s="106" t="str">
        <f>SUMIFS(Del!C:C,Del!B:B,A441)</f>
        <v>0</v>
      </c>
      <c r="J441" s="106" t="str">
        <f t="shared" si="5"/>
        <v>1</v>
      </c>
      <c r="K441" s="106" t="str">
        <f t="shared" si="6"/>
        <v>1</v>
      </c>
      <c r="L441" s="106"/>
      <c r="M441" s="106" t="str">
        <f>SUMIFS(Ere!C:C,Ere!B:B,A441)</f>
        <v>0</v>
      </c>
      <c r="N441" s="106" t="str">
        <f t="shared" si="7"/>
        <v>1</v>
      </c>
      <c r="O441" s="107" t="str">
        <f t="array" ref="O441">XLOOKUP(A441,Data!F:F,Data!O:O)</f>
        <v>  1.57 </v>
      </c>
      <c r="P441" s="107" t="str">
        <f t="shared" si="8"/>
        <v>  3.92 </v>
      </c>
      <c r="Q441" s="27"/>
    </row>
    <row r="442" ht="15.75" customHeight="1">
      <c r="A442" s="105" t="s">
        <v>686</v>
      </c>
      <c r="B442" s="19" t="str">
        <f t="array" ref="B442">XLOOKUP(A442,Data!F:F,Data!G:G)</f>
        <v>A1D</v>
      </c>
      <c r="C442" s="19" t="str">
        <f t="shared" si="3"/>
        <v>A043</v>
      </c>
      <c r="D442" s="19" t="str">
        <f t="array" ref="D442">XLOOKUP(A442,Data!F:F,Data!C:C)</f>
        <v/>
      </c>
      <c r="E442" s="19" t="str">
        <f t="array" ref="E442">XLOOKUP(A442,Data!F:F,Data!H:H)</f>
        <v>BW</v>
      </c>
      <c r="F442" s="106" t="str">
        <f>SUMIFS(Data!J:J,Data!F:F,A442)</f>
        <v>1</v>
      </c>
      <c r="G442" s="106" t="str">
        <f>SUMIFS(Cast!C:C,CastElements,A442)</f>
        <v>1</v>
      </c>
      <c r="H442" s="106" t="str">
        <f t="shared" si="4"/>
        <v>0</v>
      </c>
      <c r="I442" s="106" t="str">
        <f>SUMIFS(Del!C:C,Del!B:B,A442)</f>
        <v>0</v>
      </c>
      <c r="J442" s="106" t="str">
        <f t="shared" si="5"/>
        <v>1</v>
      </c>
      <c r="K442" s="106" t="str">
        <f t="shared" si="6"/>
        <v>1</v>
      </c>
      <c r="L442" s="106"/>
      <c r="M442" s="106" t="str">
        <f>SUMIFS(Ere!C:C,Ere!B:B,A442)</f>
        <v>0</v>
      </c>
      <c r="N442" s="106" t="str">
        <f t="shared" si="7"/>
        <v>1</v>
      </c>
      <c r="O442" s="107" t="str">
        <f t="array" ref="O442">XLOOKUP(A442,Data!F:F,Data!O:O)</f>
        <v>  0.36 </v>
      </c>
      <c r="P442" s="107" t="str">
        <f t="shared" si="8"/>
        <v>  0.89 </v>
      </c>
      <c r="Q442" s="27"/>
    </row>
    <row r="443" ht="15.75" customHeight="1">
      <c r="A443" s="105" t="s">
        <v>687</v>
      </c>
      <c r="B443" s="19" t="str">
        <f t="array" ref="B443">XLOOKUP(A443,Data!F:F,Data!G:G)</f>
        <v>A1D</v>
      </c>
      <c r="C443" s="19" t="str">
        <f t="shared" si="3"/>
        <v>A043</v>
      </c>
      <c r="D443" s="19" t="str">
        <f t="array" ref="D443">XLOOKUP(A443,Data!F:F,Data!C:C)</f>
        <v/>
      </c>
      <c r="E443" s="19" t="str">
        <f t="array" ref="E443">XLOOKUP(A443,Data!F:F,Data!H:H)</f>
        <v>CF</v>
      </c>
      <c r="F443" s="106" t="str">
        <f>SUMIFS(Data!J:J,Data!F:F,A443)</f>
        <v>1</v>
      </c>
      <c r="G443" s="106" t="str">
        <f>SUMIFS(Cast!C:C,CastElements,A443)</f>
        <v>1</v>
      </c>
      <c r="H443" s="106" t="str">
        <f t="shared" si="4"/>
        <v>0</v>
      </c>
      <c r="I443" s="106" t="str">
        <f>SUMIFS(Del!C:C,Del!B:B,A443)</f>
        <v>0</v>
      </c>
      <c r="J443" s="106" t="str">
        <f t="shared" si="5"/>
        <v>1</v>
      </c>
      <c r="K443" s="106" t="str">
        <f t="shared" si="6"/>
        <v>1</v>
      </c>
      <c r="L443" s="106"/>
      <c r="M443" s="106" t="str">
        <f>SUMIFS(Ere!C:C,Ere!B:B,A443)</f>
        <v>0</v>
      </c>
      <c r="N443" s="106" t="str">
        <f t="shared" si="7"/>
        <v>1</v>
      </c>
      <c r="O443" s="107" t="str">
        <f t="array" ref="O443">XLOOKUP(A443,Data!F:F,Data!O:O)</f>
        <v>  0.48 </v>
      </c>
      <c r="P443" s="107" t="str">
        <f t="shared" si="8"/>
        <v>  1.21 </v>
      </c>
      <c r="Q443" s="27"/>
    </row>
    <row r="444" ht="15.75" customHeight="1">
      <c r="A444" s="105" t="s">
        <v>688</v>
      </c>
      <c r="B444" s="19" t="str">
        <f t="array" ref="B444">XLOOKUP(A444,Data!F:F,Data!G:G)</f>
        <v>A1D</v>
      </c>
      <c r="C444" s="19" t="str">
        <f t="shared" si="3"/>
        <v>A043</v>
      </c>
      <c r="D444" s="19" t="str">
        <f t="array" ref="D444">XLOOKUP(A444,Data!F:F,Data!C:C)</f>
        <v>EXT</v>
      </c>
      <c r="E444" s="19" t="str">
        <f t="array" ref="E444">XLOOKUP(A444,Data!F:F,Data!H:H)</f>
        <v>BW</v>
      </c>
      <c r="F444" s="106" t="str">
        <f>SUMIFS(Data!J:J,Data!F:F,A444)</f>
        <v>1</v>
      </c>
      <c r="G444" s="106" t="str">
        <f>SUMIFS(Cast!C:C,CastElements,A444)</f>
        <v>0</v>
      </c>
      <c r="H444" s="106" t="str">
        <f t="shared" si="4"/>
        <v>1</v>
      </c>
      <c r="I444" s="106" t="str">
        <f>SUMIFS(Del!C:C,Del!B:B,A444)</f>
        <v>0</v>
      </c>
      <c r="J444" s="106" t="str">
        <f t="shared" si="5"/>
        <v>1</v>
      </c>
      <c r="K444" s="106" t="str">
        <f t="shared" si="6"/>
        <v>0</v>
      </c>
      <c r="L444" s="106"/>
      <c r="M444" s="106" t="str">
        <f>SUMIFS(Ere!C:C,Ere!B:B,A444)</f>
        <v>0</v>
      </c>
      <c r="N444" s="106" t="str">
        <f t="shared" si="7"/>
        <v>1</v>
      </c>
      <c r="O444" s="107" t="str">
        <f t="array" ref="O444">XLOOKUP(A444,Data!F:F,Data!O:O)</f>
        <v>  0.79 </v>
      </c>
      <c r="P444" s="107" t="str">
        <f t="shared" si="8"/>
        <v>  1.99 </v>
      </c>
      <c r="Q444" s="27"/>
    </row>
    <row r="445" ht="15.75" customHeight="1">
      <c r="A445" s="105" t="s">
        <v>689</v>
      </c>
      <c r="B445" s="19" t="str">
        <f t="array" ref="B445">XLOOKUP(A445,Data!F:F,Data!G:G)</f>
        <v>A1D</v>
      </c>
      <c r="C445" s="19" t="str">
        <f t="shared" si="3"/>
        <v>A043</v>
      </c>
      <c r="D445" s="19" t="str">
        <f t="array" ref="D445">XLOOKUP(A445,Data!F:F,Data!C:C)</f>
        <v>EXT</v>
      </c>
      <c r="E445" s="19" t="str">
        <f t="array" ref="E445">XLOOKUP(A445,Data!F:F,Data!H:H)</f>
        <v>BW</v>
      </c>
      <c r="F445" s="106" t="str">
        <f>SUMIFS(Data!J:J,Data!F:F,A445)</f>
        <v>1</v>
      </c>
      <c r="G445" s="106" t="str">
        <f>SUMIFS(Cast!C:C,CastElements,A445)</f>
        <v>1</v>
      </c>
      <c r="H445" s="106" t="str">
        <f t="shared" si="4"/>
        <v>0</v>
      </c>
      <c r="I445" s="106" t="str">
        <f>SUMIFS(Del!C:C,Del!B:B,A445)</f>
        <v>0</v>
      </c>
      <c r="J445" s="106" t="str">
        <f t="shared" si="5"/>
        <v>1</v>
      </c>
      <c r="K445" s="106" t="str">
        <f t="shared" si="6"/>
        <v>1</v>
      </c>
      <c r="L445" s="106"/>
      <c r="M445" s="106" t="str">
        <f>SUMIFS(Ere!C:C,Ere!B:B,A445)</f>
        <v>0</v>
      </c>
      <c r="N445" s="106" t="str">
        <f t="shared" si="7"/>
        <v>1</v>
      </c>
      <c r="O445" s="107" t="str">
        <f t="array" ref="O445">XLOOKUP(A445,Data!F:F,Data!O:O)</f>
        <v>  1.08 </v>
      </c>
      <c r="P445" s="107" t="str">
        <f t="shared" si="8"/>
        <v>  2.71 </v>
      </c>
      <c r="Q445" s="27"/>
    </row>
    <row r="446" ht="15.75" customHeight="1">
      <c r="A446" s="105" t="s">
        <v>690</v>
      </c>
      <c r="B446" s="19" t="str">
        <f t="array" ref="B446">XLOOKUP(A446,Data!F:F,Data!G:G)</f>
        <v>A1D</v>
      </c>
      <c r="C446" s="19" t="str">
        <f t="shared" si="3"/>
        <v>A043</v>
      </c>
      <c r="D446" s="19" t="str">
        <f t="array" ref="D446">XLOOKUP(A446,Data!F:F,Data!C:C)</f>
        <v>EXT</v>
      </c>
      <c r="E446" s="19" t="str">
        <f t="array" ref="E446">XLOOKUP(A446,Data!F:F,Data!H:H)</f>
        <v>BW</v>
      </c>
      <c r="F446" s="106" t="str">
        <f>SUMIFS(Data!J:J,Data!F:F,A446)</f>
        <v>1</v>
      </c>
      <c r="G446" s="106" t="str">
        <f>SUMIFS(Cast!C:C,CastElements,A446)</f>
        <v>1</v>
      </c>
      <c r="H446" s="106" t="str">
        <f t="shared" si="4"/>
        <v>0</v>
      </c>
      <c r="I446" s="106" t="str">
        <f>SUMIFS(Del!C:C,Del!B:B,A446)</f>
        <v>0</v>
      </c>
      <c r="J446" s="106" t="str">
        <f t="shared" si="5"/>
        <v>1</v>
      </c>
      <c r="K446" s="106" t="str">
        <f t="shared" si="6"/>
        <v>1</v>
      </c>
      <c r="L446" s="106"/>
      <c r="M446" s="106" t="str">
        <f>SUMIFS(Ere!C:C,Ere!B:B,A446)</f>
        <v>0</v>
      </c>
      <c r="N446" s="106" t="str">
        <f t="shared" si="7"/>
        <v>1</v>
      </c>
      <c r="O446" s="107" t="str">
        <f t="array" ref="O446">XLOOKUP(A446,Data!F:F,Data!O:O)</f>
        <v>  1.26 </v>
      </c>
      <c r="P446" s="107" t="str">
        <f t="shared" si="8"/>
        <v>  3.14 </v>
      </c>
      <c r="Q446" s="27"/>
    </row>
    <row r="447" ht="15.75" customHeight="1">
      <c r="A447" s="105" t="s">
        <v>691</v>
      </c>
      <c r="B447" s="19" t="str">
        <f t="array" ref="B447">XLOOKUP(A447,Data!F:F,Data!G:G)</f>
        <v>A1D</v>
      </c>
      <c r="C447" s="19" t="str">
        <f t="shared" si="3"/>
        <v>A043</v>
      </c>
      <c r="D447" s="19" t="str">
        <f t="array" ref="D447">XLOOKUP(A447,Data!F:F,Data!C:C)</f>
        <v>EXT</v>
      </c>
      <c r="E447" s="19" t="str">
        <f t="array" ref="E447">XLOOKUP(A447,Data!F:F,Data!H:H)</f>
        <v>BW</v>
      </c>
      <c r="F447" s="106" t="str">
        <f>SUMIFS(Data!J:J,Data!F:F,A447)</f>
        <v>1</v>
      </c>
      <c r="G447" s="106" t="str">
        <f>SUMIFS(Cast!C:C,CastElements,A447)</f>
        <v>1</v>
      </c>
      <c r="H447" s="106" t="str">
        <f t="shared" si="4"/>
        <v>0</v>
      </c>
      <c r="I447" s="106" t="str">
        <f>SUMIFS(Del!C:C,Del!B:B,A447)</f>
        <v>0</v>
      </c>
      <c r="J447" s="106" t="str">
        <f t="shared" si="5"/>
        <v>1</v>
      </c>
      <c r="K447" s="106" t="str">
        <f t="shared" si="6"/>
        <v>1</v>
      </c>
      <c r="L447" s="106"/>
      <c r="M447" s="106" t="str">
        <f>SUMIFS(Ere!C:C,Ere!B:B,A447)</f>
        <v>0</v>
      </c>
      <c r="N447" s="106" t="str">
        <f t="shared" si="7"/>
        <v>1</v>
      </c>
      <c r="O447" s="107" t="str">
        <f t="array" ref="O447">XLOOKUP(A447,Data!F:F,Data!O:O)</f>
        <v>  1.33 </v>
      </c>
      <c r="P447" s="107" t="str">
        <f t="shared" si="8"/>
        <v>  3.32 </v>
      </c>
      <c r="Q447" s="27"/>
    </row>
    <row r="448" ht="15.75" customHeight="1">
      <c r="A448" s="105" t="s">
        <v>692</v>
      </c>
      <c r="B448" s="19" t="str">
        <f t="array" ref="B448">XLOOKUP(A448,Data!F:F,Data!G:G)</f>
        <v>A1D</v>
      </c>
      <c r="C448" s="19" t="str">
        <f t="shared" si="3"/>
        <v>A043</v>
      </c>
      <c r="D448" s="19" t="str">
        <f t="array" ref="D448">XLOOKUP(A448,Data!F:F,Data!C:C)</f>
        <v/>
      </c>
      <c r="E448" s="19" t="str">
        <f t="array" ref="E448">XLOOKUP(A448,Data!F:F,Data!H:H)</f>
        <v>BW</v>
      </c>
      <c r="F448" s="106" t="str">
        <f>SUMIFS(Data!J:J,Data!F:F,A448)</f>
        <v>1</v>
      </c>
      <c r="G448" s="106" t="str">
        <f>SUMIFS(Cast!C:C,CastElements,A448)</f>
        <v>1</v>
      </c>
      <c r="H448" s="106" t="str">
        <f t="shared" si="4"/>
        <v>0</v>
      </c>
      <c r="I448" s="106" t="str">
        <f>SUMIFS(Del!C:C,Del!B:B,A448)</f>
        <v>0</v>
      </c>
      <c r="J448" s="106" t="str">
        <f t="shared" si="5"/>
        <v>1</v>
      </c>
      <c r="K448" s="106" t="str">
        <f t="shared" si="6"/>
        <v>1</v>
      </c>
      <c r="L448" s="106"/>
      <c r="M448" s="106" t="str">
        <f>SUMIFS(Ere!C:C,Ere!B:B,A448)</f>
        <v>0</v>
      </c>
      <c r="N448" s="106" t="str">
        <f t="shared" si="7"/>
        <v>1</v>
      </c>
      <c r="O448" s="107" t="str">
        <f t="array" ref="O448">XLOOKUP(A448,Data!F:F,Data!O:O)</f>
        <v>  1.22 </v>
      </c>
      <c r="P448" s="107" t="str">
        <f t="shared" si="8"/>
        <v>  3.05 </v>
      </c>
      <c r="Q448" s="27"/>
    </row>
    <row r="449" ht="15.75" customHeight="1">
      <c r="A449" s="105" t="s">
        <v>693</v>
      </c>
      <c r="B449" s="19" t="str">
        <f t="array" ref="B449">XLOOKUP(A449,Data!F:F,Data!G:G)</f>
        <v>A1D</v>
      </c>
      <c r="C449" s="19" t="str">
        <f t="shared" si="3"/>
        <v>A043</v>
      </c>
      <c r="D449" s="19" t="str">
        <f t="array" ref="D449">XLOOKUP(A449,Data!F:F,Data!C:C)</f>
        <v/>
      </c>
      <c r="E449" s="19" t="str">
        <f t="array" ref="E449">XLOOKUP(A449,Data!F:F,Data!H:H)</f>
        <v>BW</v>
      </c>
      <c r="F449" s="106" t="str">
        <f>SUMIFS(Data!J:J,Data!F:F,A449)</f>
        <v>1</v>
      </c>
      <c r="G449" s="106" t="str">
        <f>SUMIFS(Cast!C:C,CastElements,A449)</f>
        <v>1</v>
      </c>
      <c r="H449" s="106" t="str">
        <f t="shared" si="4"/>
        <v>0</v>
      </c>
      <c r="I449" s="106" t="str">
        <f>SUMIFS(Del!C:C,Del!B:B,A449)</f>
        <v>0</v>
      </c>
      <c r="J449" s="106" t="str">
        <f t="shared" si="5"/>
        <v>1</v>
      </c>
      <c r="K449" s="106" t="str">
        <f t="shared" si="6"/>
        <v>1</v>
      </c>
      <c r="L449" s="106"/>
      <c r="M449" s="106" t="str">
        <f>SUMIFS(Ere!C:C,Ere!B:B,A449)</f>
        <v>0</v>
      </c>
      <c r="N449" s="106" t="str">
        <f t="shared" si="7"/>
        <v>1</v>
      </c>
      <c r="O449" s="107" t="str">
        <f t="array" ref="O449">XLOOKUP(A449,Data!F:F,Data!O:O)</f>
        <v>  1.52 </v>
      </c>
      <c r="P449" s="107" t="str">
        <f t="shared" si="8"/>
        <v>  3.79 </v>
      </c>
      <c r="Q449" s="27"/>
    </row>
    <row r="450" ht="15.75" customHeight="1">
      <c r="A450" s="105" t="s">
        <v>694</v>
      </c>
      <c r="B450" s="19" t="str">
        <f t="array" ref="B450">XLOOKUP(A450,Data!F:F,Data!G:G)</f>
        <v>A1D</v>
      </c>
      <c r="C450" s="19" t="str">
        <f t="shared" si="3"/>
        <v>A043</v>
      </c>
      <c r="D450" s="19" t="str">
        <f t="array" ref="D450">XLOOKUP(A450,Data!F:F,Data!C:C)</f>
        <v/>
      </c>
      <c r="E450" s="19" t="str">
        <f t="array" ref="E450">XLOOKUP(A450,Data!F:F,Data!H:H)</f>
        <v>BW</v>
      </c>
      <c r="F450" s="106" t="str">
        <f>SUMIFS(Data!J:J,Data!F:F,A450)</f>
        <v>1</v>
      </c>
      <c r="G450" s="106" t="str">
        <f>SUMIFS(Cast!C:C,CastElements,A450)</f>
        <v>1</v>
      </c>
      <c r="H450" s="106" t="str">
        <f t="shared" si="4"/>
        <v>0</v>
      </c>
      <c r="I450" s="106" t="str">
        <f>SUMIFS(Del!C:C,Del!B:B,A450)</f>
        <v>0</v>
      </c>
      <c r="J450" s="106" t="str">
        <f t="shared" si="5"/>
        <v>1</v>
      </c>
      <c r="K450" s="106" t="str">
        <f t="shared" si="6"/>
        <v>1</v>
      </c>
      <c r="L450" s="106"/>
      <c r="M450" s="106" t="str">
        <f>SUMIFS(Ere!C:C,Ere!B:B,A450)</f>
        <v>0</v>
      </c>
      <c r="N450" s="106" t="str">
        <f t="shared" si="7"/>
        <v>1</v>
      </c>
      <c r="O450" s="107" t="str">
        <f t="array" ref="O450">XLOOKUP(A450,Data!F:F,Data!O:O)</f>
        <v>  1.52 </v>
      </c>
      <c r="P450" s="107" t="str">
        <f t="shared" si="8"/>
        <v>  3.79 </v>
      </c>
      <c r="Q450" s="27"/>
    </row>
    <row r="451" ht="15.75" customHeight="1">
      <c r="A451" s="105" t="s">
        <v>695</v>
      </c>
      <c r="B451" s="19" t="str">
        <f t="array" ref="B451">XLOOKUP(A451,Data!F:F,Data!G:G)</f>
        <v>A1D</v>
      </c>
      <c r="C451" s="19" t="str">
        <f t="shared" si="3"/>
        <v>A043</v>
      </c>
      <c r="D451" s="19" t="str">
        <f t="array" ref="D451">XLOOKUP(A451,Data!F:F,Data!C:C)</f>
        <v/>
      </c>
      <c r="E451" s="19" t="str">
        <f t="array" ref="E451">XLOOKUP(A451,Data!F:F,Data!H:H)</f>
        <v>BW</v>
      </c>
      <c r="F451" s="106" t="str">
        <f>SUMIFS(Data!J:J,Data!F:F,A451)</f>
        <v>1</v>
      </c>
      <c r="G451" s="106" t="str">
        <f>SUMIFS(Cast!C:C,CastElements,A451)</f>
        <v>1</v>
      </c>
      <c r="H451" s="106" t="str">
        <f t="shared" si="4"/>
        <v>0</v>
      </c>
      <c r="I451" s="106" t="str">
        <f>SUMIFS(Del!C:C,Del!B:B,A451)</f>
        <v>0</v>
      </c>
      <c r="J451" s="106" t="str">
        <f t="shared" si="5"/>
        <v>1</v>
      </c>
      <c r="K451" s="106" t="str">
        <f t="shared" si="6"/>
        <v>1</v>
      </c>
      <c r="L451" s="106"/>
      <c r="M451" s="106" t="str">
        <f>SUMIFS(Ere!C:C,Ere!B:B,A451)</f>
        <v>0</v>
      </c>
      <c r="N451" s="106" t="str">
        <f t="shared" si="7"/>
        <v>1</v>
      </c>
      <c r="O451" s="107" t="str">
        <f t="array" ref="O451">XLOOKUP(A451,Data!F:F,Data!O:O)</f>
        <v>  1.52 </v>
      </c>
      <c r="P451" s="107" t="str">
        <f t="shared" si="8"/>
        <v>  3.79 </v>
      </c>
      <c r="Q451" s="27"/>
    </row>
    <row r="452" ht="15.75" customHeight="1">
      <c r="A452" s="105" t="s">
        <v>696</v>
      </c>
      <c r="B452" s="19" t="str">
        <f t="array" ref="B452">XLOOKUP(A452,Data!F:F,Data!G:G)</f>
        <v>A1D</v>
      </c>
      <c r="C452" s="19" t="str">
        <f t="shared" si="3"/>
        <v>A043</v>
      </c>
      <c r="D452" s="19" t="str">
        <f t="array" ref="D452">XLOOKUP(A452,Data!F:F,Data!C:C)</f>
        <v/>
      </c>
      <c r="E452" s="19" t="str">
        <f t="array" ref="E452">XLOOKUP(A452,Data!F:F,Data!H:H)</f>
        <v>BW</v>
      </c>
      <c r="F452" s="106" t="str">
        <f>SUMIFS(Data!J:J,Data!F:F,A452)</f>
        <v>1</v>
      </c>
      <c r="G452" s="106" t="str">
        <f>SUMIFS(Cast!C:C,CastElements,A452)</f>
        <v>1</v>
      </c>
      <c r="H452" s="106" t="str">
        <f t="shared" si="4"/>
        <v>0</v>
      </c>
      <c r="I452" s="106" t="str">
        <f>SUMIFS(Del!C:C,Del!B:B,A452)</f>
        <v>0</v>
      </c>
      <c r="J452" s="106" t="str">
        <f t="shared" si="5"/>
        <v>1</v>
      </c>
      <c r="K452" s="106" t="str">
        <f t="shared" si="6"/>
        <v>1</v>
      </c>
      <c r="L452" s="106"/>
      <c r="M452" s="106" t="str">
        <f>SUMIFS(Ere!C:C,Ere!B:B,A452)</f>
        <v>0</v>
      </c>
      <c r="N452" s="106" t="str">
        <f t="shared" si="7"/>
        <v>1</v>
      </c>
      <c r="O452" s="107" t="str">
        <f t="array" ref="O452">XLOOKUP(A452,Data!F:F,Data!O:O)</f>
        <v>  1.95 </v>
      </c>
      <c r="P452" s="107" t="str">
        <f t="shared" si="8"/>
        <v>  4.86 </v>
      </c>
      <c r="Q452" s="27"/>
    </row>
    <row r="453" ht="15.75" customHeight="1">
      <c r="A453" s="105" t="s">
        <v>697</v>
      </c>
      <c r="B453" s="19" t="str">
        <f t="array" ref="B453">XLOOKUP(A453,Data!F:F,Data!G:G)</f>
        <v>A1D</v>
      </c>
      <c r="C453" s="19" t="str">
        <f t="shared" si="3"/>
        <v>A043</v>
      </c>
      <c r="D453" s="19" t="str">
        <f t="array" ref="D453">XLOOKUP(A453,Data!F:F,Data!C:C)</f>
        <v/>
      </c>
      <c r="E453" s="19" t="str">
        <f t="array" ref="E453">XLOOKUP(A453,Data!F:F,Data!H:H)</f>
        <v>BW</v>
      </c>
      <c r="F453" s="106" t="str">
        <f>SUMIFS(Data!J:J,Data!F:F,A453)</f>
        <v>1</v>
      </c>
      <c r="G453" s="106" t="str">
        <f>SUMIFS(Cast!C:C,CastElements,A453)</f>
        <v>1</v>
      </c>
      <c r="H453" s="106" t="str">
        <f t="shared" si="4"/>
        <v>0</v>
      </c>
      <c r="I453" s="106" t="str">
        <f>SUMIFS(Del!C:C,Del!B:B,A453)</f>
        <v>0</v>
      </c>
      <c r="J453" s="106" t="str">
        <f t="shared" si="5"/>
        <v>1</v>
      </c>
      <c r="K453" s="106" t="str">
        <f t="shared" si="6"/>
        <v>1</v>
      </c>
      <c r="L453" s="106"/>
      <c r="M453" s="106" t="str">
        <f>SUMIFS(Ere!C:C,Ere!B:B,A453)</f>
        <v>0</v>
      </c>
      <c r="N453" s="106" t="str">
        <f t="shared" si="7"/>
        <v>1</v>
      </c>
      <c r="O453" s="107" t="str">
        <f t="array" ref="O453">XLOOKUP(A453,Data!F:F,Data!O:O)</f>
        <v>  2.41 </v>
      </c>
      <c r="P453" s="107" t="str">
        <f t="shared" si="8"/>
        <v>  6.02 </v>
      </c>
      <c r="Q453" s="27"/>
    </row>
    <row r="454" ht="15.75" customHeight="1">
      <c r="A454" s="105" t="s">
        <v>698</v>
      </c>
      <c r="B454" s="19" t="str">
        <f t="array" ref="B454">XLOOKUP(A454,Data!F:F,Data!G:G)</f>
        <v>A1D</v>
      </c>
      <c r="C454" s="19" t="str">
        <f t="shared" si="3"/>
        <v>A044</v>
      </c>
      <c r="D454" s="19" t="str">
        <f t="array" ref="D454">XLOOKUP(A454,Data!F:F,Data!C:C)</f>
        <v/>
      </c>
      <c r="E454" s="19" t="str">
        <f t="array" ref="E454">XLOOKUP(A454,Data!F:F,Data!H:H)</f>
        <v>BW</v>
      </c>
      <c r="F454" s="106" t="str">
        <f>SUMIFS(Data!J:J,Data!F:F,A454)</f>
        <v>1</v>
      </c>
      <c r="G454" s="106" t="str">
        <f>SUMIFS(Cast!C:C,CastElements,A454)</f>
        <v>1</v>
      </c>
      <c r="H454" s="106" t="str">
        <f t="shared" si="4"/>
        <v>0</v>
      </c>
      <c r="I454" s="106" t="str">
        <f>SUMIFS(Del!C:C,Del!B:B,A454)</f>
        <v>0</v>
      </c>
      <c r="J454" s="106" t="str">
        <f t="shared" si="5"/>
        <v>1</v>
      </c>
      <c r="K454" s="106" t="str">
        <f t="shared" si="6"/>
        <v>1</v>
      </c>
      <c r="L454" s="106"/>
      <c r="M454" s="106" t="str">
        <f>SUMIFS(Ere!C:C,Ere!B:B,A454)</f>
        <v>0</v>
      </c>
      <c r="N454" s="106" t="str">
        <f t="shared" si="7"/>
        <v>1</v>
      </c>
      <c r="O454" s="107" t="str">
        <f t="array" ref="O454">XLOOKUP(A454,Data!F:F,Data!O:O)</f>
        <v>  0.93 </v>
      </c>
      <c r="P454" s="107" t="str">
        <f t="shared" si="8"/>
        <v>  2.32 </v>
      </c>
      <c r="Q454" s="27"/>
    </row>
    <row r="455" ht="15.75" customHeight="1">
      <c r="A455" s="105" t="s">
        <v>699</v>
      </c>
      <c r="B455" s="19" t="str">
        <f t="array" ref="B455">XLOOKUP(A455,Data!F:F,Data!G:G)</f>
        <v>A1D</v>
      </c>
      <c r="C455" s="19" t="str">
        <f t="shared" si="3"/>
        <v>A044</v>
      </c>
      <c r="D455" s="19" t="str">
        <f t="array" ref="D455">XLOOKUP(A455,Data!F:F,Data!C:C)</f>
        <v/>
      </c>
      <c r="E455" s="19" t="str">
        <f t="array" ref="E455">XLOOKUP(A455,Data!F:F,Data!H:H)</f>
        <v>BW</v>
      </c>
      <c r="F455" s="106" t="str">
        <f>SUMIFS(Data!J:J,Data!F:F,A455)</f>
        <v>1</v>
      </c>
      <c r="G455" s="106" t="str">
        <f>SUMIFS(Cast!C:C,CastElements,A455)</f>
        <v>1</v>
      </c>
      <c r="H455" s="106" t="str">
        <f t="shared" si="4"/>
        <v>0</v>
      </c>
      <c r="I455" s="106" t="str">
        <f>SUMIFS(Del!C:C,Del!B:B,A455)</f>
        <v>0</v>
      </c>
      <c r="J455" s="106" t="str">
        <f t="shared" si="5"/>
        <v>1</v>
      </c>
      <c r="K455" s="106" t="str">
        <f t="shared" si="6"/>
        <v>1</v>
      </c>
      <c r="L455" s="106"/>
      <c r="M455" s="106" t="str">
        <f>SUMIFS(Ere!C:C,Ere!B:B,A455)</f>
        <v>0</v>
      </c>
      <c r="N455" s="106" t="str">
        <f t="shared" si="7"/>
        <v>1</v>
      </c>
      <c r="O455" s="107" t="str">
        <f t="array" ref="O455">XLOOKUP(A455,Data!F:F,Data!O:O)</f>
        <v>  0.36 </v>
      </c>
      <c r="P455" s="107" t="str">
        <f t="shared" si="8"/>
        <v>  0.89 </v>
      </c>
      <c r="Q455" s="27"/>
    </row>
    <row r="456" ht="15.75" customHeight="1">
      <c r="A456" s="105" t="s">
        <v>700</v>
      </c>
      <c r="B456" s="19" t="str">
        <f t="array" ref="B456">XLOOKUP(A456,Data!F:F,Data!G:G)</f>
        <v>A1D</v>
      </c>
      <c r="C456" s="19" t="str">
        <f t="shared" si="3"/>
        <v>A044</v>
      </c>
      <c r="D456" s="19" t="str">
        <f t="array" ref="D456">XLOOKUP(A456,Data!F:F,Data!C:C)</f>
        <v/>
      </c>
      <c r="E456" s="19" t="str">
        <f t="array" ref="E456">XLOOKUP(A456,Data!F:F,Data!H:H)</f>
        <v>BW</v>
      </c>
      <c r="F456" s="106" t="str">
        <f>SUMIFS(Data!J:J,Data!F:F,A456)</f>
        <v>1</v>
      </c>
      <c r="G456" s="106" t="str">
        <f>SUMIFS(Cast!C:C,CastElements,A456)</f>
        <v>1</v>
      </c>
      <c r="H456" s="106" t="str">
        <f t="shared" si="4"/>
        <v>0</v>
      </c>
      <c r="I456" s="106" t="str">
        <f>SUMIFS(Del!C:C,Del!B:B,A456)</f>
        <v>0</v>
      </c>
      <c r="J456" s="106" t="str">
        <f t="shared" si="5"/>
        <v>1</v>
      </c>
      <c r="K456" s="106" t="str">
        <f t="shared" si="6"/>
        <v>1</v>
      </c>
      <c r="L456" s="106"/>
      <c r="M456" s="106" t="str">
        <f>SUMIFS(Ere!C:C,Ere!B:B,A456)</f>
        <v>0</v>
      </c>
      <c r="N456" s="106" t="str">
        <f t="shared" si="7"/>
        <v>1</v>
      </c>
      <c r="O456" s="107" t="str">
        <f t="array" ref="O456">XLOOKUP(A456,Data!F:F,Data!O:O)</f>
        <v>  0.37 </v>
      </c>
      <c r="P456" s="107" t="str">
        <f t="shared" si="8"/>
        <v>  0.92 </v>
      </c>
      <c r="Q456" s="27"/>
    </row>
    <row r="457" ht="15.75" customHeight="1">
      <c r="A457" s="105" t="s">
        <v>701</v>
      </c>
      <c r="B457" s="19" t="str">
        <f t="array" ref="B457">XLOOKUP(A457,Data!F:F,Data!G:G)</f>
        <v>A1D</v>
      </c>
      <c r="C457" s="19" t="str">
        <f t="shared" si="3"/>
        <v>A044</v>
      </c>
      <c r="D457" s="19" t="str">
        <f t="array" ref="D457">XLOOKUP(A457,Data!F:F,Data!C:C)</f>
        <v/>
      </c>
      <c r="E457" s="19" t="str">
        <f t="array" ref="E457">XLOOKUP(A457,Data!F:F,Data!H:H)</f>
        <v>CF</v>
      </c>
      <c r="F457" s="106" t="str">
        <f>SUMIFS(Data!J:J,Data!F:F,A457)</f>
        <v>1</v>
      </c>
      <c r="G457" s="106" t="str">
        <f>SUMIFS(Cast!C:C,CastElements,A457)</f>
        <v>1</v>
      </c>
      <c r="H457" s="106" t="str">
        <f t="shared" si="4"/>
        <v>0</v>
      </c>
      <c r="I457" s="106" t="str">
        <f>SUMIFS(Del!C:C,Del!B:B,A457)</f>
        <v>0</v>
      </c>
      <c r="J457" s="106" t="str">
        <f t="shared" si="5"/>
        <v>1</v>
      </c>
      <c r="K457" s="106" t="str">
        <f t="shared" si="6"/>
        <v>1</v>
      </c>
      <c r="L457" s="106"/>
      <c r="M457" s="106" t="str">
        <f>SUMIFS(Ere!C:C,Ere!B:B,A457)</f>
        <v>0</v>
      </c>
      <c r="N457" s="106" t="str">
        <f t="shared" si="7"/>
        <v>1</v>
      </c>
      <c r="O457" s="107" t="str">
        <f t="array" ref="O457">XLOOKUP(A457,Data!F:F,Data!O:O)</f>
        <v>  0.48 </v>
      </c>
      <c r="P457" s="107" t="str">
        <f t="shared" si="8"/>
        <v>  1.21 </v>
      </c>
      <c r="Q457" s="27"/>
    </row>
    <row r="458" ht="15.75" customHeight="1">
      <c r="A458" s="105" t="s">
        <v>702</v>
      </c>
      <c r="B458" s="19" t="str">
        <f t="array" ref="B458">XLOOKUP(A458,Data!F:F,Data!G:G)</f>
        <v>A1D</v>
      </c>
      <c r="C458" s="19" t="str">
        <f t="shared" si="3"/>
        <v>A044</v>
      </c>
      <c r="D458" s="19" t="str">
        <f t="array" ref="D458">XLOOKUP(A458,Data!F:F,Data!C:C)</f>
        <v>EXT</v>
      </c>
      <c r="E458" s="19" t="str">
        <f t="array" ref="E458">XLOOKUP(A458,Data!F:F,Data!H:H)</f>
        <v>BW</v>
      </c>
      <c r="F458" s="106" t="str">
        <f>SUMIFS(Data!J:J,Data!F:F,A458)</f>
        <v>1</v>
      </c>
      <c r="G458" s="106" t="str">
        <f>SUMIFS(Cast!C:C,CastElements,A458)</f>
        <v>1</v>
      </c>
      <c r="H458" s="106" t="str">
        <f t="shared" si="4"/>
        <v>0</v>
      </c>
      <c r="I458" s="106" t="str">
        <f>SUMIFS(Del!C:C,Del!B:B,A458)</f>
        <v>0</v>
      </c>
      <c r="J458" s="106" t="str">
        <f t="shared" si="5"/>
        <v>1</v>
      </c>
      <c r="K458" s="106" t="str">
        <f t="shared" si="6"/>
        <v>1</v>
      </c>
      <c r="L458" s="106"/>
      <c r="M458" s="106" t="str">
        <f>SUMIFS(Ere!C:C,Ere!B:B,A458)</f>
        <v>0</v>
      </c>
      <c r="N458" s="106" t="str">
        <f t="shared" si="7"/>
        <v>1</v>
      </c>
      <c r="O458" s="107" t="str">
        <f t="array" ref="O458">XLOOKUP(A458,Data!F:F,Data!O:O)</f>
        <v>  0.48 </v>
      </c>
      <c r="P458" s="107" t="str">
        <f t="shared" si="8"/>
        <v>  1.21 </v>
      </c>
      <c r="Q458" s="27"/>
    </row>
    <row r="459" ht="15.75" customHeight="1">
      <c r="A459" s="105" t="s">
        <v>703</v>
      </c>
      <c r="B459" s="19" t="str">
        <f t="array" ref="B459">XLOOKUP(A459,Data!F:F,Data!G:G)</f>
        <v>A1D</v>
      </c>
      <c r="C459" s="19" t="str">
        <f t="shared" si="3"/>
        <v>A044</v>
      </c>
      <c r="D459" s="19" t="str">
        <f t="array" ref="D459">XLOOKUP(A459,Data!F:F,Data!C:C)</f>
        <v>EXT</v>
      </c>
      <c r="E459" s="19" t="str">
        <f t="array" ref="E459">XLOOKUP(A459,Data!F:F,Data!H:H)</f>
        <v>BW</v>
      </c>
      <c r="F459" s="106" t="str">
        <f>SUMIFS(Data!J:J,Data!F:F,A459)</f>
        <v>1</v>
      </c>
      <c r="G459" s="106" t="str">
        <f>SUMIFS(Cast!C:C,CastElements,A459)</f>
        <v>1</v>
      </c>
      <c r="H459" s="106" t="str">
        <f t="shared" si="4"/>
        <v>0</v>
      </c>
      <c r="I459" s="106" t="str">
        <f>SUMIFS(Del!C:C,Del!B:B,A459)</f>
        <v>0</v>
      </c>
      <c r="J459" s="106" t="str">
        <f t="shared" si="5"/>
        <v>1</v>
      </c>
      <c r="K459" s="106" t="str">
        <f t="shared" si="6"/>
        <v>1</v>
      </c>
      <c r="L459" s="106"/>
      <c r="M459" s="106" t="str">
        <f>SUMIFS(Ere!C:C,Ere!B:B,A459)</f>
        <v>0</v>
      </c>
      <c r="N459" s="106" t="str">
        <f t="shared" si="7"/>
        <v>1</v>
      </c>
      <c r="O459" s="107" t="str">
        <f t="array" ref="O459">XLOOKUP(A459,Data!F:F,Data!O:O)</f>
        <v>  0.48 </v>
      </c>
      <c r="P459" s="107" t="str">
        <f t="shared" si="8"/>
        <v>  1.21 </v>
      </c>
      <c r="Q459" s="27"/>
    </row>
    <row r="460" ht="15.75" customHeight="1">
      <c r="A460" s="105" t="s">
        <v>704</v>
      </c>
      <c r="B460" s="19" t="str">
        <f t="array" ref="B460">XLOOKUP(A460,Data!F:F,Data!G:G)</f>
        <v>A1D</v>
      </c>
      <c r="C460" s="19" t="str">
        <f t="shared" si="3"/>
        <v>A044</v>
      </c>
      <c r="D460" s="19" t="str">
        <f t="array" ref="D460">XLOOKUP(A460,Data!F:F,Data!C:C)</f>
        <v>EXT</v>
      </c>
      <c r="E460" s="19" t="str">
        <f t="array" ref="E460">XLOOKUP(A460,Data!F:F,Data!H:H)</f>
        <v>BW</v>
      </c>
      <c r="F460" s="106" t="str">
        <f>SUMIFS(Data!J:J,Data!F:F,A460)</f>
        <v>1</v>
      </c>
      <c r="G460" s="106" t="str">
        <f>SUMIFS(Cast!C:C,CastElements,A460)</f>
        <v>1</v>
      </c>
      <c r="H460" s="106" t="str">
        <f t="shared" si="4"/>
        <v>0</v>
      </c>
      <c r="I460" s="106" t="str">
        <f>SUMIFS(Del!C:C,Del!B:B,A460)</f>
        <v>0</v>
      </c>
      <c r="J460" s="106" t="str">
        <f t="shared" si="5"/>
        <v>1</v>
      </c>
      <c r="K460" s="106" t="str">
        <f t="shared" si="6"/>
        <v>1</v>
      </c>
      <c r="L460" s="106"/>
      <c r="M460" s="106" t="str">
        <f>SUMIFS(Ere!C:C,Ere!B:B,A460)</f>
        <v>0</v>
      </c>
      <c r="N460" s="106" t="str">
        <f t="shared" si="7"/>
        <v>1</v>
      </c>
      <c r="O460" s="107" t="str">
        <f t="array" ref="O460">XLOOKUP(A460,Data!F:F,Data!O:O)</f>
        <v>  0.48 </v>
      </c>
      <c r="P460" s="107" t="str">
        <f t="shared" si="8"/>
        <v>  1.21 </v>
      </c>
      <c r="Q460" s="27"/>
    </row>
    <row r="461" ht="15.75" customHeight="1">
      <c r="A461" s="105" t="s">
        <v>705</v>
      </c>
      <c r="B461" s="19" t="str">
        <f t="array" ref="B461">XLOOKUP(A461,Data!F:F,Data!G:G)</f>
        <v>A1D</v>
      </c>
      <c r="C461" s="19" t="str">
        <f t="shared" si="3"/>
        <v>A044</v>
      </c>
      <c r="D461" s="19" t="str">
        <f t="array" ref="D461">XLOOKUP(A461,Data!F:F,Data!C:C)</f>
        <v>EXT</v>
      </c>
      <c r="E461" s="19" t="str">
        <f t="array" ref="E461">XLOOKUP(A461,Data!F:F,Data!H:H)</f>
        <v>BW</v>
      </c>
      <c r="F461" s="106" t="str">
        <f>SUMIFS(Data!J:J,Data!F:F,A461)</f>
        <v>1</v>
      </c>
      <c r="G461" s="106" t="str">
        <f>SUMIFS(Cast!C:C,CastElements,A461)</f>
        <v>1</v>
      </c>
      <c r="H461" s="106" t="str">
        <f t="shared" si="4"/>
        <v>0</v>
      </c>
      <c r="I461" s="106" t="str">
        <f>SUMIFS(Del!C:C,Del!B:B,A461)</f>
        <v>0</v>
      </c>
      <c r="J461" s="106" t="str">
        <f t="shared" si="5"/>
        <v>1</v>
      </c>
      <c r="K461" s="106" t="str">
        <f t="shared" si="6"/>
        <v>1</v>
      </c>
      <c r="L461" s="106"/>
      <c r="M461" s="106" t="str">
        <f>SUMIFS(Ere!C:C,Ere!B:B,A461)</f>
        <v>0</v>
      </c>
      <c r="N461" s="106" t="str">
        <f t="shared" si="7"/>
        <v>1</v>
      </c>
      <c r="O461" s="107" t="str">
        <f t="array" ref="O461">XLOOKUP(A461,Data!F:F,Data!O:O)</f>
        <v>  0.48 </v>
      </c>
      <c r="P461" s="107" t="str">
        <f t="shared" si="8"/>
        <v>  1.21 </v>
      </c>
      <c r="Q461" s="27"/>
    </row>
    <row r="462" ht="15.75" customHeight="1">
      <c r="A462" s="105" t="s">
        <v>706</v>
      </c>
      <c r="B462" s="19" t="str">
        <f t="array" ref="B462">XLOOKUP(A462,Data!F:F,Data!G:G)</f>
        <v>A1D</v>
      </c>
      <c r="C462" s="19" t="str">
        <f t="shared" si="3"/>
        <v>A044</v>
      </c>
      <c r="D462" s="19" t="str">
        <f t="array" ref="D462">XLOOKUP(A462,Data!F:F,Data!C:C)</f>
        <v>EXT</v>
      </c>
      <c r="E462" s="19" t="str">
        <f t="array" ref="E462">XLOOKUP(A462,Data!F:F,Data!H:H)</f>
        <v>BW</v>
      </c>
      <c r="F462" s="106" t="str">
        <f>SUMIFS(Data!J:J,Data!F:F,A462)</f>
        <v>1</v>
      </c>
      <c r="G462" s="106" t="str">
        <f>SUMIFS(Cast!C:C,CastElements,A462)</f>
        <v>1</v>
      </c>
      <c r="H462" s="106" t="str">
        <f t="shared" si="4"/>
        <v>0</v>
      </c>
      <c r="I462" s="106" t="str">
        <f>SUMIFS(Del!C:C,Del!B:B,A462)</f>
        <v>0</v>
      </c>
      <c r="J462" s="106" t="str">
        <f t="shared" si="5"/>
        <v>1</v>
      </c>
      <c r="K462" s="106" t="str">
        <f t="shared" si="6"/>
        <v>1</v>
      </c>
      <c r="L462" s="106"/>
      <c r="M462" s="106" t="str">
        <f>SUMIFS(Ere!C:C,Ere!B:B,A462)</f>
        <v>0</v>
      </c>
      <c r="N462" s="106" t="str">
        <f t="shared" si="7"/>
        <v>1</v>
      </c>
      <c r="O462" s="107" t="str">
        <f t="array" ref="O462">XLOOKUP(A462,Data!F:F,Data!O:O)</f>
        <v>  1.00 </v>
      </c>
      <c r="P462" s="107" t="str">
        <f t="shared" si="8"/>
        <v>  2.50 </v>
      </c>
      <c r="Q462" s="27"/>
    </row>
    <row r="463" ht="15.75" customHeight="1">
      <c r="A463" s="105" t="s">
        <v>707</v>
      </c>
      <c r="B463" s="19" t="str">
        <f t="array" ref="B463">XLOOKUP(A463,Data!F:F,Data!G:G)</f>
        <v>A1D</v>
      </c>
      <c r="C463" s="19" t="str">
        <f t="shared" si="3"/>
        <v>A044</v>
      </c>
      <c r="D463" s="19" t="str">
        <f t="array" ref="D463">XLOOKUP(A463,Data!F:F,Data!C:C)</f>
        <v>EXT</v>
      </c>
      <c r="E463" s="19" t="str">
        <f t="array" ref="E463">XLOOKUP(A463,Data!F:F,Data!H:H)</f>
        <v>BW</v>
      </c>
      <c r="F463" s="106" t="str">
        <f>SUMIFS(Data!J:J,Data!F:F,A463)</f>
        <v>1</v>
      </c>
      <c r="G463" s="106" t="str">
        <f>SUMIFS(Cast!C:C,CastElements,A463)</f>
        <v>1</v>
      </c>
      <c r="H463" s="106" t="str">
        <f t="shared" si="4"/>
        <v>0</v>
      </c>
      <c r="I463" s="106" t="str">
        <f>SUMIFS(Del!C:C,Del!B:B,A463)</f>
        <v>0</v>
      </c>
      <c r="J463" s="106" t="str">
        <f t="shared" si="5"/>
        <v>1</v>
      </c>
      <c r="K463" s="106" t="str">
        <f t="shared" si="6"/>
        <v>1</v>
      </c>
      <c r="L463" s="106"/>
      <c r="M463" s="106" t="str">
        <f>SUMIFS(Ere!C:C,Ere!B:B,A463)</f>
        <v>0</v>
      </c>
      <c r="N463" s="106" t="str">
        <f t="shared" si="7"/>
        <v>1</v>
      </c>
      <c r="O463" s="107" t="str">
        <f t="array" ref="O463">XLOOKUP(A463,Data!F:F,Data!O:O)</f>
        <v>  1.00 </v>
      </c>
      <c r="P463" s="107" t="str">
        <f t="shared" si="8"/>
        <v>  2.50 </v>
      </c>
      <c r="Q463" s="27"/>
    </row>
    <row r="464" ht="15.75" customHeight="1">
      <c r="A464" s="105" t="s">
        <v>708</v>
      </c>
      <c r="B464" s="19" t="str">
        <f t="array" ref="B464">XLOOKUP(A464,Data!F:F,Data!G:G)</f>
        <v>A1D</v>
      </c>
      <c r="C464" s="19" t="str">
        <f t="shared" si="3"/>
        <v>A044</v>
      </c>
      <c r="D464" s="19" t="str">
        <f t="array" ref="D464">XLOOKUP(A464,Data!F:F,Data!C:C)</f>
        <v>EXT</v>
      </c>
      <c r="E464" s="19" t="str">
        <f t="array" ref="E464">XLOOKUP(A464,Data!F:F,Data!H:H)</f>
        <v>BW</v>
      </c>
      <c r="F464" s="106" t="str">
        <f>SUMIFS(Data!J:J,Data!F:F,A464)</f>
        <v>1</v>
      </c>
      <c r="G464" s="106" t="str">
        <f>SUMIFS(Cast!C:C,CastElements,A464)</f>
        <v>1</v>
      </c>
      <c r="H464" s="106" t="str">
        <f t="shared" si="4"/>
        <v>0</v>
      </c>
      <c r="I464" s="106" t="str">
        <f>SUMIFS(Del!C:C,Del!B:B,A464)</f>
        <v>0</v>
      </c>
      <c r="J464" s="106" t="str">
        <f t="shared" si="5"/>
        <v>1</v>
      </c>
      <c r="K464" s="106" t="str">
        <f t="shared" si="6"/>
        <v>1</v>
      </c>
      <c r="L464" s="106"/>
      <c r="M464" s="106" t="str">
        <f>SUMIFS(Ere!C:C,Ere!B:B,A464)</f>
        <v>0</v>
      </c>
      <c r="N464" s="106" t="str">
        <f t="shared" si="7"/>
        <v>1</v>
      </c>
      <c r="O464" s="107" t="str">
        <f t="array" ref="O464">XLOOKUP(A464,Data!F:F,Data!O:O)</f>
        <v>  1.00 </v>
      </c>
      <c r="P464" s="107" t="str">
        <f t="shared" si="8"/>
        <v>  2.50 </v>
      </c>
      <c r="Q464" s="27"/>
    </row>
    <row r="465" ht="15.75" customHeight="1">
      <c r="A465" s="105" t="s">
        <v>709</v>
      </c>
      <c r="B465" s="19" t="str">
        <f t="array" ref="B465">XLOOKUP(A465,Data!F:F,Data!G:G)</f>
        <v>A1D</v>
      </c>
      <c r="C465" s="19" t="str">
        <f t="shared" si="3"/>
        <v>A044</v>
      </c>
      <c r="D465" s="19" t="str">
        <f t="array" ref="D465">XLOOKUP(A465,Data!F:F,Data!C:C)</f>
        <v>EXT</v>
      </c>
      <c r="E465" s="19" t="str">
        <f t="array" ref="E465">XLOOKUP(A465,Data!F:F,Data!H:H)</f>
        <v>BW</v>
      </c>
      <c r="F465" s="106" t="str">
        <f>SUMIFS(Data!J:J,Data!F:F,A465)</f>
        <v>1</v>
      </c>
      <c r="G465" s="106" t="str">
        <f>SUMIFS(Cast!C:C,CastElements,A465)</f>
        <v>1</v>
      </c>
      <c r="H465" s="106" t="str">
        <f t="shared" si="4"/>
        <v>0</v>
      </c>
      <c r="I465" s="106" t="str">
        <f>SUMIFS(Del!C:C,Del!B:B,A465)</f>
        <v>0</v>
      </c>
      <c r="J465" s="106" t="str">
        <f t="shared" si="5"/>
        <v>1</v>
      </c>
      <c r="K465" s="106" t="str">
        <f t="shared" si="6"/>
        <v>1</v>
      </c>
      <c r="L465" s="106"/>
      <c r="M465" s="106" t="str">
        <f>SUMIFS(Ere!C:C,Ere!B:B,A465)</f>
        <v>0</v>
      </c>
      <c r="N465" s="106" t="str">
        <f t="shared" si="7"/>
        <v>1</v>
      </c>
      <c r="O465" s="107" t="str">
        <f t="array" ref="O465">XLOOKUP(A465,Data!F:F,Data!O:O)</f>
        <v>  0.92 </v>
      </c>
      <c r="P465" s="107" t="str">
        <f t="shared" si="8"/>
        <v>  2.29 </v>
      </c>
      <c r="Q465" s="27"/>
    </row>
    <row r="466" ht="15.75" customHeight="1">
      <c r="A466" s="105" t="s">
        <v>710</v>
      </c>
      <c r="B466" s="19" t="str">
        <f t="array" ref="B466">XLOOKUP(A466,Data!F:F,Data!G:G)</f>
        <v>A1D</v>
      </c>
      <c r="C466" s="19" t="str">
        <f t="shared" si="3"/>
        <v>A044</v>
      </c>
      <c r="D466" s="19" t="str">
        <f t="array" ref="D466">XLOOKUP(A466,Data!F:F,Data!C:C)</f>
        <v/>
      </c>
      <c r="E466" s="19" t="str">
        <f t="array" ref="E466">XLOOKUP(A466,Data!F:F,Data!H:H)</f>
        <v>BW</v>
      </c>
      <c r="F466" s="106" t="str">
        <f>SUMIFS(Data!J:J,Data!F:F,A466)</f>
        <v>1</v>
      </c>
      <c r="G466" s="106" t="str">
        <f>SUMIFS(Cast!C:C,CastElements,A466)</f>
        <v>1</v>
      </c>
      <c r="H466" s="106" t="str">
        <f t="shared" si="4"/>
        <v>0</v>
      </c>
      <c r="I466" s="106" t="str">
        <f>SUMIFS(Del!C:C,Del!B:B,A466)</f>
        <v>0</v>
      </c>
      <c r="J466" s="106" t="str">
        <f t="shared" si="5"/>
        <v>1</v>
      </c>
      <c r="K466" s="106" t="str">
        <f t="shared" si="6"/>
        <v>1</v>
      </c>
      <c r="L466" s="106"/>
      <c r="M466" s="106" t="str">
        <f>SUMIFS(Ere!C:C,Ere!B:B,A466)</f>
        <v>0</v>
      </c>
      <c r="N466" s="106" t="str">
        <f t="shared" si="7"/>
        <v>1</v>
      </c>
      <c r="O466" s="107" t="str">
        <f t="array" ref="O466">XLOOKUP(A466,Data!F:F,Data!O:O)</f>
        <v>  1.23 </v>
      </c>
      <c r="P466" s="107" t="str">
        <f t="shared" si="8"/>
        <v>  3.07 </v>
      </c>
      <c r="Q466" s="27"/>
    </row>
    <row r="467" ht="15.75" customHeight="1">
      <c r="A467" s="105" t="s">
        <v>711</v>
      </c>
      <c r="B467" s="19" t="str">
        <f t="array" ref="B467">XLOOKUP(A467,Data!F:F,Data!G:G)</f>
        <v>A1D</v>
      </c>
      <c r="C467" s="19" t="str">
        <f t="shared" si="3"/>
        <v>A044</v>
      </c>
      <c r="D467" s="19" t="str">
        <f t="array" ref="D467">XLOOKUP(A467,Data!F:F,Data!C:C)</f>
        <v/>
      </c>
      <c r="E467" s="19" t="str">
        <f t="array" ref="E467">XLOOKUP(A467,Data!F:F,Data!H:H)</f>
        <v>BW</v>
      </c>
      <c r="F467" s="106" t="str">
        <f>SUMIFS(Data!J:J,Data!F:F,A467)</f>
        <v>1</v>
      </c>
      <c r="G467" s="106" t="str">
        <f>SUMIFS(Cast!C:C,CastElements,A467)</f>
        <v>1</v>
      </c>
      <c r="H467" s="106" t="str">
        <f t="shared" si="4"/>
        <v>0</v>
      </c>
      <c r="I467" s="106" t="str">
        <f>SUMIFS(Del!C:C,Del!B:B,A467)</f>
        <v>0</v>
      </c>
      <c r="J467" s="106" t="str">
        <f t="shared" si="5"/>
        <v>1</v>
      </c>
      <c r="K467" s="106" t="str">
        <f t="shared" si="6"/>
        <v>1</v>
      </c>
      <c r="L467" s="106"/>
      <c r="M467" s="106" t="str">
        <f>SUMIFS(Ere!C:C,Ere!B:B,A467)</f>
        <v>0</v>
      </c>
      <c r="N467" s="106" t="str">
        <f t="shared" si="7"/>
        <v>1</v>
      </c>
      <c r="O467" s="107" t="str">
        <f t="array" ref="O467">XLOOKUP(A467,Data!F:F,Data!O:O)</f>
        <v>  1.95 </v>
      </c>
      <c r="P467" s="107" t="str">
        <f t="shared" si="8"/>
        <v>  4.86 </v>
      </c>
      <c r="Q467" s="27"/>
    </row>
    <row r="468" ht="15.75" customHeight="1">
      <c r="A468" s="105" t="s">
        <v>712</v>
      </c>
      <c r="B468" s="19" t="str">
        <f t="array" ref="B468">XLOOKUP(A468,Data!F:F,Data!G:G)</f>
        <v>A1D</v>
      </c>
      <c r="C468" s="19" t="str">
        <f t="shared" si="3"/>
        <v>A044</v>
      </c>
      <c r="D468" s="19" t="str">
        <f t="array" ref="D468">XLOOKUP(A468,Data!F:F,Data!C:C)</f>
        <v/>
      </c>
      <c r="E468" s="19" t="str">
        <f t="array" ref="E468">XLOOKUP(A468,Data!F:F,Data!H:H)</f>
        <v>BW</v>
      </c>
      <c r="F468" s="106" t="str">
        <f>SUMIFS(Data!J:J,Data!F:F,A468)</f>
        <v>1</v>
      </c>
      <c r="G468" s="106" t="str">
        <f>SUMIFS(Cast!C:C,CastElements,A468)</f>
        <v>1</v>
      </c>
      <c r="H468" s="106" t="str">
        <f t="shared" si="4"/>
        <v>0</v>
      </c>
      <c r="I468" s="106" t="str">
        <f>SUMIFS(Del!C:C,Del!B:B,A468)</f>
        <v>0</v>
      </c>
      <c r="J468" s="106" t="str">
        <f t="shared" si="5"/>
        <v>1</v>
      </c>
      <c r="K468" s="106" t="str">
        <f t="shared" si="6"/>
        <v>1</v>
      </c>
      <c r="L468" s="106"/>
      <c r="M468" s="106" t="str">
        <f>SUMIFS(Ere!C:C,Ere!B:B,A468)</f>
        <v>0</v>
      </c>
      <c r="N468" s="106" t="str">
        <f t="shared" si="7"/>
        <v>1</v>
      </c>
      <c r="O468" s="107" t="str">
        <f t="array" ref="O468">XLOOKUP(A468,Data!F:F,Data!O:O)</f>
        <v>  1.52 </v>
      </c>
      <c r="P468" s="107" t="str">
        <f t="shared" si="8"/>
        <v>  3.79 </v>
      </c>
      <c r="Q468" s="27"/>
    </row>
    <row r="469" ht="15.75" customHeight="1">
      <c r="A469" s="105" t="s">
        <v>713</v>
      </c>
      <c r="B469" s="19" t="str">
        <f t="array" ref="B469">XLOOKUP(A469,Data!F:F,Data!G:G)</f>
        <v>A1D</v>
      </c>
      <c r="C469" s="19" t="str">
        <f t="shared" si="3"/>
        <v>A044</v>
      </c>
      <c r="D469" s="19" t="str">
        <f t="array" ref="D469">XLOOKUP(A469,Data!F:F,Data!C:C)</f>
        <v/>
      </c>
      <c r="E469" s="19" t="str">
        <f t="array" ref="E469">XLOOKUP(A469,Data!F:F,Data!H:H)</f>
        <v>BW</v>
      </c>
      <c r="F469" s="106" t="str">
        <f>SUMIFS(Data!J:J,Data!F:F,A469)</f>
        <v>1</v>
      </c>
      <c r="G469" s="106" t="str">
        <f>SUMIFS(Cast!C:C,CastElements,A469)</f>
        <v>1</v>
      </c>
      <c r="H469" s="106" t="str">
        <f t="shared" si="4"/>
        <v>0</v>
      </c>
      <c r="I469" s="106" t="str">
        <f>SUMIFS(Del!C:C,Del!B:B,A469)</f>
        <v>0</v>
      </c>
      <c r="J469" s="106" t="str">
        <f t="shared" si="5"/>
        <v>1</v>
      </c>
      <c r="K469" s="106" t="str">
        <f t="shared" si="6"/>
        <v>1</v>
      </c>
      <c r="L469" s="106"/>
      <c r="M469" s="106" t="str">
        <f>SUMIFS(Ere!C:C,Ere!B:B,A469)</f>
        <v>0</v>
      </c>
      <c r="N469" s="106" t="str">
        <f t="shared" si="7"/>
        <v>1</v>
      </c>
      <c r="O469" s="107" t="str">
        <f t="array" ref="O469">XLOOKUP(A469,Data!F:F,Data!O:O)</f>
        <v>  1.52 </v>
      </c>
      <c r="P469" s="107" t="str">
        <f t="shared" si="8"/>
        <v>  3.79 </v>
      </c>
      <c r="Q469" s="27"/>
    </row>
    <row r="470" ht="15.75" customHeight="1">
      <c r="A470" s="105" t="s">
        <v>714</v>
      </c>
      <c r="B470" s="19" t="str">
        <f t="array" ref="B470">XLOOKUP(A470,Data!F:F,Data!G:G)</f>
        <v>A1D</v>
      </c>
      <c r="C470" s="19" t="str">
        <f t="shared" si="3"/>
        <v>A044</v>
      </c>
      <c r="D470" s="19" t="str">
        <f t="array" ref="D470">XLOOKUP(A470,Data!F:F,Data!C:C)</f>
        <v/>
      </c>
      <c r="E470" s="19" t="str">
        <f t="array" ref="E470">XLOOKUP(A470,Data!F:F,Data!H:H)</f>
        <v>BW</v>
      </c>
      <c r="F470" s="106" t="str">
        <f>SUMIFS(Data!J:J,Data!F:F,A470)</f>
        <v>1</v>
      </c>
      <c r="G470" s="106" t="str">
        <f>SUMIFS(Cast!C:C,CastElements,A470)</f>
        <v>1</v>
      </c>
      <c r="H470" s="106" t="str">
        <f t="shared" si="4"/>
        <v>0</v>
      </c>
      <c r="I470" s="106" t="str">
        <f>SUMIFS(Del!C:C,Del!B:B,A470)</f>
        <v>0</v>
      </c>
      <c r="J470" s="106" t="str">
        <f t="shared" si="5"/>
        <v>1</v>
      </c>
      <c r="K470" s="106" t="str">
        <f t="shared" si="6"/>
        <v>1</v>
      </c>
      <c r="L470" s="106"/>
      <c r="M470" s="106" t="str">
        <f>SUMIFS(Ere!C:C,Ere!B:B,A470)</f>
        <v>0</v>
      </c>
      <c r="N470" s="106" t="str">
        <f t="shared" si="7"/>
        <v>1</v>
      </c>
      <c r="O470" s="107" t="str">
        <f t="array" ref="O470">XLOOKUP(A470,Data!F:F,Data!O:O)</f>
        <v>  1.52 </v>
      </c>
      <c r="P470" s="107" t="str">
        <f t="shared" si="8"/>
        <v>  3.79 </v>
      </c>
      <c r="Q470" s="27"/>
    </row>
    <row r="471" ht="15.75" customHeight="1">
      <c r="A471" s="105" t="s">
        <v>715</v>
      </c>
      <c r="B471" s="19" t="str">
        <f t="array" ref="B471">XLOOKUP(A471,Data!F:F,Data!G:G)</f>
        <v>A1D</v>
      </c>
      <c r="C471" s="19" t="str">
        <f t="shared" si="3"/>
        <v>A044</v>
      </c>
      <c r="D471" s="19" t="str">
        <f t="array" ref="D471">XLOOKUP(A471,Data!F:F,Data!C:C)</f>
        <v/>
      </c>
      <c r="E471" s="19" t="str">
        <f t="array" ref="E471">XLOOKUP(A471,Data!F:F,Data!H:H)</f>
        <v>BW</v>
      </c>
      <c r="F471" s="106" t="str">
        <f>SUMIFS(Data!J:J,Data!F:F,A471)</f>
        <v>1</v>
      </c>
      <c r="G471" s="106" t="str">
        <f>SUMIFS(Cast!C:C,CastElements,A471)</f>
        <v>1</v>
      </c>
      <c r="H471" s="106" t="str">
        <f t="shared" si="4"/>
        <v>0</v>
      </c>
      <c r="I471" s="106" t="str">
        <f>SUMIFS(Del!C:C,Del!B:B,A471)</f>
        <v>0</v>
      </c>
      <c r="J471" s="106" t="str">
        <f t="shared" si="5"/>
        <v>1</v>
      </c>
      <c r="K471" s="106" t="str">
        <f t="shared" si="6"/>
        <v>1</v>
      </c>
      <c r="L471" s="106"/>
      <c r="M471" s="106" t="str">
        <f>SUMIFS(Ere!C:C,Ere!B:B,A471)</f>
        <v>0</v>
      </c>
      <c r="N471" s="106" t="str">
        <f t="shared" si="7"/>
        <v>1</v>
      </c>
      <c r="O471" s="107" t="str">
        <f t="array" ref="O471">XLOOKUP(A471,Data!F:F,Data!O:O)</f>
        <v>  2.39 </v>
      </c>
      <c r="P471" s="107" t="str">
        <f t="shared" si="8"/>
        <v>  5.99 </v>
      </c>
      <c r="Q471" s="27"/>
    </row>
    <row r="472" ht="15.75" customHeight="1">
      <c r="A472" s="105" t="s">
        <v>716</v>
      </c>
      <c r="B472" s="19" t="str">
        <f t="array" ref="B472">XLOOKUP(A472,Data!F:F,Data!G:G)</f>
        <v>A1D</v>
      </c>
      <c r="C472" s="19" t="str">
        <f t="shared" si="3"/>
        <v>A044</v>
      </c>
      <c r="D472" s="19" t="str">
        <f t="array" ref="D472">XLOOKUP(A472,Data!F:F,Data!C:C)</f>
        <v/>
      </c>
      <c r="E472" s="19" t="str">
        <f t="array" ref="E472">XLOOKUP(A472,Data!F:F,Data!H:H)</f>
        <v>BW</v>
      </c>
      <c r="F472" s="106" t="str">
        <f>SUMIFS(Data!J:J,Data!F:F,A472)</f>
        <v>1</v>
      </c>
      <c r="G472" s="106" t="str">
        <f>SUMIFS(Cast!C:C,CastElements,A472)</f>
        <v>0</v>
      </c>
      <c r="H472" s="106" t="str">
        <f t="shared" si="4"/>
        <v>1</v>
      </c>
      <c r="I472" s="106" t="str">
        <f>SUMIFS(Del!C:C,Del!B:B,A472)</f>
        <v>0</v>
      </c>
      <c r="J472" s="106" t="str">
        <f t="shared" si="5"/>
        <v>1</v>
      </c>
      <c r="K472" s="106" t="str">
        <f t="shared" si="6"/>
        <v>0</v>
      </c>
      <c r="L472" s="106"/>
      <c r="M472" s="106" t="str">
        <f>SUMIFS(Ere!C:C,Ere!B:B,A472)</f>
        <v>0</v>
      </c>
      <c r="N472" s="106" t="str">
        <f t="shared" si="7"/>
        <v>1</v>
      </c>
      <c r="O472" s="107" t="str">
        <f t="array" ref="O472">XLOOKUP(A472,Data!F:F,Data!O:O)</f>
        <v>  1.52 </v>
      </c>
      <c r="P472" s="107" t="str">
        <f t="shared" si="8"/>
        <v>  3.80 </v>
      </c>
      <c r="Q472" s="27"/>
    </row>
    <row r="473" ht="15.75" customHeight="1">
      <c r="A473" s="105" t="s">
        <v>717</v>
      </c>
      <c r="B473" s="19" t="str">
        <f t="array" ref="B473">XLOOKUP(A473,Data!F:F,Data!G:G)</f>
        <v>A1D</v>
      </c>
      <c r="C473" s="19" t="str">
        <f t="shared" si="3"/>
        <v>A044</v>
      </c>
      <c r="D473" s="19" t="str">
        <f t="array" ref="D473">XLOOKUP(A473,Data!F:F,Data!C:C)</f>
        <v/>
      </c>
      <c r="E473" s="19" t="str">
        <f t="array" ref="E473">XLOOKUP(A473,Data!F:F,Data!H:H)</f>
        <v>BW</v>
      </c>
      <c r="F473" s="106" t="str">
        <f>SUMIFS(Data!J:J,Data!F:F,A473)</f>
        <v>1</v>
      </c>
      <c r="G473" s="106" t="str">
        <f>SUMIFS(Cast!C:C,CastElements,A473)</f>
        <v>1</v>
      </c>
      <c r="H473" s="106" t="str">
        <f t="shared" si="4"/>
        <v>0</v>
      </c>
      <c r="I473" s="106" t="str">
        <f>SUMIFS(Del!C:C,Del!B:B,A473)</f>
        <v>0</v>
      </c>
      <c r="J473" s="106" t="str">
        <f t="shared" si="5"/>
        <v>1</v>
      </c>
      <c r="K473" s="106" t="str">
        <f t="shared" si="6"/>
        <v>1</v>
      </c>
      <c r="L473" s="106"/>
      <c r="M473" s="106" t="str">
        <f>SUMIFS(Ere!C:C,Ere!B:B,A473)</f>
        <v>0</v>
      </c>
      <c r="N473" s="106" t="str">
        <f t="shared" si="7"/>
        <v>1</v>
      </c>
      <c r="O473" s="107" t="str">
        <f t="array" ref="O473">XLOOKUP(A473,Data!F:F,Data!O:O)</f>
        <v>  1.80 </v>
      </c>
      <c r="P473" s="107" t="str">
        <f t="shared" si="8"/>
        <v>  4.50 </v>
      </c>
      <c r="Q473" s="27"/>
    </row>
    <row r="474" ht="15.75" customHeight="1">
      <c r="A474" s="105" t="s">
        <v>718</v>
      </c>
      <c r="B474" s="19" t="str">
        <f t="array" ref="B474">XLOOKUP(A474,Data!F:F,Data!G:G)</f>
        <v>A1D</v>
      </c>
      <c r="C474" s="19" t="str">
        <f t="shared" si="3"/>
        <v>A044</v>
      </c>
      <c r="D474" s="19" t="str">
        <f t="array" ref="D474">XLOOKUP(A474,Data!F:F,Data!C:C)</f>
        <v/>
      </c>
      <c r="E474" s="19" t="str">
        <f t="array" ref="E474">XLOOKUP(A474,Data!F:F,Data!H:H)</f>
        <v>BW</v>
      </c>
      <c r="F474" s="106" t="str">
        <f>SUMIFS(Data!J:J,Data!F:F,A474)</f>
        <v>1</v>
      </c>
      <c r="G474" s="106" t="str">
        <f>SUMIFS(Cast!C:C,CastElements,A474)</f>
        <v>1</v>
      </c>
      <c r="H474" s="106" t="str">
        <f t="shared" si="4"/>
        <v>0</v>
      </c>
      <c r="I474" s="106" t="str">
        <f>SUMIFS(Del!C:C,Del!B:B,A474)</f>
        <v>0</v>
      </c>
      <c r="J474" s="106" t="str">
        <f t="shared" si="5"/>
        <v>1</v>
      </c>
      <c r="K474" s="106" t="str">
        <f t="shared" si="6"/>
        <v>1</v>
      </c>
      <c r="L474" s="106"/>
      <c r="M474" s="106" t="str">
        <f>SUMIFS(Ere!C:C,Ere!B:B,A474)</f>
        <v>0</v>
      </c>
      <c r="N474" s="106" t="str">
        <f t="shared" si="7"/>
        <v>1</v>
      </c>
      <c r="O474" s="107" t="str">
        <f t="array" ref="O474">XLOOKUP(A474,Data!F:F,Data!O:O)</f>
        <v>  1.80 </v>
      </c>
      <c r="P474" s="107" t="str">
        <f t="shared" si="8"/>
        <v>  4.50 </v>
      </c>
      <c r="Q474" s="27"/>
    </row>
    <row r="475" ht="15.75" customHeight="1">
      <c r="A475" s="105" t="s">
        <v>719</v>
      </c>
      <c r="B475" s="19" t="str">
        <f t="array" ref="B475">XLOOKUP(A475,Data!F:F,Data!G:G)</f>
        <v>A1D</v>
      </c>
      <c r="C475" s="19" t="str">
        <f t="shared" si="3"/>
        <v>A044</v>
      </c>
      <c r="D475" s="19" t="str">
        <f t="array" ref="D475">XLOOKUP(A475,Data!F:F,Data!C:C)</f>
        <v/>
      </c>
      <c r="E475" s="19" t="str">
        <f t="array" ref="E475">XLOOKUP(A475,Data!F:F,Data!H:H)</f>
        <v>BW</v>
      </c>
      <c r="F475" s="106" t="str">
        <f>SUMIFS(Data!J:J,Data!F:F,A475)</f>
        <v>1</v>
      </c>
      <c r="G475" s="106" t="str">
        <f>SUMIFS(Cast!C:C,CastElements,A475)</f>
        <v>1</v>
      </c>
      <c r="H475" s="106" t="str">
        <f t="shared" si="4"/>
        <v>0</v>
      </c>
      <c r="I475" s="106" t="str">
        <f>SUMIFS(Del!C:C,Del!B:B,A475)</f>
        <v>0</v>
      </c>
      <c r="J475" s="106" t="str">
        <f t="shared" si="5"/>
        <v>1</v>
      </c>
      <c r="K475" s="106" t="str">
        <f t="shared" si="6"/>
        <v>1</v>
      </c>
      <c r="L475" s="106"/>
      <c r="M475" s="106" t="str">
        <f>SUMIFS(Ere!C:C,Ere!B:B,A475)</f>
        <v>0</v>
      </c>
      <c r="N475" s="106" t="str">
        <f t="shared" si="7"/>
        <v>1</v>
      </c>
      <c r="O475" s="107" t="str">
        <f t="array" ref="O475">XLOOKUP(A475,Data!F:F,Data!O:O)</f>
        <v>  1.80 </v>
      </c>
      <c r="P475" s="107" t="str">
        <f t="shared" si="8"/>
        <v>  4.50 </v>
      </c>
      <c r="Q475" s="27"/>
    </row>
    <row r="476" ht="15.75" customHeight="1">
      <c r="A476" s="105" t="s">
        <v>720</v>
      </c>
      <c r="B476" s="19" t="str">
        <f t="array" ref="B476">XLOOKUP(A476,Data!F:F,Data!G:G)</f>
        <v>A1D</v>
      </c>
      <c r="C476" s="19" t="str">
        <f t="shared" si="3"/>
        <v>A044</v>
      </c>
      <c r="D476" s="19" t="str">
        <f t="array" ref="D476">XLOOKUP(A476,Data!F:F,Data!C:C)</f>
        <v/>
      </c>
      <c r="E476" s="19" t="str">
        <f t="array" ref="E476">XLOOKUP(A476,Data!F:F,Data!H:H)</f>
        <v>BW</v>
      </c>
      <c r="F476" s="106" t="str">
        <f>SUMIFS(Data!J:J,Data!F:F,A476)</f>
        <v>1</v>
      </c>
      <c r="G476" s="106" t="str">
        <f>SUMIFS(Cast!C:C,CastElements,A476)</f>
        <v>1</v>
      </c>
      <c r="H476" s="106" t="str">
        <f t="shared" si="4"/>
        <v>0</v>
      </c>
      <c r="I476" s="106" t="str">
        <f>SUMIFS(Del!C:C,Del!B:B,A476)</f>
        <v>0</v>
      </c>
      <c r="J476" s="106" t="str">
        <f t="shared" si="5"/>
        <v>1</v>
      </c>
      <c r="K476" s="106" t="str">
        <f t="shared" si="6"/>
        <v>1</v>
      </c>
      <c r="L476" s="106"/>
      <c r="M476" s="106" t="str">
        <f>SUMIFS(Ere!C:C,Ere!B:B,A476)</f>
        <v>0</v>
      </c>
      <c r="N476" s="106" t="str">
        <f t="shared" si="7"/>
        <v>1</v>
      </c>
      <c r="O476" s="107" t="str">
        <f t="array" ref="O476">XLOOKUP(A476,Data!F:F,Data!O:O)</f>
        <v>  1.80 </v>
      </c>
      <c r="P476" s="107" t="str">
        <f t="shared" si="8"/>
        <v>  4.50 </v>
      </c>
      <c r="Q476" s="27"/>
    </row>
    <row r="477" ht="15.75" customHeight="1">
      <c r="A477" s="105" t="s">
        <v>721</v>
      </c>
      <c r="B477" s="19" t="str">
        <f t="array" ref="B477">XLOOKUP(A477,Data!F:F,Data!G:G)</f>
        <v>A1D</v>
      </c>
      <c r="C477" s="19" t="str">
        <f t="shared" si="3"/>
        <v>A044</v>
      </c>
      <c r="D477" s="19" t="str">
        <f t="array" ref="D477">XLOOKUP(A477,Data!F:F,Data!C:C)</f>
        <v/>
      </c>
      <c r="E477" s="19" t="str">
        <f t="array" ref="E477">XLOOKUP(A477,Data!F:F,Data!H:H)</f>
        <v>BW</v>
      </c>
      <c r="F477" s="106" t="str">
        <f>SUMIFS(Data!J:J,Data!F:F,A477)</f>
        <v>1</v>
      </c>
      <c r="G477" s="106" t="str">
        <f>SUMIFS(Cast!C:C,CastElements,A477)</f>
        <v>1</v>
      </c>
      <c r="H477" s="106" t="str">
        <f t="shared" si="4"/>
        <v>0</v>
      </c>
      <c r="I477" s="106" t="str">
        <f>SUMIFS(Del!C:C,Del!B:B,A477)</f>
        <v>0</v>
      </c>
      <c r="J477" s="106" t="str">
        <f t="shared" si="5"/>
        <v>1</v>
      </c>
      <c r="K477" s="106" t="str">
        <f t="shared" si="6"/>
        <v>1</v>
      </c>
      <c r="L477" s="106"/>
      <c r="M477" s="106" t="str">
        <f>SUMIFS(Ere!C:C,Ere!B:B,A477)</f>
        <v>0</v>
      </c>
      <c r="N477" s="106" t="str">
        <f t="shared" si="7"/>
        <v>1</v>
      </c>
      <c r="O477" s="107" t="str">
        <f t="array" ref="O477">XLOOKUP(A477,Data!F:F,Data!O:O)</f>
        <v>  1.80 </v>
      </c>
      <c r="P477" s="107" t="str">
        <f t="shared" si="8"/>
        <v>  4.50 </v>
      </c>
      <c r="Q477" s="27"/>
    </row>
    <row r="478" ht="15.75" customHeight="1">
      <c r="A478" s="105" t="s">
        <v>722</v>
      </c>
      <c r="B478" s="19" t="str">
        <f t="array" ref="B478">XLOOKUP(A478,Data!F:F,Data!G:G)</f>
        <v>A1D</v>
      </c>
      <c r="C478" s="19" t="str">
        <f t="shared" si="3"/>
        <v>A044</v>
      </c>
      <c r="D478" s="19" t="str">
        <f t="array" ref="D478">XLOOKUP(A478,Data!F:F,Data!C:C)</f>
        <v/>
      </c>
      <c r="E478" s="19" t="str">
        <f t="array" ref="E478">XLOOKUP(A478,Data!F:F,Data!H:H)</f>
        <v>BW</v>
      </c>
      <c r="F478" s="106" t="str">
        <f>SUMIFS(Data!J:J,Data!F:F,A478)</f>
        <v>1</v>
      </c>
      <c r="G478" s="106" t="str">
        <f>SUMIFS(Cast!C:C,CastElements,A478)</f>
        <v>1</v>
      </c>
      <c r="H478" s="106" t="str">
        <f t="shared" si="4"/>
        <v>0</v>
      </c>
      <c r="I478" s="106" t="str">
        <f>SUMIFS(Del!C:C,Del!B:B,A478)</f>
        <v>0</v>
      </c>
      <c r="J478" s="106" t="str">
        <f t="shared" si="5"/>
        <v>1</v>
      </c>
      <c r="K478" s="106" t="str">
        <f t="shared" si="6"/>
        <v>1</v>
      </c>
      <c r="L478" s="106"/>
      <c r="M478" s="106" t="str">
        <f>SUMIFS(Ere!C:C,Ere!B:B,A478)</f>
        <v>0</v>
      </c>
      <c r="N478" s="106" t="str">
        <f t="shared" si="7"/>
        <v>1</v>
      </c>
      <c r="O478" s="107" t="str">
        <f t="array" ref="O478">XLOOKUP(A478,Data!F:F,Data!O:O)</f>
        <v>  1.85 </v>
      </c>
      <c r="P478" s="107" t="str">
        <f t="shared" si="8"/>
        <v>  4.62 </v>
      </c>
      <c r="Q478" s="27"/>
    </row>
    <row r="479" ht="15.75" customHeight="1">
      <c r="A479" s="105" t="s">
        <v>723</v>
      </c>
      <c r="B479" s="19" t="str">
        <f t="array" ref="B479">XLOOKUP(A479,Data!F:F,Data!G:G)</f>
        <v>A1D</v>
      </c>
      <c r="C479" s="19" t="str">
        <f t="shared" si="3"/>
        <v>A045</v>
      </c>
      <c r="D479" s="19" t="str">
        <f t="array" ref="D479">XLOOKUP(A479,Data!F:F,Data!C:C)</f>
        <v/>
      </c>
      <c r="E479" s="19" t="str">
        <f t="array" ref="E479">XLOOKUP(A479,Data!F:F,Data!H:H)</f>
        <v>BW</v>
      </c>
      <c r="F479" s="106" t="str">
        <f>SUMIFS(Data!J:J,Data!F:F,A479)</f>
        <v>1</v>
      </c>
      <c r="G479" s="106" t="str">
        <f>SUMIFS(Cast!C:C,CastElements,A479)</f>
        <v>1</v>
      </c>
      <c r="H479" s="106" t="str">
        <f t="shared" si="4"/>
        <v>0</v>
      </c>
      <c r="I479" s="106" t="str">
        <f>SUMIFS(Del!C:C,Del!B:B,A479)</f>
        <v>0</v>
      </c>
      <c r="J479" s="106" t="str">
        <f t="shared" si="5"/>
        <v>1</v>
      </c>
      <c r="K479" s="106" t="str">
        <f t="shared" si="6"/>
        <v>1</v>
      </c>
      <c r="L479" s="106"/>
      <c r="M479" s="106" t="str">
        <f>SUMIFS(Ere!C:C,Ere!B:B,A479)</f>
        <v>0</v>
      </c>
      <c r="N479" s="106" t="str">
        <f t="shared" si="7"/>
        <v>1</v>
      </c>
      <c r="O479" s="107" t="str">
        <f t="array" ref="O479">XLOOKUP(A479,Data!F:F,Data!O:O)</f>
        <v>  0.80 </v>
      </c>
      <c r="P479" s="107" t="str">
        <f t="shared" si="8"/>
        <v>  1.99 </v>
      </c>
      <c r="Q479" s="27"/>
    </row>
    <row r="480" ht="15.75" customHeight="1">
      <c r="A480" s="105" t="s">
        <v>724</v>
      </c>
      <c r="B480" s="19" t="str">
        <f t="array" ref="B480">XLOOKUP(A480,Data!F:F,Data!G:G)</f>
        <v>A1D</v>
      </c>
      <c r="C480" s="19" t="str">
        <f t="shared" si="3"/>
        <v>A045</v>
      </c>
      <c r="D480" s="19" t="str">
        <f t="array" ref="D480">XLOOKUP(A480,Data!F:F,Data!C:C)</f>
        <v/>
      </c>
      <c r="E480" s="19" t="str">
        <f t="array" ref="E480">XLOOKUP(A480,Data!F:F,Data!H:H)</f>
        <v>BW</v>
      </c>
      <c r="F480" s="106" t="str">
        <f>SUMIFS(Data!J:J,Data!F:F,A480)</f>
        <v>1</v>
      </c>
      <c r="G480" s="106" t="str">
        <f>SUMIFS(Cast!C:C,CastElements,A480)</f>
        <v>1</v>
      </c>
      <c r="H480" s="106" t="str">
        <f t="shared" si="4"/>
        <v>0</v>
      </c>
      <c r="I480" s="106" t="str">
        <f>SUMIFS(Del!C:C,Del!B:B,A480)</f>
        <v>0</v>
      </c>
      <c r="J480" s="106" t="str">
        <f t="shared" si="5"/>
        <v>1</v>
      </c>
      <c r="K480" s="106" t="str">
        <f t="shared" si="6"/>
        <v>1</v>
      </c>
      <c r="L480" s="106"/>
      <c r="M480" s="106" t="str">
        <f>SUMIFS(Ere!C:C,Ere!B:B,A480)</f>
        <v>0</v>
      </c>
      <c r="N480" s="106" t="str">
        <f t="shared" si="7"/>
        <v>1</v>
      </c>
      <c r="O480" s="107" t="str">
        <f t="array" ref="O480">XLOOKUP(A480,Data!F:F,Data!O:O)</f>
        <v>  0.86 </v>
      </c>
      <c r="P480" s="107" t="str">
        <f t="shared" si="8"/>
        <v>  2.14 </v>
      </c>
      <c r="Q480" s="27"/>
    </row>
    <row r="481" ht="15.75" customHeight="1">
      <c r="A481" s="105" t="s">
        <v>725</v>
      </c>
      <c r="B481" s="19" t="str">
        <f t="array" ref="B481">XLOOKUP(A481,Data!F:F,Data!G:G)</f>
        <v>A1D</v>
      </c>
      <c r="C481" s="19" t="str">
        <f t="shared" si="3"/>
        <v>A045</v>
      </c>
      <c r="D481" s="19" t="str">
        <f t="array" ref="D481">XLOOKUP(A481,Data!F:F,Data!C:C)</f>
        <v/>
      </c>
      <c r="E481" s="19" t="str">
        <f t="array" ref="E481">XLOOKUP(A481,Data!F:F,Data!H:H)</f>
        <v>BW</v>
      </c>
      <c r="F481" s="106" t="str">
        <f>SUMIFS(Data!J:J,Data!F:F,A481)</f>
        <v>1</v>
      </c>
      <c r="G481" s="106" t="str">
        <f>SUMIFS(Cast!C:C,CastElements,A481)</f>
        <v>1</v>
      </c>
      <c r="H481" s="106" t="str">
        <f t="shared" si="4"/>
        <v>0</v>
      </c>
      <c r="I481" s="106" t="str">
        <f>SUMIFS(Del!C:C,Del!B:B,A481)</f>
        <v>0</v>
      </c>
      <c r="J481" s="106" t="str">
        <f t="shared" si="5"/>
        <v>1</v>
      </c>
      <c r="K481" s="106" t="str">
        <f t="shared" si="6"/>
        <v>1</v>
      </c>
      <c r="L481" s="106"/>
      <c r="M481" s="106" t="str">
        <f>SUMIFS(Ere!C:C,Ere!B:B,A481)</f>
        <v>0</v>
      </c>
      <c r="N481" s="106" t="str">
        <f t="shared" si="7"/>
        <v>1</v>
      </c>
      <c r="O481" s="107" t="str">
        <f t="array" ref="O481">XLOOKUP(A481,Data!F:F,Data!O:O)</f>
        <v>  0.37 </v>
      </c>
      <c r="P481" s="107" t="str">
        <f t="shared" si="8"/>
        <v>  0.92 </v>
      </c>
      <c r="Q481" s="27"/>
    </row>
    <row r="482" ht="15.75" customHeight="1">
      <c r="A482" s="105" t="s">
        <v>726</v>
      </c>
      <c r="B482" s="19" t="str">
        <f t="array" ref="B482">XLOOKUP(A482,Data!F:F,Data!G:G)</f>
        <v>A1D</v>
      </c>
      <c r="C482" s="19" t="str">
        <f t="shared" si="3"/>
        <v>A045</v>
      </c>
      <c r="D482" s="19" t="str">
        <f t="array" ref="D482">XLOOKUP(A482,Data!F:F,Data!C:C)</f>
        <v/>
      </c>
      <c r="E482" s="19" t="str">
        <f t="array" ref="E482">XLOOKUP(A482,Data!F:F,Data!H:H)</f>
        <v>BW</v>
      </c>
      <c r="F482" s="106" t="str">
        <f>SUMIFS(Data!J:J,Data!F:F,A482)</f>
        <v>1</v>
      </c>
      <c r="G482" s="106" t="str">
        <f>SUMIFS(Cast!C:C,CastElements,A482)</f>
        <v>1</v>
      </c>
      <c r="H482" s="106" t="str">
        <f t="shared" si="4"/>
        <v>0</v>
      </c>
      <c r="I482" s="106" t="str">
        <f>SUMIFS(Del!C:C,Del!B:B,A482)</f>
        <v>0</v>
      </c>
      <c r="J482" s="106" t="str">
        <f t="shared" si="5"/>
        <v>1</v>
      </c>
      <c r="K482" s="106" t="str">
        <f t="shared" si="6"/>
        <v>1</v>
      </c>
      <c r="L482" s="106"/>
      <c r="M482" s="106" t="str">
        <f>SUMIFS(Ere!C:C,Ere!B:B,A482)</f>
        <v>0</v>
      </c>
      <c r="N482" s="106" t="str">
        <f t="shared" si="7"/>
        <v>1</v>
      </c>
      <c r="O482" s="107" t="str">
        <f t="array" ref="O482">XLOOKUP(A482,Data!F:F,Data!O:O)</f>
        <v>  0.35 </v>
      </c>
      <c r="P482" s="107" t="str">
        <f t="shared" si="8"/>
        <v>  0.89 </v>
      </c>
      <c r="Q482" s="27"/>
    </row>
    <row r="483" ht="15.75" customHeight="1">
      <c r="A483" s="105" t="s">
        <v>727</v>
      </c>
      <c r="B483" s="19" t="str">
        <f t="array" ref="B483">XLOOKUP(A483,Data!F:F,Data!G:G)</f>
        <v>A1D</v>
      </c>
      <c r="C483" s="19" t="str">
        <f t="shared" si="3"/>
        <v>A045</v>
      </c>
      <c r="D483" s="19" t="str">
        <f t="array" ref="D483">XLOOKUP(A483,Data!F:F,Data!C:C)</f>
        <v/>
      </c>
      <c r="E483" s="19" t="str">
        <f t="array" ref="E483">XLOOKUP(A483,Data!F:F,Data!H:H)</f>
        <v>CF</v>
      </c>
      <c r="F483" s="106" t="str">
        <f>SUMIFS(Data!J:J,Data!F:F,A483)</f>
        <v>1</v>
      </c>
      <c r="G483" s="106" t="str">
        <f>SUMIFS(Cast!C:C,CastElements,A483)</f>
        <v>1</v>
      </c>
      <c r="H483" s="106" t="str">
        <f t="shared" si="4"/>
        <v>0</v>
      </c>
      <c r="I483" s="106" t="str">
        <f>SUMIFS(Del!C:C,Del!B:B,A483)</f>
        <v>0</v>
      </c>
      <c r="J483" s="106" t="str">
        <f t="shared" si="5"/>
        <v>1</v>
      </c>
      <c r="K483" s="106" t="str">
        <f t="shared" si="6"/>
        <v>1</v>
      </c>
      <c r="L483" s="106"/>
      <c r="M483" s="106" t="str">
        <f>SUMIFS(Ere!C:C,Ere!B:B,A483)</f>
        <v>0</v>
      </c>
      <c r="N483" s="106" t="str">
        <f t="shared" si="7"/>
        <v>1</v>
      </c>
      <c r="O483" s="107" t="str">
        <f t="array" ref="O483">XLOOKUP(A483,Data!F:F,Data!O:O)</f>
        <v>  0.48 </v>
      </c>
      <c r="P483" s="107" t="str">
        <f t="shared" si="8"/>
        <v>  1.19 </v>
      </c>
      <c r="Q483" s="27"/>
    </row>
    <row r="484" ht="15.75" customHeight="1">
      <c r="A484" s="105" t="s">
        <v>728</v>
      </c>
      <c r="B484" s="19" t="str">
        <f t="array" ref="B484">XLOOKUP(A484,Data!F:F,Data!G:G)</f>
        <v>A1D</v>
      </c>
      <c r="C484" s="19" t="str">
        <f t="shared" si="3"/>
        <v>A045</v>
      </c>
      <c r="D484" s="19" t="str">
        <f t="array" ref="D484">XLOOKUP(A484,Data!F:F,Data!C:C)</f>
        <v>EXT</v>
      </c>
      <c r="E484" s="19" t="str">
        <f t="array" ref="E484">XLOOKUP(A484,Data!F:F,Data!H:H)</f>
        <v>BW</v>
      </c>
      <c r="F484" s="106" t="str">
        <f>SUMIFS(Data!J:J,Data!F:F,A484)</f>
        <v>1</v>
      </c>
      <c r="G484" s="106" t="str">
        <f>SUMIFS(Cast!C:C,CastElements,A484)</f>
        <v>1</v>
      </c>
      <c r="H484" s="106" t="str">
        <f t="shared" si="4"/>
        <v>0</v>
      </c>
      <c r="I484" s="106" t="str">
        <f>SUMIFS(Del!C:C,Del!B:B,A484)</f>
        <v>0</v>
      </c>
      <c r="J484" s="106" t="str">
        <f t="shared" si="5"/>
        <v>1</v>
      </c>
      <c r="K484" s="106" t="str">
        <f t="shared" si="6"/>
        <v>1</v>
      </c>
      <c r="L484" s="106"/>
      <c r="M484" s="106" t="str">
        <f>SUMIFS(Ere!C:C,Ere!B:B,A484)</f>
        <v>0</v>
      </c>
      <c r="N484" s="106" t="str">
        <f t="shared" si="7"/>
        <v>1</v>
      </c>
      <c r="O484" s="107" t="str">
        <f t="array" ref="O484">XLOOKUP(A484,Data!F:F,Data!O:O)</f>
        <v>  0.79 </v>
      </c>
      <c r="P484" s="107" t="str">
        <f t="shared" si="8"/>
        <v>  1.97 </v>
      </c>
      <c r="Q484" s="27"/>
    </row>
    <row r="485" ht="15.75" customHeight="1">
      <c r="A485" s="105" t="s">
        <v>729</v>
      </c>
      <c r="B485" s="19" t="str">
        <f t="array" ref="B485">XLOOKUP(A485,Data!F:F,Data!G:G)</f>
        <v>A1D</v>
      </c>
      <c r="C485" s="19" t="str">
        <f t="shared" si="3"/>
        <v>A045</v>
      </c>
      <c r="D485" s="19" t="str">
        <f t="array" ref="D485">XLOOKUP(A485,Data!F:F,Data!C:C)</f>
        <v>EXT</v>
      </c>
      <c r="E485" s="19" t="str">
        <f t="array" ref="E485">XLOOKUP(A485,Data!F:F,Data!H:H)</f>
        <v>BW</v>
      </c>
      <c r="F485" s="106" t="str">
        <f>SUMIFS(Data!J:J,Data!F:F,A485)</f>
        <v>1</v>
      </c>
      <c r="G485" s="106" t="str">
        <f>SUMIFS(Cast!C:C,CastElements,A485)</f>
        <v>0</v>
      </c>
      <c r="H485" s="106" t="str">
        <f t="shared" si="4"/>
        <v>1</v>
      </c>
      <c r="I485" s="106" t="str">
        <f>SUMIFS(Del!C:C,Del!B:B,A485)</f>
        <v>0</v>
      </c>
      <c r="J485" s="106" t="str">
        <f t="shared" si="5"/>
        <v>1</v>
      </c>
      <c r="K485" s="106" t="str">
        <f t="shared" si="6"/>
        <v>0</v>
      </c>
      <c r="L485" s="106"/>
      <c r="M485" s="106" t="str">
        <f>SUMIFS(Ere!C:C,Ere!B:B,A485)</f>
        <v>0</v>
      </c>
      <c r="N485" s="106" t="str">
        <f t="shared" si="7"/>
        <v>1</v>
      </c>
      <c r="O485" s="107" t="str">
        <f t="array" ref="O485">XLOOKUP(A485,Data!F:F,Data!O:O)</f>
        <v>  0.50 </v>
      </c>
      <c r="P485" s="107" t="str">
        <f t="shared" si="8"/>
        <v>  1.25 </v>
      </c>
      <c r="Q485" s="27"/>
    </row>
    <row r="486" ht="15.75" customHeight="1">
      <c r="A486" s="105" t="s">
        <v>730</v>
      </c>
      <c r="B486" s="19" t="str">
        <f t="array" ref="B486">XLOOKUP(A486,Data!F:F,Data!G:G)</f>
        <v>A1D</v>
      </c>
      <c r="C486" s="19" t="str">
        <f t="shared" si="3"/>
        <v>A045</v>
      </c>
      <c r="D486" s="19" t="str">
        <f t="array" ref="D486">XLOOKUP(A486,Data!F:F,Data!C:C)</f>
        <v>EXT</v>
      </c>
      <c r="E486" s="19" t="str">
        <f t="array" ref="E486">XLOOKUP(A486,Data!F:F,Data!H:H)</f>
        <v>BW</v>
      </c>
      <c r="F486" s="106" t="str">
        <f>SUMIFS(Data!J:J,Data!F:F,A486)</f>
        <v>1</v>
      </c>
      <c r="G486" s="106" t="str">
        <f>SUMIFS(Cast!C:C,CastElements,A486)</f>
        <v>0</v>
      </c>
      <c r="H486" s="106" t="str">
        <f t="shared" si="4"/>
        <v>1</v>
      </c>
      <c r="I486" s="106" t="str">
        <f>SUMIFS(Del!C:C,Del!B:B,A486)</f>
        <v>0</v>
      </c>
      <c r="J486" s="106" t="str">
        <f t="shared" si="5"/>
        <v>1</v>
      </c>
      <c r="K486" s="106" t="str">
        <f t="shared" si="6"/>
        <v>0</v>
      </c>
      <c r="L486" s="106"/>
      <c r="M486" s="106" t="str">
        <f>SUMIFS(Ere!C:C,Ere!B:B,A486)</f>
        <v>0</v>
      </c>
      <c r="N486" s="106" t="str">
        <f t="shared" si="7"/>
        <v>1</v>
      </c>
      <c r="O486" s="107" t="str">
        <f t="array" ref="O486">XLOOKUP(A486,Data!F:F,Data!O:O)</f>
        <v>  0.50 </v>
      </c>
      <c r="P486" s="107" t="str">
        <f t="shared" si="8"/>
        <v>  1.25 </v>
      </c>
      <c r="Q486" s="27"/>
    </row>
    <row r="487" ht="15.75" customHeight="1">
      <c r="A487" s="105" t="s">
        <v>731</v>
      </c>
      <c r="B487" s="19" t="str">
        <f t="array" ref="B487">XLOOKUP(A487,Data!F:F,Data!G:G)</f>
        <v>A1D</v>
      </c>
      <c r="C487" s="19" t="str">
        <f t="shared" si="3"/>
        <v>A045</v>
      </c>
      <c r="D487" s="19" t="str">
        <f t="array" ref="D487">XLOOKUP(A487,Data!F:F,Data!C:C)</f>
        <v>EXT</v>
      </c>
      <c r="E487" s="19" t="str">
        <f t="array" ref="E487">XLOOKUP(A487,Data!F:F,Data!H:H)</f>
        <v>BW</v>
      </c>
      <c r="F487" s="106" t="str">
        <f>SUMIFS(Data!J:J,Data!F:F,A487)</f>
        <v>1</v>
      </c>
      <c r="G487" s="106" t="str">
        <f>SUMIFS(Cast!C:C,CastElements,A487)</f>
        <v>0</v>
      </c>
      <c r="H487" s="106" t="str">
        <f t="shared" si="4"/>
        <v>1</v>
      </c>
      <c r="I487" s="106" t="str">
        <f>SUMIFS(Del!C:C,Del!B:B,A487)</f>
        <v>0</v>
      </c>
      <c r="J487" s="106" t="str">
        <f t="shared" si="5"/>
        <v>1</v>
      </c>
      <c r="K487" s="106" t="str">
        <f t="shared" si="6"/>
        <v>0</v>
      </c>
      <c r="L487" s="106"/>
      <c r="M487" s="106" t="str">
        <f>SUMIFS(Ere!C:C,Ere!B:B,A487)</f>
        <v>0</v>
      </c>
      <c r="N487" s="106" t="str">
        <f t="shared" si="7"/>
        <v>1</v>
      </c>
      <c r="O487" s="107" t="str">
        <f t="array" ref="O487">XLOOKUP(A487,Data!F:F,Data!O:O)</f>
        <v>  0.50 </v>
      </c>
      <c r="P487" s="107" t="str">
        <f t="shared" si="8"/>
        <v>  1.25 </v>
      </c>
      <c r="Q487" s="27"/>
    </row>
    <row r="488" ht="15.75" customHeight="1">
      <c r="A488" s="105" t="s">
        <v>732</v>
      </c>
      <c r="B488" s="19" t="str">
        <f t="array" ref="B488">XLOOKUP(A488,Data!F:F,Data!G:G)</f>
        <v>A1D</v>
      </c>
      <c r="C488" s="19" t="str">
        <f t="shared" si="3"/>
        <v>A045</v>
      </c>
      <c r="D488" s="19" t="str">
        <f t="array" ref="D488">XLOOKUP(A488,Data!F:F,Data!C:C)</f>
        <v>EXT</v>
      </c>
      <c r="E488" s="19" t="str">
        <f t="array" ref="E488">XLOOKUP(A488,Data!F:F,Data!H:H)</f>
        <v>BW</v>
      </c>
      <c r="F488" s="106" t="str">
        <f>SUMIFS(Data!J:J,Data!F:F,A488)</f>
        <v>1</v>
      </c>
      <c r="G488" s="106" t="str">
        <f>SUMIFS(Cast!C:C,CastElements,A488)</f>
        <v>0</v>
      </c>
      <c r="H488" s="106" t="str">
        <f t="shared" si="4"/>
        <v>1</v>
      </c>
      <c r="I488" s="106" t="str">
        <f>SUMIFS(Del!C:C,Del!B:B,A488)</f>
        <v>0</v>
      </c>
      <c r="J488" s="106" t="str">
        <f t="shared" si="5"/>
        <v>1</v>
      </c>
      <c r="K488" s="106" t="str">
        <f t="shared" si="6"/>
        <v>0</v>
      </c>
      <c r="L488" s="106"/>
      <c r="M488" s="106" t="str">
        <f>SUMIFS(Ere!C:C,Ere!B:B,A488)</f>
        <v>0</v>
      </c>
      <c r="N488" s="106" t="str">
        <f t="shared" si="7"/>
        <v>1</v>
      </c>
      <c r="O488" s="107" t="str">
        <f t="array" ref="O488">XLOOKUP(A488,Data!F:F,Data!O:O)</f>
        <v>  0.50 </v>
      </c>
      <c r="P488" s="107" t="str">
        <f t="shared" si="8"/>
        <v>  1.25 </v>
      </c>
      <c r="Q488" s="27"/>
    </row>
    <row r="489" ht="15.75" customHeight="1">
      <c r="A489" s="105" t="s">
        <v>733</v>
      </c>
      <c r="B489" s="19" t="str">
        <f t="array" ref="B489">XLOOKUP(A489,Data!F:F,Data!G:G)</f>
        <v>A1D</v>
      </c>
      <c r="C489" s="19" t="str">
        <f t="shared" si="3"/>
        <v>A045</v>
      </c>
      <c r="D489" s="19" t="str">
        <f t="array" ref="D489">XLOOKUP(A489,Data!F:F,Data!C:C)</f>
        <v>EXT</v>
      </c>
      <c r="E489" s="19" t="str">
        <f t="array" ref="E489">XLOOKUP(A489,Data!F:F,Data!H:H)</f>
        <v>BW</v>
      </c>
      <c r="F489" s="106" t="str">
        <f>SUMIFS(Data!J:J,Data!F:F,A489)</f>
        <v>1</v>
      </c>
      <c r="G489" s="106" t="str">
        <f>SUMIFS(Cast!C:C,CastElements,A489)</f>
        <v>0</v>
      </c>
      <c r="H489" s="106" t="str">
        <f t="shared" si="4"/>
        <v>1</v>
      </c>
      <c r="I489" s="106" t="str">
        <f>SUMIFS(Del!C:C,Del!B:B,A489)</f>
        <v>0</v>
      </c>
      <c r="J489" s="106" t="str">
        <f t="shared" si="5"/>
        <v>1</v>
      </c>
      <c r="K489" s="106" t="str">
        <f t="shared" si="6"/>
        <v>0</v>
      </c>
      <c r="L489" s="106"/>
      <c r="M489" s="106" t="str">
        <f>SUMIFS(Ere!C:C,Ere!B:B,A489)</f>
        <v>0</v>
      </c>
      <c r="N489" s="106" t="str">
        <f t="shared" si="7"/>
        <v>1</v>
      </c>
      <c r="O489" s="107" t="str">
        <f t="array" ref="O489">XLOOKUP(A489,Data!F:F,Data!O:O)</f>
        <v>  0.50 </v>
      </c>
      <c r="P489" s="107" t="str">
        <f t="shared" si="8"/>
        <v>  1.25 </v>
      </c>
      <c r="Q489" s="27"/>
    </row>
    <row r="490" ht="15.75" customHeight="1">
      <c r="A490" s="105" t="s">
        <v>734</v>
      </c>
      <c r="B490" s="19" t="str">
        <f t="array" ref="B490">XLOOKUP(A490,Data!F:F,Data!G:G)</f>
        <v>A1D</v>
      </c>
      <c r="C490" s="19" t="str">
        <f t="shared" si="3"/>
        <v>A045</v>
      </c>
      <c r="D490" s="19" t="str">
        <f t="array" ref="D490">XLOOKUP(A490,Data!F:F,Data!C:C)</f>
        <v>EXT</v>
      </c>
      <c r="E490" s="19" t="str">
        <f t="array" ref="E490">XLOOKUP(A490,Data!F:F,Data!H:H)</f>
        <v>BW</v>
      </c>
      <c r="F490" s="106" t="str">
        <f>SUMIFS(Data!J:J,Data!F:F,A490)</f>
        <v>1</v>
      </c>
      <c r="G490" s="106" t="str">
        <f>SUMIFS(Cast!C:C,CastElements,A490)</f>
        <v>0</v>
      </c>
      <c r="H490" s="106" t="str">
        <f t="shared" si="4"/>
        <v>1</v>
      </c>
      <c r="I490" s="106" t="str">
        <f>SUMIFS(Del!C:C,Del!B:B,A490)</f>
        <v>0</v>
      </c>
      <c r="J490" s="106" t="str">
        <f t="shared" si="5"/>
        <v>1</v>
      </c>
      <c r="K490" s="106" t="str">
        <f t="shared" si="6"/>
        <v>0</v>
      </c>
      <c r="L490" s="106"/>
      <c r="M490" s="106" t="str">
        <f>SUMIFS(Ere!C:C,Ere!B:B,A490)</f>
        <v>0</v>
      </c>
      <c r="N490" s="106" t="str">
        <f t="shared" si="7"/>
        <v>1</v>
      </c>
      <c r="O490" s="107" t="str">
        <f t="array" ref="O490">XLOOKUP(A490,Data!F:F,Data!O:O)</f>
        <v>  0.50 </v>
      </c>
      <c r="P490" s="107" t="str">
        <f t="shared" si="8"/>
        <v>  1.25 </v>
      </c>
      <c r="Q490" s="27"/>
    </row>
    <row r="491" ht="15.75" customHeight="1">
      <c r="A491" s="105" t="s">
        <v>735</v>
      </c>
      <c r="B491" s="19" t="str">
        <f t="array" ref="B491">XLOOKUP(A491,Data!F:F,Data!G:G)</f>
        <v>A1D</v>
      </c>
      <c r="C491" s="19" t="str">
        <f t="shared" si="3"/>
        <v>A045</v>
      </c>
      <c r="D491" s="19" t="str">
        <f t="array" ref="D491">XLOOKUP(A491,Data!F:F,Data!C:C)</f>
        <v>EXT</v>
      </c>
      <c r="E491" s="19" t="str">
        <f t="array" ref="E491">XLOOKUP(A491,Data!F:F,Data!H:H)</f>
        <v>BW</v>
      </c>
      <c r="F491" s="106" t="str">
        <f>SUMIFS(Data!J:J,Data!F:F,A491)</f>
        <v>1</v>
      </c>
      <c r="G491" s="106" t="str">
        <f>SUMIFS(Cast!C:C,CastElements,A491)</f>
        <v>0</v>
      </c>
      <c r="H491" s="106" t="str">
        <f t="shared" si="4"/>
        <v>1</v>
      </c>
      <c r="I491" s="106" t="str">
        <f>SUMIFS(Del!C:C,Del!B:B,A491)</f>
        <v>0</v>
      </c>
      <c r="J491" s="106" t="str">
        <f t="shared" si="5"/>
        <v>1</v>
      </c>
      <c r="K491" s="106" t="str">
        <f t="shared" si="6"/>
        <v>0</v>
      </c>
      <c r="L491" s="106"/>
      <c r="M491" s="106" t="str">
        <f>SUMIFS(Ere!C:C,Ere!B:B,A491)</f>
        <v>0</v>
      </c>
      <c r="N491" s="106" t="str">
        <f t="shared" si="7"/>
        <v>1</v>
      </c>
      <c r="O491" s="107" t="str">
        <f t="array" ref="O491">XLOOKUP(A491,Data!F:F,Data!O:O)</f>
        <v>  0.50 </v>
      </c>
      <c r="P491" s="107" t="str">
        <f t="shared" si="8"/>
        <v>  1.25 </v>
      </c>
      <c r="Q491" s="27"/>
    </row>
    <row r="492" ht="15.75" customHeight="1">
      <c r="A492" s="105" t="s">
        <v>736</v>
      </c>
      <c r="B492" s="19" t="str">
        <f t="array" ref="B492">XLOOKUP(A492,Data!F:F,Data!G:G)</f>
        <v>A1D</v>
      </c>
      <c r="C492" s="19" t="str">
        <f t="shared" si="3"/>
        <v>A045</v>
      </c>
      <c r="D492" s="19" t="str">
        <f t="array" ref="D492">XLOOKUP(A492,Data!F:F,Data!C:C)</f>
        <v>EXT</v>
      </c>
      <c r="E492" s="19" t="str">
        <f t="array" ref="E492">XLOOKUP(A492,Data!F:F,Data!H:H)</f>
        <v>BW</v>
      </c>
      <c r="F492" s="106" t="str">
        <f>SUMIFS(Data!J:J,Data!F:F,A492)</f>
        <v>1</v>
      </c>
      <c r="G492" s="106" t="str">
        <f>SUMIFS(Cast!C:C,CastElements,A492)</f>
        <v>0</v>
      </c>
      <c r="H492" s="106" t="str">
        <f t="shared" si="4"/>
        <v>1</v>
      </c>
      <c r="I492" s="106" t="str">
        <f>SUMIFS(Del!C:C,Del!B:B,A492)</f>
        <v>0</v>
      </c>
      <c r="J492" s="106" t="str">
        <f t="shared" si="5"/>
        <v>1</v>
      </c>
      <c r="K492" s="106" t="str">
        <f t="shared" si="6"/>
        <v>0</v>
      </c>
      <c r="L492" s="106"/>
      <c r="M492" s="106" t="str">
        <f>SUMIFS(Ere!C:C,Ere!B:B,A492)</f>
        <v>0</v>
      </c>
      <c r="N492" s="106" t="str">
        <f t="shared" si="7"/>
        <v>1</v>
      </c>
      <c r="O492" s="107" t="str">
        <f t="array" ref="O492">XLOOKUP(A492,Data!F:F,Data!O:O)</f>
        <v>  0.50 </v>
      </c>
      <c r="P492" s="107" t="str">
        <f t="shared" si="8"/>
        <v>  1.25 </v>
      </c>
      <c r="Q492" s="27"/>
    </row>
    <row r="493" ht="15.75" customHeight="1">
      <c r="A493" s="105" t="s">
        <v>737</v>
      </c>
      <c r="B493" s="19" t="str">
        <f t="array" ref="B493">XLOOKUP(A493,Data!F:F,Data!G:G)</f>
        <v>A1D</v>
      </c>
      <c r="C493" s="19" t="str">
        <f t="shared" si="3"/>
        <v>A045</v>
      </c>
      <c r="D493" s="19" t="str">
        <f t="array" ref="D493">XLOOKUP(A493,Data!F:F,Data!C:C)</f>
        <v>EXT</v>
      </c>
      <c r="E493" s="19" t="str">
        <f t="array" ref="E493">XLOOKUP(A493,Data!F:F,Data!H:H)</f>
        <v>BW</v>
      </c>
      <c r="F493" s="106" t="str">
        <f>SUMIFS(Data!J:J,Data!F:F,A493)</f>
        <v>1</v>
      </c>
      <c r="G493" s="106" t="str">
        <f>SUMIFS(Cast!C:C,CastElements,A493)</f>
        <v>0</v>
      </c>
      <c r="H493" s="106" t="str">
        <f t="shared" si="4"/>
        <v>1</v>
      </c>
      <c r="I493" s="106" t="str">
        <f>SUMIFS(Del!C:C,Del!B:B,A493)</f>
        <v>0</v>
      </c>
      <c r="J493" s="106" t="str">
        <f t="shared" si="5"/>
        <v>1</v>
      </c>
      <c r="K493" s="106" t="str">
        <f t="shared" si="6"/>
        <v>0</v>
      </c>
      <c r="L493" s="106"/>
      <c r="M493" s="106" t="str">
        <f>SUMIFS(Ere!C:C,Ere!B:B,A493)</f>
        <v>0</v>
      </c>
      <c r="N493" s="106" t="str">
        <f t="shared" si="7"/>
        <v>1</v>
      </c>
      <c r="O493" s="107" t="str">
        <f t="array" ref="O493">XLOOKUP(A493,Data!F:F,Data!O:O)</f>
        <v>  0.50 </v>
      </c>
      <c r="P493" s="107" t="str">
        <f t="shared" si="8"/>
        <v>  1.25 </v>
      </c>
      <c r="Q493" s="27"/>
    </row>
    <row r="494" ht="15.75" customHeight="1">
      <c r="A494" s="105" t="s">
        <v>738</v>
      </c>
      <c r="B494" s="19" t="str">
        <f t="array" ref="B494">XLOOKUP(A494,Data!F:F,Data!G:G)</f>
        <v>A1D</v>
      </c>
      <c r="C494" s="19" t="str">
        <f t="shared" si="3"/>
        <v>A045</v>
      </c>
      <c r="D494" s="19" t="str">
        <f t="array" ref="D494">XLOOKUP(A494,Data!F:F,Data!C:C)</f>
        <v>EXT</v>
      </c>
      <c r="E494" s="19" t="str">
        <f t="array" ref="E494">XLOOKUP(A494,Data!F:F,Data!H:H)</f>
        <v>BW</v>
      </c>
      <c r="F494" s="106" t="str">
        <f>SUMIFS(Data!J:J,Data!F:F,A494)</f>
        <v>1</v>
      </c>
      <c r="G494" s="106" t="str">
        <f>SUMIFS(Cast!C:C,CastElements,A494)</f>
        <v>0</v>
      </c>
      <c r="H494" s="106" t="str">
        <f t="shared" si="4"/>
        <v>1</v>
      </c>
      <c r="I494" s="106" t="str">
        <f>SUMIFS(Del!C:C,Del!B:B,A494)</f>
        <v>0</v>
      </c>
      <c r="J494" s="106" t="str">
        <f t="shared" si="5"/>
        <v>1</v>
      </c>
      <c r="K494" s="106" t="str">
        <f t="shared" si="6"/>
        <v>0</v>
      </c>
      <c r="L494" s="106"/>
      <c r="M494" s="106" t="str">
        <f>SUMIFS(Ere!C:C,Ere!B:B,A494)</f>
        <v>0</v>
      </c>
      <c r="N494" s="106" t="str">
        <f t="shared" si="7"/>
        <v>1</v>
      </c>
      <c r="O494" s="107" t="str">
        <f t="array" ref="O494">XLOOKUP(A494,Data!F:F,Data!O:O)</f>
        <v>  0.50 </v>
      </c>
      <c r="P494" s="107" t="str">
        <f t="shared" si="8"/>
        <v>  1.25 </v>
      </c>
      <c r="Q494" s="27"/>
    </row>
    <row r="495" ht="15.75" customHeight="1">
      <c r="A495" s="105" t="s">
        <v>739</v>
      </c>
      <c r="B495" s="19" t="str">
        <f t="array" ref="B495">XLOOKUP(A495,Data!F:F,Data!G:G)</f>
        <v>A1D</v>
      </c>
      <c r="C495" s="19" t="str">
        <f t="shared" si="3"/>
        <v>A045</v>
      </c>
      <c r="D495" s="19" t="str">
        <f t="array" ref="D495">XLOOKUP(A495,Data!F:F,Data!C:C)</f>
        <v>EXT</v>
      </c>
      <c r="E495" s="19" t="str">
        <f t="array" ref="E495">XLOOKUP(A495,Data!F:F,Data!H:H)</f>
        <v>BW</v>
      </c>
      <c r="F495" s="106" t="str">
        <f>SUMIFS(Data!J:J,Data!F:F,A495)</f>
        <v>1</v>
      </c>
      <c r="G495" s="106" t="str">
        <f>SUMIFS(Cast!C:C,CastElements,A495)</f>
        <v>0</v>
      </c>
      <c r="H495" s="106" t="str">
        <f t="shared" si="4"/>
        <v>1</v>
      </c>
      <c r="I495" s="106" t="str">
        <f>SUMIFS(Del!C:C,Del!B:B,A495)</f>
        <v>0</v>
      </c>
      <c r="J495" s="106" t="str">
        <f t="shared" si="5"/>
        <v>1</v>
      </c>
      <c r="K495" s="106" t="str">
        <f t="shared" si="6"/>
        <v>0</v>
      </c>
      <c r="L495" s="106"/>
      <c r="M495" s="106" t="str">
        <f>SUMIFS(Ere!C:C,Ere!B:B,A495)</f>
        <v>0</v>
      </c>
      <c r="N495" s="106" t="str">
        <f t="shared" si="7"/>
        <v>1</v>
      </c>
      <c r="O495" s="107" t="str">
        <f t="array" ref="O495">XLOOKUP(A495,Data!F:F,Data!O:O)</f>
        <v>  0.50 </v>
      </c>
      <c r="P495" s="107" t="str">
        <f t="shared" si="8"/>
        <v>  1.25 </v>
      </c>
      <c r="Q495" s="27"/>
    </row>
    <row r="496" ht="15.75" customHeight="1">
      <c r="A496" s="105" t="s">
        <v>740</v>
      </c>
      <c r="B496" s="19" t="str">
        <f t="array" ref="B496">XLOOKUP(A496,Data!F:F,Data!G:G)</f>
        <v>A1D</v>
      </c>
      <c r="C496" s="19" t="str">
        <f t="shared" si="3"/>
        <v>A045</v>
      </c>
      <c r="D496" s="19" t="str">
        <f t="array" ref="D496">XLOOKUP(A496,Data!F:F,Data!C:C)</f>
        <v>EXT</v>
      </c>
      <c r="E496" s="19" t="str">
        <f t="array" ref="E496">XLOOKUP(A496,Data!F:F,Data!H:H)</f>
        <v>BW</v>
      </c>
      <c r="F496" s="106" t="str">
        <f>SUMIFS(Data!J:J,Data!F:F,A496)</f>
        <v>1</v>
      </c>
      <c r="G496" s="106" t="str">
        <f>SUMIFS(Cast!C:C,CastElements,A496)</f>
        <v>0</v>
      </c>
      <c r="H496" s="106" t="str">
        <f t="shared" si="4"/>
        <v>1</v>
      </c>
      <c r="I496" s="106" t="str">
        <f>SUMIFS(Del!C:C,Del!B:B,A496)</f>
        <v>0</v>
      </c>
      <c r="J496" s="106" t="str">
        <f t="shared" si="5"/>
        <v>1</v>
      </c>
      <c r="K496" s="106" t="str">
        <f t="shared" si="6"/>
        <v>0</v>
      </c>
      <c r="L496" s="106"/>
      <c r="M496" s="106" t="str">
        <f>SUMIFS(Ere!C:C,Ere!B:B,A496)</f>
        <v>0</v>
      </c>
      <c r="N496" s="106" t="str">
        <f t="shared" si="7"/>
        <v>1</v>
      </c>
      <c r="O496" s="107" t="str">
        <f t="array" ref="O496">XLOOKUP(A496,Data!F:F,Data!O:O)</f>
        <v>  0.50 </v>
      </c>
      <c r="P496" s="107" t="str">
        <f t="shared" si="8"/>
        <v>  1.25 </v>
      </c>
      <c r="Q496" s="27"/>
    </row>
    <row r="497" ht="15.75" customHeight="1">
      <c r="A497" s="105" t="s">
        <v>741</v>
      </c>
      <c r="B497" s="19" t="str">
        <f t="array" ref="B497">XLOOKUP(A497,Data!F:F,Data!G:G)</f>
        <v>A1D</v>
      </c>
      <c r="C497" s="19" t="str">
        <f t="shared" si="3"/>
        <v>A045</v>
      </c>
      <c r="D497" s="19" t="str">
        <f t="array" ref="D497">XLOOKUP(A497,Data!F:F,Data!C:C)</f>
        <v>EXT</v>
      </c>
      <c r="E497" s="19" t="str">
        <f t="array" ref="E497">XLOOKUP(A497,Data!F:F,Data!H:H)</f>
        <v>BW</v>
      </c>
      <c r="F497" s="106" t="str">
        <f>SUMIFS(Data!J:J,Data!F:F,A497)</f>
        <v>1</v>
      </c>
      <c r="G497" s="106" t="str">
        <f>SUMIFS(Cast!C:C,CastElements,A497)</f>
        <v>0</v>
      </c>
      <c r="H497" s="106" t="str">
        <f t="shared" si="4"/>
        <v>1</v>
      </c>
      <c r="I497" s="106" t="str">
        <f>SUMIFS(Del!C:C,Del!B:B,A497)</f>
        <v>0</v>
      </c>
      <c r="J497" s="106" t="str">
        <f t="shared" si="5"/>
        <v>1</v>
      </c>
      <c r="K497" s="106" t="str">
        <f t="shared" si="6"/>
        <v>0</v>
      </c>
      <c r="L497" s="106"/>
      <c r="M497" s="106" t="str">
        <f>SUMIFS(Ere!C:C,Ere!B:B,A497)</f>
        <v>0</v>
      </c>
      <c r="N497" s="106" t="str">
        <f t="shared" si="7"/>
        <v>1</v>
      </c>
      <c r="O497" s="107" t="str">
        <f t="array" ref="O497">XLOOKUP(A497,Data!F:F,Data!O:O)</f>
        <v>  0.50 </v>
      </c>
      <c r="P497" s="107" t="str">
        <f t="shared" si="8"/>
        <v>  1.25 </v>
      </c>
      <c r="Q497" s="27"/>
    </row>
    <row r="498" ht="15.75" customHeight="1">
      <c r="A498" s="105" t="s">
        <v>742</v>
      </c>
      <c r="B498" s="19" t="str">
        <f t="array" ref="B498">XLOOKUP(A498,Data!F:F,Data!G:G)</f>
        <v>A1D</v>
      </c>
      <c r="C498" s="19" t="str">
        <f t="shared" si="3"/>
        <v>A045</v>
      </c>
      <c r="D498" s="19" t="str">
        <f t="array" ref="D498">XLOOKUP(A498,Data!F:F,Data!C:C)</f>
        <v>EXT</v>
      </c>
      <c r="E498" s="19" t="str">
        <f t="array" ref="E498">XLOOKUP(A498,Data!F:F,Data!H:H)</f>
        <v>BW</v>
      </c>
      <c r="F498" s="106" t="str">
        <f>SUMIFS(Data!J:J,Data!F:F,A498)</f>
        <v>1</v>
      </c>
      <c r="G498" s="106" t="str">
        <f>SUMIFS(Cast!C:C,CastElements,A498)</f>
        <v>0</v>
      </c>
      <c r="H498" s="106" t="str">
        <f t="shared" si="4"/>
        <v>1</v>
      </c>
      <c r="I498" s="106" t="str">
        <f>SUMIFS(Del!C:C,Del!B:B,A498)</f>
        <v>0</v>
      </c>
      <c r="J498" s="106" t="str">
        <f t="shared" si="5"/>
        <v>1</v>
      </c>
      <c r="K498" s="106" t="str">
        <f t="shared" si="6"/>
        <v>0</v>
      </c>
      <c r="L498" s="106"/>
      <c r="M498" s="106" t="str">
        <f>SUMIFS(Ere!C:C,Ere!B:B,A498)</f>
        <v>0</v>
      </c>
      <c r="N498" s="106" t="str">
        <f t="shared" si="7"/>
        <v>1</v>
      </c>
      <c r="O498" s="107" t="str">
        <f t="array" ref="O498">XLOOKUP(A498,Data!F:F,Data!O:O)</f>
        <v>  0.50 </v>
      </c>
      <c r="P498" s="107" t="str">
        <f t="shared" si="8"/>
        <v>  1.25 </v>
      </c>
      <c r="Q498" s="27"/>
    </row>
    <row r="499" ht="15.75" customHeight="1">
      <c r="A499" s="105" t="s">
        <v>743</v>
      </c>
      <c r="B499" s="19" t="str">
        <f t="array" ref="B499">XLOOKUP(A499,Data!F:F,Data!G:G)</f>
        <v>A1D</v>
      </c>
      <c r="C499" s="19" t="str">
        <f t="shared" si="3"/>
        <v>A045</v>
      </c>
      <c r="D499" s="19" t="str">
        <f t="array" ref="D499">XLOOKUP(A499,Data!F:F,Data!C:C)</f>
        <v>EXT</v>
      </c>
      <c r="E499" s="19" t="str">
        <f t="array" ref="E499">XLOOKUP(A499,Data!F:F,Data!H:H)</f>
        <v>BW</v>
      </c>
      <c r="F499" s="106" t="str">
        <f>SUMIFS(Data!J:J,Data!F:F,A499)</f>
        <v>1</v>
      </c>
      <c r="G499" s="106" t="str">
        <f>SUMIFS(Cast!C:C,CastElements,A499)</f>
        <v>1</v>
      </c>
      <c r="H499" s="106" t="str">
        <f t="shared" si="4"/>
        <v>0</v>
      </c>
      <c r="I499" s="106" t="str">
        <f>SUMIFS(Del!C:C,Del!B:B,A499)</f>
        <v>0</v>
      </c>
      <c r="J499" s="106" t="str">
        <f t="shared" si="5"/>
        <v>1</v>
      </c>
      <c r="K499" s="106" t="str">
        <f t="shared" si="6"/>
        <v>1</v>
      </c>
      <c r="L499" s="106"/>
      <c r="M499" s="106" t="str">
        <f>SUMIFS(Ere!C:C,Ere!B:B,A499)</f>
        <v>0</v>
      </c>
      <c r="N499" s="106" t="str">
        <f t="shared" si="7"/>
        <v>1</v>
      </c>
      <c r="O499" s="107" t="str">
        <f t="array" ref="O499">XLOOKUP(A499,Data!F:F,Data!O:O)</f>
        <v>  0.50 </v>
      </c>
      <c r="P499" s="107" t="str">
        <f t="shared" si="8"/>
        <v>  1.25 </v>
      </c>
      <c r="Q499" s="27"/>
    </row>
    <row r="500" ht="15.75" customHeight="1">
      <c r="A500" s="105" t="s">
        <v>744</v>
      </c>
      <c r="B500" s="19" t="str">
        <f t="array" ref="B500">XLOOKUP(A500,Data!F:F,Data!G:G)</f>
        <v>A1D</v>
      </c>
      <c r="C500" s="19" t="str">
        <f t="shared" si="3"/>
        <v>A045</v>
      </c>
      <c r="D500" s="19" t="str">
        <f t="array" ref="D500">XLOOKUP(A500,Data!F:F,Data!C:C)</f>
        <v/>
      </c>
      <c r="E500" s="19" t="str">
        <f t="array" ref="E500">XLOOKUP(A500,Data!F:F,Data!H:H)</f>
        <v>BW</v>
      </c>
      <c r="F500" s="106" t="str">
        <f>SUMIFS(Data!J:J,Data!F:F,A500)</f>
        <v>1</v>
      </c>
      <c r="G500" s="106" t="str">
        <f>SUMIFS(Cast!C:C,CastElements,A500)</f>
        <v>1</v>
      </c>
      <c r="H500" s="106" t="str">
        <f t="shared" si="4"/>
        <v>0</v>
      </c>
      <c r="I500" s="106" t="str">
        <f>SUMIFS(Del!C:C,Del!B:B,A500)</f>
        <v>0</v>
      </c>
      <c r="J500" s="106" t="str">
        <f t="shared" si="5"/>
        <v>1</v>
      </c>
      <c r="K500" s="106" t="str">
        <f t="shared" si="6"/>
        <v>1</v>
      </c>
      <c r="L500" s="106"/>
      <c r="M500" s="106" t="str">
        <f>SUMIFS(Ere!C:C,Ere!B:B,A500)</f>
        <v>0</v>
      </c>
      <c r="N500" s="106" t="str">
        <f t="shared" si="7"/>
        <v>1</v>
      </c>
      <c r="O500" s="107" t="str">
        <f t="array" ref="O500">XLOOKUP(A500,Data!F:F,Data!O:O)</f>
        <v>  1.52 </v>
      </c>
      <c r="P500" s="107" t="str">
        <f t="shared" si="8"/>
        <v>  3.81 </v>
      </c>
      <c r="Q500" s="27"/>
    </row>
    <row r="501" ht="15.75" customHeight="1">
      <c r="A501" s="105" t="s">
        <v>745</v>
      </c>
      <c r="B501" s="19" t="str">
        <f t="array" ref="B501">XLOOKUP(A501,Data!F:F,Data!G:G)</f>
        <v>A1D</v>
      </c>
      <c r="C501" s="19" t="str">
        <f t="shared" si="3"/>
        <v>A045</v>
      </c>
      <c r="D501" s="19" t="str">
        <f t="array" ref="D501">XLOOKUP(A501,Data!F:F,Data!C:C)</f>
        <v/>
      </c>
      <c r="E501" s="19" t="str">
        <f t="array" ref="E501">XLOOKUP(A501,Data!F:F,Data!H:H)</f>
        <v>BW</v>
      </c>
      <c r="F501" s="106" t="str">
        <f>SUMIFS(Data!J:J,Data!F:F,A501)</f>
        <v>1</v>
      </c>
      <c r="G501" s="106" t="str">
        <f>SUMIFS(Cast!C:C,CastElements,A501)</f>
        <v>1</v>
      </c>
      <c r="H501" s="106" t="str">
        <f t="shared" si="4"/>
        <v>0</v>
      </c>
      <c r="I501" s="106" t="str">
        <f>SUMIFS(Del!C:C,Del!B:B,A501)</f>
        <v>0</v>
      </c>
      <c r="J501" s="106" t="str">
        <f t="shared" si="5"/>
        <v>1</v>
      </c>
      <c r="K501" s="106" t="str">
        <f t="shared" si="6"/>
        <v>1</v>
      </c>
      <c r="L501" s="106"/>
      <c r="M501" s="106" t="str">
        <f>SUMIFS(Ere!C:C,Ere!B:B,A501)</f>
        <v>0</v>
      </c>
      <c r="N501" s="106" t="str">
        <f t="shared" si="7"/>
        <v>1</v>
      </c>
      <c r="O501" s="107" t="str">
        <f t="array" ref="O501">XLOOKUP(A501,Data!F:F,Data!O:O)</f>
        <v>  1.92 </v>
      </c>
      <c r="P501" s="107" t="str">
        <f t="shared" si="8"/>
        <v>  4.80 </v>
      </c>
      <c r="Q501" s="27"/>
    </row>
    <row r="502" ht="15.75" customHeight="1">
      <c r="A502" s="105" t="s">
        <v>746</v>
      </c>
      <c r="B502" s="19" t="str">
        <f t="array" ref="B502">XLOOKUP(A502,Data!F:F,Data!G:G)</f>
        <v>A1D</v>
      </c>
      <c r="C502" s="19" t="str">
        <f t="shared" si="3"/>
        <v>A045</v>
      </c>
      <c r="D502" s="19" t="str">
        <f t="array" ref="D502">XLOOKUP(A502,Data!F:F,Data!C:C)</f>
        <v/>
      </c>
      <c r="E502" s="19" t="str">
        <f t="array" ref="E502">XLOOKUP(A502,Data!F:F,Data!H:H)</f>
        <v>BW</v>
      </c>
      <c r="F502" s="106" t="str">
        <f>SUMIFS(Data!J:J,Data!F:F,A502)</f>
        <v>1</v>
      </c>
      <c r="G502" s="106" t="str">
        <f>SUMIFS(Cast!C:C,CastElements,A502)</f>
        <v>1</v>
      </c>
      <c r="H502" s="106" t="str">
        <f t="shared" si="4"/>
        <v>0</v>
      </c>
      <c r="I502" s="106" t="str">
        <f>SUMIFS(Del!C:C,Del!B:B,A502)</f>
        <v>0</v>
      </c>
      <c r="J502" s="106" t="str">
        <f t="shared" si="5"/>
        <v>1</v>
      </c>
      <c r="K502" s="106" t="str">
        <f t="shared" si="6"/>
        <v>1</v>
      </c>
      <c r="L502" s="106"/>
      <c r="M502" s="106" t="str">
        <f>SUMIFS(Ere!C:C,Ere!B:B,A502)</f>
        <v>0</v>
      </c>
      <c r="N502" s="106" t="str">
        <f t="shared" si="7"/>
        <v>1</v>
      </c>
      <c r="O502" s="107" t="str">
        <f t="array" ref="O502">XLOOKUP(A502,Data!F:F,Data!O:O)</f>
        <v>  1.82 </v>
      </c>
      <c r="P502" s="107" t="str">
        <f t="shared" si="8"/>
        <v>  4.54 </v>
      </c>
      <c r="Q502" s="27"/>
    </row>
    <row r="503" ht="15.75" customHeight="1">
      <c r="A503" s="105" t="s">
        <v>747</v>
      </c>
      <c r="B503" s="19" t="str">
        <f t="array" ref="B503">XLOOKUP(A503,Data!F:F,Data!G:G)</f>
        <v>A1D</v>
      </c>
      <c r="C503" s="19" t="str">
        <f t="shared" si="3"/>
        <v>A045</v>
      </c>
      <c r="D503" s="19" t="str">
        <f t="array" ref="D503">XLOOKUP(A503,Data!F:F,Data!C:C)</f>
        <v/>
      </c>
      <c r="E503" s="19" t="str">
        <f t="array" ref="E503">XLOOKUP(A503,Data!F:F,Data!H:H)</f>
        <v>BW</v>
      </c>
      <c r="F503" s="106" t="str">
        <f>SUMIFS(Data!J:J,Data!F:F,A503)</f>
        <v>1</v>
      </c>
      <c r="G503" s="106" t="str">
        <f>SUMIFS(Cast!C:C,CastElements,A503)</f>
        <v>1</v>
      </c>
      <c r="H503" s="106" t="str">
        <f t="shared" si="4"/>
        <v>0</v>
      </c>
      <c r="I503" s="106" t="str">
        <f>SUMIFS(Del!C:C,Del!B:B,A503)</f>
        <v>0</v>
      </c>
      <c r="J503" s="106" t="str">
        <f t="shared" si="5"/>
        <v>1</v>
      </c>
      <c r="K503" s="106" t="str">
        <f t="shared" si="6"/>
        <v>1</v>
      </c>
      <c r="L503" s="106"/>
      <c r="M503" s="106" t="str">
        <f>SUMIFS(Ere!C:C,Ere!B:B,A503)</f>
        <v>0</v>
      </c>
      <c r="N503" s="106" t="str">
        <f t="shared" si="7"/>
        <v>1</v>
      </c>
      <c r="O503" s="107" t="str">
        <f t="array" ref="O503">XLOOKUP(A503,Data!F:F,Data!O:O)</f>
        <v>  1.82 </v>
      </c>
      <c r="P503" s="107" t="str">
        <f t="shared" si="8"/>
        <v>  4.54 </v>
      </c>
      <c r="Q503" s="27"/>
    </row>
    <row r="504" ht="15.75" customHeight="1">
      <c r="A504" s="105" t="s">
        <v>748</v>
      </c>
      <c r="B504" s="19" t="str">
        <f t="array" ref="B504">XLOOKUP(A504,Data!F:F,Data!G:G)</f>
        <v>A1D</v>
      </c>
      <c r="C504" s="19" t="str">
        <f t="shared" si="3"/>
        <v>A045</v>
      </c>
      <c r="D504" s="19" t="str">
        <f t="array" ref="D504">XLOOKUP(A504,Data!F:F,Data!C:C)</f>
        <v/>
      </c>
      <c r="E504" s="19" t="str">
        <f t="array" ref="E504">XLOOKUP(A504,Data!F:F,Data!H:H)</f>
        <v>BW</v>
      </c>
      <c r="F504" s="106" t="str">
        <f>SUMIFS(Data!J:J,Data!F:F,A504)</f>
        <v>1</v>
      </c>
      <c r="G504" s="106" t="str">
        <f>SUMIFS(Cast!C:C,CastElements,A504)</f>
        <v>1</v>
      </c>
      <c r="H504" s="106" t="str">
        <f t="shared" si="4"/>
        <v>0</v>
      </c>
      <c r="I504" s="106" t="str">
        <f>SUMIFS(Del!C:C,Del!B:B,A504)</f>
        <v>0</v>
      </c>
      <c r="J504" s="106" t="str">
        <f t="shared" si="5"/>
        <v>1</v>
      </c>
      <c r="K504" s="106" t="str">
        <f t="shared" si="6"/>
        <v>1</v>
      </c>
      <c r="L504" s="106"/>
      <c r="M504" s="106" t="str">
        <f>SUMIFS(Ere!C:C,Ere!B:B,A504)</f>
        <v>0</v>
      </c>
      <c r="N504" s="106" t="str">
        <f t="shared" si="7"/>
        <v>1</v>
      </c>
      <c r="O504" s="107" t="str">
        <f t="array" ref="O504">XLOOKUP(A504,Data!F:F,Data!O:O)</f>
        <v>  1.82 </v>
      </c>
      <c r="P504" s="107" t="str">
        <f t="shared" si="8"/>
        <v>  4.54 </v>
      </c>
      <c r="Q504" s="27"/>
    </row>
    <row r="505" ht="15.75" customHeight="1">
      <c r="A505" s="105" t="s">
        <v>749</v>
      </c>
      <c r="B505" s="19" t="str">
        <f t="array" ref="B505">XLOOKUP(A505,Data!F:F,Data!G:G)</f>
        <v>A1D</v>
      </c>
      <c r="C505" s="19" t="str">
        <f t="shared" si="3"/>
        <v>A045</v>
      </c>
      <c r="D505" s="19" t="str">
        <f t="array" ref="D505">XLOOKUP(A505,Data!F:F,Data!C:C)</f>
        <v/>
      </c>
      <c r="E505" s="19" t="str">
        <f t="array" ref="E505">XLOOKUP(A505,Data!F:F,Data!H:H)</f>
        <v>BW</v>
      </c>
      <c r="F505" s="106" t="str">
        <f>SUMIFS(Data!J:J,Data!F:F,A505)</f>
        <v>1</v>
      </c>
      <c r="G505" s="106" t="str">
        <f>SUMIFS(Cast!C:C,CastElements,A505)</f>
        <v>1</v>
      </c>
      <c r="H505" s="106" t="str">
        <f t="shared" si="4"/>
        <v>0</v>
      </c>
      <c r="I505" s="106" t="str">
        <f>SUMIFS(Del!C:C,Del!B:B,A505)</f>
        <v>0</v>
      </c>
      <c r="J505" s="106" t="str">
        <f t="shared" si="5"/>
        <v>1</v>
      </c>
      <c r="K505" s="106" t="str">
        <f t="shared" si="6"/>
        <v>1</v>
      </c>
      <c r="L505" s="106"/>
      <c r="M505" s="106" t="str">
        <f>SUMIFS(Ere!C:C,Ere!B:B,A505)</f>
        <v>0</v>
      </c>
      <c r="N505" s="106" t="str">
        <f t="shared" si="7"/>
        <v>1</v>
      </c>
      <c r="O505" s="107" t="str">
        <f t="array" ref="O505">XLOOKUP(A505,Data!F:F,Data!O:O)</f>
        <v>  1.82 </v>
      </c>
      <c r="P505" s="107" t="str">
        <f t="shared" si="8"/>
        <v>  4.54 </v>
      </c>
      <c r="Q505" s="27"/>
    </row>
    <row r="506" ht="15.75" customHeight="1">
      <c r="A506" s="105" t="s">
        <v>750</v>
      </c>
      <c r="B506" s="19" t="str">
        <f t="array" ref="B506">XLOOKUP(A506,Data!F:F,Data!G:G)</f>
        <v>A1D</v>
      </c>
      <c r="C506" s="19" t="str">
        <f t="shared" si="3"/>
        <v>A045</v>
      </c>
      <c r="D506" s="19" t="str">
        <f t="array" ref="D506">XLOOKUP(A506,Data!F:F,Data!C:C)</f>
        <v/>
      </c>
      <c r="E506" s="19" t="str">
        <f t="array" ref="E506">XLOOKUP(A506,Data!F:F,Data!H:H)</f>
        <v>BW</v>
      </c>
      <c r="F506" s="106" t="str">
        <f>SUMIFS(Data!J:J,Data!F:F,A506)</f>
        <v>1</v>
      </c>
      <c r="G506" s="106" t="str">
        <f>SUMIFS(Cast!C:C,CastElements,A506)</f>
        <v>1</v>
      </c>
      <c r="H506" s="106" t="str">
        <f t="shared" si="4"/>
        <v>0</v>
      </c>
      <c r="I506" s="106" t="str">
        <f>SUMIFS(Del!C:C,Del!B:B,A506)</f>
        <v>0</v>
      </c>
      <c r="J506" s="106" t="str">
        <f t="shared" si="5"/>
        <v>1</v>
      </c>
      <c r="K506" s="106" t="str">
        <f t="shared" si="6"/>
        <v>1</v>
      </c>
      <c r="L506" s="106"/>
      <c r="M506" s="106" t="str">
        <f>SUMIFS(Ere!C:C,Ere!B:B,A506)</f>
        <v>0</v>
      </c>
      <c r="N506" s="106" t="str">
        <f t="shared" si="7"/>
        <v>1</v>
      </c>
      <c r="O506" s="107" t="str">
        <f t="array" ref="O506">XLOOKUP(A506,Data!F:F,Data!O:O)</f>
        <v>  1.82 </v>
      </c>
      <c r="P506" s="107" t="str">
        <f t="shared" si="8"/>
        <v>  4.54 </v>
      </c>
      <c r="Q506" s="27"/>
    </row>
    <row r="507" ht="15.75" customHeight="1">
      <c r="A507" s="105" t="s">
        <v>751</v>
      </c>
      <c r="B507" s="19" t="str">
        <f t="array" ref="B507">XLOOKUP(A507,Data!F:F,Data!G:G)</f>
        <v>A1D</v>
      </c>
      <c r="C507" s="19" t="str">
        <f t="shared" si="3"/>
        <v>A045</v>
      </c>
      <c r="D507" s="19" t="str">
        <f t="array" ref="D507">XLOOKUP(A507,Data!F:F,Data!C:C)</f>
        <v/>
      </c>
      <c r="E507" s="19" t="str">
        <f t="array" ref="E507">XLOOKUP(A507,Data!F:F,Data!H:H)</f>
        <v>BW</v>
      </c>
      <c r="F507" s="106" t="str">
        <f>SUMIFS(Data!J:J,Data!F:F,A507)</f>
        <v>1</v>
      </c>
      <c r="G507" s="106" t="str">
        <f>SUMIFS(Cast!C:C,CastElements,A507)</f>
        <v>1</v>
      </c>
      <c r="H507" s="106" t="str">
        <f t="shared" si="4"/>
        <v>0</v>
      </c>
      <c r="I507" s="106" t="str">
        <f>SUMIFS(Del!C:C,Del!B:B,A507)</f>
        <v>0</v>
      </c>
      <c r="J507" s="106" t="str">
        <f t="shared" si="5"/>
        <v>1</v>
      </c>
      <c r="K507" s="106" t="str">
        <f t="shared" si="6"/>
        <v>1</v>
      </c>
      <c r="L507" s="106"/>
      <c r="M507" s="106" t="str">
        <f>SUMIFS(Ere!C:C,Ere!B:B,A507)</f>
        <v>0</v>
      </c>
      <c r="N507" s="106" t="str">
        <f t="shared" si="7"/>
        <v>1</v>
      </c>
      <c r="O507" s="107" t="str">
        <f t="array" ref="O507">XLOOKUP(A507,Data!F:F,Data!O:O)</f>
        <v>  2.93 </v>
      </c>
      <c r="P507" s="107" t="str">
        <f t="shared" si="8"/>
        <v>  7.32 </v>
      </c>
      <c r="Q507" s="27"/>
    </row>
    <row r="508" ht="15.75" customHeight="1">
      <c r="A508" s="105" t="s">
        <v>752</v>
      </c>
      <c r="B508" s="19" t="str">
        <f t="array" ref="B508">XLOOKUP(A508,Data!F:F,Data!G:G)</f>
        <v>A1D</v>
      </c>
      <c r="C508" s="19" t="str">
        <f t="shared" si="3"/>
        <v>A045</v>
      </c>
      <c r="D508" s="19" t="str">
        <f t="array" ref="D508">XLOOKUP(A508,Data!F:F,Data!C:C)</f>
        <v/>
      </c>
      <c r="E508" s="19" t="str">
        <f t="array" ref="E508">XLOOKUP(A508,Data!F:F,Data!H:H)</f>
        <v>BW</v>
      </c>
      <c r="F508" s="106" t="str">
        <f>SUMIFS(Data!J:J,Data!F:F,A508)</f>
        <v>1</v>
      </c>
      <c r="G508" s="106" t="str">
        <f>SUMIFS(Cast!C:C,CastElements,A508)</f>
        <v>1</v>
      </c>
      <c r="H508" s="106" t="str">
        <f t="shared" si="4"/>
        <v>0</v>
      </c>
      <c r="I508" s="106" t="str">
        <f>SUMIFS(Del!C:C,Del!B:B,A508)</f>
        <v>0</v>
      </c>
      <c r="J508" s="106" t="str">
        <f t="shared" si="5"/>
        <v>1</v>
      </c>
      <c r="K508" s="106" t="str">
        <f t="shared" si="6"/>
        <v>1</v>
      </c>
      <c r="L508" s="106"/>
      <c r="M508" s="106" t="str">
        <f>SUMIFS(Ere!C:C,Ere!B:B,A508)</f>
        <v>0</v>
      </c>
      <c r="N508" s="106" t="str">
        <f t="shared" si="7"/>
        <v>1</v>
      </c>
      <c r="O508" s="107" t="str">
        <f t="array" ref="O508">XLOOKUP(A508,Data!F:F,Data!O:O)</f>
        <v>  1.89 </v>
      </c>
      <c r="P508" s="107" t="str">
        <f t="shared" si="8"/>
        <v>  4.71 </v>
      </c>
      <c r="Q508" s="27"/>
    </row>
    <row r="509" ht="15.75" customHeight="1">
      <c r="A509" s="105" t="s">
        <v>753</v>
      </c>
      <c r="B509" s="19" t="str">
        <f t="array" ref="B509">XLOOKUP(A509,Data!F:F,Data!G:G)</f>
        <v>A1D</v>
      </c>
      <c r="C509" s="19" t="str">
        <f t="shared" si="3"/>
        <v>A045</v>
      </c>
      <c r="D509" s="19" t="str">
        <f t="array" ref="D509">XLOOKUP(A509,Data!F:F,Data!C:C)</f>
        <v/>
      </c>
      <c r="E509" s="19" t="str">
        <f t="array" ref="E509">XLOOKUP(A509,Data!F:F,Data!H:H)</f>
        <v>BW</v>
      </c>
      <c r="F509" s="106" t="str">
        <f>SUMIFS(Data!J:J,Data!F:F,A509)</f>
        <v>1</v>
      </c>
      <c r="G509" s="106" t="str">
        <f>SUMIFS(Cast!C:C,CastElements,A509)</f>
        <v>1</v>
      </c>
      <c r="H509" s="106" t="str">
        <f t="shared" si="4"/>
        <v>0</v>
      </c>
      <c r="I509" s="106" t="str">
        <f>SUMIFS(Del!C:C,Del!B:B,A509)</f>
        <v>0</v>
      </c>
      <c r="J509" s="106" t="str">
        <f t="shared" si="5"/>
        <v>1</v>
      </c>
      <c r="K509" s="106" t="str">
        <f t="shared" si="6"/>
        <v>1</v>
      </c>
      <c r="L509" s="106"/>
      <c r="M509" s="106" t="str">
        <f>SUMIFS(Ere!C:C,Ere!B:B,A509)</f>
        <v>0</v>
      </c>
      <c r="N509" s="106" t="str">
        <f t="shared" si="7"/>
        <v>1</v>
      </c>
      <c r="O509" s="107" t="str">
        <f t="array" ref="O509">XLOOKUP(A509,Data!F:F,Data!O:O)</f>
        <v>  1.75 </v>
      </c>
      <c r="P509" s="107" t="str">
        <f t="shared" si="8"/>
        <v>  4.38 </v>
      </c>
      <c r="Q509" s="27"/>
    </row>
    <row r="510" ht="15.75" customHeight="1">
      <c r="A510" s="105" t="s">
        <v>754</v>
      </c>
      <c r="B510" s="19" t="str">
        <f t="array" ref="B510">XLOOKUP(A510,Data!F:F,Data!G:G)</f>
        <v>A1D</v>
      </c>
      <c r="C510" s="19" t="str">
        <f t="shared" si="3"/>
        <v>A045</v>
      </c>
      <c r="D510" s="19" t="str">
        <f t="array" ref="D510">XLOOKUP(A510,Data!F:F,Data!C:C)</f>
        <v/>
      </c>
      <c r="E510" s="19" t="str">
        <f t="array" ref="E510">XLOOKUP(A510,Data!F:F,Data!H:H)</f>
        <v>BW</v>
      </c>
      <c r="F510" s="106" t="str">
        <f>SUMIFS(Data!J:J,Data!F:F,A510)</f>
        <v>1</v>
      </c>
      <c r="G510" s="106" t="str">
        <f>SUMIFS(Cast!C:C,CastElements,A510)</f>
        <v>1</v>
      </c>
      <c r="H510" s="106" t="str">
        <f t="shared" si="4"/>
        <v>0</v>
      </c>
      <c r="I510" s="106" t="str">
        <f>SUMIFS(Del!C:C,Del!B:B,A510)</f>
        <v>0</v>
      </c>
      <c r="J510" s="106" t="str">
        <f t="shared" si="5"/>
        <v>1</v>
      </c>
      <c r="K510" s="106" t="str">
        <f t="shared" si="6"/>
        <v>1</v>
      </c>
      <c r="L510" s="106"/>
      <c r="M510" s="106" t="str">
        <f>SUMIFS(Ere!C:C,Ere!B:B,A510)</f>
        <v>0</v>
      </c>
      <c r="N510" s="106" t="str">
        <f t="shared" si="7"/>
        <v>1</v>
      </c>
      <c r="O510" s="107" t="str">
        <f t="array" ref="O510">XLOOKUP(A510,Data!F:F,Data!O:O)</f>
        <v>  1.75 </v>
      </c>
      <c r="P510" s="107" t="str">
        <f t="shared" si="8"/>
        <v>  4.38 </v>
      </c>
      <c r="Q510" s="27"/>
    </row>
    <row r="511" ht="15.75" customHeight="1">
      <c r="A511" s="105" t="s">
        <v>755</v>
      </c>
      <c r="B511" s="19" t="str">
        <f t="array" ref="B511">XLOOKUP(A511,Data!F:F,Data!G:G)</f>
        <v>A1D</v>
      </c>
      <c r="C511" s="19" t="str">
        <f t="shared" si="3"/>
        <v>A045</v>
      </c>
      <c r="D511" s="19" t="str">
        <f t="array" ref="D511">XLOOKUP(A511,Data!F:F,Data!C:C)</f>
        <v/>
      </c>
      <c r="E511" s="19" t="str">
        <f t="array" ref="E511">XLOOKUP(A511,Data!F:F,Data!H:H)</f>
        <v>BW</v>
      </c>
      <c r="F511" s="106" t="str">
        <f>SUMIFS(Data!J:J,Data!F:F,A511)</f>
        <v>1</v>
      </c>
      <c r="G511" s="106" t="str">
        <f>SUMIFS(Cast!C:C,CastElements,A511)</f>
        <v>1</v>
      </c>
      <c r="H511" s="106" t="str">
        <f t="shared" si="4"/>
        <v>0</v>
      </c>
      <c r="I511" s="106" t="str">
        <f>SUMIFS(Del!C:C,Del!B:B,A511)</f>
        <v>0</v>
      </c>
      <c r="J511" s="106" t="str">
        <f t="shared" si="5"/>
        <v>1</v>
      </c>
      <c r="K511" s="106" t="str">
        <f t="shared" si="6"/>
        <v>1</v>
      </c>
      <c r="L511" s="106"/>
      <c r="M511" s="106" t="str">
        <f>SUMIFS(Ere!C:C,Ere!B:B,A511)</f>
        <v>0</v>
      </c>
      <c r="N511" s="106" t="str">
        <f t="shared" si="7"/>
        <v>1</v>
      </c>
      <c r="O511" s="107" t="str">
        <f t="array" ref="O511">XLOOKUP(A511,Data!F:F,Data!O:O)</f>
        <v>  1.75 </v>
      </c>
      <c r="P511" s="107" t="str">
        <f t="shared" si="8"/>
        <v>  4.38 </v>
      </c>
      <c r="Q511" s="27"/>
    </row>
    <row r="512" ht="15.75" customHeight="1">
      <c r="A512" s="105" t="s">
        <v>756</v>
      </c>
      <c r="B512" s="19" t="str">
        <f t="array" ref="B512">XLOOKUP(A512,Data!F:F,Data!G:G)</f>
        <v>A1D</v>
      </c>
      <c r="C512" s="19" t="str">
        <f t="shared" si="3"/>
        <v>A045</v>
      </c>
      <c r="D512" s="19" t="str">
        <f t="array" ref="D512">XLOOKUP(A512,Data!F:F,Data!C:C)</f>
        <v/>
      </c>
      <c r="E512" s="19" t="str">
        <f t="array" ref="E512">XLOOKUP(A512,Data!F:F,Data!H:H)</f>
        <v>BW</v>
      </c>
      <c r="F512" s="106" t="str">
        <f>SUMIFS(Data!J:J,Data!F:F,A512)</f>
        <v>1</v>
      </c>
      <c r="G512" s="106" t="str">
        <f>SUMIFS(Cast!C:C,CastElements,A512)</f>
        <v>1</v>
      </c>
      <c r="H512" s="106" t="str">
        <f t="shared" si="4"/>
        <v>0</v>
      </c>
      <c r="I512" s="106" t="str">
        <f>SUMIFS(Del!C:C,Del!B:B,A512)</f>
        <v>0</v>
      </c>
      <c r="J512" s="106" t="str">
        <f t="shared" si="5"/>
        <v>1</v>
      </c>
      <c r="K512" s="106" t="str">
        <f t="shared" si="6"/>
        <v>1</v>
      </c>
      <c r="L512" s="106"/>
      <c r="M512" s="106" t="str">
        <f>SUMIFS(Ere!C:C,Ere!B:B,A512)</f>
        <v>0</v>
      </c>
      <c r="N512" s="106" t="str">
        <f t="shared" si="7"/>
        <v>1</v>
      </c>
      <c r="O512" s="107" t="str">
        <f t="array" ref="O512">XLOOKUP(A512,Data!F:F,Data!O:O)</f>
        <v>  1.75 </v>
      </c>
      <c r="P512" s="107" t="str">
        <f t="shared" si="8"/>
        <v>  4.38 </v>
      </c>
      <c r="Q512" s="27"/>
    </row>
    <row r="513" ht="15.75" customHeight="1">
      <c r="A513" s="105" t="s">
        <v>757</v>
      </c>
      <c r="B513" s="19" t="str">
        <f t="array" ref="B513">XLOOKUP(A513,Data!F:F,Data!G:G)</f>
        <v>A1D</v>
      </c>
      <c r="C513" s="19" t="str">
        <f t="shared" si="3"/>
        <v>A045</v>
      </c>
      <c r="D513" s="19" t="str">
        <f t="array" ref="D513">XLOOKUP(A513,Data!F:F,Data!C:C)</f>
        <v/>
      </c>
      <c r="E513" s="19" t="str">
        <f t="array" ref="E513">XLOOKUP(A513,Data!F:F,Data!H:H)</f>
        <v>BW</v>
      </c>
      <c r="F513" s="106" t="str">
        <f>SUMIFS(Data!J:J,Data!F:F,A513)</f>
        <v>1</v>
      </c>
      <c r="G513" s="106" t="str">
        <f>SUMIFS(Cast!C:C,CastElements,A513)</f>
        <v>0</v>
      </c>
      <c r="H513" s="106" t="str">
        <f t="shared" si="4"/>
        <v>1</v>
      </c>
      <c r="I513" s="106" t="str">
        <f>SUMIFS(Del!C:C,Del!B:B,A513)</f>
        <v>0</v>
      </c>
      <c r="J513" s="106" t="str">
        <f t="shared" si="5"/>
        <v>1</v>
      </c>
      <c r="K513" s="106" t="str">
        <f t="shared" si="6"/>
        <v>0</v>
      </c>
      <c r="L513" s="106"/>
      <c r="M513" s="106" t="str">
        <f>SUMIFS(Ere!C:C,Ere!B:B,A513)</f>
        <v>0</v>
      </c>
      <c r="N513" s="106" t="str">
        <f t="shared" si="7"/>
        <v>1</v>
      </c>
      <c r="O513" s="107" t="str">
        <f t="array" ref="O513">XLOOKUP(A513,Data!F:F,Data!O:O)</f>
        <v>  1.47 </v>
      </c>
      <c r="P513" s="107" t="str">
        <f t="shared" si="8"/>
        <v>  3.68 </v>
      </c>
      <c r="Q513" s="27"/>
    </row>
    <row r="514" ht="15.75" customHeight="1">
      <c r="A514" s="105" t="s">
        <v>758</v>
      </c>
      <c r="B514" s="19" t="str">
        <f t="array" ref="B514">XLOOKUP(A514,Data!F:F,Data!G:G)</f>
        <v>A1D</v>
      </c>
      <c r="C514" s="19" t="str">
        <f t="shared" si="3"/>
        <v>A046</v>
      </c>
      <c r="D514" s="19" t="str">
        <f t="array" ref="D514">XLOOKUP(A514,Data!F:F,Data!C:C)</f>
        <v/>
      </c>
      <c r="E514" s="19" t="str">
        <f t="array" ref="E514">XLOOKUP(A514,Data!F:F,Data!H:H)</f>
        <v>BW</v>
      </c>
      <c r="F514" s="106" t="str">
        <f>SUMIFS(Data!J:J,Data!F:F,A514)</f>
        <v>1</v>
      </c>
      <c r="G514" s="106" t="str">
        <f>SUMIFS(Cast!C:C,CastElements,A514)</f>
        <v>1</v>
      </c>
      <c r="H514" s="106" t="str">
        <f t="shared" si="4"/>
        <v>0</v>
      </c>
      <c r="I514" s="106" t="str">
        <f>SUMIFS(Del!C:C,Del!B:B,A514)</f>
        <v>0</v>
      </c>
      <c r="J514" s="106" t="str">
        <f t="shared" si="5"/>
        <v>1</v>
      </c>
      <c r="K514" s="106" t="str">
        <f t="shared" si="6"/>
        <v>1</v>
      </c>
      <c r="L514" s="106"/>
      <c r="M514" s="106" t="str">
        <f>SUMIFS(Ere!C:C,Ere!B:B,A514)</f>
        <v>0</v>
      </c>
      <c r="N514" s="106" t="str">
        <f t="shared" si="7"/>
        <v>1</v>
      </c>
      <c r="O514" s="107" t="str">
        <f t="array" ref="O514">XLOOKUP(A514,Data!F:F,Data!O:O)</f>
        <v>  0.97 </v>
      </c>
      <c r="P514" s="107" t="str">
        <f t="shared" si="8"/>
        <v>  2.43 </v>
      </c>
      <c r="Q514" s="27"/>
    </row>
    <row r="515" ht="15.75" customHeight="1">
      <c r="A515" s="105" t="s">
        <v>759</v>
      </c>
      <c r="B515" s="19" t="str">
        <f t="array" ref="B515">XLOOKUP(A515,Data!F:F,Data!G:G)</f>
        <v>A1D</v>
      </c>
      <c r="C515" s="19" t="str">
        <f t="shared" si="3"/>
        <v>A046</v>
      </c>
      <c r="D515" s="19" t="str">
        <f t="array" ref="D515">XLOOKUP(A515,Data!F:F,Data!C:C)</f>
        <v/>
      </c>
      <c r="E515" s="19" t="str">
        <f t="array" ref="E515">XLOOKUP(A515,Data!F:F,Data!H:H)</f>
        <v>BW</v>
      </c>
      <c r="F515" s="106" t="str">
        <f>SUMIFS(Data!J:J,Data!F:F,A515)</f>
        <v>1</v>
      </c>
      <c r="G515" s="106" t="str">
        <f>SUMIFS(Cast!C:C,CastElements,A515)</f>
        <v>0</v>
      </c>
      <c r="H515" s="106" t="str">
        <f t="shared" si="4"/>
        <v>1</v>
      </c>
      <c r="I515" s="106" t="str">
        <f>SUMIFS(Del!C:C,Del!B:B,A515)</f>
        <v>0</v>
      </c>
      <c r="J515" s="106" t="str">
        <f t="shared" si="5"/>
        <v>1</v>
      </c>
      <c r="K515" s="106" t="str">
        <f t="shared" si="6"/>
        <v>0</v>
      </c>
      <c r="L515" s="106"/>
      <c r="M515" s="106" t="str">
        <f>SUMIFS(Ere!C:C,Ere!B:B,A515)</f>
        <v>0</v>
      </c>
      <c r="N515" s="106" t="str">
        <f t="shared" si="7"/>
        <v>1</v>
      </c>
      <c r="O515" s="107" t="str">
        <f t="array" ref="O515">XLOOKUP(A515,Data!F:F,Data!O:O)</f>
        <v>  0.35 </v>
      </c>
      <c r="P515" s="107" t="str">
        <f t="shared" si="8"/>
        <v>  0.89 </v>
      </c>
      <c r="Q515" s="27"/>
    </row>
    <row r="516" ht="15.75" customHeight="1">
      <c r="A516" s="105" t="s">
        <v>760</v>
      </c>
      <c r="B516" s="19" t="str">
        <f t="array" ref="B516">XLOOKUP(A516,Data!F:F,Data!G:G)</f>
        <v>A1D</v>
      </c>
      <c r="C516" s="19" t="str">
        <f t="shared" si="3"/>
        <v>A046</v>
      </c>
      <c r="D516" s="19" t="str">
        <f t="array" ref="D516">XLOOKUP(A516,Data!F:F,Data!C:C)</f>
        <v/>
      </c>
      <c r="E516" s="19" t="str">
        <f t="array" ref="E516">XLOOKUP(A516,Data!F:F,Data!H:H)</f>
        <v>BW</v>
      </c>
      <c r="F516" s="106" t="str">
        <f>SUMIFS(Data!J:J,Data!F:F,A516)</f>
        <v>1</v>
      </c>
      <c r="G516" s="106" t="str">
        <f>SUMIFS(Cast!C:C,CastElements,A516)</f>
        <v>0</v>
      </c>
      <c r="H516" s="106" t="str">
        <f t="shared" si="4"/>
        <v>1</v>
      </c>
      <c r="I516" s="106" t="str">
        <f>SUMIFS(Del!C:C,Del!B:B,A516)</f>
        <v>0</v>
      </c>
      <c r="J516" s="106" t="str">
        <f t="shared" si="5"/>
        <v>1</v>
      </c>
      <c r="K516" s="106" t="str">
        <f t="shared" si="6"/>
        <v>0</v>
      </c>
      <c r="L516" s="106"/>
      <c r="M516" s="106" t="str">
        <f>SUMIFS(Ere!C:C,Ere!B:B,A516)</f>
        <v>0</v>
      </c>
      <c r="N516" s="106" t="str">
        <f t="shared" si="7"/>
        <v>1</v>
      </c>
      <c r="O516" s="107" t="str">
        <f t="array" ref="O516">XLOOKUP(A516,Data!F:F,Data!O:O)</f>
        <v>  0.35 </v>
      </c>
      <c r="P516" s="107" t="str">
        <f t="shared" si="8"/>
        <v>  0.88 </v>
      </c>
      <c r="Q516" s="27"/>
    </row>
    <row r="517" ht="15.75" customHeight="1">
      <c r="A517" s="105" t="s">
        <v>761</v>
      </c>
      <c r="B517" s="19" t="str">
        <f t="array" ref="B517">XLOOKUP(A517,Data!F:F,Data!G:G)</f>
        <v>A1D</v>
      </c>
      <c r="C517" s="19" t="str">
        <f t="shared" si="3"/>
        <v>A046</v>
      </c>
      <c r="D517" s="19" t="str">
        <f t="array" ref="D517">XLOOKUP(A517,Data!F:F,Data!C:C)</f>
        <v>EXT</v>
      </c>
      <c r="E517" s="19" t="str">
        <f t="array" ref="E517">XLOOKUP(A517,Data!F:F,Data!H:H)</f>
        <v>BW</v>
      </c>
      <c r="F517" s="106" t="str">
        <f>SUMIFS(Data!J:J,Data!F:F,A517)</f>
        <v>1</v>
      </c>
      <c r="G517" s="106" t="str">
        <f>SUMIFS(Cast!C:C,CastElements,A517)</f>
        <v>0</v>
      </c>
      <c r="H517" s="106" t="str">
        <f t="shared" si="4"/>
        <v>1</v>
      </c>
      <c r="I517" s="106" t="str">
        <f>SUMIFS(Del!C:C,Del!B:B,A517)</f>
        <v>0</v>
      </c>
      <c r="J517" s="106" t="str">
        <f t="shared" si="5"/>
        <v>1</v>
      </c>
      <c r="K517" s="106" t="str">
        <f t="shared" si="6"/>
        <v>0</v>
      </c>
      <c r="L517" s="106"/>
      <c r="M517" s="106" t="str">
        <f>SUMIFS(Ere!C:C,Ere!B:B,A517)</f>
        <v>0</v>
      </c>
      <c r="N517" s="106" t="str">
        <f t="shared" si="7"/>
        <v>1</v>
      </c>
      <c r="O517" s="107" t="str">
        <f t="array" ref="O517">XLOOKUP(A517,Data!F:F,Data!O:O)</f>
        <v>  0.79 </v>
      </c>
      <c r="P517" s="107" t="str">
        <f t="shared" si="8"/>
        <v>  1.99 </v>
      </c>
      <c r="Q517" s="27"/>
    </row>
    <row r="518" ht="15.75" customHeight="1">
      <c r="A518" s="105" t="s">
        <v>762</v>
      </c>
      <c r="B518" s="19" t="str">
        <f t="array" ref="B518">XLOOKUP(A518,Data!F:F,Data!G:G)</f>
        <v>A1D</v>
      </c>
      <c r="C518" s="19" t="str">
        <f t="shared" si="3"/>
        <v>A046</v>
      </c>
      <c r="D518" s="19" t="str">
        <f t="array" ref="D518">XLOOKUP(A518,Data!F:F,Data!C:C)</f>
        <v>EXT</v>
      </c>
      <c r="E518" s="19" t="str">
        <f t="array" ref="E518">XLOOKUP(A518,Data!F:F,Data!H:H)</f>
        <v>BW</v>
      </c>
      <c r="F518" s="106" t="str">
        <f>SUMIFS(Data!J:J,Data!F:F,A518)</f>
        <v>1</v>
      </c>
      <c r="G518" s="106" t="str">
        <f>SUMIFS(Cast!C:C,CastElements,A518)</f>
        <v>0</v>
      </c>
      <c r="H518" s="106" t="str">
        <f t="shared" si="4"/>
        <v>1</v>
      </c>
      <c r="I518" s="106" t="str">
        <f>SUMIFS(Del!C:C,Del!B:B,A518)</f>
        <v>0</v>
      </c>
      <c r="J518" s="106" t="str">
        <f t="shared" si="5"/>
        <v>1</v>
      </c>
      <c r="K518" s="106" t="str">
        <f t="shared" si="6"/>
        <v>0</v>
      </c>
      <c r="L518" s="106"/>
      <c r="M518" s="106" t="str">
        <f>SUMIFS(Ere!C:C,Ere!B:B,A518)</f>
        <v>0</v>
      </c>
      <c r="N518" s="106" t="str">
        <f t="shared" si="7"/>
        <v>1</v>
      </c>
      <c r="O518" s="107" t="str">
        <f t="array" ref="O518">XLOOKUP(A518,Data!F:F,Data!O:O)</f>
        <v>  0.45 </v>
      </c>
      <c r="P518" s="107" t="str">
        <f t="shared" si="8"/>
        <v>  1.14 </v>
      </c>
      <c r="Q518" s="27"/>
    </row>
    <row r="519" ht="15.75" customHeight="1">
      <c r="A519" s="105" t="s">
        <v>763</v>
      </c>
      <c r="B519" s="19" t="str">
        <f t="array" ref="B519">XLOOKUP(A519,Data!F:F,Data!G:G)</f>
        <v>A1D</v>
      </c>
      <c r="C519" s="19" t="str">
        <f t="shared" si="3"/>
        <v>A046</v>
      </c>
      <c r="D519" s="19" t="str">
        <f t="array" ref="D519">XLOOKUP(A519,Data!F:F,Data!C:C)</f>
        <v>EXT</v>
      </c>
      <c r="E519" s="19" t="str">
        <f t="array" ref="E519">XLOOKUP(A519,Data!F:F,Data!H:H)</f>
        <v>BW</v>
      </c>
      <c r="F519" s="106" t="str">
        <f>SUMIFS(Data!J:J,Data!F:F,A519)</f>
        <v>1</v>
      </c>
      <c r="G519" s="106" t="str">
        <f>SUMIFS(Cast!C:C,CastElements,A519)</f>
        <v>0</v>
      </c>
      <c r="H519" s="106" t="str">
        <f t="shared" si="4"/>
        <v>1</v>
      </c>
      <c r="I519" s="106" t="str">
        <f>SUMIFS(Del!C:C,Del!B:B,A519)</f>
        <v>0</v>
      </c>
      <c r="J519" s="106" t="str">
        <f t="shared" si="5"/>
        <v>1</v>
      </c>
      <c r="K519" s="106" t="str">
        <f t="shared" si="6"/>
        <v>0</v>
      </c>
      <c r="L519" s="106"/>
      <c r="M519" s="106" t="str">
        <f>SUMIFS(Ere!C:C,Ere!B:B,A519)</f>
        <v>0</v>
      </c>
      <c r="N519" s="106" t="str">
        <f t="shared" si="7"/>
        <v>1</v>
      </c>
      <c r="O519" s="107" t="str">
        <f t="array" ref="O519">XLOOKUP(A519,Data!F:F,Data!O:O)</f>
        <v>  0.50 </v>
      </c>
      <c r="P519" s="107" t="str">
        <f t="shared" si="8"/>
        <v>  1.25 </v>
      </c>
      <c r="Q519" s="27"/>
    </row>
    <row r="520" ht="15.75" customHeight="1">
      <c r="A520" s="105" t="s">
        <v>764</v>
      </c>
      <c r="B520" s="19" t="str">
        <f t="array" ref="B520">XLOOKUP(A520,Data!F:F,Data!G:G)</f>
        <v>A1D</v>
      </c>
      <c r="C520" s="19" t="str">
        <f t="shared" si="3"/>
        <v>A046</v>
      </c>
      <c r="D520" s="19" t="str">
        <f t="array" ref="D520">XLOOKUP(A520,Data!F:F,Data!C:C)</f>
        <v>EXT</v>
      </c>
      <c r="E520" s="19" t="str">
        <f t="array" ref="E520">XLOOKUP(A520,Data!F:F,Data!H:H)</f>
        <v>BW</v>
      </c>
      <c r="F520" s="106" t="str">
        <f>SUMIFS(Data!J:J,Data!F:F,A520)</f>
        <v>1</v>
      </c>
      <c r="G520" s="106" t="str">
        <f>SUMIFS(Cast!C:C,CastElements,A520)</f>
        <v>0</v>
      </c>
      <c r="H520" s="106" t="str">
        <f t="shared" si="4"/>
        <v>1</v>
      </c>
      <c r="I520" s="106" t="str">
        <f>SUMIFS(Del!C:C,Del!B:B,A520)</f>
        <v>0</v>
      </c>
      <c r="J520" s="106" t="str">
        <f t="shared" si="5"/>
        <v>1</v>
      </c>
      <c r="K520" s="106" t="str">
        <f t="shared" si="6"/>
        <v>0</v>
      </c>
      <c r="L520" s="106"/>
      <c r="M520" s="106" t="str">
        <f>SUMIFS(Ere!C:C,Ere!B:B,A520)</f>
        <v>0</v>
      </c>
      <c r="N520" s="106" t="str">
        <f t="shared" si="7"/>
        <v>1</v>
      </c>
      <c r="O520" s="107" t="str">
        <f t="array" ref="O520">XLOOKUP(A520,Data!F:F,Data!O:O)</f>
        <v>  0.50 </v>
      </c>
      <c r="P520" s="107" t="str">
        <f t="shared" si="8"/>
        <v>  1.25 </v>
      </c>
      <c r="Q520" s="27"/>
    </row>
    <row r="521" ht="15.75" customHeight="1">
      <c r="A521" s="105" t="s">
        <v>765</v>
      </c>
      <c r="B521" s="19" t="str">
        <f t="array" ref="B521">XLOOKUP(A521,Data!F:F,Data!G:G)</f>
        <v>A1D</v>
      </c>
      <c r="C521" s="19" t="str">
        <f t="shared" si="3"/>
        <v>A046</v>
      </c>
      <c r="D521" s="19" t="str">
        <f t="array" ref="D521">XLOOKUP(A521,Data!F:F,Data!C:C)</f>
        <v>EXT</v>
      </c>
      <c r="E521" s="19" t="str">
        <f t="array" ref="E521">XLOOKUP(A521,Data!F:F,Data!H:H)</f>
        <v>BW</v>
      </c>
      <c r="F521" s="106" t="str">
        <f>SUMIFS(Data!J:J,Data!F:F,A521)</f>
        <v>1</v>
      </c>
      <c r="G521" s="106" t="str">
        <f>SUMIFS(Cast!C:C,CastElements,A521)</f>
        <v>0</v>
      </c>
      <c r="H521" s="106" t="str">
        <f t="shared" si="4"/>
        <v>1</v>
      </c>
      <c r="I521" s="106" t="str">
        <f>SUMIFS(Del!C:C,Del!B:B,A521)</f>
        <v>0</v>
      </c>
      <c r="J521" s="106" t="str">
        <f t="shared" si="5"/>
        <v>1</v>
      </c>
      <c r="K521" s="106" t="str">
        <f t="shared" si="6"/>
        <v>0</v>
      </c>
      <c r="L521" s="106"/>
      <c r="M521" s="106" t="str">
        <f>SUMIFS(Ere!C:C,Ere!B:B,A521)</f>
        <v>0</v>
      </c>
      <c r="N521" s="106" t="str">
        <f t="shared" si="7"/>
        <v>1</v>
      </c>
      <c r="O521" s="107" t="str">
        <f t="array" ref="O521">XLOOKUP(A521,Data!F:F,Data!O:O)</f>
        <v>  0.50 </v>
      </c>
      <c r="P521" s="107" t="str">
        <f t="shared" si="8"/>
        <v>  1.25 </v>
      </c>
      <c r="Q521" s="27"/>
    </row>
    <row r="522" ht="15.75" customHeight="1">
      <c r="A522" s="105" t="s">
        <v>766</v>
      </c>
      <c r="B522" s="19" t="str">
        <f t="array" ref="B522">XLOOKUP(A522,Data!F:F,Data!G:G)</f>
        <v>A1D</v>
      </c>
      <c r="C522" s="19" t="str">
        <f t="shared" si="3"/>
        <v>A046</v>
      </c>
      <c r="D522" s="19" t="str">
        <f t="array" ref="D522">XLOOKUP(A522,Data!F:F,Data!C:C)</f>
        <v>EXT</v>
      </c>
      <c r="E522" s="19" t="str">
        <f t="array" ref="E522">XLOOKUP(A522,Data!F:F,Data!H:H)</f>
        <v>BW</v>
      </c>
      <c r="F522" s="106" t="str">
        <f>SUMIFS(Data!J:J,Data!F:F,A522)</f>
        <v>1</v>
      </c>
      <c r="G522" s="106" t="str">
        <f>SUMIFS(Cast!C:C,CastElements,A522)</f>
        <v>0</v>
      </c>
      <c r="H522" s="106" t="str">
        <f t="shared" si="4"/>
        <v>1</v>
      </c>
      <c r="I522" s="106" t="str">
        <f>SUMIFS(Del!C:C,Del!B:B,A522)</f>
        <v>0</v>
      </c>
      <c r="J522" s="106" t="str">
        <f t="shared" si="5"/>
        <v>1</v>
      </c>
      <c r="K522" s="106" t="str">
        <f t="shared" si="6"/>
        <v>0</v>
      </c>
      <c r="L522" s="106"/>
      <c r="M522" s="106" t="str">
        <f>SUMIFS(Ere!C:C,Ere!B:B,A522)</f>
        <v>0</v>
      </c>
      <c r="N522" s="106" t="str">
        <f t="shared" si="7"/>
        <v>1</v>
      </c>
      <c r="O522" s="107" t="str">
        <f t="array" ref="O522">XLOOKUP(A522,Data!F:F,Data!O:O)</f>
        <v>  0.50 </v>
      </c>
      <c r="P522" s="107" t="str">
        <f t="shared" si="8"/>
        <v>  1.25 </v>
      </c>
      <c r="Q522" s="27"/>
    </row>
    <row r="523" ht="15.75" customHeight="1">
      <c r="A523" s="105" t="s">
        <v>767</v>
      </c>
      <c r="B523" s="19" t="str">
        <f t="array" ref="B523">XLOOKUP(A523,Data!F:F,Data!G:G)</f>
        <v>A1D</v>
      </c>
      <c r="C523" s="19" t="str">
        <f t="shared" si="3"/>
        <v>A046</v>
      </c>
      <c r="D523" s="19" t="str">
        <f t="array" ref="D523">XLOOKUP(A523,Data!F:F,Data!C:C)</f>
        <v>EXT</v>
      </c>
      <c r="E523" s="19" t="str">
        <f t="array" ref="E523">XLOOKUP(A523,Data!F:F,Data!H:H)</f>
        <v>BW</v>
      </c>
      <c r="F523" s="106" t="str">
        <f>SUMIFS(Data!J:J,Data!F:F,A523)</f>
        <v>1</v>
      </c>
      <c r="G523" s="106" t="str">
        <f>SUMIFS(Cast!C:C,CastElements,A523)</f>
        <v>0</v>
      </c>
      <c r="H523" s="106" t="str">
        <f t="shared" si="4"/>
        <v>1</v>
      </c>
      <c r="I523" s="106" t="str">
        <f>SUMIFS(Del!C:C,Del!B:B,A523)</f>
        <v>0</v>
      </c>
      <c r="J523" s="106" t="str">
        <f t="shared" si="5"/>
        <v>1</v>
      </c>
      <c r="K523" s="106" t="str">
        <f t="shared" si="6"/>
        <v>0</v>
      </c>
      <c r="L523" s="106"/>
      <c r="M523" s="106" t="str">
        <f>SUMIFS(Ere!C:C,Ere!B:B,A523)</f>
        <v>0</v>
      </c>
      <c r="N523" s="106" t="str">
        <f t="shared" si="7"/>
        <v>1</v>
      </c>
      <c r="O523" s="107" t="str">
        <f t="array" ref="O523">XLOOKUP(A523,Data!F:F,Data!O:O)</f>
        <v>  0.50 </v>
      </c>
      <c r="P523" s="107" t="str">
        <f t="shared" si="8"/>
        <v>  1.25 </v>
      </c>
      <c r="Q523" s="27"/>
    </row>
    <row r="524" ht="15.75" customHeight="1">
      <c r="A524" s="105" t="s">
        <v>768</v>
      </c>
      <c r="B524" s="19" t="str">
        <f t="array" ref="B524">XLOOKUP(A524,Data!F:F,Data!G:G)</f>
        <v>A1D</v>
      </c>
      <c r="C524" s="19" t="str">
        <f t="shared" si="3"/>
        <v>A046</v>
      </c>
      <c r="D524" s="19" t="str">
        <f t="array" ref="D524">XLOOKUP(A524,Data!F:F,Data!C:C)</f>
        <v>EXT</v>
      </c>
      <c r="E524" s="19" t="str">
        <f t="array" ref="E524">XLOOKUP(A524,Data!F:F,Data!H:H)</f>
        <v>BW</v>
      </c>
      <c r="F524" s="106" t="str">
        <f>SUMIFS(Data!J:J,Data!F:F,A524)</f>
        <v>1</v>
      </c>
      <c r="G524" s="106" t="str">
        <f>SUMIFS(Cast!C:C,CastElements,A524)</f>
        <v>0</v>
      </c>
      <c r="H524" s="106" t="str">
        <f t="shared" si="4"/>
        <v>1</v>
      </c>
      <c r="I524" s="106" t="str">
        <f>SUMIFS(Del!C:C,Del!B:B,A524)</f>
        <v>0</v>
      </c>
      <c r="J524" s="106" t="str">
        <f t="shared" si="5"/>
        <v>1</v>
      </c>
      <c r="K524" s="106" t="str">
        <f t="shared" si="6"/>
        <v>0</v>
      </c>
      <c r="L524" s="106"/>
      <c r="M524" s="106" t="str">
        <f>SUMIFS(Ere!C:C,Ere!B:B,A524)</f>
        <v>0</v>
      </c>
      <c r="N524" s="106" t="str">
        <f t="shared" si="7"/>
        <v>1</v>
      </c>
      <c r="O524" s="107" t="str">
        <f t="array" ref="O524">XLOOKUP(A524,Data!F:F,Data!O:O)</f>
        <v>  0.50 </v>
      </c>
      <c r="P524" s="107" t="str">
        <f t="shared" si="8"/>
        <v>  1.25 </v>
      </c>
      <c r="Q524" s="27"/>
    </row>
    <row r="525" ht="15.75" customHeight="1">
      <c r="A525" s="105" t="s">
        <v>769</v>
      </c>
      <c r="B525" s="19" t="str">
        <f t="array" ref="B525">XLOOKUP(A525,Data!F:F,Data!G:G)</f>
        <v>A1D</v>
      </c>
      <c r="C525" s="19" t="str">
        <f t="shared" si="3"/>
        <v>A046</v>
      </c>
      <c r="D525" s="19" t="str">
        <f t="array" ref="D525">XLOOKUP(A525,Data!F:F,Data!C:C)</f>
        <v>EXT</v>
      </c>
      <c r="E525" s="19" t="str">
        <f t="array" ref="E525">XLOOKUP(A525,Data!F:F,Data!H:H)</f>
        <v>BW</v>
      </c>
      <c r="F525" s="106" t="str">
        <f>SUMIFS(Data!J:J,Data!F:F,A525)</f>
        <v>1</v>
      </c>
      <c r="G525" s="106" t="str">
        <f>SUMIFS(Cast!C:C,CastElements,A525)</f>
        <v>0</v>
      </c>
      <c r="H525" s="106" t="str">
        <f t="shared" si="4"/>
        <v>1</v>
      </c>
      <c r="I525" s="106" t="str">
        <f>SUMIFS(Del!C:C,Del!B:B,A525)</f>
        <v>0</v>
      </c>
      <c r="J525" s="106" t="str">
        <f t="shared" si="5"/>
        <v>1</v>
      </c>
      <c r="K525" s="106" t="str">
        <f t="shared" si="6"/>
        <v>0</v>
      </c>
      <c r="L525" s="106"/>
      <c r="M525" s="106" t="str">
        <f>SUMIFS(Ere!C:C,Ere!B:B,A525)</f>
        <v>0</v>
      </c>
      <c r="N525" s="106" t="str">
        <f t="shared" si="7"/>
        <v>1</v>
      </c>
      <c r="O525" s="107" t="str">
        <f t="array" ref="O525">XLOOKUP(A525,Data!F:F,Data!O:O)</f>
        <v>  0.50 </v>
      </c>
      <c r="P525" s="107" t="str">
        <f t="shared" si="8"/>
        <v>  1.25 </v>
      </c>
      <c r="Q525" s="27"/>
    </row>
    <row r="526" ht="15.75" customHeight="1">
      <c r="A526" s="105" t="s">
        <v>770</v>
      </c>
      <c r="B526" s="19" t="str">
        <f t="array" ref="B526">XLOOKUP(A526,Data!F:F,Data!G:G)</f>
        <v>A1D</v>
      </c>
      <c r="C526" s="19" t="str">
        <f t="shared" si="3"/>
        <v>A046</v>
      </c>
      <c r="D526" s="19" t="str">
        <f t="array" ref="D526">XLOOKUP(A526,Data!F:F,Data!C:C)</f>
        <v>EXT</v>
      </c>
      <c r="E526" s="19" t="str">
        <f t="array" ref="E526">XLOOKUP(A526,Data!F:F,Data!H:H)</f>
        <v>BW</v>
      </c>
      <c r="F526" s="106" t="str">
        <f>SUMIFS(Data!J:J,Data!F:F,A526)</f>
        <v>1</v>
      </c>
      <c r="G526" s="106" t="str">
        <f>SUMIFS(Cast!C:C,CastElements,A526)</f>
        <v>0</v>
      </c>
      <c r="H526" s="106" t="str">
        <f t="shared" si="4"/>
        <v>1</v>
      </c>
      <c r="I526" s="106" t="str">
        <f>SUMIFS(Del!C:C,Del!B:B,A526)</f>
        <v>0</v>
      </c>
      <c r="J526" s="106" t="str">
        <f t="shared" si="5"/>
        <v>1</v>
      </c>
      <c r="K526" s="106" t="str">
        <f t="shared" si="6"/>
        <v>0</v>
      </c>
      <c r="L526" s="106"/>
      <c r="M526" s="106" t="str">
        <f>SUMIFS(Ere!C:C,Ere!B:B,A526)</f>
        <v>0</v>
      </c>
      <c r="N526" s="106" t="str">
        <f t="shared" si="7"/>
        <v>1</v>
      </c>
      <c r="O526" s="107" t="str">
        <f t="array" ref="O526">XLOOKUP(A526,Data!F:F,Data!O:O)</f>
        <v>  0.50 </v>
      </c>
      <c r="P526" s="107" t="str">
        <f t="shared" si="8"/>
        <v>  1.25 </v>
      </c>
      <c r="Q526" s="27"/>
    </row>
    <row r="527" ht="15.75" customHeight="1">
      <c r="A527" s="105" t="s">
        <v>771</v>
      </c>
      <c r="B527" s="19" t="str">
        <f t="array" ref="B527">XLOOKUP(A527,Data!F:F,Data!G:G)</f>
        <v>A1D</v>
      </c>
      <c r="C527" s="19" t="str">
        <f t="shared" si="3"/>
        <v>A046</v>
      </c>
      <c r="D527" s="19" t="str">
        <f t="array" ref="D527">XLOOKUP(A527,Data!F:F,Data!C:C)</f>
        <v>EXT</v>
      </c>
      <c r="E527" s="19" t="str">
        <f t="array" ref="E527">XLOOKUP(A527,Data!F:F,Data!H:H)</f>
        <v>BW</v>
      </c>
      <c r="F527" s="106" t="str">
        <f>SUMIFS(Data!J:J,Data!F:F,A527)</f>
        <v>1</v>
      </c>
      <c r="G527" s="106" t="str">
        <f>SUMIFS(Cast!C:C,CastElements,A527)</f>
        <v>0</v>
      </c>
      <c r="H527" s="106" t="str">
        <f t="shared" si="4"/>
        <v>1</v>
      </c>
      <c r="I527" s="106" t="str">
        <f>SUMIFS(Del!C:C,Del!B:B,A527)</f>
        <v>0</v>
      </c>
      <c r="J527" s="106" t="str">
        <f t="shared" si="5"/>
        <v>1</v>
      </c>
      <c r="K527" s="106" t="str">
        <f t="shared" si="6"/>
        <v>0</v>
      </c>
      <c r="L527" s="106"/>
      <c r="M527" s="106" t="str">
        <f>SUMIFS(Ere!C:C,Ere!B:B,A527)</f>
        <v>0</v>
      </c>
      <c r="N527" s="106" t="str">
        <f t="shared" si="7"/>
        <v>1</v>
      </c>
      <c r="O527" s="107" t="str">
        <f t="array" ref="O527">XLOOKUP(A527,Data!F:F,Data!O:O)</f>
        <v>  0.50 </v>
      </c>
      <c r="P527" s="107" t="str">
        <f t="shared" si="8"/>
        <v>  1.25 </v>
      </c>
      <c r="Q527" s="27"/>
    </row>
    <row r="528" ht="15.75" customHeight="1">
      <c r="A528" s="105" t="s">
        <v>772</v>
      </c>
      <c r="B528" s="19" t="str">
        <f t="array" ref="B528">XLOOKUP(A528,Data!F:F,Data!G:G)</f>
        <v>A1D</v>
      </c>
      <c r="C528" s="19" t="str">
        <f t="shared" si="3"/>
        <v>A046</v>
      </c>
      <c r="D528" s="19" t="str">
        <f t="array" ref="D528">XLOOKUP(A528,Data!F:F,Data!C:C)</f>
        <v>EXT</v>
      </c>
      <c r="E528" s="19" t="str">
        <f t="array" ref="E528">XLOOKUP(A528,Data!F:F,Data!H:H)</f>
        <v>BW</v>
      </c>
      <c r="F528" s="106" t="str">
        <f>SUMIFS(Data!J:J,Data!F:F,A528)</f>
        <v>1</v>
      </c>
      <c r="G528" s="106" t="str">
        <f>SUMIFS(Cast!C:C,CastElements,A528)</f>
        <v>0</v>
      </c>
      <c r="H528" s="106" t="str">
        <f t="shared" si="4"/>
        <v>1</v>
      </c>
      <c r="I528" s="106" t="str">
        <f>SUMIFS(Del!C:C,Del!B:B,A528)</f>
        <v>0</v>
      </c>
      <c r="J528" s="106" t="str">
        <f t="shared" si="5"/>
        <v>1</v>
      </c>
      <c r="K528" s="106" t="str">
        <f t="shared" si="6"/>
        <v>0</v>
      </c>
      <c r="L528" s="106"/>
      <c r="M528" s="106" t="str">
        <f>SUMIFS(Ere!C:C,Ere!B:B,A528)</f>
        <v>0</v>
      </c>
      <c r="N528" s="106" t="str">
        <f t="shared" si="7"/>
        <v>1</v>
      </c>
      <c r="O528" s="107" t="str">
        <f t="array" ref="O528">XLOOKUP(A528,Data!F:F,Data!O:O)</f>
        <v>  0.50 </v>
      </c>
      <c r="P528" s="107" t="str">
        <f t="shared" si="8"/>
        <v>  1.25 </v>
      </c>
      <c r="Q528" s="27"/>
    </row>
    <row r="529" ht="15.75" customHeight="1">
      <c r="A529" s="105" t="s">
        <v>773</v>
      </c>
      <c r="B529" s="19" t="str">
        <f t="array" ref="B529">XLOOKUP(A529,Data!F:F,Data!G:G)</f>
        <v>A1D</v>
      </c>
      <c r="C529" s="19" t="str">
        <f t="shared" si="3"/>
        <v>A046</v>
      </c>
      <c r="D529" s="19" t="str">
        <f t="array" ref="D529">XLOOKUP(A529,Data!F:F,Data!C:C)</f>
        <v>EXT</v>
      </c>
      <c r="E529" s="19" t="str">
        <f t="array" ref="E529">XLOOKUP(A529,Data!F:F,Data!H:H)</f>
        <v>BW</v>
      </c>
      <c r="F529" s="106" t="str">
        <f>SUMIFS(Data!J:J,Data!F:F,A529)</f>
        <v>1</v>
      </c>
      <c r="G529" s="106" t="str">
        <f>SUMIFS(Cast!C:C,CastElements,A529)</f>
        <v>0</v>
      </c>
      <c r="H529" s="106" t="str">
        <f t="shared" si="4"/>
        <v>1</v>
      </c>
      <c r="I529" s="106" t="str">
        <f>SUMIFS(Del!C:C,Del!B:B,A529)</f>
        <v>0</v>
      </c>
      <c r="J529" s="106" t="str">
        <f t="shared" si="5"/>
        <v>1</v>
      </c>
      <c r="K529" s="106" t="str">
        <f t="shared" si="6"/>
        <v>0</v>
      </c>
      <c r="L529" s="106"/>
      <c r="M529" s="106" t="str">
        <f>SUMIFS(Ere!C:C,Ere!B:B,A529)</f>
        <v>0</v>
      </c>
      <c r="N529" s="106" t="str">
        <f t="shared" si="7"/>
        <v>1</v>
      </c>
      <c r="O529" s="107" t="str">
        <f t="array" ref="O529">XLOOKUP(A529,Data!F:F,Data!O:O)</f>
        <v>  0.50 </v>
      </c>
      <c r="P529" s="107" t="str">
        <f t="shared" si="8"/>
        <v>  1.25 </v>
      </c>
      <c r="Q529" s="27"/>
    </row>
    <row r="530" ht="15.75" customHeight="1">
      <c r="A530" s="105" t="s">
        <v>774</v>
      </c>
      <c r="B530" s="19" t="str">
        <f t="array" ref="B530">XLOOKUP(A530,Data!F:F,Data!G:G)</f>
        <v>A1D</v>
      </c>
      <c r="C530" s="19" t="str">
        <f t="shared" si="3"/>
        <v>A046</v>
      </c>
      <c r="D530" s="19" t="str">
        <f t="array" ref="D530">XLOOKUP(A530,Data!F:F,Data!C:C)</f>
        <v>EXT</v>
      </c>
      <c r="E530" s="19" t="str">
        <f t="array" ref="E530">XLOOKUP(A530,Data!F:F,Data!H:H)</f>
        <v>BW</v>
      </c>
      <c r="F530" s="106" t="str">
        <f>SUMIFS(Data!J:J,Data!F:F,A530)</f>
        <v>1</v>
      </c>
      <c r="G530" s="106" t="str">
        <f>SUMIFS(Cast!C:C,CastElements,A530)</f>
        <v>0</v>
      </c>
      <c r="H530" s="106" t="str">
        <f t="shared" si="4"/>
        <v>1</v>
      </c>
      <c r="I530" s="106" t="str">
        <f>SUMIFS(Del!C:C,Del!B:B,A530)</f>
        <v>0</v>
      </c>
      <c r="J530" s="106" t="str">
        <f t="shared" si="5"/>
        <v>1</v>
      </c>
      <c r="K530" s="106" t="str">
        <f t="shared" si="6"/>
        <v>0</v>
      </c>
      <c r="L530" s="106"/>
      <c r="M530" s="106" t="str">
        <f>SUMIFS(Ere!C:C,Ere!B:B,A530)</f>
        <v>0</v>
      </c>
      <c r="N530" s="106" t="str">
        <f t="shared" si="7"/>
        <v>1</v>
      </c>
      <c r="O530" s="107" t="str">
        <f t="array" ref="O530">XLOOKUP(A530,Data!F:F,Data!O:O)</f>
        <v>  0.64 </v>
      </c>
      <c r="P530" s="107" t="str">
        <f t="shared" si="8"/>
        <v>  1.61 </v>
      </c>
      <c r="Q530" s="27"/>
    </row>
    <row r="531" ht="15.75" customHeight="1">
      <c r="A531" s="105" t="s">
        <v>775</v>
      </c>
      <c r="B531" s="19" t="str">
        <f t="array" ref="B531">XLOOKUP(A531,Data!F:F,Data!G:G)</f>
        <v>A1D</v>
      </c>
      <c r="C531" s="19" t="str">
        <f t="shared" si="3"/>
        <v>A046</v>
      </c>
      <c r="D531" s="19" t="str">
        <f t="array" ref="D531">XLOOKUP(A531,Data!F:F,Data!C:C)</f>
        <v/>
      </c>
      <c r="E531" s="19" t="str">
        <f t="array" ref="E531">XLOOKUP(A531,Data!F:F,Data!H:H)</f>
        <v>BW</v>
      </c>
      <c r="F531" s="106" t="str">
        <f>SUMIFS(Data!J:J,Data!F:F,A531)</f>
        <v>1</v>
      </c>
      <c r="G531" s="106" t="str">
        <f>SUMIFS(Cast!C:C,CastElements,A531)</f>
        <v>1</v>
      </c>
      <c r="H531" s="106" t="str">
        <f t="shared" si="4"/>
        <v>0</v>
      </c>
      <c r="I531" s="106" t="str">
        <f>SUMIFS(Del!C:C,Del!B:B,A531)</f>
        <v>0</v>
      </c>
      <c r="J531" s="106" t="str">
        <f t="shared" si="5"/>
        <v>1</v>
      </c>
      <c r="K531" s="106" t="str">
        <f t="shared" si="6"/>
        <v>1</v>
      </c>
      <c r="L531" s="106"/>
      <c r="M531" s="106" t="str">
        <f>SUMIFS(Ere!C:C,Ere!B:B,A531)</f>
        <v>0</v>
      </c>
      <c r="N531" s="106" t="str">
        <f t="shared" si="7"/>
        <v>1</v>
      </c>
      <c r="O531" s="107" t="str">
        <f t="array" ref="O531">XLOOKUP(A531,Data!F:F,Data!O:O)</f>
        <v>  1.72 </v>
      </c>
      <c r="P531" s="107" t="str">
        <f t="shared" si="8"/>
        <v>  4.31 </v>
      </c>
      <c r="Q531" s="27"/>
    </row>
    <row r="532" ht="15.75" customHeight="1">
      <c r="A532" s="105" t="s">
        <v>776</v>
      </c>
      <c r="B532" s="19" t="str">
        <f t="array" ref="B532">XLOOKUP(A532,Data!F:F,Data!G:G)</f>
        <v>A1D</v>
      </c>
      <c r="C532" s="19" t="str">
        <f t="shared" si="3"/>
        <v>A046</v>
      </c>
      <c r="D532" s="19" t="str">
        <f t="array" ref="D532">XLOOKUP(A532,Data!F:F,Data!C:C)</f>
        <v/>
      </c>
      <c r="E532" s="19" t="str">
        <f t="array" ref="E532">XLOOKUP(A532,Data!F:F,Data!H:H)</f>
        <v>BW</v>
      </c>
      <c r="F532" s="106" t="str">
        <f>SUMIFS(Data!J:J,Data!F:F,A532)</f>
        <v>1</v>
      </c>
      <c r="G532" s="106" t="str">
        <f>SUMIFS(Cast!C:C,CastElements,A532)</f>
        <v>1</v>
      </c>
      <c r="H532" s="106" t="str">
        <f t="shared" si="4"/>
        <v>0</v>
      </c>
      <c r="I532" s="106" t="str">
        <f>SUMIFS(Del!C:C,Del!B:B,A532)</f>
        <v>0</v>
      </c>
      <c r="J532" s="106" t="str">
        <f t="shared" si="5"/>
        <v>1</v>
      </c>
      <c r="K532" s="106" t="str">
        <f t="shared" si="6"/>
        <v>1</v>
      </c>
      <c r="L532" s="106"/>
      <c r="M532" s="106" t="str">
        <f>SUMIFS(Ere!C:C,Ere!B:B,A532)</f>
        <v>0</v>
      </c>
      <c r="N532" s="106" t="str">
        <f t="shared" si="7"/>
        <v>1</v>
      </c>
      <c r="O532" s="107" t="str">
        <f t="array" ref="O532">XLOOKUP(A532,Data!F:F,Data!O:O)</f>
        <v>  1.72 </v>
      </c>
      <c r="P532" s="107" t="str">
        <f t="shared" si="8"/>
        <v>  4.31 </v>
      </c>
      <c r="Q532" s="27"/>
    </row>
    <row r="533" ht="15.75" customHeight="1">
      <c r="A533" s="105" t="s">
        <v>777</v>
      </c>
      <c r="B533" s="19" t="str">
        <f t="array" ref="B533">XLOOKUP(A533,Data!F:F,Data!G:G)</f>
        <v>A1D</v>
      </c>
      <c r="C533" s="19" t="str">
        <f t="shared" si="3"/>
        <v>A046</v>
      </c>
      <c r="D533" s="19" t="str">
        <f t="array" ref="D533">XLOOKUP(A533,Data!F:F,Data!C:C)</f>
        <v/>
      </c>
      <c r="E533" s="19" t="str">
        <f t="array" ref="E533">XLOOKUP(A533,Data!F:F,Data!H:H)</f>
        <v>BW</v>
      </c>
      <c r="F533" s="106" t="str">
        <f>SUMIFS(Data!J:J,Data!F:F,A533)</f>
        <v>1</v>
      </c>
      <c r="G533" s="106" t="str">
        <f>SUMIFS(Cast!C:C,CastElements,A533)</f>
        <v>1</v>
      </c>
      <c r="H533" s="106" t="str">
        <f t="shared" si="4"/>
        <v>0</v>
      </c>
      <c r="I533" s="106" t="str">
        <f>SUMIFS(Del!C:C,Del!B:B,A533)</f>
        <v>0</v>
      </c>
      <c r="J533" s="106" t="str">
        <f t="shared" si="5"/>
        <v>1</v>
      </c>
      <c r="K533" s="106" t="str">
        <f t="shared" si="6"/>
        <v>1</v>
      </c>
      <c r="L533" s="106"/>
      <c r="M533" s="106" t="str">
        <f>SUMIFS(Ere!C:C,Ere!B:B,A533)</f>
        <v>0</v>
      </c>
      <c r="N533" s="106" t="str">
        <f t="shared" si="7"/>
        <v>1</v>
      </c>
      <c r="O533" s="107" t="str">
        <f t="array" ref="O533">XLOOKUP(A533,Data!F:F,Data!O:O)</f>
        <v>  1.72 </v>
      </c>
      <c r="P533" s="107" t="str">
        <f t="shared" si="8"/>
        <v>  4.31 </v>
      </c>
      <c r="Q533" s="27"/>
    </row>
    <row r="534" ht="15.75" customHeight="1">
      <c r="A534" s="105" t="s">
        <v>778</v>
      </c>
      <c r="B534" s="19" t="str">
        <f t="array" ref="B534">XLOOKUP(A534,Data!F:F,Data!G:G)</f>
        <v>A1D</v>
      </c>
      <c r="C534" s="19" t="str">
        <f t="shared" si="3"/>
        <v>A046</v>
      </c>
      <c r="D534" s="19" t="str">
        <f t="array" ref="D534">XLOOKUP(A534,Data!F:F,Data!C:C)</f>
        <v/>
      </c>
      <c r="E534" s="19" t="str">
        <f t="array" ref="E534">XLOOKUP(A534,Data!F:F,Data!H:H)</f>
        <v>BW</v>
      </c>
      <c r="F534" s="106" t="str">
        <f>SUMIFS(Data!J:J,Data!F:F,A534)</f>
        <v>1</v>
      </c>
      <c r="G534" s="106" t="str">
        <f>SUMIFS(Cast!C:C,CastElements,A534)</f>
        <v>0</v>
      </c>
      <c r="H534" s="106" t="str">
        <f t="shared" si="4"/>
        <v>1</v>
      </c>
      <c r="I534" s="106" t="str">
        <f>SUMIFS(Del!C:C,Del!B:B,A534)</f>
        <v>0</v>
      </c>
      <c r="J534" s="106" t="str">
        <f t="shared" si="5"/>
        <v>1</v>
      </c>
      <c r="K534" s="106" t="str">
        <f t="shared" si="6"/>
        <v>0</v>
      </c>
      <c r="L534" s="106"/>
      <c r="M534" s="106" t="str">
        <f>SUMIFS(Ere!C:C,Ere!B:B,A534)</f>
        <v>0</v>
      </c>
      <c r="N534" s="106" t="str">
        <f t="shared" si="7"/>
        <v>1</v>
      </c>
      <c r="O534" s="107" t="str">
        <f t="array" ref="O534">XLOOKUP(A534,Data!F:F,Data!O:O)</f>
        <v>  1.44 </v>
      </c>
      <c r="P534" s="107" t="str">
        <f t="shared" si="8"/>
        <v>  3.60 </v>
      </c>
      <c r="Q534" s="27"/>
    </row>
    <row r="535" ht="15.75" customHeight="1">
      <c r="A535" s="105" t="s">
        <v>779</v>
      </c>
      <c r="B535" s="19" t="str">
        <f t="array" ref="B535">XLOOKUP(A535,Data!F:F,Data!G:G)</f>
        <v>A1D</v>
      </c>
      <c r="C535" s="19" t="str">
        <f t="shared" si="3"/>
        <v>A046</v>
      </c>
      <c r="D535" s="19" t="str">
        <f t="array" ref="D535">XLOOKUP(A535,Data!F:F,Data!C:C)</f>
        <v/>
      </c>
      <c r="E535" s="19" t="str">
        <f t="array" ref="E535">XLOOKUP(A535,Data!F:F,Data!H:H)</f>
        <v>BW</v>
      </c>
      <c r="F535" s="106" t="str">
        <f>SUMIFS(Data!J:J,Data!F:F,A535)</f>
        <v>1</v>
      </c>
      <c r="G535" s="106" t="str">
        <f>SUMIFS(Cast!C:C,CastElements,A535)</f>
        <v>1</v>
      </c>
      <c r="H535" s="106" t="str">
        <f t="shared" si="4"/>
        <v>0</v>
      </c>
      <c r="I535" s="106" t="str">
        <f>SUMIFS(Del!C:C,Del!B:B,A535)</f>
        <v>0</v>
      </c>
      <c r="J535" s="106" t="str">
        <f t="shared" si="5"/>
        <v>1</v>
      </c>
      <c r="K535" s="106" t="str">
        <f t="shared" si="6"/>
        <v>1</v>
      </c>
      <c r="L535" s="106"/>
      <c r="M535" s="106" t="str">
        <f>SUMIFS(Ere!C:C,Ere!B:B,A535)</f>
        <v>0</v>
      </c>
      <c r="N535" s="106" t="str">
        <f t="shared" si="7"/>
        <v>1</v>
      </c>
      <c r="O535" s="107" t="str">
        <f t="array" ref="O535">XLOOKUP(A535,Data!F:F,Data!O:O)</f>
        <v>  2.37 </v>
      </c>
      <c r="P535" s="107" t="str">
        <f t="shared" si="8"/>
        <v>  5.94 </v>
      </c>
      <c r="Q535" s="27"/>
    </row>
    <row r="536" ht="15.75" customHeight="1">
      <c r="A536" s="105" t="s">
        <v>780</v>
      </c>
      <c r="B536" s="19" t="str">
        <f t="array" ref="B536">XLOOKUP(A536,Data!F:F,Data!G:G)</f>
        <v>A1D</v>
      </c>
      <c r="C536" s="19" t="str">
        <f t="shared" si="3"/>
        <v>A046</v>
      </c>
      <c r="D536" s="19" t="str">
        <f t="array" ref="D536">XLOOKUP(A536,Data!F:F,Data!C:C)</f>
        <v/>
      </c>
      <c r="E536" s="19" t="str">
        <f t="array" ref="E536">XLOOKUP(A536,Data!F:F,Data!H:H)</f>
        <v>BW</v>
      </c>
      <c r="F536" s="106" t="str">
        <f>SUMIFS(Data!J:J,Data!F:F,A536)</f>
        <v>1</v>
      </c>
      <c r="G536" s="106" t="str">
        <f>SUMIFS(Cast!C:C,CastElements,A536)</f>
        <v>0</v>
      </c>
      <c r="H536" s="106" t="str">
        <f t="shared" si="4"/>
        <v>1</v>
      </c>
      <c r="I536" s="106" t="str">
        <f>SUMIFS(Del!C:C,Del!B:B,A536)</f>
        <v>0</v>
      </c>
      <c r="J536" s="106" t="str">
        <f t="shared" si="5"/>
        <v>1</v>
      </c>
      <c r="K536" s="106" t="str">
        <f t="shared" si="6"/>
        <v>0</v>
      </c>
      <c r="L536" s="106"/>
      <c r="M536" s="106" t="str">
        <f>SUMIFS(Ere!C:C,Ere!B:B,A536)</f>
        <v>0</v>
      </c>
      <c r="N536" s="106" t="str">
        <f t="shared" si="7"/>
        <v>1</v>
      </c>
      <c r="O536" s="107" t="str">
        <f t="array" ref="O536">XLOOKUP(A536,Data!F:F,Data!O:O)</f>
        <v>  1.89 </v>
      </c>
      <c r="P536" s="107" t="str">
        <f t="shared" si="8"/>
        <v>  4.71 </v>
      </c>
      <c r="Q536" s="27"/>
    </row>
    <row r="537" ht="15.75" customHeight="1">
      <c r="A537" s="105" t="s">
        <v>781</v>
      </c>
      <c r="B537" s="19" t="str">
        <f t="array" ref="B537">XLOOKUP(A537,Data!F:F,Data!G:G)</f>
        <v>A1D</v>
      </c>
      <c r="C537" s="19" t="str">
        <f t="shared" si="3"/>
        <v>A046</v>
      </c>
      <c r="D537" s="19" t="str">
        <f t="array" ref="D537">XLOOKUP(A537,Data!F:F,Data!C:C)</f>
        <v/>
      </c>
      <c r="E537" s="19" t="str">
        <f t="array" ref="E537">XLOOKUP(A537,Data!F:F,Data!H:H)</f>
        <v>BW</v>
      </c>
      <c r="F537" s="106" t="str">
        <f>SUMIFS(Data!J:J,Data!F:F,A537)</f>
        <v>1</v>
      </c>
      <c r="G537" s="106" t="str">
        <f>SUMIFS(Cast!C:C,CastElements,A537)</f>
        <v>1</v>
      </c>
      <c r="H537" s="106" t="str">
        <f t="shared" si="4"/>
        <v>0</v>
      </c>
      <c r="I537" s="106" t="str">
        <f>SUMIFS(Del!C:C,Del!B:B,A537)</f>
        <v>0</v>
      </c>
      <c r="J537" s="106" t="str">
        <f t="shared" si="5"/>
        <v>1</v>
      </c>
      <c r="K537" s="106" t="str">
        <f t="shared" si="6"/>
        <v>1</v>
      </c>
      <c r="L537" s="106"/>
      <c r="M537" s="106" t="str">
        <f>SUMIFS(Ere!C:C,Ere!B:B,A537)</f>
        <v>0</v>
      </c>
      <c r="N537" s="106" t="str">
        <f t="shared" si="7"/>
        <v>1</v>
      </c>
      <c r="O537" s="107" t="str">
        <f t="array" ref="O537">XLOOKUP(A537,Data!F:F,Data!O:O)</f>
        <v>  2.15 </v>
      </c>
      <c r="P537" s="107" t="str">
        <f t="shared" si="8"/>
        <v>  5.37 </v>
      </c>
      <c r="Q537" s="27"/>
    </row>
    <row r="538" ht="15.75" customHeight="1">
      <c r="A538" s="105" t="s">
        <v>782</v>
      </c>
      <c r="B538" s="19" t="str">
        <f t="array" ref="B538">XLOOKUP(A538,Data!F:F,Data!G:G)</f>
        <v>A1D</v>
      </c>
      <c r="C538" s="19" t="str">
        <f t="shared" si="3"/>
        <v>A046</v>
      </c>
      <c r="D538" s="19" t="str">
        <f t="array" ref="D538">XLOOKUP(A538,Data!F:F,Data!C:C)</f>
        <v/>
      </c>
      <c r="E538" s="19" t="str">
        <f t="array" ref="E538">XLOOKUP(A538,Data!F:F,Data!H:H)</f>
        <v>BW</v>
      </c>
      <c r="F538" s="106" t="str">
        <f>SUMIFS(Data!J:J,Data!F:F,A538)</f>
        <v>1</v>
      </c>
      <c r="G538" s="106" t="str">
        <f>SUMIFS(Cast!C:C,CastElements,A538)</f>
        <v>1</v>
      </c>
      <c r="H538" s="106" t="str">
        <f t="shared" si="4"/>
        <v>0</v>
      </c>
      <c r="I538" s="106" t="str">
        <f>SUMIFS(Del!C:C,Del!B:B,A538)</f>
        <v>0</v>
      </c>
      <c r="J538" s="106" t="str">
        <f t="shared" si="5"/>
        <v>1</v>
      </c>
      <c r="K538" s="106" t="str">
        <f t="shared" si="6"/>
        <v>1</v>
      </c>
      <c r="L538" s="106"/>
      <c r="M538" s="106" t="str">
        <f>SUMIFS(Ere!C:C,Ere!B:B,A538)</f>
        <v>0</v>
      </c>
      <c r="N538" s="106" t="str">
        <f t="shared" si="7"/>
        <v>1</v>
      </c>
      <c r="O538" s="107" t="str">
        <f t="array" ref="O538">XLOOKUP(A538,Data!F:F,Data!O:O)</f>
        <v>  1.88 </v>
      </c>
      <c r="P538" s="107" t="str">
        <f t="shared" si="8"/>
        <v>  4.70 </v>
      </c>
      <c r="Q538" s="27"/>
    </row>
    <row r="539" ht="15.75" customHeight="1">
      <c r="A539" s="105" t="s">
        <v>783</v>
      </c>
      <c r="B539" s="19" t="str">
        <f t="array" ref="B539">XLOOKUP(A539,Data!F:F,Data!G:G)</f>
        <v>A1D</v>
      </c>
      <c r="C539" s="19" t="str">
        <f t="shared" si="3"/>
        <v>A046</v>
      </c>
      <c r="D539" s="19" t="str">
        <f t="array" ref="D539">XLOOKUP(A539,Data!F:F,Data!C:C)</f>
        <v/>
      </c>
      <c r="E539" s="19" t="str">
        <f t="array" ref="E539">XLOOKUP(A539,Data!F:F,Data!H:H)</f>
        <v>BW</v>
      </c>
      <c r="F539" s="106" t="str">
        <f>SUMIFS(Data!J:J,Data!F:F,A539)</f>
        <v>1</v>
      </c>
      <c r="G539" s="106" t="str">
        <f>SUMIFS(Cast!C:C,CastElements,A539)</f>
        <v>1</v>
      </c>
      <c r="H539" s="106" t="str">
        <f t="shared" si="4"/>
        <v>0</v>
      </c>
      <c r="I539" s="106" t="str">
        <f>SUMIFS(Del!C:C,Del!B:B,A539)</f>
        <v>0</v>
      </c>
      <c r="J539" s="106" t="str">
        <f t="shared" si="5"/>
        <v>1</v>
      </c>
      <c r="K539" s="106" t="str">
        <f t="shared" si="6"/>
        <v>1</v>
      </c>
      <c r="L539" s="106"/>
      <c r="M539" s="106" t="str">
        <f>SUMIFS(Ere!C:C,Ere!B:B,A539)</f>
        <v>0</v>
      </c>
      <c r="N539" s="106" t="str">
        <f t="shared" si="7"/>
        <v>1</v>
      </c>
      <c r="O539" s="107" t="str">
        <f t="array" ref="O539">XLOOKUP(A539,Data!F:F,Data!O:O)</f>
        <v>  1.88 </v>
      </c>
      <c r="P539" s="107" t="str">
        <f t="shared" si="8"/>
        <v>  4.70 </v>
      </c>
      <c r="Q539" s="27"/>
    </row>
    <row r="540" ht="15.75" customHeight="1">
      <c r="A540" s="105" t="s">
        <v>784</v>
      </c>
      <c r="B540" s="19" t="str">
        <f t="array" ref="B540">XLOOKUP(A540,Data!F:F,Data!G:G)</f>
        <v>A1D</v>
      </c>
      <c r="C540" s="19" t="str">
        <f t="shared" si="3"/>
        <v>A046</v>
      </c>
      <c r="D540" s="19" t="str">
        <f t="array" ref="D540">XLOOKUP(A540,Data!F:F,Data!C:C)</f>
        <v/>
      </c>
      <c r="E540" s="19" t="str">
        <f t="array" ref="E540">XLOOKUP(A540,Data!F:F,Data!H:H)</f>
        <v>BW</v>
      </c>
      <c r="F540" s="106" t="str">
        <f>SUMIFS(Data!J:J,Data!F:F,A540)</f>
        <v>1</v>
      </c>
      <c r="G540" s="106" t="str">
        <f>SUMIFS(Cast!C:C,CastElements,A540)</f>
        <v>1</v>
      </c>
      <c r="H540" s="106" t="str">
        <f t="shared" si="4"/>
        <v>0</v>
      </c>
      <c r="I540" s="106" t="str">
        <f>SUMIFS(Del!C:C,Del!B:B,A540)</f>
        <v>0</v>
      </c>
      <c r="J540" s="106" t="str">
        <f t="shared" si="5"/>
        <v>1</v>
      </c>
      <c r="K540" s="106" t="str">
        <f t="shared" si="6"/>
        <v>1</v>
      </c>
      <c r="L540" s="106"/>
      <c r="M540" s="106" t="str">
        <f>SUMIFS(Ere!C:C,Ere!B:B,A540)</f>
        <v>0</v>
      </c>
      <c r="N540" s="106" t="str">
        <f t="shared" si="7"/>
        <v>1</v>
      </c>
      <c r="O540" s="107" t="str">
        <f t="array" ref="O540">XLOOKUP(A540,Data!F:F,Data!O:O)</f>
        <v>  1.88 </v>
      </c>
      <c r="P540" s="107" t="str">
        <f t="shared" si="8"/>
        <v>  4.70 </v>
      </c>
      <c r="Q540" s="27"/>
    </row>
    <row r="541" ht="15.75" customHeight="1">
      <c r="A541" s="105" t="s">
        <v>785</v>
      </c>
      <c r="B541" s="19" t="str">
        <f t="array" ref="B541">XLOOKUP(A541,Data!F:F,Data!G:G)</f>
        <v>A1D</v>
      </c>
      <c r="C541" s="19" t="str">
        <f t="shared" si="3"/>
        <v>A046</v>
      </c>
      <c r="D541" s="19" t="str">
        <f t="array" ref="D541">XLOOKUP(A541,Data!F:F,Data!C:C)</f>
        <v/>
      </c>
      <c r="E541" s="19" t="str">
        <f t="array" ref="E541">XLOOKUP(A541,Data!F:F,Data!H:H)</f>
        <v>BW</v>
      </c>
      <c r="F541" s="106" t="str">
        <f>SUMIFS(Data!J:J,Data!F:F,A541)</f>
        <v>1</v>
      </c>
      <c r="G541" s="106" t="str">
        <f>SUMIFS(Cast!C:C,CastElements,A541)</f>
        <v>1</v>
      </c>
      <c r="H541" s="106" t="str">
        <f t="shared" si="4"/>
        <v>0</v>
      </c>
      <c r="I541" s="106" t="str">
        <f>SUMIFS(Del!C:C,Del!B:B,A541)</f>
        <v>0</v>
      </c>
      <c r="J541" s="106" t="str">
        <f t="shared" si="5"/>
        <v>1</v>
      </c>
      <c r="K541" s="106" t="str">
        <f t="shared" si="6"/>
        <v>1</v>
      </c>
      <c r="L541" s="106"/>
      <c r="M541" s="106" t="str">
        <f>SUMIFS(Ere!C:C,Ere!B:B,A541)</f>
        <v>0</v>
      </c>
      <c r="N541" s="106" t="str">
        <f t="shared" si="7"/>
        <v>1</v>
      </c>
      <c r="O541" s="107" t="str">
        <f t="array" ref="O541">XLOOKUP(A541,Data!F:F,Data!O:O)</f>
        <v>  1.88 </v>
      </c>
      <c r="P541" s="107" t="str">
        <f t="shared" si="8"/>
        <v>  4.70 </v>
      </c>
      <c r="Q541" s="27"/>
    </row>
    <row r="542" ht="15.75" customHeight="1">
      <c r="A542" s="105" t="s">
        <v>786</v>
      </c>
      <c r="B542" s="19" t="str">
        <f t="array" ref="B542">XLOOKUP(A542,Data!F:F,Data!G:G)</f>
        <v>A1D</v>
      </c>
      <c r="C542" s="19" t="str">
        <f t="shared" si="3"/>
        <v>A046</v>
      </c>
      <c r="D542" s="19" t="str">
        <f t="array" ref="D542">XLOOKUP(A542,Data!F:F,Data!C:C)</f>
        <v/>
      </c>
      <c r="E542" s="19" t="str">
        <f t="array" ref="E542">XLOOKUP(A542,Data!F:F,Data!H:H)</f>
        <v>BW</v>
      </c>
      <c r="F542" s="106" t="str">
        <f>SUMIFS(Data!J:J,Data!F:F,A542)</f>
        <v>1</v>
      </c>
      <c r="G542" s="106" t="str">
        <f>SUMIFS(Cast!C:C,CastElements,A542)</f>
        <v>1</v>
      </c>
      <c r="H542" s="106" t="str">
        <f t="shared" si="4"/>
        <v>0</v>
      </c>
      <c r="I542" s="106" t="str">
        <f>SUMIFS(Del!C:C,Del!B:B,A542)</f>
        <v>0</v>
      </c>
      <c r="J542" s="106" t="str">
        <f t="shared" si="5"/>
        <v>1</v>
      </c>
      <c r="K542" s="106" t="str">
        <f t="shared" si="6"/>
        <v>1</v>
      </c>
      <c r="L542" s="106"/>
      <c r="M542" s="106" t="str">
        <f>SUMIFS(Ere!C:C,Ere!B:B,A542)</f>
        <v>0</v>
      </c>
      <c r="N542" s="106" t="str">
        <f t="shared" si="7"/>
        <v>1</v>
      </c>
      <c r="O542" s="107" t="str">
        <f t="array" ref="O542">XLOOKUP(A542,Data!F:F,Data!O:O)</f>
        <v>  1.88 </v>
      </c>
      <c r="P542" s="107" t="str">
        <f t="shared" si="8"/>
        <v>  4.70 </v>
      </c>
      <c r="Q542" s="27"/>
    </row>
    <row r="543" ht="15.75" customHeight="1">
      <c r="A543" s="105" t="s">
        <v>787</v>
      </c>
      <c r="B543" s="19" t="str">
        <f t="array" ref="B543">XLOOKUP(A543,Data!F:F,Data!G:G)</f>
        <v>A1D</v>
      </c>
      <c r="C543" s="19" t="str">
        <f t="shared" si="3"/>
        <v>A046</v>
      </c>
      <c r="D543" s="19" t="str">
        <f t="array" ref="D543">XLOOKUP(A543,Data!F:F,Data!C:C)</f>
        <v/>
      </c>
      <c r="E543" s="19" t="str">
        <f t="array" ref="E543">XLOOKUP(A543,Data!F:F,Data!H:H)</f>
        <v>BW</v>
      </c>
      <c r="F543" s="106" t="str">
        <f>SUMIFS(Data!J:J,Data!F:F,A543)</f>
        <v>1</v>
      </c>
      <c r="G543" s="106" t="str">
        <f>SUMIFS(Cast!C:C,CastElements,A543)</f>
        <v>0</v>
      </c>
      <c r="H543" s="106" t="str">
        <f t="shared" si="4"/>
        <v>1</v>
      </c>
      <c r="I543" s="106" t="str">
        <f>SUMIFS(Del!C:C,Del!B:B,A543)</f>
        <v>0</v>
      </c>
      <c r="J543" s="106" t="str">
        <f t="shared" si="5"/>
        <v>1</v>
      </c>
      <c r="K543" s="106" t="str">
        <f t="shared" si="6"/>
        <v>0</v>
      </c>
      <c r="L543" s="106"/>
      <c r="M543" s="106" t="str">
        <f>SUMIFS(Ere!C:C,Ere!B:B,A543)</f>
        <v>0</v>
      </c>
      <c r="N543" s="106" t="str">
        <f t="shared" si="7"/>
        <v>1</v>
      </c>
      <c r="O543" s="107" t="str">
        <f t="array" ref="O543">XLOOKUP(A543,Data!F:F,Data!O:O)</f>
        <v>  1.61 </v>
      </c>
      <c r="P543" s="107" t="str">
        <f t="shared" si="8"/>
        <v>  4.03 </v>
      </c>
      <c r="Q543" s="27"/>
    </row>
    <row r="544" ht="15.75" customHeight="1">
      <c r="A544" s="105" t="s">
        <v>788</v>
      </c>
      <c r="B544" s="19" t="str">
        <f t="array" ref="B544">XLOOKUP(A544,Data!F:F,Data!G:G)</f>
        <v>A1D</v>
      </c>
      <c r="C544" s="19" t="str">
        <f t="shared" si="3"/>
        <v>A046</v>
      </c>
      <c r="D544" s="19" t="str">
        <f t="array" ref="D544">XLOOKUP(A544,Data!F:F,Data!C:C)</f>
        <v/>
      </c>
      <c r="E544" s="19" t="str">
        <f t="array" ref="E544">XLOOKUP(A544,Data!F:F,Data!H:H)</f>
        <v/>
      </c>
      <c r="F544" s="106" t="str">
        <f>SUMIFS(Data!J:J,Data!F:F,A544)</f>
        <v>1</v>
      </c>
      <c r="G544" s="106" t="str">
        <f>SUMIFS(Cast!C:C,CastElements,A544)</f>
        <v>0</v>
      </c>
      <c r="H544" s="106" t="str">
        <f t="shared" si="4"/>
        <v>1</v>
      </c>
      <c r="I544" s="106" t="str">
        <f>SUMIFS(Del!C:C,Del!B:B,A544)</f>
        <v>0</v>
      </c>
      <c r="J544" s="106" t="str">
        <f t="shared" si="5"/>
        <v>1</v>
      </c>
      <c r="K544" s="106" t="str">
        <f t="shared" si="6"/>
        <v>0</v>
      </c>
      <c r="L544" s="106"/>
      <c r="M544" s="106" t="str">
        <f>SUMIFS(Ere!C:C,Ere!B:B,A544)</f>
        <v>0</v>
      </c>
      <c r="N544" s="106" t="str">
        <f t="shared" si="7"/>
        <v>1</v>
      </c>
      <c r="O544" s="107" t="str">
        <f t="array" ref="O544">XLOOKUP(A544,Data!F:F,Data!O:O)</f>
        <v>  0.48 </v>
      </c>
      <c r="P544" s="107" t="str">
        <f t="shared" si="8"/>
        <v>  1.19 </v>
      </c>
      <c r="Q544" s="27"/>
    </row>
    <row r="545" ht="15.75" customHeight="1">
      <c r="A545" s="105" t="s">
        <v>789</v>
      </c>
      <c r="B545" s="19" t="str">
        <f t="array" ref="B545">XLOOKUP(A545,Data!F:F,Data!G:G)</f>
        <v>A1D</v>
      </c>
      <c r="C545" s="19" t="str">
        <f t="shared" si="3"/>
        <v>A046</v>
      </c>
      <c r="D545" s="19" t="str">
        <f t="array" ref="D545">XLOOKUP(A545,Data!F:F,Data!C:C)</f>
        <v/>
      </c>
      <c r="E545" s="19" t="str">
        <f t="array" ref="E545">XLOOKUP(A545,Data!F:F,Data!H:H)</f>
        <v/>
      </c>
      <c r="F545" s="106" t="str">
        <f>SUMIFS(Data!J:J,Data!F:F,A545)</f>
        <v>1</v>
      </c>
      <c r="G545" s="106" t="str">
        <f>SUMIFS(Cast!C:C,CastElements,A545)</f>
        <v>0</v>
      </c>
      <c r="H545" s="106" t="str">
        <f t="shared" si="4"/>
        <v>1</v>
      </c>
      <c r="I545" s="106" t="str">
        <f>SUMIFS(Del!C:C,Del!B:B,A545)</f>
        <v>0</v>
      </c>
      <c r="J545" s="106" t="str">
        <f t="shared" si="5"/>
        <v>1</v>
      </c>
      <c r="K545" s="106" t="str">
        <f t="shared" si="6"/>
        <v>0</v>
      </c>
      <c r="L545" s="106"/>
      <c r="M545" s="106" t="str">
        <f>SUMIFS(Ere!C:C,Ere!B:B,A545)</f>
        <v>0</v>
      </c>
      <c r="N545" s="106" t="str">
        <f t="shared" si="7"/>
        <v>1</v>
      </c>
      <c r="O545" s="107" t="str">
        <f t="array" ref="O545">XLOOKUP(A545,Data!F:F,Data!O:O)</f>
        <v>  0.48 </v>
      </c>
      <c r="P545" s="107" t="str">
        <f t="shared" si="8"/>
        <v>  1.19 </v>
      </c>
      <c r="Q545" s="27"/>
    </row>
    <row r="546" ht="15.75" customHeight="1">
      <c r="A546" s="105" t="s">
        <v>790</v>
      </c>
      <c r="B546" s="19" t="str">
        <f t="array" ref="B546">XLOOKUP(A546,Data!F:F,Data!G:G)</f>
        <v>A1D</v>
      </c>
      <c r="C546" s="19" t="str">
        <f t="shared" si="3"/>
        <v>A047</v>
      </c>
      <c r="D546" s="19" t="str">
        <f t="array" ref="D546">XLOOKUP(A546,Data!F:F,Data!C:C)</f>
        <v/>
      </c>
      <c r="E546" s="19" t="str">
        <f t="array" ref="E546">XLOOKUP(A546,Data!F:F,Data!H:H)</f>
        <v>BW</v>
      </c>
      <c r="F546" s="106" t="str">
        <f>SUMIFS(Data!J:J,Data!F:F,A546)</f>
        <v>1</v>
      </c>
      <c r="G546" s="106" t="str">
        <f>SUMIFS(Cast!C:C,CastElements,A546)</f>
        <v>1</v>
      </c>
      <c r="H546" s="106" t="str">
        <f t="shared" si="4"/>
        <v>0</v>
      </c>
      <c r="I546" s="106" t="str">
        <f>SUMIFS(Del!C:C,Del!B:B,A546)</f>
        <v>0</v>
      </c>
      <c r="J546" s="106" t="str">
        <f t="shared" si="5"/>
        <v>1</v>
      </c>
      <c r="K546" s="106" t="str">
        <f t="shared" si="6"/>
        <v>1</v>
      </c>
      <c r="L546" s="106"/>
      <c r="M546" s="106" t="str">
        <f>SUMIFS(Ere!C:C,Ere!B:B,A546)</f>
        <v>0</v>
      </c>
      <c r="N546" s="106" t="str">
        <f t="shared" si="7"/>
        <v>1</v>
      </c>
      <c r="O546" s="107" t="str">
        <f t="array" ref="O546">XLOOKUP(A546,Data!F:F,Data!O:O)</f>
        <v>  0.51 </v>
      </c>
      <c r="P546" s="107" t="str">
        <f t="shared" si="8"/>
        <v>  1.28 </v>
      </c>
      <c r="Q546" s="27"/>
    </row>
    <row r="547" ht="15.75" customHeight="1">
      <c r="A547" s="105" t="s">
        <v>791</v>
      </c>
      <c r="B547" s="19" t="str">
        <f t="array" ref="B547">XLOOKUP(A547,Data!F:F,Data!G:G)</f>
        <v>A1D</v>
      </c>
      <c r="C547" s="19" t="str">
        <f t="shared" si="3"/>
        <v>A047</v>
      </c>
      <c r="D547" s="19" t="str">
        <f t="array" ref="D547">XLOOKUP(A547,Data!F:F,Data!C:C)</f>
        <v/>
      </c>
      <c r="E547" s="19" t="str">
        <f t="array" ref="E547">XLOOKUP(A547,Data!F:F,Data!H:H)</f>
        <v>BW</v>
      </c>
      <c r="F547" s="106" t="str">
        <f>SUMIFS(Data!J:J,Data!F:F,A547)</f>
        <v>1</v>
      </c>
      <c r="G547" s="106" t="str">
        <f>SUMIFS(Cast!C:C,CastElements,A547)</f>
        <v>1</v>
      </c>
      <c r="H547" s="106" t="str">
        <f t="shared" si="4"/>
        <v>0</v>
      </c>
      <c r="I547" s="106" t="str">
        <f>SUMIFS(Del!C:C,Del!B:B,A547)</f>
        <v>0</v>
      </c>
      <c r="J547" s="106" t="str">
        <f t="shared" si="5"/>
        <v>1</v>
      </c>
      <c r="K547" s="106" t="str">
        <f t="shared" si="6"/>
        <v>1</v>
      </c>
      <c r="L547" s="106"/>
      <c r="M547" s="106" t="str">
        <f>SUMIFS(Ere!C:C,Ere!B:B,A547)</f>
        <v>0</v>
      </c>
      <c r="N547" s="106" t="str">
        <f t="shared" si="7"/>
        <v>1</v>
      </c>
      <c r="O547" s="107" t="str">
        <f t="array" ref="O547">XLOOKUP(A547,Data!F:F,Data!O:O)</f>
        <v>  0.46 </v>
      </c>
      <c r="P547" s="107" t="str">
        <f t="shared" si="8"/>
        <v>  1.15 </v>
      </c>
      <c r="Q547" s="27"/>
    </row>
    <row r="548" ht="15.75" customHeight="1">
      <c r="A548" s="105" t="s">
        <v>792</v>
      </c>
      <c r="B548" s="19" t="str">
        <f t="array" ref="B548">XLOOKUP(A548,Data!F:F,Data!G:G)</f>
        <v>A1D</v>
      </c>
      <c r="C548" s="19" t="str">
        <f t="shared" si="3"/>
        <v>A047</v>
      </c>
      <c r="D548" s="19" t="str">
        <f t="array" ref="D548">XLOOKUP(A548,Data!F:F,Data!C:C)</f>
        <v/>
      </c>
      <c r="E548" s="19" t="str">
        <f t="array" ref="E548">XLOOKUP(A548,Data!F:F,Data!H:H)</f>
        <v>BW</v>
      </c>
      <c r="F548" s="106" t="str">
        <f>SUMIFS(Data!J:J,Data!F:F,A548)</f>
        <v>1</v>
      </c>
      <c r="G548" s="106" t="str">
        <f>SUMIFS(Cast!C:C,CastElements,A548)</f>
        <v>0</v>
      </c>
      <c r="H548" s="106" t="str">
        <f t="shared" si="4"/>
        <v>1</v>
      </c>
      <c r="I548" s="106" t="str">
        <f>SUMIFS(Del!C:C,Del!B:B,A548)</f>
        <v>0</v>
      </c>
      <c r="J548" s="106" t="str">
        <f t="shared" si="5"/>
        <v>1</v>
      </c>
      <c r="K548" s="106" t="str">
        <f t="shared" si="6"/>
        <v>0</v>
      </c>
      <c r="L548" s="106"/>
      <c r="M548" s="106" t="str">
        <f>SUMIFS(Ere!C:C,Ere!B:B,A548)</f>
        <v>0</v>
      </c>
      <c r="N548" s="106" t="str">
        <f t="shared" si="7"/>
        <v>1</v>
      </c>
      <c r="O548" s="107" t="str">
        <f t="array" ref="O548">XLOOKUP(A548,Data!F:F,Data!O:O)</f>
        <v>  0.35 </v>
      </c>
      <c r="P548" s="107" t="str">
        <f t="shared" si="8"/>
        <v>  0.88 </v>
      </c>
      <c r="Q548" s="27"/>
    </row>
    <row r="549" ht="15.75" customHeight="1">
      <c r="A549" s="105" t="s">
        <v>793</v>
      </c>
      <c r="B549" s="19" t="str">
        <f t="array" ref="B549">XLOOKUP(A549,Data!F:F,Data!G:G)</f>
        <v>A1D</v>
      </c>
      <c r="C549" s="19" t="str">
        <f t="shared" si="3"/>
        <v>A047</v>
      </c>
      <c r="D549" s="19" t="str">
        <f t="array" ref="D549">XLOOKUP(A549,Data!F:F,Data!C:C)</f>
        <v/>
      </c>
      <c r="E549" s="19" t="str">
        <f t="array" ref="E549">XLOOKUP(A549,Data!F:F,Data!H:H)</f>
        <v>BW</v>
      </c>
      <c r="F549" s="106" t="str">
        <f>SUMIFS(Data!J:J,Data!F:F,A549)</f>
        <v>1</v>
      </c>
      <c r="G549" s="106" t="str">
        <f>SUMIFS(Cast!C:C,CastElements,A549)</f>
        <v>1</v>
      </c>
      <c r="H549" s="106" t="str">
        <f t="shared" si="4"/>
        <v>0</v>
      </c>
      <c r="I549" s="106" t="str">
        <f>SUMIFS(Del!C:C,Del!B:B,A549)</f>
        <v>0</v>
      </c>
      <c r="J549" s="106" t="str">
        <f t="shared" si="5"/>
        <v>1</v>
      </c>
      <c r="K549" s="106" t="str">
        <f t="shared" si="6"/>
        <v>1</v>
      </c>
      <c r="L549" s="106"/>
      <c r="M549" s="106" t="str">
        <f>SUMIFS(Ere!C:C,Ere!B:B,A549)</f>
        <v>0</v>
      </c>
      <c r="N549" s="106" t="str">
        <f t="shared" si="7"/>
        <v>1</v>
      </c>
      <c r="O549" s="107" t="str">
        <f t="array" ref="O549">XLOOKUP(A549,Data!F:F,Data!O:O)</f>
        <v>  2.13 </v>
      </c>
      <c r="P549" s="107" t="str">
        <f t="shared" si="8"/>
        <v>  5.32 </v>
      </c>
      <c r="Q549" s="27"/>
    </row>
    <row r="550" ht="15.75" customHeight="1">
      <c r="A550" s="105" t="s">
        <v>794</v>
      </c>
      <c r="B550" s="19" t="str">
        <f t="array" ref="B550">XLOOKUP(A550,Data!F:F,Data!G:G)</f>
        <v>A1D</v>
      </c>
      <c r="C550" s="19" t="str">
        <f t="shared" si="3"/>
        <v>A047</v>
      </c>
      <c r="D550" s="19" t="str">
        <f t="array" ref="D550">XLOOKUP(A550,Data!F:F,Data!C:C)</f>
        <v/>
      </c>
      <c r="E550" s="19" t="str">
        <f t="array" ref="E550">XLOOKUP(A550,Data!F:F,Data!H:H)</f>
        <v>BW</v>
      </c>
      <c r="F550" s="106" t="str">
        <f>SUMIFS(Data!J:J,Data!F:F,A550)</f>
        <v>1</v>
      </c>
      <c r="G550" s="106" t="str">
        <f>SUMIFS(Cast!C:C,CastElements,A550)</f>
        <v>0</v>
      </c>
      <c r="H550" s="106" t="str">
        <f t="shared" si="4"/>
        <v>1</v>
      </c>
      <c r="I550" s="106" t="str">
        <f>SUMIFS(Del!C:C,Del!B:B,A550)</f>
        <v>0</v>
      </c>
      <c r="J550" s="106" t="str">
        <f t="shared" si="5"/>
        <v>1</v>
      </c>
      <c r="K550" s="106" t="str">
        <f t="shared" si="6"/>
        <v>0</v>
      </c>
      <c r="L550" s="106"/>
      <c r="M550" s="106" t="str">
        <f>SUMIFS(Ere!C:C,Ere!B:B,A550)</f>
        <v>0</v>
      </c>
      <c r="N550" s="106" t="str">
        <f t="shared" si="7"/>
        <v>1</v>
      </c>
      <c r="O550" s="107" t="str">
        <f t="array" ref="O550">XLOOKUP(A550,Data!F:F,Data!O:O)</f>
        <v>  0.34 </v>
      </c>
      <c r="P550" s="107" t="str">
        <f t="shared" si="8"/>
        <v>  0.85 </v>
      </c>
      <c r="Q550" s="27"/>
    </row>
    <row r="551" ht="15.75" customHeight="1">
      <c r="A551" s="105" t="s">
        <v>795</v>
      </c>
      <c r="B551" s="19" t="str">
        <f t="array" ref="B551">XLOOKUP(A551,Data!F:F,Data!G:G)</f>
        <v>A1D</v>
      </c>
      <c r="C551" s="19" t="str">
        <f t="shared" si="3"/>
        <v>A047</v>
      </c>
      <c r="D551" s="19" t="str">
        <f t="array" ref="D551">XLOOKUP(A551,Data!F:F,Data!C:C)</f>
        <v/>
      </c>
      <c r="E551" s="19" t="str">
        <f t="array" ref="E551">XLOOKUP(A551,Data!F:F,Data!H:H)</f>
        <v>CF</v>
      </c>
      <c r="F551" s="106" t="str">
        <f>SUMIFS(Data!J:J,Data!F:F,A551)</f>
        <v>1</v>
      </c>
      <c r="G551" s="106" t="str">
        <f>SUMIFS(Cast!C:C,CastElements,A551)</f>
        <v>1</v>
      </c>
      <c r="H551" s="106" t="str">
        <f t="shared" si="4"/>
        <v>0</v>
      </c>
      <c r="I551" s="106" t="str">
        <f>SUMIFS(Del!C:C,Del!B:B,A551)</f>
        <v>0</v>
      </c>
      <c r="J551" s="106" t="str">
        <f t="shared" si="5"/>
        <v>1</v>
      </c>
      <c r="K551" s="106" t="str">
        <f t="shared" si="6"/>
        <v>1</v>
      </c>
      <c r="L551" s="106"/>
      <c r="M551" s="106" t="str">
        <f>SUMIFS(Ere!C:C,Ere!B:B,A551)</f>
        <v>0</v>
      </c>
      <c r="N551" s="106" t="str">
        <f t="shared" si="7"/>
        <v>1</v>
      </c>
      <c r="O551" s="107" t="str">
        <f t="array" ref="O551">XLOOKUP(A551,Data!F:F,Data!O:O)</f>
        <v>  0.48 </v>
      </c>
      <c r="P551" s="107" t="str">
        <f t="shared" si="8"/>
        <v>  1.19 </v>
      </c>
      <c r="Q551" s="27"/>
    </row>
    <row r="552" ht="15.75" customHeight="1">
      <c r="A552" s="105" t="s">
        <v>796</v>
      </c>
      <c r="B552" s="19" t="str">
        <f t="array" ref="B552">XLOOKUP(A552,Data!F:F,Data!G:G)</f>
        <v>A1D</v>
      </c>
      <c r="C552" s="19" t="str">
        <f t="shared" si="3"/>
        <v>A047</v>
      </c>
      <c r="D552" s="19" t="str">
        <f t="array" ref="D552">XLOOKUP(A552,Data!F:F,Data!C:C)</f>
        <v/>
      </c>
      <c r="E552" s="19" t="str">
        <f t="array" ref="E552">XLOOKUP(A552,Data!F:F,Data!H:H)</f>
        <v>CF</v>
      </c>
      <c r="F552" s="106" t="str">
        <f>SUMIFS(Data!J:J,Data!F:F,A552)</f>
        <v>1</v>
      </c>
      <c r="G552" s="106" t="str">
        <f>SUMIFS(Cast!C:C,CastElements,A552)</f>
        <v>1</v>
      </c>
      <c r="H552" s="106" t="str">
        <f t="shared" si="4"/>
        <v>0</v>
      </c>
      <c r="I552" s="106" t="str">
        <f>SUMIFS(Del!C:C,Del!B:B,A552)</f>
        <v>0</v>
      </c>
      <c r="J552" s="106" t="str">
        <f t="shared" si="5"/>
        <v>1</v>
      </c>
      <c r="K552" s="106" t="str">
        <f t="shared" si="6"/>
        <v>1</v>
      </c>
      <c r="L552" s="106"/>
      <c r="M552" s="106" t="str">
        <f>SUMIFS(Ere!C:C,Ere!B:B,A552)</f>
        <v>0</v>
      </c>
      <c r="N552" s="106" t="str">
        <f t="shared" si="7"/>
        <v>1</v>
      </c>
      <c r="O552" s="107" t="str">
        <f t="array" ref="O552">XLOOKUP(A552,Data!F:F,Data!O:O)</f>
        <v>  0.48 </v>
      </c>
      <c r="P552" s="107" t="str">
        <f t="shared" si="8"/>
        <v>  1.19 </v>
      </c>
      <c r="Q552" s="27"/>
    </row>
    <row r="553" ht="15.75" customHeight="1">
      <c r="A553" s="105" t="s">
        <v>797</v>
      </c>
      <c r="B553" s="19" t="str">
        <f t="array" ref="B553">XLOOKUP(A553,Data!F:F,Data!G:G)</f>
        <v>A1D</v>
      </c>
      <c r="C553" s="19" t="str">
        <f t="shared" si="3"/>
        <v>A047</v>
      </c>
      <c r="D553" s="19" t="str">
        <f t="array" ref="D553">XLOOKUP(A553,Data!F:F,Data!C:C)</f>
        <v>EXT</v>
      </c>
      <c r="E553" s="19" t="str">
        <f t="array" ref="E553">XLOOKUP(A553,Data!F:F,Data!H:H)</f>
        <v>BW</v>
      </c>
      <c r="F553" s="106" t="str">
        <f>SUMIFS(Data!J:J,Data!F:F,A553)</f>
        <v>1</v>
      </c>
      <c r="G553" s="106" t="str">
        <f>SUMIFS(Cast!C:C,CastElements,A553)</f>
        <v>0</v>
      </c>
      <c r="H553" s="106" t="str">
        <f t="shared" si="4"/>
        <v>1</v>
      </c>
      <c r="I553" s="106" t="str">
        <f>SUMIFS(Del!C:C,Del!B:B,A553)</f>
        <v>0</v>
      </c>
      <c r="J553" s="106" t="str">
        <f t="shared" si="5"/>
        <v>1</v>
      </c>
      <c r="K553" s="106" t="str">
        <f t="shared" si="6"/>
        <v>0</v>
      </c>
      <c r="L553" s="106"/>
      <c r="M553" s="106" t="str">
        <f>SUMIFS(Ere!C:C,Ere!B:B,A553)</f>
        <v>0</v>
      </c>
      <c r="N553" s="106" t="str">
        <f t="shared" si="7"/>
        <v>1</v>
      </c>
      <c r="O553" s="107" t="str">
        <f t="array" ref="O553">XLOOKUP(A553,Data!F:F,Data!O:O)</f>
        <v>  0.79 </v>
      </c>
      <c r="P553" s="107" t="str">
        <f t="shared" si="8"/>
        <v>  1.99 </v>
      </c>
      <c r="Q553" s="27"/>
    </row>
    <row r="554" ht="15.75" customHeight="1">
      <c r="A554" s="105" t="s">
        <v>798</v>
      </c>
      <c r="B554" s="19" t="str">
        <f t="array" ref="B554">XLOOKUP(A554,Data!F:F,Data!G:G)</f>
        <v>A1D</v>
      </c>
      <c r="C554" s="19" t="str">
        <f t="shared" si="3"/>
        <v>A047</v>
      </c>
      <c r="D554" s="19" t="str">
        <f t="array" ref="D554">XLOOKUP(A554,Data!F:F,Data!C:C)</f>
        <v>EXT</v>
      </c>
      <c r="E554" s="19" t="str">
        <f t="array" ref="E554">XLOOKUP(A554,Data!F:F,Data!H:H)</f>
        <v>BW</v>
      </c>
      <c r="F554" s="106" t="str">
        <f>SUMIFS(Data!J:J,Data!F:F,A554)</f>
        <v>1</v>
      </c>
      <c r="G554" s="106" t="str">
        <f>SUMIFS(Cast!C:C,CastElements,A554)</f>
        <v>0</v>
      </c>
      <c r="H554" s="106" t="str">
        <f t="shared" si="4"/>
        <v>1</v>
      </c>
      <c r="I554" s="106" t="str">
        <f>SUMIFS(Del!C:C,Del!B:B,A554)</f>
        <v>0</v>
      </c>
      <c r="J554" s="106" t="str">
        <f t="shared" si="5"/>
        <v>1</v>
      </c>
      <c r="K554" s="106" t="str">
        <f t="shared" si="6"/>
        <v>0</v>
      </c>
      <c r="L554" s="106"/>
      <c r="M554" s="106" t="str">
        <f>SUMIFS(Ere!C:C,Ere!B:B,A554)</f>
        <v>0</v>
      </c>
      <c r="N554" s="106" t="str">
        <f t="shared" si="7"/>
        <v>1</v>
      </c>
      <c r="O554" s="107" t="str">
        <f t="array" ref="O554">XLOOKUP(A554,Data!F:F,Data!O:O)</f>
        <v>  0.87 </v>
      </c>
      <c r="P554" s="107" t="str">
        <f t="shared" si="8"/>
        <v>  2.18 </v>
      </c>
      <c r="Q554" s="27"/>
    </row>
    <row r="555" ht="15.75" customHeight="1">
      <c r="A555" s="105" t="s">
        <v>799</v>
      </c>
      <c r="B555" s="19" t="str">
        <f t="array" ref="B555">XLOOKUP(A555,Data!F:F,Data!G:G)</f>
        <v>A1D</v>
      </c>
      <c r="C555" s="19" t="str">
        <f t="shared" si="3"/>
        <v>A047</v>
      </c>
      <c r="D555" s="19" t="str">
        <f t="array" ref="D555">XLOOKUP(A555,Data!F:F,Data!C:C)</f>
        <v>EXT</v>
      </c>
      <c r="E555" s="19" t="str">
        <f t="array" ref="E555">XLOOKUP(A555,Data!F:F,Data!H:H)</f>
        <v>BW</v>
      </c>
      <c r="F555" s="106" t="str">
        <f>SUMIFS(Data!J:J,Data!F:F,A555)</f>
        <v>1</v>
      </c>
      <c r="G555" s="106" t="str">
        <f>SUMIFS(Cast!C:C,CastElements,A555)</f>
        <v>0</v>
      </c>
      <c r="H555" s="106" t="str">
        <f t="shared" si="4"/>
        <v>1</v>
      </c>
      <c r="I555" s="106" t="str">
        <f>SUMIFS(Del!C:C,Del!B:B,A555)</f>
        <v>0</v>
      </c>
      <c r="J555" s="106" t="str">
        <f t="shared" si="5"/>
        <v>1</v>
      </c>
      <c r="K555" s="106" t="str">
        <f t="shared" si="6"/>
        <v>0</v>
      </c>
      <c r="L555" s="106"/>
      <c r="M555" s="106" t="str">
        <f>SUMIFS(Ere!C:C,Ere!B:B,A555)</f>
        <v>0</v>
      </c>
      <c r="N555" s="106" t="str">
        <f t="shared" si="7"/>
        <v>1</v>
      </c>
      <c r="O555" s="107" t="str">
        <f t="array" ref="O555">XLOOKUP(A555,Data!F:F,Data!O:O)</f>
        <v>  0.87 </v>
      </c>
      <c r="P555" s="107" t="str">
        <f t="shared" si="8"/>
        <v>  2.18 </v>
      </c>
      <c r="Q555" s="27"/>
    </row>
    <row r="556" ht="15.75" customHeight="1">
      <c r="A556" s="105" t="s">
        <v>800</v>
      </c>
      <c r="B556" s="19" t="str">
        <f t="array" ref="B556">XLOOKUP(A556,Data!F:F,Data!G:G)</f>
        <v>A1D</v>
      </c>
      <c r="C556" s="19" t="str">
        <f t="shared" si="3"/>
        <v>A047</v>
      </c>
      <c r="D556" s="19" t="str">
        <f t="array" ref="D556">XLOOKUP(A556,Data!F:F,Data!C:C)</f>
        <v>EXT</v>
      </c>
      <c r="E556" s="19" t="str">
        <f t="array" ref="E556">XLOOKUP(A556,Data!F:F,Data!H:H)</f>
        <v>BW</v>
      </c>
      <c r="F556" s="106" t="str">
        <f>SUMIFS(Data!J:J,Data!F:F,A556)</f>
        <v>1</v>
      </c>
      <c r="G556" s="106" t="str">
        <f>SUMIFS(Cast!C:C,CastElements,A556)</f>
        <v>0</v>
      </c>
      <c r="H556" s="106" t="str">
        <f t="shared" si="4"/>
        <v>1</v>
      </c>
      <c r="I556" s="106" t="str">
        <f>SUMIFS(Del!C:C,Del!B:B,A556)</f>
        <v>0</v>
      </c>
      <c r="J556" s="106" t="str">
        <f t="shared" si="5"/>
        <v>1</v>
      </c>
      <c r="K556" s="106" t="str">
        <f t="shared" si="6"/>
        <v>0</v>
      </c>
      <c r="L556" s="106"/>
      <c r="M556" s="106" t="str">
        <f>SUMIFS(Ere!C:C,Ere!B:B,A556)</f>
        <v>0</v>
      </c>
      <c r="N556" s="106" t="str">
        <f t="shared" si="7"/>
        <v>1</v>
      </c>
      <c r="O556" s="107" t="str">
        <f t="array" ref="O556">XLOOKUP(A556,Data!F:F,Data!O:O)</f>
        <v>  0.87 </v>
      </c>
      <c r="P556" s="107" t="str">
        <f t="shared" si="8"/>
        <v>  2.18 </v>
      </c>
      <c r="Q556" s="27"/>
    </row>
    <row r="557" ht="15.75" customHeight="1">
      <c r="A557" s="105" t="s">
        <v>801</v>
      </c>
      <c r="B557" s="19" t="str">
        <f t="array" ref="B557">XLOOKUP(A557,Data!F:F,Data!G:G)</f>
        <v>A1D</v>
      </c>
      <c r="C557" s="19" t="str">
        <f t="shared" si="3"/>
        <v>A047</v>
      </c>
      <c r="D557" s="19" t="str">
        <f t="array" ref="D557">XLOOKUP(A557,Data!F:F,Data!C:C)</f>
        <v>EXT</v>
      </c>
      <c r="E557" s="19" t="str">
        <f t="array" ref="E557">XLOOKUP(A557,Data!F:F,Data!H:H)</f>
        <v>BW</v>
      </c>
      <c r="F557" s="106" t="str">
        <f>SUMIFS(Data!J:J,Data!F:F,A557)</f>
        <v>1</v>
      </c>
      <c r="G557" s="106" t="str">
        <f>SUMIFS(Cast!C:C,CastElements,A557)</f>
        <v>0</v>
      </c>
      <c r="H557" s="106" t="str">
        <f t="shared" si="4"/>
        <v>1</v>
      </c>
      <c r="I557" s="106" t="str">
        <f>SUMIFS(Del!C:C,Del!B:B,A557)</f>
        <v>0</v>
      </c>
      <c r="J557" s="106" t="str">
        <f t="shared" si="5"/>
        <v>1</v>
      </c>
      <c r="K557" s="106" t="str">
        <f t="shared" si="6"/>
        <v>0</v>
      </c>
      <c r="L557" s="106"/>
      <c r="M557" s="106" t="str">
        <f>SUMIFS(Ere!C:C,Ere!B:B,A557)</f>
        <v>0</v>
      </c>
      <c r="N557" s="106" t="str">
        <f t="shared" si="7"/>
        <v>1</v>
      </c>
      <c r="O557" s="107" t="str">
        <f t="array" ref="O557">XLOOKUP(A557,Data!F:F,Data!O:O)</f>
        <v>  0.87 </v>
      </c>
      <c r="P557" s="107" t="str">
        <f t="shared" si="8"/>
        <v>  2.18 </v>
      </c>
      <c r="Q557" s="27"/>
    </row>
    <row r="558" ht="15.75" customHeight="1">
      <c r="A558" s="105" t="s">
        <v>802</v>
      </c>
      <c r="B558" s="19" t="str">
        <f t="array" ref="B558">XLOOKUP(A558,Data!F:F,Data!G:G)</f>
        <v>A1D</v>
      </c>
      <c r="C558" s="19" t="str">
        <f t="shared" si="3"/>
        <v>A047</v>
      </c>
      <c r="D558" s="19" t="str">
        <f t="array" ref="D558">XLOOKUP(A558,Data!F:F,Data!C:C)</f>
        <v>EXT</v>
      </c>
      <c r="E558" s="19" t="str">
        <f t="array" ref="E558">XLOOKUP(A558,Data!F:F,Data!H:H)</f>
        <v>BW</v>
      </c>
      <c r="F558" s="106" t="str">
        <f>SUMIFS(Data!J:J,Data!F:F,A558)</f>
        <v>1</v>
      </c>
      <c r="G558" s="106" t="str">
        <f>SUMIFS(Cast!C:C,CastElements,A558)</f>
        <v>0</v>
      </c>
      <c r="H558" s="106" t="str">
        <f t="shared" si="4"/>
        <v>1</v>
      </c>
      <c r="I558" s="106" t="str">
        <f>SUMIFS(Del!C:C,Del!B:B,A558)</f>
        <v>0</v>
      </c>
      <c r="J558" s="106" t="str">
        <f t="shared" si="5"/>
        <v>1</v>
      </c>
      <c r="K558" s="106" t="str">
        <f t="shared" si="6"/>
        <v>0</v>
      </c>
      <c r="L558" s="106"/>
      <c r="M558" s="106" t="str">
        <f>SUMIFS(Ere!C:C,Ere!B:B,A558)</f>
        <v>0</v>
      </c>
      <c r="N558" s="106" t="str">
        <f t="shared" si="7"/>
        <v>1</v>
      </c>
      <c r="O558" s="107" t="str">
        <f t="array" ref="O558">XLOOKUP(A558,Data!F:F,Data!O:O)</f>
        <v>  1.03 </v>
      </c>
      <c r="P558" s="107" t="str">
        <f t="shared" si="8"/>
        <v>  2.58 </v>
      </c>
      <c r="Q558" s="27"/>
    </row>
    <row r="559" ht="15.75" customHeight="1">
      <c r="A559" s="105" t="s">
        <v>803</v>
      </c>
      <c r="B559" s="19" t="str">
        <f t="array" ref="B559">XLOOKUP(A559,Data!F:F,Data!G:G)</f>
        <v>A1D</v>
      </c>
      <c r="C559" s="19" t="str">
        <f t="shared" si="3"/>
        <v>A047</v>
      </c>
      <c r="D559" s="19" t="str">
        <f t="array" ref="D559">XLOOKUP(A559,Data!F:F,Data!C:C)</f>
        <v/>
      </c>
      <c r="E559" s="19" t="str">
        <f t="array" ref="E559">XLOOKUP(A559,Data!F:F,Data!H:H)</f>
        <v>BW</v>
      </c>
      <c r="F559" s="106" t="str">
        <f>SUMIFS(Data!J:J,Data!F:F,A559)</f>
        <v>1</v>
      </c>
      <c r="G559" s="106" t="str">
        <f>SUMIFS(Cast!C:C,CastElements,A559)</f>
        <v>1</v>
      </c>
      <c r="H559" s="106" t="str">
        <f t="shared" si="4"/>
        <v>0</v>
      </c>
      <c r="I559" s="106" t="str">
        <f>SUMIFS(Del!C:C,Del!B:B,A559)</f>
        <v>0</v>
      </c>
      <c r="J559" s="106" t="str">
        <f t="shared" si="5"/>
        <v>1</v>
      </c>
      <c r="K559" s="106" t="str">
        <f t="shared" si="6"/>
        <v>1</v>
      </c>
      <c r="L559" s="106"/>
      <c r="M559" s="106" t="str">
        <f>SUMIFS(Ere!C:C,Ere!B:B,A559)</f>
        <v>0</v>
      </c>
      <c r="N559" s="106" t="str">
        <f t="shared" si="7"/>
        <v>1</v>
      </c>
      <c r="O559" s="107" t="str">
        <f t="array" ref="O559">XLOOKUP(A559,Data!F:F,Data!O:O)</f>
        <v>  2.27 </v>
      </c>
      <c r="P559" s="107" t="str">
        <f t="shared" si="8"/>
        <v>  5.69 </v>
      </c>
      <c r="Q559" s="27"/>
    </row>
    <row r="560" ht="15.75" customHeight="1">
      <c r="A560" s="105" t="s">
        <v>804</v>
      </c>
      <c r="B560" s="19" t="str">
        <f t="array" ref="B560">XLOOKUP(A560,Data!F:F,Data!G:G)</f>
        <v>A1D</v>
      </c>
      <c r="C560" s="19" t="str">
        <f t="shared" si="3"/>
        <v>A047</v>
      </c>
      <c r="D560" s="19" t="str">
        <f t="array" ref="D560">XLOOKUP(A560,Data!F:F,Data!C:C)</f>
        <v/>
      </c>
      <c r="E560" s="19" t="str">
        <f t="array" ref="E560">XLOOKUP(A560,Data!F:F,Data!H:H)</f>
        <v>BW</v>
      </c>
      <c r="F560" s="106" t="str">
        <f>SUMIFS(Data!J:J,Data!F:F,A560)</f>
        <v>1</v>
      </c>
      <c r="G560" s="106" t="str">
        <f>SUMIFS(Cast!C:C,CastElements,A560)</f>
        <v>1</v>
      </c>
      <c r="H560" s="106" t="str">
        <f t="shared" si="4"/>
        <v>0</v>
      </c>
      <c r="I560" s="106" t="str">
        <f>SUMIFS(Del!C:C,Del!B:B,A560)</f>
        <v>0</v>
      </c>
      <c r="J560" s="106" t="str">
        <f t="shared" si="5"/>
        <v>1</v>
      </c>
      <c r="K560" s="106" t="str">
        <f t="shared" si="6"/>
        <v>1</v>
      </c>
      <c r="L560" s="106"/>
      <c r="M560" s="106" t="str">
        <f>SUMIFS(Ere!C:C,Ere!B:B,A560)</f>
        <v>0</v>
      </c>
      <c r="N560" s="106" t="str">
        <f t="shared" si="7"/>
        <v>1</v>
      </c>
      <c r="O560" s="107" t="str">
        <f t="array" ref="O560">XLOOKUP(A560,Data!F:F,Data!O:O)</f>
        <v>  1.22 </v>
      </c>
      <c r="P560" s="107" t="str">
        <f t="shared" si="8"/>
        <v>  3.05 </v>
      </c>
      <c r="Q560" s="27"/>
    </row>
    <row r="561" ht="15.75" customHeight="1">
      <c r="A561" s="105" t="s">
        <v>805</v>
      </c>
      <c r="B561" s="19" t="str">
        <f t="array" ref="B561">XLOOKUP(A561,Data!F:F,Data!G:G)</f>
        <v>A1D</v>
      </c>
      <c r="C561" s="19" t="str">
        <f t="shared" si="3"/>
        <v>A047</v>
      </c>
      <c r="D561" s="19" t="str">
        <f t="array" ref="D561">XLOOKUP(A561,Data!F:F,Data!C:C)</f>
        <v/>
      </c>
      <c r="E561" s="19" t="str">
        <f t="array" ref="E561">XLOOKUP(A561,Data!F:F,Data!H:H)</f>
        <v>BW</v>
      </c>
      <c r="F561" s="106" t="str">
        <f>SUMIFS(Data!J:J,Data!F:F,A561)</f>
        <v>1</v>
      </c>
      <c r="G561" s="106" t="str">
        <f>SUMIFS(Cast!C:C,CastElements,A561)</f>
        <v>1</v>
      </c>
      <c r="H561" s="106" t="str">
        <f t="shared" si="4"/>
        <v>0</v>
      </c>
      <c r="I561" s="106" t="str">
        <f>SUMIFS(Del!C:C,Del!B:B,A561)</f>
        <v>0</v>
      </c>
      <c r="J561" s="106" t="str">
        <f t="shared" si="5"/>
        <v>1</v>
      </c>
      <c r="K561" s="106" t="str">
        <f t="shared" si="6"/>
        <v>1</v>
      </c>
      <c r="L561" s="106"/>
      <c r="M561" s="106" t="str">
        <f>SUMIFS(Ere!C:C,Ere!B:B,A561)</f>
        <v>0</v>
      </c>
      <c r="N561" s="106" t="str">
        <f t="shared" si="7"/>
        <v>1</v>
      </c>
      <c r="O561" s="107" t="str">
        <f t="array" ref="O561">XLOOKUP(A561,Data!F:F,Data!O:O)</f>
        <v>  1.95 </v>
      </c>
      <c r="P561" s="107" t="str">
        <f t="shared" si="8"/>
        <v>  4.86 </v>
      </c>
      <c r="Q561" s="27"/>
    </row>
    <row r="562" ht="15.75" customHeight="1">
      <c r="A562" s="105" t="s">
        <v>806</v>
      </c>
      <c r="B562" s="19" t="str">
        <f t="array" ref="B562">XLOOKUP(A562,Data!F:F,Data!G:G)</f>
        <v>A1D</v>
      </c>
      <c r="C562" s="19" t="str">
        <f t="shared" si="3"/>
        <v>A047</v>
      </c>
      <c r="D562" s="19" t="str">
        <f t="array" ref="D562">XLOOKUP(A562,Data!F:F,Data!C:C)</f>
        <v/>
      </c>
      <c r="E562" s="19" t="str">
        <f t="array" ref="E562">XLOOKUP(A562,Data!F:F,Data!H:H)</f>
        <v>BW</v>
      </c>
      <c r="F562" s="106" t="str">
        <f>SUMIFS(Data!J:J,Data!F:F,A562)</f>
        <v>1</v>
      </c>
      <c r="G562" s="106" t="str">
        <f>SUMIFS(Cast!C:C,CastElements,A562)</f>
        <v>1</v>
      </c>
      <c r="H562" s="106" t="str">
        <f t="shared" si="4"/>
        <v>0</v>
      </c>
      <c r="I562" s="106" t="str">
        <f>SUMIFS(Del!C:C,Del!B:B,A562)</f>
        <v>0</v>
      </c>
      <c r="J562" s="106" t="str">
        <f t="shared" si="5"/>
        <v>1</v>
      </c>
      <c r="K562" s="106" t="str">
        <f t="shared" si="6"/>
        <v>1</v>
      </c>
      <c r="L562" s="106"/>
      <c r="M562" s="106" t="str">
        <f>SUMIFS(Ere!C:C,Ere!B:B,A562)</f>
        <v>0</v>
      </c>
      <c r="N562" s="106" t="str">
        <f t="shared" si="7"/>
        <v>1</v>
      </c>
      <c r="O562" s="107" t="str">
        <f t="array" ref="O562">XLOOKUP(A562,Data!F:F,Data!O:O)</f>
        <v>  1.52 </v>
      </c>
      <c r="P562" s="107" t="str">
        <f t="shared" si="8"/>
        <v>  3.79 </v>
      </c>
      <c r="Q562" s="27"/>
    </row>
    <row r="563" ht="15.75" customHeight="1">
      <c r="A563" s="105" t="s">
        <v>807</v>
      </c>
      <c r="B563" s="19" t="str">
        <f t="array" ref="B563">XLOOKUP(A563,Data!F:F,Data!G:G)</f>
        <v>A1D</v>
      </c>
      <c r="C563" s="19" t="str">
        <f t="shared" si="3"/>
        <v>A047</v>
      </c>
      <c r="D563" s="19" t="str">
        <f t="array" ref="D563">XLOOKUP(A563,Data!F:F,Data!C:C)</f>
        <v/>
      </c>
      <c r="E563" s="19" t="str">
        <f t="array" ref="E563">XLOOKUP(A563,Data!F:F,Data!H:H)</f>
        <v>BW</v>
      </c>
      <c r="F563" s="106" t="str">
        <f>SUMIFS(Data!J:J,Data!F:F,A563)</f>
        <v>1</v>
      </c>
      <c r="G563" s="106" t="str">
        <f>SUMIFS(Cast!C:C,CastElements,A563)</f>
        <v>1</v>
      </c>
      <c r="H563" s="106" t="str">
        <f t="shared" si="4"/>
        <v>0</v>
      </c>
      <c r="I563" s="106" t="str">
        <f>SUMIFS(Del!C:C,Del!B:B,A563)</f>
        <v>0</v>
      </c>
      <c r="J563" s="106" t="str">
        <f t="shared" si="5"/>
        <v>1</v>
      </c>
      <c r="K563" s="106" t="str">
        <f t="shared" si="6"/>
        <v>1</v>
      </c>
      <c r="L563" s="106"/>
      <c r="M563" s="106" t="str">
        <f>SUMIFS(Ere!C:C,Ere!B:B,A563)</f>
        <v>0</v>
      </c>
      <c r="N563" s="106" t="str">
        <f t="shared" si="7"/>
        <v>1</v>
      </c>
      <c r="O563" s="107" t="str">
        <f t="array" ref="O563">XLOOKUP(A563,Data!F:F,Data!O:O)</f>
        <v>  1.52 </v>
      </c>
      <c r="P563" s="107" t="str">
        <f t="shared" si="8"/>
        <v>  3.79 </v>
      </c>
      <c r="Q563" s="27"/>
    </row>
    <row r="564" ht="15.75" customHeight="1">
      <c r="A564" s="105" t="s">
        <v>808</v>
      </c>
      <c r="B564" s="19" t="str">
        <f t="array" ref="B564">XLOOKUP(A564,Data!F:F,Data!G:G)</f>
        <v>A1D</v>
      </c>
      <c r="C564" s="19" t="str">
        <f t="shared" si="3"/>
        <v>A047</v>
      </c>
      <c r="D564" s="19" t="str">
        <f t="array" ref="D564">XLOOKUP(A564,Data!F:F,Data!C:C)</f>
        <v/>
      </c>
      <c r="E564" s="19" t="str">
        <f t="array" ref="E564">XLOOKUP(A564,Data!F:F,Data!H:H)</f>
        <v>BW</v>
      </c>
      <c r="F564" s="106" t="str">
        <f>SUMIFS(Data!J:J,Data!F:F,A564)</f>
        <v>1</v>
      </c>
      <c r="G564" s="106" t="str">
        <f>SUMIFS(Cast!C:C,CastElements,A564)</f>
        <v>1</v>
      </c>
      <c r="H564" s="106" t="str">
        <f t="shared" si="4"/>
        <v>0</v>
      </c>
      <c r="I564" s="106" t="str">
        <f>SUMIFS(Del!C:C,Del!B:B,A564)</f>
        <v>0</v>
      </c>
      <c r="J564" s="106" t="str">
        <f t="shared" si="5"/>
        <v>1</v>
      </c>
      <c r="K564" s="106" t="str">
        <f t="shared" si="6"/>
        <v>1</v>
      </c>
      <c r="L564" s="106"/>
      <c r="M564" s="106" t="str">
        <f>SUMIFS(Ere!C:C,Ere!B:B,A564)</f>
        <v>0</v>
      </c>
      <c r="N564" s="106" t="str">
        <f t="shared" si="7"/>
        <v>1</v>
      </c>
      <c r="O564" s="107" t="str">
        <f t="array" ref="O564">XLOOKUP(A564,Data!F:F,Data!O:O)</f>
        <v>  1.52 </v>
      </c>
      <c r="P564" s="107" t="str">
        <f t="shared" si="8"/>
        <v>  3.79 </v>
      </c>
      <c r="Q564" s="27"/>
    </row>
    <row r="565" ht="15.75" customHeight="1">
      <c r="A565" s="105" t="s">
        <v>809</v>
      </c>
      <c r="B565" s="19" t="str">
        <f t="array" ref="B565">XLOOKUP(A565,Data!F:F,Data!G:G)</f>
        <v>A1D</v>
      </c>
      <c r="C565" s="19" t="str">
        <f t="shared" si="3"/>
        <v>A047</v>
      </c>
      <c r="D565" s="19" t="str">
        <f t="array" ref="D565">XLOOKUP(A565,Data!F:F,Data!C:C)</f>
        <v/>
      </c>
      <c r="E565" s="19" t="str">
        <f t="array" ref="E565">XLOOKUP(A565,Data!F:F,Data!H:H)</f>
        <v>BW</v>
      </c>
      <c r="F565" s="106" t="str">
        <f>SUMIFS(Data!J:J,Data!F:F,A565)</f>
        <v>1</v>
      </c>
      <c r="G565" s="106" t="str">
        <f>SUMIFS(Cast!C:C,CastElements,A565)</f>
        <v>1</v>
      </c>
      <c r="H565" s="106" t="str">
        <f t="shared" si="4"/>
        <v>0</v>
      </c>
      <c r="I565" s="106" t="str">
        <f>SUMIFS(Del!C:C,Del!B:B,A565)</f>
        <v>0</v>
      </c>
      <c r="J565" s="106" t="str">
        <f t="shared" si="5"/>
        <v>1</v>
      </c>
      <c r="K565" s="106" t="str">
        <f t="shared" si="6"/>
        <v>1</v>
      </c>
      <c r="L565" s="106"/>
      <c r="M565" s="106" t="str">
        <f>SUMIFS(Ere!C:C,Ere!B:B,A565)</f>
        <v>0</v>
      </c>
      <c r="N565" s="106" t="str">
        <f t="shared" si="7"/>
        <v>1</v>
      </c>
      <c r="O565" s="107" t="str">
        <f t="array" ref="O565">XLOOKUP(A565,Data!F:F,Data!O:O)</f>
        <v>  1.86 </v>
      </c>
      <c r="P565" s="107" t="str">
        <f t="shared" si="8"/>
        <v>  4.66 </v>
      </c>
      <c r="Q565" s="27"/>
    </row>
    <row r="566" ht="15.75" customHeight="1">
      <c r="A566" s="105" t="s">
        <v>810</v>
      </c>
      <c r="B566" s="19" t="str">
        <f t="array" ref="B566">XLOOKUP(A566,Data!F:F,Data!G:G)</f>
        <v>A1D</v>
      </c>
      <c r="C566" s="19" t="str">
        <f t="shared" si="3"/>
        <v>A047</v>
      </c>
      <c r="D566" s="19" t="str">
        <f t="array" ref="D566">XLOOKUP(A566,Data!F:F,Data!C:C)</f>
        <v/>
      </c>
      <c r="E566" s="19" t="str">
        <f t="array" ref="E566">XLOOKUP(A566,Data!F:F,Data!H:H)</f>
        <v>BW</v>
      </c>
      <c r="F566" s="106" t="str">
        <f>SUMIFS(Data!J:J,Data!F:F,A566)</f>
        <v>1</v>
      </c>
      <c r="G566" s="106" t="str">
        <f>SUMIFS(Cast!C:C,CastElements,A566)</f>
        <v>1</v>
      </c>
      <c r="H566" s="106" t="str">
        <f t="shared" si="4"/>
        <v>0</v>
      </c>
      <c r="I566" s="106" t="str">
        <f>SUMIFS(Del!C:C,Del!B:B,A566)</f>
        <v>0</v>
      </c>
      <c r="J566" s="106" t="str">
        <f t="shared" si="5"/>
        <v>1</v>
      </c>
      <c r="K566" s="106" t="str">
        <f t="shared" si="6"/>
        <v>1</v>
      </c>
      <c r="L566" s="106"/>
      <c r="M566" s="106" t="str">
        <f>SUMIFS(Ere!C:C,Ere!B:B,A566)</f>
        <v>0</v>
      </c>
      <c r="N566" s="106" t="str">
        <f t="shared" si="7"/>
        <v>1</v>
      </c>
      <c r="O566" s="107" t="str">
        <f t="array" ref="O566">XLOOKUP(A566,Data!F:F,Data!O:O)</f>
        <v>  1.86 </v>
      </c>
      <c r="P566" s="107" t="str">
        <f t="shared" si="8"/>
        <v>  4.66 </v>
      </c>
      <c r="Q566" s="27"/>
    </row>
    <row r="567" ht="15.75" customHeight="1">
      <c r="A567" s="105" t="s">
        <v>811</v>
      </c>
      <c r="B567" s="19" t="str">
        <f t="array" ref="B567">XLOOKUP(A567,Data!F:F,Data!G:G)</f>
        <v>A1D</v>
      </c>
      <c r="C567" s="19" t="str">
        <f t="shared" si="3"/>
        <v>A047</v>
      </c>
      <c r="D567" s="19" t="str">
        <f t="array" ref="D567">XLOOKUP(A567,Data!F:F,Data!C:C)</f>
        <v/>
      </c>
      <c r="E567" s="19" t="str">
        <f t="array" ref="E567">XLOOKUP(A567,Data!F:F,Data!H:H)</f>
        <v>BW</v>
      </c>
      <c r="F567" s="106" t="str">
        <f>SUMIFS(Data!J:J,Data!F:F,A567)</f>
        <v>1</v>
      </c>
      <c r="G567" s="106" t="str">
        <f>SUMIFS(Cast!C:C,CastElements,A567)</f>
        <v>1</v>
      </c>
      <c r="H567" s="106" t="str">
        <f t="shared" si="4"/>
        <v>0</v>
      </c>
      <c r="I567" s="106" t="str">
        <f>SUMIFS(Del!C:C,Del!B:B,A567)</f>
        <v>0</v>
      </c>
      <c r="J567" s="106" t="str">
        <f t="shared" si="5"/>
        <v>1</v>
      </c>
      <c r="K567" s="106" t="str">
        <f t="shared" si="6"/>
        <v>1</v>
      </c>
      <c r="L567" s="106"/>
      <c r="M567" s="106" t="str">
        <f>SUMIFS(Ere!C:C,Ere!B:B,A567)</f>
        <v>0</v>
      </c>
      <c r="N567" s="106" t="str">
        <f t="shared" si="7"/>
        <v>1</v>
      </c>
      <c r="O567" s="107" t="str">
        <f t="array" ref="O567">XLOOKUP(A567,Data!F:F,Data!O:O)</f>
        <v>  1.86 </v>
      </c>
      <c r="P567" s="107" t="str">
        <f t="shared" si="8"/>
        <v>  4.66 </v>
      </c>
      <c r="Q567" s="27"/>
    </row>
    <row r="568" ht="15.75" customHeight="1">
      <c r="A568" s="105" t="s">
        <v>812</v>
      </c>
      <c r="B568" s="19" t="str">
        <f t="array" ref="B568">XLOOKUP(A568,Data!F:F,Data!G:G)</f>
        <v>A1D</v>
      </c>
      <c r="C568" s="19" t="str">
        <f t="shared" si="3"/>
        <v>A047</v>
      </c>
      <c r="D568" s="19" t="str">
        <f t="array" ref="D568">XLOOKUP(A568,Data!F:F,Data!C:C)</f>
        <v/>
      </c>
      <c r="E568" s="19" t="str">
        <f t="array" ref="E568">XLOOKUP(A568,Data!F:F,Data!H:H)</f>
        <v>BW</v>
      </c>
      <c r="F568" s="106" t="str">
        <f>SUMIFS(Data!J:J,Data!F:F,A568)</f>
        <v>1</v>
      </c>
      <c r="G568" s="106" t="str">
        <f>SUMIFS(Cast!C:C,CastElements,A568)</f>
        <v>1</v>
      </c>
      <c r="H568" s="106" t="str">
        <f t="shared" si="4"/>
        <v>0</v>
      </c>
      <c r="I568" s="106" t="str">
        <f>SUMIFS(Del!C:C,Del!B:B,A568)</f>
        <v>0</v>
      </c>
      <c r="J568" s="106" t="str">
        <f t="shared" si="5"/>
        <v>1</v>
      </c>
      <c r="K568" s="106" t="str">
        <f t="shared" si="6"/>
        <v>1</v>
      </c>
      <c r="L568" s="106"/>
      <c r="M568" s="106" t="str">
        <f>SUMIFS(Ere!C:C,Ere!B:B,A568)</f>
        <v>0</v>
      </c>
      <c r="N568" s="106" t="str">
        <f t="shared" si="7"/>
        <v>1</v>
      </c>
      <c r="O568" s="107" t="str">
        <f t="array" ref="O568">XLOOKUP(A568,Data!F:F,Data!O:O)</f>
        <v>  1.86 </v>
      </c>
      <c r="P568" s="107" t="str">
        <f t="shared" si="8"/>
        <v>  4.66 </v>
      </c>
      <c r="Q568" s="27"/>
    </row>
    <row r="569" ht="15.75" customHeight="1">
      <c r="A569" s="105" t="s">
        <v>813</v>
      </c>
      <c r="B569" s="19" t="str">
        <f t="array" ref="B569">XLOOKUP(A569,Data!F:F,Data!G:G)</f>
        <v>A1D</v>
      </c>
      <c r="C569" s="19" t="str">
        <f t="shared" si="3"/>
        <v>A047</v>
      </c>
      <c r="D569" s="19" t="str">
        <f t="array" ref="D569">XLOOKUP(A569,Data!F:F,Data!C:C)</f>
        <v/>
      </c>
      <c r="E569" s="19" t="str">
        <f t="array" ref="E569">XLOOKUP(A569,Data!F:F,Data!H:H)</f>
        <v>BW</v>
      </c>
      <c r="F569" s="106" t="str">
        <f>SUMIFS(Data!J:J,Data!F:F,A569)</f>
        <v>1</v>
      </c>
      <c r="G569" s="106" t="str">
        <f>SUMIFS(Cast!C:C,CastElements,A569)</f>
        <v>0</v>
      </c>
      <c r="H569" s="106" t="str">
        <f t="shared" si="4"/>
        <v>1</v>
      </c>
      <c r="I569" s="106" t="str">
        <f>SUMIFS(Del!C:C,Del!B:B,A569)</f>
        <v>0</v>
      </c>
      <c r="J569" s="106" t="str">
        <f t="shared" si="5"/>
        <v>1</v>
      </c>
      <c r="K569" s="106" t="str">
        <f t="shared" si="6"/>
        <v>0</v>
      </c>
      <c r="L569" s="106"/>
      <c r="M569" s="106" t="str">
        <f>SUMIFS(Ere!C:C,Ere!B:B,A569)</f>
        <v>0</v>
      </c>
      <c r="N569" s="106" t="str">
        <f t="shared" si="7"/>
        <v>1</v>
      </c>
      <c r="O569" s="107" t="str">
        <f t="array" ref="O569">XLOOKUP(A569,Data!F:F,Data!O:O)</f>
        <v>  1.59 </v>
      </c>
      <c r="P569" s="107" t="str">
        <f t="shared" si="8"/>
        <v>  3.97 </v>
      </c>
      <c r="Q569" s="27"/>
    </row>
    <row r="570" ht="15.75" customHeight="1">
      <c r="A570" s="105" t="s">
        <v>814</v>
      </c>
      <c r="B570" s="19" t="str">
        <f t="array" ref="B570">XLOOKUP(A570,Data!F:F,Data!G:G)</f>
        <v>A1D</v>
      </c>
      <c r="C570" s="19" t="str">
        <f t="shared" si="3"/>
        <v>A048</v>
      </c>
      <c r="D570" s="19" t="str">
        <f t="array" ref="D570">XLOOKUP(A570,Data!F:F,Data!C:C)</f>
        <v/>
      </c>
      <c r="E570" s="19" t="str">
        <f t="array" ref="E570">XLOOKUP(A570,Data!F:F,Data!H:H)</f>
        <v>BW</v>
      </c>
      <c r="F570" s="106" t="str">
        <f>SUMIFS(Data!J:J,Data!F:F,A570)</f>
        <v>1</v>
      </c>
      <c r="G570" s="106" t="str">
        <f>SUMIFS(Cast!C:C,CastElements,A570)</f>
        <v>1</v>
      </c>
      <c r="H570" s="106" t="str">
        <f t="shared" si="4"/>
        <v>0</v>
      </c>
      <c r="I570" s="106" t="str">
        <f>SUMIFS(Del!C:C,Del!B:B,A570)</f>
        <v>0</v>
      </c>
      <c r="J570" s="106" t="str">
        <f t="shared" si="5"/>
        <v>1</v>
      </c>
      <c r="K570" s="106" t="str">
        <f t="shared" si="6"/>
        <v>1</v>
      </c>
      <c r="L570" s="106"/>
      <c r="M570" s="106" t="str">
        <f>SUMIFS(Ere!C:C,Ere!B:B,A570)</f>
        <v>0</v>
      </c>
      <c r="N570" s="106" t="str">
        <f t="shared" si="7"/>
        <v>1</v>
      </c>
      <c r="O570" s="107" t="str">
        <f t="array" ref="O570">XLOOKUP(A570,Data!F:F,Data!O:O)</f>
        <v>  0.47 </v>
      </c>
      <c r="P570" s="107" t="str">
        <f t="shared" si="8"/>
        <v>  1.17 </v>
      </c>
      <c r="Q570" s="27"/>
    </row>
    <row r="571" ht="15.75" customHeight="1">
      <c r="A571" s="105" t="s">
        <v>815</v>
      </c>
      <c r="B571" s="19" t="str">
        <f t="array" ref="B571">XLOOKUP(A571,Data!F:F,Data!G:G)</f>
        <v>A1D</v>
      </c>
      <c r="C571" s="19" t="str">
        <f t="shared" si="3"/>
        <v>A048</v>
      </c>
      <c r="D571" s="19" t="str">
        <f t="array" ref="D571">XLOOKUP(A571,Data!F:F,Data!C:C)</f>
        <v/>
      </c>
      <c r="E571" s="19" t="str">
        <f t="array" ref="E571">XLOOKUP(A571,Data!F:F,Data!H:H)</f>
        <v>BW</v>
      </c>
      <c r="F571" s="106" t="str">
        <f>SUMIFS(Data!J:J,Data!F:F,A571)</f>
        <v>1</v>
      </c>
      <c r="G571" s="106" t="str">
        <f>SUMIFS(Cast!C:C,CastElements,A571)</f>
        <v>1</v>
      </c>
      <c r="H571" s="106" t="str">
        <f t="shared" si="4"/>
        <v>0</v>
      </c>
      <c r="I571" s="106" t="str">
        <f>SUMIFS(Del!C:C,Del!B:B,A571)</f>
        <v>0</v>
      </c>
      <c r="J571" s="106" t="str">
        <f t="shared" si="5"/>
        <v>1</v>
      </c>
      <c r="K571" s="106" t="str">
        <f t="shared" si="6"/>
        <v>1</v>
      </c>
      <c r="L571" s="106"/>
      <c r="M571" s="106" t="str">
        <f>SUMIFS(Ere!C:C,Ere!B:B,A571)</f>
        <v>0</v>
      </c>
      <c r="N571" s="106" t="str">
        <f t="shared" si="7"/>
        <v>1</v>
      </c>
      <c r="O571" s="107" t="str">
        <f t="array" ref="O571">XLOOKUP(A571,Data!F:F,Data!O:O)</f>
        <v>  1.96 </v>
      </c>
      <c r="P571" s="107" t="str">
        <f t="shared" si="8"/>
        <v>  4.89 </v>
      </c>
      <c r="Q571" s="27"/>
    </row>
    <row r="572" ht="15.75" customHeight="1">
      <c r="A572" s="105" t="s">
        <v>816</v>
      </c>
      <c r="B572" s="19" t="str">
        <f t="array" ref="B572">XLOOKUP(A572,Data!F:F,Data!G:G)</f>
        <v>A1D</v>
      </c>
      <c r="C572" s="19" t="str">
        <f t="shared" si="3"/>
        <v>A048</v>
      </c>
      <c r="D572" s="19" t="str">
        <f t="array" ref="D572">XLOOKUP(A572,Data!F:F,Data!C:C)</f>
        <v/>
      </c>
      <c r="E572" s="19" t="str">
        <f t="array" ref="E572">XLOOKUP(A572,Data!F:F,Data!H:H)</f>
        <v>BW</v>
      </c>
      <c r="F572" s="106" t="str">
        <f>SUMIFS(Data!J:J,Data!F:F,A572)</f>
        <v>1</v>
      </c>
      <c r="G572" s="106" t="str">
        <f>SUMIFS(Cast!C:C,CastElements,A572)</f>
        <v>0</v>
      </c>
      <c r="H572" s="106" t="str">
        <f t="shared" si="4"/>
        <v>1</v>
      </c>
      <c r="I572" s="106" t="str">
        <f>SUMIFS(Del!C:C,Del!B:B,A572)</f>
        <v>0</v>
      </c>
      <c r="J572" s="106" t="str">
        <f t="shared" si="5"/>
        <v>1</v>
      </c>
      <c r="K572" s="106" t="str">
        <f t="shared" si="6"/>
        <v>0</v>
      </c>
      <c r="L572" s="106"/>
      <c r="M572" s="106" t="str">
        <f>SUMIFS(Ere!C:C,Ere!B:B,A572)</f>
        <v>0</v>
      </c>
      <c r="N572" s="106" t="str">
        <f t="shared" si="7"/>
        <v>1</v>
      </c>
      <c r="O572" s="107" t="str">
        <f t="array" ref="O572">XLOOKUP(A572,Data!F:F,Data!O:O)</f>
        <v>  0.34 </v>
      </c>
      <c r="P572" s="107" t="str">
        <f t="shared" si="8"/>
        <v>  0.85 </v>
      </c>
      <c r="Q572" s="27"/>
    </row>
    <row r="573" ht="15.75" customHeight="1">
      <c r="A573" s="105" t="s">
        <v>817</v>
      </c>
      <c r="B573" s="19" t="str">
        <f t="array" ref="B573">XLOOKUP(A573,Data!F:F,Data!G:G)</f>
        <v>A1D</v>
      </c>
      <c r="C573" s="19" t="str">
        <f t="shared" si="3"/>
        <v>A048</v>
      </c>
      <c r="D573" s="19" t="str">
        <f t="array" ref="D573">XLOOKUP(A573,Data!F:F,Data!C:C)</f>
        <v/>
      </c>
      <c r="E573" s="19" t="str">
        <f t="array" ref="E573">XLOOKUP(A573,Data!F:F,Data!H:H)</f>
        <v>BW</v>
      </c>
      <c r="F573" s="106" t="str">
        <f>SUMIFS(Data!J:J,Data!F:F,A573)</f>
        <v>1</v>
      </c>
      <c r="G573" s="106" t="str">
        <f>SUMIFS(Cast!C:C,CastElements,A573)</f>
        <v>0</v>
      </c>
      <c r="H573" s="106" t="str">
        <f t="shared" si="4"/>
        <v>1</v>
      </c>
      <c r="I573" s="106" t="str">
        <f>SUMIFS(Del!C:C,Del!B:B,A573)</f>
        <v>0</v>
      </c>
      <c r="J573" s="106" t="str">
        <f t="shared" si="5"/>
        <v>1</v>
      </c>
      <c r="K573" s="106" t="str">
        <f t="shared" si="6"/>
        <v>0</v>
      </c>
      <c r="L573" s="106"/>
      <c r="M573" s="106" t="str">
        <f>SUMIFS(Ere!C:C,Ere!B:B,A573)</f>
        <v>0</v>
      </c>
      <c r="N573" s="106" t="str">
        <f t="shared" si="7"/>
        <v>1</v>
      </c>
      <c r="O573" s="107" t="str">
        <f t="array" ref="O573">XLOOKUP(A573,Data!F:F,Data!O:O)</f>
        <v>  0.36 </v>
      </c>
      <c r="P573" s="107" t="str">
        <f t="shared" si="8"/>
        <v>  0.90 </v>
      </c>
      <c r="Q573" s="27"/>
    </row>
    <row r="574" ht="15.75" customHeight="1">
      <c r="A574" s="105" t="s">
        <v>818</v>
      </c>
      <c r="B574" s="19" t="str">
        <f t="array" ref="B574">XLOOKUP(A574,Data!F:F,Data!G:G)</f>
        <v>A1D</v>
      </c>
      <c r="C574" s="19" t="str">
        <f t="shared" si="3"/>
        <v>A048</v>
      </c>
      <c r="D574" s="19" t="str">
        <f t="array" ref="D574">XLOOKUP(A574,Data!F:F,Data!C:C)</f>
        <v/>
      </c>
      <c r="E574" s="19" t="str">
        <f t="array" ref="E574">XLOOKUP(A574,Data!F:F,Data!H:H)</f>
        <v>CF</v>
      </c>
      <c r="F574" s="106" t="str">
        <f>SUMIFS(Data!J:J,Data!F:F,A574)</f>
        <v>1</v>
      </c>
      <c r="G574" s="106" t="str">
        <f>SUMIFS(Cast!C:C,CastElements,A574)</f>
        <v>1</v>
      </c>
      <c r="H574" s="106" t="str">
        <f t="shared" si="4"/>
        <v>0</v>
      </c>
      <c r="I574" s="106" t="str">
        <f>SUMIFS(Del!C:C,Del!B:B,A574)</f>
        <v>0</v>
      </c>
      <c r="J574" s="106" t="str">
        <f t="shared" si="5"/>
        <v>1</v>
      </c>
      <c r="K574" s="106" t="str">
        <f t="shared" si="6"/>
        <v>1</v>
      </c>
      <c r="L574" s="106"/>
      <c r="M574" s="106" t="str">
        <f>SUMIFS(Ere!C:C,Ere!B:B,A574)</f>
        <v>0</v>
      </c>
      <c r="N574" s="106" t="str">
        <f t="shared" si="7"/>
        <v>1</v>
      </c>
      <c r="O574" s="107" t="str">
        <f t="array" ref="O574">XLOOKUP(A574,Data!F:F,Data!O:O)</f>
        <v>  0.46 </v>
      </c>
      <c r="P574" s="107" t="str">
        <f t="shared" si="8"/>
        <v>  1.14 </v>
      </c>
      <c r="Q574" s="27"/>
    </row>
    <row r="575" ht="15.75" customHeight="1">
      <c r="A575" s="105" t="s">
        <v>819</v>
      </c>
      <c r="B575" s="19" t="str">
        <f t="array" ref="B575">XLOOKUP(A575,Data!F:F,Data!G:G)</f>
        <v>A1D</v>
      </c>
      <c r="C575" s="19" t="str">
        <f t="shared" si="3"/>
        <v>A048</v>
      </c>
      <c r="D575" s="19" t="str">
        <f t="array" ref="D575">XLOOKUP(A575,Data!F:F,Data!C:C)</f>
        <v/>
      </c>
      <c r="E575" s="19" t="str">
        <f t="array" ref="E575">XLOOKUP(A575,Data!F:F,Data!H:H)</f>
        <v>CF</v>
      </c>
      <c r="F575" s="106" t="str">
        <f>SUMIFS(Data!J:J,Data!F:F,A575)</f>
        <v>1</v>
      </c>
      <c r="G575" s="106" t="str">
        <f>SUMIFS(Cast!C:C,CastElements,A575)</f>
        <v>1</v>
      </c>
      <c r="H575" s="106" t="str">
        <f t="shared" si="4"/>
        <v>0</v>
      </c>
      <c r="I575" s="106" t="str">
        <f>SUMIFS(Del!C:C,Del!B:B,A575)</f>
        <v>0</v>
      </c>
      <c r="J575" s="106" t="str">
        <f t="shared" si="5"/>
        <v>1</v>
      </c>
      <c r="K575" s="106" t="str">
        <f t="shared" si="6"/>
        <v>1</v>
      </c>
      <c r="L575" s="106"/>
      <c r="M575" s="106" t="str">
        <f>SUMIFS(Ere!C:C,Ere!B:B,A575)</f>
        <v>0</v>
      </c>
      <c r="N575" s="106" t="str">
        <f t="shared" si="7"/>
        <v>1</v>
      </c>
      <c r="O575" s="107" t="str">
        <f t="array" ref="O575">XLOOKUP(A575,Data!F:F,Data!O:O)</f>
        <v>  0.48 </v>
      </c>
      <c r="P575" s="107" t="str">
        <f t="shared" si="8"/>
        <v>  1.19 </v>
      </c>
      <c r="Q575" s="27"/>
    </row>
    <row r="576" ht="15.75" customHeight="1">
      <c r="A576" s="105" t="s">
        <v>820</v>
      </c>
      <c r="B576" s="19" t="str">
        <f t="array" ref="B576">XLOOKUP(A576,Data!F:F,Data!G:G)</f>
        <v>A1D</v>
      </c>
      <c r="C576" s="19" t="str">
        <f t="shared" si="3"/>
        <v>A048</v>
      </c>
      <c r="D576" s="19" t="str">
        <f t="array" ref="D576">XLOOKUP(A576,Data!F:F,Data!C:C)</f>
        <v>EXT</v>
      </c>
      <c r="E576" s="19" t="str">
        <f t="array" ref="E576">XLOOKUP(A576,Data!F:F,Data!H:H)</f>
        <v>BW</v>
      </c>
      <c r="F576" s="106" t="str">
        <f>SUMIFS(Data!J:J,Data!F:F,A576)</f>
        <v>1</v>
      </c>
      <c r="G576" s="106" t="str">
        <f>SUMIFS(Cast!C:C,CastElements,A576)</f>
        <v>0</v>
      </c>
      <c r="H576" s="106" t="str">
        <f t="shared" si="4"/>
        <v>1</v>
      </c>
      <c r="I576" s="106" t="str">
        <f>SUMIFS(Del!C:C,Del!B:B,A576)</f>
        <v>0</v>
      </c>
      <c r="J576" s="106" t="str">
        <f t="shared" si="5"/>
        <v>1</v>
      </c>
      <c r="K576" s="106" t="str">
        <f t="shared" si="6"/>
        <v>0</v>
      </c>
      <c r="L576" s="106"/>
      <c r="M576" s="106" t="str">
        <f>SUMIFS(Ere!C:C,Ere!B:B,A576)</f>
        <v>0</v>
      </c>
      <c r="N576" s="106" t="str">
        <f t="shared" si="7"/>
        <v>1</v>
      </c>
      <c r="O576" s="107" t="str">
        <f t="array" ref="O576">XLOOKUP(A576,Data!F:F,Data!O:O)</f>
        <v>  0.79 </v>
      </c>
      <c r="P576" s="107" t="str">
        <f t="shared" si="8"/>
        <v>  1.98 </v>
      </c>
      <c r="Q576" s="27"/>
    </row>
    <row r="577" ht="15.75" customHeight="1">
      <c r="A577" s="105" t="s">
        <v>821</v>
      </c>
      <c r="B577" s="19" t="str">
        <f t="array" ref="B577">XLOOKUP(A577,Data!F:F,Data!G:G)</f>
        <v>A1D</v>
      </c>
      <c r="C577" s="19" t="str">
        <f t="shared" si="3"/>
        <v>A048</v>
      </c>
      <c r="D577" s="19" t="str">
        <f t="array" ref="D577">XLOOKUP(A577,Data!F:F,Data!C:C)</f>
        <v>EXT</v>
      </c>
      <c r="E577" s="19" t="str">
        <f t="array" ref="E577">XLOOKUP(A577,Data!F:F,Data!H:H)</f>
        <v>BW</v>
      </c>
      <c r="F577" s="106" t="str">
        <f>SUMIFS(Data!J:J,Data!F:F,A577)</f>
        <v>1</v>
      </c>
      <c r="G577" s="106" t="str">
        <f>SUMIFS(Cast!C:C,CastElements,A577)</f>
        <v>0</v>
      </c>
      <c r="H577" s="106" t="str">
        <f t="shared" si="4"/>
        <v>1</v>
      </c>
      <c r="I577" s="106" t="str">
        <f>SUMIFS(Del!C:C,Del!B:B,A577)</f>
        <v>0</v>
      </c>
      <c r="J577" s="106" t="str">
        <f t="shared" si="5"/>
        <v>1</v>
      </c>
      <c r="K577" s="106" t="str">
        <f t="shared" si="6"/>
        <v>0</v>
      </c>
      <c r="L577" s="106"/>
      <c r="M577" s="106" t="str">
        <f>SUMIFS(Ere!C:C,Ere!B:B,A577)</f>
        <v>0</v>
      </c>
      <c r="N577" s="106" t="str">
        <f t="shared" si="7"/>
        <v>1</v>
      </c>
      <c r="O577" s="107" t="str">
        <f t="array" ref="O577">XLOOKUP(A577,Data!F:F,Data!O:O)</f>
        <v>  0.87 </v>
      </c>
      <c r="P577" s="107" t="str">
        <f t="shared" si="8"/>
        <v>  2.18 </v>
      </c>
      <c r="Q577" s="27"/>
    </row>
    <row r="578" ht="15.75" customHeight="1">
      <c r="A578" s="105" t="s">
        <v>822</v>
      </c>
      <c r="B578" s="19" t="str">
        <f t="array" ref="B578">XLOOKUP(A578,Data!F:F,Data!G:G)</f>
        <v>A1D</v>
      </c>
      <c r="C578" s="19" t="str">
        <f t="shared" si="3"/>
        <v>A048</v>
      </c>
      <c r="D578" s="19" t="str">
        <f t="array" ref="D578">XLOOKUP(A578,Data!F:F,Data!C:C)</f>
        <v>EXT</v>
      </c>
      <c r="E578" s="19" t="str">
        <f t="array" ref="E578">XLOOKUP(A578,Data!F:F,Data!H:H)</f>
        <v>BW</v>
      </c>
      <c r="F578" s="106" t="str">
        <f>SUMIFS(Data!J:J,Data!F:F,A578)</f>
        <v>1</v>
      </c>
      <c r="G578" s="106" t="str">
        <f>SUMIFS(Cast!C:C,CastElements,A578)</f>
        <v>0</v>
      </c>
      <c r="H578" s="106" t="str">
        <f t="shared" si="4"/>
        <v>1</v>
      </c>
      <c r="I578" s="106" t="str">
        <f>SUMIFS(Del!C:C,Del!B:B,A578)</f>
        <v>0</v>
      </c>
      <c r="J578" s="106" t="str">
        <f t="shared" si="5"/>
        <v>1</v>
      </c>
      <c r="K578" s="106" t="str">
        <f t="shared" si="6"/>
        <v>0</v>
      </c>
      <c r="L578" s="106"/>
      <c r="M578" s="106" t="str">
        <f>SUMIFS(Ere!C:C,Ere!B:B,A578)</f>
        <v>0</v>
      </c>
      <c r="N578" s="106" t="str">
        <f t="shared" si="7"/>
        <v>1</v>
      </c>
      <c r="O578" s="107" t="str">
        <f t="array" ref="O578">XLOOKUP(A578,Data!F:F,Data!O:O)</f>
        <v>  0.87 </v>
      </c>
      <c r="P578" s="107" t="str">
        <f t="shared" si="8"/>
        <v>  2.18 </v>
      </c>
      <c r="Q578" s="27"/>
    </row>
    <row r="579" ht="15.75" customHeight="1">
      <c r="A579" s="105" t="s">
        <v>823</v>
      </c>
      <c r="B579" s="19" t="str">
        <f t="array" ref="B579">XLOOKUP(A579,Data!F:F,Data!G:G)</f>
        <v>A1D</v>
      </c>
      <c r="C579" s="19" t="str">
        <f t="shared" si="3"/>
        <v>A048</v>
      </c>
      <c r="D579" s="19" t="str">
        <f t="array" ref="D579">XLOOKUP(A579,Data!F:F,Data!C:C)</f>
        <v>EXT</v>
      </c>
      <c r="E579" s="19" t="str">
        <f t="array" ref="E579">XLOOKUP(A579,Data!F:F,Data!H:H)</f>
        <v>BW</v>
      </c>
      <c r="F579" s="106" t="str">
        <f>SUMIFS(Data!J:J,Data!F:F,A579)</f>
        <v>1</v>
      </c>
      <c r="G579" s="106" t="str">
        <f>SUMIFS(Cast!C:C,CastElements,A579)</f>
        <v>0</v>
      </c>
      <c r="H579" s="106" t="str">
        <f t="shared" si="4"/>
        <v>1</v>
      </c>
      <c r="I579" s="106" t="str">
        <f>SUMIFS(Del!C:C,Del!B:B,A579)</f>
        <v>0</v>
      </c>
      <c r="J579" s="106" t="str">
        <f t="shared" si="5"/>
        <v>1</v>
      </c>
      <c r="K579" s="106" t="str">
        <f t="shared" si="6"/>
        <v>0</v>
      </c>
      <c r="L579" s="106"/>
      <c r="M579" s="106" t="str">
        <f>SUMIFS(Ere!C:C,Ere!B:B,A579)</f>
        <v>0</v>
      </c>
      <c r="N579" s="106" t="str">
        <f t="shared" si="7"/>
        <v>1</v>
      </c>
      <c r="O579" s="107" t="str">
        <f t="array" ref="O579">XLOOKUP(A579,Data!F:F,Data!O:O)</f>
        <v>  1.12 </v>
      </c>
      <c r="P579" s="107" t="str">
        <f t="shared" si="8"/>
        <v>  2.81 </v>
      </c>
      <c r="Q579" s="27"/>
    </row>
    <row r="580" ht="15.75" customHeight="1">
      <c r="A580" s="105" t="s">
        <v>824</v>
      </c>
      <c r="B580" s="19" t="str">
        <f t="array" ref="B580">XLOOKUP(A580,Data!F:F,Data!G:G)</f>
        <v>A1D</v>
      </c>
      <c r="C580" s="19" t="str">
        <f t="shared" si="3"/>
        <v>A048</v>
      </c>
      <c r="D580" s="19" t="str">
        <f t="array" ref="D580">XLOOKUP(A580,Data!F:F,Data!C:C)</f>
        <v/>
      </c>
      <c r="E580" s="19" t="str">
        <f t="array" ref="E580">XLOOKUP(A580,Data!F:F,Data!H:H)</f>
        <v>BW</v>
      </c>
      <c r="F580" s="106" t="str">
        <f>SUMIFS(Data!J:J,Data!F:F,A580)</f>
        <v>1</v>
      </c>
      <c r="G580" s="106" t="str">
        <f>SUMIFS(Cast!C:C,CastElements,A580)</f>
        <v>1</v>
      </c>
      <c r="H580" s="106" t="str">
        <f t="shared" si="4"/>
        <v>0</v>
      </c>
      <c r="I580" s="106" t="str">
        <f>SUMIFS(Del!C:C,Del!B:B,A580)</f>
        <v>0</v>
      </c>
      <c r="J580" s="106" t="str">
        <f t="shared" si="5"/>
        <v>1</v>
      </c>
      <c r="K580" s="106" t="str">
        <f t="shared" si="6"/>
        <v>1</v>
      </c>
      <c r="L580" s="106"/>
      <c r="M580" s="106" t="str">
        <f>SUMIFS(Ere!C:C,Ere!B:B,A580)</f>
        <v>0</v>
      </c>
      <c r="N580" s="106" t="str">
        <f t="shared" si="7"/>
        <v>1</v>
      </c>
      <c r="O580" s="107" t="str">
        <f t="array" ref="O580">XLOOKUP(A580,Data!F:F,Data!O:O)</f>
        <v>  2.37 </v>
      </c>
      <c r="P580" s="107" t="str">
        <f t="shared" si="8"/>
        <v>  5.93 </v>
      </c>
      <c r="Q580" s="27"/>
    </row>
    <row r="581" ht="15.75" customHeight="1">
      <c r="A581" s="105" t="s">
        <v>825</v>
      </c>
      <c r="B581" s="19" t="str">
        <f t="array" ref="B581">XLOOKUP(A581,Data!F:F,Data!G:G)</f>
        <v>A1D</v>
      </c>
      <c r="C581" s="19" t="str">
        <f t="shared" si="3"/>
        <v>A048</v>
      </c>
      <c r="D581" s="19" t="str">
        <f t="array" ref="D581">XLOOKUP(A581,Data!F:F,Data!C:C)</f>
        <v/>
      </c>
      <c r="E581" s="19" t="str">
        <f t="array" ref="E581">XLOOKUP(A581,Data!F:F,Data!H:H)</f>
        <v>BW</v>
      </c>
      <c r="F581" s="106" t="str">
        <f>SUMIFS(Data!J:J,Data!F:F,A581)</f>
        <v>1</v>
      </c>
      <c r="G581" s="106" t="str">
        <f>SUMIFS(Cast!C:C,CastElements,A581)</f>
        <v>1</v>
      </c>
      <c r="H581" s="106" t="str">
        <f t="shared" si="4"/>
        <v>0</v>
      </c>
      <c r="I581" s="106" t="str">
        <f>SUMIFS(Del!C:C,Del!B:B,A581)</f>
        <v>0</v>
      </c>
      <c r="J581" s="106" t="str">
        <f t="shared" si="5"/>
        <v>1</v>
      </c>
      <c r="K581" s="106" t="str">
        <f t="shared" si="6"/>
        <v>1</v>
      </c>
      <c r="L581" s="106"/>
      <c r="M581" s="106" t="str">
        <f>SUMIFS(Ere!C:C,Ere!B:B,A581)</f>
        <v>0</v>
      </c>
      <c r="N581" s="106" t="str">
        <f t="shared" si="7"/>
        <v>1</v>
      </c>
      <c r="O581" s="107" t="str">
        <f t="array" ref="O581">XLOOKUP(A581,Data!F:F,Data!O:O)</f>
        <v>  1.95 </v>
      </c>
      <c r="P581" s="107" t="str">
        <f t="shared" si="8"/>
        <v>  4.86 </v>
      </c>
      <c r="Q581" s="27"/>
    </row>
    <row r="582" ht="15.75" customHeight="1">
      <c r="A582" s="105" t="s">
        <v>826</v>
      </c>
      <c r="B582" s="19" t="str">
        <f t="array" ref="B582">XLOOKUP(A582,Data!F:F,Data!G:G)</f>
        <v>A1D</v>
      </c>
      <c r="C582" s="19" t="str">
        <f t="shared" si="3"/>
        <v>A048</v>
      </c>
      <c r="D582" s="19" t="str">
        <f t="array" ref="D582">XLOOKUP(A582,Data!F:F,Data!C:C)</f>
        <v/>
      </c>
      <c r="E582" s="19" t="str">
        <f t="array" ref="E582">XLOOKUP(A582,Data!F:F,Data!H:H)</f>
        <v>BW</v>
      </c>
      <c r="F582" s="106" t="str">
        <f>SUMIFS(Data!J:J,Data!F:F,A582)</f>
        <v>1</v>
      </c>
      <c r="G582" s="106" t="str">
        <f>SUMIFS(Cast!C:C,CastElements,A582)</f>
        <v>1</v>
      </c>
      <c r="H582" s="106" t="str">
        <f t="shared" si="4"/>
        <v>0</v>
      </c>
      <c r="I582" s="106" t="str">
        <f>SUMIFS(Del!C:C,Del!B:B,A582)</f>
        <v>0</v>
      </c>
      <c r="J582" s="106" t="str">
        <f t="shared" si="5"/>
        <v>1</v>
      </c>
      <c r="K582" s="106" t="str">
        <f t="shared" si="6"/>
        <v>1</v>
      </c>
      <c r="L582" s="106"/>
      <c r="M582" s="106" t="str">
        <f>SUMIFS(Ere!C:C,Ere!B:B,A582)</f>
        <v>0</v>
      </c>
      <c r="N582" s="106" t="str">
        <f t="shared" si="7"/>
        <v>1</v>
      </c>
      <c r="O582" s="107" t="str">
        <f t="array" ref="O582">XLOOKUP(A582,Data!F:F,Data!O:O)</f>
        <v>  1.22 </v>
      </c>
      <c r="P582" s="107" t="str">
        <f t="shared" si="8"/>
        <v>  3.05 </v>
      </c>
      <c r="Q582" s="27"/>
    </row>
    <row r="583" ht="15.75" customHeight="1">
      <c r="A583" s="105" t="s">
        <v>827</v>
      </c>
      <c r="B583" s="19" t="str">
        <f t="array" ref="B583">XLOOKUP(A583,Data!F:F,Data!G:G)</f>
        <v>A1D</v>
      </c>
      <c r="C583" s="19" t="str">
        <f t="shared" si="3"/>
        <v>A048</v>
      </c>
      <c r="D583" s="19" t="str">
        <f t="array" ref="D583">XLOOKUP(A583,Data!F:F,Data!C:C)</f>
        <v/>
      </c>
      <c r="E583" s="19" t="str">
        <f t="array" ref="E583">XLOOKUP(A583,Data!F:F,Data!H:H)</f>
        <v>BW</v>
      </c>
      <c r="F583" s="106" t="str">
        <f>SUMIFS(Data!J:J,Data!F:F,A583)</f>
        <v>1</v>
      </c>
      <c r="G583" s="106" t="str">
        <f>SUMIFS(Cast!C:C,CastElements,A583)</f>
        <v>1</v>
      </c>
      <c r="H583" s="106" t="str">
        <f t="shared" si="4"/>
        <v>0</v>
      </c>
      <c r="I583" s="106" t="str">
        <f>SUMIFS(Del!C:C,Del!B:B,A583)</f>
        <v>0</v>
      </c>
      <c r="J583" s="106" t="str">
        <f t="shared" si="5"/>
        <v>1</v>
      </c>
      <c r="K583" s="106" t="str">
        <f t="shared" si="6"/>
        <v>1</v>
      </c>
      <c r="L583" s="106"/>
      <c r="M583" s="106" t="str">
        <f>SUMIFS(Ere!C:C,Ere!B:B,A583)</f>
        <v>0</v>
      </c>
      <c r="N583" s="106" t="str">
        <f t="shared" si="7"/>
        <v>1</v>
      </c>
      <c r="O583" s="107" t="str">
        <f t="array" ref="O583">XLOOKUP(A583,Data!F:F,Data!O:O)</f>
        <v>  1.52 </v>
      </c>
      <c r="P583" s="107" t="str">
        <f t="shared" si="8"/>
        <v>  3.79 </v>
      </c>
      <c r="Q583" s="27"/>
    </row>
    <row r="584" ht="15.75" customHeight="1">
      <c r="A584" s="105" t="s">
        <v>828</v>
      </c>
      <c r="B584" s="19" t="str">
        <f t="array" ref="B584">XLOOKUP(A584,Data!F:F,Data!G:G)</f>
        <v>A1D</v>
      </c>
      <c r="C584" s="19" t="str">
        <f t="shared" si="3"/>
        <v>A048</v>
      </c>
      <c r="D584" s="19" t="str">
        <f t="array" ref="D584">XLOOKUP(A584,Data!F:F,Data!C:C)</f>
        <v/>
      </c>
      <c r="E584" s="19" t="str">
        <f t="array" ref="E584">XLOOKUP(A584,Data!F:F,Data!H:H)</f>
        <v>BW</v>
      </c>
      <c r="F584" s="106" t="str">
        <f>SUMIFS(Data!J:J,Data!F:F,A584)</f>
        <v>1</v>
      </c>
      <c r="G584" s="106" t="str">
        <f>SUMIFS(Cast!C:C,CastElements,A584)</f>
        <v>1</v>
      </c>
      <c r="H584" s="106" t="str">
        <f t="shared" si="4"/>
        <v>0</v>
      </c>
      <c r="I584" s="106" t="str">
        <f>SUMIFS(Del!C:C,Del!B:B,A584)</f>
        <v>0</v>
      </c>
      <c r="J584" s="106" t="str">
        <f t="shared" si="5"/>
        <v>1</v>
      </c>
      <c r="K584" s="106" t="str">
        <f t="shared" si="6"/>
        <v>1</v>
      </c>
      <c r="L584" s="106"/>
      <c r="M584" s="106" t="str">
        <f>SUMIFS(Ere!C:C,Ere!B:B,A584)</f>
        <v>0</v>
      </c>
      <c r="N584" s="106" t="str">
        <f t="shared" si="7"/>
        <v>1</v>
      </c>
      <c r="O584" s="107" t="str">
        <f t="array" ref="O584">XLOOKUP(A584,Data!F:F,Data!O:O)</f>
        <v>  1.52 </v>
      </c>
      <c r="P584" s="107" t="str">
        <f t="shared" si="8"/>
        <v>  3.79 </v>
      </c>
      <c r="Q584" s="27"/>
    </row>
    <row r="585" ht="15.75" customHeight="1">
      <c r="A585" s="105" t="s">
        <v>829</v>
      </c>
      <c r="B585" s="19" t="str">
        <f t="array" ref="B585">XLOOKUP(A585,Data!F:F,Data!G:G)</f>
        <v>A1D</v>
      </c>
      <c r="C585" s="19" t="str">
        <f t="shared" si="3"/>
        <v>A048</v>
      </c>
      <c r="D585" s="19" t="str">
        <f t="array" ref="D585">XLOOKUP(A585,Data!F:F,Data!C:C)</f>
        <v/>
      </c>
      <c r="E585" s="19" t="str">
        <f t="array" ref="E585">XLOOKUP(A585,Data!F:F,Data!H:H)</f>
        <v>BW</v>
      </c>
      <c r="F585" s="106" t="str">
        <f>SUMIFS(Data!J:J,Data!F:F,A585)</f>
        <v>1</v>
      </c>
      <c r="G585" s="106" t="str">
        <f>SUMIFS(Cast!C:C,CastElements,A585)</f>
        <v>1</v>
      </c>
      <c r="H585" s="106" t="str">
        <f t="shared" si="4"/>
        <v>0</v>
      </c>
      <c r="I585" s="106" t="str">
        <f>SUMIFS(Del!C:C,Del!B:B,A585)</f>
        <v>0</v>
      </c>
      <c r="J585" s="106" t="str">
        <f t="shared" si="5"/>
        <v>1</v>
      </c>
      <c r="K585" s="106" t="str">
        <f t="shared" si="6"/>
        <v>1</v>
      </c>
      <c r="L585" s="106"/>
      <c r="M585" s="106" t="str">
        <f>SUMIFS(Ere!C:C,Ere!B:B,A585)</f>
        <v>0</v>
      </c>
      <c r="N585" s="106" t="str">
        <f t="shared" si="7"/>
        <v>1</v>
      </c>
      <c r="O585" s="107" t="str">
        <f t="array" ref="O585">XLOOKUP(A585,Data!F:F,Data!O:O)</f>
        <v>  1.52 </v>
      </c>
      <c r="P585" s="107" t="str">
        <f t="shared" si="8"/>
        <v>  3.79 </v>
      </c>
      <c r="Q585" s="27"/>
    </row>
    <row r="586" ht="15.75" customHeight="1">
      <c r="A586" s="105" t="s">
        <v>830</v>
      </c>
      <c r="B586" s="19" t="str">
        <f t="array" ref="B586">XLOOKUP(A586,Data!F:F,Data!G:G)</f>
        <v>A1D</v>
      </c>
      <c r="C586" s="19" t="str">
        <f t="shared" si="3"/>
        <v>A048</v>
      </c>
      <c r="D586" s="19" t="str">
        <f t="array" ref="D586">XLOOKUP(A586,Data!F:F,Data!C:C)</f>
        <v/>
      </c>
      <c r="E586" s="19" t="str">
        <f t="array" ref="E586">XLOOKUP(A586,Data!F:F,Data!H:H)</f>
        <v>BW</v>
      </c>
      <c r="F586" s="106" t="str">
        <f>SUMIFS(Data!J:J,Data!F:F,A586)</f>
        <v>1</v>
      </c>
      <c r="G586" s="106" t="str">
        <f>SUMIFS(Cast!C:C,CastElements,A586)</f>
        <v>1</v>
      </c>
      <c r="H586" s="106" t="str">
        <f t="shared" si="4"/>
        <v>0</v>
      </c>
      <c r="I586" s="106" t="str">
        <f>SUMIFS(Del!C:C,Del!B:B,A586)</f>
        <v>0</v>
      </c>
      <c r="J586" s="106" t="str">
        <f t="shared" si="5"/>
        <v>1</v>
      </c>
      <c r="K586" s="106" t="str">
        <f t="shared" si="6"/>
        <v>1</v>
      </c>
      <c r="L586" s="106"/>
      <c r="M586" s="106" t="str">
        <f>SUMIFS(Ere!C:C,Ere!B:B,A586)</f>
        <v>0</v>
      </c>
      <c r="N586" s="106" t="str">
        <f t="shared" si="7"/>
        <v>1</v>
      </c>
      <c r="O586" s="107" t="str">
        <f t="array" ref="O586">XLOOKUP(A586,Data!F:F,Data!O:O)</f>
        <v>  1.83 </v>
      </c>
      <c r="P586" s="107" t="str">
        <f t="shared" si="8"/>
        <v>  4.57 </v>
      </c>
      <c r="Q586" s="27"/>
    </row>
    <row r="587" ht="15.75" customHeight="1">
      <c r="A587" s="105" t="s">
        <v>831</v>
      </c>
      <c r="B587" s="19" t="str">
        <f t="array" ref="B587">XLOOKUP(A587,Data!F:F,Data!G:G)</f>
        <v>A1D</v>
      </c>
      <c r="C587" s="19" t="str">
        <f t="shared" si="3"/>
        <v>A048</v>
      </c>
      <c r="D587" s="19" t="str">
        <f t="array" ref="D587">XLOOKUP(A587,Data!F:F,Data!C:C)</f>
        <v/>
      </c>
      <c r="E587" s="19" t="str">
        <f t="array" ref="E587">XLOOKUP(A587,Data!F:F,Data!H:H)</f>
        <v>BW</v>
      </c>
      <c r="F587" s="106" t="str">
        <f>SUMIFS(Data!J:J,Data!F:F,A587)</f>
        <v>1</v>
      </c>
      <c r="G587" s="106" t="str">
        <f>SUMIFS(Cast!C:C,CastElements,A587)</f>
        <v>1</v>
      </c>
      <c r="H587" s="106" t="str">
        <f t="shared" si="4"/>
        <v>0</v>
      </c>
      <c r="I587" s="106" t="str">
        <f>SUMIFS(Del!C:C,Del!B:B,A587)</f>
        <v>0</v>
      </c>
      <c r="J587" s="106" t="str">
        <f t="shared" si="5"/>
        <v>1</v>
      </c>
      <c r="K587" s="106" t="str">
        <f t="shared" si="6"/>
        <v>1</v>
      </c>
      <c r="L587" s="106"/>
      <c r="M587" s="106" t="str">
        <f>SUMIFS(Ere!C:C,Ere!B:B,A587)</f>
        <v>0</v>
      </c>
      <c r="N587" s="106" t="str">
        <f t="shared" si="7"/>
        <v>1</v>
      </c>
      <c r="O587" s="107" t="str">
        <f t="array" ref="O587">XLOOKUP(A587,Data!F:F,Data!O:O)</f>
        <v>  1.83 </v>
      </c>
      <c r="P587" s="107" t="str">
        <f t="shared" si="8"/>
        <v>  4.57 </v>
      </c>
      <c r="Q587" s="27"/>
    </row>
    <row r="588" ht="15.75" customHeight="1">
      <c r="A588" s="105" t="s">
        <v>832</v>
      </c>
      <c r="B588" s="19" t="str">
        <f t="array" ref="B588">XLOOKUP(A588,Data!F:F,Data!G:G)</f>
        <v>A1D</v>
      </c>
      <c r="C588" s="19" t="str">
        <f t="shared" si="3"/>
        <v>A048</v>
      </c>
      <c r="D588" s="19" t="str">
        <f t="array" ref="D588">XLOOKUP(A588,Data!F:F,Data!C:C)</f>
        <v/>
      </c>
      <c r="E588" s="19" t="str">
        <f t="array" ref="E588">XLOOKUP(A588,Data!F:F,Data!H:H)</f>
        <v>BW</v>
      </c>
      <c r="F588" s="106" t="str">
        <f>SUMIFS(Data!J:J,Data!F:F,A588)</f>
        <v>1</v>
      </c>
      <c r="G588" s="106" t="str">
        <f>SUMIFS(Cast!C:C,CastElements,A588)</f>
        <v>1</v>
      </c>
      <c r="H588" s="106" t="str">
        <f t="shared" si="4"/>
        <v>0</v>
      </c>
      <c r="I588" s="106" t="str">
        <f>SUMIFS(Del!C:C,Del!B:B,A588)</f>
        <v>0</v>
      </c>
      <c r="J588" s="106" t="str">
        <f t="shared" si="5"/>
        <v>1</v>
      </c>
      <c r="K588" s="106" t="str">
        <f t="shared" si="6"/>
        <v>1</v>
      </c>
      <c r="L588" s="106"/>
      <c r="M588" s="106" t="str">
        <f>SUMIFS(Ere!C:C,Ere!B:B,A588)</f>
        <v>0</v>
      </c>
      <c r="N588" s="106" t="str">
        <f t="shared" si="7"/>
        <v>1</v>
      </c>
      <c r="O588" s="107" t="str">
        <f t="array" ref="O588">XLOOKUP(A588,Data!F:F,Data!O:O)</f>
        <v>  1.83 </v>
      </c>
      <c r="P588" s="107" t="str">
        <f t="shared" si="8"/>
        <v>  4.57 </v>
      </c>
      <c r="Q588" s="27"/>
    </row>
    <row r="589" ht="15.75" customHeight="1">
      <c r="A589" s="105" t="s">
        <v>833</v>
      </c>
      <c r="B589" s="19" t="str">
        <f t="array" ref="B589">XLOOKUP(A589,Data!F:F,Data!G:G)</f>
        <v>A1D</v>
      </c>
      <c r="C589" s="19" t="str">
        <f t="shared" si="3"/>
        <v>A048</v>
      </c>
      <c r="D589" s="19" t="str">
        <f t="array" ref="D589">XLOOKUP(A589,Data!F:F,Data!C:C)</f>
        <v/>
      </c>
      <c r="E589" s="19" t="str">
        <f t="array" ref="E589">XLOOKUP(A589,Data!F:F,Data!H:H)</f>
        <v>BW</v>
      </c>
      <c r="F589" s="106" t="str">
        <f>SUMIFS(Data!J:J,Data!F:F,A589)</f>
        <v>1</v>
      </c>
      <c r="G589" s="106" t="str">
        <f>SUMIFS(Cast!C:C,CastElements,A589)</f>
        <v>1</v>
      </c>
      <c r="H589" s="106" t="str">
        <f t="shared" si="4"/>
        <v>0</v>
      </c>
      <c r="I589" s="106" t="str">
        <f>SUMIFS(Del!C:C,Del!B:B,A589)</f>
        <v>0</v>
      </c>
      <c r="J589" s="106" t="str">
        <f t="shared" si="5"/>
        <v>1</v>
      </c>
      <c r="K589" s="106" t="str">
        <f t="shared" si="6"/>
        <v>1</v>
      </c>
      <c r="L589" s="106"/>
      <c r="M589" s="106" t="str">
        <f>SUMIFS(Ere!C:C,Ere!B:B,A589)</f>
        <v>0</v>
      </c>
      <c r="N589" s="106" t="str">
        <f t="shared" si="7"/>
        <v>1</v>
      </c>
      <c r="O589" s="107" t="str">
        <f t="array" ref="O589">XLOOKUP(A589,Data!F:F,Data!O:O)</f>
        <v>  1.83 </v>
      </c>
      <c r="P589" s="107" t="str">
        <f t="shared" si="8"/>
        <v>  4.57 </v>
      </c>
      <c r="Q589" s="27"/>
    </row>
    <row r="590" ht="15.75" customHeight="1">
      <c r="A590" s="105" t="s">
        <v>834</v>
      </c>
      <c r="B590" s="19" t="str">
        <f t="array" ref="B590">XLOOKUP(A590,Data!F:F,Data!G:G)</f>
        <v>A1D</v>
      </c>
      <c r="C590" s="19" t="str">
        <f t="shared" si="3"/>
        <v>A048</v>
      </c>
      <c r="D590" s="19" t="str">
        <f t="array" ref="D590">XLOOKUP(A590,Data!F:F,Data!C:C)</f>
        <v/>
      </c>
      <c r="E590" s="19" t="str">
        <f t="array" ref="E590">XLOOKUP(A590,Data!F:F,Data!H:H)</f>
        <v>BW</v>
      </c>
      <c r="F590" s="106" t="str">
        <f>SUMIFS(Data!J:J,Data!F:F,A590)</f>
        <v>1</v>
      </c>
      <c r="G590" s="106" t="str">
        <f>SUMIFS(Cast!C:C,CastElements,A590)</f>
        <v>0</v>
      </c>
      <c r="H590" s="106" t="str">
        <f t="shared" si="4"/>
        <v>1</v>
      </c>
      <c r="I590" s="106" t="str">
        <f>SUMIFS(Del!C:C,Del!B:B,A590)</f>
        <v>0</v>
      </c>
      <c r="J590" s="106" t="str">
        <f t="shared" si="5"/>
        <v>1</v>
      </c>
      <c r="K590" s="106" t="str">
        <f t="shared" si="6"/>
        <v>0</v>
      </c>
      <c r="L590" s="106"/>
      <c r="M590" s="106" t="str">
        <f>SUMIFS(Ere!C:C,Ere!B:B,A590)</f>
        <v>0</v>
      </c>
      <c r="N590" s="106" t="str">
        <f t="shared" si="7"/>
        <v>1</v>
      </c>
      <c r="O590" s="107" t="str">
        <f t="array" ref="O590">XLOOKUP(A590,Data!F:F,Data!O:O)</f>
        <v>  1.55 </v>
      </c>
      <c r="P590" s="107" t="str">
        <f t="shared" si="8"/>
        <v>  3.87 </v>
      </c>
      <c r="Q590" s="27"/>
    </row>
    <row r="591" ht="15.75" customHeight="1">
      <c r="A591" s="105" t="s">
        <v>835</v>
      </c>
      <c r="B591" s="19" t="str">
        <f t="array" ref="B591">XLOOKUP(A591,Data!F:F,Data!G:G)</f>
        <v>A1D</v>
      </c>
      <c r="C591" s="19" t="str">
        <f t="shared" si="3"/>
        <v>A049</v>
      </c>
      <c r="D591" s="19" t="str">
        <f t="array" ref="D591">XLOOKUP(A591,Data!F:F,Data!C:C)</f>
        <v/>
      </c>
      <c r="E591" s="19" t="str">
        <f t="array" ref="E591">XLOOKUP(A591,Data!F:F,Data!H:H)</f>
        <v>BW</v>
      </c>
      <c r="F591" s="106" t="str">
        <f>SUMIFS(Data!J:J,Data!F:F,A591)</f>
        <v>1</v>
      </c>
      <c r="G591" s="106" t="str">
        <f>SUMIFS(Cast!C:C,CastElements,A591)</f>
        <v>0</v>
      </c>
      <c r="H591" s="106" t="str">
        <f t="shared" si="4"/>
        <v>1</v>
      </c>
      <c r="I591" s="106" t="str">
        <f>SUMIFS(Del!C:C,Del!B:B,A591)</f>
        <v>0</v>
      </c>
      <c r="J591" s="106" t="str">
        <f t="shared" si="5"/>
        <v>1</v>
      </c>
      <c r="K591" s="106" t="str">
        <f t="shared" si="6"/>
        <v>0</v>
      </c>
      <c r="L591" s="106"/>
      <c r="M591" s="106" t="str">
        <f>SUMIFS(Ere!C:C,Ere!B:B,A591)</f>
        <v>0</v>
      </c>
      <c r="N591" s="106" t="str">
        <f t="shared" si="7"/>
        <v>1</v>
      </c>
      <c r="O591" s="107" t="str">
        <f t="array" ref="O591">XLOOKUP(A591,Data!F:F,Data!O:O)</f>
        <v>  0.36 </v>
      </c>
      <c r="P591" s="107" t="str">
        <f t="shared" si="8"/>
        <v>  0.90 </v>
      </c>
      <c r="Q591" s="27"/>
    </row>
    <row r="592" ht="15.75" customHeight="1">
      <c r="A592" s="105" t="s">
        <v>836</v>
      </c>
      <c r="B592" s="19" t="str">
        <f t="array" ref="B592">XLOOKUP(A592,Data!F:F,Data!G:G)</f>
        <v>A1D</v>
      </c>
      <c r="C592" s="19" t="str">
        <f t="shared" si="3"/>
        <v>A049</v>
      </c>
      <c r="D592" s="19" t="str">
        <f t="array" ref="D592">XLOOKUP(A592,Data!F:F,Data!C:C)</f>
        <v/>
      </c>
      <c r="E592" s="19" t="str">
        <f t="array" ref="E592">XLOOKUP(A592,Data!F:F,Data!H:H)</f>
        <v>CF</v>
      </c>
      <c r="F592" s="106" t="str">
        <f>SUMIFS(Data!J:J,Data!F:F,A592)</f>
        <v>1</v>
      </c>
      <c r="G592" s="106" t="str">
        <f>SUMIFS(Cast!C:C,CastElements,A592)</f>
        <v>1</v>
      </c>
      <c r="H592" s="106" t="str">
        <f t="shared" si="4"/>
        <v>0</v>
      </c>
      <c r="I592" s="106" t="str">
        <f>SUMIFS(Del!C:C,Del!B:B,A592)</f>
        <v>0</v>
      </c>
      <c r="J592" s="106" t="str">
        <f t="shared" si="5"/>
        <v>1</v>
      </c>
      <c r="K592" s="106" t="str">
        <f t="shared" si="6"/>
        <v>1</v>
      </c>
      <c r="L592" s="106"/>
      <c r="M592" s="106" t="str">
        <f>SUMIFS(Ere!C:C,Ere!B:B,A592)</f>
        <v>0</v>
      </c>
      <c r="N592" s="106" t="str">
        <f t="shared" si="7"/>
        <v>1</v>
      </c>
      <c r="O592" s="107" t="str">
        <f t="array" ref="O592">XLOOKUP(A592,Data!F:F,Data!O:O)</f>
        <v>  0.48 </v>
      </c>
      <c r="P592" s="107" t="str">
        <f t="shared" si="8"/>
        <v>  1.19 </v>
      </c>
      <c r="Q592" s="27"/>
    </row>
    <row r="593" ht="15.75" customHeight="1">
      <c r="A593" s="105" t="s">
        <v>837</v>
      </c>
      <c r="B593" s="19" t="str">
        <f t="array" ref="B593">XLOOKUP(A593,Data!F:F,Data!G:G)</f>
        <v>A1D</v>
      </c>
      <c r="C593" s="19" t="str">
        <f t="shared" si="3"/>
        <v>A049</v>
      </c>
      <c r="D593" s="19" t="str">
        <f t="array" ref="D593">XLOOKUP(A593,Data!F:F,Data!C:C)</f>
        <v>EXT</v>
      </c>
      <c r="E593" s="19" t="str">
        <f t="array" ref="E593">XLOOKUP(A593,Data!F:F,Data!H:H)</f>
        <v>BW</v>
      </c>
      <c r="F593" s="106" t="str">
        <f>SUMIFS(Data!J:J,Data!F:F,A593)</f>
        <v>1</v>
      </c>
      <c r="G593" s="106" t="str">
        <f>SUMIFS(Cast!C:C,CastElements,A593)</f>
        <v>0</v>
      </c>
      <c r="H593" s="106" t="str">
        <f t="shared" si="4"/>
        <v>1</v>
      </c>
      <c r="I593" s="106" t="str">
        <f>SUMIFS(Del!C:C,Del!B:B,A593)</f>
        <v>0</v>
      </c>
      <c r="J593" s="106" t="str">
        <f t="shared" si="5"/>
        <v>1</v>
      </c>
      <c r="K593" s="106" t="str">
        <f t="shared" si="6"/>
        <v>0</v>
      </c>
      <c r="L593" s="106"/>
      <c r="M593" s="106" t="str">
        <f>SUMIFS(Ere!C:C,Ere!B:B,A593)</f>
        <v>0</v>
      </c>
      <c r="N593" s="106" t="str">
        <f t="shared" si="7"/>
        <v>1</v>
      </c>
      <c r="O593" s="107" t="str">
        <f t="array" ref="O593">XLOOKUP(A593,Data!F:F,Data!O:O)</f>
        <v>  0.92 </v>
      </c>
      <c r="P593" s="107" t="str">
        <f t="shared" si="8"/>
        <v>  2.29 </v>
      </c>
      <c r="Q593" s="27"/>
    </row>
    <row r="594" ht="15.75" customHeight="1">
      <c r="A594" s="105" t="s">
        <v>838</v>
      </c>
      <c r="B594" s="19" t="str">
        <f t="array" ref="B594">XLOOKUP(A594,Data!F:F,Data!G:G)</f>
        <v>A1D</v>
      </c>
      <c r="C594" s="19" t="str">
        <f t="shared" si="3"/>
        <v>A049</v>
      </c>
      <c r="D594" s="19" t="str">
        <f t="array" ref="D594">XLOOKUP(A594,Data!F:F,Data!C:C)</f>
        <v>EXT</v>
      </c>
      <c r="E594" s="19" t="str">
        <f t="array" ref="E594">XLOOKUP(A594,Data!F:F,Data!H:H)</f>
        <v>BW</v>
      </c>
      <c r="F594" s="106" t="str">
        <f>SUMIFS(Data!J:J,Data!F:F,A594)</f>
        <v>1</v>
      </c>
      <c r="G594" s="106" t="str">
        <f>SUMIFS(Cast!C:C,CastElements,A594)</f>
        <v>0</v>
      </c>
      <c r="H594" s="106" t="str">
        <f t="shared" si="4"/>
        <v>1</v>
      </c>
      <c r="I594" s="106" t="str">
        <f>SUMIFS(Del!C:C,Del!B:B,A594)</f>
        <v>0</v>
      </c>
      <c r="J594" s="106" t="str">
        <f t="shared" si="5"/>
        <v>1</v>
      </c>
      <c r="K594" s="106" t="str">
        <f t="shared" si="6"/>
        <v>0</v>
      </c>
      <c r="L594" s="106"/>
      <c r="M594" s="106" t="str">
        <f>SUMIFS(Ere!C:C,Ere!B:B,A594)</f>
        <v>0</v>
      </c>
      <c r="N594" s="106" t="str">
        <f t="shared" si="7"/>
        <v>1</v>
      </c>
      <c r="O594" s="107" t="str">
        <f t="array" ref="O594">XLOOKUP(A594,Data!F:F,Data!O:O)</f>
        <v>  0.94 </v>
      </c>
      <c r="P594" s="107" t="str">
        <f t="shared" si="8"/>
        <v>  2.35 </v>
      </c>
      <c r="Q594" s="27"/>
    </row>
    <row r="595" ht="15.75" customHeight="1">
      <c r="A595" s="105" t="s">
        <v>839</v>
      </c>
      <c r="B595" s="19" t="str">
        <f t="array" ref="B595">XLOOKUP(A595,Data!F:F,Data!G:G)</f>
        <v>A1D</v>
      </c>
      <c r="C595" s="19" t="str">
        <f t="shared" si="3"/>
        <v>A049</v>
      </c>
      <c r="D595" s="19" t="str">
        <f t="array" ref="D595">XLOOKUP(A595,Data!F:F,Data!C:C)</f>
        <v>EXT</v>
      </c>
      <c r="E595" s="19" t="str">
        <f t="array" ref="E595">XLOOKUP(A595,Data!F:F,Data!H:H)</f>
        <v>BW</v>
      </c>
      <c r="F595" s="106" t="str">
        <f>SUMIFS(Data!J:J,Data!F:F,A595)</f>
        <v>1</v>
      </c>
      <c r="G595" s="106" t="str">
        <f>SUMIFS(Cast!C:C,CastElements,A595)</f>
        <v>0</v>
      </c>
      <c r="H595" s="106" t="str">
        <f t="shared" si="4"/>
        <v>1</v>
      </c>
      <c r="I595" s="106" t="str">
        <f>SUMIFS(Del!C:C,Del!B:B,A595)</f>
        <v>0</v>
      </c>
      <c r="J595" s="106" t="str">
        <f t="shared" si="5"/>
        <v>1</v>
      </c>
      <c r="K595" s="106" t="str">
        <f t="shared" si="6"/>
        <v>0</v>
      </c>
      <c r="L595" s="106"/>
      <c r="M595" s="106" t="str">
        <f>SUMIFS(Ere!C:C,Ere!B:B,A595)</f>
        <v>0</v>
      </c>
      <c r="N595" s="106" t="str">
        <f t="shared" si="7"/>
        <v>1</v>
      </c>
      <c r="O595" s="107" t="str">
        <f t="array" ref="O595">XLOOKUP(A595,Data!F:F,Data!O:O)</f>
        <v>  0.87 </v>
      </c>
      <c r="P595" s="107" t="str">
        <f t="shared" si="8"/>
        <v>  2.18 </v>
      </c>
      <c r="Q595" s="27"/>
    </row>
    <row r="596" ht="15.75" customHeight="1">
      <c r="A596" s="105" t="s">
        <v>840</v>
      </c>
      <c r="B596" s="19" t="str">
        <f t="array" ref="B596">XLOOKUP(A596,Data!F:F,Data!G:G)</f>
        <v>A1D</v>
      </c>
      <c r="C596" s="19" t="str">
        <f t="shared" si="3"/>
        <v>A049</v>
      </c>
      <c r="D596" s="19" t="str">
        <f t="array" ref="D596">XLOOKUP(A596,Data!F:F,Data!C:C)</f>
        <v>EXT</v>
      </c>
      <c r="E596" s="19" t="str">
        <f t="array" ref="E596">XLOOKUP(A596,Data!F:F,Data!H:H)</f>
        <v>BW</v>
      </c>
      <c r="F596" s="106" t="str">
        <f>SUMIFS(Data!J:J,Data!F:F,A596)</f>
        <v>1</v>
      </c>
      <c r="G596" s="106" t="str">
        <f>SUMIFS(Cast!C:C,CastElements,A596)</f>
        <v>0</v>
      </c>
      <c r="H596" s="106" t="str">
        <f t="shared" si="4"/>
        <v>1</v>
      </c>
      <c r="I596" s="106" t="str">
        <f>SUMIFS(Del!C:C,Del!B:B,A596)</f>
        <v>0</v>
      </c>
      <c r="J596" s="106" t="str">
        <f t="shared" si="5"/>
        <v>1</v>
      </c>
      <c r="K596" s="106" t="str">
        <f t="shared" si="6"/>
        <v>0</v>
      </c>
      <c r="L596" s="106"/>
      <c r="M596" s="106" t="str">
        <f>SUMIFS(Ere!C:C,Ere!B:B,A596)</f>
        <v>0</v>
      </c>
      <c r="N596" s="106" t="str">
        <f t="shared" si="7"/>
        <v>1</v>
      </c>
      <c r="O596" s="107" t="str">
        <f t="array" ref="O596">XLOOKUP(A596,Data!F:F,Data!O:O)</f>
        <v>  0.87 </v>
      </c>
      <c r="P596" s="107" t="str">
        <f t="shared" si="8"/>
        <v>  2.18 </v>
      </c>
      <c r="Q596" s="27"/>
    </row>
    <row r="597" ht="15.75" customHeight="1">
      <c r="A597" s="105" t="s">
        <v>841</v>
      </c>
      <c r="B597" s="19" t="str">
        <f t="array" ref="B597">XLOOKUP(A597,Data!F:F,Data!G:G)</f>
        <v>A1D</v>
      </c>
      <c r="C597" s="19" t="str">
        <f t="shared" si="3"/>
        <v>A049</v>
      </c>
      <c r="D597" s="19" t="str">
        <f t="array" ref="D597">XLOOKUP(A597,Data!F:F,Data!C:C)</f>
        <v/>
      </c>
      <c r="E597" s="19" t="str">
        <f t="array" ref="E597">XLOOKUP(A597,Data!F:F,Data!H:H)</f>
        <v>BW</v>
      </c>
      <c r="F597" s="106" t="str">
        <f>SUMIFS(Data!J:J,Data!F:F,A597)</f>
        <v>1</v>
      </c>
      <c r="G597" s="106" t="str">
        <f>SUMIFS(Cast!C:C,CastElements,A597)</f>
        <v>1</v>
      </c>
      <c r="H597" s="106" t="str">
        <f t="shared" si="4"/>
        <v>0</v>
      </c>
      <c r="I597" s="106" t="str">
        <f>SUMIFS(Del!C:C,Del!B:B,A597)</f>
        <v>0</v>
      </c>
      <c r="J597" s="106" t="str">
        <f t="shared" si="5"/>
        <v>1</v>
      </c>
      <c r="K597" s="106" t="str">
        <f t="shared" si="6"/>
        <v>1</v>
      </c>
      <c r="L597" s="106"/>
      <c r="M597" s="106" t="str">
        <f>SUMIFS(Ere!C:C,Ere!B:B,A597)</f>
        <v>0</v>
      </c>
      <c r="N597" s="106" t="str">
        <f t="shared" si="7"/>
        <v>1</v>
      </c>
      <c r="O597" s="107" t="str">
        <f t="array" ref="O597">XLOOKUP(A597,Data!F:F,Data!O:O)</f>
        <v>  1.84 </v>
      </c>
      <c r="P597" s="107" t="str">
        <f t="shared" si="8"/>
        <v>  4.60 </v>
      </c>
      <c r="Q597" s="27"/>
    </row>
    <row r="598" ht="15.75" customHeight="1">
      <c r="A598" s="105" t="s">
        <v>842</v>
      </c>
      <c r="B598" s="19" t="str">
        <f t="array" ref="B598">XLOOKUP(A598,Data!F:F,Data!G:G)</f>
        <v>A1D</v>
      </c>
      <c r="C598" s="19" t="str">
        <f t="shared" si="3"/>
        <v>A049</v>
      </c>
      <c r="D598" s="19" t="str">
        <f t="array" ref="D598">XLOOKUP(A598,Data!F:F,Data!C:C)</f>
        <v/>
      </c>
      <c r="E598" s="19" t="str">
        <f t="array" ref="E598">XLOOKUP(A598,Data!F:F,Data!H:H)</f>
        <v>BW</v>
      </c>
      <c r="F598" s="106" t="str">
        <f>SUMIFS(Data!J:J,Data!F:F,A598)</f>
        <v>1</v>
      </c>
      <c r="G598" s="106" t="str">
        <f>SUMIFS(Cast!C:C,CastElements,A598)</f>
        <v>1</v>
      </c>
      <c r="H598" s="106" t="str">
        <f t="shared" si="4"/>
        <v>0</v>
      </c>
      <c r="I598" s="106" t="str">
        <f>SUMIFS(Del!C:C,Del!B:B,A598)</f>
        <v>0</v>
      </c>
      <c r="J598" s="106" t="str">
        <f t="shared" si="5"/>
        <v>1</v>
      </c>
      <c r="K598" s="106" t="str">
        <f t="shared" si="6"/>
        <v>1</v>
      </c>
      <c r="L598" s="106"/>
      <c r="M598" s="106" t="str">
        <f>SUMIFS(Ere!C:C,Ere!B:B,A598)</f>
        <v>0</v>
      </c>
      <c r="N598" s="106" t="str">
        <f t="shared" si="7"/>
        <v>1</v>
      </c>
      <c r="O598" s="107" t="str">
        <f t="array" ref="O598">XLOOKUP(A598,Data!F:F,Data!O:O)</f>
        <v>  1.84 </v>
      </c>
      <c r="P598" s="107" t="str">
        <f t="shared" si="8"/>
        <v>  4.60 </v>
      </c>
      <c r="Q598" s="27"/>
    </row>
    <row r="599" ht="15.75" customHeight="1">
      <c r="A599" s="105" t="s">
        <v>843</v>
      </c>
      <c r="B599" s="19" t="str">
        <f t="array" ref="B599">XLOOKUP(A599,Data!F:F,Data!G:G)</f>
        <v>A1D</v>
      </c>
      <c r="C599" s="19" t="str">
        <f t="shared" si="3"/>
        <v>A049</v>
      </c>
      <c r="D599" s="19" t="str">
        <f t="array" ref="D599">XLOOKUP(A599,Data!F:F,Data!C:C)</f>
        <v/>
      </c>
      <c r="E599" s="19" t="str">
        <f t="array" ref="E599">XLOOKUP(A599,Data!F:F,Data!H:H)</f>
        <v>BW</v>
      </c>
      <c r="F599" s="106" t="str">
        <f>SUMIFS(Data!J:J,Data!F:F,A599)</f>
        <v>1</v>
      </c>
      <c r="G599" s="106" t="str">
        <f>SUMIFS(Cast!C:C,CastElements,A599)</f>
        <v>1</v>
      </c>
      <c r="H599" s="106" t="str">
        <f t="shared" si="4"/>
        <v>0</v>
      </c>
      <c r="I599" s="106" t="str">
        <f>SUMIFS(Del!C:C,Del!B:B,A599)</f>
        <v>0</v>
      </c>
      <c r="J599" s="106" t="str">
        <f t="shared" si="5"/>
        <v>1</v>
      </c>
      <c r="K599" s="106" t="str">
        <f t="shared" si="6"/>
        <v>1</v>
      </c>
      <c r="L599" s="106"/>
      <c r="M599" s="106" t="str">
        <f>SUMIFS(Ere!C:C,Ere!B:B,A599)</f>
        <v>0</v>
      </c>
      <c r="N599" s="106" t="str">
        <f t="shared" si="7"/>
        <v>1</v>
      </c>
      <c r="O599" s="107" t="str">
        <f t="array" ref="O599">XLOOKUP(A599,Data!F:F,Data!O:O)</f>
        <v>  1.84 </v>
      </c>
      <c r="P599" s="107" t="str">
        <f t="shared" si="8"/>
        <v>  4.60 </v>
      </c>
      <c r="Q599" s="27"/>
    </row>
    <row r="600" ht="15.75" customHeight="1">
      <c r="A600" s="105" t="s">
        <v>844</v>
      </c>
      <c r="B600" s="19" t="str">
        <f t="array" ref="B600">XLOOKUP(A600,Data!F:F,Data!G:G)</f>
        <v>A1D</v>
      </c>
      <c r="C600" s="19" t="str">
        <f t="shared" si="3"/>
        <v>A049</v>
      </c>
      <c r="D600" s="19" t="str">
        <f t="array" ref="D600">XLOOKUP(A600,Data!F:F,Data!C:C)</f>
        <v/>
      </c>
      <c r="E600" s="19" t="str">
        <f t="array" ref="E600">XLOOKUP(A600,Data!F:F,Data!H:H)</f>
        <v>BW</v>
      </c>
      <c r="F600" s="106" t="str">
        <f>SUMIFS(Data!J:J,Data!F:F,A600)</f>
        <v>1</v>
      </c>
      <c r="G600" s="106" t="str">
        <f>SUMIFS(Cast!C:C,CastElements,A600)</f>
        <v>1</v>
      </c>
      <c r="H600" s="106" t="str">
        <f t="shared" si="4"/>
        <v>0</v>
      </c>
      <c r="I600" s="106" t="str">
        <f>SUMIFS(Del!C:C,Del!B:B,A600)</f>
        <v>0</v>
      </c>
      <c r="J600" s="106" t="str">
        <f t="shared" si="5"/>
        <v>1</v>
      </c>
      <c r="K600" s="106" t="str">
        <f t="shared" si="6"/>
        <v>1</v>
      </c>
      <c r="L600" s="106"/>
      <c r="M600" s="106" t="str">
        <f>SUMIFS(Ere!C:C,Ere!B:B,A600)</f>
        <v>0</v>
      </c>
      <c r="N600" s="106" t="str">
        <f t="shared" si="7"/>
        <v>1</v>
      </c>
      <c r="O600" s="107" t="str">
        <f t="array" ref="O600">XLOOKUP(A600,Data!F:F,Data!O:O)</f>
        <v>  1.84 </v>
      </c>
      <c r="P600" s="107" t="str">
        <f t="shared" si="8"/>
        <v>  4.60 </v>
      </c>
      <c r="Q600" s="27"/>
    </row>
    <row r="601" ht="15.75" customHeight="1">
      <c r="A601" s="105" t="s">
        <v>845</v>
      </c>
      <c r="B601" s="19" t="str">
        <f t="array" ref="B601">XLOOKUP(A601,Data!F:F,Data!G:G)</f>
        <v>A1D</v>
      </c>
      <c r="C601" s="19" t="str">
        <f t="shared" si="3"/>
        <v>A049</v>
      </c>
      <c r="D601" s="19" t="str">
        <f t="array" ref="D601">XLOOKUP(A601,Data!F:F,Data!C:C)</f>
        <v/>
      </c>
      <c r="E601" s="19" t="str">
        <f t="array" ref="E601">XLOOKUP(A601,Data!F:F,Data!H:H)</f>
        <v>BW</v>
      </c>
      <c r="F601" s="106" t="str">
        <f>SUMIFS(Data!J:J,Data!F:F,A601)</f>
        <v>1</v>
      </c>
      <c r="G601" s="106" t="str">
        <f>SUMIFS(Cast!C:C,CastElements,A601)</f>
        <v>0</v>
      </c>
      <c r="H601" s="106" t="str">
        <f t="shared" si="4"/>
        <v>1</v>
      </c>
      <c r="I601" s="106" t="str">
        <f>SUMIFS(Del!C:C,Del!B:B,A601)</f>
        <v>0</v>
      </c>
      <c r="J601" s="106" t="str">
        <f t="shared" si="5"/>
        <v>1</v>
      </c>
      <c r="K601" s="106" t="str">
        <f t="shared" si="6"/>
        <v>0</v>
      </c>
      <c r="L601" s="106"/>
      <c r="M601" s="106" t="str">
        <f>SUMIFS(Ere!C:C,Ere!B:B,A601)</f>
        <v>0</v>
      </c>
      <c r="N601" s="106" t="str">
        <f t="shared" si="7"/>
        <v>1</v>
      </c>
      <c r="O601" s="107" t="str">
        <f t="array" ref="O601">XLOOKUP(A601,Data!F:F,Data!O:O)</f>
        <v>  1.55 </v>
      </c>
      <c r="P601" s="107" t="str">
        <f t="shared" si="8"/>
        <v>  3.87 </v>
      </c>
      <c r="Q601" s="27"/>
    </row>
    <row r="602" ht="15.75" customHeight="1">
      <c r="A602" s="105" t="s">
        <v>846</v>
      </c>
      <c r="B602" s="19" t="str">
        <f t="array" ref="B602">XLOOKUP(A602,Data!F:F,Data!G:G)</f>
        <v>A1D</v>
      </c>
      <c r="C602" s="19" t="str">
        <f t="shared" si="3"/>
        <v>A049</v>
      </c>
      <c r="D602" s="19" t="str">
        <f t="array" ref="D602">XLOOKUP(A602,Data!F:F,Data!C:C)</f>
        <v/>
      </c>
      <c r="E602" s="19" t="str">
        <f t="array" ref="E602">XLOOKUP(A602,Data!F:F,Data!H:H)</f>
        <v>BW</v>
      </c>
      <c r="F602" s="106" t="str">
        <f>SUMIFS(Data!J:J,Data!F:F,A602)</f>
        <v>1</v>
      </c>
      <c r="G602" s="106" t="str">
        <f>SUMIFS(Cast!C:C,CastElements,A602)</f>
        <v>1</v>
      </c>
      <c r="H602" s="106" t="str">
        <f t="shared" si="4"/>
        <v>0</v>
      </c>
      <c r="I602" s="106" t="str">
        <f>SUMIFS(Del!C:C,Del!B:B,A602)</f>
        <v>0</v>
      </c>
      <c r="J602" s="106" t="str">
        <f t="shared" si="5"/>
        <v>1</v>
      </c>
      <c r="K602" s="106" t="str">
        <f t="shared" si="6"/>
        <v>1</v>
      </c>
      <c r="L602" s="106"/>
      <c r="M602" s="106" t="str">
        <f>SUMIFS(Ere!C:C,Ere!B:B,A602)</f>
        <v>0</v>
      </c>
      <c r="N602" s="106" t="str">
        <f t="shared" si="7"/>
        <v>1</v>
      </c>
      <c r="O602" s="107" t="str">
        <f t="array" ref="O602">XLOOKUP(A602,Data!F:F,Data!O:O)</f>
        <v>  1.92 </v>
      </c>
      <c r="P602" s="107" t="str">
        <f t="shared" si="8"/>
        <v>  4.80 </v>
      </c>
      <c r="Q602" s="27"/>
    </row>
    <row r="603" ht="15.75" customHeight="1">
      <c r="A603" s="105" t="s">
        <v>847</v>
      </c>
      <c r="B603" s="19" t="str">
        <f t="array" ref="B603">XLOOKUP(A603,Data!F:F,Data!G:G)</f>
        <v>A1D</v>
      </c>
      <c r="C603" s="19" t="str">
        <f t="shared" si="3"/>
        <v>A049</v>
      </c>
      <c r="D603" s="19" t="str">
        <f t="array" ref="D603">XLOOKUP(A603,Data!F:F,Data!C:C)</f>
        <v/>
      </c>
      <c r="E603" s="19" t="str">
        <f t="array" ref="E603">XLOOKUP(A603,Data!F:F,Data!H:H)</f>
        <v>BW</v>
      </c>
      <c r="F603" s="106" t="str">
        <f>SUMIFS(Data!J:J,Data!F:F,A603)</f>
        <v>1</v>
      </c>
      <c r="G603" s="106" t="str">
        <f>SUMIFS(Cast!C:C,CastElements,A603)</f>
        <v>1</v>
      </c>
      <c r="H603" s="106" t="str">
        <f t="shared" si="4"/>
        <v>0</v>
      </c>
      <c r="I603" s="106" t="str">
        <f>SUMIFS(Del!C:C,Del!B:B,A603)</f>
        <v>0</v>
      </c>
      <c r="J603" s="106" t="str">
        <f t="shared" si="5"/>
        <v>1</v>
      </c>
      <c r="K603" s="106" t="str">
        <f t="shared" si="6"/>
        <v>1</v>
      </c>
      <c r="L603" s="106"/>
      <c r="M603" s="106" t="str">
        <f>SUMIFS(Ere!C:C,Ere!B:B,A603)</f>
        <v>0</v>
      </c>
      <c r="N603" s="106" t="str">
        <f t="shared" si="7"/>
        <v>1</v>
      </c>
      <c r="O603" s="107" t="str">
        <f t="array" ref="O603">XLOOKUP(A603,Data!F:F,Data!O:O)</f>
        <v>  1.92 </v>
      </c>
      <c r="P603" s="107" t="str">
        <f t="shared" si="8"/>
        <v>  4.80 </v>
      </c>
      <c r="Q603" s="27"/>
    </row>
    <row r="604" ht="15.75" customHeight="1">
      <c r="A604" s="105" t="s">
        <v>848</v>
      </c>
      <c r="B604" s="19" t="str">
        <f t="array" ref="B604">XLOOKUP(A604,Data!F:F,Data!G:G)</f>
        <v>A1D</v>
      </c>
      <c r="C604" s="19" t="str">
        <f t="shared" si="3"/>
        <v>A049</v>
      </c>
      <c r="D604" s="19" t="str">
        <f t="array" ref="D604">XLOOKUP(A604,Data!F:F,Data!C:C)</f>
        <v/>
      </c>
      <c r="E604" s="19" t="str">
        <f t="array" ref="E604">XLOOKUP(A604,Data!F:F,Data!H:H)</f>
        <v>BW</v>
      </c>
      <c r="F604" s="106" t="str">
        <f>SUMIFS(Data!J:J,Data!F:F,A604)</f>
        <v>1</v>
      </c>
      <c r="G604" s="106" t="str">
        <f>SUMIFS(Cast!C:C,CastElements,A604)</f>
        <v>1</v>
      </c>
      <c r="H604" s="106" t="str">
        <f t="shared" si="4"/>
        <v>0</v>
      </c>
      <c r="I604" s="106" t="str">
        <f>SUMIFS(Del!C:C,Del!B:B,A604)</f>
        <v>0</v>
      </c>
      <c r="J604" s="106" t="str">
        <f t="shared" si="5"/>
        <v>1</v>
      </c>
      <c r="K604" s="106" t="str">
        <f t="shared" si="6"/>
        <v>1</v>
      </c>
      <c r="L604" s="106"/>
      <c r="M604" s="106" t="str">
        <f>SUMIFS(Ere!C:C,Ere!B:B,A604)</f>
        <v>0</v>
      </c>
      <c r="N604" s="106" t="str">
        <f t="shared" si="7"/>
        <v>1</v>
      </c>
      <c r="O604" s="107" t="str">
        <f t="array" ref="O604">XLOOKUP(A604,Data!F:F,Data!O:O)</f>
        <v>  1.92 </v>
      </c>
      <c r="P604" s="107" t="str">
        <f t="shared" si="8"/>
        <v>  4.80 </v>
      </c>
      <c r="Q604" s="27"/>
    </row>
    <row r="605" ht="15.75" customHeight="1">
      <c r="A605" s="105" t="s">
        <v>849</v>
      </c>
      <c r="B605" s="19" t="str">
        <f t="array" ref="B605">XLOOKUP(A605,Data!F:F,Data!G:G)</f>
        <v>A1D</v>
      </c>
      <c r="C605" s="19" t="str">
        <f t="shared" si="3"/>
        <v>A049</v>
      </c>
      <c r="D605" s="19" t="str">
        <f t="array" ref="D605">XLOOKUP(A605,Data!F:F,Data!C:C)</f>
        <v/>
      </c>
      <c r="E605" s="19" t="str">
        <f t="array" ref="E605">XLOOKUP(A605,Data!F:F,Data!H:H)</f>
        <v>BW</v>
      </c>
      <c r="F605" s="106" t="str">
        <f>SUMIFS(Data!J:J,Data!F:F,A605)</f>
        <v>1</v>
      </c>
      <c r="G605" s="106" t="str">
        <f>SUMIFS(Cast!C:C,CastElements,A605)</f>
        <v>0</v>
      </c>
      <c r="H605" s="106" t="str">
        <f t="shared" si="4"/>
        <v>1</v>
      </c>
      <c r="I605" s="106" t="str">
        <f>SUMIFS(Del!C:C,Del!B:B,A605)</f>
        <v>0</v>
      </c>
      <c r="J605" s="106" t="str">
        <f t="shared" si="5"/>
        <v>1</v>
      </c>
      <c r="K605" s="106" t="str">
        <f t="shared" si="6"/>
        <v>0</v>
      </c>
      <c r="L605" s="106"/>
      <c r="M605" s="106" t="str">
        <f>SUMIFS(Ere!C:C,Ere!B:B,A605)</f>
        <v>0</v>
      </c>
      <c r="N605" s="106" t="str">
        <f t="shared" si="7"/>
        <v>1</v>
      </c>
      <c r="O605" s="107" t="str">
        <f t="array" ref="O605">XLOOKUP(A605,Data!F:F,Data!O:O)</f>
        <v>  1.64 </v>
      </c>
      <c r="P605" s="107" t="str">
        <f t="shared" si="8"/>
        <v>  4.10 </v>
      </c>
      <c r="Q605" s="27"/>
    </row>
    <row r="606" ht="15.75" customHeight="1">
      <c r="A606" s="105" t="s">
        <v>850</v>
      </c>
      <c r="B606" s="19" t="str">
        <f t="array" ref="B606">XLOOKUP(A606,Data!F:F,Data!G:G)</f>
        <v>A1D</v>
      </c>
      <c r="C606" s="19" t="str">
        <f t="shared" si="3"/>
        <v>A049</v>
      </c>
      <c r="D606" s="19" t="str">
        <f t="array" ref="D606">XLOOKUP(A606,Data!F:F,Data!C:C)</f>
        <v/>
      </c>
      <c r="E606" s="19" t="str">
        <f t="array" ref="E606">XLOOKUP(A606,Data!F:F,Data!H:H)</f>
        <v>BW</v>
      </c>
      <c r="F606" s="106" t="str">
        <f>SUMIFS(Data!J:J,Data!F:F,A606)</f>
        <v>1</v>
      </c>
      <c r="G606" s="106" t="str">
        <f>SUMIFS(Cast!C:C,CastElements,A606)</f>
        <v>1</v>
      </c>
      <c r="H606" s="106" t="str">
        <f t="shared" si="4"/>
        <v>0</v>
      </c>
      <c r="I606" s="106" t="str">
        <f>SUMIFS(Del!C:C,Del!B:B,A606)</f>
        <v>0</v>
      </c>
      <c r="J606" s="106" t="str">
        <f t="shared" si="5"/>
        <v>1</v>
      </c>
      <c r="K606" s="106" t="str">
        <f t="shared" si="6"/>
        <v>1</v>
      </c>
      <c r="L606" s="106"/>
      <c r="M606" s="106" t="str">
        <f>SUMIFS(Ere!C:C,Ere!B:B,A606)</f>
        <v>0</v>
      </c>
      <c r="N606" s="106" t="str">
        <f t="shared" si="7"/>
        <v>1</v>
      </c>
      <c r="O606" s="107" t="str">
        <f t="array" ref="O606">XLOOKUP(A606,Data!F:F,Data!O:O)</f>
        <v>  1.95 </v>
      </c>
      <c r="P606" s="107" t="str">
        <f t="shared" si="8"/>
        <v>  4.86 </v>
      </c>
      <c r="Q606" s="27"/>
    </row>
    <row r="607" ht="15.75" customHeight="1">
      <c r="A607" s="105" t="s">
        <v>851</v>
      </c>
      <c r="B607" s="19" t="str">
        <f t="array" ref="B607">XLOOKUP(A607,Data!F:F,Data!G:G)</f>
        <v>A1D</v>
      </c>
      <c r="C607" s="19" t="str">
        <f t="shared" si="3"/>
        <v>A050</v>
      </c>
      <c r="D607" s="19" t="str">
        <f t="array" ref="D607">XLOOKUP(A607,Data!F:F,Data!C:C)</f>
        <v/>
      </c>
      <c r="E607" s="19" t="str">
        <f t="array" ref="E607">XLOOKUP(A607,Data!F:F,Data!H:H)</f>
        <v>BW</v>
      </c>
      <c r="F607" s="106" t="str">
        <f>SUMIFS(Data!J:J,Data!F:F,A607)</f>
        <v>1</v>
      </c>
      <c r="G607" s="106" t="str">
        <f>SUMIFS(Cast!C:C,CastElements,A607)</f>
        <v>0</v>
      </c>
      <c r="H607" s="106" t="str">
        <f t="shared" si="4"/>
        <v>1</v>
      </c>
      <c r="I607" s="106" t="str">
        <f>SUMIFS(Del!C:C,Del!B:B,A607)</f>
        <v>0</v>
      </c>
      <c r="J607" s="106" t="str">
        <f t="shared" si="5"/>
        <v>1</v>
      </c>
      <c r="K607" s="106" t="str">
        <f t="shared" si="6"/>
        <v>0</v>
      </c>
      <c r="L607" s="106"/>
      <c r="M607" s="106" t="str">
        <f>SUMIFS(Ere!C:C,Ere!B:B,A607)</f>
        <v>0</v>
      </c>
      <c r="N607" s="106" t="str">
        <f t="shared" si="7"/>
        <v>1</v>
      </c>
      <c r="O607" s="107" t="str">
        <f t="array" ref="O607">XLOOKUP(A607,Data!F:F,Data!O:O)</f>
        <v>  0.32 </v>
      </c>
      <c r="P607" s="107" t="str">
        <f t="shared" si="8"/>
        <v>  0.80 </v>
      </c>
      <c r="Q607" s="27"/>
    </row>
    <row r="608" ht="15.75" customHeight="1">
      <c r="A608" s="105" t="s">
        <v>852</v>
      </c>
      <c r="B608" s="19" t="str">
        <f t="array" ref="B608">XLOOKUP(A608,Data!F:F,Data!G:G)</f>
        <v>A1D</v>
      </c>
      <c r="C608" s="19" t="str">
        <f t="shared" si="3"/>
        <v>A050</v>
      </c>
      <c r="D608" s="19" t="str">
        <f t="array" ref="D608">XLOOKUP(A608,Data!F:F,Data!C:C)</f>
        <v/>
      </c>
      <c r="E608" s="19" t="str">
        <f t="array" ref="E608">XLOOKUP(A608,Data!F:F,Data!H:H)</f>
        <v>CF</v>
      </c>
      <c r="F608" s="106" t="str">
        <f>SUMIFS(Data!J:J,Data!F:F,A608)</f>
        <v>1</v>
      </c>
      <c r="G608" s="106" t="str">
        <f>SUMIFS(Cast!C:C,CastElements,A608)</f>
        <v>1</v>
      </c>
      <c r="H608" s="106" t="str">
        <f t="shared" si="4"/>
        <v>0</v>
      </c>
      <c r="I608" s="106" t="str">
        <f>SUMIFS(Del!C:C,Del!B:B,A608)</f>
        <v>0</v>
      </c>
      <c r="J608" s="106" t="str">
        <f t="shared" si="5"/>
        <v>1</v>
      </c>
      <c r="K608" s="106" t="str">
        <f t="shared" si="6"/>
        <v>1</v>
      </c>
      <c r="L608" s="106"/>
      <c r="M608" s="106" t="str">
        <f>SUMIFS(Ere!C:C,Ere!B:B,A608)</f>
        <v>0</v>
      </c>
      <c r="N608" s="106" t="str">
        <f t="shared" si="7"/>
        <v>1</v>
      </c>
      <c r="O608" s="107" t="str">
        <f t="array" ref="O608">XLOOKUP(A608,Data!F:F,Data!O:O)</f>
        <v>  0.43 </v>
      </c>
      <c r="P608" s="107" t="str">
        <f t="shared" si="8"/>
        <v>  1.07 </v>
      </c>
      <c r="Q608" s="27"/>
    </row>
    <row r="609" ht="15.75" customHeight="1">
      <c r="A609" s="105" t="s">
        <v>853</v>
      </c>
      <c r="B609" s="19" t="str">
        <f t="array" ref="B609">XLOOKUP(A609,Data!F:F,Data!G:G)</f>
        <v>A1D</v>
      </c>
      <c r="C609" s="19" t="str">
        <f t="shared" si="3"/>
        <v>A050</v>
      </c>
      <c r="D609" s="19" t="str">
        <f t="array" ref="D609">XLOOKUP(A609,Data!F:F,Data!C:C)</f>
        <v>EXT</v>
      </c>
      <c r="E609" s="19" t="str">
        <f t="array" ref="E609">XLOOKUP(A609,Data!F:F,Data!H:H)</f>
        <v>BW</v>
      </c>
      <c r="F609" s="106" t="str">
        <f>SUMIFS(Data!J:J,Data!F:F,A609)</f>
        <v>1</v>
      </c>
      <c r="G609" s="106" t="str">
        <f>SUMIFS(Cast!C:C,CastElements,A609)</f>
        <v>0</v>
      </c>
      <c r="H609" s="106" t="str">
        <f t="shared" si="4"/>
        <v>1</v>
      </c>
      <c r="I609" s="106" t="str">
        <f>SUMIFS(Del!C:C,Del!B:B,A609)</f>
        <v>0</v>
      </c>
      <c r="J609" s="106" t="str">
        <f t="shared" si="5"/>
        <v>1</v>
      </c>
      <c r="K609" s="106" t="str">
        <f t="shared" si="6"/>
        <v>0</v>
      </c>
      <c r="L609" s="106"/>
      <c r="M609" s="106" t="str">
        <f>SUMIFS(Ere!C:C,Ere!B:B,A609)</f>
        <v>0</v>
      </c>
      <c r="N609" s="106" t="str">
        <f t="shared" si="7"/>
        <v>1</v>
      </c>
      <c r="O609" s="107" t="str">
        <f t="array" ref="O609">XLOOKUP(A609,Data!F:F,Data!O:O)</f>
        <v>  0.94 </v>
      </c>
      <c r="P609" s="107" t="str">
        <f t="shared" si="8"/>
        <v>  2.36 </v>
      </c>
      <c r="Q609" s="27"/>
    </row>
    <row r="610" ht="15.75" customHeight="1">
      <c r="A610" s="105" t="s">
        <v>854</v>
      </c>
      <c r="B610" s="19" t="str">
        <f t="array" ref="B610">XLOOKUP(A610,Data!F:F,Data!G:G)</f>
        <v>A1D</v>
      </c>
      <c r="C610" s="19" t="str">
        <f t="shared" si="3"/>
        <v>A050</v>
      </c>
      <c r="D610" s="19" t="str">
        <f t="array" ref="D610">XLOOKUP(A610,Data!F:F,Data!C:C)</f>
        <v>EXT</v>
      </c>
      <c r="E610" s="19" t="str">
        <f t="array" ref="E610">XLOOKUP(A610,Data!F:F,Data!H:H)</f>
        <v>BW</v>
      </c>
      <c r="F610" s="106" t="str">
        <f>SUMIFS(Data!J:J,Data!F:F,A610)</f>
        <v>1</v>
      </c>
      <c r="G610" s="106" t="str">
        <f>SUMIFS(Cast!C:C,CastElements,A610)</f>
        <v>0</v>
      </c>
      <c r="H610" s="106" t="str">
        <f t="shared" si="4"/>
        <v>1</v>
      </c>
      <c r="I610" s="106" t="str">
        <f>SUMIFS(Del!C:C,Del!B:B,A610)</f>
        <v>0</v>
      </c>
      <c r="J610" s="106" t="str">
        <f t="shared" si="5"/>
        <v>1</v>
      </c>
      <c r="K610" s="106" t="str">
        <f t="shared" si="6"/>
        <v>0</v>
      </c>
      <c r="L610" s="106"/>
      <c r="M610" s="106" t="str">
        <f>SUMIFS(Ere!C:C,Ere!B:B,A610)</f>
        <v>0</v>
      </c>
      <c r="N610" s="106" t="str">
        <f t="shared" si="7"/>
        <v>1</v>
      </c>
      <c r="O610" s="107" t="str">
        <f t="array" ref="O610">XLOOKUP(A610,Data!F:F,Data!O:O)</f>
        <v>  0.87 </v>
      </c>
      <c r="P610" s="107" t="str">
        <f t="shared" si="8"/>
        <v>  2.18 </v>
      </c>
      <c r="Q610" s="27"/>
    </row>
    <row r="611" ht="15.75" customHeight="1">
      <c r="A611" s="105" t="s">
        <v>855</v>
      </c>
      <c r="B611" s="19" t="str">
        <f t="array" ref="B611">XLOOKUP(A611,Data!F:F,Data!G:G)</f>
        <v>A1D</v>
      </c>
      <c r="C611" s="19" t="str">
        <f t="shared" si="3"/>
        <v>A050</v>
      </c>
      <c r="D611" s="19" t="str">
        <f t="array" ref="D611">XLOOKUP(A611,Data!F:F,Data!C:C)</f>
        <v>EXT</v>
      </c>
      <c r="E611" s="19" t="str">
        <f t="array" ref="E611">XLOOKUP(A611,Data!F:F,Data!H:H)</f>
        <v>BW</v>
      </c>
      <c r="F611" s="106" t="str">
        <f>SUMIFS(Data!J:J,Data!F:F,A611)</f>
        <v>1</v>
      </c>
      <c r="G611" s="106" t="str">
        <f>SUMIFS(Cast!C:C,CastElements,A611)</f>
        <v>0</v>
      </c>
      <c r="H611" s="106" t="str">
        <f t="shared" si="4"/>
        <v>1</v>
      </c>
      <c r="I611" s="106" t="str">
        <f>SUMIFS(Del!C:C,Del!B:B,A611)</f>
        <v>0</v>
      </c>
      <c r="J611" s="106" t="str">
        <f t="shared" si="5"/>
        <v>1</v>
      </c>
      <c r="K611" s="106" t="str">
        <f t="shared" si="6"/>
        <v>0</v>
      </c>
      <c r="L611" s="106"/>
      <c r="M611" s="106" t="str">
        <f>SUMIFS(Ere!C:C,Ere!B:B,A611)</f>
        <v>0</v>
      </c>
      <c r="N611" s="106" t="str">
        <f t="shared" si="7"/>
        <v>1</v>
      </c>
      <c r="O611" s="107" t="str">
        <f t="array" ref="O611">XLOOKUP(A611,Data!F:F,Data!O:O)</f>
        <v>  0.87 </v>
      </c>
      <c r="P611" s="107" t="str">
        <f t="shared" si="8"/>
        <v>  2.18 </v>
      </c>
      <c r="Q611" s="27"/>
    </row>
    <row r="612" ht="15.75" customHeight="1">
      <c r="A612" s="105" t="s">
        <v>856</v>
      </c>
      <c r="B612" s="19" t="str">
        <f t="array" ref="B612">XLOOKUP(A612,Data!F:F,Data!G:G)</f>
        <v>A1D</v>
      </c>
      <c r="C612" s="19" t="str">
        <f t="shared" si="3"/>
        <v>A050</v>
      </c>
      <c r="D612" s="19" t="str">
        <f t="array" ref="D612">XLOOKUP(A612,Data!F:F,Data!C:C)</f>
        <v>EXT</v>
      </c>
      <c r="E612" s="19" t="str">
        <f t="array" ref="E612">XLOOKUP(A612,Data!F:F,Data!H:H)</f>
        <v>BW</v>
      </c>
      <c r="F612" s="106" t="str">
        <f>SUMIFS(Data!J:J,Data!F:F,A612)</f>
        <v>1</v>
      </c>
      <c r="G612" s="106" t="str">
        <f>SUMIFS(Cast!C:C,CastElements,A612)</f>
        <v>0</v>
      </c>
      <c r="H612" s="106" t="str">
        <f t="shared" si="4"/>
        <v>1</v>
      </c>
      <c r="I612" s="106" t="str">
        <f>SUMIFS(Del!C:C,Del!B:B,A612)</f>
        <v>0</v>
      </c>
      <c r="J612" s="106" t="str">
        <f t="shared" si="5"/>
        <v>1</v>
      </c>
      <c r="K612" s="106" t="str">
        <f t="shared" si="6"/>
        <v>0</v>
      </c>
      <c r="L612" s="106"/>
      <c r="M612" s="106" t="str">
        <f>SUMIFS(Ere!C:C,Ere!B:B,A612)</f>
        <v>0</v>
      </c>
      <c r="N612" s="106" t="str">
        <f t="shared" si="7"/>
        <v>1</v>
      </c>
      <c r="O612" s="107" t="str">
        <f t="array" ref="O612">XLOOKUP(A612,Data!F:F,Data!O:O)</f>
        <v>  0.92 </v>
      </c>
      <c r="P612" s="107" t="str">
        <f t="shared" si="8"/>
        <v>  2.30 </v>
      </c>
      <c r="Q612" s="27"/>
    </row>
    <row r="613" ht="15.75" customHeight="1">
      <c r="A613" s="105" t="s">
        <v>857</v>
      </c>
      <c r="B613" s="19" t="str">
        <f t="array" ref="B613">XLOOKUP(A613,Data!F:F,Data!G:G)</f>
        <v>A1D</v>
      </c>
      <c r="C613" s="19" t="str">
        <f t="shared" si="3"/>
        <v>A050</v>
      </c>
      <c r="D613" s="19" t="str">
        <f t="array" ref="D613">XLOOKUP(A613,Data!F:F,Data!C:C)</f>
        <v/>
      </c>
      <c r="E613" s="19" t="str">
        <f t="array" ref="E613">XLOOKUP(A613,Data!F:F,Data!H:H)</f>
        <v>BW</v>
      </c>
      <c r="F613" s="106" t="str">
        <f>SUMIFS(Data!J:J,Data!F:F,A613)</f>
        <v>1</v>
      </c>
      <c r="G613" s="106" t="str">
        <f>SUMIFS(Cast!C:C,CastElements,A613)</f>
        <v>1</v>
      </c>
      <c r="H613" s="106" t="str">
        <f t="shared" si="4"/>
        <v>0</v>
      </c>
      <c r="I613" s="106" t="str">
        <f>SUMIFS(Del!C:C,Del!B:B,A613)</f>
        <v>0</v>
      </c>
      <c r="J613" s="106" t="str">
        <f t="shared" si="5"/>
        <v>1</v>
      </c>
      <c r="K613" s="106" t="str">
        <f t="shared" si="6"/>
        <v>1</v>
      </c>
      <c r="L613" s="106"/>
      <c r="M613" s="106" t="str">
        <f>SUMIFS(Ere!C:C,Ere!B:B,A613)</f>
        <v>0</v>
      </c>
      <c r="N613" s="106" t="str">
        <f t="shared" si="7"/>
        <v>1</v>
      </c>
      <c r="O613" s="107" t="str">
        <f t="array" ref="O613">XLOOKUP(A613,Data!F:F,Data!O:O)</f>
        <v>  1.82 </v>
      </c>
      <c r="P613" s="107" t="str">
        <f t="shared" si="8"/>
        <v>  4.55 </v>
      </c>
      <c r="Q613" s="27"/>
    </row>
    <row r="614" ht="15.75" customHeight="1">
      <c r="A614" s="105" t="s">
        <v>858</v>
      </c>
      <c r="B614" s="19" t="str">
        <f t="array" ref="B614">XLOOKUP(A614,Data!F:F,Data!G:G)</f>
        <v>A1D</v>
      </c>
      <c r="C614" s="19" t="str">
        <f t="shared" si="3"/>
        <v>A050</v>
      </c>
      <c r="D614" s="19" t="str">
        <f t="array" ref="D614">XLOOKUP(A614,Data!F:F,Data!C:C)</f>
        <v/>
      </c>
      <c r="E614" s="19" t="str">
        <f t="array" ref="E614">XLOOKUP(A614,Data!F:F,Data!H:H)</f>
        <v>BW</v>
      </c>
      <c r="F614" s="106" t="str">
        <f>SUMIFS(Data!J:J,Data!F:F,A614)</f>
        <v>1</v>
      </c>
      <c r="G614" s="106" t="str">
        <f>SUMIFS(Cast!C:C,CastElements,A614)</f>
        <v>1</v>
      </c>
      <c r="H614" s="106" t="str">
        <f t="shared" si="4"/>
        <v>0</v>
      </c>
      <c r="I614" s="106" t="str">
        <f>SUMIFS(Del!C:C,Del!B:B,A614)</f>
        <v>0</v>
      </c>
      <c r="J614" s="106" t="str">
        <f t="shared" si="5"/>
        <v>1</v>
      </c>
      <c r="K614" s="106" t="str">
        <f t="shared" si="6"/>
        <v>1</v>
      </c>
      <c r="L614" s="106"/>
      <c r="M614" s="106" t="str">
        <f>SUMIFS(Ere!C:C,Ere!B:B,A614)</f>
        <v>0</v>
      </c>
      <c r="N614" s="106" t="str">
        <f t="shared" si="7"/>
        <v>1</v>
      </c>
      <c r="O614" s="107" t="str">
        <f t="array" ref="O614">XLOOKUP(A614,Data!F:F,Data!O:O)</f>
        <v>  1.84 </v>
      </c>
      <c r="P614" s="107" t="str">
        <f t="shared" si="8"/>
        <v>  4.61 </v>
      </c>
      <c r="Q614" s="27"/>
    </row>
    <row r="615" ht="15.75" customHeight="1">
      <c r="A615" s="105" t="s">
        <v>859</v>
      </c>
      <c r="B615" s="19" t="str">
        <f t="array" ref="B615">XLOOKUP(A615,Data!F:F,Data!G:G)</f>
        <v>A1D</v>
      </c>
      <c r="C615" s="19" t="str">
        <f t="shared" si="3"/>
        <v>A050</v>
      </c>
      <c r="D615" s="19" t="str">
        <f t="array" ref="D615">XLOOKUP(A615,Data!F:F,Data!C:C)</f>
        <v/>
      </c>
      <c r="E615" s="19" t="str">
        <f t="array" ref="E615">XLOOKUP(A615,Data!F:F,Data!H:H)</f>
        <v>BW</v>
      </c>
      <c r="F615" s="106" t="str">
        <f>SUMIFS(Data!J:J,Data!F:F,A615)</f>
        <v>1</v>
      </c>
      <c r="G615" s="106" t="str">
        <f>SUMIFS(Cast!C:C,CastElements,A615)</f>
        <v>1</v>
      </c>
      <c r="H615" s="106" t="str">
        <f t="shared" si="4"/>
        <v>0</v>
      </c>
      <c r="I615" s="106" t="str">
        <f>SUMIFS(Del!C:C,Del!B:B,A615)</f>
        <v>0</v>
      </c>
      <c r="J615" s="106" t="str">
        <f t="shared" si="5"/>
        <v>1</v>
      </c>
      <c r="K615" s="106" t="str">
        <f t="shared" si="6"/>
        <v>1</v>
      </c>
      <c r="L615" s="106"/>
      <c r="M615" s="106" t="str">
        <f>SUMIFS(Ere!C:C,Ere!B:B,A615)</f>
        <v>0</v>
      </c>
      <c r="N615" s="106" t="str">
        <f t="shared" si="7"/>
        <v>1</v>
      </c>
      <c r="O615" s="107" t="str">
        <f t="array" ref="O615">XLOOKUP(A615,Data!F:F,Data!O:O)</f>
        <v>  1.84 </v>
      </c>
      <c r="P615" s="107" t="str">
        <f t="shared" si="8"/>
        <v>  4.61 </v>
      </c>
      <c r="Q615" s="27"/>
    </row>
    <row r="616" ht="15.75" customHeight="1">
      <c r="A616" s="105" t="s">
        <v>860</v>
      </c>
      <c r="B616" s="19" t="str">
        <f t="array" ref="B616">XLOOKUP(A616,Data!F:F,Data!G:G)</f>
        <v>A1D</v>
      </c>
      <c r="C616" s="19" t="str">
        <f t="shared" si="3"/>
        <v>A050</v>
      </c>
      <c r="D616" s="19" t="str">
        <f t="array" ref="D616">XLOOKUP(A616,Data!F:F,Data!C:C)</f>
        <v/>
      </c>
      <c r="E616" s="19" t="str">
        <f t="array" ref="E616">XLOOKUP(A616,Data!F:F,Data!H:H)</f>
        <v>BW</v>
      </c>
      <c r="F616" s="106" t="str">
        <f>SUMIFS(Data!J:J,Data!F:F,A616)</f>
        <v>1</v>
      </c>
      <c r="G616" s="106" t="str">
        <f>SUMIFS(Cast!C:C,CastElements,A616)</f>
        <v>1</v>
      </c>
      <c r="H616" s="106" t="str">
        <f t="shared" si="4"/>
        <v>0</v>
      </c>
      <c r="I616" s="106" t="str">
        <f>SUMIFS(Del!C:C,Del!B:B,A616)</f>
        <v>0</v>
      </c>
      <c r="J616" s="106" t="str">
        <f t="shared" si="5"/>
        <v>1</v>
      </c>
      <c r="K616" s="106" t="str">
        <f t="shared" si="6"/>
        <v>1</v>
      </c>
      <c r="L616" s="106"/>
      <c r="M616" s="106" t="str">
        <f>SUMIFS(Ere!C:C,Ere!B:B,A616)</f>
        <v>0</v>
      </c>
      <c r="N616" s="106" t="str">
        <f t="shared" si="7"/>
        <v>1</v>
      </c>
      <c r="O616" s="107" t="str">
        <f t="array" ref="O616">XLOOKUP(A616,Data!F:F,Data!O:O)</f>
        <v>  1.84 </v>
      </c>
      <c r="P616" s="107" t="str">
        <f t="shared" si="8"/>
        <v>  4.61 </v>
      </c>
      <c r="Q616" s="27"/>
    </row>
    <row r="617" ht="15.75" customHeight="1">
      <c r="A617" s="105" t="s">
        <v>861</v>
      </c>
      <c r="B617" s="19" t="str">
        <f t="array" ref="B617">XLOOKUP(A617,Data!F:F,Data!G:G)</f>
        <v>A1D</v>
      </c>
      <c r="C617" s="19" t="str">
        <f t="shared" si="3"/>
        <v>A050</v>
      </c>
      <c r="D617" s="19" t="str">
        <f t="array" ref="D617">XLOOKUP(A617,Data!F:F,Data!C:C)</f>
        <v/>
      </c>
      <c r="E617" s="19" t="str">
        <f t="array" ref="E617">XLOOKUP(A617,Data!F:F,Data!H:H)</f>
        <v>BW</v>
      </c>
      <c r="F617" s="106" t="str">
        <f>SUMIFS(Data!J:J,Data!F:F,A617)</f>
        <v>1</v>
      </c>
      <c r="G617" s="106" t="str">
        <f>SUMIFS(Cast!C:C,CastElements,A617)</f>
        <v>0</v>
      </c>
      <c r="H617" s="106" t="str">
        <f t="shared" si="4"/>
        <v>1</v>
      </c>
      <c r="I617" s="106" t="str">
        <f>SUMIFS(Del!C:C,Del!B:B,A617)</f>
        <v>0</v>
      </c>
      <c r="J617" s="106" t="str">
        <f t="shared" si="5"/>
        <v>1</v>
      </c>
      <c r="K617" s="106" t="str">
        <f t="shared" si="6"/>
        <v>0</v>
      </c>
      <c r="L617" s="106"/>
      <c r="M617" s="106" t="str">
        <f>SUMIFS(Ere!C:C,Ere!B:B,A617)</f>
        <v>0</v>
      </c>
      <c r="N617" s="106" t="str">
        <f t="shared" si="7"/>
        <v>1</v>
      </c>
      <c r="O617" s="107" t="str">
        <f t="array" ref="O617">XLOOKUP(A617,Data!F:F,Data!O:O)</f>
        <v>  1.55 </v>
      </c>
      <c r="P617" s="107" t="str">
        <f t="shared" si="8"/>
        <v>  3.86 </v>
      </c>
      <c r="Q617" s="27"/>
    </row>
    <row r="618" ht="15.75" customHeight="1">
      <c r="A618" s="105" t="s">
        <v>862</v>
      </c>
      <c r="B618" s="19" t="str">
        <f t="array" ref="B618">XLOOKUP(A618,Data!F:F,Data!G:G)</f>
        <v>A1D</v>
      </c>
      <c r="C618" s="19" t="str">
        <f t="shared" si="3"/>
        <v>A050</v>
      </c>
      <c r="D618" s="19" t="str">
        <f t="array" ref="D618">XLOOKUP(A618,Data!F:F,Data!C:C)</f>
        <v/>
      </c>
      <c r="E618" s="19" t="str">
        <f t="array" ref="E618">XLOOKUP(A618,Data!F:F,Data!H:H)</f>
        <v>BW</v>
      </c>
      <c r="F618" s="106" t="str">
        <f>SUMIFS(Data!J:J,Data!F:F,A618)</f>
        <v>1</v>
      </c>
      <c r="G618" s="106" t="str">
        <f>SUMIFS(Cast!C:C,CastElements,A618)</f>
        <v>1</v>
      </c>
      <c r="H618" s="106" t="str">
        <f t="shared" si="4"/>
        <v>0</v>
      </c>
      <c r="I618" s="106" t="str">
        <f>SUMIFS(Del!C:C,Del!B:B,A618)</f>
        <v>0</v>
      </c>
      <c r="J618" s="106" t="str">
        <f t="shared" si="5"/>
        <v>1</v>
      </c>
      <c r="K618" s="106" t="str">
        <f t="shared" si="6"/>
        <v>1</v>
      </c>
      <c r="L618" s="106"/>
      <c r="M618" s="106" t="str">
        <f>SUMIFS(Ere!C:C,Ere!B:B,A618)</f>
        <v>0</v>
      </c>
      <c r="N618" s="106" t="str">
        <f t="shared" si="7"/>
        <v>1</v>
      </c>
      <c r="O618" s="107" t="str">
        <f t="array" ref="O618">XLOOKUP(A618,Data!F:F,Data!O:O)</f>
        <v>  1.95 </v>
      </c>
      <c r="P618" s="107" t="str">
        <f t="shared" si="8"/>
        <v>  4.86 </v>
      </c>
      <c r="Q618" s="27"/>
    </row>
    <row r="619" ht="15.75" customHeight="1">
      <c r="A619" s="105" t="s">
        <v>863</v>
      </c>
      <c r="B619" s="19" t="str">
        <f t="array" ref="B619">XLOOKUP(A619,Data!F:F,Data!G:G)</f>
        <v>A1D</v>
      </c>
      <c r="C619" s="19" t="str">
        <f t="shared" si="3"/>
        <v>A050</v>
      </c>
      <c r="D619" s="19" t="str">
        <f t="array" ref="D619">XLOOKUP(A619,Data!F:F,Data!C:C)</f>
        <v/>
      </c>
      <c r="E619" s="19" t="str">
        <f t="array" ref="E619">XLOOKUP(A619,Data!F:F,Data!H:H)</f>
        <v>BW</v>
      </c>
      <c r="F619" s="106" t="str">
        <f>SUMIFS(Data!J:J,Data!F:F,A619)</f>
        <v>1</v>
      </c>
      <c r="G619" s="106" t="str">
        <f>SUMIFS(Cast!C:C,CastElements,A619)</f>
        <v>1</v>
      </c>
      <c r="H619" s="106" t="str">
        <f t="shared" si="4"/>
        <v>0</v>
      </c>
      <c r="I619" s="106" t="str">
        <f>SUMIFS(Del!C:C,Del!B:B,A619)</f>
        <v>0</v>
      </c>
      <c r="J619" s="106" t="str">
        <f t="shared" si="5"/>
        <v>1</v>
      </c>
      <c r="K619" s="106" t="str">
        <f t="shared" si="6"/>
        <v>1</v>
      </c>
      <c r="L619" s="106"/>
      <c r="M619" s="106" t="str">
        <f>SUMIFS(Ere!C:C,Ere!B:B,A619)</f>
        <v>0</v>
      </c>
      <c r="N619" s="106" t="str">
        <f t="shared" si="7"/>
        <v>1</v>
      </c>
      <c r="O619" s="107" t="str">
        <f t="array" ref="O619">XLOOKUP(A619,Data!F:F,Data!O:O)</f>
        <v>  1.90 </v>
      </c>
      <c r="P619" s="107" t="str">
        <f t="shared" si="8"/>
        <v>  4.74 </v>
      </c>
      <c r="Q619" s="27"/>
    </row>
    <row r="620" ht="15.75" customHeight="1">
      <c r="A620" s="105" t="s">
        <v>864</v>
      </c>
      <c r="B620" s="19" t="str">
        <f t="array" ref="B620">XLOOKUP(A620,Data!F:F,Data!G:G)</f>
        <v>A1D</v>
      </c>
      <c r="C620" s="19" t="str">
        <f t="shared" si="3"/>
        <v>A050</v>
      </c>
      <c r="D620" s="19" t="str">
        <f t="array" ref="D620">XLOOKUP(A620,Data!F:F,Data!C:C)</f>
        <v/>
      </c>
      <c r="E620" s="19" t="str">
        <f t="array" ref="E620">XLOOKUP(A620,Data!F:F,Data!H:H)</f>
        <v>BW</v>
      </c>
      <c r="F620" s="106" t="str">
        <f>SUMIFS(Data!J:J,Data!F:F,A620)</f>
        <v>1</v>
      </c>
      <c r="G620" s="106" t="str">
        <f>SUMIFS(Cast!C:C,CastElements,A620)</f>
        <v>1</v>
      </c>
      <c r="H620" s="106" t="str">
        <f t="shared" si="4"/>
        <v>0</v>
      </c>
      <c r="I620" s="106" t="str">
        <f>SUMIFS(Del!C:C,Del!B:B,A620)</f>
        <v>0</v>
      </c>
      <c r="J620" s="106" t="str">
        <f t="shared" si="5"/>
        <v>1</v>
      </c>
      <c r="K620" s="106" t="str">
        <f t="shared" si="6"/>
        <v>1</v>
      </c>
      <c r="L620" s="106"/>
      <c r="M620" s="106" t="str">
        <f>SUMIFS(Ere!C:C,Ere!B:B,A620)</f>
        <v>0</v>
      </c>
      <c r="N620" s="106" t="str">
        <f t="shared" si="7"/>
        <v>1</v>
      </c>
      <c r="O620" s="107" t="str">
        <f t="array" ref="O620">XLOOKUP(A620,Data!F:F,Data!O:O)</f>
        <v>  1.90 </v>
      </c>
      <c r="P620" s="107" t="str">
        <f t="shared" si="8"/>
        <v>  4.74 </v>
      </c>
      <c r="Q620" s="27"/>
    </row>
    <row r="621" ht="15.75" customHeight="1">
      <c r="A621" s="105" t="s">
        <v>865</v>
      </c>
      <c r="B621" s="19" t="str">
        <f t="array" ref="B621">XLOOKUP(A621,Data!F:F,Data!G:G)</f>
        <v>A1D</v>
      </c>
      <c r="C621" s="19" t="str">
        <f t="shared" si="3"/>
        <v>A050</v>
      </c>
      <c r="D621" s="19" t="str">
        <f t="array" ref="D621">XLOOKUP(A621,Data!F:F,Data!C:C)</f>
        <v/>
      </c>
      <c r="E621" s="19" t="str">
        <f t="array" ref="E621">XLOOKUP(A621,Data!F:F,Data!H:H)</f>
        <v>BW</v>
      </c>
      <c r="F621" s="106" t="str">
        <f>SUMIFS(Data!J:J,Data!F:F,A621)</f>
        <v>1</v>
      </c>
      <c r="G621" s="106" t="str">
        <f>SUMIFS(Cast!C:C,CastElements,A621)</f>
        <v>1</v>
      </c>
      <c r="H621" s="106" t="str">
        <f t="shared" si="4"/>
        <v>0</v>
      </c>
      <c r="I621" s="106" t="str">
        <f>SUMIFS(Del!C:C,Del!B:B,A621)</f>
        <v>0</v>
      </c>
      <c r="J621" s="106" t="str">
        <f t="shared" si="5"/>
        <v>1</v>
      </c>
      <c r="K621" s="106" t="str">
        <f t="shared" si="6"/>
        <v>1</v>
      </c>
      <c r="L621" s="106"/>
      <c r="M621" s="106" t="str">
        <f>SUMIFS(Ere!C:C,Ere!B:B,A621)</f>
        <v>0</v>
      </c>
      <c r="N621" s="106" t="str">
        <f t="shared" si="7"/>
        <v>1</v>
      </c>
      <c r="O621" s="107" t="str">
        <f t="array" ref="O621">XLOOKUP(A621,Data!F:F,Data!O:O)</f>
        <v>  1.90 </v>
      </c>
      <c r="P621" s="107" t="str">
        <f t="shared" si="8"/>
        <v>  4.74 </v>
      </c>
      <c r="Q621" s="27"/>
    </row>
    <row r="622" ht="15.75" customHeight="1">
      <c r="A622" s="105" t="s">
        <v>866</v>
      </c>
      <c r="B622" s="19" t="str">
        <f t="array" ref="B622">XLOOKUP(A622,Data!F:F,Data!G:G)</f>
        <v>A1D</v>
      </c>
      <c r="C622" s="19" t="str">
        <f t="shared" si="3"/>
        <v>A050</v>
      </c>
      <c r="D622" s="19" t="str">
        <f t="array" ref="D622">XLOOKUP(A622,Data!F:F,Data!C:C)</f>
        <v/>
      </c>
      <c r="E622" s="19" t="str">
        <f t="array" ref="E622">XLOOKUP(A622,Data!F:F,Data!H:H)</f>
        <v>BW</v>
      </c>
      <c r="F622" s="106" t="str">
        <f>SUMIFS(Data!J:J,Data!F:F,A622)</f>
        <v>1</v>
      </c>
      <c r="G622" s="106" t="str">
        <f>SUMIFS(Cast!C:C,CastElements,A622)</f>
        <v>0</v>
      </c>
      <c r="H622" s="106" t="str">
        <f t="shared" si="4"/>
        <v>1</v>
      </c>
      <c r="I622" s="106" t="str">
        <f>SUMIFS(Del!C:C,Del!B:B,A622)</f>
        <v>0</v>
      </c>
      <c r="J622" s="106" t="str">
        <f t="shared" si="5"/>
        <v>1</v>
      </c>
      <c r="K622" s="106" t="str">
        <f t="shared" si="6"/>
        <v>0</v>
      </c>
      <c r="L622" s="106"/>
      <c r="M622" s="106" t="str">
        <f>SUMIFS(Ere!C:C,Ere!B:B,A622)</f>
        <v>0</v>
      </c>
      <c r="N622" s="106" t="str">
        <f t="shared" si="7"/>
        <v>1</v>
      </c>
      <c r="O622" s="107" t="str">
        <f t="array" ref="O622">XLOOKUP(A622,Data!F:F,Data!O:O)</f>
        <v>  1.60 </v>
      </c>
      <c r="P622" s="107" t="str">
        <f t="shared" si="8"/>
        <v>  3.99 </v>
      </c>
      <c r="Q622" s="27"/>
    </row>
    <row r="623" ht="15.75" customHeight="1">
      <c r="A623" s="105" t="s">
        <v>867</v>
      </c>
      <c r="B623" s="19" t="str">
        <f t="array" ref="B623">XLOOKUP(A623,Data!F:F,Data!G:G)</f>
        <v>A1D</v>
      </c>
      <c r="C623" s="19" t="str">
        <f t="shared" si="3"/>
        <v>A051</v>
      </c>
      <c r="D623" s="19" t="str">
        <f t="array" ref="D623">XLOOKUP(A623,Data!F:F,Data!C:C)</f>
        <v/>
      </c>
      <c r="E623" s="19" t="str">
        <f t="array" ref="E623">XLOOKUP(A623,Data!F:F,Data!H:H)</f>
        <v>BW</v>
      </c>
      <c r="F623" s="106" t="str">
        <f>SUMIFS(Data!J:J,Data!F:F,A623)</f>
        <v>1</v>
      </c>
      <c r="G623" s="106" t="str">
        <f>SUMIFS(Cast!C:C,CastElements,A623)</f>
        <v>0</v>
      </c>
      <c r="H623" s="106" t="str">
        <f t="shared" si="4"/>
        <v>1</v>
      </c>
      <c r="I623" s="106" t="str">
        <f>SUMIFS(Del!C:C,Del!B:B,A623)</f>
        <v>0</v>
      </c>
      <c r="J623" s="106" t="str">
        <f t="shared" si="5"/>
        <v>1</v>
      </c>
      <c r="K623" s="106" t="str">
        <f t="shared" si="6"/>
        <v>0</v>
      </c>
      <c r="L623" s="106"/>
      <c r="M623" s="106" t="str">
        <f>SUMIFS(Ere!C:C,Ere!B:B,A623)</f>
        <v>0</v>
      </c>
      <c r="N623" s="106" t="str">
        <f t="shared" si="7"/>
        <v>1</v>
      </c>
      <c r="O623" s="107" t="str">
        <f t="array" ref="O623">XLOOKUP(A623,Data!F:F,Data!O:O)</f>
        <v>  0.32 </v>
      </c>
      <c r="P623" s="107" t="str">
        <f t="shared" si="8"/>
        <v>  0.79 </v>
      </c>
      <c r="Q623" s="27"/>
    </row>
    <row r="624" ht="15.75" customHeight="1">
      <c r="A624" s="105" t="s">
        <v>868</v>
      </c>
      <c r="B624" s="19" t="str">
        <f t="array" ref="B624">XLOOKUP(A624,Data!F:F,Data!G:G)</f>
        <v>A1D</v>
      </c>
      <c r="C624" s="19" t="str">
        <f t="shared" si="3"/>
        <v>A051</v>
      </c>
      <c r="D624" s="19" t="str">
        <f t="array" ref="D624">XLOOKUP(A624,Data!F:F,Data!C:C)</f>
        <v/>
      </c>
      <c r="E624" s="19" t="str">
        <f t="array" ref="E624">XLOOKUP(A624,Data!F:F,Data!H:H)</f>
        <v>CF</v>
      </c>
      <c r="F624" s="106" t="str">
        <f>SUMIFS(Data!J:J,Data!F:F,A624)</f>
        <v>1</v>
      </c>
      <c r="G624" s="106" t="str">
        <f>SUMIFS(Cast!C:C,CastElements,A624)</f>
        <v>0</v>
      </c>
      <c r="H624" s="106" t="str">
        <f t="shared" si="4"/>
        <v>1</v>
      </c>
      <c r="I624" s="106" t="str">
        <f>SUMIFS(Del!C:C,Del!B:B,A624)</f>
        <v>0</v>
      </c>
      <c r="J624" s="106" t="str">
        <f t="shared" si="5"/>
        <v>1</v>
      </c>
      <c r="K624" s="106" t="str">
        <f t="shared" si="6"/>
        <v>0</v>
      </c>
      <c r="L624" s="106"/>
      <c r="M624" s="106" t="str">
        <f>SUMIFS(Ere!C:C,Ere!B:B,A624)</f>
        <v>0</v>
      </c>
      <c r="N624" s="106" t="str">
        <f t="shared" si="7"/>
        <v>1</v>
      </c>
      <c r="O624" s="107" t="str">
        <f t="array" ref="O624">XLOOKUP(A624,Data!F:F,Data!O:O)</f>
        <v>  0.43 </v>
      </c>
      <c r="P624" s="107" t="str">
        <f t="shared" si="8"/>
        <v>  1.06 </v>
      </c>
      <c r="Q624" s="27"/>
    </row>
    <row r="625" ht="15.75" customHeight="1">
      <c r="A625" s="105" t="s">
        <v>869</v>
      </c>
      <c r="B625" s="19" t="str">
        <f t="array" ref="B625">XLOOKUP(A625,Data!F:F,Data!G:G)</f>
        <v>A1D</v>
      </c>
      <c r="C625" s="19" t="str">
        <f t="shared" si="3"/>
        <v>A051</v>
      </c>
      <c r="D625" s="19" t="str">
        <f t="array" ref="D625">XLOOKUP(A625,Data!F:F,Data!C:C)</f>
        <v>EXT</v>
      </c>
      <c r="E625" s="19" t="str">
        <f t="array" ref="E625">XLOOKUP(A625,Data!F:F,Data!H:H)</f>
        <v>BW</v>
      </c>
      <c r="F625" s="106" t="str">
        <f>SUMIFS(Data!J:J,Data!F:F,A625)</f>
        <v>1</v>
      </c>
      <c r="G625" s="106" t="str">
        <f>SUMIFS(Cast!C:C,CastElements,A625)</f>
        <v>0</v>
      </c>
      <c r="H625" s="106" t="str">
        <f t="shared" si="4"/>
        <v>1</v>
      </c>
      <c r="I625" s="106" t="str">
        <f>SUMIFS(Del!C:C,Del!B:B,A625)</f>
        <v>0</v>
      </c>
      <c r="J625" s="106" t="str">
        <f t="shared" si="5"/>
        <v>1</v>
      </c>
      <c r="K625" s="106" t="str">
        <f t="shared" si="6"/>
        <v>0</v>
      </c>
      <c r="L625" s="106"/>
      <c r="M625" s="106" t="str">
        <f>SUMIFS(Ere!C:C,Ere!B:B,A625)</f>
        <v>0</v>
      </c>
      <c r="N625" s="106" t="str">
        <f t="shared" si="7"/>
        <v>1</v>
      </c>
      <c r="O625" s="107" t="str">
        <f t="array" ref="O625">XLOOKUP(A625,Data!F:F,Data!O:O)</f>
        <v>  0.92 </v>
      </c>
      <c r="P625" s="107" t="str">
        <f t="shared" si="8"/>
        <v>  2.29 </v>
      </c>
      <c r="Q625" s="27"/>
    </row>
    <row r="626" ht="15.75" customHeight="1">
      <c r="A626" s="105" t="s">
        <v>870</v>
      </c>
      <c r="B626" s="19" t="str">
        <f t="array" ref="B626">XLOOKUP(A626,Data!F:F,Data!G:G)</f>
        <v>A1D</v>
      </c>
      <c r="C626" s="19" t="str">
        <f t="shared" si="3"/>
        <v>A051</v>
      </c>
      <c r="D626" s="19" t="str">
        <f t="array" ref="D626">XLOOKUP(A626,Data!F:F,Data!C:C)</f>
        <v>EXT</v>
      </c>
      <c r="E626" s="19" t="str">
        <f t="array" ref="E626">XLOOKUP(A626,Data!F:F,Data!H:H)</f>
        <v>BW</v>
      </c>
      <c r="F626" s="106" t="str">
        <f>SUMIFS(Data!J:J,Data!F:F,A626)</f>
        <v>1</v>
      </c>
      <c r="G626" s="106" t="str">
        <f>SUMIFS(Cast!C:C,CastElements,A626)</f>
        <v>0</v>
      </c>
      <c r="H626" s="106" t="str">
        <f t="shared" si="4"/>
        <v>1</v>
      </c>
      <c r="I626" s="106" t="str">
        <f>SUMIFS(Del!C:C,Del!B:B,A626)</f>
        <v>0</v>
      </c>
      <c r="J626" s="106" t="str">
        <f t="shared" si="5"/>
        <v>1</v>
      </c>
      <c r="K626" s="106" t="str">
        <f t="shared" si="6"/>
        <v>0</v>
      </c>
      <c r="L626" s="106"/>
      <c r="M626" s="106" t="str">
        <f>SUMIFS(Ere!C:C,Ere!B:B,A626)</f>
        <v>0</v>
      </c>
      <c r="N626" s="106" t="str">
        <f t="shared" si="7"/>
        <v>1</v>
      </c>
      <c r="O626" s="107" t="str">
        <f t="array" ref="O626">XLOOKUP(A626,Data!F:F,Data!O:O)</f>
        <v>  0.96 </v>
      </c>
      <c r="P626" s="107" t="str">
        <f t="shared" si="8"/>
        <v>  2.41 </v>
      </c>
      <c r="Q626" s="27"/>
    </row>
    <row r="627" ht="15.75" customHeight="1">
      <c r="A627" s="105" t="s">
        <v>871</v>
      </c>
      <c r="B627" s="19" t="str">
        <f t="array" ref="B627">XLOOKUP(A627,Data!F:F,Data!G:G)</f>
        <v>A1D</v>
      </c>
      <c r="C627" s="19" t="str">
        <f t="shared" si="3"/>
        <v>A051</v>
      </c>
      <c r="D627" s="19" t="str">
        <f t="array" ref="D627">XLOOKUP(A627,Data!F:F,Data!C:C)</f>
        <v>EXT</v>
      </c>
      <c r="E627" s="19" t="str">
        <f t="array" ref="E627">XLOOKUP(A627,Data!F:F,Data!H:H)</f>
        <v>BW</v>
      </c>
      <c r="F627" s="106" t="str">
        <f>SUMIFS(Data!J:J,Data!F:F,A627)</f>
        <v>1</v>
      </c>
      <c r="G627" s="106" t="str">
        <f>SUMIFS(Cast!C:C,CastElements,A627)</f>
        <v>0</v>
      </c>
      <c r="H627" s="106" t="str">
        <f t="shared" si="4"/>
        <v>1</v>
      </c>
      <c r="I627" s="106" t="str">
        <f>SUMIFS(Del!C:C,Del!B:B,A627)</f>
        <v>0</v>
      </c>
      <c r="J627" s="106" t="str">
        <f t="shared" si="5"/>
        <v>1</v>
      </c>
      <c r="K627" s="106" t="str">
        <f t="shared" si="6"/>
        <v>0</v>
      </c>
      <c r="L627" s="106"/>
      <c r="M627" s="106" t="str">
        <f>SUMIFS(Ere!C:C,Ere!B:B,A627)</f>
        <v>0</v>
      </c>
      <c r="N627" s="106" t="str">
        <f t="shared" si="7"/>
        <v>1</v>
      </c>
      <c r="O627" s="107" t="str">
        <f t="array" ref="O627">XLOOKUP(A627,Data!F:F,Data!O:O)</f>
        <v>  0.89 </v>
      </c>
      <c r="P627" s="107" t="str">
        <f t="shared" si="8"/>
        <v>  2.23 </v>
      </c>
      <c r="Q627" s="27"/>
    </row>
    <row r="628" ht="15.75" customHeight="1">
      <c r="A628" s="105" t="s">
        <v>872</v>
      </c>
      <c r="B628" s="19" t="str">
        <f t="array" ref="B628">XLOOKUP(A628,Data!F:F,Data!G:G)</f>
        <v>A1D</v>
      </c>
      <c r="C628" s="19" t="str">
        <f t="shared" si="3"/>
        <v>A051</v>
      </c>
      <c r="D628" s="19" t="str">
        <f t="array" ref="D628">XLOOKUP(A628,Data!F:F,Data!C:C)</f>
        <v>EXT</v>
      </c>
      <c r="E628" s="19" t="str">
        <f t="array" ref="E628">XLOOKUP(A628,Data!F:F,Data!H:H)</f>
        <v>BW</v>
      </c>
      <c r="F628" s="106" t="str">
        <f>SUMIFS(Data!J:J,Data!F:F,A628)</f>
        <v>1</v>
      </c>
      <c r="G628" s="106" t="str">
        <f>SUMIFS(Cast!C:C,CastElements,A628)</f>
        <v>0</v>
      </c>
      <c r="H628" s="106" t="str">
        <f t="shared" si="4"/>
        <v>1</v>
      </c>
      <c r="I628" s="106" t="str">
        <f>SUMIFS(Del!C:C,Del!B:B,A628)</f>
        <v>0</v>
      </c>
      <c r="J628" s="106" t="str">
        <f t="shared" si="5"/>
        <v>1</v>
      </c>
      <c r="K628" s="106" t="str">
        <f t="shared" si="6"/>
        <v>0</v>
      </c>
      <c r="L628" s="106"/>
      <c r="M628" s="106" t="str">
        <f>SUMIFS(Ere!C:C,Ere!B:B,A628)</f>
        <v>0</v>
      </c>
      <c r="N628" s="106" t="str">
        <f t="shared" si="7"/>
        <v>1</v>
      </c>
      <c r="O628" s="107" t="str">
        <f t="array" ref="O628">XLOOKUP(A628,Data!F:F,Data!O:O)</f>
        <v>  0.89 </v>
      </c>
      <c r="P628" s="107" t="str">
        <f t="shared" si="8"/>
        <v>  2.23 </v>
      </c>
      <c r="Q628" s="27"/>
    </row>
    <row r="629" ht="15.75" customHeight="1">
      <c r="A629" s="105" t="s">
        <v>873</v>
      </c>
      <c r="B629" s="19" t="str">
        <f t="array" ref="B629">XLOOKUP(A629,Data!F:F,Data!G:G)</f>
        <v>A1D</v>
      </c>
      <c r="C629" s="19" t="str">
        <f t="shared" si="3"/>
        <v>A051</v>
      </c>
      <c r="D629" s="19" t="str">
        <f t="array" ref="D629">XLOOKUP(A629,Data!F:F,Data!C:C)</f>
        <v/>
      </c>
      <c r="E629" s="19" t="str">
        <f t="array" ref="E629">XLOOKUP(A629,Data!F:F,Data!H:H)</f>
        <v>BW</v>
      </c>
      <c r="F629" s="106" t="str">
        <f>SUMIFS(Data!J:J,Data!F:F,A629)</f>
        <v>1</v>
      </c>
      <c r="G629" s="106" t="str">
        <f>SUMIFS(Cast!C:C,CastElements,A629)</f>
        <v>1</v>
      </c>
      <c r="H629" s="106" t="str">
        <f t="shared" si="4"/>
        <v>0</v>
      </c>
      <c r="I629" s="106" t="str">
        <f>SUMIFS(Del!C:C,Del!B:B,A629)</f>
        <v>0</v>
      </c>
      <c r="J629" s="106" t="str">
        <f t="shared" si="5"/>
        <v>1</v>
      </c>
      <c r="K629" s="106" t="str">
        <f t="shared" si="6"/>
        <v>1</v>
      </c>
      <c r="L629" s="106"/>
      <c r="M629" s="106" t="str">
        <f>SUMIFS(Ere!C:C,Ere!B:B,A629)</f>
        <v>0</v>
      </c>
      <c r="N629" s="106" t="str">
        <f t="shared" si="7"/>
        <v>1</v>
      </c>
      <c r="O629" s="107" t="str">
        <f t="array" ref="O629">XLOOKUP(A629,Data!F:F,Data!O:O)</f>
        <v>  1.82 </v>
      </c>
      <c r="P629" s="107" t="str">
        <f t="shared" si="8"/>
        <v>  4.54 </v>
      </c>
      <c r="Q629" s="27"/>
    </row>
    <row r="630" ht="15.75" customHeight="1">
      <c r="A630" s="105" t="s">
        <v>874</v>
      </c>
      <c r="B630" s="19" t="str">
        <f t="array" ref="B630">XLOOKUP(A630,Data!F:F,Data!G:G)</f>
        <v>A1D</v>
      </c>
      <c r="C630" s="19" t="str">
        <f t="shared" si="3"/>
        <v>A051</v>
      </c>
      <c r="D630" s="19" t="str">
        <f t="array" ref="D630">XLOOKUP(A630,Data!F:F,Data!C:C)</f>
        <v/>
      </c>
      <c r="E630" s="19" t="str">
        <f t="array" ref="E630">XLOOKUP(A630,Data!F:F,Data!H:H)</f>
        <v>BW</v>
      </c>
      <c r="F630" s="106" t="str">
        <f>SUMIFS(Data!J:J,Data!F:F,A630)</f>
        <v>1</v>
      </c>
      <c r="G630" s="106" t="str">
        <f>SUMIFS(Cast!C:C,CastElements,A630)</f>
        <v>1</v>
      </c>
      <c r="H630" s="106" t="str">
        <f t="shared" si="4"/>
        <v>0</v>
      </c>
      <c r="I630" s="106" t="str">
        <f>SUMIFS(Del!C:C,Del!B:B,A630)</f>
        <v>0</v>
      </c>
      <c r="J630" s="106" t="str">
        <f t="shared" si="5"/>
        <v>1</v>
      </c>
      <c r="K630" s="106" t="str">
        <f t="shared" si="6"/>
        <v>1</v>
      </c>
      <c r="L630" s="106"/>
      <c r="M630" s="106" t="str">
        <f>SUMIFS(Ere!C:C,Ere!B:B,A630)</f>
        <v>0</v>
      </c>
      <c r="N630" s="106" t="str">
        <f t="shared" si="7"/>
        <v>1</v>
      </c>
      <c r="O630" s="107" t="str">
        <f t="array" ref="O630">XLOOKUP(A630,Data!F:F,Data!O:O)</f>
        <v>  1.82 </v>
      </c>
      <c r="P630" s="107" t="str">
        <f t="shared" si="8"/>
        <v>  4.54 </v>
      </c>
      <c r="Q630" s="27"/>
    </row>
    <row r="631" ht="15.75" customHeight="1">
      <c r="A631" s="105" t="s">
        <v>875</v>
      </c>
      <c r="B631" s="19" t="str">
        <f t="array" ref="B631">XLOOKUP(A631,Data!F:F,Data!G:G)</f>
        <v>A1D</v>
      </c>
      <c r="C631" s="19" t="str">
        <f t="shared" si="3"/>
        <v>A051</v>
      </c>
      <c r="D631" s="19" t="str">
        <f t="array" ref="D631">XLOOKUP(A631,Data!F:F,Data!C:C)</f>
        <v/>
      </c>
      <c r="E631" s="19" t="str">
        <f t="array" ref="E631">XLOOKUP(A631,Data!F:F,Data!H:H)</f>
        <v>BW</v>
      </c>
      <c r="F631" s="106" t="str">
        <f>SUMIFS(Data!J:J,Data!F:F,A631)</f>
        <v>1</v>
      </c>
      <c r="G631" s="106" t="str">
        <f>SUMIFS(Cast!C:C,CastElements,A631)</f>
        <v>1</v>
      </c>
      <c r="H631" s="106" t="str">
        <f t="shared" si="4"/>
        <v>0</v>
      </c>
      <c r="I631" s="106" t="str">
        <f>SUMIFS(Del!C:C,Del!B:B,A631)</f>
        <v>0</v>
      </c>
      <c r="J631" s="106" t="str">
        <f t="shared" si="5"/>
        <v>1</v>
      </c>
      <c r="K631" s="106" t="str">
        <f t="shared" si="6"/>
        <v>1</v>
      </c>
      <c r="L631" s="106"/>
      <c r="M631" s="106" t="str">
        <f>SUMIFS(Ere!C:C,Ere!B:B,A631)</f>
        <v>0</v>
      </c>
      <c r="N631" s="106" t="str">
        <f t="shared" si="7"/>
        <v>1</v>
      </c>
      <c r="O631" s="107" t="str">
        <f t="array" ref="O631">XLOOKUP(A631,Data!F:F,Data!O:O)</f>
        <v>  1.82 </v>
      </c>
      <c r="P631" s="107" t="str">
        <f t="shared" si="8"/>
        <v>  4.54 </v>
      </c>
      <c r="Q631" s="27"/>
    </row>
    <row r="632" ht="15.75" customHeight="1">
      <c r="A632" s="105" t="s">
        <v>876</v>
      </c>
      <c r="B632" s="19" t="str">
        <f t="array" ref="B632">XLOOKUP(A632,Data!F:F,Data!G:G)</f>
        <v>A1D</v>
      </c>
      <c r="C632" s="19" t="str">
        <f t="shared" si="3"/>
        <v>A051</v>
      </c>
      <c r="D632" s="19" t="str">
        <f t="array" ref="D632">XLOOKUP(A632,Data!F:F,Data!C:C)</f>
        <v/>
      </c>
      <c r="E632" s="19" t="str">
        <f t="array" ref="E632">XLOOKUP(A632,Data!F:F,Data!H:H)</f>
        <v>BW</v>
      </c>
      <c r="F632" s="106" t="str">
        <f>SUMIFS(Data!J:J,Data!F:F,A632)</f>
        <v>1</v>
      </c>
      <c r="G632" s="106" t="str">
        <f>SUMIFS(Cast!C:C,CastElements,A632)</f>
        <v>1</v>
      </c>
      <c r="H632" s="106" t="str">
        <f t="shared" si="4"/>
        <v>0</v>
      </c>
      <c r="I632" s="106" t="str">
        <f>SUMIFS(Del!C:C,Del!B:B,A632)</f>
        <v>0</v>
      </c>
      <c r="J632" s="106" t="str">
        <f t="shared" si="5"/>
        <v>1</v>
      </c>
      <c r="K632" s="106" t="str">
        <f t="shared" si="6"/>
        <v>1</v>
      </c>
      <c r="L632" s="106"/>
      <c r="M632" s="106" t="str">
        <f>SUMIFS(Ere!C:C,Ere!B:B,A632)</f>
        <v>0</v>
      </c>
      <c r="N632" s="106" t="str">
        <f t="shared" si="7"/>
        <v>1</v>
      </c>
      <c r="O632" s="107" t="str">
        <f t="array" ref="O632">XLOOKUP(A632,Data!F:F,Data!O:O)</f>
        <v>  1.82 </v>
      </c>
      <c r="P632" s="107" t="str">
        <f t="shared" si="8"/>
        <v>  4.54 </v>
      </c>
      <c r="Q632" s="27"/>
    </row>
    <row r="633" ht="15.75" customHeight="1">
      <c r="A633" s="105" t="s">
        <v>877</v>
      </c>
      <c r="B633" s="19" t="str">
        <f t="array" ref="B633">XLOOKUP(A633,Data!F:F,Data!G:G)</f>
        <v>A1D</v>
      </c>
      <c r="C633" s="19" t="str">
        <f t="shared" si="3"/>
        <v>A051</v>
      </c>
      <c r="D633" s="19" t="str">
        <f t="array" ref="D633">XLOOKUP(A633,Data!F:F,Data!C:C)</f>
        <v/>
      </c>
      <c r="E633" s="19" t="str">
        <f t="array" ref="E633">XLOOKUP(A633,Data!F:F,Data!H:H)</f>
        <v>BW</v>
      </c>
      <c r="F633" s="106" t="str">
        <f>SUMIFS(Data!J:J,Data!F:F,A633)</f>
        <v>1</v>
      </c>
      <c r="G633" s="106" t="str">
        <f>SUMIFS(Cast!C:C,CastElements,A633)</f>
        <v>0</v>
      </c>
      <c r="H633" s="106" t="str">
        <f t="shared" si="4"/>
        <v>1</v>
      </c>
      <c r="I633" s="106" t="str">
        <f>SUMIFS(Del!C:C,Del!B:B,A633)</f>
        <v>0</v>
      </c>
      <c r="J633" s="106" t="str">
        <f t="shared" si="5"/>
        <v>1</v>
      </c>
      <c r="K633" s="106" t="str">
        <f t="shared" si="6"/>
        <v>0</v>
      </c>
      <c r="L633" s="106"/>
      <c r="M633" s="106" t="str">
        <f>SUMIFS(Ere!C:C,Ere!B:B,A633)</f>
        <v>0</v>
      </c>
      <c r="N633" s="106" t="str">
        <f t="shared" si="7"/>
        <v>1</v>
      </c>
      <c r="O633" s="107" t="str">
        <f t="array" ref="O633">XLOOKUP(A633,Data!F:F,Data!O:O)</f>
        <v>  1.52 </v>
      </c>
      <c r="P633" s="107" t="str">
        <f t="shared" si="8"/>
        <v>  3.80 </v>
      </c>
      <c r="Q633" s="27"/>
    </row>
    <row r="634" ht="15.75" customHeight="1">
      <c r="A634" s="105" t="s">
        <v>878</v>
      </c>
      <c r="B634" s="19" t="str">
        <f t="array" ref="B634">XLOOKUP(A634,Data!F:F,Data!G:G)</f>
        <v>A1D</v>
      </c>
      <c r="C634" s="19" t="str">
        <f t="shared" si="3"/>
        <v>A051</v>
      </c>
      <c r="D634" s="19" t="str">
        <f t="array" ref="D634">XLOOKUP(A634,Data!F:F,Data!C:C)</f>
        <v/>
      </c>
      <c r="E634" s="19" t="str">
        <f t="array" ref="E634">XLOOKUP(A634,Data!F:F,Data!H:H)</f>
        <v>BW</v>
      </c>
      <c r="F634" s="106" t="str">
        <f>SUMIFS(Data!J:J,Data!F:F,A634)</f>
        <v>1</v>
      </c>
      <c r="G634" s="106" t="str">
        <f>SUMIFS(Cast!C:C,CastElements,A634)</f>
        <v>1</v>
      </c>
      <c r="H634" s="106" t="str">
        <f t="shared" si="4"/>
        <v>0</v>
      </c>
      <c r="I634" s="106" t="str">
        <f>SUMIFS(Del!C:C,Del!B:B,A634)</f>
        <v>0</v>
      </c>
      <c r="J634" s="106" t="str">
        <f t="shared" si="5"/>
        <v>1</v>
      </c>
      <c r="K634" s="106" t="str">
        <f t="shared" si="6"/>
        <v>1</v>
      </c>
      <c r="L634" s="106"/>
      <c r="M634" s="106" t="str">
        <f>SUMIFS(Ere!C:C,Ere!B:B,A634)</f>
        <v>0</v>
      </c>
      <c r="N634" s="106" t="str">
        <f t="shared" si="7"/>
        <v>1</v>
      </c>
      <c r="O634" s="107" t="str">
        <f t="array" ref="O634">XLOOKUP(A634,Data!F:F,Data!O:O)</f>
        <v>  1.95 </v>
      </c>
      <c r="P634" s="107" t="str">
        <f t="shared" si="8"/>
        <v>  4.86 </v>
      </c>
      <c r="Q634" s="27"/>
    </row>
    <row r="635" ht="15.75" customHeight="1">
      <c r="A635" s="105" t="s">
        <v>879</v>
      </c>
      <c r="B635" s="19" t="str">
        <f t="array" ref="B635">XLOOKUP(A635,Data!F:F,Data!G:G)</f>
        <v>A1D</v>
      </c>
      <c r="C635" s="19" t="str">
        <f t="shared" si="3"/>
        <v>A051</v>
      </c>
      <c r="D635" s="19" t="str">
        <f t="array" ref="D635">XLOOKUP(A635,Data!F:F,Data!C:C)</f>
        <v/>
      </c>
      <c r="E635" s="19" t="str">
        <f t="array" ref="E635">XLOOKUP(A635,Data!F:F,Data!H:H)</f>
        <v>BW</v>
      </c>
      <c r="F635" s="106" t="str">
        <f>SUMIFS(Data!J:J,Data!F:F,A635)</f>
        <v>1</v>
      </c>
      <c r="G635" s="106" t="str">
        <f>SUMIFS(Cast!C:C,CastElements,A635)</f>
        <v>1</v>
      </c>
      <c r="H635" s="106" t="str">
        <f t="shared" si="4"/>
        <v>0</v>
      </c>
      <c r="I635" s="106" t="str">
        <f>SUMIFS(Del!C:C,Del!B:B,A635)</f>
        <v>0</v>
      </c>
      <c r="J635" s="106" t="str">
        <f t="shared" si="5"/>
        <v>1</v>
      </c>
      <c r="K635" s="106" t="str">
        <f t="shared" si="6"/>
        <v>1</v>
      </c>
      <c r="L635" s="106"/>
      <c r="M635" s="106" t="str">
        <f>SUMIFS(Ere!C:C,Ere!B:B,A635)</f>
        <v>0</v>
      </c>
      <c r="N635" s="106" t="str">
        <f t="shared" si="7"/>
        <v>1</v>
      </c>
      <c r="O635" s="107" t="str">
        <f t="array" ref="O635">XLOOKUP(A635,Data!F:F,Data!O:O)</f>
        <v>  1.86 </v>
      </c>
      <c r="P635" s="107" t="str">
        <f t="shared" si="8"/>
        <v>  4.64 </v>
      </c>
      <c r="Q635" s="27"/>
    </row>
    <row r="636" ht="15.75" customHeight="1">
      <c r="A636" s="105" t="s">
        <v>880</v>
      </c>
      <c r="B636" s="19" t="str">
        <f t="array" ref="B636">XLOOKUP(A636,Data!F:F,Data!G:G)</f>
        <v>A1D</v>
      </c>
      <c r="C636" s="19" t="str">
        <f t="shared" si="3"/>
        <v>A051</v>
      </c>
      <c r="D636" s="19" t="str">
        <f t="array" ref="D636">XLOOKUP(A636,Data!F:F,Data!C:C)</f>
        <v/>
      </c>
      <c r="E636" s="19" t="str">
        <f t="array" ref="E636">XLOOKUP(A636,Data!F:F,Data!H:H)</f>
        <v>BW</v>
      </c>
      <c r="F636" s="106" t="str">
        <f>SUMIFS(Data!J:J,Data!F:F,A636)</f>
        <v>1</v>
      </c>
      <c r="G636" s="106" t="str">
        <f>SUMIFS(Cast!C:C,CastElements,A636)</f>
        <v>1</v>
      </c>
      <c r="H636" s="106" t="str">
        <f t="shared" si="4"/>
        <v>0</v>
      </c>
      <c r="I636" s="106" t="str">
        <f>SUMIFS(Del!C:C,Del!B:B,A636)</f>
        <v>0</v>
      </c>
      <c r="J636" s="106" t="str">
        <f t="shared" si="5"/>
        <v>1</v>
      </c>
      <c r="K636" s="106" t="str">
        <f t="shared" si="6"/>
        <v>1</v>
      </c>
      <c r="L636" s="106"/>
      <c r="M636" s="106" t="str">
        <f>SUMIFS(Ere!C:C,Ere!B:B,A636)</f>
        <v>0</v>
      </c>
      <c r="N636" s="106" t="str">
        <f t="shared" si="7"/>
        <v>1</v>
      </c>
      <c r="O636" s="107" t="str">
        <f t="array" ref="O636">XLOOKUP(A636,Data!F:F,Data!O:O)</f>
        <v>  1.86 </v>
      </c>
      <c r="P636" s="107" t="str">
        <f t="shared" si="8"/>
        <v>  4.64 </v>
      </c>
      <c r="Q636" s="27"/>
    </row>
    <row r="637" ht="15.75" customHeight="1">
      <c r="A637" s="105" t="s">
        <v>881</v>
      </c>
      <c r="B637" s="19" t="str">
        <f t="array" ref="B637">XLOOKUP(A637,Data!F:F,Data!G:G)</f>
        <v>A1D</v>
      </c>
      <c r="C637" s="19" t="str">
        <f t="shared" si="3"/>
        <v>A051</v>
      </c>
      <c r="D637" s="19" t="str">
        <f t="array" ref="D637">XLOOKUP(A637,Data!F:F,Data!C:C)</f>
        <v/>
      </c>
      <c r="E637" s="19" t="str">
        <f t="array" ref="E637">XLOOKUP(A637,Data!F:F,Data!H:H)</f>
        <v>BW</v>
      </c>
      <c r="F637" s="106" t="str">
        <f>SUMIFS(Data!J:J,Data!F:F,A637)</f>
        <v>1</v>
      </c>
      <c r="G637" s="106" t="str">
        <f>SUMIFS(Cast!C:C,CastElements,A637)</f>
        <v>1</v>
      </c>
      <c r="H637" s="106" t="str">
        <f t="shared" si="4"/>
        <v>0</v>
      </c>
      <c r="I637" s="106" t="str">
        <f>SUMIFS(Del!C:C,Del!B:B,A637)</f>
        <v>0</v>
      </c>
      <c r="J637" s="106" t="str">
        <f t="shared" si="5"/>
        <v>1</v>
      </c>
      <c r="K637" s="106" t="str">
        <f t="shared" si="6"/>
        <v>1</v>
      </c>
      <c r="L637" s="106"/>
      <c r="M637" s="106" t="str">
        <f>SUMIFS(Ere!C:C,Ere!B:B,A637)</f>
        <v>0</v>
      </c>
      <c r="N637" s="106" t="str">
        <f t="shared" si="7"/>
        <v>1</v>
      </c>
      <c r="O637" s="107" t="str">
        <f t="array" ref="O637">XLOOKUP(A637,Data!F:F,Data!O:O)</f>
        <v>  1.86 </v>
      </c>
      <c r="P637" s="107" t="str">
        <f t="shared" si="8"/>
        <v>  4.64 </v>
      </c>
      <c r="Q637" s="27"/>
    </row>
    <row r="638" ht="15.75" customHeight="1">
      <c r="A638" s="105" t="s">
        <v>882</v>
      </c>
      <c r="B638" s="19" t="str">
        <f t="array" ref="B638">XLOOKUP(A638,Data!F:F,Data!G:G)</f>
        <v>A1D</v>
      </c>
      <c r="C638" s="19" t="str">
        <f t="shared" si="3"/>
        <v>A051</v>
      </c>
      <c r="D638" s="19" t="str">
        <f t="array" ref="D638">XLOOKUP(A638,Data!F:F,Data!C:C)</f>
        <v/>
      </c>
      <c r="E638" s="19" t="str">
        <f t="array" ref="E638">XLOOKUP(A638,Data!F:F,Data!H:H)</f>
        <v>BW</v>
      </c>
      <c r="F638" s="106" t="str">
        <f>SUMIFS(Data!J:J,Data!F:F,A638)</f>
        <v>1</v>
      </c>
      <c r="G638" s="106" t="str">
        <f>SUMIFS(Cast!C:C,CastElements,A638)</f>
        <v>0</v>
      </c>
      <c r="H638" s="106" t="str">
        <f t="shared" si="4"/>
        <v>1</v>
      </c>
      <c r="I638" s="106" t="str">
        <f>SUMIFS(Del!C:C,Del!B:B,A638)</f>
        <v>0</v>
      </c>
      <c r="J638" s="106" t="str">
        <f t="shared" si="5"/>
        <v>1</v>
      </c>
      <c r="K638" s="106" t="str">
        <f t="shared" si="6"/>
        <v>0</v>
      </c>
      <c r="L638" s="106"/>
      <c r="M638" s="106" t="str">
        <f>SUMIFS(Ere!C:C,Ere!B:B,A638)</f>
        <v>0</v>
      </c>
      <c r="N638" s="106" t="str">
        <f t="shared" si="7"/>
        <v>1</v>
      </c>
      <c r="O638" s="107" t="str">
        <f t="array" ref="O638">XLOOKUP(A638,Data!F:F,Data!O:O)</f>
        <v>  1.56 </v>
      </c>
      <c r="P638" s="107" t="str">
        <f t="shared" si="8"/>
        <v>  3.90 </v>
      </c>
      <c r="Q638" s="27"/>
    </row>
    <row r="639" ht="15.75" customHeight="1">
      <c r="A639" s="105" t="s">
        <v>883</v>
      </c>
      <c r="B639" s="19" t="str">
        <f t="array" ref="B639">XLOOKUP(A639,Data!F:F,Data!G:G)</f>
        <v>A1D</v>
      </c>
      <c r="C639" s="19" t="str">
        <f t="shared" si="3"/>
        <v>A052</v>
      </c>
      <c r="D639" s="19" t="str">
        <f t="array" ref="D639">XLOOKUP(A639,Data!F:F,Data!C:C)</f>
        <v/>
      </c>
      <c r="E639" s="19" t="str">
        <f t="array" ref="E639">XLOOKUP(A639,Data!F:F,Data!H:H)</f>
        <v>BW</v>
      </c>
      <c r="F639" s="106" t="str">
        <f>SUMIFS(Data!J:J,Data!F:F,A639)</f>
        <v>1</v>
      </c>
      <c r="G639" s="106" t="str">
        <f>SUMIFS(Cast!C:C,CastElements,A639)</f>
        <v>0</v>
      </c>
      <c r="H639" s="106" t="str">
        <f t="shared" si="4"/>
        <v>1</v>
      </c>
      <c r="I639" s="106" t="str">
        <f>SUMIFS(Del!C:C,Del!B:B,A639)</f>
        <v>0</v>
      </c>
      <c r="J639" s="106" t="str">
        <f t="shared" si="5"/>
        <v>1</v>
      </c>
      <c r="K639" s="106" t="str">
        <f t="shared" si="6"/>
        <v>0</v>
      </c>
      <c r="L639" s="106"/>
      <c r="M639" s="106" t="str">
        <f>SUMIFS(Ere!C:C,Ere!B:B,A639)</f>
        <v>0</v>
      </c>
      <c r="N639" s="106" t="str">
        <f t="shared" si="7"/>
        <v>1</v>
      </c>
      <c r="O639" s="107" t="str">
        <f t="array" ref="O639">XLOOKUP(A639,Data!F:F,Data!O:O)</f>
        <v>  0.32 </v>
      </c>
      <c r="P639" s="107" t="str">
        <f t="shared" si="8"/>
        <v>  0.79 </v>
      </c>
      <c r="Q639" s="27"/>
    </row>
    <row r="640" ht="15.75" customHeight="1">
      <c r="A640" s="105" t="s">
        <v>884</v>
      </c>
      <c r="B640" s="19" t="str">
        <f t="array" ref="B640">XLOOKUP(A640,Data!F:F,Data!G:G)</f>
        <v>A1D</v>
      </c>
      <c r="C640" s="19" t="str">
        <f t="shared" si="3"/>
        <v>A052</v>
      </c>
      <c r="D640" s="19" t="str">
        <f t="array" ref="D640">XLOOKUP(A640,Data!F:F,Data!C:C)</f>
        <v/>
      </c>
      <c r="E640" s="19" t="str">
        <f t="array" ref="E640">XLOOKUP(A640,Data!F:F,Data!H:H)</f>
        <v>CF</v>
      </c>
      <c r="F640" s="106" t="str">
        <f>SUMIFS(Data!J:J,Data!F:F,A640)</f>
        <v>1</v>
      </c>
      <c r="G640" s="106" t="str">
        <f>SUMIFS(Cast!C:C,CastElements,A640)</f>
        <v>0</v>
      </c>
      <c r="H640" s="106" t="str">
        <f t="shared" si="4"/>
        <v>1</v>
      </c>
      <c r="I640" s="106" t="str">
        <f>SUMIFS(Del!C:C,Del!B:B,A640)</f>
        <v>0</v>
      </c>
      <c r="J640" s="106" t="str">
        <f t="shared" si="5"/>
        <v>1</v>
      </c>
      <c r="K640" s="106" t="str">
        <f t="shared" si="6"/>
        <v>0</v>
      </c>
      <c r="L640" s="106"/>
      <c r="M640" s="106" t="str">
        <f>SUMIFS(Ere!C:C,Ere!B:B,A640)</f>
        <v>0</v>
      </c>
      <c r="N640" s="106" t="str">
        <f t="shared" si="7"/>
        <v>1</v>
      </c>
      <c r="O640" s="107" t="str">
        <f t="array" ref="O640">XLOOKUP(A640,Data!F:F,Data!O:O)</f>
        <v>  0.43 </v>
      </c>
      <c r="P640" s="107" t="str">
        <f t="shared" si="8"/>
        <v>  1.06 </v>
      </c>
      <c r="Q640" s="27"/>
    </row>
    <row r="641" ht="15.75" customHeight="1">
      <c r="A641" s="105" t="s">
        <v>885</v>
      </c>
      <c r="B641" s="19" t="str">
        <f t="array" ref="B641">XLOOKUP(A641,Data!F:F,Data!G:G)</f>
        <v>A1D</v>
      </c>
      <c r="C641" s="19" t="str">
        <f t="shared" si="3"/>
        <v>A052</v>
      </c>
      <c r="D641" s="19" t="str">
        <f t="array" ref="D641">XLOOKUP(A641,Data!F:F,Data!C:C)</f>
        <v>EXT</v>
      </c>
      <c r="E641" s="19" t="str">
        <f t="array" ref="E641">XLOOKUP(A641,Data!F:F,Data!H:H)</f>
        <v>BW</v>
      </c>
      <c r="F641" s="106" t="str">
        <f>SUMIFS(Data!J:J,Data!F:F,A641)</f>
        <v>1</v>
      </c>
      <c r="G641" s="106" t="str">
        <f>SUMIFS(Cast!C:C,CastElements,A641)</f>
        <v>0</v>
      </c>
      <c r="H641" s="106" t="str">
        <f t="shared" si="4"/>
        <v>1</v>
      </c>
      <c r="I641" s="106" t="str">
        <f>SUMIFS(Del!C:C,Del!B:B,A641)</f>
        <v>0</v>
      </c>
      <c r="J641" s="106" t="str">
        <f t="shared" si="5"/>
        <v>1</v>
      </c>
      <c r="K641" s="106" t="str">
        <f t="shared" si="6"/>
        <v>0</v>
      </c>
      <c r="L641" s="106"/>
      <c r="M641" s="106" t="str">
        <f>SUMIFS(Ere!C:C,Ere!B:B,A641)</f>
        <v>0</v>
      </c>
      <c r="N641" s="106" t="str">
        <f t="shared" si="7"/>
        <v>1</v>
      </c>
      <c r="O641" s="107" t="str">
        <f t="array" ref="O641">XLOOKUP(A641,Data!F:F,Data!O:O)</f>
        <v>  0.97 </v>
      </c>
      <c r="P641" s="107" t="str">
        <f t="shared" si="8"/>
        <v>  2.42 </v>
      </c>
      <c r="Q641" s="27"/>
    </row>
    <row r="642" ht="15.75" customHeight="1">
      <c r="A642" s="105" t="s">
        <v>886</v>
      </c>
      <c r="B642" s="19" t="str">
        <f t="array" ref="B642">XLOOKUP(A642,Data!F:F,Data!G:G)</f>
        <v>A1D</v>
      </c>
      <c r="C642" s="19" t="str">
        <f t="shared" si="3"/>
        <v>A052</v>
      </c>
      <c r="D642" s="19" t="str">
        <f t="array" ref="D642">XLOOKUP(A642,Data!F:F,Data!C:C)</f>
        <v>EXT</v>
      </c>
      <c r="E642" s="19" t="str">
        <f t="array" ref="E642">XLOOKUP(A642,Data!F:F,Data!H:H)</f>
        <v>BW</v>
      </c>
      <c r="F642" s="106" t="str">
        <f>SUMIFS(Data!J:J,Data!F:F,A642)</f>
        <v>1</v>
      </c>
      <c r="G642" s="106" t="str">
        <f>SUMIFS(Cast!C:C,CastElements,A642)</f>
        <v>0</v>
      </c>
      <c r="H642" s="106" t="str">
        <f t="shared" si="4"/>
        <v>1</v>
      </c>
      <c r="I642" s="106" t="str">
        <f>SUMIFS(Del!C:C,Del!B:B,A642)</f>
        <v>0</v>
      </c>
      <c r="J642" s="106" t="str">
        <f t="shared" si="5"/>
        <v>1</v>
      </c>
      <c r="K642" s="106" t="str">
        <f t="shared" si="6"/>
        <v>0</v>
      </c>
      <c r="L642" s="106"/>
      <c r="M642" s="106" t="str">
        <f>SUMIFS(Ere!C:C,Ere!B:B,A642)</f>
        <v>0</v>
      </c>
      <c r="N642" s="106" t="str">
        <f t="shared" si="7"/>
        <v>1</v>
      </c>
      <c r="O642" s="107" t="str">
        <f t="array" ref="O642">XLOOKUP(A642,Data!F:F,Data!O:O)</f>
        <v>  0.90 </v>
      </c>
      <c r="P642" s="107" t="str">
        <f t="shared" si="8"/>
        <v>  2.24 </v>
      </c>
      <c r="Q642" s="27"/>
    </row>
    <row r="643" ht="15.75" customHeight="1">
      <c r="A643" s="105" t="s">
        <v>887</v>
      </c>
      <c r="B643" s="19" t="str">
        <f t="array" ref="B643">XLOOKUP(A643,Data!F:F,Data!G:G)</f>
        <v>A1D</v>
      </c>
      <c r="C643" s="19" t="str">
        <f t="shared" si="3"/>
        <v>A052</v>
      </c>
      <c r="D643" s="19" t="str">
        <f t="array" ref="D643">XLOOKUP(A643,Data!F:F,Data!C:C)</f>
        <v>EXT</v>
      </c>
      <c r="E643" s="19" t="str">
        <f t="array" ref="E643">XLOOKUP(A643,Data!F:F,Data!H:H)</f>
        <v>BW</v>
      </c>
      <c r="F643" s="106" t="str">
        <f>SUMIFS(Data!J:J,Data!F:F,A643)</f>
        <v>1</v>
      </c>
      <c r="G643" s="106" t="str">
        <f>SUMIFS(Cast!C:C,CastElements,A643)</f>
        <v>0</v>
      </c>
      <c r="H643" s="106" t="str">
        <f t="shared" si="4"/>
        <v>1</v>
      </c>
      <c r="I643" s="106" t="str">
        <f>SUMIFS(Del!C:C,Del!B:B,A643)</f>
        <v>0</v>
      </c>
      <c r="J643" s="106" t="str">
        <f t="shared" si="5"/>
        <v>1</v>
      </c>
      <c r="K643" s="106" t="str">
        <f t="shared" si="6"/>
        <v>0</v>
      </c>
      <c r="L643" s="106"/>
      <c r="M643" s="106" t="str">
        <f>SUMIFS(Ere!C:C,Ere!B:B,A643)</f>
        <v>0</v>
      </c>
      <c r="N643" s="106" t="str">
        <f t="shared" si="7"/>
        <v>1</v>
      </c>
      <c r="O643" s="107" t="str">
        <f t="array" ref="O643">XLOOKUP(A643,Data!F:F,Data!O:O)</f>
        <v>  0.92 </v>
      </c>
      <c r="P643" s="107" t="str">
        <f t="shared" si="8"/>
        <v>  2.29 </v>
      </c>
      <c r="Q643" s="27"/>
    </row>
    <row r="644" ht="15.75" customHeight="1">
      <c r="A644" s="105" t="s">
        <v>888</v>
      </c>
      <c r="B644" s="19" t="str">
        <f t="array" ref="B644">XLOOKUP(A644,Data!F:F,Data!G:G)</f>
        <v>A1D</v>
      </c>
      <c r="C644" s="19" t="str">
        <f t="shared" si="3"/>
        <v>A052</v>
      </c>
      <c r="D644" s="19" t="str">
        <f t="array" ref="D644">XLOOKUP(A644,Data!F:F,Data!C:C)</f>
        <v/>
      </c>
      <c r="E644" s="19" t="str">
        <f t="array" ref="E644">XLOOKUP(A644,Data!F:F,Data!H:H)</f>
        <v>BW</v>
      </c>
      <c r="F644" s="106" t="str">
        <f>SUMIFS(Data!J:J,Data!F:F,A644)</f>
        <v>1</v>
      </c>
      <c r="G644" s="106" t="str">
        <f>SUMIFS(Cast!C:C,CastElements,A644)</f>
        <v>1</v>
      </c>
      <c r="H644" s="106" t="str">
        <f t="shared" si="4"/>
        <v>0</v>
      </c>
      <c r="I644" s="106" t="str">
        <f>SUMIFS(Del!C:C,Del!B:B,A644)</f>
        <v>0</v>
      </c>
      <c r="J644" s="106" t="str">
        <f t="shared" si="5"/>
        <v>1</v>
      </c>
      <c r="K644" s="106" t="str">
        <f t="shared" si="6"/>
        <v>1</v>
      </c>
      <c r="L644" s="106"/>
      <c r="M644" s="106" t="str">
        <f>SUMIFS(Ere!C:C,Ere!B:B,A644)</f>
        <v>0</v>
      </c>
      <c r="N644" s="106" t="str">
        <f t="shared" si="7"/>
        <v>1</v>
      </c>
      <c r="O644" s="107" t="str">
        <f t="array" ref="O644">XLOOKUP(A644,Data!F:F,Data!O:O)</f>
        <v>  1.82 </v>
      </c>
      <c r="P644" s="107" t="str">
        <f t="shared" si="8"/>
        <v>  4.55 </v>
      </c>
      <c r="Q644" s="27"/>
    </row>
    <row r="645" ht="15.75" customHeight="1">
      <c r="A645" s="105" t="s">
        <v>889</v>
      </c>
      <c r="B645" s="19" t="str">
        <f t="array" ref="B645">XLOOKUP(A645,Data!F:F,Data!G:G)</f>
        <v>A1D</v>
      </c>
      <c r="C645" s="19" t="str">
        <f t="shared" si="3"/>
        <v>A052</v>
      </c>
      <c r="D645" s="19" t="str">
        <f t="array" ref="D645">XLOOKUP(A645,Data!F:F,Data!C:C)</f>
        <v/>
      </c>
      <c r="E645" s="19" t="str">
        <f t="array" ref="E645">XLOOKUP(A645,Data!F:F,Data!H:H)</f>
        <v>BW</v>
      </c>
      <c r="F645" s="106" t="str">
        <f>SUMIFS(Data!J:J,Data!F:F,A645)</f>
        <v>1</v>
      </c>
      <c r="G645" s="106" t="str">
        <f>SUMIFS(Cast!C:C,CastElements,A645)</f>
        <v>1</v>
      </c>
      <c r="H645" s="106" t="str">
        <f t="shared" si="4"/>
        <v>0</v>
      </c>
      <c r="I645" s="106" t="str">
        <f>SUMIFS(Del!C:C,Del!B:B,A645)</f>
        <v>0</v>
      </c>
      <c r="J645" s="106" t="str">
        <f t="shared" si="5"/>
        <v>1</v>
      </c>
      <c r="K645" s="106" t="str">
        <f t="shared" si="6"/>
        <v>1</v>
      </c>
      <c r="L645" s="106"/>
      <c r="M645" s="106" t="str">
        <f>SUMIFS(Ere!C:C,Ere!B:B,A645)</f>
        <v>0</v>
      </c>
      <c r="N645" s="106" t="str">
        <f t="shared" si="7"/>
        <v>1</v>
      </c>
      <c r="O645" s="107" t="str">
        <f t="array" ref="O645">XLOOKUP(A645,Data!F:F,Data!O:O)</f>
        <v>  1.84 </v>
      </c>
      <c r="P645" s="107" t="str">
        <f t="shared" si="8"/>
        <v>  4.61 </v>
      </c>
      <c r="Q645" s="27"/>
    </row>
    <row r="646" ht="15.75" customHeight="1">
      <c r="A646" s="105" t="s">
        <v>890</v>
      </c>
      <c r="B646" s="19" t="str">
        <f t="array" ref="B646">XLOOKUP(A646,Data!F:F,Data!G:G)</f>
        <v>A1D</v>
      </c>
      <c r="C646" s="19" t="str">
        <f t="shared" si="3"/>
        <v>A052</v>
      </c>
      <c r="D646" s="19" t="str">
        <f t="array" ref="D646">XLOOKUP(A646,Data!F:F,Data!C:C)</f>
        <v/>
      </c>
      <c r="E646" s="19" t="str">
        <f t="array" ref="E646">XLOOKUP(A646,Data!F:F,Data!H:H)</f>
        <v>BW</v>
      </c>
      <c r="F646" s="106" t="str">
        <f>SUMIFS(Data!J:J,Data!F:F,A646)</f>
        <v>1</v>
      </c>
      <c r="G646" s="106" t="str">
        <f>SUMIFS(Cast!C:C,CastElements,A646)</f>
        <v>1</v>
      </c>
      <c r="H646" s="106" t="str">
        <f t="shared" si="4"/>
        <v>0</v>
      </c>
      <c r="I646" s="106" t="str">
        <f>SUMIFS(Del!C:C,Del!B:B,A646)</f>
        <v>0</v>
      </c>
      <c r="J646" s="106" t="str">
        <f t="shared" si="5"/>
        <v>1</v>
      </c>
      <c r="K646" s="106" t="str">
        <f t="shared" si="6"/>
        <v>1</v>
      </c>
      <c r="L646" s="106"/>
      <c r="M646" s="106" t="str">
        <f>SUMIFS(Ere!C:C,Ere!B:B,A646)</f>
        <v>0</v>
      </c>
      <c r="N646" s="106" t="str">
        <f t="shared" si="7"/>
        <v>1</v>
      </c>
      <c r="O646" s="107" t="str">
        <f t="array" ref="O646">XLOOKUP(A646,Data!F:F,Data!O:O)</f>
        <v>  1.84 </v>
      </c>
      <c r="P646" s="107" t="str">
        <f t="shared" si="8"/>
        <v>  4.61 </v>
      </c>
      <c r="Q646" s="27"/>
    </row>
    <row r="647" ht="15.75" customHeight="1">
      <c r="A647" s="105" t="s">
        <v>891</v>
      </c>
      <c r="B647" s="19" t="str">
        <f t="array" ref="B647">XLOOKUP(A647,Data!F:F,Data!G:G)</f>
        <v>A1D</v>
      </c>
      <c r="C647" s="19" t="str">
        <f t="shared" si="3"/>
        <v>A052</v>
      </c>
      <c r="D647" s="19" t="str">
        <f t="array" ref="D647">XLOOKUP(A647,Data!F:F,Data!C:C)</f>
        <v/>
      </c>
      <c r="E647" s="19" t="str">
        <f t="array" ref="E647">XLOOKUP(A647,Data!F:F,Data!H:H)</f>
        <v>BW</v>
      </c>
      <c r="F647" s="106" t="str">
        <f>SUMIFS(Data!J:J,Data!F:F,A647)</f>
        <v>1</v>
      </c>
      <c r="G647" s="106" t="str">
        <f>SUMIFS(Cast!C:C,CastElements,A647)</f>
        <v>1</v>
      </c>
      <c r="H647" s="106" t="str">
        <f t="shared" si="4"/>
        <v>0</v>
      </c>
      <c r="I647" s="106" t="str">
        <f>SUMIFS(Del!C:C,Del!B:B,A647)</f>
        <v>0</v>
      </c>
      <c r="J647" s="106" t="str">
        <f t="shared" si="5"/>
        <v>1</v>
      </c>
      <c r="K647" s="106" t="str">
        <f t="shared" si="6"/>
        <v>1</v>
      </c>
      <c r="L647" s="106"/>
      <c r="M647" s="106" t="str">
        <f>SUMIFS(Ere!C:C,Ere!B:B,A647)</f>
        <v>0</v>
      </c>
      <c r="N647" s="106" t="str">
        <f t="shared" si="7"/>
        <v>1</v>
      </c>
      <c r="O647" s="107" t="str">
        <f t="array" ref="O647">XLOOKUP(A647,Data!F:F,Data!O:O)</f>
        <v>  1.84 </v>
      </c>
      <c r="P647" s="107" t="str">
        <f t="shared" si="8"/>
        <v>  4.61 </v>
      </c>
      <c r="Q647" s="27"/>
    </row>
    <row r="648" ht="15.75" customHeight="1">
      <c r="A648" s="105" t="s">
        <v>892</v>
      </c>
      <c r="B648" s="19" t="str">
        <f t="array" ref="B648">XLOOKUP(A648,Data!F:F,Data!G:G)</f>
        <v>A1D</v>
      </c>
      <c r="C648" s="19" t="str">
        <f t="shared" si="3"/>
        <v>A052</v>
      </c>
      <c r="D648" s="19" t="str">
        <f t="array" ref="D648">XLOOKUP(A648,Data!F:F,Data!C:C)</f>
        <v/>
      </c>
      <c r="E648" s="19" t="str">
        <f t="array" ref="E648">XLOOKUP(A648,Data!F:F,Data!H:H)</f>
        <v>BW</v>
      </c>
      <c r="F648" s="106" t="str">
        <f>SUMIFS(Data!J:J,Data!F:F,A648)</f>
        <v>1</v>
      </c>
      <c r="G648" s="106" t="str">
        <f>SUMIFS(Cast!C:C,CastElements,A648)</f>
        <v>0</v>
      </c>
      <c r="H648" s="106" t="str">
        <f t="shared" si="4"/>
        <v>1</v>
      </c>
      <c r="I648" s="106" t="str">
        <f>SUMIFS(Del!C:C,Del!B:B,A648)</f>
        <v>0</v>
      </c>
      <c r="J648" s="106" t="str">
        <f t="shared" si="5"/>
        <v>1</v>
      </c>
      <c r="K648" s="106" t="str">
        <f t="shared" si="6"/>
        <v>0</v>
      </c>
      <c r="L648" s="106"/>
      <c r="M648" s="106" t="str">
        <f>SUMIFS(Ere!C:C,Ere!B:B,A648)</f>
        <v>0</v>
      </c>
      <c r="N648" s="106" t="str">
        <f t="shared" si="7"/>
        <v>1</v>
      </c>
      <c r="O648" s="107" t="str">
        <f t="array" ref="O648">XLOOKUP(A648,Data!F:F,Data!O:O)</f>
        <v>  1.55 </v>
      </c>
      <c r="P648" s="107" t="str">
        <f t="shared" si="8"/>
        <v>  3.86 </v>
      </c>
      <c r="Q648" s="27"/>
    </row>
    <row r="649" ht="15.75" customHeight="1">
      <c r="A649" s="105" t="s">
        <v>893</v>
      </c>
      <c r="B649" s="19" t="str">
        <f t="array" ref="B649">XLOOKUP(A649,Data!F:F,Data!G:G)</f>
        <v>A1D</v>
      </c>
      <c r="C649" s="19" t="str">
        <f t="shared" si="3"/>
        <v>A052</v>
      </c>
      <c r="D649" s="19" t="str">
        <f t="array" ref="D649">XLOOKUP(A649,Data!F:F,Data!C:C)</f>
        <v/>
      </c>
      <c r="E649" s="19" t="str">
        <f t="array" ref="E649">XLOOKUP(A649,Data!F:F,Data!H:H)</f>
        <v>BW</v>
      </c>
      <c r="F649" s="106" t="str">
        <f>SUMIFS(Data!J:J,Data!F:F,A649)</f>
        <v>1</v>
      </c>
      <c r="G649" s="106" t="str">
        <f>SUMIFS(Cast!C:C,CastElements,A649)</f>
        <v>1</v>
      </c>
      <c r="H649" s="106" t="str">
        <f t="shared" si="4"/>
        <v>0</v>
      </c>
      <c r="I649" s="106" t="str">
        <f>SUMIFS(Del!C:C,Del!B:B,A649)</f>
        <v>0</v>
      </c>
      <c r="J649" s="106" t="str">
        <f t="shared" si="5"/>
        <v>1</v>
      </c>
      <c r="K649" s="106" t="str">
        <f t="shared" si="6"/>
        <v>1</v>
      </c>
      <c r="L649" s="106"/>
      <c r="M649" s="106" t="str">
        <f>SUMIFS(Ere!C:C,Ere!B:B,A649)</f>
        <v>0</v>
      </c>
      <c r="N649" s="106" t="str">
        <f t="shared" si="7"/>
        <v>1</v>
      </c>
      <c r="O649" s="107" t="str">
        <f t="array" ref="O649">XLOOKUP(A649,Data!F:F,Data!O:O)</f>
        <v>  1.95 </v>
      </c>
      <c r="P649" s="107" t="str">
        <f t="shared" si="8"/>
        <v>  4.86 </v>
      </c>
      <c r="Q649" s="27"/>
    </row>
    <row r="650" ht="15.75" customHeight="1">
      <c r="A650" s="105" t="s">
        <v>894</v>
      </c>
      <c r="B650" s="19" t="str">
        <f t="array" ref="B650">XLOOKUP(A650,Data!F:F,Data!G:G)</f>
        <v>A1D</v>
      </c>
      <c r="C650" s="19" t="str">
        <f t="shared" si="3"/>
        <v>A052</v>
      </c>
      <c r="D650" s="19" t="str">
        <f t="array" ref="D650">XLOOKUP(A650,Data!F:F,Data!C:C)</f>
        <v/>
      </c>
      <c r="E650" s="19" t="str">
        <f t="array" ref="E650">XLOOKUP(A650,Data!F:F,Data!H:H)</f>
        <v>BW</v>
      </c>
      <c r="F650" s="106" t="str">
        <f>SUMIFS(Data!J:J,Data!F:F,A650)</f>
        <v>1</v>
      </c>
      <c r="G650" s="106" t="str">
        <f>SUMIFS(Cast!C:C,CastElements,A650)</f>
        <v>1</v>
      </c>
      <c r="H650" s="106" t="str">
        <f t="shared" si="4"/>
        <v>0</v>
      </c>
      <c r="I650" s="106" t="str">
        <f>SUMIFS(Del!C:C,Del!B:B,A650)</f>
        <v>0</v>
      </c>
      <c r="J650" s="106" t="str">
        <f t="shared" si="5"/>
        <v>1</v>
      </c>
      <c r="K650" s="106" t="str">
        <f t="shared" si="6"/>
        <v>1</v>
      </c>
      <c r="L650" s="106"/>
      <c r="M650" s="106" t="str">
        <f>SUMIFS(Ere!C:C,Ere!B:B,A650)</f>
        <v>0</v>
      </c>
      <c r="N650" s="106" t="str">
        <f t="shared" si="7"/>
        <v>1</v>
      </c>
      <c r="O650" s="107" t="str">
        <f t="array" ref="O650">XLOOKUP(A650,Data!F:F,Data!O:O)</f>
        <v>  1.86 </v>
      </c>
      <c r="P650" s="107" t="str">
        <f t="shared" si="8"/>
        <v>  4.64 </v>
      </c>
      <c r="Q650" s="27"/>
    </row>
    <row r="651" ht="15.75" customHeight="1">
      <c r="A651" s="105" t="s">
        <v>895</v>
      </c>
      <c r="B651" s="19" t="str">
        <f t="array" ref="B651">XLOOKUP(A651,Data!F:F,Data!G:G)</f>
        <v>A1D</v>
      </c>
      <c r="C651" s="19" t="str">
        <f t="shared" si="3"/>
        <v>A052</v>
      </c>
      <c r="D651" s="19" t="str">
        <f t="array" ref="D651">XLOOKUP(A651,Data!F:F,Data!C:C)</f>
        <v/>
      </c>
      <c r="E651" s="19" t="str">
        <f t="array" ref="E651">XLOOKUP(A651,Data!F:F,Data!H:H)</f>
        <v>BW</v>
      </c>
      <c r="F651" s="106" t="str">
        <f>SUMIFS(Data!J:J,Data!F:F,A651)</f>
        <v>1</v>
      </c>
      <c r="G651" s="106" t="str">
        <f>SUMIFS(Cast!C:C,CastElements,A651)</f>
        <v>1</v>
      </c>
      <c r="H651" s="106" t="str">
        <f t="shared" si="4"/>
        <v>0</v>
      </c>
      <c r="I651" s="106" t="str">
        <f>SUMIFS(Del!C:C,Del!B:B,A651)</f>
        <v>0</v>
      </c>
      <c r="J651" s="106" t="str">
        <f t="shared" si="5"/>
        <v>1</v>
      </c>
      <c r="K651" s="106" t="str">
        <f t="shared" si="6"/>
        <v>1</v>
      </c>
      <c r="L651" s="106"/>
      <c r="M651" s="106" t="str">
        <f>SUMIFS(Ere!C:C,Ere!B:B,A651)</f>
        <v>0</v>
      </c>
      <c r="N651" s="106" t="str">
        <f t="shared" si="7"/>
        <v>1</v>
      </c>
      <c r="O651" s="107" t="str">
        <f t="array" ref="O651">XLOOKUP(A651,Data!F:F,Data!O:O)</f>
        <v>  1.86 </v>
      </c>
      <c r="P651" s="107" t="str">
        <f t="shared" si="8"/>
        <v>  4.64 </v>
      </c>
      <c r="Q651" s="27"/>
    </row>
    <row r="652" ht="15.75" customHeight="1">
      <c r="A652" s="105" t="s">
        <v>896</v>
      </c>
      <c r="B652" s="19" t="str">
        <f t="array" ref="B652">XLOOKUP(A652,Data!F:F,Data!G:G)</f>
        <v>A1D</v>
      </c>
      <c r="C652" s="19" t="str">
        <f t="shared" si="3"/>
        <v>A052</v>
      </c>
      <c r="D652" s="19" t="str">
        <f t="array" ref="D652">XLOOKUP(A652,Data!F:F,Data!C:C)</f>
        <v/>
      </c>
      <c r="E652" s="19" t="str">
        <f t="array" ref="E652">XLOOKUP(A652,Data!F:F,Data!H:H)</f>
        <v>BW</v>
      </c>
      <c r="F652" s="106" t="str">
        <f>SUMIFS(Data!J:J,Data!F:F,A652)</f>
        <v>1</v>
      </c>
      <c r="G652" s="106" t="str">
        <f>SUMIFS(Cast!C:C,CastElements,A652)</f>
        <v>1</v>
      </c>
      <c r="H652" s="106" t="str">
        <f t="shared" si="4"/>
        <v>0</v>
      </c>
      <c r="I652" s="106" t="str">
        <f>SUMIFS(Del!C:C,Del!B:B,A652)</f>
        <v>0</v>
      </c>
      <c r="J652" s="106" t="str">
        <f t="shared" si="5"/>
        <v>1</v>
      </c>
      <c r="K652" s="106" t="str">
        <f t="shared" si="6"/>
        <v>1</v>
      </c>
      <c r="L652" s="106"/>
      <c r="M652" s="106" t="str">
        <f>SUMIFS(Ere!C:C,Ere!B:B,A652)</f>
        <v>0</v>
      </c>
      <c r="N652" s="106" t="str">
        <f t="shared" si="7"/>
        <v>1</v>
      </c>
      <c r="O652" s="107" t="str">
        <f t="array" ref="O652">XLOOKUP(A652,Data!F:F,Data!O:O)</f>
        <v>  1.86 </v>
      </c>
      <c r="P652" s="107" t="str">
        <f t="shared" si="8"/>
        <v>  4.64 </v>
      </c>
      <c r="Q652" s="27"/>
    </row>
    <row r="653" ht="15.75" customHeight="1">
      <c r="A653" s="105" t="s">
        <v>897</v>
      </c>
      <c r="B653" s="19" t="str">
        <f t="array" ref="B653">XLOOKUP(A653,Data!F:F,Data!G:G)</f>
        <v>A1D</v>
      </c>
      <c r="C653" s="19" t="str">
        <f t="shared" si="3"/>
        <v>A052</v>
      </c>
      <c r="D653" s="19" t="str">
        <f t="array" ref="D653">XLOOKUP(A653,Data!F:F,Data!C:C)</f>
        <v/>
      </c>
      <c r="E653" s="19" t="str">
        <f t="array" ref="E653">XLOOKUP(A653,Data!F:F,Data!H:H)</f>
        <v>BW</v>
      </c>
      <c r="F653" s="106" t="str">
        <f>SUMIFS(Data!J:J,Data!F:F,A653)</f>
        <v>1</v>
      </c>
      <c r="G653" s="106" t="str">
        <f>SUMIFS(Cast!C:C,CastElements,A653)</f>
        <v>0</v>
      </c>
      <c r="H653" s="106" t="str">
        <f t="shared" si="4"/>
        <v>1</v>
      </c>
      <c r="I653" s="106" t="str">
        <f>SUMIFS(Del!C:C,Del!B:B,A653)</f>
        <v>0</v>
      </c>
      <c r="J653" s="106" t="str">
        <f t="shared" si="5"/>
        <v>1</v>
      </c>
      <c r="K653" s="106" t="str">
        <f t="shared" si="6"/>
        <v>0</v>
      </c>
      <c r="L653" s="106"/>
      <c r="M653" s="106" t="str">
        <f>SUMIFS(Ere!C:C,Ere!B:B,A653)</f>
        <v>0</v>
      </c>
      <c r="N653" s="106" t="str">
        <f t="shared" si="7"/>
        <v>1</v>
      </c>
      <c r="O653" s="107" t="str">
        <f t="array" ref="O653">XLOOKUP(A653,Data!F:F,Data!O:O)</f>
        <v>  1.56 </v>
      </c>
      <c r="P653" s="107" t="str">
        <f t="shared" si="8"/>
        <v>  3.90 </v>
      </c>
      <c r="Q653" s="27"/>
    </row>
    <row r="654" ht="15.75" customHeight="1">
      <c r="A654" s="105" t="s">
        <v>898</v>
      </c>
      <c r="B654" s="19" t="str">
        <f t="array" ref="B654">XLOOKUP(A654,Data!F:F,Data!G:G)</f>
        <v>A1D</v>
      </c>
      <c r="C654" s="19" t="str">
        <f t="shared" si="3"/>
        <v>A052</v>
      </c>
      <c r="D654" s="19" t="str">
        <f t="array" ref="D654">XLOOKUP(A654,Data!F:F,Data!C:C)</f>
        <v>EXT</v>
      </c>
      <c r="E654" s="19" t="str">
        <f t="array" ref="E654">XLOOKUP(A654,Data!F:F,Data!H:H)</f>
        <v>BW</v>
      </c>
      <c r="F654" s="106" t="str">
        <f>SUMIFS(Data!J:J,Data!F:F,A654)</f>
        <v>1</v>
      </c>
      <c r="G654" s="106" t="str">
        <f>SUMIFS(Cast!C:C,CastElements,A654)</f>
        <v>0</v>
      </c>
      <c r="H654" s="106" t="str">
        <f t="shared" si="4"/>
        <v>1</v>
      </c>
      <c r="I654" s="106" t="str">
        <f>SUMIFS(Del!C:C,Del!B:B,A654)</f>
        <v>0</v>
      </c>
      <c r="J654" s="106" t="str">
        <f t="shared" si="5"/>
        <v>1</v>
      </c>
      <c r="K654" s="106" t="str">
        <f t="shared" si="6"/>
        <v>0</v>
      </c>
      <c r="L654" s="106"/>
      <c r="M654" s="106" t="str">
        <f>SUMIFS(Ere!C:C,Ere!B:B,A654)</f>
        <v>0</v>
      </c>
      <c r="N654" s="106" t="str">
        <f t="shared" si="7"/>
        <v>1</v>
      </c>
      <c r="O654" s="107" t="str">
        <f t="array" ref="O654">XLOOKUP(A654,Data!F:F,Data!O:O)</f>
        <v>  0.90 </v>
      </c>
      <c r="P654" s="107" t="str">
        <f t="shared" si="8"/>
        <v>  2.24 </v>
      </c>
      <c r="Q654" s="27"/>
    </row>
    <row r="655" ht="15.75" customHeight="1">
      <c r="A655" s="105" t="s">
        <v>899</v>
      </c>
      <c r="B655" s="19" t="str">
        <f t="array" ref="B655">XLOOKUP(A655,Data!F:F,Data!G:G)</f>
        <v>A1D</v>
      </c>
      <c r="C655" s="19" t="str">
        <f t="shared" si="3"/>
        <v>A053</v>
      </c>
      <c r="D655" s="19" t="str">
        <f t="array" ref="D655">XLOOKUP(A655,Data!F:F,Data!C:C)</f>
        <v/>
      </c>
      <c r="E655" s="19" t="str">
        <f t="array" ref="E655">XLOOKUP(A655,Data!F:F,Data!H:H)</f>
        <v>BW</v>
      </c>
      <c r="F655" s="106" t="str">
        <f>SUMIFS(Data!J:J,Data!F:F,A655)</f>
        <v>1</v>
      </c>
      <c r="G655" s="106" t="str">
        <f>SUMIFS(Cast!C:C,CastElements,A655)</f>
        <v>0</v>
      </c>
      <c r="H655" s="106" t="str">
        <f t="shared" si="4"/>
        <v>1</v>
      </c>
      <c r="I655" s="106" t="str">
        <f>SUMIFS(Del!C:C,Del!B:B,A655)</f>
        <v>0</v>
      </c>
      <c r="J655" s="106" t="str">
        <f t="shared" si="5"/>
        <v>1</v>
      </c>
      <c r="K655" s="106" t="str">
        <f t="shared" si="6"/>
        <v>0</v>
      </c>
      <c r="L655" s="106"/>
      <c r="M655" s="106" t="str">
        <f>SUMIFS(Ere!C:C,Ere!B:B,A655)</f>
        <v>0</v>
      </c>
      <c r="N655" s="106" t="str">
        <f t="shared" si="7"/>
        <v>1</v>
      </c>
      <c r="O655" s="107" t="str">
        <f t="array" ref="O655">XLOOKUP(A655,Data!F:F,Data!O:O)</f>
        <v>  0.32 </v>
      </c>
      <c r="P655" s="107" t="str">
        <f t="shared" si="8"/>
        <v>  0.80 </v>
      </c>
      <c r="Q655" s="27"/>
    </row>
    <row r="656" ht="15.75" customHeight="1">
      <c r="A656" s="105" t="s">
        <v>900</v>
      </c>
      <c r="B656" s="19" t="str">
        <f t="array" ref="B656">XLOOKUP(A656,Data!F:F,Data!G:G)</f>
        <v>A1D</v>
      </c>
      <c r="C656" s="19" t="str">
        <f t="shared" si="3"/>
        <v>A053</v>
      </c>
      <c r="D656" s="19" t="str">
        <f t="array" ref="D656">XLOOKUP(A656,Data!F:F,Data!C:C)</f>
        <v/>
      </c>
      <c r="E656" s="19" t="str">
        <f t="array" ref="E656">XLOOKUP(A656,Data!F:F,Data!H:H)</f>
        <v>CF</v>
      </c>
      <c r="F656" s="106" t="str">
        <f>SUMIFS(Data!J:J,Data!F:F,A656)</f>
        <v>1</v>
      </c>
      <c r="G656" s="106" t="str">
        <f>SUMIFS(Cast!C:C,CastElements,A656)</f>
        <v>0</v>
      </c>
      <c r="H656" s="106" t="str">
        <f t="shared" si="4"/>
        <v>1</v>
      </c>
      <c r="I656" s="106" t="str">
        <f>SUMIFS(Del!C:C,Del!B:B,A656)</f>
        <v>0</v>
      </c>
      <c r="J656" s="106" t="str">
        <f t="shared" si="5"/>
        <v>1</v>
      </c>
      <c r="K656" s="106" t="str">
        <f t="shared" si="6"/>
        <v>0</v>
      </c>
      <c r="L656" s="106"/>
      <c r="M656" s="106" t="str">
        <f>SUMIFS(Ere!C:C,Ere!B:B,A656)</f>
        <v>0</v>
      </c>
      <c r="N656" s="106" t="str">
        <f t="shared" si="7"/>
        <v>1</v>
      </c>
      <c r="O656" s="107" t="str">
        <f t="array" ref="O656">XLOOKUP(A656,Data!F:F,Data!O:O)</f>
        <v>  0.43 </v>
      </c>
      <c r="P656" s="107" t="str">
        <f t="shared" si="8"/>
        <v>  1.07 </v>
      </c>
      <c r="Q656" s="27"/>
    </row>
    <row r="657" ht="15.75" customHeight="1">
      <c r="A657" s="105" t="s">
        <v>901</v>
      </c>
      <c r="B657" s="19" t="str">
        <f t="array" ref="B657">XLOOKUP(A657,Data!F:F,Data!G:G)</f>
        <v>A1D</v>
      </c>
      <c r="C657" s="19" t="str">
        <f t="shared" si="3"/>
        <v>A053</v>
      </c>
      <c r="D657" s="19" t="str">
        <f t="array" ref="D657">XLOOKUP(A657,Data!F:F,Data!C:C)</f>
        <v>EXT</v>
      </c>
      <c r="E657" s="19" t="str">
        <f t="array" ref="E657">XLOOKUP(A657,Data!F:F,Data!H:H)</f>
        <v>BW</v>
      </c>
      <c r="F657" s="106" t="str">
        <f>SUMIFS(Data!J:J,Data!F:F,A657)</f>
        <v>1</v>
      </c>
      <c r="G657" s="106" t="str">
        <f>SUMIFS(Cast!C:C,CastElements,A657)</f>
        <v>0</v>
      </c>
      <c r="H657" s="106" t="str">
        <f t="shared" si="4"/>
        <v>1</v>
      </c>
      <c r="I657" s="106" t="str">
        <f>SUMIFS(Del!C:C,Del!B:B,A657)</f>
        <v>0</v>
      </c>
      <c r="J657" s="106" t="str">
        <f t="shared" si="5"/>
        <v>1</v>
      </c>
      <c r="K657" s="106" t="str">
        <f t="shared" si="6"/>
        <v>0</v>
      </c>
      <c r="L657" s="106"/>
      <c r="M657" s="106" t="str">
        <f>SUMIFS(Ere!C:C,Ere!B:B,A657)</f>
        <v>0</v>
      </c>
      <c r="N657" s="106" t="str">
        <f t="shared" si="7"/>
        <v>1</v>
      </c>
      <c r="O657" s="107" t="str">
        <f t="array" ref="O657">XLOOKUP(A657,Data!F:F,Data!O:O)</f>
        <v>  2.02 </v>
      </c>
      <c r="P657" s="107" t="str">
        <f t="shared" si="8"/>
        <v>  5.06 </v>
      </c>
      <c r="Q657" s="27"/>
    </row>
    <row r="658" ht="15.75" customHeight="1">
      <c r="A658" s="105" t="s">
        <v>902</v>
      </c>
      <c r="B658" s="19" t="str">
        <f t="array" ref="B658">XLOOKUP(A658,Data!F:F,Data!G:G)</f>
        <v>A1D</v>
      </c>
      <c r="C658" s="19" t="str">
        <f t="shared" si="3"/>
        <v>A053</v>
      </c>
      <c r="D658" s="19" t="str">
        <f t="array" ref="D658">XLOOKUP(A658,Data!F:F,Data!C:C)</f>
        <v>EXT</v>
      </c>
      <c r="E658" s="19" t="str">
        <f t="array" ref="E658">XLOOKUP(A658,Data!F:F,Data!H:H)</f>
        <v>BW</v>
      </c>
      <c r="F658" s="106" t="str">
        <f>SUMIFS(Data!J:J,Data!F:F,A658)</f>
        <v>1</v>
      </c>
      <c r="G658" s="106" t="str">
        <f>SUMIFS(Cast!C:C,CastElements,A658)</f>
        <v>0</v>
      </c>
      <c r="H658" s="106" t="str">
        <f t="shared" si="4"/>
        <v>1</v>
      </c>
      <c r="I658" s="106" t="str">
        <f>SUMIFS(Del!C:C,Del!B:B,A658)</f>
        <v>0</v>
      </c>
      <c r="J658" s="106" t="str">
        <f t="shared" si="5"/>
        <v>1</v>
      </c>
      <c r="K658" s="106" t="str">
        <f t="shared" si="6"/>
        <v>0</v>
      </c>
      <c r="L658" s="106"/>
      <c r="M658" s="106" t="str">
        <f>SUMIFS(Ere!C:C,Ere!B:B,A658)</f>
        <v>0</v>
      </c>
      <c r="N658" s="106" t="str">
        <f t="shared" si="7"/>
        <v>1</v>
      </c>
      <c r="O658" s="107" t="str">
        <f t="array" ref="O658">XLOOKUP(A658,Data!F:F,Data!O:O)</f>
        <v>  1.43 </v>
      </c>
      <c r="P658" s="107" t="str">
        <f t="shared" si="8"/>
        <v>  3.59 </v>
      </c>
      <c r="Q658" s="27"/>
    </row>
    <row r="659" ht="15.75" customHeight="1">
      <c r="A659" s="105" t="s">
        <v>903</v>
      </c>
      <c r="B659" s="19" t="str">
        <f t="array" ref="B659">XLOOKUP(A659,Data!F:F,Data!G:G)</f>
        <v>A1D</v>
      </c>
      <c r="C659" s="19" t="str">
        <f t="shared" si="3"/>
        <v>A053</v>
      </c>
      <c r="D659" s="19" t="str">
        <f t="array" ref="D659">XLOOKUP(A659,Data!F:F,Data!C:C)</f>
        <v>EXT</v>
      </c>
      <c r="E659" s="19" t="str">
        <f t="array" ref="E659">XLOOKUP(A659,Data!F:F,Data!H:H)</f>
        <v>BW</v>
      </c>
      <c r="F659" s="106" t="str">
        <f>SUMIFS(Data!J:J,Data!F:F,A659)</f>
        <v>1</v>
      </c>
      <c r="G659" s="106" t="str">
        <f>SUMIFS(Cast!C:C,CastElements,A659)</f>
        <v>0</v>
      </c>
      <c r="H659" s="106" t="str">
        <f t="shared" si="4"/>
        <v>1</v>
      </c>
      <c r="I659" s="106" t="str">
        <f>SUMIFS(Del!C:C,Del!B:B,A659)</f>
        <v>0</v>
      </c>
      <c r="J659" s="106" t="str">
        <f t="shared" si="5"/>
        <v>1</v>
      </c>
      <c r="K659" s="106" t="str">
        <f t="shared" si="6"/>
        <v>0</v>
      </c>
      <c r="L659" s="106"/>
      <c r="M659" s="106" t="str">
        <f>SUMIFS(Ere!C:C,Ere!B:B,A659)</f>
        <v>0</v>
      </c>
      <c r="N659" s="106" t="str">
        <f t="shared" si="7"/>
        <v>1</v>
      </c>
      <c r="O659" s="107" t="str">
        <f t="array" ref="O659">XLOOKUP(A659,Data!F:F,Data!O:O)</f>
        <v>  1.07 </v>
      </c>
      <c r="P659" s="107" t="str">
        <f t="shared" si="8"/>
        <v>  2.68 </v>
      </c>
      <c r="Q659" s="27"/>
    </row>
    <row r="660" ht="15.75" customHeight="1">
      <c r="A660" s="105" t="s">
        <v>904</v>
      </c>
      <c r="B660" s="19" t="str">
        <f t="array" ref="B660">XLOOKUP(A660,Data!F:F,Data!G:G)</f>
        <v>A1D</v>
      </c>
      <c r="C660" s="19" t="str">
        <f t="shared" si="3"/>
        <v>A053</v>
      </c>
      <c r="D660" s="19" t="str">
        <f t="array" ref="D660">XLOOKUP(A660,Data!F:F,Data!C:C)</f>
        <v>EXT</v>
      </c>
      <c r="E660" s="19" t="str">
        <f t="array" ref="E660">XLOOKUP(A660,Data!F:F,Data!H:H)</f>
        <v>BW</v>
      </c>
      <c r="F660" s="106" t="str">
        <f>SUMIFS(Data!J:J,Data!F:F,A660)</f>
        <v>1</v>
      </c>
      <c r="G660" s="106" t="str">
        <f>SUMIFS(Cast!C:C,CastElements,A660)</f>
        <v>0</v>
      </c>
      <c r="H660" s="106" t="str">
        <f t="shared" si="4"/>
        <v>1</v>
      </c>
      <c r="I660" s="106" t="str">
        <f>SUMIFS(Del!C:C,Del!B:B,A660)</f>
        <v>0</v>
      </c>
      <c r="J660" s="106" t="str">
        <f t="shared" si="5"/>
        <v>1</v>
      </c>
      <c r="K660" s="106" t="str">
        <f t="shared" si="6"/>
        <v>0</v>
      </c>
      <c r="L660" s="106"/>
      <c r="M660" s="106" t="str">
        <f>SUMIFS(Ere!C:C,Ere!B:B,A660)</f>
        <v>0</v>
      </c>
      <c r="N660" s="106" t="str">
        <f t="shared" si="7"/>
        <v>1</v>
      </c>
      <c r="O660" s="107" t="str">
        <f t="array" ref="O660">XLOOKUP(A660,Data!F:F,Data!O:O)</f>
        <v>  0.93 </v>
      </c>
      <c r="P660" s="107" t="str">
        <f t="shared" si="8"/>
        <v>  2.32 </v>
      </c>
      <c r="Q660" s="27"/>
      <c r="X660" s="108"/>
      <c r="Y660" s="92"/>
    </row>
    <row r="661" ht="15.75" customHeight="1">
      <c r="A661" s="105" t="s">
        <v>905</v>
      </c>
      <c r="B661" s="19" t="str">
        <f t="array" ref="B661">XLOOKUP(A661,Data!F:F,Data!G:G)</f>
        <v>A1D</v>
      </c>
      <c r="C661" s="19" t="str">
        <f t="shared" si="3"/>
        <v>A053</v>
      </c>
      <c r="D661" s="19" t="str">
        <f t="array" ref="D661">XLOOKUP(A661,Data!F:F,Data!C:C)</f>
        <v/>
      </c>
      <c r="E661" s="19" t="str">
        <f t="array" ref="E661">XLOOKUP(A661,Data!F:F,Data!H:H)</f>
        <v>BW</v>
      </c>
      <c r="F661" s="106" t="str">
        <f>SUMIFS(Data!J:J,Data!F:F,A661)</f>
        <v>1</v>
      </c>
      <c r="G661" s="106" t="str">
        <f>SUMIFS(Cast!C:C,CastElements,A661)</f>
        <v>1</v>
      </c>
      <c r="H661" s="106" t="str">
        <f t="shared" si="4"/>
        <v>0</v>
      </c>
      <c r="I661" s="106" t="str">
        <f>SUMIFS(Del!C:C,Del!B:B,A661)</f>
        <v>0</v>
      </c>
      <c r="J661" s="106" t="str">
        <f t="shared" si="5"/>
        <v>1</v>
      </c>
      <c r="K661" s="106" t="str">
        <f t="shared" si="6"/>
        <v>1</v>
      </c>
      <c r="L661" s="106"/>
      <c r="M661" s="106" t="str">
        <f>SUMIFS(Ere!C:C,Ere!B:B,A661)</f>
        <v>0</v>
      </c>
      <c r="N661" s="106" t="str">
        <f t="shared" si="7"/>
        <v>1</v>
      </c>
      <c r="O661" s="107" t="str">
        <f t="array" ref="O661">XLOOKUP(A661,Data!F:F,Data!O:O)</f>
        <v>  1.66 </v>
      </c>
      <c r="P661" s="107" t="str">
        <f t="shared" si="8"/>
        <v>  4.16 </v>
      </c>
      <c r="Q661" s="27"/>
      <c r="X661" s="108"/>
      <c r="Y661" s="92"/>
    </row>
    <row r="662" ht="15.75" customHeight="1">
      <c r="A662" s="105" t="s">
        <v>906</v>
      </c>
      <c r="B662" s="19" t="str">
        <f t="array" ref="B662">XLOOKUP(A662,Data!F:F,Data!G:G)</f>
        <v>A1D</v>
      </c>
      <c r="C662" s="19" t="str">
        <f t="shared" si="3"/>
        <v>A053</v>
      </c>
      <c r="D662" s="19" t="str">
        <f t="array" ref="D662">XLOOKUP(A662,Data!F:F,Data!C:C)</f>
        <v/>
      </c>
      <c r="E662" s="19" t="str">
        <f t="array" ref="E662">XLOOKUP(A662,Data!F:F,Data!H:H)</f>
        <v>BW</v>
      </c>
      <c r="F662" s="106" t="str">
        <f>SUMIFS(Data!J:J,Data!F:F,A662)</f>
        <v>1</v>
      </c>
      <c r="G662" s="106" t="str">
        <f>SUMIFS(Cast!C:C,CastElements,A662)</f>
        <v>0</v>
      </c>
      <c r="H662" s="106" t="str">
        <f t="shared" si="4"/>
        <v>1</v>
      </c>
      <c r="I662" s="106" t="str">
        <f>SUMIFS(Del!C:C,Del!B:B,A662)</f>
        <v>0</v>
      </c>
      <c r="J662" s="106" t="str">
        <f t="shared" si="5"/>
        <v>1</v>
      </c>
      <c r="K662" s="106" t="str">
        <f t="shared" si="6"/>
        <v>0</v>
      </c>
      <c r="L662" s="106"/>
      <c r="M662" s="106" t="str">
        <f>SUMIFS(Ere!C:C,Ere!B:B,A662)</f>
        <v>0</v>
      </c>
      <c r="N662" s="106" t="str">
        <f t="shared" si="7"/>
        <v>1</v>
      </c>
      <c r="O662" s="107" t="str">
        <f t="array" ref="O662">XLOOKUP(A662,Data!F:F,Data!O:O)</f>
        <v>  3.30 </v>
      </c>
      <c r="P662" s="107" t="str">
        <f t="shared" si="8"/>
        <v>  8.24 </v>
      </c>
      <c r="Q662" s="27"/>
      <c r="X662" s="108"/>
    </row>
    <row r="663" ht="15.75" customHeight="1">
      <c r="A663" s="105" t="s">
        <v>907</v>
      </c>
      <c r="B663" s="19" t="str">
        <f t="array" ref="B663">XLOOKUP(A663,Data!F:F,Data!G:G)</f>
        <v>A1D</v>
      </c>
      <c r="C663" s="19" t="str">
        <f t="shared" si="3"/>
        <v>A053</v>
      </c>
      <c r="D663" s="19" t="str">
        <f t="array" ref="D663">XLOOKUP(A663,Data!F:F,Data!C:C)</f>
        <v/>
      </c>
      <c r="E663" s="19" t="str">
        <f t="array" ref="E663">XLOOKUP(A663,Data!F:F,Data!H:H)</f>
        <v>BW</v>
      </c>
      <c r="F663" s="106" t="str">
        <f>SUMIFS(Data!J:J,Data!F:F,A663)</f>
        <v>1</v>
      </c>
      <c r="G663" s="106" t="str">
        <f>SUMIFS(Cast!C:C,CastElements,A663)</f>
        <v>0</v>
      </c>
      <c r="H663" s="106" t="str">
        <f t="shared" si="4"/>
        <v>1</v>
      </c>
      <c r="I663" s="106" t="str">
        <f>SUMIFS(Del!C:C,Del!B:B,A663)</f>
        <v>0</v>
      </c>
      <c r="J663" s="106" t="str">
        <f t="shared" si="5"/>
        <v>1</v>
      </c>
      <c r="K663" s="106" t="str">
        <f t="shared" si="6"/>
        <v>0</v>
      </c>
      <c r="L663" s="106"/>
      <c r="M663" s="106" t="str">
        <f>SUMIFS(Ere!C:C,Ere!B:B,A663)</f>
        <v>0</v>
      </c>
      <c r="N663" s="106" t="str">
        <f t="shared" si="7"/>
        <v>1</v>
      </c>
      <c r="O663" s="107" t="str">
        <f t="array" ref="O663">XLOOKUP(A663,Data!F:F,Data!O:O)</f>
        <v>  2.71 </v>
      </c>
      <c r="P663" s="107" t="str">
        <f t="shared" si="8"/>
        <v>  6.78 </v>
      </c>
      <c r="Q663" s="27"/>
    </row>
    <row r="664" ht="15.75" customHeight="1">
      <c r="A664" s="105" t="s">
        <v>908</v>
      </c>
      <c r="B664" s="19" t="str">
        <f t="array" ref="B664">XLOOKUP(A664,Data!F:F,Data!G:G)</f>
        <v>A1D</v>
      </c>
      <c r="C664" s="19" t="str">
        <f t="shared" si="3"/>
        <v>A053</v>
      </c>
      <c r="D664" s="19" t="str">
        <f t="array" ref="D664">XLOOKUP(A664,Data!F:F,Data!C:C)</f>
        <v/>
      </c>
      <c r="E664" s="19" t="str">
        <f t="array" ref="E664">XLOOKUP(A664,Data!F:F,Data!H:H)</f>
        <v>BW</v>
      </c>
      <c r="F664" s="106" t="str">
        <f>SUMIFS(Data!J:J,Data!F:F,A664)</f>
        <v>1</v>
      </c>
      <c r="G664" s="106" t="str">
        <f>SUMIFS(Cast!C:C,CastElements,A664)</f>
        <v>1</v>
      </c>
      <c r="H664" s="106" t="str">
        <f t="shared" si="4"/>
        <v>0</v>
      </c>
      <c r="I664" s="106" t="str">
        <f>SUMIFS(Del!C:C,Del!B:B,A664)</f>
        <v>0</v>
      </c>
      <c r="J664" s="106" t="str">
        <f t="shared" si="5"/>
        <v>1</v>
      </c>
      <c r="K664" s="106" t="str">
        <f t="shared" si="6"/>
        <v>1</v>
      </c>
      <c r="L664" s="106"/>
      <c r="M664" s="106" t="str">
        <f>SUMIFS(Ere!C:C,Ere!B:B,A664)</f>
        <v>0</v>
      </c>
      <c r="N664" s="106" t="str">
        <f t="shared" si="7"/>
        <v>1</v>
      </c>
      <c r="O664" s="107" t="str">
        <f t="array" ref="O664">XLOOKUP(A664,Data!F:F,Data!O:O)</f>
        <v>  2.07 </v>
      </c>
      <c r="P664" s="107" t="str">
        <f t="shared" si="8"/>
        <v>  5.19 </v>
      </c>
      <c r="Q664" s="27"/>
    </row>
    <row r="665" ht="15.75" customHeight="1">
      <c r="A665" s="105" t="s">
        <v>909</v>
      </c>
      <c r="B665" s="19" t="str">
        <f t="array" ref="B665">XLOOKUP(A665,Data!F:F,Data!G:G)</f>
        <v>A1D</v>
      </c>
      <c r="C665" s="19" t="str">
        <f t="shared" si="3"/>
        <v>A053</v>
      </c>
      <c r="D665" s="19" t="str">
        <f t="array" ref="D665">XLOOKUP(A665,Data!F:F,Data!C:C)</f>
        <v/>
      </c>
      <c r="E665" s="19" t="str">
        <f t="array" ref="E665">XLOOKUP(A665,Data!F:F,Data!H:H)</f>
        <v>BW</v>
      </c>
      <c r="F665" s="106" t="str">
        <f>SUMIFS(Data!J:J,Data!F:F,A665)</f>
        <v>1</v>
      </c>
      <c r="G665" s="106" t="str">
        <f>SUMIFS(Cast!C:C,CastElements,A665)</f>
        <v>1</v>
      </c>
      <c r="H665" s="106" t="str">
        <f t="shared" si="4"/>
        <v>0</v>
      </c>
      <c r="I665" s="106" t="str">
        <f>SUMIFS(Del!C:C,Del!B:B,A665)</f>
        <v>0</v>
      </c>
      <c r="J665" s="106" t="str">
        <f t="shared" si="5"/>
        <v>1</v>
      </c>
      <c r="K665" s="106" t="str">
        <f t="shared" si="6"/>
        <v>1</v>
      </c>
      <c r="L665" s="106"/>
      <c r="M665" s="106" t="str">
        <f>SUMIFS(Ere!C:C,Ere!B:B,A665)</f>
        <v>0</v>
      </c>
      <c r="N665" s="106" t="str">
        <f t="shared" si="7"/>
        <v>1</v>
      </c>
      <c r="O665" s="107" t="str">
        <f t="array" ref="O665">XLOOKUP(A665,Data!F:F,Data!O:O)</f>
        <v>  2.00 </v>
      </c>
      <c r="P665" s="107" t="str">
        <f t="shared" si="8"/>
        <v>  5.01 </v>
      </c>
      <c r="Q665" s="27"/>
    </row>
    <row r="666" ht="15.75" customHeight="1">
      <c r="A666" s="105" t="s">
        <v>910</v>
      </c>
      <c r="B666" s="19" t="str">
        <f t="array" ref="B666">XLOOKUP(A666,Data!F:F,Data!G:G)</f>
        <v>A1D</v>
      </c>
      <c r="C666" s="19" t="str">
        <f t="shared" si="3"/>
        <v>A053</v>
      </c>
      <c r="D666" s="19" t="str">
        <f t="array" ref="D666">XLOOKUP(A666,Data!F:F,Data!C:C)</f>
        <v/>
      </c>
      <c r="E666" s="19" t="str">
        <f t="array" ref="E666">XLOOKUP(A666,Data!F:F,Data!H:H)</f>
        <v>BW</v>
      </c>
      <c r="F666" s="106" t="str">
        <f>SUMIFS(Data!J:J,Data!F:F,A666)</f>
        <v>1</v>
      </c>
      <c r="G666" s="106" t="str">
        <f>SUMIFS(Cast!C:C,CastElements,A666)</f>
        <v>0</v>
      </c>
      <c r="H666" s="106" t="str">
        <f t="shared" si="4"/>
        <v>1</v>
      </c>
      <c r="I666" s="106" t="str">
        <f>SUMIFS(Del!C:C,Del!B:B,A666)</f>
        <v>0</v>
      </c>
      <c r="J666" s="106" t="str">
        <f t="shared" si="5"/>
        <v>1</v>
      </c>
      <c r="K666" s="106" t="str">
        <f t="shared" si="6"/>
        <v>0</v>
      </c>
      <c r="L666" s="106"/>
      <c r="M666" s="106" t="str">
        <f>SUMIFS(Ere!C:C,Ere!B:B,A666)</f>
        <v>0</v>
      </c>
      <c r="N666" s="106" t="str">
        <f t="shared" si="7"/>
        <v>1</v>
      </c>
      <c r="O666" s="107" t="str">
        <f t="array" ref="O666">XLOOKUP(A666,Data!F:F,Data!O:O)</f>
        <v>  1.92 </v>
      </c>
      <c r="P666" s="107" t="str">
        <f t="shared" si="8"/>
        <v>  4.81 </v>
      </c>
      <c r="Q666" s="27"/>
    </row>
    <row r="667" ht="15.75" customHeight="1">
      <c r="A667" s="105" t="s">
        <v>911</v>
      </c>
      <c r="B667" s="19" t="str">
        <f t="array" ref="B667">XLOOKUP(A667,Data!F:F,Data!G:G)</f>
        <v>A1D</v>
      </c>
      <c r="C667" s="19" t="str">
        <f t="shared" si="3"/>
        <v>A053</v>
      </c>
      <c r="D667" s="19" t="str">
        <f t="array" ref="D667">XLOOKUP(A667,Data!F:F,Data!C:C)</f>
        <v/>
      </c>
      <c r="E667" s="19" t="str">
        <f t="array" ref="E667">XLOOKUP(A667,Data!F:F,Data!H:H)</f>
        <v>BW</v>
      </c>
      <c r="F667" s="106" t="str">
        <f>SUMIFS(Data!J:J,Data!F:F,A667)</f>
        <v>1</v>
      </c>
      <c r="G667" s="106" t="str">
        <f>SUMIFS(Cast!C:C,CastElements,A667)</f>
        <v>1</v>
      </c>
      <c r="H667" s="106" t="str">
        <f t="shared" si="4"/>
        <v>0</v>
      </c>
      <c r="I667" s="106" t="str">
        <f>SUMIFS(Del!C:C,Del!B:B,A667)</f>
        <v>0</v>
      </c>
      <c r="J667" s="106" t="str">
        <f t="shared" si="5"/>
        <v>1</v>
      </c>
      <c r="K667" s="106" t="str">
        <f t="shared" si="6"/>
        <v>1</v>
      </c>
      <c r="L667" s="106"/>
      <c r="M667" s="106" t="str">
        <f>SUMIFS(Ere!C:C,Ere!B:B,A667)</f>
        <v>0</v>
      </c>
      <c r="N667" s="106" t="str">
        <f t="shared" si="7"/>
        <v>1</v>
      </c>
      <c r="O667" s="107" t="str">
        <f t="array" ref="O667">XLOOKUP(A667,Data!F:F,Data!O:O)</f>
        <v>  1.84 </v>
      </c>
      <c r="P667" s="107" t="str">
        <f t="shared" si="8"/>
        <v>  4.59 </v>
      </c>
      <c r="Q667" s="27"/>
    </row>
    <row r="668" ht="15.75" customHeight="1">
      <c r="A668" s="105" t="s">
        <v>912</v>
      </c>
      <c r="B668" s="19" t="str">
        <f t="array" ref="B668">XLOOKUP(A668,Data!F:F,Data!G:G)</f>
        <v>A1D</v>
      </c>
      <c r="C668" s="19" t="str">
        <f t="shared" si="3"/>
        <v>A053</v>
      </c>
      <c r="D668" s="19" t="str">
        <f t="array" ref="D668">XLOOKUP(A668,Data!F:F,Data!C:C)</f>
        <v/>
      </c>
      <c r="E668" s="19" t="str">
        <f t="array" ref="E668">XLOOKUP(A668,Data!F:F,Data!H:H)</f>
        <v>BW</v>
      </c>
      <c r="F668" s="106" t="str">
        <f>SUMIFS(Data!J:J,Data!F:F,A668)</f>
        <v>1</v>
      </c>
      <c r="G668" s="106" t="str">
        <f>SUMIFS(Cast!C:C,CastElements,A668)</f>
        <v>1</v>
      </c>
      <c r="H668" s="106" t="str">
        <f t="shared" si="4"/>
        <v>0</v>
      </c>
      <c r="I668" s="106" t="str">
        <f>SUMIFS(Del!C:C,Del!B:B,A668)</f>
        <v>0</v>
      </c>
      <c r="J668" s="106" t="str">
        <f t="shared" si="5"/>
        <v>1</v>
      </c>
      <c r="K668" s="106" t="str">
        <f t="shared" si="6"/>
        <v>1</v>
      </c>
      <c r="L668" s="106"/>
      <c r="M668" s="106" t="str">
        <f>SUMIFS(Ere!C:C,Ere!B:B,A668)</f>
        <v>0</v>
      </c>
      <c r="N668" s="106" t="str">
        <f t="shared" si="7"/>
        <v>1</v>
      </c>
      <c r="O668" s="107" t="str">
        <f t="array" ref="O668">XLOOKUP(A668,Data!F:F,Data!O:O)</f>
        <v>  1.84 </v>
      </c>
      <c r="P668" s="107" t="str">
        <f t="shared" si="8"/>
        <v>  4.59 </v>
      </c>
      <c r="Q668" s="27"/>
    </row>
    <row r="669" ht="15.75" customHeight="1">
      <c r="A669" s="105" t="s">
        <v>913</v>
      </c>
      <c r="B669" s="19" t="str">
        <f t="array" ref="B669">XLOOKUP(A669,Data!F:F,Data!G:G)</f>
        <v>A1D</v>
      </c>
      <c r="C669" s="19" t="str">
        <f t="shared" si="3"/>
        <v>A053</v>
      </c>
      <c r="D669" s="19" t="str">
        <f t="array" ref="D669">XLOOKUP(A669,Data!F:F,Data!C:C)</f>
        <v/>
      </c>
      <c r="E669" s="19" t="str">
        <f t="array" ref="E669">XLOOKUP(A669,Data!F:F,Data!H:H)</f>
        <v>BW</v>
      </c>
      <c r="F669" s="106" t="str">
        <f>SUMIFS(Data!J:J,Data!F:F,A669)</f>
        <v>1</v>
      </c>
      <c r="G669" s="106" t="str">
        <f>SUMIFS(Cast!C:C,CastElements,A669)</f>
        <v>1</v>
      </c>
      <c r="H669" s="106" t="str">
        <f t="shared" si="4"/>
        <v>0</v>
      </c>
      <c r="I669" s="106" t="str">
        <f>SUMIFS(Del!C:C,Del!B:B,A669)</f>
        <v>0</v>
      </c>
      <c r="J669" s="106" t="str">
        <f t="shared" si="5"/>
        <v>1</v>
      </c>
      <c r="K669" s="106" t="str">
        <f t="shared" si="6"/>
        <v>1</v>
      </c>
      <c r="L669" s="106"/>
      <c r="M669" s="106" t="str">
        <f>SUMIFS(Ere!C:C,Ere!B:B,A669)</f>
        <v>0</v>
      </c>
      <c r="N669" s="106" t="str">
        <f t="shared" si="7"/>
        <v>1</v>
      </c>
      <c r="O669" s="107" t="str">
        <f t="array" ref="O669">XLOOKUP(A669,Data!F:F,Data!O:O)</f>
        <v>  1.84 </v>
      </c>
      <c r="P669" s="107" t="str">
        <f t="shared" si="8"/>
        <v>  4.59 </v>
      </c>
      <c r="Q669" s="27"/>
    </row>
    <row r="670" ht="15.75" customHeight="1">
      <c r="A670" s="105" t="s">
        <v>914</v>
      </c>
      <c r="B670" s="19" t="str">
        <f t="array" ref="B670">XLOOKUP(A670,Data!F:F,Data!G:G)</f>
        <v>A1D</v>
      </c>
      <c r="C670" s="19" t="str">
        <f t="shared" si="3"/>
        <v>A053</v>
      </c>
      <c r="D670" s="19" t="str">
        <f t="array" ref="D670">XLOOKUP(A670,Data!F:F,Data!C:C)</f>
        <v/>
      </c>
      <c r="E670" s="19" t="str">
        <f t="array" ref="E670">XLOOKUP(A670,Data!F:F,Data!H:H)</f>
        <v>BW</v>
      </c>
      <c r="F670" s="106" t="str">
        <f>SUMIFS(Data!J:J,Data!F:F,A670)</f>
        <v>1</v>
      </c>
      <c r="G670" s="106" t="str">
        <f>SUMIFS(Cast!C:C,CastElements,A670)</f>
        <v>0</v>
      </c>
      <c r="H670" s="106" t="str">
        <f t="shared" si="4"/>
        <v>1</v>
      </c>
      <c r="I670" s="106" t="str">
        <f>SUMIFS(Del!C:C,Del!B:B,A670)</f>
        <v>0</v>
      </c>
      <c r="J670" s="106" t="str">
        <f t="shared" si="5"/>
        <v>1</v>
      </c>
      <c r="K670" s="106" t="str">
        <f t="shared" si="6"/>
        <v>0</v>
      </c>
      <c r="L670" s="106"/>
      <c r="M670" s="106" t="str">
        <f>SUMIFS(Ere!C:C,Ere!B:B,A670)</f>
        <v>0</v>
      </c>
      <c r="N670" s="106" t="str">
        <f t="shared" si="7"/>
        <v>1</v>
      </c>
      <c r="O670" s="107" t="str">
        <f t="array" ref="O670">XLOOKUP(A670,Data!F:F,Data!O:O)</f>
        <v>  1.55 </v>
      </c>
      <c r="P670" s="107" t="str">
        <f t="shared" si="8"/>
        <v>  3.89 </v>
      </c>
      <c r="Q670" s="27"/>
    </row>
    <row r="671" ht="15.75" customHeight="1">
      <c r="A671" s="105" t="s">
        <v>915</v>
      </c>
      <c r="B671" s="19" t="str">
        <f t="array" ref="B671">XLOOKUP(A671,Data!F:F,Data!G:G)</f>
        <v>A1D</v>
      </c>
      <c r="C671" s="19" t="str">
        <f t="shared" si="3"/>
        <v>A054</v>
      </c>
      <c r="D671" s="19" t="str">
        <f t="array" ref="D671">XLOOKUP(A671,Data!F:F,Data!C:C)</f>
        <v/>
      </c>
      <c r="E671" s="19" t="str">
        <f t="array" ref="E671">XLOOKUP(A671,Data!F:F,Data!H:H)</f>
        <v>BW</v>
      </c>
      <c r="F671" s="106" t="str">
        <f>SUMIFS(Data!J:J,Data!F:F,A671)</f>
        <v>1</v>
      </c>
      <c r="G671" s="106" t="str">
        <f>SUMIFS(Cast!C:C,CastElements,A671)</f>
        <v>0</v>
      </c>
      <c r="H671" s="106" t="str">
        <f t="shared" si="4"/>
        <v>1</v>
      </c>
      <c r="I671" s="106" t="str">
        <f>SUMIFS(Del!C:C,Del!B:B,A671)</f>
        <v>0</v>
      </c>
      <c r="J671" s="106" t="str">
        <f t="shared" si="5"/>
        <v>1</v>
      </c>
      <c r="K671" s="106" t="str">
        <f t="shared" si="6"/>
        <v>0</v>
      </c>
      <c r="L671" s="106"/>
      <c r="M671" s="106" t="str">
        <f>SUMIFS(Ere!C:C,Ere!B:B,A671)</f>
        <v>0</v>
      </c>
      <c r="N671" s="106" t="str">
        <f t="shared" si="7"/>
        <v>1</v>
      </c>
      <c r="O671" s="107" t="str">
        <f t="array" ref="O671">XLOOKUP(A671,Data!F:F,Data!O:O)</f>
        <v>  0.32 </v>
      </c>
      <c r="P671" s="107" t="str">
        <f t="shared" si="8"/>
        <v>  0.81 </v>
      </c>
      <c r="Q671" s="27"/>
    </row>
    <row r="672" ht="15.75" customHeight="1">
      <c r="A672" s="105" t="s">
        <v>916</v>
      </c>
      <c r="B672" s="19" t="str">
        <f t="array" ref="B672">XLOOKUP(A672,Data!F:F,Data!G:G)</f>
        <v>A1D</v>
      </c>
      <c r="C672" s="19" t="str">
        <f t="shared" si="3"/>
        <v>A054</v>
      </c>
      <c r="D672" s="19" t="str">
        <f t="array" ref="D672">XLOOKUP(A672,Data!F:F,Data!C:C)</f>
        <v/>
      </c>
      <c r="E672" s="19" t="str">
        <f t="array" ref="E672">XLOOKUP(A672,Data!F:F,Data!H:H)</f>
        <v>CF</v>
      </c>
      <c r="F672" s="106" t="str">
        <f>SUMIFS(Data!J:J,Data!F:F,A672)</f>
        <v>1</v>
      </c>
      <c r="G672" s="106" t="str">
        <f>SUMIFS(Cast!C:C,CastElements,A672)</f>
        <v>0</v>
      </c>
      <c r="H672" s="106" t="str">
        <f t="shared" si="4"/>
        <v>1</v>
      </c>
      <c r="I672" s="106" t="str">
        <f>SUMIFS(Del!C:C,Del!B:B,A672)</f>
        <v>0</v>
      </c>
      <c r="J672" s="106" t="str">
        <f t="shared" si="5"/>
        <v>1</v>
      </c>
      <c r="K672" s="106" t="str">
        <f t="shared" si="6"/>
        <v>0</v>
      </c>
      <c r="L672" s="106"/>
      <c r="M672" s="106" t="str">
        <f>SUMIFS(Ere!C:C,Ere!B:B,A672)</f>
        <v>0</v>
      </c>
      <c r="N672" s="106" t="str">
        <f t="shared" si="7"/>
        <v>1</v>
      </c>
      <c r="O672" s="107" t="str">
        <f t="array" ref="O672">XLOOKUP(A672,Data!F:F,Data!O:O)</f>
        <v>  0.44 </v>
      </c>
      <c r="P672" s="107" t="str">
        <f t="shared" si="8"/>
        <v>  1.09 </v>
      </c>
      <c r="Q672" s="27"/>
    </row>
    <row r="673" ht="15.75" customHeight="1">
      <c r="A673" s="105" t="s">
        <v>917</v>
      </c>
      <c r="B673" s="19" t="str">
        <f t="array" ref="B673">XLOOKUP(A673,Data!F:F,Data!G:G)</f>
        <v>A1D</v>
      </c>
      <c r="C673" s="19" t="str">
        <f t="shared" si="3"/>
        <v>A054</v>
      </c>
      <c r="D673" s="19" t="str">
        <f t="array" ref="D673">XLOOKUP(A673,Data!F:F,Data!C:C)</f>
        <v>EXT</v>
      </c>
      <c r="E673" s="19" t="str">
        <f t="array" ref="E673">XLOOKUP(A673,Data!F:F,Data!H:H)</f>
        <v>BW</v>
      </c>
      <c r="F673" s="106" t="str">
        <f>SUMIFS(Data!J:J,Data!F:F,A673)</f>
        <v>1</v>
      </c>
      <c r="G673" s="106" t="str">
        <f>SUMIFS(Cast!C:C,CastElements,A673)</f>
        <v>0</v>
      </c>
      <c r="H673" s="106" t="str">
        <f t="shared" si="4"/>
        <v>1</v>
      </c>
      <c r="I673" s="106" t="str">
        <f>SUMIFS(Del!C:C,Del!B:B,A673)</f>
        <v>0</v>
      </c>
      <c r="J673" s="106" t="str">
        <f t="shared" si="5"/>
        <v>1</v>
      </c>
      <c r="K673" s="106" t="str">
        <f t="shared" si="6"/>
        <v>0</v>
      </c>
      <c r="L673" s="106"/>
      <c r="M673" s="106" t="str">
        <f>SUMIFS(Ere!C:C,Ere!B:B,A673)</f>
        <v>0</v>
      </c>
      <c r="N673" s="106" t="str">
        <f t="shared" si="7"/>
        <v>1</v>
      </c>
      <c r="O673" s="107" t="str">
        <f t="array" ref="O673">XLOOKUP(A673,Data!F:F,Data!O:O)</f>
        <v>  0.82 </v>
      </c>
      <c r="P673" s="107" t="str">
        <f t="shared" si="8"/>
        <v>  2.04 </v>
      </c>
      <c r="Q673" s="27"/>
    </row>
    <row r="674" ht="15.75" customHeight="1">
      <c r="A674" s="105" t="s">
        <v>918</v>
      </c>
      <c r="B674" s="19" t="str">
        <f t="array" ref="B674">XLOOKUP(A674,Data!F:F,Data!G:G)</f>
        <v>A1D</v>
      </c>
      <c r="C674" s="19" t="str">
        <f t="shared" si="3"/>
        <v>A054</v>
      </c>
      <c r="D674" s="19" t="str">
        <f t="array" ref="D674">XLOOKUP(A674,Data!F:F,Data!C:C)</f>
        <v>EXT</v>
      </c>
      <c r="E674" s="19" t="str">
        <f t="array" ref="E674">XLOOKUP(A674,Data!F:F,Data!H:H)</f>
        <v>BW</v>
      </c>
      <c r="F674" s="106" t="str">
        <f>SUMIFS(Data!J:J,Data!F:F,A674)</f>
        <v>1</v>
      </c>
      <c r="G674" s="106" t="str">
        <f>SUMIFS(Cast!C:C,CastElements,A674)</f>
        <v>0</v>
      </c>
      <c r="H674" s="106" t="str">
        <f t="shared" si="4"/>
        <v>1</v>
      </c>
      <c r="I674" s="106" t="str">
        <f>SUMIFS(Del!C:C,Del!B:B,A674)</f>
        <v>0</v>
      </c>
      <c r="J674" s="106" t="str">
        <f t="shared" si="5"/>
        <v>1</v>
      </c>
      <c r="K674" s="106" t="str">
        <f t="shared" si="6"/>
        <v>0</v>
      </c>
      <c r="L674" s="106"/>
      <c r="M674" s="106" t="str">
        <f>SUMIFS(Ere!C:C,Ere!B:B,A674)</f>
        <v>0</v>
      </c>
      <c r="N674" s="106" t="str">
        <f t="shared" si="7"/>
        <v>1</v>
      </c>
      <c r="O674" s="107" t="str">
        <f t="array" ref="O674">XLOOKUP(A674,Data!F:F,Data!O:O)</f>
        <v>  1.08 </v>
      </c>
      <c r="P674" s="107" t="str">
        <f t="shared" si="8"/>
        <v>  2.71 </v>
      </c>
      <c r="Q674" s="27"/>
    </row>
    <row r="675" ht="15.75" customHeight="1">
      <c r="A675" s="105" t="s">
        <v>919</v>
      </c>
      <c r="B675" s="19" t="str">
        <f t="array" ref="B675">XLOOKUP(A675,Data!F:F,Data!G:G)</f>
        <v>A1D</v>
      </c>
      <c r="C675" s="19" t="str">
        <f t="shared" si="3"/>
        <v>A054</v>
      </c>
      <c r="D675" s="19" t="str">
        <f t="array" ref="D675">XLOOKUP(A675,Data!F:F,Data!C:C)</f>
        <v>EXT</v>
      </c>
      <c r="E675" s="19" t="str">
        <f t="array" ref="E675">XLOOKUP(A675,Data!F:F,Data!H:H)</f>
        <v>BW</v>
      </c>
      <c r="F675" s="106" t="str">
        <f>SUMIFS(Data!J:J,Data!F:F,A675)</f>
        <v>1</v>
      </c>
      <c r="G675" s="106" t="str">
        <f>SUMIFS(Cast!C:C,CastElements,A675)</f>
        <v>0</v>
      </c>
      <c r="H675" s="106" t="str">
        <f t="shared" si="4"/>
        <v>1</v>
      </c>
      <c r="I675" s="106" t="str">
        <f>SUMIFS(Del!C:C,Del!B:B,A675)</f>
        <v>0</v>
      </c>
      <c r="J675" s="106" t="str">
        <f t="shared" si="5"/>
        <v>1</v>
      </c>
      <c r="K675" s="106" t="str">
        <f t="shared" si="6"/>
        <v>0</v>
      </c>
      <c r="L675" s="106"/>
      <c r="M675" s="106" t="str">
        <f>SUMIFS(Ere!C:C,Ere!B:B,A675)</f>
        <v>0</v>
      </c>
      <c r="N675" s="106" t="str">
        <f t="shared" si="7"/>
        <v>1</v>
      </c>
      <c r="O675" s="107" t="str">
        <f t="array" ref="O675">XLOOKUP(A675,Data!F:F,Data!O:O)</f>
        <v>  1.45 </v>
      </c>
      <c r="P675" s="107" t="str">
        <f t="shared" si="8"/>
        <v>  3.63 </v>
      </c>
      <c r="Q675" s="27"/>
    </row>
    <row r="676" ht="15.75" customHeight="1">
      <c r="A676" s="105" t="s">
        <v>920</v>
      </c>
      <c r="B676" s="19" t="str">
        <f t="array" ref="B676">XLOOKUP(A676,Data!F:F,Data!G:G)</f>
        <v>A1D</v>
      </c>
      <c r="C676" s="19" t="str">
        <f t="shared" si="3"/>
        <v>A054</v>
      </c>
      <c r="D676" s="19" t="str">
        <f t="array" ref="D676">XLOOKUP(A676,Data!F:F,Data!C:C)</f>
        <v>EXT</v>
      </c>
      <c r="E676" s="19" t="str">
        <f t="array" ref="E676">XLOOKUP(A676,Data!F:F,Data!H:H)</f>
        <v>BW</v>
      </c>
      <c r="F676" s="106" t="str">
        <f>SUMIFS(Data!J:J,Data!F:F,A676)</f>
        <v>1</v>
      </c>
      <c r="G676" s="106" t="str">
        <f>SUMIFS(Cast!C:C,CastElements,A676)</f>
        <v>0</v>
      </c>
      <c r="H676" s="106" t="str">
        <f t="shared" si="4"/>
        <v>1</v>
      </c>
      <c r="I676" s="106" t="str">
        <f>SUMIFS(Del!C:C,Del!B:B,A676)</f>
        <v>0</v>
      </c>
      <c r="J676" s="106" t="str">
        <f t="shared" si="5"/>
        <v>1</v>
      </c>
      <c r="K676" s="106" t="str">
        <f t="shared" si="6"/>
        <v>0</v>
      </c>
      <c r="L676" s="106"/>
      <c r="M676" s="106" t="str">
        <f>SUMIFS(Ere!C:C,Ere!B:B,A676)</f>
        <v>0</v>
      </c>
      <c r="N676" s="106" t="str">
        <f t="shared" si="7"/>
        <v>1</v>
      </c>
      <c r="O676" s="107" t="str">
        <f t="array" ref="O676">XLOOKUP(A676,Data!F:F,Data!O:O)</f>
        <v>  1.88 </v>
      </c>
      <c r="P676" s="107" t="str">
        <f t="shared" si="8"/>
        <v>  4.69 </v>
      </c>
      <c r="Q676" s="27"/>
    </row>
    <row r="677" ht="15.75" customHeight="1">
      <c r="A677" s="105" t="s">
        <v>921</v>
      </c>
      <c r="B677" s="19" t="str">
        <f t="array" ref="B677">XLOOKUP(A677,Data!F:F,Data!G:G)</f>
        <v>A1D</v>
      </c>
      <c r="C677" s="19" t="str">
        <f t="shared" si="3"/>
        <v>A054</v>
      </c>
      <c r="D677" s="19" t="str">
        <f t="array" ref="D677">XLOOKUP(A677,Data!F:F,Data!C:C)</f>
        <v/>
      </c>
      <c r="E677" s="19" t="str">
        <f t="array" ref="E677">XLOOKUP(A677,Data!F:F,Data!H:H)</f>
        <v>BW</v>
      </c>
      <c r="F677" s="106" t="str">
        <f>SUMIFS(Data!J:J,Data!F:F,A677)</f>
        <v>1</v>
      </c>
      <c r="G677" s="106" t="str">
        <f>SUMIFS(Cast!C:C,CastElements,A677)</f>
        <v>1</v>
      </c>
      <c r="H677" s="106" t="str">
        <f t="shared" si="4"/>
        <v>0</v>
      </c>
      <c r="I677" s="106" t="str">
        <f>SUMIFS(Del!C:C,Del!B:B,A677)</f>
        <v>0</v>
      </c>
      <c r="J677" s="106" t="str">
        <f t="shared" si="5"/>
        <v>1</v>
      </c>
      <c r="K677" s="106" t="str">
        <f t="shared" si="6"/>
        <v>1</v>
      </c>
      <c r="L677" s="106"/>
      <c r="M677" s="106" t="str">
        <f>SUMIFS(Ere!C:C,Ere!B:B,A677)</f>
        <v>0</v>
      </c>
      <c r="N677" s="106" t="str">
        <f t="shared" si="7"/>
        <v>1</v>
      </c>
      <c r="O677" s="107" t="str">
        <f t="array" ref="O677">XLOOKUP(A677,Data!F:F,Data!O:O)</f>
        <v>  1.68 </v>
      </c>
      <c r="P677" s="107" t="str">
        <f t="shared" si="8"/>
        <v>  4.20 </v>
      </c>
      <c r="Q677" s="27"/>
    </row>
    <row r="678" ht="15.75" customHeight="1">
      <c r="A678" s="105" t="s">
        <v>922</v>
      </c>
      <c r="B678" s="19" t="str">
        <f t="array" ref="B678">XLOOKUP(A678,Data!F:F,Data!G:G)</f>
        <v>A1D</v>
      </c>
      <c r="C678" s="19" t="str">
        <f t="shared" si="3"/>
        <v>A054</v>
      </c>
      <c r="D678" s="19" t="str">
        <f t="array" ref="D678">XLOOKUP(A678,Data!F:F,Data!C:C)</f>
        <v/>
      </c>
      <c r="E678" s="19" t="str">
        <f t="array" ref="E678">XLOOKUP(A678,Data!F:F,Data!H:H)</f>
        <v>BW</v>
      </c>
      <c r="F678" s="106" t="str">
        <f>SUMIFS(Data!J:J,Data!F:F,A678)</f>
        <v>1</v>
      </c>
      <c r="G678" s="106" t="str">
        <f>SUMIFS(Cast!C:C,CastElements,A678)</f>
        <v>0</v>
      </c>
      <c r="H678" s="106" t="str">
        <f t="shared" si="4"/>
        <v>1</v>
      </c>
      <c r="I678" s="106" t="str">
        <f>SUMIFS(Del!C:C,Del!B:B,A678)</f>
        <v>0</v>
      </c>
      <c r="J678" s="106" t="str">
        <f t="shared" si="5"/>
        <v>1</v>
      </c>
      <c r="K678" s="106" t="str">
        <f t="shared" si="6"/>
        <v>0</v>
      </c>
      <c r="L678" s="106"/>
      <c r="M678" s="106" t="str">
        <f>SUMIFS(Ere!C:C,Ere!B:B,A678)</f>
        <v>0</v>
      </c>
      <c r="N678" s="106" t="str">
        <f t="shared" si="7"/>
        <v>1</v>
      </c>
      <c r="O678" s="107" t="str">
        <f t="array" ref="O678">XLOOKUP(A678,Data!F:F,Data!O:O)</f>
        <v>  3.30 </v>
      </c>
      <c r="P678" s="107" t="str">
        <f t="shared" si="8"/>
        <v>  8.24 </v>
      </c>
      <c r="Q678" s="27"/>
    </row>
    <row r="679" ht="15.75" customHeight="1">
      <c r="A679" s="105" t="s">
        <v>923</v>
      </c>
      <c r="B679" s="19" t="str">
        <f t="array" ref="B679">XLOOKUP(A679,Data!F:F,Data!G:G)</f>
        <v>A1D</v>
      </c>
      <c r="C679" s="19" t="str">
        <f t="shared" si="3"/>
        <v>A054</v>
      </c>
      <c r="D679" s="19" t="str">
        <f t="array" ref="D679">XLOOKUP(A679,Data!F:F,Data!C:C)</f>
        <v/>
      </c>
      <c r="E679" s="19" t="str">
        <f t="array" ref="E679">XLOOKUP(A679,Data!F:F,Data!H:H)</f>
        <v>BW</v>
      </c>
      <c r="F679" s="106" t="str">
        <f>SUMIFS(Data!J:J,Data!F:F,A679)</f>
        <v>1</v>
      </c>
      <c r="G679" s="106" t="str">
        <f>SUMIFS(Cast!C:C,CastElements,A679)</f>
        <v>1</v>
      </c>
      <c r="H679" s="106" t="str">
        <f t="shared" si="4"/>
        <v>0</v>
      </c>
      <c r="I679" s="106" t="str">
        <f>SUMIFS(Del!C:C,Del!B:B,A679)</f>
        <v>0</v>
      </c>
      <c r="J679" s="106" t="str">
        <f t="shared" si="5"/>
        <v>1</v>
      </c>
      <c r="K679" s="106" t="str">
        <f t="shared" si="6"/>
        <v>1</v>
      </c>
      <c r="L679" s="106"/>
      <c r="M679" s="106" t="str">
        <f>SUMIFS(Ere!C:C,Ere!B:B,A679)</f>
        <v>0</v>
      </c>
      <c r="N679" s="106" t="str">
        <f t="shared" si="7"/>
        <v>1</v>
      </c>
      <c r="O679" s="107" t="str">
        <f t="array" ref="O679">XLOOKUP(A679,Data!F:F,Data!O:O)</f>
        <v>  2.71 </v>
      </c>
      <c r="P679" s="107" t="str">
        <f t="shared" si="8"/>
        <v>  6.78 </v>
      </c>
      <c r="Q679" s="27"/>
    </row>
    <row r="680" ht="15.75" customHeight="1">
      <c r="A680" s="105" t="s">
        <v>924</v>
      </c>
      <c r="B680" s="19" t="str">
        <f t="array" ref="B680">XLOOKUP(A680,Data!F:F,Data!G:G)</f>
        <v>A1D</v>
      </c>
      <c r="C680" s="19" t="str">
        <f t="shared" si="3"/>
        <v>A054</v>
      </c>
      <c r="D680" s="19" t="str">
        <f t="array" ref="D680">XLOOKUP(A680,Data!F:F,Data!C:C)</f>
        <v/>
      </c>
      <c r="E680" s="19" t="str">
        <f t="array" ref="E680">XLOOKUP(A680,Data!F:F,Data!H:H)</f>
        <v>BW</v>
      </c>
      <c r="F680" s="106" t="str">
        <f>SUMIFS(Data!J:J,Data!F:F,A680)</f>
        <v>1</v>
      </c>
      <c r="G680" s="106" t="str">
        <f>SUMIFS(Cast!C:C,CastElements,A680)</f>
        <v>1</v>
      </c>
      <c r="H680" s="106" t="str">
        <f t="shared" si="4"/>
        <v>0</v>
      </c>
      <c r="I680" s="106" t="str">
        <f>SUMIFS(Del!C:C,Del!B:B,A680)</f>
        <v>0</v>
      </c>
      <c r="J680" s="106" t="str">
        <f t="shared" si="5"/>
        <v>1</v>
      </c>
      <c r="K680" s="106" t="str">
        <f t="shared" si="6"/>
        <v>1</v>
      </c>
      <c r="L680" s="106"/>
      <c r="M680" s="106" t="str">
        <f>SUMIFS(Ere!C:C,Ere!B:B,A680)</f>
        <v>0</v>
      </c>
      <c r="N680" s="106" t="str">
        <f t="shared" si="7"/>
        <v>1</v>
      </c>
      <c r="O680" s="107" t="str">
        <f t="array" ref="O680">XLOOKUP(A680,Data!F:F,Data!O:O)</f>
        <v>  2.00 </v>
      </c>
      <c r="P680" s="107" t="str">
        <f t="shared" si="8"/>
        <v>  5.01 </v>
      </c>
      <c r="Q680" s="27"/>
    </row>
    <row r="681" ht="15.75" customHeight="1">
      <c r="A681" s="105" t="s">
        <v>925</v>
      </c>
      <c r="B681" s="19" t="str">
        <f t="array" ref="B681">XLOOKUP(A681,Data!F:F,Data!G:G)</f>
        <v>A1D</v>
      </c>
      <c r="C681" s="19" t="str">
        <f t="shared" si="3"/>
        <v>A054</v>
      </c>
      <c r="D681" s="19" t="str">
        <f t="array" ref="D681">XLOOKUP(A681,Data!F:F,Data!C:C)</f>
        <v/>
      </c>
      <c r="E681" s="19" t="str">
        <f t="array" ref="E681">XLOOKUP(A681,Data!F:F,Data!H:H)</f>
        <v>BW</v>
      </c>
      <c r="F681" s="106" t="str">
        <f>SUMIFS(Data!J:J,Data!F:F,A681)</f>
        <v>1</v>
      </c>
      <c r="G681" s="106" t="str">
        <f>SUMIFS(Cast!C:C,CastElements,A681)</f>
        <v>1</v>
      </c>
      <c r="H681" s="106" t="str">
        <f t="shared" si="4"/>
        <v>0</v>
      </c>
      <c r="I681" s="106" t="str">
        <f>SUMIFS(Del!C:C,Del!B:B,A681)</f>
        <v>0</v>
      </c>
      <c r="J681" s="106" t="str">
        <f t="shared" si="5"/>
        <v>1</v>
      </c>
      <c r="K681" s="106" t="str">
        <f t="shared" si="6"/>
        <v>1</v>
      </c>
      <c r="L681" s="106"/>
      <c r="M681" s="106" t="str">
        <f>SUMIFS(Ere!C:C,Ere!B:B,A681)</f>
        <v>0</v>
      </c>
      <c r="N681" s="106" t="str">
        <f t="shared" si="7"/>
        <v>1</v>
      </c>
      <c r="O681" s="107" t="str">
        <f t="array" ref="O681">XLOOKUP(A681,Data!F:F,Data!O:O)</f>
        <v>  2.07 </v>
      </c>
      <c r="P681" s="107" t="str">
        <f t="shared" si="8"/>
        <v>  5.19 </v>
      </c>
      <c r="Q681" s="27"/>
    </row>
    <row r="682" ht="15.75" customHeight="1">
      <c r="A682" s="105" t="s">
        <v>926</v>
      </c>
      <c r="B682" s="19" t="str">
        <f t="array" ref="B682">XLOOKUP(A682,Data!F:F,Data!G:G)</f>
        <v>A1D</v>
      </c>
      <c r="C682" s="19" t="str">
        <f t="shared" si="3"/>
        <v>A054</v>
      </c>
      <c r="D682" s="19" t="str">
        <f t="array" ref="D682">XLOOKUP(A682,Data!F:F,Data!C:C)</f>
        <v/>
      </c>
      <c r="E682" s="19" t="str">
        <f t="array" ref="E682">XLOOKUP(A682,Data!F:F,Data!H:H)</f>
        <v>BW</v>
      </c>
      <c r="F682" s="106" t="str">
        <f>SUMIFS(Data!J:J,Data!F:F,A682)</f>
        <v>1</v>
      </c>
      <c r="G682" s="106" t="str">
        <f>SUMIFS(Cast!C:C,CastElements,A682)</f>
        <v>1</v>
      </c>
      <c r="H682" s="106" t="str">
        <f t="shared" si="4"/>
        <v>0</v>
      </c>
      <c r="I682" s="106" t="str">
        <f>SUMIFS(Del!C:C,Del!B:B,A682)</f>
        <v>0</v>
      </c>
      <c r="J682" s="106" t="str">
        <f t="shared" si="5"/>
        <v>1</v>
      </c>
      <c r="K682" s="106" t="str">
        <f t="shared" si="6"/>
        <v>1</v>
      </c>
      <c r="L682" s="106"/>
      <c r="M682" s="106" t="str">
        <f>SUMIFS(Ere!C:C,Ere!B:B,A682)</f>
        <v>0</v>
      </c>
      <c r="N682" s="106" t="str">
        <f t="shared" si="7"/>
        <v>1</v>
      </c>
      <c r="O682" s="107" t="str">
        <f t="array" ref="O682">XLOOKUP(A682,Data!F:F,Data!O:O)</f>
        <v>  1.95 </v>
      </c>
      <c r="P682" s="107" t="str">
        <f t="shared" si="8"/>
        <v>  4.86 </v>
      </c>
      <c r="Q682" s="27"/>
    </row>
    <row r="683" ht="15.75" customHeight="1">
      <c r="A683" s="105" t="s">
        <v>927</v>
      </c>
      <c r="B683" s="19" t="str">
        <f t="array" ref="B683">XLOOKUP(A683,Data!F:F,Data!G:G)</f>
        <v>A1D</v>
      </c>
      <c r="C683" s="19" t="str">
        <f t="shared" si="3"/>
        <v>A054</v>
      </c>
      <c r="D683" s="19" t="str">
        <f t="array" ref="D683">XLOOKUP(A683,Data!F:F,Data!C:C)</f>
        <v/>
      </c>
      <c r="E683" s="19" t="str">
        <f t="array" ref="E683">XLOOKUP(A683,Data!F:F,Data!H:H)</f>
        <v>BW</v>
      </c>
      <c r="F683" s="106" t="str">
        <f>SUMIFS(Data!J:J,Data!F:F,A683)</f>
        <v>1</v>
      </c>
      <c r="G683" s="106" t="str">
        <f>SUMIFS(Cast!C:C,CastElements,A683)</f>
        <v>0</v>
      </c>
      <c r="H683" s="106" t="str">
        <f t="shared" si="4"/>
        <v>1</v>
      </c>
      <c r="I683" s="106" t="str">
        <f>SUMIFS(Del!C:C,Del!B:B,A683)</f>
        <v>0</v>
      </c>
      <c r="J683" s="106" t="str">
        <f t="shared" si="5"/>
        <v>1</v>
      </c>
      <c r="K683" s="106" t="str">
        <f t="shared" si="6"/>
        <v>0</v>
      </c>
      <c r="L683" s="106"/>
      <c r="M683" s="106" t="str">
        <f>SUMIFS(Ere!C:C,Ere!B:B,A683)</f>
        <v>0</v>
      </c>
      <c r="N683" s="106" t="str">
        <f t="shared" si="7"/>
        <v>1</v>
      </c>
      <c r="O683" s="107" t="str">
        <f t="array" ref="O683">XLOOKUP(A683,Data!F:F,Data!O:O)</f>
        <v>  1.56 </v>
      </c>
      <c r="P683" s="107" t="str">
        <f t="shared" si="8"/>
        <v>  3.91 </v>
      </c>
      <c r="Q683" s="27"/>
    </row>
    <row r="684" ht="15.75" customHeight="1">
      <c r="A684" s="105" t="s">
        <v>928</v>
      </c>
      <c r="B684" s="19" t="str">
        <f t="array" ref="B684">XLOOKUP(A684,Data!F:F,Data!G:G)</f>
        <v>A1D</v>
      </c>
      <c r="C684" s="19" t="str">
        <f t="shared" si="3"/>
        <v>A054</v>
      </c>
      <c r="D684" s="19" t="str">
        <f t="array" ref="D684">XLOOKUP(A684,Data!F:F,Data!C:C)</f>
        <v/>
      </c>
      <c r="E684" s="19" t="str">
        <f t="array" ref="E684">XLOOKUP(A684,Data!F:F,Data!H:H)</f>
        <v>BW</v>
      </c>
      <c r="F684" s="106" t="str">
        <f>SUMIFS(Data!J:J,Data!F:F,A684)</f>
        <v>1</v>
      </c>
      <c r="G684" s="106" t="str">
        <f>SUMIFS(Cast!C:C,CastElements,A684)</f>
        <v>1</v>
      </c>
      <c r="H684" s="106" t="str">
        <f t="shared" si="4"/>
        <v>0</v>
      </c>
      <c r="I684" s="106" t="str">
        <f>SUMIFS(Del!C:C,Del!B:B,A684)</f>
        <v>0</v>
      </c>
      <c r="J684" s="106" t="str">
        <f t="shared" si="5"/>
        <v>1</v>
      </c>
      <c r="K684" s="106" t="str">
        <f t="shared" si="6"/>
        <v>1</v>
      </c>
      <c r="L684" s="106"/>
      <c r="M684" s="106" t="str">
        <f>SUMIFS(Ere!C:C,Ere!B:B,A684)</f>
        <v>0</v>
      </c>
      <c r="N684" s="106" t="str">
        <f t="shared" si="7"/>
        <v>1</v>
      </c>
      <c r="O684" s="107" t="str">
        <f t="array" ref="O684">XLOOKUP(A684,Data!F:F,Data!O:O)</f>
        <v>  1.86 </v>
      </c>
      <c r="P684" s="107" t="str">
        <f t="shared" si="8"/>
        <v>  4.64 </v>
      </c>
      <c r="Q684" s="27"/>
    </row>
    <row r="685" ht="15.75" customHeight="1">
      <c r="A685" s="105" t="s">
        <v>929</v>
      </c>
      <c r="B685" s="19" t="str">
        <f t="array" ref="B685">XLOOKUP(A685,Data!F:F,Data!G:G)</f>
        <v>A1D</v>
      </c>
      <c r="C685" s="19" t="str">
        <f t="shared" si="3"/>
        <v>A054</v>
      </c>
      <c r="D685" s="19" t="str">
        <f t="array" ref="D685">XLOOKUP(A685,Data!F:F,Data!C:C)</f>
        <v/>
      </c>
      <c r="E685" s="19" t="str">
        <f t="array" ref="E685">XLOOKUP(A685,Data!F:F,Data!H:H)</f>
        <v>BW</v>
      </c>
      <c r="F685" s="106" t="str">
        <f>SUMIFS(Data!J:J,Data!F:F,A685)</f>
        <v>1</v>
      </c>
      <c r="G685" s="106" t="str">
        <f>SUMIFS(Cast!C:C,CastElements,A685)</f>
        <v>1</v>
      </c>
      <c r="H685" s="106" t="str">
        <f t="shared" si="4"/>
        <v>0</v>
      </c>
      <c r="I685" s="106" t="str">
        <f>SUMIFS(Del!C:C,Del!B:B,A685)</f>
        <v>0</v>
      </c>
      <c r="J685" s="106" t="str">
        <f t="shared" si="5"/>
        <v>1</v>
      </c>
      <c r="K685" s="106" t="str">
        <f t="shared" si="6"/>
        <v>1</v>
      </c>
      <c r="L685" s="106"/>
      <c r="M685" s="106" t="str">
        <f>SUMIFS(Ere!C:C,Ere!B:B,A685)</f>
        <v>0</v>
      </c>
      <c r="N685" s="106" t="str">
        <f t="shared" si="7"/>
        <v>1</v>
      </c>
      <c r="O685" s="107" t="str">
        <f t="array" ref="O685">XLOOKUP(A685,Data!F:F,Data!O:O)</f>
        <v>  1.86 </v>
      </c>
      <c r="P685" s="107" t="str">
        <f t="shared" si="8"/>
        <v>  4.64 </v>
      </c>
      <c r="Q685" s="27"/>
    </row>
    <row r="686" ht="15.75" customHeight="1">
      <c r="A686" s="105" t="s">
        <v>930</v>
      </c>
      <c r="B686" s="19" t="str">
        <f t="array" ref="B686">XLOOKUP(A686,Data!F:F,Data!G:G)</f>
        <v>A1D</v>
      </c>
      <c r="C686" s="19" t="str">
        <f t="shared" si="3"/>
        <v>A054</v>
      </c>
      <c r="D686" s="19" t="str">
        <f t="array" ref="D686">XLOOKUP(A686,Data!F:F,Data!C:C)</f>
        <v/>
      </c>
      <c r="E686" s="19" t="str">
        <f t="array" ref="E686">XLOOKUP(A686,Data!F:F,Data!H:H)</f>
        <v>BW</v>
      </c>
      <c r="F686" s="106" t="str">
        <f>SUMIFS(Data!J:J,Data!F:F,A686)</f>
        <v>1</v>
      </c>
      <c r="G686" s="106" t="str">
        <f>SUMIFS(Cast!C:C,CastElements,A686)</f>
        <v>1</v>
      </c>
      <c r="H686" s="106" t="str">
        <f t="shared" si="4"/>
        <v>0</v>
      </c>
      <c r="I686" s="106" t="str">
        <f>SUMIFS(Del!C:C,Del!B:B,A686)</f>
        <v>0</v>
      </c>
      <c r="J686" s="106" t="str">
        <f t="shared" si="5"/>
        <v>1</v>
      </c>
      <c r="K686" s="106" t="str">
        <f t="shared" si="6"/>
        <v>1</v>
      </c>
      <c r="L686" s="106"/>
      <c r="M686" s="106" t="str">
        <f>SUMIFS(Ere!C:C,Ere!B:B,A686)</f>
        <v>0</v>
      </c>
      <c r="N686" s="106" t="str">
        <f t="shared" si="7"/>
        <v>1</v>
      </c>
      <c r="O686" s="107" t="str">
        <f t="array" ref="O686">XLOOKUP(A686,Data!F:F,Data!O:O)</f>
        <v>  1.86 </v>
      </c>
      <c r="P686" s="107" t="str">
        <f t="shared" si="8"/>
        <v>  4.64 </v>
      </c>
      <c r="Q686" s="27"/>
    </row>
    <row r="687" ht="15.75" customHeight="1">
      <c r="A687" s="105" t="s">
        <v>931</v>
      </c>
      <c r="B687" s="19" t="str">
        <f t="array" ref="B687">XLOOKUP(A687,Data!F:F,Data!G:G)</f>
        <v>A1D</v>
      </c>
      <c r="C687" s="19" t="str">
        <f t="shared" si="3"/>
        <v>A055</v>
      </c>
      <c r="D687" s="19" t="str">
        <f t="array" ref="D687">XLOOKUP(A687,Data!F:F,Data!C:C)</f>
        <v/>
      </c>
      <c r="E687" s="19" t="str">
        <f t="array" ref="E687">XLOOKUP(A687,Data!F:F,Data!H:H)</f>
        <v>BW</v>
      </c>
      <c r="F687" s="106" t="str">
        <f>SUMIFS(Data!J:J,Data!F:F,A687)</f>
        <v>1</v>
      </c>
      <c r="G687" s="106" t="str">
        <f>SUMIFS(Cast!C:C,CastElements,A687)</f>
        <v>0</v>
      </c>
      <c r="H687" s="106" t="str">
        <f t="shared" si="4"/>
        <v>1</v>
      </c>
      <c r="I687" s="106" t="str">
        <f>SUMIFS(Del!C:C,Del!B:B,A687)</f>
        <v>0</v>
      </c>
      <c r="J687" s="106" t="str">
        <f t="shared" si="5"/>
        <v>1</v>
      </c>
      <c r="K687" s="106" t="str">
        <f t="shared" si="6"/>
        <v>0</v>
      </c>
      <c r="L687" s="106"/>
      <c r="M687" s="106" t="str">
        <f>SUMIFS(Ere!C:C,Ere!B:B,A687)</f>
        <v>0</v>
      </c>
      <c r="N687" s="106" t="str">
        <f t="shared" si="7"/>
        <v>1</v>
      </c>
      <c r="O687" s="107" t="str">
        <f t="array" ref="O687">XLOOKUP(A687,Data!F:F,Data!O:O)</f>
        <v>  0.35 </v>
      </c>
      <c r="P687" s="107" t="str">
        <f t="shared" si="8"/>
        <v>  0.86 </v>
      </c>
      <c r="Q687" s="27"/>
    </row>
    <row r="688" ht="15.75" customHeight="1">
      <c r="A688" s="105" t="s">
        <v>932</v>
      </c>
      <c r="B688" s="19" t="str">
        <f t="array" ref="B688">XLOOKUP(A688,Data!F:F,Data!G:G)</f>
        <v>A1D</v>
      </c>
      <c r="C688" s="19" t="str">
        <f t="shared" si="3"/>
        <v>A055</v>
      </c>
      <c r="D688" s="19" t="str">
        <f t="array" ref="D688">XLOOKUP(A688,Data!F:F,Data!C:C)</f>
        <v/>
      </c>
      <c r="E688" s="19" t="str">
        <f t="array" ref="E688">XLOOKUP(A688,Data!F:F,Data!H:H)</f>
        <v>CF</v>
      </c>
      <c r="F688" s="106" t="str">
        <f>SUMIFS(Data!J:J,Data!F:F,A688)</f>
        <v>1</v>
      </c>
      <c r="G688" s="106" t="str">
        <f>SUMIFS(Cast!C:C,CastElements,A688)</f>
        <v>0</v>
      </c>
      <c r="H688" s="106" t="str">
        <f t="shared" si="4"/>
        <v>1</v>
      </c>
      <c r="I688" s="106" t="str">
        <f>SUMIFS(Del!C:C,Del!B:B,A688)</f>
        <v>0</v>
      </c>
      <c r="J688" s="106" t="str">
        <f t="shared" si="5"/>
        <v>1</v>
      </c>
      <c r="K688" s="106" t="str">
        <f t="shared" si="6"/>
        <v>0</v>
      </c>
      <c r="L688" s="106"/>
      <c r="M688" s="106" t="str">
        <f>SUMIFS(Ere!C:C,Ere!B:B,A688)</f>
        <v>0</v>
      </c>
      <c r="N688" s="106" t="str">
        <f t="shared" si="7"/>
        <v>1</v>
      </c>
      <c r="O688" s="107" t="str">
        <f t="array" ref="O688">XLOOKUP(A688,Data!F:F,Data!O:O)</f>
        <v>  0.46 </v>
      </c>
      <c r="P688" s="107" t="str">
        <f t="shared" si="8"/>
        <v>  1.14 </v>
      </c>
      <c r="Q688" s="27"/>
    </row>
    <row r="689" ht="15.75" customHeight="1">
      <c r="A689" s="105" t="s">
        <v>933</v>
      </c>
      <c r="B689" s="19" t="str">
        <f t="array" ref="B689">XLOOKUP(A689,Data!F:F,Data!G:G)</f>
        <v>A1D</v>
      </c>
      <c r="C689" s="19" t="str">
        <f t="shared" si="3"/>
        <v>A055</v>
      </c>
      <c r="D689" s="19" t="str">
        <f t="array" ref="D689">XLOOKUP(A689,Data!F:F,Data!C:C)</f>
        <v>EXT</v>
      </c>
      <c r="E689" s="19" t="str">
        <f t="array" ref="E689">XLOOKUP(A689,Data!F:F,Data!H:H)</f>
        <v>BW</v>
      </c>
      <c r="F689" s="106" t="str">
        <f>SUMIFS(Data!J:J,Data!F:F,A689)</f>
        <v>1</v>
      </c>
      <c r="G689" s="106" t="str">
        <f>SUMIFS(Cast!C:C,CastElements,A689)</f>
        <v>1</v>
      </c>
      <c r="H689" s="106" t="str">
        <f t="shared" si="4"/>
        <v>0</v>
      </c>
      <c r="I689" s="106" t="str">
        <f>SUMIFS(Del!C:C,Del!B:B,A689)</f>
        <v>0</v>
      </c>
      <c r="J689" s="106" t="str">
        <f t="shared" si="5"/>
        <v>1</v>
      </c>
      <c r="K689" s="106" t="str">
        <f t="shared" si="6"/>
        <v>1</v>
      </c>
      <c r="L689" s="106"/>
      <c r="M689" s="106" t="str">
        <f>SUMIFS(Ere!C:C,Ere!B:B,A689)</f>
        <v>0</v>
      </c>
      <c r="N689" s="106" t="str">
        <f t="shared" si="7"/>
        <v>1</v>
      </c>
      <c r="O689" s="107" t="str">
        <f t="array" ref="O689">XLOOKUP(A689,Data!F:F,Data!O:O)</f>
        <v>  0.79 </v>
      </c>
      <c r="P689" s="107" t="str">
        <f t="shared" si="8"/>
        <v>  1.98 </v>
      </c>
      <c r="Q689" s="27"/>
    </row>
    <row r="690" ht="15.75" customHeight="1">
      <c r="A690" s="105" t="s">
        <v>934</v>
      </c>
      <c r="B690" s="19" t="str">
        <f t="array" ref="B690">XLOOKUP(A690,Data!F:F,Data!G:G)</f>
        <v>A1D</v>
      </c>
      <c r="C690" s="19" t="str">
        <f t="shared" si="3"/>
        <v>A055</v>
      </c>
      <c r="D690" s="19" t="str">
        <f t="array" ref="D690">XLOOKUP(A690,Data!F:F,Data!C:C)</f>
        <v>EXT</v>
      </c>
      <c r="E690" s="19" t="str">
        <f t="array" ref="E690">XLOOKUP(A690,Data!F:F,Data!H:H)</f>
        <v>BW</v>
      </c>
      <c r="F690" s="106" t="str">
        <f>SUMIFS(Data!J:J,Data!F:F,A690)</f>
        <v>1</v>
      </c>
      <c r="G690" s="106" t="str">
        <f>SUMIFS(Cast!C:C,CastElements,A690)</f>
        <v>0</v>
      </c>
      <c r="H690" s="106" t="str">
        <f t="shared" si="4"/>
        <v>1</v>
      </c>
      <c r="I690" s="106" t="str">
        <f>SUMIFS(Del!C:C,Del!B:B,A690)</f>
        <v>0</v>
      </c>
      <c r="J690" s="106" t="str">
        <f t="shared" si="5"/>
        <v>1</v>
      </c>
      <c r="K690" s="106" t="str">
        <f t="shared" si="6"/>
        <v>0</v>
      </c>
      <c r="L690" s="106"/>
      <c r="M690" s="106" t="str">
        <f>SUMIFS(Ere!C:C,Ere!B:B,A690)</f>
        <v>0</v>
      </c>
      <c r="N690" s="106" t="str">
        <f t="shared" si="7"/>
        <v>1</v>
      </c>
      <c r="O690" s="107" t="str">
        <f t="array" ref="O690">XLOOKUP(A690,Data!F:F,Data!O:O)</f>
        <v>  0.88 </v>
      </c>
      <c r="P690" s="107" t="str">
        <f t="shared" si="8"/>
        <v>  2.20 </v>
      </c>
      <c r="Q690" s="27"/>
    </row>
    <row r="691" ht="15.75" customHeight="1">
      <c r="A691" s="105" t="s">
        <v>935</v>
      </c>
      <c r="B691" s="19" t="str">
        <f t="array" ref="B691">XLOOKUP(A691,Data!F:F,Data!G:G)</f>
        <v>A1D</v>
      </c>
      <c r="C691" s="19" t="str">
        <f t="shared" si="3"/>
        <v>A055</v>
      </c>
      <c r="D691" s="19" t="str">
        <f t="array" ref="D691">XLOOKUP(A691,Data!F:F,Data!C:C)</f>
        <v>EXT</v>
      </c>
      <c r="E691" s="19" t="str">
        <f t="array" ref="E691">XLOOKUP(A691,Data!F:F,Data!H:H)</f>
        <v>BW</v>
      </c>
      <c r="F691" s="106" t="str">
        <f>SUMIFS(Data!J:J,Data!F:F,A691)</f>
        <v>1</v>
      </c>
      <c r="G691" s="106" t="str">
        <f>SUMIFS(Cast!C:C,CastElements,A691)</f>
        <v>0</v>
      </c>
      <c r="H691" s="106" t="str">
        <f t="shared" si="4"/>
        <v>1</v>
      </c>
      <c r="I691" s="106" t="str">
        <f>SUMIFS(Del!C:C,Del!B:B,A691)</f>
        <v>0</v>
      </c>
      <c r="J691" s="106" t="str">
        <f t="shared" si="5"/>
        <v>1</v>
      </c>
      <c r="K691" s="106" t="str">
        <f t="shared" si="6"/>
        <v>0</v>
      </c>
      <c r="L691" s="106"/>
      <c r="M691" s="106" t="str">
        <f>SUMIFS(Ere!C:C,Ere!B:B,A691)</f>
        <v>0</v>
      </c>
      <c r="N691" s="106" t="str">
        <f t="shared" si="7"/>
        <v>1</v>
      </c>
      <c r="O691" s="107" t="str">
        <f t="array" ref="O691">XLOOKUP(A691,Data!F:F,Data!O:O)</f>
        <v>  0.88 </v>
      </c>
      <c r="P691" s="107" t="str">
        <f t="shared" si="8"/>
        <v>  2.20 </v>
      </c>
      <c r="Q691" s="27"/>
    </row>
    <row r="692" ht="15.75" customHeight="1">
      <c r="A692" s="105" t="s">
        <v>936</v>
      </c>
      <c r="B692" s="19" t="str">
        <f t="array" ref="B692">XLOOKUP(A692,Data!F:F,Data!G:G)</f>
        <v>A1D</v>
      </c>
      <c r="C692" s="19" t="str">
        <f t="shared" si="3"/>
        <v>A055</v>
      </c>
      <c r="D692" s="19" t="str">
        <f t="array" ref="D692">XLOOKUP(A692,Data!F:F,Data!C:C)</f>
        <v>EXT</v>
      </c>
      <c r="E692" s="19" t="str">
        <f t="array" ref="E692">XLOOKUP(A692,Data!F:F,Data!H:H)</f>
        <v>BW</v>
      </c>
      <c r="F692" s="106" t="str">
        <f>SUMIFS(Data!J:J,Data!F:F,A692)</f>
        <v>1</v>
      </c>
      <c r="G692" s="106" t="str">
        <f>SUMIFS(Cast!C:C,CastElements,A692)</f>
        <v>0</v>
      </c>
      <c r="H692" s="106" t="str">
        <f t="shared" si="4"/>
        <v>1</v>
      </c>
      <c r="I692" s="106" t="str">
        <f>SUMIFS(Del!C:C,Del!B:B,A692)</f>
        <v>0</v>
      </c>
      <c r="J692" s="106" t="str">
        <f t="shared" si="5"/>
        <v>1</v>
      </c>
      <c r="K692" s="106" t="str">
        <f t="shared" si="6"/>
        <v>0</v>
      </c>
      <c r="L692" s="106"/>
      <c r="M692" s="106" t="str">
        <f>SUMIFS(Ere!C:C,Ere!B:B,A692)</f>
        <v>0</v>
      </c>
      <c r="N692" s="106" t="str">
        <f t="shared" si="7"/>
        <v>1</v>
      </c>
      <c r="O692" s="107" t="str">
        <f t="array" ref="O692">XLOOKUP(A692,Data!F:F,Data!O:O)</f>
        <v>  1.03 </v>
      </c>
      <c r="P692" s="107" t="str">
        <f t="shared" si="8"/>
        <v>  2.58 </v>
      </c>
      <c r="Q692" s="27"/>
    </row>
    <row r="693" ht="15.75" customHeight="1">
      <c r="A693" s="105" t="s">
        <v>937</v>
      </c>
      <c r="B693" s="19" t="str">
        <f t="array" ref="B693">XLOOKUP(A693,Data!F:F,Data!G:G)</f>
        <v>A1D</v>
      </c>
      <c r="C693" s="19" t="str">
        <f t="shared" si="3"/>
        <v>A055</v>
      </c>
      <c r="D693" s="19" t="str">
        <f t="array" ref="D693">XLOOKUP(A693,Data!F:F,Data!C:C)</f>
        <v/>
      </c>
      <c r="E693" s="19" t="str">
        <f t="array" ref="E693">XLOOKUP(A693,Data!F:F,Data!H:H)</f>
        <v>BW</v>
      </c>
      <c r="F693" s="106" t="str">
        <f>SUMIFS(Data!J:J,Data!F:F,A693)</f>
        <v>1</v>
      </c>
      <c r="G693" s="106" t="str">
        <f>SUMIFS(Cast!C:C,CastElements,A693)</f>
        <v>0</v>
      </c>
      <c r="H693" s="106" t="str">
        <f t="shared" si="4"/>
        <v>1</v>
      </c>
      <c r="I693" s="106" t="str">
        <f>SUMIFS(Del!C:C,Del!B:B,A693)</f>
        <v>0</v>
      </c>
      <c r="J693" s="106" t="str">
        <f t="shared" si="5"/>
        <v>1</v>
      </c>
      <c r="K693" s="106" t="str">
        <f t="shared" si="6"/>
        <v>0</v>
      </c>
      <c r="L693" s="106"/>
      <c r="M693" s="106" t="str">
        <f>SUMIFS(Ere!C:C,Ere!B:B,A693)</f>
        <v>0</v>
      </c>
      <c r="N693" s="106" t="str">
        <f t="shared" si="7"/>
        <v>1</v>
      </c>
      <c r="O693" s="107" t="str">
        <f t="array" ref="O693">XLOOKUP(A693,Data!F:F,Data!O:O)</f>
        <v>  2.07 </v>
      </c>
      <c r="P693" s="107" t="str">
        <f t="shared" si="8"/>
        <v>  5.17 </v>
      </c>
      <c r="Q693" s="27"/>
    </row>
    <row r="694" ht="15.75" customHeight="1">
      <c r="A694" s="105" t="s">
        <v>938</v>
      </c>
      <c r="B694" s="19" t="str">
        <f t="array" ref="B694">XLOOKUP(A694,Data!F:F,Data!G:G)</f>
        <v>A1D</v>
      </c>
      <c r="C694" s="19" t="str">
        <f t="shared" si="3"/>
        <v>A055</v>
      </c>
      <c r="D694" s="19" t="str">
        <f t="array" ref="D694">XLOOKUP(A694,Data!F:F,Data!C:C)</f>
        <v/>
      </c>
      <c r="E694" s="19" t="str">
        <f t="array" ref="E694">XLOOKUP(A694,Data!F:F,Data!H:H)</f>
        <v>BW</v>
      </c>
      <c r="F694" s="106" t="str">
        <f>SUMIFS(Data!J:J,Data!F:F,A694)</f>
        <v>1</v>
      </c>
      <c r="G694" s="106" t="str">
        <f>SUMIFS(Cast!C:C,CastElements,A694)</f>
        <v>0</v>
      </c>
      <c r="H694" s="106" t="str">
        <f t="shared" si="4"/>
        <v>1</v>
      </c>
      <c r="I694" s="106" t="str">
        <f>SUMIFS(Del!C:C,Del!B:B,A694)</f>
        <v>0</v>
      </c>
      <c r="J694" s="106" t="str">
        <f t="shared" si="5"/>
        <v>1</v>
      </c>
      <c r="K694" s="106" t="str">
        <f t="shared" si="6"/>
        <v>0</v>
      </c>
      <c r="L694" s="106"/>
      <c r="M694" s="106" t="str">
        <f>SUMIFS(Ere!C:C,Ere!B:B,A694)</f>
        <v>0</v>
      </c>
      <c r="N694" s="106" t="str">
        <f t="shared" si="7"/>
        <v>1</v>
      </c>
      <c r="O694" s="107" t="str">
        <f t="array" ref="O694">XLOOKUP(A694,Data!F:F,Data!O:O)</f>
        <v>  1.63 </v>
      </c>
      <c r="P694" s="107" t="str">
        <f t="shared" si="8"/>
        <v>  4.07 </v>
      </c>
      <c r="Q694" s="27"/>
    </row>
    <row r="695" ht="15.75" customHeight="1">
      <c r="A695" s="105" t="s">
        <v>939</v>
      </c>
      <c r="B695" s="19" t="str">
        <f t="array" ref="B695">XLOOKUP(A695,Data!F:F,Data!G:G)</f>
        <v>A1D</v>
      </c>
      <c r="C695" s="19" t="str">
        <f t="shared" si="3"/>
        <v>A055</v>
      </c>
      <c r="D695" s="19" t="str">
        <f t="array" ref="D695">XLOOKUP(A695,Data!F:F,Data!C:C)</f>
        <v/>
      </c>
      <c r="E695" s="19" t="str">
        <f t="array" ref="E695">XLOOKUP(A695,Data!F:F,Data!H:H)</f>
        <v>BW</v>
      </c>
      <c r="F695" s="106" t="str">
        <f>SUMIFS(Data!J:J,Data!F:F,A695)</f>
        <v>1</v>
      </c>
      <c r="G695" s="106" t="str">
        <f>SUMIFS(Cast!C:C,CastElements,A695)</f>
        <v>1</v>
      </c>
      <c r="H695" s="106" t="str">
        <f t="shared" si="4"/>
        <v>0</v>
      </c>
      <c r="I695" s="106" t="str">
        <f>SUMIFS(Del!C:C,Del!B:B,A695)</f>
        <v>0</v>
      </c>
      <c r="J695" s="106" t="str">
        <f t="shared" si="5"/>
        <v>1</v>
      </c>
      <c r="K695" s="106" t="str">
        <f t="shared" si="6"/>
        <v>1</v>
      </c>
      <c r="L695" s="106"/>
      <c r="M695" s="106" t="str">
        <f>SUMIFS(Ere!C:C,Ere!B:B,A695)</f>
        <v>0</v>
      </c>
      <c r="N695" s="106" t="str">
        <f t="shared" si="7"/>
        <v>1</v>
      </c>
      <c r="O695" s="107" t="str">
        <f t="array" ref="O695">XLOOKUP(A695,Data!F:F,Data!O:O)</f>
        <v>  1.96 </v>
      </c>
      <c r="P695" s="107" t="str">
        <f t="shared" si="8"/>
        <v>  4.91 </v>
      </c>
      <c r="Q695" s="27"/>
    </row>
    <row r="696" ht="15.75" customHeight="1">
      <c r="A696" s="105" t="s">
        <v>940</v>
      </c>
      <c r="B696" s="19" t="str">
        <f t="array" ref="B696">XLOOKUP(A696,Data!F:F,Data!G:G)</f>
        <v>A1D</v>
      </c>
      <c r="C696" s="19" t="str">
        <f t="shared" si="3"/>
        <v>A055</v>
      </c>
      <c r="D696" s="19" t="str">
        <f t="array" ref="D696">XLOOKUP(A696,Data!F:F,Data!C:C)</f>
        <v/>
      </c>
      <c r="E696" s="19" t="str">
        <f t="array" ref="E696">XLOOKUP(A696,Data!F:F,Data!H:H)</f>
        <v>BW</v>
      </c>
      <c r="F696" s="106" t="str">
        <f>SUMIFS(Data!J:J,Data!F:F,A696)</f>
        <v>1</v>
      </c>
      <c r="G696" s="106" t="str">
        <f>SUMIFS(Cast!C:C,CastElements,A696)</f>
        <v>1</v>
      </c>
      <c r="H696" s="106" t="str">
        <f t="shared" si="4"/>
        <v>0</v>
      </c>
      <c r="I696" s="106" t="str">
        <f>SUMIFS(Del!C:C,Del!B:B,A696)</f>
        <v>0</v>
      </c>
      <c r="J696" s="106" t="str">
        <f t="shared" si="5"/>
        <v>1</v>
      </c>
      <c r="K696" s="106" t="str">
        <f t="shared" si="6"/>
        <v>1</v>
      </c>
      <c r="L696" s="106"/>
      <c r="M696" s="106" t="str">
        <f>SUMIFS(Ere!C:C,Ere!B:B,A696)</f>
        <v>0</v>
      </c>
      <c r="N696" s="106" t="str">
        <f t="shared" si="7"/>
        <v>1</v>
      </c>
      <c r="O696" s="107" t="str">
        <f t="array" ref="O696">XLOOKUP(A696,Data!F:F,Data!O:O)</f>
        <v>  1.96 </v>
      </c>
      <c r="P696" s="107" t="str">
        <f t="shared" si="8"/>
        <v>  4.91 </v>
      </c>
      <c r="Q696" s="27"/>
    </row>
    <row r="697" ht="15.75" customHeight="1">
      <c r="A697" s="105" t="s">
        <v>941</v>
      </c>
      <c r="B697" s="19" t="str">
        <f t="array" ref="B697">XLOOKUP(A697,Data!F:F,Data!G:G)</f>
        <v>A1D</v>
      </c>
      <c r="C697" s="19" t="str">
        <f t="shared" si="3"/>
        <v>A055</v>
      </c>
      <c r="D697" s="19" t="str">
        <f t="array" ref="D697">XLOOKUP(A697,Data!F:F,Data!C:C)</f>
        <v/>
      </c>
      <c r="E697" s="19" t="str">
        <f t="array" ref="E697">XLOOKUP(A697,Data!F:F,Data!H:H)</f>
        <v>BW</v>
      </c>
      <c r="F697" s="106" t="str">
        <f>SUMIFS(Data!J:J,Data!F:F,A697)</f>
        <v>1</v>
      </c>
      <c r="G697" s="106" t="str">
        <f>SUMIFS(Cast!C:C,CastElements,A697)</f>
        <v>1</v>
      </c>
      <c r="H697" s="106" t="str">
        <f t="shared" si="4"/>
        <v>0</v>
      </c>
      <c r="I697" s="106" t="str">
        <f>SUMIFS(Del!C:C,Del!B:B,A697)</f>
        <v>0</v>
      </c>
      <c r="J697" s="106" t="str">
        <f t="shared" si="5"/>
        <v>1</v>
      </c>
      <c r="K697" s="106" t="str">
        <f t="shared" si="6"/>
        <v>1</v>
      </c>
      <c r="L697" s="106"/>
      <c r="M697" s="106" t="str">
        <f>SUMIFS(Ere!C:C,Ere!B:B,A697)</f>
        <v>0</v>
      </c>
      <c r="N697" s="106" t="str">
        <f t="shared" si="7"/>
        <v>1</v>
      </c>
      <c r="O697" s="107" t="str">
        <f t="array" ref="O697">XLOOKUP(A697,Data!F:F,Data!O:O)</f>
        <v>  1.96 </v>
      </c>
      <c r="P697" s="107" t="str">
        <f t="shared" si="8"/>
        <v>  4.91 </v>
      </c>
      <c r="Q697" s="27"/>
    </row>
    <row r="698" ht="15.75" customHeight="1">
      <c r="A698" s="105" t="s">
        <v>942</v>
      </c>
      <c r="B698" s="19" t="str">
        <f t="array" ref="B698">XLOOKUP(A698,Data!F:F,Data!G:G)</f>
        <v>A1D</v>
      </c>
      <c r="C698" s="19" t="str">
        <f t="shared" si="3"/>
        <v>A055</v>
      </c>
      <c r="D698" s="19" t="str">
        <f t="array" ref="D698">XLOOKUP(A698,Data!F:F,Data!C:C)</f>
        <v/>
      </c>
      <c r="E698" s="19" t="str">
        <f t="array" ref="E698">XLOOKUP(A698,Data!F:F,Data!H:H)</f>
        <v>BW</v>
      </c>
      <c r="F698" s="106" t="str">
        <f>SUMIFS(Data!J:J,Data!F:F,A698)</f>
        <v>1</v>
      </c>
      <c r="G698" s="106" t="str">
        <f>SUMIFS(Cast!C:C,CastElements,A698)</f>
        <v>1</v>
      </c>
      <c r="H698" s="106" t="str">
        <f t="shared" si="4"/>
        <v>0</v>
      </c>
      <c r="I698" s="106" t="str">
        <f>SUMIFS(Del!C:C,Del!B:B,A698)</f>
        <v>0</v>
      </c>
      <c r="J698" s="106" t="str">
        <f t="shared" si="5"/>
        <v>1</v>
      </c>
      <c r="K698" s="106" t="str">
        <f t="shared" si="6"/>
        <v>1</v>
      </c>
      <c r="L698" s="106"/>
      <c r="M698" s="106" t="str">
        <f>SUMIFS(Ere!C:C,Ere!B:B,A698)</f>
        <v>0</v>
      </c>
      <c r="N698" s="106" t="str">
        <f t="shared" si="7"/>
        <v>1</v>
      </c>
      <c r="O698" s="107" t="str">
        <f t="array" ref="O698">XLOOKUP(A698,Data!F:F,Data!O:O)</f>
        <v>  1.80 </v>
      </c>
      <c r="P698" s="107" t="str">
        <f t="shared" si="8"/>
        <v>  4.50 </v>
      </c>
      <c r="Q698" s="27"/>
    </row>
    <row r="699" ht="15.75" customHeight="1">
      <c r="A699" s="105" t="s">
        <v>943</v>
      </c>
      <c r="B699" s="19" t="str">
        <f t="array" ref="B699">XLOOKUP(A699,Data!F:F,Data!G:G)</f>
        <v>A1D</v>
      </c>
      <c r="C699" s="19" t="str">
        <f t="shared" si="3"/>
        <v>A055</v>
      </c>
      <c r="D699" s="19" t="str">
        <f t="array" ref="D699">XLOOKUP(A699,Data!F:F,Data!C:C)</f>
        <v/>
      </c>
      <c r="E699" s="19" t="str">
        <f t="array" ref="E699">XLOOKUP(A699,Data!F:F,Data!H:H)</f>
        <v>BW</v>
      </c>
      <c r="F699" s="106" t="str">
        <f>SUMIFS(Data!J:J,Data!F:F,A699)</f>
        <v>1</v>
      </c>
      <c r="G699" s="106" t="str">
        <f>SUMIFS(Cast!C:C,CastElements,A699)</f>
        <v>1</v>
      </c>
      <c r="H699" s="106" t="str">
        <f t="shared" si="4"/>
        <v>0</v>
      </c>
      <c r="I699" s="106" t="str">
        <f>SUMIFS(Del!C:C,Del!B:B,A699)</f>
        <v>0</v>
      </c>
      <c r="J699" s="106" t="str">
        <f t="shared" si="5"/>
        <v>1</v>
      </c>
      <c r="K699" s="106" t="str">
        <f t="shared" si="6"/>
        <v>1</v>
      </c>
      <c r="L699" s="106"/>
      <c r="M699" s="106" t="str">
        <f>SUMIFS(Ere!C:C,Ere!B:B,A699)</f>
        <v>0</v>
      </c>
      <c r="N699" s="106" t="str">
        <f t="shared" si="7"/>
        <v>1</v>
      </c>
      <c r="O699" s="107" t="str">
        <f t="array" ref="O699">XLOOKUP(A699,Data!F:F,Data!O:O)</f>
        <v>  1.84 </v>
      </c>
      <c r="P699" s="107" t="str">
        <f t="shared" si="8"/>
        <v>  4.61 </v>
      </c>
      <c r="Q699" s="27"/>
    </row>
    <row r="700" ht="15.75" customHeight="1">
      <c r="A700" s="105" t="s">
        <v>944</v>
      </c>
      <c r="B700" s="19" t="str">
        <f t="array" ref="B700">XLOOKUP(A700,Data!F:F,Data!G:G)</f>
        <v>A1D</v>
      </c>
      <c r="C700" s="19" t="str">
        <f t="shared" si="3"/>
        <v>A055</v>
      </c>
      <c r="D700" s="19" t="str">
        <f t="array" ref="D700">XLOOKUP(A700,Data!F:F,Data!C:C)</f>
        <v/>
      </c>
      <c r="E700" s="19" t="str">
        <f t="array" ref="E700">XLOOKUP(A700,Data!F:F,Data!H:H)</f>
        <v>BW</v>
      </c>
      <c r="F700" s="106" t="str">
        <f>SUMIFS(Data!J:J,Data!F:F,A700)</f>
        <v>1</v>
      </c>
      <c r="G700" s="106" t="str">
        <f>SUMIFS(Cast!C:C,CastElements,A700)</f>
        <v>1</v>
      </c>
      <c r="H700" s="106" t="str">
        <f t="shared" si="4"/>
        <v>0</v>
      </c>
      <c r="I700" s="106" t="str">
        <f>SUMIFS(Del!C:C,Del!B:B,A700)</f>
        <v>0</v>
      </c>
      <c r="J700" s="106" t="str">
        <f t="shared" si="5"/>
        <v>1</v>
      </c>
      <c r="K700" s="106" t="str">
        <f t="shared" si="6"/>
        <v>1</v>
      </c>
      <c r="L700" s="106"/>
      <c r="M700" s="106" t="str">
        <f>SUMIFS(Ere!C:C,Ere!B:B,A700)</f>
        <v>0</v>
      </c>
      <c r="N700" s="106" t="str">
        <f t="shared" si="7"/>
        <v>1</v>
      </c>
      <c r="O700" s="107" t="str">
        <f t="array" ref="O700">XLOOKUP(A700,Data!F:F,Data!O:O)</f>
        <v>  1.84 </v>
      </c>
      <c r="P700" s="107" t="str">
        <f t="shared" si="8"/>
        <v>  4.61 </v>
      </c>
      <c r="Q700" s="27"/>
    </row>
    <row r="701" ht="15.75" customHeight="1">
      <c r="A701" s="105" t="s">
        <v>945</v>
      </c>
      <c r="B701" s="19" t="str">
        <f t="array" ref="B701">XLOOKUP(A701,Data!F:F,Data!G:G)</f>
        <v>A1D</v>
      </c>
      <c r="C701" s="19" t="str">
        <f t="shared" si="3"/>
        <v>A055</v>
      </c>
      <c r="D701" s="19" t="str">
        <f t="array" ref="D701">XLOOKUP(A701,Data!F:F,Data!C:C)</f>
        <v/>
      </c>
      <c r="E701" s="19" t="str">
        <f t="array" ref="E701">XLOOKUP(A701,Data!F:F,Data!H:H)</f>
        <v>BW</v>
      </c>
      <c r="F701" s="106" t="str">
        <f>SUMIFS(Data!J:J,Data!F:F,A701)</f>
        <v>1</v>
      </c>
      <c r="G701" s="106" t="str">
        <f>SUMIFS(Cast!C:C,CastElements,A701)</f>
        <v>1</v>
      </c>
      <c r="H701" s="106" t="str">
        <f t="shared" si="4"/>
        <v>0</v>
      </c>
      <c r="I701" s="106" t="str">
        <f>SUMIFS(Del!C:C,Del!B:B,A701)</f>
        <v>0</v>
      </c>
      <c r="J701" s="106" t="str">
        <f t="shared" si="5"/>
        <v>1</v>
      </c>
      <c r="K701" s="106" t="str">
        <f t="shared" si="6"/>
        <v>1</v>
      </c>
      <c r="L701" s="106"/>
      <c r="M701" s="106" t="str">
        <f>SUMIFS(Ere!C:C,Ere!B:B,A701)</f>
        <v>0</v>
      </c>
      <c r="N701" s="106" t="str">
        <f t="shared" si="7"/>
        <v>1</v>
      </c>
      <c r="O701" s="107" t="str">
        <f t="array" ref="O701">XLOOKUP(A701,Data!F:F,Data!O:O)</f>
        <v>  1.84 </v>
      </c>
      <c r="P701" s="107" t="str">
        <f t="shared" si="8"/>
        <v>  4.61 </v>
      </c>
      <c r="Q701" s="27"/>
    </row>
    <row r="702" ht="15.75" customHeight="1">
      <c r="A702" s="105" t="s">
        <v>946</v>
      </c>
      <c r="B702" s="19" t="str">
        <f t="array" ref="B702">XLOOKUP(A702,Data!F:F,Data!G:G)</f>
        <v>A1D</v>
      </c>
      <c r="C702" s="19" t="str">
        <f t="shared" si="3"/>
        <v>A055</v>
      </c>
      <c r="D702" s="19" t="str">
        <f t="array" ref="D702">XLOOKUP(A702,Data!F:F,Data!C:C)</f>
        <v/>
      </c>
      <c r="E702" s="19" t="str">
        <f t="array" ref="E702">XLOOKUP(A702,Data!F:F,Data!H:H)</f>
        <v>BW</v>
      </c>
      <c r="F702" s="106" t="str">
        <f>SUMIFS(Data!J:J,Data!F:F,A702)</f>
        <v>1</v>
      </c>
      <c r="G702" s="106" t="str">
        <f>SUMIFS(Cast!C:C,CastElements,A702)</f>
        <v>0</v>
      </c>
      <c r="H702" s="106" t="str">
        <f t="shared" si="4"/>
        <v>1</v>
      </c>
      <c r="I702" s="106" t="str">
        <f>SUMIFS(Del!C:C,Del!B:B,A702)</f>
        <v>0</v>
      </c>
      <c r="J702" s="106" t="str">
        <f t="shared" si="5"/>
        <v>1</v>
      </c>
      <c r="K702" s="106" t="str">
        <f t="shared" si="6"/>
        <v>0</v>
      </c>
      <c r="L702" s="106"/>
      <c r="M702" s="106" t="str">
        <f>SUMIFS(Ere!C:C,Ere!B:B,A702)</f>
        <v>0</v>
      </c>
      <c r="N702" s="106" t="str">
        <f t="shared" si="7"/>
        <v>1</v>
      </c>
      <c r="O702" s="107" t="str">
        <f t="array" ref="O702">XLOOKUP(A702,Data!F:F,Data!O:O)</f>
        <v>  1.54 </v>
      </c>
      <c r="P702" s="107" t="str">
        <f t="shared" si="8"/>
        <v>  3.86 </v>
      </c>
      <c r="Q702" s="27"/>
    </row>
    <row r="703" ht="15.75" customHeight="1">
      <c r="A703" s="105" t="s">
        <v>947</v>
      </c>
      <c r="B703" s="19" t="str">
        <f t="array" ref="B703">XLOOKUP(A703,Data!F:F,Data!G:G)</f>
        <v>A1D</v>
      </c>
      <c r="C703" s="19" t="str">
        <f t="shared" si="3"/>
        <v>A056</v>
      </c>
      <c r="D703" s="19" t="str">
        <f t="array" ref="D703">XLOOKUP(A703,Data!F:F,Data!C:C)</f>
        <v>EXT</v>
      </c>
      <c r="E703" s="19" t="str">
        <f t="array" ref="E703">XLOOKUP(A703,Data!F:F,Data!H:H)</f>
        <v>BW</v>
      </c>
      <c r="F703" s="106" t="str">
        <f>SUMIFS(Data!J:J,Data!F:F,A703)</f>
        <v>1</v>
      </c>
      <c r="G703" s="106" t="str">
        <f>SUMIFS(Cast!C:C,CastElements,A703)</f>
        <v>0</v>
      </c>
      <c r="H703" s="106" t="str">
        <f t="shared" si="4"/>
        <v>1</v>
      </c>
      <c r="I703" s="106" t="str">
        <f>SUMIFS(Del!C:C,Del!B:B,A703)</f>
        <v>0</v>
      </c>
      <c r="J703" s="106" t="str">
        <f t="shared" si="5"/>
        <v>1</v>
      </c>
      <c r="K703" s="106" t="str">
        <f t="shared" si="6"/>
        <v>0</v>
      </c>
      <c r="L703" s="106"/>
      <c r="M703" s="106" t="str">
        <f>SUMIFS(Ere!C:C,Ere!B:B,A703)</f>
        <v>0</v>
      </c>
      <c r="N703" s="106" t="str">
        <f t="shared" si="7"/>
        <v>1</v>
      </c>
      <c r="O703" s="107" t="str">
        <f t="array" ref="O703">XLOOKUP(A703,Data!F:F,Data!O:O)</f>
        <v>  1.17 </v>
      </c>
      <c r="P703" s="107" t="str">
        <f t="shared" si="8"/>
        <v>  2.92 </v>
      </c>
      <c r="Q703" s="27"/>
    </row>
    <row r="704" ht="15.75" customHeight="1">
      <c r="A704" s="105" t="s">
        <v>948</v>
      </c>
      <c r="B704" s="19" t="str">
        <f t="array" ref="B704">XLOOKUP(A704,Data!F:F,Data!G:G)</f>
        <v>A1D</v>
      </c>
      <c r="C704" s="19" t="str">
        <f t="shared" si="3"/>
        <v>A056</v>
      </c>
      <c r="D704" s="19" t="str">
        <f t="array" ref="D704">XLOOKUP(A704,Data!F:F,Data!C:C)</f>
        <v>EXT</v>
      </c>
      <c r="E704" s="19" t="str">
        <f t="array" ref="E704">XLOOKUP(A704,Data!F:F,Data!H:H)</f>
        <v>BW</v>
      </c>
      <c r="F704" s="106" t="str">
        <f>SUMIFS(Data!J:J,Data!F:F,A704)</f>
        <v>1</v>
      </c>
      <c r="G704" s="106" t="str">
        <f>SUMIFS(Cast!C:C,CastElements,A704)</f>
        <v>0</v>
      </c>
      <c r="H704" s="106" t="str">
        <f t="shared" si="4"/>
        <v>1</v>
      </c>
      <c r="I704" s="106" t="str">
        <f>SUMIFS(Del!C:C,Del!B:B,A704)</f>
        <v>0</v>
      </c>
      <c r="J704" s="106" t="str">
        <f t="shared" si="5"/>
        <v>1</v>
      </c>
      <c r="K704" s="106" t="str">
        <f t="shared" si="6"/>
        <v>0</v>
      </c>
      <c r="L704" s="106"/>
      <c r="M704" s="106" t="str">
        <f>SUMIFS(Ere!C:C,Ere!B:B,A704)</f>
        <v>0</v>
      </c>
      <c r="N704" s="106" t="str">
        <f t="shared" si="7"/>
        <v>1</v>
      </c>
      <c r="O704" s="107" t="str">
        <f t="array" ref="O704">XLOOKUP(A704,Data!F:F,Data!O:O)</f>
        <v>  0.46 </v>
      </c>
      <c r="P704" s="107" t="str">
        <f t="shared" si="8"/>
        <v>  1.16 </v>
      </c>
      <c r="Q704" s="27"/>
    </row>
    <row r="705" ht="15.75" customHeight="1">
      <c r="A705" s="105" t="s">
        <v>949</v>
      </c>
      <c r="B705" s="19" t="str">
        <f t="array" ref="B705">XLOOKUP(A705,Data!F:F,Data!G:G)</f>
        <v>A1D</v>
      </c>
      <c r="C705" s="19" t="str">
        <f t="shared" si="3"/>
        <v>A056</v>
      </c>
      <c r="D705" s="19" t="str">
        <f t="array" ref="D705">XLOOKUP(A705,Data!F:F,Data!C:C)</f>
        <v/>
      </c>
      <c r="E705" s="19" t="str">
        <f t="array" ref="E705">XLOOKUP(A705,Data!F:F,Data!H:H)</f>
        <v>CF</v>
      </c>
      <c r="F705" s="106" t="str">
        <f>SUMIFS(Data!J:J,Data!F:F,A705)</f>
        <v>1</v>
      </c>
      <c r="G705" s="106" t="str">
        <f>SUMIFS(Cast!C:C,CastElements,A705)</f>
        <v>1</v>
      </c>
      <c r="H705" s="106" t="str">
        <f t="shared" si="4"/>
        <v>0</v>
      </c>
      <c r="I705" s="106" t="str">
        <f>SUMIFS(Del!C:C,Del!B:B,A705)</f>
        <v>0</v>
      </c>
      <c r="J705" s="106" t="str">
        <f t="shared" si="5"/>
        <v>1</v>
      </c>
      <c r="K705" s="106" t="str">
        <f t="shared" si="6"/>
        <v>1</v>
      </c>
      <c r="L705" s="106"/>
      <c r="M705" s="106" t="str">
        <f>SUMIFS(Ere!C:C,Ere!B:B,A705)</f>
        <v>0</v>
      </c>
      <c r="N705" s="106" t="str">
        <f t="shared" si="7"/>
        <v>1</v>
      </c>
      <c r="O705" s="107" t="str">
        <f t="array" ref="O705">XLOOKUP(A705,Data!F:F,Data!O:O)</f>
        <v>  0.53 </v>
      </c>
      <c r="P705" s="107" t="str">
        <f t="shared" si="8"/>
        <v>  1.32 </v>
      </c>
      <c r="Q705" s="27"/>
    </row>
    <row r="706" ht="15.75" customHeight="1">
      <c r="A706" s="105" t="s">
        <v>950</v>
      </c>
      <c r="B706" s="19" t="str">
        <f t="array" ref="B706">XLOOKUP(A706,Data!F:F,Data!G:G)</f>
        <v>A1D</v>
      </c>
      <c r="C706" s="19" t="str">
        <f t="shared" si="3"/>
        <v>A056</v>
      </c>
      <c r="D706" s="19" t="str">
        <f t="array" ref="D706">XLOOKUP(A706,Data!F:F,Data!C:C)</f>
        <v/>
      </c>
      <c r="E706" s="19" t="str">
        <f t="array" ref="E706">XLOOKUP(A706,Data!F:F,Data!H:H)</f>
        <v>BW</v>
      </c>
      <c r="F706" s="106" t="str">
        <f>SUMIFS(Data!J:J,Data!F:F,A706)</f>
        <v>1</v>
      </c>
      <c r="G706" s="106" t="str">
        <f>SUMIFS(Cast!C:C,CastElements,A706)</f>
        <v>1</v>
      </c>
      <c r="H706" s="106" t="str">
        <f t="shared" si="4"/>
        <v>0</v>
      </c>
      <c r="I706" s="106" t="str">
        <f>SUMIFS(Del!C:C,Del!B:B,A706)</f>
        <v>0</v>
      </c>
      <c r="J706" s="106" t="str">
        <f t="shared" si="5"/>
        <v>1</v>
      </c>
      <c r="K706" s="106" t="str">
        <f t="shared" si="6"/>
        <v>1</v>
      </c>
      <c r="L706" s="106"/>
      <c r="M706" s="106" t="str">
        <f>SUMIFS(Ere!C:C,Ere!B:B,A706)</f>
        <v>0</v>
      </c>
      <c r="N706" s="106" t="str">
        <f t="shared" si="7"/>
        <v>1</v>
      </c>
      <c r="O706" s="107" t="str">
        <f t="array" ref="O706">XLOOKUP(A706,Data!F:F,Data!O:O)</f>
        <v>  0.43 </v>
      </c>
      <c r="P706" s="107" t="str">
        <f t="shared" si="8"/>
        <v>  1.08 </v>
      </c>
      <c r="Q706" s="27"/>
    </row>
    <row r="707" ht="15.75" customHeight="1">
      <c r="A707" s="105" t="s">
        <v>951</v>
      </c>
      <c r="B707" s="19" t="str">
        <f t="array" ref="B707">XLOOKUP(A707,Data!F:F,Data!G:G)</f>
        <v>A1D</v>
      </c>
      <c r="C707" s="19" t="str">
        <f t="shared" si="3"/>
        <v>A056</v>
      </c>
      <c r="D707" s="19" t="str">
        <f t="array" ref="D707">XLOOKUP(A707,Data!F:F,Data!C:C)</f>
        <v>EXT</v>
      </c>
      <c r="E707" s="19" t="str">
        <f t="array" ref="E707">XLOOKUP(A707,Data!F:F,Data!H:H)</f>
        <v>BW</v>
      </c>
      <c r="F707" s="106" t="str">
        <f>SUMIFS(Data!J:J,Data!F:F,A707)</f>
        <v>1</v>
      </c>
      <c r="G707" s="106" t="str">
        <f>SUMIFS(Cast!C:C,CastElements,A707)</f>
        <v>0</v>
      </c>
      <c r="H707" s="106" t="str">
        <f t="shared" si="4"/>
        <v>1</v>
      </c>
      <c r="I707" s="106" t="str">
        <f>SUMIFS(Del!C:C,Del!B:B,A707)</f>
        <v>0</v>
      </c>
      <c r="J707" s="106" t="str">
        <f t="shared" si="5"/>
        <v>1</v>
      </c>
      <c r="K707" s="106" t="str">
        <f t="shared" si="6"/>
        <v>0</v>
      </c>
      <c r="L707" s="106"/>
      <c r="M707" s="106" t="str">
        <f>SUMIFS(Ere!C:C,Ere!B:B,A707)</f>
        <v>0</v>
      </c>
      <c r="N707" s="106" t="str">
        <f t="shared" si="7"/>
        <v>1</v>
      </c>
      <c r="O707" s="107" t="str">
        <f t="array" ref="O707">XLOOKUP(A707,Data!F:F,Data!O:O)</f>
        <v>  1.39 </v>
      </c>
      <c r="P707" s="107" t="str">
        <f t="shared" si="8"/>
        <v>  3.48 </v>
      </c>
      <c r="Q707" s="27"/>
    </row>
    <row r="708" ht="15.75" customHeight="1">
      <c r="A708" s="105" t="s">
        <v>952</v>
      </c>
      <c r="B708" s="19" t="str">
        <f t="array" ref="B708">XLOOKUP(A708,Data!F:F,Data!G:G)</f>
        <v>A1D</v>
      </c>
      <c r="C708" s="19" t="str">
        <f t="shared" si="3"/>
        <v>A056</v>
      </c>
      <c r="D708" s="19" t="str">
        <f t="array" ref="D708">XLOOKUP(A708,Data!F:F,Data!C:C)</f>
        <v>EXT</v>
      </c>
      <c r="E708" s="19" t="str">
        <f t="array" ref="E708">XLOOKUP(A708,Data!F:F,Data!H:H)</f>
        <v>BW</v>
      </c>
      <c r="F708" s="106" t="str">
        <f>SUMIFS(Data!J:J,Data!F:F,A708)</f>
        <v>1</v>
      </c>
      <c r="G708" s="106" t="str">
        <f>SUMIFS(Cast!C:C,CastElements,A708)</f>
        <v>0</v>
      </c>
      <c r="H708" s="106" t="str">
        <f t="shared" si="4"/>
        <v>1</v>
      </c>
      <c r="I708" s="106" t="str">
        <f>SUMIFS(Del!C:C,Del!B:B,A708)</f>
        <v>0</v>
      </c>
      <c r="J708" s="106" t="str">
        <f t="shared" si="5"/>
        <v>1</v>
      </c>
      <c r="K708" s="106" t="str">
        <f t="shared" si="6"/>
        <v>0</v>
      </c>
      <c r="L708" s="106"/>
      <c r="M708" s="106" t="str">
        <f>SUMIFS(Ere!C:C,Ere!B:B,A708)</f>
        <v>0</v>
      </c>
      <c r="N708" s="106" t="str">
        <f t="shared" si="7"/>
        <v>1</v>
      </c>
      <c r="O708" s="107" t="str">
        <f t="array" ref="O708">XLOOKUP(A708,Data!F:F,Data!O:O)</f>
        <v>  0.46 </v>
      </c>
      <c r="P708" s="107" t="str">
        <f t="shared" si="8"/>
        <v>  1.16 </v>
      </c>
      <c r="Q708" s="27"/>
    </row>
    <row r="709" ht="15.75" customHeight="1">
      <c r="A709" s="105" t="s">
        <v>953</v>
      </c>
      <c r="B709" s="19" t="str">
        <f t="array" ref="B709">XLOOKUP(A709,Data!F:F,Data!G:G)</f>
        <v>A1D</v>
      </c>
      <c r="C709" s="19" t="str">
        <f t="shared" si="3"/>
        <v>A056</v>
      </c>
      <c r="D709" s="19" t="str">
        <f t="array" ref="D709">XLOOKUP(A709,Data!F:F,Data!C:C)</f>
        <v>EXT</v>
      </c>
      <c r="E709" s="19" t="str">
        <f t="array" ref="E709">XLOOKUP(A709,Data!F:F,Data!H:H)</f>
        <v>BW</v>
      </c>
      <c r="F709" s="106" t="str">
        <f>SUMIFS(Data!J:J,Data!F:F,A709)</f>
        <v>1</v>
      </c>
      <c r="G709" s="106" t="str">
        <f>SUMIFS(Cast!C:C,CastElements,A709)</f>
        <v>0</v>
      </c>
      <c r="H709" s="106" t="str">
        <f t="shared" si="4"/>
        <v>1</v>
      </c>
      <c r="I709" s="106" t="str">
        <f>SUMIFS(Del!C:C,Del!B:B,A709)</f>
        <v>0</v>
      </c>
      <c r="J709" s="106" t="str">
        <f t="shared" si="5"/>
        <v>1</v>
      </c>
      <c r="K709" s="106" t="str">
        <f t="shared" si="6"/>
        <v>0</v>
      </c>
      <c r="L709" s="106"/>
      <c r="M709" s="106" t="str">
        <f>SUMIFS(Ere!C:C,Ere!B:B,A709)</f>
        <v>0</v>
      </c>
      <c r="N709" s="106" t="str">
        <f t="shared" si="7"/>
        <v>1</v>
      </c>
      <c r="O709" s="107" t="str">
        <f t="array" ref="O709">XLOOKUP(A709,Data!F:F,Data!O:O)</f>
        <v>  1.05 </v>
      </c>
      <c r="P709" s="107" t="str">
        <f t="shared" si="8"/>
        <v>  2.61 </v>
      </c>
      <c r="Q709" s="27"/>
    </row>
    <row r="710" ht="15.75" customHeight="1">
      <c r="A710" s="105" t="s">
        <v>954</v>
      </c>
      <c r="B710" s="19" t="str">
        <f t="array" ref="B710">XLOOKUP(A710,Data!F:F,Data!G:G)</f>
        <v>A1D</v>
      </c>
      <c r="C710" s="19" t="str">
        <f t="shared" si="3"/>
        <v>A056</v>
      </c>
      <c r="D710" s="19" t="str">
        <f t="array" ref="D710">XLOOKUP(A710,Data!F:F,Data!C:C)</f>
        <v/>
      </c>
      <c r="E710" s="19" t="str">
        <f t="array" ref="E710">XLOOKUP(A710,Data!F:F,Data!H:H)</f>
        <v>BW</v>
      </c>
      <c r="F710" s="106" t="str">
        <f>SUMIFS(Data!J:J,Data!F:F,A710)</f>
        <v>1</v>
      </c>
      <c r="G710" s="106" t="str">
        <f>SUMIFS(Cast!C:C,CastElements,A710)</f>
        <v>1</v>
      </c>
      <c r="H710" s="106" t="str">
        <f t="shared" si="4"/>
        <v>0</v>
      </c>
      <c r="I710" s="106" t="str">
        <f>SUMIFS(Del!C:C,Del!B:B,A710)</f>
        <v>0</v>
      </c>
      <c r="J710" s="106" t="str">
        <f t="shared" si="5"/>
        <v>1</v>
      </c>
      <c r="K710" s="106" t="str">
        <f t="shared" si="6"/>
        <v>1</v>
      </c>
      <c r="L710" s="106"/>
      <c r="M710" s="106" t="str">
        <f>SUMIFS(Ere!C:C,Ere!B:B,A710)</f>
        <v>0</v>
      </c>
      <c r="N710" s="106" t="str">
        <f t="shared" si="7"/>
        <v>1</v>
      </c>
      <c r="O710" s="107" t="str">
        <f t="array" ref="O710">XLOOKUP(A710,Data!F:F,Data!O:O)</f>
        <v>  1.93 </v>
      </c>
      <c r="P710" s="107" t="str">
        <f t="shared" si="8"/>
        <v>  4.83 </v>
      </c>
      <c r="Q710" s="27"/>
    </row>
    <row r="711" ht="15.75" customHeight="1">
      <c r="A711" s="105" t="s">
        <v>955</v>
      </c>
      <c r="B711" s="19" t="str">
        <f t="array" ref="B711">XLOOKUP(A711,Data!F:F,Data!G:G)</f>
        <v>A1D</v>
      </c>
      <c r="C711" s="19" t="str">
        <f t="shared" si="3"/>
        <v>A056</v>
      </c>
      <c r="D711" s="19" t="str">
        <f t="array" ref="D711">XLOOKUP(A711,Data!F:F,Data!C:C)</f>
        <v/>
      </c>
      <c r="E711" s="19" t="str">
        <f t="array" ref="E711">XLOOKUP(A711,Data!F:F,Data!H:H)</f>
        <v>BW</v>
      </c>
      <c r="F711" s="106" t="str">
        <f>SUMIFS(Data!J:J,Data!F:F,A711)</f>
        <v>1</v>
      </c>
      <c r="G711" s="106" t="str">
        <f>SUMIFS(Cast!C:C,CastElements,A711)</f>
        <v>1</v>
      </c>
      <c r="H711" s="106" t="str">
        <f t="shared" si="4"/>
        <v>0</v>
      </c>
      <c r="I711" s="106" t="str">
        <f>SUMIFS(Del!C:C,Del!B:B,A711)</f>
        <v>0</v>
      </c>
      <c r="J711" s="106" t="str">
        <f t="shared" si="5"/>
        <v>1</v>
      </c>
      <c r="K711" s="106" t="str">
        <f t="shared" si="6"/>
        <v>1</v>
      </c>
      <c r="L711" s="106"/>
      <c r="M711" s="106" t="str">
        <f>SUMIFS(Ere!C:C,Ere!B:B,A711)</f>
        <v>0</v>
      </c>
      <c r="N711" s="106" t="str">
        <f t="shared" si="7"/>
        <v>1</v>
      </c>
      <c r="O711" s="107" t="str">
        <f t="array" ref="O711">XLOOKUP(A711,Data!F:F,Data!O:O)</f>
        <v>  1.91 </v>
      </c>
      <c r="P711" s="107" t="str">
        <f t="shared" si="8"/>
        <v>  4.78 </v>
      </c>
      <c r="Q711" s="27"/>
    </row>
    <row r="712" ht="15.75" customHeight="1">
      <c r="A712" s="105" t="s">
        <v>956</v>
      </c>
      <c r="B712" s="19" t="str">
        <f t="array" ref="B712">XLOOKUP(A712,Data!F:F,Data!G:G)</f>
        <v>A1D</v>
      </c>
      <c r="C712" s="19" t="str">
        <f t="shared" si="3"/>
        <v>A056</v>
      </c>
      <c r="D712" s="19" t="str">
        <f t="array" ref="D712">XLOOKUP(A712,Data!F:F,Data!C:C)</f>
        <v/>
      </c>
      <c r="E712" s="19" t="str">
        <f t="array" ref="E712">XLOOKUP(A712,Data!F:F,Data!H:H)</f>
        <v>BW</v>
      </c>
      <c r="F712" s="106" t="str">
        <f>SUMIFS(Data!J:J,Data!F:F,A712)</f>
        <v>1</v>
      </c>
      <c r="G712" s="106" t="str">
        <f>SUMIFS(Cast!C:C,CastElements,A712)</f>
        <v>1</v>
      </c>
      <c r="H712" s="106" t="str">
        <f t="shared" si="4"/>
        <v>0</v>
      </c>
      <c r="I712" s="106" t="str">
        <f>SUMIFS(Del!C:C,Del!B:B,A712)</f>
        <v>0</v>
      </c>
      <c r="J712" s="106" t="str">
        <f t="shared" si="5"/>
        <v>1</v>
      </c>
      <c r="K712" s="106" t="str">
        <f t="shared" si="6"/>
        <v>1</v>
      </c>
      <c r="L712" s="106"/>
      <c r="M712" s="106" t="str">
        <f>SUMIFS(Ere!C:C,Ere!B:B,A712)</f>
        <v>0</v>
      </c>
      <c r="N712" s="106" t="str">
        <f t="shared" si="7"/>
        <v>1</v>
      </c>
      <c r="O712" s="107" t="str">
        <f t="array" ref="O712">XLOOKUP(A712,Data!F:F,Data!O:O)</f>
        <v>  1.95 </v>
      </c>
      <c r="P712" s="107" t="str">
        <f t="shared" si="8"/>
        <v>  4.88 </v>
      </c>
      <c r="Q712" s="27"/>
    </row>
    <row r="713" ht="15.75" customHeight="1">
      <c r="A713" s="105" t="s">
        <v>957</v>
      </c>
      <c r="B713" s="19" t="str">
        <f t="array" ref="B713">XLOOKUP(A713,Data!F:F,Data!G:G)</f>
        <v>A1D</v>
      </c>
      <c r="C713" s="19" t="str">
        <f t="shared" si="3"/>
        <v>A056</v>
      </c>
      <c r="D713" s="19" t="str">
        <f t="array" ref="D713">XLOOKUP(A713,Data!F:F,Data!C:C)</f>
        <v/>
      </c>
      <c r="E713" s="19" t="str">
        <f t="array" ref="E713">XLOOKUP(A713,Data!F:F,Data!H:H)</f>
        <v>BW</v>
      </c>
      <c r="F713" s="106" t="str">
        <f>SUMIFS(Data!J:J,Data!F:F,A713)</f>
        <v>1</v>
      </c>
      <c r="G713" s="106" t="str">
        <f>SUMIFS(Cast!C:C,CastElements,A713)</f>
        <v>1</v>
      </c>
      <c r="H713" s="106" t="str">
        <f t="shared" si="4"/>
        <v>0</v>
      </c>
      <c r="I713" s="106" t="str">
        <f>SUMIFS(Del!C:C,Del!B:B,A713)</f>
        <v>0</v>
      </c>
      <c r="J713" s="106" t="str">
        <f t="shared" si="5"/>
        <v>1</v>
      </c>
      <c r="K713" s="106" t="str">
        <f t="shared" si="6"/>
        <v>1</v>
      </c>
      <c r="L713" s="106"/>
      <c r="M713" s="106" t="str">
        <f>SUMIFS(Ere!C:C,Ere!B:B,A713)</f>
        <v>0</v>
      </c>
      <c r="N713" s="106" t="str">
        <f t="shared" si="7"/>
        <v>1</v>
      </c>
      <c r="O713" s="107" t="str">
        <f t="array" ref="O713">XLOOKUP(A713,Data!F:F,Data!O:O)</f>
        <v>  1.95 </v>
      </c>
      <c r="P713" s="107" t="str">
        <f t="shared" si="8"/>
        <v>  4.88 </v>
      </c>
      <c r="Q713" s="27"/>
    </row>
    <row r="714" ht="15.75" customHeight="1">
      <c r="A714" s="105" t="s">
        <v>958</v>
      </c>
      <c r="B714" s="19" t="str">
        <f t="array" ref="B714">XLOOKUP(A714,Data!F:F,Data!G:G)</f>
        <v>A1D</v>
      </c>
      <c r="C714" s="19" t="str">
        <f t="shared" si="3"/>
        <v>A056</v>
      </c>
      <c r="D714" s="19" t="str">
        <f t="array" ref="D714">XLOOKUP(A714,Data!F:F,Data!C:C)</f>
        <v/>
      </c>
      <c r="E714" s="19" t="str">
        <f t="array" ref="E714">XLOOKUP(A714,Data!F:F,Data!H:H)</f>
        <v>BW</v>
      </c>
      <c r="F714" s="106" t="str">
        <f>SUMIFS(Data!J:J,Data!F:F,A714)</f>
        <v>1</v>
      </c>
      <c r="G714" s="106" t="str">
        <f>SUMIFS(Cast!C:C,CastElements,A714)</f>
        <v>1</v>
      </c>
      <c r="H714" s="106" t="str">
        <f t="shared" si="4"/>
        <v>0</v>
      </c>
      <c r="I714" s="106" t="str">
        <f>SUMIFS(Del!C:C,Del!B:B,A714)</f>
        <v>0</v>
      </c>
      <c r="J714" s="106" t="str">
        <f t="shared" si="5"/>
        <v>1</v>
      </c>
      <c r="K714" s="106" t="str">
        <f t="shared" si="6"/>
        <v>1</v>
      </c>
      <c r="L714" s="106"/>
      <c r="M714" s="106" t="str">
        <f>SUMIFS(Ere!C:C,Ere!B:B,A714)</f>
        <v>0</v>
      </c>
      <c r="N714" s="106" t="str">
        <f t="shared" si="7"/>
        <v>1</v>
      </c>
      <c r="O714" s="107" t="str">
        <f t="array" ref="O714">XLOOKUP(A714,Data!F:F,Data!O:O)</f>
        <v>  1.95 </v>
      </c>
      <c r="P714" s="107" t="str">
        <f t="shared" si="8"/>
        <v>  4.88 </v>
      </c>
      <c r="Q714" s="27"/>
    </row>
    <row r="715" ht="15.75" customHeight="1">
      <c r="A715" s="105" t="s">
        <v>959</v>
      </c>
      <c r="B715" s="19" t="str">
        <f t="array" ref="B715">XLOOKUP(A715,Data!F:F,Data!G:G)</f>
        <v>A1D</v>
      </c>
      <c r="C715" s="19" t="str">
        <f t="shared" si="3"/>
        <v>A056</v>
      </c>
      <c r="D715" s="19" t="str">
        <f t="array" ref="D715">XLOOKUP(A715,Data!F:F,Data!C:C)</f>
        <v/>
      </c>
      <c r="E715" s="19" t="str">
        <f t="array" ref="E715">XLOOKUP(A715,Data!F:F,Data!H:H)</f>
        <v>BW</v>
      </c>
      <c r="F715" s="106" t="str">
        <f>SUMIFS(Data!J:J,Data!F:F,A715)</f>
        <v>1</v>
      </c>
      <c r="G715" s="106" t="str">
        <f>SUMIFS(Cast!C:C,CastElements,A715)</f>
        <v>0</v>
      </c>
      <c r="H715" s="106" t="str">
        <f t="shared" si="4"/>
        <v>1</v>
      </c>
      <c r="I715" s="106" t="str">
        <f>SUMIFS(Del!C:C,Del!B:B,A715)</f>
        <v>0</v>
      </c>
      <c r="J715" s="106" t="str">
        <f t="shared" si="5"/>
        <v>1</v>
      </c>
      <c r="K715" s="106" t="str">
        <f t="shared" si="6"/>
        <v>0</v>
      </c>
      <c r="L715" s="106"/>
      <c r="M715" s="106" t="str">
        <f>SUMIFS(Ere!C:C,Ere!B:B,A715)</f>
        <v>0</v>
      </c>
      <c r="N715" s="106" t="str">
        <f t="shared" si="7"/>
        <v>1</v>
      </c>
      <c r="O715" s="107" t="str">
        <f t="array" ref="O715">XLOOKUP(A715,Data!F:F,Data!O:O)</f>
        <v>  1.61 </v>
      </c>
      <c r="P715" s="107" t="str">
        <f t="shared" si="8"/>
        <v>  4.03 </v>
      </c>
      <c r="Q715" s="27"/>
    </row>
    <row r="716" ht="15.75" customHeight="1">
      <c r="A716" s="105" t="s">
        <v>960</v>
      </c>
      <c r="B716" s="19" t="str">
        <f t="array" ref="B716">XLOOKUP(A716,Data!F:F,Data!G:G)</f>
        <v>A1D</v>
      </c>
      <c r="C716" s="19" t="str">
        <f t="shared" si="3"/>
        <v>A056</v>
      </c>
      <c r="D716" s="19" t="str">
        <f t="array" ref="D716">XLOOKUP(A716,Data!F:F,Data!C:C)</f>
        <v/>
      </c>
      <c r="E716" s="19" t="str">
        <f t="array" ref="E716">XLOOKUP(A716,Data!F:F,Data!H:H)</f>
        <v>BW</v>
      </c>
      <c r="F716" s="106" t="str">
        <f>SUMIFS(Data!J:J,Data!F:F,A716)</f>
        <v>1</v>
      </c>
      <c r="G716" s="106" t="str">
        <f>SUMIFS(Cast!C:C,CastElements,A716)</f>
        <v>1</v>
      </c>
      <c r="H716" s="106" t="str">
        <f t="shared" si="4"/>
        <v>0</v>
      </c>
      <c r="I716" s="106" t="str">
        <f>SUMIFS(Del!C:C,Del!B:B,A716)</f>
        <v>0</v>
      </c>
      <c r="J716" s="106" t="str">
        <f t="shared" si="5"/>
        <v>1</v>
      </c>
      <c r="K716" s="106" t="str">
        <f t="shared" si="6"/>
        <v>1</v>
      </c>
      <c r="L716" s="106"/>
      <c r="M716" s="106" t="str">
        <f>SUMIFS(Ere!C:C,Ere!B:B,A716)</f>
        <v>0</v>
      </c>
      <c r="N716" s="106" t="str">
        <f t="shared" si="7"/>
        <v>1</v>
      </c>
      <c r="O716" s="107" t="str">
        <f t="array" ref="O716">XLOOKUP(A716,Data!F:F,Data!O:O)</f>
        <v>  2.27 </v>
      </c>
      <c r="P716" s="107" t="str">
        <f t="shared" si="8"/>
        <v>  5.67 </v>
      </c>
      <c r="Q716" s="27"/>
    </row>
    <row r="717" ht="15.75" customHeight="1">
      <c r="A717" s="105" t="s">
        <v>961</v>
      </c>
      <c r="B717" s="19" t="str">
        <f t="array" ref="B717">XLOOKUP(A717,Data!F:F,Data!G:G)</f>
        <v>A1D</v>
      </c>
      <c r="C717" s="19" t="str">
        <f t="shared" si="3"/>
        <v>A056</v>
      </c>
      <c r="D717" s="19" t="str">
        <f t="array" ref="D717">XLOOKUP(A717,Data!F:F,Data!C:C)</f>
        <v/>
      </c>
      <c r="E717" s="19" t="str">
        <f t="array" ref="E717">XLOOKUP(A717,Data!F:F,Data!H:H)</f>
        <v>BW</v>
      </c>
      <c r="F717" s="106" t="str">
        <f>SUMIFS(Data!J:J,Data!F:F,A717)</f>
        <v>1</v>
      </c>
      <c r="G717" s="106" t="str">
        <f>SUMIFS(Cast!C:C,CastElements,A717)</f>
        <v>1</v>
      </c>
      <c r="H717" s="106" t="str">
        <f t="shared" si="4"/>
        <v>0</v>
      </c>
      <c r="I717" s="106" t="str">
        <f>SUMIFS(Del!C:C,Del!B:B,A717)</f>
        <v>0</v>
      </c>
      <c r="J717" s="106" t="str">
        <f t="shared" si="5"/>
        <v>1</v>
      </c>
      <c r="K717" s="106" t="str">
        <f t="shared" si="6"/>
        <v>1</v>
      </c>
      <c r="L717" s="106"/>
      <c r="M717" s="106" t="str">
        <f>SUMIFS(Ere!C:C,Ere!B:B,A717)</f>
        <v>0</v>
      </c>
      <c r="N717" s="106" t="str">
        <f t="shared" si="7"/>
        <v>1</v>
      </c>
      <c r="O717" s="107" t="str">
        <f t="array" ref="O717">XLOOKUP(A717,Data!F:F,Data!O:O)</f>
        <v>  2.27 </v>
      </c>
      <c r="P717" s="107" t="str">
        <f t="shared" si="8"/>
        <v>  5.67 </v>
      </c>
      <c r="Q717" s="27"/>
    </row>
    <row r="718" ht="15.75" customHeight="1">
      <c r="A718" s="105" t="s">
        <v>962</v>
      </c>
      <c r="B718" s="19" t="str">
        <f t="array" ref="B718">XLOOKUP(A718,Data!F:F,Data!G:G)</f>
        <v>A1D</v>
      </c>
      <c r="C718" s="19" t="str">
        <f t="shared" si="3"/>
        <v>A056</v>
      </c>
      <c r="D718" s="19" t="str">
        <f t="array" ref="D718">XLOOKUP(A718,Data!F:F,Data!C:C)</f>
        <v/>
      </c>
      <c r="E718" s="19" t="str">
        <f t="array" ref="E718">XLOOKUP(A718,Data!F:F,Data!H:H)</f>
        <v>BW</v>
      </c>
      <c r="F718" s="106" t="str">
        <f>SUMIFS(Data!J:J,Data!F:F,A718)</f>
        <v>1</v>
      </c>
      <c r="G718" s="106" t="str">
        <f>SUMIFS(Cast!C:C,CastElements,A718)</f>
        <v>1</v>
      </c>
      <c r="H718" s="106" t="str">
        <f t="shared" si="4"/>
        <v>0</v>
      </c>
      <c r="I718" s="106" t="str">
        <f>SUMIFS(Del!C:C,Del!B:B,A718)</f>
        <v>0</v>
      </c>
      <c r="J718" s="106" t="str">
        <f t="shared" si="5"/>
        <v>1</v>
      </c>
      <c r="K718" s="106" t="str">
        <f t="shared" si="6"/>
        <v>1</v>
      </c>
      <c r="L718" s="106"/>
      <c r="M718" s="106" t="str">
        <f>SUMIFS(Ere!C:C,Ere!B:B,A718)</f>
        <v>0</v>
      </c>
      <c r="N718" s="106" t="str">
        <f t="shared" si="7"/>
        <v>1</v>
      </c>
      <c r="O718" s="107" t="str">
        <f t="array" ref="O718">XLOOKUP(A718,Data!F:F,Data!O:O)</f>
        <v>  2.27 </v>
      </c>
      <c r="P718" s="107" t="str">
        <f t="shared" si="8"/>
        <v>  5.67 </v>
      </c>
      <c r="Q718" s="27"/>
    </row>
    <row r="719" ht="15.75" customHeight="1">
      <c r="A719" s="105" t="s">
        <v>963</v>
      </c>
      <c r="B719" s="19" t="str">
        <f t="array" ref="B719">XLOOKUP(A719,Data!F:F,Data!G:G)</f>
        <v>A1D</v>
      </c>
      <c r="C719" s="19" t="str">
        <f t="shared" si="3"/>
        <v>A056</v>
      </c>
      <c r="D719" s="19" t="str">
        <f t="array" ref="D719">XLOOKUP(A719,Data!F:F,Data!C:C)</f>
        <v/>
      </c>
      <c r="E719" s="19" t="str">
        <f t="array" ref="E719">XLOOKUP(A719,Data!F:F,Data!H:H)</f>
        <v>BW</v>
      </c>
      <c r="F719" s="106" t="str">
        <f>SUMIFS(Data!J:J,Data!F:F,A719)</f>
        <v>1</v>
      </c>
      <c r="G719" s="106" t="str">
        <f>SUMIFS(Cast!C:C,CastElements,A719)</f>
        <v>1</v>
      </c>
      <c r="H719" s="106" t="str">
        <f t="shared" si="4"/>
        <v>0</v>
      </c>
      <c r="I719" s="106" t="str">
        <f>SUMIFS(Del!C:C,Del!B:B,A719)</f>
        <v>0</v>
      </c>
      <c r="J719" s="106" t="str">
        <f t="shared" si="5"/>
        <v>1</v>
      </c>
      <c r="K719" s="106" t="str">
        <f t="shared" si="6"/>
        <v>1</v>
      </c>
      <c r="L719" s="106"/>
      <c r="M719" s="106" t="str">
        <f>SUMIFS(Ere!C:C,Ere!B:B,A719)</f>
        <v>0</v>
      </c>
      <c r="N719" s="106" t="str">
        <f t="shared" si="7"/>
        <v>1</v>
      </c>
      <c r="O719" s="107" t="str">
        <f t="array" ref="O719">XLOOKUP(A719,Data!F:F,Data!O:O)</f>
        <v>  2.38 </v>
      </c>
      <c r="P719" s="107" t="str">
        <f t="shared" si="8"/>
        <v>  5.96 </v>
      </c>
      <c r="Q719" s="27"/>
    </row>
    <row r="720" ht="15.75" customHeight="1">
      <c r="A720" s="105" t="s">
        <v>964</v>
      </c>
      <c r="B720" s="19" t="str">
        <f t="array" ref="B720">XLOOKUP(A720,Data!F:F,Data!G:G)</f>
        <v>A1D</v>
      </c>
      <c r="C720" s="19" t="str">
        <f t="shared" si="3"/>
        <v>A057</v>
      </c>
      <c r="D720" s="19" t="str">
        <f t="array" ref="D720">XLOOKUP(A720,Data!F:F,Data!C:C)</f>
        <v/>
      </c>
      <c r="E720" s="19" t="str">
        <f t="array" ref="E720">XLOOKUP(A720,Data!F:F,Data!H:H)</f>
        <v>BW</v>
      </c>
      <c r="F720" s="106" t="str">
        <f>SUMIFS(Data!J:J,Data!F:F,A720)</f>
        <v>1</v>
      </c>
      <c r="G720" s="106" t="str">
        <f>SUMIFS(Cast!C:C,CastElements,A720)</f>
        <v>1</v>
      </c>
      <c r="H720" s="106" t="str">
        <f t="shared" si="4"/>
        <v>0</v>
      </c>
      <c r="I720" s="106" t="str">
        <f>SUMIFS(Del!C:C,Del!B:B,A720)</f>
        <v>0</v>
      </c>
      <c r="J720" s="106" t="str">
        <f t="shared" si="5"/>
        <v>1</v>
      </c>
      <c r="K720" s="106" t="str">
        <f t="shared" si="6"/>
        <v>1</v>
      </c>
      <c r="L720" s="106"/>
      <c r="M720" s="106" t="str">
        <f>SUMIFS(Ere!C:C,Ere!B:B,A720)</f>
        <v>0</v>
      </c>
      <c r="N720" s="106" t="str">
        <f t="shared" si="7"/>
        <v>1</v>
      </c>
      <c r="O720" s="107" t="str">
        <f t="array" ref="O720">XLOOKUP(A720,Data!F:F,Data!O:O)</f>
        <v>  0.40 </v>
      </c>
      <c r="P720" s="107" t="str">
        <f t="shared" si="8"/>
        <v>  1.00 </v>
      </c>
      <c r="Q720" s="27"/>
    </row>
    <row r="721" ht="15.75" customHeight="1">
      <c r="A721" s="105" t="s">
        <v>965</v>
      </c>
      <c r="B721" s="19" t="str">
        <f t="array" ref="B721">XLOOKUP(A721,Data!F:F,Data!G:G)</f>
        <v>A1D</v>
      </c>
      <c r="C721" s="19" t="str">
        <f t="shared" si="3"/>
        <v>A057</v>
      </c>
      <c r="D721" s="19" t="str">
        <f t="array" ref="D721">XLOOKUP(A721,Data!F:F,Data!C:C)</f>
        <v/>
      </c>
      <c r="E721" s="19" t="str">
        <f t="array" ref="E721">XLOOKUP(A721,Data!F:F,Data!H:H)</f>
        <v>BW</v>
      </c>
      <c r="F721" s="106" t="str">
        <f>SUMIFS(Data!J:J,Data!F:F,A721)</f>
        <v>1</v>
      </c>
      <c r="G721" s="106" t="str">
        <f>SUMIFS(Cast!C:C,CastElements,A721)</f>
        <v>0</v>
      </c>
      <c r="H721" s="106" t="str">
        <f t="shared" si="4"/>
        <v>1</v>
      </c>
      <c r="I721" s="106" t="str">
        <f>SUMIFS(Del!C:C,Del!B:B,A721)</f>
        <v>0</v>
      </c>
      <c r="J721" s="106" t="str">
        <f t="shared" si="5"/>
        <v>1</v>
      </c>
      <c r="K721" s="106" t="str">
        <f t="shared" si="6"/>
        <v>0</v>
      </c>
      <c r="L721" s="106"/>
      <c r="M721" s="106" t="str">
        <f>SUMIFS(Ere!C:C,Ere!B:B,A721)</f>
        <v>0</v>
      </c>
      <c r="N721" s="106" t="str">
        <f t="shared" si="7"/>
        <v>1</v>
      </c>
      <c r="O721" s="107" t="str">
        <f t="array" ref="O721">XLOOKUP(A721,Data!F:F,Data!O:O)</f>
        <v>  1.09 </v>
      </c>
      <c r="P721" s="107" t="str">
        <f t="shared" si="8"/>
        <v>  2.72 </v>
      </c>
      <c r="Q721" s="27"/>
    </row>
    <row r="722" ht="15.75" customHeight="1">
      <c r="A722" s="105" t="s">
        <v>966</v>
      </c>
      <c r="B722" s="19" t="str">
        <f t="array" ref="B722">XLOOKUP(A722,Data!F:F,Data!G:G)</f>
        <v>A1D</v>
      </c>
      <c r="C722" s="19" t="str">
        <f t="shared" si="3"/>
        <v>A057</v>
      </c>
      <c r="D722" s="19" t="str">
        <f t="array" ref="D722">XLOOKUP(A722,Data!F:F,Data!C:C)</f>
        <v/>
      </c>
      <c r="E722" s="19" t="str">
        <f t="array" ref="E722">XLOOKUP(A722,Data!F:F,Data!H:H)</f>
        <v>CF</v>
      </c>
      <c r="F722" s="106" t="str">
        <f>SUMIFS(Data!J:J,Data!F:F,A722)</f>
        <v>1</v>
      </c>
      <c r="G722" s="106" t="str">
        <f>SUMIFS(Cast!C:C,CastElements,A722)</f>
        <v>0</v>
      </c>
      <c r="H722" s="106" t="str">
        <f t="shared" si="4"/>
        <v>1</v>
      </c>
      <c r="I722" s="106" t="str">
        <f>SUMIFS(Del!C:C,Del!B:B,A722)</f>
        <v>0</v>
      </c>
      <c r="J722" s="106" t="str">
        <f t="shared" si="5"/>
        <v>1</v>
      </c>
      <c r="K722" s="106" t="str">
        <f t="shared" si="6"/>
        <v>0</v>
      </c>
      <c r="L722" s="106"/>
      <c r="M722" s="106" t="str">
        <f>SUMIFS(Ere!C:C,Ere!B:B,A722)</f>
        <v>0</v>
      </c>
      <c r="N722" s="106" t="str">
        <f t="shared" si="7"/>
        <v>1</v>
      </c>
      <c r="O722" s="107" t="str">
        <f t="array" ref="O722">XLOOKUP(A722,Data!F:F,Data!O:O)</f>
        <v>  0.53 </v>
      </c>
      <c r="P722" s="107" t="str">
        <f t="shared" si="8"/>
        <v>  1.32 </v>
      </c>
      <c r="Q722" s="27"/>
    </row>
    <row r="723" ht="15.75" customHeight="1">
      <c r="A723" s="105" t="s">
        <v>967</v>
      </c>
      <c r="B723" s="19" t="str">
        <f t="array" ref="B723">XLOOKUP(A723,Data!F:F,Data!G:G)</f>
        <v>A1D</v>
      </c>
      <c r="C723" s="19" t="str">
        <f t="shared" si="3"/>
        <v>A057</v>
      </c>
      <c r="D723" s="19" t="str">
        <f t="array" ref="D723">XLOOKUP(A723,Data!F:F,Data!C:C)</f>
        <v/>
      </c>
      <c r="E723" s="19" t="str">
        <f t="array" ref="E723">XLOOKUP(A723,Data!F:F,Data!H:H)</f>
        <v>BW</v>
      </c>
      <c r="F723" s="106" t="str">
        <f>SUMIFS(Data!J:J,Data!F:F,A723)</f>
        <v>1</v>
      </c>
      <c r="G723" s="106" t="str">
        <f>SUMIFS(Cast!C:C,CastElements,A723)</f>
        <v>0</v>
      </c>
      <c r="H723" s="106" t="str">
        <f t="shared" si="4"/>
        <v>1</v>
      </c>
      <c r="I723" s="106" t="str">
        <f>SUMIFS(Del!C:C,Del!B:B,A723)</f>
        <v>0</v>
      </c>
      <c r="J723" s="106" t="str">
        <f t="shared" si="5"/>
        <v>1</v>
      </c>
      <c r="K723" s="106" t="str">
        <f t="shared" si="6"/>
        <v>0</v>
      </c>
      <c r="L723" s="106"/>
      <c r="M723" s="106" t="str">
        <f>SUMIFS(Ere!C:C,Ere!B:B,A723)</f>
        <v>0</v>
      </c>
      <c r="N723" s="106" t="str">
        <f t="shared" si="7"/>
        <v>1</v>
      </c>
      <c r="O723" s="107" t="str">
        <f t="array" ref="O723">XLOOKUP(A723,Data!F:F,Data!O:O)</f>
        <v>  0.69 </v>
      </c>
      <c r="P723" s="107" t="str">
        <f t="shared" si="8"/>
        <v>  1.71 </v>
      </c>
      <c r="Q723" s="27"/>
    </row>
    <row r="724" ht="15.75" customHeight="1">
      <c r="A724" s="105" t="s">
        <v>968</v>
      </c>
      <c r="B724" s="19" t="str">
        <f t="array" ref="B724">XLOOKUP(A724,Data!F:F,Data!G:G)</f>
        <v>A1D</v>
      </c>
      <c r="C724" s="19" t="str">
        <f t="shared" si="3"/>
        <v>A057</v>
      </c>
      <c r="D724" s="19" t="str">
        <f t="array" ref="D724">XLOOKUP(A724,Data!F:F,Data!C:C)</f>
        <v>EXT</v>
      </c>
      <c r="E724" s="19" t="str">
        <f t="array" ref="E724">XLOOKUP(A724,Data!F:F,Data!H:H)</f>
        <v>BW</v>
      </c>
      <c r="F724" s="106" t="str">
        <f>SUMIFS(Data!J:J,Data!F:F,A724)</f>
        <v>1</v>
      </c>
      <c r="G724" s="106" t="str">
        <f>SUMIFS(Cast!C:C,CastElements,A724)</f>
        <v>0</v>
      </c>
      <c r="H724" s="106" t="str">
        <f t="shared" si="4"/>
        <v>1</v>
      </c>
      <c r="I724" s="106" t="str">
        <f>SUMIFS(Del!C:C,Del!B:B,A724)</f>
        <v>0</v>
      </c>
      <c r="J724" s="106" t="str">
        <f t="shared" si="5"/>
        <v>1</v>
      </c>
      <c r="K724" s="106" t="str">
        <f t="shared" si="6"/>
        <v>0</v>
      </c>
      <c r="L724" s="106"/>
      <c r="M724" s="106" t="str">
        <f>SUMIFS(Ere!C:C,Ere!B:B,A724)</f>
        <v>0</v>
      </c>
      <c r="N724" s="106" t="str">
        <f t="shared" si="7"/>
        <v>1</v>
      </c>
      <c r="O724" s="107" t="str">
        <f t="array" ref="O724">XLOOKUP(A724,Data!F:F,Data!O:O)</f>
        <v>  0.94 </v>
      </c>
      <c r="P724" s="107" t="str">
        <f t="shared" si="8"/>
        <v>  2.35 </v>
      </c>
      <c r="Q724" s="27"/>
    </row>
    <row r="725" ht="15.75" customHeight="1">
      <c r="A725" s="105" t="s">
        <v>969</v>
      </c>
      <c r="B725" s="19" t="str">
        <f t="array" ref="B725">XLOOKUP(A725,Data!F:F,Data!G:G)</f>
        <v>A1D</v>
      </c>
      <c r="C725" s="19" t="str">
        <f t="shared" si="3"/>
        <v>A057</v>
      </c>
      <c r="D725" s="19" t="str">
        <f t="array" ref="D725">XLOOKUP(A725,Data!F:F,Data!C:C)</f>
        <v>EXT</v>
      </c>
      <c r="E725" s="19" t="str">
        <f t="array" ref="E725">XLOOKUP(A725,Data!F:F,Data!H:H)</f>
        <v>BW</v>
      </c>
      <c r="F725" s="106" t="str">
        <f>SUMIFS(Data!J:J,Data!F:F,A725)</f>
        <v>1</v>
      </c>
      <c r="G725" s="106" t="str">
        <f>SUMIFS(Cast!C:C,CastElements,A725)</f>
        <v>0</v>
      </c>
      <c r="H725" s="106" t="str">
        <f t="shared" si="4"/>
        <v>1</v>
      </c>
      <c r="I725" s="106" t="str">
        <f>SUMIFS(Del!C:C,Del!B:B,A725)</f>
        <v>0</v>
      </c>
      <c r="J725" s="106" t="str">
        <f t="shared" si="5"/>
        <v>1</v>
      </c>
      <c r="K725" s="106" t="str">
        <f t="shared" si="6"/>
        <v>0</v>
      </c>
      <c r="L725" s="106"/>
      <c r="M725" s="106" t="str">
        <f>SUMIFS(Ere!C:C,Ere!B:B,A725)</f>
        <v>0</v>
      </c>
      <c r="N725" s="106" t="str">
        <f t="shared" si="7"/>
        <v>1</v>
      </c>
      <c r="O725" s="107" t="str">
        <f t="array" ref="O725">XLOOKUP(A725,Data!F:F,Data!O:O)</f>
        <v>  0.91 </v>
      </c>
      <c r="P725" s="107" t="str">
        <f t="shared" si="8"/>
        <v>  2.28 </v>
      </c>
      <c r="Q725" s="27"/>
    </row>
    <row r="726" ht="15.75" customHeight="1">
      <c r="A726" s="105" t="s">
        <v>970</v>
      </c>
      <c r="B726" s="19" t="str">
        <f t="array" ref="B726">XLOOKUP(A726,Data!F:F,Data!G:G)</f>
        <v>A1D</v>
      </c>
      <c r="C726" s="19" t="str">
        <f t="shared" si="3"/>
        <v>A057</v>
      </c>
      <c r="D726" s="19" t="str">
        <f t="array" ref="D726">XLOOKUP(A726,Data!F:F,Data!C:C)</f>
        <v>EXT</v>
      </c>
      <c r="E726" s="19" t="str">
        <f t="array" ref="E726">XLOOKUP(A726,Data!F:F,Data!H:H)</f>
        <v>BW</v>
      </c>
      <c r="F726" s="106" t="str">
        <f>SUMIFS(Data!J:J,Data!F:F,A726)</f>
        <v>1</v>
      </c>
      <c r="G726" s="106" t="str">
        <f>SUMIFS(Cast!C:C,CastElements,A726)</f>
        <v>0</v>
      </c>
      <c r="H726" s="106" t="str">
        <f t="shared" si="4"/>
        <v>1</v>
      </c>
      <c r="I726" s="106" t="str">
        <f>SUMIFS(Del!C:C,Del!B:B,A726)</f>
        <v>0</v>
      </c>
      <c r="J726" s="106" t="str">
        <f t="shared" si="5"/>
        <v>1</v>
      </c>
      <c r="K726" s="106" t="str">
        <f t="shared" si="6"/>
        <v>0</v>
      </c>
      <c r="L726" s="106"/>
      <c r="M726" s="106" t="str">
        <f>SUMIFS(Ere!C:C,Ere!B:B,A726)</f>
        <v>0</v>
      </c>
      <c r="N726" s="106" t="str">
        <f t="shared" si="7"/>
        <v>1</v>
      </c>
      <c r="O726" s="107" t="str">
        <f t="array" ref="O726">XLOOKUP(A726,Data!F:F,Data!O:O)</f>
        <v>  0.91 </v>
      </c>
      <c r="P726" s="107" t="str">
        <f t="shared" si="8"/>
        <v>  2.28 </v>
      </c>
      <c r="Q726" s="27"/>
    </row>
    <row r="727" ht="15.75" customHeight="1">
      <c r="A727" s="105" t="s">
        <v>971</v>
      </c>
      <c r="B727" s="19" t="str">
        <f t="array" ref="B727">XLOOKUP(A727,Data!F:F,Data!G:G)</f>
        <v>A1D</v>
      </c>
      <c r="C727" s="19" t="str">
        <f t="shared" si="3"/>
        <v>A057</v>
      </c>
      <c r="D727" s="19" t="str">
        <f t="array" ref="D727">XLOOKUP(A727,Data!F:F,Data!C:C)</f>
        <v>EXT</v>
      </c>
      <c r="E727" s="19" t="str">
        <f t="array" ref="E727">XLOOKUP(A727,Data!F:F,Data!H:H)</f>
        <v>BW</v>
      </c>
      <c r="F727" s="106" t="str">
        <f>SUMIFS(Data!J:J,Data!F:F,A727)</f>
        <v>1</v>
      </c>
      <c r="G727" s="106" t="str">
        <f>SUMIFS(Cast!C:C,CastElements,A727)</f>
        <v>0</v>
      </c>
      <c r="H727" s="106" t="str">
        <f t="shared" si="4"/>
        <v>1</v>
      </c>
      <c r="I727" s="106" t="str">
        <f>SUMIFS(Del!C:C,Del!B:B,A727)</f>
        <v>0</v>
      </c>
      <c r="J727" s="106" t="str">
        <f t="shared" si="5"/>
        <v>1</v>
      </c>
      <c r="K727" s="106" t="str">
        <f t="shared" si="6"/>
        <v>0</v>
      </c>
      <c r="L727" s="106"/>
      <c r="M727" s="106" t="str">
        <f>SUMIFS(Ere!C:C,Ere!B:B,A727)</f>
        <v>0</v>
      </c>
      <c r="N727" s="106" t="str">
        <f t="shared" si="7"/>
        <v>1</v>
      </c>
      <c r="O727" s="107" t="str">
        <f t="array" ref="O727">XLOOKUP(A727,Data!F:F,Data!O:O)</f>
        <v>  0.53 </v>
      </c>
      <c r="P727" s="107" t="str">
        <f t="shared" si="8"/>
        <v>  1.32 </v>
      </c>
      <c r="Q727" s="27"/>
    </row>
    <row r="728" ht="15.75" customHeight="1">
      <c r="A728" s="105" t="s">
        <v>972</v>
      </c>
      <c r="B728" s="19" t="str">
        <f t="array" ref="B728">XLOOKUP(A728,Data!F:F,Data!G:G)</f>
        <v>A1D</v>
      </c>
      <c r="C728" s="19" t="str">
        <f t="shared" si="3"/>
        <v>A057</v>
      </c>
      <c r="D728" s="19" t="str">
        <f t="array" ref="D728">XLOOKUP(A728,Data!F:F,Data!C:C)</f>
        <v/>
      </c>
      <c r="E728" s="19" t="str">
        <f t="array" ref="E728">XLOOKUP(A728,Data!F:F,Data!H:H)</f>
        <v>BW</v>
      </c>
      <c r="F728" s="106" t="str">
        <f>SUMIFS(Data!J:J,Data!F:F,A728)</f>
        <v>1</v>
      </c>
      <c r="G728" s="106" t="str">
        <f>SUMIFS(Cast!C:C,CastElements,A728)</f>
        <v>0</v>
      </c>
      <c r="H728" s="106" t="str">
        <f t="shared" si="4"/>
        <v>1</v>
      </c>
      <c r="I728" s="106" t="str">
        <f>SUMIFS(Del!C:C,Del!B:B,A728)</f>
        <v>0</v>
      </c>
      <c r="J728" s="106" t="str">
        <f t="shared" si="5"/>
        <v>1</v>
      </c>
      <c r="K728" s="106" t="str">
        <f t="shared" si="6"/>
        <v>0</v>
      </c>
      <c r="L728" s="106"/>
      <c r="M728" s="106" t="str">
        <f>SUMIFS(Ere!C:C,Ere!B:B,A728)</f>
        <v>0</v>
      </c>
      <c r="N728" s="106" t="str">
        <f t="shared" si="7"/>
        <v>1</v>
      </c>
      <c r="O728" s="107" t="str">
        <f t="array" ref="O728">XLOOKUP(A728,Data!F:F,Data!O:O)</f>
        <v>  2.38 </v>
      </c>
      <c r="P728" s="107" t="str">
        <f t="shared" si="8"/>
        <v>  5.96 </v>
      </c>
      <c r="Q728" s="27"/>
    </row>
    <row r="729" ht="15.75" customHeight="1">
      <c r="A729" s="105" t="s">
        <v>973</v>
      </c>
      <c r="B729" s="19" t="str">
        <f t="array" ref="B729">XLOOKUP(A729,Data!F:F,Data!G:G)</f>
        <v>A1D</v>
      </c>
      <c r="C729" s="19" t="str">
        <f t="shared" si="3"/>
        <v>A057</v>
      </c>
      <c r="D729" s="19" t="str">
        <f t="array" ref="D729">XLOOKUP(A729,Data!F:F,Data!C:C)</f>
        <v/>
      </c>
      <c r="E729" s="19" t="str">
        <f t="array" ref="E729">XLOOKUP(A729,Data!F:F,Data!H:H)</f>
        <v>BW</v>
      </c>
      <c r="F729" s="106" t="str">
        <f>SUMIFS(Data!J:J,Data!F:F,A729)</f>
        <v>1</v>
      </c>
      <c r="G729" s="106" t="str">
        <f>SUMIFS(Cast!C:C,CastElements,A729)</f>
        <v>1</v>
      </c>
      <c r="H729" s="106" t="str">
        <f t="shared" si="4"/>
        <v>0</v>
      </c>
      <c r="I729" s="106" t="str">
        <f>SUMIFS(Del!C:C,Del!B:B,A729)</f>
        <v>0</v>
      </c>
      <c r="J729" s="106" t="str">
        <f t="shared" si="5"/>
        <v>1</v>
      </c>
      <c r="K729" s="106" t="str">
        <f t="shared" si="6"/>
        <v>1</v>
      </c>
      <c r="L729" s="106"/>
      <c r="M729" s="106" t="str">
        <f>SUMIFS(Ere!C:C,Ere!B:B,A729)</f>
        <v>0</v>
      </c>
      <c r="N729" s="106" t="str">
        <f t="shared" si="7"/>
        <v>1</v>
      </c>
      <c r="O729" s="107" t="str">
        <f t="array" ref="O729">XLOOKUP(A729,Data!F:F,Data!O:O)</f>
        <v>  2.22 </v>
      </c>
      <c r="P729" s="107" t="str">
        <f t="shared" si="8"/>
        <v>  5.54 </v>
      </c>
      <c r="Q729" s="27"/>
    </row>
    <row r="730" ht="15.75" customHeight="1">
      <c r="A730" s="105" t="s">
        <v>974</v>
      </c>
      <c r="B730" s="19" t="str">
        <f t="array" ref="B730">XLOOKUP(A730,Data!F:F,Data!G:G)</f>
        <v>A1D</v>
      </c>
      <c r="C730" s="19" t="str">
        <f t="shared" si="3"/>
        <v>A057</v>
      </c>
      <c r="D730" s="19" t="str">
        <f t="array" ref="D730">XLOOKUP(A730,Data!F:F,Data!C:C)</f>
        <v/>
      </c>
      <c r="E730" s="19" t="str">
        <f t="array" ref="E730">XLOOKUP(A730,Data!F:F,Data!H:H)</f>
        <v>BW</v>
      </c>
      <c r="F730" s="106" t="str">
        <f>SUMIFS(Data!J:J,Data!F:F,A730)</f>
        <v>1</v>
      </c>
      <c r="G730" s="106" t="str">
        <f>SUMIFS(Cast!C:C,CastElements,A730)</f>
        <v>1</v>
      </c>
      <c r="H730" s="106" t="str">
        <f t="shared" si="4"/>
        <v>0</v>
      </c>
      <c r="I730" s="106" t="str">
        <f>SUMIFS(Del!C:C,Del!B:B,A730)</f>
        <v>0</v>
      </c>
      <c r="J730" s="106" t="str">
        <f t="shared" si="5"/>
        <v>1</v>
      </c>
      <c r="K730" s="106" t="str">
        <f t="shared" si="6"/>
        <v>1</v>
      </c>
      <c r="L730" s="106"/>
      <c r="M730" s="106" t="str">
        <f>SUMIFS(Ere!C:C,Ere!B:B,A730)</f>
        <v>0</v>
      </c>
      <c r="N730" s="106" t="str">
        <f t="shared" si="7"/>
        <v>1</v>
      </c>
      <c r="O730" s="107" t="str">
        <f t="array" ref="O730">XLOOKUP(A730,Data!F:F,Data!O:O)</f>
        <v>  2.22 </v>
      </c>
      <c r="P730" s="107" t="str">
        <f t="shared" si="8"/>
        <v>  5.54 </v>
      </c>
      <c r="Q730" s="27"/>
    </row>
    <row r="731" ht="15.75" customHeight="1">
      <c r="A731" s="105" t="s">
        <v>975</v>
      </c>
      <c r="B731" s="19" t="str">
        <f t="array" ref="B731">XLOOKUP(A731,Data!F:F,Data!G:G)</f>
        <v>A1D</v>
      </c>
      <c r="C731" s="19" t="str">
        <f t="shared" si="3"/>
        <v>A057</v>
      </c>
      <c r="D731" s="19" t="str">
        <f t="array" ref="D731">XLOOKUP(A731,Data!F:F,Data!C:C)</f>
        <v/>
      </c>
      <c r="E731" s="19" t="str">
        <f t="array" ref="E731">XLOOKUP(A731,Data!F:F,Data!H:H)</f>
        <v>BW</v>
      </c>
      <c r="F731" s="106" t="str">
        <f>SUMIFS(Data!J:J,Data!F:F,A731)</f>
        <v>1</v>
      </c>
      <c r="G731" s="106" t="str">
        <f>SUMIFS(Cast!C:C,CastElements,A731)</f>
        <v>1</v>
      </c>
      <c r="H731" s="106" t="str">
        <f t="shared" si="4"/>
        <v>0</v>
      </c>
      <c r="I731" s="106" t="str">
        <f>SUMIFS(Del!C:C,Del!B:B,A731)</f>
        <v>0</v>
      </c>
      <c r="J731" s="106" t="str">
        <f t="shared" si="5"/>
        <v>1</v>
      </c>
      <c r="K731" s="106" t="str">
        <f t="shared" si="6"/>
        <v>1</v>
      </c>
      <c r="L731" s="106"/>
      <c r="M731" s="106" t="str">
        <f>SUMIFS(Ere!C:C,Ere!B:B,A731)</f>
        <v>0</v>
      </c>
      <c r="N731" s="106" t="str">
        <f t="shared" si="7"/>
        <v>1</v>
      </c>
      <c r="O731" s="107" t="str">
        <f t="array" ref="O731">XLOOKUP(A731,Data!F:F,Data!O:O)</f>
        <v>  2.22 </v>
      </c>
      <c r="P731" s="107" t="str">
        <f t="shared" si="8"/>
        <v>  5.54 </v>
      </c>
      <c r="Q731" s="27"/>
    </row>
    <row r="732" ht="15.75" customHeight="1">
      <c r="A732" s="105" t="s">
        <v>976</v>
      </c>
      <c r="B732" s="19" t="str">
        <f t="array" ref="B732">XLOOKUP(A732,Data!F:F,Data!G:G)</f>
        <v>A1D</v>
      </c>
      <c r="C732" s="19" t="str">
        <f t="shared" si="3"/>
        <v>A057</v>
      </c>
      <c r="D732" s="19" t="str">
        <f t="array" ref="D732">XLOOKUP(A732,Data!F:F,Data!C:C)</f>
        <v/>
      </c>
      <c r="E732" s="19" t="str">
        <f t="array" ref="E732">XLOOKUP(A732,Data!F:F,Data!H:H)</f>
        <v>BW</v>
      </c>
      <c r="F732" s="106" t="str">
        <f>SUMIFS(Data!J:J,Data!F:F,A732)</f>
        <v>1</v>
      </c>
      <c r="G732" s="106" t="str">
        <f>SUMIFS(Cast!C:C,CastElements,A732)</f>
        <v>1</v>
      </c>
      <c r="H732" s="106" t="str">
        <f t="shared" si="4"/>
        <v>0</v>
      </c>
      <c r="I732" s="106" t="str">
        <f>SUMIFS(Del!C:C,Del!B:B,A732)</f>
        <v>0</v>
      </c>
      <c r="J732" s="106" t="str">
        <f t="shared" si="5"/>
        <v>1</v>
      </c>
      <c r="K732" s="106" t="str">
        <f t="shared" si="6"/>
        <v>1</v>
      </c>
      <c r="L732" s="106"/>
      <c r="M732" s="106" t="str">
        <f>SUMIFS(Ere!C:C,Ere!B:B,A732)</f>
        <v>0</v>
      </c>
      <c r="N732" s="106" t="str">
        <f t="shared" si="7"/>
        <v>1</v>
      </c>
      <c r="O732" s="107" t="str">
        <f t="array" ref="O732">XLOOKUP(A732,Data!F:F,Data!O:O)</f>
        <v>  1.88 </v>
      </c>
      <c r="P732" s="107" t="str">
        <f t="shared" si="8"/>
        <v>  4.70 </v>
      </c>
      <c r="Q732" s="27"/>
    </row>
    <row r="733" ht="15.75" customHeight="1">
      <c r="A733" s="105" t="s">
        <v>977</v>
      </c>
      <c r="B733" s="19" t="str">
        <f t="array" ref="B733">XLOOKUP(A733,Data!F:F,Data!G:G)</f>
        <v>A1D</v>
      </c>
      <c r="C733" s="19" t="str">
        <f t="shared" si="3"/>
        <v>A057</v>
      </c>
      <c r="D733" s="19" t="str">
        <f t="array" ref="D733">XLOOKUP(A733,Data!F:F,Data!C:C)</f>
        <v/>
      </c>
      <c r="E733" s="19" t="str">
        <f t="array" ref="E733">XLOOKUP(A733,Data!F:F,Data!H:H)</f>
        <v>BW</v>
      </c>
      <c r="F733" s="106" t="str">
        <f>SUMIFS(Data!J:J,Data!F:F,A733)</f>
        <v>1</v>
      </c>
      <c r="G733" s="106" t="str">
        <f>SUMIFS(Cast!C:C,CastElements,A733)</f>
        <v>1</v>
      </c>
      <c r="H733" s="106" t="str">
        <f t="shared" si="4"/>
        <v>0</v>
      </c>
      <c r="I733" s="106" t="str">
        <f>SUMIFS(Del!C:C,Del!B:B,A733)</f>
        <v>0</v>
      </c>
      <c r="J733" s="106" t="str">
        <f t="shared" si="5"/>
        <v>1</v>
      </c>
      <c r="K733" s="106" t="str">
        <f t="shared" si="6"/>
        <v>1</v>
      </c>
      <c r="L733" s="106"/>
      <c r="M733" s="106" t="str">
        <f>SUMIFS(Ere!C:C,Ere!B:B,A733)</f>
        <v>0</v>
      </c>
      <c r="N733" s="106" t="str">
        <f t="shared" si="7"/>
        <v>1</v>
      </c>
      <c r="O733" s="107" t="str">
        <f t="array" ref="O733">XLOOKUP(A733,Data!F:F,Data!O:O)</f>
        <v>  1.14 </v>
      </c>
      <c r="P733" s="107" t="str">
        <f t="shared" si="8"/>
        <v>  2.85 </v>
      </c>
      <c r="Q733" s="27"/>
    </row>
    <row r="734" ht="15.75" customHeight="1">
      <c r="A734" s="105" t="s">
        <v>978</v>
      </c>
      <c r="B734" s="19" t="str">
        <f t="array" ref="B734">XLOOKUP(A734,Data!F:F,Data!G:G)</f>
        <v>A1D</v>
      </c>
      <c r="C734" s="19" t="str">
        <f t="shared" si="3"/>
        <v>A057</v>
      </c>
      <c r="D734" s="19" t="str">
        <f t="array" ref="D734">XLOOKUP(A734,Data!F:F,Data!C:C)</f>
        <v/>
      </c>
      <c r="E734" s="19" t="str">
        <f t="array" ref="E734">XLOOKUP(A734,Data!F:F,Data!H:H)</f>
        <v>BW</v>
      </c>
      <c r="F734" s="106" t="str">
        <f>SUMIFS(Data!J:J,Data!F:F,A734)</f>
        <v>1</v>
      </c>
      <c r="G734" s="106" t="str">
        <f>SUMIFS(Cast!C:C,CastElements,A734)</f>
        <v>1</v>
      </c>
      <c r="H734" s="106" t="str">
        <f t="shared" si="4"/>
        <v>0</v>
      </c>
      <c r="I734" s="106" t="str">
        <f>SUMIFS(Del!C:C,Del!B:B,A734)</f>
        <v>0</v>
      </c>
      <c r="J734" s="106" t="str">
        <f t="shared" si="5"/>
        <v>1</v>
      </c>
      <c r="K734" s="106" t="str">
        <f t="shared" si="6"/>
        <v>1</v>
      </c>
      <c r="L734" s="106"/>
      <c r="M734" s="106" t="str">
        <f>SUMIFS(Ere!C:C,Ere!B:B,A734)</f>
        <v>0</v>
      </c>
      <c r="N734" s="106" t="str">
        <f t="shared" si="7"/>
        <v>1</v>
      </c>
      <c r="O734" s="107" t="str">
        <f t="array" ref="O734">XLOOKUP(A734,Data!F:F,Data!O:O)</f>
        <v>  2.10 </v>
      </c>
      <c r="P734" s="107" t="str">
        <f t="shared" si="8"/>
        <v>  5.24 </v>
      </c>
      <c r="Q734" s="27"/>
    </row>
    <row r="735" ht="15.75" customHeight="1">
      <c r="A735" s="105" t="s">
        <v>979</v>
      </c>
      <c r="B735" s="19" t="str">
        <f t="array" ref="B735">XLOOKUP(A735,Data!F:F,Data!G:G)</f>
        <v>A1D</v>
      </c>
      <c r="C735" s="19" t="str">
        <f t="shared" si="3"/>
        <v>A057</v>
      </c>
      <c r="D735" s="19" t="str">
        <f t="array" ref="D735">XLOOKUP(A735,Data!F:F,Data!C:C)</f>
        <v/>
      </c>
      <c r="E735" s="19" t="str">
        <f t="array" ref="E735">XLOOKUP(A735,Data!F:F,Data!H:H)</f>
        <v>BW</v>
      </c>
      <c r="F735" s="106" t="str">
        <f>SUMIFS(Data!J:J,Data!F:F,A735)</f>
        <v>1</v>
      </c>
      <c r="G735" s="106" t="str">
        <f>SUMIFS(Cast!C:C,CastElements,A735)</f>
        <v>1</v>
      </c>
      <c r="H735" s="106" t="str">
        <f t="shared" si="4"/>
        <v>0</v>
      </c>
      <c r="I735" s="106" t="str">
        <f>SUMIFS(Del!C:C,Del!B:B,A735)</f>
        <v>0</v>
      </c>
      <c r="J735" s="106" t="str">
        <f t="shared" si="5"/>
        <v>1</v>
      </c>
      <c r="K735" s="106" t="str">
        <f t="shared" si="6"/>
        <v>1</v>
      </c>
      <c r="L735" s="106"/>
      <c r="M735" s="106" t="str">
        <f>SUMIFS(Ere!C:C,Ere!B:B,A735)</f>
        <v>0</v>
      </c>
      <c r="N735" s="106" t="str">
        <f t="shared" si="7"/>
        <v>1</v>
      </c>
      <c r="O735" s="107" t="str">
        <f t="array" ref="O735">XLOOKUP(A735,Data!F:F,Data!O:O)</f>
        <v>  2.05 </v>
      </c>
      <c r="P735" s="107" t="str">
        <f t="shared" si="8"/>
        <v>  5.14 </v>
      </c>
      <c r="Q735" s="27"/>
    </row>
    <row r="736" ht="15.75" customHeight="1">
      <c r="A736" s="105" t="s">
        <v>980</v>
      </c>
      <c r="B736" s="19" t="str">
        <f t="array" ref="B736">XLOOKUP(A736,Data!F:F,Data!G:G)</f>
        <v>A1D</v>
      </c>
      <c r="C736" s="19" t="str">
        <f t="shared" si="3"/>
        <v>A057</v>
      </c>
      <c r="D736" s="19" t="str">
        <f t="array" ref="D736">XLOOKUP(A736,Data!F:F,Data!C:C)</f>
        <v/>
      </c>
      <c r="E736" s="19" t="str">
        <f t="array" ref="E736">XLOOKUP(A736,Data!F:F,Data!H:H)</f>
        <v>BW</v>
      </c>
      <c r="F736" s="106" t="str">
        <f>SUMIFS(Data!J:J,Data!F:F,A736)</f>
        <v>1</v>
      </c>
      <c r="G736" s="106" t="str">
        <f>SUMIFS(Cast!C:C,CastElements,A736)</f>
        <v>1</v>
      </c>
      <c r="H736" s="106" t="str">
        <f t="shared" si="4"/>
        <v>0</v>
      </c>
      <c r="I736" s="106" t="str">
        <f>SUMIFS(Del!C:C,Del!B:B,A736)</f>
        <v>0</v>
      </c>
      <c r="J736" s="106" t="str">
        <f t="shared" si="5"/>
        <v>1</v>
      </c>
      <c r="K736" s="106" t="str">
        <f t="shared" si="6"/>
        <v>1</v>
      </c>
      <c r="L736" s="106"/>
      <c r="M736" s="106" t="str">
        <f>SUMIFS(Ere!C:C,Ere!B:B,A736)</f>
        <v>0</v>
      </c>
      <c r="N736" s="106" t="str">
        <f t="shared" si="7"/>
        <v>1</v>
      </c>
      <c r="O736" s="107" t="str">
        <f t="array" ref="O736">XLOOKUP(A736,Data!F:F,Data!O:O)</f>
        <v>  1.68 </v>
      </c>
      <c r="P736" s="107" t="str">
        <f t="shared" si="8"/>
        <v>  4.19 </v>
      </c>
      <c r="Q736" s="27"/>
    </row>
    <row r="737" ht="15.75" customHeight="1">
      <c r="A737" s="105" t="s">
        <v>981</v>
      </c>
      <c r="B737" s="19" t="str">
        <f t="array" ref="B737">XLOOKUP(A737,Data!F:F,Data!G:G)</f>
        <v>A1D</v>
      </c>
      <c r="C737" s="19" t="str">
        <f t="shared" si="3"/>
        <v>A057</v>
      </c>
      <c r="D737" s="19" t="str">
        <f t="array" ref="D737">XLOOKUP(A737,Data!F:F,Data!C:C)</f>
        <v/>
      </c>
      <c r="E737" s="19" t="str">
        <f t="array" ref="E737">XLOOKUP(A737,Data!F:F,Data!H:H)</f>
        <v>BW</v>
      </c>
      <c r="F737" s="106" t="str">
        <f>SUMIFS(Data!J:J,Data!F:F,A737)</f>
        <v>1</v>
      </c>
      <c r="G737" s="106" t="str">
        <f>SUMIFS(Cast!C:C,CastElements,A737)</f>
        <v>0</v>
      </c>
      <c r="H737" s="106" t="str">
        <f t="shared" si="4"/>
        <v>1</v>
      </c>
      <c r="I737" s="106" t="str">
        <f>SUMIFS(Del!C:C,Del!B:B,A737)</f>
        <v>0</v>
      </c>
      <c r="J737" s="106" t="str">
        <f t="shared" si="5"/>
        <v>1</v>
      </c>
      <c r="K737" s="106" t="str">
        <f t="shared" si="6"/>
        <v>0</v>
      </c>
      <c r="L737" s="106"/>
      <c r="M737" s="106" t="str">
        <f>SUMIFS(Ere!C:C,Ere!B:B,A737)</f>
        <v>0</v>
      </c>
      <c r="N737" s="106" t="str">
        <f t="shared" si="7"/>
        <v>1</v>
      </c>
      <c r="O737" s="107" t="str">
        <f t="array" ref="O737">XLOOKUP(A737,Data!F:F,Data!O:O)</f>
        <v>  1.85 </v>
      </c>
      <c r="P737" s="107" t="str">
        <f t="shared" si="8"/>
        <v>  4.62 </v>
      </c>
      <c r="Q737" s="27"/>
    </row>
    <row r="738" ht="15.75" customHeight="1">
      <c r="A738" s="105" t="s">
        <v>982</v>
      </c>
      <c r="B738" s="19" t="str">
        <f t="array" ref="B738">XLOOKUP(A738,Data!F:F,Data!G:G)</f>
        <v>J1A</v>
      </c>
      <c r="C738" s="19" t="str">
        <f t="shared" si="3"/>
        <v>J116</v>
      </c>
      <c r="D738" s="19" t="str">
        <f t="array" ref="D738">XLOOKUP(A738,Data!F:F,Data!C:C)</f>
        <v>EXT</v>
      </c>
      <c r="E738" s="19" t="str">
        <f t="array" ref="E738">XLOOKUP(A738,Data!F:F,Data!H:H)</f>
        <v>BW</v>
      </c>
      <c r="F738" s="106" t="str">
        <f>SUMIFS(Data!J:J,Data!F:F,A738)</f>
        <v>1</v>
      </c>
      <c r="G738" s="106" t="str">
        <f>SUMIFS(Cast!C:C,CastElements,A738)</f>
        <v>0</v>
      </c>
      <c r="H738" s="106" t="str">
        <f t="shared" si="4"/>
        <v>1</v>
      </c>
      <c r="I738" s="106" t="str">
        <f>SUMIFS(Del!C:C,Del!B:B,A738)</f>
        <v>0</v>
      </c>
      <c r="J738" s="106" t="str">
        <f t="shared" si="5"/>
        <v>1</v>
      </c>
      <c r="K738" s="106" t="str">
        <f t="shared" si="6"/>
        <v>0</v>
      </c>
      <c r="L738" s="106"/>
      <c r="M738" s="106" t="str">
        <f>SUMIFS(Ere!C:C,Ere!B:B,A738)</f>
        <v>0</v>
      </c>
      <c r="N738" s="106" t="str">
        <f t="shared" si="7"/>
        <v>1</v>
      </c>
      <c r="O738" s="107" t="str">
        <f t="array" ref="O738">XLOOKUP(A738,Data!F:F,Data!O:O)</f>
        <v>  1.00 </v>
      </c>
      <c r="P738" s="107" t="str">
        <f t="shared" si="8"/>
        <v>  2.50 </v>
      </c>
      <c r="Q738" s="27"/>
    </row>
    <row r="739" ht="15.75" customHeight="1">
      <c r="A739" s="105" t="s">
        <v>983</v>
      </c>
      <c r="B739" s="19" t="str">
        <f t="array" ref="B739">XLOOKUP(A739,Data!F:F,Data!G:G)</f>
        <v>J1A</v>
      </c>
      <c r="C739" s="19" t="str">
        <f t="shared" si="3"/>
        <v>J116</v>
      </c>
      <c r="D739" s="19" t="str">
        <f t="array" ref="D739">XLOOKUP(A739,Data!F:F,Data!C:C)</f>
        <v>EXT</v>
      </c>
      <c r="E739" s="19" t="str">
        <f t="array" ref="E739">XLOOKUP(A739,Data!F:F,Data!H:H)</f>
        <v>BW</v>
      </c>
      <c r="F739" s="106" t="str">
        <f>SUMIFS(Data!J:J,Data!F:F,A739)</f>
        <v>1</v>
      </c>
      <c r="G739" s="106" t="str">
        <f>SUMIFS(Cast!C:C,CastElements,A739)</f>
        <v>0</v>
      </c>
      <c r="H739" s="106" t="str">
        <f t="shared" si="4"/>
        <v>1</v>
      </c>
      <c r="I739" s="106" t="str">
        <f>SUMIFS(Del!C:C,Del!B:B,A739)</f>
        <v>0</v>
      </c>
      <c r="J739" s="106" t="str">
        <f t="shared" si="5"/>
        <v>1</v>
      </c>
      <c r="K739" s="106" t="str">
        <f t="shared" si="6"/>
        <v>0</v>
      </c>
      <c r="L739" s="106"/>
      <c r="M739" s="106" t="str">
        <f>SUMIFS(Ere!C:C,Ere!B:B,A739)</f>
        <v>0</v>
      </c>
      <c r="N739" s="106" t="str">
        <f t="shared" si="7"/>
        <v>1</v>
      </c>
      <c r="O739" s="107" t="str">
        <f t="array" ref="O739">XLOOKUP(A739,Data!F:F,Data!O:O)</f>
        <v>  1.01 </v>
      </c>
      <c r="P739" s="107" t="str">
        <f t="shared" si="8"/>
        <v>  2.53 </v>
      </c>
      <c r="Q739" s="27"/>
    </row>
    <row r="740" ht="15.75" customHeight="1">
      <c r="A740" s="105" t="s">
        <v>984</v>
      </c>
      <c r="B740" s="19" t="str">
        <f t="array" ref="B740">XLOOKUP(A740,Data!F:F,Data!G:G)</f>
        <v>J1A</v>
      </c>
      <c r="C740" s="19" t="str">
        <f t="shared" si="3"/>
        <v>J116</v>
      </c>
      <c r="D740" s="19" t="str">
        <f t="array" ref="D740">XLOOKUP(A740,Data!F:F,Data!C:C)</f>
        <v>EXT</v>
      </c>
      <c r="E740" s="19" t="str">
        <f t="array" ref="E740">XLOOKUP(A740,Data!F:F,Data!H:H)</f>
        <v>BW</v>
      </c>
      <c r="F740" s="106" t="str">
        <f>SUMIFS(Data!J:J,Data!F:F,A740)</f>
        <v>1</v>
      </c>
      <c r="G740" s="106" t="str">
        <f>SUMIFS(Cast!C:C,CastElements,A740)</f>
        <v>0</v>
      </c>
      <c r="H740" s="106" t="str">
        <f t="shared" si="4"/>
        <v>1</v>
      </c>
      <c r="I740" s="106" t="str">
        <f>SUMIFS(Del!C:C,Del!B:B,A740)</f>
        <v>0</v>
      </c>
      <c r="J740" s="106" t="str">
        <f t="shared" si="5"/>
        <v>1</v>
      </c>
      <c r="K740" s="106" t="str">
        <f t="shared" si="6"/>
        <v>0</v>
      </c>
      <c r="L740" s="106"/>
      <c r="M740" s="106" t="str">
        <f>SUMIFS(Ere!C:C,Ere!B:B,A740)</f>
        <v>0</v>
      </c>
      <c r="N740" s="106" t="str">
        <f t="shared" si="7"/>
        <v>1</v>
      </c>
      <c r="O740" s="107" t="str">
        <f t="array" ref="O740">XLOOKUP(A740,Data!F:F,Data!O:O)</f>
        <v>  1.01 </v>
      </c>
      <c r="P740" s="107" t="str">
        <f t="shared" si="8"/>
        <v>  2.53 </v>
      </c>
      <c r="Q740" s="27"/>
    </row>
    <row r="741" ht="15.75" customHeight="1">
      <c r="A741" s="105" t="s">
        <v>985</v>
      </c>
      <c r="B741" s="19" t="str">
        <f t="array" ref="B741">XLOOKUP(A741,Data!F:F,Data!G:G)</f>
        <v>J1A</v>
      </c>
      <c r="C741" s="19" t="str">
        <f t="shared" si="3"/>
        <v>J116</v>
      </c>
      <c r="D741" s="19" t="str">
        <f t="array" ref="D741">XLOOKUP(A741,Data!F:F,Data!C:C)</f>
        <v>EXT</v>
      </c>
      <c r="E741" s="19" t="str">
        <f t="array" ref="E741">XLOOKUP(A741,Data!F:F,Data!H:H)</f>
        <v>BW</v>
      </c>
      <c r="F741" s="106" t="str">
        <f>SUMIFS(Data!J:J,Data!F:F,A741)</f>
        <v>1</v>
      </c>
      <c r="G741" s="106" t="str">
        <f>SUMIFS(Cast!C:C,CastElements,A741)</f>
        <v>0</v>
      </c>
      <c r="H741" s="106" t="str">
        <f t="shared" si="4"/>
        <v>1</v>
      </c>
      <c r="I741" s="106" t="str">
        <f>SUMIFS(Del!C:C,Del!B:B,A741)</f>
        <v>0</v>
      </c>
      <c r="J741" s="106" t="str">
        <f t="shared" si="5"/>
        <v>1</v>
      </c>
      <c r="K741" s="106" t="str">
        <f t="shared" si="6"/>
        <v>0</v>
      </c>
      <c r="L741" s="106"/>
      <c r="M741" s="106" t="str">
        <f>SUMIFS(Ere!C:C,Ere!B:B,A741)</f>
        <v>0</v>
      </c>
      <c r="N741" s="106" t="str">
        <f t="shared" si="7"/>
        <v>1</v>
      </c>
      <c r="O741" s="107" t="str">
        <f t="array" ref="O741">XLOOKUP(A741,Data!F:F,Data!O:O)</f>
        <v>  0.98 </v>
      </c>
      <c r="P741" s="107" t="str">
        <f t="shared" si="8"/>
        <v>  2.44 </v>
      </c>
      <c r="Q741" s="27"/>
    </row>
    <row r="742" ht="15.75" customHeight="1">
      <c r="A742" s="105" t="s">
        <v>986</v>
      </c>
      <c r="B742" s="19" t="str">
        <f t="array" ref="B742">XLOOKUP(A742,Data!F:F,Data!G:G)</f>
        <v>J1A</v>
      </c>
      <c r="C742" s="19" t="str">
        <f t="shared" si="3"/>
        <v>J116</v>
      </c>
      <c r="D742" s="19" t="str">
        <f t="array" ref="D742">XLOOKUP(A742,Data!F:F,Data!C:C)</f>
        <v/>
      </c>
      <c r="E742" s="19" t="str">
        <f t="array" ref="E742">XLOOKUP(A742,Data!F:F,Data!H:H)</f>
        <v>BW</v>
      </c>
      <c r="F742" s="106" t="str">
        <f>SUMIFS(Data!J:J,Data!F:F,A742)</f>
        <v>1</v>
      </c>
      <c r="G742" s="106" t="str">
        <f>SUMIFS(Cast!C:C,CastElements,A742)</f>
        <v>1</v>
      </c>
      <c r="H742" s="106" t="str">
        <f t="shared" si="4"/>
        <v>0</v>
      </c>
      <c r="I742" s="106" t="str">
        <f>SUMIFS(Del!C:C,Del!B:B,A742)</f>
        <v>0</v>
      </c>
      <c r="J742" s="106" t="str">
        <f t="shared" si="5"/>
        <v>1</v>
      </c>
      <c r="K742" s="106" t="str">
        <f t="shared" si="6"/>
        <v>1</v>
      </c>
      <c r="L742" s="106"/>
      <c r="M742" s="106" t="str">
        <f>SUMIFS(Ere!C:C,Ere!B:B,A742)</f>
        <v>0</v>
      </c>
      <c r="N742" s="106" t="str">
        <f t="shared" si="7"/>
        <v>1</v>
      </c>
      <c r="O742" s="107" t="str">
        <f t="array" ref="O742">XLOOKUP(A742,Data!F:F,Data!O:O)</f>
        <v>  1.71 </v>
      </c>
      <c r="P742" s="107" t="str">
        <f t="shared" si="8"/>
        <v>  4.26 </v>
      </c>
      <c r="Q742" s="27"/>
    </row>
    <row r="743" ht="15.75" customHeight="1">
      <c r="A743" s="105" t="s">
        <v>987</v>
      </c>
      <c r="B743" s="19" t="str">
        <f t="array" ref="B743">XLOOKUP(A743,Data!F:F,Data!G:G)</f>
        <v>J1A</v>
      </c>
      <c r="C743" s="19" t="str">
        <f t="shared" si="3"/>
        <v>J116</v>
      </c>
      <c r="D743" s="19" t="str">
        <f t="array" ref="D743">XLOOKUP(A743,Data!F:F,Data!C:C)</f>
        <v/>
      </c>
      <c r="E743" s="19" t="str">
        <f t="array" ref="E743">XLOOKUP(A743,Data!F:F,Data!H:H)</f>
        <v>BW</v>
      </c>
      <c r="F743" s="106" t="str">
        <f>SUMIFS(Data!J:J,Data!F:F,A743)</f>
        <v>1</v>
      </c>
      <c r="G743" s="106" t="str">
        <f>SUMIFS(Cast!C:C,CastElements,A743)</f>
        <v>1</v>
      </c>
      <c r="H743" s="106" t="str">
        <f t="shared" si="4"/>
        <v>0</v>
      </c>
      <c r="I743" s="106" t="str">
        <f>SUMIFS(Del!C:C,Del!B:B,A743)</f>
        <v>0</v>
      </c>
      <c r="J743" s="106" t="str">
        <f t="shared" si="5"/>
        <v>1</v>
      </c>
      <c r="K743" s="106" t="str">
        <f t="shared" si="6"/>
        <v>1</v>
      </c>
      <c r="L743" s="106"/>
      <c r="M743" s="106" t="str">
        <f>SUMIFS(Ere!C:C,Ere!B:B,A743)</f>
        <v>0</v>
      </c>
      <c r="N743" s="106" t="str">
        <f t="shared" si="7"/>
        <v>1</v>
      </c>
      <c r="O743" s="107" t="str">
        <f t="array" ref="O743">XLOOKUP(A743,Data!F:F,Data!O:O)</f>
        <v>  2.04 </v>
      </c>
      <c r="P743" s="107" t="str">
        <f t="shared" si="8"/>
        <v>  5.11 </v>
      </c>
      <c r="Q743" s="27"/>
    </row>
    <row r="744" ht="15.75" customHeight="1">
      <c r="A744" s="105" t="s">
        <v>988</v>
      </c>
      <c r="B744" s="19" t="str">
        <f t="array" ref="B744">XLOOKUP(A744,Data!F:F,Data!G:G)</f>
        <v>J1A</v>
      </c>
      <c r="C744" s="19" t="str">
        <f t="shared" si="3"/>
        <v>J116</v>
      </c>
      <c r="D744" s="19" t="str">
        <f t="array" ref="D744">XLOOKUP(A744,Data!F:F,Data!C:C)</f>
        <v/>
      </c>
      <c r="E744" s="19" t="str">
        <f t="array" ref="E744">XLOOKUP(A744,Data!F:F,Data!H:H)</f>
        <v>BW</v>
      </c>
      <c r="F744" s="106" t="str">
        <f>SUMIFS(Data!J:J,Data!F:F,A744)</f>
        <v>1</v>
      </c>
      <c r="G744" s="106" t="str">
        <f>SUMIFS(Cast!C:C,CastElements,A744)</f>
        <v>1</v>
      </c>
      <c r="H744" s="106" t="str">
        <f t="shared" si="4"/>
        <v>0</v>
      </c>
      <c r="I744" s="106" t="str">
        <f>SUMIFS(Del!C:C,Del!B:B,A744)</f>
        <v>1</v>
      </c>
      <c r="J744" s="106" t="str">
        <f t="shared" si="5"/>
        <v>0</v>
      </c>
      <c r="K744" s="106" t="str">
        <f t="shared" si="6"/>
        <v>0</v>
      </c>
      <c r="L744" s="106"/>
      <c r="M744" s="106" t="str">
        <f>SUMIFS(Ere!C:C,Ere!B:B,A744)</f>
        <v>1</v>
      </c>
      <c r="N744" s="106" t="str">
        <f t="shared" si="7"/>
        <v>0</v>
      </c>
      <c r="O744" s="107" t="str">
        <f t="array" ref="O744">XLOOKUP(A744,Data!F:F,Data!O:O)</f>
        <v>  2.17 </v>
      </c>
      <c r="P744" s="107" t="str">
        <f t="shared" si="8"/>
        <v>  5.42 </v>
      </c>
      <c r="Q744" s="27"/>
    </row>
    <row r="745" ht="15.75" customHeight="1">
      <c r="A745" s="105" t="s">
        <v>989</v>
      </c>
      <c r="B745" s="19" t="str">
        <f t="array" ref="B745">XLOOKUP(A745,Data!F:F,Data!G:G)</f>
        <v>J1A</v>
      </c>
      <c r="C745" s="19" t="str">
        <f t="shared" si="3"/>
        <v>J116</v>
      </c>
      <c r="D745" s="19" t="str">
        <f t="array" ref="D745">XLOOKUP(A745,Data!F:F,Data!C:C)</f>
        <v/>
      </c>
      <c r="E745" s="19" t="str">
        <f t="array" ref="E745">XLOOKUP(A745,Data!F:F,Data!H:H)</f>
        <v>BW</v>
      </c>
      <c r="F745" s="106" t="str">
        <f>SUMIFS(Data!J:J,Data!F:F,A745)</f>
        <v>1</v>
      </c>
      <c r="G745" s="106" t="str">
        <f>SUMIFS(Cast!C:C,CastElements,A745)</f>
        <v>1</v>
      </c>
      <c r="H745" s="106" t="str">
        <f t="shared" si="4"/>
        <v>0</v>
      </c>
      <c r="I745" s="106" t="str">
        <f>SUMIFS(Del!C:C,Del!B:B,A745)</f>
        <v>0</v>
      </c>
      <c r="J745" s="106" t="str">
        <f t="shared" si="5"/>
        <v>1</v>
      </c>
      <c r="K745" s="106" t="str">
        <f t="shared" si="6"/>
        <v>1</v>
      </c>
      <c r="L745" s="106"/>
      <c r="M745" s="106" t="str">
        <f>SUMIFS(Ere!C:C,Ere!B:B,A745)</f>
        <v>0</v>
      </c>
      <c r="N745" s="106" t="str">
        <f t="shared" si="7"/>
        <v>1</v>
      </c>
      <c r="O745" s="107" t="str">
        <f t="array" ref="O745">XLOOKUP(A745,Data!F:F,Data!O:O)</f>
        <v>  0.40 </v>
      </c>
      <c r="P745" s="107" t="str">
        <f t="shared" si="8"/>
        <v>  1.00 </v>
      </c>
      <c r="Q745" s="27"/>
    </row>
    <row r="746" ht="15.75" customHeight="1">
      <c r="A746" s="105" t="s">
        <v>990</v>
      </c>
      <c r="B746" s="19" t="str">
        <f t="array" ref="B746">XLOOKUP(A746,Data!F:F,Data!G:G)</f>
        <v>J1A</v>
      </c>
      <c r="C746" s="19" t="str">
        <f t="shared" si="3"/>
        <v>J116</v>
      </c>
      <c r="D746" s="19" t="str">
        <f t="array" ref="D746">XLOOKUP(A746,Data!F:F,Data!C:C)</f>
        <v/>
      </c>
      <c r="E746" s="19" t="str">
        <f t="array" ref="E746">XLOOKUP(A746,Data!F:F,Data!H:H)</f>
        <v>BW</v>
      </c>
      <c r="F746" s="106" t="str">
        <f>SUMIFS(Data!J:J,Data!F:F,A746)</f>
        <v>1</v>
      </c>
      <c r="G746" s="106" t="str">
        <f>SUMIFS(Cast!C:C,CastElements,A746)</f>
        <v>1</v>
      </c>
      <c r="H746" s="106" t="str">
        <f t="shared" si="4"/>
        <v>0</v>
      </c>
      <c r="I746" s="106" t="str">
        <f>SUMIFS(Del!C:C,Del!B:B,A746)</f>
        <v>0</v>
      </c>
      <c r="J746" s="106" t="str">
        <f t="shared" si="5"/>
        <v>1</v>
      </c>
      <c r="K746" s="106" t="str">
        <f t="shared" si="6"/>
        <v>1</v>
      </c>
      <c r="L746" s="106"/>
      <c r="M746" s="106" t="str">
        <f>SUMIFS(Ere!C:C,Ere!B:B,A746)</f>
        <v>0</v>
      </c>
      <c r="N746" s="106" t="str">
        <f t="shared" si="7"/>
        <v>1</v>
      </c>
      <c r="O746" s="107" t="str">
        <f t="array" ref="O746">XLOOKUP(A746,Data!F:F,Data!O:O)</f>
        <v>  1.21 </v>
      </c>
      <c r="P746" s="107" t="str">
        <f t="shared" si="8"/>
        <v>  3.03 </v>
      </c>
      <c r="Q746" s="27"/>
    </row>
    <row r="747" ht="15.75" customHeight="1">
      <c r="A747" s="105" t="s">
        <v>991</v>
      </c>
      <c r="B747" s="19" t="str">
        <f t="array" ref="B747">XLOOKUP(A747,Data!F:F,Data!G:G)</f>
        <v>J1A</v>
      </c>
      <c r="C747" s="19" t="str">
        <f t="shared" si="3"/>
        <v>J116</v>
      </c>
      <c r="D747" s="19" t="str">
        <f t="array" ref="D747">XLOOKUP(A747,Data!F:F,Data!C:C)</f>
        <v/>
      </c>
      <c r="E747" s="19" t="str">
        <f t="array" ref="E747">XLOOKUP(A747,Data!F:F,Data!H:H)</f>
        <v>BW</v>
      </c>
      <c r="F747" s="106" t="str">
        <f>SUMIFS(Data!J:J,Data!F:F,A747)</f>
        <v>1</v>
      </c>
      <c r="G747" s="106" t="str">
        <f>SUMIFS(Cast!C:C,CastElements,A747)</f>
        <v>1</v>
      </c>
      <c r="H747" s="106" t="str">
        <f t="shared" si="4"/>
        <v>0</v>
      </c>
      <c r="I747" s="106" t="str">
        <f>SUMIFS(Del!C:C,Del!B:B,A747)</f>
        <v>0</v>
      </c>
      <c r="J747" s="106" t="str">
        <f t="shared" si="5"/>
        <v>1</v>
      </c>
      <c r="K747" s="106" t="str">
        <f t="shared" si="6"/>
        <v>1</v>
      </c>
      <c r="L747" s="106"/>
      <c r="M747" s="106" t="str">
        <f>SUMIFS(Ere!C:C,Ere!B:B,A747)</f>
        <v>0</v>
      </c>
      <c r="N747" s="106" t="str">
        <f t="shared" si="7"/>
        <v>1</v>
      </c>
      <c r="O747" s="107" t="str">
        <f t="array" ref="O747">XLOOKUP(A747,Data!F:F,Data!O:O)</f>
        <v>  0.68 </v>
      </c>
      <c r="P747" s="107" t="str">
        <f t="shared" si="8"/>
        <v>  1.69 </v>
      </c>
      <c r="Q747" s="27"/>
    </row>
    <row r="748" ht="15.75" customHeight="1">
      <c r="A748" s="105" t="s">
        <v>992</v>
      </c>
      <c r="B748" s="19" t="str">
        <f t="array" ref="B748">XLOOKUP(A748,Data!F:F,Data!G:G)</f>
        <v>J1A</v>
      </c>
      <c r="C748" s="19" t="str">
        <f t="shared" si="3"/>
        <v>J116</v>
      </c>
      <c r="D748" s="19" t="str">
        <f t="array" ref="D748">XLOOKUP(A748,Data!F:F,Data!C:C)</f>
        <v/>
      </c>
      <c r="E748" s="19" t="str">
        <f t="array" ref="E748">XLOOKUP(A748,Data!F:F,Data!H:H)</f>
        <v>BW</v>
      </c>
      <c r="F748" s="106" t="str">
        <f>SUMIFS(Data!J:J,Data!F:F,A748)</f>
        <v>1</v>
      </c>
      <c r="G748" s="106" t="str">
        <f>SUMIFS(Cast!C:C,CastElements,A748)</f>
        <v>1</v>
      </c>
      <c r="H748" s="106" t="str">
        <f t="shared" si="4"/>
        <v>0</v>
      </c>
      <c r="I748" s="106" t="str">
        <f>SUMIFS(Del!C:C,Del!B:B,A748)</f>
        <v>0</v>
      </c>
      <c r="J748" s="106" t="str">
        <f t="shared" si="5"/>
        <v>1</v>
      </c>
      <c r="K748" s="106" t="str">
        <f t="shared" si="6"/>
        <v>1</v>
      </c>
      <c r="L748" s="106"/>
      <c r="M748" s="106" t="str">
        <f>SUMIFS(Ere!C:C,Ere!B:B,A748)</f>
        <v>0</v>
      </c>
      <c r="N748" s="106" t="str">
        <f t="shared" si="7"/>
        <v>1</v>
      </c>
      <c r="O748" s="107" t="str">
        <f t="array" ref="O748">XLOOKUP(A748,Data!F:F,Data!O:O)</f>
        <v>  0.68 </v>
      </c>
      <c r="P748" s="107" t="str">
        <f t="shared" si="8"/>
        <v>  1.69 </v>
      </c>
      <c r="Q748" s="27"/>
    </row>
    <row r="749" ht="15.75" customHeight="1">
      <c r="A749" s="105" t="s">
        <v>993</v>
      </c>
      <c r="B749" s="19" t="str">
        <f t="array" ref="B749">XLOOKUP(A749,Data!F:F,Data!G:G)</f>
        <v>J1A</v>
      </c>
      <c r="C749" s="19" t="str">
        <f t="shared" si="3"/>
        <v>J116</v>
      </c>
      <c r="D749" s="19" t="str">
        <f t="array" ref="D749">XLOOKUP(A749,Data!F:F,Data!C:C)</f>
        <v>EXT</v>
      </c>
      <c r="E749" s="19" t="str">
        <f t="array" ref="E749">XLOOKUP(A749,Data!F:F,Data!H:H)</f>
        <v>BW</v>
      </c>
      <c r="F749" s="106" t="str">
        <f>SUMIFS(Data!J:J,Data!F:F,A749)</f>
        <v>1</v>
      </c>
      <c r="G749" s="106" t="str">
        <f>SUMIFS(Cast!C:C,CastElements,A749)</f>
        <v>1</v>
      </c>
      <c r="H749" s="106" t="str">
        <f t="shared" si="4"/>
        <v>0</v>
      </c>
      <c r="I749" s="106" t="str">
        <f>SUMIFS(Del!C:C,Del!B:B,A749)</f>
        <v>0</v>
      </c>
      <c r="J749" s="106" t="str">
        <f t="shared" si="5"/>
        <v>1</v>
      </c>
      <c r="K749" s="106" t="str">
        <f t="shared" si="6"/>
        <v>1</v>
      </c>
      <c r="L749" s="106"/>
      <c r="M749" s="106" t="str">
        <f>SUMIFS(Ere!C:C,Ere!B:B,A749)</f>
        <v>0</v>
      </c>
      <c r="N749" s="106" t="str">
        <f t="shared" si="7"/>
        <v>1</v>
      </c>
      <c r="O749" s="107" t="str">
        <f t="array" ref="O749">XLOOKUP(A749,Data!F:F,Data!O:O)</f>
        <v>  0.81 </v>
      </c>
      <c r="P749" s="107" t="str">
        <f t="shared" si="8"/>
        <v>  2.03 </v>
      </c>
      <c r="Q749" s="27"/>
    </row>
    <row r="750" ht="15.75" customHeight="1">
      <c r="A750" s="109" t="s">
        <v>994</v>
      </c>
      <c r="B750" s="19" t="str">
        <f t="array" ref="B750">XLOOKUP(A750,Data!F:F,Data!G:G)</f>
        <v>J1A</v>
      </c>
      <c r="C750" s="19" t="str">
        <f t="shared" si="3"/>
        <v>J116</v>
      </c>
      <c r="D750" s="19" t="str">
        <f t="array" ref="D750">XLOOKUP(A750,Data!F:F,Data!C:C)</f>
        <v/>
      </c>
      <c r="E750" s="19" t="str">
        <f t="array" ref="E750">XLOOKUP(A750,Data!F:F,Data!H:H)</f>
        <v>BW</v>
      </c>
      <c r="F750" s="106" t="str">
        <f>SUMIFS(Data!J:J,Data!F:F,A750)</f>
        <v>1</v>
      </c>
      <c r="G750" s="106" t="str">
        <f>SUMIFS(Cast!C:C,CastElements,A750)</f>
        <v>1</v>
      </c>
      <c r="H750" s="106" t="str">
        <f t="shared" si="4"/>
        <v>0</v>
      </c>
      <c r="I750" s="106" t="str">
        <f>SUMIFS(Del!C:C,Del!B:B,A750)</f>
        <v>1</v>
      </c>
      <c r="J750" s="106" t="str">
        <f t="shared" si="5"/>
        <v>0</v>
      </c>
      <c r="K750" s="106" t="str">
        <f t="shared" si="6"/>
        <v>0</v>
      </c>
      <c r="L750" s="106"/>
      <c r="M750" s="106" t="str">
        <f>SUMIFS(Ere!C:C,Ere!B:B,A750)</f>
        <v>0</v>
      </c>
      <c r="N750" s="106" t="str">
        <f t="shared" si="7"/>
        <v>1</v>
      </c>
      <c r="O750" s="107" t="str">
        <f t="array" ref="O750">XLOOKUP(A750,Data!F:F,Data!O:O)</f>
        <v>  1.60 </v>
      </c>
      <c r="P750" s="107" t="str">
        <f t="shared" si="8"/>
        <v>  3.99 </v>
      </c>
      <c r="Q750" s="27"/>
    </row>
    <row r="751" ht="15.75" customHeight="1">
      <c r="A751" s="109" t="s">
        <v>995</v>
      </c>
      <c r="B751" s="19" t="str">
        <f t="array" ref="B751">XLOOKUP(A751,Data!F:F,Data!G:G)</f>
        <v>J1A</v>
      </c>
      <c r="C751" s="19" t="str">
        <f t="shared" si="3"/>
        <v>J116</v>
      </c>
      <c r="D751" s="19" t="str">
        <f t="array" ref="D751">XLOOKUP(A751,Data!F:F,Data!C:C)</f>
        <v/>
      </c>
      <c r="E751" s="19" t="str">
        <f t="array" ref="E751">XLOOKUP(A751,Data!F:F,Data!H:H)</f>
        <v>BW</v>
      </c>
      <c r="F751" s="106" t="str">
        <f>SUMIFS(Data!J:J,Data!F:F,A751)</f>
        <v>1</v>
      </c>
      <c r="G751" s="106" t="str">
        <f>SUMIFS(Cast!C:C,CastElements,A751)</f>
        <v>1</v>
      </c>
      <c r="H751" s="106" t="str">
        <f t="shared" si="4"/>
        <v>0</v>
      </c>
      <c r="I751" s="106" t="str">
        <f>SUMIFS(Del!C:C,Del!B:B,A751)</f>
        <v>1</v>
      </c>
      <c r="J751" s="106" t="str">
        <f t="shared" si="5"/>
        <v>0</v>
      </c>
      <c r="K751" s="106" t="str">
        <f t="shared" si="6"/>
        <v>0</v>
      </c>
      <c r="L751" s="106"/>
      <c r="M751" s="106" t="str">
        <f>SUMIFS(Ere!C:C,Ere!B:B,A751)</f>
        <v>1</v>
      </c>
      <c r="N751" s="106" t="str">
        <f t="shared" si="7"/>
        <v>0</v>
      </c>
      <c r="O751" s="107" t="str">
        <f t="array" ref="O751">XLOOKUP(A751,Data!F:F,Data!O:O)</f>
        <v>  2.32 </v>
      </c>
      <c r="P751" s="107" t="str">
        <f t="shared" si="8"/>
        <v>  5.80 </v>
      </c>
      <c r="Q751" s="27"/>
    </row>
    <row r="752" ht="15.75" customHeight="1">
      <c r="A752" s="109" t="s">
        <v>996</v>
      </c>
      <c r="B752" s="19" t="str">
        <f t="array" ref="B752">XLOOKUP(A752,Data!F:F,Data!G:G)</f>
        <v>J1A</v>
      </c>
      <c r="C752" s="19" t="str">
        <f t="shared" si="3"/>
        <v>J116</v>
      </c>
      <c r="D752" s="19" t="str">
        <f t="array" ref="D752">XLOOKUP(A752,Data!F:F,Data!C:C)</f>
        <v/>
      </c>
      <c r="E752" s="19" t="str">
        <f t="array" ref="E752">XLOOKUP(A752,Data!F:F,Data!H:H)</f>
        <v>BW</v>
      </c>
      <c r="F752" s="106" t="str">
        <f>SUMIFS(Data!J:J,Data!F:F,A752)</f>
        <v>1</v>
      </c>
      <c r="G752" s="106" t="str">
        <f>SUMIFS(Cast!C:C,CastElements,A752)</f>
        <v>1</v>
      </c>
      <c r="H752" s="106" t="str">
        <f t="shared" si="4"/>
        <v>0</v>
      </c>
      <c r="I752" s="106" t="str">
        <f>SUMIFS(Del!C:C,Del!B:B,A752)</f>
        <v>0</v>
      </c>
      <c r="J752" s="106" t="str">
        <f t="shared" si="5"/>
        <v>1</v>
      </c>
      <c r="K752" s="106" t="str">
        <f t="shared" si="6"/>
        <v>1</v>
      </c>
      <c r="L752" s="106"/>
      <c r="M752" s="106" t="str">
        <f>SUMIFS(Ere!C:C,Ere!B:B,A752)</f>
        <v>1</v>
      </c>
      <c r="N752" s="106" t="str">
        <f t="shared" si="7"/>
        <v>0</v>
      </c>
      <c r="O752" s="107" t="str">
        <f t="array" ref="O752">XLOOKUP(A752,Data!F:F,Data!O:O)</f>
        <v>  2.32 </v>
      </c>
      <c r="P752" s="107" t="str">
        <f t="shared" si="8"/>
        <v>  5.79 </v>
      </c>
      <c r="Q752" s="27"/>
    </row>
    <row r="753" ht="15.75" customHeight="1">
      <c r="A753" s="109" t="s">
        <v>997</v>
      </c>
      <c r="B753" s="19" t="str">
        <f t="array" ref="B753">XLOOKUP(A753,Data!F:F,Data!G:G)</f>
        <v>J1A</v>
      </c>
      <c r="C753" s="19" t="str">
        <f t="shared" si="3"/>
        <v>J116</v>
      </c>
      <c r="D753" s="19" t="str">
        <f t="array" ref="D753">XLOOKUP(A753,Data!F:F,Data!C:C)</f>
        <v/>
      </c>
      <c r="E753" s="19" t="str">
        <f t="array" ref="E753">XLOOKUP(A753,Data!F:F,Data!H:H)</f>
        <v>BW</v>
      </c>
      <c r="F753" s="106" t="str">
        <f>SUMIFS(Data!J:J,Data!F:F,A753)</f>
        <v>1</v>
      </c>
      <c r="G753" s="106" t="str">
        <f>SUMIFS(Cast!C:C,CastElements,A753)</f>
        <v>1</v>
      </c>
      <c r="H753" s="106" t="str">
        <f t="shared" si="4"/>
        <v>0</v>
      </c>
      <c r="I753" s="106" t="str">
        <f>SUMIFS(Del!C:C,Del!B:B,A753)</f>
        <v>0</v>
      </c>
      <c r="J753" s="106" t="str">
        <f t="shared" si="5"/>
        <v>1</v>
      </c>
      <c r="K753" s="106" t="str">
        <f t="shared" si="6"/>
        <v>1</v>
      </c>
      <c r="L753" s="106"/>
      <c r="M753" s="106" t="str">
        <f>SUMIFS(Ere!C:C,Ere!B:B,A753)</f>
        <v>0</v>
      </c>
      <c r="N753" s="106" t="str">
        <f t="shared" si="7"/>
        <v>1</v>
      </c>
      <c r="O753" s="107" t="str">
        <f t="array" ref="O753">XLOOKUP(A753,Data!F:F,Data!O:O)</f>
        <v>  2.32 </v>
      </c>
      <c r="P753" s="107" t="str">
        <f t="shared" si="8"/>
        <v>  5.79 </v>
      </c>
      <c r="Q753" s="27"/>
    </row>
    <row r="754" ht="15.75" customHeight="1">
      <c r="A754" s="109" t="s">
        <v>998</v>
      </c>
      <c r="B754" s="19" t="str">
        <f t="array" ref="B754">XLOOKUP(A754,Data!F:F,Data!G:G)</f>
        <v>J1A</v>
      </c>
      <c r="C754" s="19" t="str">
        <f t="shared" si="3"/>
        <v>J116</v>
      </c>
      <c r="D754" s="19" t="str">
        <f t="array" ref="D754">XLOOKUP(A754,Data!F:F,Data!C:C)</f>
        <v/>
      </c>
      <c r="E754" s="19" t="str">
        <f t="array" ref="E754">XLOOKUP(A754,Data!F:F,Data!H:H)</f>
        <v>BW</v>
      </c>
      <c r="F754" s="106" t="str">
        <f>SUMIFS(Data!J:J,Data!F:F,A754)</f>
        <v>1</v>
      </c>
      <c r="G754" s="106" t="str">
        <f>SUMIFS(Cast!C:C,CastElements,A754)</f>
        <v>1</v>
      </c>
      <c r="H754" s="106" t="str">
        <f t="shared" si="4"/>
        <v>0</v>
      </c>
      <c r="I754" s="106" t="str">
        <f>SUMIFS(Del!C:C,Del!B:B,A754)</f>
        <v>1</v>
      </c>
      <c r="J754" s="106" t="str">
        <f t="shared" si="5"/>
        <v>0</v>
      </c>
      <c r="K754" s="106" t="str">
        <f t="shared" si="6"/>
        <v>0</v>
      </c>
      <c r="L754" s="106"/>
      <c r="M754" s="106" t="str">
        <f>SUMIFS(Ere!C:C,Ere!B:B,A754)</f>
        <v>1</v>
      </c>
      <c r="N754" s="106" t="str">
        <f t="shared" si="7"/>
        <v>0</v>
      </c>
      <c r="O754" s="107" t="str">
        <f t="array" ref="O754">XLOOKUP(A754,Data!F:F,Data!O:O)</f>
        <v>  1.98 </v>
      </c>
      <c r="P754" s="107" t="str">
        <f t="shared" si="8"/>
        <v>  4.96 </v>
      </c>
      <c r="Q754" s="27"/>
    </row>
    <row r="755" ht="15.75" customHeight="1">
      <c r="A755" s="105" t="s">
        <v>999</v>
      </c>
      <c r="B755" s="19" t="str">
        <f t="array" ref="B755">XLOOKUP(A755,Data!F:F,Data!G:G)</f>
        <v>J1A</v>
      </c>
      <c r="C755" s="19" t="str">
        <f t="shared" si="3"/>
        <v>J116</v>
      </c>
      <c r="D755" s="19" t="str">
        <f t="array" ref="D755">XLOOKUP(A755,Data!F:F,Data!C:C)</f>
        <v/>
      </c>
      <c r="E755" s="19" t="str">
        <f t="array" ref="E755">XLOOKUP(A755,Data!F:F,Data!H:H)</f>
        <v>BW</v>
      </c>
      <c r="F755" s="106" t="str">
        <f>SUMIFS(Data!J:J,Data!F:F,A755)</f>
        <v>1</v>
      </c>
      <c r="G755" s="106" t="str">
        <f>SUMIFS(Cast!C:C,CastElements,A755)</f>
        <v>1</v>
      </c>
      <c r="H755" s="106" t="str">
        <f t="shared" si="4"/>
        <v>0</v>
      </c>
      <c r="I755" s="106" t="str">
        <f>SUMIFS(Del!C:C,Del!B:B,A755)</f>
        <v>0</v>
      </c>
      <c r="J755" s="106" t="str">
        <f t="shared" si="5"/>
        <v>1</v>
      </c>
      <c r="K755" s="106" t="str">
        <f t="shared" si="6"/>
        <v>1</v>
      </c>
      <c r="L755" s="106"/>
      <c r="M755" s="106" t="str">
        <f>SUMIFS(Ere!C:C,Ere!B:B,A755)</f>
        <v>0</v>
      </c>
      <c r="N755" s="106" t="str">
        <f t="shared" si="7"/>
        <v>1</v>
      </c>
      <c r="O755" s="107" t="str">
        <f t="array" ref="O755">XLOOKUP(A755,Data!F:F,Data!O:O)</f>
        <v>  2.58 </v>
      </c>
      <c r="P755" s="107" t="str">
        <f t="shared" si="8"/>
        <v>  6.45 </v>
      </c>
      <c r="Q755" s="27"/>
    </row>
    <row r="756" ht="15.75" customHeight="1">
      <c r="A756" s="109" t="s">
        <v>1000</v>
      </c>
      <c r="B756" s="19" t="str">
        <f t="array" ref="B756">XLOOKUP(A756,Data!F:F,Data!G:G)</f>
        <v>J1A</v>
      </c>
      <c r="C756" s="19" t="str">
        <f t="shared" si="3"/>
        <v>J116</v>
      </c>
      <c r="D756" s="19" t="str">
        <f t="array" ref="D756">XLOOKUP(A756,Data!F:F,Data!C:C)</f>
        <v/>
      </c>
      <c r="E756" s="19" t="str">
        <f t="array" ref="E756">XLOOKUP(A756,Data!F:F,Data!H:H)</f>
        <v>BW</v>
      </c>
      <c r="F756" s="106" t="str">
        <f>SUMIFS(Data!J:J,Data!F:F,A756)</f>
        <v>1</v>
      </c>
      <c r="G756" s="106" t="str">
        <f>SUMIFS(Cast!C:C,CastElements,A756)</f>
        <v>1</v>
      </c>
      <c r="H756" s="106" t="str">
        <f t="shared" si="4"/>
        <v>0</v>
      </c>
      <c r="I756" s="106" t="str">
        <f>SUMIFS(Del!C:C,Del!B:B,A756)</f>
        <v>1</v>
      </c>
      <c r="J756" s="106" t="str">
        <f t="shared" si="5"/>
        <v>0</v>
      </c>
      <c r="K756" s="106" t="str">
        <f t="shared" si="6"/>
        <v>0</v>
      </c>
      <c r="L756" s="106"/>
      <c r="M756" s="106" t="str">
        <f>SUMIFS(Ere!C:C,Ere!B:B,A756)</f>
        <v>0</v>
      </c>
      <c r="N756" s="106" t="str">
        <f t="shared" si="7"/>
        <v>1</v>
      </c>
      <c r="O756" s="107" t="str">
        <f t="array" ref="O756">XLOOKUP(A756,Data!F:F,Data!O:O)</f>
        <v>  0.48 </v>
      </c>
      <c r="P756" s="107" t="str">
        <f t="shared" si="8"/>
        <v>  1.20 </v>
      </c>
      <c r="Q756" s="27"/>
    </row>
    <row r="757" ht="15.75" customHeight="1">
      <c r="A757" s="109" t="s">
        <v>1001</v>
      </c>
      <c r="B757" s="19" t="str">
        <f t="array" ref="B757">XLOOKUP(A757,Data!F:F,Data!G:G)</f>
        <v>J1A</v>
      </c>
      <c r="C757" s="19" t="str">
        <f t="shared" si="3"/>
        <v>J116</v>
      </c>
      <c r="D757" s="19" t="str">
        <f t="array" ref="D757">XLOOKUP(A757,Data!F:F,Data!C:C)</f>
        <v/>
      </c>
      <c r="E757" s="19" t="str">
        <f t="array" ref="E757">XLOOKUP(A757,Data!F:F,Data!H:H)</f>
        <v>BW</v>
      </c>
      <c r="F757" s="106" t="str">
        <f>SUMIFS(Data!J:J,Data!F:F,A757)</f>
        <v>1</v>
      </c>
      <c r="G757" s="106" t="str">
        <f>SUMIFS(Cast!C:C,CastElements,A757)</f>
        <v>1</v>
      </c>
      <c r="H757" s="106" t="str">
        <f t="shared" si="4"/>
        <v>0</v>
      </c>
      <c r="I757" s="106" t="str">
        <f>SUMIFS(Del!C:C,Del!B:B,A757)</f>
        <v>0</v>
      </c>
      <c r="J757" s="106" t="str">
        <f t="shared" si="5"/>
        <v>1</v>
      </c>
      <c r="K757" s="106" t="str">
        <f t="shared" si="6"/>
        <v>1</v>
      </c>
      <c r="L757" s="106"/>
      <c r="M757" s="106" t="str">
        <f>SUMIFS(Ere!C:C,Ere!B:B,A757)</f>
        <v>0</v>
      </c>
      <c r="N757" s="106" t="str">
        <f t="shared" si="7"/>
        <v>1</v>
      </c>
      <c r="O757" s="107" t="str">
        <f t="array" ref="O757">XLOOKUP(A757,Data!F:F,Data!O:O)</f>
        <v>  0.84 </v>
      </c>
      <c r="P757" s="107" t="str">
        <f t="shared" si="8"/>
        <v>  2.10 </v>
      </c>
      <c r="Q757" s="27"/>
    </row>
    <row r="758" ht="15.75" customHeight="1">
      <c r="A758" s="109" t="s">
        <v>1002</v>
      </c>
      <c r="B758" s="19" t="str">
        <f t="array" ref="B758">XLOOKUP(A758,Data!F:F,Data!G:G)</f>
        <v>J1A</v>
      </c>
      <c r="C758" s="19" t="str">
        <f t="shared" si="3"/>
        <v>J116</v>
      </c>
      <c r="D758" s="19" t="str">
        <f t="array" ref="D758">XLOOKUP(A758,Data!F:F,Data!C:C)</f>
        <v/>
      </c>
      <c r="E758" s="19" t="str">
        <f t="array" ref="E758">XLOOKUP(A758,Data!F:F,Data!H:H)</f>
        <v>CF</v>
      </c>
      <c r="F758" s="106" t="str">
        <f>SUMIFS(Data!J:J,Data!F:F,A758)</f>
        <v>1</v>
      </c>
      <c r="G758" s="106" t="str">
        <f>SUMIFS(Cast!C:C,CastElements,A758)</f>
        <v>1</v>
      </c>
      <c r="H758" s="106" t="str">
        <f t="shared" si="4"/>
        <v>0</v>
      </c>
      <c r="I758" s="106" t="str">
        <f>SUMIFS(Del!C:C,Del!B:B,A758)</f>
        <v>0</v>
      </c>
      <c r="J758" s="106" t="str">
        <f t="shared" si="5"/>
        <v>1</v>
      </c>
      <c r="K758" s="106" t="str">
        <f t="shared" si="6"/>
        <v>1</v>
      </c>
      <c r="L758" s="106"/>
      <c r="M758" s="106" t="str">
        <f>SUMIFS(Ere!C:C,Ere!B:B,A758)</f>
        <v>0</v>
      </c>
      <c r="N758" s="106" t="str">
        <f t="shared" si="7"/>
        <v>1</v>
      </c>
      <c r="O758" s="107" t="str">
        <f t="array" ref="O758">XLOOKUP(A758,Data!F:F,Data!O:O)</f>
        <v>  0.55 </v>
      </c>
      <c r="P758" s="107" t="str">
        <f t="shared" si="8"/>
        <v>  1.37 </v>
      </c>
      <c r="Q758" s="27"/>
    </row>
    <row r="759" ht="15.75" customHeight="1">
      <c r="A759" s="105" t="s">
        <v>1003</v>
      </c>
      <c r="B759" s="19" t="str">
        <f t="array" ref="B759">XLOOKUP(A759,Data!F:F,Data!G:G)</f>
        <v>J1A</v>
      </c>
      <c r="C759" s="19" t="str">
        <f t="shared" si="3"/>
        <v>J117</v>
      </c>
      <c r="D759" s="19" t="str">
        <f t="array" ref="D759">XLOOKUP(A759,Data!F:F,Data!C:C)</f>
        <v/>
      </c>
      <c r="E759" s="19" t="str">
        <f t="array" ref="E759">XLOOKUP(A759,Data!F:F,Data!H:H)</f>
        <v>BW</v>
      </c>
      <c r="F759" s="106" t="str">
        <f>SUMIFS(Data!J:J,Data!F:F,A759)</f>
        <v>1</v>
      </c>
      <c r="G759" s="106" t="str">
        <f>SUMIFS(Cast!C:C,CastElements,A759)</f>
        <v>1</v>
      </c>
      <c r="H759" s="106" t="str">
        <f t="shared" si="4"/>
        <v>0</v>
      </c>
      <c r="I759" s="106" t="str">
        <f>SUMIFS(Del!C:C,Del!B:B,A759)</f>
        <v>0</v>
      </c>
      <c r="J759" s="106" t="str">
        <f t="shared" si="5"/>
        <v>1</v>
      </c>
      <c r="K759" s="106" t="str">
        <f t="shared" si="6"/>
        <v>1</v>
      </c>
      <c r="L759" s="106"/>
      <c r="M759" s="106" t="str">
        <f>SUMIFS(Ere!C:C,Ere!B:B,A759)</f>
        <v>0</v>
      </c>
      <c r="N759" s="106" t="str">
        <f t="shared" si="7"/>
        <v>1</v>
      </c>
      <c r="O759" s="107" t="str">
        <f t="array" ref="O759">XLOOKUP(A759,Data!F:F,Data!O:O)</f>
        <v>  1.98 </v>
      </c>
      <c r="P759" s="107" t="str">
        <f t="shared" si="8"/>
        <v>  4.95 </v>
      </c>
      <c r="Q759" s="27"/>
    </row>
    <row r="760" ht="15.75" customHeight="1">
      <c r="A760" s="105" t="s">
        <v>1004</v>
      </c>
      <c r="B760" s="19" t="str">
        <f t="array" ref="B760">XLOOKUP(A760,Data!F:F,Data!G:G)</f>
        <v>J1A</v>
      </c>
      <c r="C760" s="19" t="str">
        <f t="shared" si="3"/>
        <v>J117</v>
      </c>
      <c r="D760" s="19" t="str">
        <f t="array" ref="D760">XLOOKUP(A760,Data!F:F,Data!C:C)</f>
        <v/>
      </c>
      <c r="E760" s="19" t="str">
        <f t="array" ref="E760">XLOOKUP(A760,Data!F:F,Data!H:H)</f>
        <v>BW</v>
      </c>
      <c r="F760" s="106" t="str">
        <f>SUMIFS(Data!J:J,Data!F:F,A760)</f>
        <v>1</v>
      </c>
      <c r="G760" s="106" t="str">
        <f>SUMIFS(Cast!C:C,CastElements,A760)</f>
        <v>1</v>
      </c>
      <c r="H760" s="106" t="str">
        <f t="shared" si="4"/>
        <v>0</v>
      </c>
      <c r="I760" s="106" t="str">
        <f>SUMIFS(Del!C:C,Del!B:B,A760)</f>
        <v>1</v>
      </c>
      <c r="J760" s="106" t="str">
        <f t="shared" si="5"/>
        <v>0</v>
      </c>
      <c r="K760" s="106" t="str">
        <f t="shared" si="6"/>
        <v>0</v>
      </c>
      <c r="L760" s="106"/>
      <c r="M760" s="106" t="str">
        <f>SUMIFS(Ere!C:C,Ere!B:B,A760)</f>
        <v>0</v>
      </c>
      <c r="N760" s="106" t="str">
        <f t="shared" si="7"/>
        <v>1</v>
      </c>
      <c r="O760" s="107" t="str">
        <f t="array" ref="O760">XLOOKUP(A760,Data!F:F,Data!O:O)</f>
        <v>  2.32 </v>
      </c>
      <c r="P760" s="107" t="str">
        <f t="shared" si="8"/>
        <v>  5.80 </v>
      </c>
      <c r="Q760" s="27"/>
    </row>
    <row r="761" ht="15.75" customHeight="1">
      <c r="A761" s="105" t="s">
        <v>1005</v>
      </c>
      <c r="B761" s="19" t="str">
        <f t="array" ref="B761">XLOOKUP(A761,Data!F:F,Data!G:G)</f>
        <v>J1A</v>
      </c>
      <c r="C761" s="19" t="str">
        <f t="shared" si="3"/>
        <v>J117</v>
      </c>
      <c r="D761" s="19" t="str">
        <f t="array" ref="D761">XLOOKUP(A761,Data!F:F,Data!C:C)</f>
        <v/>
      </c>
      <c r="E761" s="19" t="str">
        <f t="array" ref="E761">XLOOKUP(A761,Data!F:F,Data!H:H)</f>
        <v>BW</v>
      </c>
      <c r="F761" s="106" t="str">
        <f>SUMIFS(Data!J:J,Data!F:F,A761)</f>
        <v>1</v>
      </c>
      <c r="G761" s="106" t="str">
        <f>SUMIFS(Cast!C:C,CastElements,A761)</f>
        <v>1</v>
      </c>
      <c r="H761" s="106" t="str">
        <f t="shared" si="4"/>
        <v>0</v>
      </c>
      <c r="I761" s="106" t="str">
        <f>SUMIFS(Del!C:C,Del!B:B,A761)</f>
        <v>0</v>
      </c>
      <c r="J761" s="106" t="str">
        <f t="shared" si="5"/>
        <v>1</v>
      </c>
      <c r="K761" s="106" t="str">
        <f t="shared" si="6"/>
        <v>1</v>
      </c>
      <c r="L761" s="106"/>
      <c r="M761" s="106" t="str">
        <f>SUMIFS(Ere!C:C,Ere!B:B,A761)</f>
        <v>0</v>
      </c>
      <c r="N761" s="106" t="str">
        <f t="shared" si="7"/>
        <v>1</v>
      </c>
      <c r="O761" s="107" t="str">
        <f t="array" ref="O761">XLOOKUP(A761,Data!F:F,Data!O:O)</f>
        <v>  0.40 </v>
      </c>
      <c r="P761" s="107" t="str">
        <f t="shared" si="8"/>
        <v>  1.00 </v>
      </c>
      <c r="Q761" s="27"/>
    </row>
    <row r="762" ht="15.75" customHeight="1">
      <c r="A762" s="105" t="s">
        <v>1006</v>
      </c>
      <c r="B762" s="19" t="str">
        <f t="array" ref="B762">XLOOKUP(A762,Data!F:F,Data!G:G)</f>
        <v>J1A</v>
      </c>
      <c r="C762" s="19" t="str">
        <f t="shared" si="3"/>
        <v>J117</v>
      </c>
      <c r="D762" s="19" t="str">
        <f t="array" ref="D762">XLOOKUP(A762,Data!F:F,Data!C:C)</f>
        <v>EXT</v>
      </c>
      <c r="E762" s="19" t="str">
        <f t="array" ref="E762">XLOOKUP(A762,Data!F:F,Data!H:H)</f>
        <v>BW</v>
      </c>
      <c r="F762" s="106" t="str">
        <f>SUMIFS(Data!J:J,Data!F:F,A762)</f>
        <v>1</v>
      </c>
      <c r="G762" s="106" t="str">
        <f>SUMIFS(Cast!C:C,CastElements,A762)</f>
        <v>0</v>
      </c>
      <c r="H762" s="106" t="str">
        <f t="shared" si="4"/>
        <v>1</v>
      </c>
      <c r="I762" s="106" t="str">
        <f>SUMIFS(Del!C:C,Del!B:B,A762)</f>
        <v>0</v>
      </c>
      <c r="J762" s="106" t="str">
        <f t="shared" si="5"/>
        <v>1</v>
      </c>
      <c r="K762" s="106" t="str">
        <f t="shared" si="6"/>
        <v>0</v>
      </c>
      <c r="L762" s="106"/>
      <c r="M762" s="106" t="str">
        <f>SUMIFS(Ere!C:C,Ere!B:B,A762)</f>
        <v>0</v>
      </c>
      <c r="N762" s="106" t="str">
        <f t="shared" si="7"/>
        <v>1</v>
      </c>
      <c r="O762" s="107" t="str">
        <f t="array" ref="O762">XLOOKUP(A762,Data!F:F,Data!O:O)</f>
        <v>  0.47 </v>
      </c>
      <c r="P762" s="107" t="str">
        <f t="shared" si="8"/>
        <v>  1.17 </v>
      </c>
      <c r="Q762" s="27"/>
    </row>
    <row r="763" ht="15.75" customHeight="1">
      <c r="A763" s="105" t="s">
        <v>1007</v>
      </c>
      <c r="B763" s="19" t="str">
        <f t="array" ref="B763">XLOOKUP(A763,Data!F:F,Data!G:G)</f>
        <v>J1A</v>
      </c>
      <c r="C763" s="19" t="str">
        <f t="shared" si="3"/>
        <v>J117</v>
      </c>
      <c r="D763" s="19" t="str">
        <f t="array" ref="D763">XLOOKUP(A763,Data!F:F,Data!C:C)</f>
        <v>EXT</v>
      </c>
      <c r="E763" s="19" t="str">
        <f t="array" ref="E763">XLOOKUP(A763,Data!F:F,Data!H:H)</f>
        <v>BW</v>
      </c>
      <c r="F763" s="106" t="str">
        <f>SUMIFS(Data!J:J,Data!F:F,A763)</f>
        <v>1</v>
      </c>
      <c r="G763" s="106" t="str">
        <f>SUMIFS(Cast!C:C,CastElements,A763)</f>
        <v>1</v>
      </c>
      <c r="H763" s="106" t="str">
        <f t="shared" si="4"/>
        <v>0</v>
      </c>
      <c r="I763" s="106" t="str">
        <f>SUMIFS(Del!C:C,Del!B:B,A763)</f>
        <v>0</v>
      </c>
      <c r="J763" s="106" t="str">
        <f t="shared" si="5"/>
        <v>1</v>
      </c>
      <c r="K763" s="106" t="str">
        <f t="shared" si="6"/>
        <v>1</v>
      </c>
      <c r="L763" s="106"/>
      <c r="M763" s="106" t="str">
        <f>SUMIFS(Ere!C:C,Ere!B:B,A763)</f>
        <v>0</v>
      </c>
      <c r="N763" s="106" t="str">
        <f t="shared" si="7"/>
        <v>1</v>
      </c>
      <c r="O763" s="107" t="str">
        <f t="array" ref="O763">XLOOKUP(A763,Data!F:F,Data!O:O)</f>
        <v>  0.51 </v>
      </c>
      <c r="P763" s="107" t="str">
        <f t="shared" si="8"/>
        <v>  1.28 </v>
      </c>
      <c r="Q763" s="27"/>
    </row>
    <row r="764" ht="15.75" customHeight="1">
      <c r="A764" s="105" t="s">
        <v>1008</v>
      </c>
      <c r="B764" s="19" t="str">
        <f t="array" ref="B764">XLOOKUP(A764,Data!F:F,Data!G:G)</f>
        <v>J1A</v>
      </c>
      <c r="C764" s="19" t="str">
        <f t="shared" si="3"/>
        <v>J117</v>
      </c>
      <c r="D764" s="19" t="str">
        <f t="array" ref="D764">XLOOKUP(A764,Data!F:F,Data!C:C)</f>
        <v>EXT</v>
      </c>
      <c r="E764" s="19" t="str">
        <f t="array" ref="E764">XLOOKUP(A764,Data!F:F,Data!H:H)</f>
        <v>BW</v>
      </c>
      <c r="F764" s="106" t="str">
        <f>SUMIFS(Data!J:J,Data!F:F,A764)</f>
        <v>1</v>
      </c>
      <c r="G764" s="106" t="str">
        <f>SUMIFS(Cast!C:C,CastElements,A764)</f>
        <v>1</v>
      </c>
      <c r="H764" s="106" t="str">
        <f t="shared" si="4"/>
        <v>0</v>
      </c>
      <c r="I764" s="106" t="str">
        <f>SUMIFS(Del!C:C,Del!B:B,A764)</f>
        <v>0</v>
      </c>
      <c r="J764" s="106" t="str">
        <f t="shared" si="5"/>
        <v>1</v>
      </c>
      <c r="K764" s="106" t="str">
        <f t="shared" si="6"/>
        <v>1</v>
      </c>
      <c r="L764" s="106"/>
      <c r="M764" s="106" t="str">
        <f>SUMIFS(Ere!C:C,Ere!B:B,A764)</f>
        <v>0</v>
      </c>
      <c r="N764" s="106" t="str">
        <f t="shared" si="7"/>
        <v>1</v>
      </c>
      <c r="O764" s="107" t="str">
        <f t="array" ref="O764">XLOOKUP(A764,Data!F:F,Data!O:O)</f>
        <v>  0.51 </v>
      </c>
      <c r="P764" s="107" t="str">
        <f t="shared" si="8"/>
        <v>  1.28 </v>
      </c>
      <c r="Q764" s="27"/>
    </row>
    <row r="765" ht="15.75" customHeight="1">
      <c r="A765" s="105" t="s">
        <v>1009</v>
      </c>
      <c r="B765" s="19" t="str">
        <f t="array" ref="B765">XLOOKUP(A765,Data!F:F,Data!G:G)</f>
        <v>J1A</v>
      </c>
      <c r="C765" s="19" t="str">
        <f t="shared" si="3"/>
        <v>J117</v>
      </c>
      <c r="D765" s="19" t="str">
        <f t="array" ref="D765">XLOOKUP(A765,Data!F:F,Data!C:C)</f>
        <v>EXT</v>
      </c>
      <c r="E765" s="19" t="str">
        <f t="array" ref="E765">XLOOKUP(A765,Data!F:F,Data!H:H)</f>
        <v>BW</v>
      </c>
      <c r="F765" s="106" t="str">
        <f>SUMIFS(Data!J:J,Data!F:F,A765)</f>
        <v>1</v>
      </c>
      <c r="G765" s="106" t="str">
        <f>SUMIFS(Cast!C:C,CastElements,A765)</f>
        <v>1</v>
      </c>
      <c r="H765" s="106" t="str">
        <f t="shared" si="4"/>
        <v>0</v>
      </c>
      <c r="I765" s="106" t="str">
        <f>SUMIFS(Del!C:C,Del!B:B,A765)</f>
        <v>0</v>
      </c>
      <c r="J765" s="106" t="str">
        <f t="shared" si="5"/>
        <v>1</v>
      </c>
      <c r="K765" s="106" t="str">
        <f t="shared" si="6"/>
        <v>1</v>
      </c>
      <c r="L765" s="106"/>
      <c r="M765" s="106" t="str">
        <f>SUMIFS(Ere!C:C,Ere!B:B,A765)</f>
        <v>0</v>
      </c>
      <c r="N765" s="106" t="str">
        <f t="shared" si="7"/>
        <v>1</v>
      </c>
      <c r="O765" s="107" t="str">
        <f t="array" ref="O765">XLOOKUP(A765,Data!F:F,Data!O:O)</f>
        <v>  0.51 </v>
      </c>
      <c r="P765" s="107" t="str">
        <f t="shared" si="8"/>
        <v>  1.28 </v>
      </c>
      <c r="Q765" s="27"/>
    </row>
    <row r="766" ht="15.75" customHeight="1">
      <c r="A766" s="105" t="s">
        <v>1010</v>
      </c>
      <c r="B766" s="19" t="str">
        <f t="array" ref="B766">XLOOKUP(A766,Data!F:F,Data!G:G)</f>
        <v>J1A</v>
      </c>
      <c r="C766" s="19" t="str">
        <f t="shared" si="3"/>
        <v>J117</v>
      </c>
      <c r="D766" s="19" t="str">
        <f t="array" ref="D766">XLOOKUP(A766,Data!F:F,Data!C:C)</f>
        <v>EXT</v>
      </c>
      <c r="E766" s="19" t="str">
        <f t="array" ref="E766">XLOOKUP(A766,Data!F:F,Data!H:H)</f>
        <v>BW</v>
      </c>
      <c r="F766" s="106" t="str">
        <f>SUMIFS(Data!J:J,Data!F:F,A766)</f>
        <v>1</v>
      </c>
      <c r="G766" s="106" t="str">
        <f>SUMIFS(Cast!C:C,CastElements,A766)</f>
        <v>1</v>
      </c>
      <c r="H766" s="106" t="str">
        <f t="shared" si="4"/>
        <v>0</v>
      </c>
      <c r="I766" s="106" t="str">
        <f>SUMIFS(Del!C:C,Del!B:B,A766)</f>
        <v>0</v>
      </c>
      <c r="J766" s="106" t="str">
        <f t="shared" si="5"/>
        <v>1</v>
      </c>
      <c r="K766" s="106" t="str">
        <f t="shared" si="6"/>
        <v>1</v>
      </c>
      <c r="L766" s="106"/>
      <c r="M766" s="106" t="str">
        <f>SUMIFS(Ere!C:C,Ere!B:B,A766)</f>
        <v>0</v>
      </c>
      <c r="N766" s="106" t="str">
        <f t="shared" si="7"/>
        <v>1</v>
      </c>
      <c r="O766" s="107" t="str">
        <f t="array" ref="O766">XLOOKUP(A766,Data!F:F,Data!O:O)</f>
        <v>  0.51 </v>
      </c>
      <c r="P766" s="107" t="str">
        <f t="shared" si="8"/>
        <v>  1.28 </v>
      </c>
      <c r="Q766" s="27"/>
    </row>
    <row r="767" ht="15.75" customHeight="1">
      <c r="A767" s="105" t="s">
        <v>1011</v>
      </c>
      <c r="B767" s="19" t="str">
        <f t="array" ref="B767">XLOOKUP(A767,Data!F:F,Data!G:G)</f>
        <v>J1A</v>
      </c>
      <c r="C767" s="19" t="str">
        <f t="shared" si="3"/>
        <v>J117</v>
      </c>
      <c r="D767" s="19" t="str">
        <f t="array" ref="D767">XLOOKUP(A767,Data!F:F,Data!C:C)</f>
        <v>EXT</v>
      </c>
      <c r="E767" s="19" t="str">
        <f t="array" ref="E767">XLOOKUP(A767,Data!F:F,Data!H:H)</f>
        <v>BW</v>
      </c>
      <c r="F767" s="106" t="str">
        <f>SUMIFS(Data!J:J,Data!F:F,A767)</f>
        <v>1</v>
      </c>
      <c r="G767" s="106" t="str">
        <f>SUMIFS(Cast!C:C,CastElements,A767)</f>
        <v>1</v>
      </c>
      <c r="H767" s="106" t="str">
        <f t="shared" si="4"/>
        <v>0</v>
      </c>
      <c r="I767" s="106" t="str">
        <f>SUMIFS(Del!C:C,Del!B:B,A767)</f>
        <v>0</v>
      </c>
      <c r="J767" s="106" t="str">
        <f t="shared" si="5"/>
        <v>1</v>
      </c>
      <c r="K767" s="106" t="str">
        <f t="shared" si="6"/>
        <v>1</v>
      </c>
      <c r="L767" s="106"/>
      <c r="M767" s="106" t="str">
        <f>SUMIFS(Ere!C:C,Ere!B:B,A767)</f>
        <v>0</v>
      </c>
      <c r="N767" s="106" t="str">
        <f t="shared" si="7"/>
        <v>1</v>
      </c>
      <c r="O767" s="107" t="str">
        <f t="array" ref="O767">XLOOKUP(A767,Data!F:F,Data!O:O)</f>
        <v>  0.51 </v>
      </c>
      <c r="P767" s="107" t="str">
        <f t="shared" si="8"/>
        <v>  1.28 </v>
      </c>
      <c r="Q767" s="27"/>
    </row>
    <row r="768" ht="15.75" customHeight="1">
      <c r="A768" s="105" t="s">
        <v>1012</v>
      </c>
      <c r="B768" s="19" t="str">
        <f t="array" ref="B768">XLOOKUP(A768,Data!F:F,Data!G:G)</f>
        <v>J1A</v>
      </c>
      <c r="C768" s="19" t="str">
        <f t="shared" si="3"/>
        <v>J117</v>
      </c>
      <c r="D768" s="19" t="str">
        <f t="array" ref="D768">XLOOKUP(A768,Data!F:F,Data!C:C)</f>
        <v>EXT</v>
      </c>
      <c r="E768" s="19" t="str">
        <f t="array" ref="E768">XLOOKUP(A768,Data!F:F,Data!H:H)</f>
        <v>BW</v>
      </c>
      <c r="F768" s="106" t="str">
        <f>SUMIFS(Data!J:J,Data!F:F,A768)</f>
        <v>1</v>
      </c>
      <c r="G768" s="106" t="str">
        <f>SUMIFS(Cast!C:C,CastElements,A768)</f>
        <v>1</v>
      </c>
      <c r="H768" s="106" t="str">
        <f t="shared" si="4"/>
        <v>0</v>
      </c>
      <c r="I768" s="106" t="str">
        <f>SUMIFS(Del!C:C,Del!B:B,A768)</f>
        <v>0</v>
      </c>
      <c r="J768" s="106" t="str">
        <f t="shared" si="5"/>
        <v>1</v>
      </c>
      <c r="K768" s="106" t="str">
        <f t="shared" si="6"/>
        <v>1</v>
      </c>
      <c r="L768" s="106"/>
      <c r="M768" s="106" t="str">
        <f>SUMIFS(Ere!C:C,Ere!B:B,A768)</f>
        <v>0</v>
      </c>
      <c r="N768" s="106" t="str">
        <f t="shared" si="7"/>
        <v>1</v>
      </c>
      <c r="O768" s="107" t="str">
        <f t="array" ref="O768">XLOOKUP(A768,Data!F:F,Data!O:O)</f>
        <v>  0.52 </v>
      </c>
      <c r="P768" s="107" t="str">
        <f t="shared" si="8"/>
        <v>  1.30 </v>
      </c>
      <c r="Q768" s="27"/>
    </row>
    <row r="769" ht="15.75" customHeight="1">
      <c r="A769" s="105" t="s">
        <v>1013</v>
      </c>
      <c r="B769" s="19" t="str">
        <f t="array" ref="B769">XLOOKUP(A769,Data!F:F,Data!G:G)</f>
        <v>J1A</v>
      </c>
      <c r="C769" s="19" t="str">
        <f t="shared" si="3"/>
        <v>J117</v>
      </c>
      <c r="D769" s="19" t="str">
        <f t="array" ref="D769">XLOOKUP(A769,Data!F:F,Data!C:C)</f>
        <v>EXT</v>
      </c>
      <c r="E769" s="19" t="str">
        <f t="array" ref="E769">XLOOKUP(A769,Data!F:F,Data!H:H)</f>
        <v>BW</v>
      </c>
      <c r="F769" s="106" t="str">
        <f>SUMIFS(Data!J:J,Data!F:F,A769)</f>
        <v>1</v>
      </c>
      <c r="G769" s="106" t="str">
        <f>SUMIFS(Cast!C:C,CastElements,A769)</f>
        <v>1</v>
      </c>
      <c r="H769" s="106" t="str">
        <f t="shared" si="4"/>
        <v>0</v>
      </c>
      <c r="I769" s="106" t="str">
        <f>SUMIFS(Del!C:C,Del!B:B,A769)</f>
        <v>0</v>
      </c>
      <c r="J769" s="106" t="str">
        <f t="shared" si="5"/>
        <v>1</v>
      </c>
      <c r="K769" s="106" t="str">
        <f t="shared" si="6"/>
        <v>1</v>
      </c>
      <c r="L769" s="106"/>
      <c r="M769" s="106" t="str">
        <f>SUMIFS(Ere!C:C,Ere!B:B,A769)</f>
        <v>0</v>
      </c>
      <c r="N769" s="106" t="str">
        <f t="shared" si="7"/>
        <v>1</v>
      </c>
      <c r="O769" s="107" t="str">
        <f t="array" ref="O769">XLOOKUP(A769,Data!F:F,Data!O:O)</f>
        <v>  0.52 </v>
      </c>
      <c r="P769" s="107" t="str">
        <f t="shared" si="8"/>
        <v>  1.30 </v>
      </c>
      <c r="Q769" s="27"/>
    </row>
    <row r="770" ht="15.75" customHeight="1">
      <c r="A770" s="105" t="s">
        <v>1014</v>
      </c>
      <c r="B770" s="19" t="str">
        <f t="array" ref="B770">XLOOKUP(A770,Data!F:F,Data!G:G)</f>
        <v>J1A</v>
      </c>
      <c r="C770" s="19" t="str">
        <f t="shared" si="3"/>
        <v>J117</v>
      </c>
      <c r="D770" s="19" t="str">
        <f t="array" ref="D770">XLOOKUP(A770,Data!F:F,Data!C:C)</f>
        <v>EXT</v>
      </c>
      <c r="E770" s="19" t="str">
        <f t="array" ref="E770">XLOOKUP(A770,Data!F:F,Data!H:H)</f>
        <v>BW</v>
      </c>
      <c r="F770" s="106" t="str">
        <f>SUMIFS(Data!J:J,Data!F:F,A770)</f>
        <v>1</v>
      </c>
      <c r="G770" s="106" t="str">
        <f>SUMIFS(Cast!C:C,CastElements,A770)</f>
        <v>1</v>
      </c>
      <c r="H770" s="106" t="str">
        <f t="shared" si="4"/>
        <v>0</v>
      </c>
      <c r="I770" s="106" t="str">
        <f>SUMIFS(Del!C:C,Del!B:B,A770)</f>
        <v>0</v>
      </c>
      <c r="J770" s="106" t="str">
        <f t="shared" si="5"/>
        <v>1</v>
      </c>
      <c r="K770" s="106" t="str">
        <f t="shared" si="6"/>
        <v>1</v>
      </c>
      <c r="L770" s="106"/>
      <c r="M770" s="106" t="str">
        <f>SUMIFS(Ere!C:C,Ere!B:B,A770)</f>
        <v>0</v>
      </c>
      <c r="N770" s="106" t="str">
        <f t="shared" si="7"/>
        <v>1</v>
      </c>
      <c r="O770" s="107" t="str">
        <f t="array" ref="O770">XLOOKUP(A770,Data!F:F,Data!O:O)</f>
        <v>  0.52 </v>
      </c>
      <c r="P770" s="107" t="str">
        <f t="shared" si="8"/>
        <v>  1.30 </v>
      </c>
      <c r="Q770" s="27"/>
    </row>
    <row r="771" ht="15.75" customHeight="1">
      <c r="A771" s="105" t="s">
        <v>1015</v>
      </c>
      <c r="B771" s="19" t="str">
        <f t="array" ref="B771">XLOOKUP(A771,Data!F:F,Data!G:G)</f>
        <v>J1A</v>
      </c>
      <c r="C771" s="19" t="str">
        <f t="shared" si="3"/>
        <v>J117</v>
      </c>
      <c r="D771" s="19" t="str">
        <f t="array" ref="D771">XLOOKUP(A771,Data!F:F,Data!C:C)</f>
        <v>EXT</v>
      </c>
      <c r="E771" s="19" t="str">
        <f t="array" ref="E771">XLOOKUP(A771,Data!F:F,Data!H:H)</f>
        <v>BW</v>
      </c>
      <c r="F771" s="106" t="str">
        <f>SUMIFS(Data!J:J,Data!F:F,A771)</f>
        <v>1</v>
      </c>
      <c r="G771" s="106" t="str">
        <f>SUMIFS(Cast!C:C,CastElements,A771)</f>
        <v>1</v>
      </c>
      <c r="H771" s="106" t="str">
        <f t="shared" si="4"/>
        <v>0</v>
      </c>
      <c r="I771" s="106" t="str">
        <f>SUMIFS(Del!C:C,Del!B:B,A771)</f>
        <v>0</v>
      </c>
      <c r="J771" s="106" t="str">
        <f t="shared" si="5"/>
        <v>1</v>
      </c>
      <c r="K771" s="106" t="str">
        <f t="shared" si="6"/>
        <v>1</v>
      </c>
      <c r="L771" s="106"/>
      <c r="M771" s="106" t="str">
        <f>SUMIFS(Ere!C:C,Ere!B:B,A771)</f>
        <v>0</v>
      </c>
      <c r="N771" s="106" t="str">
        <f t="shared" si="7"/>
        <v>1</v>
      </c>
      <c r="O771" s="107" t="str">
        <f t="array" ref="O771">XLOOKUP(A771,Data!F:F,Data!O:O)</f>
        <v>  0.52 </v>
      </c>
      <c r="P771" s="107" t="str">
        <f t="shared" si="8"/>
        <v>  1.30 </v>
      </c>
      <c r="Q771" s="27"/>
    </row>
    <row r="772" ht="15.75" customHeight="1">
      <c r="A772" s="105" t="s">
        <v>1016</v>
      </c>
      <c r="B772" s="19" t="str">
        <f t="array" ref="B772">XLOOKUP(A772,Data!F:F,Data!G:G)</f>
        <v>J1A</v>
      </c>
      <c r="C772" s="19" t="str">
        <f t="shared" si="3"/>
        <v>J117</v>
      </c>
      <c r="D772" s="19" t="str">
        <f t="array" ref="D772">XLOOKUP(A772,Data!F:F,Data!C:C)</f>
        <v>EXT</v>
      </c>
      <c r="E772" s="19" t="str">
        <f t="array" ref="E772">XLOOKUP(A772,Data!F:F,Data!H:H)</f>
        <v>BW</v>
      </c>
      <c r="F772" s="106" t="str">
        <f>SUMIFS(Data!J:J,Data!F:F,A772)</f>
        <v>1</v>
      </c>
      <c r="G772" s="106" t="str">
        <f>SUMIFS(Cast!C:C,CastElements,A772)</f>
        <v>1</v>
      </c>
      <c r="H772" s="106" t="str">
        <f t="shared" si="4"/>
        <v>0</v>
      </c>
      <c r="I772" s="106" t="str">
        <f>SUMIFS(Del!C:C,Del!B:B,A772)</f>
        <v>0</v>
      </c>
      <c r="J772" s="106" t="str">
        <f t="shared" si="5"/>
        <v>1</v>
      </c>
      <c r="K772" s="106" t="str">
        <f t="shared" si="6"/>
        <v>1</v>
      </c>
      <c r="L772" s="106"/>
      <c r="M772" s="106" t="str">
        <f>SUMIFS(Ere!C:C,Ere!B:B,A772)</f>
        <v>0</v>
      </c>
      <c r="N772" s="106" t="str">
        <f t="shared" si="7"/>
        <v>1</v>
      </c>
      <c r="O772" s="107" t="str">
        <f t="array" ref="O772">XLOOKUP(A772,Data!F:F,Data!O:O)</f>
        <v>  0.52 </v>
      </c>
      <c r="P772" s="107" t="str">
        <f t="shared" si="8"/>
        <v>  1.30 </v>
      </c>
      <c r="Q772" s="27"/>
    </row>
    <row r="773" ht="15.75" customHeight="1">
      <c r="A773" s="105" t="s">
        <v>1017</v>
      </c>
      <c r="B773" s="19" t="str">
        <f t="array" ref="B773">XLOOKUP(A773,Data!F:F,Data!G:G)</f>
        <v>J1A</v>
      </c>
      <c r="C773" s="19" t="str">
        <f t="shared" si="3"/>
        <v>J117</v>
      </c>
      <c r="D773" s="19" t="str">
        <f t="array" ref="D773">XLOOKUP(A773,Data!F:F,Data!C:C)</f>
        <v>EXT</v>
      </c>
      <c r="E773" s="19" t="str">
        <f t="array" ref="E773">XLOOKUP(A773,Data!F:F,Data!H:H)</f>
        <v>BW</v>
      </c>
      <c r="F773" s="106" t="str">
        <f>SUMIFS(Data!J:J,Data!F:F,A773)</f>
        <v>1</v>
      </c>
      <c r="G773" s="106" t="str">
        <f>SUMIFS(Cast!C:C,CastElements,A773)</f>
        <v>1</v>
      </c>
      <c r="H773" s="106" t="str">
        <f t="shared" si="4"/>
        <v>0</v>
      </c>
      <c r="I773" s="106" t="str">
        <f>SUMIFS(Del!C:C,Del!B:B,A773)</f>
        <v>0</v>
      </c>
      <c r="J773" s="106" t="str">
        <f t="shared" si="5"/>
        <v>1</v>
      </c>
      <c r="K773" s="106" t="str">
        <f t="shared" si="6"/>
        <v>1</v>
      </c>
      <c r="L773" s="106"/>
      <c r="M773" s="106" t="str">
        <f>SUMIFS(Ere!C:C,Ere!B:B,A773)</f>
        <v>0</v>
      </c>
      <c r="N773" s="106" t="str">
        <f t="shared" si="7"/>
        <v>1</v>
      </c>
      <c r="O773" s="107" t="str">
        <f t="array" ref="O773">XLOOKUP(A773,Data!F:F,Data!O:O)</f>
        <v>  0.53 </v>
      </c>
      <c r="P773" s="107" t="str">
        <f t="shared" si="8"/>
        <v>  1.33 </v>
      </c>
      <c r="Q773" s="27"/>
    </row>
    <row r="774" ht="15.75" customHeight="1">
      <c r="A774" s="105" t="s">
        <v>1018</v>
      </c>
      <c r="B774" s="19" t="str">
        <f t="array" ref="B774">XLOOKUP(A774,Data!F:F,Data!G:G)</f>
        <v>J1A</v>
      </c>
      <c r="C774" s="19" t="str">
        <f t="shared" si="3"/>
        <v>J117</v>
      </c>
      <c r="D774" s="19" t="str">
        <f t="array" ref="D774">XLOOKUP(A774,Data!F:F,Data!C:C)</f>
        <v>EXT</v>
      </c>
      <c r="E774" s="19" t="str">
        <f t="array" ref="E774">XLOOKUP(A774,Data!F:F,Data!H:H)</f>
        <v>BW</v>
      </c>
      <c r="F774" s="106" t="str">
        <f>SUMIFS(Data!J:J,Data!F:F,A774)</f>
        <v>1</v>
      </c>
      <c r="G774" s="106" t="str">
        <f>SUMIFS(Cast!C:C,CastElements,A774)</f>
        <v>1</v>
      </c>
      <c r="H774" s="106" t="str">
        <f t="shared" si="4"/>
        <v>0</v>
      </c>
      <c r="I774" s="106" t="str">
        <f>SUMIFS(Del!C:C,Del!B:B,A774)</f>
        <v>0</v>
      </c>
      <c r="J774" s="106" t="str">
        <f t="shared" si="5"/>
        <v>1</v>
      </c>
      <c r="K774" s="106" t="str">
        <f t="shared" si="6"/>
        <v>1</v>
      </c>
      <c r="L774" s="106"/>
      <c r="M774" s="106" t="str">
        <f>SUMIFS(Ere!C:C,Ere!B:B,A774)</f>
        <v>0</v>
      </c>
      <c r="N774" s="106" t="str">
        <f t="shared" si="7"/>
        <v>1</v>
      </c>
      <c r="O774" s="107" t="str">
        <f t="array" ref="O774">XLOOKUP(A774,Data!F:F,Data!O:O)</f>
        <v>  0.94 </v>
      </c>
      <c r="P774" s="107" t="str">
        <f t="shared" si="8"/>
        <v>  2.35 </v>
      </c>
      <c r="Q774" s="27"/>
    </row>
    <row r="775" ht="15.75" customHeight="1">
      <c r="A775" s="105" t="s">
        <v>1019</v>
      </c>
      <c r="B775" s="19" t="str">
        <f t="array" ref="B775">XLOOKUP(A775,Data!F:F,Data!G:G)</f>
        <v>J1A</v>
      </c>
      <c r="C775" s="19" t="str">
        <f t="shared" si="3"/>
        <v>J117</v>
      </c>
      <c r="D775" s="19" t="str">
        <f t="array" ref="D775">XLOOKUP(A775,Data!F:F,Data!C:C)</f>
        <v/>
      </c>
      <c r="E775" s="19" t="str">
        <f t="array" ref="E775">XLOOKUP(A775,Data!F:F,Data!H:H)</f>
        <v>BW</v>
      </c>
      <c r="F775" s="106" t="str">
        <f>SUMIFS(Data!J:J,Data!F:F,A775)</f>
        <v>1</v>
      </c>
      <c r="G775" s="106" t="str">
        <f>SUMIFS(Cast!C:C,CastElements,A775)</f>
        <v>1</v>
      </c>
      <c r="H775" s="106" t="str">
        <f t="shared" si="4"/>
        <v>0</v>
      </c>
      <c r="I775" s="106" t="str">
        <f>SUMIFS(Del!C:C,Del!B:B,A775)</f>
        <v>0</v>
      </c>
      <c r="J775" s="106" t="str">
        <f t="shared" si="5"/>
        <v>1</v>
      </c>
      <c r="K775" s="106" t="str">
        <f t="shared" si="6"/>
        <v>1</v>
      </c>
      <c r="L775" s="106"/>
      <c r="M775" s="106" t="str">
        <f>SUMIFS(Ere!C:C,Ere!B:B,A775)</f>
        <v>0</v>
      </c>
      <c r="N775" s="106" t="str">
        <f t="shared" si="7"/>
        <v>1</v>
      </c>
      <c r="O775" s="107" t="str">
        <f t="array" ref="O775">XLOOKUP(A775,Data!F:F,Data!O:O)</f>
        <v>  0.35 </v>
      </c>
      <c r="P775" s="107" t="str">
        <f t="shared" si="8"/>
        <v>  0.89 </v>
      </c>
      <c r="Q775" s="27"/>
    </row>
    <row r="776" ht="15.75" customHeight="1">
      <c r="A776" s="105" t="s">
        <v>1020</v>
      </c>
      <c r="B776" s="19" t="str">
        <f t="array" ref="B776">XLOOKUP(A776,Data!F:F,Data!G:G)</f>
        <v>J1A</v>
      </c>
      <c r="C776" s="19" t="str">
        <f t="shared" si="3"/>
        <v>J117</v>
      </c>
      <c r="D776" s="19" t="str">
        <f t="array" ref="D776">XLOOKUP(A776,Data!F:F,Data!C:C)</f>
        <v/>
      </c>
      <c r="E776" s="19" t="str">
        <f t="array" ref="E776">XLOOKUP(A776,Data!F:F,Data!H:H)</f>
        <v>BW</v>
      </c>
      <c r="F776" s="106" t="str">
        <f>SUMIFS(Data!J:J,Data!F:F,A776)</f>
        <v>1</v>
      </c>
      <c r="G776" s="106" t="str">
        <f>SUMIFS(Cast!C:C,CastElements,A776)</f>
        <v>1</v>
      </c>
      <c r="H776" s="106" t="str">
        <f t="shared" si="4"/>
        <v>0</v>
      </c>
      <c r="I776" s="106" t="str">
        <f>SUMIFS(Del!C:C,Del!B:B,A776)</f>
        <v>0</v>
      </c>
      <c r="J776" s="106" t="str">
        <f t="shared" si="5"/>
        <v>1</v>
      </c>
      <c r="K776" s="106" t="str">
        <f t="shared" si="6"/>
        <v>1</v>
      </c>
      <c r="L776" s="106"/>
      <c r="M776" s="106" t="str">
        <f>SUMIFS(Ere!C:C,Ere!B:B,A776)</f>
        <v>0</v>
      </c>
      <c r="N776" s="106" t="str">
        <f t="shared" si="7"/>
        <v>1</v>
      </c>
      <c r="O776" s="107" t="str">
        <f t="array" ref="O776">XLOOKUP(A776,Data!F:F,Data!O:O)</f>
        <v>  0.46 </v>
      </c>
      <c r="P776" s="107" t="str">
        <f t="shared" si="8"/>
        <v>  1.14 </v>
      </c>
      <c r="Q776" s="27"/>
    </row>
    <row r="777" ht="15.75" customHeight="1">
      <c r="A777" s="109" t="s">
        <v>1021</v>
      </c>
      <c r="B777" s="19" t="str">
        <f t="array" ref="B777">XLOOKUP(A777,Data!F:F,Data!G:G)</f>
        <v>J1A</v>
      </c>
      <c r="C777" s="19" t="str">
        <f t="shared" si="3"/>
        <v>J117</v>
      </c>
      <c r="D777" s="19" t="str">
        <f t="array" ref="D777">XLOOKUP(A777,Data!F:F,Data!C:C)</f>
        <v/>
      </c>
      <c r="E777" s="19" t="str">
        <f t="array" ref="E777">XLOOKUP(A777,Data!F:F,Data!H:H)</f>
        <v>BW</v>
      </c>
      <c r="F777" s="106" t="str">
        <f>SUMIFS(Data!J:J,Data!F:F,A777)</f>
        <v>1</v>
      </c>
      <c r="G777" s="106" t="str">
        <f>SUMIFS(Cast!C:C,CastElements,A777)</f>
        <v>1</v>
      </c>
      <c r="H777" s="106" t="str">
        <f t="shared" si="4"/>
        <v>0</v>
      </c>
      <c r="I777" s="106" t="str">
        <f>SUMIFS(Del!C:C,Del!B:B,A777)</f>
        <v>1</v>
      </c>
      <c r="J777" s="106" t="str">
        <f t="shared" si="5"/>
        <v>0</v>
      </c>
      <c r="K777" s="106" t="str">
        <f t="shared" si="6"/>
        <v>0</v>
      </c>
      <c r="L777" s="106"/>
      <c r="M777" s="106" t="str">
        <f>SUMIFS(Ere!C:C,Ere!B:B,A777)</f>
        <v>0</v>
      </c>
      <c r="N777" s="106" t="str">
        <f t="shared" si="7"/>
        <v>1</v>
      </c>
      <c r="O777" s="107" t="str">
        <f t="array" ref="O777">XLOOKUP(A777,Data!F:F,Data!O:O)</f>
        <v>  2.32 </v>
      </c>
      <c r="P777" s="107" t="str">
        <f t="shared" si="8"/>
        <v>  5.79 </v>
      </c>
      <c r="Q777" s="27"/>
    </row>
    <row r="778" ht="15.75" customHeight="1">
      <c r="A778" s="109" t="s">
        <v>1022</v>
      </c>
      <c r="B778" s="19" t="str">
        <f t="array" ref="B778">XLOOKUP(A778,Data!F:F,Data!G:G)</f>
        <v>J1A</v>
      </c>
      <c r="C778" s="19" t="str">
        <f t="shared" si="3"/>
        <v>J117</v>
      </c>
      <c r="D778" s="19" t="str">
        <f t="array" ref="D778">XLOOKUP(A778,Data!F:F,Data!C:C)</f>
        <v/>
      </c>
      <c r="E778" s="19" t="str">
        <f t="array" ref="E778">XLOOKUP(A778,Data!F:F,Data!H:H)</f>
        <v>BW</v>
      </c>
      <c r="F778" s="106" t="str">
        <f>SUMIFS(Data!J:J,Data!F:F,A778)</f>
        <v>1</v>
      </c>
      <c r="G778" s="106" t="str">
        <f>SUMIFS(Cast!C:C,CastElements,A778)</f>
        <v>1</v>
      </c>
      <c r="H778" s="106" t="str">
        <f t="shared" si="4"/>
        <v>0</v>
      </c>
      <c r="I778" s="106" t="str">
        <f>SUMIFS(Del!C:C,Del!B:B,A778)</f>
        <v>1</v>
      </c>
      <c r="J778" s="106" t="str">
        <f t="shared" si="5"/>
        <v>0</v>
      </c>
      <c r="K778" s="106" t="str">
        <f t="shared" si="6"/>
        <v>0</v>
      </c>
      <c r="L778" s="106"/>
      <c r="M778" s="106" t="str">
        <f>SUMIFS(Ere!C:C,Ere!B:B,A778)</f>
        <v>0</v>
      </c>
      <c r="N778" s="106" t="str">
        <f t="shared" si="7"/>
        <v>1</v>
      </c>
      <c r="O778" s="107" t="str">
        <f t="array" ref="O778">XLOOKUP(A778,Data!F:F,Data!O:O)</f>
        <v>  2.32 </v>
      </c>
      <c r="P778" s="107" t="str">
        <f t="shared" si="8"/>
        <v>  5.79 </v>
      </c>
      <c r="Q778" s="27"/>
    </row>
    <row r="779" ht="15.75" customHeight="1">
      <c r="A779" s="109" t="s">
        <v>1023</v>
      </c>
      <c r="B779" s="19" t="str">
        <f t="array" ref="B779">XLOOKUP(A779,Data!F:F,Data!G:G)</f>
        <v>J1A</v>
      </c>
      <c r="C779" s="19" t="str">
        <f t="shared" si="3"/>
        <v>J117</v>
      </c>
      <c r="D779" s="19" t="str">
        <f t="array" ref="D779">XLOOKUP(A779,Data!F:F,Data!C:C)</f>
        <v/>
      </c>
      <c r="E779" s="19" t="str">
        <f t="array" ref="E779">XLOOKUP(A779,Data!F:F,Data!H:H)</f>
        <v>BW</v>
      </c>
      <c r="F779" s="106" t="str">
        <f>SUMIFS(Data!J:J,Data!F:F,A779)</f>
        <v>1</v>
      </c>
      <c r="G779" s="106" t="str">
        <f>SUMIFS(Cast!C:C,CastElements,A779)</f>
        <v>1</v>
      </c>
      <c r="H779" s="106" t="str">
        <f t="shared" si="4"/>
        <v>0</v>
      </c>
      <c r="I779" s="106" t="str">
        <f>SUMIFS(Del!C:C,Del!B:B,A779)</f>
        <v>0</v>
      </c>
      <c r="J779" s="106" t="str">
        <f t="shared" si="5"/>
        <v>1</v>
      </c>
      <c r="K779" s="106" t="str">
        <f t="shared" si="6"/>
        <v>1</v>
      </c>
      <c r="L779" s="106"/>
      <c r="M779" s="106" t="str">
        <f>SUMIFS(Ere!C:C,Ere!B:B,A779)</f>
        <v>0</v>
      </c>
      <c r="N779" s="106" t="str">
        <f t="shared" si="7"/>
        <v>1</v>
      </c>
      <c r="O779" s="107" t="str">
        <f t="array" ref="O779">XLOOKUP(A779,Data!F:F,Data!O:O)</f>
        <v>  1.26 </v>
      </c>
      <c r="P779" s="107" t="str">
        <f t="shared" si="8"/>
        <v>  3.16 </v>
      </c>
      <c r="Q779" s="27"/>
    </row>
    <row r="780" ht="15.75" customHeight="1">
      <c r="A780" s="109" t="s">
        <v>1024</v>
      </c>
      <c r="B780" s="19" t="str">
        <f t="array" ref="B780">XLOOKUP(A780,Data!F:F,Data!G:G)</f>
        <v>J1A</v>
      </c>
      <c r="C780" s="19" t="str">
        <f t="shared" si="3"/>
        <v>J117</v>
      </c>
      <c r="D780" s="19" t="str">
        <f t="array" ref="D780">XLOOKUP(A780,Data!F:F,Data!C:C)</f>
        <v/>
      </c>
      <c r="E780" s="19" t="str">
        <f t="array" ref="E780">XLOOKUP(A780,Data!F:F,Data!H:H)</f>
        <v>BW</v>
      </c>
      <c r="F780" s="106" t="str">
        <f>SUMIFS(Data!J:J,Data!F:F,A780)</f>
        <v>1</v>
      </c>
      <c r="G780" s="106" t="str">
        <f>SUMIFS(Cast!C:C,CastElements,A780)</f>
        <v>1</v>
      </c>
      <c r="H780" s="106" t="str">
        <f t="shared" si="4"/>
        <v>0</v>
      </c>
      <c r="I780" s="106" t="str">
        <f>SUMIFS(Del!C:C,Del!B:B,A780)</f>
        <v>1</v>
      </c>
      <c r="J780" s="106" t="str">
        <f t="shared" si="5"/>
        <v>0</v>
      </c>
      <c r="K780" s="106" t="str">
        <f t="shared" si="6"/>
        <v>0</v>
      </c>
      <c r="L780" s="106"/>
      <c r="M780" s="106" t="str">
        <f>SUMIFS(Ere!C:C,Ere!B:B,A780)</f>
        <v>1</v>
      </c>
      <c r="N780" s="106" t="str">
        <f t="shared" si="7"/>
        <v>0</v>
      </c>
      <c r="O780" s="107" t="str">
        <f t="array" ref="O780">XLOOKUP(A780,Data!F:F,Data!O:O)</f>
        <v>  1.84 </v>
      </c>
      <c r="P780" s="107" t="str">
        <f t="shared" si="8"/>
        <v>  4.60 </v>
      </c>
      <c r="Q780" s="27"/>
    </row>
    <row r="781" ht="15.75" customHeight="1">
      <c r="A781" s="109" t="s">
        <v>1025</v>
      </c>
      <c r="B781" s="19" t="str">
        <f t="array" ref="B781">XLOOKUP(A781,Data!F:F,Data!G:G)</f>
        <v>J1A</v>
      </c>
      <c r="C781" s="19" t="str">
        <f t="shared" si="3"/>
        <v>J117</v>
      </c>
      <c r="D781" s="19" t="str">
        <f t="array" ref="D781">XLOOKUP(A781,Data!F:F,Data!C:C)</f>
        <v/>
      </c>
      <c r="E781" s="19" t="str">
        <f t="array" ref="E781">XLOOKUP(A781,Data!F:F,Data!H:H)</f>
        <v>BW</v>
      </c>
      <c r="F781" s="106" t="str">
        <f>SUMIFS(Data!J:J,Data!F:F,A781)</f>
        <v>1</v>
      </c>
      <c r="G781" s="106" t="str">
        <f>SUMIFS(Cast!C:C,CastElements,A781)</f>
        <v>1</v>
      </c>
      <c r="H781" s="106" t="str">
        <f t="shared" si="4"/>
        <v>0</v>
      </c>
      <c r="I781" s="106" t="str">
        <f>SUMIFS(Del!C:C,Del!B:B,A781)</f>
        <v>1</v>
      </c>
      <c r="J781" s="106" t="str">
        <f t="shared" si="5"/>
        <v>0</v>
      </c>
      <c r="K781" s="106" t="str">
        <f t="shared" si="6"/>
        <v>0</v>
      </c>
      <c r="L781" s="106"/>
      <c r="M781" s="106" t="str">
        <f>SUMIFS(Ere!C:C,Ere!B:B,A781)</f>
        <v>1</v>
      </c>
      <c r="N781" s="106" t="str">
        <f t="shared" si="7"/>
        <v>0</v>
      </c>
      <c r="O781" s="107" t="str">
        <f t="array" ref="O781">XLOOKUP(A781,Data!F:F,Data!O:O)</f>
        <v>  1.84 </v>
      </c>
      <c r="P781" s="107" t="str">
        <f t="shared" si="8"/>
        <v>  4.60 </v>
      </c>
      <c r="Q781" s="27"/>
    </row>
    <row r="782" ht="15.75" customHeight="1">
      <c r="A782" s="109" t="s">
        <v>1026</v>
      </c>
      <c r="B782" s="19" t="str">
        <f t="array" ref="B782">XLOOKUP(A782,Data!F:F,Data!G:G)</f>
        <v>J1A</v>
      </c>
      <c r="C782" s="19" t="str">
        <f t="shared" si="3"/>
        <v>J117</v>
      </c>
      <c r="D782" s="19" t="str">
        <f t="array" ref="D782">XLOOKUP(A782,Data!F:F,Data!C:C)</f>
        <v/>
      </c>
      <c r="E782" s="19" t="str">
        <f t="array" ref="E782">XLOOKUP(A782,Data!F:F,Data!H:H)</f>
        <v>BW</v>
      </c>
      <c r="F782" s="106" t="str">
        <f>SUMIFS(Data!J:J,Data!F:F,A782)</f>
        <v>1</v>
      </c>
      <c r="G782" s="106" t="str">
        <f>SUMIFS(Cast!C:C,CastElements,A782)</f>
        <v>1</v>
      </c>
      <c r="H782" s="106" t="str">
        <f t="shared" si="4"/>
        <v>0</v>
      </c>
      <c r="I782" s="106" t="str">
        <f>SUMIFS(Del!C:C,Del!B:B,A782)</f>
        <v>1</v>
      </c>
      <c r="J782" s="106" t="str">
        <f t="shared" si="5"/>
        <v>0</v>
      </c>
      <c r="K782" s="106" t="str">
        <f t="shared" si="6"/>
        <v>0</v>
      </c>
      <c r="L782" s="106"/>
      <c r="M782" s="106" t="str">
        <f>SUMIFS(Ere!C:C,Ere!B:B,A782)</f>
        <v>1</v>
      </c>
      <c r="N782" s="106" t="str">
        <f t="shared" si="7"/>
        <v>0</v>
      </c>
      <c r="O782" s="107" t="str">
        <f t="array" ref="O782">XLOOKUP(A782,Data!F:F,Data!O:O)</f>
        <v>  1.84 </v>
      </c>
      <c r="P782" s="107" t="str">
        <f t="shared" si="8"/>
        <v>  4.60 </v>
      </c>
      <c r="Q782" s="27"/>
    </row>
    <row r="783" ht="15.75" customHeight="1">
      <c r="A783" s="109" t="s">
        <v>1027</v>
      </c>
      <c r="B783" s="19" t="str">
        <f t="array" ref="B783">XLOOKUP(A783,Data!F:F,Data!G:G)</f>
        <v>J1A</v>
      </c>
      <c r="C783" s="19" t="str">
        <f t="shared" si="3"/>
        <v>J117</v>
      </c>
      <c r="D783" s="19" t="str">
        <f t="array" ref="D783">XLOOKUP(A783,Data!F:F,Data!C:C)</f>
        <v/>
      </c>
      <c r="E783" s="19" t="str">
        <f t="array" ref="E783">XLOOKUP(A783,Data!F:F,Data!H:H)</f>
        <v>BW</v>
      </c>
      <c r="F783" s="106" t="str">
        <f>SUMIFS(Data!J:J,Data!F:F,A783)</f>
        <v>1</v>
      </c>
      <c r="G783" s="106" t="str">
        <f>SUMIFS(Cast!C:C,CastElements,A783)</f>
        <v>1</v>
      </c>
      <c r="H783" s="106" t="str">
        <f t="shared" si="4"/>
        <v>0</v>
      </c>
      <c r="I783" s="106" t="str">
        <f>SUMIFS(Del!C:C,Del!B:B,A783)</f>
        <v>0</v>
      </c>
      <c r="J783" s="106" t="str">
        <f t="shared" si="5"/>
        <v>1</v>
      </c>
      <c r="K783" s="106" t="str">
        <f t="shared" si="6"/>
        <v>1</v>
      </c>
      <c r="L783" s="106"/>
      <c r="M783" s="106" t="str">
        <f>SUMIFS(Ere!C:C,Ere!B:B,A783)</f>
        <v>0</v>
      </c>
      <c r="N783" s="106" t="str">
        <f t="shared" si="7"/>
        <v>1</v>
      </c>
      <c r="O783" s="107" t="str">
        <f t="array" ref="O783">XLOOKUP(A783,Data!F:F,Data!O:O)</f>
        <v>  1.84 </v>
      </c>
      <c r="P783" s="107" t="str">
        <f t="shared" si="8"/>
        <v>  4.60 </v>
      </c>
      <c r="Q783" s="27"/>
    </row>
    <row r="784" ht="15.75" customHeight="1">
      <c r="A784" s="109" t="s">
        <v>1028</v>
      </c>
      <c r="B784" s="19" t="str">
        <f t="array" ref="B784">XLOOKUP(A784,Data!F:F,Data!G:G)</f>
        <v>J1A</v>
      </c>
      <c r="C784" s="19" t="str">
        <f t="shared" si="3"/>
        <v>J117</v>
      </c>
      <c r="D784" s="19" t="str">
        <f t="array" ref="D784">XLOOKUP(A784,Data!F:F,Data!C:C)</f>
        <v/>
      </c>
      <c r="E784" s="19" t="str">
        <f t="array" ref="E784">XLOOKUP(A784,Data!F:F,Data!H:H)</f>
        <v>BW</v>
      </c>
      <c r="F784" s="106" t="str">
        <f>SUMIFS(Data!J:J,Data!F:F,A784)</f>
        <v>1</v>
      </c>
      <c r="G784" s="106" t="str">
        <f>SUMIFS(Cast!C:C,CastElements,A784)</f>
        <v>1</v>
      </c>
      <c r="H784" s="106" t="str">
        <f t="shared" si="4"/>
        <v>0</v>
      </c>
      <c r="I784" s="106" t="str">
        <f>SUMIFS(Del!C:C,Del!B:B,A784)</f>
        <v>0</v>
      </c>
      <c r="J784" s="106" t="str">
        <f t="shared" si="5"/>
        <v>1</v>
      </c>
      <c r="K784" s="106" t="str">
        <f t="shared" si="6"/>
        <v>1</v>
      </c>
      <c r="L784" s="106"/>
      <c r="M784" s="106" t="str">
        <f>SUMIFS(Ere!C:C,Ere!B:B,A784)</f>
        <v>0</v>
      </c>
      <c r="N784" s="106" t="str">
        <f t="shared" si="7"/>
        <v>1</v>
      </c>
      <c r="O784" s="107" t="str">
        <f t="array" ref="O784">XLOOKUP(A784,Data!F:F,Data!O:O)</f>
        <v>  1.55 </v>
      </c>
      <c r="P784" s="107" t="str">
        <f t="shared" si="8"/>
        <v>  3.87 </v>
      </c>
      <c r="Q784" s="27"/>
    </row>
    <row r="785" ht="15.75" customHeight="1">
      <c r="A785" s="109" t="s">
        <v>1029</v>
      </c>
      <c r="B785" s="19" t="str">
        <f t="array" ref="B785">XLOOKUP(A785,Data!F:F,Data!G:G)</f>
        <v>J1A</v>
      </c>
      <c r="C785" s="19" t="str">
        <f t="shared" si="3"/>
        <v>J117</v>
      </c>
      <c r="D785" s="19" t="str">
        <f t="array" ref="D785">XLOOKUP(A785,Data!F:F,Data!C:C)</f>
        <v/>
      </c>
      <c r="E785" s="19" t="str">
        <f t="array" ref="E785">XLOOKUP(A785,Data!F:F,Data!H:H)</f>
        <v>BW</v>
      </c>
      <c r="F785" s="106" t="str">
        <f>SUMIFS(Data!J:J,Data!F:F,A785)</f>
        <v>1</v>
      </c>
      <c r="G785" s="106" t="str">
        <f>SUMIFS(Cast!C:C,CastElements,A785)</f>
        <v>1</v>
      </c>
      <c r="H785" s="106" t="str">
        <f t="shared" si="4"/>
        <v>0</v>
      </c>
      <c r="I785" s="106" t="str">
        <f>SUMIFS(Del!C:C,Del!B:B,A785)</f>
        <v>0</v>
      </c>
      <c r="J785" s="106" t="str">
        <f t="shared" si="5"/>
        <v>1</v>
      </c>
      <c r="K785" s="106" t="str">
        <f t="shared" si="6"/>
        <v>1</v>
      </c>
      <c r="L785" s="106"/>
      <c r="M785" s="106" t="str">
        <f>SUMIFS(Ere!C:C,Ere!B:B,A785)</f>
        <v>0</v>
      </c>
      <c r="N785" s="106" t="str">
        <f t="shared" si="7"/>
        <v>1</v>
      </c>
      <c r="O785" s="107" t="str">
        <f t="array" ref="O785">XLOOKUP(A785,Data!F:F,Data!O:O)</f>
        <v>  3.61 </v>
      </c>
      <c r="P785" s="107" t="str">
        <f t="shared" si="8"/>
        <v>  9.04 </v>
      </c>
      <c r="Q785" s="27"/>
    </row>
    <row r="786" ht="15.75" customHeight="1">
      <c r="A786" s="109" t="s">
        <v>1030</v>
      </c>
      <c r="B786" s="19" t="str">
        <f t="array" ref="B786">XLOOKUP(A786,Data!F:F,Data!G:G)</f>
        <v>J1A</v>
      </c>
      <c r="C786" s="19" t="str">
        <f t="shared" si="3"/>
        <v>J117</v>
      </c>
      <c r="D786" s="19" t="str">
        <f t="array" ref="D786">XLOOKUP(A786,Data!F:F,Data!C:C)</f>
        <v/>
      </c>
      <c r="E786" s="19" t="str">
        <f t="array" ref="E786">XLOOKUP(A786,Data!F:F,Data!H:H)</f>
        <v>CF</v>
      </c>
      <c r="F786" s="106" t="str">
        <f>SUMIFS(Data!J:J,Data!F:F,A786)</f>
        <v>1</v>
      </c>
      <c r="G786" s="106" t="str">
        <f>SUMIFS(Cast!C:C,CastElements,A786)</f>
        <v>1</v>
      </c>
      <c r="H786" s="106" t="str">
        <f t="shared" si="4"/>
        <v>0</v>
      </c>
      <c r="I786" s="106" t="str">
        <f>SUMIFS(Del!C:C,Del!B:B,A786)</f>
        <v>0</v>
      </c>
      <c r="J786" s="106" t="str">
        <f t="shared" si="5"/>
        <v>1</v>
      </c>
      <c r="K786" s="106" t="str">
        <f t="shared" si="6"/>
        <v>1</v>
      </c>
      <c r="L786" s="106"/>
      <c r="M786" s="106" t="str">
        <f>SUMIFS(Ere!C:C,Ere!B:B,A786)</f>
        <v>0</v>
      </c>
      <c r="N786" s="106" t="str">
        <f t="shared" si="7"/>
        <v>1</v>
      </c>
      <c r="O786" s="107" t="str">
        <f t="array" ref="O786">XLOOKUP(A786,Data!F:F,Data!O:O)</f>
        <v>  0.55 </v>
      </c>
      <c r="P786" s="107" t="str">
        <f t="shared" si="8"/>
        <v>  1.37 </v>
      </c>
      <c r="Q786" s="27"/>
    </row>
    <row r="787" ht="15.75" customHeight="1">
      <c r="A787" s="105" t="s">
        <v>1031</v>
      </c>
      <c r="B787" s="19" t="str">
        <f t="array" ref="B787">XLOOKUP(A787,Data!F:F,Data!G:G)</f>
        <v>J1A</v>
      </c>
      <c r="C787" s="19" t="str">
        <f t="shared" si="3"/>
        <v>J118</v>
      </c>
      <c r="D787" s="19" t="str">
        <f t="array" ref="D787">XLOOKUP(A787,Data!F:F,Data!C:C)</f>
        <v/>
      </c>
      <c r="E787" s="19" t="str">
        <f t="array" ref="E787">XLOOKUP(A787,Data!F:F,Data!H:H)</f>
        <v>BW</v>
      </c>
      <c r="F787" s="106" t="str">
        <f>SUMIFS(Data!J:J,Data!F:F,A787)</f>
        <v>1</v>
      </c>
      <c r="G787" s="106" t="str">
        <f>SUMIFS(Cast!C:C,CastElements,A787)</f>
        <v>1</v>
      </c>
      <c r="H787" s="106" t="str">
        <f t="shared" si="4"/>
        <v>0</v>
      </c>
      <c r="I787" s="106" t="str">
        <f>SUMIFS(Del!C:C,Del!B:B,A787)</f>
        <v>0</v>
      </c>
      <c r="J787" s="106" t="str">
        <f t="shared" si="5"/>
        <v>1</v>
      </c>
      <c r="K787" s="106" t="str">
        <f t="shared" si="6"/>
        <v>1</v>
      </c>
      <c r="L787" s="106"/>
      <c r="M787" s="106" t="str">
        <f>SUMIFS(Ere!C:C,Ere!B:B,A787)</f>
        <v>0</v>
      </c>
      <c r="N787" s="106" t="str">
        <f t="shared" si="7"/>
        <v>1</v>
      </c>
      <c r="O787" s="107" t="str">
        <f t="array" ref="O787">XLOOKUP(A787,Data!F:F,Data!O:O)</f>
        <v>  1.98 </v>
      </c>
      <c r="P787" s="107" t="str">
        <f t="shared" si="8"/>
        <v>  4.95 </v>
      </c>
      <c r="Q787" s="27"/>
    </row>
    <row r="788" ht="15.75" customHeight="1">
      <c r="A788" s="105" t="s">
        <v>1032</v>
      </c>
      <c r="B788" s="19" t="str">
        <f t="array" ref="B788">XLOOKUP(A788,Data!F:F,Data!G:G)</f>
        <v>J1A</v>
      </c>
      <c r="C788" s="19" t="str">
        <f t="shared" si="3"/>
        <v>J118</v>
      </c>
      <c r="D788" s="19" t="str">
        <f t="array" ref="D788">XLOOKUP(A788,Data!F:F,Data!C:C)</f>
        <v/>
      </c>
      <c r="E788" s="19" t="str">
        <f t="array" ref="E788">XLOOKUP(A788,Data!F:F,Data!H:H)</f>
        <v>BW</v>
      </c>
      <c r="F788" s="106" t="str">
        <f>SUMIFS(Data!J:J,Data!F:F,A788)</f>
        <v>1</v>
      </c>
      <c r="G788" s="106" t="str">
        <f>SUMIFS(Cast!C:C,CastElements,A788)</f>
        <v>1</v>
      </c>
      <c r="H788" s="106" t="str">
        <f t="shared" si="4"/>
        <v>0</v>
      </c>
      <c r="I788" s="106" t="str">
        <f>SUMIFS(Del!C:C,Del!B:B,A788)</f>
        <v>0</v>
      </c>
      <c r="J788" s="106" t="str">
        <f t="shared" si="5"/>
        <v>1</v>
      </c>
      <c r="K788" s="106" t="str">
        <f t="shared" si="6"/>
        <v>1</v>
      </c>
      <c r="L788" s="106"/>
      <c r="M788" s="106" t="str">
        <f>SUMIFS(Ere!C:C,Ere!B:B,A788)</f>
        <v>0</v>
      </c>
      <c r="N788" s="106" t="str">
        <f t="shared" si="7"/>
        <v>1</v>
      </c>
      <c r="O788" s="107" t="str">
        <f t="array" ref="O788">XLOOKUP(A788,Data!F:F,Data!O:O)</f>
        <v>  3.44 </v>
      </c>
      <c r="P788" s="107" t="str">
        <f t="shared" si="8"/>
        <v>  8.60 </v>
      </c>
      <c r="Q788" s="27"/>
    </row>
    <row r="789" ht="15.75" customHeight="1">
      <c r="A789" s="105" t="s">
        <v>1033</v>
      </c>
      <c r="B789" s="19" t="str">
        <f t="array" ref="B789">XLOOKUP(A789,Data!F:F,Data!G:G)</f>
        <v>J1A</v>
      </c>
      <c r="C789" s="19" t="str">
        <f t="shared" si="3"/>
        <v>J118</v>
      </c>
      <c r="D789" s="19" t="str">
        <f t="array" ref="D789">XLOOKUP(A789,Data!F:F,Data!C:C)</f>
        <v/>
      </c>
      <c r="E789" s="19" t="str">
        <f t="array" ref="E789">XLOOKUP(A789,Data!F:F,Data!H:H)</f>
        <v>BW</v>
      </c>
      <c r="F789" s="106" t="str">
        <f>SUMIFS(Data!J:J,Data!F:F,A789)</f>
        <v>1</v>
      </c>
      <c r="G789" s="106" t="str">
        <f>SUMIFS(Cast!C:C,CastElements,A789)</f>
        <v>1</v>
      </c>
      <c r="H789" s="106" t="str">
        <f t="shared" si="4"/>
        <v>0</v>
      </c>
      <c r="I789" s="106" t="str">
        <f>SUMIFS(Del!C:C,Del!B:B,A789)</f>
        <v>0</v>
      </c>
      <c r="J789" s="106" t="str">
        <f t="shared" si="5"/>
        <v>1</v>
      </c>
      <c r="K789" s="106" t="str">
        <f t="shared" si="6"/>
        <v>1</v>
      </c>
      <c r="L789" s="106"/>
      <c r="M789" s="106" t="str">
        <f>SUMIFS(Ere!C:C,Ere!B:B,A789)</f>
        <v>0</v>
      </c>
      <c r="N789" s="106" t="str">
        <f t="shared" si="7"/>
        <v>1</v>
      </c>
      <c r="O789" s="107" t="str">
        <f t="array" ref="O789">XLOOKUP(A789,Data!F:F,Data!O:O)</f>
        <v>  0.36 </v>
      </c>
      <c r="P789" s="107" t="str">
        <f t="shared" si="8"/>
        <v>  0.90 </v>
      </c>
      <c r="Q789" s="27"/>
    </row>
    <row r="790" ht="15.75" customHeight="1">
      <c r="A790" s="105" t="s">
        <v>1034</v>
      </c>
      <c r="B790" s="19" t="str">
        <f t="array" ref="B790">XLOOKUP(A790,Data!F:F,Data!G:G)</f>
        <v>J1A</v>
      </c>
      <c r="C790" s="19" t="str">
        <f t="shared" si="3"/>
        <v>J118</v>
      </c>
      <c r="D790" s="19" t="str">
        <f t="array" ref="D790">XLOOKUP(A790,Data!F:F,Data!C:C)</f>
        <v/>
      </c>
      <c r="E790" s="19" t="str">
        <f t="array" ref="E790">XLOOKUP(A790,Data!F:F,Data!H:H)</f>
        <v>BW</v>
      </c>
      <c r="F790" s="106" t="str">
        <f>SUMIFS(Data!J:J,Data!F:F,A790)</f>
        <v>1</v>
      </c>
      <c r="G790" s="106" t="str">
        <f>SUMIFS(Cast!C:C,CastElements,A790)</f>
        <v>1</v>
      </c>
      <c r="H790" s="106" t="str">
        <f t="shared" si="4"/>
        <v>0</v>
      </c>
      <c r="I790" s="106" t="str">
        <f>SUMIFS(Del!C:C,Del!B:B,A790)</f>
        <v>0</v>
      </c>
      <c r="J790" s="106" t="str">
        <f t="shared" si="5"/>
        <v>1</v>
      </c>
      <c r="K790" s="106" t="str">
        <f t="shared" si="6"/>
        <v>1</v>
      </c>
      <c r="L790" s="106"/>
      <c r="M790" s="106" t="str">
        <f>SUMIFS(Ere!C:C,Ere!B:B,A790)</f>
        <v>0</v>
      </c>
      <c r="N790" s="106" t="str">
        <f t="shared" si="7"/>
        <v>1</v>
      </c>
      <c r="O790" s="107" t="str">
        <f t="array" ref="O790">XLOOKUP(A790,Data!F:F,Data!O:O)</f>
        <v>  0.43 </v>
      </c>
      <c r="P790" s="107" t="str">
        <f t="shared" si="8"/>
        <v>  1.06 </v>
      </c>
      <c r="Q790" s="27"/>
    </row>
    <row r="791" ht="15.75" customHeight="1">
      <c r="A791" s="105" t="s">
        <v>1035</v>
      </c>
      <c r="B791" s="19" t="str">
        <f t="array" ref="B791">XLOOKUP(A791,Data!F:F,Data!G:G)</f>
        <v>J1A</v>
      </c>
      <c r="C791" s="19" t="str">
        <f t="shared" si="3"/>
        <v>J118</v>
      </c>
      <c r="D791" s="19" t="str">
        <f t="array" ref="D791">XLOOKUP(A791,Data!F:F,Data!C:C)</f>
        <v/>
      </c>
      <c r="E791" s="19" t="str">
        <f t="array" ref="E791">XLOOKUP(A791,Data!F:F,Data!H:H)</f>
        <v>BW</v>
      </c>
      <c r="F791" s="106" t="str">
        <f>SUMIFS(Data!J:J,Data!F:F,A791)</f>
        <v>1</v>
      </c>
      <c r="G791" s="106" t="str">
        <f>SUMIFS(Cast!C:C,CastElements,A791)</f>
        <v>1</v>
      </c>
      <c r="H791" s="106" t="str">
        <f t="shared" si="4"/>
        <v>0</v>
      </c>
      <c r="I791" s="106" t="str">
        <f>SUMIFS(Del!C:C,Del!B:B,A791)</f>
        <v>0</v>
      </c>
      <c r="J791" s="106" t="str">
        <f t="shared" si="5"/>
        <v>1</v>
      </c>
      <c r="K791" s="106" t="str">
        <f t="shared" si="6"/>
        <v>1</v>
      </c>
      <c r="L791" s="106"/>
      <c r="M791" s="106" t="str">
        <f>SUMIFS(Ere!C:C,Ere!B:B,A791)</f>
        <v>0</v>
      </c>
      <c r="N791" s="106" t="str">
        <f t="shared" si="7"/>
        <v>1</v>
      </c>
      <c r="O791" s="107" t="str">
        <f t="array" ref="O791">XLOOKUP(A791,Data!F:F,Data!O:O)</f>
        <v>  0.59 </v>
      </c>
      <c r="P791" s="107" t="str">
        <f t="shared" si="8"/>
        <v>  1.48 </v>
      </c>
      <c r="Q791" s="27"/>
    </row>
    <row r="792" ht="15.75" customHeight="1">
      <c r="A792" s="109" t="s">
        <v>1036</v>
      </c>
      <c r="B792" s="19" t="str">
        <f t="array" ref="B792">XLOOKUP(A792,Data!F:F,Data!G:G)</f>
        <v>J1A</v>
      </c>
      <c r="C792" s="19" t="str">
        <f t="shared" si="3"/>
        <v>J118</v>
      </c>
      <c r="D792" s="19" t="str">
        <f t="array" ref="D792">XLOOKUP(A792,Data!F:F,Data!C:C)</f>
        <v/>
      </c>
      <c r="E792" s="19" t="str">
        <f t="array" ref="E792">XLOOKUP(A792,Data!F:F,Data!H:H)</f>
        <v>CF</v>
      </c>
      <c r="F792" s="106" t="str">
        <f>SUMIFS(Data!J:J,Data!F:F,A792)</f>
        <v>1</v>
      </c>
      <c r="G792" s="106" t="str">
        <f>SUMIFS(Cast!C:C,CastElements,A792)</f>
        <v>1</v>
      </c>
      <c r="H792" s="106" t="str">
        <f t="shared" si="4"/>
        <v>0</v>
      </c>
      <c r="I792" s="106" t="str">
        <f>SUMIFS(Del!C:C,Del!B:B,A792)</f>
        <v>0</v>
      </c>
      <c r="J792" s="106" t="str">
        <f t="shared" si="5"/>
        <v>1</v>
      </c>
      <c r="K792" s="106" t="str">
        <f t="shared" si="6"/>
        <v>1</v>
      </c>
      <c r="L792" s="106"/>
      <c r="M792" s="106" t="str">
        <f>SUMIFS(Ere!C:C,Ere!B:B,A792)</f>
        <v>0</v>
      </c>
      <c r="N792" s="106" t="str">
        <f t="shared" si="7"/>
        <v>1</v>
      </c>
      <c r="O792" s="107" t="str">
        <f t="array" ref="O792">XLOOKUP(A792,Data!F:F,Data!O:O)</f>
        <v>  0.56 </v>
      </c>
      <c r="P792" s="107" t="str">
        <f t="shared" si="8"/>
        <v>  1.39 </v>
      </c>
      <c r="Q792" s="27"/>
    </row>
    <row r="793" ht="15.75" customHeight="1">
      <c r="A793" s="109" t="s">
        <v>1037</v>
      </c>
      <c r="B793" s="19" t="str">
        <f t="array" ref="B793">XLOOKUP(A793,Data!F:F,Data!G:G)</f>
        <v>J1A</v>
      </c>
      <c r="C793" s="19" t="str">
        <f t="shared" si="3"/>
        <v>J118</v>
      </c>
      <c r="D793" s="19" t="str">
        <f t="array" ref="D793">XLOOKUP(A793,Data!F:F,Data!C:C)</f>
        <v/>
      </c>
      <c r="E793" s="19" t="str">
        <f t="array" ref="E793">XLOOKUP(A793,Data!F:F,Data!H:H)</f>
        <v>BW</v>
      </c>
      <c r="F793" s="106" t="str">
        <f>SUMIFS(Data!J:J,Data!F:F,A793)</f>
        <v>1</v>
      </c>
      <c r="G793" s="106" t="str">
        <f>SUMIFS(Cast!C:C,CastElements,A793)</f>
        <v>1</v>
      </c>
      <c r="H793" s="106" t="str">
        <f t="shared" si="4"/>
        <v>0</v>
      </c>
      <c r="I793" s="106" t="str">
        <f>SUMIFS(Del!C:C,Del!B:B,A793)</f>
        <v>1</v>
      </c>
      <c r="J793" s="106" t="str">
        <f t="shared" si="5"/>
        <v>0</v>
      </c>
      <c r="K793" s="106" t="str">
        <f t="shared" si="6"/>
        <v>0</v>
      </c>
      <c r="L793" s="106"/>
      <c r="M793" s="106" t="str">
        <f>SUMIFS(Ere!C:C,Ere!B:B,A793)</f>
        <v>1</v>
      </c>
      <c r="N793" s="106" t="str">
        <f t="shared" si="7"/>
        <v>0</v>
      </c>
      <c r="O793" s="107" t="str">
        <f t="array" ref="O793">XLOOKUP(A793,Data!F:F,Data!O:O)</f>
        <v>  1.84 </v>
      </c>
      <c r="P793" s="107" t="str">
        <f t="shared" si="8"/>
        <v>  4.60 </v>
      </c>
      <c r="Q793" s="27"/>
    </row>
    <row r="794" ht="15.75" customHeight="1">
      <c r="A794" s="109" t="s">
        <v>1038</v>
      </c>
      <c r="B794" s="19" t="str">
        <f t="array" ref="B794">XLOOKUP(A794,Data!F:F,Data!G:G)</f>
        <v>J1A</v>
      </c>
      <c r="C794" s="19" t="str">
        <f t="shared" si="3"/>
        <v>J118</v>
      </c>
      <c r="D794" s="19" t="str">
        <f t="array" ref="D794">XLOOKUP(A794,Data!F:F,Data!C:C)</f>
        <v/>
      </c>
      <c r="E794" s="19" t="str">
        <f t="array" ref="E794">XLOOKUP(A794,Data!F:F,Data!H:H)</f>
        <v>BW</v>
      </c>
      <c r="F794" s="106" t="str">
        <f>SUMIFS(Data!J:J,Data!F:F,A794)</f>
        <v>1</v>
      </c>
      <c r="G794" s="106" t="str">
        <f>SUMIFS(Cast!C:C,CastElements,A794)</f>
        <v>1</v>
      </c>
      <c r="H794" s="106" t="str">
        <f t="shared" si="4"/>
        <v>0</v>
      </c>
      <c r="I794" s="106" t="str">
        <f>SUMIFS(Del!C:C,Del!B:B,A794)</f>
        <v>1</v>
      </c>
      <c r="J794" s="106" t="str">
        <f t="shared" si="5"/>
        <v>0</v>
      </c>
      <c r="K794" s="106" t="str">
        <f t="shared" si="6"/>
        <v>0</v>
      </c>
      <c r="L794" s="106"/>
      <c r="M794" s="106" t="str">
        <f>SUMIFS(Ere!C:C,Ere!B:B,A794)</f>
        <v>0</v>
      </c>
      <c r="N794" s="106" t="str">
        <f t="shared" si="7"/>
        <v>1</v>
      </c>
      <c r="O794" s="107" t="str">
        <f t="array" ref="O794">XLOOKUP(A794,Data!F:F,Data!O:O)</f>
        <v>  1.84 </v>
      </c>
      <c r="P794" s="107" t="str">
        <f t="shared" si="8"/>
        <v>  4.60 </v>
      </c>
      <c r="Q794" s="27"/>
    </row>
    <row r="795" ht="15.75" customHeight="1">
      <c r="A795" s="109" t="s">
        <v>1039</v>
      </c>
      <c r="B795" s="19" t="str">
        <f t="array" ref="B795">XLOOKUP(A795,Data!F:F,Data!G:G)</f>
        <v>J1A</v>
      </c>
      <c r="C795" s="19" t="str">
        <f t="shared" si="3"/>
        <v>J118</v>
      </c>
      <c r="D795" s="19" t="str">
        <f t="array" ref="D795">XLOOKUP(A795,Data!F:F,Data!C:C)</f>
        <v/>
      </c>
      <c r="E795" s="19" t="str">
        <f t="array" ref="E795">XLOOKUP(A795,Data!F:F,Data!H:H)</f>
        <v>BW</v>
      </c>
      <c r="F795" s="106" t="str">
        <f>SUMIFS(Data!J:J,Data!F:F,A795)</f>
        <v>1</v>
      </c>
      <c r="G795" s="106" t="str">
        <f>SUMIFS(Cast!C:C,CastElements,A795)</f>
        <v>1</v>
      </c>
      <c r="H795" s="106" t="str">
        <f t="shared" si="4"/>
        <v>0</v>
      </c>
      <c r="I795" s="106" t="str">
        <f>SUMIFS(Del!C:C,Del!B:B,A795)</f>
        <v>1</v>
      </c>
      <c r="J795" s="106" t="str">
        <f t="shared" si="5"/>
        <v>0</v>
      </c>
      <c r="K795" s="106" t="str">
        <f t="shared" si="6"/>
        <v>0</v>
      </c>
      <c r="L795" s="106"/>
      <c r="M795" s="106" t="str">
        <f>SUMIFS(Ere!C:C,Ere!B:B,A795)</f>
        <v>1</v>
      </c>
      <c r="N795" s="106" t="str">
        <f t="shared" si="7"/>
        <v>0</v>
      </c>
      <c r="O795" s="107" t="str">
        <f t="array" ref="O795">XLOOKUP(A795,Data!F:F,Data!O:O)</f>
        <v>  1.84 </v>
      </c>
      <c r="P795" s="107" t="str">
        <f t="shared" si="8"/>
        <v>  4.60 </v>
      </c>
      <c r="Q795" s="27"/>
    </row>
    <row r="796" ht="15.75" customHeight="1">
      <c r="A796" s="109" t="s">
        <v>1040</v>
      </c>
      <c r="B796" s="19" t="str">
        <f t="array" ref="B796">XLOOKUP(A796,Data!F:F,Data!G:G)</f>
        <v>J1A</v>
      </c>
      <c r="C796" s="19" t="str">
        <f t="shared" si="3"/>
        <v>J118</v>
      </c>
      <c r="D796" s="19" t="str">
        <f t="array" ref="D796">XLOOKUP(A796,Data!F:F,Data!C:C)</f>
        <v/>
      </c>
      <c r="E796" s="19" t="str">
        <f t="array" ref="E796">XLOOKUP(A796,Data!F:F,Data!H:H)</f>
        <v>BW</v>
      </c>
      <c r="F796" s="106" t="str">
        <f>SUMIFS(Data!J:J,Data!F:F,A796)</f>
        <v>1</v>
      </c>
      <c r="G796" s="106" t="str">
        <f>SUMIFS(Cast!C:C,CastElements,A796)</f>
        <v>1</v>
      </c>
      <c r="H796" s="106" t="str">
        <f t="shared" si="4"/>
        <v>0</v>
      </c>
      <c r="I796" s="106" t="str">
        <f>SUMIFS(Del!C:C,Del!B:B,A796)</f>
        <v>1</v>
      </c>
      <c r="J796" s="106" t="str">
        <f t="shared" si="5"/>
        <v>0</v>
      </c>
      <c r="K796" s="106" t="str">
        <f t="shared" si="6"/>
        <v>0</v>
      </c>
      <c r="L796" s="106"/>
      <c r="M796" s="106" t="str">
        <f>SUMIFS(Ere!C:C,Ere!B:B,A796)</f>
        <v>1</v>
      </c>
      <c r="N796" s="106" t="str">
        <f t="shared" si="7"/>
        <v>0</v>
      </c>
      <c r="O796" s="107" t="str">
        <f t="array" ref="O796">XLOOKUP(A796,Data!F:F,Data!O:O)</f>
        <v>  1.84 </v>
      </c>
      <c r="P796" s="107" t="str">
        <f t="shared" si="8"/>
        <v>  4.60 </v>
      </c>
      <c r="Q796" s="27"/>
    </row>
    <row r="797" ht="15.75" customHeight="1">
      <c r="A797" s="109" t="s">
        <v>1041</v>
      </c>
      <c r="B797" s="19" t="str">
        <f t="array" ref="B797">XLOOKUP(A797,Data!F:F,Data!G:G)</f>
        <v>J1A</v>
      </c>
      <c r="C797" s="19" t="str">
        <f t="shared" si="3"/>
        <v>J118</v>
      </c>
      <c r="D797" s="19" t="str">
        <f t="array" ref="D797">XLOOKUP(A797,Data!F:F,Data!C:C)</f>
        <v/>
      </c>
      <c r="E797" s="19" t="str">
        <f t="array" ref="E797">XLOOKUP(A797,Data!F:F,Data!H:H)</f>
        <v>BW</v>
      </c>
      <c r="F797" s="106" t="str">
        <f>SUMIFS(Data!J:J,Data!F:F,A797)</f>
        <v>1</v>
      </c>
      <c r="G797" s="106" t="str">
        <f>SUMIFS(Cast!C:C,CastElements,A797)</f>
        <v>1</v>
      </c>
      <c r="H797" s="106" t="str">
        <f t="shared" si="4"/>
        <v>0</v>
      </c>
      <c r="I797" s="106" t="str">
        <f>SUMIFS(Del!C:C,Del!B:B,A797)</f>
        <v>1</v>
      </c>
      <c r="J797" s="106" t="str">
        <f t="shared" si="5"/>
        <v>0</v>
      </c>
      <c r="K797" s="106" t="str">
        <f t="shared" si="6"/>
        <v>0</v>
      </c>
      <c r="L797" s="106"/>
      <c r="M797" s="106" t="str">
        <f>SUMIFS(Ere!C:C,Ere!B:B,A797)</f>
        <v>1</v>
      </c>
      <c r="N797" s="106" t="str">
        <f t="shared" si="7"/>
        <v>0</v>
      </c>
      <c r="O797" s="107" t="str">
        <f t="array" ref="O797">XLOOKUP(A797,Data!F:F,Data!O:O)</f>
        <v>  1.55 </v>
      </c>
      <c r="P797" s="107" t="str">
        <f t="shared" si="8"/>
        <v>  3.87 </v>
      </c>
      <c r="Q797" s="27"/>
    </row>
    <row r="798" ht="15.75" customHeight="1">
      <c r="A798" s="109" t="s">
        <v>1042</v>
      </c>
      <c r="B798" s="19" t="str">
        <f t="array" ref="B798">XLOOKUP(A798,Data!F:F,Data!G:G)</f>
        <v>J1A</v>
      </c>
      <c r="C798" s="19" t="str">
        <f t="shared" si="3"/>
        <v>J118</v>
      </c>
      <c r="D798" s="19" t="str">
        <f t="array" ref="D798">XLOOKUP(A798,Data!F:F,Data!C:C)</f>
        <v/>
      </c>
      <c r="E798" s="19" t="str">
        <f t="array" ref="E798">XLOOKUP(A798,Data!F:F,Data!H:H)</f>
        <v>BW</v>
      </c>
      <c r="F798" s="106" t="str">
        <f>SUMIFS(Data!J:J,Data!F:F,A798)</f>
        <v>1</v>
      </c>
      <c r="G798" s="106" t="str">
        <f>SUMIFS(Cast!C:C,CastElements,A798)</f>
        <v>1</v>
      </c>
      <c r="H798" s="106" t="str">
        <f t="shared" si="4"/>
        <v>0</v>
      </c>
      <c r="I798" s="106" t="str">
        <f>SUMIFS(Del!C:C,Del!B:B,A798)</f>
        <v>0</v>
      </c>
      <c r="J798" s="106" t="str">
        <f t="shared" si="5"/>
        <v>1</v>
      </c>
      <c r="K798" s="106" t="str">
        <f t="shared" si="6"/>
        <v>1</v>
      </c>
      <c r="L798" s="106"/>
      <c r="M798" s="106" t="str">
        <f>SUMIFS(Ere!C:C,Ere!B:B,A798)</f>
        <v>0</v>
      </c>
      <c r="N798" s="106" t="str">
        <f t="shared" si="7"/>
        <v>1</v>
      </c>
      <c r="O798" s="107" t="str">
        <f t="array" ref="O798">XLOOKUP(A798,Data!F:F,Data!O:O)</f>
        <v>  2.31 </v>
      </c>
      <c r="P798" s="107" t="str">
        <f t="shared" si="8"/>
        <v>  5.78 </v>
      </c>
      <c r="Q798" s="27"/>
    </row>
    <row r="799" ht="15.75" customHeight="1">
      <c r="A799" s="109" t="s">
        <v>1043</v>
      </c>
      <c r="B799" s="19" t="str">
        <f t="array" ref="B799">XLOOKUP(A799,Data!F:F,Data!G:G)</f>
        <v>J1A</v>
      </c>
      <c r="C799" s="19" t="str">
        <f t="shared" si="3"/>
        <v>J118</v>
      </c>
      <c r="D799" s="19" t="str">
        <f t="array" ref="D799">XLOOKUP(A799,Data!F:F,Data!C:C)</f>
        <v/>
      </c>
      <c r="E799" s="19" t="str">
        <f t="array" ref="E799">XLOOKUP(A799,Data!F:F,Data!H:H)</f>
        <v>BW</v>
      </c>
      <c r="F799" s="106" t="str">
        <f>SUMIFS(Data!J:J,Data!F:F,A799)</f>
        <v>1</v>
      </c>
      <c r="G799" s="106" t="str">
        <f>SUMIFS(Cast!C:C,CastElements,A799)</f>
        <v>1</v>
      </c>
      <c r="H799" s="106" t="str">
        <f t="shared" si="4"/>
        <v>0</v>
      </c>
      <c r="I799" s="106" t="str">
        <f>SUMIFS(Del!C:C,Del!B:B,A799)</f>
        <v>1</v>
      </c>
      <c r="J799" s="106" t="str">
        <f t="shared" si="5"/>
        <v>0</v>
      </c>
      <c r="K799" s="106" t="str">
        <f t="shared" si="6"/>
        <v>0</v>
      </c>
      <c r="L799" s="106"/>
      <c r="M799" s="106" t="str">
        <f>SUMIFS(Ere!C:C,Ere!B:B,A799)</f>
        <v>1</v>
      </c>
      <c r="N799" s="106" t="str">
        <f t="shared" si="7"/>
        <v>0</v>
      </c>
      <c r="O799" s="107" t="str">
        <f t="array" ref="O799">XLOOKUP(A799,Data!F:F,Data!O:O)</f>
        <v>  2.28 </v>
      </c>
      <c r="P799" s="107" t="str">
        <f t="shared" si="8"/>
        <v>  5.70 </v>
      </c>
      <c r="Q799" s="27"/>
    </row>
    <row r="800" ht="15.75" customHeight="1">
      <c r="A800" s="109" t="s">
        <v>1044</v>
      </c>
      <c r="B800" s="19" t="str">
        <f t="array" ref="B800">XLOOKUP(A800,Data!F:F,Data!G:G)</f>
        <v>J1A</v>
      </c>
      <c r="C800" s="19" t="str">
        <f t="shared" si="3"/>
        <v>J118</v>
      </c>
      <c r="D800" s="19" t="str">
        <f t="array" ref="D800">XLOOKUP(A800,Data!F:F,Data!C:C)</f>
        <v/>
      </c>
      <c r="E800" s="19" t="str">
        <f t="array" ref="E800">XLOOKUP(A800,Data!F:F,Data!H:H)</f>
        <v>BW</v>
      </c>
      <c r="F800" s="106" t="str">
        <f>SUMIFS(Data!J:J,Data!F:F,A800)</f>
        <v>1</v>
      </c>
      <c r="G800" s="106" t="str">
        <f>SUMIFS(Cast!C:C,CastElements,A800)</f>
        <v>1</v>
      </c>
      <c r="H800" s="106" t="str">
        <f t="shared" si="4"/>
        <v>0</v>
      </c>
      <c r="I800" s="106" t="str">
        <f>SUMIFS(Del!C:C,Del!B:B,A800)</f>
        <v>1</v>
      </c>
      <c r="J800" s="106" t="str">
        <f t="shared" si="5"/>
        <v>0</v>
      </c>
      <c r="K800" s="106" t="str">
        <f t="shared" si="6"/>
        <v>0</v>
      </c>
      <c r="L800" s="106"/>
      <c r="M800" s="106" t="str">
        <f>SUMIFS(Ere!C:C,Ere!B:B,A800)</f>
        <v>1</v>
      </c>
      <c r="N800" s="106" t="str">
        <f t="shared" si="7"/>
        <v>0</v>
      </c>
      <c r="O800" s="107" t="str">
        <f t="array" ref="O800">XLOOKUP(A800,Data!F:F,Data!O:O)</f>
        <v>  2.28 </v>
      </c>
      <c r="P800" s="107" t="str">
        <f t="shared" si="8"/>
        <v>  5.70 </v>
      </c>
      <c r="Q800" s="27"/>
    </row>
    <row r="801" ht="15.75" customHeight="1">
      <c r="A801" s="109" t="s">
        <v>1045</v>
      </c>
      <c r="B801" s="19" t="str">
        <f t="array" ref="B801">XLOOKUP(A801,Data!F:F,Data!G:G)</f>
        <v>J1A</v>
      </c>
      <c r="C801" s="19" t="str">
        <f t="shared" si="3"/>
        <v>J118</v>
      </c>
      <c r="D801" s="19" t="str">
        <f t="array" ref="D801">XLOOKUP(A801,Data!F:F,Data!C:C)</f>
        <v/>
      </c>
      <c r="E801" s="19" t="str">
        <f t="array" ref="E801">XLOOKUP(A801,Data!F:F,Data!H:H)</f>
        <v>BW</v>
      </c>
      <c r="F801" s="106" t="str">
        <f>SUMIFS(Data!J:J,Data!F:F,A801)</f>
        <v>1</v>
      </c>
      <c r="G801" s="106" t="str">
        <f>SUMIFS(Cast!C:C,CastElements,A801)</f>
        <v>1</v>
      </c>
      <c r="H801" s="106" t="str">
        <f t="shared" si="4"/>
        <v>0</v>
      </c>
      <c r="I801" s="106" t="str">
        <f>SUMIFS(Del!C:C,Del!B:B,A801)</f>
        <v>1</v>
      </c>
      <c r="J801" s="106" t="str">
        <f t="shared" si="5"/>
        <v>0</v>
      </c>
      <c r="K801" s="106" t="str">
        <f t="shared" si="6"/>
        <v>0</v>
      </c>
      <c r="L801" s="106"/>
      <c r="M801" s="106" t="str">
        <f>SUMIFS(Ere!C:C,Ere!B:B,A801)</f>
        <v>1</v>
      </c>
      <c r="N801" s="106" t="str">
        <f t="shared" si="7"/>
        <v>0</v>
      </c>
      <c r="O801" s="107" t="str">
        <f t="array" ref="O801">XLOOKUP(A801,Data!F:F,Data!O:O)</f>
        <v>  1.94 </v>
      </c>
      <c r="P801" s="107" t="str">
        <f t="shared" si="8"/>
        <v>  4.86 </v>
      </c>
      <c r="Q801" s="27"/>
    </row>
    <row r="802" ht="15.75" customHeight="1">
      <c r="A802" s="105" t="s">
        <v>1046</v>
      </c>
      <c r="B802" s="19" t="str">
        <f t="array" ref="B802">XLOOKUP(A802,Data!F:F,Data!G:G)</f>
        <v>J1A</v>
      </c>
      <c r="C802" s="19" t="str">
        <f t="shared" si="3"/>
        <v>J118</v>
      </c>
      <c r="D802" s="19" t="str">
        <f t="array" ref="D802">XLOOKUP(A802,Data!F:F,Data!C:C)</f>
        <v>EXT</v>
      </c>
      <c r="E802" s="19" t="str">
        <f t="array" ref="E802">XLOOKUP(A802,Data!F:F,Data!H:H)</f>
        <v>BW</v>
      </c>
      <c r="F802" s="106" t="str">
        <f>SUMIFS(Data!J:J,Data!F:F,A802)</f>
        <v>1</v>
      </c>
      <c r="G802" s="106" t="str">
        <f>SUMIFS(Cast!C:C,CastElements,A802)</f>
        <v>1</v>
      </c>
      <c r="H802" s="106" t="str">
        <f t="shared" si="4"/>
        <v>0</v>
      </c>
      <c r="I802" s="106" t="str">
        <f>SUMIFS(Del!C:C,Del!B:B,A802)</f>
        <v>0</v>
      </c>
      <c r="J802" s="106" t="str">
        <f t="shared" si="5"/>
        <v>1</v>
      </c>
      <c r="K802" s="106" t="str">
        <f t="shared" si="6"/>
        <v>1</v>
      </c>
      <c r="L802" s="106"/>
      <c r="M802" s="106" t="str">
        <f>SUMIFS(Ere!C:C,Ere!B:B,A802)</f>
        <v>0</v>
      </c>
      <c r="N802" s="106" t="str">
        <f t="shared" si="7"/>
        <v>1</v>
      </c>
      <c r="O802" s="107" t="str">
        <f t="array" ref="O802">XLOOKUP(A802,Data!F:F,Data!O:O)</f>
        <v>  0.53 </v>
      </c>
      <c r="P802" s="107" t="str">
        <f t="shared" si="8"/>
        <v>  1.32 </v>
      </c>
      <c r="Q802" s="27"/>
    </row>
    <row r="803" ht="15.75" customHeight="1">
      <c r="A803" s="105" t="s">
        <v>1047</v>
      </c>
      <c r="B803" s="19" t="str">
        <f t="array" ref="B803">XLOOKUP(A803,Data!F:F,Data!G:G)</f>
        <v>J1A</v>
      </c>
      <c r="C803" s="19" t="str">
        <f t="shared" si="3"/>
        <v>J118</v>
      </c>
      <c r="D803" s="19" t="str">
        <f t="array" ref="D803">XLOOKUP(A803,Data!F:F,Data!C:C)</f>
        <v>EXT</v>
      </c>
      <c r="E803" s="19" t="str">
        <f t="array" ref="E803">XLOOKUP(A803,Data!F:F,Data!H:H)</f>
        <v>BW</v>
      </c>
      <c r="F803" s="106" t="str">
        <f>SUMIFS(Data!J:J,Data!F:F,A803)</f>
        <v>1</v>
      </c>
      <c r="G803" s="106" t="str">
        <f>SUMIFS(Cast!C:C,CastElements,A803)</f>
        <v>1</v>
      </c>
      <c r="H803" s="106" t="str">
        <f t="shared" si="4"/>
        <v>0</v>
      </c>
      <c r="I803" s="106" t="str">
        <f>SUMIFS(Del!C:C,Del!B:B,A803)</f>
        <v>0</v>
      </c>
      <c r="J803" s="106" t="str">
        <f t="shared" si="5"/>
        <v>1</v>
      </c>
      <c r="K803" s="106" t="str">
        <f t="shared" si="6"/>
        <v>1</v>
      </c>
      <c r="L803" s="106"/>
      <c r="M803" s="106" t="str">
        <f>SUMIFS(Ere!C:C,Ere!B:B,A803)</f>
        <v>0</v>
      </c>
      <c r="N803" s="106" t="str">
        <f t="shared" si="7"/>
        <v>1</v>
      </c>
      <c r="O803" s="107" t="str">
        <f t="array" ref="O803">XLOOKUP(A803,Data!F:F,Data!O:O)</f>
        <v>  0.55 </v>
      </c>
      <c r="P803" s="107" t="str">
        <f t="shared" si="8"/>
        <v>  1.39 </v>
      </c>
      <c r="Q803" s="27"/>
    </row>
    <row r="804" ht="15.75" customHeight="1">
      <c r="A804" s="105" t="s">
        <v>1048</v>
      </c>
      <c r="B804" s="19" t="str">
        <f t="array" ref="B804">XLOOKUP(A804,Data!F:F,Data!G:G)</f>
        <v>J1A</v>
      </c>
      <c r="C804" s="19" t="str">
        <f t="shared" si="3"/>
        <v>J118</v>
      </c>
      <c r="D804" s="19" t="str">
        <f t="array" ref="D804">XLOOKUP(A804,Data!F:F,Data!C:C)</f>
        <v>EXT</v>
      </c>
      <c r="E804" s="19" t="str">
        <f t="array" ref="E804">XLOOKUP(A804,Data!F:F,Data!H:H)</f>
        <v>BW</v>
      </c>
      <c r="F804" s="106" t="str">
        <f>SUMIFS(Data!J:J,Data!F:F,A804)</f>
        <v>1</v>
      </c>
      <c r="G804" s="106" t="str">
        <f>SUMIFS(Cast!C:C,CastElements,A804)</f>
        <v>1</v>
      </c>
      <c r="H804" s="106" t="str">
        <f t="shared" si="4"/>
        <v>0</v>
      </c>
      <c r="I804" s="106" t="str">
        <f>SUMIFS(Del!C:C,Del!B:B,A804)</f>
        <v>0</v>
      </c>
      <c r="J804" s="106" t="str">
        <f t="shared" si="5"/>
        <v>1</v>
      </c>
      <c r="K804" s="106" t="str">
        <f t="shared" si="6"/>
        <v>1</v>
      </c>
      <c r="L804" s="106"/>
      <c r="M804" s="106" t="str">
        <f>SUMIFS(Ere!C:C,Ere!B:B,A804)</f>
        <v>0</v>
      </c>
      <c r="N804" s="106" t="str">
        <f t="shared" si="7"/>
        <v>1</v>
      </c>
      <c r="O804" s="107" t="str">
        <f t="array" ref="O804">XLOOKUP(A804,Data!F:F,Data!O:O)</f>
        <v>  0.55 </v>
      </c>
      <c r="P804" s="107" t="str">
        <f t="shared" si="8"/>
        <v>  1.39 </v>
      </c>
      <c r="Q804" s="27"/>
    </row>
    <row r="805" ht="15.75" customHeight="1">
      <c r="A805" s="105" t="s">
        <v>1049</v>
      </c>
      <c r="B805" s="19" t="str">
        <f t="array" ref="B805">XLOOKUP(A805,Data!F:F,Data!G:G)</f>
        <v>J1A</v>
      </c>
      <c r="C805" s="19" t="str">
        <f t="shared" si="3"/>
        <v>J118</v>
      </c>
      <c r="D805" s="19" t="str">
        <f t="array" ref="D805">XLOOKUP(A805,Data!F:F,Data!C:C)</f>
        <v>EXT</v>
      </c>
      <c r="E805" s="19" t="str">
        <f t="array" ref="E805">XLOOKUP(A805,Data!F:F,Data!H:H)</f>
        <v>BW</v>
      </c>
      <c r="F805" s="106" t="str">
        <f>SUMIFS(Data!J:J,Data!F:F,A805)</f>
        <v>1</v>
      </c>
      <c r="G805" s="106" t="str">
        <f>SUMIFS(Cast!C:C,CastElements,A805)</f>
        <v>1</v>
      </c>
      <c r="H805" s="106" t="str">
        <f t="shared" si="4"/>
        <v>0</v>
      </c>
      <c r="I805" s="106" t="str">
        <f>SUMIFS(Del!C:C,Del!B:B,A805)</f>
        <v>0</v>
      </c>
      <c r="J805" s="106" t="str">
        <f t="shared" si="5"/>
        <v>1</v>
      </c>
      <c r="K805" s="106" t="str">
        <f t="shared" si="6"/>
        <v>1</v>
      </c>
      <c r="L805" s="106"/>
      <c r="M805" s="106" t="str">
        <f>SUMIFS(Ere!C:C,Ere!B:B,A805)</f>
        <v>0</v>
      </c>
      <c r="N805" s="106" t="str">
        <f t="shared" si="7"/>
        <v>1</v>
      </c>
      <c r="O805" s="107" t="str">
        <f t="array" ref="O805">XLOOKUP(A805,Data!F:F,Data!O:O)</f>
        <v>  0.55 </v>
      </c>
      <c r="P805" s="107" t="str">
        <f t="shared" si="8"/>
        <v>  1.39 </v>
      </c>
      <c r="Q805" s="27"/>
    </row>
    <row r="806" ht="15.75" customHeight="1">
      <c r="A806" s="105" t="s">
        <v>1050</v>
      </c>
      <c r="B806" s="19" t="str">
        <f t="array" ref="B806">XLOOKUP(A806,Data!F:F,Data!G:G)</f>
        <v>J1A</v>
      </c>
      <c r="C806" s="19" t="str">
        <f t="shared" si="3"/>
        <v>J118</v>
      </c>
      <c r="D806" s="19" t="str">
        <f t="array" ref="D806">XLOOKUP(A806,Data!F:F,Data!C:C)</f>
        <v>EXT</v>
      </c>
      <c r="E806" s="19" t="str">
        <f t="array" ref="E806">XLOOKUP(A806,Data!F:F,Data!H:H)</f>
        <v>BW</v>
      </c>
      <c r="F806" s="106" t="str">
        <f>SUMIFS(Data!J:J,Data!F:F,A806)</f>
        <v>1</v>
      </c>
      <c r="G806" s="106" t="str">
        <f>SUMIFS(Cast!C:C,CastElements,A806)</f>
        <v>1</v>
      </c>
      <c r="H806" s="106" t="str">
        <f t="shared" si="4"/>
        <v>0</v>
      </c>
      <c r="I806" s="106" t="str">
        <f>SUMIFS(Del!C:C,Del!B:B,A806)</f>
        <v>0</v>
      </c>
      <c r="J806" s="106" t="str">
        <f t="shared" si="5"/>
        <v>1</v>
      </c>
      <c r="K806" s="106" t="str">
        <f t="shared" si="6"/>
        <v>1</v>
      </c>
      <c r="L806" s="106"/>
      <c r="M806" s="106" t="str">
        <f>SUMIFS(Ere!C:C,Ere!B:B,A806)</f>
        <v>0</v>
      </c>
      <c r="N806" s="106" t="str">
        <f t="shared" si="7"/>
        <v>1</v>
      </c>
      <c r="O806" s="107" t="str">
        <f t="array" ref="O806">XLOOKUP(A806,Data!F:F,Data!O:O)</f>
        <v>  0.55 </v>
      </c>
      <c r="P806" s="107" t="str">
        <f t="shared" si="8"/>
        <v>  1.39 </v>
      </c>
      <c r="Q806" s="27"/>
    </row>
    <row r="807" ht="15.75" customHeight="1">
      <c r="A807" s="105" t="s">
        <v>1051</v>
      </c>
      <c r="B807" s="19" t="str">
        <f t="array" ref="B807">XLOOKUP(A807,Data!F:F,Data!G:G)</f>
        <v>J1A</v>
      </c>
      <c r="C807" s="19" t="str">
        <f t="shared" si="3"/>
        <v>J118</v>
      </c>
      <c r="D807" s="19" t="str">
        <f t="array" ref="D807">XLOOKUP(A807,Data!F:F,Data!C:C)</f>
        <v>EXT</v>
      </c>
      <c r="E807" s="19" t="str">
        <f t="array" ref="E807">XLOOKUP(A807,Data!F:F,Data!H:H)</f>
        <v>BW</v>
      </c>
      <c r="F807" s="106" t="str">
        <f>SUMIFS(Data!J:J,Data!F:F,A807)</f>
        <v>1</v>
      </c>
      <c r="G807" s="106" t="str">
        <f>SUMIFS(Cast!C:C,CastElements,A807)</f>
        <v>1</v>
      </c>
      <c r="H807" s="106" t="str">
        <f t="shared" si="4"/>
        <v>0</v>
      </c>
      <c r="I807" s="106" t="str">
        <f>SUMIFS(Del!C:C,Del!B:B,A807)</f>
        <v>0</v>
      </c>
      <c r="J807" s="106" t="str">
        <f t="shared" si="5"/>
        <v>1</v>
      </c>
      <c r="K807" s="106" t="str">
        <f t="shared" si="6"/>
        <v>1</v>
      </c>
      <c r="L807" s="106"/>
      <c r="M807" s="106" t="str">
        <f>SUMIFS(Ere!C:C,Ere!B:B,A807)</f>
        <v>0</v>
      </c>
      <c r="N807" s="106" t="str">
        <f t="shared" si="7"/>
        <v>1</v>
      </c>
      <c r="O807" s="107" t="str">
        <f t="array" ref="O807">XLOOKUP(A807,Data!F:F,Data!O:O)</f>
        <v>  0.55 </v>
      </c>
      <c r="P807" s="107" t="str">
        <f t="shared" si="8"/>
        <v>  1.39 </v>
      </c>
      <c r="Q807" s="27"/>
    </row>
    <row r="808" ht="15.75" customHeight="1">
      <c r="A808" s="105" t="s">
        <v>1052</v>
      </c>
      <c r="B808" s="19" t="str">
        <f t="array" ref="B808">XLOOKUP(A808,Data!F:F,Data!G:G)</f>
        <v>J1A</v>
      </c>
      <c r="C808" s="19" t="str">
        <f t="shared" si="3"/>
        <v>J118</v>
      </c>
      <c r="D808" s="19" t="str">
        <f t="array" ref="D808">XLOOKUP(A808,Data!F:F,Data!C:C)</f>
        <v>EXT</v>
      </c>
      <c r="E808" s="19" t="str">
        <f t="array" ref="E808">XLOOKUP(A808,Data!F:F,Data!H:H)</f>
        <v>BW</v>
      </c>
      <c r="F808" s="106" t="str">
        <f>SUMIFS(Data!J:J,Data!F:F,A808)</f>
        <v>1</v>
      </c>
      <c r="G808" s="106" t="str">
        <f>SUMIFS(Cast!C:C,CastElements,A808)</f>
        <v>1</v>
      </c>
      <c r="H808" s="106" t="str">
        <f t="shared" si="4"/>
        <v>0</v>
      </c>
      <c r="I808" s="106" t="str">
        <f>SUMIFS(Del!C:C,Del!B:B,A808)</f>
        <v>0</v>
      </c>
      <c r="J808" s="106" t="str">
        <f t="shared" si="5"/>
        <v>1</v>
      </c>
      <c r="K808" s="106" t="str">
        <f t="shared" si="6"/>
        <v>1</v>
      </c>
      <c r="L808" s="106"/>
      <c r="M808" s="106" t="str">
        <f>SUMIFS(Ere!C:C,Ere!B:B,A808)</f>
        <v>0</v>
      </c>
      <c r="N808" s="106" t="str">
        <f t="shared" si="7"/>
        <v>1</v>
      </c>
      <c r="O808" s="107" t="str">
        <f t="array" ref="O808">XLOOKUP(A808,Data!F:F,Data!O:O)</f>
        <v>  0.55 </v>
      </c>
      <c r="P808" s="107" t="str">
        <f t="shared" si="8"/>
        <v>  1.39 </v>
      </c>
      <c r="Q808" s="27"/>
    </row>
    <row r="809" ht="15.75" customHeight="1">
      <c r="A809" s="105" t="s">
        <v>1053</v>
      </c>
      <c r="B809" s="19" t="str">
        <f t="array" ref="B809">XLOOKUP(A809,Data!F:F,Data!G:G)</f>
        <v>J1A</v>
      </c>
      <c r="C809" s="19" t="str">
        <f t="shared" si="3"/>
        <v>J118</v>
      </c>
      <c r="D809" s="19" t="str">
        <f t="array" ref="D809">XLOOKUP(A809,Data!F:F,Data!C:C)</f>
        <v>EXT</v>
      </c>
      <c r="E809" s="19" t="str">
        <f t="array" ref="E809">XLOOKUP(A809,Data!F:F,Data!H:H)</f>
        <v>BW</v>
      </c>
      <c r="F809" s="106" t="str">
        <f>SUMIFS(Data!J:J,Data!F:F,A809)</f>
        <v>1</v>
      </c>
      <c r="G809" s="106" t="str">
        <f>SUMIFS(Cast!C:C,CastElements,A809)</f>
        <v>1</v>
      </c>
      <c r="H809" s="106" t="str">
        <f t="shared" si="4"/>
        <v>0</v>
      </c>
      <c r="I809" s="106" t="str">
        <f>SUMIFS(Del!C:C,Del!B:B,A809)</f>
        <v>0</v>
      </c>
      <c r="J809" s="106" t="str">
        <f t="shared" si="5"/>
        <v>1</v>
      </c>
      <c r="K809" s="106" t="str">
        <f t="shared" si="6"/>
        <v>1</v>
      </c>
      <c r="L809" s="106"/>
      <c r="M809" s="106" t="str">
        <f>SUMIFS(Ere!C:C,Ere!B:B,A809)</f>
        <v>0</v>
      </c>
      <c r="N809" s="106" t="str">
        <f t="shared" si="7"/>
        <v>1</v>
      </c>
      <c r="O809" s="107" t="str">
        <f t="array" ref="O809">XLOOKUP(A809,Data!F:F,Data!O:O)</f>
        <v>  0.51 </v>
      </c>
      <c r="P809" s="107" t="str">
        <f t="shared" si="8"/>
        <v>  1.28 </v>
      </c>
      <c r="Q809" s="27"/>
    </row>
    <row r="810" ht="15.75" customHeight="1">
      <c r="A810" s="105" t="s">
        <v>1054</v>
      </c>
      <c r="B810" s="19" t="str">
        <f t="array" ref="B810">XLOOKUP(A810,Data!F:F,Data!G:G)</f>
        <v>J1A</v>
      </c>
      <c r="C810" s="19" t="str">
        <f t="shared" si="3"/>
        <v>J118</v>
      </c>
      <c r="D810" s="19" t="str">
        <f t="array" ref="D810">XLOOKUP(A810,Data!F:F,Data!C:C)</f>
        <v>EXT</v>
      </c>
      <c r="E810" s="19" t="str">
        <f t="array" ref="E810">XLOOKUP(A810,Data!F:F,Data!H:H)</f>
        <v>BW</v>
      </c>
      <c r="F810" s="106" t="str">
        <f>SUMIFS(Data!J:J,Data!F:F,A810)</f>
        <v>1</v>
      </c>
      <c r="G810" s="106" t="str">
        <f>SUMIFS(Cast!C:C,CastElements,A810)</f>
        <v>1</v>
      </c>
      <c r="H810" s="106" t="str">
        <f t="shared" si="4"/>
        <v>0</v>
      </c>
      <c r="I810" s="106" t="str">
        <f>SUMIFS(Del!C:C,Del!B:B,A810)</f>
        <v>0</v>
      </c>
      <c r="J810" s="106" t="str">
        <f t="shared" si="5"/>
        <v>1</v>
      </c>
      <c r="K810" s="106" t="str">
        <f t="shared" si="6"/>
        <v>1</v>
      </c>
      <c r="L810" s="106"/>
      <c r="M810" s="106" t="str">
        <f>SUMIFS(Ere!C:C,Ere!B:B,A810)</f>
        <v>0</v>
      </c>
      <c r="N810" s="106" t="str">
        <f t="shared" si="7"/>
        <v>1</v>
      </c>
      <c r="O810" s="107" t="str">
        <f t="array" ref="O810">XLOOKUP(A810,Data!F:F,Data!O:O)</f>
        <v>  0.51 </v>
      </c>
      <c r="P810" s="107" t="str">
        <f t="shared" si="8"/>
        <v>  1.28 </v>
      </c>
      <c r="Q810" s="27"/>
    </row>
    <row r="811" ht="15.75" customHeight="1">
      <c r="A811" s="105" t="s">
        <v>1055</v>
      </c>
      <c r="B811" s="19" t="str">
        <f t="array" ref="B811">XLOOKUP(A811,Data!F:F,Data!G:G)</f>
        <v>J1A</v>
      </c>
      <c r="C811" s="19" t="str">
        <f t="shared" si="3"/>
        <v>J118</v>
      </c>
      <c r="D811" s="19" t="str">
        <f t="array" ref="D811">XLOOKUP(A811,Data!F:F,Data!C:C)</f>
        <v>EXT</v>
      </c>
      <c r="E811" s="19" t="str">
        <f t="array" ref="E811">XLOOKUP(A811,Data!F:F,Data!H:H)</f>
        <v>BW</v>
      </c>
      <c r="F811" s="106" t="str">
        <f>SUMIFS(Data!J:J,Data!F:F,A811)</f>
        <v>1</v>
      </c>
      <c r="G811" s="106" t="str">
        <f>SUMIFS(Cast!C:C,CastElements,A811)</f>
        <v>1</v>
      </c>
      <c r="H811" s="106" t="str">
        <f t="shared" si="4"/>
        <v>0</v>
      </c>
      <c r="I811" s="106" t="str">
        <f>SUMIFS(Del!C:C,Del!B:B,A811)</f>
        <v>0</v>
      </c>
      <c r="J811" s="106" t="str">
        <f t="shared" si="5"/>
        <v>1</v>
      </c>
      <c r="K811" s="106" t="str">
        <f t="shared" si="6"/>
        <v>1</v>
      </c>
      <c r="L811" s="106"/>
      <c r="M811" s="106" t="str">
        <f>SUMIFS(Ere!C:C,Ere!B:B,A811)</f>
        <v>0</v>
      </c>
      <c r="N811" s="106" t="str">
        <f t="shared" si="7"/>
        <v>1</v>
      </c>
      <c r="O811" s="107" t="str">
        <f t="array" ref="O811">XLOOKUP(A811,Data!F:F,Data!O:O)</f>
        <v>  0.51 </v>
      </c>
      <c r="P811" s="107" t="str">
        <f t="shared" si="8"/>
        <v>  1.28 </v>
      </c>
      <c r="Q811" s="27"/>
    </row>
    <row r="812" ht="15.75" customHeight="1">
      <c r="A812" s="105" t="s">
        <v>1056</v>
      </c>
      <c r="B812" s="19" t="str">
        <f t="array" ref="B812">XLOOKUP(A812,Data!F:F,Data!G:G)</f>
        <v>J1A</v>
      </c>
      <c r="C812" s="19" t="str">
        <f t="shared" si="3"/>
        <v>J118</v>
      </c>
      <c r="D812" s="19" t="str">
        <f t="array" ref="D812">XLOOKUP(A812,Data!F:F,Data!C:C)</f>
        <v>EXT</v>
      </c>
      <c r="E812" s="19" t="str">
        <f t="array" ref="E812">XLOOKUP(A812,Data!F:F,Data!H:H)</f>
        <v>BW</v>
      </c>
      <c r="F812" s="106" t="str">
        <f>SUMIFS(Data!J:J,Data!F:F,A812)</f>
        <v>1</v>
      </c>
      <c r="G812" s="106" t="str">
        <f>SUMIFS(Cast!C:C,CastElements,A812)</f>
        <v>1</v>
      </c>
      <c r="H812" s="106" t="str">
        <f t="shared" si="4"/>
        <v>0</v>
      </c>
      <c r="I812" s="106" t="str">
        <f>SUMIFS(Del!C:C,Del!B:B,A812)</f>
        <v>0</v>
      </c>
      <c r="J812" s="106" t="str">
        <f t="shared" si="5"/>
        <v>1</v>
      </c>
      <c r="K812" s="106" t="str">
        <f t="shared" si="6"/>
        <v>1</v>
      </c>
      <c r="L812" s="106"/>
      <c r="M812" s="106" t="str">
        <f>SUMIFS(Ere!C:C,Ere!B:B,A812)</f>
        <v>0</v>
      </c>
      <c r="N812" s="106" t="str">
        <f t="shared" si="7"/>
        <v>1</v>
      </c>
      <c r="O812" s="107" t="str">
        <f t="array" ref="O812">XLOOKUP(A812,Data!F:F,Data!O:O)</f>
        <v>  0.51 </v>
      </c>
      <c r="P812" s="107" t="str">
        <f t="shared" si="8"/>
        <v>  1.28 </v>
      </c>
      <c r="Q812" s="27"/>
    </row>
    <row r="813" ht="15.75" customHeight="1">
      <c r="A813" s="105" t="s">
        <v>1057</v>
      </c>
      <c r="B813" s="19" t="str">
        <f t="array" ref="B813">XLOOKUP(A813,Data!F:F,Data!G:G)</f>
        <v>J1A</v>
      </c>
      <c r="C813" s="19" t="str">
        <f t="shared" si="3"/>
        <v>J118</v>
      </c>
      <c r="D813" s="19" t="str">
        <f t="array" ref="D813">XLOOKUP(A813,Data!F:F,Data!C:C)</f>
        <v>EXT</v>
      </c>
      <c r="E813" s="19" t="str">
        <f t="array" ref="E813">XLOOKUP(A813,Data!F:F,Data!H:H)</f>
        <v>BW</v>
      </c>
      <c r="F813" s="106" t="str">
        <f>SUMIFS(Data!J:J,Data!F:F,A813)</f>
        <v>1</v>
      </c>
      <c r="G813" s="106" t="str">
        <f>SUMIFS(Cast!C:C,CastElements,A813)</f>
        <v>1</v>
      </c>
      <c r="H813" s="106" t="str">
        <f t="shared" si="4"/>
        <v>0</v>
      </c>
      <c r="I813" s="106" t="str">
        <f>SUMIFS(Del!C:C,Del!B:B,A813)</f>
        <v>0</v>
      </c>
      <c r="J813" s="106" t="str">
        <f t="shared" si="5"/>
        <v>1</v>
      </c>
      <c r="K813" s="106" t="str">
        <f t="shared" si="6"/>
        <v>1</v>
      </c>
      <c r="L813" s="106"/>
      <c r="M813" s="106" t="str">
        <f>SUMIFS(Ere!C:C,Ere!B:B,A813)</f>
        <v>0</v>
      </c>
      <c r="N813" s="106" t="str">
        <f t="shared" si="7"/>
        <v>1</v>
      </c>
      <c r="O813" s="107" t="str">
        <f t="array" ref="O813">XLOOKUP(A813,Data!F:F,Data!O:O)</f>
        <v>  0.51 </v>
      </c>
      <c r="P813" s="107" t="str">
        <f t="shared" si="8"/>
        <v>  1.28 </v>
      </c>
      <c r="Q813" s="27"/>
    </row>
    <row r="814" ht="15.75" customHeight="1">
      <c r="A814" s="105" t="s">
        <v>1058</v>
      </c>
      <c r="B814" s="19" t="str">
        <f t="array" ref="B814">XLOOKUP(A814,Data!F:F,Data!G:G)</f>
        <v>J1A</v>
      </c>
      <c r="C814" s="19" t="str">
        <f t="shared" si="3"/>
        <v>J118</v>
      </c>
      <c r="D814" s="19" t="str">
        <f t="array" ref="D814">XLOOKUP(A814,Data!F:F,Data!C:C)</f>
        <v>EXT</v>
      </c>
      <c r="E814" s="19" t="str">
        <f t="array" ref="E814">XLOOKUP(A814,Data!F:F,Data!H:H)</f>
        <v>BW</v>
      </c>
      <c r="F814" s="106" t="str">
        <f>SUMIFS(Data!J:J,Data!F:F,A814)</f>
        <v>1</v>
      </c>
      <c r="G814" s="106" t="str">
        <f>SUMIFS(Cast!C:C,CastElements,A814)</f>
        <v>1</v>
      </c>
      <c r="H814" s="106" t="str">
        <f t="shared" si="4"/>
        <v>0</v>
      </c>
      <c r="I814" s="106" t="str">
        <f>SUMIFS(Del!C:C,Del!B:B,A814)</f>
        <v>0</v>
      </c>
      <c r="J814" s="106" t="str">
        <f t="shared" si="5"/>
        <v>1</v>
      </c>
      <c r="K814" s="106" t="str">
        <f t="shared" si="6"/>
        <v>1</v>
      </c>
      <c r="L814" s="106"/>
      <c r="M814" s="106" t="str">
        <f>SUMIFS(Ere!C:C,Ere!B:B,A814)</f>
        <v>0</v>
      </c>
      <c r="N814" s="106" t="str">
        <f t="shared" si="7"/>
        <v>1</v>
      </c>
      <c r="O814" s="107" t="str">
        <f t="array" ref="O814">XLOOKUP(A814,Data!F:F,Data!O:O)</f>
        <v>  0.84 </v>
      </c>
      <c r="P814" s="107" t="str">
        <f t="shared" si="8"/>
        <v>  2.09 </v>
      </c>
      <c r="Q814" s="27"/>
    </row>
    <row r="815" ht="15.75" customHeight="1">
      <c r="A815" s="105" t="s">
        <v>1059</v>
      </c>
      <c r="B815" s="19" t="str">
        <f t="array" ref="B815">XLOOKUP(A815,Data!F:F,Data!G:G)</f>
        <v>J1A</v>
      </c>
      <c r="C815" s="19" t="str">
        <f t="shared" si="3"/>
        <v>J119</v>
      </c>
      <c r="D815" s="19" t="str">
        <f t="array" ref="D815">XLOOKUP(A815,Data!F:F,Data!C:C)</f>
        <v/>
      </c>
      <c r="E815" s="19" t="str">
        <f t="array" ref="E815">XLOOKUP(A815,Data!F:F,Data!H:H)</f>
        <v>BW</v>
      </c>
      <c r="F815" s="106" t="str">
        <f>SUMIFS(Data!J:J,Data!F:F,A815)</f>
        <v>1</v>
      </c>
      <c r="G815" s="106" t="str">
        <f>SUMIFS(Cast!C:C,CastElements,A815)</f>
        <v>1</v>
      </c>
      <c r="H815" s="106" t="str">
        <f t="shared" si="4"/>
        <v>0</v>
      </c>
      <c r="I815" s="106" t="str">
        <f>SUMIFS(Del!C:C,Del!B:B,A815)</f>
        <v>0</v>
      </c>
      <c r="J815" s="106" t="str">
        <f t="shared" si="5"/>
        <v>1</v>
      </c>
      <c r="K815" s="106" t="str">
        <f t="shared" si="6"/>
        <v>1</v>
      </c>
      <c r="L815" s="106"/>
      <c r="M815" s="106" t="str">
        <f>SUMIFS(Ere!C:C,Ere!B:B,A815)</f>
        <v>0</v>
      </c>
      <c r="N815" s="106" t="str">
        <f t="shared" si="7"/>
        <v>1</v>
      </c>
      <c r="O815" s="107" t="str">
        <f t="array" ref="O815">XLOOKUP(A815,Data!F:F,Data!O:O)</f>
        <v>  2.33 </v>
      </c>
      <c r="P815" s="107" t="str">
        <f t="shared" si="8"/>
        <v>  5.82 </v>
      </c>
      <c r="Q815" s="27"/>
    </row>
    <row r="816" ht="15.75" customHeight="1">
      <c r="A816" s="105" t="s">
        <v>1060</v>
      </c>
      <c r="B816" s="19" t="str">
        <f t="array" ref="B816">XLOOKUP(A816,Data!F:F,Data!G:G)</f>
        <v>J1A</v>
      </c>
      <c r="C816" s="19" t="str">
        <f t="shared" si="3"/>
        <v>J119</v>
      </c>
      <c r="D816" s="19" t="str">
        <f t="array" ref="D816">XLOOKUP(A816,Data!F:F,Data!C:C)</f>
        <v/>
      </c>
      <c r="E816" s="19" t="str">
        <f t="array" ref="E816">XLOOKUP(A816,Data!F:F,Data!H:H)</f>
        <v>BW</v>
      </c>
      <c r="F816" s="106" t="str">
        <f>SUMIFS(Data!J:J,Data!F:F,A816)</f>
        <v>1</v>
      </c>
      <c r="G816" s="106" t="str">
        <f>SUMIFS(Cast!C:C,CastElements,A816)</f>
        <v>1</v>
      </c>
      <c r="H816" s="106" t="str">
        <f t="shared" si="4"/>
        <v>0</v>
      </c>
      <c r="I816" s="106" t="str">
        <f>SUMIFS(Del!C:C,Del!B:B,A816)</f>
        <v>1</v>
      </c>
      <c r="J816" s="106" t="str">
        <f t="shared" si="5"/>
        <v>0</v>
      </c>
      <c r="K816" s="106" t="str">
        <f t="shared" si="6"/>
        <v>0</v>
      </c>
      <c r="L816" s="106"/>
      <c r="M816" s="106" t="str">
        <f>SUMIFS(Ere!C:C,Ere!B:B,A816)</f>
        <v>1</v>
      </c>
      <c r="N816" s="106" t="str">
        <f t="shared" si="7"/>
        <v>0</v>
      </c>
      <c r="O816" s="107" t="str">
        <f t="array" ref="O816">XLOOKUP(A816,Data!F:F,Data!O:O)</f>
        <v>  2.73 </v>
      </c>
      <c r="P816" s="107" t="str">
        <f t="shared" si="8"/>
        <v>  6.81 </v>
      </c>
      <c r="Q816" s="27"/>
    </row>
    <row r="817" ht="15.75" customHeight="1">
      <c r="A817" s="105" t="s">
        <v>1061</v>
      </c>
      <c r="B817" s="19" t="str">
        <f t="array" ref="B817">XLOOKUP(A817,Data!F:F,Data!G:G)</f>
        <v>J1A</v>
      </c>
      <c r="C817" s="19" t="str">
        <f t="shared" si="3"/>
        <v>J119</v>
      </c>
      <c r="D817" s="19" t="str">
        <f t="array" ref="D817">XLOOKUP(A817,Data!F:F,Data!C:C)</f>
        <v/>
      </c>
      <c r="E817" s="19" t="str">
        <f t="array" ref="E817">XLOOKUP(A817,Data!F:F,Data!H:H)</f>
        <v>BW</v>
      </c>
      <c r="F817" s="106" t="str">
        <f>SUMIFS(Data!J:J,Data!F:F,A817)</f>
        <v>1</v>
      </c>
      <c r="G817" s="106" t="str">
        <f>SUMIFS(Cast!C:C,CastElements,A817)</f>
        <v>1</v>
      </c>
      <c r="H817" s="106" t="str">
        <f t="shared" si="4"/>
        <v>0</v>
      </c>
      <c r="I817" s="106" t="str">
        <f>SUMIFS(Del!C:C,Del!B:B,A817)</f>
        <v>1</v>
      </c>
      <c r="J817" s="106" t="str">
        <f t="shared" si="5"/>
        <v>0</v>
      </c>
      <c r="K817" s="106" t="str">
        <f t="shared" si="6"/>
        <v>0</v>
      </c>
      <c r="L817" s="106"/>
      <c r="M817" s="106" t="str">
        <f>SUMIFS(Ere!C:C,Ere!B:B,A817)</f>
        <v>0</v>
      </c>
      <c r="N817" s="106" t="str">
        <f t="shared" si="7"/>
        <v>1</v>
      </c>
      <c r="O817" s="107" t="str">
        <f t="array" ref="O817">XLOOKUP(A817,Data!F:F,Data!O:O)</f>
        <v>  2.66 </v>
      </c>
      <c r="P817" s="107" t="str">
        <f t="shared" si="8"/>
        <v>  6.64 </v>
      </c>
      <c r="Q817" s="27"/>
    </row>
    <row r="818" ht="15.75" customHeight="1">
      <c r="A818" s="105" t="s">
        <v>1062</v>
      </c>
      <c r="B818" s="19" t="str">
        <f t="array" ref="B818">XLOOKUP(A818,Data!F:F,Data!G:G)</f>
        <v>J1A</v>
      </c>
      <c r="C818" s="19" t="str">
        <f t="shared" si="3"/>
        <v>J119</v>
      </c>
      <c r="D818" s="19" t="str">
        <f t="array" ref="D818">XLOOKUP(A818,Data!F:F,Data!C:C)</f>
        <v/>
      </c>
      <c r="E818" s="19" t="str">
        <f t="array" ref="E818">XLOOKUP(A818,Data!F:F,Data!H:H)</f>
        <v>BW</v>
      </c>
      <c r="F818" s="106" t="str">
        <f>SUMIFS(Data!J:J,Data!F:F,A818)</f>
        <v>1</v>
      </c>
      <c r="G818" s="106" t="str">
        <f>SUMIFS(Cast!C:C,CastElements,A818)</f>
        <v>1</v>
      </c>
      <c r="H818" s="106" t="str">
        <f t="shared" si="4"/>
        <v>0</v>
      </c>
      <c r="I818" s="106" t="str">
        <f>SUMIFS(Del!C:C,Del!B:B,A818)</f>
        <v>1</v>
      </c>
      <c r="J818" s="106" t="str">
        <f t="shared" si="5"/>
        <v>0</v>
      </c>
      <c r="K818" s="106" t="str">
        <f t="shared" si="6"/>
        <v>0</v>
      </c>
      <c r="L818" s="106"/>
      <c r="M818" s="106" t="str">
        <f>SUMIFS(Ere!C:C,Ere!B:B,A818)</f>
        <v>1</v>
      </c>
      <c r="N818" s="106" t="str">
        <f t="shared" si="7"/>
        <v>0</v>
      </c>
      <c r="O818" s="107" t="str">
        <f t="array" ref="O818">XLOOKUP(A818,Data!F:F,Data!O:O)</f>
        <v>  2.66 </v>
      </c>
      <c r="P818" s="107" t="str">
        <f t="shared" si="8"/>
        <v>  6.64 </v>
      </c>
      <c r="Q818" s="27"/>
    </row>
    <row r="819" ht="15.75" customHeight="1">
      <c r="A819" s="105" t="s">
        <v>1063</v>
      </c>
      <c r="B819" s="19" t="str">
        <f t="array" ref="B819">XLOOKUP(A819,Data!F:F,Data!G:G)</f>
        <v>J1A</v>
      </c>
      <c r="C819" s="19" t="str">
        <f t="shared" si="3"/>
        <v>J119</v>
      </c>
      <c r="D819" s="19" t="str">
        <f t="array" ref="D819">XLOOKUP(A819,Data!F:F,Data!C:C)</f>
        <v/>
      </c>
      <c r="E819" s="19" t="str">
        <f t="array" ref="E819">XLOOKUP(A819,Data!F:F,Data!H:H)</f>
        <v>BW</v>
      </c>
      <c r="F819" s="106" t="str">
        <f>SUMIFS(Data!J:J,Data!F:F,A819)</f>
        <v>1</v>
      </c>
      <c r="G819" s="106" t="str">
        <f>SUMIFS(Cast!C:C,CastElements,A819)</f>
        <v>1</v>
      </c>
      <c r="H819" s="106" t="str">
        <f t="shared" si="4"/>
        <v>0</v>
      </c>
      <c r="I819" s="106" t="str">
        <f>SUMIFS(Del!C:C,Del!B:B,A819)</f>
        <v>1</v>
      </c>
      <c r="J819" s="106" t="str">
        <f t="shared" si="5"/>
        <v>0</v>
      </c>
      <c r="K819" s="106" t="str">
        <f t="shared" si="6"/>
        <v>0</v>
      </c>
      <c r="L819" s="106"/>
      <c r="M819" s="106" t="str">
        <f>SUMIFS(Ere!C:C,Ere!B:B,A819)</f>
        <v>0</v>
      </c>
      <c r="N819" s="106" t="str">
        <f t="shared" si="7"/>
        <v>1</v>
      </c>
      <c r="O819" s="107" t="str">
        <f t="array" ref="O819">XLOOKUP(A819,Data!F:F,Data!O:O)</f>
        <v>  2.32 </v>
      </c>
      <c r="P819" s="107" t="str">
        <f t="shared" si="8"/>
        <v>  5.81 </v>
      </c>
      <c r="Q819" s="27"/>
    </row>
    <row r="820" ht="15.75" customHeight="1">
      <c r="A820" s="105" t="s">
        <v>1064</v>
      </c>
      <c r="B820" s="19" t="str">
        <f t="array" ref="B820">XLOOKUP(A820,Data!F:F,Data!G:G)</f>
        <v>J1A</v>
      </c>
      <c r="C820" s="19" t="str">
        <f t="shared" si="3"/>
        <v>J119</v>
      </c>
      <c r="D820" s="19" t="str">
        <f t="array" ref="D820">XLOOKUP(A820,Data!F:F,Data!C:C)</f>
        <v/>
      </c>
      <c r="E820" s="19" t="str">
        <f t="array" ref="E820">XLOOKUP(A820,Data!F:F,Data!H:H)</f>
        <v>BW</v>
      </c>
      <c r="F820" s="106" t="str">
        <f>SUMIFS(Data!J:J,Data!F:F,A820)</f>
        <v>1</v>
      </c>
      <c r="G820" s="106" t="str">
        <f>SUMIFS(Cast!C:C,CastElements,A820)</f>
        <v>1</v>
      </c>
      <c r="H820" s="106" t="str">
        <f t="shared" si="4"/>
        <v>0</v>
      </c>
      <c r="I820" s="106" t="str">
        <f>SUMIFS(Del!C:C,Del!B:B,A820)</f>
        <v>0</v>
      </c>
      <c r="J820" s="106" t="str">
        <f t="shared" si="5"/>
        <v>1</v>
      </c>
      <c r="K820" s="106" t="str">
        <f t="shared" si="6"/>
        <v>1</v>
      </c>
      <c r="L820" s="106"/>
      <c r="M820" s="106" t="str">
        <f>SUMIFS(Ere!C:C,Ere!B:B,A820)</f>
        <v>0</v>
      </c>
      <c r="N820" s="106" t="str">
        <f t="shared" si="7"/>
        <v>1</v>
      </c>
      <c r="O820" s="107" t="str">
        <f t="array" ref="O820">XLOOKUP(A820,Data!F:F,Data!O:O)</f>
        <v>  3.90 </v>
      </c>
      <c r="P820" s="107" t="str">
        <f t="shared" si="8"/>
        <v>  9.76 </v>
      </c>
      <c r="Q820" s="27"/>
    </row>
    <row r="821" ht="15.75" customHeight="1">
      <c r="A821" s="105" t="s">
        <v>1065</v>
      </c>
      <c r="B821" s="19" t="str">
        <f t="array" ref="B821">XLOOKUP(A821,Data!F:F,Data!G:G)</f>
        <v>J1A</v>
      </c>
      <c r="C821" s="19" t="str">
        <f t="shared" si="3"/>
        <v>J119</v>
      </c>
      <c r="D821" s="19" t="str">
        <f t="array" ref="D821">XLOOKUP(A821,Data!F:F,Data!C:C)</f>
        <v/>
      </c>
      <c r="E821" s="19" t="str">
        <f t="array" ref="E821">XLOOKUP(A821,Data!F:F,Data!H:H)</f>
        <v>BW</v>
      </c>
      <c r="F821" s="106" t="str">
        <f>SUMIFS(Data!J:J,Data!F:F,A821)</f>
        <v>1</v>
      </c>
      <c r="G821" s="106" t="str">
        <f>SUMIFS(Cast!C:C,CastElements,A821)</f>
        <v>1</v>
      </c>
      <c r="H821" s="106" t="str">
        <f t="shared" si="4"/>
        <v>0</v>
      </c>
      <c r="I821" s="106" t="str">
        <f>SUMIFS(Del!C:C,Del!B:B,A821)</f>
        <v>0</v>
      </c>
      <c r="J821" s="106" t="str">
        <f t="shared" si="5"/>
        <v>1</v>
      </c>
      <c r="K821" s="106" t="str">
        <f t="shared" si="6"/>
        <v>1</v>
      </c>
      <c r="L821" s="106"/>
      <c r="M821" s="106" t="str">
        <f>SUMIFS(Ere!C:C,Ere!B:B,A821)</f>
        <v>0</v>
      </c>
      <c r="N821" s="106" t="str">
        <f t="shared" si="7"/>
        <v>1</v>
      </c>
      <c r="O821" s="107" t="str">
        <f t="array" ref="O821">XLOOKUP(A821,Data!F:F,Data!O:O)</f>
        <v>  0.43 </v>
      </c>
      <c r="P821" s="107" t="str">
        <f t="shared" si="8"/>
        <v>  1.06 </v>
      </c>
      <c r="Q821" s="27"/>
    </row>
    <row r="822" ht="15.75" customHeight="1">
      <c r="A822" s="105" t="s">
        <v>1066</v>
      </c>
      <c r="B822" s="19" t="str">
        <f t="array" ref="B822">XLOOKUP(A822,Data!F:F,Data!G:G)</f>
        <v>J1A</v>
      </c>
      <c r="C822" s="19" t="str">
        <f t="shared" si="3"/>
        <v>J119</v>
      </c>
      <c r="D822" s="19" t="str">
        <f t="array" ref="D822">XLOOKUP(A822,Data!F:F,Data!C:C)</f>
        <v/>
      </c>
      <c r="E822" s="19" t="str">
        <f t="array" ref="E822">XLOOKUP(A822,Data!F:F,Data!H:H)</f>
        <v>BW</v>
      </c>
      <c r="F822" s="106" t="str">
        <f>SUMIFS(Data!J:J,Data!F:F,A822)</f>
        <v>1</v>
      </c>
      <c r="G822" s="106" t="str">
        <f>SUMIFS(Cast!C:C,CastElements,A822)</f>
        <v>1</v>
      </c>
      <c r="H822" s="106" t="str">
        <f t="shared" si="4"/>
        <v>0</v>
      </c>
      <c r="I822" s="106" t="str">
        <f>SUMIFS(Del!C:C,Del!B:B,A822)</f>
        <v>0</v>
      </c>
      <c r="J822" s="106" t="str">
        <f t="shared" si="5"/>
        <v>1</v>
      </c>
      <c r="K822" s="106" t="str">
        <f t="shared" si="6"/>
        <v>1</v>
      </c>
      <c r="L822" s="106"/>
      <c r="M822" s="106" t="str">
        <f>SUMIFS(Ere!C:C,Ere!B:B,A822)</f>
        <v>0</v>
      </c>
      <c r="N822" s="106" t="str">
        <f t="shared" si="7"/>
        <v>1</v>
      </c>
      <c r="O822" s="107" t="str">
        <f t="array" ref="O822">XLOOKUP(A822,Data!F:F,Data!O:O)</f>
        <v>  0.52 </v>
      </c>
      <c r="P822" s="107" t="str">
        <f t="shared" si="8"/>
        <v>  1.31 </v>
      </c>
      <c r="Q822" s="27"/>
    </row>
    <row r="823" ht="15.75" customHeight="1">
      <c r="A823" s="109" t="s">
        <v>1067</v>
      </c>
      <c r="B823" s="19" t="str">
        <f t="array" ref="B823">XLOOKUP(A823,Data!F:F,Data!G:G)</f>
        <v>J1A</v>
      </c>
      <c r="C823" s="19" t="str">
        <f t="shared" si="3"/>
        <v>J119</v>
      </c>
      <c r="D823" s="19" t="str">
        <f t="array" ref="D823">XLOOKUP(A823,Data!F:F,Data!C:C)</f>
        <v/>
      </c>
      <c r="E823" s="19" t="str">
        <f t="array" ref="E823">XLOOKUP(A823,Data!F:F,Data!H:H)</f>
        <v>CF</v>
      </c>
      <c r="F823" s="106" t="str">
        <f>SUMIFS(Data!J:J,Data!F:F,A823)</f>
        <v>1</v>
      </c>
      <c r="G823" s="106" t="str">
        <f>SUMIFS(Cast!C:C,CastElements,A823)</f>
        <v>1</v>
      </c>
      <c r="H823" s="106" t="str">
        <f t="shared" si="4"/>
        <v>0</v>
      </c>
      <c r="I823" s="106" t="str">
        <f>SUMIFS(Del!C:C,Del!B:B,A823)</f>
        <v>0</v>
      </c>
      <c r="J823" s="106" t="str">
        <f t="shared" si="5"/>
        <v>1</v>
      </c>
      <c r="K823" s="106" t="str">
        <f t="shared" si="6"/>
        <v>1</v>
      </c>
      <c r="L823" s="106"/>
      <c r="M823" s="106" t="str">
        <f>SUMIFS(Ere!C:C,Ere!B:B,A823)</f>
        <v>0</v>
      </c>
      <c r="N823" s="106" t="str">
        <f t="shared" si="7"/>
        <v>1</v>
      </c>
      <c r="O823" s="107" t="str">
        <f t="array" ref="O823">XLOOKUP(A823,Data!F:F,Data!O:O)</f>
        <v>  0.30 </v>
      </c>
      <c r="P823" s="107" t="str">
        <f t="shared" si="8"/>
        <v>  0.74 </v>
      </c>
      <c r="Q823" s="27"/>
    </row>
    <row r="824" ht="15.75" customHeight="1">
      <c r="A824" s="109" t="s">
        <v>1068</v>
      </c>
      <c r="B824" s="19" t="str">
        <f t="array" ref="B824">XLOOKUP(A824,Data!F:F,Data!G:G)</f>
        <v>J1A</v>
      </c>
      <c r="C824" s="19" t="str">
        <f t="shared" si="3"/>
        <v>J119</v>
      </c>
      <c r="D824" s="19" t="str">
        <f t="array" ref="D824">XLOOKUP(A824,Data!F:F,Data!C:C)</f>
        <v/>
      </c>
      <c r="E824" s="19" t="str">
        <f t="array" ref="E824">XLOOKUP(A824,Data!F:F,Data!H:H)</f>
        <v>CF</v>
      </c>
      <c r="F824" s="106" t="str">
        <f>SUMIFS(Data!J:J,Data!F:F,A824)</f>
        <v>1</v>
      </c>
      <c r="G824" s="106" t="str">
        <f>SUMIFS(Cast!C:C,CastElements,A824)</f>
        <v>1</v>
      </c>
      <c r="H824" s="106" t="str">
        <f t="shared" si="4"/>
        <v>0</v>
      </c>
      <c r="I824" s="106" t="str">
        <f>SUMIFS(Del!C:C,Del!B:B,A824)</f>
        <v>0</v>
      </c>
      <c r="J824" s="106" t="str">
        <f t="shared" si="5"/>
        <v>1</v>
      </c>
      <c r="K824" s="106" t="str">
        <f t="shared" si="6"/>
        <v>1</v>
      </c>
      <c r="L824" s="106"/>
      <c r="M824" s="106" t="str">
        <f>SUMIFS(Ere!C:C,Ere!B:B,A824)</f>
        <v>0</v>
      </c>
      <c r="N824" s="106" t="str">
        <f t="shared" si="7"/>
        <v>1</v>
      </c>
      <c r="O824" s="107" t="str">
        <f t="array" ref="O824">XLOOKUP(A824,Data!F:F,Data!O:O)</f>
        <v>  0.60 </v>
      </c>
      <c r="P824" s="107" t="str">
        <f t="shared" si="8"/>
        <v>  1.50 </v>
      </c>
      <c r="Q824" s="27"/>
    </row>
    <row r="825" ht="15.75" customHeight="1">
      <c r="A825" s="109" t="s">
        <v>1069</v>
      </c>
      <c r="B825" s="19" t="str">
        <f t="array" ref="B825">XLOOKUP(A825,Data!F:F,Data!G:G)</f>
        <v>J1A</v>
      </c>
      <c r="C825" s="19" t="str">
        <f t="shared" si="3"/>
        <v>J119</v>
      </c>
      <c r="D825" s="19" t="str">
        <f t="array" ref="D825">XLOOKUP(A825,Data!F:F,Data!C:C)</f>
        <v/>
      </c>
      <c r="E825" s="19" t="str">
        <f t="array" ref="E825">XLOOKUP(A825,Data!F:F,Data!H:H)</f>
        <v>BW</v>
      </c>
      <c r="F825" s="106" t="str">
        <f>SUMIFS(Data!J:J,Data!F:F,A825)</f>
        <v>1</v>
      </c>
      <c r="G825" s="106" t="str">
        <f>SUMIFS(Cast!C:C,CastElements,A825)</f>
        <v>1</v>
      </c>
      <c r="H825" s="106" t="str">
        <f t="shared" si="4"/>
        <v>0</v>
      </c>
      <c r="I825" s="106" t="str">
        <f>SUMIFS(Del!C:C,Del!B:B,A825)</f>
        <v>0</v>
      </c>
      <c r="J825" s="106" t="str">
        <f t="shared" si="5"/>
        <v>1</v>
      </c>
      <c r="K825" s="106" t="str">
        <f t="shared" si="6"/>
        <v>1</v>
      </c>
      <c r="L825" s="106"/>
      <c r="M825" s="106" t="str">
        <f>SUMIFS(Ere!C:C,Ere!B:B,A825)</f>
        <v>0</v>
      </c>
      <c r="N825" s="106" t="str">
        <f t="shared" si="7"/>
        <v>1</v>
      </c>
      <c r="O825" s="107" t="str">
        <f t="array" ref="O825">XLOOKUP(A825,Data!F:F,Data!O:O)</f>
        <v>  0.93 </v>
      </c>
      <c r="P825" s="107" t="str">
        <f t="shared" si="8"/>
        <v>  2.32 </v>
      </c>
      <c r="Q825" s="27"/>
    </row>
    <row r="826" ht="15.75" customHeight="1">
      <c r="A826" s="109" t="s">
        <v>1070</v>
      </c>
      <c r="B826" s="19" t="str">
        <f t="array" ref="B826">XLOOKUP(A826,Data!F:F,Data!G:G)</f>
        <v>J1A</v>
      </c>
      <c r="C826" s="19" t="str">
        <f t="shared" si="3"/>
        <v>J119</v>
      </c>
      <c r="D826" s="19" t="str">
        <f t="array" ref="D826">XLOOKUP(A826,Data!F:F,Data!C:C)</f>
        <v/>
      </c>
      <c r="E826" s="19" t="str">
        <f t="array" ref="E826">XLOOKUP(A826,Data!F:F,Data!H:H)</f>
        <v>BW</v>
      </c>
      <c r="F826" s="106" t="str">
        <f>SUMIFS(Data!J:J,Data!F:F,A826)</f>
        <v>1</v>
      </c>
      <c r="G826" s="106" t="str">
        <f>SUMIFS(Cast!C:C,CastElements,A826)</f>
        <v>1</v>
      </c>
      <c r="H826" s="106" t="str">
        <f t="shared" si="4"/>
        <v>0</v>
      </c>
      <c r="I826" s="106" t="str">
        <f>SUMIFS(Del!C:C,Del!B:B,A826)</f>
        <v>1</v>
      </c>
      <c r="J826" s="106" t="str">
        <f t="shared" si="5"/>
        <v>0</v>
      </c>
      <c r="K826" s="106" t="str">
        <f t="shared" si="6"/>
        <v>0</v>
      </c>
      <c r="L826" s="106"/>
      <c r="M826" s="106" t="str">
        <f>SUMIFS(Ere!C:C,Ere!B:B,A826)</f>
        <v>1</v>
      </c>
      <c r="N826" s="106" t="str">
        <f t="shared" si="7"/>
        <v>0</v>
      </c>
      <c r="O826" s="107" t="str">
        <f t="array" ref="O826">XLOOKUP(A826,Data!F:F,Data!O:O)</f>
        <v>  0.93 </v>
      </c>
      <c r="P826" s="107" t="str">
        <f t="shared" si="8"/>
        <v>  2.31 </v>
      </c>
      <c r="Q826" s="27"/>
    </row>
    <row r="827" ht="15.75" customHeight="1">
      <c r="A827" s="109" t="s">
        <v>1071</v>
      </c>
      <c r="B827" s="19" t="str">
        <f t="array" ref="B827">XLOOKUP(A827,Data!F:F,Data!G:G)</f>
        <v>J1A</v>
      </c>
      <c r="C827" s="19" t="str">
        <f t="shared" si="3"/>
        <v>J119</v>
      </c>
      <c r="D827" s="19" t="str">
        <f t="array" ref="D827">XLOOKUP(A827,Data!F:F,Data!C:C)</f>
        <v/>
      </c>
      <c r="E827" s="19" t="str">
        <f t="array" ref="E827">XLOOKUP(A827,Data!F:F,Data!H:H)</f>
        <v>BW</v>
      </c>
      <c r="F827" s="106" t="str">
        <f>SUMIFS(Data!J:J,Data!F:F,A827)</f>
        <v>1</v>
      </c>
      <c r="G827" s="106" t="str">
        <f>SUMIFS(Cast!C:C,CastElements,A827)</f>
        <v>1</v>
      </c>
      <c r="H827" s="106" t="str">
        <f t="shared" si="4"/>
        <v>0</v>
      </c>
      <c r="I827" s="106" t="str">
        <f>SUMIFS(Del!C:C,Del!B:B,A827)</f>
        <v>1</v>
      </c>
      <c r="J827" s="106" t="str">
        <f t="shared" si="5"/>
        <v>0</v>
      </c>
      <c r="K827" s="106" t="str">
        <f t="shared" si="6"/>
        <v>0</v>
      </c>
      <c r="L827" s="106"/>
      <c r="M827" s="106" t="str">
        <f>SUMIFS(Ere!C:C,Ere!B:B,A827)</f>
        <v>0</v>
      </c>
      <c r="N827" s="106" t="str">
        <f t="shared" si="7"/>
        <v>1</v>
      </c>
      <c r="O827" s="107" t="str">
        <f t="array" ref="O827">XLOOKUP(A827,Data!F:F,Data!O:O)</f>
        <v>  1.85 </v>
      </c>
      <c r="P827" s="107" t="str">
        <f t="shared" si="8"/>
        <v>  4.64 </v>
      </c>
      <c r="Q827" s="27"/>
    </row>
    <row r="828" ht="15.75" customHeight="1">
      <c r="A828" s="109" t="s">
        <v>1072</v>
      </c>
      <c r="B828" s="19" t="str">
        <f t="array" ref="B828">XLOOKUP(A828,Data!F:F,Data!G:G)</f>
        <v>J1A</v>
      </c>
      <c r="C828" s="19" t="str">
        <f t="shared" si="3"/>
        <v>J119</v>
      </c>
      <c r="D828" s="19" t="str">
        <f t="array" ref="D828">XLOOKUP(A828,Data!F:F,Data!C:C)</f>
        <v/>
      </c>
      <c r="E828" s="19" t="str">
        <f t="array" ref="E828">XLOOKUP(A828,Data!F:F,Data!H:H)</f>
        <v>BW</v>
      </c>
      <c r="F828" s="106" t="str">
        <f>SUMIFS(Data!J:J,Data!F:F,A828)</f>
        <v>1</v>
      </c>
      <c r="G828" s="106" t="str">
        <f>SUMIFS(Cast!C:C,CastElements,A828)</f>
        <v>1</v>
      </c>
      <c r="H828" s="106" t="str">
        <f t="shared" si="4"/>
        <v>0</v>
      </c>
      <c r="I828" s="106" t="str">
        <f>SUMIFS(Del!C:C,Del!B:B,A828)</f>
        <v>1</v>
      </c>
      <c r="J828" s="106" t="str">
        <f t="shared" si="5"/>
        <v>0</v>
      </c>
      <c r="K828" s="106" t="str">
        <f t="shared" si="6"/>
        <v>0</v>
      </c>
      <c r="L828" s="106"/>
      <c r="M828" s="106" t="str">
        <f>SUMIFS(Ere!C:C,Ere!B:B,A828)</f>
        <v>1</v>
      </c>
      <c r="N828" s="106" t="str">
        <f t="shared" si="7"/>
        <v>0</v>
      </c>
      <c r="O828" s="107" t="str">
        <f t="array" ref="O828">XLOOKUP(A828,Data!F:F,Data!O:O)</f>
        <v>  2.19 </v>
      </c>
      <c r="P828" s="107" t="str">
        <f t="shared" si="8"/>
        <v>  5.48 </v>
      </c>
      <c r="Q828" s="27"/>
    </row>
    <row r="829" ht="15.75" customHeight="1">
      <c r="A829" s="109" t="s">
        <v>1073</v>
      </c>
      <c r="B829" s="19" t="str">
        <f t="array" ref="B829">XLOOKUP(A829,Data!F:F,Data!G:G)</f>
        <v>J1A</v>
      </c>
      <c r="C829" s="19" t="str">
        <f t="shared" si="3"/>
        <v>J119</v>
      </c>
      <c r="D829" s="19" t="str">
        <f t="array" ref="D829">XLOOKUP(A829,Data!F:F,Data!C:C)</f>
        <v/>
      </c>
      <c r="E829" s="19" t="str">
        <f t="array" ref="E829">XLOOKUP(A829,Data!F:F,Data!H:H)</f>
        <v>BW</v>
      </c>
      <c r="F829" s="106" t="str">
        <f>SUMIFS(Data!J:J,Data!F:F,A829)</f>
        <v>1</v>
      </c>
      <c r="G829" s="106" t="str">
        <f>SUMIFS(Cast!C:C,CastElements,A829)</f>
        <v>1</v>
      </c>
      <c r="H829" s="106" t="str">
        <f t="shared" si="4"/>
        <v>0</v>
      </c>
      <c r="I829" s="106" t="str">
        <f>SUMIFS(Del!C:C,Del!B:B,A829)</f>
        <v>1</v>
      </c>
      <c r="J829" s="106" t="str">
        <f t="shared" si="5"/>
        <v>0</v>
      </c>
      <c r="K829" s="106" t="str">
        <f t="shared" si="6"/>
        <v>0</v>
      </c>
      <c r="L829" s="106"/>
      <c r="M829" s="106" t="str">
        <f>SUMIFS(Ere!C:C,Ere!B:B,A829)</f>
        <v>1</v>
      </c>
      <c r="N829" s="106" t="str">
        <f t="shared" si="7"/>
        <v>0</v>
      </c>
      <c r="O829" s="107" t="str">
        <f t="array" ref="O829">XLOOKUP(A829,Data!F:F,Data!O:O)</f>
        <v>  2.19 </v>
      </c>
      <c r="P829" s="107" t="str">
        <f t="shared" si="8"/>
        <v>  5.48 </v>
      </c>
      <c r="Q829" s="27"/>
    </row>
    <row r="830" ht="15.75" customHeight="1">
      <c r="A830" s="109" t="s">
        <v>1074</v>
      </c>
      <c r="B830" s="19" t="str">
        <f t="array" ref="B830">XLOOKUP(A830,Data!F:F,Data!G:G)</f>
        <v>J1A</v>
      </c>
      <c r="C830" s="19" t="str">
        <f t="shared" si="3"/>
        <v>J119</v>
      </c>
      <c r="D830" s="19" t="str">
        <f t="array" ref="D830">XLOOKUP(A830,Data!F:F,Data!C:C)</f>
        <v/>
      </c>
      <c r="E830" s="19" t="str">
        <f t="array" ref="E830">XLOOKUP(A830,Data!F:F,Data!H:H)</f>
        <v>BW</v>
      </c>
      <c r="F830" s="106" t="str">
        <f>SUMIFS(Data!J:J,Data!F:F,A830)</f>
        <v>1</v>
      </c>
      <c r="G830" s="106" t="str">
        <f>SUMIFS(Cast!C:C,CastElements,A830)</f>
        <v>1</v>
      </c>
      <c r="H830" s="106" t="str">
        <f t="shared" si="4"/>
        <v>0</v>
      </c>
      <c r="I830" s="106" t="str">
        <f>SUMIFS(Del!C:C,Del!B:B,A830)</f>
        <v>1</v>
      </c>
      <c r="J830" s="106" t="str">
        <f t="shared" si="5"/>
        <v>0</v>
      </c>
      <c r="K830" s="106" t="str">
        <f t="shared" si="6"/>
        <v>0</v>
      </c>
      <c r="L830" s="106"/>
      <c r="M830" s="106" t="str">
        <f>SUMIFS(Ere!C:C,Ere!B:B,A830)</f>
        <v>1</v>
      </c>
      <c r="N830" s="106" t="str">
        <f t="shared" si="7"/>
        <v>0</v>
      </c>
      <c r="O830" s="107" t="str">
        <f t="array" ref="O830">XLOOKUP(A830,Data!F:F,Data!O:O)</f>
        <v>  2.19 </v>
      </c>
      <c r="P830" s="107" t="str">
        <f t="shared" si="8"/>
        <v>  5.48 </v>
      </c>
      <c r="Q830" s="27"/>
    </row>
    <row r="831" ht="15.75" customHeight="1">
      <c r="A831" s="109" t="s">
        <v>1075</v>
      </c>
      <c r="B831" s="19" t="str">
        <f t="array" ref="B831">XLOOKUP(A831,Data!F:F,Data!G:G)</f>
        <v>J1A</v>
      </c>
      <c r="C831" s="19" t="str">
        <f t="shared" si="3"/>
        <v>J119</v>
      </c>
      <c r="D831" s="19" t="str">
        <f t="array" ref="D831">XLOOKUP(A831,Data!F:F,Data!C:C)</f>
        <v/>
      </c>
      <c r="E831" s="19" t="str">
        <f t="array" ref="E831">XLOOKUP(A831,Data!F:F,Data!H:H)</f>
        <v>BW</v>
      </c>
      <c r="F831" s="106" t="str">
        <f>SUMIFS(Data!J:J,Data!F:F,A831)</f>
        <v>1</v>
      </c>
      <c r="G831" s="106" t="str">
        <f>SUMIFS(Cast!C:C,CastElements,A831)</f>
        <v>1</v>
      </c>
      <c r="H831" s="106" t="str">
        <f t="shared" si="4"/>
        <v>0</v>
      </c>
      <c r="I831" s="106" t="str">
        <f>SUMIFS(Del!C:C,Del!B:B,A831)</f>
        <v>1</v>
      </c>
      <c r="J831" s="106" t="str">
        <f t="shared" si="5"/>
        <v>0</v>
      </c>
      <c r="K831" s="106" t="str">
        <f t="shared" si="6"/>
        <v>0</v>
      </c>
      <c r="L831" s="106"/>
      <c r="M831" s="106" t="str">
        <f>SUMIFS(Ere!C:C,Ere!B:B,A831)</f>
        <v>0</v>
      </c>
      <c r="N831" s="106" t="str">
        <f t="shared" si="7"/>
        <v>1</v>
      </c>
      <c r="O831" s="107" t="str">
        <f t="array" ref="O831">XLOOKUP(A831,Data!F:F,Data!O:O)</f>
        <v>  2.19 </v>
      </c>
      <c r="P831" s="107" t="str">
        <f t="shared" si="8"/>
        <v>  5.48 </v>
      </c>
      <c r="Q831" s="27"/>
    </row>
    <row r="832" ht="15.75" customHeight="1">
      <c r="A832" s="105" t="s">
        <v>1076</v>
      </c>
      <c r="B832" s="19" t="str">
        <f t="array" ref="B832">XLOOKUP(A832,Data!F:F,Data!G:G)</f>
        <v>J1A</v>
      </c>
      <c r="C832" s="19" t="str">
        <f t="shared" si="3"/>
        <v>J119</v>
      </c>
      <c r="D832" s="19" t="str">
        <f t="array" ref="D832">XLOOKUP(A832,Data!F:F,Data!C:C)</f>
        <v>EXT</v>
      </c>
      <c r="E832" s="19" t="str">
        <f t="array" ref="E832">XLOOKUP(A832,Data!F:F,Data!H:H)</f>
        <v>BW</v>
      </c>
      <c r="F832" s="106" t="str">
        <f>SUMIFS(Data!J:J,Data!F:F,A832)</f>
        <v>1</v>
      </c>
      <c r="G832" s="106" t="str">
        <f>SUMIFS(Cast!C:C,CastElements,A832)</f>
        <v>0</v>
      </c>
      <c r="H832" s="106" t="str">
        <f t="shared" si="4"/>
        <v>1</v>
      </c>
      <c r="I832" s="106" t="str">
        <f>SUMIFS(Del!C:C,Del!B:B,A832)</f>
        <v>0</v>
      </c>
      <c r="J832" s="106" t="str">
        <f t="shared" si="5"/>
        <v>1</v>
      </c>
      <c r="K832" s="106" t="str">
        <f t="shared" si="6"/>
        <v>0</v>
      </c>
      <c r="L832" s="106"/>
      <c r="M832" s="106" t="str">
        <f>SUMIFS(Ere!C:C,Ere!B:B,A832)</f>
        <v>0</v>
      </c>
      <c r="N832" s="106" t="str">
        <f t="shared" si="7"/>
        <v>1</v>
      </c>
      <c r="O832" s="107" t="str">
        <f t="array" ref="O832">XLOOKUP(A832,Data!F:F,Data!O:O)</f>
        <v>  0.50 </v>
      </c>
      <c r="P832" s="107" t="str">
        <f t="shared" si="8"/>
        <v>  1.25 </v>
      </c>
      <c r="Q832" s="27"/>
    </row>
    <row r="833" ht="15.75" customHeight="1">
      <c r="A833" s="105" t="s">
        <v>1077</v>
      </c>
      <c r="B833" s="19" t="str">
        <f t="array" ref="B833">XLOOKUP(A833,Data!F:F,Data!G:G)</f>
        <v>J1A</v>
      </c>
      <c r="C833" s="19" t="str">
        <f t="shared" si="3"/>
        <v>J119</v>
      </c>
      <c r="D833" s="19" t="str">
        <f t="array" ref="D833">XLOOKUP(A833,Data!F:F,Data!C:C)</f>
        <v>EXT</v>
      </c>
      <c r="E833" s="19" t="str">
        <f t="array" ref="E833">XLOOKUP(A833,Data!F:F,Data!H:H)</f>
        <v>BW</v>
      </c>
      <c r="F833" s="106" t="str">
        <f>SUMIFS(Data!J:J,Data!F:F,A833)</f>
        <v>1</v>
      </c>
      <c r="G833" s="106" t="str">
        <f>SUMIFS(Cast!C:C,CastElements,A833)</f>
        <v>0</v>
      </c>
      <c r="H833" s="106" t="str">
        <f t="shared" si="4"/>
        <v>1</v>
      </c>
      <c r="I833" s="106" t="str">
        <f>SUMIFS(Del!C:C,Del!B:B,A833)</f>
        <v>0</v>
      </c>
      <c r="J833" s="106" t="str">
        <f t="shared" si="5"/>
        <v>1</v>
      </c>
      <c r="K833" s="106" t="str">
        <f t="shared" si="6"/>
        <v>0</v>
      </c>
      <c r="L833" s="106"/>
      <c r="M833" s="106" t="str">
        <f>SUMIFS(Ere!C:C,Ere!B:B,A833)</f>
        <v>0</v>
      </c>
      <c r="N833" s="106" t="str">
        <f t="shared" si="7"/>
        <v>1</v>
      </c>
      <c r="O833" s="107" t="str">
        <f t="array" ref="O833">XLOOKUP(A833,Data!F:F,Data!O:O)</f>
        <v>  0.50 </v>
      </c>
      <c r="P833" s="107" t="str">
        <f t="shared" si="8"/>
        <v>  1.25 </v>
      </c>
      <c r="Q833" s="27"/>
    </row>
    <row r="834" ht="15.75" customHeight="1">
      <c r="A834" s="105" t="s">
        <v>1078</v>
      </c>
      <c r="B834" s="19" t="str">
        <f t="array" ref="B834">XLOOKUP(A834,Data!F:F,Data!G:G)</f>
        <v>J1A</v>
      </c>
      <c r="C834" s="19" t="str">
        <f t="shared" si="3"/>
        <v>J119</v>
      </c>
      <c r="D834" s="19" t="str">
        <f t="array" ref="D834">XLOOKUP(A834,Data!F:F,Data!C:C)</f>
        <v>EXT</v>
      </c>
      <c r="E834" s="19" t="str">
        <f t="array" ref="E834">XLOOKUP(A834,Data!F:F,Data!H:H)</f>
        <v>BW</v>
      </c>
      <c r="F834" s="106" t="str">
        <f>SUMIFS(Data!J:J,Data!F:F,A834)</f>
        <v>1</v>
      </c>
      <c r="G834" s="106" t="str">
        <f>SUMIFS(Cast!C:C,CastElements,A834)</f>
        <v>0</v>
      </c>
      <c r="H834" s="106" t="str">
        <f t="shared" si="4"/>
        <v>1</v>
      </c>
      <c r="I834" s="106" t="str">
        <f>SUMIFS(Del!C:C,Del!B:B,A834)</f>
        <v>0</v>
      </c>
      <c r="J834" s="106" t="str">
        <f t="shared" si="5"/>
        <v>1</v>
      </c>
      <c r="K834" s="106" t="str">
        <f t="shared" si="6"/>
        <v>0</v>
      </c>
      <c r="L834" s="106"/>
      <c r="M834" s="106" t="str">
        <f>SUMIFS(Ere!C:C,Ere!B:B,A834)</f>
        <v>0</v>
      </c>
      <c r="N834" s="106" t="str">
        <f t="shared" si="7"/>
        <v>1</v>
      </c>
      <c r="O834" s="107" t="str">
        <f t="array" ref="O834">XLOOKUP(A834,Data!F:F,Data!O:O)</f>
        <v>  0.50 </v>
      </c>
      <c r="P834" s="107" t="str">
        <f t="shared" si="8"/>
        <v>  1.25 </v>
      </c>
      <c r="Q834" s="27"/>
    </row>
    <row r="835" ht="15.75" customHeight="1">
      <c r="A835" s="105" t="s">
        <v>1079</v>
      </c>
      <c r="B835" s="19" t="str">
        <f t="array" ref="B835">XLOOKUP(A835,Data!F:F,Data!G:G)</f>
        <v>J1A</v>
      </c>
      <c r="C835" s="19" t="str">
        <f t="shared" si="3"/>
        <v>J119</v>
      </c>
      <c r="D835" s="19" t="str">
        <f t="array" ref="D835">XLOOKUP(A835,Data!F:F,Data!C:C)</f>
        <v>EXT</v>
      </c>
      <c r="E835" s="19" t="str">
        <f t="array" ref="E835">XLOOKUP(A835,Data!F:F,Data!H:H)</f>
        <v>BW</v>
      </c>
      <c r="F835" s="106" t="str">
        <f>SUMIFS(Data!J:J,Data!F:F,A835)</f>
        <v>1</v>
      </c>
      <c r="G835" s="106" t="str">
        <f>SUMIFS(Cast!C:C,CastElements,A835)</f>
        <v>0</v>
      </c>
      <c r="H835" s="106" t="str">
        <f t="shared" si="4"/>
        <v>1</v>
      </c>
      <c r="I835" s="106" t="str">
        <f>SUMIFS(Del!C:C,Del!B:B,A835)</f>
        <v>0</v>
      </c>
      <c r="J835" s="106" t="str">
        <f t="shared" si="5"/>
        <v>1</v>
      </c>
      <c r="K835" s="106" t="str">
        <f t="shared" si="6"/>
        <v>0</v>
      </c>
      <c r="L835" s="106"/>
      <c r="M835" s="106" t="str">
        <f>SUMIFS(Ere!C:C,Ere!B:B,A835)</f>
        <v>0</v>
      </c>
      <c r="N835" s="106" t="str">
        <f t="shared" si="7"/>
        <v>1</v>
      </c>
      <c r="O835" s="107" t="str">
        <f t="array" ref="O835">XLOOKUP(A835,Data!F:F,Data!O:O)</f>
        <v>  0.50 </v>
      </c>
      <c r="P835" s="107" t="str">
        <f t="shared" si="8"/>
        <v>  1.25 </v>
      </c>
      <c r="Q835" s="27"/>
    </row>
    <row r="836" ht="15.75" customHeight="1">
      <c r="A836" s="105" t="s">
        <v>1080</v>
      </c>
      <c r="B836" s="19" t="str">
        <f t="array" ref="B836">XLOOKUP(A836,Data!F:F,Data!G:G)</f>
        <v>J1A</v>
      </c>
      <c r="C836" s="19" t="str">
        <f t="shared" si="3"/>
        <v>J119</v>
      </c>
      <c r="D836" s="19" t="str">
        <f t="array" ref="D836">XLOOKUP(A836,Data!F:F,Data!C:C)</f>
        <v>EXT</v>
      </c>
      <c r="E836" s="19" t="str">
        <f t="array" ref="E836">XLOOKUP(A836,Data!F:F,Data!H:H)</f>
        <v>BW</v>
      </c>
      <c r="F836" s="106" t="str">
        <f>SUMIFS(Data!J:J,Data!F:F,A836)</f>
        <v>1</v>
      </c>
      <c r="G836" s="106" t="str">
        <f>SUMIFS(Cast!C:C,CastElements,A836)</f>
        <v>0</v>
      </c>
      <c r="H836" s="106" t="str">
        <f t="shared" si="4"/>
        <v>1</v>
      </c>
      <c r="I836" s="106" t="str">
        <f>SUMIFS(Del!C:C,Del!B:B,A836)</f>
        <v>0</v>
      </c>
      <c r="J836" s="106" t="str">
        <f t="shared" si="5"/>
        <v>1</v>
      </c>
      <c r="K836" s="106" t="str">
        <f t="shared" si="6"/>
        <v>0</v>
      </c>
      <c r="L836" s="106"/>
      <c r="M836" s="106" t="str">
        <f>SUMIFS(Ere!C:C,Ere!B:B,A836)</f>
        <v>0</v>
      </c>
      <c r="N836" s="106" t="str">
        <f t="shared" si="7"/>
        <v>1</v>
      </c>
      <c r="O836" s="107" t="str">
        <f t="array" ref="O836">XLOOKUP(A836,Data!F:F,Data!O:O)</f>
        <v>  0.50 </v>
      </c>
      <c r="P836" s="107" t="str">
        <f t="shared" si="8"/>
        <v>  1.25 </v>
      </c>
      <c r="Q836" s="27"/>
    </row>
    <row r="837" ht="15.75" customHeight="1">
      <c r="A837" s="105" t="s">
        <v>1081</v>
      </c>
      <c r="B837" s="19" t="str">
        <f t="array" ref="B837">XLOOKUP(A837,Data!F:F,Data!G:G)</f>
        <v>J1A</v>
      </c>
      <c r="C837" s="19" t="str">
        <f t="shared" si="3"/>
        <v>J119</v>
      </c>
      <c r="D837" s="19" t="str">
        <f t="array" ref="D837">XLOOKUP(A837,Data!F:F,Data!C:C)</f>
        <v>EXT</v>
      </c>
      <c r="E837" s="19" t="str">
        <f t="array" ref="E837">XLOOKUP(A837,Data!F:F,Data!H:H)</f>
        <v>BW</v>
      </c>
      <c r="F837" s="106" t="str">
        <f>SUMIFS(Data!J:J,Data!F:F,A837)</f>
        <v>1</v>
      </c>
      <c r="G837" s="106" t="str">
        <f>SUMIFS(Cast!C:C,CastElements,A837)</f>
        <v>0</v>
      </c>
      <c r="H837" s="106" t="str">
        <f t="shared" si="4"/>
        <v>1</v>
      </c>
      <c r="I837" s="106" t="str">
        <f>SUMIFS(Del!C:C,Del!B:B,A837)</f>
        <v>0</v>
      </c>
      <c r="J837" s="106" t="str">
        <f t="shared" si="5"/>
        <v>1</v>
      </c>
      <c r="K837" s="106" t="str">
        <f t="shared" si="6"/>
        <v>0</v>
      </c>
      <c r="L837" s="106"/>
      <c r="M837" s="106" t="str">
        <f>SUMIFS(Ere!C:C,Ere!B:B,A837)</f>
        <v>0</v>
      </c>
      <c r="N837" s="106" t="str">
        <f t="shared" si="7"/>
        <v>1</v>
      </c>
      <c r="O837" s="107" t="str">
        <f t="array" ref="O837">XLOOKUP(A837,Data!F:F,Data!O:O)</f>
        <v>  0.95 </v>
      </c>
      <c r="P837" s="107" t="str">
        <f t="shared" si="8"/>
        <v>  2.38 </v>
      </c>
      <c r="Q837" s="27"/>
    </row>
    <row r="838" ht="15.75" customHeight="1">
      <c r="A838" s="105" t="s">
        <v>1082</v>
      </c>
      <c r="B838" s="19" t="str">
        <f t="array" ref="B838">XLOOKUP(A838,Data!F:F,Data!G:G)</f>
        <v>J1A</v>
      </c>
      <c r="C838" s="19" t="str">
        <f t="shared" si="3"/>
        <v>J119</v>
      </c>
      <c r="D838" s="19" t="str">
        <f t="array" ref="D838">XLOOKUP(A838,Data!F:F,Data!C:C)</f>
        <v>EXT</v>
      </c>
      <c r="E838" s="19" t="str">
        <f t="array" ref="E838">XLOOKUP(A838,Data!F:F,Data!H:H)</f>
        <v>BW</v>
      </c>
      <c r="F838" s="106" t="str">
        <f>SUMIFS(Data!J:J,Data!F:F,A838)</f>
        <v>1</v>
      </c>
      <c r="G838" s="106" t="str">
        <f>SUMIFS(Cast!C:C,CastElements,A838)</f>
        <v>0</v>
      </c>
      <c r="H838" s="106" t="str">
        <f t="shared" si="4"/>
        <v>1</v>
      </c>
      <c r="I838" s="106" t="str">
        <f>SUMIFS(Del!C:C,Del!B:B,A838)</f>
        <v>0</v>
      </c>
      <c r="J838" s="106" t="str">
        <f t="shared" si="5"/>
        <v>1</v>
      </c>
      <c r="K838" s="106" t="str">
        <f t="shared" si="6"/>
        <v>0</v>
      </c>
      <c r="L838" s="106"/>
      <c r="M838" s="106" t="str">
        <f>SUMIFS(Ere!C:C,Ere!B:B,A838)</f>
        <v>0</v>
      </c>
      <c r="N838" s="106" t="str">
        <f t="shared" si="7"/>
        <v>1</v>
      </c>
      <c r="O838" s="107" t="str">
        <f t="array" ref="O838">XLOOKUP(A838,Data!F:F,Data!O:O)</f>
        <v>  0.92 </v>
      </c>
      <c r="P838" s="107" t="str">
        <f t="shared" si="8"/>
        <v>  2.31 </v>
      </c>
      <c r="Q838" s="27"/>
    </row>
    <row r="839" ht="15.75" customHeight="1">
      <c r="A839" s="105" t="s">
        <v>1083</v>
      </c>
      <c r="B839" s="19" t="str">
        <f t="array" ref="B839">XLOOKUP(A839,Data!F:F,Data!G:G)</f>
        <v>J1A</v>
      </c>
      <c r="C839" s="19" t="str">
        <f t="shared" si="3"/>
        <v>J119</v>
      </c>
      <c r="D839" s="19" t="str">
        <f t="array" ref="D839">XLOOKUP(A839,Data!F:F,Data!C:C)</f>
        <v>EXT</v>
      </c>
      <c r="E839" s="19" t="str">
        <f t="array" ref="E839">XLOOKUP(A839,Data!F:F,Data!H:H)</f>
        <v>BW</v>
      </c>
      <c r="F839" s="106" t="str">
        <f>SUMIFS(Data!J:J,Data!F:F,A839)</f>
        <v>1</v>
      </c>
      <c r="G839" s="106" t="str">
        <f>SUMIFS(Cast!C:C,CastElements,A839)</f>
        <v>0</v>
      </c>
      <c r="H839" s="106" t="str">
        <f t="shared" si="4"/>
        <v>1</v>
      </c>
      <c r="I839" s="106" t="str">
        <f>SUMIFS(Del!C:C,Del!B:B,A839)</f>
        <v>0</v>
      </c>
      <c r="J839" s="106" t="str">
        <f t="shared" si="5"/>
        <v>1</v>
      </c>
      <c r="K839" s="106" t="str">
        <f t="shared" si="6"/>
        <v>0</v>
      </c>
      <c r="L839" s="106"/>
      <c r="M839" s="106" t="str">
        <f>SUMIFS(Ere!C:C,Ere!B:B,A839)</f>
        <v>0</v>
      </c>
      <c r="N839" s="106" t="str">
        <f t="shared" si="7"/>
        <v>1</v>
      </c>
      <c r="O839" s="107" t="str">
        <f t="array" ref="O839">XLOOKUP(A839,Data!F:F,Data!O:O)</f>
        <v>  0.87 </v>
      </c>
      <c r="P839" s="107" t="str">
        <f t="shared" si="8"/>
        <v>  2.18 </v>
      </c>
      <c r="Q839" s="27"/>
    </row>
    <row r="840" ht="15.75" customHeight="1">
      <c r="A840" s="105" t="s">
        <v>1084</v>
      </c>
      <c r="B840" s="19" t="str">
        <f t="array" ref="B840">XLOOKUP(A840,Data!F:F,Data!G:G)</f>
        <v>J1A</v>
      </c>
      <c r="C840" s="19" t="str">
        <f t="shared" si="3"/>
        <v>J120</v>
      </c>
      <c r="D840" s="19" t="str">
        <f t="array" ref="D840">XLOOKUP(A840,Data!F:F,Data!C:C)</f>
        <v/>
      </c>
      <c r="E840" s="19" t="str">
        <f t="array" ref="E840">XLOOKUP(A840,Data!F:F,Data!H:H)</f>
        <v>BW</v>
      </c>
      <c r="F840" s="106" t="str">
        <f>SUMIFS(Data!J:J,Data!F:F,A840)</f>
        <v>1</v>
      </c>
      <c r="G840" s="106" t="str">
        <f>SUMIFS(Cast!C:C,CastElements,A840)</f>
        <v>1</v>
      </c>
      <c r="H840" s="106" t="str">
        <f t="shared" si="4"/>
        <v>0</v>
      </c>
      <c r="I840" s="106" t="str">
        <f>SUMIFS(Del!C:C,Del!B:B,A840)</f>
        <v>0</v>
      </c>
      <c r="J840" s="106" t="str">
        <f t="shared" si="5"/>
        <v>1</v>
      </c>
      <c r="K840" s="106" t="str">
        <f t="shared" si="6"/>
        <v>1</v>
      </c>
      <c r="L840" s="106"/>
      <c r="M840" s="106" t="str">
        <f>SUMIFS(Ere!C:C,Ere!B:B,A840)</f>
        <v>0</v>
      </c>
      <c r="N840" s="106" t="str">
        <f t="shared" si="7"/>
        <v>1</v>
      </c>
      <c r="O840" s="107" t="str">
        <f t="array" ref="O840">XLOOKUP(A840,Data!F:F,Data!O:O)</f>
        <v>  2.32 </v>
      </c>
      <c r="P840" s="107" t="str">
        <f t="shared" si="8"/>
        <v>  5.81 </v>
      </c>
      <c r="Q840" s="27"/>
    </row>
    <row r="841" ht="15.75" customHeight="1">
      <c r="A841" s="105" t="s">
        <v>1085</v>
      </c>
      <c r="B841" s="19" t="str">
        <f t="array" ref="B841">XLOOKUP(A841,Data!F:F,Data!G:G)</f>
        <v>J1A</v>
      </c>
      <c r="C841" s="19" t="str">
        <f t="shared" si="3"/>
        <v>J120</v>
      </c>
      <c r="D841" s="19" t="str">
        <f t="array" ref="D841">XLOOKUP(A841,Data!F:F,Data!C:C)</f>
        <v/>
      </c>
      <c r="E841" s="19" t="str">
        <f t="array" ref="E841">XLOOKUP(A841,Data!F:F,Data!H:H)</f>
        <v>BW</v>
      </c>
      <c r="F841" s="106" t="str">
        <f>SUMIFS(Data!J:J,Data!F:F,A841)</f>
        <v>1</v>
      </c>
      <c r="G841" s="106" t="str">
        <f>SUMIFS(Cast!C:C,CastElements,A841)</f>
        <v>1</v>
      </c>
      <c r="H841" s="106" t="str">
        <f t="shared" si="4"/>
        <v>0</v>
      </c>
      <c r="I841" s="106" t="str">
        <f>SUMIFS(Del!C:C,Del!B:B,A841)</f>
        <v>1</v>
      </c>
      <c r="J841" s="106" t="str">
        <f t="shared" si="5"/>
        <v>0</v>
      </c>
      <c r="K841" s="106" t="str">
        <f t="shared" si="6"/>
        <v>0</v>
      </c>
      <c r="L841" s="106"/>
      <c r="M841" s="106" t="str">
        <f>SUMIFS(Ere!C:C,Ere!B:B,A841)</f>
        <v>1</v>
      </c>
      <c r="N841" s="106" t="str">
        <f t="shared" si="7"/>
        <v>0</v>
      </c>
      <c r="O841" s="107" t="str">
        <f t="array" ref="O841">XLOOKUP(A841,Data!F:F,Data!O:O)</f>
        <v>  2.19 </v>
      </c>
      <c r="P841" s="107" t="str">
        <f t="shared" si="8"/>
        <v>  5.46 </v>
      </c>
      <c r="Q841" s="27"/>
    </row>
    <row r="842" ht="15.75" customHeight="1">
      <c r="A842" s="105" t="s">
        <v>1086</v>
      </c>
      <c r="B842" s="19" t="str">
        <f t="array" ref="B842">XLOOKUP(A842,Data!F:F,Data!G:G)</f>
        <v>J1A</v>
      </c>
      <c r="C842" s="19" t="str">
        <f t="shared" si="3"/>
        <v>J120</v>
      </c>
      <c r="D842" s="19" t="str">
        <f t="array" ref="D842">XLOOKUP(A842,Data!F:F,Data!C:C)</f>
        <v/>
      </c>
      <c r="E842" s="19" t="str">
        <f t="array" ref="E842">XLOOKUP(A842,Data!F:F,Data!H:H)</f>
        <v>BW</v>
      </c>
      <c r="F842" s="106" t="str">
        <f>SUMIFS(Data!J:J,Data!F:F,A842)</f>
        <v>1</v>
      </c>
      <c r="G842" s="106" t="str">
        <f>SUMIFS(Cast!C:C,CastElements,A842)</f>
        <v>1</v>
      </c>
      <c r="H842" s="106" t="str">
        <f t="shared" si="4"/>
        <v>0</v>
      </c>
      <c r="I842" s="106" t="str">
        <f>SUMIFS(Del!C:C,Del!B:B,A842)</f>
        <v>0</v>
      </c>
      <c r="J842" s="106" t="str">
        <f t="shared" si="5"/>
        <v>1</v>
      </c>
      <c r="K842" s="106" t="str">
        <f t="shared" si="6"/>
        <v>1</v>
      </c>
      <c r="L842" s="106"/>
      <c r="M842" s="106" t="str">
        <f>SUMIFS(Ere!C:C,Ere!B:B,A842)</f>
        <v>1</v>
      </c>
      <c r="N842" s="106" t="str">
        <f t="shared" si="7"/>
        <v>0</v>
      </c>
      <c r="O842" s="107" t="str">
        <f t="array" ref="O842">XLOOKUP(A842,Data!F:F,Data!O:O)</f>
        <v>  2.19 </v>
      </c>
      <c r="P842" s="107" t="str">
        <f t="shared" si="8"/>
        <v>  5.46 </v>
      </c>
      <c r="Q842" s="27"/>
    </row>
    <row r="843" ht="15.75" customHeight="1">
      <c r="A843" s="105" t="s">
        <v>1087</v>
      </c>
      <c r="B843" s="19" t="str">
        <f t="array" ref="B843">XLOOKUP(A843,Data!F:F,Data!G:G)</f>
        <v>J1A</v>
      </c>
      <c r="C843" s="19" t="str">
        <f t="shared" si="3"/>
        <v>J120</v>
      </c>
      <c r="D843" s="19" t="str">
        <f t="array" ref="D843">XLOOKUP(A843,Data!F:F,Data!C:C)</f>
        <v/>
      </c>
      <c r="E843" s="19" t="str">
        <f t="array" ref="E843">XLOOKUP(A843,Data!F:F,Data!H:H)</f>
        <v>BW</v>
      </c>
      <c r="F843" s="106" t="str">
        <f>SUMIFS(Data!J:J,Data!F:F,A843)</f>
        <v>1</v>
      </c>
      <c r="G843" s="106" t="str">
        <f>SUMIFS(Cast!C:C,CastElements,A843)</f>
        <v>1</v>
      </c>
      <c r="H843" s="106" t="str">
        <f t="shared" si="4"/>
        <v>0</v>
      </c>
      <c r="I843" s="106" t="str">
        <f>SUMIFS(Del!C:C,Del!B:B,A843)</f>
        <v>1</v>
      </c>
      <c r="J843" s="106" t="str">
        <f t="shared" si="5"/>
        <v>0</v>
      </c>
      <c r="K843" s="106" t="str">
        <f t="shared" si="6"/>
        <v>0</v>
      </c>
      <c r="L843" s="106"/>
      <c r="M843" s="106" t="str">
        <f>SUMIFS(Ere!C:C,Ere!B:B,A843)</f>
        <v>1</v>
      </c>
      <c r="N843" s="106" t="str">
        <f t="shared" si="7"/>
        <v>0</v>
      </c>
      <c r="O843" s="107" t="str">
        <f t="array" ref="O843">XLOOKUP(A843,Data!F:F,Data!O:O)</f>
        <v>  2.19 </v>
      </c>
      <c r="P843" s="107" t="str">
        <f t="shared" si="8"/>
        <v>  5.46 </v>
      </c>
      <c r="Q843" s="27"/>
    </row>
    <row r="844" ht="15.75" customHeight="1">
      <c r="A844" s="105" t="s">
        <v>1088</v>
      </c>
      <c r="B844" s="19" t="str">
        <f t="array" ref="B844">XLOOKUP(A844,Data!F:F,Data!G:G)</f>
        <v>J1A</v>
      </c>
      <c r="C844" s="19" t="str">
        <f t="shared" si="3"/>
        <v>J120</v>
      </c>
      <c r="D844" s="19" t="str">
        <f t="array" ref="D844">XLOOKUP(A844,Data!F:F,Data!C:C)</f>
        <v/>
      </c>
      <c r="E844" s="19" t="str">
        <f t="array" ref="E844">XLOOKUP(A844,Data!F:F,Data!H:H)</f>
        <v>BW</v>
      </c>
      <c r="F844" s="106" t="str">
        <f>SUMIFS(Data!J:J,Data!F:F,A844)</f>
        <v>1</v>
      </c>
      <c r="G844" s="106" t="str">
        <f>SUMIFS(Cast!C:C,CastElements,A844)</f>
        <v>1</v>
      </c>
      <c r="H844" s="106" t="str">
        <f t="shared" si="4"/>
        <v>0</v>
      </c>
      <c r="I844" s="106" t="str">
        <f>SUMIFS(Del!C:C,Del!B:B,A844)</f>
        <v>1</v>
      </c>
      <c r="J844" s="106" t="str">
        <f t="shared" si="5"/>
        <v>0</v>
      </c>
      <c r="K844" s="106" t="str">
        <f t="shared" si="6"/>
        <v>0</v>
      </c>
      <c r="L844" s="106"/>
      <c r="M844" s="106" t="str">
        <f>SUMIFS(Ere!C:C,Ere!B:B,A844)</f>
        <v>0</v>
      </c>
      <c r="N844" s="106" t="str">
        <f t="shared" si="7"/>
        <v>1</v>
      </c>
      <c r="O844" s="107" t="str">
        <f t="array" ref="O844">XLOOKUP(A844,Data!F:F,Data!O:O)</f>
        <v>  2.19 </v>
      </c>
      <c r="P844" s="107" t="str">
        <f t="shared" si="8"/>
        <v>  5.46 </v>
      </c>
      <c r="Q844" s="27"/>
    </row>
    <row r="845" ht="15.75" customHeight="1">
      <c r="A845" s="105" t="s">
        <v>1089</v>
      </c>
      <c r="B845" s="19" t="str">
        <f t="array" ref="B845">XLOOKUP(A845,Data!F:F,Data!G:G)</f>
        <v>J1A</v>
      </c>
      <c r="C845" s="19" t="str">
        <f t="shared" si="3"/>
        <v>J120</v>
      </c>
      <c r="D845" s="19" t="str">
        <f t="array" ref="D845">XLOOKUP(A845,Data!F:F,Data!C:C)</f>
        <v/>
      </c>
      <c r="E845" s="19" t="str">
        <f t="array" ref="E845">XLOOKUP(A845,Data!F:F,Data!H:H)</f>
        <v>BW</v>
      </c>
      <c r="F845" s="106" t="str">
        <f>SUMIFS(Data!J:J,Data!F:F,A845)</f>
        <v>1</v>
      </c>
      <c r="G845" s="106" t="str">
        <f>SUMIFS(Cast!C:C,CastElements,A845)</f>
        <v>1</v>
      </c>
      <c r="H845" s="106" t="str">
        <f t="shared" si="4"/>
        <v>0</v>
      </c>
      <c r="I845" s="106" t="str">
        <f>SUMIFS(Del!C:C,Del!B:B,A845)</f>
        <v>1</v>
      </c>
      <c r="J845" s="106" t="str">
        <f t="shared" si="5"/>
        <v>0</v>
      </c>
      <c r="K845" s="106" t="str">
        <f t="shared" si="6"/>
        <v>0</v>
      </c>
      <c r="L845" s="106"/>
      <c r="M845" s="106" t="str">
        <f>SUMIFS(Ere!C:C,Ere!B:B,A845)</f>
        <v>1</v>
      </c>
      <c r="N845" s="106" t="str">
        <f t="shared" si="7"/>
        <v>0</v>
      </c>
      <c r="O845" s="107" t="str">
        <f t="array" ref="O845">XLOOKUP(A845,Data!F:F,Data!O:O)</f>
        <v>  1.85 </v>
      </c>
      <c r="P845" s="107" t="str">
        <f t="shared" si="8"/>
        <v>  4.62 </v>
      </c>
      <c r="Q845" s="27"/>
    </row>
    <row r="846" ht="15.75" customHeight="1">
      <c r="A846" s="105" t="s">
        <v>1090</v>
      </c>
      <c r="B846" s="19" t="str">
        <f t="array" ref="B846">XLOOKUP(A846,Data!F:F,Data!G:G)</f>
        <v>J1A</v>
      </c>
      <c r="C846" s="19" t="str">
        <f t="shared" si="3"/>
        <v>J120</v>
      </c>
      <c r="D846" s="19" t="str">
        <f t="array" ref="D846">XLOOKUP(A846,Data!F:F,Data!C:C)</f>
        <v>EXT</v>
      </c>
      <c r="E846" s="19" t="str">
        <f t="array" ref="E846">XLOOKUP(A846,Data!F:F,Data!H:H)</f>
        <v>BW</v>
      </c>
      <c r="F846" s="106" t="str">
        <f>SUMIFS(Data!J:J,Data!F:F,A846)</f>
        <v>1</v>
      </c>
      <c r="G846" s="106" t="str">
        <f>SUMIFS(Cast!C:C,CastElements,A846)</f>
        <v>0</v>
      </c>
      <c r="H846" s="106" t="str">
        <f t="shared" si="4"/>
        <v>1</v>
      </c>
      <c r="I846" s="106" t="str">
        <f>SUMIFS(Del!C:C,Del!B:B,A846)</f>
        <v>0</v>
      </c>
      <c r="J846" s="106" t="str">
        <f t="shared" si="5"/>
        <v>1</v>
      </c>
      <c r="K846" s="106" t="str">
        <f t="shared" si="6"/>
        <v>0</v>
      </c>
      <c r="L846" s="106"/>
      <c r="M846" s="106" t="str">
        <f>SUMIFS(Ere!C:C,Ere!B:B,A846)</f>
        <v>0</v>
      </c>
      <c r="N846" s="106" t="str">
        <f t="shared" si="7"/>
        <v>1</v>
      </c>
      <c r="O846" s="107" t="str">
        <f t="array" ref="O846">XLOOKUP(A846,Data!F:F,Data!O:O)</f>
        <v>  0.50 </v>
      </c>
      <c r="P846" s="107" t="str">
        <f t="shared" si="8"/>
        <v>  1.25 </v>
      </c>
      <c r="Q846" s="27"/>
    </row>
    <row r="847" ht="15.75" customHeight="1">
      <c r="A847" s="105" t="s">
        <v>1091</v>
      </c>
      <c r="B847" s="19" t="str">
        <f t="array" ref="B847">XLOOKUP(A847,Data!F:F,Data!G:G)</f>
        <v>J1A</v>
      </c>
      <c r="C847" s="19" t="str">
        <f t="shared" si="3"/>
        <v>J120</v>
      </c>
      <c r="D847" s="19" t="str">
        <f t="array" ref="D847">XLOOKUP(A847,Data!F:F,Data!C:C)</f>
        <v>EXT</v>
      </c>
      <c r="E847" s="19" t="str">
        <f t="array" ref="E847">XLOOKUP(A847,Data!F:F,Data!H:H)</f>
        <v>BW</v>
      </c>
      <c r="F847" s="106" t="str">
        <f>SUMIFS(Data!J:J,Data!F:F,A847)</f>
        <v>1</v>
      </c>
      <c r="G847" s="106" t="str">
        <f>SUMIFS(Cast!C:C,CastElements,A847)</f>
        <v>0</v>
      </c>
      <c r="H847" s="106" t="str">
        <f t="shared" si="4"/>
        <v>1</v>
      </c>
      <c r="I847" s="106" t="str">
        <f>SUMIFS(Del!C:C,Del!B:B,A847)</f>
        <v>0</v>
      </c>
      <c r="J847" s="106" t="str">
        <f t="shared" si="5"/>
        <v>1</v>
      </c>
      <c r="K847" s="106" t="str">
        <f t="shared" si="6"/>
        <v>0</v>
      </c>
      <c r="L847" s="106"/>
      <c r="M847" s="106" t="str">
        <f>SUMIFS(Ere!C:C,Ere!B:B,A847)</f>
        <v>0</v>
      </c>
      <c r="N847" s="106" t="str">
        <f t="shared" si="7"/>
        <v>1</v>
      </c>
      <c r="O847" s="107" t="str">
        <f t="array" ref="O847">XLOOKUP(A847,Data!F:F,Data!O:O)</f>
        <v>  0.50 </v>
      </c>
      <c r="P847" s="107" t="str">
        <f t="shared" si="8"/>
        <v>  1.25 </v>
      </c>
      <c r="Q847" s="27"/>
    </row>
    <row r="848" ht="15.75" customHeight="1">
      <c r="A848" s="105" t="s">
        <v>1092</v>
      </c>
      <c r="B848" s="19" t="str">
        <f t="array" ref="B848">XLOOKUP(A848,Data!F:F,Data!G:G)</f>
        <v>J1A</v>
      </c>
      <c r="C848" s="19" t="str">
        <f t="shared" si="3"/>
        <v>J120</v>
      </c>
      <c r="D848" s="19" t="str">
        <f t="array" ref="D848">XLOOKUP(A848,Data!F:F,Data!C:C)</f>
        <v>EXT</v>
      </c>
      <c r="E848" s="19" t="str">
        <f t="array" ref="E848">XLOOKUP(A848,Data!F:F,Data!H:H)</f>
        <v>BW</v>
      </c>
      <c r="F848" s="106" t="str">
        <f>SUMIFS(Data!J:J,Data!F:F,A848)</f>
        <v>1</v>
      </c>
      <c r="G848" s="106" t="str">
        <f>SUMIFS(Cast!C:C,CastElements,A848)</f>
        <v>1</v>
      </c>
      <c r="H848" s="106" t="str">
        <f t="shared" si="4"/>
        <v>0</v>
      </c>
      <c r="I848" s="106" t="str">
        <f>SUMIFS(Del!C:C,Del!B:B,A848)</f>
        <v>0</v>
      </c>
      <c r="J848" s="106" t="str">
        <f t="shared" si="5"/>
        <v>1</v>
      </c>
      <c r="K848" s="106" t="str">
        <f t="shared" si="6"/>
        <v>1</v>
      </c>
      <c r="L848" s="106"/>
      <c r="M848" s="106" t="str">
        <f>SUMIFS(Ere!C:C,Ere!B:B,A848)</f>
        <v>0</v>
      </c>
      <c r="N848" s="106" t="str">
        <f t="shared" si="7"/>
        <v>1</v>
      </c>
      <c r="O848" s="107" t="str">
        <f t="array" ref="O848">XLOOKUP(A848,Data!F:F,Data!O:O)</f>
        <v>  0.88 </v>
      </c>
      <c r="P848" s="107" t="str">
        <f t="shared" si="8"/>
        <v>  2.21 </v>
      </c>
      <c r="Q848" s="27"/>
    </row>
    <row r="849" ht="15.75" customHeight="1">
      <c r="A849" s="105" t="s">
        <v>1093</v>
      </c>
      <c r="B849" s="19" t="str">
        <f t="array" ref="B849">XLOOKUP(A849,Data!F:F,Data!G:G)</f>
        <v>J1A</v>
      </c>
      <c r="C849" s="19" t="str">
        <f t="shared" si="3"/>
        <v>J120</v>
      </c>
      <c r="D849" s="19" t="str">
        <f t="array" ref="D849">XLOOKUP(A849,Data!F:F,Data!C:C)</f>
        <v/>
      </c>
      <c r="E849" s="19" t="str">
        <f t="array" ref="E849">XLOOKUP(A849,Data!F:F,Data!H:H)</f>
        <v>BW</v>
      </c>
      <c r="F849" s="106" t="str">
        <f>SUMIFS(Data!J:J,Data!F:F,A849)</f>
        <v>1</v>
      </c>
      <c r="G849" s="106" t="str">
        <f>SUMIFS(Cast!C:C,CastElements,A849)</f>
        <v>1</v>
      </c>
      <c r="H849" s="106" t="str">
        <f t="shared" si="4"/>
        <v>0</v>
      </c>
      <c r="I849" s="106" t="str">
        <f>SUMIFS(Del!C:C,Del!B:B,A849)</f>
        <v>1</v>
      </c>
      <c r="J849" s="106" t="str">
        <f t="shared" si="5"/>
        <v>0</v>
      </c>
      <c r="K849" s="106" t="str">
        <f t="shared" si="6"/>
        <v>0</v>
      </c>
      <c r="L849" s="106"/>
      <c r="M849" s="106" t="str">
        <f>SUMIFS(Ere!C:C,Ere!B:B,A849)</f>
        <v>0</v>
      </c>
      <c r="N849" s="106" t="str">
        <f t="shared" si="7"/>
        <v>1</v>
      </c>
      <c r="O849" s="107" t="str">
        <f t="array" ref="O849">XLOOKUP(A849,Data!F:F,Data!O:O)</f>
        <v>  2.48 </v>
      </c>
      <c r="P849" s="107" t="str">
        <f t="shared" si="8"/>
        <v>  6.19 </v>
      </c>
      <c r="Q849" s="27"/>
    </row>
    <row r="850" ht="15.75" customHeight="1">
      <c r="A850" s="105" t="s">
        <v>1094</v>
      </c>
      <c r="B850" s="19" t="str">
        <f t="array" ref="B850">XLOOKUP(A850,Data!F:F,Data!G:G)</f>
        <v>J1A</v>
      </c>
      <c r="C850" s="19" t="str">
        <f t="shared" si="3"/>
        <v>J120</v>
      </c>
      <c r="D850" s="19" t="str">
        <f t="array" ref="D850">XLOOKUP(A850,Data!F:F,Data!C:C)</f>
        <v/>
      </c>
      <c r="E850" s="19" t="str">
        <f t="array" ref="E850">XLOOKUP(A850,Data!F:F,Data!H:H)</f>
        <v>BW</v>
      </c>
      <c r="F850" s="106" t="str">
        <f>SUMIFS(Data!J:J,Data!F:F,A850)</f>
        <v>1</v>
      </c>
      <c r="G850" s="106" t="str">
        <f>SUMIFS(Cast!C:C,CastElements,A850)</f>
        <v>1</v>
      </c>
      <c r="H850" s="106" t="str">
        <f t="shared" si="4"/>
        <v>0</v>
      </c>
      <c r="I850" s="106" t="str">
        <f>SUMIFS(Del!C:C,Del!B:B,A850)</f>
        <v>1</v>
      </c>
      <c r="J850" s="106" t="str">
        <f t="shared" si="5"/>
        <v>0</v>
      </c>
      <c r="K850" s="106" t="str">
        <f t="shared" si="6"/>
        <v>0</v>
      </c>
      <c r="L850" s="106"/>
      <c r="M850" s="106" t="str">
        <f>SUMIFS(Ere!C:C,Ere!B:B,A850)</f>
        <v>1</v>
      </c>
      <c r="N850" s="106" t="str">
        <f t="shared" si="7"/>
        <v>0</v>
      </c>
      <c r="O850" s="107" t="str">
        <f t="array" ref="O850">XLOOKUP(A850,Data!F:F,Data!O:O)</f>
        <v>  2.81 </v>
      </c>
      <c r="P850" s="107" t="str">
        <f t="shared" si="8"/>
        <v>  7.03 </v>
      </c>
      <c r="Q850" s="27"/>
    </row>
    <row r="851" ht="15.75" customHeight="1">
      <c r="A851" s="105" t="s">
        <v>1095</v>
      </c>
      <c r="B851" s="19" t="str">
        <f t="array" ref="B851">XLOOKUP(A851,Data!F:F,Data!G:G)</f>
        <v>J1A</v>
      </c>
      <c r="C851" s="19" t="str">
        <f t="shared" si="3"/>
        <v>J120</v>
      </c>
      <c r="D851" s="19" t="str">
        <f t="array" ref="D851">XLOOKUP(A851,Data!F:F,Data!C:C)</f>
        <v/>
      </c>
      <c r="E851" s="19" t="str">
        <f t="array" ref="E851">XLOOKUP(A851,Data!F:F,Data!H:H)</f>
        <v>BW</v>
      </c>
      <c r="F851" s="106" t="str">
        <f>SUMIFS(Data!J:J,Data!F:F,A851)</f>
        <v>1</v>
      </c>
      <c r="G851" s="106" t="str">
        <f>SUMIFS(Cast!C:C,CastElements,A851)</f>
        <v>1</v>
      </c>
      <c r="H851" s="106" t="str">
        <f t="shared" si="4"/>
        <v>0</v>
      </c>
      <c r="I851" s="106" t="str">
        <f>SUMIFS(Del!C:C,Del!B:B,A851)</f>
        <v>1</v>
      </c>
      <c r="J851" s="106" t="str">
        <f t="shared" si="5"/>
        <v>0</v>
      </c>
      <c r="K851" s="106" t="str">
        <f t="shared" si="6"/>
        <v>0</v>
      </c>
      <c r="L851" s="106"/>
      <c r="M851" s="106" t="str">
        <f>SUMIFS(Ere!C:C,Ere!B:B,A851)</f>
        <v>1</v>
      </c>
      <c r="N851" s="106" t="str">
        <f t="shared" si="7"/>
        <v>0</v>
      </c>
      <c r="O851" s="107" t="str">
        <f t="array" ref="O851">XLOOKUP(A851,Data!F:F,Data!O:O)</f>
        <v>  2.81 </v>
      </c>
      <c r="P851" s="107" t="str">
        <f t="shared" si="8"/>
        <v>  7.03 </v>
      </c>
      <c r="Q851" s="27"/>
    </row>
    <row r="852" ht="15.75" customHeight="1">
      <c r="A852" s="105" t="s">
        <v>1096</v>
      </c>
      <c r="B852" s="19" t="str">
        <f t="array" ref="B852">XLOOKUP(A852,Data!F:F,Data!G:G)</f>
        <v>J1A</v>
      </c>
      <c r="C852" s="19" t="str">
        <f t="shared" si="3"/>
        <v>J120</v>
      </c>
      <c r="D852" s="19" t="str">
        <f t="array" ref="D852">XLOOKUP(A852,Data!F:F,Data!C:C)</f>
        <v/>
      </c>
      <c r="E852" s="19" t="str">
        <f t="array" ref="E852">XLOOKUP(A852,Data!F:F,Data!H:H)</f>
        <v>BW</v>
      </c>
      <c r="F852" s="106" t="str">
        <f>SUMIFS(Data!J:J,Data!F:F,A852)</f>
        <v>1</v>
      </c>
      <c r="G852" s="106" t="str">
        <f>SUMIFS(Cast!C:C,CastElements,A852)</f>
        <v>1</v>
      </c>
      <c r="H852" s="106" t="str">
        <f t="shared" si="4"/>
        <v>0</v>
      </c>
      <c r="I852" s="106" t="str">
        <f>SUMIFS(Del!C:C,Del!B:B,A852)</f>
        <v>1</v>
      </c>
      <c r="J852" s="106" t="str">
        <f t="shared" si="5"/>
        <v>0</v>
      </c>
      <c r="K852" s="106" t="str">
        <f t="shared" si="6"/>
        <v>0</v>
      </c>
      <c r="L852" s="106"/>
      <c r="M852" s="106" t="str">
        <f>SUMIFS(Ere!C:C,Ere!B:B,A852)</f>
        <v>0</v>
      </c>
      <c r="N852" s="106" t="str">
        <f t="shared" si="7"/>
        <v>1</v>
      </c>
      <c r="O852" s="107" t="str">
        <f t="array" ref="O852">XLOOKUP(A852,Data!F:F,Data!O:O)</f>
        <v>  2.82 </v>
      </c>
      <c r="P852" s="107" t="str">
        <f t="shared" si="8"/>
        <v>  7.04 </v>
      </c>
      <c r="Q852" s="27"/>
    </row>
    <row r="853" ht="15.75" customHeight="1">
      <c r="A853" s="105" t="s">
        <v>1097</v>
      </c>
      <c r="B853" s="19" t="str">
        <f t="array" ref="B853">XLOOKUP(A853,Data!F:F,Data!G:G)</f>
        <v>J1A</v>
      </c>
      <c r="C853" s="19" t="str">
        <f t="shared" si="3"/>
        <v>J120</v>
      </c>
      <c r="D853" s="19" t="str">
        <f t="array" ref="D853">XLOOKUP(A853,Data!F:F,Data!C:C)</f>
        <v/>
      </c>
      <c r="E853" s="19" t="str">
        <f t="array" ref="E853">XLOOKUP(A853,Data!F:F,Data!H:H)</f>
        <v>BW</v>
      </c>
      <c r="F853" s="106" t="str">
        <f>SUMIFS(Data!J:J,Data!F:F,A853)</f>
        <v>1</v>
      </c>
      <c r="G853" s="106" t="str">
        <f>SUMIFS(Cast!C:C,CastElements,A853)</f>
        <v>1</v>
      </c>
      <c r="H853" s="106" t="str">
        <f t="shared" si="4"/>
        <v>0</v>
      </c>
      <c r="I853" s="106" t="str">
        <f>SUMIFS(Del!C:C,Del!B:B,A853)</f>
        <v>0</v>
      </c>
      <c r="J853" s="106" t="str">
        <f t="shared" si="5"/>
        <v>1</v>
      </c>
      <c r="K853" s="106" t="str">
        <f t="shared" si="6"/>
        <v>1</v>
      </c>
      <c r="L853" s="106"/>
      <c r="M853" s="106" t="str">
        <f>SUMIFS(Ere!C:C,Ere!B:B,A853)</f>
        <v>0</v>
      </c>
      <c r="N853" s="106" t="str">
        <f t="shared" si="7"/>
        <v>1</v>
      </c>
      <c r="O853" s="107" t="str">
        <f t="array" ref="O853">XLOOKUP(A853,Data!F:F,Data!O:O)</f>
        <v>  2.61 </v>
      </c>
      <c r="P853" s="107" t="str">
        <f t="shared" si="8"/>
        <v>  6.53 </v>
      </c>
      <c r="Q853" s="27"/>
    </row>
    <row r="854" ht="15.75" customHeight="1">
      <c r="A854" s="105" t="s">
        <v>1098</v>
      </c>
      <c r="B854" s="19" t="str">
        <f t="array" ref="B854">XLOOKUP(A854,Data!F:F,Data!G:G)</f>
        <v>J1A</v>
      </c>
      <c r="C854" s="19" t="str">
        <f t="shared" si="3"/>
        <v>J120</v>
      </c>
      <c r="D854" s="19" t="str">
        <f t="array" ref="D854">XLOOKUP(A854,Data!F:F,Data!C:C)</f>
        <v>EXT</v>
      </c>
      <c r="E854" s="19" t="str">
        <f t="array" ref="E854">XLOOKUP(A854,Data!F:F,Data!H:H)</f>
        <v>BW</v>
      </c>
      <c r="F854" s="106" t="str">
        <f>SUMIFS(Data!J:J,Data!F:F,A854)</f>
        <v>1</v>
      </c>
      <c r="G854" s="106" t="str">
        <f>SUMIFS(Cast!C:C,CastElements,A854)</f>
        <v>0</v>
      </c>
      <c r="H854" s="106" t="str">
        <f t="shared" si="4"/>
        <v>1</v>
      </c>
      <c r="I854" s="106" t="str">
        <f>SUMIFS(Del!C:C,Del!B:B,A854)</f>
        <v>0</v>
      </c>
      <c r="J854" s="106" t="str">
        <f t="shared" si="5"/>
        <v>1</v>
      </c>
      <c r="K854" s="106" t="str">
        <f t="shared" si="6"/>
        <v>0</v>
      </c>
      <c r="L854" s="106"/>
      <c r="M854" s="106" t="str">
        <f>SUMIFS(Ere!C:C,Ere!B:B,A854)</f>
        <v>0</v>
      </c>
      <c r="N854" s="106" t="str">
        <f t="shared" si="7"/>
        <v>1</v>
      </c>
      <c r="O854" s="107" t="str">
        <f t="array" ref="O854">XLOOKUP(A854,Data!F:F,Data!O:O)</f>
        <v>  1.01 </v>
      </c>
      <c r="P854" s="107" t="str">
        <f t="shared" si="8"/>
        <v>  2.52 </v>
      </c>
      <c r="Q854" s="27"/>
    </row>
    <row r="855" ht="15.75" customHeight="1">
      <c r="A855" s="105" t="s">
        <v>1099</v>
      </c>
      <c r="B855" s="19" t="str">
        <f t="array" ref="B855">XLOOKUP(A855,Data!F:F,Data!G:G)</f>
        <v>J1A</v>
      </c>
      <c r="C855" s="19" t="str">
        <f t="shared" si="3"/>
        <v>J120</v>
      </c>
      <c r="D855" s="19" t="str">
        <f t="array" ref="D855">XLOOKUP(A855,Data!F:F,Data!C:C)</f>
        <v/>
      </c>
      <c r="E855" s="19" t="str">
        <f t="array" ref="E855">XLOOKUP(A855,Data!F:F,Data!H:H)</f>
        <v>BW</v>
      </c>
      <c r="F855" s="106" t="str">
        <f>SUMIFS(Data!J:J,Data!F:F,A855)</f>
        <v>1</v>
      </c>
      <c r="G855" s="106" t="str">
        <f>SUMIFS(Cast!C:C,CastElements,A855)</f>
        <v>1</v>
      </c>
      <c r="H855" s="106" t="str">
        <f t="shared" si="4"/>
        <v>0</v>
      </c>
      <c r="I855" s="106" t="str">
        <f>SUMIFS(Del!C:C,Del!B:B,A855)</f>
        <v>0</v>
      </c>
      <c r="J855" s="106" t="str">
        <f t="shared" si="5"/>
        <v>1</v>
      </c>
      <c r="K855" s="106" t="str">
        <f t="shared" si="6"/>
        <v>1</v>
      </c>
      <c r="L855" s="106"/>
      <c r="M855" s="106" t="str">
        <f>SUMIFS(Ere!C:C,Ere!B:B,A855)</f>
        <v>0</v>
      </c>
      <c r="N855" s="106" t="str">
        <f t="shared" si="7"/>
        <v>1</v>
      </c>
      <c r="O855" s="107" t="str">
        <f t="array" ref="O855">XLOOKUP(A855,Data!F:F,Data!O:O)</f>
        <v>  0.42 </v>
      </c>
      <c r="P855" s="107" t="str">
        <f t="shared" si="8"/>
        <v>  1.04 </v>
      </c>
      <c r="Q855" s="27"/>
    </row>
    <row r="856" ht="15.75" customHeight="1">
      <c r="A856" s="105" t="s">
        <v>1100</v>
      </c>
      <c r="B856" s="19" t="str">
        <f t="array" ref="B856">XLOOKUP(A856,Data!F:F,Data!G:G)</f>
        <v>J1A</v>
      </c>
      <c r="C856" s="19" t="str">
        <f t="shared" si="3"/>
        <v>J120</v>
      </c>
      <c r="D856" s="19" t="str">
        <f t="array" ref="D856">XLOOKUP(A856,Data!F:F,Data!C:C)</f>
        <v/>
      </c>
      <c r="E856" s="19" t="str">
        <f t="array" ref="E856">XLOOKUP(A856,Data!F:F,Data!H:H)</f>
        <v>BW</v>
      </c>
      <c r="F856" s="106" t="str">
        <f>SUMIFS(Data!J:J,Data!F:F,A856)</f>
        <v>1</v>
      </c>
      <c r="G856" s="106" t="str">
        <f>SUMIFS(Cast!C:C,CastElements,A856)</f>
        <v>1</v>
      </c>
      <c r="H856" s="106" t="str">
        <f t="shared" si="4"/>
        <v>0</v>
      </c>
      <c r="I856" s="106" t="str">
        <f>SUMIFS(Del!C:C,Del!B:B,A856)</f>
        <v>0</v>
      </c>
      <c r="J856" s="106" t="str">
        <f t="shared" si="5"/>
        <v>1</v>
      </c>
      <c r="K856" s="106" t="str">
        <f t="shared" si="6"/>
        <v>1</v>
      </c>
      <c r="L856" s="106"/>
      <c r="M856" s="106" t="str">
        <f>SUMIFS(Ere!C:C,Ere!B:B,A856)</f>
        <v>0</v>
      </c>
      <c r="N856" s="106" t="str">
        <f t="shared" si="7"/>
        <v>1</v>
      </c>
      <c r="O856" s="107" t="str">
        <f t="array" ref="O856">XLOOKUP(A856,Data!F:F,Data!O:O)</f>
        <v>  0.52 </v>
      </c>
      <c r="P856" s="107" t="str">
        <f t="shared" si="8"/>
        <v>  1.31 </v>
      </c>
      <c r="Q856" s="27"/>
    </row>
    <row r="857" ht="15.75" customHeight="1">
      <c r="A857" s="105" t="s">
        <v>1101</v>
      </c>
      <c r="B857" s="19" t="str">
        <f t="array" ref="B857">XLOOKUP(A857,Data!F:F,Data!G:G)</f>
        <v>J1A</v>
      </c>
      <c r="C857" s="19" t="str">
        <f t="shared" si="3"/>
        <v>J120</v>
      </c>
      <c r="D857" s="19" t="str">
        <f t="array" ref="D857">XLOOKUP(A857,Data!F:F,Data!C:C)</f>
        <v/>
      </c>
      <c r="E857" s="19" t="str">
        <f t="array" ref="E857">XLOOKUP(A857,Data!F:F,Data!H:H)</f>
        <v>BW</v>
      </c>
      <c r="F857" s="106" t="str">
        <f>SUMIFS(Data!J:J,Data!F:F,A857)</f>
        <v>1</v>
      </c>
      <c r="G857" s="106" t="str">
        <f>SUMIFS(Cast!C:C,CastElements,A857)</f>
        <v>1</v>
      </c>
      <c r="H857" s="106" t="str">
        <f t="shared" si="4"/>
        <v>0</v>
      </c>
      <c r="I857" s="106" t="str">
        <f>SUMIFS(Del!C:C,Del!B:B,A857)</f>
        <v>1</v>
      </c>
      <c r="J857" s="106" t="str">
        <f t="shared" si="5"/>
        <v>0</v>
      </c>
      <c r="K857" s="106" t="str">
        <f t="shared" si="6"/>
        <v>0</v>
      </c>
      <c r="L857" s="106"/>
      <c r="M857" s="106" t="str">
        <f>SUMIFS(Ere!C:C,Ere!B:B,A857)</f>
        <v>0</v>
      </c>
      <c r="N857" s="106" t="str">
        <f t="shared" si="7"/>
        <v>1</v>
      </c>
      <c r="O857" s="107" t="str">
        <f t="array" ref="O857">XLOOKUP(A857,Data!F:F,Data!O:O)</f>
        <v>  0.47 </v>
      </c>
      <c r="P857" s="107" t="str">
        <f t="shared" si="8"/>
        <v>  1.17 </v>
      </c>
      <c r="Q857" s="27"/>
    </row>
    <row r="858" ht="15.75" customHeight="1">
      <c r="A858" s="109" t="s">
        <v>1102</v>
      </c>
      <c r="B858" s="19" t="str">
        <f t="array" ref="B858">XLOOKUP(A858,Data!F:F,Data!G:G)</f>
        <v>J1A</v>
      </c>
      <c r="C858" s="19" t="str">
        <f t="shared" si="3"/>
        <v>J120</v>
      </c>
      <c r="D858" s="19" t="str">
        <f t="array" ref="D858">XLOOKUP(A858,Data!F:F,Data!C:C)</f>
        <v/>
      </c>
      <c r="E858" s="19" t="str">
        <f t="array" ref="E858">XLOOKUP(A858,Data!F:F,Data!H:H)</f>
        <v>CF</v>
      </c>
      <c r="F858" s="106" t="str">
        <f>SUMIFS(Data!J:J,Data!F:F,A858)</f>
        <v>1</v>
      </c>
      <c r="G858" s="106" t="str">
        <f>SUMIFS(Cast!C:C,CastElements,A858)</f>
        <v>1</v>
      </c>
      <c r="H858" s="106" t="str">
        <f t="shared" si="4"/>
        <v>0</v>
      </c>
      <c r="I858" s="106" t="str">
        <f>SUMIFS(Del!C:C,Del!B:B,A858)</f>
        <v>0</v>
      </c>
      <c r="J858" s="106" t="str">
        <f t="shared" si="5"/>
        <v>1</v>
      </c>
      <c r="K858" s="106" t="str">
        <f t="shared" si="6"/>
        <v>1</v>
      </c>
      <c r="L858" s="106"/>
      <c r="M858" s="106" t="str">
        <f>SUMIFS(Ere!C:C,Ere!B:B,A858)</f>
        <v>0</v>
      </c>
      <c r="N858" s="106" t="str">
        <f t="shared" si="7"/>
        <v>1</v>
      </c>
      <c r="O858" s="107" t="str">
        <f t="array" ref="O858">XLOOKUP(A858,Data!F:F,Data!O:O)</f>
        <v>  0.30 </v>
      </c>
      <c r="P858" s="107" t="str">
        <f t="shared" si="8"/>
        <v>  0.74 </v>
      </c>
      <c r="Q858" s="27"/>
    </row>
    <row r="859" ht="15.75" customHeight="1">
      <c r="A859" s="109" t="s">
        <v>1103</v>
      </c>
      <c r="B859" s="19" t="str">
        <f t="array" ref="B859">XLOOKUP(A859,Data!F:F,Data!G:G)</f>
        <v>J1A</v>
      </c>
      <c r="C859" s="19" t="str">
        <f t="shared" si="3"/>
        <v>J120</v>
      </c>
      <c r="D859" s="19" t="str">
        <f t="array" ref="D859">XLOOKUP(A859,Data!F:F,Data!C:C)</f>
        <v/>
      </c>
      <c r="E859" s="19" t="str">
        <f t="array" ref="E859">XLOOKUP(A859,Data!F:F,Data!H:H)</f>
        <v>CF</v>
      </c>
      <c r="F859" s="106" t="str">
        <f>SUMIFS(Data!J:J,Data!F:F,A859)</f>
        <v>1</v>
      </c>
      <c r="G859" s="106" t="str">
        <f>SUMIFS(Cast!C:C,CastElements,A859)</f>
        <v>1</v>
      </c>
      <c r="H859" s="106" t="str">
        <f t="shared" si="4"/>
        <v>0</v>
      </c>
      <c r="I859" s="106" t="str">
        <f>SUMIFS(Del!C:C,Del!B:B,A859)</f>
        <v>0</v>
      </c>
      <c r="J859" s="106" t="str">
        <f t="shared" si="5"/>
        <v>1</v>
      </c>
      <c r="K859" s="106" t="str">
        <f t="shared" si="6"/>
        <v>1</v>
      </c>
      <c r="L859" s="106"/>
      <c r="M859" s="106" t="str">
        <f>SUMIFS(Ere!C:C,Ere!B:B,A859)</f>
        <v>0</v>
      </c>
      <c r="N859" s="106" t="str">
        <f t="shared" si="7"/>
        <v>1</v>
      </c>
      <c r="O859" s="107" t="str">
        <f t="array" ref="O859">XLOOKUP(A859,Data!F:F,Data!O:O)</f>
        <v>  0.60 </v>
      </c>
      <c r="P859" s="107" t="str">
        <f t="shared" si="8"/>
        <v>  1.50 </v>
      </c>
      <c r="Q859" s="27"/>
    </row>
    <row r="860" ht="15.75" customHeight="1">
      <c r="A860" s="105" t="s">
        <v>1104</v>
      </c>
      <c r="B860" s="19" t="str">
        <f t="array" ref="B860">XLOOKUP(A860,Data!F:F,Data!G:G)</f>
        <v>J1A</v>
      </c>
      <c r="C860" s="19" t="str">
        <f t="shared" si="3"/>
        <v>J120</v>
      </c>
      <c r="D860" s="19" t="str">
        <f t="array" ref="D860">XLOOKUP(A860,Data!F:F,Data!C:C)</f>
        <v>EXT</v>
      </c>
      <c r="E860" s="19" t="str">
        <f t="array" ref="E860">XLOOKUP(A860,Data!F:F,Data!H:H)</f>
        <v>BW</v>
      </c>
      <c r="F860" s="106" t="str">
        <f>SUMIFS(Data!J:J,Data!F:F,A860)</f>
        <v>1</v>
      </c>
      <c r="G860" s="106" t="str">
        <f>SUMIFS(Cast!C:C,CastElements,A860)</f>
        <v>1</v>
      </c>
      <c r="H860" s="106" t="str">
        <f t="shared" si="4"/>
        <v>0</v>
      </c>
      <c r="I860" s="106" t="str">
        <f>SUMIFS(Del!C:C,Del!B:B,A860)</f>
        <v>0</v>
      </c>
      <c r="J860" s="106" t="str">
        <f t="shared" si="5"/>
        <v>1</v>
      </c>
      <c r="K860" s="106" t="str">
        <f t="shared" si="6"/>
        <v>1</v>
      </c>
      <c r="L860" s="106"/>
      <c r="M860" s="106" t="str">
        <f>SUMIFS(Ere!C:C,Ere!B:B,A860)</f>
        <v>0</v>
      </c>
      <c r="N860" s="106" t="str">
        <f t="shared" si="7"/>
        <v>1</v>
      </c>
      <c r="O860" s="107" t="str">
        <f t="array" ref="O860">XLOOKUP(A860,Data!F:F,Data!O:O)</f>
        <v>  1.07 </v>
      </c>
      <c r="P860" s="107" t="str">
        <f t="shared" si="8"/>
        <v>  2.67 </v>
      </c>
      <c r="Q860" s="27"/>
    </row>
    <row r="861" ht="15.75" customHeight="1">
      <c r="A861" s="105" t="s">
        <v>1105</v>
      </c>
      <c r="B861" s="19" t="str">
        <f t="array" ref="B861">XLOOKUP(A861,Data!F:F,Data!G:G)</f>
        <v>J1A</v>
      </c>
      <c r="C861" s="19" t="str">
        <f t="shared" si="3"/>
        <v>J121</v>
      </c>
      <c r="D861" s="19" t="str">
        <f t="array" ref="D861">XLOOKUP(A861,Data!F:F,Data!C:C)</f>
        <v/>
      </c>
      <c r="E861" s="19" t="str">
        <f t="array" ref="E861">XLOOKUP(A861,Data!F:F,Data!H:H)</f>
        <v>BW</v>
      </c>
      <c r="F861" s="106" t="str">
        <f>SUMIFS(Data!J:J,Data!F:F,A861)</f>
        <v>1</v>
      </c>
      <c r="G861" s="106" t="str">
        <f>SUMIFS(Cast!C:C,CastElements,A861)</f>
        <v>1</v>
      </c>
      <c r="H861" s="106" t="str">
        <f t="shared" si="4"/>
        <v>0</v>
      </c>
      <c r="I861" s="106" t="str">
        <f>SUMIFS(Del!C:C,Del!B:B,A861)</f>
        <v>1</v>
      </c>
      <c r="J861" s="106" t="str">
        <f t="shared" si="5"/>
        <v>0</v>
      </c>
      <c r="K861" s="106" t="str">
        <f t="shared" si="6"/>
        <v>0</v>
      </c>
      <c r="L861" s="106"/>
      <c r="M861" s="106" t="str">
        <f>SUMIFS(Ere!C:C,Ere!B:B,A861)</f>
        <v>1</v>
      </c>
      <c r="N861" s="106" t="str">
        <f t="shared" si="7"/>
        <v>0</v>
      </c>
      <c r="O861" s="107" t="str">
        <f t="array" ref="O861">XLOOKUP(A861,Data!F:F,Data!O:O)</f>
        <v>  2.01 </v>
      </c>
      <c r="P861" s="107" t="str">
        <f t="shared" si="8"/>
        <v>  5.03 </v>
      </c>
      <c r="Q861" s="27"/>
    </row>
    <row r="862" ht="15.75" customHeight="1">
      <c r="A862" s="105" t="s">
        <v>1106</v>
      </c>
      <c r="B862" s="19" t="str">
        <f t="array" ref="B862">XLOOKUP(A862,Data!F:F,Data!G:G)</f>
        <v>J1A</v>
      </c>
      <c r="C862" s="19" t="str">
        <f t="shared" si="3"/>
        <v>J121</v>
      </c>
      <c r="D862" s="19" t="str">
        <f t="array" ref="D862">XLOOKUP(A862,Data!F:F,Data!C:C)</f>
        <v/>
      </c>
      <c r="E862" s="19" t="str">
        <f t="array" ref="E862">XLOOKUP(A862,Data!F:F,Data!H:H)</f>
        <v>BW</v>
      </c>
      <c r="F862" s="106" t="str">
        <f>SUMIFS(Data!J:J,Data!F:F,A862)</f>
        <v>1</v>
      </c>
      <c r="G862" s="106" t="str">
        <f>SUMIFS(Cast!C:C,CastElements,A862)</f>
        <v>1</v>
      </c>
      <c r="H862" s="106" t="str">
        <f t="shared" si="4"/>
        <v>0</v>
      </c>
      <c r="I862" s="106" t="str">
        <f>SUMIFS(Del!C:C,Del!B:B,A862)</f>
        <v>1</v>
      </c>
      <c r="J862" s="106" t="str">
        <f t="shared" si="5"/>
        <v>0</v>
      </c>
      <c r="K862" s="106" t="str">
        <f t="shared" si="6"/>
        <v>0</v>
      </c>
      <c r="L862" s="106"/>
      <c r="M862" s="106" t="str">
        <f>SUMIFS(Ere!C:C,Ere!B:B,A862)</f>
        <v>1</v>
      </c>
      <c r="N862" s="106" t="str">
        <f t="shared" si="7"/>
        <v>0</v>
      </c>
      <c r="O862" s="107" t="str">
        <f t="array" ref="O862">XLOOKUP(A862,Data!F:F,Data!O:O)</f>
        <v>  2.35 </v>
      </c>
      <c r="P862" s="107" t="str">
        <f t="shared" si="8"/>
        <v>  5.87 </v>
      </c>
      <c r="Q862" s="27"/>
    </row>
    <row r="863" ht="15.75" customHeight="1">
      <c r="A863" s="105" t="s">
        <v>1107</v>
      </c>
      <c r="B863" s="19" t="str">
        <f t="array" ref="B863">XLOOKUP(A863,Data!F:F,Data!G:G)</f>
        <v>J1A</v>
      </c>
      <c r="C863" s="19" t="str">
        <f t="shared" si="3"/>
        <v>J121</v>
      </c>
      <c r="D863" s="19" t="str">
        <f t="array" ref="D863">XLOOKUP(A863,Data!F:F,Data!C:C)</f>
        <v/>
      </c>
      <c r="E863" s="19" t="str">
        <f t="array" ref="E863">XLOOKUP(A863,Data!F:F,Data!H:H)</f>
        <v>BW</v>
      </c>
      <c r="F863" s="106" t="str">
        <f>SUMIFS(Data!J:J,Data!F:F,A863)</f>
        <v>1</v>
      </c>
      <c r="G863" s="106" t="str">
        <f>SUMIFS(Cast!C:C,CastElements,A863)</f>
        <v>1</v>
      </c>
      <c r="H863" s="106" t="str">
        <f t="shared" si="4"/>
        <v>0</v>
      </c>
      <c r="I863" s="106" t="str">
        <f>SUMIFS(Del!C:C,Del!B:B,A863)</f>
        <v>1</v>
      </c>
      <c r="J863" s="106" t="str">
        <f t="shared" si="5"/>
        <v>0</v>
      </c>
      <c r="K863" s="106" t="str">
        <f t="shared" si="6"/>
        <v>0</v>
      </c>
      <c r="L863" s="106"/>
      <c r="M863" s="106" t="str">
        <f>SUMIFS(Ere!C:C,Ere!B:B,A863)</f>
        <v>1</v>
      </c>
      <c r="N863" s="106" t="str">
        <f t="shared" si="7"/>
        <v>0</v>
      </c>
      <c r="O863" s="107" t="str">
        <f t="array" ref="O863">XLOOKUP(A863,Data!F:F,Data!O:O)</f>
        <v>  2.35 </v>
      </c>
      <c r="P863" s="107" t="str">
        <f t="shared" si="8"/>
        <v>  5.87 </v>
      </c>
      <c r="Q863" s="27"/>
    </row>
    <row r="864" ht="15.75" customHeight="1">
      <c r="A864" s="105" t="s">
        <v>1108</v>
      </c>
      <c r="B864" s="19" t="str">
        <f t="array" ref="B864">XLOOKUP(A864,Data!F:F,Data!G:G)</f>
        <v>J1A</v>
      </c>
      <c r="C864" s="19" t="str">
        <f t="shared" si="3"/>
        <v>J121</v>
      </c>
      <c r="D864" s="19" t="str">
        <f t="array" ref="D864">XLOOKUP(A864,Data!F:F,Data!C:C)</f>
        <v/>
      </c>
      <c r="E864" s="19" t="str">
        <f t="array" ref="E864">XLOOKUP(A864,Data!F:F,Data!H:H)</f>
        <v>BW</v>
      </c>
      <c r="F864" s="106" t="str">
        <f>SUMIFS(Data!J:J,Data!F:F,A864)</f>
        <v>1</v>
      </c>
      <c r="G864" s="106" t="str">
        <f>SUMIFS(Cast!C:C,CastElements,A864)</f>
        <v>1</v>
      </c>
      <c r="H864" s="106" t="str">
        <f t="shared" si="4"/>
        <v>0</v>
      </c>
      <c r="I864" s="106" t="str">
        <f>SUMIFS(Del!C:C,Del!B:B,A864)</f>
        <v>1</v>
      </c>
      <c r="J864" s="106" t="str">
        <f t="shared" si="5"/>
        <v>0</v>
      </c>
      <c r="K864" s="106" t="str">
        <f t="shared" si="6"/>
        <v>0</v>
      </c>
      <c r="L864" s="106"/>
      <c r="M864" s="106" t="str">
        <f>SUMIFS(Ere!C:C,Ere!B:B,A864)</f>
        <v>1</v>
      </c>
      <c r="N864" s="106" t="str">
        <f t="shared" si="7"/>
        <v>0</v>
      </c>
      <c r="O864" s="107" t="str">
        <f t="array" ref="O864">XLOOKUP(A864,Data!F:F,Data!O:O)</f>
        <v>  2.36 </v>
      </c>
      <c r="P864" s="107" t="str">
        <f t="shared" si="8"/>
        <v>  5.89 </v>
      </c>
      <c r="Q864" s="27"/>
    </row>
    <row r="865" ht="15.75" customHeight="1">
      <c r="A865" s="105" t="s">
        <v>1109</v>
      </c>
      <c r="B865" s="19" t="str">
        <f t="array" ref="B865">XLOOKUP(A865,Data!F:F,Data!G:G)</f>
        <v>J1A</v>
      </c>
      <c r="C865" s="19" t="str">
        <f t="shared" si="3"/>
        <v>J121</v>
      </c>
      <c r="D865" s="19" t="str">
        <f t="array" ref="D865">XLOOKUP(A865,Data!F:F,Data!C:C)</f>
        <v/>
      </c>
      <c r="E865" s="19" t="str">
        <f t="array" ref="E865">XLOOKUP(A865,Data!F:F,Data!H:H)</f>
        <v>BW</v>
      </c>
      <c r="F865" s="106" t="str">
        <f>SUMIFS(Data!J:J,Data!F:F,A865)</f>
        <v>1</v>
      </c>
      <c r="G865" s="106" t="str">
        <f>SUMIFS(Cast!C:C,CastElements,A865)</f>
        <v>1</v>
      </c>
      <c r="H865" s="106" t="str">
        <f t="shared" si="4"/>
        <v>0</v>
      </c>
      <c r="I865" s="106" t="str">
        <f>SUMIFS(Del!C:C,Del!B:B,A865)</f>
        <v>0</v>
      </c>
      <c r="J865" s="106" t="str">
        <f t="shared" si="5"/>
        <v>1</v>
      </c>
      <c r="K865" s="106" t="str">
        <f t="shared" si="6"/>
        <v>1</v>
      </c>
      <c r="L865" s="106"/>
      <c r="M865" s="106" t="str">
        <f>SUMIFS(Ere!C:C,Ere!B:B,A865)</f>
        <v>0</v>
      </c>
      <c r="N865" s="106" t="str">
        <f t="shared" si="7"/>
        <v>1</v>
      </c>
      <c r="O865" s="107" t="str">
        <f t="array" ref="O865">XLOOKUP(A865,Data!F:F,Data!O:O)</f>
        <v>  2.17 </v>
      </c>
      <c r="P865" s="107" t="str">
        <f t="shared" si="8"/>
        <v>  5.43 </v>
      </c>
      <c r="Q865" s="27"/>
    </row>
    <row r="866" ht="15.75" customHeight="1">
      <c r="A866" s="105" t="s">
        <v>1110</v>
      </c>
      <c r="B866" s="19" t="str">
        <f t="array" ref="B866">XLOOKUP(A866,Data!F:F,Data!G:G)</f>
        <v>J1A</v>
      </c>
      <c r="C866" s="19" t="str">
        <f t="shared" si="3"/>
        <v>J121</v>
      </c>
      <c r="D866" s="19" t="str">
        <f t="array" ref="D866">XLOOKUP(A866,Data!F:F,Data!C:C)</f>
        <v/>
      </c>
      <c r="E866" s="19" t="str">
        <f t="array" ref="E866">XLOOKUP(A866,Data!F:F,Data!H:H)</f>
        <v>BW</v>
      </c>
      <c r="F866" s="106" t="str">
        <f>SUMIFS(Data!J:J,Data!F:F,A866)</f>
        <v>1</v>
      </c>
      <c r="G866" s="106" t="str">
        <f>SUMIFS(Cast!C:C,CastElements,A866)</f>
        <v>1</v>
      </c>
      <c r="H866" s="106" t="str">
        <f t="shared" si="4"/>
        <v>0</v>
      </c>
      <c r="I866" s="106" t="str">
        <f>SUMIFS(Del!C:C,Del!B:B,A866)</f>
        <v>1</v>
      </c>
      <c r="J866" s="106" t="str">
        <f t="shared" si="5"/>
        <v>0</v>
      </c>
      <c r="K866" s="106" t="str">
        <f t="shared" si="6"/>
        <v>0</v>
      </c>
      <c r="L866" s="106"/>
      <c r="M866" s="106" t="str">
        <f>SUMIFS(Ere!C:C,Ere!B:B,A866)</f>
        <v>1</v>
      </c>
      <c r="N866" s="106" t="str">
        <f t="shared" si="7"/>
        <v>0</v>
      </c>
      <c r="O866" s="107" t="str">
        <f t="array" ref="O866">XLOOKUP(A866,Data!F:F,Data!O:O)</f>
        <v>  2.17 </v>
      </c>
      <c r="P866" s="107" t="str">
        <f t="shared" si="8"/>
        <v>  5.43 </v>
      </c>
      <c r="Q866" s="27"/>
    </row>
    <row r="867" ht="15.75" customHeight="1">
      <c r="A867" s="105" t="s">
        <v>1111</v>
      </c>
      <c r="B867" s="19" t="str">
        <f t="array" ref="B867">XLOOKUP(A867,Data!F:F,Data!G:G)</f>
        <v>J1A</v>
      </c>
      <c r="C867" s="19" t="str">
        <f t="shared" si="3"/>
        <v>J121</v>
      </c>
      <c r="D867" s="19" t="str">
        <f t="array" ref="D867">XLOOKUP(A867,Data!F:F,Data!C:C)</f>
        <v/>
      </c>
      <c r="E867" s="19" t="str">
        <f t="array" ref="E867">XLOOKUP(A867,Data!F:F,Data!H:H)</f>
        <v>BW</v>
      </c>
      <c r="F867" s="106" t="str">
        <f>SUMIFS(Data!J:J,Data!F:F,A867)</f>
        <v>1</v>
      </c>
      <c r="G867" s="106" t="str">
        <f>SUMIFS(Cast!C:C,CastElements,A867)</f>
        <v>1</v>
      </c>
      <c r="H867" s="106" t="str">
        <f t="shared" si="4"/>
        <v>0</v>
      </c>
      <c r="I867" s="106" t="str">
        <f>SUMIFS(Del!C:C,Del!B:B,A867)</f>
        <v>1</v>
      </c>
      <c r="J867" s="106" t="str">
        <f t="shared" si="5"/>
        <v>0</v>
      </c>
      <c r="K867" s="106" t="str">
        <f t="shared" si="6"/>
        <v>0</v>
      </c>
      <c r="L867" s="106"/>
      <c r="M867" s="106" t="str">
        <f>SUMIFS(Ere!C:C,Ere!B:B,A867)</f>
        <v>1</v>
      </c>
      <c r="N867" s="106" t="str">
        <f t="shared" si="7"/>
        <v>0</v>
      </c>
      <c r="O867" s="107" t="str">
        <f t="array" ref="O867">XLOOKUP(A867,Data!F:F,Data!O:O)</f>
        <v>  2.17 </v>
      </c>
      <c r="P867" s="107" t="str">
        <f t="shared" si="8"/>
        <v>  5.43 </v>
      </c>
      <c r="Q867" s="27"/>
    </row>
    <row r="868" ht="15.75" customHeight="1">
      <c r="A868" s="105" t="s">
        <v>1112</v>
      </c>
      <c r="B868" s="19" t="str">
        <f t="array" ref="B868">XLOOKUP(A868,Data!F:F,Data!G:G)</f>
        <v>J1A</v>
      </c>
      <c r="C868" s="19" t="str">
        <f t="shared" si="3"/>
        <v>J121</v>
      </c>
      <c r="D868" s="19" t="str">
        <f t="array" ref="D868">XLOOKUP(A868,Data!F:F,Data!C:C)</f>
        <v/>
      </c>
      <c r="E868" s="19" t="str">
        <f t="array" ref="E868">XLOOKUP(A868,Data!F:F,Data!H:H)</f>
        <v>BW</v>
      </c>
      <c r="F868" s="106" t="str">
        <f>SUMIFS(Data!J:J,Data!F:F,A868)</f>
        <v>1</v>
      </c>
      <c r="G868" s="106" t="str">
        <f>SUMIFS(Cast!C:C,CastElements,A868)</f>
        <v>1</v>
      </c>
      <c r="H868" s="106" t="str">
        <f t="shared" si="4"/>
        <v>0</v>
      </c>
      <c r="I868" s="106" t="str">
        <f>SUMIFS(Del!C:C,Del!B:B,A868)</f>
        <v>1</v>
      </c>
      <c r="J868" s="106" t="str">
        <f t="shared" si="5"/>
        <v>0</v>
      </c>
      <c r="K868" s="106" t="str">
        <f t="shared" si="6"/>
        <v>0</v>
      </c>
      <c r="L868" s="106"/>
      <c r="M868" s="106" t="str">
        <f>SUMIFS(Ere!C:C,Ere!B:B,A868)</f>
        <v>1</v>
      </c>
      <c r="N868" s="106" t="str">
        <f t="shared" si="7"/>
        <v>0</v>
      </c>
      <c r="O868" s="107" t="str">
        <f t="array" ref="O868">XLOOKUP(A868,Data!F:F,Data!O:O)</f>
        <v>  2.17 </v>
      </c>
      <c r="P868" s="107" t="str">
        <f t="shared" si="8"/>
        <v>  5.43 </v>
      </c>
      <c r="Q868" s="27"/>
    </row>
    <row r="869" ht="15.75" customHeight="1">
      <c r="A869" s="105" t="s">
        <v>1113</v>
      </c>
      <c r="B869" s="19" t="str">
        <f t="array" ref="B869">XLOOKUP(A869,Data!F:F,Data!G:G)</f>
        <v>J1A</v>
      </c>
      <c r="C869" s="19" t="str">
        <f t="shared" si="3"/>
        <v>J121</v>
      </c>
      <c r="D869" s="19" t="str">
        <f t="array" ref="D869">XLOOKUP(A869,Data!F:F,Data!C:C)</f>
        <v/>
      </c>
      <c r="E869" s="19" t="str">
        <f t="array" ref="E869">XLOOKUP(A869,Data!F:F,Data!H:H)</f>
        <v>BW</v>
      </c>
      <c r="F869" s="106" t="str">
        <f>SUMIFS(Data!J:J,Data!F:F,A869)</f>
        <v>1</v>
      </c>
      <c r="G869" s="106" t="str">
        <f>SUMIFS(Cast!C:C,CastElements,A869)</f>
        <v>1</v>
      </c>
      <c r="H869" s="106" t="str">
        <f t="shared" si="4"/>
        <v>0</v>
      </c>
      <c r="I869" s="106" t="str">
        <f>SUMIFS(Del!C:C,Del!B:B,A869)</f>
        <v>1</v>
      </c>
      <c r="J869" s="106" t="str">
        <f t="shared" si="5"/>
        <v>0</v>
      </c>
      <c r="K869" s="106" t="str">
        <f t="shared" si="6"/>
        <v>0</v>
      </c>
      <c r="L869" s="106"/>
      <c r="M869" s="106" t="str">
        <f>SUMIFS(Ere!C:C,Ere!B:B,A869)</f>
        <v>1</v>
      </c>
      <c r="N869" s="106" t="str">
        <f t="shared" si="7"/>
        <v>0</v>
      </c>
      <c r="O869" s="107" t="str">
        <f t="array" ref="O869">XLOOKUP(A869,Data!F:F,Data!O:O)</f>
        <v>  2.17 </v>
      </c>
      <c r="P869" s="107" t="str">
        <f t="shared" si="8"/>
        <v>  5.43 </v>
      </c>
      <c r="Q869" s="27"/>
    </row>
    <row r="870" ht="15.75" customHeight="1">
      <c r="A870" s="105" t="s">
        <v>1114</v>
      </c>
      <c r="B870" s="19" t="str">
        <f t="array" ref="B870">XLOOKUP(A870,Data!F:F,Data!G:G)</f>
        <v>J1A</v>
      </c>
      <c r="C870" s="19" t="str">
        <f t="shared" si="3"/>
        <v>J121</v>
      </c>
      <c r="D870" s="19" t="str">
        <f t="array" ref="D870">XLOOKUP(A870,Data!F:F,Data!C:C)</f>
        <v/>
      </c>
      <c r="E870" s="19" t="str">
        <f t="array" ref="E870">XLOOKUP(A870,Data!F:F,Data!H:H)</f>
        <v>BW</v>
      </c>
      <c r="F870" s="106" t="str">
        <f>SUMIFS(Data!J:J,Data!F:F,A870)</f>
        <v>1</v>
      </c>
      <c r="G870" s="106" t="str">
        <f>SUMIFS(Cast!C:C,CastElements,A870)</f>
        <v>1</v>
      </c>
      <c r="H870" s="106" t="str">
        <f t="shared" si="4"/>
        <v>0</v>
      </c>
      <c r="I870" s="106" t="str">
        <f>SUMIFS(Del!C:C,Del!B:B,A870)</f>
        <v>1</v>
      </c>
      <c r="J870" s="106" t="str">
        <f t="shared" si="5"/>
        <v>0</v>
      </c>
      <c r="K870" s="106" t="str">
        <f t="shared" si="6"/>
        <v>0</v>
      </c>
      <c r="L870" s="106"/>
      <c r="M870" s="106" t="str">
        <f>SUMIFS(Ere!C:C,Ere!B:B,A870)</f>
        <v>1</v>
      </c>
      <c r="N870" s="106" t="str">
        <f t="shared" si="7"/>
        <v>0</v>
      </c>
      <c r="O870" s="107" t="str">
        <f t="array" ref="O870">XLOOKUP(A870,Data!F:F,Data!O:O)</f>
        <v>  1.84 </v>
      </c>
      <c r="P870" s="107" t="str">
        <f t="shared" si="8"/>
        <v>  4.60 </v>
      </c>
      <c r="Q870" s="27"/>
    </row>
    <row r="871" ht="15.75" customHeight="1">
      <c r="A871" s="105" t="s">
        <v>1115</v>
      </c>
      <c r="B871" s="19" t="str">
        <f t="array" ref="B871">XLOOKUP(A871,Data!F:F,Data!G:G)</f>
        <v>J1A</v>
      </c>
      <c r="C871" s="19" t="str">
        <f t="shared" si="3"/>
        <v>J121</v>
      </c>
      <c r="D871" s="19" t="str">
        <f t="array" ref="D871">XLOOKUP(A871,Data!F:F,Data!C:C)</f>
        <v/>
      </c>
      <c r="E871" s="19" t="str">
        <f t="array" ref="E871">XLOOKUP(A871,Data!F:F,Data!H:H)</f>
        <v>BW</v>
      </c>
      <c r="F871" s="106" t="str">
        <f>SUMIFS(Data!J:J,Data!F:F,A871)</f>
        <v>1</v>
      </c>
      <c r="G871" s="106" t="str">
        <f>SUMIFS(Cast!C:C,CastElements,A871)</f>
        <v>1</v>
      </c>
      <c r="H871" s="106" t="str">
        <f t="shared" si="4"/>
        <v>0</v>
      </c>
      <c r="I871" s="106" t="str">
        <f>SUMIFS(Del!C:C,Del!B:B,A871)</f>
        <v>0</v>
      </c>
      <c r="J871" s="106" t="str">
        <f t="shared" si="5"/>
        <v>1</v>
      </c>
      <c r="K871" s="106" t="str">
        <f t="shared" si="6"/>
        <v>1</v>
      </c>
      <c r="L871" s="106"/>
      <c r="M871" s="106" t="str">
        <f>SUMIFS(Ere!C:C,Ere!B:B,A871)</f>
        <v>0</v>
      </c>
      <c r="N871" s="106" t="str">
        <f t="shared" si="7"/>
        <v>1</v>
      </c>
      <c r="O871" s="107" t="str">
        <f t="array" ref="O871">XLOOKUP(A871,Data!F:F,Data!O:O)</f>
        <v>  2.65 </v>
      </c>
      <c r="P871" s="107" t="str">
        <f t="shared" si="8"/>
        <v>  6.63 </v>
      </c>
      <c r="Q871" s="27"/>
    </row>
    <row r="872" ht="15.75" customHeight="1">
      <c r="A872" s="105" t="s">
        <v>1116</v>
      </c>
      <c r="B872" s="19" t="str">
        <f t="array" ref="B872">XLOOKUP(A872,Data!F:F,Data!G:G)</f>
        <v>J1A</v>
      </c>
      <c r="C872" s="19" t="str">
        <f t="shared" si="3"/>
        <v>J121</v>
      </c>
      <c r="D872" s="19" t="str">
        <f t="array" ref="D872">XLOOKUP(A872,Data!F:F,Data!C:C)</f>
        <v>EXT</v>
      </c>
      <c r="E872" s="19" t="str">
        <f t="array" ref="E872">XLOOKUP(A872,Data!F:F,Data!H:H)</f>
        <v>BW</v>
      </c>
      <c r="F872" s="106" t="str">
        <f>SUMIFS(Data!J:J,Data!F:F,A872)</f>
        <v>1</v>
      </c>
      <c r="G872" s="106" t="str">
        <f>SUMIFS(Cast!C:C,CastElements,A872)</f>
        <v>1</v>
      </c>
      <c r="H872" s="106" t="str">
        <f t="shared" si="4"/>
        <v>0</v>
      </c>
      <c r="I872" s="106" t="str">
        <f>SUMIFS(Del!C:C,Del!B:B,A872)</f>
        <v>0</v>
      </c>
      <c r="J872" s="106" t="str">
        <f t="shared" si="5"/>
        <v>1</v>
      </c>
      <c r="K872" s="106" t="str">
        <f t="shared" si="6"/>
        <v>1</v>
      </c>
      <c r="L872" s="106"/>
      <c r="M872" s="106" t="str">
        <f>SUMIFS(Ere!C:C,Ere!B:B,A872)</f>
        <v>0</v>
      </c>
      <c r="N872" s="106" t="str">
        <f t="shared" si="7"/>
        <v>1</v>
      </c>
      <c r="O872" s="107" t="str">
        <f t="array" ref="O872">XLOOKUP(A872,Data!F:F,Data!O:O)</f>
        <v>  0.97 </v>
      </c>
      <c r="P872" s="107" t="str">
        <f t="shared" si="8"/>
        <v>  2.42 </v>
      </c>
      <c r="Q872" s="27"/>
    </row>
    <row r="873" ht="15.75" customHeight="1">
      <c r="A873" s="105" t="s">
        <v>1117</v>
      </c>
      <c r="B873" s="19" t="str">
        <f t="array" ref="B873">XLOOKUP(A873,Data!F:F,Data!G:G)</f>
        <v>J1A</v>
      </c>
      <c r="C873" s="19" t="str">
        <f t="shared" si="3"/>
        <v>J121</v>
      </c>
      <c r="D873" s="19" t="str">
        <f t="array" ref="D873">XLOOKUP(A873,Data!F:F,Data!C:C)</f>
        <v>EXT</v>
      </c>
      <c r="E873" s="19" t="str">
        <f t="array" ref="E873">XLOOKUP(A873,Data!F:F,Data!H:H)</f>
        <v>BW</v>
      </c>
      <c r="F873" s="106" t="str">
        <f>SUMIFS(Data!J:J,Data!F:F,A873)</f>
        <v>1</v>
      </c>
      <c r="G873" s="106" t="str">
        <f>SUMIFS(Cast!C:C,CastElements,A873)</f>
        <v>1</v>
      </c>
      <c r="H873" s="106" t="str">
        <f t="shared" si="4"/>
        <v>0</v>
      </c>
      <c r="I873" s="106" t="str">
        <f>SUMIFS(Del!C:C,Del!B:B,A873)</f>
        <v>0</v>
      </c>
      <c r="J873" s="106" t="str">
        <f t="shared" si="5"/>
        <v>1</v>
      </c>
      <c r="K873" s="106" t="str">
        <f t="shared" si="6"/>
        <v>1</v>
      </c>
      <c r="L873" s="106"/>
      <c r="M873" s="106" t="str">
        <f>SUMIFS(Ere!C:C,Ere!B:B,A873)</f>
        <v>0</v>
      </c>
      <c r="N873" s="106" t="str">
        <f t="shared" si="7"/>
        <v>1</v>
      </c>
      <c r="O873" s="107" t="str">
        <f t="array" ref="O873">XLOOKUP(A873,Data!F:F,Data!O:O)</f>
        <v>  0.97 </v>
      </c>
      <c r="P873" s="107" t="str">
        <f t="shared" si="8"/>
        <v>  2.42 </v>
      </c>
      <c r="Q873" s="27"/>
    </row>
    <row r="874" ht="15.75" customHeight="1">
      <c r="A874" s="105" t="s">
        <v>1118</v>
      </c>
      <c r="B874" s="19" t="str">
        <f t="array" ref="B874">XLOOKUP(A874,Data!F:F,Data!G:G)</f>
        <v>J1A</v>
      </c>
      <c r="C874" s="19" t="str">
        <f t="shared" si="3"/>
        <v>J121</v>
      </c>
      <c r="D874" s="19" t="str">
        <f t="array" ref="D874">XLOOKUP(A874,Data!F:F,Data!C:C)</f>
        <v>EXT</v>
      </c>
      <c r="E874" s="19" t="str">
        <f t="array" ref="E874">XLOOKUP(A874,Data!F:F,Data!H:H)</f>
        <v>BW</v>
      </c>
      <c r="F874" s="106" t="str">
        <f>SUMIFS(Data!J:J,Data!F:F,A874)</f>
        <v>1</v>
      </c>
      <c r="G874" s="106" t="str">
        <f>SUMIFS(Cast!C:C,CastElements,A874)</f>
        <v>1</v>
      </c>
      <c r="H874" s="106" t="str">
        <f t="shared" si="4"/>
        <v>0</v>
      </c>
      <c r="I874" s="106" t="str">
        <f>SUMIFS(Del!C:C,Del!B:B,A874)</f>
        <v>0</v>
      </c>
      <c r="J874" s="106" t="str">
        <f t="shared" si="5"/>
        <v>1</v>
      </c>
      <c r="K874" s="106" t="str">
        <f t="shared" si="6"/>
        <v>1</v>
      </c>
      <c r="L874" s="106"/>
      <c r="M874" s="106" t="str">
        <f>SUMIFS(Ere!C:C,Ere!B:B,A874)</f>
        <v>0</v>
      </c>
      <c r="N874" s="106" t="str">
        <f t="shared" si="7"/>
        <v>1</v>
      </c>
      <c r="O874" s="107" t="str">
        <f t="array" ref="O874">XLOOKUP(A874,Data!F:F,Data!O:O)</f>
        <v>  1.08 </v>
      </c>
      <c r="P874" s="107" t="str">
        <f t="shared" si="8"/>
        <v>  2.70 </v>
      </c>
      <c r="Q874" s="27"/>
    </row>
    <row r="875" ht="15.75" customHeight="1">
      <c r="A875" s="105" t="s">
        <v>1119</v>
      </c>
      <c r="B875" s="19" t="str">
        <f t="array" ref="B875">XLOOKUP(A875,Data!F:F,Data!G:G)</f>
        <v>J1A</v>
      </c>
      <c r="C875" s="19" t="str">
        <f t="shared" si="3"/>
        <v>J121</v>
      </c>
      <c r="D875" s="19" t="str">
        <f t="array" ref="D875">XLOOKUP(A875,Data!F:F,Data!C:C)</f>
        <v>EXT</v>
      </c>
      <c r="E875" s="19" t="str">
        <f t="array" ref="E875">XLOOKUP(A875,Data!F:F,Data!H:H)</f>
        <v>BW</v>
      </c>
      <c r="F875" s="106" t="str">
        <f>SUMIFS(Data!J:J,Data!F:F,A875)</f>
        <v>1</v>
      </c>
      <c r="G875" s="106" t="str">
        <f>SUMIFS(Cast!C:C,CastElements,A875)</f>
        <v>1</v>
      </c>
      <c r="H875" s="106" t="str">
        <f t="shared" si="4"/>
        <v>0</v>
      </c>
      <c r="I875" s="106" t="str">
        <f>SUMIFS(Del!C:C,Del!B:B,A875)</f>
        <v>0</v>
      </c>
      <c r="J875" s="106" t="str">
        <f t="shared" si="5"/>
        <v>1</v>
      </c>
      <c r="K875" s="106" t="str">
        <f t="shared" si="6"/>
        <v>1</v>
      </c>
      <c r="L875" s="106"/>
      <c r="M875" s="106" t="str">
        <f>SUMIFS(Ere!C:C,Ere!B:B,A875)</f>
        <v>0</v>
      </c>
      <c r="N875" s="106" t="str">
        <f t="shared" si="7"/>
        <v>1</v>
      </c>
      <c r="O875" s="107" t="str">
        <f t="array" ref="O875">XLOOKUP(A875,Data!F:F,Data!O:O)</f>
        <v>  0.92 </v>
      </c>
      <c r="P875" s="107" t="str">
        <f t="shared" si="8"/>
        <v>  2.29 </v>
      </c>
      <c r="Q875" s="27"/>
    </row>
    <row r="876" ht="15.75" customHeight="1">
      <c r="A876" s="109" t="s">
        <v>1120</v>
      </c>
      <c r="B876" s="19" t="str">
        <f t="array" ref="B876">XLOOKUP(A876,Data!F:F,Data!G:G)</f>
        <v>J1A</v>
      </c>
      <c r="C876" s="19" t="str">
        <f t="shared" si="3"/>
        <v>J121</v>
      </c>
      <c r="D876" s="19" t="str">
        <f t="array" ref="D876">XLOOKUP(A876,Data!F:F,Data!C:C)</f>
        <v/>
      </c>
      <c r="E876" s="19" t="str">
        <f t="array" ref="E876">XLOOKUP(A876,Data!F:F,Data!H:H)</f>
        <v>BW</v>
      </c>
      <c r="F876" s="106" t="str">
        <f>SUMIFS(Data!J:J,Data!F:F,A876)</f>
        <v>1</v>
      </c>
      <c r="G876" s="106" t="str">
        <f>SUMIFS(Cast!C:C,CastElements,A876)</f>
        <v>1</v>
      </c>
      <c r="H876" s="106" t="str">
        <f t="shared" si="4"/>
        <v>0</v>
      </c>
      <c r="I876" s="106" t="str">
        <f>SUMIFS(Del!C:C,Del!B:B,A876)</f>
        <v>0</v>
      </c>
      <c r="J876" s="106" t="str">
        <f t="shared" si="5"/>
        <v>1</v>
      </c>
      <c r="K876" s="106" t="str">
        <f t="shared" si="6"/>
        <v>1</v>
      </c>
      <c r="L876" s="106"/>
      <c r="M876" s="106" t="str">
        <f>SUMIFS(Ere!C:C,Ere!B:B,A876)</f>
        <v>0</v>
      </c>
      <c r="N876" s="106" t="str">
        <f t="shared" si="7"/>
        <v>1</v>
      </c>
      <c r="O876" s="107" t="str">
        <f t="array" ref="O876">XLOOKUP(A876,Data!F:F,Data!O:O)</f>
        <v>  0.41 </v>
      </c>
      <c r="P876" s="107" t="str">
        <f t="shared" si="8"/>
        <v>  1.03 </v>
      </c>
      <c r="Q876" s="27"/>
    </row>
    <row r="877" ht="15.75" customHeight="1">
      <c r="A877" s="109" t="s">
        <v>1121</v>
      </c>
      <c r="B877" s="19" t="str">
        <f t="array" ref="B877">XLOOKUP(A877,Data!F:F,Data!G:G)</f>
        <v>J1A</v>
      </c>
      <c r="C877" s="19" t="str">
        <f t="shared" si="3"/>
        <v>J121</v>
      </c>
      <c r="D877" s="19" t="str">
        <f t="array" ref="D877">XLOOKUP(A877,Data!F:F,Data!C:C)</f>
        <v/>
      </c>
      <c r="E877" s="19" t="str">
        <f t="array" ref="E877">XLOOKUP(A877,Data!F:F,Data!H:H)</f>
        <v>BW</v>
      </c>
      <c r="F877" s="106" t="str">
        <f>SUMIFS(Data!J:J,Data!F:F,A877)</f>
        <v>1</v>
      </c>
      <c r="G877" s="106" t="str">
        <f>SUMIFS(Cast!C:C,CastElements,A877)</f>
        <v>1</v>
      </c>
      <c r="H877" s="106" t="str">
        <f t="shared" si="4"/>
        <v>0</v>
      </c>
      <c r="I877" s="106" t="str">
        <f>SUMIFS(Del!C:C,Del!B:B,A877)</f>
        <v>1</v>
      </c>
      <c r="J877" s="106" t="str">
        <f t="shared" si="5"/>
        <v>0</v>
      </c>
      <c r="K877" s="106" t="str">
        <f t="shared" si="6"/>
        <v>0</v>
      </c>
      <c r="L877" s="106"/>
      <c r="M877" s="106" t="str">
        <f>SUMIFS(Ere!C:C,Ere!B:B,A877)</f>
        <v>1</v>
      </c>
      <c r="N877" s="106" t="str">
        <f t="shared" si="7"/>
        <v>0</v>
      </c>
      <c r="O877" s="107" t="str">
        <f t="array" ref="O877">XLOOKUP(A877,Data!F:F,Data!O:O)</f>
        <v>  0.47 </v>
      </c>
      <c r="P877" s="107" t="str">
        <f t="shared" si="8"/>
        <v>  1.17 </v>
      </c>
      <c r="Q877" s="27"/>
    </row>
    <row r="878" ht="15.75" customHeight="1">
      <c r="A878" s="109" t="s">
        <v>1122</v>
      </c>
      <c r="B878" s="19" t="str">
        <f t="array" ref="B878">XLOOKUP(A878,Data!F:F,Data!G:G)</f>
        <v>J1A</v>
      </c>
      <c r="C878" s="19" t="str">
        <f t="shared" si="3"/>
        <v>J121</v>
      </c>
      <c r="D878" s="19" t="str">
        <f t="array" ref="D878">XLOOKUP(A878,Data!F:F,Data!C:C)</f>
        <v/>
      </c>
      <c r="E878" s="19" t="str">
        <f t="array" ref="E878">XLOOKUP(A878,Data!F:F,Data!H:H)</f>
        <v>CF</v>
      </c>
      <c r="F878" s="106" t="str">
        <f>SUMIFS(Data!J:J,Data!F:F,A878)</f>
        <v>1</v>
      </c>
      <c r="G878" s="106" t="str">
        <f>SUMIFS(Cast!C:C,CastElements,A878)</f>
        <v>1</v>
      </c>
      <c r="H878" s="106" t="str">
        <f t="shared" si="4"/>
        <v>0</v>
      </c>
      <c r="I878" s="106" t="str">
        <f>SUMIFS(Del!C:C,Del!B:B,A878)</f>
        <v>0</v>
      </c>
      <c r="J878" s="106" t="str">
        <f t="shared" si="5"/>
        <v>1</v>
      </c>
      <c r="K878" s="106" t="str">
        <f t="shared" si="6"/>
        <v>1</v>
      </c>
      <c r="L878" s="106"/>
      <c r="M878" s="106" t="str">
        <f>SUMIFS(Ere!C:C,Ere!B:B,A878)</f>
        <v>0</v>
      </c>
      <c r="N878" s="106" t="str">
        <f t="shared" si="7"/>
        <v>1</v>
      </c>
      <c r="O878" s="107" t="str">
        <f t="array" ref="O878">XLOOKUP(A878,Data!F:F,Data!O:O)</f>
        <v>  0.30 </v>
      </c>
      <c r="P878" s="107" t="str">
        <f t="shared" si="8"/>
        <v>  0.74 </v>
      </c>
      <c r="Q878" s="27"/>
    </row>
    <row r="879" ht="15.75" customHeight="1">
      <c r="A879" s="109" t="s">
        <v>1123</v>
      </c>
      <c r="B879" s="19" t="str">
        <f t="array" ref="B879">XLOOKUP(A879,Data!F:F,Data!G:G)</f>
        <v>J1A</v>
      </c>
      <c r="C879" s="19" t="str">
        <f t="shared" si="3"/>
        <v>J121</v>
      </c>
      <c r="D879" s="19" t="str">
        <f t="array" ref="D879">XLOOKUP(A879,Data!F:F,Data!C:C)</f>
        <v/>
      </c>
      <c r="E879" s="19" t="str">
        <f t="array" ref="E879">XLOOKUP(A879,Data!F:F,Data!H:H)</f>
        <v>CF</v>
      </c>
      <c r="F879" s="106" t="str">
        <f>SUMIFS(Data!J:J,Data!F:F,A879)</f>
        <v>1</v>
      </c>
      <c r="G879" s="106" t="str">
        <f>SUMIFS(Cast!C:C,CastElements,A879)</f>
        <v>1</v>
      </c>
      <c r="H879" s="106" t="str">
        <f t="shared" si="4"/>
        <v>0</v>
      </c>
      <c r="I879" s="106" t="str">
        <f>SUMIFS(Del!C:C,Del!B:B,A879)</f>
        <v>0</v>
      </c>
      <c r="J879" s="106" t="str">
        <f t="shared" si="5"/>
        <v>1</v>
      </c>
      <c r="K879" s="106" t="str">
        <f t="shared" si="6"/>
        <v>1</v>
      </c>
      <c r="L879" s="106"/>
      <c r="M879" s="106" t="str">
        <f>SUMIFS(Ere!C:C,Ere!B:B,A879)</f>
        <v>0</v>
      </c>
      <c r="N879" s="106" t="str">
        <f t="shared" si="7"/>
        <v>1</v>
      </c>
      <c r="O879" s="107" t="str">
        <f t="array" ref="O879">XLOOKUP(A879,Data!F:F,Data!O:O)</f>
        <v>  0.56 </v>
      </c>
      <c r="P879" s="107" t="str">
        <f t="shared" si="8"/>
        <v>  1.39 </v>
      </c>
      <c r="Q879" s="27"/>
    </row>
    <row r="880" ht="15.75" customHeight="1">
      <c r="A880" s="105" t="s">
        <v>1124</v>
      </c>
      <c r="B880" s="19" t="str">
        <f t="array" ref="B880">XLOOKUP(A880,Data!F:F,Data!G:G)</f>
        <v>J1A</v>
      </c>
      <c r="C880" s="19" t="str">
        <f t="shared" si="3"/>
        <v>J121</v>
      </c>
      <c r="D880" s="19" t="str">
        <f t="array" ref="D880">XLOOKUP(A880,Data!F:F,Data!C:C)</f>
        <v/>
      </c>
      <c r="E880" s="19" t="str">
        <f t="array" ref="E880">XLOOKUP(A880,Data!F:F,Data!H:H)</f>
        <v>BW</v>
      </c>
      <c r="F880" s="106" t="str">
        <f>SUMIFS(Data!J:J,Data!F:F,A880)</f>
        <v>1</v>
      </c>
      <c r="G880" s="106" t="str">
        <f>SUMIFS(Cast!C:C,CastElements,A880)</f>
        <v>1</v>
      </c>
      <c r="H880" s="106" t="str">
        <f t="shared" si="4"/>
        <v>0</v>
      </c>
      <c r="I880" s="106" t="str">
        <f>SUMIFS(Del!C:C,Del!B:B,A880)</f>
        <v>0</v>
      </c>
      <c r="J880" s="106" t="str">
        <f t="shared" si="5"/>
        <v>1</v>
      </c>
      <c r="K880" s="106" t="str">
        <f t="shared" si="6"/>
        <v>1</v>
      </c>
      <c r="L880" s="106"/>
      <c r="M880" s="106" t="str">
        <f>SUMIFS(Ere!C:C,Ere!B:B,A880)</f>
        <v>0</v>
      </c>
      <c r="N880" s="106" t="str">
        <f t="shared" si="7"/>
        <v>1</v>
      </c>
      <c r="O880" s="107" t="str">
        <f t="array" ref="O880">XLOOKUP(A880,Data!F:F,Data!O:O)</f>
        <v>  0.42 </v>
      </c>
      <c r="P880" s="107" t="str">
        <f t="shared" si="8"/>
        <v>  1.04 </v>
      </c>
      <c r="Q880" s="27"/>
    </row>
    <row r="881" ht="15.75" customHeight="1">
      <c r="A881" s="105" t="s">
        <v>1125</v>
      </c>
      <c r="B881" s="19" t="str">
        <f t="array" ref="B881">XLOOKUP(A881,Data!F:F,Data!G:G)</f>
        <v>J1A</v>
      </c>
      <c r="C881" s="19" t="str">
        <f t="shared" si="3"/>
        <v>J122</v>
      </c>
      <c r="D881" s="19" t="str">
        <f t="array" ref="D881">XLOOKUP(A881,Data!F:F,Data!C:C)</f>
        <v/>
      </c>
      <c r="E881" s="19" t="str">
        <f t="array" ref="E881">XLOOKUP(A881,Data!F:F,Data!H:H)</f>
        <v>BW</v>
      </c>
      <c r="F881" s="106" t="str">
        <f>SUMIFS(Data!J:J,Data!F:F,A881)</f>
        <v>1</v>
      </c>
      <c r="G881" s="106" t="str">
        <f>SUMIFS(Cast!C:C,CastElements,A881)</f>
        <v>1</v>
      </c>
      <c r="H881" s="106" t="str">
        <f t="shared" si="4"/>
        <v>0</v>
      </c>
      <c r="I881" s="106" t="str">
        <f>SUMIFS(Del!C:C,Del!B:B,A881)</f>
        <v>1</v>
      </c>
      <c r="J881" s="106" t="str">
        <f t="shared" si="5"/>
        <v>0</v>
      </c>
      <c r="K881" s="106" t="str">
        <f t="shared" si="6"/>
        <v>0</v>
      </c>
      <c r="L881" s="106"/>
      <c r="M881" s="106" t="str">
        <f>SUMIFS(Ere!C:C,Ere!B:B,A881)</f>
        <v>1</v>
      </c>
      <c r="N881" s="106" t="str">
        <f t="shared" si="7"/>
        <v>0</v>
      </c>
      <c r="O881" s="107" t="str">
        <f t="array" ref="O881">XLOOKUP(A881,Data!F:F,Data!O:O)</f>
        <v>  2.00 </v>
      </c>
      <c r="P881" s="107" t="str">
        <f t="shared" si="8"/>
        <v>  5.00 </v>
      </c>
      <c r="Q881" s="27"/>
    </row>
    <row r="882" ht="15.75" customHeight="1">
      <c r="A882" s="105" t="s">
        <v>1126</v>
      </c>
      <c r="B882" s="19" t="str">
        <f t="array" ref="B882">XLOOKUP(A882,Data!F:F,Data!G:G)</f>
        <v>J1A</v>
      </c>
      <c r="C882" s="19" t="str">
        <f t="shared" si="3"/>
        <v>J122</v>
      </c>
      <c r="D882" s="19" t="str">
        <f t="array" ref="D882">XLOOKUP(A882,Data!F:F,Data!C:C)</f>
        <v/>
      </c>
      <c r="E882" s="19" t="str">
        <f t="array" ref="E882">XLOOKUP(A882,Data!F:F,Data!H:H)</f>
        <v>BW</v>
      </c>
      <c r="F882" s="106" t="str">
        <f>SUMIFS(Data!J:J,Data!F:F,A882)</f>
        <v>1</v>
      </c>
      <c r="G882" s="106" t="str">
        <f>SUMIFS(Cast!C:C,CastElements,A882)</f>
        <v>1</v>
      </c>
      <c r="H882" s="106" t="str">
        <f t="shared" si="4"/>
        <v>0</v>
      </c>
      <c r="I882" s="106" t="str">
        <f>SUMIFS(Del!C:C,Del!B:B,A882)</f>
        <v>1</v>
      </c>
      <c r="J882" s="106" t="str">
        <f t="shared" si="5"/>
        <v>0</v>
      </c>
      <c r="K882" s="106" t="str">
        <f t="shared" si="6"/>
        <v>0</v>
      </c>
      <c r="L882" s="106"/>
      <c r="M882" s="106" t="str">
        <f>SUMIFS(Ere!C:C,Ere!B:B,A882)</f>
        <v>1</v>
      </c>
      <c r="N882" s="106" t="str">
        <f t="shared" si="7"/>
        <v>0</v>
      </c>
      <c r="O882" s="107" t="str">
        <f t="array" ref="O882">XLOOKUP(A882,Data!F:F,Data!O:O)</f>
        <v>  2.34 </v>
      </c>
      <c r="P882" s="107" t="str">
        <f t="shared" si="8"/>
        <v>  5.84 </v>
      </c>
      <c r="Q882" s="27"/>
    </row>
    <row r="883" ht="15.75" customHeight="1">
      <c r="A883" s="105" t="s">
        <v>1127</v>
      </c>
      <c r="B883" s="19" t="str">
        <f t="array" ref="B883">XLOOKUP(A883,Data!F:F,Data!G:G)</f>
        <v>J1A</v>
      </c>
      <c r="C883" s="19" t="str">
        <f t="shared" si="3"/>
        <v>J122</v>
      </c>
      <c r="D883" s="19" t="str">
        <f t="array" ref="D883">XLOOKUP(A883,Data!F:F,Data!C:C)</f>
        <v/>
      </c>
      <c r="E883" s="19" t="str">
        <f t="array" ref="E883">XLOOKUP(A883,Data!F:F,Data!H:H)</f>
        <v>BW</v>
      </c>
      <c r="F883" s="106" t="str">
        <f>SUMIFS(Data!J:J,Data!F:F,A883)</f>
        <v>1</v>
      </c>
      <c r="G883" s="106" t="str">
        <f>SUMIFS(Cast!C:C,CastElements,A883)</f>
        <v>1</v>
      </c>
      <c r="H883" s="106" t="str">
        <f t="shared" si="4"/>
        <v>0</v>
      </c>
      <c r="I883" s="106" t="str">
        <f>SUMIFS(Del!C:C,Del!B:B,A883)</f>
        <v>1</v>
      </c>
      <c r="J883" s="106" t="str">
        <f t="shared" si="5"/>
        <v>0</v>
      </c>
      <c r="K883" s="106" t="str">
        <f t="shared" si="6"/>
        <v>0</v>
      </c>
      <c r="L883" s="106"/>
      <c r="M883" s="106" t="str">
        <f>SUMIFS(Ere!C:C,Ere!B:B,A883)</f>
        <v>1</v>
      </c>
      <c r="N883" s="106" t="str">
        <f t="shared" si="7"/>
        <v>0</v>
      </c>
      <c r="O883" s="107" t="str">
        <f t="array" ref="O883">XLOOKUP(A883,Data!F:F,Data!O:O)</f>
        <v>  2.34 </v>
      </c>
      <c r="P883" s="107" t="str">
        <f t="shared" si="8"/>
        <v>  5.84 </v>
      </c>
      <c r="Q883" s="27"/>
    </row>
    <row r="884" ht="15.75" customHeight="1">
      <c r="A884" s="105" t="s">
        <v>1128</v>
      </c>
      <c r="B884" s="19" t="str">
        <f t="array" ref="B884">XLOOKUP(A884,Data!F:F,Data!G:G)</f>
        <v>J1A</v>
      </c>
      <c r="C884" s="19" t="str">
        <f t="shared" si="3"/>
        <v>J122</v>
      </c>
      <c r="D884" s="19" t="str">
        <f t="array" ref="D884">XLOOKUP(A884,Data!F:F,Data!C:C)</f>
        <v/>
      </c>
      <c r="E884" s="19" t="str">
        <f t="array" ref="E884">XLOOKUP(A884,Data!F:F,Data!H:H)</f>
        <v>BW</v>
      </c>
      <c r="F884" s="106" t="str">
        <f>SUMIFS(Data!J:J,Data!F:F,A884)</f>
        <v>1</v>
      </c>
      <c r="G884" s="106" t="str">
        <f>SUMIFS(Cast!C:C,CastElements,A884)</f>
        <v>1</v>
      </c>
      <c r="H884" s="106" t="str">
        <f t="shared" si="4"/>
        <v>0</v>
      </c>
      <c r="I884" s="106" t="str">
        <f>SUMIFS(Del!C:C,Del!B:B,A884)</f>
        <v>1</v>
      </c>
      <c r="J884" s="106" t="str">
        <f t="shared" si="5"/>
        <v>0</v>
      </c>
      <c r="K884" s="106" t="str">
        <f t="shared" si="6"/>
        <v>0</v>
      </c>
      <c r="L884" s="106"/>
      <c r="M884" s="106" t="str">
        <f>SUMIFS(Ere!C:C,Ere!B:B,A884)</f>
        <v>1</v>
      </c>
      <c r="N884" s="106" t="str">
        <f t="shared" si="7"/>
        <v>0</v>
      </c>
      <c r="O884" s="107" t="str">
        <f t="array" ref="O884">XLOOKUP(A884,Data!F:F,Data!O:O)</f>
        <v>  2.34 </v>
      </c>
      <c r="P884" s="107" t="str">
        <f t="shared" si="8"/>
        <v>  5.86 </v>
      </c>
      <c r="Q884" s="27"/>
    </row>
    <row r="885" ht="15.75" customHeight="1">
      <c r="A885" s="105" t="s">
        <v>1129</v>
      </c>
      <c r="B885" s="19" t="str">
        <f t="array" ref="B885">XLOOKUP(A885,Data!F:F,Data!G:G)</f>
        <v>J1A</v>
      </c>
      <c r="C885" s="19" t="str">
        <f t="shared" si="3"/>
        <v>J122</v>
      </c>
      <c r="D885" s="19" t="str">
        <f t="array" ref="D885">XLOOKUP(A885,Data!F:F,Data!C:C)</f>
        <v/>
      </c>
      <c r="E885" s="19" t="str">
        <f t="array" ref="E885">XLOOKUP(A885,Data!F:F,Data!H:H)</f>
        <v>BW</v>
      </c>
      <c r="F885" s="106" t="str">
        <f>SUMIFS(Data!J:J,Data!F:F,A885)</f>
        <v>1</v>
      </c>
      <c r="G885" s="106" t="str">
        <f>SUMIFS(Cast!C:C,CastElements,A885)</f>
        <v>1</v>
      </c>
      <c r="H885" s="106" t="str">
        <f t="shared" si="4"/>
        <v>0</v>
      </c>
      <c r="I885" s="106" t="str">
        <f>SUMIFS(Del!C:C,Del!B:B,A885)</f>
        <v>0</v>
      </c>
      <c r="J885" s="106" t="str">
        <f t="shared" si="5"/>
        <v>1</v>
      </c>
      <c r="K885" s="106" t="str">
        <f t="shared" si="6"/>
        <v>1</v>
      </c>
      <c r="L885" s="106"/>
      <c r="M885" s="106" t="str">
        <f>SUMIFS(Ere!C:C,Ere!B:B,A885)</f>
        <v>0</v>
      </c>
      <c r="N885" s="106" t="str">
        <f t="shared" si="7"/>
        <v>1</v>
      </c>
      <c r="O885" s="107" t="str">
        <f t="array" ref="O885">XLOOKUP(A885,Data!F:F,Data!O:O)</f>
        <v>  2.62 </v>
      </c>
      <c r="P885" s="107" t="str">
        <f t="shared" si="8"/>
        <v>  6.55 </v>
      </c>
      <c r="Q885" s="27"/>
    </row>
    <row r="886" ht="15.75" customHeight="1">
      <c r="A886" s="105" t="s">
        <v>1130</v>
      </c>
      <c r="B886" s="19" t="str">
        <f t="array" ref="B886">XLOOKUP(A886,Data!F:F,Data!G:G)</f>
        <v>J1A</v>
      </c>
      <c r="C886" s="19" t="str">
        <f t="shared" si="3"/>
        <v>J122</v>
      </c>
      <c r="D886" s="19" t="str">
        <f t="array" ref="D886">XLOOKUP(A886,Data!F:F,Data!C:C)</f>
        <v>EXT</v>
      </c>
      <c r="E886" s="19" t="str">
        <f t="array" ref="E886">XLOOKUP(A886,Data!F:F,Data!H:H)</f>
        <v>BW</v>
      </c>
      <c r="F886" s="106" t="str">
        <f>SUMIFS(Data!J:J,Data!F:F,A886)</f>
        <v>1</v>
      </c>
      <c r="G886" s="106" t="str">
        <f>SUMIFS(Cast!C:C,CastElements,A886)</f>
        <v>1</v>
      </c>
      <c r="H886" s="106" t="str">
        <f t="shared" si="4"/>
        <v>0</v>
      </c>
      <c r="I886" s="106" t="str">
        <f>SUMIFS(Del!C:C,Del!B:B,A886)</f>
        <v>0</v>
      </c>
      <c r="J886" s="106" t="str">
        <f t="shared" si="5"/>
        <v>1</v>
      </c>
      <c r="K886" s="106" t="str">
        <f t="shared" si="6"/>
        <v>1</v>
      </c>
      <c r="L886" s="106"/>
      <c r="M886" s="106" t="str">
        <f>SUMIFS(Ere!C:C,Ere!B:B,A886)</f>
        <v>0</v>
      </c>
      <c r="N886" s="106" t="str">
        <f t="shared" si="7"/>
        <v>1</v>
      </c>
      <c r="O886" s="107" t="str">
        <f t="array" ref="O886">XLOOKUP(A886,Data!F:F,Data!O:O)</f>
        <v>  0.97 </v>
      </c>
      <c r="P886" s="107" t="str">
        <f t="shared" si="8"/>
        <v>  2.42 </v>
      </c>
      <c r="Q886" s="27"/>
    </row>
    <row r="887" ht="15.75" customHeight="1">
      <c r="A887" s="105" t="s">
        <v>1131</v>
      </c>
      <c r="B887" s="19" t="str">
        <f t="array" ref="B887">XLOOKUP(A887,Data!F:F,Data!G:G)</f>
        <v>J1A</v>
      </c>
      <c r="C887" s="19" t="str">
        <f t="shared" si="3"/>
        <v>J122</v>
      </c>
      <c r="D887" s="19" t="str">
        <f t="array" ref="D887">XLOOKUP(A887,Data!F:F,Data!C:C)</f>
        <v>EXT</v>
      </c>
      <c r="E887" s="19" t="str">
        <f t="array" ref="E887">XLOOKUP(A887,Data!F:F,Data!H:H)</f>
        <v>BW</v>
      </c>
      <c r="F887" s="106" t="str">
        <f>SUMIFS(Data!J:J,Data!F:F,A887)</f>
        <v>1</v>
      </c>
      <c r="G887" s="106" t="str">
        <f>SUMIFS(Cast!C:C,CastElements,A887)</f>
        <v>1</v>
      </c>
      <c r="H887" s="106" t="str">
        <f t="shared" si="4"/>
        <v>0</v>
      </c>
      <c r="I887" s="106" t="str">
        <f>SUMIFS(Del!C:C,Del!B:B,A887)</f>
        <v>0</v>
      </c>
      <c r="J887" s="106" t="str">
        <f t="shared" si="5"/>
        <v>1</v>
      </c>
      <c r="K887" s="106" t="str">
        <f t="shared" si="6"/>
        <v>1</v>
      </c>
      <c r="L887" s="106"/>
      <c r="M887" s="106" t="str">
        <f>SUMIFS(Ere!C:C,Ere!B:B,A887)</f>
        <v>0</v>
      </c>
      <c r="N887" s="106" t="str">
        <f t="shared" si="7"/>
        <v>1</v>
      </c>
      <c r="O887" s="107" t="str">
        <f t="array" ref="O887">XLOOKUP(A887,Data!F:F,Data!O:O)</f>
        <v>  0.97 </v>
      </c>
      <c r="P887" s="107" t="str">
        <f t="shared" si="8"/>
        <v>  2.42 </v>
      </c>
      <c r="Q887" s="27"/>
    </row>
    <row r="888" ht="15.75" customHeight="1">
      <c r="A888" s="105" t="s">
        <v>1132</v>
      </c>
      <c r="B888" s="19" t="str">
        <f t="array" ref="B888">XLOOKUP(A888,Data!F:F,Data!G:G)</f>
        <v>J1A</v>
      </c>
      <c r="C888" s="19" t="str">
        <f t="shared" si="3"/>
        <v>J122</v>
      </c>
      <c r="D888" s="19" t="str">
        <f t="array" ref="D888">XLOOKUP(A888,Data!F:F,Data!C:C)</f>
        <v>EXT</v>
      </c>
      <c r="E888" s="19" t="str">
        <f t="array" ref="E888">XLOOKUP(A888,Data!F:F,Data!H:H)</f>
        <v>BW</v>
      </c>
      <c r="F888" s="106" t="str">
        <f>SUMIFS(Data!J:J,Data!F:F,A888)</f>
        <v>1</v>
      </c>
      <c r="G888" s="106" t="str">
        <f>SUMIFS(Cast!C:C,CastElements,A888)</f>
        <v>1</v>
      </c>
      <c r="H888" s="106" t="str">
        <f t="shared" si="4"/>
        <v>0</v>
      </c>
      <c r="I888" s="106" t="str">
        <f>SUMIFS(Del!C:C,Del!B:B,A888)</f>
        <v>0</v>
      </c>
      <c r="J888" s="106" t="str">
        <f t="shared" si="5"/>
        <v>1</v>
      </c>
      <c r="K888" s="106" t="str">
        <f t="shared" si="6"/>
        <v>1</v>
      </c>
      <c r="L888" s="106"/>
      <c r="M888" s="106" t="str">
        <f>SUMIFS(Ere!C:C,Ere!B:B,A888)</f>
        <v>0</v>
      </c>
      <c r="N888" s="106" t="str">
        <f t="shared" si="7"/>
        <v>1</v>
      </c>
      <c r="O888" s="107" t="str">
        <f t="array" ref="O888">XLOOKUP(A888,Data!F:F,Data!O:O)</f>
        <v>  0.97 </v>
      </c>
      <c r="P888" s="107" t="str">
        <f t="shared" si="8"/>
        <v>  2.42 </v>
      </c>
      <c r="Q888" s="27"/>
    </row>
    <row r="889" ht="15.75" customHeight="1">
      <c r="A889" s="105" t="s">
        <v>1133</v>
      </c>
      <c r="B889" s="19" t="str">
        <f t="array" ref="B889">XLOOKUP(A889,Data!F:F,Data!G:G)</f>
        <v>J1A</v>
      </c>
      <c r="C889" s="19" t="str">
        <f t="shared" si="3"/>
        <v>J122</v>
      </c>
      <c r="D889" s="19" t="str">
        <f t="array" ref="D889">XLOOKUP(A889,Data!F:F,Data!C:C)</f>
        <v/>
      </c>
      <c r="E889" s="19" t="str">
        <f t="array" ref="E889">XLOOKUP(A889,Data!F:F,Data!H:H)</f>
        <v>BW</v>
      </c>
      <c r="F889" s="106" t="str">
        <f>SUMIFS(Data!J:J,Data!F:F,A889)</f>
        <v>1</v>
      </c>
      <c r="G889" s="106" t="str">
        <f>SUMIFS(Cast!C:C,CastElements,A889)</f>
        <v>1</v>
      </c>
      <c r="H889" s="106" t="str">
        <f t="shared" si="4"/>
        <v>0</v>
      </c>
      <c r="I889" s="106" t="str">
        <f>SUMIFS(Del!C:C,Del!B:B,A889)</f>
        <v>1</v>
      </c>
      <c r="J889" s="106" t="str">
        <f t="shared" si="5"/>
        <v>0</v>
      </c>
      <c r="K889" s="106" t="str">
        <f t="shared" si="6"/>
        <v>0</v>
      </c>
      <c r="L889" s="106"/>
      <c r="M889" s="106" t="str">
        <f>SUMIFS(Ere!C:C,Ere!B:B,A889)</f>
        <v>1</v>
      </c>
      <c r="N889" s="106" t="str">
        <f t="shared" si="7"/>
        <v>0</v>
      </c>
      <c r="O889" s="107" t="str">
        <f t="array" ref="O889">XLOOKUP(A889,Data!F:F,Data!O:O)</f>
        <v>  1.18 </v>
      </c>
      <c r="P889" s="107" t="str">
        <f t="shared" si="8"/>
        <v>  2.95 </v>
      </c>
      <c r="Q889" s="27"/>
    </row>
    <row r="890" ht="15.75" customHeight="1">
      <c r="A890" s="105" t="s">
        <v>1134</v>
      </c>
      <c r="B890" s="19" t="str">
        <f t="array" ref="B890">XLOOKUP(A890,Data!F:F,Data!G:G)</f>
        <v>J1A</v>
      </c>
      <c r="C890" s="19" t="str">
        <f t="shared" si="3"/>
        <v>J122</v>
      </c>
      <c r="D890" s="19" t="str">
        <f t="array" ref="D890">XLOOKUP(A890,Data!F:F,Data!C:C)</f>
        <v/>
      </c>
      <c r="E890" s="19" t="str">
        <f t="array" ref="E890">XLOOKUP(A890,Data!F:F,Data!H:H)</f>
        <v>BW</v>
      </c>
      <c r="F890" s="106" t="str">
        <f>SUMIFS(Data!J:J,Data!F:F,A890)</f>
        <v>1</v>
      </c>
      <c r="G890" s="106" t="str">
        <f>SUMIFS(Cast!C:C,CastElements,A890)</f>
        <v>1</v>
      </c>
      <c r="H890" s="106" t="str">
        <f t="shared" si="4"/>
        <v>0</v>
      </c>
      <c r="I890" s="106" t="str">
        <f>SUMIFS(Del!C:C,Del!B:B,A890)</f>
        <v>1</v>
      </c>
      <c r="J890" s="106" t="str">
        <f t="shared" si="5"/>
        <v>0</v>
      </c>
      <c r="K890" s="106" t="str">
        <f t="shared" si="6"/>
        <v>0</v>
      </c>
      <c r="L890" s="106"/>
      <c r="M890" s="106" t="str">
        <f>SUMIFS(Ere!C:C,Ere!B:B,A890)</f>
        <v>1</v>
      </c>
      <c r="N890" s="106" t="str">
        <f t="shared" si="7"/>
        <v>0</v>
      </c>
      <c r="O890" s="107" t="str">
        <f t="array" ref="O890">XLOOKUP(A890,Data!F:F,Data!O:O)</f>
        <v>  1.06 </v>
      </c>
      <c r="P890" s="107" t="str">
        <f t="shared" si="8"/>
        <v>  2.66 </v>
      </c>
      <c r="Q890" s="27"/>
    </row>
    <row r="891" ht="15.75" customHeight="1">
      <c r="A891" s="105" t="s">
        <v>1135</v>
      </c>
      <c r="B891" s="19" t="str">
        <f t="array" ref="B891">XLOOKUP(A891,Data!F:F,Data!G:G)</f>
        <v>J1A</v>
      </c>
      <c r="C891" s="19" t="str">
        <f t="shared" si="3"/>
        <v>J122</v>
      </c>
      <c r="D891" s="19" t="str">
        <f t="array" ref="D891">XLOOKUP(A891,Data!F:F,Data!C:C)</f>
        <v/>
      </c>
      <c r="E891" s="19" t="str">
        <f t="array" ref="E891">XLOOKUP(A891,Data!F:F,Data!H:H)</f>
        <v>BW</v>
      </c>
      <c r="F891" s="106" t="str">
        <f>SUMIFS(Data!J:J,Data!F:F,A891)</f>
        <v>1</v>
      </c>
      <c r="G891" s="106" t="str">
        <f>SUMIFS(Cast!C:C,CastElements,A891)</f>
        <v>1</v>
      </c>
      <c r="H891" s="106" t="str">
        <f t="shared" si="4"/>
        <v>0</v>
      </c>
      <c r="I891" s="106" t="str">
        <f>SUMIFS(Del!C:C,Del!B:B,A891)</f>
        <v>1</v>
      </c>
      <c r="J891" s="106" t="str">
        <f t="shared" si="5"/>
        <v>0</v>
      </c>
      <c r="K891" s="106" t="str">
        <f t="shared" si="6"/>
        <v>0</v>
      </c>
      <c r="L891" s="106"/>
      <c r="M891" s="106" t="str">
        <f>SUMIFS(Ere!C:C,Ere!B:B,A891)</f>
        <v>1</v>
      </c>
      <c r="N891" s="106" t="str">
        <f t="shared" si="7"/>
        <v>0</v>
      </c>
      <c r="O891" s="107" t="str">
        <f t="array" ref="O891">XLOOKUP(A891,Data!F:F,Data!O:O)</f>
        <v>  1.26 </v>
      </c>
      <c r="P891" s="107" t="str">
        <f t="shared" si="8"/>
        <v>  3.16 </v>
      </c>
      <c r="Q891" s="27"/>
    </row>
    <row r="892" ht="15.75" customHeight="1">
      <c r="A892" s="105" t="s">
        <v>1136</v>
      </c>
      <c r="B892" s="19" t="str">
        <f t="array" ref="B892">XLOOKUP(A892,Data!F:F,Data!G:G)</f>
        <v>J1A</v>
      </c>
      <c r="C892" s="19" t="str">
        <f t="shared" si="3"/>
        <v>J122</v>
      </c>
      <c r="D892" s="19" t="str">
        <f t="array" ref="D892">XLOOKUP(A892,Data!F:F,Data!C:C)</f>
        <v/>
      </c>
      <c r="E892" s="19" t="str">
        <f t="array" ref="E892">XLOOKUP(A892,Data!F:F,Data!H:H)</f>
        <v>BW</v>
      </c>
      <c r="F892" s="106" t="str">
        <f>SUMIFS(Data!J:J,Data!F:F,A892)</f>
        <v>1</v>
      </c>
      <c r="G892" s="106" t="str">
        <f>SUMIFS(Cast!C:C,CastElements,A892)</f>
        <v>1</v>
      </c>
      <c r="H892" s="106" t="str">
        <f t="shared" si="4"/>
        <v>0</v>
      </c>
      <c r="I892" s="106" t="str">
        <f>SUMIFS(Del!C:C,Del!B:B,A892)</f>
        <v>1</v>
      </c>
      <c r="J892" s="106" t="str">
        <f t="shared" si="5"/>
        <v>0</v>
      </c>
      <c r="K892" s="106" t="str">
        <f t="shared" si="6"/>
        <v>0</v>
      </c>
      <c r="L892" s="106"/>
      <c r="M892" s="106" t="str">
        <f>SUMIFS(Ere!C:C,Ere!B:B,A892)</f>
        <v>1</v>
      </c>
      <c r="N892" s="106" t="str">
        <f t="shared" si="7"/>
        <v>0</v>
      </c>
      <c r="O892" s="107" t="str">
        <f t="array" ref="O892">XLOOKUP(A892,Data!F:F,Data!O:O)</f>
        <v>  1.29 </v>
      </c>
      <c r="P892" s="107" t="str">
        <f t="shared" si="8"/>
        <v>  3.23 </v>
      </c>
      <c r="Q892" s="27"/>
    </row>
    <row r="893" ht="15.75" customHeight="1">
      <c r="A893" s="105" t="s">
        <v>1137</v>
      </c>
      <c r="B893" s="19" t="str">
        <f t="array" ref="B893">XLOOKUP(A893,Data!F:F,Data!G:G)</f>
        <v>J1A</v>
      </c>
      <c r="C893" s="19" t="str">
        <f t="shared" si="3"/>
        <v>J122</v>
      </c>
      <c r="D893" s="19" t="str">
        <f t="array" ref="D893">XLOOKUP(A893,Data!F:F,Data!C:C)</f>
        <v/>
      </c>
      <c r="E893" s="19" t="str">
        <f t="array" ref="E893">XLOOKUP(A893,Data!F:F,Data!H:H)</f>
        <v>BW</v>
      </c>
      <c r="F893" s="106" t="str">
        <f>SUMIFS(Data!J:J,Data!F:F,A893)</f>
        <v>1</v>
      </c>
      <c r="G893" s="106" t="str">
        <f>SUMIFS(Cast!C:C,CastElements,A893)</f>
        <v>1</v>
      </c>
      <c r="H893" s="106" t="str">
        <f t="shared" si="4"/>
        <v>0</v>
      </c>
      <c r="I893" s="106" t="str">
        <f>SUMIFS(Del!C:C,Del!B:B,A893)</f>
        <v>1</v>
      </c>
      <c r="J893" s="106" t="str">
        <f t="shared" si="5"/>
        <v>0</v>
      </c>
      <c r="K893" s="106" t="str">
        <f t="shared" si="6"/>
        <v>0</v>
      </c>
      <c r="L893" s="106"/>
      <c r="M893" s="106" t="str">
        <f>SUMIFS(Ere!C:C,Ere!B:B,A893)</f>
        <v>1</v>
      </c>
      <c r="N893" s="106" t="str">
        <f t="shared" si="7"/>
        <v>0</v>
      </c>
      <c r="O893" s="107" t="str">
        <f t="array" ref="O893">XLOOKUP(A893,Data!F:F,Data!O:O)</f>
        <v>  1.56 </v>
      </c>
      <c r="P893" s="107" t="str">
        <f t="shared" si="8"/>
        <v>  3.90 </v>
      </c>
      <c r="Q893" s="27"/>
    </row>
    <row r="894" ht="15.75" customHeight="1">
      <c r="A894" s="105" t="s">
        <v>1138</v>
      </c>
      <c r="B894" s="19" t="str">
        <f t="array" ref="B894">XLOOKUP(A894,Data!F:F,Data!G:G)</f>
        <v>J1A</v>
      </c>
      <c r="C894" s="19" t="str">
        <f t="shared" si="3"/>
        <v>J122</v>
      </c>
      <c r="D894" s="19" t="str">
        <f t="array" ref="D894">XLOOKUP(A894,Data!F:F,Data!C:C)</f>
        <v/>
      </c>
      <c r="E894" s="19" t="str">
        <f t="array" ref="E894">XLOOKUP(A894,Data!F:F,Data!H:H)</f>
        <v>BW</v>
      </c>
      <c r="F894" s="106" t="str">
        <f>SUMIFS(Data!J:J,Data!F:F,A894)</f>
        <v>1</v>
      </c>
      <c r="G894" s="106" t="str">
        <f>SUMIFS(Cast!C:C,CastElements,A894)</f>
        <v>1</v>
      </c>
      <c r="H894" s="106" t="str">
        <f t="shared" si="4"/>
        <v>0</v>
      </c>
      <c r="I894" s="106" t="str">
        <f>SUMIFS(Del!C:C,Del!B:B,A894)</f>
        <v>1</v>
      </c>
      <c r="J894" s="106" t="str">
        <f t="shared" si="5"/>
        <v>0</v>
      </c>
      <c r="K894" s="106" t="str">
        <f t="shared" si="6"/>
        <v>0</v>
      </c>
      <c r="L894" s="106"/>
      <c r="M894" s="106" t="str">
        <f>SUMIFS(Ere!C:C,Ere!B:B,A894)</f>
        <v>1</v>
      </c>
      <c r="N894" s="106" t="str">
        <f t="shared" si="7"/>
        <v>0</v>
      </c>
      <c r="O894" s="107" t="str">
        <f t="array" ref="O894">XLOOKUP(A894,Data!F:F,Data!O:O)</f>
        <v>  1.78 </v>
      </c>
      <c r="P894" s="107" t="str">
        <f t="shared" si="8"/>
        <v>  4.46 </v>
      </c>
      <c r="Q894" s="27"/>
    </row>
    <row r="895" ht="15.75" customHeight="1">
      <c r="A895" s="105" t="s">
        <v>1139</v>
      </c>
      <c r="B895" s="19" t="str">
        <f t="array" ref="B895">XLOOKUP(A895,Data!F:F,Data!G:G)</f>
        <v>J1A</v>
      </c>
      <c r="C895" s="19" t="str">
        <f t="shared" si="3"/>
        <v>J122</v>
      </c>
      <c r="D895" s="19" t="str">
        <f t="array" ref="D895">XLOOKUP(A895,Data!F:F,Data!C:C)</f>
        <v/>
      </c>
      <c r="E895" s="19" t="str">
        <f t="array" ref="E895">XLOOKUP(A895,Data!F:F,Data!H:H)</f>
        <v>BW</v>
      </c>
      <c r="F895" s="106" t="str">
        <f>SUMIFS(Data!J:J,Data!F:F,A895)</f>
        <v>1</v>
      </c>
      <c r="G895" s="106" t="str">
        <f>SUMIFS(Cast!C:C,CastElements,A895)</f>
        <v>1</v>
      </c>
      <c r="H895" s="106" t="str">
        <f t="shared" si="4"/>
        <v>0</v>
      </c>
      <c r="I895" s="106" t="str">
        <f>SUMIFS(Del!C:C,Del!B:B,A895)</f>
        <v>0</v>
      </c>
      <c r="J895" s="106" t="str">
        <f t="shared" si="5"/>
        <v>1</v>
      </c>
      <c r="K895" s="106" t="str">
        <f t="shared" si="6"/>
        <v>1</v>
      </c>
      <c r="L895" s="106"/>
      <c r="M895" s="106" t="str">
        <f>SUMIFS(Ere!C:C,Ere!B:B,A895)</f>
        <v>0</v>
      </c>
      <c r="N895" s="106" t="str">
        <f t="shared" si="7"/>
        <v>1</v>
      </c>
      <c r="O895" s="107" t="str">
        <f t="array" ref="O895">XLOOKUP(A895,Data!F:F,Data!O:O)</f>
        <v>  0.53 </v>
      </c>
      <c r="P895" s="107" t="str">
        <f t="shared" si="8"/>
        <v>  1.33 </v>
      </c>
      <c r="Q895" s="27"/>
    </row>
    <row r="896" ht="15.75" customHeight="1">
      <c r="A896" s="105" t="s">
        <v>1140</v>
      </c>
      <c r="B896" s="19" t="str">
        <f t="array" ref="B896">XLOOKUP(A896,Data!F:F,Data!G:G)</f>
        <v>J1A</v>
      </c>
      <c r="C896" s="19" t="str">
        <f t="shared" si="3"/>
        <v>J122</v>
      </c>
      <c r="D896" s="19" t="str">
        <f t="array" ref="D896">XLOOKUP(A896,Data!F:F,Data!C:C)</f>
        <v/>
      </c>
      <c r="E896" s="19" t="str">
        <f t="array" ref="E896">XLOOKUP(A896,Data!F:F,Data!H:H)</f>
        <v>BW</v>
      </c>
      <c r="F896" s="106" t="str">
        <f>SUMIFS(Data!J:J,Data!F:F,A896)</f>
        <v>1</v>
      </c>
      <c r="G896" s="106" t="str">
        <f>SUMIFS(Cast!C:C,CastElements,A896)</f>
        <v>1</v>
      </c>
      <c r="H896" s="106" t="str">
        <f t="shared" si="4"/>
        <v>0</v>
      </c>
      <c r="I896" s="106" t="str">
        <f>SUMIFS(Del!C:C,Del!B:B,A896)</f>
        <v>0</v>
      </c>
      <c r="J896" s="106" t="str">
        <f t="shared" si="5"/>
        <v>1</v>
      </c>
      <c r="K896" s="106" t="str">
        <f t="shared" si="6"/>
        <v>1</v>
      </c>
      <c r="L896" s="106"/>
      <c r="M896" s="106" t="str">
        <f>SUMIFS(Ere!C:C,Ere!B:B,A896)</f>
        <v>0</v>
      </c>
      <c r="N896" s="106" t="str">
        <f t="shared" si="7"/>
        <v>1</v>
      </c>
      <c r="O896" s="107" t="str">
        <f t="array" ref="O896">XLOOKUP(A896,Data!F:F,Data!O:O)</f>
        <v>  0.53 </v>
      </c>
      <c r="P896" s="107" t="str">
        <f t="shared" si="8"/>
        <v>  1.33 </v>
      </c>
      <c r="Q896" s="27"/>
    </row>
    <row r="897" ht="15.75" customHeight="1">
      <c r="A897" s="109" t="s">
        <v>1141</v>
      </c>
      <c r="B897" s="19" t="str">
        <f t="array" ref="B897">XLOOKUP(A897,Data!F:F,Data!G:G)</f>
        <v>J1A</v>
      </c>
      <c r="C897" s="19" t="str">
        <f t="shared" si="3"/>
        <v>J122</v>
      </c>
      <c r="D897" s="19" t="str">
        <f t="array" ref="D897">XLOOKUP(A897,Data!F:F,Data!C:C)</f>
        <v/>
      </c>
      <c r="E897" s="19" t="str">
        <f t="array" ref="E897">XLOOKUP(A897,Data!F:F,Data!H:H)</f>
        <v>BW</v>
      </c>
      <c r="F897" s="106" t="str">
        <f>SUMIFS(Data!J:J,Data!F:F,A897)</f>
        <v>1</v>
      </c>
      <c r="G897" s="106" t="str">
        <f>SUMIFS(Cast!C:C,CastElements,A897)</f>
        <v>1</v>
      </c>
      <c r="H897" s="106" t="str">
        <f t="shared" si="4"/>
        <v>0</v>
      </c>
      <c r="I897" s="106" t="str">
        <f>SUMIFS(Del!C:C,Del!B:B,A897)</f>
        <v>0</v>
      </c>
      <c r="J897" s="106" t="str">
        <f t="shared" si="5"/>
        <v>1</v>
      </c>
      <c r="K897" s="106" t="str">
        <f t="shared" si="6"/>
        <v>1</v>
      </c>
      <c r="L897" s="106"/>
      <c r="M897" s="106" t="str">
        <f>SUMIFS(Ere!C:C,Ere!B:B,A897)</f>
        <v>0</v>
      </c>
      <c r="N897" s="106" t="str">
        <f t="shared" si="7"/>
        <v>1</v>
      </c>
      <c r="O897" s="107" t="str">
        <f t="array" ref="O897">XLOOKUP(A897,Data!F:F,Data!O:O)</f>
        <v>  0.41 </v>
      </c>
      <c r="P897" s="107" t="str">
        <f t="shared" si="8"/>
        <v>  1.03 </v>
      </c>
      <c r="Q897" s="27"/>
    </row>
    <row r="898" ht="15.75" customHeight="1">
      <c r="A898" s="109" t="s">
        <v>1142</v>
      </c>
      <c r="B898" s="19" t="str">
        <f t="array" ref="B898">XLOOKUP(A898,Data!F:F,Data!G:G)</f>
        <v>J1A</v>
      </c>
      <c r="C898" s="19" t="str">
        <f t="shared" si="3"/>
        <v>J122</v>
      </c>
      <c r="D898" s="19" t="str">
        <f t="array" ref="D898">XLOOKUP(A898,Data!F:F,Data!C:C)</f>
        <v/>
      </c>
      <c r="E898" s="19" t="str">
        <f t="array" ref="E898">XLOOKUP(A898,Data!F:F,Data!H:H)</f>
        <v>BW</v>
      </c>
      <c r="F898" s="106" t="str">
        <f>SUMIFS(Data!J:J,Data!F:F,A898)</f>
        <v>1</v>
      </c>
      <c r="G898" s="106" t="str">
        <f>SUMIFS(Cast!C:C,CastElements,A898)</f>
        <v>1</v>
      </c>
      <c r="H898" s="106" t="str">
        <f t="shared" si="4"/>
        <v>0</v>
      </c>
      <c r="I898" s="106" t="str">
        <f>SUMIFS(Del!C:C,Del!B:B,A898)</f>
        <v>0</v>
      </c>
      <c r="J898" s="106" t="str">
        <f t="shared" si="5"/>
        <v>1</v>
      </c>
      <c r="K898" s="106" t="str">
        <f t="shared" si="6"/>
        <v>1</v>
      </c>
      <c r="L898" s="106"/>
      <c r="M898" s="106" t="str">
        <f>SUMIFS(Ere!C:C,Ere!B:B,A898)</f>
        <v>0</v>
      </c>
      <c r="N898" s="106" t="str">
        <f t="shared" si="7"/>
        <v>1</v>
      </c>
      <c r="O898" s="107" t="str">
        <f t="array" ref="O898">XLOOKUP(A898,Data!F:F,Data!O:O)</f>
        <v>  0.47 </v>
      </c>
      <c r="P898" s="107" t="str">
        <f t="shared" si="8"/>
        <v>  1.18 </v>
      </c>
      <c r="Q898" s="27"/>
    </row>
    <row r="899" ht="15.75" customHeight="1">
      <c r="A899" s="109" t="s">
        <v>1143</v>
      </c>
      <c r="B899" s="19" t="str">
        <f t="array" ref="B899">XLOOKUP(A899,Data!F:F,Data!G:G)</f>
        <v>J1A</v>
      </c>
      <c r="C899" s="19" t="str">
        <f t="shared" si="3"/>
        <v>J122</v>
      </c>
      <c r="D899" s="19" t="str">
        <f t="array" ref="D899">XLOOKUP(A899,Data!F:F,Data!C:C)</f>
        <v/>
      </c>
      <c r="E899" s="19" t="str">
        <f t="array" ref="E899">XLOOKUP(A899,Data!F:F,Data!H:H)</f>
        <v>CF</v>
      </c>
      <c r="F899" s="106" t="str">
        <f>SUMIFS(Data!J:J,Data!F:F,A899)</f>
        <v>1</v>
      </c>
      <c r="G899" s="106" t="str">
        <f>SUMIFS(Cast!C:C,CastElements,A899)</f>
        <v>1</v>
      </c>
      <c r="H899" s="106" t="str">
        <f t="shared" si="4"/>
        <v>0</v>
      </c>
      <c r="I899" s="106" t="str">
        <f>SUMIFS(Del!C:C,Del!B:B,A899)</f>
        <v>0</v>
      </c>
      <c r="J899" s="106" t="str">
        <f t="shared" si="5"/>
        <v>1</v>
      </c>
      <c r="K899" s="106" t="str">
        <f t="shared" si="6"/>
        <v>1</v>
      </c>
      <c r="L899" s="106"/>
      <c r="M899" s="106" t="str">
        <f>SUMIFS(Ere!C:C,Ere!B:B,A899)</f>
        <v>0</v>
      </c>
      <c r="N899" s="106" t="str">
        <f t="shared" si="7"/>
        <v>1</v>
      </c>
      <c r="O899" s="107" t="str">
        <f t="array" ref="O899">XLOOKUP(A899,Data!F:F,Data!O:O)</f>
        <v>  0.55 </v>
      </c>
      <c r="P899" s="107" t="str">
        <f t="shared" si="8"/>
        <v>  1.38 </v>
      </c>
      <c r="Q899" s="27"/>
    </row>
    <row r="900" ht="15.75" customHeight="1">
      <c r="A900" s="105" t="s">
        <v>1144</v>
      </c>
      <c r="B900" s="19" t="str">
        <f t="array" ref="B900">XLOOKUP(A900,Data!F:F,Data!G:G)</f>
        <v>J1A</v>
      </c>
      <c r="C900" s="19" t="str">
        <f t="shared" si="3"/>
        <v>J122</v>
      </c>
      <c r="D900" s="19" t="str">
        <f t="array" ref="D900">XLOOKUP(A900,Data!F:F,Data!C:C)</f>
        <v>EXT</v>
      </c>
      <c r="E900" s="19" t="str">
        <f t="array" ref="E900">XLOOKUP(A900,Data!F:F,Data!H:H)</f>
        <v>BW</v>
      </c>
      <c r="F900" s="106" t="str">
        <f>SUMIFS(Data!J:J,Data!F:F,A900)</f>
        <v>1</v>
      </c>
      <c r="G900" s="106" t="str">
        <f>SUMIFS(Cast!C:C,CastElements,A900)</f>
        <v>0</v>
      </c>
      <c r="H900" s="106" t="str">
        <f t="shared" si="4"/>
        <v>1</v>
      </c>
      <c r="I900" s="106" t="str">
        <f>SUMIFS(Del!C:C,Del!B:B,A900)</f>
        <v>0</v>
      </c>
      <c r="J900" s="106" t="str">
        <f t="shared" si="5"/>
        <v>1</v>
      </c>
      <c r="K900" s="106" t="str">
        <f t="shared" si="6"/>
        <v>0</v>
      </c>
      <c r="L900" s="106"/>
      <c r="M900" s="106" t="str">
        <f>SUMIFS(Ere!C:C,Ere!B:B,A900)</f>
        <v>0</v>
      </c>
      <c r="N900" s="106" t="str">
        <f t="shared" si="7"/>
        <v>1</v>
      </c>
      <c r="O900" s="107" t="str">
        <f t="array" ref="O900">XLOOKUP(A900,Data!F:F,Data!O:O)</f>
        <v>  0.92 </v>
      </c>
      <c r="P900" s="107" t="str">
        <f t="shared" si="8"/>
        <v>  2.29 </v>
      </c>
      <c r="Q900" s="27"/>
    </row>
    <row r="901" ht="15.75" customHeight="1">
      <c r="A901" s="109" t="s">
        <v>1145</v>
      </c>
      <c r="B901" s="19" t="str">
        <f t="array" ref="B901">XLOOKUP(A901,Data!F:F,Data!G:G)</f>
        <v>J1B</v>
      </c>
      <c r="C901" s="19" t="str">
        <f t="shared" si="3"/>
        <v>J123</v>
      </c>
      <c r="D901" s="19" t="str">
        <f t="array" ref="D901">XLOOKUP(A901,Data!F:F,Data!C:C)</f>
        <v/>
      </c>
      <c r="E901" s="19" t="str">
        <f t="array" ref="E901">XLOOKUP(A901,Data!F:F,Data!H:H)</f>
        <v>BW</v>
      </c>
      <c r="F901" s="106" t="str">
        <f>SUMIFS(Data!J:J,Data!F:F,A901)</f>
        <v>1</v>
      </c>
      <c r="G901" s="106" t="str">
        <f>SUMIFS(Cast!C:C,CastElements,A901)</f>
        <v>1</v>
      </c>
      <c r="H901" s="106" t="str">
        <f t="shared" si="4"/>
        <v>0</v>
      </c>
      <c r="I901" s="106" t="str">
        <f>SUMIFS(Del!C:C,Del!B:B,A901)</f>
        <v>1</v>
      </c>
      <c r="J901" s="106" t="str">
        <f t="shared" si="5"/>
        <v>0</v>
      </c>
      <c r="K901" s="106" t="str">
        <f t="shared" si="6"/>
        <v>0</v>
      </c>
      <c r="L901" s="106"/>
      <c r="M901" s="106" t="str">
        <f>SUMIFS(Ere!C:C,Ere!B:B,A901)</f>
        <v>1</v>
      </c>
      <c r="N901" s="106" t="str">
        <f t="shared" si="7"/>
        <v>0</v>
      </c>
      <c r="O901" s="107" t="str">
        <f t="array" ref="O901">XLOOKUP(A901,Data!F:F,Data!O:O)</f>
        <v>  0.83 </v>
      </c>
      <c r="P901" s="107" t="str">
        <f t="shared" si="8"/>
        <v>  2.07 </v>
      </c>
      <c r="Q901" s="27"/>
    </row>
    <row r="902" ht="15.75" customHeight="1">
      <c r="A902" s="109" t="s">
        <v>1146</v>
      </c>
      <c r="B902" s="19" t="str">
        <f t="array" ref="B902">XLOOKUP(A902,Data!F:F,Data!G:G)</f>
        <v>J1B</v>
      </c>
      <c r="C902" s="19" t="str">
        <f t="shared" si="3"/>
        <v>J123</v>
      </c>
      <c r="D902" s="19" t="str">
        <f t="array" ref="D902">XLOOKUP(A902,Data!F:F,Data!C:C)</f>
        <v>EXT</v>
      </c>
      <c r="E902" s="19" t="str">
        <f t="array" ref="E902">XLOOKUP(A902,Data!F:F,Data!H:H)</f>
        <v>BW</v>
      </c>
      <c r="F902" s="106" t="str">
        <f>SUMIFS(Data!J:J,Data!F:F,A902)</f>
        <v>1</v>
      </c>
      <c r="G902" s="106" t="str">
        <f>SUMIFS(Cast!C:C,CastElements,A902)</f>
        <v>1</v>
      </c>
      <c r="H902" s="106" t="str">
        <f t="shared" si="4"/>
        <v>0</v>
      </c>
      <c r="I902" s="106" t="str">
        <f>SUMIFS(Del!C:C,Del!B:B,A902)</f>
        <v>1</v>
      </c>
      <c r="J902" s="106" t="str">
        <f t="shared" si="5"/>
        <v>0</v>
      </c>
      <c r="K902" s="106" t="str">
        <f t="shared" si="6"/>
        <v>0</v>
      </c>
      <c r="L902" s="106"/>
      <c r="M902" s="106" t="str">
        <f>SUMIFS(Ere!C:C,Ere!B:B,A902)</f>
        <v>1</v>
      </c>
      <c r="N902" s="106" t="str">
        <f t="shared" si="7"/>
        <v>0</v>
      </c>
      <c r="O902" s="107" t="str">
        <f t="array" ref="O902">XLOOKUP(A902,Data!F:F,Data!O:O)</f>
        <v>  1.20 </v>
      </c>
      <c r="P902" s="107" t="str">
        <f t="shared" si="8"/>
        <v>  3.00 </v>
      </c>
      <c r="Q902" s="27"/>
    </row>
    <row r="903" ht="15.75" customHeight="1">
      <c r="A903" s="109" t="s">
        <v>1147</v>
      </c>
      <c r="B903" s="19" t="str">
        <f t="array" ref="B903">XLOOKUP(A903,Data!F:F,Data!G:G)</f>
        <v>J1B</v>
      </c>
      <c r="C903" s="19" t="str">
        <f t="shared" si="3"/>
        <v>J123</v>
      </c>
      <c r="D903" s="19" t="str">
        <f t="array" ref="D903">XLOOKUP(A903,Data!F:F,Data!C:C)</f>
        <v>EXT</v>
      </c>
      <c r="E903" s="19" t="str">
        <f t="array" ref="E903">XLOOKUP(A903,Data!F:F,Data!H:H)</f>
        <v>BW</v>
      </c>
      <c r="F903" s="106" t="str">
        <f>SUMIFS(Data!J:J,Data!F:F,A903)</f>
        <v>1</v>
      </c>
      <c r="G903" s="106" t="str">
        <f>SUMIFS(Cast!C:C,CastElements,A903)</f>
        <v>1</v>
      </c>
      <c r="H903" s="106" t="str">
        <f t="shared" si="4"/>
        <v>0</v>
      </c>
      <c r="I903" s="106" t="str">
        <f>SUMIFS(Del!C:C,Del!B:B,A903)</f>
        <v>1</v>
      </c>
      <c r="J903" s="106" t="str">
        <f t="shared" si="5"/>
        <v>0</v>
      </c>
      <c r="K903" s="106" t="str">
        <f t="shared" si="6"/>
        <v>0</v>
      </c>
      <c r="L903" s="106"/>
      <c r="M903" s="106" t="str">
        <f>SUMIFS(Ere!C:C,Ere!B:B,A903)</f>
        <v>1</v>
      </c>
      <c r="N903" s="106" t="str">
        <f t="shared" si="7"/>
        <v>0</v>
      </c>
      <c r="O903" s="107" t="str">
        <f t="array" ref="O903">XLOOKUP(A903,Data!F:F,Data!O:O)</f>
        <v>  1.02 </v>
      </c>
      <c r="P903" s="107" t="str">
        <f t="shared" si="8"/>
        <v>  2.54 </v>
      </c>
      <c r="Q903" s="27"/>
    </row>
    <row r="904" ht="15.75" customHeight="1">
      <c r="A904" s="109" t="s">
        <v>1148</v>
      </c>
      <c r="B904" s="19" t="str">
        <f t="array" ref="B904">XLOOKUP(A904,Data!F:F,Data!G:G)</f>
        <v>J1B</v>
      </c>
      <c r="C904" s="19" t="str">
        <f t="shared" si="3"/>
        <v>J123</v>
      </c>
      <c r="D904" s="19" t="str">
        <f t="array" ref="D904">XLOOKUP(A904,Data!F:F,Data!C:C)</f>
        <v/>
      </c>
      <c r="E904" s="19" t="str">
        <f t="array" ref="E904">XLOOKUP(A904,Data!F:F,Data!H:H)</f>
        <v>BW</v>
      </c>
      <c r="F904" s="106" t="str">
        <f>SUMIFS(Data!J:J,Data!F:F,A904)</f>
        <v>1</v>
      </c>
      <c r="G904" s="106" t="str">
        <f>SUMIFS(Cast!C:C,CastElements,A904)</f>
        <v>1</v>
      </c>
      <c r="H904" s="106" t="str">
        <f t="shared" si="4"/>
        <v>0</v>
      </c>
      <c r="I904" s="106" t="str">
        <f>SUMIFS(Del!C:C,Del!B:B,A904)</f>
        <v>1</v>
      </c>
      <c r="J904" s="106" t="str">
        <f t="shared" si="5"/>
        <v>0</v>
      </c>
      <c r="K904" s="106" t="str">
        <f t="shared" si="6"/>
        <v>0</v>
      </c>
      <c r="L904" s="106"/>
      <c r="M904" s="106" t="str">
        <f>SUMIFS(Ere!C:C,Ere!B:B,A904)</f>
        <v>1</v>
      </c>
      <c r="N904" s="106" t="str">
        <f t="shared" si="7"/>
        <v>0</v>
      </c>
      <c r="O904" s="107" t="str">
        <f t="array" ref="O904">XLOOKUP(A904,Data!F:F,Data!O:O)</f>
        <v>  1.68 </v>
      </c>
      <c r="P904" s="107" t="str">
        <f t="shared" si="8"/>
        <v>  4.19 </v>
      </c>
      <c r="Q904" s="27"/>
    </row>
    <row r="905" ht="15.75" customHeight="1">
      <c r="A905" s="109" t="s">
        <v>1149</v>
      </c>
      <c r="B905" s="19" t="str">
        <f t="array" ref="B905">XLOOKUP(A905,Data!F:F,Data!G:G)</f>
        <v>J1B</v>
      </c>
      <c r="C905" s="19" t="str">
        <f t="shared" si="3"/>
        <v>J123</v>
      </c>
      <c r="D905" s="19" t="str">
        <f t="array" ref="D905">XLOOKUP(A905,Data!F:F,Data!C:C)</f>
        <v/>
      </c>
      <c r="E905" s="19" t="str">
        <f t="array" ref="E905">XLOOKUP(A905,Data!F:F,Data!H:H)</f>
        <v>BW</v>
      </c>
      <c r="F905" s="106" t="str">
        <f>SUMIFS(Data!J:J,Data!F:F,A905)</f>
        <v>1</v>
      </c>
      <c r="G905" s="106" t="str">
        <f>SUMIFS(Cast!C:C,CastElements,A905)</f>
        <v>1</v>
      </c>
      <c r="H905" s="106" t="str">
        <f t="shared" si="4"/>
        <v>0</v>
      </c>
      <c r="I905" s="106" t="str">
        <f>SUMIFS(Del!C:C,Del!B:B,A905)</f>
        <v>1</v>
      </c>
      <c r="J905" s="106" t="str">
        <f t="shared" si="5"/>
        <v>0</v>
      </c>
      <c r="K905" s="106" t="str">
        <f t="shared" si="6"/>
        <v>0</v>
      </c>
      <c r="L905" s="106"/>
      <c r="M905" s="106" t="str">
        <f>SUMIFS(Ere!C:C,Ere!B:B,A905)</f>
        <v>1</v>
      </c>
      <c r="N905" s="106" t="str">
        <f t="shared" si="7"/>
        <v>0</v>
      </c>
      <c r="O905" s="107" t="str">
        <f t="array" ref="O905">XLOOKUP(A905,Data!F:F,Data!O:O)</f>
        <v>  1.61 </v>
      </c>
      <c r="P905" s="107" t="str">
        <f t="shared" si="8"/>
        <v>  4.02 </v>
      </c>
      <c r="Q905" s="27"/>
    </row>
    <row r="906" ht="15.75" customHeight="1">
      <c r="A906" s="109" t="s">
        <v>1150</v>
      </c>
      <c r="B906" s="19" t="str">
        <f t="array" ref="B906">XLOOKUP(A906,Data!F:F,Data!G:G)</f>
        <v>J1B</v>
      </c>
      <c r="C906" s="19" t="str">
        <f t="shared" si="3"/>
        <v>J123</v>
      </c>
      <c r="D906" s="19" t="str">
        <f t="array" ref="D906">XLOOKUP(A906,Data!F:F,Data!C:C)</f>
        <v/>
      </c>
      <c r="E906" s="19" t="str">
        <f t="array" ref="E906">XLOOKUP(A906,Data!F:F,Data!H:H)</f>
        <v>BW</v>
      </c>
      <c r="F906" s="106" t="str">
        <f>SUMIFS(Data!J:J,Data!F:F,A906)</f>
        <v>1</v>
      </c>
      <c r="G906" s="106" t="str">
        <f>SUMIFS(Cast!C:C,CastElements,A906)</f>
        <v>1</v>
      </c>
      <c r="H906" s="106" t="str">
        <f t="shared" si="4"/>
        <v>0</v>
      </c>
      <c r="I906" s="106" t="str">
        <f>SUMIFS(Del!C:C,Del!B:B,A906)</f>
        <v>1</v>
      </c>
      <c r="J906" s="106" t="str">
        <f t="shared" si="5"/>
        <v>0</v>
      </c>
      <c r="K906" s="106" t="str">
        <f t="shared" si="6"/>
        <v>0</v>
      </c>
      <c r="L906" s="106"/>
      <c r="M906" s="106" t="str">
        <f>SUMIFS(Ere!C:C,Ere!B:B,A906)</f>
        <v>1</v>
      </c>
      <c r="N906" s="106" t="str">
        <f t="shared" si="7"/>
        <v>0</v>
      </c>
      <c r="O906" s="107" t="str">
        <f t="array" ref="O906">XLOOKUP(A906,Data!F:F,Data!O:O)</f>
        <v>  2.01 </v>
      </c>
      <c r="P906" s="107" t="str">
        <f t="shared" si="8"/>
        <v>  5.03 </v>
      </c>
      <c r="Q906" s="27"/>
    </row>
    <row r="907" ht="15.75" customHeight="1">
      <c r="A907" s="109" t="s">
        <v>1151</v>
      </c>
      <c r="B907" s="19" t="str">
        <f t="array" ref="B907">XLOOKUP(A907,Data!F:F,Data!G:G)</f>
        <v>J1B</v>
      </c>
      <c r="C907" s="19" t="str">
        <f t="shared" si="3"/>
        <v>J123</v>
      </c>
      <c r="D907" s="19" t="str">
        <f t="array" ref="D907">XLOOKUP(A907,Data!F:F,Data!C:C)</f>
        <v/>
      </c>
      <c r="E907" s="19" t="str">
        <f t="array" ref="E907">XLOOKUP(A907,Data!F:F,Data!H:H)</f>
        <v>BW</v>
      </c>
      <c r="F907" s="106" t="str">
        <f>SUMIFS(Data!J:J,Data!F:F,A907)</f>
        <v>1</v>
      </c>
      <c r="G907" s="106" t="str">
        <f>SUMIFS(Cast!C:C,CastElements,A907)</f>
        <v>1</v>
      </c>
      <c r="H907" s="106" t="str">
        <f t="shared" si="4"/>
        <v>0</v>
      </c>
      <c r="I907" s="106" t="str">
        <f>SUMIFS(Del!C:C,Del!B:B,A907)</f>
        <v>1</v>
      </c>
      <c r="J907" s="106" t="str">
        <f t="shared" si="5"/>
        <v>0</v>
      </c>
      <c r="K907" s="106" t="str">
        <f t="shared" si="6"/>
        <v>0</v>
      </c>
      <c r="L907" s="106"/>
      <c r="M907" s="106" t="str">
        <f>SUMIFS(Ere!C:C,Ere!B:B,A907)</f>
        <v>1</v>
      </c>
      <c r="N907" s="106" t="str">
        <f t="shared" si="7"/>
        <v>0</v>
      </c>
      <c r="O907" s="107" t="str">
        <f t="array" ref="O907">XLOOKUP(A907,Data!F:F,Data!O:O)</f>
        <v>  2.05 </v>
      </c>
      <c r="P907" s="107" t="str">
        <f t="shared" si="8"/>
        <v>  5.14 </v>
      </c>
      <c r="Q907" s="27"/>
    </row>
    <row r="908" ht="15.75" customHeight="1">
      <c r="A908" s="109" t="s">
        <v>1152</v>
      </c>
      <c r="B908" s="19" t="str">
        <f t="array" ref="B908">XLOOKUP(A908,Data!F:F,Data!G:G)</f>
        <v>J1B</v>
      </c>
      <c r="C908" s="19" t="str">
        <f t="shared" si="3"/>
        <v>J123</v>
      </c>
      <c r="D908" s="19" t="str">
        <f t="array" ref="D908">XLOOKUP(A908,Data!F:F,Data!C:C)</f>
        <v>EXT</v>
      </c>
      <c r="E908" s="19" t="str">
        <f t="array" ref="E908">XLOOKUP(A908,Data!F:F,Data!H:H)</f>
        <v>BW</v>
      </c>
      <c r="F908" s="106" t="str">
        <f>SUMIFS(Data!J:J,Data!F:F,A908)</f>
        <v>1</v>
      </c>
      <c r="G908" s="106" t="str">
        <f>SUMIFS(Cast!C:C,CastElements,A908)</f>
        <v>1</v>
      </c>
      <c r="H908" s="106" t="str">
        <f t="shared" si="4"/>
        <v>0</v>
      </c>
      <c r="I908" s="106" t="str">
        <f>SUMIFS(Del!C:C,Del!B:B,A908)</f>
        <v>1</v>
      </c>
      <c r="J908" s="106" t="str">
        <f t="shared" si="5"/>
        <v>0</v>
      </c>
      <c r="K908" s="106" t="str">
        <f t="shared" si="6"/>
        <v>0</v>
      </c>
      <c r="L908" s="106"/>
      <c r="M908" s="106" t="str">
        <f>SUMIFS(Ere!C:C,Ere!B:B,A908)</f>
        <v>1</v>
      </c>
      <c r="N908" s="106" t="str">
        <f t="shared" si="7"/>
        <v>0</v>
      </c>
      <c r="O908" s="107" t="str">
        <f t="array" ref="O908">XLOOKUP(A908,Data!F:F,Data!O:O)</f>
        <v>  2.01 </v>
      </c>
      <c r="P908" s="107" t="str">
        <f t="shared" si="8"/>
        <v>  5.03 </v>
      </c>
      <c r="Q908" s="27"/>
    </row>
    <row r="909" ht="15.75" customHeight="1">
      <c r="A909" s="109" t="s">
        <v>1153</v>
      </c>
      <c r="B909" s="19" t="str">
        <f t="array" ref="B909">XLOOKUP(A909,Data!F:F,Data!G:G)</f>
        <v>J1B</v>
      </c>
      <c r="C909" s="19" t="str">
        <f t="shared" si="3"/>
        <v>J123</v>
      </c>
      <c r="D909" s="19" t="str">
        <f t="array" ref="D909">XLOOKUP(A909,Data!F:F,Data!C:C)</f>
        <v/>
      </c>
      <c r="E909" s="19" t="str">
        <f t="array" ref="E909">XLOOKUP(A909,Data!F:F,Data!H:H)</f>
        <v>BW</v>
      </c>
      <c r="F909" s="106" t="str">
        <f>SUMIFS(Data!J:J,Data!F:F,A909)</f>
        <v>1</v>
      </c>
      <c r="G909" s="106" t="str">
        <f>SUMIFS(Cast!C:C,CastElements,A909)</f>
        <v>1</v>
      </c>
      <c r="H909" s="106" t="str">
        <f t="shared" si="4"/>
        <v>0</v>
      </c>
      <c r="I909" s="106" t="str">
        <f>SUMIFS(Del!C:C,Del!B:B,A909)</f>
        <v>1</v>
      </c>
      <c r="J909" s="106" t="str">
        <f t="shared" si="5"/>
        <v>0</v>
      </c>
      <c r="K909" s="106" t="str">
        <f t="shared" si="6"/>
        <v>0</v>
      </c>
      <c r="L909" s="106"/>
      <c r="M909" s="106" t="str">
        <f>SUMIFS(Ere!C:C,Ere!B:B,A909)</f>
        <v>1</v>
      </c>
      <c r="N909" s="106" t="str">
        <f t="shared" si="7"/>
        <v>0</v>
      </c>
      <c r="O909" s="107" t="str">
        <f t="array" ref="O909">XLOOKUP(A909,Data!F:F,Data!O:O)</f>
        <v>  2.09 </v>
      </c>
      <c r="P909" s="107" t="str">
        <f t="shared" si="8"/>
        <v>  5.21 </v>
      </c>
      <c r="Q909" s="27"/>
    </row>
    <row r="910" ht="15.75" customHeight="1">
      <c r="A910" s="109" t="s">
        <v>1154</v>
      </c>
      <c r="B910" s="19" t="str">
        <f t="array" ref="B910">XLOOKUP(A910,Data!F:F,Data!G:G)</f>
        <v>J1B</v>
      </c>
      <c r="C910" s="19" t="str">
        <f t="shared" si="3"/>
        <v>J123</v>
      </c>
      <c r="D910" s="19" t="str">
        <f t="array" ref="D910">XLOOKUP(A910,Data!F:F,Data!C:C)</f>
        <v/>
      </c>
      <c r="E910" s="19" t="str">
        <f t="array" ref="E910">XLOOKUP(A910,Data!F:F,Data!H:H)</f>
        <v>BW</v>
      </c>
      <c r="F910" s="106" t="str">
        <f>SUMIFS(Data!J:J,Data!F:F,A910)</f>
        <v>1</v>
      </c>
      <c r="G910" s="106" t="str">
        <f>SUMIFS(Cast!C:C,CastElements,A910)</f>
        <v>1</v>
      </c>
      <c r="H910" s="106" t="str">
        <f t="shared" si="4"/>
        <v>0</v>
      </c>
      <c r="I910" s="106" t="str">
        <f>SUMIFS(Del!C:C,Del!B:B,A910)</f>
        <v>1</v>
      </c>
      <c r="J910" s="106" t="str">
        <f t="shared" si="5"/>
        <v>0</v>
      </c>
      <c r="K910" s="106" t="str">
        <f t="shared" si="6"/>
        <v>0</v>
      </c>
      <c r="L910" s="106"/>
      <c r="M910" s="106" t="str">
        <f>SUMIFS(Ere!C:C,Ere!B:B,A910)</f>
        <v>1</v>
      </c>
      <c r="N910" s="106" t="str">
        <f t="shared" si="7"/>
        <v>0</v>
      </c>
      <c r="O910" s="107" t="str">
        <f t="array" ref="O910">XLOOKUP(A910,Data!F:F,Data!O:O)</f>
        <v>  1.90 </v>
      </c>
      <c r="P910" s="107" t="str">
        <f t="shared" si="8"/>
        <v>  4.75 </v>
      </c>
      <c r="Q910" s="27"/>
    </row>
    <row r="911" ht="15.75" customHeight="1">
      <c r="A911" s="109" t="s">
        <v>1155</v>
      </c>
      <c r="B911" s="19" t="str">
        <f t="array" ref="B911">XLOOKUP(A911,Data!F:F,Data!G:G)</f>
        <v>J1B</v>
      </c>
      <c r="C911" s="19" t="str">
        <f t="shared" si="3"/>
        <v>J123</v>
      </c>
      <c r="D911" s="19" t="str">
        <f t="array" ref="D911">XLOOKUP(A911,Data!F:F,Data!C:C)</f>
        <v/>
      </c>
      <c r="E911" s="19" t="str">
        <f t="array" ref="E911">XLOOKUP(A911,Data!F:F,Data!H:H)</f>
        <v>BW</v>
      </c>
      <c r="F911" s="106" t="str">
        <f>SUMIFS(Data!J:J,Data!F:F,A911)</f>
        <v>1</v>
      </c>
      <c r="G911" s="106" t="str">
        <f>SUMIFS(Cast!C:C,CastElements,A911)</f>
        <v>1</v>
      </c>
      <c r="H911" s="106" t="str">
        <f t="shared" si="4"/>
        <v>0</v>
      </c>
      <c r="I911" s="106" t="str">
        <f>SUMIFS(Del!C:C,Del!B:B,A911)</f>
        <v>1</v>
      </c>
      <c r="J911" s="106" t="str">
        <f t="shared" si="5"/>
        <v>0</v>
      </c>
      <c r="K911" s="106" t="str">
        <f t="shared" si="6"/>
        <v>0</v>
      </c>
      <c r="L911" s="106"/>
      <c r="M911" s="106" t="str">
        <f>SUMIFS(Ere!C:C,Ere!B:B,A911)</f>
        <v>1</v>
      </c>
      <c r="N911" s="106" t="str">
        <f t="shared" si="7"/>
        <v>0</v>
      </c>
      <c r="O911" s="107" t="str">
        <f t="array" ref="O911">XLOOKUP(A911,Data!F:F,Data!O:O)</f>
        <v>  1.90 </v>
      </c>
      <c r="P911" s="107" t="str">
        <f t="shared" si="8"/>
        <v>  4.75 </v>
      </c>
      <c r="Q911" s="27"/>
    </row>
    <row r="912" ht="15.75" customHeight="1">
      <c r="A912" s="109" t="s">
        <v>1156</v>
      </c>
      <c r="B912" s="19" t="str">
        <f t="array" ref="B912">XLOOKUP(A912,Data!F:F,Data!G:G)</f>
        <v>J1B</v>
      </c>
      <c r="C912" s="19" t="str">
        <f t="shared" si="3"/>
        <v>J123</v>
      </c>
      <c r="D912" s="19" t="str">
        <f t="array" ref="D912">XLOOKUP(A912,Data!F:F,Data!C:C)</f>
        <v/>
      </c>
      <c r="E912" s="19" t="str">
        <f t="array" ref="E912">XLOOKUP(A912,Data!F:F,Data!H:H)</f>
        <v>BW</v>
      </c>
      <c r="F912" s="106" t="str">
        <f>SUMIFS(Data!J:J,Data!F:F,A912)</f>
        <v>1</v>
      </c>
      <c r="G912" s="106" t="str">
        <f>SUMIFS(Cast!C:C,CastElements,A912)</f>
        <v>1</v>
      </c>
      <c r="H912" s="106" t="str">
        <f t="shared" si="4"/>
        <v>0</v>
      </c>
      <c r="I912" s="106" t="str">
        <f>SUMIFS(Del!C:C,Del!B:B,A912)</f>
        <v>1</v>
      </c>
      <c r="J912" s="106" t="str">
        <f t="shared" si="5"/>
        <v>0</v>
      </c>
      <c r="K912" s="106" t="str">
        <f t="shared" si="6"/>
        <v>0</v>
      </c>
      <c r="L912" s="106"/>
      <c r="M912" s="106" t="str">
        <f>SUMIFS(Ere!C:C,Ere!B:B,A912)</f>
        <v>1</v>
      </c>
      <c r="N912" s="106" t="str">
        <f t="shared" si="7"/>
        <v>0</v>
      </c>
      <c r="O912" s="107" t="str">
        <f t="array" ref="O912">XLOOKUP(A912,Data!F:F,Data!O:O)</f>
        <v>  1.90 </v>
      </c>
      <c r="P912" s="107" t="str">
        <f t="shared" si="8"/>
        <v>  4.75 </v>
      </c>
      <c r="Q912" s="27"/>
    </row>
    <row r="913" ht="15.75" customHeight="1">
      <c r="A913" s="109" t="s">
        <v>1157</v>
      </c>
      <c r="B913" s="19" t="str">
        <f t="array" ref="B913">XLOOKUP(A913,Data!F:F,Data!G:G)</f>
        <v>J1B</v>
      </c>
      <c r="C913" s="19" t="str">
        <f t="shared" si="3"/>
        <v>J123</v>
      </c>
      <c r="D913" s="19" t="str">
        <f t="array" ref="D913">XLOOKUP(A913,Data!F:F,Data!C:C)</f>
        <v/>
      </c>
      <c r="E913" s="19" t="str">
        <f t="array" ref="E913">XLOOKUP(A913,Data!F:F,Data!H:H)</f>
        <v>BW</v>
      </c>
      <c r="F913" s="106" t="str">
        <f>SUMIFS(Data!J:J,Data!F:F,A913)</f>
        <v>1</v>
      </c>
      <c r="G913" s="106" t="str">
        <f>SUMIFS(Cast!C:C,CastElements,A913)</f>
        <v>1</v>
      </c>
      <c r="H913" s="106" t="str">
        <f t="shared" si="4"/>
        <v>0</v>
      </c>
      <c r="I913" s="106" t="str">
        <f>SUMIFS(Del!C:C,Del!B:B,A913)</f>
        <v>1</v>
      </c>
      <c r="J913" s="106" t="str">
        <f t="shared" si="5"/>
        <v>0</v>
      </c>
      <c r="K913" s="106" t="str">
        <f t="shared" si="6"/>
        <v>0</v>
      </c>
      <c r="L913" s="106"/>
      <c r="M913" s="106" t="str">
        <f>SUMIFS(Ere!C:C,Ere!B:B,A913)</f>
        <v>1</v>
      </c>
      <c r="N913" s="106" t="str">
        <f t="shared" si="7"/>
        <v>0</v>
      </c>
      <c r="O913" s="107" t="str">
        <f t="array" ref="O913">XLOOKUP(A913,Data!F:F,Data!O:O)</f>
        <v>  1.56 </v>
      </c>
      <c r="P913" s="107" t="str">
        <f t="shared" si="8"/>
        <v>  3.90 </v>
      </c>
      <c r="Q913" s="27"/>
    </row>
    <row r="914" ht="15.75" customHeight="1">
      <c r="A914" s="109" t="s">
        <v>1158</v>
      </c>
      <c r="B914" s="19" t="str">
        <f t="array" ref="B914">XLOOKUP(A914,Data!F:F,Data!G:G)</f>
        <v>J1B</v>
      </c>
      <c r="C914" s="19" t="str">
        <f t="shared" si="3"/>
        <v>J123</v>
      </c>
      <c r="D914" s="19" t="str">
        <f t="array" ref="D914">XLOOKUP(A914,Data!F:F,Data!C:C)</f>
        <v/>
      </c>
      <c r="E914" s="19" t="str">
        <f t="array" ref="E914">XLOOKUP(A914,Data!F:F,Data!H:H)</f>
        <v>BW</v>
      </c>
      <c r="F914" s="106" t="str">
        <f>SUMIFS(Data!J:J,Data!F:F,A914)</f>
        <v>1</v>
      </c>
      <c r="G914" s="106" t="str">
        <f>SUMIFS(Cast!C:C,CastElements,A914)</f>
        <v>1</v>
      </c>
      <c r="H914" s="106" t="str">
        <f t="shared" si="4"/>
        <v>0</v>
      </c>
      <c r="I914" s="106" t="str">
        <f>SUMIFS(Del!C:C,Del!B:B,A914)</f>
        <v>1</v>
      </c>
      <c r="J914" s="106" t="str">
        <f t="shared" si="5"/>
        <v>0</v>
      </c>
      <c r="K914" s="106" t="str">
        <f t="shared" si="6"/>
        <v>0</v>
      </c>
      <c r="L914" s="106"/>
      <c r="M914" s="106" t="str">
        <f>SUMIFS(Ere!C:C,Ere!B:B,A914)</f>
        <v>1</v>
      </c>
      <c r="N914" s="106" t="str">
        <f t="shared" si="7"/>
        <v>0</v>
      </c>
      <c r="O914" s="107" t="str">
        <f t="array" ref="O914">XLOOKUP(A914,Data!F:F,Data!O:O)</f>
        <v>  0.69 </v>
      </c>
      <c r="P914" s="107" t="str">
        <f t="shared" si="8"/>
        <v>  1.72 </v>
      </c>
      <c r="Q914" s="27"/>
    </row>
    <row r="915" ht="15.75" customHeight="1">
      <c r="A915" s="109" t="s">
        <v>1159</v>
      </c>
      <c r="B915" s="19" t="str">
        <f t="array" ref="B915">XLOOKUP(A915,Data!F:F,Data!G:G)</f>
        <v>J1B</v>
      </c>
      <c r="C915" s="19" t="str">
        <f t="shared" si="3"/>
        <v>J123</v>
      </c>
      <c r="D915" s="19" t="str">
        <f t="array" ref="D915">XLOOKUP(A915,Data!F:F,Data!C:C)</f>
        <v/>
      </c>
      <c r="E915" s="19" t="str">
        <f t="array" ref="E915">XLOOKUP(A915,Data!F:F,Data!H:H)</f>
        <v>BW</v>
      </c>
      <c r="F915" s="106" t="str">
        <f>SUMIFS(Data!J:J,Data!F:F,A915)</f>
        <v>1</v>
      </c>
      <c r="G915" s="106" t="str">
        <f>SUMIFS(Cast!C:C,CastElements,A915)</f>
        <v>1</v>
      </c>
      <c r="H915" s="106" t="str">
        <f t="shared" si="4"/>
        <v>0</v>
      </c>
      <c r="I915" s="106" t="str">
        <f>SUMIFS(Del!C:C,Del!B:B,A915)</f>
        <v>1</v>
      </c>
      <c r="J915" s="106" t="str">
        <f t="shared" si="5"/>
        <v>0</v>
      </c>
      <c r="K915" s="106" t="str">
        <f t="shared" si="6"/>
        <v>0</v>
      </c>
      <c r="L915" s="106"/>
      <c r="M915" s="106" t="str">
        <f>SUMIFS(Ere!C:C,Ere!B:B,A915)</f>
        <v>1</v>
      </c>
      <c r="N915" s="106" t="str">
        <f t="shared" si="7"/>
        <v>0</v>
      </c>
      <c r="O915" s="107" t="str">
        <f t="array" ref="O915">XLOOKUP(A915,Data!F:F,Data!O:O)</f>
        <v>  0.69 </v>
      </c>
      <c r="P915" s="107" t="str">
        <f t="shared" si="8"/>
        <v>  1.72 </v>
      </c>
      <c r="Q915" s="27"/>
    </row>
    <row r="916" ht="15.75" customHeight="1">
      <c r="A916" s="109" t="s">
        <v>1160</v>
      </c>
      <c r="B916" s="19" t="str">
        <f t="array" ref="B916">XLOOKUP(A916,Data!F:F,Data!G:G)</f>
        <v>J1B</v>
      </c>
      <c r="C916" s="19" t="str">
        <f t="shared" si="3"/>
        <v>J123</v>
      </c>
      <c r="D916" s="19" t="str">
        <f t="array" ref="D916">XLOOKUP(A916,Data!F:F,Data!C:C)</f>
        <v/>
      </c>
      <c r="E916" s="19" t="str">
        <f t="array" ref="E916">XLOOKUP(A916,Data!F:F,Data!H:H)</f>
        <v>BW</v>
      </c>
      <c r="F916" s="106" t="str">
        <f>SUMIFS(Data!J:J,Data!F:F,A916)</f>
        <v>1</v>
      </c>
      <c r="G916" s="106" t="str">
        <f>SUMIFS(Cast!C:C,CastElements,A916)</f>
        <v>1</v>
      </c>
      <c r="H916" s="106" t="str">
        <f t="shared" si="4"/>
        <v>0</v>
      </c>
      <c r="I916" s="106" t="str">
        <f>SUMIFS(Del!C:C,Del!B:B,A916)</f>
        <v>1</v>
      </c>
      <c r="J916" s="106" t="str">
        <f t="shared" si="5"/>
        <v>0</v>
      </c>
      <c r="K916" s="106" t="str">
        <f t="shared" si="6"/>
        <v>0</v>
      </c>
      <c r="L916" s="106"/>
      <c r="M916" s="106" t="str">
        <f>SUMIFS(Ere!C:C,Ere!B:B,A916)</f>
        <v>1</v>
      </c>
      <c r="N916" s="106" t="str">
        <f t="shared" si="7"/>
        <v>0</v>
      </c>
      <c r="O916" s="107" t="str">
        <f t="array" ref="O916">XLOOKUP(A916,Data!F:F,Data!O:O)</f>
        <v>  0.30 </v>
      </c>
      <c r="P916" s="107" t="str">
        <f t="shared" si="8"/>
        <v>  0.75 </v>
      </c>
      <c r="Q916" s="27"/>
    </row>
    <row r="917" ht="15.75" customHeight="1">
      <c r="A917" s="109" t="s">
        <v>1161</v>
      </c>
      <c r="B917" s="19" t="str">
        <f t="array" ref="B917">XLOOKUP(A917,Data!F:F,Data!G:G)</f>
        <v>J1B</v>
      </c>
      <c r="C917" s="19" t="str">
        <f t="shared" si="3"/>
        <v>J123</v>
      </c>
      <c r="D917" s="19" t="str">
        <f t="array" ref="D917">XLOOKUP(A917,Data!F:F,Data!C:C)</f>
        <v/>
      </c>
      <c r="E917" s="19" t="str">
        <f t="array" ref="E917">XLOOKUP(A917,Data!F:F,Data!H:H)</f>
        <v>CF</v>
      </c>
      <c r="F917" s="106" t="str">
        <f>SUMIFS(Data!J:J,Data!F:F,A917)</f>
        <v>1</v>
      </c>
      <c r="G917" s="106" t="str">
        <f>SUMIFS(Cast!C:C,CastElements,A917)</f>
        <v>1</v>
      </c>
      <c r="H917" s="106" t="str">
        <f t="shared" si="4"/>
        <v>0</v>
      </c>
      <c r="I917" s="106" t="str">
        <f>SUMIFS(Del!C:C,Del!B:B,A917)</f>
        <v>1</v>
      </c>
      <c r="J917" s="106" t="str">
        <f t="shared" si="5"/>
        <v>0</v>
      </c>
      <c r="K917" s="106" t="str">
        <f t="shared" si="6"/>
        <v>0</v>
      </c>
      <c r="L917" s="106"/>
      <c r="M917" s="106" t="str">
        <f>SUMIFS(Ere!C:C,Ere!B:B,A917)</f>
        <v>1</v>
      </c>
      <c r="N917" s="106" t="str">
        <f t="shared" si="7"/>
        <v>0</v>
      </c>
      <c r="O917" s="107" t="str">
        <f t="array" ref="O917">XLOOKUP(A917,Data!F:F,Data!O:O)</f>
        <v>  0.46 </v>
      </c>
      <c r="P917" s="107" t="str">
        <f t="shared" si="8"/>
        <v>  1.15 </v>
      </c>
      <c r="Q917" s="27"/>
    </row>
    <row r="918" ht="15.75" customHeight="1">
      <c r="A918" s="110" t="s">
        <v>1162</v>
      </c>
      <c r="B918" s="19" t="str">
        <f t="array" ref="B918">XLOOKUP(A918,Data!F:F,Data!G:G)</f>
        <v>J1B</v>
      </c>
      <c r="C918" s="19" t="str">
        <f t="shared" si="3"/>
        <v>J123</v>
      </c>
      <c r="D918" s="19" t="str">
        <f t="array" ref="D918">XLOOKUP(A918,Data!F:F,Data!C:C)</f>
        <v>EXT</v>
      </c>
      <c r="E918" s="19" t="str">
        <f t="array" ref="E918">XLOOKUP(A918,Data!F:F,Data!H:H)</f>
        <v>BW</v>
      </c>
      <c r="F918" s="106" t="str">
        <f>SUMIFS(Data!J:J,Data!F:F,A918)</f>
        <v>1</v>
      </c>
      <c r="G918" s="106" t="str">
        <f>SUMIFS(Cast!C:C,CastElements,A918)</f>
        <v>1</v>
      </c>
      <c r="H918" s="106" t="str">
        <f t="shared" si="4"/>
        <v>0</v>
      </c>
      <c r="I918" s="106" t="str">
        <f>SUMIFS(Del!C:C,Del!B:B,A918)</f>
        <v>1</v>
      </c>
      <c r="J918" s="106" t="str">
        <f t="shared" si="5"/>
        <v>0</v>
      </c>
      <c r="K918" s="106" t="str">
        <f t="shared" si="6"/>
        <v>0</v>
      </c>
      <c r="L918" s="106"/>
      <c r="M918" s="106" t="str">
        <f>SUMIFS(Ere!C:C,Ere!B:B,A918)</f>
        <v>1</v>
      </c>
      <c r="N918" s="106" t="str">
        <f t="shared" si="7"/>
        <v>0</v>
      </c>
      <c r="O918" s="107" t="str">
        <f t="array" ref="O918">XLOOKUP(A918,Data!F:F,Data!O:O)</f>
        <v>  0.50 </v>
      </c>
      <c r="P918" s="107" t="str">
        <f t="shared" si="8"/>
        <v>  1.26 </v>
      </c>
      <c r="Q918" s="27"/>
    </row>
    <row r="919" ht="15.75" customHeight="1">
      <c r="A919" s="110" t="s">
        <v>1163</v>
      </c>
      <c r="B919" s="19" t="str">
        <f t="array" ref="B919">XLOOKUP(A919,Data!F:F,Data!G:G)</f>
        <v>J1B</v>
      </c>
      <c r="C919" s="19" t="str">
        <f t="shared" si="3"/>
        <v>J123</v>
      </c>
      <c r="D919" s="19" t="str">
        <f t="array" ref="D919">XLOOKUP(A919,Data!F:F,Data!C:C)</f>
        <v>EXT</v>
      </c>
      <c r="E919" s="19" t="str">
        <f t="array" ref="E919">XLOOKUP(A919,Data!F:F,Data!H:H)</f>
        <v>BW</v>
      </c>
      <c r="F919" s="106" t="str">
        <f>SUMIFS(Data!J:J,Data!F:F,A919)</f>
        <v>1</v>
      </c>
      <c r="G919" s="106" t="str">
        <f>SUMIFS(Cast!C:C,CastElements,A919)</f>
        <v>1</v>
      </c>
      <c r="H919" s="106" t="str">
        <f t="shared" si="4"/>
        <v>0</v>
      </c>
      <c r="I919" s="106" t="str">
        <f>SUMIFS(Del!C:C,Del!B:B,A919)</f>
        <v>1</v>
      </c>
      <c r="J919" s="106" t="str">
        <f t="shared" si="5"/>
        <v>0</v>
      </c>
      <c r="K919" s="106" t="str">
        <f t="shared" si="6"/>
        <v>0</v>
      </c>
      <c r="L919" s="106"/>
      <c r="M919" s="106" t="str">
        <f>SUMIFS(Ere!C:C,Ere!B:B,A919)</f>
        <v>1</v>
      </c>
      <c r="N919" s="106" t="str">
        <f t="shared" si="7"/>
        <v>0</v>
      </c>
      <c r="O919" s="107" t="str">
        <f t="array" ref="O919">XLOOKUP(A919,Data!F:F,Data!O:O)</f>
        <v>  0.50 </v>
      </c>
      <c r="P919" s="107" t="str">
        <f t="shared" si="8"/>
        <v>  1.26 </v>
      </c>
      <c r="Q919" s="27"/>
    </row>
    <row r="920" ht="15.75" customHeight="1">
      <c r="A920" s="110" t="s">
        <v>1164</v>
      </c>
      <c r="B920" s="19" t="str">
        <f t="array" ref="B920">XLOOKUP(A920,Data!F:F,Data!G:G)</f>
        <v>J1B</v>
      </c>
      <c r="C920" s="19" t="str">
        <f t="shared" si="3"/>
        <v>J123</v>
      </c>
      <c r="D920" s="19" t="str">
        <f t="array" ref="D920">XLOOKUP(A920,Data!F:F,Data!C:C)</f>
        <v>EXT</v>
      </c>
      <c r="E920" s="19" t="str">
        <f t="array" ref="E920">XLOOKUP(A920,Data!F:F,Data!H:H)</f>
        <v>BW</v>
      </c>
      <c r="F920" s="106" t="str">
        <f>SUMIFS(Data!J:J,Data!F:F,A920)</f>
        <v>1</v>
      </c>
      <c r="G920" s="106" t="str">
        <f>SUMIFS(Cast!C:C,CastElements,A920)</f>
        <v>1</v>
      </c>
      <c r="H920" s="106" t="str">
        <f t="shared" si="4"/>
        <v>0</v>
      </c>
      <c r="I920" s="106" t="str">
        <f>SUMIFS(Del!C:C,Del!B:B,A920)</f>
        <v>1</v>
      </c>
      <c r="J920" s="106" t="str">
        <f t="shared" si="5"/>
        <v>0</v>
      </c>
      <c r="K920" s="106" t="str">
        <f t="shared" si="6"/>
        <v>0</v>
      </c>
      <c r="L920" s="106"/>
      <c r="M920" s="106" t="str">
        <f>SUMIFS(Ere!C:C,Ere!B:B,A920)</f>
        <v>1</v>
      </c>
      <c r="N920" s="106" t="str">
        <f t="shared" si="7"/>
        <v>0</v>
      </c>
      <c r="O920" s="107" t="str">
        <f t="array" ref="O920">XLOOKUP(A920,Data!F:F,Data!O:O)</f>
        <v>  1.23 </v>
      </c>
      <c r="P920" s="107" t="str">
        <f t="shared" si="8"/>
        <v>  3.07 </v>
      </c>
      <c r="Q920" s="27"/>
    </row>
    <row r="921" ht="15.75" customHeight="1">
      <c r="A921" s="110" t="s">
        <v>1165</v>
      </c>
      <c r="B921" s="19" t="str">
        <f t="array" ref="B921">XLOOKUP(A921,Data!F:F,Data!G:G)</f>
        <v>J1B</v>
      </c>
      <c r="C921" s="19" t="str">
        <f t="shared" si="3"/>
        <v>J123</v>
      </c>
      <c r="D921" s="19" t="str">
        <f t="array" ref="D921">XLOOKUP(A921,Data!F:F,Data!C:C)</f>
        <v>EXT</v>
      </c>
      <c r="E921" s="19" t="str">
        <f t="array" ref="E921">XLOOKUP(A921,Data!F:F,Data!H:H)</f>
        <v>BW</v>
      </c>
      <c r="F921" s="106" t="str">
        <f>SUMIFS(Data!J:J,Data!F:F,A921)</f>
        <v>1</v>
      </c>
      <c r="G921" s="106" t="str">
        <f>SUMIFS(Cast!C:C,CastElements,A921)</f>
        <v>1</v>
      </c>
      <c r="H921" s="106" t="str">
        <f t="shared" si="4"/>
        <v>0</v>
      </c>
      <c r="I921" s="106" t="str">
        <f>SUMIFS(Del!C:C,Del!B:B,A921)</f>
        <v>1</v>
      </c>
      <c r="J921" s="106" t="str">
        <f t="shared" si="5"/>
        <v>0</v>
      </c>
      <c r="K921" s="106" t="str">
        <f t="shared" si="6"/>
        <v>0</v>
      </c>
      <c r="L921" s="106"/>
      <c r="M921" s="106" t="str">
        <f>SUMIFS(Ere!C:C,Ere!B:B,A921)</f>
        <v>1</v>
      </c>
      <c r="N921" s="106" t="str">
        <f t="shared" si="7"/>
        <v>0</v>
      </c>
      <c r="O921" s="107" t="str">
        <f t="array" ref="O921">XLOOKUP(A921,Data!F:F,Data!O:O)</f>
        <v>  0.87 </v>
      </c>
      <c r="P921" s="107" t="str">
        <f t="shared" si="8"/>
        <v>  2.17 </v>
      </c>
      <c r="Q921" s="27"/>
    </row>
    <row r="922" ht="15.75" customHeight="1">
      <c r="A922" s="110" t="s">
        <v>1166</v>
      </c>
      <c r="B922" s="19" t="str">
        <f t="array" ref="B922">XLOOKUP(A922,Data!F:F,Data!G:G)</f>
        <v>J1B</v>
      </c>
      <c r="C922" s="19" t="str">
        <f t="shared" si="3"/>
        <v>J123</v>
      </c>
      <c r="D922" s="19" t="str">
        <f t="array" ref="D922">XLOOKUP(A922,Data!F:F,Data!C:C)</f>
        <v/>
      </c>
      <c r="E922" s="19" t="str">
        <f t="array" ref="E922">XLOOKUP(A922,Data!F:F,Data!H:H)</f>
        <v>BW</v>
      </c>
      <c r="F922" s="106" t="str">
        <f>SUMIFS(Data!J:J,Data!F:F,A922)</f>
        <v>1</v>
      </c>
      <c r="G922" s="106" t="str">
        <f>SUMIFS(Cast!C:C,CastElements,A922)</f>
        <v>1</v>
      </c>
      <c r="H922" s="106" t="str">
        <f t="shared" si="4"/>
        <v>0</v>
      </c>
      <c r="I922" s="106" t="str">
        <f>SUMIFS(Del!C:C,Del!B:B,A922)</f>
        <v>1</v>
      </c>
      <c r="J922" s="106" t="str">
        <f t="shared" si="5"/>
        <v>0</v>
      </c>
      <c r="K922" s="106" t="str">
        <f t="shared" si="6"/>
        <v>0</v>
      </c>
      <c r="L922" s="106"/>
      <c r="M922" s="106" t="str">
        <f>SUMIFS(Ere!C:C,Ere!B:B,A922)</f>
        <v>1</v>
      </c>
      <c r="N922" s="106" t="str">
        <f t="shared" si="7"/>
        <v>0</v>
      </c>
      <c r="O922" s="107" t="str">
        <f t="array" ref="O922">XLOOKUP(A922,Data!F:F,Data!O:O)</f>
        <v>  0.28 </v>
      </c>
      <c r="P922" s="107" t="str">
        <f t="shared" si="8"/>
        <v>  0.71 </v>
      </c>
      <c r="Q922" s="27"/>
    </row>
    <row r="923" ht="15.75" customHeight="1">
      <c r="A923" s="109" t="s">
        <v>1167</v>
      </c>
      <c r="B923" s="19" t="str">
        <f t="array" ref="B923">XLOOKUP(A923,Data!F:F,Data!G:G)</f>
        <v>J1B</v>
      </c>
      <c r="C923" s="19" t="str">
        <f t="shared" si="3"/>
        <v>J124</v>
      </c>
      <c r="D923" s="19" t="str">
        <f t="array" ref="D923">XLOOKUP(A923,Data!F:F,Data!C:C)</f>
        <v>EXT</v>
      </c>
      <c r="E923" s="19" t="str">
        <f t="array" ref="E923">XLOOKUP(A923,Data!F:F,Data!H:H)</f>
        <v>BW</v>
      </c>
      <c r="F923" s="106" t="str">
        <f>SUMIFS(Data!J:J,Data!F:F,A923)</f>
        <v>1</v>
      </c>
      <c r="G923" s="106" t="str">
        <f>SUMIFS(Cast!C:C,CastElements,A923)</f>
        <v>1</v>
      </c>
      <c r="H923" s="106" t="str">
        <f t="shared" si="4"/>
        <v>0</v>
      </c>
      <c r="I923" s="106" t="str">
        <f>SUMIFS(Del!C:C,Del!B:B,A923)</f>
        <v>1</v>
      </c>
      <c r="J923" s="106" t="str">
        <f t="shared" si="5"/>
        <v>0</v>
      </c>
      <c r="K923" s="106" t="str">
        <f t="shared" si="6"/>
        <v>0</v>
      </c>
      <c r="L923" s="106"/>
      <c r="M923" s="106" t="str">
        <f>SUMIFS(Ere!C:C,Ere!B:B,A923)</f>
        <v>1</v>
      </c>
      <c r="N923" s="106" t="str">
        <f t="shared" si="7"/>
        <v>0</v>
      </c>
      <c r="O923" s="107" t="str">
        <f t="array" ref="O923">XLOOKUP(A923,Data!F:F,Data!O:O)</f>
        <v>  1.02 </v>
      </c>
      <c r="P923" s="107" t="str">
        <f t="shared" si="8"/>
        <v>  2.54 </v>
      </c>
      <c r="Q923" s="27"/>
    </row>
    <row r="924" ht="15.75" customHeight="1">
      <c r="A924" s="110" t="s">
        <v>1168</v>
      </c>
      <c r="B924" s="19" t="str">
        <f t="array" ref="B924">XLOOKUP(A924,Data!F:F,Data!G:G)</f>
        <v>J1B</v>
      </c>
      <c r="C924" s="19" t="str">
        <f t="shared" si="3"/>
        <v>J124</v>
      </c>
      <c r="D924" s="19" t="str">
        <f t="array" ref="D924">XLOOKUP(A924,Data!F:F,Data!C:C)</f>
        <v>EXT</v>
      </c>
      <c r="E924" s="19" t="str">
        <f t="array" ref="E924">XLOOKUP(A924,Data!F:F,Data!H:H)</f>
        <v>BW</v>
      </c>
      <c r="F924" s="106" t="str">
        <f>SUMIFS(Data!J:J,Data!F:F,A924)</f>
        <v>1</v>
      </c>
      <c r="G924" s="106" t="str">
        <f>SUMIFS(Cast!C:C,CastElements,A924)</f>
        <v>1</v>
      </c>
      <c r="H924" s="106" t="str">
        <f t="shared" si="4"/>
        <v>0</v>
      </c>
      <c r="I924" s="106" t="str">
        <f>SUMIFS(Del!C:C,Del!B:B,A924)</f>
        <v>1</v>
      </c>
      <c r="J924" s="106" t="str">
        <f t="shared" si="5"/>
        <v>0</v>
      </c>
      <c r="K924" s="106" t="str">
        <f t="shared" si="6"/>
        <v>0</v>
      </c>
      <c r="L924" s="106"/>
      <c r="M924" s="106" t="str">
        <f>SUMIFS(Ere!C:C,Ere!B:B,A924)</f>
        <v>1</v>
      </c>
      <c r="N924" s="106" t="str">
        <f t="shared" si="7"/>
        <v>0</v>
      </c>
      <c r="O924" s="107" t="str">
        <f t="array" ref="O924">XLOOKUP(A924,Data!F:F,Data!O:O)</f>
        <v>  1.00 </v>
      </c>
      <c r="P924" s="107" t="str">
        <f t="shared" si="8"/>
        <v>  2.51 </v>
      </c>
      <c r="Q924" s="27"/>
    </row>
    <row r="925" ht="15.75" customHeight="1">
      <c r="A925" s="110" t="s">
        <v>1169</v>
      </c>
      <c r="B925" s="19" t="str">
        <f t="array" ref="B925">XLOOKUP(A925,Data!F:F,Data!G:G)</f>
        <v>J1B</v>
      </c>
      <c r="C925" s="19" t="str">
        <f t="shared" si="3"/>
        <v>J124</v>
      </c>
      <c r="D925" s="19" t="str">
        <f t="array" ref="D925">XLOOKUP(A925,Data!F:F,Data!C:C)</f>
        <v>EXT</v>
      </c>
      <c r="E925" s="19" t="str">
        <f t="array" ref="E925">XLOOKUP(A925,Data!F:F,Data!H:H)</f>
        <v>BW</v>
      </c>
      <c r="F925" s="106" t="str">
        <f>SUMIFS(Data!J:J,Data!F:F,A925)</f>
        <v>1</v>
      </c>
      <c r="G925" s="106" t="str">
        <f>SUMIFS(Cast!C:C,CastElements,A925)</f>
        <v>1</v>
      </c>
      <c r="H925" s="106" t="str">
        <f t="shared" si="4"/>
        <v>0</v>
      </c>
      <c r="I925" s="106" t="str">
        <f>SUMIFS(Del!C:C,Del!B:B,A925)</f>
        <v>1</v>
      </c>
      <c r="J925" s="106" t="str">
        <f t="shared" si="5"/>
        <v>0</v>
      </c>
      <c r="K925" s="106" t="str">
        <f t="shared" si="6"/>
        <v>0</v>
      </c>
      <c r="L925" s="106"/>
      <c r="M925" s="106" t="str">
        <f>SUMIFS(Ere!C:C,Ere!B:B,A925)</f>
        <v>1</v>
      </c>
      <c r="N925" s="106" t="str">
        <f t="shared" si="7"/>
        <v>0</v>
      </c>
      <c r="O925" s="107" t="str">
        <f t="array" ref="O925">XLOOKUP(A925,Data!F:F,Data!O:O)</f>
        <v>  1.15 </v>
      </c>
      <c r="P925" s="107" t="str">
        <f t="shared" si="8"/>
        <v>  2.87 </v>
      </c>
      <c r="Q925" s="27"/>
    </row>
    <row r="926" ht="15.75" customHeight="1">
      <c r="A926" s="110" t="s">
        <v>1170</v>
      </c>
      <c r="B926" s="19" t="str">
        <f t="array" ref="B926">XLOOKUP(A926,Data!F:F,Data!G:G)</f>
        <v>J1B</v>
      </c>
      <c r="C926" s="19" t="str">
        <f t="shared" si="3"/>
        <v>J124</v>
      </c>
      <c r="D926" s="19" t="str">
        <f t="array" ref="D926">XLOOKUP(A926,Data!F:F,Data!C:C)</f>
        <v>EXT</v>
      </c>
      <c r="E926" s="19" t="str">
        <f t="array" ref="E926">XLOOKUP(A926,Data!F:F,Data!H:H)</f>
        <v>BW</v>
      </c>
      <c r="F926" s="106" t="str">
        <f>SUMIFS(Data!J:J,Data!F:F,A926)</f>
        <v>1</v>
      </c>
      <c r="G926" s="106" t="str">
        <f>SUMIFS(Cast!C:C,CastElements,A926)</f>
        <v>1</v>
      </c>
      <c r="H926" s="106" t="str">
        <f t="shared" si="4"/>
        <v>0</v>
      </c>
      <c r="I926" s="106" t="str">
        <f>SUMIFS(Del!C:C,Del!B:B,A926)</f>
        <v>1</v>
      </c>
      <c r="J926" s="106" t="str">
        <f t="shared" si="5"/>
        <v>0</v>
      </c>
      <c r="K926" s="106" t="str">
        <f t="shared" si="6"/>
        <v>0</v>
      </c>
      <c r="L926" s="106"/>
      <c r="M926" s="106" t="str">
        <f>SUMIFS(Ere!C:C,Ere!B:B,A926)</f>
        <v>1</v>
      </c>
      <c r="N926" s="106" t="str">
        <f t="shared" si="7"/>
        <v>0</v>
      </c>
      <c r="O926" s="107" t="str">
        <f t="array" ref="O926">XLOOKUP(A926,Data!F:F,Data!O:O)</f>
        <v>  1.29 </v>
      </c>
      <c r="P926" s="107" t="str">
        <f t="shared" si="8"/>
        <v>  3.22 </v>
      </c>
      <c r="Q926" s="27"/>
    </row>
    <row r="927" ht="15.75" customHeight="1">
      <c r="A927" s="110" t="s">
        <v>1171</v>
      </c>
      <c r="B927" s="19" t="str">
        <f t="array" ref="B927">XLOOKUP(A927,Data!F:F,Data!G:G)</f>
        <v>J1B</v>
      </c>
      <c r="C927" s="19" t="str">
        <f t="shared" si="3"/>
        <v>J124</v>
      </c>
      <c r="D927" s="19" t="str">
        <f t="array" ref="D927">XLOOKUP(A927,Data!F:F,Data!C:C)</f>
        <v>EXT</v>
      </c>
      <c r="E927" s="19" t="str">
        <f t="array" ref="E927">XLOOKUP(A927,Data!F:F,Data!H:H)</f>
        <v>BW</v>
      </c>
      <c r="F927" s="106" t="str">
        <f>SUMIFS(Data!J:J,Data!F:F,A927)</f>
        <v>1</v>
      </c>
      <c r="G927" s="106" t="str">
        <f>SUMIFS(Cast!C:C,CastElements,A927)</f>
        <v>1</v>
      </c>
      <c r="H927" s="106" t="str">
        <f t="shared" si="4"/>
        <v>0</v>
      </c>
      <c r="I927" s="106" t="str">
        <f>SUMIFS(Del!C:C,Del!B:B,A927)</f>
        <v>1</v>
      </c>
      <c r="J927" s="106" t="str">
        <f t="shared" si="5"/>
        <v>0</v>
      </c>
      <c r="K927" s="106" t="str">
        <f t="shared" si="6"/>
        <v>0</v>
      </c>
      <c r="L927" s="106"/>
      <c r="M927" s="106" t="str">
        <f>SUMIFS(Ere!C:C,Ere!B:B,A927)</f>
        <v>1</v>
      </c>
      <c r="N927" s="106" t="str">
        <f t="shared" si="7"/>
        <v>0</v>
      </c>
      <c r="O927" s="107" t="str">
        <f t="array" ref="O927">XLOOKUP(A927,Data!F:F,Data!O:O)</f>
        <v>  1.00 </v>
      </c>
      <c r="P927" s="107" t="str">
        <f t="shared" si="8"/>
        <v>  2.51 </v>
      </c>
      <c r="Q927" s="27"/>
    </row>
    <row r="928" ht="15.75" customHeight="1">
      <c r="A928" s="110" t="s">
        <v>1172</v>
      </c>
      <c r="B928" s="19" t="str">
        <f t="array" ref="B928">XLOOKUP(A928,Data!F:F,Data!G:G)</f>
        <v>J1B</v>
      </c>
      <c r="C928" s="19" t="str">
        <f t="shared" si="3"/>
        <v>J124</v>
      </c>
      <c r="D928" s="19" t="str">
        <f t="array" ref="D928">XLOOKUP(A928,Data!F:F,Data!C:C)</f>
        <v>EXT</v>
      </c>
      <c r="E928" s="19" t="str">
        <f t="array" ref="E928">XLOOKUP(A928,Data!F:F,Data!H:H)</f>
        <v>BW</v>
      </c>
      <c r="F928" s="106" t="str">
        <f>SUMIFS(Data!J:J,Data!F:F,A928)</f>
        <v>1</v>
      </c>
      <c r="G928" s="106" t="str">
        <f>SUMIFS(Cast!C:C,CastElements,A928)</f>
        <v>1</v>
      </c>
      <c r="H928" s="106" t="str">
        <f t="shared" si="4"/>
        <v>0</v>
      </c>
      <c r="I928" s="106" t="str">
        <f>SUMIFS(Del!C:C,Del!B:B,A928)</f>
        <v>1</v>
      </c>
      <c r="J928" s="106" t="str">
        <f t="shared" si="5"/>
        <v>0</v>
      </c>
      <c r="K928" s="106" t="str">
        <f t="shared" si="6"/>
        <v>0</v>
      </c>
      <c r="L928" s="106"/>
      <c r="M928" s="106" t="str">
        <f>SUMIFS(Ere!C:C,Ere!B:B,A928)</f>
        <v>1</v>
      </c>
      <c r="N928" s="106" t="str">
        <f t="shared" si="7"/>
        <v>0</v>
      </c>
      <c r="O928" s="107" t="str">
        <f t="array" ref="O928">XLOOKUP(A928,Data!F:F,Data!O:O)</f>
        <v>  1.30 </v>
      </c>
      <c r="P928" s="107" t="str">
        <f t="shared" si="8"/>
        <v>  3.25 </v>
      </c>
      <c r="Q928" s="27"/>
    </row>
    <row r="929" ht="15.75" customHeight="1">
      <c r="A929" s="110" t="s">
        <v>1173</v>
      </c>
      <c r="B929" s="19" t="str">
        <f t="array" ref="B929">XLOOKUP(A929,Data!F:F,Data!G:G)</f>
        <v>J1B</v>
      </c>
      <c r="C929" s="19" t="str">
        <f t="shared" si="3"/>
        <v>J124</v>
      </c>
      <c r="D929" s="19" t="str">
        <f t="array" ref="D929">XLOOKUP(A929,Data!F:F,Data!C:C)</f>
        <v/>
      </c>
      <c r="E929" s="19" t="str">
        <f t="array" ref="E929">XLOOKUP(A929,Data!F:F,Data!H:H)</f>
        <v>BW</v>
      </c>
      <c r="F929" s="106" t="str">
        <f>SUMIFS(Data!J:J,Data!F:F,A929)</f>
        <v>1</v>
      </c>
      <c r="G929" s="106" t="str">
        <f>SUMIFS(Cast!C:C,CastElements,A929)</f>
        <v>1</v>
      </c>
      <c r="H929" s="106" t="str">
        <f t="shared" si="4"/>
        <v>0</v>
      </c>
      <c r="I929" s="106" t="str">
        <f>SUMIFS(Del!C:C,Del!B:B,A929)</f>
        <v>1</v>
      </c>
      <c r="J929" s="106" t="str">
        <f t="shared" si="5"/>
        <v>0</v>
      </c>
      <c r="K929" s="106" t="str">
        <f t="shared" si="6"/>
        <v>0</v>
      </c>
      <c r="L929" s="106"/>
      <c r="M929" s="106" t="str">
        <f>SUMIFS(Ere!C:C,Ere!B:B,A929)</f>
        <v>1</v>
      </c>
      <c r="N929" s="106" t="str">
        <f t="shared" si="7"/>
        <v>0</v>
      </c>
      <c r="O929" s="107" t="str">
        <f t="array" ref="O929">XLOOKUP(A929,Data!F:F,Data!O:O)</f>
        <v>  1.87 </v>
      </c>
      <c r="P929" s="107" t="str">
        <f t="shared" si="8"/>
        <v>  4.68 </v>
      </c>
      <c r="Q929" s="27"/>
    </row>
    <row r="930" ht="15.75" customHeight="1">
      <c r="A930" s="110" t="s">
        <v>1174</v>
      </c>
      <c r="B930" s="19" t="str">
        <f t="array" ref="B930">XLOOKUP(A930,Data!F:F,Data!G:G)</f>
        <v>J1B</v>
      </c>
      <c r="C930" s="19" t="str">
        <f t="shared" si="3"/>
        <v>J124</v>
      </c>
      <c r="D930" s="19" t="str">
        <f t="array" ref="D930">XLOOKUP(A930,Data!F:F,Data!C:C)</f>
        <v/>
      </c>
      <c r="E930" s="19" t="str">
        <f t="array" ref="E930">XLOOKUP(A930,Data!F:F,Data!H:H)</f>
        <v>BW</v>
      </c>
      <c r="F930" s="106" t="str">
        <f>SUMIFS(Data!J:J,Data!F:F,A930)</f>
        <v>1</v>
      </c>
      <c r="G930" s="106" t="str">
        <f>SUMIFS(Cast!C:C,CastElements,A930)</f>
        <v>1</v>
      </c>
      <c r="H930" s="106" t="str">
        <f t="shared" si="4"/>
        <v>0</v>
      </c>
      <c r="I930" s="106" t="str">
        <f>SUMIFS(Del!C:C,Del!B:B,A930)</f>
        <v>1</v>
      </c>
      <c r="J930" s="106" t="str">
        <f t="shared" si="5"/>
        <v>0</v>
      </c>
      <c r="K930" s="106" t="str">
        <f t="shared" si="6"/>
        <v>0</v>
      </c>
      <c r="L930" s="106"/>
      <c r="M930" s="106" t="str">
        <f>SUMIFS(Ere!C:C,Ere!B:B,A930)</f>
        <v>1</v>
      </c>
      <c r="N930" s="106" t="str">
        <f t="shared" si="7"/>
        <v>0</v>
      </c>
      <c r="O930" s="107" t="str">
        <f t="array" ref="O930">XLOOKUP(A930,Data!F:F,Data!O:O)</f>
        <v>  1.87 </v>
      </c>
      <c r="P930" s="107" t="str">
        <f t="shared" si="8"/>
        <v>  4.68 </v>
      </c>
      <c r="Q930" s="27"/>
    </row>
    <row r="931" ht="15.75" customHeight="1">
      <c r="A931" s="110" t="s">
        <v>1175</v>
      </c>
      <c r="B931" s="19" t="str">
        <f t="array" ref="B931">XLOOKUP(A931,Data!F:F,Data!G:G)</f>
        <v>J1B</v>
      </c>
      <c r="C931" s="19" t="str">
        <f t="shared" si="3"/>
        <v>J124</v>
      </c>
      <c r="D931" s="19" t="str">
        <f t="array" ref="D931">XLOOKUP(A931,Data!F:F,Data!C:C)</f>
        <v/>
      </c>
      <c r="E931" s="19" t="str">
        <f t="array" ref="E931">XLOOKUP(A931,Data!F:F,Data!H:H)</f>
        <v>BW</v>
      </c>
      <c r="F931" s="106" t="str">
        <f>SUMIFS(Data!J:J,Data!F:F,A931)</f>
        <v>1</v>
      </c>
      <c r="G931" s="106" t="str">
        <f>SUMIFS(Cast!C:C,CastElements,A931)</f>
        <v>1</v>
      </c>
      <c r="H931" s="106" t="str">
        <f t="shared" si="4"/>
        <v>0</v>
      </c>
      <c r="I931" s="106" t="str">
        <f>SUMIFS(Del!C:C,Del!B:B,A931)</f>
        <v>1</v>
      </c>
      <c r="J931" s="106" t="str">
        <f t="shared" si="5"/>
        <v>0</v>
      </c>
      <c r="K931" s="106" t="str">
        <f t="shared" si="6"/>
        <v>0</v>
      </c>
      <c r="L931" s="106"/>
      <c r="M931" s="106" t="str">
        <f>SUMIFS(Ere!C:C,Ere!B:B,A931)</f>
        <v>1</v>
      </c>
      <c r="N931" s="106" t="str">
        <f t="shared" si="7"/>
        <v>0</v>
      </c>
      <c r="O931" s="107" t="str">
        <f t="array" ref="O931">XLOOKUP(A931,Data!F:F,Data!O:O)</f>
        <v>  1.87 </v>
      </c>
      <c r="P931" s="107" t="str">
        <f t="shared" si="8"/>
        <v>  4.68 </v>
      </c>
      <c r="Q931" s="27"/>
    </row>
    <row r="932" ht="15.75" customHeight="1">
      <c r="A932" s="110" t="s">
        <v>1176</v>
      </c>
      <c r="B932" s="19" t="str">
        <f t="array" ref="B932">XLOOKUP(A932,Data!F:F,Data!G:G)</f>
        <v>J1B</v>
      </c>
      <c r="C932" s="19" t="str">
        <f t="shared" si="3"/>
        <v>J124</v>
      </c>
      <c r="D932" s="19" t="str">
        <f t="array" ref="D932">XLOOKUP(A932,Data!F:F,Data!C:C)</f>
        <v/>
      </c>
      <c r="E932" s="19" t="str">
        <f t="array" ref="E932">XLOOKUP(A932,Data!F:F,Data!H:H)</f>
        <v>BW</v>
      </c>
      <c r="F932" s="106" t="str">
        <f>SUMIFS(Data!J:J,Data!F:F,A932)</f>
        <v>1</v>
      </c>
      <c r="G932" s="106" t="str">
        <f>SUMIFS(Cast!C:C,CastElements,A932)</f>
        <v>1</v>
      </c>
      <c r="H932" s="106" t="str">
        <f t="shared" si="4"/>
        <v>0</v>
      </c>
      <c r="I932" s="106" t="str">
        <f>SUMIFS(Del!C:C,Del!B:B,A932)</f>
        <v>1</v>
      </c>
      <c r="J932" s="106" t="str">
        <f t="shared" si="5"/>
        <v>0</v>
      </c>
      <c r="K932" s="106" t="str">
        <f t="shared" si="6"/>
        <v>0</v>
      </c>
      <c r="L932" s="106"/>
      <c r="M932" s="106" t="str">
        <f>SUMIFS(Ere!C:C,Ere!B:B,A932)</f>
        <v>1</v>
      </c>
      <c r="N932" s="106" t="str">
        <f t="shared" si="7"/>
        <v>0</v>
      </c>
      <c r="O932" s="107" t="str">
        <f t="array" ref="O932">XLOOKUP(A932,Data!F:F,Data!O:O)</f>
        <v>  1.54 </v>
      </c>
      <c r="P932" s="107" t="str">
        <f t="shared" si="8"/>
        <v>  3.84 </v>
      </c>
      <c r="Q932" s="27"/>
    </row>
    <row r="933" ht="15.75" customHeight="1">
      <c r="A933" s="110" t="s">
        <v>1177</v>
      </c>
      <c r="B933" s="19" t="str">
        <f t="array" ref="B933">XLOOKUP(A933,Data!F:F,Data!G:G)</f>
        <v>J1B</v>
      </c>
      <c r="C933" s="19" t="str">
        <f t="shared" si="3"/>
        <v>J124</v>
      </c>
      <c r="D933" s="19" t="str">
        <f t="array" ref="D933">XLOOKUP(A933,Data!F:F,Data!C:C)</f>
        <v/>
      </c>
      <c r="E933" s="19" t="str">
        <f t="array" ref="E933">XLOOKUP(A933,Data!F:F,Data!H:H)</f>
        <v>BW</v>
      </c>
      <c r="F933" s="106" t="str">
        <f>SUMIFS(Data!J:J,Data!F:F,A933)</f>
        <v>1</v>
      </c>
      <c r="G933" s="106" t="str">
        <f>SUMIFS(Cast!C:C,CastElements,A933)</f>
        <v>1</v>
      </c>
      <c r="H933" s="106" t="str">
        <f t="shared" si="4"/>
        <v>0</v>
      </c>
      <c r="I933" s="106" t="str">
        <f>SUMIFS(Del!C:C,Del!B:B,A933)</f>
        <v>1</v>
      </c>
      <c r="J933" s="106" t="str">
        <f t="shared" si="5"/>
        <v>0</v>
      </c>
      <c r="K933" s="106" t="str">
        <f t="shared" si="6"/>
        <v>0</v>
      </c>
      <c r="L933" s="106"/>
      <c r="M933" s="106" t="str">
        <f>SUMIFS(Ere!C:C,Ere!B:B,A933)</f>
        <v>1</v>
      </c>
      <c r="N933" s="106" t="str">
        <f t="shared" si="7"/>
        <v>0</v>
      </c>
      <c r="O933" s="107" t="str">
        <f t="array" ref="O933">XLOOKUP(A933,Data!F:F,Data!O:O)</f>
        <v>  2.11 </v>
      </c>
      <c r="P933" s="107" t="str">
        <f t="shared" si="8"/>
        <v>  5.29 </v>
      </c>
      <c r="Q933" s="27"/>
    </row>
    <row r="934" ht="15.75" customHeight="1">
      <c r="A934" s="110" t="s">
        <v>1178</v>
      </c>
      <c r="B934" s="19" t="str">
        <f t="array" ref="B934">XLOOKUP(A934,Data!F:F,Data!G:G)</f>
        <v>J1B</v>
      </c>
      <c r="C934" s="19" t="str">
        <f t="shared" si="3"/>
        <v>J124</v>
      </c>
      <c r="D934" s="19" t="str">
        <f t="array" ref="D934">XLOOKUP(A934,Data!F:F,Data!C:C)</f>
        <v/>
      </c>
      <c r="E934" s="19" t="str">
        <f t="array" ref="E934">XLOOKUP(A934,Data!F:F,Data!H:H)</f>
        <v>BW</v>
      </c>
      <c r="F934" s="106" t="str">
        <f>SUMIFS(Data!J:J,Data!F:F,A934)</f>
        <v>1</v>
      </c>
      <c r="G934" s="106" t="str">
        <f>SUMIFS(Cast!C:C,CastElements,A934)</f>
        <v>1</v>
      </c>
      <c r="H934" s="106" t="str">
        <f t="shared" si="4"/>
        <v>0</v>
      </c>
      <c r="I934" s="106" t="str">
        <f>SUMIFS(Del!C:C,Del!B:B,A934)</f>
        <v>1</v>
      </c>
      <c r="J934" s="106" t="str">
        <f t="shared" si="5"/>
        <v>0</v>
      </c>
      <c r="K934" s="106" t="str">
        <f t="shared" si="6"/>
        <v>0</v>
      </c>
      <c r="L934" s="106"/>
      <c r="M934" s="106" t="str">
        <f>SUMIFS(Ere!C:C,Ere!B:B,A934)</f>
        <v>1</v>
      </c>
      <c r="N934" s="106" t="str">
        <f t="shared" si="7"/>
        <v>0</v>
      </c>
      <c r="O934" s="107" t="str">
        <f t="array" ref="O934">XLOOKUP(A934,Data!F:F,Data!O:O)</f>
        <v>  2.11 </v>
      </c>
      <c r="P934" s="107" t="str">
        <f t="shared" si="8"/>
        <v>  5.29 </v>
      </c>
      <c r="Q934" s="27"/>
    </row>
    <row r="935" ht="15.75" customHeight="1">
      <c r="A935" s="110" t="s">
        <v>1179</v>
      </c>
      <c r="B935" s="19" t="str">
        <f t="array" ref="B935">XLOOKUP(A935,Data!F:F,Data!G:G)</f>
        <v>J1B</v>
      </c>
      <c r="C935" s="19" t="str">
        <f t="shared" si="3"/>
        <v>J124</v>
      </c>
      <c r="D935" s="19" t="str">
        <f t="array" ref="D935">XLOOKUP(A935,Data!F:F,Data!C:C)</f>
        <v/>
      </c>
      <c r="E935" s="19" t="str">
        <f t="array" ref="E935">XLOOKUP(A935,Data!F:F,Data!H:H)</f>
        <v>BW</v>
      </c>
      <c r="F935" s="106" t="str">
        <f>SUMIFS(Data!J:J,Data!F:F,A935)</f>
        <v>1</v>
      </c>
      <c r="G935" s="106" t="str">
        <f>SUMIFS(Cast!C:C,CastElements,A935)</f>
        <v>1</v>
      </c>
      <c r="H935" s="106" t="str">
        <f t="shared" si="4"/>
        <v>0</v>
      </c>
      <c r="I935" s="106" t="str">
        <f>SUMIFS(Del!C:C,Del!B:B,A935)</f>
        <v>1</v>
      </c>
      <c r="J935" s="106" t="str">
        <f t="shared" si="5"/>
        <v>0</v>
      </c>
      <c r="K935" s="106" t="str">
        <f t="shared" si="6"/>
        <v>0</v>
      </c>
      <c r="L935" s="106"/>
      <c r="M935" s="106" t="str">
        <f>SUMIFS(Ere!C:C,Ere!B:B,A935)</f>
        <v>1</v>
      </c>
      <c r="N935" s="106" t="str">
        <f t="shared" si="7"/>
        <v>0</v>
      </c>
      <c r="O935" s="107" t="str">
        <f t="array" ref="O935">XLOOKUP(A935,Data!F:F,Data!O:O)</f>
        <v>  2.11 </v>
      </c>
      <c r="P935" s="107" t="str">
        <f t="shared" si="8"/>
        <v>  5.29 </v>
      </c>
      <c r="Q935" s="27"/>
    </row>
    <row r="936" ht="15.75" customHeight="1">
      <c r="A936" s="110" t="s">
        <v>1180</v>
      </c>
      <c r="B936" s="19" t="str">
        <f t="array" ref="B936">XLOOKUP(A936,Data!F:F,Data!G:G)</f>
        <v>J1B</v>
      </c>
      <c r="C936" s="19" t="str">
        <f t="shared" si="3"/>
        <v>J124</v>
      </c>
      <c r="D936" s="19" t="str">
        <f t="array" ref="D936">XLOOKUP(A936,Data!F:F,Data!C:C)</f>
        <v/>
      </c>
      <c r="E936" s="19" t="str">
        <f t="array" ref="E936">XLOOKUP(A936,Data!F:F,Data!H:H)</f>
        <v>BW</v>
      </c>
      <c r="F936" s="106" t="str">
        <f>SUMIFS(Data!J:J,Data!F:F,A936)</f>
        <v>1</v>
      </c>
      <c r="G936" s="106" t="str">
        <f>SUMIFS(Cast!C:C,CastElements,A936)</f>
        <v>1</v>
      </c>
      <c r="H936" s="106" t="str">
        <f t="shared" si="4"/>
        <v>0</v>
      </c>
      <c r="I936" s="106" t="str">
        <f>SUMIFS(Del!C:C,Del!B:B,A936)</f>
        <v>1</v>
      </c>
      <c r="J936" s="106" t="str">
        <f t="shared" si="5"/>
        <v>0</v>
      </c>
      <c r="K936" s="106" t="str">
        <f t="shared" si="6"/>
        <v>0</v>
      </c>
      <c r="L936" s="106"/>
      <c r="M936" s="106" t="str">
        <f>SUMIFS(Ere!C:C,Ere!B:B,A936)</f>
        <v>1</v>
      </c>
      <c r="N936" s="106" t="str">
        <f t="shared" si="7"/>
        <v>0</v>
      </c>
      <c r="O936" s="107" t="str">
        <f t="array" ref="O936">XLOOKUP(A936,Data!F:F,Data!O:O)</f>
        <v>  1.78 </v>
      </c>
      <c r="P936" s="107" t="str">
        <f t="shared" si="8"/>
        <v>  4.45 </v>
      </c>
      <c r="Q936" s="27"/>
    </row>
    <row r="937" ht="15.75" customHeight="1">
      <c r="A937" s="110" t="s">
        <v>1181</v>
      </c>
      <c r="B937" s="19" t="str">
        <f t="array" ref="B937">XLOOKUP(A937,Data!F:F,Data!G:G)</f>
        <v>J1B</v>
      </c>
      <c r="C937" s="19" t="str">
        <f t="shared" si="3"/>
        <v>J124</v>
      </c>
      <c r="D937" s="19" t="str">
        <f t="array" ref="D937">XLOOKUP(A937,Data!F:F,Data!C:C)</f>
        <v/>
      </c>
      <c r="E937" s="19" t="str">
        <f t="array" ref="E937">XLOOKUP(A937,Data!F:F,Data!H:H)</f>
        <v>BW</v>
      </c>
      <c r="F937" s="106" t="str">
        <f>SUMIFS(Data!J:J,Data!F:F,A937)</f>
        <v>1</v>
      </c>
      <c r="G937" s="106" t="str">
        <f>SUMIFS(Cast!C:C,CastElements,A937)</f>
        <v>1</v>
      </c>
      <c r="H937" s="106" t="str">
        <f t="shared" si="4"/>
        <v>0</v>
      </c>
      <c r="I937" s="106" t="str">
        <f>SUMIFS(Del!C:C,Del!B:B,A937)</f>
        <v>1</v>
      </c>
      <c r="J937" s="106" t="str">
        <f t="shared" si="5"/>
        <v>0</v>
      </c>
      <c r="K937" s="106" t="str">
        <f t="shared" si="6"/>
        <v>0</v>
      </c>
      <c r="L937" s="106"/>
      <c r="M937" s="106" t="str">
        <f>SUMIFS(Ere!C:C,Ere!B:B,A937)</f>
        <v>1</v>
      </c>
      <c r="N937" s="106" t="str">
        <f t="shared" si="7"/>
        <v>0</v>
      </c>
      <c r="O937" s="107" t="str">
        <f t="array" ref="O937">XLOOKUP(A937,Data!F:F,Data!O:O)</f>
        <v>  0.24 </v>
      </c>
      <c r="P937" s="107" t="str">
        <f t="shared" si="8"/>
        <v>  0.60 </v>
      </c>
      <c r="Q937" s="27"/>
    </row>
    <row r="938" ht="15.75" customHeight="1">
      <c r="A938" s="110" t="s">
        <v>1182</v>
      </c>
      <c r="B938" s="19" t="str">
        <f t="array" ref="B938">XLOOKUP(A938,Data!F:F,Data!G:G)</f>
        <v>J1B</v>
      </c>
      <c r="C938" s="19" t="str">
        <f t="shared" si="3"/>
        <v>J124</v>
      </c>
      <c r="D938" s="19" t="str">
        <f t="array" ref="D938">XLOOKUP(A938,Data!F:F,Data!C:C)</f>
        <v/>
      </c>
      <c r="E938" s="19" t="str">
        <f t="array" ref="E938">XLOOKUP(A938,Data!F:F,Data!H:H)</f>
        <v>BW</v>
      </c>
      <c r="F938" s="106" t="str">
        <f>SUMIFS(Data!J:J,Data!F:F,A938)</f>
        <v>1</v>
      </c>
      <c r="G938" s="106" t="str">
        <f>SUMIFS(Cast!C:C,CastElements,A938)</f>
        <v>1</v>
      </c>
      <c r="H938" s="106" t="str">
        <f t="shared" si="4"/>
        <v>0</v>
      </c>
      <c r="I938" s="106" t="str">
        <f>SUMIFS(Del!C:C,Del!B:B,A938)</f>
        <v>1</v>
      </c>
      <c r="J938" s="106" t="str">
        <f t="shared" si="5"/>
        <v>0</v>
      </c>
      <c r="K938" s="106" t="str">
        <f t="shared" si="6"/>
        <v>0</v>
      </c>
      <c r="L938" s="106"/>
      <c r="M938" s="106" t="str">
        <f>SUMIFS(Ere!C:C,Ere!B:B,A938)</f>
        <v>1</v>
      </c>
      <c r="N938" s="106" t="str">
        <f t="shared" si="7"/>
        <v>0</v>
      </c>
      <c r="O938" s="107" t="str">
        <f t="array" ref="O938">XLOOKUP(A938,Data!F:F,Data!O:O)</f>
        <v>  2.40 </v>
      </c>
      <c r="P938" s="107" t="str">
        <f t="shared" si="8"/>
        <v>  5.99 </v>
      </c>
      <c r="Q938" s="27"/>
    </row>
    <row r="939" ht="15.75" customHeight="1">
      <c r="A939" s="110" t="s">
        <v>1183</v>
      </c>
      <c r="B939" s="19" t="str">
        <f t="array" ref="B939">XLOOKUP(A939,Data!F:F,Data!G:G)</f>
        <v>J1B</v>
      </c>
      <c r="C939" s="19" t="str">
        <f t="shared" si="3"/>
        <v>J124</v>
      </c>
      <c r="D939" s="19" t="str">
        <f t="array" ref="D939">XLOOKUP(A939,Data!F:F,Data!C:C)</f>
        <v>EXT</v>
      </c>
      <c r="E939" s="19" t="str">
        <f t="array" ref="E939">XLOOKUP(A939,Data!F:F,Data!H:H)</f>
        <v>BW</v>
      </c>
      <c r="F939" s="106" t="str">
        <f>SUMIFS(Data!J:J,Data!F:F,A939)</f>
        <v>1</v>
      </c>
      <c r="G939" s="106" t="str">
        <f>SUMIFS(Cast!C:C,CastElements,A939)</f>
        <v>1</v>
      </c>
      <c r="H939" s="106" t="str">
        <f t="shared" si="4"/>
        <v>0</v>
      </c>
      <c r="I939" s="106" t="str">
        <f>SUMIFS(Del!C:C,Del!B:B,A939)</f>
        <v>1</v>
      </c>
      <c r="J939" s="106" t="str">
        <f t="shared" si="5"/>
        <v>0</v>
      </c>
      <c r="K939" s="106" t="str">
        <f t="shared" si="6"/>
        <v>0</v>
      </c>
      <c r="L939" s="106"/>
      <c r="M939" s="106" t="str">
        <f>SUMIFS(Ere!C:C,Ere!B:B,A939)</f>
        <v>1</v>
      </c>
      <c r="N939" s="106" t="str">
        <f t="shared" si="7"/>
        <v>0</v>
      </c>
      <c r="O939" s="107" t="str">
        <f t="array" ref="O939">XLOOKUP(A939,Data!F:F,Data!O:O)</f>
        <v>  0.90 </v>
      </c>
      <c r="P939" s="107" t="str">
        <f t="shared" si="8"/>
        <v>  2.25 </v>
      </c>
      <c r="Q939" s="27"/>
    </row>
    <row r="940" ht="15.75" customHeight="1">
      <c r="A940" s="110" t="s">
        <v>1184</v>
      </c>
      <c r="B940" s="19" t="str">
        <f t="array" ref="B940">XLOOKUP(A940,Data!F:F,Data!G:G)</f>
        <v>J1B</v>
      </c>
      <c r="C940" s="19" t="str">
        <f t="shared" si="3"/>
        <v>J124</v>
      </c>
      <c r="D940" s="19" t="str">
        <f t="array" ref="D940">XLOOKUP(A940,Data!F:F,Data!C:C)</f>
        <v>EXT</v>
      </c>
      <c r="E940" s="19" t="str">
        <f t="array" ref="E940">XLOOKUP(A940,Data!F:F,Data!H:H)</f>
        <v>BW</v>
      </c>
      <c r="F940" s="106" t="str">
        <f>SUMIFS(Data!J:J,Data!F:F,A940)</f>
        <v>1</v>
      </c>
      <c r="G940" s="106" t="str">
        <f>SUMIFS(Cast!C:C,CastElements,A940)</f>
        <v>1</v>
      </c>
      <c r="H940" s="106" t="str">
        <f t="shared" si="4"/>
        <v>0</v>
      </c>
      <c r="I940" s="106" t="str">
        <f>SUMIFS(Del!C:C,Del!B:B,A940)</f>
        <v>1</v>
      </c>
      <c r="J940" s="106" t="str">
        <f t="shared" si="5"/>
        <v>0</v>
      </c>
      <c r="K940" s="106" t="str">
        <f t="shared" si="6"/>
        <v>0</v>
      </c>
      <c r="L940" s="106"/>
      <c r="M940" s="106" t="str">
        <f>SUMIFS(Ere!C:C,Ere!B:B,A940)</f>
        <v>1</v>
      </c>
      <c r="N940" s="106" t="str">
        <f t="shared" si="7"/>
        <v>0</v>
      </c>
      <c r="O940" s="107" t="str">
        <f t="array" ref="O940">XLOOKUP(A940,Data!F:F,Data!O:O)</f>
        <v>  1.37 </v>
      </c>
      <c r="P940" s="107" t="str">
        <f t="shared" si="8"/>
        <v>  3.43 </v>
      </c>
      <c r="Q940" s="27"/>
    </row>
    <row r="941" ht="15.75" customHeight="1">
      <c r="A941" s="110" t="s">
        <v>1185</v>
      </c>
      <c r="B941" s="19" t="str">
        <f t="array" ref="B941">XLOOKUP(A941,Data!F:F,Data!G:G)</f>
        <v>J1B</v>
      </c>
      <c r="C941" s="19" t="str">
        <f t="shared" si="3"/>
        <v>J124</v>
      </c>
      <c r="D941" s="19" t="str">
        <f t="array" ref="D941">XLOOKUP(A941,Data!F:F,Data!C:C)</f>
        <v>EXT</v>
      </c>
      <c r="E941" s="19" t="str">
        <f t="array" ref="E941">XLOOKUP(A941,Data!F:F,Data!H:H)</f>
        <v>BW</v>
      </c>
      <c r="F941" s="106" t="str">
        <f>SUMIFS(Data!J:J,Data!F:F,A941)</f>
        <v>1</v>
      </c>
      <c r="G941" s="106" t="str">
        <f>SUMIFS(Cast!C:C,CastElements,A941)</f>
        <v>1</v>
      </c>
      <c r="H941" s="106" t="str">
        <f t="shared" si="4"/>
        <v>0</v>
      </c>
      <c r="I941" s="106" t="str">
        <f>SUMIFS(Del!C:C,Del!B:B,A941)</f>
        <v>1</v>
      </c>
      <c r="J941" s="106" t="str">
        <f t="shared" si="5"/>
        <v>0</v>
      </c>
      <c r="K941" s="106" t="str">
        <f t="shared" si="6"/>
        <v>0</v>
      </c>
      <c r="L941" s="106"/>
      <c r="M941" s="106" t="str">
        <f>SUMIFS(Ere!C:C,Ere!B:B,A941)</f>
        <v>1</v>
      </c>
      <c r="N941" s="106" t="str">
        <f t="shared" si="7"/>
        <v>0</v>
      </c>
      <c r="O941" s="107" t="str">
        <f t="array" ref="O941">XLOOKUP(A941,Data!F:F,Data!O:O)</f>
        <v>  1.71 </v>
      </c>
      <c r="P941" s="107" t="str">
        <f t="shared" si="8"/>
        <v>  4.28 </v>
      </c>
      <c r="Q941" s="27"/>
    </row>
    <row r="942" ht="15.75" customHeight="1">
      <c r="A942" s="110" t="s">
        <v>1186</v>
      </c>
      <c r="B942" s="19" t="str">
        <f t="array" ref="B942">XLOOKUP(A942,Data!F:F,Data!G:G)</f>
        <v>J1B</v>
      </c>
      <c r="C942" s="19" t="str">
        <f t="shared" si="3"/>
        <v>J124</v>
      </c>
      <c r="D942" s="19" t="str">
        <f t="array" ref="D942">XLOOKUP(A942,Data!F:F,Data!C:C)</f>
        <v/>
      </c>
      <c r="E942" s="19" t="str">
        <f t="array" ref="E942">XLOOKUP(A942,Data!F:F,Data!H:H)</f>
        <v>BW</v>
      </c>
      <c r="F942" s="106" t="str">
        <f>SUMIFS(Data!J:J,Data!F:F,A942)</f>
        <v>1</v>
      </c>
      <c r="G942" s="106" t="str">
        <f>SUMIFS(Cast!C:C,CastElements,A942)</f>
        <v>1</v>
      </c>
      <c r="H942" s="106" t="str">
        <f t="shared" si="4"/>
        <v>0</v>
      </c>
      <c r="I942" s="106" t="str">
        <f>SUMIFS(Del!C:C,Del!B:B,A942)</f>
        <v>1</v>
      </c>
      <c r="J942" s="106" t="str">
        <f t="shared" si="5"/>
        <v>0</v>
      </c>
      <c r="K942" s="106" t="str">
        <f t="shared" si="6"/>
        <v>0</v>
      </c>
      <c r="L942" s="106"/>
      <c r="M942" s="106" t="str">
        <f>SUMIFS(Ere!C:C,Ere!B:B,A942)</f>
        <v>1</v>
      </c>
      <c r="N942" s="106" t="str">
        <f t="shared" si="7"/>
        <v>0</v>
      </c>
      <c r="O942" s="107" t="str">
        <f t="array" ref="O942">XLOOKUP(A942,Data!F:F,Data!O:O)</f>
        <v>  2.07 </v>
      </c>
      <c r="P942" s="107" t="str">
        <f t="shared" si="8"/>
        <v>  5.18 </v>
      </c>
      <c r="Q942" s="27"/>
    </row>
    <row r="943" ht="15.75" customHeight="1">
      <c r="A943" s="110" t="s">
        <v>1187</v>
      </c>
      <c r="B943" s="19" t="str">
        <f t="array" ref="B943">XLOOKUP(A943,Data!F:F,Data!G:G)</f>
        <v>J1B</v>
      </c>
      <c r="C943" s="19" t="str">
        <f t="shared" si="3"/>
        <v>J124</v>
      </c>
      <c r="D943" s="19" t="str">
        <f t="array" ref="D943">XLOOKUP(A943,Data!F:F,Data!C:C)</f>
        <v/>
      </c>
      <c r="E943" s="19" t="str">
        <f t="array" ref="E943">XLOOKUP(A943,Data!F:F,Data!H:H)</f>
        <v>BW</v>
      </c>
      <c r="F943" s="106" t="str">
        <f>SUMIFS(Data!J:J,Data!F:F,A943)</f>
        <v>1</v>
      </c>
      <c r="G943" s="106" t="str">
        <f>SUMIFS(Cast!C:C,CastElements,A943)</f>
        <v>1</v>
      </c>
      <c r="H943" s="106" t="str">
        <f t="shared" si="4"/>
        <v>0</v>
      </c>
      <c r="I943" s="106" t="str">
        <f>SUMIFS(Del!C:C,Del!B:B,A943)</f>
        <v>1</v>
      </c>
      <c r="J943" s="106" t="str">
        <f t="shared" si="5"/>
        <v>0</v>
      </c>
      <c r="K943" s="106" t="str">
        <f t="shared" si="6"/>
        <v>0</v>
      </c>
      <c r="L943" s="106"/>
      <c r="M943" s="106" t="str">
        <f>SUMIFS(Ere!C:C,Ere!B:B,A943)</f>
        <v>1</v>
      </c>
      <c r="N943" s="106" t="str">
        <f t="shared" si="7"/>
        <v>0</v>
      </c>
      <c r="O943" s="107" t="str">
        <f t="array" ref="O943">XLOOKUP(A943,Data!F:F,Data!O:O)</f>
        <v>  0.38 </v>
      </c>
      <c r="P943" s="107" t="str">
        <f t="shared" si="8"/>
        <v>  0.95 </v>
      </c>
      <c r="Q943" s="27"/>
    </row>
    <row r="944" ht="15.75" customHeight="1">
      <c r="A944" s="110" t="s">
        <v>1188</v>
      </c>
      <c r="B944" s="19" t="str">
        <f t="array" ref="B944">XLOOKUP(A944,Data!F:F,Data!G:G)</f>
        <v>J1B</v>
      </c>
      <c r="C944" s="19" t="str">
        <f t="shared" si="3"/>
        <v>J124</v>
      </c>
      <c r="D944" s="19" t="str">
        <f t="array" ref="D944">XLOOKUP(A944,Data!F:F,Data!C:C)</f>
        <v/>
      </c>
      <c r="E944" s="19" t="str">
        <f t="array" ref="E944">XLOOKUP(A944,Data!F:F,Data!H:H)</f>
        <v>CF</v>
      </c>
      <c r="F944" s="106" t="str">
        <f>SUMIFS(Data!J:J,Data!F:F,A944)</f>
        <v>1</v>
      </c>
      <c r="G944" s="106" t="str">
        <f>SUMIFS(Cast!C:C,CastElements,A944)</f>
        <v>1</v>
      </c>
      <c r="H944" s="106" t="str">
        <f t="shared" si="4"/>
        <v>0</v>
      </c>
      <c r="I944" s="106" t="str">
        <f>SUMIFS(Del!C:C,Del!B:B,A944)</f>
        <v>1</v>
      </c>
      <c r="J944" s="106" t="str">
        <f t="shared" si="5"/>
        <v>0</v>
      </c>
      <c r="K944" s="106" t="str">
        <f t="shared" si="6"/>
        <v>0</v>
      </c>
      <c r="L944" s="106"/>
      <c r="M944" s="106" t="str">
        <f>SUMIFS(Ere!C:C,Ere!B:B,A944)</f>
        <v>1</v>
      </c>
      <c r="N944" s="106" t="str">
        <f t="shared" si="7"/>
        <v>0</v>
      </c>
      <c r="O944" s="107" t="str">
        <f t="array" ref="O944">XLOOKUP(A944,Data!F:F,Data!O:O)</f>
        <v>  0.46 </v>
      </c>
      <c r="P944" s="107" t="str">
        <f t="shared" si="8"/>
        <v>  1.16 </v>
      </c>
      <c r="Q944" s="27"/>
    </row>
    <row r="945" ht="15.75" customHeight="1">
      <c r="A945" s="110" t="s">
        <v>1189</v>
      </c>
      <c r="B945" s="19" t="str">
        <f t="array" ref="B945">XLOOKUP(A945,Data!F:F,Data!G:G)</f>
        <v>J1B</v>
      </c>
      <c r="C945" s="19" t="str">
        <f t="shared" si="3"/>
        <v>J125</v>
      </c>
      <c r="D945" s="19" t="str">
        <f t="array" ref="D945">XLOOKUP(A945,Data!F:F,Data!C:C)</f>
        <v>EXT</v>
      </c>
      <c r="E945" s="19" t="str">
        <f t="array" ref="E945">XLOOKUP(A945,Data!F:F,Data!H:H)</f>
        <v>BW</v>
      </c>
      <c r="F945" s="106" t="str">
        <f>SUMIFS(Data!J:J,Data!F:F,A945)</f>
        <v>1</v>
      </c>
      <c r="G945" s="106" t="str">
        <f>SUMIFS(Cast!C:C,CastElements,A945)</f>
        <v>1</v>
      </c>
      <c r="H945" s="106" t="str">
        <f t="shared" si="4"/>
        <v>0</v>
      </c>
      <c r="I945" s="106" t="str">
        <f>SUMIFS(Del!C:C,Del!B:B,A945)</f>
        <v>1</v>
      </c>
      <c r="J945" s="106" t="str">
        <f t="shared" si="5"/>
        <v>0</v>
      </c>
      <c r="K945" s="106" t="str">
        <f t="shared" si="6"/>
        <v>0</v>
      </c>
      <c r="L945" s="106"/>
      <c r="M945" s="106" t="str">
        <f>SUMIFS(Ere!C:C,Ere!B:B,A945)</f>
        <v>1</v>
      </c>
      <c r="N945" s="106" t="str">
        <f t="shared" si="7"/>
        <v>0</v>
      </c>
      <c r="O945" s="107" t="str">
        <f t="array" ref="O945">XLOOKUP(A945,Data!F:F,Data!O:O)</f>
        <v>  1.37 </v>
      </c>
      <c r="P945" s="107" t="str">
        <f t="shared" si="8"/>
        <v>  3.41 </v>
      </c>
      <c r="Q945" s="27"/>
    </row>
    <row r="946" ht="15.75" customHeight="1">
      <c r="A946" s="110" t="s">
        <v>1190</v>
      </c>
      <c r="B946" s="19" t="str">
        <f t="array" ref="B946">XLOOKUP(A946,Data!F:F,Data!G:G)</f>
        <v>J1B</v>
      </c>
      <c r="C946" s="19" t="str">
        <f t="shared" si="3"/>
        <v>J125</v>
      </c>
      <c r="D946" s="19" t="str">
        <f t="array" ref="D946">XLOOKUP(A946,Data!F:F,Data!C:C)</f>
        <v/>
      </c>
      <c r="E946" s="19" t="str">
        <f t="array" ref="E946">XLOOKUP(A946,Data!F:F,Data!H:H)</f>
        <v>BW</v>
      </c>
      <c r="F946" s="106" t="str">
        <f>SUMIFS(Data!J:J,Data!F:F,A946)</f>
        <v>1</v>
      </c>
      <c r="G946" s="106" t="str">
        <f>SUMIFS(Cast!C:C,CastElements,A946)</f>
        <v>1</v>
      </c>
      <c r="H946" s="106" t="str">
        <f t="shared" si="4"/>
        <v>0</v>
      </c>
      <c r="I946" s="106" t="str">
        <f>SUMIFS(Del!C:C,Del!B:B,A946)</f>
        <v>1</v>
      </c>
      <c r="J946" s="106" t="str">
        <f t="shared" si="5"/>
        <v>0</v>
      </c>
      <c r="K946" s="106" t="str">
        <f t="shared" si="6"/>
        <v>0</v>
      </c>
      <c r="L946" s="106"/>
      <c r="M946" s="106" t="str">
        <f>SUMIFS(Ere!C:C,Ere!B:B,A946)</f>
        <v>1</v>
      </c>
      <c r="N946" s="106" t="str">
        <f t="shared" si="7"/>
        <v>0</v>
      </c>
      <c r="O946" s="107" t="str">
        <f t="array" ref="O946">XLOOKUP(A946,Data!F:F,Data!O:O)</f>
        <v>  2.09 </v>
      </c>
      <c r="P946" s="107" t="str">
        <f t="shared" si="8"/>
        <v>  5.22 </v>
      </c>
      <c r="Q946" s="27"/>
    </row>
    <row r="947" ht="15.75" customHeight="1">
      <c r="A947" s="110" t="s">
        <v>1191</v>
      </c>
      <c r="B947" s="19" t="str">
        <f t="array" ref="B947">XLOOKUP(A947,Data!F:F,Data!G:G)</f>
        <v>J1B</v>
      </c>
      <c r="C947" s="19" t="str">
        <f t="shared" si="3"/>
        <v>J125</v>
      </c>
      <c r="D947" s="19" t="str">
        <f t="array" ref="D947">XLOOKUP(A947,Data!F:F,Data!C:C)</f>
        <v/>
      </c>
      <c r="E947" s="19" t="str">
        <f t="array" ref="E947">XLOOKUP(A947,Data!F:F,Data!H:H)</f>
        <v>BW</v>
      </c>
      <c r="F947" s="106" t="str">
        <f>SUMIFS(Data!J:J,Data!F:F,A947)</f>
        <v>1</v>
      </c>
      <c r="G947" s="106" t="str">
        <f>SUMIFS(Cast!C:C,CastElements,A947)</f>
        <v>1</v>
      </c>
      <c r="H947" s="106" t="str">
        <f t="shared" si="4"/>
        <v>0</v>
      </c>
      <c r="I947" s="106" t="str">
        <f>SUMIFS(Del!C:C,Del!B:B,A947)</f>
        <v>1</v>
      </c>
      <c r="J947" s="106" t="str">
        <f t="shared" si="5"/>
        <v>0</v>
      </c>
      <c r="K947" s="106" t="str">
        <f t="shared" si="6"/>
        <v>0</v>
      </c>
      <c r="L947" s="106"/>
      <c r="M947" s="106" t="str">
        <f>SUMIFS(Ere!C:C,Ere!B:B,A947)</f>
        <v>1</v>
      </c>
      <c r="N947" s="106" t="str">
        <f t="shared" si="7"/>
        <v>0</v>
      </c>
      <c r="O947" s="107" t="str">
        <f t="array" ref="O947">XLOOKUP(A947,Data!F:F,Data!O:O)</f>
        <v>  2.09 </v>
      </c>
      <c r="P947" s="107" t="str">
        <f t="shared" si="8"/>
        <v>  5.22 </v>
      </c>
      <c r="Q947" s="27"/>
    </row>
    <row r="948" ht="15.75" customHeight="1">
      <c r="A948" s="110" t="s">
        <v>1192</v>
      </c>
      <c r="B948" s="19" t="str">
        <f t="array" ref="B948">XLOOKUP(A948,Data!F:F,Data!G:G)</f>
        <v>J1B</v>
      </c>
      <c r="C948" s="19" t="str">
        <f t="shared" si="3"/>
        <v>J125</v>
      </c>
      <c r="D948" s="19" t="str">
        <f t="array" ref="D948">XLOOKUP(A948,Data!F:F,Data!C:C)</f>
        <v/>
      </c>
      <c r="E948" s="19" t="str">
        <f t="array" ref="E948">XLOOKUP(A948,Data!F:F,Data!H:H)</f>
        <v>BW</v>
      </c>
      <c r="F948" s="106" t="str">
        <f>SUMIFS(Data!J:J,Data!F:F,A948)</f>
        <v>1</v>
      </c>
      <c r="G948" s="106" t="str">
        <f>SUMIFS(Cast!C:C,CastElements,A948)</f>
        <v>1</v>
      </c>
      <c r="H948" s="106" t="str">
        <f t="shared" si="4"/>
        <v>0</v>
      </c>
      <c r="I948" s="106" t="str">
        <f>SUMIFS(Del!C:C,Del!B:B,A948)</f>
        <v>1</v>
      </c>
      <c r="J948" s="106" t="str">
        <f t="shared" si="5"/>
        <v>0</v>
      </c>
      <c r="K948" s="106" t="str">
        <f t="shared" si="6"/>
        <v>0</v>
      </c>
      <c r="L948" s="106"/>
      <c r="M948" s="106" t="str">
        <f>SUMIFS(Ere!C:C,Ere!B:B,A948)</f>
        <v>1</v>
      </c>
      <c r="N948" s="106" t="str">
        <f t="shared" si="7"/>
        <v>0</v>
      </c>
      <c r="O948" s="107" t="str">
        <f t="array" ref="O948">XLOOKUP(A948,Data!F:F,Data!O:O)</f>
        <v>  2.09 </v>
      </c>
      <c r="P948" s="107" t="str">
        <f t="shared" si="8"/>
        <v>  5.22 </v>
      </c>
      <c r="Q948" s="27"/>
    </row>
    <row r="949" ht="15.75" customHeight="1">
      <c r="A949" s="110" t="s">
        <v>1193</v>
      </c>
      <c r="B949" s="19" t="str">
        <f t="array" ref="B949">XLOOKUP(A949,Data!F:F,Data!G:G)</f>
        <v>J1B</v>
      </c>
      <c r="C949" s="19" t="str">
        <f t="shared" si="3"/>
        <v>J125</v>
      </c>
      <c r="D949" s="19" t="str">
        <f t="array" ref="D949">XLOOKUP(A949,Data!F:F,Data!C:C)</f>
        <v/>
      </c>
      <c r="E949" s="19" t="str">
        <f t="array" ref="E949">XLOOKUP(A949,Data!F:F,Data!H:H)</f>
        <v>BW</v>
      </c>
      <c r="F949" s="106" t="str">
        <f>SUMIFS(Data!J:J,Data!F:F,A949)</f>
        <v>1</v>
      </c>
      <c r="G949" s="106" t="str">
        <f>SUMIFS(Cast!C:C,CastElements,A949)</f>
        <v>1</v>
      </c>
      <c r="H949" s="106" t="str">
        <f t="shared" si="4"/>
        <v>0</v>
      </c>
      <c r="I949" s="106" t="str">
        <f>SUMIFS(Del!C:C,Del!B:B,A949)</f>
        <v>1</v>
      </c>
      <c r="J949" s="106" t="str">
        <f t="shared" si="5"/>
        <v>0</v>
      </c>
      <c r="K949" s="106" t="str">
        <f t="shared" si="6"/>
        <v>0</v>
      </c>
      <c r="L949" s="106"/>
      <c r="M949" s="106" t="str">
        <f>SUMIFS(Ere!C:C,Ere!B:B,A949)</f>
        <v>1</v>
      </c>
      <c r="N949" s="106" t="str">
        <f t="shared" si="7"/>
        <v>0</v>
      </c>
      <c r="O949" s="107" t="str">
        <f t="array" ref="O949">XLOOKUP(A949,Data!F:F,Data!O:O)</f>
        <v>  1.75 </v>
      </c>
      <c r="P949" s="107" t="str">
        <f t="shared" si="8"/>
        <v>  4.38 </v>
      </c>
      <c r="Q949" s="27"/>
    </row>
    <row r="950" ht="15.75" customHeight="1">
      <c r="A950" s="110" t="s">
        <v>1194</v>
      </c>
      <c r="B950" s="19" t="str">
        <f t="array" ref="B950">XLOOKUP(A950,Data!F:F,Data!G:G)</f>
        <v>J1B</v>
      </c>
      <c r="C950" s="19" t="str">
        <f t="shared" si="3"/>
        <v>J125</v>
      </c>
      <c r="D950" s="19" t="str">
        <f t="array" ref="D950">XLOOKUP(A950,Data!F:F,Data!C:C)</f>
        <v/>
      </c>
      <c r="E950" s="19" t="str">
        <f t="array" ref="E950">XLOOKUP(A950,Data!F:F,Data!H:H)</f>
        <v>BW</v>
      </c>
      <c r="F950" s="106" t="str">
        <f>SUMIFS(Data!J:J,Data!F:F,A950)</f>
        <v>1</v>
      </c>
      <c r="G950" s="106" t="str">
        <f>SUMIFS(Cast!C:C,CastElements,A950)</f>
        <v>1</v>
      </c>
      <c r="H950" s="106" t="str">
        <f t="shared" si="4"/>
        <v>0</v>
      </c>
      <c r="I950" s="106" t="str">
        <f>SUMIFS(Del!C:C,Del!B:B,A950)</f>
        <v>1</v>
      </c>
      <c r="J950" s="106" t="str">
        <f t="shared" si="5"/>
        <v>0</v>
      </c>
      <c r="K950" s="106" t="str">
        <f t="shared" si="6"/>
        <v>0</v>
      </c>
      <c r="L950" s="106"/>
      <c r="M950" s="106" t="str">
        <f>SUMIFS(Ere!C:C,Ere!B:B,A950)</f>
        <v>1</v>
      </c>
      <c r="N950" s="106" t="str">
        <f t="shared" si="7"/>
        <v>0</v>
      </c>
      <c r="O950" s="107" t="str">
        <f t="array" ref="O950">XLOOKUP(A950,Data!F:F,Data!O:O)</f>
        <v>  1.69 </v>
      </c>
      <c r="P950" s="107" t="str">
        <f t="shared" si="8"/>
        <v>  4.23 </v>
      </c>
      <c r="Q950" s="27"/>
    </row>
    <row r="951" ht="15.75" customHeight="1">
      <c r="A951" s="110" t="s">
        <v>1195</v>
      </c>
      <c r="B951" s="19" t="str">
        <f t="array" ref="B951">XLOOKUP(A951,Data!F:F,Data!G:G)</f>
        <v>J1B</v>
      </c>
      <c r="C951" s="19" t="str">
        <f t="shared" si="3"/>
        <v>J125</v>
      </c>
      <c r="D951" s="19" t="str">
        <f t="array" ref="D951">XLOOKUP(A951,Data!F:F,Data!C:C)</f>
        <v>EXT</v>
      </c>
      <c r="E951" s="19" t="str">
        <f t="array" ref="E951">XLOOKUP(A951,Data!F:F,Data!H:H)</f>
        <v>BW</v>
      </c>
      <c r="F951" s="106" t="str">
        <f>SUMIFS(Data!J:J,Data!F:F,A951)</f>
        <v>1</v>
      </c>
      <c r="G951" s="106" t="str">
        <f>SUMIFS(Cast!C:C,CastElements,A951)</f>
        <v>1</v>
      </c>
      <c r="H951" s="106" t="str">
        <f t="shared" si="4"/>
        <v>0</v>
      </c>
      <c r="I951" s="106" t="str">
        <f>SUMIFS(Del!C:C,Del!B:B,A951)</f>
        <v>1</v>
      </c>
      <c r="J951" s="106" t="str">
        <f t="shared" si="5"/>
        <v>0</v>
      </c>
      <c r="K951" s="106" t="str">
        <f t="shared" si="6"/>
        <v>0</v>
      </c>
      <c r="L951" s="106"/>
      <c r="M951" s="106" t="str">
        <f>SUMIFS(Ere!C:C,Ere!B:B,A951)</f>
        <v>1</v>
      </c>
      <c r="N951" s="106" t="str">
        <f t="shared" si="7"/>
        <v>0</v>
      </c>
      <c r="O951" s="107" t="str">
        <f t="array" ref="O951">XLOOKUP(A951,Data!F:F,Data!O:O)</f>
        <v>  1.28 </v>
      </c>
      <c r="P951" s="107" t="str">
        <f t="shared" si="8"/>
        <v>  3.21 </v>
      </c>
      <c r="Q951" s="27"/>
    </row>
    <row r="952" ht="15.75" customHeight="1">
      <c r="A952" s="110" t="s">
        <v>1196</v>
      </c>
      <c r="B952" s="19" t="str">
        <f t="array" ref="B952">XLOOKUP(A952,Data!F:F,Data!G:G)</f>
        <v>J1B</v>
      </c>
      <c r="C952" s="19" t="str">
        <f t="shared" si="3"/>
        <v>J125</v>
      </c>
      <c r="D952" s="19" t="str">
        <f t="array" ref="D952">XLOOKUP(A952,Data!F:F,Data!C:C)</f>
        <v>EXT</v>
      </c>
      <c r="E952" s="19" t="str">
        <f t="array" ref="E952">XLOOKUP(A952,Data!F:F,Data!H:H)</f>
        <v>BW</v>
      </c>
      <c r="F952" s="106" t="str">
        <f>SUMIFS(Data!J:J,Data!F:F,A952)</f>
        <v>1</v>
      </c>
      <c r="G952" s="106" t="str">
        <f>SUMIFS(Cast!C:C,CastElements,A952)</f>
        <v>1</v>
      </c>
      <c r="H952" s="106" t="str">
        <f t="shared" si="4"/>
        <v>0</v>
      </c>
      <c r="I952" s="106" t="str">
        <f>SUMIFS(Del!C:C,Del!B:B,A952)</f>
        <v>1</v>
      </c>
      <c r="J952" s="106" t="str">
        <f t="shared" si="5"/>
        <v>0</v>
      </c>
      <c r="K952" s="106" t="str">
        <f t="shared" si="6"/>
        <v>0</v>
      </c>
      <c r="L952" s="106"/>
      <c r="M952" s="106" t="str">
        <f>SUMIFS(Ere!C:C,Ere!B:B,A952)</f>
        <v>1</v>
      </c>
      <c r="N952" s="106" t="str">
        <f t="shared" si="7"/>
        <v>0</v>
      </c>
      <c r="O952" s="107" t="str">
        <f t="array" ref="O952">XLOOKUP(A952,Data!F:F,Data!O:O)</f>
        <v>  1.14 </v>
      </c>
      <c r="P952" s="107" t="str">
        <f t="shared" si="8"/>
        <v>  2.86 </v>
      </c>
      <c r="Q952" s="27"/>
    </row>
    <row r="953" ht="15.75" customHeight="1">
      <c r="A953" s="110" t="s">
        <v>1197</v>
      </c>
      <c r="B953" s="19" t="str">
        <f t="array" ref="B953">XLOOKUP(A953,Data!F:F,Data!G:G)</f>
        <v>J1B</v>
      </c>
      <c r="C953" s="19" t="str">
        <f t="shared" si="3"/>
        <v>J125</v>
      </c>
      <c r="D953" s="19" t="str">
        <f t="array" ref="D953">XLOOKUP(A953,Data!F:F,Data!C:C)</f>
        <v>EXT</v>
      </c>
      <c r="E953" s="19" t="str">
        <f t="array" ref="E953">XLOOKUP(A953,Data!F:F,Data!H:H)</f>
        <v>BW</v>
      </c>
      <c r="F953" s="106" t="str">
        <f>SUMIFS(Data!J:J,Data!F:F,A953)</f>
        <v>1</v>
      </c>
      <c r="G953" s="106" t="str">
        <f>SUMIFS(Cast!C:C,CastElements,A953)</f>
        <v>1</v>
      </c>
      <c r="H953" s="106" t="str">
        <f t="shared" si="4"/>
        <v>0</v>
      </c>
      <c r="I953" s="106" t="str">
        <f>SUMIFS(Del!C:C,Del!B:B,A953)</f>
        <v>1</v>
      </c>
      <c r="J953" s="106" t="str">
        <f t="shared" si="5"/>
        <v>0</v>
      </c>
      <c r="K953" s="106" t="str">
        <f t="shared" si="6"/>
        <v>0</v>
      </c>
      <c r="L953" s="106"/>
      <c r="M953" s="106" t="str">
        <f>SUMIFS(Ere!C:C,Ere!B:B,A953)</f>
        <v>1</v>
      </c>
      <c r="N953" s="106" t="str">
        <f t="shared" si="7"/>
        <v>0</v>
      </c>
      <c r="O953" s="107" t="str">
        <f t="array" ref="O953">XLOOKUP(A953,Data!F:F,Data!O:O)</f>
        <v>  1.28 </v>
      </c>
      <c r="P953" s="107" t="str">
        <f t="shared" si="8"/>
        <v>  3.20 </v>
      </c>
      <c r="Q953" s="27"/>
    </row>
    <row r="954" ht="15.75" customHeight="1">
      <c r="A954" s="110" t="s">
        <v>1198</v>
      </c>
      <c r="B954" s="19" t="str">
        <f t="array" ref="B954">XLOOKUP(A954,Data!F:F,Data!G:G)</f>
        <v>J1B</v>
      </c>
      <c r="C954" s="19" t="str">
        <f t="shared" si="3"/>
        <v>J125</v>
      </c>
      <c r="D954" s="19" t="str">
        <f t="array" ref="D954">XLOOKUP(A954,Data!F:F,Data!C:C)</f>
        <v>EXT</v>
      </c>
      <c r="E954" s="19" t="str">
        <f t="array" ref="E954">XLOOKUP(A954,Data!F:F,Data!H:H)</f>
        <v>BW</v>
      </c>
      <c r="F954" s="106" t="str">
        <f>SUMIFS(Data!J:J,Data!F:F,A954)</f>
        <v>1</v>
      </c>
      <c r="G954" s="106" t="str">
        <f>SUMIFS(Cast!C:C,CastElements,A954)</f>
        <v>1</v>
      </c>
      <c r="H954" s="106" t="str">
        <f t="shared" si="4"/>
        <v>0</v>
      </c>
      <c r="I954" s="106" t="str">
        <f>SUMIFS(Del!C:C,Del!B:B,A954)</f>
        <v>1</v>
      </c>
      <c r="J954" s="106" t="str">
        <f t="shared" si="5"/>
        <v>0</v>
      </c>
      <c r="K954" s="106" t="str">
        <f t="shared" si="6"/>
        <v>0</v>
      </c>
      <c r="L954" s="106"/>
      <c r="M954" s="106" t="str">
        <f>SUMIFS(Ere!C:C,Ere!B:B,A954)</f>
        <v>1</v>
      </c>
      <c r="N954" s="106" t="str">
        <f t="shared" si="7"/>
        <v>0</v>
      </c>
      <c r="O954" s="107" t="str">
        <f t="array" ref="O954">XLOOKUP(A954,Data!F:F,Data!O:O)</f>
        <v>  1.14 </v>
      </c>
      <c r="P954" s="107" t="str">
        <f t="shared" si="8"/>
        <v>  2.86 </v>
      </c>
      <c r="Q954" s="27"/>
    </row>
    <row r="955" ht="15.75" customHeight="1">
      <c r="A955" s="110" t="s">
        <v>1199</v>
      </c>
      <c r="B955" s="19" t="str">
        <f t="array" ref="B955">XLOOKUP(A955,Data!F:F,Data!G:G)</f>
        <v>J1B</v>
      </c>
      <c r="C955" s="19" t="str">
        <f t="shared" si="3"/>
        <v>J125</v>
      </c>
      <c r="D955" s="19" t="str">
        <f t="array" ref="D955">XLOOKUP(A955,Data!F:F,Data!C:C)</f>
        <v>EXT</v>
      </c>
      <c r="E955" s="19" t="str">
        <f t="array" ref="E955">XLOOKUP(A955,Data!F:F,Data!H:H)</f>
        <v>BW</v>
      </c>
      <c r="F955" s="106" t="str">
        <f>SUMIFS(Data!J:J,Data!F:F,A955)</f>
        <v>1</v>
      </c>
      <c r="G955" s="106" t="str">
        <f>SUMIFS(Cast!C:C,CastElements,A955)</f>
        <v>1</v>
      </c>
      <c r="H955" s="106" t="str">
        <f t="shared" si="4"/>
        <v>0</v>
      </c>
      <c r="I955" s="106" t="str">
        <f>SUMIFS(Del!C:C,Del!B:B,A955)</f>
        <v>1</v>
      </c>
      <c r="J955" s="106" t="str">
        <f t="shared" si="5"/>
        <v>0</v>
      </c>
      <c r="K955" s="106" t="str">
        <f t="shared" si="6"/>
        <v>0</v>
      </c>
      <c r="L955" s="106"/>
      <c r="M955" s="106" t="str">
        <f>SUMIFS(Ere!C:C,Ere!B:B,A955)</f>
        <v>1</v>
      </c>
      <c r="N955" s="106" t="str">
        <f t="shared" si="7"/>
        <v>0</v>
      </c>
      <c r="O955" s="107" t="str">
        <f t="array" ref="O955">XLOOKUP(A955,Data!F:F,Data!O:O)</f>
        <v>  1.30 </v>
      </c>
      <c r="P955" s="107" t="str">
        <f t="shared" si="8"/>
        <v>  3.25 </v>
      </c>
      <c r="Q955" s="27"/>
    </row>
    <row r="956" ht="15.75" customHeight="1">
      <c r="A956" s="110" t="s">
        <v>1200</v>
      </c>
      <c r="B956" s="19" t="str">
        <f t="array" ref="B956">XLOOKUP(A956,Data!F:F,Data!G:G)</f>
        <v>J1B</v>
      </c>
      <c r="C956" s="19" t="str">
        <f t="shared" si="3"/>
        <v>J125</v>
      </c>
      <c r="D956" s="19" t="str">
        <f t="array" ref="D956">XLOOKUP(A956,Data!F:F,Data!C:C)</f>
        <v>EXT</v>
      </c>
      <c r="E956" s="19" t="str">
        <f t="array" ref="E956">XLOOKUP(A956,Data!F:F,Data!H:H)</f>
        <v>BW</v>
      </c>
      <c r="F956" s="106" t="str">
        <f>SUMIFS(Data!J:J,Data!F:F,A956)</f>
        <v>1</v>
      </c>
      <c r="G956" s="106" t="str">
        <f>SUMIFS(Cast!C:C,CastElements,A956)</f>
        <v>1</v>
      </c>
      <c r="H956" s="106" t="str">
        <f t="shared" si="4"/>
        <v>0</v>
      </c>
      <c r="I956" s="106" t="str">
        <f>SUMIFS(Del!C:C,Del!B:B,A956)</f>
        <v>1</v>
      </c>
      <c r="J956" s="106" t="str">
        <f t="shared" si="5"/>
        <v>0</v>
      </c>
      <c r="K956" s="106" t="str">
        <f t="shared" si="6"/>
        <v>0</v>
      </c>
      <c r="L956" s="106"/>
      <c r="M956" s="106" t="str">
        <f>SUMIFS(Ere!C:C,Ere!B:B,A956)</f>
        <v>1</v>
      </c>
      <c r="N956" s="106" t="str">
        <f t="shared" si="7"/>
        <v>0</v>
      </c>
      <c r="O956" s="107" t="str">
        <f t="array" ref="O956">XLOOKUP(A956,Data!F:F,Data!O:O)</f>
        <v>  0.92 </v>
      </c>
      <c r="P956" s="107" t="str">
        <f t="shared" si="8"/>
        <v>  2.29 </v>
      </c>
      <c r="Q956" s="27"/>
    </row>
    <row r="957" ht="15.75" customHeight="1">
      <c r="A957" s="110" t="s">
        <v>1201</v>
      </c>
      <c r="B957" s="19" t="str">
        <f t="array" ref="B957">XLOOKUP(A957,Data!F:F,Data!G:G)</f>
        <v>J1B</v>
      </c>
      <c r="C957" s="19" t="str">
        <f t="shared" si="3"/>
        <v>J125</v>
      </c>
      <c r="D957" s="19" t="str">
        <f t="array" ref="D957">XLOOKUP(A957,Data!F:F,Data!C:C)</f>
        <v>EXT</v>
      </c>
      <c r="E957" s="19" t="str">
        <f t="array" ref="E957">XLOOKUP(A957,Data!F:F,Data!H:H)</f>
        <v>BW</v>
      </c>
      <c r="F957" s="106" t="str">
        <f>SUMIFS(Data!J:J,Data!F:F,A957)</f>
        <v>1</v>
      </c>
      <c r="G957" s="106" t="str">
        <f>SUMIFS(Cast!C:C,CastElements,A957)</f>
        <v>1</v>
      </c>
      <c r="H957" s="106" t="str">
        <f t="shared" si="4"/>
        <v>0</v>
      </c>
      <c r="I957" s="106" t="str">
        <f>SUMIFS(Del!C:C,Del!B:B,A957)</f>
        <v>1</v>
      </c>
      <c r="J957" s="106" t="str">
        <f t="shared" si="5"/>
        <v>0</v>
      </c>
      <c r="K957" s="106" t="str">
        <f t="shared" si="6"/>
        <v>0</v>
      </c>
      <c r="L957" s="106"/>
      <c r="M957" s="106" t="str">
        <f>SUMIFS(Ere!C:C,Ere!B:B,A957)</f>
        <v>1</v>
      </c>
      <c r="N957" s="106" t="str">
        <f t="shared" si="7"/>
        <v>0</v>
      </c>
      <c r="O957" s="107" t="str">
        <f t="array" ref="O957">XLOOKUP(A957,Data!F:F,Data!O:O)</f>
        <v>  1.70 </v>
      </c>
      <c r="P957" s="107" t="str">
        <f t="shared" si="8"/>
        <v>  4.25 </v>
      </c>
      <c r="Q957" s="27"/>
    </row>
    <row r="958" ht="15.75" customHeight="1">
      <c r="A958" s="110" t="s">
        <v>1202</v>
      </c>
      <c r="B958" s="19" t="str">
        <f t="array" ref="B958">XLOOKUP(A958,Data!F:F,Data!G:G)</f>
        <v>J1B</v>
      </c>
      <c r="C958" s="19" t="str">
        <f t="shared" si="3"/>
        <v>J125</v>
      </c>
      <c r="D958" s="19" t="str">
        <f t="array" ref="D958">XLOOKUP(A958,Data!F:F,Data!C:C)</f>
        <v/>
      </c>
      <c r="E958" s="19" t="str">
        <f t="array" ref="E958">XLOOKUP(A958,Data!F:F,Data!H:H)</f>
        <v>BW</v>
      </c>
      <c r="F958" s="106" t="str">
        <f>SUMIFS(Data!J:J,Data!F:F,A958)</f>
        <v>1</v>
      </c>
      <c r="G958" s="106" t="str">
        <f>SUMIFS(Cast!C:C,CastElements,A958)</f>
        <v>1</v>
      </c>
      <c r="H958" s="106" t="str">
        <f t="shared" si="4"/>
        <v>0</v>
      </c>
      <c r="I958" s="106" t="str">
        <f>SUMIFS(Del!C:C,Del!B:B,A958)</f>
        <v>1</v>
      </c>
      <c r="J958" s="106" t="str">
        <f t="shared" si="5"/>
        <v>0</v>
      </c>
      <c r="K958" s="106" t="str">
        <f t="shared" si="6"/>
        <v>0</v>
      </c>
      <c r="L958" s="106"/>
      <c r="M958" s="106" t="str">
        <f>SUMIFS(Ere!C:C,Ere!B:B,A958)</f>
        <v>1</v>
      </c>
      <c r="N958" s="106" t="str">
        <f t="shared" si="7"/>
        <v>0</v>
      </c>
      <c r="O958" s="107" t="str">
        <f t="array" ref="O958">XLOOKUP(A958,Data!F:F,Data!O:O)</f>
        <v>  2.25 </v>
      </c>
      <c r="P958" s="107" t="str">
        <f t="shared" si="8"/>
        <v>  5.63 </v>
      </c>
      <c r="Q958" s="27"/>
    </row>
    <row r="959" ht="15.75" customHeight="1">
      <c r="A959" s="110" t="s">
        <v>1203</v>
      </c>
      <c r="B959" s="19" t="str">
        <f t="array" ref="B959">XLOOKUP(A959,Data!F:F,Data!G:G)</f>
        <v>J1B</v>
      </c>
      <c r="C959" s="19" t="str">
        <f t="shared" si="3"/>
        <v>J125</v>
      </c>
      <c r="D959" s="19" t="str">
        <f t="array" ref="D959">XLOOKUP(A959,Data!F:F,Data!C:C)</f>
        <v/>
      </c>
      <c r="E959" s="19" t="str">
        <f t="array" ref="E959">XLOOKUP(A959,Data!F:F,Data!H:H)</f>
        <v>BW</v>
      </c>
      <c r="F959" s="106" t="str">
        <f>SUMIFS(Data!J:J,Data!F:F,A959)</f>
        <v>1</v>
      </c>
      <c r="G959" s="106" t="str">
        <f>SUMIFS(Cast!C:C,CastElements,A959)</f>
        <v>1</v>
      </c>
      <c r="H959" s="106" t="str">
        <f t="shared" si="4"/>
        <v>0</v>
      </c>
      <c r="I959" s="106" t="str">
        <f>SUMIFS(Del!C:C,Del!B:B,A959)</f>
        <v>1</v>
      </c>
      <c r="J959" s="106" t="str">
        <f t="shared" si="5"/>
        <v>0</v>
      </c>
      <c r="K959" s="106" t="str">
        <f t="shared" si="6"/>
        <v>0</v>
      </c>
      <c r="L959" s="106"/>
      <c r="M959" s="106" t="str">
        <f>SUMIFS(Ere!C:C,Ere!B:B,A959)</f>
        <v>1</v>
      </c>
      <c r="N959" s="106" t="str">
        <f t="shared" si="7"/>
        <v>0</v>
      </c>
      <c r="O959" s="107" t="str">
        <f t="array" ref="O959">XLOOKUP(A959,Data!F:F,Data!O:O)</f>
        <v>  2.03 </v>
      </c>
      <c r="P959" s="107" t="str">
        <f t="shared" si="8"/>
        <v>  5.07 </v>
      </c>
      <c r="Q959" s="27"/>
    </row>
    <row r="960" ht="15.75" customHeight="1">
      <c r="A960" s="110" t="s">
        <v>1204</v>
      </c>
      <c r="B960" s="19" t="str">
        <f t="array" ref="B960">XLOOKUP(A960,Data!F:F,Data!G:G)</f>
        <v>J1B</v>
      </c>
      <c r="C960" s="19" t="str">
        <f t="shared" si="3"/>
        <v>J125</v>
      </c>
      <c r="D960" s="19" t="str">
        <f t="array" ref="D960">XLOOKUP(A960,Data!F:F,Data!C:C)</f>
        <v/>
      </c>
      <c r="E960" s="19" t="str">
        <f t="array" ref="E960">XLOOKUP(A960,Data!F:F,Data!H:H)</f>
        <v>BW</v>
      </c>
      <c r="F960" s="106" t="str">
        <f>SUMIFS(Data!J:J,Data!F:F,A960)</f>
        <v>1</v>
      </c>
      <c r="G960" s="106" t="str">
        <f>SUMIFS(Cast!C:C,CastElements,A960)</f>
        <v>1</v>
      </c>
      <c r="H960" s="106" t="str">
        <f t="shared" si="4"/>
        <v>0</v>
      </c>
      <c r="I960" s="106" t="str">
        <f>SUMIFS(Del!C:C,Del!B:B,A960)</f>
        <v>1</v>
      </c>
      <c r="J960" s="106" t="str">
        <f t="shared" si="5"/>
        <v>0</v>
      </c>
      <c r="K960" s="106" t="str">
        <f t="shared" si="6"/>
        <v>0</v>
      </c>
      <c r="L960" s="106"/>
      <c r="M960" s="106" t="str">
        <f>SUMIFS(Ere!C:C,Ere!B:B,A960)</f>
        <v>1</v>
      </c>
      <c r="N960" s="106" t="str">
        <f t="shared" si="7"/>
        <v>0</v>
      </c>
      <c r="O960" s="107" t="str">
        <f t="array" ref="O960">XLOOKUP(A960,Data!F:F,Data!O:O)</f>
        <v>  2.03 </v>
      </c>
      <c r="P960" s="107" t="str">
        <f t="shared" si="8"/>
        <v>  5.07 </v>
      </c>
      <c r="Q960" s="27"/>
    </row>
    <row r="961" ht="15.75" customHeight="1">
      <c r="A961" s="110" t="s">
        <v>1205</v>
      </c>
      <c r="B961" s="19" t="str">
        <f t="array" ref="B961">XLOOKUP(A961,Data!F:F,Data!G:G)</f>
        <v>J1B</v>
      </c>
      <c r="C961" s="19" t="str">
        <f t="shared" si="3"/>
        <v>J125</v>
      </c>
      <c r="D961" s="19" t="str">
        <f t="array" ref="D961">XLOOKUP(A961,Data!F:F,Data!C:C)</f>
        <v/>
      </c>
      <c r="E961" s="19" t="str">
        <f t="array" ref="E961">XLOOKUP(A961,Data!F:F,Data!H:H)</f>
        <v>BW</v>
      </c>
      <c r="F961" s="106" t="str">
        <f>SUMIFS(Data!J:J,Data!F:F,A961)</f>
        <v>1</v>
      </c>
      <c r="G961" s="106" t="str">
        <f>SUMIFS(Cast!C:C,CastElements,A961)</f>
        <v>1</v>
      </c>
      <c r="H961" s="106" t="str">
        <f t="shared" si="4"/>
        <v>0</v>
      </c>
      <c r="I961" s="106" t="str">
        <f>SUMIFS(Del!C:C,Del!B:B,A961)</f>
        <v>1</v>
      </c>
      <c r="J961" s="106" t="str">
        <f t="shared" si="5"/>
        <v>0</v>
      </c>
      <c r="K961" s="106" t="str">
        <f t="shared" si="6"/>
        <v>0</v>
      </c>
      <c r="L961" s="106"/>
      <c r="M961" s="106" t="str">
        <f>SUMIFS(Ere!C:C,Ere!B:B,A961)</f>
        <v>1</v>
      </c>
      <c r="N961" s="106" t="str">
        <f t="shared" si="7"/>
        <v>0</v>
      </c>
      <c r="O961" s="107" t="str">
        <f t="array" ref="O961">XLOOKUP(A961,Data!F:F,Data!O:O)</f>
        <v>  2.03 </v>
      </c>
      <c r="P961" s="107" t="str">
        <f t="shared" si="8"/>
        <v>  5.07 </v>
      </c>
      <c r="Q961" s="27"/>
    </row>
    <row r="962" ht="15.75" customHeight="1">
      <c r="A962" s="110" t="s">
        <v>1206</v>
      </c>
      <c r="B962" s="19" t="str">
        <f t="array" ref="B962">XLOOKUP(A962,Data!F:F,Data!G:G)</f>
        <v>J1B</v>
      </c>
      <c r="C962" s="19" t="str">
        <f t="shared" si="3"/>
        <v>J125</v>
      </c>
      <c r="D962" s="19" t="str">
        <f t="array" ref="D962">XLOOKUP(A962,Data!F:F,Data!C:C)</f>
        <v/>
      </c>
      <c r="E962" s="19" t="str">
        <f t="array" ref="E962">XLOOKUP(A962,Data!F:F,Data!H:H)</f>
        <v>BW</v>
      </c>
      <c r="F962" s="106" t="str">
        <f>SUMIFS(Data!J:J,Data!F:F,A962)</f>
        <v>1</v>
      </c>
      <c r="G962" s="106" t="str">
        <f>SUMIFS(Cast!C:C,CastElements,A962)</f>
        <v>1</v>
      </c>
      <c r="H962" s="106" t="str">
        <f t="shared" si="4"/>
        <v>0</v>
      </c>
      <c r="I962" s="106" t="str">
        <f>SUMIFS(Del!C:C,Del!B:B,A962)</f>
        <v>1</v>
      </c>
      <c r="J962" s="106" t="str">
        <f t="shared" si="5"/>
        <v>0</v>
      </c>
      <c r="K962" s="106" t="str">
        <f t="shared" si="6"/>
        <v>0</v>
      </c>
      <c r="L962" s="106"/>
      <c r="M962" s="106" t="str">
        <f>SUMIFS(Ere!C:C,Ere!B:B,A962)</f>
        <v>1</v>
      </c>
      <c r="N962" s="106" t="str">
        <f t="shared" si="7"/>
        <v>0</v>
      </c>
      <c r="O962" s="107" t="str">
        <f t="array" ref="O962">XLOOKUP(A962,Data!F:F,Data!O:O)</f>
        <v>  0.63 </v>
      </c>
      <c r="P962" s="107" t="str">
        <f t="shared" si="8"/>
        <v>  1.58 </v>
      </c>
      <c r="Q962" s="27"/>
    </row>
    <row r="963" ht="15.75" customHeight="1">
      <c r="A963" s="110" t="s">
        <v>1207</v>
      </c>
      <c r="B963" s="19" t="str">
        <f t="array" ref="B963">XLOOKUP(A963,Data!F:F,Data!G:G)</f>
        <v>J1B</v>
      </c>
      <c r="C963" s="19" t="str">
        <f t="shared" si="3"/>
        <v>J125</v>
      </c>
      <c r="D963" s="19" t="str">
        <f t="array" ref="D963">XLOOKUP(A963,Data!F:F,Data!C:C)</f>
        <v/>
      </c>
      <c r="E963" s="19" t="str">
        <f t="array" ref="E963">XLOOKUP(A963,Data!F:F,Data!H:H)</f>
        <v>BW</v>
      </c>
      <c r="F963" s="106" t="str">
        <f>SUMIFS(Data!J:J,Data!F:F,A963)</f>
        <v>1</v>
      </c>
      <c r="G963" s="106" t="str">
        <f>SUMIFS(Cast!C:C,CastElements,A963)</f>
        <v>1</v>
      </c>
      <c r="H963" s="106" t="str">
        <f t="shared" si="4"/>
        <v>0</v>
      </c>
      <c r="I963" s="106" t="str">
        <f>SUMIFS(Del!C:C,Del!B:B,A963)</f>
        <v>1</v>
      </c>
      <c r="J963" s="106" t="str">
        <f t="shared" si="5"/>
        <v>0</v>
      </c>
      <c r="K963" s="106" t="str">
        <f t="shared" si="6"/>
        <v>0</v>
      </c>
      <c r="L963" s="106"/>
      <c r="M963" s="106" t="str">
        <f>SUMIFS(Ere!C:C,Ere!B:B,A963)</f>
        <v>1</v>
      </c>
      <c r="N963" s="106" t="str">
        <f t="shared" si="7"/>
        <v>0</v>
      </c>
      <c r="O963" s="107" t="str">
        <f t="array" ref="O963">XLOOKUP(A963,Data!F:F,Data!O:O)</f>
        <v>  0.23 </v>
      </c>
      <c r="P963" s="107" t="str">
        <f t="shared" si="8"/>
        <v>  0.57 </v>
      </c>
      <c r="Q963" s="27"/>
    </row>
    <row r="964" ht="15.75" customHeight="1">
      <c r="A964" s="110" t="s">
        <v>1208</v>
      </c>
      <c r="B964" s="19" t="str">
        <f t="array" ref="B964">XLOOKUP(A964,Data!F:F,Data!G:G)</f>
        <v>J1B</v>
      </c>
      <c r="C964" s="19" t="str">
        <f t="shared" si="3"/>
        <v>J125</v>
      </c>
      <c r="D964" s="19" t="str">
        <f t="array" ref="D964">XLOOKUP(A964,Data!F:F,Data!C:C)</f>
        <v/>
      </c>
      <c r="E964" s="19" t="str">
        <f t="array" ref="E964">XLOOKUP(A964,Data!F:F,Data!H:H)</f>
        <v>CF</v>
      </c>
      <c r="F964" s="106" t="str">
        <f>SUMIFS(Data!J:J,Data!F:F,A964)</f>
        <v>1</v>
      </c>
      <c r="G964" s="106" t="str">
        <f>SUMIFS(Cast!C:C,CastElements,A964)</f>
        <v>1</v>
      </c>
      <c r="H964" s="106" t="str">
        <f t="shared" si="4"/>
        <v>0</v>
      </c>
      <c r="I964" s="106" t="str">
        <f>SUMIFS(Del!C:C,Del!B:B,A964)</f>
        <v>1</v>
      </c>
      <c r="J964" s="106" t="str">
        <f t="shared" si="5"/>
        <v>0</v>
      </c>
      <c r="K964" s="106" t="str">
        <f t="shared" si="6"/>
        <v>0</v>
      </c>
      <c r="L964" s="106"/>
      <c r="M964" s="106" t="str">
        <f>SUMIFS(Ere!C:C,Ere!B:B,A964)</f>
        <v>1</v>
      </c>
      <c r="N964" s="106" t="str">
        <f t="shared" si="7"/>
        <v>0</v>
      </c>
      <c r="O964" s="107" t="str">
        <f t="array" ref="O964">XLOOKUP(A964,Data!F:F,Data!O:O)</f>
        <v>  0.54 </v>
      </c>
      <c r="P964" s="107" t="str">
        <f t="shared" si="8"/>
        <v>  1.36 </v>
      </c>
      <c r="Q964" s="27"/>
    </row>
    <row r="965" ht="15.75" customHeight="1">
      <c r="A965" s="110" t="s">
        <v>1209</v>
      </c>
      <c r="B965" s="19" t="str">
        <f t="array" ref="B965">XLOOKUP(A965,Data!F:F,Data!G:G)</f>
        <v>J1B</v>
      </c>
      <c r="C965" s="19" t="str">
        <f t="shared" si="3"/>
        <v>J125</v>
      </c>
      <c r="D965" s="19" t="str">
        <f t="array" ref="D965">XLOOKUP(A965,Data!F:F,Data!C:C)</f>
        <v/>
      </c>
      <c r="E965" s="19" t="str">
        <f t="array" ref="E965">XLOOKUP(A965,Data!F:F,Data!H:H)</f>
        <v>BW</v>
      </c>
      <c r="F965" s="106" t="str">
        <f>SUMIFS(Data!J:J,Data!F:F,A965)</f>
        <v>1</v>
      </c>
      <c r="G965" s="106" t="str">
        <f>SUMIFS(Cast!C:C,CastElements,A965)</f>
        <v>1</v>
      </c>
      <c r="H965" s="106" t="str">
        <f t="shared" si="4"/>
        <v>0</v>
      </c>
      <c r="I965" s="106" t="str">
        <f>SUMIFS(Del!C:C,Del!B:B,A965)</f>
        <v>1</v>
      </c>
      <c r="J965" s="106" t="str">
        <f t="shared" si="5"/>
        <v>0</v>
      </c>
      <c r="K965" s="106" t="str">
        <f t="shared" si="6"/>
        <v>0</v>
      </c>
      <c r="L965" s="106"/>
      <c r="M965" s="106" t="str">
        <f>SUMIFS(Ere!C:C,Ere!B:B,A965)</f>
        <v>1</v>
      </c>
      <c r="N965" s="106" t="str">
        <f t="shared" si="7"/>
        <v>0</v>
      </c>
      <c r="O965" s="107" t="str">
        <f t="array" ref="O965">XLOOKUP(A965,Data!F:F,Data!O:O)</f>
        <v>  2.41 </v>
      </c>
      <c r="P965" s="107" t="str">
        <f t="shared" si="8"/>
        <v>  6.02 </v>
      </c>
      <c r="Q965" s="27"/>
    </row>
    <row r="966" ht="15.75" customHeight="1">
      <c r="A966" s="110" t="s">
        <v>1210</v>
      </c>
      <c r="B966" s="19" t="str">
        <f t="array" ref="B966">XLOOKUP(A966,Data!F:F,Data!G:G)</f>
        <v>J1B</v>
      </c>
      <c r="C966" s="19" t="str">
        <f t="shared" si="3"/>
        <v>J126</v>
      </c>
      <c r="D966" s="19" t="str">
        <f t="array" ref="D966">XLOOKUP(A966,Data!F:F,Data!C:C)</f>
        <v/>
      </c>
      <c r="E966" s="19" t="str">
        <f t="array" ref="E966">XLOOKUP(A966,Data!F:F,Data!H:H)</f>
        <v>BW</v>
      </c>
      <c r="F966" s="106" t="str">
        <f>SUMIFS(Data!J:J,Data!F:F,A966)</f>
        <v>1</v>
      </c>
      <c r="G966" s="106" t="str">
        <f>SUMIFS(Cast!C:C,CastElements,A966)</f>
        <v>1</v>
      </c>
      <c r="H966" s="106" t="str">
        <f t="shared" si="4"/>
        <v>0</v>
      </c>
      <c r="I966" s="106" t="str">
        <f>SUMIFS(Del!C:C,Del!B:B,A966)</f>
        <v>1</v>
      </c>
      <c r="J966" s="106" t="str">
        <f t="shared" si="5"/>
        <v>0</v>
      </c>
      <c r="K966" s="106" t="str">
        <f t="shared" si="6"/>
        <v>0</v>
      </c>
      <c r="L966" s="106"/>
      <c r="M966" s="106" t="str">
        <f>SUMIFS(Ere!C:C,Ere!B:B,A966)</f>
        <v>1</v>
      </c>
      <c r="N966" s="106" t="str">
        <f t="shared" si="7"/>
        <v>0</v>
      </c>
      <c r="O966" s="107" t="str">
        <f t="array" ref="O966">XLOOKUP(A966,Data!F:F,Data!O:O)</f>
        <v>  2.25 </v>
      </c>
      <c r="P966" s="107" t="str">
        <f t="shared" si="8"/>
        <v>  5.63 </v>
      </c>
      <c r="Q966" s="27"/>
    </row>
    <row r="967" ht="15.75" customHeight="1">
      <c r="A967" s="110" t="s">
        <v>1211</v>
      </c>
      <c r="B967" s="19" t="str">
        <f t="array" ref="B967">XLOOKUP(A967,Data!F:F,Data!G:G)</f>
        <v>J1B</v>
      </c>
      <c r="C967" s="19" t="str">
        <f t="shared" si="3"/>
        <v>J126</v>
      </c>
      <c r="D967" s="19" t="str">
        <f t="array" ref="D967">XLOOKUP(A967,Data!F:F,Data!C:C)</f>
        <v>EXT</v>
      </c>
      <c r="E967" s="19" t="str">
        <f t="array" ref="E967">XLOOKUP(A967,Data!F:F,Data!H:H)</f>
        <v>BW</v>
      </c>
      <c r="F967" s="106" t="str">
        <f>SUMIFS(Data!J:J,Data!F:F,A967)</f>
        <v>1</v>
      </c>
      <c r="G967" s="106" t="str">
        <f>SUMIFS(Cast!C:C,CastElements,A967)</f>
        <v>1</v>
      </c>
      <c r="H967" s="106" t="str">
        <f t="shared" si="4"/>
        <v>0</v>
      </c>
      <c r="I967" s="106" t="str">
        <f>SUMIFS(Del!C:C,Del!B:B,A967)</f>
        <v>0</v>
      </c>
      <c r="J967" s="106" t="str">
        <f t="shared" si="5"/>
        <v>1</v>
      </c>
      <c r="K967" s="106" t="str">
        <f t="shared" si="6"/>
        <v>1</v>
      </c>
      <c r="L967" s="106"/>
      <c r="M967" s="106" t="str">
        <f>SUMIFS(Ere!C:C,Ere!B:B,A967)</f>
        <v>0</v>
      </c>
      <c r="N967" s="106" t="str">
        <f t="shared" si="7"/>
        <v>1</v>
      </c>
      <c r="O967" s="107" t="str">
        <f t="array" ref="O967">XLOOKUP(A967,Data!F:F,Data!O:O)</f>
        <v>  1.23 </v>
      </c>
      <c r="P967" s="107" t="str">
        <f t="shared" si="8"/>
        <v>  3.07 </v>
      </c>
      <c r="Q967" s="27"/>
    </row>
    <row r="968" ht="15.75" customHeight="1">
      <c r="A968" s="110" t="s">
        <v>1212</v>
      </c>
      <c r="B968" s="19" t="str">
        <f t="array" ref="B968">XLOOKUP(A968,Data!F:F,Data!G:G)</f>
        <v>J1B</v>
      </c>
      <c r="C968" s="19" t="str">
        <f t="shared" si="3"/>
        <v>J126</v>
      </c>
      <c r="D968" s="19" t="str">
        <f t="array" ref="D968">XLOOKUP(A968,Data!F:F,Data!C:C)</f>
        <v>EXT</v>
      </c>
      <c r="E968" s="19" t="str">
        <f t="array" ref="E968">XLOOKUP(A968,Data!F:F,Data!H:H)</f>
        <v>BW</v>
      </c>
      <c r="F968" s="106" t="str">
        <f>SUMIFS(Data!J:J,Data!F:F,A968)</f>
        <v>1</v>
      </c>
      <c r="G968" s="106" t="str">
        <f>SUMIFS(Cast!C:C,CastElements,A968)</f>
        <v>1</v>
      </c>
      <c r="H968" s="106" t="str">
        <f t="shared" si="4"/>
        <v>0</v>
      </c>
      <c r="I968" s="106" t="str">
        <f>SUMIFS(Del!C:C,Del!B:B,A968)</f>
        <v>0</v>
      </c>
      <c r="J968" s="106" t="str">
        <f t="shared" si="5"/>
        <v>1</v>
      </c>
      <c r="K968" s="106" t="str">
        <f t="shared" si="6"/>
        <v>1</v>
      </c>
      <c r="L968" s="106"/>
      <c r="M968" s="106" t="str">
        <f>SUMIFS(Ere!C:C,Ere!B:B,A968)</f>
        <v>0</v>
      </c>
      <c r="N968" s="106" t="str">
        <f t="shared" si="7"/>
        <v>1</v>
      </c>
      <c r="O968" s="107" t="str">
        <f t="array" ref="O968">XLOOKUP(A968,Data!F:F,Data!O:O)</f>
        <v>  0.83 </v>
      </c>
      <c r="P968" s="107" t="str">
        <f t="shared" si="8"/>
        <v>  2.08 </v>
      </c>
      <c r="Q968" s="27"/>
    </row>
    <row r="969" ht="15.75" customHeight="1">
      <c r="A969" s="110" t="s">
        <v>1213</v>
      </c>
      <c r="B969" s="19" t="str">
        <f t="array" ref="B969">XLOOKUP(A969,Data!F:F,Data!G:G)</f>
        <v>J1B</v>
      </c>
      <c r="C969" s="19" t="str">
        <f t="shared" si="3"/>
        <v>J126</v>
      </c>
      <c r="D969" s="19" t="str">
        <f t="array" ref="D969">XLOOKUP(A969,Data!F:F,Data!C:C)</f>
        <v>EXT</v>
      </c>
      <c r="E969" s="19" t="str">
        <f t="array" ref="E969">XLOOKUP(A969,Data!F:F,Data!H:H)</f>
        <v>BW</v>
      </c>
      <c r="F969" s="106" t="str">
        <f>SUMIFS(Data!J:J,Data!F:F,A969)</f>
        <v>1</v>
      </c>
      <c r="G969" s="106" t="str">
        <f>SUMIFS(Cast!C:C,CastElements,A969)</f>
        <v>1</v>
      </c>
      <c r="H969" s="106" t="str">
        <f t="shared" si="4"/>
        <v>0</v>
      </c>
      <c r="I969" s="106" t="str">
        <f>SUMIFS(Del!C:C,Del!B:B,A969)</f>
        <v>0</v>
      </c>
      <c r="J969" s="106" t="str">
        <f t="shared" si="5"/>
        <v>1</v>
      </c>
      <c r="K969" s="106" t="str">
        <f t="shared" si="6"/>
        <v>1</v>
      </c>
      <c r="L969" s="106"/>
      <c r="M969" s="106" t="str">
        <f>SUMIFS(Ere!C:C,Ere!B:B,A969)</f>
        <v>0</v>
      </c>
      <c r="N969" s="106" t="str">
        <f t="shared" si="7"/>
        <v>1</v>
      </c>
      <c r="O969" s="107" t="str">
        <f t="array" ref="O969">XLOOKUP(A969,Data!F:F,Data!O:O)</f>
        <v>  1.51 </v>
      </c>
      <c r="P969" s="107" t="str">
        <f t="shared" si="8"/>
        <v>  3.78 </v>
      </c>
      <c r="Q969" s="27"/>
    </row>
    <row r="970" ht="15.75" customHeight="1">
      <c r="A970" s="110" t="s">
        <v>1214</v>
      </c>
      <c r="B970" s="19" t="str">
        <f t="array" ref="B970">XLOOKUP(A970,Data!F:F,Data!G:G)</f>
        <v>J1B</v>
      </c>
      <c r="C970" s="19" t="str">
        <f t="shared" si="3"/>
        <v>J126</v>
      </c>
      <c r="D970" s="19" t="str">
        <f t="array" ref="D970">XLOOKUP(A970,Data!F:F,Data!C:C)</f>
        <v>EXT</v>
      </c>
      <c r="E970" s="19" t="str">
        <f t="array" ref="E970">XLOOKUP(A970,Data!F:F,Data!H:H)</f>
        <v>BW</v>
      </c>
      <c r="F970" s="106" t="str">
        <f>SUMIFS(Data!J:J,Data!F:F,A970)</f>
        <v>1</v>
      </c>
      <c r="G970" s="106" t="str">
        <f>SUMIFS(Cast!C:C,CastElements,A970)</f>
        <v>1</v>
      </c>
      <c r="H970" s="106" t="str">
        <f t="shared" si="4"/>
        <v>0</v>
      </c>
      <c r="I970" s="106" t="str">
        <f>SUMIFS(Del!C:C,Del!B:B,A970)</f>
        <v>0</v>
      </c>
      <c r="J970" s="106" t="str">
        <f t="shared" si="5"/>
        <v>1</v>
      </c>
      <c r="K970" s="106" t="str">
        <f t="shared" si="6"/>
        <v>1</v>
      </c>
      <c r="L970" s="106"/>
      <c r="M970" s="106" t="str">
        <f>SUMIFS(Ere!C:C,Ere!B:B,A970)</f>
        <v>0</v>
      </c>
      <c r="N970" s="106" t="str">
        <f t="shared" si="7"/>
        <v>1</v>
      </c>
      <c r="O970" s="107" t="str">
        <f t="array" ref="O970">XLOOKUP(A970,Data!F:F,Data!O:O)</f>
        <v>  1.53 </v>
      </c>
      <c r="P970" s="107" t="str">
        <f t="shared" si="8"/>
        <v>  3.82 </v>
      </c>
      <c r="Q970" s="27"/>
    </row>
    <row r="971" ht="15.75" customHeight="1">
      <c r="A971" s="110" t="s">
        <v>1215</v>
      </c>
      <c r="B971" s="19" t="str">
        <f t="array" ref="B971">XLOOKUP(A971,Data!F:F,Data!G:G)</f>
        <v>J1B</v>
      </c>
      <c r="C971" s="19" t="str">
        <f t="shared" si="3"/>
        <v>J126</v>
      </c>
      <c r="D971" s="19" t="str">
        <f t="array" ref="D971">XLOOKUP(A971,Data!F:F,Data!C:C)</f>
        <v/>
      </c>
      <c r="E971" s="19" t="str">
        <f t="array" ref="E971">XLOOKUP(A971,Data!F:F,Data!H:H)</f>
        <v>BW</v>
      </c>
      <c r="F971" s="106" t="str">
        <f>SUMIFS(Data!J:J,Data!F:F,A971)</f>
        <v>1</v>
      </c>
      <c r="G971" s="106" t="str">
        <f>SUMIFS(Cast!C:C,CastElements,A971)</f>
        <v>1</v>
      </c>
      <c r="H971" s="106" t="str">
        <f t="shared" si="4"/>
        <v>0</v>
      </c>
      <c r="I971" s="106" t="str">
        <f>SUMIFS(Del!C:C,Del!B:B,A971)</f>
        <v>1</v>
      </c>
      <c r="J971" s="106" t="str">
        <f t="shared" si="5"/>
        <v>0</v>
      </c>
      <c r="K971" s="106" t="str">
        <f t="shared" si="6"/>
        <v>0</v>
      </c>
      <c r="L971" s="106"/>
      <c r="M971" s="106" t="str">
        <f>SUMIFS(Ere!C:C,Ere!B:B,A971)</f>
        <v>1</v>
      </c>
      <c r="N971" s="106" t="str">
        <f t="shared" si="7"/>
        <v>0</v>
      </c>
      <c r="O971" s="107" t="str">
        <f t="array" ref="O971">XLOOKUP(A971,Data!F:F,Data!O:O)</f>
        <v>  1.80 </v>
      </c>
      <c r="P971" s="107" t="str">
        <f t="shared" si="8"/>
        <v>  4.51 </v>
      </c>
      <c r="Q971" s="27"/>
    </row>
    <row r="972" ht="15.75" customHeight="1">
      <c r="A972" s="110" t="s">
        <v>1216</v>
      </c>
      <c r="B972" s="19" t="str">
        <f t="array" ref="B972">XLOOKUP(A972,Data!F:F,Data!G:G)</f>
        <v>J1B</v>
      </c>
      <c r="C972" s="19" t="str">
        <f t="shared" si="3"/>
        <v>J126</v>
      </c>
      <c r="D972" s="19" t="str">
        <f t="array" ref="D972">XLOOKUP(A972,Data!F:F,Data!C:C)</f>
        <v/>
      </c>
      <c r="E972" s="19" t="str">
        <f t="array" ref="E972">XLOOKUP(A972,Data!F:F,Data!H:H)</f>
        <v>BW</v>
      </c>
      <c r="F972" s="106" t="str">
        <f>SUMIFS(Data!J:J,Data!F:F,A972)</f>
        <v>1</v>
      </c>
      <c r="G972" s="106" t="str">
        <f>SUMIFS(Cast!C:C,CastElements,A972)</f>
        <v>1</v>
      </c>
      <c r="H972" s="106" t="str">
        <f t="shared" si="4"/>
        <v>0</v>
      </c>
      <c r="I972" s="106" t="str">
        <f>SUMIFS(Del!C:C,Del!B:B,A972)</f>
        <v>1</v>
      </c>
      <c r="J972" s="106" t="str">
        <f t="shared" si="5"/>
        <v>0</v>
      </c>
      <c r="K972" s="106" t="str">
        <f t="shared" si="6"/>
        <v>0</v>
      </c>
      <c r="L972" s="106"/>
      <c r="M972" s="106" t="str">
        <f>SUMIFS(Ere!C:C,Ere!B:B,A972)</f>
        <v>1</v>
      </c>
      <c r="N972" s="106" t="str">
        <f t="shared" si="7"/>
        <v>0</v>
      </c>
      <c r="O972" s="107" t="str">
        <f t="array" ref="O972">XLOOKUP(A972,Data!F:F,Data!O:O)</f>
        <v>  1.80 </v>
      </c>
      <c r="P972" s="107" t="str">
        <f t="shared" si="8"/>
        <v>  4.51 </v>
      </c>
      <c r="Q972" s="27"/>
    </row>
    <row r="973" ht="15.75" customHeight="1">
      <c r="A973" s="110" t="s">
        <v>1217</v>
      </c>
      <c r="B973" s="19" t="str">
        <f t="array" ref="B973">XLOOKUP(A973,Data!F:F,Data!G:G)</f>
        <v>J1B</v>
      </c>
      <c r="C973" s="19" t="str">
        <f t="shared" si="3"/>
        <v>J126</v>
      </c>
      <c r="D973" s="19" t="str">
        <f t="array" ref="D973">XLOOKUP(A973,Data!F:F,Data!C:C)</f>
        <v/>
      </c>
      <c r="E973" s="19" t="str">
        <f t="array" ref="E973">XLOOKUP(A973,Data!F:F,Data!H:H)</f>
        <v>BW</v>
      </c>
      <c r="F973" s="106" t="str">
        <f>SUMIFS(Data!J:J,Data!F:F,A973)</f>
        <v>1</v>
      </c>
      <c r="G973" s="106" t="str">
        <f>SUMIFS(Cast!C:C,CastElements,A973)</f>
        <v>1</v>
      </c>
      <c r="H973" s="106" t="str">
        <f t="shared" si="4"/>
        <v>0</v>
      </c>
      <c r="I973" s="106" t="str">
        <f>SUMIFS(Del!C:C,Del!B:B,A973)</f>
        <v>1</v>
      </c>
      <c r="J973" s="106" t="str">
        <f t="shared" si="5"/>
        <v>0</v>
      </c>
      <c r="K973" s="106" t="str">
        <f t="shared" si="6"/>
        <v>0</v>
      </c>
      <c r="L973" s="106"/>
      <c r="M973" s="106" t="str">
        <f>SUMIFS(Ere!C:C,Ere!B:B,A973)</f>
        <v>1</v>
      </c>
      <c r="N973" s="106" t="str">
        <f t="shared" si="7"/>
        <v>0</v>
      </c>
      <c r="O973" s="107" t="str">
        <f t="array" ref="O973">XLOOKUP(A973,Data!F:F,Data!O:O)</f>
        <v>  1.80 </v>
      </c>
      <c r="P973" s="107" t="str">
        <f t="shared" si="8"/>
        <v>  4.51 </v>
      </c>
      <c r="Q973" s="27"/>
    </row>
    <row r="974" ht="15.75" customHeight="1">
      <c r="A974" s="110" t="s">
        <v>1218</v>
      </c>
      <c r="B974" s="19" t="str">
        <f t="array" ref="B974">XLOOKUP(A974,Data!F:F,Data!G:G)</f>
        <v>J1B</v>
      </c>
      <c r="C974" s="19" t="str">
        <f t="shared" si="3"/>
        <v>J126</v>
      </c>
      <c r="D974" s="19" t="str">
        <f t="array" ref="D974">XLOOKUP(A974,Data!F:F,Data!C:C)</f>
        <v/>
      </c>
      <c r="E974" s="19" t="str">
        <f t="array" ref="E974">XLOOKUP(A974,Data!F:F,Data!H:H)</f>
        <v>BW</v>
      </c>
      <c r="F974" s="106" t="str">
        <f>SUMIFS(Data!J:J,Data!F:F,A974)</f>
        <v>1</v>
      </c>
      <c r="G974" s="106" t="str">
        <f>SUMIFS(Cast!C:C,CastElements,A974)</f>
        <v>1</v>
      </c>
      <c r="H974" s="106" t="str">
        <f t="shared" si="4"/>
        <v>0</v>
      </c>
      <c r="I974" s="106" t="str">
        <f>SUMIFS(Del!C:C,Del!B:B,A974)</f>
        <v>1</v>
      </c>
      <c r="J974" s="106" t="str">
        <f t="shared" si="5"/>
        <v>0</v>
      </c>
      <c r="K974" s="106" t="str">
        <f t="shared" si="6"/>
        <v>0</v>
      </c>
      <c r="L974" s="106"/>
      <c r="M974" s="106" t="str">
        <f>SUMIFS(Ere!C:C,Ere!B:B,A974)</f>
        <v>1</v>
      </c>
      <c r="N974" s="106" t="str">
        <f t="shared" si="7"/>
        <v>0</v>
      </c>
      <c r="O974" s="107" t="str">
        <f t="array" ref="O974">XLOOKUP(A974,Data!F:F,Data!O:O)</f>
        <v>  1.80 </v>
      </c>
      <c r="P974" s="107" t="str">
        <f t="shared" si="8"/>
        <v>  4.51 </v>
      </c>
      <c r="Q974" s="27"/>
    </row>
    <row r="975" ht="15.75" customHeight="1">
      <c r="A975" s="110" t="s">
        <v>1219</v>
      </c>
      <c r="B975" s="19" t="str">
        <f t="array" ref="B975">XLOOKUP(A975,Data!F:F,Data!G:G)</f>
        <v>J1B</v>
      </c>
      <c r="C975" s="19" t="str">
        <f t="shared" si="3"/>
        <v>J126</v>
      </c>
      <c r="D975" s="19" t="str">
        <f t="array" ref="D975">XLOOKUP(A975,Data!F:F,Data!C:C)</f>
        <v/>
      </c>
      <c r="E975" s="19" t="str">
        <f t="array" ref="E975">XLOOKUP(A975,Data!F:F,Data!H:H)</f>
        <v>BW</v>
      </c>
      <c r="F975" s="106" t="str">
        <f>SUMIFS(Data!J:J,Data!F:F,A975)</f>
        <v>1</v>
      </c>
      <c r="G975" s="106" t="str">
        <f>SUMIFS(Cast!C:C,CastElements,A975)</f>
        <v>1</v>
      </c>
      <c r="H975" s="106" t="str">
        <f t="shared" si="4"/>
        <v>0</v>
      </c>
      <c r="I975" s="106" t="str">
        <f>SUMIFS(Del!C:C,Del!B:B,A975)</f>
        <v>1</v>
      </c>
      <c r="J975" s="106" t="str">
        <f t="shared" si="5"/>
        <v>0</v>
      </c>
      <c r="K975" s="106" t="str">
        <f t="shared" si="6"/>
        <v>0</v>
      </c>
      <c r="L975" s="106"/>
      <c r="M975" s="106" t="str">
        <f>SUMIFS(Ere!C:C,Ere!B:B,A975)</f>
        <v>0</v>
      </c>
      <c r="N975" s="106" t="str">
        <f t="shared" si="7"/>
        <v>1</v>
      </c>
      <c r="O975" s="107" t="str">
        <f t="array" ref="O975">XLOOKUP(A975,Data!F:F,Data!O:O)</f>
        <v>  1.49 </v>
      </c>
      <c r="P975" s="107" t="str">
        <f t="shared" si="8"/>
        <v>  3.73 </v>
      </c>
      <c r="Q975" s="27"/>
    </row>
    <row r="976" ht="15.75" customHeight="1">
      <c r="A976" s="110" t="s">
        <v>1220</v>
      </c>
      <c r="B976" s="19" t="str">
        <f t="array" ref="B976">XLOOKUP(A976,Data!F:F,Data!G:G)</f>
        <v>J1B</v>
      </c>
      <c r="C976" s="19" t="str">
        <f t="shared" si="3"/>
        <v>J126</v>
      </c>
      <c r="D976" s="19" t="str">
        <f t="array" ref="D976">XLOOKUP(A976,Data!F:F,Data!C:C)</f>
        <v/>
      </c>
      <c r="E976" s="19" t="str">
        <f t="array" ref="E976">XLOOKUP(A976,Data!F:F,Data!H:H)</f>
        <v>BW</v>
      </c>
      <c r="F976" s="106" t="str">
        <f>SUMIFS(Data!J:J,Data!F:F,A976)</f>
        <v>1</v>
      </c>
      <c r="G976" s="106" t="str">
        <f>SUMIFS(Cast!C:C,CastElements,A976)</f>
        <v>1</v>
      </c>
      <c r="H976" s="106" t="str">
        <f t="shared" si="4"/>
        <v>0</v>
      </c>
      <c r="I976" s="106" t="str">
        <f>SUMIFS(Del!C:C,Del!B:B,A976)</f>
        <v>1</v>
      </c>
      <c r="J976" s="106" t="str">
        <f t="shared" si="5"/>
        <v>0</v>
      </c>
      <c r="K976" s="106" t="str">
        <f t="shared" si="6"/>
        <v>0</v>
      </c>
      <c r="L976" s="106"/>
      <c r="M976" s="106" t="str">
        <f>SUMIFS(Ere!C:C,Ere!B:B,A976)</f>
        <v>0</v>
      </c>
      <c r="N976" s="106" t="str">
        <f t="shared" si="7"/>
        <v>1</v>
      </c>
      <c r="O976" s="107" t="str">
        <f t="array" ref="O976">XLOOKUP(A976,Data!F:F,Data!O:O)</f>
        <v>  2.08 </v>
      </c>
      <c r="P976" s="107" t="str">
        <f t="shared" si="8"/>
        <v>  5.19 </v>
      </c>
      <c r="Q976" s="27"/>
    </row>
    <row r="977" ht="15.75" customHeight="1">
      <c r="A977" s="110" t="s">
        <v>1221</v>
      </c>
      <c r="B977" s="19" t="str">
        <f t="array" ref="B977">XLOOKUP(A977,Data!F:F,Data!G:G)</f>
        <v>J1B</v>
      </c>
      <c r="C977" s="19" t="str">
        <f t="shared" si="3"/>
        <v>J126</v>
      </c>
      <c r="D977" s="19" t="str">
        <f t="array" ref="D977">XLOOKUP(A977,Data!F:F,Data!C:C)</f>
        <v/>
      </c>
      <c r="E977" s="19" t="str">
        <f t="array" ref="E977">XLOOKUP(A977,Data!F:F,Data!H:H)</f>
        <v>BW</v>
      </c>
      <c r="F977" s="106" t="str">
        <f>SUMIFS(Data!J:J,Data!F:F,A977)</f>
        <v>1</v>
      </c>
      <c r="G977" s="106" t="str">
        <f>SUMIFS(Cast!C:C,CastElements,A977)</f>
        <v>1</v>
      </c>
      <c r="H977" s="106" t="str">
        <f t="shared" si="4"/>
        <v>0</v>
      </c>
      <c r="I977" s="106" t="str">
        <f>SUMIFS(Del!C:C,Del!B:B,A977)</f>
        <v>1</v>
      </c>
      <c r="J977" s="106" t="str">
        <f t="shared" si="5"/>
        <v>0</v>
      </c>
      <c r="K977" s="106" t="str">
        <f t="shared" si="6"/>
        <v>0</v>
      </c>
      <c r="L977" s="106"/>
      <c r="M977" s="106" t="str">
        <f>SUMIFS(Ere!C:C,Ere!B:B,A977)</f>
        <v>1</v>
      </c>
      <c r="N977" s="106" t="str">
        <f t="shared" si="7"/>
        <v>0</v>
      </c>
      <c r="O977" s="107" t="str">
        <f t="array" ref="O977">XLOOKUP(A977,Data!F:F,Data!O:O)</f>
        <v>  2.08 </v>
      </c>
      <c r="P977" s="107" t="str">
        <f t="shared" si="8"/>
        <v>  5.19 </v>
      </c>
      <c r="Q977" s="27"/>
    </row>
    <row r="978" ht="15.75" customHeight="1">
      <c r="A978" s="110" t="s">
        <v>1222</v>
      </c>
      <c r="B978" s="19" t="str">
        <f t="array" ref="B978">XLOOKUP(A978,Data!F:F,Data!G:G)</f>
        <v>J1B</v>
      </c>
      <c r="C978" s="19" t="str">
        <f t="shared" si="3"/>
        <v>J126</v>
      </c>
      <c r="D978" s="19" t="str">
        <f t="array" ref="D978">XLOOKUP(A978,Data!F:F,Data!C:C)</f>
        <v/>
      </c>
      <c r="E978" s="19" t="str">
        <f t="array" ref="E978">XLOOKUP(A978,Data!F:F,Data!H:H)</f>
        <v>BW</v>
      </c>
      <c r="F978" s="106" t="str">
        <f>SUMIFS(Data!J:J,Data!F:F,A978)</f>
        <v>1</v>
      </c>
      <c r="G978" s="106" t="str">
        <f>SUMIFS(Cast!C:C,CastElements,A978)</f>
        <v>1</v>
      </c>
      <c r="H978" s="106" t="str">
        <f t="shared" si="4"/>
        <v>0</v>
      </c>
      <c r="I978" s="106" t="str">
        <f>SUMIFS(Del!C:C,Del!B:B,A978)</f>
        <v>1</v>
      </c>
      <c r="J978" s="106" t="str">
        <f t="shared" si="5"/>
        <v>0</v>
      </c>
      <c r="K978" s="106" t="str">
        <f t="shared" si="6"/>
        <v>0</v>
      </c>
      <c r="L978" s="106"/>
      <c r="M978" s="106" t="str">
        <f>SUMIFS(Ere!C:C,Ere!B:B,A978)</f>
        <v>1</v>
      </c>
      <c r="N978" s="106" t="str">
        <f t="shared" si="7"/>
        <v>0</v>
      </c>
      <c r="O978" s="107" t="str">
        <f t="array" ref="O978">XLOOKUP(A978,Data!F:F,Data!O:O)</f>
        <v>  2.08 </v>
      </c>
      <c r="P978" s="107" t="str">
        <f t="shared" si="8"/>
        <v>  5.19 </v>
      </c>
      <c r="Q978" s="27"/>
    </row>
    <row r="979" ht="15.75" customHeight="1">
      <c r="A979" s="110" t="s">
        <v>1223</v>
      </c>
      <c r="B979" s="19" t="str">
        <f t="array" ref="B979">XLOOKUP(A979,Data!F:F,Data!G:G)</f>
        <v>J1B</v>
      </c>
      <c r="C979" s="19" t="str">
        <f t="shared" si="3"/>
        <v>J126</v>
      </c>
      <c r="D979" s="19" t="str">
        <f t="array" ref="D979">XLOOKUP(A979,Data!F:F,Data!C:C)</f>
        <v/>
      </c>
      <c r="E979" s="19" t="str">
        <f t="array" ref="E979">XLOOKUP(A979,Data!F:F,Data!H:H)</f>
        <v>BW</v>
      </c>
      <c r="F979" s="106" t="str">
        <f>SUMIFS(Data!J:J,Data!F:F,A979)</f>
        <v>1</v>
      </c>
      <c r="G979" s="106" t="str">
        <f>SUMIFS(Cast!C:C,CastElements,A979)</f>
        <v>1</v>
      </c>
      <c r="H979" s="106" t="str">
        <f t="shared" si="4"/>
        <v>0</v>
      </c>
      <c r="I979" s="106" t="str">
        <f>SUMIFS(Del!C:C,Del!B:B,A979)</f>
        <v>1</v>
      </c>
      <c r="J979" s="106" t="str">
        <f t="shared" si="5"/>
        <v>0</v>
      </c>
      <c r="K979" s="106" t="str">
        <f t="shared" si="6"/>
        <v>0</v>
      </c>
      <c r="L979" s="106"/>
      <c r="M979" s="106" t="str">
        <f>SUMIFS(Ere!C:C,Ere!B:B,A979)</f>
        <v>0</v>
      </c>
      <c r="N979" s="106" t="str">
        <f t="shared" si="7"/>
        <v>1</v>
      </c>
      <c r="O979" s="107" t="str">
        <f t="array" ref="O979">XLOOKUP(A979,Data!F:F,Data!O:O)</f>
        <v>  1.74 </v>
      </c>
      <c r="P979" s="107" t="str">
        <f t="shared" si="8"/>
        <v>  4.35 </v>
      </c>
      <c r="Q979" s="27"/>
    </row>
    <row r="980" ht="15.75" customHeight="1">
      <c r="A980" s="110" t="s">
        <v>1224</v>
      </c>
      <c r="B980" s="19" t="str">
        <f t="array" ref="B980">XLOOKUP(A980,Data!F:F,Data!G:G)</f>
        <v>J1B</v>
      </c>
      <c r="C980" s="19" t="str">
        <f t="shared" si="3"/>
        <v>J126</v>
      </c>
      <c r="D980" s="19" t="str">
        <f t="array" ref="D980">XLOOKUP(A980,Data!F:F,Data!C:C)</f>
        <v/>
      </c>
      <c r="E980" s="19" t="str">
        <f t="array" ref="E980">XLOOKUP(A980,Data!F:F,Data!H:H)</f>
        <v>BW</v>
      </c>
      <c r="F980" s="106" t="str">
        <f>SUMIFS(Data!J:J,Data!F:F,A980)</f>
        <v>1</v>
      </c>
      <c r="G980" s="106" t="str">
        <f>SUMIFS(Cast!C:C,CastElements,A980)</f>
        <v>1</v>
      </c>
      <c r="H980" s="106" t="str">
        <f t="shared" si="4"/>
        <v>0</v>
      </c>
      <c r="I980" s="106" t="str">
        <f>SUMIFS(Del!C:C,Del!B:B,A980)</f>
        <v>1</v>
      </c>
      <c r="J980" s="106" t="str">
        <f t="shared" si="5"/>
        <v>0</v>
      </c>
      <c r="K980" s="106" t="str">
        <f t="shared" si="6"/>
        <v>0</v>
      </c>
      <c r="L980" s="106"/>
      <c r="M980" s="106" t="str">
        <f>SUMIFS(Ere!C:C,Ere!B:B,A980)</f>
        <v>0</v>
      </c>
      <c r="N980" s="106" t="str">
        <f t="shared" si="7"/>
        <v>1</v>
      </c>
      <c r="O980" s="107" t="str">
        <f t="array" ref="O980">XLOOKUP(A980,Data!F:F,Data!O:O)</f>
        <v>  0.41 </v>
      </c>
      <c r="P980" s="107" t="str">
        <f t="shared" si="8"/>
        <v>  1.03 </v>
      </c>
      <c r="Q980" s="27"/>
    </row>
    <row r="981" ht="15.75" customHeight="1">
      <c r="A981" s="110" t="s">
        <v>1225</v>
      </c>
      <c r="B981" s="19" t="str">
        <f t="array" ref="B981">XLOOKUP(A981,Data!F:F,Data!G:G)</f>
        <v>J1B</v>
      </c>
      <c r="C981" s="19" t="str">
        <f t="shared" si="3"/>
        <v>J126</v>
      </c>
      <c r="D981" s="19" t="str">
        <f t="array" ref="D981">XLOOKUP(A981,Data!F:F,Data!C:C)</f>
        <v/>
      </c>
      <c r="E981" s="19" t="str">
        <f t="array" ref="E981">XLOOKUP(A981,Data!F:F,Data!H:H)</f>
        <v>BW</v>
      </c>
      <c r="F981" s="106" t="str">
        <f>SUMIFS(Data!J:J,Data!F:F,A981)</f>
        <v>1</v>
      </c>
      <c r="G981" s="106" t="str">
        <f>SUMIFS(Cast!C:C,CastElements,A981)</f>
        <v>1</v>
      </c>
      <c r="H981" s="106" t="str">
        <f t="shared" si="4"/>
        <v>0</v>
      </c>
      <c r="I981" s="106" t="str">
        <f>SUMIFS(Del!C:C,Del!B:B,A981)</f>
        <v>0</v>
      </c>
      <c r="J981" s="106" t="str">
        <f t="shared" si="5"/>
        <v>1</v>
      </c>
      <c r="K981" s="106" t="str">
        <f t="shared" si="6"/>
        <v>1</v>
      </c>
      <c r="L981" s="106"/>
      <c r="M981" s="106" t="str">
        <f>SUMIFS(Ere!C:C,Ere!B:B,A981)</f>
        <v>0</v>
      </c>
      <c r="N981" s="106" t="str">
        <f t="shared" si="7"/>
        <v>1</v>
      </c>
      <c r="O981" s="107" t="str">
        <f t="array" ref="O981">XLOOKUP(A981,Data!F:F,Data!O:O)</f>
        <v>  0.39 </v>
      </c>
      <c r="P981" s="107" t="str">
        <f t="shared" si="8"/>
        <v>  0.98 </v>
      </c>
      <c r="Q981" s="27"/>
    </row>
    <row r="982" ht="15.75" customHeight="1">
      <c r="A982" s="110" t="s">
        <v>1226</v>
      </c>
      <c r="B982" s="19" t="str">
        <f t="array" ref="B982">XLOOKUP(A982,Data!F:F,Data!G:G)</f>
        <v>J1B</v>
      </c>
      <c r="C982" s="19" t="str">
        <f t="shared" si="3"/>
        <v>J126</v>
      </c>
      <c r="D982" s="19" t="str">
        <f t="array" ref="D982">XLOOKUP(A982,Data!F:F,Data!C:C)</f>
        <v/>
      </c>
      <c r="E982" s="19" t="str">
        <f t="array" ref="E982">XLOOKUP(A982,Data!F:F,Data!H:H)</f>
        <v>CF</v>
      </c>
      <c r="F982" s="106" t="str">
        <f>SUMIFS(Data!J:J,Data!F:F,A982)</f>
        <v>1</v>
      </c>
      <c r="G982" s="106" t="str">
        <f>SUMIFS(Cast!C:C,CastElements,A982)</f>
        <v>1</v>
      </c>
      <c r="H982" s="106" t="str">
        <f t="shared" si="4"/>
        <v>0</v>
      </c>
      <c r="I982" s="106" t="str">
        <f>SUMIFS(Del!C:C,Del!B:B,A982)</f>
        <v>0</v>
      </c>
      <c r="J982" s="106" t="str">
        <f t="shared" si="5"/>
        <v>1</v>
      </c>
      <c r="K982" s="106" t="str">
        <f t="shared" si="6"/>
        <v>1</v>
      </c>
      <c r="L982" s="106"/>
      <c r="M982" s="106" t="str">
        <f>SUMIFS(Ere!C:C,Ere!B:B,A982)</f>
        <v>0</v>
      </c>
      <c r="N982" s="106" t="str">
        <f t="shared" si="7"/>
        <v>1</v>
      </c>
      <c r="O982" s="107" t="str">
        <f t="array" ref="O982">XLOOKUP(A982,Data!F:F,Data!O:O)</f>
        <v>  0.50 </v>
      </c>
      <c r="P982" s="107" t="str">
        <f t="shared" si="8"/>
        <v>  1.26 </v>
      </c>
      <c r="Q982" s="27"/>
    </row>
    <row r="983" ht="15.75" customHeight="1">
      <c r="A983" s="110" t="s">
        <v>1227</v>
      </c>
      <c r="B983" s="19" t="str">
        <f t="array" ref="B983">XLOOKUP(A983,Data!F:F,Data!G:G)</f>
        <v>J1B</v>
      </c>
      <c r="C983" s="19" t="str">
        <f t="shared" si="3"/>
        <v>J127</v>
      </c>
      <c r="D983" s="19" t="str">
        <f t="array" ref="D983">XLOOKUP(A983,Data!F:F,Data!C:C)</f>
        <v/>
      </c>
      <c r="E983" s="19" t="str">
        <f t="array" ref="E983">XLOOKUP(A983,Data!F:F,Data!H:H)</f>
        <v>BW</v>
      </c>
      <c r="F983" s="106" t="str">
        <f>SUMIFS(Data!J:J,Data!F:F,A983)</f>
        <v>1</v>
      </c>
      <c r="G983" s="106" t="str">
        <f>SUMIFS(Cast!C:C,CastElements,A983)</f>
        <v>1</v>
      </c>
      <c r="H983" s="106" t="str">
        <f t="shared" si="4"/>
        <v>0</v>
      </c>
      <c r="I983" s="106" t="str">
        <f>SUMIFS(Del!C:C,Del!B:B,A983)</f>
        <v>1</v>
      </c>
      <c r="J983" s="106" t="str">
        <f t="shared" si="5"/>
        <v>0</v>
      </c>
      <c r="K983" s="106" t="str">
        <f t="shared" si="6"/>
        <v>0</v>
      </c>
      <c r="L983" s="106"/>
      <c r="M983" s="106" t="str">
        <f>SUMIFS(Ere!C:C,Ere!B:B,A983)</f>
        <v>1</v>
      </c>
      <c r="N983" s="106" t="str">
        <f t="shared" si="7"/>
        <v>0</v>
      </c>
      <c r="O983" s="107" t="str">
        <f t="array" ref="O983">XLOOKUP(A983,Data!F:F,Data!O:O)</f>
        <v>  1.99 </v>
      </c>
      <c r="P983" s="107" t="str">
        <f t="shared" si="8"/>
        <v>  4.97 </v>
      </c>
      <c r="Q983" s="27"/>
    </row>
    <row r="984" ht="15.75" customHeight="1">
      <c r="A984" s="110" t="s">
        <v>1228</v>
      </c>
      <c r="B984" s="19" t="str">
        <f t="array" ref="B984">XLOOKUP(A984,Data!F:F,Data!G:G)</f>
        <v>J1B</v>
      </c>
      <c r="C984" s="19" t="str">
        <f t="shared" si="3"/>
        <v>J127</v>
      </c>
      <c r="D984" s="19" t="str">
        <f t="array" ref="D984">XLOOKUP(A984,Data!F:F,Data!C:C)</f>
        <v>EXT</v>
      </c>
      <c r="E984" s="19" t="str">
        <f t="array" ref="E984">XLOOKUP(A984,Data!F:F,Data!H:H)</f>
        <v>BW</v>
      </c>
      <c r="F984" s="106" t="str">
        <f>SUMIFS(Data!J:J,Data!F:F,A984)</f>
        <v>1</v>
      </c>
      <c r="G984" s="106" t="str">
        <f>SUMIFS(Cast!C:C,CastElements,A984)</f>
        <v>1</v>
      </c>
      <c r="H984" s="106" t="str">
        <f t="shared" si="4"/>
        <v>0</v>
      </c>
      <c r="I984" s="106" t="str">
        <f>SUMIFS(Del!C:C,Del!B:B,A984)</f>
        <v>0</v>
      </c>
      <c r="J984" s="106" t="str">
        <f t="shared" si="5"/>
        <v>1</v>
      </c>
      <c r="K984" s="106" t="str">
        <f t="shared" si="6"/>
        <v>1</v>
      </c>
      <c r="L984" s="106"/>
      <c r="M984" s="106" t="str">
        <f>SUMIFS(Ere!C:C,Ere!B:B,A984)</f>
        <v>0</v>
      </c>
      <c r="N984" s="106" t="str">
        <f t="shared" si="7"/>
        <v>1</v>
      </c>
      <c r="O984" s="107" t="str">
        <f t="array" ref="O984">XLOOKUP(A984,Data!F:F,Data!O:O)</f>
        <v>  1.51 </v>
      </c>
      <c r="P984" s="107" t="str">
        <f t="shared" si="8"/>
        <v>  3.78 </v>
      </c>
      <c r="Q984" s="27"/>
    </row>
    <row r="985" ht="15.75" customHeight="1">
      <c r="A985" s="110" t="s">
        <v>1229</v>
      </c>
      <c r="B985" s="19" t="str">
        <f t="array" ref="B985">XLOOKUP(A985,Data!F:F,Data!G:G)</f>
        <v>J1B</v>
      </c>
      <c r="C985" s="19" t="str">
        <f t="shared" si="3"/>
        <v>J127</v>
      </c>
      <c r="D985" s="19" t="str">
        <f t="array" ref="D985">XLOOKUP(A985,Data!F:F,Data!C:C)</f>
        <v>EXT</v>
      </c>
      <c r="E985" s="19" t="str">
        <f t="array" ref="E985">XLOOKUP(A985,Data!F:F,Data!H:H)</f>
        <v>BW</v>
      </c>
      <c r="F985" s="106" t="str">
        <f>SUMIFS(Data!J:J,Data!F:F,A985)</f>
        <v>1</v>
      </c>
      <c r="G985" s="106" t="str">
        <f>SUMIFS(Cast!C:C,CastElements,A985)</f>
        <v>1</v>
      </c>
      <c r="H985" s="106" t="str">
        <f t="shared" si="4"/>
        <v>0</v>
      </c>
      <c r="I985" s="106" t="str">
        <f>SUMIFS(Del!C:C,Del!B:B,A985)</f>
        <v>0</v>
      </c>
      <c r="J985" s="106" t="str">
        <f t="shared" si="5"/>
        <v>1</v>
      </c>
      <c r="K985" s="106" t="str">
        <f t="shared" si="6"/>
        <v>1</v>
      </c>
      <c r="L985" s="106"/>
      <c r="M985" s="106" t="str">
        <f>SUMIFS(Ere!C:C,Ere!B:B,A985)</f>
        <v>0</v>
      </c>
      <c r="N985" s="106" t="str">
        <f t="shared" si="7"/>
        <v>1</v>
      </c>
      <c r="O985" s="107" t="str">
        <f t="array" ref="O985">XLOOKUP(A985,Data!F:F,Data!O:O)</f>
        <v>  0.84 </v>
      </c>
      <c r="P985" s="107" t="str">
        <f t="shared" si="8"/>
        <v>  2.10 </v>
      </c>
      <c r="Q985" s="27"/>
    </row>
    <row r="986" ht="15.75" customHeight="1">
      <c r="A986" s="110" t="s">
        <v>1230</v>
      </c>
      <c r="B986" s="19" t="str">
        <f t="array" ref="B986">XLOOKUP(A986,Data!F:F,Data!G:G)</f>
        <v>J1B</v>
      </c>
      <c r="C986" s="19" t="str">
        <f t="shared" si="3"/>
        <v>J127</v>
      </c>
      <c r="D986" s="19" t="str">
        <f t="array" ref="D986">XLOOKUP(A986,Data!F:F,Data!C:C)</f>
        <v>EXT</v>
      </c>
      <c r="E986" s="19" t="str">
        <f t="array" ref="E986">XLOOKUP(A986,Data!F:F,Data!H:H)</f>
        <v>BW</v>
      </c>
      <c r="F986" s="106" t="str">
        <f>SUMIFS(Data!J:J,Data!F:F,A986)</f>
        <v>1</v>
      </c>
      <c r="G986" s="106" t="str">
        <f>SUMIFS(Cast!C:C,CastElements,A986)</f>
        <v>1</v>
      </c>
      <c r="H986" s="106" t="str">
        <f t="shared" si="4"/>
        <v>0</v>
      </c>
      <c r="I986" s="106" t="str">
        <f>SUMIFS(Del!C:C,Del!B:B,A986)</f>
        <v>0</v>
      </c>
      <c r="J986" s="106" t="str">
        <f t="shared" si="5"/>
        <v>1</v>
      </c>
      <c r="K986" s="106" t="str">
        <f t="shared" si="6"/>
        <v>1</v>
      </c>
      <c r="L986" s="106"/>
      <c r="M986" s="106" t="str">
        <f>SUMIFS(Ere!C:C,Ere!B:B,A986)</f>
        <v>0</v>
      </c>
      <c r="N986" s="106" t="str">
        <f t="shared" si="7"/>
        <v>1</v>
      </c>
      <c r="O986" s="107" t="str">
        <f t="array" ref="O986">XLOOKUP(A986,Data!F:F,Data!O:O)</f>
        <v>  1.23 </v>
      </c>
      <c r="P986" s="107" t="str">
        <f t="shared" si="8"/>
        <v>  3.07 </v>
      </c>
      <c r="Q986" s="27"/>
    </row>
    <row r="987" ht="15.75" customHeight="1">
      <c r="A987" s="110" t="s">
        <v>1231</v>
      </c>
      <c r="B987" s="19" t="str">
        <f t="array" ref="B987">XLOOKUP(A987,Data!F:F,Data!G:G)</f>
        <v>J1B</v>
      </c>
      <c r="C987" s="19" t="str">
        <f t="shared" si="3"/>
        <v>J127</v>
      </c>
      <c r="D987" s="19" t="str">
        <f t="array" ref="D987">XLOOKUP(A987,Data!F:F,Data!C:C)</f>
        <v>EXT</v>
      </c>
      <c r="E987" s="19" t="str">
        <f t="array" ref="E987">XLOOKUP(A987,Data!F:F,Data!H:H)</f>
        <v>BW</v>
      </c>
      <c r="F987" s="106" t="str">
        <f>SUMIFS(Data!J:J,Data!F:F,A987)</f>
        <v>1</v>
      </c>
      <c r="G987" s="106" t="str">
        <f>SUMIFS(Cast!C:C,CastElements,A987)</f>
        <v>1</v>
      </c>
      <c r="H987" s="106" t="str">
        <f t="shared" si="4"/>
        <v>0</v>
      </c>
      <c r="I987" s="106" t="str">
        <f>SUMIFS(Del!C:C,Del!B:B,A987)</f>
        <v>0</v>
      </c>
      <c r="J987" s="106" t="str">
        <f t="shared" si="5"/>
        <v>1</v>
      </c>
      <c r="K987" s="106" t="str">
        <f t="shared" si="6"/>
        <v>1</v>
      </c>
      <c r="L987" s="106"/>
      <c r="M987" s="106" t="str">
        <f>SUMIFS(Ere!C:C,Ere!B:B,A987)</f>
        <v>0</v>
      </c>
      <c r="N987" s="106" t="str">
        <f t="shared" si="7"/>
        <v>1</v>
      </c>
      <c r="O987" s="107" t="str">
        <f t="array" ref="O987">XLOOKUP(A987,Data!F:F,Data!O:O)</f>
        <v>  1.53 </v>
      </c>
      <c r="P987" s="107" t="str">
        <f t="shared" si="8"/>
        <v>  3.82 </v>
      </c>
      <c r="Q987" s="27"/>
    </row>
    <row r="988" ht="15.75" customHeight="1">
      <c r="A988" s="110" t="s">
        <v>1232</v>
      </c>
      <c r="B988" s="19" t="str">
        <f t="array" ref="B988">XLOOKUP(A988,Data!F:F,Data!G:G)</f>
        <v>J1B</v>
      </c>
      <c r="C988" s="19" t="str">
        <f t="shared" si="3"/>
        <v>J127</v>
      </c>
      <c r="D988" s="19" t="str">
        <f t="array" ref="D988">XLOOKUP(A988,Data!F:F,Data!C:C)</f>
        <v/>
      </c>
      <c r="E988" s="19" t="str">
        <f t="array" ref="E988">XLOOKUP(A988,Data!F:F,Data!H:H)</f>
        <v>BW</v>
      </c>
      <c r="F988" s="106" t="str">
        <f>SUMIFS(Data!J:J,Data!F:F,A988)</f>
        <v>1</v>
      </c>
      <c r="G988" s="106" t="str">
        <f>SUMIFS(Cast!C:C,CastElements,A988)</f>
        <v>1</v>
      </c>
      <c r="H988" s="106" t="str">
        <f t="shared" si="4"/>
        <v>0</v>
      </c>
      <c r="I988" s="106" t="str">
        <f>SUMIFS(Del!C:C,Del!B:B,A988)</f>
        <v>1</v>
      </c>
      <c r="J988" s="106" t="str">
        <f t="shared" si="5"/>
        <v>0</v>
      </c>
      <c r="K988" s="106" t="str">
        <f t="shared" si="6"/>
        <v>0</v>
      </c>
      <c r="L988" s="106"/>
      <c r="M988" s="106" t="str">
        <f>SUMIFS(Ere!C:C,Ere!B:B,A988)</f>
        <v>1</v>
      </c>
      <c r="N988" s="106" t="str">
        <f t="shared" si="7"/>
        <v>0</v>
      </c>
      <c r="O988" s="107" t="str">
        <f t="array" ref="O988">XLOOKUP(A988,Data!F:F,Data!O:O)</f>
        <v>  1.77 </v>
      </c>
      <c r="P988" s="107" t="str">
        <f t="shared" si="8"/>
        <v>  4.42 </v>
      </c>
      <c r="Q988" s="27"/>
    </row>
    <row r="989" ht="15.75" customHeight="1">
      <c r="A989" s="110" t="s">
        <v>1233</v>
      </c>
      <c r="B989" s="19" t="str">
        <f t="array" ref="B989">XLOOKUP(A989,Data!F:F,Data!G:G)</f>
        <v>J1B</v>
      </c>
      <c r="C989" s="19" t="str">
        <f t="shared" si="3"/>
        <v>J127</v>
      </c>
      <c r="D989" s="19" t="str">
        <f t="array" ref="D989">XLOOKUP(A989,Data!F:F,Data!C:C)</f>
        <v/>
      </c>
      <c r="E989" s="19" t="str">
        <f t="array" ref="E989">XLOOKUP(A989,Data!F:F,Data!H:H)</f>
        <v>BW</v>
      </c>
      <c r="F989" s="106" t="str">
        <f>SUMIFS(Data!J:J,Data!F:F,A989)</f>
        <v>1</v>
      </c>
      <c r="G989" s="106" t="str">
        <f>SUMIFS(Cast!C:C,CastElements,A989)</f>
        <v>1</v>
      </c>
      <c r="H989" s="106" t="str">
        <f t="shared" si="4"/>
        <v>0</v>
      </c>
      <c r="I989" s="106" t="str">
        <f>SUMIFS(Del!C:C,Del!B:B,A989)</f>
        <v>1</v>
      </c>
      <c r="J989" s="106" t="str">
        <f t="shared" si="5"/>
        <v>0</v>
      </c>
      <c r="K989" s="106" t="str">
        <f t="shared" si="6"/>
        <v>0</v>
      </c>
      <c r="L989" s="106"/>
      <c r="M989" s="106" t="str">
        <f>SUMIFS(Ere!C:C,Ere!B:B,A989)</f>
        <v>1</v>
      </c>
      <c r="N989" s="106" t="str">
        <f t="shared" si="7"/>
        <v>0</v>
      </c>
      <c r="O989" s="107" t="str">
        <f t="array" ref="O989">XLOOKUP(A989,Data!F:F,Data!O:O)</f>
        <v>  1.77 </v>
      </c>
      <c r="P989" s="107" t="str">
        <f t="shared" si="8"/>
        <v>  4.42 </v>
      </c>
      <c r="Q989" s="27"/>
    </row>
    <row r="990" ht="15.75" customHeight="1">
      <c r="A990" s="110" t="s">
        <v>1234</v>
      </c>
      <c r="B990" s="19" t="str">
        <f t="array" ref="B990">XLOOKUP(A990,Data!F:F,Data!G:G)</f>
        <v>J1B</v>
      </c>
      <c r="C990" s="19" t="str">
        <f t="shared" si="3"/>
        <v>J127</v>
      </c>
      <c r="D990" s="19" t="str">
        <f t="array" ref="D990">XLOOKUP(A990,Data!F:F,Data!C:C)</f>
        <v/>
      </c>
      <c r="E990" s="19" t="str">
        <f t="array" ref="E990">XLOOKUP(A990,Data!F:F,Data!H:H)</f>
        <v>BW</v>
      </c>
      <c r="F990" s="106" t="str">
        <f>SUMIFS(Data!J:J,Data!F:F,A990)</f>
        <v>1</v>
      </c>
      <c r="G990" s="106" t="str">
        <f>SUMIFS(Cast!C:C,CastElements,A990)</f>
        <v>1</v>
      </c>
      <c r="H990" s="106" t="str">
        <f t="shared" si="4"/>
        <v>0</v>
      </c>
      <c r="I990" s="106" t="str">
        <f>SUMIFS(Del!C:C,Del!B:B,A990)</f>
        <v>1</v>
      </c>
      <c r="J990" s="106" t="str">
        <f t="shared" si="5"/>
        <v>0</v>
      </c>
      <c r="K990" s="106" t="str">
        <f t="shared" si="6"/>
        <v>0</v>
      </c>
      <c r="L990" s="106"/>
      <c r="M990" s="106" t="str">
        <f>SUMIFS(Ere!C:C,Ere!B:B,A990)</f>
        <v>1</v>
      </c>
      <c r="N990" s="106" t="str">
        <f t="shared" si="7"/>
        <v>0</v>
      </c>
      <c r="O990" s="107" t="str">
        <f t="array" ref="O990">XLOOKUP(A990,Data!F:F,Data!O:O)</f>
        <v>  1.77 </v>
      </c>
      <c r="P990" s="107" t="str">
        <f t="shared" si="8"/>
        <v>  4.42 </v>
      </c>
      <c r="Q990" s="27"/>
    </row>
    <row r="991" ht="15.75" customHeight="1">
      <c r="A991" s="110" t="s">
        <v>1235</v>
      </c>
      <c r="B991" s="19" t="str">
        <f t="array" ref="B991">XLOOKUP(A991,Data!F:F,Data!G:G)</f>
        <v>J1B</v>
      </c>
      <c r="C991" s="19" t="str">
        <f t="shared" si="3"/>
        <v>J127</v>
      </c>
      <c r="D991" s="19" t="str">
        <f t="array" ref="D991">XLOOKUP(A991,Data!F:F,Data!C:C)</f>
        <v/>
      </c>
      <c r="E991" s="19" t="str">
        <f t="array" ref="E991">XLOOKUP(A991,Data!F:F,Data!H:H)</f>
        <v>BW</v>
      </c>
      <c r="F991" s="106" t="str">
        <f>SUMIFS(Data!J:J,Data!F:F,A991)</f>
        <v>1</v>
      </c>
      <c r="G991" s="106" t="str">
        <f>SUMIFS(Cast!C:C,CastElements,A991)</f>
        <v>1</v>
      </c>
      <c r="H991" s="106" t="str">
        <f t="shared" si="4"/>
        <v>0</v>
      </c>
      <c r="I991" s="106" t="str">
        <f>SUMIFS(Del!C:C,Del!B:B,A991)</f>
        <v>1</v>
      </c>
      <c r="J991" s="106" t="str">
        <f t="shared" si="5"/>
        <v>0</v>
      </c>
      <c r="K991" s="106" t="str">
        <f t="shared" si="6"/>
        <v>0</v>
      </c>
      <c r="L991" s="106"/>
      <c r="M991" s="106" t="str">
        <f>SUMIFS(Ere!C:C,Ere!B:B,A991)</f>
        <v>1</v>
      </c>
      <c r="N991" s="106" t="str">
        <f t="shared" si="7"/>
        <v>0</v>
      </c>
      <c r="O991" s="107" t="str">
        <f t="array" ref="O991">XLOOKUP(A991,Data!F:F,Data!O:O)</f>
        <v>  1.77 </v>
      </c>
      <c r="P991" s="107" t="str">
        <f t="shared" si="8"/>
        <v>  4.42 </v>
      </c>
      <c r="Q991" s="27"/>
    </row>
    <row r="992" ht="15.75" customHeight="1">
      <c r="A992" s="110" t="s">
        <v>1236</v>
      </c>
      <c r="B992" s="19" t="str">
        <f t="array" ref="B992">XLOOKUP(A992,Data!F:F,Data!G:G)</f>
        <v>J1B</v>
      </c>
      <c r="C992" s="19" t="str">
        <f t="shared" si="3"/>
        <v>J127</v>
      </c>
      <c r="D992" s="19" t="str">
        <f t="array" ref="D992">XLOOKUP(A992,Data!F:F,Data!C:C)</f>
        <v/>
      </c>
      <c r="E992" s="19" t="str">
        <f t="array" ref="E992">XLOOKUP(A992,Data!F:F,Data!H:H)</f>
        <v>BW</v>
      </c>
      <c r="F992" s="106" t="str">
        <f>SUMIFS(Data!J:J,Data!F:F,A992)</f>
        <v>1</v>
      </c>
      <c r="G992" s="106" t="str">
        <f>SUMIFS(Cast!C:C,CastElements,A992)</f>
        <v>1</v>
      </c>
      <c r="H992" s="106" t="str">
        <f t="shared" si="4"/>
        <v>0</v>
      </c>
      <c r="I992" s="106" t="str">
        <f>SUMIFS(Del!C:C,Del!B:B,A992)</f>
        <v>1</v>
      </c>
      <c r="J992" s="106" t="str">
        <f t="shared" si="5"/>
        <v>0</v>
      </c>
      <c r="K992" s="106" t="str">
        <f t="shared" si="6"/>
        <v>0</v>
      </c>
      <c r="L992" s="106"/>
      <c r="M992" s="106" t="str">
        <f>SUMIFS(Ere!C:C,Ere!B:B,A992)</f>
        <v>0</v>
      </c>
      <c r="N992" s="106" t="str">
        <f t="shared" si="7"/>
        <v>1</v>
      </c>
      <c r="O992" s="107" t="str">
        <f t="array" ref="O992">XLOOKUP(A992,Data!F:F,Data!O:O)</f>
        <v>  1.83 </v>
      </c>
      <c r="P992" s="107" t="str">
        <f t="shared" si="8"/>
        <v>  4.57 </v>
      </c>
      <c r="Q992" s="27"/>
    </row>
    <row r="993" ht="15.75" customHeight="1">
      <c r="A993" s="110" t="s">
        <v>1237</v>
      </c>
      <c r="B993" s="19" t="str">
        <f t="array" ref="B993">XLOOKUP(A993,Data!F:F,Data!G:G)</f>
        <v>J1B</v>
      </c>
      <c r="C993" s="19" t="str">
        <f t="shared" si="3"/>
        <v>J127</v>
      </c>
      <c r="D993" s="19" t="str">
        <f t="array" ref="D993">XLOOKUP(A993,Data!F:F,Data!C:C)</f>
        <v/>
      </c>
      <c r="E993" s="19" t="str">
        <f t="array" ref="E993">XLOOKUP(A993,Data!F:F,Data!H:H)</f>
        <v>BW</v>
      </c>
      <c r="F993" s="106" t="str">
        <f>SUMIFS(Data!J:J,Data!F:F,A993)</f>
        <v>1</v>
      </c>
      <c r="G993" s="106" t="str">
        <f>SUMIFS(Cast!C:C,CastElements,A993)</f>
        <v>1</v>
      </c>
      <c r="H993" s="106" t="str">
        <f t="shared" si="4"/>
        <v>0</v>
      </c>
      <c r="I993" s="106" t="str">
        <f>SUMIFS(Del!C:C,Del!B:B,A993)</f>
        <v>0</v>
      </c>
      <c r="J993" s="106" t="str">
        <f t="shared" si="5"/>
        <v>1</v>
      </c>
      <c r="K993" s="106" t="str">
        <f t="shared" si="6"/>
        <v>1</v>
      </c>
      <c r="L993" s="106"/>
      <c r="M993" s="106" t="str">
        <f>SUMIFS(Ere!C:C,Ere!B:B,A993)</f>
        <v>0</v>
      </c>
      <c r="N993" s="106" t="str">
        <f t="shared" si="7"/>
        <v>1</v>
      </c>
      <c r="O993" s="107" t="str">
        <f t="array" ref="O993">XLOOKUP(A993,Data!F:F,Data!O:O)</f>
        <v>  1.83 </v>
      </c>
      <c r="P993" s="107" t="str">
        <f t="shared" si="8"/>
        <v>  4.57 </v>
      </c>
      <c r="Q993" s="27"/>
    </row>
    <row r="994" ht="15.75" customHeight="1">
      <c r="A994" s="110" t="s">
        <v>1238</v>
      </c>
      <c r="B994" s="19" t="str">
        <f t="array" ref="B994">XLOOKUP(A994,Data!F:F,Data!G:G)</f>
        <v>J1B</v>
      </c>
      <c r="C994" s="19" t="str">
        <f t="shared" si="3"/>
        <v>J127</v>
      </c>
      <c r="D994" s="19" t="str">
        <f t="array" ref="D994">XLOOKUP(A994,Data!F:F,Data!C:C)</f>
        <v/>
      </c>
      <c r="E994" s="19" t="str">
        <f t="array" ref="E994">XLOOKUP(A994,Data!F:F,Data!H:H)</f>
        <v>BW</v>
      </c>
      <c r="F994" s="106" t="str">
        <f>SUMIFS(Data!J:J,Data!F:F,A994)</f>
        <v>1</v>
      </c>
      <c r="G994" s="106" t="str">
        <f>SUMIFS(Cast!C:C,CastElements,A994)</f>
        <v>1</v>
      </c>
      <c r="H994" s="106" t="str">
        <f t="shared" si="4"/>
        <v>0</v>
      </c>
      <c r="I994" s="106" t="str">
        <f>SUMIFS(Del!C:C,Del!B:B,A994)</f>
        <v>1</v>
      </c>
      <c r="J994" s="106" t="str">
        <f t="shared" si="5"/>
        <v>0</v>
      </c>
      <c r="K994" s="106" t="str">
        <f t="shared" si="6"/>
        <v>0</v>
      </c>
      <c r="L994" s="106"/>
      <c r="M994" s="106" t="str">
        <f>SUMIFS(Ere!C:C,Ere!B:B,A994)</f>
        <v>0</v>
      </c>
      <c r="N994" s="106" t="str">
        <f t="shared" si="7"/>
        <v>1</v>
      </c>
      <c r="O994" s="107" t="str">
        <f t="array" ref="O994">XLOOKUP(A994,Data!F:F,Data!O:O)</f>
        <v>  1.83 </v>
      </c>
      <c r="P994" s="107" t="str">
        <f t="shared" si="8"/>
        <v>  4.57 </v>
      </c>
      <c r="Q994" s="27"/>
    </row>
    <row r="995" ht="15.75" customHeight="1">
      <c r="A995" s="110" t="s">
        <v>1239</v>
      </c>
      <c r="B995" s="19" t="str">
        <f t="array" ref="B995">XLOOKUP(A995,Data!F:F,Data!G:G)</f>
        <v>J1B</v>
      </c>
      <c r="C995" s="19" t="str">
        <f t="shared" si="3"/>
        <v>J127</v>
      </c>
      <c r="D995" s="19" t="str">
        <f t="array" ref="D995">XLOOKUP(A995,Data!F:F,Data!C:C)</f>
        <v/>
      </c>
      <c r="E995" s="19" t="str">
        <f t="array" ref="E995">XLOOKUP(A995,Data!F:F,Data!H:H)</f>
        <v>BW</v>
      </c>
      <c r="F995" s="106" t="str">
        <f>SUMIFS(Data!J:J,Data!F:F,A995)</f>
        <v>1</v>
      </c>
      <c r="G995" s="106" t="str">
        <f>SUMIFS(Cast!C:C,CastElements,A995)</f>
        <v>1</v>
      </c>
      <c r="H995" s="106" t="str">
        <f t="shared" si="4"/>
        <v>0</v>
      </c>
      <c r="I995" s="106" t="str">
        <f>SUMIFS(Del!C:C,Del!B:B,A995)</f>
        <v>0</v>
      </c>
      <c r="J995" s="106" t="str">
        <f t="shared" si="5"/>
        <v>1</v>
      </c>
      <c r="K995" s="106" t="str">
        <f t="shared" si="6"/>
        <v>1</v>
      </c>
      <c r="L995" s="106"/>
      <c r="M995" s="106" t="str">
        <f>SUMIFS(Ere!C:C,Ere!B:B,A995)</f>
        <v>0</v>
      </c>
      <c r="N995" s="106" t="str">
        <f t="shared" si="7"/>
        <v>1</v>
      </c>
      <c r="O995" s="107" t="str">
        <f t="array" ref="O995">XLOOKUP(A995,Data!F:F,Data!O:O)</f>
        <v>  0.41 </v>
      </c>
      <c r="P995" s="107" t="str">
        <f t="shared" si="8"/>
        <v>  1.03 </v>
      </c>
      <c r="Q995" s="27"/>
    </row>
    <row r="996" ht="15.75" customHeight="1">
      <c r="A996" s="110" t="s">
        <v>1240</v>
      </c>
      <c r="B996" s="19" t="str">
        <f t="array" ref="B996">XLOOKUP(A996,Data!F:F,Data!G:G)</f>
        <v>J1B</v>
      </c>
      <c r="C996" s="19" t="str">
        <f t="shared" si="3"/>
        <v>J127</v>
      </c>
      <c r="D996" s="19" t="str">
        <f t="array" ref="D996">XLOOKUP(A996,Data!F:F,Data!C:C)</f>
        <v/>
      </c>
      <c r="E996" s="19" t="str">
        <f t="array" ref="E996">XLOOKUP(A996,Data!F:F,Data!H:H)</f>
        <v>BW</v>
      </c>
      <c r="F996" s="106" t="str">
        <f>SUMIFS(Data!J:J,Data!F:F,A996)</f>
        <v>1</v>
      </c>
      <c r="G996" s="106" t="str">
        <f>SUMIFS(Cast!C:C,CastElements,A996)</f>
        <v>1</v>
      </c>
      <c r="H996" s="106" t="str">
        <f t="shared" si="4"/>
        <v>0</v>
      </c>
      <c r="I996" s="106" t="str">
        <f>SUMIFS(Del!C:C,Del!B:B,A996)</f>
        <v>0</v>
      </c>
      <c r="J996" s="106" t="str">
        <f t="shared" si="5"/>
        <v>1</v>
      </c>
      <c r="K996" s="106" t="str">
        <f t="shared" si="6"/>
        <v>1</v>
      </c>
      <c r="L996" s="106"/>
      <c r="M996" s="106" t="str">
        <f>SUMIFS(Ere!C:C,Ere!B:B,A996)</f>
        <v>0</v>
      </c>
      <c r="N996" s="106" t="str">
        <f t="shared" si="7"/>
        <v>1</v>
      </c>
      <c r="O996" s="107" t="str">
        <f t="array" ref="O996">XLOOKUP(A996,Data!F:F,Data!O:O)</f>
        <v>  0.33 </v>
      </c>
      <c r="P996" s="107" t="str">
        <f t="shared" si="8"/>
        <v>  0.83 </v>
      </c>
      <c r="Q996" s="27"/>
    </row>
    <row r="997" ht="15.75" customHeight="1">
      <c r="A997" s="110" t="s">
        <v>1241</v>
      </c>
      <c r="B997" s="19" t="str">
        <f t="array" ref="B997">XLOOKUP(A997,Data!F:F,Data!G:G)</f>
        <v>J1B</v>
      </c>
      <c r="C997" s="19" t="str">
        <f t="shared" si="3"/>
        <v>J127</v>
      </c>
      <c r="D997" s="19" t="str">
        <f t="array" ref="D997">XLOOKUP(A997,Data!F:F,Data!C:C)</f>
        <v/>
      </c>
      <c r="E997" s="19" t="str">
        <f t="array" ref="E997">XLOOKUP(A997,Data!F:F,Data!H:H)</f>
        <v>CF</v>
      </c>
      <c r="F997" s="106" t="str">
        <f>SUMIFS(Data!J:J,Data!F:F,A997)</f>
        <v>1</v>
      </c>
      <c r="G997" s="106" t="str">
        <f>SUMIFS(Cast!C:C,CastElements,A997)</f>
        <v>1</v>
      </c>
      <c r="H997" s="106" t="str">
        <f t="shared" si="4"/>
        <v>0</v>
      </c>
      <c r="I997" s="106" t="str">
        <f>SUMIFS(Del!C:C,Del!B:B,A997)</f>
        <v>0</v>
      </c>
      <c r="J997" s="106" t="str">
        <f t="shared" si="5"/>
        <v>1</v>
      </c>
      <c r="K997" s="106" t="str">
        <f t="shared" si="6"/>
        <v>1</v>
      </c>
      <c r="L997" s="106"/>
      <c r="M997" s="106" t="str">
        <f>SUMIFS(Ere!C:C,Ere!B:B,A997)</f>
        <v>0</v>
      </c>
      <c r="N997" s="106" t="str">
        <f t="shared" si="7"/>
        <v>1</v>
      </c>
      <c r="O997" s="107" t="str">
        <f t="array" ref="O997">XLOOKUP(A997,Data!F:F,Data!O:O)</f>
        <v>  0.45 </v>
      </c>
      <c r="P997" s="107" t="str">
        <f t="shared" si="8"/>
        <v>  1.11 </v>
      </c>
      <c r="Q997" s="27"/>
    </row>
    <row r="998" ht="15.75" customHeight="1">
      <c r="A998" s="105" t="s">
        <v>1242</v>
      </c>
      <c r="B998" s="19" t="str">
        <f t="array" ref="B998">XLOOKUP(A998,Data!F:F,Data!G:G)</f>
        <v>J1B</v>
      </c>
      <c r="C998" s="19" t="str">
        <f t="shared" si="3"/>
        <v>J127</v>
      </c>
      <c r="D998" s="19" t="str">
        <f t="array" ref="D998">XLOOKUP(A998,Data!F:F,Data!C:C)</f>
        <v/>
      </c>
      <c r="E998" s="19" t="str">
        <f t="array" ref="E998">XLOOKUP(A998,Data!F:F,Data!H:H)</f>
        <v>BW</v>
      </c>
      <c r="F998" s="106" t="str">
        <f>SUMIFS(Data!J:J,Data!F:F,A998)</f>
        <v>1</v>
      </c>
      <c r="G998" s="106" t="str">
        <f>SUMIFS(Cast!C:C,CastElements,A998)</f>
        <v>1</v>
      </c>
      <c r="H998" s="106" t="str">
        <f t="shared" si="4"/>
        <v>0</v>
      </c>
      <c r="I998" s="106" t="str">
        <f>SUMIFS(Del!C:C,Del!B:B,A998)</f>
        <v>1</v>
      </c>
      <c r="J998" s="106" t="str">
        <f t="shared" si="5"/>
        <v>0</v>
      </c>
      <c r="K998" s="106" t="str">
        <f t="shared" si="6"/>
        <v>0</v>
      </c>
      <c r="L998" s="106"/>
      <c r="M998" s="106" t="str">
        <f>SUMIFS(Ere!C:C,Ere!B:B,A998)</f>
        <v>0</v>
      </c>
      <c r="N998" s="106" t="str">
        <f t="shared" si="7"/>
        <v>1</v>
      </c>
      <c r="O998" s="107" t="str">
        <f t="array" ref="O998">XLOOKUP(A998,Data!F:F,Data!O:O)</f>
        <v>  1.47 </v>
      </c>
      <c r="P998" s="107" t="str">
        <f t="shared" si="8"/>
        <v>  3.67 </v>
      </c>
      <c r="Q998" s="27"/>
    </row>
    <row r="999" ht="15.75" customHeight="1">
      <c r="A999" s="105" t="s">
        <v>1243</v>
      </c>
      <c r="B999" s="19" t="str">
        <f t="array" ref="B999">XLOOKUP(A999,Data!F:F,Data!G:G)</f>
        <v>J1B</v>
      </c>
      <c r="C999" s="19" t="str">
        <f t="shared" si="3"/>
        <v>J127</v>
      </c>
      <c r="D999" s="19" t="str">
        <f t="array" ref="D999">XLOOKUP(A999,Data!F:F,Data!C:C)</f>
        <v/>
      </c>
      <c r="E999" s="19" t="str">
        <f t="array" ref="E999">XLOOKUP(A999,Data!F:F,Data!H:H)</f>
        <v>BW</v>
      </c>
      <c r="F999" s="106" t="str">
        <f>SUMIFS(Data!J:J,Data!F:F,A999)</f>
        <v>1</v>
      </c>
      <c r="G999" s="106" t="str">
        <f>SUMIFS(Cast!C:C,CastElements,A999)</f>
        <v>1</v>
      </c>
      <c r="H999" s="106" t="str">
        <f t="shared" si="4"/>
        <v>0</v>
      </c>
      <c r="I999" s="106" t="str">
        <f>SUMIFS(Del!C:C,Del!B:B,A999)</f>
        <v>1</v>
      </c>
      <c r="J999" s="106" t="str">
        <f t="shared" si="5"/>
        <v>0</v>
      </c>
      <c r="K999" s="106" t="str">
        <f t="shared" si="6"/>
        <v>0</v>
      </c>
      <c r="L999" s="106"/>
      <c r="M999" s="106" t="str">
        <f>SUMIFS(Ere!C:C,Ere!B:B,A999)</f>
        <v>0</v>
      </c>
      <c r="N999" s="106" t="str">
        <f t="shared" si="7"/>
        <v>1</v>
      </c>
      <c r="O999" s="107" t="str">
        <f t="array" ref="O999">XLOOKUP(A999,Data!F:F,Data!O:O)</f>
        <v>  1.47 </v>
      </c>
      <c r="P999" s="107" t="str">
        <f t="shared" si="8"/>
        <v>  3.67 </v>
      </c>
      <c r="Q999" s="27"/>
    </row>
    <row r="1000" ht="15.75" customHeight="1">
      <c r="A1000" s="110" t="s">
        <v>1244</v>
      </c>
      <c r="B1000" s="19" t="str">
        <f t="array" ref="B1000">XLOOKUP(A1000,Data!F:F,Data!G:G)</f>
        <v>J1B</v>
      </c>
      <c r="C1000" s="19" t="str">
        <f t="shared" si="3"/>
        <v>J128</v>
      </c>
      <c r="D1000" s="19" t="str">
        <f t="array" ref="D1000">XLOOKUP(A1000,Data!F:F,Data!C:C)</f>
        <v/>
      </c>
      <c r="E1000" s="19" t="str">
        <f t="array" ref="E1000">XLOOKUP(A1000,Data!F:F,Data!H:H)</f>
        <v>BW</v>
      </c>
      <c r="F1000" s="106" t="str">
        <f>SUMIFS(Data!J:J,Data!F:F,A1000)</f>
        <v>1</v>
      </c>
      <c r="G1000" s="106" t="str">
        <f>SUMIFS(Cast!C:C,CastElements,A1000)</f>
        <v>1</v>
      </c>
      <c r="H1000" s="106" t="str">
        <f t="shared" si="4"/>
        <v>0</v>
      </c>
      <c r="I1000" s="106" t="str">
        <f>SUMIFS(Del!C:C,Del!B:B,A1000)</f>
        <v>1</v>
      </c>
      <c r="J1000" s="106" t="str">
        <f t="shared" si="5"/>
        <v>0</v>
      </c>
      <c r="K1000" s="106" t="str">
        <f t="shared" si="6"/>
        <v>0</v>
      </c>
      <c r="L1000" s="106"/>
      <c r="M1000" s="106" t="str">
        <f>SUMIFS(Ere!C:C,Ere!B:B,A1000)</f>
        <v>1</v>
      </c>
      <c r="N1000" s="106" t="str">
        <f t="shared" si="7"/>
        <v>0</v>
      </c>
      <c r="O1000" s="107" t="str">
        <f t="array" ref="O1000">XLOOKUP(A1000,Data!F:F,Data!O:O)</f>
        <v>  1.95 </v>
      </c>
      <c r="P1000" s="107" t="str">
        <f t="shared" si="8"/>
        <v>  4.87 </v>
      </c>
      <c r="Q1000" s="27"/>
    </row>
    <row r="1001" ht="15.75" customHeight="1">
      <c r="A1001" s="110" t="s">
        <v>1245</v>
      </c>
      <c r="B1001" s="19" t="str">
        <f t="array" ref="B1001">XLOOKUP(A1001,Data!F:F,Data!G:G)</f>
        <v>J1B</v>
      </c>
      <c r="C1001" s="19" t="str">
        <f t="shared" si="3"/>
        <v>J128</v>
      </c>
      <c r="D1001" s="19" t="str">
        <f t="array" ref="D1001">XLOOKUP(A1001,Data!F:F,Data!C:C)</f>
        <v/>
      </c>
      <c r="E1001" s="19" t="str">
        <f t="array" ref="E1001">XLOOKUP(A1001,Data!F:F,Data!H:H)</f>
        <v>BW</v>
      </c>
      <c r="F1001" s="106" t="str">
        <f>SUMIFS(Data!J:J,Data!F:F,A1001)</f>
        <v>1</v>
      </c>
      <c r="G1001" s="106" t="str">
        <f>SUMIFS(Cast!C:C,CastElements,A1001)</f>
        <v>1</v>
      </c>
      <c r="H1001" s="106" t="str">
        <f t="shared" si="4"/>
        <v>0</v>
      </c>
      <c r="I1001" s="106" t="str">
        <f>SUMIFS(Del!C:C,Del!B:B,A1001)</f>
        <v>1</v>
      </c>
      <c r="J1001" s="106" t="str">
        <f t="shared" si="5"/>
        <v>0</v>
      </c>
      <c r="K1001" s="106" t="str">
        <f t="shared" si="6"/>
        <v>0</v>
      </c>
      <c r="L1001" s="106"/>
      <c r="M1001" s="106" t="str">
        <f>SUMIFS(Ere!C:C,Ere!B:B,A1001)</f>
        <v>1</v>
      </c>
      <c r="N1001" s="106" t="str">
        <f t="shared" si="7"/>
        <v>0</v>
      </c>
      <c r="O1001" s="107" t="str">
        <f t="array" ref="O1001">XLOOKUP(A1001,Data!F:F,Data!O:O)</f>
        <v>  1.79 </v>
      </c>
      <c r="P1001" s="107" t="str">
        <f t="shared" si="8"/>
        <v>  4.48 </v>
      </c>
      <c r="Q1001" s="27"/>
    </row>
    <row r="1002" ht="15.75" customHeight="1">
      <c r="A1002" s="110" t="s">
        <v>1246</v>
      </c>
      <c r="B1002" s="19" t="str">
        <f t="array" ref="B1002">XLOOKUP(A1002,Data!F:F,Data!G:G)</f>
        <v>J1B</v>
      </c>
      <c r="C1002" s="19" t="str">
        <f t="shared" si="3"/>
        <v>J128</v>
      </c>
      <c r="D1002" s="19" t="str">
        <f t="array" ref="D1002">XLOOKUP(A1002,Data!F:F,Data!C:C)</f>
        <v/>
      </c>
      <c r="E1002" s="19" t="str">
        <f t="array" ref="E1002">XLOOKUP(A1002,Data!F:F,Data!H:H)</f>
        <v>BW</v>
      </c>
      <c r="F1002" s="106" t="str">
        <f>SUMIFS(Data!J:J,Data!F:F,A1002)</f>
        <v>1</v>
      </c>
      <c r="G1002" s="106" t="str">
        <f>SUMIFS(Cast!C:C,CastElements,A1002)</f>
        <v>1</v>
      </c>
      <c r="H1002" s="106" t="str">
        <f t="shared" si="4"/>
        <v>0</v>
      </c>
      <c r="I1002" s="106" t="str">
        <f>SUMIFS(Del!C:C,Del!B:B,A1002)</f>
        <v>1</v>
      </c>
      <c r="J1002" s="106" t="str">
        <f t="shared" si="5"/>
        <v>0</v>
      </c>
      <c r="K1002" s="106" t="str">
        <f t="shared" si="6"/>
        <v>0</v>
      </c>
      <c r="L1002" s="106"/>
      <c r="M1002" s="106" t="str">
        <f>SUMIFS(Ere!C:C,Ere!B:B,A1002)</f>
        <v>1</v>
      </c>
      <c r="N1002" s="106" t="str">
        <f t="shared" si="7"/>
        <v>0</v>
      </c>
      <c r="O1002" s="107" t="str">
        <f t="array" ref="O1002">XLOOKUP(A1002,Data!F:F,Data!O:O)</f>
        <v>  1.79 </v>
      </c>
      <c r="P1002" s="107" t="str">
        <f t="shared" si="8"/>
        <v>  4.48 </v>
      </c>
      <c r="Q1002" s="27"/>
    </row>
    <row r="1003" ht="15.75" customHeight="1">
      <c r="A1003" s="110" t="s">
        <v>1247</v>
      </c>
      <c r="B1003" s="19" t="str">
        <f t="array" ref="B1003">XLOOKUP(A1003,Data!F:F,Data!G:G)</f>
        <v>J1B</v>
      </c>
      <c r="C1003" s="19" t="str">
        <f t="shared" si="3"/>
        <v>J128</v>
      </c>
      <c r="D1003" s="19" t="str">
        <f t="array" ref="D1003">XLOOKUP(A1003,Data!F:F,Data!C:C)</f>
        <v/>
      </c>
      <c r="E1003" s="19" t="str">
        <f t="array" ref="E1003">XLOOKUP(A1003,Data!F:F,Data!H:H)</f>
        <v>BW</v>
      </c>
      <c r="F1003" s="106" t="str">
        <f>SUMIFS(Data!J:J,Data!F:F,A1003)</f>
        <v>1</v>
      </c>
      <c r="G1003" s="106" t="str">
        <f>SUMIFS(Cast!C:C,CastElements,A1003)</f>
        <v>1</v>
      </c>
      <c r="H1003" s="106" t="str">
        <f t="shared" si="4"/>
        <v>0</v>
      </c>
      <c r="I1003" s="106" t="str">
        <f>SUMIFS(Del!C:C,Del!B:B,A1003)</f>
        <v>1</v>
      </c>
      <c r="J1003" s="106" t="str">
        <f t="shared" si="5"/>
        <v>0</v>
      </c>
      <c r="K1003" s="106" t="str">
        <f t="shared" si="6"/>
        <v>0</v>
      </c>
      <c r="L1003" s="106"/>
      <c r="M1003" s="106" t="str">
        <f>SUMIFS(Ere!C:C,Ere!B:B,A1003)</f>
        <v>1</v>
      </c>
      <c r="N1003" s="106" t="str">
        <f t="shared" si="7"/>
        <v>0</v>
      </c>
      <c r="O1003" s="107" t="str">
        <f t="array" ref="O1003">XLOOKUP(A1003,Data!F:F,Data!O:O)</f>
        <v>  1.79 </v>
      </c>
      <c r="P1003" s="107" t="str">
        <f t="shared" si="8"/>
        <v>  4.48 </v>
      </c>
      <c r="Q1003" s="27"/>
    </row>
    <row r="1004" ht="15.75" customHeight="1">
      <c r="A1004" s="110" t="s">
        <v>1248</v>
      </c>
      <c r="B1004" s="19" t="str">
        <f t="array" ref="B1004">XLOOKUP(A1004,Data!F:F,Data!G:G)</f>
        <v>J1B</v>
      </c>
      <c r="C1004" s="19" t="str">
        <f t="shared" si="3"/>
        <v>J128</v>
      </c>
      <c r="D1004" s="19" t="str">
        <f t="array" ref="D1004">XLOOKUP(A1004,Data!F:F,Data!C:C)</f>
        <v/>
      </c>
      <c r="E1004" s="19" t="str">
        <f t="array" ref="E1004">XLOOKUP(A1004,Data!F:F,Data!H:H)</f>
        <v>BW</v>
      </c>
      <c r="F1004" s="106" t="str">
        <f>SUMIFS(Data!J:J,Data!F:F,A1004)</f>
        <v>1</v>
      </c>
      <c r="G1004" s="106" t="str">
        <f>SUMIFS(Cast!C:C,CastElements,A1004)</f>
        <v>1</v>
      </c>
      <c r="H1004" s="106" t="str">
        <f t="shared" si="4"/>
        <v>0</v>
      </c>
      <c r="I1004" s="106" t="str">
        <f>SUMIFS(Del!C:C,Del!B:B,A1004)</f>
        <v>1</v>
      </c>
      <c r="J1004" s="106" t="str">
        <f t="shared" si="5"/>
        <v>0</v>
      </c>
      <c r="K1004" s="106" t="str">
        <f t="shared" si="6"/>
        <v>0</v>
      </c>
      <c r="L1004" s="106"/>
      <c r="M1004" s="106" t="str">
        <f>SUMIFS(Ere!C:C,Ere!B:B,A1004)</f>
        <v>1</v>
      </c>
      <c r="N1004" s="106" t="str">
        <f t="shared" si="7"/>
        <v>0</v>
      </c>
      <c r="O1004" s="107" t="str">
        <f t="array" ref="O1004">XLOOKUP(A1004,Data!F:F,Data!O:O)</f>
        <v>  1.50 </v>
      </c>
      <c r="P1004" s="107" t="str">
        <f t="shared" si="8"/>
        <v>  3.75 </v>
      </c>
      <c r="Q1004" s="27"/>
    </row>
    <row r="1005" ht="15.75" customHeight="1">
      <c r="A1005" s="110" t="s">
        <v>1249</v>
      </c>
      <c r="B1005" s="19" t="str">
        <f t="array" ref="B1005">XLOOKUP(A1005,Data!F:F,Data!G:G)</f>
        <v>J1B</v>
      </c>
      <c r="C1005" s="19" t="str">
        <f t="shared" si="3"/>
        <v>J128</v>
      </c>
      <c r="D1005" s="19" t="str">
        <f t="array" ref="D1005">XLOOKUP(A1005,Data!F:F,Data!C:C)</f>
        <v/>
      </c>
      <c r="E1005" s="19" t="str">
        <f t="array" ref="E1005">XLOOKUP(A1005,Data!F:F,Data!H:H)</f>
        <v>BW</v>
      </c>
      <c r="F1005" s="106" t="str">
        <f>SUMIFS(Data!J:J,Data!F:F,A1005)</f>
        <v>1</v>
      </c>
      <c r="G1005" s="106" t="str">
        <f>SUMIFS(Cast!C:C,CastElements,A1005)</f>
        <v>1</v>
      </c>
      <c r="H1005" s="106" t="str">
        <f t="shared" si="4"/>
        <v>0</v>
      </c>
      <c r="I1005" s="106" t="str">
        <f>SUMIFS(Del!C:C,Del!B:B,A1005)</f>
        <v>0</v>
      </c>
      <c r="J1005" s="106" t="str">
        <f t="shared" si="5"/>
        <v>1</v>
      </c>
      <c r="K1005" s="106" t="str">
        <f t="shared" si="6"/>
        <v>1</v>
      </c>
      <c r="L1005" s="106"/>
      <c r="M1005" s="106" t="str">
        <f>SUMIFS(Ere!C:C,Ere!B:B,A1005)</f>
        <v>0</v>
      </c>
      <c r="N1005" s="106" t="str">
        <f t="shared" si="7"/>
        <v>1</v>
      </c>
      <c r="O1005" s="107" t="str">
        <f t="array" ref="O1005">XLOOKUP(A1005,Data!F:F,Data!O:O)</f>
        <v>  0.32 </v>
      </c>
      <c r="P1005" s="107" t="str">
        <f t="shared" si="8"/>
        <v>  0.81 </v>
      </c>
      <c r="Q1005" s="27"/>
    </row>
    <row r="1006" ht="15.75" customHeight="1">
      <c r="A1006" s="110" t="s">
        <v>1250</v>
      </c>
      <c r="B1006" s="19" t="str">
        <f t="array" ref="B1006">XLOOKUP(A1006,Data!F:F,Data!G:G)</f>
        <v>J1B</v>
      </c>
      <c r="C1006" s="19" t="str">
        <f t="shared" si="3"/>
        <v>J128</v>
      </c>
      <c r="D1006" s="19" t="str">
        <f t="array" ref="D1006">XLOOKUP(A1006,Data!F:F,Data!C:C)</f>
        <v/>
      </c>
      <c r="E1006" s="19" t="str">
        <f t="array" ref="E1006">XLOOKUP(A1006,Data!F:F,Data!H:H)</f>
        <v>CF</v>
      </c>
      <c r="F1006" s="106" t="str">
        <f>SUMIFS(Data!J:J,Data!F:F,A1006)</f>
        <v>1</v>
      </c>
      <c r="G1006" s="106" t="str">
        <f>SUMIFS(Cast!C:C,CastElements,A1006)</f>
        <v>1</v>
      </c>
      <c r="H1006" s="106" t="str">
        <f t="shared" si="4"/>
        <v>0</v>
      </c>
      <c r="I1006" s="106" t="str">
        <f>SUMIFS(Del!C:C,Del!B:B,A1006)</f>
        <v>0</v>
      </c>
      <c r="J1006" s="106" t="str">
        <f t="shared" si="5"/>
        <v>1</v>
      </c>
      <c r="K1006" s="106" t="str">
        <f t="shared" si="6"/>
        <v>1</v>
      </c>
      <c r="L1006" s="106"/>
      <c r="M1006" s="106" t="str">
        <f>SUMIFS(Ere!C:C,Ere!B:B,A1006)</f>
        <v>0</v>
      </c>
      <c r="N1006" s="106" t="str">
        <f t="shared" si="7"/>
        <v>1</v>
      </c>
      <c r="O1006" s="107" t="str">
        <f t="array" ref="O1006">XLOOKUP(A1006,Data!F:F,Data!O:O)</f>
        <v>  0.44 </v>
      </c>
      <c r="P1006" s="107" t="str">
        <f t="shared" si="8"/>
        <v>  1.09 </v>
      </c>
      <c r="Q1006" s="27"/>
    </row>
    <row r="1007" ht="15.75" customHeight="1">
      <c r="A1007" s="105" t="s">
        <v>1251</v>
      </c>
      <c r="B1007" s="19" t="str">
        <f t="array" ref="B1007">XLOOKUP(A1007,Data!F:F,Data!G:G)</f>
        <v>J1B</v>
      </c>
      <c r="C1007" s="19" t="str">
        <f t="shared" si="3"/>
        <v>J128</v>
      </c>
      <c r="D1007" s="19" t="str">
        <f t="array" ref="D1007">XLOOKUP(A1007,Data!F:F,Data!C:C)</f>
        <v/>
      </c>
      <c r="E1007" s="19" t="str">
        <f t="array" ref="E1007">XLOOKUP(A1007,Data!F:F,Data!H:H)</f>
        <v>BW</v>
      </c>
      <c r="F1007" s="106" t="str">
        <f>SUMIFS(Data!J:J,Data!F:F,A1007)</f>
        <v>1</v>
      </c>
      <c r="G1007" s="106" t="str">
        <f>SUMIFS(Cast!C:C,CastElements,A1007)</f>
        <v>1</v>
      </c>
      <c r="H1007" s="106" t="str">
        <f t="shared" si="4"/>
        <v>0</v>
      </c>
      <c r="I1007" s="106" t="str">
        <f>SUMIFS(Del!C:C,Del!B:B,A1007)</f>
        <v>1</v>
      </c>
      <c r="J1007" s="106" t="str">
        <f t="shared" si="5"/>
        <v>0</v>
      </c>
      <c r="K1007" s="106" t="str">
        <f t="shared" si="6"/>
        <v>0</v>
      </c>
      <c r="L1007" s="106"/>
      <c r="M1007" s="106" t="str">
        <f>SUMIFS(Ere!C:C,Ere!B:B,A1007)</f>
        <v>0</v>
      </c>
      <c r="N1007" s="106" t="str">
        <f t="shared" si="7"/>
        <v>1</v>
      </c>
      <c r="O1007" s="107" t="str">
        <f t="array" ref="O1007">XLOOKUP(A1007,Data!F:F,Data!O:O)</f>
        <v>  1.12 </v>
      </c>
      <c r="P1007" s="107" t="str">
        <f t="shared" si="8"/>
        <v>  2.80 </v>
      </c>
      <c r="Q1007" s="27"/>
    </row>
    <row r="1008" ht="15.75" customHeight="1">
      <c r="A1008" s="105" t="s">
        <v>1252</v>
      </c>
      <c r="B1008" s="19" t="str">
        <f t="array" ref="B1008">XLOOKUP(A1008,Data!F:F,Data!G:G)</f>
        <v>J1B</v>
      </c>
      <c r="C1008" s="19" t="str">
        <f t="shared" si="3"/>
        <v>J128</v>
      </c>
      <c r="D1008" s="19" t="str">
        <f t="array" ref="D1008">XLOOKUP(A1008,Data!F:F,Data!C:C)</f>
        <v/>
      </c>
      <c r="E1008" s="19" t="str">
        <f t="array" ref="E1008">XLOOKUP(A1008,Data!F:F,Data!H:H)</f>
        <v>BW</v>
      </c>
      <c r="F1008" s="106" t="str">
        <f>SUMIFS(Data!J:J,Data!F:F,A1008)</f>
        <v>1</v>
      </c>
      <c r="G1008" s="106" t="str">
        <f>SUMIFS(Cast!C:C,CastElements,A1008)</f>
        <v>1</v>
      </c>
      <c r="H1008" s="106" t="str">
        <f t="shared" si="4"/>
        <v>0</v>
      </c>
      <c r="I1008" s="106" t="str">
        <f>SUMIFS(Del!C:C,Del!B:B,A1008)</f>
        <v>1</v>
      </c>
      <c r="J1008" s="106" t="str">
        <f t="shared" si="5"/>
        <v>0</v>
      </c>
      <c r="K1008" s="106" t="str">
        <f t="shared" si="6"/>
        <v>0</v>
      </c>
      <c r="L1008" s="106"/>
      <c r="M1008" s="106" t="str">
        <f>SUMIFS(Ere!C:C,Ere!B:B,A1008)</f>
        <v>0</v>
      </c>
      <c r="N1008" s="106" t="str">
        <f t="shared" si="7"/>
        <v>1</v>
      </c>
      <c r="O1008" s="107" t="str">
        <f t="array" ref="O1008">XLOOKUP(A1008,Data!F:F,Data!O:O)</f>
        <v>  1.26 </v>
      </c>
      <c r="P1008" s="107" t="str">
        <f t="shared" si="8"/>
        <v>  3.16 </v>
      </c>
      <c r="Q1008" s="27"/>
    </row>
    <row r="1009" ht="15.75" customHeight="1">
      <c r="A1009" s="105" t="s">
        <v>1253</v>
      </c>
      <c r="B1009" s="19" t="str">
        <f t="array" ref="B1009">XLOOKUP(A1009,Data!F:F,Data!G:G)</f>
        <v>J1B</v>
      </c>
      <c r="C1009" s="19" t="str">
        <f t="shared" si="3"/>
        <v>J128</v>
      </c>
      <c r="D1009" s="19" t="str">
        <f t="array" ref="D1009">XLOOKUP(A1009,Data!F:F,Data!C:C)</f>
        <v/>
      </c>
      <c r="E1009" s="19" t="str">
        <f t="array" ref="E1009">XLOOKUP(A1009,Data!F:F,Data!H:H)</f>
        <v>BW</v>
      </c>
      <c r="F1009" s="106" t="str">
        <f>SUMIFS(Data!J:J,Data!F:F,A1009)</f>
        <v>1</v>
      </c>
      <c r="G1009" s="106" t="str">
        <f>SUMIFS(Cast!C:C,CastElements,A1009)</f>
        <v>1</v>
      </c>
      <c r="H1009" s="106" t="str">
        <f t="shared" si="4"/>
        <v>0</v>
      </c>
      <c r="I1009" s="106" t="str">
        <f>SUMIFS(Del!C:C,Del!B:B,A1009)</f>
        <v>1</v>
      </c>
      <c r="J1009" s="106" t="str">
        <f t="shared" si="5"/>
        <v>0</v>
      </c>
      <c r="K1009" s="106" t="str">
        <f t="shared" si="6"/>
        <v>0</v>
      </c>
      <c r="L1009" s="106"/>
      <c r="M1009" s="106" t="str">
        <f>SUMIFS(Ere!C:C,Ere!B:B,A1009)</f>
        <v>0</v>
      </c>
      <c r="N1009" s="106" t="str">
        <f t="shared" si="7"/>
        <v>1</v>
      </c>
      <c r="O1009" s="107" t="str">
        <f t="array" ref="O1009">XLOOKUP(A1009,Data!F:F,Data!O:O)</f>
        <v>  1.39 </v>
      </c>
      <c r="P1009" s="107" t="str">
        <f t="shared" si="8"/>
        <v>  3.47 </v>
      </c>
      <c r="Q1009" s="27"/>
    </row>
    <row r="1010" ht="15.75" customHeight="1">
      <c r="A1010" s="105" t="s">
        <v>1254</v>
      </c>
      <c r="B1010" s="19" t="str">
        <f t="array" ref="B1010">XLOOKUP(A1010,Data!F:F,Data!G:G)</f>
        <v>J1B</v>
      </c>
      <c r="C1010" s="19" t="str">
        <f t="shared" si="3"/>
        <v>J128</v>
      </c>
      <c r="D1010" s="19" t="str">
        <f t="array" ref="D1010">XLOOKUP(A1010,Data!F:F,Data!C:C)</f>
        <v>EXT</v>
      </c>
      <c r="E1010" s="19" t="str">
        <f t="array" ref="E1010">XLOOKUP(A1010,Data!F:F,Data!H:H)</f>
        <v>BW</v>
      </c>
      <c r="F1010" s="106" t="str">
        <f>SUMIFS(Data!J:J,Data!F:F,A1010)</f>
        <v>1</v>
      </c>
      <c r="G1010" s="106" t="str">
        <f>SUMIFS(Cast!C:C,CastElements,A1010)</f>
        <v>1</v>
      </c>
      <c r="H1010" s="106" t="str">
        <f t="shared" si="4"/>
        <v>0</v>
      </c>
      <c r="I1010" s="106" t="str">
        <f>SUMIFS(Del!C:C,Del!B:B,A1010)</f>
        <v>0</v>
      </c>
      <c r="J1010" s="106" t="str">
        <f t="shared" si="5"/>
        <v>1</v>
      </c>
      <c r="K1010" s="106" t="str">
        <f t="shared" si="6"/>
        <v>1</v>
      </c>
      <c r="L1010" s="106"/>
      <c r="M1010" s="106" t="str">
        <f>SUMIFS(Ere!C:C,Ere!B:B,A1010)</f>
        <v>0</v>
      </c>
      <c r="N1010" s="106" t="str">
        <f t="shared" si="7"/>
        <v>1</v>
      </c>
      <c r="O1010" s="107" t="str">
        <f t="array" ref="O1010">XLOOKUP(A1010,Data!F:F,Data!O:O)</f>
        <v>  1.59 </v>
      </c>
      <c r="P1010" s="107" t="str">
        <f t="shared" si="8"/>
        <v>  3.98 </v>
      </c>
      <c r="Q1010" s="27"/>
    </row>
    <row r="1011" ht="15.75" customHeight="1">
      <c r="A1011" s="105" t="s">
        <v>1255</v>
      </c>
      <c r="B1011" s="19" t="str">
        <f t="array" ref="B1011">XLOOKUP(A1011,Data!F:F,Data!G:G)</f>
        <v>J1B</v>
      </c>
      <c r="C1011" s="19" t="str">
        <f t="shared" si="3"/>
        <v>J128</v>
      </c>
      <c r="D1011" s="19" t="str">
        <f t="array" ref="D1011">XLOOKUP(A1011,Data!F:F,Data!C:C)</f>
        <v>EXT</v>
      </c>
      <c r="E1011" s="19" t="str">
        <f t="array" ref="E1011">XLOOKUP(A1011,Data!F:F,Data!H:H)</f>
        <v>BW</v>
      </c>
      <c r="F1011" s="106" t="str">
        <f>SUMIFS(Data!J:J,Data!F:F,A1011)</f>
        <v>1</v>
      </c>
      <c r="G1011" s="106" t="str">
        <f>SUMIFS(Cast!C:C,CastElements,A1011)</f>
        <v>1</v>
      </c>
      <c r="H1011" s="106" t="str">
        <f t="shared" si="4"/>
        <v>0</v>
      </c>
      <c r="I1011" s="106" t="str">
        <f>SUMIFS(Del!C:C,Del!B:B,A1011)</f>
        <v>0</v>
      </c>
      <c r="J1011" s="106" t="str">
        <f t="shared" si="5"/>
        <v>1</v>
      </c>
      <c r="K1011" s="106" t="str">
        <f t="shared" si="6"/>
        <v>1</v>
      </c>
      <c r="L1011" s="106"/>
      <c r="M1011" s="106" t="str">
        <f>SUMIFS(Ere!C:C,Ere!B:B,A1011)</f>
        <v>0</v>
      </c>
      <c r="N1011" s="106" t="str">
        <f t="shared" si="7"/>
        <v>1</v>
      </c>
      <c r="O1011" s="107" t="str">
        <f t="array" ref="O1011">XLOOKUP(A1011,Data!F:F,Data!O:O)</f>
        <v>  1.47 </v>
      </c>
      <c r="P1011" s="107" t="str">
        <f t="shared" si="8"/>
        <v>  3.68 </v>
      </c>
      <c r="Q1011" s="27"/>
    </row>
    <row r="1012" ht="15.75" customHeight="1">
      <c r="A1012" s="105" t="s">
        <v>1256</v>
      </c>
      <c r="B1012" s="19" t="str">
        <f t="array" ref="B1012">XLOOKUP(A1012,Data!F:F,Data!G:G)</f>
        <v>J1B</v>
      </c>
      <c r="C1012" s="19" t="str">
        <f t="shared" si="3"/>
        <v>J128</v>
      </c>
      <c r="D1012" s="19" t="str">
        <f t="array" ref="D1012">XLOOKUP(A1012,Data!F:F,Data!C:C)</f>
        <v>EXT</v>
      </c>
      <c r="E1012" s="19" t="str">
        <f t="array" ref="E1012">XLOOKUP(A1012,Data!F:F,Data!H:H)</f>
        <v>BW</v>
      </c>
      <c r="F1012" s="106" t="str">
        <f>SUMIFS(Data!J:J,Data!F:F,A1012)</f>
        <v>1</v>
      </c>
      <c r="G1012" s="106" t="str">
        <f>SUMIFS(Cast!C:C,CastElements,A1012)</f>
        <v>1</v>
      </c>
      <c r="H1012" s="106" t="str">
        <f t="shared" si="4"/>
        <v>0</v>
      </c>
      <c r="I1012" s="106" t="str">
        <f>SUMIFS(Del!C:C,Del!B:B,A1012)</f>
        <v>0</v>
      </c>
      <c r="J1012" s="106" t="str">
        <f t="shared" si="5"/>
        <v>1</v>
      </c>
      <c r="K1012" s="106" t="str">
        <f t="shared" si="6"/>
        <v>1</v>
      </c>
      <c r="L1012" s="106"/>
      <c r="M1012" s="106" t="str">
        <f>SUMIFS(Ere!C:C,Ere!B:B,A1012)</f>
        <v>0</v>
      </c>
      <c r="N1012" s="106" t="str">
        <f t="shared" si="7"/>
        <v>1</v>
      </c>
      <c r="O1012" s="107" t="str">
        <f t="array" ref="O1012">XLOOKUP(A1012,Data!F:F,Data!O:O)</f>
        <v>  1.42 </v>
      </c>
      <c r="P1012" s="107" t="str">
        <f t="shared" si="8"/>
        <v>  3.55 </v>
      </c>
      <c r="Q1012" s="27"/>
    </row>
    <row r="1013" ht="15.75" customHeight="1">
      <c r="A1013" s="105" t="s">
        <v>1257</v>
      </c>
      <c r="B1013" s="19" t="str">
        <f t="array" ref="B1013">XLOOKUP(A1013,Data!F:F,Data!G:G)</f>
        <v>J1B</v>
      </c>
      <c r="C1013" s="19" t="str">
        <f t="shared" si="3"/>
        <v>J128</v>
      </c>
      <c r="D1013" s="19" t="str">
        <f t="array" ref="D1013">XLOOKUP(A1013,Data!F:F,Data!C:C)</f>
        <v/>
      </c>
      <c r="E1013" s="19" t="str">
        <f t="array" ref="E1013">XLOOKUP(A1013,Data!F:F,Data!H:H)</f>
        <v>BW</v>
      </c>
      <c r="F1013" s="106" t="str">
        <f>SUMIFS(Data!J:J,Data!F:F,A1013)</f>
        <v>1</v>
      </c>
      <c r="G1013" s="106" t="str">
        <f>SUMIFS(Cast!C:C,CastElements,A1013)</f>
        <v>1</v>
      </c>
      <c r="H1013" s="106" t="str">
        <f t="shared" si="4"/>
        <v>0</v>
      </c>
      <c r="I1013" s="106" t="str">
        <f>SUMIFS(Del!C:C,Del!B:B,A1013)</f>
        <v>1</v>
      </c>
      <c r="J1013" s="106" t="str">
        <f t="shared" si="5"/>
        <v>0</v>
      </c>
      <c r="K1013" s="106" t="str">
        <f t="shared" si="6"/>
        <v>0</v>
      </c>
      <c r="L1013" s="106"/>
      <c r="M1013" s="106" t="str">
        <f>SUMIFS(Ere!C:C,Ere!B:B,A1013)</f>
        <v>0</v>
      </c>
      <c r="N1013" s="106" t="str">
        <f t="shared" si="7"/>
        <v>1</v>
      </c>
      <c r="O1013" s="107" t="str">
        <f t="array" ref="O1013">XLOOKUP(A1013,Data!F:F,Data!O:O)</f>
        <v>  1.79 </v>
      </c>
      <c r="P1013" s="107" t="str">
        <f t="shared" si="8"/>
        <v>  4.49 </v>
      </c>
      <c r="Q1013" s="27"/>
    </row>
    <row r="1014" ht="15.75" customHeight="1">
      <c r="A1014" s="105" t="s">
        <v>1258</v>
      </c>
      <c r="B1014" s="19" t="str">
        <f t="array" ref="B1014">XLOOKUP(A1014,Data!F:F,Data!G:G)</f>
        <v>J1B</v>
      </c>
      <c r="C1014" s="19" t="str">
        <f t="shared" si="3"/>
        <v>J128</v>
      </c>
      <c r="D1014" s="19" t="str">
        <f t="array" ref="D1014">XLOOKUP(A1014,Data!F:F,Data!C:C)</f>
        <v/>
      </c>
      <c r="E1014" s="19" t="str">
        <f t="array" ref="E1014">XLOOKUP(A1014,Data!F:F,Data!H:H)</f>
        <v>BW</v>
      </c>
      <c r="F1014" s="106" t="str">
        <f>SUMIFS(Data!J:J,Data!F:F,A1014)</f>
        <v>1</v>
      </c>
      <c r="G1014" s="106" t="str">
        <f>SUMIFS(Cast!C:C,CastElements,A1014)</f>
        <v>1</v>
      </c>
      <c r="H1014" s="106" t="str">
        <f t="shared" si="4"/>
        <v>0</v>
      </c>
      <c r="I1014" s="106" t="str">
        <f>SUMIFS(Del!C:C,Del!B:B,A1014)</f>
        <v>1</v>
      </c>
      <c r="J1014" s="106" t="str">
        <f t="shared" si="5"/>
        <v>0</v>
      </c>
      <c r="K1014" s="106" t="str">
        <f t="shared" si="6"/>
        <v>0</v>
      </c>
      <c r="L1014" s="106"/>
      <c r="M1014" s="106" t="str">
        <f>SUMIFS(Ere!C:C,Ere!B:B,A1014)</f>
        <v>0</v>
      </c>
      <c r="N1014" s="106" t="str">
        <f t="shared" si="7"/>
        <v>1</v>
      </c>
      <c r="O1014" s="107" t="str">
        <f t="array" ref="O1014">XLOOKUP(A1014,Data!F:F,Data!O:O)</f>
        <v>  1.84 </v>
      </c>
      <c r="P1014" s="107" t="str">
        <f t="shared" si="8"/>
        <v>  4.60 </v>
      </c>
      <c r="Q1014" s="27"/>
    </row>
    <row r="1015" ht="15.75" customHeight="1">
      <c r="A1015" s="105" t="s">
        <v>1259</v>
      </c>
      <c r="B1015" s="19" t="str">
        <f t="array" ref="B1015">XLOOKUP(A1015,Data!F:F,Data!G:G)</f>
        <v>J1B</v>
      </c>
      <c r="C1015" s="19" t="str">
        <f t="shared" si="3"/>
        <v>J128</v>
      </c>
      <c r="D1015" s="19" t="str">
        <f t="array" ref="D1015">XLOOKUP(A1015,Data!F:F,Data!C:C)</f>
        <v>EXT</v>
      </c>
      <c r="E1015" s="19" t="str">
        <f t="array" ref="E1015">XLOOKUP(A1015,Data!F:F,Data!H:H)</f>
        <v>BW</v>
      </c>
      <c r="F1015" s="106" t="str">
        <f>SUMIFS(Data!J:J,Data!F:F,A1015)</f>
        <v>1</v>
      </c>
      <c r="G1015" s="106" t="str">
        <f>SUMIFS(Cast!C:C,CastElements,A1015)</f>
        <v>1</v>
      </c>
      <c r="H1015" s="106" t="str">
        <f t="shared" si="4"/>
        <v>0</v>
      </c>
      <c r="I1015" s="106" t="str">
        <f>SUMIFS(Del!C:C,Del!B:B,A1015)</f>
        <v>0</v>
      </c>
      <c r="J1015" s="106" t="str">
        <f t="shared" si="5"/>
        <v>1</v>
      </c>
      <c r="K1015" s="106" t="str">
        <f t="shared" si="6"/>
        <v>1</v>
      </c>
      <c r="L1015" s="106"/>
      <c r="M1015" s="106" t="str">
        <f>SUMIFS(Ere!C:C,Ere!B:B,A1015)</f>
        <v>0</v>
      </c>
      <c r="N1015" s="106" t="str">
        <f t="shared" si="7"/>
        <v>1</v>
      </c>
      <c r="O1015" s="107" t="str">
        <f t="array" ref="O1015">XLOOKUP(A1015,Data!F:F,Data!O:O)</f>
        <v>  2.31 </v>
      </c>
      <c r="P1015" s="107" t="str">
        <f t="shared" si="8"/>
        <v>  5.76 </v>
      </c>
      <c r="Q1015" s="27"/>
    </row>
    <row r="1016" ht="15.75" customHeight="1">
      <c r="A1016" s="105" t="s">
        <v>1260</v>
      </c>
      <c r="B1016" s="19" t="str">
        <f t="array" ref="B1016">XLOOKUP(A1016,Data!F:F,Data!G:G)</f>
        <v>J1B</v>
      </c>
      <c r="C1016" s="19" t="str">
        <f t="shared" si="3"/>
        <v>J128</v>
      </c>
      <c r="D1016" s="19" t="str">
        <f t="array" ref="D1016">XLOOKUP(A1016,Data!F:F,Data!C:C)</f>
        <v/>
      </c>
      <c r="E1016" s="19" t="str">
        <f t="array" ref="E1016">XLOOKUP(A1016,Data!F:F,Data!H:H)</f>
        <v>BW</v>
      </c>
      <c r="F1016" s="106" t="str">
        <f>SUMIFS(Data!J:J,Data!F:F,A1016)</f>
        <v>1</v>
      </c>
      <c r="G1016" s="106" t="str">
        <f>SUMIFS(Cast!C:C,CastElements,A1016)</f>
        <v>1</v>
      </c>
      <c r="H1016" s="106" t="str">
        <f t="shared" si="4"/>
        <v>0</v>
      </c>
      <c r="I1016" s="106" t="str">
        <f>SUMIFS(Del!C:C,Del!B:B,A1016)</f>
        <v>1</v>
      </c>
      <c r="J1016" s="106" t="str">
        <f t="shared" si="5"/>
        <v>0</v>
      </c>
      <c r="K1016" s="106" t="str">
        <f t="shared" si="6"/>
        <v>0</v>
      </c>
      <c r="L1016" s="106"/>
      <c r="M1016" s="106" t="str">
        <f>SUMIFS(Ere!C:C,Ere!B:B,A1016)</f>
        <v>0</v>
      </c>
      <c r="N1016" s="106" t="str">
        <f t="shared" si="7"/>
        <v>1</v>
      </c>
      <c r="O1016" s="107" t="str">
        <f t="array" ref="O1016">XLOOKUP(A1016,Data!F:F,Data!O:O)</f>
        <v>  2.44 </v>
      </c>
      <c r="P1016" s="107" t="str">
        <f t="shared" si="8"/>
        <v>  6.11 </v>
      </c>
      <c r="Q1016" s="27"/>
    </row>
    <row r="1017" ht="15.75" customHeight="1">
      <c r="A1017" s="110" t="s">
        <v>1261</v>
      </c>
      <c r="B1017" s="19" t="str">
        <f t="array" ref="B1017">XLOOKUP(A1017,Data!F:F,Data!G:G)</f>
        <v>J1B</v>
      </c>
      <c r="C1017" s="19" t="str">
        <f t="shared" si="3"/>
        <v>J129</v>
      </c>
      <c r="D1017" s="19" t="str">
        <f t="array" ref="D1017">XLOOKUP(A1017,Data!F:F,Data!C:C)</f>
        <v/>
      </c>
      <c r="E1017" s="19" t="str">
        <f t="array" ref="E1017">XLOOKUP(A1017,Data!F:F,Data!H:H)</f>
        <v>BW</v>
      </c>
      <c r="F1017" s="106" t="str">
        <f>SUMIFS(Data!J:J,Data!F:F,A1017)</f>
        <v>1</v>
      </c>
      <c r="G1017" s="106" t="str">
        <f>SUMIFS(Cast!C:C,CastElements,A1017)</f>
        <v>1</v>
      </c>
      <c r="H1017" s="106" t="str">
        <f t="shared" si="4"/>
        <v>0</v>
      </c>
      <c r="I1017" s="106" t="str">
        <f>SUMIFS(Del!C:C,Del!B:B,A1017)</f>
        <v>0</v>
      </c>
      <c r="J1017" s="106" t="str">
        <f t="shared" si="5"/>
        <v>1</v>
      </c>
      <c r="K1017" s="106" t="str">
        <f t="shared" si="6"/>
        <v>1</v>
      </c>
      <c r="L1017" s="106"/>
      <c r="M1017" s="106" t="str">
        <f>SUMIFS(Ere!C:C,Ere!B:B,A1017)</f>
        <v>0</v>
      </c>
      <c r="N1017" s="106" t="str">
        <f t="shared" si="7"/>
        <v>1</v>
      </c>
      <c r="O1017" s="107" t="str">
        <f t="array" ref="O1017">XLOOKUP(A1017,Data!F:F,Data!O:O)</f>
        <v>  1.95 </v>
      </c>
      <c r="P1017" s="107" t="str">
        <f t="shared" si="8"/>
        <v>  4.88 </v>
      </c>
      <c r="Q1017" s="27"/>
    </row>
    <row r="1018" ht="15.75" customHeight="1">
      <c r="A1018" s="110" t="s">
        <v>1262</v>
      </c>
      <c r="B1018" s="19" t="str">
        <f t="array" ref="B1018">XLOOKUP(A1018,Data!F:F,Data!G:G)</f>
        <v>J1B</v>
      </c>
      <c r="C1018" s="19" t="str">
        <f t="shared" si="3"/>
        <v>J129</v>
      </c>
      <c r="D1018" s="19" t="str">
        <f t="array" ref="D1018">XLOOKUP(A1018,Data!F:F,Data!C:C)</f>
        <v/>
      </c>
      <c r="E1018" s="19" t="str">
        <f t="array" ref="E1018">XLOOKUP(A1018,Data!F:F,Data!H:H)</f>
        <v>BW</v>
      </c>
      <c r="F1018" s="106" t="str">
        <f>SUMIFS(Data!J:J,Data!F:F,A1018)</f>
        <v>1</v>
      </c>
      <c r="G1018" s="106" t="str">
        <f>SUMIFS(Cast!C:C,CastElements,A1018)</f>
        <v>1</v>
      </c>
      <c r="H1018" s="106" t="str">
        <f t="shared" si="4"/>
        <v>0</v>
      </c>
      <c r="I1018" s="106" t="str">
        <f>SUMIFS(Del!C:C,Del!B:B,A1018)</f>
        <v>1</v>
      </c>
      <c r="J1018" s="106" t="str">
        <f t="shared" si="5"/>
        <v>0</v>
      </c>
      <c r="K1018" s="106" t="str">
        <f t="shared" si="6"/>
        <v>0</v>
      </c>
      <c r="L1018" s="106"/>
      <c r="M1018" s="106" t="str">
        <f>SUMIFS(Ere!C:C,Ere!B:B,A1018)</f>
        <v>1</v>
      </c>
      <c r="N1018" s="106" t="str">
        <f t="shared" si="7"/>
        <v>0</v>
      </c>
      <c r="O1018" s="107" t="str">
        <f t="array" ref="O1018">XLOOKUP(A1018,Data!F:F,Data!O:O)</f>
        <v>  1.80 </v>
      </c>
      <c r="P1018" s="107" t="str">
        <f t="shared" si="8"/>
        <v>  4.49 </v>
      </c>
      <c r="Q1018" s="27"/>
    </row>
    <row r="1019" ht="15.75" customHeight="1">
      <c r="A1019" s="110" t="s">
        <v>1263</v>
      </c>
      <c r="B1019" s="19" t="str">
        <f t="array" ref="B1019">XLOOKUP(A1019,Data!F:F,Data!G:G)</f>
        <v>J1B</v>
      </c>
      <c r="C1019" s="19" t="str">
        <f t="shared" si="3"/>
        <v>J129</v>
      </c>
      <c r="D1019" s="19" t="str">
        <f t="array" ref="D1019">XLOOKUP(A1019,Data!F:F,Data!C:C)</f>
        <v/>
      </c>
      <c r="E1019" s="19" t="str">
        <f t="array" ref="E1019">XLOOKUP(A1019,Data!F:F,Data!H:H)</f>
        <v>BW</v>
      </c>
      <c r="F1019" s="106" t="str">
        <f>SUMIFS(Data!J:J,Data!F:F,A1019)</f>
        <v>1</v>
      </c>
      <c r="G1019" s="106" t="str">
        <f>SUMIFS(Cast!C:C,CastElements,A1019)</f>
        <v>1</v>
      </c>
      <c r="H1019" s="106" t="str">
        <f t="shared" si="4"/>
        <v>0</v>
      </c>
      <c r="I1019" s="106" t="str">
        <f>SUMIFS(Del!C:C,Del!B:B,A1019)</f>
        <v>1</v>
      </c>
      <c r="J1019" s="106" t="str">
        <f t="shared" si="5"/>
        <v>0</v>
      </c>
      <c r="K1019" s="106" t="str">
        <f t="shared" si="6"/>
        <v>0</v>
      </c>
      <c r="L1019" s="106"/>
      <c r="M1019" s="106" t="str">
        <f>SUMIFS(Ere!C:C,Ere!B:B,A1019)</f>
        <v>1</v>
      </c>
      <c r="N1019" s="106" t="str">
        <f t="shared" si="7"/>
        <v>0</v>
      </c>
      <c r="O1019" s="107" t="str">
        <f t="array" ref="O1019">XLOOKUP(A1019,Data!F:F,Data!O:O)</f>
        <v>  1.80 </v>
      </c>
      <c r="P1019" s="107" t="str">
        <f t="shared" si="8"/>
        <v>  4.49 </v>
      </c>
      <c r="Q1019" s="27"/>
    </row>
    <row r="1020" ht="15.75" customHeight="1">
      <c r="A1020" s="110" t="s">
        <v>1264</v>
      </c>
      <c r="B1020" s="19" t="str">
        <f t="array" ref="B1020">XLOOKUP(A1020,Data!F:F,Data!G:G)</f>
        <v>J1B</v>
      </c>
      <c r="C1020" s="19" t="str">
        <f t="shared" si="3"/>
        <v>J129</v>
      </c>
      <c r="D1020" s="19" t="str">
        <f t="array" ref="D1020">XLOOKUP(A1020,Data!F:F,Data!C:C)</f>
        <v/>
      </c>
      <c r="E1020" s="19" t="str">
        <f t="array" ref="E1020">XLOOKUP(A1020,Data!F:F,Data!H:H)</f>
        <v>BW</v>
      </c>
      <c r="F1020" s="106" t="str">
        <f>SUMIFS(Data!J:J,Data!F:F,A1020)</f>
        <v>1</v>
      </c>
      <c r="G1020" s="106" t="str">
        <f>SUMIFS(Cast!C:C,CastElements,A1020)</f>
        <v>1</v>
      </c>
      <c r="H1020" s="106" t="str">
        <f t="shared" si="4"/>
        <v>0</v>
      </c>
      <c r="I1020" s="106" t="str">
        <f>SUMIFS(Del!C:C,Del!B:B,A1020)</f>
        <v>1</v>
      </c>
      <c r="J1020" s="106" t="str">
        <f t="shared" si="5"/>
        <v>0</v>
      </c>
      <c r="K1020" s="106" t="str">
        <f t="shared" si="6"/>
        <v>0</v>
      </c>
      <c r="L1020" s="106"/>
      <c r="M1020" s="106" t="str">
        <f>SUMIFS(Ere!C:C,Ere!B:B,A1020)</f>
        <v>0</v>
      </c>
      <c r="N1020" s="106" t="str">
        <f t="shared" si="7"/>
        <v>1</v>
      </c>
      <c r="O1020" s="107" t="str">
        <f t="array" ref="O1020">XLOOKUP(A1020,Data!F:F,Data!O:O)</f>
        <v>  1.80 </v>
      </c>
      <c r="P1020" s="107" t="str">
        <f t="shared" si="8"/>
        <v>  4.49 </v>
      </c>
      <c r="Q1020" s="27"/>
    </row>
    <row r="1021" ht="15.75" customHeight="1">
      <c r="A1021" s="110" t="s">
        <v>1265</v>
      </c>
      <c r="B1021" s="19" t="str">
        <f t="array" ref="B1021">XLOOKUP(A1021,Data!F:F,Data!G:G)</f>
        <v>J1B</v>
      </c>
      <c r="C1021" s="19" t="str">
        <f t="shared" si="3"/>
        <v>J129</v>
      </c>
      <c r="D1021" s="19" t="str">
        <f t="array" ref="D1021">XLOOKUP(A1021,Data!F:F,Data!C:C)</f>
        <v/>
      </c>
      <c r="E1021" s="19" t="str">
        <f t="array" ref="E1021">XLOOKUP(A1021,Data!F:F,Data!H:H)</f>
        <v>BW</v>
      </c>
      <c r="F1021" s="106" t="str">
        <f>SUMIFS(Data!J:J,Data!F:F,A1021)</f>
        <v>1</v>
      </c>
      <c r="G1021" s="106" t="str">
        <f>SUMIFS(Cast!C:C,CastElements,A1021)</f>
        <v>1</v>
      </c>
      <c r="H1021" s="106" t="str">
        <f t="shared" si="4"/>
        <v>0</v>
      </c>
      <c r="I1021" s="106" t="str">
        <f>SUMIFS(Del!C:C,Del!B:B,A1021)</f>
        <v>1</v>
      </c>
      <c r="J1021" s="106" t="str">
        <f t="shared" si="5"/>
        <v>0</v>
      </c>
      <c r="K1021" s="106" t="str">
        <f t="shared" si="6"/>
        <v>0</v>
      </c>
      <c r="L1021" s="106"/>
      <c r="M1021" s="106" t="str">
        <f>SUMIFS(Ere!C:C,Ere!B:B,A1021)</f>
        <v>1</v>
      </c>
      <c r="N1021" s="106" t="str">
        <f t="shared" si="7"/>
        <v>0</v>
      </c>
      <c r="O1021" s="107" t="str">
        <f t="array" ref="O1021">XLOOKUP(A1021,Data!F:F,Data!O:O)</f>
        <v>  1.49 </v>
      </c>
      <c r="P1021" s="107" t="str">
        <f t="shared" si="8"/>
        <v>  3.73 </v>
      </c>
      <c r="Q1021" s="27"/>
    </row>
    <row r="1022" ht="15.75" customHeight="1">
      <c r="A1022" s="110" t="s">
        <v>1266</v>
      </c>
      <c r="B1022" s="19" t="str">
        <f t="array" ref="B1022">XLOOKUP(A1022,Data!F:F,Data!G:G)</f>
        <v>J1B</v>
      </c>
      <c r="C1022" s="19" t="str">
        <f t="shared" si="3"/>
        <v>J129</v>
      </c>
      <c r="D1022" s="19" t="str">
        <f t="array" ref="D1022">XLOOKUP(A1022,Data!F:F,Data!C:C)</f>
        <v/>
      </c>
      <c r="E1022" s="19" t="str">
        <f t="array" ref="E1022">XLOOKUP(A1022,Data!F:F,Data!H:H)</f>
        <v>BW</v>
      </c>
      <c r="F1022" s="106" t="str">
        <f>SUMIFS(Data!J:J,Data!F:F,A1022)</f>
        <v>1</v>
      </c>
      <c r="G1022" s="106" t="str">
        <f>SUMIFS(Cast!C:C,CastElements,A1022)</f>
        <v>1</v>
      </c>
      <c r="H1022" s="106" t="str">
        <f t="shared" si="4"/>
        <v>0</v>
      </c>
      <c r="I1022" s="106" t="str">
        <f>SUMIFS(Del!C:C,Del!B:B,A1022)</f>
        <v>0</v>
      </c>
      <c r="J1022" s="106" t="str">
        <f t="shared" si="5"/>
        <v>1</v>
      </c>
      <c r="K1022" s="106" t="str">
        <f t="shared" si="6"/>
        <v>1</v>
      </c>
      <c r="L1022" s="106"/>
      <c r="M1022" s="106" t="str">
        <f>SUMIFS(Ere!C:C,Ere!B:B,A1022)</f>
        <v>0</v>
      </c>
      <c r="N1022" s="106" t="str">
        <f t="shared" si="7"/>
        <v>1</v>
      </c>
      <c r="O1022" s="107" t="str">
        <f t="array" ref="O1022">XLOOKUP(A1022,Data!F:F,Data!O:O)</f>
        <v>  0.32 </v>
      </c>
      <c r="P1022" s="107" t="str">
        <f t="shared" si="8"/>
        <v>  0.79 </v>
      </c>
      <c r="Q1022" s="27"/>
    </row>
    <row r="1023" ht="15.75" customHeight="1">
      <c r="A1023" s="110" t="s">
        <v>1267</v>
      </c>
      <c r="B1023" s="19" t="str">
        <f t="array" ref="B1023">XLOOKUP(A1023,Data!F:F,Data!G:G)</f>
        <v>J1B</v>
      </c>
      <c r="C1023" s="19" t="str">
        <f t="shared" si="3"/>
        <v>J129</v>
      </c>
      <c r="D1023" s="19" t="str">
        <f t="array" ref="D1023">XLOOKUP(A1023,Data!F:F,Data!C:C)</f>
        <v/>
      </c>
      <c r="E1023" s="19" t="str">
        <f t="array" ref="E1023">XLOOKUP(A1023,Data!F:F,Data!H:H)</f>
        <v>CF</v>
      </c>
      <c r="F1023" s="106" t="str">
        <f>SUMIFS(Data!J:J,Data!F:F,A1023)</f>
        <v>1</v>
      </c>
      <c r="G1023" s="106" t="str">
        <f>SUMIFS(Cast!C:C,CastElements,A1023)</f>
        <v>1</v>
      </c>
      <c r="H1023" s="106" t="str">
        <f t="shared" si="4"/>
        <v>0</v>
      </c>
      <c r="I1023" s="106" t="str">
        <f>SUMIFS(Del!C:C,Del!B:B,A1023)</f>
        <v>0</v>
      </c>
      <c r="J1023" s="106" t="str">
        <f t="shared" si="5"/>
        <v>1</v>
      </c>
      <c r="K1023" s="106" t="str">
        <f t="shared" si="6"/>
        <v>1</v>
      </c>
      <c r="L1023" s="106"/>
      <c r="M1023" s="106" t="str">
        <f>SUMIFS(Ere!C:C,Ere!B:B,A1023)</f>
        <v>0</v>
      </c>
      <c r="N1023" s="106" t="str">
        <f t="shared" si="7"/>
        <v>1</v>
      </c>
      <c r="O1023" s="107" t="str">
        <f t="array" ref="O1023">XLOOKUP(A1023,Data!F:F,Data!O:O)</f>
        <v>  0.43 </v>
      </c>
      <c r="P1023" s="107" t="str">
        <f t="shared" si="8"/>
        <v>  1.07 </v>
      </c>
      <c r="Q1023" s="27"/>
    </row>
    <row r="1024" ht="15.75" customHeight="1">
      <c r="A1024" s="105" t="s">
        <v>1268</v>
      </c>
      <c r="B1024" s="19" t="str">
        <f t="array" ref="B1024">XLOOKUP(A1024,Data!F:F,Data!G:G)</f>
        <v>J1B</v>
      </c>
      <c r="C1024" s="19" t="str">
        <f t="shared" si="3"/>
        <v>J129</v>
      </c>
      <c r="D1024" s="19" t="str">
        <f t="array" ref="D1024">XLOOKUP(A1024,Data!F:F,Data!C:C)</f>
        <v/>
      </c>
      <c r="E1024" s="19" t="str">
        <f t="array" ref="E1024">XLOOKUP(A1024,Data!F:F,Data!H:H)</f>
        <v>BW</v>
      </c>
      <c r="F1024" s="106" t="str">
        <f>SUMIFS(Data!J:J,Data!F:F,A1024)</f>
        <v>1</v>
      </c>
      <c r="G1024" s="106" t="str">
        <f>SUMIFS(Cast!C:C,CastElements,A1024)</f>
        <v>1</v>
      </c>
      <c r="H1024" s="106" t="str">
        <f t="shared" si="4"/>
        <v>0</v>
      </c>
      <c r="I1024" s="106" t="str">
        <f>SUMIFS(Del!C:C,Del!B:B,A1024)</f>
        <v>1</v>
      </c>
      <c r="J1024" s="106" t="str">
        <f t="shared" si="5"/>
        <v>0</v>
      </c>
      <c r="K1024" s="106" t="str">
        <f t="shared" si="6"/>
        <v>0</v>
      </c>
      <c r="L1024" s="106"/>
      <c r="M1024" s="106" t="str">
        <f>SUMIFS(Ere!C:C,Ere!B:B,A1024)</f>
        <v>1</v>
      </c>
      <c r="N1024" s="106" t="str">
        <f t="shared" si="7"/>
        <v>0</v>
      </c>
      <c r="O1024" s="107" t="str">
        <f t="array" ref="O1024">XLOOKUP(A1024,Data!F:F,Data!O:O)</f>
        <v>  1.12 </v>
      </c>
      <c r="P1024" s="107" t="str">
        <f t="shared" si="8"/>
        <v>  2.80 </v>
      </c>
      <c r="Q1024" s="27"/>
    </row>
    <row r="1025" ht="15.75" customHeight="1">
      <c r="A1025" s="105" t="s">
        <v>1269</v>
      </c>
      <c r="B1025" s="19" t="str">
        <f t="array" ref="B1025">XLOOKUP(A1025,Data!F:F,Data!G:G)</f>
        <v>J1B</v>
      </c>
      <c r="C1025" s="19" t="str">
        <f t="shared" si="3"/>
        <v>J129</v>
      </c>
      <c r="D1025" s="19" t="str">
        <f t="array" ref="D1025">XLOOKUP(A1025,Data!F:F,Data!C:C)</f>
        <v/>
      </c>
      <c r="E1025" s="19" t="str">
        <f t="array" ref="E1025">XLOOKUP(A1025,Data!F:F,Data!H:H)</f>
        <v>BW</v>
      </c>
      <c r="F1025" s="106" t="str">
        <f>SUMIFS(Data!J:J,Data!F:F,A1025)</f>
        <v>1</v>
      </c>
      <c r="G1025" s="106" t="str">
        <f>SUMIFS(Cast!C:C,CastElements,A1025)</f>
        <v>1</v>
      </c>
      <c r="H1025" s="106" t="str">
        <f t="shared" si="4"/>
        <v>0</v>
      </c>
      <c r="I1025" s="106" t="str">
        <f>SUMIFS(Del!C:C,Del!B:B,A1025)</f>
        <v>1</v>
      </c>
      <c r="J1025" s="106" t="str">
        <f t="shared" si="5"/>
        <v>0</v>
      </c>
      <c r="K1025" s="106" t="str">
        <f t="shared" si="6"/>
        <v>0</v>
      </c>
      <c r="L1025" s="106"/>
      <c r="M1025" s="106" t="str">
        <f>SUMIFS(Ere!C:C,Ere!B:B,A1025)</f>
        <v>1</v>
      </c>
      <c r="N1025" s="106" t="str">
        <f t="shared" si="7"/>
        <v>0</v>
      </c>
      <c r="O1025" s="107" t="str">
        <f t="array" ref="O1025">XLOOKUP(A1025,Data!F:F,Data!O:O)</f>
        <v>  1.26 </v>
      </c>
      <c r="P1025" s="107" t="str">
        <f t="shared" si="8"/>
        <v>  3.15 </v>
      </c>
      <c r="Q1025" s="27"/>
    </row>
    <row r="1026" ht="15.75" customHeight="1">
      <c r="A1026" s="105" t="s">
        <v>1270</v>
      </c>
      <c r="B1026" s="19" t="str">
        <f t="array" ref="B1026">XLOOKUP(A1026,Data!F:F,Data!G:G)</f>
        <v>J1B</v>
      </c>
      <c r="C1026" s="19" t="str">
        <f t="shared" si="3"/>
        <v>J129</v>
      </c>
      <c r="D1026" s="19" t="str">
        <f t="array" ref="D1026">XLOOKUP(A1026,Data!F:F,Data!C:C)</f>
        <v/>
      </c>
      <c r="E1026" s="19" t="str">
        <f t="array" ref="E1026">XLOOKUP(A1026,Data!F:F,Data!H:H)</f>
        <v>BW</v>
      </c>
      <c r="F1026" s="106" t="str">
        <f>SUMIFS(Data!J:J,Data!F:F,A1026)</f>
        <v>1</v>
      </c>
      <c r="G1026" s="106" t="str">
        <f>SUMIFS(Cast!C:C,CastElements,A1026)</f>
        <v>1</v>
      </c>
      <c r="H1026" s="106" t="str">
        <f t="shared" si="4"/>
        <v>0</v>
      </c>
      <c r="I1026" s="106" t="str">
        <f>SUMIFS(Del!C:C,Del!B:B,A1026)</f>
        <v>1</v>
      </c>
      <c r="J1026" s="106" t="str">
        <f t="shared" si="5"/>
        <v>0</v>
      </c>
      <c r="K1026" s="106" t="str">
        <f t="shared" si="6"/>
        <v>0</v>
      </c>
      <c r="L1026" s="106"/>
      <c r="M1026" s="106" t="str">
        <f>SUMIFS(Ere!C:C,Ere!B:B,A1026)</f>
        <v>0</v>
      </c>
      <c r="N1026" s="106" t="str">
        <f t="shared" si="7"/>
        <v>1</v>
      </c>
      <c r="O1026" s="107" t="str">
        <f t="array" ref="O1026">XLOOKUP(A1026,Data!F:F,Data!O:O)</f>
        <v>  1.41 </v>
      </c>
      <c r="P1026" s="107" t="str">
        <f t="shared" si="8"/>
        <v>  3.51 </v>
      </c>
      <c r="Q1026" s="27"/>
    </row>
    <row r="1027" ht="15.75" customHeight="1">
      <c r="A1027" s="105" t="s">
        <v>1271</v>
      </c>
      <c r="B1027" s="19" t="str">
        <f t="array" ref="B1027">XLOOKUP(A1027,Data!F:F,Data!G:G)</f>
        <v>J1B</v>
      </c>
      <c r="C1027" s="19" t="str">
        <f t="shared" si="3"/>
        <v>J129</v>
      </c>
      <c r="D1027" s="19" t="str">
        <f t="array" ref="D1027">XLOOKUP(A1027,Data!F:F,Data!C:C)</f>
        <v>EXT</v>
      </c>
      <c r="E1027" s="19" t="str">
        <f t="array" ref="E1027">XLOOKUP(A1027,Data!F:F,Data!H:H)</f>
        <v>BW</v>
      </c>
      <c r="F1027" s="106" t="str">
        <f>SUMIFS(Data!J:J,Data!F:F,A1027)</f>
        <v>1</v>
      </c>
      <c r="G1027" s="106" t="str">
        <f>SUMIFS(Cast!C:C,CastElements,A1027)</f>
        <v>0</v>
      </c>
      <c r="H1027" s="106" t="str">
        <f t="shared" si="4"/>
        <v>1</v>
      </c>
      <c r="I1027" s="106" t="str">
        <f>SUMIFS(Del!C:C,Del!B:B,A1027)</f>
        <v>0</v>
      </c>
      <c r="J1027" s="106" t="str">
        <f t="shared" si="5"/>
        <v>1</v>
      </c>
      <c r="K1027" s="106" t="str">
        <f t="shared" si="6"/>
        <v>0</v>
      </c>
      <c r="L1027" s="106"/>
      <c r="M1027" s="106" t="str">
        <f>SUMIFS(Ere!C:C,Ere!B:B,A1027)</f>
        <v>0</v>
      </c>
      <c r="N1027" s="106" t="str">
        <f t="shared" si="7"/>
        <v>1</v>
      </c>
      <c r="O1027" s="107" t="str">
        <f t="array" ref="O1027">XLOOKUP(A1027,Data!F:F,Data!O:O)</f>
        <v>  1.41 </v>
      </c>
      <c r="P1027" s="107" t="str">
        <f t="shared" si="8"/>
        <v>  3.51 </v>
      </c>
      <c r="Q1027" s="27"/>
    </row>
    <row r="1028" ht="15.75" customHeight="1">
      <c r="A1028" s="105" t="s">
        <v>1272</v>
      </c>
      <c r="B1028" s="19" t="str">
        <f t="array" ref="B1028">XLOOKUP(A1028,Data!F:F,Data!G:G)</f>
        <v>J1B</v>
      </c>
      <c r="C1028" s="19" t="str">
        <f t="shared" si="3"/>
        <v>J129</v>
      </c>
      <c r="D1028" s="19" t="str">
        <f t="array" ref="D1028">XLOOKUP(A1028,Data!F:F,Data!C:C)</f>
        <v/>
      </c>
      <c r="E1028" s="19" t="str">
        <f t="array" ref="E1028">XLOOKUP(A1028,Data!F:F,Data!H:H)</f>
        <v>BW</v>
      </c>
      <c r="F1028" s="106" t="str">
        <f>SUMIFS(Data!J:J,Data!F:F,A1028)</f>
        <v>1</v>
      </c>
      <c r="G1028" s="106" t="str">
        <f>SUMIFS(Cast!C:C,CastElements,A1028)</f>
        <v>1</v>
      </c>
      <c r="H1028" s="106" t="str">
        <f t="shared" si="4"/>
        <v>0</v>
      </c>
      <c r="I1028" s="106" t="str">
        <f>SUMIFS(Del!C:C,Del!B:B,A1028)</f>
        <v>1</v>
      </c>
      <c r="J1028" s="106" t="str">
        <f t="shared" si="5"/>
        <v>0</v>
      </c>
      <c r="K1028" s="106" t="str">
        <f t="shared" si="6"/>
        <v>0</v>
      </c>
      <c r="L1028" s="106"/>
      <c r="M1028" s="106" t="str">
        <f>SUMIFS(Ere!C:C,Ere!B:B,A1028)</f>
        <v>0</v>
      </c>
      <c r="N1028" s="106" t="str">
        <f t="shared" si="7"/>
        <v>1</v>
      </c>
      <c r="O1028" s="107" t="str">
        <f t="array" ref="O1028">XLOOKUP(A1028,Data!F:F,Data!O:O)</f>
        <v>  1.79 </v>
      </c>
      <c r="P1028" s="107" t="str">
        <f t="shared" si="8"/>
        <v>  4.49 </v>
      </c>
      <c r="Q1028" s="27"/>
    </row>
    <row r="1029" ht="15.75" customHeight="1">
      <c r="A1029" s="105" t="s">
        <v>1273</v>
      </c>
      <c r="B1029" s="19" t="str">
        <f t="array" ref="B1029">XLOOKUP(A1029,Data!F:F,Data!G:G)</f>
        <v>J1B</v>
      </c>
      <c r="C1029" s="19" t="str">
        <f t="shared" si="3"/>
        <v>J129</v>
      </c>
      <c r="D1029" s="19" t="str">
        <f t="array" ref="D1029">XLOOKUP(A1029,Data!F:F,Data!C:C)</f>
        <v/>
      </c>
      <c r="E1029" s="19" t="str">
        <f t="array" ref="E1029">XLOOKUP(A1029,Data!F:F,Data!H:H)</f>
        <v>BW</v>
      </c>
      <c r="F1029" s="106" t="str">
        <f>SUMIFS(Data!J:J,Data!F:F,A1029)</f>
        <v>1</v>
      </c>
      <c r="G1029" s="106" t="str">
        <f>SUMIFS(Cast!C:C,CastElements,A1029)</f>
        <v>1</v>
      </c>
      <c r="H1029" s="106" t="str">
        <f t="shared" si="4"/>
        <v>0</v>
      </c>
      <c r="I1029" s="106" t="str">
        <f>SUMIFS(Del!C:C,Del!B:B,A1029)</f>
        <v>1</v>
      </c>
      <c r="J1029" s="106" t="str">
        <f t="shared" si="5"/>
        <v>0</v>
      </c>
      <c r="K1029" s="106" t="str">
        <f t="shared" si="6"/>
        <v>0</v>
      </c>
      <c r="L1029" s="106"/>
      <c r="M1029" s="106" t="str">
        <f>SUMIFS(Ere!C:C,Ere!B:B,A1029)</f>
        <v>0</v>
      </c>
      <c r="N1029" s="106" t="str">
        <f t="shared" si="7"/>
        <v>1</v>
      </c>
      <c r="O1029" s="107" t="str">
        <f t="array" ref="O1029">XLOOKUP(A1029,Data!F:F,Data!O:O)</f>
        <v>  1.84 </v>
      </c>
      <c r="P1029" s="107" t="str">
        <f t="shared" si="8"/>
        <v>  4.60 </v>
      </c>
      <c r="Q1029" s="27"/>
    </row>
    <row r="1030" ht="15.75" customHeight="1">
      <c r="A1030" s="105" t="s">
        <v>1274</v>
      </c>
      <c r="B1030" s="19" t="str">
        <f t="array" ref="B1030">XLOOKUP(A1030,Data!F:F,Data!G:G)</f>
        <v>J1B</v>
      </c>
      <c r="C1030" s="19" t="str">
        <f t="shared" si="3"/>
        <v>J129</v>
      </c>
      <c r="D1030" s="19" t="str">
        <f t="array" ref="D1030">XLOOKUP(A1030,Data!F:F,Data!C:C)</f>
        <v>EXT</v>
      </c>
      <c r="E1030" s="19" t="str">
        <f t="array" ref="E1030">XLOOKUP(A1030,Data!F:F,Data!H:H)</f>
        <v>BW</v>
      </c>
      <c r="F1030" s="106" t="str">
        <f>SUMIFS(Data!J:J,Data!F:F,A1030)</f>
        <v>1</v>
      </c>
      <c r="G1030" s="106" t="str">
        <f>SUMIFS(Cast!C:C,CastElements,A1030)</f>
        <v>0</v>
      </c>
      <c r="H1030" s="106" t="str">
        <f t="shared" si="4"/>
        <v>1</v>
      </c>
      <c r="I1030" s="106" t="str">
        <f>SUMIFS(Del!C:C,Del!B:B,A1030)</f>
        <v>0</v>
      </c>
      <c r="J1030" s="106" t="str">
        <f t="shared" si="5"/>
        <v>1</v>
      </c>
      <c r="K1030" s="106" t="str">
        <f t="shared" si="6"/>
        <v>0</v>
      </c>
      <c r="L1030" s="106"/>
      <c r="M1030" s="106" t="str">
        <f>SUMIFS(Ere!C:C,Ere!B:B,A1030)</f>
        <v>0</v>
      </c>
      <c r="N1030" s="106" t="str">
        <f t="shared" si="7"/>
        <v>1</v>
      </c>
      <c r="O1030" s="107" t="str">
        <f t="array" ref="O1030">XLOOKUP(A1030,Data!F:F,Data!O:O)</f>
        <v>  2.33 </v>
      </c>
      <c r="P1030" s="107" t="str">
        <f t="shared" si="8"/>
        <v>  5.82 </v>
      </c>
      <c r="Q1030" s="27"/>
    </row>
    <row r="1031" ht="15.75" customHeight="1">
      <c r="A1031" s="105" t="s">
        <v>1275</v>
      </c>
      <c r="B1031" s="19" t="str">
        <f t="array" ref="B1031">XLOOKUP(A1031,Data!F:F,Data!G:G)</f>
        <v>J1B</v>
      </c>
      <c r="C1031" s="19" t="str">
        <f t="shared" si="3"/>
        <v>J129</v>
      </c>
      <c r="D1031" s="19" t="str">
        <f t="array" ref="D1031">XLOOKUP(A1031,Data!F:F,Data!C:C)</f>
        <v>EXT</v>
      </c>
      <c r="E1031" s="19" t="str">
        <f t="array" ref="E1031">XLOOKUP(A1031,Data!F:F,Data!H:H)</f>
        <v>BW</v>
      </c>
      <c r="F1031" s="106" t="str">
        <f>SUMIFS(Data!J:J,Data!F:F,A1031)</f>
        <v>1</v>
      </c>
      <c r="G1031" s="106" t="str">
        <f>SUMIFS(Cast!C:C,CastElements,A1031)</f>
        <v>0</v>
      </c>
      <c r="H1031" s="106" t="str">
        <f t="shared" si="4"/>
        <v>1</v>
      </c>
      <c r="I1031" s="106" t="str">
        <f>SUMIFS(Del!C:C,Del!B:B,A1031)</f>
        <v>0</v>
      </c>
      <c r="J1031" s="106" t="str">
        <f t="shared" si="5"/>
        <v>1</v>
      </c>
      <c r="K1031" s="106" t="str">
        <f t="shared" si="6"/>
        <v>0</v>
      </c>
      <c r="L1031" s="106"/>
      <c r="M1031" s="106" t="str">
        <f>SUMIFS(Ere!C:C,Ere!B:B,A1031)</f>
        <v>0</v>
      </c>
      <c r="N1031" s="106" t="str">
        <f t="shared" si="7"/>
        <v>1</v>
      </c>
      <c r="O1031" s="107" t="str">
        <f t="array" ref="O1031">XLOOKUP(A1031,Data!F:F,Data!O:O)</f>
        <v>  2.17 </v>
      </c>
      <c r="P1031" s="107" t="str">
        <f t="shared" si="8"/>
        <v>  5.43 </v>
      </c>
      <c r="Q1031" s="27"/>
    </row>
    <row r="1032" ht="15.75" customHeight="1">
      <c r="A1032" s="105" t="s">
        <v>1276</v>
      </c>
      <c r="B1032" s="19" t="str">
        <f t="array" ref="B1032">XLOOKUP(A1032,Data!F:F,Data!G:G)</f>
        <v>J1B</v>
      </c>
      <c r="C1032" s="19" t="str">
        <f t="shared" si="3"/>
        <v>J129</v>
      </c>
      <c r="D1032" s="19" t="str">
        <f t="array" ref="D1032">XLOOKUP(A1032,Data!F:F,Data!C:C)</f>
        <v/>
      </c>
      <c r="E1032" s="19" t="str">
        <f t="array" ref="E1032">XLOOKUP(A1032,Data!F:F,Data!H:H)</f>
        <v>BW</v>
      </c>
      <c r="F1032" s="106" t="str">
        <f>SUMIFS(Data!J:J,Data!F:F,A1032)</f>
        <v>1</v>
      </c>
      <c r="G1032" s="106" t="str">
        <f>SUMIFS(Cast!C:C,CastElements,A1032)</f>
        <v>1</v>
      </c>
      <c r="H1032" s="106" t="str">
        <f t="shared" si="4"/>
        <v>0</v>
      </c>
      <c r="I1032" s="106" t="str">
        <f>SUMIFS(Del!C:C,Del!B:B,A1032)</f>
        <v>1</v>
      </c>
      <c r="J1032" s="106" t="str">
        <f t="shared" si="5"/>
        <v>0</v>
      </c>
      <c r="K1032" s="106" t="str">
        <f t="shared" si="6"/>
        <v>0</v>
      </c>
      <c r="L1032" s="106"/>
      <c r="M1032" s="106" t="str">
        <f>SUMIFS(Ere!C:C,Ere!B:B,A1032)</f>
        <v>0</v>
      </c>
      <c r="N1032" s="106" t="str">
        <f t="shared" si="7"/>
        <v>1</v>
      </c>
      <c r="O1032" s="107" t="str">
        <f t="array" ref="O1032">XLOOKUP(A1032,Data!F:F,Data!O:O)</f>
        <v>  2.44 </v>
      </c>
      <c r="P1032" s="107" t="str">
        <f t="shared" si="8"/>
        <v>  6.11 </v>
      </c>
      <c r="Q1032" s="27"/>
    </row>
    <row r="1033" ht="15.75" customHeight="1">
      <c r="A1033" s="105" t="s">
        <v>1277</v>
      </c>
      <c r="B1033" s="19" t="str">
        <f t="array" ref="B1033">XLOOKUP(A1033,Data!F:F,Data!G:G)</f>
        <v>J1B</v>
      </c>
      <c r="C1033" s="19" t="str">
        <f t="shared" si="3"/>
        <v>J129</v>
      </c>
      <c r="D1033" s="19" t="str">
        <f t="array" ref="D1033">XLOOKUP(A1033,Data!F:F,Data!C:C)</f>
        <v>EXT</v>
      </c>
      <c r="E1033" s="19" t="str">
        <f t="array" ref="E1033">XLOOKUP(A1033,Data!F:F,Data!H:H)</f>
        <v>BW</v>
      </c>
      <c r="F1033" s="106" t="str">
        <f>SUMIFS(Data!J:J,Data!F:F,A1033)</f>
        <v>1</v>
      </c>
      <c r="G1033" s="106" t="str">
        <f>SUMIFS(Cast!C:C,CastElements,A1033)</f>
        <v>0</v>
      </c>
      <c r="H1033" s="106" t="str">
        <f t="shared" si="4"/>
        <v>1</v>
      </c>
      <c r="I1033" s="106" t="str">
        <f>SUMIFS(Del!C:C,Del!B:B,A1033)</f>
        <v>0</v>
      </c>
      <c r="J1033" s="106" t="str">
        <f t="shared" si="5"/>
        <v>1</v>
      </c>
      <c r="K1033" s="106" t="str">
        <f t="shared" si="6"/>
        <v>0</v>
      </c>
      <c r="L1033" s="106"/>
      <c r="M1033" s="106" t="str">
        <f>SUMIFS(Ere!C:C,Ere!B:B,A1033)</f>
        <v>0</v>
      </c>
      <c r="N1033" s="106" t="str">
        <f t="shared" si="7"/>
        <v>1</v>
      </c>
      <c r="O1033" s="107" t="str">
        <f t="array" ref="O1033">XLOOKUP(A1033,Data!F:F,Data!O:O)</f>
        <v>  2.91 </v>
      </c>
      <c r="P1033" s="107" t="str">
        <f t="shared" si="8"/>
        <v>  7.27 </v>
      </c>
      <c r="Q1033" s="27"/>
    </row>
    <row r="1034" ht="15.75" customHeight="1">
      <c r="A1034" s="110" t="s">
        <v>1278</v>
      </c>
      <c r="B1034" s="19" t="str">
        <f t="array" ref="B1034">XLOOKUP(A1034,Data!F:F,Data!G:G)</f>
        <v>J1B</v>
      </c>
      <c r="C1034" s="19" t="str">
        <f t="shared" si="3"/>
        <v>J130</v>
      </c>
      <c r="D1034" s="19" t="str">
        <f t="array" ref="D1034">XLOOKUP(A1034,Data!F:F,Data!C:C)</f>
        <v/>
      </c>
      <c r="E1034" s="19" t="str">
        <f t="array" ref="E1034">XLOOKUP(A1034,Data!F:F,Data!H:H)</f>
        <v>BW</v>
      </c>
      <c r="F1034" s="106" t="str">
        <f>SUMIFS(Data!J:J,Data!F:F,A1034)</f>
        <v>1</v>
      </c>
      <c r="G1034" s="106" t="str">
        <f>SUMIFS(Cast!C:C,CastElements,A1034)</f>
        <v>1</v>
      </c>
      <c r="H1034" s="106" t="str">
        <f t="shared" si="4"/>
        <v>0</v>
      </c>
      <c r="I1034" s="106" t="str">
        <f>SUMIFS(Del!C:C,Del!B:B,A1034)</f>
        <v>1</v>
      </c>
      <c r="J1034" s="106" t="str">
        <f t="shared" si="5"/>
        <v>0</v>
      </c>
      <c r="K1034" s="106" t="str">
        <f t="shared" si="6"/>
        <v>0</v>
      </c>
      <c r="L1034" s="106"/>
      <c r="M1034" s="106" t="str">
        <f>SUMIFS(Ere!C:C,Ere!B:B,A1034)</f>
        <v>1</v>
      </c>
      <c r="N1034" s="106" t="str">
        <f t="shared" si="7"/>
        <v>0</v>
      </c>
      <c r="O1034" s="107" t="str">
        <f t="array" ref="O1034">XLOOKUP(A1034,Data!F:F,Data!O:O)</f>
        <v>  1.80 </v>
      </c>
      <c r="P1034" s="107" t="str">
        <f t="shared" si="8"/>
        <v>  4.49 </v>
      </c>
      <c r="Q1034" s="27"/>
    </row>
    <row r="1035" ht="15.75" customHeight="1">
      <c r="A1035" s="110" t="s">
        <v>1279</v>
      </c>
      <c r="B1035" s="19" t="str">
        <f t="array" ref="B1035">XLOOKUP(A1035,Data!F:F,Data!G:G)</f>
        <v>J1B</v>
      </c>
      <c r="C1035" s="19" t="str">
        <f t="shared" si="3"/>
        <v>J130</v>
      </c>
      <c r="D1035" s="19" t="str">
        <f t="array" ref="D1035">XLOOKUP(A1035,Data!F:F,Data!C:C)</f>
        <v/>
      </c>
      <c r="E1035" s="19" t="str">
        <f t="array" ref="E1035">XLOOKUP(A1035,Data!F:F,Data!H:H)</f>
        <v>BW</v>
      </c>
      <c r="F1035" s="106" t="str">
        <f>SUMIFS(Data!J:J,Data!F:F,A1035)</f>
        <v>1</v>
      </c>
      <c r="G1035" s="106" t="str">
        <f>SUMIFS(Cast!C:C,CastElements,A1035)</f>
        <v>1</v>
      </c>
      <c r="H1035" s="106" t="str">
        <f t="shared" si="4"/>
        <v>0</v>
      </c>
      <c r="I1035" s="106" t="str">
        <f>SUMIFS(Del!C:C,Del!B:B,A1035)</f>
        <v>1</v>
      </c>
      <c r="J1035" s="106" t="str">
        <f t="shared" si="5"/>
        <v>0</v>
      </c>
      <c r="K1035" s="106" t="str">
        <f t="shared" si="6"/>
        <v>0</v>
      </c>
      <c r="L1035" s="106"/>
      <c r="M1035" s="106" t="str">
        <f>SUMIFS(Ere!C:C,Ere!B:B,A1035)</f>
        <v>1</v>
      </c>
      <c r="N1035" s="106" t="str">
        <f t="shared" si="7"/>
        <v>0</v>
      </c>
      <c r="O1035" s="107" t="str">
        <f t="array" ref="O1035">XLOOKUP(A1035,Data!F:F,Data!O:O)</f>
        <v>  1.80 </v>
      </c>
      <c r="P1035" s="107" t="str">
        <f t="shared" si="8"/>
        <v>  4.49 </v>
      </c>
      <c r="Q1035" s="27"/>
    </row>
    <row r="1036" ht="15.75" customHeight="1">
      <c r="A1036" s="110" t="s">
        <v>1280</v>
      </c>
      <c r="B1036" s="19" t="str">
        <f t="array" ref="B1036">XLOOKUP(A1036,Data!F:F,Data!G:G)</f>
        <v>J1B</v>
      </c>
      <c r="C1036" s="19" t="str">
        <f t="shared" si="3"/>
        <v>J130</v>
      </c>
      <c r="D1036" s="19" t="str">
        <f t="array" ref="D1036">XLOOKUP(A1036,Data!F:F,Data!C:C)</f>
        <v/>
      </c>
      <c r="E1036" s="19" t="str">
        <f t="array" ref="E1036">XLOOKUP(A1036,Data!F:F,Data!H:H)</f>
        <v>BW</v>
      </c>
      <c r="F1036" s="106" t="str">
        <f>SUMIFS(Data!J:J,Data!F:F,A1036)</f>
        <v>1</v>
      </c>
      <c r="G1036" s="106" t="str">
        <f>SUMIFS(Cast!C:C,CastElements,A1036)</f>
        <v>1</v>
      </c>
      <c r="H1036" s="106" t="str">
        <f t="shared" si="4"/>
        <v>0</v>
      </c>
      <c r="I1036" s="106" t="str">
        <f>SUMIFS(Del!C:C,Del!B:B,A1036)</f>
        <v>1</v>
      </c>
      <c r="J1036" s="106" t="str">
        <f t="shared" si="5"/>
        <v>0</v>
      </c>
      <c r="K1036" s="106" t="str">
        <f t="shared" si="6"/>
        <v>0</v>
      </c>
      <c r="L1036" s="106"/>
      <c r="M1036" s="106" t="str">
        <f>SUMIFS(Ere!C:C,Ere!B:B,A1036)</f>
        <v>1</v>
      </c>
      <c r="N1036" s="106" t="str">
        <f t="shared" si="7"/>
        <v>0</v>
      </c>
      <c r="O1036" s="107" t="str">
        <f t="array" ref="O1036">XLOOKUP(A1036,Data!F:F,Data!O:O)</f>
        <v>  1.80 </v>
      </c>
      <c r="P1036" s="107" t="str">
        <f t="shared" si="8"/>
        <v>  4.49 </v>
      </c>
      <c r="Q1036" s="27"/>
    </row>
    <row r="1037" ht="15.75" customHeight="1">
      <c r="A1037" s="110" t="s">
        <v>1281</v>
      </c>
      <c r="B1037" s="19" t="str">
        <f t="array" ref="B1037">XLOOKUP(A1037,Data!F:F,Data!G:G)</f>
        <v>J1B</v>
      </c>
      <c r="C1037" s="19" t="str">
        <f t="shared" si="3"/>
        <v>J130</v>
      </c>
      <c r="D1037" s="19" t="str">
        <f t="array" ref="D1037">XLOOKUP(A1037,Data!F:F,Data!C:C)</f>
        <v>EXT</v>
      </c>
      <c r="E1037" s="19" t="str">
        <f t="array" ref="E1037">XLOOKUP(A1037,Data!F:F,Data!H:H)</f>
        <v>BW</v>
      </c>
      <c r="F1037" s="106" t="str">
        <f>SUMIFS(Data!J:J,Data!F:F,A1037)</f>
        <v>1</v>
      </c>
      <c r="G1037" s="106" t="str">
        <f>SUMIFS(Cast!C:C,CastElements,A1037)</f>
        <v>0</v>
      </c>
      <c r="H1037" s="106" t="str">
        <f t="shared" si="4"/>
        <v>1</v>
      </c>
      <c r="I1037" s="106" t="str">
        <f>SUMIFS(Del!C:C,Del!B:B,A1037)</f>
        <v>0</v>
      </c>
      <c r="J1037" s="106" t="str">
        <f t="shared" si="5"/>
        <v>1</v>
      </c>
      <c r="K1037" s="106" t="str">
        <f t="shared" si="6"/>
        <v>0</v>
      </c>
      <c r="L1037" s="106"/>
      <c r="M1037" s="106" t="str">
        <f>SUMIFS(Ere!C:C,Ere!B:B,A1037)</f>
        <v>0</v>
      </c>
      <c r="N1037" s="106" t="str">
        <f t="shared" si="7"/>
        <v>1</v>
      </c>
      <c r="O1037" s="107" t="str">
        <f t="array" ref="O1037">XLOOKUP(A1037,Data!F:F,Data!O:O)</f>
        <v>  1.38 </v>
      </c>
      <c r="P1037" s="107" t="str">
        <f t="shared" si="8"/>
        <v>  3.45 </v>
      </c>
      <c r="Q1037" s="27"/>
    </row>
    <row r="1038" ht="15.75" customHeight="1">
      <c r="A1038" s="110" t="s">
        <v>1282</v>
      </c>
      <c r="B1038" s="19" t="str">
        <f t="array" ref="B1038">XLOOKUP(A1038,Data!F:F,Data!G:G)</f>
        <v>J1B</v>
      </c>
      <c r="C1038" s="19" t="str">
        <f t="shared" si="3"/>
        <v>J130</v>
      </c>
      <c r="D1038" s="19" t="str">
        <f t="array" ref="D1038">XLOOKUP(A1038,Data!F:F,Data!C:C)</f>
        <v>EXT</v>
      </c>
      <c r="E1038" s="19" t="str">
        <f t="array" ref="E1038">XLOOKUP(A1038,Data!F:F,Data!H:H)</f>
        <v>BW</v>
      </c>
      <c r="F1038" s="106" t="str">
        <f>SUMIFS(Data!J:J,Data!F:F,A1038)</f>
        <v>1</v>
      </c>
      <c r="G1038" s="106" t="str">
        <f>SUMIFS(Cast!C:C,CastElements,A1038)</f>
        <v>0</v>
      </c>
      <c r="H1038" s="106" t="str">
        <f t="shared" si="4"/>
        <v>1</v>
      </c>
      <c r="I1038" s="106" t="str">
        <f>SUMIFS(Del!C:C,Del!B:B,A1038)</f>
        <v>0</v>
      </c>
      <c r="J1038" s="106" t="str">
        <f t="shared" si="5"/>
        <v>1</v>
      </c>
      <c r="K1038" s="106" t="str">
        <f t="shared" si="6"/>
        <v>0</v>
      </c>
      <c r="L1038" s="106"/>
      <c r="M1038" s="106" t="str">
        <f>SUMIFS(Ere!C:C,Ere!B:B,A1038)</f>
        <v>0</v>
      </c>
      <c r="N1038" s="106" t="str">
        <f t="shared" si="7"/>
        <v>1</v>
      </c>
      <c r="O1038" s="107" t="str">
        <f t="array" ref="O1038">XLOOKUP(A1038,Data!F:F,Data!O:O)</f>
        <v>  1.94 </v>
      </c>
      <c r="P1038" s="107" t="str">
        <f t="shared" si="8"/>
        <v>  4.85 </v>
      </c>
      <c r="Q1038" s="27"/>
    </row>
    <row r="1039" ht="15.75" customHeight="1">
      <c r="A1039" s="110" t="s">
        <v>1283</v>
      </c>
      <c r="B1039" s="19" t="str">
        <f t="array" ref="B1039">XLOOKUP(A1039,Data!F:F,Data!G:G)</f>
        <v>J1B</v>
      </c>
      <c r="C1039" s="19" t="str">
        <f t="shared" si="3"/>
        <v>J130</v>
      </c>
      <c r="D1039" s="19" t="str">
        <f t="array" ref="D1039">XLOOKUP(A1039,Data!F:F,Data!C:C)</f>
        <v>EXT</v>
      </c>
      <c r="E1039" s="19" t="str">
        <f t="array" ref="E1039">XLOOKUP(A1039,Data!F:F,Data!H:H)</f>
        <v>BW</v>
      </c>
      <c r="F1039" s="106" t="str">
        <f>SUMIFS(Data!J:J,Data!F:F,A1039)</f>
        <v>1</v>
      </c>
      <c r="G1039" s="106" t="str">
        <f>SUMIFS(Cast!C:C,CastElements,A1039)</f>
        <v>0</v>
      </c>
      <c r="H1039" s="106" t="str">
        <f t="shared" si="4"/>
        <v>1</v>
      </c>
      <c r="I1039" s="106" t="str">
        <f>SUMIFS(Del!C:C,Del!B:B,A1039)</f>
        <v>0</v>
      </c>
      <c r="J1039" s="106" t="str">
        <f t="shared" si="5"/>
        <v>1</v>
      </c>
      <c r="K1039" s="106" t="str">
        <f t="shared" si="6"/>
        <v>0</v>
      </c>
      <c r="L1039" s="106"/>
      <c r="M1039" s="106" t="str">
        <f>SUMIFS(Ere!C:C,Ere!B:B,A1039)</f>
        <v>0</v>
      </c>
      <c r="N1039" s="106" t="str">
        <f t="shared" si="7"/>
        <v>1</v>
      </c>
      <c r="O1039" s="107" t="str">
        <f t="array" ref="O1039">XLOOKUP(A1039,Data!F:F,Data!O:O)</f>
        <v>  2.30 </v>
      </c>
      <c r="P1039" s="107" t="str">
        <f t="shared" si="8"/>
        <v>  5.75 </v>
      </c>
      <c r="Q1039" s="27"/>
    </row>
    <row r="1040" ht="15.75" customHeight="1">
      <c r="A1040" s="110" t="s">
        <v>1284</v>
      </c>
      <c r="B1040" s="19" t="str">
        <f t="array" ref="B1040">XLOOKUP(A1040,Data!F:F,Data!G:G)</f>
        <v>J1B</v>
      </c>
      <c r="C1040" s="19" t="str">
        <f t="shared" si="3"/>
        <v>J130</v>
      </c>
      <c r="D1040" s="19" t="str">
        <f t="array" ref="D1040">XLOOKUP(A1040,Data!F:F,Data!C:C)</f>
        <v>EXT</v>
      </c>
      <c r="E1040" s="19" t="str">
        <f t="array" ref="E1040">XLOOKUP(A1040,Data!F:F,Data!H:H)</f>
        <v>BW</v>
      </c>
      <c r="F1040" s="106" t="str">
        <f>SUMIFS(Data!J:J,Data!F:F,A1040)</f>
        <v>1</v>
      </c>
      <c r="G1040" s="106" t="str">
        <f>SUMIFS(Cast!C:C,CastElements,A1040)</f>
        <v>0</v>
      </c>
      <c r="H1040" s="106" t="str">
        <f t="shared" si="4"/>
        <v>1</v>
      </c>
      <c r="I1040" s="106" t="str">
        <f>SUMIFS(Del!C:C,Del!B:B,A1040)</f>
        <v>0</v>
      </c>
      <c r="J1040" s="106" t="str">
        <f t="shared" si="5"/>
        <v>1</v>
      </c>
      <c r="K1040" s="106" t="str">
        <f t="shared" si="6"/>
        <v>0</v>
      </c>
      <c r="L1040" s="106"/>
      <c r="M1040" s="106" t="str">
        <f>SUMIFS(Ere!C:C,Ere!B:B,A1040)</f>
        <v>0</v>
      </c>
      <c r="N1040" s="106" t="str">
        <f t="shared" si="7"/>
        <v>1</v>
      </c>
      <c r="O1040" s="107" t="str">
        <f t="array" ref="O1040">XLOOKUP(A1040,Data!F:F,Data!O:O)</f>
        <v>  2.32 </v>
      </c>
      <c r="P1040" s="107" t="str">
        <f t="shared" si="8"/>
        <v>  5.79 </v>
      </c>
      <c r="Q1040" s="27"/>
    </row>
    <row r="1041" ht="15.75" customHeight="1">
      <c r="A1041" s="110" t="s">
        <v>1285</v>
      </c>
      <c r="B1041" s="19" t="str">
        <f t="array" ref="B1041">XLOOKUP(A1041,Data!F:F,Data!G:G)</f>
        <v>J1B</v>
      </c>
      <c r="C1041" s="19" t="str">
        <f t="shared" si="3"/>
        <v>J130</v>
      </c>
      <c r="D1041" s="19" t="str">
        <f t="array" ref="D1041">XLOOKUP(A1041,Data!F:F,Data!C:C)</f>
        <v/>
      </c>
      <c r="E1041" s="19" t="str">
        <f t="array" ref="E1041">XLOOKUP(A1041,Data!F:F,Data!H:H)</f>
        <v>BW</v>
      </c>
      <c r="F1041" s="106" t="str">
        <f>SUMIFS(Data!J:J,Data!F:F,A1041)</f>
        <v>1</v>
      </c>
      <c r="G1041" s="106" t="str">
        <f>SUMIFS(Cast!C:C,CastElements,A1041)</f>
        <v>1</v>
      </c>
      <c r="H1041" s="106" t="str">
        <f t="shared" si="4"/>
        <v>0</v>
      </c>
      <c r="I1041" s="106" t="str">
        <f>SUMIFS(Del!C:C,Del!B:B,A1041)</f>
        <v>1</v>
      </c>
      <c r="J1041" s="106" t="str">
        <f t="shared" si="5"/>
        <v>0</v>
      </c>
      <c r="K1041" s="106" t="str">
        <f t="shared" si="6"/>
        <v>0</v>
      </c>
      <c r="L1041" s="106"/>
      <c r="M1041" s="106" t="str">
        <f>SUMIFS(Ere!C:C,Ere!B:B,A1041)</f>
        <v>1</v>
      </c>
      <c r="N1041" s="106" t="str">
        <f t="shared" si="7"/>
        <v>0</v>
      </c>
      <c r="O1041" s="107" t="str">
        <f t="array" ref="O1041">XLOOKUP(A1041,Data!F:F,Data!O:O)</f>
        <v>  1.74 </v>
      </c>
      <c r="P1041" s="107" t="str">
        <f t="shared" si="8"/>
        <v>  4.36 </v>
      </c>
      <c r="Q1041" s="27"/>
    </row>
    <row r="1042" ht="15.75" customHeight="1">
      <c r="A1042" s="110" t="s">
        <v>1286</v>
      </c>
      <c r="B1042" s="19" t="str">
        <f t="array" ref="B1042">XLOOKUP(A1042,Data!F:F,Data!G:G)</f>
        <v>J1B</v>
      </c>
      <c r="C1042" s="19" t="str">
        <f t="shared" si="3"/>
        <v>J130</v>
      </c>
      <c r="D1042" s="19" t="str">
        <f t="array" ref="D1042">XLOOKUP(A1042,Data!F:F,Data!C:C)</f>
        <v/>
      </c>
      <c r="E1042" s="19" t="str">
        <f t="array" ref="E1042">XLOOKUP(A1042,Data!F:F,Data!H:H)</f>
        <v>BW</v>
      </c>
      <c r="F1042" s="106" t="str">
        <f>SUMIFS(Data!J:J,Data!F:F,A1042)</f>
        <v>1</v>
      </c>
      <c r="G1042" s="106" t="str">
        <f>SUMIFS(Cast!C:C,CastElements,A1042)</f>
        <v>1</v>
      </c>
      <c r="H1042" s="106" t="str">
        <f t="shared" si="4"/>
        <v>0</v>
      </c>
      <c r="I1042" s="106" t="str">
        <f>SUMIFS(Del!C:C,Del!B:B,A1042)</f>
        <v>1</v>
      </c>
      <c r="J1042" s="106" t="str">
        <f t="shared" si="5"/>
        <v>0</v>
      </c>
      <c r="K1042" s="106" t="str">
        <f t="shared" si="6"/>
        <v>0</v>
      </c>
      <c r="L1042" s="106"/>
      <c r="M1042" s="106" t="str">
        <f>SUMIFS(Ere!C:C,Ere!B:B,A1042)</f>
        <v>1</v>
      </c>
      <c r="N1042" s="106" t="str">
        <f t="shared" si="7"/>
        <v>0</v>
      </c>
      <c r="O1042" s="107" t="str">
        <f t="array" ref="O1042">XLOOKUP(A1042,Data!F:F,Data!O:O)</f>
        <v>  1.74 </v>
      </c>
      <c r="P1042" s="107" t="str">
        <f t="shared" si="8"/>
        <v>  4.36 </v>
      </c>
      <c r="Q1042" s="27"/>
    </row>
    <row r="1043" ht="15.75" customHeight="1">
      <c r="A1043" s="110" t="s">
        <v>1287</v>
      </c>
      <c r="B1043" s="19" t="str">
        <f t="array" ref="B1043">XLOOKUP(A1043,Data!F:F,Data!G:G)</f>
        <v>J1B</v>
      </c>
      <c r="C1043" s="19" t="str">
        <f t="shared" si="3"/>
        <v>J130</v>
      </c>
      <c r="D1043" s="19" t="str">
        <f t="array" ref="D1043">XLOOKUP(A1043,Data!F:F,Data!C:C)</f>
        <v/>
      </c>
      <c r="E1043" s="19" t="str">
        <f t="array" ref="E1043">XLOOKUP(A1043,Data!F:F,Data!H:H)</f>
        <v>BW</v>
      </c>
      <c r="F1043" s="106" t="str">
        <f>SUMIFS(Data!J:J,Data!F:F,A1043)</f>
        <v>1</v>
      </c>
      <c r="G1043" s="106" t="str">
        <f>SUMIFS(Cast!C:C,CastElements,A1043)</f>
        <v>1</v>
      </c>
      <c r="H1043" s="106" t="str">
        <f t="shared" si="4"/>
        <v>0</v>
      </c>
      <c r="I1043" s="106" t="str">
        <f>SUMIFS(Del!C:C,Del!B:B,A1043)</f>
        <v>1</v>
      </c>
      <c r="J1043" s="106" t="str">
        <f t="shared" si="5"/>
        <v>0</v>
      </c>
      <c r="K1043" s="106" t="str">
        <f t="shared" si="6"/>
        <v>0</v>
      </c>
      <c r="L1043" s="106"/>
      <c r="M1043" s="106" t="str">
        <f>SUMIFS(Ere!C:C,Ere!B:B,A1043)</f>
        <v>1</v>
      </c>
      <c r="N1043" s="106" t="str">
        <f t="shared" si="7"/>
        <v>0</v>
      </c>
      <c r="O1043" s="107" t="str">
        <f t="array" ref="O1043">XLOOKUP(A1043,Data!F:F,Data!O:O)</f>
        <v>  1.74 </v>
      </c>
      <c r="P1043" s="107" t="str">
        <f t="shared" si="8"/>
        <v>  4.36 </v>
      </c>
      <c r="Q1043" s="27"/>
    </row>
    <row r="1044" ht="15.75" customHeight="1">
      <c r="A1044" s="110" t="s">
        <v>1288</v>
      </c>
      <c r="B1044" s="19" t="str">
        <f t="array" ref="B1044">XLOOKUP(A1044,Data!F:F,Data!G:G)</f>
        <v>J1B</v>
      </c>
      <c r="C1044" s="19" t="str">
        <f t="shared" si="3"/>
        <v>J130</v>
      </c>
      <c r="D1044" s="19" t="str">
        <f t="array" ref="D1044">XLOOKUP(A1044,Data!F:F,Data!C:C)</f>
        <v/>
      </c>
      <c r="E1044" s="19" t="str">
        <f t="array" ref="E1044">XLOOKUP(A1044,Data!F:F,Data!H:H)</f>
        <v>BW</v>
      </c>
      <c r="F1044" s="106" t="str">
        <f>SUMIFS(Data!J:J,Data!F:F,A1044)</f>
        <v>1</v>
      </c>
      <c r="G1044" s="106" t="str">
        <f>SUMIFS(Cast!C:C,CastElements,A1044)</f>
        <v>1</v>
      </c>
      <c r="H1044" s="106" t="str">
        <f t="shared" si="4"/>
        <v>0</v>
      </c>
      <c r="I1044" s="106" t="str">
        <f>SUMIFS(Del!C:C,Del!B:B,A1044)</f>
        <v>1</v>
      </c>
      <c r="J1044" s="106" t="str">
        <f t="shared" si="5"/>
        <v>0</v>
      </c>
      <c r="K1044" s="106" t="str">
        <f t="shared" si="6"/>
        <v>0</v>
      </c>
      <c r="L1044" s="106"/>
      <c r="M1044" s="106" t="str">
        <f>SUMIFS(Ere!C:C,Ere!B:B,A1044)</f>
        <v>1</v>
      </c>
      <c r="N1044" s="106" t="str">
        <f t="shared" si="7"/>
        <v>0</v>
      </c>
      <c r="O1044" s="107" t="str">
        <f t="array" ref="O1044">XLOOKUP(A1044,Data!F:F,Data!O:O)</f>
        <v>  1.74 </v>
      </c>
      <c r="P1044" s="107" t="str">
        <f t="shared" si="8"/>
        <v>  4.36 </v>
      </c>
      <c r="Q1044" s="27"/>
    </row>
    <row r="1045" ht="15.75" customHeight="1">
      <c r="A1045" s="110" t="s">
        <v>1289</v>
      </c>
      <c r="B1045" s="19" t="str">
        <f t="array" ref="B1045">XLOOKUP(A1045,Data!F:F,Data!G:G)</f>
        <v>J1B</v>
      </c>
      <c r="C1045" s="19" t="str">
        <f t="shared" si="3"/>
        <v>J130</v>
      </c>
      <c r="D1045" s="19" t="str">
        <f t="array" ref="D1045">XLOOKUP(A1045,Data!F:F,Data!C:C)</f>
        <v/>
      </c>
      <c r="E1045" s="19" t="str">
        <f t="array" ref="E1045">XLOOKUP(A1045,Data!F:F,Data!H:H)</f>
        <v>BW</v>
      </c>
      <c r="F1045" s="106" t="str">
        <f>SUMIFS(Data!J:J,Data!F:F,A1045)</f>
        <v>1</v>
      </c>
      <c r="G1045" s="106" t="str">
        <f>SUMIFS(Cast!C:C,CastElements,A1045)</f>
        <v>1</v>
      </c>
      <c r="H1045" s="106" t="str">
        <f t="shared" si="4"/>
        <v>0</v>
      </c>
      <c r="I1045" s="106" t="str">
        <f>SUMIFS(Del!C:C,Del!B:B,A1045)</f>
        <v>1</v>
      </c>
      <c r="J1045" s="106" t="str">
        <f t="shared" si="5"/>
        <v>0</v>
      </c>
      <c r="K1045" s="106" t="str">
        <f t="shared" si="6"/>
        <v>0</v>
      </c>
      <c r="L1045" s="106"/>
      <c r="M1045" s="106" t="str">
        <f>SUMIFS(Ere!C:C,Ere!B:B,A1045)</f>
        <v>1</v>
      </c>
      <c r="N1045" s="106" t="str">
        <f t="shared" si="7"/>
        <v>0</v>
      </c>
      <c r="O1045" s="107" t="str">
        <f t="array" ref="O1045">XLOOKUP(A1045,Data!F:F,Data!O:O)</f>
        <v>  1.46 </v>
      </c>
      <c r="P1045" s="107" t="str">
        <f t="shared" si="8"/>
        <v>  3.64 </v>
      </c>
      <c r="Q1045" s="27"/>
    </row>
    <row r="1046" ht="15.75" customHeight="1">
      <c r="A1046" s="110" t="s">
        <v>1290</v>
      </c>
      <c r="B1046" s="19" t="str">
        <f t="array" ref="B1046">XLOOKUP(A1046,Data!F:F,Data!G:G)</f>
        <v>J1B</v>
      </c>
      <c r="C1046" s="19" t="str">
        <f t="shared" si="3"/>
        <v>J130</v>
      </c>
      <c r="D1046" s="19" t="str">
        <f t="array" ref="D1046">XLOOKUP(A1046,Data!F:F,Data!C:C)</f>
        <v/>
      </c>
      <c r="E1046" s="19" t="str">
        <f t="array" ref="E1046">XLOOKUP(A1046,Data!F:F,Data!H:H)</f>
        <v>BW</v>
      </c>
      <c r="F1046" s="106" t="str">
        <f>SUMIFS(Data!J:J,Data!F:F,A1046)</f>
        <v>1</v>
      </c>
      <c r="G1046" s="106" t="str">
        <f>SUMIFS(Cast!C:C,CastElements,A1046)</f>
        <v>1</v>
      </c>
      <c r="H1046" s="106" t="str">
        <f t="shared" si="4"/>
        <v>0</v>
      </c>
      <c r="I1046" s="106" t="str">
        <f>SUMIFS(Del!C:C,Del!B:B,A1046)</f>
        <v>1</v>
      </c>
      <c r="J1046" s="106" t="str">
        <f t="shared" si="5"/>
        <v>0</v>
      </c>
      <c r="K1046" s="106" t="str">
        <f t="shared" si="6"/>
        <v>0</v>
      </c>
      <c r="L1046" s="106"/>
      <c r="M1046" s="106" t="str">
        <f>SUMIFS(Ere!C:C,Ere!B:B,A1046)</f>
        <v>1</v>
      </c>
      <c r="N1046" s="106" t="str">
        <f t="shared" si="7"/>
        <v>0</v>
      </c>
      <c r="O1046" s="107" t="str">
        <f t="array" ref="O1046">XLOOKUP(A1046,Data!F:F,Data!O:O)</f>
        <v>  1.95 </v>
      </c>
      <c r="P1046" s="107" t="str">
        <f t="shared" si="8"/>
        <v>  4.88 </v>
      </c>
      <c r="Q1046" s="27"/>
    </row>
    <row r="1047" ht="15.75" customHeight="1">
      <c r="A1047" s="110" t="s">
        <v>1291</v>
      </c>
      <c r="B1047" s="19" t="str">
        <f t="array" ref="B1047">XLOOKUP(A1047,Data!F:F,Data!G:G)</f>
        <v>J1B</v>
      </c>
      <c r="C1047" s="19" t="str">
        <f t="shared" si="3"/>
        <v>J130</v>
      </c>
      <c r="D1047" s="19" t="str">
        <f t="array" ref="D1047">XLOOKUP(A1047,Data!F:F,Data!C:C)</f>
        <v/>
      </c>
      <c r="E1047" s="19" t="str">
        <f t="array" ref="E1047">XLOOKUP(A1047,Data!F:F,Data!H:H)</f>
        <v>BW</v>
      </c>
      <c r="F1047" s="106" t="str">
        <f>SUMIFS(Data!J:J,Data!F:F,A1047)</f>
        <v>1</v>
      </c>
      <c r="G1047" s="106" t="str">
        <f>SUMIFS(Cast!C:C,CastElements,A1047)</f>
        <v>1</v>
      </c>
      <c r="H1047" s="106" t="str">
        <f t="shared" si="4"/>
        <v>0</v>
      </c>
      <c r="I1047" s="106" t="str">
        <f>SUMIFS(Del!C:C,Del!B:B,A1047)</f>
        <v>1</v>
      </c>
      <c r="J1047" s="106" t="str">
        <f t="shared" si="5"/>
        <v>0</v>
      </c>
      <c r="K1047" s="106" t="str">
        <f t="shared" si="6"/>
        <v>0</v>
      </c>
      <c r="L1047" s="106"/>
      <c r="M1047" s="106" t="str">
        <f>SUMIFS(Ere!C:C,Ere!B:B,A1047)</f>
        <v>1</v>
      </c>
      <c r="N1047" s="106" t="str">
        <f t="shared" si="7"/>
        <v>0</v>
      </c>
      <c r="O1047" s="107" t="str">
        <f t="array" ref="O1047">XLOOKUP(A1047,Data!F:F,Data!O:O)</f>
        <v>  1.49 </v>
      </c>
      <c r="P1047" s="107" t="str">
        <f t="shared" si="8"/>
        <v>  3.73 </v>
      </c>
      <c r="Q1047" s="27"/>
    </row>
    <row r="1048" ht="15.75" customHeight="1">
      <c r="A1048" s="110" t="s">
        <v>1292</v>
      </c>
      <c r="B1048" s="19" t="str">
        <f t="array" ref="B1048">XLOOKUP(A1048,Data!F:F,Data!G:G)</f>
        <v>J1B</v>
      </c>
      <c r="C1048" s="19" t="str">
        <f t="shared" si="3"/>
        <v>J130</v>
      </c>
      <c r="D1048" s="19" t="str">
        <f t="array" ref="D1048">XLOOKUP(A1048,Data!F:F,Data!C:C)</f>
        <v/>
      </c>
      <c r="E1048" s="19" t="str">
        <f t="array" ref="E1048">XLOOKUP(A1048,Data!F:F,Data!H:H)</f>
        <v>BW</v>
      </c>
      <c r="F1048" s="106" t="str">
        <f>SUMIFS(Data!J:J,Data!F:F,A1048)</f>
        <v>1</v>
      </c>
      <c r="G1048" s="106" t="str">
        <f>SUMIFS(Cast!C:C,CastElements,A1048)</f>
        <v>1</v>
      </c>
      <c r="H1048" s="106" t="str">
        <f t="shared" si="4"/>
        <v>0</v>
      </c>
      <c r="I1048" s="106" t="str">
        <f>SUMIFS(Del!C:C,Del!B:B,A1048)</f>
        <v>0</v>
      </c>
      <c r="J1048" s="106" t="str">
        <f t="shared" si="5"/>
        <v>1</v>
      </c>
      <c r="K1048" s="106" t="str">
        <f t="shared" si="6"/>
        <v>1</v>
      </c>
      <c r="L1048" s="106"/>
      <c r="M1048" s="106" t="str">
        <f>SUMIFS(Ere!C:C,Ere!B:B,A1048)</f>
        <v>0</v>
      </c>
      <c r="N1048" s="106" t="str">
        <f t="shared" si="7"/>
        <v>1</v>
      </c>
      <c r="O1048" s="107" t="str">
        <f t="array" ref="O1048">XLOOKUP(A1048,Data!F:F,Data!O:O)</f>
        <v>  0.32 </v>
      </c>
      <c r="P1048" s="107" t="str">
        <f t="shared" si="8"/>
        <v>  0.79 </v>
      </c>
      <c r="Q1048" s="27"/>
    </row>
    <row r="1049" ht="15.75" customHeight="1">
      <c r="A1049" s="110" t="s">
        <v>1293</v>
      </c>
      <c r="B1049" s="19" t="str">
        <f t="array" ref="B1049">XLOOKUP(A1049,Data!F:F,Data!G:G)</f>
        <v>J1B</v>
      </c>
      <c r="C1049" s="19" t="str">
        <f t="shared" si="3"/>
        <v>J130</v>
      </c>
      <c r="D1049" s="19" t="str">
        <f t="array" ref="D1049">XLOOKUP(A1049,Data!F:F,Data!C:C)</f>
        <v/>
      </c>
      <c r="E1049" s="19" t="str">
        <f t="array" ref="E1049">XLOOKUP(A1049,Data!F:F,Data!H:H)</f>
        <v>BW</v>
      </c>
      <c r="F1049" s="106" t="str">
        <f>SUMIFS(Data!J:J,Data!F:F,A1049)</f>
        <v>1</v>
      </c>
      <c r="G1049" s="106" t="str">
        <f>SUMIFS(Cast!C:C,CastElements,A1049)</f>
        <v>1</v>
      </c>
      <c r="H1049" s="106" t="str">
        <f t="shared" si="4"/>
        <v>0</v>
      </c>
      <c r="I1049" s="106" t="str">
        <f>SUMIFS(Del!C:C,Del!B:B,A1049)</f>
        <v>1</v>
      </c>
      <c r="J1049" s="106" t="str">
        <f t="shared" si="5"/>
        <v>0</v>
      </c>
      <c r="K1049" s="106" t="str">
        <f t="shared" si="6"/>
        <v>0</v>
      </c>
      <c r="L1049" s="106"/>
      <c r="M1049" s="106" t="str">
        <f>SUMIFS(Ere!C:C,Ere!B:B,A1049)</f>
        <v>0</v>
      </c>
      <c r="N1049" s="106" t="str">
        <f t="shared" si="7"/>
        <v>1</v>
      </c>
      <c r="O1049" s="107" t="str">
        <f t="array" ref="O1049">XLOOKUP(A1049,Data!F:F,Data!O:O)</f>
        <v>  0.41 </v>
      </c>
      <c r="P1049" s="107" t="str">
        <f t="shared" si="8"/>
        <v>  1.03 </v>
      </c>
      <c r="Q1049" s="27"/>
    </row>
    <row r="1050" ht="15.75" customHeight="1">
      <c r="A1050" s="110" t="s">
        <v>1294</v>
      </c>
      <c r="B1050" s="19" t="str">
        <f t="array" ref="B1050">XLOOKUP(A1050,Data!F:F,Data!G:G)</f>
        <v>J1B</v>
      </c>
      <c r="C1050" s="19" t="str">
        <f t="shared" si="3"/>
        <v>J130</v>
      </c>
      <c r="D1050" s="19" t="str">
        <f t="array" ref="D1050">XLOOKUP(A1050,Data!F:F,Data!C:C)</f>
        <v/>
      </c>
      <c r="E1050" s="19" t="str">
        <f t="array" ref="E1050">XLOOKUP(A1050,Data!F:F,Data!H:H)</f>
        <v>CF</v>
      </c>
      <c r="F1050" s="106" t="str">
        <f>SUMIFS(Data!J:J,Data!F:F,A1050)</f>
        <v>1</v>
      </c>
      <c r="G1050" s="106" t="str">
        <f>SUMIFS(Cast!C:C,CastElements,A1050)</f>
        <v>1</v>
      </c>
      <c r="H1050" s="106" t="str">
        <f t="shared" si="4"/>
        <v>0</v>
      </c>
      <c r="I1050" s="106" t="str">
        <f>SUMIFS(Del!C:C,Del!B:B,A1050)</f>
        <v>0</v>
      </c>
      <c r="J1050" s="106" t="str">
        <f t="shared" si="5"/>
        <v>1</v>
      </c>
      <c r="K1050" s="106" t="str">
        <f t="shared" si="6"/>
        <v>1</v>
      </c>
      <c r="L1050" s="106"/>
      <c r="M1050" s="106" t="str">
        <f>SUMIFS(Ere!C:C,Ere!B:B,A1050)</f>
        <v>0</v>
      </c>
      <c r="N1050" s="106" t="str">
        <f t="shared" si="7"/>
        <v>1</v>
      </c>
      <c r="O1050" s="107" t="str">
        <f t="array" ref="O1050">XLOOKUP(A1050,Data!F:F,Data!O:O)</f>
        <v>  0.43 </v>
      </c>
      <c r="P1050" s="107" t="str">
        <f t="shared" si="8"/>
        <v>  1.07 </v>
      </c>
      <c r="Q1050" s="27"/>
    </row>
    <row r="1051" ht="15.75" customHeight="1">
      <c r="A1051" s="110" t="s">
        <v>1295</v>
      </c>
      <c r="B1051" s="19" t="str">
        <f t="array" ref="B1051">XLOOKUP(A1051,Data!F:F,Data!G:G)</f>
        <v>J1B</v>
      </c>
      <c r="C1051" s="19" t="str">
        <f t="shared" si="3"/>
        <v>J131</v>
      </c>
      <c r="D1051" s="19" t="str">
        <f t="array" ref="D1051">XLOOKUP(A1051,Data!F:F,Data!C:C)</f>
        <v>EXT</v>
      </c>
      <c r="E1051" s="19" t="str">
        <f t="array" ref="E1051">XLOOKUP(A1051,Data!F:F,Data!H:H)</f>
        <v>BW</v>
      </c>
      <c r="F1051" s="106" t="str">
        <f>SUMIFS(Data!J:J,Data!F:F,A1051)</f>
        <v>1</v>
      </c>
      <c r="G1051" s="106" t="str">
        <f>SUMIFS(Cast!C:C,CastElements,A1051)</f>
        <v>0</v>
      </c>
      <c r="H1051" s="106" t="str">
        <f t="shared" si="4"/>
        <v>1</v>
      </c>
      <c r="I1051" s="106" t="str">
        <f>SUMIFS(Del!C:C,Del!B:B,A1051)</f>
        <v>0</v>
      </c>
      <c r="J1051" s="106" t="str">
        <f t="shared" si="5"/>
        <v>1</v>
      </c>
      <c r="K1051" s="106" t="str">
        <f t="shared" si="6"/>
        <v>0</v>
      </c>
      <c r="L1051" s="106"/>
      <c r="M1051" s="106" t="str">
        <f>SUMIFS(Ere!C:C,Ere!B:B,A1051)</f>
        <v>0</v>
      </c>
      <c r="N1051" s="106" t="str">
        <f t="shared" si="7"/>
        <v>1</v>
      </c>
      <c r="O1051" s="107" t="str">
        <f t="array" ref="O1051">XLOOKUP(A1051,Data!F:F,Data!O:O)</f>
        <v>  1.94 </v>
      </c>
      <c r="P1051" s="107" t="str">
        <f t="shared" si="8"/>
        <v>  4.84 </v>
      </c>
      <c r="Q1051" s="27"/>
    </row>
    <row r="1052" ht="15.75" customHeight="1">
      <c r="A1052" s="110" t="s">
        <v>1296</v>
      </c>
      <c r="B1052" s="19" t="str">
        <f t="array" ref="B1052">XLOOKUP(A1052,Data!F:F,Data!G:G)</f>
        <v>J1B</v>
      </c>
      <c r="C1052" s="19" t="str">
        <f t="shared" si="3"/>
        <v>J131</v>
      </c>
      <c r="D1052" s="19" t="str">
        <f t="array" ref="D1052">XLOOKUP(A1052,Data!F:F,Data!C:C)</f>
        <v>EXT</v>
      </c>
      <c r="E1052" s="19" t="str">
        <f t="array" ref="E1052">XLOOKUP(A1052,Data!F:F,Data!H:H)</f>
        <v>BW</v>
      </c>
      <c r="F1052" s="106" t="str">
        <f>SUMIFS(Data!J:J,Data!F:F,A1052)</f>
        <v>1</v>
      </c>
      <c r="G1052" s="106" t="str">
        <f>SUMIFS(Cast!C:C,CastElements,A1052)</f>
        <v>0</v>
      </c>
      <c r="H1052" s="106" t="str">
        <f t="shared" si="4"/>
        <v>1</v>
      </c>
      <c r="I1052" s="106" t="str">
        <f>SUMIFS(Del!C:C,Del!B:B,A1052)</f>
        <v>0</v>
      </c>
      <c r="J1052" s="106" t="str">
        <f t="shared" si="5"/>
        <v>1</v>
      </c>
      <c r="K1052" s="106" t="str">
        <f t="shared" si="6"/>
        <v>0</v>
      </c>
      <c r="L1052" s="106"/>
      <c r="M1052" s="106" t="str">
        <f>SUMIFS(Ere!C:C,Ere!B:B,A1052)</f>
        <v>0</v>
      </c>
      <c r="N1052" s="106" t="str">
        <f t="shared" si="7"/>
        <v>1</v>
      </c>
      <c r="O1052" s="107" t="str">
        <f t="array" ref="O1052">XLOOKUP(A1052,Data!F:F,Data!O:O)</f>
        <v>  2.17 </v>
      </c>
      <c r="P1052" s="107" t="str">
        <f t="shared" si="8"/>
        <v>  5.42 </v>
      </c>
      <c r="Q1052" s="27"/>
    </row>
    <row r="1053" ht="15.75" customHeight="1">
      <c r="A1053" s="110" t="s">
        <v>1297</v>
      </c>
      <c r="B1053" s="19" t="str">
        <f t="array" ref="B1053">XLOOKUP(A1053,Data!F:F,Data!G:G)</f>
        <v>J1B</v>
      </c>
      <c r="C1053" s="19" t="str">
        <f t="shared" si="3"/>
        <v>J131</v>
      </c>
      <c r="D1053" s="19" t="str">
        <f t="array" ref="D1053">XLOOKUP(A1053,Data!F:F,Data!C:C)</f>
        <v>EXT</v>
      </c>
      <c r="E1053" s="19" t="str">
        <f t="array" ref="E1053">XLOOKUP(A1053,Data!F:F,Data!H:H)</f>
        <v>BW</v>
      </c>
      <c r="F1053" s="106" t="str">
        <f>SUMIFS(Data!J:J,Data!F:F,A1053)</f>
        <v>1</v>
      </c>
      <c r="G1053" s="106" t="str">
        <f>SUMIFS(Cast!C:C,CastElements,A1053)</f>
        <v>0</v>
      </c>
      <c r="H1053" s="106" t="str">
        <f t="shared" si="4"/>
        <v>1</v>
      </c>
      <c r="I1053" s="106" t="str">
        <f>SUMIFS(Del!C:C,Del!B:B,A1053)</f>
        <v>0</v>
      </c>
      <c r="J1053" s="106" t="str">
        <f t="shared" si="5"/>
        <v>1</v>
      </c>
      <c r="K1053" s="106" t="str">
        <f t="shared" si="6"/>
        <v>0</v>
      </c>
      <c r="L1053" s="106"/>
      <c r="M1053" s="106" t="str">
        <f>SUMIFS(Ere!C:C,Ere!B:B,A1053)</f>
        <v>0</v>
      </c>
      <c r="N1053" s="106" t="str">
        <f t="shared" si="7"/>
        <v>1</v>
      </c>
      <c r="O1053" s="107" t="str">
        <f t="array" ref="O1053">XLOOKUP(A1053,Data!F:F,Data!O:O)</f>
        <v>  2.17 </v>
      </c>
      <c r="P1053" s="107" t="str">
        <f t="shared" si="8"/>
        <v>  5.42 </v>
      </c>
      <c r="Q1053" s="27"/>
    </row>
    <row r="1054" ht="15.75" customHeight="1">
      <c r="A1054" s="110" t="s">
        <v>1298</v>
      </c>
      <c r="B1054" s="19" t="str">
        <f t="array" ref="B1054">XLOOKUP(A1054,Data!F:F,Data!G:G)</f>
        <v>J1B</v>
      </c>
      <c r="C1054" s="19" t="str">
        <f t="shared" si="3"/>
        <v>J131</v>
      </c>
      <c r="D1054" s="19" t="str">
        <f t="array" ref="D1054">XLOOKUP(A1054,Data!F:F,Data!C:C)</f>
        <v>EXT</v>
      </c>
      <c r="E1054" s="19" t="str">
        <f t="array" ref="E1054">XLOOKUP(A1054,Data!F:F,Data!H:H)</f>
        <v>BW</v>
      </c>
      <c r="F1054" s="106" t="str">
        <f>SUMIFS(Data!J:J,Data!F:F,A1054)</f>
        <v>1</v>
      </c>
      <c r="G1054" s="106" t="str">
        <f>SUMIFS(Cast!C:C,CastElements,A1054)</f>
        <v>0</v>
      </c>
      <c r="H1054" s="106" t="str">
        <f t="shared" si="4"/>
        <v>1</v>
      </c>
      <c r="I1054" s="106" t="str">
        <f>SUMIFS(Del!C:C,Del!B:B,A1054)</f>
        <v>0</v>
      </c>
      <c r="J1054" s="106" t="str">
        <f t="shared" si="5"/>
        <v>1</v>
      </c>
      <c r="K1054" s="106" t="str">
        <f t="shared" si="6"/>
        <v>0</v>
      </c>
      <c r="L1054" s="106"/>
      <c r="M1054" s="106" t="str">
        <f>SUMIFS(Ere!C:C,Ere!B:B,A1054)</f>
        <v>0</v>
      </c>
      <c r="N1054" s="106" t="str">
        <f t="shared" si="7"/>
        <v>1</v>
      </c>
      <c r="O1054" s="107" t="str">
        <f t="array" ref="O1054">XLOOKUP(A1054,Data!F:F,Data!O:O)</f>
        <v>  2.91 </v>
      </c>
      <c r="P1054" s="107" t="str">
        <f t="shared" si="8"/>
        <v>  7.27 </v>
      </c>
      <c r="Q1054" s="27"/>
    </row>
    <row r="1055" ht="15.75" customHeight="1">
      <c r="A1055" s="110" t="s">
        <v>1299</v>
      </c>
      <c r="B1055" s="19" t="str">
        <f t="array" ref="B1055">XLOOKUP(A1055,Data!F:F,Data!G:G)</f>
        <v>J1B</v>
      </c>
      <c r="C1055" s="19" t="str">
        <f t="shared" si="3"/>
        <v>J131</v>
      </c>
      <c r="D1055" s="19" t="str">
        <f t="array" ref="D1055">XLOOKUP(A1055,Data!F:F,Data!C:C)</f>
        <v/>
      </c>
      <c r="E1055" s="19" t="str">
        <f t="array" ref="E1055">XLOOKUP(A1055,Data!F:F,Data!H:H)</f>
        <v>BW</v>
      </c>
      <c r="F1055" s="106" t="str">
        <f>SUMIFS(Data!J:J,Data!F:F,A1055)</f>
        <v>1</v>
      </c>
      <c r="G1055" s="106" t="str">
        <f>SUMIFS(Cast!C:C,CastElements,A1055)</f>
        <v>1</v>
      </c>
      <c r="H1055" s="106" t="str">
        <f t="shared" si="4"/>
        <v>0</v>
      </c>
      <c r="I1055" s="106" t="str">
        <f>SUMIFS(Del!C:C,Del!B:B,A1055)</f>
        <v>1</v>
      </c>
      <c r="J1055" s="106" t="str">
        <f t="shared" si="5"/>
        <v>0</v>
      </c>
      <c r="K1055" s="106" t="str">
        <f t="shared" si="6"/>
        <v>0</v>
      </c>
      <c r="L1055" s="106"/>
      <c r="M1055" s="106" t="str">
        <f>SUMIFS(Ere!C:C,Ere!B:B,A1055)</f>
        <v>1</v>
      </c>
      <c r="N1055" s="106" t="str">
        <f t="shared" si="7"/>
        <v>0</v>
      </c>
      <c r="O1055" s="107" t="str">
        <f t="array" ref="O1055">XLOOKUP(A1055,Data!F:F,Data!O:O)</f>
        <v>  1.55 </v>
      </c>
      <c r="P1055" s="107" t="str">
        <f t="shared" si="8"/>
        <v>  3.87 </v>
      </c>
      <c r="Q1055" s="27"/>
    </row>
    <row r="1056" ht="15.75" customHeight="1">
      <c r="A1056" s="110" t="s">
        <v>1300</v>
      </c>
      <c r="B1056" s="19" t="str">
        <f t="array" ref="B1056">XLOOKUP(A1056,Data!F:F,Data!G:G)</f>
        <v>J1B</v>
      </c>
      <c r="C1056" s="19" t="str">
        <f t="shared" si="3"/>
        <v>J131</v>
      </c>
      <c r="D1056" s="19" t="str">
        <f t="array" ref="D1056">XLOOKUP(A1056,Data!F:F,Data!C:C)</f>
        <v/>
      </c>
      <c r="E1056" s="19" t="str">
        <f t="array" ref="E1056">XLOOKUP(A1056,Data!F:F,Data!H:H)</f>
        <v>BW</v>
      </c>
      <c r="F1056" s="106" t="str">
        <f>SUMIFS(Data!J:J,Data!F:F,A1056)</f>
        <v>1</v>
      </c>
      <c r="G1056" s="106" t="str">
        <f>SUMIFS(Cast!C:C,CastElements,A1056)</f>
        <v>1</v>
      </c>
      <c r="H1056" s="106" t="str">
        <f t="shared" si="4"/>
        <v>0</v>
      </c>
      <c r="I1056" s="106" t="str">
        <f>SUMIFS(Del!C:C,Del!B:B,A1056)</f>
        <v>1</v>
      </c>
      <c r="J1056" s="106" t="str">
        <f t="shared" si="5"/>
        <v>0</v>
      </c>
      <c r="K1056" s="106" t="str">
        <f t="shared" si="6"/>
        <v>0</v>
      </c>
      <c r="L1056" s="106"/>
      <c r="M1056" s="106" t="str">
        <f>SUMIFS(Ere!C:C,Ere!B:B,A1056)</f>
        <v>1</v>
      </c>
      <c r="N1056" s="106" t="str">
        <f t="shared" si="7"/>
        <v>0</v>
      </c>
      <c r="O1056" s="107" t="str">
        <f t="array" ref="O1056">XLOOKUP(A1056,Data!F:F,Data!O:O)</f>
        <v>  1.55 </v>
      </c>
      <c r="P1056" s="107" t="str">
        <f t="shared" si="8"/>
        <v>  3.87 </v>
      </c>
      <c r="Q1056" s="27"/>
    </row>
    <row r="1057" ht="15.75" customHeight="1">
      <c r="A1057" s="110" t="s">
        <v>1301</v>
      </c>
      <c r="B1057" s="19" t="str">
        <f t="array" ref="B1057">XLOOKUP(A1057,Data!F:F,Data!G:G)</f>
        <v>J1B</v>
      </c>
      <c r="C1057" s="19" t="str">
        <f t="shared" si="3"/>
        <v>J131</v>
      </c>
      <c r="D1057" s="19" t="str">
        <f t="array" ref="D1057">XLOOKUP(A1057,Data!F:F,Data!C:C)</f>
        <v/>
      </c>
      <c r="E1057" s="19" t="str">
        <f t="array" ref="E1057">XLOOKUP(A1057,Data!F:F,Data!H:H)</f>
        <v>BW</v>
      </c>
      <c r="F1057" s="106" t="str">
        <f>SUMIFS(Data!J:J,Data!F:F,A1057)</f>
        <v>1</v>
      </c>
      <c r="G1057" s="106" t="str">
        <f>SUMIFS(Cast!C:C,CastElements,A1057)</f>
        <v>1</v>
      </c>
      <c r="H1057" s="106" t="str">
        <f t="shared" si="4"/>
        <v>0</v>
      </c>
      <c r="I1057" s="106" t="str">
        <f>SUMIFS(Del!C:C,Del!B:B,A1057)</f>
        <v>1</v>
      </c>
      <c r="J1057" s="106" t="str">
        <f t="shared" si="5"/>
        <v>0</v>
      </c>
      <c r="K1057" s="106" t="str">
        <f t="shared" si="6"/>
        <v>0</v>
      </c>
      <c r="L1057" s="106"/>
      <c r="M1057" s="106" t="str">
        <f>SUMIFS(Ere!C:C,Ere!B:B,A1057)</f>
        <v>0</v>
      </c>
      <c r="N1057" s="106" t="str">
        <f t="shared" si="7"/>
        <v>1</v>
      </c>
      <c r="O1057" s="107" t="str">
        <f t="array" ref="O1057">XLOOKUP(A1057,Data!F:F,Data!O:O)</f>
        <v>  1.55 </v>
      </c>
      <c r="P1057" s="107" t="str">
        <f t="shared" si="8"/>
        <v>  3.87 </v>
      </c>
      <c r="Q1057" s="27"/>
    </row>
    <row r="1058" ht="15.75" customHeight="1">
      <c r="A1058" s="110" t="s">
        <v>1302</v>
      </c>
      <c r="B1058" s="19" t="str">
        <f t="array" ref="B1058">XLOOKUP(A1058,Data!F:F,Data!G:G)</f>
        <v>J1B</v>
      </c>
      <c r="C1058" s="19" t="str">
        <f t="shared" si="3"/>
        <v>J131</v>
      </c>
      <c r="D1058" s="19" t="str">
        <f t="array" ref="D1058">XLOOKUP(A1058,Data!F:F,Data!C:C)</f>
        <v/>
      </c>
      <c r="E1058" s="19" t="str">
        <f t="array" ref="E1058">XLOOKUP(A1058,Data!F:F,Data!H:H)</f>
        <v>BW</v>
      </c>
      <c r="F1058" s="106" t="str">
        <f>SUMIFS(Data!J:J,Data!F:F,A1058)</f>
        <v>1</v>
      </c>
      <c r="G1058" s="106" t="str">
        <f>SUMIFS(Cast!C:C,CastElements,A1058)</f>
        <v>1</v>
      </c>
      <c r="H1058" s="106" t="str">
        <f t="shared" si="4"/>
        <v>0</v>
      </c>
      <c r="I1058" s="106" t="str">
        <f>SUMIFS(Del!C:C,Del!B:B,A1058)</f>
        <v>0</v>
      </c>
      <c r="J1058" s="106" t="str">
        <f t="shared" si="5"/>
        <v>1</v>
      </c>
      <c r="K1058" s="106" t="str">
        <f t="shared" si="6"/>
        <v>1</v>
      </c>
      <c r="L1058" s="106"/>
      <c r="M1058" s="106" t="str">
        <f>SUMIFS(Ere!C:C,Ere!B:B,A1058)</f>
        <v>1</v>
      </c>
      <c r="N1058" s="106" t="str">
        <f t="shared" si="7"/>
        <v>0</v>
      </c>
      <c r="O1058" s="107" t="str">
        <f t="array" ref="O1058">XLOOKUP(A1058,Data!F:F,Data!O:O)</f>
        <v>  1.26 </v>
      </c>
      <c r="P1058" s="107" t="str">
        <f t="shared" si="8"/>
        <v>  3.16 </v>
      </c>
      <c r="Q1058" s="27"/>
    </row>
    <row r="1059" ht="15.75" customHeight="1">
      <c r="A1059" s="110" t="s">
        <v>1303</v>
      </c>
      <c r="B1059" s="19" t="str">
        <f t="array" ref="B1059">XLOOKUP(A1059,Data!F:F,Data!G:G)</f>
        <v>J1B</v>
      </c>
      <c r="C1059" s="19" t="str">
        <f t="shared" si="3"/>
        <v>J131</v>
      </c>
      <c r="D1059" s="19" t="str">
        <f t="array" ref="D1059">XLOOKUP(A1059,Data!F:F,Data!C:C)</f>
        <v/>
      </c>
      <c r="E1059" s="19" t="str">
        <f t="array" ref="E1059">XLOOKUP(A1059,Data!F:F,Data!H:H)</f>
        <v>BW</v>
      </c>
      <c r="F1059" s="106" t="str">
        <f>SUMIFS(Data!J:J,Data!F:F,A1059)</f>
        <v>1</v>
      </c>
      <c r="G1059" s="106" t="str">
        <f>SUMIFS(Cast!C:C,CastElements,A1059)</f>
        <v>1</v>
      </c>
      <c r="H1059" s="106" t="str">
        <f t="shared" si="4"/>
        <v>0</v>
      </c>
      <c r="I1059" s="106" t="str">
        <f>SUMIFS(Del!C:C,Del!B:B,A1059)</f>
        <v>1</v>
      </c>
      <c r="J1059" s="106" t="str">
        <f t="shared" si="5"/>
        <v>0</v>
      </c>
      <c r="K1059" s="106" t="str">
        <f t="shared" si="6"/>
        <v>0</v>
      </c>
      <c r="L1059" s="106"/>
      <c r="M1059" s="106" t="str">
        <f>SUMIFS(Ere!C:C,Ere!B:B,A1059)</f>
        <v>1</v>
      </c>
      <c r="N1059" s="106" t="str">
        <f t="shared" si="7"/>
        <v>0</v>
      </c>
      <c r="O1059" s="107" t="str">
        <f t="array" ref="O1059">XLOOKUP(A1059,Data!F:F,Data!O:O)</f>
        <v>  1.79 </v>
      </c>
      <c r="P1059" s="107" t="str">
        <f t="shared" si="8"/>
        <v>  4.49 </v>
      </c>
      <c r="Q1059" s="27"/>
    </row>
    <row r="1060" ht="15.75" customHeight="1">
      <c r="A1060" s="110" t="s">
        <v>1304</v>
      </c>
      <c r="B1060" s="19" t="str">
        <f t="array" ref="B1060">XLOOKUP(A1060,Data!F:F,Data!G:G)</f>
        <v>J1B</v>
      </c>
      <c r="C1060" s="19" t="str">
        <f t="shared" si="3"/>
        <v>J131</v>
      </c>
      <c r="D1060" s="19" t="str">
        <f t="array" ref="D1060">XLOOKUP(A1060,Data!F:F,Data!C:C)</f>
        <v/>
      </c>
      <c r="E1060" s="19" t="str">
        <f t="array" ref="E1060">XLOOKUP(A1060,Data!F:F,Data!H:H)</f>
        <v>BW</v>
      </c>
      <c r="F1060" s="106" t="str">
        <f>SUMIFS(Data!J:J,Data!F:F,A1060)</f>
        <v>1</v>
      </c>
      <c r="G1060" s="106" t="str">
        <f>SUMIFS(Cast!C:C,CastElements,A1060)</f>
        <v>1</v>
      </c>
      <c r="H1060" s="106" t="str">
        <f t="shared" si="4"/>
        <v>0</v>
      </c>
      <c r="I1060" s="106" t="str">
        <f>SUMIFS(Del!C:C,Del!B:B,A1060)</f>
        <v>1</v>
      </c>
      <c r="J1060" s="106" t="str">
        <f t="shared" si="5"/>
        <v>0</v>
      </c>
      <c r="K1060" s="106" t="str">
        <f t="shared" si="6"/>
        <v>0</v>
      </c>
      <c r="L1060" s="106"/>
      <c r="M1060" s="106" t="str">
        <f>SUMIFS(Ere!C:C,Ere!B:B,A1060)</f>
        <v>1</v>
      </c>
      <c r="N1060" s="106" t="str">
        <f t="shared" si="7"/>
        <v>0</v>
      </c>
      <c r="O1060" s="107" t="str">
        <f t="array" ref="O1060">XLOOKUP(A1060,Data!F:F,Data!O:O)</f>
        <v>  1.79 </v>
      </c>
      <c r="P1060" s="107" t="str">
        <f t="shared" si="8"/>
        <v>  4.49 </v>
      </c>
      <c r="Q1060" s="27"/>
    </row>
    <row r="1061" ht="15.75" customHeight="1">
      <c r="A1061" s="110" t="s">
        <v>1305</v>
      </c>
      <c r="B1061" s="19" t="str">
        <f t="array" ref="B1061">XLOOKUP(A1061,Data!F:F,Data!G:G)</f>
        <v>J1B</v>
      </c>
      <c r="C1061" s="19" t="str">
        <f t="shared" si="3"/>
        <v>J131</v>
      </c>
      <c r="D1061" s="19" t="str">
        <f t="array" ref="D1061">XLOOKUP(A1061,Data!F:F,Data!C:C)</f>
        <v/>
      </c>
      <c r="E1061" s="19" t="str">
        <f t="array" ref="E1061">XLOOKUP(A1061,Data!F:F,Data!H:H)</f>
        <v>BW</v>
      </c>
      <c r="F1061" s="106" t="str">
        <f>SUMIFS(Data!J:J,Data!F:F,A1061)</f>
        <v>1</v>
      </c>
      <c r="G1061" s="106" t="str">
        <f>SUMIFS(Cast!C:C,CastElements,A1061)</f>
        <v>1</v>
      </c>
      <c r="H1061" s="106" t="str">
        <f t="shared" si="4"/>
        <v>0</v>
      </c>
      <c r="I1061" s="106" t="str">
        <f>SUMIFS(Del!C:C,Del!B:B,A1061)</f>
        <v>1</v>
      </c>
      <c r="J1061" s="106" t="str">
        <f t="shared" si="5"/>
        <v>0</v>
      </c>
      <c r="K1061" s="106" t="str">
        <f t="shared" si="6"/>
        <v>0</v>
      </c>
      <c r="L1061" s="106"/>
      <c r="M1061" s="106" t="str">
        <f>SUMIFS(Ere!C:C,Ere!B:B,A1061)</f>
        <v>1</v>
      </c>
      <c r="N1061" s="106" t="str">
        <f t="shared" si="7"/>
        <v>0</v>
      </c>
      <c r="O1061" s="107" t="str">
        <f t="array" ref="O1061">XLOOKUP(A1061,Data!F:F,Data!O:O)</f>
        <v>  1.79 </v>
      </c>
      <c r="P1061" s="107" t="str">
        <f t="shared" si="8"/>
        <v>  4.49 </v>
      </c>
      <c r="Q1061" s="27"/>
    </row>
    <row r="1062" ht="15.75" customHeight="1">
      <c r="A1062" s="110" t="s">
        <v>1306</v>
      </c>
      <c r="B1062" s="19" t="str">
        <f t="array" ref="B1062">XLOOKUP(A1062,Data!F:F,Data!G:G)</f>
        <v>J1B</v>
      </c>
      <c r="C1062" s="19" t="str">
        <f t="shared" si="3"/>
        <v>J131</v>
      </c>
      <c r="D1062" s="19" t="str">
        <f t="array" ref="D1062">XLOOKUP(A1062,Data!F:F,Data!C:C)</f>
        <v/>
      </c>
      <c r="E1062" s="19" t="str">
        <f t="array" ref="E1062">XLOOKUP(A1062,Data!F:F,Data!H:H)</f>
        <v>BW</v>
      </c>
      <c r="F1062" s="106" t="str">
        <f>SUMIFS(Data!J:J,Data!F:F,A1062)</f>
        <v>1</v>
      </c>
      <c r="G1062" s="106" t="str">
        <f>SUMIFS(Cast!C:C,CastElements,A1062)</f>
        <v>1</v>
      </c>
      <c r="H1062" s="106" t="str">
        <f t="shared" si="4"/>
        <v>0</v>
      </c>
      <c r="I1062" s="106" t="str">
        <f>SUMIFS(Del!C:C,Del!B:B,A1062)</f>
        <v>1</v>
      </c>
      <c r="J1062" s="106" t="str">
        <f t="shared" si="5"/>
        <v>0</v>
      </c>
      <c r="K1062" s="106" t="str">
        <f t="shared" si="6"/>
        <v>0</v>
      </c>
      <c r="L1062" s="106"/>
      <c r="M1062" s="106" t="str">
        <f>SUMIFS(Ere!C:C,Ere!B:B,A1062)</f>
        <v>1</v>
      </c>
      <c r="N1062" s="106" t="str">
        <f t="shared" si="7"/>
        <v>0</v>
      </c>
      <c r="O1062" s="107" t="str">
        <f t="array" ref="O1062">XLOOKUP(A1062,Data!F:F,Data!O:O)</f>
        <v>  1.79 </v>
      </c>
      <c r="P1062" s="107" t="str">
        <f t="shared" si="8"/>
        <v>  4.49 </v>
      </c>
      <c r="Q1062" s="27"/>
    </row>
    <row r="1063" ht="15.75" customHeight="1">
      <c r="A1063" s="110" t="s">
        <v>1307</v>
      </c>
      <c r="B1063" s="19" t="str">
        <f t="array" ref="B1063">XLOOKUP(A1063,Data!F:F,Data!G:G)</f>
        <v>J1B</v>
      </c>
      <c r="C1063" s="19" t="str">
        <f t="shared" si="3"/>
        <v>J131</v>
      </c>
      <c r="D1063" s="19" t="str">
        <f t="array" ref="D1063">XLOOKUP(A1063,Data!F:F,Data!C:C)</f>
        <v/>
      </c>
      <c r="E1063" s="19" t="str">
        <f t="array" ref="E1063">XLOOKUP(A1063,Data!F:F,Data!H:H)</f>
        <v>BW</v>
      </c>
      <c r="F1063" s="106" t="str">
        <f>SUMIFS(Data!J:J,Data!F:F,A1063)</f>
        <v>1</v>
      </c>
      <c r="G1063" s="106" t="str">
        <f>SUMIFS(Cast!C:C,CastElements,A1063)</f>
        <v>1</v>
      </c>
      <c r="H1063" s="106" t="str">
        <f t="shared" si="4"/>
        <v>0</v>
      </c>
      <c r="I1063" s="106" t="str">
        <f>SUMIFS(Del!C:C,Del!B:B,A1063)</f>
        <v>1</v>
      </c>
      <c r="J1063" s="106" t="str">
        <f t="shared" si="5"/>
        <v>0</v>
      </c>
      <c r="K1063" s="106" t="str">
        <f t="shared" si="6"/>
        <v>0</v>
      </c>
      <c r="L1063" s="106"/>
      <c r="M1063" s="106" t="str">
        <f>SUMIFS(Ere!C:C,Ere!B:B,A1063)</f>
        <v>1</v>
      </c>
      <c r="N1063" s="106" t="str">
        <f t="shared" si="7"/>
        <v>0</v>
      </c>
      <c r="O1063" s="107" t="str">
        <f t="array" ref="O1063">XLOOKUP(A1063,Data!F:F,Data!O:O)</f>
        <v>  1.51 </v>
      </c>
      <c r="P1063" s="107" t="str">
        <f t="shared" si="8"/>
        <v>  3.77 </v>
      </c>
      <c r="Q1063" s="27"/>
    </row>
    <row r="1064" ht="15.75" customHeight="1">
      <c r="A1064" s="110" t="s">
        <v>1308</v>
      </c>
      <c r="B1064" s="19" t="str">
        <f t="array" ref="B1064">XLOOKUP(A1064,Data!F:F,Data!G:G)</f>
        <v>J1B</v>
      </c>
      <c r="C1064" s="19" t="str">
        <f t="shared" si="3"/>
        <v>J131</v>
      </c>
      <c r="D1064" s="19" t="str">
        <f t="array" ref="D1064">XLOOKUP(A1064,Data!F:F,Data!C:C)</f>
        <v/>
      </c>
      <c r="E1064" s="19" t="str">
        <f t="array" ref="E1064">XLOOKUP(A1064,Data!F:F,Data!H:H)</f>
        <v>BW</v>
      </c>
      <c r="F1064" s="106" t="str">
        <f>SUMIFS(Data!J:J,Data!F:F,A1064)</f>
        <v>1</v>
      </c>
      <c r="G1064" s="106" t="str">
        <f>SUMIFS(Cast!C:C,CastElements,A1064)</f>
        <v>1</v>
      </c>
      <c r="H1064" s="106" t="str">
        <f t="shared" si="4"/>
        <v>0</v>
      </c>
      <c r="I1064" s="106" t="str">
        <f>SUMIFS(Del!C:C,Del!B:B,A1064)</f>
        <v>1</v>
      </c>
      <c r="J1064" s="106" t="str">
        <f t="shared" si="5"/>
        <v>0</v>
      </c>
      <c r="K1064" s="106" t="str">
        <f t="shared" si="6"/>
        <v>0</v>
      </c>
      <c r="L1064" s="106"/>
      <c r="M1064" s="106" t="str">
        <f>SUMIFS(Ere!C:C,Ere!B:B,A1064)</f>
        <v>0</v>
      </c>
      <c r="N1064" s="106" t="str">
        <f t="shared" si="7"/>
        <v>1</v>
      </c>
      <c r="O1064" s="107" t="str">
        <f t="array" ref="O1064">XLOOKUP(A1064,Data!F:F,Data!O:O)</f>
        <v>  1.92 </v>
      </c>
      <c r="P1064" s="107" t="str">
        <f t="shared" si="8"/>
        <v>  4.80 </v>
      </c>
      <c r="Q1064" s="27"/>
    </row>
    <row r="1065" ht="15.75" customHeight="1">
      <c r="A1065" s="110" t="s">
        <v>1309</v>
      </c>
      <c r="B1065" s="19" t="str">
        <f t="array" ref="B1065">XLOOKUP(A1065,Data!F:F,Data!G:G)</f>
        <v>J1B</v>
      </c>
      <c r="C1065" s="19" t="str">
        <f t="shared" si="3"/>
        <v>J131</v>
      </c>
      <c r="D1065" s="19" t="str">
        <f t="array" ref="D1065">XLOOKUP(A1065,Data!F:F,Data!C:C)</f>
        <v/>
      </c>
      <c r="E1065" s="19" t="str">
        <f t="array" ref="E1065">XLOOKUP(A1065,Data!F:F,Data!H:H)</f>
        <v>BW</v>
      </c>
      <c r="F1065" s="106" t="str">
        <f>SUMIFS(Data!J:J,Data!F:F,A1065)</f>
        <v>1</v>
      </c>
      <c r="G1065" s="106" t="str">
        <f>SUMIFS(Cast!C:C,CastElements,A1065)</f>
        <v>1</v>
      </c>
      <c r="H1065" s="106" t="str">
        <f t="shared" si="4"/>
        <v>0</v>
      </c>
      <c r="I1065" s="106" t="str">
        <f>SUMIFS(Del!C:C,Del!B:B,A1065)</f>
        <v>1</v>
      </c>
      <c r="J1065" s="106" t="str">
        <f t="shared" si="5"/>
        <v>0</v>
      </c>
      <c r="K1065" s="106" t="str">
        <f t="shared" si="6"/>
        <v>0</v>
      </c>
      <c r="L1065" s="106"/>
      <c r="M1065" s="106" t="str">
        <f>SUMIFS(Ere!C:C,Ere!B:B,A1065)</f>
        <v>0</v>
      </c>
      <c r="N1065" s="106" t="str">
        <f t="shared" si="7"/>
        <v>1</v>
      </c>
      <c r="O1065" s="107" t="str">
        <f t="array" ref="O1065">XLOOKUP(A1065,Data!F:F,Data!O:O)</f>
        <v>  0.44 </v>
      </c>
      <c r="P1065" s="107" t="str">
        <f t="shared" si="8"/>
        <v>  1.10 </v>
      </c>
      <c r="Q1065" s="27"/>
    </row>
    <row r="1066" ht="15.75" customHeight="1">
      <c r="A1066" s="110" t="s">
        <v>1310</v>
      </c>
      <c r="B1066" s="19" t="str">
        <f t="array" ref="B1066">XLOOKUP(A1066,Data!F:F,Data!G:G)</f>
        <v>J1B</v>
      </c>
      <c r="C1066" s="19" t="str">
        <f t="shared" si="3"/>
        <v>J131</v>
      </c>
      <c r="D1066" s="19" t="str">
        <f t="array" ref="D1066">XLOOKUP(A1066,Data!F:F,Data!C:C)</f>
        <v/>
      </c>
      <c r="E1066" s="19" t="str">
        <f t="array" ref="E1066">XLOOKUP(A1066,Data!F:F,Data!H:H)</f>
        <v>CF</v>
      </c>
      <c r="F1066" s="106" t="str">
        <f>SUMIFS(Data!J:J,Data!F:F,A1066)</f>
        <v>1</v>
      </c>
      <c r="G1066" s="106" t="str">
        <f>SUMIFS(Cast!C:C,CastElements,A1066)</f>
        <v>1</v>
      </c>
      <c r="H1066" s="106" t="str">
        <f t="shared" si="4"/>
        <v>0</v>
      </c>
      <c r="I1066" s="106" t="str">
        <f>SUMIFS(Del!C:C,Del!B:B,A1066)</f>
        <v>0</v>
      </c>
      <c r="J1066" s="106" t="str">
        <f t="shared" si="5"/>
        <v>1</v>
      </c>
      <c r="K1066" s="106" t="str">
        <f t="shared" si="6"/>
        <v>1</v>
      </c>
      <c r="L1066" s="106"/>
      <c r="M1066" s="106" t="str">
        <f>SUMIFS(Ere!C:C,Ere!B:B,A1066)</f>
        <v>0</v>
      </c>
      <c r="N1066" s="106" t="str">
        <f t="shared" si="7"/>
        <v>1</v>
      </c>
      <c r="O1066" s="107" t="str">
        <f t="array" ref="O1066">XLOOKUP(A1066,Data!F:F,Data!O:O)</f>
        <v>  0.43 </v>
      </c>
      <c r="P1066" s="107" t="str">
        <f t="shared" si="8"/>
        <v>  1.07 </v>
      </c>
      <c r="Q1066" s="27"/>
    </row>
    <row r="1067" ht="15.75" customHeight="1">
      <c r="A1067" s="110" t="s">
        <v>1311</v>
      </c>
      <c r="B1067" s="19" t="str">
        <f t="array" ref="B1067">XLOOKUP(A1067,Data!F:F,Data!G:G)</f>
        <v>J1B</v>
      </c>
      <c r="C1067" s="19" t="str">
        <f t="shared" si="3"/>
        <v>J131</v>
      </c>
      <c r="D1067" s="19" t="str">
        <f t="array" ref="D1067">XLOOKUP(A1067,Data!F:F,Data!C:C)</f>
        <v/>
      </c>
      <c r="E1067" s="19" t="str">
        <f t="array" ref="E1067">XLOOKUP(A1067,Data!F:F,Data!H:H)</f>
        <v>BW</v>
      </c>
      <c r="F1067" s="106" t="str">
        <f>SUMIFS(Data!J:J,Data!F:F,A1067)</f>
        <v>1</v>
      </c>
      <c r="G1067" s="106" t="str">
        <f>SUMIFS(Cast!C:C,CastElements,A1067)</f>
        <v>1</v>
      </c>
      <c r="H1067" s="106" t="str">
        <f t="shared" si="4"/>
        <v>0</v>
      </c>
      <c r="I1067" s="106" t="str">
        <f>SUMIFS(Del!C:C,Del!B:B,A1067)</f>
        <v>1</v>
      </c>
      <c r="J1067" s="106" t="str">
        <f t="shared" si="5"/>
        <v>0</v>
      </c>
      <c r="K1067" s="106" t="str">
        <f t="shared" si="6"/>
        <v>0</v>
      </c>
      <c r="L1067" s="106"/>
      <c r="M1067" s="106" t="str">
        <f>SUMIFS(Ere!C:C,Ere!B:B,A1067)</f>
        <v>1</v>
      </c>
      <c r="N1067" s="106" t="str">
        <f t="shared" si="7"/>
        <v>0</v>
      </c>
      <c r="O1067" s="107" t="str">
        <f t="array" ref="O1067">XLOOKUP(A1067,Data!F:F,Data!O:O)</f>
        <v>  0.47 </v>
      </c>
      <c r="P1067" s="107" t="str">
        <f t="shared" si="8"/>
        <v>  1.18 </v>
      </c>
      <c r="Q1067" s="27"/>
    </row>
    <row r="1068" ht="15.75" customHeight="1">
      <c r="A1068" s="110" t="s">
        <v>1312</v>
      </c>
      <c r="B1068" s="19" t="str">
        <f t="array" ref="B1068">XLOOKUP(A1068,Data!F:F,Data!G:G)</f>
        <v>J1B</v>
      </c>
      <c r="C1068" s="19" t="str">
        <f t="shared" si="3"/>
        <v>J132</v>
      </c>
      <c r="D1068" s="19" t="str">
        <f t="array" ref="D1068">XLOOKUP(A1068,Data!F:F,Data!C:C)</f>
        <v/>
      </c>
      <c r="E1068" s="19" t="str">
        <f t="array" ref="E1068">XLOOKUP(A1068,Data!F:F,Data!H:H)</f>
        <v>BW</v>
      </c>
      <c r="F1068" s="106" t="str">
        <f>SUMIFS(Data!J:J,Data!F:F,A1068)</f>
        <v>1</v>
      </c>
      <c r="G1068" s="106" t="str">
        <f>SUMIFS(Cast!C:C,CastElements,A1068)</f>
        <v>1</v>
      </c>
      <c r="H1068" s="106" t="str">
        <f t="shared" si="4"/>
        <v>0</v>
      </c>
      <c r="I1068" s="106" t="str">
        <f>SUMIFS(Del!C:C,Del!B:B,A1068)</f>
        <v>1</v>
      </c>
      <c r="J1068" s="106" t="str">
        <f t="shared" si="5"/>
        <v>0</v>
      </c>
      <c r="K1068" s="106" t="str">
        <f t="shared" si="6"/>
        <v>0</v>
      </c>
      <c r="L1068" s="106"/>
      <c r="M1068" s="106" t="str">
        <f>SUMIFS(Ere!C:C,Ere!B:B,A1068)</f>
        <v>1</v>
      </c>
      <c r="N1068" s="106" t="str">
        <f t="shared" si="7"/>
        <v>0</v>
      </c>
      <c r="O1068" s="107" t="str">
        <f t="array" ref="O1068">XLOOKUP(A1068,Data!F:F,Data!O:O)</f>
        <v>  2.12 </v>
      </c>
      <c r="P1068" s="107" t="str">
        <f t="shared" si="8"/>
        <v>  5.30 </v>
      </c>
      <c r="Q1068" s="27"/>
    </row>
    <row r="1069" ht="15.75" customHeight="1">
      <c r="A1069" s="105" t="s">
        <v>1313</v>
      </c>
      <c r="B1069" s="19" t="str">
        <f t="array" ref="B1069">XLOOKUP(A1069,Data!F:F,Data!G:G)</f>
        <v>J1B</v>
      </c>
      <c r="C1069" s="19" t="str">
        <f t="shared" si="3"/>
        <v>J132</v>
      </c>
      <c r="D1069" s="19" t="str">
        <f t="array" ref="D1069">XLOOKUP(A1069,Data!F:F,Data!C:C)</f>
        <v/>
      </c>
      <c r="E1069" s="19" t="str">
        <f t="array" ref="E1069">XLOOKUP(A1069,Data!F:F,Data!H:H)</f>
        <v>BW</v>
      </c>
      <c r="F1069" s="106" t="str">
        <f>SUMIFS(Data!J:J,Data!F:F,A1069)</f>
        <v>1</v>
      </c>
      <c r="G1069" s="106" t="str">
        <f>SUMIFS(Cast!C:C,CastElements,A1069)</f>
        <v>1</v>
      </c>
      <c r="H1069" s="106" t="str">
        <f t="shared" si="4"/>
        <v>0</v>
      </c>
      <c r="I1069" s="106" t="str">
        <f>SUMIFS(Del!C:C,Del!B:B,A1069)</f>
        <v>1</v>
      </c>
      <c r="J1069" s="106" t="str">
        <f t="shared" si="5"/>
        <v>0</v>
      </c>
      <c r="K1069" s="106" t="str">
        <f t="shared" si="6"/>
        <v>0</v>
      </c>
      <c r="L1069" s="106"/>
      <c r="M1069" s="106" t="str">
        <f>SUMIFS(Ere!C:C,Ere!B:B,A1069)</f>
        <v>1</v>
      </c>
      <c r="N1069" s="106" t="str">
        <f t="shared" si="7"/>
        <v>0</v>
      </c>
      <c r="O1069" s="107" t="str">
        <f t="array" ref="O1069">XLOOKUP(A1069,Data!F:F,Data!O:O)</f>
        <v>  1.98 </v>
      </c>
      <c r="P1069" s="107" t="str">
        <f t="shared" si="8"/>
        <v>  4.96 </v>
      </c>
      <c r="Q1069" s="27"/>
    </row>
    <row r="1070" ht="15.75" customHeight="1">
      <c r="A1070" s="105" t="s">
        <v>1314</v>
      </c>
      <c r="B1070" s="19" t="str">
        <f t="array" ref="B1070">XLOOKUP(A1070,Data!F:F,Data!G:G)</f>
        <v>J1B</v>
      </c>
      <c r="C1070" s="19" t="str">
        <f t="shared" si="3"/>
        <v>J132</v>
      </c>
      <c r="D1070" s="19" t="str">
        <f t="array" ref="D1070">XLOOKUP(A1070,Data!F:F,Data!C:C)</f>
        <v/>
      </c>
      <c r="E1070" s="19" t="str">
        <f t="array" ref="E1070">XLOOKUP(A1070,Data!F:F,Data!H:H)</f>
        <v>BW</v>
      </c>
      <c r="F1070" s="106" t="str">
        <f>SUMIFS(Data!J:J,Data!F:F,A1070)</f>
        <v>1</v>
      </c>
      <c r="G1070" s="106" t="str">
        <f>SUMIFS(Cast!C:C,CastElements,A1070)</f>
        <v>1</v>
      </c>
      <c r="H1070" s="106" t="str">
        <f t="shared" si="4"/>
        <v>0</v>
      </c>
      <c r="I1070" s="106" t="str">
        <f>SUMIFS(Del!C:C,Del!B:B,A1070)</f>
        <v>1</v>
      </c>
      <c r="J1070" s="106" t="str">
        <f t="shared" si="5"/>
        <v>0</v>
      </c>
      <c r="K1070" s="106" t="str">
        <f t="shared" si="6"/>
        <v>0</v>
      </c>
      <c r="L1070" s="106"/>
      <c r="M1070" s="106" t="str">
        <f>SUMIFS(Ere!C:C,Ere!B:B,A1070)</f>
        <v>1</v>
      </c>
      <c r="N1070" s="106" t="str">
        <f t="shared" si="7"/>
        <v>0</v>
      </c>
      <c r="O1070" s="107" t="str">
        <f t="array" ref="O1070">XLOOKUP(A1070,Data!F:F,Data!O:O)</f>
        <v>  1.98 </v>
      </c>
      <c r="P1070" s="107" t="str">
        <f t="shared" si="8"/>
        <v>  4.96 </v>
      </c>
      <c r="Q1070" s="27"/>
    </row>
    <row r="1071" ht="15.75" customHeight="1">
      <c r="A1071" s="105" t="s">
        <v>1315</v>
      </c>
      <c r="B1071" s="19" t="str">
        <f t="array" ref="B1071">XLOOKUP(A1071,Data!F:F,Data!G:G)</f>
        <v>J1B</v>
      </c>
      <c r="C1071" s="19" t="str">
        <f t="shared" si="3"/>
        <v>J132</v>
      </c>
      <c r="D1071" s="19" t="str">
        <f t="array" ref="D1071">XLOOKUP(A1071,Data!F:F,Data!C:C)</f>
        <v/>
      </c>
      <c r="E1071" s="19" t="str">
        <f t="array" ref="E1071">XLOOKUP(A1071,Data!F:F,Data!H:H)</f>
        <v>BW</v>
      </c>
      <c r="F1071" s="106" t="str">
        <f>SUMIFS(Data!J:J,Data!F:F,A1071)</f>
        <v>1</v>
      </c>
      <c r="G1071" s="106" t="str">
        <f>SUMIFS(Cast!C:C,CastElements,A1071)</f>
        <v>1</v>
      </c>
      <c r="H1071" s="106" t="str">
        <f t="shared" si="4"/>
        <v>0</v>
      </c>
      <c r="I1071" s="106" t="str">
        <f>SUMIFS(Del!C:C,Del!B:B,A1071)</f>
        <v>1</v>
      </c>
      <c r="J1071" s="106" t="str">
        <f t="shared" si="5"/>
        <v>0</v>
      </c>
      <c r="K1071" s="106" t="str">
        <f t="shared" si="6"/>
        <v>0</v>
      </c>
      <c r="L1071" s="106"/>
      <c r="M1071" s="106" t="str">
        <f>SUMIFS(Ere!C:C,Ere!B:B,A1071)</f>
        <v>1</v>
      </c>
      <c r="N1071" s="106" t="str">
        <f t="shared" si="7"/>
        <v>0</v>
      </c>
      <c r="O1071" s="107" t="str">
        <f t="array" ref="O1071">XLOOKUP(A1071,Data!F:F,Data!O:O)</f>
        <v>  1.98 </v>
      </c>
      <c r="P1071" s="107" t="str">
        <f t="shared" si="8"/>
        <v>  4.96 </v>
      </c>
      <c r="Q1071" s="27"/>
    </row>
    <row r="1072" ht="15.75" customHeight="1">
      <c r="A1072" s="105" t="s">
        <v>1316</v>
      </c>
      <c r="B1072" s="19" t="str">
        <f t="array" ref="B1072">XLOOKUP(A1072,Data!F:F,Data!G:G)</f>
        <v>J1B</v>
      </c>
      <c r="C1072" s="19" t="str">
        <f t="shared" si="3"/>
        <v>J132</v>
      </c>
      <c r="D1072" s="19" t="str">
        <f t="array" ref="D1072">XLOOKUP(A1072,Data!F:F,Data!C:C)</f>
        <v/>
      </c>
      <c r="E1072" s="19" t="str">
        <f t="array" ref="E1072">XLOOKUP(A1072,Data!F:F,Data!H:H)</f>
        <v>BW</v>
      </c>
      <c r="F1072" s="106" t="str">
        <f>SUMIFS(Data!J:J,Data!F:F,A1072)</f>
        <v>1</v>
      </c>
      <c r="G1072" s="106" t="str">
        <f>SUMIFS(Cast!C:C,CastElements,A1072)</f>
        <v>1</v>
      </c>
      <c r="H1072" s="106" t="str">
        <f t="shared" si="4"/>
        <v>0</v>
      </c>
      <c r="I1072" s="106" t="str">
        <f>SUMIFS(Del!C:C,Del!B:B,A1072)</f>
        <v>1</v>
      </c>
      <c r="J1072" s="106" t="str">
        <f t="shared" si="5"/>
        <v>0</v>
      </c>
      <c r="K1072" s="106" t="str">
        <f t="shared" si="6"/>
        <v>0</v>
      </c>
      <c r="L1072" s="106"/>
      <c r="M1072" s="106" t="str">
        <f>SUMIFS(Ere!C:C,Ere!B:B,A1072)</f>
        <v>1</v>
      </c>
      <c r="N1072" s="106" t="str">
        <f t="shared" si="7"/>
        <v>0</v>
      </c>
      <c r="O1072" s="107" t="str">
        <f t="array" ref="O1072">XLOOKUP(A1072,Data!F:F,Data!O:O)</f>
        <v>  1.70 </v>
      </c>
      <c r="P1072" s="107" t="str">
        <f t="shared" si="8"/>
        <v>  4.26 </v>
      </c>
      <c r="Q1072" s="27"/>
    </row>
    <row r="1073" ht="15.75" customHeight="1">
      <c r="A1073" s="105" t="s">
        <v>1317</v>
      </c>
      <c r="B1073" s="19" t="str">
        <f t="array" ref="B1073">XLOOKUP(A1073,Data!F:F,Data!G:G)</f>
        <v>J1B</v>
      </c>
      <c r="C1073" s="19" t="str">
        <f t="shared" si="3"/>
        <v>J132</v>
      </c>
      <c r="D1073" s="19" t="str">
        <f t="array" ref="D1073">XLOOKUP(A1073,Data!F:F,Data!C:C)</f>
        <v/>
      </c>
      <c r="E1073" s="19" t="str">
        <f t="array" ref="E1073">XLOOKUP(A1073,Data!F:F,Data!H:H)</f>
        <v>BW</v>
      </c>
      <c r="F1073" s="106" t="str">
        <f>SUMIFS(Data!J:J,Data!F:F,A1073)</f>
        <v>1</v>
      </c>
      <c r="G1073" s="106" t="str">
        <f>SUMIFS(Cast!C:C,CastElements,A1073)</f>
        <v>1</v>
      </c>
      <c r="H1073" s="106" t="str">
        <f t="shared" si="4"/>
        <v>0</v>
      </c>
      <c r="I1073" s="106" t="str">
        <f>SUMIFS(Del!C:C,Del!B:B,A1073)</f>
        <v>1</v>
      </c>
      <c r="J1073" s="106" t="str">
        <f t="shared" si="5"/>
        <v>0</v>
      </c>
      <c r="K1073" s="106" t="str">
        <f t="shared" si="6"/>
        <v>0</v>
      </c>
      <c r="L1073" s="106"/>
      <c r="M1073" s="106" t="str">
        <f>SUMIFS(Ere!C:C,Ere!B:B,A1073)</f>
        <v>1</v>
      </c>
      <c r="N1073" s="106" t="str">
        <f t="shared" si="7"/>
        <v>0</v>
      </c>
      <c r="O1073" s="107" t="str">
        <f t="array" ref="O1073">XLOOKUP(A1073,Data!F:F,Data!O:O)</f>
        <v>  1.92 </v>
      </c>
      <c r="P1073" s="107" t="str">
        <f t="shared" si="8"/>
        <v>  4.79 </v>
      </c>
      <c r="Q1073" s="27"/>
    </row>
    <row r="1074" ht="15.75" customHeight="1">
      <c r="A1074" s="105" t="s">
        <v>1318</v>
      </c>
      <c r="B1074" s="19" t="str">
        <f t="array" ref="B1074">XLOOKUP(A1074,Data!F:F,Data!G:G)</f>
        <v>J1B</v>
      </c>
      <c r="C1074" s="19" t="str">
        <f t="shared" si="3"/>
        <v>J132</v>
      </c>
      <c r="D1074" s="19" t="str">
        <f t="array" ref="D1074">XLOOKUP(A1074,Data!F:F,Data!C:C)</f>
        <v/>
      </c>
      <c r="E1074" s="19" t="str">
        <f t="array" ref="E1074">XLOOKUP(A1074,Data!F:F,Data!H:H)</f>
        <v>BW</v>
      </c>
      <c r="F1074" s="106" t="str">
        <f>SUMIFS(Data!J:J,Data!F:F,A1074)</f>
        <v>1</v>
      </c>
      <c r="G1074" s="106" t="str">
        <f>SUMIFS(Cast!C:C,CastElements,A1074)</f>
        <v>1</v>
      </c>
      <c r="H1074" s="106" t="str">
        <f t="shared" si="4"/>
        <v>0</v>
      </c>
      <c r="I1074" s="106" t="str">
        <f>SUMIFS(Del!C:C,Del!B:B,A1074)</f>
        <v>1</v>
      </c>
      <c r="J1074" s="106" t="str">
        <f t="shared" si="5"/>
        <v>0</v>
      </c>
      <c r="K1074" s="106" t="str">
        <f t="shared" si="6"/>
        <v>0</v>
      </c>
      <c r="L1074" s="106"/>
      <c r="M1074" s="106" t="str">
        <f>SUMIFS(Ere!C:C,Ere!B:B,A1074)</f>
        <v>1</v>
      </c>
      <c r="N1074" s="106" t="str">
        <f t="shared" si="7"/>
        <v>0</v>
      </c>
      <c r="O1074" s="107" t="str">
        <f t="array" ref="O1074">XLOOKUP(A1074,Data!F:F,Data!O:O)</f>
        <v>  1.75 </v>
      </c>
      <c r="P1074" s="107" t="str">
        <f t="shared" si="8"/>
        <v>  4.39 </v>
      </c>
      <c r="Q1074" s="27"/>
    </row>
    <row r="1075" ht="15.75" customHeight="1">
      <c r="A1075" s="105" t="s">
        <v>1319</v>
      </c>
      <c r="B1075" s="19" t="str">
        <f t="array" ref="B1075">XLOOKUP(A1075,Data!F:F,Data!G:G)</f>
        <v>J1B</v>
      </c>
      <c r="C1075" s="19" t="str">
        <f t="shared" si="3"/>
        <v>J132</v>
      </c>
      <c r="D1075" s="19" t="str">
        <f t="array" ref="D1075">XLOOKUP(A1075,Data!F:F,Data!C:C)</f>
        <v/>
      </c>
      <c r="E1075" s="19" t="str">
        <f t="array" ref="E1075">XLOOKUP(A1075,Data!F:F,Data!H:H)</f>
        <v>BW</v>
      </c>
      <c r="F1075" s="106" t="str">
        <f>SUMIFS(Data!J:J,Data!F:F,A1075)</f>
        <v>1</v>
      </c>
      <c r="G1075" s="106" t="str">
        <f>SUMIFS(Cast!C:C,CastElements,A1075)</f>
        <v>1</v>
      </c>
      <c r="H1075" s="106" t="str">
        <f t="shared" si="4"/>
        <v>0</v>
      </c>
      <c r="I1075" s="106" t="str">
        <f>SUMIFS(Del!C:C,Del!B:B,A1075)</f>
        <v>1</v>
      </c>
      <c r="J1075" s="106" t="str">
        <f t="shared" si="5"/>
        <v>0</v>
      </c>
      <c r="K1075" s="106" t="str">
        <f t="shared" si="6"/>
        <v>0</v>
      </c>
      <c r="L1075" s="106"/>
      <c r="M1075" s="106" t="str">
        <f>SUMIFS(Ere!C:C,Ere!B:B,A1075)</f>
        <v>1</v>
      </c>
      <c r="N1075" s="106" t="str">
        <f t="shared" si="7"/>
        <v>0</v>
      </c>
      <c r="O1075" s="107" t="str">
        <f t="array" ref="O1075">XLOOKUP(A1075,Data!F:F,Data!O:O)</f>
        <v>  1.75 </v>
      </c>
      <c r="P1075" s="107" t="str">
        <f t="shared" si="8"/>
        <v>  4.39 </v>
      </c>
      <c r="Q1075" s="27"/>
    </row>
    <row r="1076" ht="15.75" customHeight="1">
      <c r="A1076" s="105" t="s">
        <v>1320</v>
      </c>
      <c r="B1076" s="19" t="str">
        <f t="array" ref="B1076">XLOOKUP(A1076,Data!F:F,Data!G:G)</f>
        <v>J1B</v>
      </c>
      <c r="C1076" s="19" t="str">
        <f t="shared" si="3"/>
        <v>J132</v>
      </c>
      <c r="D1076" s="19" t="str">
        <f t="array" ref="D1076">XLOOKUP(A1076,Data!F:F,Data!C:C)</f>
        <v/>
      </c>
      <c r="E1076" s="19" t="str">
        <f t="array" ref="E1076">XLOOKUP(A1076,Data!F:F,Data!H:H)</f>
        <v>BW</v>
      </c>
      <c r="F1076" s="106" t="str">
        <f>SUMIFS(Data!J:J,Data!F:F,A1076)</f>
        <v>1</v>
      </c>
      <c r="G1076" s="106" t="str">
        <f>SUMIFS(Cast!C:C,CastElements,A1076)</f>
        <v>1</v>
      </c>
      <c r="H1076" s="106" t="str">
        <f t="shared" si="4"/>
        <v>0</v>
      </c>
      <c r="I1076" s="106" t="str">
        <f>SUMIFS(Del!C:C,Del!B:B,A1076)</f>
        <v>1</v>
      </c>
      <c r="J1076" s="106" t="str">
        <f t="shared" si="5"/>
        <v>0</v>
      </c>
      <c r="K1076" s="106" t="str">
        <f t="shared" si="6"/>
        <v>0</v>
      </c>
      <c r="L1076" s="106"/>
      <c r="M1076" s="106" t="str">
        <f>SUMIFS(Ere!C:C,Ere!B:B,A1076)</f>
        <v>1</v>
      </c>
      <c r="N1076" s="106" t="str">
        <f t="shared" si="7"/>
        <v>0</v>
      </c>
      <c r="O1076" s="107" t="str">
        <f t="array" ref="O1076">XLOOKUP(A1076,Data!F:F,Data!O:O)</f>
        <v>  1.75 </v>
      </c>
      <c r="P1076" s="107" t="str">
        <f t="shared" si="8"/>
        <v>  4.39 </v>
      </c>
      <c r="Q1076" s="27"/>
    </row>
    <row r="1077" ht="15.75" customHeight="1">
      <c r="A1077" s="105" t="s">
        <v>1321</v>
      </c>
      <c r="B1077" s="19" t="str">
        <f t="array" ref="B1077">XLOOKUP(A1077,Data!F:F,Data!G:G)</f>
        <v>J1B</v>
      </c>
      <c r="C1077" s="19" t="str">
        <f t="shared" si="3"/>
        <v>J132</v>
      </c>
      <c r="D1077" s="19" t="str">
        <f t="array" ref="D1077">XLOOKUP(A1077,Data!F:F,Data!C:C)</f>
        <v/>
      </c>
      <c r="E1077" s="19" t="str">
        <f t="array" ref="E1077">XLOOKUP(A1077,Data!F:F,Data!H:H)</f>
        <v>BW</v>
      </c>
      <c r="F1077" s="106" t="str">
        <f>SUMIFS(Data!J:J,Data!F:F,A1077)</f>
        <v>1</v>
      </c>
      <c r="G1077" s="106" t="str">
        <f>SUMIFS(Cast!C:C,CastElements,A1077)</f>
        <v>1</v>
      </c>
      <c r="H1077" s="106" t="str">
        <f t="shared" si="4"/>
        <v>0</v>
      </c>
      <c r="I1077" s="106" t="str">
        <f>SUMIFS(Del!C:C,Del!B:B,A1077)</f>
        <v>1</v>
      </c>
      <c r="J1077" s="106" t="str">
        <f t="shared" si="5"/>
        <v>0</v>
      </c>
      <c r="K1077" s="106" t="str">
        <f t="shared" si="6"/>
        <v>0</v>
      </c>
      <c r="L1077" s="106"/>
      <c r="M1077" s="106" t="str">
        <f>SUMIFS(Ere!C:C,Ere!B:B,A1077)</f>
        <v>1</v>
      </c>
      <c r="N1077" s="106" t="str">
        <f t="shared" si="7"/>
        <v>0</v>
      </c>
      <c r="O1077" s="107" t="str">
        <f t="array" ref="O1077">XLOOKUP(A1077,Data!F:F,Data!O:O)</f>
        <v>  1.46 </v>
      </c>
      <c r="P1077" s="107" t="str">
        <f t="shared" si="8"/>
        <v>  3.66 </v>
      </c>
      <c r="Q1077" s="27"/>
    </row>
    <row r="1078" ht="15.75" customHeight="1">
      <c r="A1078" s="105" t="s">
        <v>1322</v>
      </c>
      <c r="B1078" s="19" t="str">
        <f t="array" ref="B1078">XLOOKUP(A1078,Data!F:F,Data!G:G)</f>
        <v>J1B</v>
      </c>
      <c r="C1078" s="19" t="str">
        <f t="shared" si="3"/>
        <v>J132</v>
      </c>
      <c r="D1078" s="19" t="str">
        <f t="array" ref="D1078">XLOOKUP(A1078,Data!F:F,Data!C:C)</f>
        <v/>
      </c>
      <c r="E1078" s="19" t="str">
        <f t="array" ref="E1078">XLOOKUP(A1078,Data!F:F,Data!H:H)</f>
        <v>BW</v>
      </c>
      <c r="F1078" s="106" t="str">
        <f>SUMIFS(Data!J:J,Data!F:F,A1078)</f>
        <v>1</v>
      </c>
      <c r="G1078" s="106" t="str">
        <f>SUMIFS(Cast!C:C,CastElements,A1078)</f>
        <v>1</v>
      </c>
      <c r="H1078" s="106" t="str">
        <f t="shared" si="4"/>
        <v>0</v>
      </c>
      <c r="I1078" s="106" t="str">
        <f>SUMIFS(Del!C:C,Del!B:B,A1078)</f>
        <v>0</v>
      </c>
      <c r="J1078" s="106" t="str">
        <f t="shared" si="5"/>
        <v>1</v>
      </c>
      <c r="K1078" s="106" t="str">
        <f t="shared" si="6"/>
        <v>1</v>
      </c>
      <c r="L1078" s="106"/>
      <c r="M1078" s="106" t="str">
        <f>SUMIFS(Ere!C:C,Ere!B:B,A1078)</f>
        <v>0</v>
      </c>
      <c r="N1078" s="106" t="str">
        <f t="shared" si="7"/>
        <v>1</v>
      </c>
      <c r="O1078" s="107" t="str">
        <f t="array" ref="O1078">XLOOKUP(A1078,Data!F:F,Data!O:O)</f>
        <v>  0.51 </v>
      </c>
      <c r="P1078" s="107" t="str">
        <f t="shared" si="8"/>
        <v>  1.28 </v>
      </c>
      <c r="Q1078" s="27"/>
    </row>
    <row r="1079" ht="15.75" customHeight="1">
      <c r="A1079" s="105" t="s">
        <v>1323</v>
      </c>
      <c r="B1079" s="19" t="str">
        <f t="array" ref="B1079">XLOOKUP(A1079,Data!F:F,Data!G:G)</f>
        <v>J1B</v>
      </c>
      <c r="C1079" s="19" t="str">
        <f t="shared" si="3"/>
        <v>J132</v>
      </c>
      <c r="D1079" s="19" t="str">
        <f t="array" ref="D1079">XLOOKUP(A1079,Data!F:F,Data!C:C)</f>
        <v/>
      </c>
      <c r="E1079" s="19" t="str">
        <f t="array" ref="E1079">XLOOKUP(A1079,Data!F:F,Data!H:H)</f>
        <v>BW</v>
      </c>
      <c r="F1079" s="106" t="str">
        <f>SUMIFS(Data!J:J,Data!F:F,A1079)</f>
        <v>1</v>
      </c>
      <c r="G1079" s="106" t="str">
        <f>SUMIFS(Cast!C:C,CastElements,A1079)</f>
        <v>1</v>
      </c>
      <c r="H1079" s="106" t="str">
        <f t="shared" si="4"/>
        <v>0</v>
      </c>
      <c r="I1079" s="106" t="str">
        <f>SUMIFS(Del!C:C,Del!B:B,A1079)</f>
        <v>1</v>
      </c>
      <c r="J1079" s="106" t="str">
        <f t="shared" si="5"/>
        <v>0</v>
      </c>
      <c r="K1079" s="106" t="str">
        <f t="shared" si="6"/>
        <v>0</v>
      </c>
      <c r="L1079" s="106"/>
      <c r="M1079" s="106" t="str">
        <f>SUMIFS(Ere!C:C,Ere!B:B,A1079)</f>
        <v>1</v>
      </c>
      <c r="N1079" s="106" t="str">
        <f t="shared" si="7"/>
        <v>0</v>
      </c>
      <c r="O1079" s="107" t="str">
        <f t="array" ref="O1079">XLOOKUP(A1079,Data!F:F,Data!O:O)</f>
        <v>  0.43 </v>
      </c>
      <c r="P1079" s="107" t="str">
        <f t="shared" si="8"/>
        <v>  1.08 </v>
      </c>
      <c r="Q1079" s="27"/>
    </row>
    <row r="1080" ht="15.75" customHeight="1">
      <c r="A1080" s="105" t="s">
        <v>1324</v>
      </c>
      <c r="B1080" s="19" t="str">
        <f t="array" ref="B1080">XLOOKUP(A1080,Data!F:F,Data!G:G)</f>
        <v>J1B</v>
      </c>
      <c r="C1080" s="19" t="str">
        <f t="shared" si="3"/>
        <v>J132</v>
      </c>
      <c r="D1080" s="19" t="str">
        <f t="array" ref="D1080">XLOOKUP(A1080,Data!F:F,Data!C:C)</f>
        <v/>
      </c>
      <c r="E1080" s="19" t="str">
        <f t="array" ref="E1080">XLOOKUP(A1080,Data!F:F,Data!H:H)</f>
        <v>BW</v>
      </c>
      <c r="F1080" s="106" t="str">
        <f>SUMIFS(Data!J:J,Data!F:F,A1080)</f>
        <v>1</v>
      </c>
      <c r="G1080" s="106" t="str">
        <f>SUMIFS(Cast!C:C,CastElements,A1080)</f>
        <v>1</v>
      </c>
      <c r="H1080" s="106" t="str">
        <f t="shared" si="4"/>
        <v>0</v>
      </c>
      <c r="I1080" s="106" t="str">
        <f>SUMIFS(Del!C:C,Del!B:B,A1080)</f>
        <v>1</v>
      </c>
      <c r="J1080" s="106" t="str">
        <f t="shared" si="5"/>
        <v>0</v>
      </c>
      <c r="K1080" s="106" t="str">
        <f t="shared" si="6"/>
        <v>0</v>
      </c>
      <c r="L1080" s="106"/>
      <c r="M1080" s="106" t="str">
        <f>SUMIFS(Ere!C:C,Ere!B:B,A1080)</f>
        <v>1</v>
      </c>
      <c r="N1080" s="106" t="str">
        <f t="shared" si="7"/>
        <v>0</v>
      </c>
      <c r="O1080" s="107" t="str">
        <f t="array" ref="O1080">XLOOKUP(A1080,Data!F:F,Data!O:O)</f>
        <v>  0.37 </v>
      </c>
      <c r="P1080" s="107" t="str">
        <f t="shared" si="8"/>
        <v>  0.93 </v>
      </c>
      <c r="Q1080" s="27"/>
    </row>
    <row r="1081" ht="15.75" customHeight="1">
      <c r="A1081" s="105" t="s">
        <v>1325</v>
      </c>
      <c r="B1081" s="19" t="str">
        <f t="array" ref="B1081">XLOOKUP(A1081,Data!F:F,Data!G:G)</f>
        <v>J1B</v>
      </c>
      <c r="C1081" s="19" t="str">
        <f t="shared" si="3"/>
        <v>J132</v>
      </c>
      <c r="D1081" s="19" t="str">
        <f t="array" ref="D1081">XLOOKUP(A1081,Data!F:F,Data!C:C)</f>
        <v/>
      </c>
      <c r="E1081" s="19" t="str">
        <f t="array" ref="E1081">XLOOKUP(A1081,Data!F:F,Data!H:H)</f>
        <v>CF</v>
      </c>
      <c r="F1081" s="106" t="str">
        <f>SUMIFS(Data!J:J,Data!F:F,A1081)</f>
        <v>1</v>
      </c>
      <c r="G1081" s="106" t="str">
        <f>SUMIFS(Cast!C:C,CastElements,A1081)</f>
        <v>1</v>
      </c>
      <c r="H1081" s="106" t="str">
        <f t="shared" si="4"/>
        <v>0</v>
      </c>
      <c r="I1081" s="106" t="str">
        <f>SUMIFS(Del!C:C,Del!B:B,A1081)</f>
        <v>0</v>
      </c>
      <c r="J1081" s="106" t="str">
        <f t="shared" si="5"/>
        <v>1</v>
      </c>
      <c r="K1081" s="106" t="str">
        <f t="shared" si="6"/>
        <v>1</v>
      </c>
      <c r="L1081" s="106"/>
      <c r="M1081" s="106" t="str">
        <f>SUMIFS(Ere!C:C,Ere!B:B,A1081)</f>
        <v>0</v>
      </c>
      <c r="N1081" s="106" t="str">
        <f t="shared" si="7"/>
        <v>1</v>
      </c>
      <c r="O1081" s="107" t="str">
        <f t="array" ref="O1081">XLOOKUP(A1081,Data!F:F,Data!O:O)</f>
        <v>  0.43 </v>
      </c>
      <c r="P1081" s="107" t="str">
        <f t="shared" si="8"/>
        <v>  1.07 </v>
      </c>
      <c r="Q1081" s="27"/>
    </row>
    <row r="1082" ht="15.75" customHeight="1">
      <c r="A1082" s="105" t="s">
        <v>1326</v>
      </c>
      <c r="B1082" s="19" t="str">
        <f t="array" ref="B1082">XLOOKUP(A1082,Data!F:F,Data!G:G)</f>
        <v>J1B</v>
      </c>
      <c r="C1082" s="19" t="str">
        <f t="shared" si="3"/>
        <v>J132</v>
      </c>
      <c r="D1082" s="19" t="str">
        <f t="array" ref="D1082">XLOOKUP(A1082,Data!F:F,Data!C:C)</f>
        <v>EXT</v>
      </c>
      <c r="E1082" s="19" t="str">
        <f t="array" ref="E1082">XLOOKUP(A1082,Data!F:F,Data!H:H)</f>
        <v>BW</v>
      </c>
      <c r="F1082" s="106" t="str">
        <f>SUMIFS(Data!J:J,Data!F:F,A1082)</f>
        <v>1</v>
      </c>
      <c r="G1082" s="106" t="str">
        <f>SUMIFS(Cast!C:C,CastElements,A1082)</f>
        <v>0</v>
      </c>
      <c r="H1082" s="106" t="str">
        <f t="shared" si="4"/>
        <v>1</v>
      </c>
      <c r="I1082" s="106" t="str">
        <f>SUMIFS(Del!C:C,Del!B:B,A1082)</f>
        <v>0</v>
      </c>
      <c r="J1082" s="106" t="str">
        <f t="shared" si="5"/>
        <v>1</v>
      </c>
      <c r="K1082" s="106" t="str">
        <f t="shared" si="6"/>
        <v>0</v>
      </c>
      <c r="L1082" s="106"/>
      <c r="M1082" s="106" t="str">
        <f>SUMIFS(Ere!C:C,Ere!B:B,A1082)</f>
        <v>0</v>
      </c>
      <c r="N1082" s="106" t="str">
        <f t="shared" si="7"/>
        <v>1</v>
      </c>
      <c r="O1082" s="107" t="str">
        <f t="array" ref="O1082">XLOOKUP(A1082,Data!F:F,Data!O:O)</f>
        <v>  0.91 </v>
      </c>
      <c r="P1082" s="107" t="str">
        <f t="shared" si="8"/>
        <v>  2.29 </v>
      </c>
      <c r="Q1082" s="27"/>
    </row>
    <row r="1083" ht="15.75" customHeight="1">
      <c r="A1083" s="105" t="s">
        <v>1327</v>
      </c>
      <c r="B1083" s="19" t="str">
        <f t="array" ref="B1083">XLOOKUP(A1083,Data!F:F,Data!G:G)</f>
        <v>J1B</v>
      </c>
      <c r="C1083" s="19" t="str">
        <f t="shared" si="3"/>
        <v>J132</v>
      </c>
      <c r="D1083" s="19" t="str">
        <f t="array" ref="D1083">XLOOKUP(A1083,Data!F:F,Data!C:C)</f>
        <v>EXT</v>
      </c>
      <c r="E1083" s="19" t="str">
        <f t="array" ref="E1083">XLOOKUP(A1083,Data!F:F,Data!H:H)</f>
        <v>BW</v>
      </c>
      <c r="F1083" s="106" t="str">
        <f>SUMIFS(Data!J:J,Data!F:F,A1083)</f>
        <v>1</v>
      </c>
      <c r="G1083" s="106" t="str">
        <f>SUMIFS(Cast!C:C,CastElements,A1083)</f>
        <v>0</v>
      </c>
      <c r="H1083" s="106" t="str">
        <f t="shared" si="4"/>
        <v>1</v>
      </c>
      <c r="I1083" s="106" t="str">
        <f>SUMIFS(Del!C:C,Del!B:B,A1083)</f>
        <v>0</v>
      </c>
      <c r="J1083" s="106" t="str">
        <f t="shared" si="5"/>
        <v>1</v>
      </c>
      <c r="K1083" s="106" t="str">
        <f t="shared" si="6"/>
        <v>0</v>
      </c>
      <c r="L1083" s="106"/>
      <c r="M1083" s="106" t="str">
        <f>SUMIFS(Ere!C:C,Ere!B:B,A1083)</f>
        <v>0</v>
      </c>
      <c r="N1083" s="106" t="str">
        <f t="shared" si="7"/>
        <v>1</v>
      </c>
      <c r="O1083" s="107" t="str">
        <f t="array" ref="O1083">XLOOKUP(A1083,Data!F:F,Data!O:O)</f>
        <v>  1.97 </v>
      </c>
      <c r="P1083" s="107" t="str">
        <f t="shared" si="8"/>
        <v>  4.93 </v>
      </c>
      <c r="Q1083" s="27"/>
    </row>
    <row r="1084" ht="15.75" customHeight="1">
      <c r="A1084" s="105" t="s">
        <v>1328</v>
      </c>
      <c r="B1084" s="19" t="str">
        <f t="array" ref="B1084">XLOOKUP(A1084,Data!F:F,Data!G:G)</f>
        <v>J1B</v>
      </c>
      <c r="C1084" s="19" t="str">
        <f t="shared" si="3"/>
        <v>J132</v>
      </c>
      <c r="D1084" s="19" t="str">
        <f t="array" ref="D1084">XLOOKUP(A1084,Data!F:F,Data!C:C)</f>
        <v>EXT</v>
      </c>
      <c r="E1084" s="19" t="str">
        <f t="array" ref="E1084">XLOOKUP(A1084,Data!F:F,Data!H:H)</f>
        <v>BW</v>
      </c>
      <c r="F1084" s="106" t="str">
        <f>SUMIFS(Data!J:J,Data!F:F,A1084)</f>
        <v>1</v>
      </c>
      <c r="G1084" s="106" t="str">
        <f>SUMIFS(Cast!C:C,CastElements,A1084)</f>
        <v>0</v>
      </c>
      <c r="H1084" s="106" t="str">
        <f t="shared" si="4"/>
        <v>1</v>
      </c>
      <c r="I1084" s="106" t="str">
        <f>SUMIFS(Del!C:C,Del!B:B,A1084)</f>
        <v>0</v>
      </c>
      <c r="J1084" s="106" t="str">
        <f t="shared" si="5"/>
        <v>1</v>
      </c>
      <c r="K1084" s="106" t="str">
        <f t="shared" si="6"/>
        <v>0</v>
      </c>
      <c r="L1084" s="106"/>
      <c r="M1084" s="106" t="str">
        <f>SUMIFS(Ere!C:C,Ere!B:B,A1084)</f>
        <v>0</v>
      </c>
      <c r="N1084" s="106" t="str">
        <f t="shared" si="7"/>
        <v>1</v>
      </c>
      <c r="O1084" s="107" t="str">
        <f t="array" ref="O1084">XLOOKUP(A1084,Data!F:F,Data!O:O)</f>
        <v>  1.54 </v>
      </c>
      <c r="P1084" s="107" t="str">
        <f t="shared" si="8"/>
        <v>  3.85 </v>
      </c>
      <c r="Q1084" s="27"/>
    </row>
    <row r="1085" ht="15.75" customHeight="1">
      <c r="A1085" s="105" t="s">
        <v>1329</v>
      </c>
      <c r="B1085" s="19" t="str">
        <f t="array" ref="B1085">XLOOKUP(A1085,Data!F:F,Data!G:G)</f>
        <v>J1B</v>
      </c>
      <c r="C1085" s="19" t="str">
        <f t="shared" si="3"/>
        <v>J132</v>
      </c>
      <c r="D1085" s="19" t="str">
        <f t="array" ref="D1085">XLOOKUP(A1085,Data!F:F,Data!C:C)</f>
        <v>EXT</v>
      </c>
      <c r="E1085" s="19" t="str">
        <f t="array" ref="E1085">XLOOKUP(A1085,Data!F:F,Data!H:H)</f>
        <v>BW</v>
      </c>
      <c r="F1085" s="106" t="str">
        <f>SUMIFS(Data!J:J,Data!F:F,A1085)</f>
        <v>1</v>
      </c>
      <c r="G1085" s="106" t="str">
        <f>SUMIFS(Cast!C:C,CastElements,A1085)</f>
        <v>0</v>
      </c>
      <c r="H1085" s="106" t="str">
        <f t="shared" si="4"/>
        <v>1</v>
      </c>
      <c r="I1085" s="106" t="str">
        <f>SUMIFS(Del!C:C,Del!B:B,A1085)</f>
        <v>0</v>
      </c>
      <c r="J1085" s="106" t="str">
        <f t="shared" si="5"/>
        <v>1</v>
      </c>
      <c r="K1085" s="106" t="str">
        <f t="shared" si="6"/>
        <v>0</v>
      </c>
      <c r="L1085" s="106"/>
      <c r="M1085" s="106" t="str">
        <f>SUMIFS(Ere!C:C,Ere!B:B,A1085)</f>
        <v>0</v>
      </c>
      <c r="N1085" s="106" t="str">
        <f t="shared" si="7"/>
        <v>1</v>
      </c>
      <c r="O1085" s="107" t="str">
        <f t="array" ref="O1085">XLOOKUP(A1085,Data!F:F,Data!O:O)</f>
        <v>  1.93 </v>
      </c>
      <c r="P1085" s="107" t="str">
        <f t="shared" si="8"/>
        <v>  4.81 </v>
      </c>
      <c r="Q1085" s="27"/>
    </row>
    <row r="1086" ht="15.75" customHeight="1">
      <c r="A1086" s="105" t="s">
        <v>1330</v>
      </c>
      <c r="B1086" s="19" t="str">
        <f t="array" ref="B1086">XLOOKUP(A1086,Data!F:F,Data!G:G)</f>
        <v>J1B</v>
      </c>
      <c r="C1086" s="19" t="str">
        <f t="shared" si="3"/>
        <v>J132</v>
      </c>
      <c r="D1086" s="19" t="str">
        <f t="array" ref="D1086">XLOOKUP(A1086,Data!F:F,Data!C:C)</f>
        <v>EXT</v>
      </c>
      <c r="E1086" s="19" t="str">
        <f t="array" ref="E1086">XLOOKUP(A1086,Data!F:F,Data!H:H)</f>
        <v>BW</v>
      </c>
      <c r="F1086" s="106" t="str">
        <f>SUMIFS(Data!J:J,Data!F:F,A1086)</f>
        <v>1</v>
      </c>
      <c r="G1086" s="106" t="str">
        <f>SUMIFS(Cast!C:C,CastElements,A1086)</f>
        <v>0</v>
      </c>
      <c r="H1086" s="106" t="str">
        <f t="shared" si="4"/>
        <v>1</v>
      </c>
      <c r="I1086" s="106" t="str">
        <f>SUMIFS(Del!C:C,Del!B:B,A1086)</f>
        <v>0</v>
      </c>
      <c r="J1086" s="106" t="str">
        <f t="shared" si="5"/>
        <v>1</v>
      </c>
      <c r="K1086" s="106" t="str">
        <f t="shared" si="6"/>
        <v>0</v>
      </c>
      <c r="L1086" s="106"/>
      <c r="M1086" s="106" t="str">
        <f>SUMIFS(Ere!C:C,Ere!B:B,A1086)</f>
        <v>0</v>
      </c>
      <c r="N1086" s="106" t="str">
        <f t="shared" si="7"/>
        <v>1</v>
      </c>
      <c r="O1086" s="107" t="str">
        <f t="array" ref="O1086">XLOOKUP(A1086,Data!F:F,Data!O:O)</f>
        <v>  2.02 </v>
      </c>
      <c r="P1086" s="107" t="str">
        <f t="shared" si="8"/>
        <v>  5.06 </v>
      </c>
      <c r="Q1086" s="27"/>
    </row>
    <row r="1087" ht="15.75" customHeight="1">
      <c r="A1087" s="105" t="s">
        <v>1331</v>
      </c>
      <c r="B1087" s="19" t="str">
        <f t="array" ref="B1087">XLOOKUP(A1087,Data!F:F,Data!G:G)</f>
        <v>J1B</v>
      </c>
      <c r="C1087" s="19" t="str">
        <f t="shared" si="3"/>
        <v>J132</v>
      </c>
      <c r="D1087" s="19" t="str">
        <f t="array" ref="D1087">XLOOKUP(A1087,Data!F:F,Data!C:C)</f>
        <v>EXT</v>
      </c>
      <c r="E1087" s="19" t="str">
        <f t="array" ref="E1087">XLOOKUP(A1087,Data!F:F,Data!H:H)</f>
        <v>BW</v>
      </c>
      <c r="F1087" s="106" t="str">
        <f>SUMIFS(Data!J:J,Data!F:F,A1087)</f>
        <v>1</v>
      </c>
      <c r="G1087" s="106" t="str">
        <f>SUMIFS(Cast!C:C,CastElements,A1087)</f>
        <v>0</v>
      </c>
      <c r="H1087" s="106" t="str">
        <f t="shared" si="4"/>
        <v>1</v>
      </c>
      <c r="I1087" s="106" t="str">
        <f>SUMIFS(Del!C:C,Del!B:B,A1087)</f>
        <v>0</v>
      </c>
      <c r="J1087" s="106" t="str">
        <f t="shared" si="5"/>
        <v>1</v>
      </c>
      <c r="K1087" s="106" t="str">
        <f t="shared" si="6"/>
        <v>0</v>
      </c>
      <c r="L1087" s="106"/>
      <c r="M1087" s="106" t="str">
        <f>SUMIFS(Ere!C:C,Ere!B:B,A1087)</f>
        <v>0</v>
      </c>
      <c r="N1087" s="106" t="str">
        <f t="shared" si="7"/>
        <v>1</v>
      </c>
      <c r="O1087" s="107" t="str">
        <f t="array" ref="O1087">XLOOKUP(A1087,Data!F:F,Data!O:O)</f>
        <v>  1.45 </v>
      </c>
      <c r="P1087" s="107" t="str">
        <f t="shared" si="8"/>
        <v>  3.61 </v>
      </c>
      <c r="Q1087" s="27"/>
    </row>
    <row r="1088" ht="15.75" customHeight="1">
      <c r="A1088" s="105" t="s">
        <v>1332</v>
      </c>
      <c r="B1088" s="19" t="str">
        <f t="array" ref="B1088">XLOOKUP(A1088,Data!F:F,Data!G:G)</f>
        <v>J1B</v>
      </c>
      <c r="C1088" s="19" t="str">
        <f t="shared" si="3"/>
        <v>J132</v>
      </c>
      <c r="D1088" s="19" t="str">
        <f t="array" ref="D1088">XLOOKUP(A1088,Data!F:F,Data!C:C)</f>
        <v>EXT</v>
      </c>
      <c r="E1088" s="19" t="str">
        <f t="array" ref="E1088">XLOOKUP(A1088,Data!F:F,Data!H:H)</f>
        <v>BW</v>
      </c>
      <c r="F1088" s="106" t="str">
        <f>SUMIFS(Data!J:J,Data!F:F,A1088)</f>
        <v>1</v>
      </c>
      <c r="G1088" s="106" t="str">
        <f>SUMIFS(Cast!C:C,CastElements,A1088)</f>
        <v>0</v>
      </c>
      <c r="H1088" s="106" t="str">
        <f t="shared" si="4"/>
        <v>1</v>
      </c>
      <c r="I1088" s="106" t="str">
        <f>SUMIFS(Del!C:C,Del!B:B,A1088)</f>
        <v>0</v>
      </c>
      <c r="J1088" s="106" t="str">
        <f t="shared" si="5"/>
        <v>1</v>
      </c>
      <c r="K1088" s="106" t="str">
        <f t="shared" si="6"/>
        <v>0</v>
      </c>
      <c r="L1088" s="106"/>
      <c r="M1088" s="106" t="str">
        <f>SUMIFS(Ere!C:C,Ere!B:B,A1088)</f>
        <v>0</v>
      </c>
      <c r="N1088" s="106" t="str">
        <f t="shared" si="7"/>
        <v>1</v>
      </c>
      <c r="O1088" s="107" t="str">
        <f t="array" ref="O1088">XLOOKUP(A1088,Data!F:F,Data!O:O)</f>
        <v>  1.49 </v>
      </c>
      <c r="P1088" s="107" t="str">
        <f t="shared" si="8"/>
        <v>  3.72 </v>
      </c>
      <c r="Q1088" s="27"/>
    </row>
    <row r="1089" ht="15.75" customHeight="1">
      <c r="A1089" s="105" t="s">
        <v>1333</v>
      </c>
      <c r="B1089" s="19" t="str">
        <f t="array" ref="B1089">XLOOKUP(A1089,Data!F:F,Data!G:G)</f>
        <v>J1B</v>
      </c>
      <c r="C1089" s="19" t="str">
        <f t="shared" si="3"/>
        <v>J132</v>
      </c>
      <c r="D1089" s="19" t="str">
        <f t="array" ref="D1089">XLOOKUP(A1089,Data!F:F,Data!C:C)</f>
        <v>EXT</v>
      </c>
      <c r="E1089" s="19" t="str">
        <f t="array" ref="E1089">XLOOKUP(A1089,Data!F:F,Data!H:H)</f>
        <v>BW</v>
      </c>
      <c r="F1089" s="106" t="str">
        <f>SUMIFS(Data!J:J,Data!F:F,A1089)</f>
        <v>1</v>
      </c>
      <c r="G1089" s="106" t="str">
        <f>SUMIFS(Cast!C:C,CastElements,A1089)</f>
        <v>0</v>
      </c>
      <c r="H1089" s="106" t="str">
        <f t="shared" si="4"/>
        <v>1</v>
      </c>
      <c r="I1089" s="106" t="str">
        <f>SUMIFS(Del!C:C,Del!B:B,A1089)</f>
        <v>0</v>
      </c>
      <c r="J1089" s="106" t="str">
        <f t="shared" si="5"/>
        <v>1</v>
      </c>
      <c r="K1089" s="106" t="str">
        <f t="shared" si="6"/>
        <v>0</v>
      </c>
      <c r="L1089" s="106"/>
      <c r="M1089" s="106" t="str">
        <f>SUMIFS(Ere!C:C,Ere!B:B,A1089)</f>
        <v>0</v>
      </c>
      <c r="N1089" s="106" t="str">
        <f t="shared" si="7"/>
        <v>1</v>
      </c>
      <c r="O1089" s="107" t="str">
        <f t="array" ref="O1089">XLOOKUP(A1089,Data!F:F,Data!O:O)</f>
        <v>  2.39 </v>
      </c>
      <c r="P1089" s="107" t="str">
        <f t="shared" si="8"/>
        <v>  5.97 </v>
      </c>
      <c r="Q1089" s="27"/>
    </row>
    <row r="1090" ht="15.75" customHeight="1">
      <c r="A1090" s="105" t="s">
        <v>1334</v>
      </c>
      <c r="B1090" s="19" t="str">
        <f t="array" ref="B1090">XLOOKUP(A1090,Data!F:F,Data!G:G)</f>
        <v>J1B</v>
      </c>
      <c r="C1090" s="19" t="str">
        <f t="shared" si="3"/>
        <v>J133</v>
      </c>
      <c r="D1090" s="19" t="str">
        <f t="array" ref="D1090">XLOOKUP(A1090,Data!F:F,Data!C:C)</f>
        <v>EXT</v>
      </c>
      <c r="E1090" s="19" t="str">
        <f t="array" ref="E1090">XLOOKUP(A1090,Data!F:F,Data!H:H)</f>
        <v>BW</v>
      </c>
      <c r="F1090" s="106" t="str">
        <f>SUMIFS(Data!J:J,Data!F:F,A1090)</f>
        <v>1</v>
      </c>
      <c r="G1090" s="106" t="str">
        <f>SUMIFS(Cast!C:C,CastElements,A1090)</f>
        <v>1</v>
      </c>
      <c r="H1090" s="106" t="str">
        <f t="shared" si="4"/>
        <v>0</v>
      </c>
      <c r="I1090" s="106" t="str">
        <f>SUMIFS(Del!C:C,Del!B:B,A1090)</f>
        <v>0</v>
      </c>
      <c r="J1090" s="106" t="str">
        <f t="shared" si="5"/>
        <v>1</v>
      </c>
      <c r="K1090" s="106" t="str">
        <f t="shared" si="6"/>
        <v>1</v>
      </c>
      <c r="L1090" s="106"/>
      <c r="M1090" s="106" t="str">
        <f>SUMIFS(Ere!C:C,Ere!B:B,A1090)</f>
        <v>0</v>
      </c>
      <c r="N1090" s="106" t="str">
        <f t="shared" si="7"/>
        <v>1</v>
      </c>
      <c r="O1090" s="107" t="str">
        <f t="array" ref="O1090">XLOOKUP(A1090,Data!F:F,Data!O:O)</f>
        <v>  0.55 </v>
      </c>
      <c r="P1090" s="107" t="str">
        <f t="shared" si="8"/>
        <v>  1.37 </v>
      </c>
      <c r="Q1090" s="27"/>
    </row>
    <row r="1091" ht="15.75" customHeight="1">
      <c r="A1091" s="105" t="s">
        <v>1335</v>
      </c>
      <c r="B1091" s="19" t="str">
        <f t="array" ref="B1091">XLOOKUP(A1091,Data!F:F,Data!G:G)</f>
        <v>J1B</v>
      </c>
      <c r="C1091" s="19" t="str">
        <f t="shared" si="3"/>
        <v>J133</v>
      </c>
      <c r="D1091" s="19" t="str">
        <f t="array" ref="D1091">XLOOKUP(A1091,Data!F:F,Data!C:C)</f>
        <v>EXT</v>
      </c>
      <c r="E1091" s="19" t="str">
        <f t="array" ref="E1091">XLOOKUP(A1091,Data!F:F,Data!H:H)</f>
        <v>BW</v>
      </c>
      <c r="F1091" s="106" t="str">
        <f>SUMIFS(Data!J:J,Data!F:F,A1091)</f>
        <v>1</v>
      </c>
      <c r="G1091" s="106" t="str">
        <f>SUMIFS(Cast!C:C,CastElements,A1091)</f>
        <v>1</v>
      </c>
      <c r="H1091" s="106" t="str">
        <f t="shared" si="4"/>
        <v>0</v>
      </c>
      <c r="I1091" s="106" t="str">
        <f>SUMIFS(Del!C:C,Del!B:B,A1091)</f>
        <v>0</v>
      </c>
      <c r="J1091" s="106" t="str">
        <f t="shared" si="5"/>
        <v>1</v>
      </c>
      <c r="K1091" s="106" t="str">
        <f t="shared" si="6"/>
        <v>1</v>
      </c>
      <c r="L1091" s="106"/>
      <c r="M1091" s="106" t="str">
        <f>SUMIFS(Ere!C:C,Ere!B:B,A1091)</f>
        <v>0</v>
      </c>
      <c r="N1091" s="106" t="str">
        <f t="shared" si="7"/>
        <v>1</v>
      </c>
      <c r="O1091" s="107" t="str">
        <f t="array" ref="O1091">XLOOKUP(A1091,Data!F:F,Data!O:O)</f>
        <v>  0.57 </v>
      </c>
      <c r="P1091" s="107" t="str">
        <f t="shared" si="8"/>
        <v>  1.42 </v>
      </c>
      <c r="Q1091" s="27"/>
    </row>
    <row r="1092" ht="15.75" customHeight="1">
      <c r="A1092" s="105" t="s">
        <v>1336</v>
      </c>
      <c r="B1092" s="19" t="str">
        <f t="array" ref="B1092">XLOOKUP(A1092,Data!F:F,Data!G:G)</f>
        <v>J1B</v>
      </c>
      <c r="C1092" s="19" t="str">
        <f t="shared" si="3"/>
        <v>J133</v>
      </c>
      <c r="D1092" s="19" t="str">
        <f t="array" ref="D1092">XLOOKUP(A1092,Data!F:F,Data!C:C)</f>
        <v>EXT</v>
      </c>
      <c r="E1092" s="19" t="str">
        <f t="array" ref="E1092">XLOOKUP(A1092,Data!F:F,Data!H:H)</f>
        <v>BW</v>
      </c>
      <c r="F1092" s="106" t="str">
        <f>SUMIFS(Data!J:J,Data!F:F,A1092)</f>
        <v>1</v>
      </c>
      <c r="G1092" s="106" t="str">
        <f>SUMIFS(Cast!C:C,CastElements,A1092)</f>
        <v>1</v>
      </c>
      <c r="H1092" s="106" t="str">
        <f t="shared" si="4"/>
        <v>0</v>
      </c>
      <c r="I1092" s="106" t="str">
        <f>SUMIFS(Del!C:C,Del!B:B,A1092)</f>
        <v>0</v>
      </c>
      <c r="J1092" s="106" t="str">
        <f t="shared" si="5"/>
        <v>1</v>
      </c>
      <c r="K1092" s="106" t="str">
        <f t="shared" si="6"/>
        <v>1</v>
      </c>
      <c r="L1092" s="106"/>
      <c r="M1092" s="106" t="str">
        <f>SUMIFS(Ere!C:C,Ere!B:B,A1092)</f>
        <v>0</v>
      </c>
      <c r="N1092" s="106" t="str">
        <f t="shared" si="7"/>
        <v>1</v>
      </c>
      <c r="O1092" s="107" t="str">
        <f t="array" ref="O1092">XLOOKUP(A1092,Data!F:F,Data!O:O)</f>
        <v>  1.02 </v>
      </c>
      <c r="P1092" s="107" t="str">
        <f t="shared" si="8"/>
        <v>  2.55 </v>
      </c>
      <c r="Q1092" s="27"/>
    </row>
    <row r="1093" ht="15.75" customHeight="1">
      <c r="A1093" s="105" t="s">
        <v>1337</v>
      </c>
      <c r="B1093" s="19" t="str">
        <f t="array" ref="B1093">XLOOKUP(A1093,Data!F:F,Data!G:G)</f>
        <v>J1B</v>
      </c>
      <c r="C1093" s="19" t="str">
        <f t="shared" si="3"/>
        <v>J133</v>
      </c>
      <c r="D1093" s="19" t="str">
        <f t="array" ref="D1093">XLOOKUP(A1093,Data!F:F,Data!C:C)</f>
        <v>EXT</v>
      </c>
      <c r="E1093" s="19" t="str">
        <f t="array" ref="E1093">XLOOKUP(A1093,Data!F:F,Data!H:H)</f>
        <v>BW</v>
      </c>
      <c r="F1093" s="106" t="str">
        <f>SUMIFS(Data!J:J,Data!F:F,A1093)</f>
        <v>1</v>
      </c>
      <c r="G1093" s="106" t="str">
        <f>SUMIFS(Cast!C:C,CastElements,A1093)</f>
        <v>1</v>
      </c>
      <c r="H1093" s="106" t="str">
        <f t="shared" si="4"/>
        <v>0</v>
      </c>
      <c r="I1093" s="106" t="str">
        <f>SUMIFS(Del!C:C,Del!B:B,A1093)</f>
        <v>0</v>
      </c>
      <c r="J1093" s="106" t="str">
        <f t="shared" si="5"/>
        <v>1</v>
      </c>
      <c r="K1093" s="106" t="str">
        <f t="shared" si="6"/>
        <v>1</v>
      </c>
      <c r="L1093" s="106"/>
      <c r="M1093" s="106" t="str">
        <f>SUMIFS(Ere!C:C,Ere!B:B,A1093)</f>
        <v>0</v>
      </c>
      <c r="N1093" s="106" t="str">
        <f t="shared" si="7"/>
        <v>1</v>
      </c>
      <c r="O1093" s="107" t="str">
        <f t="array" ref="O1093">XLOOKUP(A1093,Data!F:F,Data!O:O)</f>
        <v>  1.08 </v>
      </c>
      <c r="P1093" s="107" t="str">
        <f t="shared" si="8"/>
        <v>  2.69 </v>
      </c>
      <c r="Q1093" s="27"/>
    </row>
    <row r="1094" ht="15.75" customHeight="1">
      <c r="A1094" s="105" t="s">
        <v>1338</v>
      </c>
      <c r="B1094" s="19" t="str">
        <f t="array" ref="B1094">XLOOKUP(A1094,Data!F:F,Data!G:G)</f>
        <v>J1B</v>
      </c>
      <c r="C1094" s="19" t="str">
        <f t="shared" si="3"/>
        <v>J133</v>
      </c>
      <c r="D1094" s="19" t="str">
        <f t="array" ref="D1094">XLOOKUP(A1094,Data!F:F,Data!C:C)</f>
        <v>EXT</v>
      </c>
      <c r="E1094" s="19" t="str">
        <f t="array" ref="E1094">XLOOKUP(A1094,Data!F:F,Data!H:H)</f>
        <v>BW</v>
      </c>
      <c r="F1094" s="106" t="str">
        <f>SUMIFS(Data!J:J,Data!F:F,A1094)</f>
        <v>1</v>
      </c>
      <c r="G1094" s="106" t="str">
        <f>SUMIFS(Cast!C:C,CastElements,A1094)</f>
        <v>1</v>
      </c>
      <c r="H1094" s="106" t="str">
        <f t="shared" si="4"/>
        <v>0</v>
      </c>
      <c r="I1094" s="106" t="str">
        <f>SUMIFS(Del!C:C,Del!B:B,A1094)</f>
        <v>0</v>
      </c>
      <c r="J1094" s="106" t="str">
        <f t="shared" si="5"/>
        <v>1</v>
      </c>
      <c r="K1094" s="106" t="str">
        <f t="shared" si="6"/>
        <v>1</v>
      </c>
      <c r="L1094" s="106"/>
      <c r="M1094" s="106" t="str">
        <f>SUMIFS(Ere!C:C,Ere!B:B,A1094)</f>
        <v>0</v>
      </c>
      <c r="N1094" s="106" t="str">
        <f t="shared" si="7"/>
        <v>1</v>
      </c>
      <c r="O1094" s="107" t="str">
        <f t="array" ref="O1094">XLOOKUP(A1094,Data!F:F,Data!O:O)</f>
        <v>  1.15 </v>
      </c>
      <c r="P1094" s="107" t="str">
        <f t="shared" si="8"/>
        <v>  2.87 </v>
      </c>
      <c r="Q1094" s="27"/>
    </row>
    <row r="1095" ht="15.75" customHeight="1">
      <c r="A1095" s="105" t="s">
        <v>1339</v>
      </c>
      <c r="B1095" s="19" t="str">
        <f t="array" ref="B1095">XLOOKUP(A1095,Data!F:F,Data!G:G)</f>
        <v>J1B</v>
      </c>
      <c r="C1095" s="19" t="str">
        <f t="shared" si="3"/>
        <v>J133</v>
      </c>
      <c r="D1095" s="19" t="str">
        <f t="array" ref="D1095">XLOOKUP(A1095,Data!F:F,Data!C:C)</f>
        <v>EXT</v>
      </c>
      <c r="E1095" s="19" t="str">
        <f t="array" ref="E1095">XLOOKUP(A1095,Data!F:F,Data!H:H)</f>
        <v>BW</v>
      </c>
      <c r="F1095" s="106" t="str">
        <f>SUMIFS(Data!J:J,Data!F:F,A1095)</f>
        <v>1</v>
      </c>
      <c r="G1095" s="106" t="str">
        <f>SUMIFS(Cast!C:C,CastElements,A1095)</f>
        <v>1</v>
      </c>
      <c r="H1095" s="106" t="str">
        <f t="shared" si="4"/>
        <v>0</v>
      </c>
      <c r="I1095" s="106" t="str">
        <f>SUMIFS(Del!C:C,Del!B:B,A1095)</f>
        <v>0</v>
      </c>
      <c r="J1095" s="106" t="str">
        <f t="shared" si="5"/>
        <v>1</v>
      </c>
      <c r="K1095" s="106" t="str">
        <f t="shared" si="6"/>
        <v>1</v>
      </c>
      <c r="L1095" s="106"/>
      <c r="M1095" s="106" t="str">
        <f>SUMIFS(Ere!C:C,Ere!B:B,A1095)</f>
        <v>0</v>
      </c>
      <c r="N1095" s="106" t="str">
        <f t="shared" si="7"/>
        <v>1</v>
      </c>
      <c r="O1095" s="107" t="str">
        <f t="array" ref="O1095">XLOOKUP(A1095,Data!F:F,Data!O:O)</f>
        <v>  0.99 </v>
      </c>
      <c r="P1095" s="107" t="str">
        <f t="shared" si="8"/>
        <v>  2.48 </v>
      </c>
      <c r="Q1095" s="27"/>
    </row>
    <row r="1096" ht="15.75" customHeight="1">
      <c r="A1096" s="105" t="s">
        <v>1340</v>
      </c>
      <c r="B1096" s="19" t="str">
        <f t="array" ref="B1096">XLOOKUP(A1096,Data!F:F,Data!G:G)</f>
        <v>J1B</v>
      </c>
      <c r="C1096" s="19" t="str">
        <f t="shared" si="3"/>
        <v>J133</v>
      </c>
      <c r="D1096" s="19" t="str">
        <f t="array" ref="D1096">XLOOKUP(A1096,Data!F:F,Data!C:C)</f>
        <v/>
      </c>
      <c r="E1096" s="19" t="str">
        <f t="array" ref="E1096">XLOOKUP(A1096,Data!F:F,Data!H:H)</f>
        <v>BW</v>
      </c>
      <c r="F1096" s="106" t="str">
        <f>SUMIFS(Data!J:J,Data!F:F,A1096)</f>
        <v>1</v>
      </c>
      <c r="G1096" s="106" t="str">
        <f>SUMIFS(Cast!C:C,CastElements,A1096)</f>
        <v>1</v>
      </c>
      <c r="H1096" s="106" t="str">
        <f t="shared" si="4"/>
        <v>0</v>
      </c>
      <c r="I1096" s="106" t="str">
        <f>SUMIFS(Del!C:C,Del!B:B,A1096)</f>
        <v>1</v>
      </c>
      <c r="J1096" s="106" t="str">
        <f t="shared" si="5"/>
        <v>0</v>
      </c>
      <c r="K1096" s="106" t="str">
        <f t="shared" si="6"/>
        <v>0</v>
      </c>
      <c r="L1096" s="106"/>
      <c r="M1096" s="106" t="str">
        <f>SUMIFS(Ere!C:C,Ere!B:B,A1096)</f>
        <v>1</v>
      </c>
      <c r="N1096" s="106" t="str">
        <f t="shared" si="7"/>
        <v>0</v>
      </c>
      <c r="O1096" s="107" t="str">
        <f t="array" ref="O1096">XLOOKUP(A1096,Data!F:F,Data!O:O)</f>
        <v>  1.74 </v>
      </c>
      <c r="P1096" s="107" t="str">
        <f t="shared" si="8"/>
        <v>  4.34 </v>
      </c>
      <c r="Q1096" s="27"/>
    </row>
    <row r="1097" ht="15.75" customHeight="1">
      <c r="A1097" s="105" t="s">
        <v>1341</v>
      </c>
      <c r="B1097" s="19" t="str">
        <f t="array" ref="B1097">XLOOKUP(A1097,Data!F:F,Data!G:G)</f>
        <v>J1B</v>
      </c>
      <c r="C1097" s="19" t="str">
        <f t="shared" si="3"/>
        <v>J133</v>
      </c>
      <c r="D1097" s="19" t="str">
        <f t="array" ref="D1097">XLOOKUP(A1097,Data!F:F,Data!C:C)</f>
        <v/>
      </c>
      <c r="E1097" s="19" t="str">
        <f t="array" ref="E1097">XLOOKUP(A1097,Data!F:F,Data!H:H)</f>
        <v>BW</v>
      </c>
      <c r="F1097" s="106" t="str">
        <f>SUMIFS(Data!J:J,Data!F:F,A1097)</f>
        <v>1</v>
      </c>
      <c r="G1097" s="106" t="str">
        <f>SUMIFS(Cast!C:C,CastElements,A1097)</f>
        <v>1</v>
      </c>
      <c r="H1097" s="106" t="str">
        <f t="shared" si="4"/>
        <v>0</v>
      </c>
      <c r="I1097" s="106" t="str">
        <f>SUMIFS(Del!C:C,Del!B:B,A1097)</f>
        <v>0</v>
      </c>
      <c r="J1097" s="106" t="str">
        <f t="shared" si="5"/>
        <v>1</v>
      </c>
      <c r="K1097" s="106" t="str">
        <f t="shared" si="6"/>
        <v>1</v>
      </c>
      <c r="L1097" s="106"/>
      <c r="M1097" s="106" t="str">
        <f>SUMIFS(Ere!C:C,Ere!B:B,A1097)</f>
        <v>0</v>
      </c>
      <c r="N1097" s="106" t="str">
        <f t="shared" si="7"/>
        <v>1</v>
      </c>
      <c r="O1097" s="107" t="str">
        <f t="array" ref="O1097">XLOOKUP(A1097,Data!F:F,Data!O:O)</f>
        <v>  1.49 </v>
      </c>
      <c r="P1097" s="107" t="str">
        <f t="shared" si="8"/>
        <v>  3.71 </v>
      </c>
      <c r="Q1097" s="27"/>
    </row>
    <row r="1098" ht="15.75" customHeight="1">
      <c r="A1098" s="105" t="s">
        <v>1342</v>
      </c>
      <c r="B1098" s="19" t="str">
        <f t="array" ref="B1098">XLOOKUP(A1098,Data!F:F,Data!G:G)</f>
        <v>J1B</v>
      </c>
      <c r="C1098" s="19" t="str">
        <f t="shared" si="3"/>
        <v>J133</v>
      </c>
      <c r="D1098" s="19" t="str">
        <f t="array" ref="D1098">XLOOKUP(A1098,Data!F:F,Data!C:C)</f>
        <v/>
      </c>
      <c r="E1098" s="19" t="str">
        <f t="array" ref="E1098">XLOOKUP(A1098,Data!F:F,Data!H:H)</f>
        <v>BW</v>
      </c>
      <c r="F1098" s="106" t="str">
        <f>SUMIFS(Data!J:J,Data!F:F,A1098)</f>
        <v>1</v>
      </c>
      <c r="G1098" s="106" t="str">
        <f>SUMIFS(Cast!C:C,CastElements,A1098)</f>
        <v>1</v>
      </c>
      <c r="H1098" s="106" t="str">
        <f t="shared" si="4"/>
        <v>0</v>
      </c>
      <c r="I1098" s="106" t="str">
        <f>SUMIFS(Del!C:C,Del!B:B,A1098)</f>
        <v>1</v>
      </c>
      <c r="J1098" s="106" t="str">
        <f t="shared" si="5"/>
        <v>0</v>
      </c>
      <c r="K1098" s="106" t="str">
        <f t="shared" si="6"/>
        <v>0</v>
      </c>
      <c r="L1098" s="106"/>
      <c r="M1098" s="106" t="str">
        <f>SUMIFS(Ere!C:C,Ere!B:B,A1098)</f>
        <v>1</v>
      </c>
      <c r="N1098" s="106" t="str">
        <f t="shared" si="7"/>
        <v>0</v>
      </c>
      <c r="O1098" s="107" t="str">
        <f t="array" ref="O1098">XLOOKUP(A1098,Data!F:F,Data!O:O)</f>
        <v>  1.71 </v>
      </c>
      <c r="P1098" s="107" t="str">
        <f t="shared" si="8"/>
        <v>  4.28 </v>
      </c>
      <c r="Q1098" s="27"/>
    </row>
    <row r="1099" ht="15.75" customHeight="1">
      <c r="A1099" s="105" t="s">
        <v>1343</v>
      </c>
      <c r="B1099" s="19" t="str">
        <f t="array" ref="B1099">XLOOKUP(A1099,Data!F:F,Data!G:G)</f>
        <v>J1B</v>
      </c>
      <c r="C1099" s="19" t="str">
        <f t="shared" si="3"/>
        <v>J133</v>
      </c>
      <c r="D1099" s="19" t="str">
        <f t="array" ref="D1099">XLOOKUP(A1099,Data!F:F,Data!C:C)</f>
        <v/>
      </c>
      <c r="E1099" s="19" t="str">
        <f t="array" ref="E1099">XLOOKUP(A1099,Data!F:F,Data!H:H)</f>
        <v>BW</v>
      </c>
      <c r="F1099" s="106" t="str">
        <f>SUMIFS(Data!J:J,Data!F:F,A1099)</f>
        <v>1</v>
      </c>
      <c r="G1099" s="106" t="str">
        <f>SUMIFS(Cast!C:C,CastElements,A1099)</f>
        <v>1</v>
      </c>
      <c r="H1099" s="106" t="str">
        <f t="shared" si="4"/>
        <v>0</v>
      </c>
      <c r="I1099" s="106" t="str">
        <f>SUMIFS(Del!C:C,Del!B:B,A1099)</f>
        <v>1</v>
      </c>
      <c r="J1099" s="106" t="str">
        <f t="shared" si="5"/>
        <v>0</v>
      </c>
      <c r="K1099" s="106" t="str">
        <f t="shared" si="6"/>
        <v>0</v>
      </c>
      <c r="L1099" s="106"/>
      <c r="M1099" s="106" t="str">
        <f>SUMIFS(Ere!C:C,Ere!B:B,A1099)</f>
        <v>0</v>
      </c>
      <c r="N1099" s="106" t="str">
        <f t="shared" si="7"/>
        <v>1</v>
      </c>
      <c r="O1099" s="107" t="str">
        <f t="array" ref="O1099">XLOOKUP(A1099,Data!F:F,Data!O:O)</f>
        <v>  2.39 </v>
      </c>
      <c r="P1099" s="107" t="str">
        <f t="shared" si="8"/>
        <v>  5.97 </v>
      </c>
      <c r="Q1099" s="27"/>
    </row>
    <row r="1100" ht="15.75" customHeight="1">
      <c r="A1100" s="105" t="s">
        <v>1344</v>
      </c>
      <c r="B1100" s="19" t="str">
        <f t="array" ref="B1100">XLOOKUP(A1100,Data!F:F,Data!G:G)</f>
        <v>J1B</v>
      </c>
      <c r="C1100" s="19" t="str">
        <f t="shared" si="3"/>
        <v>J133</v>
      </c>
      <c r="D1100" s="19" t="str">
        <f t="array" ref="D1100">XLOOKUP(A1100,Data!F:F,Data!C:C)</f>
        <v/>
      </c>
      <c r="E1100" s="19" t="str">
        <f t="array" ref="E1100">XLOOKUP(A1100,Data!F:F,Data!H:H)</f>
        <v>BW</v>
      </c>
      <c r="F1100" s="106" t="str">
        <f>SUMIFS(Data!J:J,Data!F:F,A1100)</f>
        <v>1</v>
      </c>
      <c r="G1100" s="106" t="str">
        <f>SUMIFS(Cast!C:C,CastElements,A1100)</f>
        <v>1</v>
      </c>
      <c r="H1100" s="106" t="str">
        <f t="shared" si="4"/>
        <v>0</v>
      </c>
      <c r="I1100" s="106" t="str">
        <f>SUMIFS(Del!C:C,Del!B:B,A1100)</f>
        <v>1</v>
      </c>
      <c r="J1100" s="106" t="str">
        <f t="shared" si="5"/>
        <v>0</v>
      </c>
      <c r="K1100" s="106" t="str">
        <f t="shared" si="6"/>
        <v>0</v>
      </c>
      <c r="L1100" s="106"/>
      <c r="M1100" s="106" t="str">
        <f>SUMIFS(Ere!C:C,Ere!B:B,A1100)</f>
        <v>1</v>
      </c>
      <c r="N1100" s="106" t="str">
        <f t="shared" si="7"/>
        <v>0</v>
      </c>
      <c r="O1100" s="107" t="str">
        <f t="array" ref="O1100">XLOOKUP(A1100,Data!F:F,Data!O:O)</f>
        <v>  2.14 </v>
      </c>
      <c r="P1100" s="107" t="str">
        <f t="shared" si="8"/>
        <v>  5.35 </v>
      </c>
      <c r="Q1100" s="27"/>
    </row>
    <row r="1101" ht="15.75" customHeight="1">
      <c r="A1101" s="105" t="s">
        <v>1345</v>
      </c>
      <c r="B1101" s="19" t="str">
        <f t="array" ref="B1101">XLOOKUP(A1101,Data!F:F,Data!G:G)</f>
        <v>J1B</v>
      </c>
      <c r="C1101" s="19" t="str">
        <f t="shared" si="3"/>
        <v>J133</v>
      </c>
      <c r="D1101" s="19" t="str">
        <f t="array" ref="D1101">XLOOKUP(A1101,Data!F:F,Data!C:C)</f>
        <v/>
      </c>
      <c r="E1101" s="19" t="str">
        <f t="array" ref="E1101">XLOOKUP(A1101,Data!F:F,Data!H:H)</f>
        <v>BW</v>
      </c>
      <c r="F1101" s="106" t="str">
        <f>SUMIFS(Data!J:J,Data!F:F,A1101)</f>
        <v>1</v>
      </c>
      <c r="G1101" s="106" t="str">
        <f>SUMIFS(Cast!C:C,CastElements,A1101)</f>
        <v>1</v>
      </c>
      <c r="H1101" s="106" t="str">
        <f t="shared" si="4"/>
        <v>0</v>
      </c>
      <c r="I1101" s="106" t="str">
        <f>SUMIFS(Del!C:C,Del!B:B,A1101)</f>
        <v>1</v>
      </c>
      <c r="J1101" s="106" t="str">
        <f t="shared" si="5"/>
        <v>0</v>
      </c>
      <c r="K1101" s="106" t="str">
        <f t="shared" si="6"/>
        <v>0</v>
      </c>
      <c r="L1101" s="106"/>
      <c r="M1101" s="106" t="str">
        <f>SUMIFS(Ere!C:C,Ere!B:B,A1101)</f>
        <v>1</v>
      </c>
      <c r="N1101" s="106" t="str">
        <f t="shared" si="7"/>
        <v>0</v>
      </c>
      <c r="O1101" s="107" t="str">
        <f t="array" ref="O1101">XLOOKUP(A1101,Data!F:F,Data!O:O)</f>
        <v>  1.93 </v>
      </c>
      <c r="P1101" s="107" t="str">
        <f t="shared" si="8"/>
        <v>  4.82 </v>
      </c>
      <c r="Q1101" s="27"/>
    </row>
    <row r="1102" ht="15.75" customHeight="1">
      <c r="A1102" s="105" t="s">
        <v>1346</v>
      </c>
      <c r="B1102" s="19" t="str">
        <f t="array" ref="B1102">XLOOKUP(A1102,Data!F:F,Data!G:G)</f>
        <v>J1B</v>
      </c>
      <c r="C1102" s="19" t="str">
        <f t="shared" si="3"/>
        <v>J133</v>
      </c>
      <c r="D1102" s="19" t="str">
        <f t="array" ref="D1102">XLOOKUP(A1102,Data!F:F,Data!C:C)</f>
        <v/>
      </c>
      <c r="E1102" s="19" t="str">
        <f t="array" ref="E1102">XLOOKUP(A1102,Data!F:F,Data!H:H)</f>
        <v>BW</v>
      </c>
      <c r="F1102" s="106" t="str">
        <f>SUMIFS(Data!J:J,Data!F:F,A1102)</f>
        <v>1</v>
      </c>
      <c r="G1102" s="106" t="str">
        <f>SUMIFS(Cast!C:C,CastElements,A1102)</f>
        <v>1</v>
      </c>
      <c r="H1102" s="106" t="str">
        <f t="shared" si="4"/>
        <v>0</v>
      </c>
      <c r="I1102" s="106" t="str">
        <f>SUMIFS(Del!C:C,Del!B:B,A1102)</f>
        <v>1</v>
      </c>
      <c r="J1102" s="106" t="str">
        <f t="shared" si="5"/>
        <v>0</v>
      </c>
      <c r="K1102" s="106" t="str">
        <f t="shared" si="6"/>
        <v>0</v>
      </c>
      <c r="L1102" s="106"/>
      <c r="M1102" s="106" t="str">
        <f>SUMIFS(Ere!C:C,Ere!B:B,A1102)</f>
        <v>1</v>
      </c>
      <c r="N1102" s="106" t="str">
        <f t="shared" si="7"/>
        <v>0</v>
      </c>
      <c r="O1102" s="107" t="str">
        <f t="array" ref="O1102">XLOOKUP(A1102,Data!F:F,Data!O:O)</f>
        <v>  1.80 </v>
      </c>
      <c r="P1102" s="107" t="str">
        <f t="shared" si="8"/>
        <v>  4.50 </v>
      </c>
      <c r="Q1102" s="27"/>
    </row>
    <row r="1103" ht="15.75" customHeight="1">
      <c r="A1103" s="105" t="s">
        <v>1347</v>
      </c>
      <c r="B1103" s="19" t="str">
        <f t="array" ref="B1103">XLOOKUP(A1103,Data!F:F,Data!G:G)</f>
        <v>J1B</v>
      </c>
      <c r="C1103" s="19" t="str">
        <f t="shared" si="3"/>
        <v>J133</v>
      </c>
      <c r="D1103" s="19" t="str">
        <f t="array" ref="D1103">XLOOKUP(A1103,Data!F:F,Data!C:C)</f>
        <v/>
      </c>
      <c r="E1103" s="19" t="str">
        <f t="array" ref="E1103">XLOOKUP(A1103,Data!F:F,Data!H:H)</f>
        <v>BW</v>
      </c>
      <c r="F1103" s="106" t="str">
        <f>SUMIFS(Data!J:J,Data!F:F,A1103)</f>
        <v>1</v>
      </c>
      <c r="G1103" s="106" t="str">
        <f>SUMIFS(Cast!C:C,CastElements,A1103)</f>
        <v>1</v>
      </c>
      <c r="H1103" s="106" t="str">
        <f t="shared" si="4"/>
        <v>0</v>
      </c>
      <c r="I1103" s="106" t="str">
        <f>SUMIFS(Del!C:C,Del!B:B,A1103)</f>
        <v>1</v>
      </c>
      <c r="J1103" s="106" t="str">
        <f t="shared" si="5"/>
        <v>0</v>
      </c>
      <c r="K1103" s="106" t="str">
        <f t="shared" si="6"/>
        <v>0</v>
      </c>
      <c r="L1103" s="106"/>
      <c r="M1103" s="106" t="str">
        <f>SUMIFS(Ere!C:C,Ere!B:B,A1103)</f>
        <v>1</v>
      </c>
      <c r="N1103" s="106" t="str">
        <f t="shared" si="7"/>
        <v>0</v>
      </c>
      <c r="O1103" s="107" t="str">
        <f t="array" ref="O1103">XLOOKUP(A1103,Data!F:F,Data!O:O)</f>
        <v>  1.80 </v>
      </c>
      <c r="P1103" s="107" t="str">
        <f t="shared" si="8"/>
        <v>  4.50 </v>
      </c>
      <c r="Q1103" s="27"/>
    </row>
    <row r="1104" ht="15.75" customHeight="1">
      <c r="A1104" s="105" t="s">
        <v>1348</v>
      </c>
      <c r="B1104" s="19" t="str">
        <f t="array" ref="B1104">XLOOKUP(A1104,Data!F:F,Data!G:G)</f>
        <v>J1B</v>
      </c>
      <c r="C1104" s="19" t="str">
        <f t="shared" si="3"/>
        <v>J133</v>
      </c>
      <c r="D1104" s="19" t="str">
        <f t="array" ref="D1104">XLOOKUP(A1104,Data!F:F,Data!C:C)</f>
        <v/>
      </c>
      <c r="E1104" s="19" t="str">
        <f t="array" ref="E1104">XLOOKUP(A1104,Data!F:F,Data!H:H)</f>
        <v>BW</v>
      </c>
      <c r="F1104" s="106" t="str">
        <f>SUMIFS(Data!J:J,Data!F:F,A1104)</f>
        <v>1</v>
      </c>
      <c r="G1104" s="106" t="str">
        <f>SUMIFS(Cast!C:C,CastElements,A1104)</f>
        <v>1</v>
      </c>
      <c r="H1104" s="106" t="str">
        <f t="shared" si="4"/>
        <v>0</v>
      </c>
      <c r="I1104" s="106" t="str">
        <f>SUMIFS(Del!C:C,Del!B:B,A1104)</f>
        <v>1</v>
      </c>
      <c r="J1104" s="106" t="str">
        <f t="shared" si="5"/>
        <v>0</v>
      </c>
      <c r="K1104" s="106" t="str">
        <f t="shared" si="6"/>
        <v>0</v>
      </c>
      <c r="L1104" s="106"/>
      <c r="M1104" s="106" t="str">
        <f>SUMIFS(Ere!C:C,Ere!B:B,A1104)</f>
        <v>1</v>
      </c>
      <c r="N1104" s="106" t="str">
        <f t="shared" si="7"/>
        <v>0</v>
      </c>
      <c r="O1104" s="107" t="str">
        <f t="array" ref="O1104">XLOOKUP(A1104,Data!F:F,Data!O:O)</f>
        <v>  1.80 </v>
      </c>
      <c r="P1104" s="107" t="str">
        <f t="shared" si="8"/>
        <v>  4.50 </v>
      </c>
      <c r="Q1104" s="27"/>
    </row>
    <row r="1105" ht="15.75" customHeight="1">
      <c r="A1105" s="105" t="s">
        <v>1349</v>
      </c>
      <c r="B1105" s="19" t="str">
        <f t="array" ref="B1105">XLOOKUP(A1105,Data!F:F,Data!G:G)</f>
        <v>J1B</v>
      </c>
      <c r="C1105" s="19" t="str">
        <f t="shared" si="3"/>
        <v>J133</v>
      </c>
      <c r="D1105" s="19" t="str">
        <f t="array" ref="D1105">XLOOKUP(A1105,Data!F:F,Data!C:C)</f>
        <v/>
      </c>
      <c r="E1105" s="19" t="str">
        <f t="array" ref="E1105">XLOOKUP(A1105,Data!F:F,Data!H:H)</f>
        <v>BW</v>
      </c>
      <c r="F1105" s="106" t="str">
        <f>SUMIFS(Data!J:J,Data!F:F,A1105)</f>
        <v>1</v>
      </c>
      <c r="G1105" s="106" t="str">
        <f>SUMIFS(Cast!C:C,CastElements,A1105)</f>
        <v>1</v>
      </c>
      <c r="H1105" s="106" t="str">
        <f t="shared" si="4"/>
        <v>0</v>
      </c>
      <c r="I1105" s="106" t="str">
        <f>SUMIFS(Del!C:C,Del!B:B,A1105)</f>
        <v>1</v>
      </c>
      <c r="J1105" s="106" t="str">
        <f t="shared" si="5"/>
        <v>0</v>
      </c>
      <c r="K1105" s="106" t="str">
        <f t="shared" si="6"/>
        <v>0</v>
      </c>
      <c r="L1105" s="106"/>
      <c r="M1105" s="106" t="str">
        <f>SUMIFS(Ere!C:C,Ere!B:B,A1105)</f>
        <v>1</v>
      </c>
      <c r="N1105" s="106" t="str">
        <f t="shared" si="7"/>
        <v>0</v>
      </c>
      <c r="O1105" s="107" t="str">
        <f t="array" ref="O1105">XLOOKUP(A1105,Data!F:F,Data!O:O)</f>
        <v>  1.51 </v>
      </c>
      <c r="P1105" s="107" t="str">
        <f t="shared" si="8"/>
        <v>  3.77 </v>
      </c>
      <c r="Q1105" s="27"/>
    </row>
    <row r="1106" ht="15.75" customHeight="1">
      <c r="A1106" s="105" t="s">
        <v>1350</v>
      </c>
      <c r="B1106" s="19" t="str">
        <f t="array" ref="B1106">XLOOKUP(A1106,Data!F:F,Data!G:G)</f>
        <v>J1B</v>
      </c>
      <c r="C1106" s="19" t="str">
        <f t="shared" si="3"/>
        <v>J133</v>
      </c>
      <c r="D1106" s="19" t="str">
        <f t="array" ref="D1106">XLOOKUP(A1106,Data!F:F,Data!C:C)</f>
        <v/>
      </c>
      <c r="E1106" s="19" t="str">
        <f t="array" ref="E1106">XLOOKUP(A1106,Data!F:F,Data!H:H)</f>
        <v>BW</v>
      </c>
      <c r="F1106" s="106" t="str">
        <f>SUMIFS(Data!J:J,Data!F:F,A1106)</f>
        <v>1</v>
      </c>
      <c r="G1106" s="106" t="str">
        <f>SUMIFS(Cast!C:C,CastElements,A1106)</f>
        <v>1</v>
      </c>
      <c r="H1106" s="106" t="str">
        <f t="shared" si="4"/>
        <v>0</v>
      </c>
      <c r="I1106" s="106" t="str">
        <f>SUMIFS(Del!C:C,Del!B:B,A1106)</f>
        <v>1</v>
      </c>
      <c r="J1106" s="106" t="str">
        <f t="shared" si="5"/>
        <v>0</v>
      </c>
      <c r="K1106" s="106" t="str">
        <f t="shared" si="6"/>
        <v>0</v>
      </c>
      <c r="L1106" s="106"/>
      <c r="M1106" s="106" t="str">
        <f>SUMIFS(Ere!C:C,Ere!B:B,A1106)</f>
        <v>1</v>
      </c>
      <c r="N1106" s="106" t="str">
        <f t="shared" si="7"/>
        <v>0</v>
      </c>
      <c r="O1106" s="107" t="str">
        <f t="array" ref="O1106">XLOOKUP(A1106,Data!F:F,Data!O:O)</f>
        <v>  0.66 </v>
      </c>
      <c r="P1106" s="107" t="str">
        <f t="shared" si="8"/>
        <v>  1.64 </v>
      </c>
      <c r="Q1106" s="27"/>
    </row>
    <row r="1107" ht="15.75" customHeight="1">
      <c r="A1107" s="105" t="s">
        <v>1351</v>
      </c>
      <c r="B1107" s="19" t="str">
        <f t="array" ref="B1107">XLOOKUP(A1107,Data!F:F,Data!G:G)</f>
        <v>J1B</v>
      </c>
      <c r="C1107" s="19" t="str">
        <f t="shared" si="3"/>
        <v>J133</v>
      </c>
      <c r="D1107" s="19" t="str">
        <f t="array" ref="D1107">XLOOKUP(A1107,Data!F:F,Data!C:C)</f>
        <v/>
      </c>
      <c r="E1107" s="19" t="str">
        <f t="array" ref="E1107">XLOOKUP(A1107,Data!F:F,Data!H:H)</f>
        <v>BW</v>
      </c>
      <c r="F1107" s="106" t="str">
        <f>SUMIFS(Data!J:J,Data!F:F,A1107)</f>
        <v>1</v>
      </c>
      <c r="G1107" s="106" t="str">
        <f>SUMIFS(Cast!C:C,CastElements,A1107)</f>
        <v>1</v>
      </c>
      <c r="H1107" s="106" t="str">
        <f t="shared" si="4"/>
        <v>0</v>
      </c>
      <c r="I1107" s="106" t="str">
        <f>SUMIFS(Del!C:C,Del!B:B,A1107)</f>
        <v>1</v>
      </c>
      <c r="J1107" s="106" t="str">
        <f t="shared" si="5"/>
        <v>0</v>
      </c>
      <c r="K1107" s="106" t="str">
        <f t="shared" si="6"/>
        <v>0</v>
      </c>
      <c r="L1107" s="106"/>
      <c r="M1107" s="106" t="str">
        <f>SUMIFS(Ere!C:C,Ere!B:B,A1107)</f>
        <v>1</v>
      </c>
      <c r="N1107" s="106" t="str">
        <f t="shared" si="7"/>
        <v>0</v>
      </c>
      <c r="O1107" s="107" t="str">
        <f t="array" ref="O1107">XLOOKUP(A1107,Data!F:F,Data!O:O)</f>
        <v>  0.66 </v>
      </c>
      <c r="P1107" s="107" t="str">
        <f t="shared" si="8"/>
        <v>  1.64 </v>
      </c>
      <c r="Q1107" s="27"/>
    </row>
    <row r="1108" ht="15.75" customHeight="1">
      <c r="A1108" s="105" t="s">
        <v>1352</v>
      </c>
      <c r="B1108" s="19" t="str">
        <f t="array" ref="B1108">XLOOKUP(A1108,Data!F:F,Data!G:G)</f>
        <v>J1B</v>
      </c>
      <c r="C1108" s="19" t="str">
        <f t="shared" si="3"/>
        <v>J133</v>
      </c>
      <c r="D1108" s="19" t="str">
        <f t="array" ref="D1108">XLOOKUP(A1108,Data!F:F,Data!C:C)</f>
        <v/>
      </c>
      <c r="E1108" s="19" t="str">
        <f t="array" ref="E1108">XLOOKUP(A1108,Data!F:F,Data!H:H)</f>
        <v>BW</v>
      </c>
      <c r="F1108" s="106" t="str">
        <f>SUMIFS(Data!J:J,Data!F:F,A1108)</f>
        <v>1</v>
      </c>
      <c r="G1108" s="106" t="str">
        <f>SUMIFS(Cast!C:C,CastElements,A1108)</f>
        <v>1</v>
      </c>
      <c r="H1108" s="106" t="str">
        <f t="shared" si="4"/>
        <v>0</v>
      </c>
      <c r="I1108" s="106" t="str">
        <f>SUMIFS(Del!C:C,Del!B:B,A1108)</f>
        <v>0</v>
      </c>
      <c r="J1108" s="106" t="str">
        <f t="shared" si="5"/>
        <v>1</v>
      </c>
      <c r="K1108" s="106" t="str">
        <f t="shared" si="6"/>
        <v>1</v>
      </c>
      <c r="L1108" s="106"/>
      <c r="M1108" s="106" t="str">
        <f>SUMIFS(Ere!C:C,Ere!B:B,A1108)</f>
        <v>0</v>
      </c>
      <c r="N1108" s="106" t="str">
        <f t="shared" si="7"/>
        <v>1</v>
      </c>
      <c r="O1108" s="107" t="str">
        <f t="array" ref="O1108">XLOOKUP(A1108,Data!F:F,Data!O:O)</f>
        <v>  0.32 </v>
      </c>
      <c r="P1108" s="107" t="str">
        <f t="shared" si="8"/>
        <v>  0.81 </v>
      </c>
      <c r="Q1108" s="27"/>
    </row>
    <row r="1109" ht="15.75" customHeight="1">
      <c r="A1109" s="105" t="s">
        <v>1353</v>
      </c>
      <c r="B1109" s="19" t="str">
        <f t="array" ref="B1109">XLOOKUP(A1109,Data!F:F,Data!G:G)</f>
        <v>J1B</v>
      </c>
      <c r="C1109" s="19" t="str">
        <f t="shared" si="3"/>
        <v>J133</v>
      </c>
      <c r="D1109" s="19" t="str">
        <f t="array" ref="D1109">XLOOKUP(A1109,Data!F:F,Data!C:C)</f>
        <v/>
      </c>
      <c r="E1109" s="19" t="str">
        <f t="array" ref="E1109">XLOOKUP(A1109,Data!F:F,Data!H:H)</f>
        <v>BW</v>
      </c>
      <c r="F1109" s="106" t="str">
        <f>SUMIFS(Data!J:J,Data!F:F,A1109)</f>
        <v>1</v>
      </c>
      <c r="G1109" s="106" t="str">
        <f>SUMIFS(Cast!C:C,CastElements,A1109)</f>
        <v>1</v>
      </c>
      <c r="H1109" s="106" t="str">
        <f t="shared" si="4"/>
        <v>0</v>
      </c>
      <c r="I1109" s="106" t="str">
        <f>SUMIFS(Del!C:C,Del!B:B,A1109)</f>
        <v>0</v>
      </c>
      <c r="J1109" s="106" t="str">
        <f t="shared" si="5"/>
        <v>1</v>
      </c>
      <c r="K1109" s="106" t="str">
        <f t="shared" si="6"/>
        <v>1</v>
      </c>
      <c r="L1109" s="106"/>
      <c r="M1109" s="106" t="str">
        <f>SUMIFS(Ere!C:C,Ere!B:B,A1109)</f>
        <v>0</v>
      </c>
      <c r="N1109" s="106" t="str">
        <f t="shared" si="7"/>
        <v>1</v>
      </c>
      <c r="O1109" s="107" t="str">
        <f t="array" ref="O1109">XLOOKUP(A1109,Data!F:F,Data!O:O)</f>
        <v>  0.93 </v>
      </c>
      <c r="P1109" s="107" t="str">
        <f t="shared" si="8"/>
        <v>  2.31 </v>
      </c>
      <c r="Q1109" s="27"/>
    </row>
    <row r="1110" ht="15.75" customHeight="1">
      <c r="A1110" s="105" t="s">
        <v>1354</v>
      </c>
      <c r="B1110" s="19" t="str">
        <f t="array" ref="B1110">XLOOKUP(A1110,Data!F:F,Data!G:G)</f>
        <v>J1B</v>
      </c>
      <c r="C1110" s="19" t="str">
        <f t="shared" si="3"/>
        <v>J133</v>
      </c>
      <c r="D1110" s="19" t="str">
        <f t="array" ref="D1110">XLOOKUP(A1110,Data!F:F,Data!C:C)</f>
        <v/>
      </c>
      <c r="E1110" s="19" t="str">
        <f t="array" ref="E1110">XLOOKUP(A1110,Data!F:F,Data!H:H)</f>
        <v>CF</v>
      </c>
      <c r="F1110" s="106" t="str">
        <f>SUMIFS(Data!J:J,Data!F:F,A1110)</f>
        <v>1</v>
      </c>
      <c r="G1110" s="106" t="str">
        <f>SUMIFS(Cast!C:C,CastElements,A1110)</f>
        <v>1</v>
      </c>
      <c r="H1110" s="106" t="str">
        <f t="shared" si="4"/>
        <v>0</v>
      </c>
      <c r="I1110" s="106" t="str">
        <f>SUMIFS(Del!C:C,Del!B:B,A1110)</f>
        <v>0</v>
      </c>
      <c r="J1110" s="106" t="str">
        <f t="shared" si="5"/>
        <v>1</v>
      </c>
      <c r="K1110" s="106" t="str">
        <f t="shared" si="6"/>
        <v>1</v>
      </c>
      <c r="L1110" s="106"/>
      <c r="M1110" s="106" t="str">
        <f>SUMIFS(Ere!C:C,Ere!B:B,A1110)</f>
        <v>0</v>
      </c>
      <c r="N1110" s="106" t="str">
        <f t="shared" si="7"/>
        <v>1</v>
      </c>
      <c r="O1110" s="107" t="str">
        <f t="array" ref="O1110">XLOOKUP(A1110,Data!F:F,Data!O:O)</f>
        <v>  0.43 </v>
      </c>
      <c r="P1110" s="107" t="str">
        <f t="shared" si="8"/>
        <v>  1.08 </v>
      </c>
      <c r="Q1110" s="27"/>
    </row>
    <row r="1111" ht="15.75" customHeight="1">
      <c r="A1111" s="105" t="s">
        <v>1355</v>
      </c>
      <c r="B1111" s="19" t="str">
        <f t="array" ref="B1111">XLOOKUP(A1111,Data!F:F,Data!G:G)</f>
        <v>J1C</v>
      </c>
      <c r="C1111" s="19" t="str">
        <f t="shared" si="3"/>
        <v>J087</v>
      </c>
      <c r="D1111" s="19" t="str">
        <f t="array" ref="D1111">XLOOKUP(A1111,Data!F:F,Data!C:C)</f>
        <v>EXT</v>
      </c>
      <c r="E1111" s="19" t="str">
        <f t="array" ref="E1111">XLOOKUP(A1111,Data!F:F,Data!H:H)</f>
        <v>BW</v>
      </c>
      <c r="F1111" s="106" t="str">
        <f>SUMIFS(Data!J:J,Data!F:F,A1111)</f>
        <v>1</v>
      </c>
      <c r="G1111" s="106" t="str">
        <f>SUMIFS(Cast!C:C,CastElements,A1111)</f>
        <v>1</v>
      </c>
      <c r="H1111" s="106" t="str">
        <f t="shared" si="4"/>
        <v>0</v>
      </c>
      <c r="I1111" s="106" t="str">
        <f>SUMIFS(Del!C:C,Del!B:B,A1111)</f>
        <v>0</v>
      </c>
      <c r="J1111" s="106" t="str">
        <f t="shared" si="5"/>
        <v>1</v>
      </c>
      <c r="K1111" s="106" t="str">
        <f t="shared" si="6"/>
        <v>1</v>
      </c>
      <c r="L1111" s="106"/>
      <c r="M1111" s="106" t="str">
        <f>SUMIFS(Ere!C:C,Ere!B:B,A1111)</f>
        <v>0</v>
      </c>
      <c r="N1111" s="106" t="str">
        <f t="shared" si="7"/>
        <v>1</v>
      </c>
      <c r="O1111" s="107" t="str">
        <f t="array" ref="O1111">XLOOKUP(A1111,Data!F:F,Data!O:O)</f>
        <v>  0.96 </v>
      </c>
      <c r="P1111" s="107" t="str">
        <f t="shared" si="8"/>
        <v>  2.40 </v>
      </c>
      <c r="Q1111" s="27"/>
    </row>
    <row r="1112" ht="15.75" customHeight="1">
      <c r="A1112" s="105" t="s">
        <v>1356</v>
      </c>
      <c r="B1112" s="19" t="str">
        <f t="array" ref="B1112">XLOOKUP(A1112,Data!F:F,Data!G:G)</f>
        <v>J1C</v>
      </c>
      <c r="C1112" s="19" t="str">
        <f t="shared" si="3"/>
        <v>J087</v>
      </c>
      <c r="D1112" s="19" t="str">
        <f t="array" ref="D1112">XLOOKUP(A1112,Data!F:F,Data!C:C)</f>
        <v>EXT</v>
      </c>
      <c r="E1112" s="19" t="str">
        <f t="array" ref="E1112">XLOOKUP(A1112,Data!F:F,Data!H:H)</f>
        <v>BW</v>
      </c>
      <c r="F1112" s="106" t="str">
        <f>SUMIFS(Data!J:J,Data!F:F,A1112)</f>
        <v>1</v>
      </c>
      <c r="G1112" s="106" t="str">
        <f>SUMIFS(Cast!C:C,CastElements,A1112)</f>
        <v>1</v>
      </c>
      <c r="H1112" s="106" t="str">
        <f t="shared" si="4"/>
        <v>0</v>
      </c>
      <c r="I1112" s="106" t="str">
        <f>SUMIFS(Del!C:C,Del!B:B,A1112)</f>
        <v>0</v>
      </c>
      <c r="J1112" s="106" t="str">
        <f t="shared" si="5"/>
        <v>1</v>
      </c>
      <c r="K1112" s="106" t="str">
        <f t="shared" si="6"/>
        <v>1</v>
      </c>
      <c r="L1112" s="106"/>
      <c r="M1112" s="106" t="str">
        <f>SUMIFS(Ere!C:C,Ere!B:B,A1112)</f>
        <v>0</v>
      </c>
      <c r="N1112" s="106" t="str">
        <f t="shared" si="7"/>
        <v>1</v>
      </c>
      <c r="O1112" s="107" t="str">
        <f t="array" ref="O1112">XLOOKUP(A1112,Data!F:F,Data!O:O)</f>
        <v>  0.96 </v>
      </c>
      <c r="P1112" s="107" t="str">
        <f t="shared" si="8"/>
        <v>  2.40 </v>
      </c>
      <c r="Q1112" s="27"/>
    </row>
    <row r="1113" ht="15.75" customHeight="1">
      <c r="A1113" s="105" t="s">
        <v>1357</v>
      </c>
      <c r="B1113" s="19" t="str">
        <f t="array" ref="B1113">XLOOKUP(A1113,Data!F:F,Data!G:G)</f>
        <v>J1C</v>
      </c>
      <c r="C1113" s="19" t="str">
        <f t="shared" si="3"/>
        <v>J087</v>
      </c>
      <c r="D1113" s="19" t="str">
        <f t="array" ref="D1113">XLOOKUP(A1113,Data!F:F,Data!C:C)</f>
        <v/>
      </c>
      <c r="E1113" s="19" t="str">
        <f t="array" ref="E1113">XLOOKUP(A1113,Data!F:F,Data!H:H)</f>
        <v>BW</v>
      </c>
      <c r="F1113" s="106" t="str">
        <f>SUMIFS(Data!J:J,Data!F:F,A1113)</f>
        <v>1</v>
      </c>
      <c r="G1113" s="106" t="str">
        <f>SUMIFS(Cast!C:C,CastElements,A1113)</f>
        <v>1</v>
      </c>
      <c r="H1113" s="106" t="str">
        <f t="shared" si="4"/>
        <v>0</v>
      </c>
      <c r="I1113" s="106" t="str">
        <f>SUMIFS(Del!C:C,Del!B:B,A1113)</f>
        <v>0</v>
      </c>
      <c r="J1113" s="106" t="str">
        <f t="shared" si="5"/>
        <v>1</v>
      </c>
      <c r="K1113" s="106" t="str">
        <f t="shared" si="6"/>
        <v>1</v>
      </c>
      <c r="L1113" s="106"/>
      <c r="M1113" s="106" t="str">
        <f>SUMIFS(Ere!C:C,Ere!B:B,A1113)</f>
        <v>0</v>
      </c>
      <c r="N1113" s="106" t="str">
        <f t="shared" si="7"/>
        <v>1</v>
      </c>
      <c r="O1113" s="107" t="str">
        <f t="array" ref="O1113">XLOOKUP(A1113,Data!F:F,Data!O:O)</f>
        <v>  1.17 </v>
      </c>
      <c r="P1113" s="107" t="str">
        <f t="shared" si="8"/>
        <v>  2.92 </v>
      </c>
      <c r="Q1113" s="27"/>
    </row>
    <row r="1114" ht="15.75" customHeight="1">
      <c r="A1114" s="105" t="s">
        <v>1358</v>
      </c>
      <c r="B1114" s="19" t="str">
        <f t="array" ref="B1114">XLOOKUP(A1114,Data!F:F,Data!G:G)</f>
        <v>J1C</v>
      </c>
      <c r="C1114" s="19" t="str">
        <f t="shared" si="3"/>
        <v>J087</v>
      </c>
      <c r="D1114" s="19" t="str">
        <f t="array" ref="D1114">XLOOKUP(A1114,Data!F:F,Data!C:C)</f>
        <v/>
      </c>
      <c r="E1114" s="19" t="str">
        <f t="array" ref="E1114">XLOOKUP(A1114,Data!F:F,Data!H:H)</f>
        <v>BW</v>
      </c>
      <c r="F1114" s="106" t="str">
        <f>SUMIFS(Data!J:J,Data!F:F,A1114)</f>
        <v>1</v>
      </c>
      <c r="G1114" s="106" t="str">
        <f>SUMIFS(Cast!C:C,CastElements,A1114)</f>
        <v>1</v>
      </c>
      <c r="H1114" s="106" t="str">
        <f t="shared" si="4"/>
        <v>0</v>
      </c>
      <c r="I1114" s="106" t="str">
        <f>SUMIFS(Del!C:C,Del!B:B,A1114)</f>
        <v>0</v>
      </c>
      <c r="J1114" s="106" t="str">
        <f t="shared" si="5"/>
        <v>1</v>
      </c>
      <c r="K1114" s="106" t="str">
        <f t="shared" si="6"/>
        <v>1</v>
      </c>
      <c r="L1114" s="106"/>
      <c r="M1114" s="106" t="str">
        <f>SUMIFS(Ere!C:C,Ere!B:B,A1114)</f>
        <v>0</v>
      </c>
      <c r="N1114" s="106" t="str">
        <f t="shared" si="7"/>
        <v>1</v>
      </c>
      <c r="O1114" s="107" t="str">
        <f t="array" ref="O1114">XLOOKUP(A1114,Data!F:F,Data!O:O)</f>
        <v>  0.77 </v>
      </c>
      <c r="P1114" s="107" t="str">
        <f t="shared" si="8"/>
        <v>  1.92 </v>
      </c>
      <c r="Q1114" s="27"/>
    </row>
    <row r="1115" ht="15.75" customHeight="1">
      <c r="A1115" s="105" t="s">
        <v>1359</v>
      </c>
      <c r="B1115" s="19" t="str">
        <f t="array" ref="B1115">XLOOKUP(A1115,Data!F:F,Data!G:G)</f>
        <v>J1C</v>
      </c>
      <c r="C1115" s="19" t="str">
        <f t="shared" si="3"/>
        <v>J087</v>
      </c>
      <c r="D1115" s="19" t="str">
        <f t="array" ref="D1115">XLOOKUP(A1115,Data!F:F,Data!C:C)</f>
        <v/>
      </c>
      <c r="E1115" s="19" t="str">
        <f t="array" ref="E1115">XLOOKUP(A1115,Data!F:F,Data!H:H)</f>
        <v>BW</v>
      </c>
      <c r="F1115" s="106" t="str">
        <f>SUMIFS(Data!J:J,Data!F:F,A1115)</f>
        <v>1</v>
      </c>
      <c r="G1115" s="106" t="str">
        <f>SUMIFS(Cast!C:C,CastElements,A1115)</f>
        <v>1</v>
      </c>
      <c r="H1115" s="106" t="str">
        <f t="shared" si="4"/>
        <v>0</v>
      </c>
      <c r="I1115" s="106" t="str">
        <f>SUMIFS(Del!C:C,Del!B:B,A1115)</f>
        <v>0</v>
      </c>
      <c r="J1115" s="106" t="str">
        <f t="shared" si="5"/>
        <v>1</v>
      </c>
      <c r="K1115" s="106" t="str">
        <f t="shared" si="6"/>
        <v>1</v>
      </c>
      <c r="L1115" s="106"/>
      <c r="M1115" s="106" t="str">
        <f>SUMIFS(Ere!C:C,Ere!B:B,A1115)</f>
        <v>0</v>
      </c>
      <c r="N1115" s="106" t="str">
        <f t="shared" si="7"/>
        <v>1</v>
      </c>
      <c r="O1115" s="107" t="str">
        <f t="array" ref="O1115">XLOOKUP(A1115,Data!F:F,Data!O:O)</f>
        <v>  0.89 </v>
      </c>
      <c r="P1115" s="107" t="str">
        <f t="shared" si="8"/>
        <v>  2.22 </v>
      </c>
      <c r="Q1115" s="27"/>
    </row>
    <row r="1116" ht="15.75" customHeight="1">
      <c r="A1116" s="105" t="s">
        <v>1360</v>
      </c>
      <c r="B1116" s="19" t="str">
        <f t="array" ref="B1116">XLOOKUP(A1116,Data!F:F,Data!G:G)</f>
        <v>J1C</v>
      </c>
      <c r="C1116" s="19" t="str">
        <f t="shared" si="3"/>
        <v>J087</v>
      </c>
      <c r="D1116" s="19" t="str">
        <f t="array" ref="D1116">XLOOKUP(A1116,Data!F:F,Data!C:C)</f>
        <v/>
      </c>
      <c r="E1116" s="19" t="str">
        <f t="array" ref="E1116">XLOOKUP(A1116,Data!F:F,Data!H:H)</f>
        <v>BW</v>
      </c>
      <c r="F1116" s="106" t="str">
        <f>SUMIFS(Data!J:J,Data!F:F,A1116)</f>
        <v>1</v>
      </c>
      <c r="G1116" s="106" t="str">
        <f>SUMIFS(Cast!C:C,CastElements,A1116)</f>
        <v>1</v>
      </c>
      <c r="H1116" s="106" t="str">
        <f t="shared" si="4"/>
        <v>0</v>
      </c>
      <c r="I1116" s="106" t="str">
        <f>SUMIFS(Del!C:C,Del!B:B,A1116)</f>
        <v>0</v>
      </c>
      <c r="J1116" s="106" t="str">
        <f t="shared" si="5"/>
        <v>1</v>
      </c>
      <c r="K1116" s="106" t="str">
        <f t="shared" si="6"/>
        <v>1</v>
      </c>
      <c r="L1116" s="106"/>
      <c r="M1116" s="106" t="str">
        <f>SUMIFS(Ere!C:C,Ere!B:B,A1116)</f>
        <v>0</v>
      </c>
      <c r="N1116" s="106" t="str">
        <f t="shared" si="7"/>
        <v>1</v>
      </c>
      <c r="O1116" s="107" t="str">
        <f t="array" ref="O1116">XLOOKUP(A1116,Data!F:F,Data!O:O)</f>
        <v>  0.77 </v>
      </c>
      <c r="P1116" s="107" t="str">
        <f t="shared" si="8"/>
        <v>  1.92 </v>
      </c>
      <c r="Q1116" s="27"/>
    </row>
    <row r="1117" ht="15.75" customHeight="1">
      <c r="A1117" s="105" t="s">
        <v>1361</v>
      </c>
      <c r="B1117" s="19" t="str">
        <f t="array" ref="B1117">XLOOKUP(A1117,Data!F:F,Data!G:G)</f>
        <v>J1C</v>
      </c>
      <c r="C1117" s="19" t="str">
        <f t="shared" si="3"/>
        <v>J087</v>
      </c>
      <c r="D1117" s="19" t="str">
        <f t="array" ref="D1117">XLOOKUP(A1117,Data!F:F,Data!C:C)</f>
        <v/>
      </c>
      <c r="E1117" s="19" t="str">
        <f t="array" ref="E1117">XLOOKUP(A1117,Data!F:F,Data!H:H)</f>
        <v>BW</v>
      </c>
      <c r="F1117" s="106" t="str">
        <f>SUMIFS(Data!J:J,Data!F:F,A1117)</f>
        <v>1</v>
      </c>
      <c r="G1117" s="106" t="str">
        <f>SUMIFS(Cast!C:C,CastElements,A1117)</f>
        <v>1</v>
      </c>
      <c r="H1117" s="106" t="str">
        <f t="shared" si="4"/>
        <v>0</v>
      </c>
      <c r="I1117" s="106" t="str">
        <f>SUMIFS(Del!C:C,Del!B:B,A1117)</f>
        <v>0</v>
      </c>
      <c r="J1117" s="106" t="str">
        <f t="shared" si="5"/>
        <v>1</v>
      </c>
      <c r="K1117" s="106" t="str">
        <f t="shared" si="6"/>
        <v>1</v>
      </c>
      <c r="L1117" s="106"/>
      <c r="M1117" s="106" t="str">
        <f>SUMIFS(Ere!C:C,Ere!B:B,A1117)</f>
        <v>0</v>
      </c>
      <c r="N1117" s="106" t="str">
        <f t="shared" si="7"/>
        <v>1</v>
      </c>
      <c r="O1117" s="107" t="str">
        <f t="array" ref="O1117">XLOOKUP(A1117,Data!F:F,Data!O:O)</f>
        <v>  0.77 </v>
      </c>
      <c r="P1117" s="107" t="str">
        <f t="shared" si="8"/>
        <v>  1.92 </v>
      </c>
      <c r="Q1117" s="27"/>
    </row>
    <row r="1118" ht="15.75" customHeight="1">
      <c r="A1118" s="105" t="s">
        <v>1362</v>
      </c>
      <c r="B1118" s="19" t="str">
        <f t="array" ref="B1118">XLOOKUP(A1118,Data!F:F,Data!G:G)</f>
        <v>J1C</v>
      </c>
      <c r="C1118" s="19" t="str">
        <f t="shared" si="3"/>
        <v>J087</v>
      </c>
      <c r="D1118" s="19" t="str">
        <f t="array" ref="D1118">XLOOKUP(A1118,Data!F:F,Data!C:C)</f>
        <v/>
      </c>
      <c r="E1118" s="19" t="str">
        <f t="array" ref="E1118">XLOOKUP(A1118,Data!F:F,Data!H:H)</f>
        <v>BW</v>
      </c>
      <c r="F1118" s="106" t="str">
        <f>SUMIFS(Data!J:J,Data!F:F,A1118)</f>
        <v>1</v>
      </c>
      <c r="G1118" s="106" t="str">
        <f>SUMIFS(Cast!C:C,CastElements,A1118)</f>
        <v>1</v>
      </c>
      <c r="H1118" s="106" t="str">
        <f t="shared" si="4"/>
        <v>0</v>
      </c>
      <c r="I1118" s="106" t="str">
        <f>SUMIFS(Del!C:C,Del!B:B,A1118)</f>
        <v>0</v>
      </c>
      <c r="J1118" s="106" t="str">
        <f t="shared" si="5"/>
        <v>1</v>
      </c>
      <c r="K1118" s="106" t="str">
        <f t="shared" si="6"/>
        <v>1</v>
      </c>
      <c r="L1118" s="106"/>
      <c r="M1118" s="106" t="str">
        <f>SUMIFS(Ere!C:C,Ere!B:B,A1118)</f>
        <v>0</v>
      </c>
      <c r="N1118" s="106" t="str">
        <f t="shared" si="7"/>
        <v>1</v>
      </c>
      <c r="O1118" s="107" t="str">
        <f t="array" ref="O1118">XLOOKUP(A1118,Data!F:F,Data!O:O)</f>
        <v>  1.01 </v>
      </c>
      <c r="P1118" s="107" t="str">
        <f t="shared" si="8"/>
        <v>  2.52 </v>
      </c>
      <c r="Q1118" s="27"/>
    </row>
    <row r="1119" ht="15.75" customHeight="1">
      <c r="A1119" s="105" t="s">
        <v>1363</v>
      </c>
      <c r="B1119" s="19" t="str">
        <f t="array" ref="B1119">XLOOKUP(A1119,Data!F:F,Data!G:G)</f>
        <v>J1C</v>
      </c>
      <c r="C1119" s="19" t="str">
        <f t="shared" si="3"/>
        <v>J087</v>
      </c>
      <c r="D1119" s="19" t="str">
        <f t="array" ref="D1119">XLOOKUP(A1119,Data!F:F,Data!C:C)</f>
        <v/>
      </c>
      <c r="E1119" s="19" t="str">
        <f t="array" ref="E1119">XLOOKUP(A1119,Data!F:F,Data!H:H)</f>
        <v>BW</v>
      </c>
      <c r="F1119" s="106" t="str">
        <f>SUMIFS(Data!J:J,Data!F:F,A1119)</f>
        <v>1</v>
      </c>
      <c r="G1119" s="106" t="str">
        <f>SUMIFS(Cast!C:C,CastElements,A1119)</f>
        <v>1</v>
      </c>
      <c r="H1119" s="106" t="str">
        <f t="shared" si="4"/>
        <v>0</v>
      </c>
      <c r="I1119" s="106" t="str">
        <f>SUMIFS(Del!C:C,Del!B:B,A1119)</f>
        <v>0</v>
      </c>
      <c r="J1119" s="106" t="str">
        <f t="shared" si="5"/>
        <v>1</v>
      </c>
      <c r="K1119" s="106" t="str">
        <f t="shared" si="6"/>
        <v>1</v>
      </c>
      <c r="L1119" s="106"/>
      <c r="M1119" s="106" t="str">
        <f>SUMIFS(Ere!C:C,Ere!B:B,A1119)</f>
        <v>0</v>
      </c>
      <c r="N1119" s="106" t="str">
        <f t="shared" si="7"/>
        <v>1</v>
      </c>
      <c r="O1119" s="107" t="str">
        <f t="array" ref="O1119">XLOOKUP(A1119,Data!F:F,Data!O:O)</f>
        <v>  1.20 </v>
      </c>
      <c r="P1119" s="107" t="str">
        <f t="shared" si="8"/>
        <v>  3.01 </v>
      </c>
      <c r="Q1119" s="27"/>
    </row>
    <row r="1120" ht="15.75" customHeight="1">
      <c r="A1120" s="105" t="s">
        <v>1364</v>
      </c>
      <c r="B1120" s="19" t="str">
        <f t="array" ref="B1120">XLOOKUP(A1120,Data!F:F,Data!G:G)</f>
        <v>J1C</v>
      </c>
      <c r="C1120" s="19" t="str">
        <f t="shared" si="3"/>
        <v>J087</v>
      </c>
      <c r="D1120" s="19" t="str">
        <f t="array" ref="D1120">XLOOKUP(A1120,Data!F:F,Data!C:C)</f>
        <v>EXT</v>
      </c>
      <c r="E1120" s="19" t="str">
        <f t="array" ref="E1120">XLOOKUP(A1120,Data!F:F,Data!H:H)</f>
        <v>BW</v>
      </c>
      <c r="F1120" s="106" t="str">
        <f>SUMIFS(Data!J:J,Data!F:F,A1120)</f>
        <v>1</v>
      </c>
      <c r="G1120" s="106" t="str">
        <f>SUMIFS(Cast!C:C,CastElements,A1120)</f>
        <v>1</v>
      </c>
      <c r="H1120" s="106" t="str">
        <f t="shared" si="4"/>
        <v>0</v>
      </c>
      <c r="I1120" s="106" t="str">
        <f>SUMIFS(Del!C:C,Del!B:B,A1120)</f>
        <v>0</v>
      </c>
      <c r="J1120" s="106" t="str">
        <f t="shared" si="5"/>
        <v>1</v>
      </c>
      <c r="K1120" s="106" t="str">
        <f t="shared" si="6"/>
        <v>1</v>
      </c>
      <c r="L1120" s="106"/>
      <c r="M1120" s="106" t="str">
        <f>SUMIFS(Ere!C:C,Ere!B:B,A1120)</f>
        <v>0</v>
      </c>
      <c r="N1120" s="106" t="str">
        <f t="shared" si="7"/>
        <v>1</v>
      </c>
      <c r="O1120" s="107" t="str">
        <f t="array" ref="O1120">XLOOKUP(A1120,Data!F:F,Data!O:O)</f>
        <v>  0.79 </v>
      </c>
      <c r="P1120" s="107" t="str">
        <f t="shared" si="8"/>
        <v>  1.98 </v>
      </c>
      <c r="Q1120" s="27"/>
    </row>
    <row r="1121" ht="15.75" customHeight="1">
      <c r="A1121" s="105" t="s">
        <v>1365</v>
      </c>
      <c r="B1121" s="19" t="str">
        <f t="array" ref="B1121">XLOOKUP(A1121,Data!F:F,Data!G:G)</f>
        <v>J1C</v>
      </c>
      <c r="C1121" s="19" t="str">
        <f t="shared" si="3"/>
        <v>J087</v>
      </c>
      <c r="D1121" s="19" t="str">
        <f t="array" ref="D1121">XLOOKUP(A1121,Data!F:F,Data!C:C)</f>
        <v/>
      </c>
      <c r="E1121" s="19" t="str">
        <f t="array" ref="E1121">XLOOKUP(A1121,Data!F:F,Data!H:H)</f>
        <v>BW</v>
      </c>
      <c r="F1121" s="106" t="str">
        <f>SUMIFS(Data!J:J,Data!F:F,A1121)</f>
        <v>1</v>
      </c>
      <c r="G1121" s="106" t="str">
        <f>SUMIFS(Cast!C:C,CastElements,A1121)</f>
        <v>1</v>
      </c>
      <c r="H1121" s="106" t="str">
        <f t="shared" si="4"/>
        <v>0</v>
      </c>
      <c r="I1121" s="106" t="str">
        <f>SUMIFS(Del!C:C,Del!B:B,A1121)</f>
        <v>0</v>
      </c>
      <c r="J1121" s="106" t="str">
        <f t="shared" si="5"/>
        <v>1</v>
      </c>
      <c r="K1121" s="106" t="str">
        <f t="shared" si="6"/>
        <v>1</v>
      </c>
      <c r="L1121" s="106"/>
      <c r="M1121" s="106" t="str">
        <f>SUMIFS(Ere!C:C,Ere!B:B,A1121)</f>
        <v>0</v>
      </c>
      <c r="N1121" s="106" t="str">
        <f t="shared" si="7"/>
        <v>1</v>
      </c>
      <c r="O1121" s="107" t="str">
        <f t="array" ref="O1121">XLOOKUP(A1121,Data!F:F,Data!O:O)</f>
        <v>  1.36 </v>
      </c>
      <c r="P1121" s="107" t="str">
        <f t="shared" si="8"/>
        <v>  3.41 </v>
      </c>
      <c r="Q1121" s="27"/>
    </row>
    <row r="1122" ht="15.75" customHeight="1">
      <c r="A1122" s="105" t="s">
        <v>1366</v>
      </c>
      <c r="B1122" s="19" t="str">
        <f t="array" ref="B1122">XLOOKUP(A1122,Data!F:F,Data!G:G)</f>
        <v>J1C</v>
      </c>
      <c r="C1122" s="19" t="str">
        <f t="shared" si="3"/>
        <v>J087</v>
      </c>
      <c r="D1122" s="19" t="str">
        <f t="array" ref="D1122">XLOOKUP(A1122,Data!F:F,Data!C:C)</f>
        <v/>
      </c>
      <c r="E1122" s="19" t="str">
        <f t="array" ref="E1122">XLOOKUP(A1122,Data!F:F,Data!H:H)</f>
        <v>BW</v>
      </c>
      <c r="F1122" s="106" t="str">
        <f>SUMIFS(Data!J:J,Data!F:F,A1122)</f>
        <v>1</v>
      </c>
      <c r="G1122" s="106" t="str">
        <f>SUMIFS(Cast!C:C,CastElements,A1122)</f>
        <v>1</v>
      </c>
      <c r="H1122" s="106" t="str">
        <f t="shared" si="4"/>
        <v>0</v>
      </c>
      <c r="I1122" s="106" t="str">
        <f>SUMIFS(Del!C:C,Del!B:B,A1122)</f>
        <v>0</v>
      </c>
      <c r="J1122" s="106" t="str">
        <f t="shared" si="5"/>
        <v>1</v>
      </c>
      <c r="K1122" s="106" t="str">
        <f t="shared" si="6"/>
        <v>1</v>
      </c>
      <c r="L1122" s="106"/>
      <c r="M1122" s="106" t="str">
        <f>SUMIFS(Ere!C:C,Ere!B:B,A1122)</f>
        <v>0</v>
      </c>
      <c r="N1122" s="106" t="str">
        <f t="shared" si="7"/>
        <v>1</v>
      </c>
      <c r="O1122" s="107" t="str">
        <f t="array" ref="O1122">XLOOKUP(A1122,Data!F:F,Data!O:O)</f>
        <v>  1.36 </v>
      </c>
      <c r="P1122" s="107" t="str">
        <f t="shared" si="8"/>
        <v>  3.41 </v>
      </c>
      <c r="Q1122" s="27"/>
    </row>
    <row r="1123" ht="15.75" customHeight="1">
      <c r="A1123" s="105" t="s">
        <v>1367</v>
      </c>
      <c r="B1123" s="19" t="str">
        <f t="array" ref="B1123">XLOOKUP(A1123,Data!F:F,Data!G:G)</f>
        <v>J1C</v>
      </c>
      <c r="C1123" s="19" t="str">
        <f t="shared" si="3"/>
        <v>J087</v>
      </c>
      <c r="D1123" s="19" t="str">
        <f t="array" ref="D1123">XLOOKUP(A1123,Data!F:F,Data!C:C)</f>
        <v/>
      </c>
      <c r="E1123" s="19" t="str">
        <f t="array" ref="E1123">XLOOKUP(A1123,Data!F:F,Data!H:H)</f>
        <v>BW</v>
      </c>
      <c r="F1123" s="106" t="str">
        <f>SUMIFS(Data!J:J,Data!F:F,A1123)</f>
        <v>1</v>
      </c>
      <c r="G1123" s="106" t="str">
        <f>SUMIFS(Cast!C:C,CastElements,A1123)</f>
        <v>1</v>
      </c>
      <c r="H1123" s="106" t="str">
        <f t="shared" si="4"/>
        <v>0</v>
      </c>
      <c r="I1123" s="106" t="str">
        <f>SUMIFS(Del!C:C,Del!B:B,A1123)</f>
        <v>0</v>
      </c>
      <c r="J1123" s="106" t="str">
        <f t="shared" si="5"/>
        <v>1</v>
      </c>
      <c r="K1123" s="106" t="str">
        <f t="shared" si="6"/>
        <v>1</v>
      </c>
      <c r="L1123" s="106"/>
      <c r="M1123" s="106" t="str">
        <f>SUMIFS(Ere!C:C,Ere!B:B,A1123)</f>
        <v>0</v>
      </c>
      <c r="N1123" s="106" t="str">
        <f t="shared" si="7"/>
        <v>1</v>
      </c>
      <c r="O1123" s="107" t="str">
        <f t="array" ref="O1123">XLOOKUP(A1123,Data!F:F,Data!O:O)</f>
        <v>  1.36 </v>
      </c>
      <c r="P1123" s="107" t="str">
        <f t="shared" si="8"/>
        <v>  3.41 </v>
      </c>
      <c r="Q1123" s="27"/>
    </row>
    <row r="1124" ht="15.75" customHeight="1">
      <c r="A1124" s="105" t="s">
        <v>1368</v>
      </c>
      <c r="B1124" s="19" t="str">
        <f t="array" ref="B1124">XLOOKUP(A1124,Data!F:F,Data!G:G)</f>
        <v>J1C</v>
      </c>
      <c r="C1124" s="19" t="str">
        <f t="shared" si="3"/>
        <v>J087</v>
      </c>
      <c r="D1124" s="19" t="str">
        <f t="array" ref="D1124">XLOOKUP(A1124,Data!F:F,Data!C:C)</f>
        <v/>
      </c>
      <c r="E1124" s="19" t="str">
        <f t="array" ref="E1124">XLOOKUP(A1124,Data!F:F,Data!H:H)</f>
        <v>BW</v>
      </c>
      <c r="F1124" s="106" t="str">
        <f>SUMIFS(Data!J:J,Data!F:F,A1124)</f>
        <v>1</v>
      </c>
      <c r="G1124" s="106" t="str">
        <f>SUMIFS(Cast!C:C,CastElements,A1124)</f>
        <v>1</v>
      </c>
      <c r="H1124" s="106" t="str">
        <f t="shared" si="4"/>
        <v>0</v>
      </c>
      <c r="I1124" s="106" t="str">
        <f>SUMIFS(Del!C:C,Del!B:B,A1124)</f>
        <v>0</v>
      </c>
      <c r="J1124" s="106" t="str">
        <f t="shared" si="5"/>
        <v>1</v>
      </c>
      <c r="K1124" s="106" t="str">
        <f t="shared" si="6"/>
        <v>1</v>
      </c>
      <c r="L1124" s="106"/>
      <c r="M1124" s="106" t="str">
        <f>SUMIFS(Ere!C:C,Ere!B:B,A1124)</f>
        <v>0</v>
      </c>
      <c r="N1124" s="106" t="str">
        <f t="shared" si="7"/>
        <v>1</v>
      </c>
      <c r="O1124" s="107" t="str">
        <f t="array" ref="O1124">XLOOKUP(A1124,Data!F:F,Data!O:O)</f>
        <v>  1.53 </v>
      </c>
      <c r="P1124" s="107" t="str">
        <f t="shared" si="8"/>
        <v>  3.81 </v>
      </c>
      <c r="Q1124" s="27"/>
    </row>
    <row r="1125" ht="15.75" customHeight="1">
      <c r="A1125" s="105" t="s">
        <v>1369</v>
      </c>
      <c r="B1125" s="19" t="str">
        <f t="array" ref="B1125">XLOOKUP(A1125,Data!F:F,Data!G:G)</f>
        <v>J1C</v>
      </c>
      <c r="C1125" s="19" t="str">
        <f t="shared" si="3"/>
        <v>J087</v>
      </c>
      <c r="D1125" s="19" t="str">
        <f t="array" ref="D1125">XLOOKUP(A1125,Data!F:F,Data!C:C)</f>
        <v/>
      </c>
      <c r="E1125" s="19" t="str">
        <f t="array" ref="E1125">XLOOKUP(A1125,Data!F:F,Data!H:H)</f>
        <v>BW</v>
      </c>
      <c r="F1125" s="106" t="str">
        <f>SUMIFS(Data!J:J,Data!F:F,A1125)</f>
        <v>1</v>
      </c>
      <c r="G1125" s="106" t="str">
        <f>SUMIFS(Cast!C:C,CastElements,A1125)</f>
        <v>1</v>
      </c>
      <c r="H1125" s="106" t="str">
        <f t="shared" si="4"/>
        <v>0</v>
      </c>
      <c r="I1125" s="106" t="str">
        <f>SUMIFS(Del!C:C,Del!B:B,A1125)</f>
        <v>0</v>
      </c>
      <c r="J1125" s="106" t="str">
        <f t="shared" si="5"/>
        <v>1</v>
      </c>
      <c r="K1125" s="106" t="str">
        <f t="shared" si="6"/>
        <v>1</v>
      </c>
      <c r="L1125" s="106"/>
      <c r="M1125" s="106" t="str">
        <f>SUMIFS(Ere!C:C,Ere!B:B,A1125)</f>
        <v>0</v>
      </c>
      <c r="N1125" s="106" t="str">
        <f t="shared" si="7"/>
        <v>1</v>
      </c>
      <c r="O1125" s="107" t="str">
        <f t="array" ref="O1125">XLOOKUP(A1125,Data!F:F,Data!O:O)</f>
        <v>  2.27 </v>
      </c>
      <c r="P1125" s="107" t="str">
        <f t="shared" si="8"/>
        <v>  5.69 </v>
      </c>
      <c r="Q1125" s="27"/>
    </row>
    <row r="1126" ht="15.75" customHeight="1">
      <c r="A1126" s="105" t="s">
        <v>1370</v>
      </c>
      <c r="B1126" s="19" t="str">
        <f t="array" ref="B1126">XLOOKUP(A1126,Data!F:F,Data!G:G)</f>
        <v>J1C</v>
      </c>
      <c r="C1126" s="19" t="str">
        <f t="shared" si="3"/>
        <v>J087</v>
      </c>
      <c r="D1126" s="19" t="str">
        <f t="array" ref="D1126">XLOOKUP(A1126,Data!F:F,Data!C:C)</f>
        <v/>
      </c>
      <c r="E1126" s="19" t="str">
        <f t="array" ref="E1126">XLOOKUP(A1126,Data!F:F,Data!H:H)</f>
        <v>BW</v>
      </c>
      <c r="F1126" s="106" t="str">
        <f>SUMIFS(Data!J:J,Data!F:F,A1126)</f>
        <v>1</v>
      </c>
      <c r="G1126" s="106" t="str">
        <f>SUMIFS(Cast!C:C,CastElements,A1126)</f>
        <v>1</v>
      </c>
      <c r="H1126" s="106" t="str">
        <f t="shared" si="4"/>
        <v>0</v>
      </c>
      <c r="I1126" s="106" t="str">
        <f>SUMIFS(Del!C:C,Del!B:B,A1126)</f>
        <v>0</v>
      </c>
      <c r="J1126" s="106" t="str">
        <f t="shared" si="5"/>
        <v>1</v>
      </c>
      <c r="K1126" s="106" t="str">
        <f t="shared" si="6"/>
        <v>1</v>
      </c>
      <c r="L1126" s="106"/>
      <c r="M1126" s="106" t="str">
        <f>SUMIFS(Ere!C:C,Ere!B:B,A1126)</f>
        <v>0</v>
      </c>
      <c r="N1126" s="106" t="str">
        <f t="shared" si="7"/>
        <v>1</v>
      </c>
      <c r="O1126" s="107" t="str">
        <f t="array" ref="O1126">XLOOKUP(A1126,Data!F:F,Data!O:O)</f>
        <v>  1.83 </v>
      </c>
      <c r="P1126" s="107" t="str">
        <f t="shared" si="8"/>
        <v>  4.58 </v>
      </c>
      <c r="Q1126" s="27"/>
    </row>
    <row r="1127" ht="15.75" customHeight="1">
      <c r="A1127" s="105" t="s">
        <v>1371</v>
      </c>
      <c r="B1127" s="19" t="str">
        <f t="array" ref="B1127">XLOOKUP(A1127,Data!F:F,Data!G:G)</f>
        <v>J1C</v>
      </c>
      <c r="C1127" s="19" t="str">
        <f t="shared" si="3"/>
        <v>J087</v>
      </c>
      <c r="D1127" s="19" t="str">
        <f t="array" ref="D1127">XLOOKUP(A1127,Data!F:F,Data!C:C)</f>
        <v/>
      </c>
      <c r="E1127" s="19" t="str">
        <f t="array" ref="E1127">XLOOKUP(A1127,Data!F:F,Data!H:H)</f>
        <v>BW</v>
      </c>
      <c r="F1127" s="106" t="str">
        <f>SUMIFS(Data!J:J,Data!F:F,A1127)</f>
        <v>1</v>
      </c>
      <c r="G1127" s="106" t="str">
        <f>SUMIFS(Cast!C:C,CastElements,A1127)</f>
        <v>1</v>
      </c>
      <c r="H1127" s="106" t="str">
        <f t="shared" si="4"/>
        <v>0</v>
      </c>
      <c r="I1127" s="106" t="str">
        <f>SUMIFS(Del!C:C,Del!B:B,A1127)</f>
        <v>0</v>
      </c>
      <c r="J1127" s="106" t="str">
        <f t="shared" si="5"/>
        <v>1</v>
      </c>
      <c r="K1127" s="106" t="str">
        <f t="shared" si="6"/>
        <v>1</v>
      </c>
      <c r="L1127" s="106"/>
      <c r="M1127" s="106" t="str">
        <f>SUMIFS(Ere!C:C,Ere!B:B,A1127)</f>
        <v>0</v>
      </c>
      <c r="N1127" s="106" t="str">
        <f t="shared" si="7"/>
        <v>1</v>
      </c>
      <c r="O1127" s="107" t="str">
        <f t="array" ref="O1127">XLOOKUP(A1127,Data!F:F,Data!O:O)</f>
        <v>  0.83 </v>
      </c>
      <c r="P1127" s="107" t="str">
        <f t="shared" si="8"/>
        <v>  2.09 </v>
      </c>
      <c r="Q1127" s="27"/>
    </row>
    <row r="1128" ht="15.75" customHeight="1">
      <c r="A1128" s="105" t="s">
        <v>1372</v>
      </c>
      <c r="B1128" s="19" t="str">
        <f t="array" ref="B1128">XLOOKUP(A1128,Data!F:F,Data!G:G)</f>
        <v>J1C</v>
      </c>
      <c r="C1128" s="19" t="str">
        <f t="shared" si="3"/>
        <v>J087</v>
      </c>
      <c r="D1128" s="19" t="str">
        <f t="array" ref="D1128">XLOOKUP(A1128,Data!F:F,Data!C:C)</f>
        <v/>
      </c>
      <c r="E1128" s="19" t="str">
        <f t="array" ref="E1128">XLOOKUP(A1128,Data!F:F,Data!H:H)</f>
        <v>BW</v>
      </c>
      <c r="F1128" s="106" t="str">
        <f>SUMIFS(Data!J:J,Data!F:F,A1128)</f>
        <v>1</v>
      </c>
      <c r="G1128" s="106" t="str">
        <f>SUMIFS(Cast!C:C,CastElements,A1128)</f>
        <v>1</v>
      </c>
      <c r="H1128" s="106" t="str">
        <f t="shared" si="4"/>
        <v>0</v>
      </c>
      <c r="I1128" s="106" t="str">
        <f>SUMIFS(Del!C:C,Del!B:B,A1128)</f>
        <v>0</v>
      </c>
      <c r="J1128" s="106" t="str">
        <f t="shared" si="5"/>
        <v>1</v>
      </c>
      <c r="K1128" s="106" t="str">
        <f t="shared" si="6"/>
        <v>1</v>
      </c>
      <c r="L1128" s="106"/>
      <c r="M1128" s="106" t="str">
        <f>SUMIFS(Ere!C:C,Ere!B:B,A1128)</f>
        <v>0</v>
      </c>
      <c r="N1128" s="106" t="str">
        <f t="shared" si="7"/>
        <v>1</v>
      </c>
      <c r="O1128" s="107" t="str">
        <f t="array" ref="O1128">XLOOKUP(A1128,Data!F:F,Data!O:O)</f>
        <v>  0.40 </v>
      </c>
      <c r="P1128" s="107" t="str">
        <f t="shared" si="8"/>
        <v>  1.00 </v>
      </c>
      <c r="Q1128" s="27"/>
    </row>
    <row r="1129" ht="15.75" customHeight="1">
      <c r="A1129" s="105" t="s">
        <v>1373</v>
      </c>
      <c r="B1129" s="19" t="str">
        <f t="array" ref="B1129">XLOOKUP(A1129,Data!F:F,Data!G:G)</f>
        <v>J1C</v>
      </c>
      <c r="C1129" s="19" t="str">
        <f t="shared" si="3"/>
        <v>J087</v>
      </c>
      <c r="D1129" s="19" t="str">
        <f t="array" ref="D1129">XLOOKUP(A1129,Data!F:F,Data!C:C)</f>
        <v/>
      </c>
      <c r="E1129" s="19" t="str">
        <f t="array" ref="E1129">XLOOKUP(A1129,Data!F:F,Data!H:H)</f>
        <v>BW</v>
      </c>
      <c r="F1129" s="106" t="str">
        <f>SUMIFS(Data!J:J,Data!F:F,A1129)</f>
        <v>1</v>
      </c>
      <c r="G1129" s="106" t="str">
        <f>SUMIFS(Cast!C:C,CastElements,A1129)</f>
        <v>1</v>
      </c>
      <c r="H1129" s="106" t="str">
        <f t="shared" si="4"/>
        <v>0</v>
      </c>
      <c r="I1129" s="106" t="str">
        <f>SUMIFS(Del!C:C,Del!B:B,A1129)</f>
        <v>0</v>
      </c>
      <c r="J1129" s="106" t="str">
        <f t="shared" si="5"/>
        <v>1</v>
      </c>
      <c r="K1129" s="106" t="str">
        <f t="shared" si="6"/>
        <v>1</v>
      </c>
      <c r="L1129" s="106"/>
      <c r="M1129" s="106" t="str">
        <f>SUMIFS(Ere!C:C,Ere!B:B,A1129)</f>
        <v>0</v>
      </c>
      <c r="N1129" s="106" t="str">
        <f t="shared" si="7"/>
        <v>1</v>
      </c>
      <c r="O1129" s="107" t="str">
        <f t="array" ref="O1129">XLOOKUP(A1129,Data!F:F,Data!O:O)</f>
        <v>  0.40 </v>
      </c>
      <c r="P1129" s="107" t="str">
        <f t="shared" si="8"/>
        <v>  0.99 </v>
      </c>
      <c r="Q1129" s="27"/>
    </row>
    <row r="1130" ht="15.75" customHeight="1">
      <c r="A1130" s="105" t="s">
        <v>1374</v>
      </c>
      <c r="B1130" s="19" t="str">
        <f t="array" ref="B1130">XLOOKUP(A1130,Data!F:F,Data!G:G)</f>
        <v>J1C</v>
      </c>
      <c r="C1130" s="19" t="str">
        <f t="shared" si="3"/>
        <v>J087</v>
      </c>
      <c r="D1130" s="19" t="str">
        <f t="array" ref="D1130">XLOOKUP(A1130,Data!F:F,Data!C:C)</f>
        <v/>
      </c>
      <c r="E1130" s="19" t="str">
        <f t="array" ref="E1130">XLOOKUP(A1130,Data!F:F,Data!H:H)</f>
        <v>BW</v>
      </c>
      <c r="F1130" s="106" t="str">
        <f>SUMIFS(Data!J:J,Data!F:F,A1130)</f>
        <v>1</v>
      </c>
      <c r="G1130" s="106" t="str">
        <f>SUMIFS(Cast!C:C,CastElements,A1130)</f>
        <v>1</v>
      </c>
      <c r="H1130" s="106" t="str">
        <f t="shared" si="4"/>
        <v>0</v>
      </c>
      <c r="I1130" s="106" t="str">
        <f>SUMIFS(Del!C:C,Del!B:B,A1130)</f>
        <v>0</v>
      </c>
      <c r="J1130" s="106" t="str">
        <f t="shared" si="5"/>
        <v>1</v>
      </c>
      <c r="K1130" s="106" t="str">
        <f t="shared" si="6"/>
        <v>1</v>
      </c>
      <c r="L1130" s="106"/>
      <c r="M1130" s="106" t="str">
        <f>SUMIFS(Ere!C:C,Ere!B:B,A1130)</f>
        <v>0</v>
      </c>
      <c r="N1130" s="106" t="str">
        <f t="shared" si="7"/>
        <v>1</v>
      </c>
      <c r="O1130" s="107" t="str">
        <f t="array" ref="O1130">XLOOKUP(A1130,Data!F:F,Data!O:O)</f>
        <v>  0.80 </v>
      </c>
      <c r="P1130" s="107" t="str">
        <f t="shared" si="8"/>
        <v>  2.00 </v>
      </c>
      <c r="Q1130" s="27"/>
    </row>
    <row r="1131" ht="15.75" customHeight="1">
      <c r="A1131" s="105" t="s">
        <v>1375</v>
      </c>
      <c r="B1131" s="19" t="str">
        <f t="array" ref="B1131">XLOOKUP(A1131,Data!F:F,Data!G:G)</f>
        <v>J1C</v>
      </c>
      <c r="C1131" s="19" t="str">
        <f t="shared" si="3"/>
        <v>J087</v>
      </c>
      <c r="D1131" s="19" t="str">
        <f t="array" ref="D1131">XLOOKUP(A1131,Data!F:F,Data!C:C)</f>
        <v/>
      </c>
      <c r="E1131" s="19" t="str">
        <f t="array" ref="E1131">XLOOKUP(A1131,Data!F:F,Data!H:H)</f>
        <v>BW</v>
      </c>
      <c r="F1131" s="106" t="str">
        <f>SUMIFS(Data!J:J,Data!F:F,A1131)</f>
        <v>1</v>
      </c>
      <c r="G1131" s="106" t="str">
        <f>SUMIFS(Cast!C:C,CastElements,A1131)</f>
        <v>1</v>
      </c>
      <c r="H1131" s="106" t="str">
        <f t="shared" si="4"/>
        <v>0</v>
      </c>
      <c r="I1131" s="106" t="str">
        <f>SUMIFS(Del!C:C,Del!B:B,A1131)</f>
        <v>0</v>
      </c>
      <c r="J1131" s="106" t="str">
        <f t="shared" si="5"/>
        <v>1</v>
      </c>
      <c r="K1131" s="106" t="str">
        <f t="shared" si="6"/>
        <v>1</v>
      </c>
      <c r="L1131" s="106"/>
      <c r="M1131" s="106" t="str">
        <f>SUMIFS(Ere!C:C,Ere!B:B,A1131)</f>
        <v>0</v>
      </c>
      <c r="N1131" s="106" t="str">
        <f t="shared" si="7"/>
        <v>1</v>
      </c>
      <c r="O1131" s="107" t="str">
        <f t="array" ref="O1131">XLOOKUP(A1131,Data!F:F,Data!O:O)</f>
        <v>  0.80 </v>
      </c>
      <c r="P1131" s="107" t="str">
        <f t="shared" si="8"/>
        <v>  2.00 </v>
      </c>
      <c r="Q1131" s="27"/>
    </row>
    <row r="1132" ht="15.75" customHeight="1">
      <c r="A1132" s="105" t="s">
        <v>1376</v>
      </c>
      <c r="B1132" s="19" t="str">
        <f t="array" ref="B1132">XLOOKUP(A1132,Data!F:F,Data!G:G)</f>
        <v>J1C</v>
      </c>
      <c r="C1132" s="19" t="str">
        <f t="shared" si="3"/>
        <v>J087</v>
      </c>
      <c r="D1132" s="19" t="str">
        <f t="array" ref="D1132">XLOOKUP(A1132,Data!F:F,Data!C:C)</f>
        <v/>
      </c>
      <c r="E1132" s="19" t="str">
        <f t="array" ref="E1132">XLOOKUP(A1132,Data!F:F,Data!H:H)</f>
        <v>CF</v>
      </c>
      <c r="F1132" s="106" t="str">
        <f>SUMIFS(Data!J:J,Data!F:F,A1132)</f>
        <v>1</v>
      </c>
      <c r="G1132" s="106" t="str">
        <f>SUMIFS(Cast!C:C,CastElements,A1132)</f>
        <v>1</v>
      </c>
      <c r="H1132" s="106" t="str">
        <f t="shared" si="4"/>
        <v>0</v>
      </c>
      <c r="I1132" s="106" t="str">
        <f>SUMIFS(Del!C:C,Del!B:B,A1132)</f>
        <v>0</v>
      </c>
      <c r="J1132" s="106" t="str">
        <f t="shared" si="5"/>
        <v>1</v>
      </c>
      <c r="K1132" s="106" t="str">
        <f t="shared" si="6"/>
        <v>1</v>
      </c>
      <c r="L1132" s="106"/>
      <c r="M1132" s="106" t="str">
        <f>SUMIFS(Ere!C:C,Ere!B:B,A1132)</f>
        <v>0</v>
      </c>
      <c r="N1132" s="106" t="str">
        <f t="shared" si="7"/>
        <v>1</v>
      </c>
      <c r="O1132" s="107" t="str">
        <f t="array" ref="O1132">XLOOKUP(A1132,Data!F:F,Data!O:O)</f>
        <v>  0.51 </v>
      </c>
      <c r="P1132" s="107" t="str">
        <f t="shared" si="8"/>
        <v>  1.27 </v>
      </c>
      <c r="Q1132" s="27"/>
    </row>
    <row r="1133" ht="15.75" customHeight="1">
      <c r="A1133" s="105" t="s">
        <v>1377</v>
      </c>
      <c r="B1133" s="19" t="str">
        <f t="array" ref="B1133">XLOOKUP(A1133,Data!F:F,Data!G:G)</f>
        <v>J1C</v>
      </c>
      <c r="C1133" s="19" t="str">
        <f t="shared" si="3"/>
        <v>J087</v>
      </c>
      <c r="D1133" s="19" t="str">
        <f t="array" ref="D1133">XLOOKUP(A1133,Data!F:F,Data!C:C)</f>
        <v/>
      </c>
      <c r="E1133" s="19" t="str">
        <f t="array" ref="E1133">XLOOKUP(A1133,Data!F:F,Data!H:H)</f>
        <v>BW</v>
      </c>
      <c r="F1133" s="106" t="str">
        <f>SUMIFS(Data!J:J,Data!F:F,A1133)</f>
        <v>1</v>
      </c>
      <c r="G1133" s="106" t="str">
        <f>SUMIFS(Cast!C:C,CastElements,A1133)</f>
        <v>1</v>
      </c>
      <c r="H1133" s="106" t="str">
        <f t="shared" si="4"/>
        <v>0</v>
      </c>
      <c r="I1133" s="106" t="str">
        <f>SUMIFS(Del!C:C,Del!B:B,A1133)</f>
        <v>0</v>
      </c>
      <c r="J1133" s="106" t="str">
        <f t="shared" si="5"/>
        <v>1</v>
      </c>
      <c r="K1133" s="106" t="str">
        <f t="shared" si="6"/>
        <v>1</v>
      </c>
      <c r="L1133" s="106"/>
      <c r="M1133" s="106" t="str">
        <f>SUMIFS(Ere!C:C,Ere!B:B,A1133)</f>
        <v>0</v>
      </c>
      <c r="N1133" s="106" t="str">
        <f t="shared" si="7"/>
        <v>1</v>
      </c>
      <c r="O1133" s="107" t="str">
        <f t="array" ref="O1133">XLOOKUP(A1133,Data!F:F,Data!O:O)</f>
        <v>  2.17 </v>
      </c>
      <c r="P1133" s="107" t="str">
        <f t="shared" si="8"/>
        <v>  5.43 </v>
      </c>
      <c r="Q1133" s="27"/>
    </row>
    <row r="1134" ht="15.75" customHeight="1">
      <c r="A1134" s="105" t="s">
        <v>1378</v>
      </c>
      <c r="B1134" s="19" t="str">
        <f t="array" ref="B1134">XLOOKUP(A1134,Data!F:F,Data!G:G)</f>
        <v>J1C</v>
      </c>
      <c r="C1134" s="19" t="str">
        <f t="shared" si="3"/>
        <v>J087</v>
      </c>
      <c r="D1134" s="19" t="str">
        <f t="array" ref="D1134">XLOOKUP(A1134,Data!F:F,Data!C:C)</f>
        <v/>
      </c>
      <c r="E1134" s="19" t="str">
        <f t="array" ref="E1134">XLOOKUP(A1134,Data!F:F,Data!H:H)</f>
        <v>BW</v>
      </c>
      <c r="F1134" s="106" t="str">
        <f>SUMIFS(Data!J:J,Data!F:F,A1134)</f>
        <v>1</v>
      </c>
      <c r="G1134" s="106" t="str">
        <f>SUMIFS(Cast!C:C,CastElements,A1134)</f>
        <v>1</v>
      </c>
      <c r="H1134" s="106" t="str">
        <f t="shared" si="4"/>
        <v>0</v>
      </c>
      <c r="I1134" s="106" t="str">
        <f>SUMIFS(Del!C:C,Del!B:B,A1134)</f>
        <v>0</v>
      </c>
      <c r="J1134" s="106" t="str">
        <f t="shared" si="5"/>
        <v>1</v>
      </c>
      <c r="K1134" s="106" t="str">
        <f t="shared" si="6"/>
        <v>1</v>
      </c>
      <c r="L1134" s="106"/>
      <c r="M1134" s="106" t="str">
        <f>SUMIFS(Ere!C:C,Ere!B:B,A1134)</f>
        <v>0</v>
      </c>
      <c r="N1134" s="106" t="str">
        <f t="shared" si="7"/>
        <v>1</v>
      </c>
      <c r="O1134" s="107" t="str">
        <f t="array" ref="O1134">XLOOKUP(A1134,Data!F:F,Data!O:O)</f>
        <v>  2.17 </v>
      </c>
      <c r="P1134" s="107" t="str">
        <f t="shared" si="8"/>
        <v>  5.43 </v>
      </c>
      <c r="Q1134" s="27"/>
    </row>
    <row r="1135" ht="15.75" customHeight="1">
      <c r="A1135" s="105" t="s">
        <v>1379</v>
      </c>
      <c r="B1135" s="19" t="str">
        <f t="array" ref="B1135">XLOOKUP(A1135,Data!F:F,Data!G:G)</f>
        <v>J1C</v>
      </c>
      <c r="C1135" s="19" t="str">
        <f t="shared" si="3"/>
        <v>J087</v>
      </c>
      <c r="D1135" s="19" t="str">
        <f t="array" ref="D1135">XLOOKUP(A1135,Data!F:F,Data!C:C)</f>
        <v/>
      </c>
      <c r="E1135" s="19" t="str">
        <f t="array" ref="E1135">XLOOKUP(A1135,Data!F:F,Data!H:H)</f>
        <v>BW</v>
      </c>
      <c r="F1135" s="106" t="str">
        <f>SUMIFS(Data!J:J,Data!F:F,A1135)</f>
        <v>1</v>
      </c>
      <c r="G1135" s="106" t="str">
        <f>SUMIFS(Cast!C:C,CastElements,A1135)</f>
        <v>1</v>
      </c>
      <c r="H1135" s="106" t="str">
        <f t="shared" si="4"/>
        <v>0</v>
      </c>
      <c r="I1135" s="106" t="str">
        <f>SUMIFS(Del!C:C,Del!B:B,A1135)</f>
        <v>0</v>
      </c>
      <c r="J1135" s="106" t="str">
        <f t="shared" si="5"/>
        <v>1</v>
      </c>
      <c r="K1135" s="106" t="str">
        <f t="shared" si="6"/>
        <v>1</v>
      </c>
      <c r="L1135" s="106"/>
      <c r="M1135" s="106" t="str">
        <f>SUMIFS(Ere!C:C,Ere!B:B,A1135)</f>
        <v>0</v>
      </c>
      <c r="N1135" s="106" t="str">
        <f t="shared" si="7"/>
        <v>1</v>
      </c>
      <c r="O1135" s="107" t="str">
        <f t="array" ref="O1135">XLOOKUP(A1135,Data!F:F,Data!O:O)</f>
        <v>  2.17 </v>
      </c>
      <c r="P1135" s="107" t="str">
        <f t="shared" si="8"/>
        <v>  5.43 </v>
      </c>
      <c r="Q1135" s="27"/>
    </row>
    <row r="1136" ht="15.75" customHeight="1">
      <c r="A1136" s="105" t="s">
        <v>1380</v>
      </c>
      <c r="B1136" s="19" t="str">
        <f t="array" ref="B1136">XLOOKUP(A1136,Data!F:F,Data!G:G)</f>
        <v>J1C</v>
      </c>
      <c r="C1136" s="19" t="str">
        <f t="shared" si="3"/>
        <v>J087</v>
      </c>
      <c r="D1136" s="19" t="str">
        <f t="array" ref="D1136">XLOOKUP(A1136,Data!F:F,Data!C:C)</f>
        <v>EXT</v>
      </c>
      <c r="E1136" s="19" t="str">
        <f t="array" ref="E1136">XLOOKUP(A1136,Data!F:F,Data!H:H)</f>
        <v>BW</v>
      </c>
      <c r="F1136" s="106" t="str">
        <f>SUMIFS(Data!J:J,Data!F:F,A1136)</f>
        <v>1</v>
      </c>
      <c r="G1136" s="106" t="str">
        <f>SUMIFS(Cast!C:C,CastElements,A1136)</f>
        <v>0</v>
      </c>
      <c r="H1136" s="106" t="str">
        <f t="shared" si="4"/>
        <v>1</v>
      </c>
      <c r="I1136" s="106" t="str">
        <f>SUMIFS(Del!C:C,Del!B:B,A1136)</f>
        <v>0</v>
      </c>
      <c r="J1136" s="106" t="str">
        <f t="shared" si="5"/>
        <v>1</v>
      </c>
      <c r="K1136" s="106" t="str">
        <f t="shared" si="6"/>
        <v>0</v>
      </c>
      <c r="L1136" s="106"/>
      <c r="M1136" s="106" t="str">
        <f>SUMIFS(Ere!C:C,Ere!B:B,A1136)</f>
        <v>0</v>
      </c>
      <c r="N1136" s="106" t="str">
        <f t="shared" si="7"/>
        <v>1</v>
      </c>
      <c r="O1136" s="107" t="str">
        <f t="array" ref="O1136">XLOOKUP(A1136,Data!F:F,Data!O:O)</f>
        <v>  0.96 </v>
      </c>
      <c r="P1136" s="107" t="str">
        <f t="shared" si="8"/>
        <v>  2.40 </v>
      </c>
      <c r="Q1136" s="27"/>
    </row>
    <row r="1137" ht="15.75" customHeight="1">
      <c r="A1137" s="105" t="s">
        <v>1381</v>
      </c>
      <c r="B1137" s="19" t="str">
        <f t="array" ref="B1137">XLOOKUP(A1137,Data!F:F,Data!G:G)</f>
        <v>J1C</v>
      </c>
      <c r="C1137" s="19" t="str">
        <f t="shared" si="3"/>
        <v>J087</v>
      </c>
      <c r="D1137" s="19" t="str">
        <f t="array" ref="D1137">XLOOKUP(A1137,Data!F:F,Data!C:C)</f>
        <v>EXT</v>
      </c>
      <c r="E1137" s="19" t="str">
        <f t="array" ref="E1137">XLOOKUP(A1137,Data!F:F,Data!H:H)</f>
        <v>BW</v>
      </c>
      <c r="F1137" s="106" t="str">
        <f>SUMIFS(Data!J:J,Data!F:F,A1137)</f>
        <v>1</v>
      </c>
      <c r="G1137" s="106" t="str">
        <f>SUMIFS(Cast!C:C,CastElements,A1137)</f>
        <v>0</v>
      </c>
      <c r="H1137" s="106" t="str">
        <f t="shared" si="4"/>
        <v>1</v>
      </c>
      <c r="I1137" s="106" t="str">
        <f>SUMIFS(Del!C:C,Del!B:B,A1137)</f>
        <v>0</v>
      </c>
      <c r="J1137" s="106" t="str">
        <f t="shared" si="5"/>
        <v>1</v>
      </c>
      <c r="K1137" s="106" t="str">
        <f t="shared" si="6"/>
        <v>0</v>
      </c>
      <c r="L1137" s="106"/>
      <c r="M1137" s="106" t="str">
        <f>SUMIFS(Ere!C:C,Ere!B:B,A1137)</f>
        <v>0</v>
      </c>
      <c r="N1137" s="106" t="str">
        <f t="shared" si="7"/>
        <v>1</v>
      </c>
      <c r="O1137" s="107" t="str">
        <f t="array" ref="O1137">XLOOKUP(A1137,Data!F:F,Data!O:O)</f>
        <v>  0.96 </v>
      </c>
      <c r="P1137" s="107" t="str">
        <f t="shared" si="8"/>
        <v>  2.40 </v>
      </c>
      <c r="Q1137" s="27"/>
    </row>
    <row r="1138" ht="15.75" customHeight="1">
      <c r="A1138" s="105" t="s">
        <v>1382</v>
      </c>
      <c r="B1138" s="19" t="str">
        <f t="array" ref="B1138">XLOOKUP(A1138,Data!F:F,Data!G:G)</f>
        <v>J1C</v>
      </c>
      <c r="C1138" s="19" t="str">
        <f t="shared" si="3"/>
        <v>J087</v>
      </c>
      <c r="D1138" s="19" t="str">
        <f t="array" ref="D1138">XLOOKUP(A1138,Data!F:F,Data!C:C)</f>
        <v>EXT</v>
      </c>
      <c r="E1138" s="19" t="str">
        <f t="array" ref="E1138">XLOOKUP(A1138,Data!F:F,Data!H:H)</f>
        <v>BW</v>
      </c>
      <c r="F1138" s="106" t="str">
        <f>SUMIFS(Data!J:J,Data!F:F,A1138)</f>
        <v>1</v>
      </c>
      <c r="G1138" s="106" t="str">
        <f>SUMIFS(Cast!C:C,CastElements,A1138)</f>
        <v>0</v>
      </c>
      <c r="H1138" s="106" t="str">
        <f t="shared" si="4"/>
        <v>1</v>
      </c>
      <c r="I1138" s="106" t="str">
        <f>SUMIFS(Del!C:C,Del!B:B,A1138)</f>
        <v>0</v>
      </c>
      <c r="J1138" s="106" t="str">
        <f t="shared" si="5"/>
        <v>1</v>
      </c>
      <c r="K1138" s="106" t="str">
        <f t="shared" si="6"/>
        <v>0</v>
      </c>
      <c r="L1138" s="106"/>
      <c r="M1138" s="106" t="str">
        <f>SUMIFS(Ere!C:C,Ere!B:B,A1138)</f>
        <v>0</v>
      </c>
      <c r="N1138" s="106" t="str">
        <f t="shared" si="7"/>
        <v>1</v>
      </c>
      <c r="O1138" s="107" t="str">
        <f t="array" ref="O1138">XLOOKUP(A1138,Data!F:F,Data!O:O)</f>
        <v>  0.96 </v>
      </c>
      <c r="P1138" s="107" t="str">
        <f t="shared" si="8"/>
        <v>  2.40 </v>
      </c>
      <c r="Q1138" s="27"/>
    </row>
    <row r="1139" ht="15.75" customHeight="1">
      <c r="A1139" s="105" t="s">
        <v>1383</v>
      </c>
      <c r="B1139" s="19" t="str">
        <f t="array" ref="B1139">XLOOKUP(A1139,Data!F:F,Data!G:G)</f>
        <v>J1C</v>
      </c>
      <c r="C1139" s="19" t="str">
        <f t="shared" si="3"/>
        <v>J087</v>
      </c>
      <c r="D1139" s="19" t="str">
        <f t="array" ref="D1139">XLOOKUP(A1139,Data!F:F,Data!C:C)</f>
        <v/>
      </c>
      <c r="E1139" s="19" t="str">
        <f t="array" ref="E1139">XLOOKUP(A1139,Data!F:F,Data!H:H)</f>
        <v>BW</v>
      </c>
      <c r="F1139" s="106" t="str">
        <f>SUMIFS(Data!J:J,Data!F:F,A1139)</f>
        <v>1</v>
      </c>
      <c r="G1139" s="106" t="str">
        <f>SUMIFS(Cast!C:C,CastElements,A1139)</f>
        <v>1</v>
      </c>
      <c r="H1139" s="106" t="str">
        <f t="shared" si="4"/>
        <v>0</v>
      </c>
      <c r="I1139" s="106" t="str">
        <f>SUMIFS(Del!C:C,Del!B:B,A1139)</f>
        <v>0</v>
      </c>
      <c r="J1139" s="106" t="str">
        <f t="shared" si="5"/>
        <v>1</v>
      </c>
      <c r="K1139" s="106" t="str">
        <f t="shared" si="6"/>
        <v>1</v>
      </c>
      <c r="L1139" s="106"/>
      <c r="M1139" s="106" t="str">
        <f>SUMIFS(Ere!C:C,Ere!B:B,A1139)</f>
        <v>0</v>
      </c>
      <c r="N1139" s="106" t="str">
        <f t="shared" si="7"/>
        <v>1</v>
      </c>
      <c r="O1139" s="107" t="str">
        <f t="array" ref="O1139">XLOOKUP(A1139,Data!F:F,Data!O:O)</f>
        <v>  1.17 </v>
      </c>
      <c r="P1139" s="107" t="str">
        <f t="shared" si="8"/>
        <v>  2.92 </v>
      </c>
      <c r="Q1139" s="27"/>
    </row>
    <row r="1140" ht="15.75" customHeight="1">
      <c r="A1140" s="105" t="s">
        <v>1384</v>
      </c>
      <c r="B1140" s="19" t="str">
        <f t="array" ref="B1140">XLOOKUP(A1140,Data!F:F,Data!G:G)</f>
        <v>J1C</v>
      </c>
      <c r="C1140" s="19" t="str">
        <f t="shared" si="3"/>
        <v>J088</v>
      </c>
      <c r="D1140" s="19" t="str">
        <f t="array" ref="D1140">XLOOKUP(A1140,Data!F:F,Data!C:C)</f>
        <v>EXT</v>
      </c>
      <c r="E1140" s="19" t="str">
        <f t="array" ref="E1140">XLOOKUP(A1140,Data!F:F,Data!H:H)</f>
        <v>BW</v>
      </c>
      <c r="F1140" s="106" t="str">
        <f>SUMIFS(Data!J:J,Data!F:F,A1140)</f>
        <v>1</v>
      </c>
      <c r="G1140" s="106" t="str">
        <f>SUMIFS(Cast!C:C,CastElements,A1140)</f>
        <v>1</v>
      </c>
      <c r="H1140" s="106" t="str">
        <f t="shared" si="4"/>
        <v>0</v>
      </c>
      <c r="I1140" s="106" t="str">
        <f>SUMIFS(Del!C:C,Del!B:B,A1140)</f>
        <v>0</v>
      </c>
      <c r="J1140" s="106" t="str">
        <f t="shared" si="5"/>
        <v>1</v>
      </c>
      <c r="K1140" s="106" t="str">
        <f t="shared" si="6"/>
        <v>1</v>
      </c>
      <c r="L1140" s="106"/>
      <c r="M1140" s="106" t="str">
        <f>SUMIFS(Ere!C:C,Ere!B:B,A1140)</f>
        <v>0</v>
      </c>
      <c r="N1140" s="106" t="str">
        <f t="shared" si="7"/>
        <v>1</v>
      </c>
      <c r="O1140" s="107" t="str">
        <f t="array" ref="O1140">XLOOKUP(A1140,Data!F:F,Data!O:O)</f>
        <v>  0.87 </v>
      </c>
      <c r="P1140" s="107" t="str">
        <f t="shared" si="8"/>
        <v>  2.18 </v>
      </c>
      <c r="Q1140" s="27"/>
    </row>
    <row r="1141" ht="15.75" customHeight="1">
      <c r="A1141" s="105" t="s">
        <v>1385</v>
      </c>
      <c r="B1141" s="19" t="str">
        <f t="array" ref="B1141">XLOOKUP(A1141,Data!F:F,Data!G:G)</f>
        <v>J1C</v>
      </c>
      <c r="C1141" s="19" t="str">
        <f t="shared" si="3"/>
        <v>J088</v>
      </c>
      <c r="D1141" s="19" t="str">
        <f t="array" ref="D1141">XLOOKUP(A1141,Data!F:F,Data!C:C)</f>
        <v>EXT</v>
      </c>
      <c r="E1141" s="19" t="str">
        <f t="array" ref="E1141">XLOOKUP(A1141,Data!F:F,Data!H:H)</f>
        <v>BW</v>
      </c>
      <c r="F1141" s="106" t="str">
        <f>SUMIFS(Data!J:J,Data!F:F,A1141)</f>
        <v>1</v>
      </c>
      <c r="G1141" s="106" t="str">
        <f>SUMIFS(Cast!C:C,CastElements,A1141)</f>
        <v>1</v>
      </c>
      <c r="H1141" s="106" t="str">
        <f t="shared" si="4"/>
        <v>0</v>
      </c>
      <c r="I1141" s="106" t="str">
        <f>SUMIFS(Del!C:C,Del!B:B,A1141)</f>
        <v>0</v>
      </c>
      <c r="J1141" s="106" t="str">
        <f t="shared" si="5"/>
        <v>1</v>
      </c>
      <c r="K1141" s="106" t="str">
        <f t="shared" si="6"/>
        <v>1</v>
      </c>
      <c r="L1141" s="106"/>
      <c r="M1141" s="106" t="str">
        <f>SUMIFS(Ere!C:C,Ere!B:B,A1141)</f>
        <v>0</v>
      </c>
      <c r="N1141" s="106" t="str">
        <f t="shared" si="7"/>
        <v>1</v>
      </c>
      <c r="O1141" s="107" t="str">
        <f t="array" ref="O1141">XLOOKUP(A1141,Data!F:F,Data!O:O)</f>
        <v>  0.87 </v>
      </c>
      <c r="P1141" s="107" t="str">
        <f t="shared" si="8"/>
        <v>  2.18 </v>
      </c>
      <c r="Q1141" s="27"/>
    </row>
    <row r="1142" ht="15.75" customHeight="1">
      <c r="A1142" s="105" t="s">
        <v>1386</v>
      </c>
      <c r="B1142" s="19" t="str">
        <f t="array" ref="B1142">XLOOKUP(A1142,Data!F:F,Data!G:G)</f>
        <v>J1C</v>
      </c>
      <c r="C1142" s="19" t="str">
        <f t="shared" si="3"/>
        <v>J088</v>
      </c>
      <c r="D1142" s="19" t="str">
        <f t="array" ref="D1142">XLOOKUP(A1142,Data!F:F,Data!C:C)</f>
        <v>EXT</v>
      </c>
      <c r="E1142" s="19" t="str">
        <f t="array" ref="E1142">XLOOKUP(A1142,Data!F:F,Data!H:H)</f>
        <v>BW</v>
      </c>
      <c r="F1142" s="106" t="str">
        <f>SUMIFS(Data!J:J,Data!F:F,A1142)</f>
        <v>1</v>
      </c>
      <c r="G1142" s="106" t="str">
        <f>SUMIFS(Cast!C:C,CastElements,A1142)</f>
        <v>0</v>
      </c>
      <c r="H1142" s="106" t="str">
        <f t="shared" si="4"/>
        <v>1</v>
      </c>
      <c r="I1142" s="106" t="str">
        <f>SUMIFS(Del!C:C,Del!B:B,A1142)</f>
        <v>0</v>
      </c>
      <c r="J1142" s="106" t="str">
        <f t="shared" si="5"/>
        <v>1</v>
      </c>
      <c r="K1142" s="106" t="str">
        <f t="shared" si="6"/>
        <v>0</v>
      </c>
      <c r="L1142" s="106"/>
      <c r="M1142" s="106" t="str">
        <f>SUMIFS(Ere!C:C,Ere!B:B,A1142)</f>
        <v>0</v>
      </c>
      <c r="N1142" s="106" t="str">
        <f t="shared" si="7"/>
        <v>1</v>
      </c>
      <c r="O1142" s="107" t="str">
        <f t="array" ref="O1142">XLOOKUP(A1142,Data!F:F,Data!O:O)</f>
        <v>  0.94 </v>
      </c>
      <c r="P1142" s="107" t="str">
        <f t="shared" si="8"/>
        <v>  2.35 </v>
      </c>
      <c r="Q1142" s="27"/>
    </row>
    <row r="1143" ht="15.75" customHeight="1">
      <c r="A1143" s="105" t="s">
        <v>1387</v>
      </c>
      <c r="B1143" s="19" t="str">
        <f t="array" ref="B1143">XLOOKUP(A1143,Data!F:F,Data!G:G)</f>
        <v>J1C</v>
      </c>
      <c r="C1143" s="19" t="str">
        <f t="shared" si="3"/>
        <v>J088</v>
      </c>
      <c r="D1143" s="19" t="str">
        <f t="array" ref="D1143">XLOOKUP(A1143,Data!F:F,Data!C:C)</f>
        <v>EXT</v>
      </c>
      <c r="E1143" s="19" t="str">
        <f t="array" ref="E1143">XLOOKUP(A1143,Data!F:F,Data!H:H)</f>
        <v>BW</v>
      </c>
      <c r="F1143" s="106" t="str">
        <f>SUMIFS(Data!J:J,Data!F:F,A1143)</f>
        <v>1</v>
      </c>
      <c r="G1143" s="106" t="str">
        <f>SUMIFS(Cast!C:C,CastElements,A1143)</f>
        <v>1</v>
      </c>
      <c r="H1143" s="106" t="str">
        <f t="shared" si="4"/>
        <v>0</v>
      </c>
      <c r="I1143" s="106" t="str">
        <f>SUMIFS(Del!C:C,Del!B:B,A1143)</f>
        <v>0</v>
      </c>
      <c r="J1143" s="106" t="str">
        <f t="shared" si="5"/>
        <v>1</v>
      </c>
      <c r="K1143" s="106" t="str">
        <f t="shared" si="6"/>
        <v>1</v>
      </c>
      <c r="L1143" s="106"/>
      <c r="M1143" s="106" t="str">
        <f>SUMIFS(Ere!C:C,Ere!B:B,A1143)</f>
        <v>0</v>
      </c>
      <c r="N1143" s="106" t="str">
        <f t="shared" si="7"/>
        <v>1</v>
      </c>
      <c r="O1143" s="107" t="str">
        <f t="array" ref="O1143">XLOOKUP(A1143,Data!F:F,Data!O:O)</f>
        <v>  0.94 </v>
      </c>
      <c r="P1143" s="107" t="str">
        <f t="shared" si="8"/>
        <v>  2.34 </v>
      </c>
      <c r="Q1143" s="27"/>
    </row>
    <row r="1144" ht="15.75" customHeight="1">
      <c r="A1144" s="105" t="s">
        <v>1388</v>
      </c>
      <c r="B1144" s="19" t="str">
        <f t="array" ref="B1144">XLOOKUP(A1144,Data!F:F,Data!G:G)</f>
        <v>J1C</v>
      </c>
      <c r="C1144" s="19" t="str">
        <f t="shared" si="3"/>
        <v>J088</v>
      </c>
      <c r="D1144" s="19" t="str">
        <f t="array" ref="D1144">XLOOKUP(A1144,Data!F:F,Data!C:C)</f>
        <v/>
      </c>
      <c r="E1144" s="19" t="str">
        <f t="array" ref="E1144">XLOOKUP(A1144,Data!F:F,Data!H:H)</f>
        <v>BW</v>
      </c>
      <c r="F1144" s="106" t="str">
        <f>SUMIFS(Data!J:J,Data!F:F,A1144)</f>
        <v>1</v>
      </c>
      <c r="G1144" s="106" t="str">
        <f>SUMIFS(Cast!C:C,CastElements,A1144)</f>
        <v>1</v>
      </c>
      <c r="H1144" s="106" t="str">
        <f t="shared" si="4"/>
        <v>0</v>
      </c>
      <c r="I1144" s="106" t="str">
        <f>SUMIFS(Del!C:C,Del!B:B,A1144)</f>
        <v>0</v>
      </c>
      <c r="J1144" s="106" t="str">
        <f t="shared" si="5"/>
        <v>1</v>
      </c>
      <c r="K1144" s="106" t="str">
        <f t="shared" si="6"/>
        <v>1</v>
      </c>
      <c r="L1144" s="106"/>
      <c r="M1144" s="106" t="str">
        <f>SUMIFS(Ere!C:C,Ere!B:B,A1144)</f>
        <v>0</v>
      </c>
      <c r="N1144" s="106" t="str">
        <f t="shared" si="7"/>
        <v>1</v>
      </c>
      <c r="O1144" s="107" t="str">
        <f t="array" ref="O1144">XLOOKUP(A1144,Data!F:F,Data!O:O)</f>
        <v>  1.91 </v>
      </c>
      <c r="P1144" s="107" t="str">
        <f t="shared" si="8"/>
        <v>  4.78 </v>
      </c>
      <c r="Q1144" s="27"/>
    </row>
    <row r="1145" ht="15.75" customHeight="1">
      <c r="A1145" s="105" t="s">
        <v>1389</v>
      </c>
      <c r="B1145" s="19" t="str">
        <f t="array" ref="B1145">XLOOKUP(A1145,Data!F:F,Data!G:G)</f>
        <v>J1C</v>
      </c>
      <c r="C1145" s="19" t="str">
        <f t="shared" si="3"/>
        <v>J088</v>
      </c>
      <c r="D1145" s="19" t="str">
        <f t="array" ref="D1145">XLOOKUP(A1145,Data!F:F,Data!C:C)</f>
        <v/>
      </c>
      <c r="E1145" s="19" t="str">
        <f t="array" ref="E1145">XLOOKUP(A1145,Data!F:F,Data!H:H)</f>
        <v>BW</v>
      </c>
      <c r="F1145" s="106" t="str">
        <f>SUMIFS(Data!J:J,Data!F:F,A1145)</f>
        <v>1</v>
      </c>
      <c r="G1145" s="106" t="str">
        <f>SUMIFS(Cast!C:C,CastElements,A1145)</f>
        <v>1</v>
      </c>
      <c r="H1145" s="106" t="str">
        <f t="shared" si="4"/>
        <v>0</v>
      </c>
      <c r="I1145" s="106" t="str">
        <f>SUMIFS(Del!C:C,Del!B:B,A1145)</f>
        <v>0</v>
      </c>
      <c r="J1145" s="106" t="str">
        <f t="shared" si="5"/>
        <v>1</v>
      </c>
      <c r="K1145" s="106" t="str">
        <f t="shared" si="6"/>
        <v>1</v>
      </c>
      <c r="L1145" s="106"/>
      <c r="M1145" s="106" t="str">
        <f>SUMIFS(Ere!C:C,Ere!B:B,A1145)</f>
        <v>0</v>
      </c>
      <c r="N1145" s="106" t="str">
        <f t="shared" si="7"/>
        <v>1</v>
      </c>
      <c r="O1145" s="107" t="str">
        <f t="array" ref="O1145">XLOOKUP(A1145,Data!F:F,Data!O:O)</f>
        <v>  1.95 </v>
      </c>
      <c r="P1145" s="107" t="str">
        <f t="shared" si="8"/>
        <v>  4.87 </v>
      </c>
      <c r="Q1145" s="27"/>
    </row>
    <row r="1146" ht="15.75" customHeight="1">
      <c r="A1146" s="105" t="s">
        <v>1390</v>
      </c>
      <c r="B1146" s="19" t="str">
        <f t="array" ref="B1146">XLOOKUP(A1146,Data!F:F,Data!G:G)</f>
        <v>J1C</v>
      </c>
      <c r="C1146" s="19" t="str">
        <f t="shared" si="3"/>
        <v>J088</v>
      </c>
      <c r="D1146" s="19" t="str">
        <f t="array" ref="D1146">XLOOKUP(A1146,Data!F:F,Data!C:C)</f>
        <v/>
      </c>
      <c r="E1146" s="19" t="str">
        <f t="array" ref="E1146">XLOOKUP(A1146,Data!F:F,Data!H:H)</f>
        <v>BW</v>
      </c>
      <c r="F1146" s="106" t="str">
        <f>SUMIFS(Data!J:J,Data!F:F,A1146)</f>
        <v>1</v>
      </c>
      <c r="G1146" s="106" t="str">
        <f>SUMIFS(Cast!C:C,CastElements,A1146)</f>
        <v>1</v>
      </c>
      <c r="H1146" s="106" t="str">
        <f t="shared" si="4"/>
        <v>0</v>
      </c>
      <c r="I1146" s="106" t="str">
        <f>SUMIFS(Del!C:C,Del!B:B,A1146)</f>
        <v>0</v>
      </c>
      <c r="J1146" s="106" t="str">
        <f t="shared" si="5"/>
        <v>1</v>
      </c>
      <c r="K1146" s="106" t="str">
        <f t="shared" si="6"/>
        <v>1</v>
      </c>
      <c r="L1146" s="106"/>
      <c r="M1146" s="106" t="str">
        <f>SUMIFS(Ere!C:C,Ere!B:B,A1146)</f>
        <v>0</v>
      </c>
      <c r="N1146" s="106" t="str">
        <f t="shared" si="7"/>
        <v>1</v>
      </c>
      <c r="O1146" s="107" t="str">
        <f t="array" ref="O1146">XLOOKUP(A1146,Data!F:F,Data!O:O)</f>
        <v>  1.95 </v>
      </c>
      <c r="P1146" s="107" t="str">
        <f t="shared" si="8"/>
        <v>  4.87 </v>
      </c>
      <c r="Q1146" s="27"/>
    </row>
    <row r="1147" ht="15.75" customHeight="1">
      <c r="A1147" s="105" t="s">
        <v>1391</v>
      </c>
      <c r="B1147" s="19" t="str">
        <f t="array" ref="B1147">XLOOKUP(A1147,Data!F:F,Data!G:G)</f>
        <v>J1C</v>
      </c>
      <c r="C1147" s="19" t="str">
        <f t="shared" si="3"/>
        <v>J088</v>
      </c>
      <c r="D1147" s="19" t="str">
        <f t="array" ref="D1147">XLOOKUP(A1147,Data!F:F,Data!C:C)</f>
        <v/>
      </c>
      <c r="E1147" s="19" t="str">
        <f t="array" ref="E1147">XLOOKUP(A1147,Data!F:F,Data!H:H)</f>
        <v>BW</v>
      </c>
      <c r="F1147" s="106" t="str">
        <f>SUMIFS(Data!J:J,Data!F:F,A1147)</f>
        <v>1</v>
      </c>
      <c r="G1147" s="106" t="str">
        <f>SUMIFS(Cast!C:C,CastElements,A1147)</f>
        <v>1</v>
      </c>
      <c r="H1147" s="106" t="str">
        <f t="shared" si="4"/>
        <v>0</v>
      </c>
      <c r="I1147" s="106" t="str">
        <f>SUMIFS(Del!C:C,Del!B:B,A1147)</f>
        <v>0</v>
      </c>
      <c r="J1147" s="106" t="str">
        <f t="shared" si="5"/>
        <v>1</v>
      </c>
      <c r="K1147" s="106" t="str">
        <f t="shared" si="6"/>
        <v>1</v>
      </c>
      <c r="L1147" s="106"/>
      <c r="M1147" s="106" t="str">
        <f>SUMIFS(Ere!C:C,Ere!B:B,A1147)</f>
        <v>0</v>
      </c>
      <c r="N1147" s="106" t="str">
        <f t="shared" si="7"/>
        <v>1</v>
      </c>
      <c r="O1147" s="107" t="str">
        <f t="array" ref="O1147">XLOOKUP(A1147,Data!F:F,Data!O:O)</f>
        <v>  1.95 </v>
      </c>
      <c r="P1147" s="107" t="str">
        <f t="shared" si="8"/>
        <v>  4.87 </v>
      </c>
      <c r="Q1147" s="27"/>
    </row>
    <row r="1148" ht="15.75" customHeight="1">
      <c r="A1148" s="105" t="s">
        <v>1392</v>
      </c>
      <c r="B1148" s="19" t="str">
        <f t="array" ref="B1148">XLOOKUP(A1148,Data!F:F,Data!G:G)</f>
        <v>J1C</v>
      </c>
      <c r="C1148" s="19" t="str">
        <f t="shared" si="3"/>
        <v>J088</v>
      </c>
      <c r="D1148" s="19" t="str">
        <f t="array" ref="D1148">XLOOKUP(A1148,Data!F:F,Data!C:C)</f>
        <v/>
      </c>
      <c r="E1148" s="19" t="str">
        <f t="array" ref="E1148">XLOOKUP(A1148,Data!F:F,Data!H:H)</f>
        <v>BW</v>
      </c>
      <c r="F1148" s="106" t="str">
        <f>SUMIFS(Data!J:J,Data!F:F,A1148)</f>
        <v>1</v>
      </c>
      <c r="G1148" s="106" t="str">
        <f>SUMIFS(Cast!C:C,CastElements,A1148)</f>
        <v>1</v>
      </c>
      <c r="H1148" s="106" t="str">
        <f t="shared" si="4"/>
        <v>0</v>
      </c>
      <c r="I1148" s="106" t="str">
        <f>SUMIFS(Del!C:C,Del!B:B,A1148)</f>
        <v>0</v>
      </c>
      <c r="J1148" s="106" t="str">
        <f t="shared" si="5"/>
        <v>1</v>
      </c>
      <c r="K1148" s="106" t="str">
        <f t="shared" si="6"/>
        <v>1</v>
      </c>
      <c r="L1148" s="106"/>
      <c r="M1148" s="106" t="str">
        <f>SUMIFS(Ere!C:C,Ere!B:B,A1148)</f>
        <v>0</v>
      </c>
      <c r="N1148" s="106" t="str">
        <f t="shared" si="7"/>
        <v>1</v>
      </c>
      <c r="O1148" s="107" t="str">
        <f t="array" ref="O1148">XLOOKUP(A1148,Data!F:F,Data!O:O)</f>
        <v>  1.61 </v>
      </c>
      <c r="P1148" s="107" t="str">
        <f t="shared" si="8"/>
        <v>  4.03 </v>
      </c>
      <c r="Q1148" s="27"/>
    </row>
    <row r="1149" ht="15.75" customHeight="1">
      <c r="A1149" s="105" t="s">
        <v>1393</v>
      </c>
      <c r="B1149" s="19" t="str">
        <f t="array" ref="B1149">XLOOKUP(A1149,Data!F:F,Data!G:G)</f>
        <v>J1C</v>
      </c>
      <c r="C1149" s="19" t="str">
        <f t="shared" si="3"/>
        <v>J088</v>
      </c>
      <c r="D1149" s="19" t="str">
        <f t="array" ref="D1149">XLOOKUP(A1149,Data!F:F,Data!C:C)</f>
        <v/>
      </c>
      <c r="E1149" s="19" t="str">
        <f t="array" ref="E1149">XLOOKUP(A1149,Data!F:F,Data!H:H)</f>
        <v>BW</v>
      </c>
      <c r="F1149" s="106" t="str">
        <f>SUMIFS(Data!J:J,Data!F:F,A1149)</f>
        <v>1</v>
      </c>
      <c r="G1149" s="106" t="str">
        <f>SUMIFS(Cast!C:C,CastElements,A1149)</f>
        <v>1</v>
      </c>
      <c r="H1149" s="106" t="str">
        <f t="shared" si="4"/>
        <v>0</v>
      </c>
      <c r="I1149" s="106" t="str">
        <f>SUMIFS(Del!C:C,Del!B:B,A1149)</f>
        <v>0</v>
      </c>
      <c r="J1149" s="106" t="str">
        <f t="shared" si="5"/>
        <v>1</v>
      </c>
      <c r="K1149" s="106" t="str">
        <f t="shared" si="6"/>
        <v>1</v>
      </c>
      <c r="L1149" s="106"/>
      <c r="M1149" s="106" t="str">
        <f>SUMIFS(Ere!C:C,Ere!B:B,A1149)</f>
        <v>0</v>
      </c>
      <c r="N1149" s="106" t="str">
        <f t="shared" si="7"/>
        <v>1</v>
      </c>
      <c r="O1149" s="107" t="str">
        <f t="array" ref="O1149">XLOOKUP(A1149,Data!F:F,Data!O:O)</f>
        <v>  2.27 </v>
      </c>
      <c r="P1149" s="107" t="str">
        <f t="shared" si="8"/>
        <v>  5.69 </v>
      </c>
      <c r="Q1149" s="27"/>
    </row>
    <row r="1150" ht="15.75" customHeight="1">
      <c r="A1150" s="105" t="s">
        <v>1394</v>
      </c>
      <c r="B1150" s="19" t="str">
        <f t="array" ref="B1150">XLOOKUP(A1150,Data!F:F,Data!G:G)</f>
        <v>J1C</v>
      </c>
      <c r="C1150" s="19" t="str">
        <f t="shared" si="3"/>
        <v>J088</v>
      </c>
      <c r="D1150" s="19" t="str">
        <f t="array" ref="D1150">XLOOKUP(A1150,Data!F:F,Data!C:C)</f>
        <v/>
      </c>
      <c r="E1150" s="19" t="str">
        <f t="array" ref="E1150">XLOOKUP(A1150,Data!F:F,Data!H:H)</f>
        <v>BW</v>
      </c>
      <c r="F1150" s="106" t="str">
        <f>SUMIFS(Data!J:J,Data!F:F,A1150)</f>
        <v>1</v>
      </c>
      <c r="G1150" s="106" t="str">
        <f>SUMIFS(Cast!C:C,CastElements,A1150)</f>
        <v>1</v>
      </c>
      <c r="H1150" s="106" t="str">
        <f t="shared" si="4"/>
        <v>0</v>
      </c>
      <c r="I1150" s="106" t="str">
        <f>SUMIFS(Del!C:C,Del!B:B,A1150)</f>
        <v>0</v>
      </c>
      <c r="J1150" s="106" t="str">
        <f t="shared" si="5"/>
        <v>1</v>
      </c>
      <c r="K1150" s="106" t="str">
        <f t="shared" si="6"/>
        <v>1</v>
      </c>
      <c r="L1150" s="106"/>
      <c r="M1150" s="106" t="str">
        <f>SUMIFS(Ere!C:C,Ere!B:B,A1150)</f>
        <v>0</v>
      </c>
      <c r="N1150" s="106" t="str">
        <f t="shared" si="7"/>
        <v>1</v>
      </c>
      <c r="O1150" s="107" t="str">
        <f t="array" ref="O1150">XLOOKUP(A1150,Data!F:F,Data!O:O)</f>
        <v>  2.17 </v>
      </c>
      <c r="P1150" s="107" t="str">
        <f t="shared" si="8"/>
        <v>  5.43 </v>
      </c>
      <c r="Q1150" s="27"/>
    </row>
    <row r="1151" ht="15.75" customHeight="1">
      <c r="A1151" s="105" t="s">
        <v>1395</v>
      </c>
      <c r="B1151" s="19" t="str">
        <f t="array" ref="B1151">XLOOKUP(A1151,Data!F:F,Data!G:G)</f>
        <v>J1C</v>
      </c>
      <c r="C1151" s="19" t="str">
        <f t="shared" si="3"/>
        <v>J088</v>
      </c>
      <c r="D1151" s="19" t="str">
        <f t="array" ref="D1151">XLOOKUP(A1151,Data!F:F,Data!C:C)</f>
        <v/>
      </c>
      <c r="E1151" s="19" t="str">
        <f t="array" ref="E1151">XLOOKUP(A1151,Data!F:F,Data!H:H)</f>
        <v>BW</v>
      </c>
      <c r="F1151" s="106" t="str">
        <f>SUMIFS(Data!J:J,Data!F:F,A1151)</f>
        <v>1</v>
      </c>
      <c r="G1151" s="106" t="str">
        <f>SUMIFS(Cast!C:C,CastElements,A1151)</f>
        <v>1</v>
      </c>
      <c r="H1151" s="106" t="str">
        <f t="shared" si="4"/>
        <v>0</v>
      </c>
      <c r="I1151" s="106" t="str">
        <f>SUMIFS(Del!C:C,Del!B:B,A1151)</f>
        <v>0</v>
      </c>
      <c r="J1151" s="106" t="str">
        <f t="shared" si="5"/>
        <v>1</v>
      </c>
      <c r="K1151" s="106" t="str">
        <f t="shared" si="6"/>
        <v>1</v>
      </c>
      <c r="L1151" s="106"/>
      <c r="M1151" s="106" t="str">
        <f>SUMIFS(Ere!C:C,Ere!B:B,A1151)</f>
        <v>0</v>
      </c>
      <c r="N1151" s="106" t="str">
        <f t="shared" si="7"/>
        <v>1</v>
      </c>
      <c r="O1151" s="107" t="str">
        <f t="array" ref="O1151">XLOOKUP(A1151,Data!F:F,Data!O:O)</f>
        <v>  2.17 </v>
      </c>
      <c r="P1151" s="107" t="str">
        <f t="shared" si="8"/>
        <v>  5.43 </v>
      </c>
      <c r="Q1151" s="27"/>
    </row>
    <row r="1152" ht="15.75" customHeight="1">
      <c r="A1152" s="105" t="s">
        <v>1396</v>
      </c>
      <c r="B1152" s="19" t="str">
        <f t="array" ref="B1152">XLOOKUP(A1152,Data!F:F,Data!G:G)</f>
        <v>J1C</v>
      </c>
      <c r="C1152" s="19" t="str">
        <f t="shared" si="3"/>
        <v>J088</v>
      </c>
      <c r="D1152" s="19" t="str">
        <f t="array" ref="D1152">XLOOKUP(A1152,Data!F:F,Data!C:C)</f>
        <v/>
      </c>
      <c r="E1152" s="19" t="str">
        <f t="array" ref="E1152">XLOOKUP(A1152,Data!F:F,Data!H:H)</f>
        <v>BW</v>
      </c>
      <c r="F1152" s="106" t="str">
        <f>SUMIFS(Data!J:J,Data!F:F,A1152)</f>
        <v>1</v>
      </c>
      <c r="G1152" s="106" t="str">
        <f>SUMIFS(Cast!C:C,CastElements,A1152)</f>
        <v>1</v>
      </c>
      <c r="H1152" s="106" t="str">
        <f t="shared" si="4"/>
        <v>0</v>
      </c>
      <c r="I1152" s="106" t="str">
        <f>SUMIFS(Del!C:C,Del!B:B,A1152)</f>
        <v>0</v>
      </c>
      <c r="J1152" s="106" t="str">
        <f t="shared" si="5"/>
        <v>1</v>
      </c>
      <c r="K1152" s="106" t="str">
        <f t="shared" si="6"/>
        <v>1</v>
      </c>
      <c r="L1152" s="106"/>
      <c r="M1152" s="106" t="str">
        <f>SUMIFS(Ere!C:C,Ere!B:B,A1152)</f>
        <v>0</v>
      </c>
      <c r="N1152" s="106" t="str">
        <f t="shared" si="7"/>
        <v>1</v>
      </c>
      <c r="O1152" s="107" t="str">
        <f t="array" ref="O1152">XLOOKUP(A1152,Data!F:F,Data!O:O)</f>
        <v>  2.17 </v>
      </c>
      <c r="P1152" s="107" t="str">
        <f t="shared" si="8"/>
        <v>  5.43 </v>
      </c>
      <c r="Q1152" s="27"/>
    </row>
    <row r="1153" ht="15.75" customHeight="1">
      <c r="A1153" s="105" t="s">
        <v>1397</v>
      </c>
      <c r="B1153" s="19" t="str">
        <f t="array" ref="B1153">XLOOKUP(A1153,Data!F:F,Data!G:G)</f>
        <v>J1C</v>
      </c>
      <c r="C1153" s="19" t="str">
        <f t="shared" si="3"/>
        <v>J088</v>
      </c>
      <c r="D1153" s="19" t="str">
        <f t="array" ref="D1153">XLOOKUP(A1153,Data!F:F,Data!C:C)</f>
        <v/>
      </c>
      <c r="E1153" s="19" t="str">
        <f t="array" ref="E1153">XLOOKUP(A1153,Data!F:F,Data!H:H)</f>
        <v>BW</v>
      </c>
      <c r="F1153" s="106" t="str">
        <f>SUMIFS(Data!J:J,Data!F:F,A1153)</f>
        <v>1</v>
      </c>
      <c r="G1153" s="106" t="str">
        <f>SUMIFS(Cast!C:C,CastElements,A1153)</f>
        <v>1</v>
      </c>
      <c r="H1153" s="106" t="str">
        <f t="shared" si="4"/>
        <v>0</v>
      </c>
      <c r="I1153" s="106" t="str">
        <f>SUMIFS(Del!C:C,Del!B:B,A1153)</f>
        <v>0</v>
      </c>
      <c r="J1153" s="106" t="str">
        <f t="shared" si="5"/>
        <v>1</v>
      </c>
      <c r="K1153" s="106" t="str">
        <f t="shared" si="6"/>
        <v>1</v>
      </c>
      <c r="L1153" s="106"/>
      <c r="M1153" s="106" t="str">
        <f>SUMIFS(Ere!C:C,Ere!B:B,A1153)</f>
        <v>0</v>
      </c>
      <c r="N1153" s="106" t="str">
        <f t="shared" si="7"/>
        <v>1</v>
      </c>
      <c r="O1153" s="107" t="str">
        <f t="array" ref="O1153">XLOOKUP(A1153,Data!F:F,Data!O:O)</f>
        <v>  1.83 </v>
      </c>
      <c r="P1153" s="107" t="str">
        <f t="shared" si="8"/>
        <v>  4.58 </v>
      </c>
      <c r="Q1153" s="27"/>
    </row>
    <row r="1154" ht="15.75" customHeight="1">
      <c r="A1154" s="105" t="s">
        <v>1398</v>
      </c>
      <c r="B1154" s="19" t="str">
        <f t="array" ref="B1154">XLOOKUP(A1154,Data!F:F,Data!G:G)</f>
        <v>J1C</v>
      </c>
      <c r="C1154" s="19" t="str">
        <f t="shared" si="3"/>
        <v>J088</v>
      </c>
      <c r="D1154" s="19" t="str">
        <f t="array" ref="D1154">XLOOKUP(A1154,Data!F:F,Data!C:C)</f>
        <v/>
      </c>
      <c r="E1154" s="19" t="str">
        <f t="array" ref="E1154">XLOOKUP(A1154,Data!F:F,Data!H:H)</f>
        <v>BW</v>
      </c>
      <c r="F1154" s="106" t="str">
        <f>SUMIFS(Data!J:J,Data!F:F,A1154)</f>
        <v>1</v>
      </c>
      <c r="G1154" s="106" t="str">
        <f>SUMIFS(Cast!C:C,CastElements,A1154)</f>
        <v>1</v>
      </c>
      <c r="H1154" s="106" t="str">
        <f t="shared" si="4"/>
        <v>0</v>
      </c>
      <c r="I1154" s="106" t="str">
        <f>SUMIFS(Del!C:C,Del!B:B,A1154)</f>
        <v>0</v>
      </c>
      <c r="J1154" s="106" t="str">
        <f t="shared" si="5"/>
        <v>1</v>
      </c>
      <c r="K1154" s="106" t="str">
        <f t="shared" si="6"/>
        <v>1</v>
      </c>
      <c r="L1154" s="106"/>
      <c r="M1154" s="106" t="str">
        <f>SUMIFS(Ere!C:C,Ere!B:B,A1154)</f>
        <v>0</v>
      </c>
      <c r="N1154" s="106" t="str">
        <f t="shared" si="7"/>
        <v>1</v>
      </c>
      <c r="O1154" s="107" t="str">
        <f t="array" ref="O1154">XLOOKUP(A1154,Data!F:F,Data!O:O)</f>
        <v>  0.40 </v>
      </c>
      <c r="P1154" s="107" t="str">
        <f t="shared" si="8"/>
        <v>  1.00 </v>
      </c>
      <c r="Q1154" s="27"/>
    </row>
    <row r="1155" ht="15.75" customHeight="1">
      <c r="A1155" s="105" t="s">
        <v>1399</v>
      </c>
      <c r="B1155" s="19" t="str">
        <f t="array" ref="B1155">XLOOKUP(A1155,Data!F:F,Data!G:G)</f>
        <v>J1C</v>
      </c>
      <c r="C1155" s="19" t="str">
        <f t="shared" si="3"/>
        <v>J088</v>
      </c>
      <c r="D1155" s="19" t="str">
        <f t="array" ref="D1155">XLOOKUP(A1155,Data!F:F,Data!C:C)</f>
        <v/>
      </c>
      <c r="E1155" s="19" t="str">
        <f t="array" ref="E1155">XLOOKUP(A1155,Data!F:F,Data!H:H)</f>
        <v>CF</v>
      </c>
      <c r="F1155" s="106" t="str">
        <f>SUMIFS(Data!J:J,Data!F:F,A1155)</f>
        <v>1</v>
      </c>
      <c r="G1155" s="106" t="str">
        <f>SUMIFS(Cast!C:C,CastElements,A1155)</f>
        <v>1</v>
      </c>
      <c r="H1155" s="106" t="str">
        <f t="shared" si="4"/>
        <v>0</v>
      </c>
      <c r="I1155" s="106" t="str">
        <f>SUMIFS(Del!C:C,Del!B:B,A1155)</f>
        <v>0</v>
      </c>
      <c r="J1155" s="106" t="str">
        <f t="shared" si="5"/>
        <v>1</v>
      </c>
      <c r="K1155" s="106" t="str">
        <f t="shared" si="6"/>
        <v>1</v>
      </c>
      <c r="L1155" s="106"/>
      <c r="M1155" s="106" t="str">
        <f>SUMIFS(Ere!C:C,Ere!B:B,A1155)</f>
        <v>0</v>
      </c>
      <c r="N1155" s="106" t="str">
        <f t="shared" si="7"/>
        <v>1</v>
      </c>
      <c r="O1155" s="107" t="str">
        <f t="array" ref="O1155">XLOOKUP(A1155,Data!F:F,Data!O:O)</f>
        <v>  0.51 </v>
      </c>
      <c r="P1155" s="107" t="str">
        <f t="shared" si="8"/>
        <v>  1.27 </v>
      </c>
      <c r="Q1155" s="27"/>
    </row>
    <row r="1156" ht="15.75" customHeight="1">
      <c r="A1156" s="105" t="s">
        <v>1400</v>
      </c>
      <c r="B1156" s="19" t="str">
        <f t="array" ref="B1156">XLOOKUP(A1156,Data!F:F,Data!G:G)</f>
        <v>J1C</v>
      </c>
      <c r="C1156" s="19" t="str">
        <f t="shared" si="3"/>
        <v>J089</v>
      </c>
      <c r="D1156" s="19" t="str">
        <f t="array" ref="D1156">XLOOKUP(A1156,Data!F:F,Data!C:C)</f>
        <v>EXT</v>
      </c>
      <c r="E1156" s="19" t="str">
        <f t="array" ref="E1156">XLOOKUP(A1156,Data!F:F,Data!H:H)</f>
        <v>BW</v>
      </c>
      <c r="F1156" s="106" t="str">
        <f>SUMIFS(Data!J:J,Data!F:F,A1156)</f>
        <v>1</v>
      </c>
      <c r="G1156" s="106" t="str">
        <f>SUMIFS(Cast!C:C,CastElements,A1156)</f>
        <v>1</v>
      </c>
      <c r="H1156" s="106" t="str">
        <f t="shared" si="4"/>
        <v>0</v>
      </c>
      <c r="I1156" s="106" t="str">
        <f>SUMIFS(Del!C:C,Del!B:B,A1156)</f>
        <v>0</v>
      </c>
      <c r="J1156" s="106" t="str">
        <f t="shared" si="5"/>
        <v>1</v>
      </c>
      <c r="K1156" s="106" t="str">
        <f t="shared" si="6"/>
        <v>1</v>
      </c>
      <c r="L1156" s="106"/>
      <c r="M1156" s="106" t="str">
        <f>SUMIFS(Ere!C:C,Ere!B:B,A1156)</f>
        <v>0</v>
      </c>
      <c r="N1156" s="106" t="str">
        <f t="shared" si="7"/>
        <v>1</v>
      </c>
      <c r="O1156" s="107" t="str">
        <f t="array" ref="O1156">XLOOKUP(A1156,Data!F:F,Data!O:O)</f>
        <v>  0.87 </v>
      </c>
      <c r="P1156" s="107" t="str">
        <f t="shared" si="8"/>
        <v>  2.18 </v>
      </c>
      <c r="Q1156" s="27"/>
    </row>
    <row r="1157" ht="15.75" customHeight="1">
      <c r="A1157" s="105" t="s">
        <v>1401</v>
      </c>
      <c r="B1157" s="19" t="str">
        <f t="array" ref="B1157">XLOOKUP(A1157,Data!F:F,Data!G:G)</f>
        <v>J1C</v>
      </c>
      <c r="C1157" s="19" t="str">
        <f t="shared" si="3"/>
        <v>J089</v>
      </c>
      <c r="D1157" s="19" t="str">
        <f t="array" ref="D1157">XLOOKUP(A1157,Data!F:F,Data!C:C)</f>
        <v>EXT</v>
      </c>
      <c r="E1157" s="19" t="str">
        <f t="array" ref="E1157">XLOOKUP(A1157,Data!F:F,Data!H:H)</f>
        <v>BW</v>
      </c>
      <c r="F1157" s="106" t="str">
        <f>SUMIFS(Data!J:J,Data!F:F,A1157)</f>
        <v>1</v>
      </c>
      <c r="G1157" s="106" t="str">
        <f>SUMIFS(Cast!C:C,CastElements,A1157)</f>
        <v>1</v>
      </c>
      <c r="H1157" s="106" t="str">
        <f t="shared" si="4"/>
        <v>0</v>
      </c>
      <c r="I1157" s="106" t="str">
        <f>SUMIFS(Del!C:C,Del!B:B,A1157)</f>
        <v>0</v>
      </c>
      <c r="J1157" s="106" t="str">
        <f t="shared" si="5"/>
        <v>1</v>
      </c>
      <c r="K1157" s="106" t="str">
        <f t="shared" si="6"/>
        <v>1</v>
      </c>
      <c r="L1157" s="106"/>
      <c r="M1157" s="106" t="str">
        <f>SUMIFS(Ere!C:C,Ere!B:B,A1157)</f>
        <v>0</v>
      </c>
      <c r="N1157" s="106" t="str">
        <f t="shared" si="7"/>
        <v>1</v>
      </c>
      <c r="O1157" s="107" t="str">
        <f t="array" ref="O1157">XLOOKUP(A1157,Data!F:F,Data!O:O)</f>
        <v>  0.87 </v>
      </c>
      <c r="P1157" s="107" t="str">
        <f t="shared" si="8"/>
        <v>  2.18 </v>
      </c>
      <c r="Q1157" s="27"/>
    </row>
    <row r="1158" ht="15.75" customHeight="1">
      <c r="A1158" s="105" t="s">
        <v>1402</v>
      </c>
      <c r="B1158" s="19" t="str">
        <f t="array" ref="B1158">XLOOKUP(A1158,Data!F:F,Data!G:G)</f>
        <v>J1C</v>
      </c>
      <c r="C1158" s="19" t="str">
        <f t="shared" si="3"/>
        <v>J089</v>
      </c>
      <c r="D1158" s="19" t="str">
        <f t="array" ref="D1158">XLOOKUP(A1158,Data!F:F,Data!C:C)</f>
        <v>EXT</v>
      </c>
      <c r="E1158" s="19" t="str">
        <f t="array" ref="E1158">XLOOKUP(A1158,Data!F:F,Data!H:H)</f>
        <v>BW</v>
      </c>
      <c r="F1158" s="106" t="str">
        <f>SUMIFS(Data!J:J,Data!F:F,A1158)</f>
        <v>1</v>
      </c>
      <c r="G1158" s="106" t="str">
        <f>SUMIFS(Cast!C:C,CastElements,A1158)</f>
        <v>0</v>
      </c>
      <c r="H1158" s="106" t="str">
        <f t="shared" si="4"/>
        <v>1</v>
      </c>
      <c r="I1158" s="106" t="str">
        <f>SUMIFS(Del!C:C,Del!B:B,A1158)</f>
        <v>0</v>
      </c>
      <c r="J1158" s="106" t="str">
        <f t="shared" si="5"/>
        <v>1</v>
      </c>
      <c r="K1158" s="106" t="str">
        <f t="shared" si="6"/>
        <v>0</v>
      </c>
      <c r="L1158" s="106"/>
      <c r="M1158" s="106" t="str">
        <f>SUMIFS(Ere!C:C,Ere!B:B,A1158)</f>
        <v>0</v>
      </c>
      <c r="N1158" s="106" t="str">
        <f t="shared" si="7"/>
        <v>1</v>
      </c>
      <c r="O1158" s="107" t="str">
        <f t="array" ref="O1158">XLOOKUP(A1158,Data!F:F,Data!O:O)</f>
        <v>  0.94 </v>
      </c>
      <c r="P1158" s="107" t="str">
        <f t="shared" si="8"/>
        <v>  2.35 </v>
      </c>
      <c r="Q1158" s="27"/>
    </row>
    <row r="1159" ht="15.75" customHeight="1">
      <c r="A1159" s="105" t="s">
        <v>1403</v>
      </c>
      <c r="B1159" s="19" t="str">
        <f t="array" ref="B1159">XLOOKUP(A1159,Data!F:F,Data!G:G)</f>
        <v>J1C</v>
      </c>
      <c r="C1159" s="19" t="str">
        <f t="shared" si="3"/>
        <v>J089</v>
      </c>
      <c r="D1159" s="19" t="str">
        <f t="array" ref="D1159">XLOOKUP(A1159,Data!F:F,Data!C:C)</f>
        <v>EXT</v>
      </c>
      <c r="E1159" s="19" t="str">
        <f t="array" ref="E1159">XLOOKUP(A1159,Data!F:F,Data!H:H)</f>
        <v>BW</v>
      </c>
      <c r="F1159" s="106" t="str">
        <f>SUMIFS(Data!J:J,Data!F:F,A1159)</f>
        <v>1</v>
      </c>
      <c r="G1159" s="106" t="str">
        <f>SUMIFS(Cast!C:C,CastElements,A1159)</f>
        <v>1</v>
      </c>
      <c r="H1159" s="106" t="str">
        <f t="shared" si="4"/>
        <v>0</v>
      </c>
      <c r="I1159" s="106" t="str">
        <f>SUMIFS(Del!C:C,Del!B:B,A1159)</f>
        <v>0</v>
      </c>
      <c r="J1159" s="106" t="str">
        <f t="shared" si="5"/>
        <v>1</v>
      </c>
      <c r="K1159" s="106" t="str">
        <f t="shared" si="6"/>
        <v>1</v>
      </c>
      <c r="L1159" s="106"/>
      <c r="M1159" s="106" t="str">
        <f>SUMIFS(Ere!C:C,Ere!B:B,A1159)</f>
        <v>0</v>
      </c>
      <c r="N1159" s="106" t="str">
        <f t="shared" si="7"/>
        <v>1</v>
      </c>
      <c r="O1159" s="107" t="str">
        <f t="array" ref="O1159">XLOOKUP(A1159,Data!F:F,Data!O:O)</f>
        <v>  0.93 </v>
      </c>
      <c r="P1159" s="107" t="str">
        <f t="shared" si="8"/>
        <v>  2.32 </v>
      </c>
      <c r="Q1159" s="27"/>
    </row>
    <row r="1160" ht="15.75" customHeight="1">
      <c r="A1160" s="105" t="s">
        <v>1404</v>
      </c>
      <c r="B1160" s="19" t="str">
        <f t="array" ref="B1160">XLOOKUP(A1160,Data!F:F,Data!G:G)</f>
        <v>J1C</v>
      </c>
      <c r="C1160" s="19" t="str">
        <f t="shared" si="3"/>
        <v>J089</v>
      </c>
      <c r="D1160" s="19" t="str">
        <f t="array" ref="D1160">XLOOKUP(A1160,Data!F:F,Data!C:C)</f>
        <v/>
      </c>
      <c r="E1160" s="19" t="str">
        <f t="array" ref="E1160">XLOOKUP(A1160,Data!F:F,Data!H:H)</f>
        <v>BW</v>
      </c>
      <c r="F1160" s="106" t="str">
        <f>SUMIFS(Data!J:J,Data!F:F,A1160)</f>
        <v>1</v>
      </c>
      <c r="G1160" s="106" t="str">
        <f>SUMIFS(Cast!C:C,CastElements,A1160)</f>
        <v>1</v>
      </c>
      <c r="H1160" s="106" t="str">
        <f t="shared" si="4"/>
        <v>0</v>
      </c>
      <c r="I1160" s="106" t="str">
        <f>SUMIFS(Del!C:C,Del!B:B,A1160)</f>
        <v>0</v>
      </c>
      <c r="J1160" s="106" t="str">
        <f t="shared" si="5"/>
        <v>1</v>
      </c>
      <c r="K1160" s="106" t="str">
        <f t="shared" si="6"/>
        <v>1</v>
      </c>
      <c r="L1160" s="106"/>
      <c r="M1160" s="106" t="str">
        <f>SUMIFS(Ere!C:C,Ere!B:B,A1160)</f>
        <v>0</v>
      </c>
      <c r="N1160" s="106" t="str">
        <f t="shared" si="7"/>
        <v>1</v>
      </c>
      <c r="O1160" s="107" t="str">
        <f t="array" ref="O1160">XLOOKUP(A1160,Data!F:F,Data!O:O)</f>
        <v>  1.94 </v>
      </c>
      <c r="P1160" s="107" t="str">
        <f t="shared" si="8"/>
        <v>  4.85 </v>
      </c>
      <c r="Q1160" s="27"/>
    </row>
    <row r="1161" ht="15.75" customHeight="1">
      <c r="A1161" s="105" t="s">
        <v>1405</v>
      </c>
      <c r="B1161" s="19" t="str">
        <f t="array" ref="B1161">XLOOKUP(A1161,Data!F:F,Data!G:G)</f>
        <v>J1C</v>
      </c>
      <c r="C1161" s="19" t="str">
        <f t="shared" si="3"/>
        <v>J089</v>
      </c>
      <c r="D1161" s="19" t="str">
        <f t="array" ref="D1161">XLOOKUP(A1161,Data!F:F,Data!C:C)</f>
        <v/>
      </c>
      <c r="E1161" s="19" t="str">
        <f t="array" ref="E1161">XLOOKUP(A1161,Data!F:F,Data!H:H)</f>
        <v>BW</v>
      </c>
      <c r="F1161" s="106" t="str">
        <f>SUMIFS(Data!J:J,Data!F:F,A1161)</f>
        <v>1</v>
      </c>
      <c r="G1161" s="106" t="str">
        <f>SUMIFS(Cast!C:C,CastElements,A1161)</f>
        <v>1</v>
      </c>
      <c r="H1161" s="106" t="str">
        <f t="shared" si="4"/>
        <v>0</v>
      </c>
      <c r="I1161" s="106" t="str">
        <f>SUMIFS(Del!C:C,Del!B:B,A1161)</f>
        <v>0</v>
      </c>
      <c r="J1161" s="106" t="str">
        <f t="shared" si="5"/>
        <v>1</v>
      </c>
      <c r="K1161" s="106" t="str">
        <f t="shared" si="6"/>
        <v>1</v>
      </c>
      <c r="L1161" s="106"/>
      <c r="M1161" s="106" t="str">
        <f>SUMIFS(Ere!C:C,Ere!B:B,A1161)</f>
        <v>0</v>
      </c>
      <c r="N1161" s="106" t="str">
        <f t="shared" si="7"/>
        <v>1</v>
      </c>
      <c r="O1161" s="107" t="str">
        <f t="array" ref="O1161">XLOOKUP(A1161,Data!F:F,Data!O:O)</f>
        <v>  1.94 </v>
      </c>
      <c r="P1161" s="107" t="str">
        <f t="shared" si="8"/>
        <v>  4.85 </v>
      </c>
      <c r="Q1161" s="27"/>
    </row>
    <row r="1162" ht="15.75" customHeight="1">
      <c r="A1162" s="105" t="s">
        <v>1406</v>
      </c>
      <c r="B1162" s="19" t="str">
        <f t="array" ref="B1162">XLOOKUP(A1162,Data!F:F,Data!G:G)</f>
        <v>J1C</v>
      </c>
      <c r="C1162" s="19" t="str">
        <f t="shared" si="3"/>
        <v>J089</v>
      </c>
      <c r="D1162" s="19" t="str">
        <f t="array" ref="D1162">XLOOKUP(A1162,Data!F:F,Data!C:C)</f>
        <v/>
      </c>
      <c r="E1162" s="19" t="str">
        <f t="array" ref="E1162">XLOOKUP(A1162,Data!F:F,Data!H:H)</f>
        <v>BW</v>
      </c>
      <c r="F1162" s="106" t="str">
        <f>SUMIFS(Data!J:J,Data!F:F,A1162)</f>
        <v>1</v>
      </c>
      <c r="G1162" s="106" t="str">
        <f>SUMIFS(Cast!C:C,CastElements,A1162)</f>
        <v>1</v>
      </c>
      <c r="H1162" s="106" t="str">
        <f t="shared" si="4"/>
        <v>0</v>
      </c>
      <c r="I1162" s="106" t="str">
        <f>SUMIFS(Del!C:C,Del!B:B,A1162)</f>
        <v>0</v>
      </c>
      <c r="J1162" s="106" t="str">
        <f t="shared" si="5"/>
        <v>1</v>
      </c>
      <c r="K1162" s="106" t="str">
        <f t="shared" si="6"/>
        <v>1</v>
      </c>
      <c r="L1162" s="106"/>
      <c r="M1162" s="106" t="str">
        <f>SUMIFS(Ere!C:C,Ere!B:B,A1162)</f>
        <v>0</v>
      </c>
      <c r="N1162" s="106" t="str">
        <f t="shared" si="7"/>
        <v>1</v>
      </c>
      <c r="O1162" s="107" t="str">
        <f t="array" ref="O1162">XLOOKUP(A1162,Data!F:F,Data!O:O)</f>
        <v>  1.94 </v>
      </c>
      <c r="P1162" s="107" t="str">
        <f t="shared" si="8"/>
        <v>  4.85 </v>
      </c>
      <c r="Q1162" s="27"/>
    </row>
    <row r="1163" ht="15.75" customHeight="1">
      <c r="A1163" s="105" t="s">
        <v>1407</v>
      </c>
      <c r="B1163" s="19" t="str">
        <f t="array" ref="B1163">XLOOKUP(A1163,Data!F:F,Data!G:G)</f>
        <v>J1C</v>
      </c>
      <c r="C1163" s="19" t="str">
        <f t="shared" si="3"/>
        <v>J089</v>
      </c>
      <c r="D1163" s="19" t="str">
        <f t="array" ref="D1163">XLOOKUP(A1163,Data!F:F,Data!C:C)</f>
        <v/>
      </c>
      <c r="E1163" s="19" t="str">
        <f t="array" ref="E1163">XLOOKUP(A1163,Data!F:F,Data!H:H)</f>
        <v>BW</v>
      </c>
      <c r="F1163" s="106" t="str">
        <f>SUMIFS(Data!J:J,Data!F:F,A1163)</f>
        <v>1</v>
      </c>
      <c r="G1163" s="106" t="str">
        <f>SUMIFS(Cast!C:C,CastElements,A1163)</f>
        <v>1</v>
      </c>
      <c r="H1163" s="106" t="str">
        <f t="shared" si="4"/>
        <v>0</v>
      </c>
      <c r="I1163" s="106" t="str">
        <f>SUMIFS(Del!C:C,Del!B:B,A1163)</f>
        <v>0</v>
      </c>
      <c r="J1163" s="106" t="str">
        <f t="shared" si="5"/>
        <v>1</v>
      </c>
      <c r="K1163" s="106" t="str">
        <f t="shared" si="6"/>
        <v>1</v>
      </c>
      <c r="L1163" s="106"/>
      <c r="M1163" s="106" t="str">
        <f>SUMIFS(Ere!C:C,Ere!B:B,A1163)</f>
        <v>0</v>
      </c>
      <c r="N1163" s="106" t="str">
        <f t="shared" si="7"/>
        <v>1</v>
      </c>
      <c r="O1163" s="107" t="str">
        <f t="array" ref="O1163">XLOOKUP(A1163,Data!F:F,Data!O:O)</f>
        <v>  1.94 </v>
      </c>
      <c r="P1163" s="107" t="str">
        <f t="shared" si="8"/>
        <v>  4.85 </v>
      </c>
      <c r="Q1163" s="27"/>
    </row>
    <row r="1164" ht="15.75" customHeight="1">
      <c r="A1164" s="105" t="s">
        <v>1408</v>
      </c>
      <c r="B1164" s="19" t="str">
        <f t="array" ref="B1164">XLOOKUP(A1164,Data!F:F,Data!G:G)</f>
        <v>J1C</v>
      </c>
      <c r="C1164" s="19" t="str">
        <f t="shared" si="3"/>
        <v>J089</v>
      </c>
      <c r="D1164" s="19" t="str">
        <f t="array" ref="D1164">XLOOKUP(A1164,Data!F:F,Data!C:C)</f>
        <v/>
      </c>
      <c r="E1164" s="19" t="str">
        <f t="array" ref="E1164">XLOOKUP(A1164,Data!F:F,Data!H:H)</f>
        <v>BW</v>
      </c>
      <c r="F1164" s="106" t="str">
        <f>SUMIFS(Data!J:J,Data!F:F,A1164)</f>
        <v>1</v>
      </c>
      <c r="G1164" s="106" t="str">
        <f>SUMIFS(Cast!C:C,CastElements,A1164)</f>
        <v>1</v>
      </c>
      <c r="H1164" s="106" t="str">
        <f t="shared" si="4"/>
        <v>0</v>
      </c>
      <c r="I1164" s="106" t="str">
        <f>SUMIFS(Del!C:C,Del!B:B,A1164)</f>
        <v>0</v>
      </c>
      <c r="J1164" s="106" t="str">
        <f t="shared" si="5"/>
        <v>1</v>
      </c>
      <c r="K1164" s="106" t="str">
        <f t="shared" si="6"/>
        <v>1</v>
      </c>
      <c r="L1164" s="106"/>
      <c r="M1164" s="106" t="str">
        <f>SUMIFS(Ere!C:C,Ere!B:B,A1164)</f>
        <v>0</v>
      </c>
      <c r="N1164" s="106" t="str">
        <f t="shared" si="7"/>
        <v>1</v>
      </c>
      <c r="O1164" s="107" t="str">
        <f t="array" ref="O1164">XLOOKUP(A1164,Data!F:F,Data!O:O)</f>
        <v>  1.60 </v>
      </c>
      <c r="P1164" s="107" t="str">
        <f t="shared" si="8"/>
        <v>  4.01 </v>
      </c>
      <c r="Q1164" s="27"/>
    </row>
    <row r="1165" ht="15.75" customHeight="1">
      <c r="A1165" s="105" t="s">
        <v>1409</v>
      </c>
      <c r="B1165" s="19" t="str">
        <f t="array" ref="B1165">XLOOKUP(A1165,Data!F:F,Data!G:G)</f>
        <v>J1C</v>
      </c>
      <c r="C1165" s="19" t="str">
        <f t="shared" si="3"/>
        <v>J089</v>
      </c>
      <c r="D1165" s="19" t="str">
        <f t="array" ref="D1165">XLOOKUP(A1165,Data!F:F,Data!C:C)</f>
        <v/>
      </c>
      <c r="E1165" s="19" t="str">
        <f t="array" ref="E1165">XLOOKUP(A1165,Data!F:F,Data!H:H)</f>
        <v>BW</v>
      </c>
      <c r="F1165" s="106" t="str">
        <f>SUMIFS(Data!J:J,Data!F:F,A1165)</f>
        <v>1</v>
      </c>
      <c r="G1165" s="106" t="str">
        <f>SUMIFS(Cast!C:C,CastElements,A1165)</f>
        <v>1</v>
      </c>
      <c r="H1165" s="106" t="str">
        <f t="shared" si="4"/>
        <v>0</v>
      </c>
      <c r="I1165" s="106" t="str">
        <f>SUMIFS(Del!C:C,Del!B:B,A1165)</f>
        <v>0</v>
      </c>
      <c r="J1165" s="106" t="str">
        <f t="shared" si="5"/>
        <v>1</v>
      </c>
      <c r="K1165" s="106" t="str">
        <f t="shared" si="6"/>
        <v>1</v>
      </c>
      <c r="L1165" s="106"/>
      <c r="M1165" s="106" t="str">
        <f>SUMIFS(Ere!C:C,Ere!B:B,A1165)</f>
        <v>0</v>
      </c>
      <c r="N1165" s="106" t="str">
        <f t="shared" si="7"/>
        <v>1</v>
      </c>
      <c r="O1165" s="107" t="str">
        <f t="array" ref="O1165">XLOOKUP(A1165,Data!F:F,Data!O:O)</f>
        <v>  2.07 </v>
      </c>
      <c r="P1165" s="107" t="str">
        <f t="shared" si="8"/>
        <v>  5.17 </v>
      </c>
      <c r="Q1165" s="27"/>
    </row>
    <row r="1166" ht="15.75" customHeight="1">
      <c r="A1166" s="105" t="s">
        <v>1410</v>
      </c>
      <c r="B1166" s="19" t="str">
        <f t="array" ref="B1166">XLOOKUP(A1166,Data!F:F,Data!G:G)</f>
        <v>J1C</v>
      </c>
      <c r="C1166" s="19" t="str">
        <f t="shared" si="3"/>
        <v>J089</v>
      </c>
      <c r="D1166" s="19" t="str">
        <f t="array" ref="D1166">XLOOKUP(A1166,Data!F:F,Data!C:C)</f>
        <v/>
      </c>
      <c r="E1166" s="19" t="str">
        <f t="array" ref="E1166">XLOOKUP(A1166,Data!F:F,Data!H:H)</f>
        <v>BW</v>
      </c>
      <c r="F1166" s="106" t="str">
        <f>SUMIFS(Data!J:J,Data!F:F,A1166)</f>
        <v>1</v>
      </c>
      <c r="G1166" s="106" t="str">
        <f>SUMIFS(Cast!C:C,CastElements,A1166)</f>
        <v>1</v>
      </c>
      <c r="H1166" s="106" t="str">
        <f t="shared" si="4"/>
        <v>0</v>
      </c>
      <c r="I1166" s="106" t="str">
        <f>SUMIFS(Del!C:C,Del!B:B,A1166)</f>
        <v>0</v>
      </c>
      <c r="J1166" s="106" t="str">
        <f t="shared" si="5"/>
        <v>1</v>
      </c>
      <c r="K1166" s="106" t="str">
        <f t="shared" si="6"/>
        <v>1</v>
      </c>
      <c r="L1166" s="106"/>
      <c r="M1166" s="106" t="str">
        <f>SUMIFS(Ere!C:C,Ere!B:B,A1166)</f>
        <v>0</v>
      </c>
      <c r="N1166" s="106" t="str">
        <f t="shared" si="7"/>
        <v>1</v>
      </c>
      <c r="O1166" s="107" t="str">
        <f t="array" ref="O1166">XLOOKUP(A1166,Data!F:F,Data!O:O)</f>
        <v>  1.97 </v>
      </c>
      <c r="P1166" s="107" t="str">
        <f t="shared" si="8"/>
        <v>  4.92 </v>
      </c>
      <c r="Q1166" s="27"/>
    </row>
    <row r="1167" ht="15.75" customHeight="1">
      <c r="A1167" s="105" t="s">
        <v>1411</v>
      </c>
      <c r="B1167" s="19" t="str">
        <f t="array" ref="B1167">XLOOKUP(A1167,Data!F:F,Data!G:G)</f>
        <v>J1C</v>
      </c>
      <c r="C1167" s="19" t="str">
        <f t="shared" si="3"/>
        <v>J089</v>
      </c>
      <c r="D1167" s="19" t="str">
        <f t="array" ref="D1167">XLOOKUP(A1167,Data!F:F,Data!C:C)</f>
        <v/>
      </c>
      <c r="E1167" s="19" t="str">
        <f t="array" ref="E1167">XLOOKUP(A1167,Data!F:F,Data!H:H)</f>
        <v>BW</v>
      </c>
      <c r="F1167" s="106" t="str">
        <f>SUMIFS(Data!J:J,Data!F:F,A1167)</f>
        <v>1</v>
      </c>
      <c r="G1167" s="106" t="str">
        <f>SUMIFS(Cast!C:C,CastElements,A1167)</f>
        <v>1</v>
      </c>
      <c r="H1167" s="106" t="str">
        <f t="shared" si="4"/>
        <v>0</v>
      </c>
      <c r="I1167" s="106" t="str">
        <f>SUMIFS(Del!C:C,Del!B:B,A1167)</f>
        <v>0</v>
      </c>
      <c r="J1167" s="106" t="str">
        <f t="shared" si="5"/>
        <v>1</v>
      </c>
      <c r="K1167" s="106" t="str">
        <f t="shared" si="6"/>
        <v>1</v>
      </c>
      <c r="L1167" s="106"/>
      <c r="M1167" s="106" t="str">
        <f>SUMIFS(Ere!C:C,Ere!B:B,A1167)</f>
        <v>0</v>
      </c>
      <c r="N1167" s="106" t="str">
        <f t="shared" si="7"/>
        <v>1</v>
      </c>
      <c r="O1167" s="107" t="str">
        <f t="array" ref="O1167">XLOOKUP(A1167,Data!F:F,Data!O:O)</f>
        <v>  1.97 </v>
      </c>
      <c r="P1167" s="107" t="str">
        <f t="shared" si="8"/>
        <v>  4.92 </v>
      </c>
      <c r="Q1167" s="27"/>
    </row>
    <row r="1168" ht="15.75" customHeight="1">
      <c r="A1168" s="105" t="s">
        <v>1412</v>
      </c>
      <c r="B1168" s="19" t="str">
        <f t="array" ref="B1168">XLOOKUP(A1168,Data!F:F,Data!G:G)</f>
        <v>J1C</v>
      </c>
      <c r="C1168" s="19" t="str">
        <f t="shared" si="3"/>
        <v>J089</v>
      </c>
      <c r="D1168" s="19" t="str">
        <f t="array" ref="D1168">XLOOKUP(A1168,Data!F:F,Data!C:C)</f>
        <v/>
      </c>
      <c r="E1168" s="19" t="str">
        <f t="array" ref="E1168">XLOOKUP(A1168,Data!F:F,Data!H:H)</f>
        <v>BW</v>
      </c>
      <c r="F1168" s="106" t="str">
        <f>SUMIFS(Data!J:J,Data!F:F,A1168)</f>
        <v>1</v>
      </c>
      <c r="G1168" s="106" t="str">
        <f>SUMIFS(Cast!C:C,CastElements,A1168)</f>
        <v>1</v>
      </c>
      <c r="H1168" s="106" t="str">
        <f t="shared" si="4"/>
        <v>0</v>
      </c>
      <c r="I1168" s="106" t="str">
        <f>SUMIFS(Del!C:C,Del!B:B,A1168)</f>
        <v>0</v>
      </c>
      <c r="J1168" s="106" t="str">
        <f t="shared" si="5"/>
        <v>1</v>
      </c>
      <c r="K1168" s="106" t="str">
        <f t="shared" si="6"/>
        <v>1</v>
      </c>
      <c r="L1168" s="106"/>
      <c r="M1168" s="106" t="str">
        <f>SUMIFS(Ere!C:C,Ere!B:B,A1168)</f>
        <v>0</v>
      </c>
      <c r="N1168" s="106" t="str">
        <f t="shared" si="7"/>
        <v>1</v>
      </c>
      <c r="O1168" s="107" t="str">
        <f t="array" ref="O1168">XLOOKUP(A1168,Data!F:F,Data!O:O)</f>
        <v>  1.97 </v>
      </c>
      <c r="P1168" s="107" t="str">
        <f t="shared" si="8"/>
        <v>  4.92 </v>
      </c>
      <c r="Q1168" s="27"/>
    </row>
    <row r="1169" ht="15.75" customHeight="1">
      <c r="A1169" s="105" t="s">
        <v>1413</v>
      </c>
      <c r="B1169" s="19" t="str">
        <f t="array" ref="B1169">XLOOKUP(A1169,Data!F:F,Data!G:G)</f>
        <v>J1C</v>
      </c>
      <c r="C1169" s="19" t="str">
        <f t="shared" si="3"/>
        <v>J089</v>
      </c>
      <c r="D1169" s="19" t="str">
        <f t="array" ref="D1169">XLOOKUP(A1169,Data!F:F,Data!C:C)</f>
        <v/>
      </c>
      <c r="E1169" s="19" t="str">
        <f t="array" ref="E1169">XLOOKUP(A1169,Data!F:F,Data!H:H)</f>
        <v>BW</v>
      </c>
      <c r="F1169" s="106" t="str">
        <f>SUMIFS(Data!J:J,Data!F:F,A1169)</f>
        <v>1</v>
      </c>
      <c r="G1169" s="106" t="str">
        <f>SUMIFS(Cast!C:C,CastElements,A1169)</f>
        <v>1</v>
      </c>
      <c r="H1169" s="106" t="str">
        <f t="shared" si="4"/>
        <v>0</v>
      </c>
      <c r="I1169" s="106" t="str">
        <f>SUMIFS(Del!C:C,Del!B:B,A1169)</f>
        <v>0</v>
      </c>
      <c r="J1169" s="106" t="str">
        <f t="shared" si="5"/>
        <v>1</v>
      </c>
      <c r="K1169" s="106" t="str">
        <f t="shared" si="6"/>
        <v>1</v>
      </c>
      <c r="L1169" s="106"/>
      <c r="M1169" s="106" t="str">
        <f>SUMIFS(Ere!C:C,Ere!B:B,A1169)</f>
        <v>0</v>
      </c>
      <c r="N1169" s="106" t="str">
        <f t="shared" si="7"/>
        <v>1</v>
      </c>
      <c r="O1169" s="107" t="str">
        <f t="array" ref="O1169">XLOOKUP(A1169,Data!F:F,Data!O:O)</f>
        <v>  1.63 </v>
      </c>
      <c r="P1169" s="107" t="str">
        <f t="shared" si="8"/>
        <v>  4.08 </v>
      </c>
      <c r="Q1169" s="27"/>
    </row>
    <row r="1170" ht="15.75" customHeight="1">
      <c r="A1170" s="105" t="s">
        <v>1414</v>
      </c>
      <c r="B1170" s="19" t="str">
        <f t="array" ref="B1170">XLOOKUP(A1170,Data!F:F,Data!G:G)</f>
        <v>J1C</v>
      </c>
      <c r="C1170" s="19" t="str">
        <f t="shared" si="3"/>
        <v>J089</v>
      </c>
      <c r="D1170" s="19" t="str">
        <f t="array" ref="D1170">XLOOKUP(A1170,Data!F:F,Data!C:C)</f>
        <v/>
      </c>
      <c r="E1170" s="19" t="str">
        <f t="array" ref="E1170">XLOOKUP(A1170,Data!F:F,Data!H:H)</f>
        <v>BW</v>
      </c>
      <c r="F1170" s="106" t="str">
        <f>SUMIFS(Data!J:J,Data!F:F,A1170)</f>
        <v>1</v>
      </c>
      <c r="G1170" s="106" t="str">
        <f>SUMIFS(Cast!C:C,CastElements,A1170)</f>
        <v>1</v>
      </c>
      <c r="H1170" s="106" t="str">
        <f t="shared" si="4"/>
        <v>0</v>
      </c>
      <c r="I1170" s="106" t="str">
        <f>SUMIFS(Del!C:C,Del!B:B,A1170)</f>
        <v>0</v>
      </c>
      <c r="J1170" s="106" t="str">
        <f t="shared" si="5"/>
        <v>1</v>
      </c>
      <c r="K1170" s="106" t="str">
        <f t="shared" si="6"/>
        <v>1</v>
      </c>
      <c r="L1170" s="106"/>
      <c r="M1170" s="106" t="str">
        <f>SUMIFS(Ere!C:C,Ere!B:B,A1170)</f>
        <v>0</v>
      </c>
      <c r="N1170" s="106" t="str">
        <f t="shared" si="7"/>
        <v>1</v>
      </c>
      <c r="O1170" s="107" t="str">
        <f t="array" ref="O1170">XLOOKUP(A1170,Data!F:F,Data!O:O)</f>
        <v>  0.30 </v>
      </c>
      <c r="P1170" s="107" t="str">
        <f t="shared" si="8"/>
        <v>  0.76 </v>
      </c>
      <c r="Q1170" s="27"/>
    </row>
    <row r="1171" ht="15.75" customHeight="1">
      <c r="A1171" s="105" t="s">
        <v>1415</v>
      </c>
      <c r="B1171" s="19" t="str">
        <f t="array" ref="B1171">XLOOKUP(A1171,Data!F:F,Data!G:G)</f>
        <v>J1C</v>
      </c>
      <c r="C1171" s="19" t="str">
        <f t="shared" si="3"/>
        <v>J089</v>
      </c>
      <c r="D1171" s="19" t="str">
        <f t="array" ref="D1171">XLOOKUP(A1171,Data!F:F,Data!C:C)</f>
        <v/>
      </c>
      <c r="E1171" s="19" t="str">
        <f t="array" ref="E1171">XLOOKUP(A1171,Data!F:F,Data!H:H)</f>
        <v>CF</v>
      </c>
      <c r="F1171" s="106" t="str">
        <f>SUMIFS(Data!J:J,Data!F:F,A1171)</f>
        <v>1</v>
      </c>
      <c r="G1171" s="106" t="str">
        <f>SUMIFS(Cast!C:C,CastElements,A1171)</f>
        <v>1</v>
      </c>
      <c r="H1171" s="106" t="str">
        <f t="shared" si="4"/>
        <v>0</v>
      </c>
      <c r="I1171" s="106" t="str">
        <f>SUMIFS(Del!C:C,Del!B:B,A1171)</f>
        <v>0</v>
      </c>
      <c r="J1171" s="106" t="str">
        <f t="shared" si="5"/>
        <v>1</v>
      </c>
      <c r="K1171" s="106" t="str">
        <f t="shared" si="6"/>
        <v>1</v>
      </c>
      <c r="L1171" s="106"/>
      <c r="M1171" s="106" t="str">
        <f>SUMIFS(Ere!C:C,Ere!B:B,A1171)</f>
        <v>0</v>
      </c>
      <c r="N1171" s="106" t="str">
        <f t="shared" si="7"/>
        <v>1</v>
      </c>
      <c r="O1171" s="107" t="str">
        <f t="array" ref="O1171">XLOOKUP(A1171,Data!F:F,Data!O:O)</f>
        <v>  0.42 </v>
      </c>
      <c r="P1171" s="107" t="str">
        <f t="shared" si="8"/>
        <v>  1.05 </v>
      </c>
      <c r="Q1171" s="27"/>
    </row>
    <row r="1172" ht="15.75" customHeight="1">
      <c r="A1172" s="105" t="s">
        <v>1416</v>
      </c>
      <c r="B1172" s="19" t="str">
        <f t="array" ref="B1172">XLOOKUP(A1172,Data!F:F,Data!G:G)</f>
        <v>J1C</v>
      </c>
      <c r="C1172" s="19" t="str">
        <f t="shared" si="3"/>
        <v>J090</v>
      </c>
      <c r="D1172" s="19" t="str">
        <f t="array" ref="D1172">XLOOKUP(A1172,Data!F:F,Data!C:C)</f>
        <v/>
      </c>
      <c r="E1172" s="19" t="str">
        <f t="array" ref="E1172">XLOOKUP(A1172,Data!F:F,Data!H:H)</f>
        <v>CF</v>
      </c>
      <c r="F1172" s="106" t="str">
        <f>SUMIFS(Data!J:J,Data!F:F,A1172)</f>
        <v>1</v>
      </c>
      <c r="G1172" s="106" t="str">
        <f>SUMIFS(Cast!C:C,CastElements,A1172)</f>
        <v>1</v>
      </c>
      <c r="H1172" s="106" t="str">
        <f t="shared" si="4"/>
        <v>0</v>
      </c>
      <c r="I1172" s="106" t="str">
        <f>SUMIFS(Del!C:C,Del!B:B,A1172)</f>
        <v>0</v>
      </c>
      <c r="J1172" s="106" t="str">
        <f t="shared" si="5"/>
        <v>1</v>
      </c>
      <c r="K1172" s="106" t="str">
        <f t="shared" si="6"/>
        <v>1</v>
      </c>
      <c r="L1172" s="106"/>
      <c r="M1172" s="106" t="str">
        <f>SUMIFS(Ere!C:C,Ere!B:B,A1172)</f>
        <v>0</v>
      </c>
      <c r="N1172" s="106" t="str">
        <f t="shared" si="7"/>
        <v>1</v>
      </c>
      <c r="O1172" s="107" t="str">
        <f t="array" ref="O1172">XLOOKUP(A1172,Data!F:F,Data!O:O)</f>
        <v>  0.42 </v>
      </c>
      <c r="P1172" s="107" t="str">
        <f t="shared" si="8"/>
        <v>  1.05 </v>
      </c>
      <c r="Q1172" s="27"/>
    </row>
    <row r="1173" ht="15.75" customHeight="1">
      <c r="A1173" s="105" t="s">
        <v>1417</v>
      </c>
      <c r="B1173" s="19" t="str">
        <f t="array" ref="B1173">XLOOKUP(A1173,Data!F:F,Data!G:G)</f>
        <v>J1C</v>
      </c>
      <c r="C1173" s="19" t="str">
        <f t="shared" si="3"/>
        <v>J090</v>
      </c>
      <c r="D1173" s="19" t="str">
        <f t="array" ref="D1173">XLOOKUP(A1173,Data!F:F,Data!C:C)</f>
        <v>EXT</v>
      </c>
      <c r="E1173" s="19" t="str">
        <f t="array" ref="E1173">XLOOKUP(A1173,Data!F:F,Data!H:H)</f>
        <v>BW</v>
      </c>
      <c r="F1173" s="106" t="str">
        <f>SUMIFS(Data!J:J,Data!F:F,A1173)</f>
        <v>1</v>
      </c>
      <c r="G1173" s="106" t="str">
        <f>SUMIFS(Cast!C:C,CastElements,A1173)</f>
        <v>0</v>
      </c>
      <c r="H1173" s="106" t="str">
        <f t="shared" si="4"/>
        <v>1</v>
      </c>
      <c r="I1173" s="106" t="str">
        <f>SUMIFS(Del!C:C,Del!B:B,A1173)</f>
        <v>0</v>
      </c>
      <c r="J1173" s="106" t="str">
        <f t="shared" si="5"/>
        <v>1</v>
      </c>
      <c r="K1173" s="106" t="str">
        <f t="shared" si="6"/>
        <v>0</v>
      </c>
      <c r="L1173" s="106"/>
      <c r="M1173" s="106" t="str">
        <f>SUMIFS(Ere!C:C,Ere!B:B,A1173)</f>
        <v>0</v>
      </c>
      <c r="N1173" s="106" t="str">
        <f t="shared" si="7"/>
        <v>1</v>
      </c>
      <c r="O1173" s="107" t="str">
        <f t="array" ref="O1173">XLOOKUP(A1173,Data!F:F,Data!O:O)</f>
        <v>  1.00 </v>
      </c>
      <c r="P1173" s="107" t="str">
        <f t="shared" si="8"/>
        <v>  2.51 </v>
      </c>
      <c r="Q1173" s="27"/>
    </row>
    <row r="1174" ht="15.75" customHeight="1">
      <c r="A1174" s="105" t="s">
        <v>1418</v>
      </c>
      <c r="B1174" s="19" t="str">
        <f t="array" ref="B1174">XLOOKUP(A1174,Data!F:F,Data!G:G)</f>
        <v>J1C</v>
      </c>
      <c r="C1174" s="19" t="str">
        <f t="shared" si="3"/>
        <v>J090</v>
      </c>
      <c r="D1174" s="19" t="str">
        <f t="array" ref="D1174">XLOOKUP(A1174,Data!F:F,Data!C:C)</f>
        <v>EXT</v>
      </c>
      <c r="E1174" s="19" t="str">
        <f t="array" ref="E1174">XLOOKUP(A1174,Data!F:F,Data!H:H)</f>
        <v>BW</v>
      </c>
      <c r="F1174" s="106" t="str">
        <f>SUMIFS(Data!J:J,Data!F:F,A1174)</f>
        <v>1</v>
      </c>
      <c r="G1174" s="106" t="str">
        <f>SUMIFS(Cast!C:C,CastElements,A1174)</f>
        <v>0</v>
      </c>
      <c r="H1174" s="106" t="str">
        <f t="shared" si="4"/>
        <v>1</v>
      </c>
      <c r="I1174" s="106" t="str">
        <f>SUMIFS(Del!C:C,Del!B:B,A1174)</f>
        <v>0</v>
      </c>
      <c r="J1174" s="106" t="str">
        <f t="shared" si="5"/>
        <v>1</v>
      </c>
      <c r="K1174" s="106" t="str">
        <f t="shared" si="6"/>
        <v>0</v>
      </c>
      <c r="L1174" s="106"/>
      <c r="M1174" s="106" t="str">
        <f>SUMIFS(Ere!C:C,Ere!B:B,A1174)</f>
        <v>0</v>
      </c>
      <c r="N1174" s="106" t="str">
        <f t="shared" si="7"/>
        <v>1</v>
      </c>
      <c r="O1174" s="107" t="str">
        <f t="array" ref="O1174">XLOOKUP(A1174,Data!F:F,Data!O:O)</f>
        <v>  1.00 </v>
      </c>
      <c r="P1174" s="107" t="str">
        <f t="shared" si="8"/>
        <v>  2.51 </v>
      </c>
      <c r="Q1174" s="27"/>
    </row>
    <row r="1175" ht="15.75" customHeight="1">
      <c r="A1175" s="105" t="s">
        <v>1419</v>
      </c>
      <c r="B1175" s="19" t="str">
        <f t="array" ref="B1175">XLOOKUP(A1175,Data!F:F,Data!G:G)</f>
        <v>J1C</v>
      </c>
      <c r="C1175" s="19" t="str">
        <f t="shared" si="3"/>
        <v>J090</v>
      </c>
      <c r="D1175" s="19" t="str">
        <f t="array" ref="D1175">XLOOKUP(A1175,Data!F:F,Data!C:C)</f>
        <v>EXT</v>
      </c>
      <c r="E1175" s="19" t="str">
        <f t="array" ref="E1175">XLOOKUP(A1175,Data!F:F,Data!H:H)</f>
        <v>BW</v>
      </c>
      <c r="F1175" s="106" t="str">
        <f>SUMIFS(Data!J:J,Data!F:F,A1175)</f>
        <v>1</v>
      </c>
      <c r="G1175" s="106" t="str">
        <f>SUMIFS(Cast!C:C,CastElements,A1175)</f>
        <v>0</v>
      </c>
      <c r="H1175" s="106" t="str">
        <f t="shared" si="4"/>
        <v>1</v>
      </c>
      <c r="I1175" s="106" t="str">
        <f>SUMIFS(Del!C:C,Del!B:B,A1175)</f>
        <v>0</v>
      </c>
      <c r="J1175" s="106" t="str">
        <f t="shared" si="5"/>
        <v>1</v>
      </c>
      <c r="K1175" s="106" t="str">
        <f t="shared" si="6"/>
        <v>0</v>
      </c>
      <c r="L1175" s="106"/>
      <c r="M1175" s="106" t="str">
        <f>SUMIFS(Ere!C:C,Ere!B:B,A1175)</f>
        <v>0</v>
      </c>
      <c r="N1175" s="106" t="str">
        <f t="shared" si="7"/>
        <v>1</v>
      </c>
      <c r="O1175" s="107" t="str">
        <f t="array" ref="O1175">XLOOKUP(A1175,Data!F:F,Data!O:O)</f>
        <v>  1.08 </v>
      </c>
      <c r="P1175" s="107" t="str">
        <f t="shared" si="8"/>
        <v>  2.69 </v>
      </c>
      <c r="Q1175" s="27"/>
    </row>
    <row r="1176" ht="15.75" customHeight="1">
      <c r="A1176" s="105" t="s">
        <v>1420</v>
      </c>
      <c r="B1176" s="19" t="str">
        <f t="array" ref="B1176">XLOOKUP(A1176,Data!F:F,Data!G:G)</f>
        <v>J1C</v>
      </c>
      <c r="C1176" s="19" t="str">
        <f t="shared" si="3"/>
        <v>J090</v>
      </c>
      <c r="D1176" s="19" t="str">
        <f t="array" ref="D1176">XLOOKUP(A1176,Data!F:F,Data!C:C)</f>
        <v>EXT</v>
      </c>
      <c r="E1176" s="19" t="str">
        <f t="array" ref="E1176">XLOOKUP(A1176,Data!F:F,Data!H:H)</f>
        <v>BW</v>
      </c>
      <c r="F1176" s="106" t="str">
        <f>SUMIFS(Data!J:J,Data!F:F,A1176)</f>
        <v>1</v>
      </c>
      <c r="G1176" s="106" t="str">
        <f>SUMIFS(Cast!C:C,CastElements,A1176)</f>
        <v>1</v>
      </c>
      <c r="H1176" s="106" t="str">
        <f t="shared" si="4"/>
        <v>0</v>
      </c>
      <c r="I1176" s="106" t="str">
        <f>SUMIFS(Del!C:C,Del!B:B,A1176)</f>
        <v>0</v>
      </c>
      <c r="J1176" s="106" t="str">
        <f t="shared" si="5"/>
        <v>1</v>
      </c>
      <c r="K1176" s="106" t="str">
        <f t="shared" si="6"/>
        <v>1</v>
      </c>
      <c r="L1176" s="106"/>
      <c r="M1176" s="106" t="str">
        <f>SUMIFS(Ere!C:C,Ere!B:B,A1176)</f>
        <v>0</v>
      </c>
      <c r="N1176" s="106" t="str">
        <f t="shared" si="7"/>
        <v>1</v>
      </c>
      <c r="O1176" s="107" t="str">
        <f t="array" ref="O1176">XLOOKUP(A1176,Data!F:F,Data!O:O)</f>
        <v>  0.94 </v>
      </c>
      <c r="P1176" s="107" t="str">
        <f t="shared" si="8"/>
        <v>  2.35 </v>
      </c>
      <c r="Q1176" s="27"/>
    </row>
    <row r="1177" ht="15.75" customHeight="1">
      <c r="A1177" s="105" t="s">
        <v>1421</v>
      </c>
      <c r="B1177" s="19" t="str">
        <f t="array" ref="B1177">XLOOKUP(A1177,Data!F:F,Data!G:G)</f>
        <v>J1C</v>
      </c>
      <c r="C1177" s="19" t="str">
        <f t="shared" si="3"/>
        <v>J090</v>
      </c>
      <c r="D1177" s="19" t="str">
        <f t="array" ref="D1177">XLOOKUP(A1177,Data!F:F,Data!C:C)</f>
        <v/>
      </c>
      <c r="E1177" s="19" t="str">
        <f t="array" ref="E1177">XLOOKUP(A1177,Data!F:F,Data!H:H)</f>
        <v>BW</v>
      </c>
      <c r="F1177" s="106" t="str">
        <f>SUMIFS(Data!J:J,Data!F:F,A1177)</f>
        <v>1</v>
      </c>
      <c r="G1177" s="106" t="str">
        <f>SUMIFS(Cast!C:C,CastElements,A1177)</f>
        <v>1</v>
      </c>
      <c r="H1177" s="106" t="str">
        <f t="shared" si="4"/>
        <v>0</v>
      </c>
      <c r="I1177" s="106" t="str">
        <f>SUMIFS(Del!C:C,Del!B:B,A1177)</f>
        <v>0</v>
      </c>
      <c r="J1177" s="106" t="str">
        <f t="shared" si="5"/>
        <v>1</v>
      </c>
      <c r="K1177" s="106" t="str">
        <f t="shared" si="6"/>
        <v>1</v>
      </c>
      <c r="L1177" s="106"/>
      <c r="M1177" s="106" t="str">
        <f>SUMIFS(Ere!C:C,Ere!B:B,A1177)</f>
        <v>0</v>
      </c>
      <c r="N1177" s="106" t="str">
        <f t="shared" si="7"/>
        <v>1</v>
      </c>
      <c r="O1177" s="107" t="str">
        <f t="array" ref="O1177">XLOOKUP(A1177,Data!F:F,Data!O:O)</f>
        <v>  1.39 </v>
      </c>
      <c r="P1177" s="107" t="str">
        <f t="shared" si="8"/>
        <v>  3.48 </v>
      </c>
      <c r="Q1177" s="27"/>
    </row>
    <row r="1178" ht="15.75" customHeight="1">
      <c r="A1178" s="105" t="s">
        <v>1422</v>
      </c>
      <c r="B1178" s="19" t="str">
        <f t="array" ref="B1178">XLOOKUP(A1178,Data!F:F,Data!G:G)</f>
        <v>J1C</v>
      </c>
      <c r="C1178" s="19" t="str">
        <f t="shared" si="3"/>
        <v>J090</v>
      </c>
      <c r="D1178" s="19" t="str">
        <f t="array" ref="D1178">XLOOKUP(A1178,Data!F:F,Data!C:C)</f>
        <v/>
      </c>
      <c r="E1178" s="19" t="str">
        <f t="array" ref="E1178">XLOOKUP(A1178,Data!F:F,Data!H:H)</f>
        <v>BW</v>
      </c>
      <c r="F1178" s="106" t="str">
        <f>SUMIFS(Data!J:J,Data!F:F,A1178)</f>
        <v>1</v>
      </c>
      <c r="G1178" s="106" t="str">
        <f>SUMIFS(Cast!C:C,CastElements,A1178)</f>
        <v>1</v>
      </c>
      <c r="H1178" s="106" t="str">
        <f t="shared" si="4"/>
        <v>0</v>
      </c>
      <c r="I1178" s="106" t="str">
        <f>SUMIFS(Del!C:C,Del!B:B,A1178)</f>
        <v>0</v>
      </c>
      <c r="J1178" s="106" t="str">
        <f t="shared" si="5"/>
        <v>1</v>
      </c>
      <c r="K1178" s="106" t="str">
        <f t="shared" si="6"/>
        <v>1</v>
      </c>
      <c r="L1178" s="106"/>
      <c r="M1178" s="106" t="str">
        <f>SUMIFS(Ere!C:C,Ere!B:B,A1178)</f>
        <v>0</v>
      </c>
      <c r="N1178" s="106" t="str">
        <f t="shared" si="7"/>
        <v>1</v>
      </c>
      <c r="O1178" s="107" t="str">
        <f t="array" ref="O1178">XLOOKUP(A1178,Data!F:F,Data!O:O)</f>
        <v>  1.17 </v>
      </c>
      <c r="P1178" s="107" t="str">
        <f t="shared" si="8"/>
        <v>  2.93 </v>
      </c>
      <c r="Q1178" s="27"/>
    </row>
    <row r="1179" ht="15.75" customHeight="1">
      <c r="A1179" s="105" t="s">
        <v>1423</v>
      </c>
      <c r="B1179" s="19" t="str">
        <f t="array" ref="B1179">XLOOKUP(A1179,Data!F:F,Data!G:G)</f>
        <v>J1C</v>
      </c>
      <c r="C1179" s="19" t="str">
        <f t="shared" si="3"/>
        <v>J090</v>
      </c>
      <c r="D1179" s="19" t="str">
        <f t="array" ref="D1179">XLOOKUP(A1179,Data!F:F,Data!C:C)</f>
        <v/>
      </c>
      <c r="E1179" s="19" t="str">
        <f t="array" ref="E1179">XLOOKUP(A1179,Data!F:F,Data!H:H)</f>
        <v>BW</v>
      </c>
      <c r="F1179" s="106" t="str">
        <f>SUMIFS(Data!J:J,Data!F:F,A1179)</f>
        <v>1</v>
      </c>
      <c r="G1179" s="106" t="str">
        <f>SUMIFS(Cast!C:C,CastElements,A1179)</f>
        <v>1</v>
      </c>
      <c r="H1179" s="106" t="str">
        <f t="shared" si="4"/>
        <v>0</v>
      </c>
      <c r="I1179" s="106" t="str">
        <f>SUMIFS(Del!C:C,Del!B:B,A1179)</f>
        <v>0</v>
      </c>
      <c r="J1179" s="106" t="str">
        <f t="shared" si="5"/>
        <v>1</v>
      </c>
      <c r="K1179" s="106" t="str">
        <f t="shared" si="6"/>
        <v>1</v>
      </c>
      <c r="L1179" s="106"/>
      <c r="M1179" s="106" t="str">
        <f>SUMIFS(Ere!C:C,Ere!B:B,A1179)</f>
        <v>0</v>
      </c>
      <c r="N1179" s="106" t="str">
        <f t="shared" si="7"/>
        <v>1</v>
      </c>
      <c r="O1179" s="107" t="str">
        <f t="array" ref="O1179">XLOOKUP(A1179,Data!F:F,Data!O:O)</f>
        <v>  1.38 </v>
      </c>
      <c r="P1179" s="107" t="str">
        <f t="shared" si="8"/>
        <v>  3.45 </v>
      </c>
      <c r="Q1179" s="27"/>
    </row>
    <row r="1180" ht="15.75" customHeight="1">
      <c r="A1180" s="105" t="s">
        <v>1424</v>
      </c>
      <c r="B1180" s="19" t="str">
        <f t="array" ref="B1180">XLOOKUP(A1180,Data!F:F,Data!G:G)</f>
        <v>J1C</v>
      </c>
      <c r="C1180" s="19" t="str">
        <f t="shared" si="3"/>
        <v>J090</v>
      </c>
      <c r="D1180" s="19" t="str">
        <f t="array" ref="D1180">XLOOKUP(A1180,Data!F:F,Data!C:C)</f>
        <v/>
      </c>
      <c r="E1180" s="19" t="str">
        <f t="array" ref="E1180">XLOOKUP(A1180,Data!F:F,Data!H:H)</f>
        <v>BW</v>
      </c>
      <c r="F1180" s="106" t="str">
        <f>SUMIFS(Data!J:J,Data!F:F,A1180)</f>
        <v>1</v>
      </c>
      <c r="G1180" s="106" t="str">
        <f>SUMIFS(Cast!C:C,CastElements,A1180)</f>
        <v>1</v>
      </c>
      <c r="H1180" s="106" t="str">
        <f t="shared" si="4"/>
        <v>0</v>
      </c>
      <c r="I1180" s="106" t="str">
        <f>SUMIFS(Del!C:C,Del!B:B,A1180)</f>
        <v>0</v>
      </c>
      <c r="J1180" s="106" t="str">
        <f t="shared" si="5"/>
        <v>1</v>
      </c>
      <c r="K1180" s="106" t="str">
        <f t="shared" si="6"/>
        <v>1</v>
      </c>
      <c r="L1180" s="106"/>
      <c r="M1180" s="106" t="str">
        <f>SUMIFS(Ere!C:C,Ere!B:B,A1180)</f>
        <v>0</v>
      </c>
      <c r="N1180" s="106" t="str">
        <f t="shared" si="7"/>
        <v>1</v>
      </c>
      <c r="O1180" s="107" t="str">
        <f t="array" ref="O1180">XLOOKUP(A1180,Data!F:F,Data!O:O)</f>
        <v>  1.51 </v>
      </c>
      <c r="P1180" s="107" t="str">
        <f t="shared" si="8"/>
        <v>  3.79 </v>
      </c>
      <c r="Q1180" s="27"/>
    </row>
    <row r="1181" ht="15.75" customHeight="1">
      <c r="A1181" s="105" t="s">
        <v>1425</v>
      </c>
      <c r="B1181" s="19" t="str">
        <f t="array" ref="B1181">XLOOKUP(A1181,Data!F:F,Data!G:G)</f>
        <v>J1C</v>
      </c>
      <c r="C1181" s="19" t="str">
        <f t="shared" si="3"/>
        <v>J090</v>
      </c>
      <c r="D1181" s="19" t="str">
        <f t="array" ref="D1181">XLOOKUP(A1181,Data!F:F,Data!C:C)</f>
        <v/>
      </c>
      <c r="E1181" s="19" t="str">
        <f t="array" ref="E1181">XLOOKUP(A1181,Data!F:F,Data!H:H)</f>
        <v>BW</v>
      </c>
      <c r="F1181" s="106" t="str">
        <f>SUMIFS(Data!J:J,Data!F:F,A1181)</f>
        <v>1</v>
      </c>
      <c r="G1181" s="106" t="str">
        <f>SUMIFS(Cast!C:C,CastElements,A1181)</f>
        <v>1</v>
      </c>
      <c r="H1181" s="106" t="str">
        <f t="shared" si="4"/>
        <v>0</v>
      </c>
      <c r="I1181" s="106" t="str">
        <f>SUMIFS(Del!C:C,Del!B:B,A1181)</f>
        <v>0</v>
      </c>
      <c r="J1181" s="106" t="str">
        <f t="shared" si="5"/>
        <v>1</v>
      </c>
      <c r="K1181" s="106" t="str">
        <f t="shared" si="6"/>
        <v>1</v>
      </c>
      <c r="L1181" s="106"/>
      <c r="M1181" s="106" t="str">
        <f>SUMIFS(Ere!C:C,Ere!B:B,A1181)</f>
        <v>0</v>
      </c>
      <c r="N1181" s="106" t="str">
        <f t="shared" si="7"/>
        <v>1</v>
      </c>
      <c r="O1181" s="107" t="str">
        <f t="array" ref="O1181">XLOOKUP(A1181,Data!F:F,Data!O:O)</f>
        <v>  1.46 </v>
      </c>
      <c r="P1181" s="107" t="str">
        <f t="shared" si="8"/>
        <v>  3.66 </v>
      </c>
      <c r="Q1181" s="27"/>
    </row>
    <row r="1182" ht="15.75" customHeight="1">
      <c r="A1182" s="105" t="s">
        <v>1426</v>
      </c>
      <c r="B1182" s="19" t="str">
        <f t="array" ref="B1182">XLOOKUP(A1182,Data!F:F,Data!G:G)</f>
        <v>J1C</v>
      </c>
      <c r="C1182" s="19" t="str">
        <f t="shared" si="3"/>
        <v>J090</v>
      </c>
      <c r="D1182" s="19" t="str">
        <f t="array" ref="D1182">XLOOKUP(A1182,Data!F:F,Data!C:C)</f>
        <v/>
      </c>
      <c r="E1182" s="19" t="str">
        <f t="array" ref="E1182">XLOOKUP(A1182,Data!F:F,Data!H:H)</f>
        <v>BW</v>
      </c>
      <c r="F1182" s="106" t="str">
        <f>SUMIFS(Data!J:J,Data!F:F,A1182)</f>
        <v>1</v>
      </c>
      <c r="G1182" s="106" t="str">
        <f>SUMIFS(Cast!C:C,CastElements,A1182)</f>
        <v>1</v>
      </c>
      <c r="H1182" s="106" t="str">
        <f t="shared" si="4"/>
        <v>0</v>
      </c>
      <c r="I1182" s="106" t="str">
        <f>SUMIFS(Del!C:C,Del!B:B,A1182)</f>
        <v>0</v>
      </c>
      <c r="J1182" s="106" t="str">
        <f t="shared" si="5"/>
        <v>1</v>
      </c>
      <c r="K1182" s="106" t="str">
        <f t="shared" si="6"/>
        <v>1</v>
      </c>
      <c r="L1182" s="106"/>
      <c r="M1182" s="106" t="str">
        <f>SUMIFS(Ere!C:C,Ere!B:B,A1182)</f>
        <v>0</v>
      </c>
      <c r="N1182" s="106" t="str">
        <f t="shared" si="7"/>
        <v>1</v>
      </c>
      <c r="O1182" s="107" t="str">
        <f t="array" ref="O1182">XLOOKUP(A1182,Data!F:F,Data!O:O)</f>
        <v>  2.07 </v>
      </c>
      <c r="P1182" s="107" t="str">
        <f t="shared" si="8"/>
        <v>  5.17 </v>
      </c>
      <c r="Q1182" s="27"/>
    </row>
    <row r="1183" ht="15.75" customHeight="1">
      <c r="A1183" s="105" t="s">
        <v>1427</v>
      </c>
      <c r="B1183" s="19" t="str">
        <f t="array" ref="B1183">XLOOKUP(A1183,Data!F:F,Data!G:G)</f>
        <v>J1C</v>
      </c>
      <c r="C1183" s="19" t="str">
        <f t="shared" si="3"/>
        <v>J090</v>
      </c>
      <c r="D1183" s="19" t="str">
        <f t="array" ref="D1183">XLOOKUP(A1183,Data!F:F,Data!C:C)</f>
        <v/>
      </c>
      <c r="E1183" s="19" t="str">
        <f t="array" ref="E1183">XLOOKUP(A1183,Data!F:F,Data!H:H)</f>
        <v>BW</v>
      </c>
      <c r="F1183" s="106" t="str">
        <f>SUMIFS(Data!J:J,Data!F:F,A1183)</f>
        <v>1</v>
      </c>
      <c r="G1183" s="106" t="str">
        <f>SUMIFS(Cast!C:C,CastElements,A1183)</f>
        <v>1</v>
      </c>
      <c r="H1183" s="106" t="str">
        <f t="shared" si="4"/>
        <v>0</v>
      </c>
      <c r="I1183" s="106" t="str">
        <f>SUMIFS(Del!C:C,Del!B:B,A1183)</f>
        <v>0</v>
      </c>
      <c r="J1183" s="106" t="str">
        <f t="shared" si="5"/>
        <v>1</v>
      </c>
      <c r="K1183" s="106" t="str">
        <f t="shared" si="6"/>
        <v>1</v>
      </c>
      <c r="L1183" s="106"/>
      <c r="M1183" s="106" t="str">
        <f>SUMIFS(Ere!C:C,Ere!B:B,A1183)</f>
        <v>0</v>
      </c>
      <c r="N1183" s="106" t="str">
        <f t="shared" si="7"/>
        <v>1</v>
      </c>
      <c r="O1183" s="107" t="str">
        <f t="array" ref="O1183">XLOOKUP(A1183,Data!F:F,Data!O:O)</f>
        <v>  2.08 </v>
      </c>
      <c r="P1183" s="107" t="str">
        <f t="shared" si="8"/>
        <v>  5.21 </v>
      </c>
      <c r="Q1183" s="27"/>
    </row>
    <row r="1184" ht="15.75" customHeight="1">
      <c r="A1184" s="105" t="s">
        <v>1428</v>
      </c>
      <c r="B1184" s="19" t="str">
        <f t="array" ref="B1184">XLOOKUP(A1184,Data!F:F,Data!G:G)</f>
        <v>J1C</v>
      </c>
      <c r="C1184" s="19" t="str">
        <f t="shared" si="3"/>
        <v>J090</v>
      </c>
      <c r="D1184" s="19" t="str">
        <f t="array" ref="D1184">XLOOKUP(A1184,Data!F:F,Data!C:C)</f>
        <v/>
      </c>
      <c r="E1184" s="19" t="str">
        <f t="array" ref="E1184">XLOOKUP(A1184,Data!F:F,Data!H:H)</f>
        <v>BW</v>
      </c>
      <c r="F1184" s="106" t="str">
        <f>SUMIFS(Data!J:J,Data!F:F,A1184)</f>
        <v>1</v>
      </c>
      <c r="G1184" s="106" t="str">
        <f>SUMIFS(Cast!C:C,CastElements,A1184)</f>
        <v>1</v>
      </c>
      <c r="H1184" s="106" t="str">
        <f t="shared" si="4"/>
        <v>0</v>
      </c>
      <c r="I1184" s="106" t="str">
        <f>SUMIFS(Del!C:C,Del!B:B,A1184)</f>
        <v>0</v>
      </c>
      <c r="J1184" s="106" t="str">
        <f t="shared" si="5"/>
        <v>1</v>
      </c>
      <c r="K1184" s="106" t="str">
        <f t="shared" si="6"/>
        <v>1</v>
      </c>
      <c r="L1184" s="106"/>
      <c r="M1184" s="106" t="str">
        <f>SUMIFS(Ere!C:C,Ere!B:B,A1184)</f>
        <v>0</v>
      </c>
      <c r="N1184" s="106" t="str">
        <f t="shared" si="7"/>
        <v>1</v>
      </c>
      <c r="O1184" s="107" t="str">
        <f t="array" ref="O1184">XLOOKUP(A1184,Data!F:F,Data!O:O)</f>
        <v>  1.98 </v>
      </c>
      <c r="P1184" s="107" t="str">
        <f t="shared" si="8"/>
        <v>  4.96 </v>
      </c>
      <c r="Q1184" s="27"/>
    </row>
    <row r="1185" ht="15.75" customHeight="1">
      <c r="A1185" s="105" t="s">
        <v>1429</v>
      </c>
      <c r="B1185" s="19" t="str">
        <f t="array" ref="B1185">XLOOKUP(A1185,Data!F:F,Data!G:G)</f>
        <v>J1C</v>
      </c>
      <c r="C1185" s="19" t="str">
        <f t="shared" si="3"/>
        <v>J090</v>
      </c>
      <c r="D1185" s="19" t="str">
        <f t="array" ref="D1185">XLOOKUP(A1185,Data!F:F,Data!C:C)</f>
        <v/>
      </c>
      <c r="E1185" s="19" t="str">
        <f t="array" ref="E1185">XLOOKUP(A1185,Data!F:F,Data!H:H)</f>
        <v>BW</v>
      </c>
      <c r="F1185" s="106" t="str">
        <f>SUMIFS(Data!J:J,Data!F:F,A1185)</f>
        <v>1</v>
      </c>
      <c r="G1185" s="106" t="str">
        <f>SUMIFS(Cast!C:C,CastElements,A1185)</f>
        <v>1</v>
      </c>
      <c r="H1185" s="106" t="str">
        <f t="shared" si="4"/>
        <v>0</v>
      </c>
      <c r="I1185" s="106" t="str">
        <f>SUMIFS(Del!C:C,Del!B:B,A1185)</f>
        <v>0</v>
      </c>
      <c r="J1185" s="106" t="str">
        <f t="shared" si="5"/>
        <v>1</v>
      </c>
      <c r="K1185" s="106" t="str">
        <f t="shared" si="6"/>
        <v>1</v>
      </c>
      <c r="L1185" s="106"/>
      <c r="M1185" s="106" t="str">
        <f>SUMIFS(Ere!C:C,Ere!B:B,A1185)</f>
        <v>0</v>
      </c>
      <c r="N1185" s="106" t="str">
        <f t="shared" si="7"/>
        <v>1</v>
      </c>
      <c r="O1185" s="107" t="str">
        <f t="array" ref="O1185">XLOOKUP(A1185,Data!F:F,Data!O:O)</f>
        <v>  1.98 </v>
      </c>
      <c r="P1185" s="107" t="str">
        <f t="shared" si="8"/>
        <v>  4.96 </v>
      </c>
      <c r="Q1185" s="27"/>
    </row>
    <row r="1186" ht="15.75" customHeight="1">
      <c r="A1186" s="105" t="s">
        <v>1430</v>
      </c>
      <c r="B1186" s="19" t="str">
        <f t="array" ref="B1186">XLOOKUP(A1186,Data!F:F,Data!G:G)</f>
        <v>J1C</v>
      </c>
      <c r="C1186" s="19" t="str">
        <f t="shared" si="3"/>
        <v>J090</v>
      </c>
      <c r="D1186" s="19" t="str">
        <f t="array" ref="D1186">XLOOKUP(A1186,Data!F:F,Data!C:C)</f>
        <v/>
      </c>
      <c r="E1186" s="19" t="str">
        <f t="array" ref="E1186">XLOOKUP(A1186,Data!F:F,Data!H:H)</f>
        <v>BW</v>
      </c>
      <c r="F1186" s="106" t="str">
        <f>SUMIFS(Data!J:J,Data!F:F,A1186)</f>
        <v>1</v>
      </c>
      <c r="G1186" s="106" t="str">
        <f>SUMIFS(Cast!C:C,CastElements,A1186)</f>
        <v>1</v>
      </c>
      <c r="H1186" s="106" t="str">
        <f t="shared" si="4"/>
        <v>0</v>
      </c>
      <c r="I1186" s="106" t="str">
        <f>SUMIFS(Del!C:C,Del!B:B,A1186)</f>
        <v>0</v>
      </c>
      <c r="J1186" s="106" t="str">
        <f t="shared" si="5"/>
        <v>1</v>
      </c>
      <c r="K1186" s="106" t="str">
        <f t="shared" si="6"/>
        <v>1</v>
      </c>
      <c r="L1186" s="106"/>
      <c r="M1186" s="106" t="str">
        <f>SUMIFS(Ere!C:C,Ere!B:B,A1186)</f>
        <v>0</v>
      </c>
      <c r="N1186" s="106" t="str">
        <f t="shared" si="7"/>
        <v>1</v>
      </c>
      <c r="O1186" s="107" t="str">
        <f t="array" ref="O1186">XLOOKUP(A1186,Data!F:F,Data!O:O)</f>
        <v>  1.98 </v>
      </c>
      <c r="P1186" s="107" t="str">
        <f t="shared" si="8"/>
        <v>  4.96 </v>
      </c>
      <c r="Q1186" s="27"/>
    </row>
    <row r="1187" ht="15.75" customHeight="1">
      <c r="A1187" s="105" t="s">
        <v>1431</v>
      </c>
      <c r="B1187" s="19" t="str">
        <f t="array" ref="B1187">XLOOKUP(A1187,Data!F:F,Data!G:G)</f>
        <v>J1C</v>
      </c>
      <c r="C1187" s="19" t="str">
        <f t="shared" si="3"/>
        <v>J090</v>
      </c>
      <c r="D1187" s="19" t="str">
        <f t="array" ref="D1187">XLOOKUP(A1187,Data!F:F,Data!C:C)</f>
        <v/>
      </c>
      <c r="E1187" s="19" t="str">
        <f t="array" ref="E1187">XLOOKUP(A1187,Data!F:F,Data!H:H)</f>
        <v>BW</v>
      </c>
      <c r="F1187" s="106" t="str">
        <f>SUMIFS(Data!J:J,Data!F:F,A1187)</f>
        <v>1</v>
      </c>
      <c r="G1187" s="106" t="str">
        <f>SUMIFS(Cast!C:C,CastElements,A1187)</f>
        <v>1</v>
      </c>
      <c r="H1187" s="106" t="str">
        <f t="shared" si="4"/>
        <v>0</v>
      </c>
      <c r="I1187" s="106" t="str">
        <f>SUMIFS(Del!C:C,Del!B:B,A1187)</f>
        <v>0</v>
      </c>
      <c r="J1187" s="106" t="str">
        <f t="shared" si="5"/>
        <v>1</v>
      </c>
      <c r="K1187" s="106" t="str">
        <f t="shared" si="6"/>
        <v>1</v>
      </c>
      <c r="L1187" s="106"/>
      <c r="M1187" s="106" t="str">
        <f>SUMIFS(Ere!C:C,Ere!B:B,A1187)</f>
        <v>0</v>
      </c>
      <c r="N1187" s="106" t="str">
        <f t="shared" si="7"/>
        <v>1</v>
      </c>
      <c r="O1187" s="107" t="str">
        <f t="array" ref="O1187">XLOOKUP(A1187,Data!F:F,Data!O:O)</f>
        <v>  1.65 </v>
      </c>
      <c r="P1187" s="107" t="str">
        <f t="shared" si="8"/>
        <v>  4.12 </v>
      </c>
      <c r="Q1187" s="27"/>
    </row>
    <row r="1188" ht="15.75" customHeight="1">
      <c r="A1188" s="105" t="s">
        <v>1432</v>
      </c>
      <c r="B1188" s="19" t="str">
        <f t="array" ref="B1188">XLOOKUP(A1188,Data!F:F,Data!G:G)</f>
        <v>J1C</v>
      </c>
      <c r="C1188" s="19" t="str">
        <f t="shared" si="3"/>
        <v>J090</v>
      </c>
      <c r="D1188" s="19" t="str">
        <f t="array" ref="D1188">XLOOKUP(A1188,Data!F:F,Data!C:C)</f>
        <v/>
      </c>
      <c r="E1188" s="19" t="str">
        <f t="array" ref="E1188">XLOOKUP(A1188,Data!F:F,Data!H:H)</f>
        <v>BW</v>
      </c>
      <c r="F1188" s="106" t="str">
        <f>SUMIFS(Data!J:J,Data!F:F,A1188)</f>
        <v>1</v>
      </c>
      <c r="G1188" s="106" t="str">
        <f>SUMIFS(Cast!C:C,CastElements,A1188)</f>
        <v>1</v>
      </c>
      <c r="H1188" s="106" t="str">
        <f t="shared" si="4"/>
        <v>0</v>
      </c>
      <c r="I1188" s="106" t="str">
        <f>SUMIFS(Del!C:C,Del!B:B,A1188)</f>
        <v>0</v>
      </c>
      <c r="J1188" s="106" t="str">
        <f t="shared" si="5"/>
        <v>1</v>
      </c>
      <c r="K1188" s="106" t="str">
        <f t="shared" si="6"/>
        <v>1</v>
      </c>
      <c r="L1188" s="106"/>
      <c r="M1188" s="106" t="str">
        <f>SUMIFS(Ere!C:C,Ere!B:B,A1188)</f>
        <v>0</v>
      </c>
      <c r="N1188" s="106" t="str">
        <f t="shared" si="7"/>
        <v>1</v>
      </c>
      <c r="O1188" s="107" t="str">
        <f t="array" ref="O1188">XLOOKUP(A1188,Data!F:F,Data!O:O)</f>
        <v>  0.31 </v>
      </c>
      <c r="P1188" s="107" t="str">
        <f t="shared" si="8"/>
        <v>  0.76 </v>
      </c>
      <c r="Q1188" s="27"/>
    </row>
    <row r="1189" ht="15.75" customHeight="1">
      <c r="A1189" s="105" t="s">
        <v>1433</v>
      </c>
      <c r="B1189" s="19" t="str">
        <f t="array" ref="B1189">XLOOKUP(A1189,Data!F:F,Data!G:G)</f>
        <v>J1C</v>
      </c>
      <c r="C1189" s="19" t="str">
        <f t="shared" si="3"/>
        <v>J091</v>
      </c>
      <c r="D1189" s="19" t="str">
        <f t="array" ref="D1189">XLOOKUP(A1189,Data!F:F,Data!C:C)</f>
        <v>EXT</v>
      </c>
      <c r="E1189" s="19" t="str">
        <f t="array" ref="E1189">XLOOKUP(A1189,Data!F:F,Data!H:H)</f>
        <v>BW</v>
      </c>
      <c r="F1189" s="106" t="str">
        <f>SUMIFS(Data!J:J,Data!F:F,A1189)</f>
        <v>1</v>
      </c>
      <c r="G1189" s="106" t="str">
        <f>SUMIFS(Cast!C:C,CastElements,A1189)</f>
        <v>1</v>
      </c>
      <c r="H1189" s="106" t="str">
        <f t="shared" si="4"/>
        <v>0</v>
      </c>
      <c r="I1189" s="106" t="str">
        <f>SUMIFS(Del!C:C,Del!B:B,A1189)</f>
        <v>0</v>
      </c>
      <c r="J1189" s="106" t="str">
        <f t="shared" si="5"/>
        <v>1</v>
      </c>
      <c r="K1189" s="106" t="str">
        <f t="shared" si="6"/>
        <v>1</v>
      </c>
      <c r="L1189" s="106"/>
      <c r="M1189" s="106" t="str">
        <f>SUMIFS(Ere!C:C,Ere!B:B,A1189)</f>
        <v>0</v>
      </c>
      <c r="N1189" s="106" t="str">
        <f t="shared" si="7"/>
        <v>1</v>
      </c>
      <c r="O1189" s="107" t="str">
        <f t="array" ref="O1189">XLOOKUP(A1189,Data!F:F,Data!O:O)</f>
        <v>  0.79 </v>
      </c>
      <c r="P1189" s="107" t="str">
        <f t="shared" si="8"/>
        <v>  1.98 </v>
      </c>
      <c r="Q1189" s="27"/>
    </row>
    <row r="1190" ht="15.75" customHeight="1">
      <c r="A1190" s="105" t="s">
        <v>1434</v>
      </c>
      <c r="B1190" s="19" t="str">
        <f t="array" ref="B1190">XLOOKUP(A1190,Data!F:F,Data!G:G)</f>
        <v>J1C</v>
      </c>
      <c r="C1190" s="19" t="str">
        <f t="shared" si="3"/>
        <v>J091</v>
      </c>
      <c r="D1190" s="19" t="str">
        <f t="array" ref="D1190">XLOOKUP(A1190,Data!F:F,Data!C:C)</f>
        <v/>
      </c>
      <c r="E1190" s="19" t="str">
        <f t="array" ref="E1190">XLOOKUP(A1190,Data!F:F,Data!H:H)</f>
        <v>BW</v>
      </c>
      <c r="F1190" s="106" t="str">
        <f>SUMIFS(Data!J:J,Data!F:F,A1190)</f>
        <v>1</v>
      </c>
      <c r="G1190" s="106" t="str">
        <f>SUMIFS(Cast!C:C,CastElements,A1190)</f>
        <v>1</v>
      </c>
      <c r="H1190" s="106" t="str">
        <f t="shared" si="4"/>
        <v>0</v>
      </c>
      <c r="I1190" s="106" t="str">
        <f>SUMIFS(Del!C:C,Del!B:B,A1190)</f>
        <v>0</v>
      </c>
      <c r="J1190" s="106" t="str">
        <f t="shared" si="5"/>
        <v>1</v>
      </c>
      <c r="K1190" s="106" t="str">
        <f t="shared" si="6"/>
        <v>1</v>
      </c>
      <c r="L1190" s="106"/>
      <c r="M1190" s="106" t="str">
        <f>SUMIFS(Ere!C:C,Ere!B:B,A1190)</f>
        <v>0</v>
      </c>
      <c r="N1190" s="106" t="str">
        <f t="shared" si="7"/>
        <v>1</v>
      </c>
      <c r="O1190" s="107" t="str">
        <f t="array" ref="O1190">XLOOKUP(A1190,Data!F:F,Data!O:O)</f>
        <v>  1.97 </v>
      </c>
      <c r="P1190" s="107" t="str">
        <f t="shared" si="8"/>
        <v>  4.92 </v>
      </c>
      <c r="Q1190" s="27"/>
    </row>
    <row r="1191" ht="15.75" customHeight="1">
      <c r="A1191" s="105" t="s">
        <v>1435</v>
      </c>
      <c r="B1191" s="19" t="str">
        <f t="array" ref="B1191">XLOOKUP(A1191,Data!F:F,Data!G:G)</f>
        <v>J1C</v>
      </c>
      <c r="C1191" s="19" t="str">
        <f t="shared" si="3"/>
        <v>J091</v>
      </c>
      <c r="D1191" s="19" t="str">
        <f t="array" ref="D1191">XLOOKUP(A1191,Data!F:F,Data!C:C)</f>
        <v/>
      </c>
      <c r="E1191" s="19" t="str">
        <f t="array" ref="E1191">XLOOKUP(A1191,Data!F:F,Data!H:H)</f>
        <v>BW</v>
      </c>
      <c r="F1191" s="106" t="str">
        <f>SUMIFS(Data!J:J,Data!F:F,A1191)</f>
        <v>1</v>
      </c>
      <c r="G1191" s="106" t="str">
        <f>SUMIFS(Cast!C:C,CastElements,A1191)</f>
        <v>1</v>
      </c>
      <c r="H1191" s="106" t="str">
        <f t="shared" si="4"/>
        <v>0</v>
      </c>
      <c r="I1191" s="106" t="str">
        <f>SUMIFS(Del!C:C,Del!B:B,A1191)</f>
        <v>0</v>
      </c>
      <c r="J1191" s="106" t="str">
        <f t="shared" si="5"/>
        <v>1</v>
      </c>
      <c r="K1191" s="106" t="str">
        <f t="shared" si="6"/>
        <v>1</v>
      </c>
      <c r="L1191" s="106"/>
      <c r="M1191" s="106" t="str">
        <f>SUMIFS(Ere!C:C,Ere!B:B,A1191)</f>
        <v>0</v>
      </c>
      <c r="N1191" s="106" t="str">
        <f t="shared" si="7"/>
        <v>1</v>
      </c>
      <c r="O1191" s="107" t="str">
        <f t="array" ref="O1191">XLOOKUP(A1191,Data!F:F,Data!O:O)</f>
        <v>  1.97 </v>
      </c>
      <c r="P1191" s="107" t="str">
        <f t="shared" si="8"/>
        <v>  4.92 </v>
      </c>
      <c r="Q1191" s="27"/>
    </row>
    <row r="1192" ht="15.75" customHeight="1">
      <c r="A1192" s="105" t="s">
        <v>1436</v>
      </c>
      <c r="B1192" s="19" t="str">
        <f t="array" ref="B1192">XLOOKUP(A1192,Data!F:F,Data!G:G)</f>
        <v>J1C</v>
      </c>
      <c r="C1192" s="19" t="str">
        <f t="shared" si="3"/>
        <v>J091</v>
      </c>
      <c r="D1192" s="19" t="str">
        <f t="array" ref="D1192">XLOOKUP(A1192,Data!F:F,Data!C:C)</f>
        <v/>
      </c>
      <c r="E1192" s="19" t="str">
        <f t="array" ref="E1192">XLOOKUP(A1192,Data!F:F,Data!H:H)</f>
        <v>BW</v>
      </c>
      <c r="F1192" s="106" t="str">
        <f>SUMIFS(Data!J:J,Data!F:F,A1192)</f>
        <v>1</v>
      </c>
      <c r="G1192" s="106" t="str">
        <f>SUMIFS(Cast!C:C,CastElements,A1192)</f>
        <v>1</v>
      </c>
      <c r="H1192" s="106" t="str">
        <f t="shared" si="4"/>
        <v>0</v>
      </c>
      <c r="I1192" s="106" t="str">
        <f>SUMIFS(Del!C:C,Del!B:B,A1192)</f>
        <v>0</v>
      </c>
      <c r="J1192" s="106" t="str">
        <f t="shared" si="5"/>
        <v>1</v>
      </c>
      <c r="K1192" s="106" t="str">
        <f t="shared" si="6"/>
        <v>1</v>
      </c>
      <c r="L1192" s="106"/>
      <c r="M1192" s="106" t="str">
        <f>SUMIFS(Ere!C:C,Ere!B:B,A1192)</f>
        <v>0</v>
      </c>
      <c r="N1192" s="106" t="str">
        <f t="shared" si="7"/>
        <v>1</v>
      </c>
      <c r="O1192" s="107" t="str">
        <f t="array" ref="O1192">XLOOKUP(A1192,Data!F:F,Data!O:O)</f>
        <v>  1.97 </v>
      </c>
      <c r="P1192" s="107" t="str">
        <f t="shared" si="8"/>
        <v>  4.92 </v>
      </c>
      <c r="Q1192" s="27"/>
    </row>
    <row r="1193" ht="15.75" customHeight="1">
      <c r="A1193" s="105" t="s">
        <v>1437</v>
      </c>
      <c r="B1193" s="19" t="str">
        <f t="array" ref="B1193">XLOOKUP(A1193,Data!F:F,Data!G:G)</f>
        <v>J1C</v>
      </c>
      <c r="C1193" s="19" t="str">
        <f t="shared" si="3"/>
        <v>J091</v>
      </c>
      <c r="D1193" s="19" t="str">
        <f t="array" ref="D1193">XLOOKUP(A1193,Data!F:F,Data!C:C)</f>
        <v>EXT</v>
      </c>
      <c r="E1193" s="19" t="str">
        <f t="array" ref="E1193">XLOOKUP(A1193,Data!F:F,Data!H:H)</f>
        <v>BW</v>
      </c>
      <c r="F1193" s="106" t="str">
        <f>SUMIFS(Data!J:J,Data!F:F,A1193)</f>
        <v>1</v>
      </c>
      <c r="G1193" s="106" t="str">
        <f>SUMIFS(Cast!C:C,CastElements,A1193)</f>
        <v>1</v>
      </c>
      <c r="H1193" s="106" t="str">
        <f t="shared" si="4"/>
        <v>0</v>
      </c>
      <c r="I1193" s="106" t="str">
        <f>SUMIFS(Del!C:C,Del!B:B,A1193)</f>
        <v>0</v>
      </c>
      <c r="J1193" s="106" t="str">
        <f t="shared" si="5"/>
        <v>1</v>
      </c>
      <c r="K1193" s="106" t="str">
        <f t="shared" si="6"/>
        <v>1</v>
      </c>
      <c r="L1193" s="106"/>
      <c r="M1193" s="106" t="str">
        <f>SUMIFS(Ere!C:C,Ere!B:B,A1193)</f>
        <v>0</v>
      </c>
      <c r="N1193" s="106" t="str">
        <f t="shared" si="7"/>
        <v>1</v>
      </c>
      <c r="O1193" s="107" t="str">
        <f t="array" ref="O1193">XLOOKUP(A1193,Data!F:F,Data!O:O)</f>
        <v>  0.88 </v>
      </c>
      <c r="P1193" s="107" t="str">
        <f t="shared" si="8"/>
        <v>  2.20 </v>
      </c>
      <c r="Q1193" s="27"/>
    </row>
    <row r="1194" ht="15.75" customHeight="1">
      <c r="A1194" s="105" t="s">
        <v>1438</v>
      </c>
      <c r="B1194" s="19" t="str">
        <f t="array" ref="B1194">XLOOKUP(A1194,Data!F:F,Data!G:G)</f>
        <v>J1C</v>
      </c>
      <c r="C1194" s="19" t="str">
        <f t="shared" si="3"/>
        <v>J091</v>
      </c>
      <c r="D1194" s="19" t="str">
        <f t="array" ref="D1194">XLOOKUP(A1194,Data!F:F,Data!C:C)</f>
        <v>EXT</v>
      </c>
      <c r="E1194" s="19" t="str">
        <f t="array" ref="E1194">XLOOKUP(A1194,Data!F:F,Data!H:H)</f>
        <v>BW</v>
      </c>
      <c r="F1194" s="106" t="str">
        <f>SUMIFS(Data!J:J,Data!F:F,A1194)</f>
        <v>1</v>
      </c>
      <c r="G1194" s="106" t="str">
        <f>SUMIFS(Cast!C:C,CastElements,A1194)</f>
        <v>1</v>
      </c>
      <c r="H1194" s="106" t="str">
        <f t="shared" si="4"/>
        <v>0</v>
      </c>
      <c r="I1194" s="106" t="str">
        <f>SUMIFS(Del!C:C,Del!B:B,A1194)</f>
        <v>0</v>
      </c>
      <c r="J1194" s="106" t="str">
        <f t="shared" si="5"/>
        <v>1</v>
      </c>
      <c r="K1194" s="106" t="str">
        <f t="shared" si="6"/>
        <v>1</v>
      </c>
      <c r="L1194" s="106"/>
      <c r="M1194" s="106" t="str">
        <f>SUMIFS(Ere!C:C,Ere!B:B,A1194)</f>
        <v>0</v>
      </c>
      <c r="N1194" s="106" t="str">
        <f t="shared" si="7"/>
        <v>1</v>
      </c>
      <c r="O1194" s="107" t="str">
        <f t="array" ref="O1194">XLOOKUP(A1194,Data!F:F,Data!O:O)</f>
        <v>  0.88 </v>
      </c>
      <c r="P1194" s="107" t="str">
        <f t="shared" si="8"/>
        <v>  2.20 </v>
      </c>
      <c r="Q1194" s="27"/>
    </row>
    <row r="1195" ht="15.75" customHeight="1">
      <c r="A1195" s="105" t="s">
        <v>1439</v>
      </c>
      <c r="B1195" s="19" t="str">
        <f t="array" ref="B1195">XLOOKUP(A1195,Data!F:F,Data!G:G)</f>
        <v>J1C</v>
      </c>
      <c r="C1195" s="19" t="str">
        <f t="shared" si="3"/>
        <v>J091</v>
      </c>
      <c r="D1195" s="19" t="str">
        <f t="array" ref="D1195">XLOOKUP(A1195,Data!F:F,Data!C:C)</f>
        <v>EXT</v>
      </c>
      <c r="E1195" s="19" t="str">
        <f t="array" ref="E1195">XLOOKUP(A1195,Data!F:F,Data!H:H)</f>
        <v>BW</v>
      </c>
      <c r="F1195" s="106" t="str">
        <f>SUMIFS(Data!J:J,Data!F:F,A1195)</f>
        <v>1</v>
      </c>
      <c r="G1195" s="106" t="str">
        <f>SUMIFS(Cast!C:C,CastElements,A1195)</f>
        <v>1</v>
      </c>
      <c r="H1195" s="106" t="str">
        <f t="shared" si="4"/>
        <v>0</v>
      </c>
      <c r="I1195" s="106" t="str">
        <f>SUMIFS(Del!C:C,Del!B:B,A1195)</f>
        <v>0</v>
      </c>
      <c r="J1195" s="106" t="str">
        <f t="shared" si="5"/>
        <v>1</v>
      </c>
      <c r="K1195" s="106" t="str">
        <f t="shared" si="6"/>
        <v>1</v>
      </c>
      <c r="L1195" s="106"/>
      <c r="M1195" s="106" t="str">
        <f>SUMIFS(Ere!C:C,Ere!B:B,A1195)</f>
        <v>0</v>
      </c>
      <c r="N1195" s="106" t="str">
        <f t="shared" si="7"/>
        <v>1</v>
      </c>
      <c r="O1195" s="107" t="str">
        <f t="array" ref="O1195">XLOOKUP(A1195,Data!F:F,Data!O:O)</f>
        <v>  0.88 </v>
      </c>
      <c r="P1195" s="107" t="str">
        <f t="shared" si="8"/>
        <v>  2.20 </v>
      </c>
      <c r="Q1195" s="27"/>
    </row>
    <row r="1196" ht="15.75" customHeight="1">
      <c r="A1196" s="105" t="s">
        <v>1440</v>
      </c>
      <c r="B1196" s="19" t="str">
        <f t="array" ref="B1196">XLOOKUP(A1196,Data!F:F,Data!G:G)</f>
        <v>J1C</v>
      </c>
      <c r="C1196" s="19" t="str">
        <f t="shared" si="3"/>
        <v>J091</v>
      </c>
      <c r="D1196" s="19" t="str">
        <f t="array" ref="D1196">XLOOKUP(A1196,Data!F:F,Data!C:C)</f>
        <v/>
      </c>
      <c r="E1196" s="19" t="str">
        <f t="array" ref="E1196">XLOOKUP(A1196,Data!F:F,Data!H:H)</f>
        <v>BW</v>
      </c>
      <c r="F1196" s="106" t="str">
        <f>SUMIFS(Data!J:J,Data!F:F,A1196)</f>
        <v>1</v>
      </c>
      <c r="G1196" s="106" t="str">
        <f>SUMIFS(Cast!C:C,CastElements,A1196)</f>
        <v>1</v>
      </c>
      <c r="H1196" s="106" t="str">
        <f t="shared" si="4"/>
        <v>0</v>
      </c>
      <c r="I1196" s="106" t="str">
        <f>SUMIFS(Del!C:C,Del!B:B,A1196)</f>
        <v>0</v>
      </c>
      <c r="J1196" s="106" t="str">
        <f t="shared" si="5"/>
        <v>1</v>
      </c>
      <c r="K1196" s="106" t="str">
        <f t="shared" si="6"/>
        <v>1</v>
      </c>
      <c r="L1196" s="106"/>
      <c r="M1196" s="106" t="str">
        <f>SUMIFS(Ere!C:C,Ere!B:B,A1196)</f>
        <v>0</v>
      </c>
      <c r="N1196" s="106" t="str">
        <f t="shared" si="7"/>
        <v>1</v>
      </c>
      <c r="O1196" s="107" t="str">
        <f t="array" ref="O1196">XLOOKUP(A1196,Data!F:F,Data!O:O)</f>
        <v>  1.26 </v>
      </c>
      <c r="P1196" s="107" t="str">
        <f t="shared" si="8"/>
        <v>  3.16 </v>
      </c>
      <c r="Q1196" s="27"/>
    </row>
    <row r="1197" ht="15.75" customHeight="1">
      <c r="A1197" s="105" t="s">
        <v>1441</v>
      </c>
      <c r="B1197" s="19" t="str">
        <f t="array" ref="B1197">XLOOKUP(A1197,Data!F:F,Data!G:G)</f>
        <v>J1C</v>
      </c>
      <c r="C1197" s="19" t="str">
        <f t="shared" si="3"/>
        <v>J091</v>
      </c>
      <c r="D1197" s="19" t="str">
        <f t="array" ref="D1197">XLOOKUP(A1197,Data!F:F,Data!C:C)</f>
        <v/>
      </c>
      <c r="E1197" s="19" t="str">
        <f t="array" ref="E1197">XLOOKUP(A1197,Data!F:F,Data!H:H)</f>
        <v>BW</v>
      </c>
      <c r="F1197" s="106" t="str">
        <f>SUMIFS(Data!J:J,Data!F:F,A1197)</f>
        <v>1</v>
      </c>
      <c r="G1197" s="106" t="str">
        <f>SUMIFS(Cast!C:C,CastElements,A1197)</f>
        <v>1</v>
      </c>
      <c r="H1197" s="106" t="str">
        <f t="shared" si="4"/>
        <v>0</v>
      </c>
      <c r="I1197" s="106" t="str">
        <f>SUMIFS(Del!C:C,Del!B:B,A1197)</f>
        <v>0</v>
      </c>
      <c r="J1197" s="106" t="str">
        <f t="shared" si="5"/>
        <v>1</v>
      </c>
      <c r="K1197" s="106" t="str">
        <f t="shared" si="6"/>
        <v>1</v>
      </c>
      <c r="L1197" s="106"/>
      <c r="M1197" s="106" t="str">
        <f>SUMIFS(Ere!C:C,Ere!B:B,A1197)</f>
        <v>0</v>
      </c>
      <c r="N1197" s="106" t="str">
        <f t="shared" si="7"/>
        <v>1</v>
      </c>
      <c r="O1197" s="107" t="str">
        <f t="array" ref="O1197">XLOOKUP(A1197,Data!F:F,Data!O:O)</f>
        <v>  1.08 </v>
      </c>
      <c r="P1197" s="107" t="str">
        <f t="shared" si="8"/>
        <v>  2.71 </v>
      </c>
      <c r="Q1197" s="27"/>
    </row>
    <row r="1198" ht="15.75" customHeight="1">
      <c r="A1198" s="105" t="s">
        <v>1442</v>
      </c>
      <c r="B1198" s="19" t="str">
        <f t="array" ref="B1198">XLOOKUP(A1198,Data!F:F,Data!G:G)</f>
        <v>J1C</v>
      </c>
      <c r="C1198" s="19" t="str">
        <f t="shared" si="3"/>
        <v>J091</v>
      </c>
      <c r="D1198" s="19" t="str">
        <f t="array" ref="D1198">XLOOKUP(A1198,Data!F:F,Data!C:C)</f>
        <v/>
      </c>
      <c r="E1198" s="19" t="str">
        <f t="array" ref="E1198">XLOOKUP(A1198,Data!F:F,Data!H:H)</f>
        <v>BW</v>
      </c>
      <c r="F1198" s="106" t="str">
        <f>SUMIFS(Data!J:J,Data!F:F,A1198)</f>
        <v>1</v>
      </c>
      <c r="G1198" s="106" t="str">
        <f>SUMIFS(Cast!C:C,CastElements,A1198)</f>
        <v>1</v>
      </c>
      <c r="H1198" s="106" t="str">
        <f t="shared" si="4"/>
        <v>0</v>
      </c>
      <c r="I1198" s="106" t="str">
        <f>SUMIFS(Del!C:C,Del!B:B,A1198)</f>
        <v>0</v>
      </c>
      <c r="J1198" s="106" t="str">
        <f t="shared" si="5"/>
        <v>1</v>
      </c>
      <c r="K1198" s="106" t="str">
        <f t="shared" si="6"/>
        <v>1</v>
      </c>
      <c r="L1198" s="106"/>
      <c r="M1198" s="106" t="str">
        <f>SUMIFS(Ere!C:C,Ere!B:B,A1198)</f>
        <v>0</v>
      </c>
      <c r="N1198" s="106" t="str">
        <f t="shared" si="7"/>
        <v>1</v>
      </c>
      <c r="O1198" s="107" t="str">
        <f t="array" ref="O1198">XLOOKUP(A1198,Data!F:F,Data!O:O)</f>
        <v>  1.20 </v>
      </c>
      <c r="P1198" s="107" t="str">
        <f t="shared" si="8"/>
        <v>  3.01 </v>
      </c>
      <c r="Q1198" s="27"/>
    </row>
    <row r="1199" ht="15.75" customHeight="1">
      <c r="A1199" s="105" t="s">
        <v>1443</v>
      </c>
      <c r="B1199" s="19" t="str">
        <f t="array" ref="B1199">XLOOKUP(A1199,Data!F:F,Data!G:G)</f>
        <v>J1C</v>
      </c>
      <c r="C1199" s="19" t="str">
        <f t="shared" si="3"/>
        <v>J091</v>
      </c>
      <c r="D1199" s="19" t="str">
        <f t="array" ref="D1199">XLOOKUP(A1199,Data!F:F,Data!C:C)</f>
        <v/>
      </c>
      <c r="E1199" s="19" t="str">
        <f t="array" ref="E1199">XLOOKUP(A1199,Data!F:F,Data!H:H)</f>
        <v>BW</v>
      </c>
      <c r="F1199" s="106" t="str">
        <f>SUMIFS(Data!J:J,Data!F:F,A1199)</f>
        <v>1</v>
      </c>
      <c r="G1199" s="106" t="str">
        <f>SUMIFS(Cast!C:C,CastElements,A1199)</f>
        <v>1</v>
      </c>
      <c r="H1199" s="106" t="str">
        <f t="shared" si="4"/>
        <v>0</v>
      </c>
      <c r="I1199" s="106" t="str">
        <f>SUMIFS(Del!C:C,Del!B:B,A1199)</f>
        <v>0</v>
      </c>
      <c r="J1199" s="106" t="str">
        <f t="shared" si="5"/>
        <v>1</v>
      </c>
      <c r="K1199" s="106" t="str">
        <f t="shared" si="6"/>
        <v>1</v>
      </c>
      <c r="L1199" s="106"/>
      <c r="M1199" s="106" t="str">
        <f>SUMIFS(Ere!C:C,Ere!B:B,A1199)</f>
        <v>0</v>
      </c>
      <c r="N1199" s="106" t="str">
        <f t="shared" si="7"/>
        <v>1</v>
      </c>
      <c r="O1199" s="107" t="str">
        <f t="array" ref="O1199">XLOOKUP(A1199,Data!F:F,Data!O:O)</f>
        <v>  1.24 </v>
      </c>
      <c r="P1199" s="107" t="str">
        <f t="shared" si="8"/>
        <v>  3.11 </v>
      </c>
      <c r="Q1199" s="27"/>
    </row>
    <row r="1200" ht="15.75" customHeight="1">
      <c r="A1200" s="105" t="s">
        <v>1444</v>
      </c>
      <c r="B1200" s="19" t="str">
        <f t="array" ref="B1200">XLOOKUP(A1200,Data!F:F,Data!G:G)</f>
        <v>J1C</v>
      </c>
      <c r="C1200" s="19" t="str">
        <f t="shared" si="3"/>
        <v>J091</v>
      </c>
      <c r="D1200" s="19" t="str">
        <f t="array" ref="D1200">XLOOKUP(A1200,Data!F:F,Data!C:C)</f>
        <v/>
      </c>
      <c r="E1200" s="19" t="str">
        <f t="array" ref="E1200">XLOOKUP(A1200,Data!F:F,Data!H:H)</f>
        <v>BW</v>
      </c>
      <c r="F1200" s="106" t="str">
        <f>SUMIFS(Data!J:J,Data!F:F,A1200)</f>
        <v>1</v>
      </c>
      <c r="G1200" s="106" t="str">
        <f>SUMIFS(Cast!C:C,CastElements,A1200)</f>
        <v>1</v>
      </c>
      <c r="H1200" s="106" t="str">
        <f t="shared" si="4"/>
        <v>0</v>
      </c>
      <c r="I1200" s="106" t="str">
        <f>SUMIFS(Del!C:C,Del!B:B,A1200)</f>
        <v>0</v>
      </c>
      <c r="J1200" s="106" t="str">
        <f t="shared" si="5"/>
        <v>1</v>
      </c>
      <c r="K1200" s="106" t="str">
        <f t="shared" si="6"/>
        <v>1</v>
      </c>
      <c r="L1200" s="106"/>
      <c r="M1200" s="106" t="str">
        <f>SUMIFS(Ere!C:C,Ere!B:B,A1200)</f>
        <v>0</v>
      </c>
      <c r="N1200" s="106" t="str">
        <f t="shared" si="7"/>
        <v>1</v>
      </c>
      <c r="O1200" s="107" t="str">
        <f t="array" ref="O1200">XLOOKUP(A1200,Data!F:F,Data!O:O)</f>
        <v>  1.28 </v>
      </c>
      <c r="P1200" s="107" t="str">
        <f t="shared" si="8"/>
        <v>  3.21 </v>
      </c>
      <c r="Q1200" s="27"/>
    </row>
    <row r="1201" ht="15.75" customHeight="1">
      <c r="A1201" s="105" t="s">
        <v>1445</v>
      </c>
      <c r="B1201" s="19" t="str">
        <f t="array" ref="B1201">XLOOKUP(A1201,Data!F:F,Data!G:G)</f>
        <v>J1C</v>
      </c>
      <c r="C1201" s="19" t="str">
        <f t="shared" si="3"/>
        <v>J091</v>
      </c>
      <c r="D1201" s="19" t="str">
        <f t="array" ref="D1201">XLOOKUP(A1201,Data!F:F,Data!C:C)</f>
        <v/>
      </c>
      <c r="E1201" s="19" t="str">
        <f t="array" ref="E1201">XLOOKUP(A1201,Data!F:F,Data!H:H)</f>
        <v>BW</v>
      </c>
      <c r="F1201" s="106" t="str">
        <f>SUMIFS(Data!J:J,Data!F:F,A1201)</f>
        <v>1</v>
      </c>
      <c r="G1201" s="106" t="str">
        <f>SUMIFS(Cast!C:C,CastElements,A1201)</f>
        <v>1</v>
      </c>
      <c r="H1201" s="106" t="str">
        <f t="shared" si="4"/>
        <v>0</v>
      </c>
      <c r="I1201" s="106" t="str">
        <f>SUMIFS(Del!C:C,Del!B:B,A1201)</f>
        <v>0</v>
      </c>
      <c r="J1201" s="106" t="str">
        <f t="shared" si="5"/>
        <v>1</v>
      </c>
      <c r="K1201" s="106" t="str">
        <f t="shared" si="6"/>
        <v>1</v>
      </c>
      <c r="L1201" s="106"/>
      <c r="M1201" s="106" t="str">
        <f>SUMIFS(Ere!C:C,Ere!B:B,A1201)</f>
        <v>0</v>
      </c>
      <c r="N1201" s="106" t="str">
        <f t="shared" si="7"/>
        <v>1</v>
      </c>
      <c r="O1201" s="107" t="str">
        <f t="array" ref="O1201">XLOOKUP(A1201,Data!F:F,Data!O:O)</f>
        <v>  1.82 </v>
      </c>
      <c r="P1201" s="107" t="str">
        <f t="shared" si="8"/>
        <v>  4.54 </v>
      </c>
      <c r="Q1201" s="27"/>
    </row>
    <row r="1202" ht="15.75" customHeight="1">
      <c r="A1202" s="105" t="s">
        <v>1446</v>
      </c>
      <c r="B1202" s="19" t="str">
        <f t="array" ref="B1202">XLOOKUP(A1202,Data!F:F,Data!G:G)</f>
        <v>J1C</v>
      </c>
      <c r="C1202" s="19" t="str">
        <f t="shared" si="3"/>
        <v>J091</v>
      </c>
      <c r="D1202" s="19" t="str">
        <f t="array" ref="D1202">XLOOKUP(A1202,Data!F:F,Data!C:C)</f>
        <v/>
      </c>
      <c r="E1202" s="19" t="str">
        <f t="array" ref="E1202">XLOOKUP(A1202,Data!F:F,Data!H:H)</f>
        <v>BW</v>
      </c>
      <c r="F1202" s="106" t="str">
        <f>SUMIFS(Data!J:J,Data!F:F,A1202)</f>
        <v>1</v>
      </c>
      <c r="G1202" s="106" t="str">
        <f>SUMIFS(Cast!C:C,CastElements,A1202)</f>
        <v>1</v>
      </c>
      <c r="H1202" s="106" t="str">
        <f t="shared" si="4"/>
        <v>0</v>
      </c>
      <c r="I1202" s="106" t="str">
        <f>SUMIFS(Del!C:C,Del!B:B,A1202)</f>
        <v>0</v>
      </c>
      <c r="J1202" s="106" t="str">
        <f t="shared" si="5"/>
        <v>1</v>
      </c>
      <c r="K1202" s="106" t="str">
        <f t="shared" si="6"/>
        <v>1</v>
      </c>
      <c r="L1202" s="106"/>
      <c r="M1202" s="106" t="str">
        <f>SUMIFS(Ere!C:C,Ere!B:B,A1202)</f>
        <v>0</v>
      </c>
      <c r="N1202" s="106" t="str">
        <f t="shared" si="7"/>
        <v>1</v>
      </c>
      <c r="O1202" s="107" t="str">
        <f t="array" ref="O1202">XLOOKUP(A1202,Data!F:F,Data!O:O)</f>
        <v>  2.07 </v>
      </c>
      <c r="P1202" s="107" t="str">
        <f t="shared" si="8"/>
        <v>  5.16 </v>
      </c>
      <c r="Q1202" s="27"/>
    </row>
    <row r="1203" ht="15.75" customHeight="1">
      <c r="A1203" s="105" t="s">
        <v>1447</v>
      </c>
      <c r="B1203" s="19" t="str">
        <f t="array" ref="B1203">XLOOKUP(A1203,Data!F:F,Data!G:G)</f>
        <v>J1C</v>
      </c>
      <c r="C1203" s="19" t="str">
        <f t="shared" si="3"/>
        <v>J091</v>
      </c>
      <c r="D1203" s="19" t="str">
        <f t="array" ref="D1203">XLOOKUP(A1203,Data!F:F,Data!C:C)</f>
        <v/>
      </c>
      <c r="E1203" s="19" t="str">
        <f t="array" ref="E1203">XLOOKUP(A1203,Data!F:F,Data!H:H)</f>
        <v>BW</v>
      </c>
      <c r="F1203" s="106" t="str">
        <f>SUMIFS(Data!J:J,Data!F:F,A1203)</f>
        <v>1</v>
      </c>
      <c r="G1203" s="106" t="str">
        <f>SUMIFS(Cast!C:C,CastElements,A1203)</f>
        <v>1</v>
      </c>
      <c r="H1203" s="106" t="str">
        <f t="shared" si="4"/>
        <v>0</v>
      </c>
      <c r="I1203" s="106" t="str">
        <f>SUMIFS(Del!C:C,Del!B:B,A1203)</f>
        <v>0</v>
      </c>
      <c r="J1203" s="106" t="str">
        <f t="shared" si="5"/>
        <v>1</v>
      </c>
      <c r="K1203" s="106" t="str">
        <f t="shared" si="6"/>
        <v>1</v>
      </c>
      <c r="L1203" s="106"/>
      <c r="M1203" s="106" t="str">
        <f>SUMIFS(Ere!C:C,Ere!B:B,A1203)</f>
        <v>0</v>
      </c>
      <c r="N1203" s="106" t="str">
        <f t="shared" si="7"/>
        <v>1</v>
      </c>
      <c r="O1203" s="107" t="str">
        <f t="array" ref="O1203">XLOOKUP(A1203,Data!F:F,Data!O:O)</f>
        <v>  1.63 </v>
      </c>
      <c r="P1203" s="107" t="str">
        <f t="shared" si="8"/>
        <v>  4.07 </v>
      </c>
      <c r="Q1203" s="27"/>
    </row>
    <row r="1204" ht="15.75" customHeight="1">
      <c r="A1204" s="105" t="s">
        <v>1448</v>
      </c>
      <c r="B1204" s="19" t="str">
        <f t="array" ref="B1204">XLOOKUP(A1204,Data!F:F,Data!G:G)</f>
        <v>J1C</v>
      </c>
      <c r="C1204" s="19" t="str">
        <f t="shared" si="3"/>
        <v>J091</v>
      </c>
      <c r="D1204" s="19" t="str">
        <f t="array" ref="D1204">XLOOKUP(A1204,Data!F:F,Data!C:C)</f>
        <v/>
      </c>
      <c r="E1204" s="19" t="str">
        <f t="array" ref="E1204">XLOOKUP(A1204,Data!F:F,Data!H:H)</f>
        <v>BW</v>
      </c>
      <c r="F1204" s="106" t="str">
        <f>SUMIFS(Data!J:J,Data!F:F,A1204)</f>
        <v>1</v>
      </c>
      <c r="G1204" s="106" t="str">
        <f>SUMIFS(Cast!C:C,CastElements,A1204)</f>
        <v>1</v>
      </c>
      <c r="H1204" s="106" t="str">
        <f t="shared" si="4"/>
        <v>0</v>
      </c>
      <c r="I1204" s="106" t="str">
        <f>SUMIFS(Del!C:C,Del!B:B,A1204)</f>
        <v>0</v>
      </c>
      <c r="J1204" s="106" t="str">
        <f t="shared" si="5"/>
        <v>1</v>
      </c>
      <c r="K1204" s="106" t="str">
        <f t="shared" si="6"/>
        <v>1</v>
      </c>
      <c r="L1204" s="106"/>
      <c r="M1204" s="106" t="str">
        <f>SUMIFS(Ere!C:C,Ere!B:B,A1204)</f>
        <v>0</v>
      </c>
      <c r="N1204" s="106" t="str">
        <f t="shared" si="7"/>
        <v>1</v>
      </c>
      <c r="O1204" s="107" t="str">
        <f t="array" ref="O1204">XLOOKUP(A1204,Data!F:F,Data!O:O)</f>
        <v>  0.35 </v>
      </c>
      <c r="P1204" s="107" t="str">
        <f t="shared" si="8"/>
        <v>  0.86 </v>
      </c>
      <c r="Q1204" s="27"/>
    </row>
    <row r="1205" ht="15.75" customHeight="1">
      <c r="A1205" s="105" t="s">
        <v>1449</v>
      </c>
      <c r="B1205" s="19" t="str">
        <f t="array" ref="B1205">XLOOKUP(A1205,Data!F:F,Data!G:G)</f>
        <v>J1C</v>
      </c>
      <c r="C1205" s="19" t="str">
        <f t="shared" si="3"/>
        <v>J091</v>
      </c>
      <c r="D1205" s="19" t="str">
        <f t="array" ref="D1205">XLOOKUP(A1205,Data!F:F,Data!C:C)</f>
        <v/>
      </c>
      <c r="E1205" s="19" t="str">
        <f t="array" ref="E1205">XLOOKUP(A1205,Data!F:F,Data!H:H)</f>
        <v>CF</v>
      </c>
      <c r="F1205" s="106" t="str">
        <f>SUMIFS(Data!J:J,Data!F:F,A1205)</f>
        <v>1</v>
      </c>
      <c r="G1205" s="106" t="str">
        <f>SUMIFS(Cast!C:C,CastElements,A1205)</f>
        <v>1</v>
      </c>
      <c r="H1205" s="106" t="str">
        <f t="shared" si="4"/>
        <v>0</v>
      </c>
      <c r="I1205" s="106" t="str">
        <f>SUMIFS(Del!C:C,Del!B:B,A1205)</f>
        <v>0</v>
      </c>
      <c r="J1205" s="106" t="str">
        <f t="shared" si="5"/>
        <v>1</v>
      </c>
      <c r="K1205" s="106" t="str">
        <f t="shared" si="6"/>
        <v>1</v>
      </c>
      <c r="L1205" s="106"/>
      <c r="M1205" s="106" t="str">
        <f>SUMIFS(Ere!C:C,Ere!B:B,A1205)</f>
        <v>0</v>
      </c>
      <c r="N1205" s="106" t="str">
        <f t="shared" si="7"/>
        <v>1</v>
      </c>
      <c r="O1205" s="107" t="str">
        <f t="array" ref="O1205">XLOOKUP(A1205,Data!F:F,Data!O:O)</f>
        <v>  0.46 </v>
      </c>
      <c r="P1205" s="107" t="str">
        <f t="shared" si="8"/>
        <v>  1.16 </v>
      </c>
      <c r="Q1205" s="27"/>
    </row>
    <row r="1206" ht="15.75" customHeight="1">
      <c r="A1206" s="105" t="s">
        <v>1450</v>
      </c>
      <c r="B1206" s="19" t="str">
        <f t="array" ref="B1206">XLOOKUP(A1206,Data!F:F,Data!G:G)</f>
        <v>J1C</v>
      </c>
      <c r="C1206" s="19" t="str">
        <f t="shared" si="3"/>
        <v>J092</v>
      </c>
      <c r="D1206" s="19" t="str">
        <f t="array" ref="D1206">XLOOKUP(A1206,Data!F:F,Data!C:C)</f>
        <v>EXT</v>
      </c>
      <c r="E1206" s="19" t="str">
        <f t="array" ref="E1206">XLOOKUP(A1206,Data!F:F,Data!H:H)</f>
        <v>BW</v>
      </c>
      <c r="F1206" s="106" t="str">
        <f>SUMIFS(Data!J:J,Data!F:F,A1206)</f>
        <v>1</v>
      </c>
      <c r="G1206" s="106" t="str">
        <f>SUMIFS(Cast!C:C,CastElements,A1206)</f>
        <v>1</v>
      </c>
      <c r="H1206" s="106" t="str">
        <f t="shared" si="4"/>
        <v>0</v>
      </c>
      <c r="I1206" s="106" t="str">
        <f>SUMIFS(Del!C:C,Del!B:B,A1206)</f>
        <v>0</v>
      </c>
      <c r="J1206" s="106" t="str">
        <f t="shared" si="5"/>
        <v>1</v>
      </c>
      <c r="K1206" s="106" t="str">
        <f t="shared" si="6"/>
        <v>1</v>
      </c>
      <c r="L1206" s="106"/>
      <c r="M1206" s="106" t="str">
        <f>SUMIFS(Ere!C:C,Ere!B:B,A1206)</f>
        <v>0</v>
      </c>
      <c r="N1206" s="106" t="str">
        <f t="shared" si="7"/>
        <v>1</v>
      </c>
      <c r="O1206" s="107" t="str">
        <f t="array" ref="O1206">XLOOKUP(A1206,Data!F:F,Data!O:O)</f>
        <v>  0.79 </v>
      </c>
      <c r="P1206" s="107" t="str">
        <f t="shared" si="8"/>
        <v>  1.98 </v>
      </c>
      <c r="Q1206" s="27"/>
    </row>
    <row r="1207" ht="15.75" customHeight="1">
      <c r="A1207" s="105" t="s">
        <v>1451</v>
      </c>
      <c r="B1207" s="19" t="str">
        <f t="array" ref="B1207">XLOOKUP(A1207,Data!F:F,Data!G:G)</f>
        <v>J1C</v>
      </c>
      <c r="C1207" s="19" t="str">
        <f t="shared" si="3"/>
        <v>J092</v>
      </c>
      <c r="D1207" s="19" t="str">
        <f t="array" ref="D1207">XLOOKUP(A1207,Data!F:F,Data!C:C)</f>
        <v/>
      </c>
      <c r="E1207" s="19" t="str">
        <f t="array" ref="E1207">XLOOKUP(A1207,Data!F:F,Data!H:H)</f>
        <v>BW</v>
      </c>
      <c r="F1207" s="106" t="str">
        <f>SUMIFS(Data!J:J,Data!F:F,A1207)</f>
        <v>1</v>
      </c>
      <c r="G1207" s="106" t="str">
        <f>SUMIFS(Cast!C:C,CastElements,A1207)</f>
        <v>1</v>
      </c>
      <c r="H1207" s="106" t="str">
        <f t="shared" si="4"/>
        <v>0</v>
      </c>
      <c r="I1207" s="106" t="str">
        <f>SUMIFS(Del!C:C,Del!B:B,A1207)</f>
        <v>0</v>
      </c>
      <c r="J1207" s="106" t="str">
        <f t="shared" si="5"/>
        <v>1</v>
      </c>
      <c r="K1207" s="106" t="str">
        <f t="shared" si="6"/>
        <v>1</v>
      </c>
      <c r="L1207" s="106"/>
      <c r="M1207" s="106" t="str">
        <f>SUMIFS(Ere!C:C,Ere!B:B,A1207)</f>
        <v>0</v>
      </c>
      <c r="N1207" s="106" t="str">
        <f t="shared" si="7"/>
        <v>1</v>
      </c>
      <c r="O1207" s="107" t="str">
        <f t="array" ref="O1207">XLOOKUP(A1207,Data!F:F,Data!O:O)</f>
        <v>  1.95 </v>
      </c>
      <c r="P1207" s="107" t="str">
        <f t="shared" si="8"/>
        <v>  4.87 </v>
      </c>
      <c r="Q1207" s="27"/>
    </row>
    <row r="1208" ht="15.75" customHeight="1">
      <c r="A1208" s="105" t="s">
        <v>1452</v>
      </c>
      <c r="B1208" s="19" t="str">
        <f t="array" ref="B1208">XLOOKUP(A1208,Data!F:F,Data!G:G)</f>
        <v>J1C</v>
      </c>
      <c r="C1208" s="19" t="str">
        <f t="shared" si="3"/>
        <v>J092</v>
      </c>
      <c r="D1208" s="19" t="str">
        <f t="array" ref="D1208">XLOOKUP(A1208,Data!F:F,Data!C:C)</f>
        <v/>
      </c>
      <c r="E1208" s="19" t="str">
        <f t="array" ref="E1208">XLOOKUP(A1208,Data!F:F,Data!H:H)</f>
        <v>BW</v>
      </c>
      <c r="F1208" s="106" t="str">
        <f>SUMIFS(Data!J:J,Data!F:F,A1208)</f>
        <v>1</v>
      </c>
      <c r="G1208" s="106" t="str">
        <f>SUMIFS(Cast!C:C,CastElements,A1208)</f>
        <v>1</v>
      </c>
      <c r="H1208" s="106" t="str">
        <f t="shared" si="4"/>
        <v>0</v>
      </c>
      <c r="I1208" s="106" t="str">
        <f>SUMIFS(Del!C:C,Del!B:B,A1208)</f>
        <v>0</v>
      </c>
      <c r="J1208" s="106" t="str">
        <f t="shared" si="5"/>
        <v>1</v>
      </c>
      <c r="K1208" s="106" t="str">
        <f t="shared" si="6"/>
        <v>1</v>
      </c>
      <c r="L1208" s="106"/>
      <c r="M1208" s="106" t="str">
        <f>SUMIFS(Ere!C:C,Ere!B:B,A1208)</f>
        <v>0</v>
      </c>
      <c r="N1208" s="106" t="str">
        <f t="shared" si="7"/>
        <v>1</v>
      </c>
      <c r="O1208" s="107" t="str">
        <f t="array" ref="O1208">XLOOKUP(A1208,Data!F:F,Data!O:O)</f>
        <v>  1.95 </v>
      </c>
      <c r="P1208" s="107" t="str">
        <f t="shared" si="8"/>
        <v>  4.87 </v>
      </c>
      <c r="Q1208" s="27"/>
    </row>
    <row r="1209" ht="15.75" customHeight="1">
      <c r="A1209" s="105" t="s">
        <v>1453</v>
      </c>
      <c r="B1209" s="19" t="str">
        <f t="array" ref="B1209">XLOOKUP(A1209,Data!F:F,Data!G:G)</f>
        <v>J1C</v>
      </c>
      <c r="C1209" s="19" t="str">
        <f t="shared" si="3"/>
        <v>J092</v>
      </c>
      <c r="D1209" s="19" t="str">
        <f t="array" ref="D1209">XLOOKUP(A1209,Data!F:F,Data!C:C)</f>
        <v/>
      </c>
      <c r="E1209" s="19" t="str">
        <f t="array" ref="E1209">XLOOKUP(A1209,Data!F:F,Data!H:H)</f>
        <v>BW</v>
      </c>
      <c r="F1209" s="106" t="str">
        <f>SUMIFS(Data!J:J,Data!F:F,A1209)</f>
        <v>1</v>
      </c>
      <c r="G1209" s="106" t="str">
        <f>SUMIFS(Cast!C:C,CastElements,A1209)</f>
        <v>1</v>
      </c>
      <c r="H1209" s="106" t="str">
        <f t="shared" si="4"/>
        <v>0</v>
      </c>
      <c r="I1209" s="106" t="str">
        <f>SUMIFS(Del!C:C,Del!B:B,A1209)</f>
        <v>0</v>
      </c>
      <c r="J1209" s="106" t="str">
        <f t="shared" si="5"/>
        <v>1</v>
      </c>
      <c r="K1209" s="106" t="str">
        <f t="shared" si="6"/>
        <v>1</v>
      </c>
      <c r="L1209" s="106"/>
      <c r="M1209" s="106" t="str">
        <f>SUMIFS(Ere!C:C,Ere!B:B,A1209)</f>
        <v>0</v>
      </c>
      <c r="N1209" s="106" t="str">
        <f t="shared" si="7"/>
        <v>1</v>
      </c>
      <c r="O1209" s="107" t="str">
        <f t="array" ref="O1209">XLOOKUP(A1209,Data!F:F,Data!O:O)</f>
        <v>  1.95 </v>
      </c>
      <c r="P1209" s="107" t="str">
        <f t="shared" si="8"/>
        <v>  4.87 </v>
      </c>
      <c r="Q1209" s="27"/>
    </row>
    <row r="1210" ht="15.75" customHeight="1">
      <c r="A1210" s="105" t="s">
        <v>1454</v>
      </c>
      <c r="B1210" s="19" t="str">
        <f t="array" ref="B1210">XLOOKUP(A1210,Data!F:F,Data!G:G)</f>
        <v>J1C</v>
      </c>
      <c r="C1210" s="19" t="str">
        <f t="shared" si="3"/>
        <v>J092</v>
      </c>
      <c r="D1210" s="19" t="str">
        <f t="array" ref="D1210">XLOOKUP(A1210,Data!F:F,Data!C:C)</f>
        <v/>
      </c>
      <c r="E1210" s="19" t="str">
        <f t="array" ref="E1210">XLOOKUP(A1210,Data!F:F,Data!H:H)</f>
        <v>BW</v>
      </c>
      <c r="F1210" s="106" t="str">
        <f>SUMIFS(Data!J:J,Data!F:F,A1210)</f>
        <v>1</v>
      </c>
      <c r="G1210" s="106" t="str">
        <f>SUMIFS(Cast!C:C,CastElements,A1210)</f>
        <v>1</v>
      </c>
      <c r="H1210" s="106" t="str">
        <f t="shared" si="4"/>
        <v>0</v>
      </c>
      <c r="I1210" s="106" t="str">
        <f>SUMIFS(Del!C:C,Del!B:B,A1210)</f>
        <v>0</v>
      </c>
      <c r="J1210" s="106" t="str">
        <f t="shared" si="5"/>
        <v>1</v>
      </c>
      <c r="K1210" s="106" t="str">
        <f t="shared" si="6"/>
        <v>1</v>
      </c>
      <c r="L1210" s="106"/>
      <c r="M1210" s="106" t="str">
        <f>SUMIFS(Ere!C:C,Ere!B:B,A1210)</f>
        <v>0</v>
      </c>
      <c r="N1210" s="106" t="str">
        <f t="shared" si="7"/>
        <v>1</v>
      </c>
      <c r="O1210" s="107" t="str">
        <f t="array" ref="O1210">XLOOKUP(A1210,Data!F:F,Data!O:O)</f>
        <v>  1.97 </v>
      </c>
      <c r="P1210" s="107" t="str">
        <f t="shared" si="8"/>
        <v>  4.92 </v>
      </c>
      <c r="Q1210" s="27"/>
    </row>
    <row r="1211" ht="15.75" customHeight="1">
      <c r="A1211" s="105" t="s">
        <v>1455</v>
      </c>
      <c r="B1211" s="19" t="str">
        <f t="array" ref="B1211">XLOOKUP(A1211,Data!F:F,Data!G:G)</f>
        <v>J1C</v>
      </c>
      <c r="C1211" s="19" t="str">
        <f t="shared" si="3"/>
        <v>J092</v>
      </c>
      <c r="D1211" s="19" t="str">
        <f t="array" ref="D1211">XLOOKUP(A1211,Data!F:F,Data!C:C)</f>
        <v/>
      </c>
      <c r="E1211" s="19" t="str">
        <f t="array" ref="E1211">XLOOKUP(A1211,Data!F:F,Data!H:H)</f>
        <v>BW</v>
      </c>
      <c r="F1211" s="106" t="str">
        <f>SUMIFS(Data!J:J,Data!F:F,A1211)</f>
        <v>1</v>
      </c>
      <c r="G1211" s="106" t="str">
        <f>SUMIFS(Cast!C:C,CastElements,A1211)</f>
        <v>1</v>
      </c>
      <c r="H1211" s="106" t="str">
        <f t="shared" si="4"/>
        <v>0</v>
      </c>
      <c r="I1211" s="106" t="str">
        <f>SUMIFS(Del!C:C,Del!B:B,A1211)</f>
        <v>0</v>
      </c>
      <c r="J1211" s="106" t="str">
        <f t="shared" si="5"/>
        <v>1</v>
      </c>
      <c r="K1211" s="106" t="str">
        <f t="shared" si="6"/>
        <v>1</v>
      </c>
      <c r="L1211" s="106"/>
      <c r="M1211" s="106" t="str">
        <f>SUMIFS(Ere!C:C,Ere!B:B,A1211)</f>
        <v>0</v>
      </c>
      <c r="N1211" s="106" t="str">
        <f t="shared" si="7"/>
        <v>1</v>
      </c>
      <c r="O1211" s="107" t="str">
        <f t="array" ref="O1211">XLOOKUP(A1211,Data!F:F,Data!O:O)</f>
        <v>  1.97 </v>
      </c>
      <c r="P1211" s="107" t="str">
        <f t="shared" si="8"/>
        <v>  4.92 </v>
      </c>
      <c r="Q1211" s="27"/>
    </row>
    <row r="1212" ht="15.75" customHeight="1">
      <c r="A1212" s="105" t="s">
        <v>1456</v>
      </c>
      <c r="B1212" s="19" t="str">
        <f t="array" ref="B1212">XLOOKUP(A1212,Data!F:F,Data!G:G)</f>
        <v>J1C</v>
      </c>
      <c r="C1212" s="19" t="str">
        <f t="shared" si="3"/>
        <v>J092</v>
      </c>
      <c r="D1212" s="19" t="str">
        <f t="array" ref="D1212">XLOOKUP(A1212,Data!F:F,Data!C:C)</f>
        <v/>
      </c>
      <c r="E1212" s="19" t="str">
        <f t="array" ref="E1212">XLOOKUP(A1212,Data!F:F,Data!H:H)</f>
        <v>BW</v>
      </c>
      <c r="F1212" s="106" t="str">
        <f>SUMIFS(Data!J:J,Data!F:F,A1212)</f>
        <v>1</v>
      </c>
      <c r="G1212" s="106" t="str">
        <f>SUMIFS(Cast!C:C,CastElements,A1212)</f>
        <v>1</v>
      </c>
      <c r="H1212" s="106" t="str">
        <f t="shared" si="4"/>
        <v>0</v>
      </c>
      <c r="I1212" s="106" t="str">
        <f>SUMIFS(Del!C:C,Del!B:B,A1212)</f>
        <v>0</v>
      </c>
      <c r="J1212" s="106" t="str">
        <f t="shared" si="5"/>
        <v>1</v>
      </c>
      <c r="K1212" s="106" t="str">
        <f t="shared" si="6"/>
        <v>1</v>
      </c>
      <c r="L1212" s="106"/>
      <c r="M1212" s="106" t="str">
        <f>SUMIFS(Ere!C:C,Ere!B:B,A1212)</f>
        <v>0</v>
      </c>
      <c r="N1212" s="106" t="str">
        <f t="shared" si="7"/>
        <v>1</v>
      </c>
      <c r="O1212" s="107" t="str">
        <f t="array" ref="O1212">XLOOKUP(A1212,Data!F:F,Data!O:O)</f>
        <v>  1.97 </v>
      </c>
      <c r="P1212" s="107" t="str">
        <f t="shared" si="8"/>
        <v>  4.92 </v>
      </c>
      <c r="Q1212" s="27"/>
    </row>
    <row r="1213" ht="15.75" customHeight="1">
      <c r="A1213" s="105" t="s">
        <v>1457</v>
      </c>
      <c r="B1213" s="19" t="str">
        <f t="array" ref="B1213">XLOOKUP(A1213,Data!F:F,Data!G:G)</f>
        <v>J1C</v>
      </c>
      <c r="C1213" s="19" t="str">
        <f t="shared" si="3"/>
        <v>J092</v>
      </c>
      <c r="D1213" s="19" t="str">
        <f t="array" ref="D1213">XLOOKUP(A1213,Data!F:F,Data!C:C)</f>
        <v/>
      </c>
      <c r="E1213" s="19" t="str">
        <f t="array" ref="E1213">XLOOKUP(A1213,Data!F:F,Data!H:H)</f>
        <v>BW</v>
      </c>
      <c r="F1213" s="106" t="str">
        <f>SUMIFS(Data!J:J,Data!F:F,A1213)</f>
        <v>1</v>
      </c>
      <c r="G1213" s="106" t="str">
        <f>SUMIFS(Cast!C:C,CastElements,A1213)</f>
        <v>1</v>
      </c>
      <c r="H1213" s="106" t="str">
        <f t="shared" si="4"/>
        <v>0</v>
      </c>
      <c r="I1213" s="106" t="str">
        <f>SUMIFS(Del!C:C,Del!B:B,A1213)</f>
        <v>0</v>
      </c>
      <c r="J1213" s="106" t="str">
        <f t="shared" si="5"/>
        <v>1</v>
      </c>
      <c r="K1213" s="106" t="str">
        <f t="shared" si="6"/>
        <v>1</v>
      </c>
      <c r="L1213" s="106"/>
      <c r="M1213" s="106" t="str">
        <f>SUMIFS(Ere!C:C,Ere!B:B,A1213)</f>
        <v>0</v>
      </c>
      <c r="N1213" s="106" t="str">
        <f t="shared" si="7"/>
        <v>1</v>
      </c>
      <c r="O1213" s="107" t="str">
        <f t="array" ref="O1213">XLOOKUP(A1213,Data!F:F,Data!O:O)</f>
        <v>  2.07 </v>
      </c>
      <c r="P1213" s="107" t="str">
        <f t="shared" si="8"/>
        <v>  5.16 </v>
      </c>
      <c r="Q1213" s="27"/>
    </row>
    <row r="1214" ht="15.75" customHeight="1">
      <c r="A1214" s="105" t="s">
        <v>1458</v>
      </c>
      <c r="B1214" s="19" t="str">
        <f t="array" ref="B1214">XLOOKUP(A1214,Data!F:F,Data!G:G)</f>
        <v>J1C</v>
      </c>
      <c r="C1214" s="19" t="str">
        <f t="shared" si="3"/>
        <v>J092</v>
      </c>
      <c r="D1214" s="19" t="str">
        <f t="array" ref="D1214">XLOOKUP(A1214,Data!F:F,Data!C:C)</f>
        <v/>
      </c>
      <c r="E1214" s="19" t="str">
        <f t="array" ref="E1214">XLOOKUP(A1214,Data!F:F,Data!H:H)</f>
        <v>BW</v>
      </c>
      <c r="F1214" s="106" t="str">
        <f>SUMIFS(Data!J:J,Data!F:F,A1214)</f>
        <v>1</v>
      </c>
      <c r="G1214" s="106" t="str">
        <f>SUMIFS(Cast!C:C,CastElements,A1214)</f>
        <v>1</v>
      </c>
      <c r="H1214" s="106" t="str">
        <f t="shared" si="4"/>
        <v>0</v>
      </c>
      <c r="I1214" s="106" t="str">
        <f>SUMIFS(Del!C:C,Del!B:B,A1214)</f>
        <v>0</v>
      </c>
      <c r="J1214" s="106" t="str">
        <f t="shared" si="5"/>
        <v>1</v>
      </c>
      <c r="K1214" s="106" t="str">
        <f t="shared" si="6"/>
        <v>1</v>
      </c>
      <c r="L1214" s="106"/>
      <c r="M1214" s="106" t="str">
        <f>SUMIFS(Ere!C:C,Ere!B:B,A1214)</f>
        <v>0</v>
      </c>
      <c r="N1214" s="106" t="str">
        <f t="shared" si="7"/>
        <v>1</v>
      </c>
      <c r="O1214" s="107" t="str">
        <f t="array" ref="O1214">XLOOKUP(A1214,Data!F:F,Data!O:O)</f>
        <v>  0.35 </v>
      </c>
      <c r="P1214" s="107" t="str">
        <f t="shared" si="8"/>
        <v>  0.86 </v>
      </c>
      <c r="Q1214" s="27"/>
    </row>
    <row r="1215" ht="15.75" customHeight="1">
      <c r="A1215" s="105" t="s">
        <v>1459</v>
      </c>
      <c r="B1215" s="19" t="str">
        <f t="array" ref="B1215">XLOOKUP(A1215,Data!F:F,Data!G:G)</f>
        <v>J1C</v>
      </c>
      <c r="C1215" s="19" t="str">
        <f t="shared" si="3"/>
        <v>J092</v>
      </c>
      <c r="D1215" s="19" t="str">
        <f t="array" ref="D1215">XLOOKUP(A1215,Data!F:F,Data!C:C)</f>
        <v/>
      </c>
      <c r="E1215" s="19" t="str">
        <f t="array" ref="E1215">XLOOKUP(A1215,Data!F:F,Data!H:H)</f>
        <v>CF</v>
      </c>
      <c r="F1215" s="106" t="str">
        <f>SUMIFS(Data!J:J,Data!F:F,A1215)</f>
        <v>1</v>
      </c>
      <c r="G1215" s="106" t="str">
        <f>SUMIFS(Cast!C:C,CastElements,A1215)</f>
        <v>1</v>
      </c>
      <c r="H1215" s="106" t="str">
        <f t="shared" si="4"/>
        <v>0</v>
      </c>
      <c r="I1215" s="106" t="str">
        <f>SUMIFS(Del!C:C,Del!B:B,A1215)</f>
        <v>0</v>
      </c>
      <c r="J1215" s="106" t="str">
        <f t="shared" si="5"/>
        <v>1</v>
      </c>
      <c r="K1215" s="106" t="str">
        <f t="shared" si="6"/>
        <v>1</v>
      </c>
      <c r="L1215" s="106"/>
      <c r="M1215" s="106" t="str">
        <f>SUMIFS(Ere!C:C,Ere!B:B,A1215)</f>
        <v>0</v>
      </c>
      <c r="N1215" s="106" t="str">
        <f t="shared" si="7"/>
        <v>1</v>
      </c>
      <c r="O1215" s="107" t="str">
        <f t="array" ref="O1215">XLOOKUP(A1215,Data!F:F,Data!O:O)</f>
        <v>  0.46 </v>
      </c>
      <c r="P1215" s="107" t="str">
        <f t="shared" si="8"/>
        <v>  1.16 </v>
      </c>
      <c r="Q1215" s="27"/>
    </row>
    <row r="1216" ht="15.75" customHeight="1">
      <c r="A1216" s="105" t="s">
        <v>1460</v>
      </c>
      <c r="B1216" s="19" t="str">
        <f t="array" ref="B1216">XLOOKUP(A1216,Data!F:F,Data!G:G)</f>
        <v>J1C</v>
      </c>
      <c r="C1216" s="19" t="str">
        <f t="shared" si="3"/>
        <v>J092</v>
      </c>
      <c r="D1216" s="19" t="str">
        <f t="array" ref="D1216">XLOOKUP(A1216,Data!F:F,Data!C:C)</f>
        <v>EXT</v>
      </c>
      <c r="E1216" s="19" t="str">
        <f t="array" ref="E1216">XLOOKUP(A1216,Data!F:F,Data!H:H)</f>
        <v>BW</v>
      </c>
      <c r="F1216" s="106" t="str">
        <f>SUMIFS(Data!J:J,Data!F:F,A1216)</f>
        <v>1</v>
      </c>
      <c r="G1216" s="106" t="str">
        <f>SUMIFS(Cast!C:C,CastElements,A1216)</f>
        <v>0</v>
      </c>
      <c r="H1216" s="106" t="str">
        <f t="shared" si="4"/>
        <v>1</v>
      </c>
      <c r="I1216" s="106" t="str">
        <f>SUMIFS(Del!C:C,Del!B:B,A1216)</f>
        <v>0</v>
      </c>
      <c r="J1216" s="106" t="str">
        <f t="shared" si="5"/>
        <v>1</v>
      </c>
      <c r="K1216" s="106" t="str">
        <f t="shared" si="6"/>
        <v>0</v>
      </c>
      <c r="L1216" s="106"/>
      <c r="M1216" s="106" t="str">
        <f>SUMIFS(Ere!C:C,Ere!B:B,A1216)</f>
        <v>0</v>
      </c>
      <c r="N1216" s="106" t="str">
        <f t="shared" si="7"/>
        <v>1</v>
      </c>
      <c r="O1216" s="107" t="str">
        <f t="array" ref="O1216">XLOOKUP(A1216,Data!F:F,Data!O:O)</f>
        <v>  1.05 </v>
      </c>
      <c r="P1216" s="107" t="str">
        <f t="shared" si="8"/>
        <v>  2.63 </v>
      </c>
      <c r="Q1216" s="27"/>
    </row>
    <row r="1217" ht="15.75" customHeight="1">
      <c r="A1217" s="105" t="s">
        <v>1461</v>
      </c>
      <c r="B1217" s="19" t="str">
        <f t="array" ref="B1217">XLOOKUP(A1217,Data!F:F,Data!G:G)</f>
        <v>J1C</v>
      </c>
      <c r="C1217" s="19" t="str">
        <f t="shared" si="3"/>
        <v>J092</v>
      </c>
      <c r="D1217" s="19" t="str">
        <f t="array" ref="D1217">XLOOKUP(A1217,Data!F:F,Data!C:C)</f>
        <v>EXT</v>
      </c>
      <c r="E1217" s="19" t="str">
        <f t="array" ref="E1217">XLOOKUP(A1217,Data!F:F,Data!H:H)</f>
        <v>BW</v>
      </c>
      <c r="F1217" s="106" t="str">
        <f>SUMIFS(Data!J:J,Data!F:F,A1217)</f>
        <v>1</v>
      </c>
      <c r="G1217" s="106" t="str">
        <f>SUMIFS(Cast!C:C,CastElements,A1217)</f>
        <v>0</v>
      </c>
      <c r="H1217" s="106" t="str">
        <f t="shared" si="4"/>
        <v>1</v>
      </c>
      <c r="I1217" s="106" t="str">
        <f>SUMIFS(Del!C:C,Del!B:B,A1217)</f>
        <v>0</v>
      </c>
      <c r="J1217" s="106" t="str">
        <f t="shared" si="5"/>
        <v>1</v>
      </c>
      <c r="K1217" s="106" t="str">
        <f t="shared" si="6"/>
        <v>0</v>
      </c>
      <c r="L1217" s="106"/>
      <c r="M1217" s="106" t="str">
        <f>SUMIFS(Ere!C:C,Ere!B:B,A1217)</f>
        <v>0</v>
      </c>
      <c r="N1217" s="106" t="str">
        <f t="shared" si="7"/>
        <v>1</v>
      </c>
      <c r="O1217" s="107" t="str">
        <f t="array" ref="O1217">XLOOKUP(A1217,Data!F:F,Data!O:O)</f>
        <v>  0.88 </v>
      </c>
      <c r="P1217" s="107" t="str">
        <f t="shared" si="8"/>
        <v>  2.20 </v>
      </c>
      <c r="Q1217" s="27"/>
    </row>
    <row r="1218" ht="15.75" customHeight="1">
      <c r="A1218" s="105" t="s">
        <v>1462</v>
      </c>
      <c r="B1218" s="19" t="str">
        <f t="array" ref="B1218">XLOOKUP(A1218,Data!F:F,Data!G:G)</f>
        <v>J1C</v>
      </c>
      <c r="C1218" s="19" t="str">
        <f t="shared" si="3"/>
        <v>J092</v>
      </c>
      <c r="D1218" s="19" t="str">
        <f t="array" ref="D1218">XLOOKUP(A1218,Data!F:F,Data!C:C)</f>
        <v>EXT</v>
      </c>
      <c r="E1218" s="19" t="str">
        <f t="array" ref="E1218">XLOOKUP(A1218,Data!F:F,Data!H:H)</f>
        <v>BW</v>
      </c>
      <c r="F1218" s="106" t="str">
        <f>SUMIFS(Data!J:J,Data!F:F,A1218)</f>
        <v>1</v>
      </c>
      <c r="G1218" s="106" t="str">
        <f>SUMIFS(Cast!C:C,CastElements,A1218)</f>
        <v>0</v>
      </c>
      <c r="H1218" s="106" t="str">
        <f t="shared" si="4"/>
        <v>1</v>
      </c>
      <c r="I1218" s="106" t="str">
        <f>SUMIFS(Del!C:C,Del!B:B,A1218)</f>
        <v>0</v>
      </c>
      <c r="J1218" s="106" t="str">
        <f t="shared" si="5"/>
        <v>1</v>
      </c>
      <c r="K1218" s="106" t="str">
        <f t="shared" si="6"/>
        <v>0</v>
      </c>
      <c r="L1218" s="106"/>
      <c r="M1218" s="106" t="str">
        <f>SUMIFS(Ere!C:C,Ere!B:B,A1218)</f>
        <v>0</v>
      </c>
      <c r="N1218" s="106" t="str">
        <f t="shared" si="7"/>
        <v>1</v>
      </c>
      <c r="O1218" s="107" t="str">
        <f t="array" ref="O1218">XLOOKUP(A1218,Data!F:F,Data!O:O)</f>
        <v>  0.88 </v>
      </c>
      <c r="P1218" s="107" t="str">
        <f t="shared" si="8"/>
        <v>  2.20 </v>
      </c>
      <c r="Q1218" s="27"/>
    </row>
    <row r="1219" ht="15.75" customHeight="1">
      <c r="A1219" s="105" t="s">
        <v>1463</v>
      </c>
      <c r="B1219" s="19" t="str">
        <f t="array" ref="B1219">XLOOKUP(A1219,Data!F:F,Data!G:G)</f>
        <v>J1C</v>
      </c>
      <c r="C1219" s="19" t="str">
        <f t="shared" si="3"/>
        <v>J092</v>
      </c>
      <c r="D1219" s="19" t="str">
        <f t="array" ref="D1219">XLOOKUP(A1219,Data!F:F,Data!C:C)</f>
        <v/>
      </c>
      <c r="E1219" s="19" t="str">
        <f t="array" ref="E1219">XLOOKUP(A1219,Data!F:F,Data!H:H)</f>
        <v>BW</v>
      </c>
      <c r="F1219" s="106" t="str">
        <f>SUMIFS(Data!J:J,Data!F:F,A1219)</f>
        <v>1</v>
      </c>
      <c r="G1219" s="106" t="str">
        <f>SUMIFS(Cast!C:C,CastElements,A1219)</f>
        <v>1</v>
      </c>
      <c r="H1219" s="106" t="str">
        <f t="shared" si="4"/>
        <v>0</v>
      </c>
      <c r="I1219" s="106" t="str">
        <f>SUMIFS(Del!C:C,Del!B:B,A1219)</f>
        <v>0</v>
      </c>
      <c r="J1219" s="106" t="str">
        <f t="shared" si="5"/>
        <v>1</v>
      </c>
      <c r="K1219" s="106" t="str">
        <f t="shared" si="6"/>
        <v>1</v>
      </c>
      <c r="L1219" s="106"/>
      <c r="M1219" s="106" t="str">
        <f>SUMIFS(Ere!C:C,Ere!B:B,A1219)</f>
        <v>0</v>
      </c>
      <c r="N1219" s="106" t="str">
        <f t="shared" si="7"/>
        <v>1</v>
      </c>
      <c r="O1219" s="107" t="str">
        <f t="array" ref="O1219">XLOOKUP(A1219,Data!F:F,Data!O:O)</f>
        <v>  1.91 </v>
      </c>
      <c r="P1219" s="107" t="str">
        <f t="shared" si="8"/>
        <v>  4.78 </v>
      </c>
      <c r="Q1219" s="27"/>
    </row>
    <row r="1220" ht="15.75" customHeight="1">
      <c r="A1220" s="105" t="s">
        <v>1464</v>
      </c>
      <c r="B1220" s="19" t="str">
        <f t="array" ref="B1220">XLOOKUP(A1220,Data!F:F,Data!G:G)</f>
        <v>J1C</v>
      </c>
      <c r="C1220" s="19" t="str">
        <f t="shared" si="3"/>
        <v>J092</v>
      </c>
      <c r="D1220" s="19" t="str">
        <f t="array" ref="D1220">XLOOKUP(A1220,Data!F:F,Data!C:C)</f>
        <v/>
      </c>
      <c r="E1220" s="19" t="str">
        <f t="array" ref="E1220">XLOOKUP(A1220,Data!F:F,Data!H:H)</f>
        <v>BW</v>
      </c>
      <c r="F1220" s="106" t="str">
        <f>SUMIFS(Data!J:J,Data!F:F,A1220)</f>
        <v>1</v>
      </c>
      <c r="G1220" s="106" t="str">
        <f>SUMIFS(Cast!C:C,CastElements,A1220)</f>
        <v>1</v>
      </c>
      <c r="H1220" s="106" t="str">
        <f t="shared" si="4"/>
        <v>0</v>
      </c>
      <c r="I1220" s="106" t="str">
        <f>SUMIFS(Del!C:C,Del!B:B,A1220)</f>
        <v>0</v>
      </c>
      <c r="J1220" s="106" t="str">
        <f t="shared" si="5"/>
        <v>1</v>
      </c>
      <c r="K1220" s="106" t="str">
        <f t="shared" si="6"/>
        <v>1</v>
      </c>
      <c r="L1220" s="106"/>
      <c r="M1220" s="106" t="str">
        <f>SUMIFS(Ere!C:C,Ere!B:B,A1220)</f>
        <v>0</v>
      </c>
      <c r="N1220" s="106" t="str">
        <f t="shared" si="7"/>
        <v>1</v>
      </c>
      <c r="O1220" s="107" t="str">
        <f t="array" ref="O1220">XLOOKUP(A1220,Data!F:F,Data!O:O)</f>
        <v>  1.61 </v>
      </c>
      <c r="P1220" s="107" t="str">
        <f t="shared" si="8"/>
        <v>  4.03 </v>
      </c>
      <c r="Q1220" s="27"/>
    </row>
    <row r="1221" ht="15.75" customHeight="1">
      <c r="A1221" s="105" t="s">
        <v>1465</v>
      </c>
      <c r="B1221" s="19" t="str">
        <f t="array" ref="B1221">XLOOKUP(A1221,Data!F:F,Data!G:G)</f>
        <v>J1C</v>
      </c>
      <c r="C1221" s="19" t="str">
        <f t="shared" si="3"/>
        <v>J092</v>
      </c>
      <c r="D1221" s="19" t="str">
        <f t="array" ref="D1221">XLOOKUP(A1221,Data!F:F,Data!C:C)</f>
        <v/>
      </c>
      <c r="E1221" s="19" t="str">
        <f t="array" ref="E1221">XLOOKUP(A1221,Data!F:F,Data!H:H)</f>
        <v>BW</v>
      </c>
      <c r="F1221" s="106" t="str">
        <f>SUMIFS(Data!J:J,Data!F:F,A1221)</f>
        <v>1</v>
      </c>
      <c r="G1221" s="106" t="str">
        <f>SUMIFS(Cast!C:C,CastElements,A1221)</f>
        <v>1</v>
      </c>
      <c r="H1221" s="106" t="str">
        <f t="shared" si="4"/>
        <v>0</v>
      </c>
      <c r="I1221" s="106" t="str">
        <f>SUMIFS(Del!C:C,Del!B:B,A1221)</f>
        <v>0</v>
      </c>
      <c r="J1221" s="106" t="str">
        <f t="shared" si="5"/>
        <v>1</v>
      </c>
      <c r="K1221" s="106" t="str">
        <f t="shared" si="6"/>
        <v>1</v>
      </c>
      <c r="L1221" s="106"/>
      <c r="M1221" s="106" t="str">
        <f>SUMIFS(Ere!C:C,Ere!B:B,A1221)</f>
        <v>0</v>
      </c>
      <c r="N1221" s="106" t="str">
        <f t="shared" si="7"/>
        <v>1</v>
      </c>
      <c r="O1221" s="107" t="str">
        <f t="array" ref="O1221">XLOOKUP(A1221,Data!F:F,Data!O:O)</f>
        <v>  1.63 </v>
      </c>
      <c r="P1221" s="107" t="str">
        <f t="shared" si="8"/>
        <v>  4.08 </v>
      </c>
      <c r="Q1221" s="27"/>
    </row>
    <row r="1222" ht="15.75" customHeight="1">
      <c r="A1222" s="105" t="s">
        <v>1466</v>
      </c>
      <c r="B1222" s="19" t="str">
        <f t="array" ref="B1222">XLOOKUP(A1222,Data!F:F,Data!G:G)</f>
        <v>J1C</v>
      </c>
      <c r="C1222" s="19" t="str">
        <f t="shared" si="3"/>
        <v>J093</v>
      </c>
      <c r="D1222" s="19" t="str">
        <f t="array" ref="D1222">XLOOKUP(A1222,Data!F:F,Data!C:C)</f>
        <v>EXT</v>
      </c>
      <c r="E1222" s="19" t="str">
        <f t="array" ref="E1222">XLOOKUP(A1222,Data!F:F,Data!H:H)</f>
        <v>BW</v>
      </c>
      <c r="F1222" s="106" t="str">
        <f>SUMIFS(Data!J:J,Data!F:F,A1222)</f>
        <v>1</v>
      </c>
      <c r="G1222" s="106" t="str">
        <f>SUMIFS(Cast!C:C,CastElements,A1222)</f>
        <v>0</v>
      </c>
      <c r="H1222" s="106" t="str">
        <f t="shared" si="4"/>
        <v>1</v>
      </c>
      <c r="I1222" s="106" t="str">
        <f>SUMIFS(Del!C:C,Del!B:B,A1222)</f>
        <v>0</v>
      </c>
      <c r="J1222" s="106" t="str">
        <f t="shared" si="5"/>
        <v>1</v>
      </c>
      <c r="K1222" s="106" t="str">
        <f t="shared" si="6"/>
        <v>0</v>
      </c>
      <c r="L1222" s="106"/>
      <c r="M1222" s="106" t="str">
        <f>SUMIFS(Ere!C:C,Ere!B:B,A1222)</f>
        <v>0</v>
      </c>
      <c r="N1222" s="106" t="str">
        <f t="shared" si="7"/>
        <v>1</v>
      </c>
      <c r="O1222" s="107" t="str">
        <f t="array" ref="O1222">XLOOKUP(A1222,Data!F:F,Data!O:O)</f>
        <v>  1.05 </v>
      </c>
      <c r="P1222" s="107" t="str">
        <f t="shared" si="8"/>
        <v>  2.63 </v>
      </c>
      <c r="Q1222" s="27"/>
    </row>
    <row r="1223" ht="15.75" customHeight="1">
      <c r="A1223" s="105" t="s">
        <v>1467</v>
      </c>
      <c r="B1223" s="19" t="str">
        <f t="array" ref="B1223">XLOOKUP(A1223,Data!F:F,Data!G:G)</f>
        <v>J1C</v>
      </c>
      <c r="C1223" s="19" t="str">
        <f t="shared" si="3"/>
        <v>J093</v>
      </c>
      <c r="D1223" s="19" t="str">
        <f t="array" ref="D1223">XLOOKUP(A1223,Data!F:F,Data!C:C)</f>
        <v>EXT</v>
      </c>
      <c r="E1223" s="19" t="str">
        <f t="array" ref="E1223">XLOOKUP(A1223,Data!F:F,Data!H:H)</f>
        <v>BW</v>
      </c>
      <c r="F1223" s="106" t="str">
        <f>SUMIFS(Data!J:J,Data!F:F,A1223)</f>
        <v>1</v>
      </c>
      <c r="G1223" s="106" t="str">
        <f>SUMIFS(Cast!C:C,CastElements,A1223)</f>
        <v>1</v>
      </c>
      <c r="H1223" s="106" t="str">
        <f t="shared" si="4"/>
        <v>0</v>
      </c>
      <c r="I1223" s="106" t="str">
        <f>SUMIFS(Del!C:C,Del!B:B,A1223)</f>
        <v>0</v>
      </c>
      <c r="J1223" s="106" t="str">
        <f t="shared" si="5"/>
        <v>1</v>
      </c>
      <c r="K1223" s="106" t="str">
        <f t="shared" si="6"/>
        <v>1</v>
      </c>
      <c r="L1223" s="106"/>
      <c r="M1223" s="106" t="str">
        <f>SUMIFS(Ere!C:C,Ere!B:B,A1223)</f>
        <v>0</v>
      </c>
      <c r="N1223" s="106" t="str">
        <f t="shared" si="7"/>
        <v>1</v>
      </c>
      <c r="O1223" s="107" t="str">
        <f t="array" ref="O1223">XLOOKUP(A1223,Data!F:F,Data!O:O)</f>
        <v>  0.88 </v>
      </c>
      <c r="P1223" s="107" t="str">
        <f t="shared" si="8"/>
        <v>  2.20 </v>
      </c>
      <c r="Q1223" s="27"/>
    </row>
    <row r="1224" ht="15.75" customHeight="1">
      <c r="A1224" s="105" t="s">
        <v>1468</v>
      </c>
      <c r="B1224" s="19" t="str">
        <f t="array" ref="B1224">XLOOKUP(A1224,Data!F:F,Data!G:G)</f>
        <v>J1C</v>
      </c>
      <c r="C1224" s="19" t="str">
        <f t="shared" si="3"/>
        <v>J093</v>
      </c>
      <c r="D1224" s="19" t="str">
        <f t="array" ref="D1224">XLOOKUP(A1224,Data!F:F,Data!C:C)</f>
        <v>EXT</v>
      </c>
      <c r="E1224" s="19" t="str">
        <f t="array" ref="E1224">XLOOKUP(A1224,Data!F:F,Data!H:H)</f>
        <v>BW</v>
      </c>
      <c r="F1224" s="106" t="str">
        <f>SUMIFS(Data!J:J,Data!F:F,A1224)</f>
        <v>1</v>
      </c>
      <c r="G1224" s="106" t="str">
        <f>SUMIFS(Cast!C:C,CastElements,A1224)</f>
        <v>1</v>
      </c>
      <c r="H1224" s="106" t="str">
        <f t="shared" si="4"/>
        <v>0</v>
      </c>
      <c r="I1224" s="106" t="str">
        <f>SUMIFS(Del!C:C,Del!B:B,A1224)</f>
        <v>0</v>
      </c>
      <c r="J1224" s="106" t="str">
        <f t="shared" si="5"/>
        <v>1</v>
      </c>
      <c r="K1224" s="106" t="str">
        <f t="shared" si="6"/>
        <v>1</v>
      </c>
      <c r="L1224" s="106"/>
      <c r="M1224" s="106" t="str">
        <f>SUMIFS(Ere!C:C,Ere!B:B,A1224)</f>
        <v>0</v>
      </c>
      <c r="N1224" s="106" t="str">
        <f t="shared" si="7"/>
        <v>1</v>
      </c>
      <c r="O1224" s="107" t="str">
        <f t="array" ref="O1224">XLOOKUP(A1224,Data!F:F,Data!O:O)</f>
        <v>  0.79 </v>
      </c>
      <c r="P1224" s="107" t="str">
        <f t="shared" si="8"/>
        <v>  1.98 </v>
      </c>
      <c r="Q1224" s="27"/>
    </row>
    <row r="1225" ht="15.75" customHeight="1">
      <c r="A1225" s="105" t="s">
        <v>1469</v>
      </c>
      <c r="B1225" s="19" t="str">
        <f t="array" ref="B1225">XLOOKUP(A1225,Data!F:F,Data!G:G)</f>
        <v>J1C</v>
      </c>
      <c r="C1225" s="19" t="str">
        <f t="shared" si="3"/>
        <v>J093</v>
      </c>
      <c r="D1225" s="19" t="str">
        <f t="array" ref="D1225">XLOOKUP(A1225,Data!F:F,Data!C:C)</f>
        <v/>
      </c>
      <c r="E1225" s="19" t="str">
        <f t="array" ref="E1225">XLOOKUP(A1225,Data!F:F,Data!H:H)</f>
        <v>BW</v>
      </c>
      <c r="F1225" s="106" t="str">
        <f>SUMIFS(Data!J:J,Data!F:F,A1225)</f>
        <v>1</v>
      </c>
      <c r="G1225" s="106" t="str">
        <f>SUMIFS(Cast!C:C,CastElements,A1225)</f>
        <v>1</v>
      </c>
      <c r="H1225" s="106" t="str">
        <f t="shared" si="4"/>
        <v>0</v>
      </c>
      <c r="I1225" s="106" t="str">
        <f>SUMIFS(Del!C:C,Del!B:B,A1225)</f>
        <v>0</v>
      </c>
      <c r="J1225" s="106" t="str">
        <f t="shared" si="5"/>
        <v>1</v>
      </c>
      <c r="K1225" s="106" t="str">
        <f t="shared" si="6"/>
        <v>1</v>
      </c>
      <c r="L1225" s="106"/>
      <c r="M1225" s="106" t="str">
        <f>SUMIFS(Ere!C:C,Ere!B:B,A1225)</f>
        <v>0</v>
      </c>
      <c r="N1225" s="106" t="str">
        <f t="shared" si="7"/>
        <v>1</v>
      </c>
      <c r="O1225" s="107" t="str">
        <f t="array" ref="O1225">XLOOKUP(A1225,Data!F:F,Data!O:O)</f>
        <v>  1.92 </v>
      </c>
      <c r="P1225" s="107" t="str">
        <f t="shared" si="8"/>
        <v>  4.81 </v>
      </c>
      <c r="Q1225" s="27"/>
    </row>
    <row r="1226" ht="15.75" customHeight="1">
      <c r="A1226" s="105" t="s">
        <v>1470</v>
      </c>
      <c r="B1226" s="19" t="str">
        <f t="array" ref="B1226">XLOOKUP(A1226,Data!F:F,Data!G:G)</f>
        <v>J1C</v>
      </c>
      <c r="C1226" s="19" t="str">
        <f t="shared" si="3"/>
        <v>J093</v>
      </c>
      <c r="D1226" s="19" t="str">
        <f t="array" ref="D1226">XLOOKUP(A1226,Data!F:F,Data!C:C)</f>
        <v/>
      </c>
      <c r="E1226" s="19" t="str">
        <f t="array" ref="E1226">XLOOKUP(A1226,Data!F:F,Data!H:H)</f>
        <v>BW</v>
      </c>
      <c r="F1226" s="106" t="str">
        <f>SUMIFS(Data!J:J,Data!F:F,A1226)</f>
        <v>1</v>
      </c>
      <c r="G1226" s="106" t="str">
        <f>SUMIFS(Cast!C:C,CastElements,A1226)</f>
        <v>1</v>
      </c>
      <c r="H1226" s="106" t="str">
        <f t="shared" si="4"/>
        <v>0</v>
      </c>
      <c r="I1226" s="106" t="str">
        <f>SUMIFS(Del!C:C,Del!B:B,A1226)</f>
        <v>0</v>
      </c>
      <c r="J1226" s="106" t="str">
        <f t="shared" si="5"/>
        <v>1</v>
      </c>
      <c r="K1226" s="106" t="str">
        <f t="shared" si="6"/>
        <v>1</v>
      </c>
      <c r="L1226" s="106"/>
      <c r="M1226" s="106" t="str">
        <f>SUMIFS(Ere!C:C,Ere!B:B,A1226)</f>
        <v>0</v>
      </c>
      <c r="N1226" s="106" t="str">
        <f t="shared" si="7"/>
        <v>1</v>
      </c>
      <c r="O1226" s="107" t="str">
        <f t="array" ref="O1226">XLOOKUP(A1226,Data!F:F,Data!O:O)</f>
        <v>  1.92 </v>
      </c>
      <c r="P1226" s="107" t="str">
        <f t="shared" si="8"/>
        <v>  4.81 </v>
      </c>
      <c r="Q1226" s="27"/>
    </row>
    <row r="1227" ht="15.75" customHeight="1">
      <c r="A1227" s="105" t="s">
        <v>1471</v>
      </c>
      <c r="B1227" s="19" t="str">
        <f t="array" ref="B1227">XLOOKUP(A1227,Data!F:F,Data!G:G)</f>
        <v>J1C</v>
      </c>
      <c r="C1227" s="19" t="str">
        <f t="shared" si="3"/>
        <v>J093</v>
      </c>
      <c r="D1227" s="19" t="str">
        <f t="array" ref="D1227">XLOOKUP(A1227,Data!F:F,Data!C:C)</f>
        <v/>
      </c>
      <c r="E1227" s="19" t="str">
        <f t="array" ref="E1227">XLOOKUP(A1227,Data!F:F,Data!H:H)</f>
        <v>BW</v>
      </c>
      <c r="F1227" s="106" t="str">
        <f>SUMIFS(Data!J:J,Data!F:F,A1227)</f>
        <v>1</v>
      </c>
      <c r="G1227" s="106" t="str">
        <f>SUMIFS(Cast!C:C,CastElements,A1227)</f>
        <v>1</v>
      </c>
      <c r="H1227" s="106" t="str">
        <f t="shared" si="4"/>
        <v>0</v>
      </c>
      <c r="I1227" s="106" t="str">
        <f>SUMIFS(Del!C:C,Del!B:B,A1227)</f>
        <v>0</v>
      </c>
      <c r="J1227" s="106" t="str">
        <f t="shared" si="5"/>
        <v>1</v>
      </c>
      <c r="K1227" s="106" t="str">
        <f t="shared" si="6"/>
        <v>1</v>
      </c>
      <c r="L1227" s="106"/>
      <c r="M1227" s="106" t="str">
        <f>SUMIFS(Ere!C:C,Ere!B:B,A1227)</f>
        <v>0</v>
      </c>
      <c r="N1227" s="106" t="str">
        <f t="shared" si="7"/>
        <v>1</v>
      </c>
      <c r="O1227" s="107" t="str">
        <f t="array" ref="O1227">XLOOKUP(A1227,Data!F:F,Data!O:O)</f>
        <v>  1.92 </v>
      </c>
      <c r="P1227" s="107" t="str">
        <f t="shared" si="8"/>
        <v>  4.81 </v>
      </c>
      <c r="Q1227" s="27"/>
    </row>
    <row r="1228" ht="15.75" customHeight="1">
      <c r="A1228" s="105" t="s">
        <v>1472</v>
      </c>
      <c r="B1228" s="19" t="str">
        <f t="array" ref="B1228">XLOOKUP(A1228,Data!F:F,Data!G:G)</f>
        <v>J1C</v>
      </c>
      <c r="C1228" s="19" t="str">
        <f t="shared" si="3"/>
        <v>J093</v>
      </c>
      <c r="D1228" s="19" t="str">
        <f t="array" ref="D1228">XLOOKUP(A1228,Data!F:F,Data!C:C)</f>
        <v/>
      </c>
      <c r="E1228" s="19" t="str">
        <f t="array" ref="E1228">XLOOKUP(A1228,Data!F:F,Data!H:H)</f>
        <v>BW</v>
      </c>
      <c r="F1228" s="106" t="str">
        <f>SUMIFS(Data!J:J,Data!F:F,A1228)</f>
        <v>1</v>
      </c>
      <c r="G1228" s="106" t="str">
        <f>SUMIFS(Cast!C:C,CastElements,A1228)</f>
        <v>1</v>
      </c>
      <c r="H1228" s="106" t="str">
        <f t="shared" si="4"/>
        <v>0</v>
      </c>
      <c r="I1228" s="106" t="str">
        <f>SUMIFS(Del!C:C,Del!B:B,A1228)</f>
        <v>0</v>
      </c>
      <c r="J1228" s="106" t="str">
        <f t="shared" si="5"/>
        <v>1</v>
      </c>
      <c r="K1228" s="106" t="str">
        <f t="shared" si="6"/>
        <v>1</v>
      </c>
      <c r="L1228" s="106"/>
      <c r="M1228" s="106" t="str">
        <f>SUMIFS(Ere!C:C,Ere!B:B,A1228)</f>
        <v>0</v>
      </c>
      <c r="N1228" s="106" t="str">
        <f t="shared" si="7"/>
        <v>1</v>
      </c>
      <c r="O1228" s="107" t="str">
        <f t="array" ref="O1228">XLOOKUP(A1228,Data!F:F,Data!O:O)</f>
        <v>  1.92 </v>
      </c>
      <c r="P1228" s="107" t="str">
        <f t="shared" si="8"/>
        <v>  4.81 </v>
      </c>
      <c r="Q1228" s="27"/>
    </row>
    <row r="1229" ht="15.75" customHeight="1">
      <c r="A1229" s="105" t="s">
        <v>1473</v>
      </c>
      <c r="B1229" s="19" t="str">
        <f t="array" ref="B1229">XLOOKUP(A1229,Data!F:F,Data!G:G)</f>
        <v>J1C</v>
      </c>
      <c r="C1229" s="19" t="str">
        <f t="shared" si="3"/>
        <v>J093</v>
      </c>
      <c r="D1229" s="19" t="str">
        <f t="array" ref="D1229">XLOOKUP(A1229,Data!F:F,Data!C:C)</f>
        <v/>
      </c>
      <c r="E1229" s="19" t="str">
        <f t="array" ref="E1229">XLOOKUP(A1229,Data!F:F,Data!H:H)</f>
        <v>BW</v>
      </c>
      <c r="F1229" s="106" t="str">
        <f>SUMIFS(Data!J:J,Data!F:F,A1229)</f>
        <v>1</v>
      </c>
      <c r="G1229" s="106" t="str">
        <f>SUMIFS(Cast!C:C,CastElements,A1229)</f>
        <v>1</v>
      </c>
      <c r="H1229" s="106" t="str">
        <f t="shared" si="4"/>
        <v>0</v>
      </c>
      <c r="I1229" s="106" t="str">
        <f>SUMIFS(Del!C:C,Del!B:B,A1229)</f>
        <v>0</v>
      </c>
      <c r="J1229" s="106" t="str">
        <f t="shared" si="5"/>
        <v>1</v>
      </c>
      <c r="K1229" s="106" t="str">
        <f t="shared" si="6"/>
        <v>1</v>
      </c>
      <c r="L1229" s="106"/>
      <c r="M1229" s="106" t="str">
        <f>SUMIFS(Ere!C:C,Ere!B:B,A1229)</f>
        <v>0</v>
      </c>
      <c r="N1229" s="106" t="str">
        <f t="shared" si="7"/>
        <v>1</v>
      </c>
      <c r="O1229" s="107" t="str">
        <f t="array" ref="O1229">XLOOKUP(A1229,Data!F:F,Data!O:O)</f>
        <v>  1.59 </v>
      </c>
      <c r="P1229" s="107" t="str">
        <f t="shared" si="8"/>
        <v>  3.97 </v>
      </c>
      <c r="Q1229" s="27"/>
    </row>
    <row r="1230" ht="15.75" customHeight="1">
      <c r="A1230" s="105" t="s">
        <v>1474</v>
      </c>
      <c r="B1230" s="19" t="str">
        <f t="array" ref="B1230">XLOOKUP(A1230,Data!F:F,Data!G:G)</f>
        <v>J1C</v>
      </c>
      <c r="C1230" s="19" t="str">
        <f t="shared" si="3"/>
        <v>J093</v>
      </c>
      <c r="D1230" s="19" t="str">
        <f t="array" ref="D1230">XLOOKUP(A1230,Data!F:F,Data!C:C)</f>
        <v/>
      </c>
      <c r="E1230" s="19" t="str">
        <f t="array" ref="E1230">XLOOKUP(A1230,Data!F:F,Data!H:H)</f>
        <v>BW</v>
      </c>
      <c r="F1230" s="106" t="str">
        <f>SUMIFS(Data!J:J,Data!F:F,A1230)</f>
        <v>1</v>
      </c>
      <c r="G1230" s="106" t="str">
        <f>SUMIFS(Cast!C:C,CastElements,A1230)</f>
        <v>1</v>
      </c>
      <c r="H1230" s="106" t="str">
        <f t="shared" si="4"/>
        <v>0</v>
      </c>
      <c r="I1230" s="106" t="str">
        <f>SUMIFS(Del!C:C,Del!B:B,A1230)</f>
        <v>0</v>
      </c>
      <c r="J1230" s="106" t="str">
        <f t="shared" si="5"/>
        <v>1</v>
      </c>
      <c r="K1230" s="106" t="str">
        <f t="shared" si="6"/>
        <v>1</v>
      </c>
      <c r="L1230" s="106"/>
      <c r="M1230" s="106" t="str">
        <f>SUMIFS(Ere!C:C,Ere!B:B,A1230)</f>
        <v>0</v>
      </c>
      <c r="N1230" s="106" t="str">
        <f t="shared" si="7"/>
        <v>1</v>
      </c>
      <c r="O1230" s="107" t="str">
        <f t="array" ref="O1230">XLOOKUP(A1230,Data!F:F,Data!O:O)</f>
        <v>  2.32 </v>
      </c>
      <c r="P1230" s="107" t="str">
        <f t="shared" si="8"/>
        <v>  5.79 </v>
      </c>
      <c r="Q1230" s="27"/>
    </row>
    <row r="1231" ht="15.75" customHeight="1">
      <c r="A1231" s="105" t="s">
        <v>1475</v>
      </c>
      <c r="B1231" s="19" t="str">
        <f t="array" ref="B1231">XLOOKUP(A1231,Data!F:F,Data!G:G)</f>
        <v>J1C</v>
      </c>
      <c r="C1231" s="19" t="str">
        <f t="shared" si="3"/>
        <v>J093</v>
      </c>
      <c r="D1231" s="19" t="str">
        <f t="array" ref="D1231">XLOOKUP(A1231,Data!F:F,Data!C:C)</f>
        <v/>
      </c>
      <c r="E1231" s="19" t="str">
        <f t="array" ref="E1231">XLOOKUP(A1231,Data!F:F,Data!H:H)</f>
        <v>BW</v>
      </c>
      <c r="F1231" s="106" t="str">
        <f>SUMIFS(Data!J:J,Data!F:F,A1231)</f>
        <v>1</v>
      </c>
      <c r="G1231" s="106" t="str">
        <f>SUMIFS(Cast!C:C,CastElements,A1231)</f>
        <v>1</v>
      </c>
      <c r="H1231" s="106" t="str">
        <f t="shared" si="4"/>
        <v>0</v>
      </c>
      <c r="I1231" s="106" t="str">
        <f>SUMIFS(Del!C:C,Del!B:B,A1231)</f>
        <v>0</v>
      </c>
      <c r="J1231" s="106" t="str">
        <f t="shared" si="5"/>
        <v>1</v>
      </c>
      <c r="K1231" s="106" t="str">
        <f t="shared" si="6"/>
        <v>1</v>
      </c>
      <c r="L1231" s="106"/>
      <c r="M1231" s="106" t="str">
        <f>SUMIFS(Ere!C:C,Ere!B:B,A1231)</f>
        <v>0</v>
      </c>
      <c r="N1231" s="106" t="str">
        <f t="shared" si="7"/>
        <v>1</v>
      </c>
      <c r="O1231" s="107" t="str">
        <f t="array" ref="O1231">XLOOKUP(A1231,Data!F:F,Data!O:O)</f>
        <v>  2.26 </v>
      </c>
      <c r="P1231" s="107" t="str">
        <f t="shared" si="8"/>
        <v>  5.65 </v>
      </c>
      <c r="Q1231" s="27"/>
    </row>
    <row r="1232" ht="15.75" customHeight="1">
      <c r="A1232" s="105" t="s">
        <v>1476</v>
      </c>
      <c r="B1232" s="19" t="str">
        <f t="array" ref="B1232">XLOOKUP(A1232,Data!F:F,Data!G:G)</f>
        <v>J1C</v>
      </c>
      <c r="C1232" s="19" t="str">
        <f t="shared" si="3"/>
        <v>J093</v>
      </c>
      <c r="D1232" s="19" t="str">
        <f t="array" ref="D1232">XLOOKUP(A1232,Data!F:F,Data!C:C)</f>
        <v/>
      </c>
      <c r="E1232" s="19" t="str">
        <f t="array" ref="E1232">XLOOKUP(A1232,Data!F:F,Data!H:H)</f>
        <v>BW</v>
      </c>
      <c r="F1232" s="106" t="str">
        <f>SUMIFS(Data!J:J,Data!F:F,A1232)</f>
        <v>1</v>
      </c>
      <c r="G1232" s="106" t="str">
        <f>SUMIFS(Cast!C:C,CastElements,A1232)</f>
        <v>1</v>
      </c>
      <c r="H1232" s="106" t="str">
        <f t="shared" si="4"/>
        <v>0</v>
      </c>
      <c r="I1232" s="106" t="str">
        <f>SUMIFS(Del!C:C,Del!B:B,A1232)</f>
        <v>0</v>
      </c>
      <c r="J1232" s="106" t="str">
        <f t="shared" si="5"/>
        <v>1</v>
      </c>
      <c r="K1232" s="106" t="str">
        <f t="shared" si="6"/>
        <v>1</v>
      </c>
      <c r="L1232" s="106"/>
      <c r="M1232" s="106" t="str">
        <f>SUMIFS(Ere!C:C,Ere!B:B,A1232)</f>
        <v>0</v>
      </c>
      <c r="N1232" s="106" t="str">
        <f t="shared" si="7"/>
        <v>1</v>
      </c>
      <c r="O1232" s="107" t="str">
        <f t="array" ref="O1232">XLOOKUP(A1232,Data!F:F,Data!O:O)</f>
        <v>  2.26 </v>
      </c>
      <c r="P1232" s="107" t="str">
        <f t="shared" si="8"/>
        <v>  5.65 </v>
      </c>
      <c r="Q1232" s="27"/>
    </row>
    <row r="1233" ht="15.75" customHeight="1">
      <c r="A1233" s="105" t="s">
        <v>1477</v>
      </c>
      <c r="B1233" s="19" t="str">
        <f t="array" ref="B1233">XLOOKUP(A1233,Data!F:F,Data!G:G)</f>
        <v>J1C</v>
      </c>
      <c r="C1233" s="19" t="str">
        <f t="shared" si="3"/>
        <v>J093</v>
      </c>
      <c r="D1233" s="19" t="str">
        <f t="array" ref="D1233">XLOOKUP(A1233,Data!F:F,Data!C:C)</f>
        <v/>
      </c>
      <c r="E1233" s="19" t="str">
        <f t="array" ref="E1233">XLOOKUP(A1233,Data!F:F,Data!H:H)</f>
        <v>BW</v>
      </c>
      <c r="F1233" s="106" t="str">
        <f>SUMIFS(Data!J:J,Data!F:F,A1233)</f>
        <v>1</v>
      </c>
      <c r="G1233" s="106" t="str">
        <f>SUMIFS(Cast!C:C,CastElements,A1233)</f>
        <v>1</v>
      </c>
      <c r="H1233" s="106" t="str">
        <f t="shared" si="4"/>
        <v>0</v>
      </c>
      <c r="I1233" s="106" t="str">
        <f>SUMIFS(Del!C:C,Del!B:B,A1233)</f>
        <v>0</v>
      </c>
      <c r="J1233" s="106" t="str">
        <f t="shared" si="5"/>
        <v>1</v>
      </c>
      <c r="K1233" s="106" t="str">
        <f t="shared" si="6"/>
        <v>1</v>
      </c>
      <c r="L1233" s="106"/>
      <c r="M1233" s="106" t="str">
        <f>SUMIFS(Ere!C:C,Ere!B:B,A1233)</f>
        <v>0</v>
      </c>
      <c r="N1233" s="106" t="str">
        <f t="shared" si="7"/>
        <v>1</v>
      </c>
      <c r="O1233" s="107" t="str">
        <f t="array" ref="O1233">XLOOKUP(A1233,Data!F:F,Data!O:O)</f>
        <v>  2.26 </v>
      </c>
      <c r="P1233" s="107" t="str">
        <f t="shared" si="8"/>
        <v>  5.65 </v>
      </c>
      <c r="Q1233" s="27"/>
    </row>
    <row r="1234" ht="15.75" customHeight="1">
      <c r="A1234" s="105" t="s">
        <v>1478</v>
      </c>
      <c r="B1234" s="19" t="str">
        <f t="array" ref="B1234">XLOOKUP(A1234,Data!F:F,Data!G:G)</f>
        <v>J1C</v>
      </c>
      <c r="C1234" s="19" t="str">
        <f t="shared" si="3"/>
        <v>J093</v>
      </c>
      <c r="D1234" s="19" t="str">
        <f t="array" ref="D1234">XLOOKUP(A1234,Data!F:F,Data!C:C)</f>
        <v/>
      </c>
      <c r="E1234" s="19" t="str">
        <f t="array" ref="E1234">XLOOKUP(A1234,Data!F:F,Data!H:H)</f>
        <v>BW</v>
      </c>
      <c r="F1234" s="106" t="str">
        <f>SUMIFS(Data!J:J,Data!F:F,A1234)</f>
        <v>1</v>
      </c>
      <c r="G1234" s="106" t="str">
        <f>SUMIFS(Cast!C:C,CastElements,A1234)</f>
        <v>1</v>
      </c>
      <c r="H1234" s="106" t="str">
        <f t="shared" si="4"/>
        <v>0</v>
      </c>
      <c r="I1234" s="106" t="str">
        <f>SUMIFS(Del!C:C,Del!B:B,A1234)</f>
        <v>0</v>
      </c>
      <c r="J1234" s="106" t="str">
        <f t="shared" si="5"/>
        <v>1</v>
      </c>
      <c r="K1234" s="106" t="str">
        <f t="shared" si="6"/>
        <v>1</v>
      </c>
      <c r="L1234" s="106"/>
      <c r="M1234" s="106" t="str">
        <f>SUMIFS(Ere!C:C,Ere!B:B,A1234)</f>
        <v>0</v>
      </c>
      <c r="N1234" s="106" t="str">
        <f t="shared" si="7"/>
        <v>1</v>
      </c>
      <c r="O1234" s="107" t="str">
        <f t="array" ref="O1234">XLOOKUP(A1234,Data!F:F,Data!O:O)</f>
        <v>  1.93 </v>
      </c>
      <c r="P1234" s="107" t="str">
        <f t="shared" si="8"/>
        <v>  4.81 </v>
      </c>
      <c r="Q1234" s="27"/>
    </row>
    <row r="1235" ht="15.75" customHeight="1">
      <c r="A1235" s="105" t="s">
        <v>1479</v>
      </c>
      <c r="B1235" s="19" t="str">
        <f t="array" ref="B1235">XLOOKUP(A1235,Data!F:F,Data!G:G)</f>
        <v>J1C</v>
      </c>
      <c r="C1235" s="19" t="str">
        <f t="shared" si="3"/>
        <v>J093</v>
      </c>
      <c r="D1235" s="19" t="str">
        <f t="array" ref="D1235">XLOOKUP(A1235,Data!F:F,Data!C:C)</f>
        <v/>
      </c>
      <c r="E1235" s="19" t="str">
        <f t="array" ref="E1235">XLOOKUP(A1235,Data!F:F,Data!H:H)</f>
        <v>BW</v>
      </c>
      <c r="F1235" s="106" t="str">
        <f>SUMIFS(Data!J:J,Data!F:F,A1235)</f>
        <v>1</v>
      </c>
      <c r="G1235" s="106" t="str">
        <f>SUMIFS(Cast!C:C,CastElements,A1235)</f>
        <v>1</v>
      </c>
      <c r="H1235" s="106" t="str">
        <f t="shared" si="4"/>
        <v>0</v>
      </c>
      <c r="I1235" s="106" t="str">
        <f>SUMIFS(Del!C:C,Del!B:B,A1235)</f>
        <v>0</v>
      </c>
      <c r="J1235" s="106" t="str">
        <f t="shared" si="5"/>
        <v>1</v>
      </c>
      <c r="K1235" s="106" t="str">
        <f t="shared" si="6"/>
        <v>1</v>
      </c>
      <c r="L1235" s="106"/>
      <c r="M1235" s="106" t="str">
        <f>SUMIFS(Ere!C:C,Ere!B:B,A1235)</f>
        <v>0</v>
      </c>
      <c r="N1235" s="106" t="str">
        <f t="shared" si="7"/>
        <v>1</v>
      </c>
      <c r="O1235" s="107" t="str">
        <f t="array" ref="O1235">XLOOKUP(A1235,Data!F:F,Data!O:O)</f>
        <v>  0.41 </v>
      </c>
      <c r="P1235" s="107" t="str">
        <f t="shared" si="8"/>
        <v>  1.03 </v>
      </c>
      <c r="Q1235" s="27"/>
    </row>
    <row r="1236" ht="15.75" customHeight="1">
      <c r="A1236" s="105" t="s">
        <v>1480</v>
      </c>
      <c r="B1236" s="19" t="str">
        <f t="array" ref="B1236">XLOOKUP(A1236,Data!F:F,Data!G:G)</f>
        <v>J1C</v>
      </c>
      <c r="C1236" s="19" t="str">
        <f t="shared" si="3"/>
        <v>J093</v>
      </c>
      <c r="D1236" s="19" t="str">
        <f t="array" ref="D1236">XLOOKUP(A1236,Data!F:F,Data!C:C)</f>
        <v/>
      </c>
      <c r="E1236" s="19" t="str">
        <f t="array" ref="E1236">XLOOKUP(A1236,Data!F:F,Data!H:H)</f>
        <v>CF</v>
      </c>
      <c r="F1236" s="106" t="str">
        <f>SUMIFS(Data!J:J,Data!F:F,A1236)</f>
        <v>1</v>
      </c>
      <c r="G1236" s="106" t="str">
        <f>SUMIFS(Cast!C:C,CastElements,A1236)</f>
        <v>1</v>
      </c>
      <c r="H1236" s="106" t="str">
        <f t="shared" si="4"/>
        <v>0</v>
      </c>
      <c r="I1236" s="106" t="str">
        <f>SUMIFS(Del!C:C,Del!B:B,A1236)</f>
        <v>0</v>
      </c>
      <c r="J1236" s="106" t="str">
        <f t="shared" si="5"/>
        <v>1</v>
      </c>
      <c r="K1236" s="106" t="str">
        <f t="shared" si="6"/>
        <v>1</v>
      </c>
      <c r="L1236" s="106"/>
      <c r="M1236" s="106" t="str">
        <f>SUMIFS(Ere!C:C,Ere!B:B,A1236)</f>
        <v>0</v>
      </c>
      <c r="N1236" s="106" t="str">
        <f t="shared" si="7"/>
        <v>1</v>
      </c>
      <c r="O1236" s="107" t="str">
        <f t="array" ref="O1236">XLOOKUP(A1236,Data!F:F,Data!O:O)</f>
        <v>  0.52 </v>
      </c>
      <c r="P1236" s="107" t="str">
        <f t="shared" si="8"/>
        <v>  1.30 </v>
      </c>
      <c r="Q1236" s="27"/>
    </row>
    <row r="1237" ht="15.75" customHeight="1">
      <c r="A1237" s="105" t="s">
        <v>1481</v>
      </c>
      <c r="B1237" s="19" t="str">
        <f t="array" ref="B1237">XLOOKUP(A1237,Data!F:F,Data!G:G)</f>
        <v>J1C</v>
      </c>
      <c r="C1237" s="19" t="str">
        <f t="shared" si="3"/>
        <v>J093</v>
      </c>
      <c r="D1237" s="19" t="str">
        <f t="array" ref="D1237">XLOOKUP(A1237,Data!F:F,Data!C:C)</f>
        <v>EXT</v>
      </c>
      <c r="E1237" s="19" t="str">
        <f t="array" ref="E1237">XLOOKUP(A1237,Data!F:F,Data!H:H)</f>
        <v>BW</v>
      </c>
      <c r="F1237" s="106" t="str">
        <f>SUMIFS(Data!J:J,Data!F:F,A1237)</f>
        <v>1</v>
      </c>
      <c r="G1237" s="106" t="str">
        <f>SUMIFS(Cast!C:C,CastElements,A1237)</f>
        <v>0</v>
      </c>
      <c r="H1237" s="106" t="str">
        <f t="shared" si="4"/>
        <v>1</v>
      </c>
      <c r="I1237" s="106" t="str">
        <f>SUMIFS(Del!C:C,Del!B:B,A1237)</f>
        <v>0</v>
      </c>
      <c r="J1237" s="106" t="str">
        <f t="shared" si="5"/>
        <v>1</v>
      </c>
      <c r="K1237" s="106" t="str">
        <f t="shared" si="6"/>
        <v>0</v>
      </c>
      <c r="L1237" s="106"/>
      <c r="M1237" s="106" t="str">
        <f>SUMIFS(Ere!C:C,Ere!B:B,A1237)</f>
        <v>0</v>
      </c>
      <c r="N1237" s="106" t="str">
        <f t="shared" si="7"/>
        <v>1</v>
      </c>
      <c r="O1237" s="107" t="str">
        <f t="array" ref="O1237">XLOOKUP(A1237,Data!F:F,Data!O:O)</f>
        <v>  0.88 </v>
      </c>
      <c r="P1237" s="107" t="str">
        <f t="shared" si="8"/>
        <v>  2.20 </v>
      </c>
      <c r="Q1237" s="27"/>
    </row>
    <row r="1238" ht="15.75" customHeight="1">
      <c r="A1238" s="105" t="s">
        <v>1482</v>
      </c>
      <c r="B1238" s="19" t="str">
        <f t="array" ref="B1238">XLOOKUP(A1238,Data!F:F,Data!G:G)</f>
        <v>J1C</v>
      </c>
      <c r="C1238" s="19" t="str">
        <f t="shared" si="3"/>
        <v>J094</v>
      </c>
      <c r="D1238" s="19" t="str">
        <f t="array" ref="D1238">XLOOKUP(A1238,Data!F:F,Data!C:C)</f>
        <v>EXT</v>
      </c>
      <c r="E1238" s="19" t="str">
        <f t="array" ref="E1238">XLOOKUP(A1238,Data!F:F,Data!H:H)</f>
        <v>BW</v>
      </c>
      <c r="F1238" s="106" t="str">
        <f>SUMIFS(Data!J:J,Data!F:F,A1238)</f>
        <v>1</v>
      </c>
      <c r="G1238" s="106" t="str">
        <f>SUMIFS(Cast!C:C,CastElements,A1238)</f>
        <v>0</v>
      </c>
      <c r="H1238" s="106" t="str">
        <f t="shared" si="4"/>
        <v>1</v>
      </c>
      <c r="I1238" s="106" t="str">
        <f>SUMIFS(Del!C:C,Del!B:B,A1238)</f>
        <v>0</v>
      </c>
      <c r="J1238" s="106" t="str">
        <f t="shared" si="5"/>
        <v>1</v>
      </c>
      <c r="K1238" s="106" t="str">
        <f t="shared" si="6"/>
        <v>0</v>
      </c>
      <c r="L1238" s="106"/>
      <c r="M1238" s="106" t="str">
        <f>SUMIFS(Ere!C:C,Ere!B:B,A1238)</f>
        <v>0</v>
      </c>
      <c r="N1238" s="106" t="str">
        <f t="shared" si="7"/>
        <v>1</v>
      </c>
      <c r="O1238" s="107" t="str">
        <f t="array" ref="O1238">XLOOKUP(A1238,Data!F:F,Data!O:O)</f>
        <v>  0.50 </v>
      </c>
      <c r="P1238" s="107" t="str">
        <f t="shared" si="8"/>
        <v>  1.24 </v>
      </c>
      <c r="Q1238" s="27"/>
    </row>
    <row r="1239" ht="15.75" customHeight="1">
      <c r="A1239" s="105" t="s">
        <v>1483</v>
      </c>
      <c r="B1239" s="19" t="str">
        <f t="array" ref="B1239">XLOOKUP(A1239,Data!F:F,Data!G:G)</f>
        <v>J1C</v>
      </c>
      <c r="C1239" s="19" t="str">
        <f t="shared" si="3"/>
        <v>J094</v>
      </c>
      <c r="D1239" s="19" t="str">
        <f t="array" ref="D1239">XLOOKUP(A1239,Data!F:F,Data!C:C)</f>
        <v>EXT</v>
      </c>
      <c r="E1239" s="19" t="str">
        <f t="array" ref="E1239">XLOOKUP(A1239,Data!F:F,Data!H:H)</f>
        <v>BW</v>
      </c>
      <c r="F1239" s="106" t="str">
        <f>SUMIFS(Data!J:J,Data!F:F,A1239)</f>
        <v>1</v>
      </c>
      <c r="G1239" s="106" t="str">
        <f>SUMIFS(Cast!C:C,CastElements,A1239)</f>
        <v>1</v>
      </c>
      <c r="H1239" s="106" t="str">
        <f t="shared" si="4"/>
        <v>0</v>
      </c>
      <c r="I1239" s="106" t="str">
        <f>SUMIFS(Del!C:C,Del!B:B,A1239)</f>
        <v>0</v>
      </c>
      <c r="J1239" s="106" t="str">
        <f t="shared" si="5"/>
        <v>1</v>
      </c>
      <c r="K1239" s="106" t="str">
        <f t="shared" si="6"/>
        <v>1</v>
      </c>
      <c r="L1239" s="106"/>
      <c r="M1239" s="106" t="str">
        <f>SUMIFS(Ere!C:C,Ere!B:B,A1239)</f>
        <v>0</v>
      </c>
      <c r="N1239" s="106" t="str">
        <f t="shared" si="7"/>
        <v>1</v>
      </c>
      <c r="O1239" s="107" t="str">
        <f t="array" ref="O1239">XLOOKUP(A1239,Data!F:F,Data!O:O)</f>
        <v>  0.91 </v>
      </c>
      <c r="P1239" s="107" t="str">
        <f t="shared" si="8"/>
        <v>  2.28 </v>
      </c>
      <c r="Q1239" s="27"/>
    </row>
    <row r="1240" ht="15.75" customHeight="1">
      <c r="A1240" s="105" t="s">
        <v>1484</v>
      </c>
      <c r="B1240" s="19" t="str">
        <f t="array" ref="B1240">XLOOKUP(A1240,Data!F:F,Data!G:G)</f>
        <v>J1C</v>
      </c>
      <c r="C1240" s="19" t="str">
        <f t="shared" si="3"/>
        <v>J094</v>
      </c>
      <c r="D1240" s="19" t="str">
        <f t="array" ref="D1240">XLOOKUP(A1240,Data!F:F,Data!C:C)</f>
        <v>EXT</v>
      </c>
      <c r="E1240" s="19" t="str">
        <f t="array" ref="E1240">XLOOKUP(A1240,Data!F:F,Data!H:H)</f>
        <v>BW</v>
      </c>
      <c r="F1240" s="106" t="str">
        <f>SUMIFS(Data!J:J,Data!F:F,A1240)</f>
        <v>1</v>
      </c>
      <c r="G1240" s="106" t="str">
        <f>SUMIFS(Cast!C:C,CastElements,A1240)</f>
        <v>0</v>
      </c>
      <c r="H1240" s="106" t="str">
        <f t="shared" si="4"/>
        <v>1</v>
      </c>
      <c r="I1240" s="106" t="str">
        <f>SUMIFS(Del!C:C,Del!B:B,A1240)</f>
        <v>0</v>
      </c>
      <c r="J1240" s="106" t="str">
        <f t="shared" si="5"/>
        <v>1</v>
      </c>
      <c r="K1240" s="106" t="str">
        <f t="shared" si="6"/>
        <v>0</v>
      </c>
      <c r="L1240" s="106"/>
      <c r="M1240" s="106" t="str">
        <f>SUMIFS(Ere!C:C,Ere!B:B,A1240)</f>
        <v>0</v>
      </c>
      <c r="N1240" s="106" t="str">
        <f t="shared" si="7"/>
        <v>1</v>
      </c>
      <c r="O1240" s="107" t="str">
        <f t="array" ref="O1240">XLOOKUP(A1240,Data!F:F,Data!O:O)</f>
        <v>  0.98 </v>
      </c>
      <c r="P1240" s="107" t="str">
        <f t="shared" si="8"/>
        <v>  2.46 </v>
      </c>
      <c r="Q1240" s="27"/>
    </row>
    <row r="1241" ht="15.75" customHeight="1">
      <c r="A1241" s="105" t="s">
        <v>1485</v>
      </c>
      <c r="B1241" s="19" t="str">
        <f t="array" ref="B1241">XLOOKUP(A1241,Data!F:F,Data!G:G)</f>
        <v>J1C</v>
      </c>
      <c r="C1241" s="19" t="str">
        <f t="shared" si="3"/>
        <v>J094</v>
      </c>
      <c r="D1241" s="19" t="str">
        <f t="array" ref="D1241">XLOOKUP(A1241,Data!F:F,Data!C:C)</f>
        <v>EXT</v>
      </c>
      <c r="E1241" s="19" t="str">
        <f t="array" ref="E1241">XLOOKUP(A1241,Data!F:F,Data!H:H)</f>
        <v>BW</v>
      </c>
      <c r="F1241" s="106" t="str">
        <f>SUMIFS(Data!J:J,Data!F:F,A1241)</f>
        <v>1</v>
      </c>
      <c r="G1241" s="106" t="str">
        <f>SUMIFS(Cast!C:C,CastElements,A1241)</f>
        <v>1</v>
      </c>
      <c r="H1241" s="106" t="str">
        <f t="shared" si="4"/>
        <v>0</v>
      </c>
      <c r="I1241" s="106" t="str">
        <f>SUMIFS(Del!C:C,Del!B:B,A1241)</f>
        <v>0</v>
      </c>
      <c r="J1241" s="106" t="str">
        <f t="shared" si="5"/>
        <v>1</v>
      </c>
      <c r="K1241" s="106" t="str">
        <f t="shared" si="6"/>
        <v>1</v>
      </c>
      <c r="L1241" s="106"/>
      <c r="M1241" s="106" t="str">
        <f>SUMIFS(Ere!C:C,Ere!B:B,A1241)</f>
        <v>0</v>
      </c>
      <c r="N1241" s="106" t="str">
        <f t="shared" si="7"/>
        <v>1</v>
      </c>
      <c r="O1241" s="107" t="str">
        <f t="array" ref="O1241">XLOOKUP(A1241,Data!F:F,Data!O:O)</f>
        <v>  1.72 </v>
      </c>
      <c r="P1241" s="107" t="str">
        <f t="shared" si="8"/>
        <v>  4.31 </v>
      </c>
      <c r="Q1241" s="27"/>
    </row>
    <row r="1242" ht="15.75" customHeight="1">
      <c r="A1242" s="105" t="s">
        <v>1486</v>
      </c>
      <c r="B1242" s="19" t="str">
        <f t="array" ref="B1242">XLOOKUP(A1242,Data!F:F,Data!G:G)</f>
        <v>J1C</v>
      </c>
      <c r="C1242" s="19" t="str">
        <f t="shared" si="3"/>
        <v>J094</v>
      </c>
      <c r="D1242" s="19" t="str">
        <f t="array" ref="D1242">XLOOKUP(A1242,Data!F:F,Data!C:C)</f>
        <v/>
      </c>
      <c r="E1242" s="19" t="str">
        <f t="array" ref="E1242">XLOOKUP(A1242,Data!F:F,Data!H:H)</f>
        <v>BW</v>
      </c>
      <c r="F1242" s="106" t="str">
        <f>SUMIFS(Data!J:J,Data!F:F,A1242)</f>
        <v>1</v>
      </c>
      <c r="G1242" s="106" t="str">
        <f>SUMIFS(Cast!C:C,CastElements,A1242)</f>
        <v>1</v>
      </c>
      <c r="H1242" s="106" t="str">
        <f t="shared" si="4"/>
        <v>0</v>
      </c>
      <c r="I1242" s="106" t="str">
        <f>SUMIFS(Del!C:C,Del!B:B,A1242)</f>
        <v>0</v>
      </c>
      <c r="J1242" s="106" t="str">
        <f t="shared" si="5"/>
        <v>1</v>
      </c>
      <c r="K1242" s="106" t="str">
        <f t="shared" si="6"/>
        <v>1</v>
      </c>
      <c r="L1242" s="106"/>
      <c r="M1242" s="106" t="str">
        <f>SUMIFS(Ere!C:C,Ere!B:B,A1242)</f>
        <v>0</v>
      </c>
      <c r="N1242" s="106" t="str">
        <f t="shared" si="7"/>
        <v>1</v>
      </c>
      <c r="O1242" s="107" t="str">
        <f t="array" ref="O1242">XLOOKUP(A1242,Data!F:F,Data!O:O)</f>
        <v>  1.97 </v>
      </c>
      <c r="P1242" s="107" t="str">
        <f t="shared" si="8"/>
        <v>  4.91 </v>
      </c>
      <c r="Q1242" s="27"/>
    </row>
    <row r="1243" ht="15.75" customHeight="1">
      <c r="A1243" s="105" t="s">
        <v>1487</v>
      </c>
      <c r="B1243" s="19" t="str">
        <f t="array" ref="B1243">XLOOKUP(A1243,Data!F:F,Data!G:G)</f>
        <v>J1C</v>
      </c>
      <c r="C1243" s="19" t="str">
        <f t="shared" si="3"/>
        <v>J094</v>
      </c>
      <c r="D1243" s="19" t="str">
        <f t="array" ref="D1243">XLOOKUP(A1243,Data!F:F,Data!C:C)</f>
        <v/>
      </c>
      <c r="E1243" s="19" t="str">
        <f t="array" ref="E1243">XLOOKUP(A1243,Data!F:F,Data!H:H)</f>
        <v>BW</v>
      </c>
      <c r="F1243" s="106" t="str">
        <f>SUMIFS(Data!J:J,Data!F:F,A1243)</f>
        <v>1</v>
      </c>
      <c r="G1243" s="106" t="str">
        <f>SUMIFS(Cast!C:C,CastElements,A1243)</f>
        <v>1</v>
      </c>
      <c r="H1243" s="106" t="str">
        <f t="shared" si="4"/>
        <v>0</v>
      </c>
      <c r="I1243" s="106" t="str">
        <f>SUMIFS(Del!C:C,Del!B:B,A1243)</f>
        <v>0</v>
      </c>
      <c r="J1243" s="106" t="str">
        <f t="shared" si="5"/>
        <v>1</v>
      </c>
      <c r="K1243" s="106" t="str">
        <f t="shared" si="6"/>
        <v>1</v>
      </c>
      <c r="L1243" s="106"/>
      <c r="M1243" s="106" t="str">
        <f>SUMIFS(Ere!C:C,Ere!B:B,A1243)</f>
        <v>0</v>
      </c>
      <c r="N1243" s="106" t="str">
        <f t="shared" si="7"/>
        <v>1</v>
      </c>
      <c r="O1243" s="107" t="str">
        <f t="array" ref="O1243">XLOOKUP(A1243,Data!F:F,Data!O:O)</f>
        <v>  1.96 </v>
      </c>
      <c r="P1243" s="107" t="str">
        <f t="shared" si="8"/>
        <v>  4.90 </v>
      </c>
      <c r="Q1243" s="27"/>
    </row>
    <row r="1244" ht="15.75" customHeight="1">
      <c r="A1244" s="105" t="s">
        <v>1488</v>
      </c>
      <c r="B1244" s="19" t="str">
        <f t="array" ref="B1244">XLOOKUP(A1244,Data!F:F,Data!G:G)</f>
        <v>J1C</v>
      </c>
      <c r="C1244" s="19" t="str">
        <f t="shared" si="3"/>
        <v>J094</v>
      </c>
      <c r="D1244" s="19" t="str">
        <f t="array" ref="D1244">XLOOKUP(A1244,Data!F:F,Data!C:C)</f>
        <v/>
      </c>
      <c r="E1244" s="19" t="str">
        <f t="array" ref="E1244">XLOOKUP(A1244,Data!F:F,Data!H:H)</f>
        <v>BW</v>
      </c>
      <c r="F1244" s="106" t="str">
        <f>SUMIFS(Data!J:J,Data!F:F,A1244)</f>
        <v>1</v>
      </c>
      <c r="G1244" s="106" t="str">
        <f>SUMIFS(Cast!C:C,CastElements,A1244)</f>
        <v>1</v>
      </c>
      <c r="H1244" s="106" t="str">
        <f t="shared" si="4"/>
        <v>0</v>
      </c>
      <c r="I1244" s="106" t="str">
        <f>SUMIFS(Del!C:C,Del!B:B,A1244)</f>
        <v>0</v>
      </c>
      <c r="J1244" s="106" t="str">
        <f t="shared" si="5"/>
        <v>1</v>
      </c>
      <c r="K1244" s="106" t="str">
        <f t="shared" si="6"/>
        <v>1</v>
      </c>
      <c r="L1244" s="106"/>
      <c r="M1244" s="106" t="str">
        <f>SUMIFS(Ere!C:C,Ere!B:B,A1244)</f>
        <v>0</v>
      </c>
      <c r="N1244" s="106" t="str">
        <f t="shared" si="7"/>
        <v>1</v>
      </c>
      <c r="O1244" s="107" t="str">
        <f t="array" ref="O1244">XLOOKUP(A1244,Data!F:F,Data!O:O)</f>
        <v>  1.96 </v>
      </c>
      <c r="P1244" s="107" t="str">
        <f t="shared" si="8"/>
        <v>  4.90 </v>
      </c>
      <c r="Q1244" s="27"/>
    </row>
    <row r="1245" ht="15.75" customHeight="1">
      <c r="A1245" s="105" t="s">
        <v>1489</v>
      </c>
      <c r="B1245" s="19" t="str">
        <f t="array" ref="B1245">XLOOKUP(A1245,Data!F:F,Data!G:G)</f>
        <v>J1C</v>
      </c>
      <c r="C1245" s="19" t="str">
        <f t="shared" si="3"/>
        <v>J094</v>
      </c>
      <c r="D1245" s="19" t="str">
        <f t="array" ref="D1245">XLOOKUP(A1245,Data!F:F,Data!C:C)</f>
        <v/>
      </c>
      <c r="E1245" s="19" t="str">
        <f t="array" ref="E1245">XLOOKUP(A1245,Data!F:F,Data!H:H)</f>
        <v>BW</v>
      </c>
      <c r="F1245" s="106" t="str">
        <f>SUMIFS(Data!J:J,Data!F:F,A1245)</f>
        <v>1</v>
      </c>
      <c r="G1245" s="106" t="str">
        <f>SUMIFS(Cast!C:C,CastElements,A1245)</f>
        <v>1</v>
      </c>
      <c r="H1245" s="106" t="str">
        <f t="shared" si="4"/>
        <v>0</v>
      </c>
      <c r="I1245" s="106" t="str">
        <f>SUMIFS(Del!C:C,Del!B:B,A1245)</f>
        <v>0</v>
      </c>
      <c r="J1245" s="106" t="str">
        <f t="shared" si="5"/>
        <v>1</v>
      </c>
      <c r="K1245" s="106" t="str">
        <f t="shared" si="6"/>
        <v>1</v>
      </c>
      <c r="L1245" s="106"/>
      <c r="M1245" s="106" t="str">
        <f>SUMIFS(Ere!C:C,Ere!B:B,A1245)</f>
        <v>0</v>
      </c>
      <c r="N1245" s="106" t="str">
        <f t="shared" si="7"/>
        <v>1</v>
      </c>
      <c r="O1245" s="107" t="str">
        <f t="array" ref="O1245">XLOOKUP(A1245,Data!F:F,Data!O:O)</f>
        <v>  1.96 </v>
      </c>
      <c r="P1245" s="107" t="str">
        <f t="shared" si="8"/>
        <v>  4.90 </v>
      </c>
      <c r="Q1245" s="27"/>
    </row>
    <row r="1246" ht="15.75" customHeight="1">
      <c r="A1246" s="105" t="s">
        <v>1490</v>
      </c>
      <c r="B1246" s="19" t="str">
        <f t="array" ref="B1246">XLOOKUP(A1246,Data!F:F,Data!G:G)</f>
        <v>J1C</v>
      </c>
      <c r="C1246" s="19" t="str">
        <f t="shared" si="3"/>
        <v>J094</v>
      </c>
      <c r="D1246" s="19" t="str">
        <f t="array" ref="D1246">XLOOKUP(A1246,Data!F:F,Data!C:C)</f>
        <v/>
      </c>
      <c r="E1246" s="19" t="str">
        <f t="array" ref="E1246">XLOOKUP(A1246,Data!F:F,Data!H:H)</f>
        <v>BW</v>
      </c>
      <c r="F1246" s="106" t="str">
        <f>SUMIFS(Data!J:J,Data!F:F,A1246)</f>
        <v>1</v>
      </c>
      <c r="G1246" s="106" t="str">
        <f>SUMIFS(Cast!C:C,CastElements,A1246)</f>
        <v>1</v>
      </c>
      <c r="H1246" s="106" t="str">
        <f t="shared" si="4"/>
        <v>0</v>
      </c>
      <c r="I1246" s="106" t="str">
        <f>SUMIFS(Del!C:C,Del!B:B,A1246)</f>
        <v>0</v>
      </c>
      <c r="J1246" s="106" t="str">
        <f t="shared" si="5"/>
        <v>1</v>
      </c>
      <c r="K1246" s="106" t="str">
        <f t="shared" si="6"/>
        <v>1</v>
      </c>
      <c r="L1246" s="106"/>
      <c r="M1246" s="106" t="str">
        <f>SUMIFS(Ere!C:C,Ere!B:B,A1246)</f>
        <v>0</v>
      </c>
      <c r="N1246" s="106" t="str">
        <f t="shared" si="7"/>
        <v>1</v>
      </c>
      <c r="O1246" s="107" t="str">
        <f t="array" ref="O1246">XLOOKUP(A1246,Data!F:F,Data!O:O)</f>
        <v>  1.63 </v>
      </c>
      <c r="P1246" s="107" t="str">
        <f t="shared" si="8"/>
        <v>  4.08 </v>
      </c>
      <c r="Q1246" s="27"/>
    </row>
    <row r="1247" ht="15.75" customHeight="1">
      <c r="A1247" s="105" t="s">
        <v>1491</v>
      </c>
      <c r="B1247" s="19" t="str">
        <f t="array" ref="B1247">XLOOKUP(A1247,Data!F:F,Data!G:G)</f>
        <v>J1C</v>
      </c>
      <c r="C1247" s="19" t="str">
        <f t="shared" si="3"/>
        <v>J094</v>
      </c>
      <c r="D1247" s="19" t="str">
        <f t="array" ref="D1247">XLOOKUP(A1247,Data!F:F,Data!C:C)</f>
        <v/>
      </c>
      <c r="E1247" s="19" t="str">
        <f t="array" ref="E1247">XLOOKUP(A1247,Data!F:F,Data!H:H)</f>
        <v>BW</v>
      </c>
      <c r="F1247" s="106" t="str">
        <f>SUMIFS(Data!J:J,Data!F:F,A1247)</f>
        <v>1</v>
      </c>
      <c r="G1247" s="106" t="str">
        <f>SUMIFS(Cast!C:C,CastElements,A1247)</f>
        <v>1</v>
      </c>
      <c r="H1247" s="106" t="str">
        <f t="shared" si="4"/>
        <v>0</v>
      </c>
      <c r="I1247" s="106" t="str">
        <f>SUMIFS(Del!C:C,Del!B:B,A1247)</f>
        <v>0</v>
      </c>
      <c r="J1247" s="106" t="str">
        <f t="shared" si="5"/>
        <v>1</v>
      </c>
      <c r="K1247" s="106" t="str">
        <f t="shared" si="6"/>
        <v>1</v>
      </c>
      <c r="L1247" s="106"/>
      <c r="M1247" s="106" t="str">
        <f>SUMIFS(Ere!C:C,Ere!B:B,A1247)</f>
        <v>0</v>
      </c>
      <c r="N1247" s="106" t="str">
        <f t="shared" si="7"/>
        <v>1</v>
      </c>
      <c r="O1247" s="107" t="str">
        <f t="array" ref="O1247">XLOOKUP(A1247,Data!F:F,Data!O:O)</f>
        <v>  2.32 </v>
      </c>
      <c r="P1247" s="107" t="str">
        <f t="shared" si="8"/>
        <v>  5.79 </v>
      </c>
      <c r="Q1247" s="27"/>
    </row>
    <row r="1248" ht="15.75" customHeight="1">
      <c r="A1248" s="105" t="s">
        <v>1492</v>
      </c>
      <c r="B1248" s="19" t="str">
        <f t="array" ref="B1248">XLOOKUP(A1248,Data!F:F,Data!G:G)</f>
        <v>J1C</v>
      </c>
      <c r="C1248" s="19" t="str">
        <f t="shared" si="3"/>
        <v>J094</v>
      </c>
      <c r="D1248" s="19" t="str">
        <f t="array" ref="D1248">XLOOKUP(A1248,Data!F:F,Data!C:C)</f>
        <v/>
      </c>
      <c r="E1248" s="19" t="str">
        <f t="array" ref="E1248">XLOOKUP(A1248,Data!F:F,Data!H:H)</f>
        <v>BW</v>
      </c>
      <c r="F1248" s="106" t="str">
        <f>SUMIFS(Data!J:J,Data!F:F,A1248)</f>
        <v>1</v>
      </c>
      <c r="G1248" s="106" t="str">
        <f>SUMIFS(Cast!C:C,CastElements,A1248)</f>
        <v>1</v>
      </c>
      <c r="H1248" s="106" t="str">
        <f t="shared" si="4"/>
        <v>0</v>
      </c>
      <c r="I1248" s="106" t="str">
        <f>SUMIFS(Del!C:C,Del!B:B,A1248)</f>
        <v>0</v>
      </c>
      <c r="J1248" s="106" t="str">
        <f t="shared" si="5"/>
        <v>1</v>
      </c>
      <c r="K1248" s="106" t="str">
        <f t="shared" si="6"/>
        <v>1</v>
      </c>
      <c r="L1248" s="106"/>
      <c r="M1248" s="106" t="str">
        <f>SUMIFS(Ere!C:C,Ere!B:B,A1248)</f>
        <v>0</v>
      </c>
      <c r="N1248" s="106" t="str">
        <f t="shared" si="7"/>
        <v>1</v>
      </c>
      <c r="O1248" s="107" t="str">
        <f t="array" ref="O1248">XLOOKUP(A1248,Data!F:F,Data!O:O)</f>
        <v>  2.26 </v>
      </c>
      <c r="P1248" s="107" t="str">
        <f t="shared" si="8"/>
        <v>  5.66 </v>
      </c>
      <c r="Q1248" s="27"/>
    </row>
    <row r="1249" ht="15.75" customHeight="1">
      <c r="A1249" s="105" t="s">
        <v>1493</v>
      </c>
      <c r="B1249" s="19" t="str">
        <f t="array" ref="B1249">XLOOKUP(A1249,Data!F:F,Data!G:G)</f>
        <v>J1C</v>
      </c>
      <c r="C1249" s="19" t="str">
        <f t="shared" si="3"/>
        <v>J094</v>
      </c>
      <c r="D1249" s="19" t="str">
        <f t="array" ref="D1249">XLOOKUP(A1249,Data!F:F,Data!C:C)</f>
        <v/>
      </c>
      <c r="E1249" s="19" t="str">
        <f t="array" ref="E1249">XLOOKUP(A1249,Data!F:F,Data!H:H)</f>
        <v>BW</v>
      </c>
      <c r="F1249" s="106" t="str">
        <f>SUMIFS(Data!J:J,Data!F:F,A1249)</f>
        <v>1</v>
      </c>
      <c r="G1249" s="106" t="str">
        <f>SUMIFS(Cast!C:C,CastElements,A1249)</f>
        <v>1</v>
      </c>
      <c r="H1249" s="106" t="str">
        <f t="shared" si="4"/>
        <v>0</v>
      </c>
      <c r="I1249" s="106" t="str">
        <f>SUMIFS(Del!C:C,Del!B:B,A1249)</f>
        <v>0</v>
      </c>
      <c r="J1249" s="106" t="str">
        <f t="shared" si="5"/>
        <v>1</v>
      </c>
      <c r="K1249" s="106" t="str">
        <f t="shared" si="6"/>
        <v>1</v>
      </c>
      <c r="L1249" s="106"/>
      <c r="M1249" s="106" t="str">
        <f>SUMIFS(Ere!C:C,Ere!B:B,A1249)</f>
        <v>0</v>
      </c>
      <c r="N1249" s="106" t="str">
        <f t="shared" si="7"/>
        <v>1</v>
      </c>
      <c r="O1249" s="107" t="str">
        <f t="array" ref="O1249">XLOOKUP(A1249,Data!F:F,Data!O:O)</f>
        <v>  2.26 </v>
      </c>
      <c r="P1249" s="107" t="str">
        <f t="shared" si="8"/>
        <v>  5.66 </v>
      </c>
      <c r="Q1249" s="27"/>
    </row>
    <row r="1250" ht="15.75" customHeight="1">
      <c r="A1250" s="105" t="s">
        <v>1494</v>
      </c>
      <c r="B1250" s="19" t="str">
        <f t="array" ref="B1250">XLOOKUP(A1250,Data!F:F,Data!G:G)</f>
        <v>J1C</v>
      </c>
      <c r="C1250" s="19" t="str">
        <f t="shared" si="3"/>
        <v>J094</v>
      </c>
      <c r="D1250" s="19" t="str">
        <f t="array" ref="D1250">XLOOKUP(A1250,Data!F:F,Data!C:C)</f>
        <v/>
      </c>
      <c r="E1250" s="19" t="str">
        <f t="array" ref="E1250">XLOOKUP(A1250,Data!F:F,Data!H:H)</f>
        <v>BW</v>
      </c>
      <c r="F1250" s="106" t="str">
        <f>SUMIFS(Data!J:J,Data!F:F,A1250)</f>
        <v>1</v>
      </c>
      <c r="G1250" s="106" t="str">
        <f>SUMIFS(Cast!C:C,CastElements,A1250)</f>
        <v>1</v>
      </c>
      <c r="H1250" s="106" t="str">
        <f t="shared" si="4"/>
        <v>0</v>
      </c>
      <c r="I1250" s="106" t="str">
        <f>SUMIFS(Del!C:C,Del!B:B,A1250)</f>
        <v>0</v>
      </c>
      <c r="J1250" s="106" t="str">
        <f t="shared" si="5"/>
        <v>1</v>
      </c>
      <c r="K1250" s="106" t="str">
        <f t="shared" si="6"/>
        <v>1</v>
      </c>
      <c r="L1250" s="106"/>
      <c r="M1250" s="106" t="str">
        <f>SUMIFS(Ere!C:C,Ere!B:B,A1250)</f>
        <v>0</v>
      </c>
      <c r="N1250" s="106" t="str">
        <f t="shared" si="7"/>
        <v>1</v>
      </c>
      <c r="O1250" s="107" t="str">
        <f t="array" ref="O1250">XLOOKUP(A1250,Data!F:F,Data!O:O)</f>
        <v>  2.26 </v>
      </c>
      <c r="P1250" s="107" t="str">
        <f t="shared" si="8"/>
        <v>  5.66 </v>
      </c>
      <c r="Q1250" s="27"/>
    </row>
    <row r="1251" ht="15.75" customHeight="1">
      <c r="A1251" s="105" t="s">
        <v>1495</v>
      </c>
      <c r="B1251" s="19" t="str">
        <f t="array" ref="B1251">XLOOKUP(A1251,Data!F:F,Data!G:G)</f>
        <v>J1C</v>
      </c>
      <c r="C1251" s="19" t="str">
        <f t="shared" si="3"/>
        <v>J094</v>
      </c>
      <c r="D1251" s="19" t="str">
        <f t="array" ref="D1251">XLOOKUP(A1251,Data!F:F,Data!C:C)</f>
        <v/>
      </c>
      <c r="E1251" s="19" t="str">
        <f t="array" ref="E1251">XLOOKUP(A1251,Data!F:F,Data!H:H)</f>
        <v>BW</v>
      </c>
      <c r="F1251" s="106" t="str">
        <f>SUMIFS(Data!J:J,Data!F:F,A1251)</f>
        <v>1</v>
      </c>
      <c r="G1251" s="106" t="str">
        <f>SUMIFS(Cast!C:C,CastElements,A1251)</f>
        <v>1</v>
      </c>
      <c r="H1251" s="106" t="str">
        <f t="shared" si="4"/>
        <v>0</v>
      </c>
      <c r="I1251" s="106" t="str">
        <f>SUMIFS(Del!C:C,Del!B:B,A1251)</f>
        <v>0</v>
      </c>
      <c r="J1251" s="106" t="str">
        <f t="shared" si="5"/>
        <v>1</v>
      </c>
      <c r="K1251" s="106" t="str">
        <f t="shared" si="6"/>
        <v>1</v>
      </c>
      <c r="L1251" s="106"/>
      <c r="M1251" s="106" t="str">
        <f>SUMIFS(Ere!C:C,Ere!B:B,A1251)</f>
        <v>0</v>
      </c>
      <c r="N1251" s="106" t="str">
        <f t="shared" si="7"/>
        <v>1</v>
      </c>
      <c r="O1251" s="107" t="str">
        <f t="array" ref="O1251">XLOOKUP(A1251,Data!F:F,Data!O:O)</f>
        <v>  1.93 </v>
      </c>
      <c r="P1251" s="107" t="str">
        <f t="shared" si="8"/>
        <v>  4.81 </v>
      </c>
      <c r="Q1251" s="27"/>
    </row>
    <row r="1252" ht="15.75" customHeight="1">
      <c r="A1252" s="105" t="s">
        <v>1496</v>
      </c>
      <c r="B1252" s="19" t="str">
        <f t="array" ref="B1252">XLOOKUP(A1252,Data!F:F,Data!G:G)</f>
        <v>J1C</v>
      </c>
      <c r="C1252" s="19" t="str">
        <f t="shared" si="3"/>
        <v>J094</v>
      </c>
      <c r="D1252" s="19" t="str">
        <f t="array" ref="D1252">XLOOKUP(A1252,Data!F:F,Data!C:C)</f>
        <v/>
      </c>
      <c r="E1252" s="19" t="str">
        <f t="array" ref="E1252">XLOOKUP(A1252,Data!F:F,Data!H:H)</f>
        <v>BW</v>
      </c>
      <c r="F1252" s="106" t="str">
        <f>SUMIFS(Data!J:J,Data!F:F,A1252)</f>
        <v>1</v>
      </c>
      <c r="G1252" s="106" t="str">
        <f>SUMIFS(Cast!C:C,CastElements,A1252)</f>
        <v>1</v>
      </c>
      <c r="H1252" s="106" t="str">
        <f t="shared" si="4"/>
        <v>0</v>
      </c>
      <c r="I1252" s="106" t="str">
        <f>SUMIFS(Del!C:C,Del!B:B,A1252)</f>
        <v>0</v>
      </c>
      <c r="J1252" s="106" t="str">
        <f t="shared" si="5"/>
        <v>1</v>
      </c>
      <c r="K1252" s="106" t="str">
        <f t="shared" si="6"/>
        <v>1</v>
      </c>
      <c r="L1252" s="106"/>
      <c r="M1252" s="106" t="str">
        <f>SUMIFS(Ere!C:C,Ere!B:B,A1252)</f>
        <v>0</v>
      </c>
      <c r="N1252" s="106" t="str">
        <f t="shared" si="7"/>
        <v>1</v>
      </c>
      <c r="O1252" s="107" t="str">
        <f t="array" ref="O1252">XLOOKUP(A1252,Data!F:F,Data!O:O)</f>
        <v>  0.41 </v>
      </c>
      <c r="P1252" s="107" t="str">
        <f t="shared" si="8"/>
        <v>  1.03 </v>
      </c>
      <c r="Q1252" s="27"/>
    </row>
    <row r="1253" ht="15.75" customHeight="1">
      <c r="A1253" s="105" t="s">
        <v>1497</v>
      </c>
      <c r="B1253" s="19" t="str">
        <f t="array" ref="B1253">XLOOKUP(A1253,Data!F:F,Data!G:G)</f>
        <v>J1C</v>
      </c>
      <c r="C1253" s="19" t="str">
        <f t="shared" si="3"/>
        <v>J094</v>
      </c>
      <c r="D1253" s="19" t="str">
        <f t="array" ref="D1253">XLOOKUP(A1253,Data!F:F,Data!C:C)</f>
        <v/>
      </c>
      <c r="E1253" s="19" t="str">
        <f t="array" ref="E1253">XLOOKUP(A1253,Data!F:F,Data!H:H)</f>
        <v>CF</v>
      </c>
      <c r="F1253" s="106" t="str">
        <f>SUMIFS(Data!J:J,Data!F:F,A1253)</f>
        <v>1</v>
      </c>
      <c r="G1253" s="106" t="str">
        <f>SUMIFS(Cast!C:C,CastElements,A1253)</f>
        <v>1</v>
      </c>
      <c r="H1253" s="106" t="str">
        <f t="shared" si="4"/>
        <v>0</v>
      </c>
      <c r="I1253" s="106" t="str">
        <f>SUMIFS(Del!C:C,Del!B:B,A1253)</f>
        <v>0</v>
      </c>
      <c r="J1253" s="106" t="str">
        <f t="shared" si="5"/>
        <v>1</v>
      </c>
      <c r="K1253" s="106" t="str">
        <f t="shared" si="6"/>
        <v>1</v>
      </c>
      <c r="L1253" s="106"/>
      <c r="M1253" s="106" t="str">
        <f>SUMIFS(Ere!C:C,Ere!B:B,A1253)</f>
        <v>0</v>
      </c>
      <c r="N1253" s="106" t="str">
        <f t="shared" si="7"/>
        <v>1</v>
      </c>
      <c r="O1253" s="107" t="str">
        <f t="array" ref="O1253">XLOOKUP(A1253,Data!F:F,Data!O:O)</f>
        <v>  0.52 </v>
      </c>
      <c r="P1253" s="107" t="str">
        <f t="shared" si="8"/>
        <v>  1.30 </v>
      </c>
      <c r="Q1253" s="27"/>
    </row>
    <row r="1254" ht="15.75" customHeight="1">
      <c r="A1254" s="105" t="s">
        <v>1498</v>
      </c>
      <c r="B1254" s="19" t="str">
        <f t="array" ref="B1254">XLOOKUP(A1254,Data!F:F,Data!G:G)</f>
        <v>J1C</v>
      </c>
      <c r="C1254" s="19" t="str">
        <f t="shared" si="3"/>
        <v>J095</v>
      </c>
      <c r="D1254" s="19" t="str">
        <f t="array" ref="D1254">XLOOKUP(A1254,Data!F:F,Data!C:C)</f>
        <v>EXT</v>
      </c>
      <c r="E1254" s="19" t="str">
        <f t="array" ref="E1254">XLOOKUP(A1254,Data!F:F,Data!H:H)</f>
        <v>BW</v>
      </c>
      <c r="F1254" s="106" t="str">
        <f>SUMIFS(Data!J:J,Data!F:F,A1254)</f>
        <v>1</v>
      </c>
      <c r="G1254" s="106" t="str">
        <f>SUMIFS(Cast!C:C,CastElements,A1254)</f>
        <v>0</v>
      </c>
      <c r="H1254" s="106" t="str">
        <f t="shared" si="4"/>
        <v>1</v>
      </c>
      <c r="I1254" s="106" t="str">
        <f>SUMIFS(Del!C:C,Del!B:B,A1254)</f>
        <v>0</v>
      </c>
      <c r="J1254" s="106" t="str">
        <f t="shared" si="5"/>
        <v>1</v>
      </c>
      <c r="K1254" s="106" t="str">
        <f t="shared" si="6"/>
        <v>0</v>
      </c>
      <c r="L1254" s="106"/>
      <c r="M1254" s="106" t="str">
        <f>SUMIFS(Ere!C:C,Ere!B:B,A1254)</f>
        <v>0</v>
      </c>
      <c r="N1254" s="106" t="str">
        <f t="shared" si="7"/>
        <v>1</v>
      </c>
      <c r="O1254" s="107" t="str">
        <f t="array" ref="O1254">XLOOKUP(A1254,Data!F:F,Data!O:O)</f>
        <v>  1.05 </v>
      </c>
      <c r="P1254" s="107" t="str">
        <f t="shared" si="8"/>
        <v>  2.63 </v>
      </c>
      <c r="Q1254" s="27"/>
    </row>
    <row r="1255" ht="15.75" customHeight="1">
      <c r="A1255" s="105" t="s">
        <v>1499</v>
      </c>
      <c r="B1255" s="19" t="str">
        <f t="array" ref="B1255">XLOOKUP(A1255,Data!F:F,Data!G:G)</f>
        <v>J1C</v>
      </c>
      <c r="C1255" s="19" t="str">
        <f t="shared" si="3"/>
        <v>J095</v>
      </c>
      <c r="D1255" s="19" t="str">
        <f t="array" ref="D1255">XLOOKUP(A1255,Data!F:F,Data!C:C)</f>
        <v>EXT</v>
      </c>
      <c r="E1255" s="19" t="str">
        <f t="array" ref="E1255">XLOOKUP(A1255,Data!F:F,Data!H:H)</f>
        <v>BW</v>
      </c>
      <c r="F1255" s="106" t="str">
        <f>SUMIFS(Data!J:J,Data!F:F,A1255)</f>
        <v>1</v>
      </c>
      <c r="G1255" s="106" t="str">
        <f>SUMIFS(Cast!C:C,CastElements,A1255)</f>
        <v>0</v>
      </c>
      <c r="H1255" s="106" t="str">
        <f t="shared" si="4"/>
        <v>1</v>
      </c>
      <c r="I1255" s="106" t="str">
        <f>SUMIFS(Del!C:C,Del!B:B,A1255)</f>
        <v>0</v>
      </c>
      <c r="J1255" s="106" t="str">
        <f t="shared" si="5"/>
        <v>1</v>
      </c>
      <c r="K1255" s="106" t="str">
        <f t="shared" si="6"/>
        <v>0</v>
      </c>
      <c r="L1255" s="106"/>
      <c r="M1255" s="106" t="str">
        <f>SUMIFS(Ere!C:C,Ere!B:B,A1255)</f>
        <v>0</v>
      </c>
      <c r="N1255" s="106" t="str">
        <f t="shared" si="7"/>
        <v>1</v>
      </c>
      <c r="O1255" s="107" t="str">
        <f t="array" ref="O1255">XLOOKUP(A1255,Data!F:F,Data!O:O)</f>
        <v>  1.21 </v>
      </c>
      <c r="P1255" s="107" t="str">
        <f t="shared" si="8"/>
        <v>  3.01 </v>
      </c>
      <c r="Q1255" s="27"/>
    </row>
    <row r="1256" ht="15.75" customHeight="1">
      <c r="A1256" s="105" t="s">
        <v>1500</v>
      </c>
      <c r="B1256" s="19" t="str">
        <f t="array" ref="B1256">XLOOKUP(A1256,Data!F:F,Data!G:G)</f>
        <v>J1C</v>
      </c>
      <c r="C1256" s="19" t="str">
        <f t="shared" si="3"/>
        <v>J095</v>
      </c>
      <c r="D1256" s="19" t="str">
        <f t="array" ref="D1256">XLOOKUP(A1256,Data!F:F,Data!C:C)</f>
        <v>EXT</v>
      </c>
      <c r="E1256" s="19" t="str">
        <f t="array" ref="E1256">XLOOKUP(A1256,Data!F:F,Data!H:H)</f>
        <v>BW</v>
      </c>
      <c r="F1256" s="106" t="str">
        <f>SUMIFS(Data!J:J,Data!F:F,A1256)</f>
        <v>1</v>
      </c>
      <c r="G1256" s="106" t="str">
        <f>SUMIFS(Cast!C:C,CastElements,A1256)</f>
        <v>0</v>
      </c>
      <c r="H1256" s="106" t="str">
        <f t="shared" si="4"/>
        <v>1</v>
      </c>
      <c r="I1256" s="106" t="str">
        <f>SUMIFS(Del!C:C,Del!B:B,A1256)</f>
        <v>0</v>
      </c>
      <c r="J1256" s="106" t="str">
        <f t="shared" si="5"/>
        <v>1</v>
      </c>
      <c r="K1256" s="106" t="str">
        <f t="shared" si="6"/>
        <v>0</v>
      </c>
      <c r="L1256" s="106"/>
      <c r="M1256" s="106" t="str">
        <f>SUMIFS(Ere!C:C,Ere!B:B,A1256)</f>
        <v>0</v>
      </c>
      <c r="N1256" s="106" t="str">
        <f t="shared" si="7"/>
        <v>1</v>
      </c>
      <c r="O1256" s="107" t="str">
        <f t="array" ref="O1256">XLOOKUP(A1256,Data!F:F,Data!O:O)</f>
        <v>  1.64 </v>
      </c>
      <c r="P1256" s="107" t="str">
        <f t="shared" si="8"/>
        <v>  4.10 </v>
      </c>
      <c r="Q1256" s="27"/>
    </row>
    <row r="1257" ht="15.75" customHeight="1">
      <c r="A1257" s="105" t="s">
        <v>1501</v>
      </c>
      <c r="B1257" s="19" t="str">
        <f t="array" ref="B1257">XLOOKUP(A1257,Data!F:F,Data!G:G)</f>
        <v>J1C</v>
      </c>
      <c r="C1257" s="19" t="str">
        <f t="shared" si="3"/>
        <v>J095</v>
      </c>
      <c r="D1257" s="19" t="str">
        <f t="array" ref="D1257">XLOOKUP(A1257,Data!F:F,Data!C:C)</f>
        <v>EXT</v>
      </c>
      <c r="E1257" s="19" t="str">
        <f t="array" ref="E1257">XLOOKUP(A1257,Data!F:F,Data!H:H)</f>
        <v>BW</v>
      </c>
      <c r="F1257" s="106" t="str">
        <f>SUMIFS(Data!J:J,Data!F:F,A1257)</f>
        <v>1</v>
      </c>
      <c r="G1257" s="106" t="str">
        <f>SUMIFS(Cast!C:C,CastElements,A1257)</f>
        <v>0</v>
      </c>
      <c r="H1257" s="106" t="str">
        <f t="shared" si="4"/>
        <v>1</v>
      </c>
      <c r="I1257" s="106" t="str">
        <f>SUMIFS(Del!C:C,Del!B:B,A1257)</f>
        <v>0</v>
      </c>
      <c r="J1257" s="106" t="str">
        <f t="shared" si="5"/>
        <v>1</v>
      </c>
      <c r="K1257" s="106" t="str">
        <f t="shared" si="6"/>
        <v>0</v>
      </c>
      <c r="L1257" s="106"/>
      <c r="M1257" s="106" t="str">
        <f>SUMIFS(Ere!C:C,Ere!B:B,A1257)</f>
        <v>0</v>
      </c>
      <c r="N1257" s="106" t="str">
        <f t="shared" si="7"/>
        <v>1</v>
      </c>
      <c r="O1257" s="107" t="str">
        <f t="array" ref="O1257">XLOOKUP(A1257,Data!F:F,Data!O:O)</f>
        <v>  1.50 </v>
      </c>
      <c r="P1257" s="107" t="str">
        <f t="shared" si="8"/>
        <v>  3.75 </v>
      </c>
      <c r="Q1257" s="27"/>
    </row>
    <row r="1258" ht="15.75" customHeight="1">
      <c r="A1258" s="105" t="s">
        <v>1502</v>
      </c>
      <c r="B1258" s="19" t="str">
        <f t="array" ref="B1258">XLOOKUP(A1258,Data!F:F,Data!G:G)</f>
        <v>J1C</v>
      </c>
      <c r="C1258" s="19" t="str">
        <f t="shared" si="3"/>
        <v>J095</v>
      </c>
      <c r="D1258" s="19" t="str">
        <f t="array" ref="D1258">XLOOKUP(A1258,Data!F:F,Data!C:C)</f>
        <v>EXT</v>
      </c>
      <c r="E1258" s="19" t="str">
        <f t="array" ref="E1258">XLOOKUP(A1258,Data!F:F,Data!H:H)</f>
        <v>BW</v>
      </c>
      <c r="F1258" s="106" t="str">
        <f>SUMIFS(Data!J:J,Data!F:F,A1258)</f>
        <v>1</v>
      </c>
      <c r="G1258" s="106" t="str">
        <f>SUMIFS(Cast!C:C,CastElements,A1258)</f>
        <v>1</v>
      </c>
      <c r="H1258" s="106" t="str">
        <f t="shared" si="4"/>
        <v>0</v>
      </c>
      <c r="I1258" s="106" t="str">
        <f>SUMIFS(Del!C:C,Del!B:B,A1258)</f>
        <v>0</v>
      </c>
      <c r="J1258" s="106" t="str">
        <f t="shared" si="5"/>
        <v>1</v>
      </c>
      <c r="K1258" s="106" t="str">
        <f t="shared" si="6"/>
        <v>1</v>
      </c>
      <c r="L1258" s="106"/>
      <c r="M1258" s="106" t="str">
        <f>SUMIFS(Ere!C:C,Ere!B:B,A1258)</f>
        <v>0</v>
      </c>
      <c r="N1258" s="106" t="str">
        <f t="shared" si="7"/>
        <v>1</v>
      </c>
      <c r="O1258" s="107" t="str">
        <f t="array" ref="O1258">XLOOKUP(A1258,Data!F:F,Data!O:O)</f>
        <v>  0.92 </v>
      </c>
      <c r="P1258" s="107" t="str">
        <f t="shared" si="8"/>
        <v>  2.30 </v>
      </c>
      <c r="Q1258" s="27"/>
    </row>
    <row r="1259" ht="15.75" customHeight="1">
      <c r="A1259" s="105" t="s">
        <v>1503</v>
      </c>
      <c r="B1259" s="19" t="str">
        <f t="array" ref="B1259">XLOOKUP(A1259,Data!F:F,Data!G:G)</f>
        <v>J1C</v>
      </c>
      <c r="C1259" s="19" t="str">
        <f t="shared" si="3"/>
        <v>J095</v>
      </c>
      <c r="D1259" s="19" t="str">
        <f t="array" ref="D1259">XLOOKUP(A1259,Data!F:F,Data!C:C)</f>
        <v/>
      </c>
      <c r="E1259" s="19" t="str">
        <f t="array" ref="E1259">XLOOKUP(A1259,Data!F:F,Data!H:H)</f>
        <v>BW</v>
      </c>
      <c r="F1259" s="106" t="str">
        <f>SUMIFS(Data!J:J,Data!F:F,A1259)</f>
        <v>1</v>
      </c>
      <c r="G1259" s="106" t="str">
        <f>SUMIFS(Cast!C:C,CastElements,A1259)</f>
        <v>1</v>
      </c>
      <c r="H1259" s="106" t="str">
        <f t="shared" si="4"/>
        <v>0</v>
      </c>
      <c r="I1259" s="106" t="str">
        <f>SUMIFS(Del!C:C,Del!B:B,A1259)</f>
        <v>0</v>
      </c>
      <c r="J1259" s="106" t="str">
        <f t="shared" si="5"/>
        <v>1</v>
      </c>
      <c r="K1259" s="106" t="str">
        <f t="shared" si="6"/>
        <v>1</v>
      </c>
      <c r="L1259" s="106"/>
      <c r="M1259" s="106" t="str">
        <f>SUMIFS(Ere!C:C,Ere!B:B,A1259)</f>
        <v>0</v>
      </c>
      <c r="N1259" s="106" t="str">
        <f t="shared" si="7"/>
        <v>1</v>
      </c>
      <c r="O1259" s="107" t="str">
        <f t="array" ref="O1259">XLOOKUP(A1259,Data!F:F,Data!O:O)</f>
        <v>  1.30 </v>
      </c>
      <c r="P1259" s="107" t="str">
        <f t="shared" si="8"/>
        <v>  3.24 </v>
      </c>
      <c r="Q1259" s="27"/>
    </row>
    <row r="1260" ht="15.75" customHeight="1">
      <c r="A1260" s="105" t="s">
        <v>1504</v>
      </c>
      <c r="B1260" s="19" t="str">
        <f t="array" ref="B1260">XLOOKUP(A1260,Data!F:F,Data!G:G)</f>
        <v>J1C</v>
      </c>
      <c r="C1260" s="19" t="str">
        <f t="shared" si="3"/>
        <v>J095</v>
      </c>
      <c r="D1260" s="19" t="str">
        <f t="array" ref="D1260">XLOOKUP(A1260,Data!F:F,Data!C:C)</f>
        <v/>
      </c>
      <c r="E1260" s="19" t="str">
        <f t="array" ref="E1260">XLOOKUP(A1260,Data!F:F,Data!H:H)</f>
        <v>BW</v>
      </c>
      <c r="F1260" s="106" t="str">
        <f>SUMIFS(Data!J:J,Data!F:F,A1260)</f>
        <v>1</v>
      </c>
      <c r="G1260" s="106" t="str">
        <f>SUMIFS(Cast!C:C,CastElements,A1260)</f>
        <v>1</v>
      </c>
      <c r="H1260" s="106" t="str">
        <f t="shared" si="4"/>
        <v>0</v>
      </c>
      <c r="I1260" s="106" t="str">
        <f>SUMIFS(Del!C:C,Del!B:B,A1260)</f>
        <v>0</v>
      </c>
      <c r="J1260" s="106" t="str">
        <f t="shared" si="5"/>
        <v>1</v>
      </c>
      <c r="K1260" s="106" t="str">
        <f t="shared" si="6"/>
        <v>1</v>
      </c>
      <c r="L1260" s="106"/>
      <c r="M1260" s="106" t="str">
        <f>SUMIFS(Ere!C:C,Ere!B:B,A1260)</f>
        <v>0</v>
      </c>
      <c r="N1260" s="106" t="str">
        <f t="shared" si="7"/>
        <v>1</v>
      </c>
      <c r="O1260" s="107" t="str">
        <f t="array" ref="O1260">XLOOKUP(A1260,Data!F:F,Data!O:O)</f>
        <v>  1.29 </v>
      </c>
      <c r="P1260" s="107" t="str">
        <f t="shared" si="8"/>
        <v>  3.23 </v>
      </c>
      <c r="Q1260" s="27"/>
    </row>
    <row r="1261" ht="15.75" customHeight="1">
      <c r="A1261" s="105" t="s">
        <v>1505</v>
      </c>
      <c r="B1261" s="19" t="str">
        <f t="array" ref="B1261">XLOOKUP(A1261,Data!F:F,Data!G:G)</f>
        <v>J1C</v>
      </c>
      <c r="C1261" s="19" t="str">
        <f t="shared" si="3"/>
        <v>J095</v>
      </c>
      <c r="D1261" s="19" t="str">
        <f t="array" ref="D1261">XLOOKUP(A1261,Data!F:F,Data!C:C)</f>
        <v/>
      </c>
      <c r="E1261" s="19" t="str">
        <f t="array" ref="E1261">XLOOKUP(A1261,Data!F:F,Data!H:H)</f>
        <v>BW</v>
      </c>
      <c r="F1261" s="106" t="str">
        <f>SUMIFS(Data!J:J,Data!F:F,A1261)</f>
        <v>1</v>
      </c>
      <c r="G1261" s="106" t="str">
        <f>SUMIFS(Cast!C:C,CastElements,A1261)</f>
        <v>1</v>
      </c>
      <c r="H1261" s="106" t="str">
        <f t="shared" si="4"/>
        <v>0</v>
      </c>
      <c r="I1261" s="106" t="str">
        <f>SUMIFS(Del!C:C,Del!B:B,A1261)</f>
        <v>0</v>
      </c>
      <c r="J1261" s="106" t="str">
        <f t="shared" si="5"/>
        <v>1</v>
      </c>
      <c r="K1261" s="106" t="str">
        <f t="shared" si="6"/>
        <v>1</v>
      </c>
      <c r="L1261" s="106"/>
      <c r="M1261" s="106" t="str">
        <f>SUMIFS(Ere!C:C,Ere!B:B,A1261)</f>
        <v>0</v>
      </c>
      <c r="N1261" s="106" t="str">
        <f t="shared" si="7"/>
        <v>1</v>
      </c>
      <c r="O1261" s="107" t="str">
        <f t="array" ref="O1261">XLOOKUP(A1261,Data!F:F,Data!O:O)</f>
        <v>  1.78 </v>
      </c>
      <c r="P1261" s="107" t="str">
        <f t="shared" si="8"/>
        <v>  4.44 </v>
      </c>
      <c r="Q1261" s="27"/>
    </row>
    <row r="1262" ht="15.75" customHeight="1">
      <c r="A1262" s="105" t="s">
        <v>1506</v>
      </c>
      <c r="B1262" s="19" t="str">
        <f t="array" ref="B1262">XLOOKUP(A1262,Data!F:F,Data!G:G)</f>
        <v>J1C</v>
      </c>
      <c r="C1262" s="19" t="str">
        <f t="shared" si="3"/>
        <v>J095</v>
      </c>
      <c r="D1262" s="19" t="str">
        <f t="array" ref="D1262">XLOOKUP(A1262,Data!F:F,Data!C:C)</f>
        <v/>
      </c>
      <c r="E1262" s="19" t="str">
        <f t="array" ref="E1262">XLOOKUP(A1262,Data!F:F,Data!H:H)</f>
        <v>BW</v>
      </c>
      <c r="F1262" s="106" t="str">
        <f>SUMIFS(Data!J:J,Data!F:F,A1262)</f>
        <v>1</v>
      </c>
      <c r="G1262" s="106" t="str">
        <f>SUMIFS(Cast!C:C,CastElements,A1262)</f>
        <v>1</v>
      </c>
      <c r="H1262" s="106" t="str">
        <f t="shared" si="4"/>
        <v>0</v>
      </c>
      <c r="I1262" s="106" t="str">
        <f>SUMIFS(Del!C:C,Del!B:B,A1262)</f>
        <v>0</v>
      </c>
      <c r="J1262" s="106" t="str">
        <f t="shared" si="5"/>
        <v>1</v>
      </c>
      <c r="K1262" s="106" t="str">
        <f t="shared" si="6"/>
        <v>1</v>
      </c>
      <c r="L1262" s="106"/>
      <c r="M1262" s="106" t="str">
        <f>SUMIFS(Ere!C:C,Ere!B:B,A1262)</f>
        <v>0</v>
      </c>
      <c r="N1262" s="106" t="str">
        <f t="shared" si="7"/>
        <v>1</v>
      </c>
      <c r="O1262" s="107" t="str">
        <f t="array" ref="O1262">XLOOKUP(A1262,Data!F:F,Data!O:O)</f>
        <v>  1.73 </v>
      </c>
      <c r="P1262" s="107" t="str">
        <f t="shared" si="8"/>
        <v>  4.32 </v>
      </c>
      <c r="Q1262" s="27"/>
    </row>
    <row r="1263" ht="15.75" customHeight="1">
      <c r="A1263" s="105" t="s">
        <v>1507</v>
      </c>
      <c r="B1263" s="19" t="str">
        <f t="array" ref="B1263">XLOOKUP(A1263,Data!F:F,Data!G:G)</f>
        <v>J1C</v>
      </c>
      <c r="C1263" s="19" t="str">
        <f t="shared" si="3"/>
        <v>J095</v>
      </c>
      <c r="D1263" s="19" t="str">
        <f t="array" ref="D1263">XLOOKUP(A1263,Data!F:F,Data!C:C)</f>
        <v/>
      </c>
      <c r="E1263" s="19" t="str">
        <f t="array" ref="E1263">XLOOKUP(A1263,Data!F:F,Data!H:H)</f>
        <v>BW</v>
      </c>
      <c r="F1263" s="106" t="str">
        <f>SUMIFS(Data!J:J,Data!F:F,A1263)</f>
        <v>1</v>
      </c>
      <c r="G1263" s="106" t="str">
        <f>SUMIFS(Cast!C:C,CastElements,A1263)</f>
        <v>1</v>
      </c>
      <c r="H1263" s="106" t="str">
        <f t="shared" si="4"/>
        <v>0</v>
      </c>
      <c r="I1263" s="106" t="str">
        <f>SUMIFS(Del!C:C,Del!B:B,A1263)</f>
        <v>0</v>
      </c>
      <c r="J1263" s="106" t="str">
        <f t="shared" si="5"/>
        <v>1</v>
      </c>
      <c r="K1263" s="106" t="str">
        <f t="shared" si="6"/>
        <v>1</v>
      </c>
      <c r="L1263" s="106"/>
      <c r="M1263" s="106" t="str">
        <f>SUMIFS(Ere!C:C,Ere!B:B,A1263)</f>
        <v>0</v>
      </c>
      <c r="N1263" s="106" t="str">
        <f t="shared" si="7"/>
        <v>1</v>
      </c>
      <c r="O1263" s="107" t="str">
        <f t="array" ref="O1263">XLOOKUP(A1263,Data!F:F,Data!O:O)</f>
        <v>  2.47 </v>
      </c>
      <c r="P1263" s="107" t="str">
        <f t="shared" si="8"/>
        <v>  6.18 </v>
      </c>
      <c r="Q1263" s="27"/>
    </row>
    <row r="1264" ht="15.75" customHeight="1">
      <c r="A1264" s="105" t="s">
        <v>1508</v>
      </c>
      <c r="B1264" s="19" t="str">
        <f t="array" ref="B1264">XLOOKUP(A1264,Data!F:F,Data!G:G)</f>
        <v>J1C</v>
      </c>
      <c r="C1264" s="19" t="str">
        <f t="shared" si="3"/>
        <v>J095</v>
      </c>
      <c r="D1264" s="19" t="str">
        <f t="array" ref="D1264">XLOOKUP(A1264,Data!F:F,Data!C:C)</f>
        <v/>
      </c>
      <c r="E1264" s="19" t="str">
        <f t="array" ref="E1264">XLOOKUP(A1264,Data!F:F,Data!H:H)</f>
        <v>BW</v>
      </c>
      <c r="F1264" s="106" t="str">
        <f>SUMIFS(Data!J:J,Data!F:F,A1264)</f>
        <v>1</v>
      </c>
      <c r="G1264" s="106" t="str">
        <f>SUMIFS(Cast!C:C,CastElements,A1264)</f>
        <v>1</v>
      </c>
      <c r="H1264" s="106" t="str">
        <f t="shared" si="4"/>
        <v>0</v>
      </c>
      <c r="I1264" s="106" t="str">
        <f>SUMIFS(Del!C:C,Del!B:B,A1264)</f>
        <v>0</v>
      </c>
      <c r="J1264" s="106" t="str">
        <f t="shared" si="5"/>
        <v>1</v>
      </c>
      <c r="K1264" s="106" t="str">
        <f t="shared" si="6"/>
        <v>1</v>
      </c>
      <c r="L1264" s="106"/>
      <c r="M1264" s="106" t="str">
        <f>SUMIFS(Ere!C:C,Ere!B:B,A1264)</f>
        <v>0</v>
      </c>
      <c r="N1264" s="106" t="str">
        <f t="shared" si="7"/>
        <v>1</v>
      </c>
      <c r="O1264" s="107" t="str">
        <f t="array" ref="O1264">XLOOKUP(A1264,Data!F:F,Data!O:O)</f>
        <v>  1.61 </v>
      </c>
      <c r="P1264" s="107" t="str">
        <f t="shared" si="8"/>
        <v>  4.02 </v>
      </c>
      <c r="Q1264" s="27"/>
    </row>
    <row r="1265" ht="15.75" customHeight="1">
      <c r="A1265" s="105" t="s">
        <v>1509</v>
      </c>
      <c r="B1265" s="19" t="str">
        <f t="array" ref="B1265">XLOOKUP(A1265,Data!F:F,Data!G:G)</f>
        <v>J1C</v>
      </c>
      <c r="C1265" s="19" t="str">
        <f t="shared" si="3"/>
        <v>J095</v>
      </c>
      <c r="D1265" s="19" t="str">
        <f t="array" ref="D1265">XLOOKUP(A1265,Data!F:F,Data!C:C)</f>
        <v/>
      </c>
      <c r="E1265" s="19" t="str">
        <f t="array" ref="E1265">XLOOKUP(A1265,Data!F:F,Data!H:H)</f>
        <v>BW</v>
      </c>
      <c r="F1265" s="106" t="str">
        <f>SUMIFS(Data!J:J,Data!F:F,A1265)</f>
        <v>1</v>
      </c>
      <c r="G1265" s="106" t="str">
        <f>SUMIFS(Cast!C:C,CastElements,A1265)</f>
        <v>1</v>
      </c>
      <c r="H1265" s="106" t="str">
        <f t="shared" si="4"/>
        <v>0</v>
      </c>
      <c r="I1265" s="106" t="str">
        <f>SUMIFS(Del!C:C,Del!B:B,A1265)</f>
        <v>0</v>
      </c>
      <c r="J1265" s="106" t="str">
        <f t="shared" si="5"/>
        <v>1</v>
      </c>
      <c r="K1265" s="106" t="str">
        <f t="shared" si="6"/>
        <v>1</v>
      </c>
      <c r="L1265" s="106"/>
      <c r="M1265" s="106" t="str">
        <f>SUMIFS(Ere!C:C,Ere!B:B,A1265)</f>
        <v>0</v>
      </c>
      <c r="N1265" s="106" t="str">
        <f t="shared" si="7"/>
        <v>1</v>
      </c>
      <c r="O1265" s="107" t="str">
        <f t="array" ref="O1265">XLOOKUP(A1265,Data!F:F,Data!O:O)</f>
        <v>  1.61 </v>
      </c>
      <c r="P1265" s="107" t="str">
        <f t="shared" si="8"/>
        <v>  4.02 </v>
      </c>
      <c r="Q1265" s="27"/>
    </row>
    <row r="1266" ht="15.75" customHeight="1">
      <c r="A1266" s="105" t="s">
        <v>1510</v>
      </c>
      <c r="B1266" s="19" t="str">
        <f t="array" ref="B1266">XLOOKUP(A1266,Data!F:F,Data!G:G)</f>
        <v>J1C</v>
      </c>
      <c r="C1266" s="19" t="str">
        <f t="shared" si="3"/>
        <v>J095</v>
      </c>
      <c r="D1266" s="19" t="str">
        <f t="array" ref="D1266">XLOOKUP(A1266,Data!F:F,Data!C:C)</f>
        <v/>
      </c>
      <c r="E1266" s="19" t="str">
        <f t="array" ref="E1266">XLOOKUP(A1266,Data!F:F,Data!H:H)</f>
        <v>BW</v>
      </c>
      <c r="F1266" s="106" t="str">
        <f>SUMIFS(Data!J:J,Data!F:F,A1266)</f>
        <v>1</v>
      </c>
      <c r="G1266" s="106" t="str">
        <f>SUMIFS(Cast!C:C,CastElements,A1266)</f>
        <v>1</v>
      </c>
      <c r="H1266" s="106" t="str">
        <f t="shared" si="4"/>
        <v>0</v>
      </c>
      <c r="I1266" s="106" t="str">
        <f>SUMIFS(Del!C:C,Del!B:B,A1266)</f>
        <v>0</v>
      </c>
      <c r="J1266" s="106" t="str">
        <f t="shared" si="5"/>
        <v>1</v>
      </c>
      <c r="K1266" s="106" t="str">
        <f t="shared" si="6"/>
        <v>1</v>
      </c>
      <c r="L1266" s="106"/>
      <c r="M1266" s="106" t="str">
        <f>SUMIFS(Ere!C:C,Ere!B:B,A1266)</f>
        <v>0</v>
      </c>
      <c r="N1266" s="106" t="str">
        <f t="shared" si="7"/>
        <v>1</v>
      </c>
      <c r="O1266" s="107" t="str">
        <f t="array" ref="O1266">XLOOKUP(A1266,Data!F:F,Data!O:O)</f>
        <v>  1.61 </v>
      </c>
      <c r="P1266" s="107" t="str">
        <f t="shared" si="8"/>
        <v>  4.02 </v>
      </c>
      <c r="Q1266" s="27"/>
    </row>
    <row r="1267" ht="15.75" customHeight="1">
      <c r="A1267" s="105" t="s">
        <v>1511</v>
      </c>
      <c r="B1267" s="19" t="str">
        <f t="array" ref="B1267">XLOOKUP(A1267,Data!F:F,Data!G:G)</f>
        <v>J1C</v>
      </c>
      <c r="C1267" s="19" t="str">
        <f t="shared" si="3"/>
        <v>J095</v>
      </c>
      <c r="D1267" s="19" t="str">
        <f t="array" ref="D1267">XLOOKUP(A1267,Data!F:F,Data!C:C)</f>
        <v/>
      </c>
      <c r="E1267" s="19" t="str">
        <f t="array" ref="E1267">XLOOKUP(A1267,Data!F:F,Data!H:H)</f>
        <v>BW</v>
      </c>
      <c r="F1267" s="106" t="str">
        <f>SUMIFS(Data!J:J,Data!F:F,A1267)</f>
        <v>1</v>
      </c>
      <c r="G1267" s="106" t="str">
        <f>SUMIFS(Cast!C:C,CastElements,A1267)</f>
        <v>1</v>
      </c>
      <c r="H1267" s="106" t="str">
        <f t="shared" si="4"/>
        <v>0</v>
      </c>
      <c r="I1267" s="106" t="str">
        <f>SUMIFS(Del!C:C,Del!B:B,A1267)</f>
        <v>0</v>
      </c>
      <c r="J1267" s="106" t="str">
        <f t="shared" si="5"/>
        <v>1</v>
      </c>
      <c r="K1267" s="106" t="str">
        <f t="shared" si="6"/>
        <v>1</v>
      </c>
      <c r="L1267" s="106"/>
      <c r="M1267" s="106" t="str">
        <f>SUMIFS(Ere!C:C,Ere!B:B,A1267)</f>
        <v>0</v>
      </c>
      <c r="N1267" s="106" t="str">
        <f t="shared" si="7"/>
        <v>1</v>
      </c>
      <c r="O1267" s="107" t="str">
        <f t="array" ref="O1267">XLOOKUP(A1267,Data!F:F,Data!O:O)</f>
        <v>  1.27 </v>
      </c>
      <c r="P1267" s="107" t="str">
        <f t="shared" si="8"/>
        <v>  3.18 </v>
      </c>
      <c r="Q1267" s="27"/>
    </row>
    <row r="1268" ht="15.75" customHeight="1">
      <c r="A1268" s="105" t="s">
        <v>1512</v>
      </c>
      <c r="B1268" s="19" t="str">
        <f t="array" ref="B1268">XLOOKUP(A1268,Data!F:F,Data!G:G)</f>
        <v>J1C</v>
      </c>
      <c r="C1268" s="19" t="str">
        <f t="shared" si="3"/>
        <v>J095</v>
      </c>
      <c r="D1268" s="19" t="str">
        <f t="array" ref="D1268">XLOOKUP(A1268,Data!F:F,Data!C:C)</f>
        <v/>
      </c>
      <c r="E1268" s="19" t="str">
        <f t="array" ref="E1268">XLOOKUP(A1268,Data!F:F,Data!H:H)</f>
        <v>BW</v>
      </c>
      <c r="F1268" s="106" t="str">
        <f>SUMIFS(Data!J:J,Data!F:F,A1268)</f>
        <v>1</v>
      </c>
      <c r="G1268" s="106" t="str">
        <f>SUMIFS(Cast!C:C,CastElements,A1268)</f>
        <v>1</v>
      </c>
      <c r="H1268" s="106" t="str">
        <f t="shared" si="4"/>
        <v>0</v>
      </c>
      <c r="I1268" s="106" t="str">
        <f>SUMIFS(Del!C:C,Del!B:B,A1268)</f>
        <v>0</v>
      </c>
      <c r="J1268" s="106" t="str">
        <f t="shared" si="5"/>
        <v>1</v>
      </c>
      <c r="K1268" s="106" t="str">
        <f t="shared" si="6"/>
        <v>1</v>
      </c>
      <c r="L1268" s="106"/>
      <c r="M1268" s="106" t="str">
        <f>SUMIFS(Ere!C:C,Ere!B:B,A1268)</f>
        <v>0</v>
      </c>
      <c r="N1268" s="106" t="str">
        <f t="shared" si="7"/>
        <v>1</v>
      </c>
      <c r="O1268" s="107" t="str">
        <f t="array" ref="O1268">XLOOKUP(A1268,Data!F:F,Data!O:O)</f>
        <v>  2.06 </v>
      </c>
      <c r="P1268" s="107" t="str">
        <f t="shared" si="8"/>
        <v>  5.15 </v>
      </c>
      <c r="Q1268" s="27"/>
    </row>
    <row r="1269" ht="15.75" customHeight="1">
      <c r="A1269" s="105" t="s">
        <v>1513</v>
      </c>
      <c r="B1269" s="19" t="str">
        <f t="array" ref="B1269">XLOOKUP(A1269,Data!F:F,Data!G:G)</f>
        <v>J1C</v>
      </c>
      <c r="C1269" s="19" t="str">
        <f t="shared" si="3"/>
        <v>J095</v>
      </c>
      <c r="D1269" s="19" t="str">
        <f t="array" ref="D1269">XLOOKUP(A1269,Data!F:F,Data!C:C)</f>
        <v/>
      </c>
      <c r="E1269" s="19" t="str">
        <f t="array" ref="E1269">XLOOKUP(A1269,Data!F:F,Data!H:H)</f>
        <v>BW</v>
      </c>
      <c r="F1269" s="106" t="str">
        <f>SUMIFS(Data!J:J,Data!F:F,A1269)</f>
        <v>1</v>
      </c>
      <c r="G1269" s="106" t="str">
        <f>SUMIFS(Cast!C:C,CastElements,A1269)</f>
        <v>1</v>
      </c>
      <c r="H1269" s="106" t="str">
        <f t="shared" si="4"/>
        <v>0</v>
      </c>
      <c r="I1269" s="106" t="str">
        <f>SUMIFS(Del!C:C,Del!B:B,A1269)</f>
        <v>0</v>
      </c>
      <c r="J1269" s="106" t="str">
        <f t="shared" si="5"/>
        <v>1</v>
      </c>
      <c r="K1269" s="106" t="str">
        <f t="shared" si="6"/>
        <v>1</v>
      </c>
      <c r="L1269" s="106"/>
      <c r="M1269" s="106" t="str">
        <f>SUMIFS(Ere!C:C,Ere!B:B,A1269)</f>
        <v>0</v>
      </c>
      <c r="N1269" s="106" t="str">
        <f t="shared" si="7"/>
        <v>1</v>
      </c>
      <c r="O1269" s="107" t="str">
        <f t="array" ref="O1269">XLOOKUP(A1269,Data!F:F,Data!O:O)</f>
        <v>  2.40 </v>
      </c>
      <c r="P1269" s="107" t="str">
        <f t="shared" si="8"/>
        <v>  6.00 </v>
      </c>
      <c r="Q1269" s="27"/>
    </row>
    <row r="1270" ht="15.75" customHeight="1">
      <c r="A1270" s="105" t="s">
        <v>1514</v>
      </c>
      <c r="B1270" s="19" t="str">
        <f t="array" ref="B1270">XLOOKUP(A1270,Data!F:F,Data!G:G)</f>
        <v>J1C</v>
      </c>
      <c r="C1270" s="19" t="str">
        <f t="shared" si="3"/>
        <v>J095</v>
      </c>
      <c r="D1270" s="19" t="str">
        <f t="array" ref="D1270">XLOOKUP(A1270,Data!F:F,Data!C:C)</f>
        <v/>
      </c>
      <c r="E1270" s="19" t="str">
        <f t="array" ref="E1270">XLOOKUP(A1270,Data!F:F,Data!H:H)</f>
        <v>BW</v>
      </c>
      <c r="F1270" s="106" t="str">
        <f>SUMIFS(Data!J:J,Data!F:F,A1270)</f>
        <v>1</v>
      </c>
      <c r="G1270" s="106" t="str">
        <f>SUMIFS(Cast!C:C,CastElements,A1270)</f>
        <v>1</v>
      </c>
      <c r="H1270" s="106" t="str">
        <f t="shared" si="4"/>
        <v>0</v>
      </c>
      <c r="I1270" s="106" t="str">
        <f>SUMIFS(Del!C:C,Del!B:B,A1270)</f>
        <v>0</v>
      </c>
      <c r="J1270" s="106" t="str">
        <f t="shared" si="5"/>
        <v>1</v>
      </c>
      <c r="K1270" s="106" t="str">
        <f t="shared" si="6"/>
        <v>1</v>
      </c>
      <c r="L1270" s="106"/>
      <c r="M1270" s="106" t="str">
        <f>SUMIFS(Ere!C:C,Ere!B:B,A1270)</f>
        <v>0</v>
      </c>
      <c r="N1270" s="106" t="str">
        <f t="shared" si="7"/>
        <v>1</v>
      </c>
      <c r="O1270" s="107" t="str">
        <f t="array" ref="O1270">XLOOKUP(A1270,Data!F:F,Data!O:O)</f>
        <v>  0.75 </v>
      </c>
      <c r="P1270" s="107" t="str">
        <f t="shared" si="8"/>
        <v>  1.88 </v>
      </c>
      <c r="Q1270" s="27"/>
    </row>
    <row r="1271" ht="15.75" customHeight="1">
      <c r="A1271" s="105" t="s">
        <v>1515</v>
      </c>
      <c r="B1271" s="19" t="str">
        <f t="array" ref="B1271">XLOOKUP(A1271,Data!F:F,Data!G:G)</f>
        <v>J1C</v>
      </c>
      <c r="C1271" s="19" t="str">
        <f t="shared" si="3"/>
        <v>J095</v>
      </c>
      <c r="D1271" s="19" t="str">
        <f t="array" ref="D1271">XLOOKUP(A1271,Data!F:F,Data!C:C)</f>
        <v/>
      </c>
      <c r="E1271" s="19" t="str">
        <f t="array" ref="E1271">XLOOKUP(A1271,Data!F:F,Data!H:H)</f>
        <v>BW</v>
      </c>
      <c r="F1271" s="106" t="str">
        <f>SUMIFS(Data!J:J,Data!F:F,A1271)</f>
        <v>1</v>
      </c>
      <c r="G1271" s="106" t="str">
        <f>SUMIFS(Cast!C:C,CastElements,A1271)</f>
        <v>1</v>
      </c>
      <c r="H1271" s="106" t="str">
        <f t="shared" si="4"/>
        <v>0</v>
      </c>
      <c r="I1271" s="106" t="str">
        <f>SUMIFS(Del!C:C,Del!B:B,A1271)</f>
        <v>0</v>
      </c>
      <c r="J1271" s="106" t="str">
        <f t="shared" si="5"/>
        <v>1</v>
      </c>
      <c r="K1271" s="106" t="str">
        <f t="shared" si="6"/>
        <v>1</v>
      </c>
      <c r="L1271" s="106"/>
      <c r="M1271" s="106" t="str">
        <f>SUMIFS(Ere!C:C,Ere!B:B,A1271)</f>
        <v>0</v>
      </c>
      <c r="N1271" s="106" t="str">
        <f t="shared" si="7"/>
        <v>1</v>
      </c>
      <c r="O1271" s="107" t="str">
        <f t="array" ref="O1271">XLOOKUP(A1271,Data!F:F,Data!O:O)</f>
        <v>  0.75 </v>
      </c>
      <c r="P1271" s="107" t="str">
        <f t="shared" si="8"/>
        <v>  1.88 </v>
      </c>
      <c r="Q1271" s="27"/>
    </row>
    <row r="1272" ht="15.75" customHeight="1">
      <c r="A1272" s="105" t="s">
        <v>1516</v>
      </c>
      <c r="B1272" s="19" t="str">
        <f t="array" ref="B1272">XLOOKUP(A1272,Data!F:F,Data!G:G)</f>
        <v>J1C</v>
      </c>
      <c r="C1272" s="19" t="str">
        <f t="shared" si="3"/>
        <v>J095</v>
      </c>
      <c r="D1272" s="19" t="str">
        <f t="array" ref="D1272">XLOOKUP(A1272,Data!F:F,Data!C:C)</f>
        <v/>
      </c>
      <c r="E1272" s="19" t="str">
        <f t="array" ref="E1272">XLOOKUP(A1272,Data!F:F,Data!H:H)</f>
        <v>BW</v>
      </c>
      <c r="F1272" s="106" t="str">
        <f>SUMIFS(Data!J:J,Data!F:F,A1272)</f>
        <v>1</v>
      </c>
      <c r="G1272" s="106" t="str">
        <f>SUMIFS(Cast!C:C,CastElements,A1272)</f>
        <v>1</v>
      </c>
      <c r="H1272" s="106" t="str">
        <f t="shared" si="4"/>
        <v>0</v>
      </c>
      <c r="I1272" s="106" t="str">
        <f>SUMIFS(Del!C:C,Del!B:B,A1272)</f>
        <v>0</v>
      </c>
      <c r="J1272" s="106" t="str">
        <f t="shared" si="5"/>
        <v>1</v>
      </c>
      <c r="K1272" s="106" t="str">
        <f t="shared" si="6"/>
        <v>1</v>
      </c>
      <c r="L1272" s="106"/>
      <c r="M1272" s="106" t="str">
        <f>SUMIFS(Ere!C:C,Ere!B:B,A1272)</f>
        <v>0</v>
      </c>
      <c r="N1272" s="106" t="str">
        <f t="shared" si="7"/>
        <v>1</v>
      </c>
      <c r="O1272" s="107" t="str">
        <f t="array" ref="O1272">XLOOKUP(A1272,Data!F:F,Data!O:O)</f>
        <v>  0.31 </v>
      </c>
      <c r="P1272" s="107" t="str">
        <f t="shared" si="8"/>
        <v>  0.79 </v>
      </c>
      <c r="Q1272" s="27"/>
    </row>
    <row r="1273" ht="15.75" customHeight="1">
      <c r="A1273" s="105" t="s">
        <v>1517</v>
      </c>
      <c r="B1273" s="19" t="str">
        <f t="array" ref="B1273">XLOOKUP(A1273,Data!F:F,Data!G:G)</f>
        <v>J1C</v>
      </c>
      <c r="C1273" s="19" t="str">
        <f t="shared" si="3"/>
        <v>J095</v>
      </c>
      <c r="D1273" s="19" t="str">
        <f t="array" ref="D1273">XLOOKUP(A1273,Data!F:F,Data!C:C)</f>
        <v/>
      </c>
      <c r="E1273" s="19" t="str">
        <f t="array" ref="E1273">XLOOKUP(A1273,Data!F:F,Data!H:H)</f>
        <v>BW</v>
      </c>
      <c r="F1273" s="106" t="str">
        <f>SUMIFS(Data!J:J,Data!F:F,A1273)</f>
        <v>1</v>
      </c>
      <c r="G1273" s="106" t="str">
        <f>SUMIFS(Cast!C:C,CastElements,A1273)</f>
        <v>1</v>
      </c>
      <c r="H1273" s="106" t="str">
        <f t="shared" si="4"/>
        <v>0</v>
      </c>
      <c r="I1273" s="106" t="str">
        <f>SUMIFS(Del!C:C,Del!B:B,A1273)</f>
        <v>0</v>
      </c>
      <c r="J1273" s="106" t="str">
        <f t="shared" si="5"/>
        <v>1</v>
      </c>
      <c r="K1273" s="106" t="str">
        <f t="shared" si="6"/>
        <v>1</v>
      </c>
      <c r="L1273" s="106"/>
      <c r="M1273" s="106" t="str">
        <f>SUMIFS(Ere!C:C,Ere!B:B,A1273)</f>
        <v>0</v>
      </c>
      <c r="N1273" s="106" t="str">
        <f t="shared" si="7"/>
        <v>1</v>
      </c>
      <c r="O1273" s="107" t="str">
        <f t="array" ref="O1273">XLOOKUP(A1273,Data!F:F,Data!O:O)</f>
        <v>  0.79 </v>
      </c>
      <c r="P1273" s="107" t="str">
        <f t="shared" si="8"/>
        <v>  1.98 </v>
      </c>
      <c r="Q1273" s="27"/>
    </row>
    <row r="1274" ht="15.75" customHeight="1">
      <c r="A1274" s="105" t="s">
        <v>1518</v>
      </c>
      <c r="B1274" s="19" t="str">
        <f t="array" ref="B1274">XLOOKUP(A1274,Data!F:F,Data!G:G)</f>
        <v>J1C</v>
      </c>
      <c r="C1274" s="19" t="str">
        <f t="shared" si="3"/>
        <v>J095</v>
      </c>
      <c r="D1274" s="19" t="str">
        <f t="array" ref="D1274">XLOOKUP(A1274,Data!F:F,Data!C:C)</f>
        <v/>
      </c>
      <c r="E1274" s="19" t="str">
        <f t="array" ref="E1274">XLOOKUP(A1274,Data!F:F,Data!H:H)</f>
        <v>CF</v>
      </c>
      <c r="F1274" s="106" t="str">
        <f>SUMIFS(Data!J:J,Data!F:F,A1274)</f>
        <v>1</v>
      </c>
      <c r="G1274" s="106" t="str">
        <f>SUMIFS(Cast!C:C,CastElements,A1274)</f>
        <v>1</v>
      </c>
      <c r="H1274" s="106" t="str">
        <f t="shared" si="4"/>
        <v>0</v>
      </c>
      <c r="I1274" s="106" t="str">
        <f>SUMIFS(Del!C:C,Del!B:B,A1274)</f>
        <v>0</v>
      </c>
      <c r="J1274" s="106" t="str">
        <f t="shared" si="5"/>
        <v>1</v>
      </c>
      <c r="K1274" s="106" t="str">
        <f t="shared" si="6"/>
        <v>1</v>
      </c>
      <c r="L1274" s="106"/>
      <c r="M1274" s="106" t="str">
        <f>SUMIFS(Ere!C:C,Ere!B:B,A1274)</f>
        <v>0</v>
      </c>
      <c r="N1274" s="106" t="str">
        <f t="shared" si="7"/>
        <v>1</v>
      </c>
      <c r="O1274" s="107" t="str">
        <f t="array" ref="O1274">XLOOKUP(A1274,Data!F:F,Data!O:O)</f>
        <v>  0.42 </v>
      </c>
      <c r="P1274" s="107" t="str">
        <f t="shared" si="8"/>
        <v>  1.05 </v>
      </c>
      <c r="Q1274" s="27"/>
    </row>
    <row r="1275" ht="15.75" customHeight="1">
      <c r="A1275" s="105" t="s">
        <v>1519</v>
      </c>
      <c r="B1275" s="19" t="str">
        <f t="array" ref="B1275">XLOOKUP(A1275,Data!F:F,Data!G:G)</f>
        <v>J1C</v>
      </c>
      <c r="C1275" s="19" t="str">
        <f t="shared" si="3"/>
        <v>J095</v>
      </c>
      <c r="D1275" s="19" t="str">
        <f t="array" ref="D1275">XLOOKUP(A1275,Data!F:F,Data!C:C)</f>
        <v/>
      </c>
      <c r="E1275" s="19" t="str">
        <f t="array" ref="E1275">XLOOKUP(A1275,Data!F:F,Data!H:H)</f>
        <v>BW</v>
      </c>
      <c r="F1275" s="106" t="str">
        <f>SUMIFS(Data!J:J,Data!F:F,A1275)</f>
        <v>1</v>
      </c>
      <c r="G1275" s="106" t="str">
        <f>SUMIFS(Cast!C:C,CastElements,A1275)</f>
        <v>1</v>
      </c>
      <c r="H1275" s="106" t="str">
        <f t="shared" si="4"/>
        <v>0</v>
      </c>
      <c r="I1275" s="106" t="str">
        <f>SUMIFS(Del!C:C,Del!B:B,A1275)</f>
        <v>0</v>
      </c>
      <c r="J1275" s="106" t="str">
        <f t="shared" si="5"/>
        <v>1</v>
      </c>
      <c r="K1275" s="106" t="str">
        <f t="shared" si="6"/>
        <v>1</v>
      </c>
      <c r="L1275" s="106"/>
      <c r="M1275" s="106" t="str">
        <f>SUMIFS(Ere!C:C,Ere!B:B,A1275)</f>
        <v>0</v>
      </c>
      <c r="N1275" s="106" t="str">
        <f t="shared" si="7"/>
        <v>1</v>
      </c>
      <c r="O1275" s="107" t="str">
        <f t="array" ref="O1275">XLOOKUP(A1275,Data!F:F,Data!O:O)</f>
        <v>  1.58 </v>
      </c>
      <c r="P1275" s="107" t="str">
        <f t="shared" si="8"/>
        <v>  3.96 </v>
      </c>
      <c r="Q1275" s="27"/>
    </row>
    <row r="1276" ht="15.75" customHeight="1">
      <c r="A1276" s="105" t="s">
        <v>1520</v>
      </c>
      <c r="B1276" s="19" t="str">
        <f t="array" ref="B1276">XLOOKUP(A1276,Data!F:F,Data!G:G)</f>
        <v>J1D</v>
      </c>
      <c r="C1276" s="19" t="str">
        <f t="shared" si="3"/>
        <v>J096</v>
      </c>
      <c r="D1276" s="19" t="str">
        <f t="array" ref="D1276">XLOOKUP(A1276,Data!F:F,Data!C:C)</f>
        <v>EXT</v>
      </c>
      <c r="E1276" s="19" t="str">
        <f t="array" ref="E1276">XLOOKUP(A1276,Data!F:F,Data!H:H)</f>
        <v>BW</v>
      </c>
      <c r="F1276" s="106" t="str">
        <f>SUMIFS(Data!J:J,Data!F:F,A1276)</f>
        <v>1</v>
      </c>
      <c r="G1276" s="106" t="str">
        <f>SUMIFS(Cast!C:C,CastElements,A1276)</f>
        <v>0</v>
      </c>
      <c r="H1276" s="106" t="str">
        <f t="shared" si="4"/>
        <v>1</v>
      </c>
      <c r="I1276" s="106" t="str">
        <f>SUMIFS(Del!C:C,Del!B:B,A1276)</f>
        <v>0</v>
      </c>
      <c r="J1276" s="106" t="str">
        <f t="shared" si="5"/>
        <v>1</v>
      </c>
      <c r="K1276" s="106" t="str">
        <f t="shared" si="6"/>
        <v>0</v>
      </c>
      <c r="L1276" s="106"/>
      <c r="M1276" s="106" t="str">
        <f>SUMIFS(Ere!C:C,Ere!B:B,A1276)</f>
        <v>0</v>
      </c>
      <c r="N1276" s="106" t="str">
        <f t="shared" si="7"/>
        <v>1</v>
      </c>
      <c r="O1276" s="107" t="str">
        <f t="array" ref="O1276">XLOOKUP(A1276,Data!F:F,Data!O:O)</f>
        <v>  1.05 </v>
      </c>
      <c r="P1276" s="107" t="str">
        <f t="shared" si="8"/>
        <v>  2.63 </v>
      </c>
      <c r="Q1276" s="27"/>
    </row>
    <row r="1277" ht="15.75" customHeight="1">
      <c r="A1277" s="105" t="s">
        <v>1521</v>
      </c>
      <c r="B1277" s="19" t="str">
        <f t="array" ref="B1277">XLOOKUP(A1277,Data!F:F,Data!G:G)</f>
        <v>J1D</v>
      </c>
      <c r="C1277" s="19" t="str">
        <f t="shared" si="3"/>
        <v>J096</v>
      </c>
      <c r="D1277" s="19" t="str">
        <f t="array" ref="D1277">XLOOKUP(A1277,Data!F:F,Data!C:C)</f>
        <v>EXT</v>
      </c>
      <c r="E1277" s="19" t="str">
        <f t="array" ref="E1277">XLOOKUP(A1277,Data!F:F,Data!H:H)</f>
        <v>BW</v>
      </c>
      <c r="F1277" s="106" t="str">
        <f>SUMIFS(Data!J:J,Data!F:F,A1277)</f>
        <v>1</v>
      </c>
      <c r="G1277" s="106" t="str">
        <f>SUMIFS(Cast!C:C,CastElements,A1277)</f>
        <v>0</v>
      </c>
      <c r="H1277" s="106" t="str">
        <f t="shared" si="4"/>
        <v>1</v>
      </c>
      <c r="I1277" s="106" t="str">
        <f>SUMIFS(Del!C:C,Del!B:B,A1277)</f>
        <v>0</v>
      </c>
      <c r="J1277" s="106" t="str">
        <f t="shared" si="5"/>
        <v>1</v>
      </c>
      <c r="K1277" s="106" t="str">
        <f t="shared" si="6"/>
        <v>0</v>
      </c>
      <c r="L1277" s="106"/>
      <c r="M1277" s="106" t="str">
        <f>SUMIFS(Ere!C:C,Ere!B:B,A1277)</f>
        <v>0</v>
      </c>
      <c r="N1277" s="106" t="str">
        <f t="shared" si="7"/>
        <v>1</v>
      </c>
      <c r="O1277" s="107" t="str">
        <f t="array" ref="O1277">XLOOKUP(A1277,Data!F:F,Data!O:O)</f>
        <v>  1.05 </v>
      </c>
      <c r="P1277" s="107" t="str">
        <f t="shared" si="8"/>
        <v>  2.63 </v>
      </c>
      <c r="Q1277" s="27"/>
    </row>
    <row r="1278" ht="15.75" customHeight="1">
      <c r="A1278" s="105" t="s">
        <v>1522</v>
      </c>
      <c r="B1278" s="19" t="str">
        <f t="array" ref="B1278">XLOOKUP(A1278,Data!F:F,Data!G:G)</f>
        <v>J1D</v>
      </c>
      <c r="C1278" s="19" t="str">
        <f t="shared" si="3"/>
        <v>J096</v>
      </c>
      <c r="D1278" s="19" t="str">
        <f t="array" ref="D1278">XLOOKUP(A1278,Data!F:F,Data!C:C)</f>
        <v>EXT</v>
      </c>
      <c r="E1278" s="19" t="str">
        <f t="array" ref="E1278">XLOOKUP(A1278,Data!F:F,Data!H:H)</f>
        <v>BW</v>
      </c>
      <c r="F1278" s="106" t="str">
        <f>SUMIFS(Data!J:J,Data!F:F,A1278)</f>
        <v>1</v>
      </c>
      <c r="G1278" s="106" t="str">
        <f>SUMIFS(Cast!C:C,CastElements,A1278)</f>
        <v>0</v>
      </c>
      <c r="H1278" s="106" t="str">
        <f t="shared" si="4"/>
        <v>1</v>
      </c>
      <c r="I1278" s="106" t="str">
        <f>SUMIFS(Del!C:C,Del!B:B,A1278)</f>
        <v>0</v>
      </c>
      <c r="J1278" s="106" t="str">
        <f t="shared" si="5"/>
        <v>1</v>
      </c>
      <c r="K1278" s="106" t="str">
        <f t="shared" si="6"/>
        <v>0</v>
      </c>
      <c r="L1278" s="106"/>
      <c r="M1278" s="106" t="str">
        <f>SUMIFS(Ere!C:C,Ere!B:B,A1278)</f>
        <v>0</v>
      </c>
      <c r="N1278" s="106" t="str">
        <f t="shared" si="7"/>
        <v>1</v>
      </c>
      <c r="O1278" s="107" t="str">
        <f t="array" ref="O1278">XLOOKUP(A1278,Data!F:F,Data!O:O)</f>
        <v>  1.22 </v>
      </c>
      <c r="P1278" s="107" t="str">
        <f t="shared" si="8"/>
        <v>  3.06 </v>
      </c>
      <c r="Q1278" s="27"/>
    </row>
    <row r="1279" ht="15.75" customHeight="1">
      <c r="A1279" s="105" t="s">
        <v>1523</v>
      </c>
      <c r="B1279" s="19" t="str">
        <f t="array" ref="B1279">XLOOKUP(A1279,Data!F:F,Data!G:G)</f>
        <v>J1D</v>
      </c>
      <c r="C1279" s="19" t="str">
        <f t="shared" si="3"/>
        <v>J096</v>
      </c>
      <c r="D1279" s="19" t="str">
        <f t="array" ref="D1279">XLOOKUP(A1279,Data!F:F,Data!C:C)</f>
        <v>EXT</v>
      </c>
      <c r="E1279" s="19" t="str">
        <f t="array" ref="E1279">XLOOKUP(A1279,Data!F:F,Data!H:H)</f>
        <v>BW</v>
      </c>
      <c r="F1279" s="106" t="str">
        <f>SUMIFS(Data!J:J,Data!F:F,A1279)</f>
        <v>1</v>
      </c>
      <c r="G1279" s="106" t="str">
        <f>SUMIFS(Cast!C:C,CastElements,A1279)</f>
        <v>0</v>
      </c>
      <c r="H1279" s="106" t="str">
        <f t="shared" si="4"/>
        <v>1</v>
      </c>
      <c r="I1279" s="106" t="str">
        <f>SUMIFS(Del!C:C,Del!B:B,A1279)</f>
        <v>0</v>
      </c>
      <c r="J1279" s="106" t="str">
        <f t="shared" si="5"/>
        <v>1</v>
      </c>
      <c r="K1279" s="106" t="str">
        <f t="shared" si="6"/>
        <v>0</v>
      </c>
      <c r="L1279" s="106"/>
      <c r="M1279" s="106" t="str">
        <f>SUMIFS(Ere!C:C,Ere!B:B,A1279)</f>
        <v>0</v>
      </c>
      <c r="N1279" s="106" t="str">
        <f t="shared" si="7"/>
        <v>1</v>
      </c>
      <c r="O1279" s="107" t="str">
        <f t="array" ref="O1279">XLOOKUP(A1279,Data!F:F,Data!O:O)</f>
        <v>  1.40 </v>
      </c>
      <c r="P1279" s="107" t="str">
        <f t="shared" si="8"/>
        <v>  3.50 </v>
      </c>
      <c r="Q1279" s="27"/>
    </row>
    <row r="1280" ht="15.75" customHeight="1">
      <c r="A1280" s="105" t="s">
        <v>1524</v>
      </c>
      <c r="B1280" s="19" t="str">
        <f t="array" ref="B1280">XLOOKUP(A1280,Data!F:F,Data!G:G)</f>
        <v>J1D</v>
      </c>
      <c r="C1280" s="19" t="str">
        <f t="shared" si="3"/>
        <v>J096</v>
      </c>
      <c r="D1280" s="19" t="str">
        <f t="array" ref="D1280">XLOOKUP(A1280,Data!F:F,Data!C:C)</f>
        <v/>
      </c>
      <c r="E1280" s="19" t="str">
        <f t="array" ref="E1280">XLOOKUP(A1280,Data!F:F,Data!H:H)</f>
        <v>BW</v>
      </c>
      <c r="F1280" s="106" t="str">
        <f>SUMIFS(Data!J:J,Data!F:F,A1280)</f>
        <v>1</v>
      </c>
      <c r="G1280" s="106" t="str">
        <f>SUMIFS(Cast!C:C,CastElements,A1280)</f>
        <v>1</v>
      </c>
      <c r="H1280" s="106" t="str">
        <f t="shared" si="4"/>
        <v>0</v>
      </c>
      <c r="I1280" s="106" t="str">
        <f>SUMIFS(Del!C:C,Del!B:B,A1280)</f>
        <v>0</v>
      </c>
      <c r="J1280" s="106" t="str">
        <f t="shared" si="5"/>
        <v>1</v>
      </c>
      <c r="K1280" s="106" t="str">
        <f t="shared" si="6"/>
        <v>1</v>
      </c>
      <c r="L1280" s="106"/>
      <c r="M1280" s="106" t="str">
        <f>SUMIFS(Ere!C:C,Ere!B:B,A1280)</f>
        <v>0</v>
      </c>
      <c r="N1280" s="106" t="str">
        <f t="shared" si="7"/>
        <v>1</v>
      </c>
      <c r="O1280" s="107" t="str">
        <f t="array" ref="O1280">XLOOKUP(A1280,Data!F:F,Data!O:O)</f>
        <v>  1.21 </v>
      </c>
      <c r="P1280" s="107" t="str">
        <f t="shared" si="8"/>
        <v>  3.03 </v>
      </c>
      <c r="Q1280" s="27"/>
    </row>
    <row r="1281" ht="15.75" customHeight="1">
      <c r="A1281" s="105" t="s">
        <v>1525</v>
      </c>
      <c r="B1281" s="19" t="str">
        <f t="array" ref="B1281">XLOOKUP(A1281,Data!F:F,Data!G:G)</f>
        <v>J1D</v>
      </c>
      <c r="C1281" s="19" t="str">
        <f t="shared" si="3"/>
        <v>J096</v>
      </c>
      <c r="D1281" s="19" t="str">
        <f t="array" ref="D1281">XLOOKUP(A1281,Data!F:F,Data!C:C)</f>
        <v/>
      </c>
      <c r="E1281" s="19" t="str">
        <f t="array" ref="E1281">XLOOKUP(A1281,Data!F:F,Data!H:H)</f>
        <v>BW</v>
      </c>
      <c r="F1281" s="106" t="str">
        <f>SUMIFS(Data!J:J,Data!F:F,A1281)</f>
        <v>1</v>
      </c>
      <c r="G1281" s="106" t="str">
        <f>SUMIFS(Cast!C:C,CastElements,A1281)</f>
        <v>1</v>
      </c>
      <c r="H1281" s="106" t="str">
        <f t="shared" si="4"/>
        <v>0</v>
      </c>
      <c r="I1281" s="106" t="str">
        <f>SUMIFS(Del!C:C,Del!B:B,A1281)</f>
        <v>0</v>
      </c>
      <c r="J1281" s="106" t="str">
        <f t="shared" si="5"/>
        <v>1</v>
      </c>
      <c r="K1281" s="106" t="str">
        <f t="shared" si="6"/>
        <v>1</v>
      </c>
      <c r="L1281" s="106"/>
      <c r="M1281" s="106" t="str">
        <f>SUMIFS(Ere!C:C,Ere!B:B,A1281)</f>
        <v>0</v>
      </c>
      <c r="N1281" s="106" t="str">
        <f t="shared" si="7"/>
        <v>1</v>
      </c>
      <c r="O1281" s="107" t="str">
        <f t="array" ref="O1281">XLOOKUP(A1281,Data!F:F,Data!O:O)</f>
        <v>  1.36 </v>
      </c>
      <c r="P1281" s="107" t="str">
        <f t="shared" si="8"/>
        <v>  3.40 </v>
      </c>
      <c r="Q1281" s="27"/>
    </row>
    <row r="1282" ht="15.75" customHeight="1">
      <c r="A1282" s="105" t="s">
        <v>1526</v>
      </c>
      <c r="B1282" s="19" t="str">
        <f t="array" ref="B1282">XLOOKUP(A1282,Data!F:F,Data!G:G)</f>
        <v>J1D</v>
      </c>
      <c r="C1282" s="19" t="str">
        <f t="shared" si="3"/>
        <v>J096</v>
      </c>
      <c r="D1282" s="19" t="str">
        <f t="array" ref="D1282">XLOOKUP(A1282,Data!F:F,Data!C:C)</f>
        <v/>
      </c>
      <c r="E1282" s="19" t="str">
        <f t="array" ref="E1282">XLOOKUP(A1282,Data!F:F,Data!H:H)</f>
        <v>BW</v>
      </c>
      <c r="F1282" s="106" t="str">
        <f>SUMIFS(Data!J:J,Data!F:F,A1282)</f>
        <v>1</v>
      </c>
      <c r="G1282" s="106" t="str">
        <f>SUMIFS(Cast!C:C,CastElements,A1282)</f>
        <v>1</v>
      </c>
      <c r="H1282" s="106" t="str">
        <f t="shared" si="4"/>
        <v>0</v>
      </c>
      <c r="I1282" s="106" t="str">
        <f>SUMIFS(Del!C:C,Del!B:B,A1282)</f>
        <v>0</v>
      </c>
      <c r="J1282" s="106" t="str">
        <f t="shared" si="5"/>
        <v>1</v>
      </c>
      <c r="K1282" s="106" t="str">
        <f t="shared" si="6"/>
        <v>1</v>
      </c>
      <c r="L1282" s="106"/>
      <c r="M1282" s="106" t="str">
        <f>SUMIFS(Ere!C:C,Ere!B:B,A1282)</f>
        <v>0</v>
      </c>
      <c r="N1282" s="106" t="str">
        <f t="shared" si="7"/>
        <v>1</v>
      </c>
      <c r="O1282" s="107" t="str">
        <f t="array" ref="O1282">XLOOKUP(A1282,Data!F:F,Data!O:O)</f>
        <v>  1.65 </v>
      </c>
      <c r="P1282" s="107" t="str">
        <f t="shared" si="8"/>
        <v>  4.13 </v>
      </c>
      <c r="Q1282" s="27"/>
    </row>
    <row r="1283" ht="15.75" customHeight="1">
      <c r="A1283" s="105" t="s">
        <v>1527</v>
      </c>
      <c r="B1283" s="19" t="str">
        <f t="array" ref="B1283">XLOOKUP(A1283,Data!F:F,Data!G:G)</f>
        <v>J1D</v>
      </c>
      <c r="C1283" s="19" t="str">
        <f t="shared" si="3"/>
        <v>J096</v>
      </c>
      <c r="D1283" s="19" t="str">
        <f t="array" ref="D1283">XLOOKUP(A1283,Data!F:F,Data!C:C)</f>
        <v/>
      </c>
      <c r="E1283" s="19" t="str">
        <f t="array" ref="E1283">XLOOKUP(A1283,Data!F:F,Data!H:H)</f>
        <v>BW</v>
      </c>
      <c r="F1283" s="106" t="str">
        <f>SUMIFS(Data!J:J,Data!F:F,A1283)</f>
        <v>1</v>
      </c>
      <c r="G1283" s="106" t="str">
        <f>SUMIFS(Cast!C:C,CastElements,A1283)</f>
        <v>1</v>
      </c>
      <c r="H1283" s="106" t="str">
        <f t="shared" si="4"/>
        <v>0</v>
      </c>
      <c r="I1283" s="106" t="str">
        <f>SUMIFS(Del!C:C,Del!B:B,A1283)</f>
        <v>0</v>
      </c>
      <c r="J1283" s="106" t="str">
        <f t="shared" si="5"/>
        <v>1</v>
      </c>
      <c r="K1283" s="106" t="str">
        <f t="shared" si="6"/>
        <v>1</v>
      </c>
      <c r="L1283" s="106"/>
      <c r="M1283" s="106" t="str">
        <f>SUMIFS(Ere!C:C,Ere!B:B,A1283)</f>
        <v>0</v>
      </c>
      <c r="N1283" s="106" t="str">
        <f t="shared" si="7"/>
        <v>1</v>
      </c>
      <c r="O1283" s="107" t="str">
        <f t="array" ref="O1283">XLOOKUP(A1283,Data!F:F,Data!O:O)</f>
        <v>  2.19 </v>
      </c>
      <c r="P1283" s="107" t="str">
        <f t="shared" si="8"/>
        <v>  5.48 </v>
      </c>
      <c r="Q1283" s="27"/>
    </row>
    <row r="1284" ht="15.75" customHeight="1">
      <c r="A1284" s="105" t="s">
        <v>1528</v>
      </c>
      <c r="B1284" s="19" t="str">
        <f t="array" ref="B1284">XLOOKUP(A1284,Data!F:F,Data!G:G)</f>
        <v>J1D</v>
      </c>
      <c r="C1284" s="19" t="str">
        <f t="shared" si="3"/>
        <v>J096</v>
      </c>
      <c r="D1284" s="19" t="str">
        <f t="array" ref="D1284">XLOOKUP(A1284,Data!F:F,Data!C:C)</f>
        <v/>
      </c>
      <c r="E1284" s="19" t="str">
        <f t="array" ref="E1284">XLOOKUP(A1284,Data!F:F,Data!H:H)</f>
        <v>BW</v>
      </c>
      <c r="F1284" s="106" t="str">
        <f>SUMIFS(Data!J:J,Data!F:F,A1284)</f>
        <v>1</v>
      </c>
      <c r="G1284" s="106" t="str">
        <f>SUMIFS(Cast!C:C,CastElements,A1284)</f>
        <v>1</v>
      </c>
      <c r="H1284" s="106" t="str">
        <f t="shared" si="4"/>
        <v>0</v>
      </c>
      <c r="I1284" s="106" t="str">
        <f>SUMIFS(Del!C:C,Del!B:B,A1284)</f>
        <v>0</v>
      </c>
      <c r="J1284" s="106" t="str">
        <f t="shared" si="5"/>
        <v>1</v>
      </c>
      <c r="K1284" s="106" t="str">
        <f t="shared" si="6"/>
        <v>1</v>
      </c>
      <c r="L1284" s="106"/>
      <c r="M1284" s="106" t="str">
        <f>SUMIFS(Ere!C:C,Ere!B:B,A1284)</f>
        <v>0</v>
      </c>
      <c r="N1284" s="106" t="str">
        <f t="shared" si="7"/>
        <v>1</v>
      </c>
      <c r="O1284" s="107" t="str">
        <f t="array" ref="O1284">XLOOKUP(A1284,Data!F:F,Data!O:O)</f>
        <v>  2.36 </v>
      </c>
      <c r="P1284" s="107" t="str">
        <f t="shared" si="8"/>
        <v>  5.90 </v>
      </c>
      <c r="Q1284" s="27"/>
    </row>
    <row r="1285" ht="15.75" customHeight="1">
      <c r="A1285" s="105" t="s">
        <v>1529</v>
      </c>
      <c r="B1285" s="19" t="str">
        <f t="array" ref="B1285">XLOOKUP(A1285,Data!F:F,Data!G:G)</f>
        <v>J1D</v>
      </c>
      <c r="C1285" s="19" t="str">
        <f t="shared" si="3"/>
        <v>J096</v>
      </c>
      <c r="D1285" s="19" t="str">
        <f t="array" ref="D1285">XLOOKUP(A1285,Data!F:F,Data!C:C)</f>
        <v/>
      </c>
      <c r="E1285" s="19" t="str">
        <f t="array" ref="E1285">XLOOKUP(A1285,Data!F:F,Data!H:H)</f>
        <v>BW</v>
      </c>
      <c r="F1285" s="106" t="str">
        <f>SUMIFS(Data!J:J,Data!F:F,A1285)</f>
        <v>1</v>
      </c>
      <c r="G1285" s="106" t="str">
        <f>SUMIFS(Cast!C:C,CastElements,A1285)</f>
        <v>1</v>
      </c>
      <c r="H1285" s="106" t="str">
        <f t="shared" si="4"/>
        <v>0</v>
      </c>
      <c r="I1285" s="106" t="str">
        <f>SUMIFS(Del!C:C,Del!B:B,A1285)</f>
        <v>0</v>
      </c>
      <c r="J1285" s="106" t="str">
        <f t="shared" si="5"/>
        <v>1</v>
      </c>
      <c r="K1285" s="106" t="str">
        <f t="shared" si="6"/>
        <v>1</v>
      </c>
      <c r="L1285" s="106"/>
      <c r="M1285" s="106" t="str">
        <f>SUMIFS(Ere!C:C,Ere!B:B,A1285)</f>
        <v>0</v>
      </c>
      <c r="N1285" s="106" t="str">
        <f t="shared" si="7"/>
        <v>1</v>
      </c>
      <c r="O1285" s="107" t="str">
        <f t="array" ref="O1285">XLOOKUP(A1285,Data!F:F,Data!O:O)</f>
        <v>  2.36 </v>
      </c>
      <c r="P1285" s="107" t="str">
        <f t="shared" si="8"/>
        <v>  5.90 </v>
      </c>
      <c r="Q1285" s="27"/>
    </row>
    <row r="1286" ht="15.75" customHeight="1">
      <c r="A1286" s="105" t="s">
        <v>1530</v>
      </c>
      <c r="B1286" s="19" t="str">
        <f t="array" ref="B1286">XLOOKUP(A1286,Data!F:F,Data!G:G)</f>
        <v>J1D</v>
      </c>
      <c r="C1286" s="19" t="str">
        <f t="shared" si="3"/>
        <v>J096</v>
      </c>
      <c r="D1286" s="19" t="str">
        <f t="array" ref="D1286">XLOOKUP(A1286,Data!F:F,Data!C:C)</f>
        <v/>
      </c>
      <c r="E1286" s="19" t="str">
        <f t="array" ref="E1286">XLOOKUP(A1286,Data!F:F,Data!H:H)</f>
        <v>BW</v>
      </c>
      <c r="F1286" s="106" t="str">
        <f>SUMIFS(Data!J:J,Data!F:F,A1286)</f>
        <v>1</v>
      </c>
      <c r="G1286" s="106" t="str">
        <f>SUMIFS(Cast!C:C,CastElements,A1286)</f>
        <v>1</v>
      </c>
      <c r="H1286" s="106" t="str">
        <f t="shared" si="4"/>
        <v>0</v>
      </c>
      <c r="I1286" s="106" t="str">
        <f>SUMIFS(Del!C:C,Del!B:B,A1286)</f>
        <v>0</v>
      </c>
      <c r="J1286" s="106" t="str">
        <f t="shared" si="5"/>
        <v>1</v>
      </c>
      <c r="K1286" s="106" t="str">
        <f t="shared" si="6"/>
        <v>1</v>
      </c>
      <c r="L1286" s="106"/>
      <c r="M1286" s="106" t="str">
        <f>SUMIFS(Ere!C:C,Ere!B:B,A1286)</f>
        <v>0</v>
      </c>
      <c r="N1286" s="106" t="str">
        <f t="shared" si="7"/>
        <v>1</v>
      </c>
      <c r="O1286" s="107" t="str">
        <f t="array" ref="O1286">XLOOKUP(A1286,Data!F:F,Data!O:O)</f>
        <v>  2.36 </v>
      </c>
      <c r="P1286" s="107" t="str">
        <f t="shared" si="8"/>
        <v>  5.90 </v>
      </c>
      <c r="Q1286" s="27"/>
    </row>
    <row r="1287" ht="15.75" customHeight="1">
      <c r="A1287" s="105" t="s">
        <v>1531</v>
      </c>
      <c r="B1287" s="19" t="str">
        <f t="array" ref="B1287">XLOOKUP(A1287,Data!F:F,Data!G:G)</f>
        <v>J1D</v>
      </c>
      <c r="C1287" s="19" t="str">
        <f t="shared" si="3"/>
        <v>J096</v>
      </c>
      <c r="D1287" s="19" t="str">
        <f t="array" ref="D1287">XLOOKUP(A1287,Data!F:F,Data!C:C)</f>
        <v/>
      </c>
      <c r="E1287" s="19" t="str">
        <f t="array" ref="E1287">XLOOKUP(A1287,Data!F:F,Data!H:H)</f>
        <v>BW</v>
      </c>
      <c r="F1287" s="106" t="str">
        <f>SUMIFS(Data!J:J,Data!F:F,A1287)</f>
        <v>1</v>
      </c>
      <c r="G1287" s="106" t="str">
        <f>SUMIFS(Cast!C:C,CastElements,A1287)</f>
        <v>1</v>
      </c>
      <c r="H1287" s="106" t="str">
        <f t="shared" si="4"/>
        <v>0</v>
      </c>
      <c r="I1287" s="106" t="str">
        <f>SUMIFS(Del!C:C,Del!B:B,A1287)</f>
        <v>0</v>
      </c>
      <c r="J1287" s="106" t="str">
        <f t="shared" si="5"/>
        <v>1</v>
      </c>
      <c r="K1287" s="106" t="str">
        <f t="shared" si="6"/>
        <v>1</v>
      </c>
      <c r="L1287" s="106"/>
      <c r="M1287" s="106" t="str">
        <f>SUMIFS(Ere!C:C,Ere!B:B,A1287)</f>
        <v>0</v>
      </c>
      <c r="N1287" s="106" t="str">
        <f t="shared" si="7"/>
        <v>1</v>
      </c>
      <c r="O1287" s="107" t="str">
        <f t="array" ref="O1287">XLOOKUP(A1287,Data!F:F,Data!O:O)</f>
        <v>  0.68 </v>
      </c>
      <c r="P1287" s="107" t="str">
        <f t="shared" si="8"/>
        <v>  1.71 </v>
      </c>
      <c r="Q1287" s="27"/>
    </row>
    <row r="1288" ht="15.75" customHeight="1">
      <c r="A1288" s="105" t="s">
        <v>1532</v>
      </c>
      <c r="B1288" s="19" t="str">
        <f t="array" ref="B1288">XLOOKUP(A1288,Data!F:F,Data!G:G)</f>
        <v>J1D</v>
      </c>
      <c r="C1288" s="19" t="str">
        <f t="shared" si="3"/>
        <v>J096</v>
      </c>
      <c r="D1288" s="19" t="str">
        <f t="array" ref="D1288">XLOOKUP(A1288,Data!F:F,Data!C:C)</f>
        <v/>
      </c>
      <c r="E1288" s="19" t="str">
        <f t="array" ref="E1288">XLOOKUP(A1288,Data!F:F,Data!H:H)</f>
        <v>BW</v>
      </c>
      <c r="F1288" s="106" t="str">
        <f>SUMIFS(Data!J:J,Data!F:F,A1288)</f>
        <v>1</v>
      </c>
      <c r="G1288" s="106" t="str">
        <f>SUMIFS(Cast!C:C,CastElements,A1288)</f>
        <v>1</v>
      </c>
      <c r="H1288" s="106" t="str">
        <f t="shared" si="4"/>
        <v>0</v>
      </c>
      <c r="I1288" s="106" t="str">
        <f>SUMIFS(Del!C:C,Del!B:B,A1288)</f>
        <v>0</v>
      </c>
      <c r="J1288" s="106" t="str">
        <f t="shared" si="5"/>
        <v>1</v>
      </c>
      <c r="K1288" s="106" t="str">
        <f t="shared" si="6"/>
        <v>1</v>
      </c>
      <c r="L1288" s="106"/>
      <c r="M1288" s="106" t="str">
        <f>SUMIFS(Ere!C:C,Ere!B:B,A1288)</f>
        <v>0</v>
      </c>
      <c r="N1288" s="106" t="str">
        <f t="shared" si="7"/>
        <v>1</v>
      </c>
      <c r="O1288" s="107" t="str">
        <f t="array" ref="O1288">XLOOKUP(A1288,Data!F:F,Data!O:O)</f>
        <v>  0.42 </v>
      </c>
      <c r="P1288" s="107" t="str">
        <f t="shared" si="8"/>
        <v>  1.05 </v>
      </c>
      <c r="Q1288" s="27"/>
    </row>
    <row r="1289" ht="15.75" customHeight="1">
      <c r="A1289" s="105" t="s">
        <v>1533</v>
      </c>
      <c r="B1289" s="19" t="str">
        <f t="array" ref="B1289">XLOOKUP(A1289,Data!F:F,Data!G:G)</f>
        <v>J1D</v>
      </c>
      <c r="C1289" s="19" t="str">
        <f t="shared" si="3"/>
        <v>J096</v>
      </c>
      <c r="D1289" s="19" t="str">
        <f t="array" ref="D1289">XLOOKUP(A1289,Data!F:F,Data!C:C)</f>
        <v/>
      </c>
      <c r="E1289" s="19" t="str">
        <f t="array" ref="E1289">XLOOKUP(A1289,Data!F:F,Data!H:H)</f>
        <v>BW</v>
      </c>
      <c r="F1289" s="106" t="str">
        <f>SUMIFS(Data!J:J,Data!F:F,A1289)</f>
        <v>1</v>
      </c>
      <c r="G1289" s="106" t="str">
        <f>SUMIFS(Cast!C:C,CastElements,A1289)</f>
        <v>1</v>
      </c>
      <c r="H1289" s="106" t="str">
        <f t="shared" si="4"/>
        <v>0</v>
      </c>
      <c r="I1289" s="106" t="str">
        <f>SUMIFS(Del!C:C,Del!B:B,A1289)</f>
        <v>0</v>
      </c>
      <c r="J1289" s="106" t="str">
        <f t="shared" si="5"/>
        <v>1</v>
      </c>
      <c r="K1289" s="106" t="str">
        <f t="shared" si="6"/>
        <v>1</v>
      </c>
      <c r="L1289" s="106"/>
      <c r="M1289" s="106" t="str">
        <f>SUMIFS(Ere!C:C,Ere!B:B,A1289)</f>
        <v>0</v>
      </c>
      <c r="N1289" s="106" t="str">
        <f t="shared" si="7"/>
        <v>1</v>
      </c>
      <c r="O1289" s="107" t="str">
        <f t="array" ref="O1289">XLOOKUP(A1289,Data!F:F,Data!O:O)</f>
        <v>  0.51 </v>
      </c>
      <c r="P1289" s="107" t="str">
        <f t="shared" si="8"/>
        <v>  1.28 </v>
      </c>
      <c r="Q1289" s="27"/>
    </row>
    <row r="1290" ht="15.75" customHeight="1">
      <c r="A1290" s="105" t="s">
        <v>1534</v>
      </c>
      <c r="B1290" s="19" t="str">
        <f t="array" ref="B1290">XLOOKUP(A1290,Data!F:F,Data!G:G)</f>
        <v>J1D</v>
      </c>
      <c r="C1290" s="19" t="str">
        <f t="shared" si="3"/>
        <v>J096</v>
      </c>
      <c r="D1290" s="19" t="str">
        <f t="array" ref="D1290">XLOOKUP(A1290,Data!F:F,Data!C:C)</f>
        <v/>
      </c>
      <c r="E1290" s="19" t="str">
        <f t="array" ref="E1290">XLOOKUP(A1290,Data!F:F,Data!H:H)</f>
        <v>CF</v>
      </c>
      <c r="F1290" s="106" t="str">
        <f>SUMIFS(Data!J:J,Data!F:F,A1290)</f>
        <v>1</v>
      </c>
      <c r="G1290" s="106" t="str">
        <f>SUMIFS(Cast!C:C,CastElements,A1290)</f>
        <v>1</v>
      </c>
      <c r="H1290" s="106" t="str">
        <f t="shared" si="4"/>
        <v>0</v>
      </c>
      <c r="I1290" s="106" t="str">
        <f>SUMIFS(Del!C:C,Del!B:B,A1290)</f>
        <v>0</v>
      </c>
      <c r="J1290" s="106" t="str">
        <f t="shared" si="5"/>
        <v>1</v>
      </c>
      <c r="K1290" s="106" t="str">
        <f t="shared" si="6"/>
        <v>1</v>
      </c>
      <c r="L1290" s="106"/>
      <c r="M1290" s="106" t="str">
        <f>SUMIFS(Ere!C:C,Ere!B:B,A1290)</f>
        <v>0</v>
      </c>
      <c r="N1290" s="106" t="str">
        <f t="shared" si="7"/>
        <v>1</v>
      </c>
      <c r="O1290" s="107" t="str">
        <f t="array" ref="O1290">XLOOKUP(A1290,Data!F:F,Data!O:O)</f>
        <v>  0.56 </v>
      </c>
      <c r="P1290" s="107" t="str">
        <f t="shared" si="8"/>
        <v>  1.40 </v>
      </c>
      <c r="Q1290" s="27"/>
    </row>
    <row r="1291" ht="15.75" customHeight="1">
      <c r="A1291" s="105" t="s">
        <v>1535</v>
      </c>
      <c r="B1291" s="19" t="str">
        <f t="array" ref="B1291">XLOOKUP(A1291,Data!F:F,Data!G:G)</f>
        <v>J1D</v>
      </c>
      <c r="C1291" s="19" t="str">
        <f t="shared" si="3"/>
        <v>J096</v>
      </c>
      <c r="D1291" s="19" t="str">
        <f t="array" ref="D1291">XLOOKUP(A1291,Data!F:F,Data!C:C)</f>
        <v/>
      </c>
      <c r="E1291" s="19" t="str">
        <f t="array" ref="E1291">XLOOKUP(A1291,Data!F:F,Data!H:H)</f>
        <v>BW</v>
      </c>
      <c r="F1291" s="106" t="str">
        <f>SUMIFS(Data!J:J,Data!F:F,A1291)</f>
        <v>1</v>
      </c>
      <c r="G1291" s="106" t="str">
        <f>SUMIFS(Cast!C:C,CastElements,A1291)</f>
        <v>1</v>
      </c>
      <c r="H1291" s="106" t="str">
        <f t="shared" si="4"/>
        <v>0</v>
      </c>
      <c r="I1291" s="106" t="str">
        <f>SUMIFS(Del!C:C,Del!B:B,A1291)</f>
        <v>0</v>
      </c>
      <c r="J1291" s="106" t="str">
        <f t="shared" si="5"/>
        <v>1</v>
      </c>
      <c r="K1291" s="106" t="str">
        <f t="shared" si="6"/>
        <v>1</v>
      </c>
      <c r="L1291" s="106"/>
      <c r="M1291" s="106" t="str">
        <f>SUMIFS(Ere!C:C,Ere!B:B,A1291)</f>
        <v>0</v>
      </c>
      <c r="N1291" s="106" t="str">
        <f t="shared" si="7"/>
        <v>1</v>
      </c>
      <c r="O1291" s="107" t="str">
        <f t="array" ref="O1291">XLOOKUP(A1291,Data!F:F,Data!O:O)</f>
        <v>  0.43 </v>
      </c>
      <c r="P1291" s="107" t="str">
        <f t="shared" si="8"/>
        <v>  1.08 </v>
      </c>
      <c r="Q1291" s="27"/>
    </row>
    <row r="1292" ht="15.75" customHeight="1">
      <c r="A1292" s="105" t="s">
        <v>1536</v>
      </c>
      <c r="B1292" s="19" t="str">
        <f t="array" ref="B1292">XLOOKUP(A1292,Data!F:F,Data!G:G)</f>
        <v>J1D</v>
      </c>
      <c r="C1292" s="19" t="str">
        <f t="shared" si="3"/>
        <v>J096</v>
      </c>
      <c r="D1292" s="19" t="str">
        <f t="array" ref="D1292">XLOOKUP(A1292,Data!F:F,Data!C:C)</f>
        <v/>
      </c>
      <c r="E1292" s="19" t="str">
        <f t="array" ref="E1292">XLOOKUP(A1292,Data!F:F,Data!H:H)</f>
        <v>BW</v>
      </c>
      <c r="F1292" s="106" t="str">
        <f>SUMIFS(Data!J:J,Data!F:F,A1292)</f>
        <v>1</v>
      </c>
      <c r="G1292" s="106" t="str">
        <f>SUMIFS(Cast!C:C,CastElements,A1292)</f>
        <v>1</v>
      </c>
      <c r="H1292" s="106" t="str">
        <f t="shared" si="4"/>
        <v>0</v>
      </c>
      <c r="I1292" s="106" t="str">
        <f>SUMIFS(Del!C:C,Del!B:B,A1292)</f>
        <v>0</v>
      </c>
      <c r="J1292" s="106" t="str">
        <f t="shared" si="5"/>
        <v>1</v>
      </c>
      <c r="K1292" s="106" t="str">
        <f t="shared" si="6"/>
        <v>1</v>
      </c>
      <c r="L1292" s="106"/>
      <c r="M1292" s="106" t="str">
        <f>SUMIFS(Ere!C:C,Ere!B:B,A1292)</f>
        <v>0</v>
      </c>
      <c r="N1292" s="106" t="str">
        <f t="shared" si="7"/>
        <v>1</v>
      </c>
      <c r="O1292" s="107" t="str">
        <f t="array" ref="O1292">XLOOKUP(A1292,Data!F:F,Data!O:O)</f>
        <v>  2.72 </v>
      </c>
      <c r="P1292" s="107" t="str">
        <f t="shared" si="8"/>
        <v>  6.79 </v>
      </c>
      <c r="Q1292" s="27"/>
    </row>
    <row r="1293" ht="15.75" customHeight="1">
      <c r="A1293" s="105" t="s">
        <v>1537</v>
      </c>
      <c r="B1293" s="19" t="str">
        <f t="array" ref="B1293">XLOOKUP(A1293,Data!F:F,Data!G:G)</f>
        <v>J1D</v>
      </c>
      <c r="C1293" s="19" t="str">
        <f t="shared" si="3"/>
        <v>J096</v>
      </c>
      <c r="D1293" s="19" t="str">
        <f t="array" ref="D1293">XLOOKUP(A1293,Data!F:F,Data!C:C)</f>
        <v/>
      </c>
      <c r="E1293" s="19" t="str">
        <f t="array" ref="E1293">XLOOKUP(A1293,Data!F:F,Data!H:H)</f>
        <v>BW</v>
      </c>
      <c r="F1293" s="106" t="str">
        <f>SUMIFS(Data!J:J,Data!F:F,A1293)</f>
        <v>1</v>
      </c>
      <c r="G1293" s="106" t="str">
        <f>SUMIFS(Cast!C:C,CastElements,A1293)</f>
        <v>1</v>
      </c>
      <c r="H1293" s="106" t="str">
        <f t="shared" si="4"/>
        <v>0</v>
      </c>
      <c r="I1293" s="106" t="str">
        <f>SUMIFS(Del!C:C,Del!B:B,A1293)</f>
        <v>0</v>
      </c>
      <c r="J1293" s="106" t="str">
        <f t="shared" si="5"/>
        <v>1</v>
      </c>
      <c r="K1293" s="106" t="str">
        <f t="shared" si="6"/>
        <v>1</v>
      </c>
      <c r="L1293" s="106"/>
      <c r="M1293" s="106" t="str">
        <f>SUMIFS(Ere!C:C,Ere!B:B,A1293)</f>
        <v>0</v>
      </c>
      <c r="N1293" s="106" t="str">
        <f t="shared" si="7"/>
        <v>1</v>
      </c>
      <c r="O1293" s="107" t="str">
        <f t="array" ref="O1293">XLOOKUP(A1293,Data!F:F,Data!O:O)</f>
        <v>  2.03 </v>
      </c>
      <c r="P1293" s="107" t="str">
        <f t="shared" si="8"/>
        <v>  5.08 </v>
      </c>
      <c r="Q1293" s="27"/>
    </row>
    <row r="1294" ht="15.75" customHeight="1">
      <c r="A1294" s="105" t="s">
        <v>1538</v>
      </c>
      <c r="B1294" s="19" t="str">
        <f t="array" ref="B1294">XLOOKUP(A1294,Data!F:F,Data!G:G)</f>
        <v>J1D</v>
      </c>
      <c r="C1294" s="19" t="str">
        <f t="shared" si="3"/>
        <v>J096</v>
      </c>
      <c r="D1294" s="19" t="str">
        <f t="array" ref="D1294">XLOOKUP(A1294,Data!F:F,Data!C:C)</f>
        <v/>
      </c>
      <c r="E1294" s="19" t="str">
        <f t="array" ref="E1294">XLOOKUP(A1294,Data!F:F,Data!H:H)</f>
        <v>BW</v>
      </c>
      <c r="F1294" s="106" t="str">
        <f>SUMIFS(Data!J:J,Data!F:F,A1294)</f>
        <v>1</v>
      </c>
      <c r="G1294" s="106" t="str">
        <f>SUMIFS(Cast!C:C,CastElements,A1294)</f>
        <v>1</v>
      </c>
      <c r="H1294" s="106" t="str">
        <f t="shared" si="4"/>
        <v>0</v>
      </c>
      <c r="I1294" s="106" t="str">
        <f>SUMIFS(Del!C:C,Del!B:B,A1294)</f>
        <v>0</v>
      </c>
      <c r="J1294" s="106" t="str">
        <f t="shared" si="5"/>
        <v>1</v>
      </c>
      <c r="K1294" s="106" t="str">
        <f t="shared" si="6"/>
        <v>1</v>
      </c>
      <c r="L1294" s="106"/>
      <c r="M1294" s="106" t="str">
        <f>SUMIFS(Ere!C:C,Ere!B:B,A1294)</f>
        <v>0</v>
      </c>
      <c r="N1294" s="106" t="str">
        <f t="shared" si="7"/>
        <v>1</v>
      </c>
      <c r="O1294" s="107" t="str">
        <f t="array" ref="O1294">XLOOKUP(A1294,Data!F:F,Data!O:O)</f>
        <v>  1.64 </v>
      </c>
      <c r="P1294" s="107" t="str">
        <f t="shared" si="8"/>
        <v>  4.11 </v>
      </c>
      <c r="Q1294" s="27"/>
    </row>
    <row r="1295" ht="15.75" customHeight="1">
      <c r="A1295" s="105" t="s">
        <v>1539</v>
      </c>
      <c r="B1295" s="19" t="str">
        <f t="array" ref="B1295">XLOOKUP(A1295,Data!F:F,Data!G:G)</f>
        <v>J1D</v>
      </c>
      <c r="C1295" s="19" t="str">
        <f t="shared" si="3"/>
        <v>J096</v>
      </c>
      <c r="D1295" s="19" t="str">
        <f t="array" ref="D1295">XLOOKUP(A1295,Data!F:F,Data!C:C)</f>
        <v/>
      </c>
      <c r="E1295" s="19" t="str">
        <f t="array" ref="E1295">XLOOKUP(A1295,Data!F:F,Data!H:H)</f>
        <v>BW</v>
      </c>
      <c r="F1295" s="106" t="str">
        <f>SUMIFS(Data!J:J,Data!F:F,A1295)</f>
        <v>1</v>
      </c>
      <c r="G1295" s="106" t="str">
        <f>SUMIFS(Cast!C:C,CastElements,A1295)</f>
        <v>1</v>
      </c>
      <c r="H1295" s="106" t="str">
        <f t="shared" si="4"/>
        <v>0</v>
      </c>
      <c r="I1295" s="106" t="str">
        <f>SUMIFS(Del!C:C,Del!B:B,A1295)</f>
        <v>0</v>
      </c>
      <c r="J1295" s="106" t="str">
        <f t="shared" si="5"/>
        <v>1</v>
      </c>
      <c r="K1295" s="106" t="str">
        <f t="shared" si="6"/>
        <v>1</v>
      </c>
      <c r="L1295" s="106"/>
      <c r="M1295" s="106" t="str">
        <f>SUMIFS(Ere!C:C,Ere!B:B,A1295)</f>
        <v>0</v>
      </c>
      <c r="N1295" s="106" t="str">
        <f t="shared" si="7"/>
        <v>1</v>
      </c>
      <c r="O1295" s="107" t="str">
        <f t="array" ref="O1295">XLOOKUP(A1295,Data!F:F,Data!O:O)</f>
        <v>  1.59 </v>
      </c>
      <c r="P1295" s="107" t="str">
        <f t="shared" si="8"/>
        <v>  3.98 </v>
      </c>
      <c r="Q1295" s="27"/>
    </row>
    <row r="1296" ht="15.75" customHeight="1">
      <c r="A1296" s="105" t="s">
        <v>1540</v>
      </c>
      <c r="B1296" s="19" t="str">
        <f t="array" ref="B1296">XLOOKUP(A1296,Data!F:F,Data!G:G)</f>
        <v>J1D</v>
      </c>
      <c r="C1296" s="19" t="str">
        <f t="shared" si="3"/>
        <v>J096</v>
      </c>
      <c r="D1296" s="19" t="str">
        <f t="array" ref="D1296">XLOOKUP(A1296,Data!F:F,Data!C:C)</f>
        <v>EXT</v>
      </c>
      <c r="E1296" s="19" t="str">
        <f t="array" ref="E1296">XLOOKUP(A1296,Data!F:F,Data!H:H)</f>
        <v>BW</v>
      </c>
      <c r="F1296" s="106" t="str">
        <f>SUMIFS(Data!J:J,Data!F:F,A1296)</f>
        <v>1</v>
      </c>
      <c r="G1296" s="106" t="str">
        <f>SUMIFS(Cast!C:C,CastElements,A1296)</f>
        <v>0</v>
      </c>
      <c r="H1296" s="106" t="str">
        <f t="shared" si="4"/>
        <v>1</v>
      </c>
      <c r="I1296" s="106" t="str">
        <f>SUMIFS(Del!C:C,Del!B:B,A1296)</f>
        <v>0</v>
      </c>
      <c r="J1296" s="106" t="str">
        <f t="shared" si="5"/>
        <v>1</v>
      </c>
      <c r="K1296" s="106" t="str">
        <f t="shared" si="6"/>
        <v>0</v>
      </c>
      <c r="L1296" s="106"/>
      <c r="M1296" s="106" t="str">
        <f>SUMIFS(Ere!C:C,Ere!B:B,A1296)</f>
        <v>0</v>
      </c>
      <c r="N1296" s="106" t="str">
        <f t="shared" si="7"/>
        <v>1</v>
      </c>
      <c r="O1296" s="107" t="str">
        <f t="array" ref="O1296">XLOOKUP(A1296,Data!F:F,Data!O:O)</f>
        <v>  0.79 </v>
      </c>
      <c r="P1296" s="107" t="str">
        <f t="shared" si="8"/>
        <v>  1.98 </v>
      </c>
      <c r="Q1296" s="27"/>
    </row>
    <row r="1297" ht="15.75" customHeight="1">
      <c r="A1297" s="105" t="s">
        <v>1541</v>
      </c>
      <c r="B1297" s="19" t="str">
        <f t="array" ref="B1297">XLOOKUP(A1297,Data!F:F,Data!G:G)</f>
        <v>J1D</v>
      </c>
      <c r="C1297" s="19" t="str">
        <f t="shared" si="3"/>
        <v>J097</v>
      </c>
      <c r="D1297" s="19" t="str">
        <f t="array" ref="D1297">XLOOKUP(A1297,Data!F:F,Data!C:C)</f>
        <v>EXT</v>
      </c>
      <c r="E1297" s="19" t="str">
        <f t="array" ref="E1297">XLOOKUP(A1297,Data!F:F,Data!H:H)</f>
        <v>BW</v>
      </c>
      <c r="F1297" s="106" t="str">
        <f>SUMIFS(Data!J:J,Data!F:F,A1297)</f>
        <v>1</v>
      </c>
      <c r="G1297" s="106" t="str">
        <f>SUMIFS(Cast!C:C,CastElements,A1297)</f>
        <v>0</v>
      </c>
      <c r="H1297" s="106" t="str">
        <f t="shared" si="4"/>
        <v>1</v>
      </c>
      <c r="I1297" s="106" t="str">
        <f>SUMIFS(Del!C:C,Del!B:B,A1297)</f>
        <v>0</v>
      </c>
      <c r="J1297" s="106" t="str">
        <f t="shared" si="5"/>
        <v>1</v>
      </c>
      <c r="K1297" s="106" t="str">
        <f t="shared" si="6"/>
        <v>0</v>
      </c>
      <c r="L1297" s="106"/>
      <c r="M1297" s="106" t="str">
        <f>SUMIFS(Ere!C:C,Ere!B:B,A1297)</f>
        <v>0</v>
      </c>
      <c r="N1297" s="106" t="str">
        <f t="shared" si="7"/>
        <v>1</v>
      </c>
      <c r="O1297" s="107" t="str">
        <f t="array" ref="O1297">XLOOKUP(A1297,Data!F:F,Data!O:O)</f>
        <v>  0.87 </v>
      </c>
      <c r="P1297" s="107" t="str">
        <f t="shared" si="8"/>
        <v>  2.18 </v>
      </c>
      <c r="Q1297" s="27"/>
    </row>
    <row r="1298" ht="15.75" customHeight="1">
      <c r="A1298" s="105" t="s">
        <v>1542</v>
      </c>
      <c r="B1298" s="19" t="str">
        <f t="array" ref="B1298">XLOOKUP(A1298,Data!F:F,Data!G:G)</f>
        <v>J1D</v>
      </c>
      <c r="C1298" s="19" t="str">
        <f t="shared" si="3"/>
        <v>J097</v>
      </c>
      <c r="D1298" s="19" t="str">
        <f t="array" ref="D1298">XLOOKUP(A1298,Data!F:F,Data!C:C)</f>
        <v>EXT</v>
      </c>
      <c r="E1298" s="19" t="str">
        <f t="array" ref="E1298">XLOOKUP(A1298,Data!F:F,Data!H:H)</f>
        <v>BW</v>
      </c>
      <c r="F1298" s="106" t="str">
        <f>SUMIFS(Data!J:J,Data!F:F,A1298)</f>
        <v>1</v>
      </c>
      <c r="G1298" s="106" t="str">
        <f>SUMIFS(Cast!C:C,CastElements,A1298)</f>
        <v>0</v>
      </c>
      <c r="H1298" s="106" t="str">
        <f t="shared" si="4"/>
        <v>1</v>
      </c>
      <c r="I1298" s="106" t="str">
        <f>SUMIFS(Del!C:C,Del!B:B,A1298)</f>
        <v>0</v>
      </c>
      <c r="J1298" s="106" t="str">
        <f t="shared" si="5"/>
        <v>1</v>
      </c>
      <c r="K1298" s="106" t="str">
        <f t="shared" si="6"/>
        <v>0</v>
      </c>
      <c r="L1298" s="106"/>
      <c r="M1298" s="106" t="str">
        <f>SUMIFS(Ere!C:C,Ere!B:B,A1298)</f>
        <v>0</v>
      </c>
      <c r="N1298" s="106" t="str">
        <f t="shared" si="7"/>
        <v>1</v>
      </c>
      <c r="O1298" s="107" t="str">
        <f t="array" ref="O1298">XLOOKUP(A1298,Data!F:F,Data!O:O)</f>
        <v>  0.87 </v>
      </c>
      <c r="P1298" s="107" t="str">
        <f t="shared" si="8"/>
        <v>  2.18 </v>
      </c>
      <c r="Q1298" s="27"/>
    </row>
    <row r="1299" ht="15.75" customHeight="1">
      <c r="A1299" s="105" t="s">
        <v>1543</v>
      </c>
      <c r="B1299" s="19" t="str">
        <f t="array" ref="B1299">XLOOKUP(A1299,Data!F:F,Data!G:G)</f>
        <v>J1D</v>
      </c>
      <c r="C1299" s="19" t="str">
        <f t="shared" si="3"/>
        <v>J097</v>
      </c>
      <c r="D1299" s="19" t="str">
        <f t="array" ref="D1299">XLOOKUP(A1299,Data!F:F,Data!C:C)</f>
        <v>EXT</v>
      </c>
      <c r="E1299" s="19" t="str">
        <f t="array" ref="E1299">XLOOKUP(A1299,Data!F:F,Data!H:H)</f>
        <v>BW</v>
      </c>
      <c r="F1299" s="106" t="str">
        <f>SUMIFS(Data!J:J,Data!F:F,A1299)</f>
        <v>1</v>
      </c>
      <c r="G1299" s="106" t="str">
        <f>SUMIFS(Cast!C:C,CastElements,A1299)</f>
        <v>0</v>
      </c>
      <c r="H1299" s="106" t="str">
        <f t="shared" si="4"/>
        <v>1</v>
      </c>
      <c r="I1299" s="106" t="str">
        <f>SUMIFS(Del!C:C,Del!B:B,A1299)</f>
        <v>0</v>
      </c>
      <c r="J1299" s="106" t="str">
        <f t="shared" si="5"/>
        <v>1</v>
      </c>
      <c r="K1299" s="106" t="str">
        <f t="shared" si="6"/>
        <v>0</v>
      </c>
      <c r="L1299" s="106"/>
      <c r="M1299" s="106" t="str">
        <f>SUMIFS(Ere!C:C,Ere!B:B,A1299)</f>
        <v>0</v>
      </c>
      <c r="N1299" s="106" t="str">
        <f t="shared" si="7"/>
        <v>1</v>
      </c>
      <c r="O1299" s="107" t="str">
        <f t="array" ref="O1299">XLOOKUP(A1299,Data!F:F,Data!O:O)</f>
        <v>  0.87 </v>
      </c>
      <c r="P1299" s="107" t="str">
        <f t="shared" si="8"/>
        <v>  2.18 </v>
      </c>
      <c r="Q1299" s="27"/>
    </row>
    <row r="1300" ht="15.75" customHeight="1">
      <c r="A1300" s="105" t="s">
        <v>1544</v>
      </c>
      <c r="B1300" s="19" t="str">
        <f t="array" ref="B1300">XLOOKUP(A1300,Data!F:F,Data!G:G)</f>
        <v>J1D</v>
      </c>
      <c r="C1300" s="19" t="str">
        <f t="shared" si="3"/>
        <v>J097</v>
      </c>
      <c r="D1300" s="19" t="str">
        <f t="array" ref="D1300">XLOOKUP(A1300,Data!F:F,Data!C:C)</f>
        <v>EXT</v>
      </c>
      <c r="E1300" s="19" t="str">
        <f t="array" ref="E1300">XLOOKUP(A1300,Data!F:F,Data!H:H)</f>
        <v>BW</v>
      </c>
      <c r="F1300" s="106" t="str">
        <f>SUMIFS(Data!J:J,Data!F:F,A1300)</f>
        <v>1</v>
      </c>
      <c r="G1300" s="106" t="str">
        <f>SUMIFS(Cast!C:C,CastElements,A1300)</f>
        <v>1</v>
      </c>
      <c r="H1300" s="106" t="str">
        <f t="shared" si="4"/>
        <v>0</v>
      </c>
      <c r="I1300" s="106" t="str">
        <f>SUMIFS(Del!C:C,Del!B:B,A1300)</f>
        <v>0</v>
      </c>
      <c r="J1300" s="106" t="str">
        <f t="shared" si="5"/>
        <v>1</v>
      </c>
      <c r="K1300" s="106" t="str">
        <f t="shared" si="6"/>
        <v>1</v>
      </c>
      <c r="L1300" s="106"/>
      <c r="M1300" s="106" t="str">
        <f>SUMIFS(Ere!C:C,Ere!B:B,A1300)</f>
        <v>0</v>
      </c>
      <c r="N1300" s="106" t="str">
        <f t="shared" si="7"/>
        <v>1</v>
      </c>
      <c r="O1300" s="107" t="str">
        <f t="array" ref="O1300">XLOOKUP(A1300,Data!F:F,Data!O:O)</f>
        <v>  0.51 </v>
      </c>
      <c r="P1300" s="107" t="str">
        <f t="shared" si="8"/>
        <v>  1.28 </v>
      </c>
      <c r="Q1300" s="27"/>
    </row>
    <row r="1301" ht="15.75" customHeight="1">
      <c r="A1301" s="105" t="s">
        <v>1545</v>
      </c>
      <c r="B1301" s="19" t="str">
        <f t="array" ref="B1301">XLOOKUP(A1301,Data!F:F,Data!G:G)</f>
        <v>J1D</v>
      </c>
      <c r="C1301" s="19" t="str">
        <f t="shared" si="3"/>
        <v>J097</v>
      </c>
      <c r="D1301" s="19" t="str">
        <f t="array" ref="D1301">XLOOKUP(A1301,Data!F:F,Data!C:C)</f>
        <v>EXT</v>
      </c>
      <c r="E1301" s="19" t="str">
        <f t="array" ref="E1301">XLOOKUP(A1301,Data!F:F,Data!H:H)</f>
        <v>BW</v>
      </c>
      <c r="F1301" s="106" t="str">
        <f>SUMIFS(Data!J:J,Data!F:F,A1301)</f>
        <v>1</v>
      </c>
      <c r="G1301" s="106" t="str">
        <f>SUMIFS(Cast!C:C,CastElements,A1301)</f>
        <v>1</v>
      </c>
      <c r="H1301" s="106" t="str">
        <f t="shared" si="4"/>
        <v>0</v>
      </c>
      <c r="I1301" s="106" t="str">
        <f>SUMIFS(Del!C:C,Del!B:B,A1301)</f>
        <v>0</v>
      </c>
      <c r="J1301" s="106" t="str">
        <f t="shared" si="5"/>
        <v>1</v>
      </c>
      <c r="K1301" s="106" t="str">
        <f t="shared" si="6"/>
        <v>1</v>
      </c>
      <c r="L1301" s="106"/>
      <c r="M1301" s="106" t="str">
        <f>SUMIFS(Ere!C:C,Ere!B:B,A1301)</f>
        <v>0</v>
      </c>
      <c r="N1301" s="106" t="str">
        <f t="shared" si="7"/>
        <v>1</v>
      </c>
      <c r="O1301" s="107" t="str">
        <f t="array" ref="O1301">XLOOKUP(A1301,Data!F:F,Data!O:O)</f>
        <v>  0.51 </v>
      </c>
      <c r="P1301" s="107" t="str">
        <f t="shared" si="8"/>
        <v>  1.28 </v>
      </c>
      <c r="Q1301" s="27"/>
    </row>
    <row r="1302" ht="15.75" customHeight="1">
      <c r="A1302" s="105" t="s">
        <v>1546</v>
      </c>
      <c r="B1302" s="19" t="str">
        <f t="array" ref="B1302">XLOOKUP(A1302,Data!F:F,Data!G:G)</f>
        <v>J1D</v>
      </c>
      <c r="C1302" s="19" t="str">
        <f t="shared" si="3"/>
        <v>J097</v>
      </c>
      <c r="D1302" s="19" t="str">
        <f t="array" ref="D1302">XLOOKUP(A1302,Data!F:F,Data!C:C)</f>
        <v>EXT</v>
      </c>
      <c r="E1302" s="19" t="str">
        <f t="array" ref="E1302">XLOOKUP(A1302,Data!F:F,Data!H:H)</f>
        <v>BW</v>
      </c>
      <c r="F1302" s="106" t="str">
        <f>SUMIFS(Data!J:J,Data!F:F,A1302)</f>
        <v>1</v>
      </c>
      <c r="G1302" s="106" t="str">
        <f>SUMIFS(Cast!C:C,CastElements,A1302)</f>
        <v>1</v>
      </c>
      <c r="H1302" s="106" t="str">
        <f t="shared" si="4"/>
        <v>0</v>
      </c>
      <c r="I1302" s="106" t="str">
        <f>SUMIFS(Del!C:C,Del!B:B,A1302)</f>
        <v>0</v>
      </c>
      <c r="J1302" s="106" t="str">
        <f t="shared" si="5"/>
        <v>1</v>
      </c>
      <c r="K1302" s="106" t="str">
        <f t="shared" si="6"/>
        <v>1</v>
      </c>
      <c r="L1302" s="106"/>
      <c r="M1302" s="106" t="str">
        <f>SUMIFS(Ere!C:C,Ere!B:B,A1302)</f>
        <v>0</v>
      </c>
      <c r="N1302" s="106" t="str">
        <f t="shared" si="7"/>
        <v>1</v>
      </c>
      <c r="O1302" s="107" t="str">
        <f t="array" ref="O1302">XLOOKUP(A1302,Data!F:F,Data!O:O)</f>
        <v>  0.51 </v>
      </c>
      <c r="P1302" s="107" t="str">
        <f t="shared" si="8"/>
        <v>  1.28 </v>
      </c>
      <c r="Q1302" s="27"/>
    </row>
    <row r="1303" ht="15.75" customHeight="1">
      <c r="A1303" s="105" t="s">
        <v>1547</v>
      </c>
      <c r="B1303" s="19" t="str">
        <f t="array" ref="B1303">XLOOKUP(A1303,Data!F:F,Data!G:G)</f>
        <v>J1D</v>
      </c>
      <c r="C1303" s="19" t="str">
        <f t="shared" si="3"/>
        <v>J097</v>
      </c>
      <c r="D1303" s="19" t="str">
        <f t="array" ref="D1303">XLOOKUP(A1303,Data!F:F,Data!C:C)</f>
        <v>EXT</v>
      </c>
      <c r="E1303" s="19" t="str">
        <f t="array" ref="E1303">XLOOKUP(A1303,Data!F:F,Data!H:H)</f>
        <v>BW</v>
      </c>
      <c r="F1303" s="106" t="str">
        <f>SUMIFS(Data!J:J,Data!F:F,A1303)</f>
        <v>1</v>
      </c>
      <c r="G1303" s="106" t="str">
        <f>SUMIFS(Cast!C:C,CastElements,A1303)</f>
        <v>1</v>
      </c>
      <c r="H1303" s="106" t="str">
        <f t="shared" si="4"/>
        <v>0</v>
      </c>
      <c r="I1303" s="106" t="str">
        <f>SUMIFS(Del!C:C,Del!B:B,A1303)</f>
        <v>0</v>
      </c>
      <c r="J1303" s="106" t="str">
        <f t="shared" si="5"/>
        <v>1</v>
      </c>
      <c r="K1303" s="106" t="str">
        <f t="shared" si="6"/>
        <v>1</v>
      </c>
      <c r="L1303" s="106"/>
      <c r="M1303" s="106" t="str">
        <f>SUMIFS(Ere!C:C,Ere!B:B,A1303)</f>
        <v>0</v>
      </c>
      <c r="N1303" s="106" t="str">
        <f t="shared" si="7"/>
        <v>1</v>
      </c>
      <c r="O1303" s="107" t="str">
        <f t="array" ref="O1303">XLOOKUP(A1303,Data!F:F,Data!O:O)</f>
        <v>  0.51 </v>
      </c>
      <c r="P1303" s="107" t="str">
        <f t="shared" si="8"/>
        <v>  1.28 </v>
      </c>
      <c r="Q1303" s="27"/>
    </row>
    <row r="1304" ht="15.75" customHeight="1">
      <c r="A1304" s="105" t="s">
        <v>1548</v>
      </c>
      <c r="B1304" s="19" t="str">
        <f t="array" ref="B1304">XLOOKUP(A1304,Data!F:F,Data!G:G)</f>
        <v>J1D</v>
      </c>
      <c r="C1304" s="19" t="str">
        <f t="shared" si="3"/>
        <v>J097</v>
      </c>
      <c r="D1304" s="19" t="str">
        <f t="array" ref="D1304">XLOOKUP(A1304,Data!F:F,Data!C:C)</f>
        <v>EXT</v>
      </c>
      <c r="E1304" s="19" t="str">
        <f t="array" ref="E1304">XLOOKUP(A1304,Data!F:F,Data!H:H)</f>
        <v>BW</v>
      </c>
      <c r="F1304" s="106" t="str">
        <f>SUMIFS(Data!J:J,Data!F:F,A1304)</f>
        <v>1</v>
      </c>
      <c r="G1304" s="106" t="str">
        <f>SUMIFS(Cast!C:C,CastElements,A1304)</f>
        <v>1</v>
      </c>
      <c r="H1304" s="106" t="str">
        <f t="shared" si="4"/>
        <v>0</v>
      </c>
      <c r="I1304" s="106" t="str">
        <f>SUMIFS(Del!C:C,Del!B:B,A1304)</f>
        <v>0</v>
      </c>
      <c r="J1304" s="106" t="str">
        <f t="shared" si="5"/>
        <v>1</v>
      </c>
      <c r="K1304" s="106" t="str">
        <f t="shared" si="6"/>
        <v>1</v>
      </c>
      <c r="L1304" s="106"/>
      <c r="M1304" s="106" t="str">
        <f>SUMIFS(Ere!C:C,Ere!B:B,A1304)</f>
        <v>0</v>
      </c>
      <c r="N1304" s="106" t="str">
        <f t="shared" si="7"/>
        <v>1</v>
      </c>
      <c r="O1304" s="107" t="str">
        <f t="array" ref="O1304">XLOOKUP(A1304,Data!F:F,Data!O:O)</f>
        <v>  0.51 </v>
      </c>
      <c r="P1304" s="107" t="str">
        <f t="shared" si="8"/>
        <v>  1.28 </v>
      </c>
      <c r="Q1304" s="27"/>
    </row>
    <row r="1305" ht="15.75" customHeight="1">
      <c r="A1305" s="105" t="s">
        <v>1549</v>
      </c>
      <c r="B1305" s="19" t="str">
        <f t="array" ref="B1305">XLOOKUP(A1305,Data!F:F,Data!G:G)</f>
        <v>J1D</v>
      </c>
      <c r="C1305" s="19" t="str">
        <f t="shared" si="3"/>
        <v>J097</v>
      </c>
      <c r="D1305" s="19" t="str">
        <f t="array" ref="D1305">XLOOKUP(A1305,Data!F:F,Data!C:C)</f>
        <v>EXT</v>
      </c>
      <c r="E1305" s="19" t="str">
        <f t="array" ref="E1305">XLOOKUP(A1305,Data!F:F,Data!H:H)</f>
        <v>BW</v>
      </c>
      <c r="F1305" s="106" t="str">
        <f>SUMIFS(Data!J:J,Data!F:F,A1305)</f>
        <v>1</v>
      </c>
      <c r="G1305" s="106" t="str">
        <f>SUMIFS(Cast!C:C,CastElements,A1305)</f>
        <v>1</v>
      </c>
      <c r="H1305" s="106" t="str">
        <f t="shared" si="4"/>
        <v>0</v>
      </c>
      <c r="I1305" s="106" t="str">
        <f>SUMIFS(Del!C:C,Del!B:B,A1305)</f>
        <v>0</v>
      </c>
      <c r="J1305" s="106" t="str">
        <f t="shared" si="5"/>
        <v>1</v>
      </c>
      <c r="K1305" s="106" t="str">
        <f t="shared" si="6"/>
        <v>1</v>
      </c>
      <c r="L1305" s="106"/>
      <c r="M1305" s="106" t="str">
        <f>SUMIFS(Ere!C:C,Ere!B:B,A1305)</f>
        <v>0</v>
      </c>
      <c r="N1305" s="106" t="str">
        <f t="shared" si="7"/>
        <v>1</v>
      </c>
      <c r="O1305" s="107" t="str">
        <f t="array" ref="O1305">XLOOKUP(A1305,Data!F:F,Data!O:O)</f>
        <v>  0.51 </v>
      </c>
      <c r="P1305" s="107" t="str">
        <f t="shared" si="8"/>
        <v>  1.28 </v>
      </c>
      <c r="Q1305" s="27"/>
    </row>
    <row r="1306" ht="15.75" customHeight="1">
      <c r="A1306" s="105" t="s">
        <v>1550</v>
      </c>
      <c r="B1306" s="19" t="str">
        <f t="array" ref="B1306">XLOOKUP(A1306,Data!F:F,Data!G:G)</f>
        <v>J1D</v>
      </c>
      <c r="C1306" s="19" t="str">
        <f t="shared" si="3"/>
        <v>J097</v>
      </c>
      <c r="D1306" s="19" t="str">
        <f t="array" ref="D1306">XLOOKUP(A1306,Data!F:F,Data!C:C)</f>
        <v>EXT</v>
      </c>
      <c r="E1306" s="19" t="str">
        <f t="array" ref="E1306">XLOOKUP(A1306,Data!F:F,Data!H:H)</f>
        <v>BW</v>
      </c>
      <c r="F1306" s="106" t="str">
        <f>SUMIFS(Data!J:J,Data!F:F,A1306)</f>
        <v>1</v>
      </c>
      <c r="G1306" s="106" t="str">
        <f>SUMIFS(Cast!C:C,CastElements,A1306)</f>
        <v>0</v>
      </c>
      <c r="H1306" s="106" t="str">
        <f t="shared" si="4"/>
        <v>1</v>
      </c>
      <c r="I1306" s="106" t="str">
        <f>SUMIFS(Del!C:C,Del!B:B,A1306)</f>
        <v>0</v>
      </c>
      <c r="J1306" s="106" t="str">
        <f t="shared" si="5"/>
        <v>1</v>
      </c>
      <c r="K1306" s="106" t="str">
        <f t="shared" si="6"/>
        <v>0</v>
      </c>
      <c r="L1306" s="106"/>
      <c r="M1306" s="106" t="str">
        <f>SUMIFS(Ere!C:C,Ere!B:B,A1306)</f>
        <v>0</v>
      </c>
      <c r="N1306" s="106" t="str">
        <f t="shared" si="7"/>
        <v>1</v>
      </c>
      <c r="O1306" s="107" t="str">
        <f t="array" ref="O1306">XLOOKUP(A1306,Data!F:F,Data!O:O)</f>
        <v>  0.45 </v>
      </c>
      <c r="P1306" s="107" t="str">
        <f t="shared" si="8"/>
        <v>  1.13 </v>
      </c>
      <c r="Q1306" s="27"/>
    </row>
    <row r="1307" ht="15.75" customHeight="1">
      <c r="A1307" s="105" t="s">
        <v>1551</v>
      </c>
      <c r="B1307" s="19" t="str">
        <f t="array" ref="B1307">XLOOKUP(A1307,Data!F:F,Data!G:G)</f>
        <v>J1D</v>
      </c>
      <c r="C1307" s="19" t="str">
        <f t="shared" si="3"/>
        <v>J097</v>
      </c>
      <c r="D1307" s="19" t="str">
        <f t="array" ref="D1307">XLOOKUP(A1307,Data!F:F,Data!C:C)</f>
        <v/>
      </c>
      <c r="E1307" s="19" t="str">
        <f t="array" ref="E1307">XLOOKUP(A1307,Data!F:F,Data!H:H)</f>
        <v>BW</v>
      </c>
      <c r="F1307" s="106" t="str">
        <f>SUMIFS(Data!J:J,Data!F:F,A1307)</f>
        <v>1</v>
      </c>
      <c r="G1307" s="106" t="str">
        <f>SUMIFS(Cast!C:C,CastElements,A1307)</f>
        <v>1</v>
      </c>
      <c r="H1307" s="106" t="str">
        <f t="shared" si="4"/>
        <v>0</v>
      </c>
      <c r="I1307" s="106" t="str">
        <f>SUMIFS(Del!C:C,Del!B:B,A1307)</f>
        <v>0</v>
      </c>
      <c r="J1307" s="106" t="str">
        <f t="shared" si="5"/>
        <v>1</v>
      </c>
      <c r="K1307" s="106" t="str">
        <f t="shared" si="6"/>
        <v>1</v>
      </c>
      <c r="L1307" s="106"/>
      <c r="M1307" s="106" t="str">
        <f>SUMIFS(Ere!C:C,Ere!B:B,A1307)</f>
        <v>0</v>
      </c>
      <c r="N1307" s="106" t="str">
        <f t="shared" si="7"/>
        <v>1</v>
      </c>
      <c r="O1307" s="107" t="str">
        <f t="array" ref="O1307">XLOOKUP(A1307,Data!F:F,Data!O:O)</f>
        <v>  2.01 </v>
      </c>
      <c r="P1307" s="107" t="str">
        <f t="shared" si="8"/>
        <v>  5.03 </v>
      </c>
      <c r="Q1307" s="27"/>
    </row>
    <row r="1308" ht="15.75" customHeight="1">
      <c r="A1308" s="105" t="s">
        <v>1552</v>
      </c>
      <c r="B1308" s="19" t="str">
        <f t="array" ref="B1308">XLOOKUP(A1308,Data!F:F,Data!G:G)</f>
        <v>J1D</v>
      </c>
      <c r="C1308" s="19" t="str">
        <f t="shared" si="3"/>
        <v>J097</v>
      </c>
      <c r="D1308" s="19" t="str">
        <f t="array" ref="D1308">XLOOKUP(A1308,Data!F:F,Data!C:C)</f>
        <v/>
      </c>
      <c r="E1308" s="19" t="str">
        <f t="array" ref="E1308">XLOOKUP(A1308,Data!F:F,Data!H:H)</f>
        <v>BW</v>
      </c>
      <c r="F1308" s="106" t="str">
        <f>SUMIFS(Data!J:J,Data!F:F,A1308)</f>
        <v>1</v>
      </c>
      <c r="G1308" s="106" t="str">
        <f>SUMIFS(Cast!C:C,CastElements,A1308)</f>
        <v>1</v>
      </c>
      <c r="H1308" s="106" t="str">
        <f t="shared" si="4"/>
        <v>0</v>
      </c>
      <c r="I1308" s="106" t="str">
        <f>SUMIFS(Del!C:C,Del!B:B,A1308)</f>
        <v>0</v>
      </c>
      <c r="J1308" s="106" t="str">
        <f t="shared" si="5"/>
        <v>1</v>
      </c>
      <c r="K1308" s="106" t="str">
        <f t="shared" si="6"/>
        <v>1</v>
      </c>
      <c r="L1308" s="106"/>
      <c r="M1308" s="106" t="str">
        <f>SUMIFS(Ere!C:C,Ere!B:B,A1308)</f>
        <v>0</v>
      </c>
      <c r="N1308" s="106" t="str">
        <f t="shared" si="7"/>
        <v>1</v>
      </c>
      <c r="O1308" s="107" t="str">
        <f t="array" ref="O1308">XLOOKUP(A1308,Data!F:F,Data!O:O)</f>
        <v>  1.82 </v>
      </c>
      <c r="P1308" s="107" t="str">
        <f t="shared" si="8"/>
        <v>  4.55 </v>
      </c>
      <c r="Q1308" s="27"/>
    </row>
    <row r="1309" ht="15.75" customHeight="1">
      <c r="A1309" s="105" t="s">
        <v>1553</v>
      </c>
      <c r="B1309" s="19" t="str">
        <f t="array" ref="B1309">XLOOKUP(A1309,Data!F:F,Data!G:G)</f>
        <v>J1D</v>
      </c>
      <c r="C1309" s="19" t="str">
        <f t="shared" si="3"/>
        <v>J097</v>
      </c>
      <c r="D1309" s="19" t="str">
        <f t="array" ref="D1309">XLOOKUP(A1309,Data!F:F,Data!C:C)</f>
        <v/>
      </c>
      <c r="E1309" s="19" t="str">
        <f t="array" ref="E1309">XLOOKUP(A1309,Data!F:F,Data!H:H)</f>
        <v>BW</v>
      </c>
      <c r="F1309" s="106" t="str">
        <f>SUMIFS(Data!J:J,Data!F:F,A1309)</f>
        <v>1</v>
      </c>
      <c r="G1309" s="106" t="str">
        <f>SUMIFS(Cast!C:C,CastElements,A1309)</f>
        <v>1</v>
      </c>
      <c r="H1309" s="106" t="str">
        <f t="shared" si="4"/>
        <v>0</v>
      </c>
      <c r="I1309" s="106" t="str">
        <f>SUMIFS(Del!C:C,Del!B:B,A1309)</f>
        <v>0</v>
      </c>
      <c r="J1309" s="106" t="str">
        <f t="shared" si="5"/>
        <v>1</v>
      </c>
      <c r="K1309" s="106" t="str">
        <f t="shared" si="6"/>
        <v>1</v>
      </c>
      <c r="L1309" s="106"/>
      <c r="M1309" s="106" t="str">
        <f>SUMIFS(Ere!C:C,Ere!B:B,A1309)</f>
        <v>0</v>
      </c>
      <c r="N1309" s="106" t="str">
        <f t="shared" si="7"/>
        <v>1</v>
      </c>
      <c r="O1309" s="107" t="str">
        <f t="array" ref="O1309">XLOOKUP(A1309,Data!F:F,Data!O:O)</f>
        <v>  1.82 </v>
      </c>
      <c r="P1309" s="107" t="str">
        <f t="shared" si="8"/>
        <v>  4.55 </v>
      </c>
      <c r="Q1309" s="27"/>
    </row>
    <row r="1310" ht="15.75" customHeight="1">
      <c r="A1310" s="105" t="s">
        <v>1554</v>
      </c>
      <c r="B1310" s="19" t="str">
        <f t="array" ref="B1310">XLOOKUP(A1310,Data!F:F,Data!G:G)</f>
        <v>J1D</v>
      </c>
      <c r="C1310" s="19" t="str">
        <f t="shared" si="3"/>
        <v>J097</v>
      </c>
      <c r="D1310" s="19" t="str">
        <f t="array" ref="D1310">XLOOKUP(A1310,Data!F:F,Data!C:C)</f>
        <v/>
      </c>
      <c r="E1310" s="19" t="str">
        <f t="array" ref="E1310">XLOOKUP(A1310,Data!F:F,Data!H:H)</f>
        <v>BW</v>
      </c>
      <c r="F1310" s="106" t="str">
        <f>SUMIFS(Data!J:J,Data!F:F,A1310)</f>
        <v>1</v>
      </c>
      <c r="G1310" s="106" t="str">
        <f>SUMIFS(Cast!C:C,CastElements,A1310)</f>
        <v>1</v>
      </c>
      <c r="H1310" s="106" t="str">
        <f t="shared" si="4"/>
        <v>0</v>
      </c>
      <c r="I1310" s="106" t="str">
        <f>SUMIFS(Del!C:C,Del!B:B,A1310)</f>
        <v>0</v>
      </c>
      <c r="J1310" s="106" t="str">
        <f t="shared" si="5"/>
        <v>1</v>
      </c>
      <c r="K1310" s="106" t="str">
        <f t="shared" si="6"/>
        <v>1</v>
      </c>
      <c r="L1310" s="106"/>
      <c r="M1310" s="106" t="str">
        <f>SUMIFS(Ere!C:C,Ere!B:B,A1310)</f>
        <v>0</v>
      </c>
      <c r="N1310" s="106" t="str">
        <f t="shared" si="7"/>
        <v>1</v>
      </c>
      <c r="O1310" s="107" t="str">
        <f t="array" ref="O1310">XLOOKUP(A1310,Data!F:F,Data!O:O)</f>
        <v>  1.82 </v>
      </c>
      <c r="P1310" s="107" t="str">
        <f t="shared" si="8"/>
        <v>  4.55 </v>
      </c>
      <c r="Q1310" s="27"/>
    </row>
    <row r="1311" ht="15.75" customHeight="1">
      <c r="A1311" s="105" t="s">
        <v>1555</v>
      </c>
      <c r="B1311" s="19" t="str">
        <f t="array" ref="B1311">XLOOKUP(A1311,Data!F:F,Data!G:G)</f>
        <v>J1D</v>
      </c>
      <c r="C1311" s="19" t="str">
        <f t="shared" si="3"/>
        <v>J097</v>
      </c>
      <c r="D1311" s="19" t="str">
        <f t="array" ref="D1311">XLOOKUP(A1311,Data!F:F,Data!C:C)</f>
        <v/>
      </c>
      <c r="E1311" s="19" t="str">
        <f t="array" ref="E1311">XLOOKUP(A1311,Data!F:F,Data!H:H)</f>
        <v>BW</v>
      </c>
      <c r="F1311" s="106" t="str">
        <f>SUMIFS(Data!J:J,Data!F:F,A1311)</f>
        <v>1</v>
      </c>
      <c r="G1311" s="106" t="str">
        <f>SUMIFS(Cast!C:C,CastElements,A1311)</f>
        <v>1</v>
      </c>
      <c r="H1311" s="106" t="str">
        <f t="shared" si="4"/>
        <v>0</v>
      </c>
      <c r="I1311" s="106" t="str">
        <f>SUMIFS(Del!C:C,Del!B:B,A1311)</f>
        <v>0</v>
      </c>
      <c r="J1311" s="106" t="str">
        <f t="shared" si="5"/>
        <v>1</v>
      </c>
      <c r="K1311" s="106" t="str">
        <f t="shared" si="6"/>
        <v>1</v>
      </c>
      <c r="L1311" s="106"/>
      <c r="M1311" s="106" t="str">
        <f>SUMIFS(Ere!C:C,Ere!B:B,A1311)</f>
        <v>0</v>
      </c>
      <c r="N1311" s="106" t="str">
        <f t="shared" si="7"/>
        <v>1</v>
      </c>
      <c r="O1311" s="107" t="str">
        <f t="array" ref="O1311">XLOOKUP(A1311,Data!F:F,Data!O:O)</f>
        <v>  1.82 </v>
      </c>
      <c r="P1311" s="107" t="str">
        <f t="shared" si="8"/>
        <v>  4.55 </v>
      </c>
      <c r="Q1311" s="27"/>
    </row>
    <row r="1312" ht="15.75" customHeight="1">
      <c r="A1312" s="105" t="s">
        <v>1556</v>
      </c>
      <c r="B1312" s="19" t="str">
        <f t="array" ref="B1312">XLOOKUP(A1312,Data!F:F,Data!G:G)</f>
        <v>J1D</v>
      </c>
      <c r="C1312" s="19" t="str">
        <f t="shared" si="3"/>
        <v>J097</v>
      </c>
      <c r="D1312" s="19" t="str">
        <f t="array" ref="D1312">XLOOKUP(A1312,Data!F:F,Data!C:C)</f>
        <v/>
      </c>
      <c r="E1312" s="19" t="str">
        <f t="array" ref="E1312">XLOOKUP(A1312,Data!F:F,Data!H:H)</f>
        <v>BW</v>
      </c>
      <c r="F1312" s="106" t="str">
        <f>SUMIFS(Data!J:J,Data!F:F,A1312)</f>
        <v>1</v>
      </c>
      <c r="G1312" s="106" t="str">
        <f>SUMIFS(Cast!C:C,CastElements,A1312)</f>
        <v>1</v>
      </c>
      <c r="H1312" s="106" t="str">
        <f t="shared" si="4"/>
        <v>0</v>
      </c>
      <c r="I1312" s="106" t="str">
        <f>SUMIFS(Del!C:C,Del!B:B,A1312)</f>
        <v>0</v>
      </c>
      <c r="J1312" s="106" t="str">
        <f t="shared" si="5"/>
        <v>1</v>
      </c>
      <c r="K1312" s="106" t="str">
        <f t="shared" si="6"/>
        <v>1</v>
      </c>
      <c r="L1312" s="106"/>
      <c r="M1312" s="106" t="str">
        <f>SUMIFS(Ere!C:C,Ere!B:B,A1312)</f>
        <v>0</v>
      </c>
      <c r="N1312" s="106" t="str">
        <f t="shared" si="7"/>
        <v>1</v>
      </c>
      <c r="O1312" s="107" t="str">
        <f t="array" ref="O1312">XLOOKUP(A1312,Data!F:F,Data!O:O)</f>
        <v>  2.36 </v>
      </c>
      <c r="P1312" s="107" t="str">
        <f t="shared" si="8"/>
        <v>  5.90 </v>
      </c>
      <c r="Q1312" s="27"/>
    </row>
    <row r="1313" ht="15.75" customHeight="1">
      <c r="A1313" s="105" t="s">
        <v>1557</v>
      </c>
      <c r="B1313" s="19" t="str">
        <f t="array" ref="B1313">XLOOKUP(A1313,Data!F:F,Data!G:G)</f>
        <v>J1D</v>
      </c>
      <c r="C1313" s="19" t="str">
        <f t="shared" si="3"/>
        <v>J097</v>
      </c>
      <c r="D1313" s="19" t="str">
        <f t="array" ref="D1313">XLOOKUP(A1313,Data!F:F,Data!C:C)</f>
        <v/>
      </c>
      <c r="E1313" s="19" t="str">
        <f t="array" ref="E1313">XLOOKUP(A1313,Data!F:F,Data!H:H)</f>
        <v>BW</v>
      </c>
      <c r="F1313" s="106" t="str">
        <f>SUMIFS(Data!J:J,Data!F:F,A1313)</f>
        <v>1</v>
      </c>
      <c r="G1313" s="106" t="str">
        <f>SUMIFS(Cast!C:C,CastElements,A1313)</f>
        <v>1</v>
      </c>
      <c r="H1313" s="106" t="str">
        <f t="shared" si="4"/>
        <v>0</v>
      </c>
      <c r="I1313" s="106" t="str">
        <f>SUMIFS(Del!C:C,Del!B:B,A1313)</f>
        <v>0</v>
      </c>
      <c r="J1313" s="106" t="str">
        <f t="shared" si="5"/>
        <v>1</v>
      </c>
      <c r="K1313" s="106" t="str">
        <f t="shared" si="6"/>
        <v>1</v>
      </c>
      <c r="L1313" s="106"/>
      <c r="M1313" s="106" t="str">
        <f>SUMIFS(Ere!C:C,Ere!B:B,A1313)</f>
        <v>0</v>
      </c>
      <c r="N1313" s="106" t="str">
        <f t="shared" si="7"/>
        <v>1</v>
      </c>
      <c r="O1313" s="107" t="str">
        <f t="array" ref="O1313">XLOOKUP(A1313,Data!F:F,Data!O:O)</f>
        <v>  2.36 </v>
      </c>
      <c r="P1313" s="107" t="str">
        <f t="shared" si="8"/>
        <v>  5.90 </v>
      </c>
      <c r="Q1313" s="27"/>
    </row>
    <row r="1314" ht="15.75" customHeight="1">
      <c r="A1314" s="105" t="s">
        <v>1558</v>
      </c>
      <c r="B1314" s="19" t="str">
        <f t="array" ref="B1314">XLOOKUP(A1314,Data!F:F,Data!G:G)</f>
        <v>J1D</v>
      </c>
      <c r="C1314" s="19" t="str">
        <f t="shared" si="3"/>
        <v>J097</v>
      </c>
      <c r="D1314" s="19" t="str">
        <f t="array" ref="D1314">XLOOKUP(A1314,Data!F:F,Data!C:C)</f>
        <v/>
      </c>
      <c r="E1314" s="19" t="str">
        <f t="array" ref="E1314">XLOOKUP(A1314,Data!F:F,Data!H:H)</f>
        <v>BW</v>
      </c>
      <c r="F1314" s="106" t="str">
        <f>SUMIFS(Data!J:J,Data!F:F,A1314)</f>
        <v>1</v>
      </c>
      <c r="G1314" s="106" t="str">
        <f>SUMIFS(Cast!C:C,CastElements,A1314)</f>
        <v>1</v>
      </c>
      <c r="H1314" s="106" t="str">
        <f t="shared" si="4"/>
        <v>0</v>
      </c>
      <c r="I1314" s="106" t="str">
        <f>SUMIFS(Del!C:C,Del!B:B,A1314)</f>
        <v>0</v>
      </c>
      <c r="J1314" s="106" t="str">
        <f t="shared" si="5"/>
        <v>1</v>
      </c>
      <c r="K1314" s="106" t="str">
        <f t="shared" si="6"/>
        <v>1</v>
      </c>
      <c r="L1314" s="106"/>
      <c r="M1314" s="106" t="str">
        <f>SUMIFS(Ere!C:C,Ere!B:B,A1314)</f>
        <v>0</v>
      </c>
      <c r="N1314" s="106" t="str">
        <f t="shared" si="7"/>
        <v>1</v>
      </c>
      <c r="O1314" s="107" t="str">
        <f t="array" ref="O1314">XLOOKUP(A1314,Data!F:F,Data!O:O)</f>
        <v>  2.36 </v>
      </c>
      <c r="P1314" s="107" t="str">
        <f t="shared" si="8"/>
        <v>  5.90 </v>
      </c>
      <c r="Q1314" s="27"/>
    </row>
    <row r="1315" ht="15.75" customHeight="1">
      <c r="A1315" s="105" t="s">
        <v>1559</v>
      </c>
      <c r="B1315" s="19" t="str">
        <f t="array" ref="B1315">XLOOKUP(A1315,Data!F:F,Data!G:G)</f>
        <v>J1D</v>
      </c>
      <c r="C1315" s="19" t="str">
        <f t="shared" si="3"/>
        <v>J097</v>
      </c>
      <c r="D1315" s="19" t="str">
        <f t="array" ref="D1315">XLOOKUP(A1315,Data!F:F,Data!C:C)</f>
        <v/>
      </c>
      <c r="E1315" s="19" t="str">
        <f t="array" ref="E1315">XLOOKUP(A1315,Data!F:F,Data!H:H)</f>
        <v>BW</v>
      </c>
      <c r="F1315" s="106" t="str">
        <f>SUMIFS(Data!J:J,Data!F:F,A1315)</f>
        <v>1</v>
      </c>
      <c r="G1315" s="106" t="str">
        <f>SUMIFS(Cast!C:C,CastElements,A1315)</f>
        <v>1</v>
      </c>
      <c r="H1315" s="106" t="str">
        <f t="shared" si="4"/>
        <v>0</v>
      </c>
      <c r="I1315" s="106" t="str">
        <f>SUMIFS(Del!C:C,Del!B:B,A1315)</f>
        <v>0</v>
      </c>
      <c r="J1315" s="106" t="str">
        <f t="shared" si="5"/>
        <v>1</v>
      </c>
      <c r="K1315" s="106" t="str">
        <f t="shared" si="6"/>
        <v>1</v>
      </c>
      <c r="L1315" s="106"/>
      <c r="M1315" s="106" t="str">
        <f>SUMIFS(Ere!C:C,Ere!B:B,A1315)</f>
        <v>0</v>
      </c>
      <c r="N1315" s="106" t="str">
        <f t="shared" si="7"/>
        <v>1</v>
      </c>
      <c r="O1315" s="107" t="str">
        <f t="array" ref="O1315">XLOOKUP(A1315,Data!F:F,Data!O:O)</f>
        <v>  0.42 </v>
      </c>
      <c r="P1315" s="107" t="str">
        <f t="shared" si="8"/>
        <v>  1.05 </v>
      </c>
      <c r="Q1315" s="27"/>
    </row>
    <row r="1316" ht="15.75" customHeight="1">
      <c r="A1316" s="105" t="s">
        <v>1560</v>
      </c>
      <c r="B1316" s="19" t="str">
        <f t="array" ref="B1316">XLOOKUP(A1316,Data!F:F,Data!G:G)</f>
        <v>J1D</v>
      </c>
      <c r="C1316" s="19" t="str">
        <f t="shared" si="3"/>
        <v>J097</v>
      </c>
      <c r="D1316" s="19" t="str">
        <f t="array" ref="D1316">XLOOKUP(A1316,Data!F:F,Data!C:C)</f>
        <v/>
      </c>
      <c r="E1316" s="19" t="str">
        <f t="array" ref="E1316">XLOOKUP(A1316,Data!F:F,Data!H:H)</f>
        <v>BW</v>
      </c>
      <c r="F1316" s="106" t="str">
        <f>SUMIFS(Data!J:J,Data!F:F,A1316)</f>
        <v>1</v>
      </c>
      <c r="G1316" s="106" t="str">
        <f>SUMIFS(Cast!C:C,CastElements,A1316)</f>
        <v>1</v>
      </c>
      <c r="H1316" s="106" t="str">
        <f t="shared" si="4"/>
        <v>0</v>
      </c>
      <c r="I1316" s="106" t="str">
        <f>SUMIFS(Del!C:C,Del!B:B,A1316)</f>
        <v>0</v>
      </c>
      <c r="J1316" s="106" t="str">
        <f t="shared" si="5"/>
        <v>1</v>
      </c>
      <c r="K1316" s="106" t="str">
        <f t="shared" si="6"/>
        <v>1</v>
      </c>
      <c r="L1316" s="106"/>
      <c r="M1316" s="106" t="str">
        <f>SUMIFS(Ere!C:C,Ere!B:B,A1316)</f>
        <v>0</v>
      </c>
      <c r="N1316" s="106" t="str">
        <f t="shared" si="7"/>
        <v>1</v>
      </c>
      <c r="O1316" s="107" t="str">
        <f t="array" ref="O1316">XLOOKUP(A1316,Data!F:F,Data!O:O)</f>
        <v>  0.71 </v>
      </c>
      <c r="P1316" s="107" t="str">
        <f t="shared" si="8"/>
        <v>  1.78 </v>
      </c>
      <c r="Q1316" s="27"/>
    </row>
    <row r="1317" ht="15.75" customHeight="1">
      <c r="A1317" s="105" t="s">
        <v>1561</v>
      </c>
      <c r="B1317" s="19" t="str">
        <f t="array" ref="B1317">XLOOKUP(A1317,Data!F:F,Data!G:G)</f>
        <v>J1D</v>
      </c>
      <c r="C1317" s="19" t="str">
        <f t="shared" si="3"/>
        <v>J097</v>
      </c>
      <c r="D1317" s="19" t="str">
        <f t="array" ref="D1317">XLOOKUP(A1317,Data!F:F,Data!C:C)</f>
        <v/>
      </c>
      <c r="E1317" s="19" t="str">
        <f t="array" ref="E1317">XLOOKUP(A1317,Data!F:F,Data!H:H)</f>
        <v>BW</v>
      </c>
      <c r="F1317" s="106" t="str">
        <f>SUMIFS(Data!J:J,Data!F:F,A1317)</f>
        <v>1</v>
      </c>
      <c r="G1317" s="106" t="str">
        <f>SUMIFS(Cast!C:C,CastElements,A1317)</f>
        <v>1</v>
      </c>
      <c r="H1317" s="106" t="str">
        <f t="shared" si="4"/>
        <v>0</v>
      </c>
      <c r="I1317" s="106" t="str">
        <f>SUMIFS(Del!C:C,Del!B:B,A1317)</f>
        <v>0</v>
      </c>
      <c r="J1317" s="106" t="str">
        <f t="shared" si="5"/>
        <v>1</v>
      </c>
      <c r="K1317" s="106" t="str">
        <f t="shared" si="6"/>
        <v>1</v>
      </c>
      <c r="L1317" s="106"/>
      <c r="M1317" s="106" t="str">
        <f>SUMIFS(Ere!C:C,Ere!B:B,A1317)</f>
        <v>0</v>
      </c>
      <c r="N1317" s="106" t="str">
        <f t="shared" si="7"/>
        <v>1</v>
      </c>
      <c r="O1317" s="107" t="str">
        <f t="array" ref="O1317">XLOOKUP(A1317,Data!F:F,Data!O:O)</f>
        <v>  0.97 </v>
      </c>
      <c r="P1317" s="107" t="str">
        <f t="shared" si="8"/>
        <v>  2.43 </v>
      </c>
      <c r="Q1317" s="27"/>
    </row>
    <row r="1318" ht="15.75" customHeight="1">
      <c r="A1318" s="105" t="s">
        <v>1562</v>
      </c>
      <c r="B1318" s="19" t="str">
        <f t="array" ref="B1318">XLOOKUP(A1318,Data!F:F,Data!G:G)</f>
        <v>J1D</v>
      </c>
      <c r="C1318" s="19" t="str">
        <f t="shared" si="3"/>
        <v>J097</v>
      </c>
      <c r="D1318" s="19" t="str">
        <f t="array" ref="D1318">XLOOKUP(A1318,Data!F:F,Data!C:C)</f>
        <v/>
      </c>
      <c r="E1318" s="19" t="str">
        <f t="array" ref="E1318">XLOOKUP(A1318,Data!F:F,Data!H:H)</f>
        <v>CF</v>
      </c>
      <c r="F1318" s="106" t="str">
        <f>SUMIFS(Data!J:J,Data!F:F,A1318)</f>
        <v>1</v>
      </c>
      <c r="G1318" s="106" t="str">
        <f>SUMIFS(Cast!C:C,CastElements,A1318)</f>
        <v>1</v>
      </c>
      <c r="H1318" s="106" t="str">
        <f t="shared" si="4"/>
        <v>0</v>
      </c>
      <c r="I1318" s="106" t="str">
        <f>SUMIFS(Del!C:C,Del!B:B,A1318)</f>
        <v>0</v>
      </c>
      <c r="J1318" s="106" t="str">
        <f t="shared" si="5"/>
        <v>1</v>
      </c>
      <c r="K1318" s="106" t="str">
        <f t="shared" si="6"/>
        <v>1</v>
      </c>
      <c r="L1318" s="106"/>
      <c r="M1318" s="106" t="str">
        <f>SUMIFS(Ere!C:C,Ere!B:B,A1318)</f>
        <v>0</v>
      </c>
      <c r="N1318" s="106" t="str">
        <f t="shared" si="7"/>
        <v>1</v>
      </c>
      <c r="O1318" s="107" t="str">
        <f t="array" ref="O1318">XLOOKUP(A1318,Data!F:F,Data!O:O)</f>
        <v>  0.52 </v>
      </c>
      <c r="P1318" s="107" t="str">
        <f t="shared" si="8"/>
        <v>  1.29 </v>
      </c>
      <c r="Q1318" s="27"/>
    </row>
    <row r="1319" ht="15.75" customHeight="1">
      <c r="A1319" s="105" t="s">
        <v>1563</v>
      </c>
      <c r="B1319" s="19" t="str">
        <f t="array" ref="B1319">XLOOKUP(A1319,Data!F:F,Data!G:G)</f>
        <v>J1D</v>
      </c>
      <c r="C1319" s="19" t="str">
        <f t="shared" si="3"/>
        <v>J097</v>
      </c>
      <c r="D1319" s="19" t="str">
        <f t="array" ref="D1319">XLOOKUP(A1319,Data!F:F,Data!C:C)</f>
        <v/>
      </c>
      <c r="E1319" s="19" t="str">
        <f t="array" ref="E1319">XLOOKUP(A1319,Data!F:F,Data!H:H)</f>
        <v>BW</v>
      </c>
      <c r="F1319" s="106" t="str">
        <f>SUMIFS(Data!J:J,Data!F:F,A1319)</f>
        <v>1</v>
      </c>
      <c r="G1319" s="106" t="str">
        <f>SUMIFS(Cast!C:C,CastElements,A1319)</f>
        <v>1</v>
      </c>
      <c r="H1319" s="106" t="str">
        <f t="shared" si="4"/>
        <v>0</v>
      </c>
      <c r="I1319" s="106" t="str">
        <f>SUMIFS(Del!C:C,Del!B:B,A1319)</f>
        <v>0</v>
      </c>
      <c r="J1319" s="106" t="str">
        <f t="shared" si="5"/>
        <v>1</v>
      </c>
      <c r="K1319" s="106" t="str">
        <f t="shared" si="6"/>
        <v>1</v>
      </c>
      <c r="L1319" s="106"/>
      <c r="M1319" s="106" t="str">
        <f>SUMIFS(Ere!C:C,Ere!B:B,A1319)</f>
        <v>0</v>
      </c>
      <c r="N1319" s="106" t="str">
        <f t="shared" si="7"/>
        <v>1</v>
      </c>
      <c r="O1319" s="107" t="str">
        <f t="array" ref="O1319">XLOOKUP(A1319,Data!F:F,Data!O:O)</f>
        <v>  0.40 </v>
      </c>
      <c r="P1319" s="107" t="str">
        <f t="shared" si="8"/>
        <v>  1.00 </v>
      </c>
      <c r="Q1319" s="27"/>
    </row>
    <row r="1320" ht="15.75" customHeight="1">
      <c r="A1320" s="105" t="s">
        <v>1564</v>
      </c>
      <c r="B1320" s="19" t="str">
        <f t="array" ref="B1320">XLOOKUP(A1320,Data!F:F,Data!G:G)</f>
        <v>J1D</v>
      </c>
      <c r="C1320" s="19" t="str">
        <f t="shared" si="3"/>
        <v>J097</v>
      </c>
      <c r="D1320" s="19" t="str">
        <f t="array" ref="D1320">XLOOKUP(A1320,Data!F:F,Data!C:C)</f>
        <v/>
      </c>
      <c r="E1320" s="19" t="str">
        <f t="array" ref="E1320">XLOOKUP(A1320,Data!F:F,Data!H:H)</f>
        <v>BW</v>
      </c>
      <c r="F1320" s="106" t="str">
        <f>SUMIFS(Data!J:J,Data!F:F,A1320)</f>
        <v>1</v>
      </c>
      <c r="G1320" s="106" t="str">
        <f>SUMIFS(Cast!C:C,CastElements,A1320)</f>
        <v>1</v>
      </c>
      <c r="H1320" s="106" t="str">
        <f t="shared" si="4"/>
        <v>0</v>
      </c>
      <c r="I1320" s="106" t="str">
        <f>SUMIFS(Del!C:C,Del!B:B,A1320)</f>
        <v>0</v>
      </c>
      <c r="J1320" s="106" t="str">
        <f t="shared" si="5"/>
        <v>1</v>
      </c>
      <c r="K1320" s="106" t="str">
        <f t="shared" si="6"/>
        <v>1</v>
      </c>
      <c r="L1320" s="106"/>
      <c r="M1320" s="106" t="str">
        <f>SUMIFS(Ere!C:C,Ere!B:B,A1320)</f>
        <v>0</v>
      </c>
      <c r="N1320" s="106" t="str">
        <f t="shared" si="7"/>
        <v>1</v>
      </c>
      <c r="O1320" s="107" t="str">
        <f t="array" ref="O1320">XLOOKUP(A1320,Data!F:F,Data!O:O)</f>
        <v>  1.57 </v>
      </c>
      <c r="P1320" s="107" t="str">
        <f t="shared" si="8"/>
        <v>  3.93 </v>
      </c>
      <c r="Q1320" s="27"/>
    </row>
    <row r="1321" ht="15.75" customHeight="1">
      <c r="A1321" s="105" t="s">
        <v>1565</v>
      </c>
      <c r="B1321" s="19" t="str">
        <f t="array" ref="B1321">XLOOKUP(A1321,Data!F:F,Data!G:G)</f>
        <v>J1D</v>
      </c>
      <c r="C1321" s="19" t="str">
        <f t="shared" si="3"/>
        <v>J097</v>
      </c>
      <c r="D1321" s="19" t="str">
        <f t="array" ref="D1321">XLOOKUP(A1321,Data!F:F,Data!C:C)</f>
        <v/>
      </c>
      <c r="E1321" s="19" t="str">
        <f t="array" ref="E1321">XLOOKUP(A1321,Data!F:F,Data!H:H)</f>
        <v>BW</v>
      </c>
      <c r="F1321" s="106" t="str">
        <f>SUMIFS(Data!J:J,Data!F:F,A1321)</f>
        <v>1</v>
      </c>
      <c r="G1321" s="106" t="str">
        <f>SUMIFS(Cast!C:C,CastElements,A1321)</f>
        <v>1</v>
      </c>
      <c r="H1321" s="106" t="str">
        <f t="shared" si="4"/>
        <v>0</v>
      </c>
      <c r="I1321" s="106" t="str">
        <f>SUMIFS(Del!C:C,Del!B:B,A1321)</f>
        <v>0</v>
      </c>
      <c r="J1321" s="106" t="str">
        <f t="shared" si="5"/>
        <v>1</v>
      </c>
      <c r="K1321" s="106" t="str">
        <f t="shared" si="6"/>
        <v>1</v>
      </c>
      <c r="L1321" s="106"/>
      <c r="M1321" s="106" t="str">
        <f>SUMIFS(Ere!C:C,Ere!B:B,A1321)</f>
        <v>0</v>
      </c>
      <c r="N1321" s="106" t="str">
        <f t="shared" si="7"/>
        <v>1</v>
      </c>
      <c r="O1321" s="107" t="str">
        <f t="array" ref="O1321">XLOOKUP(A1321,Data!F:F,Data!O:O)</f>
        <v>  2.70 </v>
      </c>
      <c r="P1321" s="107" t="str">
        <f t="shared" si="8"/>
        <v>  6.74 </v>
      </c>
      <c r="Q1321" s="27"/>
    </row>
    <row r="1322" ht="15.75" customHeight="1">
      <c r="A1322" s="105" t="s">
        <v>1566</v>
      </c>
      <c r="B1322" s="19" t="str">
        <f t="array" ref="B1322">XLOOKUP(A1322,Data!F:F,Data!G:G)</f>
        <v>J1D</v>
      </c>
      <c r="C1322" s="19" t="str">
        <f t="shared" si="3"/>
        <v>J097</v>
      </c>
      <c r="D1322" s="19" t="str">
        <f t="array" ref="D1322">XLOOKUP(A1322,Data!F:F,Data!C:C)</f>
        <v/>
      </c>
      <c r="E1322" s="19" t="str">
        <f t="array" ref="E1322">XLOOKUP(A1322,Data!F:F,Data!H:H)</f>
        <v>BW</v>
      </c>
      <c r="F1322" s="106" t="str">
        <f>SUMIFS(Data!J:J,Data!F:F,A1322)</f>
        <v>1</v>
      </c>
      <c r="G1322" s="106" t="str">
        <f>SUMIFS(Cast!C:C,CastElements,A1322)</f>
        <v>1</v>
      </c>
      <c r="H1322" s="106" t="str">
        <f t="shared" si="4"/>
        <v>0</v>
      </c>
      <c r="I1322" s="106" t="str">
        <f>SUMIFS(Del!C:C,Del!B:B,A1322)</f>
        <v>0</v>
      </c>
      <c r="J1322" s="106" t="str">
        <f t="shared" si="5"/>
        <v>1</v>
      </c>
      <c r="K1322" s="106" t="str">
        <f t="shared" si="6"/>
        <v>1</v>
      </c>
      <c r="L1322" s="106"/>
      <c r="M1322" s="106" t="str">
        <f>SUMIFS(Ere!C:C,Ere!B:B,A1322)</f>
        <v>0</v>
      </c>
      <c r="N1322" s="106" t="str">
        <f t="shared" si="7"/>
        <v>1</v>
      </c>
      <c r="O1322" s="107" t="str">
        <f t="array" ref="O1322">XLOOKUP(A1322,Data!F:F,Data!O:O)</f>
        <v>  2.03 </v>
      </c>
      <c r="P1322" s="107" t="str">
        <f t="shared" si="8"/>
        <v>  5.08 </v>
      </c>
      <c r="Q1322" s="27"/>
    </row>
    <row r="1323" ht="15.75" customHeight="1">
      <c r="A1323" s="105" t="s">
        <v>1567</v>
      </c>
      <c r="B1323" s="19" t="str">
        <f t="array" ref="B1323">XLOOKUP(A1323,Data!F:F,Data!G:G)</f>
        <v>J1D</v>
      </c>
      <c r="C1323" s="19" t="str">
        <f t="shared" si="3"/>
        <v>J097</v>
      </c>
      <c r="D1323" s="19" t="str">
        <f t="array" ref="D1323">XLOOKUP(A1323,Data!F:F,Data!C:C)</f>
        <v>EXT</v>
      </c>
      <c r="E1323" s="19" t="str">
        <f t="array" ref="E1323">XLOOKUP(A1323,Data!F:F,Data!H:H)</f>
        <v>BW</v>
      </c>
      <c r="F1323" s="106" t="str">
        <f>SUMIFS(Data!J:J,Data!F:F,A1323)</f>
        <v>1</v>
      </c>
      <c r="G1323" s="106" t="str">
        <f>SUMIFS(Cast!C:C,CastElements,A1323)</f>
        <v>0</v>
      </c>
      <c r="H1323" s="106" t="str">
        <f t="shared" si="4"/>
        <v>1</v>
      </c>
      <c r="I1323" s="106" t="str">
        <f>SUMIFS(Del!C:C,Del!B:B,A1323)</f>
        <v>0</v>
      </c>
      <c r="J1323" s="106" t="str">
        <f t="shared" si="5"/>
        <v>1</v>
      </c>
      <c r="K1323" s="106" t="str">
        <f t="shared" si="6"/>
        <v>0</v>
      </c>
      <c r="L1323" s="106"/>
      <c r="M1323" s="106" t="str">
        <f>SUMIFS(Ere!C:C,Ere!B:B,A1323)</f>
        <v>0</v>
      </c>
      <c r="N1323" s="106" t="str">
        <f t="shared" si="7"/>
        <v>1</v>
      </c>
      <c r="O1323" s="107" t="str">
        <f t="array" ref="O1323">XLOOKUP(A1323,Data!F:F,Data!O:O)</f>
        <v>  0.96 </v>
      </c>
      <c r="P1323" s="107" t="str">
        <f t="shared" si="8"/>
        <v>  2.41 </v>
      </c>
      <c r="Q1323" s="27"/>
    </row>
    <row r="1324" ht="15.75" customHeight="1">
      <c r="A1324" s="105" t="s">
        <v>1568</v>
      </c>
      <c r="B1324" s="19" t="str">
        <f t="array" ref="B1324">XLOOKUP(A1324,Data!F:F,Data!G:G)</f>
        <v>J1D</v>
      </c>
      <c r="C1324" s="19" t="str">
        <f t="shared" si="3"/>
        <v>J098</v>
      </c>
      <c r="D1324" s="19" t="str">
        <f t="array" ref="D1324">XLOOKUP(A1324,Data!F:F,Data!C:C)</f>
        <v>EXT</v>
      </c>
      <c r="E1324" s="19" t="str">
        <f t="array" ref="E1324">XLOOKUP(A1324,Data!F:F,Data!H:H)</f>
        <v>BW</v>
      </c>
      <c r="F1324" s="106" t="str">
        <f>SUMIFS(Data!J:J,Data!F:F,A1324)</f>
        <v>1</v>
      </c>
      <c r="G1324" s="106" t="str">
        <f>SUMIFS(Cast!C:C,CastElements,A1324)</f>
        <v>0</v>
      </c>
      <c r="H1324" s="106" t="str">
        <f t="shared" si="4"/>
        <v>1</v>
      </c>
      <c r="I1324" s="106" t="str">
        <f>SUMIFS(Del!C:C,Del!B:B,A1324)</f>
        <v>0</v>
      </c>
      <c r="J1324" s="106" t="str">
        <f t="shared" si="5"/>
        <v>1</v>
      </c>
      <c r="K1324" s="106" t="str">
        <f t="shared" si="6"/>
        <v>0</v>
      </c>
      <c r="L1324" s="106"/>
      <c r="M1324" s="106" t="str">
        <f>SUMIFS(Ere!C:C,Ere!B:B,A1324)</f>
        <v>0</v>
      </c>
      <c r="N1324" s="106" t="str">
        <f t="shared" si="7"/>
        <v>1</v>
      </c>
      <c r="O1324" s="107" t="str">
        <f t="array" ref="O1324">XLOOKUP(A1324,Data!F:F,Data!O:O)</f>
        <v>  0.51 </v>
      </c>
      <c r="P1324" s="107" t="str">
        <f t="shared" si="8"/>
        <v>  1.28 </v>
      </c>
      <c r="Q1324" s="27"/>
    </row>
    <row r="1325" ht="15.75" customHeight="1">
      <c r="A1325" s="105" t="s">
        <v>1569</v>
      </c>
      <c r="B1325" s="19" t="str">
        <f t="array" ref="B1325">XLOOKUP(A1325,Data!F:F,Data!G:G)</f>
        <v>J1D</v>
      </c>
      <c r="C1325" s="19" t="str">
        <f t="shared" si="3"/>
        <v>J098</v>
      </c>
      <c r="D1325" s="19" t="str">
        <f t="array" ref="D1325">XLOOKUP(A1325,Data!F:F,Data!C:C)</f>
        <v>EXT</v>
      </c>
      <c r="E1325" s="19" t="str">
        <f t="array" ref="E1325">XLOOKUP(A1325,Data!F:F,Data!H:H)</f>
        <v>BW</v>
      </c>
      <c r="F1325" s="106" t="str">
        <f>SUMIFS(Data!J:J,Data!F:F,A1325)</f>
        <v>1</v>
      </c>
      <c r="G1325" s="106" t="str">
        <f>SUMIFS(Cast!C:C,CastElements,A1325)</f>
        <v>1</v>
      </c>
      <c r="H1325" s="106" t="str">
        <f t="shared" si="4"/>
        <v>0</v>
      </c>
      <c r="I1325" s="106" t="str">
        <f>SUMIFS(Del!C:C,Del!B:B,A1325)</f>
        <v>0</v>
      </c>
      <c r="J1325" s="106" t="str">
        <f t="shared" si="5"/>
        <v>1</v>
      </c>
      <c r="K1325" s="106" t="str">
        <f t="shared" si="6"/>
        <v>1</v>
      </c>
      <c r="L1325" s="106"/>
      <c r="M1325" s="106" t="str">
        <f>SUMIFS(Ere!C:C,Ere!B:B,A1325)</f>
        <v>0</v>
      </c>
      <c r="N1325" s="106" t="str">
        <f t="shared" si="7"/>
        <v>1</v>
      </c>
      <c r="O1325" s="107" t="str">
        <f t="array" ref="O1325">XLOOKUP(A1325,Data!F:F,Data!O:O)</f>
        <v>  0.51 </v>
      </c>
      <c r="P1325" s="107" t="str">
        <f t="shared" si="8"/>
        <v>  1.28 </v>
      </c>
      <c r="Q1325" s="27"/>
    </row>
    <row r="1326" ht="15.75" customHeight="1">
      <c r="A1326" s="105" t="s">
        <v>1570</v>
      </c>
      <c r="B1326" s="19" t="str">
        <f t="array" ref="B1326">XLOOKUP(A1326,Data!F:F,Data!G:G)</f>
        <v>J1D</v>
      </c>
      <c r="C1326" s="19" t="str">
        <f t="shared" si="3"/>
        <v>J098</v>
      </c>
      <c r="D1326" s="19" t="str">
        <f t="array" ref="D1326">XLOOKUP(A1326,Data!F:F,Data!C:C)</f>
        <v>EXT</v>
      </c>
      <c r="E1326" s="19" t="str">
        <f t="array" ref="E1326">XLOOKUP(A1326,Data!F:F,Data!H:H)</f>
        <v>BW</v>
      </c>
      <c r="F1326" s="106" t="str">
        <f>SUMIFS(Data!J:J,Data!F:F,A1326)</f>
        <v>1</v>
      </c>
      <c r="G1326" s="106" t="str">
        <f>SUMIFS(Cast!C:C,CastElements,A1326)</f>
        <v>1</v>
      </c>
      <c r="H1326" s="106" t="str">
        <f t="shared" si="4"/>
        <v>0</v>
      </c>
      <c r="I1326" s="106" t="str">
        <f>SUMIFS(Del!C:C,Del!B:B,A1326)</f>
        <v>0</v>
      </c>
      <c r="J1326" s="106" t="str">
        <f t="shared" si="5"/>
        <v>1</v>
      </c>
      <c r="K1326" s="106" t="str">
        <f t="shared" si="6"/>
        <v>1</v>
      </c>
      <c r="L1326" s="106"/>
      <c r="M1326" s="106" t="str">
        <f>SUMIFS(Ere!C:C,Ere!B:B,A1326)</f>
        <v>0</v>
      </c>
      <c r="N1326" s="106" t="str">
        <f t="shared" si="7"/>
        <v>1</v>
      </c>
      <c r="O1326" s="107" t="str">
        <f t="array" ref="O1326">XLOOKUP(A1326,Data!F:F,Data!O:O)</f>
        <v>  0.51 </v>
      </c>
      <c r="P1326" s="107" t="str">
        <f t="shared" si="8"/>
        <v>  1.28 </v>
      </c>
      <c r="Q1326" s="27"/>
    </row>
    <row r="1327" ht="15.75" customHeight="1">
      <c r="A1327" s="105" t="s">
        <v>1571</v>
      </c>
      <c r="B1327" s="19" t="str">
        <f t="array" ref="B1327">XLOOKUP(A1327,Data!F:F,Data!G:G)</f>
        <v>J1D</v>
      </c>
      <c r="C1327" s="19" t="str">
        <f t="shared" si="3"/>
        <v>J098</v>
      </c>
      <c r="D1327" s="19" t="str">
        <f t="array" ref="D1327">XLOOKUP(A1327,Data!F:F,Data!C:C)</f>
        <v>EXT</v>
      </c>
      <c r="E1327" s="19" t="str">
        <f t="array" ref="E1327">XLOOKUP(A1327,Data!F:F,Data!H:H)</f>
        <v>BW</v>
      </c>
      <c r="F1327" s="106" t="str">
        <f>SUMIFS(Data!J:J,Data!F:F,A1327)</f>
        <v>1</v>
      </c>
      <c r="G1327" s="106" t="str">
        <f>SUMIFS(Cast!C:C,CastElements,A1327)</f>
        <v>0</v>
      </c>
      <c r="H1327" s="106" t="str">
        <f t="shared" si="4"/>
        <v>1</v>
      </c>
      <c r="I1327" s="106" t="str">
        <f>SUMIFS(Del!C:C,Del!B:B,A1327)</f>
        <v>0</v>
      </c>
      <c r="J1327" s="106" t="str">
        <f t="shared" si="5"/>
        <v>1</v>
      </c>
      <c r="K1327" s="106" t="str">
        <f t="shared" si="6"/>
        <v>0</v>
      </c>
      <c r="L1327" s="106"/>
      <c r="M1327" s="106" t="str">
        <f>SUMIFS(Ere!C:C,Ere!B:B,A1327)</f>
        <v>0</v>
      </c>
      <c r="N1327" s="106" t="str">
        <f t="shared" si="7"/>
        <v>1</v>
      </c>
      <c r="O1327" s="107" t="str">
        <f t="array" ref="O1327">XLOOKUP(A1327,Data!F:F,Data!O:O)</f>
        <v>  0.51 </v>
      </c>
      <c r="P1327" s="107" t="str">
        <f t="shared" si="8"/>
        <v>  1.28 </v>
      </c>
      <c r="Q1327" s="27"/>
    </row>
    <row r="1328" ht="15.75" customHeight="1">
      <c r="A1328" s="105" t="s">
        <v>1572</v>
      </c>
      <c r="B1328" s="19" t="str">
        <f t="array" ref="B1328">XLOOKUP(A1328,Data!F:F,Data!G:G)</f>
        <v>J1D</v>
      </c>
      <c r="C1328" s="19" t="str">
        <f t="shared" si="3"/>
        <v>J098</v>
      </c>
      <c r="D1328" s="19" t="str">
        <f t="array" ref="D1328">XLOOKUP(A1328,Data!F:F,Data!C:C)</f>
        <v>EXT</v>
      </c>
      <c r="E1328" s="19" t="str">
        <f t="array" ref="E1328">XLOOKUP(A1328,Data!F:F,Data!H:H)</f>
        <v>BW</v>
      </c>
      <c r="F1328" s="106" t="str">
        <f>SUMIFS(Data!J:J,Data!F:F,A1328)</f>
        <v>1</v>
      </c>
      <c r="G1328" s="106" t="str">
        <f>SUMIFS(Cast!C:C,CastElements,A1328)</f>
        <v>0</v>
      </c>
      <c r="H1328" s="106" t="str">
        <f t="shared" si="4"/>
        <v>1</v>
      </c>
      <c r="I1328" s="106" t="str">
        <f>SUMIFS(Del!C:C,Del!B:B,A1328)</f>
        <v>0</v>
      </c>
      <c r="J1328" s="106" t="str">
        <f t="shared" si="5"/>
        <v>1</v>
      </c>
      <c r="K1328" s="106" t="str">
        <f t="shared" si="6"/>
        <v>0</v>
      </c>
      <c r="L1328" s="106"/>
      <c r="M1328" s="106" t="str">
        <f>SUMIFS(Ere!C:C,Ere!B:B,A1328)</f>
        <v>0</v>
      </c>
      <c r="N1328" s="106" t="str">
        <f t="shared" si="7"/>
        <v>1</v>
      </c>
      <c r="O1328" s="107" t="str">
        <f t="array" ref="O1328">XLOOKUP(A1328,Data!F:F,Data!O:O)</f>
        <v>  0.51 </v>
      </c>
      <c r="P1328" s="107" t="str">
        <f t="shared" si="8"/>
        <v>  1.28 </v>
      </c>
      <c r="Q1328" s="27"/>
    </row>
    <row r="1329" ht="15.75" customHeight="1">
      <c r="A1329" s="105" t="s">
        <v>1573</v>
      </c>
      <c r="B1329" s="19" t="str">
        <f t="array" ref="B1329">XLOOKUP(A1329,Data!F:F,Data!G:G)</f>
        <v>J1D</v>
      </c>
      <c r="C1329" s="19" t="str">
        <f t="shared" si="3"/>
        <v>J098</v>
      </c>
      <c r="D1329" s="19" t="str">
        <f t="array" ref="D1329">XLOOKUP(A1329,Data!F:F,Data!C:C)</f>
        <v>EXT</v>
      </c>
      <c r="E1329" s="19" t="str">
        <f t="array" ref="E1329">XLOOKUP(A1329,Data!F:F,Data!H:H)</f>
        <v>BW</v>
      </c>
      <c r="F1329" s="106" t="str">
        <f>SUMIFS(Data!J:J,Data!F:F,A1329)</f>
        <v>1</v>
      </c>
      <c r="G1329" s="106" t="str">
        <f>SUMIFS(Cast!C:C,CastElements,A1329)</f>
        <v>0</v>
      </c>
      <c r="H1329" s="106" t="str">
        <f t="shared" si="4"/>
        <v>1</v>
      </c>
      <c r="I1329" s="106" t="str">
        <f>SUMIFS(Del!C:C,Del!B:B,A1329)</f>
        <v>0</v>
      </c>
      <c r="J1329" s="106" t="str">
        <f t="shared" si="5"/>
        <v>1</v>
      </c>
      <c r="K1329" s="106" t="str">
        <f t="shared" si="6"/>
        <v>0</v>
      </c>
      <c r="L1329" s="106"/>
      <c r="M1329" s="106" t="str">
        <f>SUMIFS(Ere!C:C,Ere!B:B,A1329)</f>
        <v>0</v>
      </c>
      <c r="N1329" s="106" t="str">
        <f t="shared" si="7"/>
        <v>1</v>
      </c>
      <c r="O1329" s="107" t="str">
        <f t="array" ref="O1329">XLOOKUP(A1329,Data!F:F,Data!O:O)</f>
        <v>  0.51 </v>
      </c>
      <c r="P1329" s="107" t="str">
        <f t="shared" si="8"/>
        <v>  1.28 </v>
      </c>
      <c r="Q1329" s="27"/>
    </row>
    <row r="1330" ht="15.75" customHeight="1">
      <c r="A1330" s="105" t="s">
        <v>1574</v>
      </c>
      <c r="B1330" s="19" t="str">
        <f t="array" ref="B1330">XLOOKUP(A1330,Data!F:F,Data!G:G)</f>
        <v>J1D</v>
      </c>
      <c r="C1330" s="19" t="str">
        <f t="shared" si="3"/>
        <v>J098</v>
      </c>
      <c r="D1330" s="19" t="str">
        <f t="array" ref="D1330">XLOOKUP(A1330,Data!F:F,Data!C:C)</f>
        <v>EXT</v>
      </c>
      <c r="E1330" s="19" t="str">
        <f t="array" ref="E1330">XLOOKUP(A1330,Data!F:F,Data!H:H)</f>
        <v>BW</v>
      </c>
      <c r="F1330" s="106" t="str">
        <f>SUMIFS(Data!J:J,Data!F:F,A1330)</f>
        <v>1</v>
      </c>
      <c r="G1330" s="106" t="str">
        <f>SUMIFS(Cast!C:C,CastElements,A1330)</f>
        <v>0</v>
      </c>
      <c r="H1330" s="106" t="str">
        <f t="shared" si="4"/>
        <v>1</v>
      </c>
      <c r="I1330" s="106" t="str">
        <f>SUMIFS(Del!C:C,Del!B:B,A1330)</f>
        <v>0</v>
      </c>
      <c r="J1330" s="106" t="str">
        <f t="shared" si="5"/>
        <v>1</v>
      </c>
      <c r="K1330" s="106" t="str">
        <f t="shared" si="6"/>
        <v>0</v>
      </c>
      <c r="L1330" s="106"/>
      <c r="M1330" s="106" t="str">
        <f>SUMIFS(Ere!C:C,Ere!B:B,A1330)</f>
        <v>0</v>
      </c>
      <c r="N1330" s="106" t="str">
        <f t="shared" si="7"/>
        <v>1</v>
      </c>
      <c r="O1330" s="107" t="str">
        <f t="array" ref="O1330">XLOOKUP(A1330,Data!F:F,Data!O:O)</f>
        <v>  0.51 </v>
      </c>
      <c r="P1330" s="107" t="str">
        <f t="shared" si="8"/>
        <v>  1.28 </v>
      </c>
      <c r="Q1330" s="27"/>
    </row>
    <row r="1331" ht="15.75" customHeight="1">
      <c r="A1331" s="105" t="s">
        <v>1575</v>
      </c>
      <c r="B1331" s="19" t="str">
        <f t="array" ref="B1331">XLOOKUP(A1331,Data!F:F,Data!G:G)</f>
        <v>J1D</v>
      </c>
      <c r="C1331" s="19" t="str">
        <f t="shared" si="3"/>
        <v>J098</v>
      </c>
      <c r="D1331" s="19" t="str">
        <f t="array" ref="D1331">XLOOKUP(A1331,Data!F:F,Data!C:C)</f>
        <v>EXT</v>
      </c>
      <c r="E1331" s="19" t="str">
        <f t="array" ref="E1331">XLOOKUP(A1331,Data!F:F,Data!H:H)</f>
        <v>BW</v>
      </c>
      <c r="F1331" s="106" t="str">
        <f>SUMIFS(Data!J:J,Data!F:F,A1331)</f>
        <v>1</v>
      </c>
      <c r="G1331" s="106" t="str">
        <f>SUMIFS(Cast!C:C,CastElements,A1331)</f>
        <v>0</v>
      </c>
      <c r="H1331" s="106" t="str">
        <f t="shared" si="4"/>
        <v>1</v>
      </c>
      <c r="I1331" s="106" t="str">
        <f>SUMIFS(Del!C:C,Del!B:B,A1331)</f>
        <v>0</v>
      </c>
      <c r="J1331" s="106" t="str">
        <f t="shared" si="5"/>
        <v>1</v>
      </c>
      <c r="K1331" s="106" t="str">
        <f t="shared" si="6"/>
        <v>0</v>
      </c>
      <c r="L1331" s="106"/>
      <c r="M1331" s="106" t="str">
        <f>SUMIFS(Ere!C:C,Ere!B:B,A1331)</f>
        <v>0</v>
      </c>
      <c r="N1331" s="106" t="str">
        <f t="shared" si="7"/>
        <v>1</v>
      </c>
      <c r="O1331" s="107" t="str">
        <f t="array" ref="O1331">XLOOKUP(A1331,Data!F:F,Data!O:O)</f>
        <v>  0.51 </v>
      </c>
      <c r="P1331" s="107" t="str">
        <f t="shared" si="8"/>
        <v>  1.28 </v>
      </c>
      <c r="Q1331" s="27"/>
    </row>
    <row r="1332" ht="15.75" customHeight="1">
      <c r="A1332" s="105" t="s">
        <v>1576</v>
      </c>
      <c r="B1332" s="19" t="str">
        <f t="array" ref="B1332">XLOOKUP(A1332,Data!F:F,Data!G:G)</f>
        <v>J1D</v>
      </c>
      <c r="C1332" s="19" t="str">
        <f t="shared" si="3"/>
        <v>J098</v>
      </c>
      <c r="D1332" s="19" t="str">
        <f t="array" ref="D1332">XLOOKUP(A1332,Data!F:F,Data!C:C)</f>
        <v>EXT</v>
      </c>
      <c r="E1332" s="19" t="str">
        <f t="array" ref="E1332">XLOOKUP(A1332,Data!F:F,Data!H:H)</f>
        <v>BW</v>
      </c>
      <c r="F1332" s="106" t="str">
        <f>SUMIFS(Data!J:J,Data!F:F,A1332)</f>
        <v>1</v>
      </c>
      <c r="G1332" s="106" t="str">
        <f>SUMIFS(Cast!C:C,CastElements,A1332)</f>
        <v>0</v>
      </c>
      <c r="H1332" s="106" t="str">
        <f t="shared" si="4"/>
        <v>1</v>
      </c>
      <c r="I1332" s="106" t="str">
        <f>SUMIFS(Del!C:C,Del!B:B,A1332)</f>
        <v>0</v>
      </c>
      <c r="J1332" s="106" t="str">
        <f t="shared" si="5"/>
        <v>1</v>
      </c>
      <c r="K1332" s="106" t="str">
        <f t="shared" si="6"/>
        <v>0</v>
      </c>
      <c r="L1332" s="106"/>
      <c r="M1332" s="106" t="str">
        <f>SUMIFS(Ere!C:C,Ere!B:B,A1332)</f>
        <v>0</v>
      </c>
      <c r="N1332" s="106" t="str">
        <f t="shared" si="7"/>
        <v>1</v>
      </c>
      <c r="O1332" s="107" t="str">
        <f t="array" ref="O1332">XLOOKUP(A1332,Data!F:F,Data!O:O)</f>
        <v>  0.51 </v>
      </c>
      <c r="P1332" s="107" t="str">
        <f t="shared" si="8"/>
        <v>  1.28 </v>
      </c>
      <c r="Q1332" s="27"/>
    </row>
    <row r="1333" ht="15.75" customHeight="1">
      <c r="A1333" s="105" t="s">
        <v>1577</v>
      </c>
      <c r="B1333" s="19" t="str">
        <f t="array" ref="B1333">XLOOKUP(A1333,Data!F:F,Data!G:G)</f>
        <v>J1D</v>
      </c>
      <c r="C1333" s="19" t="str">
        <f t="shared" si="3"/>
        <v>J098</v>
      </c>
      <c r="D1333" s="19" t="str">
        <f t="array" ref="D1333">XLOOKUP(A1333,Data!F:F,Data!C:C)</f>
        <v>EXT</v>
      </c>
      <c r="E1333" s="19" t="str">
        <f t="array" ref="E1333">XLOOKUP(A1333,Data!F:F,Data!H:H)</f>
        <v>BW</v>
      </c>
      <c r="F1333" s="106" t="str">
        <f>SUMIFS(Data!J:J,Data!F:F,A1333)</f>
        <v>1</v>
      </c>
      <c r="G1333" s="106" t="str">
        <f>SUMIFS(Cast!C:C,CastElements,A1333)</f>
        <v>0</v>
      </c>
      <c r="H1333" s="106" t="str">
        <f t="shared" si="4"/>
        <v>1</v>
      </c>
      <c r="I1333" s="106" t="str">
        <f>SUMIFS(Del!C:C,Del!B:B,A1333)</f>
        <v>0</v>
      </c>
      <c r="J1333" s="106" t="str">
        <f t="shared" si="5"/>
        <v>1</v>
      </c>
      <c r="K1333" s="106" t="str">
        <f t="shared" si="6"/>
        <v>0</v>
      </c>
      <c r="L1333" s="106"/>
      <c r="M1333" s="106" t="str">
        <f>SUMIFS(Ere!C:C,Ere!B:B,A1333)</f>
        <v>0</v>
      </c>
      <c r="N1333" s="106" t="str">
        <f t="shared" si="7"/>
        <v>1</v>
      </c>
      <c r="O1333" s="107" t="str">
        <f t="array" ref="O1333">XLOOKUP(A1333,Data!F:F,Data!O:O)</f>
        <v>  0.51 </v>
      </c>
      <c r="P1333" s="107" t="str">
        <f t="shared" si="8"/>
        <v>  1.28 </v>
      </c>
      <c r="Q1333" s="27"/>
    </row>
    <row r="1334" ht="15.75" customHeight="1">
      <c r="A1334" s="105" t="s">
        <v>1578</v>
      </c>
      <c r="B1334" s="19" t="str">
        <f t="array" ref="B1334">XLOOKUP(A1334,Data!F:F,Data!G:G)</f>
        <v>J1D</v>
      </c>
      <c r="C1334" s="19" t="str">
        <f t="shared" si="3"/>
        <v>J098</v>
      </c>
      <c r="D1334" s="19" t="str">
        <f t="array" ref="D1334">XLOOKUP(A1334,Data!F:F,Data!C:C)</f>
        <v>EXT</v>
      </c>
      <c r="E1334" s="19" t="str">
        <f t="array" ref="E1334">XLOOKUP(A1334,Data!F:F,Data!H:H)</f>
        <v>BW</v>
      </c>
      <c r="F1334" s="106" t="str">
        <f>SUMIFS(Data!J:J,Data!F:F,A1334)</f>
        <v>1</v>
      </c>
      <c r="G1334" s="106" t="str">
        <f>SUMIFS(Cast!C:C,CastElements,A1334)</f>
        <v>0</v>
      </c>
      <c r="H1334" s="106" t="str">
        <f t="shared" si="4"/>
        <v>1</v>
      </c>
      <c r="I1334" s="106" t="str">
        <f>SUMIFS(Del!C:C,Del!B:B,A1334)</f>
        <v>0</v>
      </c>
      <c r="J1334" s="106" t="str">
        <f t="shared" si="5"/>
        <v>1</v>
      </c>
      <c r="K1334" s="106" t="str">
        <f t="shared" si="6"/>
        <v>0</v>
      </c>
      <c r="L1334" s="106"/>
      <c r="M1334" s="106" t="str">
        <f>SUMIFS(Ere!C:C,Ere!B:B,A1334)</f>
        <v>0</v>
      </c>
      <c r="N1334" s="106" t="str">
        <f t="shared" si="7"/>
        <v>1</v>
      </c>
      <c r="O1334" s="107" t="str">
        <f t="array" ref="O1334">XLOOKUP(A1334,Data!F:F,Data!O:O)</f>
        <v>  0.51 </v>
      </c>
      <c r="P1334" s="107" t="str">
        <f t="shared" si="8"/>
        <v>  1.28 </v>
      </c>
      <c r="Q1334" s="27"/>
    </row>
    <row r="1335" ht="15.75" customHeight="1">
      <c r="A1335" s="105" t="s">
        <v>1579</v>
      </c>
      <c r="B1335" s="19" t="str">
        <f t="array" ref="B1335">XLOOKUP(A1335,Data!F:F,Data!G:G)</f>
        <v>J1D</v>
      </c>
      <c r="C1335" s="19" t="str">
        <f t="shared" si="3"/>
        <v>J098</v>
      </c>
      <c r="D1335" s="19" t="str">
        <f t="array" ref="D1335">XLOOKUP(A1335,Data!F:F,Data!C:C)</f>
        <v/>
      </c>
      <c r="E1335" s="19" t="str">
        <f t="array" ref="E1335">XLOOKUP(A1335,Data!F:F,Data!H:H)</f>
        <v>BW</v>
      </c>
      <c r="F1335" s="106" t="str">
        <f>SUMIFS(Data!J:J,Data!F:F,A1335)</f>
        <v>1</v>
      </c>
      <c r="G1335" s="106" t="str">
        <f>SUMIFS(Cast!C:C,CastElements,A1335)</f>
        <v>1</v>
      </c>
      <c r="H1335" s="106" t="str">
        <f t="shared" si="4"/>
        <v>0</v>
      </c>
      <c r="I1335" s="106" t="str">
        <f>SUMIFS(Del!C:C,Del!B:B,A1335)</f>
        <v>1</v>
      </c>
      <c r="J1335" s="106" t="str">
        <f t="shared" si="5"/>
        <v>0</v>
      </c>
      <c r="K1335" s="106" t="str">
        <f t="shared" si="6"/>
        <v>0</v>
      </c>
      <c r="L1335" s="106"/>
      <c r="M1335" s="106" t="str">
        <f>SUMIFS(Ere!C:C,Ere!B:B,A1335)</f>
        <v>0</v>
      </c>
      <c r="N1335" s="106" t="str">
        <f t="shared" si="7"/>
        <v>1</v>
      </c>
      <c r="O1335" s="107" t="str">
        <f t="array" ref="O1335">XLOOKUP(A1335,Data!F:F,Data!O:O)</f>
        <v>  1.82 </v>
      </c>
      <c r="P1335" s="107" t="str">
        <f t="shared" si="8"/>
        <v>  4.55 </v>
      </c>
      <c r="Q1335" s="27"/>
    </row>
    <row r="1336" ht="15.75" customHeight="1">
      <c r="A1336" s="105" t="s">
        <v>1580</v>
      </c>
      <c r="B1336" s="19" t="str">
        <f t="array" ref="B1336">XLOOKUP(A1336,Data!F:F,Data!G:G)</f>
        <v>J1D</v>
      </c>
      <c r="C1336" s="19" t="str">
        <f t="shared" si="3"/>
        <v>J098</v>
      </c>
      <c r="D1336" s="19" t="str">
        <f t="array" ref="D1336">XLOOKUP(A1336,Data!F:F,Data!C:C)</f>
        <v/>
      </c>
      <c r="E1336" s="19" t="str">
        <f t="array" ref="E1336">XLOOKUP(A1336,Data!F:F,Data!H:H)</f>
        <v>BW</v>
      </c>
      <c r="F1336" s="106" t="str">
        <f>SUMIFS(Data!J:J,Data!F:F,A1336)</f>
        <v>1</v>
      </c>
      <c r="G1336" s="106" t="str">
        <f>SUMIFS(Cast!C:C,CastElements,A1336)</f>
        <v>1</v>
      </c>
      <c r="H1336" s="106" t="str">
        <f t="shared" si="4"/>
        <v>0</v>
      </c>
      <c r="I1336" s="106" t="str">
        <f>SUMIFS(Del!C:C,Del!B:B,A1336)</f>
        <v>1</v>
      </c>
      <c r="J1336" s="106" t="str">
        <f t="shared" si="5"/>
        <v>0</v>
      </c>
      <c r="K1336" s="106" t="str">
        <f t="shared" si="6"/>
        <v>0</v>
      </c>
      <c r="L1336" s="106"/>
      <c r="M1336" s="106" t="str">
        <f>SUMIFS(Ere!C:C,Ere!B:B,A1336)</f>
        <v>0</v>
      </c>
      <c r="N1336" s="106" t="str">
        <f t="shared" si="7"/>
        <v>1</v>
      </c>
      <c r="O1336" s="107" t="str">
        <f t="array" ref="O1336">XLOOKUP(A1336,Data!F:F,Data!O:O)</f>
        <v>  1.82 </v>
      </c>
      <c r="P1336" s="107" t="str">
        <f t="shared" si="8"/>
        <v>  4.55 </v>
      </c>
      <c r="Q1336" s="27"/>
    </row>
    <row r="1337" ht="15.75" customHeight="1">
      <c r="A1337" s="105" t="s">
        <v>1581</v>
      </c>
      <c r="B1337" s="19" t="str">
        <f t="array" ref="B1337">XLOOKUP(A1337,Data!F:F,Data!G:G)</f>
        <v>J1D</v>
      </c>
      <c r="C1337" s="19" t="str">
        <f t="shared" si="3"/>
        <v>J098</v>
      </c>
      <c r="D1337" s="19" t="str">
        <f t="array" ref="D1337">XLOOKUP(A1337,Data!F:F,Data!C:C)</f>
        <v/>
      </c>
      <c r="E1337" s="19" t="str">
        <f t="array" ref="E1337">XLOOKUP(A1337,Data!F:F,Data!H:H)</f>
        <v>BW</v>
      </c>
      <c r="F1337" s="106" t="str">
        <f>SUMIFS(Data!J:J,Data!F:F,A1337)</f>
        <v>1</v>
      </c>
      <c r="G1337" s="106" t="str">
        <f>SUMIFS(Cast!C:C,CastElements,A1337)</f>
        <v>1</v>
      </c>
      <c r="H1337" s="106" t="str">
        <f t="shared" si="4"/>
        <v>0</v>
      </c>
      <c r="I1337" s="106" t="str">
        <f>SUMIFS(Del!C:C,Del!B:B,A1337)</f>
        <v>1</v>
      </c>
      <c r="J1337" s="106" t="str">
        <f t="shared" si="5"/>
        <v>0</v>
      </c>
      <c r="K1337" s="106" t="str">
        <f t="shared" si="6"/>
        <v>0</v>
      </c>
      <c r="L1337" s="106"/>
      <c r="M1337" s="106" t="str">
        <f>SUMIFS(Ere!C:C,Ere!B:B,A1337)</f>
        <v>0</v>
      </c>
      <c r="N1337" s="106" t="str">
        <f t="shared" si="7"/>
        <v>1</v>
      </c>
      <c r="O1337" s="107" t="str">
        <f t="array" ref="O1337">XLOOKUP(A1337,Data!F:F,Data!O:O)</f>
        <v>  1.82 </v>
      </c>
      <c r="P1337" s="107" t="str">
        <f t="shared" si="8"/>
        <v>  4.55 </v>
      </c>
      <c r="Q1337" s="27"/>
    </row>
    <row r="1338" ht="15.75" customHeight="1">
      <c r="A1338" s="105" t="s">
        <v>1582</v>
      </c>
      <c r="B1338" s="19" t="str">
        <f t="array" ref="B1338">XLOOKUP(A1338,Data!F:F,Data!G:G)</f>
        <v>J1D</v>
      </c>
      <c r="C1338" s="19" t="str">
        <f t="shared" si="3"/>
        <v>J098</v>
      </c>
      <c r="D1338" s="19" t="str">
        <f t="array" ref="D1338">XLOOKUP(A1338,Data!F:F,Data!C:C)</f>
        <v/>
      </c>
      <c r="E1338" s="19" t="str">
        <f t="array" ref="E1338">XLOOKUP(A1338,Data!F:F,Data!H:H)</f>
        <v>BW</v>
      </c>
      <c r="F1338" s="106" t="str">
        <f>SUMIFS(Data!J:J,Data!F:F,A1338)</f>
        <v>1</v>
      </c>
      <c r="G1338" s="106" t="str">
        <f>SUMIFS(Cast!C:C,CastElements,A1338)</f>
        <v>1</v>
      </c>
      <c r="H1338" s="106" t="str">
        <f t="shared" si="4"/>
        <v>0</v>
      </c>
      <c r="I1338" s="106" t="str">
        <f>SUMIFS(Del!C:C,Del!B:B,A1338)</f>
        <v>1</v>
      </c>
      <c r="J1338" s="106" t="str">
        <f t="shared" si="5"/>
        <v>0</v>
      </c>
      <c r="K1338" s="106" t="str">
        <f t="shared" si="6"/>
        <v>0</v>
      </c>
      <c r="L1338" s="106"/>
      <c r="M1338" s="106" t="str">
        <f>SUMIFS(Ere!C:C,Ere!B:B,A1338)</f>
        <v>0</v>
      </c>
      <c r="N1338" s="106" t="str">
        <f t="shared" si="7"/>
        <v>1</v>
      </c>
      <c r="O1338" s="107" t="str">
        <f t="array" ref="O1338">XLOOKUP(A1338,Data!F:F,Data!O:O)</f>
        <v>  1.82 </v>
      </c>
      <c r="P1338" s="107" t="str">
        <f t="shared" si="8"/>
        <v>  4.55 </v>
      </c>
      <c r="Q1338" s="27"/>
    </row>
    <row r="1339" ht="15.75" customHeight="1">
      <c r="A1339" s="105" t="s">
        <v>1583</v>
      </c>
      <c r="B1339" s="19" t="str">
        <f t="array" ref="B1339">XLOOKUP(A1339,Data!F:F,Data!G:G)</f>
        <v>J1D</v>
      </c>
      <c r="C1339" s="19" t="str">
        <f t="shared" si="3"/>
        <v>J098</v>
      </c>
      <c r="D1339" s="19" t="str">
        <f t="array" ref="D1339">XLOOKUP(A1339,Data!F:F,Data!C:C)</f>
        <v/>
      </c>
      <c r="E1339" s="19" t="str">
        <f t="array" ref="E1339">XLOOKUP(A1339,Data!F:F,Data!H:H)</f>
        <v>BW</v>
      </c>
      <c r="F1339" s="106" t="str">
        <f>SUMIFS(Data!J:J,Data!F:F,A1339)</f>
        <v>1</v>
      </c>
      <c r="G1339" s="106" t="str">
        <f>SUMIFS(Cast!C:C,CastElements,A1339)</f>
        <v>1</v>
      </c>
      <c r="H1339" s="106" t="str">
        <f t="shared" si="4"/>
        <v>0</v>
      </c>
      <c r="I1339" s="106" t="str">
        <f>SUMIFS(Del!C:C,Del!B:B,A1339)</f>
        <v>1</v>
      </c>
      <c r="J1339" s="106" t="str">
        <f t="shared" si="5"/>
        <v>0</v>
      </c>
      <c r="K1339" s="106" t="str">
        <f t="shared" si="6"/>
        <v>0</v>
      </c>
      <c r="L1339" s="106"/>
      <c r="M1339" s="106" t="str">
        <f>SUMIFS(Ere!C:C,Ere!B:B,A1339)</f>
        <v>0</v>
      </c>
      <c r="N1339" s="106" t="str">
        <f t="shared" si="7"/>
        <v>1</v>
      </c>
      <c r="O1339" s="107" t="str">
        <f t="array" ref="O1339">XLOOKUP(A1339,Data!F:F,Data!O:O)</f>
        <v>  2.01 </v>
      </c>
      <c r="P1339" s="107" t="str">
        <f t="shared" si="8"/>
        <v>  5.03 </v>
      </c>
      <c r="Q1339" s="27"/>
    </row>
    <row r="1340" ht="15.75" customHeight="1">
      <c r="A1340" s="105" t="s">
        <v>1584</v>
      </c>
      <c r="B1340" s="19" t="str">
        <f t="array" ref="B1340">XLOOKUP(A1340,Data!F:F,Data!G:G)</f>
        <v>J1D</v>
      </c>
      <c r="C1340" s="19" t="str">
        <f t="shared" si="3"/>
        <v>J098</v>
      </c>
      <c r="D1340" s="19" t="str">
        <f t="array" ref="D1340">XLOOKUP(A1340,Data!F:F,Data!C:C)</f>
        <v/>
      </c>
      <c r="E1340" s="19" t="str">
        <f t="array" ref="E1340">XLOOKUP(A1340,Data!F:F,Data!H:H)</f>
        <v>BW</v>
      </c>
      <c r="F1340" s="106" t="str">
        <f>SUMIFS(Data!J:J,Data!F:F,A1340)</f>
        <v>1</v>
      </c>
      <c r="G1340" s="106" t="str">
        <f>SUMIFS(Cast!C:C,CastElements,A1340)</f>
        <v>1</v>
      </c>
      <c r="H1340" s="106" t="str">
        <f t="shared" si="4"/>
        <v>0</v>
      </c>
      <c r="I1340" s="106" t="str">
        <f>SUMIFS(Del!C:C,Del!B:B,A1340)</f>
        <v>1</v>
      </c>
      <c r="J1340" s="106" t="str">
        <f t="shared" si="5"/>
        <v>0</v>
      </c>
      <c r="K1340" s="106" t="str">
        <f t="shared" si="6"/>
        <v>0</v>
      </c>
      <c r="L1340" s="106"/>
      <c r="M1340" s="106" t="str">
        <f>SUMIFS(Ere!C:C,Ere!B:B,A1340)</f>
        <v>0</v>
      </c>
      <c r="N1340" s="106" t="str">
        <f t="shared" si="7"/>
        <v>1</v>
      </c>
      <c r="O1340" s="107" t="str">
        <f t="array" ref="O1340">XLOOKUP(A1340,Data!F:F,Data!O:O)</f>
        <v>  2.01 </v>
      </c>
      <c r="P1340" s="107" t="str">
        <f t="shared" si="8"/>
        <v>  5.03 </v>
      </c>
      <c r="Q1340" s="27"/>
    </row>
    <row r="1341" ht="15.75" customHeight="1">
      <c r="A1341" s="105" t="s">
        <v>1585</v>
      </c>
      <c r="B1341" s="19" t="str">
        <f t="array" ref="B1341">XLOOKUP(A1341,Data!F:F,Data!G:G)</f>
        <v>J1D</v>
      </c>
      <c r="C1341" s="19" t="str">
        <f t="shared" si="3"/>
        <v>J098</v>
      </c>
      <c r="D1341" s="19" t="str">
        <f t="array" ref="D1341">XLOOKUP(A1341,Data!F:F,Data!C:C)</f>
        <v/>
      </c>
      <c r="E1341" s="19" t="str">
        <f t="array" ref="E1341">XLOOKUP(A1341,Data!F:F,Data!H:H)</f>
        <v>BW</v>
      </c>
      <c r="F1341" s="106" t="str">
        <f>SUMIFS(Data!J:J,Data!F:F,A1341)</f>
        <v>1</v>
      </c>
      <c r="G1341" s="106" t="str">
        <f>SUMIFS(Cast!C:C,CastElements,A1341)</f>
        <v>1</v>
      </c>
      <c r="H1341" s="106" t="str">
        <f t="shared" si="4"/>
        <v>0</v>
      </c>
      <c r="I1341" s="106" t="str">
        <f>SUMIFS(Del!C:C,Del!B:B,A1341)</f>
        <v>1</v>
      </c>
      <c r="J1341" s="106" t="str">
        <f t="shared" si="5"/>
        <v>0</v>
      </c>
      <c r="K1341" s="106" t="str">
        <f t="shared" si="6"/>
        <v>0</v>
      </c>
      <c r="L1341" s="106"/>
      <c r="M1341" s="106" t="str">
        <f>SUMIFS(Ere!C:C,Ere!B:B,A1341)</f>
        <v>0</v>
      </c>
      <c r="N1341" s="106" t="str">
        <f t="shared" si="7"/>
        <v>1</v>
      </c>
      <c r="O1341" s="107" t="str">
        <f t="array" ref="O1341">XLOOKUP(A1341,Data!F:F,Data!O:O)</f>
        <v>  0.40 </v>
      </c>
      <c r="P1341" s="107" t="str">
        <f t="shared" si="8"/>
        <v>  1.00 </v>
      </c>
      <c r="Q1341" s="27"/>
    </row>
    <row r="1342" ht="15.75" customHeight="1">
      <c r="A1342" s="105" t="s">
        <v>1586</v>
      </c>
      <c r="B1342" s="19" t="str">
        <f t="array" ref="B1342">XLOOKUP(A1342,Data!F:F,Data!G:G)</f>
        <v>J1D</v>
      </c>
      <c r="C1342" s="19" t="str">
        <f t="shared" si="3"/>
        <v>J098</v>
      </c>
      <c r="D1342" s="19" t="str">
        <f t="array" ref="D1342">XLOOKUP(A1342,Data!F:F,Data!C:C)</f>
        <v/>
      </c>
      <c r="E1342" s="19" t="str">
        <f t="array" ref="E1342">XLOOKUP(A1342,Data!F:F,Data!H:H)</f>
        <v>BW</v>
      </c>
      <c r="F1342" s="106" t="str">
        <f>SUMIFS(Data!J:J,Data!F:F,A1342)</f>
        <v>1</v>
      </c>
      <c r="G1342" s="106" t="str">
        <f>SUMIFS(Cast!C:C,CastElements,A1342)</f>
        <v>1</v>
      </c>
      <c r="H1342" s="106" t="str">
        <f t="shared" si="4"/>
        <v>0</v>
      </c>
      <c r="I1342" s="106" t="str">
        <f>SUMIFS(Del!C:C,Del!B:B,A1342)</f>
        <v>0</v>
      </c>
      <c r="J1342" s="106" t="str">
        <f t="shared" si="5"/>
        <v>1</v>
      </c>
      <c r="K1342" s="106" t="str">
        <f t="shared" si="6"/>
        <v>1</v>
      </c>
      <c r="L1342" s="106"/>
      <c r="M1342" s="106" t="str">
        <f>SUMIFS(Ere!C:C,Ere!B:B,A1342)</f>
        <v>0</v>
      </c>
      <c r="N1342" s="106" t="str">
        <f t="shared" si="7"/>
        <v>1</v>
      </c>
      <c r="O1342" s="107" t="str">
        <f t="array" ref="O1342">XLOOKUP(A1342,Data!F:F,Data!O:O)</f>
        <v>  0.47 </v>
      </c>
      <c r="P1342" s="107" t="str">
        <f t="shared" si="8"/>
        <v>  1.18 </v>
      </c>
      <c r="Q1342" s="27"/>
    </row>
    <row r="1343" ht="15.75" customHeight="1">
      <c r="A1343" s="105" t="s">
        <v>1587</v>
      </c>
      <c r="B1343" s="19" t="str">
        <f t="array" ref="B1343">XLOOKUP(A1343,Data!F:F,Data!G:G)</f>
        <v>J1D</v>
      </c>
      <c r="C1343" s="19" t="str">
        <f t="shared" si="3"/>
        <v>J098</v>
      </c>
      <c r="D1343" s="19" t="str">
        <f t="array" ref="D1343">XLOOKUP(A1343,Data!F:F,Data!C:C)</f>
        <v/>
      </c>
      <c r="E1343" s="19" t="str">
        <f t="array" ref="E1343">XLOOKUP(A1343,Data!F:F,Data!H:H)</f>
        <v>CF</v>
      </c>
      <c r="F1343" s="106" t="str">
        <f>SUMIFS(Data!J:J,Data!F:F,A1343)</f>
        <v>1</v>
      </c>
      <c r="G1343" s="106" t="str">
        <f>SUMIFS(Cast!C:C,CastElements,A1343)</f>
        <v>1</v>
      </c>
      <c r="H1343" s="106" t="str">
        <f t="shared" si="4"/>
        <v>0</v>
      </c>
      <c r="I1343" s="106" t="str">
        <f>SUMIFS(Del!C:C,Del!B:B,A1343)</f>
        <v>0</v>
      </c>
      <c r="J1343" s="106" t="str">
        <f t="shared" si="5"/>
        <v>1</v>
      </c>
      <c r="K1343" s="106" t="str">
        <f t="shared" si="6"/>
        <v>1</v>
      </c>
      <c r="L1343" s="106"/>
      <c r="M1343" s="106" t="str">
        <f>SUMIFS(Ere!C:C,Ere!B:B,A1343)</f>
        <v>0</v>
      </c>
      <c r="N1343" s="106" t="str">
        <f t="shared" si="7"/>
        <v>1</v>
      </c>
      <c r="O1343" s="107" t="str">
        <f t="array" ref="O1343">XLOOKUP(A1343,Data!F:F,Data!O:O)</f>
        <v>  0.53 </v>
      </c>
      <c r="P1343" s="107" t="str">
        <f t="shared" si="8"/>
        <v>  1.33 </v>
      </c>
      <c r="Q1343" s="27"/>
    </row>
    <row r="1344" ht="15.75" customHeight="1">
      <c r="A1344" s="105" t="s">
        <v>1588</v>
      </c>
      <c r="B1344" s="19" t="str">
        <f t="array" ref="B1344">XLOOKUP(A1344,Data!F:F,Data!G:G)</f>
        <v>J1D</v>
      </c>
      <c r="C1344" s="19" t="str">
        <f t="shared" si="3"/>
        <v>J098</v>
      </c>
      <c r="D1344" s="19" t="str">
        <f t="array" ref="D1344">XLOOKUP(A1344,Data!F:F,Data!C:C)</f>
        <v/>
      </c>
      <c r="E1344" s="19" t="str">
        <f t="array" ref="E1344">XLOOKUP(A1344,Data!F:F,Data!H:H)</f>
        <v>BW</v>
      </c>
      <c r="F1344" s="106" t="str">
        <f>SUMIFS(Data!J:J,Data!F:F,A1344)</f>
        <v>1</v>
      </c>
      <c r="G1344" s="106" t="str">
        <f>SUMIFS(Cast!C:C,CastElements,A1344)</f>
        <v>1</v>
      </c>
      <c r="H1344" s="106" t="str">
        <f t="shared" si="4"/>
        <v>0</v>
      </c>
      <c r="I1344" s="106" t="str">
        <f>SUMIFS(Del!C:C,Del!B:B,A1344)</f>
        <v>0</v>
      </c>
      <c r="J1344" s="106" t="str">
        <f t="shared" si="5"/>
        <v>1</v>
      </c>
      <c r="K1344" s="106" t="str">
        <f t="shared" si="6"/>
        <v>1</v>
      </c>
      <c r="L1344" s="106"/>
      <c r="M1344" s="106" t="str">
        <f>SUMIFS(Ere!C:C,Ere!B:B,A1344)</f>
        <v>0</v>
      </c>
      <c r="N1344" s="106" t="str">
        <f t="shared" si="7"/>
        <v>1</v>
      </c>
      <c r="O1344" s="107" t="str">
        <f t="array" ref="O1344">XLOOKUP(A1344,Data!F:F,Data!O:O)</f>
        <v>  0.40 </v>
      </c>
      <c r="P1344" s="107" t="str">
        <f t="shared" si="8"/>
        <v>  1.00 </v>
      </c>
      <c r="Q1344" s="27"/>
    </row>
    <row r="1345" ht="15.75" customHeight="1">
      <c r="A1345" s="105" t="s">
        <v>1589</v>
      </c>
      <c r="B1345" s="19" t="str">
        <f t="array" ref="B1345">XLOOKUP(A1345,Data!F:F,Data!G:G)</f>
        <v>J1D</v>
      </c>
      <c r="C1345" s="19" t="str">
        <f t="shared" si="3"/>
        <v>J098</v>
      </c>
      <c r="D1345" s="19" t="str">
        <f t="array" ref="D1345">XLOOKUP(A1345,Data!F:F,Data!C:C)</f>
        <v/>
      </c>
      <c r="E1345" s="19" t="str">
        <f t="array" ref="E1345">XLOOKUP(A1345,Data!F:F,Data!H:H)</f>
        <v>BW</v>
      </c>
      <c r="F1345" s="106" t="str">
        <f>SUMIFS(Data!J:J,Data!F:F,A1345)</f>
        <v>1</v>
      </c>
      <c r="G1345" s="106" t="str">
        <f>SUMIFS(Cast!C:C,CastElements,A1345)</f>
        <v>1</v>
      </c>
      <c r="H1345" s="106" t="str">
        <f t="shared" si="4"/>
        <v>0</v>
      </c>
      <c r="I1345" s="106" t="str">
        <f>SUMIFS(Del!C:C,Del!B:B,A1345)</f>
        <v>1</v>
      </c>
      <c r="J1345" s="106" t="str">
        <f t="shared" si="5"/>
        <v>0</v>
      </c>
      <c r="K1345" s="106" t="str">
        <f t="shared" si="6"/>
        <v>0</v>
      </c>
      <c r="L1345" s="106"/>
      <c r="M1345" s="106" t="str">
        <f>SUMIFS(Ere!C:C,Ere!B:B,A1345)</f>
        <v>0</v>
      </c>
      <c r="N1345" s="106" t="str">
        <f t="shared" si="7"/>
        <v>1</v>
      </c>
      <c r="O1345" s="107" t="str">
        <f t="array" ref="O1345">XLOOKUP(A1345,Data!F:F,Data!O:O)</f>
        <v>  1.70 </v>
      </c>
      <c r="P1345" s="107" t="str">
        <f t="shared" si="8"/>
        <v>  4.25 </v>
      </c>
      <c r="Q1345" s="27"/>
    </row>
    <row r="1346" ht="15.75" customHeight="1">
      <c r="A1346" s="105" t="s">
        <v>1590</v>
      </c>
      <c r="B1346" s="19" t="str">
        <f t="array" ref="B1346">XLOOKUP(A1346,Data!F:F,Data!G:G)</f>
        <v>J1D</v>
      </c>
      <c r="C1346" s="19" t="str">
        <f t="shared" si="3"/>
        <v>J098</v>
      </c>
      <c r="D1346" s="19" t="str">
        <f t="array" ref="D1346">XLOOKUP(A1346,Data!F:F,Data!C:C)</f>
        <v/>
      </c>
      <c r="E1346" s="19" t="str">
        <f t="array" ref="E1346">XLOOKUP(A1346,Data!F:F,Data!H:H)</f>
        <v>BW</v>
      </c>
      <c r="F1346" s="106" t="str">
        <f>SUMIFS(Data!J:J,Data!F:F,A1346)</f>
        <v>1</v>
      </c>
      <c r="G1346" s="106" t="str">
        <f>SUMIFS(Cast!C:C,CastElements,A1346)</f>
        <v>1</v>
      </c>
      <c r="H1346" s="106" t="str">
        <f t="shared" si="4"/>
        <v>0</v>
      </c>
      <c r="I1346" s="106" t="str">
        <f>SUMIFS(Del!C:C,Del!B:B,A1346)</f>
        <v>1</v>
      </c>
      <c r="J1346" s="106" t="str">
        <f t="shared" si="5"/>
        <v>0</v>
      </c>
      <c r="K1346" s="106" t="str">
        <f t="shared" si="6"/>
        <v>0</v>
      </c>
      <c r="L1346" s="106"/>
      <c r="M1346" s="106" t="str">
        <f>SUMIFS(Ere!C:C,Ere!B:B,A1346)</f>
        <v>0</v>
      </c>
      <c r="N1346" s="106" t="str">
        <f t="shared" si="7"/>
        <v>1</v>
      </c>
      <c r="O1346" s="107" t="str">
        <f t="array" ref="O1346">XLOOKUP(A1346,Data!F:F,Data!O:O)</f>
        <v>  2.02 </v>
      </c>
      <c r="P1346" s="107" t="str">
        <f t="shared" si="8"/>
        <v>  5.05 </v>
      </c>
      <c r="Q1346" s="27"/>
    </row>
    <row r="1347" ht="15.75" customHeight="1">
      <c r="A1347" s="105" t="s">
        <v>1591</v>
      </c>
      <c r="B1347" s="19" t="str">
        <f t="array" ref="B1347">XLOOKUP(A1347,Data!F:F,Data!G:G)</f>
        <v>J1D</v>
      </c>
      <c r="C1347" s="19" t="str">
        <f t="shared" si="3"/>
        <v>J098</v>
      </c>
      <c r="D1347" s="19" t="str">
        <f t="array" ref="D1347">XLOOKUP(A1347,Data!F:F,Data!C:C)</f>
        <v/>
      </c>
      <c r="E1347" s="19" t="str">
        <f t="array" ref="E1347">XLOOKUP(A1347,Data!F:F,Data!H:H)</f>
        <v>BW</v>
      </c>
      <c r="F1347" s="106" t="str">
        <f>SUMIFS(Data!J:J,Data!F:F,A1347)</f>
        <v>1</v>
      </c>
      <c r="G1347" s="106" t="str">
        <f>SUMIFS(Cast!C:C,CastElements,A1347)</f>
        <v>1</v>
      </c>
      <c r="H1347" s="106" t="str">
        <f t="shared" si="4"/>
        <v>0</v>
      </c>
      <c r="I1347" s="106" t="str">
        <f>SUMIFS(Del!C:C,Del!B:B,A1347)</f>
        <v>0</v>
      </c>
      <c r="J1347" s="106" t="str">
        <f t="shared" si="5"/>
        <v>1</v>
      </c>
      <c r="K1347" s="106" t="str">
        <f t="shared" si="6"/>
        <v>1</v>
      </c>
      <c r="L1347" s="106"/>
      <c r="M1347" s="106" t="str">
        <f>SUMIFS(Ere!C:C,Ere!B:B,A1347)</f>
        <v>0</v>
      </c>
      <c r="N1347" s="106" t="str">
        <f t="shared" si="7"/>
        <v>1</v>
      </c>
      <c r="O1347" s="107" t="str">
        <f t="array" ref="O1347">XLOOKUP(A1347,Data!F:F,Data!O:O)</f>
        <v>  2.98 </v>
      </c>
      <c r="P1347" s="107" t="str">
        <f t="shared" si="8"/>
        <v>  7.45 </v>
      </c>
      <c r="Q1347" s="27"/>
    </row>
    <row r="1348" ht="15.75" customHeight="1">
      <c r="A1348" s="105" t="s">
        <v>1592</v>
      </c>
      <c r="B1348" s="19" t="str">
        <f t="array" ref="B1348">XLOOKUP(A1348,Data!F:F,Data!G:G)</f>
        <v>J1D</v>
      </c>
      <c r="C1348" s="19" t="str">
        <f t="shared" si="3"/>
        <v>J098</v>
      </c>
      <c r="D1348" s="19" t="str">
        <f t="array" ref="D1348">XLOOKUP(A1348,Data!F:F,Data!C:C)</f>
        <v/>
      </c>
      <c r="E1348" s="19" t="str">
        <f t="array" ref="E1348">XLOOKUP(A1348,Data!F:F,Data!H:H)</f>
        <v>BW</v>
      </c>
      <c r="F1348" s="106" t="str">
        <f>SUMIFS(Data!J:J,Data!F:F,A1348)</f>
        <v>1</v>
      </c>
      <c r="G1348" s="106" t="str">
        <f>SUMIFS(Cast!C:C,CastElements,A1348)</f>
        <v>1</v>
      </c>
      <c r="H1348" s="106" t="str">
        <f t="shared" si="4"/>
        <v>0</v>
      </c>
      <c r="I1348" s="106" t="str">
        <f>SUMIFS(Del!C:C,Del!B:B,A1348)</f>
        <v>0</v>
      </c>
      <c r="J1348" s="106" t="str">
        <f t="shared" si="5"/>
        <v>1</v>
      </c>
      <c r="K1348" s="106" t="str">
        <f t="shared" si="6"/>
        <v>1</v>
      </c>
      <c r="L1348" s="106"/>
      <c r="M1348" s="106" t="str">
        <f>SUMIFS(Ere!C:C,Ere!B:B,A1348)</f>
        <v>0</v>
      </c>
      <c r="N1348" s="106" t="str">
        <f t="shared" si="7"/>
        <v>1</v>
      </c>
      <c r="O1348" s="107" t="str">
        <f t="array" ref="O1348">XLOOKUP(A1348,Data!F:F,Data!O:O)</f>
        <v>  2.01 </v>
      </c>
      <c r="P1348" s="107" t="str">
        <f t="shared" si="8"/>
        <v>  5.03 </v>
      </c>
      <c r="Q1348" s="27"/>
    </row>
    <row r="1349" ht="15.75" customHeight="1">
      <c r="A1349" s="105" t="s">
        <v>1593</v>
      </c>
      <c r="B1349" s="19" t="str">
        <f t="array" ref="B1349">XLOOKUP(A1349,Data!F:F,Data!G:G)</f>
        <v>J1D</v>
      </c>
      <c r="C1349" s="19" t="str">
        <f t="shared" si="3"/>
        <v>J098</v>
      </c>
      <c r="D1349" s="19" t="str">
        <f t="array" ref="D1349">XLOOKUP(A1349,Data!F:F,Data!C:C)</f>
        <v/>
      </c>
      <c r="E1349" s="19" t="str">
        <f t="array" ref="E1349">XLOOKUP(A1349,Data!F:F,Data!H:H)</f>
        <v>BW</v>
      </c>
      <c r="F1349" s="106" t="str">
        <f>SUMIFS(Data!J:J,Data!F:F,A1349)</f>
        <v>1</v>
      </c>
      <c r="G1349" s="106" t="str">
        <f>SUMIFS(Cast!C:C,CastElements,A1349)</f>
        <v>1</v>
      </c>
      <c r="H1349" s="106" t="str">
        <f t="shared" si="4"/>
        <v>0</v>
      </c>
      <c r="I1349" s="106" t="str">
        <f>SUMIFS(Del!C:C,Del!B:B,A1349)</f>
        <v>0</v>
      </c>
      <c r="J1349" s="106" t="str">
        <f t="shared" si="5"/>
        <v>1</v>
      </c>
      <c r="K1349" s="106" t="str">
        <f t="shared" si="6"/>
        <v>1</v>
      </c>
      <c r="L1349" s="106"/>
      <c r="M1349" s="106" t="str">
        <f>SUMIFS(Ere!C:C,Ere!B:B,A1349)</f>
        <v>0</v>
      </c>
      <c r="N1349" s="106" t="str">
        <f t="shared" si="7"/>
        <v>1</v>
      </c>
      <c r="O1349" s="107" t="str">
        <f t="array" ref="O1349">XLOOKUP(A1349,Data!F:F,Data!O:O)</f>
        <v>  1.57 </v>
      </c>
      <c r="P1349" s="107" t="str">
        <f t="shared" si="8"/>
        <v>  3.93 </v>
      </c>
      <c r="Q1349" s="27"/>
    </row>
    <row r="1350" ht="15.75" customHeight="1">
      <c r="A1350" s="105" t="s">
        <v>1594</v>
      </c>
      <c r="B1350" s="19" t="str">
        <f t="array" ref="B1350">XLOOKUP(A1350,Data!F:F,Data!G:G)</f>
        <v>J1D</v>
      </c>
      <c r="C1350" s="19" t="str">
        <f t="shared" si="3"/>
        <v>J098</v>
      </c>
      <c r="D1350" s="19" t="str">
        <f t="array" ref="D1350">XLOOKUP(A1350,Data!F:F,Data!C:C)</f>
        <v>EXT</v>
      </c>
      <c r="E1350" s="19" t="str">
        <f t="array" ref="E1350">XLOOKUP(A1350,Data!F:F,Data!H:H)</f>
        <v>BW</v>
      </c>
      <c r="F1350" s="106" t="str">
        <f>SUMIFS(Data!J:J,Data!F:F,A1350)</f>
        <v>1</v>
      </c>
      <c r="G1350" s="106" t="str">
        <f>SUMIFS(Cast!C:C,CastElements,A1350)</f>
        <v>0</v>
      </c>
      <c r="H1350" s="106" t="str">
        <f t="shared" si="4"/>
        <v>1</v>
      </c>
      <c r="I1350" s="106" t="str">
        <f>SUMIFS(Del!C:C,Del!B:B,A1350)</f>
        <v>0</v>
      </c>
      <c r="J1350" s="106" t="str">
        <f t="shared" si="5"/>
        <v>1</v>
      </c>
      <c r="K1350" s="106" t="str">
        <f t="shared" si="6"/>
        <v>0</v>
      </c>
      <c r="L1350" s="106"/>
      <c r="M1350" s="106" t="str">
        <f>SUMIFS(Ere!C:C,Ere!B:B,A1350)</f>
        <v>0</v>
      </c>
      <c r="N1350" s="106" t="str">
        <f t="shared" si="7"/>
        <v>1</v>
      </c>
      <c r="O1350" s="107" t="str">
        <f t="array" ref="O1350">XLOOKUP(A1350,Data!F:F,Data!O:O)</f>
        <v>  0.77 </v>
      </c>
      <c r="P1350" s="107" t="str">
        <f t="shared" si="8"/>
        <v>  1.93 </v>
      </c>
      <c r="Q1350" s="27"/>
    </row>
    <row r="1351" ht="15.75" customHeight="1">
      <c r="A1351" s="105" t="s">
        <v>1595</v>
      </c>
      <c r="B1351" s="19" t="str">
        <f t="array" ref="B1351">XLOOKUP(A1351,Data!F:F,Data!G:G)</f>
        <v>J1D</v>
      </c>
      <c r="C1351" s="19" t="str">
        <f t="shared" si="3"/>
        <v>J098</v>
      </c>
      <c r="D1351" s="19" t="str">
        <f t="array" ref="D1351">XLOOKUP(A1351,Data!F:F,Data!C:C)</f>
        <v>EXT</v>
      </c>
      <c r="E1351" s="19" t="str">
        <f t="array" ref="E1351">XLOOKUP(A1351,Data!F:F,Data!H:H)</f>
        <v>BW</v>
      </c>
      <c r="F1351" s="106" t="str">
        <f>SUMIFS(Data!J:J,Data!F:F,A1351)</f>
        <v>1</v>
      </c>
      <c r="G1351" s="106" t="str">
        <f>SUMIFS(Cast!C:C,CastElements,A1351)</f>
        <v>0</v>
      </c>
      <c r="H1351" s="106" t="str">
        <f t="shared" si="4"/>
        <v>1</v>
      </c>
      <c r="I1351" s="106" t="str">
        <f>SUMIFS(Del!C:C,Del!B:B,A1351)</f>
        <v>0</v>
      </c>
      <c r="J1351" s="106" t="str">
        <f t="shared" si="5"/>
        <v>1</v>
      </c>
      <c r="K1351" s="106" t="str">
        <f t="shared" si="6"/>
        <v>0</v>
      </c>
      <c r="L1351" s="106"/>
      <c r="M1351" s="106" t="str">
        <f>SUMIFS(Ere!C:C,Ere!B:B,A1351)</f>
        <v>0</v>
      </c>
      <c r="N1351" s="106" t="str">
        <f t="shared" si="7"/>
        <v>1</v>
      </c>
      <c r="O1351" s="107" t="str">
        <f t="array" ref="O1351">XLOOKUP(A1351,Data!F:F,Data!O:O)</f>
        <v>  0.51 </v>
      </c>
      <c r="P1351" s="107" t="str">
        <f t="shared" si="8"/>
        <v>  1.28 </v>
      </c>
      <c r="Q1351" s="27"/>
    </row>
    <row r="1352" ht="15.75" customHeight="1">
      <c r="A1352" s="105" t="s">
        <v>1596</v>
      </c>
      <c r="B1352" s="19" t="str">
        <f t="array" ref="B1352">XLOOKUP(A1352,Data!F:F,Data!G:G)</f>
        <v>J1D</v>
      </c>
      <c r="C1352" s="19" t="str">
        <f t="shared" si="3"/>
        <v>J098</v>
      </c>
      <c r="D1352" s="19" t="str">
        <f t="array" ref="D1352">XLOOKUP(A1352,Data!F:F,Data!C:C)</f>
        <v/>
      </c>
      <c r="E1352" s="19" t="str">
        <f t="array" ref="E1352">XLOOKUP(A1352,Data!F:F,Data!H:H)</f>
        <v>BW</v>
      </c>
      <c r="F1352" s="106" t="str">
        <f>SUMIFS(Data!J:J,Data!F:F,A1352)</f>
        <v>1</v>
      </c>
      <c r="G1352" s="106" t="str">
        <f>SUMIFS(Cast!C:C,CastElements,A1352)</f>
        <v>1</v>
      </c>
      <c r="H1352" s="106" t="str">
        <f t="shared" si="4"/>
        <v>0</v>
      </c>
      <c r="I1352" s="106" t="str">
        <f>SUMIFS(Del!C:C,Del!B:B,A1352)</f>
        <v>0</v>
      </c>
      <c r="J1352" s="106" t="str">
        <f t="shared" si="5"/>
        <v>1</v>
      </c>
      <c r="K1352" s="106" t="str">
        <f t="shared" si="6"/>
        <v>1</v>
      </c>
      <c r="L1352" s="106"/>
      <c r="M1352" s="106" t="str">
        <f>SUMIFS(Ere!C:C,Ere!B:B,A1352)</f>
        <v>0</v>
      </c>
      <c r="N1352" s="106" t="str">
        <f t="shared" si="7"/>
        <v>1</v>
      </c>
      <c r="O1352" s="107" t="str">
        <f t="array" ref="O1352">XLOOKUP(A1352,Data!F:F,Data!O:O)</f>
        <v>  0.37 </v>
      </c>
      <c r="P1352" s="107" t="str">
        <f t="shared" si="8"/>
        <v>  0.93 </v>
      </c>
      <c r="Q1352" s="27"/>
    </row>
    <row r="1353" ht="15.75" customHeight="1">
      <c r="A1353" s="105" t="s">
        <v>1597</v>
      </c>
      <c r="B1353" s="19" t="str">
        <f t="array" ref="B1353">XLOOKUP(A1353,Data!F:F,Data!G:G)</f>
        <v>J1D</v>
      </c>
      <c r="C1353" s="19" t="str">
        <f t="shared" si="3"/>
        <v>J099</v>
      </c>
      <c r="D1353" s="19" t="str">
        <f t="array" ref="D1353">XLOOKUP(A1353,Data!F:F,Data!C:C)</f>
        <v>EXT</v>
      </c>
      <c r="E1353" s="19" t="str">
        <f t="array" ref="E1353">XLOOKUP(A1353,Data!F:F,Data!H:H)</f>
        <v>BW</v>
      </c>
      <c r="F1353" s="106" t="str">
        <f>SUMIFS(Data!J:J,Data!F:F,A1353)</f>
        <v>1</v>
      </c>
      <c r="G1353" s="106" t="str">
        <f>SUMIFS(Cast!C:C,CastElements,A1353)</f>
        <v>0</v>
      </c>
      <c r="H1353" s="106" t="str">
        <f t="shared" si="4"/>
        <v>1</v>
      </c>
      <c r="I1353" s="106" t="str">
        <f>SUMIFS(Del!C:C,Del!B:B,A1353)</f>
        <v>0</v>
      </c>
      <c r="J1353" s="106" t="str">
        <f t="shared" si="5"/>
        <v>1</v>
      </c>
      <c r="K1353" s="106" t="str">
        <f t="shared" si="6"/>
        <v>0</v>
      </c>
      <c r="L1353" s="106"/>
      <c r="M1353" s="106" t="str">
        <f>SUMIFS(Ere!C:C,Ere!B:B,A1353)</f>
        <v>0</v>
      </c>
      <c r="N1353" s="106" t="str">
        <f t="shared" si="7"/>
        <v>1</v>
      </c>
      <c r="O1353" s="107" t="str">
        <f t="array" ref="O1353">XLOOKUP(A1353,Data!F:F,Data!O:O)</f>
        <v>  0.98 </v>
      </c>
      <c r="P1353" s="107" t="str">
        <f t="shared" si="8"/>
        <v>  2.45 </v>
      </c>
      <c r="Q1353" s="27"/>
    </row>
    <row r="1354" ht="15.75" customHeight="1">
      <c r="A1354" s="105" t="s">
        <v>1598</v>
      </c>
      <c r="B1354" s="19" t="str">
        <f t="array" ref="B1354">XLOOKUP(A1354,Data!F:F,Data!G:G)</f>
        <v>J1D</v>
      </c>
      <c r="C1354" s="19" t="str">
        <f t="shared" si="3"/>
        <v>J099</v>
      </c>
      <c r="D1354" s="19" t="str">
        <f t="array" ref="D1354">XLOOKUP(A1354,Data!F:F,Data!C:C)</f>
        <v/>
      </c>
      <c r="E1354" s="19" t="str">
        <f t="array" ref="E1354">XLOOKUP(A1354,Data!F:F,Data!H:H)</f>
        <v>BW</v>
      </c>
      <c r="F1354" s="106" t="str">
        <f>SUMIFS(Data!J:J,Data!F:F,A1354)</f>
        <v>1</v>
      </c>
      <c r="G1354" s="106" t="str">
        <f>SUMIFS(Cast!C:C,CastElements,A1354)</f>
        <v>1</v>
      </c>
      <c r="H1354" s="106" t="str">
        <f t="shared" si="4"/>
        <v>0</v>
      </c>
      <c r="I1354" s="106" t="str">
        <f>SUMIFS(Del!C:C,Del!B:B,A1354)</f>
        <v>1</v>
      </c>
      <c r="J1354" s="106" t="str">
        <f t="shared" si="5"/>
        <v>0</v>
      </c>
      <c r="K1354" s="106" t="str">
        <f t="shared" si="6"/>
        <v>0</v>
      </c>
      <c r="L1354" s="106"/>
      <c r="M1354" s="106" t="str">
        <f>SUMIFS(Ere!C:C,Ere!B:B,A1354)</f>
        <v>1</v>
      </c>
      <c r="N1354" s="106" t="str">
        <f t="shared" si="7"/>
        <v>0</v>
      </c>
      <c r="O1354" s="107" t="str">
        <f t="array" ref="O1354">XLOOKUP(A1354,Data!F:F,Data!O:O)</f>
        <v>  1.90 </v>
      </c>
      <c r="P1354" s="107" t="str">
        <f t="shared" si="8"/>
        <v>  4.75 </v>
      </c>
      <c r="Q1354" s="27"/>
    </row>
    <row r="1355" ht="15.75" customHeight="1">
      <c r="A1355" s="105" t="s">
        <v>1599</v>
      </c>
      <c r="B1355" s="19" t="str">
        <f t="array" ref="B1355">XLOOKUP(A1355,Data!F:F,Data!G:G)</f>
        <v>J1D</v>
      </c>
      <c r="C1355" s="19" t="str">
        <f t="shared" si="3"/>
        <v>J099</v>
      </c>
      <c r="D1355" s="19" t="str">
        <f t="array" ref="D1355">XLOOKUP(A1355,Data!F:F,Data!C:C)</f>
        <v/>
      </c>
      <c r="E1355" s="19" t="str">
        <f t="array" ref="E1355">XLOOKUP(A1355,Data!F:F,Data!H:H)</f>
        <v>BW</v>
      </c>
      <c r="F1355" s="106" t="str">
        <f>SUMIFS(Data!J:J,Data!F:F,A1355)</f>
        <v>1</v>
      </c>
      <c r="G1355" s="106" t="str">
        <f>SUMIFS(Cast!C:C,CastElements,A1355)</f>
        <v>1</v>
      </c>
      <c r="H1355" s="106" t="str">
        <f t="shared" si="4"/>
        <v>0</v>
      </c>
      <c r="I1355" s="106" t="str">
        <f>SUMIFS(Del!C:C,Del!B:B,A1355)</f>
        <v>1</v>
      </c>
      <c r="J1355" s="106" t="str">
        <f t="shared" si="5"/>
        <v>0</v>
      </c>
      <c r="K1355" s="106" t="str">
        <f t="shared" si="6"/>
        <v>0</v>
      </c>
      <c r="L1355" s="106"/>
      <c r="M1355" s="106" t="str">
        <f>SUMIFS(Ere!C:C,Ere!B:B,A1355)</f>
        <v>1</v>
      </c>
      <c r="N1355" s="106" t="str">
        <f t="shared" si="7"/>
        <v>0</v>
      </c>
      <c r="O1355" s="107" t="str">
        <f t="array" ref="O1355">XLOOKUP(A1355,Data!F:F,Data!O:O)</f>
        <v>  1.90 </v>
      </c>
      <c r="P1355" s="107" t="str">
        <f t="shared" si="8"/>
        <v>  4.75 </v>
      </c>
      <c r="Q1355" s="27"/>
    </row>
    <row r="1356" ht="15.75" customHeight="1">
      <c r="A1356" s="105" t="s">
        <v>1600</v>
      </c>
      <c r="B1356" s="19" t="str">
        <f t="array" ref="B1356">XLOOKUP(A1356,Data!F:F,Data!G:G)</f>
        <v>J1D</v>
      </c>
      <c r="C1356" s="19" t="str">
        <f t="shared" si="3"/>
        <v>J099</v>
      </c>
      <c r="D1356" s="19" t="str">
        <f t="array" ref="D1356">XLOOKUP(A1356,Data!F:F,Data!C:C)</f>
        <v/>
      </c>
      <c r="E1356" s="19" t="str">
        <f t="array" ref="E1356">XLOOKUP(A1356,Data!F:F,Data!H:H)</f>
        <v>BW</v>
      </c>
      <c r="F1356" s="106" t="str">
        <f>SUMIFS(Data!J:J,Data!F:F,A1356)</f>
        <v>1</v>
      </c>
      <c r="G1356" s="106" t="str">
        <f>SUMIFS(Cast!C:C,CastElements,A1356)</f>
        <v>1</v>
      </c>
      <c r="H1356" s="106" t="str">
        <f t="shared" si="4"/>
        <v>0</v>
      </c>
      <c r="I1356" s="106" t="str">
        <f>SUMIFS(Del!C:C,Del!B:B,A1356)</f>
        <v>1</v>
      </c>
      <c r="J1356" s="106" t="str">
        <f t="shared" si="5"/>
        <v>0</v>
      </c>
      <c r="K1356" s="106" t="str">
        <f t="shared" si="6"/>
        <v>0</v>
      </c>
      <c r="L1356" s="106"/>
      <c r="M1356" s="106" t="str">
        <f>SUMIFS(Ere!C:C,Ere!B:B,A1356)</f>
        <v>1</v>
      </c>
      <c r="N1356" s="106" t="str">
        <f t="shared" si="7"/>
        <v>0</v>
      </c>
      <c r="O1356" s="107" t="str">
        <f t="array" ref="O1356">XLOOKUP(A1356,Data!F:F,Data!O:O)</f>
        <v>  1.90 </v>
      </c>
      <c r="P1356" s="107" t="str">
        <f t="shared" si="8"/>
        <v>  4.75 </v>
      </c>
      <c r="Q1356" s="27"/>
    </row>
    <row r="1357" ht="15.75" customHeight="1">
      <c r="A1357" s="105" t="s">
        <v>1601</v>
      </c>
      <c r="B1357" s="19" t="str">
        <f t="array" ref="B1357">XLOOKUP(A1357,Data!F:F,Data!G:G)</f>
        <v>J1D</v>
      </c>
      <c r="C1357" s="19" t="str">
        <f t="shared" si="3"/>
        <v>J099</v>
      </c>
      <c r="D1357" s="19" t="str">
        <f t="array" ref="D1357">XLOOKUP(A1357,Data!F:F,Data!C:C)</f>
        <v/>
      </c>
      <c r="E1357" s="19" t="str">
        <f t="array" ref="E1357">XLOOKUP(A1357,Data!F:F,Data!H:H)</f>
        <v>BW</v>
      </c>
      <c r="F1357" s="106" t="str">
        <f>SUMIFS(Data!J:J,Data!F:F,A1357)</f>
        <v>1</v>
      </c>
      <c r="G1357" s="106" t="str">
        <f>SUMIFS(Cast!C:C,CastElements,A1357)</f>
        <v>1</v>
      </c>
      <c r="H1357" s="106" t="str">
        <f t="shared" si="4"/>
        <v>0</v>
      </c>
      <c r="I1357" s="106" t="str">
        <f>SUMIFS(Del!C:C,Del!B:B,A1357)</f>
        <v>0</v>
      </c>
      <c r="J1357" s="106" t="str">
        <f t="shared" si="5"/>
        <v>1</v>
      </c>
      <c r="K1357" s="106" t="str">
        <f t="shared" si="6"/>
        <v>1</v>
      </c>
      <c r="L1357" s="106"/>
      <c r="M1357" s="106" t="str">
        <f>SUMIFS(Ere!C:C,Ere!B:B,A1357)</f>
        <v>0</v>
      </c>
      <c r="N1357" s="106" t="str">
        <f t="shared" si="7"/>
        <v>1</v>
      </c>
      <c r="O1357" s="107" t="str">
        <f t="array" ref="O1357">XLOOKUP(A1357,Data!F:F,Data!O:O)</f>
        <v>  1.90 </v>
      </c>
      <c r="P1357" s="107" t="str">
        <f t="shared" si="8"/>
        <v>  4.75 </v>
      </c>
      <c r="Q1357" s="27"/>
    </row>
    <row r="1358" ht="15.75" customHeight="1">
      <c r="A1358" s="105" t="s">
        <v>1602</v>
      </c>
      <c r="B1358" s="19" t="str">
        <f t="array" ref="B1358">XLOOKUP(A1358,Data!F:F,Data!G:G)</f>
        <v>J1D</v>
      </c>
      <c r="C1358" s="19" t="str">
        <f t="shared" si="3"/>
        <v>J099</v>
      </c>
      <c r="D1358" s="19" t="str">
        <f t="array" ref="D1358">XLOOKUP(A1358,Data!F:F,Data!C:C)</f>
        <v/>
      </c>
      <c r="E1358" s="19" t="str">
        <f t="array" ref="E1358">XLOOKUP(A1358,Data!F:F,Data!H:H)</f>
        <v>BW</v>
      </c>
      <c r="F1358" s="106" t="str">
        <f>SUMIFS(Data!J:J,Data!F:F,A1358)</f>
        <v>1</v>
      </c>
      <c r="G1358" s="106" t="str">
        <f>SUMIFS(Cast!C:C,CastElements,A1358)</f>
        <v>1</v>
      </c>
      <c r="H1358" s="106" t="str">
        <f t="shared" si="4"/>
        <v>0</v>
      </c>
      <c r="I1358" s="106" t="str">
        <f>SUMIFS(Del!C:C,Del!B:B,A1358)</f>
        <v>1</v>
      </c>
      <c r="J1358" s="106" t="str">
        <f t="shared" si="5"/>
        <v>0</v>
      </c>
      <c r="K1358" s="106" t="str">
        <f t="shared" si="6"/>
        <v>0</v>
      </c>
      <c r="L1358" s="106"/>
      <c r="M1358" s="106" t="str">
        <f>SUMIFS(Ere!C:C,Ere!B:B,A1358)</f>
        <v>1</v>
      </c>
      <c r="N1358" s="106" t="str">
        <f t="shared" si="7"/>
        <v>0</v>
      </c>
      <c r="O1358" s="107" t="str">
        <f t="array" ref="O1358">XLOOKUP(A1358,Data!F:F,Data!O:O)</f>
        <v>  2.32 </v>
      </c>
      <c r="P1358" s="107" t="str">
        <f t="shared" si="8"/>
        <v>  5.80 </v>
      </c>
      <c r="Q1358" s="27"/>
    </row>
    <row r="1359" ht="15.75" customHeight="1">
      <c r="A1359" s="105" t="s">
        <v>1603</v>
      </c>
      <c r="B1359" s="19" t="str">
        <f t="array" ref="B1359">XLOOKUP(A1359,Data!F:F,Data!G:G)</f>
        <v>J1D</v>
      </c>
      <c r="C1359" s="19" t="str">
        <f t="shared" si="3"/>
        <v>J099</v>
      </c>
      <c r="D1359" s="19" t="str">
        <f t="array" ref="D1359">XLOOKUP(A1359,Data!F:F,Data!C:C)</f>
        <v/>
      </c>
      <c r="E1359" s="19" t="str">
        <f t="array" ref="E1359">XLOOKUP(A1359,Data!F:F,Data!H:H)</f>
        <v>BW</v>
      </c>
      <c r="F1359" s="106" t="str">
        <f>SUMIFS(Data!J:J,Data!F:F,A1359)</f>
        <v>1</v>
      </c>
      <c r="G1359" s="106" t="str">
        <f>SUMIFS(Cast!C:C,CastElements,A1359)</f>
        <v>1</v>
      </c>
      <c r="H1359" s="106" t="str">
        <f t="shared" si="4"/>
        <v>0</v>
      </c>
      <c r="I1359" s="106" t="str">
        <f>SUMIFS(Del!C:C,Del!B:B,A1359)</f>
        <v>1</v>
      </c>
      <c r="J1359" s="106" t="str">
        <f t="shared" si="5"/>
        <v>0</v>
      </c>
      <c r="K1359" s="106" t="str">
        <f t="shared" si="6"/>
        <v>0</v>
      </c>
      <c r="L1359" s="106"/>
      <c r="M1359" s="106" t="str">
        <f>SUMIFS(Ere!C:C,Ere!B:B,A1359)</f>
        <v>1</v>
      </c>
      <c r="N1359" s="106" t="str">
        <f t="shared" si="7"/>
        <v>0</v>
      </c>
      <c r="O1359" s="107" t="str">
        <f t="array" ref="O1359">XLOOKUP(A1359,Data!F:F,Data!O:O)</f>
        <v>  2.32 </v>
      </c>
      <c r="P1359" s="107" t="str">
        <f t="shared" si="8"/>
        <v>  5.80 </v>
      </c>
      <c r="Q1359" s="27"/>
    </row>
    <row r="1360" ht="15.75" customHeight="1">
      <c r="A1360" s="105" t="s">
        <v>1604</v>
      </c>
      <c r="B1360" s="19" t="str">
        <f t="array" ref="B1360">XLOOKUP(A1360,Data!F:F,Data!G:G)</f>
        <v>J1D</v>
      </c>
      <c r="C1360" s="19" t="str">
        <f t="shared" si="3"/>
        <v>J099</v>
      </c>
      <c r="D1360" s="19" t="str">
        <f t="array" ref="D1360">XLOOKUP(A1360,Data!F:F,Data!C:C)</f>
        <v/>
      </c>
      <c r="E1360" s="19" t="str">
        <f t="array" ref="E1360">XLOOKUP(A1360,Data!F:F,Data!H:H)</f>
        <v>BW</v>
      </c>
      <c r="F1360" s="106" t="str">
        <f>SUMIFS(Data!J:J,Data!F:F,A1360)</f>
        <v>1</v>
      </c>
      <c r="G1360" s="106" t="str">
        <f>SUMIFS(Cast!C:C,CastElements,A1360)</f>
        <v>1</v>
      </c>
      <c r="H1360" s="106" t="str">
        <f t="shared" si="4"/>
        <v>0</v>
      </c>
      <c r="I1360" s="106" t="str">
        <f>SUMIFS(Del!C:C,Del!B:B,A1360)</f>
        <v>1</v>
      </c>
      <c r="J1360" s="106" t="str">
        <f t="shared" si="5"/>
        <v>0</v>
      </c>
      <c r="K1360" s="106" t="str">
        <f t="shared" si="6"/>
        <v>0</v>
      </c>
      <c r="L1360" s="106"/>
      <c r="M1360" s="106" t="str">
        <f>SUMIFS(Ere!C:C,Ere!B:B,A1360)</f>
        <v>1</v>
      </c>
      <c r="N1360" s="106" t="str">
        <f t="shared" si="7"/>
        <v>0</v>
      </c>
      <c r="O1360" s="107" t="str">
        <f t="array" ref="O1360">XLOOKUP(A1360,Data!F:F,Data!O:O)</f>
        <v>  2.32 </v>
      </c>
      <c r="P1360" s="107" t="str">
        <f t="shared" si="8"/>
        <v>  5.80 </v>
      </c>
      <c r="Q1360" s="27"/>
    </row>
    <row r="1361" ht="15.75" customHeight="1">
      <c r="A1361" s="105" t="s">
        <v>1605</v>
      </c>
      <c r="B1361" s="19" t="str">
        <f t="array" ref="B1361">XLOOKUP(A1361,Data!F:F,Data!G:G)</f>
        <v>J1D</v>
      </c>
      <c r="C1361" s="19" t="str">
        <f t="shared" si="3"/>
        <v>J099</v>
      </c>
      <c r="D1361" s="19" t="str">
        <f t="array" ref="D1361">XLOOKUP(A1361,Data!F:F,Data!C:C)</f>
        <v/>
      </c>
      <c r="E1361" s="19" t="str">
        <f t="array" ref="E1361">XLOOKUP(A1361,Data!F:F,Data!H:H)</f>
        <v>BW</v>
      </c>
      <c r="F1361" s="106" t="str">
        <f>SUMIFS(Data!J:J,Data!F:F,A1361)</f>
        <v>1</v>
      </c>
      <c r="G1361" s="106" t="str">
        <f>SUMIFS(Cast!C:C,CastElements,A1361)</f>
        <v>1</v>
      </c>
      <c r="H1361" s="106" t="str">
        <f t="shared" si="4"/>
        <v>0</v>
      </c>
      <c r="I1361" s="106" t="str">
        <f>SUMIFS(Del!C:C,Del!B:B,A1361)</f>
        <v>0</v>
      </c>
      <c r="J1361" s="106" t="str">
        <f t="shared" si="5"/>
        <v>1</v>
      </c>
      <c r="K1361" s="106" t="str">
        <f t="shared" si="6"/>
        <v>1</v>
      </c>
      <c r="L1361" s="106"/>
      <c r="M1361" s="106" t="str">
        <f>SUMIFS(Ere!C:C,Ere!B:B,A1361)</f>
        <v>0</v>
      </c>
      <c r="N1361" s="106" t="str">
        <f t="shared" si="7"/>
        <v>1</v>
      </c>
      <c r="O1361" s="107" t="str">
        <f t="array" ref="O1361">XLOOKUP(A1361,Data!F:F,Data!O:O)</f>
        <v>  0.41 </v>
      </c>
      <c r="P1361" s="107" t="str">
        <f t="shared" si="8"/>
        <v>  1.03 </v>
      </c>
      <c r="Q1361" s="27"/>
    </row>
    <row r="1362" ht="15.75" customHeight="1">
      <c r="A1362" s="105" t="s">
        <v>1606</v>
      </c>
      <c r="B1362" s="19" t="str">
        <f t="array" ref="B1362">XLOOKUP(A1362,Data!F:F,Data!G:G)</f>
        <v>J1D</v>
      </c>
      <c r="C1362" s="19" t="str">
        <f t="shared" si="3"/>
        <v>J099</v>
      </c>
      <c r="D1362" s="19" t="str">
        <f t="array" ref="D1362">XLOOKUP(A1362,Data!F:F,Data!C:C)</f>
        <v/>
      </c>
      <c r="E1362" s="19" t="str">
        <f t="array" ref="E1362">XLOOKUP(A1362,Data!F:F,Data!H:H)</f>
        <v>BW</v>
      </c>
      <c r="F1362" s="106" t="str">
        <f>SUMIFS(Data!J:J,Data!F:F,A1362)</f>
        <v>1</v>
      </c>
      <c r="G1362" s="106" t="str">
        <f>SUMIFS(Cast!C:C,CastElements,A1362)</f>
        <v>1</v>
      </c>
      <c r="H1362" s="106" t="str">
        <f t="shared" si="4"/>
        <v>0</v>
      </c>
      <c r="I1362" s="106" t="str">
        <f>SUMIFS(Del!C:C,Del!B:B,A1362)</f>
        <v>0</v>
      </c>
      <c r="J1362" s="106" t="str">
        <f t="shared" si="5"/>
        <v>1</v>
      </c>
      <c r="K1362" s="106" t="str">
        <f t="shared" si="6"/>
        <v>1</v>
      </c>
      <c r="L1362" s="106"/>
      <c r="M1362" s="106" t="str">
        <f>SUMIFS(Ere!C:C,Ere!B:B,A1362)</f>
        <v>0</v>
      </c>
      <c r="N1362" s="106" t="str">
        <f t="shared" si="7"/>
        <v>1</v>
      </c>
      <c r="O1362" s="107" t="str">
        <f t="array" ref="O1362">XLOOKUP(A1362,Data!F:F,Data!O:O)</f>
        <v>  0.86 </v>
      </c>
      <c r="P1362" s="107" t="str">
        <f t="shared" si="8"/>
        <v>  2.16 </v>
      </c>
      <c r="Q1362" s="27"/>
    </row>
    <row r="1363" ht="15.75" customHeight="1">
      <c r="A1363" s="105" t="s">
        <v>1607</v>
      </c>
      <c r="B1363" s="19" t="str">
        <f t="array" ref="B1363">XLOOKUP(A1363,Data!F:F,Data!G:G)</f>
        <v>J1D</v>
      </c>
      <c r="C1363" s="19" t="str">
        <f t="shared" si="3"/>
        <v>J099</v>
      </c>
      <c r="D1363" s="19" t="str">
        <f t="array" ref="D1363">XLOOKUP(A1363,Data!F:F,Data!C:C)</f>
        <v/>
      </c>
      <c r="E1363" s="19" t="str">
        <f t="array" ref="E1363">XLOOKUP(A1363,Data!F:F,Data!H:H)</f>
        <v>CF</v>
      </c>
      <c r="F1363" s="106" t="str">
        <f>SUMIFS(Data!J:J,Data!F:F,A1363)</f>
        <v>1</v>
      </c>
      <c r="G1363" s="106" t="str">
        <f>SUMIFS(Cast!C:C,CastElements,A1363)</f>
        <v>0</v>
      </c>
      <c r="H1363" s="106" t="str">
        <f t="shared" si="4"/>
        <v>1</v>
      </c>
      <c r="I1363" s="106" t="str">
        <f>SUMIFS(Del!C:C,Del!B:B,A1363)</f>
        <v>0</v>
      </c>
      <c r="J1363" s="106" t="str">
        <f t="shared" si="5"/>
        <v>1</v>
      </c>
      <c r="K1363" s="106" t="str">
        <f t="shared" si="6"/>
        <v>0</v>
      </c>
      <c r="L1363" s="106"/>
      <c r="M1363" s="106" t="str">
        <f>SUMIFS(Ere!C:C,Ere!B:B,A1363)</f>
        <v>0</v>
      </c>
      <c r="N1363" s="106" t="str">
        <f t="shared" si="7"/>
        <v>1</v>
      </c>
      <c r="O1363" s="107" t="str">
        <f t="array" ref="O1363">XLOOKUP(A1363,Data!F:F,Data!O:O)</f>
        <v>  0.29 </v>
      </c>
      <c r="P1363" s="107" t="str">
        <f t="shared" si="8"/>
        <v>  0.73 </v>
      </c>
      <c r="Q1363" s="27"/>
    </row>
    <row r="1364" ht="15.75" customHeight="1">
      <c r="A1364" s="105" t="s">
        <v>1608</v>
      </c>
      <c r="B1364" s="19" t="str">
        <f t="array" ref="B1364">XLOOKUP(A1364,Data!F:F,Data!G:G)</f>
        <v>J1D</v>
      </c>
      <c r="C1364" s="19" t="str">
        <f t="shared" si="3"/>
        <v>J099</v>
      </c>
      <c r="D1364" s="19" t="str">
        <f t="array" ref="D1364">XLOOKUP(A1364,Data!F:F,Data!C:C)</f>
        <v/>
      </c>
      <c r="E1364" s="19" t="str">
        <f t="array" ref="E1364">XLOOKUP(A1364,Data!F:F,Data!H:H)</f>
        <v>CF</v>
      </c>
      <c r="F1364" s="106" t="str">
        <f>SUMIFS(Data!J:J,Data!F:F,A1364)</f>
        <v>1</v>
      </c>
      <c r="G1364" s="106" t="str">
        <f>SUMIFS(Cast!C:C,CastElements,A1364)</f>
        <v>1</v>
      </c>
      <c r="H1364" s="106" t="str">
        <f t="shared" si="4"/>
        <v>0</v>
      </c>
      <c r="I1364" s="106" t="str">
        <f>SUMIFS(Del!C:C,Del!B:B,A1364)</f>
        <v>0</v>
      </c>
      <c r="J1364" s="106" t="str">
        <f t="shared" si="5"/>
        <v>1</v>
      </c>
      <c r="K1364" s="106" t="str">
        <f t="shared" si="6"/>
        <v>1</v>
      </c>
      <c r="L1364" s="106"/>
      <c r="M1364" s="106" t="str">
        <f>SUMIFS(Ere!C:C,Ere!B:B,A1364)</f>
        <v>0</v>
      </c>
      <c r="N1364" s="106" t="str">
        <f t="shared" si="7"/>
        <v>1</v>
      </c>
      <c r="O1364" s="107" t="str">
        <f t="array" ref="O1364">XLOOKUP(A1364,Data!F:F,Data!O:O)</f>
        <v>  0.55 </v>
      </c>
      <c r="P1364" s="107" t="str">
        <f t="shared" si="8"/>
        <v>  1.37 </v>
      </c>
      <c r="Q1364" s="27"/>
    </row>
    <row r="1365" ht="15.75" customHeight="1">
      <c r="A1365" s="105" t="s">
        <v>1609</v>
      </c>
      <c r="B1365" s="19" t="str">
        <f t="array" ref="B1365">XLOOKUP(A1365,Data!F:F,Data!G:G)</f>
        <v>J1D</v>
      </c>
      <c r="C1365" s="19" t="str">
        <f t="shared" si="3"/>
        <v>J099</v>
      </c>
      <c r="D1365" s="19" t="str">
        <f t="array" ref="D1365">XLOOKUP(A1365,Data!F:F,Data!C:C)</f>
        <v/>
      </c>
      <c r="E1365" s="19" t="str">
        <f t="array" ref="E1365">XLOOKUP(A1365,Data!F:F,Data!H:H)</f>
        <v>BW</v>
      </c>
      <c r="F1365" s="106" t="str">
        <f>SUMIFS(Data!J:J,Data!F:F,A1365)</f>
        <v>1</v>
      </c>
      <c r="G1365" s="106" t="str">
        <f>SUMIFS(Cast!C:C,CastElements,A1365)</f>
        <v>1</v>
      </c>
      <c r="H1365" s="106" t="str">
        <f t="shared" si="4"/>
        <v>0</v>
      </c>
      <c r="I1365" s="106" t="str">
        <f>SUMIFS(Del!C:C,Del!B:B,A1365)</f>
        <v>0</v>
      </c>
      <c r="J1365" s="106" t="str">
        <f t="shared" si="5"/>
        <v>1</v>
      </c>
      <c r="K1365" s="106" t="str">
        <f t="shared" si="6"/>
        <v>1</v>
      </c>
      <c r="L1365" s="106"/>
      <c r="M1365" s="106" t="str">
        <f>SUMIFS(Ere!C:C,Ere!B:B,A1365)</f>
        <v>0</v>
      </c>
      <c r="N1365" s="106" t="str">
        <f t="shared" si="7"/>
        <v>1</v>
      </c>
      <c r="O1365" s="107" t="str">
        <f t="array" ref="O1365">XLOOKUP(A1365,Data!F:F,Data!O:O)</f>
        <v>  0.38 </v>
      </c>
      <c r="P1365" s="107" t="str">
        <f t="shared" si="8"/>
        <v>  0.95 </v>
      </c>
      <c r="Q1365" s="27"/>
    </row>
    <row r="1366" ht="15.75" customHeight="1">
      <c r="A1366" s="105" t="s">
        <v>1610</v>
      </c>
      <c r="B1366" s="19" t="str">
        <f t="array" ref="B1366">XLOOKUP(A1366,Data!F:F,Data!G:G)</f>
        <v>J1D</v>
      </c>
      <c r="C1366" s="19" t="str">
        <f t="shared" si="3"/>
        <v>J099</v>
      </c>
      <c r="D1366" s="19" t="str">
        <f t="array" ref="D1366">XLOOKUP(A1366,Data!F:F,Data!C:C)</f>
        <v/>
      </c>
      <c r="E1366" s="19" t="str">
        <f t="array" ref="E1366">XLOOKUP(A1366,Data!F:F,Data!H:H)</f>
        <v>BW</v>
      </c>
      <c r="F1366" s="106" t="str">
        <f>SUMIFS(Data!J:J,Data!F:F,A1366)</f>
        <v>1</v>
      </c>
      <c r="G1366" s="106" t="str">
        <f>SUMIFS(Cast!C:C,CastElements,A1366)</f>
        <v>1</v>
      </c>
      <c r="H1366" s="106" t="str">
        <f t="shared" si="4"/>
        <v>0</v>
      </c>
      <c r="I1366" s="106" t="str">
        <f>SUMIFS(Del!C:C,Del!B:B,A1366)</f>
        <v>1</v>
      </c>
      <c r="J1366" s="106" t="str">
        <f t="shared" si="5"/>
        <v>0</v>
      </c>
      <c r="K1366" s="106" t="str">
        <f t="shared" si="6"/>
        <v>0</v>
      </c>
      <c r="L1366" s="106"/>
      <c r="M1366" s="106" t="str">
        <f>SUMIFS(Ere!C:C,Ere!B:B,A1366)</f>
        <v>1</v>
      </c>
      <c r="N1366" s="106" t="str">
        <f t="shared" si="7"/>
        <v>0</v>
      </c>
      <c r="O1366" s="107" t="str">
        <f t="array" ref="O1366">XLOOKUP(A1366,Data!F:F,Data!O:O)</f>
        <v>  1.98 </v>
      </c>
      <c r="P1366" s="107" t="str">
        <f t="shared" si="8"/>
        <v>  4.96 </v>
      </c>
      <c r="Q1366" s="27"/>
    </row>
    <row r="1367" ht="15.75" customHeight="1">
      <c r="A1367" s="105" t="s">
        <v>1611</v>
      </c>
      <c r="B1367" s="19" t="str">
        <f t="array" ref="B1367">XLOOKUP(A1367,Data!F:F,Data!G:G)</f>
        <v>J1D</v>
      </c>
      <c r="C1367" s="19" t="str">
        <f t="shared" si="3"/>
        <v>J099</v>
      </c>
      <c r="D1367" s="19" t="str">
        <f t="array" ref="D1367">XLOOKUP(A1367,Data!F:F,Data!C:C)</f>
        <v/>
      </c>
      <c r="E1367" s="19" t="str">
        <f t="array" ref="E1367">XLOOKUP(A1367,Data!F:F,Data!H:H)</f>
        <v>BW</v>
      </c>
      <c r="F1367" s="106" t="str">
        <f>SUMIFS(Data!J:J,Data!F:F,A1367)</f>
        <v>1</v>
      </c>
      <c r="G1367" s="106" t="str">
        <f>SUMIFS(Cast!C:C,CastElements,A1367)</f>
        <v>1</v>
      </c>
      <c r="H1367" s="106" t="str">
        <f t="shared" si="4"/>
        <v>0</v>
      </c>
      <c r="I1367" s="106" t="str">
        <f>SUMIFS(Del!C:C,Del!B:B,A1367)</f>
        <v>0</v>
      </c>
      <c r="J1367" s="106" t="str">
        <f t="shared" si="5"/>
        <v>1</v>
      </c>
      <c r="K1367" s="106" t="str">
        <f t="shared" si="6"/>
        <v>1</v>
      </c>
      <c r="L1367" s="106"/>
      <c r="M1367" s="106" t="str">
        <f>SUMIFS(Ere!C:C,Ere!B:B,A1367)</f>
        <v>0</v>
      </c>
      <c r="N1367" s="106" t="str">
        <f t="shared" si="7"/>
        <v>1</v>
      </c>
      <c r="O1367" s="107" t="str">
        <f t="array" ref="O1367">XLOOKUP(A1367,Data!F:F,Data!O:O)</f>
        <v>  2.63 </v>
      </c>
      <c r="P1367" s="107" t="str">
        <f t="shared" si="8"/>
        <v>  6.58 </v>
      </c>
      <c r="Q1367" s="27"/>
    </row>
    <row r="1368" ht="15.75" customHeight="1">
      <c r="A1368" s="105" t="s">
        <v>1612</v>
      </c>
      <c r="B1368" s="19" t="str">
        <f t="array" ref="B1368">XLOOKUP(A1368,Data!F:F,Data!G:G)</f>
        <v>J1D</v>
      </c>
      <c r="C1368" s="19" t="str">
        <f t="shared" si="3"/>
        <v>J099</v>
      </c>
      <c r="D1368" s="19" t="str">
        <f t="array" ref="D1368">XLOOKUP(A1368,Data!F:F,Data!C:C)</f>
        <v/>
      </c>
      <c r="E1368" s="19" t="str">
        <f t="array" ref="E1368">XLOOKUP(A1368,Data!F:F,Data!H:H)</f>
        <v>BW</v>
      </c>
      <c r="F1368" s="106" t="str">
        <f>SUMIFS(Data!J:J,Data!F:F,A1368)</f>
        <v>1</v>
      </c>
      <c r="G1368" s="106" t="str">
        <f>SUMIFS(Cast!C:C,CastElements,A1368)</f>
        <v>1</v>
      </c>
      <c r="H1368" s="106" t="str">
        <f t="shared" si="4"/>
        <v>0</v>
      </c>
      <c r="I1368" s="106" t="str">
        <f>SUMIFS(Del!C:C,Del!B:B,A1368)</f>
        <v>0</v>
      </c>
      <c r="J1368" s="106" t="str">
        <f t="shared" si="5"/>
        <v>1</v>
      </c>
      <c r="K1368" s="106" t="str">
        <f t="shared" si="6"/>
        <v>1</v>
      </c>
      <c r="L1368" s="106"/>
      <c r="M1368" s="106" t="str">
        <f>SUMIFS(Ere!C:C,Ere!B:B,A1368)</f>
        <v>0</v>
      </c>
      <c r="N1368" s="106" t="str">
        <f t="shared" si="7"/>
        <v>1</v>
      </c>
      <c r="O1368" s="107" t="str">
        <f t="array" ref="O1368">XLOOKUP(A1368,Data!F:F,Data!O:O)</f>
        <v>  2.04 </v>
      </c>
      <c r="P1368" s="107" t="str">
        <f t="shared" si="8"/>
        <v>  5.10 </v>
      </c>
      <c r="Q1368" s="27"/>
    </row>
    <row r="1369" ht="15.75" customHeight="1">
      <c r="A1369" s="105" t="s">
        <v>1613</v>
      </c>
      <c r="B1369" s="19" t="str">
        <f t="array" ref="B1369">XLOOKUP(A1369,Data!F:F,Data!G:G)</f>
        <v>J1D</v>
      </c>
      <c r="C1369" s="19" t="str">
        <f t="shared" si="3"/>
        <v>J099</v>
      </c>
      <c r="D1369" s="19" t="str">
        <f t="array" ref="D1369">XLOOKUP(A1369,Data!F:F,Data!C:C)</f>
        <v/>
      </c>
      <c r="E1369" s="19" t="str">
        <f t="array" ref="E1369">XLOOKUP(A1369,Data!F:F,Data!H:H)</f>
        <v>BW</v>
      </c>
      <c r="F1369" s="106" t="str">
        <f>SUMIFS(Data!J:J,Data!F:F,A1369)</f>
        <v>1</v>
      </c>
      <c r="G1369" s="106" t="str">
        <f>SUMIFS(Cast!C:C,CastElements,A1369)</f>
        <v>1</v>
      </c>
      <c r="H1369" s="106" t="str">
        <f t="shared" si="4"/>
        <v>0</v>
      </c>
      <c r="I1369" s="106" t="str">
        <f>SUMIFS(Del!C:C,Del!B:B,A1369)</f>
        <v>0</v>
      </c>
      <c r="J1369" s="106" t="str">
        <f t="shared" si="5"/>
        <v>1</v>
      </c>
      <c r="K1369" s="106" t="str">
        <f t="shared" si="6"/>
        <v>1</v>
      </c>
      <c r="L1369" s="106"/>
      <c r="M1369" s="106" t="str">
        <f>SUMIFS(Ere!C:C,Ere!B:B,A1369)</f>
        <v>0</v>
      </c>
      <c r="N1369" s="106" t="str">
        <f t="shared" si="7"/>
        <v>1</v>
      </c>
      <c r="O1369" s="107" t="str">
        <f t="array" ref="O1369">XLOOKUP(A1369,Data!F:F,Data!O:O)</f>
        <v>  1.58 </v>
      </c>
      <c r="P1369" s="107" t="str">
        <f t="shared" si="8"/>
        <v>  3.95 </v>
      </c>
      <c r="Q1369" s="27"/>
    </row>
    <row r="1370" ht="15.75" customHeight="1">
      <c r="A1370" s="105" t="s">
        <v>1614</v>
      </c>
      <c r="B1370" s="19" t="str">
        <f t="array" ref="B1370">XLOOKUP(A1370,Data!F:F,Data!G:G)</f>
        <v>J1D</v>
      </c>
      <c r="C1370" s="19" t="str">
        <f t="shared" si="3"/>
        <v>J099</v>
      </c>
      <c r="D1370" s="19" t="str">
        <f t="array" ref="D1370">XLOOKUP(A1370,Data!F:F,Data!C:C)</f>
        <v>EXT</v>
      </c>
      <c r="E1370" s="19" t="str">
        <f t="array" ref="E1370">XLOOKUP(A1370,Data!F:F,Data!H:H)</f>
        <v>BW</v>
      </c>
      <c r="F1370" s="106" t="str">
        <f>SUMIFS(Data!J:J,Data!F:F,A1370)</f>
        <v>1</v>
      </c>
      <c r="G1370" s="106" t="str">
        <f>SUMIFS(Cast!C:C,CastElements,A1370)</f>
        <v>0</v>
      </c>
      <c r="H1370" s="106" t="str">
        <f t="shared" si="4"/>
        <v>1</v>
      </c>
      <c r="I1370" s="106" t="str">
        <f>SUMIFS(Del!C:C,Del!B:B,A1370)</f>
        <v>0</v>
      </c>
      <c r="J1370" s="106" t="str">
        <f t="shared" si="5"/>
        <v>1</v>
      </c>
      <c r="K1370" s="106" t="str">
        <f t="shared" si="6"/>
        <v>0</v>
      </c>
      <c r="L1370" s="106"/>
      <c r="M1370" s="106" t="str">
        <f>SUMIFS(Ere!C:C,Ere!B:B,A1370)</f>
        <v>0</v>
      </c>
      <c r="N1370" s="106" t="str">
        <f t="shared" si="7"/>
        <v>1</v>
      </c>
      <c r="O1370" s="107" t="str">
        <f t="array" ref="O1370">XLOOKUP(A1370,Data!F:F,Data!O:O)</f>
        <v>  1.05 </v>
      </c>
      <c r="P1370" s="107" t="str">
        <f t="shared" si="8"/>
        <v>  2.63 </v>
      </c>
      <c r="Q1370" s="27"/>
    </row>
    <row r="1371" ht="15.75" customHeight="1">
      <c r="A1371" s="105" t="s">
        <v>1615</v>
      </c>
      <c r="B1371" s="19" t="str">
        <f t="array" ref="B1371">XLOOKUP(A1371,Data!F:F,Data!G:G)</f>
        <v>J1D</v>
      </c>
      <c r="C1371" s="19" t="str">
        <f t="shared" si="3"/>
        <v>J099</v>
      </c>
      <c r="D1371" s="19" t="str">
        <f t="array" ref="D1371">XLOOKUP(A1371,Data!F:F,Data!C:C)</f>
        <v>EXT</v>
      </c>
      <c r="E1371" s="19" t="str">
        <f t="array" ref="E1371">XLOOKUP(A1371,Data!F:F,Data!H:H)</f>
        <v>BW</v>
      </c>
      <c r="F1371" s="106" t="str">
        <f>SUMIFS(Data!J:J,Data!F:F,A1371)</f>
        <v>1</v>
      </c>
      <c r="G1371" s="106" t="str">
        <f>SUMIFS(Cast!C:C,CastElements,A1371)</f>
        <v>0</v>
      </c>
      <c r="H1371" s="106" t="str">
        <f t="shared" si="4"/>
        <v>1</v>
      </c>
      <c r="I1371" s="106" t="str">
        <f>SUMIFS(Del!C:C,Del!B:B,A1371)</f>
        <v>0</v>
      </c>
      <c r="J1371" s="106" t="str">
        <f t="shared" si="5"/>
        <v>1</v>
      </c>
      <c r="K1371" s="106" t="str">
        <f t="shared" si="6"/>
        <v>0</v>
      </c>
      <c r="L1371" s="106"/>
      <c r="M1371" s="106" t="str">
        <f>SUMIFS(Ere!C:C,Ere!B:B,A1371)</f>
        <v>0</v>
      </c>
      <c r="N1371" s="106" t="str">
        <f t="shared" si="7"/>
        <v>1</v>
      </c>
      <c r="O1371" s="107" t="str">
        <f t="array" ref="O1371">XLOOKUP(A1371,Data!F:F,Data!O:O)</f>
        <v>  0.50 </v>
      </c>
      <c r="P1371" s="107" t="str">
        <f t="shared" si="8"/>
        <v>  1.25 </v>
      </c>
      <c r="Q1371" s="27"/>
    </row>
    <row r="1372" ht="15.75" customHeight="1">
      <c r="A1372" s="105" t="s">
        <v>1616</v>
      </c>
      <c r="B1372" s="19" t="str">
        <f t="array" ref="B1372">XLOOKUP(A1372,Data!F:F,Data!G:G)</f>
        <v>J1D</v>
      </c>
      <c r="C1372" s="19" t="str">
        <f t="shared" si="3"/>
        <v>J099</v>
      </c>
      <c r="D1372" s="19" t="str">
        <f t="array" ref="D1372">XLOOKUP(A1372,Data!F:F,Data!C:C)</f>
        <v>EXT</v>
      </c>
      <c r="E1372" s="19" t="str">
        <f t="array" ref="E1372">XLOOKUP(A1372,Data!F:F,Data!H:H)</f>
        <v>BW</v>
      </c>
      <c r="F1372" s="106" t="str">
        <f>SUMIFS(Data!J:J,Data!F:F,A1372)</f>
        <v>1</v>
      </c>
      <c r="G1372" s="106" t="str">
        <f>SUMIFS(Cast!C:C,CastElements,A1372)</f>
        <v>0</v>
      </c>
      <c r="H1372" s="106" t="str">
        <f t="shared" si="4"/>
        <v>1</v>
      </c>
      <c r="I1372" s="106" t="str">
        <f>SUMIFS(Del!C:C,Del!B:B,A1372)</f>
        <v>0</v>
      </c>
      <c r="J1372" s="106" t="str">
        <f t="shared" si="5"/>
        <v>1</v>
      </c>
      <c r="K1372" s="106" t="str">
        <f t="shared" si="6"/>
        <v>0</v>
      </c>
      <c r="L1372" s="106"/>
      <c r="M1372" s="106" t="str">
        <f>SUMIFS(Ere!C:C,Ere!B:B,A1372)</f>
        <v>0</v>
      </c>
      <c r="N1372" s="106" t="str">
        <f t="shared" si="7"/>
        <v>1</v>
      </c>
      <c r="O1372" s="107" t="str">
        <f t="array" ref="O1372">XLOOKUP(A1372,Data!F:F,Data!O:O)</f>
        <v>  0.50 </v>
      </c>
      <c r="P1372" s="107" t="str">
        <f t="shared" si="8"/>
        <v>  1.25 </v>
      </c>
      <c r="Q1372" s="27"/>
    </row>
    <row r="1373" ht="15.75" customHeight="1">
      <c r="A1373" s="105" t="s">
        <v>1617</v>
      </c>
      <c r="B1373" s="19" t="str">
        <f t="array" ref="B1373">XLOOKUP(A1373,Data!F:F,Data!G:G)</f>
        <v>J1D</v>
      </c>
      <c r="C1373" s="19" t="str">
        <f t="shared" si="3"/>
        <v>J099</v>
      </c>
      <c r="D1373" s="19" t="str">
        <f t="array" ref="D1373">XLOOKUP(A1373,Data!F:F,Data!C:C)</f>
        <v>EXT</v>
      </c>
      <c r="E1373" s="19" t="str">
        <f t="array" ref="E1373">XLOOKUP(A1373,Data!F:F,Data!H:H)</f>
        <v>BW</v>
      </c>
      <c r="F1373" s="106" t="str">
        <f>SUMIFS(Data!J:J,Data!F:F,A1373)</f>
        <v>1</v>
      </c>
      <c r="G1373" s="106" t="str">
        <f>SUMIFS(Cast!C:C,CastElements,A1373)</f>
        <v>0</v>
      </c>
      <c r="H1373" s="106" t="str">
        <f t="shared" si="4"/>
        <v>1</v>
      </c>
      <c r="I1373" s="106" t="str">
        <f>SUMIFS(Del!C:C,Del!B:B,A1373)</f>
        <v>0</v>
      </c>
      <c r="J1373" s="106" t="str">
        <f t="shared" si="5"/>
        <v>1</v>
      </c>
      <c r="K1373" s="106" t="str">
        <f t="shared" si="6"/>
        <v>0</v>
      </c>
      <c r="L1373" s="106"/>
      <c r="M1373" s="106" t="str">
        <f>SUMIFS(Ere!C:C,Ere!B:B,A1373)</f>
        <v>0</v>
      </c>
      <c r="N1373" s="106" t="str">
        <f t="shared" si="7"/>
        <v>1</v>
      </c>
      <c r="O1373" s="107" t="str">
        <f t="array" ref="O1373">XLOOKUP(A1373,Data!F:F,Data!O:O)</f>
        <v>  0.50 </v>
      </c>
      <c r="P1373" s="107" t="str">
        <f t="shared" si="8"/>
        <v>  1.25 </v>
      </c>
      <c r="Q1373" s="27"/>
    </row>
    <row r="1374" ht="15.75" customHeight="1">
      <c r="A1374" s="105" t="s">
        <v>1618</v>
      </c>
      <c r="B1374" s="19" t="str">
        <f t="array" ref="B1374">XLOOKUP(A1374,Data!F:F,Data!G:G)</f>
        <v>J1D</v>
      </c>
      <c r="C1374" s="19" t="str">
        <f t="shared" si="3"/>
        <v>J099</v>
      </c>
      <c r="D1374" s="19" t="str">
        <f t="array" ref="D1374">XLOOKUP(A1374,Data!F:F,Data!C:C)</f>
        <v>EXT</v>
      </c>
      <c r="E1374" s="19" t="str">
        <f t="array" ref="E1374">XLOOKUP(A1374,Data!F:F,Data!H:H)</f>
        <v>BW</v>
      </c>
      <c r="F1374" s="106" t="str">
        <f>SUMIFS(Data!J:J,Data!F:F,A1374)</f>
        <v>1</v>
      </c>
      <c r="G1374" s="106" t="str">
        <f>SUMIFS(Cast!C:C,CastElements,A1374)</f>
        <v>0</v>
      </c>
      <c r="H1374" s="106" t="str">
        <f t="shared" si="4"/>
        <v>1</v>
      </c>
      <c r="I1374" s="106" t="str">
        <f>SUMIFS(Del!C:C,Del!B:B,A1374)</f>
        <v>0</v>
      </c>
      <c r="J1374" s="106" t="str">
        <f t="shared" si="5"/>
        <v>1</v>
      </c>
      <c r="K1374" s="106" t="str">
        <f t="shared" si="6"/>
        <v>0</v>
      </c>
      <c r="L1374" s="106"/>
      <c r="M1374" s="106" t="str">
        <f>SUMIFS(Ere!C:C,Ere!B:B,A1374)</f>
        <v>0</v>
      </c>
      <c r="N1374" s="106" t="str">
        <f t="shared" si="7"/>
        <v>1</v>
      </c>
      <c r="O1374" s="107" t="str">
        <f t="array" ref="O1374">XLOOKUP(A1374,Data!F:F,Data!O:O)</f>
        <v>  0.50 </v>
      </c>
      <c r="P1374" s="107" t="str">
        <f t="shared" si="8"/>
        <v>  1.25 </v>
      </c>
      <c r="Q1374" s="27"/>
    </row>
    <row r="1375" ht="15.75" customHeight="1">
      <c r="A1375" s="105" t="s">
        <v>1619</v>
      </c>
      <c r="B1375" s="19" t="str">
        <f t="array" ref="B1375">XLOOKUP(A1375,Data!F:F,Data!G:G)</f>
        <v>J1D</v>
      </c>
      <c r="C1375" s="19" t="str">
        <f t="shared" si="3"/>
        <v>J099</v>
      </c>
      <c r="D1375" s="19" t="str">
        <f t="array" ref="D1375">XLOOKUP(A1375,Data!F:F,Data!C:C)</f>
        <v>EXT</v>
      </c>
      <c r="E1375" s="19" t="str">
        <f t="array" ref="E1375">XLOOKUP(A1375,Data!F:F,Data!H:H)</f>
        <v>BW</v>
      </c>
      <c r="F1375" s="106" t="str">
        <f>SUMIFS(Data!J:J,Data!F:F,A1375)</f>
        <v>1</v>
      </c>
      <c r="G1375" s="106" t="str">
        <f>SUMIFS(Cast!C:C,CastElements,A1375)</f>
        <v>0</v>
      </c>
      <c r="H1375" s="106" t="str">
        <f t="shared" si="4"/>
        <v>1</v>
      </c>
      <c r="I1375" s="106" t="str">
        <f>SUMIFS(Del!C:C,Del!B:B,A1375)</f>
        <v>0</v>
      </c>
      <c r="J1375" s="106" t="str">
        <f t="shared" si="5"/>
        <v>1</v>
      </c>
      <c r="K1375" s="106" t="str">
        <f t="shared" si="6"/>
        <v>0</v>
      </c>
      <c r="L1375" s="106"/>
      <c r="M1375" s="106" t="str">
        <f>SUMIFS(Ere!C:C,Ere!B:B,A1375)</f>
        <v>0</v>
      </c>
      <c r="N1375" s="106" t="str">
        <f t="shared" si="7"/>
        <v>1</v>
      </c>
      <c r="O1375" s="107" t="str">
        <f t="array" ref="O1375">XLOOKUP(A1375,Data!F:F,Data!O:O)</f>
        <v>  0.50 </v>
      </c>
      <c r="P1375" s="107" t="str">
        <f t="shared" si="8"/>
        <v>  1.25 </v>
      </c>
      <c r="Q1375" s="27"/>
    </row>
    <row r="1376" ht="15.75" customHeight="1">
      <c r="A1376" s="105" t="s">
        <v>1620</v>
      </c>
      <c r="B1376" s="19" t="str">
        <f t="array" ref="B1376">XLOOKUP(A1376,Data!F:F,Data!G:G)</f>
        <v>J1D</v>
      </c>
      <c r="C1376" s="19" t="str">
        <f t="shared" si="3"/>
        <v>J099</v>
      </c>
      <c r="D1376" s="19" t="str">
        <f t="array" ref="D1376">XLOOKUP(A1376,Data!F:F,Data!C:C)</f>
        <v>EXT</v>
      </c>
      <c r="E1376" s="19" t="str">
        <f t="array" ref="E1376">XLOOKUP(A1376,Data!F:F,Data!H:H)</f>
        <v>BW</v>
      </c>
      <c r="F1376" s="106" t="str">
        <f>SUMIFS(Data!J:J,Data!F:F,A1376)</f>
        <v>1</v>
      </c>
      <c r="G1376" s="106" t="str">
        <f>SUMIFS(Cast!C:C,CastElements,A1376)</f>
        <v>0</v>
      </c>
      <c r="H1376" s="106" t="str">
        <f t="shared" si="4"/>
        <v>1</v>
      </c>
      <c r="I1376" s="106" t="str">
        <f>SUMIFS(Del!C:C,Del!B:B,A1376)</f>
        <v>0</v>
      </c>
      <c r="J1376" s="106" t="str">
        <f t="shared" si="5"/>
        <v>1</v>
      </c>
      <c r="K1376" s="106" t="str">
        <f t="shared" si="6"/>
        <v>0</v>
      </c>
      <c r="L1376" s="106"/>
      <c r="M1376" s="106" t="str">
        <f>SUMIFS(Ere!C:C,Ere!B:B,A1376)</f>
        <v>0</v>
      </c>
      <c r="N1376" s="106" t="str">
        <f t="shared" si="7"/>
        <v>1</v>
      </c>
      <c r="O1376" s="107" t="str">
        <f t="array" ref="O1376">XLOOKUP(A1376,Data!F:F,Data!O:O)</f>
        <v>  0.50 </v>
      </c>
      <c r="P1376" s="107" t="str">
        <f t="shared" si="8"/>
        <v>  1.25 </v>
      </c>
      <c r="Q1376" s="27"/>
    </row>
    <row r="1377" ht="15.75" customHeight="1">
      <c r="A1377" s="105" t="s">
        <v>1621</v>
      </c>
      <c r="B1377" s="19" t="str">
        <f t="array" ref="B1377">XLOOKUP(A1377,Data!F:F,Data!G:G)</f>
        <v>J1D</v>
      </c>
      <c r="C1377" s="19" t="str">
        <f t="shared" si="3"/>
        <v>J099</v>
      </c>
      <c r="D1377" s="19" t="str">
        <f t="array" ref="D1377">XLOOKUP(A1377,Data!F:F,Data!C:C)</f>
        <v>EXT</v>
      </c>
      <c r="E1377" s="19" t="str">
        <f t="array" ref="E1377">XLOOKUP(A1377,Data!F:F,Data!H:H)</f>
        <v>BW</v>
      </c>
      <c r="F1377" s="106" t="str">
        <f>SUMIFS(Data!J:J,Data!F:F,A1377)</f>
        <v>1</v>
      </c>
      <c r="G1377" s="106" t="str">
        <f>SUMIFS(Cast!C:C,CastElements,A1377)</f>
        <v>0</v>
      </c>
      <c r="H1377" s="106" t="str">
        <f t="shared" si="4"/>
        <v>1</v>
      </c>
      <c r="I1377" s="106" t="str">
        <f>SUMIFS(Del!C:C,Del!B:B,A1377)</f>
        <v>0</v>
      </c>
      <c r="J1377" s="106" t="str">
        <f t="shared" si="5"/>
        <v>1</v>
      </c>
      <c r="K1377" s="106" t="str">
        <f t="shared" si="6"/>
        <v>0</v>
      </c>
      <c r="L1377" s="106"/>
      <c r="M1377" s="106" t="str">
        <f>SUMIFS(Ere!C:C,Ere!B:B,A1377)</f>
        <v>0</v>
      </c>
      <c r="N1377" s="106" t="str">
        <f t="shared" si="7"/>
        <v>1</v>
      </c>
      <c r="O1377" s="107" t="str">
        <f t="array" ref="O1377">XLOOKUP(A1377,Data!F:F,Data!O:O)</f>
        <v>  0.65 </v>
      </c>
      <c r="P1377" s="107" t="str">
        <f t="shared" si="8"/>
        <v>  1.63 </v>
      </c>
      <c r="Q1377" s="27"/>
    </row>
    <row r="1378" ht="15.75" customHeight="1">
      <c r="A1378" s="105" t="s">
        <v>1622</v>
      </c>
      <c r="B1378" s="19" t="str">
        <f t="array" ref="B1378">XLOOKUP(A1378,Data!F:F,Data!G:G)</f>
        <v>J1D</v>
      </c>
      <c r="C1378" s="19" t="str">
        <f t="shared" si="3"/>
        <v>J100</v>
      </c>
      <c r="D1378" s="19" t="str">
        <f t="array" ref="D1378">XLOOKUP(A1378,Data!F:F,Data!C:C)</f>
        <v>EXT</v>
      </c>
      <c r="E1378" s="19" t="str">
        <f t="array" ref="E1378">XLOOKUP(A1378,Data!F:F,Data!H:H)</f>
        <v>BW</v>
      </c>
      <c r="F1378" s="106" t="str">
        <f>SUMIFS(Data!J:J,Data!F:F,A1378)</f>
        <v>1</v>
      </c>
      <c r="G1378" s="106" t="str">
        <f>SUMIFS(Cast!C:C,CastElements,A1378)</f>
        <v>0</v>
      </c>
      <c r="H1378" s="106" t="str">
        <f t="shared" si="4"/>
        <v>1</v>
      </c>
      <c r="I1378" s="106" t="str">
        <f>SUMIFS(Del!C:C,Del!B:B,A1378)</f>
        <v>0</v>
      </c>
      <c r="J1378" s="106" t="str">
        <f t="shared" si="5"/>
        <v>1</v>
      </c>
      <c r="K1378" s="106" t="str">
        <f t="shared" si="6"/>
        <v>0</v>
      </c>
      <c r="L1378" s="106"/>
      <c r="M1378" s="106" t="str">
        <f>SUMIFS(Ere!C:C,Ere!B:B,A1378)</f>
        <v>0</v>
      </c>
      <c r="N1378" s="106" t="str">
        <f t="shared" si="7"/>
        <v>1</v>
      </c>
      <c r="O1378" s="107" t="str">
        <f t="array" ref="O1378">XLOOKUP(A1378,Data!F:F,Data!O:O)</f>
        <v>  1.10 </v>
      </c>
      <c r="P1378" s="107" t="str">
        <f t="shared" si="8"/>
        <v>  2.75 </v>
      </c>
      <c r="Q1378" s="27"/>
    </row>
    <row r="1379" ht="15.75" customHeight="1">
      <c r="A1379" s="105" t="s">
        <v>1623</v>
      </c>
      <c r="B1379" s="19" t="str">
        <f t="array" ref="B1379">XLOOKUP(A1379,Data!F:F,Data!G:G)</f>
        <v>J1D</v>
      </c>
      <c r="C1379" s="19" t="str">
        <f t="shared" si="3"/>
        <v>J100</v>
      </c>
      <c r="D1379" s="19" t="str">
        <f t="array" ref="D1379">XLOOKUP(A1379,Data!F:F,Data!C:C)</f>
        <v>EXT</v>
      </c>
      <c r="E1379" s="19" t="str">
        <f t="array" ref="E1379">XLOOKUP(A1379,Data!F:F,Data!H:H)</f>
        <v>BW</v>
      </c>
      <c r="F1379" s="106" t="str">
        <f>SUMIFS(Data!J:J,Data!F:F,A1379)</f>
        <v>1</v>
      </c>
      <c r="G1379" s="106" t="str">
        <f>SUMIFS(Cast!C:C,CastElements,A1379)</f>
        <v>0</v>
      </c>
      <c r="H1379" s="106" t="str">
        <f t="shared" si="4"/>
        <v>1</v>
      </c>
      <c r="I1379" s="106" t="str">
        <f>SUMIFS(Del!C:C,Del!B:B,A1379)</f>
        <v>0</v>
      </c>
      <c r="J1379" s="106" t="str">
        <f t="shared" si="5"/>
        <v>1</v>
      </c>
      <c r="K1379" s="106" t="str">
        <f t="shared" si="6"/>
        <v>0</v>
      </c>
      <c r="L1379" s="106"/>
      <c r="M1379" s="106" t="str">
        <f>SUMIFS(Ere!C:C,Ere!B:B,A1379)</f>
        <v>0</v>
      </c>
      <c r="N1379" s="106" t="str">
        <f t="shared" si="7"/>
        <v>1</v>
      </c>
      <c r="O1379" s="107" t="str">
        <f t="array" ref="O1379">XLOOKUP(A1379,Data!F:F,Data!O:O)</f>
        <v>  1.10 </v>
      </c>
      <c r="P1379" s="107" t="str">
        <f t="shared" si="8"/>
        <v>  2.75 </v>
      </c>
      <c r="Q1379" s="27"/>
    </row>
    <row r="1380" ht="15.75" customHeight="1">
      <c r="A1380" s="105" t="s">
        <v>1624</v>
      </c>
      <c r="B1380" s="19" t="str">
        <f t="array" ref="B1380">XLOOKUP(A1380,Data!F:F,Data!G:G)</f>
        <v>J1D</v>
      </c>
      <c r="C1380" s="19" t="str">
        <f t="shared" si="3"/>
        <v>J100</v>
      </c>
      <c r="D1380" s="19" t="str">
        <f t="array" ref="D1380">XLOOKUP(A1380,Data!F:F,Data!C:C)</f>
        <v/>
      </c>
      <c r="E1380" s="19" t="str">
        <f t="array" ref="E1380">XLOOKUP(A1380,Data!F:F,Data!H:H)</f>
        <v>BW</v>
      </c>
      <c r="F1380" s="106" t="str">
        <f>SUMIFS(Data!J:J,Data!F:F,A1380)</f>
        <v>1</v>
      </c>
      <c r="G1380" s="106" t="str">
        <f>SUMIFS(Cast!C:C,CastElements,A1380)</f>
        <v>1</v>
      </c>
      <c r="H1380" s="106" t="str">
        <f t="shared" si="4"/>
        <v>0</v>
      </c>
      <c r="I1380" s="106" t="str">
        <f>SUMIFS(Del!C:C,Del!B:B,A1380)</f>
        <v>0</v>
      </c>
      <c r="J1380" s="106" t="str">
        <f t="shared" si="5"/>
        <v>1</v>
      </c>
      <c r="K1380" s="106" t="str">
        <f t="shared" si="6"/>
        <v>1</v>
      </c>
      <c r="L1380" s="106"/>
      <c r="M1380" s="106" t="str">
        <f>SUMIFS(Ere!C:C,Ere!B:B,A1380)</f>
        <v>0</v>
      </c>
      <c r="N1380" s="106" t="str">
        <f t="shared" si="7"/>
        <v>1</v>
      </c>
      <c r="O1380" s="107" t="str">
        <f t="array" ref="O1380">XLOOKUP(A1380,Data!F:F,Data!O:O)</f>
        <v>  1.63 </v>
      </c>
      <c r="P1380" s="107" t="str">
        <f t="shared" si="8"/>
        <v>  4.08 </v>
      </c>
      <c r="Q1380" s="27"/>
    </row>
    <row r="1381" ht="15.75" customHeight="1">
      <c r="A1381" s="105" t="s">
        <v>1625</v>
      </c>
      <c r="B1381" s="19" t="str">
        <f t="array" ref="B1381">XLOOKUP(A1381,Data!F:F,Data!G:G)</f>
        <v>J1D</v>
      </c>
      <c r="C1381" s="19" t="str">
        <f t="shared" si="3"/>
        <v>J100</v>
      </c>
      <c r="D1381" s="19" t="str">
        <f t="array" ref="D1381">XLOOKUP(A1381,Data!F:F,Data!C:C)</f>
        <v/>
      </c>
      <c r="E1381" s="19" t="str">
        <f t="array" ref="E1381">XLOOKUP(A1381,Data!F:F,Data!H:H)</f>
        <v>BW</v>
      </c>
      <c r="F1381" s="106" t="str">
        <f>SUMIFS(Data!J:J,Data!F:F,A1381)</f>
        <v>1</v>
      </c>
      <c r="G1381" s="106" t="str">
        <f>SUMIFS(Cast!C:C,CastElements,A1381)</f>
        <v>1</v>
      </c>
      <c r="H1381" s="106" t="str">
        <f t="shared" si="4"/>
        <v>0</v>
      </c>
      <c r="I1381" s="106" t="str">
        <f>SUMIFS(Del!C:C,Del!B:B,A1381)</f>
        <v>0</v>
      </c>
      <c r="J1381" s="106" t="str">
        <f t="shared" si="5"/>
        <v>1</v>
      </c>
      <c r="K1381" s="106" t="str">
        <f t="shared" si="6"/>
        <v>1</v>
      </c>
      <c r="L1381" s="106"/>
      <c r="M1381" s="106" t="str">
        <f>SUMIFS(Ere!C:C,Ere!B:B,A1381)</f>
        <v>0</v>
      </c>
      <c r="N1381" s="106" t="str">
        <f t="shared" si="7"/>
        <v>1</v>
      </c>
      <c r="O1381" s="107" t="str">
        <f t="array" ref="O1381">XLOOKUP(A1381,Data!F:F,Data!O:O)</f>
        <v>  1.71 </v>
      </c>
      <c r="P1381" s="107" t="str">
        <f t="shared" si="8"/>
        <v>  4.28 </v>
      </c>
      <c r="Q1381" s="27"/>
    </row>
    <row r="1382" ht="15.75" customHeight="1">
      <c r="A1382" s="105" t="s">
        <v>1626</v>
      </c>
      <c r="B1382" s="19" t="str">
        <f t="array" ref="B1382">XLOOKUP(A1382,Data!F:F,Data!G:G)</f>
        <v>J1D</v>
      </c>
      <c r="C1382" s="19" t="str">
        <f t="shared" si="3"/>
        <v>J100</v>
      </c>
      <c r="D1382" s="19" t="str">
        <f t="array" ref="D1382">XLOOKUP(A1382,Data!F:F,Data!C:C)</f>
        <v/>
      </c>
      <c r="E1382" s="19" t="str">
        <f t="array" ref="E1382">XLOOKUP(A1382,Data!F:F,Data!H:H)</f>
        <v>BW</v>
      </c>
      <c r="F1382" s="106" t="str">
        <f>SUMIFS(Data!J:J,Data!F:F,A1382)</f>
        <v>1</v>
      </c>
      <c r="G1382" s="106" t="str">
        <f>SUMIFS(Cast!C:C,CastElements,A1382)</f>
        <v>1</v>
      </c>
      <c r="H1382" s="106" t="str">
        <f t="shared" si="4"/>
        <v>0</v>
      </c>
      <c r="I1382" s="106" t="str">
        <f>SUMIFS(Del!C:C,Del!B:B,A1382)</f>
        <v>0</v>
      </c>
      <c r="J1382" s="106" t="str">
        <f t="shared" si="5"/>
        <v>1</v>
      </c>
      <c r="K1382" s="106" t="str">
        <f t="shared" si="6"/>
        <v>1</v>
      </c>
      <c r="L1382" s="106"/>
      <c r="M1382" s="106" t="str">
        <f>SUMIFS(Ere!C:C,Ere!B:B,A1382)</f>
        <v>0</v>
      </c>
      <c r="N1382" s="106" t="str">
        <f t="shared" si="7"/>
        <v>1</v>
      </c>
      <c r="O1382" s="107" t="str">
        <f t="array" ref="O1382">XLOOKUP(A1382,Data!F:F,Data!O:O)</f>
        <v>  2.16 </v>
      </c>
      <c r="P1382" s="107" t="str">
        <f t="shared" si="8"/>
        <v>  5.40 </v>
      </c>
      <c r="Q1382" s="27"/>
    </row>
    <row r="1383" ht="15.75" customHeight="1">
      <c r="A1383" s="105" t="s">
        <v>1627</v>
      </c>
      <c r="B1383" s="19" t="str">
        <f t="array" ref="B1383">XLOOKUP(A1383,Data!F:F,Data!G:G)</f>
        <v>J1D</v>
      </c>
      <c r="C1383" s="19" t="str">
        <f t="shared" si="3"/>
        <v>J100</v>
      </c>
      <c r="D1383" s="19" t="str">
        <f t="array" ref="D1383">XLOOKUP(A1383,Data!F:F,Data!C:C)</f>
        <v/>
      </c>
      <c r="E1383" s="19" t="str">
        <f t="array" ref="E1383">XLOOKUP(A1383,Data!F:F,Data!H:H)</f>
        <v>BW</v>
      </c>
      <c r="F1383" s="106" t="str">
        <f>SUMIFS(Data!J:J,Data!F:F,A1383)</f>
        <v>1</v>
      </c>
      <c r="G1383" s="106" t="str">
        <f>SUMIFS(Cast!C:C,CastElements,A1383)</f>
        <v>1</v>
      </c>
      <c r="H1383" s="106" t="str">
        <f t="shared" si="4"/>
        <v>0</v>
      </c>
      <c r="I1383" s="106" t="str">
        <f>SUMIFS(Del!C:C,Del!B:B,A1383)</f>
        <v>0</v>
      </c>
      <c r="J1383" s="106" t="str">
        <f t="shared" si="5"/>
        <v>1</v>
      </c>
      <c r="K1383" s="106" t="str">
        <f t="shared" si="6"/>
        <v>1</v>
      </c>
      <c r="L1383" s="106"/>
      <c r="M1383" s="106" t="str">
        <f>SUMIFS(Ere!C:C,Ere!B:B,A1383)</f>
        <v>0</v>
      </c>
      <c r="N1383" s="106" t="str">
        <f t="shared" si="7"/>
        <v>1</v>
      </c>
      <c r="O1383" s="107" t="str">
        <f t="array" ref="O1383">XLOOKUP(A1383,Data!F:F,Data!O:O)</f>
        <v>  2.00 </v>
      </c>
      <c r="P1383" s="107" t="str">
        <f t="shared" si="8"/>
        <v>  5.00 </v>
      </c>
      <c r="Q1383" s="27"/>
    </row>
    <row r="1384" ht="15.75" customHeight="1">
      <c r="A1384" s="105" t="s">
        <v>1628</v>
      </c>
      <c r="B1384" s="19" t="str">
        <f t="array" ref="B1384">XLOOKUP(A1384,Data!F:F,Data!G:G)</f>
        <v>J1D</v>
      </c>
      <c r="C1384" s="19" t="str">
        <f t="shared" si="3"/>
        <v>J100</v>
      </c>
      <c r="D1384" s="19" t="str">
        <f t="array" ref="D1384">XLOOKUP(A1384,Data!F:F,Data!C:C)</f>
        <v/>
      </c>
      <c r="E1384" s="19" t="str">
        <f t="array" ref="E1384">XLOOKUP(A1384,Data!F:F,Data!H:H)</f>
        <v>BW</v>
      </c>
      <c r="F1384" s="106" t="str">
        <f>SUMIFS(Data!J:J,Data!F:F,A1384)</f>
        <v>1</v>
      </c>
      <c r="G1384" s="106" t="str">
        <f>SUMIFS(Cast!C:C,CastElements,A1384)</f>
        <v>1</v>
      </c>
      <c r="H1384" s="106" t="str">
        <f t="shared" si="4"/>
        <v>0</v>
      </c>
      <c r="I1384" s="106" t="str">
        <f>SUMIFS(Del!C:C,Del!B:B,A1384)</f>
        <v>0</v>
      </c>
      <c r="J1384" s="106" t="str">
        <f t="shared" si="5"/>
        <v>1</v>
      </c>
      <c r="K1384" s="106" t="str">
        <f t="shared" si="6"/>
        <v>1</v>
      </c>
      <c r="L1384" s="106"/>
      <c r="M1384" s="106" t="str">
        <f>SUMIFS(Ere!C:C,Ere!B:B,A1384)</f>
        <v>0</v>
      </c>
      <c r="N1384" s="106" t="str">
        <f t="shared" si="7"/>
        <v>1</v>
      </c>
      <c r="O1384" s="107" t="str">
        <f t="array" ref="O1384">XLOOKUP(A1384,Data!F:F,Data!O:O)</f>
        <v>  2.32 </v>
      </c>
      <c r="P1384" s="107" t="str">
        <f t="shared" si="8"/>
        <v>  5.80 </v>
      </c>
      <c r="Q1384" s="27"/>
    </row>
    <row r="1385" ht="15.75" customHeight="1">
      <c r="A1385" s="105" t="s">
        <v>1629</v>
      </c>
      <c r="B1385" s="19" t="str">
        <f t="array" ref="B1385">XLOOKUP(A1385,Data!F:F,Data!G:G)</f>
        <v>J1D</v>
      </c>
      <c r="C1385" s="19" t="str">
        <f t="shared" si="3"/>
        <v>J100</v>
      </c>
      <c r="D1385" s="19" t="str">
        <f t="array" ref="D1385">XLOOKUP(A1385,Data!F:F,Data!C:C)</f>
        <v/>
      </c>
      <c r="E1385" s="19" t="str">
        <f t="array" ref="E1385">XLOOKUP(A1385,Data!F:F,Data!H:H)</f>
        <v>BW</v>
      </c>
      <c r="F1385" s="106" t="str">
        <f>SUMIFS(Data!J:J,Data!F:F,A1385)</f>
        <v>1</v>
      </c>
      <c r="G1385" s="106" t="str">
        <f>SUMIFS(Cast!C:C,CastElements,A1385)</f>
        <v>1</v>
      </c>
      <c r="H1385" s="106" t="str">
        <f t="shared" si="4"/>
        <v>0</v>
      </c>
      <c r="I1385" s="106" t="str">
        <f>SUMIFS(Del!C:C,Del!B:B,A1385)</f>
        <v>0</v>
      </c>
      <c r="J1385" s="106" t="str">
        <f t="shared" si="5"/>
        <v>1</v>
      </c>
      <c r="K1385" s="106" t="str">
        <f t="shared" si="6"/>
        <v>1</v>
      </c>
      <c r="L1385" s="106"/>
      <c r="M1385" s="106" t="str">
        <f>SUMIFS(Ere!C:C,Ere!B:B,A1385)</f>
        <v>0</v>
      </c>
      <c r="N1385" s="106" t="str">
        <f t="shared" si="7"/>
        <v>1</v>
      </c>
      <c r="O1385" s="107" t="str">
        <f t="array" ref="O1385">XLOOKUP(A1385,Data!F:F,Data!O:O)</f>
        <v>  2.32 </v>
      </c>
      <c r="P1385" s="107" t="str">
        <f t="shared" si="8"/>
        <v>  5.80 </v>
      </c>
      <c r="Q1385" s="27"/>
    </row>
    <row r="1386" ht="15.75" customHeight="1">
      <c r="A1386" s="105" t="s">
        <v>1630</v>
      </c>
      <c r="B1386" s="19" t="str">
        <f t="array" ref="B1386">XLOOKUP(A1386,Data!F:F,Data!G:G)</f>
        <v>J1D</v>
      </c>
      <c r="C1386" s="19" t="str">
        <f t="shared" si="3"/>
        <v>J100</v>
      </c>
      <c r="D1386" s="19" t="str">
        <f t="array" ref="D1386">XLOOKUP(A1386,Data!F:F,Data!C:C)</f>
        <v/>
      </c>
      <c r="E1386" s="19" t="str">
        <f t="array" ref="E1386">XLOOKUP(A1386,Data!F:F,Data!H:H)</f>
        <v>BW</v>
      </c>
      <c r="F1386" s="106" t="str">
        <f>SUMIFS(Data!J:J,Data!F:F,A1386)</f>
        <v>1</v>
      </c>
      <c r="G1386" s="106" t="str">
        <f>SUMIFS(Cast!C:C,CastElements,A1386)</f>
        <v>1</v>
      </c>
      <c r="H1386" s="106" t="str">
        <f t="shared" si="4"/>
        <v>0</v>
      </c>
      <c r="I1386" s="106" t="str">
        <f>SUMIFS(Del!C:C,Del!B:B,A1386)</f>
        <v>0</v>
      </c>
      <c r="J1386" s="106" t="str">
        <f t="shared" si="5"/>
        <v>1</v>
      </c>
      <c r="K1386" s="106" t="str">
        <f t="shared" si="6"/>
        <v>1</v>
      </c>
      <c r="L1386" s="106"/>
      <c r="M1386" s="106" t="str">
        <f>SUMIFS(Ere!C:C,Ere!B:B,A1386)</f>
        <v>0</v>
      </c>
      <c r="N1386" s="106" t="str">
        <f t="shared" si="7"/>
        <v>1</v>
      </c>
      <c r="O1386" s="107" t="str">
        <f t="array" ref="O1386">XLOOKUP(A1386,Data!F:F,Data!O:O)</f>
        <v>  2.32 </v>
      </c>
      <c r="P1386" s="107" t="str">
        <f t="shared" si="8"/>
        <v>  5.80 </v>
      </c>
      <c r="Q1386" s="27"/>
    </row>
    <row r="1387" ht="15.75" customHeight="1">
      <c r="A1387" s="105" t="s">
        <v>1631</v>
      </c>
      <c r="B1387" s="19" t="str">
        <f t="array" ref="B1387">XLOOKUP(A1387,Data!F:F,Data!G:G)</f>
        <v>J1D</v>
      </c>
      <c r="C1387" s="19" t="str">
        <f t="shared" si="3"/>
        <v>J100</v>
      </c>
      <c r="D1387" s="19" t="str">
        <f t="array" ref="D1387">XLOOKUP(A1387,Data!F:F,Data!C:C)</f>
        <v/>
      </c>
      <c r="E1387" s="19" t="str">
        <f t="array" ref="E1387">XLOOKUP(A1387,Data!F:F,Data!H:H)</f>
        <v>BW</v>
      </c>
      <c r="F1387" s="106" t="str">
        <f>SUMIFS(Data!J:J,Data!F:F,A1387)</f>
        <v>1</v>
      </c>
      <c r="G1387" s="106" t="str">
        <f>SUMIFS(Cast!C:C,CastElements,A1387)</f>
        <v>1</v>
      </c>
      <c r="H1387" s="106" t="str">
        <f t="shared" si="4"/>
        <v>0</v>
      </c>
      <c r="I1387" s="106" t="str">
        <f>SUMIFS(Del!C:C,Del!B:B,A1387)</f>
        <v>0</v>
      </c>
      <c r="J1387" s="106" t="str">
        <f t="shared" si="5"/>
        <v>1</v>
      </c>
      <c r="K1387" s="106" t="str">
        <f t="shared" si="6"/>
        <v>1</v>
      </c>
      <c r="L1387" s="106"/>
      <c r="M1387" s="106" t="str">
        <f>SUMIFS(Ere!C:C,Ere!B:B,A1387)</f>
        <v>0</v>
      </c>
      <c r="N1387" s="106" t="str">
        <f t="shared" si="7"/>
        <v>1</v>
      </c>
      <c r="O1387" s="107" t="str">
        <f t="array" ref="O1387">XLOOKUP(A1387,Data!F:F,Data!O:O)</f>
        <v>  0.49 </v>
      </c>
      <c r="P1387" s="107" t="str">
        <f t="shared" si="8"/>
        <v>  1.23 </v>
      </c>
      <c r="Q1387" s="27"/>
    </row>
    <row r="1388" ht="15.75" customHeight="1">
      <c r="A1388" s="105" t="s">
        <v>1632</v>
      </c>
      <c r="B1388" s="19" t="str">
        <f t="array" ref="B1388">XLOOKUP(A1388,Data!F:F,Data!G:G)</f>
        <v>J1D</v>
      </c>
      <c r="C1388" s="19" t="str">
        <f t="shared" si="3"/>
        <v>J100</v>
      </c>
      <c r="D1388" s="19" t="str">
        <f t="array" ref="D1388">XLOOKUP(A1388,Data!F:F,Data!C:C)</f>
        <v/>
      </c>
      <c r="E1388" s="19" t="str">
        <f t="array" ref="E1388">XLOOKUP(A1388,Data!F:F,Data!H:H)</f>
        <v>BW</v>
      </c>
      <c r="F1388" s="106" t="str">
        <f>SUMIFS(Data!J:J,Data!F:F,A1388)</f>
        <v>1</v>
      </c>
      <c r="G1388" s="106" t="str">
        <f>SUMIFS(Cast!C:C,CastElements,A1388)</f>
        <v>1</v>
      </c>
      <c r="H1388" s="106" t="str">
        <f t="shared" si="4"/>
        <v>0</v>
      </c>
      <c r="I1388" s="106" t="str">
        <f>SUMIFS(Del!C:C,Del!B:B,A1388)</f>
        <v>0</v>
      </c>
      <c r="J1388" s="106" t="str">
        <f t="shared" si="5"/>
        <v>1</v>
      </c>
      <c r="K1388" s="106" t="str">
        <f t="shared" si="6"/>
        <v>1</v>
      </c>
      <c r="L1388" s="106"/>
      <c r="M1388" s="106" t="str">
        <f>SUMIFS(Ere!C:C,Ere!B:B,A1388)</f>
        <v>0</v>
      </c>
      <c r="N1388" s="106" t="str">
        <f t="shared" si="7"/>
        <v>1</v>
      </c>
      <c r="O1388" s="107" t="str">
        <f t="array" ref="O1388">XLOOKUP(A1388,Data!F:F,Data!O:O)</f>
        <v>  0.49 </v>
      </c>
      <c r="P1388" s="107" t="str">
        <f t="shared" si="8"/>
        <v>  1.23 </v>
      </c>
      <c r="Q1388" s="27"/>
    </row>
    <row r="1389" ht="15.75" customHeight="1">
      <c r="A1389" s="105" t="s">
        <v>1633</v>
      </c>
      <c r="B1389" s="19" t="str">
        <f t="array" ref="B1389">XLOOKUP(A1389,Data!F:F,Data!G:G)</f>
        <v>J1D</v>
      </c>
      <c r="C1389" s="19" t="str">
        <f t="shared" si="3"/>
        <v>J100</v>
      </c>
      <c r="D1389" s="19" t="str">
        <f t="array" ref="D1389">XLOOKUP(A1389,Data!F:F,Data!C:C)</f>
        <v/>
      </c>
      <c r="E1389" s="19" t="str">
        <f t="array" ref="E1389">XLOOKUP(A1389,Data!F:F,Data!H:H)</f>
        <v>BW</v>
      </c>
      <c r="F1389" s="106" t="str">
        <f>SUMIFS(Data!J:J,Data!F:F,A1389)</f>
        <v>1</v>
      </c>
      <c r="G1389" s="106" t="str">
        <f>SUMIFS(Cast!C:C,CastElements,A1389)</f>
        <v>1</v>
      </c>
      <c r="H1389" s="106" t="str">
        <f t="shared" si="4"/>
        <v>0</v>
      </c>
      <c r="I1389" s="106" t="str">
        <f>SUMIFS(Del!C:C,Del!B:B,A1389)</f>
        <v>0</v>
      </c>
      <c r="J1389" s="106" t="str">
        <f t="shared" si="5"/>
        <v>1</v>
      </c>
      <c r="K1389" s="106" t="str">
        <f t="shared" si="6"/>
        <v>1</v>
      </c>
      <c r="L1389" s="106"/>
      <c r="M1389" s="106" t="str">
        <f>SUMIFS(Ere!C:C,Ere!B:B,A1389)</f>
        <v>0</v>
      </c>
      <c r="N1389" s="106" t="str">
        <f t="shared" si="7"/>
        <v>1</v>
      </c>
      <c r="O1389" s="107" t="str">
        <f t="array" ref="O1389">XLOOKUP(A1389,Data!F:F,Data!O:O)</f>
        <v>  0.41 </v>
      </c>
      <c r="P1389" s="107" t="str">
        <f t="shared" si="8"/>
        <v>  1.03 </v>
      </c>
      <c r="Q1389" s="27"/>
    </row>
    <row r="1390" ht="15.75" customHeight="1">
      <c r="A1390" s="105" t="s">
        <v>1634</v>
      </c>
      <c r="B1390" s="19" t="str">
        <f t="array" ref="B1390">XLOOKUP(A1390,Data!F:F,Data!G:G)</f>
        <v>J1D</v>
      </c>
      <c r="C1390" s="19" t="str">
        <f t="shared" si="3"/>
        <v>J100</v>
      </c>
      <c r="D1390" s="19" t="str">
        <f t="array" ref="D1390">XLOOKUP(A1390,Data!F:F,Data!C:C)</f>
        <v/>
      </c>
      <c r="E1390" s="19" t="str">
        <f t="array" ref="E1390">XLOOKUP(A1390,Data!F:F,Data!H:H)</f>
        <v>CF</v>
      </c>
      <c r="F1390" s="106" t="str">
        <f>SUMIFS(Data!J:J,Data!F:F,A1390)</f>
        <v>1</v>
      </c>
      <c r="G1390" s="106" t="str">
        <f>SUMIFS(Cast!C:C,CastElements,A1390)</f>
        <v>1</v>
      </c>
      <c r="H1390" s="106" t="str">
        <f t="shared" si="4"/>
        <v>0</v>
      </c>
      <c r="I1390" s="106" t="str">
        <f>SUMIFS(Del!C:C,Del!B:B,A1390)</f>
        <v>0</v>
      </c>
      <c r="J1390" s="106" t="str">
        <f t="shared" si="5"/>
        <v>1</v>
      </c>
      <c r="K1390" s="106" t="str">
        <f t="shared" si="6"/>
        <v>1</v>
      </c>
      <c r="L1390" s="106"/>
      <c r="M1390" s="106" t="str">
        <f>SUMIFS(Ere!C:C,Ere!B:B,A1390)</f>
        <v>0</v>
      </c>
      <c r="N1390" s="106" t="str">
        <f t="shared" si="7"/>
        <v>1</v>
      </c>
      <c r="O1390" s="107" t="str">
        <f t="array" ref="O1390">XLOOKUP(A1390,Data!F:F,Data!O:O)</f>
        <v>  0.51 </v>
      </c>
      <c r="P1390" s="107" t="str">
        <f t="shared" si="8"/>
        <v>  1.27 </v>
      </c>
      <c r="Q1390" s="27"/>
    </row>
    <row r="1391" ht="15.75" customHeight="1">
      <c r="A1391" s="105" t="s">
        <v>1635</v>
      </c>
      <c r="B1391" s="19" t="str">
        <f t="array" ref="B1391">XLOOKUP(A1391,Data!F:F,Data!G:G)</f>
        <v>J1D</v>
      </c>
      <c r="C1391" s="19" t="str">
        <f t="shared" si="3"/>
        <v>J100</v>
      </c>
      <c r="D1391" s="19" t="str">
        <f t="array" ref="D1391">XLOOKUP(A1391,Data!F:F,Data!C:C)</f>
        <v>EXT</v>
      </c>
      <c r="E1391" s="19" t="str">
        <f t="array" ref="E1391">XLOOKUP(A1391,Data!F:F,Data!H:H)</f>
        <v>BW</v>
      </c>
      <c r="F1391" s="106" t="str">
        <f>SUMIFS(Data!J:J,Data!F:F,A1391)</f>
        <v>1</v>
      </c>
      <c r="G1391" s="106" t="str">
        <f>SUMIFS(Cast!C:C,CastElements,A1391)</f>
        <v>0</v>
      </c>
      <c r="H1391" s="106" t="str">
        <f t="shared" si="4"/>
        <v>1</v>
      </c>
      <c r="I1391" s="106" t="str">
        <f>SUMIFS(Del!C:C,Del!B:B,A1391)</f>
        <v>0</v>
      </c>
      <c r="J1391" s="106" t="str">
        <f t="shared" si="5"/>
        <v>1</v>
      </c>
      <c r="K1391" s="106" t="str">
        <f t="shared" si="6"/>
        <v>0</v>
      </c>
      <c r="L1391" s="106"/>
      <c r="M1391" s="106" t="str">
        <f>SUMIFS(Ere!C:C,Ere!B:B,A1391)</f>
        <v>0</v>
      </c>
      <c r="N1391" s="106" t="str">
        <f t="shared" si="7"/>
        <v>1</v>
      </c>
      <c r="O1391" s="107" t="str">
        <f t="array" ref="O1391">XLOOKUP(A1391,Data!F:F,Data!O:O)</f>
        <v>  1.10 </v>
      </c>
      <c r="P1391" s="107" t="str">
        <f t="shared" si="8"/>
        <v>  2.75 </v>
      </c>
      <c r="Q1391" s="27"/>
    </row>
    <row r="1392" ht="15.75" customHeight="1">
      <c r="A1392" s="105" t="s">
        <v>1636</v>
      </c>
      <c r="B1392" s="19" t="str">
        <f t="array" ref="B1392">XLOOKUP(A1392,Data!F:F,Data!G:G)</f>
        <v>J1D</v>
      </c>
      <c r="C1392" s="19" t="str">
        <f t="shared" si="3"/>
        <v>J100</v>
      </c>
      <c r="D1392" s="19" t="str">
        <f t="array" ref="D1392">XLOOKUP(A1392,Data!F:F,Data!C:C)</f>
        <v/>
      </c>
      <c r="E1392" s="19" t="str">
        <f t="array" ref="E1392">XLOOKUP(A1392,Data!F:F,Data!H:H)</f>
        <v>BW</v>
      </c>
      <c r="F1392" s="106" t="str">
        <f>SUMIFS(Data!J:J,Data!F:F,A1392)</f>
        <v>1</v>
      </c>
      <c r="G1392" s="106" t="str">
        <f>SUMIFS(Cast!C:C,CastElements,A1392)</f>
        <v>1</v>
      </c>
      <c r="H1392" s="106" t="str">
        <f t="shared" si="4"/>
        <v>0</v>
      </c>
      <c r="I1392" s="106" t="str">
        <f>SUMIFS(Del!C:C,Del!B:B,A1392)</f>
        <v>0</v>
      </c>
      <c r="J1392" s="106" t="str">
        <f t="shared" si="5"/>
        <v>1</v>
      </c>
      <c r="K1392" s="106" t="str">
        <f t="shared" si="6"/>
        <v>1</v>
      </c>
      <c r="L1392" s="106"/>
      <c r="M1392" s="106" t="str">
        <f>SUMIFS(Ere!C:C,Ere!B:B,A1392)</f>
        <v>0</v>
      </c>
      <c r="N1392" s="106" t="str">
        <f t="shared" si="7"/>
        <v>1</v>
      </c>
      <c r="O1392" s="107" t="str">
        <f t="array" ref="O1392">XLOOKUP(A1392,Data!F:F,Data!O:O)</f>
        <v>  0.81 </v>
      </c>
      <c r="P1392" s="107" t="str">
        <f t="shared" si="8"/>
        <v>  2.03 </v>
      </c>
      <c r="Q1392" s="27"/>
    </row>
    <row r="1393" ht="15.75" customHeight="1">
      <c r="A1393" s="105" t="s">
        <v>1637</v>
      </c>
      <c r="B1393" s="19" t="str">
        <f t="array" ref="B1393">XLOOKUP(A1393,Data!F:F,Data!G:G)</f>
        <v>J1D</v>
      </c>
      <c r="C1393" s="19" t="str">
        <f t="shared" si="3"/>
        <v>J100</v>
      </c>
      <c r="D1393" s="19" t="str">
        <f t="array" ref="D1393">XLOOKUP(A1393,Data!F:F,Data!C:C)</f>
        <v/>
      </c>
      <c r="E1393" s="19" t="str">
        <f t="array" ref="E1393">XLOOKUP(A1393,Data!F:F,Data!H:H)</f>
        <v>BW</v>
      </c>
      <c r="F1393" s="106" t="str">
        <f>SUMIFS(Data!J:J,Data!F:F,A1393)</f>
        <v>1</v>
      </c>
      <c r="G1393" s="106" t="str">
        <f>SUMIFS(Cast!C:C,CastElements,A1393)</f>
        <v>1</v>
      </c>
      <c r="H1393" s="106" t="str">
        <f t="shared" si="4"/>
        <v>0</v>
      </c>
      <c r="I1393" s="106" t="str">
        <f>SUMIFS(Del!C:C,Del!B:B,A1393)</f>
        <v>1</v>
      </c>
      <c r="J1393" s="106" t="str">
        <f t="shared" si="5"/>
        <v>0</v>
      </c>
      <c r="K1393" s="106" t="str">
        <f t="shared" si="6"/>
        <v>0</v>
      </c>
      <c r="L1393" s="106"/>
      <c r="M1393" s="106" t="str">
        <f>SUMIFS(Ere!C:C,Ere!B:B,A1393)</f>
        <v>1</v>
      </c>
      <c r="N1393" s="106" t="str">
        <f t="shared" si="7"/>
        <v>0</v>
      </c>
      <c r="O1393" s="107" t="str">
        <f t="array" ref="O1393">XLOOKUP(A1393,Data!F:F,Data!O:O)</f>
        <v>  1.98 </v>
      </c>
      <c r="P1393" s="107" t="str">
        <f t="shared" si="8"/>
        <v>  4.96 </v>
      </c>
      <c r="Q1393" s="27"/>
    </row>
    <row r="1394" ht="15.75" customHeight="1">
      <c r="A1394" s="105" t="s">
        <v>1638</v>
      </c>
      <c r="B1394" s="19" t="str">
        <f t="array" ref="B1394">XLOOKUP(A1394,Data!F:F,Data!G:G)</f>
        <v>J1D</v>
      </c>
      <c r="C1394" s="19" t="str">
        <f t="shared" si="3"/>
        <v>J100</v>
      </c>
      <c r="D1394" s="19" t="str">
        <f t="array" ref="D1394">XLOOKUP(A1394,Data!F:F,Data!C:C)</f>
        <v/>
      </c>
      <c r="E1394" s="19" t="str">
        <f t="array" ref="E1394">XLOOKUP(A1394,Data!F:F,Data!H:H)</f>
        <v>BW</v>
      </c>
      <c r="F1394" s="106" t="str">
        <f>SUMIFS(Data!J:J,Data!F:F,A1394)</f>
        <v>1</v>
      </c>
      <c r="G1394" s="106" t="str">
        <f>SUMIFS(Cast!C:C,CastElements,A1394)</f>
        <v>1</v>
      </c>
      <c r="H1394" s="106" t="str">
        <f t="shared" si="4"/>
        <v>0</v>
      </c>
      <c r="I1394" s="106" t="str">
        <f>SUMIFS(Del!C:C,Del!B:B,A1394)</f>
        <v>0</v>
      </c>
      <c r="J1394" s="106" t="str">
        <f t="shared" si="5"/>
        <v>1</v>
      </c>
      <c r="K1394" s="106" t="str">
        <f t="shared" si="6"/>
        <v>1</v>
      </c>
      <c r="L1394" s="106"/>
      <c r="M1394" s="106" t="str">
        <f>SUMIFS(Ere!C:C,Ere!B:B,A1394)</f>
        <v>0</v>
      </c>
      <c r="N1394" s="106" t="str">
        <f t="shared" si="7"/>
        <v>1</v>
      </c>
      <c r="O1394" s="107" t="str">
        <f t="array" ref="O1394">XLOOKUP(A1394,Data!F:F,Data!O:O)</f>
        <v>  2.65 </v>
      </c>
      <c r="P1394" s="107" t="str">
        <f t="shared" si="8"/>
        <v>  6.62 </v>
      </c>
      <c r="Q1394" s="27"/>
    </row>
    <row r="1395" ht="15.75" customHeight="1">
      <c r="A1395" s="105" t="s">
        <v>1639</v>
      </c>
      <c r="B1395" s="19" t="str">
        <f t="array" ref="B1395">XLOOKUP(A1395,Data!F:F,Data!G:G)</f>
        <v>J1D</v>
      </c>
      <c r="C1395" s="19" t="str">
        <f t="shared" si="3"/>
        <v>J100</v>
      </c>
      <c r="D1395" s="19" t="str">
        <f t="array" ref="D1395">XLOOKUP(A1395,Data!F:F,Data!C:C)</f>
        <v/>
      </c>
      <c r="E1395" s="19" t="str">
        <f t="array" ref="E1395">XLOOKUP(A1395,Data!F:F,Data!H:H)</f>
        <v>BW</v>
      </c>
      <c r="F1395" s="106" t="str">
        <f>SUMIFS(Data!J:J,Data!F:F,A1395)</f>
        <v>1</v>
      </c>
      <c r="G1395" s="106" t="str">
        <f>SUMIFS(Cast!C:C,CastElements,A1395)</f>
        <v>1</v>
      </c>
      <c r="H1395" s="106" t="str">
        <f t="shared" si="4"/>
        <v>0</v>
      </c>
      <c r="I1395" s="106" t="str">
        <f>SUMIFS(Del!C:C,Del!B:B,A1395)</f>
        <v>0</v>
      </c>
      <c r="J1395" s="106" t="str">
        <f t="shared" si="5"/>
        <v>1</v>
      </c>
      <c r="K1395" s="106" t="str">
        <f t="shared" si="6"/>
        <v>1</v>
      </c>
      <c r="L1395" s="106"/>
      <c r="M1395" s="106" t="str">
        <f>SUMIFS(Ere!C:C,Ere!B:B,A1395)</f>
        <v>0</v>
      </c>
      <c r="N1395" s="106" t="str">
        <f t="shared" si="7"/>
        <v>1</v>
      </c>
      <c r="O1395" s="107" t="str">
        <f t="array" ref="O1395">XLOOKUP(A1395,Data!F:F,Data!O:O)</f>
        <v>  1.41 </v>
      </c>
      <c r="P1395" s="107" t="str">
        <f t="shared" si="8"/>
        <v>  3.53 </v>
      </c>
      <c r="Q1395" s="27"/>
    </row>
    <row r="1396" ht="15.75" customHeight="1">
      <c r="A1396" s="105" t="s">
        <v>1640</v>
      </c>
      <c r="B1396" s="19" t="str">
        <f t="array" ref="B1396">XLOOKUP(A1396,Data!F:F,Data!G:G)</f>
        <v>J1D</v>
      </c>
      <c r="C1396" s="19" t="str">
        <f t="shared" si="3"/>
        <v>J100</v>
      </c>
      <c r="D1396" s="19" t="str">
        <f t="array" ref="D1396">XLOOKUP(A1396,Data!F:F,Data!C:C)</f>
        <v>EXT</v>
      </c>
      <c r="E1396" s="19" t="str">
        <f t="array" ref="E1396">XLOOKUP(A1396,Data!F:F,Data!H:H)</f>
        <v>BW</v>
      </c>
      <c r="F1396" s="106" t="str">
        <f>SUMIFS(Data!J:J,Data!F:F,A1396)</f>
        <v>1</v>
      </c>
      <c r="G1396" s="106" t="str">
        <f>SUMIFS(Cast!C:C,CastElements,A1396)</f>
        <v>0</v>
      </c>
      <c r="H1396" s="106" t="str">
        <f t="shared" si="4"/>
        <v>1</v>
      </c>
      <c r="I1396" s="106" t="str">
        <f>SUMIFS(Del!C:C,Del!B:B,A1396)</f>
        <v>0</v>
      </c>
      <c r="J1396" s="106" t="str">
        <f t="shared" si="5"/>
        <v>1</v>
      </c>
      <c r="K1396" s="106" t="str">
        <f t="shared" si="6"/>
        <v>0</v>
      </c>
      <c r="L1396" s="106"/>
      <c r="M1396" s="106" t="str">
        <f>SUMIFS(Ere!C:C,Ere!B:B,A1396)</f>
        <v>0</v>
      </c>
      <c r="N1396" s="106" t="str">
        <f t="shared" si="7"/>
        <v>1</v>
      </c>
      <c r="O1396" s="107" t="str">
        <f t="array" ref="O1396">XLOOKUP(A1396,Data!F:F,Data!O:O)</f>
        <v>  0.93 </v>
      </c>
      <c r="P1396" s="107" t="str">
        <f t="shared" si="8"/>
        <v>  2.33 </v>
      </c>
      <c r="Q1396" s="27"/>
    </row>
    <row r="1397" ht="15.75" customHeight="1">
      <c r="A1397" s="105" t="s">
        <v>1641</v>
      </c>
      <c r="B1397" s="19" t="str">
        <f t="array" ref="B1397">XLOOKUP(A1397,Data!F:F,Data!G:G)</f>
        <v>J1E</v>
      </c>
      <c r="C1397" s="19" t="str">
        <f t="shared" si="3"/>
        <v>J110</v>
      </c>
      <c r="D1397" s="19" t="str">
        <f t="array" ref="D1397">XLOOKUP(A1397,Data!F:F,Data!C:C)</f>
        <v>EXT</v>
      </c>
      <c r="E1397" s="19" t="str">
        <f t="array" ref="E1397">XLOOKUP(A1397,Data!F:F,Data!H:H)</f>
        <v>BW</v>
      </c>
      <c r="F1397" s="106" t="str">
        <f>SUMIFS(Data!J:J,Data!F:F,A1397)</f>
        <v>1</v>
      </c>
      <c r="G1397" s="106" t="str">
        <f>SUMIFS(Cast!C:C,CastElements,A1397)</f>
        <v>0</v>
      </c>
      <c r="H1397" s="106" t="str">
        <f t="shared" si="4"/>
        <v>1</v>
      </c>
      <c r="I1397" s="106" t="str">
        <f>SUMIFS(Del!C:C,Del!B:B,A1397)</f>
        <v>0</v>
      </c>
      <c r="J1397" s="106" t="str">
        <f t="shared" si="5"/>
        <v>1</v>
      </c>
      <c r="K1397" s="106" t="str">
        <f t="shared" si="6"/>
        <v>0</v>
      </c>
      <c r="L1397" s="106"/>
      <c r="M1397" s="106" t="str">
        <f>SUMIFS(Ere!C:C,Ere!B:B,A1397)</f>
        <v>0</v>
      </c>
      <c r="N1397" s="106" t="str">
        <f t="shared" si="7"/>
        <v>1</v>
      </c>
      <c r="O1397" s="107" t="str">
        <f t="array" ref="O1397">XLOOKUP(A1397,Data!F:F,Data!O:O)</f>
        <v>  0.94 </v>
      </c>
      <c r="P1397" s="107" t="str">
        <f t="shared" si="8"/>
        <v>  2.35 </v>
      </c>
      <c r="Q1397" s="27"/>
    </row>
    <row r="1398" ht="15.75" customHeight="1">
      <c r="A1398" s="105" t="s">
        <v>1642</v>
      </c>
      <c r="B1398" s="19" t="str">
        <f t="array" ref="B1398">XLOOKUP(A1398,Data!F:F,Data!G:G)</f>
        <v>J1E</v>
      </c>
      <c r="C1398" s="19" t="str">
        <f t="shared" si="3"/>
        <v>J110</v>
      </c>
      <c r="D1398" s="19" t="str">
        <f t="array" ref="D1398">XLOOKUP(A1398,Data!F:F,Data!C:C)</f>
        <v>EXT</v>
      </c>
      <c r="E1398" s="19" t="str">
        <f t="array" ref="E1398">XLOOKUP(A1398,Data!F:F,Data!H:H)</f>
        <v>BW</v>
      </c>
      <c r="F1398" s="106" t="str">
        <f>SUMIFS(Data!J:J,Data!F:F,A1398)</f>
        <v>1</v>
      </c>
      <c r="G1398" s="106" t="str">
        <f>SUMIFS(Cast!C:C,CastElements,A1398)</f>
        <v>0</v>
      </c>
      <c r="H1398" s="106" t="str">
        <f t="shared" si="4"/>
        <v>1</v>
      </c>
      <c r="I1398" s="106" t="str">
        <f>SUMIFS(Del!C:C,Del!B:B,A1398)</f>
        <v>0</v>
      </c>
      <c r="J1398" s="106" t="str">
        <f t="shared" si="5"/>
        <v>1</v>
      </c>
      <c r="K1398" s="106" t="str">
        <f t="shared" si="6"/>
        <v>0</v>
      </c>
      <c r="L1398" s="106"/>
      <c r="M1398" s="106" t="str">
        <f>SUMIFS(Ere!C:C,Ere!B:B,A1398)</f>
        <v>0</v>
      </c>
      <c r="N1398" s="106" t="str">
        <f t="shared" si="7"/>
        <v>1</v>
      </c>
      <c r="O1398" s="107" t="str">
        <f t="array" ref="O1398">XLOOKUP(A1398,Data!F:F,Data!O:O)</f>
        <v>  0.94 </v>
      </c>
      <c r="P1398" s="107" t="str">
        <f t="shared" si="8"/>
        <v>  2.35 </v>
      </c>
      <c r="Q1398" s="27"/>
    </row>
    <row r="1399" ht="15.75" customHeight="1">
      <c r="A1399" s="105" t="s">
        <v>1643</v>
      </c>
      <c r="B1399" s="19" t="str">
        <f t="array" ref="B1399">XLOOKUP(A1399,Data!F:F,Data!G:G)</f>
        <v>J1E</v>
      </c>
      <c r="C1399" s="19" t="str">
        <f t="shared" si="3"/>
        <v>J110</v>
      </c>
      <c r="D1399" s="19" t="str">
        <f t="array" ref="D1399">XLOOKUP(A1399,Data!F:F,Data!C:C)</f>
        <v>EXT</v>
      </c>
      <c r="E1399" s="19" t="str">
        <f t="array" ref="E1399">XLOOKUP(A1399,Data!F:F,Data!H:H)</f>
        <v>BW</v>
      </c>
      <c r="F1399" s="106" t="str">
        <f>SUMIFS(Data!J:J,Data!F:F,A1399)</f>
        <v>1</v>
      </c>
      <c r="G1399" s="106" t="str">
        <f>SUMIFS(Cast!C:C,CastElements,A1399)</f>
        <v>0</v>
      </c>
      <c r="H1399" s="106" t="str">
        <f t="shared" si="4"/>
        <v>1</v>
      </c>
      <c r="I1399" s="106" t="str">
        <f>SUMIFS(Del!C:C,Del!B:B,A1399)</f>
        <v>0</v>
      </c>
      <c r="J1399" s="106" t="str">
        <f t="shared" si="5"/>
        <v>1</v>
      </c>
      <c r="K1399" s="106" t="str">
        <f t="shared" si="6"/>
        <v>0</v>
      </c>
      <c r="L1399" s="106"/>
      <c r="M1399" s="106" t="str">
        <f>SUMIFS(Ere!C:C,Ere!B:B,A1399)</f>
        <v>0</v>
      </c>
      <c r="N1399" s="106" t="str">
        <f t="shared" si="7"/>
        <v>1</v>
      </c>
      <c r="O1399" s="107" t="str">
        <f t="array" ref="O1399">XLOOKUP(A1399,Data!F:F,Data!O:O)</f>
        <v>  0.94 </v>
      </c>
      <c r="P1399" s="107" t="str">
        <f t="shared" si="8"/>
        <v>  2.35 </v>
      </c>
      <c r="Q1399" s="27"/>
    </row>
    <row r="1400" ht="15.75" customHeight="1">
      <c r="A1400" s="105" t="s">
        <v>1644</v>
      </c>
      <c r="B1400" s="19" t="str">
        <f t="array" ref="B1400">XLOOKUP(A1400,Data!F:F,Data!G:G)</f>
        <v>J1E</v>
      </c>
      <c r="C1400" s="19" t="str">
        <f t="shared" si="3"/>
        <v>J110</v>
      </c>
      <c r="D1400" s="19" t="str">
        <f t="array" ref="D1400">XLOOKUP(A1400,Data!F:F,Data!C:C)</f>
        <v/>
      </c>
      <c r="E1400" s="19" t="str">
        <f t="array" ref="E1400">XLOOKUP(A1400,Data!F:F,Data!H:H)</f>
        <v>BW</v>
      </c>
      <c r="F1400" s="106" t="str">
        <f>SUMIFS(Data!J:J,Data!F:F,A1400)</f>
        <v>1</v>
      </c>
      <c r="G1400" s="106" t="str">
        <f>SUMIFS(Cast!C:C,CastElements,A1400)</f>
        <v>0</v>
      </c>
      <c r="H1400" s="106" t="str">
        <f t="shared" si="4"/>
        <v>1</v>
      </c>
      <c r="I1400" s="106" t="str">
        <f>SUMIFS(Del!C:C,Del!B:B,A1400)</f>
        <v>0</v>
      </c>
      <c r="J1400" s="106" t="str">
        <f t="shared" si="5"/>
        <v>1</v>
      </c>
      <c r="K1400" s="106" t="str">
        <f t="shared" si="6"/>
        <v>0</v>
      </c>
      <c r="L1400" s="106"/>
      <c r="M1400" s="106" t="str">
        <f>SUMIFS(Ere!C:C,Ere!B:B,A1400)</f>
        <v>0</v>
      </c>
      <c r="N1400" s="106" t="str">
        <f t="shared" si="7"/>
        <v>1</v>
      </c>
      <c r="O1400" s="107" t="str">
        <f t="array" ref="O1400">XLOOKUP(A1400,Data!F:F,Data!O:O)</f>
        <v>  0.79 </v>
      </c>
      <c r="P1400" s="107" t="str">
        <f t="shared" si="8"/>
        <v>  1.98 </v>
      </c>
      <c r="Q1400" s="27"/>
    </row>
    <row r="1401" ht="15.75" customHeight="1">
      <c r="A1401" s="105" t="s">
        <v>1645</v>
      </c>
      <c r="B1401" s="19" t="str">
        <f t="array" ref="B1401">XLOOKUP(A1401,Data!F:F,Data!G:G)</f>
        <v>J1E</v>
      </c>
      <c r="C1401" s="19" t="str">
        <f t="shared" si="3"/>
        <v>J110</v>
      </c>
      <c r="D1401" s="19" t="str">
        <f t="array" ref="D1401">XLOOKUP(A1401,Data!F:F,Data!C:C)</f>
        <v>EXT</v>
      </c>
      <c r="E1401" s="19" t="str">
        <f t="array" ref="E1401">XLOOKUP(A1401,Data!F:F,Data!H:H)</f>
        <v>BW</v>
      </c>
      <c r="F1401" s="106" t="str">
        <f>SUMIFS(Data!J:J,Data!F:F,A1401)</f>
        <v>1</v>
      </c>
      <c r="G1401" s="106" t="str">
        <f>SUMIFS(Cast!C:C,CastElements,A1401)</f>
        <v>0</v>
      </c>
      <c r="H1401" s="106" t="str">
        <f t="shared" si="4"/>
        <v>1</v>
      </c>
      <c r="I1401" s="106" t="str">
        <f>SUMIFS(Del!C:C,Del!B:B,A1401)</f>
        <v>0</v>
      </c>
      <c r="J1401" s="106" t="str">
        <f t="shared" si="5"/>
        <v>1</v>
      </c>
      <c r="K1401" s="106" t="str">
        <f t="shared" si="6"/>
        <v>0</v>
      </c>
      <c r="L1401" s="106"/>
      <c r="M1401" s="106" t="str">
        <f>SUMIFS(Ere!C:C,Ere!B:B,A1401)</f>
        <v>0</v>
      </c>
      <c r="N1401" s="106" t="str">
        <f t="shared" si="7"/>
        <v>1</v>
      </c>
      <c r="O1401" s="107" t="str">
        <f t="array" ref="O1401">XLOOKUP(A1401,Data!F:F,Data!O:O)</f>
        <v>  0.79 </v>
      </c>
      <c r="P1401" s="107" t="str">
        <f t="shared" si="8"/>
        <v>  1.98 </v>
      </c>
      <c r="Q1401" s="27"/>
    </row>
    <row r="1402" ht="15.75" customHeight="1">
      <c r="A1402" s="105" t="s">
        <v>1646</v>
      </c>
      <c r="B1402" s="19" t="str">
        <f t="array" ref="B1402">XLOOKUP(A1402,Data!F:F,Data!G:G)</f>
        <v>J1E</v>
      </c>
      <c r="C1402" s="19" t="str">
        <f t="shared" si="3"/>
        <v>J110</v>
      </c>
      <c r="D1402" s="19" t="str">
        <f t="array" ref="D1402">XLOOKUP(A1402,Data!F:F,Data!C:C)</f>
        <v/>
      </c>
      <c r="E1402" s="19" t="str">
        <f t="array" ref="E1402">XLOOKUP(A1402,Data!F:F,Data!H:H)</f>
        <v>BW</v>
      </c>
      <c r="F1402" s="106" t="str">
        <f>SUMIFS(Data!J:J,Data!F:F,A1402)</f>
        <v>1</v>
      </c>
      <c r="G1402" s="106" t="str">
        <f>SUMIFS(Cast!C:C,CastElements,A1402)</f>
        <v>0</v>
      </c>
      <c r="H1402" s="106" t="str">
        <f t="shared" si="4"/>
        <v>1</v>
      </c>
      <c r="I1402" s="106" t="str">
        <f>SUMIFS(Del!C:C,Del!B:B,A1402)</f>
        <v>0</v>
      </c>
      <c r="J1402" s="106" t="str">
        <f t="shared" si="5"/>
        <v>1</v>
      </c>
      <c r="K1402" s="106" t="str">
        <f t="shared" si="6"/>
        <v>0</v>
      </c>
      <c r="L1402" s="106"/>
      <c r="M1402" s="106" t="str">
        <f>SUMIFS(Ere!C:C,Ere!B:B,A1402)</f>
        <v>0</v>
      </c>
      <c r="N1402" s="106" t="str">
        <f t="shared" si="7"/>
        <v>1</v>
      </c>
      <c r="O1402" s="107" t="str">
        <f t="array" ref="O1402">XLOOKUP(A1402,Data!F:F,Data!O:O)</f>
        <v>  1.58 </v>
      </c>
      <c r="P1402" s="107" t="str">
        <f t="shared" si="8"/>
        <v>  3.95 </v>
      </c>
      <c r="Q1402" s="27"/>
    </row>
    <row r="1403" ht="15.75" customHeight="1">
      <c r="A1403" s="105" t="s">
        <v>1647</v>
      </c>
      <c r="B1403" s="19" t="str">
        <f t="array" ref="B1403">XLOOKUP(A1403,Data!F:F,Data!G:G)</f>
        <v>J1E</v>
      </c>
      <c r="C1403" s="19" t="str">
        <f t="shared" si="3"/>
        <v>J110</v>
      </c>
      <c r="D1403" s="19" t="str">
        <f t="array" ref="D1403">XLOOKUP(A1403,Data!F:F,Data!C:C)</f>
        <v/>
      </c>
      <c r="E1403" s="19" t="str">
        <f t="array" ref="E1403">XLOOKUP(A1403,Data!F:F,Data!H:H)</f>
        <v>BW</v>
      </c>
      <c r="F1403" s="106" t="str">
        <f>SUMIFS(Data!J:J,Data!F:F,A1403)</f>
        <v>1</v>
      </c>
      <c r="G1403" s="106" t="str">
        <f>SUMIFS(Cast!C:C,CastElements,A1403)</f>
        <v>0</v>
      </c>
      <c r="H1403" s="106" t="str">
        <f t="shared" si="4"/>
        <v>1</v>
      </c>
      <c r="I1403" s="106" t="str">
        <f>SUMIFS(Del!C:C,Del!B:B,A1403)</f>
        <v>0</v>
      </c>
      <c r="J1403" s="106" t="str">
        <f t="shared" si="5"/>
        <v>1</v>
      </c>
      <c r="K1403" s="106" t="str">
        <f t="shared" si="6"/>
        <v>0</v>
      </c>
      <c r="L1403" s="106"/>
      <c r="M1403" s="106" t="str">
        <f>SUMIFS(Ere!C:C,Ere!B:B,A1403)</f>
        <v>0</v>
      </c>
      <c r="N1403" s="106" t="str">
        <f t="shared" si="7"/>
        <v>1</v>
      </c>
      <c r="O1403" s="107" t="str">
        <f t="array" ref="O1403">XLOOKUP(A1403,Data!F:F,Data!O:O)</f>
        <v>  1.51 </v>
      </c>
      <c r="P1403" s="107" t="str">
        <f t="shared" si="8"/>
        <v>  3.78 </v>
      </c>
      <c r="Q1403" s="27"/>
    </row>
    <row r="1404" ht="15.75" customHeight="1">
      <c r="A1404" s="105" t="s">
        <v>1648</v>
      </c>
      <c r="B1404" s="19" t="str">
        <f t="array" ref="B1404">XLOOKUP(A1404,Data!F:F,Data!G:G)</f>
        <v>J1E</v>
      </c>
      <c r="C1404" s="19" t="str">
        <f t="shared" si="3"/>
        <v>J110</v>
      </c>
      <c r="D1404" s="19" t="str">
        <f t="array" ref="D1404">XLOOKUP(A1404,Data!F:F,Data!C:C)</f>
        <v/>
      </c>
      <c r="E1404" s="19" t="str">
        <f t="array" ref="E1404">XLOOKUP(A1404,Data!F:F,Data!H:H)</f>
        <v>BW</v>
      </c>
      <c r="F1404" s="106" t="str">
        <f>SUMIFS(Data!J:J,Data!F:F,A1404)</f>
        <v>1</v>
      </c>
      <c r="G1404" s="106" t="str">
        <f>SUMIFS(Cast!C:C,CastElements,A1404)</f>
        <v>0</v>
      </c>
      <c r="H1404" s="106" t="str">
        <f t="shared" si="4"/>
        <v>1</v>
      </c>
      <c r="I1404" s="106" t="str">
        <f>SUMIFS(Del!C:C,Del!B:B,A1404)</f>
        <v>0</v>
      </c>
      <c r="J1404" s="106" t="str">
        <f t="shared" si="5"/>
        <v>1</v>
      </c>
      <c r="K1404" s="106" t="str">
        <f t="shared" si="6"/>
        <v>0</v>
      </c>
      <c r="L1404" s="106"/>
      <c r="M1404" s="106" t="str">
        <f>SUMIFS(Ere!C:C,Ere!B:B,A1404)</f>
        <v>0</v>
      </c>
      <c r="N1404" s="106" t="str">
        <f t="shared" si="7"/>
        <v>1</v>
      </c>
      <c r="O1404" s="107" t="str">
        <f t="array" ref="O1404">XLOOKUP(A1404,Data!F:F,Data!O:O)</f>
        <v>  1.89 </v>
      </c>
      <c r="P1404" s="107" t="str">
        <f t="shared" si="8"/>
        <v>  4.73 </v>
      </c>
      <c r="Q1404" s="27"/>
    </row>
    <row r="1405" ht="15.75" customHeight="1">
      <c r="A1405" s="105" t="s">
        <v>1649</v>
      </c>
      <c r="B1405" s="19" t="str">
        <f t="array" ref="B1405">XLOOKUP(A1405,Data!F:F,Data!G:G)</f>
        <v>J1E</v>
      </c>
      <c r="C1405" s="19" t="str">
        <f t="shared" si="3"/>
        <v>J110</v>
      </c>
      <c r="D1405" s="19" t="str">
        <f t="array" ref="D1405">XLOOKUP(A1405,Data!F:F,Data!C:C)</f>
        <v/>
      </c>
      <c r="E1405" s="19" t="str">
        <f t="array" ref="E1405">XLOOKUP(A1405,Data!F:F,Data!H:H)</f>
        <v>BW</v>
      </c>
      <c r="F1405" s="106" t="str">
        <f>SUMIFS(Data!J:J,Data!F:F,A1405)</f>
        <v>1</v>
      </c>
      <c r="G1405" s="106" t="str">
        <f>SUMIFS(Cast!C:C,CastElements,A1405)</f>
        <v>0</v>
      </c>
      <c r="H1405" s="106" t="str">
        <f t="shared" si="4"/>
        <v>1</v>
      </c>
      <c r="I1405" s="106" t="str">
        <f>SUMIFS(Del!C:C,Del!B:B,A1405)</f>
        <v>0</v>
      </c>
      <c r="J1405" s="106" t="str">
        <f t="shared" si="5"/>
        <v>1</v>
      </c>
      <c r="K1405" s="106" t="str">
        <f t="shared" si="6"/>
        <v>0</v>
      </c>
      <c r="L1405" s="106"/>
      <c r="M1405" s="106" t="str">
        <f>SUMIFS(Ere!C:C,Ere!B:B,A1405)</f>
        <v>0</v>
      </c>
      <c r="N1405" s="106" t="str">
        <f t="shared" si="7"/>
        <v>1</v>
      </c>
      <c r="O1405" s="107" t="str">
        <f t="array" ref="O1405">XLOOKUP(A1405,Data!F:F,Data!O:O)</f>
        <v>  2.00 </v>
      </c>
      <c r="P1405" s="107" t="str">
        <f t="shared" si="8"/>
        <v>  5.00 </v>
      </c>
      <c r="Q1405" s="27"/>
    </row>
    <row r="1406" ht="15.75" customHeight="1">
      <c r="A1406" s="105" t="s">
        <v>1650</v>
      </c>
      <c r="B1406" s="19" t="str">
        <f t="array" ref="B1406">XLOOKUP(A1406,Data!F:F,Data!G:G)</f>
        <v>J1E</v>
      </c>
      <c r="C1406" s="19" t="str">
        <f t="shared" si="3"/>
        <v>J110</v>
      </c>
      <c r="D1406" s="19" t="str">
        <f t="array" ref="D1406">XLOOKUP(A1406,Data!F:F,Data!C:C)</f>
        <v/>
      </c>
      <c r="E1406" s="19" t="str">
        <f t="array" ref="E1406">XLOOKUP(A1406,Data!F:F,Data!H:H)</f>
        <v>BW</v>
      </c>
      <c r="F1406" s="106" t="str">
        <f>SUMIFS(Data!J:J,Data!F:F,A1406)</f>
        <v>1</v>
      </c>
      <c r="G1406" s="106" t="str">
        <f>SUMIFS(Cast!C:C,CastElements,A1406)</f>
        <v>0</v>
      </c>
      <c r="H1406" s="106" t="str">
        <f t="shared" si="4"/>
        <v>1</v>
      </c>
      <c r="I1406" s="106" t="str">
        <f>SUMIFS(Del!C:C,Del!B:B,A1406)</f>
        <v>0</v>
      </c>
      <c r="J1406" s="106" t="str">
        <f t="shared" si="5"/>
        <v>1</v>
      </c>
      <c r="K1406" s="106" t="str">
        <f t="shared" si="6"/>
        <v>0</v>
      </c>
      <c r="L1406" s="106"/>
      <c r="M1406" s="106" t="str">
        <f>SUMIFS(Ere!C:C,Ere!B:B,A1406)</f>
        <v>0</v>
      </c>
      <c r="N1406" s="106" t="str">
        <f t="shared" si="7"/>
        <v>1</v>
      </c>
      <c r="O1406" s="107" t="str">
        <f t="array" ref="O1406">XLOOKUP(A1406,Data!F:F,Data!O:O)</f>
        <v>  2.24 </v>
      </c>
      <c r="P1406" s="107" t="str">
        <f t="shared" si="8"/>
        <v>  5.60 </v>
      </c>
      <c r="Q1406" s="27"/>
    </row>
    <row r="1407" ht="15.75" customHeight="1">
      <c r="A1407" s="105" t="s">
        <v>1651</v>
      </c>
      <c r="B1407" s="19" t="str">
        <f t="array" ref="B1407">XLOOKUP(A1407,Data!F:F,Data!G:G)</f>
        <v>J1E</v>
      </c>
      <c r="C1407" s="19" t="str">
        <f t="shared" si="3"/>
        <v>J110</v>
      </c>
      <c r="D1407" s="19" t="str">
        <f t="array" ref="D1407">XLOOKUP(A1407,Data!F:F,Data!C:C)</f>
        <v/>
      </c>
      <c r="E1407" s="19" t="str">
        <f t="array" ref="E1407">XLOOKUP(A1407,Data!F:F,Data!H:H)</f>
        <v>BW</v>
      </c>
      <c r="F1407" s="106" t="str">
        <f>SUMIFS(Data!J:J,Data!F:F,A1407)</f>
        <v>1</v>
      </c>
      <c r="G1407" s="106" t="str">
        <f>SUMIFS(Cast!C:C,CastElements,A1407)</f>
        <v>0</v>
      </c>
      <c r="H1407" s="106" t="str">
        <f t="shared" si="4"/>
        <v>1</v>
      </c>
      <c r="I1407" s="106" t="str">
        <f>SUMIFS(Del!C:C,Del!B:B,A1407)</f>
        <v>0</v>
      </c>
      <c r="J1407" s="106" t="str">
        <f t="shared" si="5"/>
        <v>1</v>
      </c>
      <c r="K1407" s="106" t="str">
        <f t="shared" si="6"/>
        <v>0</v>
      </c>
      <c r="L1407" s="106"/>
      <c r="M1407" s="106" t="str">
        <f>SUMIFS(Ere!C:C,Ere!B:B,A1407)</f>
        <v>0</v>
      </c>
      <c r="N1407" s="106" t="str">
        <f t="shared" si="7"/>
        <v>1</v>
      </c>
      <c r="O1407" s="107" t="str">
        <f t="array" ref="O1407">XLOOKUP(A1407,Data!F:F,Data!O:O)</f>
        <v>  2.11 </v>
      </c>
      <c r="P1407" s="107" t="str">
        <f t="shared" si="8"/>
        <v>  5.28 </v>
      </c>
      <c r="Q1407" s="27"/>
    </row>
    <row r="1408" ht="15.75" customHeight="1">
      <c r="A1408" s="105" t="s">
        <v>1652</v>
      </c>
      <c r="B1408" s="19" t="str">
        <f t="array" ref="B1408">XLOOKUP(A1408,Data!F:F,Data!G:G)</f>
        <v>J1E</v>
      </c>
      <c r="C1408" s="19" t="str">
        <f t="shared" si="3"/>
        <v>J110</v>
      </c>
      <c r="D1408" s="19" t="str">
        <f t="array" ref="D1408">XLOOKUP(A1408,Data!F:F,Data!C:C)</f>
        <v/>
      </c>
      <c r="E1408" s="19" t="str">
        <f t="array" ref="E1408">XLOOKUP(A1408,Data!F:F,Data!H:H)</f>
        <v>BW</v>
      </c>
      <c r="F1408" s="106" t="str">
        <f>SUMIFS(Data!J:J,Data!F:F,A1408)</f>
        <v>1</v>
      </c>
      <c r="G1408" s="106" t="str">
        <f>SUMIFS(Cast!C:C,CastElements,A1408)</f>
        <v>0</v>
      </c>
      <c r="H1408" s="106" t="str">
        <f t="shared" si="4"/>
        <v>1</v>
      </c>
      <c r="I1408" s="106" t="str">
        <f>SUMIFS(Del!C:C,Del!B:B,A1408)</f>
        <v>0</v>
      </c>
      <c r="J1408" s="106" t="str">
        <f t="shared" si="5"/>
        <v>1</v>
      </c>
      <c r="K1408" s="106" t="str">
        <f t="shared" si="6"/>
        <v>0</v>
      </c>
      <c r="L1408" s="106"/>
      <c r="M1408" s="106" t="str">
        <f>SUMIFS(Ere!C:C,Ere!B:B,A1408)</f>
        <v>0</v>
      </c>
      <c r="N1408" s="106" t="str">
        <f t="shared" si="7"/>
        <v>1</v>
      </c>
      <c r="O1408" s="107" t="str">
        <f t="array" ref="O1408">XLOOKUP(A1408,Data!F:F,Data!O:O)</f>
        <v>  2.11 </v>
      </c>
      <c r="P1408" s="107" t="str">
        <f t="shared" si="8"/>
        <v>  5.28 </v>
      </c>
      <c r="Q1408" s="27"/>
    </row>
    <row r="1409" ht="15.75" customHeight="1">
      <c r="A1409" s="105" t="s">
        <v>1653</v>
      </c>
      <c r="B1409" s="19" t="str">
        <f t="array" ref="B1409">XLOOKUP(A1409,Data!F:F,Data!G:G)</f>
        <v>J1E</v>
      </c>
      <c r="C1409" s="19" t="str">
        <f t="shared" si="3"/>
        <v>J110</v>
      </c>
      <c r="D1409" s="19" t="str">
        <f t="array" ref="D1409">XLOOKUP(A1409,Data!F:F,Data!C:C)</f>
        <v/>
      </c>
      <c r="E1409" s="19" t="str">
        <f t="array" ref="E1409">XLOOKUP(A1409,Data!F:F,Data!H:H)</f>
        <v>BW</v>
      </c>
      <c r="F1409" s="106" t="str">
        <f>SUMIFS(Data!J:J,Data!F:F,A1409)</f>
        <v>1</v>
      </c>
      <c r="G1409" s="106" t="str">
        <f>SUMIFS(Cast!C:C,CastElements,A1409)</f>
        <v>0</v>
      </c>
      <c r="H1409" s="106" t="str">
        <f t="shared" si="4"/>
        <v>1</v>
      </c>
      <c r="I1409" s="106" t="str">
        <f>SUMIFS(Del!C:C,Del!B:B,A1409)</f>
        <v>0</v>
      </c>
      <c r="J1409" s="106" t="str">
        <f t="shared" si="5"/>
        <v>1</v>
      </c>
      <c r="K1409" s="106" t="str">
        <f t="shared" si="6"/>
        <v>0</v>
      </c>
      <c r="L1409" s="106"/>
      <c r="M1409" s="106" t="str">
        <f>SUMIFS(Ere!C:C,Ere!B:B,A1409)</f>
        <v>0</v>
      </c>
      <c r="N1409" s="106" t="str">
        <f t="shared" si="7"/>
        <v>1</v>
      </c>
      <c r="O1409" s="107" t="str">
        <f t="array" ref="O1409">XLOOKUP(A1409,Data!F:F,Data!O:O)</f>
        <v>  2.11 </v>
      </c>
      <c r="P1409" s="107" t="str">
        <f t="shared" si="8"/>
        <v>  5.28 </v>
      </c>
      <c r="Q1409" s="27"/>
    </row>
    <row r="1410" ht="15.75" customHeight="1">
      <c r="A1410" s="105" t="s">
        <v>1654</v>
      </c>
      <c r="B1410" s="19" t="str">
        <f t="array" ref="B1410">XLOOKUP(A1410,Data!F:F,Data!G:G)</f>
        <v>J1E</v>
      </c>
      <c r="C1410" s="19" t="str">
        <f t="shared" si="3"/>
        <v>J110</v>
      </c>
      <c r="D1410" s="19" t="str">
        <f t="array" ref="D1410">XLOOKUP(A1410,Data!F:F,Data!C:C)</f>
        <v/>
      </c>
      <c r="E1410" s="19" t="str">
        <f t="array" ref="E1410">XLOOKUP(A1410,Data!F:F,Data!H:H)</f>
        <v>BW</v>
      </c>
      <c r="F1410" s="106" t="str">
        <f>SUMIFS(Data!J:J,Data!F:F,A1410)</f>
        <v>1</v>
      </c>
      <c r="G1410" s="106" t="str">
        <f>SUMIFS(Cast!C:C,CastElements,A1410)</f>
        <v>0</v>
      </c>
      <c r="H1410" s="106" t="str">
        <f t="shared" si="4"/>
        <v>1</v>
      </c>
      <c r="I1410" s="106" t="str">
        <f>SUMIFS(Del!C:C,Del!B:B,A1410)</f>
        <v>0</v>
      </c>
      <c r="J1410" s="106" t="str">
        <f t="shared" si="5"/>
        <v>1</v>
      </c>
      <c r="K1410" s="106" t="str">
        <f t="shared" si="6"/>
        <v>0</v>
      </c>
      <c r="L1410" s="106"/>
      <c r="M1410" s="106" t="str">
        <f>SUMIFS(Ere!C:C,Ere!B:B,A1410)</f>
        <v>0</v>
      </c>
      <c r="N1410" s="106" t="str">
        <f t="shared" si="7"/>
        <v>1</v>
      </c>
      <c r="O1410" s="107" t="str">
        <f t="array" ref="O1410">XLOOKUP(A1410,Data!F:F,Data!O:O)</f>
        <v>  1.77 </v>
      </c>
      <c r="P1410" s="107" t="str">
        <f t="shared" si="8"/>
        <v>  4.43 </v>
      </c>
      <c r="Q1410" s="27"/>
    </row>
    <row r="1411" ht="15.75" customHeight="1">
      <c r="A1411" s="105" t="s">
        <v>1655</v>
      </c>
      <c r="B1411" s="19" t="str">
        <f t="array" ref="B1411">XLOOKUP(A1411,Data!F:F,Data!G:G)</f>
        <v>J1E</v>
      </c>
      <c r="C1411" s="19" t="str">
        <f t="shared" si="3"/>
        <v>J110</v>
      </c>
      <c r="D1411" s="19" t="str">
        <f t="array" ref="D1411">XLOOKUP(A1411,Data!F:F,Data!C:C)</f>
        <v/>
      </c>
      <c r="E1411" s="19" t="str">
        <f t="array" ref="E1411">XLOOKUP(A1411,Data!F:F,Data!H:H)</f>
        <v>BW</v>
      </c>
      <c r="F1411" s="106" t="str">
        <f>SUMIFS(Data!J:J,Data!F:F,A1411)</f>
        <v>1</v>
      </c>
      <c r="G1411" s="106" t="str">
        <f>SUMIFS(Cast!C:C,CastElements,A1411)</f>
        <v>0</v>
      </c>
      <c r="H1411" s="106" t="str">
        <f t="shared" si="4"/>
        <v>1</v>
      </c>
      <c r="I1411" s="106" t="str">
        <f>SUMIFS(Del!C:C,Del!B:B,A1411)</f>
        <v>0</v>
      </c>
      <c r="J1411" s="106" t="str">
        <f t="shared" si="5"/>
        <v>1</v>
      </c>
      <c r="K1411" s="106" t="str">
        <f t="shared" si="6"/>
        <v>0</v>
      </c>
      <c r="L1411" s="106"/>
      <c r="M1411" s="106" t="str">
        <f>SUMIFS(Ere!C:C,Ere!B:B,A1411)</f>
        <v>0</v>
      </c>
      <c r="N1411" s="106" t="str">
        <f t="shared" si="7"/>
        <v>1</v>
      </c>
      <c r="O1411" s="107" t="str">
        <f t="array" ref="O1411">XLOOKUP(A1411,Data!F:F,Data!O:O)</f>
        <v>  0.45 </v>
      </c>
      <c r="P1411" s="107" t="str">
        <f t="shared" si="8"/>
        <v>  1.13 </v>
      </c>
      <c r="Q1411" s="27"/>
    </row>
    <row r="1412" ht="15.75" customHeight="1">
      <c r="A1412" s="105" t="s">
        <v>1656</v>
      </c>
      <c r="B1412" s="19" t="str">
        <f t="array" ref="B1412">XLOOKUP(A1412,Data!F:F,Data!G:G)</f>
        <v>J1E</v>
      </c>
      <c r="C1412" s="19" t="str">
        <f t="shared" si="3"/>
        <v>J110</v>
      </c>
      <c r="D1412" s="19" t="str">
        <f t="array" ref="D1412">XLOOKUP(A1412,Data!F:F,Data!C:C)</f>
        <v/>
      </c>
      <c r="E1412" s="19" t="str">
        <f t="array" ref="E1412">XLOOKUP(A1412,Data!F:F,Data!H:H)</f>
        <v>CF</v>
      </c>
      <c r="F1412" s="106" t="str">
        <f>SUMIFS(Data!J:J,Data!F:F,A1412)</f>
        <v>1</v>
      </c>
      <c r="G1412" s="106" t="str">
        <f>SUMIFS(Cast!C:C,CastElements,A1412)</f>
        <v>0</v>
      </c>
      <c r="H1412" s="106" t="str">
        <f t="shared" si="4"/>
        <v>1</v>
      </c>
      <c r="I1412" s="106" t="str">
        <f>SUMIFS(Del!C:C,Del!B:B,A1412)</f>
        <v>0</v>
      </c>
      <c r="J1412" s="106" t="str">
        <f t="shared" si="5"/>
        <v>1</v>
      </c>
      <c r="K1412" s="106" t="str">
        <f t="shared" si="6"/>
        <v>0</v>
      </c>
      <c r="L1412" s="106"/>
      <c r="M1412" s="106" t="str">
        <f>SUMIFS(Ere!C:C,Ere!B:B,A1412)</f>
        <v>0</v>
      </c>
      <c r="N1412" s="106" t="str">
        <f t="shared" si="7"/>
        <v>1</v>
      </c>
      <c r="O1412" s="107" t="str">
        <f t="array" ref="O1412">XLOOKUP(A1412,Data!F:F,Data!O:O)</f>
        <v>  0.51 </v>
      </c>
      <c r="P1412" s="107" t="str">
        <f t="shared" si="8"/>
        <v>  1.28 </v>
      </c>
      <c r="Q1412" s="27"/>
    </row>
    <row r="1413" ht="15.75" customHeight="1">
      <c r="A1413" s="105" t="s">
        <v>1657</v>
      </c>
      <c r="B1413" s="19" t="str">
        <f t="array" ref="B1413">XLOOKUP(A1413,Data!F:F,Data!G:G)</f>
        <v>J1E</v>
      </c>
      <c r="C1413" s="19" t="str">
        <f t="shared" si="3"/>
        <v>J111</v>
      </c>
      <c r="D1413" s="19" t="str">
        <f t="array" ref="D1413">XLOOKUP(A1413,Data!F:F,Data!C:C)</f>
        <v>EXT</v>
      </c>
      <c r="E1413" s="19" t="str">
        <f t="array" ref="E1413">XLOOKUP(A1413,Data!F:F,Data!H:H)</f>
        <v>BW</v>
      </c>
      <c r="F1413" s="106" t="str">
        <f>SUMIFS(Data!J:J,Data!F:F,A1413)</f>
        <v>1</v>
      </c>
      <c r="G1413" s="106" t="str">
        <f>SUMIFS(Cast!C:C,CastElements,A1413)</f>
        <v>0</v>
      </c>
      <c r="H1413" s="106" t="str">
        <f t="shared" si="4"/>
        <v>1</v>
      </c>
      <c r="I1413" s="106" t="str">
        <f>SUMIFS(Del!C:C,Del!B:B,A1413)</f>
        <v>0</v>
      </c>
      <c r="J1413" s="106" t="str">
        <f t="shared" si="5"/>
        <v>1</v>
      </c>
      <c r="K1413" s="106" t="str">
        <f t="shared" si="6"/>
        <v>0</v>
      </c>
      <c r="L1413" s="106"/>
      <c r="M1413" s="106" t="str">
        <f>SUMIFS(Ere!C:C,Ere!B:B,A1413)</f>
        <v>0</v>
      </c>
      <c r="N1413" s="106" t="str">
        <f t="shared" si="7"/>
        <v>1</v>
      </c>
      <c r="O1413" s="107" t="str">
        <f t="array" ref="O1413">XLOOKUP(A1413,Data!F:F,Data!O:O)</f>
        <v>  0.79 </v>
      </c>
      <c r="P1413" s="107" t="str">
        <f t="shared" si="8"/>
        <v>  1.98 </v>
      </c>
      <c r="Q1413" s="27"/>
    </row>
    <row r="1414" ht="15.75" customHeight="1">
      <c r="A1414" s="105" t="s">
        <v>1658</v>
      </c>
      <c r="B1414" s="19" t="str">
        <f t="array" ref="B1414">XLOOKUP(A1414,Data!F:F,Data!G:G)</f>
        <v>J1E</v>
      </c>
      <c r="C1414" s="19" t="str">
        <f t="shared" si="3"/>
        <v>J111</v>
      </c>
      <c r="D1414" s="19" t="str">
        <f t="array" ref="D1414">XLOOKUP(A1414,Data!F:F,Data!C:C)</f>
        <v>EXT</v>
      </c>
      <c r="E1414" s="19" t="str">
        <f t="array" ref="E1414">XLOOKUP(A1414,Data!F:F,Data!H:H)</f>
        <v>BW</v>
      </c>
      <c r="F1414" s="106" t="str">
        <f>SUMIFS(Data!J:J,Data!F:F,A1414)</f>
        <v>1</v>
      </c>
      <c r="G1414" s="106" t="str">
        <f>SUMIFS(Cast!C:C,CastElements,A1414)</f>
        <v>0</v>
      </c>
      <c r="H1414" s="106" t="str">
        <f t="shared" si="4"/>
        <v>1</v>
      </c>
      <c r="I1414" s="106" t="str">
        <f>SUMIFS(Del!C:C,Del!B:B,A1414)</f>
        <v>0</v>
      </c>
      <c r="J1414" s="106" t="str">
        <f t="shared" si="5"/>
        <v>1</v>
      </c>
      <c r="K1414" s="106" t="str">
        <f t="shared" si="6"/>
        <v>0</v>
      </c>
      <c r="L1414" s="106"/>
      <c r="M1414" s="106" t="str">
        <f>SUMIFS(Ere!C:C,Ere!B:B,A1414)</f>
        <v>0</v>
      </c>
      <c r="N1414" s="106" t="str">
        <f t="shared" si="7"/>
        <v>1</v>
      </c>
      <c r="O1414" s="107" t="str">
        <f t="array" ref="O1414">XLOOKUP(A1414,Data!F:F,Data!O:O)</f>
        <v>  1.06 </v>
      </c>
      <c r="P1414" s="107" t="str">
        <f t="shared" si="8"/>
        <v>  2.65 </v>
      </c>
      <c r="Q1414" s="27"/>
    </row>
    <row r="1415" ht="15.75" customHeight="1">
      <c r="A1415" s="105" t="s">
        <v>1659</v>
      </c>
      <c r="B1415" s="19" t="str">
        <f t="array" ref="B1415">XLOOKUP(A1415,Data!F:F,Data!G:G)</f>
        <v>J1E</v>
      </c>
      <c r="C1415" s="19" t="str">
        <f t="shared" si="3"/>
        <v>J111</v>
      </c>
      <c r="D1415" s="19" t="str">
        <f t="array" ref="D1415">XLOOKUP(A1415,Data!F:F,Data!C:C)</f>
        <v>EXT</v>
      </c>
      <c r="E1415" s="19" t="str">
        <f t="array" ref="E1415">XLOOKUP(A1415,Data!F:F,Data!H:H)</f>
        <v>BW</v>
      </c>
      <c r="F1415" s="106" t="str">
        <f>SUMIFS(Data!J:J,Data!F:F,A1415)</f>
        <v>1</v>
      </c>
      <c r="G1415" s="106" t="str">
        <f>SUMIFS(Cast!C:C,CastElements,A1415)</f>
        <v>0</v>
      </c>
      <c r="H1415" s="106" t="str">
        <f t="shared" si="4"/>
        <v>1</v>
      </c>
      <c r="I1415" s="106" t="str">
        <f>SUMIFS(Del!C:C,Del!B:B,A1415)</f>
        <v>0</v>
      </c>
      <c r="J1415" s="106" t="str">
        <f t="shared" si="5"/>
        <v>1</v>
      </c>
      <c r="K1415" s="106" t="str">
        <f t="shared" si="6"/>
        <v>0</v>
      </c>
      <c r="L1415" s="106"/>
      <c r="M1415" s="106" t="str">
        <f>SUMIFS(Ere!C:C,Ere!B:B,A1415)</f>
        <v>0</v>
      </c>
      <c r="N1415" s="106" t="str">
        <f t="shared" si="7"/>
        <v>1</v>
      </c>
      <c r="O1415" s="107" t="str">
        <f t="array" ref="O1415">XLOOKUP(A1415,Data!F:F,Data!O:O)</f>
        <v>  0.94 </v>
      </c>
      <c r="P1415" s="107" t="str">
        <f t="shared" si="8"/>
        <v>  2.35 </v>
      </c>
      <c r="Q1415" s="27"/>
    </row>
    <row r="1416" ht="15.75" customHeight="1">
      <c r="A1416" s="105" t="s">
        <v>1660</v>
      </c>
      <c r="B1416" s="19" t="str">
        <f t="array" ref="B1416">XLOOKUP(A1416,Data!F:F,Data!G:G)</f>
        <v>J1E</v>
      </c>
      <c r="C1416" s="19" t="str">
        <f t="shared" si="3"/>
        <v>J111</v>
      </c>
      <c r="D1416" s="19" t="str">
        <f t="array" ref="D1416">XLOOKUP(A1416,Data!F:F,Data!C:C)</f>
        <v>EXT</v>
      </c>
      <c r="E1416" s="19" t="str">
        <f t="array" ref="E1416">XLOOKUP(A1416,Data!F:F,Data!H:H)</f>
        <v>BW</v>
      </c>
      <c r="F1416" s="106" t="str">
        <f>SUMIFS(Data!J:J,Data!F:F,A1416)</f>
        <v>1</v>
      </c>
      <c r="G1416" s="106" t="str">
        <f>SUMIFS(Cast!C:C,CastElements,A1416)</f>
        <v>0</v>
      </c>
      <c r="H1416" s="106" t="str">
        <f t="shared" si="4"/>
        <v>1</v>
      </c>
      <c r="I1416" s="106" t="str">
        <f>SUMIFS(Del!C:C,Del!B:B,A1416)</f>
        <v>0</v>
      </c>
      <c r="J1416" s="106" t="str">
        <f t="shared" si="5"/>
        <v>1</v>
      </c>
      <c r="K1416" s="106" t="str">
        <f t="shared" si="6"/>
        <v>0</v>
      </c>
      <c r="L1416" s="106"/>
      <c r="M1416" s="106" t="str">
        <f>SUMIFS(Ere!C:C,Ere!B:B,A1416)</f>
        <v>0</v>
      </c>
      <c r="N1416" s="106" t="str">
        <f t="shared" si="7"/>
        <v>1</v>
      </c>
      <c r="O1416" s="107" t="str">
        <f t="array" ref="O1416">XLOOKUP(A1416,Data!F:F,Data!O:O)</f>
        <v>  0.94 </v>
      </c>
      <c r="P1416" s="107" t="str">
        <f t="shared" si="8"/>
        <v>  2.35 </v>
      </c>
      <c r="Q1416" s="27"/>
    </row>
    <row r="1417" ht="15.75" customHeight="1">
      <c r="A1417" s="105" t="s">
        <v>1661</v>
      </c>
      <c r="B1417" s="19" t="str">
        <f t="array" ref="B1417">XLOOKUP(A1417,Data!F:F,Data!G:G)</f>
        <v>J1E</v>
      </c>
      <c r="C1417" s="19" t="str">
        <f t="shared" si="3"/>
        <v>J111</v>
      </c>
      <c r="D1417" s="19" t="str">
        <f t="array" ref="D1417">XLOOKUP(A1417,Data!F:F,Data!C:C)</f>
        <v/>
      </c>
      <c r="E1417" s="19" t="str">
        <f t="array" ref="E1417">XLOOKUP(A1417,Data!F:F,Data!H:H)</f>
        <v>BW</v>
      </c>
      <c r="F1417" s="106" t="str">
        <f>SUMIFS(Data!J:J,Data!F:F,A1417)</f>
        <v>1</v>
      </c>
      <c r="G1417" s="106" t="str">
        <f>SUMIFS(Cast!C:C,CastElements,A1417)</f>
        <v>0</v>
      </c>
      <c r="H1417" s="106" t="str">
        <f t="shared" si="4"/>
        <v>1</v>
      </c>
      <c r="I1417" s="106" t="str">
        <f>SUMIFS(Del!C:C,Del!B:B,A1417)</f>
        <v>0</v>
      </c>
      <c r="J1417" s="106" t="str">
        <f t="shared" si="5"/>
        <v>1</v>
      </c>
      <c r="K1417" s="106" t="str">
        <f t="shared" si="6"/>
        <v>0</v>
      </c>
      <c r="L1417" s="106"/>
      <c r="M1417" s="106" t="str">
        <f>SUMIFS(Ere!C:C,Ere!B:B,A1417)</f>
        <v>0</v>
      </c>
      <c r="N1417" s="106" t="str">
        <f t="shared" si="7"/>
        <v>1</v>
      </c>
      <c r="O1417" s="107" t="str">
        <f t="array" ref="O1417">XLOOKUP(A1417,Data!F:F,Data!O:O)</f>
        <v>  2.26 </v>
      </c>
      <c r="P1417" s="107" t="str">
        <f t="shared" si="8"/>
        <v>  5.65 </v>
      </c>
      <c r="Q1417" s="27"/>
    </row>
    <row r="1418" ht="15.75" customHeight="1">
      <c r="A1418" s="105" t="s">
        <v>1662</v>
      </c>
      <c r="B1418" s="19" t="str">
        <f t="array" ref="B1418">XLOOKUP(A1418,Data!F:F,Data!G:G)</f>
        <v>J1E</v>
      </c>
      <c r="C1418" s="19" t="str">
        <f t="shared" si="3"/>
        <v>J111</v>
      </c>
      <c r="D1418" s="19" t="str">
        <f t="array" ref="D1418">XLOOKUP(A1418,Data!F:F,Data!C:C)</f>
        <v/>
      </c>
      <c r="E1418" s="19" t="str">
        <f t="array" ref="E1418">XLOOKUP(A1418,Data!F:F,Data!H:H)</f>
        <v>BW</v>
      </c>
      <c r="F1418" s="106" t="str">
        <f>SUMIFS(Data!J:J,Data!F:F,A1418)</f>
        <v>1</v>
      </c>
      <c r="G1418" s="106" t="str">
        <f>SUMIFS(Cast!C:C,CastElements,A1418)</f>
        <v>0</v>
      </c>
      <c r="H1418" s="106" t="str">
        <f t="shared" si="4"/>
        <v>1</v>
      </c>
      <c r="I1418" s="106" t="str">
        <f>SUMIFS(Del!C:C,Del!B:B,A1418)</f>
        <v>0</v>
      </c>
      <c r="J1418" s="106" t="str">
        <f t="shared" si="5"/>
        <v>1</v>
      </c>
      <c r="K1418" s="106" t="str">
        <f t="shared" si="6"/>
        <v>0</v>
      </c>
      <c r="L1418" s="106"/>
      <c r="M1418" s="106" t="str">
        <f>SUMIFS(Ere!C:C,Ere!B:B,A1418)</f>
        <v>0</v>
      </c>
      <c r="N1418" s="106" t="str">
        <f t="shared" si="7"/>
        <v>1</v>
      </c>
      <c r="O1418" s="107" t="str">
        <f t="array" ref="O1418">XLOOKUP(A1418,Data!F:F,Data!O:O)</f>
        <v>  2.16 </v>
      </c>
      <c r="P1418" s="107" t="str">
        <f t="shared" si="8"/>
        <v>  5.40 </v>
      </c>
      <c r="Q1418" s="27"/>
    </row>
    <row r="1419" ht="15.75" customHeight="1">
      <c r="A1419" s="105" t="s">
        <v>1663</v>
      </c>
      <c r="B1419" s="19" t="str">
        <f t="array" ref="B1419">XLOOKUP(A1419,Data!F:F,Data!G:G)</f>
        <v>J1E</v>
      </c>
      <c r="C1419" s="19" t="str">
        <f t="shared" si="3"/>
        <v>J111</v>
      </c>
      <c r="D1419" s="19" t="str">
        <f t="array" ref="D1419">XLOOKUP(A1419,Data!F:F,Data!C:C)</f>
        <v/>
      </c>
      <c r="E1419" s="19" t="str">
        <f t="array" ref="E1419">XLOOKUP(A1419,Data!F:F,Data!H:H)</f>
        <v>BW</v>
      </c>
      <c r="F1419" s="106" t="str">
        <f>SUMIFS(Data!J:J,Data!F:F,A1419)</f>
        <v>1</v>
      </c>
      <c r="G1419" s="106" t="str">
        <f>SUMIFS(Cast!C:C,CastElements,A1419)</f>
        <v>0</v>
      </c>
      <c r="H1419" s="106" t="str">
        <f t="shared" si="4"/>
        <v>1</v>
      </c>
      <c r="I1419" s="106" t="str">
        <f>SUMIFS(Del!C:C,Del!B:B,A1419)</f>
        <v>0</v>
      </c>
      <c r="J1419" s="106" t="str">
        <f t="shared" si="5"/>
        <v>1</v>
      </c>
      <c r="K1419" s="106" t="str">
        <f t="shared" si="6"/>
        <v>0</v>
      </c>
      <c r="L1419" s="106"/>
      <c r="M1419" s="106" t="str">
        <f>SUMIFS(Ere!C:C,Ere!B:B,A1419)</f>
        <v>0</v>
      </c>
      <c r="N1419" s="106" t="str">
        <f t="shared" si="7"/>
        <v>1</v>
      </c>
      <c r="O1419" s="107" t="str">
        <f t="array" ref="O1419">XLOOKUP(A1419,Data!F:F,Data!O:O)</f>
        <v>  2.16 </v>
      </c>
      <c r="P1419" s="107" t="str">
        <f t="shared" si="8"/>
        <v>  5.40 </v>
      </c>
      <c r="Q1419" s="27"/>
    </row>
    <row r="1420" ht="15.75" customHeight="1">
      <c r="A1420" s="105" t="s">
        <v>1664</v>
      </c>
      <c r="B1420" s="19" t="str">
        <f t="array" ref="B1420">XLOOKUP(A1420,Data!F:F,Data!G:G)</f>
        <v>J1E</v>
      </c>
      <c r="C1420" s="19" t="str">
        <f t="shared" si="3"/>
        <v>J111</v>
      </c>
      <c r="D1420" s="19" t="str">
        <f t="array" ref="D1420">XLOOKUP(A1420,Data!F:F,Data!C:C)</f>
        <v/>
      </c>
      <c r="E1420" s="19" t="str">
        <f t="array" ref="E1420">XLOOKUP(A1420,Data!F:F,Data!H:H)</f>
        <v>BW</v>
      </c>
      <c r="F1420" s="106" t="str">
        <f>SUMIFS(Data!J:J,Data!F:F,A1420)</f>
        <v>1</v>
      </c>
      <c r="G1420" s="106" t="str">
        <f>SUMIFS(Cast!C:C,CastElements,A1420)</f>
        <v>0</v>
      </c>
      <c r="H1420" s="106" t="str">
        <f t="shared" si="4"/>
        <v>1</v>
      </c>
      <c r="I1420" s="106" t="str">
        <f>SUMIFS(Del!C:C,Del!B:B,A1420)</f>
        <v>0</v>
      </c>
      <c r="J1420" s="106" t="str">
        <f t="shared" si="5"/>
        <v>1</v>
      </c>
      <c r="K1420" s="106" t="str">
        <f t="shared" si="6"/>
        <v>0</v>
      </c>
      <c r="L1420" s="106"/>
      <c r="M1420" s="106" t="str">
        <f>SUMIFS(Ere!C:C,Ere!B:B,A1420)</f>
        <v>0</v>
      </c>
      <c r="N1420" s="106" t="str">
        <f t="shared" si="7"/>
        <v>1</v>
      </c>
      <c r="O1420" s="107" t="str">
        <f t="array" ref="O1420">XLOOKUP(A1420,Data!F:F,Data!O:O)</f>
        <v>  2.16 </v>
      </c>
      <c r="P1420" s="107" t="str">
        <f t="shared" si="8"/>
        <v>  5.40 </v>
      </c>
      <c r="Q1420" s="27"/>
    </row>
    <row r="1421" ht="15.75" customHeight="1">
      <c r="A1421" s="105" t="s">
        <v>1665</v>
      </c>
      <c r="B1421" s="19" t="str">
        <f t="array" ref="B1421">XLOOKUP(A1421,Data!F:F,Data!G:G)</f>
        <v>J1E</v>
      </c>
      <c r="C1421" s="19" t="str">
        <f t="shared" si="3"/>
        <v>J111</v>
      </c>
      <c r="D1421" s="19" t="str">
        <f t="array" ref="D1421">XLOOKUP(A1421,Data!F:F,Data!C:C)</f>
        <v/>
      </c>
      <c r="E1421" s="19" t="str">
        <f t="array" ref="E1421">XLOOKUP(A1421,Data!F:F,Data!H:H)</f>
        <v>BW</v>
      </c>
      <c r="F1421" s="106" t="str">
        <f>SUMIFS(Data!J:J,Data!F:F,A1421)</f>
        <v>1</v>
      </c>
      <c r="G1421" s="106" t="str">
        <f>SUMIFS(Cast!C:C,CastElements,A1421)</f>
        <v>0</v>
      </c>
      <c r="H1421" s="106" t="str">
        <f t="shared" si="4"/>
        <v>1</v>
      </c>
      <c r="I1421" s="106" t="str">
        <f>SUMIFS(Del!C:C,Del!B:B,A1421)</f>
        <v>0</v>
      </c>
      <c r="J1421" s="106" t="str">
        <f t="shared" si="5"/>
        <v>1</v>
      </c>
      <c r="K1421" s="106" t="str">
        <f t="shared" si="6"/>
        <v>0</v>
      </c>
      <c r="L1421" s="106"/>
      <c r="M1421" s="106" t="str">
        <f>SUMIFS(Ere!C:C,Ere!B:B,A1421)</f>
        <v>0</v>
      </c>
      <c r="N1421" s="106" t="str">
        <f t="shared" si="7"/>
        <v>1</v>
      </c>
      <c r="O1421" s="107" t="str">
        <f t="array" ref="O1421">XLOOKUP(A1421,Data!F:F,Data!O:O)</f>
        <v>  1.83 </v>
      </c>
      <c r="P1421" s="107" t="str">
        <f t="shared" si="8"/>
        <v>  4.58 </v>
      </c>
      <c r="Q1421" s="27"/>
    </row>
    <row r="1422" ht="15.75" customHeight="1">
      <c r="A1422" s="105" t="s">
        <v>1666</v>
      </c>
      <c r="B1422" s="19" t="str">
        <f t="array" ref="B1422">XLOOKUP(A1422,Data!F:F,Data!G:G)</f>
        <v>J1E</v>
      </c>
      <c r="C1422" s="19" t="str">
        <f t="shared" si="3"/>
        <v>J111</v>
      </c>
      <c r="D1422" s="19" t="str">
        <f t="array" ref="D1422">XLOOKUP(A1422,Data!F:F,Data!C:C)</f>
        <v/>
      </c>
      <c r="E1422" s="19" t="str">
        <f t="array" ref="E1422">XLOOKUP(A1422,Data!F:F,Data!H:H)</f>
        <v>BW</v>
      </c>
      <c r="F1422" s="106" t="str">
        <f>SUMIFS(Data!J:J,Data!F:F,A1422)</f>
        <v>1</v>
      </c>
      <c r="G1422" s="106" t="str">
        <f>SUMIFS(Cast!C:C,CastElements,A1422)</f>
        <v>0</v>
      </c>
      <c r="H1422" s="106" t="str">
        <f t="shared" si="4"/>
        <v>1</v>
      </c>
      <c r="I1422" s="106" t="str">
        <f>SUMIFS(Del!C:C,Del!B:B,A1422)</f>
        <v>0</v>
      </c>
      <c r="J1422" s="106" t="str">
        <f t="shared" si="5"/>
        <v>1</v>
      </c>
      <c r="K1422" s="106" t="str">
        <f t="shared" si="6"/>
        <v>0</v>
      </c>
      <c r="L1422" s="106"/>
      <c r="M1422" s="106" t="str">
        <f>SUMIFS(Ere!C:C,Ere!B:B,A1422)</f>
        <v>0</v>
      </c>
      <c r="N1422" s="106" t="str">
        <f t="shared" si="7"/>
        <v>1</v>
      </c>
      <c r="O1422" s="107" t="str">
        <f t="array" ref="O1422">XLOOKUP(A1422,Data!F:F,Data!O:O)</f>
        <v>  2.24 </v>
      </c>
      <c r="P1422" s="107" t="str">
        <f t="shared" si="8"/>
        <v>  5.60 </v>
      </c>
      <c r="Q1422" s="27"/>
    </row>
    <row r="1423" ht="15.75" customHeight="1">
      <c r="A1423" s="105" t="s">
        <v>1667</v>
      </c>
      <c r="B1423" s="19" t="str">
        <f t="array" ref="B1423">XLOOKUP(A1423,Data!F:F,Data!G:G)</f>
        <v>J1E</v>
      </c>
      <c r="C1423" s="19" t="str">
        <f t="shared" si="3"/>
        <v>J111</v>
      </c>
      <c r="D1423" s="19" t="str">
        <f t="array" ref="D1423">XLOOKUP(A1423,Data!F:F,Data!C:C)</f>
        <v/>
      </c>
      <c r="E1423" s="19" t="str">
        <f t="array" ref="E1423">XLOOKUP(A1423,Data!F:F,Data!H:H)</f>
        <v>BW</v>
      </c>
      <c r="F1423" s="106" t="str">
        <f>SUMIFS(Data!J:J,Data!F:F,A1423)</f>
        <v>1</v>
      </c>
      <c r="G1423" s="106" t="str">
        <f>SUMIFS(Cast!C:C,CastElements,A1423)</f>
        <v>0</v>
      </c>
      <c r="H1423" s="106" t="str">
        <f t="shared" si="4"/>
        <v>1</v>
      </c>
      <c r="I1423" s="106" t="str">
        <f>SUMIFS(Del!C:C,Del!B:B,A1423)</f>
        <v>0</v>
      </c>
      <c r="J1423" s="106" t="str">
        <f t="shared" si="5"/>
        <v>1</v>
      </c>
      <c r="K1423" s="106" t="str">
        <f t="shared" si="6"/>
        <v>0</v>
      </c>
      <c r="L1423" s="106"/>
      <c r="M1423" s="106" t="str">
        <f>SUMIFS(Ere!C:C,Ere!B:B,A1423)</f>
        <v>0</v>
      </c>
      <c r="N1423" s="106" t="str">
        <f t="shared" si="7"/>
        <v>1</v>
      </c>
      <c r="O1423" s="107" t="str">
        <f t="array" ref="O1423">XLOOKUP(A1423,Data!F:F,Data!O:O)</f>
        <v>  2.06 </v>
      </c>
      <c r="P1423" s="107" t="str">
        <f t="shared" si="8"/>
        <v>  5.15 </v>
      </c>
      <c r="Q1423" s="27"/>
    </row>
    <row r="1424" ht="15.75" customHeight="1">
      <c r="A1424" s="105" t="s">
        <v>1668</v>
      </c>
      <c r="B1424" s="19" t="str">
        <f t="array" ref="B1424">XLOOKUP(A1424,Data!F:F,Data!G:G)</f>
        <v>J1E</v>
      </c>
      <c r="C1424" s="19" t="str">
        <f t="shared" si="3"/>
        <v>J111</v>
      </c>
      <c r="D1424" s="19" t="str">
        <f t="array" ref="D1424">XLOOKUP(A1424,Data!F:F,Data!C:C)</f>
        <v/>
      </c>
      <c r="E1424" s="19" t="str">
        <f t="array" ref="E1424">XLOOKUP(A1424,Data!F:F,Data!H:H)</f>
        <v>BW</v>
      </c>
      <c r="F1424" s="106" t="str">
        <f>SUMIFS(Data!J:J,Data!F:F,A1424)</f>
        <v>1</v>
      </c>
      <c r="G1424" s="106" t="str">
        <f>SUMIFS(Cast!C:C,CastElements,A1424)</f>
        <v>0</v>
      </c>
      <c r="H1424" s="106" t="str">
        <f t="shared" si="4"/>
        <v>1</v>
      </c>
      <c r="I1424" s="106" t="str">
        <f>SUMIFS(Del!C:C,Del!B:B,A1424)</f>
        <v>0</v>
      </c>
      <c r="J1424" s="106" t="str">
        <f t="shared" si="5"/>
        <v>1</v>
      </c>
      <c r="K1424" s="106" t="str">
        <f t="shared" si="6"/>
        <v>0</v>
      </c>
      <c r="L1424" s="106"/>
      <c r="M1424" s="106" t="str">
        <f>SUMIFS(Ere!C:C,Ere!B:B,A1424)</f>
        <v>0</v>
      </c>
      <c r="N1424" s="106" t="str">
        <f t="shared" si="7"/>
        <v>1</v>
      </c>
      <c r="O1424" s="107" t="str">
        <f t="array" ref="O1424">XLOOKUP(A1424,Data!F:F,Data!O:O)</f>
        <v>  2.06 </v>
      </c>
      <c r="P1424" s="107" t="str">
        <f t="shared" si="8"/>
        <v>  5.15 </v>
      </c>
      <c r="Q1424" s="27"/>
    </row>
    <row r="1425" ht="15.75" customHeight="1">
      <c r="A1425" s="105" t="s">
        <v>1669</v>
      </c>
      <c r="B1425" s="19" t="str">
        <f t="array" ref="B1425">XLOOKUP(A1425,Data!F:F,Data!G:G)</f>
        <v>J1E</v>
      </c>
      <c r="C1425" s="19" t="str">
        <f t="shared" si="3"/>
        <v>J111</v>
      </c>
      <c r="D1425" s="19" t="str">
        <f t="array" ref="D1425">XLOOKUP(A1425,Data!F:F,Data!C:C)</f>
        <v/>
      </c>
      <c r="E1425" s="19" t="str">
        <f t="array" ref="E1425">XLOOKUP(A1425,Data!F:F,Data!H:H)</f>
        <v>BW</v>
      </c>
      <c r="F1425" s="106" t="str">
        <f>SUMIFS(Data!J:J,Data!F:F,A1425)</f>
        <v>1</v>
      </c>
      <c r="G1425" s="106" t="str">
        <f>SUMIFS(Cast!C:C,CastElements,A1425)</f>
        <v>0</v>
      </c>
      <c r="H1425" s="106" t="str">
        <f t="shared" si="4"/>
        <v>1</v>
      </c>
      <c r="I1425" s="106" t="str">
        <f>SUMIFS(Del!C:C,Del!B:B,A1425)</f>
        <v>0</v>
      </c>
      <c r="J1425" s="106" t="str">
        <f t="shared" si="5"/>
        <v>1</v>
      </c>
      <c r="K1425" s="106" t="str">
        <f t="shared" si="6"/>
        <v>0</v>
      </c>
      <c r="L1425" s="106"/>
      <c r="M1425" s="106" t="str">
        <f>SUMIFS(Ere!C:C,Ere!B:B,A1425)</f>
        <v>0</v>
      </c>
      <c r="N1425" s="106" t="str">
        <f t="shared" si="7"/>
        <v>1</v>
      </c>
      <c r="O1425" s="107" t="str">
        <f t="array" ref="O1425">XLOOKUP(A1425,Data!F:F,Data!O:O)</f>
        <v>  2.06 </v>
      </c>
      <c r="P1425" s="107" t="str">
        <f t="shared" si="8"/>
        <v>  5.15 </v>
      </c>
      <c r="Q1425" s="27"/>
    </row>
    <row r="1426" ht="15.75" customHeight="1">
      <c r="A1426" s="105" t="s">
        <v>1670</v>
      </c>
      <c r="B1426" s="19" t="str">
        <f t="array" ref="B1426">XLOOKUP(A1426,Data!F:F,Data!G:G)</f>
        <v>J1E</v>
      </c>
      <c r="C1426" s="19" t="str">
        <f t="shared" si="3"/>
        <v>J111</v>
      </c>
      <c r="D1426" s="19" t="str">
        <f t="array" ref="D1426">XLOOKUP(A1426,Data!F:F,Data!C:C)</f>
        <v/>
      </c>
      <c r="E1426" s="19" t="str">
        <f t="array" ref="E1426">XLOOKUP(A1426,Data!F:F,Data!H:H)</f>
        <v>BW</v>
      </c>
      <c r="F1426" s="106" t="str">
        <f>SUMIFS(Data!J:J,Data!F:F,A1426)</f>
        <v>1</v>
      </c>
      <c r="G1426" s="106" t="str">
        <f>SUMIFS(Cast!C:C,CastElements,A1426)</f>
        <v>0</v>
      </c>
      <c r="H1426" s="106" t="str">
        <f t="shared" si="4"/>
        <v>1</v>
      </c>
      <c r="I1426" s="106" t="str">
        <f>SUMIFS(Del!C:C,Del!B:B,A1426)</f>
        <v>0</v>
      </c>
      <c r="J1426" s="106" t="str">
        <f t="shared" si="5"/>
        <v>1</v>
      </c>
      <c r="K1426" s="106" t="str">
        <f t="shared" si="6"/>
        <v>0</v>
      </c>
      <c r="L1426" s="106"/>
      <c r="M1426" s="106" t="str">
        <f>SUMIFS(Ere!C:C,Ere!B:B,A1426)</f>
        <v>0</v>
      </c>
      <c r="N1426" s="106" t="str">
        <f t="shared" si="7"/>
        <v>1</v>
      </c>
      <c r="O1426" s="107" t="str">
        <f t="array" ref="O1426">XLOOKUP(A1426,Data!F:F,Data!O:O)</f>
        <v>  1.72 </v>
      </c>
      <c r="P1426" s="107" t="str">
        <f t="shared" si="8"/>
        <v>  4.30 </v>
      </c>
      <c r="Q1426" s="27"/>
    </row>
    <row r="1427" ht="15.75" customHeight="1">
      <c r="A1427" s="105" t="s">
        <v>1671</v>
      </c>
      <c r="B1427" s="19" t="str">
        <f t="array" ref="B1427">XLOOKUP(A1427,Data!F:F,Data!G:G)</f>
        <v>J1E</v>
      </c>
      <c r="C1427" s="19" t="str">
        <f t="shared" si="3"/>
        <v>J111</v>
      </c>
      <c r="D1427" s="19" t="str">
        <f t="array" ref="D1427">XLOOKUP(A1427,Data!F:F,Data!C:C)</f>
        <v/>
      </c>
      <c r="E1427" s="19" t="str">
        <f t="array" ref="E1427">XLOOKUP(A1427,Data!F:F,Data!H:H)</f>
        <v>BW</v>
      </c>
      <c r="F1427" s="106" t="str">
        <f>SUMIFS(Data!J:J,Data!F:F,A1427)</f>
        <v>1</v>
      </c>
      <c r="G1427" s="106" t="str">
        <f>SUMIFS(Cast!C:C,CastElements,A1427)</f>
        <v>0</v>
      </c>
      <c r="H1427" s="106" t="str">
        <f t="shared" si="4"/>
        <v>1</v>
      </c>
      <c r="I1427" s="106" t="str">
        <f>SUMIFS(Del!C:C,Del!B:B,A1427)</f>
        <v>0</v>
      </c>
      <c r="J1427" s="106" t="str">
        <f t="shared" si="5"/>
        <v>1</v>
      </c>
      <c r="K1427" s="106" t="str">
        <f t="shared" si="6"/>
        <v>0</v>
      </c>
      <c r="L1427" s="106"/>
      <c r="M1427" s="106" t="str">
        <f>SUMIFS(Ere!C:C,Ere!B:B,A1427)</f>
        <v>0</v>
      </c>
      <c r="N1427" s="106" t="str">
        <f t="shared" si="7"/>
        <v>1</v>
      </c>
      <c r="O1427" s="107" t="str">
        <f t="array" ref="O1427">XLOOKUP(A1427,Data!F:F,Data!O:O)</f>
        <v>  0.35 </v>
      </c>
      <c r="P1427" s="107" t="str">
        <f t="shared" si="8"/>
        <v>  0.89 </v>
      </c>
      <c r="Q1427" s="27"/>
    </row>
    <row r="1428" ht="15.75" customHeight="1">
      <c r="A1428" s="105" t="s">
        <v>1672</v>
      </c>
      <c r="B1428" s="19" t="str">
        <f t="array" ref="B1428">XLOOKUP(A1428,Data!F:F,Data!G:G)</f>
        <v>J1E</v>
      </c>
      <c r="C1428" s="19" t="str">
        <f t="shared" si="3"/>
        <v>J111</v>
      </c>
      <c r="D1428" s="19" t="str">
        <f t="array" ref="D1428">XLOOKUP(A1428,Data!F:F,Data!C:C)</f>
        <v/>
      </c>
      <c r="E1428" s="19" t="str">
        <f t="array" ref="E1428">XLOOKUP(A1428,Data!F:F,Data!H:H)</f>
        <v>CF</v>
      </c>
      <c r="F1428" s="106" t="str">
        <f>SUMIFS(Data!J:J,Data!F:F,A1428)</f>
        <v>1</v>
      </c>
      <c r="G1428" s="106" t="str">
        <f>SUMIFS(Cast!C:C,CastElements,A1428)</f>
        <v>0</v>
      </c>
      <c r="H1428" s="106" t="str">
        <f t="shared" si="4"/>
        <v>1</v>
      </c>
      <c r="I1428" s="106" t="str">
        <f>SUMIFS(Del!C:C,Del!B:B,A1428)</f>
        <v>0</v>
      </c>
      <c r="J1428" s="106" t="str">
        <f t="shared" si="5"/>
        <v>1</v>
      </c>
      <c r="K1428" s="106" t="str">
        <f t="shared" si="6"/>
        <v>0</v>
      </c>
      <c r="L1428" s="106"/>
      <c r="M1428" s="106" t="str">
        <f>SUMIFS(Ere!C:C,Ere!B:B,A1428)</f>
        <v>0</v>
      </c>
      <c r="N1428" s="106" t="str">
        <f t="shared" si="7"/>
        <v>1</v>
      </c>
      <c r="O1428" s="107" t="str">
        <f t="array" ref="O1428">XLOOKUP(A1428,Data!F:F,Data!O:O)</f>
        <v>  0.55 </v>
      </c>
      <c r="P1428" s="107" t="str">
        <f t="shared" si="8"/>
        <v>  1.37 </v>
      </c>
      <c r="Q1428" s="27"/>
    </row>
    <row r="1429" ht="15.75" customHeight="1">
      <c r="A1429" s="105" t="s">
        <v>1673</v>
      </c>
      <c r="B1429" s="19" t="str">
        <f t="array" ref="B1429">XLOOKUP(A1429,Data!F:F,Data!G:G)</f>
        <v>J1E</v>
      </c>
      <c r="C1429" s="19" t="str">
        <f t="shared" si="3"/>
        <v>J112</v>
      </c>
      <c r="D1429" s="19" t="str">
        <f t="array" ref="D1429">XLOOKUP(A1429,Data!F:F,Data!C:C)</f>
        <v>EXT</v>
      </c>
      <c r="E1429" s="19" t="str">
        <f t="array" ref="E1429">XLOOKUP(A1429,Data!F:F,Data!H:H)</f>
        <v>BW</v>
      </c>
      <c r="F1429" s="106" t="str">
        <f>SUMIFS(Data!J:J,Data!F:F,A1429)</f>
        <v>1</v>
      </c>
      <c r="G1429" s="106" t="str">
        <f>SUMIFS(Cast!C:C,CastElements,A1429)</f>
        <v>0</v>
      </c>
      <c r="H1429" s="106" t="str">
        <f t="shared" si="4"/>
        <v>1</v>
      </c>
      <c r="I1429" s="106" t="str">
        <f>SUMIFS(Del!C:C,Del!B:B,A1429)</f>
        <v>0</v>
      </c>
      <c r="J1429" s="106" t="str">
        <f t="shared" si="5"/>
        <v>1</v>
      </c>
      <c r="K1429" s="106" t="str">
        <f t="shared" si="6"/>
        <v>0</v>
      </c>
      <c r="L1429" s="106"/>
      <c r="M1429" s="106" t="str">
        <f>SUMIFS(Ere!C:C,Ere!B:B,A1429)</f>
        <v>0</v>
      </c>
      <c r="N1429" s="106" t="str">
        <f t="shared" si="7"/>
        <v>1</v>
      </c>
      <c r="O1429" s="107" t="str">
        <f t="array" ref="O1429">XLOOKUP(A1429,Data!F:F,Data!O:O)</f>
        <v>  0.79 </v>
      </c>
      <c r="P1429" s="107" t="str">
        <f t="shared" si="8"/>
        <v>  1.98 </v>
      </c>
      <c r="Q1429" s="27"/>
    </row>
    <row r="1430" ht="15.75" customHeight="1">
      <c r="A1430" s="105" t="s">
        <v>1674</v>
      </c>
      <c r="B1430" s="19" t="str">
        <f t="array" ref="B1430">XLOOKUP(A1430,Data!F:F,Data!G:G)</f>
        <v>J1E</v>
      </c>
      <c r="C1430" s="19" t="str">
        <f t="shared" si="3"/>
        <v>J112</v>
      </c>
      <c r="D1430" s="19" t="str">
        <f t="array" ref="D1430">XLOOKUP(A1430,Data!F:F,Data!C:C)</f>
        <v>EXT</v>
      </c>
      <c r="E1430" s="19" t="str">
        <f t="array" ref="E1430">XLOOKUP(A1430,Data!F:F,Data!H:H)</f>
        <v>BW</v>
      </c>
      <c r="F1430" s="106" t="str">
        <f>SUMIFS(Data!J:J,Data!F:F,A1430)</f>
        <v>1</v>
      </c>
      <c r="G1430" s="106" t="str">
        <f>SUMIFS(Cast!C:C,CastElements,A1430)</f>
        <v>0</v>
      </c>
      <c r="H1430" s="106" t="str">
        <f t="shared" si="4"/>
        <v>1</v>
      </c>
      <c r="I1430" s="106" t="str">
        <f>SUMIFS(Del!C:C,Del!B:B,A1430)</f>
        <v>0</v>
      </c>
      <c r="J1430" s="106" t="str">
        <f t="shared" si="5"/>
        <v>1</v>
      </c>
      <c r="K1430" s="106" t="str">
        <f t="shared" si="6"/>
        <v>0</v>
      </c>
      <c r="L1430" s="106"/>
      <c r="M1430" s="106" t="str">
        <f>SUMIFS(Ere!C:C,Ere!B:B,A1430)</f>
        <v>0</v>
      </c>
      <c r="N1430" s="106" t="str">
        <f t="shared" si="7"/>
        <v>1</v>
      </c>
      <c r="O1430" s="107" t="str">
        <f t="array" ref="O1430">XLOOKUP(A1430,Data!F:F,Data!O:O)</f>
        <v>  0.94 </v>
      </c>
      <c r="P1430" s="107" t="str">
        <f t="shared" si="8"/>
        <v>  2.35 </v>
      </c>
      <c r="Q1430" s="27"/>
    </row>
    <row r="1431" ht="15.75" customHeight="1">
      <c r="A1431" s="105" t="s">
        <v>1675</v>
      </c>
      <c r="B1431" s="19" t="str">
        <f t="array" ref="B1431">XLOOKUP(A1431,Data!F:F,Data!G:G)</f>
        <v>J1E</v>
      </c>
      <c r="C1431" s="19" t="str">
        <f t="shared" si="3"/>
        <v>J112</v>
      </c>
      <c r="D1431" s="19" t="str">
        <f t="array" ref="D1431">XLOOKUP(A1431,Data!F:F,Data!C:C)</f>
        <v>EXT</v>
      </c>
      <c r="E1431" s="19" t="str">
        <f t="array" ref="E1431">XLOOKUP(A1431,Data!F:F,Data!H:H)</f>
        <v>BW</v>
      </c>
      <c r="F1431" s="106" t="str">
        <f>SUMIFS(Data!J:J,Data!F:F,A1431)</f>
        <v>1</v>
      </c>
      <c r="G1431" s="106" t="str">
        <f>SUMIFS(Cast!C:C,CastElements,A1431)</f>
        <v>0</v>
      </c>
      <c r="H1431" s="106" t="str">
        <f t="shared" si="4"/>
        <v>1</v>
      </c>
      <c r="I1431" s="106" t="str">
        <f>SUMIFS(Del!C:C,Del!B:B,A1431)</f>
        <v>0</v>
      </c>
      <c r="J1431" s="106" t="str">
        <f t="shared" si="5"/>
        <v>1</v>
      </c>
      <c r="K1431" s="106" t="str">
        <f t="shared" si="6"/>
        <v>0</v>
      </c>
      <c r="L1431" s="106"/>
      <c r="M1431" s="106" t="str">
        <f>SUMIFS(Ere!C:C,Ere!B:B,A1431)</f>
        <v>0</v>
      </c>
      <c r="N1431" s="106" t="str">
        <f t="shared" si="7"/>
        <v>1</v>
      </c>
      <c r="O1431" s="107" t="str">
        <f t="array" ref="O1431">XLOOKUP(A1431,Data!F:F,Data!O:O)</f>
        <v>  0.94 </v>
      </c>
      <c r="P1431" s="107" t="str">
        <f t="shared" si="8"/>
        <v>  2.35 </v>
      </c>
      <c r="Q1431" s="27"/>
    </row>
    <row r="1432" ht="15.75" customHeight="1">
      <c r="A1432" s="105" t="s">
        <v>1676</v>
      </c>
      <c r="B1432" s="19" t="str">
        <f t="array" ref="B1432">XLOOKUP(A1432,Data!F:F,Data!G:G)</f>
        <v>J1E</v>
      </c>
      <c r="C1432" s="19" t="str">
        <f t="shared" si="3"/>
        <v>J112</v>
      </c>
      <c r="D1432" s="19" t="str">
        <f t="array" ref="D1432">XLOOKUP(A1432,Data!F:F,Data!C:C)</f>
        <v>EXT</v>
      </c>
      <c r="E1432" s="19" t="str">
        <f t="array" ref="E1432">XLOOKUP(A1432,Data!F:F,Data!H:H)</f>
        <v>BW</v>
      </c>
      <c r="F1432" s="106" t="str">
        <f>SUMIFS(Data!J:J,Data!F:F,A1432)</f>
        <v>1</v>
      </c>
      <c r="G1432" s="106" t="str">
        <f>SUMIFS(Cast!C:C,CastElements,A1432)</f>
        <v>0</v>
      </c>
      <c r="H1432" s="106" t="str">
        <f t="shared" si="4"/>
        <v>1</v>
      </c>
      <c r="I1432" s="106" t="str">
        <f>SUMIFS(Del!C:C,Del!B:B,A1432)</f>
        <v>0</v>
      </c>
      <c r="J1432" s="106" t="str">
        <f t="shared" si="5"/>
        <v>1</v>
      </c>
      <c r="K1432" s="106" t="str">
        <f t="shared" si="6"/>
        <v>0</v>
      </c>
      <c r="L1432" s="106"/>
      <c r="M1432" s="106" t="str">
        <f>SUMIFS(Ere!C:C,Ere!B:B,A1432)</f>
        <v>0</v>
      </c>
      <c r="N1432" s="106" t="str">
        <f t="shared" si="7"/>
        <v>1</v>
      </c>
      <c r="O1432" s="107" t="str">
        <f t="array" ref="O1432">XLOOKUP(A1432,Data!F:F,Data!O:O)</f>
        <v>  1.06 </v>
      </c>
      <c r="P1432" s="107" t="str">
        <f t="shared" si="8"/>
        <v>  2.65 </v>
      </c>
      <c r="Q1432" s="27"/>
    </row>
    <row r="1433" ht="15.75" customHeight="1">
      <c r="A1433" s="105" t="s">
        <v>1677</v>
      </c>
      <c r="B1433" s="19" t="str">
        <f t="array" ref="B1433">XLOOKUP(A1433,Data!F:F,Data!G:G)</f>
        <v>J1E</v>
      </c>
      <c r="C1433" s="19" t="str">
        <f t="shared" si="3"/>
        <v>J112</v>
      </c>
      <c r="D1433" s="19" t="str">
        <f t="array" ref="D1433">XLOOKUP(A1433,Data!F:F,Data!C:C)</f>
        <v/>
      </c>
      <c r="E1433" s="19" t="str">
        <f t="array" ref="E1433">XLOOKUP(A1433,Data!F:F,Data!H:H)</f>
        <v>BW</v>
      </c>
      <c r="F1433" s="106" t="str">
        <f>SUMIFS(Data!J:J,Data!F:F,A1433)</f>
        <v>1</v>
      </c>
      <c r="G1433" s="106" t="str">
        <f>SUMIFS(Cast!C:C,CastElements,A1433)</f>
        <v>0</v>
      </c>
      <c r="H1433" s="106" t="str">
        <f t="shared" si="4"/>
        <v>1</v>
      </c>
      <c r="I1433" s="106" t="str">
        <f>SUMIFS(Del!C:C,Del!B:B,A1433)</f>
        <v>0</v>
      </c>
      <c r="J1433" s="106" t="str">
        <f t="shared" si="5"/>
        <v>1</v>
      </c>
      <c r="K1433" s="106" t="str">
        <f t="shared" si="6"/>
        <v>0</v>
      </c>
      <c r="L1433" s="106"/>
      <c r="M1433" s="106" t="str">
        <f>SUMIFS(Ere!C:C,Ere!B:B,A1433)</f>
        <v>0</v>
      </c>
      <c r="N1433" s="106" t="str">
        <f t="shared" si="7"/>
        <v>1</v>
      </c>
      <c r="O1433" s="107" t="str">
        <f t="array" ref="O1433">XLOOKUP(A1433,Data!F:F,Data!O:O)</f>
        <v>  2.24 </v>
      </c>
      <c r="P1433" s="107" t="str">
        <f t="shared" si="8"/>
        <v>  5.60 </v>
      </c>
      <c r="Q1433" s="27"/>
    </row>
    <row r="1434" ht="15.75" customHeight="1">
      <c r="A1434" s="105" t="s">
        <v>1678</v>
      </c>
      <c r="B1434" s="19" t="str">
        <f t="array" ref="B1434">XLOOKUP(A1434,Data!F:F,Data!G:G)</f>
        <v>J1E</v>
      </c>
      <c r="C1434" s="19" t="str">
        <f t="shared" si="3"/>
        <v>J112</v>
      </c>
      <c r="D1434" s="19" t="str">
        <f t="array" ref="D1434">XLOOKUP(A1434,Data!F:F,Data!C:C)</f>
        <v/>
      </c>
      <c r="E1434" s="19" t="str">
        <f t="array" ref="E1434">XLOOKUP(A1434,Data!F:F,Data!H:H)</f>
        <v>BW</v>
      </c>
      <c r="F1434" s="106" t="str">
        <f>SUMIFS(Data!J:J,Data!F:F,A1434)</f>
        <v>1</v>
      </c>
      <c r="G1434" s="106" t="str">
        <f>SUMIFS(Cast!C:C,CastElements,A1434)</f>
        <v>0</v>
      </c>
      <c r="H1434" s="106" t="str">
        <f t="shared" si="4"/>
        <v>1</v>
      </c>
      <c r="I1434" s="106" t="str">
        <f>SUMIFS(Del!C:C,Del!B:B,A1434)</f>
        <v>0</v>
      </c>
      <c r="J1434" s="106" t="str">
        <f t="shared" si="5"/>
        <v>1</v>
      </c>
      <c r="K1434" s="106" t="str">
        <f t="shared" si="6"/>
        <v>0</v>
      </c>
      <c r="L1434" s="106"/>
      <c r="M1434" s="106" t="str">
        <f>SUMIFS(Ere!C:C,Ere!B:B,A1434)</f>
        <v>0</v>
      </c>
      <c r="N1434" s="106" t="str">
        <f t="shared" si="7"/>
        <v>1</v>
      </c>
      <c r="O1434" s="107" t="str">
        <f t="array" ref="O1434">XLOOKUP(A1434,Data!F:F,Data!O:O)</f>
        <v>  2.13 </v>
      </c>
      <c r="P1434" s="107" t="str">
        <f t="shared" si="8"/>
        <v>  5.33 </v>
      </c>
      <c r="Q1434" s="27"/>
    </row>
    <row r="1435" ht="15.75" customHeight="1">
      <c r="A1435" s="105" t="s">
        <v>1679</v>
      </c>
      <c r="B1435" s="19" t="str">
        <f t="array" ref="B1435">XLOOKUP(A1435,Data!F:F,Data!G:G)</f>
        <v>J1E</v>
      </c>
      <c r="C1435" s="19" t="str">
        <f t="shared" si="3"/>
        <v>J112</v>
      </c>
      <c r="D1435" s="19" t="str">
        <f t="array" ref="D1435">XLOOKUP(A1435,Data!F:F,Data!C:C)</f>
        <v/>
      </c>
      <c r="E1435" s="19" t="str">
        <f t="array" ref="E1435">XLOOKUP(A1435,Data!F:F,Data!H:H)</f>
        <v>BW</v>
      </c>
      <c r="F1435" s="106" t="str">
        <f>SUMIFS(Data!J:J,Data!F:F,A1435)</f>
        <v>1</v>
      </c>
      <c r="G1435" s="106" t="str">
        <f>SUMIFS(Cast!C:C,CastElements,A1435)</f>
        <v>0</v>
      </c>
      <c r="H1435" s="106" t="str">
        <f t="shared" si="4"/>
        <v>1</v>
      </c>
      <c r="I1435" s="106" t="str">
        <f>SUMIFS(Del!C:C,Del!B:B,A1435)</f>
        <v>0</v>
      </c>
      <c r="J1435" s="106" t="str">
        <f t="shared" si="5"/>
        <v>1</v>
      </c>
      <c r="K1435" s="106" t="str">
        <f t="shared" si="6"/>
        <v>0</v>
      </c>
      <c r="L1435" s="106"/>
      <c r="M1435" s="106" t="str">
        <f>SUMIFS(Ere!C:C,Ere!B:B,A1435)</f>
        <v>0</v>
      </c>
      <c r="N1435" s="106" t="str">
        <f t="shared" si="7"/>
        <v>1</v>
      </c>
      <c r="O1435" s="107" t="str">
        <f t="array" ref="O1435">XLOOKUP(A1435,Data!F:F,Data!O:O)</f>
        <v>  2.13 </v>
      </c>
      <c r="P1435" s="107" t="str">
        <f t="shared" si="8"/>
        <v>  5.33 </v>
      </c>
      <c r="Q1435" s="27"/>
    </row>
    <row r="1436" ht="15.75" customHeight="1">
      <c r="A1436" s="105" t="s">
        <v>1680</v>
      </c>
      <c r="B1436" s="19" t="str">
        <f t="array" ref="B1436">XLOOKUP(A1436,Data!F:F,Data!G:G)</f>
        <v>J1E</v>
      </c>
      <c r="C1436" s="19" t="str">
        <f t="shared" si="3"/>
        <v>J112</v>
      </c>
      <c r="D1436" s="19" t="str">
        <f t="array" ref="D1436">XLOOKUP(A1436,Data!F:F,Data!C:C)</f>
        <v/>
      </c>
      <c r="E1436" s="19" t="str">
        <f t="array" ref="E1436">XLOOKUP(A1436,Data!F:F,Data!H:H)</f>
        <v>BW</v>
      </c>
      <c r="F1436" s="106" t="str">
        <f>SUMIFS(Data!J:J,Data!F:F,A1436)</f>
        <v>1</v>
      </c>
      <c r="G1436" s="106" t="str">
        <f>SUMIFS(Cast!C:C,CastElements,A1436)</f>
        <v>0</v>
      </c>
      <c r="H1436" s="106" t="str">
        <f t="shared" si="4"/>
        <v>1</v>
      </c>
      <c r="I1436" s="106" t="str">
        <f>SUMIFS(Del!C:C,Del!B:B,A1436)</f>
        <v>0</v>
      </c>
      <c r="J1436" s="106" t="str">
        <f t="shared" si="5"/>
        <v>1</v>
      </c>
      <c r="K1436" s="106" t="str">
        <f t="shared" si="6"/>
        <v>0</v>
      </c>
      <c r="L1436" s="106"/>
      <c r="M1436" s="106" t="str">
        <f>SUMIFS(Ere!C:C,Ere!B:B,A1436)</f>
        <v>0</v>
      </c>
      <c r="N1436" s="106" t="str">
        <f t="shared" si="7"/>
        <v>1</v>
      </c>
      <c r="O1436" s="107" t="str">
        <f t="array" ref="O1436">XLOOKUP(A1436,Data!F:F,Data!O:O)</f>
        <v>  2.13 </v>
      </c>
      <c r="P1436" s="107" t="str">
        <f t="shared" si="8"/>
        <v>  5.33 </v>
      </c>
      <c r="Q1436" s="27"/>
    </row>
    <row r="1437" ht="15.75" customHeight="1">
      <c r="A1437" s="105" t="s">
        <v>1681</v>
      </c>
      <c r="B1437" s="19" t="str">
        <f t="array" ref="B1437">XLOOKUP(A1437,Data!F:F,Data!G:G)</f>
        <v>J1E</v>
      </c>
      <c r="C1437" s="19" t="str">
        <f t="shared" si="3"/>
        <v>J112</v>
      </c>
      <c r="D1437" s="19" t="str">
        <f t="array" ref="D1437">XLOOKUP(A1437,Data!F:F,Data!C:C)</f>
        <v/>
      </c>
      <c r="E1437" s="19" t="str">
        <f t="array" ref="E1437">XLOOKUP(A1437,Data!F:F,Data!H:H)</f>
        <v>BW</v>
      </c>
      <c r="F1437" s="106" t="str">
        <f>SUMIFS(Data!J:J,Data!F:F,A1437)</f>
        <v>1</v>
      </c>
      <c r="G1437" s="106" t="str">
        <f>SUMIFS(Cast!C:C,CastElements,A1437)</f>
        <v>0</v>
      </c>
      <c r="H1437" s="106" t="str">
        <f t="shared" si="4"/>
        <v>1</v>
      </c>
      <c r="I1437" s="106" t="str">
        <f>SUMIFS(Del!C:C,Del!B:B,A1437)</f>
        <v>0</v>
      </c>
      <c r="J1437" s="106" t="str">
        <f t="shared" si="5"/>
        <v>1</v>
      </c>
      <c r="K1437" s="106" t="str">
        <f t="shared" si="6"/>
        <v>0</v>
      </c>
      <c r="L1437" s="106"/>
      <c r="M1437" s="106" t="str">
        <f>SUMIFS(Ere!C:C,Ere!B:B,A1437)</f>
        <v>0</v>
      </c>
      <c r="N1437" s="106" t="str">
        <f t="shared" si="7"/>
        <v>1</v>
      </c>
      <c r="O1437" s="107" t="str">
        <f t="array" ref="O1437">XLOOKUP(A1437,Data!F:F,Data!O:O)</f>
        <v>  1.80 </v>
      </c>
      <c r="P1437" s="107" t="str">
        <f t="shared" si="8"/>
        <v>  4.50 </v>
      </c>
      <c r="Q1437" s="27"/>
    </row>
    <row r="1438" ht="15.75" customHeight="1">
      <c r="A1438" s="105" t="s">
        <v>1682</v>
      </c>
      <c r="B1438" s="19" t="str">
        <f t="array" ref="B1438">XLOOKUP(A1438,Data!F:F,Data!G:G)</f>
        <v>J1E</v>
      </c>
      <c r="C1438" s="19" t="str">
        <f t="shared" si="3"/>
        <v>J112</v>
      </c>
      <c r="D1438" s="19" t="str">
        <f t="array" ref="D1438">XLOOKUP(A1438,Data!F:F,Data!C:C)</f>
        <v/>
      </c>
      <c r="E1438" s="19" t="str">
        <f t="array" ref="E1438">XLOOKUP(A1438,Data!F:F,Data!H:H)</f>
        <v>BW</v>
      </c>
      <c r="F1438" s="106" t="str">
        <f>SUMIFS(Data!J:J,Data!F:F,A1438)</f>
        <v>1</v>
      </c>
      <c r="G1438" s="106" t="str">
        <f>SUMIFS(Cast!C:C,CastElements,A1438)</f>
        <v>0</v>
      </c>
      <c r="H1438" s="106" t="str">
        <f t="shared" si="4"/>
        <v>1</v>
      </c>
      <c r="I1438" s="106" t="str">
        <f>SUMIFS(Del!C:C,Del!B:B,A1438)</f>
        <v>0</v>
      </c>
      <c r="J1438" s="106" t="str">
        <f t="shared" si="5"/>
        <v>1</v>
      </c>
      <c r="K1438" s="106" t="str">
        <f t="shared" si="6"/>
        <v>0</v>
      </c>
      <c r="L1438" s="106"/>
      <c r="M1438" s="106" t="str">
        <f>SUMIFS(Ere!C:C,Ere!B:B,A1438)</f>
        <v>0</v>
      </c>
      <c r="N1438" s="106" t="str">
        <f t="shared" si="7"/>
        <v>1</v>
      </c>
      <c r="O1438" s="107" t="str">
        <f t="array" ref="O1438">XLOOKUP(A1438,Data!F:F,Data!O:O)</f>
        <v>  2.23 </v>
      </c>
      <c r="P1438" s="107" t="str">
        <f t="shared" si="8"/>
        <v>  5.58 </v>
      </c>
      <c r="Q1438" s="27"/>
    </row>
    <row r="1439" ht="15.75" customHeight="1">
      <c r="A1439" s="105" t="s">
        <v>1683</v>
      </c>
      <c r="B1439" s="19" t="str">
        <f t="array" ref="B1439">XLOOKUP(A1439,Data!F:F,Data!G:G)</f>
        <v>J1E</v>
      </c>
      <c r="C1439" s="19" t="str">
        <f t="shared" si="3"/>
        <v>J112</v>
      </c>
      <c r="D1439" s="19" t="str">
        <f t="array" ref="D1439">XLOOKUP(A1439,Data!F:F,Data!C:C)</f>
        <v/>
      </c>
      <c r="E1439" s="19" t="str">
        <f t="array" ref="E1439">XLOOKUP(A1439,Data!F:F,Data!H:H)</f>
        <v>BW</v>
      </c>
      <c r="F1439" s="106" t="str">
        <f>SUMIFS(Data!J:J,Data!F:F,A1439)</f>
        <v>1</v>
      </c>
      <c r="G1439" s="106" t="str">
        <f>SUMIFS(Cast!C:C,CastElements,A1439)</f>
        <v>0</v>
      </c>
      <c r="H1439" s="106" t="str">
        <f t="shared" si="4"/>
        <v>1</v>
      </c>
      <c r="I1439" s="106" t="str">
        <f>SUMIFS(Del!C:C,Del!B:B,A1439)</f>
        <v>0</v>
      </c>
      <c r="J1439" s="106" t="str">
        <f t="shared" si="5"/>
        <v>1</v>
      </c>
      <c r="K1439" s="106" t="str">
        <f t="shared" si="6"/>
        <v>0</v>
      </c>
      <c r="L1439" s="106"/>
      <c r="M1439" s="106" t="str">
        <f>SUMIFS(Ere!C:C,Ere!B:B,A1439)</f>
        <v>0</v>
      </c>
      <c r="N1439" s="106" t="str">
        <f t="shared" si="7"/>
        <v>1</v>
      </c>
      <c r="O1439" s="107" t="str">
        <f t="array" ref="O1439">XLOOKUP(A1439,Data!F:F,Data!O:O)</f>
        <v>  2.11 </v>
      </c>
      <c r="P1439" s="107" t="str">
        <f t="shared" si="8"/>
        <v>  5.28 </v>
      </c>
      <c r="Q1439" s="27"/>
    </row>
    <row r="1440" ht="15.75" customHeight="1">
      <c r="A1440" s="105" t="s">
        <v>1684</v>
      </c>
      <c r="B1440" s="19" t="str">
        <f t="array" ref="B1440">XLOOKUP(A1440,Data!F:F,Data!G:G)</f>
        <v>J1E</v>
      </c>
      <c r="C1440" s="19" t="str">
        <f t="shared" si="3"/>
        <v>J112</v>
      </c>
      <c r="D1440" s="19" t="str">
        <f t="array" ref="D1440">XLOOKUP(A1440,Data!F:F,Data!C:C)</f>
        <v/>
      </c>
      <c r="E1440" s="19" t="str">
        <f t="array" ref="E1440">XLOOKUP(A1440,Data!F:F,Data!H:H)</f>
        <v>BW</v>
      </c>
      <c r="F1440" s="106" t="str">
        <f>SUMIFS(Data!J:J,Data!F:F,A1440)</f>
        <v>1</v>
      </c>
      <c r="G1440" s="106" t="str">
        <f>SUMIFS(Cast!C:C,CastElements,A1440)</f>
        <v>0</v>
      </c>
      <c r="H1440" s="106" t="str">
        <f t="shared" si="4"/>
        <v>1</v>
      </c>
      <c r="I1440" s="106" t="str">
        <f>SUMIFS(Del!C:C,Del!B:B,A1440)</f>
        <v>0</v>
      </c>
      <c r="J1440" s="106" t="str">
        <f t="shared" si="5"/>
        <v>1</v>
      </c>
      <c r="K1440" s="106" t="str">
        <f t="shared" si="6"/>
        <v>0</v>
      </c>
      <c r="L1440" s="106"/>
      <c r="M1440" s="106" t="str">
        <f>SUMIFS(Ere!C:C,Ere!B:B,A1440)</f>
        <v>0</v>
      </c>
      <c r="N1440" s="106" t="str">
        <f t="shared" si="7"/>
        <v>1</v>
      </c>
      <c r="O1440" s="107" t="str">
        <f t="array" ref="O1440">XLOOKUP(A1440,Data!F:F,Data!O:O)</f>
        <v>  2.11 </v>
      </c>
      <c r="P1440" s="107" t="str">
        <f t="shared" si="8"/>
        <v>  5.28 </v>
      </c>
      <c r="Q1440" s="27"/>
    </row>
    <row r="1441" ht="15.75" customHeight="1">
      <c r="A1441" s="105" t="s">
        <v>1685</v>
      </c>
      <c r="B1441" s="19" t="str">
        <f t="array" ref="B1441">XLOOKUP(A1441,Data!F:F,Data!G:G)</f>
        <v>J1E</v>
      </c>
      <c r="C1441" s="19" t="str">
        <f t="shared" si="3"/>
        <v>J112</v>
      </c>
      <c r="D1441" s="19" t="str">
        <f t="array" ref="D1441">XLOOKUP(A1441,Data!F:F,Data!C:C)</f>
        <v/>
      </c>
      <c r="E1441" s="19" t="str">
        <f t="array" ref="E1441">XLOOKUP(A1441,Data!F:F,Data!H:H)</f>
        <v>BW</v>
      </c>
      <c r="F1441" s="106" t="str">
        <f>SUMIFS(Data!J:J,Data!F:F,A1441)</f>
        <v>1</v>
      </c>
      <c r="G1441" s="106" t="str">
        <f>SUMIFS(Cast!C:C,CastElements,A1441)</f>
        <v>0</v>
      </c>
      <c r="H1441" s="106" t="str">
        <f t="shared" si="4"/>
        <v>1</v>
      </c>
      <c r="I1441" s="106" t="str">
        <f>SUMIFS(Del!C:C,Del!B:B,A1441)</f>
        <v>0</v>
      </c>
      <c r="J1441" s="106" t="str">
        <f t="shared" si="5"/>
        <v>1</v>
      </c>
      <c r="K1441" s="106" t="str">
        <f t="shared" si="6"/>
        <v>0</v>
      </c>
      <c r="L1441" s="106"/>
      <c r="M1441" s="106" t="str">
        <f>SUMIFS(Ere!C:C,Ere!B:B,A1441)</f>
        <v>0</v>
      </c>
      <c r="N1441" s="106" t="str">
        <f t="shared" si="7"/>
        <v>1</v>
      </c>
      <c r="O1441" s="107" t="str">
        <f t="array" ref="O1441">XLOOKUP(A1441,Data!F:F,Data!O:O)</f>
        <v>  2.11 </v>
      </c>
      <c r="P1441" s="107" t="str">
        <f t="shared" si="8"/>
        <v>  5.28 </v>
      </c>
      <c r="Q1441" s="27"/>
    </row>
    <row r="1442" ht="15.75" customHeight="1">
      <c r="A1442" s="105" t="s">
        <v>1686</v>
      </c>
      <c r="B1442" s="19" t="str">
        <f t="array" ref="B1442">XLOOKUP(A1442,Data!F:F,Data!G:G)</f>
        <v>J1E</v>
      </c>
      <c r="C1442" s="19" t="str">
        <f t="shared" si="3"/>
        <v>J112</v>
      </c>
      <c r="D1442" s="19" t="str">
        <f t="array" ref="D1442">XLOOKUP(A1442,Data!F:F,Data!C:C)</f>
        <v/>
      </c>
      <c r="E1442" s="19" t="str">
        <f t="array" ref="E1442">XLOOKUP(A1442,Data!F:F,Data!H:H)</f>
        <v>BW</v>
      </c>
      <c r="F1442" s="106" t="str">
        <f>SUMIFS(Data!J:J,Data!F:F,A1442)</f>
        <v>1</v>
      </c>
      <c r="G1442" s="106" t="str">
        <f>SUMIFS(Cast!C:C,CastElements,A1442)</f>
        <v>0</v>
      </c>
      <c r="H1442" s="106" t="str">
        <f t="shared" si="4"/>
        <v>1</v>
      </c>
      <c r="I1442" s="106" t="str">
        <f>SUMIFS(Del!C:C,Del!B:B,A1442)</f>
        <v>0</v>
      </c>
      <c r="J1442" s="106" t="str">
        <f t="shared" si="5"/>
        <v>1</v>
      </c>
      <c r="K1442" s="106" t="str">
        <f t="shared" si="6"/>
        <v>0</v>
      </c>
      <c r="L1442" s="106"/>
      <c r="M1442" s="106" t="str">
        <f>SUMIFS(Ere!C:C,Ere!B:B,A1442)</f>
        <v>0</v>
      </c>
      <c r="N1442" s="106" t="str">
        <f t="shared" si="7"/>
        <v>1</v>
      </c>
      <c r="O1442" s="107" t="str">
        <f t="array" ref="O1442">XLOOKUP(A1442,Data!F:F,Data!O:O)</f>
        <v>  1.77 </v>
      </c>
      <c r="P1442" s="107" t="str">
        <f t="shared" si="8"/>
        <v>  4.43 </v>
      </c>
      <c r="Q1442" s="27"/>
    </row>
    <row r="1443" ht="15.75" customHeight="1">
      <c r="A1443" s="105" t="s">
        <v>1687</v>
      </c>
      <c r="B1443" s="19" t="str">
        <f t="array" ref="B1443">XLOOKUP(A1443,Data!F:F,Data!G:G)</f>
        <v>J1E</v>
      </c>
      <c r="C1443" s="19" t="str">
        <f t="shared" si="3"/>
        <v>J112</v>
      </c>
      <c r="D1443" s="19" t="str">
        <f t="array" ref="D1443">XLOOKUP(A1443,Data!F:F,Data!C:C)</f>
        <v/>
      </c>
      <c r="E1443" s="19" t="str">
        <f t="array" ref="E1443">XLOOKUP(A1443,Data!F:F,Data!H:H)</f>
        <v>BW</v>
      </c>
      <c r="F1443" s="106" t="str">
        <f>SUMIFS(Data!J:J,Data!F:F,A1443)</f>
        <v>1</v>
      </c>
      <c r="G1443" s="106" t="str">
        <f>SUMIFS(Cast!C:C,CastElements,A1443)</f>
        <v>0</v>
      </c>
      <c r="H1443" s="106" t="str">
        <f t="shared" si="4"/>
        <v>1</v>
      </c>
      <c r="I1443" s="106" t="str">
        <f>SUMIFS(Del!C:C,Del!B:B,A1443)</f>
        <v>0</v>
      </c>
      <c r="J1443" s="106" t="str">
        <f t="shared" si="5"/>
        <v>1</v>
      </c>
      <c r="K1443" s="106" t="str">
        <f t="shared" si="6"/>
        <v>0</v>
      </c>
      <c r="L1443" s="106"/>
      <c r="M1443" s="106" t="str">
        <f>SUMIFS(Ere!C:C,Ere!B:B,A1443)</f>
        <v>0</v>
      </c>
      <c r="N1443" s="106" t="str">
        <f t="shared" si="7"/>
        <v>1</v>
      </c>
      <c r="O1443" s="107" t="str">
        <f t="array" ref="O1443">XLOOKUP(A1443,Data!F:F,Data!O:O)</f>
        <v>  0.35 </v>
      </c>
      <c r="P1443" s="107" t="str">
        <f t="shared" si="8"/>
        <v>  0.88 </v>
      </c>
      <c r="Q1443" s="27"/>
    </row>
    <row r="1444" ht="15.75" customHeight="1">
      <c r="A1444" s="105" t="s">
        <v>1688</v>
      </c>
      <c r="B1444" s="19" t="str">
        <f t="array" ref="B1444">XLOOKUP(A1444,Data!F:F,Data!G:G)</f>
        <v>J1E</v>
      </c>
      <c r="C1444" s="19" t="str">
        <f t="shared" si="3"/>
        <v>J112</v>
      </c>
      <c r="D1444" s="19" t="str">
        <f t="array" ref="D1444">XLOOKUP(A1444,Data!F:F,Data!C:C)</f>
        <v/>
      </c>
      <c r="E1444" s="19" t="str">
        <f t="array" ref="E1444">XLOOKUP(A1444,Data!F:F,Data!H:H)</f>
        <v>CF</v>
      </c>
      <c r="F1444" s="106" t="str">
        <f>SUMIFS(Data!J:J,Data!F:F,A1444)</f>
        <v>1</v>
      </c>
      <c r="G1444" s="106" t="str">
        <f>SUMIFS(Cast!C:C,CastElements,A1444)</f>
        <v>0</v>
      </c>
      <c r="H1444" s="106" t="str">
        <f t="shared" si="4"/>
        <v>1</v>
      </c>
      <c r="I1444" s="106" t="str">
        <f>SUMIFS(Del!C:C,Del!B:B,A1444)</f>
        <v>0</v>
      </c>
      <c r="J1444" s="106" t="str">
        <f t="shared" si="5"/>
        <v>1</v>
      </c>
      <c r="K1444" s="106" t="str">
        <f t="shared" si="6"/>
        <v>0</v>
      </c>
      <c r="L1444" s="106"/>
      <c r="M1444" s="106" t="str">
        <f>SUMIFS(Ere!C:C,Ere!B:B,A1444)</f>
        <v>0</v>
      </c>
      <c r="N1444" s="106" t="str">
        <f t="shared" si="7"/>
        <v>1</v>
      </c>
      <c r="O1444" s="107" t="str">
        <f t="array" ref="O1444">XLOOKUP(A1444,Data!F:F,Data!O:O)</f>
        <v>  0.54 </v>
      </c>
      <c r="P1444" s="107" t="str">
        <f t="shared" si="8"/>
        <v>  1.35 </v>
      </c>
      <c r="Q1444" s="27"/>
    </row>
    <row r="1445" ht="15.75" customHeight="1">
      <c r="A1445" s="105" t="s">
        <v>1689</v>
      </c>
      <c r="B1445" s="19" t="str">
        <f t="array" ref="B1445">XLOOKUP(A1445,Data!F:F,Data!G:G)</f>
        <v>J1E</v>
      </c>
      <c r="C1445" s="19" t="str">
        <f t="shared" si="3"/>
        <v>J113</v>
      </c>
      <c r="D1445" s="19" t="str">
        <f t="array" ref="D1445">XLOOKUP(A1445,Data!F:F,Data!C:C)</f>
        <v>EXT</v>
      </c>
      <c r="E1445" s="19" t="str">
        <f t="array" ref="E1445">XLOOKUP(A1445,Data!F:F,Data!H:H)</f>
        <v>BW</v>
      </c>
      <c r="F1445" s="106" t="str">
        <f>SUMIFS(Data!J:J,Data!F:F,A1445)</f>
        <v>1</v>
      </c>
      <c r="G1445" s="106" t="str">
        <f>SUMIFS(Cast!C:C,CastElements,A1445)</f>
        <v>0</v>
      </c>
      <c r="H1445" s="106" t="str">
        <f t="shared" si="4"/>
        <v>1</v>
      </c>
      <c r="I1445" s="106" t="str">
        <f>SUMIFS(Del!C:C,Del!B:B,A1445)</f>
        <v>0</v>
      </c>
      <c r="J1445" s="106" t="str">
        <f t="shared" si="5"/>
        <v>1</v>
      </c>
      <c r="K1445" s="106" t="str">
        <f t="shared" si="6"/>
        <v>0</v>
      </c>
      <c r="L1445" s="106"/>
      <c r="M1445" s="106" t="str">
        <f>SUMIFS(Ere!C:C,Ere!B:B,A1445)</f>
        <v>0</v>
      </c>
      <c r="N1445" s="106" t="str">
        <f t="shared" si="7"/>
        <v>1</v>
      </c>
      <c r="O1445" s="107" t="str">
        <f t="array" ref="O1445">XLOOKUP(A1445,Data!F:F,Data!O:O)</f>
        <v>  0.79 </v>
      </c>
      <c r="P1445" s="107" t="str">
        <f t="shared" si="8"/>
        <v>  1.98 </v>
      </c>
      <c r="Q1445" s="27"/>
    </row>
    <row r="1446" ht="15.75" customHeight="1">
      <c r="A1446" s="105" t="s">
        <v>1690</v>
      </c>
      <c r="B1446" s="19" t="str">
        <f t="array" ref="B1446">XLOOKUP(A1446,Data!F:F,Data!G:G)</f>
        <v>J1E</v>
      </c>
      <c r="C1446" s="19" t="str">
        <f t="shared" si="3"/>
        <v>J113</v>
      </c>
      <c r="D1446" s="19" t="str">
        <f t="array" ref="D1446">XLOOKUP(A1446,Data!F:F,Data!C:C)</f>
        <v>EXT</v>
      </c>
      <c r="E1446" s="19" t="str">
        <f t="array" ref="E1446">XLOOKUP(A1446,Data!F:F,Data!H:H)</f>
        <v>BW</v>
      </c>
      <c r="F1446" s="106" t="str">
        <f>SUMIFS(Data!J:J,Data!F:F,A1446)</f>
        <v>1</v>
      </c>
      <c r="G1446" s="106" t="str">
        <f>SUMIFS(Cast!C:C,CastElements,A1446)</f>
        <v>0</v>
      </c>
      <c r="H1446" s="106" t="str">
        <f t="shared" si="4"/>
        <v>1</v>
      </c>
      <c r="I1446" s="106" t="str">
        <f>SUMIFS(Del!C:C,Del!B:B,A1446)</f>
        <v>0</v>
      </c>
      <c r="J1446" s="106" t="str">
        <f t="shared" si="5"/>
        <v>1</v>
      </c>
      <c r="K1446" s="106" t="str">
        <f t="shared" si="6"/>
        <v>0</v>
      </c>
      <c r="L1446" s="106"/>
      <c r="M1446" s="106" t="str">
        <f>SUMIFS(Ere!C:C,Ere!B:B,A1446)</f>
        <v>0</v>
      </c>
      <c r="N1446" s="106" t="str">
        <f t="shared" si="7"/>
        <v>1</v>
      </c>
      <c r="O1446" s="107" t="str">
        <f t="array" ref="O1446">XLOOKUP(A1446,Data!F:F,Data!O:O)</f>
        <v>  1.13 </v>
      </c>
      <c r="P1446" s="107" t="str">
        <f t="shared" si="8"/>
        <v>  2.83 </v>
      </c>
      <c r="Q1446" s="27"/>
    </row>
    <row r="1447" ht="15.75" customHeight="1">
      <c r="A1447" s="105" t="s">
        <v>1691</v>
      </c>
      <c r="B1447" s="19" t="str">
        <f t="array" ref="B1447">XLOOKUP(A1447,Data!F:F,Data!G:G)</f>
        <v>J1E</v>
      </c>
      <c r="C1447" s="19" t="str">
        <f t="shared" si="3"/>
        <v>J113</v>
      </c>
      <c r="D1447" s="19" t="str">
        <f t="array" ref="D1447">XLOOKUP(A1447,Data!F:F,Data!C:C)</f>
        <v>EXT</v>
      </c>
      <c r="E1447" s="19" t="str">
        <f t="array" ref="E1447">XLOOKUP(A1447,Data!F:F,Data!H:H)</f>
        <v>BW</v>
      </c>
      <c r="F1447" s="106" t="str">
        <f>SUMIFS(Data!J:J,Data!F:F,A1447)</f>
        <v>1</v>
      </c>
      <c r="G1447" s="106" t="str">
        <f>SUMIFS(Cast!C:C,CastElements,A1447)</f>
        <v>0</v>
      </c>
      <c r="H1447" s="106" t="str">
        <f t="shared" si="4"/>
        <v>1</v>
      </c>
      <c r="I1447" s="106" t="str">
        <f>SUMIFS(Del!C:C,Del!B:B,A1447)</f>
        <v>0</v>
      </c>
      <c r="J1447" s="106" t="str">
        <f t="shared" si="5"/>
        <v>1</v>
      </c>
      <c r="K1447" s="106" t="str">
        <f t="shared" si="6"/>
        <v>0</v>
      </c>
      <c r="L1447" s="106"/>
      <c r="M1447" s="106" t="str">
        <f>SUMIFS(Ere!C:C,Ere!B:B,A1447)</f>
        <v>0</v>
      </c>
      <c r="N1447" s="106" t="str">
        <f t="shared" si="7"/>
        <v>1</v>
      </c>
      <c r="O1447" s="107" t="str">
        <f t="array" ref="O1447">XLOOKUP(A1447,Data!F:F,Data!O:O)</f>
        <v>  1.01 </v>
      </c>
      <c r="P1447" s="107" t="str">
        <f t="shared" si="8"/>
        <v>  2.53 </v>
      </c>
      <c r="Q1447" s="27"/>
    </row>
    <row r="1448" ht="15.75" customHeight="1">
      <c r="A1448" s="105" t="s">
        <v>1692</v>
      </c>
      <c r="B1448" s="19" t="str">
        <f t="array" ref="B1448">XLOOKUP(A1448,Data!F:F,Data!G:G)</f>
        <v>J1E</v>
      </c>
      <c r="C1448" s="19" t="str">
        <f t="shared" si="3"/>
        <v>J113</v>
      </c>
      <c r="D1448" s="19" t="str">
        <f t="array" ref="D1448">XLOOKUP(A1448,Data!F:F,Data!C:C)</f>
        <v>EXT</v>
      </c>
      <c r="E1448" s="19" t="str">
        <f t="array" ref="E1448">XLOOKUP(A1448,Data!F:F,Data!H:H)</f>
        <v>BW</v>
      </c>
      <c r="F1448" s="106" t="str">
        <f>SUMIFS(Data!J:J,Data!F:F,A1448)</f>
        <v>1</v>
      </c>
      <c r="G1448" s="106" t="str">
        <f>SUMIFS(Cast!C:C,CastElements,A1448)</f>
        <v>0</v>
      </c>
      <c r="H1448" s="106" t="str">
        <f t="shared" si="4"/>
        <v>1</v>
      </c>
      <c r="I1448" s="106" t="str">
        <f>SUMIFS(Del!C:C,Del!B:B,A1448)</f>
        <v>0</v>
      </c>
      <c r="J1448" s="106" t="str">
        <f t="shared" si="5"/>
        <v>1</v>
      </c>
      <c r="K1448" s="106" t="str">
        <f t="shared" si="6"/>
        <v>0</v>
      </c>
      <c r="L1448" s="106"/>
      <c r="M1448" s="106" t="str">
        <f>SUMIFS(Ere!C:C,Ere!B:B,A1448)</f>
        <v>0</v>
      </c>
      <c r="N1448" s="106" t="str">
        <f t="shared" si="7"/>
        <v>1</v>
      </c>
      <c r="O1448" s="107" t="str">
        <f t="array" ref="O1448">XLOOKUP(A1448,Data!F:F,Data!O:O)</f>
        <v>  1.01 </v>
      </c>
      <c r="P1448" s="107" t="str">
        <f t="shared" si="8"/>
        <v>  2.53 </v>
      </c>
      <c r="Q1448" s="27"/>
    </row>
    <row r="1449" ht="15.75" customHeight="1">
      <c r="A1449" s="105" t="s">
        <v>1693</v>
      </c>
      <c r="B1449" s="19" t="str">
        <f t="array" ref="B1449">XLOOKUP(A1449,Data!F:F,Data!G:G)</f>
        <v>J1E</v>
      </c>
      <c r="C1449" s="19" t="str">
        <f t="shared" si="3"/>
        <v>J113</v>
      </c>
      <c r="D1449" s="19" t="str">
        <f t="array" ref="D1449">XLOOKUP(A1449,Data!F:F,Data!C:C)</f>
        <v/>
      </c>
      <c r="E1449" s="19" t="str">
        <f t="array" ref="E1449">XLOOKUP(A1449,Data!F:F,Data!H:H)</f>
        <v>BW</v>
      </c>
      <c r="F1449" s="106" t="str">
        <f>SUMIFS(Data!J:J,Data!F:F,A1449)</f>
        <v>1</v>
      </c>
      <c r="G1449" s="106" t="str">
        <f>SUMIFS(Cast!C:C,CastElements,A1449)</f>
        <v>0</v>
      </c>
      <c r="H1449" s="106" t="str">
        <f t="shared" si="4"/>
        <v>1</v>
      </c>
      <c r="I1449" s="106" t="str">
        <f>SUMIFS(Del!C:C,Del!B:B,A1449)</f>
        <v>0</v>
      </c>
      <c r="J1449" s="106" t="str">
        <f t="shared" si="5"/>
        <v>1</v>
      </c>
      <c r="K1449" s="106" t="str">
        <f t="shared" si="6"/>
        <v>0</v>
      </c>
      <c r="L1449" s="106"/>
      <c r="M1449" s="106" t="str">
        <f>SUMIFS(Ere!C:C,Ere!B:B,A1449)</f>
        <v>0</v>
      </c>
      <c r="N1449" s="106" t="str">
        <f t="shared" si="7"/>
        <v>1</v>
      </c>
      <c r="O1449" s="107" t="str">
        <f t="array" ref="O1449">XLOOKUP(A1449,Data!F:F,Data!O:O)</f>
        <v>  2.36 </v>
      </c>
      <c r="P1449" s="107" t="str">
        <f t="shared" si="8"/>
        <v>  5.90 </v>
      </c>
      <c r="Q1449" s="27"/>
    </row>
    <row r="1450" ht="15.75" customHeight="1">
      <c r="A1450" s="105" t="s">
        <v>1694</v>
      </c>
      <c r="B1450" s="19" t="str">
        <f t="array" ref="B1450">XLOOKUP(A1450,Data!F:F,Data!G:G)</f>
        <v>J1E</v>
      </c>
      <c r="C1450" s="19" t="str">
        <f t="shared" si="3"/>
        <v>J113</v>
      </c>
      <c r="D1450" s="19" t="str">
        <f t="array" ref="D1450">XLOOKUP(A1450,Data!F:F,Data!C:C)</f>
        <v/>
      </c>
      <c r="E1450" s="19" t="str">
        <f t="array" ref="E1450">XLOOKUP(A1450,Data!F:F,Data!H:H)</f>
        <v>BW</v>
      </c>
      <c r="F1450" s="106" t="str">
        <f>SUMIFS(Data!J:J,Data!F:F,A1450)</f>
        <v>1</v>
      </c>
      <c r="G1450" s="106" t="str">
        <f>SUMIFS(Cast!C:C,CastElements,A1450)</f>
        <v>1</v>
      </c>
      <c r="H1450" s="106" t="str">
        <f t="shared" si="4"/>
        <v>0</v>
      </c>
      <c r="I1450" s="106" t="str">
        <f>SUMIFS(Del!C:C,Del!B:B,A1450)</f>
        <v>0</v>
      </c>
      <c r="J1450" s="106" t="str">
        <f t="shared" si="5"/>
        <v>1</v>
      </c>
      <c r="K1450" s="106" t="str">
        <f t="shared" si="6"/>
        <v>1</v>
      </c>
      <c r="L1450" s="106"/>
      <c r="M1450" s="106" t="str">
        <f>SUMIFS(Ere!C:C,Ere!B:B,A1450)</f>
        <v>0</v>
      </c>
      <c r="N1450" s="106" t="str">
        <f t="shared" si="7"/>
        <v>1</v>
      </c>
      <c r="O1450" s="107" t="str">
        <f t="array" ref="O1450">XLOOKUP(A1450,Data!F:F,Data!O:O)</f>
        <v>  2.23 </v>
      </c>
      <c r="P1450" s="107" t="str">
        <f t="shared" si="8"/>
        <v>  5.58 </v>
      </c>
      <c r="Q1450" s="27"/>
    </row>
    <row r="1451" ht="15.75" customHeight="1">
      <c r="A1451" s="105" t="s">
        <v>1695</v>
      </c>
      <c r="B1451" s="19" t="str">
        <f t="array" ref="B1451">XLOOKUP(A1451,Data!F:F,Data!G:G)</f>
        <v>J1E</v>
      </c>
      <c r="C1451" s="19" t="str">
        <f t="shared" si="3"/>
        <v>J113</v>
      </c>
      <c r="D1451" s="19" t="str">
        <f t="array" ref="D1451">XLOOKUP(A1451,Data!F:F,Data!C:C)</f>
        <v/>
      </c>
      <c r="E1451" s="19" t="str">
        <f t="array" ref="E1451">XLOOKUP(A1451,Data!F:F,Data!H:H)</f>
        <v>BW</v>
      </c>
      <c r="F1451" s="106" t="str">
        <f>SUMIFS(Data!J:J,Data!F:F,A1451)</f>
        <v>1</v>
      </c>
      <c r="G1451" s="106" t="str">
        <f>SUMIFS(Cast!C:C,CastElements,A1451)</f>
        <v>0</v>
      </c>
      <c r="H1451" s="106" t="str">
        <f t="shared" si="4"/>
        <v>1</v>
      </c>
      <c r="I1451" s="106" t="str">
        <f>SUMIFS(Del!C:C,Del!B:B,A1451)</f>
        <v>0</v>
      </c>
      <c r="J1451" s="106" t="str">
        <f t="shared" si="5"/>
        <v>1</v>
      </c>
      <c r="K1451" s="106" t="str">
        <f t="shared" si="6"/>
        <v>0</v>
      </c>
      <c r="L1451" s="106"/>
      <c r="M1451" s="106" t="str">
        <f>SUMIFS(Ere!C:C,Ere!B:B,A1451)</f>
        <v>0</v>
      </c>
      <c r="N1451" s="106" t="str">
        <f t="shared" si="7"/>
        <v>1</v>
      </c>
      <c r="O1451" s="107" t="str">
        <f t="array" ref="O1451">XLOOKUP(A1451,Data!F:F,Data!O:O)</f>
        <v>  2.23 </v>
      </c>
      <c r="P1451" s="107" t="str">
        <f t="shared" si="8"/>
        <v>  5.58 </v>
      </c>
      <c r="Q1451" s="27"/>
    </row>
    <row r="1452" ht="15.75" customHeight="1">
      <c r="A1452" s="105" t="s">
        <v>1696</v>
      </c>
      <c r="B1452" s="19" t="str">
        <f t="array" ref="B1452">XLOOKUP(A1452,Data!F:F,Data!G:G)</f>
        <v>J1E</v>
      </c>
      <c r="C1452" s="19" t="str">
        <f t="shared" si="3"/>
        <v>J113</v>
      </c>
      <c r="D1452" s="19" t="str">
        <f t="array" ref="D1452">XLOOKUP(A1452,Data!F:F,Data!C:C)</f>
        <v/>
      </c>
      <c r="E1452" s="19" t="str">
        <f t="array" ref="E1452">XLOOKUP(A1452,Data!F:F,Data!H:H)</f>
        <v>BW</v>
      </c>
      <c r="F1452" s="106" t="str">
        <f>SUMIFS(Data!J:J,Data!F:F,A1452)</f>
        <v>1</v>
      </c>
      <c r="G1452" s="106" t="str">
        <f>SUMIFS(Cast!C:C,CastElements,A1452)</f>
        <v>0</v>
      </c>
      <c r="H1452" s="106" t="str">
        <f t="shared" si="4"/>
        <v>1</v>
      </c>
      <c r="I1452" s="106" t="str">
        <f>SUMIFS(Del!C:C,Del!B:B,A1452)</f>
        <v>0</v>
      </c>
      <c r="J1452" s="106" t="str">
        <f t="shared" si="5"/>
        <v>1</v>
      </c>
      <c r="K1452" s="106" t="str">
        <f t="shared" si="6"/>
        <v>0</v>
      </c>
      <c r="L1452" s="106"/>
      <c r="M1452" s="106" t="str">
        <f>SUMIFS(Ere!C:C,Ere!B:B,A1452)</f>
        <v>0</v>
      </c>
      <c r="N1452" s="106" t="str">
        <f t="shared" si="7"/>
        <v>1</v>
      </c>
      <c r="O1452" s="107" t="str">
        <f t="array" ref="O1452">XLOOKUP(A1452,Data!F:F,Data!O:O)</f>
        <v>  2.23 </v>
      </c>
      <c r="P1452" s="107" t="str">
        <f t="shared" si="8"/>
        <v>  5.58 </v>
      </c>
      <c r="Q1452" s="27"/>
    </row>
    <row r="1453" ht="15.75" customHeight="1">
      <c r="A1453" s="105" t="s">
        <v>1697</v>
      </c>
      <c r="B1453" s="19" t="str">
        <f t="array" ref="B1453">XLOOKUP(A1453,Data!F:F,Data!G:G)</f>
        <v>J1E</v>
      </c>
      <c r="C1453" s="19" t="str">
        <f t="shared" si="3"/>
        <v>J113</v>
      </c>
      <c r="D1453" s="19" t="str">
        <f t="array" ref="D1453">XLOOKUP(A1453,Data!F:F,Data!C:C)</f>
        <v/>
      </c>
      <c r="E1453" s="19" t="str">
        <f t="array" ref="E1453">XLOOKUP(A1453,Data!F:F,Data!H:H)</f>
        <v>BW</v>
      </c>
      <c r="F1453" s="106" t="str">
        <f>SUMIFS(Data!J:J,Data!F:F,A1453)</f>
        <v>1</v>
      </c>
      <c r="G1453" s="106" t="str">
        <f>SUMIFS(Cast!C:C,CastElements,A1453)</f>
        <v>0</v>
      </c>
      <c r="H1453" s="106" t="str">
        <f t="shared" si="4"/>
        <v>1</v>
      </c>
      <c r="I1453" s="106" t="str">
        <f>SUMIFS(Del!C:C,Del!B:B,A1453)</f>
        <v>0</v>
      </c>
      <c r="J1453" s="106" t="str">
        <f t="shared" si="5"/>
        <v>1</v>
      </c>
      <c r="K1453" s="106" t="str">
        <f t="shared" si="6"/>
        <v>0</v>
      </c>
      <c r="L1453" s="106"/>
      <c r="M1453" s="106" t="str">
        <f>SUMIFS(Ere!C:C,Ere!B:B,A1453)</f>
        <v>0</v>
      </c>
      <c r="N1453" s="106" t="str">
        <f t="shared" si="7"/>
        <v>1</v>
      </c>
      <c r="O1453" s="107" t="str">
        <f t="array" ref="O1453">XLOOKUP(A1453,Data!F:F,Data!O:O)</f>
        <v>  1.89 </v>
      </c>
      <c r="P1453" s="107" t="str">
        <f t="shared" si="8"/>
        <v>  4.73 </v>
      </c>
      <c r="Q1453" s="27"/>
    </row>
    <row r="1454" ht="15.75" customHeight="1">
      <c r="A1454" s="105" t="s">
        <v>1698</v>
      </c>
      <c r="B1454" s="19" t="str">
        <f t="array" ref="B1454">XLOOKUP(A1454,Data!F:F,Data!G:G)</f>
        <v>J1E</v>
      </c>
      <c r="C1454" s="19" t="str">
        <f t="shared" si="3"/>
        <v>J113</v>
      </c>
      <c r="D1454" s="19" t="str">
        <f t="array" ref="D1454">XLOOKUP(A1454,Data!F:F,Data!C:C)</f>
        <v/>
      </c>
      <c r="E1454" s="19" t="str">
        <f t="array" ref="E1454">XLOOKUP(A1454,Data!F:F,Data!H:H)</f>
        <v>BW</v>
      </c>
      <c r="F1454" s="106" t="str">
        <f>SUMIFS(Data!J:J,Data!F:F,A1454)</f>
        <v>1</v>
      </c>
      <c r="G1454" s="106" t="str">
        <f>SUMIFS(Cast!C:C,CastElements,A1454)</f>
        <v>0</v>
      </c>
      <c r="H1454" s="106" t="str">
        <f t="shared" si="4"/>
        <v>1</v>
      </c>
      <c r="I1454" s="106" t="str">
        <f>SUMIFS(Del!C:C,Del!B:B,A1454)</f>
        <v>0</v>
      </c>
      <c r="J1454" s="106" t="str">
        <f t="shared" si="5"/>
        <v>1</v>
      </c>
      <c r="K1454" s="106" t="str">
        <f t="shared" si="6"/>
        <v>0</v>
      </c>
      <c r="L1454" s="106"/>
      <c r="M1454" s="106" t="str">
        <f>SUMIFS(Ere!C:C,Ere!B:B,A1454)</f>
        <v>0</v>
      </c>
      <c r="N1454" s="106" t="str">
        <f t="shared" si="7"/>
        <v>1</v>
      </c>
      <c r="O1454" s="107" t="str">
        <f t="array" ref="O1454">XLOOKUP(A1454,Data!F:F,Data!O:O)</f>
        <v>  2.20 </v>
      </c>
      <c r="P1454" s="107" t="str">
        <f t="shared" si="8"/>
        <v>  5.50 </v>
      </c>
      <c r="Q1454" s="27"/>
    </row>
    <row r="1455" ht="15.75" customHeight="1">
      <c r="A1455" s="105" t="s">
        <v>1699</v>
      </c>
      <c r="B1455" s="19" t="str">
        <f t="array" ref="B1455">XLOOKUP(A1455,Data!F:F,Data!G:G)</f>
        <v>J1E</v>
      </c>
      <c r="C1455" s="19" t="str">
        <f t="shared" si="3"/>
        <v>J113</v>
      </c>
      <c r="D1455" s="19" t="str">
        <f t="array" ref="D1455">XLOOKUP(A1455,Data!F:F,Data!C:C)</f>
        <v/>
      </c>
      <c r="E1455" s="19" t="str">
        <f t="array" ref="E1455">XLOOKUP(A1455,Data!F:F,Data!H:H)</f>
        <v>BW</v>
      </c>
      <c r="F1455" s="106" t="str">
        <f>SUMIFS(Data!J:J,Data!F:F,A1455)</f>
        <v>1</v>
      </c>
      <c r="G1455" s="106" t="str">
        <f>SUMIFS(Cast!C:C,CastElements,A1455)</f>
        <v>0</v>
      </c>
      <c r="H1455" s="106" t="str">
        <f t="shared" si="4"/>
        <v>1</v>
      </c>
      <c r="I1455" s="106" t="str">
        <f>SUMIFS(Del!C:C,Del!B:B,A1455)</f>
        <v>0</v>
      </c>
      <c r="J1455" s="106" t="str">
        <f t="shared" si="5"/>
        <v>1</v>
      </c>
      <c r="K1455" s="106" t="str">
        <f t="shared" si="6"/>
        <v>0</v>
      </c>
      <c r="L1455" s="106"/>
      <c r="M1455" s="106" t="str">
        <f>SUMIFS(Ere!C:C,Ere!B:B,A1455)</f>
        <v>0</v>
      </c>
      <c r="N1455" s="106" t="str">
        <f t="shared" si="7"/>
        <v>1</v>
      </c>
      <c r="O1455" s="107" t="str">
        <f t="array" ref="O1455">XLOOKUP(A1455,Data!F:F,Data!O:O)</f>
        <v>  2.09 </v>
      </c>
      <c r="P1455" s="107" t="str">
        <f t="shared" si="8"/>
        <v>  5.23 </v>
      </c>
      <c r="Q1455" s="27"/>
    </row>
    <row r="1456" ht="15.75" customHeight="1">
      <c r="A1456" s="105" t="s">
        <v>1700</v>
      </c>
      <c r="B1456" s="19" t="str">
        <f t="array" ref="B1456">XLOOKUP(A1456,Data!F:F,Data!G:G)</f>
        <v>J1E</v>
      </c>
      <c r="C1456" s="19" t="str">
        <f t="shared" si="3"/>
        <v>J113</v>
      </c>
      <c r="D1456" s="19" t="str">
        <f t="array" ref="D1456">XLOOKUP(A1456,Data!F:F,Data!C:C)</f>
        <v/>
      </c>
      <c r="E1456" s="19" t="str">
        <f t="array" ref="E1456">XLOOKUP(A1456,Data!F:F,Data!H:H)</f>
        <v>BW</v>
      </c>
      <c r="F1456" s="106" t="str">
        <f>SUMIFS(Data!J:J,Data!F:F,A1456)</f>
        <v>1</v>
      </c>
      <c r="G1456" s="106" t="str">
        <f>SUMIFS(Cast!C:C,CastElements,A1456)</f>
        <v>0</v>
      </c>
      <c r="H1456" s="106" t="str">
        <f t="shared" si="4"/>
        <v>1</v>
      </c>
      <c r="I1456" s="106" t="str">
        <f>SUMIFS(Del!C:C,Del!B:B,A1456)</f>
        <v>0</v>
      </c>
      <c r="J1456" s="106" t="str">
        <f t="shared" si="5"/>
        <v>1</v>
      </c>
      <c r="K1456" s="106" t="str">
        <f t="shared" si="6"/>
        <v>0</v>
      </c>
      <c r="L1456" s="106"/>
      <c r="M1456" s="106" t="str">
        <f>SUMIFS(Ere!C:C,Ere!B:B,A1456)</f>
        <v>0</v>
      </c>
      <c r="N1456" s="106" t="str">
        <f t="shared" si="7"/>
        <v>1</v>
      </c>
      <c r="O1456" s="107" t="str">
        <f t="array" ref="O1456">XLOOKUP(A1456,Data!F:F,Data!O:O)</f>
        <v>  2.09 </v>
      </c>
      <c r="P1456" s="107" t="str">
        <f t="shared" si="8"/>
        <v>  5.23 </v>
      </c>
      <c r="Q1456" s="27"/>
    </row>
    <row r="1457" ht="15.75" customHeight="1">
      <c r="A1457" s="105" t="s">
        <v>1701</v>
      </c>
      <c r="B1457" s="19" t="str">
        <f t="array" ref="B1457">XLOOKUP(A1457,Data!F:F,Data!G:G)</f>
        <v>J1E</v>
      </c>
      <c r="C1457" s="19" t="str">
        <f t="shared" si="3"/>
        <v>J113</v>
      </c>
      <c r="D1457" s="19" t="str">
        <f t="array" ref="D1457">XLOOKUP(A1457,Data!F:F,Data!C:C)</f>
        <v/>
      </c>
      <c r="E1457" s="19" t="str">
        <f t="array" ref="E1457">XLOOKUP(A1457,Data!F:F,Data!H:H)</f>
        <v>BW</v>
      </c>
      <c r="F1457" s="106" t="str">
        <f>SUMIFS(Data!J:J,Data!F:F,A1457)</f>
        <v>1</v>
      </c>
      <c r="G1457" s="106" t="str">
        <f>SUMIFS(Cast!C:C,CastElements,A1457)</f>
        <v>0</v>
      </c>
      <c r="H1457" s="106" t="str">
        <f t="shared" si="4"/>
        <v>1</v>
      </c>
      <c r="I1457" s="106" t="str">
        <f>SUMIFS(Del!C:C,Del!B:B,A1457)</f>
        <v>0</v>
      </c>
      <c r="J1457" s="106" t="str">
        <f t="shared" si="5"/>
        <v>1</v>
      </c>
      <c r="K1457" s="106" t="str">
        <f t="shared" si="6"/>
        <v>0</v>
      </c>
      <c r="L1457" s="106"/>
      <c r="M1457" s="106" t="str">
        <f>SUMIFS(Ere!C:C,Ere!B:B,A1457)</f>
        <v>0</v>
      </c>
      <c r="N1457" s="106" t="str">
        <f t="shared" si="7"/>
        <v>1</v>
      </c>
      <c r="O1457" s="107" t="str">
        <f t="array" ref="O1457">XLOOKUP(A1457,Data!F:F,Data!O:O)</f>
        <v>  2.09 </v>
      </c>
      <c r="P1457" s="107" t="str">
        <f t="shared" si="8"/>
        <v>  5.23 </v>
      </c>
      <c r="Q1457" s="27"/>
    </row>
    <row r="1458" ht="15.75" customHeight="1">
      <c r="A1458" s="105" t="s">
        <v>1702</v>
      </c>
      <c r="B1458" s="19" t="str">
        <f t="array" ref="B1458">XLOOKUP(A1458,Data!F:F,Data!G:G)</f>
        <v>J1E</v>
      </c>
      <c r="C1458" s="19" t="str">
        <f t="shared" si="3"/>
        <v>J113</v>
      </c>
      <c r="D1458" s="19" t="str">
        <f t="array" ref="D1458">XLOOKUP(A1458,Data!F:F,Data!C:C)</f>
        <v/>
      </c>
      <c r="E1458" s="19" t="str">
        <f t="array" ref="E1458">XLOOKUP(A1458,Data!F:F,Data!H:H)</f>
        <v>BW</v>
      </c>
      <c r="F1458" s="106" t="str">
        <f>SUMIFS(Data!J:J,Data!F:F,A1458)</f>
        <v>1</v>
      </c>
      <c r="G1458" s="106" t="str">
        <f>SUMIFS(Cast!C:C,CastElements,A1458)</f>
        <v>0</v>
      </c>
      <c r="H1458" s="106" t="str">
        <f t="shared" si="4"/>
        <v>1</v>
      </c>
      <c r="I1458" s="106" t="str">
        <f>SUMIFS(Del!C:C,Del!B:B,A1458)</f>
        <v>0</v>
      </c>
      <c r="J1458" s="106" t="str">
        <f t="shared" si="5"/>
        <v>1</v>
      </c>
      <c r="K1458" s="106" t="str">
        <f t="shared" si="6"/>
        <v>0</v>
      </c>
      <c r="L1458" s="106"/>
      <c r="M1458" s="106" t="str">
        <f>SUMIFS(Ere!C:C,Ere!B:B,A1458)</f>
        <v>0</v>
      </c>
      <c r="N1458" s="106" t="str">
        <f t="shared" si="7"/>
        <v>1</v>
      </c>
      <c r="O1458" s="107" t="str">
        <f t="array" ref="O1458">XLOOKUP(A1458,Data!F:F,Data!O:O)</f>
        <v>  1.75 </v>
      </c>
      <c r="P1458" s="107" t="str">
        <f t="shared" si="8"/>
        <v>  4.38 </v>
      </c>
      <c r="Q1458" s="27"/>
    </row>
    <row r="1459" ht="15.75" customHeight="1">
      <c r="A1459" s="105" t="s">
        <v>1703</v>
      </c>
      <c r="B1459" s="19" t="str">
        <f t="array" ref="B1459">XLOOKUP(A1459,Data!F:F,Data!G:G)</f>
        <v>J1E</v>
      </c>
      <c r="C1459" s="19" t="str">
        <f t="shared" si="3"/>
        <v>J113</v>
      </c>
      <c r="D1459" s="19" t="str">
        <f t="array" ref="D1459">XLOOKUP(A1459,Data!F:F,Data!C:C)</f>
        <v/>
      </c>
      <c r="E1459" s="19" t="str">
        <f t="array" ref="E1459">XLOOKUP(A1459,Data!F:F,Data!H:H)</f>
        <v>BW</v>
      </c>
      <c r="F1459" s="106" t="str">
        <f>SUMIFS(Data!J:J,Data!F:F,A1459)</f>
        <v>1</v>
      </c>
      <c r="G1459" s="106" t="str">
        <f>SUMIFS(Cast!C:C,CastElements,A1459)</f>
        <v>0</v>
      </c>
      <c r="H1459" s="106" t="str">
        <f t="shared" si="4"/>
        <v>1</v>
      </c>
      <c r="I1459" s="106" t="str">
        <f>SUMIFS(Del!C:C,Del!B:B,A1459)</f>
        <v>0</v>
      </c>
      <c r="J1459" s="106" t="str">
        <f t="shared" si="5"/>
        <v>1</v>
      </c>
      <c r="K1459" s="106" t="str">
        <f t="shared" si="6"/>
        <v>0</v>
      </c>
      <c r="L1459" s="106"/>
      <c r="M1459" s="106" t="str">
        <f>SUMIFS(Ere!C:C,Ere!B:B,A1459)</f>
        <v>0</v>
      </c>
      <c r="N1459" s="106" t="str">
        <f t="shared" si="7"/>
        <v>1</v>
      </c>
      <c r="O1459" s="107" t="str">
        <f t="array" ref="O1459">XLOOKUP(A1459,Data!F:F,Data!O:O)</f>
        <v>  0.62 </v>
      </c>
      <c r="P1459" s="107" t="str">
        <f t="shared" si="8"/>
        <v>  1.55 </v>
      </c>
      <c r="Q1459" s="27"/>
    </row>
    <row r="1460" ht="15.75" customHeight="1">
      <c r="A1460" s="105" t="s">
        <v>1704</v>
      </c>
      <c r="B1460" s="19" t="str">
        <f t="array" ref="B1460">XLOOKUP(A1460,Data!F:F,Data!G:G)</f>
        <v>J1E</v>
      </c>
      <c r="C1460" s="19" t="str">
        <f t="shared" si="3"/>
        <v>J113</v>
      </c>
      <c r="D1460" s="19" t="str">
        <f t="array" ref="D1460">XLOOKUP(A1460,Data!F:F,Data!C:C)</f>
        <v/>
      </c>
      <c r="E1460" s="19" t="str">
        <f t="array" ref="E1460">XLOOKUP(A1460,Data!F:F,Data!H:H)</f>
        <v>CF</v>
      </c>
      <c r="F1460" s="106" t="str">
        <f>SUMIFS(Data!J:J,Data!F:F,A1460)</f>
        <v>1</v>
      </c>
      <c r="G1460" s="106" t="str">
        <f>SUMIFS(Cast!C:C,CastElements,A1460)</f>
        <v>0</v>
      </c>
      <c r="H1460" s="106" t="str">
        <f t="shared" si="4"/>
        <v>1</v>
      </c>
      <c r="I1460" s="106" t="str">
        <f>SUMIFS(Del!C:C,Del!B:B,A1460)</f>
        <v>0</v>
      </c>
      <c r="J1460" s="106" t="str">
        <f t="shared" si="5"/>
        <v>1</v>
      </c>
      <c r="K1460" s="106" t="str">
        <f t="shared" si="6"/>
        <v>0</v>
      </c>
      <c r="L1460" s="106"/>
      <c r="M1460" s="106" t="str">
        <f>SUMIFS(Ere!C:C,Ere!B:B,A1460)</f>
        <v>0</v>
      </c>
      <c r="N1460" s="106" t="str">
        <f t="shared" si="7"/>
        <v>1</v>
      </c>
      <c r="O1460" s="107" t="str">
        <f t="array" ref="O1460">XLOOKUP(A1460,Data!F:F,Data!O:O)</f>
        <v>  0.57 </v>
      </c>
      <c r="P1460" s="107" t="str">
        <f t="shared" si="8"/>
        <v>  1.43 </v>
      </c>
      <c r="Q1460" s="27"/>
    </row>
    <row r="1461" ht="15.75" customHeight="1">
      <c r="A1461" s="105" t="s">
        <v>1705</v>
      </c>
      <c r="B1461" s="19" t="str">
        <f t="array" ref="B1461">XLOOKUP(A1461,Data!F:F,Data!G:G)</f>
        <v>J1E</v>
      </c>
      <c r="C1461" s="19" t="str">
        <f t="shared" si="3"/>
        <v>J114</v>
      </c>
      <c r="D1461" s="19" t="str">
        <f t="array" ref="D1461">XLOOKUP(A1461,Data!F:F,Data!C:C)</f>
        <v>EXT</v>
      </c>
      <c r="E1461" s="19" t="str">
        <f t="array" ref="E1461">XLOOKUP(A1461,Data!F:F,Data!H:H)</f>
        <v>BW</v>
      </c>
      <c r="F1461" s="106" t="str">
        <f>SUMIFS(Data!J:J,Data!F:F,A1461)</f>
        <v>1</v>
      </c>
      <c r="G1461" s="106" t="str">
        <f>SUMIFS(Cast!C:C,CastElements,A1461)</f>
        <v>0</v>
      </c>
      <c r="H1461" s="106" t="str">
        <f t="shared" si="4"/>
        <v>1</v>
      </c>
      <c r="I1461" s="106" t="str">
        <f>SUMIFS(Del!C:C,Del!B:B,A1461)</f>
        <v>0</v>
      </c>
      <c r="J1461" s="106" t="str">
        <f t="shared" si="5"/>
        <v>1</v>
      </c>
      <c r="K1461" s="106" t="str">
        <f t="shared" si="6"/>
        <v>0</v>
      </c>
      <c r="L1461" s="106"/>
      <c r="M1461" s="106" t="str">
        <f>SUMIFS(Ere!C:C,Ere!B:B,A1461)</f>
        <v>0</v>
      </c>
      <c r="N1461" s="106" t="str">
        <f t="shared" si="7"/>
        <v>1</v>
      </c>
      <c r="O1461" s="107" t="str">
        <f t="array" ref="O1461">XLOOKUP(A1461,Data!F:F,Data!O:O)</f>
        <v>  0.91 </v>
      </c>
      <c r="P1461" s="107" t="str">
        <f t="shared" si="8"/>
        <v>  2.28 </v>
      </c>
      <c r="Q1461" s="27"/>
    </row>
    <row r="1462" ht="15.75" customHeight="1">
      <c r="A1462" s="105" t="s">
        <v>1706</v>
      </c>
      <c r="B1462" s="19" t="str">
        <f t="array" ref="B1462">XLOOKUP(A1462,Data!F:F,Data!G:G)</f>
        <v>J1E</v>
      </c>
      <c r="C1462" s="19" t="str">
        <f t="shared" si="3"/>
        <v>J114</v>
      </c>
      <c r="D1462" s="19" t="str">
        <f t="array" ref="D1462">XLOOKUP(A1462,Data!F:F,Data!C:C)</f>
        <v>EXT</v>
      </c>
      <c r="E1462" s="19" t="str">
        <f t="array" ref="E1462">XLOOKUP(A1462,Data!F:F,Data!H:H)</f>
        <v>BW</v>
      </c>
      <c r="F1462" s="106" t="str">
        <f>SUMIFS(Data!J:J,Data!F:F,A1462)</f>
        <v>1</v>
      </c>
      <c r="G1462" s="106" t="str">
        <f>SUMIFS(Cast!C:C,CastElements,A1462)</f>
        <v>0</v>
      </c>
      <c r="H1462" s="106" t="str">
        <f t="shared" si="4"/>
        <v>1</v>
      </c>
      <c r="I1462" s="106" t="str">
        <f>SUMIFS(Del!C:C,Del!B:B,A1462)</f>
        <v>0</v>
      </c>
      <c r="J1462" s="106" t="str">
        <f t="shared" si="5"/>
        <v>1</v>
      </c>
      <c r="K1462" s="106" t="str">
        <f t="shared" si="6"/>
        <v>0</v>
      </c>
      <c r="L1462" s="106"/>
      <c r="M1462" s="106" t="str">
        <f>SUMIFS(Ere!C:C,Ere!B:B,A1462)</f>
        <v>0</v>
      </c>
      <c r="N1462" s="106" t="str">
        <f t="shared" si="7"/>
        <v>1</v>
      </c>
      <c r="O1462" s="107" t="str">
        <f t="array" ref="O1462">XLOOKUP(A1462,Data!F:F,Data!O:O)</f>
        <v>  0.91 </v>
      </c>
      <c r="P1462" s="107" t="str">
        <f t="shared" si="8"/>
        <v>  2.28 </v>
      </c>
      <c r="Q1462" s="27"/>
    </row>
    <row r="1463" ht="15.75" customHeight="1">
      <c r="A1463" s="105" t="s">
        <v>1707</v>
      </c>
      <c r="B1463" s="19" t="str">
        <f t="array" ref="B1463">XLOOKUP(A1463,Data!F:F,Data!G:G)</f>
        <v>J1E</v>
      </c>
      <c r="C1463" s="19" t="str">
        <f t="shared" si="3"/>
        <v>J114</v>
      </c>
      <c r="D1463" s="19" t="str">
        <f t="array" ref="D1463">XLOOKUP(A1463,Data!F:F,Data!C:C)</f>
        <v>EXT</v>
      </c>
      <c r="E1463" s="19" t="str">
        <f t="array" ref="E1463">XLOOKUP(A1463,Data!F:F,Data!H:H)</f>
        <v>BW</v>
      </c>
      <c r="F1463" s="106" t="str">
        <f>SUMIFS(Data!J:J,Data!F:F,A1463)</f>
        <v>1</v>
      </c>
      <c r="G1463" s="106" t="str">
        <f>SUMIFS(Cast!C:C,CastElements,A1463)</f>
        <v>0</v>
      </c>
      <c r="H1463" s="106" t="str">
        <f t="shared" si="4"/>
        <v>1</v>
      </c>
      <c r="I1463" s="106" t="str">
        <f>SUMIFS(Del!C:C,Del!B:B,A1463)</f>
        <v>0</v>
      </c>
      <c r="J1463" s="106" t="str">
        <f t="shared" si="5"/>
        <v>1</v>
      </c>
      <c r="K1463" s="106" t="str">
        <f t="shared" si="6"/>
        <v>0</v>
      </c>
      <c r="L1463" s="106"/>
      <c r="M1463" s="106" t="str">
        <f>SUMIFS(Ere!C:C,Ere!B:B,A1463)</f>
        <v>0</v>
      </c>
      <c r="N1463" s="106" t="str">
        <f t="shared" si="7"/>
        <v>1</v>
      </c>
      <c r="O1463" s="107" t="str">
        <f t="array" ref="O1463">XLOOKUP(A1463,Data!F:F,Data!O:O)</f>
        <v>  0.91 </v>
      </c>
      <c r="P1463" s="107" t="str">
        <f t="shared" si="8"/>
        <v>  2.28 </v>
      </c>
      <c r="Q1463" s="27"/>
    </row>
    <row r="1464" ht="15.75" customHeight="1">
      <c r="A1464" s="105" t="s">
        <v>1708</v>
      </c>
      <c r="B1464" s="19" t="str">
        <f t="array" ref="B1464">XLOOKUP(A1464,Data!F:F,Data!G:G)</f>
        <v>J1E</v>
      </c>
      <c r="C1464" s="19" t="str">
        <f t="shared" si="3"/>
        <v>J114</v>
      </c>
      <c r="D1464" s="19" t="str">
        <f t="array" ref="D1464">XLOOKUP(A1464,Data!F:F,Data!C:C)</f>
        <v>EXT</v>
      </c>
      <c r="E1464" s="19" t="str">
        <f t="array" ref="E1464">XLOOKUP(A1464,Data!F:F,Data!H:H)</f>
        <v>BW</v>
      </c>
      <c r="F1464" s="106" t="str">
        <f>SUMIFS(Data!J:J,Data!F:F,A1464)</f>
        <v>1</v>
      </c>
      <c r="G1464" s="106" t="str">
        <f>SUMIFS(Cast!C:C,CastElements,A1464)</f>
        <v>0</v>
      </c>
      <c r="H1464" s="106" t="str">
        <f t="shared" si="4"/>
        <v>1</v>
      </c>
      <c r="I1464" s="106" t="str">
        <f>SUMIFS(Del!C:C,Del!B:B,A1464)</f>
        <v>0</v>
      </c>
      <c r="J1464" s="106" t="str">
        <f t="shared" si="5"/>
        <v>1</v>
      </c>
      <c r="K1464" s="106" t="str">
        <f t="shared" si="6"/>
        <v>0</v>
      </c>
      <c r="L1464" s="106"/>
      <c r="M1464" s="106" t="str">
        <f>SUMIFS(Ere!C:C,Ere!B:B,A1464)</f>
        <v>0</v>
      </c>
      <c r="N1464" s="106" t="str">
        <f t="shared" si="7"/>
        <v>1</v>
      </c>
      <c r="O1464" s="107" t="str">
        <f t="array" ref="O1464">XLOOKUP(A1464,Data!F:F,Data!O:O)</f>
        <v>  0.90 </v>
      </c>
      <c r="P1464" s="107" t="str">
        <f t="shared" si="8"/>
        <v>  2.25 </v>
      </c>
      <c r="Q1464" s="27"/>
    </row>
    <row r="1465" ht="15.75" customHeight="1">
      <c r="A1465" s="105" t="s">
        <v>1709</v>
      </c>
      <c r="B1465" s="19" t="str">
        <f t="array" ref="B1465">XLOOKUP(A1465,Data!F:F,Data!G:G)</f>
        <v>J1E</v>
      </c>
      <c r="C1465" s="19" t="str">
        <f t="shared" si="3"/>
        <v>J114</v>
      </c>
      <c r="D1465" s="19" t="str">
        <f t="array" ref="D1465">XLOOKUP(A1465,Data!F:F,Data!C:C)</f>
        <v>EXT</v>
      </c>
      <c r="E1465" s="19" t="str">
        <f t="array" ref="E1465">XLOOKUP(A1465,Data!F:F,Data!H:H)</f>
        <v>BW</v>
      </c>
      <c r="F1465" s="106" t="str">
        <f>SUMIFS(Data!J:J,Data!F:F,A1465)</f>
        <v>1</v>
      </c>
      <c r="G1465" s="106" t="str">
        <f>SUMIFS(Cast!C:C,CastElements,A1465)</f>
        <v>0</v>
      </c>
      <c r="H1465" s="106" t="str">
        <f t="shared" si="4"/>
        <v>1</v>
      </c>
      <c r="I1465" s="106" t="str">
        <f>SUMIFS(Del!C:C,Del!B:B,A1465)</f>
        <v>0</v>
      </c>
      <c r="J1465" s="106" t="str">
        <f t="shared" si="5"/>
        <v>1</v>
      </c>
      <c r="K1465" s="106" t="str">
        <f t="shared" si="6"/>
        <v>0</v>
      </c>
      <c r="L1465" s="106"/>
      <c r="M1465" s="106" t="str">
        <f>SUMIFS(Ere!C:C,Ere!B:B,A1465)</f>
        <v>0</v>
      </c>
      <c r="N1465" s="106" t="str">
        <f t="shared" si="7"/>
        <v>1</v>
      </c>
      <c r="O1465" s="107" t="str">
        <f t="array" ref="O1465">XLOOKUP(A1465,Data!F:F,Data!O:O)</f>
        <v>  0.94 </v>
      </c>
      <c r="P1465" s="107" t="str">
        <f t="shared" si="8"/>
        <v>  2.35 </v>
      </c>
      <c r="Q1465" s="27"/>
    </row>
    <row r="1466" ht="15.75" customHeight="1">
      <c r="A1466" s="105" t="s">
        <v>1710</v>
      </c>
      <c r="B1466" s="19" t="str">
        <f t="array" ref="B1466">XLOOKUP(A1466,Data!F:F,Data!G:G)</f>
        <v>J1E</v>
      </c>
      <c r="C1466" s="19" t="str">
        <f t="shared" si="3"/>
        <v>J114</v>
      </c>
      <c r="D1466" s="19" t="str">
        <f t="array" ref="D1466">XLOOKUP(A1466,Data!F:F,Data!C:C)</f>
        <v/>
      </c>
      <c r="E1466" s="19" t="str">
        <f t="array" ref="E1466">XLOOKUP(A1466,Data!F:F,Data!H:H)</f>
        <v>BW</v>
      </c>
      <c r="F1466" s="106" t="str">
        <f>SUMIFS(Data!J:J,Data!F:F,A1466)</f>
        <v>1</v>
      </c>
      <c r="G1466" s="106" t="str">
        <f>SUMIFS(Cast!C:C,CastElements,A1466)</f>
        <v>0</v>
      </c>
      <c r="H1466" s="106" t="str">
        <f t="shared" si="4"/>
        <v>1</v>
      </c>
      <c r="I1466" s="106" t="str">
        <f>SUMIFS(Del!C:C,Del!B:B,A1466)</f>
        <v>0</v>
      </c>
      <c r="J1466" s="106" t="str">
        <f t="shared" si="5"/>
        <v>1</v>
      </c>
      <c r="K1466" s="106" t="str">
        <f t="shared" si="6"/>
        <v>0</v>
      </c>
      <c r="L1466" s="106"/>
      <c r="M1466" s="106" t="str">
        <f>SUMIFS(Ere!C:C,Ere!B:B,A1466)</f>
        <v>0</v>
      </c>
      <c r="N1466" s="106" t="str">
        <f t="shared" si="7"/>
        <v>1</v>
      </c>
      <c r="O1466" s="107" t="str">
        <f t="array" ref="O1466">XLOOKUP(A1466,Data!F:F,Data!O:O)</f>
        <v>  2.09 </v>
      </c>
      <c r="P1466" s="107" t="str">
        <f t="shared" si="8"/>
        <v>  5.23 </v>
      </c>
      <c r="Q1466" s="27"/>
    </row>
    <row r="1467" ht="15.75" customHeight="1">
      <c r="A1467" s="105" t="s">
        <v>1711</v>
      </c>
      <c r="B1467" s="19" t="str">
        <f t="array" ref="B1467">XLOOKUP(A1467,Data!F:F,Data!G:G)</f>
        <v>J1E</v>
      </c>
      <c r="C1467" s="19" t="str">
        <f t="shared" si="3"/>
        <v>J114</v>
      </c>
      <c r="D1467" s="19" t="str">
        <f t="array" ref="D1467">XLOOKUP(A1467,Data!F:F,Data!C:C)</f>
        <v/>
      </c>
      <c r="E1467" s="19" t="str">
        <f t="array" ref="E1467">XLOOKUP(A1467,Data!F:F,Data!H:H)</f>
        <v>BW</v>
      </c>
      <c r="F1467" s="106" t="str">
        <f>SUMIFS(Data!J:J,Data!F:F,A1467)</f>
        <v>1</v>
      </c>
      <c r="G1467" s="106" t="str">
        <f>SUMIFS(Cast!C:C,CastElements,A1467)</f>
        <v>0</v>
      </c>
      <c r="H1467" s="106" t="str">
        <f t="shared" si="4"/>
        <v>1</v>
      </c>
      <c r="I1467" s="106" t="str">
        <f>SUMIFS(Del!C:C,Del!B:B,A1467)</f>
        <v>0</v>
      </c>
      <c r="J1467" s="106" t="str">
        <f t="shared" si="5"/>
        <v>1</v>
      </c>
      <c r="K1467" s="106" t="str">
        <f t="shared" si="6"/>
        <v>0</v>
      </c>
      <c r="L1467" s="106"/>
      <c r="M1467" s="106" t="str">
        <f>SUMIFS(Ere!C:C,Ere!B:B,A1467)</f>
        <v>0</v>
      </c>
      <c r="N1467" s="106" t="str">
        <f t="shared" si="7"/>
        <v>1</v>
      </c>
      <c r="O1467" s="107" t="str">
        <f t="array" ref="O1467">XLOOKUP(A1467,Data!F:F,Data!O:O)</f>
        <v>  2.09 </v>
      </c>
      <c r="P1467" s="107" t="str">
        <f t="shared" si="8"/>
        <v>  5.23 </v>
      </c>
      <c r="Q1467" s="27"/>
    </row>
    <row r="1468" ht="15.75" customHeight="1">
      <c r="A1468" s="105" t="s">
        <v>1712</v>
      </c>
      <c r="B1468" s="19" t="str">
        <f t="array" ref="B1468">XLOOKUP(A1468,Data!F:F,Data!G:G)</f>
        <v>J1E</v>
      </c>
      <c r="C1468" s="19" t="str">
        <f t="shared" si="3"/>
        <v>J114</v>
      </c>
      <c r="D1468" s="19" t="str">
        <f t="array" ref="D1468">XLOOKUP(A1468,Data!F:F,Data!C:C)</f>
        <v/>
      </c>
      <c r="E1468" s="19" t="str">
        <f t="array" ref="E1468">XLOOKUP(A1468,Data!F:F,Data!H:H)</f>
        <v>BW</v>
      </c>
      <c r="F1468" s="106" t="str">
        <f>SUMIFS(Data!J:J,Data!F:F,A1468)</f>
        <v>1</v>
      </c>
      <c r="G1468" s="106" t="str">
        <f>SUMIFS(Cast!C:C,CastElements,A1468)</f>
        <v>0</v>
      </c>
      <c r="H1468" s="106" t="str">
        <f t="shared" si="4"/>
        <v>1</v>
      </c>
      <c r="I1468" s="106" t="str">
        <f>SUMIFS(Del!C:C,Del!B:B,A1468)</f>
        <v>0</v>
      </c>
      <c r="J1468" s="106" t="str">
        <f t="shared" si="5"/>
        <v>1</v>
      </c>
      <c r="K1468" s="106" t="str">
        <f t="shared" si="6"/>
        <v>0</v>
      </c>
      <c r="L1468" s="106"/>
      <c r="M1468" s="106" t="str">
        <f>SUMIFS(Ere!C:C,Ere!B:B,A1468)</f>
        <v>0</v>
      </c>
      <c r="N1468" s="106" t="str">
        <f t="shared" si="7"/>
        <v>1</v>
      </c>
      <c r="O1468" s="107" t="str">
        <f t="array" ref="O1468">XLOOKUP(A1468,Data!F:F,Data!O:O)</f>
        <v>  2.09 </v>
      </c>
      <c r="P1468" s="107" t="str">
        <f t="shared" si="8"/>
        <v>  5.23 </v>
      </c>
      <c r="Q1468" s="27"/>
    </row>
    <row r="1469" ht="15.75" customHeight="1">
      <c r="A1469" s="105" t="s">
        <v>1713</v>
      </c>
      <c r="B1469" s="19" t="str">
        <f t="array" ref="B1469">XLOOKUP(A1469,Data!F:F,Data!G:G)</f>
        <v>J1E</v>
      </c>
      <c r="C1469" s="19" t="str">
        <f t="shared" si="3"/>
        <v>J114</v>
      </c>
      <c r="D1469" s="19" t="str">
        <f t="array" ref="D1469">XLOOKUP(A1469,Data!F:F,Data!C:C)</f>
        <v/>
      </c>
      <c r="E1469" s="19" t="str">
        <f t="array" ref="E1469">XLOOKUP(A1469,Data!F:F,Data!H:H)</f>
        <v>BW</v>
      </c>
      <c r="F1469" s="106" t="str">
        <f>SUMIFS(Data!J:J,Data!F:F,A1469)</f>
        <v>1</v>
      </c>
      <c r="G1469" s="106" t="str">
        <f>SUMIFS(Cast!C:C,CastElements,A1469)</f>
        <v>0</v>
      </c>
      <c r="H1469" s="106" t="str">
        <f t="shared" si="4"/>
        <v>1</v>
      </c>
      <c r="I1469" s="106" t="str">
        <f>SUMIFS(Del!C:C,Del!B:B,A1469)</f>
        <v>0</v>
      </c>
      <c r="J1469" s="106" t="str">
        <f t="shared" si="5"/>
        <v>1</v>
      </c>
      <c r="K1469" s="106" t="str">
        <f t="shared" si="6"/>
        <v>0</v>
      </c>
      <c r="L1469" s="106"/>
      <c r="M1469" s="106" t="str">
        <f>SUMIFS(Ere!C:C,Ere!B:B,A1469)</f>
        <v>0</v>
      </c>
      <c r="N1469" s="106" t="str">
        <f t="shared" si="7"/>
        <v>1</v>
      </c>
      <c r="O1469" s="107" t="str">
        <f t="array" ref="O1469">XLOOKUP(A1469,Data!F:F,Data!O:O)</f>
        <v>  2.09 </v>
      </c>
      <c r="P1469" s="107" t="str">
        <f t="shared" si="8"/>
        <v>  5.23 </v>
      </c>
      <c r="Q1469" s="27"/>
    </row>
    <row r="1470" ht="15.75" customHeight="1">
      <c r="A1470" s="105" t="s">
        <v>1714</v>
      </c>
      <c r="B1470" s="19" t="str">
        <f t="array" ref="B1470">XLOOKUP(A1470,Data!F:F,Data!G:G)</f>
        <v>J1E</v>
      </c>
      <c r="C1470" s="19" t="str">
        <f t="shared" si="3"/>
        <v>J114</v>
      </c>
      <c r="D1470" s="19" t="str">
        <f t="array" ref="D1470">XLOOKUP(A1470,Data!F:F,Data!C:C)</f>
        <v/>
      </c>
      <c r="E1470" s="19" t="str">
        <f t="array" ref="E1470">XLOOKUP(A1470,Data!F:F,Data!H:H)</f>
        <v>BW</v>
      </c>
      <c r="F1470" s="106" t="str">
        <f>SUMIFS(Data!J:J,Data!F:F,A1470)</f>
        <v>1</v>
      </c>
      <c r="G1470" s="106" t="str">
        <f>SUMIFS(Cast!C:C,CastElements,A1470)</f>
        <v>0</v>
      </c>
      <c r="H1470" s="106" t="str">
        <f t="shared" si="4"/>
        <v>1</v>
      </c>
      <c r="I1470" s="106" t="str">
        <f>SUMIFS(Del!C:C,Del!B:B,A1470)</f>
        <v>0</v>
      </c>
      <c r="J1470" s="106" t="str">
        <f t="shared" si="5"/>
        <v>1</v>
      </c>
      <c r="K1470" s="106" t="str">
        <f t="shared" si="6"/>
        <v>0</v>
      </c>
      <c r="L1470" s="106"/>
      <c r="M1470" s="106" t="str">
        <f>SUMIFS(Ere!C:C,Ere!B:B,A1470)</f>
        <v>0</v>
      </c>
      <c r="N1470" s="106" t="str">
        <f t="shared" si="7"/>
        <v>1</v>
      </c>
      <c r="O1470" s="107" t="str">
        <f t="array" ref="O1470">XLOOKUP(A1470,Data!F:F,Data!O:O)</f>
        <v>  1.80 </v>
      </c>
      <c r="P1470" s="107" t="str">
        <f t="shared" si="8"/>
        <v>  4.50 </v>
      </c>
      <c r="Q1470" s="27"/>
    </row>
    <row r="1471" ht="15.75" customHeight="1">
      <c r="A1471" s="105" t="s">
        <v>1715</v>
      </c>
      <c r="B1471" s="19" t="str">
        <f t="array" ref="B1471">XLOOKUP(A1471,Data!F:F,Data!G:G)</f>
        <v>J1E</v>
      </c>
      <c r="C1471" s="19" t="str">
        <f t="shared" si="3"/>
        <v>J114</v>
      </c>
      <c r="D1471" s="19" t="str">
        <f t="array" ref="D1471">XLOOKUP(A1471,Data!F:F,Data!C:C)</f>
        <v/>
      </c>
      <c r="E1471" s="19" t="str">
        <f t="array" ref="E1471">XLOOKUP(A1471,Data!F:F,Data!H:H)</f>
        <v>BW</v>
      </c>
      <c r="F1471" s="106" t="str">
        <f>SUMIFS(Data!J:J,Data!F:F,A1471)</f>
        <v>1</v>
      </c>
      <c r="G1471" s="106" t="str">
        <f>SUMIFS(Cast!C:C,CastElements,A1471)</f>
        <v>0</v>
      </c>
      <c r="H1471" s="106" t="str">
        <f t="shared" si="4"/>
        <v>1</v>
      </c>
      <c r="I1471" s="106" t="str">
        <f>SUMIFS(Del!C:C,Del!B:B,A1471)</f>
        <v>0</v>
      </c>
      <c r="J1471" s="106" t="str">
        <f t="shared" si="5"/>
        <v>1</v>
      </c>
      <c r="K1471" s="106" t="str">
        <f t="shared" si="6"/>
        <v>0</v>
      </c>
      <c r="L1471" s="106"/>
      <c r="M1471" s="106" t="str">
        <f>SUMIFS(Ere!C:C,Ere!B:B,A1471)</f>
        <v>0</v>
      </c>
      <c r="N1471" s="106" t="str">
        <f t="shared" si="7"/>
        <v>1</v>
      </c>
      <c r="O1471" s="107" t="str">
        <f t="array" ref="O1471">XLOOKUP(A1471,Data!F:F,Data!O:O)</f>
        <v>  2.36 </v>
      </c>
      <c r="P1471" s="107" t="str">
        <f t="shared" si="8"/>
        <v>  5.90 </v>
      </c>
      <c r="Q1471" s="27"/>
    </row>
    <row r="1472" ht="15.75" customHeight="1">
      <c r="A1472" s="105" t="s">
        <v>1716</v>
      </c>
      <c r="B1472" s="19" t="str">
        <f t="array" ref="B1472">XLOOKUP(A1472,Data!F:F,Data!G:G)</f>
        <v>J1E</v>
      </c>
      <c r="C1472" s="19" t="str">
        <f t="shared" si="3"/>
        <v>J114</v>
      </c>
      <c r="D1472" s="19" t="str">
        <f t="array" ref="D1472">XLOOKUP(A1472,Data!F:F,Data!C:C)</f>
        <v/>
      </c>
      <c r="E1472" s="19" t="str">
        <f t="array" ref="E1472">XLOOKUP(A1472,Data!F:F,Data!H:H)</f>
        <v>BW</v>
      </c>
      <c r="F1472" s="106" t="str">
        <f>SUMIFS(Data!J:J,Data!F:F,A1472)</f>
        <v>1</v>
      </c>
      <c r="G1472" s="106" t="str">
        <f>SUMIFS(Cast!C:C,CastElements,A1472)</f>
        <v>0</v>
      </c>
      <c r="H1472" s="106" t="str">
        <f t="shared" si="4"/>
        <v>1</v>
      </c>
      <c r="I1472" s="106" t="str">
        <f>SUMIFS(Del!C:C,Del!B:B,A1472)</f>
        <v>0</v>
      </c>
      <c r="J1472" s="106" t="str">
        <f t="shared" si="5"/>
        <v>1</v>
      </c>
      <c r="K1472" s="106" t="str">
        <f t="shared" si="6"/>
        <v>0</v>
      </c>
      <c r="L1472" s="106"/>
      <c r="M1472" s="106" t="str">
        <f>SUMIFS(Ere!C:C,Ere!B:B,A1472)</f>
        <v>0</v>
      </c>
      <c r="N1472" s="106" t="str">
        <f t="shared" si="7"/>
        <v>1</v>
      </c>
      <c r="O1472" s="107" t="str">
        <f t="array" ref="O1472">XLOOKUP(A1472,Data!F:F,Data!O:O)</f>
        <v>  2.26 </v>
      </c>
      <c r="P1472" s="107" t="str">
        <f t="shared" si="8"/>
        <v>  5.65 </v>
      </c>
      <c r="Q1472" s="27"/>
    </row>
    <row r="1473" ht="15.75" customHeight="1">
      <c r="A1473" s="105" t="s">
        <v>1717</v>
      </c>
      <c r="B1473" s="19" t="str">
        <f t="array" ref="B1473">XLOOKUP(A1473,Data!F:F,Data!G:G)</f>
        <v>J1E</v>
      </c>
      <c r="C1473" s="19" t="str">
        <f t="shared" si="3"/>
        <v>J114</v>
      </c>
      <c r="D1473" s="19" t="str">
        <f t="array" ref="D1473">XLOOKUP(A1473,Data!F:F,Data!C:C)</f>
        <v/>
      </c>
      <c r="E1473" s="19" t="str">
        <f t="array" ref="E1473">XLOOKUP(A1473,Data!F:F,Data!H:H)</f>
        <v>BW</v>
      </c>
      <c r="F1473" s="106" t="str">
        <f>SUMIFS(Data!J:J,Data!F:F,A1473)</f>
        <v>1</v>
      </c>
      <c r="G1473" s="106" t="str">
        <f>SUMIFS(Cast!C:C,CastElements,A1473)</f>
        <v>0</v>
      </c>
      <c r="H1473" s="106" t="str">
        <f t="shared" si="4"/>
        <v>1</v>
      </c>
      <c r="I1473" s="106" t="str">
        <f>SUMIFS(Del!C:C,Del!B:B,A1473)</f>
        <v>0</v>
      </c>
      <c r="J1473" s="106" t="str">
        <f t="shared" si="5"/>
        <v>1</v>
      </c>
      <c r="K1473" s="106" t="str">
        <f t="shared" si="6"/>
        <v>0</v>
      </c>
      <c r="L1473" s="106"/>
      <c r="M1473" s="106" t="str">
        <f>SUMIFS(Ere!C:C,Ere!B:B,A1473)</f>
        <v>0</v>
      </c>
      <c r="N1473" s="106" t="str">
        <f t="shared" si="7"/>
        <v>1</v>
      </c>
      <c r="O1473" s="107" t="str">
        <f t="array" ref="O1473">XLOOKUP(A1473,Data!F:F,Data!O:O)</f>
        <v>  2.26 </v>
      </c>
      <c r="P1473" s="107" t="str">
        <f t="shared" si="8"/>
        <v>  5.65 </v>
      </c>
      <c r="Q1473" s="27"/>
    </row>
    <row r="1474" ht="15.75" customHeight="1">
      <c r="A1474" s="105" t="s">
        <v>1718</v>
      </c>
      <c r="B1474" s="19" t="str">
        <f t="array" ref="B1474">XLOOKUP(A1474,Data!F:F,Data!G:G)</f>
        <v>J1E</v>
      </c>
      <c r="C1474" s="19" t="str">
        <f t="shared" si="3"/>
        <v>J114</v>
      </c>
      <c r="D1474" s="19" t="str">
        <f t="array" ref="D1474">XLOOKUP(A1474,Data!F:F,Data!C:C)</f>
        <v/>
      </c>
      <c r="E1474" s="19" t="str">
        <f t="array" ref="E1474">XLOOKUP(A1474,Data!F:F,Data!H:H)</f>
        <v>BW</v>
      </c>
      <c r="F1474" s="106" t="str">
        <f>SUMIFS(Data!J:J,Data!F:F,A1474)</f>
        <v>1</v>
      </c>
      <c r="G1474" s="106" t="str">
        <f>SUMIFS(Cast!C:C,CastElements,A1474)</f>
        <v>0</v>
      </c>
      <c r="H1474" s="106" t="str">
        <f t="shared" si="4"/>
        <v>1</v>
      </c>
      <c r="I1474" s="106" t="str">
        <f>SUMIFS(Del!C:C,Del!B:B,A1474)</f>
        <v>0</v>
      </c>
      <c r="J1474" s="106" t="str">
        <f t="shared" si="5"/>
        <v>1</v>
      </c>
      <c r="K1474" s="106" t="str">
        <f t="shared" si="6"/>
        <v>0</v>
      </c>
      <c r="L1474" s="106"/>
      <c r="M1474" s="106" t="str">
        <f>SUMIFS(Ere!C:C,Ere!B:B,A1474)</f>
        <v>0</v>
      </c>
      <c r="N1474" s="106" t="str">
        <f t="shared" si="7"/>
        <v>1</v>
      </c>
      <c r="O1474" s="107" t="str">
        <f t="array" ref="O1474">XLOOKUP(A1474,Data!F:F,Data!O:O)</f>
        <v>  2.26 </v>
      </c>
      <c r="P1474" s="107" t="str">
        <f t="shared" si="8"/>
        <v>  5.65 </v>
      </c>
      <c r="Q1474" s="27"/>
    </row>
    <row r="1475" ht="15.75" customHeight="1">
      <c r="A1475" s="105" t="s">
        <v>1719</v>
      </c>
      <c r="B1475" s="19" t="str">
        <f t="array" ref="B1475">XLOOKUP(A1475,Data!F:F,Data!G:G)</f>
        <v>J1E</v>
      </c>
      <c r="C1475" s="19" t="str">
        <f t="shared" si="3"/>
        <v>J114</v>
      </c>
      <c r="D1475" s="19" t="str">
        <f t="array" ref="D1475">XLOOKUP(A1475,Data!F:F,Data!C:C)</f>
        <v/>
      </c>
      <c r="E1475" s="19" t="str">
        <f t="array" ref="E1475">XLOOKUP(A1475,Data!F:F,Data!H:H)</f>
        <v>BW</v>
      </c>
      <c r="F1475" s="106" t="str">
        <f>SUMIFS(Data!J:J,Data!F:F,A1475)</f>
        <v>1</v>
      </c>
      <c r="G1475" s="106" t="str">
        <f>SUMIFS(Cast!C:C,CastElements,A1475)</f>
        <v>0</v>
      </c>
      <c r="H1475" s="106" t="str">
        <f t="shared" si="4"/>
        <v>1</v>
      </c>
      <c r="I1475" s="106" t="str">
        <f>SUMIFS(Del!C:C,Del!B:B,A1475)</f>
        <v>0</v>
      </c>
      <c r="J1475" s="106" t="str">
        <f t="shared" si="5"/>
        <v>1</v>
      </c>
      <c r="K1475" s="106" t="str">
        <f t="shared" si="6"/>
        <v>0</v>
      </c>
      <c r="L1475" s="106"/>
      <c r="M1475" s="106" t="str">
        <f>SUMIFS(Ere!C:C,Ere!B:B,A1475)</f>
        <v>0</v>
      </c>
      <c r="N1475" s="106" t="str">
        <f t="shared" si="7"/>
        <v>1</v>
      </c>
      <c r="O1475" s="107" t="str">
        <f t="array" ref="O1475">XLOOKUP(A1475,Data!F:F,Data!O:O)</f>
        <v>  1.92 </v>
      </c>
      <c r="P1475" s="107" t="str">
        <f t="shared" si="8"/>
        <v>  4.80 </v>
      </c>
      <c r="Q1475" s="27"/>
    </row>
    <row r="1476" ht="15.75" customHeight="1">
      <c r="A1476" s="105" t="s">
        <v>1720</v>
      </c>
      <c r="B1476" s="19" t="str">
        <f t="array" ref="B1476">XLOOKUP(A1476,Data!F:F,Data!G:G)</f>
        <v>J1E</v>
      </c>
      <c r="C1476" s="19" t="str">
        <f t="shared" si="3"/>
        <v>J114</v>
      </c>
      <c r="D1476" s="19" t="str">
        <f t="array" ref="D1476">XLOOKUP(A1476,Data!F:F,Data!C:C)</f>
        <v/>
      </c>
      <c r="E1476" s="19" t="str">
        <f t="array" ref="E1476">XLOOKUP(A1476,Data!F:F,Data!H:H)</f>
        <v>BW</v>
      </c>
      <c r="F1476" s="106" t="str">
        <f>SUMIFS(Data!J:J,Data!F:F,A1476)</f>
        <v>1</v>
      </c>
      <c r="G1476" s="106" t="str">
        <f>SUMIFS(Cast!C:C,CastElements,A1476)</f>
        <v>0</v>
      </c>
      <c r="H1476" s="106" t="str">
        <f t="shared" si="4"/>
        <v>1</v>
      </c>
      <c r="I1476" s="106" t="str">
        <f>SUMIFS(Del!C:C,Del!B:B,A1476)</f>
        <v>0</v>
      </c>
      <c r="J1476" s="106" t="str">
        <f t="shared" si="5"/>
        <v>1</v>
      </c>
      <c r="K1476" s="106" t="str">
        <f t="shared" si="6"/>
        <v>0</v>
      </c>
      <c r="L1476" s="106"/>
      <c r="M1476" s="106" t="str">
        <f>SUMIFS(Ere!C:C,Ere!B:B,A1476)</f>
        <v>0</v>
      </c>
      <c r="N1476" s="106" t="str">
        <f t="shared" si="7"/>
        <v>1</v>
      </c>
      <c r="O1476" s="107" t="str">
        <f t="array" ref="O1476">XLOOKUP(A1476,Data!F:F,Data!O:O)</f>
        <v>  0.43 </v>
      </c>
      <c r="P1476" s="107" t="str">
        <f t="shared" si="8"/>
        <v>  1.08 </v>
      </c>
      <c r="Q1476" s="27"/>
    </row>
    <row r="1477" ht="15.75" customHeight="1">
      <c r="A1477" s="105" t="s">
        <v>1721</v>
      </c>
      <c r="B1477" s="19" t="str">
        <f t="array" ref="B1477">XLOOKUP(A1477,Data!F:F,Data!G:G)</f>
        <v>J1E</v>
      </c>
      <c r="C1477" s="19" t="str">
        <f t="shared" si="3"/>
        <v>J114</v>
      </c>
      <c r="D1477" s="19" t="str">
        <f t="array" ref="D1477">XLOOKUP(A1477,Data!F:F,Data!C:C)</f>
        <v/>
      </c>
      <c r="E1477" s="19" t="str">
        <f t="array" ref="E1477">XLOOKUP(A1477,Data!F:F,Data!H:H)</f>
        <v>CF</v>
      </c>
      <c r="F1477" s="106" t="str">
        <f>SUMIFS(Data!J:J,Data!F:F,A1477)</f>
        <v>1</v>
      </c>
      <c r="G1477" s="106" t="str">
        <f>SUMIFS(Cast!C:C,CastElements,A1477)</f>
        <v>0</v>
      </c>
      <c r="H1477" s="106" t="str">
        <f t="shared" si="4"/>
        <v>1</v>
      </c>
      <c r="I1477" s="106" t="str">
        <f>SUMIFS(Del!C:C,Del!B:B,A1477)</f>
        <v>0</v>
      </c>
      <c r="J1477" s="106" t="str">
        <f t="shared" si="5"/>
        <v>1</v>
      </c>
      <c r="K1477" s="106" t="str">
        <f t="shared" si="6"/>
        <v>0</v>
      </c>
      <c r="L1477" s="106"/>
      <c r="M1477" s="106" t="str">
        <f>SUMIFS(Ere!C:C,Ere!B:B,A1477)</f>
        <v>0</v>
      </c>
      <c r="N1477" s="106" t="str">
        <f t="shared" si="7"/>
        <v>1</v>
      </c>
      <c r="O1477" s="107" t="str">
        <f t="array" ref="O1477">XLOOKUP(A1477,Data!F:F,Data!O:O)</f>
        <v>  0.57 </v>
      </c>
      <c r="P1477" s="107" t="str">
        <f t="shared" si="8"/>
        <v>  1.43 </v>
      </c>
      <c r="Q1477" s="27"/>
    </row>
    <row r="1478" ht="15.75" customHeight="1">
      <c r="A1478" s="105" t="s">
        <v>1722</v>
      </c>
      <c r="B1478" s="19" t="str">
        <f t="array" ref="B1478">XLOOKUP(A1478,Data!F:F,Data!G:G)</f>
        <v>J1E</v>
      </c>
      <c r="C1478" s="19" t="str">
        <f t="shared" si="3"/>
        <v>J115</v>
      </c>
      <c r="D1478" s="19" t="str">
        <f t="array" ref="D1478">XLOOKUP(A1478,Data!F:F,Data!C:C)</f>
        <v/>
      </c>
      <c r="E1478" s="19" t="str">
        <f t="array" ref="E1478">XLOOKUP(A1478,Data!F:F,Data!H:H)</f>
        <v>BW</v>
      </c>
      <c r="F1478" s="106" t="str">
        <f>SUMIFS(Data!J:J,Data!F:F,A1478)</f>
        <v>1</v>
      </c>
      <c r="G1478" s="106" t="str">
        <f>SUMIFS(Cast!C:C,CastElements,A1478)</f>
        <v>1</v>
      </c>
      <c r="H1478" s="106" t="str">
        <f t="shared" si="4"/>
        <v>0</v>
      </c>
      <c r="I1478" s="106" t="str">
        <f>SUMIFS(Del!C:C,Del!B:B,A1478)</f>
        <v>0</v>
      </c>
      <c r="J1478" s="106" t="str">
        <f t="shared" si="5"/>
        <v>1</v>
      </c>
      <c r="K1478" s="106" t="str">
        <f t="shared" si="6"/>
        <v>1</v>
      </c>
      <c r="L1478" s="106"/>
      <c r="M1478" s="106" t="str">
        <f>SUMIFS(Ere!C:C,Ere!B:B,A1478)</f>
        <v>0</v>
      </c>
      <c r="N1478" s="106" t="str">
        <f t="shared" si="7"/>
        <v>1</v>
      </c>
      <c r="O1478" s="107" t="str">
        <f t="array" ref="O1478">XLOOKUP(A1478,Data!F:F,Data!O:O)</f>
        <v>  0.78 </v>
      </c>
      <c r="P1478" s="107" t="str">
        <f t="shared" si="8"/>
        <v>  1.95 </v>
      </c>
      <c r="Q1478" s="27"/>
    </row>
    <row r="1479" ht="15.75" customHeight="1">
      <c r="A1479" s="105" t="s">
        <v>1723</v>
      </c>
      <c r="B1479" s="19" t="str">
        <f t="array" ref="B1479">XLOOKUP(A1479,Data!F:F,Data!G:G)</f>
        <v>J1E</v>
      </c>
      <c r="C1479" s="19" t="str">
        <f t="shared" si="3"/>
        <v>J115</v>
      </c>
      <c r="D1479" s="19" t="str">
        <f t="array" ref="D1479">XLOOKUP(A1479,Data!F:F,Data!C:C)</f>
        <v/>
      </c>
      <c r="E1479" s="19" t="str">
        <f t="array" ref="E1479">XLOOKUP(A1479,Data!F:F,Data!H:H)</f>
        <v>BW</v>
      </c>
      <c r="F1479" s="106" t="str">
        <f>SUMIFS(Data!J:J,Data!F:F,A1479)</f>
        <v>1</v>
      </c>
      <c r="G1479" s="106" t="str">
        <f>SUMIFS(Cast!C:C,CastElements,A1479)</f>
        <v>1</v>
      </c>
      <c r="H1479" s="106" t="str">
        <f t="shared" si="4"/>
        <v>0</v>
      </c>
      <c r="I1479" s="106" t="str">
        <f>SUMIFS(Del!C:C,Del!B:B,A1479)</f>
        <v>0</v>
      </c>
      <c r="J1479" s="106" t="str">
        <f t="shared" si="5"/>
        <v>1</v>
      </c>
      <c r="K1479" s="106" t="str">
        <f t="shared" si="6"/>
        <v>1</v>
      </c>
      <c r="L1479" s="106"/>
      <c r="M1479" s="106" t="str">
        <f>SUMIFS(Ere!C:C,Ere!B:B,A1479)</f>
        <v>0</v>
      </c>
      <c r="N1479" s="106" t="str">
        <f t="shared" si="7"/>
        <v>1</v>
      </c>
      <c r="O1479" s="107" t="str">
        <f t="array" ref="O1479">XLOOKUP(A1479,Data!F:F,Data!O:O)</f>
        <v>  2.52 </v>
      </c>
      <c r="P1479" s="107" t="str">
        <f t="shared" si="8"/>
        <v>  6.30 </v>
      </c>
      <c r="Q1479" s="27"/>
    </row>
    <row r="1480" ht="15.75" customHeight="1">
      <c r="A1480" s="105" t="s">
        <v>1724</v>
      </c>
      <c r="B1480" s="19" t="str">
        <f t="array" ref="B1480">XLOOKUP(A1480,Data!F:F,Data!G:G)</f>
        <v>J1E</v>
      </c>
      <c r="C1480" s="19" t="str">
        <f t="shared" si="3"/>
        <v>J115</v>
      </c>
      <c r="D1480" s="19" t="str">
        <f t="array" ref="D1480">XLOOKUP(A1480,Data!F:F,Data!C:C)</f>
        <v>EXT</v>
      </c>
      <c r="E1480" s="19" t="str">
        <f t="array" ref="E1480">XLOOKUP(A1480,Data!F:F,Data!H:H)</f>
        <v>BW</v>
      </c>
      <c r="F1480" s="106" t="str">
        <f>SUMIFS(Data!J:J,Data!F:F,A1480)</f>
        <v>1</v>
      </c>
      <c r="G1480" s="106" t="str">
        <f>SUMIFS(Cast!C:C,CastElements,A1480)</f>
        <v>0</v>
      </c>
      <c r="H1480" s="106" t="str">
        <f t="shared" si="4"/>
        <v>1</v>
      </c>
      <c r="I1480" s="106" t="str">
        <f>SUMIFS(Del!C:C,Del!B:B,A1480)</f>
        <v>0</v>
      </c>
      <c r="J1480" s="106" t="str">
        <f t="shared" si="5"/>
        <v>1</v>
      </c>
      <c r="K1480" s="106" t="str">
        <f t="shared" si="6"/>
        <v>0</v>
      </c>
      <c r="L1480" s="106"/>
      <c r="M1480" s="106" t="str">
        <f>SUMIFS(Ere!C:C,Ere!B:B,A1480)</f>
        <v>0</v>
      </c>
      <c r="N1480" s="106" t="str">
        <f t="shared" si="7"/>
        <v>1</v>
      </c>
      <c r="O1480" s="107" t="str">
        <f t="array" ref="O1480">XLOOKUP(A1480,Data!F:F,Data!O:O)</f>
        <v>  1.01 </v>
      </c>
      <c r="P1480" s="107" t="str">
        <f t="shared" si="8"/>
        <v>  2.53 </v>
      </c>
      <c r="Q1480" s="27"/>
    </row>
    <row r="1481" ht="15.75" customHeight="1">
      <c r="A1481" s="105" t="s">
        <v>1725</v>
      </c>
      <c r="B1481" s="19" t="str">
        <f t="array" ref="B1481">XLOOKUP(A1481,Data!F:F,Data!G:G)</f>
        <v>J1E</v>
      </c>
      <c r="C1481" s="19" t="str">
        <f t="shared" si="3"/>
        <v>J115</v>
      </c>
      <c r="D1481" s="19" t="str">
        <f t="array" ref="D1481">XLOOKUP(A1481,Data!F:F,Data!C:C)</f>
        <v>EXT</v>
      </c>
      <c r="E1481" s="19" t="str">
        <f t="array" ref="E1481">XLOOKUP(A1481,Data!F:F,Data!H:H)</f>
        <v>BW</v>
      </c>
      <c r="F1481" s="106" t="str">
        <f>SUMIFS(Data!J:J,Data!F:F,A1481)</f>
        <v>1</v>
      </c>
      <c r="G1481" s="106" t="str">
        <f>SUMIFS(Cast!C:C,CastElements,A1481)</f>
        <v>0</v>
      </c>
      <c r="H1481" s="106" t="str">
        <f t="shared" si="4"/>
        <v>1</v>
      </c>
      <c r="I1481" s="106" t="str">
        <f>SUMIFS(Del!C:C,Del!B:B,A1481)</f>
        <v>0</v>
      </c>
      <c r="J1481" s="106" t="str">
        <f t="shared" si="5"/>
        <v>1</v>
      </c>
      <c r="K1481" s="106" t="str">
        <f t="shared" si="6"/>
        <v>0</v>
      </c>
      <c r="L1481" s="106"/>
      <c r="M1481" s="106" t="str">
        <f>SUMIFS(Ere!C:C,Ere!B:B,A1481)</f>
        <v>0</v>
      </c>
      <c r="N1481" s="106" t="str">
        <f t="shared" si="7"/>
        <v>1</v>
      </c>
      <c r="O1481" s="107" t="str">
        <f t="array" ref="O1481">XLOOKUP(A1481,Data!F:F,Data!O:O)</f>
        <v>  1.20 </v>
      </c>
      <c r="P1481" s="107" t="str">
        <f t="shared" si="8"/>
        <v>  3.00 </v>
      </c>
      <c r="Q1481" s="27"/>
    </row>
    <row r="1482" ht="15.75" customHeight="1">
      <c r="A1482" s="105" t="s">
        <v>1726</v>
      </c>
      <c r="B1482" s="19" t="str">
        <f t="array" ref="B1482">XLOOKUP(A1482,Data!F:F,Data!G:G)</f>
        <v>J1E</v>
      </c>
      <c r="C1482" s="19" t="str">
        <f t="shared" si="3"/>
        <v>J115</v>
      </c>
      <c r="D1482" s="19" t="str">
        <f t="array" ref="D1482">XLOOKUP(A1482,Data!F:F,Data!C:C)</f>
        <v>EXT</v>
      </c>
      <c r="E1482" s="19" t="str">
        <f t="array" ref="E1482">XLOOKUP(A1482,Data!F:F,Data!H:H)</f>
        <v>BW</v>
      </c>
      <c r="F1482" s="106" t="str">
        <f>SUMIFS(Data!J:J,Data!F:F,A1482)</f>
        <v>1</v>
      </c>
      <c r="G1482" s="106" t="str">
        <f>SUMIFS(Cast!C:C,CastElements,A1482)</f>
        <v>0</v>
      </c>
      <c r="H1482" s="106" t="str">
        <f t="shared" si="4"/>
        <v>1</v>
      </c>
      <c r="I1482" s="106" t="str">
        <f>SUMIFS(Del!C:C,Del!B:B,A1482)</f>
        <v>0</v>
      </c>
      <c r="J1482" s="106" t="str">
        <f t="shared" si="5"/>
        <v>1</v>
      </c>
      <c r="K1482" s="106" t="str">
        <f t="shared" si="6"/>
        <v>0</v>
      </c>
      <c r="L1482" s="106"/>
      <c r="M1482" s="106" t="str">
        <f>SUMIFS(Ere!C:C,Ere!B:B,A1482)</f>
        <v>0</v>
      </c>
      <c r="N1482" s="106" t="str">
        <f t="shared" si="7"/>
        <v>1</v>
      </c>
      <c r="O1482" s="107" t="str">
        <f t="array" ref="O1482">XLOOKUP(A1482,Data!F:F,Data!O:O)</f>
        <v>  1.51 </v>
      </c>
      <c r="P1482" s="107" t="str">
        <f t="shared" si="8"/>
        <v>  3.78 </v>
      </c>
      <c r="Q1482" s="27"/>
    </row>
    <row r="1483" ht="15.75" customHeight="1">
      <c r="A1483" s="105" t="s">
        <v>1727</v>
      </c>
      <c r="B1483" s="19" t="str">
        <f t="array" ref="B1483">XLOOKUP(A1483,Data!F:F,Data!G:G)</f>
        <v>J1E</v>
      </c>
      <c r="C1483" s="19" t="str">
        <f t="shared" si="3"/>
        <v>J115</v>
      </c>
      <c r="D1483" s="19" t="str">
        <f t="array" ref="D1483">XLOOKUP(A1483,Data!F:F,Data!C:C)</f>
        <v>EXT</v>
      </c>
      <c r="E1483" s="19" t="str">
        <f t="array" ref="E1483">XLOOKUP(A1483,Data!F:F,Data!H:H)</f>
        <v>BW</v>
      </c>
      <c r="F1483" s="106" t="str">
        <f>SUMIFS(Data!J:J,Data!F:F,A1483)</f>
        <v>1</v>
      </c>
      <c r="G1483" s="106" t="str">
        <f>SUMIFS(Cast!C:C,CastElements,A1483)</f>
        <v>0</v>
      </c>
      <c r="H1483" s="106" t="str">
        <f t="shared" si="4"/>
        <v>1</v>
      </c>
      <c r="I1483" s="106" t="str">
        <f>SUMIFS(Del!C:C,Del!B:B,A1483)</f>
        <v>0</v>
      </c>
      <c r="J1483" s="106" t="str">
        <f t="shared" si="5"/>
        <v>1</v>
      </c>
      <c r="K1483" s="106" t="str">
        <f t="shared" si="6"/>
        <v>0</v>
      </c>
      <c r="L1483" s="106"/>
      <c r="M1483" s="106" t="str">
        <f>SUMIFS(Ere!C:C,Ere!B:B,A1483)</f>
        <v>0</v>
      </c>
      <c r="N1483" s="106" t="str">
        <f t="shared" si="7"/>
        <v>1</v>
      </c>
      <c r="O1483" s="107" t="str">
        <f t="array" ref="O1483">XLOOKUP(A1483,Data!F:F,Data!O:O)</f>
        <v>  1.58 </v>
      </c>
      <c r="P1483" s="107" t="str">
        <f t="shared" si="8"/>
        <v>  3.95 </v>
      </c>
      <c r="Q1483" s="27"/>
    </row>
    <row r="1484" ht="15.75" customHeight="1">
      <c r="A1484" s="105" t="s">
        <v>1728</v>
      </c>
      <c r="B1484" s="19" t="str">
        <f t="array" ref="B1484">XLOOKUP(A1484,Data!F:F,Data!G:G)</f>
        <v>J1E</v>
      </c>
      <c r="C1484" s="19" t="str">
        <f t="shared" si="3"/>
        <v>J115</v>
      </c>
      <c r="D1484" s="19" t="str">
        <f t="array" ref="D1484">XLOOKUP(A1484,Data!F:F,Data!C:C)</f>
        <v>EXT</v>
      </c>
      <c r="E1484" s="19" t="str">
        <f t="array" ref="E1484">XLOOKUP(A1484,Data!F:F,Data!H:H)</f>
        <v>BW</v>
      </c>
      <c r="F1484" s="106" t="str">
        <f>SUMIFS(Data!J:J,Data!F:F,A1484)</f>
        <v>1</v>
      </c>
      <c r="G1484" s="106" t="str">
        <f>SUMIFS(Cast!C:C,CastElements,A1484)</f>
        <v>0</v>
      </c>
      <c r="H1484" s="106" t="str">
        <f t="shared" si="4"/>
        <v>1</v>
      </c>
      <c r="I1484" s="106" t="str">
        <f>SUMIFS(Del!C:C,Del!B:B,A1484)</f>
        <v>0</v>
      </c>
      <c r="J1484" s="106" t="str">
        <f t="shared" si="5"/>
        <v>1</v>
      </c>
      <c r="K1484" s="106" t="str">
        <f t="shared" si="6"/>
        <v>0</v>
      </c>
      <c r="L1484" s="106"/>
      <c r="M1484" s="106" t="str">
        <f>SUMIFS(Ere!C:C,Ere!B:B,A1484)</f>
        <v>0</v>
      </c>
      <c r="N1484" s="106" t="str">
        <f t="shared" si="7"/>
        <v>1</v>
      </c>
      <c r="O1484" s="107" t="str">
        <f t="array" ref="O1484">XLOOKUP(A1484,Data!F:F,Data!O:O)</f>
        <v>  2.11 </v>
      </c>
      <c r="P1484" s="107" t="str">
        <f t="shared" si="8"/>
        <v>  5.27 </v>
      </c>
      <c r="Q1484" s="27"/>
    </row>
    <row r="1485" ht="15.75" customHeight="1">
      <c r="A1485" s="105" t="s">
        <v>1729</v>
      </c>
      <c r="B1485" s="19" t="str">
        <f t="array" ref="B1485">XLOOKUP(A1485,Data!F:F,Data!G:G)</f>
        <v>J1E</v>
      </c>
      <c r="C1485" s="19" t="str">
        <f t="shared" si="3"/>
        <v>J115</v>
      </c>
      <c r="D1485" s="19" t="str">
        <f t="array" ref="D1485">XLOOKUP(A1485,Data!F:F,Data!C:C)</f>
        <v/>
      </c>
      <c r="E1485" s="19" t="str">
        <f t="array" ref="E1485">XLOOKUP(A1485,Data!F:F,Data!H:H)</f>
        <v>BW</v>
      </c>
      <c r="F1485" s="106" t="str">
        <f>SUMIFS(Data!J:J,Data!F:F,A1485)</f>
        <v>1</v>
      </c>
      <c r="G1485" s="106" t="str">
        <f>SUMIFS(Cast!C:C,CastElements,A1485)</f>
        <v>0</v>
      </c>
      <c r="H1485" s="106" t="str">
        <f t="shared" si="4"/>
        <v>1</v>
      </c>
      <c r="I1485" s="106" t="str">
        <f>SUMIFS(Del!C:C,Del!B:B,A1485)</f>
        <v>0</v>
      </c>
      <c r="J1485" s="106" t="str">
        <f t="shared" si="5"/>
        <v>1</v>
      </c>
      <c r="K1485" s="106" t="str">
        <f t="shared" si="6"/>
        <v>0</v>
      </c>
      <c r="L1485" s="106"/>
      <c r="M1485" s="106" t="str">
        <f>SUMIFS(Ere!C:C,Ere!B:B,A1485)</f>
        <v>0</v>
      </c>
      <c r="N1485" s="106" t="str">
        <f t="shared" si="7"/>
        <v>1</v>
      </c>
      <c r="O1485" s="107" t="str">
        <f t="array" ref="O1485">XLOOKUP(A1485,Data!F:F,Data!O:O)</f>
        <v>  0.82 </v>
      </c>
      <c r="P1485" s="107" t="str">
        <f t="shared" si="8"/>
        <v>  2.05 </v>
      </c>
      <c r="Q1485" s="27"/>
    </row>
    <row r="1486" ht="15.75" customHeight="1">
      <c r="A1486" s="105" t="s">
        <v>1730</v>
      </c>
      <c r="B1486" s="19" t="str">
        <f t="array" ref="B1486">XLOOKUP(A1486,Data!F:F,Data!G:G)</f>
        <v>J1E</v>
      </c>
      <c r="C1486" s="19" t="str">
        <f t="shared" si="3"/>
        <v>J115</v>
      </c>
      <c r="D1486" s="19" t="str">
        <f t="array" ref="D1486">XLOOKUP(A1486,Data!F:F,Data!C:C)</f>
        <v>EXT</v>
      </c>
      <c r="E1486" s="19" t="str">
        <f t="array" ref="E1486">XLOOKUP(A1486,Data!F:F,Data!H:H)</f>
        <v>BW</v>
      </c>
      <c r="F1486" s="106" t="str">
        <f>SUMIFS(Data!J:J,Data!F:F,A1486)</f>
        <v>1</v>
      </c>
      <c r="G1486" s="106" t="str">
        <f>SUMIFS(Cast!C:C,CastElements,A1486)</f>
        <v>0</v>
      </c>
      <c r="H1486" s="106" t="str">
        <f t="shared" si="4"/>
        <v>1</v>
      </c>
      <c r="I1486" s="106" t="str">
        <f>SUMIFS(Del!C:C,Del!B:B,A1486)</f>
        <v>0</v>
      </c>
      <c r="J1486" s="106" t="str">
        <f t="shared" si="5"/>
        <v>1</v>
      </c>
      <c r="K1486" s="106" t="str">
        <f t="shared" si="6"/>
        <v>0</v>
      </c>
      <c r="L1486" s="106"/>
      <c r="M1486" s="106" t="str">
        <f>SUMIFS(Ere!C:C,Ere!B:B,A1486)</f>
        <v>0</v>
      </c>
      <c r="N1486" s="106" t="str">
        <f t="shared" si="7"/>
        <v>1</v>
      </c>
      <c r="O1486" s="107" t="str">
        <f t="array" ref="O1486">XLOOKUP(A1486,Data!F:F,Data!O:O)</f>
        <v>  0.94 </v>
      </c>
      <c r="P1486" s="107" t="str">
        <f t="shared" si="8"/>
        <v>  2.35 </v>
      </c>
      <c r="Q1486" s="27"/>
    </row>
    <row r="1487" ht="15.75" customHeight="1">
      <c r="A1487" s="105" t="s">
        <v>1731</v>
      </c>
      <c r="B1487" s="19" t="str">
        <f t="array" ref="B1487">XLOOKUP(A1487,Data!F:F,Data!G:G)</f>
        <v>J1E</v>
      </c>
      <c r="C1487" s="19" t="str">
        <f t="shared" si="3"/>
        <v>J115</v>
      </c>
      <c r="D1487" s="19" t="str">
        <f t="array" ref="D1487">XLOOKUP(A1487,Data!F:F,Data!C:C)</f>
        <v/>
      </c>
      <c r="E1487" s="19" t="str">
        <f t="array" ref="E1487">XLOOKUP(A1487,Data!F:F,Data!H:H)</f>
        <v>BW</v>
      </c>
      <c r="F1487" s="106" t="str">
        <f>SUMIFS(Data!J:J,Data!F:F,A1487)</f>
        <v>1</v>
      </c>
      <c r="G1487" s="106" t="str">
        <f>SUMIFS(Cast!C:C,CastElements,A1487)</f>
        <v>0</v>
      </c>
      <c r="H1487" s="106" t="str">
        <f t="shared" si="4"/>
        <v>1</v>
      </c>
      <c r="I1487" s="106" t="str">
        <f>SUMIFS(Del!C:C,Del!B:B,A1487)</f>
        <v>0</v>
      </c>
      <c r="J1487" s="106" t="str">
        <f t="shared" si="5"/>
        <v>1</v>
      </c>
      <c r="K1487" s="106" t="str">
        <f t="shared" si="6"/>
        <v>0</v>
      </c>
      <c r="L1487" s="106"/>
      <c r="M1487" s="106" t="str">
        <f>SUMIFS(Ere!C:C,Ere!B:B,A1487)</f>
        <v>0</v>
      </c>
      <c r="N1487" s="106" t="str">
        <f t="shared" si="7"/>
        <v>1</v>
      </c>
      <c r="O1487" s="107" t="str">
        <f t="array" ref="O1487">XLOOKUP(A1487,Data!F:F,Data!O:O)</f>
        <v>  2.96 </v>
      </c>
      <c r="P1487" s="107" t="str">
        <f t="shared" si="8"/>
        <v>  7.40 </v>
      </c>
      <c r="Q1487" s="27"/>
    </row>
    <row r="1488" ht="15.75" customHeight="1">
      <c r="A1488" s="105" t="s">
        <v>1732</v>
      </c>
      <c r="B1488" s="19" t="str">
        <f t="array" ref="B1488">XLOOKUP(A1488,Data!F:F,Data!G:G)</f>
        <v>J1E</v>
      </c>
      <c r="C1488" s="19" t="str">
        <f t="shared" si="3"/>
        <v>J115</v>
      </c>
      <c r="D1488" s="19" t="str">
        <f t="array" ref="D1488">XLOOKUP(A1488,Data!F:F,Data!C:C)</f>
        <v/>
      </c>
      <c r="E1488" s="19" t="str">
        <f t="array" ref="E1488">XLOOKUP(A1488,Data!F:F,Data!H:H)</f>
        <v>BW</v>
      </c>
      <c r="F1488" s="106" t="str">
        <f>SUMIFS(Data!J:J,Data!F:F,A1488)</f>
        <v>1</v>
      </c>
      <c r="G1488" s="106" t="str">
        <f>SUMIFS(Cast!C:C,CastElements,A1488)</f>
        <v>0</v>
      </c>
      <c r="H1488" s="106" t="str">
        <f t="shared" si="4"/>
        <v>1</v>
      </c>
      <c r="I1488" s="106" t="str">
        <f>SUMIFS(Del!C:C,Del!B:B,A1488)</f>
        <v>0</v>
      </c>
      <c r="J1488" s="106" t="str">
        <f t="shared" si="5"/>
        <v>1</v>
      </c>
      <c r="K1488" s="106" t="str">
        <f t="shared" si="6"/>
        <v>0</v>
      </c>
      <c r="L1488" s="106"/>
      <c r="M1488" s="106" t="str">
        <f>SUMIFS(Ere!C:C,Ere!B:B,A1488)</f>
        <v>0</v>
      </c>
      <c r="N1488" s="106" t="str">
        <f t="shared" si="7"/>
        <v>1</v>
      </c>
      <c r="O1488" s="107" t="str">
        <f t="array" ref="O1488">XLOOKUP(A1488,Data!F:F,Data!O:O)</f>
        <v>  1.93 </v>
      </c>
      <c r="P1488" s="107" t="str">
        <f t="shared" si="8"/>
        <v>  4.81 </v>
      </c>
      <c r="Q1488" s="27"/>
    </row>
    <row r="1489" ht="15.75" customHeight="1">
      <c r="A1489" s="105" t="s">
        <v>1733</v>
      </c>
      <c r="B1489" s="19" t="str">
        <f t="array" ref="B1489">XLOOKUP(A1489,Data!F:F,Data!G:G)</f>
        <v>J1E</v>
      </c>
      <c r="C1489" s="19" t="str">
        <f t="shared" si="3"/>
        <v>J115</v>
      </c>
      <c r="D1489" s="19" t="str">
        <f t="array" ref="D1489">XLOOKUP(A1489,Data!F:F,Data!C:C)</f>
        <v/>
      </c>
      <c r="E1489" s="19" t="str">
        <f t="array" ref="E1489">XLOOKUP(A1489,Data!F:F,Data!H:H)</f>
        <v>BW</v>
      </c>
      <c r="F1489" s="106" t="str">
        <f>SUMIFS(Data!J:J,Data!F:F,A1489)</f>
        <v>1</v>
      </c>
      <c r="G1489" s="106" t="str">
        <f>SUMIFS(Cast!C:C,CastElements,A1489)</f>
        <v>0</v>
      </c>
      <c r="H1489" s="106" t="str">
        <f t="shared" si="4"/>
        <v>1</v>
      </c>
      <c r="I1489" s="106" t="str">
        <f>SUMIFS(Del!C:C,Del!B:B,A1489)</f>
        <v>0</v>
      </c>
      <c r="J1489" s="106" t="str">
        <f t="shared" si="5"/>
        <v>1</v>
      </c>
      <c r="K1489" s="106" t="str">
        <f t="shared" si="6"/>
        <v>0</v>
      </c>
      <c r="L1489" s="106"/>
      <c r="M1489" s="106" t="str">
        <f>SUMIFS(Ere!C:C,Ere!B:B,A1489)</f>
        <v>0</v>
      </c>
      <c r="N1489" s="106" t="str">
        <f t="shared" si="7"/>
        <v>1</v>
      </c>
      <c r="O1489" s="107" t="str">
        <f t="array" ref="O1489">XLOOKUP(A1489,Data!F:F,Data!O:O)</f>
        <v>  1.77 </v>
      </c>
      <c r="P1489" s="107" t="str">
        <f t="shared" si="8"/>
        <v>  4.41 </v>
      </c>
      <c r="Q1489" s="27"/>
    </row>
    <row r="1490" ht="15.75" customHeight="1">
      <c r="A1490" s="105" t="s">
        <v>1734</v>
      </c>
      <c r="B1490" s="19" t="str">
        <f t="array" ref="B1490">XLOOKUP(A1490,Data!F:F,Data!G:G)</f>
        <v>J1E</v>
      </c>
      <c r="C1490" s="19" t="str">
        <f t="shared" si="3"/>
        <v>J115</v>
      </c>
      <c r="D1490" s="19" t="str">
        <f t="array" ref="D1490">XLOOKUP(A1490,Data!F:F,Data!C:C)</f>
        <v/>
      </c>
      <c r="E1490" s="19" t="str">
        <f t="array" ref="E1490">XLOOKUP(A1490,Data!F:F,Data!H:H)</f>
        <v>BW</v>
      </c>
      <c r="F1490" s="106" t="str">
        <f>SUMIFS(Data!J:J,Data!F:F,A1490)</f>
        <v>1</v>
      </c>
      <c r="G1490" s="106" t="str">
        <f>SUMIFS(Cast!C:C,CastElements,A1490)</f>
        <v>0</v>
      </c>
      <c r="H1490" s="106" t="str">
        <f t="shared" si="4"/>
        <v>1</v>
      </c>
      <c r="I1490" s="106" t="str">
        <f>SUMIFS(Del!C:C,Del!B:B,A1490)</f>
        <v>0</v>
      </c>
      <c r="J1490" s="106" t="str">
        <f t="shared" si="5"/>
        <v>1</v>
      </c>
      <c r="K1490" s="106" t="str">
        <f t="shared" si="6"/>
        <v>0</v>
      </c>
      <c r="L1490" s="106"/>
      <c r="M1490" s="106" t="str">
        <f>SUMIFS(Ere!C:C,Ere!B:B,A1490)</f>
        <v>0</v>
      </c>
      <c r="N1490" s="106" t="str">
        <f t="shared" si="7"/>
        <v>1</v>
      </c>
      <c r="O1490" s="107" t="str">
        <f t="array" ref="O1490">XLOOKUP(A1490,Data!F:F,Data!O:O)</f>
        <v>  1.61 </v>
      </c>
      <c r="P1490" s="107" t="str">
        <f t="shared" si="8"/>
        <v>  4.04 </v>
      </c>
      <c r="Q1490" s="27"/>
    </row>
    <row r="1491" ht="15.75" customHeight="1">
      <c r="A1491" s="105" t="s">
        <v>1735</v>
      </c>
      <c r="B1491" s="19" t="str">
        <f t="array" ref="B1491">XLOOKUP(A1491,Data!F:F,Data!G:G)</f>
        <v>J1E</v>
      </c>
      <c r="C1491" s="19" t="str">
        <f t="shared" si="3"/>
        <v>J115</v>
      </c>
      <c r="D1491" s="19" t="str">
        <f t="array" ref="D1491">XLOOKUP(A1491,Data!F:F,Data!C:C)</f>
        <v/>
      </c>
      <c r="E1491" s="19" t="str">
        <f t="array" ref="E1491">XLOOKUP(A1491,Data!F:F,Data!H:H)</f>
        <v>BW</v>
      </c>
      <c r="F1491" s="106" t="str">
        <f>SUMIFS(Data!J:J,Data!F:F,A1491)</f>
        <v>1</v>
      </c>
      <c r="G1491" s="106" t="str">
        <f>SUMIFS(Cast!C:C,CastElements,A1491)</f>
        <v>0</v>
      </c>
      <c r="H1491" s="106" t="str">
        <f t="shared" si="4"/>
        <v>1</v>
      </c>
      <c r="I1491" s="106" t="str">
        <f>SUMIFS(Del!C:C,Del!B:B,A1491)</f>
        <v>0</v>
      </c>
      <c r="J1491" s="106" t="str">
        <f t="shared" si="5"/>
        <v>1</v>
      </c>
      <c r="K1491" s="106" t="str">
        <f t="shared" si="6"/>
        <v>0</v>
      </c>
      <c r="L1491" s="106"/>
      <c r="M1491" s="106" t="str">
        <f>SUMIFS(Ere!C:C,Ere!B:B,A1491)</f>
        <v>0</v>
      </c>
      <c r="N1491" s="106" t="str">
        <f t="shared" si="7"/>
        <v>1</v>
      </c>
      <c r="O1491" s="107" t="str">
        <f t="array" ref="O1491">XLOOKUP(A1491,Data!F:F,Data!O:O)</f>
        <v>  2.11 </v>
      </c>
      <c r="P1491" s="107" t="str">
        <f t="shared" si="8"/>
        <v>  5.26 </v>
      </c>
      <c r="Q1491" s="27"/>
    </row>
    <row r="1492" ht="15.75" customHeight="1">
      <c r="A1492" s="105" t="s">
        <v>1736</v>
      </c>
      <c r="B1492" s="19" t="str">
        <f t="array" ref="B1492">XLOOKUP(A1492,Data!F:F,Data!G:G)</f>
        <v>J1E</v>
      </c>
      <c r="C1492" s="19" t="str">
        <f t="shared" si="3"/>
        <v>J115</v>
      </c>
      <c r="D1492" s="19" t="str">
        <f t="array" ref="D1492">XLOOKUP(A1492,Data!F:F,Data!C:C)</f>
        <v/>
      </c>
      <c r="E1492" s="19" t="str">
        <f t="array" ref="E1492">XLOOKUP(A1492,Data!F:F,Data!H:H)</f>
        <v>BW</v>
      </c>
      <c r="F1492" s="106" t="str">
        <f>SUMIFS(Data!J:J,Data!F:F,A1492)</f>
        <v>1</v>
      </c>
      <c r="G1492" s="106" t="str">
        <f>SUMIFS(Cast!C:C,CastElements,A1492)</f>
        <v>0</v>
      </c>
      <c r="H1492" s="106" t="str">
        <f t="shared" si="4"/>
        <v>1</v>
      </c>
      <c r="I1492" s="106" t="str">
        <f>SUMIFS(Del!C:C,Del!B:B,A1492)</f>
        <v>0</v>
      </c>
      <c r="J1492" s="106" t="str">
        <f t="shared" si="5"/>
        <v>1</v>
      </c>
      <c r="K1492" s="106" t="str">
        <f t="shared" si="6"/>
        <v>0</v>
      </c>
      <c r="L1492" s="106"/>
      <c r="M1492" s="106" t="str">
        <f>SUMIFS(Ere!C:C,Ere!B:B,A1492)</f>
        <v>0</v>
      </c>
      <c r="N1492" s="106" t="str">
        <f t="shared" si="7"/>
        <v>1</v>
      </c>
      <c r="O1492" s="107" t="str">
        <f t="array" ref="O1492">XLOOKUP(A1492,Data!F:F,Data!O:O)</f>
        <v>  2.07 </v>
      </c>
      <c r="P1492" s="107" t="str">
        <f t="shared" si="8"/>
        <v>  5.16 </v>
      </c>
      <c r="Q1492" s="27"/>
    </row>
    <row r="1493" ht="15.75" customHeight="1">
      <c r="A1493" s="105" t="s">
        <v>1737</v>
      </c>
      <c r="B1493" s="19" t="str">
        <f t="array" ref="B1493">XLOOKUP(A1493,Data!F:F,Data!G:G)</f>
        <v>J1E</v>
      </c>
      <c r="C1493" s="19" t="str">
        <f t="shared" si="3"/>
        <v>J115</v>
      </c>
      <c r="D1493" s="19" t="str">
        <f t="array" ref="D1493">XLOOKUP(A1493,Data!F:F,Data!C:C)</f>
        <v/>
      </c>
      <c r="E1493" s="19" t="str">
        <f t="array" ref="E1493">XLOOKUP(A1493,Data!F:F,Data!H:H)</f>
        <v>BW</v>
      </c>
      <c r="F1493" s="106" t="str">
        <f>SUMIFS(Data!J:J,Data!F:F,A1493)</f>
        <v>1</v>
      </c>
      <c r="G1493" s="106" t="str">
        <f>SUMIFS(Cast!C:C,CastElements,A1493)</f>
        <v>0</v>
      </c>
      <c r="H1493" s="106" t="str">
        <f t="shared" si="4"/>
        <v>1</v>
      </c>
      <c r="I1493" s="106" t="str">
        <f>SUMIFS(Del!C:C,Del!B:B,A1493)</f>
        <v>0</v>
      </c>
      <c r="J1493" s="106" t="str">
        <f t="shared" si="5"/>
        <v>1</v>
      </c>
      <c r="K1493" s="106" t="str">
        <f t="shared" si="6"/>
        <v>0</v>
      </c>
      <c r="L1493" s="106"/>
      <c r="M1493" s="106" t="str">
        <f>SUMIFS(Ere!C:C,Ere!B:B,A1493)</f>
        <v>0</v>
      </c>
      <c r="N1493" s="106" t="str">
        <f t="shared" si="7"/>
        <v>1</v>
      </c>
      <c r="O1493" s="107" t="str">
        <f t="array" ref="O1493">XLOOKUP(A1493,Data!F:F,Data!O:O)</f>
        <v>  2.34 </v>
      </c>
      <c r="P1493" s="107" t="str">
        <f t="shared" si="8"/>
        <v>  5.85 </v>
      </c>
      <c r="Q1493" s="27"/>
    </row>
    <row r="1494" ht="15.75" customHeight="1">
      <c r="A1494" s="105" t="s">
        <v>1738</v>
      </c>
      <c r="B1494" s="19" t="str">
        <f t="array" ref="B1494">XLOOKUP(A1494,Data!F:F,Data!G:G)</f>
        <v>J1E</v>
      </c>
      <c r="C1494" s="19" t="str">
        <f t="shared" si="3"/>
        <v>J115</v>
      </c>
      <c r="D1494" s="19" t="str">
        <f t="array" ref="D1494">XLOOKUP(A1494,Data!F:F,Data!C:C)</f>
        <v/>
      </c>
      <c r="E1494" s="19" t="str">
        <f t="array" ref="E1494">XLOOKUP(A1494,Data!F:F,Data!H:H)</f>
        <v>BW</v>
      </c>
      <c r="F1494" s="106" t="str">
        <f>SUMIFS(Data!J:J,Data!F:F,A1494)</f>
        <v>1</v>
      </c>
      <c r="G1494" s="106" t="str">
        <f>SUMIFS(Cast!C:C,CastElements,A1494)</f>
        <v>0</v>
      </c>
      <c r="H1494" s="106" t="str">
        <f t="shared" si="4"/>
        <v>1</v>
      </c>
      <c r="I1494" s="106" t="str">
        <f>SUMIFS(Del!C:C,Del!B:B,A1494)</f>
        <v>0</v>
      </c>
      <c r="J1494" s="106" t="str">
        <f t="shared" si="5"/>
        <v>1</v>
      </c>
      <c r="K1494" s="106" t="str">
        <f t="shared" si="6"/>
        <v>0</v>
      </c>
      <c r="L1494" s="106"/>
      <c r="M1494" s="106" t="str">
        <f>SUMIFS(Ere!C:C,Ere!B:B,A1494)</f>
        <v>0</v>
      </c>
      <c r="N1494" s="106" t="str">
        <f t="shared" si="7"/>
        <v>1</v>
      </c>
      <c r="O1494" s="107" t="str">
        <f t="array" ref="O1494">XLOOKUP(A1494,Data!F:F,Data!O:O)</f>
        <v>  1.69 </v>
      </c>
      <c r="P1494" s="107" t="str">
        <f t="shared" si="8"/>
        <v>  4.23 </v>
      </c>
      <c r="Q1494" s="27"/>
    </row>
    <row r="1495" ht="15.75" customHeight="1">
      <c r="A1495" s="105" t="s">
        <v>1739</v>
      </c>
      <c r="B1495" s="19" t="str">
        <f t="array" ref="B1495">XLOOKUP(A1495,Data!F:F,Data!G:G)</f>
        <v>J1E</v>
      </c>
      <c r="C1495" s="19" t="str">
        <f t="shared" si="3"/>
        <v>J115</v>
      </c>
      <c r="D1495" s="19" t="str">
        <f t="array" ref="D1495">XLOOKUP(A1495,Data!F:F,Data!C:C)</f>
        <v/>
      </c>
      <c r="E1495" s="19" t="str">
        <f t="array" ref="E1495">XLOOKUP(A1495,Data!F:F,Data!H:H)</f>
        <v>BW</v>
      </c>
      <c r="F1495" s="106" t="str">
        <f>SUMIFS(Data!J:J,Data!F:F,A1495)</f>
        <v>1</v>
      </c>
      <c r="G1495" s="106" t="str">
        <f>SUMIFS(Cast!C:C,CastElements,A1495)</f>
        <v>0</v>
      </c>
      <c r="H1495" s="106" t="str">
        <f t="shared" si="4"/>
        <v>1</v>
      </c>
      <c r="I1495" s="106" t="str">
        <f>SUMIFS(Del!C:C,Del!B:B,A1495)</f>
        <v>0</v>
      </c>
      <c r="J1495" s="106" t="str">
        <f t="shared" si="5"/>
        <v>1</v>
      </c>
      <c r="K1495" s="106" t="str">
        <f t="shared" si="6"/>
        <v>0</v>
      </c>
      <c r="L1495" s="106"/>
      <c r="M1495" s="106" t="str">
        <f>SUMIFS(Ere!C:C,Ere!B:B,A1495)</f>
        <v>0</v>
      </c>
      <c r="N1495" s="106" t="str">
        <f t="shared" si="7"/>
        <v>1</v>
      </c>
      <c r="O1495" s="107" t="str">
        <f t="array" ref="O1495">XLOOKUP(A1495,Data!F:F,Data!O:O)</f>
        <v>  1.69 </v>
      </c>
      <c r="P1495" s="107" t="str">
        <f t="shared" si="8"/>
        <v>  4.23 </v>
      </c>
      <c r="Q1495" s="27"/>
    </row>
    <row r="1496" ht="15.75" customHeight="1">
      <c r="A1496" s="105" t="s">
        <v>1740</v>
      </c>
      <c r="B1496" s="19" t="str">
        <f t="array" ref="B1496">XLOOKUP(A1496,Data!F:F,Data!G:G)</f>
        <v>J1E</v>
      </c>
      <c r="C1496" s="19" t="str">
        <f t="shared" si="3"/>
        <v>J115</v>
      </c>
      <c r="D1496" s="19" t="str">
        <f t="array" ref="D1496">XLOOKUP(A1496,Data!F:F,Data!C:C)</f>
        <v/>
      </c>
      <c r="E1496" s="19" t="str">
        <f t="array" ref="E1496">XLOOKUP(A1496,Data!F:F,Data!H:H)</f>
        <v>BW</v>
      </c>
      <c r="F1496" s="106" t="str">
        <f>SUMIFS(Data!J:J,Data!F:F,A1496)</f>
        <v>1</v>
      </c>
      <c r="G1496" s="106" t="str">
        <f>SUMIFS(Cast!C:C,CastElements,A1496)</f>
        <v>0</v>
      </c>
      <c r="H1496" s="106" t="str">
        <f t="shared" si="4"/>
        <v>1</v>
      </c>
      <c r="I1496" s="106" t="str">
        <f>SUMIFS(Del!C:C,Del!B:B,A1496)</f>
        <v>0</v>
      </c>
      <c r="J1496" s="106" t="str">
        <f t="shared" si="5"/>
        <v>1</v>
      </c>
      <c r="K1496" s="106" t="str">
        <f t="shared" si="6"/>
        <v>0</v>
      </c>
      <c r="L1496" s="106"/>
      <c r="M1496" s="106" t="str">
        <f>SUMIFS(Ere!C:C,Ere!B:B,A1496)</f>
        <v>0</v>
      </c>
      <c r="N1496" s="106" t="str">
        <f t="shared" si="7"/>
        <v>1</v>
      </c>
      <c r="O1496" s="107" t="str">
        <f t="array" ref="O1496">XLOOKUP(A1496,Data!F:F,Data!O:O)</f>
        <v>  1.69 </v>
      </c>
      <c r="P1496" s="107" t="str">
        <f t="shared" si="8"/>
        <v>  4.23 </v>
      </c>
      <c r="Q1496" s="27"/>
    </row>
    <row r="1497" ht="15.75" customHeight="1">
      <c r="A1497" s="105" t="s">
        <v>1741</v>
      </c>
      <c r="B1497" s="19" t="str">
        <f t="array" ref="B1497">XLOOKUP(A1497,Data!F:F,Data!G:G)</f>
        <v>J1E</v>
      </c>
      <c r="C1497" s="19" t="str">
        <f t="shared" si="3"/>
        <v>J115</v>
      </c>
      <c r="D1497" s="19" t="str">
        <f t="array" ref="D1497">XLOOKUP(A1497,Data!F:F,Data!C:C)</f>
        <v/>
      </c>
      <c r="E1497" s="19" t="str">
        <f t="array" ref="E1497">XLOOKUP(A1497,Data!F:F,Data!H:H)</f>
        <v>BW</v>
      </c>
      <c r="F1497" s="106" t="str">
        <f>SUMIFS(Data!J:J,Data!F:F,A1497)</f>
        <v>1</v>
      </c>
      <c r="G1497" s="106" t="str">
        <f>SUMIFS(Cast!C:C,CastElements,A1497)</f>
        <v>0</v>
      </c>
      <c r="H1497" s="106" t="str">
        <f t="shared" si="4"/>
        <v>1</v>
      </c>
      <c r="I1497" s="106" t="str">
        <f>SUMIFS(Del!C:C,Del!B:B,A1497)</f>
        <v>0</v>
      </c>
      <c r="J1497" s="106" t="str">
        <f t="shared" si="5"/>
        <v>1</v>
      </c>
      <c r="K1497" s="106" t="str">
        <f t="shared" si="6"/>
        <v>0</v>
      </c>
      <c r="L1497" s="106"/>
      <c r="M1497" s="106" t="str">
        <f>SUMIFS(Ere!C:C,Ere!B:B,A1497)</f>
        <v>0</v>
      </c>
      <c r="N1497" s="106" t="str">
        <f t="shared" si="7"/>
        <v>1</v>
      </c>
      <c r="O1497" s="107" t="str">
        <f t="array" ref="O1497">XLOOKUP(A1497,Data!F:F,Data!O:O)</f>
        <v>  1.36 </v>
      </c>
      <c r="P1497" s="107" t="str">
        <f t="shared" si="8"/>
        <v>  3.40 </v>
      </c>
      <c r="Q1497" s="27"/>
    </row>
    <row r="1498" ht="15.75" customHeight="1">
      <c r="A1498" s="105" t="s">
        <v>1742</v>
      </c>
      <c r="B1498" s="19" t="str">
        <f t="array" ref="B1498">XLOOKUP(A1498,Data!F:F,Data!G:G)</f>
        <v>J1E</v>
      </c>
      <c r="C1498" s="19" t="str">
        <f t="shared" si="3"/>
        <v>J115</v>
      </c>
      <c r="D1498" s="19" t="str">
        <f t="array" ref="D1498">XLOOKUP(A1498,Data!F:F,Data!C:C)</f>
        <v/>
      </c>
      <c r="E1498" s="19" t="str">
        <f t="array" ref="E1498">XLOOKUP(A1498,Data!F:F,Data!H:H)</f>
        <v>BW</v>
      </c>
      <c r="F1498" s="106" t="str">
        <f>SUMIFS(Data!J:J,Data!F:F,A1498)</f>
        <v>1</v>
      </c>
      <c r="G1498" s="106" t="str">
        <f>SUMIFS(Cast!C:C,CastElements,A1498)</f>
        <v>0</v>
      </c>
      <c r="H1498" s="106" t="str">
        <f t="shared" si="4"/>
        <v>1</v>
      </c>
      <c r="I1498" s="106" t="str">
        <f>SUMIFS(Del!C:C,Del!B:B,A1498)</f>
        <v>0</v>
      </c>
      <c r="J1498" s="106" t="str">
        <f t="shared" si="5"/>
        <v>1</v>
      </c>
      <c r="K1498" s="106" t="str">
        <f t="shared" si="6"/>
        <v>0</v>
      </c>
      <c r="L1498" s="106"/>
      <c r="M1498" s="106" t="str">
        <f>SUMIFS(Ere!C:C,Ere!B:B,A1498)</f>
        <v>0</v>
      </c>
      <c r="N1498" s="106" t="str">
        <f t="shared" si="7"/>
        <v>1</v>
      </c>
      <c r="O1498" s="107" t="str">
        <f t="array" ref="O1498">XLOOKUP(A1498,Data!F:F,Data!O:O)</f>
        <v>  1.07 </v>
      </c>
      <c r="P1498" s="107" t="str">
        <f t="shared" si="8"/>
        <v>  2.67 </v>
      </c>
      <c r="Q1498" s="27"/>
    </row>
    <row r="1499" ht="15.75" customHeight="1">
      <c r="A1499" s="105" t="s">
        <v>1743</v>
      </c>
      <c r="B1499" s="19" t="str">
        <f t="array" ref="B1499">XLOOKUP(A1499,Data!F:F,Data!G:G)</f>
        <v>J1E</v>
      </c>
      <c r="C1499" s="19" t="str">
        <f t="shared" si="3"/>
        <v>J115</v>
      </c>
      <c r="D1499" s="19" t="str">
        <f t="array" ref="D1499">XLOOKUP(A1499,Data!F:F,Data!C:C)</f>
        <v/>
      </c>
      <c r="E1499" s="19" t="str">
        <f t="array" ref="E1499">XLOOKUP(A1499,Data!F:F,Data!H:H)</f>
        <v>BW</v>
      </c>
      <c r="F1499" s="106" t="str">
        <f>SUMIFS(Data!J:J,Data!F:F,A1499)</f>
        <v>1</v>
      </c>
      <c r="G1499" s="106" t="str">
        <f>SUMIFS(Cast!C:C,CastElements,A1499)</f>
        <v>0</v>
      </c>
      <c r="H1499" s="106" t="str">
        <f t="shared" si="4"/>
        <v>1</v>
      </c>
      <c r="I1499" s="106" t="str">
        <f>SUMIFS(Del!C:C,Del!B:B,A1499)</f>
        <v>0</v>
      </c>
      <c r="J1499" s="106" t="str">
        <f t="shared" si="5"/>
        <v>1</v>
      </c>
      <c r="K1499" s="106" t="str">
        <f t="shared" si="6"/>
        <v>0</v>
      </c>
      <c r="L1499" s="106"/>
      <c r="M1499" s="106" t="str">
        <f>SUMIFS(Ere!C:C,Ere!B:B,A1499)</f>
        <v>0</v>
      </c>
      <c r="N1499" s="106" t="str">
        <f t="shared" si="7"/>
        <v>1</v>
      </c>
      <c r="O1499" s="107" t="str">
        <f t="array" ref="O1499">XLOOKUP(A1499,Data!F:F,Data!O:O)</f>
        <v>  1.52 </v>
      </c>
      <c r="P1499" s="107" t="str">
        <f t="shared" si="8"/>
        <v>  3.80 </v>
      </c>
      <c r="Q1499" s="27"/>
    </row>
    <row r="1500" ht="15.75" customHeight="1">
      <c r="A1500" s="105" t="s">
        <v>1744</v>
      </c>
      <c r="B1500" s="19" t="str">
        <f t="array" ref="B1500">XLOOKUP(A1500,Data!F:F,Data!G:G)</f>
        <v>J1E</v>
      </c>
      <c r="C1500" s="19" t="str">
        <f t="shared" si="3"/>
        <v>J115</v>
      </c>
      <c r="D1500" s="19" t="str">
        <f t="array" ref="D1500">XLOOKUP(A1500,Data!F:F,Data!C:C)</f>
        <v/>
      </c>
      <c r="E1500" s="19" t="str">
        <f t="array" ref="E1500">XLOOKUP(A1500,Data!F:F,Data!H:H)</f>
        <v>BW</v>
      </c>
      <c r="F1500" s="106" t="str">
        <f>SUMIFS(Data!J:J,Data!F:F,A1500)</f>
        <v>1</v>
      </c>
      <c r="G1500" s="106" t="str">
        <f>SUMIFS(Cast!C:C,CastElements,A1500)</f>
        <v>0</v>
      </c>
      <c r="H1500" s="106" t="str">
        <f t="shared" si="4"/>
        <v>1</v>
      </c>
      <c r="I1500" s="106" t="str">
        <f>SUMIFS(Del!C:C,Del!B:B,A1500)</f>
        <v>0</v>
      </c>
      <c r="J1500" s="106" t="str">
        <f t="shared" si="5"/>
        <v>1</v>
      </c>
      <c r="K1500" s="106" t="str">
        <f t="shared" si="6"/>
        <v>0</v>
      </c>
      <c r="L1500" s="106"/>
      <c r="M1500" s="106" t="str">
        <f>SUMIFS(Ere!C:C,Ere!B:B,A1500)</f>
        <v>0</v>
      </c>
      <c r="N1500" s="106" t="str">
        <f t="shared" si="7"/>
        <v>1</v>
      </c>
      <c r="O1500" s="107" t="str">
        <f t="array" ref="O1500">XLOOKUP(A1500,Data!F:F,Data!O:O)</f>
        <v>  0.34 </v>
      </c>
      <c r="P1500" s="107" t="str">
        <f t="shared" si="8"/>
        <v>  0.85 </v>
      </c>
      <c r="Q1500" s="27"/>
    </row>
    <row r="1501" ht="15.75" customHeight="1">
      <c r="A1501" s="105" t="s">
        <v>1745</v>
      </c>
      <c r="B1501" s="19" t="str">
        <f t="array" ref="B1501">XLOOKUP(A1501,Data!F:F,Data!G:G)</f>
        <v>J1E</v>
      </c>
      <c r="C1501" s="19" t="str">
        <f t="shared" si="3"/>
        <v>J115</v>
      </c>
      <c r="D1501" s="19" t="str">
        <f t="array" ref="D1501">XLOOKUP(A1501,Data!F:F,Data!C:C)</f>
        <v/>
      </c>
      <c r="E1501" s="19" t="str">
        <f t="array" ref="E1501">XLOOKUP(A1501,Data!F:F,Data!H:H)</f>
        <v>BW</v>
      </c>
      <c r="F1501" s="106" t="str">
        <f>SUMIFS(Data!J:J,Data!F:F,A1501)</f>
        <v>1</v>
      </c>
      <c r="G1501" s="106" t="str">
        <f>SUMIFS(Cast!C:C,CastElements,A1501)</f>
        <v>0</v>
      </c>
      <c r="H1501" s="106" t="str">
        <f t="shared" si="4"/>
        <v>1</v>
      </c>
      <c r="I1501" s="106" t="str">
        <f>SUMIFS(Del!C:C,Del!B:B,A1501)</f>
        <v>0</v>
      </c>
      <c r="J1501" s="106" t="str">
        <f t="shared" si="5"/>
        <v>1</v>
      </c>
      <c r="K1501" s="106" t="str">
        <f t="shared" si="6"/>
        <v>0</v>
      </c>
      <c r="L1501" s="106"/>
      <c r="M1501" s="106" t="str">
        <f>SUMIFS(Ere!C:C,Ere!B:B,A1501)</f>
        <v>0</v>
      </c>
      <c r="N1501" s="106" t="str">
        <f t="shared" si="7"/>
        <v>1</v>
      </c>
      <c r="O1501" s="107" t="str">
        <f t="array" ref="O1501">XLOOKUP(A1501,Data!F:F,Data!O:O)</f>
        <v>  0.79 </v>
      </c>
      <c r="P1501" s="107" t="str">
        <f t="shared" si="8"/>
        <v>  1.98 </v>
      </c>
      <c r="Q1501" s="27"/>
    </row>
    <row r="1502" ht="15.75" customHeight="1">
      <c r="A1502" s="105" t="s">
        <v>1746</v>
      </c>
      <c r="B1502" s="19" t="str">
        <f t="array" ref="B1502">XLOOKUP(A1502,Data!F:F,Data!G:G)</f>
        <v>J1E</v>
      </c>
      <c r="C1502" s="19" t="str">
        <f t="shared" si="3"/>
        <v>J115</v>
      </c>
      <c r="D1502" s="19" t="str">
        <f t="array" ref="D1502">XLOOKUP(A1502,Data!F:F,Data!C:C)</f>
        <v/>
      </c>
      <c r="E1502" s="19" t="str">
        <f t="array" ref="E1502">XLOOKUP(A1502,Data!F:F,Data!H:H)</f>
        <v>CF</v>
      </c>
      <c r="F1502" s="106" t="str">
        <f>SUMIFS(Data!J:J,Data!F:F,A1502)</f>
        <v>1</v>
      </c>
      <c r="G1502" s="106" t="str">
        <f>SUMIFS(Cast!C:C,CastElements,A1502)</f>
        <v>0</v>
      </c>
      <c r="H1502" s="106" t="str">
        <f t="shared" si="4"/>
        <v>1</v>
      </c>
      <c r="I1502" s="106" t="str">
        <f>SUMIFS(Del!C:C,Del!B:B,A1502)</f>
        <v>0</v>
      </c>
      <c r="J1502" s="106" t="str">
        <f t="shared" si="5"/>
        <v>1</v>
      </c>
      <c r="K1502" s="106" t="str">
        <f t="shared" si="6"/>
        <v>0</v>
      </c>
      <c r="L1502" s="106"/>
      <c r="M1502" s="106" t="str">
        <f>SUMIFS(Ere!C:C,Ere!B:B,A1502)</f>
        <v>0</v>
      </c>
      <c r="N1502" s="106" t="str">
        <f t="shared" si="7"/>
        <v>1</v>
      </c>
      <c r="O1502" s="107" t="str">
        <f t="array" ref="O1502">XLOOKUP(A1502,Data!F:F,Data!O:O)</f>
        <v>  0.46 </v>
      </c>
      <c r="P1502" s="107" t="str">
        <f t="shared" si="8"/>
        <v>  1.15 </v>
      </c>
      <c r="Q1502" s="27"/>
    </row>
    <row r="1503" ht="15.75" customHeight="1">
      <c r="A1503" s="105" t="s">
        <v>1747</v>
      </c>
      <c r="B1503" s="19" t="str">
        <f t="array" ref="B1503">XLOOKUP(A1503,Data!F:F,Data!G:G)</f>
        <v>J1F</v>
      </c>
      <c r="C1503" s="19" t="str">
        <f t="shared" si="3"/>
        <v>J101</v>
      </c>
      <c r="D1503" s="19" t="str">
        <f t="array" ref="D1503">XLOOKUP(A1503,Data!F:F,Data!C:C)</f>
        <v>EXT</v>
      </c>
      <c r="E1503" s="19" t="str">
        <f t="array" ref="E1503">XLOOKUP(A1503,Data!F:F,Data!H:H)</f>
        <v/>
      </c>
      <c r="F1503" s="106" t="str">
        <f>SUMIFS(Data!J:J,Data!F:F,A1503)</f>
        <v>1</v>
      </c>
      <c r="G1503" s="106" t="str">
        <f>SUMIFS(Cast!C:C,CastElements,A1503)</f>
        <v>0</v>
      </c>
      <c r="H1503" s="106" t="str">
        <f t="shared" si="4"/>
        <v>1</v>
      </c>
      <c r="I1503" s="106" t="str">
        <f>SUMIFS(Del!C:C,Del!B:B,A1503)</f>
        <v>0</v>
      </c>
      <c r="J1503" s="106" t="str">
        <f t="shared" si="5"/>
        <v>1</v>
      </c>
      <c r="K1503" s="106" t="str">
        <f t="shared" si="6"/>
        <v>0</v>
      </c>
      <c r="L1503" s="106"/>
      <c r="M1503" s="106" t="str">
        <f>SUMIFS(Ere!C:C,Ere!B:B,A1503)</f>
        <v>0</v>
      </c>
      <c r="N1503" s="106" t="str">
        <f t="shared" si="7"/>
        <v>1</v>
      </c>
      <c r="O1503" s="107" t="str">
        <f t="array" ref="O1503">XLOOKUP(A1503,Data!F:F,Data!O:O)</f>
        <v>  1.14 </v>
      </c>
      <c r="P1503" s="107" t="str">
        <f t="shared" si="8"/>
        <v>  2.86 </v>
      </c>
      <c r="Q1503" s="27"/>
    </row>
    <row r="1504" ht="15.75" customHeight="1">
      <c r="A1504" s="105" t="s">
        <v>1748</v>
      </c>
      <c r="B1504" s="19" t="str">
        <f t="array" ref="B1504">XLOOKUP(A1504,Data!F:F,Data!G:G)</f>
        <v>J1F</v>
      </c>
      <c r="C1504" s="19" t="str">
        <f t="shared" si="3"/>
        <v>J101</v>
      </c>
      <c r="D1504" s="19" t="str">
        <f t="array" ref="D1504">XLOOKUP(A1504,Data!F:F,Data!C:C)</f>
        <v>EXT</v>
      </c>
      <c r="E1504" s="19" t="str">
        <f t="array" ref="E1504">XLOOKUP(A1504,Data!F:F,Data!H:H)</f>
        <v/>
      </c>
      <c r="F1504" s="106" t="str">
        <f>SUMIFS(Data!J:J,Data!F:F,A1504)</f>
        <v>1</v>
      </c>
      <c r="G1504" s="106" t="str">
        <f>SUMIFS(Cast!C:C,CastElements,A1504)</f>
        <v>0</v>
      </c>
      <c r="H1504" s="106" t="str">
        <f t="shared" si="4"/>
        <v>1</v>
      </c>
      <c r="I1504" s="106" t="str">
        <f>SUMIFS(Del!C:C,Del!B:B,A1504)</f>
        <v>0</v>
      </c>
      <c r="J1504" s="106" t="str">
        <f t="shared" si="5"/>
        <v>1</v>
      </c>
      <c r="K1504" s="106" t="str">
        <f t="shared" si="6"/>
        <v>0</v>
      </c>
      <c r="L1504" s="106"/>
      <c r="M1504" s="106" t="str">
        <f>SUMIFS(Ere!C:C,Ere!B:B,A1504)</f>
        <v>0</v>
      </c>
      <c r="N1504" s="106" t="str">
        <f t="shared" si="7"/>
        <v>1</v>
      </c>
      <c r="O1504" s="107" t="str">
        <f t="array" ref="O1504">XLOOKUP(A1504,Data!F:F,Data!O:O)</f>
        <v>  1.35 </v>
      </c>
      <c r="P1504" s="107" t="str">
        <f t="shared" si="8"/>
        <v>  3.37 </v>
      </c>
      <c r="Q1504" s="27"/>
    </row>
    <row r="1505" ht="15.75" customHeight="1">
      <c r="A1505" s="105" t="s">
        <v>1749</v>
      </c>
      <c r="B1505" s="19" t="str">
        <f t="array" ref="B1505">XLOOKUP(A1505,Data!F:F,Data!G:G)</f>
        <v>J1F</v>
      </c>
      <c r="C1505" s="19" t="str">
        <f t="shared" si="3"/>
        <v>J101</v>
      </c>
      <c r="D1505" s="19" t="str">
        <f t="array" ref="D1505">XLOOKUP(A1505,Data!F:F,Data!C:C)</f>
        <v>EXT</v>
      </c>
      <c r="E1505" s="19" t="str">
        <f t="array" ref="E1505">XLOOKUP(A1505,Data!F:F,Data!H:H)</f>
        <v/>
      </c>
      <c r="F1505" s="106" t="str">
        <f>SUMIFS(Data!J:J,Data!F:F,A1505)</f>
        <v>1</v>
      </c>
      <c r="G1505" s="106" t="str">
        <f>SUMIFS(Cast!C:C,CastElements,A1505)</f>
        <v>0</v>
      </c>
      <c r="H1505" s="106" t="str">
        <f t="shared" si="4"/>
        <v>1</v>
      </c>
      <c r="I1505" s="106" t="str">
        <f>SUMIFS(Del!C:C,Del!B:B,A1505)</f>
        <v>0</v>
      </c>
      <c r="J1505" s="106" t="str">
        <f t="shared" si="5"/>
        <v>1</v>
      </c>
      <c r="K1505" s="106" t="str">
        <f t="shared" si="6"/>
        <v>0</v>
      </c>
      <c r="L1505" s="106"/>
      <c r="M1505" s="106" t="str">
        <f>SUMIFS(Ere!C:C,Ere!B:B,A1505)</f>
        <v>0</v>
      </c>
      <c r="N1505" s="106" t="str">
        <f t="shared" si="7"/>
        <v>1</v>
      </c>
      <c r="O1505" s="107" t="str">
        <f t="array" ref="O1505">XLOOKUP(A1505,Data!F:F,Data!O:O)</f>
        <v>  1.76 </v>
      </c>
      <c r="P1505" s="107" t="str">
        <f t="shared" si="8"/>
        <v>  4.39 </v>
      </c>
      <c r="Q1505" s="27"/>
    </row>
    <row r="1506" ht="15.75" customHeight="1">
      <c r="A1506" s="105" t="s">
        <v>1750</v>
      </c>
      <c r="B1506" s="19" t="str">
        <f t="array" ref="B1506">XLOOKUP(A1506,Data!F:F,Data!G:G)</f>
        <v>J1F</v>
      </c>
      <c r="C1506" s="19" t="str">
        <f t="shared" si="3"/>
        <v>J101</v>
      </c>
      <c r="D1506" s="19" t="str">
        <f t="array" ref="D1506">XLOOKUP(A1506,Data!F:F,Data!C:C)</f>
        <v>EXT</v>
      </c>
      <c r="E1506" s="19" t="str">
        <f t="array" ref="E1506">XLOOKUP(A1506,Data!F:F,Data!H:H)</f>
        <v/>
      </c>
      <c r="F1506" s="106" t="str">
        <f>SUMIFS(Data!J:J,Data!F:F,A1506)</f>
        <v>1</v>
      </c>
      <c r="G1506" s="106" t="str">
        <f>SUMIFS(Cast!C:C,CastElements,A1506)</f>
        <v>0</v>
      </c>
      <c r="H1506" s="106" t="str">
        <f t="shared" si="4"/>
        <v>1</v>
      </c>
      <c r="I1506" s="106" t="str">
        <f>SUMIFS(Del!C:C,Del!B:B,A1506)</f>
        <v>0</v>
      </c>
      <c r="J1506" s="106" t="str">
        <f t="shared" si="5"/>
        <v>1</v>
      </c>
      <c r="K1506" s="106" t="str">
        <f t="shared" si="6"/>
        <v>0</v>
      </c>
      <c r="L1506" s="106"/>
      <c r="M1506" s="106" t="str">
        <f>SUMIFS(Ere!C:C,Ere!B:B,A1506)</f>
        <v>0</v>
      </c>
      <c r="N1506" s="106" t="str">
        <f t="shared" si="7"/>
        <v>1</v>
      </c>
      <c r="O1506" s="107" t="str">
        <f t="array" ref="O1506">XLOOKUP(A1506,Data!F:F,Data!O:O)</f>
        <v>  2.04 </v>
      </c>
      <c r="P1506" s="107" t="str">
        <f t="shared" si="8"/>
        <v>  5.10 </v>
      </c>
      <c r="Q1506" s="27"/>
    </row>
    <row r="1507" ht="15.75" customHeight="1">
      <c r="A1507" s="105" t="s">
        <v>1751</v>
      </c>
      <c r="B1507" s="19" t="str">
        <f t="array" ref="B1507">XLOOKUP(A1507,Data!F:F,Data!G:G)</f>
        <v>J1F</v>
      </c>
      <c r="C1507" s="19" t="str">
        <f t="shared" si="3"/>
        <v>J101</v>
      </c>
      <c r="D1507" s="19" t="str">
        <f t="array" ref="D1507">XLOOKUP(A1507,Data!F:F,Data!C:C)</f>
        <v/>
      </c>
      <c r="E1507" s="19" t="str">
        <f t="array" ref="E1507">XLOOKUP(A1507,Data!F:F,Data!H:H)</f>
        <v/>
      </c>
      <c r="F1507" s="106" t="str">
        <f>SUMIFS(Data!J:J,Data!F:F,A1507)</f>
        <v>1</v>
      </c>
      <c r="G1507" s="106" t="str">
        <f>SUMIFS(Cast!C:C,CastElements,A1507)</f>
        <v>0</v>
      </c>
      <c r="H1507" s="106" t="str">
        <f t="shared" si="4"/>
        <v>1</v>
      </c>
      <c r="I1507" s="106" t="str">
        <f>SUMIFS(Del!C:C,Del!B:B,A1507)</f>
        <v>0</v>
      </c>
      <c r="J1507" s="106" t="str">
        <f t="shared" si="5"/>
        <v>1</v>
      </c>
      <c r="K1507" s="106" t="str">
        <f t="shared" si="6"/>
        <v>0</v>
      </c>
      <c r="L1507" s="106"/>
      <c r="M1507" s="106" t="str">
        <f>SUMIFS(Ere!C:C,Ere!B:B,A1507)</f>
        <v>0</v>
      </c>
      <c r="N1507" s="106" t="str">
        <f t="shared" si="7"/>
        <v>1</v>
      </c>
      <c r="O1507" s="107" t="str">
        <f t="array" ref="O1507">XLOOKUP(A1507,Data!F:F,Data!O:O)</f>
        <v>  2.43 </v>
      </c>
      <c r="P1507" s="107" t="str">
        <f t="shared" si="8"/>
        <v>  6.07 </v>
      </c>
      <c r="Q1507" s="27"/>
    </row>
    <row r="1508" ht="15.75" customHeight="1">
      <c r="A1508" s="105" t="s">
        <v>1752</v>
      </c>
      <c r="B1508" s="19" t="str">
        <f t="array" ref="B1508">XLOOKUP(A1508,Data!F:F,Data!G:G)</f>
        <v>J1F</v>
      </c>
      <c r="C1508" s="19" t="str">
        <f t="shared" si="3"/>
        <v>J101</v>
      </c>
      <c r="D1508" s="19" t="str">
        <f t="array" ref="D1508">XLOOKUP(A1508,Data!F:F,Data!C:C)</f>
        <v/>
      </c>
      <c r="E1508" s="19" t="str">
        <f t="array" ref="E1508">XLOOKUP(A1508,Data!F:F,Data!H:H)</f>
        <v/>
      </c>
      <c r="F1508" s="106" t="str">
        <f>SUMIFS(Data!J:J,Data!F:F,A1508)</f>
        <v>1</v>
      </c>
      <c r="G1508" s="106" t="str">
        <f>SUMIFS(Cast!C:C,CastElements,A1508)</f>
        <v>0</v>
      </c>
      <c r="H1508" s="106" t="str">
        <f t="shared" si="4"/>
        <v>1</v>
      </c>
      <c r="I1508" s="106" t="str">
        <f>SUMIFS(Del!C:C,Del!B:B,A1508)</f>
        <v>0</v>
      </c>
      <c r="J1508" s="106" t="str">
        <f t="shared" si="5"/>
        <v>1</v>
      </c>
      <c r="K1508" s="106" t="str">
        <f t="shared" si="6"/>
        <v>0</v>
      </c>
      <c r="L1508" s="106"/>
      <c r="M1508" s="106" t="str">
        <f>SUMIFS(Ere!C:C,Ere!B:B,A1508)</f>
        <v>0</v>
      </c>
      <c r="N1508" s="106" t="str">
        <f t="shared" si="7"/>
        <v>1</v>
      </c>
      <c r="O1508" s="107" t="str">
        <f t="array" ref="O1508">XLOOKUP(A1508,Data!F:F,Data!O:O)</f>
        <v>  2.57 </v>
      </c>
      <c r="P1508" s="107" t="str">
        <f t="shared" si="8"/>
        <v>  6.43 </v>
      </c>
      <c r="Q1508" s="27"/>
    </row>
    <row r="1509" ht="15.75" customHeight="1">
      <c r="A1509" s="105" t="s">
        <v>1753</v>
      </c>
      <c r="B1509" s="19" t="str">
        <f t="array" ref="B1509">XLOOKUP(A1509,Data!F:F,Data!G:G)</f>
        <v>J1F</v>
      </c>
      <c r="C1509" s="19" t="str">
        <f t="shared" si="3"/>
        <v>J101</v>
      </c>
      <c r="D1509" s="19" t="str">
        <f t="array" ref="D1509">XLOOKUP(A1509,Data!F:F,Data!C:C)</f>
        <v/>
      </c>
      <c r="E1509" s="19" t="str">
        <f t="array" ref="E1509">XLOOKUP(A1509,Data!F:F,Data!H:H)</f>
        <v/>
      </c>
      <c r="F1509" s="106" t="str">
        <f>SUMIFS(Data!J:J,Data!F:F,A1509)</f>
        <v>1</v>
      </c>
      <c r="G1509" s="106" t="str">
        <f>SUMIFS(Cast!C:C,CastElements,A1509)</f>
        <v>0</v>
      </c>
      <c r="H1509" s="106" t="str">
        <f t="shared" si="4"/>
        <v>1</v>
      </c>
      <c r="I1509" s="106" t="str">
        <f>SUMIFS(Del!C:C,Del!B:B,A1509)</f>
        <v>0</v>
      </c>
      <c r="J1509" s="106" t="str">
        <f t="shared" si="5"/>
        <v>1</v>
      </c>
      <c r="K1509" s="106" t="str">
        <f t="shared" si="6"/>
        <v>0</v>
      </c>
      <c r="L1509" s="106"/>
      <c r="M1509" s="106" t="str">
        <f>SUMIFS(Ere!C:C,Ere!B:B,A1509)</f>
        <v>0</v>
      </c>
      <c r="N1509" s="106" t="str">
        <f t="shared" si="7"/>
        <v>1</v>
      </c>
      <c r="O1509" s="107" t="str">
        <f t="array" ref="O1509">XLOOKUP(A1509,Data!F:F,Data!O:O)</f>
        <v>  1.50 </v>
      </c>
      <c r="P1509" s="107" t="str">
        <f t="shared" si="8"/>
        <v>  3.74 </v>
      </c>
      <c r="Q1509" s="27"/>
    </row>
    <row r="1510" ht="15.75" customHeight="1">
      <c r="A1510" s="105" t="s">
        <v>1754</v>
      </c>
      <c r="B1510" s="19" t="str">
        <f t="array" ref="B1510">XLOOKUP(A1510,Data!F:F,Data!G:G)</f>
        <v>J1F</v>
      </c>
      <c r="C1510" s="19" t="str">
        <f t="shared" si="3"/>
        <v>J101</v>
      </c>
      <c r="D1510" s="19" t="str">
        <f t="array" ref="D1510">XLOOKUP(A1510,Data!F:F,Data!C:C)</f>
        <v/>
      </c>
      <c r="E1510" s="19" t="str">
        <f t="array" ref="E1510">XLOOKUP(A1510,Data!F:F,Data!H:H)</f>
        <v/>
      </c>
      <c r="F1510" s="106" t="str">
        <f>SUMIFS(Data!J:J,Data!F:F,A1510)</f>
        <v>1</v>
      </c>
      <c r="G1510" s="106" t="str">
        <f>SUMIFS(Cast!C:C,CastElements,A1510)</f>
        <v>0</v>
      </c>
      <c r="H1510" s="106" t="str">
        <f t="shared" si="4"/>
        <v>1</v>
      </c>
      <c r="I1510" s="106" t="str">
        <f>SUMIFS(Del!C:C,Del!B:B,A1510)</f>
        <v>0</v>
      </c>
      <c r="J1510" s="106" t="str">
        <f t="shared" si="5"/>
        <v>1</v>
      </c>
      <c r="K1510" s="106" t="str">
        <f t="shared" si="6"/>
        <v>0</v>
      </c>
      <c r="L1510" s="106"/>
      <c r="M1510" s="106" t="str">
        <f>SUMIFS(Ere!C:C,Ere!B:B,A1510)</f>
        <v>0</v>
      </c>
      <c r="N1510" s="106" t="str">
        <f t="shared" si="7"/>
        <v>1</v>
      </c>
      <c r="O1510" s="107" t="str">
        <f t="array" ref="O1510">XLOOKUP(A1510,Data!F:F,Data!O:O)</f>
        <v>  1.65 </v>
      </c>
      <c r="P1510" s="107" t="str">
        <f t="shared" si="8"/>
        <v>  4.12 </v>
      </c>
      <c r="Q1510" s="27"/>
    </row>
    <row r="1511" ht="15.75" customHeight="1">
      <c r="A1511" s="105" t="s">
        <v>1755</v>
      </c>
      <c r="B1511" s="19" t="str">
        <f t="array" ref="B1511">XLOOKUP(A1511,Data!F:F,Data!G:G)</f>
        <v>J1F</v>
      </c>
      <c r="C1511" s="19" t="str">
        <f t="shared" si="3"/>
        <v>J101</v>
      </c>
      <c r="D1511" s="19" t="str">
        <f t="array" ref="D1511">XLOOKUP(A1511,Data!F:F,Data!C:C)</f>
        <v/>
      </c>
      <c r="E1511" s="19" t="str">
        <f t="array" ref="E1511">XLOOKUP(A1511,Data!F:F,Data!H:H)</f>
        <v/>
      </c>
      <c r="F1511" s="106" t="str">
        <f>SUMIFS(Data!J:J,Data!F:F,A1511)</f>
        <v>1</v>
      </c>
      <c r="G1511" s="106" t="str">
        <f>SUMIFS(Cast!C:C,CastElements,A1511)</f>
        <v>0</v>
      </c>
      <c r="H1511" s="106" t="str">
        <f t="shared" si="4"/>
        <v>1</v>
      </c>
      <c r="I1511" s="106" t="str">
        <f>SUMIFS(Del!C:C,Del!B:B,A1511)</f>
        <v>0</v>
      </c>
      <c r="J1511" s="106" t="str">
        <f t="shared" si="5"/>
        <v>1</v>
      </c>
      <c r="K1511" s="106" t="str">
        <f t="shared" si="6"/>
        <v>0</v>
      </c>
      <c r="L1511" s="106"/>
      <c r="M1511" s="106" t="str">
        <f>SUMIFS(Ere!C:C,Ere!B:B,A1511)</f>
        <v>0</v>
      </c>
      <c r="N1511" s="106" t="str">
        <f t="shared" si="7"/>
        <v>1</v>
      </c>
      <c r="O1511" s="107" t="str">
        <f t="array" ref="O1511">XLOOKUP(A1511,Data!F:F,Data!O:O)</f>
        <v>  2.00 </v>
      </c>
      <c r="P1511" s="107" t="str">
        <f t="shared" si="8"/>
        <v>  5.00 </v>
      </c>
      <c r="Q1511" s="27"/>
    </row>
    <row r="1512" ht="15.75" customHeight="1">
      <c r="A1512" s="105" t="s">
        <v>1756</v>
      </c>
      <c r="B1512" s="19" t="str">
        <f t="array" ref="B1512">XLOOKUP(A1512,Data!F:F,Data!G:G)</f>
        <v>J1F</v>
      </c>
      <c r="C1512" s="19" t="str">
        <f t="shared" si="3"/>
        <v>J101</v>
      </c>
      <c r="D1512" s="19" t="str">
        <f t="array" ref="D1512">XLOOKUP(A1512,Data!F:F,Data!C:C)</f>
        <v/>
      </c>
      <c r="E1512" s="19" t="str">
        <f t="array" ref="E1512">XLOOKUP(A1512,Data!F:F,Data!H:H)</f>
        <v/>
      </c>
      <c r="F1512" s="106" t="str">
        <f>SUMIFS(Data!J:J,Data!F:F,A1512)</f>
        <v>1</v>
      </c>
      <c r="G1512" s="106" t="str">
        <f>SUMIFS(Cast!C:C,CastElements,A1512)</f>
        <v>0</v>
      </c>
      <c r="H1512" s="106" t="str">
        <f t="shared" si="4"/>
        <v>1</v>
      </c>
      <c r="I1512" s="106" t="str">
        <f>SUMIFS(Del!C:C,Del!B:B,A1512)</f>
        <v>0</v>
      </c>
      <c r="J1512" s="106" t="str">
        <f t="shared" si="5"/>
        <v>1</v>
      </c>
      <c r="K1512" s="106" t="str">
        <f t="shared" si="6"/>
        <v>0</v>
      </c>
      <c r="L1512" s="106"/>
      <c r="M1512" s="106" t="str">
        <f>SUMIFS(Ere!C:C,Ere!B:B,A1512)</f>
        <v>0</v>
      </c>
      <c r="N1512" s="106" t="str">
        <f t="shared" si="7"/>
        <v>1</v>
      </c>
      <c r="O1512" s="107" t="str">
        <f t="array" ref="O1512">XLOOKUP(A1512,Data!F:F,Data!O:O)</f>
        <v>  2.01 </v>
      </c>
      <c r="P1512" s="107" t="str">
        <f t="shared" si="8"/>
        <v>  5.04 </v>
      </c>
      <c r="Q1512" s="27"/>
    </row>
    <row r="1513" ht="15.75" customHeight="1">
      <c r="A1513" s="105" t="s">
        <v>1757</v>
      </c>
      <c r="B1513" s="19" t="str">
        <f t="array" ref="B1513">XLOOKUP(A1513,Data!F:F,Data!G:G)</f>
        <v>J1F</v>
      </c>
      <c r="C1513" s="19" t="str">
        <f t="shared" si="3"/>
        <v>J101</v>
      </c>
      <c r="D1513" s="19" t="str">
        <f t="array" ref="D1513">XLOOKUP(A1513,Data!F:F,Data!C:C)</f>
        <v/>
      </c>
      <c r="E1513" s="19" t="str">
        <f t="array" ref="E1513">XLOOKUP(A1513,Data!F:F,Data!H:H)</f>
        <v/>
      </c>
      <c r="F1513" s="106" t="str">
        <f>SUMIFS(Data!J:J,Data!F:F,A1513)</f>
        <v>1</v>
      </c>
      <c r="G1513" s="106" t="str">
        <f>SUMIFS(Cast!C:C,CastElements,A1513)</f>
        <v>1</v>
      </c>
      <c r="H1513" s="106" t="str">
        <f t="shared" si="4"/>
        <v>0</v>
      </c>
      <c r="I1513" s="106" t="str">
        <f>SUMIFS(Del!C:C,Del!B:B,A1513)</f>
        <v>0</v>
      </c>
      <c r="J1513" s="106" t="str">
        <f t="shared" si="5"/>
        <v>1</v>
      </c>
      <c r="K1513" s="106" t="str">
        <f t="shared" si="6"/>
        <v>1</v>
      </c>
      <c r="L1513" s="106"/>
      <c r="M1513" s="106" t="str">
        <f>SUMIFS(Ere!C:C,Ere!B:B,A1513)</f>
        <v>0</v>
      </c>
      <c r="N1513" s="106" t="str">
        <f t="shared" si="7"/>
        <v>1</v>
      </c>
      <c r="O1513" s="107" t="str">
        <f t="array" ref="O1513">XLOOKUP(A1513,Data!F:F,Data!O:O)</f>
        <v>  2.38 </v>
      </c>
      <c r="P1513" s="107" t="str">
        <f t="shared" si="8"/>
        <v>  5.96 </v>
      </c>
      <c r="Q1513" s="27"/>
    </row>
    <row r="1514" ht="15.75" customHeight="1">
      <c r="A1514" s="105" t="s">
        <v>1758</v>
      </c>
      <c r="B1514" s="19" t="str">
        <f t="array" ref="B1514">XLOOKUP(A1514,Data!F:F,Data!G:G)</f>
        <v>J1F</v>
      </c>
      <c r="C1514" s="19" t="str">
        <f t="shared" si="3"/>
        <v>J101</v>
      </c>
      <c r="D1514" s="19" t="str">
        <f t="array" ref="D1514">XLOOKUP(A1514,Data!F:F,Data!C:C)</f>
        <v/>
      </c>
      <c r="E1514" s="19" t="str">
        <f t="array" ref="E1514">XLOOKUP(A1514,Data!F:F,Data!H:H)</f>
        <v/>
      </c>
      <c r="F1514" s="106" t="str">
        <f>SUMIFS(Data!J:J,Data!F:F,A1514)</f>
        <v>1</v>
      </c>
      <c r="G1514" s="106" t="str">
        <f>SUMIFS(Cast!C:C,CastElements,A1514)</f>
        <v>1</v>
      </c>
      <c r="H1514" s="106" t="str">
        <f t="shared" si="4"/>
        <v>0</v>
      </c>
      <c r="I1514" s="106" t="str">
        <f>SUMIFS(Del!C:C,Del!B:B,A1514)</f>
        <v>0</v>
      </c>
      <c r="J1514" s="106" t="str">
        <f t="shared" si="5"/>
        <v>1</v>
      </c>
      <c r="K1514" s="106" t="str">
        <f t="shared" si="6"/>
        <v>1</v>
      </c>
      <c r="L1514" s="106"/>
      <c r="M1514" s="106" t="str">
        <f>SUMIFS(Ere!C:C,Ere!B:B,A1514)</f>
        <v>0</v>
      </c>
      <c r="N1514" s="106" t="str">
        <f t="shared" si="7"/>
        <v>1</v>
      </c>
      <c r="O1514" s="107" t="str">
        <f t="array" ref="O1514">XLOOKUP(A1514,Data!F:F,Data!O:O)</f>
        <v>  2.38 </v>
      </c>
      <c r="P1514" s="107" t="str">
        <f t="shared" si="8"/>
        <v>  5.95 </v>
      </c>
      <c r="Q1514" s="27"/>
    </row>
    <row r="1515" ht="15.75" customHeight="1">
      <c r="A1515" s="105" t="s">
        <v>1759</v>
      </c>
      <c r="B1515" s="19" t="str">
        <f t="array" ref="B1515">XLOOKUP(A1515,Data!F:F,Data!G:G)</f>
        <v>J1F</v>
      </c>
      <c r="C1515" s="19" t="str">
        <f t="shared" si="3"/>
        <v>J101</v>
      </c>
      <c r="D1515" s="19" t="str">
        <f t="array" ref="D1515">XLOOKUP(A1515,Data!F:F,Data!C:C)</f>
        <v/>
      </c>
      <c r="E1515" s="19" t="str">
        <f t="array" ref="E1515">XLOOKUP(A1515,Data!F:F,Data!H:H)</f>
        <v/>
      </c>
      <c r="F1515" s="106" t="str">
        <f>SUMIFS(Data!J:J,Data!F:F,A1515)</f>
        <v>1</v>
      </c>
      <c r="G1515" s="106" t="str">
        <f>SUMIFS(Cast!C:C,CastElements,A1515)</f>
        <v>1</v>
      </c>
      <c r="H1515" s="106" t="str">
        <f t="shared" si="4"/>
        <v>0</v>
      </c>
      <c r="I1515" s="106" t="str">
        <f>SUMIFS(Del!C:C,Del!B:B,A1515)</f>
        <v>0</v>
      </c>
      <c r="J1515" s="106" t="str">
        <f t="shared" si="5"/>
        <v>1</v>
      </c>
      <c r="K1515" s="106" t="str">
        <f t="shared" si="6"/>
        <v>1</v>
      </c>
      <c r="L1515" s="106"/>
      <c r="M1515" s="106" t="str">
        <f>SUMIFS(Ere!C:C,Ere!B:B,A1515)</f>
        <v>0</v>
      </c>
      <c r="N1515" s="106" t="str">
        <f t="shared" si="7"/>
        <v>1</v>
      </c>
      <c r="O1515" s="107" t="str">
        <f t="array" ref="O1515">XLOOKUP(A1515,Data!F:F,Data!O:O)</f>
        <v>  2.38 </v>
      </c>
      <c r="P1515" s="107" t="str">
        <f t="shared" si="8"/>
        <v>  5.95 </v>
      </c>
      <c r="Q1515" s="27"/>
    </row>
    <row r="1516" ht="15.75" customHeight="1">
      <c r="A1516" s="105" t="s">
        <v>1760</v>
      </c>
      <c r="B1516" s="19" t="str">
        <f t="array" ref="B1516">XLOOKUP(A1516,Data!F:F,Data!G:G)</f>
        <v>J1F</v>
      </c>
      <c r="C1516" s="19" t="str">
        <f t="shared" si="3"/>
        <v>J101</v>
      </c>
      <c r="D1516" s="19" t="str">
        <f t="array" ref="D1516">XLOOKUP(A1516,Data!F:F,Data!C:C)</f>
        <v/>
      </c>
      <c r="E1516" s="19" t="str">
        <f t="array" ref="E1516">XLOOKUP(A1516,Data!F:F,Data!H:H)</f>
        <v/>
      </c>
      <c r="F1516" s="106" t="str">
        <f>SUMIFS(Data!J:J,Data!F:F,A1516)</f>
        <v>1</v>
      </c>
      <c r="G1516" s="106" t="str">
        <f>SUMIFS(Cast!C:C,CastElements,A1516)</f>
        <v>0</v>
      </c>
      <c r="H1516" s="106" t="str">
        <f t="shared" si="4"/>
        <v>1</v>
      </c>
      <c r="I1516" s="106" t="str">
        <f>SUMIFS(Del!C:C,Del!B:B,A1516)</f>
        <v>0</v>
      </c>
      <c r="J1516" s="106" t="str">
        <f t="shared" si="5"/>
        <v>1</v>
      </c>
      <c r="K1516" s="106" t="str">
        <f t="shared" si="6"/>
        <v>0</v>
      </c>
      <c r="L1516" s="106"/>
      <c r="M1516" s="106" t="str">
        <f>SUMIFS(Ere!C:C,Ere!B:B,A1516)</f>
        <v>0</v>
      </c>
      <c r="N1516" s="106" t="str">
        <f t="shared" si="7"/>
        <v>1</v>
      </c>
      <c r="O1516" s="107" t="str">
        <f t="array" ref="O1516">XLOOKUP(A1516,Data!F:F,Data!O:O)</f>
        <v>  2.04 </v>
      </c>
      <c r="P1516" s="107" t="str">
        <f t="shared" si="8"/>
        <v>  5.11 </v>
      </c>
      <c r="Q1516" s="27"/>
    </row>
    <row r="1517" ht="15.75" customHeight="1">
      <c r="A1517" s="105" t="s">
        <v>1761</v>
      </c>
      <c r="B1517" s="19" t="str">
        <f t="array" ref="B1517">XLOOKUP(A1517,Data!F:F,Data!G:G)</f>
        <v>J1F</v>
      </c>
      <c r="C1517" s="19" t="str">
        <f t="shared" si="3"/>
        <v>J101</v>
      </c>
      <c r="D1517" s="19" t="str">
        <f t="array" ref="D1517">XLOOKUP(A1517,Data!F:F,Data!C:C)</f>
        <v/>
      </c>
      <c r="E1517" s="19" t="str">
        <f t="array" ref="E1517">XLOOKUP(A1517,Data!F:F,Data!H:H)</f>
        <v>BW</v>
      </c>
      <c r="F1517" s="106" t="str">
        <f>SUMIFS(Data!J:J,Data!F:F,A1517)</f>
        <v>1</v>
      </c>
      <c r="G1517" s="106" t="str">
        <f>SUMIFS(Cast!C:C,CastElements,A1517)</f>
        <v>1</v>
      </c>
      <c r="H1517" s="106" t="str">
        <f t="shared" si="4"/>
        <v>0</v>
      </c>
      <c r="I1517" s="106" t="str">
        <f>SUMIFS(Del!C:C,Del!B:B,A1517)</f>
        <v>0</v>
      </c>
      <c r="J1517" s="106" t="str">
        <f t="shared" si="5"/>
        <v>1</v>
      </c>
      <c r="K1517" s="106" t="str">
        <f t="shared" si="6"/>
        <v>1</v>
      </c>
      <c r="L1517" s="106"/>
      <c r="M1517" s="106" t="str">
        <f>SUMIFS(Ere!C:C,Ere!B:B,A1517)</f>
        <v>0</v>
      </c>
      <c r="N1517" s="106" t="str">
        <f t="shared" si="7"/>
        <v>1</v>
      </c>
      <c r="O1517" s="107" t="str">
        <f t="array" ref="O1517">XLOOKUP(A1517,Data!F:F,Data!O:O)</f>
        <v>  2.16 </v>
      </c>
      <c r="P1517" s="107" t="str">
        <f t="shared" si="8"/>
        <v>  5.40 </v>
      </c>
      <c r="Q1517" s="27"/>
    </row>
    <row r="1518" ht="15.75" customHeight="1">
      <c r="A1518" s="105" t="s">
        <v>1762</v>
      </c>
      <c r="B1518" s="19" t="str">
        <f t="array" ref="B1518">XLOOKUP(A1518,Data!F:F,Data!G:G)</f>
        <v>J1F</v>
      </c>
      <c r="C1518" s="19" t="str">
        <f t="shared" si="3"/>
        <v>J101</v>
      </c>
      <c r="D1518" s="19" t="str">
        <f t="array" ref="D1518">XLOOKUP(A1518,Data!F:F,Data!C:C)</f>
        <v/>
      </c>
      <c r="E1518" s="19" t="str">
        <f t="array" ref="E1518">XLOOKUP(A1518,Data!F:F,Data!H:H)</f>
        <v/>
      </c>
      <c r="F1518" s="106" t="str">
        <f>SUMIFS(Data!J:J,Data!F:F,A1518)</f>
        <v>1</v>
      </c>
      <c r="G1518" s="106" t="str">
        <f>SUMIFS(Cast!C:C,CastElements,A1518)</f>
        <v>0</v>
      </c>
      <c r="H1518" s="106" t="str">
        <f t="shared" si="4"/>
        <v>1</v>
      </c>
      <c r="I1518" s="106" t="str">
        <f>SUMIFS(Del!C:C,Del!B:B,A1518)</f>
        <v>0</v>
      </c>
      <c r="J1518" s="106" t="str">
        <f t="shared" si="5"/>
        <v>1</v>
      </c>
      <c r="K1518" s="106" t="str">
        <f t="shared" si="6"/>
        <v>0</v>
      </c>
      <c r="L1518" s="106"/>
      <c r="M1518" s="106" t="str">
        <f>SUMIFS(Ere!C:C,Ere!B:B,A1518)</f>
        <v>0</v>
      </c>
      <c r="N1518" s="106" t="str">
        <f t="shared" si="7"/>
        <v>1</v>
      </c>
      <c r="O1518" s="107" t="str">
        <f t="array" ref="O1518">XLOOKUP(A1518,Data!F:F,Data!O:O)</f>
        <v>  0.87 </v>
      </c>
      <c r="P1518" s="107" t="str">
        <f t="shared" si="8"/>
        <v>  2.18 </v>
      </c>
      <c r="Q1518" s="27"/>
    </row>
    <row r="1519" ht="15.75" customHeight="1">
      <c r="A1519" s="105" t="s">
        <v>1763</v>
      </c>
      <c r="B1519" s="19" t="str">
        <f t="array" ref="B1519">XLOOKUP(A1519,Data!F:F,Data!G:G)</f>
        <v>J1F</v>
      </c>
      <c r="C1519" s="19" t="str">
        <f t="shared" si="3"/>
        <v>J101</v>
      </c>
      <c r="D1519" s="19" t="str">
        <f t="array" ref="D1519">XLOOKUP(A1519,Data!F:F,Data!C:C)</f>
        <v/>
      </c>
      <c r="E1519" s="19" t="str">
        <f t="array" ref="E1519">XLOOKUP(A1519,Data!F:F,Data!H:H)</f>
        <v/>
      </c>
      <c r="F1519" s="106" t="str">
        <f>SUMIFS(Data!J:J,Data!F:F,A1519)</f>
        <v>1</v>
      </c>
      <c r="G1519" s="106" t="str">
        <f>SUMIFS(Cast!C:C,CastElements,A1519)</f>
        <v>0</v>
      </c>
      <c r="H1519" s="106" t="str">
        <f t="shared" si="4"/>
        <v>1</v>
      </c>
      <c r="I1519" s="106" t="str">
        <f>SUMIFS(Del!C:C,Del!B:B,A1519)</f>
        <v>0</v>
      </c>
      <c r="J1519" s="106" t="str">
        <f t="shared" si="5"/>
        <v>1</v>
      </c>
      <c r="K1519" s="106" t="str">
        <f t="shared" si="6"/>
        <v>0</v>
      </c>
      <c r="L1519" s="106"/>
      <c r="M1519" s="106" t="str">
        <f>SUMIFS(Ere!C:C,Ere!B:B,A1519)</f>
        <v>0</v>
      </c>
      <c r="N1519" s="106" t="str">
        <f t="shared" si="7"/>
        <v>1</v>
      </c>
      <c r="O1519" s="107" t="str">
        <f t="array" ref="O1519">XLOOKUP(A1519,Data!F:F,Data!O:O)</f>
        <v>  0.55 </v>
      </c>
      <c r="P1519" s="107" t="str">
        <f t="shared" si="8"/>
        <v>  1.38 </v>
      </c>
      <c r="Q1519" s="27"/>
    </row>
    <row r="1520" ht="15.75" customHeight="1">
      <c r="A1520" s="105" t="s">
        <v>1764</v>
      </c>
      <c r="B1520" s="19" t="str">
        <f t="array" ref="B1520">XLOOKUP(A1520,Data!F:F,Data!G:G)</f>
        <v>J1F</v>
      </c>
      <c r="C1520" s="19" t="str">
        <f t="shared" si="3"/>
        <v>J101</v>
      </c>
      <c r="D1520" s="19" t="str">
        <f t="array" ref="D1520">XLOOKUP(A1520,Data!F:F,Data!C:C)</f>
        <v/>
      </c>
      <c r="E1520" s="19" t="str">
        <f t="array" ref="E1520">XLOOKUP(A1520,Data!F:F,Data!H:H)</f>
        <v/>
      </c>
      <c r="F1520" s="106" t="str">
        <f>SUMIFS(Data!J:J,Data!F:F,A1520)</f>
        <v>1</v>
      </c>
      <c r="G1520" s="106" t="str">
        <f>SUMIFS(Cast!C:C,CastElements,A1520)</f>
        <v>1</v>
      </c>
      <c r="H1520" s="106" t="str">
        <f t="shared" si="4"/>
        <v>0</v>
      </c>
      <c r="I1520" s="106" t="str">
        <f>SUMIFS(Del!C:C,Del!B:B,A1520)</f>
        <v>0</v>
      </c>
      <c r="J1520" s="106" t="str">
        <f t="shared" si="5"/>
        <v>1</v>
      </c>
      <c r="K1520" s="106" t="str">
        <f t="shared" si="6"/>
        <v>1</v>
      </c>
      <c r="L1520" s="106"/>
      <c r="M1520" s="106" t="str">
        <f>SUMIFS(Ere!C:C,Ere!B:B,A1520)</f>
        <v>0</v>
      </c>
      <c r="N1520" s="106" t="str">
        <f t="shared" si="7"/>
        <v>1</v>
      </c>
      <c r="O1520" s="107" t="str">
        <f t="array" ref="O1520">XLOOKUP(A1520,Data!F:F,Data!O:O)</f>
        <v>  0.47 </v>
      </c>
      <c r="P1520" s="107" t="str">
        <f t="shared" si="8"/>
        <v>  1.18 </v>
      </c>
      <c r="Q1520" s="27"/>
    </row>
    <row r="1521" ht="15.75" customHeight="1">
      <c r="A1521" s="105" t="s">
        <v>1765</v>
      </c>
      <c r="B1521" s="19" t="str">
        <f t="array" ref="B1521">XLOOKUP(A1521,Data!F:F,Data!G:G)</f>
        <v>J1F</v>
      </c>
      <c r="C1521" s="19" t="str">
        <f t="shared" si="3"/>
        <v>J101</v>
      </c>
      <c r="D1521" s="19" t="str">
        <f t="array" ref="D1521">XLOOKUP(A1521,Data!F:F,Data!C:C)</f>
        <v/>
      </c>
      <c r="E1521" s="19" t="str">
        <f t="array" ref="E1521">XLOOKUP(A1521,Data!F:F,Data!H:H)</f>
        <v/>
      </c>
      <c r="F1521" s="106" t="str">
        <f>SUMIFS(Data!J:J,Data!F:F,A1521)</f>
        <v>1</v>
      </c>
      <c r="G1521" s="106" t="str">
        <f>SUMIFS(Cast!C:C,CastElements,A1521)</f>
        <v>0</v>
      </c>
      <c r="H1521" s="106" t="str">
        <f t="shared" si="4"/>
        <v>1</v>
      </c>
      <c r="I1521" s="106" t="str">
        <f>SUMIFS(Del!C:C,Del!B:B,A1521)</f>
        <v>0</v>
      </c>
      <c r="J1521" s="106" t="str">
        <f t="shared" si="5"/>
        <v>1</v>
      </c>
      <c r="K1521" s="106" t="str">
        <f t="shared" si="6"/>
        <v>0</v>
      </c>
      <c r="L1521" s="106"/>
      <c r="M1521" s="106" t="str">
        <f>SUMIFS(Ere!C:C,Ere!B:B,A1521)</f>
        <v>0</v>
      </c>
      <c r="N1521" s="106" t="str">
        <f t="shared" si="7"/>
        <v>1</v>
      </c>
      <c r="O1521" s="107" t="str">
        <f t="array" ref="O1521">XLOOKUP(A1521,Data!F:F,Data!O:O)</f>
        <v>  0.58 </v>
      </c>
      <c r="P1521" s="107" t="str">
        <f t="shared" si="8"/>
        <v>  1.46 </v>
      </c>
      <c r="Q1521" s="27"/>
    </row>
    <row r="1522" ht="15.75" customHeight="1">
      <c r="A1522" s="105" t="s">
        <v>1766</v>
      </c>
      <c r="B1522" s="19" t="str">
        <f t="array" ref="B1522">XLOOKUP(A1522,Data!F:F,Data!G:G)</f>
        <v>J1F</v>
      </c>
      <c r="C1522" s="19" t="str">
        <f t="shared" si="3"/>
        <v>J102</v>
      </c>
      <c r="D1522" s="19" t="str">
        <f t="array" ref="D1522">XLOOKUP(A1522,Data!F:F,Data!C:C)</f>
        <v/>
      </c>
      <c r="E1522" s="19" t="str">
        <f t="array" ref="E1522">XLOOKUP(A1522,Data!F:F,Data!H:H)</f>
        <v/>
      </c>
      <c r="F1522" s="106" t="str">
        <f>SUMIFS(Data!J:J,Data!F:F,A1522)</f>
        <v>1</v>
      </c>
      <c r="G1522" s="106" t="str">
        <f>SUMIFS(Cast!C:C,CastElements,A1522)</f>
        <v>0</v>
      </c>
      <c r="H1522" s="106" t="str">
        <f t="shared" si="4"/>
        <v>1</v>
      </c>
      <c r="I1522" s="106" t="str">
        <f>SUMIFS(Del!C:C,Del!B:B,A1522)</f>
        <v>0</v>
      </c>
      <c r="J1522" s="106" t="str">
        <f t="shared" si="5"/>
        <v>1</v>
      </c>
      <c r="K1522" s="106" t="str">
        <f t="shared" si="6"/>
        <v>0</v>
      </c>
      <c r="L1522" s="106"/>
      <c r="M1522" s="106" t="str">
        <f>SUMIFS(Ere!C:C,Ere!B:B,A1522)</f>
        <v>0</v>
      </c>
      <c r="N1522" s="106" t="str">
        <f t="shared" si="7"/>
        <v>1</v>
      </c>
      <c r="O1522" s="107" t="str">
        <f t="array" ref="O1522">XLOOKUP(A1522,Data!F:F,Data!O:O)</f>
        <v>  0.43 </v>
      </c>
      <c r="P1522" s="107" t="str">
        <f t="shared" si="8"/>
        <v>  1.09 </v>
      </c>
      <c r="Q1522" s="27"/>
    </row>
    <row r="1523" ht="15.75" customHeight="1">
      <c r="A1523" s="105" t="s">
        <v>1767</v>
      </c>
      <c r="B1523" s="19" t="str">
        <f t="array" ref="B1523">XLOOKUP(A1523,Data!F:F,Data!G:G)</f>
        <v>J1F</v>
      </c>
      <c r="C1523" s="19" t="str">
        <f t="shared" si="3"/>
        <v>J102</v>
      </c>
      <c r="D1523" s="19" t="str">
        <f t="array" ref="D1523">XLOOKUP(A1523,Data!F:F,Data!C:C)</f>
        <v/>
      </c>
      <c r="E1523" s="19" t="str">
        <f t="array" ref="E1523">XLOOKUP(A1523,Data!F:F,Data!H:H)</f>
        <v/>
      </c>
      <c r="F1523" s="106" t="str">
        <f>SUMIFS(Data!J:J,Data!F:F,A1523)</f>
        <v>1</v>
      </c>
      <c r="G1523" s="106" t="str">
        <f>SUMIFS(Cast!C:C,CastElements,A1523)</f>
        <v>0</v>
      </c>
      <c r="H1523" s="106" t="str">
        <f t="shared" si="4"/>
        <v>1</v>
      </c>
      <c r="I1523" s="106" t="str">
        <f>SUMIFS(Del!C:C,Del!B:B,A1523)</f>
        <v>0</v>
      </c>
      <c r="J1523" s="106" t="str">
        <f t="shared" si="5"/>
        <v>1</v>
      </c>
      <c r="K1523" s="106" t="str">
        <f t="shared" si="6"/>
        <v>0</v>
      </c>
      <c r="L1523" s="106"/>
      <c r="M1523" s="106" t="str">
        <f>SUMIFS(Ere!C:C,Ere!B:B,A1523)</f>
        <v>0</v>
      </c>
      <c r="N1523" s="106" t="str">
        <f t="shared" si="7"/>
        <v>1</v>
      </c>
      <c r="O1523" s="107" t="str">
        <f t="array" ref="O1523">XLOOKUP(A1523,Data!F:F,Data!O:O)</f>
        <v>  0.53 </v>
      </c>
      <c r="P1523" s="107" t="str">
        <f t="shared" si="8"/>
        <v>  1.33 </v>
      </c>
      <c r="Q1523" s="27"/>
    </row>
    <row r="1524" ht="15.75" customHeight="1">
      <c r="A1524" s="105" t="s">
        <v>1768</v>
      </c>
      <c r="B1524" s="19" t="str">
        <f t="array" ref="B1524">XLOOKUP(A1524,Data!F:F,Data!G:G)</f>
        <v>J1F</v>
      </c>
      <c r="C1524" s="19" t="str">
        <f t="shared" si="3"/>
        <v>J102</v>
      </c>
      <c r="D1524" s="19" t="str">
        <f t="array" ref="D1524">XLOOKUP(A1524,Data!F:F,Data!C:C)</f>
        <v/>
      </c>
      <c r="E1524" s="19" t="str">
        <f t="array" ref="E1524">XLOOKUP(A1524,Data!F:F,Data!H:H)</f>
        <v/>
      </c>
      <c r="F1524" s="106" t="str">
        <f>SUMIFS(Data!J:J,Data!F:F,A1524)</f>
        <v>1</v>
      </c>
      <c r="G1524" s="106" t="str">
        <f>SUMIFS(Cast!C:C,CastElements,A1524)</f>
        <v>0</v>
      </c>
      <c r="H1524" s="106" t="str">
        <f t="shared" si="4"/>
        <v>1</v>
      </c>
      <c r="I1524" s="106" t="str">
        <f>SUMIFS(Del!C:C,Del!B:B,A1524)</f>
        <v>0</v>
      </c>
      <c r="J1524" s="106" t="str">
        <f t="shared" si="5"/>
        <v>1</v>
      </c>
      <c r="K1524" s="106" t="str">
        <f t="shared" si="6"/>
        <v>0</v>
      </c>
      <c r="L1524" s="106"/>
      <c r="M1524" s="106" t="str">
        <f>SUMIFS(Ere!C:C,Ere!B:B,A1524)</f>
        <v>0</v>
      </c>
      <c r="N1524" s="106" t="str">
        <f t="shared" si="7"/>
        <v>1</v>
      </c>
      <c r="O1524" s="107" t="str">
        <f t="array" ref="O1524">XLOOKUP(A1524,Data!F:F,Data!O:O)</f>
        <v>  0.53 </v>
      </c>
      <c r="P1524" s="107" t="str">
        <f t="shared" si="8"/>
        <v>  1.33 </v>
      </c>
      <c r="Q1524" s="27"/>
    </row>
    <row r="1525" ht="15.75" customHeight="1">
      <c r="A1525" s="105" t="s">
        <v>1769</v>
      </c>
      <c r="B1525" s="19" t="str">
        <f t="array" ref="B1525">XLOOKUP(A1525,Data!F:F,Data!G:G)</f>
        <v>J1F</v>
      </c>
      <c r="C1525" s="19" t="str">
        <f t="shared" si="3"/>
        <v>J102</v>
      </c>
      <c r="D1525" s="19" t="str">
        <f t="array" ref="D1525">XLOOKUP(A1525,Data!F:F,Data!C:C)</f>
        <v/>
      </c>
      <c r="E1525" s="19" t="str">
        <f t="array" ref="E1525">XLOOKUP(A1525,Data!F:F,Data!H:H)</f>
        <v/>
      </c>
      <c r="F1525" s="106" t="str">
        <f>SUMIFS(Data!J:J,Data!F:F,A1525)</f>
        <v>1</v>
      </c>
      <c r="G1525" s="106" t="str">
        <f>SUMIFS(Cast!C:C,CastElements,A1525)</f>
        <v>0</v>
      </c>
      <c r="H1525" s="106" t="str">
        <f t="shared" si="4"/>
        <v>1</v>
      </c>
      <c r="I1525" s="106" t="str">
        <f>SUMIFS(Del!C:C,Del!B:B,A1525)</f>
        <v>0</v>
      </c>
      <c r="J1525" s="106" t="str">
        <f t="shared" si="5"/>
        <v>1</v>
      </c>
      <c r="K1525" s="106" t="str">
        <f t="shared" si="6"/>
        <v>0</v>
      </c>
      <c r="L1525" s="106"/>
      <c r="M1525" s="106" t="str">
        <f>SUMIFS(Ere!C:C,Ere!B:B,A1525)</f>
        <v>0</v>
      </c>
      <c r="N1525" s="106" t="str">
        <f t="shared" si="7"/>
        <v>1</v>
      </c>
      <c r="O1525" s="107" t="str">
        <f t="array" ref="O1525">XLOOKUP(A1525,Data!F:F,Data!O:O)</f>
        <v>  0.50 </v>
      </c>
      <c r="P1525" s="107" t="str">
        <f t="shared" si="8"/>
        <v>  1.26 </v>
      </c>
      <c r="Q1525" s="27"/>
    </row>
    <row r="1526" ht="15.75" customHeight="1">
      <c r="A1526" s="105" t="s">
        <v>1770</v>
      </c>
      <c r="B1526" s="19" t="str">
        <f t="array" ref="B1526">XLOOKUP(A1526,Data!F:F,Data!G:G)</f>
        <v>J1F</v>
      </c>
      <c r="C1526" s="19" t="str">
        <f t="shared" si="3"/>
        <v>J102</v>
      </c>
      <c r="D1526" s="19" t="str">
        <f t="array" ref="D1526">XLOOKUP(A1526,Data!F:F,Data!C:C)</f>
        <v/>
      </c>
      <c r="E1526" s="19" t="str">
        <f t="array" ref="E1526">XLOOKUP(A1526,Data!F:F,Data!H:H)</f>
        <v/>
      </c>
      <c r="F1526" s="106" t="str">
        <f>SUMIFS(Data!J:J,Data!F:F,A1526)</f>
        <v>1</v>
      </c>
      <c r="G1526" s="106" t="str">
        <f>SUMIFS(Cast!C:C,CastElements,A1526)</f>
        <v>1</v>
      </c>
      <c r="H1526" s="106" t="str">
        <f t="shared" si="4"/>
        <v>0</v>
      </c>
      <c r="I1526" s="106" t="str">
        <f>SUMIFS(Del!C:C,Del!B:B,A1526)</f>
        <v>0</v>
      </c>
      <c r="J1526" s="106" t="str">
        <f t="shared" si="5"/>
        <v>1</v>
      </c>
      <c r="K1526" s="106" t="str">
        <f t="shared" si="6"/>
        <v>1</v>
      </c>
      <c r="L1526" s="106"/>
      <c r="M1526" s="106" t="str">
        <f>SUMIFS(Ere!C:C,Ere!B:B,A1526)</f>
        <v>0</v>
      </c>
      <c r="N1526" s="106" t="str">
        <f t="shared" si="7"/>
        <v>1</v>
      </c>
      <c r="O1526" s="107" t="str">
        <f t="array" ref="O1526">XLOOKUP(A1526,Data!F:F,Data!O:O)</f>
        <v>  1.86 </v>
      </c>
      <c r="P1526" s="107" t="str">
        <f t="shared" si="8"/>
        <v>  4.65 </v>
      </c>
      <c r="Q1526" s="27"/>
    </row>
    <row r="1527" ht="15.75" customHeight="1">
      <c r="A1527" s="105" t="s">
        <v>1771</v>
      </c>
      <c r="B1527" s="19" t="str">
        <f t="array" ref="B1527">XLOOKUP(A1527,Data!F:F,Data!G:G)</f>
        <v>J1F</v>
      </c>
      <c r="C1527" s="19" t="str">
        <f t="shared" si="3"/>
        <v>J102</v>
      </c>
      <c r="D1527" s="19" t="str">
        <f t="array" ref="D1527">XLOOKUP(A1527,Data!F:F,Data!C:C)</f>
        <v/>
      </c>
      <c r="E1527" s="19" t="str">
        <f t="array" ref="E1527">XLOOKUP(A1527,Data!F:F,Data!H:H)</f>
        <v/>
      </c>
      <c r="F1527" s="106" t="str">
        <f>SUMIFS(Data!J:J,Data!F:F,A1527)</f>
        <v>1</v>
      </c>
      <c r="G1527" s="106" t="str">
        <f>SUMIFS(Cast!C:C,CastElements,A1527)</f>
        <v>0</v>
      </c>
      <c r="H1527" s="106" t="str">
        <f t="shared" si="4"/>
        <v>1</v>
      </c>
      <c r="I1527" s="106" t="str">
        <f>SUMIFS(Del!C:C,Del!B:B,A1527)</f>
        <v>0</v>
      </c>
      <c r="J1527" s="106" t="str">
        <f t="shared" si="5"/>
        <v>1</v>
      </c>
      <c r="K1527" s="106" t="str">
        <f t="shared" si="6"/>
        <v>0</v>
      </c>
      <c r="L1527" s="106"/>
      <c r="M1527" s="106" t="str">
        <f>SUMIFS(Ere!C:C,Ere!B:B,A1527)</f>
        <v>0</v>
      </c>
      <c r="N1527" s="106" t="str">
        <f t="shared" si="7"/>
        <v>1</v>
      </c>
      <c r="O1527" s="107" t="str">
        <f t="array" ref="O1527">XLOOKUP(A1527,Data!F:F,Data!O:O)</f>
        <v>  2.02 </v>
      </c>
      <c r="P1527" s="107" t="str">
        <f t="shared" si="8"/>
        <v>  5.05 </v>
      </c>
      <c r="Q1527" s="27"/>
    </row>
    <row r="1528" ht="15.75" customHeight="1">
      <c r="A1528" s="105" t="s">
        <v>1772</v>
      </c>
      <c r="B1528" s="19" t="str">
        <f t="array" ref="B1528">XLOOKUP(A1528,Data!F:F,Data!G:G)</f>
        <v>J1F</v>
      </c>
      <c r="C1528" s="19" t="str">
        <f t="shared" si="3"/>
        <v>J102</v>
      </c>
      <c r="D1528" s="19" t="str">
        <f t="array" ref="D1528">XLOOKUP(A1528,Data!F:F,Data!C:C)</f>
        <v/>
      </c>
      <c r="E1528" s="19" t="str">
        <f t="array" ref="E1528">XLOOKUP(A1528,Data!F:F,Data!H:H)</f>
        <v/>
      </c>
      <c r="F1528" s="106" t="str">
        <f>SUMIFS(Data!J:J,Data!F:F,A1528)</f>
        <v>1</v>
      </c>
      <c r="G1528" s="106" t="str">
        <f>SUMIFS(Cast!C:C,CastElements,A1528)</f>
        <v>0</v>
      </c>
      <c r="H1528" s="106" t="str">
        <f t="shared" si="4"/>
        <v>1</v>
      </c>
      <c r="I1528" s="106" t="str">
        <f>SUMIFS(Del!C:C,Del!B:B,A1528)</f>
        <v>0</v>
      </c>
      <c r="J1528" s="106" t="str">
        <f t="shared" si="5"/>
        <v>1</v>
      </c>
      <c r="K1528" s="106" t="str">
        <f t="shared" si="6"/>
        <v>0</v>
      </c>
      <c r="L1528" s="106"/>
      <c r="M1528" s="106" t="str">
        <f>SUMIFS(Ere!C:C,Ere!B:B,A1528)</f>
        <v>0</v>
      </c>
      <c r="N1528" s="106" t="str">
        <f t="shared" si="7"/>
        <v>1</v>
      </c>
      <c r="O1528" s="107" t="str">
        <f t="array" ref="O1528">XLOOKUP(A1528,Data!F:F,Data!O:O)</f>
        <v>  2.02 </v>
      </c>
      <c r="P1528" s="107" t="str">
        <f t="shared" si="8"/>
        <v>  5.05 </v>
      </c>
      <c r="Q1528" s="27"/>
    </row>
    <row r="1529" ht="15.75" customHeight="1">
      <c r="A1529" s="105" t="s">
        <v>1773</v>
      </c>
      <c r="B1529" s="19" t="str">
        <f t="array" ref="B1529">XLOOKUP(A1529,Data!F:F,Data!G:G)</f>
        <v>J1F</v>
      </c>
      <c r="C1529" s="19" t="str">
        <f t="shared" si="3"/>
        <v>J102</v>
      </c>
      <c r="D1529" s="19" t="str">
        <f t="array" ref="D1529">XLOOKUP(A1529,Data!F:F,Data!C:C)</f>
        <v/>
      </c>
      <c r="E1529" s="19" t="str">
        <f t="array" ref="E1529">XLOOKUP(A1529,Data!F:F,Data!H:H)</f>
        <v/>
      </c>
      <c r="F1529" s="106" t="str">
        <f>SUMIFS(Data!J:J,Data!F:F,A1529)</f>
        <v>1</v>
      </c>
      <c r="G1529" s="106" t="str">
        <f>SUMIFS(Cast!C:C,CastElements,A1529)</f>
        <v>1</v>
      </c>
      <c r="H1529" s="106" t="str">
        <f t="shared" si="4"/>
        <v>0</v>
      </c>
      <c r="I1529" s="106" t="str">
        <f>SUMIFS(Del!C:C,Del!B:B,A1529)</f>
        <v>0</v>
      </c>
      <c r="J1529" s="106" t="str">
        <f t="shared" si="5"/>
        <v>1</v>
      </c>
      <c r="K1529" s="106" t="str">
        <f t="shared" si="6"/>
        <v>1</v>
      </c>
      <c r="L1529" s="106"/>
      <c r="M1529" s="106" t="str">
        <f>SUMIFS(Ere!C:C,Ere!B:B,A1529)</f>
        <v>0</v>
      </c>
      <c r="N1529" s="106" t="str">
        <f t="shared" si="7"/>
        <v>1</v>
      </c>
      <c r="O1529" s="107" t="str">
        <f t="array" ref="O1529">XLOOKUP(A1529,Data!F:F,Data!O:O)</f>
        <v>  2.02 </v>
      </c>
      <c r="P1529" s="107" t="str">
        <f t="shared" si="8"/>
        <v>  5.05 </v>
      </c>
      <c r="Q1529" s="27"/>
    </row>
    <row r="1530" ht="15.75" customHeight="1">
      <c r="A1530" s="105" t="s">
        <v>1774</v>
      </c>
      <c r="B1530" s="19" t="str">
        <f t="array" ref="B1530">XLOOKUP(A1530,Data!F:F,Data!G:G)</f>
        <v>J1F</v>
      </c>
      <c r="C1530" s="19" t="str">
        <f t="shared" si="3"/>
        <v>J102</v>
      </c>
      <c r="D1530" s="19" t="str">
        <f t="array" ref="D1530">XLOOKUP(A1530,Data!F:F,Data!C:C)</f>
        <v/>
      </c>
      <c r="E1530" s="19" t="str">
        <f t="array" ref="E1530">XLOOKUP(A1530,Data!F:F,Data!H:H)</f>
        <v/>
      </c>
      <c r="F1530" s="106" t="str">
        <f>SUMIFS(Data!J:J,Data!F:F,A1530)</f>
        <v>1</v>
      </c>
      <c r="G1530" s="106" t="str">
        <f>SUMIFS(Cast!C:C,CastElements,A1530)</f>
        <v>0</v>
      </c>
      <c r="H1530" s="106" t="str">
        <f t="shared" si="4"/>
        <v>1</v>
      </c>
      <c r="I1530" s="106" t="str">
        <f>SUMIFS(Del!C:C,Del!B:B,A1530)</f>
        <v>0</v>
      </c>
      <c r="J1530" s="106" t="str">
        <f t="shared" si="5"/>
        <v>1</v>
      </c>
      <c r="K1530" s="106" t="str">
        <f t="shared" si="6"/>
        <v>0</v>
      </c>
      <c r="L1530" s="106"/>
      <c r="M1530" s="106" t="str">
        <f>SUMIFS(Ere!C:C,Ere!B:B,A1530)</f>
        <v>0</v>
      </c>
      <c r="N1530" s="106" t="str">
        <f t="shared" si="7"/>
        <v>1</v>
      </c>
      <c r="O1530" s="107" t="str">
        <f t="array" ref="O1530">XLOOKUP(A1530,Data!F:F,Data!O:O)</f>
        <v>  2.02 </v>
      </c>
      <c r="P1530" s="107" t="str">
        <f t="shared" si="8"/>
        <v>  5.05 </v>
      </c>
      <c r="Q1530" s="27"/>
    </row>
    <row r="1531" ht="15.75" customHeight="1">
      <c r="A1531" s="105" t="s">
        <v>1775</v>
      </c>
      <c r="B1531" s="19" t="str">
        <f t="array" ref="B1531">XLOOKUP(A1531,Data!F:F,Data!G:G)</f>
        <v>J1F</v>
      </c>
      <c r="C1531" s="19" t="str">
        <f t="shared" si="3"/>
        <v>J102</v>
      </c>
      <c r="D1531" s="19" t="str">
        <f t="array" ref="D1531">XLOOKUP(A1531,Data!F:F,Data!C:C)</f>
        <v/>
      </c>
      <c r="E1531" s="19" t="str">
        <f t="array" ref="E1531">XLOOKUP(A1531,Data!F:F,Data!H:H)</f>
        <v/>
      </c>
      <c r="F1531" s="106" t="str">
        <f>SUMIFS(Data!J:J,Data!F:F,A1531)</f>
        <v>1</v>
      </c>
      <c r="G1531" s="106" t="str">
        <f>SUMIFS(Cast!C:C,CastElements,A1531)</f>
        <v>0</v>
      </c>
      <c r="H1531" s="106" t="str">
        <f t="shared" si="4"/>
        <v>1</v>
      </c>
      <c r="I1531" s="106" t="str">
        <f>SUMIFS(Del!C:C,Del!B:B,A1531)</f>
        <v>0</v>
      </c>
      <c r="J1531" s="106" t="str">
        <f t="shared" si="5"/>
        <v>1</v>
      </c>
      <c r="K1531" s="106" t="str">
        <f t="shared" si="6"/>
        <v>0</v>
      </c>
      <c r="L1531" s="106"/>
      <c r="M1531" s="106" t="str">
        <f>SUMIFS(Ere!C:C,Ere!B:B,A1531)</f>
        <v>0</v>
      </c>
      <c r="N1531" s="106" t="str">
        <f t="shared" si="7"/>
        <v>1</v>
      </c>
      <c r="O1531" s="107" t="str">
        <f t="array" ref="O1531">XLOOKUP(A1531,Data!F:F,Data!O:O)</f>
        <v>  1.66 </v>
      </c>
      <c r="P1531" s="107" t="str">
        <f t="shared" si="8"/>
        <v>  4.16 </v>
      </c>
      <c r="Q1531" s="27"/>
    </row>
    <row r="1532" ht="15.75" customHeight="1">
      <c r="A1532" s="105" t="s">
        <v>1776</v>
      </c>
      <c r="B1532" s="19" t="str">
        <f t="array" ref="B1532">XLOOKUP(A1532,Data!F:F,Data!G:G)</f>
        <v>J1F</v>
      </c>
      <c r="C1532" s="19" t="str">
        <f t="shared" si="3"/>
        <v>J102</v>
      </c>
      <c r="D1532" s="19" t="str">
        <f t="array" ref="D1532">XLOOKUP(A1532,Data!F:F,Data!C:C)</f>
        <v/>
      </c>
      <c r="E1532" s="19" t="str">
        <f t="array" ref="E1532">XLOOKUP(A1532,Data!F:F,Data!H:H)</f>
        <v/>
      </c>
      <c r="F1532" s="106" t="str">
        <f>SUMIFS(Data!J:J,Data!F:F,A1532)</f>
        <v>1</v>
      </c>
      <c r="G1532" s="106" t="str">
        <f>SUMIFS(Cast!C:C,CastElements,A1532)</f>
        <v>0</v>
      </c>
      <c r="H1532" s="106" t="str">
        <f t="shared" si="4"/>
        <v>1</v>
      </c>
      <c r="I1532" s="106" t="str">
        <f>SUMIFS(Del!C:C,Del!B:B,A1532)</f>
        <v>0</v>
      </c>
      <c r="J1532" s="106" t="str">
        <f t="shared" si="5"/>
        <v>1</v>
      </c>
      <c r="K1532" s="106" t="str">
        <f t="shared" si="6"/>
        <v>0</v>
      </c>
      <c r="L1532" s="106"/>
      <c r="M1532" s="106" t="str">
        <f>SUMIFS(Ere!C:C,Ere!B:B,A1532)</f>
        <v>0</v>
      </c>
      <c r="N1532" s="106" t="str">
        <f t="shared" si="7"/>
        <v>1</v>
      </c>
      <c r="O1532" s="107" t="str">
        <f t="array" ref="O1532">XLOOKUP(A1532,Data!F:F,Data!O:O)</f>
        <v>  1.88 </v>
      </c>
      <c r="P1532" s="107" t="str">
        <f t="shared" si="8"/>
        <v>  4.70 </v>
      </c>
      <c r="Q1532" s="27"/>
    </row>
    <row r="1533" ht="15.75" customHeight="1">
      <c r="A1533" s="105" t="s">
        <v>1777</v>
      </c>
      <c r="B1533" s="19" t="str">
        <f t="array" ref="B1533">XLOOKUP(A1533,Data!F:F,Data!G:G)</f>
        <v>J1F</v>
      </c>
      <c r="C1533" s="19" t="str">
        <f t="shared" si="3"/>
        <v>J102</v>
      </c>
      <c r="D1533" s="19" t="str">
        <f t="array" ref="D1533">XLOOKUP(A1533,Data!F:F,Data!C:C)</f>
        <v/>
      </c>
      <c r="E1533" s="19" t="str">
        <f t="array" ref="E1533">XLOOKUP(A1533,Data!F:F,Data!H:H)</f>
        <v/>
      </c>
      <c r="F1533" s="106" t="str">
        <f>SUMIFS(Data!J:J,Data!F:F,A1533)</f>
        <v>1</v>
      </c>
      <c r="G1533" s="106" t="str">
        <f>SUMIFS(Cast!C:C,CastElements,A1533)</f>
        <v>1</v>
      </c>
      <c r="H1533" s="106" t="str">
        <f t="shared" si="4"/>
        <v>0</v>
      </c>
      <c r="I1533" s="106" t="str">
        <f>SUMIFS(Del!C:C,Del!B:B,A1533)</f>
        <v>0</v>
      </c>
      <c r="J1533" s="106" t="str">
        <f t="shared" si="5"/>
        <v>1</v>
      </c>
      <c r="K1533" s="106" t="str">
        <f t="shared" si="6"/>
        <v>1</v>
      </c>
      <c r="L1533" s="106"/>
      <c r="M1533" s="106" t="str">
        <f>SUMIFS(Ere!C:C,Ere!B:B,A1533)</f>
        <v>0</v>
      </c>
      <c r="N1533" s="106" t="str">
        <f t="shared" si="7"/>
        <v>1</v>
      </c>
      <c r="O1533" s="107" t="str">
        <f t="array" ref="O1533">XLOOKUP(A1533,Data!F:F,Data!O:O)</f>
        <v>  2.22 </v>
      </c>
      <c r="P1533" s="107" t="str">
        <f t="shared" si="8"/>
        <v>  5.55 </v>
      </c>
      <c r="Q1533" s="27"/>
    </row>
    <row r="1534" ht="15.75" customHeight="1">
      <c r="A1534" s="105" t="s">
        <v>1778</v>
      </c>
      <c r="B1534" s="19" t="str">
        <f t="array" ref="B1534">XLOOKUP(A1534,Data!F:F,Data!G:G)</f>
        <v>J1F</v>
      </c>
      <c r="C1534" s="19" t="str">
        <f t="shared" si="3"/>
        <v>J102</v>
      </c>
      <c r="D1534" s="19" t="str">
        <f t="array" ref="D1534">XLOOKUP(A1534,Data!F:F,Data!C:C)</f>
        <v/>
      </c>
      <c r="E1534" s="19" t="str">
        <f t="array" ref="E1534">XLOOKUP(A1534,Data!F:F,Data!H:H)</f>
        <v/>
      </c>
      <c r="F1534" s="106" t="str">
        <f>SUMIFS(Data!J:J,Data!F:F,A1534)</f>
        <v>1</v>
      </c>
      <c r="G1534" s="106" t="str">
        <f>SUMIFS(Cast!C:C,CastElements,A1534)</f>
        <v>1</v>
      </c>
      <c r="H1534" s="106" t="str">
        <f t="shared" si="4"/>
        <v>0</v>
      </c>
      <c r="I1534" s="106" t="str">
        <f>SUMIFS(Del!C:C,Del!B:B,A1534)</f>
        <v>0</v>
      </c>
      <c r="J1534" s="106" t="str">
        <f t="shared" si="5"/>
        <v>1</v>
      </c>
      <c r="K1534" s="106" t="str">
        <f t="shared" si="6"/>
        <v>1</v>
      </c>
      <c r="L1534" s="106"/>
      <c r="M1534" s="106" t="str">
        <f>SUMIFS(Ere!C:C,Ere!B:B,A1534)</f>
        <v>0</v>
      </c>
      <c r="N1534" s="106" t="str">
        <f t="shared" si="7"/>
        <v>1</v>
      </c>
      <c r="O1534" s="107" t="str">
        <f t="array" ref="O1534">XLOOKUP(A1534,Data!F:F,Data!O:O)</f>
        <v>  2.22 </v>
      </c>
      <c r="P1534" s="107" t="str">
        <f t="shared" si="8"/>
        <v>  5.55 </v>
      </c>
      <c r="Q1534" s="27"/>
    </row>
    <row r="1535" ht="15.75" customHeight="1">
      <c r="A1535" s="105" t="s">
        <v>1779</v>
      </c>
      <c r="B1535" s="19" t="str">
        <f t="array" ref="B1535">XLOOKUP(A1535,Data!F:F,Data!G:G)</f>
        <v>J1F</v>
      </c>
      <c r="C1535" s="19" t="str">
        <f t="shared" si="3"/>
        <v>J102</v>
      </c>
      <c r="D1535" s="19" t="str">
        <f t="array" ref="D1535">XLOOKUP(A1535,Data!F:F,Data!C:C)</f>
        <v/>
      </c>
      <c r="E1535" s="19" t="str">
        <f t="array" ref="E1535">XLOOKUP(A1535,Data!F:F,Data!H:H)</f>
        <v/>
      </c>
      <c r="F1535" s="106" t="str">
        <f>SUMIFS(Data!J:J,Data!F:F,A1535)</f>
        <v>1</v>
      </c>
      <c r="G1535" s="106" t="str">
        <f>SUMIFS(Cast!C:C,CastElements,A1535)</f>
        <v>1</v>
      </c>
      <c r="H1535" s="106" t="str">
        <f t="shared" si="4"/>
        <v>0</v>
      </c>
      <c r="I1535" s="106" t="str">
        <f>SUMIFS(Del!C:C,Del!B:B,A1535)</f>
        <v>0</v>
      </c>
      <c r="J1535" s="106" t="str">
        <f t="shared" si="5"/>
        <v>1</v>
      </c>
      <c r="K1535" s="106" t="str">
        <f t="shared" si="6"/>
        <v>1</v>
      </c>
      <c r="L1535" s="106"/>
      <c r="M1535" s="106" t="str">
        <f>SUMIFS(Ere!C:C,Ere!B:B,A1535)</f>
        <v>0</v>
      </c>
      <c r="N1535" s="106" t="str">
        <f t="shared" si="7"/>
        <v>1</v>
      </c>
      <c r="O1535" s="107" t="str">
        <f t="array" ref="O1535">XLOOKUP(A1535,Data!F:F,Data!O:O)</f>
        <v>  2.22 </v>
      </c>
      <c r="P1535" s="107" t="str">
        <f t="shared" si="8"/>
        <v>  5.55 </v>
      </c>
      <c r="Q1535" s="27"/>
    </row>
    <row r="1536" ht="15.75" customHeight="1">
      <c r="A1536" s="105" t="s">
        <v>1780</v>
      </c>
      <c r="B1536" s="19" t="str">
        <f t="array" ref="B1536">XLOOKUP(A1536,Data!F:F,Data!G:G)</f>
        <v>J1F</v>
      </c>
      <c r="C1536" s="19" t="str">
        <f t="shared" si="3"/>
        <v>J102</v>
      </c>
      <c r="D1536" s="19" t="str">
        <f t="array" ref="D1536">XLOOKUP(A1536,Data!F:F,Data!C:C)</f>
        <v/>
      </c>
      <c r="E1536" s="19" t="str">
        <f t="array" ref="E1536">XLOOKUP(A1536,Data!F:F,Data!H:H)</f>
        <v/>
      </c>
      <c r="F1536" s="106" t="str">
        <f>SUMIFS(Data!J:J,Data!F:F,A1536)</f>
        <v>1</v>
      </c>
      <c r="G1536" s="106" t="str">
        <f>SUMIFS(Cast!C:C,CastElements,A1536)</f>
        <v>1</v>
      </c>
      <c r="H1536" s="106" t="str">
        <f t="shared" si="4"/>
        <v>0</v>
      </c>
      <c r="I1536" s="106" t="str">
        <f>SUMIFS(Del!C:C,Del!B:B,A1536)</f>
        <v>0</v>
      </c>
      <c r="J1536" s="106" t="str">
        <f t="shared" si="5"/>
        <v>1</v>
      </c>
      <c r="K1536" s="106" t="str">
        <f t="shared" si="6"/>
        <v>1</v>
      </c>
      <c r="L1536" s="106"/>
      <c r="M1536" s="106" t="str">
        <f>SUMIFS(Ere!C:C,Ere!B:B,A1536)</f>
        <v>0</v>
      </c>
      <c r="N1536" s="106" t="str">
        <f t="shared" si="7"/>
        <v>1</v>
      </c>
      <c r="O1536" s="107" t="str">
        <f t="array" ref="O1536">XLOOKUP(A1536,Data!F:F,Data!O:O)</f>
        <v>  2.33 </v>
      </c>
      <c r="P1536" s="107" t="str">
        <f t="shared" si="8"/>
        <v>  5.84 </v>
      </c>
      <c r="Q1536" s="27"/>
    </row>
    <row r="1537" ht="15.75" customHeight="1">
      <c r="A1537" s="105" t="s">
        <v>1781</v>
      </c>
      <c r="B1537" s="19" t="str">
        <f t="array" ref="B1537">XLOOKUP(A1537,Data!F:F,Data!G:G)</f>
        <v>J1F</v>
      </c>
      <c r="C1537" s="19" t="str">
        <f t="shared" si="3"/>
        <v>J102</v>
      </c>
      <c r="D1537" s="19" t="str">
        <f t="array" ref="D1537">XLOOKUP(A1537,Data!F:F,Data!C:C)</f>
        <v/>
      </c>
      <c r="E1537" s="19" t="str">
        <f t="array" ref="E1537">XLOOKUP(A1537,Data!F:F,Data!H:H)</f>
        <v/>
      </c>
      <c r="F1537" s="106" t="str">
        <f>SUMIFS(Data!J:J,Data!F:F,A1537)</f>
        <v>1</v>
      </c>
      <c r="G1537" s="106" t="str">
        <f>SUMIFS(Cast!C:C,CastElements,A1537)</f>
        <v>0</v>
      </c>
      <c r="H1537" s="106" t="str">
        <f t="shared" si="4"/>
        <v>1</v>
      </c>
      <c r="I1537" s="106" t="str">
        <f>SUMIFS(Del!C:C,Del!B:B,A1537)</f>
        <v>0</v>
      </c>
      <c r="J1537" s="106" t="str">
        <f t="shared" si="5"/>
        <v>1</v>
      </c>
      <c r="K1537" s="106" t="str">
        <f t="shared" si="6"/>
        <v>0</v>
      </c>
      <c r="L1537" s="106"/>
      <c r="M1537" s="106" t="str">
        <f>SUMIFS(Ere!C:C,Ere!B:B,A1537)</f>
        <v>0</v>
      </c>
      <c r="N1537" s="106" t="str">
        <f t="shared" si="7"/>
        <v>1</v>
      </c>
      <c r="O1537" s="107" t="str">
        <f t="array" ref="O1537">XLOOKUP(A1537,Data!F:F,Data!O:O)</f>
        <v>  0.58 </v>
      </c>
      <c r="P1537" s="107" t="str">
        <f t="shared" si="8"/>
        <v>  1.45 </v>
      </c>
      <c r="Q1537" s="27"/>
    </row>
    <row r="1538" ht="15.75" customHeight="1">
      <c r="A1538" s="105" t="s">
        <v>1782</v>
      </c>
      <c r="B1538" s="19" t="str">
        <f t="array" ref="B1538">XLOOKUP(A1538,Data!F:F,Data!G:G)</f>
        <v>J1F</v>
      </c>
      <c r="C1538" s="19" t="str">
        <f t="shared" si="3"/>
        <v>J102</v>
      </c>
      <c r="D1538" s="19" t="str">
        <f t="array" ref="D1538">XLOOKUP(A1538,Data!F:F,Data!C:C)</f>
        <v/>
      </c>
      <c r="E1538" s="19" t="str">
        <f t="array" ref="E1538">XLOOKUP(A1538,Data!F:F,Data!H:H)</f>
        <v/>
      </c>
      <c r="F1538" s="106" t="str">
        <f>SUMIFS(Data!J:J,Data!F:F,A1538)</f>
        <v>1</v>
      </c>
      <c r="G1538" s="106" t="str">
        <f>SUMIFS(Cast!C:C,CastElements,A1538)</f>
        <v>0</v>
      </c>
      <c r="H1538" s="106" t="str">
        <f t="shared" si="4"/>
        <v>1</v>
      </c>
      <c r="I1538" s="106" t="str">
        <f>SUMIFS(Del!C:C,Del!B:B,A1538)</f>
        <v>0</v>
      </c>
      <c r="J1538" s="106" t="str">
        <f t="shared" si="5"/>
        <v>1</v>
      </c>
      <c r="K1538" s="106" t="str">
        <f t="shared" si="6"/>
        <v>0</v>
      </c>
      <c r="L1538" s="106"/>
      <c r="M1538" s="106" t="str">
        <f>SUMIFS(Ere!C:C,Ere!B:B,A1538)</f>
        <v>0</v>
      </c>
      <c r="N1538" s="106" t="str">
        <f t="shared" si="7"/>
        <v>1</v>
      </c>
      <c r="O1538" s="107" t="str">
        <f t="array" ref="O1538">XLOOKUP(A1538,Data!F:F,Data!O:O)</f>
        <v>  0.53 </v>
      </c>
      <c r="P1538" s="107" t="str">
        <f t="shared" si="8"/>
        <v>  1.33 </v>
      </c>
      <c r="Q1538" s="27"/>
    </row>
    <row r="1539" ht="15.75" customHeight="1">
      <c r="A1539" s="105" t="s">
        <v>1783</v>
      </c>
      <c r="B1539" s="19" t="str">
        <f t="array" ref="B1539">XLOOKUP(A1539,Data!F:F,Data!G:G)</f>
        <v>J1F</v>
      </c>
      <c r="C1539" s="19" t="str">
        <f t="shared" si="3"/>
        <v>J102</v>
      </c>
      <c r="D1539" s="19" t="str">
        <f t="array" ref="D1539">XLOOKUP(A1539,Data!F:F,Data!C:C)</f>
        <v/>
      </c>
      <c r="E1539" s="19" t="str">
        <f t="array" ref="E1539">XLOOKUP(A1539,Data!F:F,Data!H:H)</f>
        <v/>
      </c>
      <c r="F1539" s="106" t="str">
        <f>SUMIFS(Data!J:J,Data!F:F,A1539)</f>
        <v>1</v>
      </c>
      <c r="G1539" s="106" t="str">
        <f>SUMIFS(Cast!C:C,CastElements,A1539)</f>
        <v>0</v>
      </c>
      <c r="H1539" s="106" t="str">
        <f t="shared" si="4"/>
        <v>1</v>
      </c>
      <c r="I1539" s="106" t="str">
        <f>SUMIFS(Del!C:C,Del!B:B,A1539)</f>
        <v>0</v>
      </c>
      <c r="J1539" s="106" t="str">
        <f t="shared" si="5"/>
        <v>1</v>
      </c>
      <c r="K1539" s="106" t="str">
        <f t="shared" si="6"/>
        <v>0</v>
      </c>
      <c r="L1539" s="106"/>
      <c r="M1539" s="106" t="str">
        <f>SUMIFS(Ere!C:C,Ere!B:B,A1539)</f>
        <v>0</v>
      </c>
      <c r="N1539" s="106" t="str">
        <f t="shared" si="7"/>
        <v>1</v>
      </c>
      <c r="O1539" s="107" t="str">
        <f t="array" ref="O1539">XLOOKUP(A1539,Data!F:F,Data!O:O)</f>
        <v>  0.53 </v>
      </c>
      <c r="P1539" s="107" t="str">
        <f t="shared" si="8"/>
        <v>  1.33 </v>
      </c>
      <c r="Q1539" s="27"/>
    </row>
    <row r="1540" ht="15.75" customHeight="1">
      <c r="A1540" s="105" t="s">
        <v>1784</v>
      </c>
      <c r="B1540" s="19" t="str">
        <f t="array" ref="B1540">XLOOKUP(A1540,Data!F:F,Data!G:G)</f>
        <v>J1F</v>
      </c>
      <c r="C1540" s="19" t="str">
        <f t="shared" si="3"/>
        <v>J102</v>
      </c>
      <c r="D1540" s="19" t="str">
        <f t="array" ref="D1540">XLOOKUP(A1540,Data!F:F,Data!C:C)</f>
        <v/>
      </c>
      <c r="E1540" s="19" t="str">
        <f t="array" ref="E1540">XLOOKUP(A1540,Data!F:F,Data!H:H)</f>
        <v/>
      </c>
      <c r="F1540" s="106" t="str">
        <f>SUMIFS(Data!J:J,Data!F:F,A1540)</f>
        <v>1</v>
      </c>
      <c r="G1540" s="106" t="str">
        <f>SUMIFS(Cast!C:C,CastElements,A1540)</f>
        <v>1</v>
      </c>
      <c r="H1540" s="106" t="str">
        <f t="shared" si="4"/>
        <v>0</v>
      </c>
      <c r="I1540" s="106" t="str">
        <f>SUMIFS(Del!C:C,Del!B:B,A1540)</f>
        <v>0</v>
      </c>
      <c r="J1540" s="106" t="str">
        <f t="shared" si="5"/>
        <v>1</v>
      </c>
      <c r="K1540" s="106" t="str">
        <f t="shared" si="6"/>
        <v>1</v>
      </c>
      <c r="L1540" s="106"/>
      <c r="M1540" s="106" t="str">
        <f>SUMIFS(Ere!C:C,Ere!B:B,A1540)</f>
        <v>0</v>
      </c>
      <c r="N1540" s="106" t="str">
        <f t="shared" si="7"/>
        <v>1</v>
      </c>
      <c r="O1540" s="107" t="str">
        <f t="array" ref="O1540">XLOOKUP(A1540,Data!F:F,Data!O:O)</f>
        <v>  0.81 </v>
      </c>
      <c r="P1540" s="107" t="str">
        <f t="shared" si="8"/>
        <v>  2.01 </v>
      </c>
      <c r="Q1540" s="27"/>
    </row>
    <row r="1541" ht="15.75" customHeight="1">
      <c r="A1541" s="105" t="s">
        <v>1785</v>
      </c>
      <c r="B1541" s="19" t="str">
        <f t="array" ref="B1541">XLOOKUP(A1541,Data!F:F,Data!G:G)</f>
        <v>J1F</v>
      </c>
      <c r="C1541" s="19" t="str">
        <f t="shared" si="3"/>
        <v>J102</v>
      </c>
      <c r="D1541" s="19" t="str">
        <f t="array" ref="D1541">XLOOKUP(A1541,Data!F:F,Data!C:C)</f>
        <v/>
      </c>
      <c r="E1541" s="19" t="str">
        <f t="array" ref="E1541">XLOOKUP(A1541,Data!F:F,Data!H:H)</f>
        <v/>
      </c>
      <c r="F1541" s="106" t="str">
        <f>SUMIFS(Data!J:J,Data!F:F,A1541)</f>
        <v>1</v>
      </c>
      <c r="G1541" s="106" t="str">
        <f>SUMIFS(Cast!C:C,CastElements,A1541)</f>
        <v>0</v>
      </c>
      <c r="H1541" s="106" t="str">
        <f t="shared" si="4"/>
        <v>1</v>
      </c>
      <c r="I1541" s="106" t="str">
        <f>SUMIFS(Del!C:C,Del!B:B,A1541)</f>
        <v>0</v>
      </c>
      <c r="J1541" s="106" t="str">
        <f t="shared" si="5"/>
        <v>1</v>
      </c>
      <c r="K1541" s="106" t="str">
        <f t="shared" si="6"/>
        <v>0</v>
      </c>
      <c r="L1541" s="106"/>
      <c r="M1541" s="106" t="str">
        <f>SUMIFS(Ere!C:C,Ere!B:B,A1541)</f>
        <v>0</v>
      </c>
      <c r="N1541" s="106" t="str">
        <f t="shared" si="7"/>
        <v>1</v>
      </c>
      <c r="O1541" s="107" t="str">
        <f t="array" ref="O1541">XLOOKUP(A1541,Data!F:F,Data!O:O)</f>
        <v>  0.56 </v>
      </c>
      <c r="P1541" s="107" t="str">
        <f t="shared" si="8"/>
        <v>  1.41 </v>
      </c>
      <c r="Q1541" s="27"/>
    </row>
    <row r="1542" ht="15.75" customHeight="1">
      <c r="A1542" s="105" t="s">
        <v>1786</v>
      </c>
      <c r="B1542" s="19" t="str">
        <f t="array" ref="B1542">XLOOKUP(A1542,Data!F:F,Data!G:G)</f>
        <v>J1F</v>
      </c>
      <c r="C1542" s="19" t="str">
        <f t="shared" si="3"/>
        <v>J103</v>
      </c>
      <c r="D1542" s="19" t="str">
        <f t="array" ref="D1542">XLOOKUP(A1542,Data!F:F,Data!C:C)</f>
        <v/>
      </c>
      <c r="E1542" s="19" t="str">
        <f t="array" ref="E1542">XLOOKUP(A1542,Data!F:F,Data!H:H)</f>
        <v/>
      </c>
      <c r="F1542" s="106" t="str">
        <f>SUMIFS(Data!J:J,Data!F:F,A1542)</f>
        <v>1</v>
      </c>
      <c r="G1542" s="106" t="str">
        <f>SUMIFS(Cast!C:C,CastElements,A1542)</f>
        <v>0</v>
      </c>
      <c r="H1542" s="106" t="str">
        <f t="shared" si="4"/>
        <v>1</v>
      </c>
      <c r="I1542" s="106" t="str">
        <f>SUMIFS(Del!C:C,Del!B:B,A1542)</f>
        <v>0</v>
      </c>
      <c r="J1542" s="106" t="str">
        <f t="shared" si="5"/>
        <v>1</v>
      </c>
      <c r="K1542" s="106" t="str">
        <f t="shared" si="6"/>
        <v>0</v>
      </c>
      <c r="L1542" s="106"/>
      <c r="M1542" s="106" t="str">
        <f>SUMIFS(Ere!C:C,Ere!B:B,A1542)</f>
        <v>0</v>
      </c>
      <c r="N1542" s="106" t="str">
        <f t="shared" si="7"/>
        <v>1</v>
      </c>
      <c r="O1542" s="107" t="str">
        <f t="array" ref="O1542">XLOOKUP(A1542,Data!F:F,Data!O:O)</f>
        <v>  0.58 </v>
      </c>
      <c r="P1542" s="107" t="str">
        <f t="shared" si="8"/>
        <v>  1.46 </v>
      </c>
      <c r="Q1542" s="27"/>
    </row>
    <row r="1543" ht="15.75" customHeight="1">
      <c r="A1543" s="105" t="s">
        <v>1787</v>
      </c>
      <c r="B1543" s="19" t="str">
        <f t="array" ref="B1543">XLOOKUP(A1543,Data!F:F,Data!G:G)</f>
        <v>J1F</v>
      </c>
      <c r="C1543" s="19" t="str">
        <f t="shared" si="3"/>
        <v>J103</v>
      </c>
      <c r="D1543" s="19" t="str">
        <f t="array" ref="D1543">XLOOKUP(A1543,Data!F:F,Data!C:C)</f>
        <v/>
      </c>
      <c r="E1543" s="19" t="str">
        <f t="array" ref="E1543">XLOOKUP(A1543,Data!F:F,Data!H:H)</f>
        <v/>
      </c>
      <c r="F1543" s="106" t="str">
        <f>SUMIFS(Data!J:J,Data!F:F,A1543)</f>
        <v>1</v>
      </c>
      <c r="G1543" s="106" t="str">
        <f>SUMIFS(Cast!C:C,CastElements,A1543)</f>
        <v>0</v>
      </c>
      <c r="H1543" s="106" t="str">
        <f t="shared" si="4"/>
        <v>1</v>
      </c>
      <c r="I1543" s="106" t="str">
        <f>SUMIFS(Del!C:C,Del!B:B,A1543)</f>
        <v>0</v>
      </c>
      <c r="J1543" s="106" t="str">
        <f t="shared" si="5"/>
        <v>1</v>
      </c>
      <c r="K1543" s="106" t="str">
        <f t="shared" si="6"/>
        <v>0</v>
      </c>
      <c r="L1543" s="106"/>
      <c r="M1543" s="106" t="str">
        <f>SUMIFS(Ere!C:C,Ere!B:B,A1543)</f>
        <v>0</v>
      </c>
      <c r="N1543" s="106" t="str">
        <f t="shared" si="7"/>
        <v>1</v>
      </c>
      <c r="O1543" s="107" t="str">
        <f t="array" ref="O1543">XLOOKUP(A1543,Data!F:F,Data!O:O)</f>
        <v>  0.58 </v>
      </c>
      <c r="P1543" s="107" t="str">
        <f t="shared" si="8"/>
        <v>  1.46 </v>
      </c>
      <c r="Q1543" s="27"/>
    </row>
    <row r="1544" ht="15.75" customHeight="1">
      <c r="A1544" s="105" t="s">
        <v>1788</v>
      </c>
      <c r="B1544" s="19" t="str">
        <f t="array" ref="B1544">XLOOKUP(A1544,Data!F:F,Data!G:G)</f>
        <v>J1F</v>
      </c>
      <c r="C1544" s="19" t="str">
        <f t="shared" si="3"/>
        <v>J103</v>
      </c>
      <c r="D1544" s="19" t="str">
        <f t="array" ref="D1544">XLOOKUP(A1544,Data!F:F,Data!C:C)</f>
        <v/>
      </c>
      <c r="E1544" s="19" t="str">
        <f t="array" ref="E1544">XLOOKUP(A1544,Data!F:F,Data!H:H)</f>
        <v/>
      </c>
      <c r="F1544" s="106" t="str">
        <f>SUMIFS(Data!J:J,Data!F:F,A1544)</f>
        <v>1</v>
      </c>
      <c r="G1544" s="106" t="str">
        <f>SUMIFS(Cast!C:C,CastElements,A1544)</f>
        <v>0</v>
      </c>
      <c r="H1544" s="106" t="str">
        <f t="shared" si="4"/>
        <v>1</v>
      </c>
      <c r="I1544" s="106" t="str">
        <f>SUMIFS(Del!C:C,Del!B:B,A1544)</f>
        <v>0</v>
      </c>
      <c r="J1544" s="106" t="str">
        <f t="shared" si="5"/>
        <v>1</v>
      </c>
      <c r="K1544" s="106" t="str">
        <f t="shared" si="6"/>
        <v>0</v>
      </c>
      <c r="L1544" s="106"/>
      <c r="M1544" s="106" t="str">
        <f>SUMIFS(Ere!C:C,Ere!B:B,A1544)</f>
        <v>0</v>
      </c>
      <c r="N1544" s="106" t="str">
        <f t="shared" si="7"/>
        <v>1</v>
      </c>
      <c r="O1544" s="107" t="str">
        <f t="array" ref="O1544">XLOOKUP(A1544,Data!F:F,Data!O:O)</f>
        <v>  0.58 </v>
      </c>
      <c r="P1544" s="107" t="str">
        <f t="shared" si="8"/>
        <v>  1.46 </v>
      </c>
      <c r="Q1544" s="27"/>
    </row>
    <row r="1545" ht="15.75" customHeight="1">
      <c r="A1545" s="105" t="s">
        <v>1789</v>
      </c>
      <c r="B1545" s="19" t="str">
        <f t="array" ref="B1545">XLOOKUP(A1545,Data!F:F,Data!G:G)</f>
        <v>J1F</v>
      </c>
      <c r="C1545" s="19" t="str">
        <f t="shared" si="3"/>
        <v>J103</v>
      </c>
      <c r="D1545" s="19" t="str">
        <f t="array" ref="D1545">XLOOKUP(A1545,Data!F:F,Data!C:C)</f>
        <v/>
      </c>
      <c r="E1545" s="19" t="str">
        <f t="array" ref="E1545">XLOOKUP(A1545,Data!F:F,Data!H:H)</f>
        <v/>
      </c>
      <c r="F1545" s="106" t="str">
        <f>SUMIFS(Data!J:J,Data!F:F,A1545)</f>
        <v>1</v>
      </c>
      <c r="G1545" s="106" t="str">
        <f>SUMIFS(Cast!C:C,CastElements,A1545)</f>
        <v>0</v>
      </c>
      <c r="H1545" s="106" t="str">
        <f t="shared" si="4"/>
        <v>1</v>
      </c>
      <c r="I1545" s="106" t="str">
        <f>SUMIFS(Del!C:C,Del!B:B,A1545)</f>
        <v>0</v>
      </c>
      <c r="J1545" s="106" t="str">
        <f t="shared" si="5"/>
        <v>1</v>
      </c>
      <c r="K1545" s="106" t="str">
        <f t="shared" si="6"/>
        <v>0</v>
      </c>
      <c r="L1545" s="106"/>
      <c r="M1545" s="106" t="str">
        <f>SUMIFS(Ere!C:C,Ere!B:B,A1545)</f>
        <v>0</v>
      </c>
      <c r="N1545" s="106" t="str">
        <f t="shared" si="7"/>
        <v>1</v>
      </c>
      <c r="O1545" s="107" t="str">
        <f t="array" ref="O1545">XLOOKUP(A1545,Data!F:F,Data!O:O)</f>
        <v>  1.02 </v>
      </c>
      <c r="P1545" s="107" t="str">
        <f t="shared" si="8"/>
        <v>  2.56 </v>
      </c>
      <c r="Q1545" s="27"/>
    </row>
    <row r="1546" ht="15.75" customHeight="1">
      <c r="A1546" s="105" t="s">
        <v>1790</v>
      </c>
      <c r="B1546" s="19" t="str">
        <f t="array" ref="B1546">XLOOKUP(A1546,Data!F:F,Data!G:G)</f>
        <v>J1F</v>
      </c>
      <c r="C1546" s="19" t="str">
        <f t="shared" si="3"/>
        <v>J103</v>
      </c>
      <c r="D1546" s="19" t="str">
        <f t="array" ref="D1546">XLOOKUP(A1546,Data!F:F,Data!C:C)</f>
        <v/>
      </c>
      <c r="E1546" s="19" t="str">
        <f t="array" ref="E1546">XLOOKUP(A1546,Data!F:F,Data!H:H)</f>
        <v/>
      </c>
      <c r="F1546" s="106" t="str">
        <f>SUMIFS(Data!J:J,Data!F:F,A1546)</f>
        <v>1</v>
      </c>
      <c r="G1546" s="106" t="str">
        <f>SUMIFS(Cast!C:C,CastElements,A1546)</f>
        <v>0</v>
      </c>
      <c r="H1546" s="106" t="str">
        <f t="shared" si="4"/>
        <v>1</v>
      </c>
      <c r="I1546" s="106" t="str">
        <f>SUMIFS(Del!C:C,Del!B:B,A1546)</f>
        <v>0</v>
      </c>
      <c r="J1546" s="106" t="str">
        <f t="shared" si="5"/>
        <v>1</v>
      </c>
      <c r="K1546" s="106" t="str">
        <f t="shared" si="6"/>
        <v>0</v>
      </c>
      <c r="L1546" s="106"/>
      <c r="M1546" s="106" t="str">
        <f>SUMIFS(Ere!C:C,Ere!B:B,A1546)</f>
        <v>0</v>
      </c>
      <c r="N1546" s="106" t="str">
        <f t="shared" si="7"/>
        <v>1</v>
      </c>
      <c r="O1546" s="107" t="str">
        <f t="array" ref="O1546">XLOOKUP(A1546,Data!F:F,Data!O:O)</f>
        <v>  0.89 </v>
      </c>
      <c r="P1546" s="107" t="str">
        <f t="shared" si="8"/>
        <v>  2.22 </v>
      </c>
      <c r="Q1546" s="27"/>
    </row>
    <row r="1547" ht="15.75" customHeight="1">
      <c r="A1547" s="105" t="s">
        <v>1791</v>
      </c>
      <c r="B1547" s="19" t="str">
        <f t="array" ref="B1547">XLOOKUP(A1547,Data!F:F,Data!G:G)</f>
        <v>J1F</v>
      </c>
      <c r="C1547" s="19" t="str">
        <f t="shared" si="3"/>
        <v>J103</v>
      </c>
      <c r="D1547" s="19" t="str">
        <f t="array" ref="D1547">XLOOKUP(A1547,Data!F:F,Data!C:C)</f>
        <v/>
      </c>
      <c r="E1547" s="19" t="str">
        <f t="array" ref="E1547">XLOOKUP(A1547,Data!F:F,Data!H:H)</f>
        <v/>
      </c>
      <c r="F1547" s="106" t="str">
        <f>SUMIFS(Data!J:J,Data!F:F,A1547)</f>
        <v>1</v>
      </c>
      <c r="G1547" s="106" t="str">
        <f>SUMIFS(Cast!C:C,CastElements,A1547)</f>
        <v>0</v>
      </c>
      <c r="H1547" s="106" t="str">
        <f t="shared" si="4"/>
        <v>1</v>
      </c>
      <c r="I1547" s="106" t="str">
        <f>SUMIFS(Del!C:C,Del!B:B,A1547)</f>
        <v>0</v>
      </c>
      <c r="J1547" s="106" t="str">
        <f t="shared" si="5"/>
        <v>1</v>
      </c>
      <c r="K1547" s="106" t="str">
        <f t="shared" si="6"/>
        <v>0</v>
      </c>
      <c r="L1547" s="106"/>
      <c r="M1547" s="106" t="str">
        <f>SUMIFS(Ere!C:C,Ere!B:B,A1547)</f>
        <v>0</v>
      </c>
      <c r="N1547" s="106" t="str">
        <f t="shared" si="7"/>
        <v>1</v>
      </c>
      <c r="O1547" s="107" t="str">
        <f t="array" ref="O1547">XLOOKUP(A1547,Data!F:F,Data!O:O)</f>
        <v>  1.60 </v>
      </c>
      <c r="P1547" s="107" t="str">
        <f t="shared" si="8"/>
        <v>  4.01 </v>
      </c>
      <c r="Q1547" s="27"/>
    </row>
    <row r="1548" ht="15.75" customHeight="1">
      <c r="A1548" s="105" t="s">
        <v>1792</v>
      </c>
      <c r="B1548" s="19" t="str">
        <f t="array" ref="B1548">XLOOKUP(A1548,Data!F:F,Data!G:G)</f>
        <v>J1F</v>
      </c>
      <c r="C1548" s="19" t="str">
        <f t="shared" si="3"/>
        <v>J103</v>
      </c>
      <c r="D1548" s="19" t="str">
        <f t="array" ref="D1548">XLOOKUP(A1548,Data!F:F,Data!C:C)</f>
        <v/>
      </c>
      <c r="E1548" s="19" t="str">
        <f t="array" ref="E1548">XLOOKUP(A1548,Data!F:F,Data!H:H)</f>
        <v/>
      </c>
      <c r="F1548" s="106" t="str">
        <f>SUMIFS(Data!J:J,Data!F:F,A1548)</f>
        <v>1</v>
      </c>
      <c r="G1548" s="106" t="str">
        <f>SUMIFS(Cast!C:C,CastElements,A1548)</f>
        <v>0</v>
      </c>
      <c r="H1548" s="106" t="str">
        <f t="shared" si="4"/>
        <v>1</v>
      </c>
      <c r="I1548" s="106" t="str">
        <f>SUMIFS(Del!C:C,Del!B:B,A1548)</f>
        <v>0</v>
      </c>
      <c r="J1548" s="106" t="str">
        <f t="shared" si="5"/>
        <v>1</v>
      </c>
      <c r="K1548" s="106" t="str">
        <f t="shared" si="6"/>
        <v>0</v>
      </c>
      <c r="L1548" s="106"/>
      <c r="M1548" s="106" t="str">
        <f>SUMIFS(Ere!C:C,Ere!B:B,A1548)</f>
        <v>0</v>
      </c>
      <c r="N1548" s="106" t="str">
        <f t="shared" si="7"/>
        <v>1</v>
      </c>
      <c r="O1548" s="107" t="str">
        <f t="array" ref="O1548">XLOOKUP(A1548,Data!F:F,Data!O:O)</f>
        <v>  2.02 </v>
      </c>
      <c r="P1548" s="107" t="str">
        <f t="shared" si="8"/>
        <v>  5.05 </v>
      </c>
      <c r="Q1548" s="27"/>
    </row>
    <row r="1549" ht="15.75" customHeight="1">
      <c r="A1549" s="105" t="s">
        <v>1793</v>
      </c>
      <c r="B1549" s="19" t="str">
        <f t="array" ref="B1549">XLOOKUP(A1549,Data!F:F,Data!G:G)</f>
        <v>J1F</v>
      </c>
      <c r="C1549" s="19" t="str">
        <f t="shared" si="3"/>
        <v>J103</v>
      </c>
      <c r="D1549" s="19" t="str">
        <f t="array" ref="D1549">XLOOKUP(A1549,Data!F:F,Data!C:C)</f>
        <v>EXT</v>
      </c>
      <c r="E1549" s="19" t="str">
        <f t="array" ref="E1549">XLOOKUP(A1549,Data!F:F,Data!H:H)</f>
        <v/>
      </c>
      <c r="F1549" s="106" t="str">
        <f>SUMIFS(Data!J:J,Data!F:F,A1549)</f>
        <v>1</v>
      </c>
      <c r="G1549" s="106" t="str">
        <f>SUMIFS(Cast!C:C,CastElements,A1549)</f>
        <v>0</v>
      </c>
      <c r="H1549" s="106" t="str">
        <f t="shared" si="4"/>
        <v>1</v>
      </c>
      <c r="I1549" s="106" t="str">
        <f>SUMIFS(Del!C:C,Del!B:B,A1549)</f>
        <v>0</v>
      </c>
      <c r="J1549" s="106" t="str">
        <f t="shared" si="5"/>
        <v>1</v>
      </c>
      <c r="K1549" s="106" t="str">
        <f t="shared" si="6"/>
        <v>0</v>
      </c>
      <c r="L1549" s="106"/>
      <c r="M1549" s="106" t="str">
        <f>SUMIFS(Ere!C:C,Ere!B:B,A1549)</f>
        <v>0</v>
      </c>
      <c r="N1549" s="106" t="str">
        <f t="shared" si="7"/>
        <v>1</v>
      </c>
      <c r="O1549" s="107" t="str">
        <f t="array" ref="O1549">XLOOKUP(A1549,Data!F:F,Data!O:O)</f>
        <v>  2.02 </v>
      </c>
      <c r="P1549" s="107" t="str">
        <f t="shared" si="8"/>
        <v>  5.05 </v>
      </c>
      <c r="Q1549" s="27"/>
    </row>
    <row r="1550" ht="15.75" customHeight="1">
      <c r="A1550" s="105" t="s">
        <v>1794</v>
      </c>
      <c r="B1550" s="19" t="str">
        <f t="array" ref="B1550">XLOOKUP(A1550,Data!F:F,Data!G:G)</f>
        <v>J1F</v>
      </c>
      <c r="C1550" s="19" t="str">
        <f t="shared" si="3"/>
        <v>J103</v>
      </c>
      <c r="D1550" s="19" t="str">
        <f t="array" ref="D1550">XLOOKUP(A1550,Data!F:F,Data!C:C)</f>
        <v>EXT</v>
      </c>
      <c r="E1550" s="19" t="str">
        <f t="array" ref="E1550">XLOOKUP(A1550,Data!F:F,Data!H:H)</f>
        <v/>
      </c>
      <c r="F1550" s="106" t="str">
        <f>SUMIFS(Data!J:J,Data!F:F,A1550)</f>
        <v>1</v>
      </c>
      <c r="G1550" s="106" t="str">
        <f>SUMIFS(Cast!C:C,CastElements,A1550)</f>
        <v>0</v>
      </c>
      <c r="H1550" s="106" t="str">
        <f t="shared" si="4"/>
        <v>1</v>
      </c>
      <c r="I1550" s="106" t="str">
        <f>SUMIFS(Del!C:C,Del!B:B,A1550)</f>
        <v>0</v>
      </c>
      <c r="J1550" s="106" t="str">
        <f t="shared" si="5"/>
        <v>1</v>
      </c>
      <c r="K1550" s="106" t="str">
        <f t="shared" si="6"/>
        <v>0</v>
      </c>
      <c r="L1550" s="106"/>
      <c r="M1550" s="106" t="str">
        <f>SUMIFS(Ere!C:C,Ere!B:B,A1550)</f>
        <v>0</v>
      </c>
      <c r="N1550" s="106" t="str">
        <f t="shared" si="7"/>
        <v>1</v>
      </c>
      <c r="O1550" s="107" t="str">
        <f t="array" ref="O1550">XLOOKUP(A1550,Data!F:F,Data!O:O)</f>
        <v>  2.02 </v>
      </c>
      <c r="P1550" s="107" t="str">
        <f t="shared" si="8"/>
        <v>  5.05 </v>
      </c>
      <c r="Q1550" s="27"/>
    </row>
    <row r="1551" ht="15.75" customHeight="1">
      <c r="A1551" s="105" t="s">
        <v>1795</v>
      </c>
      <c r="B1551" s="19" t="str">
        <f t="array" ref="B1551">XLOOKUP(A1551,Data!F:F,Data!G:G)</f>
        <v>J1F</v>
      </c>
      <c r="C1551" s="19" t="str">
        <f t="shared" si="3"/>
        <v>J103</v>
      </c>
      <c r="D1551" s="19" t="str">
        <f t="array" ref="D1551">XLOOKUP(A1551,Data!F:F,Data!C:C)</f>
        <v>EXT</v>
      </c>
      <c r="E1551" s="19" t="str">
        <f t="array" ref="E1551">XLOOKUP(A1551,Data!F:F,Data!H:H)</f>
        <v/>
      </c>
      <c r="F1551" s="106" t="str">
        <f>SUMIFS(Data!J:J,Data!F:F,A1551)</f>
        <v>1</v>
      </c>
      <c r="G1551" s="106" t="str">
        <f>SUMIFS(Cast!C:C,CastElements,A1551)</f>
        <v>0</v>
      </c>
      <c r="H1551" s="106" t="str">
        <f t="shared" si="4"/>
        <v>1</v>
      </c>
      <c r="I1551" s="106" t="str">
        <f>SUMIFS(Del!C:C,Del!B:B,A1551)</f>
        <v>0</v>
      </c>
      <c r="J1551" s="106" t="str">
        <f t="shared" si="5"/>
        <v>1</v>
      </c>
      <c r="K1551" s="106" t="str">
        <f t="shared" si="6"/>
        <v>0</v>
      </c>
      <c r="L1551" s="106"/>
      <c r="M1551" s="106" t="str">
        <f>SUMIFS(Ere!C:C,Ere!B:B,A1551)</f>
        <v>0</v>
      </c>
      <c r="N1551" s="106" t="str">
        <f t="shared" si="7"/>
        <v>1</v>
      </c>
      <c r="O1551" s="107" t="str">
        <f t="array" ref="O1551">XLOOKUP(A1551,Data!F:F,Data!O:O)</f>
        <v>  2.02 </v>
      </c>
      <c r="P1551" s="107" t="str">
        <f t="shared" si="8"/>
        <v>  5.05 </v>
      </c>
      <c r="Q1551" s="27"/>
    </row>
    <row r="1552" ht="15.75" customHeight="1">
      <c r="A1552" s="105" t="s">
        <v>1796</v>
      </c>
      <c r="B1552" s="19" t="str">
        <f t="array" ref="B1552">XLOOKUP(A1552,Data!F:F,Data!G:G)</f>
        <v>J1F</v>
      </c>
      <c r="C1552" s="19" t="str">
        <f t="shared" si="3"/>
        <v>J103</v>
      </c>
      <c r="D1552" s="19" t="str">
        <f t="array" ref="D1552">XLOOKUP(A1552,Data!F:F,Data!C:C)</f>
        <v>EXT</v>
      </c>
      <c r="E1552" s="19" t="str">
        <f t="array" ref="E1552">XLOOKUP(A1552,Data!F:F,Data!H:H)</f>
        <v/>
      </c>
      <c r="F1552" s="106" t="str">
        <f>SUMIFS(Data!J:J,Data!F:F,A1552)</f>
        <v>1</v>
      </c>
      <c r="G1552" s="106" t="str">
        <f>SUMIFS(Cast!C:C,CastElements,A1552)</f>
        <v>0</v>
      </c>
      <c r="H1552" s="106" t="str">
        <f t="shared" si="4"/>
        <v>1</v>
      </c>
      <c r="I1552" s="106" t="str">
        <f>SUMIFS(Del!C:C,Del!B:B,A1552)</f>
        <v>0</v>
      </c>
      <c r="J1552" s="106" t="str">
        <f t="shared" si="5"/>
        <v>1</v>
      </c>
      <c r="K1552" s="106" t="str">
        <f t="shared" si="6"/>
        <v>0</v>
      </c>
      <c r="L1552" s="106"/>
      <c r="M1552" s="106" t="str">
        <f>SUMIFS(Ere!C:C,Ere!B:B,A1552)</f>
        <v>0</v>
      </c>
      <c r="N1552" s="106" t="str">
        <f t="shared" si="7"/>
        <v>1</v>
      </c>
      <c r="O1552" s="107" t="str">
        <f t="array" ref="O1552">XLOOKUP(A1552,Data!F:F,Data!O:O)</f>
        <v>  2.31 </v>
      </c>
      <c r="P1552" s="107" t="str">
        <f t="shared" si="8"/>
        <v>  5.78 </v>
      </c>
      <c r="Q1552" s="27"/>
    </row>
    <row r="1553" ht="15.75" customHeight="1">
      <c r="A1553" s="105" t="s">
        <v>1797</v>
      </c>
      <c r="B1553" s="19" t="str">
        <f t="array" ref="B1553">XLOOKUP(A1553,Data!F:F,Data!G:G)</f>
        <v>J1F</v>
      </c>
      <c r="C1553" s="19" t="str">
        <f t="shared" si="3"/>
        <v>J103</v>
      </c>
      <c r="D1553" s="19" t="str">
        <f t="array" ref="D1553">XLOOKUP(A1553,Data!F:F,Data!C:C)</f>
        <v>EXT</v>
      </c>
      <c r="E1553" s="19" t="str">
        <f t="array" ref="E1553">XLOOKUP(A1553,Data!F:F,Data!H:H)</f>
        <v/>
      </c>
      <c r="F1553" s="106" t="str">
        <f>SUMIFS(Data!J:J,Data!F:F,A1553)</f>
        <v>1</v>
      </c>
      <c r="G1553" s="106" t="str">
        <f>SUMIFS(Cast!C:C,CastElements,A1553)</f>
        <v>1</v>
      </c>
      <c r="H1553" s="106" t="str">
        <f t="shared" si="4"/>
        <v>0</v>
      </c>
      <c r="I1553" s="106" t="str">
        <f>SUMIFS(Del!C:C,Del!B:B,A1553)</f>
        <v>0</v>
      </c>
      <c r="J1553" s="106" t="str">
        <f t="shared" si="5"/>
        <v>1</v>
      </c>
      <c r="K1553" s="106" t="str">
        <f t="shared" si="6"/>
        <v>1</v>
      </c>
      <c r="L1553" s="106"/>
      <c r="M1553" s="106" t="str">
        <f>SUMIFS(Ere!C:C,Ere!B:B,A1553)</f>
        <v>0</v>
      </c>
      <c r="N1553" s="106" t="str">
        <f t="shared" si="7"/>
        <v>1</v>
      </c>
      <c r="O1553" s="107" t="str">
        <f t="array" ref="O1553">XLOOKUP(A1553,Data!F:F,Data!O:O)</f>
        <v>  2.18 </v>
      </c>
      <c r="P1553" s="107" t="str">
        <f t="shared" si="8"/>
        <v>  5.44 </v>
      </c>
      <c r="Q1553" s="27"/>
    </row>
    <row r="1554" ht="15.75" customHeight="1">
      <c r="A1554" s="105" t="s">
        <v>1798</v>
      </c>
      <c r="B1554" s="19" t="str">
        <f t="array" ref="B1554">XLOOKUP(A1554,Data!F:F,Data!G:G)</f>
        <v>J1F</v>
      </c>
      <c r="C1554" s="19" t="str">
        <f t="shared" si="3"/>
        <v>J103</v>
      </c>
      <c r="D1554" s="19" t="str">
        <f t="array" ref="D1554">XLOOKUP(A1554,Data!F:F,Data!C:C)</f>
        <v>EXT</v>
      </c>
      <c r="E1554" s="19" t="str">
        <f t="array" ref="E1554">XLOOKUP(A1554,Data!F:F,Data!H:H)</f>
        <v/>
      </c>
      <c r="F1554" s="106" t="str">
        <f>SUMIFS(Data!J:J,Data!F:F,A1554)</f>
        <v>1</v>
      </c>
      <c r="G1554" s="106" t="str">
        <f>SUMIFS(Cast!C:C,CastElements,A1554)</f>
        <v>0</v>
      </c>
      <c r="H1554" s="106" t="str">
        <f t="shared" si="4"/>
        <v>1</v>
      </c>
      <c r="I1554" s="106" t="str">
        <f>SUMIFS(Del!C:C,Del!B:B,A1554)</f>
        <v>0</v>
      </c>
      <c r="J1554" s="106" t="str">
        <f t="shared" si="5"/>
        <v>1</v>
      </c>
      <c r="K1554" s="106" t="str">
        <f t="shared" si="6"/>
        <v>0</v>
      </c>
      <c r="L1554" s="106"/>
      <c r="M1554" s="106" t="str">
        <f>SUMIFS(Ere!C:C,Ere!B:B,A1554)</f>
        <v>0</v>
      </c>
      <c r="N1554" s="106" t="str">
        <f t="shared" si="7"/>
        <v>1</v>
      </c>
      <c r="O1554" s="107" t="str">
        <f t="array" ref="O1554">XLOOKUP(A1554,Data!F:F,Data!O:O)</f>
        <v>  2.18 </v>
      </c>
      <c r="P1554" s="107" t="str">
        <f t="shared" si="8"/>
        <v>  5.44 </v>
      </c>
      <c r="Q1554" s="27"/>
    </row>
    <row r="1555" ht="15.75" customHeight="1">
      <c r="A1555" s="105" t="s">
        <v>1799</v>
      </c>
      <c r="B1555" s="19" t="str">
        <f t="array" ref="B1555">XLOOKUP(A1555,Data!F:F,Data!G:G)</f>
        <v>J1F</v>
      </c>
      <c r="C1555" s="19" t="str">
        <f t="shared" si="3"/>
        <v>J103</v>
      </c>
      <c r="D1555" s="19" t="str">
        <f t="array" ref="D1555">XLOOKUP(A1555,Data!F:F,Data!C:C)</f>
        <v>EXT</v>
      </c>
      <c r="E1555" s="19" t="str">
        <f t="array" ref="E1555">XLOOKUP(A1555,Data!F:F,Data!H:H)</f>
        <v/>
      </c>
      <c r="F1555" s="106" t="str">
        <f>SUMIFS(Data!J:J,Data!F:F,A1555)</f>
        <v>1</v>
      </c>
      <c r="G1555" s="106" t="str">
        <f>SUMIFS(Cast!C:C,CastElements,A1555)</f>
        <v>0</v>
      </c>
      <c r="H1555" s="106" t="str">
        <f t="shared" si="4"/>
        <v>1</v>
      </c>
      <c r="I1555" s="106" t="str">
        <f>SUMIFS(Del!C:C,Del!B:B,A1555)</f>
        <v>0</v>
      </c>
      <c r="J1555" s="106" t="str">
        <f t="shared" si="5"/>
        <v>1</v>
      </c>
      <c r="K1555" s="106" t="str">
        <f t="shared" si="6"/>
        <v>0</v>
      </c>
      <c r="L1555" s="106"/>
      <c r="M1555" s="106" t="str">
        <f>SUMIFS(Ere!C:C,Ere!B:B,A1555)</f>
        <v>0</v>
      </c>
      <c r="N1555" s="106" t="str">
        <f t="shared" si="7"/>
        <v>1</v>
      </c>
      <c r="O1555" s="107" t="str">
        <f t="array" ref="O1555">XLOOKUP(A1555,Data!F:F,Data!O:O)</f>
        <v>  2.18 </v>
      </c>
      <c r="P1555" s="107" t="str">
        <f t="shared" si="8"/>
        <v>  5.44 </v>
      </c>
      <c r="Q1555" s="27"/>
    </row>
    <row r="1556" ht="15.75" customHeight="1">
      <c r="A1556" s="105" t="s">
        <v>1800</v>
      </c>
      <c r="B1556" s="19" t="str">
        <f t="array" ref="B1556">XLOOKUP(A1556,Data!F:F,Data!G:G)</f>
        <v>J1F</v>
      </c>
      <c r="C1556" s="19" t="str">
        <f t="shared" si="3"/>
        <v>J103</v>
      </c>
      <c r="D1556" s="19" t="str">
        <f t="array" ref="D1556">XLOOKUP(A1556,Data!F:F,Data!C:C)</f>
        <v>EXT</v>
      </c>
      <c r="E1556" s="19" t="str">
        <f t="array" ref="E1556">XLOOKUP(A1556,Data!F:F,Data!H:H)</f>
        <v/>
      </c>
      <c r="F1556" s="106" t="str">
        <f>SUMIFS(Data!J:J,Data!F:F,A1556)</f>
        <v>1</v>
      </c>
      <c r="G1556" s="106" t="str">
        <f>SUMIFS(Cast!C:C,CastElements,A1556)</f>
        <v>0</v>
      </c>
      <c r="H1556" s="106" t="str">
        <f t="shared" si="4"/>
        <v>1</v>
      </c>
      <c r="I1556" s="106" t="str">
        <f>SUMIFS(Del!C:C,Del!B:B,A1556)</f>
        <v>0</v>
      </c>
      <c r="J1556" s="106" t="str">
        <f t="shared" si="5"/>
        <v>1</v>
      </c>
      <c r="K1556" s="106" t="str">
        <f t="shared" si="6"/>
        <v>0</v>
      </c>
      <c r="L1556" s="106"/>
      <c r="M1556" s="106" t="str">
        <f>SUMIFS(Ere!C:C,Ere!B:B,A1556)</f>
        <v>0</v>
      </c>
      <c r="N1556" s="106" t="str">
        <f t="shared" si="7"/>
        <v>1</v>
      </c>
      <c r="O1556" s="107" t="str">
        <f t="array" ref="O1556">XLOOKUP(A1556,Data!F:F,Data!O:O)</f>
        <v>  1.84 </v>
      </c>
      <c r="P1556" s="107" t="str">
        <f t="shared" si="8"/>
        <v>  4.60 </v>
      </c>
      <c r="Q1556" s="27"/>
    </row>
    <row r="1557" ht="15.75" customHeight="1">
      <c r="A1557" s="105" t="s">
        <v>1801</v>
      </c>
      <c r="B1557" s="19" t="str">
        <f t="array" ref="B1557">XLOOKUP(A1557,Data!F:F,Data!G:G)</f>
        <v>J1F</v>
      </c>
      <c r="C1557" s="19" t="str">
        <f t="shared" si="3"/>
        <v>J103</v>
      </c>
      <c r="D1557" s="19" t="str">
        <f t="array" ref="D1557">XLOOKUP(A1557,Data!F:F,Data!C:C)</f>
        <v>EXT</v>
      </c>
      <c r="E1557" s="19" t="str">
        <f t="array" ref="E1557">XLOOKUP(A1557,Data!F:F,Data!H:H)</f>
        <v/>
      </c>
      <c r="F1557" s="106" t="str">
        <f>SUMIFS(Data!J:J,Data!F:F,A1557)</f>
        <v>1</v>
      </c>
      <c r="G1557" s="106" t="str">
        <f>SUMIFS(Cast!C:C,CastElements,A1557)</f>
        <v>0</v>
      </c>
      <c r="H1557" s="106" t="str">
        <f t="shared" si="4"/>
        <v>1</v>
      </c>
      <c r="I1557" s="106" t="str">
        <f>SUMIFS(Del!C:C,Del!B:B,A1557)</f>
        <v>0</v>
      </c>
      <c r="J1557" s="106" t="str">
        <f t="shared" si="5"/>
        <v>1</v>
      </c>
      <c r="K1557" s="106" t="str">
        <f t="shared" si="6"/>
        <v>0</v>
      </c>
      <c r="L1557" s="106"/>
      <c r="M1557" s="106" t="str">
        <f>SUMIFS(Ere!C:C,Ere!B:B,A1557)</f>
        <v>0</v>
      </c>
      <c r="N1557" s="106" t="str">
        <f t="shared" si="7"/>
        <v>1</v>
      </c>
      <c r="O1557" s="107" t="str">
        <f t="array" ref="O1557">XLOOKUP(A1557,Data!F:F,Data!O:O)</f>
        <v>  0.53 </v>
      </c>
      <c r="P1557" s="107" t="str">
        <f t="shared" si="8"/>
        <v>  1.33 </v>
      </c>
      <c r="Q1557" s="27"/>
    </row>
    <row r="1558" ht="15.75" customHeight="1">
      <c r="A1558" s="105" t="s">
        <v>1802</v>
      </c>
      <c r="B1558" s="19" t="str">
        <f t="array" ref="B1558">XLOOKUP(A1558,Data!F:F,Data!G:G)</f>
        <v>J1F</v>
      </c>
      <c r="C1558" s="19" t="str">
        <f t="shared" si="3"/>
        <v>J103</v>
      </c>
      <c r="D1558" s="19" t="str">
        <f t="array" ref="D1558">XLOOKUP(A1558,Data!F:F,Data!C:C)</f>
        <v>EXT</v>
      </c>
      <c r="E1558" s="19" t="str">
        <f t="array" ref="E1558">XLOOKUP(A1558,Data!F:F,Data!H:H)</f>
        <v/>
      </c>
      <c r="F1558" s="106" t="str">
        <f>SUMIFS(Data!J:J,Data!F:F,A1558)</f>
        <v>1</v>
      </c>
      <c r="G1558" s="106" t="str">
        <f>SUMIFS(Cast!C:C,CastElements,A1558)</f>
        <v>0</v>
      </c>
      <c r="H1558" s="106" t="str">
        <f t="shared" si="4"/>
        <v>1</v>
      </c>
      <c r="I1558" s="106" t="str">
        <f>SUMIFS(Del!C:C,Del!B:B,A1558)</f>
        <v>0</v>
      </c>
      <c r="J1558" s="106" t="str">
        <f t="shared" si="5"/>
        <v>1</v>
      </c>
      <c r="K1558" s="106" t="str">
        <f t="shared" si="6"/>
        <v>0</v>
      </c>
      <c r="L1558" s="106"/>
      <c r="M1558" s="106" t="str">
        <f>SUMIFS(Ere!C:C,Ere!B:B,A1558)</f>
        <v>0</v>
      </c>
      <c r="N1558" s="106" t="str">
        <f t="shared" si="7"/>
        <v>1</v>
      </c>
      <c r="O1558" s="107" t="str">
        <f t="array" ref="O1558">XLOOKUP(A1558,Data!F:F,Data!O:O)</f>
        <v>  0.53 </v>
      </c>
      <c r="P1558" s="107" t="str">
        <f t="shared" si="8"/>
        <v>  1.33 </v>
      </c>
      <c r="Q1558" s="27"/>
    </row>
    <row r="1559" ht="15.75" customHeight="1">
      <c r="A1559" s="105" t="s">
        <v>1803</v>
      </c>
      <c r="B1559" s="19" t="str">
        <f t="array" ref="B1559">XLOOKUP(A1559,Data!F:F,Data!G:G)</f>
        <v>J1F</v>
      </c>
      <c r="C1559" s="19" t="str">
        <f t="shared" si="3"/>
        <v>J103</v>
      </c>
      <c r="D1559" s="19" t="str">
        <f t="array" ref="D1559">XLOOKUP(A1559,Data!F:F,Data!C:C)</f>
        <v>EXT</v>
      </c>
      <c r="E1559" s="19" t="str">
        <f t="array" ref="E1559">XLOOKUP(A1559,Data!F:F,Data!H:H)</f>
        <v/>
      </c>
      <c r="F1559" s="106" t="str">
        <f>SUMIFS(Data!J:J,Data!F:F,A1559)</f>
        <v>1</v>
      </c>
      <c r="G1559" s="106" t="str">
        <f>SUMIFS(Cast!C:C,CastElements,A1559)</f>
        <v>0</v>
      </c>
      <c r="H1559" s="106" t="str">
        <f t="shared" si="4"/>
        <v>1</v>
      </c>
      <c r="I1559" s="106" t="str">
        <f>SUMIFS(Del!C:C,Del!B:B,A1559)</f>
        <v>0</v>
      </c>
      <c r="J1559" s="106" t="str">
        <f t="shared" si="5"/>
        <v>1</v>
      </c>
      <c r="K1559" s="106" t="str">
        <f t="shared" si="6"/>
        <v>0</v>
      </c>
      <c r="L1559" s="106"/>
      <c r="M1559" s="106" t="str">
        <f>SUMIFS(Ere!C:C,Ere!B:B,A1559)</f>
        <v>0</v>
      </c>
      <c r="N1559" s="106" t="str">
        <f t="shared" si="7"/>
        <v>1</v>
      </c>
      <c r="O1559" s="107" t="str">
        <f t="array" ref="O1559">XLOOKUP(A1559,Data!F:F,Data!O:O)</f>
        <v>  0.53 </v>
      </c>
      <c r="P1559" s="107" t="str">
        <f t="shared" si="8"/>
        <v>  1.32 </v>
      </c>
      <c r="Q1559" s="27"/>
    </row>
    <row r="1560" ht="15.75" customHeight="1">
      <c r="A1560" s="105" t="s">
        <v>1804</v>
      </c>
      <c r="B1560" s="19" t="str">
        <f t="array" ref="B1560">XLOOKUP(A1560,Data!F:F,Data!G:G)</f>
        <v>J1F</v>
      </c>
      <c r="C1560" s="19" t="str">
        <f t="shared" si="3"/>
        <v>J103</v>
      </c>
      <c r="D1560" s="19" t="str">
        <f t="array" ref="D1560">XLOOKUP(A1560,Data!F:F,Data!C:C)</f>
        <v>EXT</v>
      </c>
      <c r="E1560" s="19" t="str">
        <f t="array" ref="E1560">XLOOKUP(A1560,Data!F:F,Data!H:H)</f>
        <v/>
      </c>
      <c r="F1560" s="106" t="str">
        <f>SUMIFS(Data!J:J,Data!F:F,A1560)</f>
        <v>1</v>
      </c>
      <c r="G1560" s="106" t="str">
        <f>SUMIFS(Cast!C:C,CastElements,A1560)</f>
        <v>0</v>
      </c>
      <c r="H1560" s="106" t="str">
        <f t="shared" si="4"/>
        <v>1</v>
      </c>
      <c r="I1560" s="106" t="str">
        <f>SUMIFS(Del!C:C,Del!B:B,A1560)</f>
        <v>0</v>
      </c>
      <c r="J1560" s="106" t="str">
        <f t="shared" si="5"/>
        <v>1</v>
      </c>
      <c r="K1560" s="106" t="str">
        <f t="shared" si="6"/>
        <v>0</v>
      </c>
      <c r="L1560" s="106"/>
      <c r="M1560" s="106" t="str">
        <f>SUMIFS(Ere!C:C,Ere!B:B,A1560)</f>
        <v>0</v>
      </c>
      <c r="N1560" s="106" t="str">
        <f t="shared" si="7"/>
        <v>1</v>
      </c>
      <c r="O1560" s="107" t="str">
        <f t="array" ref="O1560">XLOOKUP(A1560,Data!F:F,Data!O:O)</f>
        <v>  0.42 </v>
      </c>
      <c r="P1560" s="107" t="str">
        <f t="shared" si="8"/>
        <v>  1.04 </v>
      </c>
      <c r="Q1560" s="27"/>
    </row>
    <row r="1561" ht="15.75" customHeight="1">
      <c r="A1561" s="105" t="s">
        <v>1805</v>
      </c>
      <c r="B1561" s="19" t="str">
        <f t="array" ref="B1561">XLOOKUP(A1561,Data!F:F,Data!G:G)</f>
        <v>J1F</v>
      </c>
      <c r="C1561" s="19" t="str">
        <f t="shared" si="3"/>
        <v>J103</v>
      </c>
      <c r="D1561" s="19" t="str">
        <f t="array" ref="D1561">XLOOKUP(A1561,Data!F:F,Data!C:C)</f>
        <v>EXT</v>
      </c>
      <c r="E1561" s="19" t="str">
        <f t="array" ref="E1561">XLOOKUP(A1561,Data!F:F,Data!H:H)</f>
        <v/>
      </c>
      <c r="F1561" s="106" t="str">
        <f>SUMIFS(Data!J:J,Data!F:F,A1561)</f>
        <v>1</v>
      </c>
      <c r="G1561" s="106" t="str">
        <f>SUMIFS(Cast!C:C,CastElements,A1561)</f>
        <v>0</v>
      </c>
      <c r="H1561" s="106" t="str">
        <f t="shared" si="4"/>
        <v>1</v>
      </c>
      <c r="I1561" s="106" t="str">
        <f>SUMIFS(Del!C:C,Del!B:B,A1561)</f>
        <v>0</v>
      </c>
      <c r="J1561" s="106" t="str">
        <f t="shared" si="5"/>
        <v>1</v>
      </c>
      <c r="K1561" s="106" t="str">
        <f t="shared" si="6"/>
        <v>0</v>
      </c>
      <c r="L1561" s="106"/>
      <c r="M1561" s="106" t="str">
        <f>SUMIFS(Ere!C:C,Ere!B:B,A1561)</f>
        <v>0</v>
      </c>
      <c r="N1561" s="106" t="str">
        <f t="shared" si="7"/>
        <v>1</v>
      </c>
      <c r="O1561" s="107" t="str">
        <f t="array" ref="O1561">XLOOKUP(A1561,Data!F:F,Data!O:O)</f>
        <v>  0.56 </v>
      </c>
      <c r="P1561" s="107" t="str">
        <f t="shared" si="8"/>
        <v>  1.41 </v>
      </c>
      <c r="Q1561" s="27"/>
    </row>
    <row r="1562" ht="15.75" customHeight="1">
      <c r="A1562" s="105" t="s">
        <v>1806</v>
      </c>
      <c r="B1562" s="19" t="str">
        <f t="array" ref="B1562">XLOOKUP(A1562,Data!F:F,Data!G:G)</f>
        <v>J1F</v>
      </c>
      <c r="C1562" s="19" t="str">
        <f t="shared" si="3"/>
        <v>J104</v>
      </c>
      <c r="D1562" s="19" t="str">
        <f t="array" ref="D1562">XLOOKUP(A1562,Data!F:F,Data!C:C)</f>
        <v>EXT</v>
      </c>
      <c r="E1562" s="19" t="str">
        <f t="array" ref="E1562">XLOOKUP(A1562,Data!F:F,Data!H:H)</f>
        <v/>
      </c>
      <c r="F1562" s="106" t="str">
        <f>SUMIFS(Data!J:J,Data!F:F,A1562)</f>
        <v>1</v>
      </c>
      <c r="G1562" s="106" t="str">
        <f>SUMIFS(Cast!C:C,CastElements,A1562)</f>
        <v>0</v>
      </c>
      <c r="H1562" s="106" t="str">
        <f t="shared" si="4"/>
        <v>1</v>
      </c>
      <c r="I1562" s="106" t="str">
        <f>SUMIFS(Del!C:C,Del!B:B,A1562)</f>
        <v>0</v>
      </c>
      <c r="J1562" s="106" t="str">
        <f t="shared" si="5"/>
        <v>1</v>
      </c>
      <c r="K1562" s="106" t="str">
        <f t="shared" si="6"/>
        <v>0</v>
      </c>
      <c r="L1562" s="106"/>
      <c r="M1562" s="106" t="str">
        <f>SUMIFS(Ere!C:C,Ere!B:B,A1562)</f>
        <v>0</v>
      </c>
      <c r="N1562" s="106" t="str">
        <f t="shared" si="7"/>
        <v>1</v>
      </c>
      <c r="O1562" s="107" t="str">
        <f t="array" ref="O1562">XLOOKUP(A1562,Data!F:F,Data!O:O)</f>
        <v>  0.87 </v>
      </c>
      <c r="P1562" s="107" t="str">
        <f t="shared" si="8"/>
        <v>  2.18 </v>
      </c>
      <c r="Q1562" s="27"/>
    </row>
    <row r="1563" ht="15.75" customHeight="1">
      <c r="A1563" s="105" t="s">
        <v>1807</v>
      </c>
      <c r="B1563" s="19" t="str">
        <f t="array" ref="B1563">XLOOKUP(A1563,Data!F:F,Data!G:G)</f>
        <v>J1F</v>
      </c>
      <c r="C1563" s="19" t="str">
        <f t="shared" si="3"/>
        <v>J104</v>
      </c>
      <c r="D1563" s="19" t="str">
        <f t="array" ref="D1563">XLOOKUP(A1563,Data!F:F,Data!C:C)</f>
        <v>EXT</v>
      </c>
      <c r="E1563" s="19" t="str">
        <f t="array" ref="E1563">XLOOKUP(A1563,Data!F:F,Data!H:H)</f>
        <v/>
      </c>
      <c r="F1563" s="106" t="str">
        <f>SUMIFS(Data!J:J,Data!F:F,A1563)</f>
        <v>1</v>
      </c>
      <c r="G1563" s="106" t="str">
        <f>SUMIFS(Cast!C:C,CastElements,A1563)</f>
        <v>0</v>
      </c>
      <c r="H1563" s="106" t="str">
        <f t="shared" si="4"/>
        <v>1</v>
      </c>
      <c r="I1563" s="106" t="str">
        <f>SUMIFS(Del!C:C,Del!B:B,A1563)</f>
        <v>0</v>
      </c>
      <c r="J1563" s="106" t="str">
        <f t="shared" si="5"/>
        <v>1</v>
      </c>
      <c r="K1563" s="106" t="str">
        <f t="shared" si="6"/>
        <v>0</v>
      </c>
      <c r="L1563" s="106"/>
      <c r="M1563" s="106" t="str">
        <f>SUMIFS(Ere!C:C,Ere!B:B,A1563)</f>
        <v>0</v>
      </c>
      <c r="N1563" s="106" t="str">
        <f t="shared" si="7"/>
        <v>1</v>
      </c>
      <c r="O1563" s="107" t="str">
        <f t="array" ref="O1563">XLOOKUP(A1563,Data!F:F,Data!O:O)</f>
        <v>  0.87 </v>
      </c>
      <c r="P1563" s="107" t="str">
        <f t="shared" si="8"/>
        <v>  2.18 </v>
      </c>
      <c r="Q1563" s="27"/>
    </row>
    <row r="1564" ht="15.75" customHeight="1">
      <c r="A1564" s="105" t="s">
        <v>1808</v>
      </c>
      <c r="B1564" s="19" t="str">
        <f t="array" ref="B1564">XLOOKUP(A1564,Data!F:F,Data!G:G)</f>
        <v>J1F</v>
      </c>
      <c r="C1564" s="19" t="str">
        <f t="shared" si="3"/>
        <v>J104</v>
      </c>
      <c r="D1564" s="19" t="str">
        <f t="array" ref="D1564">XLOOKUP(A1564,Data!F:F,Data!C:C)</f>
        <v>EXT</v>
      </c>
      <c r="E1564" s="19" t="str">
        <f t="array" ref="E1564">XLOOKUP(A1564,Data!F:F,Data!H:H)</f>
        <v/>
      </c>
      <c r="F1564" s="106" t="str">
        <f>SUMIFS(Data!J:J,Data!F:F,A1564)</f>
        <v>1</v>
      </c>
      <c r="G1564" s="106" t="str">
        <f>SUMIFS(Cast!C:C,CastElements,A1564)</f>
        <v>0</v>
      </c>
      <c r="H1564" s="106" t="str">
        <f t="shared" si="4"/>
        <v>1</v>
      </c>
      <c r="I1564" s="106" t="str">
        <f>SUMIFS(Del!C:C,Del!B:B,A1564)</f>
        <v>0</v>
      </c>
      <c r="J1564" s="106" t="str">
        <f t="shared" si="5"/>
        <v>1</v>
      </c>
      <c r="K1564" s="106" t="str">
        <f t="shared" si="6"/>
        <v>0</v>
      </c>
      <c r="L1564" s="106"/>
      <c r="M1564" s="106" t="str">
        <f>SUMIFS(Ere!C:C,Ere!B:B,A1564)</f>
        <v>0</v>
      </c>
      <c r="N1564" s="106" t="str">
        <f t="shared" si="7"/>
        <v>1</v>
      </c>
      <c r="O1564" s="107" t="str">
        <f t="array" ref="O1564">XLOOKUP(A1564,Data!F:F,Data!O:O)</f>
        <v>  0.95 </v>
      </c>
      <c r="P1564" s="107" t="str">
        <f t="shared" si="8"/>
        <v>  2.38 </v>
      </c>
      <c r="Q1564" s="27"/>
    </row>
    <row r="1565" ht="15.75" customHeight="1">
      <c r="A1565" s="105" t="s">
        <v>1809</v>
      </c>
      <c r="B1565" s="19" t="str">
        <f t="array" ref="B1565">XLOOKUP(A1565,Data!F:F,Data!G:G)</f>
        <v>J1F</v>
      </c>
      <c r="C1565" s="19" t="str">
        <f t="shared" si="3"/>
        <v>J104</v>
      </c>
      <c r="D1565" s="19" t="str">
        <f t="array" ref="D1565">XLOOKUP(A1565,Data!F:F,Data!C:C)</f>
        <v>EXT</v>
      </c>
      <c r="E1565" s="19" t="str">
        <f t="array" ref="E1565">XLOOKUP(A1565,Data!F:F,Data!H:H)</f>
        <v/>
      </c>
      <c r="F1565" s="106" t="str">
        <f>SUMIFS(Data!J:J,Data!F:F,A1565)</f>
        <v>1</v>
      </c>
      <c r="G1565" s="106" t="str">
        <f>SUMIFS(Cast!C:C,CastElements,A1565)</f>
        <v>0</v>
      </c>
      <c r="H1565" s="106" t="str">
        <f t="shared" si="4"/>
        <v>1</v>
      </c>
      <c r="I1565" s="106" t="str">
        <f>SUMIFS(Del!C:C,Del!B:B,A1565)</f>
        <v>0</v>
      </c>
      <c r="J1565" s="106" t="str">
        <f t="shared" si="5"/>
        <v>1</v>
      </c>
      <c r="K1565" s="106" t="str">
        <f t="shared" si="6"/>
        <v>0</v>
      </c>
      <c r="L1565" s="106"/>
      <c r="M1565" s="106" t="str">
        <f>SUMIFS(Ere!C:C,Ere!B:B,A1565)</f>
        <v>0</v>
      </c>
      <c r="N1565" s="106" t="str">
        <f t="shared" si="7"/>
        <v>1</v>
      </c>
      <c r="O1565" s="107" t="str">
        <f t="array" ref="O1565">XLOOKUP(A1565,Data!F:F,Data!O:O)</f>
        <v>  0.92 </v>
      </c>
      <c r="P1565" s="107" t="str">
        <f t="shared" si="8"/>
        <v>  2.29 </v>
      </c>
      <c r="Q1565" s="27"/>
    </row>
    <row r="1566" ht="15.75" customHeight="1">
      <c r="A1566" s="105" t="s">
        <v>1810</v>
      </c>
      <c r="B1566" s="19" t="str">
        <f t="array" ref="B1566">XLOOKUP(A1566,Data!F:F,Data!G:G)</f>
        <v>J1F</v>
      </c>
      <c r="C1566" s="19" t="str">
        <f t="shared" si="3"/>
        <v>J104</v>
      </c>
      <c r="D1566" s="19" t="str">
        <f t="array" ref="D1566">XLOOKUP(A1566,Data!F:F,Data!C:C)</f>
        <v>EXT</v>
      </c>
      <c r="E1566" s="19" t="str">
        <f t="array" ref="E1566">XLOOKUP(A1566,Data!F:F,Data!H:H)</f>
        <v/>
      </c>
      <c r="F1566" s="106" t="str">
        <f>SUMIFS(Data!J:J,Data!F:F,A1566)</f>
        <v>1</v>
      </c>
      <c r="G1566" s="106" t="str">
        <f>SUMIFS(Cast!C:C,CastElements,A1566)</f>
        <v>0</v>
      </c>
      <c r="H1566" s="106" t="str">
        <f t="shared" si="4"/>
        <v>1</v>
      </c>
      <c r="I1566" s="106" t="str">
        <f>SUMIFS(Del!C:C,Del!B:B,A1566)</f>
        <v>0</v>
      </c>
      <c r="J1566" s="106" t="str">
        <f t="shared" si="5"/>
        <v>1</v>
      </c>
      <c r="K1566" s="106" t="str">
        <f t="shared" si="6"/>
        <v>0</v>
      </c>
      <c r="L1566" s="106"/>
      <c r="M1566" s="106" t="str">
        <f>SUMIFS(Ere!C:C,Ere!B:B,A1566)</f>
        <v>0</v>
      </c>
      <c r="N1566" s="106" t="str">
        <f t="shared" si="7"/>
        <v>1</v>
      </c>
      <c r="O1566" s="107" t="str">
        <f t="array" ref="O1566">XLOOKUP(A1566,Data!F:F,Data!O:O)</f>
        <v>  1.91 </v>
      </c>
      <c r="P1566" s="107" t="str">
        <f t="shared" si="8"/>
        <v>  4.79 </v>
      </c>
      <c r="Q1566" s="27"/>
    </row>
    <row r="1567" ht="15.75" customHeight="1">
      <c r="A1567" s="105" t="s">
        <v>1811</v>
      </c>
      <c r="B1567" s="19" t="str">
        <f t="array" ref="B1567">XLOOKUP(A1567,Data!F:F,Data!G:G)</f>
        <v>J1F</v>
      </c>
      <c r="C1567" s="19" t="str">
        <f t="shared" si="3"/>
        <v>J104</v>
      </c>
      <c r="D1567" s="19" t="str">
        <f t="array" ref="D1567">XLOOKUP(A1567,Data!F:F,Data!C:C)</f>
        <v>EXT</v>
      </c>
      <c r="E1567" s="19" t="str">
        <f t="array" ref="E1567">XLOOKUP(A1567,Data!F:F,Data!H:H)</f>
        <v/>
      </c>
      <c r="F1567" s="106" t="str">
        <f>SUMIFS(Data!J:J,Data!F:F,A1567)</f>
        <v>1</v>
      </c>
      <c r="G1567" s="106" t="str">
        <f>SUMIFS(Cast!C:C,CastElements,A1567)</f>
        <v>0</v>
      </c>
      <c r="H1567" s="106" t="str">
        <f t="shared" si="4"/>
        <v>1</v>
      </c>
      <c r="I1567" s="106" t="str">
        <f>SUMIFS(Del!C:C,Del!B:B,A1567)</f>
        <v>0</v>
      </c>
      <c r="J1567" s="106" t="str">
        <f t="shared" si="5"/>
        <v>1</v>
      </c>
      <c r="K1567" s="106" t="str">
        <f t="shared" si="6"/>
        <v>0</v>
      </c>
      <c r="L1567" s="106"/>
      <c r="M1567" s="106" t="str">
        <f>SUMIFS(Ere!C:C,Ere!B:B,A1567)</f>
        <v>0</v>
      </c>
      <c r="N1567" s="106" t="str">
        <f t="shared" si="7"/>
        <v>1</v>
      </c>
      <c r="O1567" s="107" t="str">
        <f t="array" ref="O1567">XLOOKUP(A1567,Data!F:F,Data!O:O)</f>
        <v>  1.91 </v>
      </c>
      <c r="P1567" s="107" t="str">
        <f t="shared" si="8"/>
        <v>  4.79 </v>
      </c>
      <c r="Q1567" s="27"/>
    </row>
    <row r="1568" ht="15.75" customHeight="1">
      <c r="A1568" s="105" t="s">
        <v>1812</v>
      </c>
      <c r="B1568" s="19" t="str">
        <f t="array" ref="B1568">XLOOKUP(A1568,Data!F:F,Data!G:G)</f>
        <v>J1F</v>
      </c>
      <c r="C1568" s="19" t="str">
        <f t="shared" si="3"/>
        <v>J104</v>
      </c>
      <c r="D1568" s="19" t="str">
        <f t="array" ref="D1568">XLOOKUP(A1568,Data!F:F,Data!C:C)</f>
        <v>EXT</v>
      </c>
      <c r="E1568" s="19" t="str">
        <f t="array" ref="E1568">XLOOKUP(A1568,Data!F:F,Data!H:H)</f>
        <v/>
      </c>
      <c r="F1568" s="106" t="str">
        <f>SUMIFS(Data!J:J,Data!F:F,A1568)</f>
        <v>1</v>
      </c>
      <c r="G1568" s="106" t="str">
        <f>SUMIFS(Cast!C:C,CastElements,A1568)</f>
        <v>0</v>
      </c>
      <c r="H1568" s="106" t="str">
        <f t="shared" si="4"/>
        <v>1</v>
      </c>
      <c r="I1568" s="106" t="str">
        <f>SUMIFS(Del!C:C,Del!B:B,A1568)</f>
        <v>0</v>
      </c>
      <c r="J1568" s="106" t="str">
        <f t="shared" si="5"/>
        <v>1</v>
      </c>
      <c r="K1568" s="106" t="str">
        <f t="shared" si="6"/>
        <v>0</v>
      </c>
      <c r="L1568" s="106"/>
      <c r="M1568" s="106" t="str">
        <f>SUMIFS(Ere!C:C,Ere!B:B,A1568)</f>
        <v>0</v>
      </c>
      <c r="N1568" s="106" t="str">
        <f t="shared" si="7"/>
        <v>1</v>
      </c>
      <c r="O1568" s="107" t="str">
        <f t="array" ref="O1568">XLOOKUP(A1568,Data!F:F,Data!O:O)</f>
        <v>  1.91 </v>
      </c>
      <c r="P1568" s="107" t="str">
        <f t="shared" si="8"/>
        <v>  4.79 </v>
      </c>
      <c r="Q1568" s="27"/>
    </row>
    <row r="1569" ht="15.75" customHeight="1">
      <c r="A1569" s="105" t="s">
        <v>1813</v>
      </c>
      <c r="B1569" s="19" t="str">
        <f t="array" ref="B1569">XLOOKUP(A1569,Data!F:F,Data!G:G)</f>
        <v>J1F</v>
      </c>
      <c r="C1569" s="19" t="str">
        <f t="shared" si="3"/>
        <v>J104</v>
      </c>
      <c r="D1569" s="19" t="str">
        <f t="array" ref="D1569">XLOOKUP(A1569,Data!F:F,Data!C:C)</f>
        <v>EXT</v>
      </c>
      <c r="E1569" s="19" t="str">
        <f t="array" ref="E1569">XLOOKUP(A1569,Data!F:F,Data!H:H)</f>
        <v/>
      </c>
      <c r="F1569" s="106" t="str">
        <f>SUMIFS(Data!J:J,Data!F:F,A1569)</f>
        <v>1</v>
      </c>
      <c r="G1569" s="106" t="str">
        <f>SUMIFS(Cast!C:C,CastElements,A1569)</f>
        <v>0</v>
      </c>
      <c r="H1569" s="106" t="str">
        <f t="shared" si="4"/>
        <v>1</v>
      </c>
      <c r="I1569" s="106" t="str">
        <f>SUMIFS(Del!C:C,Del!B:B,A1569)</f>
        <v>0</v>
      </c>
      <c r="J1569" s="106" t="str">
        <f t="shared" si="5"/>
        <v>1</v>
      </c>
      <c r="K1569" s="106" t="str">
        <f t="shared" si="6"/>
        <v>0</v>
      </c>
      <c r="L1569" s="106"/>
      <c r="M1569" s="106" t="str">
        <f>SUMIFS(Ere!C:C,Ere!B:B,A1569)</f>
        <v>0</v>
      </c>
      <c r="N1569" s="106" t="str">
        <f t="shared" si="7"/>
        <v>1</v>
      </c>
      <c r="O1569" s="107" t="str">
        <f t="array" ref="O1569">XLOOKUP(A1569,Data!F:F,Data!O:O)</f>
        <v>  1.91 </v>
      </c>
      <c r="P1569" s="107" t="str">
        <f t="shared" si="8"/>
        <v>  4.79 </v>
      </c>
      <c r="Q1569" s="27"/>
    </row>
    <row r="1570" ht="15.75" customHeight="1">
      <c r="A1570" s="105" t="s">
        <v>1814</v>
      </c>
      <c r="B1570" s="19" t="str">
        <f t="array" ref="B1570">XLOOKUP(A1570,Data!F:F,Data!G:G)</f>
        <v>J1F</v>
      </c>
      <c r="C1570" s="19" t="str">
        <f t="shared" si="3"/>
        <v>J104</v>
      </c>
      <c r="D1570" s="19" t="str">
        <f t="array" ref="D1570">XLOOKUP(A1570,Data!F:F,Data!C:C)</f>
        <v>EXT</v>
      </c>
      <c r="E1570" s="19" t="str">
        <f t="array" ref="E1570">XLOOKUP(A1570,Data!F:F,Data!H:H)</f>
        <v/>
      </c>
      <c r="F1570" s="106" t="str">
        <f>SUMIFS(Data!J:J,Data!F:F,A1570)</f>
        <v>1</v>
      </c>
      <c r="G1570" s="106" t="str">
        <f>SUMIFS(Cast!C:C,CastElements,A1570)</f>
        <v>0</v>
      </c>
      <c r="H1570" s="106" t="str">
        <f t="shared" si="4"/>
        <v>1</v>
      </c>
      <c r="I1570" s="106" t="str">
        <f>SUMIFS(Del!C:C,Del!B:B,A1570)</f>
        <v>0</v>
      </c>
      <c r="J1570" s="106" t="str">
        <f t="shared" si="5"/>
        <v>1</v>
      </c>
      <c r="K1570" s="106" t="str">
        <f t="shared" si="6"/>
        <v>0</v>
      </c>
      <c r="L1570" s="106"/>
      <c r="M1570" s="106" t="str">
        <f>SUMIFS(Ere!C:C,Ere!B:B,A1570)</f>
        <v>0</v>
      </c>
      <c r="N1570" s="106" t="str">
        <f t="shared" si="7"/>
        <v>1</v>
      </c>
      <c r="O1570" s="107" t="str">
        <f t="array" ref="O1570">XLOOKUP(A1570,Data!F:F,Data!O:O)</f>
        <v>  1.56 </v>
      </c>
      <c r="P1570" s="107" t="str">
        <f t="shared" si="8"/>
        <v>  3.90 </v>
      </c>
      <c r="Q1570" s="27"/>
    </row>
    <row r="1571" ht="15.75" customHeight="1">
      <c r="A1571" s="105" t="s">
        <v>1815</v>
      </c>
      <c r="B1571" s="19" t="str">
        <f t="array" ref="B1571">XLOOKUP(A1571,Data!F:F,Data!G:G)</f>
        <v>J1F</v>
      </c>
      <c r="C1571" s="19" t="str">
        <f t="shared" si="3"/>
        <v>J104</v>
      </c>
      <c r="D1571" s="19" t="str">
        <f t="array" ref="D1571">XLOOKUP(A1571,Data!F:F,Data!C:C)</f>
        <v>EXT</v>
      </c>
      <c r="E1571" s="19" t="str">
        <f t="array" ref="E1571">XLOOKUP(A1571,Data!F:F,Data!H:H)</f>
        <v/>
      </c>
      <c r="F1571" s="106" t="str">
        <f>SUMIFS(Data!J:J,Data!F:F,A1571)</f>
        <v>1</v>
      </c>
      <c r="G1571" s="106" t="str">
        <f>SUMIFS(Cast!C:C,CastElements,A1571)</f>
        <v>0</v>
      </c>
      <c r="H1571" s="106" t="str">
        <f t="shared" si="4"/>
        <v>1</v>
      </c>
      <c r="I1571" s="106" t="str">
        <f>SUMIFS(Del!C:C,Del!B:B,A1571)</f>
        <v>0</v>
      </c>
      <c r="J1571" s="106" t="str">
        <f t="shared" si="5"/>
        <v>1</v>
      </c>
      <c r="K1571" s="106" t="str">
        <f t="shared" si="6"/>
        <v>0</v>
      </c>
      <c r="L1571" s="106"/>
      <c r="M1571" s="106" t="str">
        <f>SUMIFS(Ere!C:C,Ere!B:B,A1571)</f>
        <v>0</v>
      </c>
      <c r="N1571" s="106" t="str">
        <f t="shared" si="7"/>
        <v>1</v>
      </c>
      <c r="O1571" s="107" t="str">
        <f t="array" ref="O1571">XLOOKUP(A1571,Data!F:F,Data!O:O)</f>
        <v>  1.87 </v>
      </c>
      <c r="P1571" s="107" t="str">
        <f t="shared" si="8"/>
        <v>  4.67 </v>
      </c>
      <c r="Q1571" s="27"/>
    </row>
    <row r="1572" ht="15.75" customHeight="1">
      <c r="A1572" s="105" t="s">
        <v>1816</v>
      </c>
      <c r="B1572" s="19" t="str">
        <f t="array" ref="B1572">XLOOKUP(A1572,Data!F:F,Data!G:G)</f>
        <v>J1F</v>
      </c>
      <c r="C1572" s="19" t="str">
        <f t="shared" si="3"/>
        <v>J104</v>
      </c>
      <c r="D1572" s="19" t="str">
        <f t="array" ref="D1572">XLOOKUP(A1572,Data!F:F,Data!C:C)</f>
        <v>EXT</v>
      </c>
      <c r="E1572" s="19" t="str">
        <f t="array" ref="E1572">XLOOKUP(A1572,Data!F:F,Data!H:H)</f>
        <v/>
      </c>
      <c r="F1572" s="106" t="str">
        <f>SUMIFS(Data!J:J,Data!F:F,A1572)</f>
        <v>1</v>
      </c>
      <c r="G1572" s="106" t="str">
        <f>SUMIFS(Cast!C:C,CastElements,A1572)</f>
        <v>0</v>
      </c>
      <c r="H1572" s="106" t="str">
        <f t="shared" si="4"/>
        <v>1</v>
      </c>
      <c r="I1572" s="106" t="str">
        <f>SUMIFS(Del!C:C,Del!B:B,A1572)</f>
        <v>0</v>
      </c>
      <c r="J1572" s="106" t="str">
        <f t="shared" si="5"/>
        <v>1</v>
      </c>
      <c r="K1572" s="106" t="str">
        <f t="shared" si="6"/>
        <v>0</v>
      </c>
      <c r="L1572" s="106"/>
      <c r="M1572" s="106" t="str">
        <f>SUMIFS(Ere!C:C,Ere!B:B,A1572)</f>
        <v>0</v>
      </c>
      <c r="N1572" s="106" t="str">
        <f t="shared" si="7"/>
        <v>1</v>
      </c>
      <c r="O1572" s="107" t="str">
        <f t="array" ref="O1572">XLOOKUP(A1572,Data!F:F,Data!O:O)</f>
        <v>  2.20 </v>
      </c>
      <c r="P1572" s="107" t="str">
        <f t="shared" si="8"/>
        <v>  5.51 </v>
      </c>
      <c r="Q1572" s="27"/>
    </row>
    <row r="1573" ht="15.75" customHeight="1">
      <c r="A1573" s="105" t="s">
        <v>1817</v>
      </c>
      <c r="B1573" s="19" t="str">
        <f t="array" ref="B1573">XLOOKUP(A1573,Data!F:F,Data!G:G)</f>
        <v>J1F</v>
      </c>
      <c r="C1573" s="19" t="str">
        <f t="shared" si="3"/>
        <v>J104</v>
      </c>
      <c r="D1573" s="19" t="str">
        <f t="array" ref="D1573">XLOOKUP(A1573,Data!F:F,Data!C:C)</f>
        <v>EXT</v>
      </c>
      <c r="E1573" s="19" t="str">
        <f t="array" ref="E1573">XLOOKUP(A1573,Data!F:F,Data!H:H)</f>
        <v/>
      </c>
      <c r="F1573" s="106" t="str">
        <f>SUMIFS(Data!J:J,Data!F:F,A1573)</f>
        <v>1</v>
      </c>
      <c r="G1573" s="106" t="str">
        <f>SUMIFS(Cast!C:C,CastElements,A1573)</f>
        <v>0</v>
      </c>
      <c r="H1573" s="106" t="str">
        <f t="shared" si="4"/>
        <v>1</v>
      </c>
      <c r="I1573" s="106" t="str">
        <f>SUMIFS(Del!C:C,Del!B:B,A1573)</f>
        <v>0</v>
      </c>
      <c r="J1573" s="106" t="str">
        <f t="shared" si="5"/>
        <v>1</v>
      </c>
      <c r="K1573" s="106" t="str">
        <f t="shared" si="6"/>
        <v>0</v>
      </c>
      <c r="L1573" s="106"/>
      <c r="M1573" s="106" t="str">
        <f>SUMIFS(Ere!C:C,Ere!B:B,A1573)</f>
        <v>0</v>
      </c>
      <c r="N1573" s="106" t="str">
        <f t="shared" si="7"/>
        <v>1</v>
      </c>
      <c r="O1573" s="107" t="str">
        <f t="array" ref="O1573">XLOOKUP(A1573,Data!F:F,Data!O:O)</f>
        <v>  2.20 </v>
      </c>
      <c r="P1573" s="107" t="str">
        <f t="shared" si="8"/>
        <v>  5.51 </v>
      </c>
      <c r="Q1573" s="27"/>
    </row>
    <row r="1574" ht="15.75" customHeight="1">
      <c r="A1574" s="105" t="s">
        <v>1818</v>
      </c>
      <c r="B1574" s="19" t="str">
        <f t="array" ref="B1574">XLOOKUP(A1574,Data!F:F,Data!G:G)</f>
        <v>J1F</v>
      </c>
      <c r="C1574" s="19" t="str">
        <f t="shared" si="3"/>
        <v>J104</v>
      </c>
      <c r="D1574" s="19" t="str">
        <f t="array" ref="D1574">XLOOKUP(A1574,Data!F:F,Data!C:C)</f>
        <v>EXT</v>
      </c>
      <c r="E1574" s="19" t="str">
        <f t="array" ref="E1574">XLOOKUP(A1574,Data!F:F,Data!H:H)</f>
        <v/>
      </c>
      <c r="F1574" s="106" t="str">
        <f>SUMIFS(Data!J:J,Data!F:F,A1574)</f>
        <v>1</v>
      </c>
      <c r="G1574" s="106" t="str">
        <f>SUMIFS(Cast!C:C,CastElements,A1574)</f>
        <v>0</v>
      </c>
      <c r="H1574" s="106" t="str">
        <f t="shared" si="4"/>
        <v>1</v>
      </c>
      <c r="I1574" s="106" t="str">
        <f>SUMIFS(Del!C:C,Del!B:B,A1574)</f>
        <v>0</v>
      </c>
      <c r="J1574" s="106" t="str">
        <f t="shared" si="5"/>
        <v>1</v>
      </c>
      <c r="K1574" s="106" t="str">
        <f t="shared" si="6"/>
        <v>0</v>
      </c>
      <c r="L1574" s="106"/>
      <c r="M1574" s="106" t="str">
        <f>SUMIFS(Ere!C:C,Ere!B:B,A1574)</f>
        <v>0</v>
      </c>
      <c r="N1574" s="106" t="str">
        <f t="shared" si="7"/>
        <v>1</v>
      </c>
      <c r="O1574" s="107" t="str">
        <f t="array" ref="O1574">XLOOKUP(A1574,Data!F:F,Data!O:O)</f>
        <v>  2.20 </v>
      </c>
      <c r="P1574" s="107" t="str">
        <f t="shared" si="8"/>
        <v>  5.51 </v>
      </c>
      <c r="Q1574" s="27"/>
    </row>
    <row r="1575" ht="15.75" customHeight="1">
      <c r="A1575" s="105" t="s">
        <v>1819</v>
      </c>
      <c r="B1575" s="19" t="str">
        <f t="array" ref="B1575">XLOOKUP(A1575,Data!F:F,Data!G:G)</f>
        <v>J1F</v>
      </c>
      <c r="C1575" s="19" t="str">
        <f t="shared" si="3"/>
        <v>J104</v>
      </c>
      <c r="D1575" s="19" t="str">
        <f t="array" ref="D1575">XLOOKUP(A1575,Data!F:F,Data!C:C)</f>
        <v>EXT</v>
      </c>
      <c r="E1575" s="19" t="str">
        <f t="array" ref="E1575">XLOOKUP(A1575,Data!F:F,Data!H:H)</f>
        <v/>
      </c>
      <c r="F1575" s="106" t="str">
        <f>SUMIFS(Data!J:J,Data!F:F,A1575)</f>
        <v>1</v>
      </c>
      <c r="G1575" s="106" t="str">
        <f>SUMIFS(Cast!C:C,CastElements,A1575)</f>
        <v>0</v>
      </c>
      <c r="H1575" s="106" t="str">
        <f t="shared" si="4"/>
        <v>1</v>
      </c>
      <c r="I1575" s="106" t="str">
        <f>SUMIFS(Del!C:C,Del!B:B,A1575)</f>
        <v>0</v>
      </c>
      <c r="J1575" s="106" t="str">
        <f t="shared" si="5"/>
        <v>1</v>
      </c>
      <c r="K1575" s="106" t="str">
        <f t="shared" si="6"/>
        <v>0</v>
      </c>
      <c r="L1575" s="106"/>
      <c r="M1575" s="106" t="str">
        <f>SUMIFS(Ere!C:C,Ere!B:B,A1575)</f>
        <v>0</v>
      </c>
      <c r="N1575" s="106" t="str">
        <f t="shared" si="7"/>
        <v>1</v>
      </c>
      <c r="O1575" s="107" t="str">
        <f t="array" ref="O1575">XLOOKUP(A1575,Data!F:F,Data!O:O)</f>
        <v>  2.31 </v>
      </c>
      <c r="P1575" s="107" t="str">
        <f t="shared" si="8"/>
        <v>  5.78 </v>
      </c>
      <c r="Q1575" s="27"/>
    </row>
    <row r="1576" ht="15.75" customHeight="1">
      <c r="A1576" s="105" t="s">
        <v>1820</v>
      </c>
      <c r="B1576" s="19" t="str">
        <f t="array" ref="B1576">XLOOKUP(A1576,Data!F:F,Data!G:G)</f>
        <v>J1F</v>
      </c>
      <c r="C1576" s="19" t="str">
        <f t="shared" si="3"/>
        <v>J104</v>
      </c>
      <c r="D1576" s="19" t="str">
        <f t="array" ref="D1576">XLOOKUP(A1576,Data!F:F,Data!C:C)</f>
        <v>EXT</v>
      </c>
      <c r="E1576" s="19" t="str">
        <f t="array" ref="E1576">XLOOKUP(A1576,Data!F:F,Data!H:H)</f>
        <v/>
      </c>
      <c r="F1576" s="106" t="str">
        <f>SUMIFS(Data!J:J,Data!F:F,A1576)</f>
        <v>1</v>
      </c>
      <c r="G1576" s="106" t="str">
        <f>SUMIFS(Cast!C:C,CastElements,A1576)</f>
        <v>0</v>
      </c>
      <c r="H1576" s="106" t="str">
        <f t="shared" si="4"/>
        <v>1</v>
      </c>
      <c r="I1576" s="106" t="str">
        <f>SUMIFS(Del!C:C,Del!B:B,A1576)</f>
        <v>0</v>
      </c>
      <c r="J1576" s="106" t="str">
        <f t="shared" si="5"/>
        <v>1</v>
      </c>
      <c r="K1576" s="106" t="str">
        <f t="shared" si="6"/>
        <v>0</v>
      </c>
      <c r="L1576" s="106"/>
      <c r="M1576" s="106" t="str">
        <f>SUMIFS(Ere!C:C,Ere!B:B,A1576)</f>
        <v>0</v>
      </c>
      <c r="N1576" s="106" t="str">
        <f t="shared" si="7"/>
        <v>1</v>
      </c>
      <c r="O1576" s="107" t="str">
        <f t="array" ref="O1576">XLOOKUP(A1576,Data!F:F,Data!O:O)</f>
        <v>  0.41 </v>
      </c>
      <c r="P1576" s="107" t="str">
        <f t="shared" si="8"/>
        <v>  1.03 </v>
      </c>
      <c r="Q1576" s="27"/>
    </row>
    <row r="1577" ht="15.75" customHeight="1">
      <c r="A1577" s="105" t="s">
        <v>1821</v>
      </c>
      <c r="B1577" s="19" t="str">
        <f t="array" ref="B1577">XLOOKUP(A1577,Data!F:F,Data!G:G)</f>
        <v>J1F</v>
      </c>
      <c r="C1577" s="19" t="str">
        <f t="shared" si="3"/>
        <v>J104</v>
      </c>
      <c r="D1577" s="19" t="str">
        <f t="array" ref="D1577">XLOOKUP(A1577,Data!F:F,Data!C:C)</f>
        <v>EXT</v>
      </c>
      <c r="E1577" s="19" t="str">
        <f t="array" ref="E1577">XLOOKUP(A1577,Data!F:F,Data!H:H)</f>
        <v/>
      </c>
      <c r="F1577" s="106" t="str">
        <f>SUMIFS(Data!J:J,Data!F:F,A1577)</f>
        <v>1</v>
      </c>
      <c r="G1577" s="106" t="str">
        <f>SUMIFS(Cast!C:C,CastElements,A1577)</f>
        <v>0</v>
      </c>
      <c r="H1577" s="106" t="str">
        <f t="shared" si="4"/>
        <v>1</v>
      </c>
      <c r="I1577" s="106" t="str">
        <f>SUMIFS(Del!C:C,Del!B:B,A1577)</f>
        <v>0</v>
      </c>
      <c r="J1577" s="106" t="str">
        <f t="shared" si="5"/>
        <v>1</v>
      </c>
      <c r="K1577" s="106" t="str">
        <f t="shared" si="6"/>
        <v>0</v>
      </c>
      <c r="L1577" s="106"/>
      <c r="M1577" s="106" t="str">
        <f>SUMIFS(Ere!C:C,Ere!B:B,A1577)</f>
        <v>0</v>
      </c>
      <c r="N1577" s="106" t="str">
        <f t="shared" si="7"/>
        <v>1</v>
      </c>
      <c r="O1577" s="107" t="str">
        <f t="array" ref="O1577">XLOOKUP(A1577,Data!F:F,Data!O:O)</f>
        <v>  0.55 </v>
      </c>
      <c r="P1577" s="107" t="str">
        <f t="shared" si="8"/>
        <v>  1.38 </v>
      </c>
      <c r="Q1577" s="27"/>
    </row>
    <row r="1578" ht="15.75" customHeight="1">
      <c r="A1578" s="105" t="s">
        <v>1822</v>
      </c>
      <c r="B1578" s="19" t="str">
        <f t="array" ref="B1578">XLOOKUP(A1578,Data!F:F,Data!G:G)</f>
        <v>J1F</v>
      </c>
      <c r="C1578" s="19" t="str">
        <f t="shared" si="3"/>
        <v>J105</v>
      </c>
      <c r="D1578" s="19" t="str">
        <f t="array" ref="D1578">XLOOKUP(A1578,Data!F:F,Data!C:C)</f>
        <v>EXT</v>
      </c>
      <c r="E1578" s="19" t="str">
        <f t="array" ref="E1578">XLOOKUP(A1578,Data!F:F,Data!H:H)</f>
        <v/>
      </c>
      <c r="F1578" s="106" t="str">
        <f>SUMIFS(Data!J:J,Data!F:F,A1578)</f>
        <v>1</v>
      </c>
      <c r="G1578" s="106" t="str">
        <f>SUMIFS(Cast!C:C,CastElements,A1578)</f>
        <v>0</v>
      </c>
      <c r="H1578" s="106" t="str">
        <f t="shared" si="4"/>
        <v>1</v>
      </c>
      <c r="I1578" s="106" t="str">
        <f>SUMIFS(Del!C:C,Del!B:B,A1578)</f>
        <v>0</v>
      </c>
      <c r="J1578" s="106" t="str">
        <f t="shared" si="5"/>
        <v>1</v>
      </c>
      <c r="K1578" s="106" t="str">
        <f t="shared" si="6"/>
        <v>0</v>
      </c>
      <c r="L1578" s="106"/>
      <c r="M1578" s="106" t="str">
        <f>SUMIFS(Ere!C:C,Ere!B:B,A1578)</f>
        <v>0</v>
      </c>
      <c r="N1578" s="106" t="str">
        <f t="shared" si="7"/>
        <v>1</v>
      </c>
      <c r="O1578" s="107" t="str">
        <f t="array" ref="O1578">XLOOKUP(A1578,Data!F:F,Data!O:O)</f>
        <v>  0.97 </v>
      </c>
      <c r="P1578" s="107" t="str">
        <f t="shared" si="8"/>
        <v>  2.44 </v>
      </c>
      <c r="Q1578" s="27"/>
    </row>
    <row r="1579" ht="15.75" customHeight="1">
      <c r="A1579" s="105" t="s">
        <v>1823</v>
      </c>
      <c r="B1579" s="19" t="str">
        <f t="array" ref="B1579">XLOOKUP(A1579,Data!F:F,Data!G:G)</f>
        <v>J1F</v>
      </c>
      <c r="C1579" s="19" t="str">
        <f t="shared" si="3"/>
        <v>J105</v>
      </c>
      <c r="D1579" s="19" t="str">
        <f t="array" ref="D1579">XLOOKUP(A1579,Data!F:F,Data!C:C)</f>
        <v>EXT</v>
      </c>
      <c r="E1579" s="19" t="str">
        <f t="array" ref="E1579">XLOOKUP(A1579,Data!F:F,Data!H:H)</f>
        <v/>
      </c>
      <c r="F1579" s="106" t="str">
        <f>SUMIFS(Data!J:J,Data!F:F,A1579)</f>
        <v>1</v>
      </c>
      <c r="G1579" s="106" t="str">
        <f>SUMIFS(Cast!C:C,CastElements,A1579)</f>
        <v>0</v>
      </c>
      <c r="H1579" s="106" t="str">
        <f t="shared" si="4"/>
        <v>1</v>
      </c>
      <c r="I1579" s="106" t="str">
        <f>SUMIFS(Del!C:C,Del!B:B,A1579)</f>
        <v>0</v>
      </c>
      <c r="J1579" s="106" t="str">
        <f t="shared" si="5"/>
        <v>1</v>
      </c>
      <c r="K1579" s="106" t="str">
        <f t="shared" si="6"/>
        <v>0</v>
      </c>
      <c r="L1579" s="106"/>
      <c r="M1579" s="106" t="str">
        <f>SUMIFS(Ere!C:C,Ere!B:B,A1579)</f>
        <v>0</v>
      </c>
      <c r="N1579" s="106" t="str">
        <f t="shared" si="7"/>
        <v>1</v>
      </c>
      <c r="O1579" s="107" t="str">
        <f t="array" ref="O1579">XLOOKUP(A1579,Data!F:F,Data!O:O)</f>
        <v>  1.07 </v>
      </c>
      <c r="P1579" s="107" t="str">
        <f t="shared" si="8"/>
        <v>  2.67 </v>
      </c>
      <c r="Q1579" s="27"/>
    </row>
    <row r="1580" ht="15.75" customHeight="1">
      <c r="A1580" s="105" t="s">
        <v>1824</v>
      </c>
      <c r="B1580" s="19" t="str">
        <f t="array" ref="B1580">XLOOKUP(A1580,Data!F:F,Data!G:G)</f>
        <v>J1F</v>
      </c>
      <c r="C1580" s="19" t="str">
        <f t="shared" si="3"/>
        <v>J105</v>
      </c>
      <c r="D1580" s="19" t="str">
        <f t="array" ref="D1580">XLOOKUP(A1580,Data!F:F,Data!C:C)</f>
        <v>EXT</v>
      </c>
      <c r="E1580" s="19" t="str">
        <f t="array" ref="E1580">XLOOKUP(A1580,Data!F:F,Data!H:H)</f>
        <v/>
      </c>
      <c r="F1580" s="106" t="str">
        <f>SUMIFS(Data!J:J,Data!F:F,A1580)</f>
        <v>1</v>
      </c>
      <c r="G1580" s="106" t="str">
        <f>SUMIFS(Cast!C:C,CastElements,A1580)</f>
        <v>0</v>
      </c>
      <c r="H1580" s="106" t="str">
        <f t="shared" si="4"/>
        <v>1</v>
      </c>
      <c r="I1580" s="106" t="str">
        <f>SUMIFS(Del!C:C,Del!B:B,A1580)</f>
        <v>0</v>
      </c>
      <c r="J1580" s="106" t="str">
        <f t="shared" si="5"/>
        <v>1</v>
      </c>
      <c r="K1580" s="106" t="str">
        <f t="shared" si="6"/>
        <v>0</v>
      </c>
      <c r="L1580" s="106"/>
      <c r="M1580" s="106" t="str">
        <f>SUMIFS(Ere!C:C,Ere!B:B,A1580)</f>
        <v>0</v>
      </c>
      <c r="N1580" s="106" t="str">
        <f t="shared" si="7"/>
        <v>1</v>
      </c>
      <c r="O1580" s="107" t="str">
        <f t="array" ref="O1580">XLOOKUP(A1580,Data!F:F,Data!O:O)</f>
        <v>  0.92 </v>
      </c>
      <c r="P1580" s="107" t="str">
        <f t="shared" si="8"/>
        <v>  2.29 </v>
      </c>
      <c r="Q1580" s="27"/>
    </row>
    <row r="1581" ht="15.75" customHeight="1">
      <c r="A1581" s="105" t="s">
        <v>1825</v>
      </c>
      <c r="B1581" s="19" t="str">
        <f t="array" ref="B1581">XLOOKUP(A1581,Data!F:F,Data!G:G)</f>
        <v>J1F</v>
      </c>
      <c r="C1581" s="19" t="str">
        <f t="shared" si="3"/>
        <v>J105</v>
      </c>
      <c r="D1581" s="19" t="str">
        <f t="array" ref="D1581">XLOOKUP(A1581,Data!F:F,Data!C:C)</f>
        <v/>
      </c>
      <c r="E1581" s="19" t="str">
        <f t="array" ref="E1581">XLOOKUP(A1581,Data!F:F,Data!H:H)</f>
        <v/>
      </c>
      <c r="F1581" s="106" t="str">
        <f>SUMIFS(Data!J:J,Data!F:F,A1581)</f>
        <v>1</v>
      </c>
      <c r="G1581" s="106" t="str">
        <f>SUMIFS(Cast!C:C,CastElements,A1581)</f>
        <v>0</v>
      </c>
      <c r="H1581" s="106" t="str">
        <f t="shared" si="4"/>
        <v>1</v>
      </c>
      <c r="I1581" s="106" t="str">
        <f>SUMIFS(Del!C:C,Del!B:B,A1581)</f>
        <v>0</v>
      </c>
      <c r="J1581" s="106" t="str">
        <f t="shared" si="5"/>
        <v>1</v>
      </c>
      <c r="K1581" s="106" t="str">
        <f t="shared" si="6"/>
        <v>0</v>
      </c>
      <c r="L1581" s="106"/>
      <c r="M1581" s="106" t="str">
        <f>SUMIFS(Ere!C:C,Ere!B:B,A1581)</f>
        <v>0</v>
      </c>
      <c r="N1581" s="106" t="str">
        <f t="shared" si="7"/>
        <v>1</v>
      </c>
      <c r="O1581" s="107" t="str">
        <f t="array" ref="O1581">XLOOKUP(A1581,Data!F:F,Data!O:O)</f>
        <v>  1.60 </v>
      </c>
      <c r="P1581" s="107" t="str">
        <f t="shared" si="8"/>
        <v>  4.00 </v>
      </c>
      <c r="Q1581" s="27"/>
    </row>
    <row r="1582" ht="15.75" customHeight="1">
      <c r="A1582" s="105" t="s">
        <v>1826</v>
      </c>
      <c r="B1582" s="19" t="str">
        <f t="array" ref="B1582">XLOOKUP(A1582,Data!F:F,Data!G:G)</f>
        <v>J1F</v>
      </c>
      <c r="C1582" s="19" t="str">
        <f t="shared" si="3"/>
        <v>J105</v>
      </c>
      <c r="D1582" s="19" t="str">
        <f t="array" ref="D1582">XLOOKUP(A1582,Data!F:F,Data!C:C)</f>
        <v/>
      </c>
      <c r="E1582" s="19" t="str">
        <f t="array" ref="E1582">XLOOKUP(A1582,Data!F:F,Data!H:H)</f>
        <v/>
      </c>
      <c r="F1582" s="106" t="str">
        <f>SUMIFS(Data!J:J,Data!F:F,A1582)</f>
        <v>1</v>
      </c>
      <c r="G1582" s="106" t="str">
        <f>SUMIFS(Cast!C:C,CastElements,A1582)</f>
        <v>0</v>
      </c>
      <c r="H1582" s="106" t="str">
        <f t="shared" si="4"/>
        <v>1</v>
      </c>
      <c r="I1582" s="106" t="str">
        <f>SUMIFS(Del!C:C,Del!B:B,A1582)</f>
        <v>0</v>
      </c>
      <c r="J1582" s="106" t="str">
        <f t="shared" si="5"/>
        <v>1</v>
      </c>
      <c r="K1582" s="106" t="str">
        <f t="shared" si="6"/>
        <v>0</v>
      </c>
      <c r="L1582" s="106"/>
      <c r="M1582" s="106" t="str">
        <f>SUMIFS(Ere!C:C,Ere!B:B,A1582)</f>
        <v>0</v>
      </c>
      <c r="N1582" s="106" t="str">
        <f t="shared" si="7"/>
        <v>1</v>
      </c>
      <c r="O1582" s="107" t="str">
        <f t="array" ref="O1582">XLOOKUP(A1582,Data!F:F,Data!O:O)</f>
        <v>  1.92 </v>
      </c>
      <c r="P1582" s="107" t="str">
        <f t="shared" si="8"/>
        <v>  4.81 </v>
      </c>
      <c r="Q1582" s="27"/>
    </row>
    <row r="1583" ht="15.75" customHeight="1">
      <c r="A1583" s="105" t="s">
        <v>1827</v>
      </c>
      <c r="B1583" s="19" t="str">
        <f t="array" ref="B1583">XLOOKUP(A1583,Data!F:F,Data!G:G)</f>
        <v>J1F</v>
      </c>
      <c r="C1583" s="19" t="str">
        <f t="shared" si="3"/>
        <v>J105</v>
      </c>
      <c r="D1583" s="19" t="str">
        <f t="array" ref="D1583">XLOOKUP(A1583,Data!F:F,Data!C:C)</f>
        <v/>
      </c>
      <c r="E1583" s="19" t="str">
        <f t="array" ref="E1583">XLOOKUP(A1583,Data!F:F,Data!H:H)</f>
        <v/>
      </c>
      <c r="F1583" s="106" t="str">
        <f>SUMIFS(Data!J:J,Data!F:F,A1583)</f>
        <v>1</v>
      </c>
      <c r="G1583" s="106" t="str">
        <f>SUMIFS(Cast!C:C,CastElements,A1583)</f>
        <v>0</v>
      </c>
      <c r="H1583" s="106" t="str">
        <f t="shared" si="4"/>
        <v>1</v>
      </c>
      <c r="I1583" s="106" t="str">
        <f>SUMIFS(Del!C:C,Del!B:B,A1583)</f>
        <v>0</v>
      </c>
      <c r="J1583" s="106" t="str">
        <f t="shared" si="5"/>
        <v>1</v>
      </c>
      <c r="K1583" s="106" t="str">
        <f t="shared" si="6"/>
        <v>0</v>
      </c>
      <c r="L1583" s="106"/>
      <c r="M1583" s="106" t="str">
        <f>SUMIFS(Ere!C:C,Ere!B:B,A1583)</f>
        <v>0</v>
      </c>
      <c r="N1583" s="106" t="str">
        <f t="shared" si="7"/>
        <v>1</v>
      </c>
      <c r="O1583" s="107" t="str">
        <f t="array" ref="O1583">XLOOKUP(A1583,Data!F:F,Data!O:O)</f>
        <v>  1.92 </v>
      </c>
      <c r="P1583" s="107" t="str">
        <f t="shared" si="8"/>
        <v>  4.81 </v>
      </c>
      <c r="Q1583" s="27"/>
    </row>
    <row r="1584" ht="15.75" customHeight="1">
      <c r="A1584" s="105" t="s">
        <v>1828</v>
      </c>
      <c r="B1584" s="19" t="str">
        <f t="array" ref="B1584">XLOOKUP(A1584,Data!F:F,Data!G:G)</f>
        <v>J1F</v>
      </c>
      <c r="C1584" s="19" t="str">
        <f t="shared" si="3"/>
        <v>J105</v>
      </c>
      <c r="D1584" s="19" t="str">
        <f t="array" ref="D1584">XLOOKUP(A1584,Data!F:F,Data!C:C)</f>
        <v/>
      </c>
      <c r="E1584" s="19" t="str">
        <f t="array" ref="E1584">XLOOKUP(A1584,Data!F:F,Data!H:H)</f>
        <v/>
      </c>
      <c r="F1584" s="106" t="str">
        <f>SUMIFS(Data!J:J,Data!F:F,A1584)</f>
        <v>1</v>
      </c>
      <c r="G1584" s="106" t="str">
        <f>SUMIFS(Cast!C:C,CastElements,A1584)</f>
        <v>0</v>
      </c>
      <c r="H1584" s="106" t="str">
        <f t="shared" si="4"/>
        <v>1</v>
      </c>
      <c r="I1584" s="106" t="str">
        <f>SUMIFS(Del!C:C,Del!B:B,A1584)</f>
        <v>0</v>
      </c>
      <c r="J1584" s="106" t="str">
        <f t="shared" si="5"/>
        <v>1</v>
      </c>
      <c r="K1584" s="106" t="str">
        <f t="shared" si="6"/>
        <v>0</v>
      </c>
      <c r="L1584" s="106"/>
      <c r="M1584" s="106" t="str">
        <f>SUMIFS(Ere!C:C,Ere!B:B,A1584)</f>
        <v>0</v>
      </c>
      <c r="N1584" s="106" t="str">
        <f t="shared" si="7"/>
        <v>1</v>
      </c>
      <c r="O1584" s="107" t="str">
        <f t="array" ref="O1584">XLOOKUP(A1584,Data!F:F,Data!O:O)</f>
        <v>  1.92 </v>
      </c>
      <c r="P1584" s="107" t="str">
        <f t="shared" si="8"/>
        <v>  4.81 </v>
      </c>
      <c r="Q1584" s="27"/>
    </row>
    <row r="1585" ht="15.75" customHeight="1">
      <c r="A1585" s="105" t="s">
        <v>1829</v>
      </c>
      <c r="B1585" s="19" t="str">
        <f t="array" ref="B1585">XLOOKUP(A1585,Data!F:F,Data!G:G)</f>
        <v>J1F</v>
      </c>
      <c r="C1585" s="19" t="str">
        <f t="shared" si="3"/>
        <v>J105</v>
      </c>
      <c r="D1585" s="19" t="str">
        <f t="array" ref="D1585">XLOOKUP(A1585,Data!F:F,Data!C:C)</f>
        <v/>
      </c>
      <c r="E1585" s="19" t="str">
        <f t="array" ref="E1585">XLOOKUP(A1585,Data!F:F,Data!H:H)</f>
        <v/>
      </c>
      <c r="F1585" s="106" t="str">
        <f>SUMIFS(Data!J:J,Data!F:F,A1585)</f>
        <v>1</v>
      </c>
      <c r="G1585" s="106" t="str">
        <f>SUMIFS(Cast!C:C,CastElements,A1585)</f>
        <v>0</v>
      </c>
      <c r="H1585" s="106" t="str">
        <f t="shared" si="4"/>
        <v>1</v>
      </c>
      <c r="I1585" s="106" t="str">
        <f>SUMIFS(Del!C:C,Del!B:B,A1585)</f>
        <v>0</v>
      </c>
      <c r="J1585" s="106" t="str">
        <f t="shared" si="5"/>
        <v>1</v>
      </c>
      <c r="K1585" s="106" t="str">
        <f t="shared" si="6"/>
        <v>0</v>
      </c>
      <c r="L1585" s="106"/>
      <c r="M1585" s="106" t="str">
        <f>SUMIFS(Ere!C:C,Ere!B:B,A1585)</f>
        <v>0</v>
      </c>
      <c r="N1585" s="106" t="str">
        <f t="shared" si="7"/>
        <v>1</v>
      </c>
      <c r="O1585" s="107" t="str">
        <f t="array" ref="O1585">XLOOKUP(A1585,Data!F:F,Data!O:O)</f>
        <v>  2.03 </v>
      </c>
      <c r="P1585" s="107" t="str">
        <f t="shared" si="8"/>
        <v>  5.08 </v>
      </c>
      <c r="Q1585" s="27"/>
    </row>
    <row r="1586" ht="15.75" customHeight="1">
      <c r="A1586" s="105" t="s">
        <v>1830</v>
      </c>
      <c r="B1586" s="19" t="str">
        <f t="array" ref="B1586">XLOOKUP(A1586,Data!F:F,Data!G:G)</f>
        <v>J1F</v>
      </c>
      <c r="C1586" s="19" t="str">
        <f t="shared" si="3"/>
        <v>J105</v>
      </c>
      <c r="D1586" s="19" t="str">
        <f t="array" ref="D1586">XLOOKUP(A1586,Data!F:F,Data!C:C)</f>
        <v/>
      </c>
      <c r="E1586" s="19" t="str">
        <f t="array" ref="E1586">XLOOKUP(A1586,Data!F:F,Data!H:H)</f>
        <v/>
      </c>
      <c r="F1586" s="106" t="str">
        <f>SUMIFS(Data!J:J,Data!F:F,A1586)</f>
        <v>1</v>
      </c>
      <c r="G1586" s="106" t="str">
        <f>SUMIFS(Cast!C:C,CastElements,A1586)</f>
        <v>1</v>
      </c>
      <c r="H1586" s="106" t="str">
        <f t="shared" si="4"/>
        <v>0</v>
      </c>
      <c r="I1586" s="106" t="str">
        <f>SUMIFS(Del!C:C,Del!B:B,A1586)</f>
        <v>0</v>
      </c>
      <c r="J1586" s="106" t="str">
        <f t="shared" si="5"/>
        <v>1</v>
      </c>
      <c r="K1586" s="106" t="str">
        <f t="shared" si="6"/>
        <v>1</v>
      </c>
      <c r="L1586" s="106"/>
      <c r="M1586" s="106" t="str">
        <f>SUMIFS(Ere!C:C,Ere!B:B,A1586)</f>
        <v>0</v>
      </c>
      <c r="N1586" s="106" t="str">
        <f t="shared" si="7"/>
        <v>1</v>
      </c>
      <c r="O1586" s="107" t="str">
        <f t="array" ref="O1586">XLOOKUP(A1586,Data!F:F,Data!O:O)</f>
        <v>  1.95 </v>
      </c>
      <c r="P1586" s="107" t="str">
        <f t="shared" si="8"/>
        <v>  4.88 </v>
      </c>
      <c r="Q1586" s="27"/>
    </row>
    <row r="1587" ht="15.75" customHeight="1">
      <c r="A1587" s="105" t="s">
        <v>1831</v>
      </c>
      <c r="B1587" s="19" t="str">
        <f t="array" ref="B1587">XLOOKUP(A1587,Data!F:F,Data!G:G)</f>
        <v>J1F</v>
      </c>
      <c r="C1587" s="19" t="str">
        <f t="shared" si="3"/>
        <v>J105</v>
      </c>
      <c r="D1587" s="19" t="str">
        <f t="array" ref="D1587">XLOOKUP(A1587,Data!F:F,Data!C:C)</f>
        <v/>
      </c>
      <c r="E1587" s="19" t="str">
        <f t="array" ref="E1587">XLOOKUP(A1587,Data!F:F,Data!H:H)</f>
        <v/>
      </c>
      <c r="F1587" s="106" t="str">
        <f>SUMIFS(Data!J:J,Data!F:F,A1587)</f>
        <v>1</v>
      </c>
      <c r="G1587" s="106" t="str">
        <f>SUMIFS(Cast!C:C,CastElements,A1587)</f>
        <v>0</v>
      </c>
      <c r="H1587" s="106" t="str">
        <f t="shared" si="4"/>
        <v>1</v>
      </c>
      <c r="I1587" s="106" t="str">
        <f>SUMIFS(Del!C:C,Del!B:B,A1587)</f>
        <v>0</v>
      </c>
      <c r="J1587" s="106" t="str">
        <f t="shared" si="5"/>
        <v>1</v>
      </c>
      <c r="K1587" s="106" t="str">
        <f t="shared" si="6"/>
        <v>0</v>
      </c>
      <c r="L1587" s="106"/>
      <c r="M1587" s="106" t="str">
        <f>SUMIFS(Ere!C:C,Ere!B:B,A1587)</f>
        <v>0</v>
      </c>
      <c r="N1587" s="106" t="str">
        <f t="shared" si="7"/>
        <v>1</v>
      </c>
      <c r="O1587" s="107" t="str">
        <f t="array" ref="O1587">XLOOKUP(A1587,Data!F:F,Data!O:O)</f>
        <v>  1.99 </v>
      </c>
      <c r="P1587" s="107" t="str">
        <f t="shared" si="8"/>
        <v>  4.96 </v>
      </c>
      <c r="Q1587" s="27"/>
    </row>
    <row r="1588" ht="15.75" customHeight="1">
      <c r="A1588" s="105" t="s">
        <v>1832</v>
      </c>
      <c r="B1588" s="19" t="str">
        <f t="array" ref="B1588">XLOOKUP(A1588,Data!F:F,Data!G:G)</f>
        <v>J1F</v>
      </c>
      <c r="C1588" s="19" t="str">
        <f t="shared" si="3"/>
        <v>J105</v>
      </c>
      <c r="D1588" s="19" t="str">
        <f t="array" ref="D1588">XLOOKUP(A1588,Data!F:F,Data!C:C)</f>
        <v/>
      </c>
      <c r="E1588" s="19" t="str">
        <f t="array" ref="E1588">XLOOKUP(A1588,Data!F:F,Data!H:H)</f>
        <v/>
      </c>
      <c r="F1588" s="106" t="str">
        <f>SUMIFS(Data!J:J,Data!F:F,A1588)</f>
        <v>1</v>
      </c>
      <c r="G1588" s="106" t="str">
        <f>SUMIFS(Cast!C:C,CastElements,A1588)</f>
        <v>1</v>
      </c>
      <c r="H1588" s="106" t="str">
        <f t="shared" si="4"/>
        <v>0</v>
      </c>
      <c r="I1588" s="106" t="str">
        <f>SUMIFS(Del!C:C,Del!B:B,A1588)</f>
        <v>0</v>
      </c>
      <c r="J1588" s="106" t="str">
        <f t="shared" si="5"/>
        <v>1</v>
      </c>
      <c r="K1588" s="106" t="str">
        <f t="shared" si="6"/>
        <v>1</v>
      </c>
      <c r="L1588" s="106"/>
      <c r="M1588" s="106" t="str">
        <f>SUMIFS(Ere!C:C,Ere!B:B,A1588)</f>
        <v>0</v>
      </c>
      <c r="N1588" s="106" t="str">
        <f t="shared" si="7"/>
        <v>1</v>
      </c>
      <c r="O1588" s="107" t="str">
        <f t="array" ref="O1588">XLOOKUP(A1588,Data!F:F,Data!O:O)</f>
        <v>  1.99 </v>
      </c>
      <c r="P1588" s="107" t="str">
        <f t="shared" si="8"/>
        <v>  4.96 </v>
      </c>
      <c r="Q1588" s="27"/>
    </row>
    <row r="1589" ht="15.75" customHeight="1">
      <c r="A1589" s="105" t="s">
        <v>1833</v>
      </c>
      <c r="B1589" s="19" t="str">
        <f t="array" ref="B1589">XLOOKUP(A1589,Data!F:F,Data!G:G)</f>
        <v>J1F</v>
      </c>
      <c r="C1589" s="19" t="str">
        <f t="shared" si="3"/>
        <v>J105</v>
      </c>
      <c r="D1589" s="19" t="str">
        <f t="array" ref="D1589">XLOOKUP(A1589,Data!F:F,Data!C:C)</f>
        <v/>
      </c>
      <c r="E1589" s="19" t="str">
        <f t="array" ref="E1589">XLOOKUP(A1589,Data!F:F,Data!H:H)</f>
        <v/>
      </c>
      <c r="F1589" s="106" t="str">
        <f>SUMIFS(Data!J:J,Data!F:F,A1589)</f>
        <v>1</v>
      </c>
      <c r="G1589" s="106" t="str">
        <f>SUMIFS(Cast!C:C,CastElements,A1589)</f>
        <v>0</v>
      </c>
      <c r="H1589" s="106" t="str">
        <f t="shared" si="4"/>
        <v>1</v>
      </c>
      <c r="I1589" s="106" t="str">
        <f>SUMIFS(Del!C:C,Del!B:B,A1589)</f>
        <v>0</v>
      </c>
      <c r="J1589" s="106" t="str">
        <f t="shared" si="5"/>
        <v>1</v>
      </c>
      <c r="K1589" s="106" t="str">
        <f t="shared" si="6"/>
        <v>0</v>
      </c>
      <c r="L1589" s="106"/>
      <c r="M1589" s="106" t="str">
        <f>SUMIFS(Ere!C:C,Ere!B:B,A1589)</f>
        <v>0</v>
      </c>
      <c r="N1589" s="106" t="str">
        <f t="shared" si="7"/>
        <v>1</v>
      </c>
      <c r="O1589" s="107" t="str">
        <f t="array" ref="O1589">XLOOKUP(A1589,Data!F:F,Data!O:O)</f>
        <v>  1.99 </v>
      </c>
      <c r="P1589" s="107" t="str">
        <f t="shared" si="8"/>
        <v>  4.96 </v>
      </c>
      <c r="Q1589" s="27"/>
    </row>
    <row r="1590" ht="15.75" customHeight="1">
      <c r="A1590" s="105" t="s">
        <v>1834</v>
      </c>
      <c r="B1590" s="19" t="str">
        <f t="array" ref="B1590">XLOOKUP(A1590,Data!F:F,Data!G:G)</f>
        <v>J1F</v>
      </c>
      <c r="C1590" s="19" t="str">
        <f t="shared" si="3"/>
        <v>J105</v>
      </c>
      <c r="D1590" s="19" t="str">
        <f t="array" ref="D1590">XLOOKUP(A1590,Data!F:F,Data!C:C)</f>
        <v/>
      </c>
      <c r="E1590" s="19" t="str">
        <f t="array" ref="E1590">XLOOKUP(A1590,Data!F:F,Data!H:H)</f>
        <v/>
      </c>
      <c r="F1590" s="106" t="str">
        <f>SUMIFS(Data!J:J,Data!F:F,A1590)</f>
        <v>1</v>
      </c>
      <c r="G1590" s="106" t="str">
        <f>SUMIFS(Cast!C:C,CastElements,A1590)</f>
        <v>0</v>
      </c>
      <c r="H1590" s="106" t="str">
        <f t="shared" si="4"/>
        <v>1</v>
      </c>
      <c r="I1590" s="106" t="str">
        <f>SUMIFS(Del!C:C,Del!B:B,A1590)</f>
        <v>0</v>
      </c>
      <c r="J1590" s="106" t="str">
        <f t="shared" si="5"/>
        <v>1</v>
      </c>
      <c r="K1590" s="106" t="str">
        <f t="shared" si="6"/>
        <v>0</v>
      </c>
      <c r="L1590" s="106"/>
      <c r="M1590" s="106" t="str">
        <f>SUMIFS(Ere!C:C,Ere!B:B,A1590)</f>
        <v>0</v>
      </c>
      <c r="N1590" s="106" t="str">
        <f t="shared" si="7"/>
        <v>1</v>
      </c>
      <c r="O1590" s="107" t="str">
        <f t="array" ref="O1590">XLOOKUP(A1590,Data!F:F,Data!O:O)</f>
        <v>  1.64 </v>
      </c>
      <c r="P1590" s="107" t="str">
        <f t="shared" si="8"/>
        <v>  4.09 </v>
      </c>
      <c r="Q1590" s="27"/>
    </row>
    <row r="1591" ht="15.75" customHeight="1">
      <c r="A1591" s="105" t="s">
        <v>1835</v>
      </c>
      <c r="B1591" s="19" t="str">
        <f t="array" ref="B1591">XLOOKUP(A1591,Data!F:F,Data!G:G)</f>
        <v>J1F</v>
      </c>
      <c r="C1591" s="19" t="str">
        <f t="shared" si="3"/>
        <v>J105</v>
      </c>
      <c r="D1591" s="19" t="str">
        <f t="array" ref="D1591">XLOOKUP(A1591,Data!F:F,Data!C:C)</f>
        <v/>
      </c>
      <c r="E1591" s="19" t="str">
        <f t="array" ref="E1591">XLOOKUP(A1591,Data!F:F,Data!H:H)</f>
        <v/>
      </c>
      <c r="F1591" s="106" t="str">
        <f>SUMIFS(Data!J:J,Data!F:F,A1591)</f>
        <v>1</v>
      </c>
      <c r="G1591" s="106" t="str">
        <f>SUMIFS(Cast!C:C,CastElements,A1591)</f>
        <v>0</v>
      </c>
      <c r="H1591" s="106" t="str">
        <f t="shared" si="4"/>
        <v>1</v>
      </c>
      <c r="I1591" s="106" t="str">
        <f>SUMIFS(Del!C:C,Del!B:B,A1591)</f>
        <v>0</v>
      </c>
      <c r="J1591" s="106" t="str">
        <f t="shared" si="5"/>
        <v>1</v>
      </c>
      <c r="K1591" s="106" t="str">
        <f t="shared" si="6"/>
        <v>0</v>
      </c>
      <c r="L1591" s="106"/>
      <c r="M1591" s="106" t="str">
        <f>SUMIFS(Ere!C:C,Ere!B:B,A1591)</f>
        <v>0</v>
      </c>
      <c r="N1591" s="106" t="str">
        <f t="shared" si="7"/>
        <v>1</v>
      </c>
      <c r="O1591" s="107" t="str">
        <f t="array" ref="O1591">XLOOKUP(A1591,Data!F:F,Data!O:O)</f>
        <v>  0.36 </v>
      </c>
      <c r="P1591" s="107" t="str">
        <f t="shared" si="8"/>
        <v>  0.91 </v>
      </c>
      <c r="Q1591" s="27"/>
    </row>
    <row r="1592" ht="15.75" customHeight="1">
      <c r="A1592" s="105" t="s">
        <v>1836</v>
      </c>
      <c r="B1592" s="19" t="str">
        <f t="array" ref="B1592">XLOOKUP(A1592,Data!F:F,Data!G:G)</f>
        <v>J1F</v>
      </c>
      <c r="C1592" s="19" t="str">
        <f t="shared" si="3"/>
        <v>J105</v>
      </c>
      <c r="D1592" s="19" t="str">
        <f t="array" ref="D1592">XLOOKUP(A1592,Data!F:F,Data!C:C)</f>
        <v/>
      </c>
      <c r="E1592" s="19" t="str">
        <f t="array" ref="E1592">XLOOKUP(A1592,Data!F:F,Data!H:H)</f>
        <v/>
      </c>
      <c r="F1592" s="106" t="str">
        <f>SUMIFS(Data!J:J,Data!F:F,A1592)</f>
        <v>1</v>
      </c>
      <c r="G1592" s="106" t="str">
        <f>SUMIFS(Cast!C:C,CastElements,A1592)</f>
        <v>0</v>
      </c>
      <c r="H1592" s="106" t="str">
        <f t="shared" si="4"/>
        <v>1</v>
      </c>
      <c r="I1592" s="106" t="str">
        <f>SUMIFS(Del!C:C,Del!B:B,A1592)</f>
        <v>0</v>
      </c>
      <c r="J1592" s="106" t="str">
        <f t="shared" si="5"/>
        <v>1</v>
      </c>
      <c r="K1592" s="106" t="str">
        <f t="shared" si="6"/>
        <v>0</v>
      </c>
      <c r="L1592" s="106"/>
      <c r="M1592" s="106" t="str">
        <f>SUMIFS(Ere!C:C,Ere!B:B,A1592)</f>
        <v>0</v>
      </c>
      <c r="N1592" s="106" t="str">
        <f t="shared" si="7"/>
        <v>1</v>
      </c>
      <c r="O1592" s="107" t="str">
        <f t="array" ref="O1592">XLOOKUP(A1592,Data!F:F,Data!O:O)</f>
        <v>  0.47 </v>
      </c>
      <c r="P1592" s="107" t="str">
        <f t="shared" si="8"/>
        <v>  1.18 </v>
      </c>
      <c r="Q1592" s="27"/>
    </row>
    <row r="1593" ht="15.75" customHeight="1">
      <c r="A1593" s="105" t="s">
        <v>1837</v>
      </c>
      <c r="B1593" s="19" t="str">
        <f t="array" ref="B1593">XLOOKUP(A1593,Data!F:F,Data!G:G)</f>
        <v>J1F</v>
      </c>
      <c r="C1593" s="19" t="str">
        <f t="shared" si="3"/>
        <v>J105</v>
      </c>
      <c r="D1593" s="19" t="str">
        <f t="array" ref="D1593">XLOOKUP(A1593,Data!F:F,Data!C:C)</f>
        <v/>
      </c>
      <c r="E1593" s="19" t="str">
        <f t="array" ref="E1593">XLOOKUP(A1593,Data!F:F,Data!H:H)</f>
        <v/>
      </c>
      <c r="F1593" s="106" t="str">
        <f>SUMIFS(Data!J:J,Data!F:F,A1593)</f>
        <v>1</v>
      </c>
      <c r="G1593" s="106" t="str">
        <f>SUMIFS(Cast!C:C,CastElements,A1593)</f>
        <v>0</v>
      </c>
      <c r="H1593" s="106" t="str">
        <f t="shared" si="4"/>
        <v>1</v>
      </c>
      <c r="I1593" s="106" t="str">
        <f>SUMIFS(Del!C:C,Del!B:B,A1593)</f>
        <v>0</v>
      </c>
      <c r="J1593" s="106" t="str">
        <f t="shared" si="5"/>
        <v>1</v>
      </c>
      <c r="K1593" s="106" t="str">
        <f t="shared" si="6"/>
        <v>0</v>
      </c>
      <c r="L1593" s="106"/>
      <c r="M1593" s="106" t="str">
        <f>SUMIFS(Ere!C:C,Ere!B:B,A1593)</f>
        <v>0</v>
      </c>
      <c r="N1593" s="106" t="str">
        <f t="shared" si="7"/>
        <v>1</v>
      </c>
      <c r="O1593" s="107" t="str">
        <f t="array" ref="O1593">XLOOKUP(A1593,Data!F:F,Data!O:O)</f>
        <v>  0.54 </v>
      </c>
      <c r="P1593" s="107" t="str">
        <f t="shared" si="8"/>
        <v>  1.34 </v>
      </c>
      <c r="Q1593" s="27"/>
    </row>
    <row r="1594" ht="15.75" customHeight="1">
      <c r="A1594" s="105" t="s">
        <v>1838</v>
      </c>
      <c r="B1594" s="19" t="str">
        <f t="array" ref="B1594">XLOOKUP(A1594,Data!F:F,Data!G:G)</f>
        <v>J1F</v>
      </c>
      <c r="C1594" s="19" t="str">
        <f t="shared" si="3"/>
        <v>J106</v>
      </c>
      <c r="D1594" s="19" t="str">
        <f t="array" ref="D1594">XLOOKUP(A1594,Data!F:F,Data!C:C)</f>
        <v/>
      </c>
      <c r="E1594" s="19" t="str">
        <f t="array" ref="E1594">XLOOKUP(A1594,Data!F:F,Data!H:H)</f>
        <v/>
      </c>
      <c r="F1594" s="106" t="str">
        <f>SUMIFS(Data!J:J,Data!F:F,A1594)</f>
        <v>1</v>
      </c>
      <c r="G1594" s="106" t="str">
        <f>SUMIFS(Cast!C:C,CastElements,A1594)</f>
        <v>0</v>
      </c>
      <c r="H1594" s="106" t="str">
        <f t="shared" si="4"/>
        <v>1</v>
      </c>
      <c r="I1594" s="106" t="str">
        <f>SUMIFS(Del!C:C,Del!B:B,A1594)</f>
        <v>0</v>
      </c>
      <c r="J1594" s="106" t="str">
        <f t="shared" si="5"/>
        <v>1</v>
      </c>
      <c r="K1594" s="106" t="str">
        <f t="shared" si="6"/>
        <v>0</v>
      </c>
      <c r="L1594" s="106"/>
      <c r="M1594" s="106" t="str">
        <f>SUMIFS(Ere!C:C,Ere!B:B,A1594)</f>
        <v>0</v>
      </c>
      <c r="N1594" s="106" t="str">
        <f t="shared" si="7"/>
        <v>1</v>
      </c>
      <c r="O1594" s="107" t="str">
        <f t="array" ref="O1594">XLOOKUP(A1594,Data!F:F,Data!O:O)</f>
        <v>  0.97 </v>
      </c>
      <c r="P1594" s="107" t="str">
        <f t="shared" si="8"/>
        <v>  2.44 </v>
      </c>
      <c r="Q1594" s="27"/>
    </row>
    <row r="1595" ht="15.75" customHeight="1">
      <c r="A1595" s="105" t="s">
        <v>1839</v>
      </c>
      <c r="B1595" s="19" t="str">
        <f t="array" ref="B1595">XLOOKUP(A1595,Data!F:F,Data!G:G)</f>
        <v>J1F</v>
      </c>
      <c r="C1595" s="19" t="str">
        <f t="shared" si="3"/>
        <v>J106</v>
      </c>
      <c r="D1595" s="19" t="str">
        <f t="array" ref="D1595">XLOOKUP(A1595,Data!F:F,Data!C:C)</f>
        <v/>
      </c>
      <c r="E1595" s="19" t="str">
        <f t="array" ref="E1595">XLOOKUP(A1595,Data!F:F,Data!H:H)</f>
        <v/>
      </c>
      <c r="F1595" s="106" t="str">
        <f>SUMIFS(Data!J:J,Data!F:F,A1595)</f>
        <v>1</v>
      </c>
      <c r="G1595" s="106" t="str">
        <f>SUMIFS(Cast!C:C,CastElements,A1595)</f>
        <v>0</v>
      </c>
      <c r="H1595" s="106" t="str">
        <f t="shared" si="4"/>
        <v>1</v>
      </c>
      <c r="I1595" s="106" t="str">
        <f>SUMIFS(Del!C:C,Del!B:B,A1595)</f>
        <v>0</v>
      </c>
      <c r="J1595" s="106" t="str">
        <f t="shared" si="5"/>
        <v>1</v>
      </c>
      <c r="K1595" s="106" t="str">
        <f t="shared" si="6"/>
        <v>0</v>
      </c>
      <c r="L1595" s="106"/>
      <c r="M1595" s="106" t="str">
        <f>SUMIFS(Ere!C:C,Ere!B:B,A1595)</f>
        <v>0</v>
      </c>
      <c r="N1595" s="106" t="str">
        <f t="shared" si="7"/>
        <v>1</v>
      </c>
      <c r="O1595" s="107" t="str">
        <f t="array" ref="O1595">XLOOKUP(A1595,Data!F:F,Data!O:O)</f>
        <v>  1.00 </v>
      </c>
      <c r="P1595" s="107" t="str">
        <f t="shared" si="8"/>
        <v>  2.50 </v>
      </c>
      <c r="Q1595" s="27"/>
    </row>
    <row r="1596" ht="15.75" customHeight="1">
      <c r="A1596" s="105" t="s">
        <v>1840</v>
      </c>
      <c r="B1596" s="19" t="str">
        <f t="array" ref="B1596">XLOOKUP(A1596,Data!F:F,Data!G:G)</f>
        <v>J1F</v>
      </c>
      <c r="C1596" s="19" t="str">
        <f t="shared" si="3"/>
        <v>J106</v>
      </c>
      <c r="D1596" s="19" t="str">
        <f t="array" ref="D1596">XLOOKUP(A1596,Data!F:F,Data!C:C)</f>
        <v/>
      </c>
      <c r="E1596" s="19" t="str">
        <f t="array" ref="E1596">XLOOKUP(A1596,Data!F:F,Data!H:H)</f>
        <v/>
      </c>
      <c r="F1596" s="106" t="str">
        <f>SUMIFS(Data!J:J,Data!F:F,A1596)</f>
        <v>1</v>
      </c>
      <c r="G1596" s="106" t="str">
        <f>SUMIFS(Cast!C:C,CastElements,A1596)</f>
        <v>0</v>
      </c>
      <c r="H1596" s="106" t="str">
        <f t="shared" si="4"/>
        <v>1</v>
      </c>
      <c r="I1596" s="106" t="str">
        <f>SUMIFS(Del!C:C,Del!B:B,A1596)</f>
        <v>0</v>
      </c>
      <c r="J1596" s="106" t="str">
        <f t="shared" si="5"/>
        <v>1</v>
      </c>
      <c r="K1596" s="106" t="str">
        <f t="shared" si="6"/>
        <v>0</v>
      </c>
      <c r="L1596" s="106"/>
      <c r="M1596" s="106" t="str">
        <f>SUMIFS(Ere!C:C,Ere!B:B,A1596)</f>
        <v>0</v>
      </c>
      <c r="N1596" s="106" t="str">
        <f t="shared" si="7"/>
        <v>1</v>
      </c>
      <c r="O1596" s="107" t="str">
        <f t="array" ref="O1596">XLOOKUP(A1596,Data!F:F,Data!O:O)</f>
        <v>  0.92 </v>
      </c>
      <c r="P1596" s="107" t="str">
        <f t="shared" si="8"/>
        <v>  2.29 </v>
      </c>
      <c r="Q1596" s="27"/>
    </row>
    <row r="1597" ht="15.75" customHeight="1">
      <c r="A1597" s="105" t="s">
        <v>1841</v>
      </c>
      <c r="B1597" s="19" t="str">
        <f t="array" ref="B1597">XLOOKUP(A1597,Data!F:F,Data!G:G)</f>
        <v>J1F</v>
      </c>
      <c r="C1597" s="19" t="str">
        <f t="shared" si="3"/>
        <v>J106</v>
      </c>
      <c r="D1597" s="19" t="str">
        <f t="array" ref="D1597">XLOOKUP(A1597,Data!F:F,Data!C:C)</f>
        <v/>
      </c>
      <c r="E1597" s="19" t="str">
        <f t="array" ref="E1597">XLOOKUP(A1597,Data!F:F,Data!H:H)</f>
        <v/>
      </c>
      <c r="F1597" s="106" t="str">
        <f>SUMIFS(Data!J:J,Data!F:F,A1597)</f>
        <v>1</v>
      </c>
      <c r="G1597" s="106" t="str">
        <f>SUMIFS(Cast!C:C,CastElements,A1597)</f>
        <v>0</v>
      </c>
      <c r="H1597" s="106" t="str">
        <f t="shared" si="4"/>
        <v>1</v>
      </c>
      <c r="I1597" s="106" t="str">
        <f>SUMIFS(Del!C:C,Del!B:B,A1597)</f>
        <v>0</v>
      </c>
      <c r="J1597" s="106" t="str">
        <f t="shared" si="5"/>
        <v>1</v>
      </c>
      <c r="K1597" s="106" t="str">
        <f t="shared" si="6"/>
        <v>0</v>
      </c>
      <c r="L1597" s="106"/>
      <c r="M1597" s="106" t="str">
        <f>SUMIFS(Ere!C:C,Ere!B:B,A1597)</f>
        <v>0</v>
      </c>
      <c r="N1597" s="106" t="str">
        <f t="shared" si="7"/>
        <v>1</v>
      </c>
      <c r="O1597" s="107" t="str">
        <f t="array" ref="O1597">XLOOKUP(A1597,Data!F:F,Data!O:O)</f>
        <v>  1.60 </v>
      </c>
      <c r="P1597" s="107" t="str">
        <f t="shared" si="8"/>
        <v>  4.01 </v>
      </c>
      <c r="Q1597" s="27"/>
    </row>
    <row r="1598" ht="15.75" customHeight="1">
      <c r="A1598" s="105" t="s">
        <v>1842</v>
      </c>
      <c r="B1598" s="19" t="str">
        <f t="array" ref="B1598">XLOOKUP(A1598,Data!F:F,Data!G:G)</f>
        <v>J1F</v>
      </c>
      <c r="C1598" s="19" t="str">
        <f t="shared" si="3"/>
        <v>J106</v>
      </c>
      <c r="D1598" s="19" t="str">
        <f t="array" ref="D1598">XLOOKUP(A1598,Data!F:F,Data!C:C)</f>
        <v/>
      </c>
      <c r="E1598" s="19" t="str">
        <f t="array" ref="E1598">XLOOKUP(A1598,Data!F:F,Data!H:H)</f>
        <v/>
      </c>
      <c r="F1598" s="106" t="str">
        <f>SUMIFS(Data!J:J,Data!F:F,A1598)</f>
        <v>1</v>
      </c>
      <c r="G1598" s="106" t="str">
        <f>SUMIFS(Cast!C:C,CastElements,A1598)</f>
        <v>0</v>
      </c>
      <c r="H1598" s="106" t="str">
        <f t="shared" si="4"/>
        <v>1</v>
      </c>
      <c r="I1598" s="106" t="str">
        <f>SUMIFS(Del!C:C,Del!B:B,A1598)</f>
        <v>0</v>
      </c>
      <c r="J1598" s="106" t="str">
        <f t="shared" si="5"/>
        <v>1</v>
      </c>
      <c r="K1598" s="106" t="str">
        <f t="shared" si="6"/>
        <v>0</v>
      </c>
      <c r="L1598" s="106"/>
      <c r="M1598" s="106" t="str">
        <f>SUMIFS(Ere!C:C,Ere!B:B,A1598)</f>
        <v>0</v>
      </c>
      <c r="N1598" s="106" t="str">
        <f t="shared" si="7"/>
        <v>1</v>
      </c>
      <c r="O1598" s="107" t="str">
        <f t="array" ref="O1598">XLOOKUP(A1598,Data!F:F,Data!O:O)</f>
        <v>  1.93 </v>
      </c>
      <c r="P1598" s="107" t="str">
        <f t="shared" si="8"/>
        <v>  4.84 </v>
      </c>
      <c r="Q1598" s="27"/>
    </row>
    <row r="1599" ht="15.75" customHeight="1">
      <c r="A1599" s="105" t="s">
        <v>1843</v>
      </c>
      <c r="B1599" s="19" t="str">
        <f t="array" ref="B1599">XLOOKUP(A1599,Data!F:F,Data!G:G)</f>
        <v>J1F</v>
      </c>
      <c r="C1599" s="19" t="str">
        <f t="shared" si="3"/>
        <v>J106</v>
      </c>
      <c r="D1599" s="19" t="str">
        <f t="array" ref="D1599">XLOOKUP(A1599,Data!F:F,Data!C:C)</f>
        <v/>
      </c>
      <c r="E1599" s="19" t="str">
        <f t="array" ref="E1599">XLOOKUP(A1599,Data!F:F,Data!H:H)</f>
        <v/>
      </c>
      <c r="F1599" s="106" t="str">
        <f>SUMIFS(Data!J:J,Data!F:F,A1599)</f>
        <v>1</v>
      </c>
      <c r="G1599" s="106" t="str">
        <f>SUMIFS(Cast!C:C,CastElements,A1599)</f>
        <v>0</v>
      </c>
      <c r="H1599" s="106" t="str">
        <f t="shared" si="4"/>
        <v>1</v>
      </c>
      <c r="I1599" s="106" t="str">
        <f>SUMIFS(Del!C:C,Del!B:B,A1599)</f>
        <v>0</v>
      </c>
      <c r="J1599" s="106" t="str">
        <f t="shared" si="5"/>
        <v>1</v>
      </c>
      <c r="K1599" s="106" t="str">
        <f t="shared" si="6"/>
        <v>0</v>
      </c>
      <c r="L1599" s="106"/>
      <c r="M1599" s="106" t="str">
        <f>SUMIFS(Ere!C:C,Ere!B:B,A1599)</f>
        <v>0</v>
      </c>
      <c r="N1599" s="106" t="str">
        <f t="shared" si="7"/>
        <v>1</v>
      </c>
      <c r="O1599" s="107" t="str">
        <f t="array" ref="O1599">XLOOKUP(A1599,Data!F:F,Data!O:O)</f>
        <v>  1.93 </v>
      </c>
      <c r="P1599" s="107" t="str">
        <f t="shared" si="8"/>
        <v>  4.84 </v>
      </c>
      <c r="Q1599" s="27"/>
    </row>
    <row r="1600" ht="15.75" customHeight="1">
      <c r="A1600" s="105" t="s">
        <v>1844</v>
      </c>
      <c r="B1600" s="19" t="str">
        <f t="array" ref="B1600">XLOOKUP(A1600,Data!F:F,Data!G:G)</f>
        <v>J1F</v>
      </c>
      <c r="C1600" s="19" t="str">
        <f t="shared" si="3"/>
        <v>J106</v>
      </c>
      <c r="D1600" s="19" t="str">
        <f t="array" ref="D1600">XLOOKUP(A1600,Data!F:F,Data!C:C)</f>
        <v/>
      </c>
      <c r="E1600" s="19" t="str">
        <f t="array" ref="E1600">XLOOKUP(A1600,Data!F:F,Data!H:H)</f>
        <v/>
      </c>
      <c r="F1600" s="106" t="str">
        <f>SUMIFS(Data!J:J,Data!F:F,A1600)</f>
        <v>1</v>
      </c>
      <c r="G1600" s="106" t="str">
        <f>SUMIFS(Cast!C:C,CastElements,A1600)</f>
        <v>0</v>
      </c>
      <c r="H1600" s="106" t="str">
        <f t="shared" si="4"/>
        <v>1</v>
      </c>
      <c r="I1600" s="106" t="str">
        <f>SUMIFS(Del!C:C,Del!B:B,A1600)</f>
        <v>0</v>
      </c>
      <c r="J1600" s="106" t="str">
        <f t="shared" si="5"/>
        <v>1</v>
      </c>
      <c r="K1600" s="106" t="str">
        <f t="shared" si="6"/>
        <v>0</v>
      </c>
      <c r="L1600" s="106"/>
      <c r="M1600" s="106" t="str">
        <f>SUMIFS(Ere!C:C,Ere!B:B,A1600)</f>
        <v>0</v>
      </c>
      <c r="N1600" s="106" t="str">
        <f t="shared" si="7"/>
        <v>1</v>
      </c>
      <c r="O1600" s="107" t="str">
        <f t="array" ref="O1600">XLOOKUP(A1600,Data!F:F,Data!O:O)</f>
        <v>  1.93 </v>
      </c>
      <c r="P1600" s="107" t="str">
        <f t="shared" si="8"/>
        <v>  4.84 </v>
      </c>
      <c r="Q1600" s="27"/>
    </row>
    <row r="1601" ht="15.75" customHeight="1">
      <c r="A1601" s="105" t="s">
        <v>1845</v>
      </c>
      <c r="B1601" s="19" t="str">
        <f t="array" ref="B1601">XLOOKUP(A1601,Data!F:F,Data!G:G)</f>
        <v>J1F</v>
      </c>
      <c r="C1601" s="19" t="str">
        <f t="shared" si="3"/>
        <v>J106</v>
      </c>
      <c r="D1601" s="19" t="str">
        <f t="array" ref="D1601">XLOOKUP(A1601,Data!F:F,Data!C:C)</f>
        <v/>
      </c>
      <c r="E1601" s="19" t="str">
        <f t="array" ref="E1601">XLOOKUP(A1601,Data!F:F,Data!H:H)</f>
        <v/>
      </c>
      <c r="F1601" s="106" t="str">
        <f>SUMIFS(Data!J:J,Data!F:F,A1601)</f>
        <v>1</v>
      </c>
      <c r="G1601" s="106" t="str">
        <f>SUMIFS(Cast!C:C,CastElements,A1601)</f>
        <v>0</v>
      </c>
      <c r="H1601" s="106" t="str">
        <f t="shared" si="4"/>
        <v>1</v>
      </c>
      <c r="I1601" s="106" t="str">
        <f>SUMIFS(Del!C:C,Del!B:B,A1601)</f>
        <v>0</v>
      </c>
      <c r="J1601" s="106" t="str">
        <f t="shared" si="5"/>
        <v>1</v>
      </c>
      <c r="K1601" s="106" t="str">
        <f t="shared" si="6"/>
        <v>0</v>
      </c>
      <c r="L1601" s="106"/>
      <c r="M1601" s="106" t="str">
        <f>SUMIFS(Ere!C:C,Ere!B:B,A1601)</f>
        <v>0</v>
      </c>
      <c r="N1601" s="106" t="str">
        <f t="shared" si="7"/>
        <v>1</v>
      </c>
      <c r="O1601" s="107" t="str">
        <f t="array" ref="O1601">XLOOKUP(A1601,Data!F:F,Data!O:O)</f>
        <v>  2.04 </v>
      </c>
      <c r="P1601" s="107" t="str">
        <f t="shared" si="8"/>
        <v>  5.11 </v>
      </c>
      <c r="Q1601" s="27"/>
    </row>
    <row r="1602" ht="15.75" customHeight="1">
      <c r="A1602" s="105" t="s">
        <v>1846</v>
      </c>
      <c r="B1602" s="19" t="str">
        <f t="array" ref="B1602">XLOOKUP(A1602,Data!F:F,Data!G:G)</f>
        <v>J1F</v>
      </c>
      <c r="C1602" s="19" t="str">
        <f t="shared" si="3"/>
        <v>J106</v>
      </c>
      <c r="D1602" s="19" t="str">
        <f t="array" ref="D1602">XLOOKUP(A1602,Data!F:F,Data!C:C)</f>
        <v/>
      </c>
      <c r="E1602" s="19" t="str">
        <f t="array" ref="E1602">XLOOKUP(A1602,Data!F:F,Data!H:H)</f>
        <v/>
      </c>
      <c r="F1602" s="106" t="str">
        <f>SUMIFS(Data!J:J,Data!F:F,A1602)</f>
        <v>1</v>
      </c>
      <c r="G1602" s="106" t="str">
        <f>SUMIFS(Cast!C:C,CastElements,A1602)</f>
        <v>0</v>
      </c>
      <c r="H1602" s="106" t="str">
        <f t="shared" si="4"/>
        <v>1</v>
      </c>
      <c r="I1602" s="106" t="str">
        <f>SUMIFS(Del!C:C,Del!B:B,A1602)</f>
        <v>0</v>
      </c>
      <c r="J1602" s="106" t="str">
        <f t="shared" si="5"/>
        <v>1</v>
      </c>
      <c r="K1602" s="106" t="str">
        <f t="shared" si="6"/>
        <v>0</v>
      </c>
      <c r="L1602" s="106"/>
      <c r="M1602" s="106" t="str">
        <f>SUMIFS(Ere!C:C,Ere!B:B,A1602)</f>
        <v>0</v>
      </c>
      <c r="N1602" s="106" t="str">
        <f t="shared" si="7"/>
        <v>1</v>
      </c>
      <c r="O1602" s="107" t="str">
        <f t="array" ref="O1602">XLOOKUP(A1602,Data!F:F,Data!O:O)</f>
        <v>  1.59 </v>
      </c>
      <c r="P1602" s="107" t="str">
        <f t="shared" si="8"/>
        <v>  3.98 </v>
      </c>
      <c r="Q1602" s="27"/>
    </row>
    <row r="1603" ht="15.75" customHeight="1">
      <c r="A1603" s="105" t="s">
        <v>1847</v>
      </c>
      <c r="B1603" s="19" t="str">
        <f t="array" ref="B1603">XLOOKUP(A1603,Data!F:F,Data!G:G)</f>
        <v>J1F</v>
      </c>
      <c r="C1603" s="19" t="str">
        <f t="shared" si="3"/>
        <v>J106</v>
      </c>
      <c r="D1603" s="19" t="str">
        <f t="array" ref="D1603">XLOOKUP(A1603,Data!F:F,Data!C:C)</f>
        <v/>
      </c>
      <c r="E1603" s="19" t="str">
        <f t="array" ref="E1603">XLOOKUP(A1603,Data!F:F,Data!H:H)</f>
        <v/>
      </c>
      <c r="F1603" s="106" t="str">
        <f>SUMIFS(Data!J:J,Data!F:F,A1603)</f>
        <v>1</v>
      </c>
      <c r="G1603" s="106" t="str">
        <f>SUMIFS(Cast!C:C,CastElements,A1603)</f>
        <v>0</v>
      </c>
      <c r="H1603" s="106" t="str">
        <f t="shared" si="4"/>
        <v>1</v>
      </c>
      <c r="I1603" s="106" t="str">
        <f>SUMIFS(Del!C:C,Del!B:B,A1603)</f>
        <v>0</v>
      </c>
      <c r="J1603" s="106" t="str">
        <f t="shared" si="5"/>
        <v>1</v>
      </c>
      <c r="K1603" s="106" t="str">
        <f t="shared" si="6"/>
        <v>0</v>
      </c>
      <c r="L1603" s="106"/>
      <c r="M1603" s="106" t="str">
        <f>SUMIFS(Ere!C:C,Ere!B:B,A1603)</f>
        <v>0</v>
      </c>
      <c r="N1603" s="106" t="str">
        <f t="shared" si="7"/>
        <v>1</v>
      </c>
      <c r="O1603" s="107" t="str">
        <f t="array" ref="O1603">XLOOKUP(A1603,Data!F:F,Data!O:O)</f>
        <v>  1.98 </v>
      </c>
      <c r="P1603" s="107" t="str">
        <f t="shared" si="8"/>
        <v>  4.95 </v>
      </c>
      <c r="Q1603" s="27"/>
    </row>
    <row r="1604" ht="15.75" customHeight="1">
      <c r="A1604" s="105" t="s">
        <v>1848</v>
      </c>
      <c r="B1604" s="19" t="str">
        <f t="array" ref="B1604">XLOOKUP(A1604,Data!F:F,Data!G:G)</f>
        <v>J1F</v>
      </c>
      <c r="C1604" s="19" t="str">
        <f t="shared" si="3"/>
        <v>J106</v>
      </c>
      <c r="D1604" s="19" t="str">
        <f t="array" ref="D1604">XLOOKUP(A1604,Data!F:F,Data!C:C)</f>
        <v/>
      </c>
      <c r="E1604" s="19" t="str">
        <f t="array" ref="E1604">XLOOKUP(A1604,Data!F:F,Data!H:H)</f>
        <v/>
      </c>
      <c r="F1604" s="106" t="str">
        <f>SUMIFS(Data!J:J,Data!F:F,A1604)</f>
        <v>1</v>
      </c>
      <c r="G1604" s="106" t="str">
        <f>SUMIFS(Cast!C:C,CastElements,A1604)</f>
        <v>0</v>
      </c>
      <c r="H1604" s="106" t="str">
        <f t="shared" si="4"/>
        <v>1</v>
      </c>
      <c r="I1604" s="106" t="str">
        <f>SUMIFS(Del!C:C,Del!B:B,A1604)</f>
        <v>0</v>
      </c>
      <c r="J1604" s="106" t="str">
        <f t="shared" si="5"/>
        <v>1</v>
      </c>
      <c r="K1604" s="106" t="str">
        <f t="shared" si="6"/>
        <v>0</v>
      </c>
      <c r="L1604" s="106"/>
      <c r="M1604" s="106" t="str">
        <f>SUMIFS(Ere!C:C,Ere!B:B,A1604)</f>
        <v>0</v>
      </c>
      <c r="N1604" s="106" t="str">
        <f t="shared" si="7"/>
        <v>1</v>
      </c>
      <c r="O1604" s="107" t="str">
        <f t="array" ref="O1604">XLOOKUP(A1604,Data!F:F,Data!O:O)</f>
        <v>  1.98 </v>
      </c>
      <c r="P1604" s="107" t="str">
        <f t="shared" si="8"/>
        <v>  4.95 </v>
      </c>
      <c r="Q1604" s="27"/>
    </row>
    <row r="1605" ht="15.75" customHeight="1">
      <c r="A1605" s="105" t="s">
        <v>1849</v>
      </c>
      <c r="B1605" s="19" t="str">
        <f t="array" ref="B1605">XLOOKUP(A1605,Data!F:F,Data!G:G)</f>
        <v>J1F</v>
      </c>
      <c r="C1605" s="19" t="str">
        <f t="shared" si="3"/>
        <v>J106</v>
      </c>
      <c r="D1605" s="19" t="str">
        <f t="array" ref="D1605">XLOOKUP(A1605,Data!F:F,Data!C:C)</f>
        <v/>
      </c>
      <c r="E1605" s="19" t="str">
        <f t="array" ref="E1605">XLOOKUP(A1605,Data!F:F,Data!H:H)</f>
        <v/>
      </c>
      <c r="F1605" s="106" t="str">
        <f>SUMIFS(Data!J:J,Data!F:F,A1605)</f>
        <v>1</v>
      </c>
      <c r="G1605" s="106" t="str">
        <f>SUMIFS(Cast!C:C,CastElements,A1605)</f>
        <v>0</v>
      </c>
      <c r="H1605" s="106" t="str">
        <f t="shared" si="4"/>
        <v>1</v>
      </c>
      <c r="I1605" s="106" t="str">
        <f>SUMIFS(Del!C:C,Del!B:B,A1605)</f>
        <v>0</v>
      </c>
      <c r="J1605" s="106" t="str">
        <f t="shared" si="5"/>
        <v>1</v>
      </c>
      <c r="K1605" s="106" t="str">
        <f t="shared" si="6"/>
        <v>0</v>
      </c>
      <c r="L1605" s="106"/>
      <c r="M1605" s="106" t="str">
        <f>SUMIFS(Ere!C:C,Ere!B:B,A1605)</f>
        <v>0</v>
      </c>
      <c r="N1605" s="106" t="str">
        <f t="shared" si="7"/>
        <v>1</v>
      </c>
      <c r="O1605" s="107" t="str">
        <f t="array" ref="O1605">XLOOKUP(A1605,Data!F:F,Data!O:O)</f>
        <v>  1.98 </v>
      </c>
      <c r="P1605" s="107" t="str">
        <f t="shared" si="8"/>
        <v>  4.95 </v>
      </c>
      <c r="Q1605" s="27"/>
    </row>
    <row r="1606" ht="15.75" customHeight="1">
      <c r="A1606" s="105" t="s">
        <v>1850</v>
      </c>
      <c r="B1606" s="19" t="str">
        <f t="array" ref="B1606">XLOOKUP(A1606,Data!F:F,Data!G:G)</f>
        <v>J1F</v>
      </c>
      <c r="C1606" s="19" t="str">
        <f t="shared" si="3"/>
        <v>J106</v>
      </c>
      <c r="D1606" s="19" t="str">
        <f t="array" ref="D1606">XLOOKUP(A1606,Data!F:F,Data!C:C)</f>
        <v/>
      </c>
      <c r="E1606" s="19" t="str">
        <f t="array" ref="E1606">XLOOKUP(A1606,Data!F:F,Data!H:H)</f>
        <v/>
      </c>
      <c r="F1606" s="106" t="str">
        <f>SUMIFS(Data!J:J,Data!F:F,A1606)</f>
        <v>1</v>
      </c>
      <c r="G1606" s="106" t="str">
        <f>SUMIFS(Cast!C:C,CastElements,A1606)</f>
        <v>0</v>
      </c>
      <c r="H1606" s="106" t="str">
        <f t="shared" si="4"/>
        <v>1</v>
      </c>
      <c r="I1606" s="106" t="str">
        <f>SUMIFS(Del!C:C,Del!B:B,A1606)</f>
        <v>0</v>
      </c>
      <c r="J1606" s="106" t="str">
        <f t="shared" si="5"/>
        <v>1</v>
      </c>
      <c r="K1606" s="106" t="str">
        <f t="shared" si="6"/>
        <v>0</v>
      </c>
      <c r="L1606" s="106"/>
      <c r="M1606" s="106" t="str">
        <f>SUMIFS(Ere!C:C,Ere!B:B,A1606)</f>
        <v>0</v>
      </c>
      <c r="N1606" s="106" t="str">
        <f t="shared" si="7"/>
        <v>1</v>
      </c>
      <c r="O1606" s="107" t="str">
        <f t="array" ref="O1606">XLOOKUP(A1606,Data!F:F,Data!O:O)</f>
        <v>  1.65 </v>
      </c>
      <c r="P1606" s="107" t="str">
        <f t="shared" si="8"/>
        <v>  4.13 </v>
      </c>
      <c r="Q1606" s="27"/>
    </row>
    <row r="1607" ht="15.75" customHeight="1">
      <c r="A1607" s="105" t="s">
        <v>1851</v>
      </c>
      <c r="B1607" s="19" t="str">
        <f t="array" ref="B1607">XLOOKUP(A1607,Data!F:F,Data!G:G)</f>
        <v>J1F</v>
      </c>
      <c r="C1607" s="19" t="str">
        <f t="shared" si="3"/>
        <v>J106</v>
      </c>
      <c r="D1607" s="19" t="str">
        <f t="array" ref="D1607">XLOOKUP(A1607,Data!F:F,Data!C:C)</f>
        <v/>
      </c>
      <c r="E1607" s="19" t="str">
        <f t="array" ref="E1607">XLOOKUP(A1607,Data!F:F,Data!H:H)</f>
        <v/>
      </c>
      <c r="F1607" s="106" t="str">
        <f>SUMIFS(Data!J:J,Data!F:F,A1607)</f>
        <v>1</v>
      </c>
      <c r="G1607" s="106" t="str">
        <f>SUMIFS(Cast!C:C,CastElements,A1607)</f>
        <v>0</v>
      </c>
      <c r="H1607" s="106" t="str">
        <f t="shared" si="4"/>
        <v>1</v>
      </c>
      <c r="I1607" s="106" t="str">
        <f>SUMIFS(Del!C:C,Del!B:B,A1607)</f>
        <v>0</v>
      </c>
      <c r="J1607" s="106" t="str">
        <f t="shared" si="5"/>
        <v>1</v>
      </c>
      <c r="K1607" s="106" t="str">
        <f t="shared" si="6"/>
        <v>0</v>
      </c>
      <c r="L1607" s="106"/>
      <c r="M1607" s="106" t="str">
        <f>SUMIFS(Ere!C:C,Ere!B:B,A1607)</f>
        <v>0</v>
      </c>
      <c r="N1607" s="106" t="str">
        <f t="shared" si="7"/>
        <v>1</v>
      </c>
      <c r="O1607" s="107" t="str">
        <f t="array" ref="O1607">XLOOKUP(A1607,Data!F:F,Data!O:O)</f>
        <v>  0.36 </v>
      </c>
      <c r="P1607" s="107" t="str">
        <f t="shared" si="8"/>
        <v>  0.91 </v>
      </c>
      <c r="Q1607" s="27"/>
    </row>
    <row r="1608" ht="15.75" customHeight="1">
      <c r="A1608" s="105" t="s">
        <v>1852</v>
      </c>
      <c r="B1608" s="19" t="str">
        <f t="array" ref="B1608">XLOOKUP(A1608,Data!F:F,Data!G:G)</f>
        <v>J1F</v>
      </c>
      <c r="C1608" s="19" t="str">
        <f t="shared" si="3"/>
        <v>J106</v>
      </c>
      <c r="D1608" s="19" t="str">
        <f t="array" ref="D1608">XLOOKUP(A1608,Data!F:F,Data!C:C)</f>
        <v/>
      </c>
      <c r="E1608" s="19" t="str">
        <f t="array" ref="E1608">XLOOKUP(A1608,Data!F:F,Data!H:H)</f>
        <v/>
      </c>
      <c r="F1608" s="106" t="str">
        <f>SUMIFS(Data!J:J,Data!F:F,A1608)</f>
        <v>1</v>
      </c>
      <c r="G1608" s="106" t="str">
        <f>SUMIFS(Cast!C:C,CastElements,A1608)</f>
        <v>0</v>
      </c>
      <c r="H1608" s="106" t="str">
        <f t="shared" si="4"/>
        <v>1</v>
      </c>
      <c r="I1608" s="106" t="str">
        <f>SUMIFS(Del!C:C,Del!B:B,A1608)</f>
        <v>0</v>
      </c>
      <c r="J1608" s="106" t="str">
        <f t="shared" si="5"/>
        <v>1</v>
      </c>
      <c r="K1608" s="106" t="str">
        <f t="shared" si="6"/>
        <v>0</v>
      </c>
      <c r="L1608" s="106"/>
      <c r="M1608" s="106" t="str">
        <f>SUMIFS(Ere!C:C,Ere!B:B,A1608)</f>
        <v>0</v>
      </c>
      <c r="N1608" s="106" t="str">
        <f t="shared" si="7"/>
        <v>1</v>
      </c>
      <c r="O1608" s="107" t="str">
        <f t="array" ref="O1608">XLOOKUP(A1608,Data!F:F,Data!O:O)</f>
        <v>  0.47 </v>
      </c>
      <c r="P1608" s="107" t="str">
        <f t="shared" si="8"/>
        <v>  1.18 </v>
      </c>
      <c r="Q1608" s="27"/>
    </row>
    <row r="1609" ht="15.75" customHeight="1">
      <c r="A1609" s="105" t="s">
        <v>1853</v>
      </c>
      <c r="B1609" s="19" t="str">
        <f t="array" ref="B1609">XLOOKUP(A1609,Data!F:F,Data!G:G)</f>
        <v>J1F</v>
      </c>
      <c r="C1609" s="19" t="str">
        <f t="shared" si="3"/>
        <v>J106</v>
      </c>
      <c r="D1609" s="19" t="str">
        <f t="array" ref="D1609">XLOOKUP(A1609,Data!F:F,Data!C:C)</f>
        <v/>
      </c>
      <c r="E1609" s="19" t="str">
        <f t="array" ref="E1609">XLOOKUP(A1609,Data!F:F,Data!H:H)</f>
        <v/>
      </c>
      <c r="F1609" s="106" t="str">
        <f>SUMIFS(Data!J:J,Data!F:F,A1609)</f>
        <v>1</v>
      </c>
      <c r="G1609" s="106" t="str">
        <f>SUMIFS(Cast!C:C,CastElements,A1609)</f>
        <v>0</v>
      </c>
      <c r="H1609" s="106" t="str">
        <f t="shared" si="4"/>
        <v>1</v>
      </c>
      <c r="I1609" s="106" t="str">
        <f>SUMIFS(Del!C:C,Del!B:B,A1609)</f>
        <v>0</v>
      </c>
      <c r="J1609" s="106" t="str">
        <f t="shared" si="5"/>
        <v>1</v>
      </c>
      <c r="K1609" s="106" t="str">
        <f t="shared" si="6"/>
        <v>0</v>
      </c>
      <c r="L1609" s="106"/>
      <c r="M1609" s="106" t="str">
        <f>SUMIFS(Ere!C:C,Ere!B:B,A1609)</f>
        <v>0</v>
      </c>
      <c r="N1609" s="106" t="str">
        <f t="shared" si="7"/>
        <v>1</v>
      </c>
      <c r="O1609" s="107" t="str">
        <f t="array" ref="O1609">XLOOKUP(A1609,Data!F:F,Data!O:O)</f>
        <v>  0.54 </v>
      </c>
      <c r="P1609" s="107" t="str">
        <f t="shared" si="8"/>
        <v>  1.34 </v>
      </c>
      <c r="Q1609" s="27"/>
    </row>
    <row r="1610" ht="15.75" customHeight="1">
      <c r="A1610" s="105" t="s">
        <v>1854</v>
      </c>
      <c r="B1610" s="19" t="str">
        <f t="array" ref="B1610">XLOOKUP(A1610,Data!F:F,Data!G:G)</f>
        <v>J1F</v>
      </c>
      <c r="C1610" s="19" t="str">
        <f t="shared" si="3"/>
        <v>J107</v>
      </c>
      <c r="D1610" s="19" t="str">
        <f t="array" ref="D1610">XLOOKUP(A1610,Data!F:F,Data!C:C)</f>
        <v/>
      </c>
      <c r="E1610" s="19" t="str">
        <f t="array" ref="E1610">XLOOKUP(A1610,Data!F:F,Data!H:H)</f>
        <v/>
      </c>
      <c r="F1610" s="106" t="str">
        <f>SUMIFS(Data!J:J,Data!F:F,A1610)</f>
        <v>1</v>
      </c>
      <c r="G1610" s="106" t="str">
        <f>SUMIFS(Cast!C:C,CastElements,A1610)</f>
        <v>0</v>
      </c>
      <c r="H1610" s="106" t="str">
        <f t="shared" si="4"/>
        <v>1</v>
      </c>
      <c r="I1610" s="106" t="str">
        <f>SUMIFS(Del!C:C,Del!B:B,A1610)</f>
        <v>0</v>
      </c>
      <c r="J1610" s="106" t="str">
        <f t="shared" si="5"/>
        <v>1</v>
      </c>
      <c r="K1610" s="106" t="str">
        <f t="shared" si="6"/>
        <v>0</v>
      </c>
      <c r="L1610" s="106"/>
      <c r="M1610" s="106" t="str">
        <f>SUMIFS(Ere!C:C,Ere!B:B,A1610)</f>
        <v>0</v>
      </c>
      <c r="N1610" s="106" t="str">
        <f t="shared" si="7"/>
        <v>1</v>
      </c>
      <c r="O1610" s="107" t="str">
        <f t="array" ref="O1610">XLOOKUP(A1610,Data!F:F,Data!O:O)</f>
        <v>  0.87 </v>
      </c>
      <c r="P1610" s="107" t="str">
        <f t="shared" si="8"/>
        <v>  2.18 </v>
      </c>
      <c r="Q1610" s="27"/>
    </row>
    <row r="1611" ht="15.75" customHeight="1">
      <c r="A1611" s="105" t="s">
        <v>1855</v>
      </c>
      <c r="B1611" s="19" t="str">
        <f t="array" ref="B1611">XLOOKUP(A1611,Data!F:F,Data!G:G)</f>
        <v>J1F</v>
      </c>
      <c r="C1611" s="19" t="str">
        <f t="shared" si="3"/>
        <v>J107</v>
      </c>
      <c r="D1611" s="19" t="str">
        <f t="array" ref="D1611">XLOOKUP(A1611,Data!F:F,Data!C:C)</f>
        <v/>
      </c>
      <c r="E1611" s="19" t="str">
        <f t="array" ref="E1611">XLOOKUP(A1611,Data!F:F,Data!H:H)</f>
        <v/>
      </c>
      <c r="F1611" s="106" t="str">
        <f>SUMIFS(Data!J:J,Data!F:F,A1611)</f>
        <v>1</v>
      </c>
      <c r="G1611" s="106" t="str">
        <f>SUMIFS(Cast!C:C,CastElements,A1611)</f>
        <v>0</v>
      </c>
      <c r="H1611" s="106" t="str">
        <f t="shared" si="4"/>
        <v>1</v>
      </c>
      <c r="I1611" s="106" t="str">
        <f>SUMIFS(Del!C:C,Del!B:B,A1611)</f>
        <v>0</v>
      </c>
      <c r="J1611" s="106" t="str">
        <f t="shared" si="5"/>
        <v>1</v>
      </c>
      <c r="K1611" s="106" t="str">
        <f t="shared" si="6"/>
        <v>0</v>
      </c>
      <c r="L1611" s="106"/>
      <c r="M1611" s="106" t="str">
        <f>SUMIFS(Ere!C:C,Ere!B:B,A1611)</f>
        <v>0</v>
      </c>
      <c r="N1611" s="106" t="str">
        <f t="shared" si="7"/>
        <v>1</v>
      </c>
      <c r="O1611" s="107" t="str">
        <f t="array" ref="O1611">XLOOKUP(A1611,Data!F:F,Data!O:O)</f>
        <v>  0.87 </v>
      </c>
      <c r="P1611" s="107" t="str">
        <f t="shared" si="8"/>
        <v>  2.18 </v>
      </c>
      <c r="Q1611" s="27"/>
    </row>
    <row r="1612" ht="15.75" customHeight="1">
      <c r="A1612" s="105" t="s">
        <v>1856</v>
      </c>
      <c r="B1612" s="19" t="str">
        <f t="array" ref="B1612">XLOOKUP(A1612,Data!F:F,Data!G:G)</f>
        <v>J1F</v>
      </c>
      <c r="C1612" s="19" t="str">
        <f t="shared" si="3"/>
        <v>J107</v>
      </c>
      <c r="D1612" s="19" t="str">
        <f t="array" ref="D1612">XLOOKUP(A1612,Data!F:F,Data!C:C)</f>
        <v/>
      </c>
      <c r="E1612" s="19" t="str">
        <f t="array" ref="E1612">XLOOKUP(A1612,Data!F:F,Data!H:H)</f>
        <v/>
      </c>
      <c r="F1612" s="106" t="str">
        <f>SUMIFS(Data!J:J,Data!F:F,A1612)</f>
        <v>1</v>
      </c>
      <c r="G1612" s="106" t="str">
        <f>SUMIFS(Cast!C:C,CastElements,A1612)</f>
        <v>0</v>
      </c>
      <c r="H1612" s="106" t="str">
        <f t="shared" si="4"/>
        <v>1</v>
      </c>
      <c r="I1612" s="106" t="str">
        <f>SUMIFS(Del!C:C,Del!B:B,A1612)</f>
        <v>0</v>
      </c>
      <c r="J1612" s="106" t="str">
        <f t="shared" si="5"/>
        <v>1</v>
      </c>
      <c r="K1612" s="106" t="str">
        <f t="shared" si="6"/>
        <v>0</v>
      </c>
      <c r="L1612" s="106"/>
      <c r="M1612" s="106" t="str">
        <f>SUMIFS(Ere!C:C,Ere!B:B,A1612)</f>
        <v>0</v>
      </c>
      <c r="N1612" s="106" t="str">
        <f t="shared" si="7"/>
        <v>1</v>
      </c>
      <c r="O1612" s="107" t="str">
        <f t="array" ref="O1612">XLOOKUP(A1612,Data!F:F,Data!O:O)</f>
        <v>  0.88 </v>
      </c>
      <c r="P1612" s="107" t="str">
        <f t="shared" si="8"/>
        <v>  2.20 </v>
      </c>
      <c r="Q1612" s="27"/>
    </row>
    <row r="1613" ht="15.75" customHeight="1">
      <c r="A1613" s="105" t="s">
        <v>1857</v>
      </c>
      <c r="B1613" s="19" t="str">
        <f t="array" ref="B1613">XLOOKUP(A1613,Data!F:F,Data!G:G)</f>
        <v>J1F</v>
      </c>
      <c r="C1613" s="19" t="str">
        <f t="shared" si="3"/>
        <v>J107</v>
      </c>
      <c r="D1613" s="19" t="str">
        <f t="array" ref="D1613">XLOOKUP(A1613,Data!F:F,Data!C:C)</f>
        <v/>
      </c>
      <c r="E1613" s="19" t="str">
        <f t="array" ref="E1613">XLOOKUP(A1613,Data!F:F,Data!H:H)</f>
        <v/>
      </c>
      <c r="F1613" s="106" t="str">
        <f>SUMIFS(Data!J:J,Data!F:F,A1613)</f>
        <v>1</v>
      </c>
      <c r="G1613" s="106" t="str">
        <f>SUMIFS(Cast!C:C,CastElements,A1613)</f>
        <v>0</v>
      </c>
      <c r="H1613" s="106" t="str">
        <f t="shared" si="4"/>
        <v>1</v>
      </c>
      <c r="I1613" s="106" t="str">
        <f>SUMIFS(Del!C:C,Del!B:B,A1613)</f>
        <v>0</v>
      </c>
      <c r="J1613" s="106" t="str">
        <f t="shared" si="5"/>
        <v>1</v>
      </c>
      <c r="K1613" s="106" t="str">
        <f t="shared" si="6"/>
        <v>0</v>
      </c>
      <c r="L1613" s="106"/>
      <c r="M1613" s="106" t="str">
        <f>SUMIFS(Ere!C:C,Ere!B:B,A1613)</f>
        <v>0</v>
      </c>
      <c r="N1613" s="106" t="str">
        <f t="shared" si="7"/>
        <v>1</v>
      </c>
      <c r="O1613" s="107" t="str">
        <f t="array" ref="O1613">XLOOKUP(A1613,Data!F:F,Data!O:O)</f>
        <v>  0.92 </v>
      </c>
      <c r="P1613" s="107" t="str">
        <f t="shared" si="8"/>
        <v>  2.29 </v>
      </c>
      <c r="Q1613" s="27"/>
    </row>
    <row r="1614" ht="15.75" customHeight="1">
      <c r="A1614" s="105" t="s">
        <v>1858</v>
      </c>
      <c r="B1614" s="19" t="str">
        <f t="array" ref="B1614">XLOOKUP(A1614,Data!F:F,Data!G:G)</f>
        <v>J1F</v>
      </c>
      <c r="C1614" s="19" t="str">
        <f t="shared" si="3"/>
        <v>J107</v>
      </c>
      <c r="D1614" s="19" t="str">
        <f t="array" ref="D1614">XLOOKUP(A1614,Data!F:F,Data!C:C)</f>
        <v/>
      </c>
      <c r="E1614" s="19" t="str">
        <f t="array" ref="E1614">XLOOKUP(A1614,Data!F:F,Data!H:H)</f>
        <v>BW</v>
      </c>
      <c r="F1614" s="106" t="str">
        <f>SUMIFS(Data!J:J,Data!F:F,A1614)</f>
        <v>1</v>
      </c>
      <c r="G1614" s="106" t="str">
        <f>SUMIFS(Cast!C:C,CastElements,A1614)</f>
        <v>1</v>
      </c>
      <c r="H1614" s="106" t="str">
        <f t="shared" si="4"/>
        <v>0</v>
      </c>
      <c r="I1614" s="106" t="str">
        <f>SUMIFS(Del!C:C,Del!B:B,A1614)</f>
        <v>0</v>
      </c>
      <c r="J1614" s="106" t="str">
        <f t="shared" si="5"/>
        <v>1</v>
      </c>
      <c r="K1614" s="106" t="str">
        <f t="shared" si="6"/>
        <v>1</v>
      </c>
      <c r="L1614" s="106"/>
      <c r="M1614" s="106" t="str">
        <f>SUMIFS(Ere!C:C,Ere!B:B,A1614)</f>
        <v>0</v>
      </c>
      <c r="N1614" s="106" t="str">
        <f t="shared" si="7"/>
        <v>1</v>
      </c>
      <c r="O1614" s="107" t="str">
        <f t="array" ref="O1614">XLOOKUP(A1614,Data!F:F,Data!O:O)</f>
        <v>  1.20 </v>
      </c>
      <c r="P1614" s="107" t="str">
        <f t="shared" si="8"/>
        <v>  3.01 </v>
      </c>
      <c r="Q1614" s="27"/>
    </row>
    <row r="1615" ht="15.75" customHeight="1">
      <c r="A1615" s="105" t="s">
        <v>1859</v>
      </c>
      <c r="B1615" s="19" t="str">
        <f t="array" ref="B1615">XLOOKUP(A1615,Data!F:F,Data!G:G)</f>
        <v>J1F</v>
      </c>
      <c r="C1615" s="19" t="str">
        <f t="shared" si="3"/>
        <v>J107</v>
      </c>
      <c r="D1615" s="19" t="str">
        <f t="array" ref="D1615">XLOOKUP(A1615,Data!F:F,Data!C:C)</f>
        <v/>
      </c>
      <c r="E1615" s="19" t="str">
        <f t="array" ref="E1615">XLOOKUP(A1615,Data!F:F,Data!H:H)</f>
        <v>BW</v>
      </c>
      <c r="F1615" s="106" t="str">
        <f>SUMIFS(Data!J:J,Data!F:F,A1615)</f>
        <v>1</v>
      </c>
      <c r="G1615" s="106" t="str">
        <f>SUMIFS(Cast!C:C,CastElements,A1615)</f>
        <v>1</v>
      </c>
      <c r="H1615" s="106" t="str">
        <f t="shared" si="4"/>
        <v>0</v>
      </c>
      <c r="I1615" s="106" t="str">
        <f>SUMIFS(Del!C:C,Del!B:B,A1615)</f>
        <v>0</v>
      </c>
      <c r="J1615" s="106" t="str">
        <f t="shared" si="5"/>
        <v>1</v>
      </c>
      <c r="K1615" s="106" t="str">
        <f t="shared" si="6"/>
        <v>1</v>
      </c>
      <c r="L1615" s="106"/>
      <c r="M1615" s="106" t="str">
        <f>SUMIFS(Ere!C:C,Ere!B:B,A1615)</f>
        <v>0</v>
      </c>
      <c r="N1615" s="106" t="str">
        <f t="shared" si="7"/>
        <v>1</v>
      </c>
      <c r="O1615" s="107" t="str">
        <f t="array" ref="O1615">XLOOKUP(A1615,Data!F:F,Data!O:O)</f>
        <v>  1.08 </v>
      </c>
      <c r="P1615" s="107" t="str">
        <f t="shared" si="8"/>
        <v>  2.70 </v>
      </c>
      <c r="Q1615" s="27"/>
    </row>
    <row r="1616" ht="15.75" customHeight="1">
      <c r="A1616" s="105" t="s">
        <v>1860</v>
      </c>
      <c r="B1616" s="19" t="str">
        <f t="array" ref="B1616">XLOOKUP(A1616,Data!F:F,Data!G:G)</f>
        <v>J1F</v>
      </c>
      <c r="C1616" s="19" t="str">
        <f t="shared" si="3"/>
        <v>J107</v>
      </c>
      <c r="D1616" s="19" t="str">
        <f t="array" ref="D1616">XLOOKUP(A1616,Data!F:F,Data!C:C)</f>
        <v/>
      </c>
      <c r="E1616" s="19" t="str">
        <f t="array" ref="E1616">XLOOKUP(A1616,Data!F:F,Data!H:H)</f>
        <v/>
      </c>
      <c r="F1616" s="106" t="str">
        <f>SUMIFS(Data!J:J,Data!F:F,A1616)</f>
        <v>1</v>
      </c>
      <c r="G1616" s="106" t="str">
        <f>SUMIFS(Cast!C:C,CastElements,A1616)</f>
        <v>1</v>
      </c>
      <c r="H1616" s="106" t="str">
        <f t="shared" si="4"/>
        <v>0</v>
      </c>
      <c r="I1616" s="106" t="str">
        <f>SUMIFS(Del!C:C,Del!B:B,A1616)</f>
        <v>0</v>
      </c>
      <c r="J1616" s="106" t="str">
        <f t="shared" si="5"/>
        <v>1</v>
      </c>
      <c r="K1616" s="106" t="str">
        <f t="shared" si="6"/>
        <v>1</v>
      </c>
      <c r="L1616" s="106"/>
      <c r="M1616" s="106" t="str">
        <f>SUMIFS(Ere!C:C,Ere!B:B,A1616)</f>
        <v>0</v>
      </c>
      <c r="N1616" s="106" t="str">
        <f t="shared" si="7"/>
        <v>1</v>
      </c>
      <c r="O1616" s="107" t="str">
        <f t="array" ref="O1616">XLOOKUP(A1616,Data!F:F,Data!O:O)</f>
        <v>  1.27 </v>
      </c>
      <c r="P1616" s="107" t="str">
        <f t="shared" si="8"/>
        <v>  3.17 </v>
      </c>
      <c r="Q1616" s="27"/>
    </row>
    <row r="1617" ht="15.75" customHeight="1">
      <c r="A1617" s="105" t="s">
        <v>1861</v>
      </c>
      <c r="B1617" s="19" t="str">
        <f t="array" ref="B1617">XLOOKUP(A1617,Data!F:F,Data!G:G)</f>
        <v>J1F</v>
      </c>
      <c r="C1617" s="19" t="str">
        <f t="shared" si="3"/>
        <v>J107</v>
      </c>
      <c r="D1617" s="19" t="str">
        <f t="array" ref="D1617">XLOOKUP(A1617,Data!F:F,Data!C:C)</f>
        <v/>
      </c>
      <c r="E1617" s="19" t="str">
        <f t="array" ref="E1617">XLOOKUP(A1617,Data!F:F,Data!H:H)</f>
        <v/>
      </c>
      <c r="F1617" s="106" t="str">
        <f>SUMIFS(Data!J:J,Data!F:F,A1617)</f>
        <v>1</v>
      </c>
      <c r="G1617" s="106" t="str">
        <f>SUMIFS(Cast!C:C,CastElements,A1617)</f>
        <v>0</v>
      </c>
      <c r="H1617" s="106" t="str">
        <f t="shared" si="4"/>
        <v>1</v>
      </c>
      <c r="I1617" s="106" t="str">
        <f>SUMIFS(Del!C:C,Del!B:B,A1617)</f>
        <v>0</v>
      </c>
      <c r="J1617" s="106" t="str">
        <f t="shared" si="5"/>
        <v>1</v>
      </c>
      <c r="K1617" s="106" t="str">
        <f t="shared" si="6"/>
        <v>0</v>
      </c>
      <c r="L1617" s="106"/>
      <c r="M1617" s="106" t="str">
        <f>SUMIFS(Ere!C:C,Ere!B:B,A1617)</f>
        <v>0</v>
      </c>
      <c r="N1617" s="106" t="str">
        <f t="shared" si="7"/>
        <v>1</v>
      </c>
      <c r="O1617" s="107" t="str">
        <f t="array" ref="O1617">XLOOKUP(A1617,Data!F:F,Data!O:O)</f>
        <v>  1.27 </v>
      </c>
      <c r="P1617" s="107" t="str">
        <f t="shared" si="8"/>
        <v>  3.17 </v>
      </c>
      <c r="Q1617" s="27"/>
    </row>
    <row r="1618" ht="15.75" customHeight="1">
      <c r="A1618" s="105" t="s">
        <v>1862</v>
      </c>
      <c r="B1618" s="19" t="str">
        <f t="array" ref="B1618">XLOOKUP(A1618,Data!F:F,Data!G:G)</f>
        <v>J1F</v>
      </c>
      <c r="C1618" s="19" t="str">
        <f t="shared" si="3"/>
        <v>J107</v>
      </c>
      <c r="D1618" s="19" t="str">
        <f t="array" ref="D1618">XLOOKUP(A1618,Data!F:F,Data!C:C)</f>
        <v/>
      </c>
      <c r="E1618" s="19" t="str">
        <f t="array" ref="E1618">XLOOKUP(A1618,Data!F:F,Data!H:H)</f>
        <v/>
      </c>
      <c r="F1618" s="106" t="str">
        <f>SUMIFS(Data!J:J,Data!F:F,A1618)</f>
        <v>1</v>
      </c>
      <c r="G1618" s="106" t="str">
        <f>SUMIFS(Cast!C:C,CastElements,A1618)</f>
        <v>0</v>
      </c>
      <c r="H1618" s="106" t="str">
        <f t="shared" si="4"/>
        <v>1</v>
      </c>
      <c r="I1618" s="106" t="str">
        <f>SUMIFS(Del!C:C,Del!B:B,A1618)</f>
        <v>0</v>
      </c>
      <c r="J1618" s="106" t="str">
        <f t="shared" si="5"/>
        <v>1</v>
      </c>
      <c r="K1618" s="106" t="str">
        <f t="shared" si="6"/>
        <v>0</v>
      </c>
      <c r="L1618" s="106"/>
      <c r="M1618" s="106" t="str">
        <f>SUMIFS(Ere!C:C,Ere!B:B,A1618)</f>
        <v>0</v>
      </c>
      <c r="N1618" s="106" t="str">
        <f t="shared" si="7"/>
        <v>1</v>
      </c>
      <c r="O1618" s="107" t="str">
        <f t="array" ref="O1618">XLOOKUP(A1618,Data!F:F,Data!O:O)</f>
        <v>  1.31 </v>
      </c>
      <c r="P1618" s="107" t="str">
        <f t="shared" si="8"/>
        <v>  3.28 </v>
      </c>
      <c r="Q1618" s="27"/>
    </row>
    <row r="1619" ht="15.75" customHeight="1">
      <c r="A1619" s="105" t="s">
        <v>1863</v>
      </c>
      <c r="B1619" s="19" t="str">
        <f t="array" ref="B1619">XLOOKUP(A1619,Data!F:F,Data!G:G)</f>
        <v>J1F</v>
      </c>
      <c r="C1619" s="19" t="str">
        <f t="shared" si="3"/>
        <v>J107</v>
      </c>
      <c r="D1619" s="19" t="str">
        <f t="array" ref="D1619">XLOOKUP(A1619,Data!F:F,Data!C:C)</f>
        <v/>
      </c>
      <c r="E1619" s="19" t="str">
        <f t="array" ref="E1619">XLOOKUP(A1619,Data!F:F,Data!H:H)</f>
        <v/>
      </c>
      <c r="F1619" s="106" t="str">
        <f>SUMIFS(Data!J:J,Data!F:F,A1619)</f>
        <v>1</v>
      </c>
      <c r="G1619" s="106" t="str">
        <f>SUMIFS(Cast!C:C,CastElements,A1619)</f>
        <v>1</v>
      </c>
      <c r="H1619" s="106" t="str">
        <f t="shared" si="4"/>
        <v>0</v>
      </c>
      <c r="I1619" s="106" t="str">
        <f>SUMIFS(Del!C:C,Del!B:B,A1619)</f>
        <v>0</v>
      </c>
      <c r="J1619" s="106" t="str">
        <f t="shared" si="5"/>
        <v>1</v>
      </c>
      <c r="K1619" s="106" t="str">
        <f t="shared" si="6"/>
        <v>1</v>
      </c>
      <c r="L1619" s="106"/>
      <c r="M1619" s="106" t="str">
        <f>SUMIFS(Ere!C:C,Ere!B:B,A1619)</f>
        <v>0</v>
      </c>
      <c r="N1619" s="106" t="str">
        <f t="shared" si="7"/>
        <v>1</v>
      </c>
      <c r="O1619" s="107" t="str">
        <f t="array" ref="O1619">XLOOKUP(A1619,Data!F:F,Data!O:O)</f>
        <v>  1.81 </v>
      </c>
      <c r="P1619" s="107" t="str">
        <f t="shared" si="8"/>
        <v>  4.53 </v>
      </c>
      <c r="Q1619" s="27"/>
    </row>
    <row r="1620" ht="15.75" customHeight="1">
      <c r="A1620" s="105" t="s">
        <v>1864</v>
      </c>
      <c r="B1620" s="19" t="str">
        <f t="array" ref="B1620">XLOOKUP(A1620,Data!F:F,Data!G:G)</f>
        <v>J1F</v>
      </c>
      <c r="C1620" s="19" t="str">
        <f t="shared" si="3"/>
        <v>J107</v>
      </c>
      <c r="D1620" s="19" t="str">
        <f t="array" ref="D1620">XLOOKUP(A1620,Data!F:F,Data!C:C)</f>
        <v/>
      </c>
      <c r="E1620" s="19" t="str">
        <f t="array" ref="E1620">XLOOKUP(A1620,Data!F:F,Data!H:H)</f>
        <v/>
      </c>
      <c r="F1620" s="106" t="str">
        <f>SUMIFS(Data!J:J,Data!F:F,A1620)</f>
        <v>1</v>
      </c>
      <c r="G1620" s="106" t="str">
        <f>SUMIFS(Cast!C:C,CastElements,A1620)</f>
        <v>0</v>
      </c>
      <c r="H1620" s="106" t="str">
        <f t="shared" si="4"/>
        <v>1</v>
      </c>
      <c r="I1620" s="106" t="str">
        <f>SUMIFS(Del!C:C,Del!B:B,A1620)</f>
        <v>0</v>
      </c>
      <c r="J1620" s="106" t="str">
        <f t="shared" si="5"/>
        <v>1</v>
      </c>
      <c r="K1620" s="106" t="str">
        <f t="shared" si="6"/>
        <v>0</v>
      </c>
      <c r="L1620" s="106"/>
      <c r="M1620" s="106" t="str">
        <f>SUMIFS(Ere!C:C,Ere!B:B,A1620)</f>
        <v>0</v>
      </c>
      <c r="N1620" s="106" t="str">
        <f t="shared" si="7"/>
        <v>1</v>
      </c>
      <c r="O1620" s="107" t="str">
        <f t="array" ref="O1620">XLOOKUP(A1620,Data!F:F,Data!O:O)</f>
        <v>  1.64 </v>
      </c>
      <c r="P1620" s="107" t="str">
        <f t="shared" si="8"/>
        <v>  4.09 </v>
      </c>
      <c r="Q1620" s="27"/>
    </row>
    <row r="1621" ht="15.75" customHeight="1">
      <c r="A1621" s="105" t="s">
        <v>1865</v>
      </c>
      <c r="B1621" s="19" t="str">
        <f t="array" ref="B1621">XLOOKUP(A1621,Data!F:F,Data!G:G)</f>
        <v>J1F</v>
      </c>
      <c r="C1621" s="19" t="str">
        <f t="shared" si="3"/>
        <v>J107</v>
      </c>
      <c r="D1621" s="19" t="str">
        <f t="array" ref="D1621">XLOOKUP(A1621,Data!F:F,Data!C:C)</f>
        <v/>
      </c>
      <c r="E1621" s="19" t="str">
        <f t="array" ref="E1621">XLOOKUP(A1621,Data!F:F,Data!H:H)</f>
        <v/>
      </c>
      <c r="F1621" s="106" t="str">
        <f>SUMIFS(Data!J:J,Data!F:F,A1621)</f>
        <v>1</v>
      </c>
      <c r="G1621" s="106" t="str">
        <f>SUMIFS(Cast!C:C,CastElements,A1621)</f>
        <v>0</v>
      </c>
      <c r="H1621" s="106" t="str">
        <f t="shared" si="4"/>
        <v>1</v>
      </c>
      <c r="I1621" s="106" t="str">
        <f>SUMIFS(Del!C:C,Del!B:B,A1621)</f>
        <v>0</v>
      </c>
      <c r="J1621" s="106" t="str">
        <f t="shared" si="5"/>
        <v>1</v>
      </c>
      <c r="K1621" s="106" t="str">
        <f t="shared" si="6"/>
        <v>0</v>
      </c>
      <c r="L1621" s="106"/>
      <c r="M1621" s="106" t="str">
        <f>SUMIFS(Ere!C:C,Ere!B:B,A1621)</f>
        <v>0</v>
      </c>
      <c r="N1621" s="106" t="str">
        <f t="shared" si="7"/>
        <v>1</v>
      </c>
      <c r="O1621" s="107" t="str">
        <f t="array" ref="O1621">XLOOKUP(A1621,Data!F:F,Data!O:O)</f>
        <v>  1.97 </v>
      </c>
      <c r="P1621" s="107" t="str">
        <f t="shared" si="8"/>
        <v>  4.93 </v>
      </c>
      <c r="Q1621" s="27"/>
    </row>
    <row r="1622" ht="15.75" customHeight="1">
      <c r="A1622" s="105" t="s">
        <v>1866</v>
      </c>
      <c r="B1622" s="19" t="str">
        <f t="array" ref="B1622">XLOOKUP(A1622,Data!F:F,Data!G:G)</f>
        <v>J1F</v>
      </c>
      <c r="C1622" s="19" t="str">
        <f t="shared" si="3"/>
        <v>J107</v>
      </c>
      <c r="D1622" s="19" t="str">
        <f t="array" ref="D1622">XLOOKUP(A1622,Data!F:F,Data!C:C)</f>
        <v/>
      </c>
      <c r="E1622" s="19" t="str">
        <f t="array" ref="E1622">XLOOKUP(A1622,Data!F:F,Data!H:H)</f>
        <v/>
      </c>
      <c r="F1622" s="106" t="str">
        <f>SUMIFS(Data!J:J,Data!F:F,A1622)</f>
        <v>1</v>
      </c>
      <c r="G1622" s="106" t="str">
        <f>SUMIFS(Cast!C:C,CastElements,A1622)</f>
        <v>0</v>
      </c>
      <c r="H1622" s="106" t="str">
        <f t="shared" si="4"/>
        <v>1</v>
      </c>
      <c r="I1622" s="106" t="str">
        <f>SUMIFS(Del!C:C,Del!B:B,A1622)</f>
        <v>0</v>
      </c>
      <c r="J1622" s="106" t="str">
        <f t="shared" si="5"/>
        <v>1</v>
      </c>
      <c r="K1622" s="106" t="str">
        <f t="shared" si="6"/>
        <v>0</v>
      </c>
      <c r="L1622" s="106"/>
      <c r="M1622" s="106" t="str">
        <f>SUMIFS(Ere!C:C,Ere!B:B,A1622)</f>
        <v>0</v>
      </c>
      <c r="N1622" s="106" t="str">
        <f t="shared" si="7"/>
        <v>1</v>
      </c>
      <c r="O1622" s="107" t="str">
        <f t="array" ref="O1622">XLOOKUP(A1622,Data!F:F,Data!O:O)</f>
        <v>  1.97 </v>
      </c>
      <c r="P1622" s="107" t="str">
        <f t="shared" si="8"/>
        <v>  4.93 </v>
      </c>
      <c r="Q1622" s="27"/>
    </row>
    <row r="1623" ht="15.75" customHeight="1">
      <c r="A1623" s="105" t="s">
        <v>1867</v>
      </c>
      <c r="B1623" s="19" t="str">
        <f t="array" ref="B1623">XLOOKUP(A1623,Data!F:F,Data!G:G)</f>
        <v>J1F</v>
      </c>
      <c r="C1623" s="19" t="str">
        <f t="shared" si="3"/>
        <v>J107</v>
      </c>
      <c r="D1623" s="19" t="str">
        <f t="array" ref="D1623">XLOOKUP(A1623,Data!F:F,Data!C:C)</f>
        <v/>
      </c>
      <c r="E1623" s="19" t="str">
        <f t="array" ref="E1623">XLOOKUP(A1623,Data!F:F,Data!H:H)</f>
        <v/>
      </c>
      <c r="F1623" s="106" t="str">
        <f>SUMIFS(Data!J:J,Data!F:F,A1623)</f>
        <v>1</v>
      </c>
      <c r="G1623" s="106" t="str">
        <f>SUMIFS(Cast!C:C,CastElements,A1623)</f>
        <v>0</v>
      </c>
      <c r="H1623" s="106" t="str">
        <f t="shared" si="4"/>
        <v>1</v>
      </c>
      <c r="I1623" s="106" t="str">
        <f>SUMIFS(Del!C:C,Del!B:B,A1623)</f>
        <v>0</v>
      </c>
      <c r="J1623" s="106" t="str">
        <f t="shared" si="5"/>
        <v>1</v>
      </c>
      <c r="K1623" s="106" t="str">
        <f t="shared" si="6"/>
        <v>0</v>
      </c>
      <c r="L1623" s="106"/>
      <c r="M1623" s="106" t="str">
        <f>SUMIFS(Ere!C:C,Ere!B:B,A1623)</f>
        <v>0</v>
      </c>
      <c r="N1623" s="106" t="str">
        <f t="shared" si="7"/>
        <v>1</v>
      </c>
      <c r="O1623" s="107" t="str">
        <f t="array" ref="O1623">XLOOKUP(A1623,Data!F:F,Data!O:O)</f>
        <v>  1.97 </v>
      </c>
      <c r="P1623" s="107" t="str">
        <f t="shared" si="8"/>
        <v>  4.93 </v>
      </c>
      <c r="Q1623" s="27"/>
    </row>
    <row r="1624" ht="15.75" customHeight="1">
      <c r="A1624" s="105" t="s">
        <v>1868</v>
      </c>
      <c r="B1624" s="19" t="str">
        <f t="array" ref="B1624">XLOOKUP(A1624,Data!F:F,Data!G:G)</f>
        <v>J1F</v>
      </c>
      <c r="C1624" s="19" t="str">
        <f t="shared" si="3"/>
        <v>J107</v>
      </c>
      <c r="D1624" s="19" t="str">
        <f t="array" ref="D1624">XLOOKUP(A1624,Data!F:F,Data!C:C)</f>
        <v/>
      </c>
      <c r="E1624" s="19" t="str">
        <f t="array" ref="E1624">XLOOKUP(A1624,Data!F:F,Data!H:H)</f>
        <v/>
      </c>
      <c r="F1624" s="106" t="str">
        <f>SUMIFS(Data!J:J,Data!F:F,A1624)</f>
        <v>1</v>
      </c>
      <c r="G1624" s="106" t="str">
        <f>SUMIFS(Cast!C:C,CastElements,A1624)</f>
        <v>0</v>
      </c>
      <c r="H1624" s="106" t="str">
        <f t="shared" si="4"/>
        <v>1</v>
      </c>
      <c r="I1624" s="106" t="str">
        <f>SUMIFS(Del!C:C,Del!B:B,A1624)</f>
        <v>0</v>
      </c>
      <c r="J1624" s="106" t="str">
        <f t="shared" si="5"/>
        <v>1</v>
      </c>
      <c r="K1624" s="106" t="str">
        <f t="shared" si="6"/>
        <v>0</v>
      </c>
      <c r="L1624" s="106"/>
      <c r="M1624" s="106" t="str">
        <f>SUMIFS(Ere!C:C,Ere!B:B,A1624)</f>
        <v>0</v>
      </c>
      <c r="N1624" s="106" t="str">
        <f t="shared" si="7"/>
        <v>1</v>
      </c>
      <c r="O1624" s="107" t="str">
        <f t="array" ref="O1624">XLOOKUP(A1624,Data!F:F,Data!O:O)</f>
        <v>  2.07 </v>
      </c>
      <c r="P1624" s="107" t="str">
        <f t="shared" si="8"/>
        <v>  5.18 </v>
      </c>
      <c r="Q1624" s="27"/>
    </row>
    <row r="1625" ht="15.75" customHeight="1">
      <c r="A1625" s="105" t="s">
        <v>1869</v>
      </c>
      <c r="B1625" s="19" t="str">
        <f t="array" ref="B1625">XLOOKUP(A1625,Data!F:F,Data!G:G)</f>
        <v>J1F</v>
      </c>
      <c r="C1625" s="19" t="str">
        <f t="shared" si="3"/>
        <v>J107</v>
      </c>
      <c r="D1625" s="19" t="str">
        <f t="array" ref="D1625">XLOOKUP(A1625,Data!F:F,Data!C:C)</f>
        <v/>
      </c>
      <c r="E1625" s="19" t="str">
        <f t="array" ref="E1625">XLOOKUP(A1625,Data!F:F,Data!H:H)</f>
        <v/>
      </c>
      <c r="F1625" s="106" t="str">
        <f>SUMIFS(Data!J:J,Data!F:F,A1625)</f>
        <v>1</v>
      </c>
      <c r="G1625" s="106" t="str">
        <f>SUMIFS(Cast!C:C,CastElements,A1625)</f>
        <v>0</v>
      </c>
      <c r="H1625" s="106" t="str">
        <f t="shared" si="4"/>
        <v>1</v>
      </c>
      <c r="I1625" s="106" t="str">
        <f>SUMIFS(Del!C:C,Del!B:B,A1625)</f>
        <v>0</v>
      </c>
      <c r="J1625" s="106" t="str">
        <f t="shared" si="5"/>
        <v>1</v>
      </c>
      <c r="K1625" s="106" t="str">
        <f t="shared" si="6"/>
        <v>0</v>
      </c>
      <c r="L1625" s="106"/>
      <c r="M1625" s="106" t="str">
        <f>SUMIFS(Ere!C:C,Ere!B:B,A1625)</f>
        <v>0</v>
      </c>
      <c r="N1625" s="106" t="str">
        <f t="shared" si="7"/>
        <v>1</v>
      </c>
      <c r="O1625" s="107" t="str">
        <f t="array" ref="O1625">XLOOKUP(A1625,Data!F:F,Data!O:O)</f>
        <v>  0.37 </v>
      </c>
      <c r="P1625" s="107" t="str">
        <f t="shared" si="8"/>
        <v>  0.93 </v>
      </c>
      <c r="Q1625" s="27"/>
    </row>
    <row r="1626" ht="15.75" customHeight="1">
      <c r="A1626" s="105" t="s">
        <v>1870</v>
      </c>
      <c r="B1626" s="19" t="str">
        <f t="array" ref="B1626">XLOOKUP(A1626,Data!F:F,Data!G:G)</f>
        <v>J1F</v>
      </c>
      <c r="C1626" s="19" t="str">
        <f t="shared" si="3"/>
        <v>J107</v>
      </c>
      <c r="D1626" s="19" t="str">
        <f t="array" ref="D1626">XLOOKUP(A1626,Data!F:F,Data!C:C)</f>
        <v/>
      </c>
      <c r="E1626" s="19" t="str">
        <f t="array" ref="E1626">XLOOKUP(A1626,Data!F:F,Data!H:H)</f>
        <v/>
      </c>
      <c r="F1626" s="106" t="str">
        <f>SUMIFS(Data!J:J,Data!F:F,A1626)</f>
        <v>1</v>
      </c>
      <c r="G1626" s="106" t="str">
        <f>SUMIFS(Cast!C:C,CastElements,A1626)</f>
        <v>0</v>
      </c>
      <c r="H1626" s="106" t="str">
        <f t="shared" si="4"/>
        <v>1</v>
      </c>
      <c r="I1626" s="106" t="str">
        <f>SUMIFS(Del!C:C,Del!B:B,A1626)</f>
        <v>0</v>
      </c>
      <c r="J1626" s="106" t="str">
        <f t="shared" si="5"/>
        <v>1</v>
      </c>
      <c r="K1626" s="106" t="str">
        <f t="shared" si="6"/>
        <v>0</v>
      </c>
      <c r="L1626" s="106"/>
      <c r="M1626" s="106" t="str">
        <f>SUMIFS(Ere!C:C,Ere!B:B,A1626)</f>
        <v>0</v>
      </c>
      <c r="N1626" s="106" t="str">
        <f t="shared" si="7"/>
        <v>1</v>
      </c>
      <c r="O1626" s="107" t="str">
        <f t="array" ref="O1626">XLOOKUP(A1626,Data!F:F,Data!O:O)</f>
        <v>  0.55 </v>
      </c>
      <c r="P1626" s="107" t="str">
        <f t="shared" si="8"/>
        <v>  1.36 </v>
      </c>
      <c r="Q1626" s="27"/>
    </row>
    <row r="1627" ht="15.75" customHeight="1">
      <c r="A1627" s="105" t="s">
        <v>1871</v>
      </c>
      <c r="B1627" s="19" t="str">
        <f t="array" ref="B1627">XLOOKUP(A1627,Data!F:F,Data!G:G)</f>
        <v>J1F</v>
      </c>
      <c r="C1627" s="19" t="str">
        <f t="shared" si="3"/>
        <v>J108</v>
      </c>
      <c r="D1627" s="19" t="str">
        <f t="array" ref="D1627">XLOOKUP(A1627,Data!F:F,Data!C:C)</f>
        <v/>
      </c>
      <c r="E1627" s="19" t="str">
        <f t="array" ref="E1627">XLOOKUP(A1627,Data!F:F,Data!H:H)</f>
        <v/>
      </c>
      <c r="F1627" s="106" t="str">
        <f>SUMIFS(Data!J:J,Data!F:F,A1627)</f>
        <v>1</v>
      </c>
      <c r="G1627" s="106" t="str">
        <f>SUMIFS(Cast!C:C,CastElements,A1627)</f>
        <v>0</v>
      </c>
      <c r="H1627" s="106" t="str">
        <f t="shared" si="4"/>
        <v>1</v>
      </c>
      <c r="I1627" s="106" t="str">
        <f>SUMIFS(Del!C:C,Del!B:B,A1627)</f>
        <v>0</v>
      </c>
      <c r="J1627" s="106" t="str">
        <f t="shared" si="5"/>
        <v>1</v>
      </c>
      <c r="K1627" s="106" t="str">
        <f t="shared" si="6"/>
        <v>0</v>
      </c>
      <c r="L1627" s="106"/>
      <c r="M1627" s="106" t="str">
        <f>SUMIFS(Ere!C:C,Ere!B:B,A1627)</f>
        <v>0</v>
      </c>
      <c r="N1627" s="106" t="str">
        <f t="shared" si="7"/>
        <v>1</v>
      </c>
      <c r="O1627" s="107" t="str">
        <f t="array" ref="O1627">XLOOKUP(A1627,Data!F:F,Data!O:O)</f>
        <v>  0.86 </v>
      </c>
      <c r="P1627" s="107" t="str">
        <f t="shared" si="8"/>
        <v>  2.15 </v>
      </c>
      <c r="Q1627" s="27"/>
    </row>
    <row r="1628" ht="15.75" customHeight="1">
      <c r="A1628" s="105" t="s">
        <v>1872</v>
      </c>
      <c r="B1628" s="19" t="str">
        <f t="array" ref="B1628">XLOOKUP(A1628,Data!F:F,Data!G:G)</f>
        <v>J1F</v>
      </c>
      <c r="C1628" s="19" t="str">
        <f t="shared" si="3"/>
        <v>J108</v>
      </c>
      <c r="D1628" s="19" t="str">
        <f t="array" ref="D1628">XLOOKUP(A1628,Data!F:F,Data!C:C)</f>
        <v/>
      </c>
      <c r="E1628" s="19" t="str">
        <f t="array" ref="E1628">XLOOKUP(A1628,Data!F:F,Data!H:H)</f>
        <v/>
      </c>
      <c r="F1628" s="106" t="str">
        <f>SUMIFS(Data!J:J,Data!F:F,A1628)</f>
        <v>1</v>
      </c>
      <c r="G1628" s="106" t="str">
        <f>SUMIFS(Cast!C:C,CastElements,A1628)</f>
        <v>1</v>
      </c>
      <c r="H1628" s="106" t="str">
        <f t="shared" si="4"/>
        <v>0</v>
      </c>
      <c r="I1628" s="106" t="str">
        <f>SUMIFS(Del!C:C,Del!B:B,A1628)</f>
        <v>0</v>
      </c>
      <c r="J1628" s="106" t="str">
        <f t="shared" si="5"/>
        <v>1</v>
      </c>
      <c r="K1628" s="106" t="str">
        <f t="shared" si="6"/>
        <v>1</v>
      </c>
      <c r="L1628" s="106"/>
      <c r="M1628" s="106" t="str">
        <f>SUMIFS(Ere!C:C,Ere!B:B,A1628)</f>
        <v>0</v>
      </c>
      <c r="N1628" s="106" t="str">
        <f t="shared" si="7"/>
        <v>1</v>
      </c>
      <c r="O1628" s="107" t="str">
        <f t="array" ref="O1628">XLOOKUP(A1628,Data!F:F,Data!O:O)</f>
        <v>  0.86 </v>
      </c>
      <c r="P1628" s="107" t="str">
        <f t="shared" si="8"/>
        <v>  2.15 </v>
      </c>
      <c r="Q1628" s="27"/>
    </row>
    <row r="1629" ht="15.75" customHeight="1">
      <c r="A1629" s="105" t="s">
        <v>1873</v>
      </c>
      <c r="B1629" s="19" t="str">
        <f t="array" ref="B1629">XLOOKUP(A1629,Data!F:F,Data!G:G)</f>
        <v>J1F</v>
      </c>
      <c r="C1629" s="19" t="str">
        <f t="shared" si="3"/>
        <v>J108</v>
      </c>
      <c r="D1629" s="19" t="str">
        <f t="array" ref="D1629">XLOOKUP(A1629,Data!F:F,Data!C:C)</f>
        <v/>
      </c>
      <c r="E1629" s="19" t="str">
        <f t="array" ref="E1629">XLOOKUP(A1629,Data!F:F,Data!H:H)</f>
        <v/>
      </c>
      <c r="F1629" s="106" t="str">
        <f>SUMIFS(Data!J:J,Data!F:F,A1629)</f>
        <v>1</v>
      </c>
      <c r="G1629" s="106" t="str">
        <f>SUMIFS(Cast!C:C,CastElements,A1629)</f>
        <v>0</v>
      </c>
      <c r="H1629" s="106" t="str">
        <f t="shared" si="4"/>
        <v>1</v>
      </c>
      <c r="I1629" s="106" t="str">
        <f>SUMIFS(Del!C:C,Del!B:B,A1629)</f>
        <v>0</v>
      </c>
      <c r="J1629" s="106" t="str">
        <f t="shared" si="5"/>
        <v>1</v>
      </c>
      <c r="K1629" s="106" t="str">
        <f t="shared" si="6"/>
        <v>0</v>
      </c>
      <c r="L1629" s="106"/>
      <c r="M1629" s="106" t="str">
        <f>SUMIFS(Ere!C:C,Ere!B:B,A1629)</f>
        <v>0</v>
      </c>
      <c r="N1629" s="106" t="str">
        <f t="shared" si="7"/>
        <v>1</v>
      </c>
      <c r="O1629" s="107" t="str">
        <f t="array" ref="O1629">XLOOKUP(A1629,Data!F:F,Data!O:O)</f>
        <v>  0.65 </v>
      </c>
      <c r="P1629" s="107" t="str">
        <f t="shared" si="8"/>
        <v>  1.63 </v>
      </c>
      <c r="Q1629" s="27"/>
    </row>
    <row r="1630" ht="15.75" customHeight="1">
      <c r="A1630" s="105" t="s">
        <v>1874</v>
      </c>
      <c r="B1630" s="19" t="str">
        <f t="array" ref="B1630">XLOOKUP(A1630,Data!F:F,Data!G:G)</f>
        <v>J1F</v>
      </c>
      <c r="C1630" s="19" t="str">
        <f t="shared" si="3"/>
        <v>J108</v>
      </c>
      <c r="D1630" s="19" t="str">
        <f t="array" ref="D1630">XLOOKUP(A1630,Data!F:F,Data!C:C)</f>
        <v/>
      </c>
      <c r="E1630" s="19" t="str">
        <f t="array" ref="E1630">XLOOKUP(A1630,Data!F:F,Data!H:H)</f>
        <v/>
      </c>
      <c r="F1630" s="106" t="str">
        <f>SUMIFS(Data!J:J,Data!F:F,A1630)</f>
        <v>1</v>
      </c>
      <c r="G1630" s="106" t="str">
        <f>SUMIFS(Cast!C:C,CastElements,A1630)</f>
        <v>1</v>
      </c>
      <c r="H1630" s="106" t="str">
        <f t="shared" si="4"/>
        <v>0</v>
      </c>
      <c r="I1630" s="106" t="str">
        <f>SUMIFS(Del!C:C,Del!B:B,A1630)</f>
        <v>0</v>
      </c>
      <c r="J1630" s="106" t="str">
        <f t="shared" si="5"/>
        <v>1</v>
      </c>
      <c r="K1630" s="106" t="str">
        <f t="shared" si="6"/>
        <v>1</v>
      </c>
      <c r="L1630" s="106"/>
      <c r="M1630" s="106" t="str">
        <f>SUMIFS(Ere!C:C,Ere!B:B,A1630)</f>
        <v>0</v>
      </c>
      <c r="N1630" s="106" t="str">
        <f t="shared" si="7"/>
        <v>1</v>
      </c>
      <c r="O1630" s="107" t="str">
        <f t="array" ref="O1630">XLOOKUP(A1630,Data!F:F,Data!O:O)</f>
        <v>  1.05 </v>
      </c>
      <c r="P1630" s="107" t="str">
        <f t="shared" si="8"/>
        <v>  2.62 </v>
      </c>
      <c r="Q1630" s="27"/>
    </row>
    <row r="1631" ht="15.75" customHeight="1">
      <c r="A1631" s="105" t="s">
        <v>1875</v>
      </c>
      <c r="B1631" s="19" t="str">
        <f t="array" ref="B1631">XLOOKUP(A1631,Data!F:F,Data!G:G)</f>
        <v>J1F</v>
      </c>
      <c r="C1631" s="19" t="str">
        <f t="shared" si="3"/>
        <v>J108</v>
      </c>
      <c r="D1631" s="19" t="str">
        <f t="array" ref="D1631">XLOOKUP(A1631,Data!F:F,Data!C:C)</f>
        <v/>
      </c>
      <c r="E1631" s="19" t="str">
        <f t="array" ref="E1631">XLOOKUP(A1631,Data!F:F,Data!H:H)</f>
        <v/>
      </c>
      <c r="F1631" s="106" t="str">
        <f>SUMIFS(Data!J:J,Data!F:F,A1631)</f>
        <v>1</v>
      </c>
      <c r="G1631" s="106" t="str">
        <f>SUMIFS(Cast!C:C,CastElements,A1631)</f>
        <v>0</v>
      </c>
      <c r="H1631" s="106" t="str">
        <f t="shared" si="4"/>
        <v>1</v>
      </c>
      <c r="I1631" s="106" t="str">
        <f>SUMIFS(Del!C:C,Del!B:B,A1631)</f>
        <v>0</v>
      </c>
      <c r="J1631" s="106" t="str">
        <f t="shared" si="5"/>
        <v>1</v>
      </c>
      <c r="K1631" s="106" t="str">
        <f t="shared" si="6"/>
        <v>0</v>
      </c>
      <c r="L1631" s="106"/>
      <c r="M1631" s="106" t="str">
        <f>SUMIFS(Ere!C:C,Ere!B:B,A1631)</f>
        <v>0</v>
      </c>
      <c r="N1631" s="106" t="str">
        <f t="shared" si="7"/>
        <v>1</v>
      </c>
      <c r="O1631" s="107" t="str">
        <f t="array" ref="O1631">XLOOKUP(A1631,Data!F:F,Data!O:O)</f>
        <v>  1.31 </v>
      </c>
      <c r="P1631" s="107" t="str">
        <f t="shared" si="8"/>
        <v>  3.28 </v>
      </c>
      <c r="Q1631" s="27"/>
    </row>
    <row r="1632" ht="15.75" customHeight="1">
      <c r="A1632" s="105" t="s">
        <v>1876</v>
      </c>
      <c r="B1632" s="19" t="str">
        <f t="array" ref="B1632">XLOOKUP(A1632,Data!F:F,Data!G:G)</f>
        <v>J1F</v>
      </c>
      <c r="C1632" s="19" t="str">
        <f t="shared" si="3"/>
        <v>J108</v>
      </c>
      <c r="D1632" s="19" t="str">
        <f t="array" ref="D1632">XLOOKUP(A1632,Data!F:F,Data!C:C)</f>
        <v/>
      </c>
      <c r="E1632" s="19" t="str">
        <f t="array" ref="E1632">XLOOKUP(A1632,Data!F:F,Data!H:H)</f>
        <v/>
      </c>
      <c r="F1632" s="106" t="str">
        <f>SUMIFS(Data!J:J,Data!F:F,A1632)</f>
        <v>1</v>
      </c>
      <c r="G1632" s="106" t="str">
        <f>SUMIFS(Cast!C:C,CastElements,A1632)</f>
        <v>0</v>
      </c>
      <c r="H1632" s="106" t="str">
        <f t="shared" si="4"/>
        <v>1</v>
      </c>
      <c r="I1632" s="106" t="str">
        <f>SUMIFS(Del!C:C,Del!B:B,A1632)</f>
        <v>0</v>
      </c>
      <c r="J1632" s="106" t="str">
        <f t="shared" si="5"/>
        <v>1</v>
      </c>
      <c r="K1632" s="106" t="str">
        <f t="shared" si="6"/>
        <v>0</v>
      </c>
      <c r="L1632" s="106"/>
      <c r="M1632" s="106" t="str">
        <f>SUMIFS(Ere!C:C,Ere!B:B,A1632)</f>
        <v>0</v>
      </c>
      <c r="N1632" s="106" t="str">
        <f t="shared" si="7"/>
        <v>1</v>
      </c>
      <c r="O1632" s="107" t="str">
        <f t="array" ref="O1632">XLOOKUP(A1632,Data!F:F,Data!O:O)</f>
        <v>  1.12 </v>
      </c>
      <c r="P1632" s="107" t="str">
        <f t="shared" si="8"/>
        <v>  2.80 </v>
      </c>
      <c r="Q1632" s="27"/>
    </row>
    <row r="1633" ht="15.75" customHeight="1">
      <c r="A1633" s="105" t="s">
        <v>1877</v>
      </c>
      <c r="B1633" s="19" t="str">
        <f t="array" ref="B1633">XLOOKUP(A1633,Data!F:F,Data!G:G)</f>
        <v>J1F</v>
      </c>
      <c r="C1633" s="19" t="str">
        <f t="shared" si="3"/>
        <v>J108</v>
      </c>
      <c r="D1633" s="19" t="str">
        <f t="array" ref="D1633">XLOOKUP(A1633,Data!F:F,Data!C:C)</f>
        <v/>
      </c>
      <c r="E1633" s="19" t="str">
        <f t="array" ref="E1633">XLOOKUP(A1633,Data!F:F,Data!H:H)</f>
        <v/>
      </c>
      <c r="F1633" s="106" t="str">
        <f>SUMIFS(Data!J:J,Data!F:F,A1633)</f>
        <v>1</v>
      </c>
      <c r="G1633" s="106" t="str">
        <f>SUMIFS(Cast!C:C,CastElements,A1633)</f>
        <v>0</v>
      </c>
      <c r="H1633" s="106" t="str">
        <f t="shared" si="4"/>
        <v>1</v>
      </c>
      <c r="I1633" s="106" t="str">
        <f>SUMIFS(Del!C:C,Del!B:B,A1633)</f>
        <v>0</v>
      </c>
      <c r="J1633" s="106" t="str">
        <f t="shared" si="5"/>
        <v>1</v>
      </c>
      <c r="K1633" s="106" t="str">
        <f t="shared" si="6"/>
        <v>0</v>
      </c>
      <c r="L1633" s="106"/>
      <c r="M1633" s="106" t="str">
        <f>SUMIFS(Ere!C:C,Ere!B:B,A1633)</f>
        <v>0</v>
      </c>
      <c r="N1633" s="106" t="str">
        <f t="shared" si="7"/>
        <v>1</v>
      </c>
      <c r="O1633" s="107" t="str">
        <f t="array" ref="O1633">XLOOKUP(A1633,Data!F:F,Data!O:O)</f>
        <v>  1.25 </v>
      </c>
      <c r="P1633" s="107" t="str">
        <f t="shared" si="8"/>
        <v>  3.12 </v>
      </c>
      <c r="Q1633" s="27"/>
    </row>
    <row r="1634" ht="15.75" customHeight="1">
      <c r="A1634" s="105" t="s">
        <v>1878</v>
      </c>
      <c r="B1634" s="19" t="str">
        <f t="array" ref="B1634">XLOOKUP(A1634,Data!F:F,Data!G:G)</f>
        <v>J1F</v>
      </c>
      <c r="C1634" s="19" t="str">
        <f t="shared" si="3"/>
        <v>J108</v>
      </c>
      <c r="D1634" s="19" t="str">
        <f t="array" ref="D1634">XLOOKUP(A1634,Data!F:F,Data!C:C)</f>
        <v/>
      </c>
      <c r="E1634" s="19" t="str">
        <f t="array" ref="E1634">XLOOKUP(A1634,Data!F:F,Data!H:H)</f>
        <v/>
      </c>
      <c r="F1634" s="106" t="str">
        <f>SUMIFS(Data!J:J,Data!F:F,A1634)</f>
        <v>1</v>
      </c>
      <c r="G1634" s="106" t="str">
        <f>SUMIFS(Cast!C:C,CastElements,A1634)</f>
        <v>0</v>
      </c>
      <c r="H1634" s="106" t="str">
        <f t="shared" si="4"/>
        <v>1</v>
      </c>
      <c r="I1634" s="106" t="str">
        <f>SUMIFS(Del!C:C,Del!B:B,A1634)</f>
        <v>0</v>
      </c>
      <c r="J1634" s="106" t="str">
        <f t="shared" si="5"/>
        <v>1</v>
      </c>
      <c r="K1634" s="106" t="str">
        <f t="shared" si="6"/>
        <v>0</v>
      </c>
      <c r="L1634" s="106"/>
      <c r="M1634" s="106" t="str">
        <f>SUMIFS(Ere!C:C,Ere!B:B,A1634)</f>
        <v>0</v>
      </c>
      <c r="N1634" s="106" t="str">
        <f t="shared" si="7"/>
        <v>1</v>
      </c>
      <c r="O1634" s="107" t="str">
        <f t="array" ref="O1634">XLOOKUP(A1634,Data!F:F,Data!O:O)</f>
        <v>  1.31 </v>
      </c>
      <c r="P1634" s="107" t="str">
        <f t="shared" si="8"/>
        <v>  3.28 </v>
      </c>
      <c r="Q1634" s="27"/>
    </row>
    <row r="1635" ht="15.75" customHeight="1">
      <c r="A1635" s="105" t="s">
        <v>1879</v>
      </c>
      <c r="B1635" s="19" t="str">
        <f t="array" ref="B1635">XLOOKUP(A1635,Data!F:F,Data!G:G)</f>
        <v>J1F</v>
      </c>
      <c r="C1635" s="19" t="str">
        <f t="shared" si="3"/>
        <v>J108</v>
      </c>
      <c r="D1635" s="19" t="str">
        <f t="array" ref="D1635">XLOOKUP(A1635,Data!F:F,Data!C:C)</f>
        <v/>
      </c>
      <c r="E1635" s="19" t="str">
        <f t="array" ref="E1635">XLOOKUP(A1635,Data!F:F,Data!H:H)</f>
        <v/>
      </c>
      <c r="F1635" s="106" t="str">
        <f>SUMIFS(Data!J:J,Data!F:F,A1635)</f>
        <v>1</v>
      </c>
      <c r="G1635" s="106" t="str">
        <f>SUMIFS(Cast!C:C,CastElements,A1635)</f>
        <v>0</v>
      </c>
      <c r="H1635" s="106" t="str">
        <f t="shared" si="4"/>
        <v>1</v>
      </c>
      <c r="I1635" s="106" t="str">
        <f>SUMIFS(Del!C:C,Del!B:B,A1635)</f>
        <v>0</v>
      </c>
      <c r="J1635" s="106" t="str">
        <f t="shared" si="5"/>
        <v>1</v>
      </c>
      <c r="K1635" s="106" t="str">
        <f t="shared" si="6"/>
        <v>0</v>
      </c>
      <c r="L1635" s="106"/>
      <c r="M1635" s="106" t="str">
        <f>SUMIFS(Ere!C:C,Ere!B:B,A1635)</f>
        <v>0</v>
      </c>
      <c r="N1635" s="106" t="str">
        <f t="shared" si="7"/>
        <v>1</v>
      </c>
      <c r="O1635" s="107" t="str">
        <f t="array" ref="O1635">XLOOKUP(A1635,Data!F:F,Data!O:O)</f>
        <v>  1.27 </v>
      </c>
      <c r="P1635" s="107" t="str">
        <f t="shared" si="8"/>
        <v>  3.17 </v>
      </c>
      <c r="Q1635" s="27"/>
    </row>
    <row r="1636" ht="15.75" customHeight="1">
      <c r="A1636" s="105" t="s">
        <v>1880</v>
      </c>
      <c r="B1636" s="19" t="str">
        <f t="array" ref="B1636">XLOOKUP(A1636,Data!F:F,Data!G:G)</f>
        <v>J1F</v>
      </c>
      <c r="C1636" s="19" t="str">
        <f t="shared" si="3"/>
        <v>J108</v>
      </c>
      <c r="D1636" s="19" t="str">
        <f t="array" ref="D1636">XLOOKUP(A1636,Data!F:F,Data!C:C)</f>
        <v/>
      </c>
      <c r="E1636" s="19" t="str">
        <f t="array" ref="E1636">XLOOKUP(A1636,Data!F:F,Data!H:H)</f>
        <v/>
      </c>
      <c r="F1636" s="106" t="str">
        <f>SUMIFS(Data!J:J,Data!F:F,A1636)</f>
        <v>1</v>
      </c>
      <c r="G1636" s="106" t="str">
        <f>SUMIFS(Cast!C:C,CastElements,A1636)</f>
        <v>1</v>
      </c>
      <c r="H1636" s="106" t="str">
        <f t="shared" si="4"/>
        <v>0</v>
      </c>
      <c r="I1636" s="106" t="str">
        <f>SUMIFS(Del!C:C,Del!B:B,A1636)</f>
        <v>0</v>
      </c>
      <c r="J1636" s="106" t="str">
        <f t="shared" si="5"/>
        <v>1</v>
      </c>
      <c r="K1636" s="106" t="str">
        <f t="shared" si="6"/>
        <v>1</v>
      </c>
      <c r="L1636" s="106"/>
      <c r="M1636" s="106" t="str">
        <f>SUMIFS(Ere!C:C,Ere!B:B,A1636)</f>
        <v>0</v>
      </c>
      <c r="N1636" s="106" t="str">
        <f t="shared" si="7"/>
        <v>1</v>
      </c>
      <c r="O1636" s="107" t="str">
        <f t="array" ref="O1636">XLOOKUP(A1636,Data!F:F,Data!O:O)</f>
        <v>  1.87 </v>
      </c>
      <c r="P1636" s="107" t="str">
        <f t="shared" si="8"/>
        <v>  4.68 </v>
      </c>
      <c r="Q1636" s="27"/>
    </row>
    <row r="1637" ht="15.75" customHeight="1">
      <c r="A1637" s="105" t="s">
        <v>1881</v>
      </c>
      <c r="B1637" s="19" t="str">
        <f t="array" ref="B1637">XLOOKUP(A1637,Data!F:F,Data!G:G)</f>
        <v>J1F</v>
      </c>
      <c r="C1637" s="19" t="str">
        <f t="shared" si="3"/>
        <v>J108</v>
      </c>
      <c r="D1637" s="19" t="str">
        <f t="array" ref="D1637">XLOOKUP(A1637,Data!F:F,Data!C:C)</f>
        <v/>
      </c>
      <c r="E1637" s="19" t="str">
        <f t="array" ref="E1637">XLOOKUP(A1637,Data!F:F,Data!H:H)</f>
        <v/>
      </c>
      <c r="F1637" s="106" t="str">
        <f>SUMIFS(Data!J:J,Data!F:F,A1637)</f>
        <v>1</v>
      </c>
      <c r="G1637" s="106" t="str">
        <f>SUMIFS(Cast!C:C,CastElements,A1637)</f>
        <v>0</v>
      </c>
      <c r="H1637" s="106" t="str">
        <f t="shared" si="4"/>
        <v>1</v>
      </c>
      <c r="I1637" s="106" t="str">
        <f>SUMIFS(Del!C:C,Del!B:B,A1637)</f>
        <v>0</v>
      </c>
      <c r="J1637" s="106" t="str">
        <f t="shared" si="5"/>
        <v>1</v>
      </c>
      <c r="K1637" s="106" t="str">
        <f t="shared" si="6"/>
        <v>0</v>
      </c>
      <c r="L1637" s="106"/>
      <c r="M1637" s="106" t="str">
        <f>SUMIFS(Ere!C:C,Ere!B:B,A1637)</f>
        <v>0</v>
      </c>
      <c r="N1637" s="106" t="str">
        <f t="shared" si="7"/>
        <v>1</v>
      </c>
      <c r="O1637" s="107" t="str">
        <f t="array" ref="O1637">XLOOKUP(A1637,Data!F:F,Data!O:O)</f>
        <v>  2.32 </v>
      </c>
      <c r="P1637" s="107" t="str">
        <f t="shared" si="8"/>
        <v>  5.79 </v>
      </c>
      <c r="Q1637" s="27"/>
    </row>
    <row r="1638" ht="15.75" customHeight="1">
      <c r="A1638" s="105" t="s">
        <v>1882</v>
      </c>
      <c r="B1638" s="19" t="str">
        <f t="array" ref="B1638">XLOOKUP(A1638,Data!F:F,Data!G:G)</f>
        <v>J1F</v>
      </c>
      <c r="C1638" s="19" t="str">
        <f t="shared" si="3"/>
        <v>J108</v>
      </c>
      <c r="D1638" s="19" t="str">
        <f t="array" ref="D1638">XLOOKUP(A1638,Data!F:F,Data!C:C)</f>
        <v/>
      </c>
      <c r="E1638" s="19" t="str">
        <f t="array" ref="E1638">XLOOKUP(A1638,Data!F:F,Data!H:H)</f>
        <v/>
      </c>
      <c r="F1638" s="106" t="str">
        <f>SUMIFS(Data!J:J,Data!F:F,A1638)</f>
        <v>1</v>
      </c>
      <c r="G1638" s="106" t="str">
        <f>SUMIFS(Cast!C:C,CastElements,A1638)</f>
        <v>1</v>
      </c>
      <c r="H1638" s="106" t="str">
        <f t="shared" si="4"/>
        <v>0</v>
      </c>
      <c r="I1638" s="106" t="str">
        <f>SUMIFS(Del!C:C,Del!B:B,A1638)</f>
        <v>0</v>
      </c>
      <c r="J1638" s="106" t="str">
        <f t="shared" si="5"/>
        <v>1</v>
      </c>
      <c r="K1638" s="106" t="str">
        <f t="shared" si="6"/>
        <v>1</v>
      </c>
      <c r="L1638" s="106"/>
      <c r="M1638" s="106" t="str">
        <f>SUMIFS(Ere!C:C,Ere!B:B,A1638)</f>
        <v>0</v>
      </c>
      <c r="N1638" s="106" t="str">
        <f t="shared" si="7"/>
        <v>1</v>
      </c>
      <c r="O1638" s="107" t="str">
        <f t="array" ref="O1638">XLOOKUP(A1638,Data!F:F,Data!O:O)</f>
        <v>  2.21 </v>
      </c>
      <c r="P1638" s="107" t="str">
        <f t="shared" si="8"/>
        <v>  5.52 </v>
      </c>
      <c r="Q1638" s="27"/>
    </row>
    <row r="1639" ht="15.75" customHeight="1">
      <c r="A1639" s="105" t="s">
        <v>1883</v>
      </c>
      <c r="B1639" s="19" t="str">
        <f t="array" ref="B1639">XLOOKUP(A1639,Data!F:F,Data!G:G)</f>
        <v>J1F</v>
      </c>
      <c r="C1639" s="19" t="str">
        <f t="shared" si="3"/>
        <v>J108</v>
      </c>
      <c r="D1639" s="19" t="str">
        <f t="array" ref="D1639">XLOOKUP(A1639,Data!F:F,Data!C:C)</f>
        <v/>
      </c>
      <c r="E1639" s="19" t="str">
        <f t="array" ref="E1639">XLOOKUP(A1639,Data!F:F,Data!H:H)</f>
        <v/>
      </c>
      <c r="F1639" s="106" t="str">
        <f>SUMIFS(Data!J:J,Data!F:F,A1639)</f>
        <v>1</v>
      </c>
      <c r="G1639" s="106" t="str">
        <f>SUMIFS(Cast!C:C,CastElements,A1639)</f>
        <v>1</v>
      </c>
      <c r="H1639" s="106" t="str">
        <f t="shared" si="4"/>
        <v>0</v>
      </c>
      <c r="I1639" s="106" t="str">
        <f>SUMIFS(Del!C:C,Del!B:B,A1639)</f>
        <v>0</v>
      </c>
      <c r="J1639" s="106" t="str">
        <f t="shared" si="5"/>
        <v>1</v>
      </c>
      <c r="K1639" s="106" t="str">
        <f t="shared" si="6"/>
        <v>1</v>
      </c>
      <c r="L1639" s="106"/>
      <c r="M1639" s="106" t="str">
        <f>SUMIFS(Ere!C:C,Ere!B:B,A1639)</f>
        <v>0</v>
      </c>
      <c r="N1639" s="106" t="str">
        <f t="shared" si="7"/>
        <v>1</v>
      </c>
      <c r="O1639" s="107" t="str">
        <f t="array" ref="O1639">XLOOKUP(A1639,Data!F:F,Data!O:O)</f>
        <v>  2.21 </v>
      </c>
      <c r="P1639" s="107" t="str">
        <f t="shared" si="8"/>
        <v>  5.52 </v>
      </c>
      <c r="Q1639" s="27"/>
    </row>
    <row r="1640" ht="15.75" customHeight="1">
      <c r="A1640" s="105" t="s">
        <v>1884</v>
      </c>
      <c r="B1640" s="19" t="str">
        <f t="array" ref="B1640">XLOOKUP(A1640,Data!F:F,Data!G:G)</f>
        <v>J1F</v>
      </c>
      <c r="C1640" s="19" t="str">
        <f t="shared" si="3"/>
        <v>J108</v>
      </c>
      <c r="D1640" s="19" t="str">
        <f t="array" ref="D1640">XLOOKUP(A1640,Data!F:F,Data!C:C)</f>
        <v/>
      </c>
      <c r="E1640" s="19" t="str">
        <f t="array" ref="E1640">XLOOKUP(A1640,Data!F:F,Data!H:H)</f>
        <v/>
      </c>
      <c r="F1640" s="106" t="str">
        <f>SUMIFS(Data!J:J,Data!F:F,A1640)</f>
        <v>1</v>
      </c>
      <c r="G1640" s="106" t="str">
        <f>SUMIFS(Cast!C:C,CastElements,A1640)</f>
        <v>1</v>
      </c>
      <c r="H1640" s="106" t="str">
        <f t="shared" si="4"/>
        <v>0</v>
      </c>
      <c r="I1640" s="106" t="str">
        <f>SUMIFS(Del!C:C,Del!B:B,A1640)</f>
        <v>0</v>
      </c>
      <c r="J1640" s="106" t="str">
        <f t="shared" si="5"/>
        <v>1</v>
      </c>
      <c r="K1640" s="106" t="str">
        <f t="shared" si="6"/>
        <v>1</v>
      </c>
      <c r="L1640" s="106"/>
      <c r="M1640" s="106" t="str">
        <f>SUMIFS(Ere!C:C,Ere!B:B,A1640)</f>
        <v>0</v>
      </c>
      <c r="N1640" s="106" t="str">
        <f t="shared" si="7"/>
        <v>1</v>
      </c>
      <c r="O1640" s="107" t="str">
        <f t="array" ref="O1640">XLOOKUP(A1640,Data!F:F,Data!O:O)</f>
        <v>  2.21 </v>
      </c>
      <c r="P1640" s="107" t="str">
        <f t="shared" si="8"/>
        <v>  5.52 </v>
      </c>
      <c r="Q1640" s="27"/>
    </row>
    <row r="1641" ht="15.75" customHeight="1">
      <c r="A1641" s="105" t="s">
        <v>1885</v>
      </c>
      <c r="B1641" s="19" t="str">
        <f t="array" ref="B1641">XLOOKUP(A1641,Data!F:F,Data!G:G)</f>
        <v>J1F</v>
      </c>
      <c r="C1641" s="19" t="str">
        <f t="shared" si="3"/>
        <v>J108</v>
      </c>
      <c r="D1641" s="19" t="str">
        <f t="array" ref="D1641">XLOOKUP(A1641,Data!F:F,Data!C:C)</f>
        <v/>
      </c>
      <c r="E1641" s="19" t="str">
        <f t="array" ref="E1641">XLOOKUP(A1641,Data!F:F,Data!H:H)</f>
        <v/>
      </c>
      <c r="F1641" s="106" t="str">
        <f>SUMIFS(Data!J:J,Data!F:F,A1641)</f>
        <v>1</v>
      </c>
      <c r="G1641" s="106" t="str">
        <f>SUMIFS(Cast!C:C,CastElements,A1641)</f>
        <v>0</v>
      </c>
      <c r="H1641" s="106" t="str">
        <f t="shared" si="4"/>
        <v>1</v>
      </c>
      <c r="I1641" s="106" t="str">
        <f>SUMIFS(Del!C:C,Del!B:B,A1641)</f>
        <v>0</v>
      </c>
      <c r="J1641" s="106" t="str">
        <f t="shared" si="5"/>
        <v>1</v>
      </c>
      <c r="K1641" s="106" t="str">
        <f t="shared" si="6"/>
        <v>0</v>
      </c>
      <c r="L1641" s="106"/>
      <c r="M1641" s="106" t="str">
        <f>SUMIFS(Ere!C:C,Ere!B:B,A1641)</f>
        <v>0</v>
      </c>
      <c r="N1641" s="106" t="str">
        <f t="shared" si="7"/>
        <v>1</v>
      </c>
      <c r="O1641" s="107" t="str">
        <f t="array" ref="O1641">XLOOKUP(A1641,Data!F:F,Data!O:O)</f>
        <v>  1.87 </v>
      </c>
      <c r="P1641" s="107" t="str">
        <f t="shared" si="8"/>
        <v>  4.68 </v>
      </c>
      <c r="Q1641" s="27"/>
    </row>
    <row r="1642" ht="15.75" customHeight="1">
      <c r="A1642" s="105" t="s">
        <v>1886</v>
      </c>
      <c r="B1642" s="19" t="str">
        <f t="array" ref="B1642">XLOOKUP(A1642,Data!F:F,Data!G:G)</f>
        <v>J1F</v>
      </c>
      <c r="C1642" s="19" t="str">
        <f t="shared" si="3"/>
        <v>J108</v>
      </c>
      <c r="D1642" s="19" t="str">
        <f t="array" ref="D1642">XLOOKUP(A1642,Data!F:F,Data!C:C)</f>
        <v/>
      </c>
      <c r="E1642" s="19" t="str">
        <f t="array" ref="E1642">XLOOKUP(A1642,Data!F:F,Data!H:H)</f>
        <v/>
      </c>
      <c r="F1642" s="106" t="str">
        <f>SUMIFS(Data!J:J,Data!F:F,A1642)</f>
        <v>1</v>
      </c>
      <c r="G1642" s="106" t="str">
        <f>SUMIFS(Cast!C:C,CastElements,A1642)</f>
        <v>0</v>
      </c>
      <c r="H1642" s="106" t="str">
        <f t="shared" si="4"/>
        <v>1</v>
      </c>
      <c r="I1642" s="106" t="str">
        <f>SUMIFS(Del!C:C,Del!B:B,A1642)</f>
        <v>0</v>
      </c>
      <c r="J1642" s="106" t="str">
        <f t="shared" si="5"/>
        <v>1</v>
      </c>
      <c r="K1642" s="106" t="str">
        <f t="shared" si="6"/>
        <v>0</v>
      </c>
      <c r="L1642" s="106"/>
      <c r="M1642" s="106" t="str">
        <f>SUMIFS(Ere!C:C,Ere!B:B,A1642)</f>
        <v>0</v>
      </c>
      <c r="N1642" s="106" t="str">
        <f t="shared" si="7"/>
        <v>1</v>
      </c>
      <c r="O1642" s="107" t="str">
        <f t="array" ref="O1642">XLOOKUP(A1642,Data!F:F,Data!O:O)</f>
        <v>  0.41 </v>
      </c>
      <c r="P1642" s="107" t="str">
        <f t="shared" si="8"/>
        <v>  1.03 </v>
      </c>
      <c r="Q1642" s="27"/>
    </row>
    <row r="1643" ht="15.75" customHeight="1">
      <c r="A1643" s="105" t="s">
        <v>1887</v>
      </c>
      <c r="B1643" s="19" t="str">
        <f t="array" ref="B1643">XLOOKUP(A1643,Data!F:F,Data!G:G)</f>
        <v>J1F</v>
      </c>
      <c r="C1643" s="19" t="str">
        <f t="shared" si="3"/>
        <v>J108</v>
      </c>
      <c r="D1643" s="19" t="str">
        <f t="array" ref="D1643">XLOOKUP(A1643,Data!F:F,Data!C:C)</f>
        <v/>
      </c>
      <c r="E1643" s="19" t="str">
        <f t="array" ref="E1643">XLOOKUP(A1643,Data!F:F,Data!H:H)</f>
        <v/>
      </c>
      <c r="F1643" s="106" t="str">
        <f>SUMIFS(Data!J:J,Data!F:F,A1643)</f>
        <v>1</v>
      </c>
      <c r="G1643" s="106" t="str">
        <f>SUMIFS(Cast!C:C,CastElements,A1643)</f>
        <v>0</v>
      </c>
      <c r="H1643" s="106" t="str">
        <f t="shared" si="4"/>
        <v>1</v>
      </c>
      <c r="I1643" s="106" t="str">
        <f>SUMIFS(Del!C:C,Del!B:B,A1643)</f>
        <v>0</v>
      </c>
      <c r="J1643" s="106" t="str">
        <f t="shared" si="5"/>
        <v>1</v>
      </c>
      <c r="K1643" s="106" t="str">
        <f t="shared" si="6"/>
        <v>0</v>
      </c>
      <c r="L1643" s="106"/>
      <c r="M1643" s="106" t="str">
        <f>SUMIFS(Ere!C:C,Ere!B:B,A1643)</f>
        <v>0</v>
      </c>
      <c r="N1643" s="106" t="str">
        <f t="shared" si="7"/>
        <v>1</v>
      </c>
      <c r="O1643" s="107" t="str">
        <f t="array" ref="O1643">XLOOKUP(A1643,Data!F:F,Data!O:O)</f>
        <v>  0.56 </v>
      </c>
      <c r="P1643" s="107" t="str">
        <f t="shared" si="8"/>
        <v>  1.41 </v>
      </c>
      <c r="Q1643" s="27"/>
    </row>
    <row r="1644" ht="15.75" customHeight="1">
      <c r="A1644" s="105" t="s">
        <v>1888</v>
      </c>
      <c r="B1644" s="19" t="str">
        <f t="array" ref="B1644">XLOOKUP(A1644,Data!F:F,Data!G:G)</f>
        <v>J1F</v>
      </c>
      <c r="C1644" s="19" t="str">
        <f t="shared" si="3"/>
        <v>J109</v>
      </c>
      <c r="D1644" s="19" t="str">
        <f t="array" ref="D1644">XLOOKUP(A1644,Data!F:F,Data!C:C)</f>
        <v/>
      </c>
      <c r="E1644" s="19" t="str">
        <f t="array" ref="E1644">XLOOKUP(A1644,Data!F:F,Data!H:H)</f>
        <v>BW</v>
      </c>
      <c r="F1644" s="106" t="str">
        <f>SUMIFS(Data!J:J,Data!F:F,A1644)</f>
        <v>1</v>
      </c>
      <c r="G1644" s="106" t="str">
        <f>SUMIFS(Cast!C:C,CastElements,A1644)</f>
        <v>1</v>
      </c>
      <c r="H1644" s="106" t="str">
        <f t="shared" si="4"/>
        <v>0</v>
      </c>
      <c r="I1644" s="106" t="str">
        <f>SUMIFS(Del!C:C,Del!B:B,A1644)</f>
        <v>0</v>
      </c>
      <c r="J1644" s="106" t="str">
        <f t="shared" si="5"/>
        <v>1</v>
      </c>
      <c r="K1644" s="106" t="str">
        <f t="shared" si="6"/>
        <v>1</v>
      </c>
      <c r="L1644" s="106"/>
      <c r="M1644" s="106" t="str">
        <f>SUMIFS(Ere!C:C,Ere!B:B,A1644)</f>
        <v>0</v>
      </c>
      <c r="N1644" s="106" t="str">
        <f t="shared" si="7"/>
        <v>1</v>
      </c>
      <c r="O1644" s="107" t="str">
        <f t="array" ref="O1644">XLOOKUP(A1644,Data!F:F,Data!O:O)</f>
        <v>  0.87 </v>
      </c>
      <c r="P1644" s="107" t="str">
        <f t="shared" si="8"/>
        <v>  2.18 </v>
      </c>
      <c r="Q1644" s="27"/>
    </row>
    <row r="1645" ht="15.75" customHeight="1">
      <c r="A1645" s="105" t="s">
        <v>1889</v>
      </c>
      <c r="B1645" s="19" t="str">
        <f t="array" ref="B1645">XLOOKUP(A1645,Data!F:F,Data!G:G)</f>
        <v>J1F</v>
      </c>
      <c r="C1645" s="19" t="str">
        <f t="shared" si="3"/>
        <v>J109</v>
      </c>
      <c r="D1645" s="19" t="str">
        <f t="array" ref="D1645">XLOOKUP(A1645,Data!F:F,Data!C:C)</f>
        <v/>
      </c>
      <c r="E1645" s="19" t="str">
        <f t="array" ref="E1645">XLOOKUP(A1645,Data!F:F,Data!H:H)</f>
        <v/>
      </c>
      <c r="F1645" s="106" t="str">
        <f>SUMIFS(Data!J:J,Data!F:F,A1645)</f>
        <v>1</v>
      </c>
      <c r="G1645" s="106" t="str">
        <f>SUMIFS(Cast!C:C,CastElements,A1645)</f>
        <v>0</v>
      </c>
      <c r="H1645" s="106" t="str">
        <f t="shared" si="4"/>
        <v>1</v>
      </c>
      <c r="I1645" s="106" t="str">
        <f>SUMIFS(Del!C:C,Del!B:B,A1645)</f>
        <v>0</v>
      </c>
      <c r="J1645" s="106" t="str">
        <f t="shared" si="5"/>
        <v>1</v>
      </c>
      <c r="K1645" s="106" t="str">
        <f t="shared" si="6"/>
        <v>0</v>
      </c>
      <c r="L1645" s="106"/>
      <c r="M1645" s="106" t="str">
        <f>SUMIFS(Ere!C:C,Ere!B:B,A1645)</f>
        <v>0</v>
      </c>
      <c r="N1645" s="106" t="str">
        <f t="shared" si="7"/>
        <v>1</v>
      </c>
      <c r="O1645" s="107" t="str">
        <f t="array" ref="O1645">XLOOKUP(A1645,Data!F:F,Data!O:O)</f>
        <v>  0.85 </v>
      </c>
      <c r="P1645" s="107" t="str">
        <f t="shared" si="8"/>
        <v>  2.14 </v>
      </c>
      <c r="Q1645" s="27"/>
    </row>
    <row r="1646" ht="15.75" customHeight="1">
      <c r="A1646" s="105" t="s">
        <v>1890</v>
      </c>
      <c r="B1646" s="19" t="str">
        <f t="array" ref="B1646">XLOOKUP(A1646,Data!F:F,Data!G:G)</f>
        <v>J1F</v>
      </c>
      <c r="C1646" s="19" t="str">
        <f t="shared" si="3"/>
        <v>J109</v>
      </c>
      <c r="D1646" s="19" t="str">
        <f t="array" ref="D1646">XLOOKUP(A1646,Data!F:F,Data!C:C)</f>
        <v/>
      </c>
      <c r="E1646" s="19" t="str">
        <f t="array" ref="E1646">XLOOKUP(A1646,Data!F:F,Data!H:H)</f>
        <v/>
      </c>
      <c r="F1646" s="106" t="str">
        <f>SUMIFS(Data!J:J,Data!F:F,A1646)</f>
        <v>1</v>
      </c>
      <c r="G1646" s="106" t="str">
        <f>SUMIFS(Cast!C:C,CastElements,A1646)</f>
        <v>0</v>
      </c>
      <c r="H1646" s="106" t="str">
        <f t="shared" si="4"/>
        <v>1</v>
      </c>
      <c r="I1646" s="106" t="str">
        <f>SUMIFS(Del!C:C,Del!B:B,A1646)</f>
        <v>0</v>
      </c>
      <c r="J1646" s="106" t="str">
        <f t="shared" si="5"/>
        <v>1</v>
      </c>
      <c r="K1646" s="106" t="str">
        <f t="shared" si="6"/>
        <v>0</v>
      </c>
      <c r="L1646" s="106"/>
      <c r="M1646" s="106" t="str">
        <f>SUMIFS(Ere!C:C,Ere!B:B,A1646)</f>
        <v>0</v>
      </c>
      <c r="N1646" s="106" t="str">
        <f t="shared" si="7"/>
        <v>1</v>
      </c>
      <c r="O1646" s="107" t="str">
        <f t="array" ref="O1646">XLOOKUP(A1646,Data!F:F,Data!O:O)</f>
        <v>  0.85 </v>
      </c>
      <c r="P1646" s="107" t="str">
        <f t="shared" si="8"/>
        <v>  2.14 </v>
      </c>
      <c r="Q1646" s="27"/>
    </row>
    <row r="1647" ht="15.75" customHeight="1">
      <c r="A1647" s="105" t="s">
        <v>1891</v>
      </c>
      <c r="B1647" s="19" t="str">
        <f t="array" ref="B1647">XLOOKUP(A1647,Data!F:F,Data!G:G)</f>
        <v>J1F</v>
      </c>
      <c r="C1647" s="19" t="str">
        <f t="shared" si="3"/>
        <v>J109</v>
      </c>
      <c r="D1647" s="19" t="str">
        <f t="array" ref="D1647">XLOOKUP(A1647,Data!F:F,Data!C:C)</f>
        <v/>
      </c>
      <c r="E1647" s="19" t="str">
        <f t="array" ref="E1647">XLOOKUP(A1647,Data!F:F,Data!H:H)</f>
        <v/>
      </c>
      <c r="F1647" s="106" t="str">
        <f>SUMIFS(Data!J:J,Data!F:F,A1647)</f>
        <v>1</v>
      </c>
      <c r="G1647" s="106" t="str">
        <f>SUMIFS(Cast!C:C,CastElements,A1647)</f>
        <v>0</v>
      </c>
      <c r="H1647" s="106" t="str">
        <f t="shared" si="4"/>
        <v>1</v>
      </c>
      <c r="I1647" s="106" t="str">
        <f>SUMIFS(Del!C:C,Del!B:B,A1647)</f>
        <v>0</v>
      </c>
      <c r="J1647" s="106" t="str">
        <f t="shared" si="5"/>
        <v>1</v>
      </c>
      <c r="K1647" s="106" t="str">
        <f t="shared" si="6"/>
        <v>0</v>
      </c>
      <c r="L1647" s="106"/>
      <c r="M1647" s="106" t="str">
        <f>SUMIFS(Ere!C:C,Ere!B:B,A1647)</f>
        <v>0</v>
      </c>
      <c r="N1647" s="106" t="str">
        <f t="shared" si="7"/>
        <v>1</v>
      </c>
      <c r="O1647" s="107" t="str">
        <f t="array" ref="O1647">XLOOKUP(A1647,Data!F:F,Data!O:O)</f>
        <v>  0.85 </v>
      </c>
      <c r="P1647" s="107" t="str">
        <f t="shared" si="8"/>
        <v>  2.14 </v>
      </c>
      <c r="Q1647" s="27"/>
    </row>
    <row r="1648" ht="15.75" customHeight="1">
      <c r="A1648" s="105" t="s">
        <v>1892</v>
      </c>
      <c r="B1648" s="19" t="str">
        <f t="array" ref="B1648">XLOOKUP(A1648,Data!F:F,Data!G:G)</f>
        <v>J1F</v>
      </c>
      <c r="C1648" s="19" t="str">
        <f t="shared" si="3"/>
        <v>J109</v>
      </c>
      <c r="D1648" s="19" t="str">
        <f t="array" ref="D1648">XLOOKUP(A1648,Data!F:F,Data!C:C)</f>
        <v/>
      </c>
      <c r="E1648" s="19" t="str">
        <f t="array" ref="E1648">XLOOKUP(A1648,Data!F:F,Data!H:H)</f>
        <v/>
      </c>
      <c r="F1648" s="106" t="str">
        <f>SUMIFS(Data!J:J,Data!F:F,A1648)</f>
        <v>1</v>
      </c>
      <c r="G1648" s="106" t="str">
        <f>SUMIFS(Cast!C:C,CastElements,A1648)</f>
        <v>0</v>
      </c>
      <c r="H1648" s="106" t="str">
        <f t="shared" si="4"/>
        <v>1</v>
      </c>
      <c r="I1648" s="106" t="str">
        <f>SUMIFS(Del!C:C,Del!B:B,A1648)</f>
        <v>0</v>
      </c>
      <c r="J1648" s="106" t="str">
        <f t="shared" si="5"/>
        <v>1</v>
      </c>
      <c r="K1648" s="106" t="str">
        <f t="shared" si="6"/>
        <v>0</v>
      </c>
      <c r="L1648" s="106"/>
      <c r="M1648" s="106" t="str">
        <f>SUMIFS(Ere!C:C,Ere!B:B,A1648)</f>
        <v>0</v>
      </c>
      <c r="N1648" s="106" t="str">
        <f t="shared" si="7"/>
        <v>1</v>
      </c>
      <c r="O1648" s="107" t="str">
        <f t="array" ref="O1648">XLOOKUP(A1648,Data!F:F,Data!O:O)</f>
        <v>  0.92 </v>
      </c>
      <c r="P1648" s="107" t="str">
        <f t="shared" si="8"/>
        <v>  2.29 </v>
      </c>
      <c r="Q1648" s="27"/>
    </row>
    <row r="1649" ht="15.75" customHeight="1">
      <c r="A1649" s="105" t="s">
        <v>1893</v>
      </c>
      <c r="B1649" s="19" t="str">
        <f t="array" ref="B1649">XLOOKUP(A1649,Data!F:F,Data!G:G)</f>
        <v>J1F</v>
      </c>
      <c r="C1649" s="19" t="str">
        <f t="shared" si="3"/>
        <v>J109</v>
      </c>
      <c r="D1649" s="19" t="str">
        <f t="array" ref="D1649">XLOOKUP(A1649,Data!F:F,Data!C:C)</f>
        <v/>
      </c>
      <c r="E1649" s="19" t="str">
        <f t="array" ref="E1649">XLOOKUP(A1649,Data!F:F,Data!H:H)</f>
        <v/>
      </c>
      <c r="F1649" s="106" t="str">
        <f>SUMIFS(Data!J:J,Data!F:F,A1649)</f>
        <v>1</v>
      </c>
      <c r="G1649" s="106" t="str">
        <f>SUMIFS(Cast!C:C,CastElements,A1649)</f>
        <v>0</v>
      </c>
      <c r="H1649" s="106" t="str">
        <f t="shared" si="4"/>
        <v>1</v>
      </c>
      <c r="I1649" s="106" t="str">
        <f>SUMIFS(Del!C:C,Del!B:B,A1649)</f>
        <v>0</v>
      </c>
      <c r="J1649" s="106" t="str">
        <f t="shared" si="5"/>
        <v>1</v>
      </c>
      <c r="K1649" s="106" t="str">
        <f t="shared" si="6"/>
        <v>0</v>
      </c>
      <c r="L1649" s="106"/>
      <c r="M1649" s="106" t="str">
        <f>SUMIFS(Ere!C:C,Ere!B:B,A1649)</f>
        <v>0</v>
      </c>
      <c r="N1649" s="106" t="str">
        <f t="shared" si="7"/>
        <v>1</v>
      </c>
      <c r="O1649" s="107" t="str">
        <f t="array" ref="O1649">XLOOKUP(A1649,Data!F:F,Data!O:O)</f>
        <v>  0.96 </v>
      </c>
      <c r="P1649" s="107" t="str">
        <f t="shared" si="8"/>
        <v>  2.39 </v>
      </c>
      <c r="Q1649" s="27"/>
    </row>
    <row r="1650" ht="15.75" customHeight="1">
      <c r="A1650" s="105" t="s">
        <v>1894</v>
      </c>
      <c r="B1650" s="19" t="str">
        <f t="array" ref="B1650">XLOOKUP(A1650,Data!F:F,Data!G:G)</f>
        <v>J1F</v>
      </c>
      <c r="C1650" s="19" t="str">
        <f t="shared" si="3"/>
        <v>J109</v>
      </c>
      <c r="D1650" s="19" t="str">
        <f t="array" ref="D1650">XLOOKUP(A1650,Data!F:F,Data!C:C)</f>
        <v/>
      </c>
      <c r="E1650" s="19" t="str">
        <f t="array" ref="E1650">XLOOKUP(A1650,Data!F:F,Data!H:H)</f>
        <v/>
      </c>
      <c r="F1650" s="106" t="str">
        <f>SUMIFS(Data!J:J,Data!F:F,A1650)</f>
        <v>1</v>
      </c>
      <c r="G1650" s="106" t="str">
        <f>SUMIFS(Cast!C:C,CastElements,A1650)</f>
        <v>0</v>
      </c>
      <c r="H1650" s="106" t="str">
        <f t="shared" si="4"/>
        <v>1</v>
      </c>
      <c r="I1650" s="106" t="str">
        <f>SUMIFS(Del!C:C,Del!B:B,A1650)</f>
        <v>0</v>
      </c>
      <c r="J1650" s="106" t="str">
        <f t="shared" si="5"/>
        <v>1</v>
      </c>
      <c r="K1650" s="106" t="str">
        <f t="shared" si="6"/>
        <v>0</v>
      </c>
      <c r="L1650" s="106"/>
      <c r="M1650" s="106" t="str">
        <f>SUMIFS(Ere!C:C,Ere!B:B,A1650)</f>
        <v>0</v>
      </c>
      <c r="N1650" s="106" t="str">
        <f t="shared" si="7"/>
        <v>1</v>
      </c>
      <c r="O1650" s="107" t="str">
        <f t="array" ref="O1650">XLOOKUP(A1650,Data!F:F,Data!O:O)</f>
        <v>  1.68 </v>
      </c>
      <c r="P1650" s="107" t="str">
        <f t="shared" si="8"/>
        <v>  4.20 </v>
      </c>
      <c r="Q1650" s="27"/>
    </row>
    <row r="1651" ht="15.75" customHeight="1">
      <c r="A1651" s="105" t="s">
        <v>1895</v>
      </c>
      <c r="B1651" s="19" t="str">
        <f t="array" ref="B1651">XLOOKUP(A1651,Data!F:F,Data!G:G)</f>
        <v>J1F</v>
      </c>
      <c r="C1651" s="19" t="str">
        <f t="shared" si="3"/>
        <v>J109</v>
      </c>
      <c r="D1651" s="19" t="str">
        <f t="array" ref="D1651">XLOOKUP(A1651,Data!F:F,Data!C:C)</f>
        <v/>
      </c>
      <c r="E1651" s="19" t="str">
        <f t="array" ref="E1651">XLOOKUP(A1651,Data!F:F,Data!H:H)</f>
        <v/>
      </c>
      <c r="F1651" s="106" t="str">
        <f>SUMIFS(Data!J:J,Data!F:F,A1651)</f>
        <v>1</v>
      </c>
      <c r="G1651" s="106" t="str">
        <f>SUMIFS(Cast!C:C,CastElements,A1651)</f>
        <v>0</v>
      </c>
      <c r="H1651" s="106" t="str">
        <f t="shared" si="4"/>
        <v>1</v>
      </c>
      <c r="I1651" s="106" t="str">
        <f>SUMIFS(Del!C:C,Del!B:B,A1651)</f>
        <v>0</v>
      </c>
      <c r="J1651" s="106" t="str">
        <f t="shared" si="5"/>
        <v>1</v>
      </c>
      <c r="K1651" s="106" t="str">
        <f t="shared" si="6"/>
        <v>0</v>
      </c>
      <c r="L1651" s="106"/>
      <c r="M1651" s="106" t="str">
        <f>SUMIFS(Ere!C:C,Ere!B:B,A1651)</f>
        <v>0</v>
      </c>
      <c r="N1651" s="106" t="str">
        <f t="shared" si="7"/>
        <v>1</v>
      </c>
      <c r="O1651" s="107" t="str">
        <f t="array" ref="O1651">XLOOKUP(A1651,Data!F:F,Data!O:O)</f>
        <v>  1.49 </v>
      </c>
      <c r="P1651" s="107" t="str">
        <f t="shared" si="8"/>
        <v>  3.72 </v>
      </c>
      <c r="Q1651" s="27"/>
    </row>
    <row r="1652" ht="15.75" customHeight="1">
      <c r="A1652" s="105" t="s">
        <v>1896</v>
      </c>
      <c r="B1652" s="19" t="str">
        <f t="array" ref="B1652">XLOOKUP(A1652,Data!F:F,Data!G:G)</f>
        <v>J1F</v>
      </c>
      <c r="C1652" s="19" t="str">
        <f t="shared" si="3"/>
        <v>J109</v>
      </c>
      <c r="D1652" s="19" t="str">
        <f t="array" ref="D1652">XLOOKUP(A1652,Data!F:F,Data!C:C)</f>
        <v/>
      </c>
      <c r="E1652" s="19" t="str">
        <f t="array" ref="E1652">XLOOKUP(A1652,Data!F:F,Data!H:H)</f>
        <v/>
      </c>
      <c r="F1652" s="106" t="str">
        <f>SUMIFS(Data!J:J,Data!F:F,A1652)</f>
        <v>1</v>
      </c>
      <c r="G1652" s="106" t="str">
        <f>SUMIFS(Cast!C:C,CastElements,A1652)</f>
        <v>0</v>
      </c>
      <c r="H1652" s="106" t="str">
        <f t="shared" si="4"/>
        <v>1</v>
      </c>
      <c r="I1652" s="106" t="str">
        <f>SUMIFS(Del!C:C,Del!B:B,A1652)</f>
        <v>0</v>
      </c>
      <c r="J1652" s="106" t="str">
        <f t="shared" si="5"/>
        <v>1</v>
      </c>
      <c r="K1652" s="106" t="str">
        <f t="shared" si="6"/>
        <v>0</v>
      </c>
      <c r="L1652" s="106"/>
      <c r="M1652" s="106" t="str">
        <f>SUMIFS(Ere!C:C,Ere!B:B,A1652)</f>
        <v>0</v>
      </c>
      <c r="N1652" s="106" t="str">
        <f t="shared" si="7"/>
        <v>1</v>
      </c>
      <c r="O1652" s="107" t="str">
        <f t="array" ref="O1652">XLOOKUP(A1652,Data!F:F,Data!O:O)</f>
        <v>  0.96 </v>
      </c>
      <c r="P1652" s="107" t="str">
        <f t="shared" si="8"/>
        <v>  2.39 </v>
      </c>
      <c r="Q1652" s="27"/>
    </row>
    <row r="1653" ht="15.75" customHeight="1">
      <c r="A1653" s="105" t="s">
        <v>1897</v>
      </c>
      <c r="B1653" s="19" t="str">
        <f t="array" ref="B1653">XLOOKUP(A1653,Data!F:F,Data!G:G)</f>
        <v>J1F</v>
      </c>
      <c r="C1653" s="19" t="str">
        <f t="shared" si="3"/>
        <v>J109</v>
      </c>
      <c r="D1653" s="19" t="str">
        <f t="array" ref="D1653">XLOOKUP(A1653,Data!F:F,Data!C:C)</f>
        <v/>
      </c>
      <c r="E1653" s="19" t="str">
        <f t="array" ref="E1653">XLOOKUP(A1653,Data!F:F,Data!H:H)</f>
        <v/>
      </c>
      <c r="F1653" s="106" t="str">
        <f>SUMIFS(Data!J:J,Data!F:F,A1653)</f>
        <v>1</v>
      </c>
      <c r="G1653" s="106" t="str">
        <f>SUMIFS(Cast!C:C,CastElements,A1653)</f>
        <v>1</v>
      </c>
      <c r="H1653" s="106" t="str">
        <f t="shared" si="4"/>
        <v>0</v>
      </c>
      <c r="I1653" s="106" t="str">
        <f>SUMIFS(Del!C:C,Del!B:B,A1653)</f>
        <v>0</v>
      </c>
      <c r="J1653" s="106" t="str">
        <f t="shared" si="5"/>
        <v>1</v>
      </c>
      <c r="K1653" s="106" t="str">
        <f t="shared" si="6"/>
        <v>1</v>
      </c>
      <c r="L1653" s="106"/>
      <c r="M1653" s="106" t="str">
        <f>SUMIFS(Ere!C:C,Ere!B:B,A1653)</f>
        <v>0</v>
      </c>
      <c r="N1653" s="106" t="str">
        <f t="shared" si="7"/>
        <v>1</v>
      </c>
      <c r="O1653" s="107" t="str">
        <f t="array" ref="O1653">XLOOKUP(A1653,Data!F:F,Data!O:O)</f>
        <v>  1.88 </v>
      </c>
      <c r="P1653" s="107" t="str">
        <f t="shared" si="8"/>
        <v>  4.70 </v>
      </c>
      <c r="Q1653" s="27"/>
    </row>
    <row r="1654" ht="15.75" customHeight="1">
      <c r="A1654" s="105" t="s">
        <v>1898</v>
      </c>
      <c r="B1654" s="19" t="str">
        <f t="array" ref="B1654">XLOOKUP(A1654,Data!F:F,Data!G:G)</f>
        <v>J1F</v>
      </c>
      <c r="C1654" s="19" t="str">
        <f t="shared" si="3"/>
        <v>J109</v>
      </c>
      <c r="D1654" s="19" t="str">
        <f t="array" ref="D1654">XLOOKUP(A1654,Data!F:F,Data!C:C)</f>
        <v/>
      </c>
      <c r="E1654" s="19" t="str">
        <f t="array" ref="E1654">XLOOKUP(A1654,Data!F:F,Data!H:H)</f>
        <v/>
      </c>
      <c r="F1654" s="106" t="str">
        <f>SUMIFS(Data!J:J,Data!F:F,A1654)</f>
        <v>1</v>
      </c>
      <c r="G1654" s="106" t="str">
        <f>SUMIFS(Cast!C:C,CastElements,A1654)</f>
        <v>0</v>
      </c>
      <c r="H1654" s="106" t="str">
        <f t="shared" si="4"/>
        <v>1</v>
      </c>
      <c r="I1654" s="106" t="str">
        <f>SUMIFS(Del!C:C,Del!B:B,A1654)</f>
        <v>0</v>
      </c>
      <c r="J1654" s="106" t="str">
        <f t="shared" si="5"/>
        <v>1</v>
      </c>
      <c r="K1654" s="106" t="str">
        <f t="shared" si="6"/>
        <v>0</v>
      </c>
      <c r="L1654" s="106"/>
      <c r="M1654" s="106" t="str">
        <f>SUMIFS(Ere!C:C,Ere!B:B,A1654)</f>
        <v>0</v>
      </c>
      <c r="N1654" s="106" t="str">
        <f t="shared" si="7"/>
        <v>1</v>
      </c>
      <c r="O1654" s="107" t="str">
        <f t="array" ref="O1654">XLOOKUP(A1654,Data!F:F,Data!O:O)</f>
        <v>  2.15 </v>
      </c>
      <c r="P1654" s="107" t="str">
        <f t="shared" si="8"/>
        <v>  5.36 </v>
      </c>
      <c r="Q1654" s="27"/>
    </row>
    <row r="1655" ht="15.75" customHeight="1">
      <c r="A1655" s="105" t="s">
        <v>1899</v>
      </c>
      <c r="B1655" s="19" t="str">
        <f t="array" ref="B1655">XLOOKUP(A1655,Data!F:F,Data!G:G)</f>
        <v>J1F</v>
      </c>
      <c r="C1655" s="19" t="str">
        <f t="shared" si="3"/>
        <v>J109</v>
      </c>
      <c r="D1655" s="19" t="str">
        <f t="array" ref="D1655">XLOOKUP(A1655,Data!F:F,Data!C:C)</f>
        <v/>
      </c>
      <c r="E1655" s="19" t="str">
        <f t="array" ref="E1655">XLOOKUP(A1655,Data!F:F,Data!H:H)</f>
        <v/>
      </c>
      <c r="F1655" s="106" t="str">
        <f>SUMIFS(Data!J:J,Data!F:F,A1655)</f>
        <v>1</v>
      </c>
      <c r="G1655" s="106" t="str">
        <f>SUMIFS(Cast!C:C,CastElements,A1655)</f>
        <v>0</v>
      </c>
      <c r="H1655" s="106" t="str">
        <f t="shared" si="4"/>
        <v>1</v>
      </c>
      <c r="I1655" s="106" t="str">
        <f>SUMIFS(Del!C:C,Del!B:B,A1655)</f>
        <v>0</v>
      </c>
      <c r="J1655" s="106" t="str">
        <f t="shared" si="5"/>
        <v>1</v>
      </c>
      <c r="K1655" s="106" t="str">
        <f t="shared" si="6"/>
        <v>0</v>
      </c>
      <c r="L1655" s="106"/>
      <c r="M1655" s="106" t="str">
        <f>SUMIFS(Ere!C:C,Ere!B:B,A1655)</f>
        <v>0</v>
      </c>
      <c r="N1655" s="106" t="str">
        <f t="shared" si="7"/>
        <v>1</v>
      </c>
      <c r="O1655" s="107" t="str">
        <f t="array" ref="O1655">XLOOKUP(A1655,Data!F:F,Data!O:O)</f>
        <v>  1.87 </v>
      </c>
      <c r="P1655" s="107" t="str">
        <f t="shared" si="8"/>
        <v>  4.68 </v>
      </c>
      <c r="Q1655" s="27"/>
    </row>
    <row r="1656" ht="15.75" customHeight="1">
      <c r="A1656" s="105" t="s">
        <v>1900</v>
      </c>
      <c r="B1656" s="19" t="str">
        <f t="array" ref="B1656">XLOOKUP(A1656,Data!F:F,Data!G:G)</f>
        <v>J1F</v>
      </c>
      <c r="C1656" s="19" t="str">
        <f t="shared" si="3"/>
        <v>J109</v>
      </c>
      <c r="D1656" s="19" t="str">
        <f t="array" ref="D1656">XLOOKUP(A1656,Data!F:F,Data!C:C)</f>
        <v/>
      </c>
      <c r="E1656" s="19" t="str">
        <f t="array" ref="E1656">XLOOKUP(A1656,Data!F:F,Data!H:H)</f>
        <v/>
      </c>
      <c r="F1656" s="106" t="str">
        <f>SUMIFS(Data!J:J,Data!F:F,A1656)</f>
        <v>1</v>
      </c>
      <c r="G1656" s="106" t="str">
        <f>SUMIFS(Cast!C:C,CastElements,A1656)</f>
        <v>1</v>
      </c>
      <c r="H1656" s="106" t="str">
        <f t="shared" si="4"/>
        <v>0</v>
      </c>
      <c r="I1656" s="106" t="str">
        <f>SUMIFS(Del!C:C,Del!B:B,A1656)</f>
        <v>0</v>
      </c>
      <c r="J1656" s="106" t="str">
        <f t="shared" si="5"/>
        <v>1</v>
      </c>
      <c r="K1656" s="106" t="str">
        <f t="shared" si="6"/>
        <v>1</v>
      </c>
      <c r="L1656" s="106"/>
      <c r="M1656" s="106" t="str">
        <f>SUMIFS(Ere!C:C,Ere!B:B,A1656)</f>
        <v>0</v>
      </c>
      <c r="N1656" s="106" t="str">
        <f t="shared" si="7"/>
        <v>1</v>
      </c>
      <c r="O1656" s="107" t="str">
        <f t="array" ref="O1656">XLOOKUP(A1656,Data!F:F,Data!O:O)</f>
        <v>  2.21 </v>
      </c>
      <c r="P1656" s="107" t="str">
        <f t="shared" si="8"/>
        <v>  5.52 </v>
      </c>
      <c r="Q1656" s="27"/>
    </row>
    <row r="1657" ht="15.75" customHeight="1">
      <c r="A1657" s="105" t="s">
        <v>1901</v>
      </c>
      <c r="B1657" s="19" t="str">
        <f t="array" ref="B1657">XLOOKUP(A1657,Data!F:F,Data!G:G)</f>
        <v>J1F</v>
      </c>
      <c r="C1657" s="19" t="str">
        <f t="shared" si="3"/>
        <v>J109</v>
      </c>
      <c r="D1657" s="19" t="str">
        <f t="array" ref="D1657">XLOOKUP(A1657,Data!F:F,Data!C:C)</f>
        <v/>
      </c>
      <c r="E1657" s="19" t="str">
        <f t="array" ref="E1657">XLOOKUP(A1657,Data!F:F,Data!H:H)</f>
        <v/>
      </c>
      <c r="F1657" s="106" t="str">
        <f>SUMIFS(Data!J:J,Data!F:F,A1657)</f>
        <v>1</v>
      </c>
      <c r="G1657" s="106" t="str">
        <f>SUMIFS(Cast!C:C,CastElements,A1657)</f>
        <v>1</v>
      </c>
      <c r="H1657" s="106" t="str">
        <f t="shared" si="4"/>
        <v>0</v>
      </c>
      <c r="I1657" s="106" t="str">
        <f>SUMIFS(Del!C:C,Del!B:B,A1657)</f>
        <v>0</v>
      </c>
      <c r="J1657" s="106" t="str">
        <f t="shared" si="5"/>
        <v>1</v>
      </c>
      <c r="K1657" s="106" t="str">
        <f t="shared" si="6"/>
        <v>1</v>
      </c>
      <c r="L1657" s="106"/>
      <c r="M1657" s="106" t="str">
        <f>SUMIFS(Ere!C:C,Ere!B:B,A1657)</f>
        <v>0</v>
      </c>
      <c r="N1657" s="106" t="str">
        <f t="shared" si="7"/>
        <v>1</v>
      </c>
      <c r="O1657" s="107" t="str">
        <f t="array" ref="O1657">XLOOKUP(A1657,Data!F:F,Data!O:O)</f>
        <v>  2.21 </v>
      </c>
      <c r="P1657" s="107" t="str">
        <f t="shared" si="8"/>
        <v>  5.52 </v>
      </c>
      <c r="Q1657" s="27"/>
    </row>
    <row r="1658" ht="15.75" customHeight="1">
      <c r="A1658" s="105" t="s">
        <v>1902</v>
      </c>
      <c r="B1658" s="19" t="str">
        <f t="array" ref="B1658">XLOOKUP(A1658,Data!F:F,Data!G:G)</f>
        <v>J1F</v>
      </c>
      <c r="C1658" s="19" t="str">
        <f t="shared" si="3"/>
        <v>J109</v>
      </c>
      <c r="D1658" s="19" t="str">
        <f t="array" ref="D1658">XLOOKUP(A1658,Data!F:F,Data!C:C)</f>
        <v/>
      </c>
      <c r="E1658" s="19" t="str">
        <f t="array" ref="E1658">XLOOKUP(A1658,Data!F:F,Data!H:H)</f>
        <v/>
      </c>
      <c r="F1658" s="106" t="str">
        <f>SUMIFS(Data!J:J,Data!F:F,A1658)</f>
        <v>1</v>
      </c>
      <c r="G1658" s="106" t="str">
        <f>SUMIFS(Cast!C:C,CastElements,A1658)</f>
        <v>1</v>
      </c>
      <c r="H1658" s="106" t="str">
        <f t="shared" si="4"/>
        <v>0</v>
      </c>
      <c r="I1658" s="106" t="str">
        <f>SUMIFS(Del!C:C,Del!B:B,A1658)</f>
        <v>0</v>
      </c>
      <c r="J1658" s="106" t="str">
        <f t="shared" si="5"/>
        <v>1</v>
      </c>
      <c r="K1658" s="106" t="str">
        <f t="shared" si="6"/>
        <v>1</v>
      </c>
      <c r="L1658" s="106"/>
      <c r="M1658" s="106" t="str">
        <f>SUMIFS(Ere!C:C,Ere!B:B,A1658)</f>
        <v>0</v>
      </c>
      <c r="N1658" s="106" t="str">
        <f t="shared" si="7"/>
        <v>1</v>
      </c>
      <c r="O1658" s="107" t="str">
        <f t="array" ref="O1658">XLOOKUP(A1658,Data!F:F,Data!O:O)</f>
        <v>  2.21 </v>
      </c>
      <c r="P1658" s="107" t="str">
        <f t="shared" si="8"/>
        <v>  5.52 </v>
      </c>
      <c r="Q1658" s="27"/>
    </row>
    <row r="1659" ht="15.75" customHeight="1">
      <c r="A1659" s="105" t="s">
        <v>1903</v>
      </c>
      <c r="B1659" s="19" t="str">
        <f t="array" ref="B1659">XLOOKUP(A1659,Data!F:F,Data!G:G)</f>
        <v>J1F</v>
      </c>
      <c r="C1659" s="19" t="str">
        <f t="shared" si="3"/>
        <v>J109</v>
      </c>
      <c r="D1659" s="19" t="str">
        <f t="array" ref="D1659">XLOOKUP(A1659,Data!F:F,Data!C:C)</f>
        <v/>
      </c>
      <c r="E1659" s="19" t="str">
        <f t="array" ref="E1659">XLOOKUP(A1659,Data!F:F,Data!H:H)</f>
        <v/>
      </c>
      <c r="F1659" s="106" t="str">
        <f>SUMIFS(Data!J:J,Data!F:F,A1659)</f>
        <v>1</v>
      </c>
      <c r="G1659" s="106" t="str">
        <f>SUMIFS(Cast!C:C,CastElements,A1659)</f>
        <v>0</v>
      </c>
      <c r="H1659" s="106" t="str">
        <f t="shared" si="4"/>
        <v>1</v>
      </c>
      <c r="I1659" s="106" t="str">
        <f>SUMIFS(Del!C:C,Del!B:B,A1659)</f>
        <v>0</v>
      </c>
      <c r="J1659" s="106" t="str">
        <f t="shared" si="5"/>
        <v>1</v>
      </c>
      <c r="K1659" s="106" t="str">
        <f t="shared" si="6"/>
        <v>0</v>
      </c>
      <c r="L1659" s="106"/>
      <c r="M1659" s="106" t="str">
        <f>SUMIFS(Ere!C:C,Ere!B:B,A1659)</f>
        <v>0</v>
      </c>
      <c r="N1659" s="106" t="str">
        <f t="shared" si="7"/>
        <v>1</v>
      </c>
      <c r="O1659" s="107" t="str">
        <f t="array" ref="O1659">XLOOKUP(A1659,Data!F:F,Data!O:O)</f>
        <v>  2.32 </v>
      </c>
      <c r="P1659" s="107" t="str">
        <f t="shared" si="8"/>
        <v>  5.79 </v>
      </c>
      <c r="Q1659" s="27"/>
    </row>
    <row r="1660" ht="15.75" customHeight="1">
      <c r="A1660" s="105" t="s">
        <v>1904</v>
      </c>
      <c r="B1660" s="19" t="str">
        <f t="array" ref="B1660">XLOOKUP(A1660,Data!F:F,Data!G:G)</f>
        <v>J1F</v>
      </c>
      <c r="C1660" s="19" t="str">
        <f t="shared" si="3"/>
        <v>J109</v>
      </c>
      <c r="D1660" s="19" t="str">
        <f t="array" ref="D1660">XLOOKUP(A1660,Data!F:F,Data!C:C)</f>
        <v/>
      </c>
      <c r="E1660" s="19" t="str">
        <f t="array" ref="E1660">XLOOKUP(A1660,Data!F:F,Data!H:H)</f>
        <v/>
      </c>
      <c r="F1660" s="106" t="str">
        <f>SUMIFS(Data!J:J,Data!F:F,A1660)</f>
        <v>1</v>
      </c>
      <c r="G1660" s="106" t="str">
        <f>SUMIFS(Cast!C:C,CastElements,A1660)</f>
        <v>0</v>
      </c>
      <c r="H1660" s="106" t="str">
        <f t="shared" si="4"/>
        <v>1</v>
      </c>
      <c r="I1660" s="106" t="str">
        <f>SUMIFS(Del!C:C,Del!B:B,A1660)</f>
        <v>0</v>
      </c>
      <c r="J1660" s="106" t="str">
        <f t="shared" si="5"/>
        <v>1</v>
      </c>
      <c r="K1660" s="106" t="str">
        <f t="shared" si="6"/>
        <v>0</v>
      </c>
      <c r="L1660" s="106"/>
      <c r="M1660" s="106" t="str">
        <f>SUMIFS(Ere!C:C,Ere!B:B,A1660)</f>
        <v>0</v>
      </c>
      <c r="N1660" s="106" t="str">
        <f t="shared" si="7"/>
        <v>1</v>
      </c>
      <c r="O1660" s="107" t="str">
        <f t="array" ref="O1660">XLOOKUP(A1660,Data!F:F,Data!O:O)</f>
        <v>  0.96 </v>
      </c>
      <c r="P1660" s="107" t="str">
        <f t="shared" si="8"/>
        <v>  2.39 </v>
      </c>
      <c r="Q1660" s="27"/>
    </row>
    <row r="1661" ht="15.75" customHeight="1">
      <c r="A1661" s="105" t="s">
        <v>1905</v>
      </c>
      <c r="B1661" s="19" t="str">
        <f t="array" ref="B1661">XLOOKUP(A1661,Data!F:F,Data!G:G)</f>
        <v>J1F</v>
      </c>
      <c r="C1661" s="19" t="str">
        <f t="shared" si="3"/>
        <v>J109</v>
      </c>
      <c r="D1661" s="19" t="str">
        <f t="array" ref="D1661">XLOOKUP(A1661,Data!F:F,Data!C:C)</f>
        <v/>
      </c>
      <c r="E1661" s="19" t="str">
        <f t="array" ref="E1661">XLOOKUP(A1661,Data!F:F,Data!H:H)</f>
        <v/>
      </c>
      <c r="F1661" s="106" t="str">
        <f>SUMIFS(Data!J:J,Data!F:F,A1661)</f>
        <v>1</v>
      </c>
      <c r="G1661" s="106" t="str">
        <f>SUMIFS(Cast!C:C,CastElements,A1661)</f>
        <v>0</v>
      </c>
      <c r="H1661" s="106" t="str">
        <f t="shared" si="4"/>
        <v>1</v>
      </c>
      <c r="I1661" s="106" t="str">
        <f>SUMIFS(Del!C:C,Del!B:B,A1661)</f>
        <v>0</v>
      </c>
      <c r="J1661" s="106" t="str">
        <f t="shared" si="5"/>
        <v>1</v>
      </c>
      <c r="K1661" s="106" t="str">
        <f t="shared" si="6"/>
        <v>0</v>
      </c>
      <c r="L1661" s="106"/>
      <c r="M1661" s="106" t="str">
        <f>SUMIFS(Ere!C:C,Ere!B:B,A1661)</f>
        <v>0</v>
      </c>
      <c r="N1661" s="106" t="str">
        <f t="shared" si="7"/>
        <v>1</v>
      </c>
      <c r="O1661" s="107" t="str">
        <f t="array" ref="O1661">XLOOKUP(A1661,Data!F:F,Data!O:O)</f>
        <v>  0.41 </v>
      </c>
      <c r="P1661" s="107" t="str">
        <f t="shared" si="8"/>
        <v>  1.03 </v>
      </c>
      <c r="Q1661" s="27"/>
    </row>
    <row r="1662" ht="15.75" customHeight="1">
      <c r="A1662" s="105" t="s">
        <v>1906</v>
      </c>
      <c r="B1662" s="19" t="str">
        <f t="array" ref="B1662">XLOOKUP(A1662,Data!F:F,Data!G:G)</f>
        <v>J1F</v>
      </c>
      <c r="C1662" s="19" t="str">
        <f t="shared" si="3"/>
        <v>J109</v>
      </c>
      <c r="D1662" s="19" t="str">
        <f t="array" ref="D1662">XLOOKUP(A1662,Data!F:F,Data!C:C)</f>
        <v/>
      </c>
      <c r="E1662" s="19" t="str">
        <f t="array" ref="E1662">XLOOKUP(A1662,Data!F:F,Data!H:H)</f>
        <v/>
      </c>
      <c r="F1662" s="106" t="str">
        <f>SUMIFS(Data!J:J,Data!F:F,A1662)</f>
        <v>1</v>
      </c>
      <c r="G1662" s="106" t="str">
        <f>SUMIFS(Cast!C:C,CastElements,A1662)</f>
        <v>0</v>
      </c>
      <c r="H1662" s="106" t="str">
        <f t="shared" si="4"/>
        <v>1</v>
      </c>
      <c r="I1662" s="106" t="str">
        <f>SUMIFS(Del!C:C,Del!B:B,A1662)</f>
        <v>0</v>
      </c>
      <c r="J1662" s="106" t="str">
        <f t="shared" si="5"/>
        <v>1</v>
      </c>
      <c r="K1662" s="106" t="str">
        <f t="shared" si="6"/>
        <v>0</v>
      </c>
      <c r="L1662" s="106"/>
      <c r="M1662" s="106" t="str">
        <f>SUMIFS(Ere!C:C,Ere!B:B,A1662)</f>
        <v>0</v>
      </c>
      <c r="N1662" s="106" t="str">
        <f t="shared" si="7"/>
        <v>1</v>
      </c>
      <c r="O1662" s="107" t="str">
        <f t="array" ref="O1662">XLOOKUP(A1662,Data!F:F,Data!O:O)</f>
        <v>  0.56 </v>
      </c>
      <c r="P1662" s="107" t="str">
        <f t="shared" si="8"/>
        <v>  1.40 </v>
      </c>
      <c r="Q1662" s="27"/>
    </row>
    <row r="1663" ht="15.75" customHeight="1">
      <c r="A1663" s="105" t="s">
        <v>1907</v>
      </c>
      <c r="B1663" s="19" t="str">
        <f t="array" ref="B1663">XLOOKUP(A1663,Data!F:F,Data!G:G)</f>
        <v>J2A</v>
      </c>
      <c r="C1663" s="19" t="str">
        <f t="shared" si="3"/>
        <v>J001</v>
      </c>
      <c r="D1663" s="19" t="str">
        <f t="array" ref="D1663">XLOOKUP(A1663,Data!F:F,Data!C:C)</f>
        <v>EXT</v>
      </c>
      <c r="E1663" s="19" t="str">
        <f t="array" ref="E1663">XLOOKUP(A1663,Data!F:F,Data!H:H)</f>
        <v>BW</v>
      </c>
      <c r="F1663" s="106" t="str">
        <f>SUMIFS(Data!J:J,Data!F:F,A1663)</f>
        <v>1</v>
      </c>
      <c r="G1663" s="106" t="str">
        <f>SUMIFS(Cast!C:C,CastElements,A1663)</f>
        <v>0</v>
      </c>
      <c r="H1663" s="106" t="str">
        <f t="shared" si="4"/>
        <v>1</v>
      </c>
      <c r="I1663" s="106" t="str">
        <f>SUMIFS(Del!C:C,Del!B:B,A1663)</f>
        <v>0</v>
      </c>
      <c r="J1663" s="106" t="str">
        <f t="shared" si="5"/>
        <v>1</v>
      </c>
      <c r="K1663" s="106" t="str">
        <f t="shared" si="6"/>
        <v>0</v>
      </c>
      <c r="L1663" s="106"/>
      <c r="M1663" s="106" t="str">
        <f>SUMIFS(Ere!C:C,Ere!B:B,A1663)</f>
        <v>0</v>
      </c>
      <c r="N1663" s="106" t="str">
        <f t="shared" si="7"/>
        <v>1</v>
      </c>
      <c r="O1663" s="107" t="str">
        <f t="array" ref="O1663">XLOOKUP(A1663,Data!F:F,Data!O:O)</f>
        <v>  1.07 </v>
      </c>
      <c r="P1663" s="107" t="str">
        <f t="shared" si="8"/>
        <v>  2.67 </v>
      </c>
      <c r="Q1663" s="27"/>
    </row>
    <row r="1664" ht="15.75" customHeight="1">
      <c r="A1664" s="105" t="s">
        <v>1908</v>
      </c>
      <c r="B1664" s="19" t="str">
        <f t="array" ref="B1664">XLOOKUP(A1664,Data!F:F,Data!G:G)</f>
        <v>J2A</v>
      </c>
      <c r="C1664" s="19" t="str">
        <f t="shared" si="3"/>
        <v>J001</v>
      </c>
      <c r="D1664" s="19" t="str">
        <f t="array" ref="D1664">XLOOKUP(A1664,Data!F:F,Data!C:C)</f>
        <v>EXT</v>
      </c>
      <c r="E1664" s="19" t="str">
        <f t="array" ref="E1664">XLOOKUP(A1664,Data!F:F,Data!H:H)</f>
        <v>BW</v>
      </c>
      <c r="F1664" s="106" t="str">
        <f>SUMIFS(Data!J:J,Data!F:F,A1664)</f>
        <v>1</v>
      </c>
      <c r="G1664" s="106" t="str">
        <f>SUMIFS(Cast!C:C,CastElements,A1664)</f>
        <v>0</v>
      </c>
      <c r="H1664" s="106" t="str">
        <f t="shared" si="4"/>
        <v>1</v>
      </c>
      <c r="I1664" s="106" t="str">
        <f>SUMIFS(Del!C:C,Del!B:B,A1664)</f>
        <v>0</v>
      </c>
      <c r="J1664" s="106" t="str">
        <f t="shared" si="5"/>
        <v>1</v>
      </c>
      <c r="K1664" s="106" t="str">
        <f t="shared" si="6"/>
        <v>0</v>
      </c>
      <c r="L1664" s="106"/>
      <c r="M1664" s="106" t="str">
        <f>SUMIFS(Ere!C:C,Ere!B:B,A1664)</f>
        <v>0</v>
      </c>
      <c r="N1664" s="106" t="str">
        <f t="shared" si="7"/>
        <v>1</v>
      </c>
      <c r="O1664" s="107" t="str">
        <f t="array" ref="O1664">XLOOKUP(A1664,Data!F:F,Data!O:O)</f>
        <v>  1.07 </v>
      </c>
      <c r="P1664" s="107" t="str">
        <f t="shared" si="8"/>
        <v>  2.67 </v>
      </c>
      <c r="Q1664" s="27"/>
    </row>
    <row r="1665" ht="15.75" customHeight="1">
      <c r="A1665" s="105" t="s">
        <v>1909</v>
      </c>
      <c r="B1665" s="19" t="str">
        <f t="array" ref="B1665">XLOOKUP(A1665,Data!F:F,Data!G:G)</f>
        <v>J2A</v>
      </c>
      <c r="C1665" s="19" t="str">
        <f t="shared" si="3"/>
        <v>J001</v>
      </c>
      <c r="D1665" s="19" t="str">
        <f t="array" ref="D1665">XLOOKUP(A1665,Data!F:F,Data!C:C)</f>
        <v>EXT</v>
      </c>
      <c r="E1665" s="19" t="str">
        <f t="array" ref="E1665">XLOOKUP(A1665,Data!F:F,Data!H:H)</f>
        <v>BW</v>
      </c>
      <c r="F1665" s="106" t="str">
        <f>SUMIFS(Data!J:J,Data!F:F,A1665)</f>
        <v>1</v>
      </c>
      <c r="G1665" s="106" t="str">
        <f>SUMIFS(Cast!C:C,CastElements,A1665)</f>
        <v>0</v>
      </c>
      <c r="H1665" s="106" t="str">
        <f t="shared" si="4"/>
        <v>1</v>
      </c>
      <c r="I1665" s="106" t="str">
        <f>SUMIFS(Del!C:C,Del!B:B,A1665)</f>
        <v>0</v>
      </c>
      <c r="J1665" s="106" t="str">
        <f t="shared" si="5"/>
        <v>1</v>
      </c>
      <c r="K1665" s="106" t="str">
        <f t="shared" si="6"/>
        <v>0</v>
      </c>
      <c r="L1665" s="106"/>
      <c r="M1665" s="106" t="str">
        <f>SUMIFS(Ere!C:C,Ere!B:B,A1665)</f>
        <v>0</v>
      </c>
      <c r="N1665" s="106" t="str">
        <f t="shared" si="7"/>
        <v>1</v>
      </c>
      <c r="O1665" s="107" t="str">
        <f t="array" ref="O1665">XLOOKUP(A1665,Data!F:F,Data!O:O)</f>
        <v>  1.27 </v>
      </c>
      <c r="P1665" s="107" t="str">
        <f t="shared" si="8"/>
        <v>  3.17 </v>
      </c>
      <c r="Q1665" s="27"/>
    </row>
    <row r="1666" ht="15.75" customHeight="1">
      <c r="A1666" s="105" t="s">
        <v>1910</v>
      </c>
      <c r="B1666" s="19" t="str">
        <f t="array" ref="B1666">XLOOKUP(A1666,Data!F:F,Data!G:G)</f>
        <v>J2A</v>
      </c>
      <c r="C1666" s="19" t="str">
        <f t="shared" si="3"/>
        <v>J001</v>
      </c>
      <c r="D1666" s="19" t="str">
        <f t="array" ref="D1666">XLOOKUP(A1666,Data!F:F,Data!C:C)</f>
        <v>EXT</v>
      </c>
      <c r="E1666" s="19" t="str">
        <f t="array" ref="E1666">XLOOKUP(A1666,Data!F:F,Data!H:H)</f>
        <v>BW</v>
      </c>
      <c r="F1666" s="106" t="str">
        <f>SUMIFS(Data!J:J,Data!F:F,A1666)</f>
        <v>1</v>
      </c>
      <c r="G1666" s="106" t="str">
        <f>SUMIFS(Cast!C:C,CastElements,A1666)</f>
        <v>0</v>
      </c>
      <c r="H1666" s="106" t="str">
        <f t="shared" si="4"/>
        <v>1</v>
      </c>
      <c r="I1666" s="106" t="str">
        <f>SUMIFS(Del!C:C,Del!B:B,A1666)</f>
        <v>0</v>
      </c>
      <c r="J1666" s="106" t="str">
        <f t="shared" si="5"/>
        <v>1</v>
      </c>
      <c r="K1666" s="106" t="str">
        <f t="shared" si="6"/>
        <v>0</v>
      </c>
      <c r="L1666" s="106"/>
      <c r="M1666" s="106" t="str">
        <f>SUMIFS(Ere!C:C,Ere!B:B,A1666)</f>
        <v>0</v>
      </c>
      <c r="N1666" s="106" t="str">
        <f t="shared" si="7"/>
        <v>1</v>
      </c>
      <c r="O1666" s="107" t="str">
        <f t="array" ref="O1666">XLOOKUP(A1666,Data!F:F,Data!O:O)</f>
        <v>  1.44 </v>
      </c>
      <c r="P1666" s="107" t="str">
        <f t="shared" si="8"/>
        <v>  3.60 </v>
      </c>
      <c r="Q1666" s="27"/>
    </row>
    <row r="1667" ht="15.75" customHeight="1">
      <c r="A1667" s="105" t="s">
        <v>1911</v>
      </c>
      <c r="B1667" s="19" t="str">
        <f t="array" ref="B1667">XLOOKUP(A1667,Data!F:F,Data!G:G)</f>
        <v>J2A</v>
      </c>
      <c r="C1667" s="19" t="str">
        <f t="shared" si="3"/>
        <v>J001</v>
      </c>
      <c r="D1667" s="19" t="str">
        <f t="array" ref="D1667">XLOOKUP(A1667,Data!F:F,Data!C:C)</f>
        <v>EXT</v>
      </c>
      <c r="E1667" s="19" t="str">
        <f t="array" ref="E1667">XLOOKUP(A1667,Data!F:F,Data!H:H)</f>
        <v>BW</v>
      </c>
      <c r="F1667" s="106" t="str">
        <f>SUMIFS(Data!J:J,Data!F:F,A1667)</f>
        <v>1</v>
      </c>
      <c r="G1667" s="106" t="str">
        <f>SUMIFS(Cast!C:C,CastElements,A1667)</f>
        <v>1</v>
      </c>
      <c r="H1667" s="106" t="str">
        <f t="shared" si="4"/>
        <v>0</v>
      </c>
      <c r="I1667" s="106" t="str">
        <f>SUMIFS(Del!C:C,Del!B:B,A1667)</f>
        <v>0</v>
      </c>
      <c r="J1667" s="106" t="str">
        <f t="shared" si="5"/>
        <v>1</v>
      </c>
      <c r="K1667" s="106" t="str">
        <f t="shared" si="6"/>
        <v>1</v>
      </c>
      <c r="L1667" s="106"/>
      <c r="M1667" s="106" t="str">
        <f>SUMIFS(Ere!C:C,Ere!B:B,A1667)</f>
        <v>0</v>
      </c>
      <c r="N1667" s="106" t="str">
        <f t="shared" si="7"/>
        <v>1</v>
      </c>
      <c r="O1667" s="107" t="str">
        <f t="array" ref="O1667">XLOOKUP(A1667,Data!F:F,Data!O:O)</f>
        <v>  0.79 </v>
      </c>
      <c r="P1667" s="107" t="str">
        <f t="shared" si="8"/>
        <v>  1.98 </v>
      </c>
      <c r="Q1667" s="27"/>
    </row>
    <row r="1668" ht="15.75" customHeight="1">
      <c r="A1668" s="105" t="s">
        <v>1912</v>
      </c>
      <c r="B1668" s="19" t="str">
        <f t="array" ref="B1668">XLOOKUP(A1668,Data!F:F,Data!G:G)</f>
        <v>J2A</v>
      </c>
      <c r="C1668" s="19" t="str">
        <f t="shared" si="3"/>
        <v>J001</v>
      </c>
      <c r="D1668" s="19" t="str">
        <f t="array" ref="D1668">XLOOKUP(A1668,Data!F:F,Data!C:C)</f>
        <v/>
      </c>
      <c r="E1668" s="19" t="str">
        <f t="array" ref="E1668">XLOOKUP(A1668,Data!F:F,Data!H:H)</f>
        <v>BW</v>
      </c>
      <c r="F1668" s="106" t="str">
        <f>SUMIFS(Data!J:J,Data!F:F,A1668)</f>
        <v>1</v>
      </c>
      <c r="G1668" s="106" t="str">
        <f>SUMIFS(Cast!C:C,CastElements,A1668)</f>
        <v>1</v>
      </c>
      <c r="H1668" s="106" t="str">
        <f t="shared" si="4"/>
        <v>0</v>
      </c>
      <c r="I1668" s="106" t="str">
        <f>SUMIFS(Del!C:C,Del!B:B,A1668)</f>
        <v>0</v>
      </c>
      <c r="J1668" s="106" t="str">
        <f t="shared" si="5"/>
        <v>1</v>
      </c>
      <c r="K1668" s="106" t="str">
        <f t="shared" si="6"/>
        <v>1</v>
      </c>
      <c r="L1668" s="106"/>
      <c r="M1668" s="106" t="str">
        <f>SUMIFS(Ere!C:C,Ere!B:B,A1668)</f>
        <v>0</v>
      </c>
      <c r="N1668" s="106" t="str">
        <f t="shared" si="7"/>
        <v>1</v>
      </c>
      <c r="O1668" s="107" t="str">
        <f t="array" ref="O1668">XLOOKUP(A1668,Data!F:F,Data!O:O)</f>
        <v>  1.97 </v>
      </c>
      <c r="P1668" s="107" t="str">
        <f t="shared" si="8"/>
        <v>  4.92 </v>
      </c>
      <c r="Q1668" s="27"/>
    </row>
    <row r="1669" ht="15.75" customHeight="1">
      <c r="A1669" s="105" t="s">
        <v>1913</v>
      </c>
      <c r="B1669" s="19" t="str">
        <f t="array" ref="B1669">XLOOKUP(A1669,Data!F:F,Data!G:G)</f>
        <v>J2A</v>
      </c>
      <c r="C1669" s="19" t="str">
        <f t="shared" si="3"/>
        <v>J001</v>
      </c>
      <c r="D1669" s="19" t="str">
        <f t="array" ref="D1669">XLOOKUP(A1669,Data!F:F,Data!C:C)</f>
        <v/>
      </c>
      <c r="E1669" s="19" t="str">
        <f t="array" ref="E1669">XLOOKUP(A1669,Data!F:F,Data!H:H)</f>
        <v>BW</v>
      </c>
      <c r="F1669" s="106" t="str">
        <f>SUMIFS(Data!J:J,Data!F:F,A1669)</f>
        <v>1</v>
      </c>
      <c r="G1669" s="106" t="str">
        <f>SUMIFS(Cast!C:C,CastElements,A1669)</f>
        <v>1</v>
      </c>
      <c r="H1669" s="106" t="str">
        <f t="shared" si="4"/>
        <v>0</v>
      </c>
      <c r="I1669" s="106" t="str">
        <f>SUMIFS(Del!C:C,Del!B:B,A1669)</f>
        <v>0</v>
      </c>
      <c r="J1669" s="106" t="str">
        <f t="shared" si="5"/>
        <v>1</v>
      </c>
      <c r="K1669" s="106" t="str">
        <f t="shared" si="6"/>
        <v>1</v>
      </c>
      <c r="L1669" s="106"/>
      <c r="M1669" s="106" t="str">
        <f>SUMIFS(Ere!C:C,Ere!B:B,A1669)</f>
        <v>0</v>
      </c>
      <c r="N1669" s="106" t="str">
        <f t="shared" si="7"/>
        <v>1</v>
      </c>
      <c r="O1669" s="107" t="str">
        <f t="array" ref="O1669">XLOOKUP(A1669,Data!F:F,Data!O:O)</f>
        <v>  1.86 </v>
      </c>
      <c r="P1669" s="107" t="str">
        <f t="shared" si="8"/>
        <v>  4.65 </v>
      </c>
      <c r="Q1669" s="27"/>
    </row>
    <row r="1670" ht="15.75" customHeight="1">
      <c r="A1670" s="105" t="s">
        <v>1914</v>
      </c>
      <c r="B1670" s="19" t="str">
        <f t="array" ref="B1670">XLOOKUP(A1670,Data!F:F,Data!G:G)</f>
        <v>J2A</v>
      </c>
      <c r="C1670" s="19" t="str">
        <f t="shared" si="3"/>
        <v>J001</v>
      </c>
      <c r="D1670" s="19" t="str">
        <f t="array" ref="D1670">XLOOKUP(A1670,Data!F:F,Data!C:C)</f>
        <v/>
      </c>
      <c r="E1670" s="19" t="str">
        <f t="array" ref="E1670">XLOOKUP(A1670,Data!F:F,Data!H:H)</f>
        <v>BW</v>
      </c>
      <c r="F1670" s="106" t="str">
        <f>SUMIFS(Data!J:J,Data!F:F,A1670)</f>
        <v>1</v>
      </c>
      <c r="G1670" s="106" t="str">
        <f>SUMIFS(Cast!C:C,CastElements,A1670)</f>
        <v>1</v>
      </c>
      <c r="H1670" s="106" t="str">
        <f t="shared" si="4"/>
        <v>0</v>
      </c>
      <c r="I1670" s="106" t="str">
        <f>SUMIFS(Del!C:C,Del!B:B,A1670)</f>
        <v>0</v>
      </c>
      <c r="J1670" s="106" t="str">
        <f t="shared" si="5"/>
        <v>1</v>
      </c>
      <c r="K1670" s="106" t="str">
        <f t="shared" si="6"/>
        <v>1</v>
      </c>
      <c r="L1670" s="106"/>
      <c r="M1670" s="106" t="str">
        <f>SUMIFS(Ere!C:C,Ere!B:B,A1670)</f>
        <v>0</v>
      </c>
      <c r="N1670" s="106" t="str">
        <f t="shared" si="7"/>
        <v>1</v>
      </c>
      <c r="O1670" s="107" t="str">
        <f t="array" ref="O1670">XLOOKUP(A1670,Data!F:F,Data!O:O)</f>
        <v>  1.83 </v>
      </c>
      <c r="P1670" s="107" t="str">
        <f t="shared" si="8"/>
        <v>  4.57 </v>
      </c>
      <c r="Q1670" s="27"/>
    </row>
    <row r="1671" ht="15.75" customHeight="1">
      <c r="A1671" s="105" t="s">
        <v>1915</v>
      </c>
      <c r="B1671" s="19" t="str">
        <f t="array" ref="B1671">XLOOKUP(A1671,Data!F:F,Data!G:G)</f>
        <v>J2A</v>
      </c>
      <c r="C1671" s="19" t="str">
        <f t="shared" si="3"/>
        <v>J001</v>
      </c>
      <c r="D1671" s="19" t="str">
        <f t="array" ref="D1671">XLOOKUP(A1671,Data!F:F,Data!C:C)</f>
        <v/>
      </c>
      <c r="E1671" s="19" t="str">
        <f t="array" ref="E1671">XLOOKUP(A1671,Data!F:F,Data!H:H)</f>
        <v>BW</v>
      </c>
      <c r="F1671" s="106" t="str">
        <f>SUMIFS(Data!J:J,Data!F:F,A1671)</f>
        <v>1</v>
      </c>
      <c r="G1671" s="106" t="str">
        <f>SUMIFS(Cast!C:C,CastElements,A1671)</f>
        <v>1</v>
      </c>
      <c r="H1671" s="106" t="str">
        <f t="shared" si="4"/>
        <v>0</v>
      </c>
      <c r="I1671" s="106" t="str">
        <f>SUMIFS(Del!C:C,Del!B:B,A1671)</f>
        <v>0</v>
      </c>
      <c r="J1671" s="106" t="str">
        <f t="shared" si="5"/>
        <v>1</v>
      </c>
      <c r="K1671" s="106" t="str">
        <f t="shared" si="6"/>
        <v>1</v>
      </c>
      <c r="L1671" s="106"/>
      <c r="M1671" s="106" t="str">
        <f>SUMIFS(Ere!C:C,Ere!B:B,A1671)</f>
        <v>0</v>
      </c>
      <c r="N1671" s="106" t="str">
        <f t="shared" si="7"/>
        <v>1</v>
      </c>
      <c r="O1671" s="107" t="str">
        <f t="array" ref="O1671">XLOOKUP(A1671,Data!F:F,Data!O:O)</f>
        <v>  2.33 </v>
      </c>
      <c r="P1671" s="107" t="str">
        <f t="shared" si="8"/>
        <v>  5.84 </v>
      </c>
      <c r="Q1671" s="27"/>
    </row>
    <row r="1672" ht="15.75" customHeight="1">
      <c r="A1672" s="105" t="s">
        <v>1916</v>
      </c>
      <c r="B1672" s="19" t="str">
        <f t="array" ref="B1672">XLOOKUP(A1672,Data!F:F,Data!G:G)</f>
        <v>J2A</v>
      </c>
      <c r="C1672" s="19" t="str">
        <f t="shared" si="3"/>
        <v>J001</v>
      </c>
      <c r="D1672" s="19" t="str">
        <f t="array" ref="D1672">XLOOKUP(A1672,Data!F:F,Data!C:C)</f>
        <v/>
      </c>
      <c r="E1672" s="19" t="str">
        <f t="array" ref="E1672">XLOOKUP(A1672,Data!F:F,Data!H:H)</f>
        <v>BW</v>
      </c>
      <c r="F1672" s="106" t="str">
        <f>SUMIFS(Data!J:J,Data!F:F,A1672)</f>
        <v>1</v>
      </c>
      <c r="G1672" s="106" t="str">
        <f>SUMIFS(Cast!C:C,CastElements,A1672)</f>
        <v>1</v>
      </c>
      <c r="H1672" s="106" t="str">
        <f t="shared" si="4"/>
        <v>0</v>
      </c>
      <c r="I1672" s="106" t="str">
        <f>SUMIFS(Del!C:C,Del!B:B,A1672)</f>
        <v>0</v>
      </c>
      <c r="J1672" s="106" t="str">
        <f t="shared" si="5"/>
        <v>1</v>
      </c>
      <c r="K1672" s="106" t="str">
        <f t="shared" si="6"/>
        <v>1</v>
      </c>
      <c r="L1672" s="106"/>
      <c r="M1672" s="106" t="str">
        <f>SUMIFS(Ere!C:C,Ere!B:B,A1672)</f>
        <v>0</v>
      </c>
      <c r="N1672" s="106" t="str">
        <f t="shared" si="7"/>
        <v>1</v>
      </c>
      <c r="O1672" s="107" t="str">
        <f t="array" ref="O1672">XLOOKUP(A1672,Data!F:F,Data!O:O)</f>
        <v>  2.74 </v>
      </c>
      <c r="P1672" s="107" t="str">
        <f t="shared" si="8"/>
        <v>  6.86 </v>
      </c>
      <c r="Q1672" s="27"/>
    </row>
    <row r="1673" ht="15.75" customHeight="1">
      <c r="A1673" s="105" t="s">
        <v>1917</v>
      </c>
      <c r="B1673" s="19" t="str">
        <f t="array" ref="B1673">XLOOKUP(A1673,Data!F:F,Data!G:G)</f>
        <v>J2A</v>
      </c>
      <c r="C1673" s="19" t="str">
        <f t="shared" si="3"/>
        <v>J001</v>
      </c>
      <c r="D1673" s="19" t="str">
        <f t="array" ref="D1673">XLOOKUP(A1673,Data!F:F,Data!C:C)</f>
        <v/>
      </c>
      <c r="E1673" s="19" t="str">
        <f t="array" ref="E1673">XLOOKUP(A1673,Data!F:F,Data!H:H)</f>
        <v>BW</v>
      </c>
      <c r="F1673" s="106" t="str">
        <f>SUMIFS(Data!J:J,Data!F:F,A1673)</f>
        <v>1</v>
      </c>
      <c r="G1673" s="106" t="str">
        <f>SUMIFS(Cast!C:C,CastElements,A1673)</f>
        <v>1</v>
      </c>
      <c r="H1673" s="106" t="str">
        <f t="shared" si="4"/>
        <v>0</v>
      </c>
      <c r="I1673" s="106" t="str">
        <f>SUMIFS(Del!C:C,Del!B:B,A1673)</f>
        <v>0</v>
      </c>
      <c r="J1673" s="106" t="str">
        <f t="shared" si="5"/>
        <v>1</v>
      </c>
      <c r="K1673" s="106" t="str">
        <f t="shared" si="6"/>
        <v>1</v>
      </c>
      <c r="L1673" s="106"/>
      <c r="M1673" s="106" t="str">
        <f>SUMIFS(Ere!C:C,Ere!B:B,A1673)</f>
        <v>0</v>
      </c>
      <c r="N1673" s="106" t="str">
        <f t="shared" si="7"/>
        <v>1</v>
      </c>
      <c r="O1673" s="107" t="str">
        <f t="array" ref="O1673">XLOOKUP(A1673,Data!F:F,Data!O:O)</f>
        <v>  1.88 </v>
      </c>
      <c r="P1673" s="107" t="str">
        <f t="shared" si="8"/>
        <v>  4.71 </v>
      </c>
      <c r="Q1673" s="27"/>
    </row>
    <row r="1674" ht="15.75" customHeight="1">
      <c r="A1674" s="105" t="s">
        <v>1918</v>
      </c>
      <c r="B1674" s="19" t="str">
        <f t="array" ref="B1674">XLOOKUP(A1674,Data!F:F,Data!G:G)</f>
        <v>J2A</v>
      </c>
      <c r="C1674" s="19" t="str">
        <f t="shared" si="3"/>
        <v>J001</v>
      </c>
      <c r="D1674" s="19" t="str">
        <f t="array" ref="D1674">XLOOKUP(A1674,Data!F:F,Data!C:C)</f>
        <v/>
      </c>
      <c r="E1674" s="19" t="str">
        <f t="array" ref="E1674">XLOOKUP(A1674,Data!F:F,Data!H:H)</f>
        <v>BW</v>
      </c>
      <c r="F1674" s="106" t="str">
        <f>SUMIFS(Data!J:J,Data!F:F,A1674)</f>
        <v>1</v>
      </c>
      <c r="G1674" s="106" t="str">
        <f>SUMIFS(Cast!C:C,CastElements,A1674)</f>
        <v>1</v>
      </c>
      <c r="H1674" s="106" t="str">
        <f t="shared" si="4"/>
        <v>0</v>
      </c>
      <c r="I1674" s="106" t="str">
        <f>SUMIFS(Del!C:C,Del!B:B,A1674)</f>
        <v>0</v>
      </c>
      <c r="J1674" s="106" t="str">
        <f t="shared" si="5"/>
        <v>1</v>
      </c>
      <c r="K1674" s="106" t="str">
        <f t="shared" si="6"/>
        <v>1</v>
      </c>
      <c r="L1674" s="106"/>
      <c r="M1674" s="106" t="str">
        <f>SUMIFS(Ere!C:C,Ere!B:B,A1674)</f>
        <v>0</v>
      </c>
      <c r="N1674" s="106" t="str">
        <f t="shared" si="7"/>
        <v>1</v>
      </c>
      <c r="O1674" s="107" t="str">
        <f t="array" ref="O1674">XLOOKUP(A1674,Data!F:F,Data!O:O)</f>
        <v>  1.77 </v>
      </c>
      <c r="P1674" s="107" t="str">
        <f t="shared" si="8"/>
        <v>  4.43 </v>
      </c>
      <c r="Q1674" s="27"/>
    </row>
    <row r="1675" ht="15.75" customHeight="1">
      <c r="A1675" s="105" t="s">
        <v>1919</v>
      </c>
      <c r="B1675" s="19" t="str">
        <f t="array" ref="B1675">XLOOKUP(A1675,Data!F:F,Data!G:G)</f>
        <v>J2A</v>
      </c>
      <c r="C1675" s="19" t="str">
        <f t="shared" si="3"/>
        <v>J001</v>
      </c>
      <c r="D1675" s="19" t="str">
        <f t="array" ref="D1675">XLOOKUP(A1675,Data!F:F,Data!C:C)</f>
        <v/>
      </c>
      <c r="E1675" s="19" t="str">
        <f t="array" ref="E1675">XLOOKUP(A1675,Data!F:F,Data!H:H)</f>
        <v>BW</v>
      </c>
      <c r="F1675" s="106" t="str">
        <f>SUMIFS(Data!J:J,Data!F:F,A1675)</f>
        <v>1</v>
      </c>
      <c r="G1675" s="106" t="str">
        <f>SUMIFS(Cast!C:C,CastElements,A1675)</f>
        <v>1</v>
      </c>
      <c r="H1675" s="106" t="str">
        <f t="shared" si="4"/>
        <v>0</v>
      </c>
      <c r="I1675" s="106" t="str">
        <f>SUMIFS(Del!C:C,Del!B:B,A1675)</f>
        <v>0</v>
      </c>
      <c r="J1675" s="106" t="str">
        <f t="shared" si="5"/>
        <v>1</v>
      </c>
      <c r="K1675" s="106" t="str">
        <f t="shared" si="6"/>
        <v>1</v>
      </c>
      <c r="L1675" s="106"/>
      <c r="M1675" s="106" t="str">
        <f>SUMIFS(Ere!C:C,Ere!B:B,A1675)</f>
        <v>0</v>
      </c>
      <c r="N1675" s="106" t="str">
        <f t="shared" si="7"/>
        <v>1</v>
      </c>
      <c r="O1675" s="107" t="str">
        <f t="array" ref="O1675">XLOOKUP(A1675,Data!F:F,Data!O:O)</f>
        <v>  1.77 </v>
      </c>
      <c r="P1675" s="107" t="str">
        <f t="shared" si="8"/>
        <v>  4.43 </v>
      </c>
      <c r="Q1675" s="27"/>
    </row>
    <row r="1676" ht="15.75" customHeight="1">
      <c r="A1676" s="105" t="s">
        <v>1920</v>
      </c>
      <c r="B1676" s="19" t="str">
        <f t="array" ref="B1676">XLOOKUP(A1676,Data!F:F,Data!G:G)</f>
        <v>J2A</v>
      </c>
      <c r="C1676" s="19" t="str">
        <f t="shared" si="3"/>
        <v>J001</v>
      </c>
      <c r="D1676" s="19" t="str">
        <f t="array" ref="D1676">XLOOKUP(A1676,Data!F:F,Data!C:C)</f>
        <v/>
      </c>
      <c r="E1676" s="19" t="str">
        <f t="array" ref="E1676">XLOOKUP(A1676,Data!F:F,Data!H:H)</f>
        <v>BW</v>
      </c>
      <c r="F1676" s="106" t="str">
        <f>SUMIFS(Data!J:J,Data!F:F,A1676)</f>
        <v>1</v>
      </c>
      <c r="G1676" s="106" t="str">
        <f>SUMIFS(Cast!C:C,CastElements,A1676)</f>
        <v>1</v>
      </c>
      <c r="H1676" s="106" t="str">
        <f t="shared" si="4"/>
        <v>0</v>
      </c>
      <c r="I1676" s="106" t="str">
        <f>SUMIFS(Del!C:C,Del!B:B,A1676)</f>
        <v>0</v>
      </c>
      <c r="J1676" s="106" t="str">
        <f t="shared" si="5"/>
        <v>1</v>
      </c>
      <c r="K1676" s="106" t="str">
        <f t="shared" si="6"/>
        <v>1</v>
      </c>
      <c r="L1676" s="106"/>
      <c r="M1676" s="106" t="str">
        <f>SUMIFS(Ere!C:C,Ere!B:B,A1676)</f>
        <v>0</v>
      </c>
      <c r="N1676" s="106" t="str">
        <f t="shared" si="7"/>
        <v>1</v>
      </c>
      <c r="O1676" s="107" t="str">
        <f t="array" ref="O1676">XLOOKUP(A1676,Data!F:F,Data!O:O)</f>
        <v>  1.77 </v>
      </c>
      <c r="P1676" s="107" t="str">
        <f t="shared" si="8"/>
        <v>  4.43 </v>
      </c>
      <c r="Q1676" s="27"/>
    </row>
    <row r="1677" ht="15.75" customHeight="1">
      <c r="A1677" s="105" t="s">
        <v>1921</v>
      </c>
      <c r="B1677" s="19" t="str">
        <f t="array" ref="B1677">XLOOKUP(A1677,Data!F:F,Data!G:G)</f>
        <v>J2A</v>
      </c>
      <c r="C1677" s="19" t="str">
        <f t="shared" si="3"/>
        <v>J001</v>
      </c>
      <c r="D1677" s="19" t="str">
        <f t="array" ref="D1677">XLOOKUP(A1677,Data!F:F,Data!C:C)</f>
        <v/>
      </c>
      <c r="E1677" s="19" t="str">
        <f t="array" ref="E1677">XLOOKUP(A1677,Data!F:F,Data!H:H)</f>
        <v>BW</v>
      </c>
      <c r="F1677" s="106" t="str">
        <f>SUMIFS(Data!J:J,Data!F:F,A1677)</f>
        <v>1</v>
      </c>
      <c r="G1677" s="106" t="str">
        <f>SUMIFS(Cast!C:C,CastElements,A1677)</f>
        <v>1</v>
      </c>
      <c r="H1677" s="106" t="str">
        <f t="shared" si="4"/>
        <v>0</v>
      </c>
      <c r="I1677" s="106" t="str">
        <f>SUMIFS(Del!C:C,Del!B:B,A1677)</f>
        <v>0</v>
      </c>
      <c r="J1677" s="106" t="str">
        <f t="shared" si="5"/>
        <v>1</v>
      </c>
      <c r="K1677" s="106" t="str">
        <f t="shared" si="6"/>
        <v>1</v>
      </c>
      <c r="L1677" s="106"/>
      <c r="M1677" s="106" t="str">
        <f>SUMIFS(Ere!C:C,Ere!B:B,A1677)</f>
        <v>0</v>
      </c>
      <c r="N1677" s="106" t="str">
        <f t="shared" si="7"/>
        <v>1</v>
      </c>
      <c r="O1677" s="107" t="str">
        <f t="array" ref="O1677">XLOOKUP(A1677,Data!F:F,Data!O:O)</f>
        <v>  0.74 </v>
      </c>
      <c r="P1677" s="107" t="str">
        <f t="shared" si="8"/>
        <v>  1.84 </v>
      </c>
      <c r="Q1677" s="27"/>
    </row>
    <row r="1678" ht="15.75" customHeight="1">
      <c r="A1678" s="105" t="s">
        <v>1922</v>
      </c>
      <c r="B1678" s="19" t="str">
        <f t="array" ref="B1678">XLOOKUP(A1678,Data!F:F,Data!G:G)</f>
        <v>J2A</v>
      </c>
      <c r="C1678" s="19" t="str">
        <f t="shared" si="3"/>
        <v>J001</v>
      </c>
      <c r="D1678" s="19" t="str">
        <f t="array" ref="D1678">XLOOKUP(A1678,Data!F:F,Data!C:C)</f>
        <v/>
      </c>
      <c r="E1678" s="19" t="str">
        <f t="array" ref="E1678">XLOOKUP(A1678,Data!F:F,Data!H:H)</f>
        <v>BW</v>
      </c>
      <c r="F1678" s="106" t="str">
        <f>SUMIFS(Data!J:J,Data!F:F,A1678)</f>
        <v>1</v>
      </c>
      <c r="G1678" s="106" t="str">
        <f>SUMIFS(Cast!C:C,CastElements,A1678)</f>
        <v>1</v>
      </c>
      <c r="H1678" s="106" t="str">
        <f t="shared" si="4"/>
        <v>0</v>
      </c>
      <c r="I1678" s="106" t="str">
        <f>SUMIFS(Del!C:C,Del!B:B,A1678)</f>
        <v>0</v>
      </c>
      <c r="J1678" s="106" t="str">
        <f t="shared" si="5"/>
        <v>1</v>
      </c>
      <c r="K1678" s="106" t="str">
        <f t="shared" si="6"/>
        <v>1</v>
      </c>
      <c r="L1678" s="106"/>
      <c r="M1678" s="106" t="str">
        <f>SUMIFS(Ere!C:C,Ere!B:B,A1678)</f>
        <v>0</v>
      </c>
      <c r="N1678" s="106" t="str">
        <f t="shared" si="7"/>
        <v>1</v>
      </c>
      <c r="O1678" s="107" t="str">
        <f t="array" ref="O1678">XLOOKUP(A1678,Data!F:F,Data!O:O)</f>
        <v>  0.68 </v>
      </c>
      <c r="P1678" s="107" t="str">
        <f t="shared" si="8"/>
        <v>  1.71 </v>
      </c>
      <c r="Q1678" s="27"/>
    </row>
    <row r="1679" ht="15.75" customHeight="1">
      <c r="A1679" s="105" t="s">
        <v>1923</v>
      </c>
      <c r="B1679" s="19" t="str">
        <f t="array" ref="B1679">XLOOKUP(A1679,Data!F:F,Data!G:G)</f>
        <v>J2A</v>
      </c>
      <c r="C1679" s="19" t="str">
        <f t="shared" si="3"/>
        <v>J001</v>
      </c>
      <c r="D1679" s="19" t="str">
        <f t="array" ref="D1679">XLOOKUP(A1679,Data!F:F,Data!C:C)</f>
        <v/>
      </c>
      <c r="E1679" s="19" t="str">
        <f t="array" ref="E1679">XLOOKUP(A1679,Data!F:F,Data!H:H)</f>
        <v>BW</v>
      </c>
      <c r="F1679" s="106" t="str">
        <f>SUMIFS(Data!J:J,Data!F:F,A1679)</f>
        <v>1</v>
      </c>
      <c r="G1679" s="106" t="str">
        <f>SUMIFS(Cast!C:C,CastElements,A1679)</f>
        <v>1</v>
      </c>
      <c r="H1679" s="106" t="str">
        <f t="shared" si="4"/>
        <v>0</v>
      </c>
      <c r="I1679" s="106" t="str">
        <f>SUMIFS(Del!C:C,Del!B:B,A1679)</f>
        <v>0</v>
      </c>
      <c r="J1679" s="106" t="str">
        <f t="shared" si="5"/>
        <v>1</v>
      </c>
      <c r="K1679" s="106" t="str">
        <f t="shared" si="6"/>
        <v>1</v>
      </c>
      <c r="L1679" s="106"/>
      <c r="M1679" s="106" t="str">
        <f>SUMIFS(Ere!C:C,Ere!B:B,A1679)</f>
        <v>0</v>
      </c>
      <c r="N1679" s="106" t="str">
        <f t="shared" si="7"/>
        <v>1</v>
      </c>
      <c r="O1679" s="107" t="str">
        <f t="array" ref="O1679">XLOOKUP(A1679,Data!F:F,Data!O:O)</f>
        <v>  0.35 </v>
      </c>
      <c r="P1679" s="107" t="str">
        <f t="shared" si="8"/>
        <v>  0.89 </v>
      </c>
      <c r="Q1679" s="27"/>
    </row>
    <row r="1680" ht="15.75" customHeight="1">
      <c r="A1680" s="105" t="s">
        <v>1924</v>
      </c>
      <c r="B1680" s="19" t="str">
        <f t="array" ref="B1680">XLOOKUP(A1680,Data!F:F,Data!G:G)</f>
        <v>J2A</v>
      </c>
      <c r="C1680" s="19" t="str">
        <f t="shared" si="3"/>
        <v>J001</v>
      </c>
      <c r="D1680" s="19" t="str">
        <f t="array" ref="D1680">XLOOKUP(A1680,Data!F:F,Data!C:C)</f>
        <v/>
      </c>
      <c r="E1680" s="19" t="str">
        <f t="array" ref="E1680">XLOOKUP(A1680,Data!F:F,Data!H:H)</f>
        <v>BW</v>
      </c>
      <c r="F1680" s="106" t="str">
        <f>SUMIFS(Data!J:J,Data!F:F,A1680)</f>
        <v>1</v>
      </c>
      <c r="G1680" s="106" t="str">
        <f>SUMIFS(Cast!C:C,CastElements,A1680)</f>
        <v>1</v>
      </c>
      <c r="H1680" s="106" t="str">
        <f t="shared" si="4"/>
        <v>0</v>
      </c>
      <c r="I1680" s="106" t="str">
        <f>SUMIFS(Del!C:C,Del!B:B,A1680)</f>
        <v>0</v>
      </c>
      <c r="J1680" s="106" t="str">
        <f t="shared" si="5"/>
        <v>1</v>
      </c>
      <c r="K1680" s="106" t="str">
        <f t="shared" si="6"/>
        <v>1</v>
      </c>
      <c r="L1680" s="106"/>
      <c r="M1680" s="106" t="str">
        <f>SUMIFS(Ere!C:C,Ere!B:B,A1680)</f>
        <v>0</v>
      </c>
      <c r="N1680" s="106" t="str">
        <f t="shared" si="7"/>
        <v>1</v>
      </c>
      <c r="O1680" s="107" t="str">
        <f t="array" ref="O1680">XLOOKUP(A1680,Data!F:F,Data!O:O)</f>
        <v>  0.88 </v>
      </c>
      <c r="P1680" s="107" t="str">
        <f t="shared" si="8"/>
        <v>  2.19 </v>
      </c>
      <c r="Q1680" s="27"/>
    </row>
    <row r="1681" ht="15.75" customHeight="1">
      <c r="A1681" s="105" t="s">
        <v>1925</v>
      </c>
      <c r="B1681" s="19" t="str">
        <f t="array" ref="B1681">XLOOKUP(A1681,Data!F:F,Data!G:G)</f>
        <v>J2A</v>
      </c>
      <c r="C1681" s="19" t="str">
        <f t="shared" si="3"/>
        <v>J001</v>
      </c>
      <c r="D1681" s="19" t="str">
        <f t="array" ref="D1681">XLOOKUP(A1681,Data!F:F,Data!C:C)</f>
        <v/>
      </c>
      <c r="E1681" s="19" t="str">
        <f t="array" ref="E1681">XLOOKUP(A1681,Data!F:F,Data!H:H)</f>
        <v>CF</v>
      </c>
      <c r="F1681" s="106" t="str">
        <f>SUMIFS(Data!J:J,Data!F:F,A1681)</f>
        <v>1</v>
      </c>
      <c r="G1681" s="106" t="str">
        <f>SUMIFS(Cast!C:C,CastElements,A1681)</f>
        <v>0</v>
      </c>
      <c r="H1681" s="106" t="str">
        <f t="shared" si="4"/>
        <v>1</v>
      </c>
      <c r="I1681" s="106" t="str">
        <f>SUMIFS(Del!C:C,Del!B:B,A1681)</f>
        <v>0</v>
      </c>
      <c r="J1681" s="106" t="str">
        <f t="shared" si="5"/>
        <v>1</v>
      </c>
      <c r="K1681" s="106" t="str">
        <f t="shared" si="6"/>
        <v>0</v>
      </c>
      <c r="L1681" s="106"/>
      <c r="M1681" s="106" t="str">
        <f>SUMIFS(Ere!C:C,Ere!B:B,A1681)</f>
        <v>0</v>
      </c>
      <c r="N1681" s="106" t="str">
        <f t="shared" si="7"/>
        <v>1</v>
      </c>
      <c r="O1681" s="107" t="str">
        <f t="array" ref="O1681">XLOOKUP(A1681,Data!F:F,Data!O:O)</f>
        <v>  0.48 </v>
      </c>
      <c r="P1681" s="107" t="str">
        <f t="shared" si="8"/>
        <v>  1.20 </v>
      </c>
      <c r="Q1681" s="27"/>
    </row>
    <row r="1682" ht="15.75" customHeight="1">
      <c r="A1682" s="105" t="s">
        <v>1926</v>
      </c>
      <c r="B1682" s="19" t="str">
        <f t="array" ref="B1682">XLOOKUP(A1682,Data!F:F,Data!G:G)</f>
        <v>J2A</v>
      </c>
      <c r="C1682" s="19" t="str">
        <f t="shared" si="3"/>
        <v>J001</v>
      </c>
      <c r="D1682" s="19" t="str">
        <f t="array" ref="D1682">XLOOKUP(A1682,Data!F:F,Data!C:C)</f>
        <v/>
      </c>
      <c r="E1682" s="19" t="str">
        <f t="array" ref="E1682">XLOOKUP(A1682,Data!F:F,Data!H:H)</f>
        <v>BW</v>
      </c>
      <c r="F1682" s="106" t="str">
        <f>SUMIFS(Data!J:J,Data!F:F,A1682)</f>
        <v>1</v>
      </c>
      <c r="G1682" s="106" t="str">
        <f>SUMIFS(Cast!C:C,CastElements,A1682)</f>
        <v>1</v>
      </c>
      <c r="H1682" s="106" t="str">
        <f t="shared" si="4"/>
        <v>0</v>
      </c>
      <c r="I1682" s="106" t="str">
        <f>SUMIFS(Del!C:C,Del!B:B,A1682)</f>
        <v>0</v>
      </c>
      <c r="J1682" s="106" t="str">
        <f t="shared" si="5"/>
        <v>1</v>
      </c>
      <c r="K1682" s="106" t="str">
        <f t="shared" si="6"/>
        <v>1</v>
      </c>
      <c r="L1682" s="106"/>
      <c r="M1682" s="106" t="str">
        <f>SUMIFS(Ere!C:C,Ere!B:B,A1682)</f>
        <v>0</v>
      </c>
      <c r="N1682" s="106" t="str">
        <f t="shared" si="7"/>
        <v>1</v>
      </c>
      <c r="O1682" s="107" t="str">
        <f t="array" ref="O1682">XLOOKUP(A1682,Data!F:F,Data!O:O)</f>
        <v>  1.48 </v>
      </c>
      <c r="P1682" s="107" t="str">
        <f t="shared" si="8"/>
        <v>  3.71 </v>
      </c>
      <c r="Q1682" s="27"/>
    </row>
    <row r="1683" ht="15.75" customHeight="1">
      <c r="A1683" s="105" t="s">
        <v>1927</v>
      </c>
      <c r="B1683" s="19" t="str">
        <f t="array" ref="B1683">XLOOKUP(A1683,Data!F:F,Data!G:G)</f>
        <v>J2A</v>
      </c>
      <c r="C1683" s="19" t="str">
        <f t="shared" si="3"/>
        <v>J002</v>
      </c>
      <c r="D1683" s="19" t="str">
        <f t="array" ref="D1683">XLOOKUP(A1683,Data!F:F,Data!C:C)</f>
        <v>EXT</v>
      </c>
      <c r="E1683" s="19" t="str">
        <f t="array" ref="E1683">XLOOKUP(A1683,Data!F:F,Data!H:H)</f>
        <v>BW</v>
      </c>
      <c r="F1683" s="106" t="str">
        <f>SUMIFS(Data!J:J,Data!F:F,A1683)</f>
        <v>1</v>
      </c>
      <c r="G1683" s="106" t="str">
        <f>SUMIFS(Cast!C:C,CastElements,A1683)</f>
        <v>1</v>
      </c>
      <c r="H1683" s="106" t="str">
        <f t="shared" si="4"/>
        <v>0</v>
      </c>
      <c r="I1683" s="106" t="str">
        <f>SUMIFS(Del!C:C,Del!B:B,A1683)</f>
        <v>0</v>
      </c>
      <c r="J1683" s="106" t="str">
        <f t="shared" si="5"/>
        <v>1</v>
      </c>
      <c r="K1683" s="106" t="str">
        <f t="shared" si="6"/>
        <v>1</v>
      </c>
      <c r="L1683" s="106"/>
      <c r="M1683" s="106" t="str">
        <f>SUMIFS(Ere!C:C,Ere!B:B,A1683)</f>
        <v>0</v>
      </c>
      <c r="N1683" s="106" t="str">
        <f t="shared" si="7"/>
        <v>1</v>
      </c>
      <c r="O1683" s="107" t="str">
        <f t="array" ref="O1683">XLOOKUP(A1683,Data!F:F,Data!O:O)</f>
        <v>  0.97 </v>
      </c>
      <c r="P1683" s="107" t="str">
        <f t="shared" si="8"/>
        <v>  2.43 </v>
      </c>
      <c r="Q1683" s="27"/>
    </row>
    <row r="1684" ht="15.75" customHeight="1">
      <c r="A1684" s="105" t="s">
        <v>1928</v>
      </c>
      <c r="B1684" s="19" t="str">
        <f t="array" ref="B1684">XLOOKUP(A1684,Data!F:F,Data!G:G)</f>
        <v>J2A</v>
      </c>
      <c r="C1684" s="19" t="str">
        <f t="shared" si="3"/>
        <v>J002</v>
      </c>
      <c r="D1684" s="19" t="str">
        <f t="array" ref="D1684">XLOOKUP(A1684,Data!F:F,Data!C:C)</f>
        <v>EXT</v>
      </c>
      <c r="E1684" s="19" t="str">
        <f t="array" ref="E1684">XLOOKUP(A1684,Data!F:F,Data!H:H)</f>
        <v>BW</v>
      </c>
      <c r="F1684" s="106" t="str">
        <f>SUMIFS(Data!J:J,Data!F:F,A1684)</f>
        <v>1</v>
      </c>
      <c r="G1684" s="106" t="str">
        <f>SUMIFS(Cast!C:C,CastElements,A1684)</f>
        <v>0</v>
      </c>
      <c r="H1684" s="106" t="str">
        <f t="shared" si="4"/>
        <v>1</v>
      </c>
      <c r="I1684" s="106" t="str">
        <f>SUMIFS(Del!C:C,Del!B:B,A1684)</f>
        <v>0</v>
      </c>
      <c r="J1684" s="106" t="str">
        <f t="shared" si="5"/>
        <v>1</v>
      </c>
      <c r="K1684" s="106" t="str">
        <f t="shared" si="6"/>
        <v>0</v>
      </c>
      <c r="L1684" s="106"/>
      <c r="M1684" s="106" t="str">
        <f>SUMIFS(Ere!C:C,Ere!B:B,A1684)</f>
        <v>0</v>
      </c>
      <c r="N1684" s="106" t="str">
        <f t="shared" si="7"/>
        <v>1</v>
      </c>
      <c r="O1684" s="107" t="str">
        <f t="array" ref="O1684">XLOOKUP(A1684,Data!F:F,Data!O:O)</f>
        <v>  1.04 </v>
      </c>
      <c r="P1684" s="107" t="str">
        <f t="shared" si="8"/>
        <v>  2.61 </v>
      </c>
      <c r="Q1684" s="27"/>
    </row>
    <row r="1685" ht="15.75" customHeight="1">
      <c r="A1685" s="105" t="s">
        <v>1929</v>
      </c>
      <c r="B1685" s="19" t="str">
        <f t="array" ref="B1685">XLOOKUP(A1685,Data!F:F,Data!G:G)</f>
        <v>J2A</v>
      </c>
      <c r="C1685" s="19" t="str">
        <f t="shared" si="3"/>
        <v>J002</v>
      </c>
      <c r="D1685" s="19" t="str">
        <f t="array" ref="D1685">XLOOKUP(A1685,Data!F:F,Data!C:C)</f>
        <v>EXT</v>
      </c>
      <c r="E1685" s="19" t="str">
        <f t="array" ref="E1685">XLOOKUP(A1685,Data!F:F,Data!H:H)</f>
        <v>BW</v>
      </c>
      <c r="F1685" s="106" t="str">
        <f>SUMIFS(Data!J:J,Data!F:F,A1685)</f>
        <v>1</v>
      </c>
      <c r="G1685" s="106" t="str">
        <f>SUMIFS(Cast!C:C,CastElements,A1685)</f>
        <v>1</v>
      </c>
      <c r="H1685" s="106" t="str">
        <f t="shared" si="4"/>
        <v>0</v>
      </c>
      <c r="I1685" s="106" t="str">
        <f>SUMIFS(Del!C:C,Del!B:B,A1685)</f>
        <v>0</v>
      </c>
      <c r="J1685" s="106" t="str">
        <f t="shared" si="5"/>
        <v>1</v>
      </c>
      <c r="K1685" s="106" t="str">
        <f t="shared" si="6"/>
        <v>1</v>
      </c>
      <c r="L1685" s="106"/>
      <c r="M1685" s="106" t="str">
        <f>SUMIFS(Ere!C:C,Ere!B:B,A1685)</f>
        <v>0</v>
      </c>
      <c r="N1685" s="106" t="str">
        <f t="shared" si="7"/>
        <v>1</v>
      </c>
      <c r="O1685" s="107" t="str">
        <f t="array" ref="O1685">XLOOKUP(A1685,Data!F:F,Data!O:O)</f>
        <v>  0.92 </v>
      </c>
      <c r="P1685" s="107" t="str">
        <f t="shared" si="8"/>
        <v>  2.29 </v>
      </c>
      <c r="Q1685" s="27"/>
    </row>
    <row r="1686" ht="15.75" customHeight="1">
      <c r="A1686" s="105" t="s">
        <v>1930</v>
      </c>
      <c r="B1686" s="19" t="str">
        <f t="array" ref="B1686">XLOOKUP(A1686,Data!F:F,Data!G:G)</f>
        <v>J2A</v>
      </c>
      <c r="C1686" s="19" t="str">
        <f t="shared" si="3"/>
        <v>J002</v>
      </c>
      <c r="D1686" s="19" t="str">
        <f t="array" ref="D1686">XLOOKUP(A1686,Data!F:F,Data!C:C)</f>
        <v/>
      </c>
      <c r="E1686" s="19" t="str">
        <f t="array" ref="E1686">XLOOKUP(A1686,Data!F:F,Data!H:H)</f>
        <v>BW</v>
      </c>
      <c r="F1686" s="106" t="str">
        <f>SUMIFS(Data!J:J,Data!F:F,A1686)</f>
        <v>1</v>
      </c>
      <c r="G1686" s="106" t="str">
        <f>SUMIFS(Cast!C:C,CastElements,A1686)</f>
        <v>1</v>
      </c>
      <c r="H1686" s="106" t="str">
        <f t="shared" si="4"/>
        <v>0</v>
      </c>
      <c r="I1686" s="106" t="str">
        <f>SUMIFS(Del!C:C,Del!B:B,A1686)</f>
        <v>0</v>
      </c>
      <c r="J1686" s="106" t="str">
        <f t="shared" si="5"/>
        <v>1</v>
      </c>
      <c r="K1686" s="106" t="str">
        <f t="shared" si="6"/>
        <v>1</v>
      </c>
      <c r="L1686" s="106"/>
      <c r="M1686" s="106" t="str">
        <f>SUMIFS(Ere!C:C,Ere!B:B,A1686)</f>
        <v>0</v>
      </c>
      <c r="N1686" s="106" t="str">
        <f t="shared" si="7"/>
        <v>1</v>
      </c>
      <c r="O1686" s="107" t="str">
        <f t="array" ref="O1686">XLOOKUP(A1686,Data!F:F,Data!O:O)</f>
        <v>  1.50 </v>
      </c>
      <c r="P1686" s="107" t="str">
        <f t="shared" si="8"/>
        <v>  3.76 </v>
      </c>
      <c r="Q1686" s="27"/>
    </row>
    <row r="1687" ht="15.75" customHeight="1">
      <c r="A1687" s="105" t="s">
        <v>1931</v>
      </c>
      <c r="B1687" s="19" t="str">
        <f t="array" ref="B1687">XLOOKUP(A1687,Data!F:F,Data!G:G)</f>
        <v>J2A</v>
      </c>
      <c r="C1687" s="19" t="str">
        <f t="shared" si="3"/>
        <v>J002</v>
      </c>
      <c r="D1687" s="19" t="str">
        <f t="array" ref="D1687">XLOOKUP(A1687,Data!F:F,Data!C:C)</f>
        <v/>
      </c>
      <c r="E1687" s="19" t="str">
        <f t="array" ref="E1687">XLOOKUP(A1687,Data!F:F,Data!H:H)</f>
        <v>BW</v>
      </c>
      <c r="F1687" s="106" t="str">
        <f>SUMIFS(Data!J:J,Data!F:F,A1687)</f>
        <v>1</v>
      </c>
      <c r="G1687" s="106" t="str">
        <f>SUMIFS(Cast!C:C,CastElements,A1687)</f>
        <v>1</v>
      </c>
      <c r="H1687" s="106" t="str">
        <f t="shared" si="4"/>
        <v>0</v>
      </c>
      <c r="I1687" s="106" t="str">
        <f>SUMIFS(Del!C:C,Del!B:B,A1687)</f>
        <v>0</v>
      </c>
      <c r="J1687" s="106" t="str">
        <f t="shared" si="5"/>
        <v>1</v>
      </c>
      <c r="K1687" s="106" t="str">
        <f t="shared" si="6"/>
        <v>1</v>
      </c>
      <c r="L1687" s="106"/>
      <c r="M1687" s="106" t="str">
        <f>SUMIFS(Ere!C:C,Ere!B:B,A1687)</f>
        <v>0</v>
      </c>
      <c r="N1687" s="106" t="str">
        <f t="shared" si="7"/>
        <v>1</v>
      </c>
      <c r="O1687" s="107" t="str">
        <f t="array" ref="O1687">XLOOKUP(A1687,Data!F:F,Data!O:O)</f>
        <v>  1.82 </v>
      </c>
      <c r="P1687" s="107" t="str">
        <f t="shared" si="8"/>
        <v>  4.56 </v>
      </c>
      <c r="Q1687" s="27"/>
    </row>
    <row r="1688" ht="15.75" customHeight="1">
      <c r="A1688" s="105" t="s">
        <v>1932</v>
      </c>
      <c r="B1688" s="19" t="str">
        <f t="array" ref="B1688">XLOOKUP(A1688,Data!F:F,Data!G:G)</f>
        <v>J2A</v>
      </c>
      <c r="C1688" s="19" t="str">
        <f t="shared" si="3"/>
        <v>J002</v>
      </c>
      <c r="D1688" s="19" t="str">
        <f t="array" ref="D1688">XLOOKUP(A1688,Data!F:F,Data!C:C)</f>
        <v/>
      </c>
      <c r="E1688" s="19" t="str">
        <f t="array" ref="E1688">XLOOKUP(A1688,Data!F:F,Data!H:H)</f>
        <v>BW</v>
      </c>
      <c r="F1688" s="106" t="str">
        <f>SUMIFS(Data!J:J,Data!F:F,A1688)</f>
        <v>1</v>
      </c>
      <c r="G1688" s="106" t="str">
        <f>SUMIFS(Cast!C:C,CastElements,A1688)</f>
        <v>1</v>
      </c>
      <c r="H1688" s="106" t="str">
        <f t="shared" si="4"/>
        <v>0</v>
      </c>
      <c r="I1688" s="106" t="str">
        <f>SUMIFS(Del!C:C,Del!B:B,A1688)</f>
        <v>0</v>
      </c>
      <c r="J1688" s="106" t="str">
        <f t="shared" si="5"/>
        <v>1</v>
      </c>
      <c r="K1688" s="106" t="str">
        <f t="shared" si="6"/>
        <v>1</v>
      </c>
      <c r="L1688" s="106"/>
      <c r="M1688" s="106" t="str">
        <f>SUMIFS(Ere!C:C,Ere!B:B,A1688)</f>
        <v>0</v>
      </c>
      <c r="N1688" s="106" t="str">
        <f t="shared" si="7"/>
        <v>1</v>
      </c>
      <c r="O1688" s="107" t="str">
        <f t="array" ref="O1688">XLOOKUP(A1688,Data!F:F,Data!O:O)</f>
        <v>  1.82 </v>
      </c>
      <c r="P1688" s="107" t="str">
        <f t="shared" si="8"/>
        <v>  4.56 </v>
      </c>
      <c r="Q1688" s="27"/>
    </row>
    <row r="1689" ht="15.75" customHeight="1">
      <c r="A1689" s="105" t="s">
        <v>1933</v>
      </c>
      <c r="B1689" s="19" t="str">
        <f t="array" ref="B1689">XLOOKUP(A1689,Data!F:F,Data!G:G)</f>
        <v>J2A</v>
      </c>
      <c r="C1689" s="19" t="str">
        <f t="shared" si="3"/>
        <v>J002</v>
      </c>
      <c r="D1689" s="19" t="str">
        <f t="array" ref="D1689">XLOOKUP(A1689,Data!F:F,Data!C:C)</f>
        <v/>
      </c>
      <c r="E1689" s="19" t="str">
        <f t="array" ref="E1689">XLOOKUP(A1689,Data!F:F,Data!H:H)</f>
        <v>BW</v>
      </c>
      <c r="F1689" s="106" t="str">
        <f>SUMIFS(Data!J:J,Data!F:F,A1689)</f>
        <v>1</v>
      </c>
      <c r="G1689" s="106" t="str">
        <f>SUMIFS(Cast!C:C,CastElements,A1689)</f>
        <v>1</v>
      </c>
      <c r="H1689" s="106" t="str">
        <f t="shared" si="4"/>
        <v>0</v>
      </c>
      <c r="I1689" s="106" t="str">
        <f>SUMIFS(Del!C:C,Del!B:B,A1689)</f>
        <v>0</v>
      </c>
      <c r="J1689" s="106" t="str">
        <f t="shared" si="5"/>
        <v>1</v>
      </c>
      <c r="K1689" s="106" t="str">
        <f t="shared" si="6"/>
        <v>1</v>
      </c>
      <c r="L1689" s="106"/>
      <c r="M1689" s="106" t="str">
        <f>SUMIFS(Ere!C:C,Ere!B:B,A1689)</f>
        <v>0</v>
      </c>
      <c r="N1689" s="106" t="str">
        <f t="shared" si="7"/>
        <v>1</v>
      </c>
      <c r="O1689" s="107" t="str">
        <f t="array" ref="O1689">XLOOKUP(A1689,Data!F:F,Data!O:O)</f>
        <v>  1.82 </v>
      </c>
      <c r="P1689" s="107" t="str">
        <f t="shared" si="8"/>
        <v>  4.56 </v>
      </c>
      <c r="Q1689" s="27"/>
    </row>
    <row r="1690" ht="15.75" customHeight="1">
      <c r="A1690" s="105" t="s">
        <v>1934</v>
      </c>
      <c r="B1690" s="19" t="str">
        <f t="array" ref="B1690">XLOOKUP(A1690,Data!F:F,Data!G:G)</f>
        <v>J2A</v>
      </c>
      <c r="C1690" s="19" t="str">
        <f t="shared" si="3"/>
        <v>J002</v>
      </c>
      <c r="D1690" s="19" t="str">
        <f t="array" ref="D1690">XLOOKUP(A1690,Data!F:F,Data!C:C)</f>
        <v/>
      </c>
      <c r="E1690" s="19" t="str">
        <f t="array" ref="E1690">XLOOKUP(A1690,Data!F:F,Data!H:H)</f>
        <v>BW</v>
      </c>
      <c r="F1690" s="106" t="str">
        <f>SUMIFS(Data!J:J,Data!F:F,A1690)</f>
        <v>1</v>
      </c>
      <c r="G1690" s="106" t="str">
        <f>SUMIFS(Cast!C:C,CastElements,A1690)</f>
        <v>1</v>
      </c>
      <c r="H1690" s="106" t="str">
        <f t="shared" si="4"/>
        <v>0</v>
      </c>
      <c r="I1690" s="106" t="str">
        <f>SUMIFS(Del!C:C,Del!B:B,A1690)</f>
        <v>0</v>
      </c>
      <c r="J1690" s="106" t="str">
        <f t="shared" si="5"/>
        <v>1</v>
      </c>
      <c r="K1690" s="106" t="str">
        <f t="shared" si="6"/>
        <v>1</v>
      </c>
      <c r="L1690" s="106"/>
      <c r="M1690" s="106" t="str">
        <f>SUMIFS(Ere!C:C,Ere!B:B,A1690)</f>
        <v>0</v>
      </c>
      <c r="N1690" s="106" t="str">
        <f t="shared" si="7"/>
        <v>1</v>
      </c>
      <c r="O1690" s="107" t="str">
        <f t="array" ref="O1690">XLOOKUP(A1690,Data!F:F,Data!O:O)</f>
        <v>  1.52 </v>
      </c>
      <c r="P1690" s="107" t="str">
        <f t="shared" si="8"/>
        <v>  3.81 </v>
      </c>
      <c r="Q1690" s="27"/>
    </row>
    <row r="1691" ht="15.75" customHeight="1">
      <c r="A1691" s="105" t="s">
        <v>1935</v>
      </c>
      <c r="B1691" s="19" t="str">
        <f t="array" ref="B1691">XLOOKUP(A1691,Data!F:F,Data!G:G)</f>
        <v>J2A</v>
      </c>
      <c r="C1691" s="19" t="str">
        <f t="shared" si="3"/>
        <v>J002</v>
      </c>
      <c r="D1691" s="19" t="str">
        <f t="array" ref="D1691">XLOOKUP(A1691,Data!F:F,Data!C:C)</f>
        <v/>
      </c>
      <c r="E1691" s="19" t="str">
        <f t="array" ref="E1691">XLOOKUP(A1691,Data!F:F,Data!H:H)</f>
        <v>BW</v>
      </c>
      <c r="F1691" s="106" t="str">
        <f>SUMIFS(Data!J:J,Data!F:F,A1691)</f>
        <v>1</v>
      </c>
      <c r="G1691" s="106" t="str">
        <f>SUMIFS(Cast!C:C,CastElements,A1691)</f>
        <v>1</v>
      </c>
      <c r="H1691" s="106" t="str">
        <f t="shared" si="4"/>
        <v>0</v>
      </c>
      <c r="I1691" s="106" t="str">
        <f>SUMIFS(Del!C:C,Del!B:B,A1691)</f>
        <v>0</v>
      </c>
      <c r="J1691" s="106" t="str">
        <f t="shared" si="5"/>
        <v>1</v>
      </c>
      <c r="K1691" s="106" t="str">
        <f t="shared" si="6"/>
        <v>1</v>
      </c>
      <c r="L1691" s="106"/>
      <c r="M1691" s="106" t="str">
        <f>SUMIFS(Ere!C:C,Ere!B:B,A1691)</f>
        <v>0</v>
      </c>
      <c r="N1691" s="106" t="str">
        <f t="shared" si="7"/>
        <v>1</v>
      </c>
      <c r="O1691" s="107" t="str">
        <f t="array" ref="O1691">XLOOKUP(A1691,Data!F:F,Data!O:O)</f>
        <v>  1.48 </v>
      </c>
      <c r="P1691" s="107" t="str">
        <f t="shared" si="8"/>
        <v>  3.71 </v>
      </c>
      <c r="Q1691" s="27"/>
    </row>
    <row r="1692" ht="15.75" customHeight="1">
      <c r="A1692" s="105" t="s">
        <v>1936</v>
      </c>
      <c r="B1692" s="19" t="str">
        <f t="array" ref="B1692">XLOOKUP(A1692,Data!F:F,Data!G:G)</f>
        <v>J2A</v>
      </c>
      <c r="C1692" s="19" t="str">
        <f t="shared" si="3"/>
        <v>J002</v>
      </c>
      <c r="D1692" s="19" t="str">
        <f t="array" ref="D1692">XLOOKUP(A1692,Data!F:F,Data!C:C)</f>
        <v/>
      </c>
      <c r="E1692" s="19" t="str">
        <f t="array" ref="E1692">XLOOKUP(A1692,Data!F:F,Data!H:H)</f>
        <v>BW</v>
      </c>
      <c r="F1692" s="106" t="str">
        <f>SUMIFS(Data!J:J,Data!F:F,A1692)</f>
        <v>1</v>
      </c>
      <c r="G1692" s="106" t="str">
        <f>SUMIFS(Cast!C:C,CastElements,A1692)</f>
        <v>1</v>
      </c>
      <c r="H1692" s="106" t="str">
        <f t="shared" si="4"/>
        <v>0</v>
      </c>
      <c r="I1692" s="106" t="str">
        <f>SUMIFS(Del!C:C,Del!B:B,A1692)</f>
        <v>0</v>
      </c>
      <c r="J1692" s="106" t="str">
        <f t="shared" si="5"/>
        <v>1</v>
      </c>
      <c r="K1692" s="106" t="str">
        <f t="shared" si="6"/>
        <v>1</v>
      </c>
      <c r="L1692" s="106"/>
      <c r="M1692" s="106" t="str">
        <f>SUMIFS(Ere!C:C,Ere!B:B,A1692)</f>
        <v>0</v>
      </c>
      <c r="N1692" s="106" t="str">
        <f t="shared" si="7"/>
        <v>1</v>
      </c>
      <c r="O1692" s="107" t="str">
        <f t="array" ref="O1692">XLOOKUP(A1692,Data!F:F,Data!O:O)</f>
        <v>  1.77 </v>
      </c>
      <c r="P1692" s="107" t="str">
        <f t="shared" si="8"/>
        <v>  4.43 </v>
      </c>
      <c r="Q1692" s="27"/>
    </row>
    <row r="1693" ht="15.75" customHeight="1">
      <c r="A1693" s="105" t="s">
        <v>1937</v>
      </c>
      <c r="B1693" s="19" t="str">
        <f t="array" ref="B1693">XLOOKUP(A1693,Data!F:F,Data!G:G)</f>
        <v>J2A</v>
      </c>
      <c r="C1693" s="19" t="str">
        <f t="shared" si="3"/>
        <v>J002</v>
      </c>
      <c r="D1693" s="19" t="str">
        <f t="array" ref="D1693">XLOOKUP(A1693,Data!F:F,Data!C:C)</f>
        <v/>
      </c>
      <c r="E1693" s="19" t="str">
        <f t="array" ref="E1693">XLOOKUP(A1693,Data!F:F,Data!H:H)</f>
        <v>BW</v>
      </c>
      <c r="F1693" s="106" t="str">
        <f>SUMIFS(Data!J:J,Data!F:F,A1693)</f>
        <v>1</v>
      </c>
      <c r="G1693" s="106" t="str">
        <f>SUMIFS(Cast!C:C,CastElements,A1693)</f>
        <v>1</v>
      </c>
      <c r="H1693" s="106" t="str">
        <f t="shared" si="4"/>
        <v>0</v>
      </c>
      <c r="I1693" s="106" t="str">
        <f>SUMIFS(Del!C:C,Del!B:B,A1693)</f>
        <v>0</v>
      </c>
      <c r="J1693" s="106" t="str">
        <f t="shared" si="5"/>
        <v>1</v>
      </c>
      <c r="K1693" s="106" t="str">
        <f t="shared" si="6"/>
        <v>1</v>
      </c>
      <c r="L1693" s="106"/>
      <c r="M1693" s="106" t="str">
        <f>SUMIFS(Ere!C:C,Ere!B:B,A1693)</f>
        <v>0</v>
      </c>
      <c r="N1693" s="106" t="str">
        <f t="shared" si="7"/>
        <v>1</v>
      </c>
      <c r="O1693" s="107" t="str">
        <f t="array" ref="O1693">XLOOKUP(A1693,Data!F:F,Data!O:O)</f>
        <v>  1.77 </v>
      </c>
      <c r="P1693" s="107" t="str">
        <f t="shared" si="8"/>
        <v>  4.43 </v>
      </c>
      <c r="Q1693" s="27"/>
    </row>
    <row r="1694" ht="15.75" customHeight="1">
      <c r="A1694" s="105" t="s">
        <v>1938</v>
      </c>
      <c r="B1694" s="19" t="str">
        <f t="array" ref="B1694">XLOOKUP(A1694,Data!F:F,Data!G:G)</f>
        <v>J2A</v>
      </c>
      <c r="C1694" s="19" t="str">
        <f t="shared" si="3"/>
        <v>J002</v>
      </c>
      <c r="D1694" s="19" t="str">
        <f t="array" ref="D1694">XLOOKUP(A1694,Data!F:F,Data!C:C)</f>
        <v/>
      </c>
      <c r="E1694" s="19" t="str">
        <f t="array" ref="E1694">XLOOKUP(A1694,Data!F:F,Data!H:H)</f>
        <v>BW</v>
      </c>
      <c r="F1694" s="106" t="str">
        <f>SUMIFS(Data!J:J,Data!F:F,A1694)</f>
        <v>1</v>
      </c>
      <c r="G1694" s="106" t="str">
        <f>SUMIFS(Cast!C:C,CastElements,A1694)</f>
        <v>1</v>
      </c>
      <c r="H1694" s="106" t="str">
        <f t="shared" si="4"/>
        <v>0</v>
      </c>
      <c r="I1694" s="106" t="str">
        <f>SUMIFS(Del!C:C,Del!B:B,A1694)</f>
        <v>0</v>
      </c>
      <c r="J1694" s="106" t="str">
        <f t="shared" si="5"/>
        <v>1</v>
      </c>
      <c r="K1694" s="106" t="str">
        <f t="shared" si="6"/>
        <v>1</v>
      </c>
      <c r="L1694" s="106"/>
      <c r="M1694" s="106" t="str">
        <f>SUMIFS(Ere!C:C,Ere!B:B,A1694)</f>
        <v>0</v>
      </c>
      <c r="N1694" s="106" t="str">
        <f t="shared" si="7"/>
        <v>1</v>
      </c>
      <c r="O1694" s="107" t="str">
        <f t="array" ref="O1694">XLOOKUP(A1694,Data!F:F,Data!O:O)</f>
        <v>  1.77 </v>
      </c>
      <c r="P1694" s="107" t="str">
        <f t="shared" si="8"/>
        <v>  4.43 </v>
      </c>
      <c r="Q1694" s="27"/>
    </row>
    <row r="1695" ht="15.75" customHeight="1">
      <c r="A1695" s="105" t="s">
        <v>1939</v>
      </c>
      <c r="B1695" s="19" t="str">
        <f t="array" ref="B1695">XLOOKUP(A1695,Data!F:F,Data!G:G)</f>
        <v>J2A</v>
      </c>
      <c r="C1695" s="19" t="str">
        <f t="shared" si="3"/>
        <v>J002</v>
      </c>
      <c r="D1695" s="19" t="str">
        <f t="array" ref="D1695">XLOOKUP(A1695,Data!F:F,Data!C:C)</f>
        <v/>
      </c>
      <c r="E1695" s="19" t="str">
        <f t="array" ref="E1695">XLOOKUP(A1695,Data!F:F,Data!H:H)</f>
        <v>BW</v>
      </c>
      <c r="F1695" s="106" t="str">
        <f>SUMIFS(Data!J:J,Data!F:F,A1695)</f>
        <v>1</v>
      </c>
      <c r="G1695" s="106" t="str">
        <f>SUMIFS(Cast!C:C,CastElements,A1695)</f>
        <v>1</v>
      </c>
      <c r="H1695" s="106" t="str">
        <f t="shared" si="4"/>
        <v>0</v>
      </c>
      <c r="I1695" s="106" t="str">
        <f>SUMIFS(Del!C:C,Del!B:B,A1695)</f>
        <v>0</v>
      </c>
      <c r="J1695" s="106" t="str">
        <f t="shared" si="5"/>
        <v>1</v>
      </c>
      <c r="K1695" s="106" t="str">
        <f t="shared" si="6"/>
        <v>1</v>
      </c>
      <c r="L1695" s="106"/>
      <c r="M1695" s="106" t="str">
        <f>SUMIFS(Ere!C:C,Ere!B:B,A1695)</f>
        <v>0</v>
      </c>
      <c r="N1695" s="106" t="str">
        <f t="shared" si="7"/>
        <v>1</v>
      </c>
      <c r="O1695" s="107" t="str">
        <f t="array" ref="O1695">XLOOKUP(A1695,Data!F:F,Data!O:O)</f>
        <v>  1.82 </v>
      </c>
      <c r="P1695" s="107" t="str">
        <f t="shared" si="8"/>
        <v>  4.56 </v>
      </c>
      <c r="Q1695" s="27"/>
    </row>
    <row r="1696" ht="15.75" customHeight="1">
      <c r="A1696" s="105" t="s">
        <v>1940</v>
      </c>
      <c r="B1696" s="19" t="str">
        <f t="array" ref="B1696">XLOOKUP(A1696,Data!F:F,Data!G:G)</f>
        <v>J2A</v>
      </c>
      <c r="C1696" s="19" t="str">
        <f t="shared" si="3"/>
        <v>J002</v>
      </c>
      <c r="D1696" s="19" t="str">
        <f t="array" ref="D1696">XLOOKUP(A1696,Data!F:F,Data!C:C)</f>
        <v/>
      </c>
      <c r="E1696" s="19" t="str">
        <f t="array" ref="E1696">XLOOKUP(A1696,Data!F:F,Data!H:H)</f>
        <v>BW</v>
      </c>
      <c r="F1696" s="106" t="str">
        <f>SUMIFS(Data!J:J,Data!F:F,A1696)</f>
        <v>1</v>
      </c>
      <c r="G1696" s="106" t="str">
        <f>SUMIFS(Cast!C:C,CastElements,A1696)</f>
        <v>1</v>
      </c>
      <c r="H1696" s="106" t="str">
        <f t="shared" si="4"/>
        <v>0</v>
      </c>
      <c r="I1696" s="106" t="str">
        <f>SUMIFS(Del!C:C,Del!B:B,A1696)</f>
        <v>0</v>
      </c>
      <c r="J1696" s="106" t="str">
        <f t="shared" si="5"/>
        <v>1</v>
      </c>
      <c r="K1696" s="106" t="str">
        <f t="shared" si="6"/>
        <v>1</v>
      </c>
      <c r="L1696" s="106"/>
      <c r="M1696" s="106" t="str">
        <f>SUMIFS(Ere!C:C,Ere!B:B,A1696)</f>
        <v>0</v>
      </c>
      <c r="N1696" s="106" t="str">
        <f t="shared" si="7"/>
        <v>1</v>
      </c>
      <c r="O1696" s="107" t="str">
        <f t="array" ref="O1696">XLOOKUP(A1696,Data!F:F,Data!O:O)</f>
        <v>  0.43 </v>
      </c>
      <c r="P1696" s="107" t="str">
        <f t="shared" si="8"/>
        <v>  1.07 </v>
      </c>
      <c r="Q1696" s="27"/>
    </row>
    <row r="1697" ht="15.75" customHeight="1">
      <c r="A1697" s="105" t="s">
        <v>1941</v>
      </c>
      <c r="B1697" s="19" t="str">
        <f t="array" ref="B1697">XLOOKUP(A1697,Data!F:F,Data!G:G)</f>
        <v>J2A</v>
      </c>
      <c r="C1697" s="19" t="str">
        <f t="shared" si="3"/>
        <v>J002</v>
      </c>
      <c r="D1697" s="19" t="str">
        <f t="array" ref="D1697">XLOOKUP(A1697,Data!F:F,Data!C:C)</f>
        <v/>
      </c>
      <c r="E1697" s="19" t="str">
        <f t="array" ref="E1697">XLOOKUP(A1697,Data!F:F,Data!H:H)</f>
        <v>BW</v>
      </c>
      <c r="F1697" s="106" t="str">
        <f>SUMIFS(Data!J:J,Data!F:F,A1697)</f>
        <v>1</v>
      </c>
      <c r="G1697" s="106" t="str">
        <f>SUMIFS(Cast!C:C,CastElements,A1697)</f>
        <v>1</v>
      </c>
      <c r="H1697" s="106" t="str">
        <f t="shared" si="4"/>
        <v>0</v>
      </c>
      <c r="I1697" s="106" t="str">
        <f>SUMIFS(Del!C:C,Del!B:B,A1697)</f>
        <v>0</v>
      </c>
      <c r="J1697" s="106" t="str">
        <f t="shared" si="5"/>
        <v>1</v>
      </c>
      <c r="K1697" s="106" t="str">
        <f t="shared" si="6"/>
        <v>1</v>
      </c>
      <c r="L1697" s="106"/>
      <c r="M1697" s="106" t="str">
        <f>SUMIFS(Ere!C:C,Ere!B:B,A1697)</f>
        <v>0</v>
      </c>
      <c r="N1697" s="106" t="str">
        <f t="shared" si="7"/>
        <v>1</v>
      </c>
      <c r="O1697" s="107" t="str">
        <f t="array" ref="O1697">XLOOKUP(A1697,Data!F:F,Data!O:O)</f>
        <v>  0.35 </v>
      </c>
      <c r="P1697" s="107" t="str">
        <f t="shared" si="8"/>
        <v>  0.89 </v>
      </c>
      <c r="Q1697" s="27"/>
    </row>
    <row r="1698" ht="15.75" customHeight="1">
      <c r="A1698" s="105" t="s">
        <v>1942</v>
      </c>
      <c r="B1698" s="19" t="str">
        <f t="array" ref="B1698">XLOOKUP(A1698,Data!F:F,Data!G:G)</f>
        <v>J2A</v>
      </c>
      <c r="C1698" s="19" t="str">
        <f t="shared" si="3"/>
        <v>J002</v>
      </c>
      <c r="D1698" s="19" t="str">
        <f t="array" ref="D1698">XLOOKUP(A1698,Data!F:F,Data!C:C)</f>
        <v/>
      </c>
      <c r="E1698" s="19" t="str">
        <f t="array" ref="E1698">XLOOKUP(A1698,Data!F:F,Data!H:H)</f>
        <v>CF</v>
      </c>
      <c r="F1698" s="106" t="str">
        <f>SUMIFS(Data!J:J,Data!F:F,A1698)</f>
        <v>1</v>
      </c>
      <c r="G1698" s="106" t="str">
        <f>SUMIFS(Cast!C:C,CastElements,A1698)</f>
        <v>1</v>
      </c>
      <c r="H1698" s="106" t="str">
        <f t="shared" si="4"/>
        <v>0</v>
      </c>
      <c r="I1698" s="106" t="str">
        <f>SUMIFS(Del!C:C,Del!B:B,A1698)</f>
        <v>0</v>
      </c>
      <c r="J1698" s="106" t="str">
        <f t="shared" si="5"/>
        <v>1</v>
      </c>
      <c r="K1698" s="106" t="str">
        <f t="shared" si="6"/>
        <v>1</v>
      </c>
      <c r="L1698" s="106"/>
      <c r="M1698" s="106" t="str">
        <f>SUMIFS(Ere!C:C,Ere!B:B,A1698)</f>
        <v>0</v>
      </c>
      <c r="N1698" s="106" t="str">
        <f t="shared" si="7"/>
        <v>1</v>
      </c>
      <c r="O1698" s="107" t="str">
        <f t="array" ref="O1698">XLOOKUP(A1698,Data!F:F,Data!O:O)</f>
        <v>  0.48 </v>
      </c>
      <c r="P1698" s="107" t="str">
        <f t="shared" si="8"/>
        <v>  1.20 </v>
      </c>
      <c r="Q1698" s="27"/>
    </row>
    <row r="1699" ht="15.75" customHeight="1">
      <c r="A1699" s="105" t="s">
        <v>1943</v>
      </c>
      <c r="B1699" s="19" t="str">
        <f t="array" ref="B1699">XLOOKUP(A1699,Data!F:F,Data!G:G)</f>
        <v>J2A</v>
      </c>
      <c r="C1699" s="19" t="str">
        <f t="shared" si="3"/>
        <v>J003</v>
      </c>
      <c r="D1699" s="19" t="str">
        <f t="array" ref="D1699">XLOOKUP(A1699,Data!F:F,Data!C:C)</f>
        <v>EXT</v>
      </c>
      <c r="E1699" s="19" t="str">
        <f t="array" ref="E1699">XLOOKUP(A1699,Data!F:F,Data!H:H)</f>
        <v>BW</v>
      </c>
      <c r="F1699" s="106" t="str">
        <f>SUMIFS(Data!J:J,Data!F:F,A1699)</f>
        <v>1</v>
      </c>
      <c r="G1699" s="106" t="str">
        <f>SUMIFS(Cast!C:C,CastElements,A1699)</f>
        <v>1</v>
      </c>
      <c r="H1699" s="106" t="str">
        <f t="shared" si="4"/>
        <v>0</v>
      </c>
      <c r="I1699" s="106" t="str">
        <f>SUMIFS(Del!C:C,Del!B:B,A1699)</f>
        <v>0</v>
      </c>
      <c r="J1699" s="106" t="str">
        <f t="shared" si="5"/>
        <v>1</v>
      </c>
      <c r="K1699" s="106" t="str">
        <f t="shared" si="6"/>
        <v>1</v>
      </c>
      <c r="L1699" s="106"/>
      <c r="M1699" s="106" t="str">
        <f>SUMIFS(Ere!C:C,Ere!B:B,A1699)</f>
        <v>0</v>
      </c>
      <c r="N1699" s="106" t="str">
        <f t="shared" si="7"/>
        <v>1</v>
      </c>
      <c r="O1699" s="107" t="str">
        <f t="array" ref="O1699">XLOOKUP(A1699,Data!F:F,Data!O:O)</f>
        <v>  0.97 </v>
      </c>
      <c r="P1699" s="107" t="str">
        <f t="shared" si="8"/>
        <v>  2.43 </v>
      </c>
      <c r="Q1699" s="27"/>
    </row>
    <row r="1700" ht="15.75" customHeight="1">
      <c r="A1700" s="105" t="s">
        <v>1944</v>
      </c>
      <c r="B1700" s="19" t="str">
        <f t="array" ref="B1700">XLOOKUP(A1700,Data!F:F,Data!G:G)</f>
        <v>J2A</v>
      </c>
      <c r="C1700" s="19" t="str">
        <f t="shared" si="3"/>
        <v>J003</v>
      </c>
      <c r="D1700" s="19" t="str">
        <f t="array" ref="D1700">XLOOKUP(A1700,Data!F:F,Data!C:C)</f>
        <v>EXT</v>
      </c>
      <c r="E1700" s="19" t="str">
        <f t="array" ref="E1700">XLOOKUP(A1700,Data!F:F,Data!H:H)</f>
        <v>BW</v>
      </c>
      <c r="F1700" s="106" t="str">
        <f>SUMIFS(Data!J:J,Data!F:F,A1700)</f>
        <v>1</v>
      </c>
      <c r="G1700" s="106" t="str">
        <f>SUMIFS(Cast!C:C,CastElements,A1700)</f>
        <v>0</v>
      </c>
      <c r="H1700" s="106" t="str">
        <f t="shared" si="4"/>
        <v>1</v>
      </c>
      <c r="I1700" s="106" t="str">
        <f>SUMIFS(Del!C:C,Del!B:B,A1700)</f>
        <v>0</v>
      </c>
      <c r="J1700" s="106" t="str">
        <f t="shared" si="5"/>
        <v>1</v>
      </c>
      <c r="K1700" s="106" t="str">
        <f t="shared" si="6"/>
        <v>0</v>
      </c>
      <c r="L1700" s="106"/>
      <c r="M1700" s="106" t="str">
        <f>SUMIFS(Ere!C:C,Ere!B:B,A1700)</f>
        <v>0</v>
      </c>
      <c r="N1700" s="106" t="str">
        <f t="shared" si="7"/>
        <v>1</v>
      </c>
      <c r="O1700" s="107" t="str">
        <f t="array" ref="O1700">XLOOKUP(A1700,Data!F:F,Data!O:O)</f>
        <v>  1.04 </v>
      </c>
      <c r="P1700" s="107" t="str">
        <f t="shared" si="8"/>
        <v>  2.61 </v>
      </c>
      <c r="Q1700" s="27"/>
    </row>
    <row r="1701" ht="15.75" customHeight="1">
      <c r="A1701" s="105" t="s">
        <v>1945</v>
      </c>
      <c r="B1701" s="19" t="str">
        <f t="array" ref="B1701">XLOOKUP(A1701,Data!F:F,Data!G:G)</f>
        <v>J2A</v>
      </c>
      <c r="C1701" s="19" t="str">
        <f t="shared" si="3"/>
        <v>J003</v>
      </c>
      <c r="D1701" s="19" t="str">
        <f t="array" ref="D1701">XLOOKUP(A1701,Data!F:F,Data!C:C)</f>
        <v/>
      </c>
      <c r="E1701" s="19" t="str">
        <f t="array" ref="E1701">XLOOKUP(A1701,Data!F:F,Data!H:H)</f>
        <v>BW</v>
      </c>
      <c r="F1701" s="106" t="str">
        <f>SUMIFS(Data!J:J,Data!F:F,A1701)</f>
        <v>1</v>
      </c>
      <c r="G1701" s="106" t="str">
        <f>SUMIFS(Cast!C:C,CastElements,A1701)</f>
        <v>1</v>
      </c>
      <c r="H1701" s="106" t="str">
        <f t="shared" si="4"/>
        <v>0</v>
      </c>
      <c r="I1701" s="106" t="str">
        <f>SUMIFS(Del!C:C,Del!B:B,A1701)</f>
        <v>0</v>
      </c>
      <c r="J1701" s="106" t="str">
        <f t="shared" si="5"/>
        <v>1</v>
      </c>
      <c r="K1701" s="106" t="str">
        <f t="shared" si="6"/>
        <v>1</v>
      </c>
      <c r="L1701" s="106"/>
      <c r="M1701" s="106" t="str">
        <f>SUMIFS(Ere!C:C,Ere!B:B,A1701)</f>
        <v>0</v>
      </c>
      <c r="N1701" s="106" t="str">
        <f t="shared" si="7"/>
        <v>1</v>
      </c>
      <c r="O1701" s="107" t="str">
        <f t="array" ref="O1701">XLOOKUP(A1701,Data!F:F,Data!O:O)</f>
        <v>  0.43 </v>
      </c>
      <c r="P1701" s="107" t="str">
        <f t="shared" si="8"/>
        <v>  1.07 </v>
      </c>
      <c r="Q1701" s="27"/>
    </row>
    <row r="1702" ht="15.75" customHeight="1">
      <c r="A1702" s="105" t="s">
        <v>1946</v>
      </c>
      <c r="B1702" s="19" t="str">
        <f t="array" ref="B1702">XLOOKUP(A1702,Data!F:F,Data!G:G)</f>
        <v>J2A</v>
      </c>
      <c r="C1702" s="19" t="str">
        <f t="shared" si="3"/>
        <v>J003</v>
      </c>
      <c r="D1702" s="19" t="str">
        <f t="array" ref="D1702">XLOOKUP(A1702,Data!F:F,Data!C:C)</f>
        <v>EXT</v>
      </c>
      <c r="E1702" s="19" t="str">
        <f t="array" ref="E1702">XLOOKUP(A1702,Data!F:F,Data!H:H)</f>
        <v>BW</v>
      </c>
      <c r="F1702" s="106" t="str">
        <f>SUMIFS(Data!J:J,Data!F:F,A1702)</f>
        <v>1</v>
      </c>
      <c r="G1702" s="106" t="str">
        <f>SUMIFS(Cast!C:C,CastElements,A1702)</f>
        <v>1</v>
      </c>
      <c r="H1702" s="106" t="str">
        <f t="shared" si="4"/>
        <v>0</v>
      </c>
      <c r="I1702" s="106" t="str">
        <f>SUMIFS(Del!C:C,Del!B:B,A1702)</f>
        <v>0</v>
      </c>
      <c r="J1702" s="106" t="str">
        <f t="shared" si="5"/>
        <v>1</v>
      </c>
      <c r="K1702" s="106" t="str">
        <f t="shared" si="6"/>
        <v>1</v>
      </c>
      <c r="L1702" s="106"/>
      <c r="M1702" s="106" t="str">
        <f>SUMIFS(Ere!C:C,Ere!B:B,A1702)</f>
        <v>0</v>
      </c>
      <c r="N1702" s="106" t="str">
        <f t="shared" si="7"/>
        <v>1</v>
      </c>
      <c r="O1702" s="107" t="str">
        <f t="array" ref="O1702">XLOOKUP(A1702,Data!F:F,Data!O:O)</f>
        <v>  0.92 </v>
      </c>
      <c r="P1702" s="107" t="str">
        <f t="shared" si="8"/>
        <v>  2.30 </v>
      </c>
      <c r="Q1702" s="27"/>
    </row>
    <row r="1703" ht="15.75" customHeight="1">
      <c r="A1703" s="105" t="s">
        <v>1947</v>
      </c>
      <c r="B1703" s="19" t="str">
        <f t="array" ref="B1703">XLOOKUP(A1703,Data!F:F,Data!G:G)</f>
        <v>J2A</v>
      </c>
      <c r="C1703" s="19" t="str">
        <f t="shared" si="3"/>
        <v>J003</v>
      </c>
      <c r="D1703" s="19" t="str">
        <f t="array" ref="D1703">XLOOKUP(A1703,Data!F:F,Data!C:C)</f>
        <v/>
      </c>
      <c r="E1703" s="19" t="str">
        <f t="array" ref="E1703">XLOOKUP(A1703,Data!F:F,Data!H:H)</f>
        <v>BW</v>
      </c>
      <c r="F1703" s="106" t="str">
        <f>SUMIFS(Data!J:J,Data!F:F,A1703)</f>
        <v>1</v>
      </c>
      <c r="G1703" s="106" t="str">
        <f>SUMIFS(Cast!C:C,CastElements,A1703)</f>
        <v>1</v>
      </c>
      <c r="H1703" s="106" t="str">
        <f t="shared" si="4"/>
        <v>0</v>
      </c>
      <c r="I1703" s="106" t="str">
        <f>SUMIFS(Del!C:C,Del!B:B,A1703)</f>
        <v>0</v>
      </c>
      <c r="J1703" s="106" t="str">
        <f t="shared" si="5"/>
        <v>1</v>
      </c>
      <c r="K1703" s="106" t="str">
        <f t="shared" si="6"/>
        <v>1</v>
      </c>
      <c r="L1703" s="106"/>
      <c r="M1703" s="106" t="str">
        <f>SUMIFS(Ere!C:C,Ere!B:B,A1703)</f>
        <v>0</v>
      </c>
      <c r="N1703" s="106" t="str">
        <f t="shared" si="7"/>
        <v>1</v>
      </c>
      <c r="O1703" s="107" t="str">
        <f t="array" ref="O1703">XLOOKUP(A1703,Data!F:F,Data!O:O)</f>
        <v>  1.53 </v>
      </c>
      <c r="P1703" s="107" t="str">
        <f t="shared" si="8"/>
        <v>  3.82 </v>
      </c>
      <c r="Q1703" s="27"/>
    </row>
    <row r="1704" ht="15.75" customHeight="1">
      <c r="A1704" s="105" t="s">
        <v>1948</v>
      </c>
      <c r="B1704" s="19" t="str">
        <f t="array" ref="B1704">XLOOKUP(A1704,Data!F:F,Data!G:G)</f>
        <v>J2A</v>
      </c>
      <c r="C1704" s="19" t="str">
        <f t="shared" si="3"/>
        <v>J003</v>
      </c>
      <c r="D1704" s="19" t="str">
        <f t="array" ref="D1704">XLOOKUP(A1704,Data!F:F,Data!C:C)</f>
        <v/>
      </c>
      <c r="E1704" s="19" t="str">
        <f t="array" ref="E1704">XLOOKUP(A1704,Data!F:F,Data!H:H)</f>
        <v>BW</v>
      </c>
      <c r="F1704" s="106" t="str">
        <f>SUMIFS(Data!J:J,Data!F:F,A1704)</f>
        <v>1</v>
      </c>
      <c r="G1704" s="106" t="str">
        <f>SUMIFS(Cast!C:C,CastElements,A1704)</f>
        <v>1</v>
      </c>
      <c r="H1704" s="106" t="str">
        <f t="shared" si="4"/>
        <v>0</v>
      </c>
      <c r="I1704" s="106" t="str">
        <f>SUMIFS(Del!C:C,Del!B:B,A1704)</f>
        <v>0</v>
      </c>
      <c r="J1704" s="106" t="str">
        <f t="shared" si="5"/>
        <v>1</v>
      </c>
      <c r="K1704" s="106" t="str">
        <f t="shared" si="6"/>
        <v>1</v>
      </c>
      <c r="L1704" s="106"/>
      <c r="M1704" s="106" t="str">
        <f>SUMIFS(Ere!C:C,Ere!B:B,A1704)</f>
        <v>0</v>
      </c>
      <c r="N1704" s="106" t="str">
        <f t="shared" si="7"/>
        <v>1</v>
      </c>
      <c r="O1704" s="107" t="str">
        <f t="array" ref="O1704">XLOOKUP(A1704,Data!F:F,Data!O:O)</f>
        <v>  1.85 </v>
      </c>
      <c r="P1704" s="107" t="str">
        <f t="shared" si="8"/>
        <v>  4.63 </v>
      </c>
      <c r="Q1704" s="27"/>
    </row>
    <row r="1705" ht="15.75" customHeight="1">
      <c r="A1705" s="105" t="s">
        <v>1949</v>
      </c>
      <c r="B1705" s="19" t="str">
        <f t="array" ref="B1705">XLOOKUP(A1705,Data!F:F,Data!G:G)</f>
        <v>J2A</v>
      </c>
      <c r="C1705" s="19" t="str">
        <f t="shared" si="3"/>
        <v>J003</v>
      </c>
      <c r="D1705" s="19" t="str">
        <f t="array" ref="D1705">XLOOKUP(A1705,Data!F:F,Data!C:C)</f>
        <v/>
      </c>
      <c r="E1705" s="19" t="str">
        <f t="array" ref="E1705">XLOOKUP(A1705,Data!F:F,Data!H:H)</f>
        <v>BW</v>
      </c>
      <c r="F1705" s="106" t="str">
        <f>SUMIFS(Data!J:J,Data!F:F,A1705)</f>
        <v>1</v>
      </c>
      <c r="G1705" s="106" t="str">
        <f>SUMIFS(Cast!C:C,CastElements,A1705)</f>
        <v>1</v>
      </c>
      <c r="H1705" s="106" t="str">
        <f t="shared" si="4"/>
        <v>0</v>
      </c>
      <c r="I1705" s="106" t="str">
        <f>SUMIFS(Del!C:C,Del!B:B,A1705)</f>
        <v>0</v>
      </c>
      <c r="J1705" s="106" t="str">
        <f t="shared" si="5"/>
        <v>1</v>
      </c>
      <c r="K1705" s="106" t="str">
        <f t="shared" si="6"/>
        <v>1</v>
      </c>
      <c r="L1705" s="106"/>
      <c r="M1705" s="106" t="str">
        <f>SUMIFS(Ere!C:C,Ere!B:B,A1705)</f>
        <v>0</v>
      </c>
      <c r="N1705" s="106" t="str">
        <f t="shared" si="7"/>
        <v>1</v>
      </c>
      <c r="O1705" s="107" t="str">
        <f t="array" ref="O1705">XLOOKUP(A1705,Data!F:F,Data!O:O)</f>
        <v>  1.85 </v>
      </c>
      <c r="P1705" s="107" t="str">
        <f t="shared" si="8"/>
        <v>  4.63 </v>
      </c>
      <c r="Q1705" s="27"/>
    </row>
    <row r="1706" ht="15.75" customHeight="1">
      <c r="A1706" s="105" t="s">
        <v>1950</v>
      </c>
      <c r="B1706" s="19" t="str">
        <f t="array" ref="B1706">XLOOKUP(A1706,Data!F:F,Data!G:G)</f>
        <v>J2A</v>
      </c>
      <c r="C1706" s="19" t="str">
        <f t="shared" si="3"/>
        <v>J003</v>
      </c>
      <c r="D1706" s="19" t="str">
        <f t="array" ref="D1706">XLOOKUP(A1706,Data!F:F,Data!C:C)</f>
        <v/>
      </c>
      <c r="E1706" s="19" t="str">
        <f t="array" ref="E1706">XLOOKUP(A1706,Data!F:F,Data!H:H)</f>
        <v>BW</v>
      </c>
      <c r="F1706" s="106" t="str">
        <f>SUMIFS(Data!J:J,Data!F:F,A1706)</f>
        <v>1</v>
      </c>
      <c r="G1706" s="106" t="str">
        <f>SUMIFS(Cast!C:C,CastElements,A1706)</f>
        <v>1</v>
      </c>
      <c r="H1706" s="106" t="str">
        <f t="shared" si="4"/>
        <v>0</v>
      </c>
      <c r="I1706" s="106" t="str">
        <f>SUMIFS(Del!C:C,Del!B:B,A1706)</f>
        <v>0</v>
      </c>
      <c r="J1706" s="106" t="str">
        <f t="shared" si="5"/>
        <v>1</v>
      </c>
      <c r="K1706" s="106" t="str">
        <f t="shared" si="6"/>
        <v>1</v>
      </c>
      <c r="L1706" s="106"/>
      <c r="M1706" s="106" t="str">
        <f>SUMIFS(Ere!C:C,Ere!B:B,A1706)</f>
        <v>0</v>
      </c>
      <c r="N1706" s="106" t="str">
        <f t="shared" si="7"/>
        <v>1</v>
      </c>
      <c r="O1706" s="107" t="str">
        <f t="array" ref="O1706">XLOOKUP(A1706,Data!F:F,Data!O:O)</f>
        <v>  1.85 </v>
      </c>
      <c r="P1706" s="107" t="str">
        <f t="shared" si="8"/>
        <v>  4.63 </v>
      </c>
      <c r="Q1706" s="27"/>
    </row>
    <row r="1707" ht="15.75" customHeight="1">
      <c r="A1707" s="105" t="s">
        <v>1951</v>
      </c>
      <c r="B1707" s="19" t="str">
        <f t="array" ref="B1707">XLOOKUP(A1707,Data!F:F,Data!G:G)</f>
        <v>J2A</v>
      </c>
      <c r="C1707" s="19" t="str">
        <f t="shared" si="3"/>
        <v>J003</v>
      </c>
      <c r="D1707" s="19" t="str">
        <f t="array" ref="D1707">XLOOKUP(A1707,Data!F:F,Data!C:C)</f>
        <v/>
      </c>
      <c r="E1707" s="19" t="str">
        <f t="array" ref="E1707">XLOOKUP(A1707,Data!F:F,Data!H:H)</f>
        <v>BW</v>
      </c>
      <c r="F1707" s="106" t="str">
        <f>SUMIFS(Data!J:J,Data!F:F,A1707)</f>
        <v>1</v>
      </c>
      <c r="G1707" s="106" t="str">
        <f>SUMIFS(Cast!C:C,CastElements,A1707)</f>
        <v>1</v>
      </c>
      <c r="H1707" s="106" t="str">
        <f t="shared" si="4"/>
        <v>0</v>
      </c>
      <c r="I1707" s="106" t="str">
        <f>SUMIFS(Del!C:C,Del!B:B,A1707)</f>
        <v>0</v>
      </c>
      <c r="J1707" s="106" t="str">
        <f t="shared" si="5"/>
        <v>1</v>
      </c>
      <c r="K1707" s="106" t="str">
        <f t="shared" si="6"/>
        <v>1</v>
      </c>
      <c r="L1707" s="106"/>
      <c r="M1707" s="106" t="str">
        <f>SUMIFS(Ere!C:C,Ere!B:B,A1707)</f>
        <v>0</v>
      </c>
      <c r="N1707" s="106" t="str">
        <f t="shared" si="7"/>
        <v>1</v>
      </c>
      <c r="O1707" s="107" t="str">
        <f t="array" ref="O1707">XLOOKUP(A1707,Data!F:F,Data!O:O)</f>
        <v>  1.54 </v>
      </c>
      <c r="P1707" s="107" t="str">
        <f t="shared" si="8"/>
        <v>  3.85 </v>
      </c>
      <c r="Q1707" s="27"/>
    </row>
    <row r="1708" ht="15.75" customHeight="1">
      <c r="A1708" s="105" t="s">
        <v>1952</v>
      </c>
      <c r="B1708" s="19" t="str">
        <f t="array" ref="B1708">XLOOKUP(A1708,Data!F:F,Data!G:G)</f>
        <v>J2A</v>
      </c>
      <c r="C1708" s="19" t="str">
        <f t="shared" si="3"/>
        <v>J003</v>
      </c>
      <c r="D1708" s="19" t="str">
        <f t="array" ref="D1708">XLOOKUP(A1708,Data!F:F,Data!C:C)</f>
        <v/>
      </c>
      <c r="E1708" s="19" t="str">
        <f t="array" ref="E1708">XLOOKUP(A1708,Data!F:F,Data!H:H)</f>
        <v>BW</v>
      </c>
      <c r="F1708" s="106" t="str">
        <f>SUMIFS(Data!J:J,Data!F:F,A1708)</f>
        <v>1</v>
      </c>
      <c r="G1708" s="106" t="str">
        <f>SUMIFS(Cast!C:C,CastElements,A1708)</f>
        <v>1</v>
      </c>
      <c r="H1708" s="106" t="str">
        <f t="shared" si="4"/>
        <v>0</v>
      </c>
      <c r="I1708" s="106" t="str">
        <f>SUMIFS(Del!C:C,Del!B:B,A1708)</f>
        <v>0</v>
      </c>
      <c r="J1708" s="106" t="str">
        <f t="shared" si="5"/>
        <v>1</v>
      </c>
      <c r="K1708" s="106" t="str">
        <f t="shared" si="6"/>
        <v>1</v>
      </c>
      <c r="L1708" s="106"/>
      <c r="M1708" s="106" t="str">
        <f>SUMIFS(Ere!C:C,Ere!B:B,A1708)</f>
        <v>0</v>
      </c>
      <c r="N1708" s="106" t="str">
        <f t="shared" si="7"/>
        <v>1</v>
      </c>
      <c r="O1708" s="107" t="str">
        <f t="array" ref="O1708">XLOOKUP(A1708,Data!F:F,Data!O:O)</f>
        <v>  1.52 </v>
      </c>
      <c r="P1708" s="107" t="str">
        <f t="shared" si="8"/>
        <v>  3.81 </v>
      </c>
      <c r="Q1708" s="27"/>
    </row>
    <row r="1709" ht="15.75" customHeight="1">
      <c r="A1709" s="105" t="s">
        <v>1953</v>
      </c>
      <c r="B1709" s="19" t="str">
        <f t="array" ref="B1709">XLOOKUP(A1709,Data!F:F,Data!G:G)</f>
        <v>J2A</v>
      </c>
      <c r="C1709" s="19" t="str">
        <f t="shared" si="3"/>
        <v>J003</v>
      </c>
      <c r="D1709" s="19" t="str">
        <f t="array" ref="D1709">XLOOKUP(A1709,Data!F:F,Data!C:C)</f>
        <v/>
      </c>
      <c r="E1709" s="19" t="str">
        <f t="array" ref="E1709">XLOOKUP(A1709,Data!F:F,Data!H:H)</f>
        <v>BW</v>
      </c>
      <c r="F1709" s="106" t="str">
        <f>SUMIFS(Data!J:J,Data!F:F,A1709)</f>
        <v>1</v>
      </c>
      <c r="G1709" s="106" t="str">
        <f>SUMIFS(Cast!C:C,CastElements,A1709)</f>
        <v>1</v>
      </c>
      <c r="H1709" s="106" t="str">
        <f t="shared" si="4"/>
        <v>0</v>
      </c>
      <c r="I1709" s="106" t="str">
        <f>SUMIFS(Del!C:C,Del!B:B,A1709)</f>
        <v>0</v>
      </c>
      <c r="J1709" s="106" t="str">
        <f t="shared" si="5"/>
        <v>1</v>
      </c>
      <c r="K1709" s="106" t="str">
        <f t="shared" si="6"/>
        <v>1</v>
      </c>
      <c r="L1709" s="106"/>
      <c r="M1709" s="106" t="str">
        <f>SUMIFS(Ere!C:C,Ere!B:B,A1709)</f>
        <v>0</v>
      </c>
      <c r="N1709" s="106" t="str">
        <f t="shared" si="7"/>
        <v>1</v>
      </c>
      <c r="O1709" s="107" t="str">
        <f t="array" ref="O1709">XLOOKUP(A1709,Data!F:F,Data!O:O)</f>
        <v>  1.82 </v>
      </c>
      <c r="P1709" s="107" t="str">
        <f t="shared" si="8"/>
        <v>  4.56 </v>
      </c>
      <c r="Q1709" s="27"/>
    </row>
    <row r="1710" ht="15.75" customHeight="1">
      <c r="A1710" s="105" t="s">
        <v>1954</v>
      </c>
      <c r="B1710" s="19" t="str">
        <f t="array" ref="B1710">XLOOKUP(A1710,Data!F:F,Data!G:G)</f>
        <v>J2A</v>
      </c>
      <c r="C1710" s="19" t="str">
        <f t="shared" si="3"/>
        <v>J003</v>
      </c>
      <c r="D1710" s="19" t="str">
        <f t="array" ref="D1710">XLOOKUP(A1710,Data!F:F,Data!C:C)</f>
        <v/>
      </c>
      <c r="E1710" s="19" t="str">
        <f t="array" ref="E1710">XLOOKUP(A1710,Data!F:F,Data!H:H)</f>
        <v>BW</v>
      </c>
      <c r="F1710" s="106" t="str">
        <f>SUMIFS(Data!J:J,Data!F:F,A1710)</f>
        <v>1</v>
      </c>
      <c r="G1710" s="106" t="str">
        <f>SUMIFS(Cast!C:C,CastElements,A1710)</f>
        <v>1</v>
      </c>
      <c r="H1710" s="106" t="str">
        <f t="shared" si="4"/>
        <v>0</v>
      </c>
      <c r="I1710" s="106" t="str">
        <f>SUMIFS(Del!C:C,Del!B:B,A1710)</f>
        <v>0</v>
      </c>
      <c r="J1710" s="106" t="str">
        <f t="shared" si="5"/>
        <v>1</v>
      </c>
      <c r="K1710" s="106" t="str">
        <f t="shared" si="6"/>
        <v>1</v>
      </c>
      <c r="L1710" s="106"/>
      <c r="M1710" s="106" t="str">
        <f>SUMIFS(Ere!C:C,Ere!B:B,A1710)</f>
        <v>0</v>
      </c>
      <c r="N1710" s="106" t="str">
        <f t="shared" si="7"/>
        <v>1</v>
      </c>
      <c r="O1710" s="107" t="str">
        <f t="array" ref="O1710">XLOOKUP(A1710,Data!F:F,Data!O:O)</f>
        <v>  1.82 </v>
      </c>
      <c r="P1710" s="107" t="str">
        <f t="shared" si="8"/>
        <v>  4.56 </v>
      </c>
      <c r="Q1710" s="27"/>
    </row>
    <row r="1711" ht="15.75" customHeight="1">
      <c r="A1711" s="105" t="s">
        <v>1955</v>
      </c>
      <c r="B1711" s="19" t="str">
        <f t="array" ref="B1711">XLOOKUP(A1711,Data!F:F,Data!G:G)</f>
        <v>J2A</v>
      </c>
      <c r="C1711" s="19" t="str">
        <f t="shared" si="3"/>
        <v>J003</v>
      </c>
      <c r="D1711" s="19" t="str">
        <f t="array" ref="D1711">XLOOKUP(A1711,Data!F:F,Data!C:C)</f>
        <v/>
      </c>
      <c r="E1711" s="19" t="str">
        <f t="array" ref="E1711">XLOOKUP(A1711,Data!F:F,Data!H:H)</f>
        <v>BW</v>
      </c>
      <c r="F1711" s="106" t="str">
        <f>SUMIFS(Data!J:J,Data!F:F,A1711)</f>
        <v>1</v>
      </c>
      <c r="G1711" s="106" t="str">
        <f>SUMIFS(Cast!C:C,CastElements,A1711)</f>
        <v>1</v>
      </c>
      <c r="H1711" s="106" t="str">
        <f t="shared" si="4"/>
        <v>0</v>
      </c>
      <c r="I1711" s="106" t="str">
        <f>SUMIFS(Del!C:C,Del!B:B,A1711)</f>
        <v>0</v>
      </c>
      <c r="J1711" s="106" t="str">
        <f t="shared" si="5"/>
        <v>1</v>
      </c>
      <c r="K1711" s="106" t="str">
        <f t="shared" si="6"/>
        <v>1</v>
      </c>
      <c r="L1711" s="106"/>
      <c r="M1711" s="106" t="str">
        <f>SUMIFS(Ere!C:C,Ere!B:B,A1711)</f>
        <v>0</v>
      </c>
      <c r="N1711" s="106" t="str">
        <f t="shared" si="7"/>
        <v>1</v>
      </c>
      <c r="O1711" s="107" t="str">
        <f t="array" ref="O1711">XLOOKUP(A1711,Data!F:F,Data!O:O)</f>
        <v>  1.82 </v>
      </c>
      <c r="P1711" s="107" t="str">
        <f t="shared" si="8"/>
        <v>  4.56 </v>
      </c>
      <c r="Q1711" s="27"/>
    </row>
    <row r="1712" ht="15.75" customHeight="1">
      <c r="A1712" s="105" t="s">
        <v>1956</v>
      </c>
      <c r="B1712" s="19" t="str">
        <f t="array" ref="B1712">XLOOKUP(A1712,Data!F:F,Data!G:G)</f>
        <v>J2A</v>
      </c>
      <c r="C1712" s="19" t="str">
        <f t="shared" si="3"/>
        <v>J003</v>
      </c>
      <c r="D1712" s="19" t="str">
        <f t="array" ref="D1712">XLOOKUP(A1712,Data!F:F,Data!C:C)</f>
        <v/>
      </c>
      <c r="E1712" s="19" t="str">
        <f t="array" ref="E1712">XLOOKUP(A1712,Data!F:F,Data!H:H)</f>
        <v>BW</v>
      </c>
      <c r="F1712" s="106" t="str">
        <f>SUMIFS(Data!J:J,Data!F:F,A1712)</f>
        <v>1</v>
      </c>
      <c r="G1712" s="106" t="str">
        <f>SUMIFS(Cast!C:C,CastElements,A1712)</f>
        <v>1</v>
      </c>
      <c r="H1712" s="106" t="str">
        <f t="shared" si="4"/>
        <v>0</v>
      </c>
      <c r="I1712" s="106" t="str">
        <f>SUMIFS(Del!C:C,Del!B:B,A1712)</f>
        <v>0</v>
      </c>
      <c r="J1712" s="106" t="str">
        <f t="shared" si="5"/>
        <v>1</v>
      </c>
      <c r="K1712" s="106" t="str">
        <f t="shared" si="6"/>
        <v>1</v>
      </c>
      <c r="L1712" s="106"/>
      <c r="M1712" s="106" t="str">
        <f>SUMIFS(Ere!C:C,Ere!B:B,A1712)</f>
        <v>0</v>
      </c>
      <c r="N1712" s="106" t="str">
        <f t="shared" si="7"/>
        <v>1</v>
      </c>
      <c r="O1712" s="107" t="str">
        <f t="array" ref="O1712">XLOOKUP(A1712,Data!F:F,Data!O:O)</f>
        <v>  1.94 </v>
      </c>
      <c r="P1712" s="107" t="str">
        <f t="shared" si="8"/>
        <v>  4.86 </v>
      </c>
      <c r="Q1712" s="27"/>
    </row>
    <row r="1713" ht="15.75" customHeight="1">
      <c r="A1713" s="105" t="s">
        <v>1957</v>
      </c>
      <c r="B1713" s="19" t="str">
        <f t="array" ref="B1713">XLOOKUP(A1713,Data!F:F,Data!G:G)</f>
        <v>J2A</v>
      </c>
      <c r="C1713" s="19" t="str">
        <f t="shared" si="3"/>
        <v>J003</v>
      </c>
      <c r="D1713" s="19" t="str">
        <f t="array" ref="D1713">XLOOKUP(A1713,Data!F:F,Data!C:C)</f>
        <v/>
      </c>
      <c r="E1713" s="19" t="str">
        <f t="array" ref="E1713">XLOOKUP(A1713,Data!F:F,Data!H:H)</f>
        <v>BW</v>
      </c>
      <c r="F1713" s="106" t="str">
        <f>SUMIFS(Data!J:J,Data!F:F,A1713)</f>
        <v>1</v>
      </c>
      <c r="G1713" s="106" t="str">
        <f>SUMIFS(Cast!C:C,CastElements,A1713)</f>
        <v>1</v>
      </c>
      <c r="H1713" s="106" t="str">
        <f t="shared" si="4"/>
        <v>0</v>
      </c>
      <c r="I1713" s="106" t="str">
        <f>SUMIFS(Del!C:C,Del!B:B,A1713)</f>
        <v>0</v>
      </c>
      <c r="J1713" s="106" t="str">
        <f t="shared" si="5"/>
        <v>1</v>
      </c>
      <c r="K1713" s="106" t="str">
        <f t="shared" si="6"/>
        <v>1</v>
      </c>
      <c r="L1713" s="106"/>
      <c r="M1713" s="106" t="str">
        <f>SUMIFS(Ere!C:C,Ere!B:B,A1713)</f>
        <v>0</v>
      </c>
      <c r="N1713" s="106" t="str">
        <f t="shared" si="7"/>
        <v>1</v>
      </c>
      <c r="O1713" s="107" t="str">
        <f t="array" ref="O1713">XLOOKUP(A1713,Data!F:F,Data!O:O)</f>
        <v>  0.31 </v>
      </c>
      <c r="P1713" s="107" t="str">
        <f t="shared" si="8"/>
        <v>  0.78 </v>
      </c>
      <c r="Q1713" s="27"/>
    </row>
    <row r="1714" ht="15.75" customHeight="1">
      <c r="A1714" s="105" t="s">
        <v>1958</v>
      </c>
      <c r="B1714" s="19" t="str">
        <f t="array" ref="B1714">XLOOKUP(A1714,Data!F:F,Data!G:G)</f>
        <v>J2A</v>
      </c>
      <c r="C1714" s="19" t="str">
        <f t="shared" si="3"/>
        <v>J003</v>
      </c>
      <c r="D1714" s="19" t="str">
        <f t="array" ref="D1714">XLOOKUP(A1714,Data!F:F,Data!C:C)</f>
        <v/>
      </c>
      <c r="E1714" s="19" t="str">
        <f t="array" ref="E1714">XLOOKUP(A1714,Data!F:F,Data!H:H)</f>
        <v>CF</v>
      </c>
      <c r="F1714" s="106" t="str">
        <f>SUMIFS(Data!J:J,Data!F:F,A1714)</f>
        <v>1</v>
      </c>
      <c r="G1714" s="106" t="str">
        <f>SUMIFS(Cast!C:C,CastElements,A1714)</f>
        <v>1</v>
      </c>
      <c r="H1714" s="106" t="str">
        <f t="shared" si="4"/>
        <v>0</v>
      </c>
      <c r="I1714" s="106" t="str">
        <f>SUMIFS(Del!C:C,Del!B:B,A1714)</f>
        <v>0</v>
      </c>
      <c r="J1714" s="106" t="str">
        <f t="shared" si="5"/>
        <v>1</v>
      </c>
      <c r="K1714" s="106" t="str">
        <f t="shared" si="6"/>
        <v>1</v>
      </c>
      <c r="L1714" s="106"/>
      <c r="M1714" s="106" t="str">
        <f>SUMIFS(Ere!C:C,Ere!B:B,A1714)</f>
        <v>0</v>
      </c>
      <c r="N1714" s="106" t="str">
        <f t="shared" si="7"/>
        <v>1</v>
      </c>
      <c r="O1714" s="107" t="str">
        <f t="array" ref="O1714">XLOOKUP(A1714,Data!F:F,Data!O:O)</f>
        <v>  0.42 </v>
      </c>
      <c r="P1714" s="107" t="str">
        <f t="shared" si="8"/>
        <v>  1.05 </v>
      </c>
      <c r="Q1714" s="27"/>
    </row>
    <row r="1715" ht="15.75" customHeight="1">
      <c r="A1715" s="105" t="s">
        <v>1959</v>
      </c>
      <c r="B1715" s="19" t="str">
        <f t="array" ref="B1715">XLOOKUP(A1715,Data!F:F,Data!G:G)</f>
        <v>J2A</v>
      </c>
      <c r="C1715" s="19" t="str">
        <f t="shared" si="3"/>
        <v>J004</v>
      </c>
      <c r="D1715" s="19" t="str">
        <f t="array" ref="D1715">XLOOKUP(A1715,Data!F:F,Data!C:C)</f>
        <v>EXT</v>
      </c>
      <c r="E1715" s="19" t="str">
        <f t="array" ref="E1715">XLOOKUP(A1715,Data!F:F,Data!H:H)</f>
        <v>BW</v>
      </c>
      <c r="F1715" s="106" t="str">
        <f>SUMIFS(Data!J:J,Data!F:F,A1715)</f>
        <v>1</v>
      </c>
      <c r="G1715" s="106" t="str">
        <f>SUMIFS(Cast!C:C,CastElements,A1715)</f>
        <v>1</v>
      </c>
      <c r="H1715" s="106" t="str">
        <f t="shared" si="4"/>
        <v>0</v>
      </c>
      <c r="I1715" s="106" t="str">
        <f>SUMIFS(Del!C:C,Del!B:B,A1715)</f>
        <v>0</v>
      </c>
      <c r="J1715" s="106" t="str">
        <f t="shared" si="5"/>
        <v>1</v>
      </c>
      <c r="K1715" s="106" t="str">
        <f t="shared" si="6"/>
        <v>1</v>
      </c>
      <c r="L1715" s="106"/>
      <c r="M1715" s="106" t="str">
        <f>SUMIFS(Ere!C:C,Ere!B:B,A1715)</f>
        <v>0</v>
      </c>
      <c r="N1715" s="106" t="str">
        <f t="shared" si="7"/>
        <v>1</v>
      </c>
      <c r="O1715" s="107" t="str">
        <f t="array" ref="O1715">XLOOKUP(A1715,Data!F:F,Data!O:O)</f>
        <v>  0.97 </v>
      </c>
      <c r="P1715" s="107" t="str">
        <f t="shared" si="8"/>
        <v>  2.43 </v>
      </c>
      <c r="Q1715" s="27"/>
    </row>
    <row r="1716" ht="15.75" customHeight="1">
      <c r="A1716" s="105" t="s">
        <v>1960</v>
      </c>
      <c r="B1716" s="19" t="str">
        <f t="array" ref="B1716">XLOOKUP(A1716,Data!F:F,Data!G:G)</f>
        <v>J2A</v>
      </c>
      <c r="C1716" s="19" t="str">
        <f t="shared" si="3"/>
        <v>J004</v>
      </c>
      <c r="D1716" s="19" t="str">
        <f t="array" ref="D1716">XLOOKUP(A1716,Data!F:F,Data!C:C)</f>
        <v>EXT</v>
      </c>
      <c r="E1716" s="19" t="str">
        <f t="array" ref="E1716">XLOOKUP(A1716,Data!F:F,Data!H:H)</f>
        <v>BW</v>
      </c>
      <c r="F1716" s="106" t="str">
        <f>SUMIFS(Data!J:J,Data!F:F,A1716)</f>
        <v>1</v>
      </c>
      <c r="G1716" s="106" t="str">
        <f>SUMIFS(Cast!C:C,CastElements,A1716)</f>
        <v>0</v>
      </c>
      <c r="H1716" s="106" t="str">
        <f t="shared" si="4"/>
        <v>1</v>
      </c>
      <c r="I1716" s="106" t="str">
        <f>SUMIFS(Del!C:C,Del!B:B,A1716)</f>
        <v>0</v>
      </c>
      <c r="J1716" s="106" t="str">
        <f t="shared" si="5"/>
        <v>1</v>
      </c>
      <c r="K1716" s="106" t="str">
        <f t="shared" si="6"/>
        <v>0</v>
      </c>
      <c r="L1716" s="106"/>
      <c r="M1716" s="106" t="str">
        <f>SUMIFS(Ere!C:C,Ere!B:B,A1716)</f>
        <v>0</v>
      </c>
      <c r="N1716" s="106" t="str">
        <f t="shared" si="7"/>
        <v>1</v>
      </c>
      <c r="O1716" s="107" t="str">
        <f t="array" ref="O1716">XLOOKUP(A1716,Data!F:F,Data!O:O)</f>
        <v>  1.04 </v>
      </c>
      <c r="P1716" s="107" t="str">
        <f t="shared" si="8"/>
        <v>  2.61 </v>
      </c>
      <c r="Q1716" s="27"/>
    </row>
    <row r="1717" ht="15.75" customHeight="1">
      <c r="A1717" s="105" t="s">
        <v>1961</v>
      </c>
      <c r="B1717" s="19" t="str">
        <f t="array" ref="B1717">XLOOKUP(A1717,Data!F:F,Data!G:G)</f>
        <v>J2A</v>
      </c>
      <c r="C1717" s="19" t="str">
        <f t="shared" si="3"/>
        <v>J004</v>
      </c>
      <c r="D1717" s="19" t="str">
        <f t="array" ref="D1717">XLOOKUP(A1717,Data!F:F,Data!C:C)</f>
        <v/>
      </c>
      <c r="E1717" s="19" t="str">
        <f t="array" ref="E1717">XLOOKUP(A1717,Data!F:F,Data!H:H)</f>
        <v>BW</v>
      </c>
      <c r="F1717" s="106" t="str">
        <f>SUMIFS(Data!J:J,Data!F:F,A1717)</f>
        <v>1</v>
      </c>
      <c r="G1717" s="106" t="str">
        <f>SUMIFS(Cast!C:C,CastElements,A1717)</f>
        <v>1</v>
      </c>
      <c r="H1717" s="106" t="str">
        <f t="shared" si="4"/>
        <v>0</v>
      </c>
      <c r="I1717" s="106" t="str">
        <f>SUMIFS(Del!C:C,Del!B:B,A1717)</f>
        <v>0</v>
      </c>
      <c r="J1717" s="106" t="str">
        <f t="shared" si="5"/>
        <v>1</v>
      </c>
      <c r="K1717" s="106" t="str">
        <f t="shared" si="6"/>
        <v>1</v>
      </c>
      <c r="L1717" s="106"/>
      <c r="M1717" s="106" t="str">
        <f>SUMIFS(Ere!C:C,Ere!B:B,A1717)</f>
        <v>0</v>
      </c>
      <c r="N1717" s="106" t="str">
        <f t="shared" si="7"/>
        <v>1</v>
      </c>
      <c r="O1717" s="107" t="str">
        <f t="array" ref="O1717">XLOOKUP(A1717,Data!F:F,Data!O:O)</f>
        <v>  0.43 </v>
      </c>
      <c r="P1717" s="107" t="str">
        <f t="shared" si="8"/>
        <v>  1.07 </v>
      </c>
      <c r="Q1717" s="27"/>
    </row>
    <row r="1718" ht="15.75" customHeight="1">
      <c r="A1718" s="105" t="s">
        <v>1962</v>
      </c>
      <c r="B1718" s="19" t="str">
        <f t="array" ref="B1718">XLOOKUP(A1718,Data!F:F,Data!G:G)</f>
        <v>J2A</v>
      </c>
      <c r="C1718" s="19" t="str">
        <f t="shared" si="3"/>
        <v>J004</v>
      </c>
      <c r="D1718" s="19" t="str">
        <f t="array" ref="D1718">XLOOKUP(A1718,Data!F:F,Data!C:C)</f>
        <v>EXT</v>
      </c>
      <c r="E1718" s="19" t="str">
        <f t="array" ref="E1718">XLOOKUP(A1718,Data!F:F,Data!H:H)</f>
        <v>BW</v>
      </c>
      <c r="F1718" s="106" t="str">
        <f>SUMIFS(Data!J:J,Data!F:F,A1718)</f>
        <v>1</v>
      </c>
      <c r="G1718" s="106" t="str">
        <f>SUMIFS(Cast!C:C,CastElements,A1718)</f>
        <v>1</v>
      </c>
      <c r="H1718" s="106" t="str">
        <f t="shared" si="4"/>
        <v>0</v>
      </c>
      <c r="I1718" s="106" t="str">
        <f>SUMIFS(Del!C:C,Del!B:B,A1718)</f>
        <v>0</v>
      </c>
      <c r="J1718" s="106" t="str">
        <f t="shared" si="5"/>
        <v>1</v>
      </c>
      <c r="K1718" s="106" t="str">
        <f t="shared" si="6"/>
        <v>1</v>
      </c>
      <c r="L1718" s="106"/>
      <c r="M1718" s="106" t="str">
        <f>SUMIFS(Ere!C:C,Ere!B:B,A1718)</f>
        <v>0</v>
      </c>
      <c r="N1718" s="106" t="str">
        <f t="shared" si="7"/>
        <v>1</v>
      </c>
      <c r="O1718" s="107" t="str">
        <f t="array" ref="O1718">XLOOKUP(A1718,Data!F:F,Data!O:O)</f>
        <v>  0.92 </v>
      </c>
      <c r="P1718" s="107" t="str">
        <f t="shared" si="8"/>
        <v>  2.31 </v>
      </c>
      <c r="Q1718" s="27"/>
    </row>
    <row r="1719" ht="15.75" customHeight="1">
      <c r="A1719" s="105" t="s">
        <v>1963</v>
      </c>
      <c r="B1719" s="19" t="str">
        <f t="array" ref="B1719">XLOOKUP(A1719,Data!F:F,Data!G:G)</f>
        <v>J2A</v>
      </c>
      <c r="C1719" s="19" t="str">
        <f t="shared" si="3"/>
        <v>J004</v>
      </c>
      <c r="D1719" s="19" t="str">
        <f t="array" ref="D1719">XLOOKUP(A1719,Data!F:F,Data!C:C)</f>
        <v/>
      </c>
      <c r="E1719" s="19" t="str">
        <f t="array" ref="E1719">XLOOKUP(A1719,Data!F:F,Data!H:H)</f>
        <v>BW</v>
      </c>
      <c r="F1719" s="106" t="str">
        <f>SUMIFS(Data!J:J,Data!F:F,A1719)</f>
        <v>1</v>
      </c>
      <c r="G1719" s="106" t="str">
        <f>SUMIFS(Cast!C:C,CastElements,A1719)</f>
        <v>1</v>
      </c>
      <c r="H1719" s="106" t="str">
        <f t="shared" si="4"/>
        <v>0</v>
      </c>
      <c r="I1719" s="106" t="str">
        <f>SUMIFS(Del!C:C,Del!B:B,A1719)</f>
        <v>0</v>
      </c>
      <c r="J1719" s="106" t="str">
        <f t="shared" si="5"/>
        <v>1</v>
      </c>
      <c r="K1719" s="106" t="str">
        <f t="shared" si="6"/>
        <v>1</v>
      </c>
      <c r="L1719" s="106"/>
      <c r="M1719" s="106" t="str">
        <f>SUMIFS(Ere!C:C,Ere!B:B,A1719)</f>
        <v>0</v>
      </c>
      <c r="N1719" s="106" t="str">
        <f t="shared" si="7"/>
        <v>1</v>
      </c>
      <c r="O1719" s="107" t="str">
        <f t="array" ref="O1719">XLOOKUP(A1719,Data!F:F,Data!O:O)</f>
        <v>  1.57 </v>
      </c>
      <c r="P1719" s="107" t="str">
        <f t="shared" si="8"/>
        <v>  3.93 </v>
      </c>
      <c r="Q1719" s="27"/>
    </row>
    <row r="1720" ht="15.75" customHeight="1">
      <c r="A1720" s="105" t="s">
        <v>1964</v>
      </c>
      <c r="B1720" s="19" t="str">
        <f t="array" ref="B1720">XLOOKUP(A1720,Data!F:F,Data!G:G)</f>
        <v>J2A</v>
      </c>
      <c r="C1720" s="19" t="str">
        <f t="shared" si="3"/>
        <v>J004</v>
      </c>
      <c r="D1720" s="19" t="str">
        <f t="array" ref="D1720">XLOOKUP(A1720,Data!F:F,Data!C:C)</f>
        <v/>
      </c>
      <c r="E1720" s="19" t="str">
        <f t="array" ref="E1720">XLOOKUP(A1720,Data!F:F,Data!H:H)</f>
        <v>BW</v>
      </c>
      <c r="F1720" s="106" t="str">
        <f>SUMIFS(Data!J:J,Data!F:F,A1720)</f>
        <v>1</v>
      </c>
      <c r="G1720" s="106" t="str">
        <f>SUMIFS(Cast!C:C,CastElements,A1720)</f>
        <v>1</v>
      </c>
      <c r="H1720" s="106" t="str">
        <f t="shared" si="4"/>
        <v>0</v>
      </c>
      <c r="I1720" s="106" t="str">
        <f>SUMIFS(Del!C:C,Del!B:B,A1720)</f>
        <v>0</v>
      </c>
      <c r="J1720" s="106" t="str">
        <f t="shared" si="5"/>
        <v>1</v>
      </c>
      <c r="K1720" s="106" t="str">
        <f t="shared" si="6"/>
        <v>1</v>
      </c>
      <c r="L1720" s="106"/>
      <c r="M1720" s="106" t="str">
        <f>SUMIFS(Ere!C:C,Ere!B:B,A1720)</f>
        <v>0</v>
      </c>
      <c r="N1720" s="106" t="str">
        <f t="shared" si="7"/>
        <v>1</v>
      </c>
      <c r="O1720" s="107" t="str">
        <f t="array" ref="O1720">XLOOKUP(A1720,Data!F:F,Data!O:O)</f>
        <v>  1.91 </v>
      </c>
      <c r="P1720" s="107" t="str">
        <f t="shared" si="8"/>
        <v>  4.77 </v>
      </c>
      <c r="Q1720" s="27"/>
    </row>
    <row r="1721" ht="15.75" customHeight="1">
      <c r="A1721" s="105" t="s">
        <v>1965</v>
      </c>
      <c r="B1721" s="19" t="str">
        <f t="array" ref="B1721">XLOOKUP(A1721,Data!F:F,Data!G:G)</f>
        <v>J2A</v>
      </c>
      <c r="C1721" s="19" t="str">
        <f t="shared" si="3"/>
        <v>J004</v>
      </c>
      <c r="D1721" s="19" t="str">
        <f t="array" ref="D1721">XLOOKUP(A1721,Data!F:F,Data!C:C)</f>
        <v/>
      </c>
      <c r="E1721" s="19" t="str">
        <f t="array" ref="E1721">XLOOKUP(A1721,Data!F:F,Data!H:H)</f>
        <v>BW</v>
      </c>
      <c r="F1721" s="106" t="str">
        <f>SUMIFS(Data!J:J,Data!F:F,A1721)</f>
        <v>1</v>
      </c>
      <c r="G1721" s="106" t="str">
        <f>SUMIFS(Cast!C:C,CastElements,A1721)</f>
        <v>1</v>
      </c>
      <c r="H1721" s="106" t="str">
        <f t="shared" si="4"/>
        <v>0</v>
      </c>
      <c r="I1721" s="106" t="str">
        <f>SUMIFS(Del!C:C,Del!B:B,A1721)</f>
        <v>0</v>
      </c>
      <c r="J1721" s="106" t="str">
        <f t="shared" si="5"/>
        <v>1</v>
      </c>
      <c r="K1721" s="106" t="str">
        <f t="shared" si="6"/>
        <v>1</v>
      </c>
      <c r="L1721" s="106"/>
      <c r="M1721" s="106" t="str">
        <f>SUMIFS(Ere!C:C,Ere!B:B,A1721)</f>
        <v>0</v>
      </c>
      <c r="N1721" s="106" t="str">
        <f t="shared" si="7"/>
        <v>1</v>
      </c>
      <c r="O1721" s="107" t="str">
        <f t="array" ref="O1721">XLOOKUP(A1721,Data!F:F,Data!O:O)</f>
        <v>  1.91 </v>
      </c>
      <c r="P1721" s="107" t="str">
        <f t="shared" si="8"/>
        <v>  4.77 </v>
      </c>
      <c r="Q1721" s="27"/>
    </row>
    <row r="1722" ht="15.75" customHeight="1">
      <c r="A1722" s="105" t="s">
        <v>1966</v>
      </c>
      <c r="B1722" s="19" t="str">
        <f t="array" ref="B1722">XLOOKUP(A1722,Data!F:F,Data!G:G)</f>
        <v>J2A</v>
      </c>
      <c r="C1722" s="19" t="str">
        <f t="shared" si="3"/>
        <v>J004</v>
      </c>
      <c r="D1722" s="19" t="str">
        <f t="array" ref="D1722">XLOOKUP(A1722,Data!F:F,Data!C:C)</f>
        <v/>
      </c>
      <c r="E1722" s="19" t="str">
        <f t="array" ref="E1722">XLOOKUP(A1722,Data!F:F,Data!H:H)</f>
        <v>BW</v>
      </c>
      <c r="F1722" s="106" t="str">
        <f>SUMIFS(Data!J:J,Data!F:F,A1722)</f>
        <v>1</v>
      </c>
      <c r="G1722" s="106" t="str">
        <f>SUMIFS(Cast!C:C,CastElements,A1722)</f>
        <v>1</v>
      </c>
      <c r="H1722" s="106" t="str">
        <f t="shared" si="4"/>
        <v>0</v>
      </c>
      <c r="I1722" s="106" t="str">
        <f>SUMIFS(Del!C:C,Del!B:B,A1722)</f>
        <v>0</v>
      </c>
      <c r="J1722" s="106" t="str">
        <f t="shared" si="5"/>
        <v>1</v>
      </c>
      <c r="K1722" s="106" t="str">
        <f t="shared" si="6"/>
        <v>1</v>
      </c>
      <c r="L1722" s="106"/>
      <c r="M1722" s="106" t="str">
        <f>SUMIFS(Ere!C:C,Ere!B:B,A1722)</f>
        <v>0</v>
      </c>
      <c r="N1722" s="106" t="str">
        <f t="shared" si="7"/>
        <v>1</v>
      </c>
      <c r="O1722" s="107" t="str">
        <f t="array" ref="O1722">XLOOKUP(A1722,Data!F:F,Data!O:O)</f>
        <v>  1.91 </v>
      </c>
      <c r="P1722" s="107" t="str">
        <f t="shared" si="8"/>
        <v>  4.77 </v>
      </c>
      <c r="Q1722" s="27"/>
    </row>
    <row r="1723" ht="15.75" customHeight="1">
      <c r="A1723" s="105" t="s">
        <v>1967</v>
      </c>
      <c r="B1723" s="19" t="str">
        <f t="array" ref="B1723">XLOOKUP(A1723,Data!F:F,Data!G:G)</f>
        <v>J2A</v>
      </c>
      <c r="C1723" s="19" t="str">
        <f t="shared" si="3"/>
        <v>J004</v>
      </c>
      <c r="D1723" s="19" t="str">
        <f t="array" ref="D1723">XLOOKUP(A1723,Data!F:F,Data!C:C)</f>
        <v/>
      </c>
      <c r="E1723" s="19" t="str">
        <f t="array" ref="E1723">XLOOKUP(A1723,Data!F:F,Data!H:H)</f>
        <v>BW</v>
      </c>
      <c r="F1723" s="106" t="str">
        <f>SUMIFS(Data!J:J,Data!F:F,A1723)</f>
        <v>1</v>
      </c>
      <c r="G1723" s="106" t="str">
        <f>SUMIFS(Cast!C:C,CastElements,A1723)</f>
        <v>1</v>
      </c>
      <c r="H1723" s="106" t="str">
        <f t="shared" si="4"/>
        <v>0</v>
      </c>
      <c r="I1723" s="106" t="str">
        <f>SUMIFS(Del!C:C,Del!B:B,A1723)</f>
        <v>0</v>
      </c>
      <c r="J1723" s="106" t="str">
        <f t="shared" si="5"/>
        <v>1</v>
      </c>
      <c r="K1723" s="106" t="str">
        <f t="shared" si="6"/>
        <v>1</v>
      </c>
      <c r="L1723" s="106"/>
      <c r="M1723" s="106" t="str">
        <f>SUMIFS(Ere!C:C,Ere!B:B,A1723)</f>
        <v>0</v>
      </c>
      <c r="N1723" s="106" t="str">
        <f t="shared" si="7"/>
        <v>1</v>
      </c>
      <c r="O1723" s="107" t="str">
        <f t="array" ref="O1723">XLOOKUP(A1723,Data!F:F,Data!O:O)</f>
        <v>  1.58 </v>
      </c>
      <c r="P1723" s="107" t="str">
        <f t="shared" si="8"/>
        <v>  3.95 </v>
      </c>
      <c r="Q1723" s="27"/>
    </row>
    <row r="1724" ht="15.75" customHeight="1">
      <c r="A1724" s="105" t="s">
        <v>1968</v>
      </c>
      <c r="B1724" s="19" t="str">
        <f t="array" ref="B1724">XLOOKUP(A1724,Data!F:F,Data!G:G)</f>
        <v>J2A</v>
      </c>
      <c r="C1724" s="19" t="str">
        <f t="shared" si="3"/>
        <v>J004</v>
      </c>
      <c r="D1724" s="19" t="str">
        <f t="array" ref="D1724">XLOOKUP(A1724,Data!F:F,Data!C:C)</f>
        <v/>
      </c>
      <c r="E1724" s="19" t="str">
        <f t="array" ref="E1724">XLOOKUP(A1724,Data!F:F,Data!H:H)</f>
        <v>BW</v>
      </c>
      <c r="F1724" s="106" t="str">
        <f>SUMIFS(Data!J:J,Data!F:F,A1724)</f>
        <v>1</v>
      </c>
      <c r="G1724" s="106" t="str">
        <f>SUMIFS(Cast!C:C,CastElements,A1724)</f>
        <v>1</v>
      </c>
      <c r="H1724" s="106" t="str">
        <f t="shared" si="4"/>
        <v>0</v>
      </c>
      <c r="I1724" s="106" t="str">
        <f>SUMIFS(Del!C:C,Del!B:B,A1724)</f>
        <v>0</v>
      </c>
      <c r="J1724" s="106" t="str">
        <f t="shared" si="5"/>
        <v>1</v>
      </c>
      <c r="K1724" s="106" t="str">
        <f t="shared" si="6"/>
        <v>1</v>
      </c>
      <c r="L1724" s="106"/>
      <c r="M1724" s="106" t="str">
        <f>SUMIFS(Ere!C:C,Ere!B:B,A1724)</f>
        <v>0</v>
      </c>
      <c r="N1724" s="106" t="str">
        <f t="shared" si="7"/>
        <v>1</v>
      </c>
      <c r="O1724" s="107" t="str">
        <f t="array" ref="O1724">XLOOKUP(A1724,Data!F:F,Data!O:O)</f>
        <v>  1.54 </v>
      </c>
      <c r="P1724" s="107" t="str">
        <f t="shared" si="8"/>
        <v>  3.85 </v>
      </c>
      <c r="Q1724" s="27"/>
    </row>
    <row r="1725" ht="15.75" customHeight="1">
      <c r="A1725" s="105" t="s">
        <v>1969</v>
      </c>
      <c r="B1725" s="19" t="str">
        <f t="array" ref="B1725">XLOOKUP(A1725,Data!F:F,Data!G:G)</f>
        <v>J2A</v>
      </c>
      <c r="C1725" s="19" t="str">
        <f t="shared" si="3"/>
        <v>J004</v>
      </c>
      <c r="D1725" s="19" t="str">
        <f t="array" ref="D1725">XLOOKUP(A1725,Data!F:F,Data!C:C)</f>
        <v/>
      </c>
      <c r="E1725" s="19" t="str">
        <f t="array" ref="E1725">XLOOKUP(A1725,Data!F:F,Data!H:H)</f>
        <v>BW</v>
      </c>
      <c r="F1725" s="106" t="str">
        <f>SUMIFS(Data!J:J,Data!F:F,A1725)</f>
        <v>1</v>
      </c>
      <c r="G1725" s="106" t="str">
        <f>SUMIFS(Cast!C:C,CastElements,A1725)</f>
        <v>1</v>
      </c>
      <c r="H1725" s="106" t="str">
        <f t="shared" si="4"/>
        <v>0</v>
      </c>
      <c r="I1725" s="106" t="str">
        <f>SUMIFS(Del!C:C,Del!B:B,A1725)</f>
        <v>0</v>
      </c>
      <c r="J1725" s="106" t="str">
        <f t="shared" si="5"/>
        <v>1</v>
      </c>
      <c r="K1725" s="106" t="str">
        <f t="shared" si="6"/>
        <v>1</v>
      </c>
      <c r="L1725" s="106"/>
      <c r="M1725" s="106" t="str">
        <f>SUMIFS(Ere!C:C,Ere!B:B,A1725)</f>
        <v>0</v>
      </c>
      <c r="N1725" s="106" t="str">
        <f t="shared" si="7"/>
        <v>1</v>
      </c>
      <c r="O1725" s="107" t="str">
        <f t="array" ref="O1725">XLOOKUP(A1725,Data!F:F,Data!O:O)</f>
        <v>  1.85 </v>
      </c>
      <c r="P1725" s="107" t="str">
        <f t="shared" si="8"/>
        <v>  4.63 </v>
      </c>
      <c r="Q1725" s="27"/>
    </row>
    <row r="1726" ht="15.75" customHeight="1">
      <c r="A1726" s="105" t="s">
        <v>1970</v>
      </c>
      <c r="B1726" s="19" t="str">
        <f t="array" ref="B1726">XLOOKUP(A1726,Data!F:F,Data!G:G)</f>
        <v>J2A</v>
      </c>
      <c r="C1726" s="19" t="str">
        <f t="shared" si="3"/>
        <v>J004</v>
      </c>
      <c r="D1726" s="19" t="str">
        <f t="array" ref="D1726">XLOOKUP(A1726,Data!F:F,Data!C:C)</f>
        <v/>
      </c>
      <c r="E1726" s="19" t="str">
        <f t="array" ref="E1726">XLOOKUP(A1726,Data!F:F,Data!H:H)</f>
        <v>BW</v>
      </c>
      <c r="F1726" s="106" t="str">
        <f>SUMIFS(Data!J:J,Data!F:F,A1726)</f>
        <v>1</v>
      </c>
      <c r="G1726" s="106" t="str">
        <f>SUMIFS(Cast!C:C,CastElements,A1726)</f>
        <v>1</v>
      </c>
      <c r="H1726" s="106" t="str">
        <f t="shared" si="4"/>
        <v>0</v>
      </c>
      <c r="I1726" s="106" t="str">
        <f>SUMIFS(Del!C:C,Del!B:B,A1726)</f>
        <v>0</v>
      </c>
      <c r="J1726" s="106" t="str">
        <f t="shared" si="5"/>
        <v>1</v>
      </c>
      <c r="K1726" s="106" t="str">
        <f t="shared" si="6"/>
        <v>1</v>
      </c>
      <c r="L1726" s="106"/>
      <c r="M1726" s="106" t="str">
        <f>SUMIFS(Ere!C:C,Ere!B:B,A1726)</f>
        <v>0</v>
      </c>
      <c r="N1726" s="106" t="str">
        <f t="shared" si="7"/>
        <v>1</v>
      </c>
      <c r="O1726" s="107" t="str">
        <f t="array" ref="O1726">XLOOKUP(A1726,Data!F:F,Data!O:O)</f>
        <v>  1.85 </v>
      </c>
      <c r="P1726" s="107" t="str">
        <f t="shared" si="8"/>
        <v>  4.63 </v>
      </c>
      <c r="Q1726" s="27"/>
    </row>
    <row r="1727" ht="15.75" customHeight="1">
      <c r="A1727" s="105" t="s">
        <v>1971</v>
      </c>
      <c r="B1727" s="19" t="str">
        <f t="array" ref="B1727">XLOOKUP(A1727,Data!F:F,Data!G:G)</f>
        <v>J2A</v>
      </c>
      <c r="C1727" s="19" t="str">
        <f t="shared" si="3"/>
        <v>J004</v>
      </c>
      <c r="D1727" s="19" t="str">
        <f t="array" ref="D1727">XLOOKUP(A1727,Data!F:F,Data!C:C)</f>
        <v/>
      </c>
      <c r="E1727" s="19" t="str">
        <f t="array" ref="E1727">XLOOKUP(A1727,Data!F:F,Data!H:H)</f>
        <v>BW</v>
      </c>
      <c r="F1727" s="106" t="str">
        <f>SUMIFS(Data!J:J,Data!F:F,A1727)</f>
        <v>1</v>
      </c>
      <c r="G1727" s="106" t="str">
        <f>SUMIFS(Cast!C:C,CastElements,A1727)</f>
        <v>1</v>
      </c>
      <c r="H1727" s="106" t="str">
        <f t="shared" si="4"/>
        <v>0</v>
      </c>
      <c r="I1727" s="106" t="str">
        <f>SUMIFS(Del!C:C,Del!B:B,A1727)</f>
        <v>0</v>
      </c>
      <c r="J1727" s="106" t="str">
        <f t="shared" si="5"/>
        <v>1</v>
      </c>
      <c r="K1727" s="106" t="str">
        <f t="shared" si="6"/>
        <v>1</v>
      </c>
      <c r="L1727" s="106"/>
      <c r="M1727" s="106" t="str">
        <f>SUMIFS(Ere!C:C,Ere!B:B,A1727)</f>
        <v>0</v>
      </c>
      <c r="N1727" s="106" t="str">
        <f t="shared" si="7"/>
        <v>1</v>
      </c>
      <c r="O1727" s="107" t="str">
        <f t="array" ref="O1727">XLOOKUP(A1727,Data!F:F,Data!O:O)</f>
        <v>  1.85 </v>
      </c>
      <c r="P1727" s="107" t="str">
        <f t="shared" si="8"/>
        <v>  4.63 </v>
      </c>
      <c r="Q1727" s="27"/>
    </row>
    <row r="1728" ht="15.75" customHeight="1">
      <c r="A1728" s="105" t="s">
        <v>1972</v>
      </c>
      <c r="B1728" s="19" t="str">
        <f t="array" ref="B1728">XLOOKUP(A1728,Data!F:F,Data!G:G)</f>
        <v>J2A</v>
      </c>
      <c r="C1728" s="19" t="str">
        <f t="shared" si="3"/>
        <v>J004</v>
      </c>
      <c r="D1728" s="19" t="str">
        <f t="array" ref="D1728">XLOOKUP(A1728,Data!F:F,Data!C:C)</f>
        <v/>
      </c>
      <c r="E1728" s="19" t="str">
        <f t="array" ref="E1728">XLOOKUP(A1728,Data!F:F,Data!H:H)</f>
        <v>BW</v>
      </c>
      <c r="F1728" s="106" t="str">
        <f>SUMIFS(Data!J:J,Data!F:F,A1728)</f>
        <v>1</v>
      </c>
      <c r="G1728" s="106" t="str">
        <f>SUMIFS(Cast!C:C,CastElements,A1728)</f>
        <v>1</v>
      </c>
      <c r="H1728" s="106" t="str">
        <f t="shared" si="4"/>
        <v>0</v>
      </c>
      <c r="I1728" s="106" t="str">
        <f>SUMIFS(Del!C:C,Del!B:B,A1728)</f>
        <v>0</v>
      </c>
      <c r="J1728" s="106" t="str">
        <f t="shared" si="5"/>
        <v>1</v>
      </c>
      <c r="K1728" s="106" t="str">
        <f t="shared" si="6"/>
        <v>1</v>
      </c>
      <c r="L1728" s="106"/>
      <c r="M1728" s="106" t="str">
        <f>SUMIFS(Ere!C:C,Ere!B:B,A1728)</f>
        <v>0</v>
      </c>
      <c r="N1728" s="106" t="str">
        <f t="shared" si="7"/>
        <v>1</v>
      </c>
      <c r="O1728" s="107" t="str">
        <f t="array" ref="O1728">XLOOKUP(A1728,Data!F:F,Data!O:O)</f>
        <v>  1.97 </v>
      </c>
      <c r="P1728" s="107" t="str">
        <f t="shared" si="8"/>
        <v>  4.93 </v>
      </c>
      <c r="Q1728" s="27"/>
    </row>
    <row r="1729" ht="15.75" customHeight="1">
      <c r="A1729" s="105" t="s">
        <v>1973</v>
      </c>
      <c r="B1729" s="19" t="str">
        <f t="array" ref="B1729">XLOOKUP(A1729,Data!F:F,Data!G:G)</f>
        <v>J2A</v>
      </c>
      <c r="C1729" s="19" t="str">
        <f t="shared" si="3"/>
        <v>J004</v>
      </c>
      <c r="D1729" s="19" t="str">
        <f t="array" ref="D1729">XLOOKUP(A1729,Data!F:F,Data!C:C)</f>
        <v/>
      </c>
      <c r="E1729" s="19" t="str">
        <f t="array" ref="E1729">XLOOKUP(A1729,Data!F:F,Data!H:H)</f>
        <v>BW</v>
      </c>
      <c r="F1729" s="106" t="str">
        <f>SUMIFS(Data!J:J,Data!F:F,A1729)</f>
        <v>1</v>
      </c>
      <c r="G1729" s="106" t="str">
        <f>SUMIFS(Cast!C:C,CastElements,A1729)</f>
        <v>1</v>
      </c>
      <c r="H1729" s="106" t="str">
        <f t="shared" si="4"/>
        <v>0</v>
      </c>
      <c r="I1729" s="106" t="str">
        <f>SUMIFS(Del!C:C,Del!B:B,A1729)</f>
        <v>0</v>
      </c>
      <c r="J1729" s="106" t="str">
        <f t="shared" si="5"/>
        <v>1</v>
      </c>
      <c r="K1729" s="106" t="str">
        <f t="shared" si="6"/>
        <v>1</v>
      </c>
      <c r="L1729" s="106"/>
      <c r="M1729" s="106" t="str">
        <f>SUMIFS(Ere!C:C,Ere!B:B,A1729)</f>
        <v>0</v>
      </c>
      <c r="N1729" s="106" t="str">
        <f t="shared" si="7"/>
        <v>1</v>
      </c>
      <c r="O1729" s="107" t="str">
        <f t="array" ref="O1729">XLOOKUP(A1729,Data!F:F,Data!O:O)</f>
        <v>  0.31 </v>
      </c>
      <c r="P1729" s="107" t="str">
        <f t="shared" si="8"/>
        <v>  0.77 </v>
      </c>
      <c r="Q1729" s="27"/>
    </row>
    <row r="1730" ht="15.75" customHeight="1">
      <c r="A1730" s="105" t="s">
        <v>1974</v>
      </c>
      <c r="B1730" s="19" t="str">
        <f t="array" ref="B1730">XLOOKUP(A1730,Data!F:F,Data!G:G)</f>
        <v>J2A</v>
      </c>
      <c r="C1730" s="19" t="str">
        <f t="shared" si="3"/>
        <v>J004</v>
      </c>
      <c r="D1730" s="19" t="str">
        <f t="array" ref="D1730">XLOOKUP(A1730,Data!F:F,Data!C:C)</f>
        <v/>
      </c>
      <c r="E1730" s="19" t="str">
        <f t="array" ref="E1730">XLOOKUP(A1730,Data!F:F,Data!H:H)</f>
        <v>CF</v>
      </c>
      <c r="F1730" s="106" t="str">
        <f>SUMIFS(Data!J:J,Data!F:F,A1730)</f>
        <v>1</v>
      </c>
      <c r="G1730" s="106" t="str">
        <f>SUMIFS(Cast!C:C,CastElements,A1730)</f>
        <v>1</v>
      </c>
      <c r="H1730" s="106" t="str">
        <f t="shared" si="4"/>
        <v>0</v>
      </c>
      <c r="I1730" s="106" t="str">
        <f>SUMIFS(Del!C:C,Del!B:B,A1730)</f>
        <v>0</v>
      </c>
      <c r="J1730" s="106" t="str">
        <f t="shared" si="5"/>
        <v>1</v>
      </c>
      <c r="K1730" s="106" t="str">
        <f t="shared" si="6"/>
        <v>1</v>
      </c>
      <c r="L1730" s="106"/>
      <c r="M1730" s="106" t="str">
        <f>SUMIFS(Ere!C:C,Ere!B:B,A1730)</f>
        <v>0</v>
      </c>
      <c r="N1730" s="106" t="str">
        <f t="shared" si="7"/>
        <v>1</v>
      </c>
      <c r="O1730" s="107" t="str">
        <f t="array" ref="O1730">XLOOKUP(A1730,Data!F:F,Data!O:O)</f>
        <v>  0.42 </v>
      </c>
      <c r="P1730" s="107" t="str">
        <f t="shared" si="8"/>
        <v>  1.05 </v>
      </c>
      <c r="Q1730" s="27"/>
    </row>
    <row r="1731" ht="15.75" customHeight="1">
      <c r="A1731" s="105" t="s">
        <v>1975</v>
      </c>
      <c r="B1731" s="19" t="str">
        <f t="array" ref="B1731">XLOOKUP(A1731,Data!F:F,Data!G:G)</f>
        <v>J2A</v>
      </c>
      <c r="C1731" s="19" t="str">
        <f t="shared" si="3"/>
        <v>J005</v>
      </c>
      <c r="D1731" s="19" t="str">
        <f t="array" ref="D1731">XLOOKUP(A1731,Data!F:F,Data!C:C)</f>
        <v/>
      </c>
      <c r="E1731" s="19" t="str">
        <f t="array" ref="E1731">XLOOKUP(A1731,Data!F:F,Data!H:H)</f>
        <v>BW</v>
      </c>
      <c r="F1731" s="106" t="str">
        <f>SUMIFS(Data!J:J,Data!F:F,A1731)</f>
        <v>1</v>
      </c>
      <c r="G1731" s="106" t="str">
        <f>SUMIFS(Cast!C:C,CastElements,A1731)</f>
        <v>1</v>
      </c>
      <c r="H1731" s="106" t="str">
        <f t="shared" si="4"/>
        <v>0</v>
      </c>
      <c r="I1731" s="106" t="str">
        <f>SUMIFS(Del!C:C,Del!B:B,A1731)</f>
        <v>0</v>
      </c>
      <c r="J1731" s="106" t="str">
        <f t="shared" si="5"/>
        <v>1</v>
      </c>
      <c r="K1731" s="106" t="str">
        <f t="shared" si="6"/>
        <v>1</v>
      </c>
      <c r="L1731" s="106"/>
      <c r="M1731" s="106" t="str">
        <f>SUMIFS(Ere!C:C,Ere!B:B,A1731)</f>
        <v>0</v>
      </c>
      <c r="N1731" s="106" t="str">
        <f t="shared" si="7"/>
        <v>1</v>
      </c>
      <c r="O1731" s="107" t="str">
        <f t="array" ref="O1731">XLOOKUP(A1731,Data!F:F,Data!O:O)</f>
        <v>  1.58 </v>
      </c>
      <c r="P1731" s="107" t="str">
        <f t="shared" si="8"/>
        <v>  3.95 </v>
      </c>
      <c r="Q1731" s="27"/>
    </row>
    <row r="1732" ht="15.75" customHeight="1">
      <c r="A1732" s="105" t="s">
        <v>1976</v>
      </c>
      <c r="B1732" s="19" t="str">
        <f t="array" ref="B1732">XLOOKUP(A1732,Data!F:F,Data!G:G)</f>
        <v>J2A</v>
      </c>
      <c r="C1732" s="19" t="str">
        <f t="shared" si="3"/>
        <v>J005</v>
      </c>
      <c r="D1732" s="19" t="str">
        <f t="array" ref="D1732">XLOOKUP(A1732,Data!F:F,Data!C:C)</f>
        <v/>
      </c>
      <c r="E1732" s="19" t="str">
        <f t="array" ref="E1732">XLOOKUP(A1732,Data!F:F,Data!H:H)</f>
        <v>BW</v>
      </c>
      <c r="F1732" s="106" t="str">
        <f>SUMIFS(Data!J:J,Data!F:F,A1732)</f>
        <v>1</v>
      </c>
      <c r="G1732" s="106" t="str">
        <f>SUMIFS(Cast!C:C,CastElements,A1732)</f>
        <v>1</v>
      </c>
      <c r="H1732" s="106" t="str">
        <f t="shared" si="4"/>
        <v>0</v>
      </c>
      <c r="I1732" s="106" t="str">
        <f>SUMIFS(Del!C:C,Del!B:B,A1732)</f>
        <v>0</v>
      </c>
      <c r="J1732" s="106" t="str">
        <f t="shared" si="5"/>
        <v>1</v>
      </c>
      <c r="K1732" s="106" t="str">
        <f t="shared" si="6"/>
        <v>1</v>
      </c>
      <c r="L1732" s="106"/>
      <c r="M1732" s="106" t="str">
        <f>SUMIFS(Ere!C:C,Ere!B:B,A1732)</f>
        <v>0</v>
      </c>
      <c r="N1732" s="106" t="str">
        <f t="shared" si="7"/>
        <v>1</v>
      </c>
      <c r="O1732" s="107" t="str">
        <f t="array" ref="O1732">XLOOKUP(A1732,Data!F:F,Data!O:O)</f>
        <v>  1.91 </v>
      </c>
      <c r="P1732" s="107" t="str">
        <f t="shared" si="8"/>
        <v>  4.77 </v>
      </c>
      <c r="Q1732" s="27"/>
    </row>
    <row r="1733" ht="15.75" customHeight="1">
      <c r="A1733" s="105" t="s">
        <v>1977</v>
      </c>
      <c r="B1733" s="19" t="str">
        <f t="array" ref="B1733">XLOOKUP(A1733,Data!F:F,Data!G:G)</f>
        <v>J2A</v>
      </c>
      <c r="C1733" s="19" t="str">
        <f t="shared" si="3"/>
        <v>J005</v>
      </c>
      <c r="D1733" s="19" t="str">
        <f t="array" ref="D1733">XLOOKUP(A1733,Data!F:F,Data!C:C)</f>
        <v/>
      </c>
      <c r="E1733" s="19" t="str">
        <f t="array" ref="E1733">XLOOKUP(A1733,Data!F:F,Data!H:H)</f>
        <v>BW</v>
      </c>
      <c r="F1733" s="106" t="str">
        <f>SUMIFS(Data!J:J,Data!F:F,A1733)</f>
        <v>1</v>
      </c>
      <c r="G1733" s="106" t="str">
        <f>SUMIFS(Cast!C:C,CastElements,A1733)</f>
        <v>1</v>
      </c>
      <c r="H1733" s="106" t="str">
        <f t="shared" si="4"/>
        <v>0</v>
      </c>
      <c r="I1733" s="106" t="str">
        <f>SUMIFS(Del!C:C,Del!B:B,A1733)</f>
        <v>0</v>
      </c>
      <c r="J1733" s="106" t="str">
        <f t="shared" si="5"/>
        <v>1</v>
      </c>
      <c r="K1733" s="106" t="str">
        <f t="shared" si="6"/>
        <v>1</v>
      </c>
      <c r="L1733" s="106"/>
      <c r="M1733" s="106" t="str">
        <f>SUMIFS(Ere!C:C,Ere!B:B,A1733)</f>
        <v>0</v>
      </c>
      <c r="N1733" s="106" t="str">
        <f t="shared" si="7"/>
        <v>1</v>
      </c>
      <c r="O1733" s="107" t="str">
        <f t="array" ref="O1733">XLOOKUP(A1733,Data!F:F,Data!O:O)</f>
        <v>  1.91 </v>
      </c>
      <c r="P1733" s="107" t="str">
        <f t="shared" si="8"/>
        <v>  4.77 </v>
      </c>
      <c r="Q1733" s="27"/>
    </row>
    <row r="1734" ht="15.75" customHeight="1">
      <c r="A1734" s="105" t="s">
        <v>1978</v>
      </c>
      <c r="B1734" s="19" t="str">
        <f t="array" ref="B1734">XLOOKUP(A1734,Data!F:F,Data!G:G)</f>
        <v>J2A</v>
      </c>
      <c r="C1734" s="19" t="str">
        <f t="shared" si="3"/>
        <v>J005</v>
      </c>
      <c r="D1734" s="19" t="str">
        <f t="array" ref="D1734">XLOOKUP(A1734,Data!F:F,Data!C:C)</f>
        <v/>
      </c>
      <c r="E1734" s="19" t="str">
        <f t="array" ref="E1734">XLOOKUP(A1734,Data!F:F,Data!H:H)</f>
        <v>BW</v>
      </c>
      <c r="F1734" s="106" t="str">
        <f>SUMIFS(Data!J:J,Data!F:F,A1734)</f>
        <v>1</v>
      </c>
      <c r="G1734" s="106" t="str">
        <f>SUMIFS(Cast!C:C,CastElements,A1734)</f>
        <v>1</v>
      </c>
      <c r="H1734" s="106" t="str">
        <f t="shared" si="4"/>
        <v>0</v>
      </c>
      <c r="I1734" s="106" t="str">
        <f>SUMIFS(Del!C:C,Del!B:B,A1734)</f>
        <v>0</v>
      </c>
      <c r="J1734" s="106" t="str">
        <f t="shared" si="5"/>
        <v>1</v>
      </c>
      <c r="K1734" s="106" t="str">
        <f t="shared" si="6"/>
        <v>1</v>
      </c>
      <c r="L1734" s="106"/>
      <c r="M1734" s="106" t="str">
        <f>SUMIFS(Ere!C:C,Ere!B:B,A1734)</f>
        <v>0</v>
      </c>
      <c r="N1734" s="106" t="str">
        <f t="shared" si="7"/>
        <v>1</v>
      </c>
      <c r="O1734" s="107" t="str">
        <f t="array" ref="O1734">XLOOKUP(A1734,Data!F:F,Data!O:O)</f>
        <v>  1.91 </v>
      </c>
      <c r="P1734" s="107" t="str">
        <f t="shared" si="8"/>
        <v>  4.77 </v>
      </c>
      <c r="Q1734" s="27"/>
    </row>
    <row r="1735" ht="15.75" customHeight="1">
      <c r="A1735" s="105" t="s">
        <v>1979</v>
      </c>
      <c r="B1735" s="19" t="str">
        <f t="array" ref="B1735">XLOOKUP(A1735,Data!F:F,Data!G:G)</f>
        <v>J2A</v>
      </c>
      <c r="C1735" s="19" t="str">
        <f t="shared" si="3"/>
        <v>J005</v>
      </c>
      <c r="D1735" s="19" t="str">
        <f t="array" ref="D1735">XLOOKUP(A1735,Data!F:F,Data!C:C)</f>
        <v/>
      </c>
      <c r="E1735" s="19" t="str">
        <f t="array" ref="E1735">XLOOKUP(A1735,Data!F:F,Data!H:H)</f>
        <v>BW</v>
      </c>
      <c r="F1735" s="106" t="str">
        <f>SUMIFS(Data!J:J,Data!F:F,A1735)</f>
        <v>1</v>
      </c>
      <c r="G1735" s="106" t="str">
        <f>SUMIFS(Cast!C:C,CastElements,A1735)</f>
        <v>1</v>
      </c>
      <c r="H1735" s="106" t="str">
        <f t="shared" si="4"/>
        <v>0</v>
      </c>
      <c r="I1735" s="106" t="str">
        <f>SUMIFS(Del!C:C,Del!B:B,A1735)</f>
        <v>0</v>
      </c>
      <c r="J1735" s="106" t="str">
        <f t="shared" si="5"/>
        <v>1</v>
      </c>
      <c r="K1735" s="106" t="str">
        <f t="shared" si="6"/>
        <v>1</v>
      </c>
      <c r="L1735" s="106"/>
      <c r="M1735" s="106" t="str">
        <f>SUMIFS(Ere!C:C,Ere!B:B,A1735)</f>
        <v>0</v>
      </c>
      <c r="N1735" s="106" t="str">
        <f t="shared" si="7"/>
        <v>1</v>
      </c>
      <c r="O1735" s="107" t="str">
        <f t="array" ref="O1735">XLOOKUP(A1735,Data!F:F,Data!O:O)</f>
        <v>  2.03 </v>
      </c>
      <c r="P1735" s="107" t="str">
        <f t="shared" si="8"/>
        <v>  5.08 </v>
      </c>
      <c r="Q1735" s="27"/>
    </row>
    <row r="1736" ht="15.75" customHeight="1">
      <c r="A1736" s="105" t="s">
        <v>1980</v>
      </c>
      <c r="B1736" s="19" t="str">
        <f t="array" ref="B1736">XLOOKUP(A1736,Data!F:F,Data!G:G)</f>
        <v>J2A</v>
      </c>
      <c r="C1736" s="19" t="str">
        <f t="shared" si="3"/>
        <v>J005</v>
      </c>
      <c r="D1736" s="19" t="str">
        <f t="array" ref="D1736">XLOOKUP(A1736,Data!F:F,Data!C:C)</f>
        <v/>
      </c>
      <c r="E1736" s="19" t="str">
        <f t="array" ref="E1736">XLOOKUP(A1736,Data!F:F,Data!H:H)</f>
        <v>BW</v>
      </c>
      <c r="F1736" s="106" t="str">
        <f>SUMIFS(Data!J:J,Data!F:F,A1736)</f>
        <v>1</v>
      </c>
      <c r="G1736" s="106" t="str">
        <f>SUMIFS(Cast!C:C,CastElements,A1736)</f>
        <v>1</v>
      </c>
      <c r="H1736" s="106" t="str">
        <f t="shared" si="4"/>
        <v>0</v>
      </c>
      <c r="I1736" s="106" t="str">
        <f>SUMIFS(Del!C:C,Del!B:B,A1736)</f>
        <v>0</v>
      </c>
      <c r="J1736" s="106" t="str">
        <f t="shared" si="5"/>
        <v>1</v>
      </c>
      <c r="K1736" s="106" t="str">
        <f t="shared" si="6"/>
        <v>1</v>
      </c>
      <c r="L1736" s="106"/>
      <c r="M1736" s="106" t="str">
        <f>SUMIFS(Ere!C:C,Ere!B:B,A1736)</f>
        <v>0</v>
      </c>
      <c r="N1736" s="106" t="str">
        <f t="shared" si="7"/>
        <v>1</v>
      </c>
      <c r="O1736" s="107" t="str">
        <f t="array" ref="O1736">XLOOKUP(A1736,Data!F:F,Data!O:O)</f>
        <v>  0.33 </v>
      </c>
      <c r="P1736" s="107" t="str">
        <f t="shared" si="8"/>
        <v>  0.83 </v>
      </c>
      <c r="Q1736" s="27"/>
    </row>
    <row r="1737" ht="15.75" customHeight="1">
      <c r="A1737" s="105" t="s">
        <v>1981</v>
      </c>
      <c r="B1737" s="19" t="str">
        <f t="array" ref="B1737">XLOOKUP(A1737,Data!F:F,Data!G:G)</f>
        <v>J2A</v>
      </c>
      <c r="C1737" s="19" t="str">
        <f t="shared" si="3"/>
        <v>J005</v>
      </c>
      <c r="D1737" s="19" t="str">
        <f t="array" ref="D1737">XLOOKUP(A1737,Data!F:F,Data!C:C)</f>
        <v/>
      </c>
      <c r="E1737" s="19" t="str">
        <f t="array" ref="E1737">XLOOKUP(A1737,Data!F:F,Data!H:H)</f>
        <v>CF</v>
      </c>
      <c r="F1737" s="106" t="str">
        <f>SUMIFS(Data!J:J,Data!F:F,A1737)</f>
        <v>1</v>
      </c>
      <c r="G1737" s="106" t="str">
        <f>SUMIFS(Cast!C:C,CastElements,A1737)</f>
        <v>1</v>
      </c>
      <c r="H1737" s="106" t="str">
        <f t="shared" si="4"/>
        <v>0</v>
      </c>
      <c r="I1737" s="106" t="str">
        <f>SUMIFS(Del!C:C,Del!B:B,A1737)</f>
        <v>0</v>
      </c>
      <c r="J1737" s="106" t="str">
        <f t="shared" si="5"/>
        <v>1</v>
      </c>
      <c r="K1737" s="106" t="str">
        <f t="shared" si="6"/>
        <v>1</v>
      </c>
      <c r="L1737" s="106"/>
      <c r="M1737" s="106" t="str">
        <f>SUMIFS(Ere!C:C,Ere!B:B,A1737)</f>
        <v>0</v>
      </c>
      <c r="N1737" s="106" t="str">
        <f t="shared" si="7"/>
        <v>1</v>
      </c>
      <c r="O1737" s="107" t="str">
        <f t="array" ref="O1737">XLOOKUP(A1737,Data!F:F,Data!O:O)</f>
        <v>  0.45 </v>
      </c>
      <c r="P1737" s="107" t="str">
        <f t="shared" si="8"/>
        <v>  1.13 </v>
      </c>
      <c r="Q1737" s="27"/>
    </row>
    <row r="1738" ht="15.75" customHeight="1">
      <c r="A1738" s="105" t="s">
        <v>1982</v>
      </c>
      <c r="B1738" s="19" t="str">
        <f t="array" ref="B1738">XLOOKUP(A1738,Data!F:F,Data!G:G)</f>
        <v>J2A</v>
      </c>
      <c r="C1738" s="19" t="str">
        <f t="shared" si="3"/>
        <v>J005</v>
      </c>
      <c r="D1738" s="19" t="str">
        <f t="array" ref="D1738">XLOOKUP(A1738,Data!F:F,Data!C:C)</f>
        <v>EXT</v>
      </c>
      <c r="E1738" s="19" t="str">
        <f t="array" ref="E1738">XLOOKUP(A1738,Data!F:F,Data!H:H)</f>
        <v>BW</v>
      </c>
      <c r="F1738" s="106" t="str">
        <f>SUMIFS(Data!J:J,Data!F:F,A1738)</f>
        <v>1</v>
      </c>
      <c r="G1738" s="106" t="str">
        <f>SUMIFS(Cast!C:C,CastElements,A1738)</f>
        <v>1</v>
      </c>
      <c r="H1738" s="106" t="str">
        <f t="shared" si="4"/>
        <v>0</v>
      </c>
      <c r="I1738" s="106" t="str">
        <f>SUMIFS(Del!C:C,Del!B:B,A1738)</f>
        <v>0</v>
      </c>
      <c r="J1738" s="106" t="str">
        <f t="shared" si="5"/>
        <v>1</v>
      </c>
      <c r="K1738" s="106" t="str">
        <f t="shared" si="6"/>
        <v>1</v>
      </c>
      <c r="L1738" s="106"/>
      <c r="M1738" s="106" t="str">
        <f>SUMIFS(Ere!C:C,Ere!B:B,A1738)</f>
        <v>0</v>
      </c>
      <c r="N1738" s="106" t="str">
        <f t="shared" si="7"/>
        <v>1</v>
      </c>
      <c r="O1738" s="107" t="str">
        <f t="array" ref="O1738">XLOOKUP(A1738,Data!F:F,Data!O:O)</f>
        <v>  0.93 </v>
      </c>
      <c r="P1738" s="107" t="str">
        <f t="shared" si="8"/>
        <v>  2.32 </v>
      </c>
      <c r="Q1738" s="27"/>
    </row>
    <row r="1739" ht="15.75" customHeight="1">
      <c r="A1739" s="105" t="s">
        <v>1983</v>
      </c>
      <c r="B1739" s="19" t="str">
        <f t="array" ref="B1739">XLOOKUP(A1739,Data!F:F,Data!G:G)</f>
        <v>J2A</v>
      </c>
      <c r="C1739" s="19" t="str">
        <f t="shared" si="3"/>
        <v>J005</v>
      </c>
      <c r="D1739" s="19" t="str">
        <f t="array" ref="D1739">XLOOKUP(A1739,Data!F:F,Data!C:C)</f>
        <v>EXT</v>
      </c>
      <c r="E1739" s="19" t="str">
        <f t="array" ref="E1739">XLOOKUP(A1739,Data!F:F,Data!H:H)</f>
        <v>BW</v>
      </c>
      <c r="F1739" s="106" t="str">
        <f>SUMIFS(Data!J:J,Data!F:F,A1739)</f>
        <v>1</v>
      </c>
      <c r="G1739" s="106" t="str">
        <f>SUMIFS(Cast!C:C,CastElements,A1739)</f>
        <v>1</v>
      </c>
      <c r="H1739" s="106" t="str">
        <f t="shared" si="4"/>
        <v>0</v>
      </c>
      <c r="I1739" s="106" t="str">
        <f>SUMIFS(Del!C:C,Del!B:B,A1739)</f>
        <v>0</v>
      </c>
      <c r="J1739" s="106" t="str">
        <f t="shared" si="5"/>
        <v>1</v>
      </c>
      <c r="K1739" s="106" t="str">
        <f t="shared" si="6"/>
        <v>1</v>
      </c>
      <c r="L1739" s="106"/>
      <c r="M1739" s="106" t="str">
        <f>SUMIFS(Ere!C:C,Ere!B:B,A1739)</f>
        <v>0</v>
      </c>
      <c r="N1739" s="106" t="str">
        <f t="shared" si="7"/>
        <v>1</v>
      </c>
      <c r="O1739" s="107" t="str">
        <f t="array" ref="O1739">XLOOKUP(A1739,Data!F:F,Data!O:O)</f>
        <v>  1.02 </v>
      </c>
      <c r="P1739" s="107" t="str">
        <f t="shared" si="8"/>
        <v>  2.54 </v>
      </c>
      <c r="Q1739" s="27"/>
    </row>
    <row r="1740" ht="15.75" customHeight="1">
      <c r="A1740" s="105" t="s">
        <v>1984</v>
      </c>
      <c r="B1740" s="19" t="str">
        <f t="array" ref="B1740">XLOOKUP(A1740,Data!F:F,Data!G:G)</f>
        <v>J2A</v>
      </c>
      <c r="C1740" s="19" t="str">
        <f t="shared" si="3"/>
        <v>J005</v>
      </c>
      <c r="D1740" s="19" t="str">
        <f t="array" ref="D1740">XLOOKUP(A1740,Data!F:F,Data!C:C)</f>
        <v>EXT</v>
      </c>
      <c r="E1740" s="19" t="str">
        <f t="array" ref="E1740">XLOOKUP(A1740,Data!F:F,Data!H:H)</f>
        <v>BW</v>
      </c>
      <c r="F1740" s="106" t="str">
        <f>SUMIFS(Data!J:J,Data!F:F,A1740)</f>
        <v>1</v>
      </c>
      <c r="G1740" s="106" t="str">
        <f>SUMIFS(Cast!C:C,CastElements,A1740)</f>
        <v>1</v>
      </c>
      <c r="H1740" s="106" t="str">
        <f t="shared" si="4"/>
        <v>0</v>
      </c>
      <c r="I1740" s="106" t="str">
        <f>SUMIFS(Del!C:C,Del!B:B,A1740)</f>
        <v>0</v>
      </c>
      <c r="J1740" s="106" t="str">
        <f t="shared" si="5"/>
        <v>1</v>
      </c>
      <c r="K1740" s="106" t="str">
        <f t="shared" si="6"/>
        <v>1</v>
      </c>
      <c r="L1740" s="106"/>
      <c r="M1740" s="106" t="str">
        <f>SUMIFS(Ere!C:C,Ere!B:B,A1740)</f>
        <v>0</v>
      </c>
      <c r="N1740" s="106" t="str">
        <f t="shared" si="7"/>
        <v>1</v>
      </c>
      <c r="O1740" s="107" t="str">
        <f t="array" ref="O1740">XLOOKUP(A1740,Data!F:F,Data!O:O)</f>
        <v>  1.09 </v>
      </c>
      <c r="P1740" s="107" t="str">
        <f t="shared" si="8"/>
        <v>  2.72 </v>
      </c>
      <c r="Q1740" s="27"/>
    </row>
    <row r="1741" ht="15.75" customHeight="1">
      <c r="A1741" s="105" t="s">
        <v>1985</v>
      </c>
      <c r="B1741" s="19" t="str">
        <f t="array" ref="B1741">XLOOKUP(A1741,Data!F:F,Data!G:G)</f>
        <v>J2A</v>
      </c>
      <c r="C1741" s="19" t="str">
        <f t="shared" si="3"/>
        <v>J005</v>
      </c>
      <c r="D1741" s="19" t="str">
        <f t="array" ref="D1741">XLOOKUP(A1741,Data!F:F,Data!C:C)</f>
        <v>EXT</v>
      </c>
      <c r="E1741" s="19" t="str">
        <f t="array" ref="E1741">XLOOKUP(A1741,Data!F:F,Data!H:H)</f>
        <v>BW</v>
      </c>
      <c r="F1741" s="106" t="str">
        <f>SUMIFS(Data!J:J,Data!F:F,A1741)</f>
        <v>1</v>
      </c>
      <c r="G1741" s="106" t="str">
        <f>SUMIFS(Cast!C:C,CastElements,A1741)</f>
        <v>1</v>
      </c>
      <c r="H1741" s="106" t="str">
        <f t="shared" si="4"/>
        <v>0</v>
      </c>
      <c r="I1741" s="106" t="str">
        <f>SUMIFS(Del!C:C,Del!B:B,A1741)</f>
        <v>0</v>
      </c>
      <c r="J1741" s="106" t="str">
        <f t="shared" si="5"/>
        <v>1</v>
      </c>
      <c r="K1741" s="106" t="str">
        <f t="shared" si="6"/>
        <v>1</v>
      </c>
      <c r="L1741" s="106"/>
      <c r="M1741" s="106" t="str">
        <f>SUMIFS(Ere!C:C,Ere!B:B,A1741)</f>
        <v>0</v>
      </c>
      <c r="N1741" s="106" t="str">
        <f t="shared" si="7"/>
        <v>1</v>
      </c>
      <c r="O1741" s="107" t="str">
        <f t="array" ref="O1741">XLOOKUP(A1741,Data!F:F,Data!O:O)</f>
        <v>  0.90 </v>
      </c>
      <c r="P1741" s="107" t="str">
        <f t="shared" si="8"/>
        <v>  2.25 </v>
      </c>
      <c r="Q1741" s="27"/>
    </row>
    <row r="1742" ht="15.75" customHeight="1">
      <c r="A1742" s="105" t="s">
        <v>1986</v>
      </c>
      <c r="B1742" s="19" t="str">
        <f t="array" ref="B1742">XLOOKUP(A1742,Data!F:F,Data!G:G)</f>
        <v>J2A</v>
      </c>
      <c r="C1742" s="19" t="str">
        <f t="shared" si="3"/>
        <v>J005</v>
      </c>
      <c r="D1742" s="19" t="str">
        <f t="array" ref="D1742">XLOOKUP(A1742,Data!F:F,Data!C:C)</f>
        <v/>
      </c>
      <c r="E1742" s="19" t="str">
        <f t="array" ref="E1742">XLOOKUP(A1742,Data!F:F,Data!H:H)</f>
        <v>BW</v>
      </c>
      <c r="F1742" s="106" t="str">
        <f>SUMIFS(Data!J:J,Data!F:F,A1742)</f>
        <v>1</v>
      </c>
      <c r="G1742" s="106" t="str">
        <f>SUMIFS(Cast!C:C,CastElements,A1742)</f>
        <v>1</v>
      </c>
      <c r="H1742" s="106" t="str">
        <f t="shared" si="4"/>
        <v>0</v>
      </c>
      <c r="I1742" s="106" t="str">
        <f>SUMIFS(Del!C:C,Del!B:B,A1742)</f>
        <v>0</v>
      </c>
      <c r="J1742" s="106" t="str">
        <f t="shared" si="5"/>
        <v>1</v>
      </c>
      <c r="K1742" s="106" t="str">
        <f t="shared" si="6"/>
        <v>1</v>
      </c>
      <c r="L1742" s="106"/>
      <c r="M1742" s="106" t="str">
        <f>SUMIFS(Ere!C:C,Ere!B:B,A1742)</f>
        <v>0</v>
      </c>
      <c r="N1742" s="106" t="str">
        <f t="shared" si="7"/>
        <v>1</v>
      </c>
      <c r="O1742" s="107" t="str">
        <f t="array" ref="O1742">XLOOKUP(A1742,Data!F:F,Data!O:O)</f>
        <v>  1.36 </v>
      </c>
      <c r="P1742" s="107" t="str">
        <f t="shared" si="8"/>
        <v>  3.40 </v>
      </c>
      <c r="Q1742" s="27"/>
    </row>
    <row r="1743" ht="15.75" customHeight="1">
      <c r="A1743" s="105" t="s">
        <v>1987</v>
      </c>
      <c r="B1743" s="19" t="str">
        <f t="array" ref="B1743">XLOOKUP(A1743,Data!F:F,Data!G:G)</f>
        <v>J2A</v>
      </c>
      <c r="C1743" s="19" t="str">
        <f t="shared" si="3"/>
        <v>J005</v>
      </c>
      <c r="D1743" s="19" t="str">
        <f t="array" ref="D1743">XLOOKUP(A1743,Data!F:F,Data!C:C)</f>
        <v/>
      </c>
      <c r="E1743" s="19" t="str">
        <f t="array" ref="E1743">XLOOKUP(A1743,Data!F:F,Data!H:H)</f>
        <v>BW</v>
      </c>
      <c r="F1743" s="106" t="str">
        <f>SUMIFS(Data!J:J,Data!F:F,A1743)</f>
        <v>1</v>
      </c>
      <c r="G1743" s="106" t="str">
        <f>SUMIFS(Cast!C:C,CastElements,A1743)</f>
        <v>1</v>
      </c>
      <c r="H1743" s="106" t="str">
        <f t="shared" si="4"/>
        <v>0</v>
      </c>
      <c r="I1743" s="106" t="str">
        <f>SUMIFS(Del!C:C,Del!B:B,A1743)</f>
        <v>0</v>
      </c>
      <c r="J1743" s="106" t="str">
        <f t="shared" si="5"/>
        <v>1</v>
      </c>
      <c r="K1743" s="106" t="str">
        <f t="shared" si="6"/>
        <v>1</v>
      </c>
      <c r="L1743" s="106"/>
      <c r="M1743" s="106" t="str">
        <f>SUMIFS(Ere!C:C,Ere!B:B,A1743)</f>
        <v>0</v>
      </c>
      <c r="N1743" s="106" t="str">
        <f t="shared" si="7"/>
        <v>1</v>
      </c>
      <c r="O1743" s="107" t="str">
        <f t="array" ref="O1743">XLOOKUP(A1743,Data!F:F,Data!O:O)</f>
        <v>  1.23 </v>
      </c>
      <c r="P1743" s="107" t="str">
        <f t="shared" si="8"/>
        <v>  3.06 </v>
      </c>
      <c r="Q1743" s="27"/>
    </row>
    <row r="1744" ht="15.75" customHeight="1">
      <c r="A1744" s="105" t="s">
        <v>1988</v>
      </c>
      <c r="B1744" s="19" t="str">
        <f t="array" ref="B1744">XLOOKUP(A1744,Data!F:F,Data!G:G)</f>
        <v>J2A</v>
      </c>
      <c r="C1744" s="19" t="str">
        <f t="shared" si="3"/>
        <v>J005</v>
      </c>
      <c r="D1744" s="19" t="str">
        <f t="array" ref="D1744">XLOOKUP(A1744,Data!F:F,Data!C:C)</f>
        <v/>
      </c>
      <c r="E1744" s="19" t="str">
        <f t="array" ref="E1744">XLOOKUP(A1744,Data!F:F,Data!H:H)</f>
        <v>BW</v>
      </c>
      <c r="F1744" s="106" t="str">
        <f>SUMIFS(Data!J:J,Data!F:F,A1744)</f>
        <v>1</v>
      </c>
      <c r="G1744" s="106" t="str">
        <f>SUMIFS(Cast!C:C,CastElements,A1744)</f>
        <v>1</v>
      </c>
      <c r="H1744" s="106" t="str">
        <f t="shared" si="4"/>
        <v>0</v>
      </c>
      <c r="I1744" s="106" t="str">
        <f>SUMIFS(Del!C:C,Del!B:B,A1744)</f>
        <v>0</v>
      </c>
      <c r="J1744" s="106" t="str">
        <f t="shared" si="5"/>
        <v>1</v>
      </c>
      <c r="K1744" s="106" t="str">
        <f t="shared" si="6"/>
        <v>1</v>
      </c>
      <c r="L1744" s="106"/>
      <c r="M1744" s="106" t="str">
        <f>SUMIFS(Ere!C:C,Ere!B:B,A1744)</f>
        <v>0</v>
      </c>
      <c r="N1744" s="106" t="str">
        <f t="shared" si="7"/>
        <v>1</v>
      </c>
      <c r="O1744" s="107" t="str">
        <f t="array" ref="O1744">XLOOKUP(A1744,Data!F:F,Data!O:O)</f>
        <v>  1.27 </v>
      </c>
      <c r="P1744" s="107" t="str">
        <f t="shared" si="8"/>
        <v>  3.17 </v>
      </c>
      <c r="Q1744" s="27"/>
    </row>
    <row r="1745" ht="15.75" customHeight="1">
      <c r="A1745" s="105" t="s">
        <v>1989</v>
      </c>
      <c r="B1745" s="19" t="str">
        <f t="array" ref="B1745">XLOOKUP(A1745,Data!F:F,Data!G:G)</f>
        <v>J2A</v>
      </c>
      <c r="C1745" s="19" t="str">
        <f t="shared" si="3"/>
        <v>J005</v>
      </c>
      <c r="D1745" s="19" t="str">
        <f t="array" ref="D1745">XLOOKUP(A1745,Data!F:F,Data!C:C)</f>
        <v/>
      </c>
      <c r="E1745" s="19" t="str">
        <f t="array" ref="E1745">XLOOKUP(A1745,Data!F:F,Data!H:H)</f>
        <v>BW</v>
      </c>
      <c r="F1745" s="106" t="str">
        <f>SUMIFS(Data!J:J,Data!F:F,A1745)</f>
        <v>1</v>
      </c>
      <c r="G1745" s="106" t="str">
        <f>SUMIFS(Cast!C:C,CastElements,A1745)</f>
        <v>1</v>
      </c>
      <c r="H1745" s="106" t="str">
        <f t="shared" si="4"/>
        <v>0</v>
      </c>
      <c r="I1745" s="106" t="str">
        <f>SUMIFS(Del!C:C,Del!B:B,A1745)</f>
        <v>0</v>
      </c>
      <c r="J1745" s="106" t="str">
        <f t="shared" si="5"/>
        <v>1</v>
      </c>
      <c r="K1745" s="106" t="str">
        <f t="shared" si="6"/>
        <v>1</v>
      </c>
      <c r="L1745" s="106"/>
      <c r="M1745" s="106" t="str">
        <f>SUMIFS(Ere!C:C,Ere!B:B,A1745)</f>
        <v>0</v>
      </c>
      <c r="N1745" s="106" t="str">
        <f t="shared" si="7"/>
        <v>1</v>
      </c>
      <c r="O1745" s="107" t="str">
        <f t="array" ref="O1745">XLOOKUP(A1745,Data!F:F,Data!O:O)</f>
        <v>  1.51 </v>
      </c>
      <c r="P1745" s="107" t="str">
        <f t="shared" si="8"/>
        <v>  3.79 </v>
      </c>
      <c r="Q1745" s="27"/>
    </row>
    <row r="1746" ht="15.75" customHeight="1">
      <c r="A1746" s="105" t="s">
        <v>1990</v>
      </c>
      <c r="B1746" s="19" t="str">
        <f t="array" ref="B1746">XLOOKUP(A1746,Data!F:F,Data!G:G)</f>
        <v>J2A</v>
      </c>
      <c r="C1746" s="19" t="str">
        <f t="shared" si="3"/>
        <v>J005</v>
      </c>
      <c r="D1746" s="19" t="str">
        <f t="array" ref="D1746">XLOOKUP(A1746,Data!F:F,Data!C:C)</f>
        <v/>
      </c>
      <c r="E1746" s="19" t="str">
        <f t="array" ref="E1746">XLOOKUP(A1746,Data!F:F,Data!H:H)</f>
        <v>BW</v>
      </c>
      <c r="F1746" s="106" t="str">
        <f>SUMIFS(Data!J:J,Data!F:F,A1746)</f>
        <v>1</v>
      </c>
      <c r="G1746" s="106" t="str">
        <f>SUMIFS(Cast!C:C,CastElements,A1746)</f>
        <v>1</v>
      </c>
      <c r="H1746" s="106" t="str">
        <f t="shared" si="4"/>
        <v>0</v>
      </c>
      <c r="I1746" s="106" t="str">
        <f>SUMIFS(Del!C:C,Del!B:B,A1746)</f>
        <v>0</v>
      </c>
      <c r="J1746" s="106" t="str">
        <f t="shared" si="5"/>
        <v>1</v>
      </c>
      <c r="K1746" s="106" t="str">
        <f t="shared" si="6"/>
        <v>1</v>
      </c>
      <c r="L1746" s="106"/>
      <c r="M1746" s="106" t="str">
        <f>SUMIFS(Ere!C:C,Ere!B:B,A1746)</f>
        <v>0</v>
      </c>
      <c r="N1746" s="106" t="str">
        <f t="shared" si="7"/>
        <v>1</v>
      </c>
      <c r="O1746" s="107" t="str">
        <f t="array" ref="O1746">XLOOKUP(A1746,Data!F:F,Data!O:O)</f>
        <v>  1.50 </v>
      </c>
      <c r="P1746" s="107" t="str">
        <f t="shared" si="8"/>
        <v>  3.75 </v>
      </c>
      <c r="Q1746" s="27"/>
    </row>
    <row r="1747" ht="15.75" customHeight="1">
      <c r="A1747" s="105" t="s">
        <v>1991</v>
      </c>
      <c r="B1747" s="19" t="str">
        <f t="array" ref="B1747">XLOOKUP(A1747,Data!F:F,Data!G:G)</f>
        <v>J2A</v>
      </c>
      <c r="C1747" s="19" t="str">
        <f t="shared" si="3"/>
        <v>J005</v>
      </c>
      <c r="D1747" s="19" t="str">
        <f t="array" ref="D1747">XLOOKUP(A1747,Data!F:F,Data!C:C)</f>
        <v/>
      </c>
      <c r="E1747" s="19" t="str">
        <f t="array" ref="E1747">XLOOKUP(A1747,Data!F:F,Data!H:H)</f>
        <v>BW</v>
      </c>
      <c r="F1747" s="106" t="str">
        <f>SUMIFS(Data!J:J,Data!F:F,A1747)</f>
        <v>1</v>
      </c>
      <c r="G1747" s="106" t="str">
        <f>SUMIFS(Cast!C:C,CastElements,A1747)</f>
        <v>1</v>
      </c>
      <c r="H1747" s="106" t="str">
        <f t="shared" si="4"/>
        <v>0</v>
      </c>
      <c r="I1747" s="106" t="str">
        <f>SUMIFS(Del!C:C,Del!B:B,A1747)</f>
        <v>0</v>
      </c>
      <c r="J1747" s="106" t="str">
        <f t="shared" si="5"/>
        <v>1</v>
      </c>
      <c r="K1747" s="106" t="str">
        <f t="shared" si="6"/>
        <v>1</v>
      </c>
      <c r="L1747" s="106"/>
      <c r="M1747" s="106" t="str">
        <f>SUMIFS(Ere!C:C,Ere!B:B,A1747)</f>
        <v>0</v>
      </c>
      <c r="N1747" s="106" t="str">
        <f t="shared" si="7"/>
        <v>1</v>
      </c>
      <c r="O1747" s="107" t="str">
        <f t="array" ref="O1747">XLOOKUP(A1747,Data!F:F,Data!O:O)</f>
        <v>  2.07 </v>
      </c>
      <c r="P1747" s="107" t="str">
        <f t="shared" si="8"/>
        <v>  5.17 </v>
      </c>
      <c r="Q1747" s="27"/>
    </row>
    <row r="1748" ht="15.75" customHeight="1">
      <c r="A1748" s="105" t="s">
        <v>1992</v>
      </c>
      <c r="B1748" s="19" t="str">
        <f t="array" ref="B1748">XLOOKUP(A1748,Data!F:F,Data!G:G)</f>
        <v>J2A</v>
      </c>
      <c r="C1748" s="19" t="str">
        <f t="shared" si="3"/>
        <v>J021</v>
      </c>
      <c r="D1748" s="19" t="str">
        <f t="array" ref="D1748">XLOOKUP(A1748,Data!F:F,Data!C:C)</f>
        <v>EXT</v>
      </c>
      <c r="E1748" s="19" t="str">
        <f t="array" ref="E1748">XLOOKUP(A1748,Data!F:F,Data!H:H)</f>
        <v>BW</v>
      </c>
      <c r="F1748" s="106" t="str">
        <f>SUMIFS(Data!J:J,Data!F:F,A1748)</f>
        <v>1</v>
      </c>
      <c r="G1748" s="106" t="str">
        <f>SUMIFS(Cast!C:C,CastElements,A1748)</f>
        <v>1</v>
      </c>
      <c r="H1748" s="106" t="str">
        <f t="shared" si="4"/>
        <v>0</v>
      </c>
      <c r="I1748" s="106" t="str">
        <f>SUMIFS(Del!C:C,Del!B:B,A1748)</f>
        <v>0</v>
      </c>
      <c r="J1748" s="106" t="str">
        <f t="shared" si="5"/>
        <v>1</v>
      </c>
      <c r="K1748" s="106" t="str">
        <f t="shared" si="6"/>
        <v>1</v>
      </c>
      <c r="L1748" s="106"/>
      <c r="M1748" s="106" t="str">
        <f>SUMIFS(Ere!C:C,Ere!B:B,A1748)</f>
        <v>0</v>
      </c>
      <c r="N1748" s="106" t="str">
        <f t="shared" si="7"/>
        <v>1</v>
      </c>
      <c r="O1748" s="107" t="str">
        <f t="array" ref="O1748">XLOOKUP(A1748,Data!F:F,Data!O:O)</f>
        <v>  0.79 </v>
      </c>
      <c r="P1748" s="107" t="str">
        <f t="shared" si="8"/>
        <v>  1.98 </v>
      </c>
      <c r="Q1748" s="27"/>
    </row>
    <row r="1749" ht="15.75" customHeight="1">
      <c r="A1749" s="105" t="s">
        <v>1993</v>
      </c>
      <c r="B1749" s="19" t="str">
        <f t="array" ref="B1749">XLOOKUP(A1749,Data!F:F,Data!G:G)</f>
        <v>J2A</v>
      </c>
      <c r="C1749" s="19" t="str">
        <f t="shared" si="3"/>
        <v>J021</v>
      </c>
      <c r="D1749" s="19" t="str">
        <f t="array" ref="D1749">XLOOKUP(A1749,Data!F:F,Data!C:C)</f>
        <v/>
      </c>
      <c r="E1749" s="19" t="str">
        <f t="array" ref="E1749">XLOOKUP(A1749,Data!F:F,Data!H:H)</f>
        <v>BW</v>
      </c>
      <c r="F1749" s="106" t="str">
        <f>SUMIFS(Data!J:J,Data!F:F,A1749)</f>
        <v>1</v>
      </c>
      <c r="G1749" s="106" t="str">
        <f>SUMIFS(Cast!C:C,CastElements,A1749)</f>
        <v>1</v>
      </c>
      <c r="H1749" s="106" t="str">
        <f t="shared" si="4"/>
        <v>0</v>
      </c>
      <c r="I1749" s="106" t="str">
        <f>SUMIFS(Del!C:C,Del!B:B,A1749)</f>
        <v>0</v>
      </c>
      <c r="J1749" s="106" t="str">
        <f t="shared" si="5"/>
        <v>1</v>
      </c>
      <c r="K1749" s="106" t="str">
        <f t="shared" si="6"/>
        <v>1</v>
      </c>
      <c r="L1749" s="106"/>
      <c r="M1749" s="106" t="str">
        <f>SUMIFS(Ere!C:C,Ere!B:B,A1749)</f>
        <v>0</v>
      </c>
      <c r="N1749" s="106" t="str">
        <f t="shared" si="7"/>
        <v>1</v>
      </c>
      <c r="O1749" s="107" t="str">
        <f t="array" ref="O1749">XLOOKUP(A1749,Data!F:F,Data!O:O)</f>
        <v>  2.12 </v>
      </c>
      <c r="P1749" s="107" t="str">
        <f t="shared" si="8"/>
        <v>  5.31 </v>
      </c>
      <c r="Q1749" s="27"/>
    </row>
    <row r="1750" ht="15.75" customHeight="1">
      <c r="A1750" s="105" t="s">
        <v>1994</v>
      </c>
      <c r="B1750" s="19" t="str">
        <f t="array" ref="B1750">XLOOKUP(A1750,Data!F:F,Data!G:G)</f>
        <v>J2A</v>
      </c>
      <c r="C1750" s="19" t="str">
        <f t="shared" si="3"/>
        <v>J021</v>
      </c>
      <c r="D1750" s="19" t="str">
        <f t="array" ref="D1750">XLOOKUP(A1750,Data!F:F,Data!C:C)</f>
        <v/>
      </c>
      <c r="E1750" s="19" t="str">
        <f t="array" ref="E1750">XLOOKUP(A1750,Data!F:F,Data!H:H)</f>
        <v>BW</v>
      </c>
      <c r="F1750" s="106" t="str">
        <f>SUMIFS(Data!J:J,Data!F:F,A1750)</f>
        <v>1</v>
      </c>
      <c r="G1750" s="106" t="str">
        <f>SUMIFS(Cast!C:C,CastElements,A1750)</f>
        <v>1</v>
      </c>
      <c r="H1750" s="106" t="str">
        <f t="shared" si="4"/>
        <v>0</v>
      </c>
      <c r="I1750" s="106" t="str">
        <f>SUMIFS(Del!C:C,Del!B:B,A1750)</f>
        <v>0</v>
      </c>
      <c r="J1750" s="106" t="str">
        <f t="shared" si="5"/>
        <v>1</v>
      </c>
      <c r="K1750" s="106" t="str">
        <f t="shared" si="6"/>
        <v>1</v>
      </c>
      <c r="L1750" s="106"/>
      <c r="M1750" s="106" t="str">
        <f>SUMIFS(Ere!C:C,Ere!B:B,A1750)</f>
        <v>0</v>
      </c>
      <c r="N1750" s="106" t="str">
        <f t="shared" si="7"/>
        <v>1</v>
      </c>
      <c r="O1750" s="107" t="str">
        <f t="array" ref="O1750">XLOOKUP(A1750,Data!F:F,Data!O:O)</f>
        <v>  1.99 </v>
      </c>
      <c r="P1750" s="107" t="str">
        <f t="shared" si="8"/>
        <v>  4.97 </v>
      </c>
      <c r="Q1750" s="27"/>
    </row>
    <row r="1751" ht="15.75" customHeight="1">
      <c r="A1751" s="105" t="s">
        <v>1995</v>
      </c>
      <c r="B1751" s="19" t="str">
        <f t="array" ref="B1751">XLOOKUP(A1751,Data!F:F,Data!G:G)</f>
        <v>J2A</v>
      </c>
      <c r="C1751" s="19" t="str">
        <f t="shared" si="3"/>
        <v>J021</v>
      </c>
      <c r="D1751" s="19" t="str">
        <f t="array" ref="D1751">XLOOKUP(A1751,Data!F:F,Data!C:C)</f>
        <v/>
      </c>
      <c r="E1751" s="19" t="str">
        <f t="array" ref="E1751">XLOOKUP(A1751,Data!F:F,Data!H:H)</f>
        <v>BW</v>
      </c>
      <c r="F1751" s="106" t="str">
        <f>SUMIFS(Data!J:J,Data!F:F,A1751)</f>
        <v>1</v>
      </c>
      <c r="G1751" s="106" t="str">
        <f>SUMIFS(Cast!C:C,CastElements,A1751)</f>
        <v>1</v>
      </c>
      <c r="H1751" s="106" t="str">
        <f t="shared" si="4"/>
        <v>0</v>
      </c>
      <c r="I1751" s="106" t="str">
        <f>SUMIFS(Del!C:C,Del!B:B,A1751)</f>
        <v>0</v>
      </c>
      <c r="J1751" s="106" t="str">
        <f t="shared" si="5"/>
        <v>1</v>
      </c>
      <c r="K1751" s="106" t="str">
        <f t="shared" si="6"/>
        <v>1</v>
      </c>
      <c r="L1751" s="106"/>
      <c r="M1751" s="106" t="str">
        <f>SUMIFS(Ere!C:C,Ere!B:B,A1751)</f>
        <v>0</v>
      </c>
      <c r="N1751" s="106" t="str">
        <f t="shared" si="7"/>
        <v>1</v>
      </c>
      <c r="O1751" s="107" t="str">
        <f t="array" ref="O1751">XLOOKUP(A1751,Data!F:F,Data!O:O)</f>
        <v>  1.99 </v>
      </c>
      <c r="P1751" s="107" t="str">
        <f t="shared" si="8"/>
        <v>  4.97 </v>
      </c>
      <c r="Q1751" s="27"/>
    </row>
    <row r="1752" ht="15.75" customHeight="1">
      <c r="A1752" s="105" t="s">
        <v>1996</v>
      </c>
      <c r="B1752" s="19" t="str">
        <f t="array" ref="B1752">XLOOKUP(A1752,Data!F:F,Data!G:G)</f>
        <v>J2A</v>
      </c>
      <c r="C1752" s="19" t="str">
        <f t="shared" si="3"/>
        <v>J021</v>
      </c>
      <c r="D1752" s="19" t="str">
        <f t="array" ref="D1752">XLOOKUP(A1752,Data!F:F,Data!C:C)</f>
        <v/>
      </c>
      <c r="E1752" s="19" t="str">
        <f t="array" ref="E1752">XLOOKUP(A1752,Data!F:F,Data!H:H)</f>
        <v>BW</v>
      </c>
      <c r="F1752" s="106" t="str">
        <f>SUMIFS(Data!J:J,Data!F:F,A1752)</f>
        <v>1</v>
      </c>
      <c r="G1752" s="106" t="str">
        <f>SUMIFS(Cast!C:C,CastElements,A1752)</f>
        <v>1</v>
      </c>
      <c r="H1752" s="106" t="str">
        <f t="shared" si="4"/>
        <v>0</v>
      </c>
      <c r="I1752" s="106" t="str">
        <f>SUMIFS(Del!C:C,Del!B:B,A1752)</f>
        <v>0</v>
      </c>
      <c r="J1752" s="106" t="str">
        <f t="shared" si="5"/>
        <v>1</v>
      </c>
      <c r="K1752" s="106" t="str">
        <f t="shared" si="6"/>
        <v>1</v>
      </c>
      <c r="L1752" s="106"/>
      <c r="M1752" s="106" t="str">
        <f>SUMIFS(Ere!C:C,Ere!B:B,A1752)</f>
        <v>0</v>
      </c>
      <c r="N1752" s="106" t="str">
        <f t="shared" si="7"/>
        <v>1</v>
      </c>
      <c r="O1752" s="107" t="str">
        <f t="array" ref="O1752">XLOOKUP(A1752,Data!F:F,Data!O:O)</f>
        <v>  1.99 </v>
      </c>
      <c r="P1752" s="107" t="str">
        <f t="shared" si="8"/>
        <v>  4.97 </v>
      </c>
      <c r="Q1752" s="27"/>
    </row>
    <row r="1753" ht="15.75" customHeight="1">
      <c r="A1753" s="105" t="s">
        <v>1997</v>
      </c>
      <c r="B1753" s="19" t="str">
        <f t="array" ref="B1753">XLOOKUP(A1753,Data!F:F,Data!G:G)</f>
        <v>J2A</v>
      </c>
      <c r="C1753" s="19" t="str">
        <f t="shared" si="3"/>
        <v>J021</v>
      </c>
      <c r="D1753" s="19" t="str">
        <f t="array" ref="D1753">XLOOKUP(A1753,Data!F:F,Data!C:C)</f>
        <v/>
      </c>
      <c r="E1753" s="19" t="str">
        <f t="array" ref="E1753">XLOOKUP(A1753,Data!F:F,Data!H:H)</f>
        <v>BW</v>
      </c>
      <c r="F1753" s="106" t="str">
        <f>SUMIFS(Data!J:J,Data!F:F,A1753)</f>
        <v>1</v>
      </c>
      <c r="G1753" s="106" t="str">
        <f>SUMIFS(Cast!C:C,CastElements,A1753)</f>
        <v>1</v>
      </c>
      <c r="H1753" s="106" t="str">
        <f t="shared" si="4"/>
        <v>0</v>
      </c>
      <c r="I1753" s="106" t="str">
        <f>SUMIFS(Del!C:C,Del!B:B,A1753)</f>
        <v>0</v>
      </c>
      <c r="J1753" s="106" t="str">
        <f t="shared" si="5"/>
        <v>1</v>
      </c>
      <c r="K1753" s="106" t="str">
        <f t="shared" si="6"/>
        <v>1</v>
      </c>
      <c r="L1753" s="106"/>
      <c r="M1753" s="106" t="str">
        <f>SUMIFS(Ere!C:C,Ere!B:B,A1753)</f>
        <v>0</v>
      </c>
      <c r="N1753" s="106" t="str">
        <f t="shared" si="7"/>
        <v>1</v>
      </c>
      <c r="O1753" s="107" t="str">
        <f t="array" ref="O1753">XLOOKUP(A1753,Data!F:F,Data!O:O)</f>
        <v>  1.65 </v>
      </c>
      <c r="P1753" s="107" t="str">
        <f t="shared" si="8"/>
        <v>  4.13 </v>
      </c>
      <c r="Q1753" s="27"/>
    </row>
    <row r="1754" ht="15.75" customHeight="1">
      <c r="A1754" s="105" t="s">
        <v>1998</v>
      </c>
      <c r="B1754" s="19" t="str">
        <f t="array" ref="B1754">XLOOKUP(A1754,Data!F:F,Data!G:G)</f>
        <v>J2A</v>
      </c>
      <c r="C1754" s="19" t="str">
        <f t="shared" si="3"/>
        <v>J021</v>
      </c>
      <c r="D1754" s="19" t="str">
        <f t="array" ref="D1754">XLOOKUP(A1754,Data!F:F,Data!C:C)</f>
        <v/>
      </c>
      <c r="E1754" s="19" t="str">
        <f t="array" ref="E1754">XLOOKUP(A1754,Data!F:F,Data!H:H)</f>
        <v>BW</v>
      </c>
      <c r="F1754" s="106" t="str">
        <f>SUMIFS(Data!J:J,Data!F:F,A1754)</f>
        <v>1</v>
      </c>
      <c r="G1754" s="106" t="str">
        <f>SUMIFS(Cast!C:C,CastElements,A1754)</f>
        <v>1</v>
      </c>
      <c r="H1754" s="106" t="str">
        <f t="shared" si="4"/>
        <v>0</v>
      </c>
      <c r="I1754" s="106" t="str">
        <f>SUMIFS(Del!C:C,Del!B:B,A1754)</f>
        <v>0</v>
      </c>
      <c r="J1754" s="106" t="str">
        <f t="shared" si="5"/>
        <v>1</v>
      </c>
      <c r="K1754" s="106" t="str">
        <f t="shared" si="6"/>
        <v>1</v>
      </c>
      <c r="L1754" s="106"/>
      <c r="M1754" s="106" t="str">
        <f>SUMIFS(Ere!C:C,Ere!B:B,A1754)</f>
        <v>0</v>
      </c>
      <c r="N1754" s="106" t="str">
        <f t="shared" si="7"/>
        <v>1</v>
      </c>
      <c r="O1754" s="107" t="str">
        <f t="array" ref="O1754">XLOOKUP(A1754,Data!F:F,Data!O:O)</f>
        <v>  0.35 </v>
      </c>
      <c r="P1754" s="107" t="str">
        <f t="shared" si="8"/>
        <v>  0.87 </v>
      </c>
      <c r="Q1754" s="27"/>
    </row>
    <row r="1755" ht="15.75" customHeight="1">
      <c r="A1755" s="105" t="s">
        <v>1999</v>
      </c>
      <c r="B1755" s="19" t="str">
        <f t="array" ref="B1755">XLOOKUP(A1755,Data!F:F,Data!G:G)</f>
        <v>J2A</v>
      </c>
      <c r="C1755" s="19" t="str">
        <f t="shared" si="3"/>
        <v>J021</v>
      </c>
      <c r="D1755" s="19" t="str">
        <f t="array" ref="D1755">XLOOKUP(A1755,Data!F:F,Data!C:C)</f>
        <v/>
      </c>
      <c r="E1755" s="19" t="str">
        <f t="array" ref="E1755">XLOOKUP(A1755,Data!F:F,Data!H:H)</f>
        <v>CF</v>
      </c>
      <c r="F1755" s="106" t="str">
        <f>SUMIFS(Data!J:J,Data!F:F,A1755)</f>
        <v>1</v>
      </c>
      <c r="G1755" s="106" t="str">
        <f>SUMIFS(Cast!C:C,CastElements,A1755)</f>
        <v>1</v>
      </c>
      <c r="H1755" s="106" t="str">
        <f t="shared" si="4"/>
        <v>0</v>
      </c>
      <c r="I1755" s="106" t="str">
        <f>SUMIFS(Del!C:C,Del!B:B,A1755)</f>
        <v>0</v>
      </c>
      <c r="J1755" s="106" t="str">
        <f t="shared" si="5"/>
        <v>1</v>
      </c>
      <c r="K1755" s="106" t="str">
        <f t="shared" si="6"/>
        <v>1</v>
      </c>
      <c r="L1755" s="106"/>
      <c r="M1755" s="106" t="str">
        <f>SUMIFS(Ere!C:C,Ere!B:B,A1755)</f>
        <v>0</v>
      </c>
      <c r="N1755" s="106" t="str">
        <f t="shared" si="7"/>
        <v>1</v>
      </c>
      <c r="O1755" s="107" t="str">
        <f t="array" ref="O1755">XLOOKUP(A1755,Data!F:F,Data!O:O)</f>
        <v>  0.47 </v>
      </c>
      <c r="P1755" s="107" t="str">
        <f t="shared" si="8"/>
        <v>  1.18 </v>
      </c>
      <c r="Q1755" s="27"/>
    </row>
    <row r="1756" ht="15.75" customHeight="1">
      <c r="A1756" s="105" t="s">
        <v>2000</v>
      </c>
      <c r="B1756" s="19" t="str">
        <f t="array" ref="B1756">XLOOKUP(A1756,Data!F:F,Data!G:G)</f>
        <v>J2A</v>
      </c>
      <c r="C1756" s="19" t="str">
        <f t="shared" si="3"/>
        <v>J021</v>
      </c>
      <c r="D1756" s="19" t="str">
        <f t="array" ref="D1756">XLOOKUP(A1756,Data!F:F,Data!C:C)</f>
        <v>EXT</v>
      </c>
      <c r="E1756" s="19" t="str">
        <f t="array" ref="E1756">XLOOKUP(A1756,Data!F:F,Data!H:H)</f>
        <v>BW</v>
      </c>
      <c r="F1756" s="106" t="str">
        <f>SUMIFS(Data!J:J,Data!F:F,A1756)</f>
        <v>1</v>
      </c>
      <c r="G1756" s="106" t="str">
        <f>SUMIFS(Cast!C:C,CastElements,A1756)</f>
        <v>1</v>
      </c>
      <c r="H1756" s="106" t="str">
        <f t="shared" si="4"/>
        <v>0</v>
      </c>
      <c r="I1756" s="106" t="str">
        <f>SUMIFS(Del!C:C,Del!B:B,A1756)</f>
        <v>0</v>
      </c>
      <c r="J1756" s="106" t="str">
        <f t="shared" si="5"/>
        <v>1</v>
      </c>
      <c r="K1756" s="106" t="str">
        <f t="shared" si="6"/>
        <v>1</v>
      </c>
      <c r="L1756" s="106"/>
      <c r="M1756" s="106" t="str">
        <f>SUMIFS(Ere!C:C,Ere!B:B,A1756)</f>
        <v>0</v>
      </c>
      <c r="N1756" s="106" t="str">
        <f t="shared" si="7"/>
        <v>1</v>
      </c>
      <c r="O1756" s="107" t="str">
        <f t="array" ref="O1756">XLOOKUP(A1756,Data!F:F,Data!O:O)</f>
        <v>  0.99 </v>
      </c>
      <c r="P1756" s="107" t="str">
        <f t="shared" si="8"/>
        <v>  2.49 </v>
      </c>
      <c r="Q1756" s="27"/>
    </row>
    <row r="1757" ht="15.75" customHeight="1">
      <c r="A1757" s="105" t="s">
        <v>2001</v>
      </c>
      <c r="B1757" s="19" t="str">
        <f t="array" ref="B1757">XLOOKUP(A1757,Data!F:F,Data!G:G)</f>
        <v>J2A</v>
      </c>
      <c r="C1757" s="19" t="str">
        <f t="shared" si="3"/>
        <v>J021</v>
      </c>
      <c r="D1757" s="19" t="str">
        <f t="array" ref="D1757">XLOOKUP(A1757,Data!F:F,Data!C:C)</f>
        <v>EXT</v>
      </c>
      <c r="E1757" s="19" t="str">
        <f t="array" ref="E1757">XLOOKUP(A1757,Data!F:F,Data!H:H)</f>
        <v>BW</v>
      </c>
      <c r="F1757" s="106" t="str">
        <f>SUMIFS(Data!J:J,Data!F:F,A1757)</f>
        <v>1</v>
      </c>
      <c r="G1757" s="106" t="str">
        <f>SUMIFS(Cast!C:C,CastElements,A1757)</f>
        <v>1</v>
      </c>
      <c r="H1757" s="106" t="str">
        <f t="shared" si="4"/>
        <v>0</v>
      </c>
      <c r="I1757" s="106" t="str">
        <f>SUMIFS(Del!C:C,Del!B:B,A1757)</f>
        <v>0</v>
      </c>
      <c r="J1757" s="106" t="str">
        <f t="shared" si="5"/>
        <v>1</v>
      </c>
      <c r="K1757" s="106" t="str">
        <f t="shared" si="6"/>
        <v>1</v>
      </c>
      <c r="L1757" s="106"/>
      <c r="M1757" s="106" t="str">
        <f>SUMIFS(Ere!C:C,Ere!B:B,A1757)</f>
        <v>0</v>
      </c>
      <c r="N1757" s="106" t="str">
        <f t="shared" si="7"/>
        <v>1</v>
      </c>
      <c r="O1757" s="107" t="str">
        <f t="array" ref="O1757">XLOOKUP(A1757,Data!F:F,Data!O:O)</f>
        <v>  0.99 </v>
      </c>
      <c r="P1757" s="107" t="str">
        <f t="shared" si="8"/>
        <v>  2.49 </v>
      </c>
      <c r="Q1757" s="27"/>
    </row>
    <row r="1758" ht="15.75" customHeight="1">
      <c r="A1758" s="105" t="s">
        <v>2002</v>
      </c>
      <c r="B1758" s="19" t="str">
        <f t="array" ref="B1758">XLOOKUP(A1758,Data!F:F,Data!G:G)</f>
        <v>J2A</v>
      </c>
      <c r="C1758" s="19" t="str">
        <f t="shared" si="3"/>
        <v>J021</v>
      </c>
      <c r="D1758" s="19" t="str">
        <f t="array" ref="D1758">XLOOKUP(A1758,Data!F:F,Data!C:C)</f>
        <v>EXT</v>
      </c>
      <c r="E1758" s="19" t="str">
        <f t="array" ref="E1758">XLOOKUP(A1758,Data!F:F,Data!H:H)</f>
        <v>BW</v>
      </c>
      <c r="F1758" s="106" t="str">
        <f>SUMIFS(Data!J:J,Data!F:F,A1758)</f>
        <v>1</v>
      </c>
      <c r="G1758" s="106" t="str">
        <f>SUMIFS(Cast!C:C,CastElements,A1758)</f>
        <v>1</v>
      </c>
      <c r="H1758" s="106" t="str">
        <f t="shared" si="4"/>
        <v>0</v>
      </c>
      <c r="I1758" s="106" t="str">
        <f>SUMIFS(Del!C:C,Del!B:B,A1758)</f>
        <v>0</v>
      </c>
      <c r="J1758" s="106" t="str">
        <f t="shared" si="5"/>
        <v>1</v>
      </c>
      <c r="K1758" s="106" t="str">
        <f t="shared" si="6"/>
        <v>1</v>
      </c>
      <c r="L1758" s="106"/>
      <c r="M1758" s="106" t="str">
        <f>SUMIFS(Ere!C:C,Ere!B:B,A1758)</f>
        <v>0</v>
      </c>
      <c r="N1758" s="106" t="str">
        <f t="shared" si="7"/>
        <v>1</v>
      </c>
      <c r="O1758" s="107" t="str">
        <f t="array" ref="O1758">XLOOKUP(A1758,Data!F:F,Data!O:O)</f>
        <v>  0.88 </v>
      </c>
      <c r="P1758" s="107" t="str">
        <f t="shared" si="8"/>
        <v>  2.20 </v>
      </c>
      <c r="Q1758" s="27"/>
    </row>
    <row r="1759" ht="15.75" customHeight="1">
      <c r="A1759" s="105" t="s">
        <v>2003</v>
      </c>
      <c r="B1759" s="19" t="str">
        <f t="array" ref="B1759">XLOOKUP(A1759,Data!F:F,Data!G:G)</f>
        <v>J2A</v>
      </c>
      <c r="C1759" s="19" t="str">
        <f t="shared" si="3"/>
        <v>J021</v>
      </c>
      <c r="D1759" s="19" t="str">
        <f t="array" ref="D1759">XLOOKUP(A1759,Data!F:F,Data!C:C)</f>
        <v/>
      </c>
      <c r="E1759" s="19" t="str">
        <f t="array" ref="E1759">XLOOKUP(A1759,Data!F:F,Data!H:H)</f>
        <v>BW</v>
      </c>
      <c r="F1759" s="106" t="str">
        <f>SUMIFS(Data!J:J,Data!F:F,A1759)</f>
        <v>1</v>
      </c>
      <c r="G1759" s="106" t="str">
        <f>SUMIFS(Cast!C:C,CastElements,A1759)</f>
        <v>1</v>
      </c>
      <c r="H1759" s="106" t="str">
        <f t="shared" si="4"/>
        <v>0</v>
      </c>
      <c r="I1759" s="106" t="str">
        <f>SUMIFS(Del!C:C,Del!B:B,A1759)</f>
        <v>0</v>
      </c>
      <c r="J1759" s="106" t="str">
        <f t="shared" si="5"/>
        <v>1</v>
      </c>
      <c r="K1759" s="106" t="str">
        <f t="shared" si="6"/>
        <v>1</v>
      </c>
      <c r="L1759" s="106"/>
      <c r="M1759" s="106" t="str">
        <f>SUMIFS(Ere!C:C,Ere!B:B,A1759)</f>
        <v>0</v>
      </c>
      <c r="N1759" s="106" t="str">
        <f t="shared" si="7"/>
        <v>1</v>
      </c>
      <c r="O1759" s="107" t="str">
        <f t="array" ref="O1759">XLOOKUP(A1759,Data!F:F,Data!O:O)</f>
        <v>  1.18 </v>
      </c>
      <c r="P1759" s="107" t="str">
        <f t="shared" si="8"/>
        <v>  2.96 </v>
      </c>
      <c r="Q1759" s="27"/>
    </row>
    <row r="1760" ht="15.75" customHeight="1">
      <c r="A1760" s="105" t="s">
        <v>2004</v>
      </c>
      <c r="B1760" s="19" t="str">
        <f t="array" ref="B1760">XLOOKUP(A1760,Data!F:F,Data!G:G)</f>
        <v>J2A</v>
      </c>
      <c r="C1760" s="19" t="str">
        <f t="shared" si="3"/>
        <v>J021</v>
      </c>
      <c r="D1760" s="19" t="str">
        <f t="array" ref="D1760">XLOOKUP(A1760,Data!F:F,Data!C:C)</f>
        <v/>
      </c>
      <c r="E1760" s="19" t="str">
        <f t="array" ref="E1760">XLOOKUP(A1760,Data!F:F,Data!H:H)</f>
        <v>BW</v>
      </c>
      <c r="F1760" s="106" t="str">
        <f>SUMIFS(Data!J:J,Data!F:F,A1760)</f>
        <v>1</v>
      </c>
      <c r="G1760" s="106" t="str">
        <f>SUMIFS(Cast!C:C,CastElements,A1760)</f>
        <v>1</v>
      </c>
      <c r="H1760" s="106" t="str">
        <f t="shared" si="4"/>
        <v>0</v>
      </c>
      <c r="I1760" s="106" t="str">
        <f>SUMIFS(Del!C:C,Del!B:B,A1760)</f>
        <v>0</v>
      </c>
      <c r="J1760" s="106" t="str">
        <f t="shared" si="5"/>
        <v>1</v>
      </c>
      <c r="K1760" s="106" t="str">
        <f t="shared" si="6"/>
        <v>1</v>
      </c>
      <c r="L1760" s="106"/>
      <c r="M1760" s="106" t="str">
        <f>SUMIFS(Ere!C:C,Ere!B:B,A1760)</f>
        <v>0</v>
      </c>
      <c r="N1760" s="106" t="str">
        <f t="shared" si="7"/>
        <v>1</v>
      </c>
      <c r="O1760" s="107" t="str">
        <f t="array" ref="O1760">XLOOKUP(A1760,Data!F:F,Data!O:O)</f>
        <v>  1.12 </v>
      </c>
      <c r="P1760" s="107" t="str">
        <f t="shared" si="8"/>
        <v>  2.80 </v>
      </c>
      <c r="Q1760" s="27"/>
    </row>
    <row r="1761" ht="15.75" customHeight="1">
      <c r="A1761" s="105" t="s">
        <v>2005</v>
      </c>
      <c r="B1761" s="19" t="str">
        <f t="array" ref="B1761">XLOOKUP(A1761,Data!F:F,Data!G:G)</f>
        <v>J2A</v>
      </c>
      <c r="C1761" s="19" t="str">
        <f t="shared" si="3"/>
        <v>J021</v>
      </c>
      <c r="D1761" s="19" t="str">
        <f t="array" ref="D1761">XLOOKUP(A1761,Data!F:F,Data!C:C)</f>
        <v/>
      </c>
      <c r="E1761" s="19" t="str">
        <f t="array" ref="E1761">XLOOKUP(A1761,Data!F:F,Data!H:H)</f>
        <v>BW</v>
      </c>
      <c r="F1761" s="106" t="str">
        <f>SUMIFS(Data!J:J,Data!F:F,A1761)</f>
        <v>1</v>
      </c>
      <c r="G1761" s="106" t="str">
        <f>SUMIFS(Cast!C:C,CastElements,A1761)</f>
        <v>1</v>
      </c>
      <c r="H1761" s="106" t="str">
        <f t="shared" si="4"/>
        <v>0</v>
      </c>
      <c r="I1761" s="106" t="str">
        <f>SUMIFS(Del!C:C,Del!B:B,A1761)</f>
        <v>0</v>
      </c>
      <c r="J1761" s="106" t="str">
        <f t="shared" si="5"/>
        <v>1</v>
      </c>
      <c r="K1761" s="106" t="str">
        <f t="shared" si="6"/>
        <v>1</v>
      </c>
      <c r="L1761" s="106"/>
      <c r="M1761" s="106" t="str">
        <f>SUMIFS(Ere!C:C,Ere!B:B,A1761)</f>
        <v>0</v>
      </c>
      <c r="N1761" s="106" t="str">
        <f t="shared" si="7"/>
        <v>1</v>
      </c>
      <c r="O1761" s="107" t="str">
        <f t="array" ref="O1761">XLOOKUP(A1761,Data!F:F,Data!O:O)</f>
        <v>  1.26 </v>
      </c>
      <c r="P1761" s="107" t="str">
        <f t="shared" si="8"/>
        <v>  3.16 </v>
      </c>
      <c r="Q1761" s="27"/>
    </row>
    <row r="1762" ht="15.75" customHeight="1">
      <c r="A1762" s="105" t="s">
        <v>2006</v>
      </c>
      <c r="B1762" s="19" t="str">
        <f t="array" ref="B1762">XLOOKUP(A1762,Data!F:F,Data!G:G)</f>
        <v>J2A</v>
      </c>
      <c r="C1762" s="19" t="str">
        <f t="shared" si="3"/>
        <v>J021</v>
      </c>
      <c r="D1762" s="19" t="str">
        <f t="array" ref="D1762">XLOOKUP(A1762,Data!F:F,Data!C:C)</f>
        <v/>
      </c>
      <c r="E1762" s="19" t="str">
        <f t="array" ref="E1762">XLOOKUP(A1762,Data!F:F,Data!H:H)</f>
        <v>BW</v>
      </c>
      <c r="F1762" s="106" t="str">
        <f>SUMIFS(Data!J:J,Data!F:F,A1762)</f>
        <v>1</v>
      </c>
      <c r="G1762" s="106" t="str">
        <f>SUMIFS(Cast!C:C,CastElements,A1762)</f>
        <v>1</v>
      </c>
      <c r="H1762" s="106" t="str">
        <f t="shared" si="4"/>
        <v>0</v>
      </c>
      <c r="I1762" s="106" t="str">
        <f>SUMIFS(Del!C:C,Del!B:B,A1762)</f>
        <v>0</v>
      </c>
      <c r="J1762" s="106" t="str">
        <f t="shared" si="5"/>
        <v>1</v>
      </c>
      <c r="K1762" s="106" t="str">
        <f t="shared" si="6"/>
        <v>1</v>
      </c>
      <c r="L1762" s="106"/>
      <c r="M1762" s="106" t="str">
        <f>SUMIFS(Ere!C:C,Ere!B:B,A1762)</f>
        <v>0</v>
      </c>
      <c r="N1762" s="106" t="str">
        <f t="shared" si="7"/>
        <v>1</v>
      </c>
      <c r="O1762" s="107" t="str">
        <f t="array" ref="O1762">XLOOKUP(A1762,Data!F:F,Data!O:O)</f>
        <v>  1.46 </v>
      </c>
      <c r="P1762" s="107" t="str">
        <f t="shared" si="8"/>
        <v>  3.66 </v>
      </c>
      <c r="Q1762" s="27"/>
    </row>
    <row r="1763" ht="15.75" customHeight="1">
      <c r="A1763" s="105" t="s">
        <v>2007</v>
      </c>
      <c r="B1763" s="19" t="str">
        <f t="array" ref="B1763">XLOOKUP(A1763,Data!F:F,Data!G:G)</f>
        <v>J2A</v>
      </c>
      <c r="C1763" s="19" t="str">
        <f t="shared" si="3"/>
        <v>J021</v>
      </c>
      <c r="D1763" s="19" t="str">
        <f t="array" ref="D1763">XLOOKUP(A1763,Data!F:F,Data!C:C)</f>
        <v/>
      </c>
      <c r="E1763" s="19" t="str">
        <f t="array" ref="E1763">XLOOKUP(A1763,Data!F:F,Data!H:H)</f>
        <v>BW</v>
      </c>
      <c r="F1763" s="106" t="str">
        <f>SUMIFS(Data!J:J,Data!F:F,A1763)</f>
        <v>1</v>
      </c>
      <c r="G1763" s="106" t="str">
        <f>SUMIFS(Cast!C:C,CastElements,A1763)</f>
        <v>1</v>
      </c>
      <c r="H1763" s="106" t="str">
        <f t="shared" si="4"/>
        <v>0</v>
      </c>
      <c r="I1763" s="106" t="str">
        <f>SUMIFS(Del!C:C,Del!B:B,A1763)</f>
        <v>0</v>
      </c>
      <c r="J1763" s="106" t="str">
        <f t="shared" si="5"/>
        <v>1</v>
      </c>
      <c r="K1763" s="106" t="str">
        <f t="shared" si="6"/>
        <v>1</v>
      </c>
      <c r="L1763" s="106"/>
      <c r="M1763" s="106" t="str">
        <f>SUMIFS(Ere!C:C,Ere!B:B,A1763)</f>
        <v>0</v>
      </c>
      <c r="N1763" s="106" t="str">
        <f t="shared" si="7"/>
        <v>1</v>
      </c>
      <c r="O1763" s="107" t="str">
        <f t="array" ref="O1763">XLOOKUP(A1763,Data!F:F,Data!O:O)</f>
        <v>  1.37 </v>
      </c>
      <c r="P1763" s="107" t="str">
        <f t="shared" si="8"/>
        <v>  3.43 </v>
      </c>
      <c r="Q1763" s="27"/>
    </row>
    <row r="1764" ht="15.75" customHeight="1">
      <c r="A1764" s="105" t="s">
        <v>2008</v>
      </c>
      <c r="B1764" s="19" t="str">
        <f t="array" ref="B1764">XLOOKUP(A1764,Data!F:F,Data!G:G)</f>
        <v>J2A</v>
      </c>
      <c r="C1764" s="19" t="str">
        <f t="shared" si="3"/>
        <v>J021</v>
      </c>
      <c r="D1764" s="19" t="str">
        <f t="array" ref="D1764">XLOOKUP(A1764,Data!F:F,Data!C:C)</f>
        <v/>
      </c>
      <c r="E1764" s="19" t="str">
        <f t="array" ref="E1764">XLOOKUP(A1764,Data!F:F,Data!H:H)</f>
        <v>BW</v>
      </c>
      <c r="F1764" s="106" t="str">
        <f>SUMIFS(Data!J:J,Data!F:F,A1764)</f>
        <v>1</v>
      </c>
      <c r="G1764" s="106" t="str">
        <f>SUMIFS(Cast!C:C,CastElements,A1764)</f>
        <v>1</v>
      </c>
      <c r="H1764" s="106" t="str">
        <f t="shared" si="4"/>
        <v>0</v>
      </c>
      <c r="I1764" s="106" t="str">
        <f>SUMIFS(Del!C:C,Del!B:B,A1764)</f>
        <v>0</v>
      </c>
      <c r="J1764" s="106" t="str">
        <f t="shared" si="5"/>
        <v>1</v>
      </c>
      <c r="K1764" s="106" t="str">
        <f t="shared" si="6"/>
        <v>1</v>
      </c>
      <c r="L1764" s="106"/>
      <c r="M1764" s="106" t="str">
        <f>SUMIFS(Ere!C:C,Ere!B:B,A1764)</f>
        <v>0</v>
      </c>
      <c r="N1764" s="106" t="str">
        <f t="shared" si="7"/>
        <v>1</v>
      </c>
      <c r="O1764" s="107" t="str">
        <f t="array" ref="O1764">XLOOKUP(A1764,Data!F:F,Data!O:O)</f>
        <v>  1.90 </v>
      </c>
      <c r="P1764" s="107" t="str">
        <f t="shared" si="8"/>
        <v>  4.75 </v>
      </c>
      <c r="Q1764" s="27"/>
    </row>
    <row r="1765" ht="15.75" customHeight="1">
      <c r="A1765" s="105" t="s">
        <v>2009</v>
      </c>
      <c r="B1765" s="19" t="str">
        <f t="array" ref="B1765">XLOOKUP(A1765,Data!F:F,Data!G:G)</f>
        <v>J2A</v>
      </c>
      <c r="C1765" s="19" t="str">
        <f t="shared" si="3"/>
        <v>J022</v>
      </c>
      <c r="D1765" s="19" t="str">
        <f t="array" ref="D1765">XLOOKUP(A1765,Data!F:F,Data!C:C)</f>
        <v>EXT</v>
      </c>
      <c r="E1765" s="19" t="str">
        <f t="array" ref="E1765">XLOOKUP(A1765,Data!F:F,Data!H:H)</f>
        <v>BW</v>
      </c>
      <c r="F1765" s="106" t="str">
        <f>SUMIFS(Data!J:J,Data!F:F,A1765)</f>
        <v>1</v>
      </c>
      <c r="G1765" s="106" t="str">
        <f>SUMIFS(Cast!C:C,CastElements,A1765)</f>
        <v>1</v>
      </c>
      <c r="H1765" s="106" t="str">
        <f t="shared" si="4"/>
        <v>0</v>
      </c>
      <c r="I1765" s="106" t="str">
        <f>SUMIFS(Del!C:C,Del!B:B,A1765)</f>
        <v>0</v>
      </c>
      <c r="J1765" s="106" t="str">
        <f t="shared" si="5"/>
        <v>1</v>
      </c>
      <c r="K1765" s="106" t="str">
        <f t="shared" si="6"/>
        <v>1</v>
      </c>
      <c r="L1765" s="106"/>
      <c r="M1765" s="106" t="str">
        <f>SUMIFS(Ere!C:C,Ere!B:B,A1765)</f>
        <v>0</v>
      </c>
      <c r="N1765" s="106" t="str">
        <f t="shared" si="7"/>
        <v>1</v>
      </c>
      <c r="O1765" s="107" t="str">
        <f t="array" ref="O1765">XLOOKUP(A1765,Data!F:F,Data!O:O)</f>
        <v>  0.79 </v>
      </c>
      <c r="P1765" s="107" t="str">
        <f t="shared" si="8"/>
        <v>  1.98 </v>
      </c>
      <c r="Q1765" s="27"/>
    </row>
    <row r="1766" ht="15.75" customHeight="1">
      <c r="A1766" s="105" t="s">
        <v>2010</v>
      </c>
      <c r="B1766" s="19" t="str">
        <f t="array" ref="B1766">XLOOKUP(A1766,Data!F:F,Data!G:G)</f>
        <v>J2A</v>
      </c>
      <c r="C1766" s="19" t="str">
        <f t="shared" si="3"/>
        <v>J022</v>
      </c>
      <c r="D1766" s="19" t="str">
        <f t="array" ref="D1766">XLOOKUP(A1766,Data!F:F,Data!C:C)</f>
        <v>EXT</v>
      </c>
      <c r="E1766" s="19" t="str">
        <f t="array" ref="E1766">XLOOKUP(A1766,Data!F:F,Data!H:H)</f>
        <v>BW</v>
      </c>
      <c r="F1766" s="106" t="str">
        <f>SUMIFS(Data!J:J,Data!F:F,A1766)</f>
        <v>1</v>
      </c>
      <c r="G1766" s="106" t="str">
        <f>SUMIFS(Cast!C:C,CastElements,A1766)</f>
        <v>0</v>
      </c>
      <c r="H1766" s="106" t="str">
        <f t="shared" si="4"/>
        <v>1</v>
      </c>
      <c r="I1766" s="106" t="str">
        <f>SUMIFS(Del!C:C,Del!B:B,A1766)</f>
        <v>0</v>
      </c>
      <c r="J1766" s="106" t="str">
        <f t="shared" si="5"/>
        <v>1</v>
      </c>
      <c r="K1766" s="106" t="str">
        <f t="shared" si="6"/>
        <v>0</v>
      </c>
      <c r="L1766" s="106"/>
      <c r="M1766" s="106" t="str">
        <f>SUMIFS(Ere!C:C,Ere!B:B,A1766)</f>
        <v>0</v>
      </c>
      <c r="N1766" s="106" t="str">
        <f t="shared" si="7"/>
        <v>1</v>
      </c>
      <c r="O1766" s="107" t="str">
        <f t="array" ref="O1766">XLOOKUP(A1766,Data!F:F,Data!O:O)</f>
        <v>  1.17 </v>
      </c>
      <c r="P1766" s="107" t="str">
        <f t="shared" si="8"/>
        <v>  2.92 </v>
      </c>
      <c r="Q1766" s="27"/>
    </row>
    <row r="1767" ht="15.75" customHeight="1">
      <c r="A1767" s="105" t="s">
        <v>2011</v>
      </c>
      <c r="B1767" s="19" t="str">
        <f t="array" ref="B1767">XLOOKUP(A1767,Data!F:F,Data!G:G)</f>
        <v>J2A</v>
      </c>
      <c r="C1767" s="19" t="str">
        <f t="shared" si="3"/>
        <v>J022</v>
      </c>
      <c r="D1767" s="19" t="str">
        <f t="array" ref="D1767">XLOOKUP(A1767,Data!F:F,Data!C:C)</f>
        <v>EXT</v>
      </c>
      <c r="E1767" s="19" t="str">
        <f t="array" ref="E1767">XLOOKUP(A1767,Data!F:F,Data!H:H)</f>
        <v>BW</v>
      </c>
      <c r="F1767" s="106" t="str">
        <f>SUMIFS(Data!J:J,Data!F:F,A1767)</f>
        <v>1</v>
      </c>
      <c r="G1767" s="106" t="str">
        <f>SUMIFS(Cast!C:C,CastElements,A1767)</f>
        <v>1</v>
      </c>
      <c r="H1767" s="106" t="str">
        <f t="shared" si="4"/>
        <v>0</v>
      </c>
      <c r="I1767" s="106" t="str">
        <f>SUMIFS(Del!C:C,Del!B:B,A1767)</f>
        <v>0</v>
      </c>
      <c r="J1767" s="106" t="str">
        <f t="shared" si="5"/>
        <v>1</v>
      </c>
      <c r="K1767" s="106" t="str">
        <f t="shared" si="6"/>
        <v>1</v>
      </c>
      <c r="L1767" s="106"/>
      <c r="M1767" s="106" t="str">
        <f>SUMIFS(Ere!C:C,Ere!B:B,A1767)</f>
        <v>0</v>
      </c>
      <c r="N1767" s="106" t="str">
        <f t="shared" si="7"/>
        <v>1</v>
      </c>
      <c r="O1767" s="107" t="str">
        <f t="array" ref="O1767">XLOOKUP(A1767,Data!F:F,Data!O:O)</f>
        <v>  0.99 </v>
      </c>
      <c r="P1767" s="107" t="str">
        <f t="shared" si="8"/>
        <v>  2.48 </v>
      </c>
      <c r="Q1767" s="27"/>
    </row>
    <row r="1768" ht="15.75" customHeight="1">
      <c r="A1768" s="105" t="s">
        <v>2012</v>
      </c>
      <c r="B1768" s="19" t="str">
        <f t="array" ref="B1768">XLOOKUP(A1768,Data!F:F,Data!G:G)</f>
        <v>J2A</v>
      </c>
      <c r="C1768" s="19" t="str">
        <f t="shared" si="3"/>
        <v>J022</v>
      </c>
      <c r="D1768" s="19" t="str">
        <f t="array" ref="D1768">XLOOKUP(A1768,Data!F:F,Data!C:C)</f>
        <v/>
      </c>
      <c r="E1768" s="19" t="str">
        <f t="array" ref="E1768">XLOOKUP(A1768,Data!F:F,Data!H:H)</f>
        <v>BW</v>
      </c>
      <c r="F1768" s="106" t="str">
        <f>SUMIFS(Data!J:J,Data!F:F,A1768)</f>
        <v>1</v>
      </c>
      <c r="G1768" s="106" t="str">
        <f>SUMIFS(Cast!C:C,CastElements,A1768)</f>
        <v>1</v>
      </c>
      <c r="H1768" s="106" t="str">
        <f t="shared" si="4"/>
        <v>0</v>
      </c>
      <c r="I1768" s="106" t="str">
        <f>SUMIFS(Del!C:C,Del!B:B,A1768)</f>
        <v>0</v>
      </c>
      <c r="J1768" s="106" t="str">
        <f t="shared" si="5"/>
        <v>1</v>
      </c>
      <c r="K1768" s="106" t="str">
        <f t="shared" si="6"/>
        <v>1</v>
      </c>
      <c r="L1768" s="106"/>
      <c r="M1768" s="106" t="str">
        <f>SUMIFS(Ere!C:C,Ere!B:B,A1768)</f>
        <v>0</v>
      </c>
      <c r="N1768" s="106" t="str">
        <f t="shared" si="7"/>
        <v>1</v>
      </c>
      <c r="O1768" s="107" t="str">
        <f t="array" ref="O1768">XLOOKUP(A1768,Data!F:F,Data!O:O)</f>
        <v>  1.65 </v>
      </c>
      <c r="P1768" s="107" t="str">
        <f t="shared" si="8"/>
        <v>  4.13 </v>
      </c>
      <c r="Q1768" s="27"/>
    </row>
    <row r="1769" ht="15.75" customHeight="1">
      <c r="A1769" s="105" t="s">
        <v>2013</v>
      </c>
      <c r="B1769" s="19" t="str">
        <f t="array" ref="B1769">XLOOKUP(A1769,Data!F:F,Data!G:G)</f>
        <v>J2A</v>
      </c>
      <c r="C1769" s="19" t="str">
        <f t="shared" si="3"/>
        <v>J022</v>
      </c>
      <c r="D1769" s="19" t="str">
        <f t="array" ref="D1769">XLOOKUP(A1769,Data!F:F,Data!C:C)</f>
        <v/>
      </c>
      <c r="E1769" s="19" t="str">
        <f t="array" ref="E1769">XLOOKUP(A1769,Data!F:F,Data!H:H)</f>
        <v>BW</v>
      </c>
      <c r="F1769" s="106" t="str">
        <f>SUMIFS(Data!J:J,Data!F:F,A1769)</f>
        <v>1</v>
      </c>
      <c r="G1769" s="106" t="str">
        <f>SUMIFS(Cast!C:C,CastElements,A1769)</f>
        <v>1</v>
      </c>
      <c r="H1769" s="106" t="str">
        <f t="shared" si="4"/>
        <v>0</v>
      </c>
      <c r="I1769" s="106" t="str">
        <f>SUMIFS(Del!C:C,Del!B:B,A1769)</f>
        <v>0</v>
      </c>
      <c r="J1769" s="106" t="str">
        <f t="shared" si="5"/>
        <v>1</v>
      </c>
      <c r="K1769" s="106" t="str">
        <f t="shared" si="6"/>
        <v>1</v>
      </c>
      <c r="L1769" s="106"/>
      <c r="M1769" s="106" t="str">
        <f>SUMIFS(Ere!C:C,Ere!B:B,A1769)</f>
        <v>0</v>
      </c>
      <c r="N1769" s="106" t="str">
        <f t="shared" si="7"/>
        <v>1</v>
      </c>
      <c r="O1769" s="107" t="str">
        <f t="array" ref="O1769">XLOOKUP(A1769,Data!F:F,Data!O:O)</f>
        <v>  1.99 </v>
      </c>
      <c r="P1769" s="107" t="str">
        <f t="shared" si="8"/>
        <v>  4.97 </v>
      </c>
      <c r="Q1769" s="27"/>
    </row>
    <row r="1770" ht="15.75" customHeight="1">
      <c r="A1770" s="105" t="s">
        <v>2014</v>
      </c>
      <c r="B1770" s="19" t="str">
        <f t="array" ref="B1770">XLOOKUP(A1770,Data!F:F,Data!G:G)</f>
        <v>J2A</v>
      </c>
      <c r="C1770" s="19" t="str">
        <f t="shared" si="3"/>
        <v>J022</v>
      </c>
      <c r="D1770" s="19" t="str">
        <f t="array" ref="D1770">XLOOKUP(A1770,Data!F:F,Data!C:C)</f>
        <v/>
      </c>
      <c r="E1770" s="19" t="str">
        <f t="array" ref="E1770">XLOOKUP(A1770,Data!F:F,Data!H:H)</f>
        <v>BW</v>
      </c>
      <c r="F1770" s="106" t="str">
        <f>SUMIFS(Data!J:J,Data!F:F,A1770)</f>
        <v>1</v>
      </c>
      <c r="G1770" s="106" t="str">
        <f>SUMIFS(Cast!C:C,CastElements,A1770)</f>
        <v>1</v>
      </c>
      <c r="H1770" s="106" t="str">
        <f t="shared" si="4"/>
        <v>0</v>
      </c>
      <c r="I1770" s="106" t="str">
        <f>SUMIFS(Del!C:C,Del!B:B,A1770)</f>
        <v>0</v>
      </c>
      <c r="J1770" s="106" t="str">
        <f t="shared" si="5"/>
        <v>1</v>
      </c>
      <c r="K1770" s="106" t="str">
        <f t="shared" si="6"/>
        <v>1</v>
      </c>
      <c r="L1770" s="106"/>
      <c r="M1770" s="106" t="str">
        <f>SUMIFS(Ere!C:C,Ere!B:B,A1770)</f>
        <v>0</v>
      </c>
      <c r="N1770" s="106" t="str">
        <f t="shared" si="7"/>
        <v>1</v>
      </c>
      <c r="O1770" s="107" t="str">
        <f t="array" ref="O1770">XLOOKUP(A1770,Data!F:F,Data!O:O)</f>
        <v>  1.99 </v>
      </c>
      <c r="P1770" s="107" t="str">
        <f t="shared" si="8"/>
        <v>  4.97 </v>
      </c>
      <c r="Q1770" s="27"/>
    </row>
    <row r="1771" ht="15.75" customHeight="1">
      <c r="A1771" s="105" t="s">
        <v>2015</v>
      </c>
      <c r="B1771" s="19" t="str">
        <f t="array" ref="B1771">XLOOKUP(A1771,Data!F:F,Data!G:G)</f>
        <v>J2A</v>
      </c>
      <c r="C1771" s="19" t="str">
        <f t="shared" si="3"/>
        <v>J022</v>
      </c>
      <c r="D1771" s="19" t="str">
        <f t="array" ref="D1771">XLOOKUP(A1771,Data!F:F,Data!C:C)</f>
        <v/>
      </c>
      <c r="E1771" s="19" t="str">
        <f t="array" ref="E1771">XLOOKUP(A1771,Data!F:F,Data!H:H)</f>
        <v>BW</v>
      </c>
      <c r="F1771" s="106" t="str">
        <f>SUMIFS(Data!J:J,Data!F:F,A1771)</f>
        <v>1</v>
      </c>
      <c r="G1771" s="106" t="str">
        <f>SUMIFS(Cast!C:C,CastElements,A1771)</f>
        <v>1</v>
      </c>
      <c r="H1771" s="106" t="str">
        <f t="shared" si="4"/>
        <v>0</v>
      </c>
      <c r="I1771" s="106" t="str">
        <f>SUMIFS(Del!C:C,Del!B:B,A1771)</f>
        <v>0</v>
      </c>
      <c r="J1771" s="106" t="str">
        <f t="shared" si="5"/>
        <v>1</v>
      </c>
      <c r="K1771" s="106" t="str">
        <f t="shared" si="6"/>
        <v>1</v>
      </c>
      <c r="L1771" s="106"/>
      <c r="M1771" s="106" t="str">
        <f>SUMIFS(Ere!C:C,Ere!B:B,A1771)</f>
        <v>0</v>
      </c>
      <c r="N1771" s="106" t="str">
        <f t="shared" si="7"/>
        <v>1</v>
      </c>
      <c r="O1771" s="107" t="str">
        <f t="array" ref="O1771">XLOOKUP(A1771,Data!F:F,Data!O:O)</f>
        <v>  1.99 </v>
      </c>
      <c r="P1771" s="107" t="str">
        <f t="shared" si="8"/>
        <v>  4.97 </v>
      </c>
      <c r="Q1771" s="27"/>
    </row>
    <row r="1772" ht="15.75" customHeight="1">
      <c r="A1772" s="105" t="s">
        <v>2016</v>
      </c>
      <c r="B1772" s="19" t="str">
        <f t="array" ref="B1772">XLOOKUP(A1772,Data!F:F,Data!G:G)</f>
        <v>J2A</v>
      </c>
      <c r="C1772" s="19" t="str">
        <f t="shared" si="3"/>
        <v>J022</v>
      </c>
      <c r="D1772" s="19" t="str">
        <f t="array" ref="D1772">XLOOKUP(A1772,Data!F:F,Data!C:C)</f>
        <v/>
      </c>
      <c r="E1772" s="19" t="str">
        <f t="array" ref="E1772">XLOOKUP(A1772,Data!F:F,Data!H:H)</f>
        <v>BW</v>
      </c>
      <c r="F1772" s="106" t="str">
        <f>SUMIFS(Data!J:J,Data!F:F,A1772)</f>
        <v>1</v>
      </c>
      <c r="G1772" s="106" t="str">
        <f>SUMIFS(Cast!C:C,CastElements,A1772)</f>
        <v>1</v>
      </c>
      <c r="H1772" s="106" t="str">
        <f t="shared" si="4"/>
        <v>0</v>
      </c>
      <c r="I1772" s="106" t="str">
        <f>SUMIFS(Del!C:C,Del!B:B,A1772)</f>
        <v>0</v>
      </c>
      <c r="J1772" s="106" t="str">
        <f t="shared" si="5"/>
        <v>1</v>
      </c>
      <c r="K1772" s="106" t="str">
        <f t="shared" si="6"/>
        <v>1</v>
      </c>
      <c r="L1772" s="106"/>
      <c r="M1772" s="106" t="str">
        <f>SUMIFS(Ere!C:C,Ere!B:B,A1772)</f>
        <v>0</v>
      </c>
      <c r="N1772" s="106" t="str">
        <f t="shared" si="7"/>
        <v>1</v>
      </c>
      <c r="O1772" s="107" t="str">
        <f t="array" ref="O1772">XLOOKUP(A1772,Data!F:F,Data!O:O)</f>
        <v>  2.26 </v>
      </c>
      <c r="P1772" s="107" t="str">
        <f t="shared" si="8"/>
        <v>  5.65 </v>
      </c>
      <c r="Q1772" s="27"/>
    </row>
    <row r="1773" ht="15.75" customHeight="1">
      <c r="A1773" s="105" t="s">
        <v>2017</v>
      </c>
      <c r="B1773" s="19" t="str">
        <f t="array" ref="B1773">XLOOKUP(A1773,Data!F:F,Data!G:G)</f>
        <v>J2A</v>
      </c>
      <c r="C1773" s="19" t="str">
        <f t="shared" si="3"/>
        <v>J022</v>
      </c>
      <c r="D1773" s="19" t="str">
        <f t="array" ref="D1773">XLOOKUP(A1773,Data!F:F,Data!C:C)</f>
        <v/>
      </c>
      <c r="E1773" s="19" t="str">
        <f t="array" ref="E1773">XLOOKUP(A1773,Data!F:F,Data!H:H)</f>
        <v>BW</v>
      </c>
      <c r="F1773" s="106" t="str">
        <f>SUMIFS(Data!J:J,Data!F:F,A1773)</f>
        <v>1</v>
      </c>
      <c r="G1773" s="106" t="str">
        <f>SUMIFS(Cast!C:C,CastElements,A1773)</f>
        <v>1</v>
      </c>
      <c r="H1773" s="106" t="str">
        <f t="shared" si="4"/>
        <v>0</v>
      </c>
      <c r="I1773" s="106" t="str">
        <f>SUMIFS(Del!C:C,Del!B:B,A1773)</f>
        <v>0</v>
      </c>
      <c r="J1773" s="106" t="str">
        <f t="shared" si="5"/>
        <v>1</v>
      </c>
      <c r="K1773" s="106" t="str">
        <f t="shared" si="6"/>
        <v>1</v>
      </c>
      <c r="L1773" s="106"/>
      <c r="M1773" s="106" t="str">
        <f>SUMIFS(Ere!C:C,Ere!B:B,A1773)</f>
        <v>0</v>
      </c>
      <c r="N1773" s="106" t="str">
        <f t="shared" si="7"/>
        <v>1</v>
      </c>
      <c r="O1773" s="107" t="str">
        <f t="array" ref="O1773">XLOOKUP(A1773,Data!F:F,Data!O:O)</f>
        <v>  2.11 </v>
      </c>
      <c r="P1773" s="107" t="str">
        <f t="shared" si="8"/>
        <v>  5.27 </v>
      </c>
      <c r="Q1773" s="27"/>
    </row>
    <row r="1774" ht="15.75" customHeight="1">
      <c r="A1774" s="105" t="s">
        <v>2018</v>
      </c>
      <c r="B1774" s="19" t="str">
        <f t="array" ref="B1774">XLOOKUP(A1774,Data!F:F,Data!G:G)</f>
        <v>J2A</v>
      </c>
      <c r="C1774" s="19" t="str">
        <f t="shared" si="3"/>
        <v>J022</v>
      </c>
      <c r="D1774" s="19" t="str">
        <f t="array" ref="D1774">XLOOKUP(A1774,Data!F:F,Data!C:C)</f>
        <v/>
      </c>
      <c r="E1774" s="19" t="str">
        <f t="array" ref="E1774">XLOOKUP(A1774,Data!F:F,Data!H:H)</f>
        <v>BW</v>
      </c>
      <c r="F1774" s="106" t="str">
        <f>SUMIFS(Data!J:J,Data!F:F,A1774)</f>
        <v>1</v>
      </c>
      <c r="G1774" s="106" t="str">
        <f>SUMIFS(Cast!C:C,CastElements,A1774)</f>
        <v>1</v>
      </c>
      <c r="H1774" s="106" t="str">
        <f t="shared" si="4"/>
        <v>0</v>
      </c>
      <c r="I1774" s="106" t="str">
        <f>SUMIFS(Del!C:C,Del!B:B,A1774)</f>
        <v>0</v>
      </c>
      <c r="J1774" s="106" t="str">
        <f t="shared" si="5"/>
        <v>1</v>
      </c>
      <c r="K1774" s="106" t="str">
        <f t="shared" si="6"/>
        <v>1</v>
      </c>
      <c r="L1774" s="106"/>
      <c r="M1774" s="106" t="str">
        <f>SUMIFS(Ere!C:C,Ere!B:B,A1774)</f>
        <v>0</v>
      </c>
      <c r="N1774" s="106" t="str">
        <f t="shared" si="7"/>
        <v>1</v>
      </c>
      <c r="O1774" s="107" t="str">
        <f t="array" ref="O1774">XLOOKUP(A1774,Data!F:F,Data!O:O)</f>
        <v>  2.11 </v>
      </c>
      <c r="P1774" s="107" t="str">
        <f t="shared" si="8"/>
        <v>  5.27 </v>
      </c>
      <c r="Q1774" s="27"/>
    </row>
    <row r="1775" ht="15.75" customHeight="1">
      <c r="A1775" s="105" t="s">
        <v>2019</v>
      </c>
      <c r="B1775" s="19" t="str">
        <f t="array" ref="B1775">XLOOKUP(A1775,Data!F:F,Data!G:G)</f>
        <v>J2A</v>
      </c>
      <c r="C1775" s="19" t="str">
        <f t="shared" si="3"/>
        <v>J022</v>
      </c>
      <c r="D1775" s="19" t="str">
        <f t="array" ref="D1775">XLOOKUP(A1775,Data!F:F,Data!C:C)</f>
        <v/>
      </c>
      <c r="E1775" s="19" t="str">
        <f t="array" ref="E1775">XLOOKUP(A1775,Data!F:F,Data!H:H)</f>
        <v>BW</v>
      </c>
      <c r="F1775" s="106" t="str">
        <f>SUMIFS(Data!J:J,Data!F:F,A1775)</f>
        <v>1</v>
      </c>
      <c r="G1775" s="106" t="str">
        <f>SUMIFS(Cast!C:C,CastElements,A1775)</f>
        <v>1</v>
      </c>
      <c r="H1775" s="106" t="str">
        <f t="shared" si="4"/>
        <v>0</v>
      </c>
      <c r="I1775" s="106" t="str">
        <f>SUMIFS(Del!C:C,Del!B:B,A1775)</f>
        <v>0</v>
      </c>
      <c r="J1775" s="106" t="str">
        <f t="shared" si="5"/>
        <v>1</v>
      </c>
      <c r="K1775" s="106" t="str">
        <f t="shared" si="6"/>
        <v>1</v>
      </c>
      <c r="L1775" s="106"/>
      <c r="M1775" s="106" t="str">
        <f>SUMIFS(Ere!C:C,Ere!B:B,A1775)</f>
        <v>0</v>
      </c>
      <c r="N1775" s="106" t="str">
        <f t="shared" si="7"/>
        <v>1</v>
      </c>
      <c r="O1775" s="107" t="str">
        <f t="array" ref="O1775">XLOOKUP(A1775,Data!F:F,Data!O:O)</f>
        <v>  2.11 </v>
      </c>
      <c r="P1775" s="107" t="str">
        <f t="shared" si="8"/>
        <v>  5.27 </v>
      </c>
      <c r="Q1775" s="27"/>
    </row>
    <row r="1776" ht="15.75" customHeight="1">
      <c r="A1776" s="105" t="s">
        <v>2020</v>
      </c>
      <c r="B1776" s="19" t="str">
        <f t="array" ref="B1776">XLOOKUP(A1776,Data!F:F,Data!G:G)</f>
        <v>J2A</v>
      </c>
      <c r="C1776" s="19" t="str">
        <f t="shared" si="3"/>
        <v>J022</v>
      </c>
      <c r="D1776" s="19" t="str">
        <f t="array" ref="D1776">XLOOKUP(A1776,Data!F:F,Data!C:C)</f>
        <v/>
      </c>
      <c r="E1776" s="19" t="str">
        <f t="array" ref="E1776">XLOOKUP(A1776,Data!F:F,Data!H:H)</f>
        <v>BW</v>
      </c>
      <c r="F1776" s="106" t="str">
        <f>SUMIFS(Data!J:J,Data!F:F,A1776)</f>
        <v>1</v>
      </c>
      <c r="G1776" s="106" t="str">
        <f>SUMIFS(Cast!C:C,CastElements,A1776)</f>
        <v>1</v>
      </c>
      <c r="H1776" s="106" t="str">
        <f t="shared" si="4"/>
        <v>0</v>
      </c>
      <c r="I1776" s="106" t="str">
        <f>SUMIFS(Del!C:C,Del!B:B,A1776)</f>
        <v>0</v>
      </c>
      <c r="J1776" s="106" t="str">
        <f t="shared" si="5"/>
        <v>1</v>
      </c>
      <c r="K1776" s="106" t="str">
        <f t="shared" si="6"/>
        <v>1</v>
      </c>
      <c r="L1776" s="106"/>
      <c r="M1776" s="106" t="str">
        <f>SUMIFS(Ere!C:C,Ere!B:B,A1776)</f>
        <v>0</v>
      </c>
      <c r="N1776" s="106" t="str">
        <f t="shared" si="7"/>
        <v>1</v>
      </c>
      <c r="O1776" s="107" t="str">
        <f t="array" ref="O1776">XLOOKUP(A1776,Data!F:F,Data!O:O)</f>
        <v>  0.37 </v>
      </c>
      <c r="P1776" s="107" t="str">
        <f t="shared" si="8"/>
        <v>  0.92 </v>
      </c>
      <c r="Q1776" s="27"/>
    </row>
    <row r="1777" ht="15.75" customHeight="1">
      <c r="A1777" s="105" t="s">
        <v>2021</v>
      </c>
      <c r="B1777" s="19" t="str">
        <f t="array" ref="B1777">XLOOKUP(A1777,Data!F:F,Data!G:G)</f>
        <v>J2A</v>
      </c>
      <c r="C1777" s="19" t="str">
        <f t="shared" si="3"/>
        <v>J022</v>
      </c>
      <c r="D1777" s="19" t="str">
        <f t="array" ref="D1777">XLOOKUP(A1777,Data!F:F,Data!C:C)</f>
        <v/>
      </c>
      <c r="E1777" s="19" t="str">
        <f t="array" ref="E1777">XLOOKUP(A1777,Data!F:F,Data!H:H)</f>
        <v>CF</v>
      </c>
      <c r="F1777" s="106" t="str">
        <f>SUMIFS(Data!J:J,Data!F:F,A1777)</f>
        <v>1</v>
      </c>
      <c r="G1777" s="106" t="str">
        <f>SUMIFS(Cast!C:C,CastElements,A1777)</f>
        <v>0</v>
      </c>
      <c r="H1777" s="106" t="str">
        <f t="shared" si="4"/>
        <v>1</v>
      </c>
      <c r="I1777" s="106" t="str">
        <f>SUMIFS(Del!C:C,Del!B:B,A1777)</f>
        <v>0</v>
      </c>
      <c r="J1777" s="106" t="str">
        <f t="shared" si="5"/>
        <v>1</v>
      </c>
      <c r="K1777" s="106" t="str">
        <f t="shared" si="6"/>
        <v>0</v>
      </c>
      <c r="L1777" s="106"/>
      <c r="M1777" s="106" t="str">
        <f>SUMIFS(Ere!C:C,Ere!B:B,A1777)</f>
        <v>0</v>
      </c>
      <c r="N1777" s="106" t="str">
        <f t="shared" si="7"/>
        <v>1</v>
      </c>
      <c r="O1777" s="107" t="str">
        <f t="array" ref="O1777">XLOOKUP(A1777,Data!F:F,Data!O:O)</f>
        <v>  0.47 </v>
      </c>
      <c r="P1777" s="107" t="str">
        <f t="shared" si="8"/>
        <v>  1.18 </v>
      </c>
      <c r="Q1777" s="27"/>
    </row>
    <row r="1778" ht="15.75" customHeight="1">
      <c r="A1778" s="105" t="s">
        <v>2022</v>
      </c>
      <c r="B1778" s="19" t="str">
        <f t="array" ref="B1778">XLOOKUP(A1778,Data!F:F,Data!G:G)</f>
        <v>J2A</v>
      </c>
      <c r="C1778" s="19" t="str">
        <f t="shared" si="3"/>
        <v>J022</v>
      </c>
      <c r="D1778" s="19" t="str">
        <f t="array" ref="D1778">XLOOKUP(A1778,Data!F:F,Data!C:C)</f>
        <v/>
      </c>
      <c r="E1778" s="19" t="str">
        <f t="array" ref="E1778">XLOOKUP(A1778,Data!F:F,Data!H:H)</f>
        <v>BW</v>
      </c>
      <c r="F1778" s="106" t="str">
        <f>SUMIFS(Data!J:J,Data!F:F,A1778)</f>
        <v>1</v>
      </c>
      <c r="G1778" s="106" t="str">
        <f>SUMIFS(Cast!C:C,CastElements,A1778)</f>
        <v>1</v>
      </c>
      <c r="H1778" s="106" t="str">
        <f t="shared" si="4"/>
        <v>0</v>
      </c>
      <c r="I1778" s="106" t="str">
        <f>SUMIFS(Del!C:C,Del!B:B,A1778)</f>
        <v>0</v>
      </c>
      <c r="J1778" s="106" t="str">
        <f t="shared" si="5"/>
        <v>1</v>
      </c>
      <c r="K1778" s="106" t="str">
        <f t="shared" si="6"/>
        <v>1</v>
      </c>
      <c r="L1778" s="106"/>
      <c r="M1778" s="106" t="str">
        <f>SUMIFS(Ere!C:C,Ere!B:B,A1778)</f>
        <v>0</v>
      </c>
      <c r="N1778" s="106" t="str">
        <f t="shared" si="7"/>
        <v>1</v>
      </c>
      <c r="O1778" s="107" t="str">
        <f t="array" ref="O1778">XLOOKUP(A1778,Data!F:F,Data!O:O)</f>
        <v>  0.46 </v>
      </c>
      <c r="P1778" s="107" t="str">
        <f t="shared" si="8"/>
        <v>  1.15 </v>
      </c>
      <c r="Q1778" s="27"/>
    </row>
    <row r="1779" ht="15.75" customHeight="1">
      <c r="A1779" s="105" t="s">
        <v>2023</v>
      </c>
      <c r="B1779" s="19" t="str">
        <f t="array" ref="B1779">XLOOKUP(A1779,Data!F:F,Data!G:G)</f>
        <v>J2A</v>
      </c>
      <c r="C1779" s="19" t="str">
        <f t="shared" si="3"/>
        <v>J022</v>
      </c>
      <c r="D1779" s="19" t="str">
        <f t="array" ref="D1779">XLOOKUP(A1779,Data!F:F,Data!C:C)</f>
        <v/>
      </c>
      <c r="E1779" s="19" t="str">
        <f t="array" ref="E1779">XLOOKUP(A1779,Data!F:F,Data!H:H)</f>
        <v>BW</v>
      </c>
      <c r="F1779" s="106" t="str">
        <f>SUMIFS(Data!J:J,Data!F:F,A1779)</f>
        <v>1</v>
      </c>
      <c r="G1779" s="106" t="str">
        <f>SUMIFS(Cast!C:C,CastElements,A1779)</f>
        <v>1</v>
      </c>
      <c r="H1779" s="106" t="str">
        <f t="shared" si="4"/>
        <v>0</v>
      </c>
      <c r="I1779" s="106" t="str">
        <f>SUMIFS(Del!C:C,Del!B:B,A1779)</f>
        <v>0</v>
      </c>
      <c r="J1779" s="106" t="str">
        <f t="shared" si="5"/>
        <v>1</v>
      </c>
      <c r="K1779" s="106" t="str">
        <f t="shared" si="6"/>
        <v>1</v>
      </c>
      <c r="L1779" s="106"/>
      <c r="M1779" s="106" t="str">
        <f>SUMIFS(Ere!C:C,Ere!B:B,A1779)</f>
        <v>0</v>
      </c>
      <c r="N1779" s="106" t="str">
        <f t="shared" si="7"/>
        <v>1</v>
      </c>
      <c r="O1779" s="107" t="str">
        <f t="array" ref="O1779">XLOOKUP(A1779,Data!F:F,Data!O:O)</f>
        <v>  2.11 </v>
      </c>
      <c r="P1779" s="107" t="str">
        <f t="shared" si="8"/>
        <v>  5.27 </v>
      </c>
      <c r="Q1779" s="27"/>
    </row>
    <row r="1780" ht="15.75" customHeight="1">
      <c r="A1780" s="105" t="s">
        <v>2024</v>
      </c>
      <c r="B1780" s="19" t="str">
        <f t="array" ref="B1780">XLOOKUP(A1780,Data!F:F,Data!G:G)</f>
        <v>J2A</v>
      </c>
      <c r="C1780" s="19" t="str">
        <f t="shared" si="3"/>
        <v>J022</v>
      </c>
      <c r="D1780" s="19" t="str">
        <f t="array" ref="D1780">XLOOKUP(A1780,Data!F:F,Data!C:C)</f>
        <v/>
      </c>
      <c r="E1780" s="19" t="str">
        <f t="array" ref="E1780">XLOOKUP(A1780,Data!F:F,Data!H:H)</f>
        <v>BW</v>
      </c>
      <c r="F1780" s="106" t="str">
        <f>SUMIFS(Data!J:J,Data!F:F,A1780)</f>
        <v>1</v>
      </c>
      <c r="G1780" s="106" t="str">
        <f>SUMIFS(Cast!C:C,CastElements,A1780)</f>
        <v>1</v>
      </c>
      <c r="H1780" s="106" t="str">
        <f t="shared" si="4"/>
        <v>0</v>
      </c>
      <c r="I1780" s="106" t="str">
        <f>SUMIFS(Del!C:C,Del!B:B,A1780)</f>
        <v>0</v>
      </c>
      <c r="J1780" s="106" t="str">
        <f t="shared" si="5"/>
        <v>1</v>
      </c>
      <c r="K1780" s="106" t="str">
        <f t="shared" si="6"/>
        <v>1</v>
      </c>
      <c r="L1780" s="106"/>
      <c r="M1780" s="106" t="str">
        <f>SUMIFS(Ere!C:C,Ere!B:B,A1780)</f>
        <v>0</v>
      </c>
      <c r="N1780" s="106" t="str">
        <f t="shared" si="7"/>
        <v>1</v>
      </c>
      <c r="O1780" s="107" t="str">
        <f t="array" ref="O1780">XLOOKUP(A1780,Data!F:F,Data!O:O)</f>
        <v>  1.77 </v>
      </c>
      <c r="P1780" s="107" t="str">
        <f t="shared" si="8"/>
        <v>  4.42 </v>
      </c>
      <c r="Q1780" s="27"/>
    </row>
    <row r="1781" ht="15.75" customHeight="1">
      <c r="A1781" s="105" t="s">
        <v>2025</v>
      </c>
      <c r="B1781" s="19" t="str">
        <f t="array" ref="B1781">XLOOKUP(A1781,Data!F:F,Data!G:G)</f>
        <v>J2A</v>
      </c>
      <c r="C1781" s="19" t="str">
        <f t="shared" si="3"/>
        <v>J023</v>
      </c>
      <c r="D1781" s="19" t="str">
        <f t="array" ref="D1781">XLOOKUP(A1781,Data!F:F,Data!C:C)</f>
        <v>EXT</v>
      </c>
      <c r="E1781" s="19" t="str">
        <f t="array" ref="E1781">XLOOKUP(A1781,Data!F:F,Data!H:H)</f>
        <v>BW</v>
      </c>
      <c r="F1781" s="106" t="str">
        <f>SUMIFS(Data!J:J,Data!F:F,A1781)</f>
        <v>1</v>
      </c>
      <c r="G1781" s="106" t="str">
        <f>SUMIFS(Cast!C:C,CastElements,A1781)</f>
        <v>1</v>
      </c>
      <c r="H1781" s="106" t="str">
        <f t="shared" si="4"/>
        <v>0</v>
      </c>
      <c r="I1781" s="106" t="str">
        <f>SUMIFS(Del!C:C,Del!B:B,A1781)</f>
        <v>0</v>
      </c>
      <c r="J1781" s="106" t="str">
        <f t="shared" si="5"/>
        <v>1</v>
      </c>
      <c r="K1781" s="106" t="str">
        <f t="shared" si="6"/>
        <v>1</v>
      </c>
      <c r="L1781" s="106"/>
      <c r="M1781" s="106" t="str">
        <f>SUMIFS(Ere!C:C,Ere!B:B,A1781)</f>
        <v>0</v>
      </c>
      <c r="N1781" s="106" t="str">
        <f t="shared" si="7"/>
        <v>1</v>
      </c>
      <c r="O1781" s="107" t="str">
        <f t="array" ref="O1781">XLOOKUP(A1781,Data!F:F,Data!O:O)</f>
        <v>  0.79 </v>
      </c>
      <c r="P1781" s="107" t="str">
        <f t="shared" si="8"/>
        <v>  1.98 </v>
      </c>
      <c r="Q1781" s="27"/>
    </row>
    <row r="1782" ht="15.75" customHeight="1">
      <c r="A1782" s="105" t="s">
        <v>2026</v>
      </c>
      <c r="B1782" s="19" t="str">
        <f t="array" ref="B1782">XLOOKUP(A1782,Data!F:F,Data!G:G)</f>
        <v>J2A</v>
      </c>
      <c r="C1782" s="19" t="str">
        <f t="shared" si="3"/>
        <v>J023</v>
      </c>
      <c r="D1782" s="19" t="str">
        <f t="array" ref="D1782">XLOOKUP(A1782,Data!F:F,Data!C:C)</f>
        <v>EXT</v>
      </c>
      <c r="E1782" s="19" t="str">
        <f t="array" ref="E1782">XLOOKUP(A1782,Data!F:F,Data!H:H)</f>
        <v>BW</v>
      </c>
      <c r="F1782" s="106" t="str">
        <f>SUMIFS(Data!J:J,Data!F:F,A1782)</f>
        <v>1</v>
      </c>
      <c r="G1782" s="106" t="str">
        <f>SUMIFS(Cast!C:C,CastElements,A1782)</f>
        <v>1</v>
      </c>
      <c r="H1782" s="106" t="str">
        <f t="shared" si="4"/>
        <v>0</v>
      </c>
      <c r="I1782" s="106" t="str">
        <f>SUMIFS(Del!C:C,Del!B:B,A1782)</f>
        <v>0</v>
      </c>
      <c r="J1782" s="106" t="str">
        <f t="shared" si="5"/>
        <v>1</v>
      </c>
      <c r="K1782" s="106" t="str">
        <f t="shared" si="6"/>
        <v>1</v>
      </c>
      <c r="L1782" s="106"/>
      <c r="M1782" s="106" t="str">
        <f>SUMIFS(Ere!C:C,Ere!B:B,A1782)</f>
        <v>0</v>
      </c>
      <c r="N1782" s="106" t="str">
        <f t="shared" si="7"/>
        <v>1</v>
      </c>
      <c r="O1782" s="107" t="str">
        <f t="array" ref="O1782">XLOOKUP(A1782,Data!F:F,Data!O:O)</f>
        <v>  0.99 </v>
      </c>
      <c r="P1782" s="107" t="str">
        <f t="shared" si="8"/>
        <v>  2.48 </v>
      </c>
      <c r="Q1782" s="27"/>
    </row>
    <row r="1783" ht="15.75" customHeight="1">
      <c r="A1783" s="105" t="s">
        <v>2027</v>
      </c>
      <c r="B1783" s="19" t="str">
        <f t="array" ref="B1783">XLOOKUP(A1783,Data!F:F,Data!G:G)</f>
        <v>J2A</v>
      </c>
      <c r="C1783" s="19" t="str">
        <f t="shared" si="3"/>
        <v>J023</v>
      </c>
      <c r="D1783" s="19" t="str">
        <f t="array" ref="D1783">XLOOKUP(A1783,Data!F:F,Data!C:C)</f>
        <v>EXT</v>
      </c>
      <c r="E1783" s="19" t="str">
        <f t="array" ref="E1783">XLOOKUP(A1783,Data!F:F,Data!H:H)</f>
        <v>BW</v>
      </c>
      <c r="F1783" s="106" t="str">
        <f>SUMIFS(Data!J:J,Data!F:F,A1783)</f>
        <v>1</v>
      </c>
      <c r="G1783" s="106" t="str">
        <f>SUMIFS(Cast!C:C,CastElements,A1783)</f>
        <v>0</v>
      </c>
      <c r="H1783" s="106" t="str">
        <f t="shared" si="4"/>
        <v>1</v>
      </c>
      <c r="I1783" s="106" t="str">
        <f>SUMIFS(Del!C:C,Del!B:B,A1783)</f>
        <v>0</v>
      </c>
      <c r="J1783" s="106" t="str">
        <f t="shared" si="5"/>
        <v>1</v>
      </c>
      <c r="K1783" s="106" t="str">
        <f t="shared" si="6"/>
        <v>0</v>
      </c>
      <c r="L1783" s="106"/>
      <c r="M1783" s="106" t="str">
        <f>SUMIFS(Ere!C:C,Ere!B:B,A1783)</f>
        <v>0</v>
      </c>
      <c r="N1783" s="106" t="str">
        <f t="shared" si="7"/>
        <v>1</v>
      </c>
      <c r="O1783" s="107" t="str">
        <f t="array" ref="O1783">XLOOKUP(A1783,Data!F:F,Data!O:O)</f>
        <v>  1.17 </v>
      </c>
      <c r="P1783" s="107" t="str">
        <f t="shared" si="8"/>
        <v>  2.92 </v>
      </c>
      <c r="Q1783" s="27"/>
    </row>
    <row r="1784" ht="15.75" customHeight="1">
      <c r="A1784" s="105" t="s">
        <v>2028</v>
      </c>
      <c r="B1784" s="19" t="str">
        <f t="array" ref="B1784">XLOOKUP(A1784,Data!F:F,Data!G:G)</f>
        <v>J2A</v>
      </c>
      <c r="C1784" s="19" t="str">
        <f t="shared" si="3"/>
        <v>J023</v>
      </c>
      <c r="D1784" s="19" t="str">
        <f t="array" ref="D1784">XLOOKUP(A1784,Data!F:F,Data!C:C)</f>
        <v/>
      </c>
      <c r="E1784" s="19" t="str">
        <f t="array" ref="E1784">XLOOKUP(A1784,Data!F:F,Data!H:H)</f>
        <v>BW</v>
      </c>
      <c r="F1784" s="106" t="str">
        <f>SUMIFS(Data!J:J,Data!F:F,A1784)</f>
        <v>1</v>
      </c>
      <c r="G1784" s="106" t="str">
        <f>SUMIFS(Cast!C:C,CastElements,A1784)</f>
        <v>1</v>
      </c>
      <c r="H1784" s="106" t="str">
        <f t="shared" si="4"/>
        <v>0</v>
      </c>
      <c r="I1784" s="106" t="str">
        <f>SUMIFS(Del!C:C,Del!B:B,A1784)</f>
        <v>0</v>
      </c>
      <c r="J1784" s="106" t="str">
        <f t="shared" si="5"/>
        <v>1</v>
      </c>
      <c r="K1784" s="106" t="str">
        <f t="shared" si="6"/>
        <v>1</v>
      </c>
      <c r="L1784" s="106"/>
      <c r="M1784" s="106" t="str">
        <f>SUMIFS(Ere!C:C,Ere!B:B,A1784)</f>
        <v>0</v>
      </c>
      <c r="N1784" s="106" t="str">
        <f t="shared" si="7"/>
        <v>1</v>
      </c>
      <c r="O1784" s="107" t="str">
        <f t="array" ref="O1784">XLOOKUP(A1784,Data!F:F,Data!O:O)</f>
        <v>  2.09 </v>
      </c>
      <c r="P1784" s="107" t="str">
        <f t="shared" si="8"/>
        <v>  5.23 </v>
      </c>
      <c r="Q1784" s="27"/>
    </row>
    <row r="1785" ht="15.75" customHeight="1">
      <c r="A1785" s="105" t="s">
        <v>2029</v>
      </c>
      <c r="B1785" s="19" t="str">
        <f t="array" ref="B1785">XLOOKUP(A1785,Data!F:F,Data!G:G)</f>
        <v>J2A</v>
      </c>
      <c r="C1785" s="19" t="str">
        <f t="shared" si="3"/>
        <v>J023</v>
      </c>
      <c r="D1785" s="19" t="str">
        <f t="array" ref="D1785">XLOOKUP(A1785,Data!F:F,Data!C:C)</f>
        <v/>
      </c>
      <c r="E1785" s="19" t="str">
        <f t="array" ref="E1785">XLOOKUP(A1785,Data!F:F,Data!H:H)</f>
        <v>BW</v>
      </c>
      <c r="F1785" s="106" t="str">
        <f>SUMIFS(Data!J:J,Data!F:F,A1785)</f>
        <v>1</v>
      </c>
      <c r="G1785" s="106" t="str">
        <f>SUMIFS(Cast!C:C,CastElements,A1785)</f>
        <v>1</v>
      </c>
      <c r="H1785" s="106" t="str">
        <f t="shared" si="4"/>
        <v>0</v>
      </c>
      <c r="I1785" s="106" t="str">
        <f>SUMIFS(Del!C:C,Del!B:B,A1785)</f>
        <v>0</v>
      </c>
      <c r="J1785" s="106" t="str">
        <f t="shared" si="5"/>
        <v>1</v>
      </c>
      <c r="K1785" s="106" t="str">
        <f t="shared" si="6"/>
        <v>1</v>
      </c>
      <c r="L1785" s="106"/>
      <c r="M1785" s="106" t="str">
        <f>SUMIFS(Ere!C:C,Ere!B:B,A1785)</f>
        <v>0</v>
      </c>
      <c r="N1785" s="106" t="str">
        <f t="shared" si="7"/>
        <v>1</v>
      </c>
      <c r="O1785" s="107" t="str">
        <f t="array" ref="O1785">XLOOKUP(A1785,Data!F:F,Data!O:O)</f>
        <v>  1.61 </v>
      </c>
      <c r="P1785" s="107" t="str">
        <f t="shared" si="8"/>
        <v>  4.02 </v>
      </c>
      <c r="Q1785" s="27"/>
    </row>
    <row r="1786" ht="15.75" customHeight="1">
      <c r="A1786" s="105" t="s">
        <v>2030</v>
      </c>
      <c r="B1786" s="19" t="str">
        <f t="array" ref="B1786">XLOOKUP(A1786,Data!F:F,Data!G:G)</f>
        <v>J2A</v>
      </c>
      <c r="C1786" s="19" t="str">
        <f t="shared" si="3"/>
        <v>J023</v>
      </c>
      <c r="D1786" s="19" t="str">
        <f t="array" ref="D1786">XLOOKUP(A1786,Data!F:F,Data!C:C)</f>
        <v/>
      </c>
      <c r="E1786" s="19" t="str">
        <f t="array" ref="E1786">XLOOKUP(A1786,Data!F:F,Data!H:H)</f>
        <v>BW</v>
      </c>
      <c r="F1786" s="106" t="str">
        <f>SUMIFS(Data!J:J,Data!F:F,A1786)</f>
        <v>1</v>
      </c>
      <c r="G1786" s="106" t="str">
        <f>SUMIFS(Cast!C:C,CastElements,A1786)</f>
        <v>1</v>
      </c>
      <c r="H1786" s="106" t="str">
        <f t="shared" si="4"/>
        <v>0</v>
      </c>
      <c r="I1786" s="106" t="str">
        <f>SUMIFS(Del!C:C,Del!B:B,A1786)</f>
        <v>0</v>
      </c>
      <c r="J1786" s="106" t="str">
        <f t="shared" si="5"/>
        <v>1</v>
      </c>
      <c r="K1786" s="106" t="str">
        <f t="shared" si="6"/>
        <v>1</v>
      </c>
      <c r="L1786" s="106"/>
      <c r="M1786" s="106" t="str">
        <f>SUMIFS(Ere!C:C,Ere!B:B,A1786)</f>
        <v>0</v>
      </c>
      <c r="N1786" s="106" t="str">
        <f t="shared" si="7"/>
        <v>1</v>
      </c>
      <c r="O1786" s="107" t="str">
        <f t="array" ref="O1786">XLOOKUP(A1786,Data!F:F,Data!O:O)</f>
        <v>  1.77 </v>
      </c>
      <c r="P1786" s="107" t="str">
        <f t="shared" si="8"/>
        <v>  4.42 </v>
      </c>
      <c r="Q1786" s="27"/>
    </row>
    <row r="1787" ht="15.75" customHeight="1">
      <c r="A1787" s="105" t="s">
        <v>2031</v>
      </c>
      <c r="B1787" s="19" t="str">
        <f t="array" ref="B1787">XLOOKUP(A1787,Data!F:F,Data!G:G)</f>
        <v>J2A</v>
      </c>
      <c r="C1787" s="19" t="str">
        <f t="shared" si="3"/>
        <v>J023</v>
      </c>
      <c r="D1787" s="19" t="str">
        <f t="array" ref="D1787">XLOOKUP(A1787,Data!F:F,Data!C:C)</f>
        <v/>
      </c>
      <c r="E1787" s="19" t="str">
        <f t="array" ref="E1787">XLOOKUP(A1787,Data!F:F,Data!H:H)</f>
        <v>BW</v>
      </c>
      <c r="F1787" s="106" t="str">
        <f>SUMIFS(Data!J:J,Data!F:F,A1787)</f>
        <v>1</v>
      </c>
      <c r="G1787" s="106" t="str">
        <f>SUMIFS(Cast!C:C,CastElements,A1787)</f>
        <v>1</v>
      </c>
      <c r="H1787" s="106" t="str">
        <f t="shared" si="4"/>
        <v>0</v>
      </c>
      <c r="I1787" s="106" t="str">
        <f>SUMIFS(Del!C:C,Del!B:B,A1787)</f>
        <v>0</v>
      </c>
      <c r="J1787" s="106" t="str">
        <f t="shared" si="5"/>
        <v>1</v>
      </c>
      <c r="K1787" s="106" t="str">
        <f t="shared" si="6"/>
        <v>1</v>
      </c>
      <c r="L1787" s="106"/>
      <c r="M1787" s="106" t="str">
        <f>SUMIFS(Ere!C:C,Ere!B:B,A1787)</f>
        <v>0</v>
      </c>
      <c r="N1787" s="106" t="str">
        <f t="shared" si="7"/>
        <v>1</v>
      </c>
      <c r="O1787" s="107" t="str">
        <f t="array" ref="O1787">XLOOKUP(A1787,Data!F:F,Data!O:O)</f>
        <v>  2.11 </v>
      </c>
      <c r="P1787" s="107" t="str">
        <f t="shared" si="8"/>
        <v>  5.27 </v>
      </c>
      <c r="Q1787" s="27"/>
    </row>
    <row r="1788" ht="15.75" customHeight="1">
      <c r="A1788" s="105" t="s">
        <v>2032</v>
      </c>
      <c r="B1788" s="19" t="str">
        <f t="array" ref="B1788">XLOOKUP(A1788,Data!F:F,Data!G:G)</f>
        <v>J2A</v>
      </c>
      <c r="C1788" s="19" t="str">
        <f t="shared" si="3"/>
        <v>J023</v>
      </c>
      <c r="D1788" s="19" t="str">
        <f t="array" ref="D1788">XLOOKUP(A1788,Data!F:F,Data!C:C)</f>
        <v/>
      </c>
      <c r="E1788" s="19" t="str">
        <f t="array" ref="E1788">XLOOKUP(A1788,Data!F:F,Data!H:H)</f>
        <v>BW</v>
      </c>
      <c r="F1788" s="106" t="str">
        <f>SUMIFS(Data!J:J,Data!F:F,A1788)</f>
        <v>1</v>
      </c>
      <c r="G1788" s="106" t="str">
        <f>SUMIFS(Cast!C:C,CastElements,A1788)</f>
        <v>1</v>
      </c>
      <c r="H1788" s="106" t="str">
        <f t="shared" si="4"/>
        <v>0</v>
      </c>
      <c r="I1788" s="106" t="str">
        <f>SUMIFS(Del!C:C,Del!B:B,A1788)</f>
        <v>0</v>
      </c>
      <c r="J1788" s="106" t="str">
        <f t="shared" si="5"/>
        <v>1</v>
      </c>
      <c r="K1788" s="106" t="str">
        <f t="shared" si="6"/>
        <v>1</v>
      </c>
      <c r="L1788" s="106"/>
      <c r="M1788" s="106" t="str">
        <f>SUMIFS(Ere!C:C,Ere!B:B,A1788)</f>
        <v>0</v>
      </c>
      <c r="N1788" s="106" t="str">
        <f t="shared" si="7"/>
        <v>1</v>
      </c>
      <c r="O1788" s="107" t="str">
        <f t="array" ref="O1788">XLOOKUP(A1788,Data!F:F,Data!O:O)</f>
        <v>  2.11 </v>
      </c>
      <c r="P1788" s="107" t="str">
        <f t="shared" si="8"/>
        <v>  5.27 </v>
      </c>
      <c r="Q1788" s="27"/>
    </row>
    <row r="1789" ht="15.75" customHeight="1">
      <c r="A1789" s="105" t="s">
        <v>2033</v>
      </c>
      <c r="B1789" s="19" t="str">
        <f t="array" ref="B1789">XLOOKUP(A1789,Data!F:F,Data!G:G)</f>
        <v>J2A</v>
      </c>
      <c r="C1789" s="19" t="str">
        <f t="shared" si="3"/>
        <v>J023</v>
      </c>
      <c r="D1789" s="19" t="str">
        <f t="array" ref="D1789">XLOOKUP(A1789,Data!F:F,Data!C:C)</f>
        <v/>
      </c>
      <c r="E1789" s="19" t="str">
        <f t="array" ref="E1789">XLOOKUP(A1789,Data!F:F,Data!H:H)</f>
        <v>BW</v>
      </c>
      <c r="F1789" s="106" t="str">
        <f>SUMIFS(Data!J:J,Data!F:F,A1789)</f>
        <v>1</v>
      </c>
      <c r="G1789" s="106" t="str">
        <f>SUMIFS(Cast!C:C,CastElements,A1789)</f>
        <v>1</v>
      </c>
      <c r="H1789" s="106" t="str">
        <f t="shared" si="4"/>
        <v>0</v>
      </c>
      <c r="I1789" s="106" t="str">
        <f>SUMIFS(Del!C:C,Del!B:B,A1789)</f>
        <v>0</v>
      </c>
      <c r="J1789" s="106" t="str">
        <f t="shared" si="5"/>
        <v>1</v>
      </c>
      <c r="K1789" s="106" t="str">
        <f t="shared" si="6"/>
        <v>1</v>
      </c>
      <c r="L1789" s="106"/>
      <c r="M1789" s="106" t="str">
        <f>SUMIFS(Ere!C:C,Ere!B:B,A1789)</f>
        <v>0</v>
      </c>
      <c r="N1789" s="106" t="str">
        <f t="shared" si="7"/>
        <v>1</v>
      </c>
      <c r="O1789" s="107" t="str">
        <f t="array" ref="O1789">XLOOKUP(A1789,Data!F:F,Data!O:O)</f>
        <v>  2.11 </v>
      </c>
      <c r="P1789" s="107" t="str">
        <f t="shared" si="8"/>
        <v>  5.27 </v>
      </c>
      <c r="Q1789" s="27"/>
    </row>
    <row r="1790" ht="15.75" customHeight="1">
      <c r="A1790" s="105" t="s">
        <v>2034</v>
      </c>
      <c r="B1790" s="19" t="str">
        <f t="array" ref="B1790">XLOOKUP(A1790,Data!F:F,Data!G:G)</f>
        <v>J2A</v>
      </c>
      <c r="C1790" s="19" t="str">
        <f t="shared" si="3"/>
        <v>J023</v>
      </c>
      <c r="D1790" s="19" t="str">
        <f t="array" ref="D1790">XLOOKUP(A1790,Data!F:F,Data!C:C)</f>
        <v/>
      </c>
      <c r="E1790" s="19" t="str">
        <f t="array" ref="E1790">XLOOKUP(A1790,Data!F:F,Data!H:H)</f>
        <v>BW</v>
      </c>
      <c r="F1790" s="106" t="str">
        <f>SUMIFS(Data!J:J,Data!F:F,A1790)</f>
        <v>1</v>
      </c>
      <c r="G1790" s="106" t="str">
        <f>SUMIFS(Cast!C:C,CastElements,A1790)</f>
        <v>1</v>
      </c>
      <c r="H1790" s="106" t="str">
        <f t="shared" si="4"/>
        <v>0</v>
      </c>
      <c r="I1790" s="106" t="str">
        <f>SUMIFS(Del!C:C,Del!B:B,A1790)</f>
        <v>0</v>
      </c>
      <c r="J1790" s="106" t="str">
        <f t="shared" si="5"/>
        <v>1</v>
      </c>
      <c r="K1790" s="106" t="str">
        <f t="shared" si="6"/>
        <v>1</v>
      </c>
      <c r="L1790" s="106"/>
      <c r="M1790" s="106" t="str">
        <f>SUMIFS(Ere!C:C,Ere!B:B,A1790)</f>
        <v>0</v>
      </c>
      <c r="N1790" s="106" t="str">
        <f t="shared" si="7"/>
        <v>1</v>
      </c>
      <c r="O1790" s="107" t="str">
        <f t="array" ref="O1790">XLOOKUP(A1790,Data!F:F,Data!O:O)</f>
        <v>  2.31 </v>
      </c>
      <c r="P1790" s="107" t="str">
        <f t="shared" si="8"/>
        <v>  5.78 </v>
      </c>
      <c r="Q1790" s="27"/>
    </row>
    <row r="1791" ht="15.75" customHeight="1">
      <c r="A1791" s="105" t="s">
        <v>2035</v>
      </c>
      <c r="B1791" s="19" t="str">
        <f t="array" ref="B1791">XLOOKUP(A1791,Data!F:F,Data!G:G)</f>
        <v>J2A</v>
      </c>
      <c r="C1791" s="19" t="str">
        <f t="shared" si="3"/>
        <v>J023</v>
      </c>
      <c r="D1791" s="19" t="str">
        <f t="array" ref="D1791">XLOOKUP(A1791,Data!F:F,Data!C:C)</f>
        <v/>
      </c>
      <c r="E1791" s="19" t="str">
        <f t="array" ref="E1791">XLOOKUP(A1791,Data!F:F,Data!H:H)</f>
        <v>BW</v>
      </c>
      <c r="F1791" s="106" t="str">
        <f>SUMIFS(Data!J:J,Data!F:F,A1791)</f>
        <v>1</v>
      </c>
      <c r="G1791" s="106" t="str">
        <f>SUMIFS(Cast!C:C,CastElements,A1791)</f>
        <v>1</v>
      </c>
      <c r="H1791" s="106" t="str">
        <f t="shared" si="4"/>
        <v>0</v>
      </c>
      <c r="I1791" s="106" t="str">
        <f>SUMIFS(Del!C:C,Del!B:B,A1791)</f>
        <v>0</v>
      </c>
      <c r="J1791" s="106" t="str">
        <f t="shared" si="5"/>
        <v>1</v>
      </c>
      <c r="K1791" s="106" t="str">
        <f t="shared" si="6"/>
        <v>1</v>
      </c>
      <c r="L1791" s="106"/>
      <c r="M1791" s="106" t="str">
        <f>SUMIFS(Ere!C:C,Ere!B:B,A1791)</f>
        <v>0</v>
      </c>
      <c r="N1791" s="106" t="str">
        <f t="shared" si="7"/>
        <v>1</v>
      </c>
      <c r="O1791" s="107" t="str">
        <f t="array" ref="O1791">XLOOKUP(A1791,Data!F:F,Data!O:O)</f>
        <v>  0.36 </v>
      </c>
      <c r="P1791" s="107" t="str">
        <f t="shared" si="8"/>
        <v>  0.90 </v>
      </c>
      <c r="Q1791" s="27"/>
    </row>
    <row r="1792" ht="15.75" customHeight="1">
      <c r="A1792" s="105" t="s">
        <v>2036</v>
      </c>
      <c r="B1792" s="19" t="str">
        <f t="array" ref="B1792">XLOOKUP(A1792,Data!F:F,Data!G:G)</f>
        <v>J2A</v>
      </c>
      <c r="C1792" s="19" t="str">
        <f t="shared" si="3"/>
        <v>J023</v>
      </c>
      <c r="D1792" s="19" t="str">
        <f t="array" ref="D1792">XLOOKUP(A1792,Data!F:F,Data!C:C)</f>
        <v/>
      </c>
      <c r="E1792" s="19" t="str">
        <f t="array" ref="E1792">XLOOKUP(A1792,Data!F:F,Data!H:H)</f>
        <v>BW</v>
      </c>
      <c r="F1792" s="106" t="str">
        <f>SUMIFS(Data!J:J,Data!F:F,A1792)</f>
        <v>1</v>
      </c>
      <c r="G1792" s="106" t="str">
        <f>SUMIFS(Cast!C:C,CastElements,A1792)</f>
        <v>1</v>
      </c>
      <c r="H1792" s="106" t="str">
        <f t="shared" si="4"/>
        <v>0</v>
      </c>
      <c r="I1792" s="106" t="str">
        <f>SUMIFS(Del!C:C,Del!B:B,A1792)</f>
        <v>0</v>
      </c>
      <c r="J1792" s="106" t="str">
        <f t="shared" si="5"/>
        <v>1</v>
      </c>
      <c r="K1792" s="106" t="str">
        <f t="shared" si="6"/>
        <v>1</v>
      </c>
      <c r="L1792" s="106"/>
      <c r="M1792" s="106" t="str">
        <f>SUMIFS(Ere!C:C,Ere!B:B,A1792)</f>
        <v>0</v>
      </c>
      <c r="N1792" s="106" t="str">
        <f t="shared" si="7"/>
        <v>1</v>
      </c>
      <c r="O1792" s="107" t="str">
        <f t="array" ref="O1792">XLOOKUP(A1792,Data!F:F,Data!O:O)</f>
        <v>  0.46 </v>
      </c>
      <c r="P1792" s="107" t="str">
        <f t="shared" si="8"/>
        <v>  1.15 </v>
      </c>
      <c r="Q1792" s="27"/>
    </row>
    <row r="1793" ht="15.75" customHeight="1">
      <c r="A1793" s="105" t="s">
        <v>2037</v>
      </c>
      <c r="B1793" s="19" t="str">
        <f t="array" ref="B1793">XLOOKUP(A1793,Data!F:F,Data!G:G)</f>
        <v>J2A</v>
      </c>
      <c r="C1793" s="19" t="str">
        <f t="shared" si="3"/>
        <v>J023</v>
      </c>
      <c r="D1793" s="19" t="str">
        <f t="array" ref="D1793">XLOOKUP(A1793,Data!F:F,Data!C:C)</f>
        <v/>
      </c>
      <c r="E1793" s="19" t="str">
        <f t="array" ref="E1793">XLOOKUP(A1793,Data!F:F,Data!H:H)</f>
        <v>CF</v>
      </c>
      <c r="F1793" s="106" t="str">
        <f>SUMIFS(Data!J:J,Data!F:F,A1793)</f>
        <v>1</v>
      </c>
      <c r="G1793" s="106" t="str">
        <f>SUMIFS(Cast!C:C,CastElements,A1793)</f>
        <v>1</v>
      </c>
      <c r="H1793" s="106" t="str">
        <f t="shared" si="4"/>
        <v>0</v>
      </c>
      <c r="I1793" s="106" t="str">
        <f>SUMIFS(Del!C:C,Del!B:B,A1793)</f>
        <v>0</v>
      </c>
      <c r="J1793" s="106" t="str">
        <f t="shared" si="5"/>
        <v>1</v>
      </c>
      <c r="K1793" s="106" t="str">
        <f t="shared" si="6"/>
        <v>1</v>
      </c>
      <c r="L1793" s="106"/>
      <c r="M1793" s="106" t="str">
        <f>SUMIFS(Ere!C:C,Ere!B:B,A1793)</f>
        <v>0</v>
      </c>
      <c r="N1793" s="106" t="str">
        <f t="shared" si="7"/>
        <v>1</v>
      </c>
      <c r="O1793" s="107" t="str">
        <f t="array" ref="O1793">XLOOKUP(A1793,Data!F:F,Data!O:O)</f>
        <v>  0.47 </v>
      </c>
      <c r="P1793" s="107" t="str">
        <f t="shared" si="8"/>
        <v>  1.17 </v>
      </c>
      <c r="Q1793" s="27"/>
    </row>
    <row r="1794" ht="15.75" customHeight="1">
      <c r="A1794" s="105" t="s">
        <v>2038</v>
      </c>
      <c r="B1794" s="19" t="str">
        <f t="array" ref="B1794">XLOOKUP(A1794,Data!F:F,Data!G:G)</f>
        <v>J2A</v>
      </c>
      <c r="C1794" s="19" t="str">
        <f t="shared" si="3"/>
        <v>J023</v>
      </c>
      <c r="D1794" s="19" t="str">
        <f t="array" ref="D1794">XLOOKUP(A1794,Data!F:F,Data!C:C)</f>
        <v/>
      </c>
      <c r="E1794" s="19" t="str">
        <f t="array" ref="E1794">XLOOKUP(A1794,Data!F:F,Data!H:H)</f>
        <v>BW</v>
      </c>
      <c r="F1794" s="106" t="str">
        <f>SUMIFS(Data!J:J,Data!F:F,A1794)</f>
        <v>1</v>
      </c>
      <c r="G1794" s="106" t="str">
        <f>SUMIFS(Cast!C:C,CastElements,A1794)</f>
        <v>1</v>
      </c>
      <c r="H1794" s="106" t="str">
        <f t="shared" si="4"/>
        <v>0</v>
      </c>
      <c r="I1794" s="106" t="str">
        <f>SUMIFS(Del!C:C,Del!B:B,A1794)</f>
        <v>0</v>
      </c>
      <c r="J1794" s="106" t="str">
        <f t="shared" si="5"/>
        <v>1</v>
      </c>
      <c r="K1794" s="106" t="str">
        <f t="shared" si="6"/>
        <v>1</v>
      </c>
      <c r="L1794" s="106"/>
      <c r="M1794" s="106" t="str">
        <f>SUMIFS(Ere!C:C,Ere!B:B,A1794)</f>
        <v>0</v>
      </c>
      <c r="N1794" s="106" t="str">
        <f t="shared" si="7"/>
        <v>1</v>
      </c>
      <c r="O1794" s="107" t="str">
        <f t="array" ref="O1794">XLOOKUP(A1794,Data!F:F,Data!O:O)</f>
        <v>  1.94 </v>
      </c>
      <c r="P1794" s="107" t="str">
        <f t="shared" si="8"/>
        <v>  4.86 </v>
      </c>
      <c r="Q1794" s="27"/>
    </row>
    <row r="1795" ht="15.75" customHeight="1">
      <c r="A1795" s="105" t="s">
        <v>2039</v>
      </c>
      <c r="B1795" s="19" t="str">
        <f t="array" ref="B1795">XLOOKUP(A1795,Data!F:F,Data!G:G)</f>
        <v>J2A</v>
      </c>
      <c r="C1795" s="19" t="str">
        <f t="shared" si="3"/>
        <v>J023</v>
      </c>
      <c r="D1795" s="19" t="str">
        <f t="array" ref="D1795">XLOOKUP(A1795,Data!F:F,Data!C:C)</f>
        <v/>
      </c>
      <c r="E1795" s="19" t="str">
        <f t="array" ref="E1795">XLOOKUP(A1795,Data!F:F,Data!H:H)</f>
        <v>BW</v>
      </c>
      <c r="F1795" s="106" t="str">
        <f>SUMIFS(Data!J:J,Data!F:F,A1795)</f>
        <v>1</v>
      </c>
      <c r="G1795" s="106" t="str">
        <f>SUMIFS(Cast!C:C,CastElements,A1795)</f>
        <v>1</v>
      </c>
      <c r="H1795" s="106" t="str">
        <f t="shared" si="4"/>
        <v>0</v>
      </c>
      <c r="I1795" s="106" t="str">
        <f>SUMIFS(Del!C:C,Del!B:B,A1795)</f>
        <v>0</v>
      </c>
      <c r="J1795" s="106" t="str">
        <f t="shared" si="5"/>
        <v>1</v>
      </c>
      <c r="K1795" s="106" t="str">
        <f t="shared" si="6"/>
        <v>1</v>
      </c>
      <c r="L1795" s="106"/>
      <c r="M1795" s="106" t="str">
        <f>SUMIFS(Ere!C:C,Ere!B:B,A1795)</f>
        <v>0</v>
      </c>
      <c r="N1795" s="106" t="str">
        <f t="shared" si="7"/>
        <v>1</v>
      </c>
      <c r="O1795" s="107" t="str">
        <f t="array" ref="O1795">XLOOKUP(A1795,Data!F:F,Data!O:O)</f>
        <v>  1.94 </v>
      </c>
      <c r="P1795" s="107" t="str">
        <f t="shared" si="8"/>
        <v>  4.86 </v>
      </c>
      <c r="Q1795" s="27"/>
    </row>
    <row r="1796" ht="15.75" customHeight="1">
      <c r="A1796" s="105" t="s">
        <v>2040</v>
      </c>
      <c r="B1796" s="19" t="str">
        <f t="array" ref="B1796">XLOOKUP(A1796,Data!F:F,Data!G:G)</f>
        <v>J2A</v>
      </c>
      <c r="C1796" s="19" t="str">
        <f t="shared" si="3"/>
        <v>J023</v>
      </c>
      <c r="D1796" s="19" t="str">
        <f t="array" ref="D1796">XLOOKUP(A1796,Data!F:F,Data!C:C)</f>
        <v/>
      </c>
      <c r="E1796" s="19" t="str">
        <f t="array" ref="E1796">XLOOKUP(A1796,Data!F:F,Data!H:H)</f>
        <v>BW</v>
      </c>
      <c r="F1796" s="106" t="str">
        <f>SUMIFS(Data!J:J,Data!F:F,A1796)</f>
        <v>1</v>
      </c>
      <c r="G1796" s="106" t="str">
        <f>SUMIFS(Cast!C:C,CastElements,A1796)</f>
        <v>1</v>
      </c>
      <c r="H1796" s="106" t="str">
        <f t="shared" si="4"/>
        <v>0</v>
      </c>
      <c r="I1796" s="106" t="str">
        <f>SUMIFS(Del!C:C,Del!B:B,A1796)</f>
        <v>0</v>
      </c>
      <c r="J1796" s="106" t="str">
        <f t="shared" si="5"/>
        <v>1</v>
      </c>
      <c r="K1796" s="106" t="str">
        <f t="shared" si="6"/>
        <v>1</v>
      </c>
      <c r="L1796" s="106"/>
      <c r="M1796" s="106" t="str">
        <f>SUMIFS(Ere!C:C,Ere!B:B,A1796)</f>
        <v>0</v>
      </c>
      <c r="N1796" s="106" t="str">
        <f t="shared" si="7"/>
        <v>1</v>
      </c>
      <c r="O1796" s="107" t="str">
        <f t="array" ref="O1796">XLOOKUP(A1796,Data!F:F,Data!O:O)</f>
        <v>  1.94 </v>
      </c>
      <c r="P1796" s="107" t="str">
        <f t="shared" si="8"/>
        <v>  4.86 </v>
      </c>
      <c r="Q1796" s="27"/>
    </row>
    <row r="1797" ht="15.75" customHeight="1">
      <c r="A1797" s="105" t="s">
        <v>2041</v>
      </c>
      <c r="B1797" s="19" t="str">
        <f t="array" ref="B1797">XLOOKUP(A1797,Data!F:F,Data!G:G)</f>
        <v>J2A</v>
      </c>
      <c r="C1797" s="19" t="str">
        <f t="shared" si="3"/>
        <v>J024</v>
      </c>
      <c r="D1797" s="19" t="str">
        <f t="array" ref="D1797">XLOOKUP(A1797,Data!F:F,Data!C:C)</f>
        <v>EXT</v>
      </c>
      <c r="E1797" s="19" t="str">
        <f t="array" ref="E1797">XLOOKUP(A1797,Data!F:F,Data!H:H)</f>
        <v>BW</v>
      </c>
      <c r="F1797" s="106" t="str">
        <f>SUMIFS(Data!J:J,Data!F:F,A1797)</f>
        <v>1</v>
      </c>
      <c r="G1797" s="106" t="str">
        <f>SUMIFS(Cast!C:C,CastElements,A1797)</f>
        <v>1</v>
      </c>
      <c r="H1797" s="106" t="str">
        <f t="shared" si="4"/>
        <v>0</v>
      </c>
      <c r="I1797" s="106" t="str">
        <f>SUMIFS(Del!C:C,Del!B:B,A1797)</f>
        <v>0</v>
      </c>
      <c r="J1797" s="106" t="str">
        <f t="shared" si="5"/>
        <v>1</v>
      </c>
      <c r="K1797" s="106" t="str">
        <f t="shared" si="6"/>
        <v>1</v>
      </c>
      <c r="L1797" s="106"/>
      <c r="M1797" s="106" t="str">
        <f>SUMIFS(Ere!C:C,Ere!B:B,A1797)</f>
        <v>0</v>
      </c>
      <c r="N1797" s="106" t="str">
        <f t="shared" si="7"/>
        <v>1</v>
      </c>
      <c r="O1797" s="107" t="str">
        <f t="array" ref="O1797">XLOOKUP(A1797,Data!F:F,Data!O:O)</f>
        <v>  0.79 </v>
      </c>
      <c r="P1797" s="107" t="str">
        <f t="shared" si="8"/>
        <v>  1.98 </v>
      </c>
      <c r="Q1797" s="27"/>
    </row>
    <row r="1798" ht="15.75" customHeight="1">
      <c r="A1798" s="105" t="s">
        <v>2042</v>
      </c>
      <c r="B1798" s="19" t="str">
        <f t="array" ref="B1798">XLOOKUP(A1798,Data!F:F,Data!G:G)</f>
        <v>J2A</v>
      </c>
      <c r="C1798" s="19" t="str">
        <f t="shared" si="3"/>
        <v>J024</v>
      </c>
      <c r="D1798" s="19" t="str">
        <f t="array" ref="D1798">XLOOKUP(A1798,Data!F:F,Data!C:C)</f>
        <v>EXT</v>
      </c>
      <c r="E1798" s="19" t="str">
        <f t="array" ref="E1798">XLOOKUP(A1798,Data!F:F,Data!H:H)</f>
        <v>BW</v>
      </c>
      <c r="F1798" s="106" t="str">
        <f>SUMIFS(Data!J:J,Data!F:F,A1798)</f>
        <v>1</v>
      </c>
      <c r="G1798" s="106" t="str">
        <f>SUMIFS(Cast!C:C,CastElements,A1798)</f>
        <v>1</v>
      </c>
      <c r="H1798" s="106" t="str">
        <f t="shared" si="4"/>
        <v>0</v>
      </c>
      <c r="I1798" s="106" t="str">
        <f>SUMIFS(Del!C:C,Del!B:B,A1798)</f>
        <v>0</v>
      </c>
      <c r="J1798" s="106" t="str">
        <f t="shared" si="5"/>
        <v>1</v>
      </c>
      <c r="K1798" s="106" t="str">
        <f t="shared" si="6"/>
        <v>1</v>
      </c>
      <c r="L1798" s="106"/>
      <c r="M1798" s="106" t="str">
        <f>SUMIFS(Ere!C:C,Ere!B:B,A1798)</f>
        <v>0</v>
      </c>
      <c r="N1798" s="106" t="str">
        <f t="shared" si="7"/>
        <v>1</v>
      </c>
      <c r="O1798" s="107" t="str">
        <f t="array" ref="O1798">XLOOKUP(A1798,Data!F:F,Data!O:O)</f>
        <v>  0.99 </v>
      </c>
      <c r="P1798" s="107" t="str">
        <f t="shared" si="8"/>
        <v>  2.48 </v>
      </c>
      <c r="Q1798" s="27"/>
    </row>
    <row r="1799" ht="15.75" customHeight="1">
      <c r="A1799" s="105" t="s">
        <v>2043</v>
      </c>
      <c r="B1799" s="19" t="str">
        <f t="array" ref="B1799">XLOOKUP(A1799,Data!F:F,Data!G:G)</f>
        <v>J2A</v>
      </c>
      <c r="C1799" s="19" t="str">
        <f t="shared" si="3"/>
        <v>J024</v>
      </c>
      <c r="D1799" s="19" t="str">
        <f t="array" ref="D1799">XLOOKUP(A1799,Data!F:F,Data!C:C)</f>
        <v>EXT</v>
      </c>
      <c r="E1799" s="19" t="str">
        <f t="array" ref="E1799">XLOOKUP(A1799,Data!F:F,Data!H:H)</f>
        <v>BW</v>
      </c>
      <c r="F1799" s="106" t="str">
        <f>SUMIFS(Data!J:J,Data!F:F,A1799)</f>
        <v>1</v>
      </c>
      <c r="G1799" s="106" t="str">
        <f>SUMIFS(Cast!C:C,CastElements,A1799)</f>
        <v>0</v>
      </c>
      <c r="H1799" s="106" t="str">
        <f t="shared" si="4"/>
        <v>1</v>
      </c>
      <c r="I1799" s="106" t="str">
        <f>SUMIFS(Del!C:C,Del!B:B,A1799)</f>
        <v>0</v>
      </c>
      <c r="J1799" s="106" t="str">
        <f t="shared" si="5"/>
        <v>1</v>
      </c>
      <c r="K1799" s="106" t="str">
        <f t="shared" si="6"/>
        <v>0</v>
      </c>
      <c r="L1799" s="106"/>
      <c r="M1799" s="106" t="str">
        <f>SUMIFS(Ere!C:C,Ere!B:B,A1799)</f>
        <v>0</v>
      </c>
      <c r="N1799" s="106" t="str">
        <f t="shared" si="7"/>
        <v>1</v>
      </c>
      <c r="O1799" s="107" t="str">
        <f t="array" ref="O1799">XLOOKUP(A1799,Data!F:F,Data!O:O)</f>
        <v>  1.17 </v>
      </c>
      <c r="P1799" s="107" t="str">
        <f t="shared" si="8"/>
        <v>  2.91 </v>
      </c>
      <c r="Q1799" s="27"/>
    </row>
    <row r="1800" ht="15.75" customHeight="1">
      <c r="A1800" s="105" t="s">
        <v>2044</v>
      </c>
      <c r="B1800" s="19" t="str">
        <f t="array" ref="B1800">XLOOKUP(A1800,Data!F:F,Data!G:G)</f>
        <v>J2A</v>
      </c>
      <c r="C1800" s="19" t="str">
        <f t="shared" si="3"/>
        <v>J024</v>
      </c>
      <c r="D1800" s="19" t="str">
        <f t="array" ref="D1800">XLOOKUP(A1800,Data!F:F,Data!C:C)</f>
        <v/>
      </c>
      <c r="E1800" s="19" t="str">
        <f t="array" ref="E1800">XLOOKUP(A1800,Data!F:F,Data!H:H)</f>
        <v>BW</v>
      </c>
      <c r="F1800" s="106" t="str">
        <f>SUMIFS(Data!J:J,Data!F:F,A1800)</f>
        <v>1</v>
      </c>
      <c r="G1800" s="106" t="str">
        <f>SUMIFS(Cast!C:C,CastElements,A1800)</f>
        <v>1</v>
      </c>
      <c r="H1800" s="106" t="str">
        <f t="shared" si="4"/>
        <v>0</v>
      </c>
      <c r="I1800" s="106" t="str">
        <f>SUMIFS(Del!C:C,Del!B:B,A1800)</f>
        <v>0</v>
      </c>
      <c r="J1800" s="106" t="str">
        <f t="shared" si="5"/>
        <v>1</v>
      </c>
      <c r="K1800" s="106" t="str">
        <f t="shared" si="6"/>
        <v>1</v>
      </c>
      <c r="L1800" s="106"/>
      <c r="M1800" s="106" t="str">
        <f>SUMIFS(Ere!C:C,Ere!B:B,A1800)</f>
        <v>0</v>
      </c>
      <c r="N1800" s="106" t="str">
        <f t="shared" si="7"/>
        <v>1</v>
      </c>
      <c r="O1800" s="107" t="str">
        <f t="array" ref="O1800">XLOOKUP(A1800,Data!F:F,Data!O:O)</f>
        <v>  2.12 </v>
      </c>
      <c r="P1800" s="107" t="str">
        <f t="shared" si="8"/>
        <v>  5.31 </v>
      </c>
      <c r="Q1800" s="27"/>
    </row>
    <row r="1801" ht="15.75" customHeight="1">
      <c r="A1801" s="105" t="s">
        <v>2045</v>
      </c>
      <c r="B1801" s="19" t="str">
        <f t="array" ref="B1801">XLOOKUP(A1801,Data!F:F,Data!G:G)</f>
        <v>J2A</v>
      </c>
      <c r="C1801" s="19" t="str">
        <f t="shared" si="3"/>
        <v>J024</v>
      </c>
      <c r="D1801" s="19" t="str">
        <f t="array" ref="D1801">XLOOKUP(A1801,Data!F:F,Data!C:C)</f>
        <v/>
      </c>
      <c r="E1801" s="19" t="str">
        <f t="array" ref="E1801">XLOOKUP(A1801,Data!F:F,Data!H:H)</f>
        <v>BW</v>
      </c>
      <c r="F1801" s="106" t="str">
        <f>SUMIFS(Data!J:J,Data!F:F,A1801)</f>
        <v>1</v>
      </c>
      <c r="G1801" s="106" t="str">
        <f>SUMIFS(Cast!C:C,CastElements,A1801)</f>
        <v>1</v>
      </c>
      <c r="H1801" s="106" t="str">
        <f t="shared" si="4"/>
        <v>0</v>
      </c>
      <c r="I1801" s="106" t="str">
        <f>SUMIFS(Del!C:C,Del!B:B,A1801)</f>
        <v>0</v>
      </c>
      <c r="J1801" s="106" t="str">
        <f t="shared" si="5"/>
        <v>1</v>
      </c>
      <c r="K1801" s="106" t="str">
        <f t="shared" si="6"/>
        <v>1</v>
      </c>
      <c r="L1801" s="106"/>
      <c r="M1801" s="106" t="str">
        <f>SUMIFS(Ere!C:C,Ere!B:B,A1801)</f>
        <v>0</v>
      </c>
      <c r="N1801" s="106" t="str">
        <f t="shared" si="7"/>
        <v>1</v>
      </c>
      <c r="O1801" s="107" t="str">
        <f t="array" ref="O1801">XLOOKUP(A1801,Data!F:F,Data!O:O)</f>
        <v>  1.99 </v>
      </c>
      <c r="P1801" s="107" t="str">
        <f t="shared" si="8"/>
        <v>  4.97 </v>
      </c>
      <c r="Q1801" s="27"/>
    </row>
    <row r="1802" ht="15.75" customHeight="1">
      <c r="A1802" s="105" t="s">
        <v>2046</v>
      </c>
      <c r="B1802" s="19" t="str">
        <f t="array" ref="B1802">XLOOKUP(A1802,Data!F:F,Data!G:G)</f>
        <v>J2A</v>
      </c>
      <c r="C1802" s="19" t="str">
        <f t="shared" si="3"/>
        <v>J024</v>
      </c>
      <c r="D1802" s="19" t="str">
        <f t="array" ref="D1802">XLOOKUP(A1802,Data!F:F,Data!C:C)</f>
        <v/>
      </c>
      <c r="E1802" s="19" t="str">
        <f t="array" ref="E1802">XLOOKUP(A1802,Data!F:F,Data!H:H)</f>
        <v>BW</v>
      </c>
      <c r="F1802" s="106" t="str">
        <f>SUMIFS(Data!J:J,Data!F:F,A1802)</f>
        <v>1</v>
      </c>
      <c r="G1802" s="106" t="str">
        <f>SUMIFS(Cast!C:C,CastElements,A1802)</f>
        <v>1</v>
      </c>
      <c r="H1802" s="106" t="str">
        <f t="shared" si="4"/>
        <v>0</v>
      </c>
      <c r="I1802" s="106" t="str">
        <f>SUMIFS(Del!C:C,Del!B:B,A1802)</f>
        <v>0</v>
      </c>
      <c r="J1802" s="106" t="str">
        <f t="shared" si="5"/>
        <v>1</v>
      </c>
      <c r="K1802" s="106" t="str">
        <f t="shared" si="6"/>
        <v>1</v>
      </c>
      <c r="L1802" s="106"/>
      <c r="M1802" s="106" t="str">
        <f>SUMIFS(Ere!C:C,Ere!B:B,A1802)</f>
        <v>0</v>
      </c>
      <c r="N1802" s="106" t="str">
        <f t="shared" si="7"/>
        <v>1</v>
      </c>
      <c r="O1802" s="107" t="str">
        <f t="array" ref="O1802">XLOOKUP(A1802,Data!F:F,Data!O:O)</f>
        <v>  1.99 </v>
      </c>
      <c r="P1802" s="107" t="str">
        <f t="shared" si="8"/>
        <v>  4.97 </v>
      </c>
      <c r="Q1802" s="27"/>
    </row>
    <row r="1803" ht="15.75" customHeight="1">
      <c r="A1803" s="105" t="s">
        <v>2047</v>
      </c>
      <c r="B1803" s="19" t="str">
        <f t="array" ref="B1803">XLOOKUP(A1803,Data!F:F,Data!G:G)</f>
        <v>J2A</v>
      </c>
      <c r="C1803" s="19" t="str">
        <f t="shared" si="3"/>
        <v>J024</v>
      </c>
      <c r="D1803" s="19" t="str">
        <f t="array" ref="D1803">XLOOKUP(A1803,Data!F:F,Data!C:C)</f>
        <v/>
      </c>
      <c r="E1803" s="19" t="str">
        <f t="array" ref="E1803">XLOOKUP(A1803,Data!F:F,Data!H:H)</f>
        <v>BW</v>
      </c>
      <c r="F1803" s="106" t="str">
        <f>SUMIFS(Data!J:J,Data!F:F,A1803)</f>
        <v>1</v>
      </c>
      <c r="G1803" s="106" t="str">
        <f>SUMIFS(Cast!C:C,CastElements,A1803)</f>
        <v>1</v>
      </c>
      <c r="H1803" s="106" t="str">
        <f t="shared" si="4"/>
        <v>0</v>
      </c>
      <c r="I1803" s="106" t="str">
        <f>SUMIFS(Del!C:C,Del!B:B,A1803)</f>
        <v>0</v>
      </c>
      <c r="J1803" s="106" t="str">
        <f t="shared" si="5"/>
        <v>1</v>
      </c>
      <c r="K1803" s="106" t="str">
        <f t="shared" si="6"/>
        <v>1</v>
      </c>
      <c r="L1803" s="106"/>
      <c r="M1803" s="106" t="str">
        <f>SUMIFS(Ere!C:C,Ere!B:B,A1803)</f>
        <v>0</v>
      </c>
      <c r="N1803" s="106" t="str">
        <f t="shared" si="7"/>
        <v>1</v>
      </c>
      <c r="O1803" s="107" t="str">
        <f t="array" ref="O1803">XLOOKUP(A1803,Data!F:F,Data!O:O)</f>
        <v>  1.99 </v>
      </c>
      <c r="P1803" s="107" t="str">
        <f t="shared" si="8"/>
        <v>  4.97 </v>
      </c>
      <c r="Q1803" s="27"/>
    </row>
    <row r="1804" ht="15.75" customHeight="1">
      <c r="A1804" s="105" t="s">
        <v>2048</v>
      </c>
      <c r="B1804" s="19" t="str">
        <f t="array" ref="B1804">XLOOKUP(A1804,Data!F:F,Data!G:G)</f>
        <v>J2A</v>
      </c>
      <c r="C1804" s="19" t="str">
        <f t="shared" si="3"/>
        <v>J024</v>
      </c>
      <c r="D1804" s="19" t="str">
        <f t="array" ref="D1804">XLOOKUP(A1804,Data!F:F,Data!C:C)</f>
        <v/>
      </c>
      <c r="E1804" s="19" t="str">
        <f t="array" ref="E1804">XLOOKUP(A1804,Data!F:F,Data!H:H)</f>
        <v>BW</v>
      </c>
      <c r="F1804" s="106" t="str">
        <f>SUMIFS(Data!J:J,Data!F:F,A1804)</f>
        <v>1</v>
      </c>
      <c r="G1804" s="106" t="str">
        <f>SUMIFS(Cast!C:C,CastElements,A1804)</f>
        <v>1</v>
      </c>
      <c r="H1804" s="106" t="str">
        <f t="shared" si="4"/>
        <v>0</v>
      </c>
      <c r="I1804" s="106" t="str">
        <f>SUMIFS(Del!C:C,Del!B:B,A1804)</f>
        <v>0</v>
      </c>
      <c r="J1804" s="106" t="str">
        <f t="shared" si="5"/>
        <v>1</v>
      </c>
      <c r="K1804" s="106" t="str">
        <f t="shared" si="6"/>
        <v>1</v>
      </c>
      <c r="L1804" s="106"/>
      <c r="M1804" s="106" t="str">
        <f>SUMIFS(Ere!C:C,Ere!B:B,A1804)</f>
        <v>0</v>
      </c>
      <c r="N1804" s="106" t="str">
        <f t="shared" si="7"/>
        <v>1</v>
      </c>
      <c r="O1804" s="107" t="str">
        <f t="array" ref="O1804">XLOOKUP(A1804,Data!F:F,Data!O:O)</f>
        <v>  1.65 </v>
      </c>
      <c r="P1804" s="107" t="str">
        <f t="shared" si="8"/>
        <v>  4.13 </v>
      </c>
      <c r="Q1804" s="27"/>
    </row>
    <row r="1805" ht="15.75" customHeight="1">
      <c r="A1805" s="105" t="s">
        <v>2049</v>
      </c>
      <c r="B1805" s="19" t="str">
        <f t="array" ref="B1805">XLOOKUP(A1805,Data!F:F,Data!G:G)</f>
        <v>J2A</v>
      </c>
      <c r="C1805" s="19" t="str">
        <f t="shared" si="3"/>
        <v>J024</v>
      </c>
      <c r="D1805" s="19" t="str">
        <f t="array" ref="D1805">XLOOKUP(A1805,Data!F:F,Data!C:C)</f>
        <v/>
      </c>
      <c r="E1805" s="19" t="str">
        <f t="array" ref="E1805">XLOOKUP(A1805,Data!F:F,Data!H:H)</f>
        <v>BW</v>
      </c>
      <c r="F1805" s="106" t="str">
        <f>SUMIFS(Data!J:J,Data!F:F,A1805)</f>
        <v>1</v>
      </c>
      <c r="G1805" s="106" t="str">
        <f>SUMIFS(Cast!C:C,CastElements,A1805)</f>
        <v>1</v>
      </c>
      <c r="H1805" s="106" t="str">
        <f t="shared" si="4"/>
        <v>0</v>
      </c>
      <c r="I1805" s="106" t="str">
        <f>SUMIFS(Del!C:C,Del!B:B,A1805)</f>
        <v>0</v>
      </c>
      <c r="J1805" s="106" t="str">
        <f t="shared" si="5"/>
        <v>1</v>
      </c>
      <c r="K1805" s="106" t="str">
        <f t="shared" si="6"/>
        <v>1</v>
      </c>
      <c r="L1805" s="106"/>
      <c r="M1805" s="106" t="str">
        <f>SUMIFS(Ere!C:C,Ere!B:B,A1805)</f>
        <v>0</v>
      </c>
      <c r="N1805" s="106" t="str">
        <f t="shared" si="7"/>
        <v>1</v>
      </c>
      <c r="O1805" s="107" t="str">
        <f t="array" ref="O1805">XLOOKUP(A1805,Data!F:F,Data!O:O)</f>
        <v>  1.61 </v>
      </c>
      <c r="P1805" s="107" t="str">
        <f t="shared" si="8"/>
        <v>  4.02 </v>
      </c>
      <c r="Q1805" s="27"/>
    </row>
    <row r="1806" ht="15.75" customHeight="1">
      <c r="A1806" s="105" t="s">
        <v>2050</v>
      </c>
      <c r="B1806" s="19" t="str">
        <f t="array" ref="B1806">XLOOKUP(A1806,Data!F:F,Data!G:G)</f>
        <v>J2A</v>
      </c>
      <c r="C1806" s="19" t="str">
        <f t="shared" si="3"/>
        <v>J024</v>
      </c>
      <c r="D1806" s="19" t="str">
        <f t="array" ref="D1806">XLOOKUP(A1806,Data!F:F,Data!C:C)</f>
        <v/>
      </c>
      <c r="E1806" s="19" t="str">
        <f t="array" ref="E1806">XLOOKUP(A1806,Data!F:F,Data!H:H)</f>
        <v>BW</v>
      </c>
      <c r="F1806" s="106" t="str">
        <f>SUMIFS(Data!J:J,Data!F:F,A1806)</f>
        <v>1</v>
      </c>
      <c r="G1806" s="106" t="str">
        <f>SUMIFS(Cast!C:C,CastElements,A1806)</f>
        <v>1</v>
      </c>
      <c r="H1806" s="106" t="str">
        <f t="shared" si="4"/>
        <v>0</v>
      </c>
      <c r="I1806" s="106" t="str">
        <f>SUMIFS(Del!C:C,Del!B:B,A1806)</f>
        <v>0</v>
      </c>
      <c r="J1806" s="106" t="str">
        <f t="shared" si="5"/>
        <v>1</v>
      </c>
      <c r="K1806" s="106" t="str">
        <f t="shared" si="6"/>
        <v>1</v>
      </c>
      <c r="L1806" s="106"/>
      <c r="M1806" s="106" t="str">
        <f>SUMIFS(Ere!C:C,Ere!B:B,A1806)</f>
        <v>0</v>
      </c>
      <c r="N1806" s="106" t="str">
        <f t="shared" si="7"/>
        <v>1</v>
      </c>
      <c r="O1806" s="107" t="str">
        <f t="array" ref="O1806">XLOOKUP(A1806,Data!F:F,Data!O:O)</f>
        <v>  1.94 </v>
      </c>
      <c r="P1806" s="107" t="str">
        <f t="shared" si="8"/>
        <v>  4.86 </v>
      </c>
      <c r="Q1806" s="27"/>
    </row>
    <row r="1807" ht="15.75" customHeight="1">
      <c r="A1807" s="105" t="s">
        <v>2051</v>
      </c>
      <c r="B1807" s="19" t="str">
        <f t="array" ref="B1807">XLOOKUP(A1807,Data!F:F,Data!G:G)</f>
        <v>J2A</v>
      </c>
      <c r="C1807" s="19" t="str">
        <f t="shared" si="3"/>
        <v>J024</v>
      </c>
      <c r="D1807" s="19" t="str">
        <f t="array" ref="D1807">XLOOKUP(A1807,Data!F:F,Data!C:C)</f>
        <v/>
      </c>
      <c r="E1807" s="19" t="str">
        <f t="array" ref="E1807">XLOOKUP(A1807,Data!F:F,Data!H:H)</f>
        <v>BW</v>
      </c>
      <c r="F1807" s="106" t="str">
        <f>SUMIFS(Data!J:J,Data!F:F,A1807)</f>
        <v>1</v>
      </c>
      <c r="G1807" s="106" t="str">
        <f>SUMIFS(Cast!C:C,CastElements,A1807)</f>
        <v>1</v>
      </c>
      <c r="H1807" s="106" t="str">
        <f t="shared" si="4"/>
        <v>0</v>
      </c>
      <c r="I1807" s="106" t="str">
        <f>SUMIFS(Del!C:C,Del!B:B,A1807)</f>
        <v>0</v>
      </c>
      <c r="J1807" s="106" t="str">
        <f t="shared" si="5"/>
        <v>1</v>
      </c>
      <c r="K1807" s="106" t="str">
        <f t="shared" si="6"/>
        <v>1</v>
      </c>
      <c r="L1807" s="106"/>
      <c r="M1807" s="106" t="str">
        <f>SUMIFS(Ere!C:C,Ere!B:B,A1807)</f>
        <v>0</v>
      </c>
      <c r="N1807" s="106" t="str">
        <f t="shared" si="7"/>
        <v>1</v>
      </c>
      <c r="O1807" s="107" t="str">
        <f t="array" ref="O1807">XLOOKUP(A1807,Data!F:F,Data!O:O)</f>
        <v>  1.94 </v>
      </c>
      <c r="P1807" s="107" t="str">
        <f t="shared" si="8"/>
        <v>  4.86 </v>
      </c>
      <c r="Q1807" s="27"/>
    </row>
    <row r="1808" ht="15.75" customHeight="1">
      <c r="A1808" s="105" t="s">
        <v>2052</v>
      </c>
      <c r="B1808" s="19" t="str">
        <f t="array" ref="B1808">XLOOKUP(A1808,Data!F:F,Data!G:G)</f>
        <v>J2A</v>
      </c>
      <c r="C1808" s="19" t="str">
        <f t="shared" si="3"/>
        <v>J024</v>
      </c>
      <c r="D1808" s="19" t="str">
        <f t="array" ref="D1808">XLOOKUP(A1808,Data!F:F,Data!C:C)</f>
        <v/>
      </c>
      <c r="E1808" s="19" t="str">
        <f t="array" ref="E1808">XLOOKUP(A1808,Data!F:F,Data!H:H)</f>
        <v>BW</v>
      </c>
      <c r="F1808" s="106" t="str">
        <f>SUMIFS(Data!J:J,Data!F:F,A1808)</f>
        <v>1</v>
      </c>
      <c r="G1808" s="106" t="str">
        <f>SUMIFS(Cast!C:C,CastElements,A1808)</f>
        <v>1</v>
      </c>
      <c r="H1808" s="106" t="str">
        <f t="shared" si="4"/>
        <v>0</v>
      </c>
      <c r="I1808" s="106" t="str">
        <f>SUMIFS(Del!C:C,Del!B:B,A1808)</f>
        <v>0</v>
      </c>
      <c r="J1808" s="106" t="str">
        <f t="shared" si="5"/>
        <v>1</v>
      </c>
      <c r="K1808" s="106" t="str">
        <f t="shared" si="6"/>
        <v>1</v>
      </c>
      <c r="L1808" s="106"/>
      <c r="M1808" s="106" t="str">
        <f>SUMIFS(Ere!C:C,Ere!B:B,A1808)</f>
        <v>0</v>
      </c>
      <c r="N1808" s="106" t="str">
        <f t="shared" si="7"/>
        <v>1</v>
      </c>
      <c r="O1808" s="107" t="str">
        <f t="array" ref="O1808">XLOOKUP(A1808,Data!F:F,Data!O:O)</f>
        <v>  1.94 </v>
      </c>
      <c r="P1808" s="107" t="str">
        <f t="shared" si="8"/>
        <v>  4.86 </v>
      </c>
      <c r="Q1808" s="27"/>
    </row>
    <row r="1809" ht="15.75" customHeight="1">
      <c r="A1809" s="105" t="s">
        <v>2053</v>
      </c>
      <c r="B1809" s="19" t="str">
        <f t="array" ref="B1809">XLOOKUP(A1809,Data!F:F,Data!G:G)</f>
        <v>J2A</v>
      </c>
      <c r="C1809" s="19" t="str">
        <f t="shared" si="3"/>
        <v>J024</v>
      </c>
      <c r="D1809" s="19" t="str">
        <f t="array" ref="D1809">XLOOKUP(A1809,Data!F:F,Data!C:C)</f>
        <v/>
      </c>
      <c r="E1809" s="19" t="str">
        <f t="array" ref="E1809">XLOOKUP(A1809,Data!F:F,Data!H:H)</f>
        <v>BW</v>
      </c>
      <c r="F1809" s="106" t="str">
        <f>SUMIFS(Data!J:J,Data!F:F,A1809)</f>
        <v>1</v>
      </c>
      <c r="G1809" s="106" t="str">
        <f>SUMIFS(Cast!C:C,CastElements,A1809)</f>
        <v>1</v>
      </c>
      <c r="H1809" s="106" t="str">
        <f t="shared" si="4"/>
        <v>0</v>
      </c>
      <c r="I1809" s="106" t="str">
        <f>SUMIFS(Del!C:C,Del!B:B,A1809)</f>
        <v>0</v>
      </c>
      <c r="J1809" s="106" t="str">
        <f t="shared" si="5"/>
        <v>1</v>
      </c>
      <c r="K1809" s="106" t="str">
        <f t="shared" si="6"/>
        <v>1</v>
      </c>
      <c r="L1809" s="106"/>
      <c r="M1809" s="106" t="str">
        <f>SUMIFS(Ere!C:C,Ere!B:B,A1809)</f>
        <v>0</v>
      </c>
      <c r="N1809" s="106" t="str">
        <f t="shared" si="7"/>
        <v>1</v>
      </c>
      <c r="O1809" s="107" t="str">
        <f t="array" ref="O1809">XLOOKUP(A1809,Data!F:F,Data!O:O)</f>
        <v>  1.84 </v>
      </c>
      <c r="P1809" s="107" t="str">
        <f t="shared" si="8"/>
        <v>  4.60 </v>
      </c>
      <c r="Q1809" s="27"/>
    </row>
    <row r="1810" ht="15.75" customHeight="1">
      <c r="A1810" s="105" t="s">
        <v>2054</v>
      </c>
      <c r="B1810" s="19" t="str">
        <f t="array" ref="B1810">XLOOKUP(A1810,Data!F:F,Data!G:G)</f>
        <v>J2A</v>
      </c>
      <c r="C1810" s="19" t="str">
        <f t="shared" si="3"/>
        <v>J024</v>
      </c>
      <c r="D1810" s="19" t="str">
        <f t="array" ref="D1810">XLOOKUP(A1810,Data!F:F,Data!C:C)</f>
        <v/>
      </c>
      <c r="E1810" s="19" t="str">
        <f t="array" ref="E1810">XLOOKUP(A1810,Data!F:F,Data!H:H)</f>
        <v>BW</v>
      </c>
      <c r="F1810" s="106" t="str">
        <f>SUMIFS(Data!J:J,Data!F:F,A1810)</f>
        <v>1</v>
      </c>
      <c r="G1810" s="106" t="str">
        <f>SUMIFS(Cast!C:C,CastElements,A1810)</f>
        <v>1</v>
      </c>
      <c r="H1810" s="106" t="str">
        <f t="shared" si="4"/>
        <v>0</v>
      </c>
      <c r="I1810" s="106" t="str">
        <f>SUMIFS(Del!C:C,Del!B:B,A1810)</f>
        <v>0</v>
      </c>
      <c r="J1810" s="106" t="str">
        <f t="shared" si="5"/>
        <v>1</v>
      </c>
      <c r="K1810" s="106" t="str">
        <f t="shared" si="6"/>
        <v>1</v>
      </c>
      <c r="L1810" s="106"/>
      <c r="M1810" s="106" t="str">
        <f>SUMIFS(Ere!C:C,Ere!B:B,A1810)</f>
        <v>0</v>
      </c>
      <c r="N1810" s="106" t="str">
        <f t="shared" si="7"/>
        <v>1</v>
      </c>
      <c r="O1810" s="107" t="str">
        <f t="array" ref="O1810">XLOOKUP(A1810,Data!F:F,Data!O:O)</f>
        <v>  0.41 </v>
      </c>
      <c r="P1810" s="107" t="str">
        <f t="shared" si="8"/>
        <v>  1.03 </v>
      </c>
      <c r="Q1810" s="27"/>
    </row>
    <row r="1811" ht="15.75" customHeight="1">
      <c r="A1811" s="105" t="s">
        <v>2055</v>
      </c>
      <c r="B1811" s="19" t="str">
        <f t="array" ref="B1811">XLOOKUP(A1811,Data!F:F,Data!G:G)</f>
        <v>J2A</v>
      </c>
      <c r="C1811" s="19" t="str">
        <f t="shared" si="3"/>
        <v>J024</v>
      </c>
      <c r="D1811" s="19" t="str">
        <f t="array" ref="D1811">XLOOKUP(A1811,Data!F:F,Data!C:C)</f>
        <v/>
      </c>
      <c r="E1811" s="19" t="str">
        <f t="array" ref="E1811">XLOOKUP(A1811,Data!F:F,Data!H:H)</f>
        <v>BW</v>
      </c>
      <c r="F1811" s="106" t="str">
        <f>SUMIFS(Data!J:J,Data!F:F,A1811)</f>
        <v>1</v>
      </c>
      <c r="G1811" s="106" t="str">
        <f>SUMIFS(Cast!C:C,CastElements,A1811)</f>
        <v>1</v>
      </c>
      <c r="H1811" s="106" t="str">
        <f t="shared" si="4"/>
        <v>0</v>
      </c>
      <c r="I1811" s="106" t="str">
        <f>SUMIFS(Del!C:C,Del!B:B,A1811)</f>
        <v>0</v>
      </c>
      <c r="J1811" s="106" t="str">
        <f t="shared" si="5"/>
        <v>1</v>
      </c>
      <c r="K1811" s="106" t="str">
        <f t="shared" si="6"/>
        <v>1</v>
      </c>
      <c r="L1811" s="106"/>
      <c r="M1811" s="106" t="str">
        <f>SUMIFS(Ere!C:C,Ere!B:B,A1811)</f>
        <v>0</v>
      </c>
      <c r="N1811" s="106" t="str">
        <f t="shared" si="7"/>
        <v>1</v>
      </c>
      <c r="O1811" s="107" t="str">
        <f t="array" ref="O1811">XLOOKUP(A1811,Data!F:F,Data!O:O)</f>
        <v>  0.37 </v>
      </c>
      <c r="P1811" s="107" t="str">
        <f t="shared" si="8"/>
        <v>  0.92 </v>
      </c>
      <c r="Q1811" s="27"/>
    </row>
    <row r="1812" ht="15.75" customHeight="1">
      <c r="A1812" s="105" t="s">
        <v>2056</v>
      </c>
      <c r="B1812" s="19" t="str">
        <f t="array" ref="B1812">XLOOKUP(A1812,Data!F:F,Data!G:G)</f>
        <v>J2A</v>
      </c>
      <c r="C1812" s="19" t="str">
        <f t="shared" si="3"/>
        <v>J024</v>
      </c>
      <c r="D1812" s="19" t="str">
        <f t="array" ref="D1812">XLOOKUP(A1812,Data!F:F,Data!C:C)</f>
        <v/>
      </c>
      <c r="E1812" s="19" t="str">
        <f t="array" ref="E1812">XLOOKUP(A1812,Data!F:F,Data!H:H)</f>
        <v>CF</v>
      </c>
      <c r="F1812" s="106" t="str">
        <f>SUMIFS(Data!J:J,Data!F:F,A1812)</f>
        <v>1</v>
      </c>
      <c r="G1812" s="106" t="str">
        <f>SUMIFS(Cast!C:C,CastElements,A1812)</f>
        <v>1</v>
      </c>
      <c r="H1812" s="106" t="str">
        <f t="shared" si="4"/>
        <v>0</v>
      </c>
      <c r="I1812" s="106" t="str">
        <f>SUMIFS(Del!C:C,Del!B:B,A1812)</f>
        <v>0</v>
      </c>
      <c r="J1812" s="106" t="str">
        <f t="shared" si="5"/>
        <v>1</v>
      </c>
      <c r="K1812" s="106" t="str">
        <f t="shared" si="6"/>
        <v>1</v>
      </c>
      <c r="L1812" s="106"/>
      <c r="M1812" s="106" t="str">
        <f>SUMIFS(Ere!C:C,Ere!B:B,A1812)</f>
        <v>0</v>
      </c>
      <c r="N1812" s="106" t="str">
        <f t="shared" si="7"/>
        <v>1</v>
      </c>
      <c r="O1812" s="107" t="str">
        <f t="array" ref="O1812">XLOOKUP(A1812,Data!F:F,Data!O:O)</f>
        <v>  0.47 </v>
      </c>
      <c r="P1812" s="107" t="str">
        <f t="shared" si="8"/>
        <v>  1.18 </v>
      </c>
      <c r="Q1812" s="27"/>
    </row>
    <row r="1813" ht="15.75" customHeight="1">
      <c r="A1813" s="105" t="s">
        <v>2057</v>
      </c>
      <c r="B1813" s="19" t="str">
        <f t="array" ref="B1813">XLOOKUP(A1813,Data!F:F,Data!G:G)</f>
        <v>J2A</v>
      </c>
      <c r="C1813" s="19" t="str">
        <f t="shared" si="3"/>
        <v>J025</v>
      </c>
      <c r="D1813" s="19" t="str">
        <f t="array" ref="D1813">XLOOKUP(A1813,Data!F:F,Data!C:C)</f>
        <v>EXT</v>
      </c>
      <c r="E1813" s="19" t="str">
        <f t="array" ref="E1813">XLOOKUP(A1813,Data!F:F,Data!H:H)</f>
        <v>BW</v>
      </c>
      <c r="F1813" s="106" t="str">
        <f>SUMIFS(Data!J:J,Data!F:F,A1813)</f>
        <v>1</v>
      </c>
      <c r="G1813" s="106" t="str">
        <f>SUMIFS(Cast!C:C,CastElements,A1813)</f>
        <v>1</v>
      </c>
      <c r="H1813" s="106" t="str">
        <f t="shared" si="4"/>
        <v>0</v>
      </c>
      <c r="I1813" s="106" t="str">
        <f>SUMIFS(Del!C:C,Del!B:B,A1813)</f>
        <v>0</v>
      </c>
      <c r="J1813" s="106" t="str">
        <f t="shared" si="5"/>
        <v>1</v>
      </c>
      <c r="K1813" s="106" t="str">
        <f t="shared" si="6"/>
        <v>1</v>
      </c>
      <c r="L1813" s="106"/>
      <c r="M1813" s="106" t="str">
        <f>SUMIFS(Ere!C:C,Ere!B:B,A1813)</f>
        <v>0</v>
      </c>
      <c r="N1813" s="106" t="str">
        <f t="shared" si="7"/>
        <v>1</v>
      </c>
      <c r="O1813" s="107" t="str">
        <f t="array" ref="O1813">XLOOKUP(A1813,Data!F:F,Data!O:O)</f>
        <v>  0.79 </v>
      </c>
      <c r="P1813" s="107" t="str">
        <f t="shared" si="8"/>
        <v>  1.98 </v>
      </c>
      <c r="Q1813" s="27"/>
    </row>
    <row r="1814" ht="15.75" customHeight="1">
      <c r="A1814" s="105" t="s">
        <v>2058</v>
      </c>
      <c r="B1814" s="19" t="str">
        <f t="array" ref="B1814">XLOOKUP(A1814,Data!F:F,Data!G:G)</f>
        <v>J2A</v>
      </c>
      <c r="C1814" s="19" t="str">
        <f t="shared" si="3"/>
        <v>J025</v>
      </c>
      <c r="D1814" s="19" t="str">
        <f t="array" ref="D1814">XLOOKUP(A1814,Data!F:F,Data!C:C)</f>
        <v>EXT</v>
      </c>
      <c r="E1814" s="19" t="str">
        <f t="array" ref="E1814">XLOOKUP(A1814,Data!F:F,Data!H:H)</f>
        <v>BW</v>
      </c>
      <c r="F1814" s="106" t="str">
        <f>SUMIFS(Data!J:J,Data!F:F,A1814)</f>
        <v>1</v>
      </c>
      <c r="G1814" s="106" t="str">
        <f>SUMIFS(Cast!C:C,CastElements,A1814)</f>
        <v>0</v>
      </c>
      <c r="H1814" s="106" t="str">
        <f t="shared" si="4"/>
        <v>1</v>
      </c>
      <c r="I1814" s="106" t="str">
        <f>SUMIFS(Del!C:C,Del!B:B,A1814)</f>
        <v>0</v>
      </c>
      <c r="J1814" s="106" t="str">
        <f t="shared" si="5"/>
        <v>1</v>
      </c>
      <c r="K1814" s="106" t="str">
        <f t="shared" si="6"/>
        <v>0</v>
      </c>
      <c r="L1814" s="106"/>
      <c r="M1814" s="106" t="str">
        <f>SUMIFS(Ere!C:C,Ere!B:B,A1814)</f>
        <v>0</v>
      </c>
      <c r="N1814" s="106" t="str">
        <f t="shared" si="7"/>
        <v>1</v>
      </c>
      <c r="O1814" s="107" t="str">
        <f t="array" ref="O1814">XLOOKUP(A1814,Data!F:F,Data!O:O)</f>
        <v>  1.17 </v>
      </c>
      <c r="P1814" s="107" t="str">
        <f t="shared" si="8"/>
        <v>  2.92 </v>
      </c>
      <c r="Q1814" s="27"/>
    </row>
    <row r="1815" ht="15.75" customHeight="1">
      <c r="A1815" s="105" t="s">
        <v>2059</v>
      </c>
      <c r="B1815" s="19" t="str">
        <f t="array" ref="B1815">XLOOKUP(A1815,Data!F:F,Data!G:G)</f>
        <v>J2A</v>
      </c>
      <c r="C1815" s="19" t="str">
        <f t="shared" si="3"/>
        <v>J025</v>
      </c>
      <c r="D1815" s="19" t="str">
        <f t="array" ref="D1815">XLOOKUP(A1815,Data!F:F,Data!C:C)</f>
        <v>EXT</v>
      </c>
      <c r="E1815" s="19" t="str">
        <f t="array" ref="E1815">XLOOKUP(A1815,Data!F:F,Data!H:H)</f>
        <v>BW</v>
      </c>
      <c r="F1815" s="106" t="str">
        <f>SUMIFS(Data!J:J,Data!F:F,A1815)</f>
        <v>1</v>
      </c>
      <c r="G1815" s="106" t="str">
        <f>SUMIFS(Cast!C:C,CastElements,A1815)</f>
        <v>1</v>
      </c>
      <c r="H1815" s="106" t="str">
        <f t="shared" si="4"/>
        <v>0</v>
      </c>
      <c r="I1815" s="106" t="str">
        <f>SUMIFS(Del!C:C,Del!B:B,A1815)</f>
        <v>0</v>
      </c>
      <c r="J1815" s="106" t="str">
        <f t="shared" si="5"/>
        <v>1</v>
      </c>
      <c r="K1815" s="106" t="str">
        <f t="shared" si="6"/>
        <v>1</v>
      </c>
      <c r="L1815" s="106"/>
      <c r="M1815" s="106" t="str">
        <f>SUMIFS(Ere!C:C,Ere!B:B,A1815)</f>
        <v>0</v>
      </c>
      <c r="N1815" s="106" t="str">
        <f t="shared" si="7"/>
        <v>1</v>
      </c>
      <c r="O1815" s="107" t="str">
        <f t="array" ref="O1815">XLOOKUP(A1815,Data!F:F,Data!O:O)</f>
        <v>  0.99 </v>
      </c>
      <c r="P1815" s="107" t="str">
        <f t="shared" si="8"/>
        <v>  2.48 </v>
      </c>
      <c r="Q1815" s="27"/>
    </row>
    <row r="1816" ht="15.75" customHeight="1">
      <c r="A1816" s="105" t="s">
        <v>2060</v>
      </c>
      <c r="B1816" s="19" t="str">
        <f t="array" ref="B1816">XLOOKUP(A1816,Data!F:F,Data!G:G)</f>
        <v>J2A</v>
      </c>
      <c r="C1816" s="19" t="str">
        <f t="shared" si="3"/>
        <v>J025</v>
      </c>
      <c r="D1816" s="19" t="str">
        <f t="array" ref="D1816">XLOOKUP(A1816,Data!F:F,Data!C:C)</f>
        <v/>
      </c>
      <c r="E1816" s="19" t="str">
        <f t="array" ref="E1816">XLOOKUP(A1816,Data!F:F,Data!H:H)</f>
        <v>BW</v>
      </c>
      <c r="F1816" s="106" t="str">
        <f>SUMIFS(Data!J:J,Data!F:F,A1816)</f>
        <v>1</v>
      </c>
      <c r="G1816" s="106" t="str">
        <f>SUMIFS(Cast!C:C,CastElements,A1816)</f>
        <v>1</v>
      </c>
      <c r="H1816" s="106" t="str">
        <f t="shared" si="4"/>
        <v>0</v>
      </c>
      <c r="I1816" s="106" t="str">
        <f>SUMIFS(Del!C:C,Del!B:B,A1816)</f>
        <v>0</v>
      </c>
      <c r="J1816" s="106" t="str">
        <f t="shared" si="5"/>
        <v>1</v>
      </c>
      <c r="K1816" s="106" t="str">
        <f t="shared" si="6"/>
        <v>1</v>
      </c>
      <c r="L1816" s="106"/>
      <c r="M1816" s="106" t="str">
        <f>SUMIFS(Ere!C:C,Ere!B:B,A1816)</f>
        <v>0</v>
      </c>
      <c r="N1816" s="106" t="str">
        <f t="shared" si="7"/>
        <v>1</v>
      </c>
      <c r="O1816" s="107" t="str">
        <f t="array" ref="O1816">XLOOKUP(A1816,Data!F:F,Data!O:O)</f>
        <v>  1.64 </v>
      </c>
      <c r="P1816" s="107" t="str">
        <f t="shared" si="8"/>
        <v>  4.11 </v>
      </c>
      <c r="Q1816" s="27"/>
    </row>
    <row r="1817" ht="15.75" customHeight="1">
      <c r="A1817" s="105" t="s">
        <v>2061</v>
      </c>
      <c r="B1817" s="19" t="str">
        <f t="array" ref="B1817">XLOOKUP(A1817,Data!F:F,Data!G:G)</f>
        <v>J2A</v>
      </c>
      <c r="C1817" s="19" t="str">
        <f t="shared" si="3"/>
        <v>J025</v>
      </c>
      <c r="D1817" s="19" t="str">
        <f t="array" ref="D1817">XLOOKUP(A1817,Data!F:F,Data!C:C)</f>
        <v/>
      </c>
      <c r="E1817" s="19" t="str">
        <f t="array" ref="E1817">XLOOKUP(A1817,Data!F:F,Data!H:H)</f>
        <v>BW</v>
      </c>
      <c r="F1817" s="106" t="str">
        <f>SUMIFS(Data!J:J,Data!F:F,A1817)</f>
        <v>1</v>
      </c>
      <c r="G1817" s="106" t="str">
        <f>SUMIFS(Cast!C:C,CastElements,A1817)</f>
        <v>1</v>
      </c>
      <c r="H1817" s="106" t="str">
        <f t="shared" si="4"/>
        <v>0</v>
      </c>
      <c r="I1817" s="106" t="str">
        <f>SUMIFS(Del!C:C,Del!B:B,A1817)</f>
        <v>0</v>
      </c>
      <c r="J1817" s="106" t="str">
        <f t="shared" si="5"/>
        <v>1</v>
      </c>
      <c r="K1817" s="106" t="str">
        <f t="shared" si="6"/>
        <v>1</v>
      </c>
      <c r="L1817" s="106"/>
      <c r="M1817" s="106" t="str">
        <f>SUMIFS(Ere!C:C,Ere!B:B,A1817)</f>
        <v>0</v>
      </c>
      <c r="N1817" s="106" t="str">
        <f t="shared" si="7"/>
        <v>1</v>
      </c>
      <c r="O1817" s="107" t="str">
        <f t="array" ref="O1817">XLOOKUP(A1817,Data!F:F,Data!O:O)</f>
        <v>  1.65 </v>
      </c>
      <c r="P1817" s="107" t="str">
        <f t="shared" si="8"/>
        <v>  4.13 </v>
      </c>
      <c r="Q1817" s="27"/>
    </row>
    <row r="1818" ht="15.75" customHeight="1">
      <c r="A1818" s="105" t="s">
        <v>2062</v>
      </c>
      <c r="B1818" s="19" t="str">
        <f t="array" ref="B1818">XLOOKUP(A1818,Data!F:F,Data!G:G)</f>
        <v>J2A</v>
      </c>
      <c r="C1818" s="19" t="str">
        <f t="shared" si="3"/>
        <v>J025</v>
      </c>
      <c r="D1818" s="19" t="str">
        <f t="array" ref="D1818">XLOOKUP(A1818,Data!F:F,Data!C:C)</f>
        <v/>
      </c>
      <c r="E1818" s="19" t="str">
        <f t="array" ref="E1818">XLOOKUP(A1818,Data!F:F,Data!H:H)</f>
        <v>BW</v>
      </c>
      <c r="F1818" s="106" t="str">
        <f>SUMIFS(Data!J:J,Data!F:F,A1818)</f>
        <v>1</v>
      </c>
      <c r="G1818" s="106" t="str">
        <f>SUMIFS(Cast!C:C,CastElements,A1818)</f>
        <v>1</v>
      </c>
      <c r="H1818" s="106" t="str">
        <f t="shared" si="4"/>
        <v>0</v>
      </c>
      <c r="I1818" s="106" t="str">
        <f>SUMIFS(Del!C:C,Del!B:B,A1818)</f>
        <v>0</v>
      </c>
      <c r="J1818" s="106" t="str">
        <f t="shared" si="5"/>
        <v>1</v>
      </c>
      <c r="K1818" s="106" t="str">
        <f t="shared" si="6"/>
        <v>1</v>
      </c>
      <c r="L1818" s="106"/>
      <c r="M1818" s="106" t="str">
        <f>SUMIFS(Ere!C:C,Ere!B:B,A1818)</f>
        <v>0</v>
      </c>
      <c r="N1818" s="106" t="str">
        <f t="shared" si="7"/>
        <v>1</v>
      </c>
      <c r="O1818" s="107" t="str">
        <f t="array" ref="O1818">XLOOKUP(A1818,Data!F:F,Data!O:O)</f>
        <v>  1.99 </v>
      </c>
      <c r="P1818" s="107" t="str">
        <f t="shared" si="8"/>
        <v>  4.97 </v>
      </c>
      <c r="Q1818" s="27"/>
    </row>
    <row r="1819" ht="15.75" customHeight="1">
      <c r="A1819" s="105" t="s">
        <v>2063</v>
      </c>
      <c r="B1819" s="19" t="str">
        <f t="array" ref="B1819">XLOOKUP(A1819,Data!F:F,Data!G:G)</f>
        <v>J2A</v>
      </c>
      <c r="C1819" s="19" t="str">
        <f t="shared" si="3"/>
        <v>J025</v>
      </c>
      <c r="D1819" s="19" t="str">
        <f t="array" ref="D1819">XLOOKUP(A1819,Data!F:F,Data!C:C)</f>
        <v/>
      </c>
      <c r="E1819" s="19" t="str">
        <f t="array" ref="E1819">XLOOKUP(A1819,Data!F:F,Data!H:H)</f>
        <v>BW</v>
      </c>
      <c r="F1819" s="106" t="str">
        <f>SUMIFS(Data!J:J,Data!F:F,A1819)</f>
        <v>1</v>
      </c>
      <c r="G1819" s="106" t="str">
        <f>SUMIFS(Cast!C:C,CastElements,A1819)</f>
        <v>1</v>
      </c>
      <c r="H1819" s="106" t="str">
        <f t="shared" si="4"/>
        <v>0</v>
      </c>
      <c r="I1819" s="106" t="str">
        <f>SUMIFS(Del!C:C,Del!B:B,A1819)</f>
        <v>0</v>
      </c>
      <c r="J1819" s="106" t="str">
        <f t="shared" si="5"/>
        <v>1</v>
      </c>
      <c r="K1819" s="106" t="str">
        <f t="shared" si="6"/>
        <v>1</v>
      </c>
      <c r="L1819" s="106"/>
      <c r="M1819" s="106" t="str">
        <f>SUMIFS(Ere!C:C,Ere!B:B,A1819)</f>
        <v>0</v>
      </c>
      <c r="N1819" s="106" t="str">
        <f t="shared" si="7"/>
        <v>1</v>
      </c>
      <c r="O1819" s="107" t="str">
        <f t="array" ref="O1819">XLOOKUP(A1819,Data!F:F,Data!O:O)</f>
        <v>  1.99 </v>
      </c>
      <c r="P1819" s="107" t="str">
        <f t="shared" si="8"/>
        <v>  4.97 </v>
      </c>
      <c r="Q1819" s="27"/>
    </row>
    <row r="1820" ht="15.75" customHeight="1">
      <c r="A1820" s="105" t="s">
        <v>2064</v>
      </c>
      <c r="B1820" s="19" t="str">
        <f t="array" ref="B1820">XLOOKUP(A1820,Data!F:F,Data!G:G)</f>
        <v>J2A</v>
      </c>
      <c r="C1820" s="19" t="str">
        <f t="shared" si="3"/>
        <v>J025</v>
      </c>
      <c r="D1820" s="19" t="str">
        <f t="array" ref="D1820">XLOOKUP(A1820,Data!F:F,Data!C:C)</f>
        <v/>
      </c>
      <c r="E1820" s="19" t="str">
        <f t="array" ref="E1820">XLOOKUP(A1820,Data!F:F,Data!H:H)</f>
        <v>BW</v>
      </c>
      <c r="F1820" s="106" t="str">
        <f>SUMIFS(Data!J:J,Data!F:F,A1820)</f>
        <v>1</v>
      </c>
      <c r="G1820" s="106" t="str">
        <f>SUMIFS(Cast!C:C,CastElements,A1820)</f>
        <v>1</v>
      </c>
      <c r="H1820" s="106" t="str">
        <f t="shared" si="4"/>
        <v>0</v>
      </c>
      <c r="I1820" s="106" t="str">
        <f>SUMIFS(Del!C:C,Del!B:B,A1820)</f>
        <v>0</v>
      </c>
      <c r="J1820" s="106" t="str">
        <f t="shared" si="5"/>
        <v>1</v>
      </c>
      <c r="K1820" s="106" t="str">
        <f t="shared" si="6"/>
        <v>1</v>
      </c>
      <c r="L1820" s="106"/>
      <c r="M1820" s="106" t="str">
        <f>SUMIFS(Ere!C:C,Ere!B:B,A1820)</f>
        <v>0</v>
      </c>
      <c r="N1820" s="106" t="str">
        <f t="shared" si="7"/>
        <v>1</v>
      </c>
      <c r="O1820" s="107" t="str">
        <f t="array" ref="O1820">XLOOKUP(A1820,Data!F:F,Data!O:O)</f>
        <v>  1.99 </v>
      </c>
      <c r="P1820" s="107" t="str">
        <f t="shared" si="8"/>
        <v>  4.97 </v>
      </c>
      <c r="Q1820" s="27"/>
    </row>
    <row r="1821" ht="15.75" customHeight="1">
      <c r="A1821" s="105" t="s">
        <v>2065</v>
      </c>
      <c r="B1821" s="19" t="str">
        <f t="array" ref="B1821">XLOOKUP(A1821,Data!F:F,Data!G:G)</f>
        <v>J2A</v>
      </c>
      <c r="C1821" s="19" t="str">
        <f t="shared" si="3"/>
        <v>J025</v>
      </c>
      <c r="D1821" s="19" t="str">
        <f t="array" ref="D1821">XLOOKUP(A1821,Data!F:F,Data!C:C)</f>
        <v/>
      </c>
      <c r="E1821" s="19" t="str">
        <f t="array" ref="E1821">XLOOKUP(A1821,Data!F:F,Data!H:H)</f>
        <v>BW</v>
      </c>
      <c r="F1821" s="106" t="str">
        <f>SUMIFS(Data!J:J,Data!F:F,A1821)</f>
        <v>1</v>
      </c>
      <c r="G1821" s="106" t="str">
        <f>SUMIFS(Cast!C:C,CastElements,A1821)</f>
        <v>1</v>
      </c>
      <c r="H1821" s="106" t="str">
        <f t="shared" si="4"/>
        <v>0</v>
      </c>
      <c r="I1821" s="106" t="str">
        <f>SUMIFS(Del!C:C,Del!B:B,A1821)</f>
        <v>0</v>
      </c>
      <c r="J1821" s="106" t="str">
        <f t="shared" si="5"/>
        <v>1</v>
      </c>
      <c r="K1821" s="106" t="str">
        <f t="shared" si="6"/>
        <v>1</v>
      </c>
      <c r="L1821" s="106"/>
      <c r="M1821" s="106" t="str">
        <f>SUMIFS(Ere!C:C,Ere!B:B,A1821)</f>
        <v>0</v>
      </c>
      <c r="N1821" s="106" t="str">
        <f t="shared" si="7"/>
        <v>1</v>
      </c>
      <c r="O1821" s="107" t="str">
        <f t="array" ref="O1821">XLOOKUP(A1821,Data!F:F,Data!O:O)</f>
        <v>  1.79 </v>
      </c>
      <c r="P1821" s="107" t="str">
        <f t="shared" si="8"/>
        <v>  4.47 </v>
      </c>
      <c r="Q1821" s="27"/>
    </row>
    <row r="1822" ht="15.75" customHeight="1">
      <c r="A1822" s="105" t="s">
        <v>2066</v>
      </c>
      <c r="B1822" s="19" t="str">
        <f t="array" ref="B1822">XLOOKUP(A1822,Data!F:F,Data!G:G)</f>
        <v>J2A</v>
      </c>
      <c r="C1822" s="19" t="str">
        <f t="shared" si="3"/>
        <v>J025</v>
      </c>
      <c r="D1822" s="19" t="str">
        <f t="array" ref="D1822">XLOOKUP(A1822,Data!F:F,Data!C:C)</f>
        <v/>
      </c>
      <c r="E1822" s="19" t="str">
        <f t="array" ref="E1822">XLOOKUP(A1822,Data!F:F,Data!H:H)</f>
        <v>BW</v>
      </c>
      <c r="F1822" s="106" t="str">
        <f>SUMIFS(Data!J:J,Data!F:F,A1822)</f>
        <v>1</v>
      </c>
      <c r="G1822" s="106" t="str">
        <f>SUMIFS(Cast!C:C,CastElements,A1822)</f>
        <v>1</v>
      </c>
      <c r="H1822" s="106" t="str">
        <f t="shared" si="4"/>
        <v>0</v>
      </c>
      <c r="I1822" s="106" t="str">
        <f>SUMIFS(Del!C:C,Del!B:B,A1822)</f>
        <v>0</v>
      </c>
      <c r="J1822" s="106" t="str">
        <f t="shared" si="5"/>
        <v>1</v>
      </c>
      <c r="K1822" s="106" t="str">
        <f t="shared" si="6"/>
        <v>1</v>
      </c>
      <c r="L1822" s="106"/>
      <c r="M1822" s="106" t="str">
        <f>SUMIFS(Ere!C:C,Ere!B:B,A1822)</f>
        <v>0</v>
      </c>
      <c r="N1822" s="106" t="str">
        <f t="shared" si="7"/>
        <v>1</v>
      </c>
      <c r="O1822" s="107" t="str">
        <f t="array" ref="O1822">XLOOKUP(A1822,Data!F:F,Data!O:O)</f>
        <v>  2.12 </v>
      </c>
      <c r="P1822" s="107" t="str">
        <f t="shared" si="8"/>
        <v>  5.31 </v>
      </c>
      <c r="Q1822" s="27"/>
    </row>
    <row r="1823" ht="15.75" customHeight="1">
      <c r="A1823" s="105" t="s">
        <v>2067</v>
      </c>
      <c r="B1823" s="19" t="str">
        <f t="array" ref="B1823">XLOOKUP(A1823,Data!F:F,Data!G:G)</f>
        <v>J2A</v>
      </c>
      <c r="C1823" s="19" t="str">
        <f t="shared" si="3"/>
        <v>J025</v>
      </c>
      <c r="D1823" s="19" t="str">
        <f t="array" ref="D1823">XLOOKUP(A1823,Data!F:F,Data!C:C)</f>
        <v/>
      </c>
      <c r="E1823" s="19" t="str">
        <f t="array" ref="E1823">XLOOKUP(A1823,Data!F:F,Data!H:H)</f>
        <v>BW</v>
      </c>
      <c r="F1823" s="106" t="str">
        <f>SUMIFS(Data!J:J,Data!F:F,A1823)</f>
        <v>1</v>
      </c>
      <c r="G1823" s="106" t="str">
        <f>SUMIFS(Cast!C:C,CastElements,A1823)</f>
        <v>1</v>
      </c>
      <c r="H1823" s="106" t="str">
        <f t="shared" si="4"/>
        <v>0</v>
      </c>
      <c r="I1823" s="106" t="str">
        <f>SUMIFS(Del!C:C,Del!B:B,A1823)</f>
        <v>0</v>
      </c>
      <c r="J1823" s="106" t="str">
        <f t="shared" si="5"/>
        <v>1</v>
      </c>
      <c r="K1823" s="106" t="str">
        <f t="shared" si="6"/>
        <v>1</v>
      </c>
      <c r="L1823" s="106"/>
      <c r="M1823" s="106" t="str">
        <f>SUMIFS(Ere!C:C,Ere!B:B,A1823)</f>
        <v>0</v>
      </c>
      <c r="N1823" s="106" t="str">
        <f t="shared" si="7"/>
        <v>1</v>
      </c>
      <c r="O1823" s="107" t="str">
        <f t="array" ref="O1823">XLOOKUP(A1823,Data!F:F,Data!O:O)</f>
        <v>  2.12 </v>
      </c>
      <c r="P1823" s="107" t="str">
        <f t="shared" si="8"/>
        <v>  5.31 </v>
      </c>
      <c r="Q1823" s="27"/>
    </row>
    <row r="1824" ht="15.75" customHeight="1">
      <c r="A1824" s="105" t="s">
        <v>2068</v>
      </c>
      <c r="B1824" s="19" t="str">
        <f t="array" ref="B1824">XLOOKUP(A1824,Data!F:F,Data!G:G)</f>
        <v>J2A</v>
      </c>
      <c r="C1824" s="19" t="str">
        <f t="shared" si="3"/>
        <v>J025</v>
      </c>
      <c r="D1824" s="19" t="str">
        <f t="array" ref="D1824">XLOOKUP(A1824,Data!F:F,Data!C:C)</f>
        <v/>
      </c>
      <c r="E1824" s="19" t="str">
        <f t="array" ref="E1824">XLOOKUP(A1824,Data!F:F,Data!H:H)</f>
        <v>BW</v>
      </c>
      <c r="F1824" s="106" t="str">
        <f>SUMIFS(Data!J:J,Data!F:F,A1824)</f>
        <v>1</v>
      </c>
      <c r="G1824" s="106" t="str">
        <f>SUMIFS(Cast!C:C,CastElements,A1824)</f>
        <v>1</v>
      </c>
      <c r="H1824" s="106" t="str">
        <f t="shared" si="4"/>
        <v>0</v>
      </c>
      <c r="I1824" s="106" t="str">
        <f>SUMIFS(Del!C:C,Del!B:B,A1824)</f>
        <v>0</v>
      </c>
      <c r="J1824" s="106" t="str">
        <f t="shared" si="5"/>
        <v>1</v>
      </c>
      <c r="K1824" s="106" t="str">
        <f t="shared" si="6"/>
        <v>1</v>
      </c>
      <c r="L1824" s="106"/>
      <c r="M1824" s="106" t="str">
        <f>SUMIFS(Ere!C:C,Ere!B:B,A1824)</f>
        <v>0</v>
      </c>
      <c r="N1824" s="106" t="str">
        <f t="shared" si="7"/>
        <v>1</v>
      </c>
      <c r="O1824" s="107" t="str">
        <f t="array" ref="O1824">XLOOKUP(A1824,Data!F:F,Data!O:O)</f>
        <v>  2.12 </v>
      </c>
      <c r="P1824" s="107" t="str">
        <f t="shared" si="8"/>
        <v>  5.31 </v>
      </c>
      <c r="Q1824" s="27"/>
    </row>
    <row r="1825" ht="15.75" customHeight="1">
      <c r="A1825" s="105" t="s">
        <v>2069</v>
      </c>
      <c r="B1825" s="19" t="str">
        <f t="array" ref="B1825">XLOOKUP(A1825,Data!F:F,Data!G:G)</f>
        <v>J2A</v>
      </c>
      <c r="C1825" s="19" t="str">
        <f t="shared" si="3"/>
        <v>J025</v>
      </c>
      <c r="D1825" s="19" t="str">
        <f t="array" ref="D1825">XLOOKUP(A1825,Data!F:F,Data!C:C)</f>
        <v/>
      </c>
      <c r="E1825" s="19" t="str">
        <f t="array" ref="E1825">XLOOKUP(A1825,Data!F:F,Data!H:H)</f>
        <v>BW</v>
      </c>
      <c r="F1825" s="106" t="str">
        <f>SUMIFS(Data!J:J,Data!F:F,A1825)</f>
        <v>1</v>
      </c>
      <c r="G1825" s="106" t="str">
        <f>SUMIFS(Cast!C:C,CastElements,A1825)</f>
        <v>1</v>
      </c>
      <c r="H1825" s="106" t="str">
        <f t="shared" si="4"/>
        <v>0</v>
      </c>
      <c r="I1825" s="106" t="str">
        <f>SUMIFS(Del!C:C,Del!B:B,A1825)</f>
        <v>0</v>
      </c>
      <c r="J1825" s="106" t="str">
        <f t="shared" si="5"/>
        <v>1</v>
      </c>
      <c r="K1825" s="106" t="str">
        <f t="shared" si="6"/>
        <v>1</v>
      </c>
      <c r="L1825" s="106"/>
      <c r="M1825" s="106" t="str">
        <f>SUMIFS(Ere!C:C,Ere!B:B,A1825)</f>
        <v>0</v>
      </c>
      <c r="N1825" s="106" t="str">
        <f t="shared" si="7"/>
        <v>1</v>
      </c>
      <c r="O1825" s="107" t="str">
        <f t="array" ref="O1825">XLOOKUP(A1825,Data!F:F,Data!O:O)</f>
        <v>  2.26 </v>
      </c>
      <c r="P1825" s="107" t="str">
        <f t="shared" si="8"/>
        <v>  5.65 </v>
      </c>
      <c r="Q1825" s="27"/>
    </row>
    <row r="1826" ht="15.75" customHeight="1">
      <c r="A1826" s="105" t="s">
        <v>2070</v>
      </c>
      <c r="B1826" s="19" t="str">
        <f t="array" ref="B1826">XLOOKUP(A1826,Data!F:F,Data!G:G)</f>
        <v>J2A</v>
      </c>
      <c r="C1826" s="19" t="str">
        <f t="shared" si="3"/>
        <v>J025</v>
      </c>
      <c r="D1826" s="19" t="str">
        <f t="array" ref="D1826">XLOOKUP(A1826,Data!F:F,Data!C:C)</f>
        <v/>
      </c>
      <c r="E1826" s="19" t="str">
        <f t="array" ref="E1826">XLOOKUP(A1826,Data!F:F,Data!H:H)</f>
        <v>BW</v>
      </c>
      <c r="F1826" s="106" t="str">
        <f>SUMIFS(Data!J:J,Data!F:F,A1826)</f>
        <v>1</v>
      </c>
      <c r="G1826" s="106" t="str">
        <f>SUMIFS(Cast!C:C,CastElements,A1826)</f>
        <v>1</v>
      </c>
      <c r="H1826" s="106" t="str">
        <f t="shared" si="4"/>
        <v>0</v>
      </c>
      <c r="I1826" s="106" t="str">
        <f>SUMIFS(Del!C:C,Del!B:B,A1826)</f>
        <v>0</v>
      </c>
      <c r="J1826" s="106" t="str">
        <f t="shared" si="5"/>
        <v>1</v>
      </c>
      <c r="K1826" s="106" t="str">
        <f t="shared" si="6"/>
        <v>1</v>
      </c>
      <c r="L1826" s="106"/>
      <c r="M1826" s="106" t="str">
        <f>SUMIFS(Ere!C:C,Ere!B:B,A1826)</f>
        <v>0</v>
      </c>
      <c r="N1826" s="106" t="str">
        <f t="shared" si="7"/>
        <v>1</v>
      </c>
      <c r="O1826" s="107" t="str">
        <f t="array" ref="O1826">XLOOKUP(A1826,Data!F:F,Data!O:O)</f>
        <v>  0.42 </v>
      </c>
      <c r="P1826" s="107" t="str">
        <f t="shared" si="8"/>
        <v>  1.05 </v>
      </c>
      <c r="Q1826" s="27"/>
    </row>
    <row r="1827" ht="15.75" customHeight="1">
      <c r="A1827" s="105" t="s">
        <v>2071</v>
      </c>
      <c r="B1827" s="19" t="str">
        <f t="array" ref="B1827">XLOOKUP(A1827,Data!F:F,Data!G:G)</f>
        <v>J2A</v>
      </c>
      <c r="C1827" s="19" t="str">
        <f t="shared" si="3"/>
        <v>J025</v>
      </c>
      <c r="D1827" s="19" t="str">
        <f t="array" ref="D1827">XLOOKUP(A1827,Data!F:F,Data!C:C)</f>
        <v/>
      </c>
      <c r="E1827" s="19" t="str">
        <f t="array" ref="E1827">XLOOKUP(A1827,Data!F:F,Data!H:H)</f>
        <v>BW</v>
      </c>
      <c r="F1827" s="106" t="str">
        <f>SUMIFS(Data!J:J,Data!F:F,A1827)</f>
        <v>1</v>
      </c>
      <c r="G1827" s="106" t="str">
        <f>SUMIFS(Cast!C:C,CastElements,A1827)</f>
        <v>1</v>
      </c>
      <c r="H1827" s="106" t="str">
        <f t="shared" si="4"/>
        <v>0</v>
      </c>
      <c r="I1827" s="106" t="str">
        <f>SUMIFS(Del!C:C,Del!B:B,A1827)</f>
        <v>0</v>
      </c>
      <c r="J1827" s="106" t="str">
        <f t="shared" si="5"/>
        <v>1</v>
      </c>
      <c r="K1827" s="106" t="str">
        <f t="shared" si="6"/>
        <v>1</v>
      </c>
      <c r="L1827" s="106"/>
      <c r="M1827" s="106" t="str">
        <f>SUMIFS(Ere!C:C,Ere!B:B,A1827)</f>
        <v>0</v>
      </c>
      <c r="N1827" s="106" t="str">
        <f t="shared" si="7"/>
        <v>1</v>
      </c>
      <c r="O1827" s="107" t="str">
        <f t="array" ref="O1827">XLOOKUP(A1827,Data!F:F,Data!O:O)</f>
        <v>  0.37 </v>
      </c>
      <c r="P1827" s="107" t="str">
        <f t="shared" si="8"/>
        <v>  0.92 </v>
      </c>
      <c r="Q1827" s="27"/>
    </row>
    <row r="1828" ht="15.75" customHeight="1">
      <c r="A1828" s="105" t="s">
        <v>2072</v>
      </c>
      <c r="B1828" s="19" t="str">
        <f t="array" ref="B1828">XLOOKUP(A1828,Data!F:F,Data!G:G)</f>
        <v>J2A</v>
      </c>
      <c r="C1828" s="19" t="str">
        <f t="shared" si="3"/>
        <v>J025</v>
      </c>
      <c r="D1828" s="19" t="str">
        <f t="array" ref="D1828">XLOOKUP(A1828,Data!F:F,Data!C:C)</f>
        <v/>
      </c>
      <c r="E1828" s="19" t="str">
        <f t="array" ref="E1828">XLOOKUP(A1828,Data!F:F,Data!H:H)</f>
        <v>CF</v>
      </c>
      <c r="F1828" s="106" t="str">
        <f>SUMIFS(Data!J:J,Data!F:F,A1828)</f>
        <v>1</v>
      </c>
      <c r="G1828" s="106" t="str">
        <f>SUMIFS(Cast!C:C,CastElements,A1828)</f>
        <v>0</v>
      </c>
      <c r="H1828" s="106" t="str">
        <f t="shared" si="4"/>
        <v>1</v>
      </c>
      <c r="I1828" s="106" t="str">
        <f>SUMIFS(Del!C:C,Del!B:B,A1828)</f>
        <v>0</v>
      </c>
      <c r="J1828" s="106" t="str">
        <f t="shared" si="5"/>
        <v>1</v>
      </c>
      <c r="K1828" s="106" t="str">
        <f t="shared" si="6"/>
        <v>0</v>
      </c>
      <c r="L1828" s="106"/>
      <c r="M1828" s="106" t="str">
        <f>SUMIFS(Ere!C:C,Ere!B:B,A1828)</f>
        <v>0</v>
      </c>
      <c r="N1828" s="106" t="str">
        <f t="shared" si="7"/>
        <v>1</v>
      </c>
      <c r="O1828" s="107" t="str">
        <f t="array" ref="O1828">XLOOKUP(A1828,Data!F:F,Data!O:O)</f>
        <v>  0.47 </v>
      </c>
      <c r="P1828" s="107" t="str">
        <f t="shared" si="8"/>
        <v>  1.18 </v>
      </c>
      <c r="Q1828" s="27"/>
    </row>
    <row r="1829" ht="15.75" customHeight="1">
      <c r="A1829" s="105" t="s">
        <v>2073</v>
      </c>
      <c r="B1829" s="19" t="str">
        <f t="array" ref="B1829">XLOOKUP(A1829,Data!F:F,Data!G:G)</f>
        <v>J2A</v>
      </c>
      <c r="C1829" s="19" t="str">
        <f t="shared" si="3"/>
        <v>J026</v>
      </c>
      <c r="D1829" s="19" t="str">
        <f t="array" ref="D1829">XLOOKUP(A1829,Data!F:F,Data!C:C)</f>
        <v>EXT</v>
      </c>
      <c r="E1829" s="19" t="str">
        <f t="array" ref="E1829">XLOOKUP(A1829,Data!F:F,Data!H:H)</f>
        <v>BW</v>
      </c>
      <c r="F1829" s="106" t="str">
        <f>SUMIFS(Data!J:J,Data!F:F,A1829)</f>
        <v>1</v>
      </c>
      <c r="G1829" s="106" t="str">
        <f>SUMIFS(Cast!C:C,CastElements,A1829)</f>
        <v>1</v>
      </c>
      <c r="H1829" s="106" t="str">
        <f t="shared" si="4"/>
        <v>0</v>
      </c>
      <c r="I1829" s="106" t="str">
        <f>SUMIFS(Del!C:C,Del!B:B,A1829)</f>
        <v>0</v>
      </c>
      <c r="J1829" s="106" t="str">
        <f t="shared" si="5"/>
        <v>1</v>
      </c>
      <c r="K1829" s="106" t="str">
        <f t="shared" si="6"/>
        <v>1</v>
      </c>
      <c r="L1829" s="106"/>
      <c r="M1829" s="106" t="str">
        <f>SUMIFS(Ere!C:C,Ere!B:B,A1829)</f>
        <v>0</v>
      </c>
      <c r="N1829" s="106" t="str">
        <f t="shared" si="7"/>
        <v>1</v>
      </c>
      <c r="O1829" s="107" t="str">
        <f t="array" ref="O1829">XLOOKUP(A1829,Data!F:F,Data!O:O)</f>
        <v>  0.79 </v>
      </c>
      <c r="P1829" s="107" t="str">
        <f t="shared" si="8"/>
        <v>  1.98 </v>
      </c>
      <c r="Q1829" s="27"/>
    </row>
    <row r="1830" ht="15.75" customHeight="1">
      <c r="A1830" s="105" t="s">
        <v>2074</v>
      </c>
      <c r="B1830" s="19" t="str">
        <f t="array" ref="B1830">XLOOKUP(A1830,Data!F:F,Data!G:G)</f>
        <v>J2A</v>
      </c>
      <c r="C1830" s="19" t="str">
        <f t="shared" si="3"/>
        <v>J026</v>
      </c>
      <c r="D1830" s="19" t="str">
        <f t="array" ref="D1830">XLOOKUP(A1830,Data!F:F,Data!C:C)</f>
        <v>EXT</v>
      </c>
      <c r="E1830" s="19" t="str">
        <f t="array" ref="E1830">XLOOKUP(A1830,Data!F:F,Data!H:H)</f>
        <v>BW</v>
      </c>
      <c r="F1830" s="106" t="str">
        <f>SUMIFS(Data!J:J,Data!F:F,A1830)</f>
        <v>1</v>
      </c>
      <c r="G1830" s="106" t="str">
        <f>SUMIFS(Cast!C:C,CastElements,A1830)</f>
        <v>1</v>
      </c>
      <c r="H1830" s="106" t="str">
        <f t="shared" si="4"/>
        <v>0</v>
      </c>
      <c r="I1830" s="106" t="str">
        <f>SUMIFS(Del!C:C,Del!B:B,A1830)</f>
        <v>0</v>
      </c>
      <c r="J1830" s="106" t="str">
        <f t="shared" si="5"/>
        <v>1</v>
      </c>
      <c r="K1830" s="106" t="str">
        <f t="shared" si="6"/>
        <v>1</v>
      </c>
      <c r="L1830" s="106"/>
      <c r="M1830" s="106" t="str">
        <f>SUMIFS(Ere!C:C,Ere!B:B,A1830)</f>
        <v>0</v>
      </c>
      <c r="N1830" s="106" t="str">
        <f t="shared" si="7"/>
        <v>1</v>
      </c>
      <c r="O1830" s="107" t="str">
        <f t="array" ref="O1830">XLOOKUP(A1830,Data!F:F,Data!O:O)</f>
        <v>  0.99 </v>
      </c>
      <c r="P1830" s="107" t="str">
        <f t="shared" si="8"/>
        <v>  2.48 </v>
      </c>
      <c r="Q1830" s="27"/>
    </row>
    <row r="1831" ht="15.75" customHeight="1">
      <c r="A1831" s="105" t="s">
        <v>2075</v>
      </c>
      <c r="B1831" s="19" t="str">
        <f t="array" ref="B1831">XLOOKUP(A1831,Data!F:F,Data!G:G)</f>
        <v>J2A</v>
      </c>
      <c r="C1831" s="19" t="str">
        <f t="shared" si="3"/>
        <v>J026</v>
      </c>
      <c r="D1831" s="19" t="str">
        <f t="array" ref="D1831">XLOOKUP(A1831,Data!F:F,Data!C:C)</f>
        <v>EXT</v>
      </c>
      <c r="E1831" s="19" t="str">
        <f t="array" ref="E1831">XLOOKUP(A1831,Data!F:F,Data!H:H)</f>
        <v>BW</v>
      </c>
      <c r="F1831" s="106" t="str">
        <f>SUMIFS(Data!J:J,Data!F:F,A1831)</f>
        <v>1</v>
      </c>
      <c r="G1831" s="106" t="str">
        <f>SUMIFS(Cast!C:C,CastElements,A1831)</f>
        <v>0</v>
      </c>
      <c r="H1831" s="106" t="str">
        <f t="shared" si="4"/>
        <v>1</v>
      </c>
      <c r="I1831" s="106" t="str">
        <f>SUMIFS(Del!C:C,Del!B:B,A1831)</f>
        <v>0</v>
      </c>
      <c r="J1831" s="106" t="str">
        <f t="shared" si="5"/>
        <v>1</v>
      </c>
      <c r="K1831" s="106" t="str">
        <f t="shared" si="6"/>
        <v>0</v>
      </c>
      <c r="L1831" s="106"/>
      <c r="M1831" s="106" t="str">
        <f>SUMIFS(Ere!C:C,Ere!B:B,A1831)</f>
        <v>0</v>
      </c>
      <c r="N1831" s="106" t="str">
        <f t="shared" si="7"/>
        <v>1</v>
      </c>
      <c r="O1831" s="107" t="str">
        <f t="array" ref="O1831">XLOOKUP(A1831,Data!F:F,Data!O:O)</f>
        <v>  1.17 </v>
      </c>
      <c r="P1831" s="107" t="str">
        <f t="shared" si="8"/>
        <v>  2.92 </v>
      </c>
      <c r="Q1831" s="27"/>
    </row>
    <row r="1832" ht="15.75" customHeight="1">
      <c r="A1832" s="105" t="s">
        <v>2076</v>
      </c>
      <c r="B1832" s="19" t="str">
        <f t="array" ref="B1832">XLOOKUP(A1832,Data!F:F,Data!G:G)</f>
        <v>J2A</v>
      </c>
      <c r="C1832" s="19" t="str">
        <f t="shared" si="3"/>
        <v>J026</v>
      </c>
      <c r="D1832" s="19" t="str">
        <f t="array" ref="D1832">XLOOKUP(A1832,Data!F:F,Data!C:C)</f>
        <v/>
      </c>
      <c r="E1832" s="19" t="str">
        <f t="array" ref="E1832">XLOOKUP(A1832,Data!F:F,Data!H:H)</f>
        <v>BW</v>
      </c>
      <c r="F1832" s="106" t="str">
        <f>SUMIFS(Data!J:J,Data!F:F,A1832)</f>
        <v>1</v>
      </c>
      <c r="G1832" s="106" t="str">
        <f>SUMIFS(Cast!C:C,CastElements,A1832)</f>
        <v>1</v>
      </c>
      <c r="H1832" s="106" t="str">
        <f t="shared" si="4"/>
        <v>0</v>
      </c>
      <c r="I1832" s="106" t="str">
        <f>SUMIFS(Del!C:C,Del!B:B,A1832)</f>
        <v>0</v>
      </c>
      <c r="J1832" s="106" t="str">
        <f t="shared" si="5"/>
        <v>1</v>
      </c>
      <c r="K1832" s="106" t="str">
        <f t="shared" si="6"/>
        <v>1</v>
      </c>
      <c r="L1832" s="106"/>
      <c r="M1832" s="106" t="str">
        <f>SUMIFS(Ere!C:C,Ere!B:B,A1832)</f>
        <v>0</v>
      </c>
      <c r="N1832" s="106" t="str">
        <f t="shared" si="7"/>
        <v>1</v>
      </c>
      <c r="O1832" s="107" t="str">
        <f t="array" ref="O1832">XLOOKUP(A1832,Data!F:F,Data!O:O)</f>
        <v>  1.57 </v>
      </c>
      <c r="P1832" s="107" t="str">
        <f t="shared" si="8"/>
        <v>  3.93 </v>
      </c>
      <c r="Q1832" s="27"/>
    </row>
    <row r="1833" ht="15.75" customHeight="1">
      <c r="A1833" s="105" t="s">
        <v>2077</v>
      </c>
      <c r="B1833" s="19" t="str">
        <f t="array" ref="B1833">XLOOKUP(A1833,Data!F:F,Data!G:G)</f>
        <v>J2A</v>
      </c>
      <c r="C1833" s="19" t="str">
        <f t="shared" si="3"/>
        <v>J026</v>
      </c>
      <c r="D1833" s="19" t="str">
        <f t="array" ref="D1833">XLOOKUP(A1833,Data!F:F,Data!C:C)</f>
        <v/>
      </c>
      <c r="E1833" s="19" t="str">
        <f t="array" ref="E1833">XLOOKUP(A1833,Data!F:F,Data!H:H)</f>
        <v>BW</v>
      </c>
      <c r="F1833" s="106" t="str">
        <f>SUMIFS(Data!J:J,Data!F:F,A1833)</f>
        <v>1</v>
      </c>
      <c r="G1833" s="106" t="str">
        <f>SUMIFS(Cast!C:C,CastElements,A1833)</f>
        <v>1</v>
      </c>
      <c r="H1833" s="106" t="str">
        <f t="shared" si="4"/>
        <v>0</v>
      </c>
      <c r="I1833" s="106" t="str">
        <f>SUMIFS(Del!C:C,Del!B:B,A1833)</f>
        <v>0</v>
      </c>
      <c r="J1833" s="106" t="str">
        <f t="shared" si="5"/>
        <v>1</v>
      </c>
      <c r="K1833" s="106" t="str">
        <f t="shared" si="6"/>
        <v>1</v>
      </c>
      <c r="L1833" s="106"/>
      <c r="M1833" s="106" t="str">
        <f>SUMIFS(Ere!C:C,Ere!B:B,A1833)</f>
        <v>0</v>
      </c>
      <c r="N1833" s="106" t="str">
        <f t="shared" si="7"/>
        <v>1</v>
      </c>
      <c r="O1833" s="107" t="str">
        <f t="array" ref="O1833">XLOOKUP(A1833,Data!F:F,Data!O:O)</f>
        <v>  2.38 </v>
      </c>
      <c r="P1833" s="107" t="str">
        <f t="shared" si="8"/>
        <v>  5.95 </v>
      </c>
      <c r="Q1833" s="27"/>
    </row>
    <row r="1834" ht="15.75" customHeight="1">
      <c r="A1834" s="105" t="s">
        <v>2078</v>
      </c>
      <c r="B1834" s="19" t="str">
        <f t="array" ref="B1834">XLOOKUP(A1834,Data!F:F,Data!G:G)</f>
        <v>J2A</v>
      </c>
      <c r="C1834" s="19" t="str">
        <f t="shared" si="3"/>
        <v>J026</v>
      </c>
      <c r="D1834" s="19" t="str">
        <f t="array" ref="D1834">XLOOKUP(A1834,Data!F:F,Data!C:C)</f>
        <v/>
      </c>
      <c r="E1834" s="19" t="str">
        <f t="array" ref="E1834">XLOOKUP(A1834,Data!F:F,Data!H:H)</f>
        <v>BW</v>
      </c>
      <c r="F1834" s="106" t="str">
        <f>SUMIFS(Data!J:J,Data!F:F,A1834)</f>
        <v>1</v>
      </c>
      <c r="G1834" s="106" t="str">
        <f>SUMIFS(Cast!C:C,CastElements,A1834)</f>
        <v>1</v>
      </c>
      <c r="H1834" s="106" t="str">
        <f t="shared" si="4"/>
        <v>0</v>
      </c>
      <c r="I1834" s="106" t="str">
        <f>SUMIFS(Del!C:C,Del!B:B,A1834)</f>
        <v>0</v>
      </c>
      <c r="J1834" s="106" t="str">
        <f t="shared" si="5"/>
        <v>1</v>
      </c>
      <c r="K1834" s="106" t="str">
        <f t="shared" si="6"/>
        <v>1</v>
      </c>
      <c r="L1834" s="106"/>
      <c r="M1834" s="106" t="str">
        <f>SUMIFS(Ere!C:C,Ere!B:B,A1834)</f>
        <v>0</v>
      </c>
      <c r="N1834" s="106" t="str">
        <f t="shared" si="7"/>
        <v>1</v>
      </c>
      <c r="O1834" s="107" t="str">
        <f t="array" ref="O1834">XLOOKUP(A1834,Data!F:F,Data!O:O)</f>
        <v>  1.90 </v>
      </c>
      <c r="P1834" s="107" t="str">
        <f t="shared" si="8"/>
        <v>  4.74 </v>
      </c>
      <c r="Q1834" s="27"/>
    </row>
    <row r="1835" ht="15.75" customHeight="1">
      <c r="A1835" s="105" t="s">
        <v>2079</v>
      </c>
      <c r="B1835" s="19" t="str">
        <f t="array" ref="B1835">XLOOKUP(A1835,Data!F:F,Data!G:G)</f>
        <v>J2A</v>
      </c>
      <c r="C1835" s="19" t="str">
        <f t="shared" si="3"/>
        <v>J026</v>
      </c>
      <c r="D1835" s="19" t="str">
        <f t="array" ref="D1835">XLOOKUP(A1835,Data!F:F,Data!C:C)</f>
        <v/>
      </c>
      <c r="E1835" s="19" t="str">
        <f t="array" ref="E1835">XLOOKUP(A1835,Data!F:F,Data!H:H)</f>
        <v>BW</v>
      </c>
      <c r="F1835" s="106" t="str">
        <f>SUMIFS(Data!J:J,Data!F:F,A1835)</f>
        <v>1</v>
      </c>
      <c r="G1835" s="106" t="str">
        <f>SUMIFS(Cast!C:C,CastElements,A1835)</f>
        <v>1</v>
      </c>
      <c r="H1835" s="106" t="str">
        <f t="shared" si="4"/>
        <v>0</v>
      </c>
      <c r="I1835" s="106" t="str">
        <f>SUMIFS(Del!C:C,Del!B:B,A1835)</f>
        <v>0</v>
      </c>
      <c r="J1835" s="106" t="str">
        <f t="shared" si="5"/>
        <v>1</v>
      </c>
      <c r="K1835" s="106" t="str">
        <f t="shared" si="6"/>
        <v>1</v>
      </c>
      <c r="L1835" s="106"/>
      <c r="M1835" s="106" t="str">
        <f>SUMIFS(Ere!C:C,Ere!B:B,A1835)</f>
        <v>0</v>
      </c>
      <c r="N1835" s="106" t="str">
        <f t="shared" si="7"/>
        <v>1</v>
      </c>
      <c r="O1835" s="107" t="str">
        <f t="array" ref="O1835">XLOOKUP(A1835,Data!F:F,Data!O:O)</f>
        <v>  1.79 </v>
      </c>
      <c r="P1835" s="107" t="str">
        <f t="shared" si="8"/>
        <v>  4.47 </v>
      </c>
      <c r="Q1835" s="27"/>
    </row>
    <row r="1836" ht="15.75" customHeight="1">
      <c r="A1836" s="105" t="s">
        <v>2080</v>
      </c>
      <c r="B1836" s="19" t="str">
        <f t="array" ref="B1836">XLOOKUP(A1836,Data!F:F,Data!G:G)</f>
        <v>J2A</v>
      </c>
      <c r="C1836" s="19" t="str">
        <f t="shared" si="3"/>
        <v>J026</v>
      </c>
      <c r="D1836" s="19" t="str">
        <f t="array" ref="D1836">XLOOKUP(A1836,Data!F:F,Data!C:C)</f>
        <v/>
      </c>
      <c r="E1836" s="19" t="str">
        <f t="array" ref="E1836">XLOOKUP(A1836,Data!F:F,Data!H:H)</f>
        <v>BW</v>
      </c>
      <c r="F1836" s="106" t="str">
        <f>SUMIFS(Data!J:J,Data!F:F,A1836)</f>
        <v>1</v>
      </c>
      <c r="G1836" s="106" t="str">
        <f>SUMIFS(Cast!C:C,CastElements,A1836)</f>
        <v>1</v>
      </c>
      <c r="H1836" s="106" t="str">
        <f t="shared" si="4"/>
        <v>0</v>
      </c>
      <c r="I1836" s="106" t="str">
        <f>SUMIFS(Del!C:C,Del!B:B,A1836)</f>
        <v>0</v>
      </c>
      <c r="J1836" s="106" t="str">
        <f t="shared" si="5"/>
        <v>1</v>
      </c>
      <c r="K1836" s="106" t="str">
        <f t="shared" si="6"/>
        <v>1</v>
      </c>
      <c r="L1836" s="106"/>
      <c r="M1836" s="106" t="str">
        <f>SUMIFS(Ere!C:C,Ere!B:B,A1836)</f>
        <v>0</v>
      </c>
      <c r="N1836" s="106" t="str">
        <f t="shared" si="7"/>
        <v>1</v>
      </c>
      <c r="O1836" s="107" t="str">
        <f t="array" ref="O1836">XLOOKUP(A1836,Data!F:F,Data!O:O)</f>
        <v>  2.12 </v>
      </c>
      <c r="P1836" s="107" t="str">
        <f t="shared" si="8"/>
        <v>  5.31 </v>
      </c>
      <c r="Q1836" s="27"/>
    </row>
    <row r="1837" ht="15.75" customHeight="1">
      <c r="A1837" s="105" t="s">
        <v>2081</v>
      </c>
      <c r="B1837" s="19" t="str">
        <f t="array" ref="B1837">XLOOKUP(A1837,Data!F:F,Data!G:G)</f>
        <v>J2A</v>
      </c>
      <c r="C1837" s="19" t="str">
        <f t="shared" si="3"/>
        <v>J026</v>
      </c>
      <c r="D1837" s="19" t="str">
        <f t="array" ref="D1837">XLOOKUP(A1837,Data!F:F,Data!C:C)</f>
        <v/>
      </c>
      <c r="E1837" s="19" t="str">
        <f t="array" ref="E1837">XLOOKUP(A1837,Data!F:F,Data!H:H)</f>
        <v>BW</v>
      </c>
      <c r="F1837" s="106" t="str">
        <f>SUMIFS(Data!J:J,Data!F:F,A1837)</f>
        <v>1</v>
      </c>
      <c r="G1837" s="106" t="str">
        <f>SUMIFS(Cast!C:C,CastElements,A1837)</f>
        <v>1</v>
      </c>
      <c r="H1837" s="106" t="str">
        <f t="shared" si="4"/>
        <v>0</v>
      </c>
      <c r="I1837" s="106" t="str">
        <f>SUMIFS(Del!C:C,Del!B:B,A1837)</f>
        <v>0</v>
      </c>
      <c r="J1837" s="106" t="str">
        <f t="shared" si="5"/>
        <v>1</v>
      </c>
      <c r="K1837" s="106" t="str">
        <f t="shared" si="6"/>
        <v>1</v>
      </c>
      <c r="L1837" s="106"/>
      <c r="M1837" s="106" t="str">
        <f>SUMIFS(Ere!C:C,Ere!B:B,A1837)</f>
        <v>0</v>
      </c>
      <c r="N1837" s="106" t="str">
        <f t="shared" si="7"/>
        <v>1</v>
      </c>
      <c r="O1837" s="107" t="str">
        <f t="array" ref="O1837">XLOOKUP(A1837,Data!F:F,Data!O:O)</f>
        <v>  2.12 </v>
      </c>
      <c r="P1837" s="107" t="str">
        <f t="shared" si="8"/>
        <v>  5.31 </v>
      </c>
      <c r="Q1837" s="27"/>
    </row>
    <row r="1838" ht="15.75" customHeight="1">
      <c r="A1838" s="105" t="s">
        <v>2082</v>
      </c>
      <c r="B1838" s="19" t="str">
        <f t="array" ref="B1838">XLOOKUP(A1838,Data!F:F,Data!G:G)</f>
        <v>J2A</v>
      </c>
      <c r="C1838" s="19" t="str">
        <f t="shared" si="3"/>
        <v>J026</v>
      </c>
      <c r="D1838" s="19" t="str">
        <f t="array" ref="D1838">XLOOKUP(A1838,Data!F:F,Data!C:C)</f>
        <v/>
      </c>
      <c r="E1838" s="19" t="str">
        <f t="array" ref="E1838">XLOOKUP(A1838,Data!F:F,Data!H:H)</f>
        <v>BW</v>
      </c>
      <c r="F1838" s="106" t="str">
        <f>SUMIFS(Data!J:J,Data!F:F,A1838)</f>
        <v>1</v>
      </c>
      <c r="G1838" s="106" t="str">
        <f>SUMIFS(Cast!C:C,CastElements,A1838)</f>
        <v>1</v>
      </c>
      <c r="H1838" s="106" t="str">
        <f t="shared" si="4"/>
        <v>0</v>
      </c>
      <c r="I1838" s="106" t="str">
        <f>SUMIFS(Del!C:C,Del!B:B,A1838)</f>
        <v>0</v>
      </c>
      <c r="J1838" s="106" t="str">
        <f t="shared" si="5"/>
        <v>1</v>
      </c>
      <c r="K1838" s="106" t="str">
        <f t="shared" si="6"/>
        <v>1</v>
      </c>
      <c r="L1838" s="106"/>
      <c r="M1838" s="106" t="str">
        <f>SUMIFS(Ere!C:C,Ere!B:B,A1838)</f>
        <v>0</v>
      </c>
      <c r="N1838" s="106" t="str">
        <f t="shared" si="7"/>
        <v>1</v>
      </c>
      <c r="O1838" s="107" t="str">
        <f t="array" ref="O1838">XLOOKUP(A1838,Data!F:F,Data!O:O)</f>
        <v>  2.12 </v>
      </c>
      <c r="P1838" s="107" t="str">
        <f t="shared" si="8"/>
        <v>  5.31 </v>
      </c>
      <c r="Q1838" s="27"/>
    </row>
    <row r="1839" ht="15.75" customHeight="1">
      <c r="A1839" s="105" t="s">
        <v>2083</v>
      </c>
      <c r="B1839" s="19" t="str">
        <f t="array" ref="B1839">XLOOKUP(A1839,Data!F:F,Data!G:G)</f>
        <v>J2A</v>
      </c>
      <c r="C1839" s="19" t="str">
        <f t="shared" si="3"/>
        <v>J026</v>
      </c>
      <c r="D1839" s="19" t="str">
        <f t="array" ref="D1839">XLOOKUP(A1839,Data!F:F,Data!C:C)</f>
        <v/>
      </c>
      <c r="E1839" s="19" t="str">
        <f t="array" ref="E1839">XLOOKUP(A1839,Data!F:F,Data!H:H)</f>
        <v>BW</v>
      </c>
      <c r="F1839" s="106" t="str">
        <f>SUMIFS(Data!J:J,Data!F:F,A1839)</f>
        <v>1</v>
      </c>
      <c r="G1839" s="106" t="str">
        <f>SUMIFS(Cast!C:C,CastElements,A1839)</f>
        <v>1</v>
      </c>
      <c r="H1839" s="106" t="str">
        <f t="shared" si="4"/>
        <v>0</v>
      </c>
      <c r="I1839" s="106" t="str">
        <f>SUMIFS(Del!C:C,Del!B:B,A1839)</f>
        <v>0</v>
      </c>
      <c r="J1839" s="106" t="str">
        <f t="shared" si="5"/>
        <v>1</v>
      </c>
      <c r="K1839" s="106" t="str">
        <f t="shared" si="6"/>
        <v>1</v>
      </c>
      <c r="L1839" s="106"/>
      <c r="M1839" s="106" t="str">
        <f>SUMIFS(Ere!C:C,Ere!B:B,A1839)</f>
        <v>0</v>
      </c>
      <c r="N1839" s="106" t="str">
        <f t="shared" si="7"/>
        <v>1</v>
      </c>
      <c r="O1839" s="107" t="str">
        <f t="array" ref="O1839">XLOOKUP(A1839,Data!F:F,Data!O:O)</f>
        <v>  0.42 </v>
      </c>
      <c r="P1839" s="107" t="str">
        <f t="shared" si="8"/>
        <v>  1.04 </v>
      </c>
      <c r="Q1839" s="27"/>
    </row>
    <row r="1840" ht="15.75" customHeight="1">
      <c r="A1840" s="105" t="s">
        <v>2084</v>
      </c>
      <c r="B1840" s="19" t="str">
        <f t="array" ref="B1840">XLOOKUP(A1840,Data!F:F,Data!G:G)</f>
        <v>J2A</v>
      </c>
      <c r="C1840" s="19" t="str">
        <f t="shared" si="3"/>
        <v>J026</v>
      </c>
      <c r="D1840" s="19" t="str">
        <f t="array" ref="D1840">XLOOKUP(A1840,Data!F:F,Data!C:C)</f>
        <v/>
      </c>
      <c r="E1840" s="19" t="str">
        <f t="array" ref="E1840">XLOOKUP(A1840,Data!F:F,Data!H:H)</f>
        <v>BW</v>
      </c>
      <c r="F1840" s="106" t="str">
        <f>SUMIFS(Data!J:J,Data!F:F,A1840)</f>
        <v>1</v>
      </c>
      <c r="G1840" s="106" t="str">
        <f>SUMIFS(Cast!C:C,CastElements,A1840)</f>
        <v>1</v>
      </c>
      <c r="H1840" s="106" t="str">
        <f t="shared" si="4"/>
        <v>0</v>
      </c>
      <c r="I1840" s="106" t="str">
        <f>SUMIFS(Del!C:C,Del!B:B,A1840)</f>
        <v>0</v>
      </c>
      <c r="J1840" s="106" t="str">
        <f t="shared" si="5"/>
        <v>1</v>
      </c>
      <c r="K1840" s="106" t="str">
        <f t="shared" si="6"/>
        <v>1</v>
      </c>
      <c r="L1840" s="106"/>
      <c r="M1840" s="106" t="str">
        <f>SUMIFS(Ere!C:C,Ere!B:B,A1840)</f>
        <v>0</v>
      </c>
      <c r="N1840" s="106" t="str">
        <f t="shared" si="7"/>
        <v>1</v>
      </c>
      <c r="O1840" s="107" t="str">
        <f t="array" ref="O1840">XLOOKUP(A1840,Data!F:F,Data!O:O)</f>
        <v>  0.43 </v>
      </c>
      <c r="P1840" s="107" t="str">
        <f t="shared" si="8"/>
        <v>  1.09 </v>
      </c>
      <c r="Q1840" s="27"/>
    </row>
    <row r="1841" ht="15.75" customHeight="1">
      <c r="A1841" s="105" t="s">
        <v>2085</v>
      </c>
      <c r="B1841" s="19" t="str">
        <f t="array" ref="B1841">XLOOKUP(A1841,Data!F:F,Data!G:G)</f>
        <v>J2A</v>
      </c>
      <c r="C1841" s="19" t="str">
        <f t="shared" si="3"/>
        <v>J026</v>
      </c>
      <c r="D1841" s="19" t="str">
        <f t="array" ref="D1841">XLOOKUP(A1841,Data!F:F,Data!C:C)</f>
        <v/>
      </c>
      <c r="E1841" s="19" t="str">
        <f t="array" ref="E1841">XLOOKUP(A1841,Data!F:F,Data!H:H)</f>
        <v>CF</v>
      </c>
      <c r="F1841" s="106" t="str">
        <f>SUMIFS(Data!J:J,Data!F:F,A1841)</f>
        <v>1</v>
      </c>
      <c r="G1841" s="106" t="str">
        <f>SUMIFS(Cast!C:C,CastElements,A1841)</f>
        <v>1</v>
      </c>
      <c r="H1841" s="106" t="str">
        <f t="shared" si="4"/>
        <v>0</v>
      </c>
      <c r="I1841" s="106" t="str">
        <f>SUMIFS(Del!C:C,Del!B:B,A1841)</f>
        <v>0</v>
      </c>
      <c r="J1841" s="106" t="str">
        <f t="shared" si="5"/>
        <v>1</v>
      </c>
      <c r="K1841" s="106" t="str">
        <f t="shared" si="6"/>
        <v>1</v>
      </c>
      <c r="L1841" s="106"/>
      <c r="M1841" s="106" t="str">
        <f>SUMIFS(Ere!C:C,Ere!B:B,A1841)</f>
        <v>0</v>
      </c>
      <c r="N1841" s="106" t="str">
        <f t="shared" si="7"/>
        <v>1</v>
      </c>
      <c r="O1841" s="107" t="str">
        <f t="array" ref="O1841">XLOOKUP(A1841,Data!F:F,Data!O:O)</f>
        <v>  0.53 </v>
      </c>
      <c r="P1841" s="107" t="str">
        <f t="shared" si="8"/>
        <v>  1.33 </v>
      </c>
      <c r="Q1841" s="27"/>
    </row>
    <row r="1842" ht="15.75" customHeight="1">
      <c r="A1842" s="105" t="s">
        <v>2086</v>
      </c>
      <c r="B1842" s="19" t="str">
        <f t="array" ref="B1842">XLOOKUP(A1842,Data!F:F,Data!G:G)</f>
        <v>J2A</v>
      </c>
      <c r="C1842" s="19" t="str">
        <f t="shared" si="3"/>
        <v>J026</v>
      </c>
      <c r="D1842" s="19" t="str">
        <f t="array" ref="D1842">XLOOKUP(A1842,Data!F:F,Data!C:C)</f>
        <v/>
      </c>
      <c r="E1842" s="19" t="str">
        <f t="array" ref="E1842">XLOOKUP(A1842,Data!F:F,Data!H:H)</f>
        <v>BW</v>
      </c>
      <c r="F1842" s="106" t="str">
        <f>SUMIFS(Data!J:J,Data!F:F,A1842)</f>
        <v>1</v>
      </c>
      <c r="G1842" s="106" t="str">
        <f>SUMIFS(Cast!C:C,CastElements,A1842)</f>
        <v>1</v>
      </c>
      <c r="H1842" s="106" t="str">
        <f t="shared" si="4"/>
        <v>0</v>
      </c>
      <c r="I1842" s="106" t="str">
        <f>SUMIFS(Del!C:C,Del!B:B,A1842)</f>
        <v>0</v>
      </c>
      <c r="J1842" s="106" t="str">
        <f t="shared" si="5"/>
        <v>1</v>
      </c>
      <c r="K1842" s="106" t="str">
        <f t="shared" si="6"/>
        <v>1</v>
      </c>
      <c r="L1842" s="106"/>
      <c r="M1842" s="106" t="str">
        <f>SUMIFS(Ere!C:C,Ere!B:B,A1842)</f>
        <v>0</v>
      </c>
      <c r="N1842" s="106" t="str">
        <f t="shared" si="7"/>
        <v>1</v>
      </c>
      <c r="O1842" s="107" t="str">
        <f t="array" ref="O1842">XLOOKUP(A1842,Data!F:F,Data!O:O)</f>
        <v>  2.23 </v>
      </c>
      <c r="P1842" s="107" t="str">
        <f t="shared" si="8"/>
        <v>  5.58 </v>
      </c>
      <c r="Q1842" s="27"/>
    </row>
    <row r="1843" ht="15.75" customHeight="1">
      <c r="A1843" s="105" t="s">
        <v>2087</v>
      </c>
      <c r="B1843" s="19" t="str">
        <f t="array" ref="B1843">XLOOKUP(A1843,Data!F:F,Data!G:G)</f>
        <v>J2A</v>
      </c>
      <c r="C1843" s="19" t="str">
        <f t="shared" si="3"/>
        <v>J026</v>
      </c>
      <c r="D1843" s="19" t="str">
        <f t="array" ref="D1843">XLOOKUP(A1843,Data!F:F,Data!C:C)</f>
        <v/>
      </c>
      <c r="E1843" s="19" t="str">
        <f t="array" ref="E1843">XLOOKUP(A1843,Data!F:F,Data!H:H)</f>
        <v>BW</v>
      </c>
      <c r="F1843" s="106" t="str">
        <f>SUMIFS(Data!J:J,Data!F:F,A1843)</f>
        <v>1</v>
      </c>
      <c r="G1843" s="106" t="str">
        <f>SUMIFS(Cast!C:C,CastElements,A1843)</f>
        <v>1</v>
      </c>
      <c r="H1843" s="106" t="str">
        <f t="shared" si="4"/>
        <v>0</v>
      </c>
      <c r="I1843" s="106" t="str">
        <f>SUMIFS(Del!C:C,Del!B:B,A1843)</f>
        <v>0</v>
      </c>
      <c r="J1843" s="106" t="str">
        <f t="shared" si="5"/>
        <v>1</v>
      </c>
      <c r="K1843" s="106" t="str">
        <f t="shared" si="6"/>
        <v>1</v>
      </c>
      <c r="L1843" s="106"/>
      <c r="M1843" s="106" t="str">
        <f>SUMIFS(Ere!C:C,Ere!B:B,A1843)</f>
        <v>0</v>
      </c>
      <c r="N1843" s="106" t="str">
        <f t="shared" si="7"/>
        <v>1</v>
      </c>
      <c r="O1843" s="107" t="str">
        <f t="array" ref="O1843">XLOOKUP(A1843,Data!F:F,Data!O:O)</f>
        <v>  2.23 </v>
      </c>
      <c r="P1843" s="107" t="str">
        <f t="shared" si="8"/>
        <v>  5.58 </v>
      </c>
      <c r="Q1843" s="27"/>
    </row>
    <row r="1844" ht="15.75" customHeight="1">
      <c r="A1844" s="105" t="s">
        <v>2088</v>
      </c>
      <c r="B1844" s="19" t="str">
        <f t="array" ref="B1844">XLOOKUP(A1844,Data!F:F,Data!G:G)</f>
        <v>J2A</v>
      </c>
      <c r="C1844" s="19" t="str">
        <f t="shared" si="3"/>
        <v>J026</v>
      </c>
      <c r="D1844" s="19" t="str">
        <f t="array" ref="D1844">XLOOKUP(A1844,Data!F:F,Data!C:C)</f>
        <v/>
      </c>
      <c r="E1844" s="19" t="str">
        <f t="array" ref="E1844">XLOOKUP(A1844,Data!F:F,Data!H:H)</f>
        <v>BW</v>
      </c>
      <c r="F1844" s="106" t="str">
        <f>SUMIFS(Data!J:J,Data!F:F,A1844)</f>
        <v>1</v>
      </c>
      <c r="G1844" s="106" t="str">
        <f>SUMIFS(Cast!C:C,CastElements,A1844)</f>
        <v>1</v>
      </c>
      <c r="H1844" s="106" t="str">
        <f t="shared" si="4"/>
        <v>0</v>
      </c>
      <c r="I1844" s="106" t="str">
        <f>SUMIFS(Del!C:C,Del!B:B,A1844)</f>
        <v>0</v>
      </c>
      <c r="J1844" s="106" t="str">
        <f t="shared" si="5"/>
        <v>1</v>
      </c>
      <c r="K1844" s="106" t="str">
        <f t="shared" si="6"/>
        <v>1</v>
      </c>
      <c r="L1844" s="106"/>
      <c r="M1844" s="106" t="str">
        <f>SUMIFS(Ere!C:C,Ere!B:B,A1844)</f>
        <v>0</v>
      </c>
      <c r="N1844" s="106" t="str">
        <f t="shared" si="7"/>
        <v>1</v>
      </c>
      <c r="O1844" s="107" t="str">
        <f t="array" ref="O1844">XLOOKUP(A1844,Data!F:F,Data!O:O)</f>
        <v>  2.23 </v>
      </c>
      <c r="P1844" s="107" t="str">
        <f t="shared" si="8"/>
        <v>  5.58 </v>
      </c>
      <c r="Q1844" s="27"/>
    </row>
    <row r="1845" ht="15.75" customHeight="1">
      <c r="A1845" s="105" t="s">
        <v>2089</v>
      </c>
      <c r="B1845" s="19" t="str">
        <f t="array" ref="B1845">XLOOKUP(A1845,Data!F:F,Data!G:G)</f>
        <v>J2A</v>
      </c>
      <c r="C1845" s="19" t="str">
        <f t="shared" si="3"/>
        <v>J027</v>
      </c>
      <c r="D1845" s="19" t="str">
        <f t="array" ref="D1845">XLOOKUP(A1845,Data!F:F,Data!C:C)</f>
        <v>EXT</v>
      </c>
      <c r="E1845" s="19" t="str">
        <f t="array" ref="E1845">XLOOKUP(A1845,Data!F:F,Data!H:H)</f>
        <v>BW</v>
      </c>
      <c r="F1845" s="106" t="str">
        <f>SUMIFS(Data!J:J,Data!F:F,A1845)</f>
        <v>1</v>
      </c>
      <c r="G1845" s="106" t="str">
        <f>SUMIFS(Cast!C:C,CastElements,A1845)</f>
        <v>0</v>
      </c>
      <c r="H1845" s="106" t="str">
        <f t="shared" si="4"/>
        <v>1</v>
      </c>
      <c r="I1845" s="106" t="str">
        <f>SUMIFS(Del!C:C,Del!B:B,A1845)</f>
        <v>0</v>
      </c>
      <c r="J1845" s="106" t="str">
        <f t="shared" si="5"/>
        <v>1</v>
      </c>
      <c r="K1845" s="106" t="str">
        <f t="shared" si="6"/>
        <v>0</v>
      </c>
      <c r="L1845" s="106"/>
      <c r="M1845" s="106" t="str">
        <f>SUMIFS(Ere!C:C,Ere!B:B,A1845)</f>
        <v>0</v>
      </c>
      <c r="N1845" s="106" t="str">
        <f t="shared" si="7"/>
        <v>1</v>
      </c>
      <c r="O1845" s="107" t="str">
        <f t="array" ref="O1845">XLOOKUP(A1845,Data!F:F,Data!O:O)</f>
        <v>  0.87 </v>
      </c>
      <c r="P1845" s="107" t="str">
        <f t="shared" si="8"/>
        <v>  2.18 </v>
      </c>
      <c r="Q1845" s="27"/>
    </row>
    <row r="1846" ht="15.75" customHeight="1">
      <c r="A1846" s="105" t="s">
        <v>2090</v>
      </c>
      <c r="B1846" s="19" t="str">
        <f t="array" ref="B1846">XLOOKUP(A1846,Data!F:F,Data!G:G)</f>
        <v>J2A</v>
      </c>
      <c r="C1846" s="19" t="str">
        <f t="shared" si="3"/>
        <v>J027</v>
      </c>
      <c r="D1846" s="19" t="str">
        <f t="array" ref="D1846">XLOOKUP(A1846,Data!F:F,Data!C:C)</f>
        <v>EXT</v>
      </c>
      <c r="E1846" s="19" t="str">
        <f t="array" ref="E1846">XLOOKUP(A1846,Data!F:F,Data!H:H)</f>
        <v>BW</v>
      </c>
      <c r="F1846" s="106" t="str">
        <f>SUMIFS(Data!J:J,Data!F:F,A1846)</f>
        <v>1</v>
      </c>
      <c r="G1846" s="106" t="str">
        <f>SUMIFS(Cast!C:C,CastElements,A1846)</f>
        <v>0</v>
      </c>
      <c r="H1846" s="106" t="str">
        <f t="shared" si="4"/>
        <v>1</v>
      </c>
      <c r="I1846" s="106" t="str">
        <f>SUMIFS(Del!C:C,Del!B:B,A1846)</f>
        <v>0</v>
      </c>
      <c r="J1846" s="106" t="str">
        <f t="shared" si="5"/>
        <v>1</v>
      </c>
      <c r="K1846" s="106" t="str">
        <f t="shared" si="6"/>
        <v>0</v>
      </c>
      <c r="L1846" s="106"/>
      <c r="M1846" s="106" t="str">
        <f>SUMIFS(Ere!C:C,Ere!B:B,A1846)</f>
        <v>0</v>
      </c>
      <c r="N1846" s="106" t="str">
        <f t="shared" si="7"/>
        <v>1</v>
      </c>
      <c r="O1846" s="107" t="str">
        <f t="array" ref="O1846">XLOOKUP(A1846,Data!F:F,Data!O:O)</f>
        <v>  0.87 </v>
      </c>
      <c r="P1846" s="107" t="str">
        <f t="shared" si="8"/>
        <v>  2.18 </v>
      </c>
      <c r="Q1846" s="27"/>
    </row>
    <row r="1847" ht="15.75" customHeight="1">
      <c r="A1847" s="105" t="s">
        <v>2091</v>
      </c>
      <c r="B1847" s="19" t="str">
        <f t="array" ref="B1847">XLOOKUP(A1847,Data!F:F,Data!G:G)</f>
        <v>J2A</v>
      </c>
      <c r="C1847" s="19" t="str">
        <f t="shared" si="3"/>
        <v>J027</v>
      </c>
      <c r="D1847" s="19" t="str">
        <f t="array" ref="D1847">XLOOKUP(A1847,Data!F:F,Data!C:C)</f>
        <v/>
      </c>
      <c r="E1847" s="19" t="str">
        <f t="array" ref="E1847">XLOOKUP(A1847,Data!F:F,Data!H:H)</f>
        <v>BW</v>
      </c>
      <c r="F1847" s="106" t="str">
        <f>SUMIFS(Data!J:J,Data!F:F,A1847)</f>
        <v>1</v>
      </c>
      <c r="G1847" s="106" t="str">
        <f>SUMIFS(Cast!C:C,CastElements,A1847)</f>
        <v>1</v>
      </c>
      <c r="H1847" s="106" t="str">
        <f t="shared" si="4"/>
        <v>0</v>
      </c>
      <c r="I1847" s="106" t="str">
        <f>SUMIFS(Del!C:C,Del!B:B,A1847)</f>
        <v>0</v>
      </c>
      <c r="J1847" s="106" t="str">
        <f t="shared" si="5"/>
        <v>1</v>
      </c>
      <c r="K1847" s="106" t="str">
        <f t="shared" si="6"/>
        <v>1</v>
      </c>
      <c r="L1847" s="106"/>
      <c r="M1847" s="106" t="str">
        <f>SUMIFS(Ere!C:C,Ere!B:B,A1847)</f>
        <v>0</v>
      </c>
      <c r="N1847" s="106" t="str">
        <f t="shared" si="7"/>
        <v>1</v>
      </c>
      <c r="O1847" s="107" t="str">
        <f t="array" ref="O1847">XLOOKUP(A1847,Data!F:F,Data!O:O)</f>
        <v>  1.26 </v>
      </c>
      <c r="P1847" s="107" t="str">
        <f t="shared" si="8"/>
        <v>  3.16 </v>
      </c>
      <c r="Q1847" s="27"/>
    </row>
    <row r="1848" ht="15.75" customHeight="1">
      <c r="A1848" s="105" t="s">
        <v>2092</v>
      </c>
      <c r="B1848" s="19" t="str">
        <f t="array" ref="B1848">XLOOKUP(A1848,Data!F:F,Data!G:G)</f>
        <v>J2A</v>
      </c>
      <c r="C1848" s="19" t="str">
        <f t="shared" si="3"/>
        <v>J027</v>
      </c>
      <c r="D1848" s="19" t="str">
        <f t="array" ref="D1848">XLOOKUP(A1848,Data!F:F,Data!C:C)</f>
        <v/>
      </c>
      <c r="E1848" s="19" t="str">
        <f t="array" ref="E1848">XLOOKUP(A1848,Data!F:F,Data!H:H)</f>
        <v>BW</v>
      </c>
      <c r="F1848" s="106" t="str">
        <f>SUMIFS(Data!J:J,Data!F:F,A1848)</f>
        <v>1</v>
      </c>
      <c r="G1848" s="106" t="str">
        <f>SUMIFS(Cast!C:C,CastElements,A1848)</f>
        <v>1</v>
      </c>
      <c r="H1848" s="106" t="str">
        <f t="shared" si="4"/>
        <v>0</v>
      </c>
      <c r="I1848" s="106" t="str">
        <f>SUMIFS(Del!C:C,Del!B:B,A1848)</f>
        <v>0</v>
      </c>
      <c r="J1848" s="106" t="str">
        <f t="shared" si="5"/>
        <v>1</v>
      </c>
      <c r="K1848" s="106" t="str">
        <f t="shared" si="6"/>
        <v>1</v>
      </c>
      <c r="L1848" s="106"/>
      <c r="M1848" s="106" t="str">
        <f>SUMIFS(Ere!C:C,Ere!B:B,A1848)</f>
        <v>0</v>
      </c>
      <c r="N1848" s="106" t="str">
        <f t="shared" si="7"/>
        <v>1</v>
      </c>
      <c r="O1848" s="107" t="str">
        <f t="array" ref="O1848">XLOOKUP(A1848,Data!F:F,Data!O:O)</f>
        <v>  1.14 </v>
      </c>
      <c r="P1848" s="107" t="str">
        <f t="shared" si="8"/>
        <v>  2.84 </v>
      </c>
      <c r="Q1848" s="27"/>
    </row>
    <row r="1849" ht="15.75" customHeight="1">
      <c r="A1849" s="105" t="s">
        <v>2093</v>
      </c>
      <c r="B1849" s="19" t="str">
        <f t="array" ref="B1849">XLOOKUP(A1849,Data!F:F,Data!G:G)</f>
        <v>J2A</v>
      </c>
      <c r="C1849" s="19" t="str">
        <f t="shared" si="3"/>
        <v>J027</v>
      </c>
      <c r="D1849" s="19" t="str">
        <f t="array" ref="D1849">XLOOKUP(A1849,Data!F:F,Data!C:C)</f>
        <v/>
      </c>
      <c r="E1849" s="19" t="str">
        <f t="array" ref="E1849">XLOOKUP(A1849,Data!F:F,Data!H:H)</f>
        <v>BW</v>
      </c>
      <c r="F1849" s="106" t="str">
        <f>SUMIFS(Data!J:J,Data!F:F,A1849)</f>
        <v>1</v>
      </c>
      <c r="G1849" s="106" t="str">
        <f>SUMIFS(Cast!C:C,CastElements,A1849)</f>
        <v>1</v>
      </c>
      <c r="H1849" s="106" t="str">
        <f t="shared" si="4"/>
        <v>0</v>
      </c>
      <c r="I1849" s="106" t="str">
        <f>SUMIFS(Del!C:C,Del!B:B,A1849)</f>
        <v>0</v>
      </c>
      <c r="J1849" s="106" t="str">
        <f t="shared" si="5"/>
        <v>1</v>
      </c>
      <c r="K1849" s="106" t="str">
        <f t="shared" si="6"/>
        <v>1</v>
      </c>
      <c r="L1849" s="106"/>
      <c r="M1849" s="106" t="str">
        <f>SUMIFS(Ere!C:C,Ere!B:B,A1849)</f>
        <v>0</v>
      </c>
      <c r="N1849" s="106" t="str">
        <f t="shared" si="7"/>
        <v>1</v>
      </c>
      <c r="O1849" s="107" t="str">
        <f t="array" ref="O1849">XLOOKUP(A1849,Data!F:F,Data!O:O)</f>
        <v>  1.18 </v>
      </c>
      <c r="P1849" s="107" t="str">
        <f t="shared" si="8"/>
        <v>  2.96 </v>
      </c>
      <c r="Q1849" s="27"/>
    </row>
    <row r="1850" ht="15.75" customHeight="1">
      <c r="A1850" s="105" t="s">
        <v>2094</v>
      </c>
      <c r="B1850" s="19" t="str">
        <f t="array" ref="B1850">XLOOKUP(A1850,Data!F:F,Data!G:G)</f>
        <v>J2A</v>
      </c>
      <c r="C1850" s="19" t="str">
        <f t="shared" si="3"/>
        <v>J027</v>
      </c>
      <c r="D1850" s="19" t="str">
        <f t="array" ref="D1850">XLOOKUP(A1850,Data!F:F,Data!C:C)</f>
        <v/>
      </c>
      <c r="E1850" s="19" t="str">
        <f t="array" ref="E1850">XLOOKUP(A1850,Data!F:F,Data!H:H)</f>
        <v>BW</v>
      </c>
      <c r="F1850" s="106" t="str">
        <f>SUMIFS(Data!J:J,Data!F:F,A1850)</f>
        <v>1</v>
      </c>
      <c r="G1850" s="106" t="str">
        <f>SUMIFS(Cast!C:C,CastElements,A1850)</f>
        <v>1</v>
      </c>
      <c r="H1850" s="106" t="str">
        <f t="shared" si="4"/>
        <v>0</v>
      </c>
      <c r="I1850" s="106" t="str">
        <f>SUMIFS(Del!C:C,Del!B:B,A1850)</f>
        <v>0</v>
      </c>
      <c r="J1850" s="106" t="str">
        <f t="shared" si="5"/>
        <v>1</v>
      </c>
      <c r="K1850" s="106" t="str">
        <f t="shared" si="6"/>
        <v>1</v>
      </c>
      <c r="L1850" s="106"/>
      <c r="M1850" s="106" t="str">
        <f>SUMIFS(Ere!C:C,Ere!B:B,A1850)</f>
        <v>0</v>
      </c>
      <c r="N1850" s="106" t="str">
        <f t="shared" si="7"/>
        <v>1</v>
      </c>
      <c r="O1850" s="107" t="str">
        <f t="array" ref="O1850">XLOOKUP(A1850,Data!F:F,Data!O:O)</f>
        <v>  1.30 </v>
      </c>
      <c r="P1850" s="107" t="str">
        <f t="shared" si="8"/>
        <v>  3.25 </v>
      </c>
      <c r="Q1850" s="27"/>
    </row>
    <row r="1851" ht="15.75" customHeight="1">
      <c r="A1851" s="105" t="s">
        <v>2095</v>
      </c>
      <c r="B1851" s="19" t="str">
        <f t="array" ref="B1851">XLOOKUP(A1851,Data!F:F,Data!G:G)</f>
        <v>J2A</v>
      </c>
      <c r="C1851" s="19" t="str">
        <f t="shared" si="3"/>
        <v>J027</v>
      </c>
      <c r="D1851" s="19" t="str">
        <f t="array" ref="D1851">XLOOKUP(A1851,Data!F:F,Data!C:C)</f>
        <v/>
      </c>
      <c r="E1851" s="19" t="str">
        <f t="array" ref="E1851">XLOOKUP(A1851,Data!F:F,Data!H:H)</f>
        <v>BW</v>
      </c>
      <c r="F1851" s="106" t="str">
        <f>SUMIFS(Data!J:J,Data!F:F,A1851)</f>
        <v>1</v>
      </c>
      <c r="G1851" s="106" t="str">
        <f>SUMIFS(Cast!C:C,CastElements,A1851)</f>
        <v>1</v>
      </c>
      <c r="H1851" s="106" t="str">
        <f t="shared" si="4"/>
        <v>0</v>
      </c>
      <c r="I1851" s="106" t="str">
        <f>SUMIFS(Del!C:C,Del!B:B,A1851)</f>
        <v>0</v>
      </c>
      <c r="J1851" s="106" t="str">
        <f t="shared" si="5"/>
        <v>1</v>
      </c>
      <c r="K1851" s="106" t="str">
        <f t="shared" si="6"/>
        <v>1</v>
      </c>
      <c r="L1851" s="106"/>
      <c r="M1851" s="106" t="str">
        <f>SUMIFS(Ere!C:C,Ere!B:B,A1851)</f>
        <v>0</v>
      </c>
      <c r="N1851" s="106" t="str">
        <f t="shared" si="7"/>
        <v>1</v>
      </c>
      <c r="O1851" s="107" t="str">
        <f t="array" ref="O1851">XLOOKUP(A1851,Data!F:F,Data!O:O)</f>
        <v>  1.33 </v>
      </c>
      <c r="P1851" s="107" t="str">
        <f t="shared" si="8"/>
        <v>  3.33 </v>
      </c>
      <c r="Q1851" s="27"/>
    </row>
    <row r="1852" ht="15.75" customHeight="1">
      <c r="A1852" s="105" t="s">
        <v>2096</v>
      </c>
      <c r="B1852" s="19" t="str">
        <f t="array" ref="B1852">XLOOKUP(A1852,Data!F:F,Data!G:G)</f>
        <v>J2A</v>
      </c>
      <c r="C1852" s="19" t="str">
        <f t="shared" si="3"/>
        <v>J027</v>
      </c>
      <c r="D1852" s="19" t="str">
        <f t="array" ref="D1852">XLOOKUP(A1852,Data!F:F,Data!C:C)</f>
        <v/>
      </c>
      <c r="E1852" s="19" t="str">
        <f t="array" ref="E1852">XLOOKUP(A1852,Data!F:F,Data!H:H)</f>
        <v>BW</v>
      </c>
      <c r="F1852" s="106" t="str">
        <f>SUMIFS(Data!J:J,Data!F:F,A1852)</f>
        <v>1</v>
      </c>
      <c r="G1852" s="106" t="str">
        <f>SUMIFS(Cast!C:C,CastElements,A1852)</f>
        <v>1</v>
      </c>
      <c r="H1852" s="106" t="str">
        <f t="shared" si="4"/>
        <v>0</v>
      </c>
      <c r="I1852" s="106" t="str">
        <f>SUMIFS(Del!C:C,Del!B:B,A1852)</f>
        <v>0</v>
      </c>
      <c r="J1852" s="106" t="str">
        <f t="shared" si="5"/>
        <v>1</v>
      </c>
      <c r="K1852" s="106" t="str">
        <f t="shared" si="6"/>
        <v>1</v>
      </c>
      <c r="L1852" s="106"/>
      <c r="M1852" s="106" t="str">
        <f>SUMIFS(Ere!C:C,Ere!B:B,A1852)</f>
        <v>0</v>
      </c>
      <c r="N1852" s="106" t="str">
        <f t="shared" si="7"/>
        <v>1</v>
      </c>
      <c r="O1852" s="107" t="str">
        <f t="array" ref="O1852">XLOOKUP(A1852,Data!F:F,Data!O:O)</f>
        <v>  1.84 </v>
      </c>
      <c r="P1852" s="107" t="str">
        <f t="shared" si="8"/>
        <v>  4.60 </v>
      </c>
      <c r="Q1852" s="27"/>
    </row>
    <row r="1853" ht="15.75" customHeight="1">
      <c r="A1853" s="105" t="s">
        <v>2097</v>
      </c>
      <c r="B1853" s="19" t="str">
        <f t="array" ref="B1853">XLOOKUP(A1853,Data!F:F,Data!G:G)</f>
        <v>J2A</v>
      </c>
      <c r="C1853" s="19" t="str">
        <f t="shared" si="3"/>
        <v>J027</v>
      </c>
      <c r="D1853" s="19" t="str">
        <f t="array" ref="D1853">XLOOKUP(A1853,Data!F:F,Data!C:C)</f>
        <v/>
      </c>
      <c r="E1853" s="19" t="str">
        <f t="array" ref="E1853">XLOOKUP(A1853,Data!F:F,Data!H:H)</f>
        <v>BW</v>
      </c>
      <c r="F1853" s="106" t="str">
        <f>SUMIFS(Data!J:J,Data!F:F,A1853)</f>
        <v>1</v>
      </c>
      <c r="G1853" s="106" t="str">
        <f>SUMIFS(Cast!C:C,CastElements,A1853)</f>
        <v>1</v>
      </c>
      <c r="H1853" s="106" t="str">
        <f t="shared" si="4"/>
        <v>0</v>
      </c>
      <c r="I1853" s="106" t="str">
        <f>SUMIFS(Del!C:C,Del!B:B,A1853)</f>
        <v>0</v>
      </c>
      <c r="J1853" s="106" t="str">
        <f t="shared" si="5"/>
        <v>1</v>
      </c>
      <c r="K1853" s="106" t="str">
        <f t="shared" si="6"/>
        <v>1</v>
      </c>
      <c r="L1853" s="106"/>
      <c r="M1853" s="106" t="str">
        <f>SUMIFS(Ere!C:C,Ere!B:B,A1853)</f>
        <v>0</v>
      </c>
      <c r="N1853" s="106" t="str">
        <f t="shared" si="7"/>
        <v>1</v>
      </c>
      <c r="O1853" s="107" t="str">
        <f t="array" ref="O1853">XLOOKUP(A1853,Data!F:F,Data!O:O)</f>
        <v>  1.90 </v>
      </c>
      <c r="P1853" s="107" t="str">
        <f t="shared" si="8"/>
        <v>  4.74 </v>
      </c>
      <c r="Q1853" s="27"/>
    </row>
    <row r="1854" ht="15.75" customHeight="1">
      <c r="A1854" s="105" t="s">
        <v>2098</v>
      </c>
      <c r="B1854" s="19" t="str">
        <f t="array" ref="B1854">XLOOKUP(A1854,Data!F:F,Data!G:G)</f>
        <v>J2A</v>
      </c>
      <c r="C1854" s="19" t="str">
        <f t="shared" si="3"/>
        <v>J027</v>
      </c>
      <c r="D1854" s="19" t="str">
        <f t="array" ref="D1854">XLOOKUP(A1854,Data!F:F,Data!C:C)</f>
        <v/>
      </c>
      <c r="E1854" s="19" t="str">
        <f t="array" ref="E1854">XLOOKUP(A1854,Data!F:F,Data!H:H)</f>
        <v>BW</v>
      </c>
      <c r="F1854" s="106" t="str">
        <f>SUMIFS(Data!J:J,Data!F:F,A1854)</f>
        <v>1</v>
      </c>
      <c r="G1854" s="106" t="str">
        <f>SUMIFS(Cast!C:C,CastElements,A1854)</f>
        <v>1</v>
      </c>
      <c r="H1854" s="106" t="str">
        <f t="shared" si="4"/>
        <v>0</v>
      </c>
      <c r="I1854" s="106" t="str">
        <f>SUMIFS(Del!C:C,Del!B:B,A1854)</f>
        <v>0</v>
      </c>
      <c r="J1854" s="106" t="str">
        <f t="shared" si="5"/>
        <v>1</v>
      </c>
      <c r="K1854" s="106" t="str">
        <f t="shared" si="6"/>
        <v>1</v>
      </c>
      <c r="L1854" s="106"/>
      <c r="M1854" s="106" t="str">
        <f>SUMIFS(Ere!C:C,Ere!B:B,A1854)</f>
        <v>0</v>
      </c>
      <c r="N1854" s="106" t="str">
        <f t="shared" si="7"/>
        <v>1</v>
      </c>
      <c r="O1854" s="107" t="str">
        <f t="array" ref="O1854">XLOOKUP(A1854,Data!F:F,Data!O:O)</f>
        <v>  2.23 </v>
      </c>
      <c r="P1854" s="107" t="str">
        <f t="shared" si="8"/>
        <v>  5.58 </v>
      </c>
      <c r="Q1854" s="27"/>
    </row>
    <row r="1855" ht="15.75" customHeight="1">
      <c r="A1855" s="105" t="s">
        <v>2099</v>
      </c>
      <c r="B1855" s="19" t="str">
        <f t="array" ref="B1855">XLOOKUP(A1855,Data!F:F,Data!G:G)</f>
        <v>J2A</v>
      </c>
      <c r="C1855" s="19" t="str">
        <f t="shared" si="3"/>
        <v>J027</v>
      </c>
      <c r="D1855" s="19" t="str">
        <f t="array" ref="D1855">XLOOKUP(A1855,Data!F:F,Data!C:C)</f>
        <v/>
      </c>
      <c r="E1855" s="19" t="str">
        <f t="array" ref="E1855">XLOOKUP(A1855,Data!F:F,Data!H:H)</f>
        <v>BW</v>
      </c>
      <c r="F1855" s="106" t="str">
        <f>SUMIFS(Data!J:J,Data!F:F,A1855)</f>
        <v>1</v>
      </c>
      <c r="G1855" s="106" t="str">
        <f>SUMIFS(Cast!C:C,CastElements,A1855)</f>
        <v>1</v>
      </c>
      <c r="H1855" s="106" t="str">
        <f t="shared" si="4"/>
        <v>0</v>
      </c>
      <c r="I1855" s="106" t="str">
        <f>SUMIFS(Del!C:C,Del!B:B,A1855)</f>
        <v>0</v>
      </c>
      <c r="J1855" s="106" t="str">
        <f t="shared" si="5"/>
        <v>1</v>
      </c>
      <c r="K1855" s="106" t="str">
        <f t="shared" si="6"/>
        <v>1</v>
      </c>
      <c r="L1855" s="106"/>
      <c r="M1855" s="106" t="str">
        <f>SUMIFS(Ere!C:C,Ere!B:B,A1855)</f>
        <v>0</v>
      </c>
      <c r="N1855" s="106" t="str">
        <f t="shared" si="7"/>
        <v>1</v>
      </c>
      <c r="O1855" s="107" t="str">
        <f t="array" ref="O1855">XLOOKUP(A1855,Data!F:F,Data!O:O)</f>
        <v>  2.23 </v>
      </c>
      <c r="P1855" s="107" t="str">
        <f t="shared" si="8"/>
        <v>  5.58 </v>
      </c>
      <c r="Q1855" s="27"/>
    </row>
    <row r="1856" ht="15.75" customHeight="1">
      <c r="A1856" s="105" t="s">
        <v>2100</v>
      </c>
      <c r="B1856" s="19" t="str">
        <f t="array" ref="B1856">XLOOKUP(A1856,Data!F:F,Data!G:G)</f>
        <v>J2A</v>
      </c>
      <c r="C1856" s="19" t="str">
        <f t="shared" si="3"/>
        <v>J027</v>
      </c>
      <c r="D1856" s="19" t="str">
        <f t="array" ref="D1856">XLOOKUP(A1856,Data!F:F,Data!C:C)</f>
        <v/>
      </c>
      <c r="E1856" s="19" t="str">
        <f t="array" ref="E1856">XLOOKUP(A1856,Data!F:F,Data!H:H)</f>
        <v>BW</v>
      </c>
      <c r="F1856" s="106" t="str">
        <f>SUMIFS(Data!J:J,Data!F:F,A1856)</f>
        <v>1</v>
      </c>
      <c r="G1856" s="106" t="str">
        <f>SUMIFS(Cast!C:C,CastElements,A1856)</f>
        <v>1</v>
      </c>
      <c r="H1856" s="106" t="str">
        <f t="shared" si="4"/>
        <v>0</v>
      </c>
      <c r="I1856" s="106" t="str">
        <f>SUMIFS(Del!C:C,Del!B:B,A1856)</f>
        <v>0</v>
      </c>
      <c r="J1856" s="106" t="str">
        <f t="shared" si="5"/>
        <v>1</v>
      </c>
      <c r="K1856" s="106" t="str">
        <f t="shared" si="6"/>
        <v>1</v>
      </c>
      <c r="L1856" s="106"/>
      <c r="M1856" s="106" t="str">
        <f>SUMIFS(Ere!C:C,Ere!B:B,A1856)</f>
        <v>0</v>
      </c>
      <c r="N1856" s="106" t="str">
        <f t="shared" si="7"/>
        <v>1</v>
      </c>
      <c r="O1856" s="107" t="str">
        <f t="array" ref="O1856">XLOOKUP(A1856,Data!F:F,Data!O:O)</f>
        <v>  2.23 </v>
      </c>
      <c r="P1856" s="107" t="str">
        <f t="shared" si="8"/>
        <v>  5.58 </v>
      </c>
      <c r="Q1856" s="27"/>
    </row>
    <row r="1857" ht="15.75" customHeight="1">
      <c r="A1857" s="105" t="s">
        <v>2101</v>
      </c>
      <c r="B1857" s="19" t="str">
        <f t="array" ref="B1857">XLOOKUP(A1857,Data!F:F,Data!G:G)</f>
        <v>J2A</v>
      </c>
      <c r="C1857" s="19" t="str">
        <f t="shared" si="3"/>
        <v>J027</v>
      </c>
      <c r="D1857" s="19" t="str">
        <f t="array" ref="D1857">XLOOKUP(A1857,Data!F:F,Data!C:C)</f>
        <v/>
      </c>
      <c r="E1857" s="19" t="str">
        <f t="array" ref="E1857">XLOOKUP(A1857,Data!F:F,Data!H:H)</f>
        <v>BW</v>
      </c>
      <c r="F1857" s="106" t="str">
        <f>SUMIFS(Data!J:J,Data!F:F,A1857)</f>
        <v>1</v>
      </c>
      <c r="G1857" s="106" t="str">
        <f>SUMIFS(Cast!C:C,CastElements,A1857)</f>
        <v>1</v>
      </c>
      <c r="H1857" s="106" t="str">
        <f t="shared" si="4"/>
        <v>0</v>
      </c>
      <c r="I1857" s="106" t="str">
        <f>SUMIFS(Del!C:C,Del!B:B,A1857)</f>
        <v>0</v>
      </c>
      <c r="J1857" s="106" t="str">
        <f t="shared" si="5"/>
        <v>1</v>
      </c>
      <c r="K1857" s="106" t="str">
        <f t="shared" si="6"/>
        <v>1</v>
      </c>
      <c r="L1857" s="106"/>
      <c r="M1857" s="106" t="str">
        <f>SUMIFS(Ere!C:C,Ere!B:B,A1857)</f>
        <v>0</v>
      </c>
      <c r="N1857" s="106" t="str">
        <f t="shared" si="7"/>
        <v>1</v>
      </c>
      <c r="O1857" s="107" t="str">
        <f t="array" ref="O1857">XLOOKUP(A1857,Data!F:F,Data!O:O)</f>
        <v>  2.38 </v>
      </c>
      <c r="P1857" s="107" t="str">
        <f t="shared" si="8"/>
        <v>  5.95 </v>
      </c>
      <c r="Q1857" s="27"/>
    </row>
    <row r="1858" ht="15.75" customHeight="1">
      <c r="A1858" s="105" t="s">
        <v>2102</v>
      </c>
      <c r="B1858" s="19" t="str">
        <f t="array" ref="B1858">XLOOKUP(A1858,Data!F:F,Data!G:G)</f>
        <v>J2A</v>
      </c>
      <c r="C1858" s="19" t="str">
        <f t="shared" si="3"/>
        <v>J027</v>
      </c>
      <c r="D1858" s="19" t="str">
        <f t="array" ref="D1858">XLOOKUP(A1858,Data!F:F,Data!C:C)</f>
        <v/>
      </c>
      <c r="E1858" s="19" t="str">
        <f t="array" ref="E1858">XLOOKUP(A1858,Data!F:F,Data!H:H)</f>
        <v>BW</v>
      </c>
      <c r="F1858" s="106" t="str">
        <f>SUMIFS(Data!J:J,Data!F:F,A1858)</f>
        <v>1</v>
      </c>
      <c r="G1858" s="106" t="str">
        <f>SUMIFS(Cast!C:C,CastElements,A1858)</f>
        <v>1</v>
      </c>
      <c r="H1858" s="106" t="str">
        <f t="shared" si="4"/>
        <v>0</v>
      </c>
      <c r="I1858" s="106" t="str">
        <f>SUMIFS(Del!C:C,Del!B:B,A1858)</f>
        <v>0</v>
      </c>
      <c r="J1858" s="106" t="str">
        <f t="shared" si="5"/>
        <v>1</v>
      </c>
      <c r="K1858" s="106" t="str">
        <f t="shared" si="6"/>
        <v>1</v>
      </c>
      <c r="L1858" s="106"/>
      <c r="M1858" s="106" t="str">
        <f>SUMIFS(Ere!C:C,Ere!B:B,A1858)</f>
        <v>0</v>
      </c>
      <c r="N1858" s="106" t="str">
        <f t="shared" si="7"/>
        <v>1</v>
      </c>
      <c r="O1858" s="107" t="str">
        <f t="array" ref="O1858">XLOOKUP(A1858,Data!F:F,Data!O:O)</f>
        <v>  0.43 </v>
      </c>
      <c r="P1858" s="107" t="str">
        <f t="shared" si="8"/>
        <v>  1.09 </v>
      </c>
      <c r="Q1858" s="27"/>
    </row>
    <row r="1859" ht="15.75" customHeight="1">
      <c r="A1859" s="105" t="s">
        <v>2103</v>
      </c>
      <c r="B1859" s="19" t="str">
        <f t="array" ref="B1859">XLOOKUP(A1859,Data!F:F,Data!G:G)</f>
        <v>J2A</v>
      </c>
      <c r="C1859" s="19" t="str">
        <f t="shared" si="3"/>
        <v>J027</v>
      </c>
      <c r="D1859" s="19" t="str">
        <f t="array" ref="D1859">XLOOKUP(A1859,Data!F:F,Data!C:C)</f>
        <v/>
      </c>
      <c r="E1859" s="19" t="str">
        <f t="array" ref="E1859">XLOOKUP(A1859,Data!F:F,Data!H:H)</f>
        <v>CF</v>
      </c>
      <c r="F1859" s="106" t="str">
        <f>SUMIFS(Data!J:J,Data!F:F,A1859)</f>
        <v>1</v>
      </c>
      <c r="G1859" s="106" t="str">
        <f>SUMIFS(Cast!C:C,CastElements,A1859)</f>
        <v>1</v>
      </c>
      <c r="H1859" s="106" t="str">
        <f t="shared" si="4"/>
        <v>0</v>
      </c>
      <c r="I1859" s="106" t="str">
        <f>SUMIFS(Del!C:C,Del!B:B,A1859)</f>
        <v>0</v>
      </c>
      <c r="J1859" s="106" t="str">
        <f t="shared" si="5"/>
        <v>1</v>
      </c>
      <c r="K1859" s="106" t="str">
        <f t="shared" si="6"/>
        <v>1</v>
      </c>
      <c r="L1859" s="106"/>
      <c r="M1859" s="106" t="str">
        <f>SUMIFS(Ere!C:C,Ere!B:B,A1859)</f>
        <v>0</v>
      </c>
      <c r="N1859" s="106" t="str">
        <f t="shared" si="7"/>
        <v>1</v>
      </c>
      <c r="O1859" s="107" t="str">
        <f t="array" ref="O1859">XLOOKUP(A1859,Data!F:F,Data!O:O)</f>
        <v>  0.53 </v>
      </c>
      <c r="P1859" s="107" t="str">
        <f t="shared" si="8"/>
        <v>  1.33 </v>
      </c>
      <c r="Q1859" s="27"/>
    </row>
    <row r="1860" ht="15.75" customHeight="1">
      <c r="A1860" s="105" t="s">
        <v>2104</v>
      </c>
      <c r="B1860" s="19" t="str">
        <f t="array" ref="B1860">XLOOKUP(A1860,Data!F:F,Data!G:G)</f>
        <v>J2A</v>
      </c>
      <c r="C1860" s="19" t="str">
        <f t="shared" si="3"/>
        <v>J027</v>
      </c>
      <c r="D1860" s="19" t="str">
        <f t="array" ref="D1860">XLOOKUP(A1860,Data!F:F,Data!C:C)</f>
        <v>EXT</v>
      </c>
      <c r="E1860" s="19" t="str">
        <f t="array" ref="E1860">XLOOKUP(A1860,Data!F:F,Data!H:H)</f>
        <v>BW</v>
      </c>
      <c r="F1860" s="106" t="str">
        <f>SUMIFS(Data!J:J,Data!F:F,A1860)</f>
        <v>1</v>
      </c>
      <c r="G1860" s="106" t="str">
        <f>SUMIFS(Cast!C:C,CastElements,A1860)</f>
        <v>0</v>
      </c>
      <c r="H1860" s="106" t="str">
        <f t="shared" si="4"/>
        <v>1</v>
      </c>
      <c r="I1860" s="106" t="str">
        <f>SUMIFS(Del!C:C,Del!B:B,A1860)</f>
        <v>0</v>
      </c>
      <c r="J1860" s="106" t="str">
        <f t="shared" si="5"/>
        <v>1</v>
      </c>
      <c r="K1860" s="106" t="str">
        <f t="shared" si="6"/>
        <v>0</v>
      </c>
      <c r="L1860" s="106"/>
      <c r="M1860" s="106" t="str">
        <f>SUMIFS(Ere!C:C,Ere!B:B,A1860)</f>
        <v>0</v>
      </c>
      <c r="N1860" s="106" t="str">
        <f t="shared" si="7"/>
        <v>1</v>
      </c>
      <c r="O1860" s="107" t="str">
        <f t="array" ref="O1860">XLOOKUP(A1860,Data!F:F,Data!O:O)</f>
        <v>  0.45 </v>
      </c>
      <c r="P1860" s="107" t="str">
        <f t="shared" si="8"/>
        <v>  1.13 </v>
      </c>
      <c r="Q1860" s="27"/>
    </row>
    <row r="1861" ht="15.75" customHeight="1">
      <c r="A1861" s="105" t="s">
        <v>2105</v>
      </c>
      <c r="B1861" s="19" t="str">
        <f t="array" ref="B1861">XLOOKUP(A1861,Data!F:F,Data!G:G)</f>
        <v>J2A</v>
      </c>
      <c r="C1861" s="19" t="str">
        <f t="shared" si="3"/>
        <v>J027</v>
      </c>
      <c r="D1861" s="19" t="str">
        <f t="array" ref="D1861">XLOOKUP(A1861,Data!F:F,Data!C:C)</f>
        <v>EXT</v>
      </c>
      <c r="E1861" s="19" t="str">
        <f t="array" ref="E1861">XLOOKUP(A1861,Data!F:F,Data!H:H)</f>
        <v>BW</v>
      </c>
      <c r="F1861" s="106" t="str">
        <f>SUMIFS(Data!J:J,Data!F:F,A1861)</f>
        <v>1</v>
      </c>
      <c r="G1861" s="106" t="str">
        <f>SUMIFS(Cast!C:C,CastElements,A1861)</f>
        <v>0</v>
      </c>
      <c r="H1861" s="106" t="str">
        <f t="shared" si="4"/>
        <v>1</v>
      </c>
      <c r="I1861" s="106" t="str">
        <f>SUMIFS(Del!C:C,Del!B:B,A1861)</f>
        <v>0</v>
      </c>
      <c r="J1861" s="106" t="str">
        <f t="shared" si="5"/>
        <v>1</v>
      </c>
      <c r="K1861" s="106" t="str">
        <f t="shared" si="6"/>
        <v>0</v>
      </c>
      <c r="L1861" s="106"/>
      <c r="M1861" s="106" t="str">
        <f>SUMIFS(Ere!C:C,Ere!B:B,A1861)</f>
        <v>0</v>
      </c>
      <c r="N1861" s="106" t="str">
        <f t="shared" si="7"/>
        <v>1</v>
      </c>
      <c r="O1861" s="107" t="str">
        <f t="array" ref="O1861">XLOOKUP(A1861,Data!F:F,Data!O:O)</f>
        <v>  1.80 </v>
      </c>
      <c r="P1861" s="107" t="str">
        <f t="shared" si="8"/>
        <v>  4.50 </v>
      </c>
      <c r="Q1861" s="27"/>
    </row>
    <row r="1862" ht="15.75" customHeight="1">
      <c r="A1862" s="105" t="s">
        <v>2106</v>
      </c>
      <c r="B1862" s="19" t="str">
        <f t="array" ref="B1862">XLOOKUP(A1862,Data!F:F,Data!G:G)</f>
        <v>J2B</v>
      </c>
      <c r="C1862" s="19" t="str">
        <f t="shared" si="3"/>
        <v>J077</v>
      </c>
      <c r="D1862" s="19" t="str">
        <f t="array" ref="D1862">XLOOKUP(A1862,Data!F:F,Data!C:C)</f>
        <v>EXT</v>
      </c>
      <c r="E1862" s="19" t="str">
        <f t="array" ref="E1862">XLOOKUP(A1862,Data!F:F,Data!H:H)</f>
        <v>BW</v>
      </c>
      <c r="F1862" s="106" t="str">
        <f>SUMIFS(Data!J:J,Data!F:F,A1862)</f>
        <v>1</v>
      </c>
      <c r="G1862" s="106" t="str">
        <f>SUMIFS(Cast!C:C,CastElements,A1862)</f>
        <v>1</v>
      </c>
      <c r="H1862" s="106" t="str">
        <f t="shared" si="4"/>
        <v>0</v>
      </c>
      <c r="I1862" s="106" t="str">
        <f>SUMIFS(Del!C:C,Del!B:B,A1862)</f>
        <v>0</v>
      </c>
      <c r="J1862" s="106" t="str">
        <f t="shared" si="5"/>
        <v>1</v>
      </c>
      <c r="K1862" s="106" t="str">
        <f t="shared" si="6"/>
        <v>1</v>
      </c>
      <c r="L1862" s="106"/>
      <c r="M1862" s="106" t="str">
        <f>SUMIFS(Ere!C:C,Ere!B:B,A1862)</f>
        <v>0</v>
      </c>
      <c r="N1862" s="106" t="str">
        <f t="shared" si="7"/>
        <v>1</v>
      </c>
      <c r="O1862" s="107" t="str">
        <f t="array" ref="O1862">XLOOKUP(A1862,Data!F:F,Data!O:O)</f>
        <v>  2.23 </v>
      </c>
      <c r="P1862" s="107" t="str">
        <f t="shared" si="8"/>
        <v>  5.58 </v>
      </c>
      <c r="Q1862" s="27"/>
    </row>
    <row r="1863" ht="15.75" customHeight="1">
      <c r="A1863" s="105" t="s">
        <v>2107</v>
      </c>
      <c r="B1863" s="19" t="str">
        <f t="array" ref="B1863">XLOOKUP(A1863,Data!F:F,Data!G:G)</f>
        <v>J2B</v>
      </c>
      <c r="C1863" s="19" t="str">
        <f t="shared" si="3"/>
        <v>J077</v>
      </c>
      <c r="D1863" s="19" t="str">
        <f t="array" ref="D1863">XLOOKUP(A1863,Data!F:F,Data!C:C)</f>
        <v>EXT</v>
      </c>
      <c r="E1863" s="19" t="str">
        <f t="array" ref="E1863">XLOOKUP(A1863,Data!F:F,Data!H:H)</f>
        <v>BW</v>
      </c>
      <c r="F1863" s="106" t="str">
        <f>SUMIFS(Data!J:J,Data!F:F,A1863)</f>
        <v>1</v>
      </c>
      <c r="G1863" s="106" t="str">
        <f>SUMIFS(Cast!C:C,CastElements,A1863)</f>
        <v>0</v>
      </c>
      <c r="H1863" s="106" t="str">
        <f t="shared" si="4"/>
        <v>1</v>
      </c>
      <c r="I1863" s="106" t="str">
        <f>SUMIFS(Del!C:C,Del!B:B,A1863)</f>
        <v>0</v>
      </c>
      <c r="J1863" s="106" t="str">
        <f t="shared" si="5"/>
        <v>1</v>
      </c>
      <c r="K1863" s="106" t="str">
        <f t="shared" si="6"/>
        <v>0</v>
      </c>
      <c r="L1863" s="106"/>
      <c r="M1863" s="106" t="str">
        <f>SUMIFS(Ere!C:C,Ere!B:B,A1863)</f>
        <v>0</v>
      </c>
      <c r="N1863" s="106" t="str">
        <f t="shared" si="7"/>
        <v>1</v>
      </c>
      <c r="O1863" s="107" t="str">
        <f t="array" ref="O1863">XLOOKUP(A1863,Data!F:F,Data!O:O)</f>
        <v>  0.37 </v>
      </c>
      <c r="P1863" s="107" t="str">
        <f t="shared" si="8"/>
        <v>  0.93 </v>
      </c>
      <c r="Q1863" s="27"/>
    </row>
    <row r="1864" ht="15.75" customHeight="1">
      <c r="A1864" s="105" t="s">
        <v>2108</v>
      </c>
      <c r="B1864" s="19" t="str">
        <f t="array" ref="B1864">XLOOKUP(A1864,Data!F:F,Data!G:G)</f>
        <v>J2B</v>
      </c>
      <c r="C1864" s="19" t="str">
        <f t="shared" si="3"/>
        <v>J077</v>
      </c>
      <c r="D1864" s="19" t="str">
        <f t="array" ref="D1864">XLOOKUP(A1864,Data!F:F,Data!C:C)</f>
        <v>EXT</v>
      </c>
      <c r="E1864" s="19" t="str">
        <f t="array" ref="E1864">XLOOKUP(A1864,Data!F:F,Data!H:H)</f>
        <v>BW</v>
      </c>
      <c r="F1864" s="106" t="str">
        <f>SUMIFS(Data!J:J,Data!F:F,A1864)</f>
        <v>1</v>
      </c>
      <c r="G1864" s="106" t="str">
        <f>SUMIFS(Cast!C:C,CastElements,A1864)</f>
        <v>0</v>
      </c>
      <c r="H1864" s="106" t="str">
        <f t="shared" si="4"/>
        <v>1</v>
      </c>
      <c r="I1864" s="106" t="str">
        <f>SUMIFS(Del!C:C,Del!B:B,A1864)</f>
        <v>0</v>
      </c>
      <c r="J1864" s="106" t="str">
        <f t="shared" si="5"/>
        <v>1</v>
      </c>
      <c r="K1864" s="106" t="str">
        <f t="shared" si="6"/>
        <v>0</v>
      </c>
      <c r="L1864" s="106"/>
      <c r="M1864" s="106" t="str">
        <f>SUMIFS(Ere!C:C,Ere!B:B,A1864)</f>
        <v>0</v>
      </c>
      <c r="N1864" s="106" t="str">
        <f t="shared" si="7"/>
        <v>1</v>
      </c>
      <c r="O1864" s="107" t="str">
        <f t="array" ref="O1864">XLOOKUP(A1864,Data!F:F,Data!O:O)</f>
        <v>  0.37 </v>
      </c>
      <c r="P1864" s="107" t="str">
        <f t="shared" si="8"/>
        <v>  0.93 </v>
      </c>
      <c r="Q1864" s="27"/>
    </row>
    <row r="1865" ht="15.75" customHeight="1">
      <c r="A1865" s="105" t="s">
        <v>2109</v>
      </c>
      <c r="B1865" s="19" t="str">
        <f t="array" ref="B1865">XLOOKUP(A1865,Data!F:F,Data!G:G)</f>
        <v>J2B</v>
      </c>
      <c r="C1865" s="19" t="str">
        <f t="shared" si="3"/>
        <v>J077</v>
      </c>
      <c r="D1865" s="19" t="str">
        <f t="array" ref="D1865">XLOOKUP(A1865,Data!F:F,Data!C:C)</f>
        <v>EXT</v>
      </c>
      <c r="E1865" s="19" t="str">
        <f t="array" ref="E1865">XLOOKUP(A1865,Data!F:F,Data!H:H)</f>
        <v>BW</v>
      </c>
      <c r="F1865" s="106" t="str">
        <f>SUMIFS(Data!J:J,Data!F:F,A1865)</f>
        <v>1</v>
      </c>
      <c r="G1865" s="106" t="str">
        <f>SUMIFS(Cast!C:C,CastElements,A1865)</f>
        <v>0</v>
      </c>
      <c r="H1865" s="106" t="str">
        <f t="shared" si="4"/>
        <v>1</v>
      </c>
      <c r="I1865" s="106" t="str">
        <f>SUMIFS(Del!C:C,Del!B:B,A1865)</f>
        <v>0</v>
      </c>
      <c r="J1865" s="106" t="str">
        <f t="shared" si="5"/>
        <v>1</v>
      </c>
      <c r="K1865" s="106" t="str">
        <f t="shared" si="6"/>
        <v>0</v>
      </c>
      <c r="L1865" s="106"/>
      <c r="M1865" s="106" t="str">
        <f>SUMIFS(Ere!C:C,Ere!B:B,A1865)</f>
        <v>0</v>
      </c>
      <c r="N1865" s="106" t="str">
        <f t="shared" si="7"/>
        <v>1</v>
      </c>
      <c r="O1865" s="107" t="str">
        <f t="array" ref="O1865">XLOOKUP(A1865,Data!F:F,Data!O:O)</f>
        <v>  0.37 </v>
      </c>
      <c r="P1865" s="107" t="str">
        <f t="shared" si="8"/>
        <v>  0.93 </v>
      </c>
      <c r="Q1865" s="27"/>
    </row>
    <row r="1866" ht="15.75" customHeight="1">
      <c r="A1866" s="105" t="s">
        <v>2110</v>
      </c>
      <c r="B1866" s="19" t="str">
        <f t="array" ref="B1866">XLOOKUP(A1866,Data!F:F,Data!G:G)</f>
        <v>J2B</v>
      </c>
      <c r="C1866" s="19" t="str">
        <f t="shared" si="3"/>
        <v>J077</v>
      </c>
      <c r="D1866" s="19" t="str">
        <f t="array" ref="D1866">XLOOKUP(A1866,Data!F:F,Data!C:C)</f>
        <v>EXT</v>
      </c>
      <c r="E1866" s="19" t="str">
        <f t="array" ref="E1866">XLOOKUP(A1866,Data!F:F,Data!H:H)</f>
        <v>BW</v>
      </c>
      <c r="F1866" s="106" t="str">
        <f>SUMIFS(Data!J:J,Data!F:F,A1866)</f>
        <v>1</v>
      </c>
      <c r="G1866" s="106" t="str">
        <f>SUMIFS(Cast!C:C,CastElements,A1866)</f>
        <v>0</v>
      </c>
      <c r="H1866" s="106" t="str">
        <f t="shared" si="4"/>
        <v>1</v>
      </c>
      <c r="I1866" s="106" t="str">
        <f>SUMIFS(Del!C:C,Del!B:B,A1866)</f>
        <v>0</v>
      </c>
      <c r="J1866" s="106" t="str">
        <f t="shared" si="5"/>
        <v>1</v>
      </c>
      <c r="K1866" s="106" t="str">
        <f t="shared" si="6"/>
        <v>0</v>
      </c>
      <c r="L1866" s="106"/>
      <c r="M1866" s="106" t="str">
        <f>SUMIFS(Ere!C:C,Ere!B:B,A1866)</f>
        <v>0</v>
      </c>
      <c r="N1866" s="106" t="str">
        <f t="shared" si="7"/>
        <v>1</v>
      </c>
      <c r="O1866" s="107" t="str">
        <f t="array" ref="O1866">XLOOKUP(A1866,Data!F:F,Data!O:O)</f>
        <v>  0.37 </v>
      </c>
      <c r="P1866" s="107" t="str">
        <f t="shared" si="8"/>
        <v>  0.93 </v>
      </c>
      <c r="Q1866" s="27"/>
    </row>
    <row r="1867" ht="15.75" customHeight="1">
      <c r="A1867" s="105" t="s">
        <v>2111</v>
      </c>
      <c r="B1867" s="19" t="str">
        <f t="array" ref="B1867">XLOOKUP(A1867,Data!F:F,Data!G:G)</f>
        <v>J2B</v>
      </c>
      <c r="C1867" s="19" t="str">
        <f t="shared" si="3"/>
        <v>J077</v>
      </c>
      <c r="D1867" s="19" t="str">
        <f t="array" ref="D1867">XLOOKUP(A1867,Data!F:F,Data!C:C)</f>
        <v>EXT</v>
      </c>
      <c r="E1867" s="19" t="str">
        <f t="array" ref="E1867">XLOOKUP(A1867,Data!F:F,Data!H:H)</f>
        <v>BW</v>
      </c>
      <c r="F1867" s="106" t="str">
        <f>SUMIFS(Data!J:J,Data!F:F,A1867)</f>
        <v>1</v>
      </c>
      <c r="G1867" s="106" t="str">
        <f>SUMIFS(Cast!C:C,CastElements,A1867)</f>
        <v>0</v>
      </c>
      <c r="H1867" s="106" t="str">
        <f t="shared" si="4"/>
        <v>1</v>
      </c>
      <c r="I1867" s="106" t="str">
        <f>SUMIFS(Del!C:C,Del!B:B,A1867)</f>
        <v>0</v>
      </c>
      <c r="J1867" s="106" t="str">
        <f t="shared" si="5"/>
        <v>1</v>
      </c>
      <c r="K1867" s="106" t="str">
        <f t="shared" si="6"/>
        <v>0</v>
      </c>
      <c r="L1867" s="106"/>
      <c r="M1867" s="106" t="str">
        <f>SUMIFS(Ere!C:C,Ere!B:B,A1867)</f>
        <v>0</v>
      </c>
      <c r="N1867" s="106" t="str">
        <f t="shared" si="7"/>
        <v>1</v>
      </c>
      <c r="O1867" s="107" t="str">
        <f t="array" ref="O1867">XLOOKUP(A1867,Data!F:F,Data!O:O)</f>
        <v>  0.95 </v>
      </c>
      <c r="P1867" s="107" t="str">
        <f t="shared" si="8"/>
        <v>  2.38 </v>
      </c>
      <c r="Q1867" s="27"/>
    </row>
    <row r="1868" ht="15.75" customHeight="1">
      <c r="A1868" s="105" t="s">
        <v>2112</v>
      </c>
      <c r="B1868" s="19" t="str">
        <f t="array" ref="B1868">XLOOKUP(A1868,Data!F:F,Data!G:G)</f>
        <v>J2B</v>
      </c>
      <c r="C1868" s="19" t="str">
        <f t="shared" si="3"/>
        <v>J077</v>
      </c>
      <c r="D1868" s="19" t="str">
        <f t="array" ref="D1868">XLOOKUP(A1868,Data!F:F,Data!C:C)</f>
        <v>EXT</v>
      </c>
      <c r="E1868" s="19" t="str">
        <f t="array" ref="E1868">XLOOKUP(A1868,Data!F:F,Data!H:H)</f>
        <v>BW</v>
      </c>
      <c r="F1868" s="106" t="str">
        <f>SUMIFS(Data!J:J,Data!F:F,A1868)</f>
        <v>1</v>
      </c>
      <c r="G1868" s="106" t="str">
        <f>SUMIFS(Cast!C:C,CastElements,A1868)</f>
        <v>0</v>
      </c>
      <c r="H1868" s="106" t="str">
        <f t="shared" si="4"/>
        <v>1</v>
      </c>
      <c r="I1868" s="106" t="str">
        <f>SUMIFS(Del!C:C,Del!B:B,A1868)</f>
        <v>0</v>
      </c>
      <c r="J1868" s="106" t="str">
        <f t="shared" si="5"/>
        <v>1</v>
      </c>
      <c r="K1868" s="106" t="str">
        <f t="shared" si="6"/>
        <v>0</v>
      </c>
      <c r="L1868" s="106"/>
      <c r="M1868" s="106" t="str">
        <f>SUMIFS(Ere!C:C,Ere!B:B,A1868)</f>
        <v>0</v>
      </c>
      <c r="N1868" s="106" t="str">
        <f t="shared" si="7"/>
        <v>1</v>
      </c>
      <c r="O1868" s="107" t="str">
        <f t="array" ref="O1868">XLOOKUP(A1868,Data!F:F,Data!O:O)</f>
        <v>  0.95 </v>
      </c>
      <c r="P1868" s="107" t="str">
        <f t="shared" si="8"/>
        <v>  2.38 </v>
      </c>
      <c r="Q1868" s="27"/>
    </row>
    <row r="1869" ht="15.75" customHeight="1">
      <c r="A1869" s="105" t="s">
        <v>2113</v>
      </c>
      <c r="B1869" s="19" t="str">
        <f t="array" ref="B1869">XLOOKUP(A1869,Data!F:F,Data!G:G)</f>
        <v>J2B</v>
      </c>
      <c r="C1869" s="19" t="str">
        <f t="shared" si="3"/>
        <v>J077</v>
      </c>
      <c r="D1869" s="19" t="str">
        <f t="array" ref="D1869">XLOOKUP(A1869,Data!F:F,Data!C:C)</f>
        <v>EXT</v>
      </c>
      <c r="E1869" s="19" t="str">
        <f t="array" ref="E1869">XLOOKUP(A1869,Data!F:F,Data!H:H)</f>
        <v>BW</v>
      </c>
      <c r="F1869" s="106" t="str">
        <f>SUMIFS(Data!J:J,Data!F:F,A1869)</f>
        <v>1</v>
      </c>
      <c r="G1869" s="106" t="str">
        <f>SUMIFS(Cast!C:C,CastElements,A1869)</f>
        <v>0</v>
      </c>
      <c r="H1869" s="106" t="str">
        <f t="shared" si="4"/>
        <v>1</v>
      </c>
      <c r="I1869" s="106" t="str">
        <f>SUMIFS(Del!C:C,Del!B:B,A1869)</f>
        <v>0</v>
      </c>
      <c r="J1869" s="106" t="str">
        <f t="shared" si="5"/>
        <v>1</v>
      </c>
      <c r="K1869" s="106" t="str">
        <f t="shared" si="6"/>
        <v>0</v>
      </c>
      <c r="L1869" s="106"/>
      <c r="M1869" s="106" t="str">
        <f>SUMIFS(Ere!C:C,Ere!B:B,A1869)</f>
        <v>0</v>
      </c>
      <c r="N1869" s="106" t="str">
        <f t="shared" si="7"/>
        <v>1</v>
      </c>
      <c r="O1869" s="107" t="str">
        <f t="array" ref="O1869">XLOOKUP(A1869,Data!F:F,Data!O:O)</f>
        <v>  0.95 </v>
      </c>
      <c r="P1869" s="107" t="str">
        <f t="shared" si="8"/>
        <v>  2.38 </v>
      </c>
      <c r="Q1869" s="27"/>
    </row>
    <row r="1870" ht="15.75" customHeight="1">
      <c r="A1870" s="105" t="s">
        <v>2114</v>
      </c>
      <c r="B1870" s="19" t="str">
        <f t="array" ref="B1870">XLOOKUP(A1870,Data!F:F,Data!G:G)</f>
        <v>J2B</v>
      </c>
      <c r="C1870" s="19" t="str">
        <f t="shared" si="3"/>
        <v>J077</v>
      </c>
      <c r="D1870" s="19" t="str">
        <f t="array" ref="D1870">XLOOKUP(A1870,Data!F:F,Data!C:C)</f>
        <v>EXT</v>
      </c>
      <c r="E1870" s="19" t="str">
        <f t="array" ref="E1870">XLOOKUP(A1870,Data!F:F,Data!H:H)</f>
        <v>BW</v>
      </c>
      <c r="F1870" s="106" t="str">
        <f>SUMIFS(Data!J:J,Data!F:F,A1870)</f>
        <v>1</v>
      </c>
      <c r="G1870" s="106" t="str">
        <f>SUMIFS(Cast!C:C,CastElements,A1870)</f>
        <v>0</v>
      </c>
      <c r="H1870" s="106" t="str">
        <f t="shared" si="4"/>
        <v>1</v>
      </c>
      <c r="I1870" s="106" t="str">
        <f>SUMIFS(Del!C:C,Del!B:B,A1870)</f>
        <v>0</v>
      </c>
      <c r="J1870" s="106" t="str">
        <f t="shared" si="5"/>
        <v>1</v>
      </c>
      <c r="K1870" s="106" t="str">
        <f t="shared" si="6"/>
        <v>0</v>
      </c>
      <c r="L1870" s="106"/>
      <c r="M1870" s="106" t="str">
        <f>SUMIFS(Ere!C:C,Ere!B:B,A1870)</f>
        <v>0</v>
      </c>
      <c r="N1870" s="106" t="str">
        <f t="shared" si="7"/>
        <v>1</v>
      </c>
      <c r="O1870" s="107" t="str">
        <f t="array" ref="O1870">XLOOKUP(A1870,Data!F:F,Data!O:O)</f>
        <v>  0.95 </v>
      </c>
      <c r="P1870" s="107" t="str">
        <f t="shared" si="8"/>
        <v>  2.38 </v>
      </c>
      <c r="Q1870" s="27"/>
    </row>
    <row r="1871" ht="15.75" customHeight="1">
      <c r="A1871" s="105" t="s">
        <v>2115</v>
      </c>
      <c r="B1871" s="19" t="str">
        <f t="array" ref="B1871">XLOOKUP(A1871,Data!F:F,Data!G:G)</f>
        <v>J2B</v>
      </c>
      <c r="C1871" s="19" t="str">
        <f t="shared" si="3"/>
        <v>J077</v>
      </c>
      <c r="D1871" s="19" t="str">
        <f t="array" ref="D1871">XLOOKUP(A1871,Data!F:F,Data!C:C)</f>
        <v>EXT</v>
      </c>
      <c r="E1871" s="19" t="str">
        <f t="array" ref="E1871">XLOOKUP(A1871,Data!F:F,Data!H:H)</f>
        <v>BW</v>
      </c>
      <c r="F1871" s="106" t="str">
        <f>SUMIFS(Data!J:J,Data!F:F,A1871)</f>
        <v>1</v>
      </c>
      <c r="G1871" s="106" t="str">
        <f>SUMIFS(Cast!C:C,CastElements,A1871)</f>
        <v>0</v>
      </c>
      <c r="H1871" s="106" t="str">
        <f t="shared" si="4"/>
        <v>1</v>
      </c>
      <c r="I1871" s="106" t="str">
        <f>SUMIFS(Del!C:C,Del!B:B,A1871)</f>
        <v>0</v>
      </c>
      <c r="J1871" s="106" t="str">
        <f t="shared" si="5"/>
        <v>1</v>
      </c>
      <c r="K1871" s="106" t="str">
        <f t="shared" si="6"/>
        <v>0</v>
      </c>
      <c r="L1871" s="106"/>
      <c r="M1871" s="106" t="str">
        <f>SUMIFS(Ere!C:C,Ere!B:B,A1871)</f>
        <v>0</v>
      </c>
      <c r="N1871" s="106" t="str">
        <f t="shared" si="7"/>
        <v>1</v>
      </c>
      <c r="O1871" s="107" t="str">
        <f t="array" ref="O1871">XLOOKUP(A1871,Data!F:F,Data!O:O)</f>
        <v>  1.04 </v>
      </c>
      <c r="P1871" s="107" t="str">
        <f t="shared" si="8"/>
        <v>  2.60 </v>
      </c>
      <c r="Q1871" s="27"/>
    </row>
    <row r="1872" ht="15.75" customHeight="1">
      <c r="A1872" s="105" t="s">
        <v>2116</v>
      </c>
      <c r="B1872" s="19" t="str">
        <f t="array" ref="B1872">XLOOKUP(A1872,Data!F:F,Data!G:G)</f>
        <v>J2B</v>
      </c>
      <c r="C1872" s="19" t="str">
        <f t="shared" si="3"/>
        <v>J077</v>
      </c>
      <c r="D1872" s="19" t="str">
        <f t="array" ref="D1872">XLOOKUP(A1872,Data!F:F,Data!C:C)</f>
        <v/>
      </c>
      <c r="E1872" s="19" t="str">
        <f t="array" ref="E1872">XLOOKUP(A1872,Data!F:F,Data!H:H)</f>
        <v>BW</v>
      </c>
      <c r="F1872" s="106" t="str">
        <f>SUMIFS(Data!J:J,Data!F:F,A1872)</f>
        <v>1</v>
      </c>
      <c r="G1872" s="106" t="str">
        <f>SUMIFS(Cast!C:C,CastElements,A1872)</f>
        <v>0</v>
      </c>
      <c r="H1872" s="106" t="str">
        <f t="shared" si="4"/>
        <v>1</v>
      </c>
      <c r="I1872" s="106" t="str">
        <f>SUMIFS(Del!C:C,Del!B:B,A1872)</f>
        <v>0</v>
      </c>
      <c r="J1872" s="106" t="str">
        <f t="shared" si="5"/>
        <v>1</v>
      </c>
      <c r="K1872" s="106" t="str">
        <f t="shared" si="6"/>
        <v>0</v>
      </c>
      <c r="L1872" s="106"/>
      <c r="M1872" s="106" t="str">
        <f>SUMIFS(Ere!C:C,Ere!B:B,A1872)</f>
        <v>0</v>
      </c>
      <c r="N1872" s="106" t="str">
        <f t="shared" si="7"/>
        <v>1</v>
      </c>
      <c r="O1872" s="107" t="str">
        <f t="array" ref="O1872">XLOOKUP(A1872,Data!F:F,Data!O:O)</f>
        <v>  0.84 </v>
      </c>
      <c r="P1872" s="107" t="str">
        <f t="shared" si="8"/>
        <v>  2.09 </v>
      </c>
      <c r="Q1872" s="27"/>
    </row>
    <row r="1873" ht="15.75" customHeight="1">
      <c r="A1873" s="105" t="s">
        <v>2117</v>
      </c>
      <c r="B1873" s="19" t="str">
        <f t="array" ref="B1873">XLOOKUP(A1873,Data!F:F,Data!G:G)</f>
        <v>J2B</v>
      </c>
      <c r="C1873" s="19" t="str">
        <f t="shared" si="3"/>
        <v>J077</v>
      </c>
      <c r="D1873" s="19" t="str">
        <f t="array" ref="D1873">XLOOKUP(A1873,Data!F:F,Data!C:C)</f>
        <v/>
      </c>
      <c r="E1873" s="19" t="str">
        <f t="array" ref="E1873">XLOOKUP(A1873,Data!F:F,Data!H:H)</f>
        <v>BW</v>
      </c>
      <c r="F1873" s="106" t="str">
        <f>SUMIFS(Data!J:J,Data!F:F,A1873)</f>
        <v>1</v>
      </c>
      <c r="G1873" s="106" t="str">
        <f>SUMIFS(Cast!C:C,CastElements,A1873)</f>
        <v>0</v>
      </c>
      <c r="H1873" s="106" t="str">
        <f t="shared" si="4"/>
        <v>1</v>
      </c>
      <c r="I1873" s="106" t="str">
        <f>SUMIFS(Del!C:C,Del!B:B,A1873)</f>
        <v>0</v>
      </c>
      <c r="J1873" s="106" t="str">
        <f t="shared" si="5"/>
        <v>1</v>
      </c>
      <c r="K1873" s="106" t="str">
        <f t="shared" si="6"/>
        <v>0</v>
      </c>
      <c r="L1873" s="106"/>
      <c r="M1873" s="106" t="str">
        <f>SUMIFS(Ere!C:C,Ere!B:B,A1873)</f>
        <v>0</v>
      </c>
      <c r="N1873" s="106" t="str">
        <f t="shared" si="7"/>
        <v>1</v>
      </c>
      <c r="O1873" s="107" t="str">
        <f t="array" ref="O1873">XLOOKUP(A1873,Data!F:F,Data!O:O)</f>
        <v>  1.29 </v>
      </c>
      <c r="P1873" s="107" t="str">
        <f t="shared" si="8"/>
        <v>  3.23 </v>
      </c>
      <c r="Q1873" s="27"/>
    </row>
    <row r="1874" ht="15.75" customHeight="1">
      <c r="A1874" s="105" t="s">
        <v>2118</v>
      </c>
      <c r="B1874" s="19" t="str">
        <f t="array" ref="B1874">XLOOKUP(A1874,Data!F:F,Data!G:G)</f>
        <v>J2B</v>
      </c>
      <c r="C1874" s="19" t="str">
        <f t="shared" si="3"/>
        <v>J077</v>
      </c>
      <c r="D1874" s="19" t="str">
        <f t="array" ref="D1874">XLOOKUP(A1874,Data!F:F,Data!C:C)</f>
        <v/>
      </c>
      <c r="E1874" s="19" t="str">
        <f t="array" ref="E1874">XLOOKUP(A1874,Data!F:F,Data!H:H)</f>
        <v>BW</v>
      </c>
      <c r="F1874" s="106" t="str">
        <f>SUMIFS(Data!J:J,Data!F:F,A1874)</f>
        <v>1</v>
      </c>
      <c r="G1874" s="106" t="str">
        <f>SUMIFS(Cast!C:C,CastElements,A1874)</f>
        <v>0</v>
      </c>
      <c r="H1874" s="106" t="str">
        <f t="shared" si="4"/>
        <v>1</v>
      </c>
      <c r="I1874" s="106" t="str">
        <f>SUMIFS(Del!C:C,Del!B:B,A1874)</f>
        <v>0</v>
      </c>
      <c r="J1874" s="106" t="str">
        <f t="shared" si="5"/>
        <v>1</v>
      </c>
      <c r="K1874" s="106" t="str">
        <f t="shared" si="6"/>
        <v>0</v>
      </c>
      <c r="L1874" s="106"/>
      <c r="M1874" s="106" t="str">
        <f>SUMIFS(Ere!C:C,Ere!B:B,A1874)</f>
        <v>0</v>
      </c>
      <c r="N1874" s="106" t="str">
        <f t="shared" si="7"/>
        <v>1</v>
      </c>
      <c r="O1874" s="107" t="str">
        <f t="array" ref="O1874">XLOOKUP(A1874,Data!F:F,Data!O:O)</f>
        <v>  1.95 </v>
      </c>
      <c r="P1874" s="107" t="str">
        <f t="shared" si="8"/>
        <v>  4.88 </v>
      </c>
      <c r="Q1874" s="27"/>
    </row>
    <row r="1875" ht="15.75" customHeight="1">
      <c r="A1875" s="105" t="s">
        <v>2119</v>
      </c>
      <c r="B1875" s="19" t="str">
        <f t="array" ref="B1875">XLOOKUP(A1875,Data!F:F,Data!G:G)</f>
        <v>J2B</v>
      </c>
      <c r="C1875" s="19" t="str">
        <f t="shared" si="3"/>
        <v>J077</v>
      </c>
      <c r="D1875" s="19" t="str">
        <f t="array" ref="D1875">XLOOKUP(A1875,Data!F:F,Data!C:C)</f>
        <v/>
      </c>
      <c r="E1875" s="19" t="str">
        <f t="array" ref="E1875">XLOOKUP(A1875,Data!F:F,Data!H:H)</f>
        <v>BW</v>
      </c>
      <c r="F1875" s="106" t="str">
        <f>SUMIFS(Data!J:J,Data!F:F,A1875)</f>
        <v>1</v>
      </c>
      <c r="G1875" s="106" t="str">
        <f>SUMIFS(Cast!C:C,CastElements,A1875)</f>
        <v>0</v>
      </c>
      <c r="H1875" s="106" t="str">
        <f t="shared" si="4"/>
        <v>1</v>
      </c>
      <c r="I1875" s="106" t="str">
        <f>SUMIFS(Del!C:C,Del!B:B,A1875)</f>
        <v>0</v>
      </c>
      <c r="J1875" s="106" t="str">
        <f t="shared" si="5"/>
        <v>1</v>
      </c>
      <c r="K1875" s="106" t="str">
        <f t="shared" si="6"/>
        <v>0</v>
      </c>
      <c r="L1875" s="106"/>
      <c r="M1875" s="106" t="str">
        <f>SUMIFS(Ere!C:C,Ere!B:B,A1875)</f>
        <v>0</v>
      </c>
      <c r="N1875" s="106" t="str">
        <f t="shared" si="7"/>
        <v>1</v>
      </c>
      <c r="O1875" s="107" t="str">
        <f t="array" ref="O1875">XLOOKUP(A1875,Data!F:F,Data!O:O)</f>
        <v>  2.04 </v>
      </c>
      <c r="P1875" s="107" t="str">
        <f t="shared" si="8"/>
        <v>  5.10 </v>
      </c>
      <c r="Q1875" s="27"/>
    </row>
    <row r="1876" ht="15.75" customHeight="1">
      <c r="A1876" s="105" t="s">
        <v>2120</v>
      </c>
      <c r="B1876" s="19" t="str">
        <f t="array" ref="B1876">XLOOKUP(A1876,Data!F:F,Data!G:G)</f>
        <v>J2B</v>
      </c>
      <c r="C1876" s="19" t="str">
        <f t="shared" si="3"/>
        <v>J077</v>
      </c>
      <c r="D1876" s="19" t="str">
        <f t="array" ref="D1876">XLOOKUP(A1876,Data!F:F,Data!C:C)</f>
        <v/>
      </c>
      <c r="E1876" s="19" t="str">
        <f t="array" ref="E1876">XLOOKUP(A1876,Data!F:F,Data!H:H)</f>
        <v>BW</v>
      </c>
      <c r="F1876" s="106" t="str">
        <f>SUMIFS(Data!J:J,Data!F:F,A1876)</f>
        <v>1</v>
      </c>
      <c r="G1876" s="106" t="str">
        <f>SUMIFS(Cast!C:C,CastElements,A1876)</f>
        <v>0</v>
      </c>
      <c r="H1876" s="106" t="str">
        <f t="shared" si="4"/>
        <v>1</v>
      </c>
      <c r="I1876" s="106" t="str">
        <f>SUMIFS(Del!C:C,Del!B:B,A1876)</f>
        <v>0</v>
      </c>
      <c r="J1876" s="106" t="str">
        <f t="shared" si="5"/>
        <v>1</v>
      </c>
      <c r="K1876" s="106" t="str">
        <f t="shared" si="6"/>
        <v>0</v>
      </c>
      <c r="L1876" s="106"/>
      <c r="M1876" s="106" t="str">
        <f>SUMIFS(Ere!C:C,Ere!B:B,A1876)</f>
        <v>0</v>
      </c>
      <c r="N1876" s="106" t="str">
        <f t="shared" si="7"/>
        <v>1</v>
      </c>
      <c r="O1876" s="107" t="str">
        <f t="array" ref="O1876">XLOOKUP(A1876,Data!F:F,Data!O:O)</f>
        <v>  2.03 </v>
      </c>
      <c r="P1876" s="107" t="str">
        <f t="shared" si="8"/>
        <v>  5.06 </v>
      </c>
      <c r="Q1876" s="27"/>
    </row>
    <row r="1877" ht="15.75" customHeight="1">
      <c r="A1877" s="105" t="s">
        <v>2121</v>
      </c>
      <c r="B1877" s="19" t="str">
        <f t="array" ref="B1877">XLOOKUP(A1877,Data!F:F,Data!G:G)</f>
        <v>J2B</v>
      </c>
      <c r="C1877" s="19" t="str">
        <f t="shared" si="3"/>
        <v>J077</v>
      </c>
      <c r="D1877" s="19" t="str">
        <f t="array" ref="D1877">XLOOKUP(A1877,Data!F:F,Data!C:C)</f>
        <v/>
      </c>
      <c r="E1877" s="19" t="str">
        <f t="array" ref="E1877">XLOOKUP(A1877,Data!F:F,Data!H:H)</f>
        <v>BW</v>
      </c>
      <c r="F1877" s="106" t="str">
        <f>SUMIFS(Data!J:J,Data!F:F,A1877)</f>
        <v>1</v>
      </c>
      <c r="G1877" s="106" t="str">
        <f>SUMIFS(Cast!C:C,CastElements,A1877)</f>
        <v>0</v>
      </c>
      <c r="H1877" s="106" t="str">
        <f t="shared" si="4"/>
        <v>1</v>
      </c>
      <c r="I1877" s="106" t="str">
        <f>SUMIFS(Del!C:C,Del!B:B,A1877)</f>
        <v>0</v>
      </c>
      <c r="J1877" s="106" t="str">
        <f t="shared" si="5"/>
        <v>1</v>
      </c>
      <c r="K1877" s="106" t="str">
        <f t="shared" si="6"/>
        <v>0</v>
      </c>
      <c r="L1877" s="106"/>
      <c r="M1877" s="106" t="str">
        <f>SUMIFS(Ere!C:C,Ere!B:B,A1877)</f>
        <v>0</v>
      </c>
      <c r="N1877" s="106" t="str">
        <f t="shared" si="7"/>
        <v>1</v>
      </c>
      <c r="O1877" s="107" t="str">
        <f t="array" ref="O1877">XLOOKUP(A1877,Data!F:F,Data!O:O)</f>
        <v>  1.83 </v>
      </c>
      <c r="P1877" s="107" t="str">
        <f t="shared" si="8"/>
        <v>  4.57 </v>
      </c>
      <c r="Q1877" s="27"/>
    </row>
    <row r="1878" ht="15.75" customHeight="1">
      <c r="A1878" s="105" t="s">
        <v>2122</v>
      </c>
      <c r="B1878" s="19" t="str">
        <f t="array" ref="B1878">XLOOKUP(A1878,Data!F:F,Data!G:G)</f>
        <v>J2B</v>
      </c>
      <c r="C1878" s="19" t="str">
        <f t="shared" si="3"/>
        <v>J077</v>
      </c>
      <c r="D1878" s="19" t="str">
        <f t="array" ref="D1878">XLOOKUP(A1878,Data!F:F,Data!C:C)</f>
        <v/>
      </c>
      <c r="E1878" s="19" t="str">
        <f t="array" ref="E1878">XLOOKUP(A1878,Data!F:F,Data!H:H)</f>
        <v>BW</v>
      </c>
      <c r="F1878" s="106" t="str">
        <f>SUMIFS(Data!J:J,Data!F:F,A1878)</f>
        <v>1</v>
      </c>
      <c r="G1878" s="106" t="str">
        <f>SUMIFS(Cast!C:C,CastElements,A1878)</f>
        <v>0</v>
      </c>
      <c r="H1878" s="106" t="str">
        <f t="shared" si="4"/>
        <v>1</v>
      </c>
      <c r="I1878" s="106" t="str">
        <f>SUMIFS(Del!C:C,Del!B:B,A1878)</f>
        <v>0</v>
      </c>
      <c r="J1878" s="106" t="str">
        <f t="shared" si="5"/>
        <v>1</v>
      </c>
      <c r="K1878" s="106" t="str">
        <f t="shared" si="6"/>
        <v>0</v>
      </c>
      <c r="L1878" s="106"/>
      <c r="M1878" s="106" t="str">
        <f>SUMIFS(Ere!C:C,Ere!B:B,A1878)</f>
        <v>0</v>
      </c>
      <c r="N1878" s="106" t="str">
        <f t="shared" si="7"/>
        <v>1</v>
      </c>
      <c r="O1878" s="107" t="str">
        <f t="array" ref="O1878">XLOOKUP(A1878,Data!F:F,Data!O:O)</f>
        <v>  1.78 </v>
      </c>
      <c r="P1878" s="107" t="str">
        <f t="shared" si="8"/>
        <v>  4.44 </v>
      </c>
      <c r="Q1878" s="27"/>
    </row>
    <row r="1879" ht="15.75" customHeight="1">
      <c r="A1879" s="105" t="s">
        <v>2123</v>
      </c>
      <c r="B1879" s="19" t="str">
        <f t="array" ref="B1879">XLOOKUP(A1879,Data!F:F,Data!G:G)</f>
        <v>J2B</v>
      </c>
      <c r="C1879" s="19" t="str">
        <f t="shared" si="3"/>
        <v>J077</v>
      </c>
      <c r="D1879" s="19" t="str">
        <f t="array" ref="D1879">XLOOKUP(A1879,Data!F:F,Data!C:C)</f>
        <v/>
      </c>
      <c r="E1879" s="19" t="str">
        <f t="array" ref="E1879">XLOOKUP(A1879,Data!F:F,Data!H:H)</f>
        <v>BW</v>
      </c>
      <c r="F1879" s="106" t="str">
        <f>SUMIFS(Data!J:J,Data!F:F,A1879)</f>
        <v>1</v>
      </c>
      <c r="G1879" s="106" t="str">
        <f>SUMIFS(Cast!C:C,CastElements,A1879)</f>
        <v>0</v>
      </c>
      <c r="H1879" s="106" t="str">
        <f t="shared" si="4"/>
        <v>1</v>
      </c>
      <c r="I1879" s="106" t="str">
        <f>SUMIFS(Del!C:C,Del!B:B,A1879)</f>
        <v>0</v>
      </c>
      <c r="J1879" s="106" t="str">
        <f t="shared" si="5"/>
        <v>1</v>
      </c>
      <c r="K1879" s="106" t="str">
        <f t="shared" si="6"/>
        <v>0</v>
      </c>
      <c r="L1879" s="106"/>
      <c r="M1879" s="106" t="str">
        <f>SUMIFS(Ere!C:C,Ere!B:B,A1879)</f>
        <v>0</v>
      </c>
      <c r="N1879" s="106" t="str">
        <f t="shared" si="7"/>
        <v>1</v>
      </c>
      <c r="O1879" s="107" t="str">
        <f t="array" ref="O1879">XLOOKUP(A1879,Data!F:F,Data!O:O)</f>
        <v>  1.72 </v>
      </c>
      <c r="P1879" s="107" t="str">
        <f t="shared" si="8"/>
        <v>  4.31 </v>
      </c>
      <c r="Q1879" s="27"/>
    </row>
    <row r="1880" ht="15.75" customHeight="1">
      <c r="A1880" s="105" t="s">
        <v>2124</v>
      </c>
      <c r="B1880" s="19" t="str">
        <f t="array" ref="B1880">XLOOKUP(A1880,Data!F:F,Data!G:G)</f>
        <v>J2B</v>
      </c>
      <c r="C1880" s="19" t="str">
        <f t="shared" si="3"/>
        <v>J077</v>
      </c>
      <c r="D1880" s="19" t="str">
        <f t="array" ref="D1880">XLOOKUP(A1880,Data!F:F,Data!C:C)</f>
        <v/>
      </c>
      <c r="E1880" s="19" t="str">
        <f t="array" ref="E1880">XLOOKUP(A1880,Data!F:F,Data!H:H)</f>
        <v>BW</v>
      </c>
      <c r="F1880" s="106" t="str">
        <f>SUMIFS(Data!J:J,Data!F:F,A1880)</f>
        <v>1</v>
      </c>
      <c r="G1880" s="106" t="str">
        <f>SUMIFS(Cast!C:C,CastElements,A1880)</f>
        <v>0</v>
      </c>
      <c r="H1880" s="106" t="str">
        <f t="shared" si="4"/>
        <v>1</v>
      </c>
      <c r="I1880" s="106" t="str">
        <f>SUMIFS(Del!C:C,Del!B:B,A1880)</f>
        <v>0</v>
      </c>
      <c r="J1880" s="106" t="str">
        <f t="shared" si="5"/>
        <v>1</v>
      </c>
      <c r="K1880" s="106" t="str">
        <f t="shared" si="6"/>
        <v>0</v>
      </c>
      <c r="L1880" s="106"/>
      <c r="M1880" s="106" t="str">
        <f>SUMIFS(Ere!C:C,Ere!B:B,A1880)</f>
        <v>0</v>
      </c>
      <c r="N1880" s="106" t="str">
        <f t="shared" si="7"/>
        <v>1</v>
      </c>
      <c r="O1880" s="107" t="str">
        <f t="array" ref="O1880">XLOOKUP(A1880,Data!F:F,Data!O:O)</f>
        <v>  1.72 </v>
      </c>
      <c r="P1880" s="107" t="str">
        <f t="shared" si="8"/>
        <v>  4.31 </v>
      </c>
      <c r="Q1880" s="27"/>
    </row>
    <row r="1881" ht="15.75" customHeight="1">
      <c r="A1881" s="105" t="s">
        <v>2125</v>
      </c>
      <c r="B1881" s="19" t="str">
        <f t="array" ref="B1881">XLOOKUP(A1881,Data!F:F,Data!G:G)</f>
        <v>J2B</v>
      </c>
      <c r="C1881" s="19" t="str">
        <f t="shared" si="3"/>
        <v>J077</v>
      </c>
      <c r="D1881" s="19" t="str">
        <f t="array" ref="D1881">XLOOKUP(A1881,Data!F:F,Data!C:C)</f>
        <v/>
      </c>
      <c r="E1881" s="19" t="str">
        <f t="array" ref="E1881">XLOOKUP(A1881,Data!F:F,Data!H:H)</f>
        <v>BW</v>
      </c>
      <c r="F1881" s="106" t="str">
        <f>SUMIFS(Data!J:J,Data!F:F,A1881)</f>
        <v>1</v>
      </c>
      <c r="G1881" s="106" t="str">
        <f>SUMIFS(Cast!C:C,CastElements,A1881)</f>
        <v>0</v>
      </c>
      <c r="H1881" s="106" t="str">
        <f t="shared" si="4"/>
        <v>1</v>
      </c>
      <c r="I1881" s="106" t="str">
        <f>SUMIFS(Del!C:C,Del!B:B,A1881)</f>
        <v>0</v>
      </c>
      <c r="J1881" s="106" t="str">
        <f t="shared" si="5"/>
        <v>1</v>
      </c>
      <c r="K1881" s="106" t="str">
        <f t="shared" si="6"/>
        <v>0</v>
      </c>
      <c r="L1881" s="106"/>
      <c r="M1881" s="106" t="str">
        <f>SUMIFS(Ere!C:C,Ere!B:B,A1881)</f>
        <v>0</v>
      </c>
      <c r="N1881" s="106" t="str">
        <f t="shared" si="7"/>
        <v>1</v>
      </c>
      <c r="O1881" s="107" t="str">
        <f t="array" ref="O1881">XLOOKUP(A1881,Data!F:F,Data!O:O)</f>
        <v>  1.72 </v>
      </c>
      <c r="P1881" s="107" t="str">
        <f t="shared" si="8"/>
        <v>  4.31 </v>
      </c>
      <c r="Q1881" s="27"/>
    </row>
    <row r="1882" ht="15.75" customHeight="1">
      <c r="A1882" s="105" t="s">
        <v>2126</v>
      </c>
      <c r="B1882" s="19" t="str">
        <f t="array" ref="B1882">XLOOKUP(A1882,Data!F:F,Data!G:G)</f>
        <v>J2B</v>
      </c>
      <c r="C1882" s="19" t="str">
        <f t="shared" si="3"/>
        <v>J077</v>
      </c>
      <c r="D1882" s="19" t="str">
        <f t="array" ref="D1882">XLOOKUP(A1882,Data!F:F,Data!C:C)</f>
        <v/>
      </c>
      <c r="E1882" s="19" t="str">
        <f t="array" ref="E1882">XLOOKUP(A1882,Data!F:F,Data!H:H)</f>
        <v>BW</v>
      </c>
      <c r="F1882" s="106" t="str">
        <f>SUMIFS(Data!J:J,Data!F:F,A1882)</f>
        <v>1</v>
      </c>
      <c r="G1882" s="106" t="str">
        <f>SUMIFS(Cast!C:C,CastElements,A1882)</f>
        <v>0</v>
      </c>
      <c r="H1882" s="106" t="str">
        <f t="shared" si="4"/>
        <v>1</v>
      </c>
      <c r="I1882" s="106" t="str">
        <f>SUMIFS(Del!C:C,Del!B:B,A1882)</f>
        <v>0</v>
      </c>
      <c r="J1882" s="106" t="str">
        <f t="shared" si="5"/>
        <v>1</v>
      </c>
      <c r="K1882" s="106" t="str">
        <f t="shared" si="6"/>
        <v>0</v>
      </c>
      <c r="L1882" s="106"/>
      <c r="M1882" s="106" t="str">
        <f>SUMIFS(Ere!C:C,Ere!B:B,A1882)</f>
        <v>0</v>
      </c>
      <c r="N1882" s="106" t="str">
        <f t="shared" si="7"/>
        <v>1</v>
      </c>
      <c r="O1882" s="107" t="str">
        <f t="array" ref="O1882">XLOOKUP(A1882,Data!F:F,Data!O:O)</f>
        <v>  1.72 </v>
      </c>
      <c r="P1882" s="107" t="str">
        <f t="shared" si="8"/>
        <v>  4.31 </v>
      </c>
      <c r="Q1882" s="27"/>
    </row>
    <row r="1883" ht="15.75" customHeight="1">
      <c r="A1883" s="105" t="s">
        <v>2127</v>
      </c>
      <c r="B1883" s="19" t="str">
        <f t="array" ref="B1883">XLOOKUP(A1883,Data!F:F,Data!G:G)</f>
        <v>J2B</v>
      </c>
      <c r="C1883" s="19" t="str">
        <f t="shared" si="3"/>
        <v>J077</v>
      </c>
      <c r="D1883" s="19" t="str">
        <f t="array" ref="D1883">XLOOKUP(A1883,Data!F:F,Data!C:C)</f>
        <v/>
      </c>
      <c r="E1883" s="19" t="str">
        <f t="array" ref="E1883">XLOOKUP(A1883,Data!F:F,Data!H:H)</f>
        <v>BW</v>
      </c>
      <c r="F1883" s="106" t="str">
        <f>SUMIFS(Data!J:J,Data!F:F,A1883)</f>
        <v>1</v>
      </c>
      <c r="G1883" s="106" t="str">
        <f>SUMIFS(Cast!C:C,CastElements,A1883)</f>
        <v>0</v>
      </c>
      <c r="H1883" s="106" t="str">
        <f t="shared" si="4"/>
        <v>1</v>
      </c>
      <c r="I1883" s="106" t="str">
        <f>SUMIFS(Del!C:C,Del!B:B,A1883)</f>
        <v>0</v>
      </c>
      <c r="J1883" s="106" t="str">
        <f t="shared" si="5"/>
        <v>1</v>
      </c>
      <c r="K1883" s="106" t="str">
        <f t="shared" si="6"/>
        <v>0</v>
      </c>
      <c r="L1883" s="106"/>
      <c r="M1883" s="106" t="str">
        <f>SUMIFS(Ere!C:C,Ere!B:B,A1883)</f>
        <v>0</v>
      </c>
      <c r="N1883" s="106" t="str">
        <f t="shared" si="7"/>
        <v>1</v>
      </c>
      <c r="O1883" s="107" t="str">
        <f t="array" ref="O1883">XLOOKUP(A1883,Data!F:F,Data!O:O)</f>
        <v>  1.44 </v>
      </c>
      <c r="P1883" s="107" t="str">
        <f t="shared" si="8"/>
        <v>  3.60 </v>
      </c>
      <c r="Q1883" s="27"/>
    </row>
    <row r="1884" ht="15.75" customHeight="1">
      <c r="A1884" s="105" t="s">
        <v>2128</v>
      </c>
      <c r="B1884" s="19" t="str">
        <f t="array" ref="B1884">XLOOKUP(A1884,Data!F:F,Data!G:G)</f>
        <v>J2B</v>
      </c>
      <c r="C1884" s="19" t="str">
        <f t="shared" si="3"/>
        <v>J077</v>
      </c>
      <c r="D1884" s="19" t="str">
        <f t="array" ref="D1884">XLOOKUP(A1884,Data!F:F,Data!C:C)</f>
        <v/>
      </c>
      <c r="E1884" s="19" t="str">
        <f t="array" ref="E1884">XLOOKUP(A1884,Data!F:F,Data!H:H)</f>
        <v>BW</v>
      </c>
      <c r="F1884" s="106" t="str">
        <f>SUMIFS(Data!J:J,Data!F:F,A1884)</f>
        <v>1</v>
      </c>
      <c r="G1884" s="106" t="str">
        <f>SUMIFS(Cast!C:C,CastElements,A1884)</f>
        <v>0</v>
      </c>
      <c r="H1884" s="106" t="str">
        <f t="shared" si="4"/>
        <v>1</v>
      </c>
      <c r="I1884" s="106" t="str">
        <f>SUMIFS(Del!C:C,Del!B:B,A1884)</f>
        <v>0</v>
      </c>
      <c r="J1884" s="106" t="str">
        <f t="shared" si="5"/>
        <v>1</v>
      </c>
      <c r="K1884" s="106" t="str">
        <f t="shared" si="6"/>
        <v>0</v>
      </c>
      <c r="L1884" s="106"/>
      <c r="M1884" s="106" t="str">
        <f>SUMIFS(Ere!C:C,Ere!B:B,A1884)</f>
        <v>0</v>
      </c>
      <c r="N1884" s="106" t="str">
        <f t="shared" si="7"/>
        <v>1</v>
      </c>
      <c r="O1884" s="107" t="str">
        <f t="array" ref="O1884">XLOOKUP(A1884,Data!F:F,Data!O:O)</f>
        <v>  0.33 </v>
      </c>
      <c r="P1884" s="107" t="str">
        <f t="shared" si="8"/>
        <v>  0.82 </v>
      </c>
      <c r="Q1884" s="27"/>
    </row>
    <row r="1885" ht="15.75" customHeight="1">
      <c r="A1885" s="105" t="s">
        <v>2129</v>
      </c>
      <c r="B1885" s="19" t="str">
        <f t="array" ref="B1885">XLOOKUP(A1885,Data!F:F,Data!G:G)</f>
        <v>J2B</v>
      </c>
      <c r="C1885" s="19" t="str">
        <f t="shared" si="3"/>
        <v>J077</v>
      </c>
      <c r="D1885" s="19" t="str">
        <f t="array" ref="D1885">XLOOKUP(A1885,Data!F:F,Data!C:C)</f>
        <v/>
      </c>
      <c r="E1885" s="19" t="str">
        <f t="array" ref="E1885">XLOOKUP(A1885,Data!F:F,Data!H:H)</f>
        <v>BW</v>
      </c>
      <c r="F1885" s="106" t="str">
        <f>SUMIFS(Data!J:J,Data!F:F,A1885)</f>
        <v>1</v>
      </c>
      <c r="G1885" s="106" t="str">
        <f>SUMIFS(Cast!C:C,CastElements,A1885)</f>
        <v>0</v>
      </c>
      <c r="H1885" s="106" t="str">
        <f t="shared" si="4"/>
        <v>1</v>
      </c>
      <c r="I1885" s="106" t="str">
        <f>SUMIFS(Del!C:C,Del!B:B,A1885)</f>
        <v>0</v>
      </c>
      <c r="J1885" s="106" t="str">
        <f t="shared" si="5"/>
        <v>1</v>
      </c>
      <c r="K1885" s="106" t="str">
        <f t="shared" si="6"/>
        <v>0</v>
      </c>
      <c r="L1885" s="106"/>
      <c r="M1885" s="106" t="str">
        <f>SUMIFS(Ere!C:C,Ere!B:B,A1885)</f>
        <v>0</v>
      </c>
      <c r="N1885" s="106" t="str">
        <f t="shared" si="7"/>
        <v>1</v>
      </c>
      <c r="O1885" s="107" t="str">
        <f t="array" ref="O1885">XLOOKUP(A1885,Data!F:F,Data!O:O)</f>
        <v>  0.40 </v>
      </c>
      <c r="P1885" s="107" t="str">
        <f t="shared" si="8"/>
        <v>  1.00 </v>
      </c>
      <c r="Q1885" s="27"/>
    </row>
    <row r="1886" ht="15.75" customHeight="1">
      <c r="A1886" s="105" t="s">
        <v>2130</v>
      </c>
      <c r="B1886" s="19" t="str">
        <f t="array" ref="B1886">XLOOKUP(A1886,Data!F:F,Data!G:G)</f>
        <v>J2B</v>
      </c>
      <c r="C1886" s="19" t="str">
        <f t="shared" si="3"/>
        <v>J077</v>
      </c>
      <c r="D1886" s="19" t="str">
        <f t="array" ref="D1886">XLOOKUP(A1886,Data!F:F,Data!C:C)</f>
        <v/>
      </c>
      <c r="E1886" s="19" t="str">
        <f t="array" ref="E1886">XLOOKUP(A1886,Data!F:F,Data!H:H)</f>
        <v>BW</v>
      </c>
      <c r="F1886" s="106" t="str">
        <f>SUMIFS(Data!J:J,Data!F:F,A1886)</f>
        <v>1</v>
      </c>
      <c r="G1886" s="106" t="str">
        <f>SUMIFS(Cast!C:C,CastElements,A1886)</f>
        <v>0</v>
      </c>
      <c r="H1886" s="106" t="str">
        <f t="shared" si="4"/>
        <v>1</v>
      </c>
      <c r="I1886" s="106" t="str">
        <f>SUMIFS(Del!C:C,Del!B:B,A1886)</f>
        <v>0</v>
      </c>
      <c r="J1886" s="106" t="str">
        <f t="shared" si="5"/>
        <v>1</v>
      </c>
      <c r="K1886" s="106" t="str">
        <f t="shared" si="6"/>
        <v>0</v>
      </c>
      <c r="L1886" s="106"/>
      <c r="M1886" s="106" t="str">
        <f>SUMIFS(Ere!C:C,Ere!B:B,A1886)</f>
        <v>0</v>
      </c>
      <c r="N1886" s="106" t="str">
        <f t="shared" si="7"/>
        <v>1</v>
      </c>
      <c r="O1886" s="107" t="str">
        <f t="array" ref="O1886">XLOOKUP(A1886,Data!F:F,Data!O:O)</f>
        <v>  0.44 </v>
      </c>
      <c r="P1886" s="107" t="str">
        <f t="shared" si="8"/>
        <v>  1.11 </v>
      </c>
      <c r="Q1886" s="27"/>
    </row>
    <row r="1887" ht="15.75" customHeight="1">
      <c r="A1887" s="105" t="s">
        <v>2131</v>
      </c>
      <c r="B1887" s="19" t="str">
        <f t="array" ref="B1887">XLOOKUP(A1887,Data!F:F,Data!G:G)</f>
        <v>J2B</v>
      </c>
      <c r="C1887" s="19" t="str">
        <f t="shared" si="3"/>
        <v>J077</v>
      </c>
      <c r="D1887" s="19" t="str">
        <f t="array" ref="D1887">XLOOKUP(A1887,Data!F:F,Data!C:C)</f>
        <v/>
      </c>
      <c r="E1887" s="19" t="str">
        <f t="array" ref="E1887">XLOOKUP(A1887,Data!F:F,Data!H:H)</f>
        <v>BW</v>
      </c>
      <c r="F1887" s="106" t="str">
        <f>SUMIFS(Data!J:J,Data!F:F,A1887)</f>
        <v>1</v>
      </c>
      <c r="G1887" s="106" t="str">
        <f>SUMIFS(Cast!C:C,CastElements,A1887)</f>
        <v>0</v>
      </c>
      <c r="H1887" s="106" t="str">
        <f t="shared" si="4"/>
        <v>1</v>
      </c>
      <c r="I1887" s="106" t="str">
        <f>SUMIFS(Del!C:C,Del!B:B,A1887)</f>
        <v>0</v>
      </c>
      <c r="J1887" s="106" t="str">
        <f t="shared" si="5"/>
        <v>1</v>
      </c>
      <c r="K1887" s="106" t="str">
        <f t="shared" si="6"/>
        <v>0</v>
      </c>
      <c r="L1887" s="106"/>
      <c r="M1887" s="106" t="str">
        <f>SUMIFS(Ere!C:C,Ere!B:B,A1887)</f>
        <v>0</v>
      </c>
      <c r="N1887" s="106" t="str">
        <f t="shared" si="7"/>
        <v>1</v>
      </c>
      <c r="O1887" s="107" t="str">
        <f t="array" ref="O1887">XLOOKUP(A1887,Data!F:F,Data!O:O)</f>
        <v>  0.46 </v>
      </c>
      <c r="P1887" s="107" t="str">
        <f t="shared" si="8"/>
        <v>  1.15 </v>
      </c>
      <c r="Q1887" s="27"/>
    </row>
    <row r="1888" ht="15.75" customHeight="1">
      <c r="A1888" s="105" t="s">
        <v>2132</v>
      </c>
      <c r="B1888" s="19" t="str">
        <f t="array" ref="B1888">XLOOKUP(A1888,Data!F:F,Data!G:G)</f>
        <v>J2B</v>
      </c>
      <c r="C1888" s="19" t="str">
        <f t="shared" si="3"/>
        <v>J077</v>
      </c>
      <c r="D1888" s="19" t="str">
        <f t="array" ref="D1888">XLOOKUP(A1888,Data!F:F,Data!C:C)</f>
        <v/>
      </c>
      <c r="E1888" s="19" t="str">
        <f t="array" ref="E1888">XLOOKUP(A1888,Data!F:F,Data!H:H)</f>
        <v>CF</v>
      </c>
      <c r="F1888" s="106" t="str">
        <f>SUMIFS(Data!J:J,Data!F:F,A1888)</f>
        <v>1</v>
      </c>
      <c r="G1888" s="106" t="str">
        <f>SUMIFS(Cast!C:C,CastElements,A1888)</f>
        <v>0</v>
      </c>
      <c r="H1888" s="106" t="str">
        <f t="shared" si="4"/>
        <v>1</v>
      </c>
      <c r="I1888" s="106" t="str">
        <f>SUMIFS(Del!C:C,Del!B:B,A1888)</f>
        <v>0</v>
      </c>
      <c r="J1888" s="106" t="str">
        <f t="shared" si="5"/>
        <v>1</v>
      </c>
      <c r="K1888" s="106" t="str">
        <f t="shared" si="6"/>
        <v>0</v>
      </c>
      <c r="L1888" s="106"/>
      <c r="M1888" s="106" t="str">
        <f>SUMIFS(Ere!C:C,Ere!B:B,A1888)</f>
        <v>0</v>
      </c>
      <c r="N1888" s="106" t="str">
        <f t="shared" si="7"/>
        <v>1</v>
      </c>
      <c r="O1888" s="107" t="str">
        <f t="array" ref="O1888">XLOOKUP(A1888,Data!F:F,Data!O:O)</f>
        <v/>
      </c>
      <c r="P1888" s="107" t="str">
        <f t="shared" si="8"/>
        <v>  -   </v>
      </c>
      <c r="Q1888" s="27"/>
    </row>
    <row r="1889" ht="15.75" customHeight="1">
      <c r="A1889" s="105" t="s">
        <v>2133</v>
      </c>
      <c r="B1889" s="19" t="str">
        <f t="array" ref="B1889">XLOOKUP(A1889,Data!F:F,Data!G:G)</f>
        <v>J2B</v>
      </c>
      <c r="C1889" s="19" t="str">
        <f t="shared" si="3"/>
        <v>J078</v>
      </c>
      <c r="D1889" s="19" t="str">
        <f t="array" ref="D1889">XLOOKUP(A1889,Data!F:F,Data!C:C)</f>
        <v/>
      </c>
      <c r="E1889" s="19" t="str">
        <f t="array" ref="E1889">XLOOKUP(A1889,Data!F:F,Data!H:H)</f>
        <v>BW</v>
      </c>
      <c r="F1889" s="106" t="str">
        <f>SUMIFS(Data!J:J,Data!F:F,A1889)</f>
        <v>1</v>
      </c>
      <c r="G1889" s="106" t="str">
        <f>SUMIFS(Cast!C:C,CastElements,A1889)</f>
        <v>0</v>
      </c>
      <c r="H1889" s="106" t="str">
        <f t="shared" si="4"/>
        <v>1</v>
      </c>
      <c r="I1889" s="106" t="str">
        <f>SUMIFS(Del!C:C,Del!B:B,A1889)</f>
        <v>0</v>
      </c>
      <c r="J1889" s="106" t="str">
        <f t="shared" si="5"/>
        <v>1</v>
      </c>
      <c r="K1889" s="106" t="str">
        <f t="shared" si="6"/>
        <v>0</v>
      </c>
      <c r="L1889" s="106"/>
      <c r="M1889" s="106" t="str">
        <f>SUMIFS(Ere!C:C,Ere!B:B,A1889)</f>
        <v>0</v>
      </c>
      <c r="N1889" s="106" t="str">
        <f t="shared" si="7"/>
        <v>1</v>
      </c>
      <c r="O1889" s="107" t="str">
        <f t="array" ref="O1889">XLOOKUP(A1889,Data!F:F,Data!O:O)</f>
        <v>  1.78 </v>
      </c>
      <c r="P1889" s="107" t="str">
        <f t="shared" si="8"/>
        <v>  4.44 </v>
      </c>
      <c r="Q1889" s="27"/>
    </row>
    <row r="1890" ht="15.75" customHeight="1">
      <c r="A1890" s="105" t="s">
        <v>2134</v>
      </c>
      <c r="B1890" s="19" t="str">
        <f t="array" ref="B1890">XLOOKUP(A1890,Data!F:F,Data!G:G)</f>
        <v>J2B</v>
      </c>
      <c r="C1890" s="19" t="str">
        <f t="shared" si="3"/>
        <v>J078</v>
      </c>
      <c r="D1890" s="19" t="str">
        <f t="array" ref="D1890">XLOOKUP(A1890,Data!F:F,Data!C:C)</f>
        <v/>
      </c>
      <c r="E1890" s="19" t="str">
        <f t="array" ref="E1890">XLOOKUP(A1890,Data!F:F,Data!H:H)</f>
        <v>BW</v>
      </c>
      <c r="F1890" s="106" t="str">
        <f>SUMIFS(Data!J:J,Data!F:F,A1890)</f>
        <v>1</v>
      </c>
      <c r="G1890" s="106" t="str">
        <f>SUMIFS(Cast!C:C,CastElements,A1890)</f>
        <v>0</v>
      </c>
      <c r="H1890" s="106" t="str">
        <f t="shared" si="4"/>
        <v>1</v>
      </c>
      <c r="I1890" s="106" t="str">
        <f>SUMIFS(Del!C:C,Del!B:B,A1890)</f>
        <v>0</v>
      </c>
      <c r="J1890" s="106" t="str">
        <f t="shared" si="5"/>
        <v>1</v>
      </c>
      <c r="K1890" s="106" t="str">
        <f t="shared" si="6"/>
        <v>0</v>
      </c>
      <c r="L1890" s="106"/>
      <c r="M1890" s="106" t="str">
        <f>SUMIFS(Ere!C:C,Ere!B:B,A1890)</f>
        <v>0</v>
      </c>
      <c r="N1890" s="106" t="str">
        <f t="shared" si="7"/>
        <v>1</v>
      </c>
      <c r="O1890" s="107" t="str">
        <f t="array" ref="O1890">XLOOKUP(A1890,Data!F:F,Data!O:O)</f>
        <v>  1.72 </v>
      </c>
      <c r="P1890" s="107" t="str">
        <f t="shared" si="8"/>
        <v>  4.31 </v>
      </c>
      <c r="Q1890" s="27"/>
    </row>
    <row r="1891" ht="15.75" customHeight="1">
      <c r="A1891" s="105" t="s">
        <v>2135</v>
      </c>
      <c r="B1891" s="19" t="str">
        <f t="array" ref="B1891">XLOOKUP(A1891,Data!F:F,Data!G:G)</f>
        <v>J2B</v>
      </c>
      <c r="C1891" s="19" t="str">
        <f t="shared" si="3"/>
        <v>J078</v>
      </c>
      <c r="D1891" s="19" t="str">
        <f t="array" ref="D1891">XLOOKUP(A1891,Data!F:F,Data!C:C)</f>
        <v/>
      </c>
      <c r="E1891" s="19" t="str">
        <f t="array" ref="E1891">XLOOKUP(A1891,Data!F:F,Data!H:H)</f>
        <v>BW</v>
      </c>
      <c r="F1891" s="106" t="str">
        <f>SUMIFS(Data!J:J,Data!F:F,A1891)</f>
        <v>1</v>
      </c>
      <c r="G1891" s="106" t="str">
        <f>SUMIFS(Cast!C:C,CastElements,A1891)</f>
        <v>0</v>
      </c>
      <c r="H1891" s="106" t="str">
        <f t="shared" si="4"/>
        <v>1</v>
      </c>
      <c r="I1891" s="106" t="str">
        <f>SUMIFS(Del!C:C,Del!B:B,A1891)</f>
        <v>0</v>
      </c>
      <c r="J1891" s="106" t="str">
        <f t="shared" si="5"/>
        <v>1</v>
      </c>
      <c r="K1891" s="106" t="str">
        <f t="shared" si="6"/>
        <v>0</v>
      </c>
      <c r="L1891" s="106"/>
      <c r="M1891" s="106" t="str">
        <f>SUMIFS(Ere!C:C,Ere!B:B,A1891)</f>
        <v>0</v>
      </c>
      <c r="N1891" s="106" t="str">
        <f t="shared" si="7"/>
        <v>1</v>
      </c>
      <c r="O1891" s="107" t="str">
        <f t="array" ref="O1891">XLOOKUP(A1891,Data!F:F,Data!O:O)</f>
        <v>  1.72 </v>
      </c>
      <c r="P1891" s="107" t="str">
        <f t="shared" si="8"/>
        <v>  4.31 </v>
      </c>
      <c r="Q1891" s="27"/>
    </row>
    <row r="1892" ht="15.75" customHeight="1">
      <c r="A1892" s="105" t="s">
        <v>2136</v>
      </c>
      <c r="B1892" s="19" t="str">
        <f t="array" ref="B1892">XLOOKUP(A1892,Data!F:F,Data!G:G)</f>
        <v>J2B</v>
      </c>
      <c r="C1892" s="19" t="str">
        <f t="shared" si="3"/>
        <v>J078</v>
      </c>
      <c r="D1892" s="19" t="str">
        <f t="array" ref="D1892">XLOOKUP(A1892,Data!F:F,Data!C:C)</f>
        <v/>
      </c>
      <c r="E1892" s="19" t="str">
        <f t="array" ref="E1892">XLOOKUP(A1892,Data!F:F,Data!H:H)</f>
        <v>BW</v>
      </c>
      <c r="F1892" s="106" t="str">
        <f>SUMIFS(Data!J:J,Data!F:F,A1892)</f>
        <v>1</v>
      </c>
      <c r="G1892" s="106" t="str">
        <f>SUMIFS(Cast!C:C,CastElements,A1892)</f>
        <v>0</v>
      </c>
      <c r="H1892" s="106" t="str">
        <f t="shared" si="4"/>
        <v>1</v>
      </c>
      <c r="I1892" s="106" t="str">
        <f>SUMIFS(Del!C:C,Del!B:B,A1892)</f>
        <v>0</v>
      </c>
      <c r="J1892" s="106" t="str">
        <f t="shared" si="5"/>
        <v>1</v>
      </c>
      <c r="K1892" s="106" t="str">
        <f t="shared" si="6"/>
        <v>0</v>
      </c>
      <c r="L1892" s="106"/>
      <c r="M1892" s="106" t="str">
        <f>SUMIFS(Ere!C:C,Ere!B:B,A1892)</f>
        <v>0</v>
      </c>
      <c r="N1892" s="106" t="str">
        <f t="shared" si="7"/>
        <v>1</v>
      </c>
      <c r="O1892" s="107" t="str">
        <f t="array" ref="O1892">XLOOKUP(A1892,Data!F:F,Data!O:O)</f>
        <v>  1.72 </v>
      </c>
      <c r="P1892" s="107" t="str">
        <f t="shared" si="8"/>
        <v>  4.31 </v>
      </c>
      <c r="Q1892" s="27"/>
    </row>
    <row r="1893" ht="15.75" customHeight="1">
      <c r="A1893" s="105" t="s">
        <v>2137</v>
      </c>
      <c r="B1893" s="19" t="str">
        <f t="array" ref="B1893">XLOOKUP(A1893,Data!F:F,Data!G:G)</f>
        <v>J2B</v>
      </c>
      <c r="C1893" s="19" t="str">
        <f t="shared" si="3"/>
        <v>J078</v>
      </c>
      <c r="D1893" s="19" t="str">
        <f t="array" ref="D1893">XLOOKUP(A1893,Data!F:F,Data!C:C)</f>
        <v/>
      </c>
      <c r="E1893" s="19" t="str">
        <f t="array" ref="E1893">XLOOKUP(A1893,Data!F:F,Data!H:H)</f>
        <v>BW</v>
      </c>
      <c r="F1893" s="106" t="str">
        <f>SUMIFS(Data!J:J,Data!F:F,A1893)</f>
        <v>1</v>
      </c>
      <c r="G1893" s="106" t="str">
        <f>SUMIFS(Cast!C:C,CastElements,A1893)</f>
        <v>0</v>
      </c>
      <c r="H1893" s="106" t="str">
        <f t="shared" si="4"/>
        <v>1</v>
      </c>
      <c r="I1893" s="106" t="str">
        <f>SUMIFS(Del!C:C,Del!B:B,A1893)</f>
        <v>0</v>
      </c>
      <c r="J1893" s="106" t="str">
        <f t="shared" si="5"/>
        <v>1</v>
      </c>
      <c r="K1893" s="106" t="str">
        <f t="shared" si="6"/>
        <v>0</v>
      </c>
      <c r="L1893" s="106"/>
      <c r="M1893" s="106" t="str">
        <f>SUMIFS(Ere!C:C,Ere!B:B,A1893)</f>
        <v>0</v>
      </c>
      <c r="N1893" s="106" t="str">
        <f t="shared" si="7"/>
        <v>1</v>
      </c>
      <c r="O1893" s="107" t="str">
        <f t="array" ref="O1893">XLOOKUP(A1893,Data!F:F,Data!O:O)</f>
        <v>  1.72 </v>
      </c>
      <c r="P1893" s="107" t="str">
        <f t="shared" si="8"/>
        <v>  4.31 </v>
      </c>
      <c r="Q1893" s="27"/>
    </row>
    <row r="1894" ht="15.75" customHeight="1">
      <c r="A1894" s="105" t="s">
        <v>2138</v>
      </c>
      <c r="B1894" s="19" t="str">
        <f t="array" ref="B1894">XLOOKUP(A1894,Data!F:F,Data!G:G)</f>
        <v>J2B</v>
      </c>
      <c r="C1894" s="19" t="str">
        <f t="shared" si="3"/>
        <v>J078</v>
      </c>
      <c r="D1894" s="19" t="str">
        <f t="array" ref="D1894">XLOOKUP(A1894,Data!F:F,Data!C:C)</f>
        <v>EXT</v>
      </c>
      <c r="E1894" s="19" t="str">
        <f t="array" ref="E1894">XLOOKUP(A1894,Data!F:F,Data!H:H)</f>
        <v>BW</v>
      </c>
      <c r="F1894" s="106" t="str">
        <f>SUMIFS(Data!J:J,Data!F:F,A1894)</f>
        <v>1</v>
      </c>
      <c r="G1894" s="106" t="str">
        <f>SUMIFS(Cast!C:C,CastElements,A1894)</f>
        <v>0</v>
      </c>
      <c r="H1894" s="106" t="str">
        <f t="shared" si="4"/>
        <v>1</v>
      </c>
      <c r="I1894" s="106" t="str">
        <f>SUMIFS(Del!C:C,Del!B:B,A1894)</f>
        <v>0</v>
      </c>
      <c r="J1894" s="106" t="str">
        <f t="shared" si="5"/>
        <v>1</v>
      </c>
      <c r="K1894" s="106" t="str">
        <f t="shared" si="6"/>
        <v>0</v>
      </c>
      <c r="L1894" s="106"/>
      <c r="M1894" s="106" t="str">
        <f>SUMIFS(Ere!C:C,Ere!B:B,A1894)</f>
        <v>0</v>
      </c>
      <c r="N1894" s="106" t="str">
        <f t="shared" si="7"/>
        <v>1</v>
      </c>
      <c r="O1894" s="107" t="str">
        <f t="array" ref="O1894">XLOOKUP(A1894,Data!F:F,Data!O:O)</f>
        <v>  0.98 </v>
      </c>
      <c r="P1894" s="107" t="str">
        <f t="shared" si="8"/>
        <v>  2.45 </v>
      </c>
      <c r="Q1894" s="27"/>
    </row>
    <row r="1895" ht="15.75" customHeight="1">
      <c r="A1895" s="105" t="s">
        <v>2139</v>
      </c>
      <c r="B1895" s="19" t="str">
        <f t="array" ref="B1895">XLOOKUP(A1895,Data!F:F,Data!G:G)</f>
        <v>J2B</v>
      </c>
      <c r="C1895" s="19" t="str">
        <f t="shared" si="3"/>
        <v>J078</v>
      </c>
      <c r="D1895" s="19" t="str">
        <f t="array" ref="D1895">XLOOKUP(A1895,Data!F:F,Data!C:C)</f>
        <v>EXT</v>
      </c>
      <c r="E1895" s="19" t="str">
        <f t="array" ref="E1895">XLOOKUP(A1895,Data!F:F,Data!H:H)</f>
        <v>BW</v>
      </c>
      <c r="F1895" s="106" t="str">
        <f>SUMIFS(Data!J:J,Data!F:F,A1895)</f>
        <v>1</v>
      </c>
      <c r="G1895" s="106" t="str">
        <f>SUMIFS(Cast!C:C,CastElements,A1895)</f>
        <v>0</v>
      </c>
      <c r="H1895" s="106" t="str">
        <f t="shared" si="4"/>
        <v>1</v>
      </c>
      <c r="I1895" s="106" t="str">
        <f>SUMIFS(Del!C:C,Del!B:B,A1895)</f>
        <v>0</v>
      </c>
      <c r="J1895" s="106" t="str">
        <f t="shared" si="5"/>
        <v>1</v>
      </c>
      <c r="K1895" s="106" t="str">
        <f t="shared" si="6"/>
        <v>0</v>
      </c>
      <c r="L1895" s="106"/>
      <c r="M1895" s="106" t="str">
        <f>SUMIFS(Ere!C:C,Ere!B:B,A1895)</f>
        <v>0</v>
      </c>
      <c r="N1895" s="106" t="str">
        <f t="shared" si="7"/>
        <v>1</v>
      </c>
      <c r="O1895" s="107" t="str">
        <f t="array" ref="O1895">XLOOKUP(A1895,Data!F:F,Data!O:O)</f>
        <v>  0.98 </v>
      </c>
      <c r="P1895" s="107" t="str">
        <f t="shared" si="8"/>
        <v>  2.45 </v>
      </c>
      <c r="Q1895" s="27"/>
    </row>
    <row r="1896" ht="15.75" customHeight="1">
      <c r="A1896" s="105" t="s">
        <v>2140</v>
      </c>
      <c r="B1896" s="19" t="str">
        <f t="array" ref="B1896">XLOOKUP(A1896,Data!F:F,Data!G:G)</f>
        <v>J2B</v>
      </c>
      <c r="C1896" s="19" t="str">
        <f t="shared" si="3"/>
        <v>J078</v>
      </c>
      <c r="D1896" s="19" t="str">
        <f t="array" ref="D1896">XLOOKUP(A1896,Data!F:F,Data!C:C)</f>
        <v>EXT</v>
      </c>
      <c r="E1896" s="19" t="str">
        <f t="array" ref="E1896">XLOOKUP(A1896,Data!F:F,Data!H:H)</f>
        <v>BW</v>
      </c>
      <c r="F1896" s="106" t="str">
        <f>SUMIFS(Data!J:J,Data!F:F,A1896)</f>
        <v>1</v>
      </c>
      <c r="G1896" s="106" t="str">
        <f>SUMIFS(Cast!C:C,CastElements,A1896)</f>
        <v>0</v>
      </c>
      <c r="H1896" s="106" t="str">
        <f t="shared" si="4"/>
        <v>1</v>
      </c>
      <c r="I1896" s="106" t="str">
        <f>SUMIFS(Del!C:C,Del!B:B,A1896)</f>
        <v>0</v>
      </c>
      <c r="J1896" s="106" t="str">
        <f t="shared" si="5"/>
        <v>1</v>
      </c>
      <c r="K1896" s="106" t="str">
        <f t="shared" si="6"/>
        <v>0</v>
      </c>
      <c r="L1896" s="106"/>
      <c r="M1896" s="106" t="str">
        <f>SUMIFS(Ere!C:C,Ere!B:B,A1896)</f>
        <v>0</v>
      </c>
      <c r="N1896" s="106" t="str">
        <f t="shared" si="7"/>
        <v>1</v>
      </c>
      <c r="O1896" s="107" t="str">
        <f t="array" ref="O1896">XLOOKUP(A1896,Data!F:F,Data!O:O)</f>
        <v>  0.47 </v>
      </c>
      <c r="P1896" s="107" t="str">
        <f t="shared" si="8"/>
        <v>  1.18 </v>
      </c>
      <c r="Q1896" s="27"/>
    </row>
    <row r="1897" ht="15.75" customHeight="1">
      <c r="A1897" s="105" t="s">
        <v>2141</v>
      </c>
      <c r="B1897" s="19" t="str">
        <f t="array" ref="B1897">XLOOKUP(A1897,Data!F:F,Data!G:G)</f>
        <v>J2B</v>
      </c>
      <c r="C1897" s="19" t="str">
        <f t="shared" si="3"/>
        <v>J078</v>
      </c>
      <c r="D1897" s="19" t="str">
        <f t="array" ref="D1897">XLOOKUP(A1897,Data!F:F,Data!C:C)</f>
        <v>EXT</v>
      </c>
      <c r="E1897" s="19" t="str">
        <f t="array" ref="E1897">XLOOKUP(A1897,Data!F:F,Data!H:H)</f>
        <v>BW</v>
      </c>
      <c r="F1897" s="106" t="str">
        <f>SUMIFS(Data!J:J,Data!F:F,A1897)</f>
        <v>1</v>
      </c>
      <c r="G1897" s="106" t="str">
        <f>SUMIFS(Cast!C:C,CastElements,A1897)</f>
        <v>0</v>
      </c>
      <c r="H1897" s="106" t="str">
        <f t="shared" si="4"/>
        <v>1</v>
      </c>
      <c r="I1897" s="106" t="str">
        <f>SUMIFS(Del!C:C,Del!B:B,A1897)</f>
        <v>0</v>
      </c>
      <c r="J1897" s="106" t="str">
        <f t="shared" si="5"/>
        <v>1</v>
      </c>
      <c r="K1897" s="106" t="str">
        <f t="shared" si="6"/>
        <v>0</v>
      </c>
      <c r="L1897" s="106"/>
      <c r="M1897" s="106" t="str">
        <f>SUMIFS(Ere!C:C,Ere!B:B,A1897)</f>
        <v>0</v>
      </c>
      <c r="N1897" s="106" t="str">
        <f t="shared" si="7"/>
        <v>1</v>
      </c>
      <c r="O1897" s="107" t="str">
        <f t="array" ref="O1897">XLOOKUP(A1897,Data!F:F,Data!O:O)</f>
        <v>  0.47 </v>
      </c>
      <c r="P1897" s="107" t="str">
        <f t="shared" si="8"/>
        <v>  1.18 </v>
      </c>
      <c r="Q1897" s="27"/>
    </row>
    <row r="1898" ht="15.75" customHeight="1">
      <c r="A1898" s="105" t="s">
        <v>2142</v>
      </c>
      <c r="B1898" s="19" t="str">
        <f t="array" ref="B1898">XLOOKUP(A1898,Data!F:F,Data!G:G)</f>
        <v>J2B</v>
      </c>
      <c r="C1898" s="19" t="str">
        <f t="shared" si="3"/>
        <v>J078</v>
      </c>
      <c r="D1898" s="19" t="str">
        <f t="array" ref="D1898">XLOOKUP(A1898,Data!F:F,Data!C:C)</f>
        <v>EXT</v>
      </c>
      <c r="E1898" s="19" t="str">
        <f t="array" ref="E1898">XLOOKUP(A1898,Data!F:F,Data!H:H)</f>
        <v>BW</v>
      </c>
      <c r="F1898" s="106" t="str">
        <f>SUMIFS(Data!J:J,Data!F:F,A1898)</f>
        <v>1</v>
      </c>
      <c r="G1898" s="106" t="str">
        <f>SUMIFS(Cast!C:C,CastElements,A1898)</f>
        <v>0</v>
      </c>
      <c r="H1898" s="106" t="str">
        <f t="shared" si="4"/>
        <v>1</v>
      </c>
      <c r="I1898" s="106" t="str">
        <f>SUMIFS(Del!C:C,Del!B:B,A1898)</f>
        <v>0</v>
      </c>
      <c r="J1898" s="106" t="str">
        <f t="shared" si="5"/>
        <v>1</v>
      </c>
      <c r="K1898" s="106" t="str">
        <f t="shared" si="6"/>
        <v>0</v>
      </c>
      <c r="L1898" s="106"/>
      <c r="M1898" s="106" t="str">
        <f>SUMIFS(Ere!C:C,Ere!B:B,A1898)</f>
        <v>0</v>
      </c>
      <c r="N1898" s="106" t="str">
        <f t="shared" si="7"/>
        <v>1</v>
      </c>
      <c r="O1898" s="107" t="str">
        <f t="array" ref="O1898">XLOOKUP(A1898,Data!F:F,Data!O:O)</f>
        <v>  0.47 </v>
      </c>
      <c r="P1898" s="107" t="str">
        <f t="shared" si="8"/>
        <v>  1.18 </v>
      </c>
      <c r="Q1898" s="27"/>
    </row>
    <row r="1899" ht="15.75" customHeight="1">
      <c r="A1899" s="105" t="s">
        <v>2143</v>
      </c>
      <c r="B1899" s="19" t="str">
        <f t="array" ref="B1899">XLOOKUP(A1899,Data!F:F,Data!G:G)</f>
        <v>J2B</v>
      </c>
      <c r="C1899" s="19" t="str">
        <f t="shared" si="3"/>
        <v>J078</v>
      </c>
      <c r="D1899" s="19" t="str">
        <f t="array" ref="D1899">XLOOKUP(A1899,Data!F:F,Data!C:C)</f>
        <v>EXT</v>
      </c>
      <c r="E1899" s="19" t="str">
        <f t="array" ref="E1899">XLOOKUP(A1899,Data!F:F,Data!H:H)</f>
        <v>BW</v>
      </c>
      <c r="F1899" s="106" t="str">
        <f>SUMIFS(Data!J:J,Data!F:F,A1899)</f>
        <v>1</v>
      </c>
      <c r="G1899" s="106" t="str">
        <f>SUMIFS(Cast!C:C,CastElements,A1899)</f>
        <v>0</v>
      </c>
      <c r="H1899" s="106" t="str">
        <f t="shared" si="4"/>
        <v>1</v>
      </c>
      <c r="I1899" s="106" t="str">
        <f>SUMIFS(Del!C:C,Del!B:B,A1899)</f>
        <v>0</v>
      </c>
      <c r="J1899" s="106" t="str">
        <f t="shared" si="5"/>
        <v>1</v>
      </c>
      <c r="K1899" s="106" t="str">
        <f t="shared" si="6"/>
        <v>0</v>
      </c>
      <c r="L1899" s="106"/>
      <c r="M1899" s="106" t="str">
        <f>SUMIFS(Ere!C:C,Ere!B:B,A1899)</f>
        <v>0</v>
      </c>
      <c r="N1899" s="106" t="str">
        <f t="shared" si="7"/>
        <v>1</v>
      </c>
      <c r="O1899" s="107" t="str">
        <f t="array" ref="O1899">XLOOKUP(A1899,Data!F:F,Data!O:O)</f>
        <v>  0.47 </v>
      </c>
      <c r="P1899" s="107" t="str">
        <f t="shared" si="8"/>
        <v>  1.18 </v>
      </c>
      <c r="Q1899" s="27"/>
    </row>
    <row r="1900" ht="15.75" customHeight="1">
      <c r="A1900" s="105" t="s">
        <v>2144</v>
      </c>
      <c r="B1900" s="19" t="str">
        <f t="array" ref="B1900">XLOOKUP(A1900,Data!F:F,Data!G:G)</f>
        <v>J2B</v>
      </c>
      <c r="C1900" s="19" t="str">
        <f t="shared" si="3"/>
        <v>J078</v>
      </c>
      <c r="D1900" s="19" t="str">
        <f t="array" ref="D1900">XLOOKUP(A1900,Data!F:F,Data!C:C)</f>
        <v>EXT</v>
      </c>
      <c r="E1900" s="19" t="str">
        <f t="array" ref="E1900">XLOOKUP(A1900,Data!F:F,Data!H:H)</f>
        <v>BW</v>
      </c>
      <c r="F1900" s="106" t="str">
        <f>SUMIFS(Data!J:J,Data!F:F,A1900)</f>
        <v>1</v>
      </c>
      <c r="G1900" s="106" t="str">
        <f>SUMIFS(Cast!C:C,CastElements,A1900)</f>
        <v>0</v>
      </c>
      <c r="H1900" s="106" t="str">
        <f t="shared" si="4"/>
        <v>1</v>
      </c>
      <c r="I1900" s="106" t="str">
        <f>SUMIFS(Del!C:C,Del!B:B,A1900)</f>
        <v>0</v>
      </c>
      <c r="J1900" s="106" t="str">
        <f t="shared" si="5"/>
        <v>1</v>
      </c>
      <c r="K1900" s="106" t="str">
        <f t="shared" si="6"/>
        <v>0</v>
      </c>
      <c r="L1900" s="106"/>
      <c r="M1900" s="106" t="str">
        <f>SUMIFS(Ere!C:C,Ere!B:B,A1900)</f>
        <v>0</v>
      </c>
      <c r="N1900" s="106" t="str">
        <f t="shared" si="7"/>
        <v>1</v>
      </c>
      <c r="O1900" s="107" t="str">
        <f t="array" ref="O1900">XLOOKUP(A1900,Data!F:F,Data!O:O)</f>
        <v>  0.47 </v>
      </c>
      <c r="P1900" s="107" t="str">
        <f t="shared" si="8"/>
        <v>  1.18 </v>
      </c>
      <c r="Q1900" s="27"/>
    </row>
    <row r="1901" ht="15.75" customHeight="1">
      <c r="A1901" s="105" t="s">
        <v>2145</v>
      </c>
      <c r="B1901" s="19" t="str">
        <f t="array" ref="B1901">XLOOKUP(A1901,Data!F:F,Data!G:G)</f>
        <v>J2B</v>
      </c>
      <c r="C1901" s="19" t="str">
        <f t="shared" si="3"/>
        <v>J078</v>
      </c>
      <c r="D1901" s="19" t="str">
        <f t="array" ref="D1901">XLOOKUP(A1901,Data!F:F,Data!C:C)</f>
        <v>EXT</v>
      </c>
      <c r="E1901" s="19" t="str">
        <f t="array" ref="E1901">XLOOKUP(A1901,Data!F:F,Data!H:H)</f>
        <v>BW</v>
      </c>
      <c r="F1901" s="106" t="str">
        <f>SUMIFS(Data!J:J,Data!F:F,A1901)</f>
        <v>1</v>
      </c>
      <c r="G1901" s="106" t="str">
        <f>SUMIFS(Cast!C:C,CastElements,A1901)</f>
        <v>0</v>
      </c>
      <c r="H1901" s="106" t="str">
        <f t="shared" si="4"/>
        <v>1</v>
      </c>
      <c r="I1901" s="106" t="str">
        <f>SUMIFS(Del!C:C,Del!B:B,A1901)</f>
        <v>0</v>
      </c>
      <c r="J1901" s="106" t="str">
        <f t="shared" si="5"/>
        <v>1</v>
      </c>
      <c r="K1901" s="106" t="str">
        <f t="shared" si="6"/>
        <v>0</v>
      </c>
      <c r="L1901" s="106"/>
      <c r="M1901" s="106" t="str">
        <f>SUMIFS(Ere!C:C,Ere!B:B,A1901)</f>
        <v>0</v>
      </c>
      <c r="N1901" s="106" t="str">
        <f t="shared" si="7"/>
        <v>1</v>
      </c>
      <c r="O1901" s="107" t="str">
        <f t="array" ref="O1901">XLOOKUP(A1901,Data!F:F,Data!O:O)</f>
        <v>  0.47 </v>
      </c>
      <c r="P1901" s="107" t="str">
        <f t="shared" si="8"/>
        <v>  1.18 </v>
      </c>
      <c r="Q1901" s="27"/>
    </row>
    <row r="1902" ht="15.75" customHeight="1">
      <c r="A1902" s="105" t="s">
        <v>2146</v>
      </c>
      <c r="B1902" s="19" t="str">
        <f t="array" ref="B1902">XLOOKUP(A1902,Data!F:F,Data!G:G)</f>
        <v>J2B</v>
      </c>
      <c r="C1902" s="19" t="str">
        <f t="shared" si="3"/>
        <v>J078</v>
      </c>
      <c r="D1902" s="19" t="str">
        <f t="array" ref="D1902">XLOOKUP(A1902,Data!F:F,Data!C:C)</f>
        <v>EXT</v>
      </c>
      <c r="E1902" s="19" t="str">
        <f t="array" ref="E1902">XLOOKUP(A1902,Data!F:F,Data!H:H)</f>
        <v>BW</v>
      </c>
      <c r="F1902" s="106" t="str">
        <f>SUMIFS(Data!J:J,Data!F:F,A1902)</f>
        <v>1</v>
      </c>
      <c r="G1902" s="106" t="str">
        <f>SUMIFS(Cast!C:C,CastElements,A1902)</f>
        <v>0</v>
      </c>
      <c r="H1902" s="106" t="str">
        <f t="shared" si="4"/>
        <v>1</v>
      </c>
      <c r="I1902" s="106" t="str">
        <f>SUMIFS(Del!C:C,Del!B:B,A1902)</f>
        <v>0</v>
      </c>
      <c r="J1902" s="106" t="str">
        <f t="shared" si="5"/>
        <v>1</v>
      </c>
      <c r="K1902" s="106" t="str">
        <f t="shared" si="6"/>
        <v>0</v>
      </c>
      <c r="L1902" s="106"/>
      <c r="M1902" s="106" t="str">
        <f>SUMIFS(Ere!C:C,Ere!B:B,A1902)</f>
        <v>0</v>
      </c>
      <c r="N1902" s="106" t="str">
        <f t="shared" si="7"/>
        <v>1</v>
      </c>
      <c r="O1902" s="107" t="str">
        <f t="array" ref="O1902">XLOOKUP(A1902,Data!F:F,Data!O:O)</f>
        <v>  0.47 </v>
      </c>
      <c r="P1902" s="107" t="str">
        <f t="shared" si="8"/>
        <v>  1.18 </v>
      </c>
      <c r="Q1902" s="27"/>
    </row>
    <row r="1903" ht="15.75" customHeight="1">
      <c r="A1903" s="105" t="s">
        <v>2147</v>
      </c>
      <c r="B1903" s="19" t="str">
        <f t="array" ref="B1903">XLOOKUP(A1903,Data!F:F,Data!G:G)</f>
        <v>J2B</v>
      </c>
      <c r="C1903" s="19" t="str">
        <f t="shared" si="3"/>
        <v>J078</v>
      </c>
      <c r="D1903" s="19" t="str">
        <f t="array" ref="D1903">XLOOKUP(A1903,Data!F:F,Data!C:C)</f>
        <v>EXT</v>
      </c>
      <c r="E1903" s="19" t="str">
        <f t="array" ref="E1903">XLOOKUP(A1903,Data!F:F,Data!H:H)</f>
        <v>BW</v>
      </c>
      <c r="F1903" s="106" t="str">
        <f>SUMIFS(Data!J:J,Data!F:F,A1903)</f>
        <v>1</v>
      </c>
      <c r="G1903" s="106" t="str">
        <f>SUMIFS(Cast!C:C,CastElements,A1903)</f>
        <v>0</v>
      </c>
      <c r="H1903" s="106" t="str">
        <f t="shared" si="4"/>
        <v>1</v>
      </c>
      <c r="I1903" s="106" t="str">
        <f>SUMIFS(Del!C:C,Del!B:B,A1903)</f>
        <v>0</v>
      </c>
      <c r="J1903" s="106" t="str">
        <f t="shared" si="5"/>
        <v>1</v>
      </c>
      <c r="K1903" s="106" t="str">
        <f t="shared" si="6"/>
        <v>0</v>
      </c>
      <c r="L1903" s="106"/>
      <c r="M1903" s="106" t="str">
        <f>SUMIFS(Ere!C:C,Ere!B:B,A1903)</f>
        <v>0</v>
      </c>
      <c r="N1903" s="106" t="str">
        <f t="shared" si="7"/>
        <v>1</v>
      </c>
      <c r="O1903" s="107" t="str">
        <f t="array" ref="O1903">XLOOKUP(A1903,Data!F:F,Data!O:O)</f>
        <v>  0.47 </v>
      </c>
      <c r="P1903" s="107" t="str">
        <f t="shared" si="8"/>
        <v>  1.18 </v>
      </c>
      <c r="Q1903" s="27"/>
    </row>
    <row r="1904" ht="15.75" customHeight="1">
      <c r="A1904" s="105" t="s">
        <v>2148</v>
      </c>
      <c r="B1904" s="19" t="str">
        <f t="array" ref="B1904">XLOOKUP(A1904,Data!F:F,Data!G:G)</f>
        <v>J2B</v>
      </c>
      <c r="C1904" s="19" t="str">
        <f t="shared" si="3"/>
        <v>J078</v>
      </c>
      <c r="D1904" s="19" t="str">
        <f t="array" ref="D1904">XLOOKUP(A1904,Data!F:F,Data!C:C)</f>
        <v>EXT</v>
      </c>
      <c r="E1904" s="19" t="str">
        <f t="array" ref="E1904">XLOOKUP(A1904,Data!F:F,Data!H:H)</f>
        <v>BW</v>
      </c>
      <c r="F1904" s="106" t="str">
        <f>SUMIFS(Data!J:J,Data!F:F,A1904)</f>
        <v>1</v>
      </c>
      <c r="G1904" s="106" t="str">
        <f>SUMIFS(Cast!C:C,CastElements,A1904)</f>
        <v>0</v>
      </c>
      <c r="H1904" s="106" t="str">
        <f t="shared" si="4"/>
        <v>1</v>
      </c>
      <c r="I1904" s="106" t="str">
        <f>SUMIFS(Del!C:C,Del!B:B,A1904)</f>
        <v>0</v>
      </c>
      <c r="J1904" s="106" t="str">
        <f t="shared" si="5"/>
        <v>1</v>
      </c>
      <c r="K1904" s="106" t="str">
        <f t="shared" si="6"/>
        <v>0</v>
      </c>
      <c r="L1904" s="106"/>
      <c r="M1904" s="106" t="str">
        <f>SUMIFS(Ere!C:C,Ere!B:B,A1904)</f>
        <v>0</v>
      </c>
      <c r="N1904" s="106" t="str">
        <f t="shared" si="7"/>
        <v>1</v>
      </c>
      <c r="O1904" s="107" t="str">
        <f t="array" ref="O1904">XLOOKUP(A1904,Data!F:F,Data!O:O)</f>
        <v>  0.47 </v>
      </c>
      <c r="P1904" s="107" t="str">
        <f t="shared" si="8"/>
        <v>  1.18 </v>
      </c>
      <c r="Q1904" s="27"/>
    </row>
    <row r="1905" ht="15.75" customHeight="1">
      <c r="A1905" s="105" t="s">
        <v>2149</v>
      </c>
      <c r="B1905" s="19" t="str">
        <f t="array" ref="B1905">XLOOKUP(A1905,Data!F:F,Data!G:G)</f>
        <v>J2B</v>
      </c>
      <c r="C1905" s="19" t="str">
        <f t="shared" si="3"/>
        <v>J078</v>
      </c>
      <c r="D1905" s="19" t="str">
        <f t="array" ref="D1905">XLOOKUP(A1905,Data!F:F,Data!C:C)</f>
        <v>EXT</v>
      </c>
      <c r="E1905" s="19" t="str">
        <f t="array" ref="E1905">XLOOKUP(A1905,Data!F:F,Data!H:H)</f>
        <v>BW</v>
      </c>
      <c r="F1905" s="106" t="str">
        <f>SUMIFS(Data!J:J,Data!F:F,A1905)</f>
        <v>1</v>
      </c>
      <c r="G1905" s="106" t="str">
        <f>SUMIFS(Cast!C:C,CastElements,A1905)</f>
        <v>0</v>
      </c>
      <c r="H1905" s="106" t="str">
        <f t="shared" si="4"/>
        <v>1</v>
      </c>
      <c r="I1905" s="106" t="str">
        <f>SUMIFS(Del!C:C,Del!B:B,A1905)</f>
        <v>0</v>
      </c>
      <c r="J1905" s="106" t="str">
        <f t="shared" si="5"/>
        <v>1</v>
      </c>
      <c r="K1905" s="106" t="str">
        <f t="shared" si="6"/>
        <v>0</v>
      </c>
      <c r="L1905" s="106"/>
      <c r="M1905" s="106" t="str">
        <f>SUMIFS(Ere!C:C,Ere!B:B,A1905)</f>
        <v>0</v>
      </c>
      <c r="N1905" s="106" t="str">
        <f t="shared" si="7"/>
        <v>1</v>
      </c>
      <c r="O1905" s="107" t="str">
        <f t="array" ref="O1905">XLOOKUP(A1905,Data!F:F,Data!O:O)</f>
        <v>  0.47 </v>
      </c>
      <c r="P1905" s="107" t="str">
        <f t="shared" si="8"/>
        <v>  1.18 </v>
      </c>
      <c r="Q1905" s="27"/>
    </row>
    <row r="1906" ht="15.75" customHeight="1">
      <c r="A1906" s="105" t="s">
        <v>2150</v>
      </c>
      <c r="B1906" s="19" t="str">
        <f t="array" ref="B1906">XLOOKUP(A1906,Data!F:F,Data!G:G)</f>
        <v>J2B</v>
      </c>
      <c r="C1906" s="19" t="str">
        <f t="shared" si="3"/>
        <v>J078</v>
      </c>
      <c r="D1906" s="19" t="str">
        <f t="array" ref="D1906">XLOOKUP(A1906,Data!F:F,Data!C:C)</f>
        <v>EXT</v>
      </c>
      <c r="E1906" s="19" t="str">
        <f t="array" ref="E1906">XLOOKUP(A1906,Data!F:F,Data!H:H)</f>
        <v>BW</v>
      </c>
      <c r="F1906" s="106" t="str">
        <f>SUMIFS(Data!J:J,Data!F:F,A1906)</f>
        <v>1</v>
      </c>
      <c r="G1906" s="106" t="str">
        <f>SUMIFS(Cast!C:C,CastElements,A1906)</f>
        <v>0</v>
      </c>
      <c r="H1906" s="106" t="str">
        <f t="shared" si="4"/>
        <v>1</v>
      </c>
      <c r="I1906" s="106" t="str">
        <f>SUMIFS(Del!C:C,Del!B:B,A1906)</f>
        <v>0</v>
      </c>
      <c r="J1906" s="106" t="str">
        <f t="shared" si="5"/>
        <v>1</v>
      </c>
      <c r="K1906" s="106" t="str">
        <f t="shared" si="6"/>
        <v>0</v>
      </c>
      <c r="L1906" s="106"/>
      <c r="M1906" s="106" t="str">
        <f>SUMIFS(Ere!C:C,Ere!B:B,A1906)</f>
        <v>0</v>
      </c>
      <c r="N1906" s="106" t="str">
        <f t="shared" si="7"/>
        <v>1</v>
      </c>
      <c r="O1906" s="107" t="str">
        <f t="array" ref="O1906">XLOOKUP(A1906,Data!F:F,Data!O:O)</f>
        <v>  0.80 </v>
      </c>
      <c r="P1906" s="107" t="str">
        <f t="shared" si="8"/>
        <v>  1.99 </v>
      </c>
      <c r="Q1906" s="27"/>
    </row>
    <row r="1907" ht="15.75" customHeight="1">
      <c r="A1907" s="105" t="s">
        <v>2151</v>
      </c>
      <c r="B1907" s="19" t="str">
        <f t="array" ref="B1907">XLOOKUP(A1907,Data!F:F,Data!G:G)</f>
        <v>J2B</v>
      </c>
      <c r="C1907" s="19" t="str">
        <f t="shared" si="3"/>
        <v>J078</v>
      </c>
      <c r="D1907" s="19" t="str">
        <f t="array" ref="D1907">XLOOKUP(A1907,Data!F:F,Data!C:C)</f>
        <v/>
      </c>
      <c r="E1907" s="19" t="str">
        <f t="array" ref="E1907">XLOOKUP(A1907,Data!F:F,Data!H:H)</f>
        <v>BW</v>
      </c>
      <c r="F1907" s="106" t="str">
        <f>SUMIFS(Data!J:J,Data!F:F,A1907)</f>
        <v>1</v>
      </c>
      <c r="G1907" s="106" t="str">
        <f>SUMIFS(Cast!C:C,CastElements,A1907)</f>
        <v>0</v>
      </c>
      <c r="H1907" s="106" t="str">
        <f t="shared" si="4"/>
        <v>1</v>
      </c>
      <c r="I1907" s="106" t="str">
        <f>SUMIFS(Del!C:C,Del!B:B,A1907)</f>
        <v>0</v>
      </c>
      <c r="J1907" s="106" t="str">
        <f t="shared" si="5"/>
        <v>1</v>
      </c>
      <c r="K1907" s="106" t="str">
        <f t="shared" si="6"/>
        <v>0</v>
      </c>
      <c r="L1907" s="106"/>
      <c r="M1907" s="106" t="str">
        <f>SUMIFS(Ere!C:C,Ere!B:B,A1907)</f>
        <v>0</v>
      </c>
      <c r="N1907" s="106" t="str">
        <f t="shared" si="7"/>
        <v>1</v>
      </c>
      <c r="O1907" s="107" t="str">
        <f t="array" ref="O1907">XLOOKUP(A1907,Data!F:F,Data!O:O)</f>
        <v>  1.53 </v>
      </c>
      <c r="P1907" s="107" t="str">
        <f t="shared" si="8"/>
        <v>  3.82 </v>
      </c>
      <c r="Q1907" s="27"/>
    </row>
    <row r="1908" ht="15.75" customHeight="1">
      <c r="A1908" s="105" t="s">
        <v>2152</v>
      </c>
      <c r="B1908" s="19" t="str">
        <f t="array" ref="B1908">XLOOKUP(A1908,Data!F:F,Data!G:G)</f>
        <v>J2B</v>
      </c>
      <c r="C1908" s="19" t="str">
        <f t="shared" si="3"/>
        <v>J078</v>
      </c>
      <c r="D1908" s="19" t="str">
        <f t="array" ref="D1908">XLOOKUP(A1908,Data!F:F,Data!C:C)</f>
        <v/>
      </c>
      <c r="E1908" s="19" t="str">
        <f t="array" ref="E1908">XLOOKUP(A1908,Data!F:F,Data!H:H)</f>
        <v>BW</v>
      </c>
      <c r="F1908" s="106" t="str">
        <f>SUMIFS(Data!J:J,Data!F:F,A1908)</f>
        <v>1</v>
      </c>
      <c r="G1908" s="106" t="str">
        <f>SUMIFS(Cast!C:C,CastElements,A1908)</f>
        <v>0</v>
      </c>
      <c r="H1908" s="106" t="str">
        <f t="shared" si="4"/>
        <v>1</v>
      </c>
      <c r="I1908" s="106" t="str">
        <f>SUMIFS(Del!C:C,Del!B:B,A1908)</f>
        <v>0</v>
      </c>
      <c r="J1908" s="106" t="str">
        <f t="shared" si="5"/>
        <v>1</v>
      </c>
      <c r="K1908" s="106" t="str">
        <f t="shared" si="6"/>
        <v>0</v>
      </c>
      <c r="L1908" s="106"/>
      <c r="M1908" s="106" t="str">
        <f>SUMIFS(Ere!C:C,Ere!B:B,A1908)</f>
        <v>0</v>
      </c>
      <c r="N1908" s="106" t="str">
        <f t="shared" si="7"/>
        <v>1</v>
      </c>
      <c r="O1908" s="107" t="str">
        <f t="array" ref="O1908">XLOOKUP(A1908,Data!F:F,Data!O:O)</f>
        <v>  1.53 </v>
      </c>
      <c r="P1908" s="107" t="str">
        <f t="shared" si="8"/>
        <v>  3.82 </v>
      </c>
      <c r="Q1908" s="27"/>
    </row>
    <row r="1909" ht="15.75" customHeight="1">
      <c r="A1909" s="105" t="s">
        <v>2153</v>
      </c>
      <c r="B1909" s="19" t="str">
        <f t="array" ref="B1909">XLOOKUP(A1909,Data!F:F,Data!G:G)</f>
        <v>J2B</v>
      </c>
      <c r="C1909" s="19" t="str">
        <f t="shared" si="3"/>
        <v>J078</v>
      </c>
      <c r="D1909" s="19" t="str">
        <f t="array" ref="D1909">XLOOKUP(A1909,Data!F:F,Data!C:C)</f>
        <v/>
      </c>
      <c r="E1909" s="19" t="str">
        <f t="array" ref="E1909">XLOOKUP(A1909,Data!F:F,Data!H:H)</f>
        <v>BW</v>
      </c>
      <c r="F1909" s="106" t="str">
        <f>SUMIFS(Data!J:J,Data!F:F,A1909)</f>
        <v>1</v>
      </c>
      <c r="G1909" s="106" t="str">
        <f>SUMIFS(Cast!C:C,CastElements,A1909)</f>
        <v>0</v>
      </c>
      <c r="H1909" s="106" t="str">
        <f t="shared" si="4"/>
        <v>1</v>
      </c>
      <c r="I1909" s="106" t="str">
        <f>SUMIFS(Del!C:C,Del!B:B,A1909)</f>
        <v>0</v>
      </c>
      <c r="J1909" s="106" t="str">
        <f t="shared" si="5"/>
        <v>1</v>
      </c>
      <c r="K1909" s="106" t="str">
        <f t="shared" si="6"/>
        <v>0</v>
      </c>
      <c r="L1909" s="106"/>
      <c r="M1909" s="106" t="str">
        <f>SUMIFS(Ere!C:C,Ere!B:B,A1909)</f>
        <v>0</v>
      </c>
      <c r="N1909" s="106" t="str">
        <f t="shared" si="7"/>
        <v>1</v>
      </c>
      <c r="O1909" s="107" t="str">
        <f t="array" ref="O1909">XLOOKUP(A1909,Data!F:F,Data!O:O)</f>
        <v>  1.53 </v>
      </c>
      <c r="P1909" s="107" t="str">
        <f t="shared" si="8"/>
        <v>  3.82 </v>
      </c>
      <c r="Q1909" s="27"/>
    </row>
    <row r="1910" ht="15.75" customHeight="1">
      <c r="A1910" s="105" t="s">
        <v>2154</v>
      </c>
      <c r="B1910" s="19" t="str">
        <f t="array" ref="B1910">XLOOKUP(A1910,Data!F:F,Data!G:G)</f>
        <v>J2B</v>
      </c>
      <c r="C1910" s="19" t="str">
        <f t="shared" si="3"/>
        <v>J078</v>
      </c>
      <c r="D1910" s="19" t="str">
        <f t="array" ref="D1910">XLOOKUP(A1910,Data!F:F,Data!C:C)</f>
        <v/>
      </c>
      <c r="E1910" s="19" t="str">
        <f t="array" ref="E1910">XLOOKUP(A1910,Data!F:F,Data!H:H)</f>
        <v>BW</v>
      </c>
      <c r="F1910" s="106" t="str">
        <f>SUMIFS(Data!J:J,Data!F:F,A1910)</f>
        <v>1</v>
      </c>
      <c r="G1910" s="106" t="str">
        <f>SUMIFS(Cast!C:C,CastElements,A1910)</f>
        <v>0</v>
      </c>
      <c r="H1910" s="106" t="str">
        <f t="shared" si="4"/>
        <v>1</v>
      </c>
      <c r="I1910" s="106" t="str">
        <f>SUMIFS(Del!C:C,Del!B:B,A1910)</f>
        <v>0</v>
      </c>
      <c r="J1910" s="106" t="str">
        <f t="shared" si="5"/>
        <v>1</v>
      </c>
      <c r="K1910" s="106" t="str">
        <f t="shared" si="6"/>
        <v>0</v>
      </c>
      <c r="L1910" s="106"/>
      <c r="M1910" s="106" t="str">
        <f>SUMIFS(Ere!C:C,Ere!B:B,A1910)</f>
        <v>0</v>
      </c>
      <c r="N1910" s="106" t="str">
        <f t="shared" si="7"/>
        <v>1</v>
      </c>
      <c r="O1910" s="107" t="str">
        <f t="array" ref="O1910">XLOOKUP(A1910,Data!F:F,Data!O:O)</f>
        <v>  1.21 </v>
      </c>
      <c r="P1910" s="107" t="str">
        <f t="shared" si="8"/>
        <v>  3.03 </v>
      </c>
      <c r="Q1910" s="27"/>
    </row>
    <row r="1911" ht="15.75" customHeight="1">
      <c r="A1911" s="105" t="s">
        <v>2155</v>
      </c>
      <c r="B1911" s="19" t="str">
        <f t="array" ref="B1911">XLOOKUP(A1911,Data!F:F,Data!G:G)</f>
        <v>J2B</v>
      </c>
      <c r="C1911" s="19" t="str">
        <f t="shared" si="3"/>
        <v>J078</v>
      </c>
      <c r="D1911" s="19" t="str">
        <f t="array" ref="D1911">XLOOKUP(A1911,Data!F:F,Data!C:C)</f>
        <v/>
      </c>
      <c r="E1911" s="19" t="str">
        <f t="array" ref="E1911">XLOOKUP(A1911,Data!F:F,Data!H:H)</f>
        <v>BW</v>
      </c>
      <c r="F1911" s="106" t="str">
        <f>SUMIFS(Data!J:J,Data!F:F,A1911)</f>
        <v>1</v>
      </c>
      <c r="G1911" s="106" t="str">
        <f>SUMIFS(Cast!C:C,CastElements,A1911)</f>
        <v>0</v>
      </c>
      <c r="H1911" s="106" t="str">
        <f t="shared" si="4"/>
        <v>1</v>
      </c>
      <c r="I1911" s="106" t="str">
        <f>SUMIFS(Del!C:C,Del!B:B,A1911)</f>
        <v>0</v>
      </c>
      <c r="J1911" s="106" t="str">
        <f t="shared" si="5"/>
        <v>1</v>
      </c>
      <c r="K1911" s="106" t="str">
        <f t="shared" si="6"/>
        <v>0</v>
      </c>
      <c r="L1911" s="106"/>
      <c r="M1911" s="106" t="str">
        <f>SUMIFS(Ere!C:C,Ere!B:B,A1911)</f>
        <v>0</v>
      </c>
      <c r="N1911" s="106" t="str">
        <f t="shared" si="7"/>
        <v>1</v>
      </c>
      <c r="O1911" s="107" t="str">
        <f t="array" ref="O1911">XLOOKUP(A1911,Data!F:F,Data!O:O)</f>
        <v>  1.44 </v>
      </c>
      <c r="P1911" s="107" t="str">
        <f t="shared" si="8"/>
        <v>  3.61 </v>
      </c>
      <c r="Q1911" s="27"/>
    </row>
    <row r="1912" ht="15.75" customHeight="1">
      <c r="A1912" s="105" t="s">
        <v>2156</v>
      </c>
      <c r="B1912" s="19" t="str">
        <f t="array" ref="B1912">XLOOKUP(A1912,Data!F:F,Data!G:G)</f>
        <v>J2B</v>
      </c>
      <c r="C1912" s="19" t="str">
        <f t="shared" si="3"/>
        <v>J078</v>
      </c>
      <c r="D1912" s="19" t="str">
        <f t="array" ref="D1912">XLOOKUP(A1912,Data!F:F,Data!C:C)</f>
        <v/>
      </c>
      <c r="E1912" s="19" t="str">
        <f t="array" ref="E1912">XLOOKUP(A1912,Data!F:F,Data!H:H)</f>
        <v>BW</v>
      </c>
      <c r="F1912" s="106" t="str">
        <f>SUMIFS(Data!J:J,Data!F:F,A1912)</f>
        <v>1</v>
      </c>
      <c r="G1912" s="106" t="str">
        <f>SUMIFS(Cast!C:C,CastElements,A1912)</f>
        <v>0</v>
      </c>
      <c r="H1912" s="106" t="str">
        <f t="shared" si="4"/>
        <v>1</v>
      </c>
      <c r="I1912" s="106" t="str">
        <f>SUMIFS(Del!C:C,Del!B:B,A1912)</f>
        <v>0</v>
      </c>
      <c r="J1912" s="106" t="str">
        <f t="shared" si="5"/>
        <v>1</v>
      </c>
      <c r="K1912" s="106" t="str">
        <f t="shared" si="6"/>
        <v>0</v>
      </c>
      <c r="L1912" s="106"/>
      <c r="M1912" s="106" t="str">
        <f>SUMIFS(Ere!C:C,Ere!B:B,A1912)</f>
        <v>0</v>
      </c>
      <c r="N1912" s="106" t="str">
        <f t="shared" si="7"/>
        <v>1</v>
      </c>
      <c r="O1912" s="107" t="str">
        <f t="array" ref="O1912">XLOOKUP(A1912,Data!F:F,Data!O:O)</f>
        <v>  1.83 </v>
      </c>
      <c r="P1912" s="107" t="str">
        <f t="shared" si="8"/>
        <v>  4.57 </v>
      </c>
      <c r="Q1912" s="27"/>
    </row>
    <row r="1913" ht="15.75" customHeight="1">
      <c r="A1913" s="105" t="s">
        <v>2157</v>
      </c>
      <c r="B1913" s="19" t="str">
        <f t="array" ref="B1913">XLOOKUP(A1913,Data!F:F,Data!G:G)</f>
        <v>J2B</v>
      </c>
      <c r="C1913" s="19" t="str">
        <f t="shared" si="3"/>
        <v>J078</v>
      </c>
      <c r="D1913" s="19" t="str">
        <f t="array" ref="D1913">XLOOKUP(A1913,Data!F:F,Data!C:C)</f>
        <v/>
      </c>
      <c r="E1913" s="19" t="str">
        <f t="array" ref="E1913">XLOOKUP(A1913,Data!F:F,Data!H:H)</f>
        <v>BW</v>
      </c>
      <c r="F1913" s="106" t="str">
        <f>SUMIFS(Data!J:J,Data!F:F,A1913)</f>
        <v>1</v>
      </c>
      <c r="G1913" s="106" t="str">
        <f>SUMIFS(Cast!C:C,CastElements,A1913)</f>
        <v>0</v>
      </c>
      <c r="H1913" s="106" t="str">
        <f t="shared" si="4"/>
        <v>1</v>
      </c>
      <c r="I1913" s="106" t="str">
        <f>SUMIFS(Del!C:C,Del!B:B,A1913)</f>
        <v>0</v>
      </c>
      <c r="J1913" s="106" t="str">
        <f t="shared" si="5"/>
        <v>1</v>
      </c>
      <c r="K1913" s="106" t="str">
        <f t="shared" si="6"/>
        <v>0</v>
      </c>
      <c r="L1913" s="106"/>
      <c r="M1913" s="106" t="str">
        <f>SUMIFS(Ere!C:C,Ere!B:B,A1913)</f>
        <v>0</v>
      </c>
      <c r="N1913" s="106" t="str">
        <f t="shared" si="7"/>
        <v>1</v>
      </c>
      <c r="O1913" s="107" t="str">
        <f t="array" ref="O1913">XLOOKUP(A1913,Data!F:F,Data!O:O)</f>
        <v>  2.00 </v>
      </c>
      <c r="P1913" s="107" t="str">
        <f t="shared" si="8"/>
        <v>  5.01 </v>
      </c>
      <c r="Q1913" s="27"/>
    </row>
    <row r="1914" ht="15.75" customHeight="1">
      <c r="A1914" s="105" t="s">
        <v>2158</v>
      </c>
      <c r="B1914" s="19" t="str">
        <f t="array" ref="B1914">XLOOKUP(A1914,Data!F:F,Data!G:G)</f>
        <v>J2B</v>
      </c>
      <c r="C1914" s="19" t="str">
        <f t="shared" si="3"/>
        <v>J078</v>
      </c>
      <c r="D1914" s="19" t="str">
        <f t="array" ref="D1914">XLOOKUP(A1914,Data!F:F,Data!C:C)</f>
        <v/>
      </c>
      <c r="E1914" s="19" t="str">
        <f t="array" ref="E1914">XLOOKUP(A1914,Data!F:F,Data!H:H)</f>
        <v>BW</v>
      </c>
      <c r="F1914" s="106" t="str">
        <f>SUMIFS(Data!J:J,Data!F:F,A1914)</f>
        <v>1</v>
      </c>
      <c r="G1914" s="106" t="str">
        <f>SUMIFS(Cast!C:C,CastElements,A1914)</f>
        <v>1</v>
      </c>
      <c r="H1914" s="106" t="str">
        <f t="shared" si="4"/>
        <v>0</v>
      </c>
      <c r="I1914" s="106" t="str">
        <f>SUMIFS(Del!C:C,Del!B:B,A1914)</f>
        <v>0</v>
      </c>
      <c r="J1914" s="106" t="str">
        <f t="shared" si="5"/>
        <v>1</v>
      </c>
      <c r="K1914" s="106" t="str">
        <f t="shared" si="6"/>
        <v>1</v>
      </c>
      <c r="L1914" s="106"/>
      <c r="M1914" s="106" t="str">
        <f>SUMIFS(Ere!C:C,Ere!B:B,A1914)</f>
        <v>0</v>
      </c>
      <c r="N1914" s="106" t="str">
        <f t="shared" si="7"/>
        <v>1</v>
      </c>
      <c r="O1914" s="107" t="str">
        <f t="array" ref="O1914">XLOOKUP(A1914,Data!F:F,Data!O:O)</f>
        <v>  2.78 </v>
      </c>
      <c r="P1914" s="107" t="str">
        <f t="shared" si="8"/>
        <v>  6.96 </v>
      </c>
      <c r="Q1914" s="27"/>
    </row>
    <row r="1915" ht="15.75" customHeight="1">
      <c r="A1915" s="105" t="s">
        <v>2159</v>
      </c>
      <c r="B1915" s="19" t="str">
        <f t="array" ref="B1915">XLOOKUP(A1915,Data!F:F,Data!G:G)</f>
        <v>J2B</v>
      </c>
      <c r="C1915" s="19" t="str">
        <f t="shared" si="3"/>
        <v>J078</v>
      </c>
      <c r="D1915" s="19" t="str">
        <f t="array" ref="D1915">XLOOKUP(A1915,Data!F:F,Data!C:C)</f>
        <v/>
      </c>
      <c r="E1915" s="19" t="str">
        <f t="array" ref="E1915">XLOOKUP(A1915,Data!F:F,Data!H:H)</f>
        <v>BW</v>
      </c>
      <c r="F1915" s="106" t="str">
        <f>SUMIFS(Data!J:J,Data!F:F,A1915)</f>
        <v>1</v>
      </c>
      <c r="G1915" s="106" t="str">
        <f>SUMIFS(Cast!C:C,CastElements,A1915)</f>
        <v>0</v>
      </c>
      <c r="H1915" s="106" t="str">
        <f t="shared" si="4"/>
        <v>1</v>
      </c>
      <c r="I1915" s="106" t="str">
        <f>SUMIFS(Del!C:C,Del!B:B,A1915)</f>
        <v>0</v>
      </c>
      <c r="J1915" s="106" t="str">
        <f t="shared" si="5"/>
        <v>1</v>
      </c>
      <c r="K1915" s="106" t="str">
        <f t="shared" si="6"/>
        <v>0</v>
      </c>
      <c r="L1915" s="106"/>
      <c r="M1915" s="106" t="str">
        <f>SUMIFS(Ere!C:C,Ere!B:B,A1915)</f>
        <v>0</v>
      </c>
      <c r="N1915" s="106" t="str">
        <f t="shared" si="7"/>
        <v>1</v>
      </c>
      <c r="O1915" s="107" t="str">
        <f t="array" ref="O1915">XLOOKUP(A1915,Data!F:F,Data!O:O)</f>
        <v>  0.40 </v>
      </c>
      <c r="P1915" s="107" t="str">
        <f t="shared" si="8"/>
        <v>  1.00 </v>
      </c>
      <c r="Q1915" s="27"/>
    </row>
    <row r="1916" ht="15.75" customHeight="1">
      <c r="A1916" s="105" t="s">
        <v>2160</v>
      </c>
      <c r="B1916" s="19" t="str">
        <f t="array" ref="B1916">XLOOKUP(A1916,Data!F:F,Data!G:G)</f>
        <v>J2B</v>
      </c>
      <c r="C1916" s="19" t="str">
        <f t="shared" si="3"/>
        <v>J078</v>
      </c>
      <c r="D1916" s="19" t="str">
        <f t="array" ref="D1916">XLOOKUP(A1916,Data!F:F,Data!C:C)</f>
        <v/>
      </c>
      <c r="E1916" s="19" t="str">
        <f t="array" ref="E1916">XLOOKUP(A1916,Data!F:F,Data!H:H)</f>
        <v>BW</v>
      </c>
      <c r="F1916" s="106" t="str">
        <f>SUMIFS(Data!J:J,Data!F:F,A1916)</f>
        <v>1</v>
      </c>
      <c r="G1916" s="106" t="str">
        <f>SUMIFS(Cast!C:C,CastElements,A1916)</f>
        <v>0</v>
      </c>
      <c r="H1916" s="106" t="str">
        <f t="shared" si="4"/>
        <v>1</v>
      </c>
      <c r="I1916" s="106" t="str">
        <f>SUMIFS(Del!C:C,Del!B:B,A1916)</f>
        <v>0</v>
      </c>
      <c r="J1916" s="106" t="str">
        <f t="shared" si="5"/>
        <v>1</v>
      </c>
      <c r="K1916" s="106" t="str">
        <f t="shared" si="6"/>
        <v>0</v>
      </c>
      <c r="L1916" s="106"/>
      <c r="M1916" s="106" t="str">
        <f>SUMIFS(Ere!C:C,Ere!B:B,A1916)</f>
        <v>0</v>
      </c>
      <c r="N1916" s="106" t="str">
        <f t="shared" si="7"/>
        <v>1</v>
      </c>
      <c r="O1916" s="107" t="str">
        <f t="array" ref="O1916">XLOOKUP(A1916,Data!F:F,Data!O:O)</f>
        <v>  0.38 </v>
      </c>
      <c r="P1916" s="107" t="str">
        <f t="shared" si="8"/>
        <v>  0.96 </v>
      </c>
      <c r="Q1916" s="27"/>
    </row>
    <row r="1917" ht="15.75" customHeight="1">
      <c r="A1917" s="105" t="s">
        <v>2161</v>
      </c>
      <c r="B1917" s="19" t="str">
        <f t="array" ref="B1917">XLOOKUP(A1917,Data!F:F,Data!G:G)</f>
        <v>J2B</v>
      </c>
      <c r="C1917" s="19" t="str">
        <f t="shared" si="3"/>
        <v>J078</v>
      </c>
      <c r="D1917" s="19" t="str">
        <f t="array" ref="D1917">XLOOKUP(A1917,Data!F:F,Data!C:C)</f>
        <v/>
      </c>
      <c r="E1917" s="19" t="str">
        <f t="array" ref="E1917">XLOOKUP(A1917,Data!F:F,Data!H:H)</f>
        <v>BW</v>
      </c>
      <c r="F1917" s="106" t="str">
        <f>SUMIFS(Data!J:J,Data!F:F,A1917)</f>
        <v>1</v>
      </c>
      <c r="G1917" s="106" t="str">
        <f>SUMIFS(Cast!C:C,CastElements,A1917)</f>
        <v>0</v>
      </c>
      <c r="H1917" s="106" t="str">
        <f t="shared" si="4"/>
        <v>1</v>
      </c>
      <c r="I1917" s="106" t="str">
        <f>SUMIFS(Del!C:C,Del!B:B,A1917)</f>
        <v>0</v>
      </c>
      <c r="J1917" s="106" t="str">
        <f t="shared" si="5"/>
        <v>1</v>
      </c>
      <c r="K1917" s="106" t="str">
        <f t="shared" si="6"/>
        <v>0</v>
      </c>
      <c r="L1917" s="106"/>
      <c r="M1917" s="106" t="str">
        <f>SUMIFS(Ere!C:C,Ere!B:B,A1917)</f>
        <v>0</v>
      </c>
      <c r="N1917" s="106" t="str">
        <f t="shared" si="7"/>
        <v>1</v>
      </c>
      <c r="O1917" s="107" t="str">
        <f t="array" ref="O1917">XLOOKUP(A1917,Data!F:F,Data!O:O)</f>
        <v>  0.40 </v>
      </c>
      <c r="P1917" s="107" t="str">
        <f t="shared" si="8"/>
        <v>  0.99 </v>
      </c>
      <c r="Q1917" s="27"/>
    </row>
    <row r="1918" ht="15.75" customHeight="1">
      <c r="A1918" s="105" t="s">
        <v>2162</v>
      </c>
      <c r="B1918" s="19" t="str">
        <f t="array" ref="B1918">XLOOKUP(A1918,Data!F:F,Data!G:G)</f>
        <v>J2B</v>
      </c>
      <c r="C1918" s="19" t="str">
        <f t="shared" si="3"/>
        <v>J078</v>
      </c>
      <c r="D1918" s="19" t="str">
        <f t="array" ref="D1918">XLOOKUP(A1918,Data!F:F,Data!C:C)</f>
        <v/>
      </c>
      <c r="E1918" s="19" t="str">
        <f t="array" ref="E1918">XLOOKUP(A1918,Data!F:F,Data!H:H)</f>
        <v>BW</v>
      </c>
      <c r="F1918" s="106" t="str">
        <f>SUMIFS(Data!J:J,Data!F:F,A1918)</f>
        <v>1</v>
      </c>
      <c r="G1918" s="106" t="str">
        <f>SUMIFS(Cast!C:C,CastElements,A1918)</f>
        <v>0</v>
      </c>
      <c r="H1918" s="106" t="str">
        <f t="shared" si="4"/>
        <v>1</v>
      </c>
      <c r="I1918" s="106" t="str">
        <f>SUMIFS(Del!C:C,Del!B:B,A1918)</f>
        <v>0</v>
      </c>
      <c r="J1918" s="106" t="str">
        <f t="shared" si="5"/>
        <v>1</v>
      </c>
      <c r="K1918" s="106" t="str">
        <f t="shared" si="6"/>
        <v>0</v>
      </c>
      <c r="L1918" s="106"/>
      <c r="M1918" s="106" t="str">
        <f>SUMIFS(Ere!C:C,Ere!B:B,A1918)</f>
        <v>0</v>
      </c>
      <c r="N1918" s="106" t="str">
        <f t="shared" si="7"/>
        <v>1</v>
      </c>
      <c r="O1918" s="107" t="str">
        <f t="array" ref="O1918">XLOOKUP(A1918,Data!F:F,Data!O:O)</f>
        <v>  0.47 </v>
      </c>
      <c r="P1918" s="107" t="str">
        <f t="shared" si="8"/>
        <v>  1.18 </v>
      </c>
      <c r="Q1918" s="27"/>
    </row>
    <row r="1919" ht="15.75" customHeight="1">
      <c r="A1919" s="105" t="s">
        <v>2163</v>
      </c>
      <c r="B1919" s="19" t="str">
        <f t="array" ref="B1919">XLOOKUP(A1919,Data!F:F,Data!G:G)</f>
        <v>J2B</v>
      </c>
      <c r="C1919" s="19" t="str">
        <f t="shared" si="3"/>
        <v>J078</v>
      </c>
      <c r="D1919" s="19" t="str">
        <f t="array" ref="D1919">XLOOKUP(A1919,Data!F:F,Data!C:C)</f>
        <v/>
      </c>
      <c r="E1919" s="19" t="str">
        <f t="array" ref="E1919">XLOOKUP(A1919,Data!F:F,Data!H:H)</f>
        <v>CF</v>
      </c>
      <c r="F1919" s="106" t="str">
        <f>SUMIFS(Data!J:J,Data!F:F,A1919)</f>
        <v>1</v>
      </c>
      <c r="G1919" s="106" t="str">
        <f>SUMIFS(Cast!C:C,CastElements,A1919)</f>
        <v>0</v>
      </c>
      <c r="H1919" s="106" t="str">
        <f t="shared" si="4"/>
        <v>1</v>
      </c>
      <c r="I1919" s="106" t="str">
        <f>SUMIFS(Del!C:C,Del!B:B,A1919)</f>
        <v>0</v>
      </c>
      <c r="J1919" s="106" t="str">
        <f t="shared" si="5"/>
        <v>1</v>
      </c>
      <c r="K1919" s="106" t="str">
        <f t="shared" si="6"/>
        <v>0</v>
      </c>
      <c r="L1919" s="106"/>
      <c r="M1919" s="106" t="str">
        <f>SUMIFS(Ere!C:C,Ere!B:B,A1919)</f>
        <v>0</v>
      </c>
      <c r="N1919" s="106" t="str">
        <f t="shared" si="7"/>
        <v>1</v>
      </c>
      <c r="O1919" s="107" t="str">
        <f t="array" ref="O1919">XLOOKUP(A1919,Data!F:F,Data!O:O)</f>
        <v/>
      </c>
      <c r="P1919" s="107" t="str">
        <f t="shared" si="8"/>
        <v>  -   </v>
      </c>
      <c r="Q1919" s="27"/>
    </row>
    <row r="1920" ht="15.75" customHeight="1">
      <c r="A1920" s="105" t="s">
        <v>2164</v>
      </c>
      <c r="B1920" s="19" t="str">
        <f t="array" ref="B1920">XLOOKUP(A1920,Data!F:F,Data!G:G)</f>
        <v>J2B</v>
      </c>
      <c r="C1920" s="19" t="str">
        <f t="shared" si="3"/>
        <v>J079</v>
      </c>
      <c r="D1920" s="19" t="str">
        <f t="array" ref="D1920">XLOOKUP(A1920,Data!F:F,Data!C:C)</f>
        <v>EXT</v>
      </c>
      <c r="E1920" s="19" t="str">
        <f t="array" ref="E1920">XLOOKUP(A1920,Data!F:F,Data!H:H)</f>
        <v>BW</v>
      </c>
      <c r="F1920" s="106" t="str">
        <f>SUMIFS(Data!J:J,Data!F:F,A1920)</f>
        <v>1</v>
      </c>
      <c r="G1920" s="106" t="str">
        <f>SUMIFS(Cast!C:C,CastElements,A1920)</f>
        <v>0</v>
      </c>
      <c r="H1920" s="106" t="str">
        <f t="shared" si="4"/>
        <v>1</v>
      </c>
      <c r="I1920" s="106" t="str">
        <f>SUMIFS(Del!C:C,Del!B:B,A1920)</f>
        <v>0</v>
      </c>
      <c r="J1920" s="106" t="str">
        <f t="shared" si="5"/>
        <v>1</v>
      </c>
      <c r="K1920" s="106" t="str">
        <f t="shared" si="6"/>
        <v>0</v>
      </c>
      <c r="L1920" s="106"/>
      <c r="M1920" s="106" t="str">
        <f>SUMIFS(Ere!C:C,Ere!B:B,A1920)</f>
        <v>0</v>
      </c>
      <c r="N1920" s="106" t="str">
        <f t="shared" si="7"/>
        <v>1</v>
      </c>
      <c r="O1920" s="107" t="str">
        <f t="array" ref="O1920">XLOOKUP(A1920,Data!F:F,Data!O:O)</f>
        <v>  1.03 </v>
      </c>
      <c r="P1920" s="107" t="str">
        <f t="shared" si="8"/>
        <v>  2.58 </v>
      </c>
      <c r="Q1920" s="27"/>
    </row>
    <row r="1921" ht="15.75" customHeight="1">
      <c r="A1921" s="105" t="s">
        <v>2165</v>
      </c>
      <c r="B1921" s="19" t="str">
        <f t="array" ref="B1921">XLOOKUP(A1921,Data!F:F,Data!G:G)</f>
        <v>J2B</v>
      </c>
      <c r="C1921" s="19" t="str">
        <f t="shared" si="3"/>
        <v>J079</v>
      </c>
      <c r="D1921" s="19" t="str">
        <f t="array" ref="D1921">XLOOKUP(A1921,Data!F:F,Data!C:C)</f>
        <v>EXT</v>
      </c>
      <c r="E1921" s="19" t="str">
        <f t="array" ref="E1921">XLOOKUP(A1921,Data!F:F,Data!H:H)</f>
        <v>BW</v>
      </c>
      <c r="F1921" s="106" t="str">
        <f>SUMIFS(Data!J:J,Data!F:F,A1921)</f>
        <v>1</v>
      </c>
      <c r="G1921" s="106" t="str">
        <f>SUMIFS(Cast!C:C,CastElements,A1921)</f>
        <v>0</v>
      </c>
      <c r="H1921" s="106" t="str">
        <f t="shared" si="4"/>
        <v>1</v>
      </c>
      <c r="I1921" s="106" t="str">
        <f>SUMIFS(Del!C:C,Del!B:B,A1921)</f>
        <v>0</v>
      </c>
      <c r="J1921" s="106" t="str">
        <f t="shared" si="5"/>
        <v>1</v>
      </c>
      <c r="K1921" s="106" t="str">
        <f t="shared" si="6"/>
        <v>0</v>
      </c>
      <c r="L1921" s="106"/>
      <c r="M1921" s="106" t="str">
        <f>SUMIFS(Ere!C:C,Ere!B:B,A1921)</f>
        <v>0</v>
      </c>
      <c r="N1921" s="106" t="str">
        <f t="shared" si="7"/>
        <v>1</v>
      </c>
      <c r="O1921" s="107" t="str">
        <f t="array" ref="O1921">XLOOKUP(A1921,Data!F:F,Data!O:O)</f>
        <v>  1.03 </v>
      </c>
      <c r="P1921" s="107" t="str">
        <f t="shared" si="8"/>
        <v>  2.58 </v>
      </c>
      <c r="Q1921" s="27"/>
    </row>
    <row r="1922" ht="15.75" customHeight="1">
      <c r="A1922" s="105" t="s">
        <v>2166</v>
      </c>
      <c r="B1922" s="19" t="str">
        <f t="array" ref="B1922">XLOOKUP(A1922,Data!F:F,Data!G:G)</f>
        <v>J2B</v>
      </c>
      <c r="C1922" s="19" t="str">
        <f t="shared" si="3"/>
        <v>J079</v>
      </c>
      <c r="D1922" s="19" t="str">
        <f t="array" ref="D1922">XLOOKUP(A1922,Data!F:F,Data!C:C)</f>
        <v>EXT</v>
      </c>
      <c r="E1922" s="19" t="str">
        <f t="array" ref="E1922">XLOOKUP(A1922,Data!F:F,Data!H:H)</f>
        <v>BW</v>
      </c>
      <c r="F1922" s="106" t="str">
        <f>SUMIFS(Data!J:J,Data!F:F,A1922)</f>
        <v>1</v>
      </c>
      <c r="G1922" s="106" t="str">
        <f>SUMIFS(Cast!C:C,CastElements,A1922)</f>
        <v>0</v>
      </c>
      <c r="H1922" s="106" t="str">
        <f t="shared" si="4"/>
        <v>1</v>
      </c>
      <c r="I1922" s="106" t="str">
        <f>SUMIFS(Del!C:C,Del!B:B,A1922)</f>
        <v>0</v>
      </c>
      <c r="J1922" s="106" t="str">
        <f t="shared" si="5"/>
        <v>1</v>
      </c>
      <c r="K1922" s="106" t="str">
        <f t="shared" si="6"/>
        <v>0</v>
      </c>
      <c r="L1922" s="106"/>
      <c r="M1922" s="106" t="str">
        <f>SUMIFS(Ere!C:C,Ere!B:B,A1922)</f>
        <v>0</v>
      </c>
      <c r="N1922" s="106" t="str">
        <f t="shared" si="7"/>
        <v>1</v>
      </c>
      <c r="O1922" s="107" t="str">
        <f t="array" ref="O1922">XLOOKUP(A1922,Data!F:F,Data!O:O)</f>
        <v>  1.22 </v>
      </c>
      <c r="P1922" s="107" t="str">
        <f t="shared" si="8"/>
        <v>  3.04 </v>
      </c>
      <c r="Q1922" s="27"/>
    </row>
    <row r="1923" ht="15.75" customHeight="1">
      <c r="A1923" s="105" t="s">
        <v>2167</v>
      </c>
      <c r="B1923" s="19" t="str">
        <f t="array" ref="B1923">XLOOKUP(A1923,Data!F:F,Data!G:G)</f>
        <v>J2B</v>
      </c>
      <c r="C1923" s="19" t="str">
        <f t="shared" si="3"/>
        <v>J079</v>
      </c>
      <c r="D1923" s="19" t="str">
        <f t="array" ref="D1923">XLOOKUP(A1923,Data!F:F,Data!C:C)</f>
        <v>EXT</v>
      </c>
      <c r="E1923" s="19" t="str">
        <f t="array" ref="E1923">XLOOKUP(A1923,Data!F:F,Data!H:H)</f>
        <v>BW</v>
      </c>
      <c r="F1923" s="106" t="str">
        <f>SUMIFS(Data!J:J,Data!F:F,A1923)</f>
        <v>1</v>
      </c>
      <c r="G1923" s="106" t="str">
        <f>SUMIFS(Cast!C:C,CastElements,A1923)</f>
        <v>0</v>
      </c>
      <c r="H1923" s="106" t="str">
        <f t="shared" si="4"/>
        <v>1</v>
      </c>
      <c r="I1923" s="106" t="str">
        <f>SUMIFS(Del!C:C,Del!B:B,A1923)</f>
        <v>0</v>
      </c>
      <c r="J1923" s="106" t="str">
        <f t="shared" si="5"/>
        <v>1</v>
      </c>
      <c r="K1923" s="106" t="str">
        <f t="shared" si="6"/>
        <v>0</v>
      </c>
      <c r="L1923" s="106"/>
      <c r="M1923" s="106" t="str">
        <f>SUMIFS(Ere!C:C,Ere!B:B,A1923)</f>
        <v>0</v>
      </c>
      <c r="N1923" s="106" t="str">
        <f t="shared" si="7"/>
        <v>1</v>
      </c>
      <c r="O1923" s="107" t="str">
        <f t="array" ref="O1923">XLOOKUP(A1923,Data!F:F,Data!O:O)</f>
        <v>  1.22 </v>
      </c>
      <c r="P1923" s="107" t="str">
        <f t="shared" si="8"/>
        <v>  3.04 </v>
      </c>
      <c r="Q1923" s="27"/>
    </row>
    <row r="1924" ht="15.75" customHeight="1">
      <c r="A1924" s="105" t="s">
        <v>2168</v>
      </c>
      <c r="B1924" s="19" t="str">
        <f t="array" ref="B1924">XLOOKUP(A1924,Data!F:F,Data!G:G)</f>
        <v>J2B</v>
      </c>
      <c r="C1924" s="19" t="str">
        <f t="shared" si="3"/>
        <v>J079</v>
      </c>
      <c r="D1924" s="19" t="str">
        <f t="array" ref="D1924">XLOOKUP(A1924,Data!F:F,Data!C:C)</f>
        <v/>
      </c>
      <c r="E1924" s="19" t="str">
        <f t="array" ref="E1924">XLOOKUP(A1924,Data!F:F,Data!H:H)</f>
        <v>BW</v>
      </c>
      <c r="F1924" s="106" t="str">
        <f>SUMIFS(Data!J:J,Data!F:F,A1924)</f>
        <v>1</v>
      </c>
      <c r="G1924" s="106" t="str">
        <f>SUMIFS(Cast!C:C,CastElements,A1924)</f>
        <v>0</v>
      </c>
      <c r="H1924" s="106" t="str">
        <f t="shared" si="4"/>
        <v>1</v>
      </c>
      <c r="I1924" s="106" t="str">
        <f>SUMIFS(Del!C:C,Del!B:B,A1924)</f>
        <v>0</v>
      </c>
      <c r="J1924" s="106" t="str">
        <f t="shared" si="5"/>
        <v>1</v>
      </c>
      <c r="K1924" s="106" t="str">
        <f t="shared" si="6"/>
        <v>0</v>
      </c>
      <c r="L1924" s="106"/>
      <c r="M1924" s="106" t="str">
        <f>SUMIFS(Ere!C:C,Ere!B:B,A1924)</f>
        <v>0</v>
      </c>
      <c r="N1924" s="106" t="str">
        <f t="shared" si="7"/>
        <v>1</v>
      </c>
      <c r="O1924" s="107" t="str">
        <f t="array" ref="O1924">XLOOKUP(A1924,Data!F:F,Data!O:O)</f>
        <v>  2.21 </v>
      </c>
      <c r="P1924" s="107" t="str">
        <f t="shared" si="8"/>
        <v>  5.53 </v>
      </c>
      <c r="Q1924" s="27"/>
    </row>
    <row r="1925" ht="15.75" customHeight="1">
      <c r="A1925" s="105" t="s">
        <v>2169</v>
      </c>
      <c r="B1925" s="19" t="str">
        <f t="array" ref="B1925">XLOOKUP(A1925,Data!F:F,Data!G:G)</f>
        <v>J2B</v>
      </c>
      <c r="C1925" s="19" t="str">
        <f t="shared" si="3"/>
        <v>J079</v>
      </c>
      <c r="D1925" s="19" t="str">
        <f t="array" ref="D1925">XLOOKUP(A1925,Data!F:F,Data!C:C)</f>
        <v/>
      </c>
      <c r="E1925" s="19" t="str">
        <f t="array" ref="E1925">XLOOKUP(A1925,Data!F:F,Data!H:H)</f>
        <v>BW</v>
      </c>
      <c r="F1925" s="106" t="str">
        <f>SUMIFS(Data!J:J,Data!F:F,A1925)</f>
        <v>1</v>
      </c>
      <c r="G1925" s="106" t="str">
        <f>SUMIFS(Cast!C:C,CastElements,A1925)</f>
        <v>0</v>
      </c>
      <c r="H1925" s="106" t="str">
        <f t="shared" si="4"/>
        <v>1</v>
      </c>
      <c r="I1925" s="106" t="str">
        <f>SUMIFS(Del!C:C,Del!B:B,A1925)</f>
        <v>0</v>
      </c>
      <c r="J1925" s="106" t="str">
        <f t="shared" si="5"/>
        <v>1</v>
      </c>
      <c r="K1925" s="106" t="str">
        <f t="shared" si="6"/>
        <v>0</v>
      </c>
      <c r="L1925" s="106"/>
      <c r="M1925" s="106" t="str">
        <f>SUMIFS(Ere!C:C,Ere!B:B,A1925)</f>
        <v>0</v>
      </c>
      <c r="N1925" s="106" t="str">
        <f t="shared" si="7"/>
        <v>1</v>
      </c>
      <c r="O1925" s="107" t="str">
        <f t="array" ref="O1925">XLOOKUP(A1925,Data!F:F,Data!O:O)</f>
        <v>  2.41 </v>
      </c>
      <c r="P1925" s="107" t="str">
        <f t="shared" si="8"/>
        <v>  6.03 </v>
      </c>
      <c r="Q1925" s="27"/>
    </row>
    <row r="1926" ht="15.75" customHeight="1">
      <c r="A1926" s="105" t="s">
        <v>2170</v>
      </c>
      <c r="B1926" s="19" t="str">
        <f t="array" ref="B1926">XLOOKUP(A1926,Data!F:F,Data!G:G)</f>
        <v>J2B</v>
      </c>
      <c r="C1926" s="19" t="str">
        <f t="shared" si="3"/>
        <v>J079</v>
      </c>
      <c r="D1926" s="19" t="str">
        <f t="array" ref="D1926">XLOOKUP(A1926,Data!F:F,Data!C:C)</f>
        <v/>
      </c>
      <c r="E1926" s="19" t="str">
        <f t="array" ref="E1926">XLOOKUP(A1926,Data!F:F,Data!H:H)</f>
        <v>BW</v>
      </c>
      <c r="F1926" s="106" t="str">
        <f>SUMIFS(Data!J:J,Data!F:F,A1926)</f>
        <v>1</v>
      </c>
      <c r="G1926" s="106" t="str">
        <f>SUMIFS(Cast!C:C,CastElements,A1926)</f>
        <v>0</v>
      </c>
      <c r="H1926" s="106" t="str">
        <f t="shared" si="4"/>
        <v>1</v>
      </c>
      <c r="I1926" s="106" t="str">
        <f>SUMIFS(Del!C:C,Del!B:B,A1926)</f>
        <v>0</v>
      </c>
      <c r="J1926" s="106" t="str">
        <f t="shared" si="5"/>
        <v>1</v>
      </c>
      <c r="K1926" s="106" t="str">
        <f t="shared" si="6"/>
        <v>0</v>
      </c>
      <c r="L1926" s="106"/>
      <c r="M1926" s="106" t="str">
        <f>SUMIFS(Ere!C:C,Ere!B:B,A1926)</f>
        <v>0</v>
      </c>
      <c r="N1926" s="106" t="str">
        <f t="shared" si="7"/>
        <v>1</v>
      </c>
      <c r="O1926" s="107" t="str">
        <f t="array" ref="O1926">XLOOKUP(A1926,Data!F:F,Data!O:O)</f>
        <v>  1.75 </v>
      </c>
      <c r="P1926" s="107" t="str">
        <f t="shared" si="8"/>
        <v>  4.37 </v>
      </c>
      <c r="Q1926" s="27"/>
    </row>
    <row r="1927" ht="15.75" customHeight="1">
      <c r="A1927" s="105" t="s">
        <v>2171</v>
      </c>
      <c r="B1927" s="19" t="str">
        <f t="array" ref="B1927">XLOOKUP(A1927,Data!F:F,Data!G:G)</f>
        <v>J2B</v>
      </c>
      <c r="C1927" s="19" t="str">
        <f t="shared" si="3"/>
        <v>J079</v>
      </c>
      <c r="D1927" s="19" t="str">
        <f t="array" ref="D1927">XLOOKUP(A1927,Data!F:F,Data!C:C)</f>
        <v>EXT</v>
      </c>
      <c r="E1927" s="19" t="str">
        <f t="array" ref="E1927">XLOOKUP(A1927,Data!F:F,Data!H:H)</f>
        <v>BW</v>
      </c>
      <c r="F1927" s="106" t="str">
        <f>SUMIFS(Data!J:J,Data!F:F,A1927)</f>
        <v>1</v>
      </c>
      <c r="G1927" s="106" t="str">
        <f>SUMIFS(Cast!C:C,CastElements,A1927)</f>
        <v>0</v>
      </c>
      <c r="H1927" s="106" t="str">
        <f t="shared" si="4"/>
        <v>1</v>
      </c>
      <c r="I1927" s="106" t="str">
        <f>SUMIFS(Del!C:C,Del!B:B,A1927)</f>
        <v>0</v>
      </c>
      <c r="J1927" s="106" t="str">
        <f t="shared" si="5"/>
        <v>1</v>
      </c>
      <c r="K1927" s="106" t="str">
        <f t="shared" si="6"/>
        <v>0</v>
      </c>
      <c r="L1927" s="106"/>
      <c r="M1927" s="106" t="str">
        <f>SUMIFS(Ere!C:C,Ere!B:B,A1927)</f>
        <v>0</v>
      </c>
      <c r="N1927" s="106" t="str">
        <f t="shared" si="7"/>
        <v>1</v>
      </c>
      <c r="O1927" s="107" t="str">
        <f t="array" ref="O1927">XLOOKUP(A1927,Data!F:F,Data!O:O)</f>
        <v>  0.96 </v>
      </c>
      <c r="P1927" s="107" t="str">
        <f t="shared" si="8"/>
        <v>  2.41 </v>
      </c>
      <c r="Q1927" s="27"/>
    </row>
    <row r="1928" ht="15.75" customHeight="1">
      <c r="A1928" s="105" t="s">
        <v>2172</v>
      </c>
      <c r="B1928" s="19" t="str">
        <f t="array" ref="B1928">XLOOKUP(A1928,Data!F:F,Data!G:G)</f>
        <v>J2B</v>
      </c>
      <c r="C1928" s="19" t="str">
        <f t="shared" si="3"/>
        <v>J079</v>
      </c>
      <c r="D1928" s="19" t="str">
        <f t="array" ref="D1928">XLOOKUP(A1928,Data!F:F,Data!C:C)</f>
        <v/>
      </c>
      <c r="E1928" s="19" t="str">
        <f t="array" ref="E1928">XLOOKUP(A1928,Data!F:F,Data!H:H)</f>
        <v>BW</v>
      </c>
      <c r="F1928" s="106" t="str">
        <f>SUMIFS(Data!J:J,Data!F:F,A1928)</f>
        <v>1</v>
      </c>
      <c r="G1928" s="106" t="str">
        <f>SUMIFS(Cast!C:C,CastElements,A1928)</f>
        <v>0</v>
      </c>
      <c r="H1928" s="106" t="str">
        <f t="shared" si="4"/>
        <v>1</v>
      </c>
      <c r="I1928" s="106" t="str">
        <f>SUMIFS(Del!C:C,Del!B:B,A1928)</f>
        <v>0</v>
      </c>
      <c r="J1928" s="106" t="str">
        <f t="shared" si="5"/>
        <v>1</v>
      </c>
      <c r="K1928" s="106" t="str">
        <f t="shared" si="6"/>
        <v>0</v>
      </c>
      <c r="L1928" s="106"/>
      <c r="M1928" s="106" t="str">
        <f>SUMIFS(Ere!C:C,Ere!B:B,A1928)</f>
        <v>0</v>
      </c>
      <c r="N1928" s="106" t="str">
        <f t="shared" si="7"/>
        <v>1</v>
      </c>
      <c r="O1928" s="107" t="str">
        <f t="array" ref="O1928">XLOOKUP(A1928,Data!F:F,Data!O:O)</f>
        <v>  1.73 </v>
      </c>
      <c r="P1928" s="107" t="str">
        <f t="shared" si="8"/>
        <v>  4.32 </v>
      </c>
      <c r="Q1928" s="27"/>
    </row>
    <row r="1929" ht="15.75" customHeight="1">
      <c r="A1929" s="105" t="s">
        <v>2173</v>
      </c>
      <c r="B1929" s="19" t="str">
        <f t="array" ref="B1929">XLOOKUP(A1929,Data!F:F,Data!G:G)</f>
        <v>J2B</v>
      </c>
      <c r="C1929" s="19" t="str">
        <f t="shared" si="3"/>
        <v>J079</v>
      </c>
      <c r="D1929" s="19" t="str">
        <f t="array" ref="D1929">XLOOKUP(A1929,Data!F:F,Data!C:C)</f>
        <v/>
      </c>
      <c r="E1929" s="19" t="str">
        <f t="array" ref="E1929">XLOOKUP(A1929,Data!F:F,Data!H:H)</f>
        <v>BW</v>
      </c>
      <c r="F1929" s="106" t="str">
        <f>SUMIFS(Data!J:J,Data!F:F,A1929)</f>
        <v>1</v>
      </c>
      <c r="G1929" s="106" t="str">
        <f>SUMIFS(Cast!C:C,CastElements,A1929)</f>
        <v>0</v>
      </c>
      <c r="H1929" s="106" t="str">
        <f t="shared" si="4"/>
        <v>1</v>
      </c>
      <c r="I1929" s="106" t="str">
        <f>SUMIFS(Del!C:C,Del!B:B,A1929)</f>
        <v>0</v>
      </c>
      <c r="J1929" s="106" t="str">
        <f t="shared" si="5"/>
        <v>1</v>
      </c>
      <c r="K1929" s="106" t="str">
        <f t="shared" si="6"/>
        <v>0</v>
      </c>
      <c r="L1929" s="106"/>
      <c r="M1929" s="106" t="str">
        <f>SUMIFS(Ere!C:C,Ere!B:B,A1929)</f>
        <v>0</v>
      </c>
      <c r="N1929" s="106" t="str">
        <f t="shared" si="7"/>
        <v>1</v>
      </c>
      <c r="O1929" s="107" t="str">
        <f t="array" ref="O1929">XLOOKUP(A1929,Data!F:F,Data!O:O)</f>
        <v>  1.71 </v>
      </c>
      <c r="P1929" s="107" t="str">
        <f t="shared" si="8"/>
        <v>  4.27 </v>
      </c>
      <c r="Q1929" s="27"/>
    </row>
    <row r="1930" ht="15.75" customHeight="1">
      <c r="A1930" s="105" t="s">
        <v>2174</v>
      </c>
      <c r="B1930" s="19" t="str">
        <f t="array" ref="B1930">XLOOKUP(A1930,Data!F:F,Data!G:G)</f>
        <v>J2B</v>
      </c>
      <c r="C1930" s="19" t="str">
        <f t="shared" si="3"/>
        <v>J079</v>
      </c>
      <c r="D1930" s="19" t="str">
        <f t="array" ref="D1930">XLOOKUP(A1930,Data!F:F,Data!C:C)</f>
        <v/>
      </c>
      <c r="E1930" s="19" t="str">
        <f t="array" ref="E1930">XLOOKUP(A1930,Data!F:F,Data!H:H)</f>
        <v>BW</v>
      </c>
      <c r="F1930" s="106" t="str">
        <f>SUMIFS(Data!J:J,Data!F:F,A1930)</f>
        <v>1</v>
      </c>
      <c r="G1930" s="106" t="str">
        <f>SUMIFS(Cast!C:C,CastElements,A1930)</f>
        <v>0</v>
      </c>
      <c r="H1930" s="106" t="str">
        <f t="shared" si="4"/>
        <v>1</v>
      </c>
      <c r="I1930" s="106" t="str">
        <f>SUMIFS(Del!C:C,Del!B:B,A1930)</f>
        <v>0</v>
      </c>
      <c r="J1930" s="106" t="str">
        <f t="shared" si="5"/>
        <v>1</v>
      </c>
      <c r="K1930" s="106" t="str">
        <f t="shared" si="6"/>
        <v>0</v>
      </c>
      <c r="L1930" s="106"/>
      <c r="M1930" s="106" t="str">
        <f>SUMIFS(Ere!C:C,Ere!B:B,A1930)</f>
        <v>0</v>
      </c>
      <c r="N1930" s="106" t="str">
        <f t="shared" si="7"/>
        <v>1</v>
      </c>
      <c r="O1930" s="107" t="str">
        <f t="array" ref="O1930">XLOOKUP(A1930,Data!F:F,Data!O:O)</f>
        <v>  1.25 </v>
      </c>
      <c r="P1930" s="107" t="str">
        <f t="shared" si="8"/>
        <v>  3.12 </v>
      </c>
      <c r="Q1930" s="27"/>
    </row>
    <row r="1931" ht="15.75" customHeight="1">
      <c r="A1931" s="105" t="s">
        <v>2175</v>
      </c>
      <c r="B1931" s="19" t="str">
        <f t="array" ref="B1931">XLOOKUP(A1931,Data!F:F,Data!G:G)</f>
        <v>J2B</v>
      </c>
      <c r="C1931" s="19" t="str">
        <f t="shared" si="3"/>
        <v>J079</v>
      </c>
      <c r="D1931" s="19" t="str">
        <f t="array" ref="D1931">XLOOKUP(A1931,Data!F:F,Data!C:C)</f>
        <v/>
      </c>
      <c r="E1931" s="19" t="str">
        <f t="array" ref="E1931">XLOOKUP(A1931,Data!F:F,Data!H:H)</f>
        <v>BW</v>
      </c>
      <c r="F1931" s="106" t="str">
        <f>SUMIFS(Data!J:J,Data!F:F,A1931)</f>
        <v>1</v>
      </c>
      <c r="G1931" s="106" t="str">
        <f>SUMIFS(Cast!C:C,CastElements,A1931)</f>
        <v>0</v>
      </c>
      <c r="H1931" s="106" t="str">
        <f t="shared" si="4"/>
        <v>1</v>
      </c>
      <c r="I1931" s="106" t="str">
        <f>SUMIFS(Del!C:C,Del!B:B,A1931)</f>
        <v>0</v>
      </c>
      <c r="J1931" s="106" t="str">
        <f t="shared" si="5"/>
        <v>1</v>
      </c>
      <c r="K1931" s="106" t="str">
        <f t="shared" si="6"/>
        <v>0</v>
      </c>
      <c r="L1931" s="106"/>
      <c r="M1931" s="106" t="str">
        <f>SUMIFS(Ere!C:C,Ere!B:B,A1931)</f>
        <v>0</v>
      </c>
      <c r="N1931" s="106" t="str">
        <f t="shared" si="7"/>
        <v>1</v>
      </c>
      <c r="O1931" s="107" t="str">
        <f t="array" ref="O1931">XLOOKUP(A1931,Data!F:F,Data!O:O)</f>
        <v>  1.57 </v>
      </c>
      <c r="P1931" s="107" t="str">
        <f t="shared" si="8"/>
        <v>  3.91 </v>
      </c>
      <c r="Q1931" s="27"/>
    </row>
    <row r="1932" ht="15.75" customHeight="1">
      <c r="A1932" s="105" t="s">
        <v>2176</v>
      </c>
      <c r="B1932" s="19" t="str">
        <f t="array" ref="B1932">XLOOKUP(A1932,Data!F:F,Data!G:G)</f>
        <v>J2B</v>
      </c>
      <c r="C1932" s="19" t="str">
        <f t="shared" si="3"/>
        <v>J079</v>
      </c>
      <c r="D1932" s="19" t="str">
        <f t="array" ref="D1932">XLOOKUP(A1932,Data!F:F,Data!C:C)</f>
        <v/>
      </c>
      <c r="E1932" s="19" t="str">
        <f t="array" ref="E1932">XLOOKUP(A1932,Data!F:F,Data!H:H)</f>
        <v>BW</v>
      </c>
      <c r="F1932" s="106" t="str">
        <f>SUMIFS(Data!J:J,Data!F:F,A1932)</f>
        <v>1</v>
      </c>
      <c r="G1932" s="106" t="str">
        <f>SUMIFS(Cast!C:C,CastElements,A1932)</f>
        <v>0</v>
      </c>
      <c r="H1932" s="106" t="str">
        <f t="shared" si="4"/>
        <v>1</v>
      </c>
      <c r="I1932" s="106" t="str">
        <f>SUMIFS(Del!C:C,Del!B:B,A1932)</f>
        <v>0</v>
      </c>
      <c r="J1932" s="106" t="str">
        <f t="shared" si="5"/>
        <v>1</v>
      </c>
      <c r="K1932" s="106" t="str">
        <f t="shared" si="6"/>
        <v>0</v>
      </c>
      <c r="L1932" s="106"/>
      <c r="M1932" s="106" t="str">
        <f>SUMIFS(Ere!C:C,Ere!B:B,A1932)</f>
        <v>0</v>
      </c>
      <c r="N1932" s="106" t="str">
        <f t="shared" si="7"/>
        <v>1</v>
      </c>
      <c r="O1932" s="107" t="str">
        <f t="array" ref="O1932">XLOOKUP(A1932,Data!F:F,Data!O:O)</f>
        <v>  1.57 </v>
      </c>
      <c r="P1932" s="107" t="str">
        <f t="shared" si="8"/>
        <v>  3.91 </v>
      </c>
      <c r="Q1932" s="27"/>
    </row>
    <row r="1933" ht="15.75" customHeight="1">
      <c r="A1933" s="105" t="s">
        <v>2177</v>
      </c>
      <c r="B1933" s="19" t="str">
        <f t="array" ref="B1933">XLOOKUP(A1933,Data!F:F,Data!G:G)</f>
        <v>J2B</v>
      </c>
      <c r="C1933" s="19" t="str">
        <f t="shared" si="3"/>
        <v>J079</v>
      </c>
      <c r="D1933" s="19" t="str">
        <f t="array" ref="D1933">XLOOKUP(A1933,Data!F:F,Data!C:C)</f>
        <v/>
      </c>
      <c r="E1933" s="19" t="str">
        <f t="array" ref="E1933">XLOOKUP(A1933,Data!F:F,Data!H:H)</f>
        <v>BW</v>
      </c>
      <c r="F1933" s="106" t="str">
        <f>SUMIFS(Data!J:J,Data!F:F,A1933)</f>
        <v>1</v>
      </c>
      <c r="G1933" s="106" t="str">
        <f>SUMIFS(Cast!C:C,CastElements,A1933)</f>
        <v>0</v>
      </c>
      <c r="H1933" s="106" t="str">
        <f t="shared" si="4"/>
        <v>1</v>
      </c>
      <c r="I1933" s="106" t="str">
        <f>SUMIFS(Del!C:C,Del!B:B,A1933)</f>
        <v>0</v>
      </c>
      <c r="J1933" s="106" t="str">
        <f t="shared" si="5"/>
        <v>1</v>
      </c>
      <c r="K1933" s="106" t="str">
        <f t="shared" si="6"/>
        <v>0</v>
      </c>
      <c r="L1933" s="106"/>
      <c r="M1933" s="106" t="str">
        <f>SUMIFS(Ere!C:C,Ere!B:B,A1933)</f>
        <v>0</v>
      </c>
      <c r="N1933" s="106" t="str">
        <f t="shared" si="7"/>
        <v>1</v>
      </c>
      <c r="O1933" s="107" t="str">
        <f t="array" ref="O1933">XLOOKUP(A1933,Data!F:F,Data!O:O)</f>
        <v>  1.57 </v>
      </c>
      <c r="P1933" s="107" t="str">
        <f t="shared" si="8"/>
        <v>  3.91 </v>
      </c>
      <c r="Q1933" s="27"/>
    </row>
    <row r="1934" ht="15.75" customHeight="1">
      <c r="A1934" s="105" t="s">
        <v>2178</v>
      </c>
      <c r="B1934" s="19" t="str">
        <f t="array" ref="B1934">XLOOKUP(A1934,Data!F:F,Data!G:G)</f>
        <v>J2B</v>
      </c>
      <c r="C1934" s="19" t="str">
        <f t="shared" si="3"/>
        <v>J079</v>
      </c>
      <c r="D1934" s="19" t="str">
        <f t="array" ref="D1934">XLOOKUP(A1934,Data!F:F,Data!C:C)</f>
        <v/>
      </c>
      <c r="E1934" s="19" t="str">
        <f t="array" ref="E1934">XLOOKUP(A1934,Data!F:F,Data!H:H)</f>
        <v>BW</v>
      </c>
      <c r="F1934" s="106" t="str">
        <f>SUMIFS(Data!J:J,Data!F:F,A1934)</f>
        <v>1</v>
      </c>
      <c r="G1934" s="106" t="str">
        <f>SUMIFS(Cast!C:C,CastElements,A1934)</f>
        <v>0</v>
      </c>
      <c r="H1934" s="106" t="str">
        <f t="shared" si="4"/>
        <v>1</v>
      </c>
      <c r="I1934" s="106" t="str">
        <f>SUMIFS(Del!C:C,Del!B:B,A1934)</f>
        <v>0</v>
      </c>
      <c r="J1934" s="106" t="str">
        <f t="shared" si="5"/>
        <v>1</v>
      </c>
      <c r="K1934" s="106" t="str">
        <f t="shared" si="6"/>
        <v>0</v>
      </c>
      <c r="L1934" s="106"/>
      <c r="M1934" s="106" t="str">
        <f>SUMIFS(Ere!C:C,Ere!B:B,A1934)</f>
        <v>0</v>
      </c>
      <c r="N1934" s="106" t="str">
        <f t="shared" si="7"/>
        <v>1</v>
      </c>
      <c r="O1934" s="107" t="str">
        <f t="array" ref="O1934">XLOOKUP(A1934,Data!F:F,Data!O:O)</f>
        <v>  2.00 </v>
      </c>
      <c r="P1934" s="107" t="str">
        <f t="shared" si="8"/>
        <v>  5.01 </v>
      </c>
      <c r="Q1934" s="27"/>
    </row>
    <row r="1935" ht="15.75" customHeight="1">
      <c r="A1935" s="105" t="s">
        <v>2179</v>
      </c>
      <c r="B1935" s="19" t="str">
        <f t="array" ref="B1935">XLOOKUP(A1935,Data!F:F,Data!G:G)</f>
        <v>J2B</v>
      </c>
      <c r="C1935" s="19" t="str">
        <f t="shared" si="3"/>
        <v>J079</v>
      </c>
      <c r="D1935" s="19" t="str">
        <f t="array" ref="D1935">XLOOKUP(A1935,Data!F:F,Data!C:C)</f>
        <v/>
      </c>
      <c r="E1935" s="19" t="str">
        <f t="array" ref="E1935">XLOOKUP(A1935,Data!F:F,Data!H:H)</f>
        <v>BW</v>
      </c>
      <c r="F1935" s="106" t="str">
        <f>SUMIFS(Data!J:J,Data!F:F,A1935)</f>
        <v>0</v>
      </c>
      <c r="G1935" s="106" t="str">
        <f>SUMIFS(Cast!C:C,CastElements,A1935)</f>
        <v>0</v>
      </c>
      <c r="H1935" s="106" t="str">
        <f t="shared" si="4"/>
        <v>0</v>
      </c>
      <c r="I1935" s="106" t="str">
        <f>SUMIFS(Del!C:C,Del!B:B,A1935)</f>
        <v>0</v>
      </c>
      <c r="J1935" s="106" t="str">
        <f t="shared" si="5"/>
        <v>0</v>
      </c>
      <c r="K1935" s="106" t="str">
        <f t="shared" si="6"/>
        <v>0</v>
      </c>
      <c r="L1935" s="106"/>
      <c r="M1935" s="106" t="str">
        <f>SUMIFS(Ere!C:C,Ere!B:B,A1935)</f>
        <v>0</v>
      </c>
      <c r="N1935" s="106" t="str">
        <f t="shared" si="7"/>
        <v>0</v>
      </c>
      <c r="O1935" s="107" t="str">
        <f t="array" ref="O1935">XLOOKUP(A1935,Data!F:F,Data!O:O)</f>
        <v>  2.23 </v>
      </c>
      <c r="P1935" s="107" t="str">
        <f t="shared" si="8"/>
        <v>  5.59 </v>
      </c>
      <c r="Q1935" s="27"/>
    </row>
    <row r="1936" ht="15.75" customHeight="1">
      <c r="A1936" s="105" t="s">
        <v>2180</v>
      </c>
      <c r="B1936" s="19" t="str">
        <f t="array" ref="B1936">XLOOKUP(A1936,Data!F:F,Data!G:G)</f>
        <v>J2B</v>
      </c>
      <c r="C1936" s="19" t="str">
        <f t="shared" si="3"/>
        <v>J079</v>
      </c>
      <c r="D1936" s="19" t="str">
        <f t="array" ref="D1936">XLOOKUP(A1936,Data!F:F,Data!C:C)</f>
        <v/>
      </c>
      <c r="E1936" s="19" t="str">
        <f t="array" ref="E1936">XLOOKUP(A1936,Data!F:F,Data!H:H)</f>
        <v>BW</v>
      </c>
      <c r="F1936" s="106" t="str">
        <f>SUMIFS(Data!J:J,Data!F:F,A1936)</f>
        <v>0</v>
      </c>
      <c r="G1936" s="106" t="str">
        <f>SUMIFS(Cast!C:C,CastElements,A1936)</f>
        <v>0</v>
      </c>
      <c r="H1936" s="106" t="str">
        <f t="shared" si="4"/>
        <v>0</v>
      </c>
      <c r="I1936" s="106" t="str">
        <f>SUMIFS(Del!C:C,Del!B:B,A1936)</f>
        <v>0</v>
      </c>
      <c r="J1936" s="106" t="str">
        <f t="shared" si="5"/>
        <v>0</v>
      </c>
      <c r="K1936" s="106" t="str">
        <f t="shared" si="6"/>
        <v>0</v>
      </c>
      <c r="L1936" s="106"/>
      <c r="M1936" s="106" t="str">
        <f>SUMIFS(Ere!C:C,Ere!B:B,A1936)</f>
        <v>0</v>
      </c>
      <c r="N1936" s="106" t="str">
        <f t="shared" si="7"/>
        <v>0</v>
      </c>
      <c r="O1936" s="107" t="str">
        <f t="array" ref="O1936">XLOOKUP(A1936,Data!F:F,Data!O:O)</f>
        <v>  0.45 </v>
      </c>
      <c r="P1936" s="107" t="str">
        <f t="shared" si="8"/>
        <v>  1.13 </v>
      </c>
      <c r="Q1936" s="27"/>
    </row>
    <row r="1937" ht="15.75" customHeight="1">
      <c r="A1937" s="105" t="s">
        <v>2181</v>
      </c>
      <c r="B1937" s="19" t="str">
        <f t="array" ref="B1937">XLOOKUP(A1937,Data!F:F,Data!G:G)</f>
        <v>J2B</v>
      </c>
      <c r="C1937" s="19" t="str">
        <f t="shared" si="3"/>
        <v>J079</v>
      </c>
      <c r="D1937" s="19" t="str">
        <f t="array" ref="D1937">XLOOKUP(A1937,Data!F:F,Data!C:C)</f>
        <v/>
      </c>
      <c r="E1937" s="19" t="str">
        <f t="array" ref="E1937">XLOOKUP(A1937,Data!F:F,Data!H:H)</f>
        <v>BW</v>
      </c>
      <c r="F1937" s="106" t="str">
        <f>SUMIFS(Data!J:J,Data!F:F,A1937)</f>
        <v>0</v>
      </c>
      <c r="G1937" s="106" t="str">
        <f>SUMIFS(Cast!C:C,CastElements,A1937)</f>
        <v>0</v>
      </c>
      <c r="H1937" s="106" t="str">
        <f t="shared" si="4"/>
        <v>0</v>
      </c>
      <c r="I1937" s="106" t="str">
        <f>SUMIFS(Del!C:C,Del!B:B,A1937)</f>
        <v>0</v>
      </c>
      <c r="J1937" s="106" t="str">
        <f t="shared" si="5"/>
        <v>0</v>
      </c>
      <c r="K1937" s="106" t="str">
        <f t="shared" si="6"/>
        <v>0</v>
      </c>
      <c r="L1937" s="106"/>
      <c r="M1937" s="106" t="str">
        <f>SUMIFS(Ere!C:C,Ere!B:B,A1937)</f>
        <v>0</v>
      </c>
      <c r="N1937" s="106" t="str">
        <f t="shared" si="7"/>
        <v>0</v>
      </c>
      <c r="O1937" s="107" t="str">
        <f t="array" ref="O1937">XLOOKUP(A1937,Data!F:F,Data!O:O)</f>
        <v>  0.45 </v>
      </c>
      <c r="P1937" s="107" t="str">
        <f t="shared" si="8"/>
        <v>  1.13 </v>
      </c>
      <c r="Q1937" s="27"/>
    </row>
    <row r="1938" ht="15.75" customHeight="1">
      <c r="A1938" s="105" t="s">
        <v>2182</v>
      </c>
      <c r="B1938" s="19" t="str">
        <f t="array" ref="B1938">XLOOKUP(A1938,Data!F:F,Data!G:G)</f>
        <v>J2B</v>
      </c>
      <c r="C1938" s="19" t="str">
        <f t="shared" si="3"/>
        <v>J079</v>
      </c>
      <c r="D1938" s="19" t="str">
        <f t="array" ref="D1938">XLOOKUP(A1938,Data!F:F,Data!C:C)</f>
        <v/>
      </c>
      <c r="E1938" s="19" t="str">
        <f t="array" ref="E1938">XLOOKUP(A1938,Data!F:F,Data!H:H)</f>
        <v>BW</v>
      </c>
      <c r="F1938" s="106" t="str">
        <f>SUMIFS(Data!J:J,Data!F:F,A1938)</f>
        <v>0</v>
      </c>
      <c r="G1938" s="106" t="str">
        <f>SUMIFS(Cast!C:C,CastElements,A1938)</f>
        <v>0</v>
      </c>
      <c r="H1938" s="106" t="str">
        <f t="shared" si="4"/>
        <v>0</v>
      </c>
      <c r="I1938" s="106" t="str">
        <f>SUMIFS(Del!C:C,Del!B:B,A1938)</f>
        <v>0</v>
      </c>
      <c r="J1938" s="106" t="str">
        <f t="shared" si="5"/>
        <v>0</v>
      </c>
      <c r="K1938" s="106" t="str">
        <f t="shared" si="6"/>
        <v>0</v>
      </c>
      <c r="L1938" s="106"/>
      <c r="M1938" s="106" t="str">
        <f>SUMIFS(Ere!C:C,Ere!B:B,A1938)</f>
        <v>0</v>
      </c>
      <c r="N1938" s="106" t="str">
        <f t="shared" si="7"/>
        <v>0</v>
      </c>
      <c r="O1938" s="107" t="str">
        <f t="array" ref="O1938">XLOOKUP(A1938,Data!F:F,Data!O:O)</f>
        <v>  0.36 </v>
      </c>
      <c r="P1938" s="107" t="str">
        <f t="shared" si="8"/>
        <v>  0.91 </v>
      </c>
      <c r="Q1938" s="27"/>
    </row>
    <row r="1939" ht="15.75" customHeight="1">
      <c r="A1939" s="105" t="s">
        <v>2183</v>
      </c>
      <c r="B1939" s="19" t="str">
        <f t="array" ref="B1939">XLOOKUP(A1939,Data!F:F,Data!G:G)</f>
        <v>J2B</v>
      </c>
      <c r="C1939" s="19" t="str">
        <f t="shared" si="3"/>
        <v>J079</v>
      </c>
      <c r="D1939" s="19" t="str">
        <f t="array" ref="D1939">XLOOKUP(A1939,Data!F:F,Data!C:C)</f>
        <v/>
      </c>
      <c r="E1939" s="19" t="str">
        <f t="array" ref="E1939">XLOOKUP(A1939,Data!F:F,Data!H:H)</f>
        <v>BW</v>
      </c>
      <c r="F1939" s="106" t="str">
        <f>SUMIFS(Data!J:J,Data!F:F,A1939)</f>
        <v>0</v>
      </c>
      <c r="G1939" s="106" t="str">
        <f>SUMIFS(Cast!C:C,CastElements,A1939)</f>
        <v>0</v>
      </c>
      <c r="H1939" s="106" t="str">
        <f t="shared" si="4"/>
        <v>0</v>
      </c>
      <c r="I1939" s="106" t="str">
        <f>SUMIFS(Del!C:C,Del!B:B,A1939)</f>
        <v>0</v>
      </c>
      <c r="J1939" s="106" t="str">
        <f t="shared" si="5"/>
        <v>0</v>
      </c>
      <c r="K1939" s="106" t="str">
        <f t="shared" si="6"/>
        <v>0</v>
      </c>
      <c r="L1939" s="106"/>
      <c r="M1939" s="106" t="str">
        <f>SUMIFS(Ere!C:C,Ere!B:B,A1939)</f>
        <v>0</v>
      </c>
      <c r="N1939" s="106" t="str">
        <f t="shared" si="7"/>
        <v>0</v>
      </c>
      <c r="O1939" s="107" t="str">
        <f t="array" ref="O1939">XLOOKUP(A1939,Data!F:F,Data!O:O)</f>
        <v>  0.50 </v>
      </c>
      <c r="P1939" s="107" t="str">
        <f t="shared" si="8"/>
        <v>  1.25 </v>
      </c>
      <c r="Q1939" s="27"/>
    </row>
    <row r="1940" ht="15.75" customHeight="1">
      <c r="A1940" s="105" t="s">
        <v>2184</v>
      </c>
      <c r="B1940" s="19" t="str">
        <f t="array" ref="B1940">XLOOKUP(A1940,Data!F:F,Data!G:G)</f>
        <v>J2B</v>
      </c>
      <c r="C1940" s="19" t="str">
        <f t="shared" si="3"/>
        <v>J079</v>
      </c>
      <c r="D1940" s="19" t="str">
        <f t="array" ref="D1940">XLOOKUP(A1940,Data!F:F,Data!C:C)</f>
        <v/>
      </c>
      <c r="E1940" s="19" t="str">
        <f t="array" ref="E1940">XLOOKUP(A1940,Data!F:F,Data!H:H)</f>
        <v>BW</v>
      </c>
      <c r="F1940" s="106" t="str">
        <f>SUMIFS(Data!J:J,Data!F:F,A1940)</f>
        <v>0</v>
      </c>
      <c r="G1940" s="106" t="str">
        <f>SUMIFS(Cast!C:C,CastElements,A1940)</f>
        <v>0</v>
      </c>
      <c r="H1940" s="106" t="str">
        <f t="shared" si="4"/>
        <v>0</v>
      </c>
      <c r="I1940" s="106" t="str">
        <f>SUMIFS(Del!C:C,Del!B:B,A1940)</f>
        <v>0</v>
      </c>
      <c r="J1940" s="106" t="str">
        <f t="shared" si="5"/>
        <v>0</v>
      </c>
      <c r="K1940" s="106" t="str">
        <f t="shared" si="6"/>
        <v>0</v>
      </c>
      <c r="L1940" s="106"/>
      <c r="M1940" s="106" t="str">
        <f>SUMIFS(Ere!C:C,Ere!B:B,A1940)</f>
        <v>0</v>
      </c>
      <c r="N1940" s="106" t="str">
        <f t="shared" si="7"/>
        <v>0</v>
      </c>
      <c r="O1940" s="107" t="str">
        <f t="array" ref="O1940">XLOOKUP(A1940,Data!F:F,Data!O:O)</f>
        <v>  0.50 </v>
      </c>
      <c r="P1940" s="107" t="str">
        <f t="shared" si="8"/>
        <v>  1.25 </v>
      </c>
      <c r="Q1940" s="27"/>
    </row>
    <row r="1941" ht="15.75" customHeight="1">
      <c r="A1941" s="105" t="s">
        <v>2185</v>
      </c>
      <c r="B1941" s="19" t="str">
        <f t="array" ref="B1941">XLOOKUP(A1941,Data!F:F,Data!G:G)</f>
        <v>J2B</v>
      </c>
      <c r="C1941" s="19" t="str">
        <f t="shared" si="3"/>
        <v>J079</v>
      </c>
      <c r="D1941" s="19" t="str">
        <f t="array" ref="D1941">XLOOKUP(A1941,Data!F:F,Data!C:C)</f>
        <v/>
      </c>
      <c r="E1941" s="19" t="str">
        <f t="array" ref="E1941">XLOOKUP(A1941,Data!F:F,Data!H:H)</f>
        <v>CF</v>
      </c>
      <c r="F1941" s="106" t="str">
        <f>SUMIFS(Data!J:J,Data!F:F,A1941)</f>
        <v>0</v>
      </c>
      <c r="G1941" s="106" t="str">
        <f>SUMIFS(Cast!C:C,CastElements,A1941)</f>
        <v>0</v>
      </c>
      <c r="H1941" s="106" t="str">
        <f t="shared" si="4"/>
        <v>0</v>
      </c>
      <c r="I1941" s="106" t="str">
        <f>SUMIFS(Del!C:C,Del!B:B,A1941)</f>
        <v>0</v>
      </c>
      <c r="J1941" s="106" t="str">
        <f t="shared" si="5"/>
        <v>0</v>
      </c>
      <c r="K1941" s="106" t="str">
        <f t="shared" si="6"/>
        <v>0</v>
      </c>
      <c r="L1941" s="106"/>
      <c r="M1941" s="106" t="str">
        <f>SUMIFS(Ere!C:C,Ere!B:B,A1941)</f>
        <v>0</v>
      </c>
      <c r="N1941" s="106" t="str">
        <f t="shared" si="7"/>
        <v>0</v>
      </c>
      <c r="O1941" s="107" t="str">
        <f t="array" ref="O1941">XLOOKUP(A1941,Data!F:F,Data!O:O)</f>
        <v>  0.48 </v>
      </c>
      <c r="P1941" s="107" t="str">
        <f t="shared" si="8"/>
        <v>  1.20 </v>
      </c>
      <c r="Q1941" s="27"/>
    </row>
    <row r="1942" ht="15.75" customHeight="1">
      <c r="A1942" s="105" t="s">
        <v>2186</v>
      </c>
      <c r="B1942" s="19" t="str">
        <f t="array" ref="B1942">XLOOKUP(A1942,Data!F:F,Data!G:G)</f>
        <v>J2B</v>
      </c>
      <c r="C1942" s="19" t="str">
        <f t="shared" si="3"/>
        <v>J080</v>
      </c>
      <c r="D1942" s="19" t="str">
        <f t="array" ref="D1942">XLOOKUP(A1942,Data!F:F,Data!C:C)</f>
        <v>EXT</v>
      </c>
      <c r="E1942" s="19" t="str">
        <f t="array" ref="E1942">XLOOKUP(A1942,Data!F:F,Data!H:H)</f>
        <v>BW</v>
      </c>
      <c r="F1942" s="106" t="str">
        <f>SUMIFS(Data!J:J,Data!F:F,A1942)</f>
        <v>0</v>
      </c>
      <c r="G1942" s="106" t="str">
        <f>SUMIFS(Cast!C:C,CastElements,A1942)</f>
        <v>1</v>
      </c>
      <c r="H1942" s="106" t="str">
        <f t="shared" si="4"/>
        <v>-1</v>
      </c>
      <c r="I1942" s="106" t="str">
        <f>SUMIFS(Del!C:C,Del!B:B,A1942)</f>
        <v>0</v>
      </c>
      <c r="J1942" s="106" t="str">
        <f t="shared" si="5"/>
        <v>0</v>
      </c>
      <c r="K1942" s="106" t="str">
        <f t="shared" si="6"/>
        <v>1</v>
      </c>
      <c r="L1942" s="106"/>
      <c r="M1942" s="106" t="str">
        <f>SUMIFS(Ere!C:C,Ere!B:B,A1942)</f>
        <v>0</v>
      </c>
      <c r="N1942" s="106" t="str">
        <f t="shared" si="7"/>
        <v>0</v>
      </c>
      <c r="O1942" s="107" t="str">
        <f t="array" ref="O1942">XLOOKUP(A1942,Data!F:F,Data!O:O)</f>
        <v>  0.80 </v>
      </c>
      <c r="P1942" s="107" t="str">
        <f t="shared" si="8"/>
        <v>  2.00 </v>
      </c>
      <c r="Q1942" s="27"/>
    </row>
    <row r="1943" ht="15.75" customHeight="1">
      <c r="A1943" s="105" t="s">
        <v>2187</v>
      </c>
      <c r="B1943" s="19" t="str">
        <f t="array" ref="B1943">XLOOKUP(A1943,Data!F:F,Data!G:G)</f>
        <v>J2B</v>
      </c>
      <c r="C1943" s="19" t="str">
        <f t="shared" si="3"/>
        <v>J080</v>
      </c>
      <c r="D1943" s="19" t="str">
        <f t="array" ref="D1943">XLOOKUP(A1943,Data!F:F,Data!C:C)</f>
        <v>EXT</v>
      </c>
      <c r="E1943" s="19" t="str">
        <f t="array" ref="E1943">XLOOKUP(A1943,Data!F:F,Data!H:H)</f>
        <v>BW</v>
      </c>
      <c r="F1943" s="106" t="str">
        <f>SUMIFS(Data!J:J,Data!F:F,A1943)</f>
        <v>1</v>
      </c>
      <c r="G1943" s="106" t="str">
        <f>SUMIFS(Cast!C:C,CastElements,A1943)</f>
        <v>0</v>
      </c>
      <c r="H1943" s="106" t="str">
        <f t="shared" si="4"/>
        <v>1</v>
      </c>
      <c r="I1943" s="106" t="str">
        <f>SUMIFS(Del!C:C,Del!B:B,A1943)</f>
        <v>0</v>
      </c>
      <c r="J1943" s="106" t="str">
        <f t="shared" si="5"/>
        <v>1</v>
      </c>
      <c r="K1943" s="106" t="str">
        <f t="shared" si="6"/>
        <v>0</v>
      </c>
      <c r="L1943" s="106"/>
      <c r="M1943" s="106" t="str">
        <f>SUMIFS(Ere!C:C,Ere!B:B,A1943)</f>
        <v>0</v>
      </c>
      <c r="N1943" s="106" t="str">
        <f t="shared" si="7"/>
        <v>1</v>
      </c>
      <c r="O1943" s="107" t="str">
        <f t="array" ref="O1943">XLOOKUP(A1943,Data!F:F,Data!O:O)</f>
        <v>  0.51 </v>
      </c>
      <c r="P1943" s="107" t="str">
        <f t="shared" si="8"/>
        <v>  1.28 </v>
      </c>
      <c r="Q1943" s="27"/>
    </row>
    <row r="1944" ht="15.75" customHeight="1">
      <c r="A1944" s="105" t="s">
        <v>2188</v>
      </c>
      <c r="B1944" s="19" t="str">
        <f t="array" ref="B1944">XLOOKUP(A1944,Data!F:F,Data!G:G)</f>
        <v>J2B</v>
      </c>
      <c r="C1944" s="19" t="str">
        <f t="shared" si="3"/>
        <v>J080</v>
      </c>
      <c r="D1944" s="19" t="str">
        <f t="array" ref="D1944">XLOOKUP(A1944,Data!F:F,Data!C:C)</f>
        <v>EXT</v>
      </c>
      <c r="E1944" s="19" t="str">
        <f t="array" ref="E1944">XLOOKUP(A1944,Data!F:F,Data!H:H)</f>
        <v>BW</v>
      </c>
      <c r="F1944" s="106" t="str">
        <f>SUMIFS(Data!J:J,Data!F:F,A1944)</f>
        <v>1</v>
      </c>
      <c r="G1944" s="106" t="str">
        <f>SUMIFS(Cast!C:C,CastElements,A1944)</f>
        <v>0</v>
      </c>
      <c r="H1944" s="106" t="str">
        <f t="shared" si="4"/>
        <v>1</v>
      </c>
      <c r="I1944" s="106" t="str">
        <f>SUMIFS(Del!C:C,Del!B:B,A1944)</f>
        <v>0</v>
      </c>
      <c r="J1944" s="106" t="str">
        <f t="shared" si="5"/>
        <v>1</v>
      </c>
      <c r="K1944" s="106" t="str">
        <f t="shared" si="6"/>
        <v>0</v>
      </c>
      <c r="L1944" s="106"/>
      <c r="M1944" s="106" t="str">
        <f>SUMIFS(Ere!C:C,Ere!B:B,A1944)</f>
        <v>0</v>
      </c>
      <c r="N1944" s="106" t="str">
        <f t="shared" si="7"/>
        <v>1</v>
      </c>
      <c r="O1944" s="107" t="str">
        <f t="array" ref="O1944">XLOOKUP(A1944,Data!F:F,Data!O:O)</f>
        <v>  0.51 </v>
      </c>
      <c r="P1944" s="107" t="str">
        <f t="shared" si="8"/>
        <v>  1.28 </v>
      </c>
      <c r="Q1944" s="27"/>
    </row>
    <row r="1945" ht="15.75" customHeight="1">
      <c r="A1945" s="105" t="s">
        <v>2189</v>
      </c>
      <c r="B1945" s="19" t="str">
        <f t="array" ref="B1945">XLOOKUP(A1945,Data!F:F,Data!G:G)</f>
        <v>J2B</v>
      </c>
      <c r="C1945" s="19" t="str">
        <f t="shared" si="3"/>
        <v>J080</v>
      </c>
      <c r="D1945" s="19" t="str">
        <f t="array" ref="D1945">XLOOKUP(A1945,Data!F:F,Data!C:C)</f>
        <v>EXT</v>
      </c>
      <c r="E1945" s="19" t="str">
        <f t="array" ref="E1945">XLOOKUP(A1945,Data!F:F,Data!H:H)</f>
        <v>BW</v>
      </c>
      <c r="F1945" s="106" t="str">
        <f>SUMIFS(Data!J:J,Data!F:F,A1945)</f>
        <v>1</v>
      </c>
      <c r="G1945" s="106" t="str">
        <f>SUMIFS(Cast!C:C,CastElements,A1945)</f>
        <v>0</v>
      </c>
      <c r="H1945" s="106" t="str">
        <f t="shared" si="4"/>
        <v>1</v>
      </c>
      <c r="I1945" s="106" t="str">
        <f>SUMIFS(Del!C:C,Del!B:B,A1945)</f>
        <v>0</v>
      </c>
      <c r="J1945" s="106" t="str">
        <f t="shared" si="5"/>
        <v>1</v>
      </c>
      <c r="K1945" s="106" t="str">
        <f t="shared" si="6"/>
        <v>0</v>
      </c>
      <c r="L1945" s="106"/>
      <c r="M1945" s="106" t="str">
        <f>SUMIFS(Ere!C:C,Ere!B:B,A1945)</f>
        <v>0</v>
      </c>
      <c r="N1945" s="106" t="str">
        <f t="shared" si="7"/>
        <v>1</v>
      </c>
      <c r="O1945" s="107" t="str">
        <f t="array" ref="O1945">XLOOKUP(A1945,Data!F:F,Data!O:O)</f>
        <v>  0.51 </v>
      </c>
      <c r="P1945" s="107" t="str">
        <f t="shared" si="8"/>
        <v>  1.28 </v>
      </c>
      <c r="Q1945" s="27"/>
    </row>
    <row r="1946" ht="15.75" customHeight="1">
      <c r="A1946" s="105" t="s">
        <v>2190</v>
      </c>
      <c r="B1946" s="19" t="str">
        <f t="array" ref="B1946">XLOOKUP(A1946,Data!F:F,Data!G:G)</f>
        <v>J2B</v>
      </c>
      <c r="C1946" s="19" t="str">
        <f t="shared" si="3"/>
        <v>J080</v>
      </c>
      <c r="D1946" s="19" t="str">
        <f t="array" ref="D1946">XLOOKUP(A1946,Data!F:F,Data!C:C)</f>
        <v>EXT</v>
      </c>
      <c r="E1946" s="19" t="str">
        <f t="array" ref="E1946">XLOOKUP(A1946,Data!F:F,Data!H:H)</f>
        <v>BW</v>
      </c>
      <c r="F1946" s="106" t="str">
        <f>SUMIFS(Data!J:J,Data!F:F,A1946)</f>
        <v>1</v>
      </c>
      <c r="G1946" s="106" t="str">
        <f>SUMIFS(Cast!C:C,CastElements,A1946)</f>
        <v>0</v>
      </c>
      <c r="H1946" s="106" t="str">
        <f t="shared" si="4"/>
        <v>1</v>
      </c>
      <c r="I1946" s="106" t="str">
        <f>SUMIFS(Del!C:C,Del!B:B,A1946)</f>
        <v>0</v>
      </c>
      <c r="J1946" s="106" t="str">
        <f t="shared" si="5"/>
        <v>1</v>
      </c>
      <c r="K1946" s="106" t="str">
        <f t="shared" si="6"/>
        <v>0</v>
      </c>
      <c r="L1946" s="106"/>
      <c r="M1946" s="106" t="str">
        <f>SUMIFS(Ere!C:C,Ere!B:B,A1946)</f>
        <v>0</v>
      </c>
      <c r="N1946" s="106" t="str">
        <f t="shared" si="7"/>
        <v>1</v>
      </c>
      <c r="O1946" s="107" t="str">
        <f t="array" ref="O1946">XLOOKUP(A1946,Data!F:F,Data!O:O)</f>
        <v>  0.85 </v>
      </c>
      <c r="P1946" s="107" t="str">
        <f t="shared" si="8"/>
        <v>  2.14 </v>
      </c>
      <c r="Q1946" s="27"/>
    </row>
    <row r="1947" ht="15.75" customHeight="1">
      <c r="A1947" s="105" t="s">
        <v>2191</v>
      </c>
      <c r="B1947" s="19" t="str">
        <f t="array" ref="B1947">XLOOKUP(A1947,Data!F:F,Data!G:G)</f>
        <v>J2B</v>
      </c>
      <c r="C1947" s="19" t="str">
        <f t="shared" si="3"/>
        <v>J080</v>
      </c>
      <c r="D1947" s="19" t="str">
        <f t="array" ref="D1947">XLOOKUP(A1947,Data!F:F,Data!C:C)</f>
        <v>EXT</v>
      </c>
      <c r="E1947" s="19" t="str">
        <f t="array" ref="E1947">XLOOKUP(A1947,Data!F:F,Data!H:H)</f>
        <v>BW</v>
      </c>
      <c r="F1947" s="106" t="str">
        <f>SUMIFS(Data!J:J,Data!F:F,A1947)</f>
        <v>1</v>
      </c>
      <c r="G1947" s="106" t="str">
        <f>SUMIFS(Cast!C:C,CastElements,A1947)</f>
        <v>0</v>
      </c>
      <c r="H1947" s="106" t="str">
        <f t="shared" si="4"/>
        <v>1</v>
      </c>
      <c r="I1947" s="106" t="str">
        <f>SUMIFS(Del!C:C,Del!B:B,A1947)</f>
        <v>0</v>
      </c>
      <c r="J1947" s="106" t="str">
        <f t="shared" si="5"/>
        <v>1</v>
      </c>
      <c r="K1947" s="106" t="str">
        <f t="shared" si="6"/>
        <v>0</v>
      </c>
      <c r="L1947" s="106"/>
      <c r="M1947" s="106" t="str">
        <f>SUMIFS(Ere!C:C,Ere!B:B,A1947)</f>
        <v>0</v>
      </c>
      <c r="N1947" s="106" t="str">
        <f t="shared" si="7"/>
        <v>1</v>
      </c>
      <c r="O1947" s="107" t="str">
        <f t="array" ref="O1947">XLOOKUP(A1947,Data!F:F,Data!O:O)</f>
        <v>  0.85 </v>
      </c>
      <c r="P1947" s="107" t="str">
        <f t="shared" si="8"/>
        <v>  2.14 </v>
      </c>
      <c r="Q1947" s="27"/>
    </row>
    <row r="1948" ht="15.75" customHeight="1">
      <c r="A1948" s="105" t="s">
        <v>2192</v>
      </c>
      <c r="B1948" s="19" t="str">
        <f t="array" ref="B1948">XLOOKUP(A1948,Data!F:F,Data!G:G)</f>
        <v>J2B</v>
      </c>
      <c r="C1948" s="19" t="str">
        <f t="shared" si="3"/>
        <v>J080</v>
      </c>
      <c r="D1948" s="19" t="str">
        <f t="array" ref="D1948">XLOOKUP(A1948,Data!F:F,Data!C:C)</f>
        <v>EXT</v>
      </c>
      <c r="E1948" s="19" t="str">
        <f t="array" ref="E1948">XLOOKUP(A1948,Data!F:F,Data!H:H)</f>
        <v>BW</v>
      </c>
      <c r="F1948" s="106" t="str">
        <f>SUMIFS(Data!J:J,Data!F:F,A1948)</f>
        <v>1</v>
      </c>
      <c r="G1948" s="106" t="str">
        <f>SUMIFS(Cast!C:C,CastElements,A1948)</f>
        <v>0</v>
      </c>
      <c r="H1948" s="106" t="str">
        <f t="shared" si="4"/>
        <v>1</v>
      </c>
      <c r="I1948" s="106" t="str">
        <f>SUMIFS(Del!C:C,Del!B:B,A1948)</f>
        <v>0</v>
      </c>
      <c r="J1948" s="106" t="str">
        <f t="shared" si="5"/>
        <v>1</v>
      </c>
      <c r="K1948" s="106" t="str">
        <f t="shared" si="6"/>
        <v>0</v>
      </c>
      <c r="L1948" s="106"/>
      <c r="M1948" s="106" t="str">
        <f>SUMIFS(Ere!C:C,Ere!B:B,A1948)</f>
        <v>0</v>
      </c>
      <c r="N1948" s="106" t="str">
        <f t="shared" si="7"/>
        <v>1</v>
      </c>
      <c r="O1948" s="107" t="str">
        <f t="array" ref="O1948">XLOOKUP(A1948,Data!F:F,Data!O:O)</f>
        <v>  0.85 </v>
      </c>
      <c r="P1948" s="107" t="str">
        <f t="shared" si="8"/>
        <v>  2.14 </v>
      </c>
      <c r="Q1948" s="27"/>
    </row>
    <row r="1949" ht="15.75" customHeight="1">
      <c r="A1949" s="105" t="s">
        <v>2193</v>
      </c>
      <c r="B1949" s="19" t="str">
        <f t="array" ref="B1949">XLOOKUP(A1949,Data!F:F,Data!G:G)</f>
        <v>J2B</v>
      </c>
      <c r="C1949" s="19" t="str">
        <f t="shared" si="3"/>
        <v>J080</v>
      </c>
      <c r="D1949" s="19" t="str">
        <f t="array" ref="D1949">XLOOKUP(A1949,Data!F:F,Data!C:C)</f>
        <v>EXT</v>
      </c>
      <c r="E1949" s="19" t="str">
        <f t="array" ref="E1949">XLOOKUP(A1949,Data!F:F,Data!H:H)</f>
        <v>BW</v>
      </c>
      <c r="F1949" s="106" t="str">
        <f>SUMIFS(Data!J:J,Data!F:F,A1949)</f>
        <v>1</v>
      </c>
      <c r="G1949" s="106" t="str">
        <f>SUMIFS(Cast!C:C,CastElements,A1949)</f>
        <v>0</v>
      </c>
      <c r="H1949" s="106" t="str">
        <f t="shared" si="4"/>
        <v>1</v>
      </c>
      <c r="I1949" s="106" t="str">
        <f>SUMIFS(Del!C:C,Del!B:B,A1949)</f>
        <v>0</v>
      </c>
      <c r="J1949" s="106" t="str">
        <f t="shared" si="5"/>
        <v>1</v>
      </c>
      <c r="K1949" s="106" t="str">
        <f t="shared" si="6"/>
        <v>0</v>
      </c>
      <c r="L1949" s="106"/>
      <c r="M1949" s="106" t="str">
        <f>SUMIFS(Ere!C:C,Ere!B:B,A1949)</f>
        <v>0</v>
      </c>
      <c r="N1949" s="106" t="str">
        <f t="shared" si="7"/>
        <v>1</v>
      </c>
      <c r="O1949" s="107" t="str">
        <f t="array" ref="O1949">XLOOKUP(A1949,Data!F:F,Data!O:O)</f>
        <v>  0.64 </v>
      </c>
      <c r="P1949" s="107" t="str">
        <f t="shared" si="8"/>
        <v>  1.60 </v>
      </c>
      <c r="Q1949" s="27"/>
    </row>
    <row r="1950" ht="15.75" customHeight="1">
      <c r="A1950" s="105" t="s">
        <v>2194</v>
      </c>
      <c r="B1950" s="19" t="str">
        <f t="array" ref="B1950">XLOOKUP(A1950,Data!F:F,Data!G:G)</f>
        <v>J2B</v>
      </c>
      <c r="C1950" s="19" t="str">
        <f t="shared" si="3"/>
        <v>J080</v>
      </c>
      <c r="D1950" s="19" t="str">
        <f t="array" ref="D1950">XLOOKUP(A1950,Data!F:F,Data!C:C)</f>
        <v>EXT</v>
      </c>
      <c r="E1950" s="19" t="str">
        <f t="array" ref="E1950">XLOOKUP(A1950,Data!F:F,Data!H:H)</f>
        <v>BW</v>
      </c>
      <c r="F1950" s="106" t="str">
        <f>SUMIFS(Data!J:J,Data!F:F,A1950)</f>
        <v>1</v>
      </c>
      <c r="G1950" s="106" t="str">
        <f>SUMIFS(Cast!C:C,CastElements,A1950)</f>
        <v>0</v>
      </c>
      <c r="H1950" s="106" t="str">
        <f t="shared" si="4"/>
        <v>1</v>
      </c>
      <c r="I1950" s="106" t="str">
        <f>SUMIFS(Del!C:C,Del!B:B,A1950)</f>
        <v>0</v>
      </c>
      <c r="J1950" s="106" t="str">
        <f t="shared" si="5"/>
        <v>1</v>
      </c>
      <c r="K1950" s="106" t="str">
        <f t="shared" si="6"/>
        <v>0</v>
      </c>
      <c r="L1950" s="106"/>
      <c r="M1950" s="106" t="str">
        <f>SUMIFS(Ere!C:C,Ere!B:B,A1950)</f>
        <v>0</v>
      </c>
      <c r="N1950" s="106" t="str">
        <f t="shared" si="7"/>
        <v>1</v>
      </c>
      <c r="O1950" s="107" t="str">
        <f t="array" ref="O1950">XLOOKUP(A1950,Data!F:F,Data!O:O)</f>
        <v>  0.64 </v>
      </c>
      <c r="P1950" s="107" t="str">
        <f t="shared" si="8"/>
        <v>  1.60 </v>
      </c>
      <c r="Q1950" s="27"/>
    </row>
    <row r="1951" ht="15.75" customHeight="1">
      <c r="A1951" s="105" t="s">
        <v>2195</v>
      </c>
      <c r="B1951" s="19" t="str">
        <f t="array" ref="B1951">XLOOKUP(A1951,Data!F:F,Data!G:G)</f>
        <v>J2B</v>
      </c>
      <c r="C1951" s="19" t="str">
        <f t="shared" si="3"/>
        <v>J080</v>
      </c>
      <c r="D1951" s="19" t="str">
        <f t="array" ref="D1951">XLOOKUP(A1951,Data!F:F,Data!C:C)</f>
        <v>EXT</v>
      </c>
      <c r="E1951" s="19" t="str">
        <f t="array" ref="E1951">XLOOKUP(A1951,Data!F:F,Data!H:H)</f>
        <v>BW</v>
      </c>
      <c r="F1951" s="106" t="str">
        <f>SUMIFS(Data!J:J,Data!F:F,A1951)</f>
        <v>1</v>
      </c>
      <c r="G1951" s="106" t="str">
        <f>SUMIFS(Cast!C:C,CastElements,A1951)</f>
        <v>0</v>
      </c>
      <c r="H1951" s="106" t="str">
        <f t="shared" si="4"/>
        <v>1</v>
      </c>
      <c r="I1951" s="106" t="str">
        <f>SUMIFS(Del!C:C,Del!B:B,A1951)</f>
        <v>0</v>
      </c>
      <c r="J1951" s="106" t="str">
        <f t="shared" si="5"/>
        <v>1</v>
      </c>
      <c r="K1951" s="106" t="str">
        <f t="shared" si="6"/>
        <v>0</v>
      </c>
      <c r="L1951" s="106"/>
      <c r="M1951" s="106" t="str">
        <f>SUMIFS(Ere!C:C,Ere!B:B,A1951)</f>
        <v>0</v>
      </c>
      <c r="N1951" s="106" t="str">
        <f t="shared" si="7"/>
        <v>1</v>
      </c>
      <c r="O1951" s="107" t="str">
        <f t="array" ref="O1951">XLOOKUP(A1951,Data!F:F,Data!O:O)</f>
        <v>  0.64 </v>
      </c>
      <c r="P1951" s="107" t="str">
        <f t="shared" si="8"/>
        <v>  1.60 </v>
      </c>
      <c r="Q1951" s="27"/>
    </row>
    <row r="1952" ht="15.75" customHeight="1">
      <c r="A1952" s="105" t="s">
        <v>2196</v>
      </c>
      <c r="B1952" s="19" t="str">
        <f t="array" ref="B1952">XLOOKUP(A1952,Data!F:F,Data!G:G)</f>
        <v>J2B</v>
      </c>
      <c r="C1952" s="19" t="str">
        <f t="shared" si="3"/>
        <v>J080</v>
      </c>
      <c r="D1952" s="19" t="str">
        <f t="array" ref="D1952">XLOOKUP(A1952,Data!F:F,Data!C:C)</f>
        <v>EXT</v>
      </c>
      <c r="E1952" s="19" t="str">
        <f t="array" ref="E1952">XLOOKUP(A1952,Data!F:F,Data!H:H)</f>
        <v>BW</v>
      </c>
      <c r="F1952" s="106" t="str">
        <f>SUMIFS(Data!J:J,Data!F:F,A1952)</f>
        <v>1</v>
      </c>
      <c r="G1952" s="106" t="str">
        <f>SUMIFS(Cast!C:C,CastElements,A1952)</f>
        <v>0</v>
      </c>
      <c r="H1952" s="106" t="str">
        <f t="shared" si="4"/>
        <v>1</v>
      </c>
      <c r="I1952" s="106" t="str">
        <f>SUMIFS(Del!C:C,Del!B:B,A1952)</f>
        <v>0</v>
      </c>
      <c r="J1952" s="106" t="str">
        <f t="shared" si="5"/>
        <v>1</v>
      </c>
      <c r="K1952" s="106" t="str">
        <f t="shared" si="6"/>
        <v>0</v>
      </c>
      <c r="L1952" s="106"/>
      <c r="M1952" s="106" t="str">
        <f>SUMIFS(Ere!C:C,Ere!B:B,A1952)</f>
        <v>0</v>
      </c>
      <c r="N1952" s="106" t="str">
        <f t="shared" si="7"/>
        <v>1</v>
      </c>
      <c r="O1952" s="107" t="str">
        <f t="array" ref="O1952">XLOOKUP(A1952,Data!F:F,Data!O:O)</f>
        <v>  0.68 </v>
      </c>
      <c r="P1952" s="107" t="str">
        <f t="shared" si="8"/>
        <v>  1.70 </v>
      </c>
      <c r="Q1952" s="27"/>
    </row>
    <row r="1953" ht="15.75" customHeight="1">
      <c r="A1953" s="105" t="s">
        <v>2197</v>
      </c>
      <c r="B1953" s="19" t="str">
        <f t="array" ref="B1953">XLOOKUP(A1953,Data!F:F,Data!G:G)</f>
        <v>J2B</v>
      </c>
      <c r="C1953" s="19" t="str">
        <f t="shared" si="3"/>
        <v>J080</v>
      </c>
      <c r="D1953" s="19" t="str">
        <f t="array" ref="D1953">XLOOKUP(A1953,Data!F:F,Data!C:C)</f>
        <v>EXT</v>
      </c>
      <c r="E1953" s="19" t="str">
        <f t="array" ref="E1953">XLOOKUP(A1953,Data!F:F,Data!H:H)</f>
        <v>BW</v>
      </c>
      <c r="F1953" s="106" t="str">
        <f>SUMIFS(Data!J:J,Data!F:F,A1953)</f>
        <v>1</v>
      </c>
      <c r="G1953" s="106" t="str">
        <f>SUMIFS(Cast!C:C,CastElements,A1953)</f>
        <v>0</v>
      </c>
      <c r="H1953" s="106" t="str">
        <f t="shared" si="4"/>
        <v>1</v>
      </c>
      <c r="I1953" s="106" t="str">
        <f>SUMIFS(Del!C:C,Del!B:B,A1953)</f>
        <v>0</v>
      </c>
      <c r="J1953" s="106" t="str">
        <f t="shared" si="5"/>
        <v>1</v>
      </c>
      <c r="K1953" s="106" t="str">
        <f t="shared" si="6"/>
        <v>0</v>
      </c>
      <c r="L1953" s="106"/>
      <c r="M1953" s="106" t="str">
        <f>SUMIFS(Ere!C:C,Ere!B:B,A1953)</f>
        <v>0</v>
      </c>
      <c r="N1953" s="106" t="str">
        <f t="shared" si="7"/>
        <v>1</v>
      </c>
      <c r="O1953" s="107" t="str">
        <f t="array" ref="O1953">XLOOKUP(A1953,Data!F:F,Data!O:O)</f>
        <v>  0.68 </v>
      </c>
      <c r="P1953" s="107" t="str">
        <f t="shared" si="8"/>
        <v>  1.70 </v>
      </c>
      <c r="Q1953" s="27"/>
    </row>
    <row r="1954" ht="15.75" customHeight="1">
      <c r="A1954" s="105" t="s">
        <v>2198</v>
      </c>
      <c r="B1954" s="19" t="str">
        <f t="array" ref="B1954">XLOOKUP(A1954,Data!F:F,Data!G:G)</f>
        <v>J2B</v>
      </c>
      <c r="C1954" s="19" t="str">
        <f t="shared" si="3"/>
        <v>J080</v>
      </c>
      <c r="D1954" s="19" t="str">
        <f t="array" ref="D1954">XLOOKUP(A1954,Data!F:F,Data!C:C)</f>
        <v>EXT</v>
      </c>
      <c r="E1954" s="19" t="str">
        <f t="array" ref="E1954">XLOOKUP(A1954,Data!F:F,Data!H:H)</f>
        <v>BW</v>
      </c>
      <c r="F1954" s="106" t="str">
        <f>SUMIFS(Data!J:J,Data!F:F,A1954)</f>
        <v>1</v>
      </c>
      <c r="G1954" s="106" t="str">
        <f>SUMIFS(Cast!C:C,CastElements,A1954)</f>
        <v>0</v>
      </c>
      <c r="H1954" s="106" t="str">
        <f t="shared" si="4"/>
        <v>1</v>
      </c>
      <c r="I1954" s="106" t="str">
        <f>SUMIFS(Del!C:C,Del!B:B,A1954)</f>
        <v>0</v>
      </c>
      <c r="J1954" s="106" t="str">
        <f t="shared" si="5"/>
        <v>1</v>
      </c>
      <c r="K1954" s="106" t="str">
        <f t="shared" si="6"/>
        <v>0</v>
      </c>
      <c r="L1954" s="106"/>
      <c r="M1954" s="106" t="str">
        <f>SUMIFS(Ere!C:C,Ere!B:B,A1954)</f>
        <v>0</v>
      </c>
      <c r="N1954" s="106" t="str">
        <f t="shared" si="7"/>
        <v>1</v>
      </c>
      <c r="O1954" s="107" t="str">
        <f t="array" ref="O1954">XLOOKUP(A1954,Data!F:F,Data!O:O)</f>
        <v>  0.66 </v>
      </c>
      <c r="P1954" s="107" t="str">
        <f t="shared" si="8"/>
        <v>  1.65 </v>
      </c>
      <c r="Q1954" s="27"/>
    </row>
    <row r="1955" ht="15.75" customHeight="1">
      <c r="A1955" s="105" t="s">
        <v>2199</v>
      </c>
      <c r="B1955" s="19" t="str">
        <f t="array" ref="B1955">XLOOKUP(A1955,Data!F:F,Data!G:G)</f>
        <v>J2B</v>
      </c>
      <c r="C1955" s="19" t="str">
        <f t="shared" si="3"/>
        <v>J080</v>
      </c>
      <c r="D1955" s="19" t="str">
        <f t="array" ref="D1955">XLOOKUP(A1955,Data!F:F,Data!C:C)</f>
        <v/>
      </c>
      <c r="E1955" s="19" t="str">
        <f t="array" ref="E1955">XLOOKUP(A1955,Data!F:F,Data!H:H)</f>
        <v>BW</v>
      </c>
      <c r="F1955" s="106" t="str">
        <f>SUMIFS(Data!J:J,Data!F:F,A1955)</f>
        <v>0</v>
      </c>
      <c r="G1955" s="106" t="str">
        <f>SUMIFS(Cast!C:C,CastElements,A1955)</f>
        <v>0</v>
      </c>
      <c r="H1955" s="106" t="str">
        <f t="shared" si="4"/>
        <v>0</v>
      </c>
      <c r="I1955" s="106" t="str">
        <f>SUMIFS(Del!C:C,Del!B:B,A1955)</f>
        <v>0</v>
      </c>
      <c r="J1955" s="106" t="str">
        <f t="shared" si="5"/>
        <v>0</v>
      </c>
      <c r="K1955" s="106" t="str">
        <f t="shared" si="6"/>
        <v>0</v>
      </c>
      <c r="L1955" s="106"/>
      <c r="M1955" s="106" t="str">
        <f>SUMIFS(Ere!C:C,Ere!B:B,A1955)</f>
        <v>0</v>
      </c>
      <c r="N1955" s="106" t="str">
        <f t="shared" si="7"/>
        <v>0</v>
      </c>
      <c r="O1955" s="107" t="str">
        <f t="array" ref="O1955">XLOOKUP(A1955,Data!F:F,Data!O:O)</f>
        <v>  2.05 </v>
      </c>
      <c r="P1955" s="107" t="str">
        <f t="shared" si="8"/>
        <v>  5.12 </v>
      </c>
      <c r="Q1955" s="27"/>
    </row>
    <row r="1956" ht="15.75" customHeight="1">
      <c r="A1956" s="105" t="s">
        <v>2200</v>
      </c>
      <c r="B1956" s="19" t="str">
        <f t="array" ref="B1956">XLOOKUP(A1956,Data!F:F,Data!G:G)</f>
        <v>J2B</v>
      </c>
      <c r="C1956" s="19" t="str">
        <f t="shared" si="3"/>
        <v>J080</v>
      </c>
      <c r="D1956" s="19" t="str">
        <f t="array" ref="D1956">XLOOKUP(A1956,Data!F:F,Data!C:C)</f>
        <v/>
      </c>
      <c r="E1956" s="19" t="str">
        <f t="array" ref="E1956">XLOOKUP(A1956,Data!F:F,Data!H:H)</f>
        <v>BW</v>
      </c>
      <c r="F1956" s="106" t="str">
        <f>SUMIFS(Data!J:J,Data!F:F,A1956)</f>
        <v>0</v>
      </c>
      <c r="G1956" s="106" t="str">
        <f>SUMIFS(Cast!C:C,CastElements,A1956)</f>
        <v>0</v>
      </c>
      <c r="H1956" s="106" t="str">
        <f t="shared" si="4"/>
        <v>0</v>
      </c>
      <c r="I1956" s="106" t="str">
        <f>SUMIFS(Del!C:C,Del!B:B,A1956)</f>
        <v>0</v>
      </c>
      <c r="J1956" s="106" t="str">
        <f t="shared" si="5"/>
        <v>0</v>
      </c>
      <c r="K1956" s="106" t="str">
        <f t="shared" si="6"/>
        <v>0</v>
      </c>
      <c r="L1956" s="106"/>
      <c r="M1956" s="106" t="str">
        <f>SUMIFS(Ere!C:C,Ere!B:B,A1956)</f>
        <v>0</v>
      </c>
      <c r="N1956" s="106" t="str">
        <f t="shared" si="7"/>
        <v>0</v>
      </c>
      <c r="O1956" s="107" t="str">
        <f t="array" ref="O1956">XLOOKUP(A1956,Data!F:F,Data!O:O)</f>
        <v>  2.27 </v>
      </c>
      <c r="P1956" s="107" t="str">
        <f t="shared" si="8"/>
        <v>  5.68 </v>
      </c>
      <c r="Q1956" s="27"/>
    </row>
    <row r="1957" ht="15.75" customHeight="1">
      <c r="A1957" s="105" t="s">
        <v>2201</v>
      </c>
      <c r="B1957" s="19" t="str">
        <f t="array" ref="B1957">XLOOKUP(A1957,Data!F:F,Data!G:G)</f>
        <v>J2B</v>
      </c>
      <c r="C1957" s="19" t="str">
        <f t="shared" si="3"/>
        <v>J080</v>
      </c>
      <c r="D1957" s="19" t="str">
        <f t="array" ref="D1957">XLOOKUP(A1957,Data!F:F,Data!C:C)</f>
        <v>EXT</v>
      </c>
      <c r="E1957" s="19" t="str">
        <f t="array" ref="E1957">XLOOKUP(A1957,Data!F:F,Data!H:H)</f>
        <v>BW</v>
      </c>
      <c r="F1957" s="106" t="str">
        <f>SUMIFS(Data!J:J,Data!F:F,A1957)</f>
        <v>1</v>
      </c>
      <c r="G1957" s="106" t="str">
        <f>SUMIFS(Cast!C:C,CastElements,A1957)</f>
        <v>0</v>
      </c>
      <c r="H1957" s="106" t="str">
        <f t="shared" si="4"/>
        <v>1</v>
      </c>
      <c r="I1957" s="106" t="str">
        <f>SUMIFS(Del!C:C,Del!B:B,A1957)</f>
        <v>0</v>
      </c>
      <c r="J1957" s="106" t="str">
        <f t="shared" si="5"/>
        <v>1</v>
      </c>
      <c r="K1957" s="106" t="str">
        <f t="shared" si="6"/>
        <v>0</v>
      </c>
      <c r="L1957" s="106"/>
      <c r="M1957" s="106" t="str">
        <f>SUMIFS(Ere!C:C,Ere!B:B,A1957)</f>
        <v>0</v>
      </c>
      <c r="N1957" s="106" t="str">
        <f t="shared" si="7"/>
        <v>1</v>
      </c>
      <c r="O1957" s="107" t="str">
        <f t="array" ref="O1957">XLOOKUP(A1957,Data!F:F,Data!O:O)</f>
        <v>  0.81 </v>
      </c>
      <c r="P1957" s="107" t="str">
        <f t="shared" si="8"/>
        <v>  2.02 </v>
      </c>
      <c r="Q1957" s="27"/>
    </row>
    <row r="1958" ht="15.75" customHeight="1">
      <c r="A1958" s="105" t="s">
        <v>2202</v>
      </c>
      <c r="B1958" s="19" t="str">
        <f t="array" ref="B1958">XLOOKUP(A1958,Data!F:F,Data!G:G)</f>
        <v>J2B</v>
      </c>
      <c r="C1958" s="19" t="str">
        <f t="shared" si="3"/>
        <v>J080</v>
      </c>
      <c r="D1958" s="19" t="str">
        <f t="array" ref="D1958">XLOOKUP(A1958,Data!F:F,Data!C:C)</f>
        <v/>
      </c>
      <c r="E1958" s="19" t="str">
        <f t="array" ref="E1958">XLOOKUP(A1958,Data!F:F,Data!H:H)</f>
        <v>BW</v>
      </c>
      <c r="F1958" s="106" t="str">
        <f>SUMIFS(Data!J:J,Data!F:F,A1958)</f>
        <v>0</v>
      </c>
      <c r="G1958" s="106" t="str">
        <f>SUMIFS(Cast!C:C,CastElements,A1958)</f>
        <v>0</v>
      </c>
      <c r="H1958" s="106" t="str">
        <f t="shared" si="4"/>
        <v>0</v>
      </c>
      <c r="I1958" s="106" t="str">
        <f>SUMIFS(Del!C:C,Del!B:B,A1958)</f>
        <v>0</v>
      </c>
      <c r="J1958" s="106" t="str">
        <f t="shared" si="5"/>
        <v>0</v>
      </c>
      <c r="K1958" s="106" t="str">
        <f t="shared" si="6"/>
        <v>0</v>
      </c>
      <c r="L1958" s="106"/>
      <c r="M1958" s="106" t="str">
        <f>SUMIFS(Ere!C:C,Ere!B:B,A1958)</f>
        <v>0</v>
      </c>
      <c r="N1958" s="106" t="str">
        <f t="shared" si="7"/>
        <v>0</v>
      </c>
      <c r="O1958" s="107" t="str">
        <f t="array" ref="O1958">XLOOKUP(A1958,Data!F:F,Data!O:O)</f>
        <v>  1.76 </v>
      </c>
      <c r="P1958" s="107" t="str">
        <f t="shared" si="8"/>
        <v>  4.41 </v>
      </c>
      <c r="Q1958" s="27"/>
    </row>
    <row r="1959" ht="15.75" customHeight="1">
      <c r="A1959" s="105" t="s">
        <v>2203</v>
      </c>
      <c r="B1959" s="19" t="str">
        <f t="array" ref="B1959">XLOOKUP(A1959,Data!F:F,Data!G:G)</f>
        <v>J2B</v>
      </c>
      <c r="C1959" s="19" t="str">
        <f t="shared" si="3"/>
        <v>J080</v>
      </c>
      <c r="D1959" s="19" t="str">
        <f t="array" ref="D1959">XLOOKUP(A1959,Data!F:F,Data!C:C)</f>
        <v/>
      </c>
      <c r="E1959" s="19" t="str">
        <f t="array" ref="E1959">XLOOKUP(A1959,Data!F:F,Data!H:H)</f>
        <v>BW</v>
      </c>
      <c r="F1959" s="106" t="str">
        <f>SUMIFS(Data!J:J,Data!F:F,A1959)</f>
        <v>0</v>
      </c>
      <c r="G1959" s="106" t="str">
        <f>SUMIFS(Cast!C:C,CastElements,A1959)</f>
        <v>0</v>
      </c>
      <c r="H1959" s="106" t="str">
        <f t="shared" si="4"/>
        <v>0</v>
      </c>
      <c r="I1959" s="106" t="str">
        <f>SUMIFS(Del!C:C,Del!B:B,A1959)</f>
        <v>0</v>
      </c>
      <c r="J1959" s="106" t="str">
        <f t="shared" si="5"/>
        <v>0</v>
      </c>
      <c r="K1959" s="106" t="str">
        <f t="shared" si="6"/>
        <v>0</v>
      </c>
      <c r="L1959" s="106"/>
      <c r="M1959" s="106" t="str">
        <f>SUMIFS(Ere!C:C,Ere!B:B,A1959)</f>
        <v>0</v>
      </c>
      <c r="N1959" s="106" t="str">
        <f t="shared" si="7"/>
        <v>0</v>
      </c>
      <c r="O1959" s="107" t="str">
        <f t="array" ref="O1959">XLOOKUP(A1959,Data!F:F,Data!O:O)</f>
        <v>  1.85 </v>
      </c>
      <c r="P1959" s="107" t="str">
        <f t="shared" si="8"/>
        <v>  4.62 </v>
      </c>
      <c r="Q1959" s="27"/>
    </row>
    <row r="1960" ht="15.75" customHeight="1">
      <c r="A1960" s="105" t="s">
        <v>2204</v>
      </c>
      <c r="B1960" s="19" t="str">
        <f t="array" ref="B1960">XLOOKUP(A1960,Data!F:F,Data!G:G)</f>
        <v>J2B</v>
      </c>
      <c r="C1960" s="19" t="str">
        <f t="shared" si="3"/>
        <v>J080</v>
      </c>
      <c r="D1960" s="19" t="str">
        <f t="array" ref="D1960">XLOOKUP(A1960,Data!F:F,Data!C:C)</f>
        <v/>
      </c>
      <c r="E1960" s="19" t="str">
        <f t="array" ref="E1960">XLOOKUP(A1960,Data!F:F,Data!H:H)</f>
        <v>BW</v>
      </c>
      <c r="F1960" s="106" t="str">
        <f>SUMIFS(Data!J:J,Data!F:F,A1960)</f>
        <v>0</v>
      </c>
      <c r="G1960" s="106" t="str">
        <f>SUMIFS(Cast!C:C,CastElements,A1960)</f>
        <v>0</v>
      </c>
      <c r="H1960" s="106" t="str">
        <f t="shared" si="4"/>
        <v>0</v>
      </c>
      <c r="I1960" s="106" t="str">
        <f>SUMIFS(Del!C:C,Del!B:B,A1960)</f>
        <v>0</v>
      </c>
      <c r="J1960" s="106" t="str">
        <f t="shared" si="5"/>
        <v>0</v>
      </c>
      <c r="K1960" s="106" t="str">
        <f t="shared" si="6"/>
        <v>0</v>
      </c>
      <c r="L1960" s="106"/>
      <c r="M1960" s="106" t="str">
        <f>SUMIFS(Ere!C:C,Ere!B:B,A1960)</f>
        <v>0</v>
      </c>
      <c r="N1960" s="106" t="str">
        <f t="shared" si="7"/>
        <v>0</v>
      </c>
      <c r="O1960" s="107" t="str">
        <f t="array" ref="O1960">XLOOKUP(A1960,Data!F:F,Data!O:O)</f>
        <v>  1.64 </v>
      </c>
      <c r="P1960" s="107" t="str">
        <f t="shared" si="8"/>
        <v>  4.10 </v>
      </c>
      <c r="Q1960" s="27"/>
    </row>
    <row r="1961" ht="15.75" customHeight="1">
      <c r="A1961" s="105" t="s">
        <v>2205</v>
      </c>
      <c r="B1961" s="19" t="str">
        <f t="array" ref="B1961">XLOOKUP(A1961,Data!F:F,Data!G:G)</f>
        <v>J2B</v>
      </c>
      <c r="C1961" s="19" t="str">
        <f t="shared" si="3"/>
        <v>J080</v>
      </c>
      <c r="D1961" s="19" t="str">
        <f t="array" ref="D1961">XLOOKUP(A1961,Data!F:F,Data!C:C)</f>
        <v/>
      </c>
      <c r="E1961" s="19" t="str">
        <f t="array" ref="E1961">XLOOKUP(A1961,Data!F:F,Data!H:H)</f>
        <v>BW</v>
      </c>
      <c r="F1961" s="106" t="str">
        <f>SUMIFS(Data!J:J,Data!F:F,A1961)</f>
        <v>0</v>
      </c>
      <c r="G1961" s="106" t="str">
        <f>SUMIFS(Cast!C:C,CastElements,A1961)</f>
        <v>0</v>
      </c>
      <c r="H1961" s="106" t="str">
        <f t="shared" si="4"/>
        <v>0</v>
      </c>
      <c r="I1961" s="106" t="str">
        <f>SUMIFS(Del!C:C,Del!B:B,A1961)</f>
        <v>0</v>
      </c>
      <c r="J1961" s="106" t="str">
        <f t="shared" si="5"/>
        <v>0</v>
      </c>
      <c r="K1961" s="106" t="str">
        <f t="shared" si="6"/>
        <v>0</v>
      </c>
      <c r="L1961" s="106"/>
      <c r="M1961" s="106" t="str">
        <f>SUMIFS(Ere!C:C,Ere!B:B,A1961)</f>
        <v>0</v>
      </c>
      <c r="N1961" s="106" t="str">
        <f t="shared" si="7"/>
        <v>0</v>
      </c>
      <c r="O1961" s="107" t="str">
        <f t="array" ref="O1961">XLOOKUP(A1961,Data!F:F,Data!O:O)</f>
        <v>  1.64 </v>
      </c>
      <c r="P1961" s="107" t="str">
        <f t="shared" si="8"/>
        <v>  4.10 </v>
      </c>
      <c r="Q1961" s="27"/>
    </row>
    <row r="1962" ht="15.75" customHeight="1">
      <c r="A1962" s="105" t="s">
        <v>2206</v>
      </c>
      <c r="B1962" s="19" t="str">
        <f t="array" ref="B1962">XLOOKUP(A1962,Data!F:F,Data!G:G)</f>
        <v>J2B</v>
      </c>
      <c r="C1962" s="19" t="str">
        <f t="shared" si="3"/>
        <v>J080</v>
      </c>
      <c r="D1962" s="19" t="str">
        <f t="array" ref="D1962">XLOOKUP(A1962,Data!F:F,Data!C:C)</f>
        <v/>
      </c>
      <c r="E1962" s="19" t="str">
        <f t="array" ref="E1962">XLOOKUP(A1962,Data!F:F,Data!H:H)</f>
        <v>BW</v>
      </c>
      <c r="F1962" s="106" t="str">
        <f>SUMIFS(Data!J:J,Data!F:F,A1962)</f>
        <v>0</v>
      </c>
      <c r="G1962" s="106" t="str">
        <f>SUMIFS(Cast!C:C,CastElements,A1962)</f>
        <v>0</v>
      </c>
      <c r="H1962" s="106" t="str">
        <f t="shared" si="4"/>
        <v>0</v>
      </c>
      <c r="I1962" s="106" t="str">
        <f>SUMIFS(Del!C:C,Del!B:B,A1962)</f>
        <v>0</v>
      </c>
      <c r="J1962" s="106" t="str">
        <f t="shared" si="5"/>
        <v>0</v>
      </c>
      <c r="K1962" s="106" t="str">
        <f t="shared" si="6"/>
        <v>0</v>
      </c>
      <c r="L1962" s="106"/>
      <c r="M1962" s="106" t="str">
        <f>SUMIFS(Ere!C:C,Ere!B:B,A1962)</f>
        <v>0</v>
      </c>
      <c r="N1962" s="106" t="str">
        <f t="shared" si="7"/>
        <v>0</v>
      </c>
      <c r="O1962" s="107" t="str">
        <f t="array" ref="O1962">XLOOKUP(A1962,Data!F:F,Data!O:O)</f>
        <v>  1.64 </v>
      </c>
      <c r="P1962" s="107" t="str">
        <f t="shared" si="8"/>
        <v>  4.10 </v>
      </c>
      <c r="Q1962" s="27"/>
    </row>
    <row r="1963" ht="15.75" customHeight="1">
      <c r="A1963" s="105" t="s">
        <v>2207</v>
      </c>
      <c r="B1963" s="19" t="str">
        <f t="array" ref="B1963">XLOOKUP(A1963,Data!F:F,Data!G:G)</f>
        <v>J2B</v>
      </c>
      <c r="C1963" s="19" t="str">
        <f t="shared" si="3"/>
        <v>J080</v>
      </c>
      <c r="D1963" s="19" t="str">
        <f t="array" ref="D1963">XLOOKUP(A1963,Data!F:F,Data!C:C)</f>
        <v/>
      </c>
      <c r="E1963" s="19" t="str">
        <f t="array" ref="E1963">XLOOKUP(A1963,Data!F:F,Data!H:H)</f>
        <v>BW</v>
      </c>
      <c r="F1963" s="106" t="str">
        <f>SUMIFS(Data!J:J,Data!F:F,A1963)</f>
        <v>0</v>
      </c>
      <c r="G1963" s="106" t="str">
        <f>SUMIFS(Cast!C:C,CastElements,A1963)</f>
        <v>0</v>
      </c>
      <c r="H1963" s="106" t="str">
        <f t="shared" si="4"/>
        <v>0</v>
      </c>
      <c r="I1963" s="106" t="str">
        <f>SUMIFS(Del!C:C,Del!B:B,A1963)</f>
        <v>0</v>
      </c>
      <c r="J1963" s="106" t="str">
        <f t="shared" si="5"/>
        <v>0</v>
      </c>
      <c r="K1963" s="106" t="str">
        <f t="shared" si="6"/>
        <v>0</v>
      </c>
      <c r="L1963" s="106"/>
      <c r="M1963" s="106" t="str">
        <f>SUMIFS(Ere!C:C,Ere!B:B,A1963)</f>
        <v>0</v>
      </c>
      <c r="N1963" s="106" t="str">
        <f t="shared" si="7"/>
        <v>0</v>
      </c>
      <c r="O1963" s="107" t="str">
        <f t="array" ref="O1963">XLOOKUP(A1963,Data!F:F,Data!O:O)</f>
        <v>  1.30 </v>
      </c>
      <c r="P1963" s="107" t="str">
        <f t="shared" si="8"/>
        <v>  3.25 </v>
      </c>
      <c r="Q1963" s="27"/>
    </row>
    <row r="1964" ht="15.75" customHeight="1">
      <c r="A1964" s="105" t="s">
        <v>2208</v>
      </c>
      <c r="B1964" s="19" t="str">
        <f t="array" ref="B1964">XLOOKUP(A1964,Data!F:F,Data!G:G)</f>
        <v>J2B</v>
      </c>
      <c r="C1964" s="19" t="str">
        <f t="shared" si="3"/>
        <v>J080</v>
      </c>
      <c r="D1964" s="19" t="str">
        <f t="array" ref="D1964">XLOOKUP(A1964,Data!F:F,Data!C:C)</f>
        <v/>
      </c>
      <c r="E1964" s="19" t="str">
        <f t="array" ref="E1964">XLOOKUP(A1964,Data!F:F,Data!H:H)</f>
        <v>BW</v>
      </c>
      <c r="F1964" s="106" t="str">
        <f>SUMIFS(Data!J:J,Data!F:F,A1964)</f>
        <v>0</v>
      </c>
      <c r="G1964" s="106" t="str">
        <f>SUMIFS(Cast!C:C,CastElements,A1964)</f>
        <v>0</v>
      </c>
      <c r="H1964" s="106" t="str">
        <f t="shared" si="4"/>
        <v>0</v>
      </c>
      <c r="I1964" s="106" t="str">
        <f>SUMIFS(Del!C:C,Del!B:B,A1964)</f>
        <v>0</v>
      </c>
      <c r="J1964" s="106" t="str">
        <f t="shared" si="5"/>
        <v>0</v>
      </c>
      <c r="K1964" s="106" t="str">
        <f t="shared" si="6"/>
        <v>0</v>
      </c>
      <c r="L1964" s="106"/>
      <c r="M1964" s="106" t="str">
        <f>SUMIFS(Ere!C:C,Ere!B:B,A1964)</f>
        <v>0</v>
      </c>
      <c r="N1964" s="106" t="str">
        <f t="shared" si="7"/>
        <v>0</v>
      </c>
      <c r="O1964" s="107" t="str">
        <f t="array" ref="O1964">XLOOKUP(A1964,Data!F:F,Data!O:O)</f>
        <v>  2.06 </v>
      </c>
      <c r="P1964" s="107" t="str">
        <f t="shared" si="8"/>
        <v>  5.15 </v>
      </c>
      <c r="Q1964" s="27"/>
    </row>
    <row r="1965" ht="15.75" customHeight="1">
      <c r="A1965" s="105" t="s">
        <v>2209</v>
      </c>
      <c r="B1965" s="19" t="str">
        <f t="array" ref="B1965">XLOOKUP(A1965,Data!F:F,Data!G:G)</f>
        <v>J2B</v>
      </c>
      <c r="C1965" s="19" t="str">
        <f t="shared" si="3"/>
        <v>J080</v>
      </c>
      <c r="D1965" s="19" t="str">
        <f t="array" ref="D1965">XLOOKUP(A1965,Data!F:F,Data!C:C)</f>
        <v/>
      </c>
      <c r="E1965" s="19" t="str">
        <f t="array" ref="E1965">XLOOKUP(A1965,Data!F:F,Data!H:H)</f>
        <v>BW</v>
      </c>
      <c r="F1965" s="106" t="str">
        <f>SUMIFS(Data!J:J,Data!F:F,A1965)</f>
        <v>0</v>
      </c>
      <c r="G1965" s="106" t="str">
        <f>SUMIFS(Cast!C:C,CastElements,A1965)</f>
        <v>0</v>
      </c>
      <c r="H1965" s="106" t="str">
        <f t="shared" si="4"/>
        <v>0</v>
      </c>
      <c r="I1965" s="106" t="str">
        <f>SUMIFS(Del!C:C,Del!B:B,A1965)</f>
        <v>0</v>
      </c>
      <c r="J1965" s="106" t="str">
        <f t="shared" si="5"/>
        <v>0</v>
      </c>
      <c r="K1965" s="106" t="str">
        <f t="shared" si="6"/>
        <v>0</v>
      </c>
      <c r="L1965" s="106"/>
      <c r="M1965" s="106" t="str">
        <f>SUMIFS(Ere!C:C,Ere!B:B,A1965)</f>
        <v>0</v>
      </c>
      <c r="N1965" s="106" t="str">
        <f t="shared" si="7"/>
        <v>0</v>
      </c>
      <c r="O1965" s="107" t="str">
        <f t="array" ref="O1965">XLOOKUP(A1965,Data!F:F,Data!O:O)</f>
        <v>  3.03 </v>
      </c>
      <c r="P1965" s="107" t="str">
        <f t="shared" si="8"/>
        <v>  7.57 </v>
      </c>
      <c r="Q1965" s="27"/>
    </row>
    <row r="1966" ht="15.75" customHeight="1">
      <c r="A1966" s="105" t="s">
        <v>2210</v>
      </c>
      <c r="B1966" s="19" t="str">
        <f t="array" ref="B1966">XLOOKUP(A1966,Data!F:F,Data!G:G)</f>
        <v>J2B</v>
      </c>
      <c r="C1966" s="19" t="str">
        <f t="shared" si="3"/>
        <v>J080</v>
      </c>
      <c r="D1966" s="19" t="str">
        <f t="array" ref="D1966">XLOOKUP(A1966,Data!F:F,Data!C:C)</f>
        <v/>
      </c>
      <c r="E1966" s="19" t="str">
        <f t="array" ref="E1966">XLOOKUP(A1966,Data!F:F,Data!H:H)</f>
        <v>BW</v>
      </c>
      <c r="F1966" s="106" t="str">
        <f>SUMIFS(Data!J:J,Data!F:F,A1966)</f>
        <v>0</v>
      </c>
      <c r="G1966" s="106" t="str">
        <f>SUMIFS(Cast!C:C,CastElements,A1966)</f>
        <v>0</v>
      </c>
      <c r="H1966" s="106" t="str">
        <f t="shared" si="4"/>
        <v>0</v>
      </c>
      <c r="I1966" s="106" t="str">
        <f>SUMIFS(Del!C:C,Del!B:B,A1966)</f>
        <v>0</v>
      </c>
      <c r="J1966" s="106" t="str">
        <f t="shared" si="5"/>
        <v>0</v>
      </c>
      <c r="K1966" s="106" t="str">
        <f t="shared" si="6"/>
        <v>0</v>
      </c>
      <c r="L1966" s="106"/>
      <c r="M1966" s="106" t="str">
        <f>SUMIFS(Ere!C:C,Ere!B:B,A1966)</f>
        <v>0</v>
      </c>
      <c r="N1966" s="106" t="str">
        <f t="shared" si="7"/>
        <v>0</v>
      </c>
      <c r="O1966" s="107" t="str">
        <f t="array" ref="O1966">XLOOKUP(A1966,Data!F:F,Data!O:O)</f>
        <v>  1.01 </v>
      </c>
      <c r="P1966" s="107" t="str">
        <f t="shared" si="8"/>
        <v>  2.54 </v>
      </c>
      <c r="Q1966" s="27"/>
    </row>
    <row r="1967" ht="15.75" customHeight="1">
      <c r="A1967" s="105" t="s">
        <v>2211</v>
      </c>
      <c r="B1967" s="19" t="str">
        <f t="array" ref="B1967">XLOOKUP(A1967,Data!F:F,Data!G:G)</f>
        <v>J2B</v>
      </c>
      <c r="C1967" s="19" t="str">
        <f t="shared" si="3"/>
        <v>J080</v>
      </c>
      <c r="D1967" s="19" t="str">
        <f t="array" ref="D1967">XLOOKUP(A1967,Data!F:F,Data!C:C)</f>
        <v/>
      </c>
      <c r="E1967" s="19" t="str">
        <f t="array" ref="E1967">XLOOKUP(A1967,Data!F:F,Data!H:H)</f>
        <v>BW</v>
      </c>
      <c r="F1967" s="106" t="str">
        <f>SUMIFS(Data!J:J,Data!F:F,A1967)</f>
        <v>0</v>
      </c>
      <c r="G1967" s="106" t="str">
        <f>SUMIFS(Cast!C:C,CastElements,A1967)</f>
        <v>0</v>
      </c>
      <c r="H1967" s="106" t="str">
        <f t="shared" si="4"/>
        <v>0</v>
      </c>
      <c r="I1967" s="106" t="str">
        <f>SUMIFS(Del!C:C,Del!B:B,A1967)</f>
        <v>0</v>
      </c>
      <c r="J1967" s="106" t="str">
        <f t="shared" si="5"/>
        <v>0</v>
      </c>
      <c r="K1967" s="106" t="str">
        <f t="shared" si="6"/>
        <v>0</v>
      </c>
      <c r="L1967" s="106"/>
      <c r="M1967" s="106" t="str">
        <f>SUMIFS(Ere!C:C,Ere!B:B,A1967)</f>
        <v>0</v>
      </c>
      <c r="N1967" s="106" t="str">
        <f t="shared" si="7"/>
        <v>0</v>
      </c>
      <c r="O1967" s="107" t="str">
        <f t="array" ref="O1967">XLOOKUP(A1967,Data!F:F,Data!O:O)</f>
        <v>  1.01 </v>
      </c>
      <c r="P1967" s="107" t="str">
        <f t="shared" si="8"/>
        <v>  2.54 </v>
      </c>
      <c r="Q1967" s="27"/>
    </row>
    <row r="1968" ht="15.75" customHeight="1">
      <c r="A1968" s="105" t="s">
        <v>2212</v>
      </c>
      <c r="B1968" s="19" t="str">
        <f t="array" ref="B1968">XLOOKUP(A1968,Data!F:F,Data!G:G)</f>
        <v>J2B</v>
      </c>
      <c r="C1968" s="19" t="str">
        <f t="shared" si="3"/>
        <v>J080</v>
      </c>
      <c r="D1968" s="19" t="str">
        <f t="array" ref="D1968">XLOOKUP(A1968,Data!F:F,Data!C:C)</f>
        <v/>
      </c>
      <c r="E1968" s="19" t="str">
        <f t="array" ref="E1968">XLOOKUP(A1968,Data!F:F,Data!H:H)</f>
        <v>BW</v>
      </c>
      <c r="F1968" s="106" t="str">
        <f>SUMIFS(Data!J:J,Data!F:F,A1968)</f>
        <v>0</v>
      </c>
      <c r="G1968" s="106" t="str">
        <f>SUMIFS(Cast!C:C,CastElements,A1968)</f>
        <v>0</v>
      </c>
      <c r="H1968" s="106" t="str">
        <f t="shared" si="4"/>
        <v>0</v>
      </c>
      <c r="I1968" s="106" t="str">
        <f>SUMIFS(Del!C:C,Del!B:B,A1968)</f>
        <v>0</v>
      </c>
      <c r="J1968" s="106" t="str">
        <f t="shared" si="5"/>
        <v>0</v>
      </c>
      <c r="K1968" s="106" t="str">
        <f t="shared" si="6"/>
        <v>0</v>
      </c>
      <c r="L1968" s="106"/>
      <c r="M1968" s="106" t="str">
        <f>SUMIFS(Ere!C:C,Ere!B:B,A1968)</f>
        <v>0</v>
      </c>
      <c r="N1968" s="106" t="str">
        <f t="shared" si="7"/>
        <v>0</v>
      </c>
      <c r="O1968" s="107" t="str">
        <f t="array" ref="O1968">XLOOKUP(A1968,Data!F:F,Data!O:O)</f>
        <v>  0.38 </v>
      </c>
      <c r="P1968" s="107" t="str">
        <f t="shared" si="8"/>
        <v>  0.94 </v>
      </c>
      <c r="Q1968" s="27"/>
    </row>
    <row r="1969" ht="15.75" customHeight="1">
      <c r="A1969" s="105" t="s">
        <v>2213</v>
      </c>
      <c r="B1969" s="19" t="str">
        <f t="array" ref="B1969">XLOOKUP(A1969,Data!F:F,Data!G:G)</f>
        <v>J2B</v>
      </c>
      <c r="C1969" s="19" t="str">
        <f t="shared" si="3"/>
        <v>J080</v>
      </c>
      <c r="D1969" s="19" t="str">
        <f t="array" ref="D1969">XLOOKUP(A1969,Data!F:F,Data!C:C)</f>
        <v/>
      </c>
      <c r="E1969" s="19" t="str">
        <f t="array" ref="E1969">XLOOKUP(A1969,Data!F:F,Data!H:H)</f>
        <v>CF</v>
      </c>
      <c r="F1969" s="106" t="str">
        <f>SUMIFS(Data!J:J,Data!F:F,A1969)</f>
        <v>0</v>
      </c>
      <c r="G1969" s="106" t="str">
        <f>SUMIFS(Cast!C:C,CastElements,A1969)</f>
        <v>0</v>
      </c>
      <c r="H1969" s="106" t="str">
        <f t="shared" si="4"/>
        <v>0</v>
      </c>
      <c r="I1969" s="106" t="str">
        <f>SUMIFS(Del!C:C,Del!B:B,A1969)</f>
        <v>0</v>
      </c>
      <c r="J1969" s="106" t="str">
        <f t="shared" si="5"/>
        <v>0</v>
      </c>
      <c r="K1969" s="106" t="str">
        <f t="shared" si="6"/>
        <v>0</v>
      </c>
      <c r="L1969" s="106"/>
      <c r="M1969" s="106" t="str">
        <f>SUMIFS(Ere!C:C,Ere!B:B,A1969)</f>
        <v>0</v>
      </c>
      <c r="N1969" s="106" t="str">
        <f t="shared" si="7"/>
        <v>0</v>
      </c>
      <c r="O1969" s="107" t="str">
        <f t="array" ref="O1969">XLOOKUP(A1969,Data!F:F,Data!O:O)</f>
        <v>  0.50 </v>
      </c>
      <c r="P1969" s="107" t="str">
        <f t="shared" si="8"/>
        <v>  1.25 </v>
      </c>
      <c r="Q1969" s="27"/>
    </row>
    <row r="1970" ht="15.75" customHeight="1">
      <c r="A1970" s="105" t="s">
        <v>2214</v>
      </c>
      <c r="B1970" s="19" t="str">
        <f t="array" ref="B1970">XLOOKUP(A1970,Data!F:F,Data!G:G)</f>
        <v>J2B</v>
      </c>
      <c r="C1970" s="19" t="str">
        <f t="shared" si="3"/>
        <v>J081</v>
      </c>
      <c r="D1970" s="19" t="str">
        <f t="array" ref="D1970">XLOOKUP(A1970,Data!F:F,Data!C:C)</f>
        <v>EXT</v>
      </c>
      <c r="E1970" s="19" t="str">
        <f t="array" ref="E1970">XLOOKUP(A1970,Data!F:F,Data!H:H)</f>
        <v>BW</v>
      </c>
      <c r="F1970" s="106" t="str">
        <f>SUMIFS(Data!J:J,Data!F:F,A1970)</f>
        <v>0</v>
      </c>
      <c r="G1970" s="106" t="str">
        <f>SUMIFS(Cast!C:C,CastElements,A1970)</f>
        <v>1</v>
      </c>
      <c r="H1970" s="106" t="str">
        <f t="shared" si="4"/>
        <v>-1</v>
      </c>
      <c r="I1970" s="106" t="str">
        <f>SUMIFS(Del!C:C,Del!B:B,A1970)</f>
        <v>0</v>
      </c>
      <c r="J1970" s="106" t="str">
        <f t="shared" si="5"/>
        <v>0</v>
      </c>
      <c r="K1970" s="106" t="str">
        <f t="shared" si="6"/>
        <v>1</v>
      </c>
      <c r="L1970" s="106"/>
      <c r="M1970" s="106" t="str">
        <f>SUMIFS(Ere!C:C,Ere!B:B,A1970)</f>
        <v>0</v>
      </c>
      <c r="N1970" s="106" t="str">
        <f t="shared" si="7"/>
        <v>0</v>
      </c>
      <c r="O1970" s="107" t="str">
        <f t="array" ref="O1970">XLOOKUP(A1970,Data!F:F,Data!O:O)</f>
        <v>  0.84 </v>
      </c>
      <c r="P1970" s="107" t="str">
        <f t="shared" si="8"/>
        <v>  2.10 </v>
      </c>
      <c r="Q1970" s="27"/>
    </row>
    <row r="1971" ht="15.75" customHeight="1">
      <c r="A1971" s="105" t="s">
        <v>2215</v>
      </c>
      <c r="B1971" s="19" t="str">
        <f t="array" ref="B1971">XLOOKUP(A1971,Data!F:F,Data!G:G)</f>
        <v>J2B</v>
      </c>
      <c r="C1971" s="19" t="str">
        <f t="shared" si="3"/>
        <v>J081</v>
      </c>
      <c r="D1971" s="19" t="str">
        <f t="array" ref="D1971">XLOOKUP(A1971,Data!F:F,Data!C:C)</f>
        <v>EXT</v>
      </c>
      <c r="E1971" s="19" t="str">
        <f t="array" ref="E1971">XLOOKUP(A1971,Data!F:F,Data!H:H)</f>
        <v>BW</v>
      </c>
      <c r="F1971" s="106" t="str">
        <f>SUMIFS(Data!J:J,Data!F:F,A1971)</f>
        <v>0</v>
      </c>
      <c r="G1971" s="106" t="str">
        <f>SUMIFS(Cast!C:C,CastElements,A1971)</f>
        <v>1</v>
      </c>
      <c r="H1971" s="106" t="str">
        <f t="shared" si="4"/>
        <v>-1</v>
      </c>
      <c r="I1971" s="106" t="str">
        <f>SUMIFS(Del!C:C,Del!B:B,A1971)</f>
        <v>0</v>
      </c>
      <c r="J1971" s="106" t="str">
        <f t="shared" si="5"/>
        <v>0</v>
      </c>
      <c r="K1971" s="106" t="str">
        <f t="shared" si="6"/>
        <v>1</v>
      </c>
      <c r="L1971" s="106"/>
      <c r="M1971" s="106" t="str">
        <f>SUMIFS(Ere!C:C,Ere!B:B,A1971)</f>
        <v>0</v>
      </c>
      <c r="N1971" s="106" t="str">
        <f t="shared" si="7"/>
        <v>0</v>
      </c>
      <c r="O1971" s="107" t="str">
        <f t="array" ref="O1971">XLOOKUP(A1971,Data!F:F,Data!O:O)</f>
        <v>  0.85 </v>
      </c>
      <c r="P1971" s="107" t="str">
        <f t="shared" si="8"/>
        <v>  2.11 </v>
      </c>
      <c r="Q1971" s="27"/>
    </row>
    <row r="1972" ht="15.75" customHeight="1">
      <c r="A1972" s="105" t="s">
        <v>2216</v>
      </c>
      <c r="B1972" s="19" t="str">
        <f t="array" ref="B1972">XLOOKUP(A1972,Data!F:F,Data!G:G)</f>
        <v>J2B</v>
      </c>
      <c r="C1972" s="19" t="str">
        <f t="shared" si="3"/>
        <v>J081</v>
      </c>
      <c r="D1972" s="19" t="str">
        <f t="array" ref="D1972">XLOOKUP(A1972,Data!F:F,Data!C:C)</f>
        <v>EXT</v>
      </c>
      <c r="E1972" s="19" t="str">
        <f t="array" ref="E1972">XLOOKUP(A1972,Data!F:F,Data!H:H)</f>
        <v>BW</v>
      </c>
      <c r="F1972" s="106" t="str">
        <f>SUMIFS(Data!J:J,Data!F:F,A1972)</f>
        <v>1</v>
      </c>
      <c r="G1972" s="106" t="str">
        <f>SUMIFS(Cast!C:C,CastElements,A1972)</f>
        <v>0</v>
      </c>
      <c r="H1972" s="106" t="str">
        <f t="shared" si="4"/>
        <v>1</v>
      </c>
      <c r="I1972" s="106" t="str">
        <f>SUMIFS(Del!C:C,Del!B:B,A1972)</f>
        <v>0</v>
      </c>
      <c r="J1972" s="106" t="str">
        <f t="shared" si="5"/>
        <v>1</v>
      </c>
      <c r="K1972" s="106" t="str">
        <f t="shared" si="6"/>
        <v>0</v>
      </c>
      <c r="L1972" s="106"/>
      <c r="M1972" s="106" t="str">
        <f>SUMIFS(Ere!C:C,Ere!B:B,A1972)</f>
        <v>0</v>
      </c>
      <c r="N1972" s="106" t="str">
        <f t="shared" si="7"/>
        <v>1</v>
      </c>
      <c r="O1972" s="107" t="str">
        <f t="array" ref="O1972">XLOOKUP(A1972,Data!F:F,Data!O:O)</f>
        <v>  0.98 </v>
      </c>
      <c r="P1972" s="107" t="str">
        <f t="shared" si="8"/>
        <v>  2.44 </v>
      </c>
      <c r="Q1972" s="27"/>
    </row>
    <row r="1973" ht="15.75" customHeight="1">
      <c r="A1973" s="105" t="s">
        <v>2217</v>
      </c>
      <c r="B1973" s="19" t="str">
        <f t="array" ref="B1973">XLOOKUP(A1973,Data!F:F,Data!G:G)</f>
        <v>J2B</v>
      </c>
      <c r="C1973" s="19" t="str">
        <f t="shared" si="3"/>
        <v>J081</v>
      </c>
      <c r="D1973" s="19" t="str">
        <f t="array" ref="D1973">XLOOKUP(A1973,Data!F:F,Data!C:C)</f>
        <v>EXT</v>
      </c>
      <c r="E1973" s="19" t="str">
        <f t="array" ref="E1973">XLOOKUP(A1973,Data!F:F,Data!H:H)</f>
        <v>BW</v>
      </c>
      <c r="F1973" s="106" t="str">
        <f>SUMIFS(Data!J:J,Data!F:F,A1973)</f>
        <v>1</v>
      </c>
      <c r="G1973" s="106" t="str">
        <f>SUMIFS(Cast!C:C,CastElements,A1973)</f>
        <v>0</v>
      </c>
      <c r="H1973" s="106" t="str">
        <f t="shared" si="4"/>
        <v>1</v>
      </c>
      <c r="I1973" s="106" t="str">
        <f>SUMIFS(Del!C:C,Del!B:B,A1973)</f>
        <v>0</v>
      </c>
      <c r="J1973" s="106" t="str">
        <f t="shared" si="5"/>
        <v>1</v>
      </c>
      <c r="K1973" s="106" t="str">
        <f t="shared" si="6"/>
        <v>0</v>
      </c>
      <c r="L1973" s="106"/>
      <c r="M1973" s="106" t="str">
        <f>SUMIFS(Ere!C:C,Ere!B:B,A1973)</f>
        <v>0</v>
      </c>
      <c r="N1973" s="106" t="str">
        <f t="shared" si="7"/>
        <v>1</v>
      </c>
      <c r="O1973" s="107" t="str">
        <f t="array" ref="O1973">XLOOKUP(A1973,Data!F:F,Data!O:O)</f>
        <v>  0.98 </v>
      </c>
      <c r="P1973" s="107" t="str">
        <f t="shared" si="8"/>
        <v>  2.44 </v>
      </c>
      <c r="Q1973" s="27"/>
    </row>
    <row r="1974" ht="15.75" customHeight="1">
      <c r="A1974" s="105" t="s">
        <v>2218</v>
      </c>
      <c r="B1974" s="19" t="str">
        <f t="array" ref="B1974">XLOOKUP(A1974,Data!F:F,Data!G:G)</f>
        <v>J2B</v>
      </c>
      <c r="C1974" s="19" t="str">
        <f t="shared" si="3"/>
        <v>J081</v>
      </c>
      <c r="D1974" s="19" t="str">
        <f t="array" ref="D1974">XLOOKUP(A1974,Data!F:F,Data!C:C)</f>
        <v>EXT</v>
      </c>
      <c r="E1974" s="19" t="str">
        <f t="array" ref="E1974">XLOOKUP(A1974,Data!F:F,Data!H:H)</f>
        <v>BW</v>
      </c>
      <c r="F1974" s="106" t="str">
        <f>SUMIFS(Data!J:J,Data!F:F,A1974)</f>
        <v>1</v>
      </c>
      <c r="G1974" s="106" t="str">
        <f>SUMIFS(Cast!C:C,CastElements,A1974)</f>
        <v>0</v>
      </c>
      <c r="H1974" s="106" t="str">
        <f t="shared" si="4"/>
        <v>1</v>
      </c>
      <c r="I1974" s="106" t="str">
        <f>SUMIFS(Del!C:C,Del!B:B,A1974)</f>
        <v>0</v>
      </c>
      <c r="J1974" s="106" t="str">
        <f t="shared" si="5"/>
        <v>1</v>
      </c>
      <c r="K1974" s="106" t="str">
        <f t="shared" si="6"/>
        <v>0</v>
      </c>
      <c r="L1974" s="106"/>
      <c r="M1974" s="106" t="str">
        <f>SUMIFS(Ere!C:C,Ere!B:B,A1974)</f>
        <v>0</v>
      </c>
      <c r="N1974" s="106" t="str">
        <f t="shared" si="7"/>
        <v>1</v>
      </c>
      <c r="O1974" s="107" t="str">
        <f t="array" ref="O1974">XLOOKUP(A1974,Data!F:F,Data!O:O)</f>
        <v>  0.98 </v>
      </c>
      <c r="P1974" s="107" t="str">
        <f t="shared" si="8"/>
        <v>  2.44 </v>
      </c>
      <c r="Q1974" s="27"/>
    </row>
    <row r="1975" ht="15.75" customHeight="1">
      <c r="A1975" s="105" t="s">
        <v>2219</v>
      </c>
      <c r="B1975" s="19" t="str">
        <f t="array" ref="B1975">XLOOKUP(A1975,Data!F:F,Data!G:G)</f>
        <v>J2B</v>
      </c>
      <c r="C1975" s="19" t="str">
        <f t="shared" si="3"/>
        <v>J081</v>
      </c>
      <c r="D1975" s="19" t="str">
        <f t="array" ref="D1975">XLOOKUP(A1975,Data!F:F,Data!C:C)</f>
        <v>EXT</v>
      </c>
      <c r="E1975" s="19" t="str">
        <f t="array" ref="E1975">XLOOKUP(A1975,Data!F:F,Data!H:H)</f>
        <v>BW</v>
      </c>
      <c r="F1975" s="106" t="str">
        <f>SUMIFS(Data!J:J,Data!F:F,A1975)</f>
        <v>1</v>
      </c>
      <c r="G1975" s="106" t="str">
        <f>SUMIFS(Cast!C:C,CastElements,A1975)</f>
        <v>0</v>
      </c>
      <c r="H1975" s="106" t="str">
        <f t="shared" si="4"/>
        <v>1</v>
      </c>
      <c r="I1975" s="106" t="str">
        <f>SUMIFS(Del!C:C,Del!B:B,A1975)</f>
        <v>0</v>
      </c>
      <c r="J1975" s="106" t="str">
        <f t="shared" si="5"/>
        <v>1</v>
      </c>
      <c r="K1975" s="106" t="str">
        <f t="shared" si="6"/>
        <v>0</v>
      </c>
      <c r="L1975" s="106"/>
      <c r="M1975" s="106" t="str">
        <f>SUMIFS(Ere!C:C,Ere!B:B,A1975)</f>
        <v>0</v>
      </c>
      <c r="N1975" s="106" t="str">
        <f t="shared" si="7"/>
        <v>1</v>
      </c>
      <c r="O1975" s="107" t="str">
        <f t="array" ref="O1975">XLOOKUP(A1975,Data!F:F,Data!O:O)</f>
        <v>  0.98 </v>
      </c>
      <c r="P1975" s="107" t="str">
        <f t="shared" si="8"/>
        <v>  2.44 </v>
      </c>
      <c r="Q1975" s="27"/>
    </row>
    <row r="1976" ht="15.75" customHeight="1">
      <c r="A1976" s="105" t="s">
        <v>2220</v>
      </c>
      <c r="B1976" s="19" t="str">
        <f t="array" ref="B1976">XLOOKUP(A1976,Data!F:F,Data!G:G)</f>
        <v>J2B</v>
      </c>
      <c r="C1976" s="19" t="str">
        <f t="shared" si="3"/>
        <v>J081</v>
      </c>
      <c r="D1976" s="19" t="str">
        <f t="array" ref="D1976">XLOOKUP(A1976,Data!F:F,Data!C:C)</f>
        <v>EXT</v>
      </c>
      <c r="E1976" s="19" t="str">
        <f t="array" ref="E1976">XLOOKUP(A1976,Data!F:F,Data!H:H)</f>
        <v>BW</v>
      </c>
      <c r="F1976" s="106" t="str">
        <f>SUMIFS(Data!J:J,Data!F:F,A1976)</f>
        <v>1</v>
      </c>
      <c r="G1976" s="106" t="str">
        <f>SUMIFS(Cast!C:C,CastElements,A1976)</f>
        <v>0</v>
      </c>
      <c r="H1976" s="106" t="str">
        <f t="shared" si="4"/>
        <v>1</v>
      </c>
      <c r="I1976" s="106" t="str">
        <f>SUMIFS(Del!C:C,Del!B:B,A1976)</f>
        <v>0</v>
      </c>
      <c r="J1976" s="106" t="str">
        <f t="shared" si="5"/>
        <v>1</v>
      </c>
      <c r="K1976" s="106" t="str">
        <f t="shared" si="6"/>
        <v>0</v>
      </c>
      <c r="L1976" s="106"/>
      <c r="M1976" s="106" t="str">
        <f>SUMIFS(Ere!C:C,Ere!B:B,A1976)</f>
        <v>0</v>
      </c>
      <c r="N1976" s="106" t="str">
        <f t="shared" si="7"/>
        <v>1</v>
      </c>
      <c r="O1976" s="107" t="str">
        <f t="array" ref="O1976">XLOOKUP(A1976,Data!F:F,Data!O:O)</f>
        <v>  0.44 </v>
      </c>
      <c r="P1976" s="107" t="str">
        <f t="shared" si="8"/>
        <v>  1.10 </v>
      </c>
      <c r="Q1976" s="27"/>
    </row>
    <row r="1977" ht="15.75" customHeight="1">
      <c r="A1977" s="105" t="s">
        <v>2221</v>
      </c>
      <c r="B1977" s="19" t="str">
        <f t="array" ref="B1977">XLOOKUP(A1977,Data!F:F,Data!G:G)</f>
        <v>J2B</v>
      </c>
      <c r="C1977" s="19" t="str">
        <f t="shared" si="3"/>
        <v>J081</v>
      </c>
      <c r="D1977" s="19" t="str">
        <f t="array" ref="D1977">XLOOKUP(A1977,Data!F:F,Data!C:C)</f>
        <v>EXT</v>
      </c>
      <c r="E1977" s="19" t="str">
        <f t="array" ref="E1977">XLOOKUP(A1977,Data!F:F,Data!H:H)</f>
        <v>BW</v>
      </c>
      <c r="F1977" s="106" t="str">
        <f>SUMIFS(Data!J:J,Data!F:F,A1977)</f>
        <v>1</v>
      </c>
      <c r="G1977" s="106" t="str">
        <f>SUMIFS(Cast!C:C,CastElements,A1977)</f>
        <v>0</v>
      </c>
      <c r="H1977" s="106" t="str">
        <f t="shared" si="4"/>
        <v>1</v>
      </c>
      <c r="I1977" s="106" t="str">
        <f>SUMIFS(Del!C:C,Del!B:B,A1977)</f>
        <v>0</v>
      </c>
      <c r="J1977" s="106" t="str">
        <f t="shared" si="5"/>
        <v>1</v>
      </c>
      <c r="K1977" s="106" t="str">
        <f t="shared" si="6"/>
        <v>0</v>
      </c>
      <c r="L1977" s="106"/>
      <c r="M1977" s="106" t="str">
        <f>SUMIFS(Ere!C:C,Ere!B:B,A1977)</f>
        <v>0</v>
      </c>
      <c r="N1977" s="106" t="str">
        <f t="shared" si="7"/>
        <v>1</v>
      </c>
      <c r="O1977" s="107" t="str">
        <f t="array" ref="O1977">XLOOKUP(A1977,Data!F:F,Data!O:O)</f>
        <v>  0.44 </v>
      </c>
      <c r="P1977" s="107" t="str">
        <f t="shared" si="8"/>
        <v>  1.10 </v>
      </c>
      <c r="Q1977" s="27"/>
    </row>
    <row r="1978" ht="15.75" customHeight="1">
      <c r="A1978" s="105" t="s">
        <v>2222</v>
      </c>
      <c r="B1978" s="19" t="str">
        <f t="array" ref="B1978">XLOOKUP(A1978,Data!F:F,Data!G:G)</f>
        <v>J2B</v>
      </c>
      <c r="C1978" s="19" t="str">
        <f t="shared" si="3"/>
        <v>J081</v>
      </c>
      <c r="D1978" s="19" t="str">
        <f t="array" ref="D1978">XLOOKUP(A1978,Data!F:F,Data!C:C)</f>
        <v>EXT</v>
      </c>
      <c r="E1978" s="19" t="str">
        <f t="array" ref="E1978">XLOOKUP(A1978,Data!F:F,Data!H:H)</f>
        <v>BW</v>
      </c>
      <c r="F1978" s="106" t="str">
        <f>SUMIFS(Data!J:J,Data!F:F,A1978)</f>
        <v>1</v>
      </c>
      <c r="G1978" s="106" t="str">
        <f>SUMIFS(Cast!C:C,CastElements,A1978)</f>
        <v>0</v>
      </c>
      <c r="H1978" s="106" t="str">
        <f t="shared" si="4"/>
        <v>1</v>
      </c>
      <c r="I1978" s="106" t="str">
        <f>SUMIFS(Del!C:C,Del!B:B,A1978)</f>
        <v>0</v>
      </c>
      <c r="J1978" s="106" t="str">
        <f t="shared" si="5"/>
        <v>1</v>
      </c>
      <c r="K1978" s="106" t="str">
        <f t="shared" si="6"/>
        <v>0</v>
      </c>
      <c r="L1978" s="106"/>
      <c r="M1978" s="106" t="str">
        <f>SUMIFS(Ere!C:C,Ere!B:B,A1978)</f>
        <v>0</v>
      </c>
      <c r="N1978" s="106" t="str">
        <f t="shared" si="7"/>
        <v>1</v>
      </c>
      <c r="O1978" s="107" t="str">
        <f t="array" ref="O1978">XLOOKUP(A1978,Data!F:F,Data!O:O)</f>
        <v>  0.58 </v>
      </c>
      <c r="P1978" s="107" t="str">
        <f t="shared" si="8"/>
        <v>  1.46 </v>
      </c>
      <c r="Q1978" s="27"/>
    </row>
    <row r="1979" ht="15.75" customHeight="1">
      <c r="A1979" s="105" t="s">
        <v>2223</v>
      </c>
      <c r="B1979" s="19" t="str">
        <f t="array" ref="B1979">XLOOKUP(A1979,Data!F:F,Data!G:G)</f>
        <v>J2B</v>
      </c>
      <c r="C1979" s="19" t="str">
        <f t="shared" si="3"/>
        <v>J081</v>
      </c>
      <c r="D1979" s="19" t="str">
        <f t="array" ref="D1979">XLOOKUP(A1979,Data!F:F,Data!C:C)</f>
        <v>EXT</v>
      </c>
      <c r="E1979" s="19" t="str">
        <f t="array" ref="E1979">XLOOKUP(A1979,Data!F:F,Data!H:H)</f>
        <v>BW</v>
      </c>
      <c r="F1979" s="106" t="str">
        <f>SUMIFS(Data!J:J,Data!F:F,A1979)</f>
        <v>1</v>
      </c>
      <c r="G1979" s="106" t="str">
        <f>SUMIFS(Cast!C:C,CastElements,A1979)</f>
        <v>0</v>
      </c>
      <c r="H1979" s="106" t="str">
        <f t="shared" si="4"/>
        <v>1</v>
      </c>
      <c r="I1979" s="106" t="str">
        <f>SUMIFS(Del!C:C,Del!B:B,A1979)</f>
        <v>0</v>
      </c>
      <c r="J1979" s="106" t="str">
        <f t="shared" si="5"/>
        <v>1</v>
      </c>
      <c r="K1979" s="106" t="str">
        <f t="shared" si="6"/>
        <v>0</v>
      </c>
      <c r="L1979" s="106"/>
      <c r="M1979" s="106" t="str">
        <f>SUMIFS(Ere!C:C,Ere!B:B,A1979)</f>
        <v>0</v>
      </c>
      <c r="N1979" s="106" t="str">
        <f t="shared" si="7"/>
        <v>1</v>
      </c>
      <c r="O1979" s="107" t="str">
        <f t="array" ref="O1979">XLOOKUP(A1979,Data!F:F,Data!O:O)</f>
        <v>  0.82 </v>
      </c>
      <c r="P1979" s="107" t="str">
        <f t="shared" si="8"/>
        <v>  2.05 </v>
      </c>
      <c r="Q1979" s="27"/>
    </row>
    <row r="1980" ht="15.75" customHeight="1">
      <c r="A1980" s="105" t="s">
        <v>2224</v>
      </c>
      <c r="B1980" s="19" t="str">
        <f t="array" ref="B1980">XLOOKUP(A1980,Data!F:F,Data!G:G)</f>
        <v>J2B</v>
      </c>
      <c r="C1980" s="19" t="str">
        <f t="shared" si="3"/>
        <v>J081</v>
      </c>
      <c r="D1980" s="19" t="str">
        <f t="array" ref="D1980">XLOOKUP(A1980,Data!F:F,Data!C:C)</f>
        <v/>
      </c>
      <c r="E1980" s="19" t="str">
        <f t="array" ref="E1980">XLOOKUP(A1980,Data!F:F,Data!H:H)</f>
        <v>BW</v>
      </c>
      <c r="F1980" s="106" t="str">
        <f>SUMIFS(Data!J:J,Data!F:F,A1980)</f>
        <v>0</v>
      </c>
      <c r="G1980" s="106" t="str">
        <f>SUMIFS(Cast!C:C,CastElements,A1980)</f>
        <v>0</v>
      </c>
      <c r="H1980" s="106" t="str">
        <f t="shared" si="4"/>
        <v>0</v>
      </c>
      <c r="I1980" s="106" t="str">
        <f>SUMIFS(Del!C:C,Del!B:B,A1980)</f>
        <v>0</v>
      </c>
      <c r="J1980" s="106" t="str">
        <f t="shared" si="5"/>
        <v>0</v>
      </c>
      <c r="K1980" s="106" t="str">
        <f t="shared" si="6"/>
        <v>0</v>
      </c>
      <c r="L1980" s="106"/>
      <c r="M1980" s="106" t="str">
        <f>SUMIFS(Ere!C:C,Ere!B:B,A1980)</f>
        <v>0</v>
      </c>
      <c r="N1980" s="106" t="str">
        <f t="shared" si="7"/>
        <v>0</v>
      </c>
      <c r="O1980" s="107" t="str">
        <f t="array" ref="O1980">XLOOKUP(A1980,Data!F:F,Data!O:O)</f>
        <v>  2.00 </v>
      </c>
      <c r="P1980" s="107" t="str">
        <f t="shared" si="8"/>
        <v>  5.01 </v>
      </c>
      <c r="Q1980" s="27"/>
    </row>
    <row r="1981" ht="15.75" customHeight="1">
      <c r="A1981" s="105" t="s">
        <v>2225</v>
      </c>
      <c r="B1981" s="19" t="str">
        <f t="array" ref="B1981">XLOOKUP(A1981,Data!F:F,Data!G:G)</f>
        <v>J2B</v>
      </c>
      <c r="C1981" s="19" t="str">
        <f t="shared" si="3"/>
        <v>J081</v>
      </c>
      <c r="D1981" s="19" t="str">
        <f t="array" ref="D1981">XLOOKUP(A1981,Data!F:F,Data!C:C)</f>
        <v/>
      </c>
      <c r="E1981" s="19" t="str">
        <f t="array" ref="E1981">XLOOKUP(A1981,Data!F:F,Data!H:H)</f>
        <v>BW</v>
      </c>
      <c r="F1981" s="106" t="str">
        <f>SUMIFS(Data!J:J,Data!F:F,A1981)</f>
        <v>0</v>
      </c>
      <c r="G1981" s="106" t="str">
        <f>SUMIFS(Cast!C:C,CastElements,A1981)</f>
        <v>0</v>
      </c>
      <c r="H1981" s="106" t="str">
        <f t="shared" si="4"/>
        <v>0</v>
      </c>
      <c r="I1981" s="106" t="str">
        <f>SUMIFS(Del!C:C,Del!B:B,A1981)</f>
        <v>0</v>
      </c>
      <c r="J1981" s="106" t="str">
        <f t="shared" si="5"/>
        <v>0</v>
      </c>
      <c r="K1981" s="106" t="str">
        <f t="shared" si="6"/>
        <v>0</v>
      </c>
      <c r="L1981" s="106"/>
      <c r="M1981" s="106" t="str">
        <f>SUMIFS(Ere!C:C,Ere!B:B,A1981)</f>
        <v>0</v>
      </c>
      <c r="N1981" s="106" t="str">
        <f t="shared" si="7"/>
        <v>0</v>
      </c>
      <c r="O1981" s="107" t="str">
        <f t="array" ref="O1981">XLOOKUP(A1981,Data!F:F,Data!O:O)</f>
        <v>  2.00 </v>
      </c>
      <c r="P1981" s="107" t="str">
        <f t="shared" si="8"/>
        <v>  5.01 </v>
      </c>
      <c r="Q1981" s="27"/>
    </row>
    <row r="1982" ht="15.75" customHeight="1">
      <c r="A1982" s="105" t="s">
        <v>2226</v>
      </c>
      <c r="B1982" s="19" t="str">
        <f t="array" ref="B1982">XLOOKUP(A1982,Data!F:F,Data!G:G)</f>
        <v>J2B</v>
      </c>
      <c r="C1982" s="19" t="str">
        <f t="shared" si="3"/>
        <v>J081</v>
      </c>
      <c r="D1982" s="19" t="str">
        <f t="array" ref="D1982">XLOOKUP(A1982,Data!F:F,Data!C:C)</f>
        <v/>
      </c>
      <c r="E1982" s="19" t="str">
        <f t="array" ref="E1982">XLOOKUP(A1982,Data!F:F,Data!H:H)</f>
        <v>BW</v>
      </c>
      <c r="F1982" s="106" t="str">
        <f>SUMIFS(Data!J:J,Data!F:F,A1982)</f>
        <v>0</v>
      </c>
      <c r="G1982" s="106" t="str">
        <f>SUMIFS(Cast!C:C,CastElements,A1982)</f>
        <v>0</v>
      </c>
      <c r="H1982" s="106" t="str">
        <f t="shared" si="4"/>
        <v>0</v>
      </c>
      <c r="I1982" s="106" t="str">
        <f>SUMIFS(Del!C:C,Del!B:B,A1982)</f>
        <v>0</v>
      </c>
      <c r="J1982" s="106" t="str">
        <f t="shared" si="5"/>
        <v>0</v>
      </c>
      <c r="K1982" s="106" t="str">
        <f t="shared" si="6"/>
        <v>0</v>
      </c>
      <c r="L1982" s="106"/>
      <c r="M1982" s="106" t="str">
        <f>SUMIFS(Ere!C:C,Ere!B:B,A1982)</f>
        <v>0</v>
      </c>
      <c r="N1982" s="106" t="str">
        <f t="shared" si="7"/>
        <v>0</v>
      </c>
      <c r="O1982" s="107" t="str">
        <f t="array" ref="O1982">XLOOKUP(A1982,Data!F:F,Data!O:O)</f>
        <v>  2.00 </v>
      </c>
      <c r="P1982" s="107" t="str">
        <f t="shared" si="8"/>
        <v>  5.01 </v>
      </c>
      <c r="Q1982" s="27"/>
    </row>
    <row r="1983" ht="15.75" customHeight="1">
      <c r="A1983" s="105" t="s">
        <v>2227</v>
      </c>
      <c r="B1983" s="19" t="str">
        <f t="array" ref="B1983">XLOOKUP(A1983,Data!F:F,Data!G:G)</f>
        <v>J2B</v>
      </c>
      <c r="C1983" s="19" t="str">
        <f t="shared" si="3"/>
        <v>J081</v>
      </c>
      <c r="D1983" s="19" t="str">
        <f t="array" ref="D1983">XLOOKUP(A1983,Data!F:F,Data!C:C)</f>
        <v/>
      </c>
      <c r="E1983" s="19" t="str">
        <f t="array" ref="E1983">XLOOKUP(A1983,Data!F:F,Data!H:H)</f>
        <v>BW</v>
      </c>
      <c r="F1983" s="106" t="str">
        <f>SUMIFS(Data!J:J,Data!F:F,A1983)</f>
        <v>0</v>
      </c>
      <c r="G1983" s="106" t="str">
        <f>SUMIFS(Cast!C:C,CastElements,A1983)</f>
        <v>0</v>
      </c>
      <c r="H1983" s="106" t="str">
        <f t="shared" si="4"/>
        <v>0</v>
      </c>
      <c r="I1983" s="106" t="str">
        <f>SUMIFS(Del!C:C,Del!B:B,A1983)</f>
        <v>0</v>
      </c>
      <c r="J1983" s="106" t="str">
        <f t="shared" si="5"/>
        <v>0</v>
      </c>
      <c r="K1983" s="106" t="str">
        <f t="shared" si="6"/>
        <v>0</v>
      </c>
      <c r="L1983" s="106"/>
      <c r="M1983" s="106" t="str">
        <f>SUMIFS(Ere!C:C,Ere!B:B,A1983)</f>
        <v>0</v>
      </c>
      <c r="N1983" s="106" t="str">
        <f t="shared" si="7"/>
        <v>0</v>
      </c>
      <c r="O1983" s="107" t="str">
        <f t="array" ref="O1983">XLOOKUP(A1983,Data!F:F,Data!O:O)</f>
        <v>  1.67 </v>
      </c>
      <c r="P1983" s="107" t="str">
        <f t="shared" si="8"/>
        <v>  4.17 </v>
      </c>
      <c r="Q1983" s="27"/>
    </row>
    <row r="1984" ht="15.75" customHeight="1">
      <c r="A1984" s="105" t="s">
        <v>2228</v>
      </c>
      <c r="B1984" s="19" t="str">
        <f t="array" ref="B1984">XLOOKUP(A1984,Data!F:F,Data!G:G)</f>
        <v>J2B</v>
      </c>
      <c r="C1984" s="19" t="str">
        <f t="shared" si="3"/>
        <v>J081</v>
      </c>
      <c r="D1984" s="19" t="str">
        <f t="array" ref="D1984">XLOOKUP(A1984,Data!F:F,Data!C:C)</f>
        <v/>
      </c>
      <c r="E1984" s="19" t="str">
        <f t="array" ref="E1984">XLOOKUP(A1984,Data!F:F,Data!H:H)</f>
        <v>BW</v>
      </c>
      <c r="F1984" s="106" t="str">
        <f>SUMIFS(Data!J:J,Data!F:F,A1984)</f>
        <v>0</v>
      </c>
      <c r="G1984" s="106" t="str">
        <f>SUMIFS(Cast!C:C,CastElements,A1984)</f>
        <v>0</v>
      </c>
      <c r="H1984" s="106" t="str">
        <f t="shared" si="4"/>
        <v>0</v>
      </c>
      <c r="I1984" s="106" t="str">
        <f>SUMIFS(Del!C:C,Del!B:B,A1984)</f>
        <v>0</v>
      </c>
      <c r="J1984" s="106" t="str">
        <f t="shared" si="5"/>
        <v>0</v>
      </c>
      <c r="K1984" s="106" t="str">
        <f t="shared" si="6"/>
        <v>0</v>
      </c>
      <c r="L1984" s="106"/>
      <c r="M1984" s="106" t="str">
        <f>SUMIFS(Ere!C:C,Ere!B:B,A1984)</f>
        <v>0</v>
      </c>
      <c r="N1984" s="106" t="str">
        <f t="shared" si="7"/>
        <v>0</v>
      </c>
      <c r="O1984" s="107" t="str">
        <f t="array" ref="O1984">XLOOKUP(A1984,Data!F:F,Data!O:O)</f>
        <v>  1.67 </v>
      </c>
      <c r="P1984" s="107" t="str">
        <f t="shared" si="8"/>
        <v>  4.18 </v>
      </c>
      <c r="Q1984" s="27"/>
    </row>
    <row r="1985" ht="15.75" customHeight="1">
      <c r="A1985" s="105" t="s">
        <v>2229</v>
      </c>
      <c r="B1985" s="19" t="str">
        <f t="array" ref="B1985">XLOOKUP(A1985,Data!F:F,Data!G:G)</f>
        <v>J2B</v>
      </c>
      <c r="C1985" s="19" t="str">
        <f t="shared" si="3"/>
        <v>J081</v>
      </c>
      <c r="D1985" s="19" t="str">
        <f t="array" ref="D1985">XLOOKUP(A1985,Data!F:F,Data!C:C)</f>
        <v/>
      </c>
      <c r="E1985" s="19" t="str">
        <f t="array" ref="E1985">XLOOKUP(A1985,Data!F:F,Data!H:H)</f>
        <v>BW</v>
      </c>
      <c r="F1985" s="106" t="str">
        <f>SUMIFS(Data!J:J,Data!F:F,A1985)</f>
        <v>0</v>
      </c>
      <c r="G1985" s="106" t="str">
        <f>SUMIFS(Cast!C:C,CastElements,A1985)</f>
        <v>0</v>
      </c>
      <c r="H1985" s="106" t="str">
        <f t="shared" si="4"/>
        <v>0</v>
      </c>
      <c r="I1985" s="106" t="str">
        <f>SUMIFS(Del!C:C,Del!B:B,A1985)</f>
        <v>0</v>
      </c>
      <c r="J1985" s="106" t="str">
        <f t="shared" si="5"/>
        <v>0</v>
      </c>
      <c r="K1985" s="106" t="str">
        <f t="shared" si="6"/>
        <v>0</v>
      </c>
      <c r="L1985" s="106"/>
      <c r="M1985" s="106" t="str">
        <f>SUMIFS(Ere!C:C,Ere!B:B,A1985)</f>
        <v>0</v>
      </c>
      <c r="N1985" s="106" t="str">
        <f t="shared" si="7"/>
        <v>0</v>
      </c>
      <c r="O1985" s="107" t="str">
        <f t="array" ref="O1985">XLOOKUP(A1985,Data!F:F,Data!O:O)</f>
        <v>  2.01 </v>
      </c>
      <c r="P1985" s="107" t="str">
        <f t="shared" si="8"/>
        <v>  5.02 </v>
      </c>
      <c r="Q1985" s="27"/>
    </row>
    <row r="1986" ht="15.75" customHeight="1">
      <c r="A1986" s="105" t="s">
        <v>2230</v>
      </c>
      <c r="B1986" s="19" t="str">
        <f t="array" ref="B1986">XLOOKUP(A1986,Data!F:F,Data!G:G)</f>
        <v>J2B</v>
      </c>
      <c r="C1986" s="19" t="str">
        <f t="shared" si="3"/>
        <v>J081</v>
      </c>
      <c r="D1986" s="19" t="str">
        <f t="array" ref="D1986">XLOOKUP(A1986,Data!F:F,Data!C:C)</f>
        <v/>
      </c>
      <c r="E1986" s="19" t="str">
        <f t="array" ref="E1986">XLOOKUP(A1986,Data!F:F,Data!H:H)</f>
        <v>BW</v>
      </c>
      <c r="F1986" s="106" t="str">
        <f>SUMIFS(Data!J:J,Data!F:F,A1986)</f>
        <v>0</v>
      </c>
      <c r="G1986" s="106" t="str">
        <f>SUMIFS(Cast!C:C,CastElements,A1986)</f>
        <v>0</v>
      </c>
      <c r="H1986" s="106" t="str">
        <f t="shared" si="4"/>
        <v>0</v>
      </c>
      <c r="I1986" s="106" t="str">
        <f>SUMIFS(Del!C:C,Del!B:B,A1986)</f>
        <v>0</v>
      </c>
      <c r="J1986" s="106" t="str">
        <f t="shared" si="5"/>
        <v>0</v>
      </c>
      <c r="K1986" s="106" t="str">
        <f t="shared" si="6"/>
        <v>0</v>
      </c>
      <c r="L1986" s="106"/>
      <c r="M1986" s="106" t="str">
        <f>SUMIFS(Ere!C:C,Ere!B:B,A1986)</f>
        <v>0</v>
      </c>
      <c r="N1986" s="106" t="str">
        <f t="shared" si="7"/>
        <v>0</v>
      </c>
      <c r="O1986" s="107" t="str">
        <f t="array" ref="O1986">XLOOKUP(A1986,Data!F:F,Data!O:O)</f>
        <v>  2.01 </v>
      </c>
      <c r="P1986" s="107" t="str">
        <f t="shared" si="8"/>
        <v>  5.02 </v>
      </c>
      <c r="Q1986" s="27"/>
    </row>
    <row r="1987" ht="15.75" customHeight="1">
      <c r="A1987" s="105" t="s">
        <v>2231</v>
      </c>
      <c r="B1987" s="19" t="str">
        <f t="array" ref="B1987">XLOOKUP(A1987,Data!F:F,Data!G:G)</f>
        <v>J2B</v>
      </c>
      <c r="C1987" s="19" t="str">
        <f t="shared" si="3"/>
        <v>J081</v>
      </c>
      <c r="D1987" s="19" t="str">
        <f t="array" ref="D1987">XLOOKUP(A1987,Data!F:F,Data!C:C)</f>
        <v/>
      </c>
      <c r="E1987" s="19" t="str">
        <f t="array" ref="E1987">XLOOKUP(A1987,Data!F:F,Data!H:H)</f>
        <v>BW</v>
      </c>
      <c r="F1987" s="106" t="str">
        <f>SUMIFS(Data!J:J,Data!F:F,A1987)</f>
        <v>0</v>
      </c>
      <c r="G1987" s="106" t="str">
        <f>SUMIFS(Cast!C:C,CastElements,A1987)</f>
        <v>0</v>
      </c>
      <c r="H1987" s="106" t="str">
        <f t="shared" si="4"/>
        <v>0</v>
      </c>
      <c r="I1987" s="106" t="str">
        <f>SUMIFS(Del!C:C,Del!B:B,A1987)</f>
        <v>0</v>
      </c>
      <c r="J1987" s="106" t="str">
        <f t="shared" si="5"/>
        <v>0</v>
      </c>
      <c r="K1987" s="106" t="str">
        <f t="shared" si="6"/>
        <v>0</v>
      </c>
      <c r="L1987" s="106"/>
      <c r="M1987" s="106" t="str">
        <f>SUMIFS(Ere!C:C,Ere!B:B,A1987)</f>
        <v>0</v>
      </c>
      <c r="N1987" s="106" t="str">
        <f t="shared" si="7"/>
        <v>0</v>
      </c>
      <c r="O1987" s="107" t="str">
        <f t="array" ref="O1987">XLOOKUP(A1987,Data!F:F,Data!O:O)</f>
        <v>  2.01 </v>
      </c>
      <c r="P1987" s="107" t="str">
        <f t="shared" si="8"/>
        <v>  5.02 </v>
      </c>
      <c r="Q1987" s="27"/>
    </row>
    <row r="1988" ht="15.75" customHeight="1">
      <c r="A1988" s="105" t="s">
        <v>2232</v>
      </c>
      <c r="B1988" s="19" t="str">
        <f t="array" ref="B1988">XLOOKUP(A1988,Data!F:F,Data!G:G)</f>
        <v>J2B</v>
      </c>
      <c r="C1988" s="19" t="str">
        <f t="shared" si="3"/>
        <v>J081</v>
      </c>
      <c r="D1988" s="19" t="str">
        <f t="array" ref="D1988">XLOOKUP(A1988,Data!F:F,Data!C:C)</f>
        <v/>
      </c>
      <c r="E1988" s="19" t="str">
        <f t="array" ref="E1988">XLOOKUP(A1988,Data!F:F,Data!H:H)</f>
        <v>BW</v>
      </c>
      <c r="F1988" s="106" t="str">
        <f>SUMIFS(Data!J:J,Data!F:F,A1988)</f>
        <v>0</v>
      </c>
      <c r="G1988" s="106" t="str">
        <f>SUMIFS(Cast!C:C,CastElements,A1988)</f>
        <v>0</v>
      </c>
      <c r="H1988" s="106" t="str">
        <f t="shared" si="4"/>
        <v>0</v>
      </c>
      <c r="I1988" s="106" t="str">
        <f>SUMIFS(Del!C:C,Del!B:B,A1988)</f>
        <v>0</v>
      </c>
      <c r="J1988" s="106" t="str">
        <f t="shared" si="5"/>
        <v>0</v>
      </c>
      <c r="K1988" s="106" t="str">
        <f t="shared" si="6"/>
        <v>0</v>
      </c>
      <c r="L1988" s="106"/>
      <c r="M1988" s="106" t="str">
        <f>SUMIFS(Ere!C:C,Ere!B:B,A1988)</f>
        <v>0</v>
      </c>
      <c r="N1988" s="106" t="str">
        <f t="shared" si="7"/>
        <v>0</v>
      </c>
      <c r="O1988" s="107" t="str">
        <f t="array" ref="O1988">XLOOKUP(A1988,Data!F:F,Data!O:O)</f>
        <v>  2.01 </v>
      </c>
      <c r="P1988" s="107" t="str">
        <f t="shared" si="8"/>
        <v>  5.02 </v>
      </c>
      <c r="Q1988" s="27"/>
    </row>
    <row r="1989" ht="15.75" customHeight="1">
      <c r="A1989" s="105" t="s">
        <v>2233</v>
      </c>
      <c r="B1989" s="19" t="str">
        <f t="array" ref="B1989">XLOOKUP(A1989,Data!F:F,Data!G:G)</f>
        <v>J2B</v>
      </c>
      <c r="C1989" s="19" t="str">
        <f t="shared" si="3"/>
        <v>J081</v>
      </c>
      <c r="D1989" s="19" t="str">
        <f t="array" ref="D1989">XLOOKUP(A1989,Data!F:F,Data!C:C)</f>
        <v/>
      </c>
      <c r="E1989" s="19" t="str">
        <f t="array" ref="E1989">XLOOKUP(A1989,Data!F:F,Data!H:H)</f>
        <v>BW</v>
      </c>
      <c r="F1989" s="106" t="str">
        <f>SUMIFS(Data!J:J,Data!F:F,A1989)</f>
        <v>0</v>
      </c>
      <c r="G1989" s="106" t="str">
        <f>SUMIFS(Cast!C:C,CastElements,A1989)</f>
        <v>0</v>
      </c>
      <c r="H1989" s="106" t="str">
        <f t="shared" si="4"/>
        <v>0</v>
      </c>
      <c r="I1989" s="106" t="str">
        <f>SUMIFS(Del!C:C,Del!B:B,A1989)</f>
        <v>0</v>
      </c>
      <c r="J1989" s="106" t="str">
        <f t="shared" si="5"/>
        <v>0</v>
      </c>
      <c r="K1989" s="106" t="str">
        <f t="shared" si="6"/>
        <v>0</v>
      </c>
      <c r="L1989" s="106"/>
      <c r="M1989" s="106" t="str">
        <f>SUMIFS(Ere!C:C,Ere!B:B,A1989)</f>
        <v>0</v>
      </c>
      <c r="N1989" s="106" t="str">
        <f t="shared" si="7"/>
        <v>0</v>
      </c>
      <c r="O1989" s="107" t="str">
        <f t="array" ref="O1989">XLOOKUP(A1989,Data!F:F,Data!O:O)</f>
        <v>  2.18 </v>
      </c>
      <c r="P1989" s="107" t="str">
        <f t="shared" si="8"/>
        <v>  5.45 </v>
      </c>
      <c r="Q1989" s="27"/>
    </row>
    <row r="1990" ht="15.75" customHeight="1">
      <c r="A1990" s="105" t="s">
        <v>2234</v>
      </c>
      <c r="B1990" s="19" t="str">
        <f t="array" ref="B1990">XLOOKUP(A1990,Data!F:F,Data!G:G)</f>
        <v>J2B</v>
      </c>
      <c r="C1990" s="19" t="str">
        <f t="shared" si="3"/>
        <v>J081</v>
      </c>
      <c r="D1990" s="19" t="str">
        <f t="array" ref="D1990">XLOOKUP(A1990,Data!F:F,Data!C:C)</f>
        <v/>
      </c>
      <c r="E1990" s="19" t="str">
        <f t="array" ref="E1990">XLOOKUP(A1990,Data!F:F,Data!H:H)</f>
        <v>BW</v>
      </c>
      <c r="F1990" s="106" t="str">
        <f>SUMIFS(Data!J:J,Data!F:F,A1990)</f>
        <v>0</v>
      </c>
      <c r="G1990" s="106" t="str">
        <f>SUMIFS(Cast!C:C,CastElements,A1990)</f>
        <v>0</v>
      </c>
      <c r="H1990" s="106" t="str">
        <f t="shared" si="4"/>
        <v>0</v>
      </c>
      <c r="I1990" s="106" t="str">
        <f>SUMIFS(Del!C:C,Del!B:B,A1990)</f>
        <v>0</v>
      </c>
      <c r="J1990" s="106" t="str">
        <f t="shared" si="5"/>
        <v>0</v>
      </c>
      <c r="K1990" s="106" t="str">
        <f t="shared" si="6"/>
        <v>0</v>
      </c>
      <c r="L1990" s="106"/>
      <c r="M1990" s="106" t="str">
        <f>SUMIFS(Ere!C:C,Ere!B:B,A1990)</f>
        <v>0</v>
      </c>
      <c r="N1990" s="106" t="str">
        <f t="shared" si="7"/>
        <v>0</v>
      </c>
      <c r="O1990" s="107" t="str">
        <f t="array" ref="O1990">XLOOKUP(A1990,Data!F:F,Data!O:O)</f>
        <v>  2.67 </v>
      </c>
      <c r="P1990" s="107" t="str">
        <f t="shared" si="8"/>
        <v>  6.68 </v>
      </c>
      <c r="Q1990" s="27"/>
    </row>
    <row r="1991" ht="15.75" customHeight="1">
      <c r="A1991" s="105" t="s">
        <v>2235</v>
      </c>
      <c r="B1991" s="19" t="str">
        <f t="array" ref="B1991">XLOOKUP(A1991,Data!F:F,Data!G:G)</f>
        <v>J2B</v>
      </c>
      <c r="C1991" s="19" t="str">
        <f t="shared" si="3"/>
        <v>J081</v>
      </c>
      <c r="D1991" s="19" t="str">
        <f t="array" ref="D1991">XLOOKUP(A1991,Data!F:F,Data!C:C)</f>
        <v/>
      </c>
      <c r="E1991" s="19" t="str">
        <f t="array" ref="E1991">XLOOKUP(A1991,Data!F:F,Data!H:H)</f>
        <v>BW</v>
      </c>
      <c r="F1991" s="106" t="str">
        <f>SUMIFS(Data!J:J,Data!F:F,A1991)</f>
        <v>0</v>
      </c>
      <c r="G1991" s="106" t="str">
        <f>SUMIFS(Cast!C:C,CastElements,A1991)</f>
        <v>0</v>
      </c>
      <c r="H1991" s="106" t="str">
        <f t="shared" si="4"/>
        <v>0</v>
      </c>
      <c r="I1991" s="106" t="str">
        <f>SUMIFS(Del!C:C,Del!B:B,A1991)</f>
        <v>0</v>
      </c>
      <c r="J1991" s="106" t="str">
        <f t="shared" si="5"/>
        <v>0</v>
      </c>
      <c r="K1991" s="106" t="str">
        <f t="shared" si="6"/>
        <v>0</v>
      </c>
      <c r="L1991" s="106"/>
      <c r="M1991" s="106" t="str">
        <f>SUMIFS(Ere!C:C,Ere!B:B,A1991)</f>
        <v>0</v>
      </c>
      <c r="N1991" s="106" t="str">
        <f t="shared" si="7"/>
        <v>0</v>
      </c>
      <c r="O1991" s="107" t="str">
        <f t="array" ref="O1991">XLOOKUP(A1991,Data!F:F,Data!O:O)</f>
        <v>  2.64 </v>
      </c>
      <c r="P1991" s="107" t="str">
        <f t="shared" si="8"/>
        <v>  6.60 </v>
      </c>
      <c r="Q1991" s="27"/>
    </row>
    <row r="1992" ht="15.75" customHeight="1">
      <c r="A1992" s="105" t="s">
        <v>2236</v>
      </c>
      <c r="B1992" s="19" t="str">
        <f t="array" ref="B1992">XLOOKUP(A1992,Data!F:F,Data!G:G)</f>
        <v>J2B</v>
      </c>
      <c r="C1992" s="19" t="str">
        <f t="shared" si="3"/>
        <v>J081</v>
      </c>
      <c r="D1992" s="19" t="str">
        <f t="array" ref="D1992">XLOOKUP(A1992,Data!F:F,Data!C:C)</f>
        <v/>
      </c>
      <c r="E1992" s="19" t="str">
        <f t="array" ref="E1992">XLOOKUP(A1992,Data!F:F,Data!H:H)</f>
        <v>BW</v>
      </c>
      <c r="F1992" s="106" t="str">
        <f>SUMIFS(Data!J:J,Data!F:F,A1992)</f>
        <v>0</v>
      </c>
      <c r="G1992" s="106" t="str">
        <f>SUMIFS(Cast!C:C,CastElements,A1992)</f>
        <v>0</v>
      </c>
      <c r="H1992" s="106" t="str">
        <f t="shared" si="4"/>
        <v>0</v>
      </c>
      <c r="I1992" s="106" t="str">
        <f>SUMIFS(Del!C:C,Del!B:B,A1992)</f>
        <v>0</v>
      </c>
      <c r="J1992" s="106" t="str">
        <f t="shared" si="5"/>
        <v>0</v>
      </c>
      <c r="K1992" s="106" t="str">
        <f t="shared" si="6"/>
        <v>0</v>
      </c>
      <c r="L1992" s="106"/>
      <c r="M1992" s="106" t="str">
        <f>SUMIFS(Ere!C:C,Ere!B:B,A1992)</f>
        <v>0</v>
      </c>
      <c r="N1992" s="106" t="str">
        <f t="shared" si="7"/>
        <v>0</v>
      </c>
      <c r="O1992" s="107" t="str">
        <f t="array" ref="O1992">XLOOKUP(A1992,Data!F:F,Data!O:O)</f>
        <v>  0.38 </v>
      </c>
      <c r="P1992" s="107" t="str">
        <f t="shared" si="8"/>
        <v>  0.94 </v>
      </c>
      <c r="Q1992" s="27"/>
    </row>
    <row r="1993" ht="15.75" customHeight="1">
      <c r="A1993" s="105" t="s">
        <v>2237</v>
      </c>
      <c r="B1993" s="19" t="str">
        <f t="array" ref="B1993">XLOOKUP(A1993,Data!F:F,Data!G:G)</f>
        <v>J2B</v>
      </c>
      <c r="C1993" s="19" t="str">
        <f t="shared" si="3"/>
        <v>J081</v>
      </c>
      <c r="D1993" s="19" t="str">
        <f t="array" ref="D1993">XLOOKUP(A1993,Data!F:F,Data!C:C)</f>
        <v/>
      </c>
      <c r="E1993" s="19" t="str">
        <f t="array" ref="E1993">XLOOKUP(A1993,Data!F:F,Data!H:H)</f>
        <v>BW</v>
      </c>
      <c r="F1993" s="106" t="str">
        <f>SUMIFS(Data!J:J,Data!F:F,A1993)</f>
        <v>0</v>
      </c>
      <c r="G1993" s="106" t="str">
        <f>SUMIFS(Cast!C:C,CastElements,A1993)</f>
        <v>0</v>
      </c>
      <c r="H1993" s="106" t="str">
        <f t="shared" si="4"/>
        <v>0</v>
      </c>
      <c r="I1993" s="106" t="str">
        <f>SUMIFS(Del!C:C,Del!B:B,A1993)</f>
        <v>0</v>
      </c>
      <c r="J1993" s="106" t="str">
        <f t="shared" si="5"/>
        <v>0</v>
      </c>
      <c r="K1993" s="106" t="str">
        <f t="shared" si="6"/>
        <v>0</v>
      </c>
      <c r="L1993" s="106"/>
      <c r="M1993" s="106" t="str">
        <f>SUMIFS(Ere!C:C,Ere!B:B,A1993)</f>
        <v>0</v>
      </c>
      <c r="N1993" s="106" t="str">
        <f t="shared" si="7"/>
        <v>0</v>
      </c>
      <c r="O1993" s="107" t="str">
        <f t="array" ref="O1993">XLOOKUP(A1993,Data!F:F,Data!O:O)</f>
        <v>  0.49 </v>
      </c>
      <c r="P1993" s="107" t="str">
        <f t="shared" si="8"/>
        <v>  1.24 </v>
      </c>
      <c r="Q1993" s="27"/>
    </row>
    <row r="1994" ht="15.75" customHeight="1">
      <c r="A1994" s="105" t="s">
        <v>2238</v>
      </c>
      <c r="B1994" s="19" t="str">
        <f t="array" ref="B1994">XLOOKUP(A1994,Data!F:F,Data!G:G)</f>
        <v>J2B</v>
      </c>
      <c r="C1994" s="19" t="str">
        <f t="shared" si="3"/>
        <v>J081</v>
      </c>
      <c r="D1994" s="19" t="str">
        <f t="array" ref="D1994">XLOOKUP(A1994,Data!F:F,Data!C:C)</f>
        <v/>
      </c>
      <c r="E1994" s="19" t="str">
        <f t="array" ref="E1994">XLOOKUP(A1994,Data!F:F,Data!H:H)</f>
        <v>CF</v>
      </c>
      <c r="F1994" s="106" t="str">
        <f>SUMIFS(Data!J:J,Data!F:F,A1994)</f>
        <v>0</v>
      </c>
      <c r="G1994" s="106" t="str">
        <f>SUMIFS(Cast!C:C,CastElements,A1994)</f>
        <v>0</v>
      </c>
      <c r="H1994" s="106" t="str">
        <f t="shared" si="4"/>
        <v>0</v>
      </c>
      <c r="I1994" s="106" t="str">
        <f>SUMIFS(Del!C:C,Del!B:B,A1994)</f>
        <v>0</v>
      </c>
      <c r="J1994" s="106" t="str">
        <f t="shared" si="5"/>
        <v>0</v>
      </c>
      <c r="K1994" s="106" t="str">
        <f t="shared" si="6"/>
        <v>0</v>
      </c>
      <c r="L1994" s="106"/>
      <c r="M1994" s="106" t="str">
        <f>SUMIFS(Ere!C:C,Ere!B:B,A1994)</f>
        <v>0</v>
      </c>
      <c r="N1994" s="106" t="str">
        <f t="shared" si="7"/>
        <v>0</v>
      </c>
      <c r="O1994" s="107" t="str">
        <f t="array" ref="O1994">XLOOKUP(A1994,Data!F:F,Data!O:O)</f>
        <v>  0.54 </v>
      </c>
      <c r="P1994" s="107" t="str">
        <f t="shared" si="8"/>
        <v>  1.36 </v>
      </c>
      <c r="Q1994" s="27"/>
    </row>
    <row r="1995" ht="15.75" customHeight="1">
      <c r="A1995" s="105" t="s">
        <v>2239</v>
      </c>
      <c r="B1995" s="19" t="str">
        <f t="array" ref="B1995">XLOOKUP(A1995,Data!F:F,Data!G:G)</f>
        <v>J2B</v>
      </c>
      <c r="C1995" s="19" t="str">
        <f t="shared" si="3"/>
        <v>J081</v>
      </c>
      <c r="D1995" s="19" t="str">
        <f t="array" ref="D1995">XLOOKUP(A1995,Data!F:F,Data!C:C)</f>
        <v/>
      </c>
      <c r="E1995" s="19" t="str">
        <f t="array" ref="E1995">XLOOKUP(A1995,Data!F:F,Data!H:H)</f>
        <v>CF</v>
      </c>
      <c r="F1995" s="106" t="str">
        <f>SUMIFS(Data!J:J,Data!F:F,A1995)</f>
        <v>0</v>
      </c>
      <c r="G1995" s="106" t="str">
        <f>SUMIFS(Cast!C:C,CastElements,A1995)</f>
        <v>0</v>
      </c>
      <c r="H1995" s="106" t="str">
        <f t="shared" si="4"/>
        <v>0</v>
      </c>
      <c r="I1995" s="106" t="str">
        <f>SUMIFS(Del!C:C,Del!B:B,A1995)</f>
        <v>0</v>
      </c>
      <c r="J1995" s="106" t="str">
        <f t="shared" si="5"/>
        <v>0</v>
      </c>
      <c r="K1995" s="106" t="str">
        <f t="shared" si="6"/>
        <v>0</v>
      </c>
      <c r="L1995" s="106"/>
      <c r="M1995" s="106" t="str">
        <f>SUMIFS(Ere!C:C,Ere!B:B,A1995)</f>
        <v>0</v>
      </c>
      <c r="N1995" s="106" t="str">
        <f t="shared" si="7"/>
        <v>0</v>
      </c>
      <c r="O1995" s="107" t="str">
        <f t="array" ref="O1995">XLOOKUP(A1995,Data!F:F,Data!O:O)</f>
        <v>  0.29 </v>
      </c>
      <c r="P1995" s="107" t="str">
        <f t="shared" si="8"/>
        <v>  0.73 </v>
      </c>
      <c r="Q1995" s="27"/>
    </row>
    <row r="1996" ht="15.75" customHeight="1">
      <c r="A1996" s="105" t="s">
        <v>2240</v>
      </c>
      <c r="B1996" s="19" t="str">
        <f t="array" ref="B1996">XLOOKUP(A1996,Data!F:F,Data!G:G)</f>
        <v>J2B</v>
      </c>
      <c r="C1996" s="19" t="str">
        <f t="shared" si="3"/>
        <v>J082</v>
      </c>
      <c r="D1996" s="19" t="str">
        <f t="array" ref="D1996">XLOOKUP(A1996,Data!F:F,Data!C:C)</f>
        <v>EXT</v>
      </c>
      <c r="E1996" s="19" t="str">
        <f t="array" ref="E1996">XLOOKUP(A1996,Data!F:F,Data!H:H)</f>
        <v>BW</v>
      </c>
      <c r="F1996" s="106" t="str">
        <f>SUMIFS(Data!J:J,Data!F:F,A1996)</f>
        <v>0</v>
      </c>
      <c r="G1996" s="106" t="str">
        <f>SUMIFS(Cast!C:C,CastElements,A1996)</f>
        <v>1</v>
      </c>
      <c r="H1996" s="106" t="str">
        <f t="shared" si="4"/>
        <v>-1</v>
      </c>
      <c r="I1996" s="106" t="str">
        <f>SUMIFS(Del!C:C,Del!B:B,A1996)</f>
        <v>0</v>
      </c>
      <c r="J1996" s="106" t="str">
        <f t="shared" si="5"/>
        <v>0</v>
      </c>
      <c r="K1996" s="106" t="str">
        <f t="shared" si="6"/>
        <v>1</v>
      </c>
      <c r="L1996" s="106"/>
      <c r="M1996" s="106" t="str">
        <f>SUMIFS(Ere!C:C,Ere!B:B,A1996)</f>
        <v>0</v>
      </c>
      <c r="N1996" s="106" t="str">
        <f t="shared" si="7"/>
        <v>0</v>
      </c>
      <c r="O1996" s="107" t="str">
        <f t="array" ref="O1996">XLOOKUP(A1996,Data!F:F,Data!O:O)</f>
        <v>  0.49 </v>
      </c>
      <c r="P1996" s="107" t="str">
        <f t="shared" si="8"/>
        <v>  1.24 </v>
      </c>
      <c r="Q1996" s="27"/>
    </row>
    <row r="1997" ht="15.75" customHeight="1">
      <c r="A1997" s="105" t="s">
        <v>2241</v>
      </c>
      <c r="B1997" s="19" t="str">
        <f t="array" ref="B1997">XLOOKUP(A1997,Data!F:F,Data!G:G)</f>
        <v>J2B</v>
      </c>
      <c r="C1997" s="19" t="str">
        <f t="shared" si="3"/>
        <v>J082</v>
      </c>
      <c r="D1997" s="19" t="str">
        <f t="array" ref="D1997">XLOOKUP(A1997,Data!F:F,Data!C:C)</f>
        <v>EXT</v>
      </c>
      <c r="E1997" s="19" t="str">
        <f t="array" ref="E1997">XLOOKUP(A1997,Data!F:F,Data!H:H)</f>
        <v>BW</v>
      </c>
      <c r="F1997" s="106" t="str">
        <f>SUMIFS(Data!J:J,Data!F:F,A1997)</f>
        <v>1</v>
      </c>
      <c r="G1997" s="106" t="str">
        <f>SUMIFS(Cast!C:C,CastElements,A1997)</f>
        <v>0</v>
      </c>
      <c r="H1997" s="106" t="str">
        <f t="shared" si="4"/>
        <v>1</v>
      </c>
      <c r="I1997" s="106" t="str">
        <f>SUMIFS(Del!C:C,Del!B:B,A1997)</f>
        <v>0</v>
      </c>
      <c r="J1997" s="106" t="str">
        <f t="shared" si="5"/>
        <v>1</v>
      </c>
      <c r="K1997" s="106" t="str">
        <f t="shared" si="6"/>
        <v>0</v>
      </c>
      <c r="L1997" s="106"/>
      <c r="M1997" s="106" t="str">
        <f>SUMIFS(Ere!C:C,Ere!B:B,A1997)</f>
        <v>0</v>
      </c>
      <c r="N1997" s="106" t="str">
        <f t="shared" si="7"/>
        <v>1</v>
      </c>
      <c r="O1997" s="107" t="str">
        <f t="array" ref="O1997">XLOOKUP(A1997,Data!F:F,Data!O:O)</f>
        <v>  1.03 </v>
      </c>
      <c r="P1997" s="107" t="str">
        <f t="shared" si="8"/>
        <v>  2.58 </v>
      </c>
      <c r="Q1997" s="27"/>
    </row>
    <row r="1998" ht="15.75" customHeight="1">
      <c r="A1998" s="105" t="s">
        <v>2242</v>
      </c>
      <c r="B1998" s="19" t="str">
        <f t="array" ref="B1998">XLOOKUP(A1998,Data!F:F,Data!G:G)</f>
        <v>J2B</v>
      </c>
      <c r="C1998" s="19" t="str">
        <f t="shared" si="3"/>
        <v>J082</v>
      </c>
      <c r="D1998" s="19" t="str">
        <f t="array" ref="D1998">XLOOKUP(A1998,Data!F:F,Data!C:C)</f>
        <v>EXT</v>
      </c>
      <c r="E1998" s="19" t="str">
        <f t="array" ref="E1998">XLOOKUP(A1998,Data!F:F,Data!H:H)</f>
        <v>BW</v>
      </c>
      <c r="F1998" s="106" t="str">
        <f>SUMIFS(Data!J:J,Data!F:F,A1998)</f>
        <v>1</v>
      </c>
      <c r="G1998" s="106" t="str">
        <f>SUMIFS(Cast!C:C,CastElements,A1998)</f>
        <v>0</v>
      </c>
      <c r="H1998" s="106" t="str">
        <f t="shared" si="4"/>
        <v>1</v>
      </c>
      <c r="I1998" s="106" t="str">
        <f>SUMIFS(Del!C:C,Del!B:B,A1998)</f>
        <v>0</v>
      </c>
      <c r="J1998" s="106" t="str">
        <f t="shared" si="5"/>
        <v>1</v>
      </c>
      <c r="K1998" s="106" t="str">
        <f t="shared" si="6"/>
        <v>0</v>
      </c>
      <c r="L1998" s="106"/>
      <c r="M1998" s="106" t="str">
        <f>SUMIFS(Ere!C:C,Ere!B:B,A1998)</f>
        <v>0</v>
      </c>
      <c r="N1998" s="106" t="str">
        <f t="shared" si="7"/>
        <v>1</v>
      </c>
      <c r="O1998" s="107" t="str">
        <f t="array" ref="O1998">XLOOKUP(A1998,Data!F:F,Data!O:O)</f>
        <v>  0.85 </v>
      </c>
      <c r="P1998" s="107" t="str">
        <f t="shared" si="8"/>
        <v>  2.12 </v>
      </c>
      <c r="Q1998" s="27"/>
    </row>
    <row r="1999" ht="15.75" customHeight="1">
      <c r="A1999" s="105" t="s">
        <v>2243</v>
      </c>
      <c r="B1999" s="19" t="str">
        <f t="array" ref="B1999">XLOOKUP(A1999,Data!F:F,Data!G:G)</f>
        <v>J2B</v>
      </c>
      <c r="C1999" s="19" t="str">
        <f t="shared" si="3"/>
        <v>J082</v>
      </c>
      <c r="D1999" s="19" t="str">
        <f t="array" ref="D1999">XLOOKUP(A1999,Data!F:F,Data!C:C)</f>
        <v>EXT</v>
      </c>
      <c r="E1999" s="19" t="str">
        <f t="array" ref="E1999">XLOOKUP(A1999,Data!F:F,Data!H:H)</f>
        <v>BW</v>
      </c>
      <c r="F1999" s="106" t="str">
        <f>SUMIFS(Data!J:J,Data!F:F,A1999)</f>
        <v>1</v>
      </c>
      <c r="G1999" s="106" t="str">
        <f>SUMIFS(Cast!C:C,CastElements,A1999)</f>
        <v>0</v>
      </c>
      <c r="H1999" s="106" t="str">
        <f t="shared" si="4"/>
        <v>1</v>
      </c>
      <c r="I1999" s="106" t="str">
        <f>SUMIFS(Del!C:C,Del!B:B,A1999)</f>
        <v>0</v>
      </c>
      <c r="J1999" s="106" t="str">
        <f t="shared" si="5"/>
        <v>1</v>
      </c>
      <c r="K1999" s="106" t="str">
        <f t="shared" si="6"/>
        <v>0</v>
      </c>
      <c r="L1999" s="106"/>
      <c r="M1999" s="106" t="str">
        <f>SUMIFS(Ere!C:C,Ere!B:B,A1999)</f>
        <v>0</v>
      </c>
      <c r="N1999" s="106" t="str">
        <f t="shared" si="7"/>
        <v>1</v>
      </c>
      <c r="O1999" s="107" t="str">
        <f t="array" ref="O1999">XLOOKUP(A1999,Data!F:F,Data!O:O)</f>
        <v>  0.85 </v>
      </c>
      <c r="P1999" s="107" t="str">
        <f t="shared" si="8"/>
        <v>  2.12 </v>
      </c>
      <c r="Q1999" s="27"/>
    </row>
    <row r="2000" ht="15.75" customHeight="1">
      <c r="A2000" s="105" t="s">
        <v>2244</v>
      </c>
      <c r="B2000" s="19" t="str">
        <f t="array" ref="B2000">XLOOKUP(A2000,Data!F:F,Data!G:G)</f>
        <v>J2B</v>
      </c>
      <c r="C2000" s="19" t="str">
        <f t="shared" si="3"/>
        <v>J082</v>
      </c>
      <c r="D2000" s="19" t="str">
        <f t="array" ref="D2000">XLOOKUP(A2000,Data!F:F,Data!C:C)</f>
        <v>EXT</v>
      </c>
      <c r="E2000" s="19" t="str">
        <f t="array" ref="E2000">XLOOKUP(A2000,Data!F:F,Data!H:H)</f>
        <v>BW</v>
      </c>
      <c r="F2000" s="106" t="str">
        <f>SUMIFS(Data!J:J,Data!F:F,A2000)</f>
        <v>1</v>
      </c>
      <c r="G2000" s="106" t="str">
        <f>SUMIFS(Cast!C:C,CastElements,A2000)</f>
        <v>0</v>
      </c>
      <c r="H2000" s="106" t="str">
        <f t="shared" si="4"/>
        <v>1</v>
      </c>
      <c r="I2000" s="106" t="str">
        <f>SUMIFS(Del!C:C,Del!B:B,A2000)</f>
        <v>0</v>
      </c>
      <c r="J2000" s="106" t="str">
        <f t="shared" si="5"/>
        <v>1</v>
      </c>
      <c r="K2000" s="106" t="str">
        <f t="shared" si="6"/>
        <v>0</v>
      </c>
      <c r="L2000" s="106"/>
      <c r="M2000" s="106" t="str">
        <f>SUMIFS(Ere!C:C,Ere!B:B,A2000)</f>
        <v>0</v>
      </c>
      <c r="N2000" s="106" t="str">
        <f t="shared" si="7"/>
        <v>1</v>
      </c>
      <c r="O2000" s="107" t="str">
        <f t="array" ref="O2000">XLOOKUP(A2000,Data!F:F,Data!O:O)</f>
        <v>  0.43 </v>
      </c>
      <c r="P2000" s="107" t="str">
        <f t="shared" si="8"/>
        <v>  1.07 </v>
      </c>
      <c r="Q2000" s="27"/>
    </row>
    <row r="2001" ht="15.75" customHeight="1">
      <c r="A2001" s="105" t="s">
        <v>2245</v>
      </c>
      <c r="B2001" s="19" t="str">
        <f t="array" ref="B2001">XLOOKUP(A2001,Data!F:F,Data!G:G)</f>
        <v>J2B</v>
      </c>
      <c r="C2001" s="19" t="str">
        <f t="shared" si="3"/>
        <v>J082</v>
      </c>
      <c r="D2001" s="19" t="str">
        <f t="array" ref="D2001">XLOOKUP(A2001,Data!F:F,Data!C:C)</f>
        <v>EXT</v>
      </c>
      <c r="E2001" s="19" t="str">
        <f t="array" ref="E2001">XLOOKUP(A2001,Data!F:F,Data!H:H)</f>
        <v>BW</v>
      </c>
      <c r="F2001" s="106" t="str">
        <f>SUMIFS(Data!J:J,Data!F:F,A2001)</f>
        <v>1</v>
      </c>
      <c r="G2001" s="106" t="str">
        <f>SUMIFS(Cast!C:C,CastElements,A2001)</f>
        <v>0</v>
      </c>
      <c r="H2001" s="106" t="str">
        <f t="shared" si="4"/>
        <v>1</v>
      </c>
      <c r="I2001" s="106" t="str">
        <f>SUMIFS(Del!C:C,Del!B:B,A2001)</f>
        <v>0</v>
      </c>
      <c r="J2001" s="106" t="str">
        <f t="shared" si="5"/>
        <v>1</v>
      </c>
      <c r="K2001" s="106" t="str">
        <f t="shared" si="6"/>
        <v>0</v>
      </c>
      <c r="L2001" s="106"/>
      <c r="M2001" s="106" t="str">
        <f>SUMIFS(Ere!C:C,Ere!B:B,A2001)</f>
        <v>0</v>
      </c>
      <c r="N2001" s="106" t="str">
        <f t="shared" si="7"/>
        <v>1</v>
      </c>
      <c r="O2001" s="107" t="str">
        <f t="array" ref="O2001">XLOOKUP(A2001,Data!F:F,Data!O:O)</f>
        <v>  0.92 </v>
      </c>
      <c r="P2001" s="107" t="str">
        <f t="shared" si="8"/>
        <v>  2.29 </v>
      </c>
      <c r="Q2001" s="27"/>
    </row>
    <row r="2002" ht="15.75" customHeight="1">
      <c r="A2002" s="105" t="s">
        <v>2246</v>
      </c>
      <c r="B2002" s="19" t="str">
        <f t="array" ref="B2002">XLOOKUP(A2002,Data!F:F,Data!G:G)</f>
        <v>J2B</v>
      </c>
      <c r="C2002" s="19" t="str">
        <f t="shared" si="3"/>
        <v>J082</v>
      </c>
      <c r="D2002" s="19" t="str">
        <f t="array" ref="D2002">XLOOKUP(A2002,Data!F:F,Data!C:C)</f>
        <v>EXT</v>
      </c>
      <c r="E2002" s="19" t="str">
        <f t="array" ref="E2002">XLOOKUP(A2002,Data!F:F,Data!H:H)</f>
        <v>BW</v>
      </c>
      <c r="F2002" s="106" t="str">
        <f>SUMIFS(Data!J:J,Data!F:F,A2002)</f>
        <v>1</v>
      </c>
      <c r="G2002" s="106" t="str">
        <f>SUMIFS(Cast!C:C,CastElements,A2002)</f>
        <v>0</v>
      </c>
      <c r="H2002" s="106" t="str">
        <f t="shared" si="4"/>
        <v>1</v>
      </c>
      <c r="I2002" s="106" t="str">
        <f>SUMIFS(Del!C:C,Del!B:B,A2002)</f>
        <v>0</v>
      </c>
      <c r="J2002" s="106" t="str">
        <f t="shared" si="5"/>
        <v>1</v>
      </c>
      <c r="K2002" s="106" t="str">
        <f t="shared" si="6"/>
        <v>0</v>
      </c>
      <c r="L2002" s="106"/>
      <c r="M2002" s="106" t="str">
        <f>SUMIFS(Ere!C:C,Ere!B:B,A2002)</f>
        <v>0</v>
      </c>
      <c r="N2002" s="106" t="str">
        <f t="shared" si="7"/>
        <v>1</v>
      </c>
      <c r="O2002" s="107" t="str">
        <f t="array" ref="O2002">XLOOKUP(A2002,Data!F:F,Data!O:O)</f>
        <v>  0.92 </v>
      </c>
      <c r="P2002" s="107" t="str">
        <f t="shared" si="8"/>
        <v>  2.29 </v>
      </c>
      <c r="Q2002" s="27"/>
    </row>
    <row r="2003" ht="15.75" customHeight="1">
      <c r="A2003" s="105" t="s">
        <v>2247</v>
      </c>
      <c r="B2003" s="19" t="str">
        <f t="array" ref="B2003">XLOOKUP(A2003,Data!F:F,Data!G:G)</f>
        <v>J2B</v>
      </c>
      <c r="C2003" s="19" t="str">
        <f t="shared" si="3"/>
        <v>J082</v>
      </c>
      <c r="D2003" s="19" t="str">
        <f t="array" ref="D2003">XLOOKUP(A2003,Data!F:F,Data!C:C)</f>
        <v/>
      </c>
      <c r="E2003" s="19" t="str">
        <f t="array" ref="E2003">XLOOKUP(A2003,Data!F:F,Data!H:H)</f>
        <v>BW</v>
      </c>
      <c r="F2003" s="106" t="str">
        <f>SUMIFS(Data!J:J,Data!F:F,A2003)</f>
        <v>0</v>
      </c>
      <c r="G2003" s="106" t="str">
        <f>SUMIFS(Cast!C:C,CastElements,A2003)</f>
        <v>0</v>
      </c>
      <c r="H2003" s="106" t="str">
        <f t="shared" si="4"/>
        <v>0</v>
      </c>
      <c r="I2003" s="106" t="str">
        <f>SUMIFS(Del!C:C,Del!B:B,A2003)</f>
        <v>0</v>
      </c>
      <c r="J2003" s="106" t="str">
        <f t="shared" si="5"/>
        <v>0</v>
      </c>
      <c r="K2003" s="106" t="str">
        <f t="shared" si="6"/>
        <v>0</v>
      </c>
      <c r="L2003" s="106"/>
      <c r="M2003" s="106" t="str">
        <f>SUMIFS(Ere!C:C,Ere!B:B,A2003)</f>
        <v>0</v>
      </c>
      <c r="N2003" s="106" t="str">
        <f t="shared" si="7"/>
        <v>0</v>
      </c>
      <c r="O2003" s="107" t="str">
        <f t="array" ref="O2003">XLOOKUP(A2003,Data!F:F,Data!O:O)</f>
        <v>  1.19 </v>
      </c>
      <c r="P2003" s="107" t="str">
        <f t="shared" si="8"/>
        <v>  2.99 </v>
      </c>
      <c r="Q2003" s="27"/>
    </row>
    <row r="2004" ht="15.75" customHeight="1">
      <c r="A2004" s="105" t="s">
        <v>2248</v>
      </c>
      <c r="B2004" s="19" t="str">
        <f t="array" ref="B2004">XLOOKUP(A2004,Data!F:F,Data!G:G)</f>
        <v>J2B</v>
      </c>
      <c r="C2004" s="19" t="str">
        <f t="shared" si="3"/>
        <v>J082</v>
      </c>
      <c r="D2004" s="19" t="str">
        <f t="array" ref="D2004">XLOOKUP(A2004,Data!F:F,Data!C:C)</f>
        <v/>
      </c>
      <c r="E2004" s="19" t="str">
        <f t="array" ref="E2004">XLOOKUP(A2004,Data!F:F,Data!H:H)</f>
        <v>BW</v>
      </c>
      <c r="F2004" s="106" t="str">
        <f>SUMIFS(Data!J:J,Data!F:F,A2004)</f>
        <v>0</v>
      </c>
      <c r="G2004" s="106" t="str">
        <f>SUMIFS(Cast!C:C,CastElements,A2004)</f>
        <v>0</v>
      </c>
      <c r="H2004" s="106" t="str">
        <f t="shared" si="4"/>
        <v>0</v>
      </c>
      <c r="I2004" s="106" t="str">
        <f>SUMIFS(Del!C:C,Del!B:B,A2004)</f>
        <v>0</v>
      </c>
      <c r="J2004" s="106" t="str">
        <f t="shared" si="5"/>
        <v>0</v>
      </c>
      <c r="K2004" s="106" t="str">
        <f t="shared" si="6"/>
        <v>0</v>
      </c>
      <c r="L2004" s="106"/>
      <c r="M2004" s="106" t="str">
        <f>SUMIFS(Ere!C:C,Ere!B:B,A2004)</f>
        <v>0</v>
      </c>
      <c r="N2004" s="106" t="str">
        <f t="shared" si="7"/>
        <v>0</v>
      </c>
      <c r="O2004" s="107" t="str">
        <f t="array" ref="O2004">XLOOKUP(A2004,Data!F:F,Data!O:O)</f>
        <v>  1.61 </v>
      </c>
      <c r="P2004" s="107" t="str">
        <f t="shared" si="8"/>
        <v>  4.03 </v>
      </c>
      <c r="Q2004" s="27"/>
    </row>
    <row r="2005" ht="15.75" customHeight="1">
      <c r="A2005" s="105" t="s">
        <v>2249</v>
      </c>
      <c r="B2005" s="19" t="str">
        <f t="array" ref="B2005">XLOOKUP(A2005,Data!F:F,Data!G:G)</f>
        <v>J2B</v>
      </c>
      <c r="C2005" s="19" t="str">
        <f t="shared" si="3"/>
        <v>J082</v>
      </c>
      <c r="D2005" s="19" t="str">
        <f t="array" ref="D2005">XLOOKUP(A2005,Data!F:F,Data!C:C)</f>
        <v/>
      </c>
      <c r="E2005" s="19" t="str">
        <f t="array" ref="E2005">XLOOKUP(A2005,Data!F:F,Data!H:H)</f>
        <v>BW</v>
      </c>
      <c r="F2005" s="106" t="str">
        <f>SUMIFS(Data!J:J,Data!F:F,A2005)</f>
        <v>0</v>
      </c>
      <c r="G2005" s="106" t="str">
        <f>SUMIFS(Cast!C:C,CastElements,A2005)</f>
        <v>0</v>
      </c>
      <c r="H2005" s="106" t="str">
        <f t="shared" si="4"/>
        <v>0</v>
      </c>
      <c r="I2005" s="106" t="str">
        <f>SUMIFS(Del!C:C,Del!B:B,A2005)</f>
        <v>0</v>
      </c>
      <c r="J2005" s="106" t="str">
        <f t="shared" si="5"/>
        <v>0</v>
      </c>
      <c r="K2005" s="106" t="str">
        <f t="shared" si="6"/>
        <v>0</v>
      </c>
      <c r="L2005" s="106"/>
      <c r="M2005" s="106" t="str">
        <f>SUMIFS(Ere!C:C,Ere!B:B,A2005)</f>
        <v>0</v>
      </c>
      <c r="N2005" s="106" t="str">
        <f t="shared" si="7"/>
        <v>0</v>
      </c>
      <c r="O2005" s="107" t="str">
        <f t="array" ref="O2005">XLOOKUP(A2005,Data!F:F,Data!O:O)</f>
        <v>  1.97 </v>
      </c>
      <c r="P2005" s="107" t="str">
        <f t="shared" si="8"/>
        <v>  4.92 </v>
      </c>
      <c r="Q2005" s="27"/>
    </row>
    <row r="2006" ht="15.75" customHeight="1">
      <c r="A2006" s="105" t="s">
        <v>2250</v>
      </c>
      <c r="B2006" s="19" t="str">
        <f t="array" ref="B2006">XLOOKUP(A2006,Data!F:F,Data!G:G)</f>
        <v>J2B</v>
      </c>
      <c r="C2006" s="19" t="str">
        <f t="shared" si="3"/>
        <v>J082</v>
      </c>
      <c r="D2006" s="19" t="str">
        <f t="array" ref="D2006">XLOOKUP(A2006,Data!F:F,Data!C:C)</f>
        <v/>
      </c>
      <c r="E2006" s="19" t="str">
        <f t="array" ref="E2006">XLOOKUP(A2006,Data!F:F,Data!H:H)</f>
        <v>BW</v>
      </c>
      <c r="F2006" s="106" t="str">
        <f>SUMIFS(Data!J:J,Data!F:F,A2006)</f>
        <v>0</v>
      </c>
      <c r="G2006" s="106" t="str">
        <f>SUMIFS(Cast!C:C,CastElements,A2006)</f>
        <v>0</v>
      </c>
      <c r="H2006" s="106" t="str">
        <f t="shared" si="4"/>
        <v>0</v>
      </c>
      <c r="I2006" s="106" t="str">
        <f>SUMIFS(Del!C:C,Del!B:B,A2006)</f>
        <v>0</v>
      </c>
      <c r="J2006" s="106" t="str">
        <f t="shared" si="5"/>
        <v>0</v>
      </c>
      <c r="K2006" s="106" t="str">
        <f t="shared" si="6"/>
        <v>0</v>
      </c>
      <c r="L2006" s="106"/>
      <c r="M2006" s="106" t="str">
        <f>SUMIFS(Ere!C:C,Ere!B:B,A2006)</f>
        <v>0</v>
      </c>
      <c r="N2006" s="106" t="str">
        <f t="shared" si="7"/>
        <v>0</v>
      </c>
      <c r="O2006" s="107" t="str">
        <f t="array" ref="O2006">XLOOKUP(A2006,Data!F:F,Data!O:O)</f>
        <v>  1.97 </v>
      </c>
      <c r="P2006" s="107" t="str">
        <f t="shared" si="8"/>
        <v>  4.92 </v>
      </c>
      <c r="Q2006" s="27"/>
    </row>
    <row r="2007" ht="15.75" customHeight="1">
      <c r="A2007" s="105" t="s">
        <v>2251</v>
      </c>
      <c r="B2007" s="19" t="str">
        <f t="array" ref="B2007">XLOOKUP(A2007,Data!F:F,Data!G:G)</f>
        <v>J2B</v>
      </c>
      <c r="C2007" s="19" t="str">
        <f t="shared" si="3"/>
        <v>J082</v>
      </c>
      <c r="D2007" s="19" t="str">
        <f t="array" ref="D2007">XLOOKUP(A2007,Data!F:F,Data!C:C)</f>
        <v/>
      </c>
      <c r="E2007" s="19" t="str">
        <f t="array" ref="E2007">XLOOKUP(A2007,Data!F:F,Data!H:H)</f>
        <v>BW</v>
      </c>
      <c r="F2007" s="106" t="str">
        <f>SUMIFS(Data!J:J,Data!F:F,A2007)</f>
        <v>0</v>
      </c>
      <c r="G2007" s="106" t="str">
        <f>SUMIFS(Cast!C:C,CastElements,A2007)</f>
        <v>0</v>
      </c>
      <c r="H2007" s="106" t="str">
        <f t="shared" si="4"/>
        <v>0</v>
      </c>
      <c r="I2007" s="106" t="str">
        <f>SUMIFS(Del!C:C,Del!B:B,A2007)</f>
        <v>0</v>
      </c>
      <c r="J2007" s="106" t="str">
        <f t="shared" si="5"/>
        <v>0</v>
      </c>
      <c r="K2007" s="106" t="str">
        <f t="shared" si="6"/>
        <v>0</v>
      </c>
      <c r="L2007" s="106"/>
      <c r="M2007" s="106" t="str">
        <f>SUMIFS(Ere!C:C,Ere!B:B,A2007)</f>
        <v>0</v>
      </c>
      <c r="N2007" s="106" t="str">
        <f t="shared" si="7"/>
        <v>0</v>
      </c>
      <c r="O2007" s="107" t="str">
        <f t="array" ref="O2007">XLOOKUP(A2007,Data!F:F,Data!O:O)</f>
        <v>  1.97 </v>
      </c>
      <c r="P2007" s="107" t="str">
        <f t="shared" si="8"/>
        <v>  4.92 </v>
      </c>
      <c r="Q2007" s="27"/>
    </row>
    <row r="2008" ht="15.75" customHeight="1">
      <c r="A2008" s="105" t="s">
        <v>2252</v>
      </c>
      <c r="B2008" s="19" t="str">
        <f t="array" ref="B2008">XLOOKUP(A2008,Data!F:F,Data!G:G)</f>
        <v>J2B</v>
      </c>
      <c r="C2008" s="19" t="str">
        <f t="shared" si="3"/>
        <v>J082</v>
      </c>
      <c r="D2008" s="19" t="str">
        <f t="array" ref="D2008">XLOOKUP(A2008,Data!F:F,Data!C:C)</f>
        <v/>
      </c>
      <c r="E2008" s="19" t="str">
        <f t="array" ref="E2008">XLOOKUP(A2008,Data!F:F,Data!H:H)</f>
        <v>BW</v>
      </c>
      <c r="F2008" s="106" t="str">
        <f>SUMIFS(Data!J:J,Data!F:F,A2008)</f>
        <v>0</v>
      </c>
      <c r="G2008" s="106" t="str">
        <f>SUMIFS(Cast!C:C,CastElements,A2008)</f>
        <v>0</v>
      </c>
      <c r="H2008" s="106" t="str">
        <f t="shared" si="4"/>
        <v>0</v>
      </c>
      <c r="I2008" s="106" t="str">
        <f>SUMIFS(Del!C:C,Del!B:B,A2008)</f>
        <v>0</v>
      </c>
      <c r="J2008" s="106" t="str">
        <f t="shared" si="5"/>
        <v>0</v>
      </c>
      <c r="K2008" s="106" t="str">
        <f t="shared" si="6"/>
        <v>0</v>
      </c>
      <c r="L2008" s="106"/>
      <c r="M2008" s="106" t="str">
        <f>SUMIFS(Ere!C:C,Ere!B:B,A2008)</f>
        <v>0</v>
      </c>
      <c r="N2008" s="106" t="str">
        <f t="shared" si="7"/>
        <v>0</v>
      </c>
      <c r="O2008" s="107" t="str">
        <f t="array" ref="O2008">XLOOKUP(A2008,Data!F:F,Data!O:O)</f>
        <v>  2.26 </v>
      </c>
      <c r="P2008" s="107" t="str">
        <f t="shared" si="8"/>
        <v>  5.64 </v>
      </c>
      <c r="Q2008" s="27"/>
    </row>
    <row r="2009" ht="15.75" customHeight="1">
      <c r="A2009" s="105" t="s">
        <v>2253</v>
      </c>
      <c r="B2009" s="19" t="str">
        <f t="array" ref="B2009">XLOOKUP(A2009,Data!F:F,Data!G:G)</f>
        <v>J2B</v>
      </c>
      <c r="C2009" s="19" t="str">
        <f t="shared" si="3"/>
        <v>J082</v>
      </c>
      <c r="D2009" s="19" t="str">
        <f t="array" ref="D2009">XLOOKUP(A2009,Data!F:F,Data!C:C)</f>
        <v/>
      </c>
      <c r="E2009" s="19" t="str">
        <f t="array" ref="E2009">XLOOKUP(A2009,Data!F:F,Data!H:H)</f>
        <v>BW</v>
      </c>
      <c r="F2009" s="106" t="str">
        <f>SUMIFS(Data!J:J,Data!F:F,A2009)</f>
        <v>0</v>
      </c>
      <c r="G2009" s="106" t="str">
        <f>SUMIFS(Cast!C:C,CastElements,A2009)</f>
        <v>0</v>
      </c>
      <c r="H2009" s="106" t="str">
        <f t="shared" si="4"/>
        <v>0</v>
      </c>
      <c r="I2009" s="106" t="str">
        <f>SUMIFS(Del!C:C,Del!B:B,A2009)</f>
        <v>0</v>
      </c>
      <c r="J2009" s="106" t="str">
        <f t="shared" si="5"/>
        <v>0</v>
      </c>
      <c r="K2009" s="106" t="str">
        <f t="shared" si="6"/>
        <v>0</v>
      </c>
      <c r="L2009" s="106"/>
      <c r="M2009" s="106" t="str">
        <f>SUMIFS(Ere!C:C,Ere!B:B,A2009)</f>
        <v>0</v>
      </c>
      <c r="N2009" s="106" t="str">
        <f t="shared" si="7"/>
        <v>0</v>
      </c>
      <c r="O2009" s="107" t="str">
        <f t="array" ref="O2009">XLOOKUP(A2009,Data!F:F,Data!O:O)</f>
        <v>  2.26 </v>
      </c>
      <c r="P2009" s="107" t="str">
        <f t="shared" si="8"/>
        <v>  5.64 </v>
      </c>
      <c r="Q2009" s="27"/>
    </row>
    <row r="2010" ht="15.75" customHeight="1">
      <c r="A2010" s="105" t="s">
        <v>2254</v>
      </c>
      <c r="B2010" s="19" t="str">
        <f t="array" ref="B2010">XLOOKUP(A2010,Data!F:F,Data!G:G)</f>
        <v>J2B</v>
      </c>
      <c r="C2010" s="19" t="str">
        <f t="shared" si="3"/>
        <v>J082</v>
      </c>
      <c r="D2010" s="19" t="str">
        <f t="array" ref="D2010">XLOOKUP(A2010,Data!F:F,Data!C:C)</f>
        <v/>
      </c>
      <c r="E2010" s="19" t="str">
        <f t="array" ref="E2010">XLOOKUP(A2010,Data!F:F,Data!H:H)</f>
        <v>BW</v>
      </c>
      <c r="F2010" s="106" t="str">
        <f>SUMIFS(Data!J:J,Data!F:F,A2010)</f>
        <v>0</v>
      </c>
      <c r="G2010" s="106" t="str">
        <f>SUMIFS(Cast!C:C,CastElements,A2010)</f>
        <v>0</v>
      </c>
      <c r="H2010" s="106" t="str">
        <f t="shared" si="4"/>
        <v>0</v>
      </c>
      <c r="I2010" s="106" t="str">
        <f>SUMIFS(Del!C:C,Del!B:B,A2010)</f>
        <v>0</v>
      </c>
      <c r="J2010" s="106" t="str">
        <f t="shared" si="5"/>
        <v>0</v>
      </c>
      <c r="K2010" s="106" t="str">
        <f t="shared" si="6"/>
        <v>0</v>
      </c>
      <c r="L2010" s="106"/>
      <c r="M2010" s="106" t="str">
        <f>SUMIFS(Ere!C:C,Ere!B:B,A2010)</f>
        <v>0</v>
      </c>
      <c r="N2010" s="106" t="str">
        <f t="shared" si="7"/>
        <v>0</v>
      </c>
      <c r="O2010" s="107" t="str">
        <f t="array" ref="O2010">XLOOKUP(A2010,Data!F:F,Data!O:O)</f>
        <v>  2.26 </v>
      </c>
      <c r="P2010" s="107" t="str">
        <f t="shared" si="8"/>
        <v>  5.64 </v>
      </c>
      <c r="Q2010" s="27"/>
    </row>
    <row r="2011" ht="15.75" customHeight="1">
      <c r="A2011" s="105" t="s">
        <v>2255</v>
      </c>
      <c r="B2011" s="19" t="str">
        <f t="array" ref="B2011">XLOOKUP(A2011,Data!F:F,Data!G:G)</f>
        <v>J2B</v>
      </c>
      <c r="C2011" s="19" t="str">
        <f t="shared" si="3"/>
        <v>J082</v>
      </c>
      <c r="D2011" s="19" t="str">
        <f t="array" ref="D2011">XLOOKUP(A2011,Data!F:F,Data!C:C)</f>
        <v/>
      </c>
      <c r="E2011" s="19" t="str">
        <f t="array" ref="E2011">XLOOKUP(A2011,Data!F:F,Data!H:H)</f>
        <v>BW</v>
      </c>
      <c r="F2011" s="106" t="str">
        <f>SUMIFS(Data!J:J,Data!F:F,A2011)</f>
        <v>0</v>
      </c>
      <c r="G2011" s="106" t="str">
        <f>SUMIFS(Cast!C:C,CastElements,A2011)</f>
        <v>0</v>
      </c>
      <c r="H2011" s="106" t="str">
        <f t="shared" si="4"/>
        <v>0</v>
      </c>
      <c r="I2011" s="106" t="str">
        <f>SUMIFS(Del!C:C,Del!B:B,A2011)</f>
        <v>0</v>
      </c>
      <c r="J2011" s="106" t="str">
        <f t="shared" si="5"/>
        <v>0</v>
      </c>
      <c r="K2011" s="106" t="str">
        <f t="shared" si="6"/>
        <v>0</v>
      </c>
      <c r="L2011" s="106"/>
      <c r="M2011" s="106" t="str">
        <f>SUMIFS(Ere!C:C,Ere!B:B,A2011)</f>
        <v>0</v>
      </c>
      <c r="N2011" s="106" t="str">
        <f t="shared" si="7"/>
        <v>0</v>
      </c>
      <c r="O2011" s="107" t="str">
        <f t="array" ref="O2011">XLOOKUP(A2011,Data!F:F,Data!O:O)</f>
        <v>  2.26 </v>
      </c>
      <c r="P2011" s="107" t="str">
        <f t="shared" si="8"/>
        <v>  5.64 </v>
      </c>
      <c r="Q2011" s="27"/>
    </row>
    <row r="2012" ht="15.75" customHeight="1">
      <c r="A2012" s="105" t="s">
        <v>2256</v>
      </c>
      <c r="B2012" s="19" t="str">
        <f t="array" ref="B2012">XLOOKUP(A2012,Data!F:F,Data!G:G)</f>
        <v>J2B</v>
      </c>
      <c r="C2012" s="19" t="str">
        <f t="shared" si="3"/>
        <v>J082</v>
      </c>
      <c r="D2012" s="19" t="str">
        <f t="array" ref="D2012">XLOOKUP(A2012,Data!F:F,Data!C:C)</f>
        <v/>
      </c>
      <c r="E2012" s="19" t="str">
        <f t="array" ref="E2012">XLOOKUP(A2012,Data!F:F,Data!H:H)</f>
        <v>BW</v>
      </c>
      <c r="F2012" s="106" t="str">
        <f>SUMIFS(Data!J:J,Data!F:F,A2012)</f>
        <v>0</v>
      </c>
      <c r="G2012" s="106" t="str">
        <f>SUMIFS(Cast!C:C,CastElements,A2012)</f>
        <v>0</v>
      </c>
      <c r="H2012" s="106" t="str">
        <f t="shared" si="4"/>
        <v>0</v>
      </c>
      <c r="I2012" s="106" t="str">
        <f>SUMIFS(Del!C:C,Del!B:B,A2012)</f>
        <v>0</v>
      </c>
      <c r="J2012" s="106" t="str">
        <f t="shared" si="5"/>
        <v>0</v>
      </c>
      <c r="K2012" s="106" t="str">
        <f t="shared" si="6"/>
        <v>0</v>
      </c>
      <c r="L2012" s="106"/>
      <c r="M2012" s="106" t="str">
        <f>SUMIFS(Ere!C:C,Ere!B:B,A2012)</f>
        <v>0</v>
      </c>
      <c r="N2012" s="106" t="str">
        <f t="shared" si="7"/>
        <v>0</v>
      </c>
      <c r="O2012" s="107" t="str">
        <f t="array" ref="O2012">XLOOKUP(A2012,Data!F:F,Data!O:O)</f>
        <v>  2.26 </v>
      </c>
      <c r="P2012" s="107" t="str">
        <f t="shared" si="8"/>
        <v>  5.64 </v>
      </c>
      <c r="Q2012" s="27"/>
    </row>
    <row r="2013" ht="15.75" customHeight="1">
      <c r="A2013" s="105" t="s">
        <v>2257</v>
      </c>
      <c r="B2013" s="19" t="str">
        <f t="array" ref="B2013">XLOOKUP(A2013,Data!F:F,Data!G:G)</f>
        <v>J2B</v>
      </c>
      <c r="C2013" s="19" t="str">
        <f t="shared" si="3"/>
        <v>J082</v>
      </c>
      <c r="D2013" s="19" t="str">
        <f t="array" ref="D2013">XLOOKUP(A2013,Data!F:F,Data!C:C)</f>
        <v/>
      </c>
      <c r="E2013" s="19" t="str">
        <f t="array" ref="E2013">XLOOKUP(A2013,Data!F:F,Data!H:H)</f>
        <v>BW</v>
      </c>
      <c r="F2013" s="106" t="str">
        <f>SUMIFS(Data!J:J,Data!F:F,A2013)</f>
        <v>0</v>
      </c>
      <c r="G2013" s="106" t="str">
        <f>SUMIFS(Cast!C:C,CastElements,A2013)</f>
        <v>0</v>
      </c>
      <c r="H2013" s="106" t="str">
        <f t="shared" si="4"/>
        <v>0</v>
      </c>
      <c r="I2013" s="106" t="str">
        <f>SUMIFS(Del!C:C,Del!B:B,A2013)</f>
        <v>0</v>
      </c>
      <c r="J2013" s="106" t="str">
        <f t="shared" si="5"/>
        <v>0</v>
      </c>
      <c r="K2013" s="106" t="str">
        <f t="shared" si="6"/>
        <v>0</v>
      </c>
      <c r="L2013" s="106"/>
      <c r="M2013" s="106" t="str">
        <f>SUMIFS(Ere!C:C,Ere!B:B,A2013)</f>
        <v>0</v>
      </c>
      <c r="N2013" s="106" t="str">
        <f t="shared" si="7"/>
        <v>0</v>
      </c>
      <c r="O2013" s="107" t="str">
        <f t="array" ref="O2013">XLOOKUP(A2013,Data!F:F,Data!O:O)</f>
        <v>  1.92 </v>
      </c>
      <c r="P2013" s="107" t="str">
        <f t="shared" si="8"/>
        <v>  4.80 </v>
      </c>
      <c r="Q2013" s="27"/>
    </row>
    <row r="2014" ht="15.75" customHeight="1">
      <c r="A2014" s="105" t="s">
        <v>2258</v>
      </c>
      <c r="B2014" s="19" t="str">
        <f t="array" ref="B2014">XLOOKUP(A2014,Data!F:F,Data!G:G)</f>
        <v>J2B</v>
      </c>
      <c r="C2014" s="19" t="str">
        <f t="shared" si="3"/>
        <v>J082</v>
      </c>
      <c r="D2014" s="19" t="str">
        <f t="array" ref="D2014">XLOOKUP(A2014,Data!F:F,Data!C:C)</f>
        <v/>
      </c>
      <c r="E2014" s="19" t="str">
        <f t="array" ref="E2014">XLOOKUP(A2014,Data!F:F,Data!H:H)</f>
        <v>BW</v>
      </c>
      <c r="F2014" s="106" t="str">
        <f>SUMIFS(Data!J:J,Data!F:F,A2014)</f>
        <v>0</v>
      </c>
      <c r="G2014" s="106" t="str">
        <f>SUMIFS(Cast!C:C,CastElements,A2014)</f>
        <v>0</v>
      </c>
      <c r="H2014" s="106" t="str">
        <f t="shared" si="4"/>
        <v>0</v>
      </c>
      <c r="I2014" s="106" t="str">
        <f>SUMIFS(Del!C:C,Del!B:B,A2014)</f>
        <v>0</v>
      </c>
      <c r="J2014" s="106" t="str">
        <f t="shared" si="5"/>
        <v>0</v>
      </c>
      <c r="K2014" s="106" t="str">
        <f t="shared" si="6"/>
        <v>0</v>
      </c>
      <c r="L2014" s="106"/>
      <c r="M2014" s="106" t="str">
        <f>SUMIFS(Ere!C:C,Ere!B:B,A2014)</f>
        <v>0</v>
      </c>
      <c r="N2014" s="106" t="str">
        <f t="shared" si="7"/>
        <v>0</v>
      </c>
      <c r="O2014" s="107" t="str">
        <f t="array" ref="O2014">XLOOKUP(A2014,Data!F:F,Data!O:O)</f>
        <v>  2.67 </v>
      </c>
      <c r="P2014" s="107" t="str">
        <f t="shared" si="8"/>
        <v>  6.68 </v>
      </c>
      <c r="Q2014" s="27"/>
    </row>
    <row r="2015" ht="15.75" customHeight="1">
      <c r="A2015" s="105" t="s">
        <v>2259</v>
      </c>
      <c r="B2015" s="19" t="str">
        <f t="array" ref="B2015">XLOOKUP(A2015,Data!F:F,Data!G:G)</f>
        <v>J2B</v>
      </c>
      <c r="C2015" s="19" t="str">
        <f t="shared" si="3"/>
        <v>J082</v>
      </c>
      <c r="D2015" s="19" t="str">
        <f t="array" ref="D2015">XLOOKUP(A2015,Data!F:F,Data!C:C)</f>
        <v/>
      </c>
      <c r="E2015" s="19" t="str">
        <f t="array" ref="E2015">XLOOKUP(A2015,Data!F:F,Data!H:H)</f>
        <v>BW</v>
      </c>
      <c r="F2015" s="106" t="str">
        <f>SUMIFS(Data!J:J,Data!F:F,A2015)</f>
        <v>0</v>
      </c>
      <c r="G2015" s="106" t="str">
        <f>SUMIFS(Cast!C:C,CastElements,A2015)</f>
        <v>0</v>
      </c>
      <c r="H2015" s="106" t="str">
        <f t="shared" si="4"/>
        <v>0</v>
      </c>
      <c r="I2015" s="106" t="str">
        <f>SUMIFS(Del!C:C,Del!B:B,A2015)</f>
        <v>0</v>
      </c>
      <c r="J2015" s="106" t="str">
        <f t="shared" si="5"/>
        <v>0</v>
      </c>
      <c r="K2015" s="106" t="str">
        <f t="shared" si="6"/>
        <v>0</v>
      </c>
      <c r="L2015" s="106"/>
      <c r="M2015" s="106" t="str">
        <f>SUMIFS(Ere!C:C,Ere!B:B,A2015)</f>
        <v>0</v>
      </c>
      <c r="N2015" s="106" t="str">
        <f t="shared" si="7"/>
        <v>0</v>
      </c>
      <c r="O2015" s="107" t="str">
        <f t="array" ref="O2015">XLOOKUP(A2015,Data!F:F,Data!O:O)</f>
        <v>  2.84 </v>
      </c>
      <c r="P2015" s="107" t="str">
        <f t="shared" si="8"/>
        <v>  7.11 </v>
      </c>
      <c r="Q2015" s="27"/>
    </row>
    <row r="2016" ht="15.75" customHeight="1">
      <c r="A2016" s="105" t="s">
        <v>2260</v>
      </c>
      <c r="B2016" s="19" t="str">
        <f t="array" ref="B2016">XLOOKUP(A2016,Data!F:F,Data!G:G)</f>
        <v>J2B</v>
      </c>
      <c r="C2016" s="19" t="str">
        <f t="shared" si="3"/>
        <v>J082</v>
      </c>
      <c r="D2016" s="19" t="str">
        <f t="array" ref="D2016">XLOOKUP(A2016,Data!F:F,Data!C:C)</f>
        <v/>
      </c>
      <c r="E2016" s="19" t="str">
        <f t="array" ref="E2016">XLOOKUP(A2016,Data!F:F,Data!H:H)</f>
        <v>BW</v>
      </c>
      <c r="F2016" s="106" t="str">
        <f>SUMIFS(Data!J:J,Data!F:F,A2016)</f>
        <v>0</v>
      </c>
      <c r="G2016" s="106" t="str">
        <f>SUMIFS(Cast!C:C,CastElements,A2016)</f>
        <v>0</v>
      </c>
      <c r="H2016" s="106" t="str">
        <f t="shared" si="4"/>
        <v>0</v>
      </c>
      <c r="I2016" s="106" t="str">
        <f>SUMIFS(Del!C:C,Del!B:B,A2016)</f>
        <v>0</v>
      </c>
      <c r="J2016" s="106" t="str">
        <f t="shared" si="5"/>
        <v>0</v>
      </c>
      <c r="K2016" s="106" t="str">
        <f t="shared" si="6"/>
        <v>0</v>
      </c>
      <c r="L2016" s="106"/>
      <c r="M2016" s="106" t="str">
        <f>SUMIFS(Ere!C:C,Ere!B:B,A2016)</f>
        <v>0</v>
      </c>
      <c r="N2016" s="106" t="str">
        <f t="shared" si="7"/>
        <v>0</v>
      </c>
      <c r="O2016" s="107" t="str">
        <f t="array" ref="O2016">XLOOKUP(A2016,Data!F:F,Data!O:O)</f>
        <v>  0.43 </v>
      </c>
      <c r="P2016" s="107" t="str">
        <f t="shared" si="8"/>
        <v>  1.08 </v>
      </c>
      <c r="Q2016" s="27"/>
    </row>
    <row r="2017" ht="15.75" customHeight="1">
      <c r="A2017" s="105" t="s">
        <v>2261</v>
      </c>
      <c r="B2017" s="19" t="str">
        <f t="array" ref="B2017">XLOOKUP(A2017,Data!F:F,Data!G:G)</f>
        <v>J2B</v>
      </c>
      <c r="C2017" s="19" t="str">
        <f t="shared" si="3"/>
        <v>J082</v>
      </c>
      <c r="D2017" s="19" t="str">
        <f t="array" ref="D2017">XLOOKUP(A2017,Data!F:F,Data!C:C)</f>
        <v/>
      </c>
      <c r="E2017" s="19" t="str">
        <f t="array" ref="E2017">XLOOKUP(A2017,Data!F:F,Data!H:H)</f>
        <v>CF</v>
      </c>
      <c r="F2017" s="106" t="str">
        <f>SUMIFS(Data!J:J,Data!F:F,A2017)</f>
        <v>0</v>
      </c>
      <c r="G2017" s="106" t="str">
        <f>SUMIFS(Cast!C:C,CastElements,A2017)</f>
        <v>0</v>
      </c>
      <c r="H2017" s="106" t="str">
        <f t="shared" si="4"/>
        <v>0</v>
      </c>
      <c r="I2017" s="106" t="str">
        <f>SUMIFS(Del!C:C,Del!B:B,A2017)</f>
        <v>0</v>
      </c>
      <c r="J2017" s="106" t="str">
        <f t="shared" si="5"/>
        <v>0</v>
      </c>
      <c r="K2017" s="106" t="str">
        <f t="shared" si="6"/>
        <v>0</v>
      </c>
      <c r="L2017" s="106"/>
      <c r="M2017" s="106" t="str">
        <f>SUMIFS(Ere!C:C,Ere!B:B,A2017)</f>
        <v>0</v>
      </c>
      <c r="N2017" s="106" t="str">
        <f t="shared" si="7"/>
        <v>0</v>
      </c>
      <c r="O2017" s="107" t="str">
        <f t="array" ref="O2017">XLOOKUP(A2017,Data!F:F,Data!O:O)</f>
        <v>  0.86 </v>
      </c>
      <c r="P2017" s="107" t="str">
        <f t="shared" si="8"/>
        <v>  2.16 </v>
      </c>
      <c r="Q2017" s="27"/>
    </row>
    <row r="2018" ht="15.75" customHeight="1">
      <c r="A2018" s="105" t="s">
        <v>2262</v>
      </c>
      <c r="B2018" s="19" t="str">
        <f t="array" ref="B2018">XLOOKUP(A2018,Data!F:F,Data!G:G)</f>
        <v>J2B</v>
      </c>
      <c r="C2018" s="19" t="str">
        <f t="shared" si="3"/>
        <v>J082</v>
      </c>
      <c r="D2018" s="19" t="str">
        <f t="array" ref="D2018">XLOOKUP(A2018,Data!F:F,Data!C:C)</f>
        <v/>
      </c>
      <c r="E2018" s="19" t="str">
        <f t="array" ref="E2018">XLOOKUP(A2018,Data!F:F,Data!H:H)</f>
        <v>CF</v>
      </c>
      <c r="F2018" s="106" t="str">
        <f>SUMIFS(Data!J:J,Data!F:F,A2018)</f>
        <v>0</v>
      </c>
      <c r="G2018" s="106" t="str">
        <f>SUMIFS(Cast!C:C,CastElements,A2018)</f>
        <v>0</v>
      </c>
      <c r="H2018" s="106" t="str">
        <f t="shared" si="4"/>
        <v>0</v>
      </c>
      <c r="I2018" s="106" t="str">
        <f>SUMIFS(Del!C:C,Del!B:B,A2018)</f>
        <v>0</v>
      </c>
      <c r="J2018" s="106" t="str">
        <f t="shared" si="5"/>
        <v>0</v>
      </c>
      <c r="K2018" s="106" t="str">
        <f t="shared" si="6"/>
        <v>0</v>
      </c>
      <c r="L2018" s="106"/>
      <c r="M2018" s="106" t="str">
        <f>SUMIFS(Ere!C:C,Ere!B:B,A2018)</f>
        <v>0</v>
      </c>
      <c r="N2018" s="106" t="str">
        <f t="shared" si="7"/>
        <v>0</v>
      </c>
      <c r="O2018" s="107" t="str">
        <f t="array" ref="O2018">XLOOKUP(A2018,Data!F:F,Data!O:O)</f>
        <v>  0.30 </v>
      </c>
      <c r="P2018" s="107" t="str">
        <f t="shared" si="8"/>
        <v>  0.75 </v>
      </c>
      <c r="Q2018" s="27"/>
    </row>
    <row r="2019" ht="15.75" customHeight="1">
      <c r="A2019" s="105" t="s">
        <v>2263</v>
      </c>
      <c r="B2019" s="19" t="str">
        <f t="array" ref="B2019">XLOOKUP(A2019,Data!F:F,Data!G:G)</f>
        <v>J2B</v>
      </c>
      <c r="C2019" s="19" t="str">
        <f t="shared" si="3"/>
        <v>J083</v>
      </c>
      <c r="D2019" s="19" t="str">
        <f t="array" ref="D2019">XLOOKUP(A2019,Data!F:F,Data!C:C)</f>
        <v>EXT</v>
      </c>
      <c r="E2019" s="19" t="str">
        <f t="array" ref="E2019">XLOOKUP(A2019,Data!F:F,Data!H:H)</f>
        <v>BW</v>
      </c>
      <c r="F2019" s="106" t="str">
        <f>SUMIFS(Data!J:J,Data!F:F,A2019)</f>
        <v>1</v>
      </c>
      <c r="G2019" s="106" t="str">
        <f>SUMIFS(Cast!C:C,CastElements,A2019)</f>
        <v>0</v>
      </c>
      <c r="H2019" s="106" t="str">
        <f t="shared" si="4"/>
        <v>1</v>
      </c>
      <c r="I2019" s="106" t="str">
        <f>SUMIFS(Del!C:C,Del!B:B,A2019)</f>
        <v>0</v>
      </c>
      <c r="J2019" s="106" t="str">
        <f t="shared" si="5"/>
        <v>1</v>
      </c>
      <c r="K2019" s="106" t="str">
        <f t="shared" si="6"/>
        <v>0</v>
      </c>
      <c r="L2019" s="106"/>
      <c r="M2019" s="106" t="str">
        <f>SUMIFS(Ere!C:C,Ere!B:B,A2019)</f>
        <v>0</v>
      </c>
      <c r="N2019" s="106" t="str">
        <f t="shared" si="7"/>
        <v>1</v>
      </c>
      <c r="O2019" s="107" t="str">
        <f t="array" ref="O2019">XLOOKUP(A2019,Data!F:F,Data!O:O)</f>
        <v>  0.54 </v>
      </c>
      <c r="P2019" s="107" t="str">
        <f t="shared" si="8"/>
        <v>  1.36 </v>
      </c>
      <c r="Q2019" s="27"/>
    </row>
    <row r="2020" ht="15.75" customHeight="1">
      <c r="A2020" s="105" t="s">
        <v>2264</v>
      </c>
      <c r="B2020" s="19" t="str">
        <f t="array" ref="B2020">XLOOKUP(A2020,Data!F:F,Data!G:G)</f>
        <v>J2B</v>
      </c>
      <c r="C2020" s="19" t="str">
        <f t="shared" si="3"/>
        <v>J083</v>
      </c>
      <c r="D2020" s="19" t="str">
        <f t="array" ref="D2020">XLOOKUP(A2020,Data!F:F,Data!C:C)</f>
        <v>EXT</v>
      </c>
      <c r="E2020" s="19" t="str">
        <f t="array" ref="E2020">XLOOKUP(A2020,Data!F:F,Data!H:H)</f>
        <v>BW</v>
      </c>
      <c r="F2020" s="106" t="str">
        <f>SUMIFS(Data!J:J,Data!F:F,A2020)</f>
        <v>1</v>
      </c>
      <c r="G2020" s="106" t="str">
        <f>SUMIFS(Cast!C:C,CastElements,A2020)</f>
        <v>0</v>
      </c>
      <c r="H2020" s="106" t="str">
        <f t="shared" si="4"/>
        <v>1</v>
      </c>
      <c r="I2020" s="106" t="str">
        <f>SUMIFS(Del!C:C,Del!B:B,A2020)</f>
        <v>0</v>
      </c>
      <c r="J2020" s="106" t="str">
        <f t="shared" si="5"/>
        <v>1</v>
      </c>
      <c r="K2020" s="106" t="str">
        <f t="shared" si="6"/>
        <v>0</v>
      </c>
      <c r="L2020" s="106"/>
      <c r="M2020" s="106" t="str">
        <f>SUMIFS(Ere!C:C,Ere!B:B,A2020)</f>
        <v>0</v>
      </c>
      <c r="N2020" s="106" t="str">
        <f t="shared" si="7"/>
        <v>1</v>
      </c>
      <c r="O2020" s="107" t="str">
        <f t="array" ref="O2020">XLOOKUP(A2020,Data!F:F,Data!O:O)</f>
        <v>  0.85 </v>
      </c>
      <c r="P2020" s="107" t="str">
        <f t="shared" si="8"/>
        <v>  2.12 </v>
      </c>
      <c r="Q2020" s="27"/>
    </row>
    <row r="2021" ht="15.75" customHeight="1">
      <c r="A2021" s="105" t="s">
        <v>2265</v>
      </c>
      <c r="B2021" s="19" t="str">
        <f t="array" ref="B2021">XLOOKUP(A2021,Data!F:F,Data!G:G)</f>
        <v>J2B</v>
      </c>
      <c r="C2021" s="19" t="str">
        <f t="shared" si="3"/>
        <v>J083</v>
      </c>
      <c r="D2021" s="19" t="str">
        <f t="array" ref="D2021">XLOOKUP(A2021,Data!F:F,Data!C:C)</f>
        <v>EXT</v>
      </c>
      <c r="E2021" s="19" t="str">
        <f t="array" ref="E2021">XLOOKUP(A2021,Data!F:F,Data!H:H)</f>
        <v>BW</v>
      </c>
      <c r="F2021" s="106" t="str">
        <f>SUMIFS(Data!J:J,Data!F:F,A2021)</f>
        <v>1</v>
      </c>
      <c r="G2021" s="106" t="str">
        <f>SUMIFS(Cast!C:C,CastElements,A2021)</f>
        <v>0</v>
      </c>
      <c r="H2021" s="106" t="str">
        <f t="shared" si="4"/>
        <v>1</v>
      </c>
      <c r="I2021" s="106" t="str">
        <f>SUMIFS(Del!C:C,Del!B:B,A2021)</f>
        <v>0</v>
      </c>
      <c r="J2021" s="106" t="str">
        <f t="shared" si="5"/>
        <v>1</v>
      </c>
      <c r="K2021" s="106" t="str">
        <f t="shared" si="6"/>
        <v>0</v>
      </c>
      <c r="L2021" s="106"/>
      <c r="M2021" s="106" t="str">
        <f>SUMIFS(Ere!C:C,Ere!B:B,A2021)</f>
        <v>0</v>
      </c>
      <c r="N2021" s="106" t="str">
        <f t="shared" si="7"/>
        <v>1</v>
      </c>
      <c r="O2021" s="107" t="str">
        <f t="array" ref="O2021">XLOOKUP(A2021,Data!F:F,Data!O:O)</f>
        <v>  0.85 </v>
      </c>
      <c r="P2021" s="107" t="str">
        <f t="shared" si="8"/>
        <v>  2.12 </v>
      </c>
      <c r="Q2021" s="27"/>
    </row>
    <row r="2022" ht="15.75" customHeight="1">
      <c r="A2022" s="105" t="s">
        <v>2266</v>
      </c>
      <c r="B2022" s="19" t="str">
        <f t="array" ref="B2022">XLOOKUP(A2022,Data!F:F,Data!G:G)</f>
        <v>J2B</v>
      </c>
      <c r="C2022" s="19" t="str">
        <f t="shared" si="3"/>
        <v>J083</v>
      </c>
      <c r="D2022" s="19" t="str">
        <f t="array" ref="D2022">XLOOKUP(A2022,Data!F:F,Data!C:C)</f>
        <v>EXT</v>
      </c>
      <c r="E2022" s="19" t="str">
        <f t="array" ref="E2022">XLOOKUP(A2022,Data!F:F,Data!H:H)</f>
        <v>BW</v>
      </c>
      <c r="F2022" s="106" t="str">
        <f>SUMIFS(Data!J:J,Data!F:F,A2022)</f>
        <v>1</v>
      </c>
      <c r="G2022" s="106" t="str">
        <f>SUMIFS(Cast!C:C,CastElements,A2022)</f>
        <v>0</v>
      </c>
      <c r="H2022" s="106" t="str">
        <f t="shared" si="4"/>
        <v>1</v>
      </c>
      <c r="I2022" s="106" t="str">
        <f>SUMIFS(Del!C:C,Del!B:B,A2022)</f>
        <v>0</v>
      </c>
      <c r="J2022" s="106" t="str">
        <f t="shared" si="5"/>
        <v>1</v>
      </c>
      <c r="K2022" s="106" t="str">
        <f t="shared" si="6"/>
        <v>0</v>
      </c>
      <c r="L2022" s="106"/>
      <c r="M2022" s="106" t="str">
        <f>SUMIFS(Ere!C:C,Ere!B:B,A2022)</f>
        <v>0</v>
      </c>
      <c r="N2022" s="106" t="str">
        <f t="shared" si="7"/>
        <v>1</v>
      </c>
      <c r="O2022" s="107" t="str">
        <f t="array" ref="O2022">XLOOKUP(A2022,Data!F:F,Data!O:O)</f>
        <v>  0.85 </v>
      </c>
      <c r="P2022" s="107" t="str">
        <f t="shared" si="8"/>
        <v>  2.12 </v>
      </c>
      <c r="Q2022" s="27"/>
    </row>
    <row r="2023" ht="15.75" customHeight="1">
      <c r="A2023" s="105" t="s">
        <v>2267</v>
      </c>
      <c r="B2023" s="19" t="str">
        <f t="array" ref="B2023">XLOOKUP(A2023,Data!F:F,Data!G:G)</f>
        <v>J2B</v>
      </c>
      <c r="C2023" s="19" t="str">
        <f t="shared" si="3"/>
        <v>J083</v>
      </c>
      <c r="D2023" s="19" t="str">
        <f t="array" ref="D2023">XLOOKUP(A2023,Data!F:F,Data!C:C)</f>
        <v>EXT</v>
      </c>
      <c r="E2023" s="19" t="str">
        <f t="array" ref="E2023">XLOOKUP(A2023,Data!F:F,Data!H:H)</f>
        <v>BW</v>
      </c>
      <c r="F2023" s="106" t="str">
        <f>SUMIFS(Data!J:J,Data!F:F,A2023)</f>
        <v>1</v>
      </c>
      <c r="G2023" s="106" t="str">
        <f>SUMIFS(Cast!C:C,CastElements,A2023)</f>
        <v>0</v>
      </c>
      <c r="H2023" s="106" t="str">
        <f t="shared" si="4"/>
        <v>1</v>
      </c>
      <c r="I2023" s="106" t="str">
        <f>SUMIFS(Del!C:C,Del!B:B,A2023)</f>
        <v>0</v>
      </c>
      <c r="J2023" s="106" t="str">
        <f t="shared" si="5"/>
        <v>1</v>
      </c>
      <c r="K2023" s="106" t="str">
        <f t="shared" si="6"/>
        <v>0</v>
      </c>
      <c r="L2023" s="106"/>
      <c r="M2023" s="106" t="str">
        <f>SUMIFS(Ere!C:C,Ere!B:B,A2023)</f>
        <v>0</v>
      </c>
      <c r="N2023" s="106" t="str">
        <f t="shared" si="7"/>
        <v>1</v>
      </c>
      <c r="O2023" s="107" t="str">
        <f t="array" ref="O2023">XLOOKUP(A2023,Data!F:F,Data!O:O)</f>
        <v>  0.85 </v>
      </c>
      <c r="P2023" s="107" t="str">
        <f t="shared" si="8"/>
        <v>  2.12 </v>
      </c>
      <c r="Q2023" s="27"/>
    </row>
    <row r="2024" ht="15.75" customHeight="1">
      <c r="A2024" s="105" t="s">
        <v>2268</v>
      </c>
      <c r="B2024" s="19" t="str">
        <f t="array" ref="B2024">XLOOKUP(A2024,Data!F:F,Data!G:G)</f>
        <v>J2B</v>
      </c>
      <c r="C2024" s="19" t="str">
        <f t="shared" si="3"/>
        <v>J083</v>
      </c>
      <c r="D2024" s="19" t="str">
        <f t="array" ref="D2024">XLOOKUP(A2024,Data!F:F,Data!C:C)</f>
        <v/>
      </c>
      <c r="E2024" s="19" t="str">
        <f t="array" ref="E2024">XLOOKUP(A2024,Data!F:F,Data!H:H)</f>
        <v>BW</v>
      </c>
      <c r="F2024" s="106" t="str">
        <f>SUMIFS(Data!J:J,Data!F:F,A2024)</f>
        <v>0</v>
      </c>
      <c r="G2024" s="106" t="str">
        <f>SUMIFS(Cast!C:C,CastElements,A2024)</f>
        <v>0</v>
      </c>
      <c r="H2024" s="106" t="str">
        <f t="shared" si="4"/>
        <v>0</v>
      </c>
      <c r="I2024" s="106" t="str">
        <f>SUMIFS(Del!C:C,Del!B:B,A2024)</f>
        <v>0</v>
      </c>
      <c r="J2024" s="106" t="str">
        <f t="shared" si="5"/>
        <v>0</v>
      </c>
      <c r="K2024" s="106" t="str">
        <f t="shared" si="6"/>
        <v>0</v>
      </c>
      <c r="L2024" s="106"/>
      <c r="M2024" s="106" t="str">
        <f>SUMIFS(Ere!C:C,Ere!B:B,A2024)</f>
        <v>0</v>
      </c>
      <c r="N2024" s="106" t="str">
        <f t="shared" si="7"/>
        <v>0</v>
      </c>
      <c r="O2024" s="107" t="str">
        <f t="array" ref="O2024">XLOOKUP(A2024,Data!F:F,Data!O:O)</f>
        <v>  1.06 </v>
      </c>
      <c r="P2024" s="107" t="str">
        <f t="shared" si="8"/>
        <v>  2.66 </v>
      </c>
      <c r="Q2024" s="27"/>
    </row>
    <row r="2025" ht="15.75" customHeight="1">
      <c r="A2025" s="105" t="s">
        <v>2269</v>
      </c>
      <c r="B2025" s="19" t="str">
        <f t="array" ref="B2025">XLOOKUP(A2025,Data!F:F,Data!G:G)</f>
        <v>J2B</v>
      </c>
      <c r="C2025" s="19" t="str">
        <f t="shared" si="3"/>
        <v>J083</v>
      </c>
      <c r="D2025" s="19" t="str">
        <f t="array" ref="D2025">XLOOKUP(A2025,Data!F:F,Data!C:C)</f>
        <v/>
      </c>
      <c r="E2025" s="19" t="str">
        <f t="array" ref="E2025">XLOOKUP(A2025,Data!F:F,Data!H:H)</f>
        <v>BW</v>
      </c>
      <c r="F2025" s="106" t="str">
        <f>SUMIFS(Data!J:J,Data!F:F,A2025)</f>
        <v>0</v>
      </c>
      <c r="G2025" s="106" t="str">
        <f>SUMIFS(Cast!C:C,CastElements,A2025)</f>
        <v>0</v>
      </c>
      <c r="H2025" s="106" t="str">
        <f t="shared" si="4"/>
        <v>0</v>
      </c>
      <c r="I2025" s="106" t="str">
        <f>SUMIFS(Del!C:C,Del!B:B,A2025)</f>
        <v>0</v>
      </c>
      <c r="J2025" s="106" t="str">
        <f t="shared" si="5"/>
        <v>0</v>
      </c>
      <c r="K2025" s="106" t="str">
        <f t="shared" si="6"/>
        <v>0</v>
      </c>
      <c r="L2025" s="106"/>
      <c r="M2025" s="106" t="str">
        <f>SUMIFS(Ere!C:C,Ere!B:B,A2025)</f>
        <v>0</v>
      </c>
      <c r="N2025" s="106" t="str">
        <f t="shared" si="7"/>
        <v>0</v>
      </c>
      <c r="O2025" s="107" t="str">
        <f t="array" ref="O2025">XLOOKUP(A2025,Data!F:F,Data!O:O)</f>
        <v>  1.18 </v>
      </c>
      <c r="P2025" s="107" t="str">
        <f t="shared" si="8"/>
        <v>  2.95 </v>
      </c>
      <c r="Q2025" s="27"/>
    </row>
    <row r="2026" ht="15.75" customHeight="1">
      <c r="A2026" s="105" t="s">
        <v>2270</v>
      </c>
      <c r="B2026" s="19" t="str">
        <f t="array" ref="B2026">XLOOKUP(A2026,Data!F:F,Data!G:G)</f>
        <v>J2B</v>
      </c>
      <c r="C2026" s="19" t="str">
        <f t="shared" si="3"/>
        <v>J083</v>
      </c>
      <c r="D2026" s="19" t="str">
        <f t="array" ref="D2026">XLOOKUP(A2026,Data!F:F,Data!C:C)</f>
        <v/>
      </c>
      <c r="E2026" s="19" t="str">
        <f t="array" ref="E2026">XLOOKUP(A2026,Data!F:F,Data!H:H)</f>
        <v>BW</v>
      </c>
      <c r="F2026" s="106" t="str">
        <f>SUMIFS(Data!J:J,Data!F:F,A2026)</f>
        <v>0</v>
      </c>
      <c r="G2026" s="106" t="str">
        <f>SUMIFS(Cast!C:C,CastElements,A2026)</f>
        <v>0</v>
      </c>
      <c r="H2026" s="106" t="str">
        <f t="shared" si="4"/>
        <v>0</v>
      </c>
      <c r="I2026" s="106" t="str">
        <f>SUMIFS(Del!C:C,Del!B:B,A2026)</f>
        <v>0</v>
      </c>
      <c r="J2026" s="106" t="str">
        <f t="shared" si="5"/>
        <v>0</v>
      </c>
      <c r="K2026" s="106" t="str">
        <f t="shared" si="6"/>
        <v>0</v>
      </c>
      <c r="L2026" s="106"/>
      <c r="M2026" s="106" t="str">
        <f>SUMIFS(Ere!C:C,Ere!B:B,A2026)</f>
        <v>0</v>
      </c>
      <c r="N2026" s="106" t="str">
        <f t="shared" si="7"/>
        <v>0</v>
      </c>
      <c r="O2026" s="107" t="str">
        <f t="array" ref="O2026">XLOOKUP(A2026,Data!F:F,Data!O:O)</f>
        <v>  1.63 </v>
      </c>
      <c r="P2026" s="107" t="str">
        <f t="shared" si="8"/>
        <v>  4.07 </v>
      </c>
      <c r="Q2026" s="27"/>
    </row>
    <row r="2027" ht="15.75" customHeight="1">
      <c r="A2027" s="105" t="s">
        <v>2271</v>
      </c>
      <c r="B2027" s="19" t="str">
        <f t="array" ref="B2027">XLOOKUP(A2027,Data!F:F,Data!G:G)</f>
        <v>J2B</v>
      </c>
      <c r="C2027" s="19" t="str">
        <f t="shared" si="3"/>
        <v>J083</v>
      </c>
      <c r="D2027" s="19" t="str">
        <f t="array" ref="D2027">XLOOKUP(A2027,Data!F:F,Data!C:C)</f>
        <v/>
      </c>
      <c r="E2027" s="19" t="str">
        <f t="array" ref="E2027">XLOOKUP(A2027,Data!F:F,Data!H:H)</f>
        <v>BW</v>
      </c>
      <c r="F2027" s="106" t="str">
        <f>SUMIFS(Data!J:J,Data!F:F,A2027)</f>
        <v>0</v>
      </c>
      <c r="G2027" s="106" t="str">
        <f>SUMIFS(Cast!C:C,CastElements,A2027)</f>
        <v>0</v>
      </c>
      <c r="H2027" s="106" t="str">
        <f t="shared" si="4"/>
        <v>0</v>
      </c>
      <c r="I2027" s="106" t="str">
        <f>SUMIFS(Del!C:C,Del!B:B,A2027)</f>
        <v>0</v>
      </c>
      <c r="J2027" s="106" t="str">
        <f t="shared" si="5"/>
        <v>0</v>
      </c>
      <c r="K2027" s="106" t="str">
        <f t="shared" si="6"/>
        <v>0</v>
      </c>
      <c r="L2027" s="106"/>
      <c r="M2027" s="106" t="str">
        <f>SUMIFS(Ere!C:C,Ere!B:B,A2027)</f>
        <v>0</v>
      </c>
      <c r="N2027" s="106" t="str">
        <f t="shared" si="7"/>
        <v>0</v>
      </c>
      <c r="O2027" s="107" t="str">
        <f t="array" ref="O2027">XLOOKUP(A2027,Data!F:F,Data!O:O)</f>
        <v>  1.29 </v>
      </c>
      <c r="P2027" s="107" t="str">
        <f t="shared" si="8"/>
        <v>  3.23 </v>
      </c>
      <c r="Q2027" s="27"/>
    </row>
    <row r="2028" ht="15.75" customHeight="1">
      <c r="A2028" s="105" t="s">
        <v>2272</v>
      </c>
      <c r="B2028" s="19" t="str">
        <f t="array" ref="B2028">XLOOKUP(A2028,Data!F:F,Data!G:G)</f>
        <v>J2B</v>
      </c>
      <c r="C2028" s="19" t="str">
        <f t="shared" si="3"/>
        <v>J083</v>
      </c>
      <c r="D2028" s="19" t="str">
        <f t="array" ref="D2028">XLOOKUP(A2028,Data!F:F,Data!C:C)</f>
        <v/>
      </c>
      <c r="E2028" s="19" t="str">
        <f t="array" ref="E2028">XLOOKUP(A2028,Data!F:F,Data!H:H)</f>
        <v>BW</v>
      </c>
      <c r="F2028" s="106" t="str">
        <f>SUMIFS(Data!J:J,Data!F:F,A2028)</f>
        <v>0</v>
      </c>
      <c r="G2028" s="106" t="str">
        <f>SUMIFS(Cast!C:C,CastElements,A2028)</f>
        <v>0</v>
      </c>
      <c r="H2028" s="106" t="str">
        <f t="shared" si="4"/>
        <v>0</v>
      </c>
      <c r="I2028" s="106" t="str">
        <f>SUMIFS(Del!C:C,Del!B:B,A2028)</f>
        <v>0</v>
      </c>
      <c r="J2028" s="106" t="str">
        <f t="shared" si="5"/>
        <v>0</v>
      </c>
      <c r="K2028" s="106" t="str">
        <f t="shared" si="6"/>
        <v>0</v>
      </c>
      <c r="L2028" s="106"/>
      <c r="M2028" s="106" t="str">
        <f>SUMIFS(Ere!C:C,Ere!B:B,A2028)</f>
        <v>0</v>
      </c>
      <c r="N2028" s="106" t="str">
        <f t="shared" si="7"/>
        <v>0</v>
      </c>
      <c r="O2028" s="107" t="str">
        <f t="array" ref="O2028">XLOOKUP(A2028,Data!F:F,Data!O:O)</f>
        <v>  1.28 </v>
      </c>
      <c r="P2028" s="107" t="str">
        <f t="shared" si="8"/>
        <v>  3.21 </v>
      </c>
      <c r="Q2028" s="27"/>
    </row>
    <row r="2029" ht="15.75" customHeight="1">
      <c r="A2029" s="105" t="s">
        <v>2273</v>
      </c>
      <c r="B2029" s="19" t="str">
        <f t="array" ref="B2029">XLOOKUP(A2029,Data!F:F,Data!G:G)</f>
        <v>J2B</v>
      </c>
      <c r="C2029" s="19" t="str">
        <f t="shared" si="3"/>
        <v>J083</v>
      </c>
      <c r="D2029" s="19" t="str">
        <f t="array" ref="D2029">XLOOKUP(A2029,Data!F:F,Data!C:C)</f>
        <v/>
      </c>
      <c r="E2029" s="19" t="str">
        <f t="array" ref="E2029">XLOOKUP(A2029,Data!F:F,Data!H:H)</f>
        <v>BW</v>
      </c>
      <c r="F2029" s="106" t="str">
        <f>SUMIFS(Data!J:J,Data!F:F,A2029)</f>
        <v>0</v>
      </c>
      <c r="G2029" s="106" t="str">
        <f>SUMIFS(Cast!C:C,CastElements,A2029)</f>
        <v>0</v>
      </c>
      <c r="H2029" s="106" t="str">
        <f t="shared" si="4"/>
        <v>0</v>
      </c>
      <c r="I2029" s="106" t="str">
        <f>SUMIFS(Del!C:C,Del!B:B,A2029)</f>
        <v>0</v>
      </c>
      <c r="J2029" s="106" t="str">
        <f t="shared" si="5"/>
        <v>0</v>
      </c>
      <c r="K2029" s="106" t="str">
        <f t="shared" si="6"/>
        <v>0</v>
      </c>
      <c r="L2029" s="106"/>
      <c r="M2029" s="106" t="str">
        <f>SUMIFS(Ere!C:C,Ere!B:B,A2029)</f>
        <v>0</v>
      </c>
      <c r="N2029" s="106" t="str">
        <f t="shared" si="7"/>
        <v>0</v>
      </c>
      <c r="O2029" s="107" t="str">
        <f t="array" ref="O2029">XLOOKUP(A2029,Data!F:F,Data!O:O)</f>
        <v>  1.83 </v>
      </c>
      <c r="P2029" s="107" t="str">
        <f t="shared" si="8"/>
        <v>  4.58 </v>
      </c>
      <c r="Q2029" s="27"/>
    </row>
    <row r="2030" ht="15.75" customHeight="1">
      <c r="A2030" s="105" t="s">
        <v>2274</v>
      </c>
      <c r="B2030" s="19" t="str">
        <f t="array" ref="B2030">XLOOKUP(A2030,Data!F:F,Data!G:G)</f>
        <v>J2B</v>
      </c>
      <c r="C2030" s="19" t="str">
        <f t="shared" si="3"/>
        <v>J083</v>
      </c>
      <c r="D2030" s="19" t="str">
        <f t="array" ref="D2030">XLOOKUP(A2030,Data!F:F,Data!C:C)</f>
        <v/>
      </c>
      <c r="E2030" s="19" t="str">
        <f t="array" ref="E2030">XLOOKUP(A2030,Data!F:F,Data!H:H)</f>
        <v>BW</v>
      </c>
      <c r="F2030" s="106" t="str">
        <f>SUMIFS(Data!J:J,Data!F:F,A2030)</f>
        <v>0</v>
      </c>
      <c r="G2030" s="106" t="str">
        <f>SUMIFS(Cast!C:C,CastElements,A2030)</f>
        <v>0</v>
      </c>
      <c r="H2030" s="106" t="str">
        <f t="shared" si="4"/>
        <v>0</v>
      </c>
      <c r="I2030" s="106" t="str">
        <f>SUMIFS(Del!C:C,Del!B:B,A2030)</f>
        <v>0</v>
      </c>
      <c r="J2030" s="106" t="str">
        <f t="shared" si="5"/>
        <v>0</v>
      </c>
      <c r="K2030" s="106" t="str">
        <f t="shared" si="6"/>
        <v>0</v>
      </c>
      <c r="L2030" s="106"/>
      <c r="M2030" s="106" t="str">
        <f>SUMIFS(Ere!C:C,Ere!B:B,A2030)</f>
        <v>0</v>
      </c>
      <c r="N2030" s="106" t="str">
        <f t="shared" si="7"/>
        <v>0</v>
      </c>
      <c r="O2030" s="107" t="str">
        <f t="array" ref="O2030">XLOOKUP(A2030,Data!F:F,Data!O:O)</f>
        <v>  1.36 </v>
      </c>
      <c r="P2030" s="107" t="str">
        <f t="shared" si="8"/>
        <v>  3.41 </v>
      </c>
      <c r="Q2030" s="27"/>
    </row>
    <row r="2031" ht="15.75" customHeight="1">
      <c r="A2031" s="105" t="s">
        <v>2275</v>
      </c>
      <c r="B2031" s="19" t="str">
        <f t="array" ref="B2031">XLOOKUP(A2031,Data!F:F,Data!G:G)</f>
        <v>J2B</v>
      </c>
      <c r="C2031" s="19" t="str">
        <f t="shared" si="3"/>
        <v>J083</v>
      </c>
      <c r="D2031" s="19" t="str">
        <f t="array" ref="D2031">XLOOKUP(A2031,Data!F:F,Data!C:C)</f>
        <v/>
      </c>
      <c r="E2031" s="19" t="str">
        <f t="array" ref="E2031">XLOOKUP(A2031,Data!F:F,Data!H:H)</f>
        <v>BW</v>
      </c>
      <c r="F2031" s="106" t="str">
        <f>SUMIFS(Data!J:J,Data!F:F,A2031)</f>
        <v>0</v>
      </c>
      <c r="G2031" s="106" t="str">
        <f>SUMIFS(Cast!C:C,CastElements,A2031)</f>
        <v>0</v>
      </c>
      <c r="H2031" s="106" t="str">
        <f t="shared" si="4"/>
        <v>0</v>
      </c>
      <c r="I2031" s="106" t="str">
        <f>SUMIFS(Del!C:C,Del!B:B,A2031)</f>
        <v>0</v>
      </c>
      <c r="J2031" s="106" t="str">
        <f t="shared" si="5"/>
        <v>0</v>
      </c>
      <c r="K2031" s="106" t="str">
        <f t="shared" si="6"/>
        <v>0</v>
      </c>
      <c r="L2031" s="106"/>
      <c r="M2031" s="106" t="str">
        <f>SUMIFS(Ere!C:C,Ere!B:B,A2031)</f>
        <v>0</v>
      </c>
      <c r="N2031" s="106" t="str">
        <f t="shared" si="7"/>
        <v>0</v>
      </c>
      <c r="O2031" s="107" t="str">
        <f t="array" ref="O2031">XLOOKUP(A2031,Data!F:F,Data!O:O)</f>
        <v>  1.72 </v>
      </c>
      <c r="P2031" s="107" t="str">
        <f t="shared" si="8"/>
        <v>  4.30 </v>
      </c>
      <c r="Q2031" s="27"/>
    </row>
    <row r="2032" ht="15.75" customHeight="1">
      <c r="A2032" s="105" t="s">
        <v>2276</v>
      </c>
      <c r="B2032" s="19" t="str">
        <f t="array" ref="B2032">XLOOKUP(A2032,Data!F:F,Data!G:G)</f>
        <v>J2B</v>
      </c>
      <c r="C2032" s="19" t="str">
        <f t="shared" si="3"/>
        <v>J083</v>
      </c>
      <c r="D2032" s="19" t="str">
        <f t="array" ref="D2032">XLOOKUP(A2032,Data!F:F,Data!C:C)</f>
        <v/>
      </c>
      <c r="E2032" s="19" t="str">
        <f t="array" ref="E2032">XLOOKUP(A2032,Data!F:F,Data!H:H)</f>
        <v>BW</v>
      </c>
      <c r="F2032" s="106" t="str">
        <f>SUMIFS(Data!J:J,Data!F:F,A2032)</f>
        <v>0</v>
      </c>
      <c r="G2032" s="106" t="str">
        <f>SUMIFS(Cast!C:C,CastElements,A2032)</f>
        <v>0</v>
      </c>
      <c r="H2032" s="106" t="str">
        <f t="shared" si="4"/>
        <v>0</v>
      </c>
      <c r="I2032" s="106" t="str">
        <f>SUMIFS(Del!C:C,Del!B:B,A2032)</f>
        <v>0</v>
      </c>
      <c r="J2032" s="106" t="str">
        <f t="shared" si="5"/>
        <v>0</v>
      </c>
      <c r="K2032" s="106" t="str">
        <f t="shared" si="6"/>
        <v>0</v>
      </c>
      <c r="L2032" s="106"/>
      <c r="M2032" s="106" t="str">
        <f>SUMIFS(Ere!C:C,Ere!B:B,A2032)</f>
        <v>0</v>
      </c>
      <c r="N2032" s="106" t="str">
        <f t="shared" si="7"/>
        <v>0</v>
      </c>
      <c r="O2032" s="107" t="str">
        <f t="array" ref="O2032">XLOOKUP(A2032,Data!F:F,Data!O:O)</f>
        <v>  1.72 </v>
      </c>
      <c r="P2032" s="107" t="str">
        <f t="shared" si="8"/>
        <v>  4.30 </v>
      </c>
      <c r="Q2032" s="27"/>
    </row>
    <row r="2033" ht="15.75" customHeight="1">
      <c r="A2033" s="105" t="s">
        <v>2277</v>
      </c>
      <c r="B2033" s="19" t="str">
        <f t="array" ref="B2033">XLOOKUP(A2033,Data!F:F,Data!G:G)</f>
        <v>J2B</v>
      </c>
      <c r="C2033" s="19" t="str">
        <f t="shared" si="3"/>
        <v>J083</v>
      </c>
      <c r="D2033" s="19" t="str">
        <f t="array" ref="D2033">XLOOKUP(A2033,Data!F:F,Data!C:C)</f>
        <v/>
      </c>
      <c r="E2033" s="19" t="str">
        <f t="array" ref="E2033">XLOOKUP(A2033,Data!F:F,Data!H:H)</f>
        <v>BW</v>
      </c>
      <c r="F2033" s="106" t="str">
        <f>SUMIFS(Data!J:J,Data!F:F,A2033)</f>
        <v>0</v>
      </c>
      <c r="G2033" s="106" t="str">
        <f>SUMIFS(Cast!C:C,CastElements,A2033)</f>
        <v>0</v>
      </c>
      <c r="H2033" s="106" t="str">
        <f t="shared" si="4"/>
        <v>0</v>
      </c>
      <c r="I2033" s="106" t="str">
        <f>SUMIFS(Del!C:C,Del!B:B,A2033)</f>
        <v>0</v>
      </c>
      <c r="J2033" s="106" t="str">
        <f t="shared" si="5"/>
        <v>0</v>
      </c>
      <c r="K2033" s="106" t="str">
        <f t="shared" si="6"/>
        <v>0</v>
      </c>
      <c r="L2033" s="106"/>
      <c r="M2033" s="106" t="str">
        <f>SUMIFS(Ere!C:C,Ere!B:B,A2033)</f>
        <v>0</v>
      </c>
      <c r="N2033" s="106" t="str">
        <f t="shared" si="7"/>
        <v>0</v>
      </c>
      <c r="O2033" s="107" t="str">
        <f t="array" ref="O2033">XLOOKUP(A2033,Data!F:F,Data!O:O)</f>
        <v>  1.72 </v>
      </c>
      <c r="P2033" s="107" t="str">
        <f t="shared" si="8"/>
        <v>  4.30 </v>
      </c>
      <c r="Q2033" s="27"/>
    </row>
    <row r="2034" ht="15.75" customHeight="1">
      <c r="A2034" s="105" t="s">
        <v>2278</v>
      </c>
      <c r="B2034" s="19" t="str">
        <f t="array" ref="B2034">XLOOKUP(A2034,Data!F:F,Data!G:G)</f>
        <v>J2B</v>
      </c>
      <c r="C2034" s="19" t="str">
        <f t="shared" si="3"/>
        <v>J083</v>
      </c>
      <c r="D2034" s="19" t="str">
        <f t="array" ref="D2034">XLOOKUP(A2034,Data!F:F,Data!C:C)</f>
        <v/>
      </c>
      <c r="E2034" s="19" t="str">
        <f t="array" ref="E2034">XLOOKUP(A2034,Data!F:F,Data!H:H)</f>
        <v>BW</v>
      </c>
      <c r="F2034" s="106" t="str">
        <f>SUMIFS(Data!J:J,Data!F:F,A2034)</f>
        <v>0</v>
      </c>
      <c r="G2034" s="106" t="str">
        <f>SUMIFS(Cast!C:C,CastElements,A2034)</f>
        <v>0</v>
      </c>
      <c r="H2034" s="106" t="str">
        <f t="shared" si="4"/>
        <v>0</v>
      </c>
      <c r="I2034" s="106" t="str">
        <f>SUMIFS(Del!C:C,Del!B:B,A2034)</f>
        <v>0</v>
      </c>
      <c r="J2034" s="106" t="str">
        <f t="shared" si="5"/>
        <v>0</v>
      </c>
      <c r="K2034" s="106" t="str">
        <f t="shared" si="6"/>
        <v>0</v>
      </c>
      <c r="L2034" s="106"/>
      <c r="M2034" s="106" t="str">
        <f>SUMIFS(Ere!C:C,Ere!B:B,A2034)</f>
        <v>0</v>
      </c>
      <c r="N2034" s="106" t="str">
        <f t="shared" si="7"/>
        <v>0</v>
      </c>
      <c r="O2034" s="107" t="str">
        <f t="array" ref="O2034">XLOOKUP(A2034,Data!F:F,Data!O:O)</f>
        <v>  2.38 </v>
      </c>
      <c r="P2034" s="107" t="str">
        <f t="shared" si="8"/>
        <v>  5.95 </v>
      </c>
      <c r="Q2034" s="27"/>
    </row>
    <row r="2035" ht="15.75" customHeight="1">
      <c r="A2035" s="105" t="s">
        <v>2279</v>
      </c>
      <c r="B2035" s="19" t="str">
        <f t="array" ref="B2035">XLOOKUP(A2035,Data!F:F,Data!G:G)</f>
        <v>J2B</v>
      </c>
      <c r="C2035" s="19" t="str">
        <f t="shared" si="3"/>
        <v>J083</v>
      </c>
      <c r="D2035" s="19" t="str">
        <f t="array" ref="D2035">XLOOKUP(A2035,Data!F:F,Data!C:C)</f>
        <v/>
      </c>
      <c r="E2035" s="19" t="str">
        <f t="array" ref="E2035">XLOOKUP(A2035,Data!F:F,Data!H:H)</f>
        <v>BW</v>
      </c>
      <c r="F2035" s="106" t="str">
        <f>SUMIFS(Data!J:J,Data!F:F,A2035)</f>
        <v>0</v>
      </c>
      <c r="G2035" s="106" t="str">
        <f>SUMIFS(Cast!C:C,CastElements,A2035)</f>
        <v>0</v>
      </c>
      <c r="H2035" s="106" t="str">
        <f t="shared" si="4"/>
        <v>0</v>
      </c>
      <c r="I2035" s="106" t="str">
        <f>SUMIFS(Del!C:C,Del!B:B,A2035)</f>
        <v>0</v>
      </c>
      <c r="J2035" s="106" t="str">
        <f t="shared" si="5"/>
        <v>0</v>
      </c>
      <c r="K2035" s="106" t="str">
        <f t="shared" si="6"/>
        <v>0</v>
      </c>
      <c r="L2035" s="106"/>
      <c r="M2035" s="106" t="str">
        <f>SUMIFS(Ere!C:C,Ere!B:B,A2035)</f>
        <v>0</v>
      </c>
      <c r="N2035" s="106" t="str">
        <f t="shared" si="7"/>
        <v>0</v>
      </c>
      <c r="O2035" s="107" t="str">
        <f t="array" ref="O2035">XLOOKUP(A2035,Data!F:F,Data!O:O)</f>
        <v>  3.11 </v>
      </c>
      <c r="P2035" s="107" t="str">
        <f t="shared" si="8"/>
        <v>  7.77 </v>
      </c>
      <c r="Q2035" s="27"/>
    </row>
    <row r="2036" ht="15.75" customHeight="1">
      <c r="A2036" s="105" t="s">
        <v>2280</v>
      </c>
      <c r="B2036" s="19" t="str">
        <f t="array" ref="B2036">XLOOKUP(A2036,Data!F:F,Data!G:G)</f>
        <v>J2B</v>
      </c>
      <c r="C2036" s="19" t="str">
        <f t="shared" si="3"/>
        <v>J083</v>
      </c>
      <c r="D2036" s="19" t="str">
        <f t="array" ref="D2036">XLOOKUP(A2036,Data!F:F,Data!C:C)</f>
        <v/>
      </c>
      <c r="E2036" s="19" t="str">
        <f t="array" ref="E2036">XLOOKUP(A2036,Data!F:F,Data!H:H)</f>
        <v>BW</v>
      </c>
      <c r="F2036" s="106" t="str">
        <f>SUMIFS(Data!J:J,Data!F:F,A2036)</f>
        <v>0</v>
      </c>
      <c r="G2036" s="106" t="str">
        <f>SUMIFS(Cast!C:C,CastElements,A2036)</f>
        <v>0</v>
      </c>
      <c r="H2036" s="106" t="str">
        <f t="shared" si="4"/>
        <v>0</v>
      </c>
      <c r="I2036" s="106" t="str">
        <f>SUMIFS(Del!C:C,Del!B:B,A2036)</f>
        <v>0</v>
      </c>
      <c r="J2036" s="106" t="str">
        <f t="shared" si="5"/>
        <v>0</v>
      </c>
      <c r="K2036" s="106" t="str">
        <f t="shared" si="6"/>
        <v>0</v>
      </c>
      <c r="L2036" s="106"/>
      <c r="M2036" s="106" t="str">
        <f>SUMIFS(Ere!C:C,Ere!B:B,A2036)</f>
        <v>0</v>
      </c>
      <c r="N2036" s="106" t="str">
        <f t="shared" si="7"/>
        <v>0</v>
      </c>
      <c r="O2036" s="107" t="str">
        <f t="array" ref="O2036">XLOOKUP(A2036,Data!F:F,Data!O:O)</f>
        <v>  0.99 </v>
      </c>
      <c r="P2036" s="107" t="str">
        <f t="shared" si="8"/>
        <v>  2.48 </v>
      </c>
      <c r="Q2036" s="27"/>
    </row>
    <row r="2037" ht="15.75" customHeight="1">
      <c r="A2037" s="105" t="s">
        <v>2281</v>
      </c>
      <c r="B2037" s="19" t="str">
        <f t="array" ref="B2037">XLOOKUP(A2037,Data!F:F,Data!G:G)</f>
        <v>J2B</v>
      </c>
      <c r="C2037" s="19" t="str">
        <f t="shared" si="3"/>
        <v>J083</v>
      </c>
      <c r="D2037" s="19" t="str">
        <f t="array" ref="D2037">XLOOKUP(A2037,Data!F:F,Data!C:C)</f>
        <v/>
      </c>
      <c r="E2037" s="19" t="str">
        <f t="array" ref="E2037">XLOOKUP(A2037,Data!F:F,Data!H:H)</f>
        <v>BW</v>
      </c>
      <c r="F2037" s="106" t="str">
        <f>SUMIFS(Data!J:J,Data!F:F,A2037)</f>
        <v>0</v>
      </c>
      <c r="G2037" s="106" t="str">
        <f>SUMIFS(Cast!C:C,CastElements,A2037)</f>
        <v>0</v>
      </c>
      <c r="H2037" s="106" t="str">
        <f t="shared" si="4"/>
        <v>0</v>
      </c>
      <c r="I2037" s="106" t="str">
        <f>SUMIFS(Del!C:C,Del!B:B,A2037)</f>
        <v>0</v>
      </c>
      <c r="J2037" s="106" t="str">
        <f t="shared" si="5"/>
        <v>0</v>
      </c>
      <c r="K2037" s="106" t="str">
        <f t="shared" si="6"/>
        <v>0</v>
      </c>
      <c r="L2037" s="106"/>
      <c r="M2037" s="106" t="str">
        <f>SUMIFS(Ere!C:C,Ere!B:B,A2037)</f>
        <v>0</v>
      </c>
      <c r="N2037" s="106" t="str">
        <f t="shared" si="7"/>
        <v>0</v>
      </c>
      <c r="O2037" s="107" t="str">
        <f t="array" ref="O2037">XLOOKUP(A2037,Data!F:F,Data!O:O)</f>
        <v>  0.43 </v>
      </c>
      <c r="P2037" s="107" t="str">
        <f t="shared" si="8"/>
        <v>  1.08 </v>
      </c>
      <c r="Q2037" s="27"/>
    </row>
    <row r="2038" ht="15.75" customHeight="1">
      <c r="A2038" s="105" t="s">
        <v>2282</v>
      </c>
      <c r="B2038" s="19" t="str">
        <f t="array" ref="B2038">XLOOKUP(A2038,Data!F:F,Data!G:G)</f>
        <v>J2B</v>
      </c>
      <c r="C2038" s="19" t="str">
        <f t="shared" si="3"/>
        <v>J083</v>
      </c>
      <c r="D2038" s="19" t="str">
        <f t="array" ref="D2038">XLOOKUP(A2038,Data!F:F,Data!C:C)</f>
        <v/>
      </c>
      <c r="E2038" s="19" t="str">
        <f t="array" ref="E2038">XLOOKUP(A2038,Data!F:F,Data!H:H)</f>
        <v>BW</v>
      </c>
      <c r="F2038" s="106" t="str">
        <f>SUMIFS(Data!J:J,Data!F:F,A2038)</f>
        <v>0</v>
      </c>
      <c r="G2038" s="106" t="str">
        <f>SUMIFS(Cast!C:C,CastElements,A2038)</f>
        <v>0</v>
      </c>
      <c r="H2038" s="106" t="str">
        <f t="shared" si="4"/>
        <v>0</v>
      </c>
      <c r="I2038" s="106" t="str">
        <f>SUMIFS(Del!C:C,Del!B:B,A2038)</f>
        <v>0</v>
      </c>
      <c r="J2038" s="106" t="str">
        <f t="shared" si="5"/>
        <v>0</v>
      </c>
      <c r="K2038" s="106" t="str">
        <f t="shared" si="6"/>
        <v>0</v>
      </c>
      <c r="L2038" s="106"/>
      <c r="M2038" s="106" t="str">
        <f>SUMIFS(Ere!C:C,Ere!B:B,A2038)</f>
        <v>0</v>
      </c>
      <c r="N2038" s="106" t="str">
        <f t="shared" si="7"/>
        <v>0</v>
      </c>
      <c r="O2038" s="107" t="str">
        <f t="array" ref="O2038">XLOOKUP(A2038,Data!F:F,Data!O:O)</f>
        <v>  0.48 </v>
      </c>
      <c r="P2038" s="107" t="str">
        <f t="shared" si="8"/>
        <v>  1.20 </v>
      </c>
      <c r="Q2038" s="27"/>
    </row>
    <row r="2039" ht="15.75" customHeight="1">
      <c r="A2039" s="105" t="s">
        <v>2283</v>
      </c>
      <c r="B2039" s="19" t="str">
        <f t="array" ref="B2039">XLOOKUP(A2039,Data!F:F,Data!G:G)</f>
        <v>J2B</v>
      </c>
      <c r="C2039" s="19" t="str">
        <f t="shared" si="3"/>
        <v>J083</v>
      </c>
      <c r="D2039" s="19" t="str">
        <f t="array" ref="D2039">XLOOKUP(A2039,Data!F:F,Data!C:C)</f>
        <v/>
      </c>
      <c r="E2039" s="19" t="str">
        <f t="array" ref="E2039">XLOOKUP(A2039,Data!F:F,Data!H:H)</f>
        <v>CF</v>
      </c>
      <c r="F2039" s="106" t="str">
        <f>SUMIFS(Data!J:J,Data!F:F,A2039)</f>
        <v>0</v>
      </c>
      <c r="G2039" s="106" t="str">
        <f>SUMIFS(Cast!C:C,CastElements,A2039)</f>
        <v>0</v>
      </c>
      <c r="H2039" s="106" t="str">
        <f t="shared" si="4"/>
        <v>0</v>
      </c>
      <c r="I2039" s="106" t="str">
        <f>SUMIFS(Del!C:C,Del!B:B,A2039)</f>
        <v>0</v>
      </c>
      <c r="J2039" s="106" t="str">
        <f t="shared" si="5"/>
        <v>0</v>
      </c>
      <c r="K2039" s="106" t="str">
        <f t="shared" si="6"/>
        <v>0</v>
      </c>
      <c r="L2039" s="106"/>
      <c r="M2039" s="106" t="str">
        <f>SUMIFS(Ere!C:C,Ere!B:B,A2039)</f>
        <v>0</v>
      </c>
      <c r="N2039" s="106" t="str">
        <f t="shared" si="7"/>
        <v>0</v>
      </c>
      <c r="O2039" s="107" t="str">
        <f t="array" ref="O2039">XLOOKUP(A2039,Data!F:F,Data!O:O)</f>
        <v>  0.53 </v>
      </c>
      <c r="P2039" s="107" t="str">
        <f t="shared" si="8"/>
        <v>  1.32 </v>
      </c>
      <c r="Q2039" s="27"/>
    </row>
    <row r="2040" ht="15.75" customHeight="1">
      <c r="A2040" s="105" t="s">
        <v>2284</v>
      </c>
      <c r="B2040" s="19" t="str">
        <f t="array" ref="B2040">XLOOKUP(A2040,Data!F:F,Data!G:G)</f>
        <v>J2B</v>
      </c>
      <c r="C2040" s="19" t="str">
        <f t="shared" si="3"/>
        <v>J084</v>
      </c>
      <c r="D2040" s="19" t="str">
        <f t="array" ref="D2040">XLOOKUP(A2040,Data!F:F,Data!C:C)</f>
        <v>EXT</v>
      </c>
      <c r="E2040" s="19" t="str">
        <f t="array" ref="E2040">XLOOKUP(A2040,Data!F:F,Data!H:H)</f>
        <v>BW</v>
      </c>
      <c r="F2040" s="106" t="str">
        <f>SUMIFS(Data!J:J,Data!F:F,A2040)</f>
        <v>1</v>
      </c>
      <c r="G2040" s="106" t="str">
        <f>SUMIFS(Cast!C:C,CastElements,A2040)</f>
        <v>0</v>
      </c>
      <c r="H2040" s="106" t="str">
        <f t="shared" si="4"/>
        <v>1</v>
      </c>
      <c r="I2040" s="106" t="str">
        <f>SUMIFS(Del!C:C,Del!B:B,A2040)</f>
        <v>0</v>
      </c>
      <c r="J2040" s="106" t="str">
        <f t="shared" si="5"/>
        <v>1</v>
      </c>
      <c r="K2040" s="106" t="str">
        <f t="shared" si="6"/>
        <v>0</v>
      </c>
      <c r="L2040" s="106"/>
      <c r="M2040" s="106" t="str">
        <f>SUMIFS(Ere!C:C,Ere!B:B,A2040)</f>
        <v>0</v>
      </c>
      <c r="N2040" s="106" t="str">
        <f t="shared" si="7"/>
        <v>1</v>
      </c>
      <c r="O2040" s="107" t="str">
        <f t="array" ref="O2040">XLOOKUP(A2040,Data!F:F,Data!O:O)</f>
        <v>  0.95 </v>
      </c>
      <c r="P2040" s="107" t="str">
        <f t="shared" si="8"/>
        <v>  2.38 </v>
      </c>
      <c r="Q2040" s="27"/>
    </row>
    <row r="2041" ht="15.75" customHeight="1">
      <c r="A2041" s="105" t="s">
        <v>2285</v>
      </c>
      <c r="B2041" s="19" t="str">
        <f t="array" ref="B2041">XLOOKUP(A2041,Data!F:F,Data!G:G)</f>
        <v>J2B</v>
      </c>
      <c r="C2041" s="19" t="str">
        <f t="shared" si="3"/>
        <v>J084</v>
      </c>
      <c r="D2041" s="19" t="str">
        <f t="array" ref="D2041">XLOOKUP(A2041,Data!F:F,Data!C:C)</f>
        <v>EXT</v>
      </c>
      <c r="E2041" s="19" t="str">
        <f t="array" ref="E2041">XLOOKUP(A2041,Data!F:F,Data!H:H)</f>
        <v>BW</v>
      </c>
      <c r="F2041" s="106" t="str">
        <f>SUMIFS(Data!J:J,Data!F:F,A2041)</f>
        <v>1</v>
      </c>
      <c r="G2041" s="106" t="str">
        <f>SUMIFS(Cast!C:C,CastElements,A2041)</f>
        <v>0</v>
      </c>
      <c r="H2041" s="106" t="str">
        <f t="shared" si="4"/>
        <v>1</v>
      </c>
      <c r="I2041" s="106" t="str">
        <f>SUMIFS(Del!C:C,Del!B:B,A2041)</f>
        <v>0</v>
      </c>
      <c r="J2041" s="106" t="str">
        <f t="shared" si="5"/>
        <v>1</v>
      </c>
      <c r="K2041" s="106" t="str">
        <f t="shared" si="6"/>
        <v>0</v>
      </c>
      <c r="L2041" s="106"/>
      <c r="M2041" s="106" t="str">
        <f>SUMIFS(Ere!C:C,Ere!B:B,A2041)</f>
        <v>0</v>
      </c>
      <c r="N2041" s="106" t="str">
        <f t="shared" si="7"/>
        <v>1</v>
      </c>
      <c r="O2041" s="107" t="str">
        <f t="array" ref="O2041">XLOOKUP(A2041,Data!F:F,Data!O:O)</f>
        <v>  1.06 </v>
      </c>
      <c r="P2041" s="107" t="str">
        <f t="shared" si="8"/>
        <v>  2.65 </v>
      </c>
      <c r="Q2041" s="27"/>
    </row>
    <row r="2042" ht="15.75" customHeight="1">
      <c r="A2042" s="105" t="s">
        <v>2286</v>
      </c>
      <c r="B2042" s="19" t="str">
        <f t="array" ref="B2042">XLOOKUP(A2042,Data!F:F,Data!G:G)</f>
        <v>J2B</v>
      </c>
      <c r="C2042" s="19" t="str">
        <f t="shared" si="3"/>
        <v>J084</v>
      </c>
      <c r="D2042" s="19" t="str">
        <f t="array" ref="D2042">XLOOKUP(A2042,Data!F:F,Data!C:C)</f>
        <v>EXT</v>
      </c>
      <c r="E2042" s="19" t="str">
        <f t="array" ref="E2042">XLOOKUP(A2042,Data!F:F,Data!H:H)</f>
        <v>BW</v>
      </c>
      <c r="F2042" s="106" t="str">
        <f>SUMIFS(Data!J:J,Data!F:F,A2042)</f>
        <v>1</v>
      </c>
      <c r="G2042" s="106" t="str">
        <f>SUMIFS(Cast!C:C,CastElements,A2042)</f>
        <v>0</v>
      </c>
      <c r="H2042" s="106" t="str">
        <f t="shared" si="4"/>
        <v>1</v>
      </c>
      <c r="I2042" s="106" t="str">
        <f>SUMIFS(Del!C:C,Del!B:B,A2042)</f>
        <v>0</v>
      </c>
      <c r="J2042" s="106" t="str">
        <f t="shared" si="5"/>
        <v>1</v>
      </c>
      <c r="K2042" s="106" t="str">
        <f t="shared" si="6"/>
        <v>0</v>
      </c>
      <c r="L2042" s="106"/>
      <c r="M2042" s="106" t="str">
        <f>SUMIFS(Ere!C:C,Ere!B:B,A2042)</f>
        <v>0</v>
      </c>
      <c r="N2042" s="106" t="str">
        <f t="shared" si="7"/>
        <v>1</v>
      </c>
      <c r="O2042" s="107" t="str">
        <f t="array" ref="O2042">XLOOKUP(A2042,Data!F:F,Data!O:O)</f>
        <v>  1.06 </v>
      </c>
      <c r="P2042" s="107" t="str">
        <f t="shared" si="8"/>
        <v>  2.65 </v>
      </c>
      <c r="Q2042" s="27"/>
    </row>
    <row r="2043" ht="15.75" customHeight="1">
      <c r="A2043" s="105" t="s">
        <v>2287</v>
      </c>
      <c r="B2043" s="19" t="str">
        <f t="array" ref="B2043">XLOOKUP(A2043,Data!F:F,Data!G:G)</f>
        <v>J2B</v>
      </c>
      <c r="C2043" s="19" t="str">
        <f t="shared" si="3"/>
        <v>J084</v>
      </c>
      <c r="D2043" s="19" t="str">
        <f t="array" ref="D2043">XLOOKUP(A2043,Data!F:F,Data!C:C)</f>
        <v>EXT</v>
      </c>
      <c r="E2043" s="19" t="str">
        <f t="array" ref="E2043">XLOOKUP(A2043,Data!F:F,Data!H:H)</f>
        <v>BW</v>
      </c>
      <c r="F2043" s="106" t="str">
        <f>SUMIFS(Data!J:J,Data!F:F,A2043)</f>
        <v>1</v>
      </c>
      <c r="G2043" s="106" t="str">
        <f>SUMIFS(Cast!C:C,CastElements,A2043)</f>
        <v>0</v>
      </c>
      <c r="H2043" s="106" t="str">
        <f t="shared" si="4"/>
        <v>1</v>
      </c>
      <c r="I2043" s="106" t="str">
        <f>SUMIFS(Del!C:C,Del!B:B,A2043)</f>
        <v>0</v>
      </c>
      <c r="J2043" s="106" t="str">
        <f t="shared" si="5"/>
        <v>1</v>
      </c>
      <c r="K2043" s="106" t="str">
        <f t="shared" si="6"/>
        <v>0</v>
      </c>
      <c r="L2043" s="106"/>
      <c r="M2043" s="106" t="str">
        <f>SUMIFS(Ere!C:C,Ere!B:B,A2043)</f>
        <v>0</v>
      </c>
      <c r="N2043" s="106" t="str">
        <f t="shared" si="7"/>
        <v>1</v>
      </c>
      <c r="O2043" s="107" t="str">
        <f t="array" ref="O2043">XLOOKUP(A2043,Data!F:F,Data!O:O)</f>
        <v>  0.83 </v>
      </c>
      <c r="P2043" s="107" t="str">
        <f t="shared" si="8"/>
        <v>  2.09 </v>
      </c>
      <c r="Q2043" s="27"/>
    </row>
    <row r="2044" ht="15.75" customHeight="1">
      <c r="A2044" s="105" t="s">
        <v>2288</v>
      </c>
      <c r="B2044" s="19" t="str">
        <f t="array" ref="B2044">XLOOKUP(A2044,Data!F:F,Data!G:G)</f>
        <v>J2B</v>
      </c>
      <c r="C2044" s="19" t="str">
        <f t="shared" si="3"/>
        <v>J084</v>
      </c>
      <c r="D2044" s="19" t="str">
        <f t="array" ref="D2044">XLOOKUP(A2044,Data!F:F,Data!C:C)</f>
        <v/>
      </c>
      <c r="E2044" s="19" t="str">
        <f t="array" ref="E2044">XLOOKUP(A2044,Data!F:F,Data!H:H)</f>
        <v>BW</v>
      </c>
      <c r="F2044" s="106" t="str">
        <f>SUMIFS(Data!J:J,Data!F:F,A2044)</f>
        <v>0</v>
      </c>
      <c r="G2044" s="106" t="str">
        <f>SUMIFS(Cast!C:C,CastElements,A2044)</f>
        <v>0</v>
      </c>
      <c r="H2044" s="106" t="str">
        <f t="shared" si="4"/>
        <v>0</v>
      </c>
      <c r="I2044" s="106" t="str">
        <f>SUMIFS(Del!C:C,Del!B:B,A2044)</f>
        <v>0</v>
      </c>
      <c r="J2044" s="106" t="str">
        <f t="shared" si="5"/>
        <v>0</v>
      </c>
      <c r="K2044" s="106" t="str">
        <f t="shared" si="6"/>
        <v>0</v>
      </c>
      <c r="L2044" s="106"/>
      <c r="M2044" s="106" t="str">
        <f>SUMIFS(Ere!C:C,Ere!B:B,A2044)</f>
        <v>0</v>
      </c>
      <c r="N2044" s="106" t="str">
        <f t="shared" si="7"/>
        <v>0</v>
      </c>
      <c r="O2044" s="107" t="str">
        <f t="array" ref="O2044">XLOOKUP(A2044,Data!F:F,Data!O:O)</f>
        <v>  1.17 </v>
      </c>
      <c r="P2044" s="107" t="str">
        <f t="shared" si="8"/>
        <v>  2.93 </v>
      </c>
      <c r="Q2044" s="27"/>
    </row>
    <row r="2045" ht="15.75" customHeight="1">
      <c r="A2045" s="105" t="s">
        <v>2289</v>
      </c>
      <c r="B2045" s="19" t="str">
        <f t="array" ref="B2045">XLOOKUP(A2045,Data!F:F,Data!G:G)</f>
        <v>J2B</v>
      </c>
      <c r="C2045" s="19" t="str">
        <f t="shared" si="3"/>
        <v>J084</v>
      </c>
      <c r="D2045" s="19" t="str">
        <f t="array" ref="D2045">XLOOKUP(A2045,Data!F:F,Data!C:C)</f>
        <v/>
      </c>
      <c r="E2045" s="19" t="str">
        <f t="array" ref="E2045">XLOOKUP(A2045,Data!F:F,Data!H:H)</f>
        <v>BW</v>
      </c>
      <c r="F2045" s="106" t="str">
        <f>SUMIFS(Data!J:J,Data!F:F,A2045)</f>
        <v>0</v>
      </c>
      <c r="G2045" s="106" t="str">
        <f>SUMIFS(Cast!C:C,CastElements,A2045)</f>
        <v>0</v>
      </c>
      <c r="H2045" s="106" t="str">
        <f t="shared" si="4"/>
        <v>0</v>
      </c>
      <c r="I2045" s="106" t="str">
        <f>SUMIFS(Del!C:C,Del!B:B,A2045)</f>
        <v>0</v>
      </c>
      <c r="J2045" s="106" t="str">
        <f t="shared" si="5"/>
        <v>0</v>
      </c>
      <c r="K2045" s="106" t="str">
        <f t="shared" si="6"/>
        <v>0</v>
      </c>
      <c r="L2045" s="106"/>
      <c r="M2045" s="106" t="str">
        <f>SUMIFS(Ere!C:C,Ere!B:B,A2045)</f>
        <v>0</v>
      </c>
      <c r="N2045" s="106" t="str">
        <f t="shared" si="7"/>
        <v>0</v>
      </c>
      <c r="O2045" s="107" t="str">
        <f t="array" ref="O2045">XLOOKUP(A2045,Data!F:F,Data!O:O)</f>
        <v>  1.30 </v>
      </c>
      <c r="P2045" s="107" t="str">
        <f t="shared" si="8"/>
        <v>  3.26 </v>
      </c>
      <c r="Q2045" s="27"/>
    </row>
    <row r="2046" ht="15.75" customHeight="1">
      <c r="A2046" s="105" t="s">
        <v>2290</v>
      </c>
      <c r="B2046" s="19" t="str">
        <f t="array" ref="B2046">XLOOKUP(A2046,Data!F:F,Data!G:G)</f>
        <v>J2B</v>
      </c>
      <c r="C2046" s="19" t="str">
        <f t="shared" si="3"/>
        <v>J084</v>
      </c>
      <c r="D2046" s="19" t="str">
        <f t="array" ref="D2046">XLOOKUP(A2046,Data!F:F,Data!C:C)</f>
        <v/>
      </c>
      <c r="E2046" s="19" t="str">
        <f t="array" ref="E2046">XLOOKUP(A2046,Data!F:F,Data!H:H)</f>
        <v>BW</v>
      </c>
      <c r="F2046" s="106" t="str">
        <f>SUMIFS(Data!J:J,Data!F:F,A2046)</f>
        <v>0</v>
      </c>
      <c r="G2046" s="106" t="str">
        <f>SUMIFS(Cast!C:C,CastElements,A2046)</f>
        <v>0</v>
      </c>
      <c r="H2046" s="106" t="str">
        <f t="shared" si="4"/>
        <v>0</v>
      </c>
      <c r="I2046" s="106" t="str">
        <f>SUMIFS(Del!C:C,Del!B:B,A2046)</f>
        <v>0</v>
      </c>
      <c r="J2046" s="106" t="str">
        <f t="shared" si="5"/>
        <v>0</v>
      </c>
      <c r="K2046" s="106" t="str">
        <f t="shared" si="6"/>
        <v>0</v>
      </c>
      <c r="L2046" s="106"/>
      <c r="M2046" s="106" t="str">
        <f>SUMIFS(Ere!C:C,Ere!B:B,A2046)</f>
        <v>0</v>
      </c>
      <c r="N2046" s="106" t="str">
        <f t="shared" si="7"/>
        <v>0</v>
      </c>
      <c r="O2046" s="107" t="str">
        <f t="array" ref="O2046">XLOOKUP(A2046,Data!F:F,Data!O:O)</f>
        <v>  1.66 </v>
      </c>
      <c r="P2046" s="107" t="str">
        <f t="shared" si="8"/>
        <v>  4.15 </v>
      </c>
      <c r="Q2046" s="27"/>
    </row>
    <row r="2047" ht="15.75" customHeight="1">
      <c r="A2047" s="105" t="s">
        <v>2291</v>
      </c>
      <c r="B2047" s="19" t="str">
        <f t="array" ref="B2047">XLOOKUP(A2047,Data!F:F,Data!G:G)</f>
        <v>J2B</v>
      </c>
      <c r="C2047" s="19" t="str">
        <f t="shared" si="3"/>
        <v>J084</v>
      </c>
      <c r="D2047" s="19" t="str">
        <f t="array" ref="D2047">XLOOKUP(A2047,Data!F:F,Data!C:C)</f>
        <v/>
      </c>
      <c r="E2047" s="19" t="str">
        <f t="array" ref="E2047">XLOOKUP(A2047,Data!F:F,Data!H:H)</f>
        <v>BW</v>
      </c>
      <c r="F2047" s="106" t="str">
        <f>SUMIFS(Data!J:J,Data!F:F,A2047)</f>
        <v>0</v>
      </c>
      <c r="G2047" s="106" t="str">
        <f>SUMIFS(Cast!C:C,CastElements,A2047)</f>
        <v>0</v>
      </c>
      <c r="H2047" s="106" t="str">
        <f t="shared" si="4"/>
        <v>0</v>
      </c>
      <c r="I2047" s="106" t="str">
        <f>SUMIFS(Del!C:C,Del!B:B,A2047)</f>
        <v>0</v>
      </c>
      <c r="J2047" s="106" t="str">
        <f t="shared" si="5"/>
        <v>0</v>
      </c>
      <c r="K2047" s="106" t="str">
        <f t="shared" si="6"/>
        <v>0</v>
      </c>
      <c r="L2047" s="106"/>
      <c r="M2047" s="106" t="str">
        <f>SUMIFS(Ere!C:C,Ere!B:B,A2047)</f>
        <v>0</v>
      </c>
      <c r="N2047" s="106" t="str">
        <f t="shared" si="7"/>
        <v>0</v>
      </c>
      <c r="O2047" s="107" t="str">
        <f t="array" ref="O2047">XLOOKUP(A2047,Data!F:F,Data!O:O)</f>
        <v>  1.42 </v>
      </c>
      <c r="P2047" s="107" t="str">
        <f t="shared" si="8"/>
        <v>  3.55 </v>
      </c>
      <c r="Q2047" s="27"/>
    </row>
    <row r="2048" ht="15.75" customHeight="1">
      <c r="A2048" s="105" t="s">
        <v>2292</v>
      </c>
      <c r="B2048" s="19" t="str">
        <f t="array" ref="B2048">XLOOKUP(A2048,Data!F:F,Data!G:G)</f>
        <v>J2B</v>
      </c>
      <c r="C2048" s="19" t="str">
        <f t="shared" si="3"/>
        <v>J084</v>
      </c>
      <c r="D2048" s="19" t="str">
        <f t="array" ref="D2048">XLOOKUP(A2048,Data!F:F,Data!C:C)</f>
        <v/>
      </c>
      <c r="E2048" s="19" t="str">
        <f t="array" ref="E2048">XLOOKUP(A2048,Data!F:F,Data!H:H)</f>
        <v>BW</v>
      </c>
      <c r="F2048" s="106" t="str">
        <f>SUMIFS(Data!J:J,Data!F:F,A2048)</f>
        <v>0</v>
      </c>
      <c r="G2048" s="106" t="str">
        <f>SUMIFS(Cast!C:C,CastElements,A2048)</f>
        <v>0</v>
      </c>
      <c r="H2048" s="106" t="str">
        <f t="shared" si="4"/>
        <v>0</v>
      </c>
      <c r="I2048" s="106" t="str">
        <f>SUMIFS(Del!C:C,Del!B:B,A2048)</f>
        <v>0</v>
      </c>
      <c r="J2048" s="106" t="str">
        <f t="shared" si="5"/>
        <v>0</v>
      </c>
      <c r="K2048" s="106" t="str">
        <f t="shared" si="6"/>
        <v>0</v>
      </c>
      <c r="L2048" s="106"/>
      <c r="M2048" s="106" t="str">
        <f>SUMIFS(Ere!C:C,Ere!B:B,A2048)</f>
        <v>0</v>
      </c>
      <c r="N2048" s="106" t="str">
        <f t="shared" si="7"/>
        <v>0</v>
      </c>
      <c r="O2048" s="107" t="str">
        <f t="array" ref="O2048">XLOOKUP(A2048,Data!F:F,Data!O:O)</f>
        <v>  1.37 </v>
      </c>
      <c r="P2048" s="107" t="str">
        <f t="shared" si="8"/>
        <v>  3.43 </v>
      </c>
      <c r="Q2048" s="27"/>
    </row>
    <row r="2049" ht="15.75" customHeight="1">
      <c r="A2049" s="105" t="s">
        <v>2293</v>
      </c>
      <c r="B2049" s="19" t="str">
        <f t="array" ref="B2049">XLOOKUP(A2049,Data!F:F,Data!G:G)</f>
        <v>J2B</v>
      </c>
      <c r="C2049" s="19" t="str">
        <f t="shared" si="3"/>
        <v>J084</v>
      </c>
      <c r="D2049" s="19" t="str">
        <f t="array" ref="D2049">XLOOKUP(A2049,Data!F:F,Data!C:C)</f>
        <v/>
      </c>
      <c r="E2049" s="19" t="str">
        <f t="array" ref="E2049">XLOOKUP(A2049,Data!F:F,Data!H:H)</f>
        <v>BW</v>
      </c>
      <c r="F2049" s="106" t="str">
        <f>SUMIFS(Data!J:J,Data!F:F,A2049)</f>
        <v>0</v>
      </c>
      <c r="G2049" s="106" t="str">
        <f>SUMIFS(Cast!C:C,CastElements,A2049)</f>
        <v>0</v>
      </c>
      <c r="H2049" s="106" t="str">
        <f t="shared" si="4"/>
        <v>0</v>
      </c>
      <c r="I2049" s="106" t="str">
        <f>SUMIFS(Del!C:C,Del!B:B,A2049)</f>
        <v>0</v>
      </c>
      <c r="J2049" s="106" t="str">
        <f t="shared" si="5"/>
        <v>0</v>
      </c>
      <c r="K2049" s="106" t="str">
        <f t="shared" si="6"/>
        <v>0</v>
      </c>
      <c r="L2049" s="106"/>
      <c r="M2049" s="106" t="str">
        <f>SUMIFS(Ere!C:C,Ere!B:B,A2049)</f>
        <v>0</v>
      </c>
      <c r="N2049" s="106" t="str">
        <f t="shared" si="7"/>
        <v>0</v>
      </c>
      <c r="O2049" s="107" t="str">
        <f t="array" ref="O2049">XLOOKUP(A2049,Data!F:F,Data!O:O)</f>
        <v>  1.96 </v>
      </c>
      <c r="P2049" s="107" t="str">
        <f t="shared" si="8"/>
        <v>  4.90 </v>
      </c>
      <c r="Q2049" s="27"/>
    </row>
    <row r="2050" ht="15.75" customHeight="1">
      <c r="A2050" s="105" t="s">
        <v>2294</v>
      </c>
      <c r="B2050" s="19" t="str">
        <f t="array" ref="B2050">XLOOKUP(A2050,Data!F:F,Data!G:G)</f>
        <v>J2B</v>
      </c>
      <c r="C2050" s="19" t="str">
        <f t="shared" si="3"/>
        <v>J084</v>
      </c>
      <c r="D2050" s="19" t="str">
        <f t="array" ref="D2050">XLOOKUP(A2050,Data!F:F,Data!C:C)</f>
        <v/>
      </c>
      <c r="E2050" s="19" t="str">
        <f t="array" ref="E2050">XLOOKUP(A2050,Data!F:F,Data!H:H)</f>
        <v>BW</v>
      </c>
      <c r="F2050" s="106" t="str">
        <f>SUMIFS(Data!J:J,Data!F:F,A2050)</f>
        <v>0</v>
      </c>
      <c r="G2050" s="106" t="str">
        <f>SUMIFS(Cast!C:C,CastElements,A2050)</f>
        <v>0</v>
      </c>
      <c r="H2050" s="106" t="str">
        <f t="shared" si="4"/>
        <v>0</v>
      </c>
      <c r="I2050" s="106" t="str">
        <f>SUMIFS(Del!C:C,Del!B:B,A2050)</f>
        <v>0</v>
      </c>
      <c r="J2050" s="106" t="str">
        <f t="shared" si="5"/>
        <v>0</v>
      </c>
      <c r="K2050" s="106" t="str">
        <f t="shared" si="6"/>
        <v>0</v>
      </c>
      <c r="L2050" s="106"/>
      <c r="M2050" s="106" t="str">
        <f>SUMIFS(Ere!C:C,Ere!B:B,A2050)</f>
        <v>0</v>
      </c>
      <c r="N2050" s="106" t="str">
        <f t="shared" si="7"/>
        <v>0</v>
      </c>
      <c r="O2050" s="107" t="str">
        <f t="array" ref="O2050">XLOOKUP(A2050,Data!F:F,Data!O:O)</f>
        <v>  2.26 </v>
      </c>
      <c r="P2050" s="107" t="str">
        <f t="shared" si="8"/>
        <v>  5.65 </v>
      </c>
      <c r="Q2050" s="27"/>
    </row>
    <row r="2051" ht="15.75" customHeight="1">
      <c r="A2051" s="105" t="s">
        <v>2295</v>
      </c>
      <c r="B2051" s="19" t="str">
        <f t="array" ref="B2051">XLOOKUP(A2051,Data!F:F,Data!G:G)</f>
        <v>J2B</v>
      </c>
      <c r="C2051" s="19" t="str">
        <f t="shared" si="3"/>
        <v>J084</v>
      </c>
      <c r="D2051" s="19" t="str">
        <f t="array" ref="D2051">XLOOKUP(A2051,Data!F:F,Data!C:C)</f>
        <v/>
      </c>
      <c r="E2051" s="19" t="str">
        <f t="array" ref="E2051">XLOOKUP(A2051,Data!F:F,Data!H:H)</f>
        <v/>
      </c>
      <c r="F2051" s="106" t="str">
        <f>SUMIFS(Data!J:J,Data!F:F,A2051)</f>
        <v>1</v>
      </c>
      <c r="G2051" s="106" t="str">
        <f>SUMIFS(Cast!C:C,CastElements,A2051)</f>
        <v>0</v>
      </c>
      <c r="H2051" s="106" t="str">
        <f t="shared" si="4"/>
        <v>1</v>
      </c>
      <c r="I2051" s="106" t="str">
        <f>SUMIFS(Del!C:C,Del!B:B,A2051)</f>
        <v>0</v>
      </c>
      <c r="J2051" s="106" t="str">
        <f t="shared" si="5"/>
        <v>1</v>
      </c>
      <c r="K2051" s="106" t="str">
        <f t="shared" si="6"/>
        <v>0</v>
      </c>
      <c r="L2051" s="106"/>
      <c r="M2051" s="106" t="str">
        <f>SUMIFS(Ere!C:C,Ere!B:B,A2051)</f>
        <v>0</v>
      </c>
      <c r="N2051" s="106" t="str">
        <f t="shared" si="7"/>
        <v>1</v>
      </c>
      <c r="O2051" s="107" t="str">
        <f t="array" ref="O2051">XLOOKUP(A2051,Data!F:F,Data!O:O)</f>
        <v>  2.23 </v>
      </c>
      <c r="P2051" s="107" t="str">
        <f t="shared" si="8"/>
        <v>  5.57 </v>
      </c>
      <c r="Q2051" s="27"/>
    </row>
    <row r="2052" ht="15.75" customHeight="1">
      <c r="A2052" s="105" t="s">
        <v>2296</v>
      </c>
      <c r="B2052" s="19" t="str">
        <f t="array" ref="B2052">XLOOKUP(A2052,Data!F:F,Data!G:G)</f>
        <v>J2B</v>
      </c>
      <c r="C2052" s="19" t="str">
        <f t="shared" si="3"/>
        <v>J084</v>
      </c>
      <c r="D2052" s="19" t="str">
        <f t="array" ref="D2052">XLOOKUP(A2052,Data!F:F,Data!C:C)</f>
        <v/>
      </c>
      <c r="E2052" s="19" t="str">
        <f t="array" ref="E2052">XLOOKUP(A2052,Data!F:F,Data!H:H)</f>
        <v/>
      </c>
      <c r="F2052" s="106" t="str">
        <f>SUMIFS(Data!J:J,Data!F:F,A2052)</f>
        <v>1</v>
      </c>
      <c r="G2052" s="106" t="str">
        <f>SUMIFS(Cast!C:C,CastElements,A2052)</f>
        <v>0</v>
      </c>
      <c r="H2052" s="106" t="str">
        <f t="shared" si="4"/>
        <v>1</v>
      </c>
      <c r="I2052" s="106" t="str">
        <f>SUMIFS(Del!C:C,Del!B:B,A2052)</f>
        <v>0</v>
      </c>
      <c r="J2052" s="106" t="str">
        <f t="shared" si="5"/>
        <v>1</v>
      </c>
      <c r="K2052" s="106" t="str">
        <f t="shared" si="6"/>
        <v>0</v>
      </c>
      <c r="L2052" s="106"/>
      <c r="M2052" s="106" t="str">
        <f>SUMIFS(Ere!C:C,Ere!B:B,A2052)</f>
        <v>0</v>
      </c>
      <c r="N2052" s="106" t="str">
        <f t="shared" si="7"/>
        <v>1</v>
      </c>
      <c r="O2052" s="107" t="str">
        <f t="array" ref="O2052">XLOOKUP(A2052,Data!F:F,Data!O:O)</f>
        <v>  2.23 </v>
      </c>
      <c r="P2052" s="107" t="str">
        <f t="shared" si="8"/>
        <v>  5.57 </v>
      </c>
      <c r="Q2052" s="27"/>
    </row>
    <row r="2053" ht="15.75" customHeight="1">
      <c r="A2053" s="105" t="s">
        <v>2297</v>
      </c>
      <c r="B2053" s="19" t="str">
        <f t="array" ref="B2053">XLOOKUP(A2053,Data!F:F,Data!G:G)</f>
        <v>J2B</v>
      </c>
      <c r="C2053" s="19" t="str">
        <f t="shared" si="3"/>
        <v>J084</v>
      </c>
      <c r="D2053" s="19" t="str">
        <f t="array" ref="D2053">XLOOKUP(A2053,Data!F:F,Data!C:C)</f>
        <v/>
      </c>
      <c r="E2053" s="19" t="str">
        <f t="array" ref="E2053">XLOOKUP(A2053,Data!F:F,Data!H:H)</f>
        <v/>
      </c>
      <c r="F2053" s="106" t="str">
        <f>SUMIFS(Data!J:J,Data!F:F,A2053)</f>
        <v>1</v>
      </c>
      <c r="G2053" s="106" t="str">
        <f>SUMIFS(Cast!C:C,CastElements,A2053)</f>
        <v>0</v>
      </c>
      <c r="H2053" s="106" t="str">
        <f t="shared" si="4"/>
        <v>1</v>
      </c>
      <c r="I2053" s="106" t="str">
        <f>SUMIFS(Del!C:C,Del!B:B,A2053)</f>
        <v>0</v>
      </c>
      <c r="J2053" s="106" t="str">
        <f t="shared" si="5"/>
        <v>1</v>
      </c>
      <c r="K2053" s="106" t="str">
        <f t="shared" si="6"/>
        <v>0</v>
      </c>
      <c r="L2053" s="106"/>
      <c r="M2053" s="106" t="str">
        <f>SUMIFS(Ere!C:C,Ere!B:B,A2053)</f>
        <v>0</v>
      </c>
      <c r="N2053" s="106" t="str">
        <f t="shared" si="7"/>
        <v>1</v>
      </c>
      <c r="O2053" s="107" t="str">
        <f t="array" ref="O2053">XLOOKUP(A2053,Data!F:F,Data!O:O)</f>
        <v>  2.23 </v>
      </c>
      <c r="P2053" s="107" t="str">
        <f t="shared" si="8"/>
        <v>  5.57 </v>
      </c>
      <c r="Q2053" s="27"/>
    </row>
    <row r="2054" ht="15.75" customHeight="1">
      <c r="A2054" s="105" t="s">
        <v>2298</v>
      </c>
      <c r="B2054" s="19" t="str">
        <f t="array" ref="B2054">XLOOKUP(A2054,Data!F:F,Data!G:G)</f>
        <v>J2B</v>
      </c>
      <c r="C2054" s="19" t="str">
        <f t="shared" si="3"/>
        <v>J084</v>
      </c>
      <c r="D2054" s="19" t="str">
        <f t="array" ref="D2054">XLOOKUP(A2054,Data!F:F,Data!C:C)</f>
        <v/>
      </c>
      <c r="E2054" s="19" t="str">
        <f t="array" ref="E2054">XLOOKUP(A2054,Data!F:F,Data!H:H)</f>
        <v/>
      </c>
      <c r="F2054" s="106" t="str">
        <f>SUMIFS(Data!J:J,Data!F:F,A2054)</f>
        <v>1</v>
      </c>
      <c r="G2054" s="106" t="str">
        <f>SUMIFS(Cast!C:C,CastElements,A2054)</f>
        <v>0</v>
      </c>
      <c r="H2054" s="106" t="str">
        <f t="shared" si="4"/>
        <v>1</v>
      </c>
      <c r="I2054" s="106" t="str">
        <f>SUMIFS(Del!C:C,Del!B:B,A2054)</f>
        <v>0</v>
      </c>
      <c r="J2054" s="106" t="str">
        <f t="shared" si="5"/>
        <v>1</v>
      </c>
      <c r="K2054" s="106" t="str">
        <f t="shared" si="6"/>
        <v>0</v>
      </c>
      <c r="L2054" s="106"/>
      <c r="M2054" s="106" t="str">
        <f>SUMIFS(Ere!C:C,Ere!B:B,A2054)</f>
        <v>0</v>
      </c>
      <c r="N2054" s="106" t="str">
        <f t="shared" si="7"/>
        <v>1</v>
      </c>
      <c r="O2054" s="107" t="str">
        <f t="array" ref="O2054">XLOOKUP(A2054,Data!F:F,Data!O:O)</f>
        <v>  1.87 </v>
      </c>
      <c r="P2054" s="107" t="str">
        <f t="shared" si="8"/>
        <v>  4.67 </v>
      </c>
      <c r="Q2054" s="27"/>
    </row>
    <row r="2055" ht="15.75" customHeight="1">
      <c r="A2055" s="105" t="s">
        <v>2299</v>
      </c>
      <c r="B2055" s="19" t="str">
        <f t="array" ref="B2055">XLOOKUP(A2055,Data!F:F,Data!G:G)</f>
        <v>J2B</v>
      </c>
      <c r="C2055" s="19" t="str">
        <f t="shared" si="3"/>
        <v>J084</v>
      </c>
      <c r="D2055" s="19" t="str">
        <f t="array" ref="D2055">XLOOKUP(A2055,Data!F:F,Data!C:C)</f>
        <v/>
      </c>
      <c r="E2055" s="19" t="str">
        <f t="array" ref="E2055">XLOOKUP(A2055,Data!F:F,Data!H:H)</f>
        <v/>
      </c>
      <c r="F2055" s="106" t="str">
        <f>SUMIFS(Data!J:J,Data!F:F,A2055)</f>
        <v>1</v>
      </c>
      <c r="G2055" s="106" t="str">
        <f>SUMIFS(Cast!C:C,CastElements,A2055)</f>
        <v>0</v>
      </c>
      <c r="H2055" s="106" t="str">
        <f t="shared" si="4"/>
        <v>1</v>
      </c>
      <c r="I2055" s="106" t="str">
        <f>SUMIFS(Del!C:C,Del!B:B,A2055)</f>
        <v>0</v>
      </c>
      <c r="J2055" s="106" t="str">
        <f t="shared" si="5"/>
        <v>1</v>
      </c>
      <c r="K2055" s="106" t="str">
        <f t="shared" si="6"/>
        <v>0</v>
      </c>
      <c r="L2055" s="106"/>
      <c r="M2055" s="106" t="str">
        <f>SUMIFS(Ere!C:C,Ere!B:B,A2055)</f>
        <v>0</v>
      </c>
      <c r="N2055" s="106" t="str">
        <f t="shared" si="7"/>
        <v>1</v>
      </c>
      <c r="O2055" s="107" t="str">
        <f t="array" ref="O2055">XLOOKUP(A2055,Data!F:F,Data!O:O)</f>
        <v>  0.32 </v>
      </c>
      <c r="P2055" s="107" t="str">
        <f t="shared" si="8"/>
        <v>  0.80 </v>
      </c>
      <c r="Q2055" s="27"/>
    </row>
    <row r="2056" ht="15.75" customHeight="1">
      <c r="A2056" s="105" t="s">
        <v>2300</v>
      </c>
      <c r="B2056" s="19" t="str">
        <f t="array" ref="B2056">XLOOKUP(A2056,Data!F:F,Data!G:G)</f>
        <v>J2B</v>
      </c>
      <c r="C2056" s="19" t="str">
        <f t="shared" si="3"/>
        <v>J084</v>
      </c>
      <c r="D2056" s="19" t="str">
        <f t="array" ref="D2056">XLOOKUP(A2056,Data!F:F,Data!C:C)</f>
        <v/>
      </c>
      <c r="E2056" s="19" t="str">
        <f t="array" ref="E2056">XLOOKUP(A2056,Data!F:F,Data!H:H)</f>
        <v/>
      </c>
      <c r="F2056" s="106" t="str">
        <f>SUMIFS(Data!J:J,Data!F:F,A2056)</f>
        <v>1</v>
      </c>
      <c r="G2056" s="106" t="str">
        <f>SUMIFS(Cast!C:C,CastElements,A2056)</f>
        <v>0</v>
      </c>
      <c r="H2056" s="106" t="str">
        <f t="shared" si="4"/>
        <v>1</v>
      </c>
      <c r="I2056" s="106" t="str">
        <f>SUMIFS(Del!C:C,Del!B:B,A2056)</f>
        <v>0</v>
      </c>
      <c r="J2056" s="106" t="str">
        <f t="shared" si="5"/>
        <v>1</v>
      </c>
      <c r="K2056" s="106" t="str">
        <f t="shared" si="6"/>
        <v>0</v>
      </c>
      <c r="L2056" s="106"/>
      <c r="M2056" s="106" t="str">
        <f>SUMIFS(Ere!C:C,Ere!B:B,A2056)</f>
        <v>0</v>
      </c>
      <c r="N2056" s="106" t="str">
        <f t="shared" si="7"/>
        <v>1</v>
      </c>
      <c r="O2056" s="107" t="str">
        <f t="array" ref="O2056">XLOOKUP(A2056,Data!F:F,Data!O:O)</f>
        <v>  0.42 </v>
      </c>
      <c r="P2056" s="107" t="str">
        <f t="shared" si="8"/>
        <v>  1.05 </v>
      </c>
      <c r="Q2056" s="27"/>
    </row>
    <row r="2057" ht="15.75" customHeight="1">
      <c r="A2057" s="105" t="s">
        <v>2301</v>
      </c>
      <c r="B2057" s="19" t="str">
        <f t="array" ref="B2057">XLOOKUP(A2057,Data!F:F,Data!G:G)</f>
        <v>J2B</v>
      </c>
      <c r="C2057" s="19" t="str">
        <f t="shared" si="3"/>
        <v>J085</v>
      </c>
      <c r="D2057" s="19" t="str">
        <f t="array" ref="D2057">XLOOKUP(A2057,Data!F:F,Data!C:C)</f>
        <v>EXT</v>
      </c>
      <c r="E2057" s="19" t="str">
        <f t="array" ref="E2057">XLOOKUP(A2057,Data!F:F,Data!H:H)</f>
        <v/>
      </c>
      <c r="F2057" s="106" t="str">
        <f>SUMIFS(Data!J:J,Data!F:F,A2057)</f>
        <v>1</v>
      </c>
      <c r="G2057" s="106" t="str">
        <f>SUMIFS(Cast!C:C,CastElements,A2057)</f>
        <v>0</v>
      </c>
      <c r="H2057" s="106" t="str">
        <f t="shared" si="4"/>
        <v>1</v>
      </c>
      <c r="I2057" s="106" t="str">
        <f>SUMIFS(Del!C:C,Del!B:B,A2057)</f>
        <v>0</v>
      </c>
      <c r="J2057" s="106" t="str">
        <f t="shared" si="5"/>
        <v>1</v>
      </c>
      <c r="K2057" s="106" t="str">
        <f t="shared" si="6"/>
        <v>0</v>
      </c>
      <c r="L2057" s="106"/>
      <c r="M2057" s="106" t="str">
        <f>SUMIFS(Ere!C:C,Ere!B:B,A2057)</f>
        <v>0</v>
      </c>
      <c r="N2057" s="106" t="str">
        <f t="shared" si="7"/>
        <v>1</v>
      </c>
      <c r="O2057" s="107" t="str">
        <f t="array" ref="O2057">XLOOKUP(A2057,Data!F:F,Data!O:O)</f>
        <v>  0.54 </v>
      </c>
      <c r="P2057" s="107" t="str">
        <f t="shared" si="8"/>
        <v>  1.35 </v>
      </c>
      <c r="Q2057" s="27"/>
    </row>
    <row r="2058" ht="15.75" customHeight="1">
      <c r="A2058" s="105" t="s">
        <v>2302</v>
      </c>
      <c r="B2058" s="19" t="str">
        <f t="array" ref="B2058">XLOOKUP(A2058,Data!F:F,Data!G:G)</f>
        <v>J2B</v>
      </c>
      <c r="C2058" s="19" t="str">
        <f t="shared" si="3"/>
        <v>J085</v>
      </c>
      <c r="D2058" s="19" t="str">
        <f t="array" ref="D2058">XLOOKUP(A2058,Data!F:F,Data!C:C)</f>
        <v>EXT</v>
      </c>
      <c r="E2058" s="19" t="str">
        <f t="array" ref="E2058">XLOOKUP(A2058,Data!F:F,Data!H:H)</f>
        <v/>
      </c>
      <c r="F2058" s="106" t="str">
        <f>SUMIFS(Data!J:J,Data!F:F,A2058)</f>
        <v>1</v>
      </c>
      <c r="G2058" s="106" t="str">
        <f>SUMIFS(Cast!C:C,CastElements,A2058)</f>
        <v>0</v>
      </c>
      <c r="H2058" s="106" t="str">
        <f t="shared" si="4"/>
        <v>1</v>
      </c>
      <c r="I2058" s="106" t="str">
        <f>SUMIFS(Del!C:C,Del!B:B,A2058)</f>
        <v>0</v>
      </c>
      <c r="J2058" s="106" t="str">
        <f t="shared" si="5"/>
        <v>1</v>
      </c>
      <c r="K2058" s="106" t="str">
        <f t="shared" si="6"/>
        <v>0</v>
      </c>
      <c r="L2058" s="106"/>
      <c r="M2058" s="106" t="str">
        <f>SUMIFS(Ere!C:C,Ere!B:B,A2058)</f>
        <v>0</v>
      </c>
      <c r="N2058" s="106" t="str">
        <f t="shared" si="7"/>
        <v>1</v>
      </c>
      <c r="O2058" s="107" t="str">
        <f t="array" ref="O2058">XLOOKUP(A2058,Data!F:F,Data!O:O)</f>
        <v>  0.88 </v>
      </c>
      <c r="P2058" s="107" t="str">
        <f t="shared" si="8"/>
        <v>  2.21 </v>
      </c>
      <c r="Q2058" s="27"/>
    </row>
    <row r="2059" ht="15.75" customHeight="1">
      <c r="A2059" s="105" t="s">
        <v>2303</v>
      </c>
      <c r="B2059" s="19" t="str">
        <f t="array" ref="B2059">XLOOKUP(A2059,Data!F:F,Data!G:G)</f>
        <v>J2B</v>
      </c>
      <c r="C2059" s="19" t="str">
        <f t="shared" si="3"/>
        <v>J085</v>
      </c>
      <c r="D2059" s="19" t="str">
        <f t="array" ref="D2059">XLOOKUP(A2059,Data!F:F,Data!C:C)</f>
        <v>EXT</v>
      </c>
      <c r="E2059" s="19" t="str">
        <f t="array" ref="E2059">XLOOKUP(A2059,Data!F:F,Data!H:H)</f>
        <v/>
      </c>
      <c r="F2059" s="106" t="str">
        <f>SUMIFS(Data!J:J,Data!F:F,A2059)</f>
        <v>1</v>
      </c>
      <c r="G2059" s="106" t="str">
        <f>SUMIFS(Cast!C:C,CastElements,A2059)</f>
        <v>0</v>
      </c>
      <c r="H2059" s="106" t="str">
        <f t="shared" si="4"/>
        <v>1</v>
      </c>
      <c r="I2059" s="106" t="str">
        <f>SUMIFS(Del!C:C,Del!B:B,A2059)</f>
        <v>0</v>
      </c>
      <c r="J2059" s="106" t="str">
        <f t="shared" si="5"/>
        <v>1</v>
      </c>
      <c r="K2059" s="106" t="str">
        <f t="shared" si="6"/>
        <v>0</v>
      </c>
      <c r="L2059" s="106"/>
      <c r="M2059" s="106" t="str">
        <f>SUMIFS(Ere!C:C,Ere!B:B,A2059)</f>
        <v>0</v>
      </c>
      <c r="N2059" s="106" t="str">
        <f t="shared" si="7"/>
        <v>1</v>
      </c>
      <c r="O2059" s="107" t="str">
        <f t="array" ref="O2059">XLOOKUP(A2059,Data!F:F,Data!O:O)</f>
        <v>  1.03 </v>
      </c>
      <c r="P2059" s="107" t="str">
        <f t="shared" si="8"/>
        <v>  2.56 </v>
      </c>
      <c r="Q2059" s="27"/>
    </row>
    <row r="2060" ht="15.75" customHeight="1">
      <c r="A2060" s="105" t="s">
        <v>2304</v>
      </c>
      <c r="B2060" s="19" t="str">
        <f t="array" ref="B2060">XLOOKUP(A2060,Data!F:F,Data!G:G)</f>
        <v>J2B</v>
      </c>
      <c r="C2060" s="19" t="str">
        <f t="shared" si="3"/>
        <v>J085</v>
      </c>
      <c r="D2060" s="19" t="str">
        <f t="array" ref="D2060">XLOOKUP(A2060,Data!F:F,Data!C:C)</f>
        <v>EXT</v>
      </c>
      <c r="E2060" s="19" t="str">
        <f t="array" ref="E2060">XLOOKUP(A2060,Data!F:F,Data!H:H)</f>
        <v/>
      </c>
      <c r="F2060" s="106" t="str">
        <f>SUMIFS(Data!J:J,Data!F:F,A2060)</f>
        <v>1</v>
      </c>
      <c r="G2060" s="106" t="str">
        <f>SUMIFS(Cast!C:C,CastElements,A2060)</f>
        <v>0</v>
      </c>
      <c r="H2060" s="106" t="str">
        <f t="shared" si="4"/>
        <v>1</v>
      </c>
      <c r="I2060" s="106" t="str">
        <f>SUMIFS(Del!C:C,Del!B:B,A2060)</f>
        <v>0</v>
      </c>
      <c r="J2060" s="106" t="str">
        <f t="shared" si="5"/>
        <v>1</v>
      </c>
      <c r="K2060" s="106" t="str">
        <f t="shared" si="6"/>
        <v>0</v>
      </c>
      <c r="L2060" s="106"/>
      <c r="M2060" s="106" t="str">
        <f>SUMIFS(Ere!C:C,Ere!B:B,A2060)</f>
        <v>0</v>
      </c>
      <c r="N2060" s="106" t="str">
        <f t="shared" si="7"/>
        <v>1</v>
      </c>
      <c r="O2060" s="107" t="str">
        <f t="array" ref="O2060">XLOOKUP(A2060,Data!F:F,Data!O:O)</f>
        <v>  1.25 </v>
      </c>
      <c r="P2060" s="107" t="str">
        <f t="shared" si="8"/>
        <v>  3.13 </v>
      </c>
      <c r="Q2060" s="27"/>
    </row>
    <row r="2061" ht="15.75" customHeight="1">
      <c r="A2061" s="105" t="s">
        <v>2305</v>
      </c>
      <c r="B2061" s="19" t="str">
        <f t="array" ref="B2061">XLOOKUP(A2061,Data!F:F,Data!G:G)</f>
        <v>J2B</v>
      </c>
      <c r="C2061" s="19" t="str">
        <f t="shared" si="3"/>
        <v>J085</v>
      </c>
      <c r="D2061" s="19" t="str">
        <f t="array" ref="D2061">XLOOKUP(A2061,Data!F:F,Data!C:C)</f>
        <v/>
      </c>
      <c r="E2061" s="19" t="str">
        <f t="array" ref="E2061">XLOOKUP(A2061,Data!F:F,Data!H:H)</f>
        <v/>
      </c>
      <c r="F2061" s="106" t="str">
        <f>SUMIFS(Data!J:J,Data!F:F,A2061)</f>
        <v>1</v>
      </c>
      <c r="G2061" s="106" t="str">
        <f>SUMIFS(Cast!C:C,CastElements,A2061)</f>
        <v>0</v>
      </c>
      <c r="H2061" s="106" t="str">
        <f t="shared" si="4"/>
        <v>1</v>
      </c>
      <c r="I2061" s="106" t="str">
        <f>SUMIFS(Del!C:C,Del!B:B,A2061)</f>
        <v>0</v>
      </c>
      <c r="J2061" s="106" t="str">
        <f t="shared" si="5"/>
        <v>1</v>
      </c>
      <c r="K2061" s="106" t="str">
        <f t="shared" si="6"/>
        <v>0</v>
      </c>
      <c r="L2061" s="106"/>
      <c r="M2061" s="106" t="str">
        <f>SUMIFS(Ere!C:C,Ere!B:B,A2061)</f>
        <v>0</v>
      </c>
      <c r="N2061" s="106" t="str">
        <f t="shared" si="7"/>
        <v>1</v>
      </c>
      <c r="O2061" s="107" t="str">
        <f t="array" ref="O2061">XLOOKUP(A2061,Data!F:F,Data!O:O)</f>
        <v>  1.70 </v>
      </c>
      <c r="P2061" s="107" t="str">
        <f t="shared" si="8"/>
        <v>  4.24 </v>
      </c>
      <c r="Q2061" s="27"/>
    </row>
    <row r="2062" ht="15.75" customHeight="1">
      <c r="A2062" s="105" t="s">
        <v>2306</v>
      </c>
      <c r="B2062" s="19" t="str">
        <f t="array" ref="B2062">XLOOKUP(A2062,Data!F:F,Data!G:G)</f>
        <v>J2B</v>
      </c>
      <c r="C2062" s="19" t="str">
        <f t="shared" si="3"/>
        <v>J085</v>
      </c>
      <c r="D2062" s="19" t="str">
        <f t="array" ref="D2062">XLOOKUP(A2062,Data!F:F,Data!C:C)</f>
        <v/>
      </c>
      <c r="E2062" s="19" t="str">
        <f t="array" ref="E2062">XLOOKUP(A2062,Data!F:F,Data!H:H)</f>
        <v/>
      </c>
      <c r="F2062" s="106" t="str">
        <f>SUMIFS(Data!J:J,Data!F:F,A2062)</f>
        <v>1</v>
      </c>
      <c r="G2062" s="106" t="str">
        <f>SUMIFS(Cast!C:C,CastElements,A2062)</f>
        <v>0</v>
      </c>
      <c r="H2062" s="106" t="str">
        <f t="shared" si="4"/>
        <v>1</v>
      </c>
      <c r="I2062" s="106" t="str">
        <f>SUMIFS(Del!C:C,Del!B:B,A2062)</f>
        <v>0</v>
      </c>
      <c r="J2062" s="106" t="str">
        <f t="shared" si="5"/>
        <v>1</v>
      </c>
      <c r="K2062" s="106" t="str">
        <f t="shared" si="6"/>
        <v>0</v>
      </c>
      <c r="L2062" s="106"/>
      <c r="M2062" s="106" t="str">
        <f>SUMIFS(Ere!C:C,Ere!B:B,A2062)</f>
        <v>0</v>
      </c>
      <c r="N2062" s="106" t="str">
        <f t="shared" si="7"/>
        <v>1</v>
      </c>
      <c r="O2062" s="107" t="str">
        <f t="array" ref="O2062">XLOOKUP(A2062,Data!F:F,Data!O:O)</f>
        <v>  2.38 </v>
      </c>
      <c r="P2062" s="107" t="str">
        <f t="shared" si="8"/>
        <v>  5.95 </v>
      </c>
      <c r="Q2062" s="27"/>
    </row>
    <row r="2063" ht="15.75" customHeight="1">
      <c r="A2063" s="105" t="s">
        <v>2307</v>
      </c>
      <c r="B2063" s="19" t="str">
        <f t="array" ref="B2063">XLOOKUP(A2063,Data!F:F,Data!G:G)</f>
        <v>J2B</v>
      </c>
      <c r="C2063" s="19" t="str">
        <f t="shared" si="3"/>
        <v>J085</v>
      </c>
      <c r="D2063" s="19" t="str">
        <f t="array" ref="D2063">XLOOKUP(A2063,Data!F:F,Data!C:C)</f>
        <v/>
      </c>
      <c r="E2063" s="19" t="str">
        <f t="array" ref="E2063">XLOOKUP(A2063,Data!F:F,Data!H:H)</f>
        <v/>
      </c>
      <c r="F2063" s="106" t="str">
        <f>SUMIFS(Data!J:J,Data!F:F,A2063)</f>
        <v>1</v>
      </c>
      <c r="G2063" s="106" t="str">
        <f>SUMIFS(Cast!C:C,CastElements,A2063)</f>
        <v>0</v>
      </c>
      <c r="H2063" s="106" t="str">
        <f t="shared" si="4"/>
        <v>1</v>
      </c>
      <c r="I2063" s="106" t="str">
        <f>SUMIFS(Del!C:C,Del!B:B,A2063)</f>
        <v>0</v>
      </c>
      <c r="J2063" s="106" t="str">
        <f t="shared" si="5"/>
        <v>1</v>
      </c>
      <c r="K2063" s="106" t="str">
        <f t="shared" si="6"/>
        <v>0</v>
      </c>
      <c r="L2063" s="106"/>
      <c r="M2063" s="106" t="str">
        <f>SUMIFS(Ere!C:C,Ere!B:B,A2063)</f>
        <v>0</v>
      </c>
      <c r="N2063" s="106" t="str">
        <f t="shared" si="7"/>
        <v>1</v>
      </c>
      <c r="O2063" s="107" t="str">
        <f t="array" ref="O2063">XLOOKUP(A2063,Data!F:F,Data!O:O)</f>
        <v>  2.28 </v>
      </c>
      <c r="P2063" s="107" t="str">
        <f t="shared" si="8"/>
        <v>  5.69 </v>
      </c>
      <c r="Q2063" s="27"/>
    </row>
    <row r="2064" ht="15.75" customHeight="1">
      <c r="A2064" s="105" t="s">
        <v>2308</v>
      </c>
      <c r="B2064" s="19" t="str">
        <f t="array" ref="B2064">XLOOKUP(A2064,Data!F:F,Data!G:G)</f>
        <v>J2B</v>
      </c>
      <c r="C2064" s="19" t="str">
        <f t="shared" si="3"/>
        <v>J085</v>
      </c>
      <c r="D2064" s="19" t="str">
        <f t="array" ref="D2064">XLOOKUP(A2064,Data!F:F,Data!C:C)</f>
        <v/>
      </c>
      <c r="E2064" s="19" t="str">
        <f t="array" ref="E2064">XLOOKUP(A2064,Data!F:F,Data!H:H)</f>
        <v/>
      </c>
      <c r="F2064" s="106" t="str">
        <f>SUMIFS(Data!J:J,Data!F:F,A2064)</f>
        <v>1</v>
      </c>
      <c r="G2064" s="106" t="str">
        <f>SUMIFS(Cast!C:C,CastElements,A2064)</f>
        <v>0</v>
      </c>
      <c r="H2064" s="106" t="str">
        <f t="shared" si="4"/>
        <v>1</v>
      </c>
      <c r="I2064" s="106" t="str">
        <f>SUMIFS(Del!C:C,Del!B:B,A2064)</f>
        <v>0</v>
      </c>
      <c r="J2064" s="106" t="str">
        <f t="shared" si="5"/>
        <v>1</v>
      </c>
      <c r="K2064" s="106" t="str">
        <f t="shared" si="6"/>
        <v>0</v>
      </c>
      <c r="L2064" s="106"/>
      <c r="M2064" s="106" t="str">
        <f>SUMIFS(Ere!C:C,Ere!B:B,A2064)</f>
        <v>0</v>
      </c>
      <c r="N2064" s="106" t="str">
        <f t="shared" si="7"/>
        <v>1</v>
      </c>
      <c r="O2064" s="107" t="str">
        <f t="array" ref="O2064">XLOOKUP(A2064,Data!F:F,Data!O:O)</f>
        <v>  2.28 </v>
      </c>
      <c r="P2064" s="107" t="str">
        <f t="shared" si="8"/>
        <v>  5.69 </v>
      </c>
      <c r="Q2064" s="27"/>
    </row>
    <row r="2065" ht="15.75" customHeight="1">
      <c r="A2065" s="105" t="s">
        <v>2309</v>
      </c>
      <c r="B2065" s="19" t="str">
        <f t="array" ref="B2065">XLOOKUP(A2065,Data!F:F,Data!G:G)</f>
        <v>J2B</v>
      </c>
      <c r="C2065" s="19" t="str">
        <f t="shared" si="3"/>
        <v>J085</v>
      </c>
      <c r="D2065" s="19" t="str">
        <f t="array" ref="D2065">XLOOKUP(A2065,Data!F:F,Data!C:C)</f>
        <v/>
      </c>
      <c r="E2065" s="19" t="str">
        <f t="array" ref="E2065">XLOOKUP(A2065,Data!F:F,Data!H:H)</f>
        <v/>
      </c>
      <c r="F2065" s="106" t="str">
        <f>SUMIFS(Data!J:J,Data!F:F,A2065)</f>
        <v>1</v>
      </c>
      <c r="G2065" s="106" t="str">
        <f>SUMIFS(Cast!C:C,CastElements,A2065)</f>
        <v>0</v>
      </c>
      <c r="H2065" s="106" t="str">
        <f t="shared" si="4"/>
        <v>1</v>
      </c>
      <c r="I2065" s="106" t="str">
        <f>SUMIFS(Del!C:C,Del!B:B,A2065)</f>
        <v>0</v>
      </c>
      <c r="J2065" s="106" t="str">
        <f t="shared" si="5"/>
        <v>1</v>
      </c>
      <c r="K2065" s="106" t="str">
        <f t="shared" si="6"/>
        <v>0</v>
      </c>
      <c r="L2065" s="106"/>
      <c r="M2065" s="106" t="str">
        <f>SUMIFS(Ere!C:C,Ere!B:B,A2065)</f>
        <v>0</v>
      </c>
      <c r="N2065" s="106" t="str">
        <f t="shared" si="7"/>
        <v>1</v>
      </c>
      <c r="O2065" s="107" t="str">
        <f t="array" ref="O2065">XLOOKUP(A2065,Data!F:F,Data!O:O)</f>
        <v>  2.28 </v>
      </c>
      <c r="P2065" s="107" t="str">
        <f t="shared" si="8"/>
        <v>  5.69 </v>
      </c>
      <c r="Q2065" s="27"/>
    </row>
    <row r="2066" ht="15.75" customHeight="1">
      <c r="A2066" s="105" t="s">
        <v>2310</v>
      </c>
      <c r="B2066" s="19" t="str">
        <f t="array" ref="B2066">XLOOKUP(A2066,Data!F:F,Data!G:G)</f>
        <v>J2B</v>
      </c>
      <c r="C2066" s="19" t="str">
        <f t="shared" si="3"/>
        <v>J085</v>
      </c>
      <c r="D2066" s="19" t="str">
        <f t="array" ref="D2066">XLOOKUP(A2066,Data!F:F,Data!C:C)</f>
        <v/>
      </c>
      <c r="E2066" s="19" t="str">
        <f t="array" ref="E2066">XLOOKUP(A2066,Data!F:F,Data!H:H)</f>
        <v/>
      </c>
      <c r="F2066" s="106" t="str">
        <f>SUMIFS(Data!J:J,Data!F:F,A2066)</f>
        <v>1</v>
      </c>
      <c r="G2066" s="106" t="str">
        <f>SUMIFS(Cast!C:C,CastElements,A2066)</f>
        <v>0</v>
      </c>
      <c r="H2066" s="106" t="str">
        <f t="shared" si="4"/>
        <v>1</v>
      </c>
      <c r="I2066" s="106" t="str">
        <f>SUMIFS(Del!C:C,Del!B:B,A2066)</f>
        <v>0</v>
      </c>
      <c r="J2066" s="106" t="str">
        <f t="shared" si="5"/>
        <v>1</v>
      </c>
      <c r="K2066" s="106" t="str">
        <f t="shared" si="6"/>
        <v>0</v>
      </c>
      <c r="L2066" s="106"/>
      <c r="M2066" s="106" t="str">
        <f>SUMIFS(Ere!C:C,Ere!B:B,A2066)</f>
        <v>0</v>
      </c>
      <c r="N2066" s="106" t="str">
        <f t="shared" si="7"/>
        <v>1</v>
      </c>
      <c r="O2066" s="107" t="str">
        <f t="array" ref="O2066">XLOOKUP(A2066,Data!F:F,Data!O:O)</f>
        <v>  3.88 </v>
      </c>
      <c r="P2066" s="107" t="str">
        <f t="shared" si="8"/>
        <v>  9.69 </v>
      </c>
      <c r="Q2066" s="27"/>
    </row>
    <row r="2067" ht="15.75" customHeight="1">
      <c r="A2067" s="105" t="s">
        <v>2311</v>
      </c>
      <c r="B2067" s="19" t="str">
        <f t="array" ref="B2067">XLOOKUP(A2067,Data!F:F,Data!G:G)</f>
        <v>J2B</v>
      </c>
      <c r="C2067" s="19" t="str">
        <f t="shared" si="3"/>
        <v>J085</v>
      </c>
      <c r="D2067" s="19" t="str">
        <f t="array" ref="D2067">XLOOKUP(A2067,Data!F:F,Data!C:C)</f>
        <v/>
      </c>
      <c r="E2067" s="19" t="str">
        <f t="array" ref="E2067">XLOOKUP(A2067,Data!F:F,Data!H:H)</f>
        <v/>
      </c>
      <c r="F2067" s="106" t="str">
        <f>SUMIFS(Data!J:J,Data!F:F,A2067)</f>
        <v>1</v>
      </c>
      <c r="G2067" s="106" t="str">
        <f>SUMIFS(Cast!C:C,CastElements,A2067)</f>
        <v>0</v>
      </c>
      <c r="H2067" s="106" t="str">
        <f t="shared" si="4"/>
        <v>1</v>
      </c>
      <c r="I2067" s="106" t="str">
        <f>SUMIFS(Del!C:C,Del!B:B,A2067)</f>
        <v>0</v>
      </c>
      <c r="J2067" s="106" t="str">
        <f t="shared" si="5"/>
        <v>1</v>
      </c>
      <c r="K2067" s="106" t="str">
        <f t="shared" si="6"/>
        <v>0</v>
      </c>
      <c r="L2067" s="106"/>
      <c r="M2067" s="106" t="str">
        <f>SUMIFS(Ere!C:C,Ere!B:B,A2067)</f>
        <v>0</v>
      </c>
      <c r="N2067" s="106" t="str">
        <f t="shared" si="7"/>
        <v>1</v>
      </c>
      <c r="O2067" s="107" t="str">
        <f t="array" ref="O2067">XLOOKUP(A2067,Data!F:F,Data!O:O)</f>
        <v>  1.89 </v>
      </c>
      <c r="P2067" s="107" t="str">
        <f t="shared" si="8"/>
        <v>  4.73 </v>
      </c>
      <c r="Q2067" s="27"/>
    </row>
    <row r="2068" ht="15.75" customHeight="1">
      <c r="A2068" s="105" t="s">
        <v>2312</v>
      </c>
      <c r="B2068" s="19" t="str">
        <f t="array" ref="B2068">XLOOKUP(A2068,Data!F:F,Data!G:G)</f>
        <v>J2B</v>
      </c>
      <c r="C2068" s="19" t="str">
        <f t="shared" si="3"/>
        <v>J085</v>
      </c>
      <c r="D2068" s="19" t="str">
        <f t="array" ref="D2068">XLOOKUP(A2068,Data!F:F,Data!C:C)</f>
        <v/>
      </c>
      <c r="E2068" s="19" t="str">
        <f t="array" ref="E2068">XLOOKUP(A2068,Data!F:F,Data!H:H)</f>
        <v/>
      </c>
      <c r="F2068" s="106" t="str">
        <f>SUMIFS(Data!J:J,Data!F:F,A2068)</f>
        <v>1</v>
      </c>
      <c r="G2068" s="106" t="str">
        <f>SUMIFS(Cast!C:C,CastElements,A2068)</f>
        <v>0</v>
      </c>
      <c r="H2068" s="106" t="str">
        <f t="shared" si="4"/>
        <v>1</v>
      </c>
      <c r="I2068" s="106" t="str">
        <f>SUMIFS(Del!C:C,Del!B:B,A2068)</f>
        <v>0</v>
      </c>
      <c r="J2068" s="106" t="str">
        <f t="shared" si="5"/>
        <v>1</v>
      </c>
      <c r="K2068" s="106" t="str">
        <f t="shared" si="6"/>
        <v>0</v>
      </c>
      <c r="L2068" s="106"/>
      <c r="M2068" s="106" t="str">
        <f>SUMIFS(Ere!C:C,Ere!B:B,A2068)</f>
        <v>0</v>
      </c>
      <c r="N2068" s="106" t="str">
        <f t="shared" si="7"/>
        <v>1</v>
      </c>
      <c r="O2068" s="107" t="str">
        <f t="array" ref="O2068">XLOOKUP(A2068,Data!F:F,Data!O:O)</f>
        <v>  2.23 </v>
      </c>
      <c r="P2068" s="107" t="str">
        <f t="shared" si="8"/>
        <v>  5.57 </v>
      </c>
      <c r="Q2068" s="27"/>
    </row>
    <row r="2069" ht="15.75" customHeight="1">
      <c r="A2069" s="105" t="s">
        <v>2313</v>
      </c>
      <c r="B2069" s="19" t="str">
        <f t="array" ref="B2069">XLOOKUP(A2069,Data!F:F,Data!G:G)</f>
        <v>J2B</v>
      </c>
      <c r="C2069" s="19" t="str">
        <f t="shared" si="3"/>
        <v>J085</v>
      </c>
      <c r="D2069" s="19" t="str">
        <f t="array" ref="D2069">XLOOKUP(A2069,Data!F:F,Data!C:C)</f>
        <v/>
      </c>
      <c r="E2069" s="19" t="str">
        <f t="array" ref="E2069">XLOOKUP(A2069,Data!F:F,Data!H:H)</f>
        <v/>
      </c>
      <c r="F2069" s="106" t="str">
        <f>SUMIFS(Data!J:J,Data!F:F,A2069)</f>
        <v>1</v>
      </c>
      <c r="G2069" s="106" t="str">
        <f>SUMIFS(Cast!C:C,CastElements,A2069)</f>
        <v>0</v>
      </c>
      <c r="H2069" s="106" t="str">
        <f t="shared" si="4"/>
        <v>1</v>
      </c>
      <c r="I2069" s="106" t="str">
        <f>SUMIFS(Del!C:C,Del!B:B,A2069)</f>
        <v>0</v>
      </c>
      <c r="J2069" s="106" t="str">
        <f t="shared" si="5"/>
        <v>1</v>
      </c>
      <c r="K2069" s="106" t="str">
        <f t="shared" si="6"/>
        <v>0</v>
      </c>
      <c r="L2069" s="106"/>
      <c r="M2069" s="106" t="str">
        <f>SUMIFS(Ere!C:C,Ere!B:B,A2069)</f>
        <v>0</v>
      </c>
      <c r="N2069" s="106" t="str">
        <f t="shared" si="7"/>
        <v>1</v>
      </c>
      <c r="O2069" s="107" t="str">
        <f t="array" ref="O2069">XLOOKUP(A2069,Data!F:F,Data!O:O)</f>
        <v>  2.23 </v>
      </c>
      <c r="P2069" s="107" t="str">
        <f t="shared" si="8"/>
        <v>  5.57 </v>
      </c>
      <c r="Q2069" s="27"/>
    </row>
    <row r="2070" ht="15.75" customHeight="1">
      <c r="A2070" s="105" t="s">
        <v>2314</v>
      </c>
      <c r="B2070" s="19" t="str">
        <f t="array" ref="B2070">XLOOKUP(A2070,Data!F:F,Data!G:G)</f>
        <v>J2B</v>
      </c>
      <c r="C2070" s="19" t="str">
        <f t="shared" si="3"/>
        <v>J085</v>
      </c>
      <c r="D2070" s="19" t="str">
        <f t="array" ref="D2070">XLOOKUP(A2070,Data!F:F,Data!C:C)</f>
        <v/>
      </c>
      <c r="E2070" s="19" t="str">
        <f t="array" ref="E2070">XLOOKUP(A2070,Data!F:F,Data!H:H)</f>
        <v/>
      </c>
      <c r="F2070" s="106" t="str">
        <f>SUMIFS(Data!J:J,Data!F:F,A2070)</f>
        <v>1</v>
      </c>
      <c r="G2070" s="106" t="str">
        <f>SUMIFS(Cast!C:C,CastElements,A2070)</f>
        <v>0</v>
      </c>
      <c r="H2070" s="106" t="str">
        <f t="shared" si="4"/>
        <v>1</v>
      </c>
      <c r="I2070" s="106" t="str">
        <f>SUMIFS(Del!C:C,Del!B:B,A2070)</f>
        <v>0</v>
      </c>
      <c r="J2070" s="106" t="str">
        <f t="shared" si="5"/>
        <v>1</v>
      </c>
      <c r="K2070" s="106" t="str">
        <f t="shared" si="6"/>
        <v>0</v>
      </c>
      <c r="L2070" s="106"/>
      <c r="M2070" s="106" t="str">
        <f>SUMIFS(Ere!C:C,Ere!B:B,A2070)</f>
        <v>0</v>
      </c>
      <c r="N2070" s="106" t="str">
        <f t="shared" si="7"/>
        <v>1</v>
      </c>
      <c r="O2070" s="107" t="str">
        <f t="array" ref="O2070">XLOOKUP(A2070,Data!F:F,Data!O:O)</f>
        <v>  2.23 </v>
      </c>
      <c r="P2070" s="107" t="str">
        <f t="shared" si="8"/>
        <v>  5.57 </v>
      </c>
      <c r="Q2070" s="27"/>
    </row>
    <row r="2071" ht="15.75" customHeight="1">
      <c r="A2071" s="105" t="s">
        <v>2315</v>
      </c>
      <c r="B2071" s="19" t="str">
        <f t="array" ref="B2071">XLOOKUP(A2071,Data!F:F,Data!G:G)</f>
        <v>J2B</v>
      </c>
      <c r="C2071" s="19" t="str">
        <f t="shared" si="3"/>
        <v>J085</v>
      </c>
      <c r="D2071" s="19" t="str">
        <f t="array" ref="D2071">XLOOKUP(A2071,Data!F:F,Data!C:C)</f>
        <v/>
      </c>
      <c r="E2071" s="19" t="str">
        <f t="array" ref="E2071">XLOOKUP(A2071,Data!F:F,Data!H:H)</f>
        <v/>
      </c>
      <c r="F2071" s="106" t="str">
        <f>SUMIFS(Data!J:J,Data!F:F,A2071)</f>
        <v>1</v>
      </c>
      <c r="G2071" s="106" t="str">
        <f>SUMIFS(Cast!C:C,CastElements,A2071)</f>
        <v>0</v>
      </c>
      <c r="H2071" s="106" t="str">
        <f t="shared" si="4"/>
        <v>1</v>
      </c>
      <c r="I2071" s="106" t="str">
        <f>SUMIFS(Del!C:C,Del!B:B,A2071)</f>
        <v>0</v>
      </c>
      <c r="J2071" s="106" t="str">
        <f t="shared" si="5"/>
        <v>1</v>
      </c>
      <c r="K2071" s="106" t="str">
        <f t="shared" si="6"/>
        <v>0</v>
      </c>
      <c r="L2071" s="106"/>
      <c r="M2071" s="106" t="str">
        <f>SUMIFS(Ere!C:C,Ere!B:B,A2071)</f>
        <v>0</v>
      </c>
      <c r="N2071" s="106" t="str">
        <f t="shared" si="7"/>
        <v>1</v>
      </c>
      <c r="O2071" s="107" t="str">
        <f t="array" ref="O2071">XLOOKUP(A2071,Data!F:F,Data!O:O)</f>
        <v>  0.44 </v>
      </c>
      <c r="P2071" s="107" t="str">
        <f t="shared" si="8"/>
        <v>  1.10 </v>
      </c>
      <c r="Q2071" s="27"/>
    </row>
    <row r="2072" ht="15.75" customHeight="1">
      <c r="A2072" s="105" t="s">
        <v>2316</v>
      </c>
      <c r="B2072" s="19" t="str">
        <f t="array" ref="B2072">XLOOKUP(A2072,Data!F:F,Data!G:G)</f>
        <v>J2B</v>
      </c>
      <c r="C2072" s="19" t="str">
        <f t="shared" si="3"/>
        <v>J085</v>
      </c>
      <c r="D2072" s="19" t="str">
        <f t="array" ref="D2072">XLOOKUP(A2072,Data!F:F,Data!C:C)</f>
        <v/>
      </c>
      <c r="E2072" s="19" t="str">
        <f t="array" ref="E2072">XLOOKUP(A2072,Data!F:F,Data!H:H)</f>
        <v/>
      </c>
      <c r="F2072" s="106" t="str">
        <f>SUMIFS(Data!J:J,Data!F:F,A2072)</f>
        <v>1</v>
      </c>
      <c r="G2072" s="106" t="str">
        <f>SUMIFS(Cast!C:C,CastElements,A2072)</f>
        <v>0</v>
      </c>
      <c r="H2072" s="106" t="str">
        <f t="shared" si="4"/>
        <v>1</v>
      </c>
      <c r="I2072" s="106" t="str">
        <f>SUMIFS(Del!C:C,Del!B:B,A2072)</f>
        <v>0</v>
      </c>
      <c r="J2072" s="106" t="str">
        <f t="shared" si="5"/>
        <v>1</v>
      </c>
      <c r="K2072" s="106" t="str">
        <f t="shared" si="6"/>
        <v>0</v>
      </c>
      <c r="L2072" s="106"/>
      <c r="M2072" s="106" t="str">
        <f>SUMIFS(Ere!C:C,Ere!B:B,A2072)</f>
        <v>0</v>
      </c>
      <c r="N2072" s="106" t="str">
        <f t="shared" si="7"/>
        <v>1</v>
      </c>
      <c r="O2072" s="107" t="str">
        <f t="array" ref="O2072">XLOOKUP(A2072,Data!F:F,Data!O:O)</f>
        <v>  0.54 </v>
      </c>
      <c r="P2072" s="107" t="str">
        <f t="shared" si="8"/>
        <v>  1.34 </v>
      </c>
      <c r="Q2072" s="27"/>
    </row>
    <row r="2073" ht="15.75" customHeight="1">
      <c r="A2073" s="105" t="s">
        <v>2317</v>
      </c>
      <c r="B2073" s="19" t="str">
        <f t="array" ref="B2073">XLOOKUP(A2073,Data!F:F,Data!G:G)</f>
        <v>J2B</v>
      </c>
      <c r="C2073" s="19" t="str">
        <f t="shared" si="3"/>
        <v>J086</v>
      </c>
      <c r="D2073" s="19" t="str">
        <f t="array" ref="D2073">XLOOKUP(A2073,Data!F:F,Data!C:C)</f>
        <v>EXT</v>
      </c>
      <c r="E2073" s="19" t="str">
        <f t="array" ref="E2073">XLOOKUP(A2073,Data!F:F,Data!H:H)</f>
        <v/>
      </c>
      <c r="F2073" s="106" t="str">
        <f>SUMIFS(Data!J:J,Data!F:F,A2073)</f>
        <v>1</v>
      </c>
      <c r="G2073" s="106" t="str">
        <f>SUMIFS(Cast!C:C,CastElements,A2073)</f>
        <v>0</v>
      </c>
      <c r="H2073" s="106" t="str">
        <f t="shared" si="4"/>
        <v>1</v>
      </c>
      <c r="I2073" s="106" t="str">
        <f>SUMIFS(Del!C:C,Del!B:B,A2073)</f>
        <v>0</v>
      </c>
      <c r="J2073" s="106" t="str">
        <f t="shared" si="5"/>
        <v>1</v>
      </c>
      <c r="K2073" s="106" t="str">
        <f t="shared" si="6"/>
        <v>0</v>
      </c>
      <c r="L2073" s="106"/>
      <c r="M2073" s="106" t="str">
        <f>SUMIFS(Ere!C:C,Ere!B:B,A2073)</f>
        <v>0</v>
      </c>
      <c r="N2073" s="106" t="str">
        <f t="shared" si="7"/>
        <v>1</v>
      </c>
      <c r="O2073" s="107" t="str">
        <f t="array" ref="O2073">XLOOKUP(A2073,Data!F:F,Data!O:O)</f>
        <v>  1.07 </v>
      </c>
      <c r="P2073" s="107" t="str">
        <f t="shared" si="8"/>
        <v>  2.67 </v>
      </c>
      <c r="Q2073" s="27"/>
    </row>
    <row r="2074" ht="15.75" customHeight="1">
      <c r="A2074" s="105" t="s">
        <v>2318</v>
      </c>
      <c r="B2074" s="19" t="str">
        <f t="array" ref="B2074">XLOOKUP(A2074,Data!F:F,Data!G:G)</f>
        <v>J2B</v>
      </c>
      <c r="C2074" s="19" t="str">
        <f t="shared" si="3"/>
        <v>J086</v>
      </c>
      <c r="D2074" s="19" t="str">
        <f t="array" ref="D2074">XLOOKUP(A2074,Data!F:F,Data!C:C)</f>
        <v>EXT</v>
      </c>
      <c r="E2074" s="19" t="str">
        <f t="array" ref="E2074">XLOOKUP(A2074,Data!F:F,Data!H:H)</f>
        <v/>
      </c>
      <c r="F2074" s="106" t="str">
        <f>SUMIFS(Data!J:J,Data!F:F,A2074)</f>
        <v>1</v>
      </c>
      <c r="G2074" s="106" t="str">
        <f>SUMIFS(Cast!C:C,CastElements,A2074)</f>
        <v>0</v>
      </c>
      <c r="H2074" s="106" t="str">
        <f t="shared" si="4"/>
        <v>1</v>
      </c>
      <c r="I2074" s="106" t="str">
        <f>SUMIFS(Del!C:C,Del!B:B,A2074)</f>
        <v>0</v>
      </c>
      <c r="J2074" s="106" t="str">
        <f t="shared" si="5"/>
        <v>1</v>
      </c>
      <c r="K2074" s="106" t="str">
        <f t="shared" si="6"/>
        <v>0</v>
      </c>
      <c r="L2074" s="106"/>
      <c r="M2074" s="106" t="str">
        <f>SUMIFS(Ere!C:C,Ere!B:B,A2074)</f>
        <v>0</v>
      </c>
      <c r="N2074" s="106" t="str">
        <f t="shared" si="7"/>
        <v>1</v>
      </c>
      <c r="O2074" s="107" t="str">
        <f t="array" ref="O2074">XLOOKUP(A2074,Data!F:F,Data!O:O)</f>
        <v>  0.67 </v>
      </c>
      <c r="P2074" s="107" t="str">
        <f t="shared" si="8"/>
        <v>  1.68 </v>
      </c>
      <c r="Q2074" s="27"/>
    </row>
    <row r="2075" ht="15.75" customHeight="1">
      <c r="A2075" s="105" t="s">
        <v>2319</v>
      </c>
      <c r="B2075" s="19" t="str">
        <f t="array" ref="B2075">XLOOKUP(A2075,Data!F:F,Data!G:G)</f>
        <v>J2B</v>
      </c>
      <c r="C2075" s="19" t="str">
        <f t="shared" si="3"/>
        <v>J086</v>
      </c>
      <c r="D2075" s="19" t="str">
        <f t="array" ref="D2075">XLOOKUP(A2075,Data!F:F,Data!C:C)</f>
        <v>EXT</v>
      </c>
      <c r="E2075" s="19" t="str">
        <f t="array" ref="E2075">XLOOKUP(A2075,Data!F:F,Data!H:H)</f>
        <v/>
      </c>
      <c r="F2075" s="106" t="str">
        <f>SUMIFS(Data!J:J,Data!F:F,A2075)</f>
        <v>1</v>
      </c>
      <c r="G2075" s="106" t="str">
        <f>SUMIFS(Cast!C:C,CastElements,A2075)</f>
        <v>0</v>
      </c>
      <c r="H2075" s="106" t="str">
        <f t="shared" si="4"/>
        <v>1</v>
      </c>
      <c r="I2075" s="106" t="str">
        <f>SUMIFS(Del!C:C,Del!B:B,A2075)</f>
        <v>0</v>
      </c>
      <c r="J2075" s="106" t="str">
        <f t="shared" si="5"/>
        <v>1</v>
      </c>
      <c r="K2075" s="106" t="str">
        <f t="shared" si="6"/>
        <v>0</v>
      </c>
      <c r="L2075" s="106"/>
      <c r="M2075" s="106" t="str">
        <f>SUMIFS(Ere!C:C,Ere!B:B,A2075)</f>
        <v>0</v>
      </c>
      <c r="N2075" s="106" t="str">
        <f t="shared" si="7"/>
        <v>1</v>
      </c>
      <c r="O2075" s="107" t="str">
        <f t="array" ref="O2075">XLOOKUP(A2075,Data!F:F,Data!O:O)</f>
        <v>  1.07 </v>
      </c>
      <c r="P2075" s="107" t="str">
        <f t="shared" si="8"/>
        <v>  2.67 </v>
      </c>
      <c r="Q2075" s="27"/>
    </row>
    <row r="2076" ht="15.75" customHeight="1">
      <c r="A2076" s="105" t="s">
        <v>2320</v>
      </c>
      <c r="B2076" s="19" t="str">
        <f t="array" ref="B2076">XLOOKUP(A2076,Data!F:F,Data!G:G)</f>
        <v>J2B</v>
      </c>
      <c r="C2076" s="19" t="str">
        <f t="shared" si="3"/>
        <v>J086</v>
      </c>
      <c r="D2076" s="19" t="str">
        <f t="array" ref="D2076">XLOOKUP(A2076,Data!F:F,Data!C:C)</f>
        <v/>
      </c>
      <c r="E2076" s="19" t="str">
        <f t="array" ref="E2076">XLOOKUP(A2076,Data!F:F,Data!H:H)</f>
        <v/>
      </c>
      <c r="F2076" s="106" t="str">
        <f>SUMIFS(Data!J:J,Data!F:F,A2076)</f>
        <v>1</v>
      </c>
      <c r="G2076" s="106" t="str">
        <f>SUMIFS(Cast!C:C,CastElements,A2076)</f>
        <v>0</v>
      </c>
      <c r="H2076" s="106" t="str">
        <f t="shared" si="4"/>
        <v>1</v>
      </c>
      <c r="I2076" s="106" t="str">
        <f>SUMIFS(Del!C:C,Del!B:B,A2076)</f>
        <v>0</v>
      </c>
      <c r="J2076" s="106" t="str">
        <f t="shared" si="5"/>
        <v>1</v>
      </c>
      <c r="K2076" s="106" t="str">
        <f t="shared" si="6"/>
        <v>0</v>
      </c>
      <c r="L2076" s="106"/>
      <c r="M2076" s="106" t="str">
        <f>SUMIFS(Ere!C:C,Ere!B:B,A2076)</f>
        <v>0</v>
      </c>
      <c r="N2076" s="106" t="str">
        <f t="shared" si="7"/>
        <v>1</v>
      </c>
      <c r="O2076" s="107" t="str">
        <f t="array" ref="O2076">XLOOKUP(A2076,Data!F:F,Data!O:O)</f>
        <v>  2.30 </v>
      </c>
      <c r="P2076" s="107" t="str">
        <f t="shared" si="8"/>
        <v>  5.74 </v>
      </c>
      <c r="Q2076" s="27"/>
    </row>
    <row r="2077" ht="15.75" customHeight="1">
      <c r="A2077" s="105" t="s">
        <v>2321</v>
      </c>
      <c r="B2077" s="19" t="str">
        <f t="array" ref="B2077">XLOOKUP(A2077,Data!F:F,Data!G:G)</f>
        <v>J2B</v>
      </c>
      <c r="C2077" s="19" t="str">
        <f t="shared" si="3"/>
        <v>J086</v>
      </c>
      <c r="D2077" s="19" t="str">
        <f t="array" ref="D2077">XLOOKUP(A2077,Data!F:F,Data!C:C)</f>
        <v/>
      </c>
      <c r="E2077" s="19" t="str">
        <f t="array" ref="E2077">XLOOKUP(A2077,Data!F:F,Data!H:H)</f>
        <v/>
      </c>
      <c r="F2077" s="106" t="str">
        <f>SUMIFS(Data!J:J,Data!F:F,A2077)</f>
        <v>1</v>
      </c>
      <c r="G2077" s="106" t="str">
        <f>SUMIFS(Cast!C:C,CastElements,A2077)</f>
        <v>0</v>
      </c>
      <c r="H2077" s="106" t="str">
        <f t="shared" si="4"/>
        <v>1</v>
      </c>
      <c r="I2077" s="106" t="str">
        <f>SUMIFS(Del!C:C,Del!B:B,A2077)</f>
        <v>0</v>
      </c>
      <c r="J2077" s="106" t="str">
        <f t="shared" si="5"/>
        <v>1</v>
      </c>
      <c r="K2077" s="106" t="str">
        <f t="shared" si="6"/>
        <v>0</v>
      </c>
      <c r="L2077" s="106"/>
      <c r="M2077" s="106" t="str">
        <f>SUMIFS(Ere!C:C,Ere!B:B,A2077)</f>
        <v>0</v>
      </c>
      <c r="N2077" s="106" t="str">
        <f t="shared" si="7"/>
        <v>1</v>
      </c>
      <c r="O2077" s="107" t="str">
        <f t="array" ref="O2077">XLOOKUP(A2077,Data!F:F,Data!O:O)</f>
        <v>  2.10 </v>
      </c>
      <c r="P2077" s="107" t="str">
        <f t="shared" si="8"/>
        <v>  5.25 </v>
      </c>
      <c r="Q2077" s="27"/>
    </row>
    <row r="2078" ht="15.75" customHeight="1">
      <c r="A2078" s="105" t="s">
        <v>2322</v>
      </c>
      <c r="B2078" s="19" t="str">
        <f t="array" ref="B2078">XLOOKUP(A2078,Data!F:F,Data!G:G)</f>
        <v>J2B</v>
      </c>
      <c r="C2078" s="19" t="str">
        <f t="shared" si="3"/>
        <v>J086</v>
      </c>
      <c r="D2078" s="19" t="str">
        <f t="array" ref="D2078">XLOOKUP(A2078,Data!F:F,Data!C:C)</f>
        <v/>
      </c>
      <c r="E2078" s="19" t="str">
        <f t="array" ref="E2078">XLOOKUP(A2078,Data!F:F,Data!H:H)</f>
        <v/>
      </c>
      <c r="F2078" s="106" t="str">
        <f>SUMIFS(Data!J:J,Data!F:F,A2078)</f>
        <v>1</v>
      </c>
      <c r="G2078" s="106" t="str">
        <f>SUMIFS(Cast!C:C,CastElements,A2078)</f>
        <v>0</v>
      </c>
      <c r="H2078" s="106" t="str">
        <f t="shared" si="4"/>
        <v>1</v>
      </c>
      <c r="I2078" s="106" t="str">
        <f>SUMIFS(Del!C:C,Del!B:B,A2078)</f>
        <v>0</v>
      </c>
      <c r="J2078" s="106" t="str">
        <f t="shared" si="5"/>
        <v>1</v>
      </c>
      <c r="K2078" s="106" t="str">
        <f t="shared" si="6"/>
        <v>0</v>
      </c>
      <c r="L2078" s="106"/>
      <c r="M2078" s="106" t="str">
        <f>SUMIFS(Ere!C:C,Ere!B:B,A2078)</f>
        <v>0</v>
      </c>
      <c r="N2078" s="106" t="str">
        <f t="shared" si="7"/>
        <v>1</v>
      </c>
      <c r="O2078" s="107" t="str">
        <f t="array" ref="O2078">XLOOKUP(A2078,Data!F:F,Data!O:O)</f>
        <v>  1.07 </v>
      </c>
      <c r="P2078" s="107" t="str">
        <f t="shared" si="8"/>
        <v>  2.66 </v>
      </c>
      <c r="Q2078" s="27"/>
    </row>
    <row r="2079" ht="15.75" customHeight="1">
      <c r="A2079" s="105" t="s">
        <v>2323</v>
      </c>
      <c r="B2079" s="19" t="str">
        <f t="array" ref="B2079">XLOOKUP(A2079,Data!F:F,Data!G:G)</f>
        <v>J2B</v>
      </c>
      <c r="C2079" s="19" t="str">
        <f t="shared" si="3"/>
        <v>J086</v>
      </c>
      <c r="D2079" s="19" t="str">
        <f t="array" ref="D2079">XLOOKUP(A2079,Data!F:F,Data!C:C)</f>
        <v/>
      </c>
      <c r="E2079" s="19" t="str">
        <f t="array" ref="E2079">XLOOKUP(A2079,Data!F:F,Data!H:H)</f>
        <v/>
      </c>
      <c r="F2079" s="106" t="str">
        <f>SUMIFS(Data!J:J,Data!F:F,A2079)</f>
        <v>1</v>
      </c>
      <c r="G2079" s="106" t="str">
        <f>SUMIFS(Cast!C:C,CastElements,A2079)</f>
        <v>0</v>
      </c>
      <c r="H2079" s="106" t="str">
        <f t="shared" si="4"/>
        <v>1</v>
      </c>
      <c r="I2079" s="106" t="str">
        <f>SUMIFS(Del!C:C,Del!B:B,A2079)</f>
        <v>0</v>
      </c>
      <c r="J2079" s="106" t="str">
        <f t="shared" si="5"/>
        <v>1</v>
      </c>
      <c r="K2079" s="106" t="str">
        <f t="shared" si="6"/>
        <v>0</v>
      </c>
      <c r="L2079" s="106"/>
      <c r="M2079" s="106" t="str">
        <f>SUMIFS(Ere!C:C,Ere!B:B,A2079)</f>
        <v>0</v>
      </c>
      <c r="N2079" s="106" t="str">
        <f t="shared" si="7"/>
        <v>1</v>
      </c>
      <c r="O2079" s="107" t="str">
        <f t="array" ref="O2079">XLOOKUP(A2079,Data!F:F,Data!O:O)</f>
        <v>  1.68 </v>
      </c>
      <c r="P2079" s="107" t="str">
        <f t="shared" si="8"/>
        <v>  4.19 </v>
      </c>
      <c r="Q2079" s="27"/>
    </row>
    <row r="2080" ht="15.75" customHeight="1">
      <c r="A2080" s="105" t="s">
        <v>2324</v>
      </c>
      <c r="B2080" s="19" t="str">
        <f t="array" ref="B2080">XLOOKUP(A2080,Data!F:F,Data!G:G)</f>
        <v>J2B</v>
      </c>
      <c r="C2080" s="19" t="str">
        <f t="shared" si="3"/>
        <v>J086</v>
      </c>
      <c r="D2080" s="19" t="str">
        <f t="array" ref="D2080">XLOOKUP(A2080,Data!F:F,Data!C:C)</f>
        <v/>
      </c>
      <c r="E2080" s="19" t="str">
        <f t="array" ref="E2080">XLOOKUP(A2080,Data!F:F,Data!H:H)</f>
        <v/>
      </c>
      <c r="F2080" s="106" t="str">
        <f>SUMIFS(Data!J:J,Data!F:F,A2080)</f>
        <v>1</v>
      </c>
      <c r="G2080" s="106" t="str">
        <f>SUMIFS(Cast!C:C,CastElements,A2080)</f>
        <v>0</v>
      </c>
      <c r="H2080" s="106" t="str">
        <f t="shared" si="4"/>
        <v>1</v>
      </c>
      <c r="I2080" s="106" t="str">
        <f>SUMIFS(Del!C:C,Del!B:B,A2080)</f>
        <v>0</v>
      </c>
      <c r="J2080" s="106" t="str">
        <f t="shared" si="5"/>
        <v>1</v>
      </c>
      <c r="K2080" s="106" t="str">
        <f t="shared" si="6"/>
        <v>0</v>
      </c>
      <c r="L2080" s="106"/>
      <c r="M2080" s="106" t="str">
        <f>SUMIFS(Ere!C:C,Ere!B:B,A2080)</f>
        <v>0</v>
      </c>
      <c r="N2080" s="106" t="str">
        <f t="shared" si="7"/>
        <v>1</v>
      </c>
      <c r="O2080" s="107" t="str">
        <f t="array" ref="O2080">XLOOKUP(A2080,Data!F:F,Data!O:O)</f>
        <v>  1.76 </v>
      </c>
      <c r="P2080" s="107" t="str">
        <f t="shared" si="8"/>
        <v>  4.40 </v>
      </c>
      <c r="Q2080" s="27"/>
    </row>
    <row r="2081" ht="15.75" customHeight="1">
      <c r="A2081" s="105" t="s">
        <v>2325</v>
      </c>
      <c r="B2081" s="19" t="str">
        <f t="array" ref="B2081">XLOOKUP(A2081,Data!F:F,Data!G:G)</f>
        <v>J2B</v>
      </c>
      <c r="C2081" s="19" t="str">
        <f t="shared" si="3"/>
        <v>J086</v>
      </c>
      <c r="D2081" s="19" t="str">
        <f t="array" ref="D2081">XLOOKUP(A2081,Data!F:F,Data!C:C)</f>
        <v>EXT</v>
      </c>
      <c r="E2081" s="19" t="str">
        <f t="array" ref="E2081">XLOOKUP(A2081,Data!F:F,Data!H:H)</f>
        <v/>
      </c>
      <c r="F2081" s="106" t="str">
        <f>SUMIFS(Data!J:J,Data!F:F,A2081)</f>
        <v>1</v>
      </c>
      <c r="G2081" s="106" t="str">
        <f>SUMIFS(Cast!C:C,CastElements,A2081)</f>
        <v>0</v>
      </c>
      <c r="H2081" s="106" t="str">
        <f t="shared" si="4"/>
        <v>1</v>
      </c>
      <c r="I2081" s="106" t="str">
        <f>SUMIFS(Del!C:C,Del!B:B,A2081)</f>
        <v>0</v>
      </c>
      <c r="J2081" s="106" t="str">
        <f t="shared" si="5"/>
        <v>1</v>
      </c>
      <c r="K2081" s="106" t="str">
        <f t="shared" si="6"/>
        <v>0</v>
      </c>
      <c r="L2081" s="106"/>
      <c r="M2081" s="106" t="str">
        <f>SUMIFS(Ere!C:C,Ere!B:B,A2081)</f>
        <v>0</v>
      </c>
      <c r="N2081" s="106" t="str">
        <f t="shared" si="7"/>
        <v>1</v>
      </c>
      <c r="O2081" s="107" t="str">
        <f t="array" ref="O2081">XLOOKUP(A2081,Data!F:F,Data!O:O)</f>
        <v>  1.47 </v>
      </c>
      <c r="P2081" s="107" t="str">
        <f t="shared" si="8"/>
        <v>  3.66 </v>
      </c>
      <c r="Q2081" s="27"/>
    </row>
    <row r="2082" ht="15.75" customHeight="1">
      <c r="A2082" s="105" t="s">
        <v>2326</v>
      </c>
      <c r="B2082" s="19" t="str">
        <f t="array" ref="B2082">XLOOKUP(A2082,Data!F:F,Data!G:G)</f>
        <v>J2B</v>
      </c>
      <c r="C2082" s="19" t="str">
        <f t="shared" si="3"/>
        <v>J086</v>
      </c>
      <c r="D2082" s="19" t="str">
        <f t="array" ref="D2082">XLOOKUP(A2082,Data!F:F,Data!C:C)</f>
        <v/>
      </c>
      <c r="E2082" s="19" t="str">
        <f t="array" ref="E2082">XLOOKUP(A2082,Data!F:F,Data!H:H)</f>
        <v/>
      </c>
      <c r="F2082" s="106" t="str">
        <f>SUMIFS(Data!J:J,Data!F:F,A2082)</f>
        <v>1</v>
      </c>
      <c r="G2082" s="106" t="str">
        <f>SUMIFS(Cast!C:C,CastElements,A2082)</f>
        <v>0</v>
      </c>
      <c r="H2082" s="106" t="str">
        <f t="shared" si="4"/>
        <v>1</v>
      </c>
      <c r="I2082" s="106" t="str">
        <f>SUMIFS(Del!C:C,Del!B:B,A2082)</f>
        <v>0</v>
      </c>
      <c r="J2082" s="106" t="str">
        <f t="shared" si="5"/>
        <v>1</v>
      </c>
      <c r="K2082" s="106" t="str">
        <f t="shared" si="6"/>
        <v>0</v>
      </c>
      <c r="L2082" s="106"/>
      <c r="M2082" s="106" t="str">
        <f>SUMIFS(Ere!C:C,Ere!B:B,A2082)</f>
        <v>0</v>
      </c>
      <c r="N2082" s="106" t="str">
        <f t="shared" si="7"/>
        <v>1</v>
      </c>
      <c r="O2082" s="107" t="str">
        <f t="array" ref="O2082">XLOOKUP(A2082,Data!F:F,Data!O:O)</f>
        <v>  1.94 </v>
      </c>
      <c r="P2082" s="107" t="str">
        <f t="shared" si="8"/>
        <v>  4.85 </v>
      </c>
      <c r="Q2082" s="27"/>
    </row>
    <row r="2083" ht="15.75" customHeight="1">
      <c r="A2083" s="105" t="s">
        <v>2327</v>
      </c>
      <c r="B2083" s="19" t="str">
        <f t="array" ref="B2083">XLOOKUP(A2083,Data!F:F,Data!G:G)</f>
        <v>J2B</v>
      </c>
      <c r="C2083" s="19" t="str">
        <f t="shared" si="3"/>
        <v>J086</v>
      </c>
      <c r="D2083" s="19" t="str">
        <f t="array" ref="D2083">XLOOKUP(A2083,Data!F:F,Data!C:C)</f>
        <v/>
      </c>
      <c r="E2083" s="19" t="str">
        <f t="array" ref="E2083">XLOOKUP(A2083,Data!F:F,Data!H:H)</f>
        <v/>
      </c>
      <c r="F2083" s="106" t="str">
        <f>SUMIFS(Data!J:J,Data!F:F,A2083)</f>
        <v>1</v>
      </c>
      <c r="G2083" s="106" t="str">
        <f>SUMIFS(Cast!C:C,CastElements,A2083)</f>
        <v>0</v>
      </c>
      <c r="H2083" s="106" t="str">
        <f t="shared" si="4"/>
        <v>1</v>
      </c>
      <c r="I2083" s="106" t="str">
        <f>SUMIFS(Del!C:C,Del!B:B,A2083)</f>
        <v>0</v>
      </c>
      <c r="J2083" s="106" t="str">
        <f t="shared" si="5"/>
        <v>1</v>
      </c>
      <c r="K2083" s="106" t="str">
        <f t="shared" si="6"/>
        <v>0</v>
      </c>
      <c r="L2083" s="106"/>
      <c r="M2083" s="106" t="str">
        <f>SUMIFS(Ere!C:C,Ere!B:B,A2083)</f>
        <v>0</v>
      </c>
      <c r="N2083" s="106" t="str">
        <f t="shared" si="7"/>
        <v>1</v>
      </c>
      <c r="O2083" s="107" t="str">
        <f t="array" ref="O2083">XLOOKUP(A2083,Data!F:F,Data!O:O)</f>
        <v>  2.28 </v>
      </c>
      <c r="P2083" s="107" t="str">
        <f t="shared" si="8"/>
        <v>  5.69 </v>
      </c>
      <c r="Q2083" s="27"/>
    </row>
    <row r="2084" ht="15.75" customHeight="1">
      <c r="A2084" s="105" t="s">
        <v>2328</v>
      </c>
      <c r="B2084" s="19" t="str">
        <f t="array" ref="B2084">XLOOKUP(A2084,Data!F:F,Data!G:G)</f>
        <v>J2B</v>
      </c>
      <c r="C2084" s="19" t="str">
        <f t="shared" si="3"/>
        <v>J086</v>
      </c>
      <c r="D2084" s="19" t="str">
        <f t="array" ref="D2084">XLOOKUP(A2084,Data!F:F,Data!C:C)</f>
        <v/>
      </c>
      <c r="E2084" s="19" t="str">
        <f t="array" ref="E2084">XLOOKUP(A2084,Data!F:F,Data!H:H)</f>
        <v/>
      </c>
      <c r="F2084" s="106" t="str">
        <f>SUMIFS(Data!J:J,Data!F:F,A2084)</f>
        <v>1</v>
      </c>
      <c r="G2084" s="106" t="str">
        <f>SUMIFS(Cast!C:C,CastElements,A2084)</f>
        <v>0</v>
      </c>
      <c r="H2084" s="106" t="str">
        <f t="shared" si="4"/>
        <v>1</v>
      </c>
      <c r="I2084" s="106" t="str">
        <f>SUMIFS(Del!C:C,Del!B:B,A2084)</f>
        <v>0</v>
      </c>
      <c r="J2084" s="106" t="str">
        <f t="shared" si="5"/>
        <v>1</v>
      </c>
      <c r="K2084" s="106" t="str">
        <f t="shared" si="6"/>
        <v>0</v>
      </c>
      <c r="L2084" s="106"/>
      <c r="M2084" s="106" t="str">
        <f>SUMIFS(Ere!C:C,Ere!B:B,A2084)</f>
        <v>0</v>
      </c>
      <c r="N2084" s="106" t="str">
        <f t="shared" si="7"/>
        <v>1</v>
      </c>
      <c r="O2084" s="107" t="str">
        <f t="array" ref="O2084">XLOOKUP(A2084,Data!F:F,Data!O:O)</f>
        <v>  2.28 </v>
      </c>
      <c r="P2084" s="107" t="str">
        <f t="shared" si="8"/>
        <v>  5.69 </v>
      </c>
      <c r="Q2084" s="27"/>
    </row>
    <row r="2085" ht="15.75" customHeight="1">
      <c r="A2085" s="105" t="s">
        <v>2329</v>
      </c>
      <c r="B2085" s="19" t="str">
        <f t="array" ref="B2085">XLOOKUP(A2085,Data!F:F,Data!G:G)</f>
        <v>J2B</v>
      </c>
      <c r="C2085" s="19" t="str">
        <f t="shared" si="3"/>
        <v>J086</v>
      </c>
      <c r="D2085" s="19" t="str">
        <f t="array" ref="D2085">XLOOKUP(A2085,Data!F:F,Data!C:C)</f>
        <v/>
      </c>
      <c r="E2085" s="19" t="str">
        <f t="array" ref="E2085">XLOOKUP(A2085,Data!F:F,Data!H:H)</f>
        <v/>
      </c>
      <c r="F2085" s="106" t="str">
        <f>SUMIFS(Data!J:J,Data!F:F,A2085)</f>
        <v>1</v>
      </c>
      <c r="G2085" s="106" t="str">
        <f>SUMIFS(Cast!C:C,CastElements,A2085)</f>
        <v>0</v>
      </c>
      <c r="H2085" s="106" t="str">
        <f t="shared" si="4"/>
        <v>1</v>
      </c>
      <c r="I2085" s="106" t="str">
        <f>SUMIFS(Del!C:C,Del!B:B,A2085)</f>
        <v>0</v>
      </c>
      <c r="J2085" s="106" t="str">
        <f t="shared" si="5"/>
        <v>1</v>
      </c>
      <c r="K2085" s="106" t="str">
        <f t="shared" si="6"/>
        <v>0</v>
      </c>
      <c r="L2085" s="106"/>
      <c r="M2085" s="106" t="str">
        <f>SUMIFS(Ere!C:C,Ere!B:B,A2085)</f>
        <v>0</v>
      </c>
      <c r="N2085" s="106" t="str">
        <f t="shared" si="7"/>
        <v>1</v>
      </c>
      <c r="O2085" s="107" t="str">
        <f t="array" ref="O2085">XLOOKUP(A2085,Data!F:F,Data!O:O)</f>
        <v>  2.28 </v>
      </c>
      <c r="P2085" s="107" t="str">
        <f t="shared" si="8"/>
        <v>  5.69 </v>
      </c>
      <c r="Q2085" s="27"/>
    </row>
    <row r="2086" ht="15.75" customHeight="1">
      <c r="A2086" s="105" t="s">
        <v>2330</v>
      </c>
      <c r="B2086" s="19" t="str">
        <f t="array" ref="B2086">XLOOKUP(A2086,Data!F:F,Data!G:G)</f>
        <v>J2B</v>
      </c>
      <c r="C2086" s="19" t="str">
        <f t="shared" si="3"/>
        <v>J086</v>
      </c>
      <c r="D2086" s="19" t="str">
        <f t="array" ref="D2086">XLOOKUP(A2086,Data!F:F,Data!C:C)</f>
        <v/>
      </c>
      <c r="E2086" s="19" t="str">
        <f t="array" ref="E2086">XLOOKUP(A2086,Data!F:F,Data!H:H)</f>
        <v/>
      </c>
      <c r="F2086" s="106" t="str">
        <f>SUMIFS(Data!J:J,Data!F:F,A2086)</f>
        <v>1</v>
      </c>
      <c r="G2086" s="106" t="str">
        <f>SUMIFS(Cast!C:C,CastElements,A2086)</f>
        <v>0</v>
      </c>
      <c r="H2086" s="106" t="str">
        <f t="shared" si="4"/>
        <v>1</v>
      </c>
      <c r="I2086" s="106" t="str">
        <f>SUMIFS(Del!C:C,Del!B:B,A2086)</f>
        <v>0</v>
      </c>
      <c r="J2086" s="106" t="str">
        <f t="shared" si="5"/>
        <v>1</v>
      </c>
      <c r="K2086" s="106" t="str">
        <f t="shared" si="6"/>
        <v>0</v>
      </c>
      <c r="L2086" s="106"/>
      <c r="M2086" s="106" t="str">
        <f>SUMIFS(Ere!C:C,Ere!B:B,A2086)</f>
        <v>0</v>
      </c>
      <c r="N2086" s="106" t="str">
        <f t="shared" si="7"/>
        <v>1</v>
      </c>
      <c r="O2086" s="107" t="str">
        <f t="array" ref="O2086">XLOOKUP(A2086,Data!F:F,Data!O:O)</f>
        <v>  2.38 </v>
      </c>
      <c r="P2086" s="107" t="str">
        <f t="shared" si="8"/>
        <v>  5.95 </v>
      </c>
      <c r="Q2086" s="27"/>
    </row>
    <row r="2087" ht="15.75" customHeight="1">
      <c r="A2087" s="105" t="s">
        <v>2331</v>
      </c>
      <c r="B2087" s="19" t="str">
        <f t="array" ref="B2087">XLOOKUP(A2087,Data!F:F,Data!G:G)</f>
        <v>J2B</v>
      </c>
      <c r="C2087" s="19" t="str">
        <f t="shared" si="3"/>
        <v>J086</v>
      </c>
      <c r="D2087" s="19" t="str">
        <f t="array" ref="D2087">XLOOKUP(A2087,Data!F:F,Data!C:C)</f>
        <v/>
      </c>
      <c r="E2087" s="19" t="str">
        <f t="array" ref="E2087">XLOOKUP(A2087,Data!F:F,Data!H:H)</f>
        <v/>
      </c>
      <c r="F2087" s="106" t="str">
        <f>SUMIFS(Data!J:J,Data!F:F,A2087)</f>
        <v>1</v>
      </c>
      <c r="G2087" s="106" t="str">
        <f>SUMIFS(Cast!C:C,CastElements,A2087)</f>
        <v>0</v>
      </c>
      <c r="H2087" s="106" t="str">
        <f t="shared" si="4"/>
        <v>1</v>
      </c>
      <c r="I2087" s="106" t="str">
        <f>SUMIFS(Del!C:C,Del!B:B,A2087)</f>
        <v>0</v>
      </c>
      <c r="J2087" s="106" t="str">
        <f t="shared" si="5"/>
        <v>1</v>
      </c>
      <c r="K2087" s="106" t="str">
        <f t="shared" si="6"/>
        <v>0</v>
      </c>
      <c r="L2087" s="106"/>
      <c r="M2087" s="106" t="str">
        <f>SUMIFS(Ere!C:C,Ere!B:B,A2087)</f>
        <v>0</v>
      </c>
      <c r="N2087" s="106" t="str">
        <f t="shared" si="7"/>
        <v>1</v>
      </c>
      <c r="O2087" s="107" t="str">
        <f t="array" ref="O2087">XLOOKUP(A2087,Data!F:F,Data!O:O)</f>
        <v>  0.44 </v>
      </c>
      <c r="P2087" s="107" t="str">
        <f t="shared" si="8"/>
        <v>  1.10 </v>
      </c>
      <c r="Q2087" s="27"/>
    </row>
    <row r="2088" ht="15.75" customHeight="1">
      <c r="A2088" s="105" t="s">
        <v>2332</v>
      </c>
      <c r="B2088" s="19" t="str">
        <f t="array" ref="B2088">XLOOKUP(A2088,Data!F:F,Data!G:G)</f>
        <v>J2B</v>
      </c>
      <c r="C2088" s="19" t="str">
        <f t="shared" si="3"/>
        <v>J086</v>
      </c>
      <c r="D2088" s="19" t="str">
        <f t="array" ref="D2088">XLOOKUP(A2088,Data!F:F,Data!C:C)</f>
        <v/>
      </c>
      <c r="E2088" s="19" t="str">
        <f t="array" ref="E2088">XLOOKUP(A2088,Data!F:F,Data!H:H)</f>
        <v/>
      </c>
      <c r="F2088" s="106" t="str">
        <f>SUMIFS(Data!J:J,Data!F:F,A2088)</f>
        <v>1</v>
      </c>
      <c r="G2088" s="106" t="str">
        <f>SUMIFS(Cast!C:C,CastElements,A2088)</f>
        <v>0</v>
      </c>
      <c r="H2088" s="106" t="str">
        <f t="shared" si="4"/>
        <v>1</v>
      </c>
      <c r="I2088" s="106" t="str">
        <f>SUMIFS(Del!C:C,Del!B:B,A2088)</f>
        <v>0</v>
      </c>
      <c r="J2088" s="106" t="str">
        <f t="shared" si="5"/>
        <v>1</v>
      </c>
      <c r="K2088" s="106" t="str">
        <f t="shared" si="6"/>
        <v>0</v>
      </c>
      <c r="L2088" s="106"/>
      <c r="M2088" s="106" t="str">
        <f>SUMIFS(Ere!C:C,Ere!B:B,A2088)</f>
        <v>0</v>
      </c>
      <c r="N2088" s="106" t="str">
        <f t="shared" si="7"/>
        <v>1</v>
      </c>
      <c r="O2088" s="107" t="str">
        <f t="array" ref="O2088">XLOOKUP(A2088,Data!F:F,Data!O:O)</f>
        <v>  0.54 </v>
      </c>
      <c r="P2088" s="107" t="str">
        <f t="shared" si="8"/>
        <v>  1.34 </v>
      </c>
      <c r="Q2088" s="27"/>
    </row>
    <row r="2089" ht="15.75" customHeight="1">
      <c r="A2089" s="105" t="s">
        <v>2333</v>
      </c>
      <c r="B2089" s="19" t="str">
        <f t="array" ref="B2089">XLOOKUP(A2089,Data!F:F,Data!G:G)</f>
        <v>J2C</v>
      </c>
      <c r="C2089" s="19" t="str">
        <f t="shared" si="3"/>
        <v>J070</v>
      </c>
      <c r="D2089" s="19" t="str">
        <f t="array" ref="D2089">XLOOKUP(A2089,Data!F:F,Data!C:C)</f>
        <v>EXT</v>
      </c>
      <c r="E2089" s="19" t="str">
        <f t="array" ref="E2089">XLOOKUP(A2089,Data!F:F,Data!H:H)</f>
        <v>BW</v>
      </c>
      <c r="F2089" s="106" t="str">
        <f>SUMIFS(Data!J:J,Data!F:F,A2089)</f>
        <v>1</v>
      </c>
      <c r="G2089" s="106" t="str">
        <f>SUMIFS(Cast!C:C,CastElements,A2089)</f>
        <v>1</v>
      </c>
      <c r="H2089" s="106" t="str">
        <f t="shared" si="4"/>
        <v>0</v>
      </c>
      <c r="I2089" s="106" t="str">
        <f>SUMIFS(Del!C:C,Del!B:B,A2089)</f>
        <v>0</v>
      </c>
      <c r="J2089" s="106" t="str">
        <f t="shared" si="5"/>
        <v>1</v>
      </c>
      <c r="K2089" s="106" t="str">
        <f t="shared" si="6"/>
        <v>1</v>
      </c>
      <c r="L2089" s="106"/>
      <c r="M2089" s="106" t="str">
        <f>SUMIFS(Ere!C:C,Ere!B:B,A2089)</f>
        <v>0</v>
      </c>
      <c r="N2089" s="106" t="str">
        <f t="shared" si="7"/>
        <v>1</v>
      </c>
      <c r="O2089" s="107" t="str">
        <f t="array" ref="O2089">XLOOKUP(A2089,Data!F:F,Data!O:O)</f>
        <v>  0.98 </v>
      </c>
      <c r="P2089" s="107" t="str">
        <f t="shared" si="8"/>
        <v>  2.45 </v>
      </c>
      <c r="Q2089" s="27"/>
    </row>
    <row r="2090" ht="15.75" customHeight="1">
      <c r="A2090" s="105" t="s">
        <v>2334</v>
      </c>
      <c r="B2090" s="19" t="str">
        <f t="array" ref="B2090">XLOOKUP(A2090,Data!F:F,Data!G:G)</f>
        <v>J2C</v>
      </c>
      <c r="C2090" s="19" t="str">
        <f t="shared" si="3"/>
        <v>J070</v>
      </c>
      <c r="D2090" s="19" t="str">
        <f t="array" ref="D2090">XLOOKUP(A2090,Data!F:F,Data!C:C)</f>
        <v>EXT</v>
      </c>
      <c r="E2090" s="19" t="str">
        <f t="array" ref="E2090">XLOOKUP(A2090,Data!F:F,Data!H:H)</f>
        <v>BW</v>
      </c>
      <c r="F2090" s="106" t="str">
        <f>SUMIFS(Data!J:J,Data!F:F,A2090)</f>
        <v>1</v>
      </c>
      <c r="G2090" s="106" t="str">
        <f>SUMIFS(Cast!C:C,CastElements,A2090)</f>
        <v>1</v>
      </c>
      <c r="H2090" s="106" t="str">
        <f t="shared" si="4"/>
        <v>0</v>
      </c>
      <c r="I2090" s="106" t="str">
        <f>SUMIFS(Del!C:C,Del!B:B,A2090)</f>
        <v>0</v>
      </c>
      <c r="J2090" s="106" t="str">
        <f t="shared" si="5"/>
        <v>1</v>
      </c>
      <c r="K2090" s="106" t="str">
        <f t="shared" si="6"/>
        <v>1</v>
      </c>
      <c r="L2090" s="106"/>
      <c r="M2090" s="106" t="str">
        <f>SUMIFS(Ere!C:C,Ere!B:B,A2090)</f>
        <v>0</v>
      </c>
      <c r="N2090" s="106" t="str">
        <f t="shared" si="7"/>
        <v>1</v>
      </c>
      <c r="O2090" s="107" t="str">
        <f t="array" ref="O2090">XLOOKUP(A2090,Data!F:F,Data!O:O)</f>
        <v>  0.98 </v>
      </c>
      <c r="P2090" s="107" t="str">
        <f t="shared" si="8"/>
        <v>  2.45 </v>
      </c>
      <c r="Q2090" s="27"/>
    </row>
    <row r="2091" ht="15.75" customHeight="1">
      <c r="A2091" s="105" t="s">
        <v>2335</v>
      </c>
      <c r="B2091" s="19" t="str">
        <f t="array" ref="B2091">XLOOKUP(A2091,Data!F:F,Data!G:G)</f>
        <v>J2C</v>
      </c>
      <c r="C2091" s="19" t="str">
        <f t="shared" si="3"/>
        <v>J070</v>
      </c>
      <c r="D2091" s="19" t="str">
        <f t="array" ref="D2091">XLOOKUP(A2091,Data!F:F,Data!C:C)</f>
        <v>EXT</v>
      </c>
      <c r="E2091" s="19" t="str">
        <f t="array" ref="E2091">XLOOKUP(A2091,Data!F:F,Data!H:H)</f>
        <v>BW</v>
      </c>
      <c r="F2091" s="106" t="str">
        <f>SUMIFS(Data!J:J,Data!F:F,A2091)</f>
        <v>1</v>
      </c>
      <c r="G2091" s="106" t="str">
        <f>SUMIFS(Cast!C:C,CastElements,A2091)</f>
        <v>1</v>
      </c>
      <c r="H2091" s="106" t="str">
        <f t="shared" si="4"/>
        <v>0</v>
      </c>
      <c r="I2091" s="106" t="str">
        <f>SUMIFS(Del!C:C,Del!B:B,A2091)</f>
        <v>0</v>
      </c>
      <c r="J2091" s="106" t="str">
        <f t="shared" si="5"/>
        <v>1</v>
      </c>
      <c r="K2091" s="106" t="str">
        <f t="shared" si="6"/>
        <v>1</v>
      </c>
      <c r="L2091" s="106"/>
      <c r="M2091" s="106" t="str">
        <f>SUMIFS(Ere!C:C,Ere!B:B,A2091)</f>
        <v>0</v>
      </c>
      <c r="N2091" s="106" t="str">
        <f t="shared" si="7"/>
        <v>1</v>
      </c>
      <c r="O2091" s="107" t="str">
        <f t="array" ref="O2091">XLOOKUP(A2091,Data!F:F,Data!O:O)</f>
        <v>  0.98 </v>
      </c>
      <c r="P2091" s="107" t="str">
        <f t="shared" si="8"/>
        <v>  2.45 </v>
      </c>
      <c r="Q2091" s="27"/>
    </row>
    <row r="2092" ht="15.75" customHeight="1">
      <c r="A2092" s="105" t="s">
        <v>2336</v>
      </c>
      <c r="B2092" s="19" t="str">
        <f t="array" ref="B2092">XLOOKUP(A2092,Data!F:F,Data!G:G)</f>
        <v>J2C</v>
      </c>
      <c r="C2092" s="19" t="str">
        <f t="shared" si="3"/>
        <v>J070</v>
      </c>
      <c r="D2092" s="19" t="str">
        <f t="array" ref="D2092">XLOOKUP(A2092,Data!F:F,Data!C:C)</f>
        <v/>
      </c>
      <c r="E2092" s="19" t="str">
        <f t="array" ref="E2092">XLOOKUP(A2092,Data!F:F,Data!H:H)</f>
        <v>BW</v>
      </c>
      <c r="F2092" s="106" t="str">
        <f>SUMIFS(Data!J:J,Data!F:F,A2092)</f>
        <v>1</v>
      </c>
      <c r="G2092" s="106" t="str">
        <f>SUMIFS(Cast!C:C,CastElements,A2092)</f>
        <v>1</v>
      </c>
      <c r="H2092" s="106" t="str">
        <f t="shared" si="4"/>
        <v>0</v>
      </c>
      <c r="I2092" s="106" t="str">
        <f>SUMIFS(Del!C:C,Del!B:B,A2092)</f>
        <v>0</v>
      </c>
      <c r="J2092" s="106" t="str">
        <f t="shared" si="5"/>
        <v>1</v>
      </c>
      <c r="K2092" s="106" t="str">
        <f t="shared" si="6"/>
        <v>1</v>
      </c>
      <c r="L2092" s="106"/>
      <c r="M2092" s="106" t="str">
        <f>SUMIFS(Ere!C:C,Ere!B:B,A2092)</f>
        <v>0</v>
      </c>
      <c r="N2092" s="106" t="str">
        <f t="shared" si="7"/>
        <v>1</v>
      </c>
      <c r="O2092" s="107" t="str">
        <f t="array" ref="O2092">XLOOKUP(A2092,Data!F:F,Data!O:O)</f>
        <v>  1.84 </v>
      </c>
      <c r="P2092" s="107" t="str">
        <f t="shared" si="8"/>
        <v>  4.60 </v>
      </c>
      <c r="Q2092" s="27"/>
    </row>
    <row r="2093" ht="15.75" customHeight="1">
      <c r="A2093" s="105" t="s">
        <v>2337</v>
      </c>
      <c r="B2093" s="19" t="str">
        <f t="array" ref="B2093">XLOOKUP(A2093,Data!F:F,Data!G:G)</f>
        <v>J2C</v>
      </c>
      <c r="C2093" s="19" t="str">
        <f t="shared" si="3"/>
        <v>J070</v>
      </c>
      <c r="D2093" s="19" t="str">
        <f t="array" ref="D2093">XLOOKUP(A2093,Data!F:F,Data!C:C)</f>
        <v/>
      </c>
      <c r="E2093" s="19" t="str">
        <f t="array" ref="E2093">XLOOKUP(A2093,Data!F:F,Data!H:H)</f>
        <v>BW</v>
      </c>
      <c r="F2093" s="106" t="str">
        <f>SUMIFS(Data!J:J,Data!F:F,A2093)</f>
        <v>1</v>
      </c>
      <c r="G2093" s="106" t="str">
        <f>SUMIFS(Cast!C:C,CastElements,A2093)</f>
        <v>1</v>
      </c>
      <c r="H2093" s="106" t="str">
        <f t="shared" si="4"/>
        <v>0</v>
      </c>
      <c r="I2093" s="106" t="str">
        <f>SUMIFS(Del!C:C,Del!B:B,A2093)</f>
        <v>0</v>
      </c>
      <c r="J2093" s="106" t="str">
        <f t="shared" si="5"/>
        <v>1</v>
      </c>
      <c r="K2093" s="106" t="str">
        <f t="shared" si="6"/>
        <v>1</v>
      </c>
      <c r="L2093" s="106"/>
      <c r="M2093" s="106" t="str">
        <f>SUMIFS(Ere!C:C,Ere!B:B,A2093)</f>
        <v>0</v>
      </c>
      <c r="N2093" s="106" t="str">
        <f t="shared" si="7"/>
        <v>1</v>
      </c>
      <c r="O2093" s="107" t="str">
        <f t="array" ref="O2093">XLOOKUP(A2093,Data!F:F,Data!O:O)</f>
        <v>  1.50 </v>
      </c>
      <c r="P2093" s="107" t="str">
        <f t="shared" si="8"/>
        <v>  3.75 </v>
      </c>
      <c r="Q2093" s="27"/>
    </row>
    <row r="2094" ht="15.75" customHeight="1">
      <c r="A2094" s="105" t="s">
        <v>2338</v>
      </c>
      <c r="B2094" s="19" t="str">
        <f t="array" ref="B2094">XLOOKUP(A2094,Data!F:F,Data!G:G)</f>
        <v>J2C</v>
      </c>
      <c r="C2094" s="19" t="str">
        <f t="shared" si="3"/>
        <v>J070</v>
      </c>
      <c r="D2094" s="19" t="str">
        <f t="array" ref="D2094">XLOOKUP(A2094,Data!F:F,Data!C:C)</f>
        <v/>
      </c>
      <c r="E2094" s="19" t="str">
        <f t="array" ref="E2094">XLOOKUP(A2094,Data!F:F,Data!H:H)</f>
        <v>BW</v>
      </c>
      <c r="F2094" s="106" t="str">
        <f>SUMIFS(Data!J:J,Data!F:F,A2094)</f>
        <v>1</v>
      </c>
      <c r="G2094" s="106" t="str">
        <f>SUMIFS(Cast!C:C,CastElements,A2094)</f>
        <v>1</v>
      </c>
      <c r="H2094" s="106" t="str">
        <f t="shared" si="4"/>
        <v>0</v>
      </c>
      <c r="I2094" s="106" t="str">
        <f>SUMIFS(Del!C:C,Del!B:B,A2094)</f>
        <v>0</v>
      </c>
      <c r="J2094" s="106" t="str">
        <f t="shared" si="5"/>
        <v>1</v>
      </c>
      <c r="K2094" s="106" t="str">
        <f t="shared" si="6"/>
        <v>1</v>
      </c>
      <c r="L2094" s="106"/>
      <c r="M2094" s="106" t="str">
        <f>SUMIFS(Ere!C:C,Ere!B:B,A2094)</f>
        <v>0</v>
      </c>
      <c r="N2094" s="106" t="str">
        <f t="shared" si="7"/>
        <v>1</v>
      </c>
      <c r="O2094" s="107" t="str">
        <f t="array" ref="O2094">XLOOKUP(A2094,Data!F:F,Data!O:O)</f>
        <v>  1.50 </v>
      </c>
      <c r="P2094" s="107" t="str">
        <f t="shared" si="8"/>
        <v>  3.75 </v>
      </c>
      <c r="Q2094" s="27"/>
    </row>
    <row r="2095" ht="15.75" customHeight="1">
      <c r="A2095" s="105" t="s">
        <v>2339</v>
      </c>
      <c r="B2095" s="19" t="str">
        <f t="array" ref="B2095">XLOOKUP(A2095,Data!F:F,Data!G:G)</f>
        <v>J2C</v>
      </c>
      <c r="C2095" s="19" t="str">
        <f t="shared" si="3"/>
        <v>J070</v>
      </c>
      <c r="D2095" s="19" t="str">
        <f t="array" ref="D2095">XLOOKUP(A2095,Data!F:F,Data!C:C)</f>
        <v/>
      </c>
      <c r="E2095" s="19" t="str">
        <f t="array" ref="E2095">XLOOKUP(A2095,Data!F:F,Data!H:H)</f>
        <v>BW</v>
      </c>
      <c r="F2095" s="106" t="str">
        <f>SUMIFS(Data!J:J,Data!F:F,A2095)</f>
        <v>1</v>
      </c>
      <c r="G2095" s="106" t="str">
        <f>SUMIFS(Cast!C:C,CastElements,A2095)</f>
        <v>1</v>
      </c>
      <c r="H2095" s="106" t="str">
        <f t="shared" si="4"/>
        <v>0</v>
      </c>
      <c r="I2095" s="106" t="str">
        <f>SUMIFS(Del!C:C,Del!B:B,A2095)</f>
        <v>0</v>
      </c>
      <c r="J2095" s="106" t="str">
        <f t="shared" si="5"/>
        <v>1</v>
      </c>
      <c r="K2095" s="106" t="str">
        <f t="shared" si="6"/>
        <v>1</v>
      </c>
      <c r="L2095" s="106"/>
      <c r="M2095" s="106" t="str">
        <f>SUMIFS(Ere!C:C,Ere!B:B,A2095)</f>
        <v>0</v>
      </c>
      <c r="N2095" s="106" t="str">
        <f t="shared" si="7"/>
        <v>1</v>
      </c>
      <c r="O2095" s="107" t="str">
        <f t="array" ref="O2095">XLOOKUP(A2095,Data!F:F,Data!O:O)</f>
        <v>  1.50 </v>
      </c>
      <c r="P2095" s="107" t="str">
        <f t="shared" si="8"/>
        <v>  3.75 </v>
      </c>
      <c r="Q2095" s="27"/>
    </row>
    <row r="2096" ht="15.75" customHeight="1">
      <c r="A2096" s="105" t="s">
        <v>2340</v>
      </c>
      <c r="B2096" s="19" t="str">
        <f t="array" ref="B2096">XLOOKUP(A2096,Data!F:F,Data!G:G)</f>
        <v>J2C</v>
      </c>
      <c r="C2096" s="19" t="str">
        <f t="shared" si="3"/>
        <v>J070</v>
      </c>
      <c r="D2096" s="19" t="str">
        <f t="array" ref="D2096">XLOOKUP(A2096,Data!F:F,Data!C:C)</f>
        <v/>
      </c>
      <c r="E2096" s="19" t="str">
        <f t="array" ref="E2096">XLOOKUP(A2096,Data!F:F,Data!H:H)</f>
        <v>BW</v>
      </c>
      <c r="F2096" s="106" t="str">
        <f>SUMIFS(Data!J:J,Data!F:F,A2096)</f>
        <v>1</v>
      </c>
      <c r="G2096" s="106" t="str">
        <f>SUMIFS(Cast!C:C,CastElements,A2096)</f>
        <v>1</v>
      </c>
      <c r="H2096" s="106" t="str">
        <f t="shared" si="4"/>
        <v>0</v>
      </c>
      <c r="I2096" s="106" t="str">
        <f>SUMIFS(Del!C:C,Del!B:B,A2096)</f>
        <v>0</v>
      </c>
      <c r="J2096" s="106" t="str">
        <f t="shared" si="5"/>
        <v>1</v>
      </c>
      <c r="K2096" s="106" t="str">
        <f t="shared" si="6"/>
        <v>1</v>
      </c>
      <c r="L2096" s="106"/>
      <c r="M2096" s="106" t="str">
        <f>SUMIFS(Ere!C:C,Ere!B:B,A2096)</f>
        <v>0</v>
      </c>
      <c r="N2096" s="106" t="str">
        <f t="shared" si="7"/>
        <v>1</v>
      </c>
      <c r="O2096" s="107" t="str">
        <f t="array" ref="O2096">XLOOKUP(A2096,Data!F:F,Data!O:O)</f>
        <v>  1.91 </v>
      </c>
      <c r="P2096" s="107" t="str">
        <f t="shared" si="8"/>
        <v>  4.78 </v>
      </c>
      <c r="Q2096" s="27"/>
    </row>
    <row r="2097" ht="15.75" customHeight="1">
      <c r="A2097" s="105" t="s">
        <v>2341</v>
      </c>
      <c r="B2097" s="19" t="str">
        <f t="array" ref="B2097">XLOOKUP(A2097,Data!F:F,Data!G:G)</f>
        <v>J2C</v>
      </c>
      <c r="C2097" s="19" t="str">
        <f t="shared" si="3"/>
        <v>J070</v>
      </c>
      <c r="D2097" s="19" t="str">
        <f t="array" ref="D2097">XLOOKUP(A2097,Data!F:F,Data!C:C)</f>
        <v/>
      </c>
      <c r="E2097" s="19" t="str">
        <f t="array" ref="E2097">XLOOKUP(A2097,Data!F:F,Data!H:H)</f>
        <v>BW</v>
      </c>
      <c r="F2097" s="106" t="str">
        <f>SUMIFS(Data!J:J,Data!F:F,A2097)</f>
        <v>1</v>
      </c>
      <c r="G2097" s="106" t="str">
        <f>SUMIFS(Cast!C:C,CastElements,A2097)</f>
        <v>1</v>
      </c>
      <c r="H2097" s="106" t="str">
        <f t="shared" si="4"/>
        <v>0</v>
      </c>
      <c r="I2097" s="106" t="str">
        <f>SUMIFS(Del!C:C,Del!B:B,A2097)</f>
        <v>0</v>
      </c>
      <c r="J2097" s="106" t="str">
        <f t="shared" si="5"/>
        <v>1</v>
      </c>
      <c r="K2097" s="106" t="str">
        <f t="shared" si="6"/>
        <v>1</v>
      </c>
      <c r="L2097" s="106"/>
      <c r="M2097" s="106" t="str">
        <f>SUMIFS(Ere!C:C,Ere!B:B,A2097)</f>
        <v>0</v>
      </c>
      <c r="N2097" s="106" t="str">
        <f t="shared" si="7"/>
        <v>1</v>
      </c>
      <c r="O2097" s="107" t="str">
        <f t="array" ref="O2097">XLOOKUP(A2097,Data!F:F,Data!O:O)</f>
        <v>  0.48 </v>
      </c>
      <c r="P2097" s="107" t="str">
        <f t="shared" si="8"/>
        <v>  1.20 </v>
      </c>
      <c r="Q2097" s="27"/>
    </row>
    <row r="2098" ht="15.75" customHeight="1">
      <c r="A2098" s="105" t="s">
        <v>2342</v>
      </c>
      <c r="B2098" s="19" t="str">
        <f t="array" ref="B2098">XLOOKUP(A2098,Data!F:F,Data!G:G)</f>
        <v>J2C</v>
      </c>
      <c r="C2098" s="19" t="str">
        <f t="shared" si="3"/>
        <v>J070</v>
      </c>
      <c r="D2098" s="19" t="str">
        <f t="array" ref="D2098">XLOOKUP(A2098,Data!F:F,Data!C:C)</f>
        <v/>
      </c>
      <c r="E2098" s="19" t="str">
        <f t="array" ref="E2098">XLOOKUP(A2098,Data!F:F,Data!H:H)</f>
        <v>BW</v>
      </c>
      <c r="F2098" s="106" t="str">
        <f>SUMIFS(Data!J:J,Data!F:F,A2098)</f>
        <v>1</v>
      </c>
      <c r="G2098" s="106" t="str">
        <f>SUMIFS(Cast!C:C,CastElements,A2098)</f>
        <v>1</v>
      </c>
      <c r="H2098" s="106" t="str">
        <f t="shared" si="4"/>
        <v>0</v>
      </c>
      <c r="I2098" s="106" t="str">
        <f>SUMIFS(Del!C:C,Del!B:B,A2098)</f>
        <v>0</v>
      </c>
      <c r="J2098" s="106" t="str">
        <f t="shared" si="5"/>
        <v>1</v>
      </c>
      <c r="K2098" s="106" t="str">
        <f t="shared" si="6"/>
        <v>1</v>
      </c>
      <c r="L2098" s="106"/>
      <c r="M2098" s="106" t="str">
        <f>SUMIFS(Ere!C:C,Ere!B:B,A2098)</f>
        <v>0</v>
      </c>
      <c r="N2098" s="106" t="str">
        <f t="shared" si="7"/>
        <v>1</v>
      </c>
      <c r="O2098" s="107" t="str">
        <f t="array" ref="O2098">XLOOKUP(A2098,Data!F:F,Data!O:O)</f>
        <v>  1.22 </v>
      </c>
      <c r="P2098" s="107" t="str">
        <f t="shared" si="8"/>
        <v>  3.05 </v>
      </c>
      <c r="Q2098" s="27"/>
    </row>
    <row r="2099" ht="15.75" customHeight="1">
      <c r="A2099" s="105" t="s">
        <v>2343</v>
      </c>
      <c r="B2099" s="19" t="str">
        <f t="array" ref="B2099">XLOOKUP(A2099,Data!F:F,Data!G:G)</f>
        <v>J2C</v>
      </c>
      <c r="C2099" s="19" t="str">
        <f t="shared" si="3"/>
        <v>J070</v>
      </c>
      <c r="D2099" s="19" t="str">
        <f t="array" ref="D2099">XLOOKUP(A2099,Data!F:F,Data!C:C)</f>
        <v/>
      </c>
      <c r="E2099" s="19" t="str">
        <f t="array" ref="E2099">XLOOKUP(A2099,Data!F:F,Data!H:H)</f>
        <v>BW</v>
      </c>
      <c r="F2099" s="106" t="str">
        <f>SUMIFS(Data!J:J,Data!F:F,A2099)</f>
        <v>1</v>
      </c>
      <c r="G2099" s="106" t="str">
        <f>SUMIFS(Cast!C:C,CastElements,A2099)</f>
        <v>1</v>
      </c>
      <c r="H2099" s="106" t="str">
        <f t="shared" si="4"/>
        <v>0</v>
      </c>
      <c r="I2099" s="106" t="str">
        <f>SUMIFS(Del!C:C,Del!B:B,A2099)</f>
        <v>0</v>
      </c>
      <c r="J2099" s="106" t="str">
        <f t="shared" si="5"/>
        <v>1</v>
      </c>
      <c r="K2099" s="106" t="str">
        <f t="shared" si="6"/>
        <v>1</v>
      </c>
      <c r="L2099" s="106"/>
      <c r="M2099" s="106" t="str">
        <f>SUMIFS(Ere!C:C,Ere!B:B,A2099)</f>
        <v>0</v>
      </c>
      <c r="N2099" s="106" t="str">
        <f t="shared" si="7"/>
        <v>1</v>
      </c>
      <c r="O2099" s="107" t="str">
        <f t="array" ref="O2099">XLOOKUP(A2099,Data!F:F,Data!O:O)</f>
        <v>  1.10 </v>
      </c>
      <c r="P2099" s="107" t="str">
        <f t="shared" si="8"/>
        <v>  2.75 </v>
      </c>
      <c r="Q2099" s="27"/>
    </row>
    <row r="2100" ht="15.75" customHeight="1">
      <c r="A2100" s="105" t="s">
        <v>2344</v>
      </c>
      <c r="B2100" s="19" t="str">
        <f t="array" ref="B2100">XLOOKUP(A2100,Data!F:F,Data!G:G)</f>
        <v>J2C</v>
      </c>
      <c r="C2100" s="19" t="str">
        <f t="shared" si="3"/>
        <v>J070</v>
      </c>
      <c r="D2100" s="19" t="str">
        <f t="array" ref="D2100">XLOOKUP(A2100,Data!F:F,Data!C:C)</f>
        <v>EXT</v>
      </c>
      <c r="E2100" s="19" t="str">
        <f t="array" ref="E2100">XLOOKUP(A2100,Data!F:F,Data!H:H)</f>
        <v>BW</v>
      </c>
      <c r="F2100" s="106" t="str">
        <f>SUMIFS(Data!J:J,Data!F:F,A2100)</f>
        <v>1</v>
      </c>
      <c r="G2100" s="106" t="str">
        <f>SUMIFS(Cast!C:C,CastElements,A2100)</f>
        <v>0</v>
      </c>
      <c r="H2100" s="106" t="str">
        <f t="shared" si="4"/>
        <v>1</v>
      </c>
      <c r="I2100" s="106" t="str">
        <f>SUMIFS(Del!C:C,Del!B:B,A2100)</f>
        <v>0</v>
      </c>
      <c r="J2100" s="106" t="str">
        <f t="shared" si="5"/>
        <v>1</v>
      </c>
      <c r="K2100" s="106" t="str">
        <f t="shared" si="6"/>
        <v>0</v>
      </c>
      <c r="L2100" s="106"/>
      <c r="M2100" s="106" t="str">
        <f>SUMIFS(Ere!C:C,Ere!B:B,A2100)</f>
        <v>0</v>
      </c>
      <c r="N2100" s="106" t="str">
        <f t="shared" si="7"/>
        <v>1</v>
      </c>
      <c r="O2100" s="107" t="str">
        <f t="array" ref="O2100">XLOOKUP(A2100,Data!F:F,Data!O:O)</f>
        <v>  0.79 </v>
      </c>
      <c r="P2100" s="107" t="str">
        <f t="shared" si="8"/>
        <v>  1.98 </v>
      </c>
      <c r="Q2100" s="27"/>
    </row>
    <row r="2101" ht="15.75" customHeight="1">
      <c r="A2101" s="105" t="s">
        <v>2345</v>
      </c>
      <c r="B2101" s="19" t="str">
        <f t="array" ref="B2101">XLOOKUP(A2101,Data!F:F,Data!G:G)</f>
        <v>J2C</v>
      </c>
      <c r="C2101" s="19" t="str">
        <f t="shared" si="3"/>
        <v>J070</v>
      </c>
      <c r="D2101" s="19" t="str">
        <f t="array" ref="D2101">XLOOKUP(A2101,Data!F:F,Data!C:C)</f>
        <v/>
      </c>
      <c r="E2101" s="19" t="str">
        <f t="array" ref="E2101">XLOOKUP(A2101,Data!F:F,Data!H:H)</f>
        <v>BW</v>
      </c>
      <c r="F2101" s="106" t="str">
        <f>SUMIFS(Data!J:J,Data!F:F,A2101)</f>
        <v>1</v>
      </c>
      <c r="G2101" s="106" t="str">
        <f>SUMIFS(Cast!C:C,CastElements,A2101)</f>
        <v>0</v>
      </c>
      <c r="H2101" s="106" t="str">
        <f t="shared" si="4"/>
        <v>1</v>
      </c>
      <c r="I2101" s="106" t="str">
        <f>SUMIFS(Del!C:C,Del!B:B,A2101)</f>
        <v>0</v>
      </c>
      <c r="J2101" s="106" t="str">
        <f t="shared" si="5"/>
        <v>1</v>
      </c>
      <c r="K2101" s="106" t="str">
        <f t="shared" si="6"/>
        <v>0</v>
      </c>
      <c r="L2101" s="106"/>
      <c r="M2101" s="106" t="str">
        <f>SUMIFS(Ere!C:C,Ere!B:B,A2101)</f>
        <v>0</v>
      </c>
      <c r="N2101" s="106" t="str">
        <f t="shared" si="7"/>
        <v>1</v>
      </c>
      <c r="O2101" s="107" t="str">
        <f t="array" ref="O2101">XLOOKUP(A2101,Data!F:F,Data!O:O)</f>
        <v>  1.25 </v>
      </c>
      <c r="P2101" s="107" t="str">
        <f t="shared" si="8"/>
        <v>  3.13 </v>
      </c>
      <c r="Q2101" s="27"/>
    </row>
    <row r="2102" ht="15.75" customHeight="1">
      <c r="A2102" s="105" t="s">
        <v>2346</v>
      </c>
      <c r="B2102" s="19" t="str">
        <f t="array" ref="B2102">XLOOKUP(A2102,Data!F:F,Data!G:G)</f>
        <v>J2C</v>
      </c>
      <c r="C2102" s="19" t="str">
        <f t="shared" si="3"/>
        <v>J070</v>
      </c>
      <c r="D2102" s="19" t="str">
        <f t="array" ref="D2102">XLOOKUP(A2102,Data!F:F,Data!C:C)</f>
        <v/>
      </c>
      <c r="E2102" s="19" t="str">
        <f t="array" ref="E2102">XLOOKUP(A2102,Data!F:F,Data!H:H)</f>
        <v>BW</v>
      </c>
      <c r="F2102" s="106" t="str">
        <f>SUMIFS(Data!J:J,Data!F:F,A2102)</f>
        <v>1</v>
      </c>
      <c r="G2102" s="106" t="str">
        <f>SUMIFS(Cast!C:C,CastElements,A2102)</f>
        <v>0</v>
      </c>
      <c r="H2102" s="106" t="str">
        <f t="shared" si="4"/>
        <v>1</v>
      </c>
      <c r="I2102" s="106" t="str">
        <f>SUMIFS(Del!C:C,Del!B:B,A2102)</f>
        <v>0</v>
      </c>
      <c r="J2102" s="106" t="str">
        <f t="shared" si="5"/>
        <v>1</v>
      </c>
      <c r="K2102" s="106" t="str">
        <f t="shared" si="6"/>
        <v>0</v>
      </c>
      <c r="L2102" s="106"/>
      <c r="M2102" s="106" t="str">
        <f>SUMIFS(Ere!C:C,Ere!B:B,A2102)</f>
        <v>0</v>
      </c>
      <c r="N2102" s="106" t="str">
        <f t="shared" si="7"/>
        <v>1</v>
      </c>
      <c r="O2102" s="107" t="str">
        <f t="array" ref="O2102">XLOOKUP(A2102,Data!F:F,Data!O:O)</f>
        <v>  1.29 </v>
      </c>
      <c r="P2102" s="107" t="str">
        <f t="shared" si="8"/>
        <v>  3.23 </v>
      </c>
      <c r="Q2102" s="27"/>
    </row>
    <row r="2103" ht="15.75" customHeight="1">
      <c r="A2103" s="105" t="s">
        <v>2347</v>
      </c>
      <c r="B2103" s="19" t="str">
        <f t="array" ref="B2103">XLOOKUP(A2103,Data!F:F,Data!G:G)</f>
        <v>J2C</v>
      </c>
      <c r="C2103" s="19" t="str">
        <f t="shared" si="3"/>
        <v>J070</v>
      </c>
      <c r="D2103" s="19" t="str">
        <f t="array" ref="D2103">XLOOKUP(A2103,Data!F:F,Data!C:C)</f>
        <v/>
      </c>
      <c r="E2103" s="19" t="str">
        <f t="array" ref="E2103">XLOOKUP(A2103,Data!F:F,Data!H:H)</f>
        <v>BW</v>
      </c>
      <c r="F2103" s="106" t="str">
        <f>SUMIFS(Data!J:J,Data!F:F,A2103)</f>
        <v>1</v>
      </c>
      <c r="G2103" s="106" t="str">
        <f>SUMIFS(Cast!C:C,CastElements,A2103)</f>
        <v>1</v>
      </c>
      <c r="H2103" s="106" t="str">
        <f t="shared" si="4"/>
        <v>0</v>
      </c>
      <c r="I2103" s="106" t="str">
        <f>SUMIFS(Del!C:C,Del!B:B,A2103)</f>
        <v>0</v>
      </c>
      <c r="J2103" s="106" t="str">
        <f t="shared" si="5"/>
        <v>1</v>
      </c>
      <c r="K2103" s="106" t="str">
        <f t="shared" si="6"/>
        <v>1</v>
      </c>
      <c r="L2103" s="106"/>
      <c r="M2103" s="106" t="str">
        <f>SUMIFS(Ere!C:C,Ere!B:B,A2103)</f>
        <v>0</v>
      </c>
      <c r="N2103" s="106" t="str">
        <f t="shared" si="7"/>
        <v>1</v>
      </c>
      <c r="O2103" s="107" t="str">
        <f t="array" ref="O2103">XLOOKUP(A2103,Data!F:F,Data!O:O)</f>
        <v>  1.84 </v>
      </c>
      <c r="P2103" s="107" t="str">
        <f t="shared" si="8"/>
        <v>  4.60 </v>
      </c>
      <c r="Q2103" s="27"/>
    </row>
    <row r="2104" ht="15.75" customHeight="1">
      <c r="A2104" s="105" t="s">
        <v>2348</v>
      </c>
      <c r="B2104" s="19" t="str">
        <f t="array" ref="B2104">XLOOKUP(A2104,Data!F:F,Data!G:G)</f>
        <v>J2C</v>
      </c>
      <c r="C2104" s="19" t="str">
        <f t="shared" si="3"/>
        <v>J070</v>
      </c>
      <c r="D2104" s="19" t="str">
        <f t="array" ref="D2104">XLOOKUP(A2104,Data!F:F,Data!C:C)</f>
        <v/>
      </c>
      <c r="E2104" s="19" t="str">
        <f t="array" ref="E2104">XLOOKUP(A2104,Data!F:F,Data!H:H)</f>
        <v>BW</v>
      </c>
      <c r="F2104" s="106" t="str">
        <f>SUMIFS(Data!J:J,Data!F:F,A2104)</f>
        <v>1</v>
      </c>
      <c r="G2104" s="106" t="str">
        <f>SUMIFS(Cast!C:C,CastElements,A2104)</f>
        <v>0</v>
      </c>
      <c r="H2104" s="106" t="str">
        <f t="shared" si="4"/>
        <v>1</v>
      </c>
      <c r="I2104" s="106" t="str">
        <f>SUMIFS(Del!C:C,Del!B:B,A2104)</f>
        <v>0</v>
      </c>
      <c r="J2104" s="106" t="str">
        <f t="shared" si="5"/>
        <v>1</v>
      </c>
      <c r="K2104" s="106" t="str">
        <f t="shared" si="6"/>
        <v>0</v>
      </c>
      <c r="L2104" s="106"/>
      <c r="M2104" s="106" t="str">
        <f>SUMIFS(Ere!C:C,Ere!B:B,A2104)</f>
        <v>0</v>
      </c>
      <c r="N2104" s="106" t="str">
        <f t="shared" si="7"/>
        <v>1</v>
      </c>
      <c r="O2104" s="107" t="str">
        <f t="array" ref="O2104">XLOOKUP(A2104,Data!F:F,Data!O:O)</f>
        <v>  1.21 </v>
      </c>
      <c r="P2104" s="107" t="str">
        <f t="shared" si="8"/>
        <v>  3.03 </v>
      </c>
      <c r="Q2104" s="27"/>
    </row>
    <row r="2105" ht="15.75" customHeight="1">
      <c r="A2105" s="105" t="s">
        <v>2349</v>
      </c>
      <c r="B2105" s="19" t="str">
        <f t="array" ref="B2105">XLOOKUP(A2105,Data!F:F,Data!G:G)</f>
        <v>J2C</v>
      </c>
      <c r="C2105" s="19" t="str">
        <f t="shared" si="3"/>
        <v>J070</v>
      </c>
      <c r="D2105" s="19" t="str">
        <f t="array" ref="D2105">XLOOKUP(A2105,Data!F:F,Data!C:C)</f>
        <v/>
      </c>
      <c r="E2105" s="19" t="str">
        <f t="array" ref="E2105">XLOOKUP(A2105,Data!F:F,Data!H:H)</f>
        <v>BW</v>
      </c>
      <c r="F2105" s="106" t="str">
        <f>SUMIFS(Data!J:J,Data!F:F,A2105)</f>
        <v>1</v>
      </c>
      <c r="G2105" s="106" t="str">
        <f>SUMIFS(Cast!C:C,CastElements,A2105)</f>
        <v>1</v>
      </c>
      <c r="H2105" s="106" t="str">
        <f t="shared" si="4"/>
        <v>0</v>
      </c>
      <c r="I2105" s="106" t="str">
        <f>SUMIFS(Del!C:C,Del!B:B,A2105)</f>
        <v>0</v>
      </c>
      <c r="J2105" s="106" t="str">
        <f t="shared" si="5"/>
        <v>1</v>
      </c>
      <c r="K2105" s="106" t="str">
        <f t="shared" si="6"/>
        <v>1</v>
      </c>
      <c r="L2105" s="106"/>
      <c r="M2105" s="106" t="str">
        <f>SUMIFS(Ere!C:C,Ere!B:B,A2105)</f>
        <v>0</v>
      </c>
      <c r="N2105" s="106" t="str">
        <f t="shared" si="7"/>
        <v>1</v>
      </c>
      <c r="O2105" s="107" t="str">
        <f t="array" ref="O2105">XLOOKUP(A2105,Data!F:F,Data!O:O)</f>
        <v>  2.14 </v>
      </c>
      <c r="P2105" s="107" t="str">
        <f t="shared" si="8"/>
        <v>  5.35 </v>
      </c>
      <c r="Q2105" s="27"/>
    </row>
    <row r="2106" ht="15.75" customHeight="1">
      <c r="A2106" s="105" t="s">
        <v>2350</v>
      </c>
      <c r="B2106" s="19" t="str">
        <f t="array" ref="B2106">XLOOKUP(A2106,Data!F:F,Data!G:G)</f>
        <v>J2C</v>
      </c>
      <c r="C2106" s="19" t="str">
        <f t="shared" si="3"/>
        <v>J070</v>
      </c>
      <c r="D2106" s="19" t="str">
        <f t="array" ref="D2106">XLOOKUP(A2106,Data!F:F,Data!C:C)</f>
        <v/>
      </c>
      <c r="E2106" s="19" t="str">
        <f t="array" ref="E2106">XLOOKUP(A2106,Data!F:F,Data!H:H)</f>
        <v>BW</v>
      </c>
      <c r="F2106" s="106" t="str">
        <f>SUMIFS(Data!J:J,Data!F:F,A2106)</f>
        <v>1</v>
      </c>
      <c r="G2106" s="106" t="str">
        <f>SUMIFS(Cast!C:C,CastElements,A2106)</f>
        <v>1</v>
      </c>
      <c r="H2106" s="106" t="str">
        <f t="shared" si="4"/>
        <v>0</v>
      </c>
      <c r="I2106" s="106" t="str">
        <f>SUMIFS(Del!C:C,Del!B:B,A2106)</f>
        <v>0</v>
      </c>
      <c r="J2106" s="106" t="str">
        <f t="shared" si="5"/>
        <v>1</v>
      </c>
      <c r="K2106" s="106" t="str">
        <f t="shared" si="6"/>
        <v>1</v>
      </c>
      <c r="L2106" s="106"/>
      <c r="M2106" s="106" t="str">
        <f>SUMIFS(Ere!C:C,Ere!B:B,A2106)</f>
        <v>0</v>
      </c>
      <c r="N2106" s="106" t="str">
        <f t="shared" si="7"/>
        <v>1</v>
      </c>
      <c r="O2106" s="107" t="str">
        <f t="array" ref="O2106">XLOOKUP(A2106,Data!F:F,Data!O:O)</f>
        <v>  1.00 </v>
      </c>
      <c r="P2106" s="107" t="str">
        <f t="shared" si="8"/>
        <v>  2.50 </v>
      </c>
      <c r="Q2106" s="27"/>
    </row>
    <row r="2107" ht="15.75" customHeight="1">
      <c r="A2107" s="105" t="s">
        <v>2351</v>
      </c>
      <c r="B2107" s="19" t="str">
        <f t="array" ref="B2107">XLOOKUP(A2107,Data!F:F,Data!G:G)</f>
        <v>J2C</v>
      </c>
      <c r="C2107" s="19" t="str">
        <f t="shared" si="3"/>
        <v>J070</v>
      </c>
      <c r="D2107" s="19" t="str">
        <f t="array" ref="D2107">XLOOKUP(A2107,Data!F:F,Data!C:C)</f>
        <v/>
      </c>
      <c r="E2107" s="19" t="str">
        <f t="array" ref="E2107">XLOOKUP(A2107,Data!F:F,Data!H:H)</f>
        <v>BW</v>
      </c>
      <c r="F2107" s="106" t="str">
        <f>SUMIFS(Data!J:J,Data!F:F,A2107)</f>
        <v>1</v>
      </c>
      <c r="G2107" s="106" t="str">
        <f>SUMIFS(Cast!C:C,CastElements,A2107)</f>
        <v>0</v>
      </c>
      <c r="H2107" s="106" t="str">
        <f t="shared" si="4"/>
        <v>1</v>
      </c>
      <c r="I2107" s="106" t="str">
        <f>SUMIFS(Del!C:C,Del!B:B,A2107)</f>
        <v>0</v>
      </c>
      <c r="J2107" s="106" t="str">
        <f t="shared" si="5"/>
        <v>1</v>
      </c>
      <c r="K2107" s="106" t="str">
        <f t="shared" si="6"/>
        <v>0</v>
      </c>
      <c r="L2107" s="106"/>
      <c r="M2107" s="106" t="str">
        <f>SUMIFS(Ere!C:C,Ere!B:B,A2107)</f>
        <v>0</v>
      </c>
      <c r="N2107" s="106" t="str">
        <f t="shared" si="7"/>
        <v>1</v>
      </c>
      <c r="O2107" s="107" t="str">
        <f t="array" ref="O2107">XLOOKUP(A2107,Data!F:F,Data!O:O)</f>
        <v>  0.33 </v>
      </c>
      <c r="P2107" s="107" t="str">
        <f t="shared" si="8"/>
        <v>  0.83 </v>
      </c>
      <c r="Q2107" s="27"/>
    </row>
    <row r="2108" ht="15.75" customHeight="1">
      <c r="A2108" s="105" t="s">
        <v>2352</v>
      </c>
      <c r="B2108" s="19" t="str">
        <f t="array" ref="B2108">XLOOKUP(A2108,Data!F:F,Data!G:G)</f>
        <v>J2C</v>
      </c>
      <c r="C2108" s="19" t="str">
        <f t="shared" si="3"/>
        <v>J070</v>
      </c>
      <c r="D2108" s="19" t="str">
        <f t="array" ref="D2108">XLOOKUP(A2108,Data!F:F,Data!C:C)</f>
        <v/>
      </c>
      <c r="E2108" s="19" t="str">
        <f t="array" ref="E2108">XLOOKUP(A2108,Data!F:F,Data!H:H)</f>
        <v>CF</v>
      </c>
      <c r="F2108" s="106" t="str">
        <f>SUMIFS(Data!J:J,Data!F:F,A2108)</f>
        <v>1</v>
      </c>
      <c r="G2108" s="106" t="str">
        <f>SUMIFS(Cast!C:C,CastElements,A2108)</f>
        <v>0</v>
      </c>
      <c r="H2108" s="106" t="str">
        <f t="shared" si="4"/>
        <v>1</v>
      </c>
      <c r="I2108" s="106" t="str">
        <f>SUMIFS(Del!C:C,Del!B:B,A2108)</f>
        <v>0</v>
      </c>
      <c r="J2108" s="106" t="str">
        <f t="shared" si="5"/>
        <v>1</v>
      </c>
      <c r="K2108" s="106" t="str">
        <f t="shared" si="6"/>
        <v>0</v>
      </c>
      <c r="L2108" s="106"/>
      <c r="M2108" s="106" t="str">
        <f>SUMIFS(Ere!C:C,Ere!B:B,A2108)</f>
        <v>0</v>
      </c>
      <c r="N2108" s="106" t="str">
        <f t="shared" si="7"/>
        <v>1</v>
      </c>
      <c r="O2108" s="107" t="str">
        <f t="array" ref="O2108">XLOOKUP(A2108,Data!F:F,Data!O:O)</f>
        <v>  0.42 </v>
      </c>
      <c r="P2108" s="107" t="str">
        <f t="shared" si="8"/>
        <v>  1.05 </v>
      </c>
      <c r="Q2108" s="27"/>
    </row>
    <row r="2109" ht="15.75" customHeight="1">
      <c r="A2109" s="105" t="s">
        <v>2353</v>
      </c>
      <c r="B2109" s="19" t="str">
        <f t="array" ref="B2109">XLOOKUP(A2109,Data!F:F,Data!G:G)</f>
        <v>J2C</v>
      </c>
      <c r="C2109" s="19" t="str">
        <f t="shared" si="3"/>
        <v>J071</v>
      </c>
      <c r="D2109" s="19" t="str">
        <f t="array" ref="D2109">XLOOKUP(A2109,Data!F:F,Data!C:C)</f>
        <v>EXT</v>
      </c>
      <c r="E2109" s="19" t="str">
        <f t="array" ref="E2109">XLOOKUP(A2109,Data!F:F,Data!H:H)</f>
        <v>BW</v>
      </c>
      <c r="F2109" s="106" t="str">
        <f>SUMIFS(Data!J:J,Data!F:F,A2109)</f>
        <v>1</v>
      </c>
      <c r="G2109" s="106" t="str">
        <f>SUMIFS(Cast!C:C,CastElements,A2109)</f>
        <v>1</v>
      </c>
      <c r="H2109" s="106" t="str">
        <f t="shared" si="4"/>
        <v>0</v>
      </c>
      <c r="I2109" s="106" t="str">
        <f>SUMIFS(Del!C:C,Del!B:B,A2109)</f>
        <v>0</v>
      </c>
      <c r="J2109" s="106" t="str">
        <f t="shared" si="5"/>
        <v>1</v>
      </c>
      <c r="K2109" s="106" t="str">
        <f t="shared" si="6"/>
        <v>1</v>
      </c>
      <c r="L2109" s="106"/>
      <c r="M2109" s="106" t="str">
        <f>SUMIFS(Ere!C:C,Ere!B:B,A2109)</f>
        <v>0</v>
      </c>
      <c r="N2109" s="106" t="str">
        <f t="shared" si="7"/>
        <v>1</v>
      </c>
      <c r="O2109" s="107" t="str">
        <f t="array" ref="O2109">XLOOKUP(A2109,Data!F:F,Data!O:O)</f>
        <v>  0.88 </v>
      </c>
      <c r="P2109" s="107" t="str">
        <f t="shared" si="8"/>
        <v>  2.20 </v>
      </c>
      <c r="Q2109" s="27"/>
    </row>
    <row r="2110" ht="15.75" customHeight="1">
      <c r="A2110" s="105" t="s">
        <v>2354</v>
      </c>
      <c r="B2110" s="19" t="str">
        <f t="array" ref="B2110">XLOOKUP(A2110,Data!F:F,Data!G:G)</f>
        <v>J2C</v>
      </c>
      <c r="C2110" s="19" t="str">
        <f t="shared" si="3"/>
        <v>J071</v>
      </c>
      <c r="D2110" s="19" t="str">
        <f t="array" ref="D2110">XLOOKUP(A2110,Data!F:F,Data!C:C)</f>
        <v>EXT</v>
      </c>
      <c r="E2110" s="19" t="str">
        <f t="array" ref="E2110">XLOOKUP(A2110,Data!F:F,Data!H:H)</f>
        <v>BW</v>
      </c>
      <c r="F2110" s="106" t="str">
        <f>SUMIFS(Data!J:J,Data!F:F,A2110)</f>
        <v>1</v>
      </c>
      <c r="G2110" s="106" t="str">
        <f>SUMIFS(Cast!C:C,CastElements,A2110)</f>
        <v>1</v>
      </c>
      <c r="H2110" s="106" t="str">
        <f t="shared" si="4"/>
        <v>0</v>
      </c>
      <c r="I2110" s="106" t="str">
        <f>SUMIFS(Del!C:C,Del!B:B,A2110)</f>
        <v>0</v>
      </c>
      <c r="J2110" s="106" t="str">
        <f t="shared" si="5"/>
        <v>1</v>
      </c>
      <c r="K2110" s="106" t="str">
        <f t="shared" si="6"/>
        <v>1</v>
      </c>
      <c r="L2110" s="106"/>
      <c r="M2110" s="106" t="str">
        <f>SUMIFS(Ere!C:C,Ere!B:B,A2110)</f>
        <v>0</v>
      </c>
      <c r="N2110" s="106" t="str">
        <f t="shared" si="7"/>
        <v>1</v>
      </c>
      <c r="O2110" s="107" t="str">
        <f t="array" ref="O2110">XLOOKUP(A2110,Data!F:F,Data!O:O)</f>
        <v>  0.88 </v>
      </c>
      <c r="P2110" s="107" t="str">
        <f t="shared" si="8"/>
        <v>  2.20 </v>
      </c>
      <c r="Q2110" s="27"/>
    </row>
    <row r="2111" ht="15.75" customHeight="1">
      <c r="A2111" s="105" t="s">
        <v>2355</v>
      </c>
      <c r="B2111" s="19" t="str">
        <f t="array" ref="B2111">XLOOKUP(A2111,Data!F:F,Data!G:G)</f>
        <v>J2C</v>
      </c>
      <c r="C2111" s="19" t="str">
        <f t="shared" si="3"/>
        <v>J071</v>
      </c>
      <c r="D2111" s="19" t="str">
        <f t="array" ref="D2111">XLOOKUP(A2111,Data!F:F,Data!C:C)</f>
        <v/>
      </c>
      <c r="E2111" s="19" t="str">
        <f t="array" ref="E2111">XLOOKUP(A2111,Data!F:F,Data!H:H)</f>
        <v>BW</v>
      </c>
      <c r="F2111" s="106" t="str">
        <f>SUMIFS(Data!J:J,Data!F:F,A2111)</f>
        <v>1</v>
      </c>
      <c r="G2111" s="106" t="str">
        <f>SUMIFS(Cast!C:C,CastElements,A2111)</f>
        <v>1</v>
      </c>
      <c r="H2111" s="106" t="str">
        <f t="shared" si="4"/>
        <v>0</v>
      </c>
      <c r="I2111" s="106" t="str">
        <f>SUMIFS(Del!C:C,Del!B:B,A2111)</f>
        <v>0</v>
      </c>
      <c r="J2111" s="106" t="str">
        <f t="shared" si="5"/>
        <v>1</v>
      </c>
      <c r="K2111" s="106" t="str">
        <f t="shared" si="6"/>
        <v>1</v>
      </c>
      <c r="L2111" s="106"/>
      <c r="M2111" s="106" t="str">
        <f>SUMIFS(Ere!C:C,Ere!B:B,A2111)</f>
        <v>0</v>
      </c>
      <c r="N2111" s="106" t="str">
        <f t="shared" si="7"/>
        <v>1</v>
      </c>
      <c r="O2111" s="107" t="str">
        <f t="array" ref="O2111">XLOOKUP(A2111,Data!F:F,Data!O:O)</f>
        <v>  1.50 </v>
      </c>
      <c r="P2111" s="107" t="str">
        <f t="shared" si="8"/>
        <v>  3.75 </v>
      </c>
      <c r="Q2111" s="27"/>
    </row>
    <row r="2112" ht="15.75" customHeight="1">
      <c r="A2112" s="105" t="s">
        <v>2356</v>
      </c>
      <c r="B2112" s="19" t="str">
        <f t="array" ref="B2112">XLOOKUP(A2112,Data!F:F,Data!G:G)</f>
        <v>J2C</v>
      </c>
      <c r="C2112" s="19" t="str">
        <f t="shared" si="3"/>
        <v>J071</v>
      </c>
      <c r="D2112" s="19" t="str">
        <f t="array" ref="D2112">XLOOKUP(A2112,Data!F:F,Data!C:C)</f>
        <v/>
      </c>
      <c r="E2112" s="19" t="str">
        <f t="array" ref="E2112">XLOOKUP(A2112,Data!F:F,Data!H:H)</f>
        <v>BW</v>
      </c>
      <c r="F2112" s="106" t="str">
        <f>SUMIFS(Data!J:J,Data!F:F,A2112)</f>
        <v>1</v>
      </c>
      <c r="G2112" s="106" t="str">
        <f>SUMIFS(Cast!C:C,CastElements,A2112)</f>
        <v>1</v>
      </c>
      <c r="H2112" s="106" t="str">
        <f t="shared" si="4"/>
        <v>0</v>
      </c>
      <c r="I2112" s="106" t="str">
        <f>SUMIFS(Del!C:C,Del!B:B,A2112)</f>
        <v>0</v>
      </c>
      <c r="J2112" s="106" t="str">
        <f t="shared" si="5"/>
        <v>1</v>
      </c>
      <c r="K2112" s="106" t="str">
        <f t="shared" si="6"/>
        <v>1</v>
      </c>
      <c r="L2112" s="106"/>
      <c r="M2112" s="106" t="str">
        <f>SUMIFS(Ere!C:C,Ere!B:B,A2112)</f>
        <v>0</v>
      </c>
      <c r="N2112" s="106" t="str">
        <f t="shared" si="7"/>
        <v>1</v>
      </c>
      <c r="O2112" s="107" t="str">
        <f t="array" ref="O2112">XLOOKUP(A2112,Data!F:F,Data!O:O)</f>
        <v>  1.50 </v>
      </c>
      <c r="P2112" s="107" t="str">
        <f t="shared" si="8"/>
        <v>  3.75 </v>
      </c>
      <c r="Q2112" s="27"/>
    </row>
    <row r="2113" ht="15.75" customHeight="1">
      <c r="A2113" s="105" t="s">
        <v>2357</v>
      </c>
      <c r="B2113" s="19" t="str">
        <f t="array" ref="B2113">XLOOKUP(A2113,Data!F:F,Data!G:G)</f>
        <v>J2C</v>
      </c>
      <c r="C2113" s="19" t="str">
        <f t="shared" si="3"/>
        <v>J071</v>
      </c>
      <c r="D2113" s="19" t="str">
        <f t="array" ref="D2113">XLOOKUP(A2113,Data!F:F,Data!C:C)</f>
        <v/>
      </c>
      <c r="E2113" s="19" t="str">
        <f t="array" ref="E2113">XLOOKUP(A2113,Data!F:F,Data!H:H)</f>
        <v>BW</v>
      </c>
      <c r="F2113" s="106" t="str">
        <f>SUMIFS(Data!J:J,Data!F:F,A2113)</f>
        <v>1</v>
      </c>
      <c r="G2113" s="106" t="str">
        <f>SUMIFS(Cast!C:C,CastElements,A2113)</f>
        <v>1</v>
      </c>
      <c r="H2113" s="106" t="str">
        <f t="shared" si="4"/>
        <v>0</v>
      </c>
      <c r="I2113" s="106" t="str">
        <f>SUMIFS(Del!C:C,Del!B:B,A2113)</f>
        <v>0</v>
      </c>
      <c r="J2113" s="106" t="str">
        <f t="shared" si="5"/>
        <v>1</v>
      </c>
      <c r="K2113" s="106" t="str">
        <f t="shared" si="6"/>
        <v>1</v>
      </c>
      <c r="L2113" s="106"/>
      <c r="M2113" s="106" t="str">
        <f>SUMIFS(Ere!C:C,Ere!B:B,A2113)</f>
        <v>0</v>
      </c>
      <c r="N2113" s="106" t="str">
        <f t="shared" si="7"/>
        <v>1</v>
      </c>
      <c r="O2113" s="107" t="str">
        <f t="array" ref="O2113">XLOOKUP(A2113,Data!F:F,Data!O:O)</f>
        <v>  1.50 </v>
      </c>
      <c r="P2113" s="107" t="str">
        <f t="shared" si="8"/>
        <v>  3.75 </v>
      </c>
      <c r="Q2113" s="27"/>
    </row>
    <row r="2114" ht="15.75" customHeight="1">
      <c r="A2114" s="105" t="s">
        <v>2358</v>
      </c>
      <c r="B2114" s="19" t="str">
        <f t="array" ref="B2114">XLOOKUP(A2114,Data!F:F,Data!G:G)</f>
        <v>J2C</v>
      </c>
      <c r="C2114" s="19" t="str">
        <f t="shared" si="3"/>
        <v>J071</v>
      </c>
      <c r="D2114" s="19" t="str">
        <f t="array" ref="D2114">XLOOKUP(A2114,Data!F:F,Data!C:C)</f>
        <v/>
      </c>
      <c r="E2114" s="19" t="str">
        <f t="array" ref="E2114">XLOOKUP(A2114,Data!F:F,Data!H:H)</f>
        <v>BW</v>
      </c>
      <c r="F2114" s="106" t="str">
        <f>SUMIFS(Data!J:J,Data!F:F,A2114)</f>
        <v>1</v>
      </c>
      <c r="G2114" s="106" t="str">
        <f>SUMIFS(Cast!C:C,CastElements,A2114)</f>
        <v>1</v>
      </c>
      <c r="H2114" s="106" t="str">
        <f t="shared" si="4"/>
        <v>0</v>
      </c>
      <c r="I2114" s="106" t="str">
        <f>SUMIFS(Del!C:C,Del!B:B,A2114)</f>
        <v>0</v>
      </c>
      <c r="J2114" s="106" t="str">
        <f t="shared" si="5"/>
        <v>1</v>
      </c>
      <c r="K2114" s="106" t="str">
        <f t="shared" si="6"/>
        <v>1</v>
      </c>
      <c r="L2114" s="106"/>
      <c r="M2114" s="106" t="str">
        <f>SUMIFS(Ere!C:C,Ere!B:B,A2114)</f>
        <v>0</v>
      </c>
      <c r="N2114" s="106" t="str">
        <f t="shared" si="7"/>
        <v>1</v>
      </c>
      <c r="O2114" s="107" t="str">
        <f t="array" ref="O2114">XLOOKUP(A2114,Data!F:F,Data!O:O)</f>
        <v>  1.50 </v>
      </c>
      <c r="P2114" s="107" t="str">
        <f t="shared" si="8"/>
        <v>  3.75 </v>
      </c>
      <c r="Q2114" s="27"/>
    </row>
    <row r="2115" ht="15.75" customHeight="1">
      <c r="A2115" s="105" t="s">
        <v>2359</v>
      </c>
      <c r="B2115" s="19" t="str">
        <f t="array" ref="B2115">XLOOKUP(A2115,Data!F:F,Data!G:G)</f>
        <v>J2C</v>
      </c>
      <c r="C2115" s="19" t="str">
        <f t="shared" si="3"/>
        <v>J071</v>
      </c>
      <c r="D2115" s="19" t="str">
        <f t="array" ref="D2115">XLOOKUP(A2115,Data!F:F,Data!C:C)</f>
        <v>EXT</v>
      </c>
      <c r="E2115" s="19" t="str">
        <f t="array" ref="E2115">XLOOKUP(A2115,Data!F:F,Data!H:H)</f>
        <v>BW</v>
      </c>
      <c r="F2115" s="106" t="str">
        <f>SUMIFS(Data!J:J,Data!F:F,A2115)</f>
        <v>1</v>
      </c>
      <c r="G2115" s="106" t="str">
        <f>SUMIFS(Cast!C:C,CastElements,A2115)</f>
        <v>0</v>
      </c>
      <c r="H2115" s="106" t="str">
        <f t="shared" si="4"/>
        <v>1</v>
      </c>
      <c r="I2115" s="106" t="str">
        <f>SUMIFS(Del!C:C,Del!B:B,A2115)</f>
        <v>0</v>
      </c>
      <c r="J2115" s="106" t="str">
        <f t="shared" si="5"/>
        <v>1</v>
      </c>
      <c r="K2115" s="106" t="str">
        <f t="shared" si="6"/>
        <v>0</v>
      </c>
      <c r="L2115" s="106"/>
      <c r="M2115" s="106" t="str">
        <f>SUMIFS(Ere!C:C,Ere!B:B,A2115)</f>
        <v>0</v>
      </c>
      <c r="N2115" s="106" t="str">
        <f t="shared" si="7"/>
        <v>1</v>
      </c>
      <c r="O2115" s="107" t="str">
        <f t="array" ref="O2115">XLOOKUP(A2115,Data!F:F,Data!O:O)</f>
        <v>  0.79 </v>
      </c>
      <c r="P2115" s="107" t="str">
        <f t="shared" si="8"/>
        <v>  1.98 </v>
      </c>
      <c r="Q2115" s="27"/>
    </row>
    <row r="2116" ht="15.75" customHeight="1">
      <c r="A2116" s="105" t="s">
        <v>2360</v>
      </c>
      <c r="B2116" s="19" t="str">
        <f t="array" ref="B2116">XLOOKUP(A2116,Data!F:F,Data!G:G)</f>
        <v>J2C</v>
      </c>
      <c r="C2116" s="19" t="str">
        <f t="shared" si="3"/>
        <v>J071</v>
      </c>
      <c r="D2116" s="19" t="str">
        <f t="array" ref="D2116">XLOOKUP(A2116,Data!F:F,Data!C:C)</f>
        <v>EXT</v>
      </c>
      <c r="E2116" s="19" t="str">
        <f t="array" ref="E2116">XLOOKUP(A2116,Data!F:F,Data!H:H)</f>
        <v>BW</v>
      </c>
      <c r="F2116" s="106" t="str">
        <f>SUMIFS(Data!J:J,Data!F:F,A2116)</f>
        <v>1</v>
      </c>
      <c r="G2116" s="106" t="str">
        <f>SUMIFS(Cast!C:C,CastElements,A2116)</f>
        <v>0</v>
      </c>
      <c r="H2116" s="106" t="str">
        <f t="shared" si="4"/>
        <v>1</v>
      </c>
      <c r="I2116" s="106" t="str">
        <f>SUMIFS(Del!C:C,Del!B:B,A2116)</f>
        <v>0</v>
      </c>
      <c r="J2116" s="106" t="str">
        <f t="shared" si="5"/>
        <v>1</v>
      </c>
      <c r="K2116" s="106" t="str">
        <f t="shared" si="6"/>
        <v>0</v>
      </c>
      <c r="L2116" s="106"/>
      <c r="M2116" s="106" t="str">
        <f>SUMIFS(Ere!C:C,Ere!B:B,A2116)</f>
        <v>0</v>
      </c>
      <c r="N2116" s="106" t="str">
        <f t="shared" si="7"/>
        <v>1</v>
      </c>
      <c r="O2116" s="107" t="str">
        <f t="array" ref="O2116">XLOOKUP(A2116,Data!F:F,Data!O:O)</f>
        <v>  1.03 </v>
      </c>
      <c r="P2116" s="107" t="str">
        <f t="shared" si="8"/>
        <v>  2.58 </v>
      </c>
      <c r="Q2116" s="27"/>
    </row>
    <row r="2117" ht="15.75" customHeight="1">
      <c r="A2117" s="105" t="s">
        <v>2361</v>
      </c>
      <c r="B2117" s="19" t="str">
        <f t="array" ref="B2117">XLOOKUP(A2117,Data!F:F,Data!G:G)</f>
        <v>J2C</v>
      </c>
      <c r="C2117" s="19" t="str">
        <f t="shared" si="3"/>
        <v>J071</v>
      </c>
      <c r="D2117" s="19" t="str">
        <f t="array" ref="D2117">XLOOKUP(A2117,Data!F:F,Data!C:C)</f>
        <v/>
      </c>
      <c r="E2117" s="19" t="str">
        <f t="array" ref="E2117">XLOOKUP(A2117,Data!F:F,Data!H:H)</f>
        <v>BW</v>
      </c>
      <c r="F2117" s="106" t="str">
        <f>SUMIFS(Data!J:J,Data!F:F,A2117)</f>
        <v>1</v>
      </c>
      <c r="G2117" s="106" t="str">
        <f>SUMIFS(Cast!C:C,CastElements,A2117)</f>
        <v>1</v>
      </c>
      <c r="H2117" s="106" t="str">
        <f t="shared" si="4"/>
        <v>0</v>
      </c>
      <c r="I2117" s="106" t="str">
        <f>SUMIFS(Del!C:C,Del!B:B,A2117)</f>
        <v>0</v>
      </c>
      <c r="J2117" s="106" t="str">
        <f t="shared" si="5"/>
        <v>1</v>
      </c>
      <c r="K2117" s="106" t="str">
        <f t="shared" si="6"/>
        <v>1</v>
      </c>
      <c r="L2117" s="106"/>
      <c r="M2117" s="106" t="str">
        <f>SUMIFS(Ere!C:C,Ere!B:B,A2117)</f>
        <v>0</v>
      </c>
      <c r="N2117" s="106" t="str">
        <f t="shared" si="7"/>
        <v>1</v>
      </c>
      <c r="O2117" s="107" t="str">
        <f t="array" ref="O2117">XLOOKUP(A2117,Data!F:F,Data!O:O)</f>
        <v>  1.21 </v>
      </c>
      <c r="P2117" s="107" t="str">
        <f t="shared" si="8"/>
        <v>  3.01 </v>
      </c>
      <c r="Q2117" s="27"/>
    </row>
    <row r="2118" ht="15.75" customHeight="1">
      <c r="A2118" s="105" t="s">
        <v>2362</v>
      </c>
      <c r="B2118" s="19" t="str">
        <f t="array" ref="B2118">XLOOKUP(A2118,Data!F:F,Data!G:G)</f>
        <v>J2C</v>
      </c>
      <c r="C2118" s="19" t="str">
        <f t="shared" si="3"/>
        <v>J071</v>
      </c>
      <c r="D2118" s="19" t="str">
        <f t="array" ref="D2118">XLOOKUP(A2118,Data!F:F,Data!C:C)</f>
        <v/>
      </c>
      <c r="E2118" s="19" t="str">
        <f t="array" ref="E2118">XLOOKUP(A2118,Data!F:F,Data!H:H)</f>
        <v>BW</v>
      </c>
      <c r="F2118" s="106" t="str">
        <f>SUMIFS(Data!J:J,Data!F:F,A2118)</f>
        <v>1</v>
      </c>
      <c r="G2118" s="106" t="str">
        <f>SUMIFS(Cast!C:C,CastElements,A2118)</f>
        <v>1</v>
      </c>
      <c r="H2118" s="106" t="str">
        <f t="shared" si="4"/>
        <v>0</v>
      </c>
      <c r="I2118" s="106" t="str">
        <f>SUMIFS(Del!C:C,Del!B:B,A2118)</f>
        <v>0</v>
      </c>
      <c r="J2118" s="106" t="str">
        <f t="shared" si="5"/>
        <v>1</v>
      </c>
      <c r="K2118" s="106" t="str">
        <f t="shared" si="6"/>
        <v>1</v>
      </c>
      <c r="L2118" s="106"/>
      <c r="M2118" s="106" t="str">
        <f>SUMIFS(Ere!C:C,Ere!B:B,A2118)</f>
        <v>0</v>
      </c>
      <c r="N2118" s="106" t="str">
        <f t="shared" si="7"/>
        <v>1</v>
      </c>
      <c r="O2118" s="107" t="str">
        <f t="array" ref="O2118">XLOOKUP(A2118,Data!F:F,Data!O:O)</f>
        <v>  1.91 </v>
      </c>
      <c r="P2118" s="107" t="str">
        <f t="shared" si="8"/>
        <v>  4.78 </v>
      </c>
      <c r="Q2118" s="27"/>
    </row>
    <row r="2119" ht="15.75" customHeight="1">
      <c r="A2119" s="111" t="s">
        <v>2363</v>
      </c>
      <c r="B2119" s="19" t="str">
        <f t="array" ref="B2119">XLOOKUP(A2119,Data!F:F,Data!G:G)</f>
        <v>J2C</v>
      </c>
      <c r="C2119" s="19" t="str">
        <f t="shared" si="3"/>
        <v>J071</v>
      </c>
      <c r="D2119" s="19" t="str">
        <f t="array" ref="D2119">XLOOKUP(A2119,Data!F:F,Data!C:C)</f>
        <v/>
      </c>
      <c r="E2119" s="19" t="str">
        <f t="array" ref="E2119">XLOOKUP(A2119,Data!F:F,Data!H:H)</f>
        <v>BW</v>
      </c>
      <c r="F2119" s="106" t="str">
        <f>SUMIFS(Data!J:J,Data!F:F,A2119)</f>
        <v>1</v>
      </c>
      <c r="G2119" s="106" t="str">
        <f>SUMIFS(Cast!C:C,CastElements,A2119)</f>
        <v>1</v>
      </c>
      <c r="H2119" s="106" t="str">
        <f t="shared" si="4"/>
        <v>0</v>
      </c>
      <c r="I2119" s="106" t="str">
        <f>SUMIFS(Del!C:C,Del!B:B,A2119)</f>
        <v>0</v>
      </c>
      <c r="J2119" s="106" t="str">
        <f t="shared" si="5"/>
        <v>1</v>
      </c>
      <c r="K2119" s="106" t="str">
        <f t="shared" si="6"/>
        <v>1</v>
      </c>
      <c r="L2119" s="106"/>
      <c r="M2119" s="106" t="str">
        <f>SUMIFS(Ere!C:C,Ere!B:B,A2119)</f>
        <v>0</v>
      </c>
      <c r="N2119" s="106" t="str">
        <f t="shared" si="7"/>
        <v>1</v>
      </c>
      <c r="O2119" s="107" t="str">
        <f t="array" ref="O2119">XLOOKUP(A2119,Data!F:F,Data!O:O)</f>
        <v>  1.89 </v>
      </c>
      <c r="P2119" s="107" t="str">
        <f t="shared" si="8"/>
        <v>  4.73 </v>
      </c>
      <c r="Q2119" s="27"/>
    </row>
    <row r="2120" ht="15.75" customHeight="1">
      <c r="A2120" s="111" t="s">
        <v>2364</v>
      </c>
      <c r="B2120" s="19" t="str">
        <f t="array" ref="B2120">XLOOKUP(A2120,Data!F:F,Data!G:G)</f>
        <v>J2C</v>
      </c>
      <c r="C2120" s="19" t="str">
        <f t="shared" si="3"/>
        <v>J071</v>
      </c>
      <c r="D2120" s="19" t="str">
        <f t="array" ref="D2120">XLOOKUP(A2120,Data!F:F,Data!C:C)</f>
        <v/>
      </c>
      <c r="E2120" s="19" t="str">
        <f t="array" ref="E2120">XLOOKUP(A2120,Data!F:F,Data!H:H)</f>
        <v>BW</v>
      </c>
      <c r="F2120" s="106" t="str">
        <f>SUMIFS(Data!J:J,Data!F:F,A2120)</f>
        <v>1</v>
      </c>
      <c r="G2120" s="106" t="str">
        <f>SUMIFS(Cast!C:C,CastElements,A2120)</f>
        <v>1</v>
      </c>
      <c r="H2120" s="106" t="str">
        <f t="shared" si="4"/>
        <v>0</v>
      </c>
      <c r="I2120" s="106" t="str">
        <f>SUMIFS(Del!C:C,Del!B:B,A2120)</f>
        <v>0</v>
      </c>
      <c r="J2120" s="106" t="str">
        <f t="shared" si="5"/>
        <v>1</v>
      </c>
      <c r="K2120" s="106" t="str">
        <f t="shared" si="6"/>
        <v>1</v>
      </c>
      <c r="L2120" s="106"/>
      <c r="M2120" s="106" t="str">
        <f>SUMIFS(Ere!C:C,Ere!B:B,A2120)</f>
        <v>0</v>
      </c>
      <c r="N2120" s="106" t="str">
        <f t="shared" si="7"/>
        <v>1</v>
      </c>
      <c r="O2120" s="107" t="str">
        <f t="array" ref="O2120">XLOOKUP(A2120,Data!F:F,Data!O:O)</f>
        <v>  1.89 </v>
      </c>
      <c r="P2120" s="107" t="str">
        <f t="shared" si="8"/>
        <v>  4.73 </v>
      </c>
      <c r="Q2120" s="27"/>
    </row>
    <row r="2121" ht="15.75" customHeight="1">
      <c r="A2121" s="111" t="s">
        <v>2365</v>
      </c>
      <c r="B2121" s="19" t="str">
        <f t="array" ref="B2121">XLOOKUP(A2121,Data!F:F,Data!G:G)</f>
        <v>J2C</v>
      </c>
      <c r="C2121" s="19" t="str">
        <f t="shared" si="3"/>
        <v>J071</v>
      </c>
      <c r="D2121" s="19" t="str">
        <f t="array" ref="D2121">XLOOKUP(A2121,Data!F:F,Data!C:C)</f>
        <v/>
      </c>
      <c r="E2121" s="19" t="str">
        <f t="array" ref="E2121">XLOOKUP(A2121,Data!F:F,Data!H:H)</f>
        <v>BW</v>
      </c>
      <c r="F2121" s="106" t="str">
        <f>SUMIFS(Data!J:J,Data!F:F,A2121)</f>
        <v>1</v>
      </c>
      <c r="G2121" s="106" t="str">
        <f>SUMIFS(Cast!C:C,CastElements,A2121)</f>
        <v>1</v>
      </c>
      <c r="H2121" s="106" t="str">
        <f t="shared" si="4"/>
        <v>0</v>
      </c>
      <c r="I2121" s="106" t="str">
        <f>SUMIFS(Del!C:C,Del!B:B,A2121)</f>
        <v>0</v>
      </c>
      <c r="J2121" s="106" t="str">
        <f t="shared" si="5"/>
        <v>1</v>
      </c>
      <c r="K2121" s="106" t="str">
        <f t="shared" si="6"/>
        <v>1</v>
      </c>
      <c r="L2121" s="106"/>
      <c r="M2121" s="106" t="str">
        <f>SUMIFS(Ere!C:C,Ere!B:B,A2121)</f>
        <v>0</v>
      </c>
      <c r="N2121" s="106" t="str">
        <f t="shared" si="7"/>
        <v>1</v>
      </c>
      <c r="O2121" s="107" t="str">
        <f t="array" ref="O2121">XLOOKUP(A2121,Data!F:F,Data!O:O)</f>
        <v>  1.89 </v>
      </c>
      <c r="P2121" s="107" t="str">
        <f t="shared" si="8"/>
        <v>  4.73 </v>
      </c>
      <c r="Q2121" s="27"/>
    </row>
    <row r="2122" ht="15.75" customHeight="1">
      <c r="A2122" s="111" t="s">
        <v>2366</v>
      </c>
      <c r="B2122" s="19" t="str">
        <f t="array" ref="B2122">XLOOKUP(A2122,Data!F:F,Data!G:G)</f>
        <v>J2C</v>
      </c>
      <c r="C2122" s="19" t="str">
        <f t="shared" si="3"/>
        <v>J071</v>
      </c>
      <c r="D2122" s="19" t="str">
        <f t="array" ref="D2122">XLOOKUP(A2122,Data!F:F,Data!C:C)</f>
        <v/>
      </c>
      <c r="E2122" s="19" t="str">
        <f t="array" ref="E2122">XLOOKUP(A2122,Data!F:F,Data!H:H)</f>
        <v>BW</v>
      </c>
      <c r="F2122" s="106" t="str">
        <f>SUMIFS(Data!J:J,Data!F:F,A2122)</f>
        <v>1</v>
      </c>
      <c r="G2122" s="106" t="str">
        <f>SUMIFS(Cast!C:C,CastElements,A2122)</f>
        <v>0</v>
      </c>
      <c r="H2122" s="106" t="str">
        <f t="shared" si="4"/>
        <v>1</v>
      </c>
      <c r="I2122" s="106" t="str">
        <f>SUMIFS(Del!C:C,Del!B:B,A2122)</f>
        <v>0</v>
      </c>
      <c r="J2122" s="106" t="str">
        <f t="shared" si="5"/>
        <v>1</v>
      </c>
      <c r="K2122" s="106" t="str">
        <f t="shared" si="6"/>
        <v>0</v>
      </c>
      <c r="L2122" s="106"/>
      <c r="M2122" s="106" t="str">
        <f>SUMIFS(Ere!C:C,Ere!B:B,A2122)</f>
        <v>0</v>
      </c>
      <c r="N2122" s="106" t="str">
        <f t="shared" si="7"/>
        <v>1</v>
      </c>
      <c r="O2122" s="107" t="str">
        <f t="array" ref="O2122">XLOOKUP(A2122,Data!F:F,Data!O:O)</f>
        <v>  1.61 </v>
      </c>
      <c r="P2122" s="107" t="str">
        <f t="shared" si="8"/>
        <v>  4.03 </v>
      </c>
      <c r="Q2122" s="27"/>
    </row>
    <row r="2123" ht="15.75" customHeight="1">
      <c r="A2123" s="111" t="s">
        <v>2367</v>
      </c>
      <c r="B2123" s="19" t="str">
        <f t="array" ref="B2123">XLOOKUP(A2123,Data!F:F,Data!G:G)</f>
        <v>J2C</v>
      </c>
      <c r="C2123" s="19" t="str">
        <f t="shared" si="3"/>
        <v>J071</v>
      </c>
      <c r="D2123" s="19" t="str">
        <f t="array" ref="D2123">XLOOKUP(A2123,Data!F:F,Data!C:C)</f>
        <v/>
      </c>
      <c r="E2123" s="19" t="str">
        <f t="array" ref="E2123">XLOOKUP(A2123,Data!F:F,Data!H:H)</f>
        <v>BW</v>
      </c>
      <c r="F2123" s="106" t="str">
        <f>SUMIFS(Data!J:J,Data!F:F,A2123)</f>
        <v>1</v>
      </c>
      <c r="G2123" s="106" t="str">
        <f>SUMIFS(Cast!C:C,CastElements,A2123)</f>
        <v>1</v>
      </c>
      <c r="H2123" s="106" t="str">
        <f t="shared" si="4"/>
        <v>0</v>
      </c>
      <c r="I2123" s="106" t="str">
        <f>SUMIFS(Del!C:C,Del!B:B,A2123)</f>
        <v>0</v>
      </c>
      <c r="J2123" s="106" t="str">
        <f t="shared" si="5"/>
        <v>1</v>
      </c>
      <c r="K2123" s="106" t="str">
        <f t="shared" si="6"/>
        <v>1</v>
      </c>
      <c r="L2123" s="106"/>
      <c r="M2123" s="106" t="str">
        <f>SUMIFS(Ere!C:C,Ere!B:B,A2123)</f>
        <v>0</v>
      </c>
      <c r="N2123" s="106" t="str">
        <f t="shared" si="7"/>
        <v>1</v>
      </c>
      <c r="O2123" s="107" t="str">
        <f t="array" ref="O2123">XLOOKUP(A2123,Data!F:F,Data!O:O)</f>
        <v>  1.72 </v>
      </c>
      <c r="P2123" s="107" t="str">
        <f t="shared" si="8"/>
        <v>  4.30 </v>
      </c>
      <c r="Q2123" s="27"/>
    </row>
    <row r="2124" ht="15.75" customHeight="1">
      <c r="A2124" s="111" t="s">
        <v>2368</v>
      </c>
      <c r="B2124" s="19" t="str">
        <f t="array" ref="B2124">XLOOKUP(A2124,Data!F:F,Data!G:G)</f>
        <v>J2C</v>
      </c>
      <c r="C2124" s="19" t="str">
        <f t="shared" si="3"/>
        <v>J071</v>
      </c>
      <c r="D2124" s="19" t="str">
        <f t="array" ref="D2124">XLOOKUP(A2124,Data!F:F,Data!C:C)</f>
        <v/>
      </c>
      <c r="E2124" s="19" t="str">
        <f t="array" ref="E2124">XLOOKUP(A2124,Data!F:F,Data!H:H)</f>
        <v>BW</v>
      </c>
      <c r="F2124" s="106" t="str">
        <f>SUMIFS(Data!J:J,Data!F:F,A2124)</f>
        <v>1</v>
      </c>
      <c r="G2124" s="106" t="str">
        <f>SUMIFS(Cast!C:C,CastElements,A2124)</f>
        <v>0</v>
      </c>
      <c r="H2124" s="106" t="str">
        <f t="shared" si="4"/>
        <v>1</v>
      </c>
      <c r="I2124" s="106" t="str">
        <f>SUMIFS(Del!C:C,Del!B:B,A2124)</f>
        <v>0</v>
      </c>
      <c r="J2124" s="106" t="str">
        <f t="shared" si="5"/>
        <v>1</v>
      </c>
      <c r="K2124" s="106" t="str">
        <f t="shared" si="6"/>
        <v>0</v>
      </c>
      <c r="L2124" s="106"/>
      <c r="M2124" s="106" t="str">
        <f>SUMIFS(Ere!C:C,Ere!B:B,A2124)</f>
        <v>0</v>
      </c>
      <c r="N2124" s="106" t="str">
        <f t="shared" si="7"/>
        <v>1</v>
      </c>
      <c r="O2124" s="107" t="str">
        <f t="array" ref="O2124">XLOOKUP(A2124,Data!F:F,Data!O:O)</f>
        <v>  0.32 </v>
      </c>
      <c r="P2124" s="107" t="str">
        <f t="shared" si="8"/>
        <v>  0.80 </v>
      </c>
      <c r="Q2124" s="27"/>
    </row>
    <row r="2125" ht="15.75" customHeight="1">
      <c r="A2125" s="111" t="s">
        <v>2369</v>
      </c>
      <c r="B2125" s="19" t="str">
        <f t="array" ref="B2125">XLOOKUP(A2125,Data!F:F,Data!G:G)</f>
        <v>J2C</v>
      </c>
      <c r="C2125" s="19" t="str">
        <f t="shared" si="3"/>
        <v>J071</v>
      </c>
      <c r="D2125" s="19" t="str">
        <f t="array" ref="D2125">XLOOKUP(A2125,Data!F:F,Data!C:C)</f>
        <v/>
      </c>
      <c r="E2125" s="19" t="str">
        <f t="array" ref="E2125">XLOOKUP(A2125,Data!F:F,Data!H:H)</f>
        <v>CF</v>
      </c>
      <c r="F2125" s="106" t="str">
        <f>SUMIFS(Data!J:J,Data!F:F,A2125)</f>
        <v>1</v>
      </c>
      <c r="G2125" s="106" t="str">
        <f>SUMIFS(Cast!C:C,CastElements,A2125)</f>
        <v>0</v>
      </c>
      <c r="H2125" s="106" t="str">
        <f t="shared" si="4"/>
        <v>1</v>
      </c>
      <c r="I2125" s="106" t="str">
        <f>SUMIFS(Del!C:C,Del!B:B,A2125)</f>
        <v>0</v>
      </c>
      <c r="J2125" s="106" t="str">
        <f t="shared" si="5"/>
        <v>1</v>
      </c>
      <c r="K2125" s="106" t="str">
        <f t="shared" si="6"/>
        <v>0</v>
      </c>
      <c r="L2125" s="106"/>
      <c r="M2125" s="106" t="str">
        <f>SUMIFS(Ere!C:C,Ere!B:B,A2125)</f>
        <v>0</v>
      </c>
      <c r="N2125" s="106" t="str">
        <f t="shared" si="7"/>
        <v>1</v>
      </c>
      <c r="O2125" s="107" t="str">
        <f t="array" ref="O2125">XLOOKUP(A2125,Data!F:F,Data!O:O)</f>
        <v>  0.42 </v>
      </c>
      <c r="P2125" s="107" t="str">
        <f t="shared" si="8"/>
        <v>  1.05 </v>
      </c>
      <c r="Q2125" s="27"/>
    </row>
    <row r="2126" ht="15.75" customHeight="1">
      <c r="A2126" s="111" t="s">
        <v>2370</v>
      </c>
      <c r="B2126" s="19" t="str">
        <f t="array" ref="B2126">XLOOKUP(A2126,Data!F:F,Data!G:G)</f>
        <v>J2C</v>
      </c>
      <c r="C2126" s="19" t="str">
        <f t="shared" si="3"/>
        <v>J072</v>
      </c>
      <c r="D2126" s="19" t="str">
        <f t="array" ref="D2126">XLOOKUP(A2126,Data!F:F,Data!C:C)</f>
        <v>EXT</v>
      </c>
      <c r="E2126" s="19" t="str">
        <f t="array" ref="E2126">XLOOKUP(A2126,Data!F:F,Data!H:H)</f>
        <v>BW</v>
      </c>
      <c r="F2126" s="106" t="str">
        <f>SUMIFS(Data!J:J,Data!F:F,A2126)</f>
        <v>1</v>
      </c>
      <c r="G2126" s="106" t="str">
        <f>SUMIFS(Cast!C:C,CastElements,A2126)</f>
        <v>1</v>
      </c>
      <c r="H2126" s="106" t="str">
        <f t="shared" si="4"/>
        <v>0</v>
      </c>
      <c r="I2126" s="106" t="str">
        <f>SUMIFS(Del!C:C,Del!B:B,A2126)</f>
        <v>0</v>
      </c>
      <c r="J2126" s="106" t="str">
        <f t="shared" si="5"/>
        <v>1</v>
      </c>
      <c r="K2126" s="106" t="str">
        <f t="shared" si="6"/>
        <v>1</v>
      </c>
      <c r="L2126" s="106"/>
      <c r="M2126" s="106" t="str">
        <f>SUMIFS(Ere!C:C,Ere!B:B,A2126)</f>
        <v>0</v>
      </c>
      <c r="N2126" s="106" t="str">
        <f t="shared" si="7"/>
        <v>1</v>
      </c>
      <c r="O2126" s="107" t="str">
        <f t="array" ref="O2126">XLOOKUP(A2126,Data!F:F,Data!O:O)</f>
        <v>  0.88 </v>
      </c>
      <c r="P2126" s="107" t="str">
        <f t="shared" si="8"/>
        <v>  2.20 </v>
      </c>
      <c r="Q2126" s="27"/>
    </row>
    <row r="2127" ht="15.75" customHeight="1">
      <c r="A2127" s="111" t="s">
        <v>2371</v>
      </c>
      <c r="B2127" s="19" t="str">
        <f t="array" ref="B2127">XLOOKUP(A2127,Data!F:F,Data!G:G)</f>
        <v>J2C</v>
      </c>
      <c r="C2127" s="19" t="str">
        <f t="shared" si="3"/>
        <v>J072</v>
      </c>
      <c r="D2127" s="19" t="str">
        <f t="array" ref="D2127">XLOOKUP(A2127,Data!F:F,Data!C:C)</f>
        <v>EXT</v>
      </c>
      <c r="E2127" s="19" t="str">
        <f t="array" ref="E2127">XLOOKUP(A2127,Data!F:F,Data!H:H)</f>
        <v>BW</v>
      </c>
      <c r="F2127" s="106" t="str">
        <f>SUMIFS(Data!J:J,Data!F:F,A2127)</f>
        <v>1</v>
      </c>
      <c r="G2127" s="106" t="str">
        <f>SUMIFS(Cast!C:C,CastElements,A2127)</f>
        <v>1</v>
      </c>
      <c r="H2127" s="106" t="str">
        <f t="shared" si="4"/>
        <v>0</v>
      </c>
      <c r="I2127" s="106" t="str">
        <f>SUMIFS(Del!C:C,Del!B:B,A2127)</f>
        <v>0</v>
      </c>
      <c r="J2127" s="106" t="str">
        <f t="shared" si="5"/>
        <v>1</v>
      </c>
      <c r="K2127" s="106" t="str">
        <f t="shared" si="6"/>
        <v>1</v>
      </c>
      <c r="L2127" s="106"/>
      <c r="M2127" s="106" t="str">
        <f>SUMIFS(Ere!C:C,Ere!B:B,A2127)</f>
        <v>0</v>
      </c>
      <c r="N2127" s="106" t="str">
        <f t="shared" si="7"/>
        <v>1</v>
      </c>
      <c r="O2127" s="107" t="str">
        <f t="array" ref="O2127">XLOOKUP(A2127,Data!F:F,Data!O:O)</f>
        <v>  0.88 </v>
      </c>
      <c r="P2127" s="107" t="str">
        <f t="shared" si="8"/>
        <v>  2.20 </v>
      </c>
      <c r="Q2127" s="27"/>
    </row>
    <row r="2128" ht="15.75" customHeight="1">
      <c r="A2128" s="111" t="s">
        <v>2372</v>
      </c>
      <c r="B2128" s="19" t="str">
        <f t="array" ref="B2128">XLOOKUP(A2128,Data!F:F,Data!G:G)</f>
        <v>J2C</v>
      </c>
      <c r="C2128" s="19" t="str">
        <f t="shared" si="3"/>
        <v>J072</v>
      </c>
      <c r="D2128" s="19" t="str">
        <f t="array" ref="D2128">XLOOKUP(A2128,Data!F:F,Data!C:C)</f>
        <v/>
      </c>
      <c r="E2128" s="19" t="str">
        <f t="array" ref="E2128">XLOOKUP(A2128,Data!F:F,Data!H:H)</f>
        <v>BW</v>
      </c>
      <c r="F2128" s="106" t="str">
        <f>SUMIFS(Data!J:J,Data!F:F,A2128)</f>
        <v>1</v>
      </c>
      <c r="G2128" s="106" t="str">
        <f>SUMIFS(Cast!C:C,CastElements,A2128)</f>
        <v>1</v>
      </c>
      <c r="H2128" s="106" t="str">
        <f t="shared" si="4"/>
        <v>0</v>
      </c>
      <c r="I2128" s="106" t="str">
        <f>SUMIFS(Del!C:C,Del!B:B,A2128)</f>
        <v>0</v>
      </c>
      <c r="J2128" s="106" t="str">
        <f t="shared" si="5"/>
        <v>1</v>
      </c>
      <c r="K2128" s="106" t="str">
        <f t="shared" si="6"/>
        <v>1</v>
      </c>
      <c r="L2128" s="106"/>
      <c r="M2128" s="106" t="str">
        <f>SUMIFS(Ere!C:C,Ere!B:B,A2128)</f>
        <v>0</v>
      </c>
      <c r="N2128" s="106" t="str">
        <f t="shared" si="7"/>
        <v>1</v>
      </c>
      <c r="O2128" s="107" t="str">
        <f t="array" ref="O2128">XLOOKUP(A2128,Data!F:F,Data!O:O)</f>
        <v>  1.51 </v>
      </c>
      <c r="P2128" s="107" t="str">
        <f t="shared" si="8"/>
        <v>  3.78 </v>
      </c>
      <c r="Q2128" s="27"/>
    </row>
    <row r="2129" ht="15.75" customHeight="1">
      <c r="A2129" s="111" t="s">
        <v>2373</v>
      </c>
      <c r="B2129" s="19" t="str">
        <f t="array" ref="B2129">XLOOKUP(A2129,Data!F:F,Data!G:G)</f>
        <v>J2C</v>
      </c>
      <c r="C2129" s="19" t="str">
        <f t="shared" si="3"/>
        <v>J072</v>
      </c>
      <c r="D2129" s="19" t="str">
        <f t="array" ref="D2129">XLOOKUP(A2129,Data!F:F,Data!C:C)</f>
        <v/>
      </c>
      <c r="E2129" s="19" t="str">
        <f t="array" ref="E2129">XLOOKUP(A2129,Data!F:F,Data!H:H)</f>
        <v>BW</v>
      </c>
      <c r="F2129" s="106" t="str">
        <f>SUMIFS(Data!J:J,Data!F:F,A2129)</f>
        <v>1</v>
      </c>
      <c r="G2129" s="106" t="str">
        <f>SUMIFS(Cast!C:C,CastElements,A2129)</f>
        <v>1</v>
      </c>
      <c r="H2129" s="106" t="str">
        <f t="shared" si="4"/>
        <v>0</v>
      </c>
      <c r="I2129" s="106" t="str">
        <f>SUMIFS(Del!C:C,Del!B:B,A2129)</f>
        <v>0</v>
      </c>
      <c r="J2129" s="106" t="str">
        <f t="shared" si="5"/>
        <v>1</v>
      </c>
      <c r="K2129" s="106" t="str">
        <f t="shared" si="6"/>
        <v>1</v>
      </c>
      <c r="L2129" s="106"/>
      <c r="M2129" s="106" t="str">
        <f>SUMIFS(Ere!C:C,Ere!B:B,A2129)</f>
        <v>0</v>
      </c>
      <c r="N2129" s="106" t="str">
        <f t="shared" si="7"/>
        <v>1</v>
      </c>
      <c r="O2129" s="107" t="str">
        <f t="array" ref="O2129">XLOOKUP(A2129,Data!F:F,Data!O:O)</f>
        <v>  1.50 </v>
      </c>
      <c r="P2129" s="107" t="str">
        <f t="shared" si="8"/>
        <v>  3.75 </v>
      </c>
      <c r="Q2129" s="27"/>
    </row>
    <row r="2130" ht="15.75" customHeight="1">
      <c r="A2130" s="111" t="s">
        <v>2374</v>
      </c>
      <c r="B2130" s="19" t="str">
        <f t="array" ref="B2130">XLOOKUP(A2130,Data!F:F,Data!G:G)</f>
        <v>J2C</v>
      </c>
      <c r="C2130" s="19" t="str">
        <f t="shared" si="3"/>
        <v>J072</v>
      </c>
      <c r="D2130" s="19" t="str">
        <f t="array" ref="D2130">XLOOKUP(A2130,Data!F:F,Data!C:C)</f>
        <v/>
      </c>
      <c r="E2130" s="19" t="str">
        <f t="array" ref="E2130">XLOOKUP(A2130,Data!F:F,Data!H:H)</f>
        <v>BW</v>
      </c>
      <c r="F2130" s="106" t="str">
        <f>SUMIFS(Data!J:J,Data!F:F,A2130)</f>
        <v>1</v>
      </c>
      <c r="G2130" s="106" t="str">
        <f>SUMIFS(Cast!C:C,CastElements,A2130)</f>
        <v>1</v>
      </c>
      <c r="H2130" s="106" t="str">
        <f t="shared" si="4"/>
        <v>0</v>
      </c>
      <c r="I2130" s="106" t="str">
        <f>SUMIFS(Del!C:C,Del!B:B,A2130)</f>
        <v>0</v>
      </c>
      <c r="J2130" s="106" t="str">
        <f t="shared" si="5"/>
        <v>1</v>
      </c>
      <c r="K2130" s="106" t="str">
        <f t="shared" si="6"/>
        <v>1</v>
      </c>
      <c r="L2130" s="106"/>
      <c r="M2130" s="106" t="str">
        <f>SUMIFS(Ere!C:C,Ere!B:B,A2130)</f>
        <v>0</v>
      </c>
      <c r="N2130" s="106" t="str">
        <f t="shared" si="7"/>
        <v>1</v>
      </c>
      <c r="O2130" s="107" t="str">
        <f t="array" ref="O2130">XLOOKUP(A2130,Data!F:F,Data!O:O)</f>
        <v>  1.50 </v>
      </c>
      <c r="P2130" s="107" t="str">
        <f t="shared" si="8"/>
        <v>  3.75 </v>
      </c>
      <c r="Q2130" s="27"/>
    </row>
    <row r="2131" ht="15.75" customHeight="1">
      <c r="A2131" s="111" t="s">
        <v>2375</v>
      </c>
      <c r="B2131" s="19" t="str">
        <f t="array" ref="B2131">XLOOKUP(A2131,Data!F:F,Data!G:G)</f>
        <v>J2C</v>
      </c>
      <c r="C2131" s="19" t="str">
        <f t="shared" si="3"/>
        <v>J072</v>
      </c>
      <c r="D2131" s="19" t="str">
        <f t="array" ref="D2131">XLOOKUP(A2131,Data!F:F,Data!C:C)</f>
        <v/>
      </c>
      <c r="E2131" s="19" t="str">
        <f t="array" ref="E2131">XLOOKUP(A2131,Data!F:F,Data!H:H)</f>
        <v>BW</v>
      </c>
      <c r="F2131" s="106" t="str">
        <f>SUMIFS(Data!J:J,Data!F:F,A2131)</f>
        <v>1</v>
      </c>
      <c r="G2131" s="106" t="str">
        <f>SUMIFS(Cast!C:C,CastElements,A2131)</f>
        <v>1</v>
      </c>
      <c r="H2131" s="106" t="str">
        <f t="shared" si="4"/>
        <v>0</v>
      </c>
      <c r="I2131" s="106" t="str">
        <f>SUMIFS(Del!C:C,Del!B:B,A2131)</f>
        <v>0</v>
      </c>
      <c r="J2131" s="106" t="str">
        <f t="shared" si="5"/>
        <v>1</v>
      </c>
      <c r="K2131" s="106" t="str">
        <f t="shared" si="6"/>
        <v>1</v>
      </c>
      <c r="L2131" s="106"/>
      <c r="M2131" s="106" t="str">
        <f>SUMIFS(Ere!C:C,Ere!B:B,A2131)</f>
        <v>0</v>
      </c>
      <c r="N2131" s="106" t="str">
        <f t="shared" si="7"/>
        <v>1</v>
      </c>
      <c r="O2131" s="107" t="str">
        <f t="array" ref="O2131">XLOOKUP(A2131,Data!F:F,Data!O:O)</f>
        <v>  1.50 </v>
      </c>
      <c r="P2131" s="107" t="str">
        <f t="shared" si="8"/>
        <v>  3.75 </v>
      </c>
      <c r="Q2131" s="27"/>
    </row>
    <row r="2132" ht="15.75" customHeight="1">
      <c r="A2132" s="111" t="s">
        <v>2376</v>
      </c>
      <c r="B2132" s="19" t="str">
        <f t="array" ref="B2132">XLOOKUP(A2132,Data!F:F,Data!G:G)</f>
        <v>J2C</v>
      </c>
      <c r="C2132" s="19" t="str">
        <f t="shared" si="3"/>
        <v>J072</v>
      </c>
      <c r="D2132" s="19" t="str">
        <f t="array" ref="D2132">XLOOKUP(A2132,Data!F:F,Data!C:C)</f>
        <v/>
      </c>
      <c r="E2132" s="19" t="str">
        <f t="array" ref="E2132">XLOOKUP(A2132,Data!F:F,Data!H:H)</f>
        <v>BW</v>
      </c>
      <c r="F2132" s="106" t="str">
        <f>SUMIFS(Data!J:J,Data!F:F,A2132)</f>
        <v>1</v>
      </c>
      <c r="G2132" s="106" t="str">
        <f>SUMIFS(Cast!C:C,CastElements,A2132)</f>
        <v>1</v>
      </c>
      <c r="H2132" s="106" t="str">
        <f t="shared" si="4"/>
        <v>0</v>
      </c>
      <c r="I2132" s="106" t="str">
        <f>SUMIFS(Del!C:C,Del!B:B,A2132)</f>
        <v>0</v>
      </c>
      <c r="J2132" s="106" t="str">
        <f t="shared" si="5"/>
        <v>1</v>
      </c>
      <c r="K2132" s="106" t="str">
        <f t="shared" si="6"/>
        <v>1</v>
      </c>
      <c r="L2132" s="106"/>
      <c r="M2132" s="106" t="str">
        <f>SUMIFS(Ere!C:C,Ere!B:B,A2132)</f>
        <v>0</v>
      </c>
      <c r="N2132" s="106" t="str">
        <f t="shared" si="7"/>
        <v>1</v>
      </c>
      <c r="O2132" s="107" t="str">
        <f t="array" ref="O2132">XLOOKUP(A2132,Data!F:F,Data!O:O)</f>
        <v>  1.89 </v>
      </c>
      <c r="P2132" s="107" t="str">
        <f t="shared" si="8"/>
        <v>  4.73 </v>
      </c>
      <c r="Q2132" s="27"/>
    </row>
    <row r="2133" ht="15.75" customHeight="1">
      <c r="A2133" s="111" t="s">
        <v>2377</v>
      </c>
      <c r="B2133" s="19" t="str">
        <f t="array" ref="B2133">XLOOKUP(A2133,Data!F:F,Data!G:G)</f>
        <v>J2C</v>
      </c>
      <c r="C2133" s="19" t="str">
        <f t="shared" si="3"/>
        <v>J072</v>
      </c>
      <c r="D2133" s="19" t="str">
        <f t="array" ref="D2133">XLOOKUP(A2133,Data!F:F,Data!C:C)</f>
        <v/>
      </c>
      <c r="E2133" s="19" t="str">
        <f t="array" ref="E2133">XLOOKUP(A2133,Data!F:F,Data!H:H)</f>
        <v>BW</v>
      </c>
      <c r="F2133" s="106" t="str">
        <f>SUMIFS(Data!J:J,Data!F:F,A2133)</f>
        <v>1</v>
      </c>
      <c r="G2133" s="106" t="str">
        <f>SUMIFS(Cast!C:C,CastElements,A2133)</f>
        <v>1</v>
      </c>
      <c r="H2133" s="106" t="str">
        <f t="shared" si="4"/>
        <v>0</v>
      </c>
      <c r="I2133" s="106" t="str">
        <f>SUMIFS(Del!C:C,Del!B:B,A2133)</f>
        <v>0</v>
      </c>
      <c r="J2133" s="106" t="str">
        <f t="shared" si="5"/>
        <v>1</v>
      </c>
      <c r="K2133" s="106" t="str">
        <f t="shared" si="6"/>
        <v>1</v>
      </c>
      <c r="L2133" s="106"/>
      <c r="M2133" s="106" t="str">
        <f>SUMIFS(Ere!C:C,Ere!B:B,A2133)</f>
        <v>0</v>
      </c>
      <c r="N2133" s="106" t="str">
        <f t="shared" si="7"/>
        <v>1</v>
      </c>
      <c r="O2133" s="107" t="str">
        <f t="array" ref="O2133">XLOOKUP(A2133,Data!F:F,Data!O:O)</f>
        <v>  1.89 </v>
      </c>
      <c r="P2133" s="107" t="str">
        <f t="shared" si="8"/>
        <v>  4.73 </v>
      </c>
      <c r="Q2133" s="27"/>
    </row>
    <row r="2134" ht="15.75" customHeight="1">
      <c r="A2134" s="111" t="s">
        <v>2378</v>
      </c>
      <c r="B2134" s="19" t="str">
        <f t="array" ref="B2134">XLOOKUP(A2134,Data!F:F,Data!G:G)</f>
        <v>J2C</v>
      </c>
      <c r="C2134" s="19" t="str">
        <f t="shared" si="3"/>
        <v>J072</v>
      </c>
      <c r="D2134" s="19" t="str">
        <f t="array" ref="D2134">XLOOKUP(A2134,Data!F:F,Data!C:C)</f>
        <v/>
      </c>
      <c r="E2134" s="19" t="str">
        <f t="array" ref="E2134">XLOOKUP(A2134,Data!F:F,Data!H:H)</f>
        <v>BW</v>
      </c>
      <c r="F2134" s="106" t="str">
        <f>SUMIFS(Data!J:J,Data!F:F,A2134)</f>
        <v>1</v>
      </c>
      <c r="G2134" s="106" t="str">
        <f>SUMIFS(Cast!C:C,CastElements,A2134)</f>
        <v>1</v>
      </c>
      <c r="H2134" s="106" t="str">
        <f t="shared" si="4"/>
        <v>0</v>
      </c>
      <c r="I2134" s="106" t="str">
        <f>SUMIFS(Del!C:C,Del!B:B,A2134)</f>
        <v>0</v>
      </c>
      <c r="J2134" s="106" t="str">
        <f t="shared" si="5"/>
        <v>1</v>
      </c>
      <c r="K2134" s="106" t="str">
        <f t="shared" si="6"/>
        <v>1</v>
      </c>
      <c r="L2134" s="106"/>
      <c r="M2134" s="106" t="str">
        <f>SUMIFS(Ere!C:C,Ere!B:B,A2134)</f>
        <v>0</v>
      </c>
      <c r="N2134" s="106" t="str">
        <f t="shared" si="7"/>
        <v>1</v>
      </c>
      <c r="O2134" s="107" t="str">
        <f t="array" ref="O2134">XLOOKUP(A2134,Data!F:F,Data!O:O)</f>
        <v>  1.89 </v>
      </c>
      <c r="P2134" s="107" t="str">
        <f t="shared" si="8"/>
        <v>  4.73 </v>
      </c>
      <c r="Q2134" s="27"/>
    </row>
    <row r="2135" ht="15.75" customHeight="1">
      <c r="A2135" s="111" t="s">
        <v>2379</v>
      </c>
      <c r="B2135" s="19" t="str">
        <f t="array" ref="B2135">XLOOKUP(A2135,Data!F:F,Data!G:G)</f>
        <v>J2C</v>
      </c>
      <c r="C2135" s="19" t="str">
        <f t="shared" si="3"/>
        <v>J072</v>
      </c>
      <c r="D2135" s="19" t="str">
        <f t="array" ref="D2135">XLOOKUP(A2135,Data!F:F,Data!C:C)</f>
        <v/>
      </c>
      <c r="E2135" s="19" t="str">
        <f t="array" ref="E2135">XLOOKUP(A2135,Data!F:F,Data!H:H)</f>
        <v>BW</v>
      </c>
      <c r="F2135" s="106" t="str">
        <f>SUMIFS(Data!J:J,Data!F:F,A2135)</f>
        <v>1</v>
      </c>
      <c r="G2135" s="106" t="str">
        <f>SUMIFS(Cast!C:C,CastElements,A2135)</f>
        <v>1</v>
      </c>
      <c r="H2135" s="106" t="str">
        <f t="shared" si="4"/>
        <v>0</v>
      </c>
      <c r="I2135" s="106" t="str">
        <f>SUMIFS(Del!C:C,Del!B:B,A2135)</f>
        <v>0</v>
      </c>
      <c r="J2135" s="106" t="str">
        <f t="shared" si="5"/>
        <v>1</v>
      </c>
      <c r="K2135" s="106" t="str">
        <f t="shared" si="6"/>
        <v>1</v>
      </c>
      <c r="L2135" s="106"/>
      <c r="M2135" s="106" t="str">
        <f>SUMIFS(Ere!C:C,Ere!B:B,A2135)</f>
        <v>0</v>
      </c>
      <c r="N2135" s="106" t="str">
        <f t="shared" si="7"/>
        <v>1</v>
      </c>
      <c r="O2135" s="107" t="str">
        <f t="array" ref="O2135">XLOOKUP(A2135,Data!F:F,Data!O:O)</f>
        <v>  1.61 </v>
      </c>
      <c r="P2135" s="107" t="str">
        <f t="shared" si="8"/>
        <v>  4.03 </v>
      </c>
      <c r="Q2135" s="27"/>
    </row>
    <row r="2136" ht="15.75" customHeight="1">
      <c r="A2136" s="111" t="s">
        <v>2380</v>
      </c>
      <c r="B2136" s="19" t="str">
        <f t="array" ref="B2136">XLOOKUP(A2136,Data!F:F,Data!G:G)</f>
        <v>J2C</v>
      </c>
      <c r="C2136" s="19" t="str">
        <f t="shared" si="3"/>
        <v>J072</v>
      </c>
      <c r="D2136" s="19" t="str">
        <f t="array" ref="D2136">XLOOKUP(A2136,Data!F:F,Data!C:C)</f>
        <v/>
      </c>
      <c r="E2136" s="19" t="str">
        <f t="array" ref="E2136">XLOOKUP(A2136,Data!F:F,Data!H:H)</f>
        <v>BW</v>
      </c>
      <c r="F2136" s="106" t="str">
        <f>SUMIFS(Data!J:J,Data!F:F,A2136)</f>
        <v>1</v>
      </c>
      <c r="G2136" s="106" t="str">
        <f>SUMIFS(Cast!C:C,CastElements,A2136)</f>
        <v>1</v>
      </c>
      <c r="H2136" s="106" t="str">
        <f t="shared" si="4"/>
        <v>0</v>
      </c>
      <c r="I2136" s="106" t="str">
        <f>SUMIFS(Del!C:C,Del!B:B,A2136)</f>
        <v>0</v>
      </c>
      <c r="J2136" s="106" t="str">
        <f t="shared" si="5"/>
        <v>1</v>
      </c>
      <c r="K2136" s="106" t="str">
        <f t="shared" si="6"/>
        <v>1</v>
      </c>
      <c r="L2136" s="106"/>
      <c r="M2136" s="106" t="str">
        <f>SUMIFS(Ere!C:C,Ere!B:B,A2136)</f>
        <v>0</v>
      </c>
      <c r="N2136" s="106" t="str">
        <f t="shared" si="7"/>
        <v>1</v>
      </c>
      <c r="O2136" s="107" t="str">
        <f t="array" ref="O2136">XLOOKUP(A2136,Data!F:F,Data!O:O)</f>
        <v>  1.91 </v>
      </c>
      <c r="P2136" s="107" t="str">
        <f t="shared" si="8"/>
        <v>  4.78 </v>
      </c>
      <c r="Q2136" s="27"/>
    </row>
    <row r="2137" ht="15.75" customHeight="1">
      <c r="A2137" s="111" t="s">
        <v>2381</v>
      </c>
      <c r="B2137" s="19" t="str">
        <f t="array" ref="B2137">XLOOKUP(A2137,Data!F:F,Data!G:G)</f>
        <v>J2C</v>
      </c>
      <c r="C2137" s="19" t="str">
        <f t="shared" si="3"/>
        <v>J072</v>
      </c>
      <c r="D2137" s="19" t="str">
        <f t="array" ref="D2137">XLOOKUP(A2137,Data!F:F,Data!C:C)</f>
        <v>EXT</v>
      </c>
      <c r="E2137" s="19" t="str">
        <f t="array" ref="E2137">XLOOKUP(A2137,Data!F:F,Data!H:H)</f>
        <v>BW</v>
      </c>
      <c r="F2137" s="106" t="str">
        <f>SUMIFS(Data!J:J,Data!F:F,A2137)</f>
        <v>1</v>
      </c>
      <c r="G2137" s="106" t="str">
        <f>SUMIFS(Cast!C:C,CastElements,A2137)</f>
        <v>0</v>
      </c>
      <c r="H2137" s="106" t="str">
        <f t="shared" si="4"/>
        <v>1</v>
      </c>
      <c r="I2137" s="106" t="str">
        <f>SUMIFS(Del!C:C,Del!B:B,A2137)</f>
        <v>0</v>
      </c>
      <c r="J2137" s="106" t="str">
        <f t="shared" si="5"/>
        <v>1</v>
      </c>
      <c r="K2137" s="106" t="str">
        <f t="shared" si="6"/>
        <v>0</v>
      </c>
      <c r="L2137" s="106"/>
      <c r="M2137" s="106" t="str">
        <f>SUMIFS(Ere!C:C,Ere!B:B,A2137)</f>
        <v>0</v>
      </c>
      <c r="N2137" s="106" t="str">
        <f t="shared" si="7"/>
        <v>1</v>
      </c>
      <c r="O2137" s="107" t="str">
        <f t="array" ref="O2137">XLOOKUP(A2137,Data!F:F,Data!O:O)</f>
        <v>  1.03 </v>
      </c>
      <c r="P2137" s="107" t="str">
        <f t="shared" si="8"/>
        <v>  2.58 </v>
      </c>
      <c r="Q2137" s="27"/>
    </row>
    <row r="2138" ht="15.75" customHeight="1">
      <c r="A2138" s="111" t="s">
        <v>2382</v>
      </c>
      <c r="B2138" s="19" t="str">
        <f t="array" ref="B2138">XLOOKUP(A2138,Data!F:F,Data!G:G)</f>
        <v>J2C</v>
      </c>
      <c r="C2138" s="19" t="str">
        <f t="shared" si="3"/>
        <v>J072</v>
      </c>
      <c r="D2138" s="19" t="str">
        <f t="array" ref="D2138">XLOOKUP(A2138,Data!F:F,Data!C:C)</f>
        <v>EXT</v>
      </c>
      <c r="E2138" s="19" t="str">
        <f t="array" ref="E2138">XLOOKUP(A2138,Data!F:F,Data!H:H)</f>
        <v>BW</v>
      </c>
      <c r="F2138" s="106" t="str">
        <f>SUMIFS(Data!J:J,Data!F:F,A2138)</f>
        <v>1</v>
      </c>
      <c r="G2138" s="106" t="str">
        <f>SUMIFS(Cast!C:C,CastElements,A2138)</f>
        <v>0</v>
      </c>
      <c r="H2138" s="106" t="str">
        <f t="shared" si="4"/>
        <v>1</v>
      </c>
      <c r="I2138" s="106" t="str">
        <f>SUMIFS(Del!C:C,Del!B:B,A2138)</f>
        <v>0</v>
      </c>
      <c r="J2138" s="106" t="str">
        <f t="shared" si="5"/>
        <v>1</v>
      </c>
      <c r="K2138" s="106" t="str">
        <f t="shared" si="6"/>
        <v>0</v>
      </c>
      <c r="L2138" s="106"/>
      <c r="M2138" s="106" t="str">
        <f>SUMIFS(Ere!C:C,Ere!B:B,A2138)</f>
        <v>0</v>
      </c>
      <c r="N2138" s="106" t="str">
        <f t="shared" si="7"/>
        <v>1</v>
      </c>
      <c r="O2138" s="107" t="str">
        <f t="array" ref="O2138">XLOOKUP(A2138,Data!F:F,Data!O:O)</f>
        <v>  0.79 </v>
      </c>
      <c r="P2138" s="107" t="str">
        <f t="shared" si="8"/>
        <v>  1.98 </v>
      </c>
      <c r="Q2138" s="27"/>
    </row>
    <row r="2139" ht="15.75" customHeight="1">
      <c r="A2139" s="111" t="s">
        <v>2383</v>
      </c>
      <c r="B2139" s="19" t="str">
        <f t="array" ref="B2139">XLOOKUP(A2139,Data!F:F,Data!G:G)</f>
        <v>J2C</v>
      </c>
      <c r="C2139" s="19" t="str">
        <f t="shared" si="3"/>
        <v>J072</v>
      </c>
      <c r="D2139" s="19" t="str">
        <f t="array" ref="D2139">XLOOKUP(A2139,Data!F:F,Data!C:C)</f>
        <v/>
      </c>
      <c r="E2139" s="19" t="str">
        <f t="array" ref="E2139">XLOOKUP(A2139,Data!F:F,Data!H:H)</f>
        <v>BW</v>
      </c>
      <c r="F2139" s="106" t="str">
        <f>SUMIFS(Data!J:J,Data!F:F,A2139)</f>
        <v>1</v>
      </c>
      <c r="G2139" s="106" t="str">
        <f>SUMIFS(Cast!C:C,CastElements,A2139)</f>
        <v>1</v>
      </c>
      <c r="H2139" s="106" t="str">
        <f t="shared" si="4"/>
        <v>0</v>
      </c>
      <c r="I2139" s="106" t="str">
        <f>SUMIFS(Del!C:C,Del!B:B,A2139)</f>
        <v>0</v>
      </c>
      <c r="J2139" s="106" t="str">
        <f t="shared" si="5"/>
        <v>1</v>
      </c>
      <c r="K2139" s="106" t="str">
        <f t="shared" si="6"/>
        <v>1</v>
      </c>
      <c r="L2139" s="106"/>
      <c r="M2139" s="106" t="str">
        <f>SUMIFS(Ere!C:C,Ere!B:B,A2139)</f>
        <v>0</v>
      </c>
      <c r="N2139" s="106" t="str">
        <f t="shared" si="7"/>
        <v>1</v>
      </c>
      <c r="O2139" s="107" t="str">
        <f t="array" ref="O2139">XLOOKUP(A2139,Data!F:F,Data!O:O)</f>
        <v>  1.21 </v>
      </c>
      <c r="P2139" s="107" t="str">
        <f t="shared" si="8"/>
        <v>  3.01 </v>
      </c>
      <c r="Q2139" s="27"/>
    </row>
    <row r="2140" ht="15.75" customHeight="1">
      <c r="A2140" s="111" t="s">
        <v>2384</v>
      </c>
      <c r="B2140" s="19" t="str">
        <f t="array" ref="B2140">XLOOKUP(A2140,Data!F:F,Data!G:G)</f>
        <v>J2C</v>
      </c>
      <c r="C2140" s="19" t="str">
        <f t="shared" si="3"/>
        <v>J072</v>
      </c>
      <c r="D2140" s="19" t="str">
        <f t="array" ref="D2140">XLOOKUP(A2140,Data!F:F,Data!C:C)</f>
        <v/>
      </c>
      <c r="E2140" s="19" t="str">
        <f t="array" ref="E2140">XLOOKUP(A2140,Data!F:F,Data!H:H)</f>
        <v>BW</v>
      </c>
      <c r="F2140" s="106" t="str">
        <f>SUMIFS(Data!J:J,Data!F:F,A2140)</f>
        <v>1</v>
      </c>
      <c r="G2140" s="106" t="str">
        <f>SUMIFS(Cast!C:C,CastElements,A2140)</f>
        <v>1</v>
      </c>
      <c r="H2140" s="106" t="str">
        <f t="shared" si="4"/>
        <v>0</v>
      </c>
      <c r="I2140" s="106" t="str">
        <f>SUMIFS(Del!C:C,Del!B:B,A2140)</f>
        <v>0</v>
      </c>
      <c r="J2140" s="106" t="str">
        <f t="shared" si="5"/>
        <v>1</v>
      </c>
      <c r="K2140" s="106" t="str">
        <f t="shared" si="6"/>
        <v>1</v>
      </c>
      <c r="L2140" s="106"/>
      <c r="M2140" s="106" t="str">
        <f>SUMIFS(Ere!C:C,Ere!B:B,A2140)</f>
        <v>0</v>
      </c>
      <c r="N2140" s="106" t="str">
        <f t="shared" si="7"/>
        <v>1</v>
      </c>
      <c r="O2140" s="107" t="str">
        <f t="array" ref="O2140">XLOOKUP(A2140,Data!F:F,Data!O:O)</f>
        <v>  1.71 </v>
      </c>
      <c r="P2140" s="107" t="str">
        <f t="shared" si="8"/>
        <v>  4.28 </v>
      </c>
      <c r="Q2140" s="27"/>
    </row>
    <row r="2141" ht="15.75" customHeight="1">
      <c r="A2141" s="111" t="s">
        <v>2385</v>
      </c>
      <c r="B2141" s="19" t="str">
        <f t="array" ref="B2141">XLOOKUP(A2141,Data!F:F,Data!G:G)</f>
        <v>J2C</v>
      </c>
      <c r="C2141" s="19" t="str">
        <f t="shared" si="3"/>
        <v>J072</v>
      </c>
      <c r="D2141" s="19" t="str">
        <f t="array" ref="D2141">XLOOKUP(A2141,Data!F:F,Data!C:C)</f>
        <v/>
      </c>
      <c r="E2141" s="19" t="str">
        <f t="array" ref="E2141">XLOOKUP(A2141,Data!F:F,Data!H:H)</f>
        <v>BW</v>
      </c>
      <c r="F2141" s="106" t="str">
        <f>SUMIFS(Data!J:J,Data!F:F,A2141)</f>
        <v>1</v>
      </c>
      <c r="G2141" s="106" t="str">
        <f>SUMIFS(Cast!C:C,CastElements,A2141)</f>
        <v>1</v>
      </c>
      <c r="H2141" s="106" t="str">
        <f t="shared" si="4"/>
        <v>0</v>
      </c>
      <c r="I2141" s="106" t="str">
        <f>SUMIFS(Del!C:C,Del!B:B,A2141)</f>
        <v>0</v>
      </c>
      <c r="J2141" s="106" t="str">
        <f t="shared" si="5"/>
        <v>1</v>
      </c>
      <c r="K2141" s="106" t="str">
        <f t="shared" si="6"/>
        <v>1</v>
      </c>
      <c r="L2141" s="106"/>
      <c r="M2141" s="106" t="str">
        <f>SUMIFS(Ere!C:C,Ere!B:B,A2141)</f>
        <v>0</v>
      </c>
      <c r="N2141" s="106" t="str">
        <f t="shared" si="7"/>
        <v>1</v>
      </c>
      <c r="O2141" s="107" t="str">
        <f t="array" ref="O2141">XLOOKUP(A2141,Data!F:F,Data!O:O)</f>
        <v>  0.36 </v>
      </c>
      <c r="P2141" s="107" t="str">
        <f t="shared" si="8"/>
        <v>  0.90 </v>
      </c>
      <c r="Q2141" s="27"/>
    </row>
    <row r="2142" ht="15.75" customHeight="1">
      <c r="A2142" s="111" t="s">
        <v>2386</v>
      </c>
      <c r="B2142" s="19" t="str">
        <f t="array" ref="B2142">XLOOKUP(A2142,Data!F:F,Data!G:G)</f>
        <v>J2C</v>
      </c>
      <c r="C2142" s="19" t="str">
        <f t="shared" si="3"/>
        <v>J072</v>
      </c>
      <c r="D2142" s="19" t="str">
        <f t="array" ref="D2142">XLOOKUP(A2142,Data!F:F,Data!C:C)</f>
        <v/>
      </c>
      <c r="E2142" s="19" t="str">
        <f t="array" ref="E2142">XLOOKUP(A2142,Data!F:F,Data!H:H)</f>
        <v>CF</v>
      </c>
      <c r="F2142" s="106" t="str">
        <f>SUMIFS(Data!J:J,Data!F:F,A2142)</f>
        <v>1</v>
      </c>
      <c r="G2142" s="106" t="str">
        <f>SUMIFS(Cast!C:C,CastElements,A2142)</f>
        <v>1</v>
      </c>
      <c r="H2142" s="106" t="str">
        <f t="shared" si="4"/>
        <v>0</v>
      </c>
      <c r="I2142" s="106" t="str">
        <f>SUMIFS(Del!C:C,Del!B:B,A2142)</f>
        <v>0</v>
      </c>
      <c r="J2142" s="106" t="str">
        <f t="shared" si="5"/>
        <v>1</v>
      </c>
      <c r="K2142" s="106" t="str">
        <f t="shared" si="6"/>
        <v>1</v>
      </c>
      <c r="L2142" s="106"/>
      <c r="M2142" s="106" t="str">
        <f>SUMIFS(Ere!C:C,Ere!B:B,A2142)</f>
        <v>0</v>
      </c>
      <c r="N2142" s="106" t="str">
        <f t="shared" si="7"/>
        <v>1</v>
      </c>
      <c r="O2142" s="107" t="str">
        <f t="array" ref="O2142">XLOOKUP(A2142,Data!F:F,Data!O:O)</f>
        <v>  0.48 </v>
      </c>
      <c r="P2142" s="107" t="str">
        <f t="shared" si="8"/>
        <v>  1.20 </v>
      </c>
      <c r="Q2142" s="27"/>
    </row>
    <row r="2143" ht="15.75" customHeight="1">
      <c r="A2143" s="111" t="s">
        <v>2387</v>
      </c>
      <c r="B2143" s="19" t="str">
        <f t="array" ref="B2143">XLOOKUP(A2143,Data!F:F,Data!G:G)</f>
        <v>J2C</v>
      </c>
      <c r="C2143" s="19" t="str">
        <f t="shared" si="3"/>
        <v>J073</v>
      </c>
      <c r="D2143" s="19" t="str">
        <f t="array" ref="D2143">XLOOKUP(A2143,Data!F:F,Data!C:C)</f>
        <v>EXT</v>
      </c>
      <c r="E2143" s="19" t="str">
        <f t="array" ref="E2143">XLOOKUP(A2143,Data!F:F,Data!H:H)</f>
        <v>BW</v>
      </c>
      <c r="F2143" s="106" t="str">
        <f>SUMIFS(Data!J:J,Data!F:F,A2143)</f>
        <v>1</v>
      </c>
      <c r="G2143" s="106" t="str">
        <f>SUMIFS(Cast!C:C,CastElements,A2143)</f>
        <v>0</v>
      </c>
      <c r="H2143" s="106" t="str">
        <f t="shared" si="4"/>
        <v>1</v>
      </c>
      <c r="I2143" s="106" t="str">
        <f>SUMIFS(Del!C:C,Del!B:B,A2143)</f>
        <v>0</v>
      </c>
      <c r="J2143" s="106" t="str">
        <f t="shared" si="5"/>
        <v>1</v>
      </c>
      <c r="K2143" s="106" t="str">
        <f t="shared" si="6"/>
        <v>0</v>
      </c>
      <c r="L2143" s="106"/>
      <c r="M2143" s="106" t="str">
        <f>SUMIFS(Ere!C:C,Ere!B:B,A2143)</f>
        <v>0</v>
      </c>
      <c r="N2143" s="106" t="str">
        <f t="shared" si="7"/>
        <v>1</v>
      </c>
      <c r="O2143" s="107" t="str">
        <f t="array" ref="O2143">XLOOKUP(A2143,Data!F:F,Data!O:O)</f>
        <v>  0.97 </v>
      </c>
      <c r="P2143" s="107" t="str">
        <f t="shared" si="8"/>
        <v>  2.43 </v>
      </c>
      <c r="Q2143" s="27"/>
    </row>
    <row r="2144" ht="15.75" customHeight="1">
      <c r="A2144" s="111" t="s">
        <v>2388</v>
      </c>
      <c r="B2144" s="19" t="str">
        <f t="array" ref="B2144">XLOOKUP(A2144,Data!F:F,Data!G:G)</f>
        <v>J2C</v>
      </c>
      <c r="C2144" s="19" t="str">
        <f t="shared" si="3"/>
        <v>J073</v>
      </c>
      <c r="D2144" s="19" t="str">
        <f t="array" ref="D2144">XLOOKUP(A2144,Data!F:F,Data!C:C)</f>
        <v>EXT</v>
      </c>
      <c r="E2144" s="19" t="str">
        <f t="array" ref="E2144">XLOOKUP(A2144,Data!F:F,Data!H:H)</f>
        <v>BW</v>
      </c>
      <c r="F2144" s="106" t="str">
        <f>SUMIFS(Data!J:J,Data!F:F,A2144)</f>
        <v>1</v>
      </c>
      <c r="G2144" s="106" t="str">
        <f>SUMIFS(Cast!C:C,CastElements,A2144)</f>
        <v>0</v>
      </c>
      <c r="H2144" s="106" t="str">
        <f t="shared" si="4"/>
        <v>1</v>
      </c>
      <c r="I2144" s="106" t="str">
        <f>SUMIFS(Del!C:C,Del!B:B,A2144)</f>
        <v>0</v>
      </c>
      <c r="J2144" s="106" t="str">
        <f t="shared" si="5"/>
        <v>1</v>
      </c>
      <c r="K2144" s="106" t="str">
        <f t="shared" si="6"/>
        <v>0</v>
      </c>
      <c r="L2144" s="106"/>
      <c r="M2144" s="106" t="str">
        <f>SUMIFS(Ere!C:C,Ere!B:B,A2144)</f>
        <v>0</v>
      </c>
      <c r="N2144" s="106" t="str">
        <f t="shared" si="7"/>
        <v>1</v>
      </c>
      <c r="O2144" s="107" t="str">
        <f t="array" ref="O2144">XLOOKUP(A2144,Data!F:F,Data!O:O)</f>
        <v>  1.03 </v>
      </c>
      <c r="P2144" s="107" t="str">
        <f t="shared" si="8"/>
        <v>  2.58 </v>
      </c>
      <c r="Q2144" s="27"/>
    </row>
    <row r="2145" ht="15.75" customHeight="1">
      <c r="A2145" s="111" t="s">
        <v>2389</v>
      </c>
      <c r="B2145" s="19" t="str">
        <f t="array" ref="B2145">XLOOKUP(A2145,Data!F:F,Data!G:G)</f>
        <v>J2C</v>
      </c>
      <c r="C2145" s="19" t="str">
        <f t="shared" si="3"/>
        <v>J073</v>
      </c>
      <c r="D2145" s="19" t="str">
        <f t="array" ref="D2145">XLOOKUP(A2145,Data!F:F,Data!C:C)</f>
        <v>EXT</v>
      </c>
      <c r="E2145" s="19" t="str">
        <f t="array" ref="E2145">XLOOKUP(A2145,Data!F:F,Data!H:H)</f>
        <v>BW</v>
      </c>
      <c r="F2145" s="106" t="str">
        <f>SUMIFS(Data!J:J,Data!F:F,A2145)</f>
        <v>1</v>
      </c>
      <c r="G2145" s="106" t="str">
        <f>SUMIFS(Cast!C:C,CastElements,A2145)</f>
        <v>0</v>
      </c>
      <c r="H2145" s="106" t="str">
        <f t="shared" si="4"/>
        <v>1</v>
      </c>
      <c r="I2145" s="106" t="str">
        <f>SUMIFS(Del!C:C,Del!B:B,A2145)</f>
        <v>0</v>
      </c>
      <c r="J2145" s="106" t="str">
        <f t="shared" si="5"/>
        <v>1</v>
      </c>
      <c r="K2145" s="106" t="str">
        <f t="shared" si="6"/>
        <v>0</v>
      </c>
      <c r="L2145" s="106"/>
      <c r="M2145" s="106" t="str">
        <f>SUMIFS(Ere!C:C,Ere!B:B,A2145)</f>
        <v>0</v>
      </c>
      <c r="N2145" s="106" t="str">
        <f t="shared" si="7"/>
        <v>1</v>
      </c>
      <c r="O2145" s="107" t="str">
        <f t="array" ref="O2145">XLOOKUP(A2145,Data!F:F,Data!O:O)</f>
        <v>  1.03 </v>
      </c>
      <c r="P2145" s="107" t="str">
        <f t="shared" si="8"/>
        <v>  2.58 </v>
      </c>
      <c r="Q2145" s="27"/>
    </row>
    <row r="2146" ht="15.75" customHeight="1">
      <c r="A2146" s="111" t="s">
        <v>2390</v>
      </c>
      <c r="B2146" s="19" t="str">
        <f t="array" ref="B2146">XLOOKUP(A2146,Data!F:F,Data!G:G)</f>
        <v>J2C</v>
      </c>
      <c r="C2146" s="19" t="str">
        <f t="shared" si="3"/>
        <v>J073</v>
      </c>
      <c r="D2146" s="19" t="str">
        <f t="array" ref="D2146">XLOOKUP(A2146,Data!F:F,Data!C:C)</f>
        <v/>
      </c>
      <c r="E2146" s="19" t="str">
        <f t="array" ref="E2146">XLOOKUP(A2146,Data!F:F,Data!H:H)</f>
        <v>BW</v>
      </c>
      <c r="F2146" s="106" t="str">
        <f>SUMIFS(Data!J:J,Data!F:F,A2146)</f>
        <v>1</v>
      </c>
      <c r="G2146" s="106" t="str">
        <f>SUMIFS(Cast!C:C,CastElements,A2146)</f>
        <v>1</v>
      </c>
      <c r="H2146" s="106" t="str">
        <f t="shared" si="4"/>
        <v>0</v>
      </c>
      <c r="I2146" s="106" t="str">
        <f>SUMIFS(Del!C:C,Del!B:B,A2146)</f>
        <v>0</v>
      </c>
      <c r="J2146" s="106" t="str">
        <f t="shared" si="5"/>
        <v>1</v>
      </c>
      <c r="K2146" s="106" t="str">
        <f t="shared" si="6"/>
        <v>1</v>
      </c>
      <c r="L2146" s="106"/>
      <c r="M2146" s="106" t="str">
        <f>SUMIFS(Ere!C:C,Ere!B:B,A2146)</f>
        <v>0</v>
      </c>
      <c r="N2146" s="106" t="str">
        <f t="shared" si="7"/>
        <v>1</v>
      </c>
      <c r="O2146" s="107" t="str">
        <f t="array" ref="O2146">XLOOKUP(A2146,Data!F:F,Data!O:O)</f>
        <v>  1.32 </v>
      </c>
      <c r="P2146" s="107" t="str">
        <f t="shared" si="8"/>
        <v>  3.30 </v>
      </c>
      <c r="Q2146" s="27"/>
    </row>
    <row r="2147" ht="15.75" customHeight="1">
      <c r="A2147" s="111" t="s">
        <v>2391</v>
      </c>
      <c r="B2147" s="19" t="str">
        <f t="array" ref="B2147">XLOOKUP(A2147,Data!F:F,Data!G:G)</f>
        <v>J2C</v>
      </c>
      <c r="C2147" s="19" t="str">
        <f t="shared" si="3"/>
        <v>J073</v>
      </c>
      <c r="D2147" s="19" t="str">
        <f t="array" ref="D2147">XLOOKUP(A2147,Data!F:F,Data!C:C)</f>
        <v/>
      </c>
      <c r="E2147" s="19" t="str">
        <f t="array" ref="E2147">XLOOKUP(A2147,Data!F:F,Data!H:H)</f>
        <v>BW</v>
      </c>
      <c r="F2147" s="106" t="str">
        <f>SUMIFS(Data!J:J,Data!F:F,A2147)</f>
        <v>1</v>
      </c>
      <c r="G2147" s="106" t="str">
        <f>SUMIFS(Cast!C:C,CastElements,A2147)</f>
        <v>1</v>
      </c>
      <c r="H2147" s="106" t="str">
        <f t="shared" si="4"/>
        <v>0</v>
      </c>
      <c r="I2147" s="106" t="str">
        <f>SUMIFS(Del!C:C,Del!B:B,A2147)</f>
        <v>0</v>
      </c>
      <c r="J2147" s="106" t="str">
        <f t="shared" si="5"/>
        <v>1</v>
      </c>
      <c r="K2147" s="106" t="str">
        <f t="shared" si="6"/>
        <v>1</v>
      </c>
      <c r="L2147" s="106"/>
      <c r="M2147" s="106" t="str">
        <f>SUMIFS(Ere!C:C,Ere!B:B,A2147)</f>
        <v>0</v>
      </c>
      <c r="N2147" s="106" t="str">
        <f t="shared" si="7"/>
        <v>1</v>
      </c>
      <c r="O2147" s="107" t="str">
        <f t="array" ref="O2147">XLOOKUP(A2147,Data!F:F,Data!O:O)</f>
        <v>  1.63 </v>
      </c>
      <c r="P2147" s="107" t="str">
        <f t="shared" si="8"/>
        <v>  4.08 </v>
      </c>
      <c r="Q2147" s="27"/>
    </row>
    <row r="2148" ht="15.75" customHeight="1">
      <c r="A2148" s="111" t="s">
        <v>2392</v>
      </c>
      <c r="B2148" s="19" t="str">
        <f t="array" ref="B2148">XLOOKUP(A2148,Data!F:F,Data!G:G)</f>
        <v>J2C</v>
      </c>
      <c r="C2148" s="19" t="str">
        <f t="shared" si="3"/>
        <v>J073</v>
      </c>
      <c r="D2148" s="19" t="str">
        <f t="array" ref="D2148">XLOOKUP(A2148,Data!F:F,Data!C:C)</f>
        <v/>
      </c>
      <c r="E2148" s="19" t="str">
        <f t="array" ref="E2148">XLOOKUP(A2148,Data!F:F,Data!H:H)</f>
        <v>BW</v>
      </c>
      <c r="F2148" s="106" t="str">
        <f>SUMIFS(Data!J:J,Data!F:F,A2148)</f>
        <v>1</v>
      </c>
      <c r="G2148" s="106" t="str">
        <f>SUMIFS(Cast!C:C,CastElements,A2148)</f>
        <v>1</v>
      </c>
      <c r="H2148" s="106" t="str">
        <f t="shared" si="4"/>
        <v>0</v>
      </c>
      <c r="I2148" s="106" t="str">
        <f>SUMIFS(Del!C:C,Del!B:B,A2148)</f>
        <v>0</v>
      </c>
      <c r="J2148" s="106" t="str">
        <f t="shared" si="5"/>
        <v>1</v>
      </c>
      <c r="K2148" s="106" t="str">
        <f t="shared" si="6"/>
        <v>1</v>
      </c>
      <c r="L2148" s="106"/>
      <c r="M2148" s="106" t="str">
        <f>SUMIFS(Ere!C:C,Ere!B:B,A2148)</f>
        <v>0</v>
      </c>
      <c r="N2148" s="106" t="str">
        <f t="shared" si="7"/>
        <v>1</v>
      </c>
      <c r="O2148" s="107" t="str">
        <f t="array" ref="O2148">XLOOKUP(A2148,Data!F:F,Data!O:O)</f>
        <v>  1.50 </v>
      </c>
      <c r="P2148" s="107" t="str">
        <f t="shared" si="8"/>
        <v>  3.75 </v>
      </c>
      <c r="Q2148" s="27"/>
    </row>
    <row r="2149" ht="15.75" customHeight="1">
      <c r="A2149" s="111" t="s">
        <v>2393</v>
      </c>
      <c r="B2149" s="19" t="str">
        <f t="array" ref="B2149">XLOOKUP(A2149,Data!F:F,Data!G:G)</f>
        <v>J2C</v>
      </c>
      <c r="C2149" s="19" t="str">
        <f t="shared" si="3"/>
        <v>J073</v>
      </c>
      <c r="D2149" s="19" t="str">
        <f t="array" ref="D2149">XLOOKUP(A2149,Data!F:F,Data!C:C)</f>
        <v/>
      </c>
      <c r="E2149" s="19" t="str">
        <f t="array" ref="E2149">XLOOKUP(A2149,Data!F:F,Data!H:H)</f>
        <v>BW</v>
      </c>
      <c r="F2149" s="106" t="str">
        <f>SUMIFS(Data!J:J,Data!F:F,A2149)</f>
        <v>1</v>
      </c>
      <c r="G2149" s="106" t="str">
        <f>SUMIFS(Cast!C:C,CastElements,A2149)</f>
        <v>1</v>
      </c>
      <c r="H2149" s="106" t="str">
        <f t="shared" si="4"/>
        <v>0</v>
      </c>
      <c r="I2149" s="106" t="str">
        <f>SUMIFS(Del!C:C,Del!B:B,A2149)</f>
        <v>0</v>
      </c>
      <c r="J2149" s="106" t="str">
        <f t="shared" si="5"/>
        <v>1</v>
      </c>
      <c r="K2149" s="106" t="str">
        <f t="shared" si="6"/>
        <v>1</v>
      </c>
      <c r="L2149" s="106"/>
      <c r="M2149" s="106" t="str">
        <f>SUMIFS(Ere!C:C,Ere!B:B,A2149)</f>
        <v>0</v>
      </c>
      <c r="N2149" s="106" t="str">
        <f t="shared" si="7"/>
        <v>1</v>
      </c>
      <c r="O2149" s="107" t="str">
        <f t="array" ref="O2149">XLOOKUP(A2149,Data!F:F,Data!O:O)</f>
        <v>  1.50 </v>
      </c>
      <c r="P2149" s="107" t="str">
        <f t="shared" si="8"/>
        <v>  3.75 </v>
      </c>
      <c r="Q2149" s="27"/>
    </row>
    <row r="2150" ht="15.75" customHeight="1">
      <c r="A2150" s="111" t="s">
        <v>2394</v>
      </c>
      <c r="B2150" s="19" t="str">
        <f t="array" ref="B2150">XLOOKUP(A2150,Data!F:F,Data!G:G)</f>
        <v>J2C</v>
      </c>
      <c r="C2150" s="19" t="str">
        <f t="shared" si="3"/>
        <v>J073</v>
      </c>
      <c r="D2150" s="19" t="str">
        <f t="array" ref="D2150">XLOOKUP(A2150,Data!F:F,Data!C:C)</f>
        <v/>
      </c>
      <c r="E2150" s="19" t="str">
        <f t="array" ref="E2150">XLOOKUP(A2150,Data!F:F,Data!H:H)</f>
        <v>BW</v>
      </c>
      <c r="F2150" s="106" t="str">
        <f>SUMIFS(Data!J:J,Data!F:F,A2150)</f>
        <v>1</v>
      </c>
      <c r="G2150" s="106" t="str">
        <f>SUMIFS(Cast!C:C,CastElements,A2150)</f>
        <v>1</v>
      </c>
      <c r="H2150" s="106" t="str">
        <f t="shared" si="4"/>
        <v>0</v>
      </c>
      <c r="I2150" s="106" t="str">
        <f>SUMIFS(Del!C:C,Del!B:B,A2150)</f>
        <v>0</v>
      </c>
      <c r="J2150" s="106" t="str">
        <f t="shared" si="5"/>
        <v>1</v>
      </c>
      <c r="K2150" s="106" t="str">
        <f t="shared" si="6"/>
        <v>1</v>
      </c>
      <c r="L2150" s="106"/>
      <c r="M2150" s="106" t="str">
        <f>SUMIFS(Ere!C:C,Ere!B:B,A2150)</f>
        <v>0</v>
      </c>
      <c r="N2150" s="106" t="str">
        <f t="shared" si="7"/>
        <v>1</v>
      </c>
      <c r="O2150" s="107" t="str">
        <f t="array" ref="O2150">XLOOKUP(A2150,Data!F:F,Data!O:O)</f>
        <v>  1.50 </v>
      </c>
      <c r="P2150" s="107" t="str">
        <f t="shared" si="8"/>
        <v>  3.75 </v>
      </c>
      <c r="Q2150" s="27"/>
    </row>
    <row r="2151" ht="15.75" customHeight="1">
      <c r="A2151" s="111" t="s">
        <v>2395</v>
      </c>
      <c r="B2151" s="19" t="str">
        <f t="array" ref="B2151">XLOOKUP(A2151,Data!F:F,Data!G:G)</f>
        <v>J2C</v>
      </c>
      <c r="C2151" s="19" t="str">
        <f t="shared" si="3"/>
        <v>J073</v>
      </c>
      <c r="D2151" s="19" t="str">
        <f t="array" ref="D2151">XLOOKUP(A2151,Data!F:F,Data!C:C)</f>
        <v/>
      </c>
      <c r="E2151" s="19" t="str">
        <f t="array" ref="E2151">XLOOKUP(A2151,Data!F:F,Data!H:H)</f>
        <v>BW</v>
      </c>
      <c r="F2151" s="106" t="str">
        <f>SUMIFS(Data!J:J,Data!F:F,A2151)</f>
        <v>1</v>
      </c>
      <c r="G2151" s="106" t="str">
        <f>SUMIFS(Cast!C:C,CastElements,A2151)</f>
        <v>0</v>
      </c>
      <c r="H2151" s="106" t="str">
        <f t="shared" si="4"/>
        <v>1</v>
      </c>
      <c r="I2151" s="106" t="str">
        <f>SUMIFS(Del!C:C,Del!B:B,A2151)</f>
        <v>0</v>
      </c>
      <c r="J2151" s="106" t="str">
        <f t="shared" si="5"/>
        <v>1</v>
      </c>
      <c r="K2151" s="106" t="str">
        <f t="shared" si="6"/>
        <v>0</v>
      </c>
      <c r="L2151" s="106"/>
      <c r="M2151" s="106" t="str">
        <f>SUMIFS(Ere!C:C,Ere!B:B,A2151)</f>
        <v>0</v>
      </c>
      <c r="N2151" s="106" t="str">
        <f t="shared" si="7"/>
        <v>1</v>
      </c>
      <c r="O2151" s="107" t="str">
        <f t="array" ref="O2151">XLOOKUP(A2151,Data!F:F,Data!O:O)</f>
        <v>  1.06 </v>
      </c>
      <c r="P2151" s="107" t="str">
        <f t="shared" si="8"/>
        <v>  2.65 </v>
      </c>
      <c r="Q2151" s="27"/>
    </row>
    <row r="2152" ht="15.75" customHeight="1">
      <c r="A2152" s="111" t="s">
        <v>2396</v>
      </c>
      <c r="B2152" s="19" t="str">
        <f t="array" ref="B2152">XLOOKUP(A2152,Data!F:F,Data!G:G)</f>
        <v>J2C</v>
      </c>
      <c r="C2152" s="19" t="str">
        <f t="shared" si="3"/>
        <v>J073</v>
      </c>
      <c r="D2152" s="19" t="str">
        <f t="array" ref="D2152">XLOOKUP(A2152,Data!F:F,Data!C:C)</f>
        <v/>
      </c>
      <c r="E2152" s="19" t="str">
        <f t="array" ref="E2152">XLOOKUP(A2152,Data!F:F,Data!H:H)</f>
        <v>BW</v>
      </c>
      <c r="F2152" s="106" t="str">
        <f>SUMIFS(Data!J:J,Data!F:F,A2152)</f>
        <v>1</v>
      </c>
      <c r="G2152" s="106" t="str">
        <f>SUMIFS(Cast!C:C,CastElements,A2152)</f>
        <v>1</v>
      </c>
      <c r="H2152" s="106" t="str">
        <f t="shared" si="4"/>
        <v>0</v>
      </c>
      <c r="I2152" s="106" t="str">
        <f>SUMIFS(Del!C:C,Del!B:B,A2152)</f>
        <v>0</v>
      </c>
      <c r="J2152" s="106" t="str">
        <f t="shared" si="5"/>
        <v>1</v>
      </c>
      <c r="K2152" s="106" t="str">
        <f t="shared" si="6"/>
        <v>1</v>
      </c>
      <c r="L2152" s="106"/>
      <c r="M2152" s="106" t="str">
        <f>SUMIFS(Ere!C:C,Ere!B:B,A2152)</f>
        <v>0</v>
      </c>
      <c r="N2152" s="106" t="str">
        <f t="shared" si="7"/>
        <v>1</v>
      </c>
      <c r="O2152" s="107" t="str">
        <f t="array" ref="O2152">XLOOKUP(A2152,Data!F:F,Data!O:O)</f>
        <v>  0.48 </v>
      </c>
      <c r="P2152" s="107" t="str">
        <f t="shared" si="8"/>
        <v>  1.20 </v>
      </c>
      <c r="Q2152" s="27"/>
    </row>
    <row r="2153" ht="15.75" customHeight="1">
      <c r="A2153" s="111" t="s">
        <v>2397</v>
      </c>
      <c r="B2153" s="19" t="str">
        <f t="array" ref="B2153">XLOOKUP(A2153,Data!F:F,Data!G:G)</f>
        <v>J2C</v>
      </c>
      <c r="C2153" s="19" t="str">
        <f t="shared" si="3"/>
        <v>J073</v>
      </c>
      <c r="D2153" s="19" t="str">
        <f t="array" ref="D2153">XLOOKUP(A2153,Data!F:F,Data!C:C)</f>
        <v/>
      </c>
      <c r="E2153" s="19" t="str">
        <f t="array" ref="E2153">XLOOKUP(A2153,Data!F:F,Data!H:H)</f>
        <v>BW</v>
      </c>
      <c r="F2153" s="106" t="str">
        <f>SUMIFS(Data!J:J,Data!F:F,A2153)</f>
        <v>1</v>
      </c>
      <c r="G2153" s="106" t="str">
        <f>SUMIFS(Cast!C:C,CastElements,A2153)</f>
        <v>1</v>
      </c>
      <c r="H2153" s="106" t="str">
        <f t="shared" si="4"/>
        <v>0</v>
      </c>
      <c r="I2153" s="106" t="str">
        <f>SUMIFS(Del!C:C,Del!B:B,A2153)</f>
        <v>0</v>
      </c>
      <c r="J2153" s="106" t="str">
        <f t="shared" si="5"/>
        <v>1</v>
      </c>
      <c r="K2153" s="106" t="str">
        <f t="shared" si="6"/>
        <v>1</v>
      </c>
      <c r="L2153" s="106"/>
      <c r="M2153" s="106" t="str">
        <f>SUMIFS(Ere!C:C,Ere!B:B,A2153)</f>
        <v>0</v>
      </c>
      <c r="N2153" s="106" t="str">
        <f t="shared" si="7"/>
        <v>1</v>
      </c>
      <c r="O2153" s="107" t="str">
        <f t="array" ref="O2153">XLOOKUP(A2153,Data!F:F,Data!O:O)</f>
        <v>  1.26 </v>
      </c>
      <c r="P2153" s="107" t="str">
        <f t="shared" si="8"/>
        <v>  3.15 </v>
      </c>
      <c r="Q2153" s="27"/>
    </row>
    <row r="2154" ht="15.75" customHeight="1">
      <c r="A2154" s="111" t="s">
        <v>2398</v>
      </c>
      <c r="B2154" s="19" t="str">
        <f t="array" ref="B2154">XLOOKUP(A2154,Data!F:F,Data!G:G)</f>
        <v>J2C</v>
      </c>
      <c r="C2154" s="19" t="str">
        <f t="shared" si="3"/>
        <v>J073</v>
      </c>
      <c r="D2154" s="19" t="str">
        <f t="array" ref="D2154">XLOOKUP(A2154,Data!F:F,Data!C:C)</f>
        <v/>
      </c>
      <c r="E2154" s="19" t="str">
        <f t="array" ref="E2154">XLOOKUP(A2154,Data!F:F,Data!H:H)</f>
        <v>BW</v>
      </c>
      <c r="F2154" s="106" t="str">
        <f>SUMIFS(Data!J:J,Data!F:F,A2154)</f>
        <v>1</v>
      </c>
      <c r="G2154" s="106" t="str">
        <f>SUMIFS(Cast!C:C,CastElements,A2154)</f>
        <v>1</v>
      </c>
      <c r="H2154" s="106" t="str">
        <f t="shared" si="4"/>
        <v>0</v>
      </c>
      <c r="I2154" s="106" t="str">
        <f>SUMIFS(Del!C:C,Del!B:B,A2154)</f>
        <v>0</v>
      </c>
      <c r="J2154" s="106" t="str">
        <f t="shared" si="5"/>
        <v>1</v>
      </c>
      <c r="K2154" s="106" t="str">
        <f t="shared" si="6"/>
        <v>1</v>
      </c>
      <c r="L2154" s="106"/>
      <c r="M2154" s="106" t="str">
        <f>SUMIFS(Ere!C:C,Ere!B:B,A2154)</f>
        <v>0</v>
      </c>
      <c r="N2154" s="106" t="str">
        <f t="shared" si="7"/>
        <v>1</v>
      </c>
      <c r="O2154" s="107" t="str">
        <f t="array" ref="O2154">XLOOKUP(A2154,Data!F:F,Data!O:O)</f>
        <v>  1.13 </v>
      </c>
      <c r="P2154" s="107" t="str">
        <f t="shared" si="8"/>
        <v>  2.83 </v>
      </c>
      <c r="Q2154" s="27"/>
    </row>
    <row r="2155" ht="15.75" customHeight="1">
      <c r="A2155" s="111" t="s">
        <v>2399</v>
      </c>
      <c r="B2155" s="19" t="str">
        <f t="array" ref="B2155">XLOOKUP(A2155,Data!F:F,Data!G:G)</f>
        <v>J2C</v>
      </c>
      <c r="C2155" s="19" t="str">
        <f t="shared" si="3"/>
        <v>J073</v>
      </c>
      <c r="D2155" s="19" t="str">
        <f t="array" ref="D2155">XLOOKUP(A2155,Data!F:F,Data!C:C)</f>
        <v>EXT</v>
      </c>
      <c r="E2155" s="19" t="str">
        <f t="array" ref="E2155">XLOOKUP(A2155,Data!F:F,Data!H:H)</f>
        <v>BW</v>
      </c>
      <c r="F2155" s="106" t="str">
        <f>SUMIFS(Data!J:J,Data!F:F,A2155)</f>
        <v>1</v>
      </c>
      <c r="G2155" s="106" t="str">
        <f>SUMIFS(Cast!C:C,CastElements,A2155)</f>
        <v>0</v>
      </c>
      <c r="H2155" s="106" t="str">
        <f t="shared" si="4"/>
        <v>1</v>
      </c>
      <c r="I2155" s="106" t="str">
        <f>SUMIFS(Del!C:C,Del!B:B,A2155)</f>
        <v>0</v>
      </c>
      <c r="J2155" s="106" t="str">
        <f t="shared" si="5"/>
        <v>1</v>
      </c>
      <c r="K2155" s="106" t="str">
        <f t="shared" si="6"/>
        <v>0</v>
      </c>
      <c r="L2155" s="106"/>
      <c r="M2155" s="106" t="str">
        <f>SUMIFS(Ere!C:C,Ere!B:B,A2155)</f>
        <v>0</v>
      </c>
      <c r="N2155" s="106" t="str">
        <f t="shared" si="7"/>
        <v>1</v>
      </c>
      <c r="O2155" s="107" t="str">
        <f t="array" ref="O2155">XLOOKUP(A2155,Data!F:F,Data!O:O)</f>
        <v>  0.91 </v>
      </c>
      <c r="P2155" s="107" t="str">
        <f t="shared" si="8"/>
        <v>  2.28 </v>
      </c>
      <c r="Q2155" s="27"/>
    </row>
    <row r="2156" ht="15.75" customHeight="1">
      <c r="A2156" s="111" t="s">
        <v>2400</v>
      </c>
      <c r="B2156" s="19" t="str">
        <f t="array" ref="B2156">XLOOKUP(A2156,Data!F:F,Data!G:G)</f>
        <v>J2C</v>
      </c>
      <c r="C2156" s="19" t="str">
        <f t="shared" si="3"/>
        <v>J073</v>
      </c>
      <c r="D2156" s="19" t="str">
        <f t="array" ref="D2156">XLOOKUP(A2156,Data!F:F,Data!C:C)</f>
        <v/>
      </c>
      <c r="E2156" s="19" t="str">
        <f t="array" ref="E2156">XLOOKUP(A2156,Data!F:F,Data!H:H)</f>
        <v>BW</v>
      </c>
      <c r="F2156" s="106" t="str">
        <f>SUMIFS(Data!J:J,Data!F:F,A2156)</f>
        <v>1</v>
      </c>
      <c r="G2156" s="106" t="str">
        <f>SUMIFS(Cast!C:C,CastElements,A2156)</f>
        <v>0</v>
      </c>
      <c r="H2156" s="106" t="str">
        <f t="shared" si="4"/>
        <v>1</v>
      </c>
      <c r="I2156" s="106" t="str">
        <f>SUMIFS(Del!C:C,Del!B:B,A2156)</f>
        <v>0</v>
      </c>
      <c r="J2156" s="106" t="str">
        <f t="shared" si="5"/>
        <v>1</v>
      </c>
      <c r="K2156" s="106" t="str">
        <f t="shared" si="6"/>
        <v>0</v>
      </c>
      <c r="L2156" s="106"/>
      <c r="M2156" s="106" t="str">
        <f>SUMIFS(Ere!C:C,Ere!B:B,A2156)</f>
        <v>0</v>
      </c>
      <c r="N2156" s="106" t="str">
        <f t="shared" si="7"/>
        <v>1</v>
      </c>
      <c r="O2156" s="107" t="str">
        <f t="array" ref="O2156">XLOOKUP(A2156,Data!F:F,Data!O:O)</f>
        <v>  1.38 </v>
      </c>
      <c r="P2156" s="107" t="str">
        <f t="shared" si="8"/>
        <v>  3.45 </v>
      </c>
      <c r="Q2156" s="27"/>
    </row>
    <row r="2157" ht="15.75" customHeight="1">
      <c r="A2157" s="111" t="s">
        <v>2401</v>
      </c>
      <c r="B2157" s="19" t="str">
        <f t="array" ref="B2157">XLOOKUP(A2157,Data!F:F,Data!G:G)</f>
        <v>J2C</v>
      </c>
      <c r="C2157" s="19" t="str">
        <f t="shared" si="3"/>
        <v>J073</v>
      </c>
      <c r="D2157" s="19" t="str">
        <f t="array" ref="D2157">XLOOKUP(A2157,Data!F:F,Data!C:C)</f>
        <v/>
      </c>
      <c r="E2157" s="19" t="str">
        <f t="array" ref="E2157">XLOOKUP(A2157,Data!F:F,Data!H:H)</f>
        <v>BW</v>
      </c>
      <c r="F2157" s="106" t="str">
        <f>SUMIFS(Data!J:J,Data!F:F,A2157)</f>
        <v>1</v>
      </c>
      <c r="G2157" s="106" t="str">
        <f>SUMIFS(Cast!C:C,CastElements,A2157)</f>
        <v>0</v>
      </c>
      <c r="H2157" s="106" t="str">
        <f t="shared" si="4"/>
        <v>1</v>
      </c>
      <c r="I2157" s="106" t="str">
        <f>SUMIFS(Del!C:C,Del!B:B,A2157)</f>
        <v>0</v>
      </c>
      <c r="J2157" s="106" t="str">
        <f t="shared" si="5"/>
        <v>1</v>
      </c>
      <c r="K2157" s="106" t="str">
        <f t="shared" si="6"/>
        <v>0</v>
      </c>
      <c r="L2157" s="106"/>
      <c r="M2157" s="106" t="str">
        <f>SUMIFS(Ere!C:C,Ere!B:B,A2157)</f>
        <v>0</v>
      </c>
      <c r="N2157" s="106" t="str">
        <f t="shared" si="7"/>
        <v>1</v>
      </c>
      <c r="O2157" s="107" t="str">
        <f t="array" ref="O2157">XLOOKUP(A2157,Data!F:F,Data!O:O)</f>
        <v>  1.90 </v>
      </c>
      <c r="P2157" s="107" t="str">
        <f t="shared" si="8"/>
        <v>  4.75 </v>
      </c>
      <c r="Q2157" s="27"/>
    </row>
    <row r="2158" ht="15.75" customHeight="1">
      <c r="A2158" s="111" t="s">
        <v>2402</v>
      </c>
      <c r="B2158" s="19" t="str">
        <f t="array" ref="B2158">XLOOKUP(A2158,Data!F:F,Data!G:G)</f>
        <v>J2C</v>
      </c>
      <c r="C2158" s="19" t="str">
        <f t="shared" si="3"/>
        <v>J073</v>
      </c>
      <c r="D2158" s="19" t="str">
        <f t="array" ref="D2158">XLOOKUP(A2158,Data!F:F,Data!C:C)</f>
        <v/>
      </c>
      <c r="E2158" s="19" t="str">
        <f t="array" ref="E2158">XLOOKUP(A2158,Data!F:F,Data!H:H)</f>
        <v>BW</v>
      </c>
      <c r="F2158" s="106" t="str">
        <f>SUMIFS(Data!J:J,Data!F:F,A2158)</f>
        <v>1</v>
      </c>
      <c r="G2158" s="106" t="str">
        <f>SUMIFS(Cast!C:C,CastElements,A2158)</f>
        <v>1</v>
      </c>
      <c r="H2158" s="106" t="str">
        <f t="shared" si="4"/>
        <v>0</v>
      </c>
      <c r="I2158" s="106" t="str">
        <f>SUMIFS(Del!C:C,Del!B:B,A2158)</f>
        <v>0</v>
      </c>
      <c r="J2158" s="106" t="str">
        <f t="shared" si="5"/>
        <v>1</v>
      </c>
      <c r="K2158" s="106" t="str">
        <f t="shared" si="6"/>
        <v>1</v>
      </c>
      <c r="L2158" s="106"/>
      <c r="M2158" s="106" t="str">
        <f>SUMIFS(Ere!C:C,Ere!B:B,A2158)</f>
        <v>0</v>
      </c>
      <c r="N2158" s="106" t="str">
        <f t="shared" si="7"/>
        <v>1</v>
      </c>
      <c r="O2158" s="107" t="str">
        <f t="array" ref="O2158">XLOOKUP(A2158,Data!F:F,Data!O:O)</f>
        <v>  1.21 </v>
      </c>
      <c r="P2158" s="107" t="str">
        <f t="shared" si="8"/>
        <v>  3.03 </v>
      </c>
      <c r="Q2158" s="27"/>
    </row>
    <row r="2159" ht="15.75" customHeight="1">
      <c r="A2159" s="111" t="s">
        <v>2403</v>
      </c>
      <c r="B2159" s="19" t="str">
        <f t="array" ref="B2159">XLOOKUP(A2159,Data!F:F,Data!G:G)</f>
        <v>J2C</v>
      </c>
      <c r="C2159" s="19" t="str">
        <f t="shared" si="3"/>
        <v>J073</v>
      </c>
      <c r="D2159" s="19" t="str">
        <f t="array" ref="D2159">XLOOKUP(A2159,Data!F:F,Data!C:C)</f>
        <v/>
      </c>
      <c r="E2159" s="19" t="str">
        <f t="array" ref="E2159">XLOOKUP(A2159,Data!F:F,Data!H:H)</f>
        <v>BW</v>
      </c>
      <c r="F2159" s="106" t="str">
        <f>SUMIFS(Data!J:J,Data!F:F,A2159)</f>
        <v>1</v>
      </c>
      <c r="G2159" s="106" t="str">
        <f>SUMIFS(Cast!C:C,CastElements,A2159)</f>
        <v>1</v>
      </c>
      <c r="H2159" s="106" t="str">
        <f t="shared" si="4"/>
        <v>0</v>
      </c>
      <c r="I2159" s="106" t="str">
        <f>SUMIFS(Del!C:C,Del!B:B,A2159)</f>
        <v>0</v>
      </c>
      <c r="J2159" s="106" t="str">
        <f t="shared" si="5"/>
        <v>1</v>
      </c>
      <c r="K2159" s="106" t="str">
        <f t="shared" si="6"/>
        <v>1</v>
      </c>
      <c r="L2159" s="106"/>
      <c r="M2159" s="106" t="str">
        <f>SUMIFS(Ere!C:C,Ere!B:B,A2159)</f>
        <v>0</v>
      </c>
      <c r="N2159" s="106" t="str">
        <f t="shared" si="7"/>
        <v>1</v>
      </c>
      <c r="O2159" s="107" t="str">
        <f t="array" ref="O2159">XLOOKUP(A2159,Data!F:F,Data!O:O)</f>
        <v>  1.91 </v>
      </c>
      <c r="P2159" s="107" t="str">
        <f t="shared" si="8"/>
        <v>  4.78 </v>
      </c>
      <c r="Q2159" s="27"/>
    </row>
    <row r="2160" ht="15.75" customHeight="1">
      <c r="A2160" s="111" t="s">
        <v>2404</v>
      </c>
      <c r="B2160" s="19" t="str">
        <f t="array" ref="B2160">XLOOKUP(A2160,Data!F:F,Data!G:G)</f>
        <v>J2C</v>
      </c>
      <c r="C2160" s="19" t="str">
        <f t="shared" si="3"/>
        <v>J073</v>
      </c>
      <c r="D2160" s="19" t="str">
        <f t="array" ref="D2160">XLOOKUP(A2160,Data!F:F,Data!C:C)</f>
        <v/>
      </c>
      <c r="E2160" s="19" t="str">
        <f t="array" ref="E2160">XLOOKUP(A2160,Data!F:F,Data!H:H)</f>
        <v>BW</v>
      </c>
      <c r="F2160" s="106" t="str">
        <f>SUMIFS(Data!J:J,Data!F:F,A2160)</f>
        <v>1</v>
      </c>
      <c r="G2160" s="106" t="str">
        <f>SUMIFS(Cast!C:C,CastElements,A2160)</f>
        <v>1</v>
      </c>
      <c r="H2160" s="106" t="str">
        <f t="shared" si="4"/>
        <v>0</v>
      </c>
      <c r="I2160" s="106" t="str">
        <f>SUMIFS(Del!C:C,Del!B:B,A2160)</f>
        <v>0</v>
      </c>
      <c r="J2160" s="106" t="str">
        <f t="shared" si="5"/>
        <v>1</v>
      </c>
      <c r="K2160" s="106" t="str">
        <f t="shared" si="6"/>
        <v>1</v>
      </c>
      <c r="L2160" s="106"/>
      <c r="M2160" s="106" t="str">
        <f>SUMIFS(Ere!C:C,Ere!B:B,A2160)</f>
        <v>0</v>
      </c>
      <c r="N2160" s="106" t="str">
        <f t="shared" si="7"/>
        <v>1</v>
      </c>
      <c r="O2160" s="107" t="str">
        <f t="array" ref="O2160">XLOOKUP(A2160,Data!F:F,Data!O:O)</f>
        <v>  2.19 </v>
      </c>
      <c r="P2160" s="107" t="str">
        <f t="shared" si="8"/>
        <v>  5.48 </v>
      </c>
      <c r="Q2160" s="27"/>
    </row>
    <row r="2161" ht="15.75" customHeight="1">
      <c r="A2161" s="111" t="s">
        <v>2405</v>
      </c>
      <c r="B2161" s="19" t="str">
        <f t="array" ref="B2161">XLOOKUP(A2161,Data!F:F,Data!G:G)</f>
        <v>J2C</v>
      </c>
      <c r="C2161" s="19" t="str">
        <f t="shared" si="3"/>
        <v>J073</v>
      </c>
      <c r="D2161" s="19" t="str">
        <f t="array" ref="D2161">XLOOKUP(A2161,Data!F:F,Data!C:C)</f>
        <v/>
      </c>
      <c r="E2161" s="19" t="str">
        <f t="array" ref="E2161">XLOOKUP(A2161,Data!F:F,Data!H:H)</f>
        <v>BW</v>
      </c>
      <c r="F2161" s="106" t="str">
        <f>SUMIFS(Data!J:J,Data!F:F,A2161)</f>
        <v>1</v>
      </c>
      <c r="G2161" s="106" t="str">
        <f>SUMIFS(Cast!C:C,CastElements,A2161)</f>
        <v>1</v>
      </c>
      <c r="H2161" s="106" t="str">
        <f t="shared" si="4"/>
        <v>0</v>
      </c>
      <c r="I2161" s="106" t="str">
        <f>SUMIFS(Del!C:C,Del!B:B,A2161)</f>
        <v>0</v>
      </c>
      <c r="J2161" s="106" t="str">
        <f t="shared" si="5"/>
        <v>1</v>
      </c>
      <c r="K2161" s="106" t="str">
        <f t="shared" si="6"/>
        <v>1</v>
      </c>
      <c r="L2161" s="106"/>
      <c r="M2161" s="106" t="str">
        <f>SUMIFS(Ere!C:C,Ere!B:B,A2161)</f>
        <v>0</v>
      </c>
      <c r="N2161" s="106" t="str">
        <f t="shared" si="7"/>
        <v>1</v>
      </c>
      <c r="O2161" s="107" t="str">
        <f t="array" ref="O2161">XLOOKUP(A2161,Data!F:F,Data!O:O)</f>
        <v>  0.36 </v>
      </c>
      <c r="P2161" s="107" t="str">
        <f t="shared" si="8"/>
        <v>  0.90 </v>
      </c>
      <c r="Q2161" s="27"/>
    </row>
    <row r="2162" ht="15.75" customHeight="1">
      <c r="A2162" s="111" t="s">
        <v>2406</v>
      </c>
      <c r="B2162" s="19" t="str">
        <f t="array" ref="B2162">XLOOKUP(A2162,Data!F:F,Data!G:G)</f>
        <v>J2C</v>
      </c>
      <c r="C2162" s="19" t="str">
        <f t="shared" si="3"/>
        <v>J073</v>
      </c>
      <c r="D2162" s="19" t="str">
        <f t="array" ref="D2162">XLOOKUP(A2162,Data!F:F,Data!C:C)</f>
        <v/>
      </c>
      <c r="E2162" s="19" t="str">
        <f t="array" ref="E2162">XLOOKUP(A2162,Data!F:F,Data!H:H)</f>
        <v>CF</v>
      </c>
      <c r="F2162" s="106" t="str">
        <f>SUMIFS(Data!J:J,Data!F:F,A2162)</f>
        <v>1</v>
      </c>
      <c r="G2162" s="106" t="str">
        <f>SUMIFS(Cast!C:C,CastElements,A2162)</f>
        <v>1</v>
      </c>
      <c r="H2162" s="106" t="str">
        <f t="shared" si="4"/>
        <v>0</v>
      </c>
      <c r="I2162" s="106" t="str">
        <f>SUMIFS(Del!C:C,Del!B:B,A2162)</f>
        <v>0</v>
      </c>
      <c r="J2162" s="106" t="str">
        <f t="shared" si="5"/>
        <v>1</v>
      </c>
      <c r="K2162" s="106" t="str">
        <f t="shared" si="6"/>
        <v>1</v>
      </c>
      <c r="L2162" s="106"/>
      <c r="M2162" s="106" t="str">
        <f>SUMIFS(Ere!C:C,Ere!B:B,A2162)</f>
        <v>0</v>
      </c>
      <c r="N2162" s="106" t="str">
        <f t="shared" si="7"/>
        <v>1</v>
      </c>
      <c r="O2162" s="107" t="str">
        <f t="array" ref="O2162">XLOOKUP(A2162,Data!F:F,Data!O:O)</f>
        <v>  0.48 </v>
      </c>
      <c r="P2162" s="107" t="str">
        <f t="shared" si="8"/>
        <v>  1.20 </v>
      </c>
      <c r="Q2162" s="27"/>
    </row>
    <row r="2163" ht="15.75" customHeight="1">
      <c r="A2163" s="111" t="s">
        <v>2407</v>
      </c>
      <c r="B2163" s="19" t="str">
        <f t="array" ref="B2163">XLOOKUP(A2163,Data!F:F,Data!G:G)</f>
        <v>J2C</v>
      </c>
      <c r="C2163" s="19" t="str">
        <f t="shared" si="3"/>
        <v>J074</v>
      </c>
      <c r="D2163" s="19" t="str">
        <f t="array" ref="D2163">XLOOKUP(A2163,Data!F:F,Data!C:C)</f>
        <v>EXT</v>
      </c>
      <c r="E2163" s="19" t="str">
        <f t="array" ref="E2163">XLOOKUP(A2163,Data!F:F,Data!H:H)</f>
        <v>BW</v>
      </c>
      <c r="F2163" s="106" t="str">
        <f>SUMIFS(Data!J:J,Data!F:F,A2163)</f>
        <v>1</v>
      </c>
      <c r="G2163" s="106" t="str">
        <f>SUMIFS(Cast!C:C,CastElements,A2163)</f>
        <v>1</v>
      </c>
      <c r="H2163" s="106" t="str">
        <f t="shared" si="4"/>
        <v>0</v>
      </c>
      <c r="I2163" s="106" t="str">
        <f>SUMIFS(Del!C:C,Del!B:B,A2163)</f>
        <v>0</v>
      </c>
      <c r="J2163" s="106" t="str">
        <f t="shared" si="5"/>
        <v>1</v>
      </c>
      <c r="K2163" s="106" t="str">
        <f t="shared" si="6"/>
        <v>1</v>
      </c>
      <c r="L2163" s="106"/>
      <c r="M2163" s="106" t="str">
        <f>SUMIFS(Ere!C:C,Ere!B:B,A2163)</f>
        <v>0</v>
      </c>
      <c r="N2163" s="106" t="str">
        <f t="shared" si="7"/>
        <v>1</v>
      </c>
      <c r="O2163" s="107" t="str">
        <f t="array" ref="O2163">XLOOKUP(A2163,Data!F:F,Data!O:O)</f>
        <v>  0.52 </v>
      </c>
      <c r="P2163" s="107" t="str">
        <f t="shared" si="8"/>
        <v>  1.29 </v>
      </c>
      <c r="Q2163" s="27"/>
    </row>
    <row r="2164" ht="15.75" customHeight="1">
      <c r="A2164" s="111" t="s">
        <v>2408</v>
      </c>
      <c r="B2164" s="19" t="str">
        <f t="array" ref="B2164">XLOOKUP(A2164,Data!F:F,Data!G:G)</f>
        <v>J2C</v>
      </c>
      <c r="C2164" s="19" t="str">
        <f t="shared" si="3"/>
        <v>J074</v>
      </c>
      <c r="D2164" s="19" t="str">
        <f t="array" ref="D2164">XLOOKUP(A2164,Data!F:F,Data!C:C)</f>
        <v>EXT</v>
      </c>
      <c r="E2164" s="19" t="str">
        <f t="array" ref="E2164">XLOOKUP(A2164,Data!F:F,Data!H:H)</f>
        <v>BW</v>
      </c>
      <c r="F2164" s="106" t="str">
        <f>SUMIFS(Data!J:J,Data!F:F,A2164)</f>
        <v>1</v>
      </c>
      <c r="G2164" s="106" t="str">
        <f>SUMIFS(Cast!C:C,CastElements,A2164)</f>
        <v>1</v>
      </c>
      <c r="H2164" s="106" t="str">
        <f t="shared" si="4"/>
        <v>0</v>
      </c>
      <c r="I2164" s="106" t="str">
        <f>SUMIFS(Del!C:C,Del!B:B,A2164)</f>
        <v>0</v>
      </c>
      <c r="J2164" s="106" t="str">
        <f t="shared" si="5"/>
        <v>1</v>
      </c>
      <c r="K2164" s="106" t="str">
        <f t="shared" si="6"/>
        <v>1</v>
      </c>
      <c r="L2164" s="106"/>
      <c r="M2164" s="106" t="str">
        <f>SUMIFS(Ere!C:C,Ere!B:B,A2164)</f>
        <v>0</v>
      </c>
      <c r="N2164" s="106" t="str">
        <f t="shared" si="7"/>
        <v>1</v>
      </c>
      <c r="O2164" s="107" t="str">
        <f t="array" ref="O2164">XLOOKUP(A2164,Data!F:F,Data!O:O)</f>
        <v>  0.52 </v>
      </c>
      <c r="P2164" s="107" t="str">
        <f t="shared" si="8"/>
        <v>  1.29 </v>
      </c>
      <c r="Q2164" s="27"/>
    </row>
    <row r="2165" ht="15.75" customHeight="1">
      <c r="A2165" s="111" t="s">
        <v>2409</v>
      </c>
      <c r="B2165" s="19" t="str">
        <f t="array" ref="B2165">XLOOKUP(A2165,Data!F:F,Data!G:G)</f>
        <v>J2C</v>
      </c>
      <c r="C2165" s="19" t="str">
        <f t="shared" si="3"/>
        <v>J074</v>
      </c>
      <c r="D2165" s="19" t="str">
        <f t="array" ref="D2165">XLOOKUP(A2165,Data!F:F,Data!C:C)</f>
        <v>EXT</v>
      </c>
      <c r="E2165" s="19" t="str">
        <f t="array" ref="E2165">XLOOKUP(A2165,Data!F:F,Data!H:H)</f>
        <v>BW</v>
      </c>
      <c r="F2165" s="106" t="str">
        <f>SUMIFS(Data!J:J,Data!F:F,A2165)</f>
        <v>1</v>
      </c>
      <c r="G2165" s="106" t="str">
        <f>SUMIFS(Cast!C:C,CastElements,A2165)</f>
        <v>1</v>
      </c>
      <c r="H2165" s="106" t="str">
        <f t="shared" si="4"/>
        <v>0</v>
      </c>
      <c r="I2165" s="106" t="str">
        <f>SUMIFS(Del!C:C,Del!B:B,A2165)</f>
        <v>0</v>
      </c>
      <c r="J2165" s="106" t="str">
        <f t="shared" si="5"/>
        <v>1</v>
      </c>
      <c r="K2165" s="106" t="str">
        <f t="shared" si="6"/>
        <v>1</v>
      </c>
      <c r="L2165" s="106"/>
      <c r="M2165" s="106" t="str">
        <f>SUMIFS(Ere!C:C,Ere!B:B,A2165)</f>
        <v>0</v>
      </c>
      <c r="N2165" s="106" t="str">
        <f t="shared" si="7"/>
        <v>1</v>
      </c>
      <c r="O2165" s="107" t="str">
        <f t="array" ref="O2165">XLOOKUP(A2165,Data!F:F,Data!O:O)</f>
        <v>  0.41 </v>
      </c>
      <c r="P2165" s="107" t="str">
        <f t="shared" si="8"/>
        <v>  1.03 </v>
      </c>
      <c r="Q2165" s="27"/>
    </row>
    <row r="2166" ht="15.75" customHeight="1">
      <c r="A2166" s="111" t="s">
        <v>2410</v>
      </c>
      <c r="B2166" s="19" t="str">
        <f t="array" ref="B2166">XLOOKUP(A2166,Data!F:F,Data!G:G)</f>
        <v>J2C</v>
      </c>
      <c r="C2166" s="19" t="str">
        <f t="shared" si="3"/>
        <v>J074</v>
      </c>
      <c r="D2166" s="19" t="str">
        <f t="array" ref="D2166">XLOOKUP(A2166,Data!F:F,Data!C:C)</f>
        <v>EXT</v>
      </c>
      <c r="E2166" s="19" t="str">
        <f t="array" ref="E2166">XLOOKUP(A2166,Data!F:F,Data!H:H)</f>
        <v>BW</v>
      </c>
      <c r="F2166" s="106" t="str">
        <f>SUMIFS(Data!J:J,Data!F:F,A2166)</f>
        <v>1</v>
      </c>
      <c r="G2166" s="106" t="str">
        <f>SUMIFS(Cast!C:C,CastElements,A2166)</f>
        <v>1</v>
      </c>
      <c r="H2166" s="106" t="str">
        <f t="shared" si="4"/>
        <v>0</v>
      </c>
      <c r="I2166" s="106" t="str">
        <f>SUMIFS(Del!C:C,Del!B:B,A2166)</f>
        <v>0</v>
      </c>
      <c r="J2166" s="106" t="str">
        <f t="shared" si="5"/>
        <v>1</v>
      </c>
      <c r="K2166" s="106" t="str">
        <f t="shared" si="6"/>
        <v>1</v>
      </c>
      <c r="L2166" s="106"/>
      <c r="M2166" s="106" t="str">
        <f>SUMIFS(Ere!C:C,Ere!B:B,A2166)</f>
        <v>0</v>
      </c>
      <c r="N2166" s="106" t="str">
        <f t="shared" si="7"/>
        <v>1</v>
      </c>
      <c r="O2166" s="107" t="str">
        <f t="array" ref="O2166">XLOOKUP(A2166,Data!F:F,Data!O:O)</f>
        <v>  0.41 </v>
      </c>
      <c r="P2166" s="107" t="str">
        <f t="shared" si="8"/>
        <v>  1.03 </v>
      </c>
      <c r="Q2166" s="27"/>
    </row>
    <row r="2167" ht="15.75" customHeight="1">
      <c r="A2167" s="111" t="s">
        <v>2411</v>
      </c>
      <c r="B2167" s="19" t="str">
        <f t="array" ref="B2167">XLOOKUP(A2167,Data!F:F,Data!G:G)</f>
        <v>J2C</v>
      </c>
      <c r="C2167" s="19" t="str">
        <f t="shared" si="3"/>
        <v>J074</v>
      </c>
      <c r="D2167" s="19" t="str">
        <f t="array" ref="D2167">XLOOKUP(A2167,Data!F:F,Data!C:C)</f>
        <v>EXT</v>
      </c>
      <c r="E2167" s="19" t="str">
        <f t="array" ref="E2167">XLOOKUP(A2167,Data!F:F,Data!H:H)</f>
        <v>BW</v>
      </c>
      <c r="F2167" s="106" t="str">
        <f>SUMIFS(Data!J:J,Data!F:F,A2167)</f>
        <v>1</v>
      </c>
      <c r="G2167" s="106" t="str">
        <f>SUMIFS(Cast!C:C,CastElements,A2167)</f>
        <v>1</v>
      </c>
      <c r="H2167" s="106" t="str">
        <f t="shared" si="4"/>
        <v>0</v>
      </c>
      <c r="I2167" s="106" t="str">
        <f>SUMIFS(Del!C:C,Del!B:B,A2167)</f>
        <v>0</v>
      </c>
      <c r="J2167" s="106" t="str">
        <f t="shared" si="5"/>
        <v>1</v>
      </c>
      <c r="K2167" s="106" t="str">
        <f t="shared" si="6"/>
        <v>1</v>
      </c>
      <c r="L2167" s="106"/>
      <c r="M2167" s="106" t="str">
        <f>SUMIFS(Ere!C:C,Ere!B:B,A2167)</f>
        <v>0</v>
      </c>
      <c r="N2167" s="106" t="str">
        <f t="shared" si="7"/>
        <v>1</v>
      </c>
      <c r="O2167" s="107" t="str">
        <f t="array" ref="O2167">XLOOKUP(A2167,Data!F:F,Data!O:O)</f>
        <v>  0.41 </v>
      </c>
      <c r="P2167" s="107" t="str">
        <f t="shared" si="8"/>
        <v>  1.03 </v>
      </c>
      <c r="Q2167" s="27"/>
    </row>
    <row r="2168" ht="15.75" customHeight="1">
      <c r="A2168" s="111" t="s">
        <v>2412</v>
      </c>
      <c r="B2168" s="19" t="str">
        <f t="array" ref="B2168">XLOOKUP(A2168,Data!F:F,Data!G:G)</f>
        <v>J2C</v>
      </c>
      <c r="C2168" s="19" t="str">
        <f t="shared" si="3"/>
        <v>J074</v>
      </c>
      <c r="D2168" s="19" t="str">
        <f t="array" ref="D2168">XLOOKUP(A2168,Data!F:F,Data!C:C)</f>
        <v>EXT</v>
      </c>
      <c r="E2168" s="19" t="str">
        <f t="array" ref="E2168">XLOOKUP(A2168,Data!F:F,Data!H:H)</f>
        <v>BW</v>
      </c>
      <c r="F2168" s="106" t="str">
        <f>SUMIFS(Data!J:J,Data!F:F,A2168)</f>
        <v>1</v>
      </c>
      <c r="G2168" s="106" t="str">
        <f>SUMIFS(Cast!C:C,CastElements,A2168)</f>
        <v>1</v>
      </c>
      <c r="H2168" s="106" t="str">
        <f t="shared" si="4"/>
        <v>0</v>
      </c>
      <c r="I2168" s="106" t="str">
        <f>SUMIFS(Del!C:C,Del!B:B,A2168)</f>
        <v>0</v>
      </c>
      <c r="J2168" s="106" t="str">
        <f t="shared" si="5"/>
        <v>1</v>
      </c>
      <c r="K2168" s="106" t="str">
        <f t="shared" si="6"/>
        <v>1</v>
      </c>
      <c r="L2168" s="106"/>
      <c r="M2168" s="106" t="str">
        <f>SUMIFS(Ere!C:C,Ere!B:B,A2168)</f>
        <v>0</v>
      </c>
      <c r="N2168" s="106" t="str">
        <f t="shared" si="7"/>
        <v>1</v>
      </c>
      <c r="O2168" s="107" t="str">
        <f t="array" ref="O2168">XLOOKUP(A2168,Data!F:F,Data!O:O)</f>
        <v>  0.41 </v>
      </c>
      <c r="P2168" s="107" t="str">
        <f t="shared" si="8"/>
        <v>  1.03 </v>
      </c>
      <c r="Q2168" s="27"/>
    </row>
    <row r="2169" ht="15.75" customHeight="1">
      <c r="A2169" s="111" t="s">
        <v>2413</v>
      </c>
      <c r="B2169" s="19" t="str">
        <f t="array" ref="B2169">XLOOKUP(A2169,Data!F:F,Data!G:G)</f>
        <v>J2C</v>
      </c>
      <c r="C2169" s="19" t="str">
        <f t="shared" si="3"/>
        <v>J074</v>
      </c>
      <c r="D2169" s="19" t="str">
        <f t="array" ref="D2169">XLOOKUP(A2169,Data!F:F,Data!C:C)</f>
        <v>EXT</v>
      </c>
      <c r="E2169" s="19" t="str">
        <f t="array" ref="E2169">XLOOKUP(A2169,Data!F:F,Data!H:H)</f>
        <v>BW</v>
      </c>
      <c r="F2169" s="106" t="str">
        <f>SUMIFS(Data!J:J,Data!F:F,A2169)</f>
        <v>1</v>
      </c>
      <c r="G2169" s="106" t="str">
        <f>SUMIFS(Cast!C:C,CastElements,A2169)</f>
        <v>1</v>
      </c>
      <c r="H2169" s="106" t="str">
        <f t="shared" si="4"/>
        <v>0</v>
      </c>
      <c r="I2169" s="106" t="str">
        <f>SUMIFS(Del!C:C,Del!B:B,A2169)</f>
        <v>0</v>
      </c>
      <c r="J2169" s="106" t="str">
        <f t="shared" si="5"/>
        <v>1</v>
      </c>
      <c r="K2169" s="106" t="str">
        <f t="shared" si="6"/>
        <v>1</v>
      </c>
      <c r="L2169" s="106"/>
      <c r="M2169" s="106" t="str">
        <f>SUMIFS(Ere!C:C,Ere!B:B,A2169)</f>
        <v>0</v>
      </c>
      <c r="N2169" s="106" t="str">
        <f t="shared" si="7"/>
        <v>1</v>
      </c>
      <c r="O2169" s="107" t="str">
        <f t="array" ref="O2169">XLOOKUP(A2169,Data!F:F,Data!O:O)</f>
        <v>  0.41 </v>
      </c>
      <c r="P2169" s="107" t="str">
        <f t="shared" si="8"/>
        <v>  1.03 </v>
      </c>
      <c r="Q2169" s="27"/>
    </row>
    <row r="2170" ht="15.75" customHeight="1">
      <c r="A2170" s="111" t="s">
        <v>2414</v>
      </c>
      <c r="B2170" s="19" t="str">
        <f t="array" ref="B2170">XLOOKUP(A2170,Data!F:F,Data!G:G)</f>
        <v>J2C</v>
      </c>
      <c r="C2170" s="19" t="str">
        <f t="shared" si="3"/>
        <v>J074</v>
      </c>
      <c r="D2170" s="19" t="str">
        <f t="array" ref="D2170">XLOOKUP(A2170,Data!F:F,Data!C:C)</f>
        <v/>
      </c>
      <c r="E2170" s="19" t="str">
        <f t="array" ref="E2170">XLOOKUP(A2170,Data!F:F,Data!H:H)</f>
        <v>BW</v>
      </c>
      <c r="F2170" s="106" t="str">
        <f>SUMIFS(Data!J:J,Data!F:F,A2170)</f>
        <v>1</v>
      </c>
      <c r="G2170" s="106" t="str">
        <f>SUMIFS(Cast!C:C,CastElements,A2170)</f>
        <v>0</v>
      </c>
      <c r="H2170" s="106" t="str">
        <f t="shared" si="4"/>
        <v>1</v>
      </c>
      <c r="I2170" s="106" t="str">
        <f>SUMIFS(Del!C:C,Del!B:B,A2170)</f>
        <v>0</v>
      </c>
      <c r="J2170" s="106" t="str">
        <f t="shared" si="5"/>
        <v>1</v>
      </c>
      <c r="K2170" s="106" t="str">
        <f t="shared" si="6"/>
        <v>0</v>
      </c>
      <c r="L2170" s="106"/>
      <c r="M2170" s="106" t="str">
        <f>SUMIFS(Ere!C:C,Ere!B:B,A2170)</f>
        <v>0</v>
      </c>
      <c r="N2170" s="106" t="str">
        <f t="shared" si="7"/>
        <v>1</v>
      </c>
      <c r="O2170" s="107" t="str">
        <f t="array" ref="O2170">XLOOKUP(A2170,Data!F:F,Data!O:O)</f>
        <v>  0.69 </v>
      </c>
      <c r="P2170" s="107" t="str">
        <f t="shared" si="8"/>
        <v>  1.73 </v>
      </c>
      <c r="Q2170" s="27"/>
    </row>
    <row r="2171" ht="15.75" customHeight="1">
      <c r="A2171" s="111" t="s">
        <v>2415</v>
      </c>
      <c r="B2171" s="19" t="str">
        <f t="array" ref="B2171">XLOOKUP(A2171,Data!F:F,Data!G:G)</f>
        <v>J2C</v>
      </c>
      <c r="C2171" s="19" t="str">
        <f t="shared" si="3"/>
        <v>J074</v>
      </c>
      <c r="D2171" s="19" t="str">
        <f t="array" ref="D2171">XLOOKUP(A2171,Data!F:F,Data!C:C)</f>
        <v/>
      </c>
      <c r="E2171" s="19" t="str">
        <f t="array" ref="E2171">XLOOKUP(A2171,Data!F:F,Data!H:H)</f>
        <v>BW</v>
      </c>
      <c r="F2171" s="106" t="str">
        <f>SUMIFS(Data!J:J,Data!F:F,A2171)</f>
        <v>1</v>
      </c>
      <c r="G2171" s="106" t="str">
        <f>SUMIFS(Cast!C:C,CastElements,A2171)</f>
        <v>1</v>
      </c>
      <c r="H2171" s="106" t="str">
        <f t="shared" si="4"/>
        <v>0</v>
      </c>
      <c r="I2171" s="106" t="str">
        <f>SUMIFS(Del!C:C,Del!B:B,A2171)</f>
        <v>0</v>
      </c>
      <c r="J2171" s="106" t="str">
        <f t="shared" si="5"/>
        <v>1</v>
      </c>
      <c r="K2171" s="106" t="str">
        <f t="shared" si="6"/>
        <v>1</v>
      </c>
      <c r="L2171" s="106"/>
      <c r="M2171" s="106" t="str">
        <f>SUMIFS(Ere!C:C,Ere!B:B,A2171)</f>
        <v>0</v>
      </c>
      <c r="N2171" s="106" t="str">
        <f t="shared" si="7"/>
        <v>1</v>
      </c>
      <c r="O2171" s="107" t="str">
        <f t="array" ref="O2171">XLOOKUP(A2171,Data!F:F,Data!O:O)</f>
        <v>  1.99 </v>
      </c>
      <c r="P2171" s="107" t="str">
        <f t="shared" si="8"/>
        <v>  4.98 </v>
      </c>
      <c r="Q2171" s="27"/>
    </row>
    <row r="2172" ht="15.75" customHeight="1">
      <c r="A2172" s="111" t="s">
        <v>2416</v>
      </c>
      <c r="B2172" s="19" t="str">
        <f t="array" ref="B2172">XLOOKUP(A2172,Data!F:F,Data!G:G)</f>
        <v>J2C</v>
      </c>
      <c r="C2172" s="19" t="str">
        <f t="shared" si="3"/>
        <v>J074</v>
      </c>
      <c r="D2172" s="19" t="str">
        <f t="array" ref="D2172">XLOOKUP(A2172,Data!F:F,Data!C:C)</f>
        <v/>
      </c>
      <c r="E2172" s="19" t="str">
        <f t="array" ref="E2172">XLOOKUP(A2172,Data!F:F,Data!H:H)</f>
        <v>BW</v>
      </c>
      <c r="F2172" s="106" t="str">
        <f>SUMIFS(Data!J:J,Data!F:F,A2172)</f>
        <v>1</v>
      </c>
      <c r="G2172" s="106" t="str">
        <f>SUMIFS(Cast!C:C,CastElements,A2172)</f>
        <v>1</v>
      </c>
      <c r="H2172" s="106" t="str">
        <f t="shared" si="4"/>
        <v>0</v>
      </c>
      <c r="I2172" s="106" t="str">
        <f>SUMIFS(Del!C:C,Del!B:B,A2172)</f>
        <v>0</v>
      </c>
      <c r="J2172" s="106" t="str">
        <f t="shared" si="5"/>
        <v>1</v>
      </c>
      <c r="K2172" s="106" t="str">
        <f t="shared" si="6"/>
        <v>1</v>
      </c>
      <c r="L2172" s="106"/>
      <c r="M2172" s="106" t="str">
        <f>SUMIFS(Ere!C:C,Ere!B:B,A2172)</f>
        <v>0</v>
      </c>
      <c r="N2172" s="106" t="str">
        <f t="shared" si="7"/>
        <v>1</v>
      </c>
      <c r="O2172" s="107" t="str">
        <f t="array" ref="O2172">XLOOKUP(A2172,Data!F:F,Data!O:O)</f>
        <v>  2.04 </v>
      </c>
      <c r="P2172" s="107" t="str">
        <f t="shared" si="8"/>
        <v>  5.10 </v>
      </c>
      <c r="Q2172" s="27"/>
    </row>
    <row r="2173" ht="15.75" customHeight="1">
      <c r="A2173" s="111" t="s">
        <v>2417</v>
      </c>
      <c r="B2173" s="19" t="str">
        <f t="array" ref="B2173">XLOOKUP(A2173,Data!F:F,Data!G:G)</f>
        <v>J2C</v>
      </c>
      <c r="C2173" s="19" t="str">
        <f t="shared" si="3"/>
        <v>J074</v>
      </c>
      <c r="D2173" s="19" t="str">
        <f t="array" ref="D2173">XLOOKUP(A2173,Data!F:F,Data!C:C)</f>
        <v/>
      </c>
      <c r="E2173" s="19" t="str">
        <f t="array" ref="E2173">XLOOKUP(A2173,Data!F:F,Data!H:H)</f>
        <v>BW</v>
      </c>
      <c r="F2173" s="106" t="str">
        <f>SUMIFS(Data!J:J,Data!F:F,A2173)</f>
        <v>1</v>
      </c>
      <c r="G2173" s="106" t="str">
        <f>SUMIFS(Cast!C:C,CastElements,A2173)</f>
        <v>1</v>
      </c>
      <c r="H2173" s="106" t="str">
        <f t="shared" si="4"/>
        <v>0</v>
      </c>
      <c r="I2173" s="106" t="str">
        <f>SUMIFS(Del!C:C,Del!B:B,A2173)</f>
        <v>0</v>
      </c>
      <c r="J2173" s="106" t="str">
        <f t="shared" si="5"/>
        <v>1</v>
      </c>
      <c r="K2173" s="106" t="str">
        <f t="shared" si="6"/>
        <v>1</v>
      </c>
      <c r="L2173" s="106"/>
      <c r="M2173" s="106" t="str">
        <f>SUMIFS(Ere!C:C,Ere!B:B,A2173)</f>
        <v>0</v>
      </c>
      <c r="N2173" s="106" t="str">
        <f t="shared" si="7"/>
        <v>1</v>
      </c>
      <c r="O2173" s="107" t="str">
        <f t="array" ref="O2173">XLOOKUP(A2173,Data!F:F,Data!O:O)</f>
        <v>  2.03 </v>
      </c>
      <c r="P2173" s="107" t="str">
        <f t="shared" si="8"/>
        <v>  5.08 </v>
      </c>
      <c r="Q2173" s="27"/>
    </row>
    <row r="2174" ht="15.75" customHeight="1">
      <c r="A2174" s="111" t="s">
        <v>2418</v>
      </c>
      <c r="B2174" s="19" t="str">
        <f t="array" ref="B2174">XLOOKUP(A2174,Data!F:F,Data!G:G)</f>
        <v>J2C</v>
      </c>
      <c r="C2174" s="19" t="str">
        <f t="shared" si="3"/>
        <v>J074</v>
      </c>
      <c r="D2174" s="19" t="str">
        <f t="array" ref="D2174">XLOOKUP(A2174,Data!F:F,Data!C:C)</f>
        <v/>
      </c>
      <c r="E2174" s="19" t="str">
        <f t="array" ref="E2174">XLOOKUP(A2174,Data!F:F,Data!H:H)</f>
        <v>BW</v>
      </c>
      <c r="F2174" s="106" t="str">
        <f>SUMIFS(Data!J:J,Data!F:F,A2174)</f>
        <v>1</v>
      </c>
      <c r="G2174" s="106" t="str">
        <f>SUMIFS(Cast!C:C,CastElements,A2174)</f>
        <v>1</v>
      </c>
      <c r="H2174" s="106" t="str">
        <f t="shared" si="4"/>
        <v>0</v>
      </c>
      <c r="I2174" s="106" t="str">
        <f>SUMIFS(Del!C:C,Del!B:B,A2174)</f>
        <v>0</v>
      </c>
      <c r="J2174" s="106" t="str">
        <f t="shared" si="5"/>
        <v>1</v>
      </c>
      <c r="K2174" s="106" t="str">
        <f t="shared" si="6"/>
        <v>1</v>
      </c>
      <c r="L2174" s="106"/>
      <c r="M2174" s="106" t="str">
        <f>SUMIFS(Ere!C:C,Ere!B:B,A2174)</f>
        <v>0</v>
      </c>
      <c r="N2174" s="106" t="str">
        <f t="shared" si="7"/>
        <v>1</v>
      </c>
      <c r="O2174" s="107" t="str">
        <f t="array" ref="O2174">XLOOKUP(A2174,Data!F:F,Data!O:O)</f>
        <v>  1.82 </v>
      </c>
      <c r="P2174" s="107" t="str">
        <f t="shared" si="8"/>
        <v>  4.55 </v>
      </c>
      <c r="Q2174" s="27"/>
    </row>
    <row r="2175" ht="15.75" customHeight="1">
      <c r="A2175" s="111" t="s">
        <v>2419</v>
      </c>
      <c r="B2175" s="19" t="str">
        <f t="array" ref="B2175">XLOOKUP(A2175,Data!F:F,Data!G:G)</f>
        <v>J2C</v>
      </c>
      <c r="C2175" s="19" t="str">
        <f t="shared" si="3"/>
        <v>J074</v>
      </c>
      <c r="D2175" s="19" t="str">
        <f t="array" ref="D2175">XLOOKUP(A2175,Data!F:F,Data!C:C)</f>
        <v/>
      </c>
      <c r="E2175" s="19" t="str">
        <f t="array" ref="E2175">XLOOKUP(A2175,Data!F:F,Data!H:H)</f>
        <v>BW</v>
      </c>
      <c r="F2175" s="106" t="str">
        <f>SUMIFS(Data!J:J,Data!F:F,A2175)</f>
        <v>1</v>
      </c>
      <c r="G2175" s="106" t="str">
        <f>SUMIFS(Cast!C:C,CastElements,A2175)</f>
        <v>1</v>
      </c>
      <c r="H2175" s="106" t="str">
        <f t="shared" si="4"/>
        <v>0</v>
      </c>
      <c r="I2175" s="106" t="str">
        <f>SUMIFS(Del!C:C,Del!B:B,A2175)</f>
        <v>0</v>
      </c>
      <c r="J2175" s="106" t="str">
        <f t="shared" si="5"/>
        <v>1</v>
      </c>
      <c r="K2175" s="106" t="str">
        <f t="shared" si="6"/>
        <v>1</v>
      </c>
      <c r="L2175" s="106"/>
      <c r="M2175" s="106" t="str">
        <f>SUMIFS(Ere!C:C,Ere!B:B,A2175)</f>
        <v>0</v>
      </c>
      <c r="N2175" s="106" t="str">
        <f t="shared" si="7"/>
        <v>1</v>
      </c>
      <c r="O2175" s="107" t="str">
        <f t="array" ref="O2175">XLOOKUP(A2175,Data!F:F,Data!O:O)</f>
        <v>  1.82 </v>
      </c>
      <c r="P2175" s="107" t="str">
        <f t="shared" si="8"/>
        <v>  4.55 </v>
      </c>
      <c r="Q2175" s="27"/>
    </row>
    <row r="2176" ht="15.75" customHeight="1">
      <c r="A2176" s="111" t="s">
        <v>2420</v>
      </c>
      <c r="B2176" s="19" t="str">
        <f t="array" ref="B2176">XLOOKUP(A2176,Data!F:F,Data!G:G)</f>
        <v>J2C</v>
      </c>
      <c r="C2176" s="19" t="str">
        <f t="shared" si="3"/>
        <v>J074</v>
      </c>
      <c r="D2176" s="19" t="str">
        <f t="array" ref="D2176">XLOOKUP(A2176,Data!F:F,Data!C:C)</f>
        <v/>
      </c>
      <c r="E2176" s="19" t="str">
        <f t="array" ref="E2176">XLOOKUP(A2176,Data!F:F,Data!H:H)</f>
        <v>BW</v>
      </c>
      <c r="F2176" s="106" t="str">
        <f>SUMIFS(Data!J:J,Data!F:F,A2176)</f>
        <v>1</v>
      </c>
      <c r="G2176" s="106" t="str">
        <f>SUMIFS(Cast!C:C,CastElements,A2176)</f>
        <v>1</v>
      </c>
      <c r="H2176" s="106" t="str">
        <f t="shared" si="4"/>
        <v>0</v>
      </c>
      <c r="I2176" s="106" t="str">
        <f>SUMIFS(Del!C:C,Del!B:B,A2176)</f>
        <v>0</v>
      </c>
      <c r="J2176" s="106" t="str">
        <f t="shared" si="5"/>
        <v>1</v>
      </c>
      <c r="K2176" s="106" t="str">
        <f t="shared" si="6"/>
        <v>1</v>
      </c>
      <c r="L2176" s="106"/>
      <c r="M2176" s="106" t="str">
        <f>SUMIFS(Ere!C:C,Ere!B:B,A2176)</f>
        <v>0</v>
      </c>
      <c r="N2176" s="106" t="str">
        <f t="shared" si="7"/>
        <v>1</v>
      </c>
      <c r="O2176" s="107" t="str">
        <f t="array" ref="O2176">XLOOKUP(A2176,Data!F:F,Data!O:O)</f>
        <v>  1.82 </v>
      </c>
      <c r="P2176" s="107" t="str">
        <f t="shared" si="8"/>
        <v>  4.55 </v>
      </c>
      <c r="Q2176" s="27"/>
    </row>
    <row r="2177" ht="15.75" customHeight="1">
      <c r="A2177" s="111" t="s">
        <v>2421</v>
      </c>
      <c r="B2177" s="19" t="str">
        <f t="array" ref="B2177">XLOOKUP(A2177,Data!F:F,Data!G:G)</f>
        <v>J2C</v>
      </c>
      <c r="C2177" s="19" t="str">
        <f t="shared" si="3"/>
        <v>J074</v>
      </c>
      <c r="D2177" s="19" t="str">
        <f t="array" ref="D2177">XLOOKUP(A2177,Data!F:F,Data!C:C)</f>
        <v/>
      </c>
      <c r="E2177" s="19" t="str">
        <f t="array" ref="E2177">XLOOKUP(A2177,Data!F:F,Data!H:H)</f>
        <v>BW</v>
      </c>
      <c r="F2177" s="106" t="str">
        <f>SUMIFS(Data!J:J,Data!F:F,A2177)</f>
        <v>1</v>
      </c>
      <c r="G2177" s="106" t="str">
        <f>SUMIFS(Cast!C:C,CastElements,A2177)</f>
        <v>1</v>
      </c>
      <c r="H2177" s="106" t="str">
        <f t="shared" si="4"/>
        <v>0</v>
      </c>
      <c r="I2177" s="106" t="str">
        <f>SUMIFS(Del!C:C,Del!B:B,A2177)</f>
        <v>0</v>
      </c>
      <c r="J2177" s="106" t="str">
        <f t="shared" si="5"/>
        <v>1</v>
      </c>
      <c r="K2177" s="106" t="str">
        <f t="shared" si="6"/>
        <v>1</v>
      </c>
      <c r="L2177" s="106"/>
      <c r="M2177" s="106" t="str">
        <f>SUMIFS(Ere!C:C,Ere!B:B,A2177)</f>
        <v>0</v>
      </c>
      <c r="N2177" s="106" t="str">
        <f t="shared" si="7"/>
        <v>1</v>
      </c>
      <c r="O2177" s="107" t="str">
        <f t="array" ref="O2177">XLOOKUP(A2177,Data!F:F,Data!O:O)</f>
        <v>  1.82 </v>
      </c>
      <c r="P2177" s="107" t="str">
        <f t="shared" si="8"/>
        <v>  4.55 </v>
      </c>
      <c r="Q2177" s="27"/>
    </row>
    <row r="2178" ht="15.75" customHeight="1">
      <c r="A2178" s="111" t="s">
        <v>2422</v>
      </c>
      <c r="B2178" s="19" t="str">
        <f t="array" ref="B2178">XLOOKUP(A2178,Data!F:F,Data!G:G)</f>
        <v>J2C</v>
      </c>
      <c r="C2178" s="19" t="str">
        <f t="shared" si="3"/>
        <v>J074</v>
      </c>
      <c r="D2178" s="19" t="str">
        <f t="array" ref="D2178">XLOOKUP(A2178,Data!F:F,Data!C:C)</f>
        <v/>
      </c>
      <c r="E2178" s="19" t="str">
        <f t="array" ref="E2178">XLOOKUP(A2178,Data!F:F,Data!H:H)</f>
        <v>BW</v>
      </c>
      <c r="F2178" s="106" t="str">
        <f>SUMIFS(Data!J:J,Data!F:F,A2178)</f>
        <v>1</v>
      </c>
      <c r="G2178" s="106" t="str">
        <f>SUMIFS(Cast!C:C,CastElements,A2178)</f>
        <v>1</v>
      </c>
      <c r="H2178" s="106" t="str">
        <f t="shared" si="4"/>
        <v>0</v>
      </c>
      <c r="I2178" s="106" t="str">
        <f>SUMIFS(Del!C:C,Del!B:B,A2178)</f>
        <v>0</v>
      </c>
      <c r="J2178" s="106" t="str">
        <f t="shared" si="5"/>
        <v>1</v>
      </c>
      <c r="K2178" s="106" t="str">
        <f t="shared" si="6"/>
        <v>1</v>
      </c>
      <c r="L2178" s="106"/>
      <c r="M2178" s="106" t="str">
        <f>SUMIFS(Ere!C:C,Ere!B:B,A2178)</f>
        <v>0</v>
      </c>
      <c r="N2178" s="106" t="str">
        <f t="shared" si="7"/>
        <v>1</v>
      </c>
      <c r="O2178" s="107" t="str">
        <f t="array" ref="O2178">XLOOKUP(A2178,Data!F:F,Data!O:O)</f>
        <v>  1.82 </v>
      </c>
      <c r="P2178" s="107" t="str">
        <f t="shared" si="8"/>
        <v>  4.55 </v>
      </c>
      <c r="Q2178" s="27"/>
    </row>
    <row r="2179" ht="15.75" customHeight="1">
      <c r="A2179" s="111" t="s">
        <v>2423</v>
      </c>
      <c r="B2179" s="19" t="str">
        <f t="array" ref="B2179">XLOOKUP(A2179,Data!F:F,Data!G:G)</f>
        <v>J2C</v>
      </c>
      <c r="C2179" s="19" t="str">
        <f t="shared" si="3"/>
        <v>J074</v>
      </c>
      <c r="D2179" s="19" t="str">
        <f t="array" ref="D2179">XLOOKUP(A2179,Data!F:F,Data!C:C)</f>
        <v/>
      </c>
      <c r="E2179" s="19" t="str">
        <f t="array" ref="E2179">XLOOKUP(A2179,Data!F:F,Data!H:H)</f>
        <v>BW</v>
      </c>
      <c r="F2179" s="106" t="str">
        <f>SUMIFS(Data!J:J,Data!F:F,A2179)</f>
        <v>1</v>
      </c>
      <c r="G2179" s="106" t="str">
        <f>SUMIFS(Cast!C:C,CastElements,A2179)</f>
        <v>1</v>
      </c>
      <c r="H2179" s="106" t="str">
        <f t="shared" si="4"/>
        <v>0</v>
      </c>
      <c r="I2179" s="106" t="str">
        <f>SUMIFS(Del!C:C,Del!B:B,A2179)</f>
        <v>0</v>
      </c>
      <c r="J2179" s="106" t="str">
        <f t="shared" si="5"/>
        <v>1</v>
      </c>
      <c r="K2179" s="106" t="str">
        <f t="shared" si="6"/>
        <v>1</v>
      </c>
      <c r="L2179" s="106"/>
      <c r="M2179" s="106" t="str">
        <f>SUMIFS(Ere!C:C,Ere!B:B,A2179)</f>
        <v>0</v>
      </c>
      <c r="N2179" s="106" t="str">
        <f t="shared" si="7"/>
        <v>1</v>
      </c>
      <c r="O2179" s="107" t="str">
        <f t="array" ref="O2179">XLOOKUP(A2179,Data!F:F,Data!O:O)</f>
        <v>  0.91 </v>
      </c>
      <c r="P2179" s="107" t="str">
        <f t="shared" si="8"/>
        <v>  2.28 </v>
      </c>
      <c r="Q2179" s="27"/>
    </row>
    <row r="2180" ht="15.75" customHeight="1">
      <c r="A2180" s="111" t="s">
        <v>2424</v>
      </c>
      <c r="B2180" s="19" t="str">
        <f t="array" ref="B2180">XLOOKUP(A2180,Data!F:F,Data!G:G)</f>
        <v>J2C</v>
      </c>
      <c r="C2180" s="19" t="str">
        <f t="shared" si="3"/>
        <v>J074</v>
      </c>
      <c r="D2180" s="19" t="str">
        <f t="array" ref="D2180">XLOOKUP(A2180,Data!F:F,Data!C:C)</f>
        <v/>
      </c>
      <c r="E2180" s="19" t="str">
        <f t="array" ref="E2180">XLOOKUP(A2180,Data!F:F,Data!H:H)</f>
        <v>BW</v>
      </c>
      <c r="F2180" s="106" t="str">
        <f>SUMIFS(Data!J:J,Data!F:F,A2180)</f>
        <v>1</v>
      </c>
      <c r="G2180" s="106" t="str">
        <f>SUMIFS(Cast!C:C,CastElements,A2180)</f>
        <v>1</v>
      </c>
      <c r="H2180" s="106" t="str">
        <f t="shared" si="4"/>
        <v>0</v>
      </c>
      <c r="I2180" s="106" t="str">
        <f>SUMIFS(Del!C:C,Del!B:B,A2180)</f>
        <v>0</v>
      </c>
      <c r="J2180" s="106" t="str">
        <f t="shared" si="5"/>
        <v>1</v>
      </c>
      <c r="K2180" s="106" t="str">
        <f t="shared" si="6"/>
        <v>1</v>
      </c>
      <c r="L2180" s="106"/>
      <c r="M2180" s="106" t="str">
        <f>SUMIFS(Ere!C:C,Ere!B:B,A2180)</f>
        <v>0</v>
      </c>
      <c r="N2180" s="106" t="str">
        <f t="shared" si="7"/>
        <v>1</v>
      </c>
      <c r="O2180" s="107" t="str">
        <f t="array" ref="O2180">XLOOKUP(A2180,Data!F:F,Data!O:O)</f>
        <v>  0.91 </v>
      </c>
      <c r="P2180" s="107" t="str">
        <f t="shared" si="8"/>
        <v>  2.28 </v>
      </c>
      <c r="Q2180" s="27"/>
    </row>
    <row r="2181" ht="15.75" customHeight="1">
      <c r="A2181" s="111" t="s">
        <v>2425</v>
      </c>
      <c r="B2181" s="19" t="str">
        <f t="array" ref="B2181">XLOOKUP(A2181,Data!F:F,Data!G:G)</f>
        <v>J2C</v>
      </c>
      <c r="C2181" s="19" t="str">
        <f t="shared" si="3"/>
        <v>J074</v>
      </c>
      <c r="D2181" s="19" t="str">
        <f t="array" ref="D2181">XLOOKUP(A2181,Data!F:F,Data!C:C)</f>
        <v>EXT</v>
      </c>
      <c r="E2181" s="19" t="str">
        <f t="array" ref="E2181">XLOOKUP(A2181,Data!F:F,Data!H:H)</f>
        <v>BW</v>
      </c>
      <c r="F2181" s="106" t="str">
        <f>SUMIFS(Data!J:J,Data!F:F,A2181)</f>
        <v>1</v>
      </c>
      <c r="G2181" s="106" t="str">
        <f>SUMIFS(Cast!C:C,CastElements,A2181)</f>
        <v>0</v>
      </c>
      <c r="H2181" s="106" t="str">
        <f t="shared" si="4"/>
        <v>1</v>
      </c>
      <c r="I2181" s="106" t="str">
        <f>SUMIFS(Del!C:C,Del!B:B,A2181)</f>
        <v>0</v>
      </c>
      <c r="J2181" s="106" t="str">
        <f t="shared" si="5"/>
        <v>1</v>
      </c>
      <c r="K2181" s="106" t="str">
        <f t="shared" si="6"/>
        <v>0</v>
      </c>
      <c r="L2181" s="106"/>
      <c r="M2181" s="106" t="str">
        <f>SUMIFS(Ere!C:C,Ere!B:B,A2181)</f>
        <v>0</v>
      </c>
      <c r="N2181" s="106" t="str">
        <f t="shared" si="7"/>
        <v>1</v>
      </c>
      <c r="O2181" s="107" t="str">
        <f t="array" ref="O2181">XLOOKUP(A2181,Data!F:F,Data!O:O)</f>
        <v>  1.04 </v>
      </c>
      <c r="P2181" s="107" t="str">
        <f t="shared" si="8"/>
        <v>  2.60 </v>
      </c>
      <c r="Q2181" s="27"/>
    </row>
    <row r="2182" ht="15.75" customHeight="1">
      <c r="A2182" s="111" t="s">
        <v>2426</v>
      </c>
      <c r="B2182" s="19" t="str">
        <f t="array" ref="B2182">XLOOKUP(A2182,Data!F:F,Data!G:G)</f>
        <v>J2C</v>
      </c>
      <c r="C2182" s="19" t="str">
        <f t="shared" si="3"/>
        <v>J074</v>
      </c>
      <c r="D2182" s="19" t="str">
        <f t="array" ref="D2182">XLOOKUP(A2182,Data!F:F,Data!C:C)</f>
        <v/>
      </c>
      <c r="E2182" s="19" t="str">
        <f t="array" ref="E2182">XLOOKUP(A2182,Data!F:F,Data!H:H)</f>
        <v>BW</v>
      </c>
      <c r="F2182" s="106" t="str">
        <f>SUMIFS(Data!J:J,Data!F:F,A2182)</f>
        <v>1</v>
      </c>
      <c r="G2182" s="106" t="str">
        <f>SUMIFS(Cast!C:C,CastElements,A2182)</f>
        <v>0</v>
      </c>
      <c r="H2182" s="106" t="str">
        <f t="shared" si="4"/>
        <v>1</v>
      </c>
      <c r="I2182" s="106" t="str">
        <f>SUMIFS(Del!C:C,Del!B:B,A2182)</f>
        <v>0</v>
      </c>
      <c r="J2182" s="106" t="str">
        <f t="shared" si="5"/>
        <v>1</v>
      </c>
      <c r="K2182" s="106" t="str">
        <f t="shared" si="6"/>
        <v>0</v>
      </c>
      <c r="L2182" s="106"/>
      <c r="M2182" s="106" t="str">
        <f>SUMIFS(Ere!C:C,Ere!B:B,A2182)</f>
        <v>0</v>
      </c>
      <c r="N2182" s="106" t="str">
        <f t="shared" si="7"/>
        <v>1</v>
      </c>
      <c r="O2182" s="107" t="str">
        <f t="array" ref="O2182">XLOOKUP(A2182,Data!F:F,Data!O:O)</f>
        <v>  1.25 </v>
      </c>
      <c r="P2182" s="107" t="str">
        <f t="shared" si="8"/>
        <v>  3.13 </v>
      </c>
      <c r="Q2182" s="27"/>
    </row>
    <row r="2183" ht="15.75" customHeight="1">
      <c r="A2183" s="111" t="s">
        <v>2427</v>
      </c>
      <c r="B2183" s="19" t="str">
        <f t="array" ref="B2183">XLOOKUP(A2183,Data!F:F,Data!G:G)</f>
        <v>J2C</v>
      </c>
      <c r="C2183" s="19" t="str">
        <f t="shared" si="3"/>
        <v>J074</v>
      </c>
      <c r="D2183" s="19" t="str">
        <f t="array" ref="D2183">XLOOKUP(A2183,Data!F:F,Data!C:C)</f>
        <v/>
      </c>
      <c r="E2183" s="19" t="str">
        <f t="array" ref="E2183">XLOOKUP(A2183,Data!F:F,Data!H:H)</f>
        <v>BW</v>
      </c>
      <c r="F2183" s="106" t="str">
        <f>SUMIFS(Data!J:J,Data!F:F,A2183)</f>
        <v>1</v>
      </c>
      <c r="G2183" s="106" t="str">
        <f>SUMIFS(Cast!C:C,CastElements,A2183)</f>
        <v>1</v>
      </c>
      <c r="H2183" s="106" t="str">
        <f t="shared" si="4"/>
        <v>0</v>
      </c>
      <c r="I2183" s="106" t="str">
        <f>SUMIFS(Del!C:C,Del!B:B,A2183)</f>
        <v>0</v>
      </c>
      <c r="J2183" s="106" t="str">
        <f t="shared" si="5"/>
        <v>1</v>
      </c>
      <c r="K2183" s="106" t="str">
        <f t="shared" si="6"/>
        <v>1</v>
      </c>
      <c r="L2183" s="106"/>
      <c r="M2183" s="106" t="str">
        <f>SUMIFS(Ere!C:C,Ere!B:B,A2183)</f>
        <v>0</v>
      </c>
      <c r="N2183" s="106" t="str">
        <f t="shared" si="7"/>
        <v>1</v>
      </c>
      <c r="O2183" s="107" t="str">
        <f t="array" ref="O2183">XLOOKUP(A2183,Data!F:F,Data!O:O)</f>
        <v>  1.87 </v>
      </c>
      <c r="P2183" s="107" t="str">
        <f t="shared" si="8"/>
        <v>  4.68 </v>
      </c>
      <c r="Q2183" s="27"/>
    </row>
    <row r="2184" ht="15.75" customHeight="1">
      <c r="A2184" s="111" t="s">
        <v>2428</v>
      </c>
      <c r="B2184" s="19" t="str">
        <f t="array" ref="B2184">XLOOKUP(A2184,Data!F:F,Data!G:G)</f>
        <v>J2C</v>
      </c>
      <c r="C2184" s="19" t="str">
        <f t="shared" si="3"/>
        <v>J074</v>
      </c>
      <c r="D2184" s="19" t="str">
        <f t="array" ref="D2184">XLOOKUP(A2184,Data!F:F,Data!C:C)</f>
        <v/>
      </c>
      <c r="E2184" s="19" t="str">
        <f t="array" ref="E2184">XLOOKUP(A2184,Data!F:F,Data!H:H)</f>
        <v>BW</v>
      </c>
      <c r="F2184" s="106" t="str">
        <f>SUMIFS(Data!J:J,Data!F:F,A2184)</f>
        <v>1</v>
      </c>
      <c r="G2184" s="106" t="str">
        <f>SUMIFS(Cast!C:C,CastElements,A2184)</f>
        <v>1</v>
      </c>
      <c r="H2184" s="106" t="str">
        <f t="shared" si="4"/>
        <v>0</v>
      </c>
      <c r="I2184" s="106" t="str">
        <f>SUMIFS(Del!C:C,Del!B:B,A2184)</f>
        <v>0</v>
      </c>
      <c r="J2184" s="106" t="str">
        <f t="shared" si="5"/>
        <v>1</v>
      </c>
      <c r="K2184" s="106" t="str">
        <f t="shared" si="6"/>
        <v>1</v>
      </c>
      <c r="L2184" s="106"/>
      <c r="M2184" s="106" t="str">
        <f>SUMIFS(Ere!C:C,Ere!B:B,A2184)</f>
        <v>0</v>
      </c>
      <c r="N2184" s="106" t="str">
        <f t="shared" si="7"/>
        <v>1</v>
      </c>
      <c r="O2184" s="107" t="str">
        <f t="array" ref="O2184">XLOOKUP(A2184,Data!F:F,Data!O:O)</f>
        <v>  2.29 </v>
      </c>
      <c r="P2184" s="107" t="str">
        <f t="shared" si="8"/>
        <v>  5.73 </v>
      </c>
      <c r="Q2184" s="27"/>
    </row>
    <row r="2185" ht="15.75" customHeight="1">
      <c r="A2185" s="111" t="s">
        <v>2429</v>
      </c>
      <c r="B2185" s="19" t="str">
        <f t="array" ref="B2185">XLOOKUP(A2185,Data!F:F,Data!G:G)</f>
        <v>J2C</v>
      </c>
      <c r="C2185" s="19" t="str">
        <f t="shared" si="3"/>
        <v>J074</v>
      </c>
      <c r="D2185" s="19" t="str">
        <f t="array" ref="D2185">XLOOKUP(A2185,Data!F:F,Data!C:C)</f>
        <v/>
      </c>
      <c r="E2185" s="19" t="str">
        <f t="array" ref="E2185">XLOOKUP(A2185,Data!F:F,Data!H:H)</f>
        <v>BW</v>
      </c>
      <c r="F2185" s="106" t="str">
        <f>SUMIFS(Data!J:J,Data!F:F,A2185)</f>
        <v>1</v>
      </c>
      <c r="G2185" s="106" t="str">
        <f>SUMIFS(Cast!C:C,CastElements,A2185)</f>
        <v>0</v>
      </c>
      <c r="H2185" s="106" t="str">
        <f t="shared" si="4"/>
        <v>1</v>
      </c>
      <c r="I2185" s="106" t="str">
        <f>SUMIFS(Del!C:C,Del!B:B,A2185)</f>
        <v>0</v>
      </c>
      <c r="J2185" s="106" t="str">
        <f t="shared" si="5"/>
        <v>1</v>
      </c>
      <c r="K2185" s="106" t="str">
        <f t="shared" si="6"/>
        <v>0</v>
      </c>
      <c r="L2185" s="106"/>
      <c r="M2185" s="106" t="str">
        <f>SUMIFS(Ere!C:C,Ere!B:B,A2185)</f>
        <v>0</v>
      </c>
      <c r="N2185" s="106" t="str">
        <f t="shared" si="7"/>
        <v>1</v>
      </c>
      <c r="O2185" s="107" t="str">
        <f t="array" ref="O2185">XLOOKUP(A2185,Data!F:F,Data!O:O)</f>
        <v>  0.33 </v>
      </c>
      <c r="P2185" s="107" t="str">
        <f t="shared" si="8"/>
        <v>  0.83 </v>
      </c>
      <c r="Q2185" s="27"/>
    </row>
    <row r="2186" ht="15.75" customHeight="1">
      <c r="A2186" s="111" t="s">
        <v>2430</v>
      </c>
      <c r="B2186" s="19" t="str">
        <f t="array" ref="B2186">XLOOKUP(A2186,Data!F:F,Data!G:G)</f>
        <v>J2C</v>
      </c>
      <c r="C2186" s="19" t="str">
        <f t="shared" si="3"/>
        <v>J074</v>
      </c>
      <c r="D2186" s="19" t="str">
        <f t="array" ref="D2186">XLOOKUP(A2186,Data!F:F,Data!C:C)</f>
        <v/>
      </c>
      <c r="E2186" s="19" t="str">
        <f t="array" ref="E2186">XLOOKUP(A2186,Data!F:F,Data!H:H)</f>
        <v>BW</v>
      </c>
      <c r="F2186" s="106" t="str">
        <f>SUMIFS(Data!J:J,Data!F:F,A2186)</f>
        <v>1</v>
      </c>
      <c r="G2186" s="106" t="str">
        <f>SUMIFS(Cast!C:C,CastElements,A2186)</f>
        <v>1</v>
      </c>
      <c r="H2186" s="106" t="str">
        <f t="shared" si="4"/>
        <v>0</v>
      </c>
      <c r="I2186" s="106" t="str">
        <f>SUMIFS(Del!C:C,Del!B:B,A2186)</f>
        <v>0</v>
      </c>
      <c r="J2186" s="106" t="str">
        <f t="shared" si="5"/>
        <v>1</v>
      </c>
      <c r="K2186" s="106" t="str">
        <f t="shared" si="6"/>
        <v>1</v>
      </c>
      <c r="L2186" s="106"/>
      <c r="M2186" s="106" t="str">
        <f>SUMIFS(Ere!C:C,Ere!B:B,A2186)</f>
        <v>0</v>
      </c>
      <c r="N2186" s="106" t="str">
        <f t="shared" si="7"/>
        <v>1</v>
      </c>
      <c r="O2186" s="107" t="str">
        <f t="array" ref="O2186">XLOOKUP(A2186,Data!F:F,Data!O:O)</f>
        <v>  0.41 </v>
      </c>
      <c r="P2186" s="107" t="str">
        <f t="shared" si="8"/>
        <v>  1.03 </v>
      </c>
      <c r="Q2186" s="27"/>
    </row>
    <row r="2187" ht="15.75" customHeight="1">
      <c r="A2187" s="111" t="s">
        <v>2431</v>
      </c>
      <c r="B2187" s="19" t="str">
        <f t="array" ref="B2187">XLOOKUP(A2187,Data!F:F,Data!G:G)</f>
        <v>J2C</v>
      </c>
      <c r="C2187" s="19" t="str">
        <f t="shared" si="3"/>
        <v>J074</v>
      </c>
      <c r="D2187" s="19" t="str">
        <f t="array" ref="D2187">XLOOKUP(A2187,Data!F:F,Data!C:C)</f>
        <v/>
      </c>
      <c r="E2187" s="19" t="str">
        <f t="array" ref="E2187">XLOOKUP(A2187,Data!F:F,Data!H:H)</f>
        <v>CF</v>
      </c>
      <c r="F2187" s="106" t="str">
        <f>SUMIFS(Data!J:J,Data!F:F,A2187)</f>
        <v>1</v>
      </c>
      <c r="G2187" s="106" t="str">
        <f>SUMIFS(Cast!C:C,CastElements,A2187)</f>
        <v>0</v>
      </c>
      <c r="H2187" s="106" t="str">
        <f t="shared" si="4"/>
        <v>1</v>
      </c>
      <c r="I2187" s="106" t="str">
        <f>SUMIFS(Del!C:C,Del!B:B,A2187)</f>
        <v>0</v>
      </c>
      <c r="J2187" s="106" t="str">
        <f t="shared" si="5"/>
        <v>1</v>
      </c>
      <c r="K2187" s="106" t="str">
        <f t="shared" si="6"/>
        <v>0</v>
      </c>
      <c r="L2187" s="106"/>
      <c r="M2187" s="106" t="str">
        <f>SUMIFS(Ere!C:C,Ere!B:B,A2187)</f>
        <v>0</v>
      </c>
      <c r="N2187" s="106" t="str">
        <f t="shared" si="7"/>
        <v>1</v>
      </c>
      <c r="O2187" s="107" t="str">
        <f t="array" ref="O2187">XLOOKUP(A2187,Data!F:F,Data!O:O)</f>
        <v>  0.50 </v>
      </c>
      <c r="P2187" s="107" t="str">
        <f t="shared" si="8"/>
        <v>  1.25 </v>
      </c>
      <c r="Q2187" s="27"/>
    </row>
    <row r="2188" ht="15.75" customHeight="1">
      <c r="A2188" s="111" t="s">
        <v>2432</v>
      </c>
      <c r="B2188" s="19" t="str">
        <f t="array" ref="B2188">XLOOKUP(A2188,Data!F:F,Data!G:G)</f>
        <v>J2C</v>
      </c>
      <c r="C2188" s="19" t="str">
        <f t="shared" si="3"/>
        <v>J075</v>
      </c>
      <c r="D2188" s="19" t="str">
        <f t="array" ref="D2188">XLOOKUP(A2188,Data!F:F,Data!C:C)</f>
        <v>EXT</v>
      </c>
      <c r="E2188" s="19" t="str">
        <f t="array" ref="E2188">XLOOKUP(A2188,Data!F:F,Data!H:H)</f>
        <v>BW</v>
      </c>
      <c r="F2188" s="106" t="str">
        <f>SUMIFS(Data!J:J,Data!F:F,A2188)</f>
        <v>1</v>
      </c>
      <c r="G2188" s="106" t="str">
        <f>SUMIFS(Cast!C:C,CastElements,A2188)</f>
        <v>1</v>
      </c>
      <c r="H2188" s="106" t="str">
        <f t="shared" si="4"/>
        <v>0</v>
      </c>
      <c r="I2188" s="106" t="str">
        <f>SUMIFS(Del!C:C,Del!B:B,A2188)</f>
        <v>0</v>
      </c>
      <c r="J2188" s="106" t="str">
        <f t="shared" si="5"/>
        <v>1</v>
      </c>
      <c r="K2188" s="106" t="str">
        <f t="shared" si="6"/>
        <v>1</v>
      </c>
      <c r="L2188" s="106"/>
      <c r="M2188" s="106" t="str">
        <f>SUMIFS(Ere!C:C,Ere!B:B,A2188)</f>
        <v>0</v>
      </c>
      <c r="N2188" s="106" t="str">
        <f t="shared" si="7"/>
        <v>1</v>
      </c>
      <c r="O2188" s="107" t="str">
        <f t="array" ref="O2188">XLOOKUP(A2188,Data!F:F,Data!O:O)</f>
        <v>  0.41 </v>
      </c>
      <c r="P2188" s="107" t="str">
        <f t="shared" si="8"/>
        <v>  1.03 </v>
      </c>
      <c r="Q2188" s="27"/>
    </row>
    <row r="2189" ht="15.75" customHeight="1">
      <c r="A2189" s="111" t="s">
        <v>2433</v>
      </c>
      <c r="B2189" s="19" t="str">
        <f t="array" ref="B2189">XLOOKUP(A2189,Data!F:F,Data!G:G)</f>
        <v>J2C</v>
      </c>
      <c r="C2189" s="19" t="str">
        <f t="shared" si="3"/>
        <v>J075</v>
      </c>
      <c r="D2189" s="19" t="str">
        <f t="array" ref="D2189">XLOOKUP(A2189,Data!F:F,Data!C:C)</f>
        <v>EXT</v>
      </c>
      <c r="E2189" s="19" t="str">
        <f t="array" ref="E2189">XLOOKUP(A2189,Data!F:F,Data!H:H)</f>
        <v>BW</v>
      </c>
      <c r="F2189" s="106" t="str">
        <f>SUMIFS(Data!J:J,Data!F:F,A2189)</f>
        <v>1</v>
      </c>
      <c r="G2189" s="106" t="str">
        <f>SUMIFS(Cast!C:C,CastElements,A2189)</f>
        <v>1</v>
      </c>
      <c r="H2189" s="106" t="str">
        <f t="shared" si="4"/>
        <v>0</v>
      </c>
      <c r="I2189" s="106" t="str">
        <f>SUMIFS(Del!C:C,Del!B:B,A2189)</f>
        <v>0</v>
      </c>
      <c r="J2189" s="106" t="str">
        <f t="shared" si="5"/>
        <v>1</v>
      </c>
      <c r="K2189" s="106" t="str">
        <f t="shared" si="6"/>
        <v>1</v>
      </c>
      <c r="L2189" s="106"/>
      <c r="M2189" s="106" t="str">
        <f>SUMIFS(Ere!C:C,Ere!B:B,A2189)</f>
        <v>0</v>
      </c>
      <c r="N2189" s="106" t="str">
        <f t="shared" si="7"/>
        <v>1</v>
      </c>
      <c r="O2189" s="107" t="str">
        <f t="array" ref="O2189">XLOOKUP(A2189,Data!F:F,Data!O:O)</f>
        <v>  0.41 </v>
      </c>
      <c r="P2189" s="107" t="str">
        <f t="shared" si="8"/>
        <v>  1.03 </v>
      </c>
      <c r="Q2189" s="27"/>
    </row>
    <row r="2190" ht="15.75" customHeight="1">
      <c r="A2190" s="111" t="s">
        <v>2434</v>
      </c>
      <c r="B2190" s="19" t="str">
        <f t="array" ref="B2190">XLOOKUP(A2190,Data!F:F,Data!G:G)</f>
        <v>J2C</v>
      </c>
      <c r="C2190" s="19" t="str">
        <f t="shared" si="3"/>
        <v>J075</v>
      </c>
      <c r="D2190" s="19" t="str">
        <f t="array" ref="D2190">XLOOKUP(A2190,Data!F:F,Data!C:C)</f>
        <v>EXT</v>
      </c>
      <c r="E2190" s="19" t="str">
        <f t="array" ref="E2190">XLOOKUP(A2190,Data!F:F,Data!H:H)</f>
        <v>BW</v>
      </c>
      <c r="F2190" s="106" t="str">
        <f>SUMIFS(Data!J:J,Data!F:F,A2190)</f>
        <v>1</v>
      </c>
      <c r="G2190" s="106" t="str">
        <f>SUMIFS(Cast!C:C,CastElements,A2190)</f>
        <v>1</v>
      </c>
      <c r="H2190" s="106" t="str">
        <f t="shared" si="4"/>
        <v>0</v>
      </c>
      <c r="I2190" s="106" t="str">
        <f>SUMIFS(Del!C:C,Del!B:B,A2190)</f>
        <v>0</v>
      </c>
      <c r="J2190" s="106" t="str">
        <f t="shared" si="5"/>
        <v>1</v>
      </c>
      <c r="K2190" s="106" t="str">
        <f t="shared" si="6"/>
        <v>1</v>
      </c>
      <c r="L2190" s="106"/>
      <c r="M2190" s="106" t="str">
        <f>SUMIFS(Ere!C:C,Ere!B:B,A2190)</f>
        <v>0</v>
      </c>
      <c r="N2190" s="106" t="str">
        <f t="shared" si="7"/>
        <v>1</v>
      </c>
      <c r="O2190" s="107" t="str">
        <f t="array" ref="O2190">XLOOKUP(A2190,Data!F:F,Data!O:O)</f>
        <v>  0.41 </v>
      </c>
      <c r="P2190" s="107" t="str">
        <f t="shared" si="8"/>
        <v>  1.03 </v>
      </c>
      <c r="Q2190" s="27"/>
    </row>
    <row r="2191" ht="15.75" customHeight="1">
      <c r="A2191" s="111" t="s">
        <v>2435</v>
      </c>
      <c r="B2191" s="19" t="str">
        <f t="array" ref="B2191">XLOOKUP(A2191,Data!F:F,Data!G:G)</f>
        <v>J2C</v>
      </c>
      <c r="C2191" s="19" t="str">
        <f t="shared" si="3"/>
        <v>J075</v>
      </c>
      <c r="D2191" s="19" t="str">
        <f t="array" ref="D2191">XLOOKUP(A2191,Data!F:F,Data!C:C)</f>
        <v>EXT</v>
      </c>
      <c r="E2191" s="19" t="str">
        <f t="array" ref="E2191">XLOOKUP(A2191,Data!F:F,Data!H:H)</f>
        <v>BW</v>
      </c>
      <c r="F2191" s="106" t="str">
        <f>SUMIFS(Data!J:J,Data!F:F,A2191)</f>
        <v>1</v>
      </c>
      <c r="G2191" s="106" t="str">
        <f>SUMIFS(Cast!C:C,CastElements,A2191)</f>
        <v>0</v>
      </c>
      <c r="H2191" s="106" t="str">
        <f t="shared" si="4"/>
        <v>1</v>
      </c>
      <c r="I2191" s="106" t="str">
        <f>SUMIFS(Del!C:C,Del!B:B,A2191)</f>
        <v>0</v>
      </c>
      <c r="J2191" s="106" t="str">
        <f t="shared" si="5"/>
        <v>1</v>
      </c>
      <c r="K2191" s="106" t="str">
        <f t="shared" si="6"/>
        <v>0</v>
      </c>
      <c r="L2191" s="106"/>
      <c r="M2191" s="106" t="str">
        <f>SUMIFS(Ere!C:C,Ere!B:B,A2191)</f>
        <v>0</v>
      </c>
      <c r="N2191" s="106" t="str">
        <f t="shared" si="7"/>
        <v>1</v>
      </c>
      <c r="O2191" s="107" t="str">
        <f t="array" ref="O2191">XLOOKUP(A2191,Data!F:F,Data!O:O)</f>
        <v>  0.97 </v>
      </c>
      <c r="P2191" s="107" t="str">
        <f t="shared" si="8"/>
        <v>  2.43 </v>
      </c>
      <c r="Q2191" s="27"/>
    </row>
    <row r="2192" ht="15.75" customHeight="1">
      <c r="A2192" s="111" t="s">
        <v>2436</v>
      </c>
      <c r="B2192" s="19" t="str">
        <f t="array" ref="B2192">XLOOKUP(A2192,Data!F:F,Data!G:G)</f>
        <v>J2C</v>
      </c>
      <c r="C2192" s="19" t="str">
        <f t="shared" si="3"/>
        <v>J075</v>
      </c>
      <c r="D2192" s="19" t="str">
        <f t="array" ref="D2192">XLOOKUP(A2192,Data!F:F,Data!C:C)</f>
        <v>EXT</v>
      </c>
      <c r="E2192" s="19" t="str">
        <f t="array" ref="E2192">XLOOKUP(A2192,Data!F:F,Data!H:H)</f>
        <v>BW</v>
      </c>
      <c r="F2192" s="106" t="str">
        <f>SUMIFS(Data!J:J,Data!F:F,A2192)</f>
        <v>1</v>
      </c>
      <c r="G2192" s="106" t="str">
        <f>SUMIFS(Cast!C:C,CastElements,A2192)</f>
        <v>0</v>
      </c>
      <c r="H2192" s="106" t="str">
        <f t="shared" si="4"/>
        <v>1</v>
      </c>
      <c r="I2192" s="106" t="str">
        <f>SUMIFS(Del!C:C,Del!B:B,A2192)</f>
        <v>0</v>
      </c>
      <c r="J2192" s="106" t="str">
        <f t="shared" si="5"/>
        <v>1</v>
      </c>
      <c r="K2192" s="106" t="str">
        <f t="shared" si="6"/>
        <v>0</v>
      </c>
      <c r="L2192" s="106"/>
      <c r="M2192" s="106" t="str">
        <f>SUMIFS(Ere!C:C,Ere!B:B,A2192)</f>
        <v>0</v>
      </c>
      <c r="N2192" s="106" t="str">
        <f t="shared" si="7"/>
        <v>1</v>
      </c>
      <c r="O2192" s="107" t="str">
        <f t="array" ref="O2192">XLOOKUP(A2192,Data!F:F,Data!O:O)</f>
        <v>  0.97 </v>
      </c>
      <c r="P2192" s="107" t="str">
        <f t="shared" si="8"/>
        <v>  2.43 </v>
      </c>
      <c r="Q2192" s="27"/>
    </row>
    <row r="2193" ht="15.75" customHeight="1">
      <c r="A2193" s="111" t="s">
        <v>2437</v>
      </c>
      <c r="B2193" s="19" t="str">
        <f t="array" ref="B2193">XLOOKUP(A2193,Data!F:F,Data!G:G)</f>
        <v>J2C</v>
      </c>
      <c r="C2193" s="19" t="str">
        <f t="shared" si="3"/>
        <v>J075</v>
      </c>
      <c r="D2193" s="19" t="str">
        <f t="array" ref="D2193">XLOOKUP(A2193,Data!F:F,Data!C:C)</f>
        <v/>
      </c>
      <c r="E2193" s="19" t="str">
        <f t="array" ref="E2193">XLOOKUP(A2193,Data!F:F,Data!H:H)</f>
        <v>BW</v>
      </c>
      <c r="F2193" s="106" t="str">
        <f>SUMIFS(Data!J:J,Data!F:F,A2193)</f>
        <v>1</v>
      </c>
      <c r="G2193" s="106" t="str">
        <f>SUMIFS(Cast!C:C,CastElements,A2193)</f>
        <v>1</v>
      </c>
      <c r="H2193" s="106" t="str">
        <f t="shared" si="4"/>
        <v>0</v>
      </c>
      <c r="I2193" s="106" t="str">
        <f>SUMIFS(Del!C:C,Del!B:B,A2193)</f>
        <v>0</v>
      </c>
      <c r="J2193" s="106" t="str">
        <f t="shared" si="5"/>
        <v>1</v>
      </c>
      <c r="K2193" s="106" t="str">
        <f t="shared" si="6"/>
        <v>1</v>
      </c>
      <c r="L2193" s="106"/>
      <c r="M2193" s="106" t="str">
        <f>SUMIFS(Ere!C:C,Ere!B:B,A2193)</f>
        <v>0</v>
      </c>
      <c r="N2193" s="106" t="str">
        <f t="shared" si="7"/>
        <v>1</v>
      </c>
      <c r="O2193" s="107" t="str">
        <f t="array" ref="O2193">XLOOKUP(A2193,Data!F:F,Data!O:O)</f>
        <v>  1.50 </v>
      </c>
      <c r="P2193" s="107" t="str">
        <f t="shared" si="8"/>
        <v>  3.75 </v>
      </c>
      <c r="Q2193" s="27"/>
    </row>
    <row r="2194" ht="15.75" customHeight="1">
      <c r="A2194" s="111" t="s">
        <v>2438</v>
      </c>
      <c r="B2194" s="19" t="str">
        <f t="array" ref="B2194">XLOOKUP(A2194,Data!F:F,Data!G:G)</f>
        <v>J2C</v>
      </c>
      <c r="C2194" s="19" t="str">
        <f t="shared" si="3"/>
        <v>J075</v>
      </c>
      <c r="D2194" s="19" t="str">
        <f t="array" ref="D2194">XLOOKUP(A2194,Data!F:F,Data!C:C)</f>
        <v/>
      </c>
      <c r="E2194" s="19" t="str">
        <f t="array" ref="E2194">XLOOKUP(A2194,Data!F:F,Data!H:H)</f>
        <v>BW</v>
      </c>
      <c r="F2194" s="106" t="str">
        <f>SUMIFS(Data!J:J,Data!F:F,A2194)</f>
        <v>1</v>
      </c>
      <c r="G2194" s="106" t="str">
        <f>SUMIFS(Cast!C:C,CastElements,A2194)</f>
        <v>1</v>
      </c>
      <c r="H2194" s="106" t="str">
        <f t="shared" si="4"/>
        <v>0</v>
      </c>
      <c r="I2194" s="106" t="str">
        <f>SUMIFS(Del!C:C,Del!B:B,A2194)</f>
        <v>0</v>
      </c>
      <c r="J2194" s="106" t="str">
        <f t="shared" si="5"/>
        <v>1</v>
      </c>
      <c r="K2194" s="106" t="str">
        <f t="shared" si="6"/>
        <v>1</v>
      </c>
      <c r="L2194" s="106"/>
      <c r="M2194" s="106" t="str">
        <f>SUMIFS(Ere!C:C,Ere!B:B,A2194)</f>
        <v>0</v>
      </c>
      <c r="N2194" s="106" t="str">
        <f t="shared" si="7"/>
        <v>1</v>
      </c>
      <c r="O2194" s="107" t="str">
        <f t="array" ref="O2194">XLOOKUP(A2194,Data!F:F,Data!O:O)</f>
        <v>  1.50 </v>
      </c>
      <c r="P2194" s="107" t="str">
        <f t="shared" si="8"/>
        <v>  3.75 </v>
      </c>
      <c r="Q2194" s="27"/>
    </row>
    <row r="2195" ht="15.75" customHeight="1">
      <c r="A2195" s="111" t="s">
        <v>2439</v>
      </c>
      <c r="B2195" s="19" t="str">
        <f t="array" ref="B2195">XLOOKUP(A2195,Data!F:F,Data!G:G)</f>
        <v>J2C</v>
      </c>
      <c r="C2195" s="19" t="str">
        <f t="shared" si="3"/>
        <v>J075</v>
      </c>
      <c r="D2195" s="19" t="str">
        <f t="array" ref="D2195">XLOOKUP(A2195,Data!F:F,Data!C:C)</f>
        <v/>
      </c>
      <c r="E2195" s="19" t="str">
        <f t="array" ref="E2195">XLOOKUP(A2195,Data!F:F,Data!H:H)</f>
        <v>BW</v>
      </c>
      <c r="F2195" s="106" t="str">
        <f>SUMIFS(Data!J:J,Data!F:F,A2195)</f>
        <v>1</v>
      </c>
      <c r="G2195" s="106" t="str">
        <f>SUMIFS(Cast!C:C,CastElements,A2195)</f>
        <v>1</v>
      </c>
      <c r="H2195" s="106" t="str">
        <f t="shared" si="4"/>
        <v>0</v>
      </c>
      <c r="I2195" s="106" t="str">
        <f>SUMIFS(Del!C:C,Del!B:B,A2195)</f>
        <v>0</v>
      </c>
      <c r="J2195" s="106" t="str">
        <f t="shared" si="5"/>
        <v>1</v>
      </c>
      <c r="K2195" s="106" t="str">
        <f t="shared" si="6"/>
        <v>1</v>
      </c>
      <c r="L2195" s="106"/>
      <c r="M2195" s="106" t="str">
        <f>SUMIFS(Ere!C:C,Ere!B:B,A2195)</f>
        <v>0</v>
      </c>
      <c r="N2195" s="106" t="str">
        <f t="shared" si="7"/>
        <v>1</v>
      </c>
      <c r="O2195" s="107" t="str">
        <f t="array" ref="O2195">XLOOKUP(A2195,Data!F:F,Data!O:O)</f>
        <v>  1.50 </v>
      </c>
      <c r="P2195" s="107" t="str">
        <f t="shared" si="8"/>
        <v>  3.75 </v>
      </c>
      <c r="Q2195" s="27"/>
    </row>
    <row r="2196" ht="15.75" customHeight="1">
      <c r="A2196" s="111" t="s">
        <v>2440</v>
      </c>
      <c r="B2196" s="19" t="str">
        <f t="array" ref="B2196">XLOOKUP(A2196,Data!F:F,Data!G:G)</f>
        <v>J2C</v>
      </c>
      <c r="C2196" s="19" t="str">
        <f t="shared" si="3"/>
        <v>J075</v>
      </c>
      <c r="D2196" s="19" t="str">
        <f t="array" ref="D2196">XLOOKUP(A2196,Data!F:F,Data!C:C)</f>
        <v/>
      </c>
      <c r="E2196" s="19" t="str">
        <f t="array" ref="E2196">XLOOKUP(A2196,Data!F:F,Data!H:H)</f>
        <v>BW</v>
      </c>
      <c r="F2196" s="106" t="str">
        <f>SUMIFS(Data!J:J,Data!F:F,A2196)</f>
        <v>1</v>
      </c>
      <c r="G2196" s="106" t="str">
        <f>SUMIFS(Cast!C:C,CastElements,A2196)</f>
        <v>1</v>
      </c>
      <c r="H2196" s="106" t="str">
        <f t="shared" si="4"/>
        <v>0</v>
      </c>
      <c r="I2196" s="106" t="str">
        <f>SUMIFS(Del!C:C,Del!B:B,A2196)</f>
        <v>0</v>
      </c>
      <c r="J2196" s="106" t="str">
        <f t="shared" si="5"/>
        <v>1</v>
      </c>
      <c r="K2196" s="106" t="str">
        <f t="shared" si="6"/>
        <v>1</v>
      </c>
      <c r="L2196" s="106"/>
      <c r="M2196" s="106" t="str">
        <f>SUMIFS(Ere!C:C,Ere!B:B,A2196)</f>
        <v>0</v>
      </c>
      <c r="N2196" s="106" t="str">
        <f t="shared" si="7"/>
        <v>1</v>
      </c>
      <c r="O2196" s="107" t="str">
        <f t="array" ref="O2196">XLOOKUP(A2196,Data!F:F,Data!O:O)</f>
        <v>  1.21 </v>
      </c>
      <c r="P2196" s="107" t="str">
        <f t="shared" si="8"/>
        <v>  3.03 </v>
      </c>
      <c r="Q2196" s="27"/>
    </row>
    <row r="2197" ht="15.75" customHeight="1">
      <c r="A2197" s="111" t="s">
        <v>2441</v>
      </c>
      <c r="B2197" s="19" t="str">
        <f t="array" ref="B2197">XLOOKUP(A2197,Data!F:F,Data!G:G)</f>
        <v>J2C</v>
      </c>
      <c r="C2197" s="19" t="str">
        <f t="shared" si="3"/>
        <v>J075</v>
      </c>
      <c r="D2197" s="19" t="str">
        <f t="array" ref="D2197">XLOOKUP(A2197,Data!F:F,Data!C:C)</f>
        <v/>
      </c>
      <c r="E2197" s="19" t="str">
        <f t="array" ref="E2197">XLOOKUP(A2197,Data!F:F,Data!H:H)</f>
        <v>BW</v>
      </c>
      <c r="F2197" s="106" t="str">
        <f>SUMIFS(Data!J:J,Data!F:F,A2197)</f>
        <v>1</v>
      </c>
      <c r="G2197" s="106" t="str">
        <f>SUMIFS(Cast!C:C,CastElements,A2197)</f>
        <v>1</v>
      </c>
      <c r="H2197" s="106" t="str">
        <f t="shared" si="4"/>
        <v>0</v>
      </c>
      <c r="I2197" s="106" t="str">
        <f>SUMIFS(Del!C:C,Del!B:B,A2197)</f>
        <v>0</v>
      </c>
      <c r="J2197" s="106" t="str">
        <f t="shared" si="5"/>
        <v>1</v>
      </c>
      <c r="K2197" s="106" t="str">
        <f t="shared" si="6"/>
        <v>1</v>
      </c>
      <c r="L2197" s="106"/>
      <c r="M2197" s="106" t="str">
        <f>SUMIFS(Ere!C:C,Ere!B:B,A2197)</f>
        <v>0</v>
      </c>
      <c r="N2197" s="106" t="str">
        <f t="shared" si="7"/>
        <v>1</v>
      </c>
      <c r="O2197" s="107" t="str">
        <f t="array" ref="O2197">XLOOKUP(A2197,Data!F:F,Data!O:O)</f>
        <v>  1.82 </v>
      </c>
      <c r="P2197" s="107" t="str">
        <f t="shared" si="8"/>
        <v>  4.55 </v>
      </c>
      <c r="Q2197" s="27"/>
    </row>
    <row r="2198" ht="15.75" customHeight="1">
      <c r="A2198" s="111" t="s">
        <v>2442</v>
      </c>
      <c r="B2198" s="19" t="str">
        <f t="array" ref="B2198">XLOOKUP(A2198,Data!F:F,Data!G:G)</f>
        <v>J2C</v>
      </c>
      <c r="C2198" s="19" t="str">
        <f t="shared" si="3"/>
        <v>J075</v>
      </c>
      <c r="D2198" s="19" t="str">
        <f t="array" ref="D2198">XLOOKUP(A2198,Data!F:F,Data!C:C)</f>
        <v/>
      </c>
      <c r="E2198" s="19" t="str">
        <f t="array" ref="E2198">XLOOKUP(A2198,Data!F:F,Data!H:H)</f>
        <v>BW</v>
      </c>
      <c r="F2198" s="106" t="str">
        <f>SUMIFS(Data!J:J,Data!F:F,A2198)</f>
        <v>1</v>
      </c>
      <c r="G2198" s="106" t="str">
        <f>SUMIFS(Cast!C:C,CastElements,A2198)</f>
        <v>1</v>
      </c>
      <c r="H2198" s="106" t="str">
        <f t="shared" si="4"/>
        <v>0</v>
      </c>
      <c r="I2198" s="106" t="str">
        <f>SUMIFS(Del!C:C,Del!B:B,A2198)</f>
        <v>0</v>
      </c>
      <c r="J2198" s="106" t="str">
        <f t="shared" si="5"/>
        <v>1</v>
      </c>
      <c r="K2198" s="106" t="str">
        <f t="shared" si="6"/>
        <v>1</v>
      </c>
      <c r="L2198" s="106"/>
      <c r="M2198" s="106" t="str">
        <f>SUMIFS(Ere!C:C,Ere!B:B,A2198)</f>
        <v>0</v>
      </c>
      <c r="N2198" s="106" t="str">
        <f t="shared" si="7"/>
        <v>1</v>
      </c>
      <c r="O2198" s="107" t="str">
        <f t="array" ref="O2198">XLOOKUP(A2198,Data!F:F,Data!O:O)</f>
        <v>  1.82 </v>
      </c>
      <c r="P2198" s="107" t="str">
        <f t="shared" si="8"/>
        <v>  4.55 </v>
      </c>
      <c r="Q2198" s="27"/>
    </row>
    <row r="2199" ht="15.75" customHeight="1">
      <c r="A2199" s="111" t="s">
        <v>2443</v>
      </c>
      <c r="B2199" s="19" t="str">
        <f t="array" ref="B2199">XLOOKUP(A2199,Data!F:F,Data!G:G)</f>
        <v>J2C</v>
      </c>
      <c r="C2199" s="19" t="str">
        <f t="shared" si="3"/>
        <v>J075</v>
      </c>
      <c r="D2199" s="19" t="str">
        <f t="array" ref="D2199">XLOOKUP(A2199,Data!F:F,Data!C:C)</f>
        <v/>
      </c>
      <c r="E2199" s="19" t="str">
        <f t="array" ref="E2199">XLOOKUP(A2199,Data!F:F,Data!H:H)</f>
        <v>BW</v>
      </c>
      <c r="F2199" s="106" t="str">
        <f>SUMIFS(Data!J:J,Data!F:F,A2199)</f>
        <v>1</v>
      </c>
      <c r="G2199" s="106" t="str">
        <f>SUMIFS(Cast!C:C,CastElements,A2199)</f>
        <v>1</v>
      </c>
      <c r="H2199" s="106" t="str">
        <f t="shared" si="4"/>
        <v>0</v>
      </c>
      <c r="I2199" s="106" t="str">
        <f>SUMIFS(Del!C:C,Del!B:B,A2199)</f>
        <v>0</v>
      </c>
      <c r="J2199" s="106" t="str">
        <f t="shared" si="5"/>
        <v>1</v>
      </c>
      <c r="K2199" s="106" t="str">
        <f t="shared" si="6"/>
        <v>1</v>
      </c>
      <c r="L2199" s="106"/>
      <c r="M2199" s="106" t="str">
        <f>SUMIFS(Ere!C:C,Ere!B:B,A2199)</f>
        <v>0</v>
      </c>
      <c r="N2199" s="106" t="str">
        <f t="shared" si="7"/>
        <v>1</v>
      </c>
      <c r="O2199" s="107" t="str">
        <f t="array" ref="O2199">XLOOKUP(A2199,Data!F:F,Data!O:O)</f>
        <v>  1.82 </v>
      </c>
      <c r="P2199" s="107" t="str">
        <f t="shared" si="8"/>
        <v>  4.55 </v>
      </c>
      <c r="Q2199" s="27"/>
    </row>
    <row r="2200" ht="15.75" customHeight="1">
      <c r="A2200" s="111" t="s">
        <v>2444</v>
      </c>
      <c r="B2200" s="19" t="str">
        <f t="array" ref="B2200">XLOOKUP(A2200,Data!F:F,Data!G:G)</f>
        <v>J2C</v>
      </c>
      <c r="C2200" s="19" t="str">
        <f t="shared" si="3"/>
        <v>J075</v>
      </c>
      <c r="D2200" s="19" t="str">
        <f t="array" ref="D2200">XLOOKUP(A2200,Data!F:F,Data!C:C)</f>
        <v/>
      </c>
      <c r="E2200" s="19" t="str">
        <f t="array" ref="E2200">XLOOKUP(A2200,Data!F:F,Data!H:H)</f>
        <v>BW</v>
      </c>
      <c r="F2200" s="106" t="str">
        <f>SUMIFS(Data!J:J,Data!F:F,A2200)</f>
        <v>1</v>
      </c>
      <c r="G2200" s="106" t="str">
        <f>SUMIFS(Cast!C:C,CastElements,A2200)</f>
        <v>1</v>
      </c>
      <c r="H2200" s="106" t="str">
        <f t="shared" si="4"/>
        <v>0</v>
      </c>
      <c r="I2200" s="106" t="str">
        <f>SUMIFS(Del!C:C,Del!B:B,A2200)</f>
        <v>0</v>
      </c>
      <c r="J2200" s="106" t="str">
        <f t="shared" si="5"/>
        <v>1</v>
      </c>
      <c r="K2200" s="106" t="str">
        <f t="shared" si="6"/>
        <v>1</v>
      </c>
      <c r="L2200" s="106"/>
      <c r="M2200" s="106" t="str">
        <f>SUMIFS(Ere!C:C,Ere!B:B,A2200)</f>
        <v>0</v>
      </c>
      <c r="N2200" s="106" t="str">
        <f t="shared" si="7"/>
        <v>1</v>
      </c>
      <c r="O2200" s="107" t="str">
        <f t="array" ref="O2200">XLOOKUP(A2200,Data!F:F,Data!O:O)</f>
        <v>  1.82 </v>
      </c>
      <c r="P2200" s="107" t="str">
        <f t="shared" si="8"/>
        <v>  4.55 </v>
      </c>
      <c r="Q2200" s="27"/>
    </row>
    <row r="2201" ht="15.75" customHeight="1">
      <c r="A2201" s="111" t="s">
        <v>2445</v>
      </c>
      <c r="B2201" s="19" t="str">
        <f t="array" ref="B2201">XLOOKUP(A2201,Data!F:F,Data!G:G)</f>
        <v>J2C</v>
      </c>
      <c r="C2201" s="19" t="str">
        <f t="shared" si="3"/>
        <v>J075</v>
      </c>
      <c r="D2201" s="19" t="str">
        <f t="array" ref="D2201">XLOOKUP(A2201,Data!F:F,Data!C:C)</f>
        <v/>
      </c>
      <c r="E2201" s="19" t="str">
        <f t="array" ref="E2201">XLOOKUP(A2201,Data!F:F,Data!H:H)</f>
        <v>BW</v>
      </c>
      <c r="F2201" s="106" t="str">
        <f>SUMIFS(Data!J:J,Data!F:F,A2201)</f>
        <v>1</v>
      </c>
      <c r="G2201" s="106" t="str">
        <f>SUMIFS(Cast!C:C,CastElements,A2201)</f>
        <v>1</v>
      </c>
      <c r="H2201" s="106" t="str">
        <f t="shared" si="4"/>
        <v>0</v>
      </c>
      <c r="I2201" s="106" t="str">
        <f>SUMIFS(Del!C:C,Del!B:B,A2201)</f>
        <v>0</v>
      </c>
      <c r="J2201" s="106" t="str">
        <f t="shared" si="5"/>
        <v>1</v>
      </c>
      <c r="K2201" s="106" t="str">
        <f t="shared" si="6"/>
        <v>1</v>
      </c>
      <c r="L2201" s="106"/>
      <c r="M2201" s="106" t="str">
        <f>SUMIFS(Ere!C:C,Ere!B:B,A2201)</f>
        <v>0</v>
      </c>
      <c r="N2201" s="106" t="str">
        <f t="shared" si="7"/>
        <v>1</v>
      </c>
      <c r="O2201" s="107" t="str">
        <f t="array" ref="O2201">XLOOKUP(A2201,Data!F:F,Data!O:O)</f>
        <v>  1.82 </v>
      </c>
      <c r="P2201" s="107" t="str">
        <f t="shared" si="8"/>
        <v>  4.55 </v>
      </c>
      <c r="Q2201" s="27"/>
    </row>
    <row r="2202" ht="15.75" customHeight="1">
      <c r="A2202" s="111" t="s">
        <v>2446</v>
      </c>
      <c r="B2202" s="19" t="str">
        <f t="array" ref="B2202">XLOOKUP(A2202,Data!F:F,Data!G:G)</f>
        <v>J2C</v>
      </c>
      <c r="C2202" s="19" t="str">
        <f t="shared" si="3"/>
        <v>J075</v>
      </c>
      <c r="D2202" s="19" t="str">
        <f t="array" ref="D2202">XLOOKUP(A2202,Data!F:F,Data!C:C)</f>
        <v/>
      </c>
      <c r="E2202" s="19" t="str">
        <f t="array" ref="E2202">XLOOKUP(A2202,Data!F:F,Data!H:H)</f>
        <v>BW</v>
      </c>
      <c r="F2202" s="106" t="str">
        <f>SUMIFS(Data!J:J,Data!F:F,A2202)</f>
        <v>1</v>
      </c>
      <c r="G2202" s="106" t="str">
        <f>SUMIFS(Cast!C:C,CastElements,A2202)</f>
        <v>1</v>
      </c>
      <c r="H2202" s="106" t="str">
        <f t="shared" si="4"/>
        <v>0</v>
      </c>
      <c r="I2202" s="106" t="str">
        <f>SUMIFS(Del!C:C,Del!B:B,A2202)</f>
        <v>0</v>
      </c>
      <c r="J2202" s="106" t="str">
        <f t="shared" si="5"/>
        <v>1</v>
      </c>
      <c r="K2202" s="106" t="str">
        <f t="shared" si="6"/>
        <v>1</v>
      </c>
      <c r="L2202" s="106"/>
      <c r="M2202" s="106" t="str">
        <f>SUMIFS(Ere!C:C,Ere!B:B,A2202)</f>
        <v>0</v>
      </c>
      <c r="N2202" s="106" t="str">
        <f t="shared" si="7"/>
        <v>1</v>
      </c>
      <c r="O2202" s="107" t="str">
        <f t="array" ref="O2202">XLOOKUP(A2202,Data!F:F,Data!O:O)</f>
        <v>  0.51 </v>
      </c>
      <c r="P2202" s="107" t="str">
        <f t="shared" si="8"/>
        <v>  1.28 </v>
      </c>
      <c r="Q2202" s="27"/>
    </row>
    <row r="2203" ht="15.75" customHeight="1">
      <c r="A2203" s="111" t="s">
        <v>2447</v>
      </c>
      <c r="B2203" s="19" t="str">
        <f t="array" ref="B2203">XLOOKUP(A2203,Data!F:F,Data!G:G)</f>
        <v>J2C</v>
      </c>
      <c r="C2203" s="19" t="str">
        <f t="shared" si="3"/>
        <v>J075</v>
      </c>
      <c r="D2203" s="19" t="str">
        <f t="array" ref="D2203">XLOOKUP(A2203,Data!F:F,Data!C:C)</f>
        <v/>
      </c>
      <c r="E2203" s="19" t="str">
        <f t="array" ref="E2203">XLOOKUP(A2203,Data!F:F,Data!H:H)</f>
        <v>BW</v>
      </c>
      <c r="F2203" s="106" t="str">
        <f>SUMIFS(Data!J:J,Data!F:F,A2203)</f>
        <v>1</v>
      </c>
      <c r="G2203" s="106" t="str">
        <f>SUMIFS(Cast!C:C,CastElements,A2203)</f>
        <v>1</v>
      </c>
      <c r="H2203" s="106" t="str">
        <f t="shared" si="4"/>
        <v>0</v>
      </c>
      <c r="I2203" s="106" t="str">
        <f>SUMIFS(Del!C:C,Del!B:B,A2203)</f>
        <v>0</v>
      </c>
      <c r="J2203" s="106" t="str">
        <f t="shared" si="5"/>
        <v>1</v>
      </c>
      <c r="K2203" s="106" t="str">
        <f t="shared" si="6"/>
        <v>1</v>
      </c>
      <c r="L2203" s="106"/>
      <c r="M2203" s="106" t="str">
        <f>SUMIFS(Ere!C:C,Ere!B:B,A2203)</f>
        <v>0</v>
      </c>
      <c r="N2203" s="106" t="str">
        <f t="shared" si="7"/>
        <v>1</v>
      </c>
      <c r="O2203" s="107" t="str">
        <f t="array" ref="O2203">XLOOKUP(A2203,Data!F:F,Data!O:O)</f>
        <v>  0.51 </v>
      </c>
      <c r="P2203" s="107" t="str">
        <f t="shared" si="8"/>
        <v>  1.28 </v>
      </c>
      <c r="Q2203" s="27"/>
    </row>
    <row r="2204" ht="15.75" customHeight="1">
      <c r="A2204" s="111" t="s">
        <v>2448</v>
      </c>
      <c r="B2204" s="19" t="str">
        <f t="array" ref="B2204">XLOOKUP(A2204,Data!F:F,Data!G:G)</f>
        <v>J2C</v>
      </c>
      <c r="C2204" s="19" t="str">
        <f t="shared" si="3"/>
        <v>J075</v>
      </c>
      <c r="D2204" s="19" t="str">
        <f t="array" ref="D2204">XLOOKUP(A2204,Data!F:F,Data!C:C)</f>
        <v>EXT</v>
      </c>
      <c r="E2204" s="19" t="str">
        <f t="array" ref="E2204">XLOOKUP(A2204,Data!F:F,Data!H:H)</f>
        <v>BW</v>
      </c>
      <c r="F2204" s="106" t="str">
        <f>SUMIFS(Data!J:J,Data!F:F,A2204)</f>
        <v>1</v>
      </c>
      <c r="G2204" s="106" t="str">
        <f>SUMIFS(Cast!C:C,CastElements,A2204)</f>
        <v>0</v>
      </c>
      <c r="H2204" s="106" t="str">
        <f t="shared" si="4"/>
        <v>1</v>
      </c>
      <c r="I2204" s="106" t="str">
        <f>SUMIFS(Del!C:C,Del!B:B,A2204)</f>
        <v>0</v>
      </c>
      <c r="J2204" s="106" t="str">
        <f t="shared" si="5"/>
        <v>1</v>
      </c>
      <c r="K2204" s="106" t="str">
        <f t="shared" si="6"/>
        <v>0</v>
      </c>
      <c r="L2204" s="106"/>
      <c r="M2204" s="106" t="str">
        <f>SUMIFS(Ere!C:C,Ere!B:B,A2204)</f>
        <v>0</v>
      </c>
      <c r="N2204" s="106" t="str">
        <f t="shared" si="7"/>
        <v>1</v>
      </c>
      <c r="O2204" s="107" t="str">
        <f t="array" ref="O2204">XLOOKUP(A2204,Data!F:F,Data!O:O)</f>
        <v>  0.79 </v>
      </c>
      <c r="P2204" s="107" t="str">
        <f t="shared" si="8"/>
        <v>  1.98 </v>
      </c>
      <c r="Q2204" s="27"/>
    </row>
    <row r="2205" ht="15.75" customHeight="1">
      <c r="A2205" s="111" t="s">
        <v>2449</v>
      </c>
      <c r="B2205" s="19" t="str">
        <f t="array" ref="B2205">XLOOKUP(A2205,Data!F:F,Data!G:G)</f>
        <v>J2C</v>
      </c>
      <c r="C2205" s="19" t="str">
        <f t="shared" si="3"/>
        <v>J075</v>
      </c>
      <c r="D2205" s="19" t="str">
        <f t="array" ref="D2205">XLOOKUP(A2205,Data!F:F,Data!C:C)</f>
        <v/>
      </c>
      <c r="E2205" s="19" t="str">
        <f t="array" ref="E2205">XLOOKUP(A2205,Data!F:F,Data!H:H)</f>
        <v>BW</v>
      </c>
      <c r="F2205" s="106" t="str">
        <f>SUMIFS(Data!J:J,Data!F:F,A2205)</f>
        <v>1</v>
      </c>
      <c r="G2205" s="106" t="str">
        <f>SUMIFS(Cast!C:C,CastElements,A2205)</f>
        <v>1</v>
      </c>
      <c r="H2205" s="106" t="str">
        <f t="shared" si="4"/>
        <v>0</v>
      </c>
      <c r="I2205" s="106" t="str">
        <f>SUMIFS(Del!C:C,Del!B:B,A2205)</f>
        <v>0</v>
      </c>
      <c r="J2205" s="106" t="str">
        <f t="shared" si="5"/>
        <v>1</v>
      </c>
      <c r="K2205" s="106" t="str">
        <f t="shared" si="6"/>
        <v>1</v>
      </c>
      <c r="L2205" s="106"/>
      <c r="M2205" s="106" t="str">
        <f>SUMIFS(Ere!C:C,Ere!B:B,A2205)</f>
        <v>0</v>
      </c>
      <c r="N2205" s="106" t="str">
        <f t="shared" si="7"/>
        <v>1</v>
      </c>
      <c r="O2205" s="107" t="str">
        <f t="array" ref="O2205">XLOOKUP(A2205,Data!F:F,Data!O:O)</f>
        <v>  1.87 </v>
      </c>
      <c r="P2205" s="107" t="str">
        <f t="shared" si="8"/>
        <v>  4.68 </v>
      </c>
      <c r="Q2205" s="27"/>
    </row>
    <row r="2206" ht="15.75" customHeight="1">
      <c r="A2206" s="111" t="s">
        <v>2450</v>
      </c>
      <c r="B2206" s="19" t="str">
        <f t="array" ref="B2206">XLOOKUP(A2206,Data!F:F,Data!G:G)</f>
        <v>J2C</v>
      </c>
      <c r="C2206" s="19" t="str">
        <f t="shared" si="3"/>
        <v>J075</v>
      </c>
      <c r="D2206" s="19" t="str">
        <f t="array" ref="D2206">XLOOKUP(A2206,Data!F:F,Data!C:C)</f>
        <v/>
      </c>
      <c r="E2206" s="19" t="str">
        <f t="array" ref="E2206">XLOOKUP(A2206,Data!F:F,Data!H:H)</f>
        <v>BW</v>
      </c>
      <c r="F2206" s="106" t="str">
        <f>SUMIFS(Data!J:J,Data!F:F,A2206)</f>
        <v>1</v>
      </c>
      <c r="G2206" s="106" t="str">
        <f>SUMIFS(Cast!C:C,CastElements,A2206)</f>
        <v>1</v>
      </c>
      <c r="H2206" s="106" t="str">
        <f t="shared" si="4"/>
        <v>0</v>
      </c>
      <c r="I2206" s="106" t="str">
        <f>SUMIFS(Del!C:C,Del!B:B,A2206)</f>
        <v>0</v>
      </c>
      <c r="J2206" s="106" t="str">
        <f t="shared" si="5"/>
        <v>1</v>
      </c>
      <c r="K2206" s="106" t="str">
        <f t="shared" si="6"/>
        <v>1</v>
      </c>
      <c r="L2206" s="106"/>
      <c r="M2206" s="106" t="str">
        <f>SUMIFS(Ere!C:C,Ere!B:B,A2206)</f>
        <v>0</v>
      </c>
      <c r="N2206" s="106" t="str">
        <f t="shared" si="7"/>
        <v>1</v>
      </c>
      <c r="O2206" s="107" t="str">
        <f t="array" ref="O2206">XLOOKUP(A2206,Data!F:F,Data!O:O)</f>
        <v>  1.91 </v>
      </c>
      <c r="P2206" s="107" t="str">
        <f t="shared" si="8"/>
        <v>  4.78 </v>
      </c>
      <c r="Q2206" s="27"/>
    </row>
    <row r="2207" ht="15.75" customHeight="1">
      <c r="A2207" s="111" t="s">
        <v>2451</v>
      </c>
      <c r="B2207" s="19" t="str">
        <f t="array" ref="B2207">XLOOKUP(A2207,Data!F:F,Data!G:G)</f>
        <v>J2C</v>
      </c>
      <c r="C2207" s="19" t="str">
        <f t="shared" si="3"/>
        <v>J075</v>
      </c>
      <c r="D2207" s="19" t="str">
        <f t="array" ref="D2207">XLOOKUP(A2207,Data!F:F,Data!C:C)</f>
        <v/>
      </c>
      <c r="E2207" s="19" t="str">
        <f t="array" ref="E2207">XLOOKUP(A2207,Data!F:F,Data!H:H)</f>
        <v>BW</v>
      </c>
      <c r="F2207" s="106" t="str">
        <f>SUMIFS(Data!J:J,Data!F:F,A2207)</f>
        <v>1</v>
      </c>
      <c r="G2207" s="106" t="str">
        <f>SUMIFS(Cast!C:C,CastElements,A2207)</f>
        <v>1</v>
      </c>
      <c r="H2207" s="106" t="str">
        <f t="shared" si="4"/>
        <v>0</v>
      </c>
      <c r="I2207" s="106" t="str">
        <f>SUMIFS(Del!C:C,Del!B:B,A2207)</f>
        <v>0</v>
      </c>
      <c r="J2207" s="106" t="str">
        <f t="shared" si="5"/>
        <v>1</v>
      </c>
      <c r="K2207" s="106" t="str">
        <f t="shared" si="6"/>
        <v>1</v>
      </c>
      <c r="L2207" s="106"/>
      <c r="M2207" s="106" t="str">
        <f>SUMIFS(Ere!C:C,Ere!B:B,A2207)</f>
        <v>0</v>
      </c>
      <c r="N2207" s="106" t="str">
        <f t="shared" si="7"/>
        <v>1</v>
      </c>
      <c r="O2207" s="107" t="str">
        <f t="array" ref="O2207">XLOOKUP(A2207,Data!F:F,Data!O:O)</f>
        <v>  2.13 </v>
      </c>
      <c r="P2207" s="107" t="str">
        <f t="shared" si="8"/>
        <v>  5.33 </v>
      </c>
      <c r="Q2207" s="27"/>
    </row>
    <row r="2208" ht="15.75" customHeight="1">
      <c r="A2208" s="111" t="s">
        <v>2452</v>
      </c>
      <c r="B2208" s="19" t="str">
        <f t="array" ref="B2208">XLOOKUP(A2208,Data!F:F,Data!G:G)</f>
        <v>J2C</v>
      </c>
      <c r="C2208" s="19" t="str">
        <f t="shared" si="3"/>
        <v>J075</v>
      </c>
      <c r="D2208" s="19" t="str">
        <f t="array" ref="D2208">XLOOKUP(A2208,Data!F:F,Data!C:C)</f>
        <v/>
      </c>
      <c r="E2208" s="19" t="str">
        <f t="array" ref="E2208">XLOOKUP(A2208,Data!F:F,Data!H:H)</f>
        <v>BW</v>
      </c>
      <c r="F2208" s="106" t="str">
        <f>SUMIFS(Data!J:J,Data!F:F,A2208)</f>
        <v>1</v>
      </c>
      <c r="G2208" s="106" t="str">
        <f>SUMIFS(Cast!C:C,CastElements,A2208)</f>
        <v>1</v>
      </c>
      <c r="H2208" s="106" t="str">
        <f t="shared" si="4"/>
        <v>0</v>
      </c>
      <c r="I2208" s="106" t="str">
        <f>SUMIFS(Del!C:C,Del!B:B,A2208)</f>
        <v>0</v>
      </c>
      <c r="J2208" s="106" t="str">
        <f t="shared" si="5"/>
        <v>1</v>
      </c>
      <c r="K2208" s="106" t="str">
        <f t="shared" si="6"/>
        <v>1</v>
      </c>
      <c r="L2208" s="106"/>
      <c r="M2208" s="106" t="str">
        <f>SUMIFS(Ere!C:C,Ere!B:B,A2208)</f>
        <v>0</v>
      </c>
      <c r="N2208" s="106" t="str">
        <f t="shared" si="7"/>
        <v>1</v>
      </c>
      <c r="O2208" s="107" t="str">
        <f t="array" ref="O2208">XLOOKUP(A2208,Data!F:F,Data!O:O)</f>
        <v>  0.41 </v>
      </c>
      <c r="P2208" s="107" t="str">
        <f t="shared" si="8"/>
        <v>  1.03 </v>
      </c>
      <c r="Q2208" s="27"/>
    </row>
    <row r="2209" ht="15.75" customHeight="1">
      <c r="A2209" s="111" t="s">
        <v>2453</v>
      </c>
      <c r="B2209" s="19" t="str">
        <f t="array" ref="B2209">XLOOKUP(A2209,Data!F:F,Data!G:G)</f>
        <v>J2C</v>
      </c>
      <c r="C2209" s="19" t="str">
        <f t="shared" si="3"/>
        <v>J075</v>
      </c>
      <c r="D2209" s="19" t="str">
        <f t="array" ref="D2209">XLOOKUP(A2209,Data!F:F,Data!C:C)</f>
        <v/>
      </c>
      <c r="E2209" s="19" t="str">
        <f t="array" ref="E2209">XLOOKUP(A2209,Data!F:F,Data!H:H)</f>
        <v>BW</v>
      </c>
      <c r="F2209" s="106" t="str">
        <f>SUMIFS(Data!J:J,Data!F:F,A2209)</f>
        <v>1</v>
      </c>
      <c r="G2209" s="106" t="str">
        <f>SUMIFS(Cast!C:C,CastElements,A2209)</f>
        <v>1</v>
      </c>
      <c r="H2209" s="106" t="str">
        <f t="shared" si="4"/>
        <v>0</v>
      </c>
      <c r="I2209" s="106" t="str">
        <f>SUMIFS(Del!C:C,Del!B:B,A2209)</f>
        <v>0</v>
      </c>
      <c r="J2209" s="106" t="str">
        <f t="shared" si="5"/>
        <v>1</v>
      </c>
      <c r="K2209" s="106" t="str">
        <f t="shared" si="6"/>
        <v>1</v>
      </c>
      <c r="L2209" s="106"/>
      <c r="M2209" s="106" t="str">
        <f>SUMIFS(Ere!C:C,Ere!B:B,A2209)</f>
        <v>0</v>
      </c>
      <c r="N2209" s="106" t="str">
        <f t="shared" si="7"/>
        <v>1</v>
      </c>
      <c r="O2209" s="107" t="str">
        <f t="array" ref="O2209">XLOOKUP(A2209,Data!F:F,Data!O:O)</f>
        <v>  0.37 </v>
      </c>
      <c r="P2209" s="107" t="str">
        <f t="shared" si="8"/>
        <v>  0.93 </v>
      </c>
      <c r="Q2209" s="27"/>
    </row>
    <row r="2210" ht="15.75" customHeight="1">
      <c r="A2210" s="111" t="s">
        <v>2454</v>
      </c>
      <c r="B2210" s="19" t="str">
        <f t="array" ref="B2210">XLOOKUP(A2210,Data!F:F,Data!G:G)</f>
        <v>J2C</v>
      </c>
      <c r="C2210" s="19" t="str">
        <f t="shared" si="3"/>
        <v>J075</v>
      </c>
      <c r="D2210" s="19" t="str">
        <f t="array" ref="D2210">XLOOKUP(A2210,Data!F:F,Data!C:C)</f>
        <v/>
      </c>
      <c r="E2210" s="19" t="str">
        <f t="array" ref="E2210">XLOOKUP(A2210,Data!F:F,Data!H:H)</f>
        <v>CF</v>
      </c>
      <c r="F2210" s="106" t="str">
        <f>SUMIFS(Data!J:J,Data!F:F,A2210)</f>
        <v>1</v>
      </c>
      <c r="G2210" s="106" t="str">
        <f>SUMIFS(Cast!C:C,CastElements,A2210)</f>
        <v>0</v>
      </c>
      <c r="H2210" s="106" t="str">
        <f t="shared" si="4"/>
        <v>1</v>
      </c>
      <c r="I2210" s="106" t="str">
        <f>SUMIFS(Del!C:C,Del!B:B,A2210)</f>
        <v>0</v>
      </c>
      <c r="J2210" s="106" t="str">
        <f t="shared" si="5"/>
        <v>1</v>
      </c>
      <c r="K2210" s="106" t="str">
        <f t="shared" si="6"/>
        <v>0</v>
      </c>
      <c r="L2210" s="106"/>
      <c r="M2210" s="106" t="str">
        <f>SUMIFS(Ere!C:C,Ere!B:B,A2210)</f>
        <v>0</v>
      </c>
      <c r="N2210" s="106" t="str">
        <f t="shared" si="7"/>
        <v>1</v>
      </c>
      <c r="O2210" s="107" t="str">
        <f t="array" ref="O2210">XLOOKUP(A2210,Data!F:F,Data!O:O)</f>
        <v>  0.47 </v>
      </c>
      <c r="P2210" s="107" t="str">
        <f t="shared" si="8"/>
        <v>  1.18 </v>
      </c>
      <c r="Q2210" s="27"/>
    </row>
    <row r="2211" ht="15.75" customHeight="1">
      <c r="A2211" s="111" t="s">
        <v>2455</v>
      </c>
      <c r="B2211" s="19" t="str">
        <f t="array" ref="B2211">XLOOKUP(A2211,Data!F:F,Data!G:G)</f>
        <v>J2C</v>
      </c>
      <c r="C2211" s="19" t="str">
        <f t="shared" si="3"/>
        <v>J076</v>
      </c>
      <c r="D2211" s="19" t="str">
        <f t="array" ref="D2211">XLOOKUP(A2211,Data!F:F,Data!C:C)</f>
        <v>EXT</v>
      </c>
      <c r="E2211" s="19" t="str">
        <f t="array" ref="E2211">XLOOKUP(A2211,Data!F:F,Data!H:H)</f>
        <v>BW</v>
      </c>
      <c r="F2211" s="106" t="str">
        <f>SUMIFS(Data!J:J,Data!F:F,A2211)</f>
        <v>1</v>
      </c>
      <c r="G2211" s="106" t="str">
        <f>SUMIFS(Cast!C:C,CastElements,A2211)</f>
        <v>0</v>
      </c>
      <c r="H2211" s="106" t="str">
        <f t="shared" si="4"/>
        <v>1</v>
      </c>
      <c r="I2211" s="106" t="str">
        <f>SUMIFS(Del!C:C,Del!B:B,A2211)</f>
        <v>0</v>
      </c>
      <c r="J2211" s="106" t="str">
        <f t="shared" si="5"/>
        <v>1</v>
      </c>
      <c r="K2211" s="106" t="str">
        <f t="shared" si="6"/>
        <v>0</v>
      </c>
      <c r="L2211" s="106"/>
      <c r="M2211" s="106" t="str">
        <f>SUMIFS(Ere!C:C,Ere!B:B,A2211)</f>
        <v>0</v>
      </c>
      <c r="N2211" s="106" t="str">
        <f t="shared" si="7"/>
        <v>1</v>
      </c>
      <c r="O2211" s="107" t="str">
        <f t="array" ref="O2211">XLOOKUP(A2211,Data!F:F,Data!O:O)</f>
        <v>  0.97 </v>
      </c>
      <c r="P2211" s="107" t="str">
        <f t="shared" si="8"/>
        <v>  2.43 </v>
      </c>
      <c r="Q2211" s="27"/>
    </row>
    <row r="2212" ht="15.75" customHeight="1">
      <c r="A2212" s="111" t="s">
        <v>2456</v>
      </c>
      <c r="B2212" s="19" t="str">
        <f t="array" ref="B2212">XLOOKUP(A2212,Data!F:F,Data!G:G)</f>
        <v>J2C</v>
      </c>
      <c r="C2212" s="19" t="str">
        <f t="shared" si="3"/>
        <v>J076</v>
      </c>
      <c r="D2212" s="19" t="str">
        <f t="array" ref="D2212">XLOOKUP(A2212,Data!F:F,Data!C:C)</f>
        <v>EXT</v>
      </c>
      <c r="E2212" s="19" t="str">
        <f t="array" ref="E2212">XLOOKUP(A2212,Data!F:F,Data!H:H)</f>
        <v>BW</v>
      </c>
      <c r="F2212" s="106" t="str">
        <f>SUMIFS(Data!J:J,Data!F:F,A2212)</f>
        <v>1</v>
      </c>
      <c r="G2212" s="106" t="str">
        <f>SUMIFS(Cast!C:C,CastElements,A2212)</f>
        <v>0</v>
      </c>
      <c r="H2212" s="106" t="str">
        <f t="shared" si="4"/>
        <v>1</v>
      </c>
      <c r="I2212" s="106" t="str">
        <f>SUMIFS(Del!C:C,Del!B:B,A2212)</f>
        <v>0</v>
      </c>
      <c r="J2212" s="106" t="str">
        <f t="shared" si="5"/>
        <v>1</v>
      </c>
      <c r="K2212" s="106" t="str">
        <f t="shared" si="6"/>
        <v>0</v>
      </c>
      <c r="L2212" s="106"/>
      <c r="M2212" s="106" t="str">
        <f>SUMIFS(Ere!C:C,Ere!B:B,A2212)</f>
        <v>0</v>
      </c>
      <c r="N2212" s="106" t="str">
        <f t="shared" si="7"/>
        <v>1</v>
      </c>
      <c r="O2212" s="107" t="str">
        <f t="array" ref="O2212">XLOOKUP(A2212,Data!F:F,Data!O:O)</f>
        <v>  1.11 </v>
      </c>
      <c r="P2212" s="107" t="str">
        <f t="shared" si="8"/>
        <v>  2.78 </v>
      </c>
      <c r="Q2212" s="27"/>
    </row>
    <row r="2213" ht="15.75" customHeight="1">
      <c r="A2213" s="111" t="s">
        <v>2457</v>
      </c>
      <c r="B2213" s="19" t="str">
        <f t="array" ref="B2213">XLOOKUP(A2213,Data!F:F,Data!G:G)</f>
        <v>J2C</v>
      </c>
      <c r="C2213" s="19" t="str">
        <f t="shared" si="3"/>
        <v>J076</v>
      </c>
      <c r="D2213" s="19" t="str">
        <f t="array" ref="D2213">XLOOKUP(A2213,Data!F:F,Data!C:C)</f>
        <v>EXT</v>
      </c>
      <c r="E2213" s="19" t="str">
        <f t="array" ref="E2213">XLOOKUP(A2213,Data!F:F,Data!H:H)</f>
        <v>BW</v>
      </c>
      <c r="F2213" s="106" t="str">
        <f>SUMIFS(Data!J:J,Data!F:F,A2213)</f>
        <v>1</v>
      </c>
      <c r="G2213" s="106" t="str">
        <f>SUMIFS(Cast!C:C,CastElements,A2213)</f>
        <v>0</v>
      </c>
      <c r="H2213" s="106" t="str">
        <f t="shared" si="4"/>
        <v>1</v>
      </c>
      <c r="I2213" s="106" t="str">
        <f>SUMIFS(Del!C:C,Del!B:B,A2213)</f>
        <v>0</v>
      </c>
      <c r="J2213" s="106" t="str">
        <f t="shared" si="5"/>
        <v>1</v>
      </c>
      <c r="K2213" s="106" t="str">
        <f t="shared" si="6"/>
        <v>0</v>
      </c>
      <c r="L2213" s="106"/>
      <c r="M2213" s="106" t="str">
        <f>SUMIFS(Ere!C:C,Ere!B:B,A2213)</f>
        <v>0</v>
      </c>
      <c r="N2213" s="106" t="str">
        <f t="shared" si="7"/>
        <v>1</v>
      </c>
      <c r="O2213" s="107" t="str">
        <f t="array" ref="O2213">XLOOKUP(A2213,Data!F:F,Data!O:O)</f>
        <v>  1.55 </v>
      </c>
      <c r="P2213" s="107" t="str">
        <f t="shared" si="8"/>
        <v>  3.88 </v>
      </c>
      <c r="Q2213" s="27"/>
    </row>
    <row r="2214" ht="15.75" customHeight="1">
      <c r="A2214" s="111" t="s">
        <v>2458</v>
      </c>
      <c r="B2214" s="19" t="str">
        <f t="array" ref="B2214">XLOOKUP(A2214,Data!F:F,Data!G:G)</f>
        <v>J2C</v>
      </c>
      <c r="C2214" s="19" t="str">
        <f t="shared" si="3"/>
        <v>J076</v>
      </c>
      <c r="D2214" s="19" t="str">
        <f t="array" ref="D2214">XLOOKUP(A2214,Data!F:F,Data!C:C)</f>
        <v/>
      </c>
      <c r="E2214" s="19" t="str">
        <f t="array" ref="E2214">XLOOKUP(A2214,Data!F:F,Data!H:H)</f>
        <v>BW</v>
      </c>
      <c r="F2214" s="106" t="str">
        <f>SUMIFS(Data!J:J,Data!F:F,A2214)</f>
        <v>1</v>
      </c>
      <c r="G2214" s="106" t="str">
        <f>SUMIFS(Cast!C:C,CastElements,A2214)</f>
        <v>1</v>
      </c>
      <c r="H2214" s="106" t="str">
        <f t="shared" si="4"/>
        <v>0</v>
      </c>
      <c r="I2214" s="106" t="str">
        <f>SUMIFS(Del!C:C,Del!B:B,A2214)</f>
        <v>0</v>
      </c>
      <c r="J2214" s="106" t="str">
        <f t="shared" si="5"/>
        <v>1</v>
      </c>
      <c r="K2214" s="106" t="str">
        <f t="shared" si="6"/>
        <v>1</v>
      </c>
      <c r="L2214" s="106"/>
      <c r="M2214" s="106" t="str">
        <f>SUMIFS(Ere!C:C,Ere!B:B,A2214)</f>
        <v>0</v>
      </c>
      <c r="N2214" s="106" t="str">
        <f t="shared" si="7"/>
        <v>1</v>
      </c>
      <c r="O2214" s="107" t="str">
        <f t="array" ref="O2214">XLOOKUP(A2214,Data!F:F,Data!O:O)</f>
        <v>  1.76 </v>
      </c>
      <c r="P2214" s="107" t="str">
        <f t="shared" si="8"/>
        <v>  4.40 </v>
      </c>
      <c r="Q2214" s="27"/>
    </row>
    <row r="2215" ht="15.75" customHeight="1">
      <c r="A2215" s="111" t="s">
        <v>2459</v>
      </c>
      <c r="B2215" s="19" t="str">
        <f t="array" ref="B2215">XLOOKUP(A2215,Data!F:F,Data!G:G)</f>
        <v>J2C</v>
      </c>
      <c r="C2215" s="19" t="str">
        <f t="shared" si="3"/>
        <v>J076</v>
      </c>
      <c r="D2215" s="19" t="str">
        <f t="array" ref="D2215">XLOOKUP(A2215,Data!F:F,Data!C:C)</f>
        <v/>
      </c>
      <c r="E2215" s="19" t="str">
        <f t="array" ref="E2215">XLOOKUP(A2215,Data!F:F,Data!H:H)</f>
        <v>BW</v>
      </c>
      <c r="F2215" s="106" t="str">
        <f>SUMIFS(Data!J:J,Data!F:F,A2215)</f>
        <v>1</v>
      </c>
      <c r="G2215" s="106" t="str">
        <f>SUMIFS(Cast!C:C,CastElements,A2215)</f>
        <v>1</v>
      </c>
      <c r="H2215" s="106" t="str">
        <f t="shared" si="4"/>
        <v>0</v>
      </c>
      <c r="I2215" s="106" t="str">
        <f>SUMIFS(Del!C:C,Del!B:B,A2215)</f>
        <v>0</v>
      </c>
      <c r="J2215" s="106" t="str">
        <f t="shared" si="5"/>
        <v>1</v>
      </c>
      <c r="K2215" s="106" t="str">
        <f t="shared" si="6"/>
        <v>1</v>
      </c>
      <c r="L2215" s="106"/>
      <c r="M2215" s="106" t="str">
        <f>SUMIFS(Ere!C:C,Ere!B:B,A2215)</f>
        <v>0</v>
      </c>
      <c r="N2215" s="106" t="str">
        <f t="shared" si="7"/>
        <v>1</v>
      </c>
      <c r="O2215" s="107" t="str">
        <f t="array" ref="O2215">XLOOKUP(A2215,Data!F:F,Data!O:O)</f>
        <v>  1.83 </v>
      </c>
      <c r="P2215" s="107" t="str">
        <f t="shared" si="8"/>
        <v>  4.58 </v>
      </c>
      <c r="Q2215" s="27"/>
    </row>
    <row r="2216" ht="15.75" customHeight="1">
      <c r="A2216" s="111" t="s">
        <v>2460</v>
      </c>
      <c r="B2216" s="19" t="str">
        <f t="array" ref="B2216">XLOOKUP(A2216,Data!F:F,Data!G:G)</f>
        <v>J2C</v>
      </c>
      <c r="C2216" s="19" t="str">
        <f t="shared" si="3"/>
        <v>J076</v>
      </c>
      <c r="D2216" s="19" t="str">
        <f t="array" ref="D2216">XLOOKUP(A2216,Data!F:F,Data!C:C)</f>
        <v/>
      </c>
      <c r="E2216" s="19" t="str">
        <f t="array" ref="E2216">XLOOKUP(A2216,Data!F:F,Data!H:H)</f>
        <v>BW</v>
      </c>
      <c r="F2216" s="106" t="str">
        <f>SUMIFS(Data!J:J,Data!F:F,A2216)</f>
        <v>1</v>
      </c>
      <c r="G2216" s="106" t="str">
        <f>SUMIFS(Cast!C:C,CastElements,A2216)</f>
        <v>1</v>
      </c>
      <c r="H2216" s="106" t="str">
        <f t="shared" si="4"/>
        <v>0</v>
      </c>
      <c r="I2216" s="106" t="str">
        <f>SUMIFS(Del!C:C,Del!B:B,A2216)</f>
        <v>0</v>
      </c>
      <c r="J2216" s="106" t="str">
        <f t="shared" si="5"/>
        <v>1</v>
      </c>
      <c r="K2216" s="106" t="str">
        <f t="shared" si="6"/>
        <v>1</v>
      </c>
      <c r="L2216" s="106"/>
      <c r="M2216" s="106" t="str">
        <f>SUMIFS(Ere!C:C,Ere!B:B,A2216)</f>
        <v>0</v>
      </c>
      <c r="N2216" s="106" t="str">
        <f t="shared" si="7"/>
        <v>1</v>
      </c>
      <c r="O2216" s="107" t="str">
        <f t="array" ref="O2216">XLOOKUP(A2216,Data!F:F,Data!O:O)</f>
        <v>  2.35 </v>
      </c>
      <c r="P2216" s="107" t="str">
        <f t="shared" si="8"/>
        <v>  5.88 </v>
      </c>
      <c r="Q2216" s="27"/>
    </row>
    <row r="2217" ht="15.75" customHeight="1">
      <c r="A2217" s="111" t="s">
        <v>2461</v>
      </c>
      <c r="B2217" s="19" t="str">
        <f t="array" ref="B2217">XLOOKUP(A2217,Data!F:F,Data!G:G)</f>
        <v>J2C</v>
      </c>
      <c r="C2217" s="19" t="str">
        <f t="shared" si="3"/>
        <v>J076</v>
      </c>
      <c r="D2217" s="19" t="str">
        <f t="array" ref="D2217">XLOOKUP(A2217,Data!F:F,Data!C:C)</f>
        <v/>
      </c>
      <c r="E2217" s="19" t="str">
        <f t="array" ref="E2217">XLOOKUP(A2217,Data!F:F,Data!H:H)</f>
        <v>BW</v>
      </c>
      <c r="F2217" s="106" t="str">
        <f>SUMIFS(Data!J:J,Data!F:F,A2217)</f>
        <v>1</v>
      </c>
      <c r="G2217" s="106" t="str">
        <f>SUMIFS(Cast!C:C,CastElements,A2217)</f>
        <v>0</v>
      </c>
      <c r="H2217" s="106" t="str">
        <f t="shared" si="4"/>
        <v>1</v>
      </c>
      <c r="I2217" s="106" t="str">
        <f>SUMIFS(Del!C:C,Del!B:B,A2217)</f>
        <v>0</v>
      </c>
      <c r="J2217" s="106" t="str">
        <f t="shared" si="5"/>
        <v>1</v>
      </c>
      <c r="K2217" s="106" t="str">
        <f t="shared" si="6"/>
        <v>0</v>
      </c>
      <c r="L2217" s="106"/>
      <c r="M2217" s="106" t="str">
        <f>SUMIFS(Ere!C:C,Ere!B:B,A2217)</f>
        <v>0</v>
      </c>
      <c r="N2217" s="106" t="str">
        <f t="shared" si="7"/>
        <v>1</v>
      </c>
      <c r="O2217" s="107" t="str">
        <f t="array" ref="O2217">XLOOKUP(A2217,Data!F:F,Data!O:O)</f>
        <v>  2.15 </v>
      </c>
      <c r="P2217" s="107" t="str">
        <f t="shared" si="8"/>
        <v>  5.38 </v>
      </c>
      <c r="Q2217" s="27"/>
    </row>
    <row r="2218" ht="15.75" customHeight="1">
      <c r="A2218" s="111" t="s">
        <v>2462</v>
      </c>
      <c r="B2218" s="19" t="str">
        <f t="array" ref="B2218">XLOOKUP(A2218,Data!F:F,Data!G:G)</f>
        <v>J2C</v>
      </c>
      <c r="C2218" s="19" t="str">
        <f t="shared" si="3"/>
        <v>J076</v>
      </c>
      <c r="D2218" s="19" t="str">
        <f t="array" ref="D2218">XLOOKUP(A2218,Data!F:F,Data!C:C)</f>
        <v/>
      </c>
      <c r="E2218" s="19" t="str">
        <f t="array" ref="E2218">XLOOKUP(A2218,Data!F:F,Data!H:H)</f>
        <v>BW</v>
      </c>
      <c r="F2218" s="106" t="str">
        <f>SUMIFS(Data!J:J,Data!F:F,A2218)</f>
        <v>1</v>
      </c>
      <c r="G2218" s="106" t="str">
        <f>SUMIFS(Cast!C:C,CastElements,A2218)</f>
        <v>1</v>
      </c>
      <c r="H2218" s="106" t="str">
        <f t="shared" si="4"/>
        <v>0</v>
      </c>
      <c r="I2218" s="106" t="str">
        <f>SUMIFS(Del!C:C,Del!B:B,A2218)</f>
        <v>0</v>
      </c>
      <c r="J2218" s="106" t="str">
        <f t="shared" si="5"/>
        <v>1</v>
      </c>
      <c r="K2218" s="106" t="str">
        <f t="shared" si="6"/>
        <v>1</v>
      </c>
      <c r="L2218" s="106"/>
      <c r="M2218" s="106" t="str">
        <f>SUMIFS(Ere!C:C,Ere!B:B,A2218)</f>
        <v>0</v>
      </c>
      <c r="N2218" s="106" t="str">
        <f t="shared" si="7"/>
        <v>1</v>
      </c>
      <c r="O2218" s="107" t="str">
        <f t="array" ref="O2218">XLOOKUP(A2218,Data!F:F,Data!O:O)</f>
        <v>  1.50 </v>
      </c>
      <c r="P2218" s="107" t="str">
        <f t="shared" si="8"/>
        <v>  3.75 </v>
      </c>
      <c r="Q2218" s="27"/>
    </row>
    <row r="2219" ht="15.75" customHeight="1">
      <c r="A2219" s="111" t="s">
        <v>2463</v>
      </c>
      <c r="B2219" s="19" t="str">
        <f t="array" ref="B2219">XLOOKUP(A2219,Data!F:F,Data!G:G)</f>
        <v>J2C</v>
      </c>
      <c r="C2219" s="19" t="str">
        <f t="shared" si="3"/>
        <v>J076</v>
      </c>
      <c r="D2219" s="19" t="str">
        <f t="array" ref="D2219">XLOOKUP(A2219,Data!F:F,Data!C:C)</f>
        <v/>
      </c>
      <c r="E2219" s="19" t="str">
        <f t="array" ref="E2219">XLOOKUP(A2219,Data!F:F,Data!H:H)</f>
        <v>BW</v>
      </c>
      <c r="F2219" s="106" t="str">
        <f>SUMIFS(Data!J:J,Data!F:F,A2219)</f>
        <v>1</v>
      </c>
      <c r="G2219" s="106" t="str">
        <f>SUMIFS(Cast!C:C,CastElements,A2219)</f>
        <v>1</v>
      </c>
      <c r="H2219" s="106" t="str">
        <f t="shared" si="4"/>
        <v>0</v>
      </c>
      <c r="I2219" s="106" t="str">
        <f>SUMIFS(Del!C:C,Del!B:B,A2219)</f>
        <v>0</v>
      </c>
      <c r="J2219" s="106" t="str">
        <f t="shared" si="5"/>
        <v>1</v>
      </c>
      <c r="K2219" s="106" t="str">
        <f t="shared" si="6"/>
        <v>1</v>
      </c>
      <c r="L2219" s="106"/>
      <c r="M2219" s="106" t="str">
        <f>SUMIFS(Ere!C:C,Ere!B:B,A2219)</f>
        <v>0</v>
      </c>
      <c r="N2219" s="106" t="str">
        <f t="shared" si="7"/>
        <v>1</v>
      </c>
      <c r="O2219" s="107" t="str">
        <f t="array" ref="O2219">XLOOKUP(A2219,Data!F:F,Data!O:O)</f>
        <v>  1.50 </v>
      </c>
      <c r="P2219" s="107" t="str">
        <f t="shared" si="8"/>
        <v>  3.75 </v>
      </c>
      <c r="Q2219" s="27"/>
    </row>
    <row r="2220" ht="15.75" customHeight="1">
      <c r="A2220" s="111" t="s">
        <v>2464</v>
      </c>
      <c r="B2220" s="19" t="str">
        <f t="array" ref="B2220">XLOOKUP(A2220,Data!F:F,Data!G:G)</f>
        <v>J2C</v>
      </c>
      <c r="C2220" s="19" t="str">
        <f t="shared" si="3"/>
        <v>J076</v>
      </c>
      <c r="D2220" s="19" t="str">
        <f t="array" ref="D2220">XLOOKUP(A2220,Data!F:F,Data!C:C)</f>
        <v/>
      </c>
      <c r="E2220" s="19" t="str">
        <f t="array" ref="E2220">XLOOKUP(A2220,Data!F:F,Data!H:H)</f>
        <v>BW</v>
      </c>
      <c r="F2220" s="106" t="str">
        <f>SUMIFS(Data!J:J,Data!F:F,A2220)</f>
        <v>1</v>
      </c>
      <c r="G2220" s="106" t="str">
        <f>SUMIFS(Cast!C:C,CastElements,A2220)</f>
        <v>1</v>
      </c>
      <c r="H2220" s="106" t="str">
        <f t="shared" si="4"/>
        <v>0</v>
      </c>
      <c r="I2220" s="106" t="str">
        <f>SUMIFS(Del!C:C,Del!B:B,A2220)</f>
        <v>0</v>
      </c>
      <c r="J2220" s="106" t="str">
        <f t="shared" si="5"/>
        <v>1</v>
      </c>
      <c r="K2220" s="106" t="str">
        <f t="shared" si="6"/>
        <v>1</v>
      </c>
      <c r="L2220" s="106"/>
      <c r="M2220" s="106" t="str">
        <f>SUMIFS(Ere!C:C,Ere!B:B,A2220)</f>
        <v>0</v>
      </c>
      <c r="N2220" s="106" t="str">
        <f t="shared" si="7"/>
        <v>1</v>
      </c>
      <c r="O2220" s="107" t="str">
        <f t="array" ref="O2220">XLOOKUP(A2220,Data!F:F,Data!O:O)</f>
        <v>  1.50 </v>
      </c>
      <c r="P2220" s="107" t="str">
        <f t="shared" si="8"/>
        <v>  3.75 </v>
      </c>
      <c r="Q2220" s="27"/>
    </row>
    <row r="2221" ht="15.75" customHeight="1">
      <c r="A2221" s="111" t="s">
        <v>2465</v>
      </c>
      <c r="B2221" s="19" t="str">
        <f t="array" ref="B2221">XLOOKUP(A2221,Data!F:F,Data!G:G)</f>
        <v>J2C</v>
      </c>
      <c r="C2221" s="19" t="str">
        <f t="shared" si="3"/>
        <v>J076</v>
      </c>
      <c r="D2221" s="19" t="str">
        <f t="array" ref="D2221">XLOOKUP(A2221,Data!F:F,Data!C:C)</f>
        <v/>
      </c>
      <c r="E2221" s="19" t="str">
        <f t="array" ref="E2221">XLOOKUP(A2221,Data!F:F,Data!H:H)</f>
        <v>BW</v>
      </c>
      <c r="F2221" s="106" t="str">
        <f>SUMIFS(Data!J:J,Data!F:F,A2221)</f>
        <v>1</v>
      </c>
      <c r="G2221" s="106" t="str">
        <f>SUMIFS(Cast!C:C,CastElements,A2221)</f>
        <v>0</v>
      </c>
      <c r="H2221" s="106" t="str">
        <f t="shared" si="4"/>
        <v>1</v>
      </c>
      <c r="I2221" s="106" t="str">
        <f>SUMIFS(Del!C:C,Del!B:B,A2221)</f>
        <v>0</v>
      </c>
      <c r="J2221" s="106" t="str">
        <f t="shared" si="5"/>
        <v>1</v>
      </c>
      <c r="K2221" s="106" t="str">
        <f t="shared" si="6"/>
        <v>0</v>
      </c>
      <c r="L2221" s="106"/>
      <c r="M2221" s="106" t="str">
        <f>SUMIFS(Ere!C:C,Ere!B:B,A2221)</f>
        <v>0</v>
      </c>
      <c r="N2221" s="106" t="str">
        <f t="shared" si="7"/>
        <v>1</v>
      </c>
      <c r="O2221" s="107" t="str">
        <f t="array" ref="O2221">XLOOKUP(A2221,Data!F:F,Data!O:O)</f>
        <v>  1.91 </v>
      </c>
      <c r="P2221" s="107" t="str">
        <f t="shared" si="8"/>
        <v>  4.78 </v>
      </c>
      <c r="Q2221" s="27"/>
    </row>
    <row r="2222" ht="15.75" customHeight="1">
      <c r="A2222" s="111" t="s">
        <v>2466</v>
      </c>
      <c r="B2222" s="19" t="str">
        <f t="array" ref="B2222">XLOOKUP(A2222,Data!F:F,Data!G:G)</f>
        <v>J2C</v>
      </c>
      <c r="C2222" s="19" t="str">
        <f t="shared" si="3"/>
        <v>J076</v>
      </c>
      <c r="D2222" s="19" t="str">
        <f t="array" ref="D2222">XLOOKUP(A2222,Data!F:F,Data!C:C)</f>
        <v/>
      </c>
      <c r="E2222" s="19" t="str">
        <f t="array" ref="E2222">XLOOKUP(A2222,Data!F:F,Data!H:H)</f>
        <v>BW</v>
      </c>
      <c r="F2222" s="106" t="str">
        <f>SUMIFS(Data!J:J,Data!F:F,A2222)</f>
        <v>1</v>
      </c>
      <c r="G2222" s="106" t="str">
        <f>SUMIFS(Cast!C:C,CastElements,A2222)</f>
        <v>0</v>
      </c>
      <c r="H2222" s="106" t="str">
        <f t="shared" si="4"/>
        <v>1</v>
      </c>
      <c r="I2222" s="106" t="str">
        <f>SUMIFS(Del!C:C,Del!B:B,A2222)</f>
        <v>0</v>
      </c>
      <c r="J2222" s="106" t="str">
        <f t="shared" si="5"/>
        <v>1</v>
      </c>
      <c r="K2222" s="106" t="str">
        <f t="shared" si="6"/>
        <v>0</v>
      </c>
      <c r="L2222" s="106"/>
      <c r="M2222" s="106" t="str">
        <f>SUMIFS(Ere!C:C,Ere!B:B,A2222)</f>
        <v>0</v>
      </c>
      <c r="N2222" s="106" t="str">
        <f t="shared" si="7"/>
        <v>1</v>
      </c>
      <c r="O2222" s="107" t="str">
        <f t="array" ref="O2222">XLOOKUP(A2222,Data!F:F,Data!O:O)</f>
        <v>  0.98 </v>
      </c>
      <c r="P2222" s="107" t="str">
        <f t="shared" si="8"/>
        <v>  2.45 </v>
      </c>
      <c r="Q2222" s="27"/>
    </row>
    <row r="2223" ht="15.75" customHeight="1">
      <c r="A2223" s="111" t="s">
        <v>2467</v>
      </c>
      <c r="B2223" s="19" t="str">
        <f t="array" ref="B2223">XLOOKUP(A2223,Data!F:F,Data!G:G)</f>
        <v>J2C</v>
      </c>
      <c r="C2223" s="19" t="str">
        <f t="shared" si="3"/>
        <v>J076</v>
      </c>
      <c r="D2223" s="19" t="str">
        <f t="array" ref="D2223">XLOOKUP(A2223,Data!F:F,Data!C:C)</f>
        <v/>
      </c>
      <c r="E2223" s="19" t="str">
        <f t="array" ref="E2223">XLOOKUP(A2223,Data!F:F,Data!H:H)</f>
        <v>BW</v>
      </c>
      <c r="F2223" s="106" t="str">
        <f>SUMIFS(Data!J:J,Data!F:F,A2223)</f>
        <v>1</v>
      </c>
      <c r="G2223" s="106" t="str">
        <f>SUMIFS(Cast!C:C,CastElements,A2223)</f>
        <v>1</v>
      </c>
      <c r="H2223" s="106" t="str">
        <f t="shared" si="4"/>
        <v>0</v>
      </c>
      <c r="I2223" s="106" t="str">
        <f>SUMIFS(Del!C:C,Del!B:B,A2223)</f>
        <v>0</v>
      </c>
      <c r="J2223" s="106" t="str">
        <f t="shared" si="5"/>
        <v>1</v>
      </c>
      <c r="K2223" s="106" t="str">
        <f t="shared" si="6"/>
        <v>1</v>
      </c>
      <c r="L2223" s="106"/>
      <c r="M2223" s="106" t="str">
        <f>SUMIFS(Ere!C:C,Ere!B:B,A2223)</f>
        <v>0</v>
      </c>
      <c r="N2223" s="106" t="str">
        <f t="shared" si="7"/>
        <v>1</v>
      </c>
      <c r="O2223" s="107" t="str">
        <f t="array" ref="O2223">XLOOKUP(A2223,Data!F:F,Data!O:O)</f>
        <v>  0.48 </v>
      </c>
      <c r="P2223" s="107" t="str">
        <f t="shared" si="8"/>
        <v>  1.20 </v>
      </c>
      <c r="Q2223" s="27"/>
    </row>
    <row r="2224" ht="15.75" customHeight="1">
      <c r="A2224" s="111" t="s">
        <v>2468</v>
      </c>
      <c r="B2224" s="19" t="str">
        <f t="array" ref="B2224">XLOOKUP(A2224,Data!F:F,Data!G:G)</f>
        <v>J2C</v>
      </c>
      <c r="C2224" s="19" t="str">
        <f t="shared" si="3"/>
        <v>J076</v>
      </c>
      <c r="D2224" s="19" t="str">
        <f t="array" ref="D2224">XLOOKUP(A2224,Data!F:F,Data!C:C)</f>
        <v>EXT</v>
      </c>
      <c r="E2224" s="19" t="str">
        <f t="array" ref="E2224">XLOOKUP(A2224,Data!F:F,Data!H:H)</f>
        <v>BW</v>
      </c>
      <c r="F2224" s="106" t="str">
        <f>SUMIFS(Data!J:J,Data!F:F,A2224)</f>
        <v>1</v>
      </c>
      <c r="G2224" s="106" t="str">
        <f>SUMIFS(Cast!C:C,CastElements,A2224)</f>
        <v>0</v>
      </c>
      <c r="H2224" s="106" t="str">
        <f t="shared" si="4"/>
        <v>1</v>
      </c>
      <c r="I2224" s="106" t="str">
        <f>SUMIFS(Del!C:C,Del!B:B,A2224)</f>
        <v>0</v>
      </c>
      <c r="J2224" s="106" t="str">
        <f t="shared" si="5"/>
        <v>1</v>
      </c>
      <c r="K2224" s="106" t="str">
        <f t="shared" si="6"/>
        <v>0</v>
      </c>
      <c r="L2224" s="106"/>
      <c r="M2224" s="106" t="str">
        <f>SUMIFS(Ere!C:C,Ere!B:B,A2224)</f>
        <v>0</v>
      </c>
      <c r="N2224" s="106" t="str">
        <f t="shared" si="7"/>
        <v>1</v>
      </c>
      <c r="O2224" s="107" t="str">
        <f t="array" ref="O2224">XLOOKUP(A2224,Data!F:F,Data!O:O)</f>
        <v>  0.91 </v>
      </c>
      <c r="P2224" s="107" t="str">
        <f t="shared" si="8"/>
        <v>  2.28 </v>
      </c>
      <c r="Q2224" s="27"/>
    </row>
    <row r="2225" ht="15.75" customHeight="1">
      <c r="A2225" s="111" t="s">
        <v>2469</v>
      </c>
      <c r="B2225" s="19" t="str">
        <f t="array" ref="B2225">XLOOKUP(A2225,Data!F:F,Data!G:G)</f>
        <v>J2C</v>
      </c>
      <c r="C2225" s="19" t="str">
        <f t="shared" si="3"/>
        <v>J076</v>
      </c>
      <c r="D2225" s="19" t="str">
        <f t="array" ref="D2225">XLOOKUP(A2225,Data!F:F,Data!C:C)</f>
        <v/>
      </c>
      <c r="E2225" s="19" t="str">
        <f t="array" ref="E2225">XLOOKUP(A2225,Data!F:F,Data!H:H)</f>
        <v>BW</v>
      </c>
      <c r="F2225" s="106" t="str">
        <f>SUMIFS(Data!J:J,Data!F:F,A2225)</f>
        <v>1</v>
      </c>
      <c r="G2225" s="106" t="str">
        <f>SUMIFS(Cast!C:C,CastElements,A2225)</f>
        <v>0</v>
      </c>
      <c r="H2225" s="106" t="str">
        <f t="shared" si="4"/>
        <v>1</v>
      </c>
      <c r="I2225" s="106" t="str">
        <f>SUMIFS(Del!C:C,Del!B:B,A2225)</f>
        <v>0</v>
      </c>
      <c r="J2225" s="106" t="str">
        <f t="shared" si="5"/>
        <v>1</v>
      </c>
      <c r="K2225" s="106" t="str">
        <f t="shared" si="6"/>
        <v>0</v>
      </c>
      <c r="L2225" s="106"/>
      <c r="M2225" s="106" t="str">
        <f>SUMIFS(Ere!C:C,Ere!B:B,A2225)</f>
        <v>0</v>
      </c>
      <c r="N2225" s="106" t="str">
        <f t="shared" si="7"/>
        <v>1</v>
      </c>
      <c r="O2225" s="107" t="str">
        <f t="array" ref="O2225">XLOOKUP(A2225,Data!F:F,Data!O:O)</f>
        <v>  1.68 </v>
      </c>
      <c r="P2225" s="107" t="str">
        <f t="shared" si="8"/>
        <v>  4.20 </v>
      </c>
      <c r="Q2225" s="27"/>
    </row>
    <row r="2226" ht="15.75" customHeight="1">
      <c r="A2226" s="111" t="s">
        <v>2470</v>
      </c>
      <c r="B2226" s="19" t="str">
        <f t="array" ref="B2226">XLOOKUP(A2226,Data!F:F,Data!G:G)</f>
        <v>J2C</v>
      </c>
      <c r="C2226" s="19" t="str">
        <f t="shared" si="3"/>
        <v>J076</v>
      </c>
      <c r="D2226" s="19" t="str">
        <f t="array" ref="D2226">XLOOKUP(A2226,Data!F:F,Data!C:C)</f>
        <v/>
      </c>
      <c r="E2226" s="19" t="str">
        <f t="array" ref="E2226">XLOOKUP(A2226,Data!F:F,Data!H:H)</f>
        <v>BW</v>
      </c>
      <c r="F2226" s="106" t="str">
        <f>SUMIFS(Data!J:J,Data!F:F,A2226)</f>
        <v>1</v>
      </c>
      <c r="G2226" s="106" t="str">
        <f>SUMIFS(Cast!C:C,CastElements,A2226)</f>
        <v>1</v>
      </c>
      <c r="H2226" s="106" t="str">
        <f t="shared" si="4"/>
        <v>0</v>
      </c>
      <c r="I2226" s="106" t="str">
        <f>SUMIFS(Del!C:C,Del!B:B,A2226)</f>
        <v>0</v>
      </c>
      <c r="J2226" s="106" t="str">
        <f t="shared" si="5"/>
        <v>1</v>
      </c>
      <c r="K2226" s="106" t="str">
        <f t="shared" si="6"/>
        <v>1</v>
      </c>
      <c r="L2226" s="106"/>
      <c r="M2226" s="106" t="str">
        <f>SUMIFS(Ere!C:C,Ere!B:B,A2226)</f>
        <v>0</v>
      </c>
      <c r="N2226" s="106" t="str">
        <f t="shared" si="7"/>
        <v>1</v>
      </c>
      <c r="O2226" s="107" t="str">
        <f t="array" ref="O2226">XLOOKUP(A2226,Data!F:F,Data!O:O)</f>
        <v>  1.21 </v>
      </c>
      <c r="P2226" s="107" t="str">
        <f t="shared" si="8"/>
        <v>  3.03 </v>
      </c>
      <c r="Q2226" s="27"/>
    </row>
    <row r="2227" ht="15.75" customHeight="1">
      <c r="A2227" s="111" t="s">
        <v>2471</v>
      </c>
      <c r="B2227" s="19" t="str">
        <f t="array" ref="B2227">XLOOKUP(A2227,Data!F:F,Data!G:G)</f>
        <v>J2C</v>
      </c>
      <c r="C2227" s="19" t="str">
        <f t="shared" si="3"/>
        <v>J076</v>
      </c>
      <c r="D2227" s="19" t="str">
        <f t="array" ref="D2227">XLOOKUP(A2227,Data!F:F,Data!C:C)</f>
        <v/>
      </c>
      <c r="E2227" s="19" t="str">
        <f t="array" ref="E2227">XLOOKUP(A2227,Data!F:F,Data!H:H)</f>
        <v>BW</v>
      </c>
      <c r="F2227" s="106" t="str">
        <f>SUMIFS(Data!J:J,Data!F:F,A2227)</f>
        <v>1</v>
      </c>
      <c r="G2227" s="106" t="str">
        <f>SUMIFS(Cast!C:C,CastElements,A2227)</f>
        <v>1</v>
      </c>
      <c r="H2227" s="106" t="str">
        <f t="shared" si="4"/>
        <v>0</v>
      </c>
      <c r="I2227" s="106" t="str">
        <f>SUMIFS(Del!C:C,Del!B:B,A2227)</f>
        <v>0</v>
      </c>
      <c r="J2227" s="106" t="str">
        <f t="shared" si="5"/>
        <v>1</v>
      </c>
      <c r="K2227" s="106" t="str">
        <f t="shared" si="6"/>
        <v>1</v>
      </c>
      <c r="L2227" s="106"/>
      <c r="M2227" s="106" t="str">
        <f>SUMIFS(Ere!C:C,Ere!B:B,A2227)</f>
        <v>0</v>
      </c>
      <c r="N2227" s="106" t="str">
        <f t="shared" si="7"/>
        <v>1</v>
      </c>
      <c r="O2227" s="107" t="str">
        <f t="array" ref="O2227">XLOOKUP(A2227,Data!F:F,Data!O:O)</f>
        <v>  2.13 </v>
      </c>
      <c r="P2227" s="107" t="str">
        <f t="shared" si="8"/>
        <v>  5.32 </v>
      </c>
      <c r="Q2227" s="27"/>
    </row>
    <row r="2228" ht="15.75" customHeight="1">
      <c r="A2228" s="111" t="s">
        <v>2472</v>
      </c>
      <c r="B2228" s="19" t="str">
        <f t="array" ref="B2228">XLOOKUP(A2228,Data!F:F,Data!G:G)</f>
        <v>J2C</v>
      </c>
      <c r="C2228" s="19" t="str">
        <f t="shared" si="3"/>
        <v>J076</v>
      </c>
      <c r="D2228" s="19" t="str">
        <f t="array" ref="D2228">XLOOKUP(A2228,Data!F:F,Data!C:C)</f>
        <v/>
      </c>
      <c r="E2228" s="19" t="str">
        <f t="array" ref="E2228">XLOOKUP(A2228,Data!F:F,Data!H:H)</f>
        <v>BW</v>
      </c>
      <c r="F2228" s="106" t="str">
        <f>SUMIFS(Data!J:J,Data!F:F,A2228)</f>
        <v>1</v>
      </c>
      <c r="G2228" s="106" t="str">
        <f>SUMIFS(Cast!C:C,CastElements,A2228)</f>
        <v>0</v>
      </c>
      <c r="H2228" s="106" t="str">
        <f t="shared" si="4"/>
        <v>1</v>
      </c>
      <c r="I2228" s="106" t="str">
        <f>SUMIFS(Del!C:C,Del!B:B,A2228)</f>
        <v>0</v>
      </c>
      <c r="J2228" s="106" t="str">
        <f t="shared" si="5"/>
        <v>1</v>
      </c>
      <c r="K2228" s="106" t="str">
        <f t="shared" si="6"/>
        <v>0</v>
      </c>
      <c r="L2228" s="106"/>
      <c r="M2228" s="106" t="str">
        <f>SUMIFS(Ere!C:C,Ere!B:B,A2228)</f>
        <v>0</v>
      </c>
      <c r="N2228" s="106" t="str">
        <f t="shared" si="7"/>
        <v>1</v>
      </c>
      <c r="O2228" s="107" t="str">
        <f t="array" ref="O2228">XLOOKUP(A2228,Data!F:F,Data!O:O)</f>
        <v>  0.37 </v>
      </c>
      <c r="P2228" s="107" t="str">
        <f t="shared" si="8"/>
        <v>  0.93 </v>
      </c>
      <c r="Q2228" s="27"/>
    </row>
    <row r="2229" ht="15.75" customHeight="1">
      <c r="A2229" s="111" t="s">
        <v>2473</v>
      </c>
      <c r="B2229" s="19" t="str">
        <f t="array" ref="B2229">XLOOKUP(A2229,Data!F:F,Data!G:G)</f>
        <v>J2C</v>
      </c>
      <c r="C2229" s="19" t="str">
        <f t="shared" si="3"/>
        <v>J076</v>
      </c>
      <c r="D2229" s="19" t="str">
        <f t="array" ref="D2229">XLOOKUP(A2229,Data!F:F,Data!C:C)</f>
        <v/>
      </c>
      <c r="E2229" s="19" t="str">
        <f t="array" ref="E2229">XLOOKUP(A2229,Data!F:F,Data!H:H)</f>
        <v>CF</v>
      </c>
      <c r="F2229" s="106" t="str">
        <f>SUMIFS(Data!J:J,Data!F:F,A2229)</f>
        <v>1</v>
      </c>
      <c r="G2229" s="106" t="str">
        <f>SUMIFS(Cast!C:C,CastElements,A2229)</f>
        <v>1</v>
      </c>
      <c r="H2229" s="106" t="str">
        <f t="shared" si="4"/>
        <v>0</v>
      </c>
      <c r="I2229" s="106" t="str">
        <f>SUMIFS(Del!C:C,Del!B:B,A2229)</f>
        <v>0</v>
      </c>
      <c r="J2229" s="106" t="str">
        <f t="shared" si="5"/>
        <v>1</v>
      </c>
      <c r="K2229" s="106" t="str">
        <f t="shared" si="6"/>
        <v>1</v>
      </c>
      <c r="L2229" s="106"/>
      <c r="M2229" s="106" t="str">
        <f>SUMIFS(Ere!C:C,Ere!B:B,A2229)</f>
        <v>0</v>
      </c>
      <c r="N2229" s="106" t="str">
        <f t="shared" si="7"/>
        <v>1</v>
      </c>
      <c r="O2229" s="107" t="str">
        <f t="array" ref="O2229">XLOOKUP(A2229,Data!F:F,Data!O:O)</f>
        <v>  0.47 </v>
      </c>
      <c r="P2229" s="107" t="str">
        <f t="shared" si="8"/>
        <v>  1.18 </v>
      </c>
      <c r="Q2229" s="27"/>
    </row>
    <row r="2230" ht="15.75" customHeight="1">
      <c r="A2230" s="111" t="s">
        <v>2474</v>
      </c>
      <c r="B2230" s="19" t="str">
        <f t="array" ref="B2230">XLOOKUP(A2230,Data!F:F,Data!G:G)</f>
        <v>J3C</v>
      </c>
      <c r="C2230" s="19" t="str">
        <f t="shared" si="3"/>
        <v>J059</v>
      </c>
      <c r="D2230" s="19" t="str">
        <f t="array" ref="D2230">XLOOKUP(A2230,Data!F:F,Data!C:C)</f>
        <v>EXT</v>
      </c>
      <c r="E2230" s="19" t="str">
        <f t="array" ref="E2230">XLOOKUP(A2230,Data!F:F,Data!H:H)</f>
        <v>BW</v>
      </c>
      <c r="F2230" s="106" t="str">
        <f>SUMIFS(Data!J:J,Data!F:F,A2230)</f>
        <v>1</v>
      </c>
      <c r="G2230" s="106" t="str">
        <f>SUMIFS(Cast!C:C,CastElements,A2230)</f>
        <v>0</v>
      </c>
      <c r="H2230" s="106" t="str">
        <f t="shared" si="4"/>
        <v>1</v>
      </c>
      <c r="I2230" s="106" t="str">
        <f>SUMIFS(Del!C:C,Del!B:B,A2230)</f>
        <v>0</v>
      </c>
      <c r="J2230" s="106" t="str">
        <f t="shared" si="5"/>
        <v>1</v>
      </c>
      <c r="K2230" s="106" t="str">
        <f t="shared" si="6"/>
        <v>0</v>
      </c>
      <c r="L2230" s="106"/>
      <c r="M2230" s="106" t="str">
        <f>SUMIFS(Ere!C:C,Ere!B:B,A2230)</f>
        <v>0</v>
      </c>
      <c r="N2230" s="106" t="str">
        <f t="shared" si="7"/>
        <v>1</v>
      </c>
      <c r="O2230" s="107" t="str">
        <f t="array" ref="O2230">XLOOKUP(A2230,Data!F:F,Data!O:O)</f>
        <v>  0.68 </v>
      </c>
      <c r="P2230" s="107" t="str">
        <f t="shared" si="8"/>
        <v>  1.71 </v>
      </c>
      <c r="Q2230" s="27"/>
    </row>
    <row r="2231" ht="15.75" customHeight="1">
      <c r="A2231" s="111" t="s">
        <v>2475</v>
      </c>
      <c r="B2231" s="19" t="str">
        <f t="array" ref="B2231">XLOOKUP(A2231,Data!F:F,Data!G:G)</f>
        <v>J3C</v>
      </c>
      <c r="C2231" s="19" t="str">
        <f t="shared" si="3"/>
        <v>J059</v>
      </c>
      <c r="D2231" s="19" t="str">
        <f t="array" ref="D2231">XLOOKUP(A2231,Data!F:F,Data!C:C)</f>
        <v>EXT</v>
      </c>
      <c r="E2231" s="19" t="str">
        <f t="array" ref="E2231">XLOOKUP(A2231,Data!F:F,Data!H:H)</f>
        <v>BW</v>
      </c>
      <c r="F2231" s="106" t="str">
        <f>SUMIFS(Data!J:J,Data!F:F,A2231)</f>
        <v>1</v>
      </c>
      <c r="G2231" s="106" t="str">
        <f>SUMIFS(Cast!C:C,CastElements,A2231)</f>
        <v>0</v>
      </c>
      <c r="H2231" s="106" t="str">
        <f t="shared" si="4"/>
        <v>1</v>
      </c>
      <c r="I2231" s="106" t="str">
        <f>SUMIFS(Del!C:C,Del!B:B,A2231)</f>
        <v>0</v>
      </c>
      <c r="J2231" s="106" t="str">
        <f t="shared" si="5"/>
        <v>1</v>
      </c>
      <c r="K2231" s="106" t="str">
        <f t="shared" si="6"/>
        <v>0</v>
      </c>
      <c r="L2231" s="106"/>
      <c r="M2231" s="106" t="str">
        <f>SUMIFS(Ere!C:C,Ere!B:B,A2231)</f>
        <v>0</v>
      </c>
      <c r="N2231" s="106" t="str">
        <f t="shared" si="7"/>
        <v>1</v>
      </c>
      <c r="O2231" s="107" t="str">
        <f t="array" ref="O2231">XLOOKUP(A2231,Data!F:F,Data!O:O)</f>
        <v>  0.68 </v>
      </c>
      <c r="P2231" s="107" t="str">
        <f t="shared" si="8"/>
        <v>  1.71 </v>
      </c>
      <c r="Q2231" s="27"/>
    </row>
    <row r="2232" ht="15.75" customHeight="1">
      <c r="A2232" s="111" t="s">
        <v>2476</v>
      </c>
      <c r="B2232" s="19" t="str">
        <f t="array" ref="B2232">XLOOKUP(A2232,Data!F:F,Data!G:G)</f>
        <v>J3C</v>
      </c>
      <c r="C2232" s="19" t="str">
        <f t="shared" si="3"/>
        <v>J059</v>
      </c>
      <c r="D2232" s="19" t="str">
        <f t="array" ref="D2232">XLOOKUP(A2232,Data!F:F,Data!C:C)</f>
        <v>EXT</v>
      </c>
      <c r="E2232" s="19" t="str">
        <f t="array" ref="E2232">XLOOKUP(A2232,Data!F:F,Data!H:H)</f>
        <v>BW</v>
      </c>
      <c r="F2232" s="106" t="str">
        <f>SUMIFS(Data!J:J,Data!F:F,A2232)</f>
        <v>1</v>
      </c>
      <c r="G2232" s="106" t="str">
        <f>SUMIFS(Cast!C:C,CastElements,A2232)</f>
        <v>0</v>
      </c>
      <c r="H2232" s="106" t="str">
        <f t="shared" si="4"/>
        <v>1</v>
      </c>
      <c r="I2232" s="106" t="str">
        <f>SUMIFS(Del!C:C,Del!B:B,A2232)</f>
        <v>0</v>
      </c>
      <c r="J2232" s="106" t="str">
        <f t="shared" si="5"/>
        <v>1</v>
      </c>
      <c r="K2232" s="106" t="str">
        <f t="shared" si="6"/>
        <v>0</v>
      </c>
      <c r="L2232" s="106"/>
      <c r="M2232" s="106" t="str">
        <f>SUMIFS(Ere!C:C,Ere!B:B,A2232)</f>
        <v>0</v>
      </c>
      <c r="N2232" s="106" t="str">
        <f t="shared" si="7"/>
        <v>1</v>
      </c>
      <c r="O2232" s="107" t="str">
        <f t="array" ref="O2232">XLOOKUP(A2232,Data!F:F,Data!O:O)</f>
        <v>  0.56 </v>
      </c>
      <c r="P2232" s="107" t="str">
        <f t="shared" si="8"/>
        <v>  1.40 </v>
      </c>
      <c r="Q2232" s="27"/>
    </row>
    <row r="2233" ht="15.75" customHeight="1">
      <c r="A2233" s="111" t="s">
        <v>2477</v>
      </c>
      <c r="B2233" s="19" t="str">
        <f t="array" ref="B2233">XLOOKUP(A2233,Data!F:F,Data!G:G)</f>
        <v>J3C</v>
      </c>
      <c r="C2233" s="19" t="str">
        <f t="shared" si="3"/>
        <v>J059</v>
      </c>
      <c r="D2233" s="19" t="str">
        <f t="array" ref="D2233">XLOOKUP(A2233,Data!F:F,Data!C:C)</f>
        <v>EXT</v>
      </c>
      <c r="E2233" s="19" t="str">
        <f t="array" ref="E2233">XLOOKUP(A2233,Data!F:F,Data!H:H)</f>
        <v>BW</v>
      </c>
      <c r="F2233" s="106" t="str">
        <f>SUMIFS(Data!J:J,Data!F:F,A2233)</f>
        <v>1</v>
      </c>
      <c r="G2233" s="106" t="str">
        <f>SUMIFS(Cast!C:C,CastElements,A2233)</f>
        <v>0</v>
      </c>
      <c r="H2233" s="106" t="str">
        <f t="shared" si="4"/>
        <v>1</v>
      </c>
      <c r="I2233" s="106" t="str">
        <f>SUMIFS(Del!C:C,Del!B:B,A2233)</f>
        <v>0</v>
      </c>
      <c r="J2233" s="106" t="str">
        <f t="shared" si="5"/>
        <v>1</v>
      </c>
      <c r="K2233" s="106" t="str">
        <f t="shared" si="6"/>
        <v>0</v>
      </c>
      <c r="L2233" s="106"/>
      <c r="M2233" s="106" t="str">
        <f>SUMIFS(Ere!C:C,Ere!B:B,A2233)</f>
        <v>0</v>
      </c>
      <c r="N2233" s="106" t="str">
        <f t="shared" si="7"/>
        <v>1</v>
      </c>
      <c r="O2233" s="107" t="str">
        <f t="array" ref="O2233">XLOOKUP(A2233,Data!F:F,Data!O:O)</f>
        <v>  0.56 </v>
      </c>
      <c r="P2233" s="107" t="str">
        <f t="shared" si="8"/>
        <v>  1.40 </v>
      </c>
      <c r="Q2233" s="27"/>
    </row>
    <row r="2234" ht="15.75" customHeight="1">
      <c r="A2234" s="111" t="s">
        <v>2478</v>
      </c>
      <c r="B2234" s="19" t="str">
        <f t="array" ref="B2234">XLOOKUP(A2234,Data!F:F,Data!G:G)</f>
        <v>J3C</v>
      </c>
      <c r="C2234" s="19" t="str">
        <f t="shared" si="3"/>
        <v>J059</v>
      </c>
      <c r="D2234" s="19" t="str">
        <f t="array" ref="D2234">XLOOKUP(A2234,Data!F:F,Data!C:C)</f>
        <v>EXT</v>
      </c>
      <c r="E2234" s="19" t="str">
        <f t="array" ref="E2234">XLOOKUP(A2234,Data!F:F,Data!H:H)</f>
        <v>BW</v>
      </c>
      <c r="F2234" s="106" t="str">
        <f>SUMIFS(Data!J:J,Data!F:F,A2234)</f>
        <v>1</v>
      </c>
      <c r="G2234" s="106" t="str">
        <f>SUMIFS(Cast!C:C,CastElements,A2234)</f>
        <v>0</v>
      </c>
      <c r="H2234" s="106" t="str">
        <f t="shared" si="4"/>
        <v>1</v>
      </c>
      <c r="I2234" s="106" t="str">
        <f>SUMIFS(Del!C:C,Del!B:B,A2234)</f>
        <v>0</v>
      </c>
      <c r="J2234" s="106" t="str">
        <f t="shared" si="5"/>
        <v>1</v>
      </c>
      <c r="K2234" s="106" t="str">
        <f t="shared" si="6"/>
        <v>0</v>
      </c>
      <c r="L2234" s="106"/>
      <c r="M2234" s="106" t="str">
        <f>SUMIFS(Ere!C:C,Ere!B:B,A2234)</f>
        <v>0</v>
      </c>
      <c r="N2234" s="106" t="str">
        <f t="shared" si="7"/>
        <v>1</v>
      </c>
      <c r="O2234" s="107" t="str">
        <f t="array" ref="O2234">XLOOKUP(A2234,Data!F:F,Data!O:O)</f>
        <v>  0.71 </v>
      </c>
      <c r="P2234" s="107" t="str">
        <f t="shared" si="8"/>
        <v>  1.78 </v>
      </c>
      <c r="Q2234" s="27"/>
    </row>
    <row r="2235" ht="15.75" customHeight="1">
      <c r="A2235" s="111" t="s">
        <v>2479</v>
      </c>
      <c r="B2235" s="19" t="str">
        <f t="array" ref="B2235">XLOOKUP(A2235,Data!F:F,Data!G:G)</f>
        <v>J3C</v>
      </c>
      <c r="C2235" s="19" t="str">
        <f t="shared" si="3"/>
        <v>J059</v>
      </c>
      <c r="D2235" s="19" t="str">
        <f t="array" ref="D2235">XLOOKUP(A2235,Data!F:F,Data!C:C)</f>
        <v>EXT</v>
      </c>
      <c r="E2235" s="19" t="str">
        <f t="array" ref="E2235">XLOOKUP(A2235,Data!F:F,Data!H:H)</f>
        <v>BW</v>
      </c>
      <c r="F2235" s="106" t="str">
        <f>SUMIFS(Data!J:J,Data!F:F,A2235)</f>
        <v>1</v>
      </c>
      <c r="G2235" s="106" t="str">
        <f>SUMIFS(Cast!C:C,CastElements,A2235)</f>
        <v>0</v>
      </c>
      <c r="H2235" s="106" t="str">
        <f t="shared" si="4"/>
        <v>1</v>
      </c>
      <c r="I2235" s="106" t="str">
        <f>SUMIFS(Del!C:C,Del!B:B,A2235)</f>
        <v>0</v>
      </c>
      <c r="J2235" s="106" t="str">
        <f t="shared" si="5"/>
        <v>1</v>
      </c>
      <c r="K2235" s="106" t="str">
        <f t="shared" si="6"/>
        <v>0</v>
      </c>
      <c r="L2235" s="106"/>
      <c r="M2235" s="106" t="str">
        <f>SUMIFS(Ere!C:C,Ere!B:B,A2235)</f>
        <v>0</v>
      </c>
      <c r="N2235" s="106" t="str">
        <f t="shared" si="7"/>
        <v>1</v>
      </c>
      <c r="O2235" s="107" t="str">
        <f t="array" ref="O2235">XLOOKUP(A2235,Data!F:F,Data!O:O)</f>
        <v>  0.65 </v>
      </c>
      <c r="P2235" s="107" t="str">
        <f t="shared" si="8"/>
        <v>  1.62 </v>
      </c>
      <c r="Q2235" s="27"/>
    </row>
    <row r="2236" ht="15.75" customHeight="1">
      <c r="A2236" s="111" t="s">
        <v>2480</v>
      </c>
      <c r="B2236" s="19" t="str">
        <f t="array" ref="B2236">XLOOKUP(A2236,Data!F:F,Data!G:G)</f>
        <v>J3C</v>
      </c>
      <c r="C2236" s="19" t="str">
        <f t="shared" si="3"/>
        <v>J059</v>
      </c>
      <c r="D2236" s="19" t="str">
        <f t="array" ref="D2236">XLOOKUP(A2236,Data!F:F,Data!C:C)</f>
        <v>EXT</v>
      </c>
      <c r="E2236" s="19" t="str">
        <f t="array" ref="E2236">XLOOKUP(A2236,Data!F:F,Data!H:H)</f>
        <v>BW</v>
      </c>
      <c r="F2236" s="106" t="str">
        <f>SUMIFS(Data!J:J,Data!F:F,A2236)</f>
        <v>1</v>
      </c>
      <c r="G2236" s="106" t="str">
        <f>SUMIFS(Cast!C:C,CastElements,A2236)</f>
        <v>0</v>
      </c>
      <c r="H2236" s="106" t="str">
        <f t="shared" si="4"/>
        <v>1</v>
      </c>
      <c r="I2236" s="106" t="str">
        <f>SUMIFS(Del!C:C,Del!B:B,A2236)</f>
        <v>0</v>
      </c>
      <c r="J2236" s="106" t="str">
        <f t="shared" si="5"/>
        <v>1</v>
      </c>
      <c r="K2236" s="106" t="str">
        <f t="shared" si="6"/>
        <v>0</v>
      </c>
      <c r="L2236" s="106"/>
      <c r="M2236" s="106" t="str">
        <f>SUMIFS(Ere!C:C,Ere!B:B,A2236)</f>
        <v>0</v>
      </c>
      <c r="N2236" s="106" t="str">
        <f t="shared" si="7"/>
        <v>1</v>
      </c>
      <c r="O2236" s="107" t="str">
        <f t="array" ref="O2236">XLOOKUP(A2236,Data!F:F,Data!O:O)</f>
        <v>  0.65 </v>
      </c>
      <c r="P2236" s="107" t="str">
        <f t="shared" si="8"/>
        <v>  1.62 </v>
      </c>
      <c r="Q2236" s="27"/>
    </row>
    <row r="2237" ht="15.75" customHeight="1">
      <c r="A2237" s="111" t="s">
        <v>2481</v>
      </c>
      <c r="B2237" s="19" t="str">
        <f t="array" ref="B2237">XLOOKUP(A2237,Data!F:F,Data!G:G)</f>
        <v>J3C</v>
      </c>
      <c r="C2237" s="19" t="str">
        <f t="shared" si="3"/>
        <v>J059</v>
      </c>
      <c r="D2237" s="19" t="str">
        <f t="array" ref="D2237">XLOOKUP(A2237,Data!F:F,Data!C:C)</f>
        <v>EXT</v>
      </c>
      <c r="E2237" s="19" t="str">
        <f t="array" ref="E2237">XLOOKUP(A2237,Data!F:F,Data!H:H)</f>
        <v>BW</v>
      </c>
      <c r="F2237" s="106" t="str">
        <f>SUMIFS(Data!J:J,Data!F:F,A2237)</f>
        <v>1</v>
      </c>
      <c r="G2237" s="106" t="str">
        <f>SUMIFS(Cast!C:C,CastElements,A2237)</f>
        <v>0</v>
      </c>
      <c r="H2237" s="106" t="str">
        <f t="shared" si="4"/>
        <v>1</v>
      </c>
      <c r="I2237" s="106" t="str">
        <f>SUMIFS(Del!C:C,Del!B:B,A2237)</f>
        <v>0</v>
      </c>
      <c r="J2237" s="106" t="str">
        <f t="shared" si="5"/>
        <v>1</v>
      </c>
      <c r="K2237" s="106" t="str">
        <f t="shared" si="6"/>
        <v>0</v>
      </c>
      <c r="L2237" s="106"/>
      <c r="M2237" s="106" t="str">
        <f>SUMIFS(Ere!C:C,Ere!B:B,A2237)</f>
        <v>0</v>
      </c>
      <c r="N2237" s="106" t="str">
        <f t="shared" si="7"/>
        <v>1</v>
      </c>
      <c r="O2237" s="107" t="str">
        <f t="array" ref="O2237">XLOOKUP(A2237,Data!F:F,Data!O:O)</f>
        <v>  0.65 </v>
      </c>
      <c r="P2237" s="107" t="str">
        <f t="shared" si="8"/>
        <v>  1.62 </v>
      </c>
      <c r="Q2237" s="27"/>
    </row>
    <row r="2238" ht="15.75" customHeight="1">
      <c r="A2238" s="111" t="s">
        <v>2482</v>
      </c>
      <c r="B2238" s="19" t="str">
        <f t="array" ref="B2238">XLOOKUP(A2238,Data!F:F,Data!G:G)</f>
        <v>J3C</v>
      </c>
      <c r="C2238" s="19" t="str">
        <f t="shared" si="3"/>
        <v>J059</v>
      </c>
      <c r="D2238" s="19" t="str">
        <f t="array" ref="D2238">XLOOKUP(A2238,Data!F:F,Data!C:C)</f>
        <v>EXT</v>
      </c>
      <c r="E2238" s="19" t="str">
        <f t="array" ref="E2238">XLOOKUP(A2238,Data!F:F,Data!H:H)</f>
        <v>BW</v>
      </c>
      <c r="F2238" s="106" t="str">
        <f>SUMIFS(Data!J:J,Data!F:F,A2238)</f>
        <v>1</v>
      </c>
      <c r="G2238" s="106" t="str">
        <f>SUMIFS(Cast!C:C,CastElements,A2238)</f>
        <v>0</v>
      </c>
      <c r="H2238" s="106" t="str">
        <f t="shared" si="4"/>
        <v>1</v>
      </c>
      <c r="I2238" s="106" t="str">
        <f>SUMIFS(Del!C:C,Del!B:B,A2238)</f>
        <v>0</v>
      </c>
      <c r="J2238" s="106" t="str">
        <f t="shared" si="5"/>
        <v>1</v>
      </c>
      <c r="K2238" s="106" t="str">
        <f t="shared" si="6"/>
        <v>0</v>
      </c>
      <c r="L2238" s="106"/>
      <c r="M2238" s="106" t="str">
        <f>SUMIFS(Ere!C:C,Ere!B:B,A2238)</f>
        <v>0</v>
      </c>
      <c r="N2238" s="106" t="str">
        <f t="shared" si="7"/>
        <v>1</v>
      </c>
      <c r="O2238" s="107" t="str">
        <f t="array" ref="O2238">XLOOKUP(A2238,Data!F:F,Data!O:O)</f>
        <v>  0.58 </v>
      </c>
      <c r="P2238" s="107" t="str">
        <f t="shared" si="8"/>
        <v>  1.46 </v>
      </c>
      <c r="Q2238" s="27"/>
    </row>
    <row r="2239" ht="15.75" customHeight="1">
      <c r="A2239" s="111" t="s">
        <v>2483</v>
      </c>
      <c r="B2239" s="19" t="str">
        <f t="array" ref="B2239">XLOOKUP(A2239,Data!F:F,Data!G:G)</f>
        <v>J3C</v>
      </c>
      <c r="C2239" s="19" t="str">
        <f t="shared" si="3"/>
        <v>J059</v>
      </c>
      <c r="D2239" s="19" t="str">
        <f t="array" ref="D2239">XLOOKUP(A2239,Data!F:F,Data!C:C)</f>
        <v>EXT</v>
      </c>
      <c r="E2239" s="19" t="str">
        <f t="array" ref="E2239">XLOOKUP(A2239,Data!F:F,Data!H:H)</f>
        <v>BW</v>
      </c>
      <c r="F2239" s="106" t="str">
        <f>SUMIFS(Data!J:J,Data!F:F,A2239)</f>
        <v>1</v>
      </c>
      <c r="G2239" s="106" t="str">
        <f>SUMIFS(Cast!C:C,CastElements,A2239)</f>
        <v>0</v>
      </c>
      <c r="H2239" s="106" t="str">
        <f t="shared" si="4"/>
        <v>1</v>
      </c>
      <c r="I2239" s="106" t="str">
        <f>SUMIFS(Del!C:C,Del!B:B,A2239)</f>
        <v>0</v>
      </c>
      <c r="J2239" s="106" t="str">
        <f t="shared" si="5"/>
        <v>1</v>
      </c>
      <c r="K2239" s="106" t="str">
        <f t="shared" si="6"/>
        <v>0</v>
      </c>
      <c r="L2239" s="106"/>
      <c r="M2239" s="106" t="str">
        <f>SUMIFS(Ere!C:C,Ere!B:B,A2239)</f>
        <v>0</v>
      </c>
      <c r="N2239" s="106" t="str">
        <f t="shared" si="7"/>
        <v>1</v>
      </c>
      <c r="O2239" s="107" t="str">
        <f t="array" ref="O2239">XLOOKUP(A2239,Data!F:F,Data!O:O)</f>
        <v>  0.80 </v>
      </c>
      <c r="P2239" s="107" t="str">
        <f t="shared" si="8"/>
        <v>  2.00 </v>
      </c>
      <c r="Q2239" s="27"/>
    </row>
    <row r="2240" ht="15.75" customHeight="1">
      <c r="A2240" s="111" t="s">
        <v>2484</v>
      </c>
      <c r="B2240" s="19" t="str">
        <f t="array" ref="B2240">XLOOKUP(A2240,Data!F:F,Data!G:G)</f>
        <v>J3C</v>
      </c>
      <c r="C2240" s="19" t="str">
        <f t="shared" si="3"/>
        <v>J059</v>
      </c>
      <c r="D2240" s="19" t="str">
        <f t="array" ref="D2240">XLOOKUP(A2240,Data!F:F,Data!C:C)</f>
        <v>EXT</v>
      </c>
      <c r="E2240" s="19" t="str">
        <f t="array" ref="E2240">XLOOKUP(A2240,Data!F:F,Data!H:H)</f>
        <v>BW</v>
      </c>
      <c r="F2240" s="106" t="str">
        <f>SUMIFS(Data!J:J,Data!F:F,A2240)</f>
        <v>1</v>
      </c>
      <c r="G2240" s="106" t="str">
        <f>SUMIFS(Cast!C:C,CastElements,A2240)</f>
        <v>0</v>
      </c>
      <c r="H2240" s="106" t="str">
        <f t="shared" si="4"/>
        <v>1</v>
      </c>
      <c r="I2240" s="106" t="str">
        <f>SUMIFS(Del!C:C,Del!B:B,A2240)</f>
        <v>0</v>
      </c>
      <c r="J2240" s="106" t="str">
        <f t="shared" si="5"/>
        <v>1</v>
      </c>
      <c r="K2240" s="106" t="str">
        <f t="shared" si="6"/>
        <v>0</v>
      </c>
      <c r="L2240" s="106"/>
      <c r="M2240" s="106" t="str">
        <f>SUMIFS(Ere!C:C,Ere!B:B,A2240)</f>
        <v>0</v>
      </c>
      <c r="N2240" s="106" t="str">
        <f t="shared" si="7"/>
        <v>1</v>
      </c>
      <c r="O2240" s="107" t="str">
        <f t="array" ref="O2240">XLOOKUP(A2240,Data!F:F,Data!O:O)</f>
        <v>  0.80 </v>
      </c>
      <c r="P2240" s="107" t="str">
        <f t="shared" si="8"/>
        <v>  2.00 </v>
      </c>
      <c r="Q2240" s="27"/>
    </row>
    <row r="2241" ht="15.75" customHeight="1">
      <c r="A2241" s="111" t="s">
        <v>2485</v>
      </c>
      <c r="B2241" s="19" t="str">
        <f t="array" ref="B2241">XLOOKUP(A2241,Data!F:F,Data!G:G)</f>
        <v>J3C</v>
      </c>
      <c r="C2241" s="19" t="str">
        <f t="shared" si="3"/>
        <v>J059</v>
      </c>
      <c r="D2241" s="19" t="str">
        <f t="array" ref="D2241">XLOOKUP(A2241,Data!F:F,Data!C:C)</f>
        <v/>
      </c>
      <c r="E2241" s="19" t="str">
        <f t="array" ref="E2241">XLOOKUP(A2241,Data!F:F,Data!H:H)</f>
        <v>BW</v>
      </c>
      <c r="F2241" s="106" t="str">
        <f>SUMIFS(Data!J:J,Data!F:F,A2241)</f>
        <v>1</v>
      </c>
      <c r="G2241" s="106" t="str">
        <f>SUMIFS(Cast!C:C,CastElements,A2241)</f>
        <v>0</v>
      </c>
      <c r="H2241" s="106" t="str">
        <f t="shared" si="4"/>
        <v>1</v>
      </c>
      <c r="I2241" s="106" t="str">
        <f>SUMIFS(Del!C:C,Del!B:B,A2241)</f>
        <v>0</v>
      </c>
      <c r="J2241" s="106" t="str">
        <f t="shared" si="5"/>
        <v>1</v>
      </c>
      <c r="K2241" s="106" t="str">
        <f t="shared" si="6"/>
        <v>0</v>
      </c>
      <c r="L2241" s="106"/>
      <c r="M2241" s="106" t="str">
        <f>SUMIFS(Ere!C:C,Ere!B:B,A2241)</f>
        <v>0</v>
      </c>
      <c r="N2241" s="106" t="str">
        <f t="shared" si="7"/>
        <v>1</v>
      </c>
      <c r="O2241" s="107" t="str">
        <f t="array" ref="O2241">XLOOKUP(A2241,Data!F:F,Data!O:O)</f>
        <v>  2.33 </v>
      </c>
      <c r="P2241" s="107" t="str">
        <f t="shared" si="8"/>
        <v>  5.84 </v>
      </c>
      <c r="Q2241" s="27"/>
    </row>
    <row r="2242" ht="15.75" customHeight="1">
      <c r="A2242" s="111" t="s">
        <v>2486</v>
      </c>
      <c r="B2242" s="19" t="str">
        <f t="array" ref="B2242">XLOOKUP(A2242,Data!F:F,Data!G:G)</f>
        <v>J3C</v>
      </c>
      <c r="C2242" s="19" t="str">
        <f t="shared" si="3"/>
        <v>J059</v>
      </c>
      <c r="D2242" s="19" t="str">
        <f t="array" ref="D2242">XLOOKUP(A2242,Data!F:F,Data!C:C)</f>
        <v/>
      </c>
      <c r="E2242" s="19" t="str">
        <f t="array" ref="E2242">XLOOKUP(A2242,Data!F:F,Data!H:H)</f>
        <v>BW</v>
      </c>
      <c r="F2242" s="106" t="str">
        <f>SUMIFS(Data!J:J,Data!F:F,A2242)</f>
        <v>1</v>
      </c>
      <c r="G2242" s="106" t="str">
        <f>SUMIFS(Cast!C:C,CastElements,A2242)</f>
        <v>0</v>
      </c>
      <c r="H2242" s="106" t="str">
        <f t="shared" si="4"/>
        <v>1</v>
      </c>
      <c r="I2242" s="106" t="str">
        <f>SUMIFS(Del!C:C,Del!B:B,A2242)</f>
        <v>0</v>
      </c>
      <c r="J2242" s="106" t="str">
        <f t="shared" si="5"/>
        <v>1</v>
      </c>
      <c r="K2242" s="106" t="str">
        <f t="shared" si="6"/>
        <v>0</v>
      </c>
      <c r="L2242" s="106"/>
      <c r="M2242" s="106" t="str">
        <f>SUMIFS(Ere!C:C,Ere!B:B,A2242)</f>
        <v>0</v>
      </c>
      <c r="N2242" s="106" t="str">
        <f t="shared" si="7"/>
        <v>1</v>
      </c>
      <c r="O2242" s="107" t="str">
        <f t="array" ref="O2242">XLOOKUP(A2242,Data!F:F,Data!O:O)</f>
        <v>  2.49 </v>
      </c>
      <c r="P2242" s="107" t="str">
        <f t="shared" si="8"/>
        <v>  6.23 </v>
      </c>
      <c r="Q2242" s="27"/>
    </row>
    <row r="2243" ht="15.75" customHeight="1">
      <c r="A2243" s="111" t="s">
        <v>2487</v>
      </c>
      <c r="B2243" s="19" t="str">
        <f t="array" ref="B2243">XLOOKUP(A2243,Data!F:F,Data!G:G)</f>
        <v>J3C</v>
      </c>
      <c r="C2243" s="19" t="str">
        <f t="shared" si="3"/>
        <v>J059</v>
      </c>
      <c r="D2243" s="19" t="str">
        <f t="array" ref="D2243">XLOOKUP(A2243,Data!F:F,Data!C:C)</f>
        <v>EXT</v>
      </c>
      <c r="E2243" s="19" t="str">
        <f t="array" ref="E2243">XLOOKUP(A2243,Data!F:F,Data!H:H)</f>
        <v>BW</v>
      </c>
      <c r="F2243" s="106" t="str">
        <f>SUMIFS(Data!J:J,Data!F:F,A2243)</f>
        <v>1</v>
      </c>
      <c r="G2243" s="106" t="str">
        <f>SUMIFS(Cast!C:C,CastElements,A2243)</f>
        <v>0</v>
      </c>
      <c r="H2243" s="106" t="str">
        <f t="shared" si="4"/>
        <v>1</v>
      </c>
      <c r="I2243" s="106" t="str">
        <f>SUMIFS(Del!C:C,Del!B:B,A2243)</f>
        <v>0</v>
      </c>
      <c r="J2243" s="106" t="str">
        <f t="shared" si="5"/>
        <v>1</v>
      </c>
      <c r="K2243" s="106" t="str">
        <f t="shared" si="6"/>
        <v>0</v>
      </c>
      <c r="L2243" s="106"/>
      <c r="M2243" s="106" t="str">
        <f>SUMIFS(Ere!C:C,Ere!B:B,A2243)</f>
        <v>0</v>
      </c>
      <c r="N2243" s="106" t="str">
        <f t="shared" si="7"/>
        <v>1</v>
      </c>
      <c r="O2243" s="107" t="str">
        <f t="array" ref="O2243">XLOOKUP(A2243,Data!F:F,Data!O:O)</f>
        <v>  0.79 </v>
      </c>
      <c r="P2243" s="107" t="str">
        <f t="shared" si="8"/>
        <v>  1.98 </v>
      </c>
      <c r="Q2243" s="27"/>
    </row>
    <row r="2244" ht="15.75" customHeight="1">
      <c r="A2244" s="111" t="s">
        <v>2488</v>
      </c>
      <c r="B2244" s="19" t="str">
        <f t="array" ref="B2244">XLOOKUP(A2244,Data!F:F,Data!G:G)</f>
        <v>J3C</v>
      </c>
      <c r="C2244" s="19" t="str">
        <f t="shared" si="3"/>
        <v>J059</v>
      </c>
      <c r="D2244" s="19" t="str">
        <f t="array" ref="D2244">XLOOKUP(A2244,Data!F:F,Data!C:C)</f>
        <v/>
      </c>
      <c r="E2244" s="19" t="str">
        <f t="array" ref="E2244">XLOOKUP(A2244,Data!F:F,Data!H:H)</f>
        <v>BW</v>
      </c>
      <c r="F2244" s="106" t="str">
        <f>SUMIFS(Data!J:J,Data!F:F,A2244)</f>
        <v>1</v>
      </c>
      <c r="G2244" s="106" t="str">
        <f>SUMIFS(Cast!C:C,CastElements,A2244)</f>
        <v>0</v>
      </c>
      <c r="H2244" s="106" t="str">
        <f t="shared" si="4"/>
        <v>1</v>
      </c>
      <c r="I2244" s="106" t="str">
        <f>SUMIFS(Del!C:C,Del!B:B,A2244)</f>
        <v>0</v>
      </c>
      <c r="J2244" s="106" t="str">
        <f t="shared" si="5"/>
        <v>1</v>
      </c>
      <c r="K2244" s="106" t="str">
        <f t="shared" si="6"/>
        <v>0</v>
      </c>
      <c r="L2244" s="106"/>
      <c r="M2244" s="106" t="str">
        <f>SUMIFS(Ere!C:C,Ere!B:B,A2244)</f>
        <v>0</v>
      </c>
      <c r="N2244" s="106" t="str">
        <f t="shared" si="7"/>
        <v>1</v>
      </c>
      <c r="O2244" s="107" t="str">
        <f t="array" ref="O2244">XLOOKUP(A2244,Data!F:F,Data!O:O)</f>
        <v>  1.85 </v>
      </c>
      <c r="P2244" s="107" t="str">
        <f t="shared" si="8"/>
        <v>  4.63 </v>
      </c>
      <c r="Q2244" s="27"/>
    </row>
    <row r="2245" ht="15.75" customHeight="1">
      <c r="A2245" s="111" t="s">
        <v>2489</v>
      </c>
      <c r="B2245" s="19" t="str">
        <f t="array" ref="B2245">XLOOKUP(A2245,Data!F:F,Data!G:G)</f>
        <v>J3C</v>
      </c>
      <c r="C2245" s="19" t="str">
        <f t="shared" si="3"/>
        <v>J059</v>
      </c>
      <c r="D2245" s="19" t="str">
        <f t="array" ref="D2245">XLOOKUP(A2245,Data!F:F,Data!C:C)</f>
        <v/>
      </c>
      <c r="E2245" s="19" t="str">
        <f t="array" ref="E2245">XLOOKUP(A2245,Data!F:F,Data!H:H)</f>
        <v>BW</v>
      </c>
      <c r="F2245" s="106" t="str">
        <f>SUMIFS(Data!J:J,Data!F:F,A2245)</f>
        <v>1</v>
      </c>
      <c r="G2245" s="106" t="str">
        <f>SUMIFS(Cast!C:C,CastElements,A2245)</f>
        <v>0</v>
      </c>
      <c r="H2245" s="106" t="str">
        <f t="shared" si="4"/>
        <v>1</v>
      </c>
      <c r="I2245" s="106" t="str">
        <f>SUMIFS(Del!C:C,Del!B:B,A2245)</f>
        <v>0</v>
      </c>
      <c r="J2245" s="106" t="str">
        <f t="shared" si="5"/>
        <v>1</v>
      </c>
      <c r="K2245" s="106" t="str">
        <f t="shared" si="6"/>
        <v>0</v>
      </c>
      <c r="L2245" s="106"/>
      <c r="M2245" s="106" t="str">
        <f>SUMIFS(Ere!C:C,Ere!B:B,A2245)</f>
        <v>0</v>
      </c>
      <c r="N2245" s="106" t="str">
        <f t="shared" si="7"/>
        <v>1</v>
      </c>
      <c r="O2245" s="107" t="str">
        <f t="array" ref="O2245">XLOOKUP(A2245,Data!F:F,Data!O:O)</f>
        <v>  1.77 </v>
      </c>
      <c r="P2245" s="107" t="str">
        <f t="shared" si="8"/>
        <v>  4.42 </v>
      </c>
      <c r="Q2245" s="27"/>
    </row>
    <row r="2246" ht="15.75" customHeight="1">
      <c r="A2246" s="111" t="s">
        <v>2490</v>
      </c>
      <c r="B2246" s="19" t="str">
        <f t="array" ref="B2246">XLOOKUP(A2246,Data!F:F,Data!G:G)</f>
        <v>J3C</v>
      </c>
      <c r="C2246" s="19" t="str">
        <f t="shared" si="3"/>
        <v>J059</v>
      </c>
      <c r="D2246" s="19" t="str">
        <f t="array" ref="D2246">XLOOKUP(A2246,Data!F:F,Data!C:C)</f>
        <v/>
      </c>
      <c r="E2246" s="19" t="str">
        <f t="array" ref="E2246">XLOOKUP(A2246,Data!F:F,Data!H:H)</f>
        <v>BW</v>
      </c>
      <c r="F2246" s="106" t="str">
        <f>SUMIFS(Data!J:J,Data!F:F,A2246)</f>
        <v>1</v>
      </c>
      <c r="G2246" s="106" t="str">
        <f>SUMIFS(Cast!C:C,CastElements,A2246)</f>
        <v>0</v>
      </c>
      <c r="H2246" s="106" t="str">
        <f t="shared" si="4"/>
        <v>1</v>
      </c>
      <c r="I2246" s="106" t="str">
        <f>SUMIFS(Del!C:C,Del!B:B,A2246)</f>
        <v>0</v>
      </c>
      <c r="J2246" s="106" t="str">
        <f t="shared" si="5"/>
        <v>1</v>
      </c>
      <c r="K2246" s="106" t="str">
        <f t="shared" si="6"/>
        <v>0</v>
      </c>
      <c r="L2246" s="106"/>
      <c r="M2246" s="106" t="str">
        <f>SUMIFS(Ere!C:C,Ere!B:B,A2246)</f>
        <v>0</v>
      </c>
      <c r="N2246" s="106" t="str">
        <f t="shared" si="7"/>
        <v>1</v>
      </c>
      <c r="O2246" s="107" t="str">
        <f t="array" ref="O2246">XLOOKUP(A2246,Data!F:F,Data!O:O)</f>
        <v>  1.93 </v>
      </c>
      <c r="P2246" s="107" t="str">
        <f t="shared" si="8"/>
        <v>  4.83 </v>
      </c>
      <c r="Q2246" s="27"/>
    </row>
    <row r="2247" ht="15.75" customHeight="1">
      <c r="A2247" s="111" t="s">
        <v>2491</v>
      </c>
      <c r="B2247" s="19" t="str">
        <f t="array" ref="B2247">XLOOKUP(A2247,Data!F:F,Data!G:G)</f>
        <v>J3C</v>
      </c>
      <c r="C2247" s="19" t="str">
        <f t="shared" si="3"/>
        <v>J059</v>
      </c>
      <c r="D2247" s="19" t="str">
        <f t="array" ref="D2247">XLOOKUP(A2247,Data!F:F,Data!C:C)</f>
        <v/>
      </c>
      <c r="E2247" s="19" t="str">
        <f t="array" ref="E2247">XLOOKUP(A2247,Data!F:F,Data!H:H)</f>
        <v>BW</v>
      </c>
      <c r="F2247" s="106" t="str">
        <f>SUMIFS(Data!J:J,Data!F:F,A2247)</f>
        <v>1</v>
      </c>
      <c r="G2247" s="106" t="str">
        <f>SUMIFS(Cast!C:C,CastElements,A2247)</f>
        <v>1</v>
      </c>
      <c r="H2247" s="106" t="str">
        <f t="shared" si="4"/>
        <v>0</v>
      </c>
      <c r="I2247" s="106" t="str">
        <f>SUMIFS(Del!C:C,Del!B:B,A2247)</f>
        <v>0</v>
      </c>
      <c r="J2247" s="106" t="str">
        <f t="shared" si="5"/>
        <v>1</v>
      </c>
      <c r="K2247" s="106" t="str">
        <f t="shared" si="6"/>
        <v>1</v>
      </c>
      <c r="L2247" s="106"/>
      <c r="M2247" s="106" t="str">
        <f>SUMIFS(Ere!C:C,Ere!B:B,A2247)</f>
        <v>0</v>
      </c>
      <c r="N2247" s="106" t="str">
        <f t="shared" si="7"/>
        <v>1</v>
      </c>
      <c r="O2247" s="107" t="str">
        <f t="array" ref="O2247">XLOOKUP(A2247,Data!F:F,Data!O:O)</f>
        <v>  1.75 </v>
      </c>
      <c r="P2247" s="107" t="str">
        <f t="shared" si="8"/>
        <v>  4.39 </v>
      </c>
      <c r="Q2247" s="27"/>
    </row>
    <row r="2248" ht="15.75" customHeight="1">
      <c r="A2248" s="111" t="s">
        <v>2492</v>
      </c>
      <c r="B2248" s="19" t="str">
        <f t="array" ref="B2248">XLOOKUP(A2248,Data!F:F,Data!G:G)</f>
        <v>J3C</v>
      </c>
      <c r="C2248" s="19" t="str">
        <f t="shared" si="3"/>
        <v>J059</v>
      </c>
      <c r="D2248" s="19" t="str">
        <f t="array" ref="D2248">XLOOKUP(A2248,Data!F:F,Data!C:C)</f>
        <v/>
      </c>
      <c r="E2248" s="19" t="str">
        <f t="array" ref="E2248">XLOOKUP(A2248,Data!F:F,Data!H:H)</f>
        <v>BW</v>
      </c>
      <c r="F2248" s="106" t="str">
        <f>SUMIFS(Data!J:J,Data!F:F,A2248)</f>
        <v>1</v>
      </c>
      <c r="G2248" s="106" t="str">
        <f>SUMIFS(Cast!C:C,CastElements,A2248)</f>
        <v>1</v>
      </c>
      <c r="H2248" s="106" t="str">
        <f t="shared" si="4"/>
        <v>0</v>
      </c>
      <c r="I2248" s="106" t="str">
        <f>SUMIFS(Del!C:C,Del!B:B,A2248)</f>
        <v>0</v>
      </c>
      <c r="J2248" s="106" t="str">
        <f t="shared" si="5"/>
        <v>1</v>
      </c>
      <c r="K2248" s="106" t="str">
        <f t="shared" si="6"/>
        <v>1</v>
      </c>
      <c r="L2248" s="106"/>
      <c r="M2248" s="106" t="str">
        <f>SUMIFS(Ere!C:C,Ere!B:B,A2248)</f>
        <v>0</v>
      </c>
      <c r="N2248" s="106" t="str">
        <f t="shared" si="7"/>
        <v>1</v>
      </c>
      <c r="O2248" s="107" t="str">
        <f t="array" ref="O2248">XLOOKUP(A2248,Data!F:F,Data!O:O)</f>
        <v>  1.75 </v>
      </c>
      <c r="P2248" s="107" t="str">
        <f t="shared" si="8"/>
        <v>  4.39 </v>
      </c>
      <c r="Q2248" s="27"/>
    </row>
    <row r="2249" ht="15.75" customHeight="1">
      <c r="A2249" s="111" t="s">
        <v>2493</v>
      </c>
      <c r="B2249" s="19" t="str">
        <f t="array" ref="B2249">XLOOKUP(A2249,Data!F:F,Data!G:G)</f>
        <v>J3C</v>
      </c>
      <c r="C2249" s="19" t="str">
        <f t="shared" si="3"/>
        <v>J059</v>
      </c>
      <c r="D2249" s="19" t="str">
        <f t="array" ref="D2249">XLOOKUP(A2249,Data!F:F,Data!C:C)</f>
        <v/>
      </c>
      <c r="E2249" s="19" t="str">
        <f t="array" ref="E2249">XLOOKUP(A2249,Data!F:F,Data!H:H)</f>
        <v>BW</v>
      </c>
      <c r="F2249" s="106" t="str">
        <f>SUMIFS(Data!J:J,Data!F:F,A2249)</f>
        <v>1</v>
      </c>
      <c r="G2249" s="106" t="str">
        <f>SUMIFS(Cast!C:C,CastElements,A2249)</f>
        <v>1</v>
      </c>
      <c r="H2249" s="106" t="str">
        <f t="shared" si="4"/>
        <v>0</v>
      </c>
      <c r="I2249" s="106" t="str">
        <f>SUMIFS(Del!C:C,Del!B:B,A2249)</f>
        <v>0</v>
      </c>
      <c r="J2249" s="106" t="str">
        <f t="shared" si="5"/>
        <v>1</v>
      </c>
      <c r="K2249" s="106" t="str">
        <f t="shared" si="6"/>
        <v>1</v>
      </c>
      <c r="L2249" s="106"/>
      <c r="M2249" s="106" t="str">
        <f>SUMIFS(Ere!C:C,Ere!B:B,A2249)</f>
        <v>0</v>
      </c>
      <c r="N2249" s="106" t="str">
        <f t="shared" si="7"/>
        <v>1</v>
      </c>
      <c r="O2249" s="107" t="str">
        <f t="array" ref="O2249">XLOOKUP(A2249,Data!F:F,Data!O:O)</f>
        <v>  1.75 </v>
      </c>
      <c r="P2249" s="107" t="str">
        <f t="shared" si="8"/>
        <v>  4.39 </v>
      </c>
      <c r="Q2249" s="27"/>
    </row>
    <row r="2250" ht="15.75" customHeight="1">
      <c r="A2250" s="111" t="s">
        <v>2494</v>
      </c>
      <c r="B2250" s="19" t="str">
        <f t="array" ref="B2250">XLOOKUP(A2250,Data!F:F,Data!G:G)</f>
        <v>J3C</v>
      </c>
      <c r="C2250" s="19" t="str">
        <f t="shared" si="3"/>
        <v>J059</v>
      </c>
      <c r="D2250" s="19" t="str">
        <f t="array" ref="D2250">XLOOKUP(A2250,Data!F:F,Data!C:C)</f>
        <v/>
      </c>
      <c r="E2250" s="19" t="str">
        <f t="array" ref="E2250">XLOOKUP(A2250,Data!F:F,Data!H:H)</f>
        <v>BW</v>
      </c>
      <c r="F2250" s="106" t="str">
        <f>SUMIFS(Data!J:J,Data!F:F,A2250)</f>
        <v>1</v>
      </c>
      <c r="G2250" s="106" t="str">
        <f>SUMIFS(Cast!C:C,CastElements,A2250)</f>
        <v>0</v>
      </c>
      <c r="H2250" s="106" t="str">
        <f t="shared" si="4"/>
        <v>1</v>
      </c>
      <c r="I2250" s="106" t="str">
        <f>SUMIFS(Del!C:C,Del!B:B,A2250)</f>
        <v>0</v>
      </c>
      <c r="J2250" s="106" t="str">
        <f t="shared" si="5"/>
        <v>1</v>
      </c>
      <c r="K2250" s="106" t="str">
        <f t="shared" si="6"/>
        <v>0</v>
      </c>
      <c r="L2250" s="106"/>
      <c r="M2250" s="106" t="str">
        <f>SUMIFS(Ere!C:C,Ere!B:B,A2250)</f>
        <v>0</v>
      </c>
      <c r="N2250" s="106" t="str">
        <f t="shared" si="7"/>
        <v>1</v>
      </c>
      <c r="O2250" s="107" t="str">
        <f t="array" ref="O2250">XLOOKUP(A2250,Data!F:F,Data!O:O)</f>
        <v>  1.48 </v>
      </c>
      <c r="P2250" s="107" t="str">
        <f t="shared" si="8"/>
        <v>  3.70 </v>
      </c>
      <c r="Q2250" s="27"/>
    </row>
    <row r="2251" ht="15.75" customHeight="1">
      <c r="A2251" s="111" t="s">
        <v>2495</v>
      </c>
      <c r="B2251" s="19" t="str">
        <f t="array" ref="B2251">XLOOKUP(A2251,Data!F:F,Data!G:G)</f>
        <v>J3C</v>
      </c>
      <c r="C2251" s="19" t="str">
        <f t="shared" si="3"/>
        <v>J059</v>
      </c>
      <c r="D2251" s="19" t="str">
        <f t="array" ref="D2251">XLOOKUP(A2251,Data!F:F,Data!C:C)</f>
        <v/>
      </c>
      <c r="E2251" s="19" t="str">
        <f t="array" ref="E2251">XLOOKUP(A2251,Data!F:F,Data!H:H)</f>
        <v>BW</v>
      </c>
      <c r="F2251" s="106" t="str">
        <f>SUMIFS(Data!J:J,Data!F:F,A2251)</f>
        <v>1</v>
      </c>
      <c r="G2251" s="106" t="str">
        <f>SUMIFS(Cast!C:C,CastElements,A2251)</f>
        <v>0</v>
      </c>
      <c r="H2251" s="106" t="str">
        <f t="shared" si="4"/>
        <v>1</v>
      </c>
      <c r="I2251" s="106" t="str">
        <f>SUMIFS(Del!C:C,Del!B:B,A2251)</f>
        <v>0</v>
      </c>
      <c r="J2251" s="106" t="str">
        <f t="shared" si="5"/>
        <v>1</v>
      </c>
      <c r="K2251" s="106" t="str">
        <f t="shared" si="6"/>
        <v>0</v>
      </c>
      <c r="L2251" s="106"/>
      <c r="M2251" s="106" t="str">
        <f>SUMIFS(Ere!C:C,Ere!B:B,A2251)</f>
        <v>0</v>
      </c>
      <c r="N2251" s="106" t="str">
        <f t="shared" si="7"/>
        <v>1</v>
      </c>
      <c r="O2251" s="107" t="str">
        <f t="array" ref="O2251">XLOOKUP(A2251,Data!F:F,Data!O:O)</f>
        <v>  0.68 </v>
      </c>
      <c r="P2251" s="107" t="str">
        <f t="shared" si="8"/>
        <v>  1.71 </v>
      </c>
      <c r="Q2251" s="27"/>
    </row>
    <row r="2252" ht="15.75" customHeight="1">
      <c r="A2252" s="111" t="s">
        <v>2496</v>
      </c>
      <c r="B2252" s="19" t="str">
        <f t="array" ref="B2252">XLOOKUP(A2252,Data!F:F,Data!G:G)</f>
        <v>J3C</v>
      </c>
      <c r="C2252" s="19" t="str">
        <f t="shared" si="3"/>
        <v>J059</v>
      </c>
      <c r="D2252" s="19" t="str">
        <f t="array" ref="D2252">XLOOKUP(A2252,Data!F:F,Data!C:C)</f>
        <v/>
      </c>
      <c r="E2252" s="19" t="str">
        <f t="array" ref="E2252">XLOOKUP(A2252,Data!F:F,Data!H:H)</f>
        <v>BW</v>
      </c>
      <c r="F2252" s="106" t="str">
        <f>SUMIFS(Data!J:J,Data!F:F,A2252)</f>
        <v>1</v>
      </c>
      <c r="G2252" s="106" t="str">
        <f>SUMIFS(Cast!C:C,CastElements,A2252)</f>
        <v>0</v>
      </c>
      <c r="H2252" s="106" t="str">
        <f t="shared" si="4"/>
        <v>1</v>
      </c>
      <c r="I2252" s="106" t="str">
        <f>SUMIFS(Del!C:C,Del!B:B,A2252)</f>
        <v>0</v>
      </c>
      <c r="J2252" s="106" t="str">
        <f t="shared" si="5"/>
        <v>1</v>
      </c>
      <c r="K2252" s="106" t="str">
        <f t="shared" si="6"/>
        <v>0</v>
      </c>
      <c r="L2252" s="106"/>
      <c r="M2252" s="106" t="str">
        <f>SUMIFS(Ere!C:C,Ere!B:B,A2252)</f>
        <v>0</v>
      </c>
      <c r="N2252" s="106" t="str">
        <f t="shared" si="7"/>
        <v>1</v>
      </c>
      <c r="O2252" s="107" t="str">
        <f t="array" ref="O2252">XLOOKUP(A2252,Data!F:F,Data!O:O)</f>
        <v>  0.68 </v>
      </c>
      <c r="P2252" s="107" t="str">
        <f t="shared" si="8"/>
        <v>  1.71 </v>
      </c>
      <c r="Q2252" s="27"/>
    </row>
    <row r="2253" ht="15.75" customHeight="1">
      <c r="A2253" s="111" t="s">
        <v>2497</v>
      </c>
      <c r="B2253" s="19" t="str">
        <f t="array" ref="B2253">XLOOKUP(A2253,Data!F:F,Data!G:G)</f>
        <v>J3C</v>
      </c>
      <c r="C2253" s="19" t="str">
        <f t="shared" si="3"/>
        <v>J059</v>
      </c>
      <c r="D2253" s="19" t="str">
        <f t="array" ref="D2253">XLOOKUP(A2253,Data!F:F,Data!C:C)</f>
        <v/>
      </c>
      <c r="E2253" s="19" t="str">
        <f t="array" ref="E2253">XLOOKUP(A2253,Data!F:F,Data!H:H)</f>
        <v>BW</v>
      </c>
      <c r="F2253" s="106" t="str">
        <f>SUMIFS(Data!J:J,Data!F:F,A2253)</f>
        <v>1</v>
      </c>
      <c r="G2253" s="106" t="str">
        <f>SUMIFS(Cast!C:C,CastElements,A2253)</f>
        <v>1</v>
      </c>
      <c r="H2253" s="106" t="str">
        <f t="shared" si="4"/>
        <v>0</v>
      </c>
      <c r="I2253" s="106" t="str">
        <f>SUMIFS(Del!C:C,Del!B:B,A2253)</f>
        <v>0</v>
      </c>
      <c r="J2253" s="106" t="str">
        <f t="shared" si="5"/>
        <v>1</v>
      </c>
      <c r="K2253" s="106" t="str">
        <f t="shared" si="6"/>
        <v>1</v>
      </c>
      <c r="L2253" s="106"/>
      <c r="M2253" s="106" t="str">
        <f>SUMIFS(Ere!C:C,Ere!B:B,A2253)</f>
        <v>0</v>
      </c>
      <c r="N2253" s="106" t="str">
        <f t="shared" si="7"/>
        <v>1</v>
      </c>
      <c r="O2253" s="107" t="str">
        <f t="array" ref="O2253">XLOOKUP(A2253,Data!F:F,Data!O:O)</f>
        <v>  0.52 </v>
      </c>
      <c r="P2253" s="107" t="str">
        <f t="shared" si="8"/>
        <v>  1.30 </v>
      </c>
      <c r="Q2253" s="27"/>
    </row>
    <row r="2254" ht="15.75" customHeight="1">
      <c r="A2254" s="111" t="s">
        <v>2498</v>
      </c>
      <c r="B2254" s="19" t="str">
        <f t="array" ref="B2254">XLOOKUP(A2254,Data!F:F,Data!G:G)</f>
        <v>J3C</v>
      </c>
      <c r="C2254" s="19" t="str">
        <f t="shared" si="3"/>
        <v>J059</v>
      </c>
      <c r="D2254" s="19" t="str">
        <f t="array" ref="D2254">XLOOKUP(A2254,Data!F:F,Data!C:C)</f>
        <v/>
      </c>
      <c r="E2254" s="19" t="str">
        <f t="array" ref="E2254">XLOOKUP(A2254,Data!F:F,Data!H:H)</f>
        <v>BW</v>
      </c>
      <c r="F2254" s="106" t="str">
        <f>SUMIFS(Data!J:J,Data!F:F,A2254)</f>
        <v>1</v>
      </c>
      <c r="G2254" s="106" t="str">
        <f>SUMIFS(Cast!C:C,CastElements,A2254)</f>
        <v>0</v>
      </c>
      <c r="H2254" s="106" t="str">
        <f t="shared" si="4"/>
        <v>1</v>
      </c>
      <c r="I2254" s="106" t="str">
        <f>SUMIFS(Del!C:C,Del!B:B,A2254)</f>
        <v>0</v>
      </c>
      <c r="J2254" s="106" t="str">
        <f t="shared" si="5"/>
        <v>1</v>
      </c>
      <c r="K2254" s="106" t="str">
        <f t="shared" si="6"/>
        <v>0</v>
      </c>
      <c r="L2254" s="106"/>
      <c r="M2254" s="106" t="str">
        <f>SUMIFS(Ere!C:C,Ere!B:B,A2254)</f>
        <v>0</v>
      </c>
      <c r="N2254" s="106" t="str">
        <f t="shared" si="7"/>
        <v>1</v>
      </c>
      <c r="O2254" s="107" t="str">
        <f t="array" ref="O2254">XLOOKUP(A2254,Data!F:F,Data!O:O)</f>
        <v>  0.34 </v>
      </c>
      <c r="P2254" s="107" t="str">
        <f t="shared" si="8"/>
        <v>  0.85 </v>
      </c>
      <c r="Q2254" s="27"/>
    </row>
    <row r="2255" ht="15.75" customHeight="1">
      <c r="A2255" s="111" t="s">
        <v>2499</v>
      </c>
      <c r="B2255" s="19" t="str">
        <f t="array" ref="B2255">XLOOKUP(A2255,Data!F:F,Data!G:G)</f>
        <v>J3C</v>
      </c>
      <c r="C2255" s="19" t="str">
        <f t="shared" si="3"/>
        <v>J059</v>
      </c>
      <c r="D2255" s="19" t="str">
        <f t="array" ref="D2255">XLOOKUP(A2255,Data!F:F,Data!C:C)</f>
        <v/>
      </c>
      <c r="E2255" s="19" t="str">
        <f t="array" ref="E2255">XLOOKUP(A2255,Data!F:F,Data!H:H)</f>
        <v>BW</v>
      </c>
      <c r="F2255" s="106" t="str">
        <f>SUMIFS(Data!J:J,Data!F:F,A2255)</f>
        <v>1</v>
      </c>
      <c r="G2255" s="106" t="str">
        <f>SUMIFS(Cast!C:C,CastElements,A2255)</f>
        <v>0</v>
      </c>
      <c r="H2255" s="106" t="str">
        <f t="shared" si="4"/>
        <v>1</v>
      </c>
      <c r="I2255" s="106" t="str">
        <f>SUMIFS(Del!C:C,Del!B:B,A2255)</f>
        <v>0</v>
      </c>
      <c r="J2255" s="106" t="str">
        <f t="shared" si="5"/>
        <v>1</v>
      </c>
      <c r="K2255" s="106" t="str">
        <f t="shared" si="6"/>
        <v>0</v>
      </c>
      <c r="L2255" s="106"/>
      <c r="M2255" s="106" t="str">
        <f>SUMIFS(Ere!C:C,Ere!B:B,A2255)</f>
        <v>0</v>
      </c>
      <c r="N2255" s="106" t="str">
        <f t="shared" si="7"/>
        <v>1</v>
      </c>
      <c r="O2255" s="107" t="str">
        <f t="array" ref="O2255">XLOOKUP(A2255,Data!F:F,Data!O:O)</f>
        <v>  0.91 </v>
      </c>
      <c r="P2255" s="107" t="str">
        <f t="shared" si="8"/>
        <v>  2.26 </v>
      </c>
      <c r="Q2255" s="27"/>
    </row>
    <row r="2256" ht="15.75" customHeight="1">
      <c r="A2256" s="111" t="s">
        <v>2500</v>
      </c>
      <c r="B2256" s="19" t="str">
        <f t="array" ref="B2256">XLOOKUP(A2256,Data!F:F,Data!G:G)</f>
        <v>J3C</v>
      </c>
      <c r="C2256" s="19" t="str">
        <f t="shared" si="3"/>
        <v>J059</v>
      </c>
      <c r="D2256" s="19" t="str">
        <f t="array" ref="D2256">XLOOKUP(A2256,Data!F:F,Data!C:C)</f>
        <v/>
      </c>
      <c r="E2256" s="19" t="str">
        <f t="array" ref="E2256">XLOOKUP(A2256,Data!F:F,Data!H:H)</f>
        <v>CF</v>
      </c>
      <c r="F2256" s="106" t="str">
        <f>SUMIFS(Data!J:J,Data!F:F,A2256)</f>
        <v>1</v>
      </c>
      <c r="G2256" s="106" t="str">
        <f>SUMIFS(Cast!C:C,CastElements,A2256)</f>
        <v>0</v>
      </c>
      <c r="H2256" s="106" t="str">
        <f t="shared" si="4"/>
        <v>1</v>
      </c>
      <c r="I2256" s="106" t="str">
        <f>SUMIFS(Del!C:C,Del!B:B,A2256)</f>
        <v>0</v>
      </c>
      <c r="J2256" s="106" t="str">
        <f t="shared" si="5"/>
        <v>1</v>
      </c>
      <c r="K2256" s="106" t="str">
        <f t="shared" si="6"/>
        <v>0</v>
      </c>
      <c r="L2256" s="106"/>
      <c r="M2256" s="106" t="str">
        <f>SUMIFS(Ere!C:C,Ere!B:B,A2256)</f>
        <v>0</v>
      </c>
      <c r="N2256" s="106" t="str">
        <f t="shared" si="7"/>
        <v>1</v>
      </c>
      <c r="O2256" s="107" t="str">
        <f t="array" ref="O2256">XLOOKUP(A2256,Data!F:F,Data!O:O)</f>
        <v>  0.46 </v>
      </c>
      <c r="P2256" s="107" t="str">
        <f t="shared" si="8"/>
        <v>  1.16 </v>
      </c>
      <c r="Q2256" s="27"/>
    </row>
    <row r="2257" ht="15.75" customHeight="1">
      <c r="A2257" s="111" t="s">
        <v>2501</v>
      </c>
      <c r="B2257" s="19" t="str">
        <f t="array" ref="B2257">XLOOKUP(A2257,Data!F:F,Data!G:G)</f>
        <v>J3C</v>
      </c>
      <c r="C2257" s="19" t="str">
        <f t="shared" si="3"/>
        <v>J060</v>
      </c>
      <c r="D2257" s="19" t="str">
        <f t="array" ref="D2257">XLOOKUP(A2257,Data!F:F,Data!C:C)</f>
        <v/>
      </c>
      <c r="E2257" s="19" t="str">
        <f t="array" ref="E2257">XLOOKUP(A2257,Data!F:F,Data!H:H)</f>
        <v>BW</v>
      </c>
      <c r="F2257" s="106" t="str">
        <f>SUMIFS(Data!J:J,Data!F:F,A2257)</f>
        <v>1</v>
      </c>
      <c r="G2257" s="106" t="str">
        <f>SUMIFS(Cast!C:C,CastElements,A2257)</f>
        <v>1</v>
      </c>
      <c r="H2257" s="106" t="str">
        <f t="shared" si="4"/>
        <v>0</v>
      </c>
      <c r="I2257" s="106" t="str">
        <f>SUMIFS(Del!C:C,Del!B:B,A2257)</f>
        <v>0</v>
      </c>
      <c r="J2257" s="106" t="str">
        <f t="shared" si="5"/>
        <v>1</v>
      </c>
      <c r="K2257" s="106" t="str">
        <f t="shared" si="6"/>
        <v>1</v>
      </c>
      <c r="L2257" s="106"/>
      <c r="M2257" s="106" t="str">
        <f>SUMIFS(Ere!C:C,Ere!B:B,A2257)</f>
        <v>0</v>
      </c>
      <c r="N2257" s="106" t="str">
        <f t="shared" si="7"/>
        <v>1</v>
      </c>
      <c r="O2257" s="107" t="str">
        <f t="array" ref="O2257">XLOOKUP(A2257,Data!F:F,Data!O:O)</f>
        <v>  1.75 </v>
      </c>
      <c r="P2257" s="107" t="str">
        <f t="shared" si="8"/>
        <v>  4.39 </v>
      </c>
      <c r="Q2257" s="27"/>
    </row>
    <row r="2258" ht="15.75" customHeight="1">
      <c r="A2258" s="111" t="s">
        <v>2502</v>
      </c>
      <c r="B2258" s="19" t="str">
        <f t="array" ref="B2258">XLOOKUP(A2258,Data!F:F,Data!G:G)</f>
        <v>J3C</v>
      </c>
      <c r="C2258" s="19" t="str">
        <f t="shared" si="3"/>
        <v>J060</v>
      </c>
      <c r="D2258" s="19" t="str">
        <f t="array" ref="D2258">XLOOKUP(A2258,Data!F:F,Data!C:C)</f>
        <v/>
      </c>
      <c r="E2258" s="19" t="str">
        <f t="array" ref="E2258">XLOOKUP(A2258,Data!F:F,Data!H:H)</f>
        <v>BW</v>
      </c>
      <c r="F2258" s="106" t="str">
        <f>SUMIFS(Data!J:J,Data!F:F,A2258)</f>
        <v>1</v>
      </c>
      <c r="G2258" s="106" t="str">
        <f>SUMIFS(Cast!C:C,CastElements,A2258)</f>
        <v>1</v>
      </c>
      <c r="H2258" s="106" t="str">
        <f t="shared" si="4"/>
        <v>0</v>
      </c>
      <c r="I2258" s="106" t="str">
        <f>SUMIFS(Del!C:C,Del!B:B,A2258)</f>
        <v>0</v>
      </c>
      <c r="J2258" s="106" t="str">
        <f t="shared" si="5"/>
        <v>1</v>
      </c>
      <c r="K2258" s="106" t="str">
        <f t="shared" si="6"/>
        <v>1</v>
      </c>
      <c r="L2258" s="106"/>
      <c r="M2258" s="106" t="str">
        <f>SUMIFS(Ere!C:C,Ere!B:B,A2258)</f>
        <v>0</v>
      </c>
      <c r="N2258" s="106" t="str">
        <f t="shared" si="7"/>
        <v>1</v>
      </c>
      <c r="O2258" s="107" t="str">
        <f t="array" ref="O2258">XLOOKUP(A2258,Data!F:F,Data!O:O)</f>
        <v>  1.75 </v>
      </c>
      <c r="P2258" s="107" t="str">
        <f t="shared" si="8"/>
        <v>  4.39 </v>
      </c>
      <c r="Q2258" s="27"/>
    </row>
    <row r="2259" ht="15.75" customHeight="1">
      <c r="A2259" s="111" t="s">
        <v>2503</v>
      </c>
      <c r="B2259" s="19" t="str">
        <f t="array" ref="B2259">XLOOKUP(A2259,Data!F:F,Data!G:G)</f>
        <v>J3C</v>
      </c>
      <c r="C2259" s="19" t="str">
        <f t="shared" si="3"/>
        <v>J060</v>
      </c>
      <c r="D2259" s="19" t="str">
        <f t="array" ref="D2259">XLOOKUP(A2259,Data!F:F,Data!C:C)</f>
        <v/>
      </c>
      <c r="E2259" s="19" t="str">
        <f t="array" ref="E2259">XLOOKUP(A2259,Data!F:F,Data!H:H)</f>
        <v>BW</v>
      </c>
      <c r="F2259" s="106" t="str">
        <f>SUMIFS(Data!J:J,Data!F:F,A2259)</f>
        <v>1</v>
      </c>
      <c r="G2259" s="106" t="str">
        <f>SUMIFS(Cast!C:C,CastElements,A2259)</f>
        <v>1</v>
      </c>
      <c r="H2259" s="106" t="str">
        <f t="shared" si="4"/>
        <v>0</v>
      </c>
      <c r="I2259" s="106" t="str">
        <f>SUMIFS(Del!C:C,Del!B:B,A2259)</f>
        <v>0</v>
      </c>
      <c r="J2259" s="106" t="str">
        <f t="shared" si="5"/>
        <v>1</v>
      </c>
      <c r="K2259" s="106" t="str">
        <f t="shared" si="6"/>
        <v>1</v>
      </c>
      <c r="L2259" s="106"/>
      <c r="M2259" s="106" t="str">
        <f>SUMIFS(Ere!C:C,Ere!B:B,A2259)</f>
        <v>0</v>
      </c>
      <c r="N2259" s="106" t="str">
        <f t="shared" si="7"/>
        <v>1</v>
      </c>
      <c r="O2259" s="107" t="str">
        <f t="array" ref="O2259">XLOOKUP(A2259,Data!F:F,Data!O:O)</f>
        <v>  1.75 </v>
      </c>
      <c r="P2259" s="107" t="str">
        <f t="shared" si="8"/>
        <v>  4.39 </v>
      </c>
      <c r="Q2259" s="27"/>
    </row>
    <row r="2260" ht="15.75" customHeight="1">
      <c r="A2260" s="111" t="s">
        <v>2504</v>
      </c>
      <c r="B2260" s="19" t="str">
        <f t="array" ref="B2260">XLOOKUP(A2260,Data!F:F,Data!G:G)</f>
        <v>J3C</v>
      </c>
      <c r="C2260" s="19" t="str">
        <f t="shared" si="3"/>
        <v>J060</v>
      </c>
      <c r="D2260" s="19" t="str">
        <f t="array" ref="D2260">XLOOKUP(A2260,Data!F:F,Data!C:C)</f>
        <v/>
      </c>
      <c r="E2260" s="19" t="str">
        <f t="array" ref="E2260">XLOOKUP(A2260,Data!F:F,Data!H:H)</f>
        <v>CF</v>
      </c>
      <c r="F2260" s="106" t="str">
        <f>SUMIFS(Data!J:J,Data!F:F,A2260)</f>
        <v>1</v>
      </c>
      <c r="G2260" s="106" t="str">
        <f>SUMIFS(Cast!C:C,CastElements,A2260)</f>
        <v>0</v>
      </c>
      <c r="H2260" s="106" t="str">
        <f t="shared" si="4"/>
        <v>1</v>
      </c>
      <c r="I2260" s="106" t="str">
        <f>SUMIFS(Del!C:C,Del!B:B,A2260)</f>
        <v>0</v>
      </c>
      <c r="J2260" s="106" t="str">
        <f t="shared" si="5"/>
        <v>1</v>
      </c>
      <c r="K2260" s="106" t="str">
        <f t="shared" si="6"/>
        <v>0</v>
      </c>
      <c r="L2260" s="106"/>
      <c r="M2260" s="106" t="str">
        <f>SUMIFS(Ere!C:C,Ere!B:B,A2260)</f>
        <v>0</v>
      </c>
      <c r="N2260" s="106" t="str">
        <f t="shared" si="7"/>
        <v>1</v>
      </c>
      <c r="O2260" s="107" t="str">
        <f t="array" ref="O2260">XLOOKUP(A2260,Data!F:F,Data!O:O)</f>
        <v>  0.46 </v>
      </c>
      <c r="P2260" s="107" t="str">
        <f t="shared" si="8"/>
        <v>  1.16 </v>
      </c>
      <c r="Q2260" s="27"/>
    </row>
    <row r="2261" ht="15.75" customHeight="1">
      <c r="A2261" s="111" t="s">
        <v>2505</v>
      </c>
      <c r="B2261" s="19" t="str">
        <f t="array" ref="B2261">XLOOKUP(A2261,Data!F:F,Data!G:G)</f>
        <v>J3C</v>
      </c>
      <c r="C2261" s="19" t="str">
        <f t="shared" si="3"/>
        <v>J060</v>
      </c>
      <c r="D2261" s="19" t="str">
        <f t="array" ref="D2261">XLOOKUP(A2261,Data!F:F,Data!C:C)</f>
        <v>EXT</v>
      </c>
      <c r="E2261" s="19" t="str">
        <f t="array" ref="E2261">XLOOKUP(A2261,Data!F:F,Data!H:H)</f>
        <v>BW</v>
      </c>
      <c r="F2261" s="106" t="str">
        <f>SUMIFS(Data!J:J,Data!F:F,A2261)</f>
        <v>1</v>
      </c>
      <c r="G2261" s="106" t="str">
        <f>SUMIFS(Cast!C:C,CastElements,A2261)</f>
        <v>0</v>
      </c>
      <c r="H2261" s="106" t="str">
        <f t="shared" si="4"/>
        <v>1</v>
      </c>
      <c r="I2261" s="106" t="str">
        <f>SUMIFS(Del!C:C,Del!B:B,A2261)</f>
        <v>0</v>
      </c>
      <c r="J2261" s="106" t="str">
        <f t="shared" si="5"/>
        <v>1</v>
      </c>
      <c r="K2261" s="106" t="str">
        <f t="shared" si="6"/>
        <v>0</v>
      </c>
      <c r="L2261" s="106"/>
      <c r="M2261" s="106" t="str">
        <f>SUMIFS(Ere!C:C,Ere!B:B,A2261)</f>
        <v>0</v>
      </c>
      <c r="N2261" s="106" t="str">
        <f t="shared" si="7"/>
        <v>1</v>
      </c>
      <c r="O2261" s="107" t="str">
        <f t="array" ref="O2261">XLOOKUP(A2261,Data!F:F,Data!O:O)</f>
        <v>  1.13 </v>
      </c>
      <c r="P2261" s="107" t="str">
        <f t="shared" si="8"/>
        <v>  2.83 </v>
      </c>
      <c r="Q2261" s="27"/>
    </row>
    <row r="2262" ht="15.75" customHeight="1">
      <c r="A2262" s="111" t="s">
        <v>2506</v>
      </c>
      <c r="B2262" s="19" t="str">
        <f t="array" ref="B2262">XLOOKUP(A2262,Data!F:F,Data!G:G)</f>
        <v>J3C</v>
      </c>
      <c r="C2262" s="19" t="str">
        <f t="shared" si="3"/>
        <v>J060</v>
      </c>
      <c r="D2262" s="19" t="str">
        <f t="array" ref="D2262">XLOOKUP(A2262,Data!F:F,Data!C:C)</f>
        <v>EXT</v>
      </c>
      <c r="E2262" s="19" t="str">
        <f t="array" ref="E2262">XLOOKUP(A2262,Data!F:F,Data!H:H)</f>
        <v>BW</v>
      </c>
      <c r="F2262" s="106" t="str">
        <f>SUMIFS(Data!J:J,Data!F:F,A2262)</f>
        <v>1</v>
      </c>
      <c r="G2262" s="106" t="str">
        <f>SUMIFS(Cast!C:C,CastElements,A2262)</f>
        <v>0</v>
      </c>
      <c r="H2262" s="106" t="str">
        <f t="shared" si="4"/>
        <v>1</v>
      </c>
      <c r="I2262" s="106" t="str">
        <f>SUMIFS(Del!C:C,Del!B:B,A2262)</f>
        <v>0</v>
      </c>
      <c r="J2262" s="106" t="str">
        <f t="shared" si="5"/>
        <v>1</v>
      </c>
      <c r="K2262" s="106" t="str">
        <f t="shared" si="6"/>
        <v>0</v>
      </c>
      <c r="L2262" s="106"/>
      <c r="M2262" s="106" t="str">
        <f>SUMIFS(Ere!C:C,Ere!B:B,A2262)</f>
        <v>0</v>
      </c>
      <c r="N2262" s="106" t="str">
        <f t="shared" si="7"/>
        <v>1</v>
      </c>
      <c r="O2262" s="107" t="str">
        <f t="array" ref="O2262">XLOOKUP(A2262,Data!F:F,Data!O:O)</f>
        <v>  0.99 </v>
      </c>
      <c r="P2262" s="107" t="str">
        <f t="shared" si="8"/>
        <v>  2.48 </v>
      </c>
      <c r="Q2262" s="27"/>
    </row>
    <row r="2263" ht="15.75" customHeight="1">
      <c r="A2263" s="111" t="s">
        <v>2507</v>
      </c>
      <c r="B2263" s="19" t="str">
        <f t="array" ref="B2263">XLOOKUP(A2263,Data!F:F,Data!G:G)</f>
        <v>J3C</v>
      </c>
      <c r="C2263" s="19" t="str">
        <f t="shared" si="3"/>
        <v>J060</v>
      </c>
      <c r="D2263" s="19" t="str">
        <f t="array" ref="D2263">XLOOKUP(A2263,Data!F:F,Data!C:C)</f>
        <v>EXT</v>
      </c>
      <c r="E2263" s="19" t="str">
        <f t="array" ref="E2263">XLOOKUP(A2263,Data!F:F,Data!H:H)</f>
        <v>BW</v>
      </c>
      <c r="F2263" s="106" t="str">
        <f>SUMIFS(Data!J:J,Data!F:F,A2263)</f>
        <v>1</v>
      </c>
      <c r="G2263" s="106" t="str">
        <f>SUMIFS(Cast!C:C,CastElements,A2263)</f>
        <v>0</v>
      </c>
      <c r="H2263" s="106" t="str">
        <f t="shared" si="4"/>
        <v>1</v>
      </c>
      <c r="I2263" s="106" t="str">
        <f>SUMIFS(Del!C:C,Del!B:B,A2263)</f>
        <v>0</v>
      </c>
      <c r="J2263" s="106" t="str">
        <f t="shared" si="5"/>
        <v>1</v>
      </c>
      <c r="K2263" s="106" t="str">
        <f t="shared" si="6"/>
        <v>0</v>
      </c>
      <c r="L2263" s="106"/>
      <c r="M2263" s="106" t="str">
        <f>SUMIFS(Ere!C:C,Ere!B:B,A2263)</f>
        <v>0</v>
      </c>
      <c r="N2263" s="106" t="str">
        <f t="shared" si="7"/>
        <v>1</v>
      </c>
      <c r="O2263" s="107" t="str">
        <f t="array" ref="O2263">XLOOKUP(A2263,Data!F:F,Data!O:O)</f>
        <v>  0.79 </v>
      </c>
      <c r="P2263" s="107" t="str">
        <f t="shared" si="8"/>
        <v>  1.98 </v>
      </c>
      <c r="Q2263" s="27"/>
    </row>
    <row r="2264" ht="15.75" customHeight="1">
      <c r="A2264" s="111" t="s">
        <v>2508</v>
      </c>
      <c r="B2264" s="19" t="str">
        <f t="array" ref="B2264">XLOOKUP(A2264,Data!F:F,Data!G:G)</f>
        <v>J3C</v>
      </c>
      <c r="C2264" s="19" t="str">
        <f t="shared" si="3"/>
        <v>J060</v>
      </c>
      <c r="D2264" s="19" t="str">
        <f t="array" ref="D2264">XLOOKUP(A2264,Data!F:F,Data!C:C)</f>
        <v/>
      </c>
      <c r="E2264" s="19" t="str">
        <f t="array" ref="E2264">XLOOKUP(A2264,Data!F:F,Data!H:H)</f>
        <v>BW</v>
      </c>
      <c r="F2264" s="106" t="str">
        <f>SUMIFS(Data!J:J,Data!F:F,A2264)</f>
        <v>1</v>
      </c>
      <c r="G2264" s="106" t="str">
        <f>SUMIFS(Cast!C:C,CastElements,A2264)</f>
        <v>1</v>
      </c>
      <c r="H2264" s="106" t="str">
        <f t="shared" si="4"/>
        <v>0</v>
      </c>
      <c r="I2264" s="106" t="str">
        <f>SUMIFS(Del!C:C,Del!B:B,A2264)</f>
        <v>0</v>
      </c>
      <c r="J2264" s="106" t="str">
        <f t="shared" si="5"/>
        <v>1</v>
      </c>
      <c r="K2264" s="106" t="str">
        <f t="shared" si="6"/>
        <v>1</v>
      </c>
      <c r="L2264" s="106"/>
      <c r="M2264" s="106" t="str">
        <f>SUMIFS(Ere!C:C,Ere!B:B,A2264)</f>
        <v>0</v>
      </c>
      <c r="N2264" s="106" t="str">
        <f t="shared" si="7"/>
        <v>1</v>
      </c>
      <c r="O2264" s="107" t="str">
        <f t="array" ref="O2264">XLOOKUP(A2264,Data!F:F,Data!O:O)</f>
        <v>  1.48 </v>
      </c>
      <c r="P2264" s="107" t="str">
        <f t="shared" si="8"/>
        <v>  3.70 </v>
      </c>
      <c r="Q2264" s="27"/>
    </row>
    <row r="2265" ht="15.75" customHeight="1">
      <c r="A2265" s="111" t="s">
        <v>2509</v>
      </c>
      <c r="B2265" s="19" t="str">
        <f t="array" ref="B2265">XLOOKUP(A2265,Data!F:F,Data!G:G)</f>
        <v>J3C</v>
      </c>
      <c r="C2265" s="19" t="str">
        <f t="shared" si="3"/>
        <v>J060</v>
      </c>
      <c r="D2265" s="19" t="str">
        <f t="array" ref="D2265">XLOOKUP(A2265,Data!F:F,Data!C:C)</f>
        <v/>
      </c>
      <c r="E2265" s="19" t="str">
        <f t="array" ref="E2265">XLOOKUP(A2265,Data!F:F,Data!H:H)</f>
        <v>BW</v>
      </c>
      <c r="F2265" s="106" t="str">
        <f>SUMIFS(Data!J:J,Data!F:F,A2265)</f>
        <v>1</v>
      </c>
      <c r="G2265" s="106" t="str">
        <f>SUMIFS(Cast!C:C,CastElements,A2265)</f>
        <v>1</v>
      </c>
      <c r="H2265" s="106" t="str">
        <f t="shared" si="4"/>
        <v>0</v>
      </c>
      <c r="I2265" s="106" t="str">
        <f>SUMIFS(Del!C:C,Del!B:B,A2265)</f>
        <v>0</v>
      </c>
      <c r="J2265" s="106" t="str">
        <f t="shared" si="5"/>
        <v>1</v>
      </c>
      <c r="K2265" s="106" t="str">
        <f t="shared" si="6"/>
        <v>1</v>
      </c>
      <c r="L2265" s="106"/>
      <c r="M2265" s="106" t="str">
        <f>SUMIFS(Ere!C:C,Ere!B:B,A2265)</f>
        <v>0</v>
      </c>
      <c r="N2265" s="106" t="str">
        <f t="shared" si="7"/>
        <v>1</v>
      </c>
      <c r="O2265" s="107" t="str">
        <f t="array" ref="O2265">XLOOKUP(A2265,Data!F:F,Data!O:O)</f>
        <v>  1.96 </v>
      </c>
      <c r="P2265" s="107" t="str">
        <f t="shared" si="8"/>
        <v>  4.90 </v>
      </c>
      <c r="Q2265" s="27"/>
    </row>
    <row r="2266" ht="15.75" customHeight="1">
      <c r="A2266" s="111" t="s">
        <v>2510</v>
      </c>
      <c r="B2266" s="19" t="str">
        <f t="array" ref="B2266">XLOOKUP(A2266,Data!F:F,Data!G:G)</f>
        <v>J3C</v>
      </c>
      <c r="C2266" s="19" t="str">
        <f t="shared" si="3"/>
        <v>J060</v>
      </c>
      <c r="D2266" s="19" t="str">
        <f t="array" ref="D2266">XLOOKUP(A2266,Data!F:F,Data!C:C)</f>
        <v/>
      </c>
      <c r="E2266" s="19" t="str">
        <f t="array" ref="E2266">XLOOKUP(A2266,Data!F:F,Data!H:H)</f>
        <v>BW</v>
      </c>
      <c r="F2266" s="106" t="str">
        <f>SUMIFS(Data!J:J,Data!F:F,A2266)</f>
        <v>1</v>
      </c>
      <c r="G2266" s="106" t="str">
        <f>SUMIFS(Cast!C:C,CastElements,A2266)</f>
        <v>1</v>
      </c>
      <c r="H2266" s="106" t="str">
        <f t="shared" si="4"/>
        <v>0</v>
      </c>
      <c r="I2266" s="106" t="str">
        <f>SUMIFS(Del!C:C,Del!B:B,A2266)</f>
        <v>0</v>
      </c>
      <c r="J2266" s="106" t="str">
        <f t="shared" si="5"/>
        <v>1</v>
      </c>
      <c r="K2266" s="106" t="str">
        <f t="shared" si="6"/>
        <v>1</v>
      </c>
      <c r="L2266" s="106"/>
      <c r="M2266" s="106" t="str">
        <f>SUMIFS(Ere!C:C,Ere!B:B,A2266)</f>
        <v>0</v>
      </c>
      <c r="N2266" s="106" t="str">
        <f t="shared" si="7"/>
        <v>1</v>
      </c>
      <c r="O2266" s="107" t="str">
        <f t="array" ref="O2266">XLOOKUP(A2266,Data!F:F,Data!O:O)</f>
        <v>  1.91 </v>
      </c>
      <c r="P2266" s="107" t="str">
        <f t="shared" si="8"/>
        <v>  4.79 </v>
      </c>
      <c r="Q2266" s="27"/>
    </row>
    <row r="2267" ht="15.75" customHeight="1">
      <c r="A2267" s="111" t="s">
        <v>2511</v>
      </c>
      <c r="B2267" s="19" t="str">
        <f t="array" ref="B2267">XLOOKUP(A2267,Data!F:F,Data!G:G)</f>
        <v>J3C</v>
      </c>
      <c r="C2267" s="19" t="str">
        <f t="shared" si="3"/>
        <v>J060</v>
      </c>
      <c r="D2267" s="19" t="str">
        <f t="array" ref="D2267">XLOOKUP(A2267,Data!F:F,Data!C:C)</f>
        <v/>
      </c>
      <c r="E2267" s="19" t="str">
        <f t="array" ref="E2267">XLOOKUP(A2267,Data!F:F,Data!H:H)</f>
        <v>BW</v>
      </c>
      <c r="F2267" s="106" t="str">
        <f>SUMIFS(Data!J:J,Data!F:F,A2267)</f>
        <v>1</v>
      </c>
      <c r="G2267" s="106" t="str">
        <f>SUMIFS(Cast!C:C,CastElements,A2267)</f>
        <v>1</v>
      </c>
      <c r="H2267" s="106" t="str">
        <f t="shared" si="4"/>
        <v>0</v>
      </c>
      <c r="I2267" s="106" t="str">
        <f>SUMIFS(Del!C:C,Del!B:B,A2267)</f>
        <v>0</v>
      </c>
      <c r="J2267" s="106" t="str">
        <f t="shared" si="5"/>
        <v>1</v>
      </c>
      <c r="K2267" s="106" t="str">
        <f t="shared" si="6"/>
        <v>1</v>
      </c>
      <c r="L2267" s="106"/>
      <c r="M2267" s="106" t="str">
        <f>SUMIFS(Ere!C:C,Ere!B:B,A2267)</f>
        <v>0</v>
      </c>
      <c r="N2267" s="106" t="str">
        <f t="shared" si="7"/>
        <v>1</v>
      </c>
      <c r="O2267" s="107" t="str">
        <f t="array" ref="O2267">XLOOKUP(A2267,Data!F:F,Data!O:O)</f>
        <v>  1.78 </v>
      </c>
      <c r="P2267" s="107" t="str">
        <f t="shared" si="8"/>
        <v>  4.46 </v>
      </c>
      <c r="Q2267" s="27"/>
    </row>
    <row r="2268" ht="15.75" customHeight="1">
      <c r="A2268" s="111" t="s">
        <v>2512</v>
      </c>
      <c r="B2268" s="19" t="str">
        <f t="array" ref="B2268">XLOOKUP(A2268,Data!F:F,Data!G:G)</f>
        <v>J3C</v>
      </c>
      <c r="C2268" s="19" t="str">
        <f t="shared" si="3"/>
        <v>J060</v>
      </c>
      <c r="D2268" s="19" t="str">
        <f t="array" ref="D2268">XLOOKUP(A2268,Data!F:F,Data!C:C)</f>
        <v/>
      </c>
      <c r="E2268" s="19" t="str">
        <f t="array" ref="E2268">XLOOKUP(A2268,Data!F:F,Data!H:H)</f>
        <v>BW</v>
      </c>
      <c r="F2268" s="106" t="str">
        <f>SUMIFS(Data!J:J,Data!F:F,A2268)</f>
        <v>1</v>
      </c>
      <c r="G2268" s="106" t="str">
        <f>SUMIFS(Cast!C:C,CastElements,A2268)</f>
        <v>1</v>
      </c>
      <c r="H2268" s="106" t="str">
        <f t="shared" si="4"/>
        <v>0</v>
      </c>
      <c r="I2268" s="106" t="str">
        <f>SUMIFS(Del!C:C,Del!B:B,A2268)</f>
        <v>0</v>
      </c>
      <c r="J2268" s="106" t="str">
        <f t="shared" si="5"/>
        <v>1</v>
      </c>
      <c r="K2268" s="106" t="str">
        <f t="shared" si="6"/>
        <v>1</v>
      </c>
      <c r="L2268" s="106"/>
      <c r="M2268" s="106" t="str">
        <f>SUMIFS(Ere!C:C,Ere!B:B,A2268)</f>
        <v>0</v>
      </c>
      <c r="N2268" s="106" t="str">
        <f t="shared" si="7"/>
        <v>1</v>
      </c>
      <c r="O2268" s="107" t="str">
        <f t="array" ref="O2268">XLOOKUP(A2268,Data!F:F,Data!O:O)</f>
        <v>  1.78 </v>
      </c>
      <c r="P2268" s="107" t="str">
        <f t="shared" si="8"/>
        <v>  4.46 </v>
      </c>
      <c r="Q2268" s="27"/>
    </row>
    <row r="2269" ht="15.75" customHeight="1">
      <c r="A2269" s="111" t="s">
        <v>2513</v>
      </c>
      <c r="B2269" s="19" t="str">
        <f t="array" ref="B2269">XLOOKUP(A2269,Data!F:F,Data!G:G)</f>
        <v>J3C</v>
      </c>
      <c r="C2269" s="19" t="str">
        <f t="shared" si="3"/>
        <v>J060</v>
      </c>
      <c r="D2269" s="19" t="str">
        <f t="array" ref="D2269">XLOOKUP(A2269,Data!F:F,Data!C:C)</f>
        <v/>
      </c>
      <c r="E2269" s="19" t="str">
        <f t="array" ref="E2269">XLOOKUP(A2269,Data!F:F,Data!H:H)</f>
        <v>BW</v>
      </c>
      <c r="F2269" s="106" t="str">
        <f>SUMIFS(Data!J:J,Data!F:F,A2269)</f>
        <v>1</v>
      </c>
      <c r="G2269" s="106" t="str">
        <f>SUMIFS(Cast!C:C,CastElements,A2269)</f>
        <v>1</v>
      </c>
      <c r="H2269" s="106" t="str">
        <f t="shared" si="4"/>
        <v>0</v>
      </c>
      <c r="I2269" s="106" t="str">
        <f>SUMIFS(Del!C:C,Del!B:B,A2269)</f>
        <v>0</v>
      </c>
      <c r="J2269" s="106" t="str">
        <f t="shared" si="5"/>
        <v>1</v>
      </c>
      <c r="K2269" s="106" t="str">
        <f t="shared" si="6"/>
        <v>1</v>
      </c>
      <c r="L2269" s="106"/>
      <c r="M2269" s="106" t="str">
        <f>SUMIFS(Ere!C:C,Ere!B:B,A2269)</f>
        <v>0</v>
      </c>
      <c r="N2269" s="106" t="str">
        <f t="shared" si="7"/>
        <v>1</v>
      </c>
      <c r="O2269" s="107" t="str">
        <f t="array" ref="O2269">XLOOKUP(A2269,Data!F:F,Data!O:O)</f>
        <v>  1.78 </v>
      </c>
      <c r="P2269" s="107" t="str">
        <f t="shared" si="8"/>
        <v>  4.46 </v>
      </c>
      <c r="Q2269" s="27"/>
    </row>
    <row r="2270" ht="15.75" customHeight="1">
      <c r="A2270" s="111" t="s">
        <v>2514</v>
      </c>
      <c r="B2270" s="19" t="str">
        <f t="array" ref="B2270">XLOOKUP(A2270,Data!F:F,Data!G:G)</f>
        <v>J3C</v>
      </c>
      <c r="C2270" s="19" t="str">
        <f t="shared" si="3"/>
        <v>J060</v>
      </c>
      <c r="D2270" s="19" t="str">
        <f t="array" ref="D2270">XLOOKUP(A2270,Data!F:F,Data!C:C)</f>
        <v/>
      </c>
      <c r="E2270" s="19" t="str">
        <f t="array" ref="E2270">XLOOKUP(A2270,Data!F:F,Data!H:H)</f>
        <v>BW</v>
      </c>
      <c r="F2270" s="106" t="str">
        <f>SUMIFS(Data!J:J,Data!F:F,A2270)</f>
        <v>1</v>
      </c>
      <c r="G2270" s="106" t="str">
        <f>SUMIFS(Cast!C:C,CastElements,A2270)</f>
        <v>1</v>
      </c>
      <c r="H2270" s="106" t="str">
        <f t="shared" si="4"/>
        <v>0</v>
      </c>
      <c r="I2270" s="106" t="str">
        <f>SUMIFS(Del!C:C,Del!B:B,A2270)</f>
        <v>0</v>
      </c>
      <c r="J2270" s="106" t="str">
        <f t="shared" si="5"/>
        <v>1</v>
      </c>
      <c r="K2270" s="106" t="str">
        <f t="shared" si="6"/>
        <v>1</v>
      </c>
      <c r="L2270" s="106"/>
      <c r="M2270" s="106" t="str">
        <f>SUMIFS(Ere!C:C,Ere!B:B,A2270)</f>
        <v>0</v>
      </c>
      <c r="N2270" s="106" t="str">
        <f t="shared" si="7"/>
        <v>1</v>
      </c>
      <c r="O2270" s="107" t="str">
        <f t="array" ref="O2270">XLOOKUP(A2270,Data!F:F,Data!O:O)</f>
        <v>  1.50 </v>
      </c>
      <c r="P2270" s="107" t="str">
        <f t="shared" si="8"/>
        <v>  3.74 </v>
      </c>
      <c r="Q2270" s="27"/>
    </row>
    <row r="2271" ht="15.75" customHeight="1">
      <c r="A2271" s="111" t="s">
        <v>2515</v>
      </c>
      <c r="B2271" s="19" t="str">
        <f t="array" ref="B2271">XLOOKUP(A2271,Data!F:F,Data!G:G)</f>
        <v>J3C</v>
      </c>
      <c r="C2271" s="19" t="str">
        <f t="shared" si="3"/>
        <v>J060</v>
      </c>
      <c r="D2271" s="19" t="str">
        <f t="array" ref="D2271">XLOOKUP(A2271,Data!F:F,Data!C:C)</f>
        <v/>
      </c>
      <c r="E2271" s="19" t="str">
        <f t="array" ref="E2271">XLOOKUP(A2271,Data!F:F,Data!H:H)</f>
        <v>BW</v>
      </c>
      <c r="F2271" s="106" t="str">
        <f>SUMIFS(Data!J:J,Data!F:F,A2271)</f>
        <v>1</v>
      </c>
      <c r="G2271" s="106" t="str">
        <f>SUMIFS(Cast!C:C,CastElements,A2271)</f>
        <v>0</v>
      </c>
      <c r="H2271" s="106" t="str">
        <f t="shared" si="4"/>
        <v>1</v>
      </c>
      <c r="I2271" s="106" t="str">
        <f>SUMIFS(Del!C:C,Del!B:B,A2271)</f>
        <v>0</v>
      </c>
      <c r="J2271" s="106" t="str">
        <f t="shared" si="5"/>
        <v>1</v>
      </c>
      <c r="K2271" s="106" t="str">
        <f t="shared" si="6"/>
        <v>0</v>
      </c>
      <c r="L2271" s="106"/>
      <c r="M2271" s="106" t="str">
        <f>SUMIFS(Ere!C:C,Ere!B:B,A2271)</f>
        <v>0</v>
      </c>
      <c r="N2271" s="106" t="str">
        <f t="shared" si="7"/>
        <v>1</v>
      </c>
      <c r="O2271" s="107" t="str">
        <f t="array" ref="O2271">XLOOKUP(A2271,Data!F:F,Data!O:O)</f>
        <v>  0.34 </v>
      </c>
      <c r="P2271" s="107" t="str">
        <f t="shared" si="8"/>
        <v>  0.85 </v>
      </c>
      <c r="Q2271" s="27"/>
    </row>
    <row r="2272" ht="15.75" customHeight="1">
      <c r="A2272" s="111" t="s">
        <v>2516</v>
      </c>
      <c r="B2272" s="19" t="str">
        <f t="array" ref="B2272">XLOOKUP(A2272,Data!F:F,Data!G:G)</f>
        <v>J3C</v>
      </c>
      <c r="C2272" s="19" t="str">
        <f t="shared" si="3"/>
        <v>J060</v>
      </c>
      <c r="D2272" s="19" t="str">
        <f t="array" ref="D2272">XLOOKUP(A2272,Data!F:F,Data!C:C)</f>
        <v/>
      </c>
      <c r="E2272" s="19" t="str">
        <f t="array" ref="E2272">XLOOKUP(A2272,Data!F:F,Data!H:H)</f>
        <v>BW</v>
      </c>
      <c r="F2272" s="106" t="str">
        <f>SUMIFS(Data!J:J,Data!F:F,A2272)</f>
        <v>1</v>
      </c>
      <c r="G2272" s="106" t="str">
        <f>SUMIFS(Cast!C:C,CastElements,A2272)</f>
        <v>1</v>
      </c>
      <c r="H2272" s="106" t="str">
        <f t="shared" si="4"/>
        <v>0</v>
      </c>
      <c r="I2272" s="106" t="str">
        <f>SUMIFS(Del!C:C,Del!B:B,A2272)</f>
        <v>0</v>
      </c>
      <c r="J2272" s="106" t="str">
        <f t="shared" si="5"/>
        <v>1</v>
      </c>
      <c r="K2272" s="106" t="str">
        <f t="shared" si="6"/>
        <v>1</v>
      </c>
      <c r="L2272" s="106"/>
      <c r="M2272" s="106" t="str">
        <f>SUMIFS(Ere!C:C,Ere!B:B,A2272)</f>
        <v>0</v>
      </c>
      <c r="N2272" s="106" t="str">
        <f t="shared" si="7"/>
        <v>1</v>
      </c>
      <c r="O2272" s="107" t="str">
        <f t="array" ref="O2272">XLOOKUP(A2272,Data!F:F,Data!O:O)</f>
        <v>  0.47 </v>
      </c>
      <c r="P2272" s="107" t="str">
        <f t="shared" si="8"/>
        <v>  1.18 </v>
      </c>
      <c r="Q2272" s="27"/>
    </row>
    <row r="2273" ht="15.75" customHeight="1">
      <c r="A2273" s="111" t="s">
        <v>2517</v>
      </c>
      <c r="B2273" s="19" t="str">
        <f t="array" ref="B2273">XLOOKUP(A2273,Data!F:F,Data!G:G)</f>
        <v>J3C</v>
      </c>
      <c r="C2273" s="19" t="str">
        <f t="shared" si="3"/>
        <v>J061</v>
      </c>
      <c r="D2273" s="19" t="str">
        <f t="array" ref="D2273">XLOOKUP(A2273,Data!F:F,Data!C:C)</f>
        <v/>
      </c>
      <c r="E2273" s="19" t="str">
        <f t="array" ref="E2273">XLOOKUP(A2273,Data!F:F,Data!H:H)</f>
        <v>CF</v>
      </c>
      <c r="F2273" s="106" t="str">
        <f>SUMIFS(Data!J:J,Data!F:F,A2273)</f>
        <v>1</v>
      </c>
      <c r="G2273" s="106" t="str">
        <f>SUMIFS(Cast!C:C,CastElements,A2273)</f>
        <v>1</v>
      </c>
      <c r="H2273" s="106" t="str">
        <f t="shared" si="4"/>
        <v>0</v>
      </c>
      <c r="I2273" s="106" t="str">
        <f>SUMIFS(Del!C:C,Del!B:B,A2273)</f>
        <v>0</v>
      </c>
      <c r="J2273" s="106" t="str">
        <f t="shared" si="5"/>
        <v>1</v>
      </c>
      <c r="K2273" s="106" t="str">
        <f t="shared" si="6"/>
        <v>1</v>
      </c>
      <c r="L2273" s="106"/>
      <c r="M2273" s="106" t="str">
        <f>SUMIFS(Ere!C:C,Ere!B:B,A2273)</f>
        <v>0</v>
      </c>
      <c r="N2273" s="106" t="str">
        <f t="shared" si="7"/>
        <v>1</v>
      </c>
      <c r="O2273" s="107" t="str">
        <f t="array" ref="O2273">XLOOKUP(A2273,Data!F:F,Data!O:O)</f>
        <v>  0.46 </v>
      </c>
      <c r="P2273" s="107" t="str">
        <f t="shared" si="8"/>
        <v>  1.16 </v>
      </c>
      <c r="Q2273" s="27"/>
    </row>
    <row r="2274" ht="15.75" customHeight="1">
      <c r="A2274" s="111" t="s">
        <v>2518</v>
      </c>
      <c r="B2274" s="19" t="str">
        <f t="array" ref="B2274">XLOOKUP(A2274,Data!F:F,Data!G:G)</f>
        <v>J3C</v>
      </c>
      <c r="C2274" s="19" t="str">
        <f t="shared" si="3"/>
        <v>J061</v>
      </c>
      <c r="D2274" s="19" t="str">
        <f t="array" ref="D2274">XLOOKUP(A2274,Data!F:F,Data!C:C)</f>
        <v>EXT</v>
      </c>
      <c r="E2274" s="19" t="str">
        <f t="array" ref="E2274">XLOOKUP(A2274,Data!F:F,Data!H:H)</f>
        <v>BW</v>
      </c>
      <c r="F2274" s="106" t="str">
        <f>SUMIFS(Data!J:J,Data!F:F,A2274)</f>
        <v>1</v>
      </c>
      <c r="G2274" s="106" t="str">
        <f>SUMIFS(Cast!C:C,CastElements,A2274)</f>
        <v>0</v>
      </c>
      <c r="H2274" s="106" t="str">
        <f t="shared" si="4"/>
        <v>1</v>
      </c>
      <c r="I2274" s="106" t="str">
        <f>SUMIFS(Del!C:C,Del!B:B,A2274)</f>
        <v>0</v>
      </c>
      <c r="J2274" s="106" t="str">
        <f t="shared" si="5"/>
        <v>1</v>
      </c>
      <c r="K2274" s="106" t="str">
        <f t="shared" si="6"/>
        <v>0</v>
      </c>
      <c r="L2274" s="106"/>
      <c r="M2274" s="106" t="str">
        <f>SUMIFS(Ere!C:C,Ere!B:B,A2274)</f>
        <v>0</v>
      </c>
      <c r="N2274" s="106" t="str">
        <f t="shared" si="7"/>
        <v>1</v>
      </c>
      <c r="O2274" s="107" t="str">
        <f t="array" ref="O2274">XLOOKUP(A2274,Data!F:F,Data!O:O)</f>
        <v>  1.13 </v>
      </c>
      <c r="P2274" s="107" t="str">
        <f t="shared" si="8"/>
        <v>  2.83 </v>
      </c>
      <c r="Q2274" s="27"/>
    </row>
    <row r="2275" ht="15.75" customHeight="1">
      <c r="A2275" s="111" t="s">
        <v>2519</v>
      </c>
      <c r="B2275" s="19" t="str">
        <f t="array" ref="B2275">XLOOKUP(A2275,Data!F:F,Data!G:G)</f>
        <v>J3C</v>
      </c>
      <c r="C2275" s="19" t="str">
        <f t="shared" si="3"/>
        <v>J061</v>
      </c>
      <c r="D2275" s="19" t="str">
        <f t="array" ref="D2275">XLOOKUP(A2275,Data!F:F,Data!C:C)</f>
        <v>EXT</v>
      </c>
      <c r="E2275" s="19" t="str">
        <f t="array" ref="E2275">XLOOKUP(A2275,Data!F:F,Data!H:H)</f>
        <v>BW</v>
      </c>
      <c r="F2275" s="106" t="str">
        <f>SUMIFS(Data!J:J,Data!F:F,A2275)</f>
        <v>1</v>
      </c>
      <c r="G2275" s="106" t="str">
        <f>SUMIFS(Cast!C:C,CastElements,A2275)</f>
        <v>0</v>
      </c>
      <c r="H2275" s="106" t="str">
        <f t="shared" si="4"/>
        <v>1</v>
      </c>
      <c r="I2275" s="106" t="str">
        <f>SUMIFS(Del!C:C,Del!B:B,A2275)</f>
        <v>0</v>
      </c>
      <c r="J2275" s="106" t="str">
        <f t="shared" si="5"/>
        <v>1</v>
      </c>
      <c r="K2275" s="106" t="str">
        <f t="shared" si="6"/>
        <v>0</v>
      </c>
      <c r="L2275" s="106"/>
      <c r="M2275" s="106" t="str">
        <f>SUMIFS(Ere!C:C,Ere!B:B,A2275)</f>
        <v>0</v>
      </c>
      <c r="N2275" s="106" t="str">
        <f t="shared" si="7"/>
        <v>1</v>
      </c>
      <c r="O2275" s="107" t="str">
        <f t="array" ref="O2275">XLOOKUP(A2275,Data!F:F,Data!O:O)</f>
        <v>  0.99 </v>
      </c>
      <c r="P2275" s="107" t="str">
        <f t="shared" si="8"/>
        <v>  2.48 </v>
      </c>
      <c r="Q2275" s="27"/>
    </row>
    <row r="2276" ht="15.75" customHeight="1">
      <c r="A2276" s="111" t="s">
        <v>2520</v>
      </c>
      <c r="B2276" s="19" t="str">
        <f t="array" ref="B2276">XLOOKUP(A2276,Data!F:F,Data!G:G)</f>
        <v>J3C</v>
      </c>
      <c r="C2276" s="19" t="str">
        <f t="shared" si="3"/>
        <v>J061</v>
      </c>
      <c r="D2276" s="19" t="str">
        <f t="array" ref="D2276">XLOOKUP(A2276,Data!F:F,Data!C:C)</f>
        <v/>
      </c>
      <c r="E2276" s="19" t="str">
        <f t="array" ref="E2276">XLOOKUP(A2276,Data!F:F,Data!H:H)</f>
        <v>BW</v>
      </c>
      <c r="F2276" s="106" t="str">
        <f>SUMIFS(Data!J:J,Data!F:F,A2276)</f>
        <v>1</v>
      </c>
      <c r="G2276" s="106" t="str">
        <f>SUMIFS(Cast!C:C,CastElements,A2276)</f>
        <v>1</v>
      </c>
      <c r="H2276" s="106" t="str">
        <f t="shared" si="4"/>
        <v>0</v>
      </c>
      <c r="I2276" s="106" t="str">
        <f>SUMIFS(Del!C:C,Del!B:B,A2276)</f>
        <v>0</v>
      </c>
      <c r="J2276" s="106" t="str">
        <f t="shared" si="5"/>
        <v>1</v>
      </c>
      <c r="K2276" s="106" t="str">
        <f t="shared" si="6"/>
        <v>1</v>
      </c>
      <c r="L2276" s="106"/>
      <c r="M2276" s="106" t="str">
        <f>SUMIFS(Ere!C:C,Ere!B:B,A2276)</f>
        <v>0</v>
      </c>
      <c r="N2276" s="106" t="str">
        <f t="shared" si="7"/>
        <v>1</v>
      </c>
      <c r="O2276" s="107" t="str">
        <f t="array" ref="O2276">XLOOKUP(A2276,Data!F:F,Data!O:O)</f>
        <v>  1.96 </v>
      </c>
      <c r="P2276" s="107" t="str">
        <f t="shared" si="8"/>
        <v>  4.90 </v>
      </c>
      <c r="Q2276" s="27"/>
    </row>
    <row r="2277" ht="15.75" customHeight="1">
      <c r="A2277" s="111" t="s">
        <v>2521</v>
      </c>
      <c r="B2277" s="19" t="str">
        <f t="array" ref="B2277">XLOOKUP(A2277,Data!F:F,Data!G:G)</f>
        <v>J3C</v>
      </c>
      <c r="C2277" s="19" t="str">
        <f t="shared" si="3"/>
        <v>J061</v>
      </c>
      <c r="D2277" s="19" t="str">
        <f t="array" ref="D2277">XLOOKUP(A2277,Data!F:F,Data!C:C)</f>
        <v/>
      </c>
      <c r="E2277" s="19" t="str">
        <f t="array" ref="E2277">XLOOKUP(A2277,Data!F:F,Data!H:H)</f>
        <v>BW</v>
      </c>
      <c r="F2277" s="106" t="str">
        <f>SUMIFS(Data!J:J,Data!F:F,A2277)</f>
        <v>1</v>
      </c>
      <c r="G2277" s="106" t="str">
        <f>SUMIFS(Cast!C:C,CastElements,A2277)</f>
        <v>1</v>
      </c>
      <c r="H2277" s="106" t="str">
        <f t="shared" si="4"/>
        <v>0</v>
      </c>
      <c r="I2277" s="106" t="str">
        <f>SUMIFS(Del!C:C,Del!B:B,A2277)</f>
        <v>0</v>
      </c>
      <c r="J2277" s="106" t="str">
        <f t="shared" si="5"/>
        <v>1</v>
      </c>
      <c r="K2277" s="106" t="str">
        <f t="shared" si="6"/>
        <v>1</v>
      </c>
      <c r="L2277" s="106"/>
      <c r="M2277" s="106" t="str">
        <f>SUMIFS(Ere!C:C,Ere!B:B,A2277)</f>
        <v>0</v>
      </c>
      <c r="N2277" s="106" t="str">
        <f t="shared" si="7"/>
        <v>1</v>
      </c>
      <c r="O2277" s="107" t="str">
        <f t="array" ref="O2277">XLOOKUP(A2277,Data!F:F,Data!O:O)</f>
        <v>  1.91 </v>
      </c>
      <c r="P2277" s="107" t="str">
        <f t="shared" si="8"/>
        <v>  4.79 </v>
      </c>
      <c r="Q2277" s="27"/>
    </row>
    <row r="2278" ht="15.75" customHeight="1">
      <c r="A2278" s="111" t="s">
        <v>2522</v>
      </c>
      <c r="B2278" s="19" t="str">
        <f t="array" ref="B2278">XLOOKUP(A2278,Data!F:F,Data!G:G)</f>
        <v>J3C</v>
      </c>
      <c r="C2278" s="19" t="str">
        <f t="shared" si="3"/>
        <v>J061</v>
      </c>
      <c r="D2278" s="19" t="str">
        <f t="array" ref="D2278">XLOOKUP(A2278,Data!F:F,Data!C:C)</f>
        <v/>
      </c>
      <c r="E2278" s="19" t="str">
        <f t="array" ref="E2278">XLOOKUP(A2278,Data!F:F,Data!H:H)</f>
        <v>BW</v>
      </c>
      <c r="F2278" s="106" t="str">
        <f>SUMIFS(Data!J:J,Data!F:F,A2278)</f>
        <v>1</v>
      </c>
      <c r="G2278" s="106" t="str">
        <f>SUMIFS(Cast!C:C,CastElements,A2278)</f>
        <v>1</v>
      </c>
      <c r="H2278" s="106" t="str">
        <f t="shared" si="4"/>
        <v>0</v>
      </c>
      <c r="I2278" s="106" t="str">
        <f>SUMIFS(Del!C:C,Del!B:B,A2278)</f>
        <v>0</v>
      </c>
      <c r="J2278" s="106" t="str">
        <f t="shared" si="5"/>
        <v>1</v>
      </c>
      <c r="K2278" s="106" t="str">
        <f t="shared" si="6"/>
        <v>1</v>
      </c>
      <c r="L2278" s="106"/>
      <c r="M2278" s="106" t="str">
        <f>SUMIFS(Ere!C:C,Ere!B:B,A2278)</f>
        <v>0</v>
      </c>
      <c r="N2278" s="106" t="str">
        <f t="shared" si="7"/>
        <v>1</v>
      </c>
      <c r="O2278" s="107" t="str">
        <f t="array" ref="O2278">XLOOKUP(A2278,Data!F:F,Data!O:O)</f>
        <v>  1.78 </v>
      </c>
      <c r="P2278" s="107" t="str">
        <f t="shared" si="8"/>
        <v>  4.46 </v>
      </c>
      <c r="Q2278" s="27"/>
    </row>
    <row r="2279" ht="15.75" customHeight="1">
      <c r="A2279" s="111" t="s">
        <v>2523</v>
      </c>
      <c r="B2279" s="19" t="str">
        <f t="array" ref="B2279">XLOOKUP(A2279,Data!F:F,Data!G:G)</f>
        <v>J3C</v>
      </c>
      <c r="C2279" s="19" t="str">
        <f t="shared" si="3"/>
        <v>J061</v>
      </c>
      <c r="D2279" s="19" t="str">
        <f t="array" ref="D2279">XLOOKUP(A2279,Data!F:F,Data!C:C)</f>
        <v/>
      </c>
      <c r="E2279" s="19" t="str">
        <f t="array" ref="E2279">XLOOKUP(A2279,Data!F:F,Data!H:H)</f>
        <v>BW</v>
      </c>
      <c r="F2279" s="106" t="str">
        <f>SUMIFS(Data!J:J,Data!F:F,A2279)</f>
        <v>1</v>
      </c>
      <c r="G2279" s="106" t="str">
        <f>SUMIFS(Cast!C:C,CastElements,A2279)</f>
        <v>1</v>
      </c>
      <c r="H2279" s="106" t="str">
        <f t="shared" si="4"/>
        <v>0</v>
      </c>
      <c r="I2279" s="106" t="str">
        <f>SUMIFS(Del!C:C,Del!B:B,A2279)</f>
        <v>0</v>
      </c>
      <c r="J2279" s="106" t="str">
        <f t="shared" si="5"/>
        <v>1</v>
      </c>
      <c r="K2279" s="106" t="str">
        <f t="shared" si="6"/>
        <v>1</v>
      </c>
      <c r="L2279" s="106"/>
      <c r="M2279" s="106" t="str">
        <f>SUMIFS(Ere!C:C,Ere!B:B,A2279)</f>
        <v>0</v>
      </c>
      <c r="N2279" s="106" t="str">
        <f t="shared" si="7"/>
        <v>1</v>
      </c>
      <c r="O2279" s="107" t="str">
        <f t="array" ref="O2279">XLOOKUP(A2279,Data!F:F,Data!O:O)</f>
        <v>  1.78 </v>
      </c>
      <c r="P2279" s="107" t="str">
        <f t="shared" si="8"/>
        <v>  4.46 </v>
      </c>
      <c r="Q2279" s="27"/>
    </row>
    <row r="2280" ht="15.75" customHeight="1">
      <c r="A2280" s="111" t="s">
        <v>2524</v>
      </c>
      <c r="B2280" s="19" t="str">
        <f t="array" ref="B2280">XLOOKUP(A2280,Data!F:F,Data!G:G)</f>
        <v>J3C</v>
      </c>
      <c r="C2280" s="19" t="str">
        <f t="shared" si="3"/>
        <v>J061</v>
      </c>
      <c r="D2280" s="19" t="str">
        <f t="array" ref="D2280">XLOOKUP(A2280,Data!F:F,Data!C:C)</f>
        <v/>
      </c>
      <c r="E2280" s="19" t="str">
        <f t="array" ref="E2280">XLOOKUP(A2280,Data!F:F,Data!H:H)</f>
        <v>BW</v>
      </c>
      <c r="F2280" s="106" t="str">
        <f>SUMIFS(Data!J:J,Data!F:F,A2280)</f>
        <v>1</v>
      </c>
      <c r="G2280" s="106" t="str">
        <f>SUMIFS(Cast!C:C,CastElements,A2280)</f>
        <v>1</v>
      </c>
      <c r="H2280" s="106" t="str">
        <f t="shared" si="4"/>
        <v>0</v>
      </c>
      <c r="I2280" s="106" t="str">
        <f>SUMIFS(Del!C:C,Del!B:B,A2280)</f>
        <v>0</v>
      </c>
      <c r="J2280" s="106" t="str">
        <f t="shared" si="5"/>
        <v>1</v>
      </c>
      <c r="K2280" s="106" t="str">
        <f t="shared" si="6"/>
        <v>1</v>
      </c>
      <c r="L2280" s="106"/>
      <c r="M2280" s="106" t="str">
        <f>SUMIFS(Ere!C:C,Ere!B:B,A2280)</f>
        <v>0</v>
      </c>
      <c r="N2280" s="106" t="str">
        <f t="shared" si="7"/>
        <v>1</v>
      </c>
      <c r="O2280" s="107" t="str">
        <f t="array" ref="O2280">XLOOKUP(A2280,Data!F:F,Data!O:O)</f>
        <v>  1.78 </v>
      </c>
      <c r="P2280" s="107" t="str">
        <f t="shared" si="8"/>
        <v>  4.46 </v>
      </c>
      <c r="Q2280" s="27"/>
    </row>
    <row r="2281" ht="15.75" customHeight="1">
      <c r="A2281" s="111" t="s">
        <v>2525</v>
      </c>
      <c r="B2281" s="19" t="str">
        <f t="array" ref="B2281">XLOOKUP(A2281,Data!F:F,Data!G:G)</f>
        <v>J3C</v>
      </c>
      <c r="C2281" s="19" t="str">
        <f t="shared" si="3"/>
        <v>J061</v>
      </c>
      <c r="D2281" s="19" t="str">
        <f t="array" ref="D2281">XLOOKUP(A2281,Data!F:F,Data!C:C)</f>
        <v/>
      </c>
      <c r="E2281" s="19" t="str">
        <f t="array" ref="E2281">XLOOKUP(A2281,Data!F:F,Data!H:H)</f>
        <v>BW</v>
      </c>
      <c r="F2281" s="106" t="str">
        <f>SUMIFS(Data!J:J,Data!F:F,A2281)</f>
        <v>1</v>
      </c>
      <c r="G2281" s="106" t="str">
        <f>SUMIFS(Cast!C:C,CastElements,A2281)</f>
        <v>1</v>
      </c>
      <c r="H2281" s="106" t="str">
        <f t="shared" si="4"/>
        <v>0</v>
      </c>
      <c r="I2281" s="106" t="str">
        <f>SUMIFS(Del!C:C,Del!B:B,A2281)</f>
        <v>0</v>
      </c>
      <c r="J2281" s="106" t="str">
        <f t="shared" si="5"/>
        <v>1</v>
      </c>
      <c r="K2281" s="106" t="str">
        <f t="shared" si="6"/>
        <v>1</v>
      </c>
      <c r="L2281" s="106"/>
      <c r="M2281" s="106" t="str">
        <f>SUMIFS(Ere!C:C,Ere!B:B,A2281)</f>
        <v>0</v>
      </c>
      <c r="N2281" s="106" t="str">
        <f t="shared" si="7"/>
        <v>1</v>
      </c>
      <c r="O2281" s="107" t="str">
        <f t="array" ref="O2281">XLOOKUP(A2281,Data!F:F,Data!O:O)</f>
        <v>  1.78 </v>
      </c>
      <c r="P2281" s="107" t="str">
        <f t="shared" si="8"/>
        <v>  4.46 </v>
      </c>
      <c r="Q2281" s="27"/>
    </row>
    <row r="2282" ht="15.75" customHeight="1">
      <c r="A2282" s="111" t="s">
        <v>2526</v>
      </c>
      <c r="B2282" s="19" t="str">
        <f t="array" ref="B2282">XLOOKUP(A2282,Data!F:F,Data!G:G)</f>
        <v>J3C</v>
      </c>
      <c r="C2282" s="19" t="str">
        <f t="shared" si="3"/>
        <v>J061</v>
      </c>
      <c r="D2282" s="19" t="str">
        <f t="array" ref="D2282">XLOOKUP(A2282,Data!F:F,Data!C:C)</f>
        <v/>
      </c>
      <c r="E2282" s="19" t="str">
        <f t="array" ref="E2282">XLOOKUP(A2282,Data!F:F,Data!H:H)</f>
        <v>BW</v>
      </c>
      <c r="F2282" s="106" t="str">
        <f>SUMIFS(Data!J:J,Data!F:F,A2282)</f>
        <v>1</v>
      </c>
      <c r="G2282" s="106" t="str">
        <f>SUMIFS(Cast!C:C,CastElements,A2282)</f>
        <v>1</v>
      </c>
      <c r="H2282" s="106" t="str">
        <f t="shared" si="4"/>
        <v>0</v>
      </c>
      <c r="I2282" s="106" t="str">
        <f>SUMIFS(Del!C:C,Del!B:B,A2282)</f>
        <v>0</v>
      </c>
      <c r="J2282" s="106" t="str">
        <f t="shared" si="5"/>
        <v>1</v>
      </c>
      <c r="K2282" s="106" t="str">
        <f t="shared" si="6"/>
        <v>1</v>
      </c>
      <c r="L2282" s="106"/>
      <c r="M2282" s="106" t="str">
        <f>SUMIFS(Ere!C:C,Ere!B:B,A2282)</f>
        <v>0</v>
      </c>
      <c r="N2282" s="106" t="str">
        <f t="shared" si="7"/>
        <v>1</v>
      </c>
      <c r="O2282" s="107" t="str">
        <f t="array" ref="O2282">XLOOKUP(A2282,Data!F:F,Data!O:O)</f>
        <v>  1.78 </v>
      </c>
      <c r="P2282" s="107" t="str">
        <f t="shared" si="8"/>
        <v>  4.46 </v>
      </c>
      <c r="Q2282" s="27"/>
    </row>
    <row r="2283" ht="15.75" customHeight="1">
      <c r="A2283" s="111" t="s">
        <v>2527</v>
      </c>
      <c r="B2283" s="19" t="str">
        <f t="array" ref="B2283">XLOOKUP(A2283,Data!F:F,Data!G:G)</f>
        <v>J3C</v>
      </c>
      <c r="C2283" s="19" t="str">
        <f t="shared" si="3"/>
        <v>J061</v>
      </c>
      <c r="D2283" s="19" t="str">
        <f t="array" ref="D2283">XLOOKUP(A2283,Data!F:F,Data!C:C)</f>
        <v/>
      </c>
      <c r="E2283" s="19" t="str">
        <f t="array" ref="E2283">XLOOKUP(A2283,Data!F:F,Data!H:H)</f>
        <v>BW</v>
      </c>
      <c r="F2283" s="106" t="str">
        <f>SUMIFS(Data!J:J,Data!F:F,A2283)</f>
        <v>1</v>
      </c>
      <c r="G2283" s="106" t="str">
        <f>SUMIFS(Cast!C:C,CastElements,A2283)</f>
        <v>1</v>
      </c>
      <c r="H2283" s="106" t="str">
        <f t="shared" si="4"/>
        <v>0</v>
      </c>
      <c r="I2283" s="106" t="str">
        <f>SUMIFS(Del!C:C,Del!B:B,A2283)</f>
        <v>0</v>
      </c>
      <c r="J2283" s="106" t="str">
        <f t="shared" si="5"/>
        <v>1</v>
      </c>
      <c r="K2283" s="106" t="str">
        <f t="shared" si="6"/>
        <v>1</v>
      </c>
      <c r="L2283" s="106"/>
      <c r="M2283" s="106" t="str">
        <f>SUMIFS(Ere!C:C,Ere!B:B,A2283)</f>
        <v>0</v>
      </c>
      <c r="N2283" s="106" t="str">
        <f t="shared" si="7"/>
        <v>1</v>
      </c>
      <c r="O2283" s="107" t="str">
        <f t="array" ref="O2283">XLOOKUP(A2283,Data!F:F,Data!O:O)</f>
        <v>  1.78 </v>
      </c>
      <c r="P2283" s="107" t="str">
        <f t="shared" si="8"/>
        <v>  4.46 </v>
      </c>
      <c r="Q2283" s="27"/>
    </row>
    <row r="2284" ht="15.75" customHeight="1">
      <c r="A2284" s="111" t="s">
        <v>2528</v>
      </c>
      <c r="B2284" s="19" t="str">
        <f t="array" ref="B2284">XLOOKUP(A2284,Data!F:F,Data!G:G)</f>
        <v>J3C</v>
      </c>
      <c r="C2284" s="19" t="str">
        <f t="shared" si="3"/>
        <v>J061</v>
      </c>
      <c r="D2284" s="19" t="str">
        <f t="array" ref="D2284">XLOOKUP(A2284,Data!F:F,Data!C:C)</f>
        <v/>
      </c>
      <c r="E2284" s="19" t="str">
        <f t="array" ref="E2284">XLOOKUP(A2284,Data!F:F,Data!H:H)</f>
        <v>BW</v>
      </c>
      <c r="F2284" s="106" t="str">
        <f>SUMIFS(Data!J:J,Data!F:F,A2284)</f>
        <v>1</v>
      </c>
      <c r="G2284" s="106" t="str">
        <f>SUMIFS(Cast!C:C,CastElements,A2284)</f>
        <v>1</v>
      </c>
      <c r="H2284" s="106" t="str">
        <f t="shared" si="4"/>
        <v>0</v>
      </c>
      <c r="I2284" s="106" t="str">
        <f>SUMIFS(Del!C:C,Del!B:B,A2284)</f>
        <v>0</v>
      </c>
      <c r="J2284" s="106" t="str">
        <f t="shared" si="5"/>
        <v>1</v>
      </c>
      <c r="K2284" s="106" t="str">
        <f t="shared" si="6"/>
        <v>1</v>
      </c>
      <c r="L2284" s="106"/>
      <c r="M2284" s="106" t="str">
        <f>SUMIFS(Ere!C:C,Ere!B:B,A2284)</f>
        <v>0</v>
      </c>
      <c r="N2284" s="106" t="str">
        <f t="shared" si="7"/>
        <v>1</v>
      </c>
      <c r="O2284" s="107" t="str">
        <f t="array" ref="O2284">XLOOKUP(A2284,Data!F:F,Data!O:O)</f>
        <v>  1.50 </v>
      </c>
      <c r="P2284" s="107" t="str">
        <f t="shared" si="8"/>
        <v>  3.74 </v>
      </c>
      <c r="Q2284" s="27"/>
    </row>
    <row r="2285" ht="15.75" customHeight="1">
      <c r="A2285" s="111" t="s">
        <v>2529</v>
      </c>
      <c r="B2285" s="19" t="str">
        <f t="array" ref="B2285">XLOOKUP(A2285,Data!F:F,Data!G:G)</f>
        <v>J3C</v>
      </c>
      <c r="C2285" s="19" t="str">
        <f t="shared" si="3"/>
        <v>J061</v>
      </c>
      <c r="D2285" s="19" t="str">
        <f t="array" ref="D2285">XLOOKUP(A2285,Data!F:F,Data!C:C)</f>
        <v/>
      </c>
      <c r="E2285" s="19" t="str">
        <f t="array" ref="E2285">XLOOKUP(A2285,Data!F:F,Data!H:H)</f>
        <v>BW</v>
      </c>
      <c r="F2285" s="106" t="str">
        <f>SUMIFS(Data!J:J,Data!F:F,A2285)</f>
        <v>1</v>
      </c>
      <c r="G2285" s="106" t="str">
        <f>SUMIFS(Cast!C:C,CastElements,A2285)</f>
        <v>1</v>
      </c>
      <c r="H2285" s="106" t="str">
        <f t="shared" si="4"/>
        <v>0</v>
      </c>
      <c r="I2285" s="106" t="str">
        <f>SUMIFS(Del!C:C,Del!B:B,A2285)</f>
        <v>0</v>
      </c>
      <c r="J2285" s="106" t="str">
        <f t="shared" si="5"/>
        <v>1</v>
      </c>
      <c r="K2285" s="106" t="str">
        <f t="shared" si="6"/>
        <v>1</v>
      </c>
      <c r="L2285" s="106"/>
      <c r="M2285" s="106" t="str">
        <f>SUMIFS(Ere!C:C,Ere!B:B,A2285)</f>
        <v>0</v>
      </c>
      <c r="N2285" s="106" t="str">
        <f t="shared" si="7"/>
        <v>1</v>
      </c>
      <c r="O2285" s="107" t="str">
        <f t="array" ref="O2285">XLOOKUP(A2285,Data!F:F,Data!O:O)</f>
        <v>  0.47 </v>
      </c>
      <c r="P2285" s="107" t="str">
        <f t="shared" si="8"/>
        <v>  1.18 </v>
      </c>
      <c r="Q2285" s="27"/>
    </row>
    <row r="2286" ht="15.75" customHeight="1">
      <c r="A2286" s="111" t="s">
        <v>2530</v>
      </c>
      <c r="B2286" s="19" t="str">
        <f t="array" ref="B2286">XLOOKUP(A2286,Data!F:F,Data!G:G)</f>
        <v>J3C</v>
      </c>
      <c r="C2286" s="19" t="str">
        <f t="shared" si="3"/>
        <v>J061</v>
      </c>
      <c r="D2286" s="19" t="str">
        <f t="array" ref="D2286">XLOOKUP(A2286,Data!F:F,Data!C:C)</f>
        <v>EXT</v>
      </c>
      <c r="E2286" s="19" t="str">
        <f t="array" ref="E2286">XLOOKUP(A2286,Data!F:F,Data!H:H)</f>
        <v>BW</v>
      </c>
      <c r="F2286" s="106" t="str">
        <f>SUMIFS(Data!J:J,Data!F:F,A2286)</f>
        <v>1</v>
      </c>
      <c r="G2286" s="106" t="str">
        <f>SUMIFS(Cast!C:C,CastElements,A2286)</f>
        <v>0</v>
      </c>
      <c r="H2286" s="106" t="str">
        <f t="shared" si="4"/>
        <v>1</v>
      </c>
      <c r="I2286" s="106" t="str">
        <f>SUMIFS(Del!C:C,Del!B:B,A2286)</f>
        <v>0</v>
      </c>
      <c r="J2286" s="106" t="str">
        <f t="shared" si="5"/>
        <v>1</v>
      </c>
      <c r="K2286" s="106" t="str">
        <f t="shared" si="6"/>
        <v>0</v>
      </c>
      <c r="L2286" s="106"/>
      <c r="M2286" s="106" t="str">
        <f>SUMIFS(Ere!C:C,Ere!B:B,A2286)</f>
        <v>0</v>
      </c>
      <c r="N2286" s="106" t="str">
        <f t="shared" si="7"/>
        <v>1</v>
      </c>
      <c r="O2286" s="107" t="str">
        <f t="array" ref="O2286">XLOOKUP(A2286,Data!F:F,Data!O:O)</f>
        <v>  0.79 </v>
      </c>
      <c r="P2286" s="107" t="str">
        <f t="shared" si="8"/>
        <v>  1.98 </v>
      </c>
      <c r="Q2286" s="27"/>
    </row>
    <row r="2287" ht="15.75" customHeight="1">
      <c r="A2287" s="111" t="s">
        <v>2531</v>
      </c>
      <c r="B2287" s="19" t="str">
        <f t="array" ref="B2287">XLOOKUP(A2287,Data!F:F,Data!G:G)</f>
        <v>J3C</v>
      </c>
      <c r="C2287" s="19" t="str">
        <f t="shared" si="3"/>
        <v>J061</v>
      </c>
      <c r="D2287" s="19" t="str">
        <f t="array" ref="D2287">XLOOKUP(A2287,Data!F:F,Data!C:C)</f>
        <v/>
      </c>
      <c r="E2287" s="19" t="str">
        <f t="array" ref="E2287">XLOOKUP(A2287,Data!F:F,Data!H:H)</f>
        <v>BW</v>
      </c>
      <c r="F2287" s="106" t="str">
        <f>SUMIFS(Data!J:J,Data!F:F,A2287)</f>
        <v>1</v>
      </c>
      <c r="G2287" s="106" t="str">
        <f>SUMIFS(Cast!C:C,CastElements,A2287)</f>
        <v>1</v>
      </c>
      <c r="H2287" s="106" t="str">
        <f t="shared" si="4"/>
        <v>0</v>
      </c>
      <c r="I2287" s="106" t="str">
        <f>SUMIFS(Del!C:C,Del!B:B,A2287)</f>
        <v>0</v>
      </c>
      <c r="J2287" s="106" t="str">
        <f t="shared" si="5"/>
        <v>1</v>
      </c>
      <c r="K2287" s="106" t="str">
        <f t="shared" si="6"/>
        <v>1</v>
      </c>
      <c r="L2287" s="106"/>
      <c r="M2287" s="106" t="str">
        <f>SUMIFS(Ere!C:C,Ere!B:B,A2287)</f>
        <v>0</v>
      </c>
      <c r="N2287" s="106" t="str">
        <f t="shared" si="7"/>
        <v>1</v>
      </c>
      <c r="O2287" s="107" t="str">
        <f t="array" ref="O2287">XLOOKUP(A2287,Data!F:F,Data!O:O)</f>
        <v>  1.50 </v>
      </c>
      <c r="P2287" s="107" t="str">
        <f t="shared" si="8"/>
        <v>  3.74 </v>
      </c>
      <c r="Q2287" s="27"/>
    </row>
    <row r="2288" ht="15.75" customHeight="1">
      <c r="A2288" s="111" t="s">
        <v>2532</v>
      </c>
      <c r="B2288" s="19" t="str">
        <f t="array" ref="B2288">XLOOKUP(A2288,Data!F:F,Data!G:G)</f>
        <v>J3C</v>
      </c>
      <c r="C2288" s="19" t="str">
        <f t="shared" si="3"/>
        <v>J061</v>
      </c>
      <c r="D2288" s="19" t="str">
        <f t="array" ref="D2288">XLOOKUP(A2288,Data!F:F,Data!C:C)</f>
        <v/>
      </c>
      <c r="E2288" s="19" t="str">
        <f t="array" ref="E2288">XLOOKUP(A2288,Data!F:F,Data!H:H)</f>
        <v>BW</v>
      </c>
      <c r="F2288" s="106" t="str">
        <f>SUMIFS(Data!J:J,Data!F:F,A2288)</f>
        <v>1</v>
      </c>
      <c r="G2288" s="106" t="str">
        <f>SUMIFS(Cast!C:C,CastElements,A2288)</f>
        <v>0</v>
      </c>
      <c r="H2288" s="106" t="str">
        <f t="shared" si="4"/>
        <v>1</v>
      </c>
      <c r="I2288" s="106" t="str">
        <f>SUMIFS(Del!C:C,Del!B:B,A2288)</f>
        <v>0</v>
      </c>
      <c r="J2288" s="106" t="str">
        <f t="shared" si="5"/>
        <v>1</v>
      </c>
      <c r="K2288" s="106" t="str">
        <f t="shared" si="6"/>
        <v>0</v>
      </c>
      <c r="L2288" s="106"/>
      <c r="M2288" s="106" t="str">
        <f>SUMIFS(Ere!C:C,Ere!B:B,A2288)</f>
        <v>0</v>
      </c>
      <c r="N2288" s="106" t="str">
        <f t="shared" si="7"/>
        <v>1</v>
      </c>
      <c r="O2288" s="107" t="str">
        <f t="array" ref="O2288">XLOOKUP(A2288,Data!F:F,Data!O:O)</f>
        <v>  0.34 </v>
      </c>
      <c r="P2288" s="107" t="str">
        <f t="shared" si="8"/>
        <v>  0.85 </v>
      </c>
      <c r="Q2288" s="27"/>
    </row>
    <row r="2289" ht="15.75" customHeight="1">
      <c r="A2289" s="111" t="s">
        <v>2533</v>
      </c>
      <c r="B2289" s="19" t="str">
        <f t="array" ref="B2289">XLOOKUP(A2289,Data!F:F,Data!G:G)</f>
        <v>J3C</v>
      </c>
      <c r="C2289" s="19" t="str">
        <f t="shared" si="3"/>
        <v>J062</v>
      </c>
      <c r="D2289" s="19" t="str">
        <f t="array" ref="D2289">XLOOKUP(A2289,Data!F:F,Data!C:C)</f>
        <v/>
      </c>
      <c r="E2289" s="19" t="str">
        <f t="array" ref="E2289">XLOOKUP(A2289,Data!F:F,Data!H:H)</f>
        <v>CF</v>
      </c>
      <c r="F2289" s="106" t="str">
        <f>SUMIFS(Data!J:J,Data!F:F,A2289)</f>
        <v>1</v>
      </c>
      <c r="G2289" s="106" t="str">
        <f>SUMIFS(Cast!C:C,CastElements,A2289)</f>
        <v>1</v>
      </c>
      <c r="H2289" s="106" t="str">
        <f t="shared" si="4"/>
        <v>0</v>
      </c>
      <c r="I2289" s="106" t="str">
        <f>SUMIFS(Del!C:C,Del!B:B,A2289)</f>
        <v>0</v>
      </c>
      <c r="J2289" s="106" t="str">
        <f t="shared" si="5"/>
        <v>1</v>
      </c>
      <c r="K2289" s="106" t="str">
        <f t="shared" si="6"/>
        <v>1</v>
      </c>
      <c r="L2289" s="106"/>
      <c r="M2289" s="106" t="str">
        <f>SUMIFS(Ere!C:C,Ere!B:B,A2289)</f>
        <v>0</v>
      </c>
      <c r="N2289" s="106" t="str">
        <f t="shared" si="7"/>
        <v>1</v>
      </c>
      <c r="O2289" s="107" t="str">
        <f t="array" ref="O2289">XLOOKUP(A2289,Data!F:F,Data!O:O)</f>
        <v>  0.46 </v>
      </c>
      <c r="P2289" s="107" t="str">
        <f t="shared" si="8"/>
        <v>  1.16 </v>
      </c>
      <c r="Q2289" s="27"/>
    </row>
    <row r="2290" ht="15.75" customHeight="1">
      <c r="A2290" s="111" t="s">
        <v>2534</v>
      </c>
      <c r="B2290" s="19" t="str">
        <f t="array" ref="B2290">XLOOKUP(A2290,Data!F:F,Data!G:G)</f>
        <v>J3C</v>
      </c>
      <c r="C2290" s="19" t="str">
        <f t="shared" si="3"/>
        <v>J062</v>
      </c>
      <c r="D2290" s="19" t="str">
        <f t="array" ref="D2290">XLOOKUP(A2290,Data!F:F,Data!C:C)</f>
        <v>EXT</v>
      </c>
      <c r="E2290" s="19" t="str">
        <f t="array" ref="E2290">XLOOKUP(A2290,Data!F:F,Data!H:H)</f>
        <v>BW</v>
      </c>
      <c r="F2290" s="106" t="str">
        <f>SUMIFS(Data!J:J,Data!F:F,A2290)</f>
        <v>1</v>
      </c>
      <c r="G2290" s="106" t="str">
        <f>SUMIFS(Cast!C:C,CastElements,A2290)</f>
        <v>0</v>
      </c>
      <c r="H2290" s="106" t="str">
        <f t="shared" si="4"/>
        <v>1</v>
      </c>
      <c r="I2290" s="106" t="str">
        <f>SUMIFS(Del!C:C,Del!B:B,A2290)</f>
        <v>0</v>
      </c>
      <c r="J2290" s="106" t="str">
        <f t="shared" si="5"/>
        <v>1</v>
      </c>
      <c r="K2290" s="106" t="str">
        <f t="shared" si="6"/>
        <v>0</v>
      </c>
      <c r="L2290" s="106"/>
      <c r="M2290" s="106" t="str">
        <f>SUMIFS(Ere!C:C,Ere!B:B,A2290)</f>
        <v>0</v>
      </c>
      <c r="N2290" s="106" t="str">
        <f t="shared" si="7"/>
        <v>1</v>
      </c>
      <c r="O2290" s="107" t="str">
        <f t="array" ref="O2290">XLOOKUP(A2290,Data!F:F,Data!O:O)</f>
        <v>  1.13 </v>
      </c>
      <c r="P2290" s="107" t="str">
        <f t="shared" si="8"/>
        <v>  2.83 </v>
      </c>
      <c r="Q2290" s="27"/>
    </row>
    <row r="2291" ht="15.75" customHeight="1">
      <c r="A2291" s="111" t="s">
        <v>2535</v>
      </c>
      <c r="B2291" s="19" t="str">
        <f t="array" ref="B2291">XLOOKUP(A2291,Data!F:F,Data!G:G)</f>
        <v>J3C</v>
      </c>
      <c r="C2291" s="19" t="str">
        <f t="shared" si="3"/>
        <v>J062</v>
      </c>
      <c r="D2291" s="19" t="str">
        <f t="array" ref="D2291">XLOOKUP(A2291,Data!F:F,Data!C:C)</f>
        <v>EXT</v>
      </c>
      <c r="E2291" s="19" t="str">
        <f t="array" ref="E2291">XLOOKUP(A2291,Data!F:F,Data!H:H)</f>
        <v>BW</v>
      </c>
      <c r="F2291" s="106" t="str">
        <f>SUMIFS(Data!J:J,Data!F:F,A2291)</f>
        <v>1</v>
      </c>
      <c r="G2291" s="106" t="str">
        <f>SUMIFS(Cast!C:C,CastElements,A2291)</f>
        <v>0</v>
      </c>
      <c r="H2291" s="106" t="str">
        <f t="shared" si="4"/>
        <v>1</v>
      </c>
      <c r="I2291" s="106" t="str">
        <f>SUMIFS(Del!C:C,Del!B:B,A2291)</f>
        <v>0</v>
      </c>
      <c r="J2291" s="106" t="str">
        <f t="shared" si="5"/>
        <v>1</v>
      </c>
      <c r="K2291" s="106" t="str">
        <f t="shared" si="6"/>
        <v>0</v>
      </c>
      <c r="L2291" s="106"/>
      <c r="M2291" s="106" t="str">
        <f>SUMIFS(Ere!C:C,Ere!B:B,A2291)</f>
        <v>0</v>
      </c>
      <c r="N2291" s="106" t="str">
        <f t="shared" si="7"/>
        <v>1</v>
      </c>
      <c r="O2291" s="107" t="str">
        <f t="array" ref="O2291">XLOOKUP(A2291,Data!F:F,Data!O:O)</f>
        <v>  0.99 </v>
      </c>
      <c r="P2291" s="107" t="str">
        <f t="shared" si="8"/>
        <v>  2.48 </v>
      </c>
      <c r="Q2291" s="27"/>
    </row>
    <row r="2292" ht="15.75" customHeight="1">
      <c r="A2292" s="111" t="s">
        <v>2536</v>
      </c>
      <c r="B2292" s="19" t="str">
        <f t="array" ref="B2292">XLOOKUP(A2292,Data!F:F,Data!G:G)</f>
        <v>J3C</v>
      </c>
      <c r="C2292" s="19" t="str">
        <f t="shared" si="3"/>
        <v>J062</v>
      </c>
      <c r="D2292" s="19" t="str">
        <f t="array" ref="D2292">XLOOKUP(A2292,Data!F:F,Data!C:C)</f>
        <v>EXT</v>
      </c>
      <c r="E2292" s="19" t="str">
        <f t="array" ref="E2292">XLOOKUP(A2292,Data!F:F,Data!H:H)</f>
        <v>BW</v>
      </c>
      <c r="F2292" s="106" t="str">
        <f>SUMIFS(Data!J:J,Data!F:F,A2292)</f>
        <v>1</v>
      </c>
      <c r="G2292" s="106" t="str">
        <f>SUMIFS(Cast!C:C,CastElements,A2292)</f>
        <v>0</v>
      </c>
      <c r="H2292" s="106" t="str">
        <f t="shared" si="4"/>
        <v>1</v>
      </c>
      <c r="I2292" s="106" t="str">
        <f>SUMIFS(Del!C:C,Del!B:B,A2292)</f>
        <v>0</v>
      </c>
      <c r="J2292" s="106" t="str">
        <f t="shared" si="5"/>
        <v>1</v>
      </c>
      <c r="K2292" s="106" t="str">
        <f t="shared" si="6"/>
        <v>0</v>
      </c>
      <c r="L2292" s="106"/>
      <c r="M2292" s="106" t="str">
        <f>SUMIFS(Ere!C:C,Ere!B:B,A2292)</f>
        <v>0</v>
      </c>
      <c r="N2292" s="106" t="str">
        <f t="shared" si="7"/>
        <v>1</v>
      </c>
      <c r="O2292" s="107" t="str">
        <f t="array" ref="O2292">XLOOKUP(A2292,Data!F:F,Data!O:O)</f>
        <v>  0.79 </v>
      </c>
      <c r="P2292" s="107" t="str">
        <f t="shared" si="8"/>
        <v>  1.98 </v>
      </c>
      <c r="Q2292" s="27"/>
    </row>
    <row r="2293" ht="15.75" customHeight="1">
      <c r="A2293" s="111" t="s">
        <v>2537</v>
      </c>
      <c r="B2293" s="19" t="str">
        <f t="array" ref="B2293">XLOOKUP(A2293,Data!F:F,Data!G:G)</f>
        <v>J3C</v>
      </c>
      <c r="C2293" s="19" t="str">
        <f t="shared" si="3"/>
        <v>J062</v>
      </c>
      <c r="D2293" s="19" t="str">
        <f t="array" ref="D2293">XLOOKUP(A2293,Data!F:F,Data!C:C)</f>
        <v/>
      </c>
      <c r="E2293" s="19" t="str">
        <f t="array" ref="E2293">XLOOKUP(A2293,Data!F:F,Data!H:H)</f>
        <v>BW</v>
      </c>
      <c r="F2293" s="106" t="str">
        <f>SUMIFS(Data!J:J,Data!F:F,A2293)</f>
        <v>1</v>
      </c>
      <c r="G2293" s="106" t="str">
        <f>SUMIFS(Cast!C:C,CastElements,A2293)</f>
        <v>1</v>
      </c>
      <c r="H2293" s="106" t="str">
        <f t="shared" si="4"/>
        <v>0</v>
      </c>
      <c r="I2293" s="106" t="str">
        <f>SUMIFS(Del!C:C,Del!B:B,A2293)</f>
        <v>0</v>
      </c>
      <c r="J2293" s="106" t="str">
        <f t="shared" si="5"/>
        <v>1</v>
      </c>
      <c r="K2293" s="106" t="str">
        <f t="shared" si="6"/>
        <v>1</v>
      </c>
      <c r="L2293" s="106"/>
      <c r="M2293" s="106" t="str">
        <f>SUMIFS(Ere!C:C,Ere!B:B,A2293)</f>
        <v>0</v>
      </c>
      <c r="N2293" s="106" t="str">
        <f t="shared" si="7"/>
        <v>1</v>
      </c>
      <c r="O2293" s="107" t="str">
        <f t="array" ref="O2293">XLOOKUP(A2293,Data!F:F,Data!O:O)</f>
        <v>  1.78 </v>
      </c>
      <c r="P2293" s="107" t="str">
        <f t="shared" si="8"/>
        <v>  4.46 </v>
      </c>
      <c r="Q2293" s="27"/>
    </row>
    <row r="2294" ht="15.75" customHeight="1">
      <c r="A2294" s="111" t="s">
        <v>2538</v>
      </c>
      <c r="B2294" s="19" t="str">
        <f t="array" ref="B2294">XLOOKUP(A2294,Data!F:F,Data!G:G)</f>
        <v>J3C</v>
      </c>
      <c r="C2294" s="19" t="str">
        <f t="shared" si="3"/>
        <v>J062</v>
      </c>
      <c r="D2294" s="19" t="str">
        <f t="array" ref="D2294">XLOOKUP(A2294,Data!F:F,Data!C:C)</f>
        <v/>
      </c>
      <c r="E2294" s="19" t="str">
        <f t="array" ref="E2294">XLOOKUP(A2294,Data!F:F,Data!H:H)</f>
        <v>BW</v>
      </c>
      <c r="F2294" s="106" t="str">
        <f>SUMIFS(Data!J:J,Data!F:F,A2294)</f>
        <v>1</v>
      </c>
      <c r="G2294" s="106" t="str">
        <f>SUMIFS(Cast!C:C,CastElements,A2294)</f>
        <v>1</v>
      </c>
      <c r="H2294" s="106" t="str">
        <f t="shared" si="4"/>
        <v>0</v>
      </c>
      <c r="I2294" s="106" t="str">
        <f>SUMIFS(Del!C:C,Del!B:B,A2294)</f>
        <v>0</v>
      </c>
      <c r="J2294" s="106" t="str">
        <f t="shared" si="5"/>
        <v>1</v>
      </c>
      <c r="K2294" s="106" t="str">
        <f t="shared" si="6"/>
        <v>1</v>
      </c>
      <c r="L2294" s="106"/>
      <c r="M2294" s="106" t="str">
        <f>SUMIFS(Ere!C:C,Ere!B:B,A2294)</f>
        <v>0</v>
      </c>
      <c r="N2294" s="106" t="str">
        <f t="shared" si="7"/>
        <v>1</v>
      </c>
      <c r="O2294" s="107" t="str">
        <f t="array" ref="O2294">XLOOKUP(A2294,Data!F:F,Data!O:O)</f>
        <v>  1.78 </v>
      </c>
      <c r="P2294" s="107" t="str">
        <f t="shared" si="8"/>
        <v>  4.46 </v>
      </c>
      <c r="Q2294" s="27"/>
    </row>
    <row r="2295" ht="15.75" customHeight="1">
      <c r="A2295" s="111" t="s">
        <v>2539</v>
      </c>
      <c r="B2295" s="19" t="str">
        <f t="array" ref="B2295">XLOOKUP(A2295,Data!F:F,Data!G:G)</f>
        <v>J3C</v>
      </c>
      <c r="C2295" s="19" t="str">
        <f t="shared" si="3"/>
        <v>J062</v>
      </c>
      <c r="D2295" s="19" t="str">
        <f t="array" ref="D2295">XLOOKUP(A2295,Data!F:F,Data!C:C)</f>
        <v/>
      </c>
      <c r="E2295" s="19" t="str">
        <f t="array" ref="E2295">XLOOKUP(A2295,Data!F:F,Data!H:H)</f>
        <v>BW</v>
      </c>
      <c r="F2295" s="106" t="str">
        <f>SUMIFS(Data!J:J,Data!F:F,A2295)</f>
        <v>1</v>
      </c>
      <c r="G2295" s="106" t="str">
        <f>SUMIFS(Cast!C:C,CastElements,A2295)</f>
        <v>1</v>
      </c>
      <c r="H2295" s="106" t="str">
        <f t="shared" si="4"/>
        <v>0</v>
      </c>
      <c r="I2295" s="106" t="str">
        <f>SUMIFS(Del!C:C,Del!B:B,A2295)</f>
        <v>0</v>
      </c>
      <c r="J2295" s="106" t="str">
        <f t="shared" si="5"/>
        <v>1</v>
      </c>
      <c r="K2295" s="106" t="str">
        <f t="shared" si="6"/>
        <v>1</v>
      </c>
      <c r="L2295" s="106"/>
      <c r="M2295" s="106" t="str">
        <f>SUMIFS(Ere!C:C,Ere!B:B,A2295)</f>
        <v>0</v>
      </c>
      <c r="N2295" s="106" t="str">
        <f t="shared" si="7"/>
        <v>1</v>
      </c>
      <c r="O2295" s="107" t="str">
        <f t="array" ref="O2295">XLOOKUP(A2295,Data!F:F,Data!O:O)</f>
        <v>  1.78 </v>
      </c>
      <c r="P2295" s="107" t="str">
        <f t="shared" si="8"/>
        <v>  4.46 </v>
      </c>
      <c r="Q2295" s="27"/>
    </row>
    <row r="2296" ht="15.75" customHeight="1">
      <c r="A2296" s="111" t="s">
        <v>2540</v>
      </c>
      <c r="B2296" s="19" t="str">
        <f t="array" ref="B2296">XLOOKUP(A2296,Data!F:F,Data!G:G)</f>
        <v>J3C</v>
      </c>
      <c r="C2296" s="19" t="str">
        <f t="shared" si="3"/>
        <v>J062</v>
      </c>
      <c r="D2296" s="19" t="str">
        <f t="array" ref="D2296">XLOOKUP(A2296,Data!F:F,Data!C:C)</f>
        <v/>
      </c>
      <c r="E2296" s="19" t="str">
        <f t="array" ref="E2296">XLOOKUP(A2296,Data!F:F,Data!H:H)</f>
        <v>BW</v>
      </c>
      <c r="F2296" s="106" t="str">
        <f>SUMIFS(Data!J:J,Data!F:F,A2296)</f>
        <v>1</v>
      </c>
      <c r="G2296" s="106" t="str">
        <f>SUMIFS(Cast!C:C,CastElements,A2296)</f>
        <v>1</v>
      </c>
      <c r="H2296" s="106" t="str">
        <f t="shared" si="4"/>
        <v>0</v>
      </c>
      <c r="I2296" s="106" t="str">
        <f>SUMIFS(Del!C:C,Del!B:B,A2296)</f>
        <v>0</v>
      </c>
      <c r="J2296" s="106" t="str">
        <f t="shared" si="5"/>
        <v>1</v>
      </c>
      <c r="K2296" s="106" t="str">
        <f t="shared" si="6"/>
        <v>1</v>
      </c>
      <c r="L2296" s="106"/>
      <c r="M2296" s="106" t="str">
        <f>SUMIFS(Ere!C:C,Ere!B:B,A2296)</f>
        <v>0</v>
      </c>
      <c r="N2296" s="106" t="str">
        <f t="shared" si="7"/>
        <v>1</v>
      </c>
      <c r="O2296" s="107" t="str">
        <f t="array" ref="O2296">XLOOKUP(A2296,Data!F:F,Data!O:O)</f>
        <v>  1.50 </v>
      </c>
      <c r="P2296" s="107" t="str">
        <f t="shared" si="8"/>
        <v>  3.74 </v>
      </c>
      <c r="Q2296" s="27"/>
    </row>
    <row r="2297" ht="15.75" customHeight="1">
      <c r="A2297" s="111" t="s">
        <v>2541</v>
      </c>
      <c r="B2297" s="19" t="str">
        <f t="array" ref="B2297">XLOOKUP(A2297,Data!F:F,Data!G:G)</f>
        <v>J3C</v>
      </c>
      <c r="C2297" s="19" t="str">
        <f t="shared" si="3"/>
        <v>J062</v>
      </c>
      <c r="D2297" s="19" t="str">
        <f t="array" ref="D2297">XLOOKUP(A2297,Data!F:F,Data!C:C)</f>
        <v/>
      </c>
      <c r="E2297" s="19" t="str">
        <f t="array" ref="E2297">XLOOKUP(A2297,Data!F:F,Data!H:H)</f>
        <v>BW</v>
      </c>
      <c r="F2297" s="106" t="str">
        <f>SUMIFS(Data!J:J,Data!F:F,A2297)</f>
        <v>1</v>
      </c>
      <c r="G2297" s="106" t="str">
        <f>SUMIFS(Cast!C:C,CastElements,A2297)</f>
        <v>0</v>
      </c>
      <c r="H2297" s="106" t="str">
        <f t="shared" si="4"/>
        <v>1</v>
      </c>
      <c r="I2297" s="106" t="str">
        <f>SUMIFS(Del!C:C,Del!B:B,A2297)</f>
        <v>0</v>
      </c>
      <c r="J2297" s="106" t="str">
        <f t="shared" si="5"/>
        <v>1</v>
      </c>
      <c r="K2297" s="106" t="str">
        <f t="shared" si="6"/>
        <v>0</v>
      </c>
      <c r="L2297" s="106"/>
      <c r="M2297" s="106" t="str">
        <f>SUMIFS(Ere!C:C,Ere!B:B,A2297)</f>
        <v>0</v>
      </c>
      <c r="N2297" s="106" t="str">
        <f t="shared" si="7"/>
        <v>1</v>
      </c>
      <c r="O2297" s="107" t="str">
        <f t="array" ref="O2297">XLOOKUP(A2297,Data!F:F,Data!O:O)</f>
        <v>  0.34 </v>
      </c>
      <c r="P2297" s="107" t="str">
        <f t="shared" si="8"/>
        <v>  0.85 </v>
      </c>
      <c r="Q2297" s="27"/>
    </row>
    <row r="2298" ht="15.75" customHeight="1">
      <c r="A2298" s="111" t="s">
        <v>2542</v>
      </c>
      <c r="B2298" s="19" t="str">
        <f t="array" ref="B2298">XLOOKUP(A2298,Data!F:F,Data!G:G)</f>
        <v>J3C</v>
      </c>
      <c r="C2298" s="19" t="str">
        <f t="shared" si="3"/>
        <v>J062</v>
      </c>
      <c r="D2298" s="19" t="str">
        <f t="array" ref="D2298">XLOOKUP(A2298,Data!F:F,Data!C:C)</f>
        <v/>
      </c>
      <c r="E2298" s="19" t="str">
        <f t="array" ref="E2298">XLOOKUP(A2298,Data!F:F,Data!H:H)</f>
        <v>BW</v>
      </c>
      <c r="F2298" s="106" t="str">
        <f>SUMIFS(Data!J:J,Data!F:F,A2298)</f>
        <v>1</v>
      </c>
      <c r="G2298" s="106" t="str">
        <f>SUMIFS(Cast!C:C,CastElements,A2298)</f>
        <v>0</v>
      </c>
      <c r="H2298" s="106" t="str">
        <f t="shared" si="4"/>
        <v>1</v>
      </c>
      <c r="I2298" s="106" t="str">
        <f>SUMIFS(Del!C:C,Del!B:B,A2298)</f>
        <v>0</v>
      </c>
      <c r="J2298" s="106" t="str">
        <f t="shared" si="5"/>
        <v>1</v>
      </c>
      <c r="K2298" s="106" t="str">
        <f t="shared" si="6"/>
        <v>0</v>
      </c>
      <c r="L2298" s="106"/>
      <c r="M2298" s="106" t="str">
        <f>SUMIFS(Ere!C:C,Ere!B:B,A2298)</f>
        <v>0</v>
      </c>
      <c r="N2298" s="106" t="str">
        <f t="shared" si="7"/>
        <v>1</v>
      </c>
      <c r="O2298" s="107" t="str">
        <f t="array" ref="O2298">XLOOKUP(A2298,Data!F:F,Data!O:O)</f>
        <v>  1.70 </v>
      </c>
      <c r="P2298" s="107" t="str">
        <f t="shared" si="8"/>
        <v>  4.25 </v>
      </c>
      <c r="Q2298" s="27"/>
    </row>
    <row r="2299" ht="15.75" customHeight="1">
      <c r="A2299" s="111" t="s">
        <v>2543</v>
      </c>
      <c r="B2299" s="19" t="str">
        <f t="array" ref="B2299">XLOOKUP(A2299,Data!F:F,Data!G:G)</f>
        <v>J3C</v>
      </c>
      <c r="C2299" s="19" t="str">
        <f t="shared" si="3"/>
        <v>J062</v>
      </c>
      <c r="D2299" s="19" t="str">
        <f t="array" ref="D2299">XLOOKUP(A2299,Data!F:F,Data!C:C)</f>
        <v/>
      </c>
      <c r="E2299" s="19" t="str">
        <f t="array" ref="E2299">XLOOKUP(A2299,Data!F:F,Data!H:H)</f>
        <v>BW</v>
      </c>
      <c r="F2299" s="106" t="str">
        <f>SUMIFS(Data!J:J,Data!F:F,A2299)</f>
        <v>1</v>
      </c>
      <c r="G2299" s="106" t="str">
        <f>SUMIFS(Cast!C:C,CastElements,A2299)</f>
        <v>0</v>
      </c>
      <c r="H2299" s="106" t="str">
        <f t="shared" si="4"/>
        <v>1</v>
      </c>
      <c r="I2299" s="106" t="str">
        <f>SUMIFS(Del!C:C,Del!B:B,A2299)</f>
        <v>0</v>
      </c>
      <c r="J2299" s="106" t="str">
        <f t="shared" si="5"/>
        <v>1</v>
      </c>
      <c r="K2299" s="106" t="str">
        <f t="shared" si="6"/>
        <v>0</v>
      </c>
      <c r="L2299" s="106"/>
      <c r="M2299" s="106" t="str">
        <f>SUMIFS(Ere!C:C,Ere!B:B,A2299)</f>
        <v>0</v>
      </c>
      <c r="N2299" s="106" t="str">
        <f t="shared" si="7"/>
        <v>1</v>
      </c>
      <c r="O2299" s="107" t="str">
        <f t="array" ref="O2299">XLOOKUP(A2299,Data!F:F,Data!O:O)</f>
        <v>  1.91 </v>
      </c>
      <c r="P2299" s="107" t="str">
        <f t="shared" si="8"/>
        <v>  4.79 </v>
      </c>
      <c r="Q2299" s="27"/>
    </row>
    <row r="2300" ht="15.75" customHeight="1">
      <c r="A2300" s="111" t="s">
        <v>2544</v>
      </c>
      <c r="B2300" s="19" t="str">
        <f t="array" ref="B2300">XLOOKUP(A2300,Data!F:F,Data!G:G)</f>
        <v>J3C</v>
      </c>
      <c r="C2300" s="19" t="str">
        <f t="shared" si="3"/>
        <v>J062</v>
      </c>
      <c r="D2300" s="19" t="str">
        <f t="array" ref="D2300">XLOOKUP(A2300,Data!F:F,Data!C:C)</f>
        <v/>
      </c>
      <c r="E2300" s="19" t="str">
        <f t="array" ref="E2300">XLOOKUP(A2300,Data!F:F,Data!H:H)</f>
        <v>BW</v>
      </c>
      <c r="F2300" s="106" t="str">
        <f>SUMIFS(Data!J:J,Data!F:F,A2300)</f>
        <v>1</v>
      </c>
      <c r="G2300" s="106" t="str">
        <f>SUMIFS(Cast!C:C,CastElements,A2300)</f>
        <v>1</v>
      </c>
      <c r="H2300" s="106" t="str">
        <f t="shared" si="4"/>
        <v>0</v>
      </c>
      <c r="I2300" s="106" t="str">
        <f>SUMIFS(Del!C:C,Del!B:B,A2300)</f>
        <v>0</v>
      </c>
      <c r="J2300" s="106" t="str">
        <f t="shared" si="5"/>
        <v>1</v>
      </c>
      <c r="K2300" s="106" t="str">
        <f t="shared" si="6"/>
        <v>1</v>
      </c>
      <c r="L2300" s="106"/>
      <c r="M2300" s="106" t="str">
        <f>SUMIFS(Ere!C:C,Ere!B:B,A2300)</f>
        <v>0</v>
      </c>
      <c r="N2300" s="106" t="str">
        <f t="shared" si="7"/>
        <v>1</v>
      </c>
      <c r="O2300" s="107" t="str">
        <f t="array" ref="O2300">XLOOKUP(A2300,Data!F:F,Data!O:O)</f>
        <v>  1.78 </v>
      </c>
      <c r="P2300" s="107" t="str">
        <f t="shared" si="8"/>
        <v>  4.46 </v>
      </c>
      <c r="Q2300" s="27"/>
    </row>
    <row r="2301" ht="15.75" customHeight="1">
      <c r="A2301" s="111" t="s">
        <v>2545</v>
      </c>
      <c r="B2301" s="19" t="str">
        <f t="array" ref="B2301">XLOOKUP(A2301,Data!F:F,Data!G:G)</f>
        <v>J3C</v>
      </c>
      <c r="C2301" s="19" t="str">
        <f t="shared" si="3"/>
        <v>J062</v>
      </c>
      <c r="D2301" s="19" t="str">
        <f t="array" ref="D2301">XLOOKUP(A2301,Data!F:F,Data!C:C)</f>
        <v/>
      </c>
      <c r="E2301" s="19" t="str">
        <f t="array" ref="E2301">XLOOKUP(A2301,Data!F:F,Data!H:H)</f>
        <v>BW</v>
      </c>
      <c r="F2301" s="106" t="str">
        <f>SUMIFS(Data!J:J,Data!F:F,A2301)</f>
        <v>1</v>
      </c>
      <c r="G2301" s="106" t="str">
        <f>SUMIFS(Cast!C:C,CastElements,A2301)</f>
        <v>1</v>
      </c>
      <c r="H2301" s="106" t="str">
        <f t="shared" si="4"/>
        <v>0</v>
      </c>
      <c r="I2301" s="106" t="str">
        <f>SUMIFS(Del!C:C,Del!B:B,A2301)</f>
        <v>0</v>
      </c>
      <c r="J2301" s="106" t="str">
        <f t="shared" si="5"/>
        <v>1</v>
      </c>
      <c r="K2301" s="106" t="str">
        <f t="shared" si="6"/>
        <v>1</v>
      </c>
      <c r="L2301" s="106"/>
      <c r="M2301" s="106" t="str">
        <f>SUMIFS(Ere!C:C,Ere!B:B,A2301)</f>
        <v>0</v>
      </c>
      <c r="N2301" s="106" t="str">
        <f t="shared" si="7"/>
        <v>1</v>
      </c>
      <c r="O2301" s="107" t="str">
        <f t="array" ref="O2301">XLOOKUP(A2301,Data!F:F,Data!O:O)</f>
        <v>  1.78 </v>
      </c>
      <c r="P2301" s="107" t="str">
        <f t="shared" si="8"/>
        <v>  4.46 </v>
      </c>
      <c r="Q2301" s="27"/>
    </row>
    <row r="2302" ht="15.75" customHeight="1">
      <c r="A2302" s="111" t="s">
        <v>2546</v>
      </c>
      <c r="B2302" s="19" t="str">
        <f t="array" ref="B2302">XLOOKUP(A2302,Data!F:F,Data!G:G)</f>
        <v>J3C</v>
      </c>
      <c r="C2302" s="19" t="str">
        <f t="shared" si="3"/>
        <v>J062</v>
      </c>
      <c r="D2302" s="19" t="str">
        <f t="array" ref="D2302">XLOOKUP(A2302,Data!F:F,Data!C:C)</f>
        <v/>
      </c>
      <c r="E2302" s="19" t="str">
        <f t="array" ref="E2302">XLOOKUP(A2302,Data!F:F,Data!H:H)</f>
        <v>BW</v>
      </c>
      <c r="F2302" s="106" t="str">
        <f>SUMIFS(Data!J:J,Data!F:F,A2302)</f>
        <v>1</v>
      </c>
      <c r="G2302" s="106" t="str">
        <f>SUMIFS(Cast!C:C,CastElements,A2302)</f>
        <v>1</v>
      </c>
      <c r="H2302" s="106" t="str">
        <f t="shared" si="4"/>
        <v>0</v>
      </c>
      <c r="I2302" s="106" t="str">
        <f>SUMIFS(Del!C:C,Del!B:B,A2302)</f>
        <v>0</v>
      </c>
      <c r="J2302" s="106" t="str">
        <f t="shared" si="5"/>
        <v>1</v>
      </c>
      <c r="K2302" s="106" t="str">
        <f t="shared" si="6"/>
        <v>1</v>
      </c>
      <c r="L2302" s="106"/>
      <c r="M2302" s="106" t="str">
        <f>SUMIFS(Ere!C:C,Ere!B:B,A2302)</f>
        <v>0</v>
      </c>
      <c r="N2302" s="106" t="str">
        <f t="shared" si="7"/>
        <v>1</v>
      </c>
      <c r="O2302" s="107" t="str">
        <f t="array" ref="O2302">XLOOKUP(A2302,Data!F:F,Data!O:O)</f>
        <v>  1.78 </v>
      </c>
      <c r="P2302" s="107" t="str">
        <f t="shared" si="8"/>
        <v>  4.46 </v>
      </c>
      <c r="Q2302" s="27"/>
    </row>
    <row r="2303" ht="15.75" customHeight="1">
      <c r="A2303" s="111" t="s">
        <v>2547</v>
      </c>
      <c r="B2303" s="19" t="str">
        <f t="array" ref="B2303">XLOOKUP(A2303,Data!F:F,Data!G:G)</f>
        <v>J3C</v>
      </c>
      <c r="C2303" s="19" t="str">
        <f t="shared" si="3"/>
        <v>J062</v>
      </c>
      <c r="D2303" s="19" t="str">
        <f t="array" ref="D2303">XLOOKUP(A2303,Data!F:F,Data!C:C)</f>
        <v/>
      </c>
      <c r="E2303" s="19" t="str">
        <f t="array" ref="E2303">XLOOKUP(A2303,Data!F:F,Data!H:H)</f>
        <v>BW</v>
      </c>
      <c r="F2303" s="106" t="str">
        <f>SUMIFS(Data!J:J,Data!F:F,A2303)</f>
        <v>1</v>
      </c>
      <c r="G2303" s="106" t="str">
        <f>SUMIFS(Cast!C:C,CastElements,A2303)</f>
        <v>0</v>
      </c>
      <c r="H2303" s="106" t="str">
        <f t="shared" si="4"/>
        <v>1</v>
      </c>
      <c r="I2303" s="106" t="str">
        <f>SUMIFS(Del!C:C,Del!B:B,A2303)</f>
        <v>0</v>
      </c>
      <c r="J2303" s="106" t="str">
        <f t="shared" si="5"/>
        <v>1</v>
      </c>
      <c r="K2303" s="106" t="str">
        <f t="shared" si="6"/>
        <v>0</v>
      </c>
      <c r="L2303" s="106"/>
      <c r="M2303" s="106" t="str">
        <f>SUMIFS(Ere!C:C,Ere!B:B,A2303)</f>
        <v>0</v>
      </c>
      <c r="N2303" s="106" t="str">
        <f t="shared" si="7"/>
        <v>1</v>
      </c>
      <c r="O2303" s="107" t="str">
        <f t="array" ref="O2303">XLOOKUP(A2303,Data!F:F,Data!O:O)</f>
        <v>  1.51 </v>
      </c>
      <c r="P2303" s="107" t="str">
        <f t="shared" si="8"/>
        <v>  3.78 </v>
      </c>
      <c r="Q2303" s="27"/>
    </row>
    <row r="2304" ht="15.75" customHeight="1">
      <c r="A2304" s="111" t="s">
        <v>2548</v>
      </c>
      <c r="B2304" s="19" t="str">
        <f t="array" ref="B2304">XLOOKUP(A2304,Data!F:F,Data!G:G)</f>
        <v>J3C</v>
      </c>
      <c r="C2304" s="19" t="str">
        <f t="shared" si="3"/>
        <v>J062</v>
      </c>
      <c r="D2304" s="19" t="str">
        <f t="array" ref="D2304">XLOOKUP(A2304,Data!F:F,Data!C:C)</f>
        <v/>
      </c>
      <c r="E2304" s="19" t="str">
        <f t="array" ref="E2304">XLOOKUP(A2304,Data!F:F,Data!H:H)</f>
        <v>BW</v>
      </c>
      <c r="F2304" s="106" t="str">
        <f>SUMIFS(Data!J:J,Data!F:F,A2304)</f>
        <v>1</v>
      </c>
      <c r="G2304" s="106" t="str">
        <f>SUMIFS(Cast!C:C,CastElements,A2304)</f>
        <v>1</v>
      </c>
      <c r="H2304" s="106" t="str">
        <f t="shared" si="4"/>
        <v>0</v>
      </c>
      <c r="I2304" s="106" t="str">
        <f>SUMIFS(Del!C:C,Del!B:B,A2304)</f>
        <v>0</v>
      </c>
      <c r="J2304" s="106" t="str">
        <f t="shared" si="5"/>
        <v>1</v>
      </c>
      <c r="K2304" s="106" t="str">
        <f t="shared" si="6"/>
        <v>1</v>
      </c>
      <c r="L2304" s="106"/>
      <c r="M2304" s="106" t="str">
        <f>SUMIFS(Ere!C:C,Ere!B:B,A2304)</f>
        <v>0</v>
      </c>
      <c r="N2304" s="106" t="str">
        <f t="shared" si="7"/>
        <v>1</v>
      </c>
      <c r="O2304" s="107" t="str">
        <f t="array" ref="O2304">XLOOKUP(A2304,Data!F:F,Data!O:O)</f>
        <v>  0.43 </v>
      </c>
      <c r="P2304" s="107" t="str">
        <f t="shared" si="8"/>
        <v>  1.07 </v>
      </c>
      <c r="Q2304" s="27"/>
    </row>
    <row r="2305" ht="15.75" customHeight="1">
      <c r="A2305" s="111" t="s">
        <v>2549</v>
      </c>
      <c r="B2305" s="19" t="str">
        <f t="array" ref="B2305">XLOOKUP(A2305,Data!F:F,Data!G:G)</f>
        <v>J3C</v>
      </c>
      <c r="C2305" s="19" t="str">
        <f t="shared" si="3"/>
        <v>J063</v>
      </c>
      <c r="D2305" s="19" t="str">
        <f t="array" ref="D2305">XLOOKUP(A2305,Data!F:F,Data!C:C)</f>
        <v>EXT</v>
      </c>
      <c r="E2305" s="19" t="str">
        <f t="array" ref="E2305">XLOOKUP(A2305,Data!F:F,Data!H:H)</f>
        <v>BW</v>
      </c>
      <c r="F2305" s="106" t="str">
        <f>SUMIFS(Data!J:J,Data!F:F,A2305)</f>
        <v>1</v>
      </c>
      <c r="G2305" s="106" t="str">
        <f>SUMIFS(Cast!C:C,CastElements,A2305)</f>
        <v>0</v>
      </c>
      <c r="H2305" s="106" t="str">
        <f t="shared" si="4"/>
        <v>1</v>
      </c>
      <c r="I2305" s="106" t="str">
        <f>SUMIFS(Del!C:C,Del!B:B,A2305)</f>
        <v>0</v>
      </c>
      <c r="J2305" s="106" t="str">
        <f t="shared" si="5"/>
        <v>1</v>
      </c>
      <c r="K2305" s="106" t="str">
        <f t="shared" si="6"/>
        <v>0</v>
      </c>
      <c r="L2305" s="106"/>
      <c r="M2305" s="106" t="str">
        <f>SUMIFS(Ere!C:C,Ere!B:B,A2305)</f>
        <v>0</v>
      </c>
      <c r="N2305" s="106" t="str">
        <f t="shared" si="7"/>
        <v>1</v>
      </c>
      <c r="O2305" s="107" t="str">
        <f t="array" ref="O2305">XLOOKUP(A2305,Data!F:F,Data!O:O)</f>
        <v>  1.13 </v>
      </c>
      <c r="P2305" s="107" t="str">
        <f t="shared" si="8"/>
        <v>  2.83 </v>
      </c>
      <c r="Q2305" s="27"/>
    </row>
    <row r="2306" ht="15.75" customHeight="1">
      <c r="A2306" s="111" t="s">
        <v>2550</v>
      </c>
      <c r="B2306" s="19" t="str">
        <f t="array" ref="B2306">XLOOKUP(A2306,Data!F:F,Data!G:G)</f>
        <v>J3C</v>
      </c>
      <c r="C2306" s="19" t="str">
        <f t="shared" si="3"/>
        <v>J063</v>
      </c>
      <c r="D2306" s="19" t="str">
        <f t="array" ref="D2306">XLOOKUP(A2306,Data!F:F,Data!C:C)</f>
        <v>EXT</v>
      </c>
      <c r="E2306" s="19" t="str">
        <f t="array" ref="E2306">XLOOKUP(A2306,Data!F:F,Data!H:H)</f>
        <v>BW</v>
      </c>
      <c r="F2306" s="106" t="str">
        <f>SUMIFS(Data!J:J,Data!F:F,A2306)</f>
        <v>1</v>
      </c>
      <c r="G2306" s="106" t="str">
        <f>SUMIFS(Cast!C:C,CastElements,A2306)</f>
        <v>0</v>
      </c>
      <c r="H2306" s="106" t="str">
        <f t="shared" si="4"/>
        <v>1</v>
      </c>
      <c r="I2306" s="106" t="str">
        <f>SUMIFS(Del!C:C,Del!B:B,A2306)</f>
        <v>0</v>
      </c>
      <c r="J2306" s="106" t="str">
        <f t="shared" si="5"/>
        <v>1</v>
      </c>
      <c r="K2306" s="106" t="str">
        <f t="shared" si="6"/>
        <v>0</v>
      </c>
      <c r="L2306" s="106"/>
      <c r="M2306" s="106" t="str">
        <f>SUMIFS(Ere!C:C,Ere!B:B,A2306)</f>
        <v>0</v>
      </c>
      <c r="N2306" s="106" t="str">
        <f t="shared" si="7"/>
        <v>1</v>
      </c>
      <c r="O2306" s="107" t="str">
        <f t="array" ref="O2306">XLOOKUP(A2306,Data!F:F,Data!O:O)</f>
        <v>  0.99 </v>
      </c>
      <c r="P2306" s="107" t="str">
        <f t="shared" si="8"/>
        <v>  2.48 </v>
      </c>
      <c r="Q2306" s="27"/>
    </row>
    <row r="2307" ht="15.75" customHeight="1">
      <c r="A2307" s="111" t="s">
        <v>2551</v>
      </c>
      <c r="B2307" s="19" t="str">
        <f t="array" ref="B2307">XLOOKUP(A2307,Data!F:F,Data!G:G)</f>
        <v>J3C</v>
      </c>
      <c r="C2307" s="19" t="str">
        <f t="shared" si="3"/>
        <v>J063</v>
      </c>
      <c r="D2307" s="19" t="str">
        <f t="array" ref="D2307">XLOOKUP(A2307,Data!F:F,Data!C:C)</f>
        <v/>
      </c>
      <c r="E2307" s="19" t="str">
        <f t="array" ref="E2307">XLOOKUP(A2307,Data!F:F,Data!H:H)</f>
        <v>BW</v>
      </c>
      <c r="F2307" s="106" t="str">
        <f>SUMIFS(Data!J:J,Data!F:F,A2307)</f>
        <v>1</v>
      </c>
      <c r="G2307" s="106" t="str">
        <f>SUMIFS(Cast!C:C,CastElements,A2307)</f>
        <v>1</v>
      </c>
      <c r="H2307" s="106" t="str">
        <f t="shared" si="4"/>
        <v>0</v>
      </c>
      <c r="I2307" s="106" t="str">
        <f>SUMIFS(Del!C:C,Del!B:B,A2307)</f>
        <v>0</v>
      </c>
      <c r="J2307" s="106" t="str">
        <f t="shared" si="5"/>
        <v>1</v>
      </c>
      <c r="K2307" s="106" t="str">
        <f t="shared" si="6"/>
        <v>1</v>
      </c>
      <c r="L2307" s="106"/>
      <c r="M2307" s="106" t="str">
        <f>SUMIFS(Ere!C:C,Ere!B:B,A2307)</f>
        <v>0</v>
      </c>
      <c r="N2307" s="106" t="str">
        <f t="shared" si="7"/>
        <v>1</v>
      </c>
      <c r="O2307" s="107" t="str">
        <f t="array" ref="O2307">XLOOKUP(A2307,Data!F:F,Data!O:O)</f>
        <v>  1.78 </v>
      </c>
      <c r="P2307" s="107" t="str">
        <f t="shared" si="8"/>
        <v>  4.46 </v>
      </c>
      <c r="Q2307" s="27"/>
    </row>
    <row r="2308" ht="15.75" customHeight="1">
      <c r="A2308" s="111" t="s">
        <v>2552</v>
      </c>
      <c r="B2308" s="19" t="str">
        <f t="array" ref="B2308">XLOOKUP(A2308,Data!F:F,Data!G:G)</f>
        <v>J3C</v>
      </c>
      <c r="C2308" s="19" t="str">
        <f t="shared" si="3"/>
        <v>J063</v>
      </c>
      <c r="D2308" s="19" t="str">
        <f t="array" ref="D2308">XLOOKUP(A2308,Data!F:F,Data!C:C)</f>
        <v/>
      </c>
      <c r="E2308" s="19" t="str">
        <f t="array" ref="E2308">XLOOKUP(A2308,Data!F:F,Data!H:H)</f>
        <v>BW</v>
      </c>
      <c r="F2308" s="106" t="str">
        <f>SUMIFS(Data!J:J,Data!F:F,A2308)</f>
        <v>1</v>
      </c>
      <c r="G2308" s="106" t="str">
        <f>SUMIFS(Cast!C:C,CastElements,A2308)</f>
        <v>0</v>
      </c>
      <c r="H2308" s="106" t="str">
        <f t="shared" si="4"/>
        <v>1</v>
      </c>
      <c r="I2308" s="106" t="str">
        <f>SUMIFS(Del!C:C,Del!B:B,A2308)</f>
        <v>0</v>
      </c>
      <c r="J2308" s="106" t="str">
        <f t="shared" si="5"/>
        <v>1</v>
      </c>
      <c r="K2308" s="106" t="str">
        <f t="shared" si="6"/>
        <v>0</v>
      </c>
      <c r="L2308" s="106"/>
      <c r="M2308" s="106" t="str">
        <f>SUMIFS(Ere!C:C,Ere!B:B,A2308)</f>
        <v>0</v>
      </c>
      <c r="N2308" s="106" t="str">
        <f t="shared" si="7"/>
        <v>1</v>
      </c>
      <c r="O2308" s="107" t="str">
        <f t="array" ref="O2308">XLOOKUP(A2308,Data!F:F,Data!O:O)</f>
        <v>  1.78 </v>
      </c>
      <c r="P2308" s="107" t="str">
        <f t="shared" si="8"/>
        <v>  4.46 </v>
      </c>
      <c r="Q2308" s="27"/>
    </row>
    <row r="2309" ht="15.75" customHeight="1">
      <c r="A2309" s="111" t="s">
        <v>2553</v>
      </c>
      <c r="B2309" s="19" t="str">
        <f t="array" ref="B2309">XLOOKUP(A2309,Data!F:F,Data!G:G)</f>
        <v>J3C</v>
      </c>
      <c r="C2309" s="19" t="str">
        <f t="shared" si="3"/>
        <v>J063</v>
      </c>
      <c r="D2309" s="19" t="str">
        <f t="array" ref="D2309">XLOOKUP(A2309,Data!F:F,Data!C:C)</f>
        <v/>
      </c>
      <c r="E2309" s="19" t="str">
        <f t="array" ref="E2309">XLOOKUP(A2309,Data!F:F,Data!H:H)</f>
        <v>BW</v>
      </c>
      <c r="F2309" s="106" t="str">
        <f>SUMIFS(Data!J:J,Data!F:F,A2309)</f>
        <v>1</v>
      </c>
      <c r="G2309" s="106" t="str">
        <f>SUMIFS(Cast!C:C,CastElements,A2309)</f>
        <v>0</v>
      </c>
      <c r="H2309" s="106" t="str">
        <f t="shared" si="4"/>
        <v>1</v>
      </c>
      <c r="I2309" s="106" t="str">
        <f>SUMIFS(Del!C:C,Del!B:B,A2309)</f>
        <v>0</v>
      </c>
      <c r="J2309" s="106" t="str">
        <f t="shared" si="5"/>
        <v>1</v>
      </c>
      <c r="K2309" s="106" t="str">
        <f t="shared" si="6"/>
        <v>0</v>
      </c>
      <c r="L2309" s="106"/>
      <c r="M2309" s="106" t="str">
        <f>SUMIFS(Ere!C:C,Ere!B:B,A2309)</f>
        <v>0</v>
      </c>
      <c r="N2309" s="106" t="str">
        <f t="shared" si="7"/>
        <v>1</v>
      </c>
      <c r="O2309" s="107" t="str">
        <f t="array" ref="O2309">XLOOKUP(A2309,Data!F:F,Data!O:O)</f>
        <v>  1.78 </v>
      </c>
      <c r="P2309" s="107" t="str">
        <f t="shared" si="8"/>
        <v>  4.46 </v>
      </c>
      <c r="Q2309" s="27"/>
    </row>
    <row r="2310" ht="15.75" customHeight="1">
      <c r="A2310" s="111" t="s">
        <v>2554</v>
      </c>
      <c r="B2310" s="19" t="str">
        <f t="array" ref="B2310">XLOOKUP(A2310,Data!F:F,Data!G:G)</f>
        <v>J3C</v>
      </c>
      <c r="C2310" s="19" t="str">
        <f t="shared" si="3"/>
        <v>J063</v>
      </c>
      <c r="D2310" s="19" t="str">
        <f t="array" ref="D2310">XLOOKUP(A2310,Data!F:F,Data!C:C)</f>
        <v/>
      </c>
      <c r="E2310" s="19" t="str">
        <f t="array" ref="E2310">XLOOKUP(A2310,Data!F:F,Data!H:H)</f>
        <v>BW</v>
      </c>
      <c r="F2310" s="106" t="str">
        <f>SUMIFS(Data!J:J,Data!F:F,A2310)</f>
        <v>1</v>
      </c>
      <c r="G2310" s="106" t="str">
        <f>SUMIFS(Cast!C:C,CastElements,A2310)</f>
        <v>1</v>
      </c>
      <c r="H2310" s="106" t="str">
        <f t="shared" si="4"/>
        <v>0</v>
      </c>
      <c r="I2310" s="106" t="str">
        <f>SUMIFS(Del!C:C,Del!B:B,A2310)</f>
        <v>0</v>
      </c>
      <c r="J2310" s="106" t="str">
        <f t="shared" si="5"/>
        <v>1</v>
      </c>
      <c r="K2310" s="106" t="str">
        <f t="shared" si="6"/>
        <v>1</v>
      </c>
      <c r="L2310" s="106"/>
      <c r="M2310" s="106" t="str">
        <f>SUMIFS(Ere!C:C,Ere!B:B,A2310)</f>
        <v>0</v>
      </c>
      <c r="N2310" s="106" t="str">
        <f t="shared" si="7"/>
        <v>1</v>
      </c>
      <c r="O2310" s="107" t="str">
        <f t="array" ref="O2310">XLOOKUP(A2310,Data!F:F,Data!O:O)</f>
        <v>  1.50 </v>
      </c>
      <c r="P2310" s="107" t="str">
        <f t="shared" si="8"/>
        <v>  3.74 </v>
      </c>
      <c r="Q2310" s="27"/>
    </row>
    <row r="2311" ht="15.75" customHeight="1">
      <c r="A2311" s="111" t="s">
        <v>2555</v>
      </c>
      <c r="B2311" s="19" t="str">
        <f t="array" ref="B2311">XLOOKUP(A2311,Data!F:F,Data!G:G)</f>
        <v>J3C</v>
      </c>
      <c r="C2311" s="19" t="str">
        <f t="shared" si="3"/>
        <v>J063</v>
      </c>
      <c r="D2311" s="19" t="str">
        <f t="array" ref="D2311">XLOOKUP(A2311,Data!F:F,Data!C:C)</f>
        <v/>
      </c>
      <c r="E2311" s="19" t="str">
        <f t="array" ref="E2311">XLOOKUP(A2311,Data!F:F,Data!H:H)</f>
        <v>BW</v>
      </c>
      <c r="F2311" s="106" t="str">
        <f>SUMIFS(Data!J:J,Data!F:F,A2311)</f>
        <v>1</v>
      </c>
      <c r="G2311" s="106" t="str">
        <f>SUMIFS(Cast!C:C,CastElements,A2311)</f>
        <v>0</v>
      </c>
      <c r="H2311" s="106" t="str">
        <f t="shared" si="4"/>
        <v>1</v>
      </c>
      <c r="I2311" s="106" t="str">
        <f>SUMIFS(Del!C:C,Del!B:B,A2311)</f>
        <v>0</v>
      </c>
      <c r="J2311" s="106" t="str">
        <f t="shared" si="5"/>
        <v>1</v>
      </c>
      <c r="K2311" s="106" t="str">
        <f t="shared" si="6"/>
        <v>0</v>
      </c>
      <c r="L2311" s="106"/>
      <c r="M2311" s="106" t="str">
        <f>SUMIFS(Ere!C:C,Ere!B:B,A2311)</f>
        <v>0</v>
      </c>
      <c r="N2311" s="106" t="str">
        <f t="shared" si="7"/>
        <v>1</v>
      </c>
      <c r="O2311" s="107" t="str">
        <f t="array" ref="O2311">XLOOKUP(A2311,Data!F:F,Data!O:O)</f>
        <v>  1.78 </v>
      </c>
      <c r="P2311" s="107" t="str">
        <f t="shared" si="8"/>
        <v>  4.46 </v>
      </c>
      <c r="Q2311" s="27"/>
    </row>
    <row r="2312" ht="15.75" customHeight="1">
      <c r="A2312" s="111" t="s">
        <v>2556</v>
      </c>
      <c r="B2312" s="19" t="str">
        <f t="array" ref="B2312">XLOOKUP(A2312,Data!F:F,Data!G:G)</f>
        <v>J3C</v>
      </c>
      <c r="C2312" s="19" t="str">
        <f t="shared" si="3"/>
        <v>J063</v>
      </c>
      <c r="D2312" s="19" t="str">
        <f t="array" ref="D2312">XLOOKUP(A2312,Data!F:F,Data!C:C)</f>
        <v/>
      </c>
      <c r="E2312" s="19" t="str">
        <f t="array" ref="E2312">XLOOKUP(A2312,Data!F:F,Data!H:H)</f>
        <v>BW</v>
      </c>
      <c r="F2312" s="106" t="str">
        <f>SUMIFS(Data!J:J,Data!F:F,A2312)</f>
        <v>1</v>
      </c>
      <c r="G2312" s="106" t="str">
        <f>SUMIFS(Cast!C:C,CastElements,A2312)</f>
        <v>0</v>
      </c>
      <c r="H2312" s="106" t="str">
        <f t="shared" si="4"/>
        <v>1</v>
      </c>
      <c r="I2312" s="106" t="str">
        <f>SUMIFS(Del!C:C,Del!B:B,A2312)</f>
        <v>0</v>
      </c>
      <c r="J2312" s="106" t="str">
        <f t="shared" si="5"/>
        <v>1</v>
      </c>
      <c r="K2312" s="106" t="str">
        <f t="shared" si="6"/>
        <v>0</v>
      </c>
      <c r="L2312" s="106"/>
      <c r="M2312" s="106" t="str">
        <f>SUMIFS(Ere!C:C,Ere!B:B,A2312)</f>
        <v>0</v>
      </c>
      <c r="N2312" s="106" t="str">
        <f t="shared" si="7"/>
        <v>1</v>
      </c>
      <c r="O2312" s="107" t="str">
        <f t="array" ref="O2312">XLOOKUP(A2312,Data!F:F,Data!O:O)</f>
        <v>  1.78 </v>
      </c>
      <c r="P2312" s="107" t="str">
        <f t="shared" si="8"/>
        <v>  4.46 </v>
      </c>
      <c r="Q2312" s="27"/>
    </row>
    <row r="2313" ht="15.75" customHeight="1">
      <c r="A2313" s="111" t="s">
        <v>2557</v>
      </c>
      <c r="B2313" s="19" t="str">
        <f t="array" ref="B2313">XLOOKUP(A2313,Data!F:F,Data!G:G)</f>
        <v>J3C</v>
      </c>
      <c r="C2313" s="19" t="str">
        <f t="shared" si="3"/>
        <v>J063</v>
      </c>
      <c r="D2313" s="19" t="str">
        <f t="array" ref="D2313">XLOOKUP(A2313,Data!F:F,Data!C:C)</f>
        <v/>
      </c>
      <c r="E2313" s="19" t="str">
        <f t="array" ref="E2313">XLOOKUP(A2313,Data!F:F,Data!H:H)</f>
        <v>BW</v>
      </c>
      <c r="F2313" s="106" t="str">
        <f>SUMIFS(Data!J:J,Data!F:F,A2313)</f>
        <v>1</v>
      </c>
      <c r="G2313" s="106" t="str">
        <f>SUMIFS(Cast!C:C,CastElements,A2313)</f>
        <v>0</v>
      </c>
      <c r="H2313" s="106" t="str">
        <f t="shared" si="4"/>
        <v>1</v>
      </c>
      <c r="I2313" s="106" t="str">
        <f>SUMIFS(Del!C:C,Del!B:B,A2313)</f>
        <v>0</v>
      </c>
      <c r="J2313" s="106" t="str">
        <f t="shared" si="5"/>
        <v>1</v>
      </c>
      <c r="K2313" s="106" t="str">
        <f t="shared" si="6"/>
        <v>0</v>
      </c>
      <c r="L2313" s="106"/>
      <c r="M2313" s="106" t="str">
        <f>SUMIFS(Ere!C:C,Ere!B:B,A2313)</f>
        <v>0</v>
      </c>
      <c r="N2313" s="106" t="str">
        <f t="shared" si="7"/>
        <v>1</v>
      </c>
      <c r="O2313" s="107" t="str">
        <f t="array" ref="O2313">XLOOKUP(A2313,Data!F:F,Data!O:O)</f>
        <v>  1.78 </v>
      </c>
      <c r="P2313" s="107" t="str">
        <f t="shared" si="8"/>
        <v>  4.46 </v>
      </c>
      <c r="Q2313" s="27"/>
    </row>
    <row r="2314" ht="15.75" customHeight="1">
      <c r="A2314" s="111" t="s">
        <v>2558</v>
      </c>
      <c r="B2314" s="19" t="str">
        <f t="array" ref="B2314">XLOOKUP(A2314,Data!F:F,Data!G:G)</f>
        <v>J3C</v>
      </c>
      <c r="C2314" s="19" t="str">
        <f t="shared" si="3"/>
        <v>J063</v>
      </c>
      <c r="D2314" s="19" t="str">
        <f t="array" ref="D2314">XLOOKUP(A2314,Data!F:F,Data!C:C)</f>
        <v>EXT</v>
      </c>
      <c r="E2314" s="19" t="str">
        <f t="array" ref="E2314">XLOOKUP(A2314,Data!F:F,Data!H:H)</f>
        <v>BW</v>
      </c>
      <c r="F2314" s="106" t="str">
        <f>SUMIFS(Data!J:J,Data!F:F,A2314)</f>
        <v>1</v>
      </c>
      <c r="G2314" s="106" t="str">
        <f>SUMIFS(Cast!C:C,CastElements,A2314)</f>
        <v>0</v>
      </c>
      <c r="H2314" s="106" t="str">
        <f t="shared" si="4"/>
        <v>1</v>
      </c>
      <c r="I2314" s="106" t="str">
        <f>SUMIFS(Del!C:C,Del!B:B,A2314)</f>
        <v>0</v>
      </c>
      <c r="J2314" s="106" t="str">
        <f t="shared" si="5"/>
        <v>1</v>
      </c>
      <c r="K2314" s="106" t="str">
        <f t="shared" si="6"/>
        <v>0</v>
      </c>
      <c r="L2314" s="106"/>
      <c r="M2314" s="106" t="str">
        <f>SUMIFS(Ere!C:C,Ere!B:B,A2314)</f>
        <v>0</v>
      </c>
      <c r="N2314" s="106" t="str">
        <f t="shared" si="7"/>
        <v>1</v>
      </c>
      <c r="O2314" s="107" t="str">
        <f t="array" ref="O2314">XLOOKUP(A2314,Data!F:F,Data!O:O)</f>
        <v>  0.79 </v>
      </c>
      <c r="P2314" s="107" t="str">
        <f t="shared" si="8"/>
        <v>  1.98 </v>
      </c>
      <c r="Q2314" s="27"/>
    </row>
    <row r="2315" ht="15.75" customHeight="1">
      <c r="A2315" s="111" t="s">
        <v>2559</v>
      </c>
      <c r="B2315" s="19" t="str">
        <f t="array" ref="B2315">XLOOKUP(A2315,Data!F:F,Data!G:G)</f>
        <v>J3C</v>
      </c>
      <c r="C2315" s="19" t="str">
        <f t="shared" si="3"/>
        <v>J063</v>
      </c>
      <c r="D2315" s="19" t="str">
        <f t="array" ref="D2315">XLOOKUP(A2315,Data!F:F,Data!C:C)</f>
        <v/>
      </c>
      <c r="E2315" s="19" t="str">
        <f t="array" ref="E2315">XLOOKUP(A2315,Data!F:F,Data!H:H)</f>
        <v>BW</v>
      </c>
      <c r="F2315" s="106" t="str">
        <f>SUMIFS(Data!J:J,Data!F:F,A2315)</f>
        <v>1</v>
      </c>
      <c r="G2315" s="106" t="str">
        <f>SUMIFS(Cast!C:C,CastElements,A2315)</f>
        <v>0</v>
      </c>
      <c r="H2315" s="106" t="str">
        <f t="shared" si="4"/>
        <v>1</v>
      </c>
      <c r="I2315" s="106" t="str">
        <f>SUMIFS(Del!C:C,Del!B:B,A2315)</f>
        <v>0</v>
      </c>
      <c r="J2315" s="106" t="str">
        <f t="shared" si="5"/>
        <v>1</v>
      </c>
      <c r="K2315" s="106" t="str">
        <f t="shared" si="6"/>
        <v>0</v>
      </c>
      <c r="L2315" s="106"/>
      <c r="M2315" s="106" t="str">
        <f>SUMIFS(Ere!C:C,Ere!B:B,A2315)</f>
        <v>0</v>
      </c>
      <c r="N2315" s="106" t="str">
        <f t="shared" si="7"/>
        <v>1</v>
      </c>
      <c r="O2315" s="107" t="str">
        <f t="array" ref="O2315">XLOOKUP(A2315,Data!F:F,Data!O:O)</f>
        <v>  1.48 </v>
      </c>
      <c r="P2315" s="107" t="str">
        <f t="shared" si="8"/>
        <v>  3.70 </v>
      </c>
      <c r="Q2315" s="27"/>
    </row>
    <row r="2316" ht="15.75" customHeight="1">
      <c r="A2316" s="111" t="s">
        <v>2560</v>
      </c>
      <c r="B2316" s="19" t="str">
        <f t="array" ref="B2316">XLOOKUP(A2316,Data!F:F,Data!G:G)</f>
        <v>J3C</v>
      </c>
      <c r="C2316" s="19" t="str">
        <f t="shared" si="3"/>
        <v>J063</v>
      </c>
      <c r="D2316" s="19" t="str">
        <f t="array" ref="D2316">XLOOKUP(A2316,Data!F:F,Data!C:C)</f>
        <v/>
      </c>
      <c r="E2316" s="19" t="str">
        <f t="array" ref="E2316">XLOOKUP(A2316,Data!F:F,Data!H:H)</f>
        <v>BW</v>
      </c>
      <c r="F2316" s="106" t="str">
        <f>SUMIFS(Data!J:J,Data!F:F,A2316)</f>
        <v>1</v>
      </c>
      <c r="G2316" s="106" t="str">
        <f>SUMIFS(Cast!C:C,CastElements,A2316)</f>
        <v>0</v>
      </c>
      <c r="H2316" s="106" t="str">
        <f t="shared" si="4"/>
        <v>1</v>
      </c>
      <c r="I2316" s="106" t="str">
        <f>SUMIFS(Del!C:C,Del!B:B,A2316)</f>
        <v>0</v>
      </c>
      <c r="J2316" s="106" t="str">
        <f t="shared" si="5"/>
        <v>1</v>
      </c>
      <c r="K2316" s="106" t="str">
        <f t="shared" si="6"/>
        <v>0</v>
      </c>
      <c r="L2316" s="106"/>
      <c r="M2316" s="106" t="str">
        <f>SUMIFS(Ere!C:C,Ere!B:B,A2316)</f>
        <v>0</v>
      </c>
      <c r="N2316" s="106" t="str">
        <f t="shared" si="7"/>
        <v>1</v>
      </c>
      <c r="O2316" s="107" t="str">
        <f t="array" ref="O2316">XLOOKUP(A2316,Data!F:F,Data!O:O)</f>
        <v>  1.51 </v>
      </c>
      <c r="P2316" s="107" t="str">
        <f t="shared" si="8"/>
        <v>  3.78 </v>
      </c>
      <c r="Q2316" s="27"/>
    </row>
    <row r="2317" ht="15.75" customHeight="1">
      <c r="A2317" s="111" t="s">
        <v>2561</v>
      </c>
      <c r="B2317" s="19" t="str">
        <f t="array" ref="B2317">XLOOKUP(A2317,Data!F:F,Data!G:G)</f>
        <v>J3C</v>
      </c>
      <c r="C2317" s="19" t="str">
        <f t="shared" si="3"/>
        <v>J063</v>
      </c>
      <c r="D2317" s="19" t="str">
        <f t="array" ref="D2317">XLOOKUP(A2317,Data!F:F,Data!C:C)</f>
        <v/>
      </c>
      <c r="E2317" s="19" t="str">
        <f t="array" ref="E2317">XLOOKUP(A2317,Data!F:F,Data!H:H)</f>
        <v>BW</v>
      </c>
      <c r="F2317" s="106" t="str">
        <f>SUMIFS(Data!J:J,Data!F:F,A2317)</f>
        <v>1</v>
      </c>
      <c r="G2317" s="106" t="str">
        <f>SUMIFS(Cast!C:C,CastElements,A2317)</f>
        <v>1</v>
      </c>
      <c r="H2317" s="106" t="str">
        <f t="shared" si="4"/>
        <v>0</v>
      </c>
      <c r="I2317" s="106" t="str">
        <f>SUMIFS(Del!C:C,Del!B:B,A2317)</f>
        <v>0</v>
      </c>
      <c r="J2317" s="106" t="str">
        <f t="shared" si="5"/>
        <v>1</v>
      </c>
      <c r="K2317" s="106" t="str">
        <f t="shared" si="6"/>
        <v>1</v>
      </c>
      <c r="L2317" s="106"/>
      <c r="M2317" s="106" t="str">
        <f>SUMIFS(Ere!C:C,Ere!B:B,A2317)</f>
        <v>0</v>
      </c>
      <c r="N2317" s="106" t="str">
        <f t="shared" si="7"/>
        <v>1</v>
      </c>
      <c r="O2317" s="107" t="str">
        <f t="array" ref="O2317">XLOOKUP(A2317,Data!F:F,Data!O:O)</f>
        <v>  1.97 </v>
      </c>
      <c r="P2317" s="107" t="str">
        <f t="shared" si="8"/>
        <v>  4.93 </v>
      </c>
      <c r="Q2317" s="27"/>
    </row>
    <row r="2318" ht="15.75" customHeight="1">
      <c r="A2318" s="111" t="s">
        <v>2562</v>
      </c>
      <c r="B2318" s="19" t="str">
        <f t="array" ref="B2318">XLOOKUP(A2318,Data!F:F,Data!G:G)</f>
        <v>J3C</v>
      </c>
      <c r="C2318" s="19" t="str">
        <f t="shared" si="3"/>
        <v>J063</v>
      </c>
      <c r="D2318" s="19" t="str">
        <f t="array" ref="D2318">XLOOKUP(A2318,Data!F:F,Data!C:C)</f>
        <v/>
      </c>
      <c r="E2318" s="19" t="str">
        <f t="array" ref="E2318">XLOOKUP(A2318,Data!F:F,Data!H:H)</f>
        <v>BW</v>
      </c>
      <c r="F2318" s="106" t="str">
        <f>SUMIFS(Data!J:J,Data!F:F,A2318)</f>
        <v>1</v>
      </c>
      <c r="G2318" s="106" t="str">
        <f>SUMIFS(Cast!C:C,CastElements,A2318)</f>
        <v>1</v>
      </c>
      <c r="H2318" s="106" t="str">
        <f t="shared" si="4"/>
        <v>0</v>
      </c>
      <c r="I2318" s="106" t="str">
        <f>SUMIFS(Del!C:C,Del!B:B,A2318)</f>
        <v>0</v>
      </c>
      <c r="J2318" s="106" t="str">
        <f t="shared" si="5"/>
        <v>1</v>
      </c>
      <c r="K2318" s="106" t="str">
        <f t="shared" si="6"/>
        <v>1</v>
      </c>
      <c r="L2318" s="106"/>
      <c r="M2318" s="106" t="str">
        <f>SUMIFS(Ere!C:C,Ere!B:B,A2318)</f>
        <v>0</v>
      </c>
      <c r="N2318" s="106" t="str">
        <f t="shared" si="7"/>
        <v>1</v>
      </c>
      <c r="O2318" s="107" t="str">
        <f t="array" ref="O2318">XLOOKUP(A2318,Data!F:F,Data!O:O)</f>
        <v>  0.43 </v>
      </c>
      <c r="P2318" s="107" t="str">
        <f t="shared" si="8"/>
        <v>  1.07 </v>
      </c>
      <c r="Q2318" s="27"/>
    </row>
    <row r="2319" ht="15.75" customHeight="1">
      <c r="A2319" s="111" t="s">
        <v>2563</v>
      </c>
      <c r="B2319" s="19" t="str">
        <f t="array" ref="B2319">XLOOKUP(A2319,Data!F:F,Data!G:G)</f>
        <v>J3C</v>
      </c>
      <c r="C2319" s="19" t="str">
        <f t="shared" si="3"/>
        <v>J063</v>
      </c>
      <c r="D2319" s="19" t="str">
        <f t="array" ref="D2319">XLOOKUP(A2319,Data!F:F,Data!C:C)</f>
        <v/>
      </c>
      <c r="E2319" s="19" t="str">
        <f t="array" ref="E2319">XLOOKUP(A2319,Data!F:F,Data!H:H)</f>
        <v>BW</v>
      </c>
      <c r="F2319" s="106" t="str">
        <f>SUMIFS(Data!J:J,Data!F:F,A2319)</f>
        <v>1</v>
      </c>
      <c r="G2319" s="106" t="str">
        <f>SUMIFS(Cast!C:C,CastElements,A2319)</f>
        <v>1</v>
      </c>
      <c r="H2319" s="106" t="str">
        <f t="shared" si="4"/>
        <v>0</v>
      </c>
      <c r="I2319" s="106" t="str">
        <f>SUMIFS(Del!C:C,Del!B:B,A2319)</f>
        <v>0</v>
      </c>
      <c r="J2319" s="106" t="str">
        <f t="shared" si="5"/>
        <v>1</v>
      </c>
      <c r="K2319" s="106" t="str">
        <f t="shared" si="6"/>
        <v>1</v>
      </c>
      <c r="L2319" s="106"/>
      <c r="M2319" s="106" t="str">
        <f>SUMIFS(Ere!C:C,Ere!B:B,A2319)</f>
        <v>0</v>
      </c>
      <c r="N2319" s="106" t="str">
        <f t="shared" si="7"/>
        <v>1</v>
      </c>
      <c r="O2319" s="107" t="str">
        <f t="array" ref="O2319">XLOOKUP(A2319,Data!F:F,Data!O:O)</f>
        <v>  0.35 </v>
      </c>
      <c r="P2319" s="107" t="str">
        <f t="shared" si="8"/>
        <v>  0.88 </v>
      </c>
      <c r="Q2319" s="27"/>
    </row>
    <row r="2320" ht="15.75" customHeight="1">
      <c r="A2320" s="111" t="s">
        <v>2564</v>
      </c>
      <c r="B2320" s="19" t="str">
        <f t="array" ref="B2320">XLOOKUP(A2320,Data!F:F,Data!G:G)</f>
        <v>J3C</v>
      </c>
      <c r="C2320" s="19" t="str">
        <f t="shared" si="3"/>
        <v>J063</v>
      </c>
      <c r="D2320" s="19" t="str">
        <f t="array" ref="D2320">XLOOKUP(A2320,Data!F:F,Data!C:C)</f>
        <v/>
      </c>
      <c r="E2320" s="19" t="str">
        <f t="array" ref="E2320">XLOOKUP(A2320,Data!F:F,Data!H:H)</f>
        <v>CF</v>
      </c>
      <c r="F2320" s="106" t="str">
        <f>SUMIFS(Data!J:J,Data!F:F,A2320)</f>
        <v>1</v>
      </c>
      <c r="G2320" s="106" t="str">
        <f>SUMIFS(Cast!C:C,CastElements,A2320)</f>
        <v>0</v>
      </c>
      <c r="H2320" s="106" t="str">
        <f t="shared" si="4"/>
        <v>1</v>
      </c>
      <c r="I2320" s="106" t="str">
        <f>SUMIFS(Del!C:C,Del!B:B,A2320)</f>
        <v>0</v>
      </c>
      <c r="J2320" s="106" t="str">
        <f t="shared" si="5"/>
        <v>1</v>
      </c>
      <c r="K2320" s="106" t="str">
        <f t="shared" si="6"/>
        <v>0</v>
      </c>
      <c r="L2320" s="106"/>
      <c r="M2320" s="106" t="str">
        <f>SUMIFS(Ere!C:C,Ere!B:B,A2320)</f>
        <v>0</v>
      </c>
      <c r="N2320" s="106" t="str">
        <f t="shared" si="7"/>
        <v>1</v>
      </c>
      <c r="O2320" s="107" t="str">
        <f t="array" ref="O2320">XLOOKUP(A2320,Data!F:F,Data!O:O)</f>
        <v>  0.52 </v>
      </c>
      <c r="P2320" s="107" t="str">
        <f t="shared" si="8"/>
        <v>  1.29 </v>
      </c>
      <c r="Q2320" s="27"/>
    </row>
    <row r="2321" ht="15.75" customHeight="1">
      <c r="A2321" s="111" t="s">
        <v>2565</v>
      </c>
      <c r="B2321" s="19" t="str">
        <f t="array" ref="B2321">XLOOKUP(A2321,Data!F:F,Data!G:G)</f>
        <v>J3C</v>
      </c>
      <c r="C2321" s="19" t="str">
        <f t="shared" si="3"/>
        <v>J064</v>
      </c>
      <c r="D2321" s="19" t="str">
        <f t="array" ref="D2321">XLOOKUP(A2321,Data!F:F,Data!C:C)</f>
        <v/>
      </c>
      <c r="E2321" s="19" t="str">
        <f t="array" ref="E2321">XLOOKUP(A2321,Data!F:F,Data!H:H)</f>
        <v>BW</v>
      </c>
      <c r="F2321" s="106" t="str">
        <f>SUMIFS(Data!J:J,Data!F:F,A2321)</f>
        <v>1</v>
      </c>
      <c r="G2321" s="106" t="str">
        <f>SUMIFS(Cast!C:C,CastElements,A2321)</f>
        <v>0</v>
      </c>
      <c r="H2321" s="106" t="str">
        <f t="shared" si="4"/>
        <v>1</v>
      </c>
      <c r="I2321" s="106" t="str">
        <f>SUMIFS(Del!C:C,Del!B:B,A2321)</f>
        <v>0</v>
      </c>
      <c r="J2321" s="106" t="str">
        <f t="shared" si="5"/>
        <v>1</v>
      </c>
      <c r="K2321" s="106" t="str">
        <f t="shared" si="6"/>
        <v>0</v>
      </c>
      <c r="L2321" s="106"/>
      <c r="M2321" s="106" t="str">
        <f>SUMIFS(Ere!C:C,Ere!B:B,A2321)</f>
        <v>0</v>
      </c>
      <c r="N2321" s="106" t="str">
        <f t="shared" si="7"/>
        <v>1</v>
      </c>
      <c r="O2321" s="107" t="str">
        <f t="array" ref="O2321">XLOOKUP(A2321,Data!F:F,Data!O:O)</f>
        <v>  1.78 </v>
      </c>
      <c r="P2321" s="107" t="str">
        <f t="shared" si="8"/>
        <v>  4.46 </v>
      </c>
      <c r="Q2321" s="27"/>
    </row>
    <row r="2322" ht="15.75" customHeight="1">
      <c r="A2322" s="111" t="s">
        <v>2566</v>
      </c>
      <c r="B2322" s="19" t="str">
        <f t="array" ref="B2322">XLOOKUP(A2322,Data!F:F,Data!G:G)</f>
        <v>J3C</v>
      </c>
      <c r="C2322" s="19" t="str">
        <f t="shared" si="3"/>
        <v>J064</v>
      </c>
      <c r="D2322" s="19" t="str">
        <f t="array" ref="D2322">XLOOKUP(A2322,Data!F:F,Data!C:C)</f>
        <v/>
      </c>
      <c r="E2322" s="19" t="str">
        <f t="array" ref="E2322">XLOOKUP(A2322,Data!F:F,Data!H:H)</f>
        <v>BW</v>
      </c>
      <c r="F2322" s="106" t="str">
        <f>SUMIFS(Data!J:J,Data!F:F,A2322)</f>
        <v>1</v>
      </c>
      <c r="G2322" s="106" t="str">
        <f>SUMIFS(Cast!C:C,CastElements,A2322)</f>
        <v>1</v>
      </c>
      <c r="H2322" s="106" t="str">
        <f t="shared" si="4"/>
        <v>0</v>
      </c>
      <c r="I2322" s="106" t="str">
        <f>SUMIFS(Del!C:C,Del!B:B,A2322)</f>
        <v>0</v>
      </c>
      <c r="J2322" s="106" t="str">
        <f t="shared" si="5"/>
        <v>1</v>
      </c>
      <c r="K2322" s="106" t="str">
        <f t="shared" si="6"/>
        <v>1</v>
      </c>
      <c r="L2322" s="106"/>
      <c r="M2322" s="106" t="str">
        <f>SUMIFS(Ere!C:C,Ere!B:B,A2322)</f>
        <v>0</v>
      </c>
      <c r="N2322" s="106" t="str">
        <f t="shared" si="7"/>
        <v>1</v>
      </c>
      <c r="O2322" s="107" t="str">
        <f t="array" ref="O2322">XLOOKUP(A2322,Data!F:F,Data!O:O)</f>
        <v>  1.78 </v>
      </c>
      <c r="P2322" s="107" t="str">
        <f t="shared" si="8"/>
        <v>  4.46 </v>
      </c>
      <c r="Q2322" s="27"/>
    </row>
    <row r="2323" ht="15.75" customHeight="1">
      <c r="A2323" s="111" t="s">
        <v>2567</v>
      </c>
      <c r="B2323" s="19" t="str">
        <f t="array" ref="B2323">XLOOKUP(A2323,Data!F:F,Data!G:G)</f>
        <v>J3C</v>
      </c>
      <c r="C2323" s="19" t="str">
        <f t="shared" si="3"/>
        <v>J064</v>
      </c>
      <c r="D2323" s="19" t="str">
        <f t="array" ref="D2323">XLOOKUP(A2323,Data!F:F,Data!C:C)</f>
        <v/>
      </c>
      <c r="E2323" s="19" t="str">
        <f t="array" ref="E2323">XLOOKUP(A2323,Data!F:F,Data!H:H)</f>
        <v>BW</v>
      </c>
      <c r="F2323" s="106" t="str">
        <f>SUMIFS(Data!J:J,Data!F:F,A2323)</f>
        <v>1</v>
      </c>
      <c r="G2323" s="106" t="str">
        <f>SUMIFS(Cast!C:C,CastElements,A2323)</f>
        <v>1</v>
      </c>
      <c r="H2323" s="106" t="str">
        <f t="shared" si="4"/>
        <v>0</v>
      </c>
      <c r="I2323" s="106" t="str">
        <f>SUMIFS(Del!C:C,Del!B:B,A2323)</f>
        <v>0</v>
      </c>
      <c r="J2323" s="106" t="str">
        <f t="shared" si="5"/>
        <v>1</v>
      </c>
      <c r="K2323" s="106" t="str">
        <f t="shared" si="6"/>
        <v>1</v>
      </c>
      <c r="L2323" s="106"/>
      <c r="M2323" s="106" t="str">
        <f>SUMIFS(Ere!C:C,Ere!B:B,A2323)</f>
        <v>0</v>
      </c>
      <c r="N2323" s="106" t="str">
        <f t="shared" si="7"/>
        <v>1</v>
      </c>
      <c r="O2323" s="107" t="str">
        <f t="array" ref="O2323">XLOOKUP(A2323,Data!F:F,Data!O:O)</f>
        <v>  1.78 </v>
      </c>
      <c r="P2323" s="107" t="str">
        <f t="shared" si="8"/>
        <v>  4.46 </v>
      </c>
      <c r="Q2323" s="27"/>
    </row>
    <row r="2324" ht="15.75" customHeight="1">
      <c r="A2324" s="111" t="s">
        <v>2568</v>
      </c>
      <c r="B2324" s="19" t="str">
        <f t="array" ref="B2324">XLOOKUP(A2324,Data!F:F,Data!G:G)</f>
        <v>J3C</v>
      </c>
      <c r="C2324" s="19" t="str">
        <f t="shared" si="3"/>
        <v>J064</v>
      </c>
      <c r="D2324" s="19" t="str">
        <f t="array" ref="D2324">XLOOKUP(A2324,Data!F:F,Data!C:C)</f>
        <v/>
      </c>
      <c r="E2324" s="19" t="str">
        <f t="array" ref="E2324">XLOOKUP(A2324,Data!F:F,Data!H:H)</f>
        <v>BW</v>
      </c>
      <c r="F2324" s="106" t="str">
        <f>SUMIFS(Data!J:J,Data!F:F,A2324)</f>
        <v>1</v>
      </c>
      <c r="G2324" s="106" t="str">
        <f>SUMIFS(Cast!C:C,CastElements,A2324)</f>
        <v>0</v>
      </c>
      <c r="H2324" s="106" t="str">
        <f t="shared" si="4"/>
        <v>1</v>
      </c>
      <c r="I2324" s="106" t="str">
        <f>SUMIFS(Del!C:C,Del!B:B,A2324)</f>
        <v>0</v>
      </c>
      <c r="J2324" s="106" t="str">
        <f t="shared" si="5"/>
        <v>1</v>
      </c>
      <c r="K2324" s="106" t="str">
        <f t="shared" si="6"/>
        <v>0</v>
      </c>
      <c r="L2324" s="106"/>
      <c r="M2324" s="106" t="str">
        <f>SUMIFS(Ere!C:C,Ere!B:B,A2324)</f>
        <v>0</v>
      </c>
      <c r="N2324" s="106" t="str">
        <f t="shared" si="7"/>
        <v>1</v>
      </c>
      <c r="O2324" s="107" t="str">
        <f t="array" ref="O2324">XLOOKUP(A2324,Data!F:F,Data!O:O)</f>
        <v>  1.78 </v>
      </c>
      <c r="P2324" s="107" t="str">
        <f t="shared" si="8"/>
        <v>  4.46 </v>
      </c>
      <c r="Q2324" s="27"/>
    </row>
    <row r="2325" ht="15.75" customHeight="1">
      <c r="A2325" s="111" t="s">
        <v>2569</v>
      </c>
      <c r="B2325" s="19" t="str">
        <f t="array" ref="B2325">XLOOKUP(A2325,Data!F:F,Data!G:G)</f>
        <v>J3C</v>
      </c>
      <c r="C2325" s="19" t="str">
        <f t="shared" si="3"/>
        <v>J064</v>
      </c>
      <c r="D2325" s="19" t="str">
        <f t="array" ref="D2325">XLOOKUP(A2325,Data!F:F,Data!C:C)</f>
        <v/>
      </c>
      <c r="E2325" s="19" t="str">
        <f t="array" ref="E2325">XLOOKUP(A2325,Data!F:F,Data!H:H)</f>
        <v>BW</v>
      </c>
      <c r="F2325" s="106" t="str">
        <f>SUMIFS(Data!J:J,Data!F:F,A2325)</f>
        <v>1</v>
      </c>
      <c r="G2325" s="106" t="str">
        <f>SUMIFS(Cast!C:C,CastElements,A2325)</f>
        <v>0</v>
      </c>
      <c r="H2325" s="106" t="str">
        <f t="shared" si="4"/>
        <v>1</v>
      </c>
      <c r="I2325" s="106" t="str">
        <f>SUMIFS(Del!C:C,Del!B:B,A2325)</f>
        <v>0</v>
      </c>
      <c r="J2325" s="106" t="str">
        <f t="shared" si="5"/>
        <v>1</v>
      </c>
      <c r="K2325" s="106" t="str">
        <f t="shared" si="6"/>
        <v>0</v>
      </c>
      <c r="L2325" s="106"/>
      <c r="M2325" s="106" t="str">
        <f>SUMIFS(Ere!C:C,Ere!B:B,A2325)</f>
        <v>0</v>
      </c>
      <c r="N2325" s="106" t="str">
        <f t="shared" si="7"/>
        <v>1</v>
      </c>
      <c r="O2325" s="107" t="str">
        <f t="array" ref="O2325">XLOOKUP(A2325,Data!F:F,Data!O:O)</f>
        <v>  1.78 </v>
      </c>
      <c r="P2325" s="107" t="str">
        <f t="shared" si="8"/>
        <v>  4.46 </v>
      </c>
      <c r="Q2325" s="27"/>
    </row>
    <row r="2326" ht="15.75" customHeight="1">
      <c r="A2326" s="111" t="s">
        <v>2570</v>
      </c>
      <c r="B2326" s="19" t="str">
        <f t="array" ref="B2326">XLOOKUP(A2326,Data!F:F,Data!G:G)</f>
        <v>J3C</v>
      </c>
      <c r="C2326" s="19" t="str">
        <f t="shared" si="3"/>
        <v>J064</v>
      </c>
      <c r="D2326" s="19" t="str">
        <f t="array" ref="D2326">XLOOKUP(A2326,Data!F:F,Data!C:C)</f>
        <v/>
      </c>
      <c r="E2326" s="19" t="str">
        <f t="array" ref="E2326">XLOOKUP(A2326,Data!F:F,Data!H:H)</f>
        <v>BW</v>
      </c>
      <c r="F2326" s="106" t="str">
        <f>SUMIFS(Data!J:J,Data!F:F,A2326)</f>
        <v>1</v>
      </c>
      <c r="G2326" s="106" t="str">
        <f>SUMIFS(Cast!C:C,CastElements,A2326)</f>
        <v>0</v>
      </c>
      <c r="H2326" s="106" t="str">
        <f t="shared" si="4"/>
        <v>1</v>
      </c>
      <c r="I2326" s="106" t="str">
        <f>SUMIFS(Del!C:C,Del!B:B,A2326)</f>
        <v>0</v>
      </c>
      <c r="J2326" s="106" t="str">
        <f t="shared" si="5"/>
        <v>1</v>
      </c>
      <c r="K2326" s="106" t="str">
        <f t="shared" si="6"/>
        <v>0</v>
      </c>
      <c r="L2326" s="106"/>
      <c r="M2326" s="106" t="str">
        <f>SUMIFS(Ere!C:C,Ere!B:B,A2326)</f>
        <v>0</v>
      </c>
      <c r="N2326" s="106" t="str">
        <f t="shared" si="7"/>
        <v>1</v>
      </c>
      <c r="O2326" s="107" t="str">
        <f t="array" ref="O2326">XLOOKUP(A2326,Data!F:F,Data!O:O)</f>
        <v>  1.78 </v>
      </c>
      <c r="P2326" s="107" t="str">
        <f t="shared" si="8"/>
        <v>  4.46 </v>
      </c>
      <c r="Q2326" s="27"/>
    </row>
    <row r="2327" ht="15.75" customHeight="1">
      <c r="A2327" s="111" t="s">
        <v>2571</v>
      </c>
      <c r="B2327" s="19" t="str">
        <f t="array" ref="B2327">XLOOKUP(A2327,Data!F:F,Data!G:G)</f>
        <v>J3C</v>
      </c>
      <c r="C2327" s="19" t="str">
        <f t="shared" si="3"/>
        <v>J064</v>
      </c>
      <c r="D2327" s="19" t="str">
        <f t="array" ref="D2327">XLOOKUP(A2327,Data!F:F,Data!C:C)</f>
        <v/>
      </c>
      <c r="E2327" s="19" t="str">
        <f t="array" ref="E2327">XLOOKUP(A2327,Data!F:F,Data!H:H)</f>
        <v>BW</v>
      </c>
      <c r="F2327" s="106" t="str">
        <f>SUMIFS(Data!J:J,Data!F:F,A2327)</f>
        <v>1</v>
      </c>
      <c r="G2327" s="106" t="str">
        <f>SUMIFS(Cast!C:C,CastElements,A2327)</f>
        <v>1</v>
      </c>
      <c r="H2327" s="106" t="str">
        <f t="shared" si="4"/>
        <v>0</v>
      </c>
      <c r="I2327" s="106" t="str">
        <f>SUMIFS(Del!C:C,Del!B:B,A2327)</f>
        <v>0</v>
      </c>
      <c r="J2327" s="106" t="str">
        <f t="shared" si="5"/>
        <v>1</v>
      </c>
      <c r="K2327" s="106" t="str">
        <f t="shared" si="6"/>
        <v>1</v>
      </c>
      <c r="L2327" s="106"/>
      <c r="M2327" s="106" t="str">
        <f>SUMIFS(Ere!C:C,Ere!B:B,A2327)</f>
        <v>0</v>
      </c>
      <c r="N2327" s="106" t="str">
        <f t="shared" si="7"/>
        <v>1</v>
      </c>
      <c r="O2327" s="107" t="str">
        <f t="array" ref="O2327">XLOOKUP(A2327,Data!F:F,Data!O:O)</f>
        <v>  1.50 </v>
      </c>
      <c r="P2327" s="107" t="str">
        <f t="shared" si="8"/>
        <v>  3.74 </v>
      </c>
      <c r="Q2327" s="27"/>
    </row>
    <row r="2328" ht="15.75" customHeight="1">
      <c r="A2328" s="111" t="s">
        <v>2572</v>
      </c>
      <c r="B2328" s="19" t="str">
        <f t="array" ref="B2328">XLOOKUP(A2328,Data!F:F,Data!G:G)</f>
        <v>J3C</v>
      </c>
      <c r="C2328" s="19" t="str">
        <f t="shared" si="3"/>
        <v>J064</v>
      </c>
      <c r="D2328" s="19" t="str">
        <f t="array" ref="D2328">XLOOKUP(A2328,Data!F:F,Data!C:C)</f>
        <v/>
      </c>
      <c r="E2328" s="19" t="str">
        <f t="array" ref="E2328">XLOOKUP(A2328,Data!F:F,Data!H:H)</f>
        <v>BW</v>
      </c>
      <c r="F2328" s="106" t="str">
        <f>SUMIFS(Data!J:J,Data!F:F,A2328)</f>
        <v>1</v>
      </c>
      <c r="G2328" s="106" t="str">
        <f>SUMIFS(Cast!C:C,CastElements,A2328)</f>
        <v>0</v>
      </c>
      <c r="H2328" s="106" t="str">
        <f t="shared" si="4"/>
        <v>1</v>
      </c>
      <c r="I2328" s="106" t="str">
        <f>SUMIFS(Del!C:C,Del!B:B,A2328)</f>
        <v>0</v>
      </c>
      <c r="J2328" s="106" t="str">
        <f t="shared" si="5"/>
        <v>1</v>
      </c>
      <c r="K2328" s="106" t="str">
        <f t="shared" si="6"/>
        <v>0</v>
      </c>
      <c r="L2328" s="106"/>
      <c r="M2328" s="106" t="str">
        <f>SUMIFS(Ere!C:C,Ere!B:B,A2328)</f>
        <v>0</v>
      </c>
      <c r="N2328" s="106" t="str">
        <f t="shared" si="7"/>
        <v>1</v>
      </c>
      <c r="O2328" s="107" t="str">
        <f t="array" ref="O2328">XLOOKUP(A2328,Data!F:F,Data!O:O)</f>
        <v>  1.50 </v>
      </c>
      <c r="P2328" s="107" t="str">
        <f t="shared" si="8"/>
        <v>  3.74 </v>
      </c>
      <c r="Q2328" s="27"/>
    </row>
    <row r="2329" ht="15.75" customHeight="1">
      <c r="A2329" s="111" t="s">
        <v>2573</v>
      </c>
      <c r="B2329" s="19" t="str">
        <f t="array" ref="B2329">XLOOKUP(A2329,Data!F:F,Data!G:G)</f>
        <v>J3C</v>
      </c>
      <c r="C2329" s="19" t="str">
        <f t="shared" si="3"/>
        <v>J064</v>
      </c>
      <c r="D2329" s="19" t="str">
        <f t="array" ref="D2329">XLOOKUP(A2329,Data!F:F,Data!C:C)</f>
        <v>EXT</v>
      </c>
      <c r="E2329" s="19" t="str">
        <f t="array" ref="E2329">XLOOKUP(A2329,Data!F:F,Data!H:H)</f>
        <v>BW</v>
      </c>
      <c r="F2329" s="106" t="str">
        <f>SUMIFS(Data!J:J,Data!F:F,A2329)</f>
        <v>1</v>
      </c>
      <c r="G2329" s="106" t="str">
        <f>SUMIFS(Cast!C:C,CastElements,A2329)</f>
        <v>0</v>
      </c>
      <c r="H2329" s="106" t="str">
        <f t="shared" si="4"/>
        <v>1</v>
      </c>
      <c r="I2329" s="106" t="str">
        <f>SUMIFS(Del!C:C,Del!B:B,A2329)</f>
        <v>0</v>
      </c>
      <c r="J2329" s="106" t="str">
        <f t="shared" si="5"/>
        <v>1</v>
      </c>
      <c r="K2329" s="106" t="str">
        <f t="shared" si="6"/>
        <v>0</v>
      </c>
      <c r="L2329" s="106"/>
      <c r="M2329" s="106" t="str">
        <f>SUMIFS(Ere!C:C,Ere!B:B,A2329)</f>
        <v>0</v>
      </c>
      <c r="N2329" s="106" t="str">
        <f t="shared" si="7"/>
        <v>1</v>
      </c>
      <c r="O2329" s="107" t="str">
        <f t="array" ref="O2329">XLOOKUP(A2329,Data!F:F,Data!O:O)</f>
        <v>  0.97 </v>
      </c>
      <c r="P2329" s="107" t="str">
        <f t="shared" si="8"/>
        <v>  2.44 </v>
      </c>
      <c r="Q2329" s="27"/>
    </row>
    <row r="2330" ht="15.75" customHeight="1">
      <c r="A2330" s="111" t="s">
        <v>2574</v>
      </c>
      <c r="B2330" s="19" t="str">
        <f t="array" ref="B2330">XLOOKUP(A2330,Data!F:F,Data!G:G)</f>
        <v>J3C</v>
      </c>
      <c r="C2330" s="19" t="str">
        <f t="shared" si="3"/>
        <v>J064</v>
      </c>
      <c r="D2330" s="19" t="str">
        <f t="array" ref="D2330">XLOOKUP(A2330,Data!F:F,Data!C:C)</f>
        <v>EXT</v>
      </c>
      <c r="E2330" s="19" t="str">
        <f t="array" ref="E2330">XLOOKUP(A2330,Data!F:F,Data!H:H)</f>
        <v>BW</v>
      </c>
      <c r="F2330" s="106" t="str">
        <f>SUMIFS(Data!J:J,Data!F:F,A2330)</f>
        <v>1</v>
      </c>
      <c r="G2330" s="106" t="str">
        <f>SUMIFS(Cast!C:C,CastElements,A2330)</f>
        <v>0</v>
      </c>
      <c r="H2330" s="106" t="str">
        <f t="shared" si="4"/>
        <v>1</v>
      </c>
      <c r="I2330" s="106" t="str">
        <f>SUMIFS(Del!C:C,Del!B:B,A2330)</f>
        <v>0</v>
      </c>
      <c r="J2330" s="106" t="str">
        <f t="shared" si="5"/>
        <v>1</v>
      </c>
      <c r="K2330" s="106" t="str">
        <f t="shared" si="6"/>
        <v>0</v>
      </c>
      <c r="L2330" s="106"/>
      <c r="M2330" s="106" t="str">
        <f>SUMIFS(Ere!C:C,Ere!B:B,A2330)</f>
        <v>0</v>
      </c>
      <c r="N2330" s="106" t="str">
        <f t="shared" si="7"/>
        <v>1</v>
      </c>
      <c r="O2330" s="107" t="str">
        <f t="array" ref="O2330">XLOOKUP(A2330,Data!F:F,Data!O:O)</f>
        <v>  1.05 </v>
      </c>
      <c r="P2330" s="107" t="str">
        <f t="shared" si="8"/>
        <v>  2.62 </v>
      </c>
      <c r="Q2330" s="27"/>
    </row>
    <row r="2331" ht="15.75" customHeight="1">
      <c r="A2331" s="111" t="s">
        <v>2575</v>
      </c>
      <c r="B2331" s="19" t="str">
        <f t="array" ref="B2331">XLOOKUP(A2331,Data!F:F,Data!G:G)</f>
        <v>J3C</v>
      </c>
      <c r="C2331" s="19" t="str">
        <f t="shared" si="3"/>
        <v>J064</v>
      </c>
      <c r="D2331" s="19" t="str">
        <f t="array" ref="D2331">XLOOKUP(A2331,Data!F:F,Data!C:C)</f>
        <v>EXT</v>
      </c>
      <c r="E2331" s="19" t="str">
        <f t="array" ref="E2331">XLOOKUP(A2331,Data!F:F,Data!H:H)</f>
        <v>BW</v>
      </c>
      <c r="F2331" s="106" t="str">
        <f>SUMIFS(Data!J:J,Data!F:F,A2331)</f>
        <v>1</v>
      </c>
      <c r="G2331" s="106" t="str">
        <f>SUMIFS(Cast!C:C,CastElements,A2331)</f>
        <v>0</v>
      </c>
      <c r="H2331" s="106" t="str">
        <f t="shared" si="4"/>
        <v>1</v>
      </c>
      <c r="I2331" s="106" t="str">
        <f>SUMIFS(Del!C:C,Del!B:B,A2331)</f>
        <v>0</v>
      </c>
      <c r="J2331" s="106" t="str">
        <f t="shared" si="5"/>
        <v>1</v>
      </c>
      <c r="K2331" s="106" t="str">
        <f t="shared" si="6"/>
        <v>0</v>
      </c>
      <c r="L2331" s="106"/>
      <c r="M2331" s="106" t="str">
        <f>SUMIFS(Ere!C:C,Ere!B:B,A2331)</f>
        <v>0</v>
      </c>
      <c r="N2331" s="106" t="str">
        <f t="shared" si="7"/>
        <v>1</v>
      </c>
      <c r="O2331" s="107" t="str">
        <f t="array" ref="O2331">XLOOKUP(A2331,Data!F:F,Data!O:O)</f>
        <v>  0.92 </v>
      </c>
      <c r="P2331" s="107" t="str">
        <f t="shared" si="8"/>
        <v>  2.29 </v>
      </c>
      <c r="Q2331" s="27"/>
    </row>
    <row r="2332" ht="15.75" customHeight="1">
      <c r="A2332" s="111" t="s">
        <v>2576</v>
      </c>
      <c r="B2332" s="19" t="str">
        <f t="array" ref="B2332">XLOOKUP(A2332,Data!F:F,Data!G:G)</f>
        <v>J3C</v>
      </c>
      <c r="C2332" s="19" t="str">
        <f t="shared" si="3"/>
        <v>J064</v>
      </c>
      <c r="D2332" s="19" t="str">
        <f t="array" ref="D2332">XLOOKUP(A2332,Data!F:F,Data!C:C)</f>
        <v/>
      </c>
      <c r="E2332" s="19" t="str">
        <f t="array" ref="E2332">XLOOKUP(A2332,Data!F:F,Data!H:H)</f>
        <v>BW</v>
      </c>
      <c r="F2332" s="106" t="str">
        <f>SUMIFS(Data!J:J,Data!F:F,A2332)</f>
        <v>1</v>
      </c>
      <c r="G2332" s="106" t="str">
        <f>SUMIFS(Cast!C:C,CastElements,A2332)</f>
        <v>1</v>
      </c>
      <c r="H2332" s="106" t="str">
        <f t="shared" si="4"/>
        <v>0</v>
      </c>
      <c r="I2332" s="106" t="str">
        <f>SUMIFS(Del!C:C,Del!B:B,A2332)</f>
        <v>0</v>
      </c>
      <c r="J2332" s="106" t="str">
        <f t="shared" si="5"/>
        <v>1</v>
      </c>
      <c r="K2332" s="106" t="str">
        <f t="shared" si="6"/>
        <v>1</v>
      </c>
      <c r="L2332" s="106"/>
      <c r="M2332" s="106" t="str">
        <f>SUMIFS(Ere!C:C,Ere!B:B,A2332)</f>
        <v>0</v>
      </c>
      <c r="N2332" s="106" t="str">
        <f t="shared" si="7"/>
        <v>1</v>
      </c>
      <c r="O2332" s="107" t="str">
        <f t="array" ref="O2332">XLOOKUP(A2332,Data!F:F,Data!O:O)</f>
        <v>  1.91 </v>
      </c>
      <c r="P2332" s="107" t="str">
        <f t="shared" si="8"/>
        <v>  4.79 </v>
      </c>
      <c r="Q2332" s="27"/>
    </row>
    <row r="2333" ht="15.75" customHeight="1">
      <c r="A2333" s="111" t="s">
        <v>2577</v>
      </c>
      <c r="B2333" s="19" t="str">
        <f t="array" ref="B2333">XLOOKUP(A2333,Data!F:F,Data!G:G)</f>
        <v>J3C</v>
      </c>
      <c r="C2333" s="19" t="str">
        <f t="shared" si="3"/>
        <v>J064</v>
      </c>
      <c r="D2333" s="19" t="str">
        <f t="array" ref="D2333">XLOOKUP(A2333,Data!F:F,Data!C:C)</f>
        <v/>
      </c>
      <c r="E2333" s="19" t="str">
        <f t="array" ref="E2333">XLOOKUP(A2333,Data!F:F,Data!H:H)</f>
        <v>BW</v>
      </c>
      <c r="F2333" s="106" t="str">
        <f>SUMIFS(Data!J:J,Data!F:F,A2333)</f>
        <v>1</v>
      </c>
      <c r="G2333" s="106" t="str">
        <f>SUMIFS(Cast!C:C,CastElements,A2333)</f>
        <v>1</v>
      </c>
      <c r="H2333" s="106" t="str">
        <f t="shared" si="4"/>
        <v>0</v>
      </c>
      <c r="I2333" s="106" t="str">
        <f>SUMIFS(Del!C:C,Del!B:B,A2333)</f>
        <v>0</v>
      </c>
      <c r="J2333" s="106" t="str">
        <f t="shared" si="5"/>
        <v>1</v>
      </c>
      <c r="K2333" s="106" t="str">
        <f t="shared" si="6"/>
        <v>1</v>
      </c>
      <c r="L2333" s="106"/>
      <c r="M2333" s="106" t="str">
        <f>SUMIFS(Ere!C:C,Ere!B:B,A2333)</f>
        <v>0</v>
      </c>
      <c r="N2333" s="106" t="str">
        <f t="shared" si="7"/>
        <v>1</v>
      </c>
      <c r="O2333" s="107" t="str">
        <f t="array" ref="O2333">XLOOKUP(A2333,Data!F:F,Data!O:O)</f>
        <v>  1.96 </v>
      </c>
      <c r="P2333" s="107" t="str">
        <f t="shared" si="8"/>
        <v>  4.90 </v>
      </c>
      <c r="Q2333" s="27"/>
    </row>
    <row r="2334" ht="15.75" customHeight="1">
      <c r="A2334" s="111" t="s">
        <v>2578</v>
      </c>
      <c r="B2334" s="19" t="str">
        <f t="array" ref="B2334">XLOOKUP(A2334,Data!F:F,Data!G:G)</f>
        <v>J3C</v>
      </c>
      <c r="C2334" s="19" t="str">
        <f t="shared" si="3"/>
        <v>J064</v>
      </c>
      <c r="D2334" s="19" t="str">
        <f t="array" ref="D2334">XLOOKUP(A2334,Data!F:F,Data!C:C)</f>
        <v/>
      </c>
      <c r="E2334" s="19" t="str">
        <f t="array" ref="E2334">XLOOKUP(A2334,Data!F:F,Data!H:H)</f>
        <v>BW</v>
      </c>
      <c r="F2334" s="106" t="str">
        <f>SUMIFS(Data!J:J,Data!F:F,A2334)</f>
        <v>1</v>
      </c>
      <c r="G2334" s="106" t="str">
        <f>SUMIFS(Cast!C:C,CastElements,A2334)</f>
        <v>0</v>
      </c>
      <c r="H2334" s="106" t="str">
        <f t="shared" si="4"/>
        <v>1</v>
      </c>
      <c r="I2334" s="106" t="str">
        <f>SUMIFS(Del!C:C,Del!B:B,A2334)</f>
        <v>0</v>
      </c>
      <c r="J2334" s="106" t="str">
        <f t="shared" si="5"/>
        <v>1</v>
      </c>
      <c r="K2334" s="106" t="str">
        <f t="shared" si="6"/>
        <v>0</v>
      </c>
      <c r="L2334" s="106"/>
      <c r="M2334" s="106" t="str">
        <f>SUMIFS(Ere!C:C,Ere!B:B,A2334)</f>
        <v>0</v>
      </c>
      <c r="N2334" s="106" t="str">
        <f t="shared" si="7"/>
        <v>1</v>
      </c>
      <c r="O2334" s="107" t="str">
        <f t="array" ref="O2334">XLOOKUP(A2334,Data!F:F,Data!O:O)</f>
        <v>  0.35 </v>
      </c>
      <c r="P2334" s="107" t="str">
        <f t="shared" si="8"/>
        <v>  0.88 </v>
      </c>
      <c r="Q2334" s="27"/>
    </row>
    <row r="2335" ht="15.75" customHeight="1">
      <c r="A2335" s="111" t="s">
        <v>2579</v>
      </c>
      <c r="B2335" s="19" t="str">
        <f t="array" ref="B2335">XLOOKUP(A2335,Data!F:F,Data!G:G)</f>
        <v>J3C</v>
      </c>
      <c r="C2335" s="19" t="str">
        <f t="shared" si="3"/>
        <v>J064</v>
      </c>
      <c r="D2335" s="19" t="str">
        <f t="array" ref="D2335">XLOOKUP(A2335,Data!F:F,Data!C:C)</f>
        <v/>
      </c>
      <c r="E2335" s="19" t="str">
        <f t="array" ref="E2335">XLOOKUP(A2335,Data!F:F,Data!H:H)</f>
        <v>BW</v>
      </c>
      <c r="F2335" s="106" t="str">
        <f>SUMIFS(Data!J:J,Data!F:F,A2335)</f>
        <v>1</v>
      </c>
      <c r="G2335" s="106" t="str">
        <f>SUMIFS(Cast!C:C,CastElements,A2335)</f>
        <v>1</v>
      </c>
      <c r="H2335" s="106" t="str">
        <f t="shared" si="4"/>
        <v>0</v>
      </c>
      <c r="I2335" s="106" t="str">
        <f>SUMIFS(Del!C:C,Del!B:B,A2335)</f>
        <v>0</v>
      </c>
      <c r="J2335" s="106" t="str">
        <f t="shared" si="5"/>
        <v>1</v>
      </c>
      <c r="K2335" s="106" t="str">
        <f t="shared" si="6"/>
        <v>1</v>
      </c>
      <c r="L2335" s="106"/>
      <c r="M2335" s="106" t="str">
        <f>SUMIFS(Ere!C:C,Ere!B:B,A2335)</f>
        <v>0</v>
      </c>
      <c r="N2335" s="106" t="str">
        <f t="shared" si="7"/>
        <v>1</v>
      </c>
      <c r="O2335" s="107" t="str">
        <f t="array" ref="O2335">XLOOKUP(A2335,Data!F:F,Data!O:O)</f>
        <v>  0.47 </v>
      </c>
      <c r="P2335" s="107" t="str">
        <f t="shared" si="8"/>
        <v>  1.18 </v>
      </c>
      <c r="Q2335" s="27"/>
    </row>
    <row r="2336" ht="15.75" customHeight="1">
      <c r="A2336" s="111" t="s">
        <v>2580</v>
      </c>
      <c r="B2336" s="19" t="str">
        <f t="array" ref="B2336">XLOOKUP(A2336,Data!F:F,Data!G:G)</f>
        <v>J3C</v>
      </c>
      <c r="C2336" s="19" t="str">
        <f t="shared" si="3"/>
        <v>J064</v>
      </c>
      <c r="D2336" s="19" t="str">
        <f t="array" ref="D2336">XLOOKUP(A2336,Data!F:F,Data!C:C)</f>
        <v/>
      </c>
      <c r="E2336" s="19" t="str">
        <f t="array" ref="E2336">XLOOKUP(A2336,Data!F:F,Data!H:H)</f>
        <v>CF</v>
      </c>
      <c r="F2336" s="106" t="str">
        <f>SUMIFS(Data!J:J,Data!F:F,A2336)</f>
        <v>1</v>
      </c>
      <c r="G2336" s="106" t="str">
        <f>SUMIFS(Cast!C:C,CastElements,A2336)</f>
        <v>0</v>
      </c>
      <c r="H2336" s="106" t="str">
        <f t="shared" si="4"/>
        <v>1</v>
      </c>
      <c r="I2336" s="106" t="str">
        <f>SUMIFS(Del!C:C,Del!B:B,A2336)</f>
        <v>0</v>
      </c>
      <c r="J2336" s="106" t="str">
        <f t="shared" si="5"/>
        <v>1</v>
      </c>
      <c r="K2336" s="106" t="str">
        <f t="shared" si="6"/>
        <v>0</v>
      </c>
      <c r="L2336" s="106"/>
      <c r="M2336" s="106" t="str">
        <f>SUMIFS(Ere!C:C,Ere!B:B,A2336)</f>
        <v>0</v>
      </c>
      <c r="N2336" s="106" t="str">
        <f t="shared" si="7"/>
        <v>1</v>
      </c>
      <c r="O2336" s="107" t="str">
        <f t="array" ref="O2336">XLOOKUP(A2336,Data!F:F,Data!O:O)</f>
        <v>  0.52 </v>
      </c>
      <c r="P2336" s="107" t="str">
        <f t="shared" si="8"/>
        <v>  1.29 </v>
      </c>
      <c r="Q2336" s="27"/>
    </row>
    <row r="2337" ht="15.75" customHeight="1">
      <c r="A2337" s="111" t="s">
        <v>2581</v>
      </c>
      <c r="B2337" s="19" t="str">
        <f t="array" ref="B2337">XLOOKUP(A2337,Data!F:F,Data!G:G)</f>
        <v>J3C</v>
      </c>
      <c r="C2337" s="19" t="str">
        <f t="shared" si="3"/>
        <v>J065</v>
      </c>
      <c r="D2337" s="19" t="str">
        <f t="array" ref="D2337">XLOOKUP(A2337,Data!F:F,Data!C:C)</f>
        <v/>
      </c>
      <c r="E2337" s="19" t="str">
        <f t="array" ref="E2337">XLOOKUP(A2337,Data!F:F,Data!H:H)</f>
        <v>BW</v>
      </c>
      <c r="F2337" s="106" t="str">
        <f>SUMIFS(Data!J:J,Data!F:F,A2337)</f>
        <v>1</v>
      </c>
      <c r="G2337" s="106" t="str">
        <f>SUMIFS(Cast!C:C,CastElements,A2337)</f>
        <v>0</v>
      </c>
      <c r="H2337" s="106" t="str">
        <f t="shared" si="4"/>
        <v>1</v>
      </c>
      <c r="I2337" s="106" t="str">
        <f>SUMIFS(Del!C:C,Del!B:B,A2337)</f>
        <v>0</v>
      </c>
      <c r="J2337" s="106" t="str">
        <f t="shared" si="5"/>
        <v>1</v>
      </c>
      <c r="K2337" s="106" t="str">
        <f t="shared" si="6"/>
        <v>0</v>
      </c>
      <c r="L2337" s="106"/>
      <c r="M2337" s="106" t="str">
        <f>SUMIFS(Ere!C:C,Ere!B:B,A2337)</f>
        <v>0</v>
      </c>
      <c r="N2337" s="106" t="str">
        <f t="shared" si="7"/>
        <v>1</v>
      </c>
      <c r="O2337" s="107" t="str">
        <f t="array" ref="O2337">XLOOKUP(A2337,Data!F:F,Data!O:O)</f>
        <v>  1.78 </v>
      </c>
      <c r="P2337" s="107" t="str">
        <f t="shared" si="8"/>
        <v>  4.46 </v>
      </c>
      <c r="Q2337" s="27"/>
    </row>
    <row r="2338" ht="15.75" customHeight="1">
      <c r="A2338" s="111" t="s">
        <v>2582</v>
      </c>
      <c r="B2338" s="19" t="str">
        <f t="array" ref="B2338">XLOOKUP(A2338,Data!F:F,Data!G:G)</f>
        <v>J3C</v>
      </c>
      <c r="C2338" s="19" t="str">
        <f t="shared" si="3"/>
        <v>J065</v>
      </c>
      <c r="D2338" s="19" t="str">
        <f t="array" ref="D2338">XLOOKUP(A2338,Data!F:F,Data!C:C)</f>
        <v/>
      </c>
      <c r="E2338" s="19" t="str">
        <f t="array" ref="E2338">XLOOKUP(A2338,Data!F:F,Data!H:H)</f>
        <v>BW</v>
      </c>
      <c r="F2338" s="106" t="str">
        <f>SUMIFS(Data!J:J,Data!F:F,A2338)</f>
        <v>1</v>
      </c>
      <c r="G2338" s="106" t="str">
        <f>SUMIFS(Cast!C:C,CastElements,A2338)</f>
        <v>0</v>
      </c>
      <c r="H2338" s="106" t="str">
        <f t="shared" si="4"/>
        <v>1</v>
      </c>
      <c r="I2338" s="106" t="str">
        <f>SUMIFS(Del!C:C,Del!B:B,A2338)</f>
        <v>0</v>
      </c>
      <c r="J2338" s="106" t="str">
        <f t="shared" si="5"/>
        <v>1</v>
      </c>
      <c r="K2338" s="106" t="str">
        <f t="shared" si="6"/>
        <v>0</v>
      </c>
      <c r="L2338" s="106"/>
      <c r="M2338" s="106" t="str">
        <f>SUMIFS(Ere!C:C,Ere!B:B,A2338)</f>
        <v>0</v>
      </c>
      <c r="N2338" s="106" t="str">
        <f t="shared" si="7"/>
        <v>1</v>
      </c>
      <c r="O2338" s="107" t="str">
        <f t="array" ref="O2338">XLOOKUP(A2338,Data!F:F,Data!O:O)</f>
        <v>  1.78 </v>
      </c>
      <c r="P2338" s="107" t="str">
        <f t="shared" si="8"/>
        <v>  4.46 </v>
      </c>
      <c r="Q2338" s="27"/>
    </row>
    <row r="2339" ht="15.75" customHeight="1">
      <c r="A2339" s="111" t="s">
        <v>2583</v>
      </c>
      <c r="B2339" s="19" t="str">
        <f t="array" ref="B2339">XLOOKUP(A2339,Data!F:F,Data!G:G)</f>
        <v>J3C</v>
      </c>
      <c r="C2339" s="19" t="str">
        <f t="shared" si="3"/>
        <v>J065</v>
      </c>
      <c r="D2339" s="19" t="str">
        <f t="array" ref="D2339">XLOOKUP(A2339,Data!F:F,Data!C:C)</f>
        <v/>
      </c>
      <c r="E2339" s="19" t="str">
        <f t="array" ref="E2339">XLOOKUP(A2339,Data!F:F,Data!H:H)</f>
        <v>BW</v>
      </c>
      <c r="F2339" s="106" t="str">
        <f>SUMIFS(Data!J:J,Data!F:F,A2339)</f>
        <v>1</v>
      </c>
      <c r="G2339" s="106" t="str">
        <f>SUMIFS(Cast!C:C,CastElements,A2339)</f>
        <v>0</v>
      </c>
      <c r="H2339" s="106" t="str">
        <f t="shared" si="4"/>
        <v>1</v>
      </c>
      <c r="I2339" s="106" t="str">
        <f>SUMIFS(Del!C:C,Del!B:B,A2339)</f>
        <v>0</v>
      </c>
      <c r="J2339" s="106" t="str">
        <f t="shared" si="5"/>
        <v>1</v>
      </c>
      <c r="K2339" s="106" t="str">
        <f t="shared" si="6"/>
        <v>0</v>
      </c>
      <c r="L2339" s="106"/>
      <c r="M2339" s="106" t="str">
        <f>SUMIFS(Ere!C:C,Ere!B:B,A2339)</f>
        <v>0</v>
      </c>
      <c r="N2339" s="106" t="str">
        <f t="shared" si="7"/>
        <v>1</v>
      </c>
      <c r="O2339" s="107" t="str">
        <f t="array" ref="O2339">XLOOKUP(A2339,Data!F:F,Data!O:O)</f>
        <v>  1.78 </v>
      </c>
      <c r="P2339" s="107" t="str">
        <f t="shared" si="8"/>
        <v>  4.46 </v>
      </c>
      <c r="Q2339" s="27"/>
    </row>
    <row r="2340" ht="15.75" customHeight="1">
      <c r="A2340" s="111" t="s">
        <v>2584</v>
      </c>
      <c r="B2340" s="19" t="str">
        <f t="array" ref="B2340">XLOOKUP(A2340,Data!F:F,Data!G:G)</f>
        <v>J3C</v>
      </c>
      <c r="C2340" s="19" t="str">
        <f t="shared" si="3"/>
        <v>J065</v>
      </c>
      <c r="D2340" s="19" t="str">
        <f t="array" ref="D2340">XLOOKUP(A2340,Data!F:F,Data!C:C)</f>
        <v/>
      </c>
      <c r="E2340" s="19" t="str">
        <f t="array" ref="E2340">XLOOKUP(A2340,Data!F:F,Data!H:H)</f>
        <v>BW</v>
      </c>
      <c r="F2340" s="106" t="str">
        <f>SUMIFS(Data!J:J,Data!F:F,A2340)</f>
        <v>1</v>
      </c>
      <c r="G2340" s="106" t="str">
        <f>SUMIFS(Cast!C:C,CastElements,A2340)</f>
        <v>0</v>
      </c>
      <c r="H2340" s="106" t="str">
        <f t="shared" si="4"/>
        <v>1</v>
      </c>
      <c r="I2340" s="106" t="str">
        <f>SUMIFS(Del!C:C,Del!B:B,A2340)</f>
        <v>0</v>
      </c>
      <c r="J2340" s="106" t="str">
        <f t="shared" si="5"/>
        <v>1</v>
      </c>
      <c r="K2340" s="106" t="str">
        <f t="shared" si="6"/>
        <v>0</v>
      </c>
      <c r="L2340" s="106"/>
      <c r="M2340" s="106" t="str">
        <f>SUMIFS(Ere!C:C,Ere!B:B,A2340)</f>
        <v>0</v>
      </c>
      <c r="N2340" s="106" t="str">
        <f t="shared" si="7"/>
        <v>1</v>
      </c>
      <c r="O2340" s="107" t="str">
        <f t="array" ref="O2340">XLOOKUP(A2340,Data!F:F,Data!O:O)</f>
        <v>  1.50 </v>
      </c>
      <c r="P2340" s="107" t="str">
        <f t="shared" si="8"/>
        <v>  3.74 </v>
      </c>
      <c r="Q2340" s="27"/>
    </row>
    <row r="2341" ht="15.75" customHeight="1">
      <c r="A2341" s="111" t="s">
        <v>2585</v>
      </c>
      <c r="B2341" s="19" t="str">
        <f t="array" ref="B2341">XLOOKUP(A2341,Data!F:F,Data!G:G)</f>
        <v>J3C</v>
      </c>
      <c r="C2341" s="19" t="str">
        <f t="shared" si="3"/>
        <v>J065</v>
      </c>
      <c r="D2341" s="19" t="str">
        <f t="array" ref="D2341">XLOOKUP(A2341,Data!F:F,Data!C:C)</f>
        <v>EXT</v>
      </c>
      <c r="E2341" s="19" t="str">
        <f t="array" ref="E2341">XLOOKUP(A2341,Data!F:F,Data!H:H)</f>
        <v>BW</v>
      </c>
      <c r="F2341" s="106" t="str">
        <f>SUMIFS(Data!J:J,Data!F:F,A2341)</f>
        <v>1</v>
      </c>
      <c r="G2341" s="106" t="str">
        <f>SUMIFS(Cast!C:C,CastElements,A2341)</f>
        <v>0</v>
      </c>
      <c r="H2341" s="106" t="str">
        <f t="shared" si="4"/>
        <v>1</v>
      </c>
      <c r="I2341" s="106" t="str">
        <f>SUMIFS(Del!C:C,Del!B:B,A2341)</f>
        <v>0</v>
      </c>
      <c r="J2341" s="106" t="str">
        <f t="shared" si="5"/>
        <v>1</v>
      </c>
      <c r="K2341" s="106" t="str">
        <f t="shared" si="6"/>
        <v>0</v>
      </c>
      <c r="L2341" s="106"/>
      <c r="M2341" s="106" t="str">
        <f>SUMIFS(Ere!C:C,Ere!B:B,A2341)</f>
        <v>0</v>
      </c>
      <c r="N2341" s="106" t="str">
        <f t="shared" si="7"/>
        <v>1</v>
      </c>
      <c r="O2341" s="107" t="str">
        <f t="array" ref="O2341">XLOOKUP(A2341,Data!F:F,Data!O:O)</f>
        <v>  0.97 </v>
      </c>
      <c r="P2341" s="107" t="str">
        <f t="shared" si="8"/>
        <v>  2.44 </v>
      </c>
      <c r="Q2341" s="27"/>
    </row>
    <row r="2342" ht="15.75" customHeight="1">
      <c r="A2342" s="111" t="s">
        <v>2586</v>
      </c>
      <c r="B2342" s="19" t="str">
        <f t="array" ref="B2342">XLOOKUP(A2342,Data!F:F,Data!G:G)</f>
        <v>J3C</v>
      </c>
      <c r="C2342" s="19" t="str">
        <f t="shared" si="3"/>
        <v>J065</v>
      </c>
      <c r="D2342" s="19" t="str">
        <f t="array" ref="D2342">XLOOKUP(A2342,Data!F:F,Data!C:C)</f>
        <v>EXT</v>
      </c>
      <c r="E2342" s="19" t="str">
        <f t="array" ref="E2342">XLOOKUP(A2342,Data!F:F,Data!H:H)</f>
        <v>BW</v>
      </c>
      <c r="F2342" s="106" t="str">
        <f>SUMIFS(Data!J:J,Data!F:F,A2342)</f>
        <v>1</v>
      </c>
      <c r="G2342" s="106" t="str">
        <f>SUMIFS(Cast!C:C,CastElements,A2342)</f>
        <v>0</v>
      </c>
      <c r="H2342" s="106" t="str">
        <f t="shared" si="4"/>
        <v>1</v>
      </c>
      <c r="I2342" s="106" t="str">
        <f>SUMIFS(Del!C:C,Del!B:B,A2342)</f>
        <v>0</v>
      </c>
      <c r="J2342" s="106" t="str">
        <f t="shared" si="5"/>
        <v>1</v>
      </c>
      <c r="K2342" s="106" t="str">
        <f t="shared" si="6"/>
        <v>0</v>
      </c>
      <c r="L2342" s="106"/>
      <c r="M2342" s="106" t="str">
        <f>SUMIFS(Ere!C:C,Ere!B:B,A2342)</f>
        <v>0</v>
      </c>
      <c r="N2342" s="106" t="str">
        <f t="shared" si="7"/>
        <v>1</v>
      </c>
      <c r="O2342" s="107" t="str">
        <f t="array" ref="O2342">XLOOKUP(A2342,Data!F:F,Data!O:O)</f>
        <v>  0.92 </v>
      </c>
      <c r="P2342" s="107" t="str">
        <f t="shared" si="8"/>
        <v>  2.29 </v>
      </c>
      <c r="Q2342" s="27"/>
    </row>
    <row r="2343" ht="15.75" customHeight="1">
      <c r="A2343" s="111" t="s">
        <v>2587</v>
      </c>
      <c r="B2343" s="19" t="str">
        <f t="array" ref="B2343">XLOOKUP(A2343,Data!F:F,Data!G:G)</f>
        <v>J3C</v>
      </c>
      <c r="C2343" s="19" t="str">
        <f t="shared" si="3"/>
        <v>J065</v>
      </c>
      <c r="D2343" s="19" t="str">
        <f t="array" ref="D2343">XLOOKUP(A2343,Data!F:F,Data!C:C)</f>
        <v/>
      </c>
      <c r="E2343" s="19" t="str">
        <f t="array" ref="E2343">XLOOKUP(A2343,Data!F:F,Data!H:H)</f>
        <v>BW</v>
      </c>
      <c r="F2343" s="106" t="str">
        <f>SUMIFS(Data!J:J,Data!F:F,A2343)</f>
        <v>1</v>
      </c>
      <c r="G2343" s="106" t="str">
        <f>SUMIFS(Cast!C:C,CastElements,A2343)</f>
        <v>1</v>
      </c>
      <c r="H2343" s="106" t="str">
        <f t="shared" si="4"/>
        <v>0</v>
      </c>
      <c r="I2343" s="106" t="str">
        <f>SUMIFS(Del!C:C,Del!B:B,A2343)</f>
        <v>0</v>
      </c>
      <c r="J2343" s="106" t="str">
        <f t="shared" si="5"/>
        <v>1</v>
      </c>
      <c r="K2343" s="106" t="str">
        <f t="shared" si="6"/>
        <v>1</v>
      </c>
      <c r="L2343" s="106"/>
      <c r="M2343" s="106" t="str">
        <f>SUMIFS(Ere!C:C,Ere!B:B,A2343)</f>
        <v>0</v>
      </c>
      <c r="N2343" s="106" t="str">
        <f t="shared" si="7"/>
        <v>1</v>
      </c>
      <c r="O2343" s="107" t="str">
        <f t="array" ref="O2343">XLOOKUP(A2343,Data!F:F,Data!O:O)</f>
        <v>  1.91 </v>
      </c>
      <c r="P2343" s="107" t="str">
        <f t="shared" si="8"/>
        <v>  4.79 </v>
      </c>
      <c r="Q2343" s="27"/>
    </row>
    <row r="2344" ht="15.75" customHeight="1">
      <c r="A2344" s="111" t="s">
        <v>2588</v>
      </c>
      <c r="B2344" s="19" t="str">
        <f t="array" ref="B2344">XLOOKUP(A2344,Data!F:F,Data!G:G)</f>
        <v>J3C</v>
      </c>
      <c r="C2344" s="19" t="str">
        <f t="shared" si="3"/>
        <v>J065</v>
      </c>
      <c r="D2344" s="19" t="str">
        <f t="array" ref="D2344">XLOOKUP(A2344,Data!F:F,Data!C:C)</f>
        <v/>
      </c>
      <c r="E2344" s="19" t="str">
        <f t="array" ref="E2344">XLOOKUP(A2344,Data!F:F,Data!H:H)</f>
        <v>BW</v>
      </c>
      <c r="F2344" s="106" t="str">
        <f>SUMIFS(Data!J:J,Data!F:F,A2344)</f>
        <v>1</v>
      </c>
      <c r="G2344" s="106" t="str">
        <f>SUMIFS(Cast!C:C,CastElements,A2344)</f>
        <v>1</v>
      </c>
      <c r="H2344" s="106" t="str">
        <f t="shared" si="4"/>
        <v>0</v>
      </c>
      <c r="I2344" s="106" t="str">
        <f>SUMIFS(Del!C:C,Del!B:B,A2344)</f>
        <v>0</v>
      </c>
      <c r="J2344" s="106" t="str">
        <f t="shared" si="5"/>
        <v>1</v>
      </c>
      <c r="K2344" s="106" t="str">
        <f t="shared" si="6"/>
        <v>1</v>
      </c>
      <c r="L2344" s="106"/>
      <c r="M2344" s="106" t="str">
        <f>SUMIFS(Ere!C:C,Ere!B:B,A2344)</f>
        <v>0</v>
      </c>
      <c r="N2344" s="106" t="str">
        <f t="shared" si="7"/>
        <v>1</v>
      </c>
      <c r="O2344" s="107" t="str">
        <f t="array" ref="O2344">XLOOKUP(A2344,Data!F:F,Data!O:O)</f>
        <v>  0.47 </v>
      </c>
      <c r="P2344" s="107" t="str">
        <f t="shared" si="8"/>
        <v>  1.18 </v>
      </c>
      <c r="Q2344" s="27"/>
    </row>
    <row r="2345" ht="15.75" customHeight="1">
      <c r="A2345" s="111" t="s">
        <v>2589</v>
      </c>
      <c r="B2345" s="19" t="str">
        <f t="array" ref="B2345">XLOOKUP(A2345,Data!F:F,Data!G:G)</f>
        <v>J3C</v>
      </c>
      <c r="C2345" s="19" t="str">
        <f t="shared" si="3"/>
        <v>J065</v>
      </c>
      <c r="D2345" s="19" t="str">
        <f t="array" ref="D2345">XLOOKUP(A2345,Data!F:F,Data!C:C)</f>
        <v>EXT</v>
      </c>
      <c r="E2345" s="19" t="str">
        <f t="array" ref="E2345">XLOOKUP(A2345,Data!F:F,Data!H:H)</f>
        <v>BW</v>
      </c>
      <c r="F2345" s="106" t="str">
        <f>SUMIFS(Data!J:J,Data!F:F,A2345)</f>
        <v>1</v>
      </c>
      <c r="G2345" s="106" t="str">
        <f>SUMIFS(Cast!C:C,CastElements,A2345)</f>
        <v>0</v>
      </c>
      <c r="H2345" s="106" t="str">
        <f t="shared" si="4"/>
        <v>1</v>
      </c>
      <c r="I2345" s="106" t="str">
        <f>SUMIFS(Del!C:C,Del!B:B,A2345)</f>
        <v>0</v>
      </c>
      <c r="J2345" s="106" t="str">
        <f t="shared" si="5"/>
        <v>1</v>
      </c>
      <c r="K2345" s="106" t="str">
        <f t="shared" si="6"/>
        <v>0</v>
      </c>
      <c r="L2345" s="106"/>
      <c r="M2345" s="106" t="str">
        <f>SUMIFS(Ere!C:C,Ere!B:B,A2345)</f>
        <v>0</v>
      </c>
      <c r="N2345" s="106" t="str">
        <f t="shared" si="7"/>
        <v>1</v>
      </c>
      <c r="O2345" s="107" t="str">
        <f t="array" ref="O2345">XLOOKUP(A2345,Data!F:F,Data!O:O)</f>
        <v>  1.05 </v>
      </c>
      <c r="P2345" s="107" t="str">
        <f t="shared" si="8"/>
        <v>  2.62 </v>
      </c>
      <c r="Q2345" s="27"/>
    </row>
    <row r="2346" ht="15.75" customHeight="1">
      <c r="A2346" s="111" t="s">
        <v>2590</v>
      </c>
      <c r="B2346" s="19" t="str">
        <f t="array" ref="B2346">XLOOKUP(A2346,Data!F:F,Data!G:G)</f>
        <v>J3C</v>
      </c>
      <c r="C2346" s="19" t="str">
        <f t="shared" si="3"/>
        <v>J065</v>
      </c>
      <c r="D2346" s="19" t="str">
        <f t="array" ref="D2346">XLOOKUP(A2346,Data!F:F,Data!C:C)</f>
        <v/>
      </c>
      <c r="E2346" s="19" t="str">
        <f t="array" ref="E2346">XLOOKUP(A2346,Data!F:F,Data!H:H)</f>
        <v>BW</v>
      </c>
      <c r="F2346" s="106" t="str">
        <f>SUMIFS(Data!J:J,Data!F:F,A2346)</f>
        <v>1</v>
      </c>
      <c r="G2346" s="106" t="str">
        <f>SUMIFS(Cast!C:C,CastElements,A2346)</f>
        <v>1</v>
      </c>
      <c r="H2346" s="106" t="str">
        <f t="shared" si="4"/>
        <v>0</v>
      </c>
      <c r="I2346" s="106" t="str">
        <f>SUMIFS(Del!C:C,Del!B:B,A2346)</f>
        <v>0</v>
      </c>
      <c r="J2346" s="106" t="str">
        <f t="shared" si="5"/>
        <v>1</v>
      </c>
      <c r="K2346" s="106" t="str">
        <f t="shared" si="6"/>
        <v>1</v>
      </c>
      <c r="L2346" s="106"/>
      <c r="M2346" s="106" t="str">
        <f>SUMIFS(Ere!C:C,Ere!B:B,A2346)</f>
        <v>0</v>
      </c>
      <c r="N2346" s="106" t="str">
        <f t="shared" si="7"/>
        <v>1</v>
      </c>
      <c r="O2346" s="107" t="str">
        <f t="array" ref="O2346">XLOOKUP(A2346,Data!F:F,Data!O:O)</f>
        <v>  1.89 </v>
      </c>
      <c r="P2346" s="107" t="str">
        <f t="shared" si="8"/>
        <v>  4.74 </v>
      </c>
      <c r="Q2346" s="27"/>
    </row>
    <row r="2347" ht="15.75" customHeight="1">
      <c r="A2347" s="111" t="s">
        <v>2591</v>
      </c>
      <c r="B2347" s="19" t="str">
        <f t="array" ref="B2347">XLOOKUP(A2347,Data!F:F,Data!G:G)</f>
        <v>J3C</v>
      </c>
      <c r="C2347" s="19" t="str">
        <f t="shared" si="3"/>
        <v>J065</v>
      </c>
      <c r="D2347" s="19" t="str">
        <f t="array" ref="D2347">XLOOKUP(A2347,Data!F:F,Data!C:C)</f>
        <v/>
      </c>
      <c r="E2347" s="19" t="str">
        <f t="array" ref="E2347">XLOOKUP(A2347,Data!F:F,Data!H:H)</f>
        <v>BW</v>
      </c>
      <c r="F2347" s="106" t="str">
        <f>SUMIFS(Data!J:J,Data!F:F,A2347)</f>
        <v>1</v>
      </c>
      <c r="G2347" s="106" t="str">
        <f>SUMIFS(Cast!C:C,CastElements,A2347)</f>
        <v>1</v>
      </c>
      <c r="H2347" s="106" t="str">
        <f t="shared" si="4"/>
        <v>0</v>
      </c>
      <c r="I2347" s="106" t="str">
        <f>SUMIFS(Del!C:C,Del!B:B,A2347)</f>
        <v>0</v>
      </c>
      <c r="J2347" s="106" t="str">
        <f t="shared" si="5"/>
        <v>1</v>
      </c>
      <c r="K2347" s="106" t="str">
        <f t="shared" si="6"/>
        <v>1</v>
      </c>
      <c r="L2347" s="106"/>
      <c r="M2347" s="106" t="str">
        <f>SUMIFS(Ere!C:C,Ere!B:B,A2347)</f>
        <v>0</v>
      </c>
      <c r="N2347" s="106" t="str">
        <f t="shared" si="7"/>
        <v>1</v>
      </c>
      <c r="O2347" s="107" t="str">
        <f t="array" ref="O2347">XLOOKUP(A2347,Data!F:F,Data!O:O)</f>
        <v>  1.78 </v>
      </c>
      <c r="P2347" s="107" t="str">
        <f t="shared" si="8"/>
        <v>  4.46 </v>
      </c>
      <c r="Q2347" s="27"/>
    </row>
    <row r="2348" ht="15.75" customHeight="1">
      <c r="A2348" s="111" t="s">
        <v>2592</v>
      </c>
      <c r="B2348" s="19" t="str">
        <f t="array" ref="B2348">XLOOKUP(A2348,Data!F:F,Data!G:G)</f>
        <v>J3C</v>
      </c>
      <c r="C2348" s="19" t="str">
        <f t="shared" si="3"/>
        <v>J065</v>
      </c>
      <c r="D2348" s="19" t="str">
        <f t="array" ref="D2348">XLOOKUP(A2348,Data!F:F,Data!C:C)</f>
        <v/>
      </c>
      <c r="E2348" s="19" t="str">
        <f t="array" ref="E2348">XLOOKUP(A2348,Data!F:F,Data!H:H)</f>
        <v>BW</v>
      </c>
      <c r="F2348" s="106" t="str">
        <f>SUMIFS(Data!J:J,Data!F:F,A2348)</f>
        <v>1</v>
      </c>
      <c r="G2348" s="106" t="str">
        <f>SUMIFS(Cast!C:C,CastElements,A2348)</f>
        <v>1</v>
      </c>
      <c r="H2348" s="106" t="str">
        <f t="shared" si="4"/>
        <v>0</v>
      </c>
      <c r="I2348" s="106" t="str">
        <f>SUMIFS(Del!C:C,Del!B:B,A2348)</f>
        <v>0</v>
      </c>
      <c r="J2348" s="106" t="str">
        <f t="shared" si="5"/>
        <v>1</v>
      </c>
      <c r="K2348" s="106" t="str">
        <f t="shared" si="6"/>
        <v>1</v>
      </c>
      <c r="L2348" s="106"/>
      <c r="M2348" s="106" t="str">
        <f>SUMIFS(Ere!C:C,Ere!B:B,A2348)</f>
        <v>0</v>
      </c>
      <c r="N2348" s="106" t="str">
        <f t="shared" si="7"/>
        <v>1</v>
      </c>
      <c r="O2348" s="107" t="str">
        <f t="array" ref="O2348">XLOOKUP(A2348,Data!F:F,Data!O:O)</f>
        <v>  1.78 </v>
      </c>
      <c r="P2348" s="107" t="str">
        <f t="shared" si="8"/>
        <v>  4.46 </v>
      </c>
      <c r="Q2348" s="27"/>
    </row>
    <row r="2349" ht="15.75" customHeight="1">
      <c r="A2349" s="111" t="s">
        <v>2593</v>
      </c>
      <c r="B2349" s="19" t="str">
        <f t="array" ref="B2349">XLOOKUP(A2349,Data!F:F,Data!G:G)</f>
        <v>J3C</v>
      </c>
      <c r="C2349" s="19" t="str">
        <f t="shared" si="3"/>
        <v>J065</v>
      </c>
      <c r="D2349" s="19" t="str">
        <f t="array" ref="D2349">XLOOKUP(A2349,Data!F:F,Data!C:C)</f>
        <v/>
      </c>
      <c r="E2349" s="19" t="str">
        <f t="array" ref="E2349">XLOOKUP(A2349,Data!F:F,Data!H:H)</f>
        <v>BW</v>
      </c>
      <c r="F2349" s="106" t="str">
        <f>SUMIFS(Data!J:J,Data!F:F,A2349)</f>
        <v>1</v>
      </c>
      <c r="G2349" s="106" t="str">
        <f>SUMIFS(Cast!C:C,CastElements,A2349)</f>
        <v>1</v>
      </c>
      <c r="H2349" s="106" t="str">
        <f t="shared" si="4"/>
        <v>0</v>
      </c>
      <c r="I2349" s="106" t="str">
        <f>SUMIFS(Del!C:C,Del!B:B,A2349)</f>
        <v>0</v>
      </c>
      <c r="J2349" s="106" t="str">
        <f t="shared" si="5"/>
        <v>1</v>
      </c>
      <c r="K2349" s="106" t="str">
        <f t="shared" si="6"/>
        <v>1</v>
      </c>
      <c r="L2349" s="106"/>
      <c r="M2349" s="106" t="str">
        <f>SUMIFS(Ere!C:C,Ere!B:B,A2349)</f>
        <v>0</v>
      </c>
      <c r="N2349" s="106" t="str">
        <f t="shared" si="7"/>
        <v>1</v>
      </c>
      <c r="O2349" s="107" t="str">
        <f t="array" ref="O2349">XLOOKUP(A2349,Data!F:F,Data!O:O)</f>
        <v>  1.78 </v>
      </c>
      <c r="P2349" s="107" t="str">
        <f t="shared" si="8"/>
        <v>  4.46 </v>
      </c>
      <c r="Q2349" s="27"/>
    </row>
    <row r="2350" ht="15.75" customHeight="1">
      <c r="A2350" s="111" t="s">
        <v>2594</v>
      </c>
      <c r="B2350" s="19" t="str">
        <f t="array" ref="B2350">XLOOKUP(A2350,Data!F:F,Data!G:G)</f>
        <v>J3C</v>
      </c>
      <c r="C2350" s="19" t="str">
        <f t="shared" si="3"/>
        <v>J065</v>
      </c>
      <c r="D2350" s="19" t="str">
        <f t="array" ref="D2350">XLOOKUP(A2350,Data!F:F,Data!C:C)</f>
        <v/>
      </c>
      <c r="E2350" s="19" t="str">
        <f t="array" ref="E2350">XLOOKUP(A2350,Data!F:F,Data!H:H)</f>
        <v>BW</v>
      </c>
      <c r="F2350" s="106" t="str">
        <f>SUMIFS(Data!J:J,Data!F:F,A2350)</f>
        <v>1</v>
      </c>
      <c r="G2350" s="106" t="str">
        <f>SUMIFS(Cast!C:C,CastElements,A2350)</f>
        <v>0</v>
      </c>
      <c r="H2350" s="106" t="str">
        <f t="shared" si="4"/>
        <v>1</v>
      </c>
      <c r="I2350" s="106" t="str">
        <f>SUMIFS(Del!C:C,Del!B:B,A2350)</f>
        <v>0</v>
      </c>
      <c r="J2350" s="106" t="str">
        <f t="shared" si="5"/>
        <v>1</v>
      </c>
      <c r="K2350" s="106" t="str">
        <f t="shared" si="6"/>
        <v>0</v>
      </c>
      <c r="L2350" s="106"/>
      <c r="M2350" s="106" t="str">
        <f>SUMIFS(Ere!C:C,Ere!B:B,A2350)</f>
        <v>0</v>
      </c>
      <c r="N2350" s="106" t="str">
        <f t="shared" si="7"/>
        <v>1</v>
      </c>
      <c r="O2350" s="107" t="str">
        <f t="array" ref="O2350">XLOOKUP(A2350,Data!F:F,Data!O:O)</f>
        <v>  1.61 </v>
      </c>
      <c r="P2350" s="107" t="str">
        <f t="shared" si="8"/>
        <v>  4.03 </v>
      </c>
      <c r="Q2350" s="27"/>
    </row>
    <row r="2351" ht="15.75" customHeight="1">
      <c r="A2351" s="111" t="s">
        <v>2595</v>
      </c>
      <c r="B2351" s="19" t="str">
        <f t="array" ref="B2351">XLOOKUP(A2351,Data!F:F,Data!G:G)</f>
        <v>J3C</v>
      </c>
      <c r="C2351" s="19" t="str">
        <f t="shared" si="3"/>
        <v>J065</v>
      </c>
      <c r="D2351" s="19" t="str">
        <f t="array" ref="D2351">XLOOKUP(A2351,Data!F:F,Data!C:C)</f>
        <v/>
      </c>
      <c r="E2351" s="19" t="str">
        <f t="array" ref="E2351">XLOOKUP(A2351,Data!F:F,Data!H:H)</f>
        <v>BW</v>
      </c>
      <c r="F2351" s="106" t="str">
        <f>SUMIFS(Data!J:J,Data!F:F,A2351)</f>
        <v>1</v>
      </c>
      <c r="G2351" s="106" t="str">
        <f>SUMIFS(Cast!C:C,CastElements,A2351)</f>
        <v>0</v>
      </c>
      <c r="H2351" s="106" t="str">
        <f t="shared" si="4"/>
        <v>1</v>
      </c>
      <c r="I2351" s="106" t="str">
        <f>SUMIFS(Del!C:C,Del!B:B,A2351)</f>
        <v>0</v>
      </c>
      <c r="J2351" s="106" t="str">
        <f t="shared" si="5"/>
        <v>1</v>
      </c>
      <c r="K2351" s="106" t="str">
        <f t="shared" si="6"/>
        <v>0</v>
      </c>
      <c r="L2351" s="106"/>
      <c r="M2351" s="106" t="str">
        <f>SUMIFS(Ere!C:C,Ere!B:B,A2351)</f>
        <v>0</v>
      </c>
      <c r="N2351" s="106" t="str">
        <f t="shared" si="7"/>
        <v>1</v>
      </c>
      <c r="O2351" s="107" t="str">
        <f t="array" ref="O2351">XLOOKUP(A2351,Data!F:F,Data!O:O)</f>
        <v>  0.34 </v>
      </c>
      <c r="P2351" s="107" t="str">
        <f t="shared" si="8"/>
        <v>  0.85 </v>
      </c>
      <c r="Q2351" s="27"/>
    </row>
    <row r="2352" ht="15.75" customHeight="1">
      <c r="A2352" s="111" t="s">
        <v>2596</v>
      </c>
      <c r="B2352" s="19" t="str">
        <f t="array" ref="B2352">XLOOKUP(A2352,Data!F:F,Data!G:G)</f>
        <v>J3C</v>
      </c>
      <c r="C2352" s="19" t="str">
        <f t="shared" si="3"/>
        <v>J065</v>
      </c>
      <c r="D2352" s="19" t="str">
        <f t="array" ref="D2352">XLOOKUP(A2352,Data!F:F,Data!C:C)</f>
        <v/>
      </c>
      <c r="E2352" s="19" t="str">
        <f t="array" ref="E2352">XLOOKUP(A2352,Data!F:F,Data!H:H)</f>
        <v>CF</v>
      </c>
      <c r="F2352" s="106" t="str">
        <f>SUMIFS(Data!J:J,Data!F:F,A2352)</f>
        <v>1</v>
      </c>
      <c r="G2352" s="106" t="str">
        <f>SUMIFS(Cast!C:C,CastElements,A2352)</f>
        <v>0</v>
      </c>
      <c r="H2352" s="106" t="str">
        <f t="shared" si="4"/>
        <v>1</v>
      </c>
      <c r="I2352" s="106" t="str">
        <f>SUMIFS(Del!C:C,Del!B:B,A2352)</f>
        <v>0</v>
      </c>
      <c r="J2352" s="106" t="str">
        <f t="shared" si="5"/>
        <v>1</v>
      </c>
      <c r="K2352" s="106" t="str">
        <f t="shared" si="6"/>
        <v>0</v>
      </c>
      <c r="L2352" s="106"/>
      <c r="M2352" s="106" t="str">
        <f>SUMIFS(Ere!C:C,Ere!B:B,A2352)</f>
        <v>0</v>
      </c>
      <c r="N2352" s="106" t="str">
        <f t="shared" si="7"/>
        <v>1</v>
      </c>
      <c r="O2352" s="107" t="str">
        <f t="array" ref="O2352">XLOOKUP(A2352,Data!F:F,Data!O:O)</f>
        <v>  0.47 </v>
      </c>
      <c r="P2352" s="107" t="str">
        <f t="shared" si="8"/>
        <v>  1.17 </v>
      </c>
      <c r="Q2352" s="27"/>
    </row>
    <row r="2353" ht="15.75" customHeight="1">
      <c r="A2353" s="111" t="s">
        <v>2597</v>
      </c>
      <c r="B2353" s="19" t="str">
        <f t="array" ref="B2353">XLOOKUP(A2353,Data!F:F,Data!G:G)</f>
        <v>J3C</v>
      </c>
      <c r="C2353" s="19" t="str">
        <f t="shared" si="3"/>
        <v>J066</v>
      </c>
      <c r="D2353" s="19" t="str">
        <f t="array" ref="D2353">XLOOKUP(A2353,Data!F:F,Data!C:C)</f>
        <v>EXT</v>
      </c>
      <c r="E2353" s="19" t="str">
        <f t="array" ref="E2353">XLOOKUP(A2353,Data!F:F,Data!H:H)</f>
        <v>BW</v>
      </c>
      <c r="F2353" s="106" t="str">
        <f>SUMIFS(Data!J:J,Data!F:F,A2353)</f>
        <v>1</v>
      </c>
      <c r="G2353" s="106" t="str">
        <f>SUMIFS(Cast!C:C,CastElements,A2353)</f>
        <v>0</v>
      </c>
      <c r="H2353" s="106" t="str">
        <f t="shared" si="4"/>
        <v>1</v>
      </c>
      <c r="I2353" s="106" t="str">
        <f>SUMIFS(Del!C:C,Del!B:B,A2353)</f>
        <v>0</v>
      </c>
      <c r="J2353" s="106" t="str">
        <f t="shared" si="5"/>
        <v>1</v>
      </c>
      <c r="K2353" s="106" t="str">
        <f t="shared" si="6"/>
        <v>0</v>
      </c>
      <c r="L2353" s="106"/>
      <c r="M2353" s="106" t="str">
        <f>SUMIFS(Ere!C:C,Ere!B:B,A2353)</f>
        <v>0</v>
      </c>
      <c r="N2353" s="106" t="str">
        <f t="shared" si="7"/>
        <v>1</v>
      </c>
      <c r="O2353" s="107" t="str">
        <f t="array" ref="O2353">XLOOKUP(A2353,Data!F:F,Data!O:O)</f>
        <v>  0.92 </v>
      </c>
      <c r="P2353" s="107" t="str">
        <f t="shared" si="8"/>
        <v>  2.29 </v>
      </c>
      <c r="Q2353" s="27"/>
    </row>
    <row r="2354" ht="15.75" customHeight="1">
      <c r="A2354" s="111" t="s">
        <v>2598</v>
      </c>
      <c r="B2354" s="19" t="str">
        <f t="array" ref="B2354">XLOOKUP(A2354,Data!F:F,Data!G:G)</f>
        <v>J3C</v>
      </c>
      <c r="C2354" s="19" t="str">
        <f t="shared" si="3"/>
        <v>J066</v>
      </c>
      <c r="D2354" s="19" t="str">
        <f t="array" ref="D2354">XLOOKUP(A2354,Data!F:F,Data!C:C)</f>
        <v/>
      </c>
      <c r="E2354" s="19" t="str">
        <f t="array" ref="E2354">XLOOKUP(A2354,Data!F:F,Data!H:H)</f>
        <v>BW</v>
      </c>
      <c r="F2354" s="106" t="str">
        <f>SUMIFS(Data!J:J,Data!F:F,A2354)</f>
        <v>1</v>
      </c>
      <c r="G2354" s="106" t="str">
        <f>SUMIFS(Cast!C:C,CastElements,A2354)</f>
        <v>1</v>
      </c>
      <c r="H2354" s="106" t="str">
        <f t="shared" si="4"/>
        <v>0</v>
      </c>
      <c r="I2354" s="106" t="str">
        <f>SUMIFS(Del!C:C,Del!B:B,A2354)</f>
        <v>0</v>
      </c>
      <c r="J2354" s="106" t="str">
        <f t="shared" si="5"/>
        <v>1</v>
      </c>
      <c r="K2354" s="106" t="str">
        <f t="shared" si="6"/>
        <v>1</v>
      </c>
      <c r="L2354" s="106"/>
      <c r="M2354" s="106" t="str">
        <f>SUMIFS(Ere!C:C,Ere!B:B,A2354)</f>
        <v>0</v>
      </c>
      <c r="N2354" s="106" t="str">
        <f t="shared" si="7"/>
        <v>1</v>
      </c>
      <c r="O2354" s="107" t="str">
        <f t="array" ref="O2354">XLOOKUP(A2354,Data!F:F,Data!O:O)</f>
        <v>  1.78 </v>
      </c>
      <c r="P2354" s="107" t="str">
        <f t="shared" si="8"/>
        <v>  4.46 </v>
      </c>
      <c r="Q2354" s="27"/>
    </row>
    <row r="2355" ht="15.75" customHeight="1">
      <c r="A2355" s="111" t="s">
        <v>2599</v>
      </c>
      <c r="B2355" s="19" t="str">
        <f t="array" ref="B2355">XLOOKUP(A2355,Data!F:F,Data!G:G)</f>
        <v>J3C</v>
      </c>
      <c r="C2355" s="19" t="str">
        <f t="shared" si="3"/>
        <v>J066</v>
      </c>
      <c r="D2355" s="19" t="str">
        <f t="array" ref="D2355">XLOOKUP(A2355,Data!F:F,Data!C:C)</f>
        <v/>
      </c>
      <c r="E2355" s="19" t="str">
        <f t="array" ref="E2355">XLOOKUP(A2355,Data!F:F,Data!H:H)</f>
        <v>BW</v>
      </c>
      <c r="F2355" s="106" t="str">
        <f>SUMIFS(Data!J:J,Data!F:F,A2355)</f>
        <v>1</v>
      </c>
      <c r="G2355" s="106" t="str">
        <f>SUMIFS(Cast!C:C,CastElements,A2355)</f>
        <v>1</v>
      </c>
      <c r="H2355" s="106" t="str">
        <f t="shared" si="4"/>
        <v>0</v>
      </c>
      <c r="I2355" s="106" t="str">
        <f>SUMIFS(Del!C:C,Del!B:B,A2355)</f>
        <v>0</v>
      </c>
      <c r="J2355" s="106" t="str">
        <f t="shared" si="5"/>
        <v>1</v>
      </c>
      <c r="K2355" s="106" t="str">
        <f t="shared" si="6"/>
        <v>1</v>
      </c>
      <c r="L2355" s="106"/>
      <c r="M2355" s="106" t="str">
        <f>SUMIFS(Ere!C:C,Ere!B:B,A2355)</f>
        <v>0</v>
      </c>
      <c r="N2355" s="106" t="str">
        <f t="shared" si="7"/>
        <v>1</v>
      </c>
      <c r="O2355" s="107" t="str">
        <f t="array" ref="O2355">XLOOKUP(A2355,Data!F:F,Data!O:O)</f>
        <v>  1.78 </v>
      </c>
      <c r="P2355" s="107" t="str">
        <f t="shared" si="8"/>
        <v>  4.46 </v>
      </c>
      <c r="Q2355" s="27"/>
    </row>
    <row r="2356" ht="15.75" customHeight="1">
      <c r="A2356" s="111" t="s">
        <v>2600</v>
      </c>
      <c r="B2356" s="19" t="str">
        <f t="array" ref="B2356">XLOOKUP(A2356,Data!F:F,Data!G:G)</f>
        <v>J3C</v>
      </c>
      <c r="C2356" s="19" t="str">
        <f t="shared" si="3"/>
        <v>J066</v>
      </c>
      <c r="D2356" s="19" t="str">
        <f t="array" ref="D2356">XLOOKUP(A2356,Data!F:F,Data!C:C)</f>
        <v/>
      </c>
      <c r="E2356" s="19" t="str">
        <f t="array" ref="E2356">XLOOKUP(A2356,Data!F:F,Data!H:H)</f>
        <v>BW</v>
      </c>
      <c r="F2356" s="106" t="str">
        <f>SUMIFS(Data!J:J,Data!F:F,A2356)</f>
        <v>1</v>
      </c>
      <c r="G2356" s="106" t="str">
        <f>SUMIFS(Cast!C:C,CastElements,A2356)</f>
        <v>0</v>
      </c>
      <c r="H2356" s="106" t="str">
        <f t="shared" si="4"/>
        <v>1</v>
      </c>
      <c r="I2356" s="106" t="str">
        <f>SUMIFS(Del!C:C,Del!B:B,A2356)</f>
        <v>0</v>
      </c>
      <c r="J2356" s="106" t="str">
        <f t="shared" si="5"/>
        <v>1</v>
      </c>
      <c r="K2356" s="106" t="str">
        <f t="shared" si="6"/>
        <v>0</v>
      </c>
      <c r="L2356" s="106"/>
      <c r="M2356" s="106" t="str">
        <f>SUMIFS(Ere!C:C,Ere!B:B,A2356)</f>
        <v>0</v>
      </c>
      <c r="N2356" s="106" t="str">
        <f t="shared" si="7"/>
        <v>1</v>
      </c>
      <c r="O2356" s="107" t="str">
        <f t="array" ref="O2356">XLOOKUP(A2356,Data!F:F,Data!O:O)</f>
        <v>  1.78 </v>
      </c>
      <c r="P2356" s="107" t="str">
        <f t="shared" si="8"/>
        <v>  4.46 </v>
      </c>
      <c r="Q2356" s="27"/>
    </row>
    <row r="2357" ht="15.75" customHeight="1">
      <c r="A2357" s="111" t="s">
        <v>2601</v>
      </c>
      <c r="B2357" s="19" t="str">
        <f t="array" ref="B2357">XLOOKUP(A2357,Data!F:F,Data!G:G)</f>
        <v>J3C</v>
      </c>
      <c r="C2357" s="19" t="str">
        <f t="shared" si="3"/>
        <v>J066</v>
      </c>
      <c r="D2357" s="19" t="str">
        <f t="array" ref="D2357">XLOOKUP(A2357,Data!F:F,Data!C:C)</f>
        <v>EXT</v>
      </c>
      <c r="E2357" s="19" t="str">
        <f t="array" ref="E2357">XLOOKUP(A2357,Data!F:F,Data!H:H)</f>
        <v>BW</v>
      </c>
      <c r="F2357" s="106" t="str">
        <f>SUMIFS(Data!J:J,Data!F:F,A2357)</f>
        <v>1</v>
      </c>
      <c r="G2357" s="106" t="str">
        <f>SUMIFS(Cast!C:C,CastElements,A2357)</f>
        <v>0</v>
      </c>
      <c r="H2357" s="106" t="str">
        <f t="shared" si="4"/>
        <v>1</v>
      </c>
      <c r="I2357" s="106" t="str">
        <f>SUMIFS(Del!C:C,Del!B:B,A2357)</f>
        <v>0</v>
      </c>
      <c r="J2357" s="106" t="str">
        <f t="shared" si="5"/>
        <v>1</v>
      </c>
      <c r="K2357" s="106" t="str">
        <f t="shared" si="6"/>
        <v>0</v>
      </c>
      <c r="L2357" s="106"/>
      <c r="M2357" s="106" t="str">
        <f>SUMIFS(Ere!C:C,Ere!B:B,A2357)</f>
        <v>0</v>
      </c>
      <c r="N2357" s="106" t="str">
        <f t="shared" si="7"/>
        <v>1</v>
      </c>
      <c r="O2357" s="107" t="str">
        <f t="array" ref="O2357">XLOOKUP(A2357,Data!F:F,Data!O:O)</f>
        <v>  0.94 </v>
      </c>
      <c r="P2357" s="107" t="str">
        <f t="shared" si="8"/>
        <v>  2.34 </v>
      </c>
      <c r="Q2357" s="27"/>
    </row>
    <row r="2358" ht="15.75" customHeight="1">
      <c r="A2358" s="111" t="s">
        <v>2602</v>
      </c>
      <c r="B2358" s="19" t="str">
        <f t="array" ref="B2358">XLOOKUP(A2358,Data!F:F,Data!G:G)</f>
        <v>J3C</v>
      </c>
      <c r="C2358" s="19" t="str">
        <f t="shared" si="3"/>
        <v>J066</v>
      </c>
      <c r="D2358" s="19" t="str">
        <f t="array" ref="D2358">XLOOKUP(A2358,Data!F:F,Data!C:C)</f>
        <v>EXT</v>
      </c>
      <c r="E2358" s="19" t="str">
        <f t="array" ref="E2358">XLOOKUP(A2358,Data!F:F,Data!H:H)</f>
        <v>BW</v>
      </c>
      <c r="F2358" s="106" t="str">
        <f>SUMIFS(Data!J:J,Data!F:F,A2358)</f>
        <v>1</v>
      </c>
      <c r="G2358" s="106" t="str">
        <f>SUMIFS(Cast!C:C,CastElements,A2358)</f>
        <v>0</v>
      </c>
      <c r="H2358" s="106" t="str">
        <f t="shared" si="4"/>
        <v>1</v>
      </c>
      <c r="I2358" s="106" t="str">
        <f>SUMIFS(Del!C:C,Del!B:B,A2358)</f>
        <v>0</v>
      </c>
      <c r="J2358" s="106" t="str">
        <f t="shared" si="5"/>
        <v>1</v>
      </c>
      <c r="K2358" s="106" t="str">
        <f t="shared" si="6"/>
        <v>0</v>
      </c>
      <c r="L2358" s="106"/>
      <c r="M2358" s="106" t="str">
        <f>SUMIFS(Ere!C:C,Ere!B:B,A2358)</f>
        <v>0</v>
      </c>
      <c r="N2358" s="106" t="str">
        <f t="shared" si="7"/>
        <v>1</v>
      </c>
      <c r="O2358" s="107" t="str">
        <f t="array" ref="O2358">XLOOKUP(A2358,Data!F:F,Data!O:O)</f>
        <v>  0.94 </v>
      </c>
      <c r="P2358" s="107" t="str">
        <f t="shared" si="8"/>
        <v>  2.34 </v>
      </c>
      <c r="Q2358" s="27"/>
    </row>
    <row r="2359" ht="15.75" customHeight="1">
      <c r="A2359" s="111" t="s">
        <v>2603</v>
      </c>
      <c r="B2359" s="19" t="str">
        <f t="array" ref="B2359">XLOOKUP(A2359,Data!F:F,Data!G:G)</f>
        <v>J3C</v>
      </c>
      <c r="C2359" s="19" t="str">
        <f t="shared" si="3"/>
        <v>J066</v>
      </c>
      <c r="D2359" s="19" t="str">
        <f t="array" ref="D2359">XLOOKUP(A2359,Data!F:F,Data!C:C)</f>
        <v>EXT</v>
      </c>
      <c r="E2359" s="19" t="str">
        <f t="array" ref="E2359">XLOOKUP(A2359,Data!F:F,Data!H:H)</f>
        <v>BW</v>
      </c>
      <c r="F2359" s="106" t="str">
        <f>SUMIFS(Data!J:J,Data!F:F,A2359)</f>
        <v>1</v>
      </c>
      <c r="G2359" s="106" t="str">
        <f>SUMIFS(Cast!C:C,CastElements,A2359)</f>
        <v>0</v>
      </c>
      <c r="H2359" s="106" t="str">
        <f t="shared" si="4"/>
        <v>1</v>
      </c>
      <c r="I2359" s="106" t="str">
        <f>SUMIFS(Del!C:C,Del!B:B,A2359)</f>
        <v>0</v>
      </c>
      <c r="J2359" s="106" t="str">
        <f t="shared" si="5"/>
        <v>1</v>
      </c>
      <c r="K2359" s="106" t="str">
        <f t="shared" si="6"/>
        <v>0</v>
      </c>
      <c r="L2359" s="106"/>
      <c r="M2359" s="106" t="str">
        <f>SUMIFS(Ere!C:C,Ere!B:B,A2359)</f>
        <v>0</v>
      </c>
      <c r="N2359" s="106" t="str">
        <f t="shared" si="7"/>
        <v>1</v>
      </c>
      <c r="O2359" s="107" t="str">
        <f t="array" ref="O2359">XLOOKUP(A2359,Data!F:F,Data!O:O)</f>
        <v>  0.52 </v>
      </c>
      <c r="P2359" s="107" t="str">
        <f t="shared" si="8"/>
        <v>  1.30 </v>
      </c>
      <c r="Q2359" s="27"/>
    </row>
    <row r="2360" ht="15.75" customHeight="1">
      <c r="A2360" s="111" t="s">
        <v>2604</v>
      </c>
      <c r="B2360" s="19" t="str">
        <f t="array" ref="B2360">XLOOKUP(A2360,Data!F:F,Data!G:G)</f>
        <v>J3C</v>
      </c>
      <c r="C2360" s="19" t="str">
        <f t="shared" si="3"/>
        <v>J066</v>
      </c>
      <c r="D2360" s="19" t="str">
        <f t="array" ref="D2360">XLOOKUP(A2360,Data!F:F,Data!C:C)</f>
        <v>EXT</v>
      </c>
      <c r="E2360" s="19" t="str">
        <f t="array" ref="E2360">XLOOKUP(A2360,Data!F:F,Data!H:H)</f>
        <v>BW</v>
      </c>
      <c r="F2360" s="106" t="str">
        <f>SUMIFS(Data!J:J,Data!F:F,A2360)</f>
        <v>1</v>
      </c>
      <c r="G2360" s="106" t="str">
        <f>SUMIFS(Cast!C:C,CastElements,A2360)</f>
        <v>0</v>
      </c>
      <c r="H2360" s="106" t="str">
        <f t="shared" si="4"/>
        <v>1</v>
      </c>
      <c r="I2360" s="106" t="str">
        <f>SUMIFS(Del!C:C,Del!B:B,A2360)</f>
        <v>0</v>
      </c>
      <c r="J2360" s="106" t="str">
        <f t="shared" si="5"/>
        <v>1</v>
      </c>
      <c r="K2360" s="106" t="str">
        <f t="shared" si="6"/>
        <v>0</v>
      </c>
      <c r="L2360" s="106"/>
      <c r="M2360" s="106" t="str">
        <f>SUMIFS(Ere!C:C,Ere!B:B,A2360)</f>
        <v>0</v>
      </c>
      <c r="N2360" s="106" t="str">
        <f t="shared" si="7"/>
        <v>1</v>
      </c>
      <c r="O2360" s="107" t="str">
        <f t="array" ref="O2360">XLOOKUP(A2360,Data!F:F,Data!O:O)</f>
        <v>  0.52 </v>
      </c>
      <c r="P2360" s="107" t="str">
        <f t="shared" si="8"/>
        <v>  1.30 </v>
      </c>
      <c r="Q2360" s="27"/>
    </row>
    <row r="2361" ht="15.75" customHeight="1">
      <c r="A2361" s="111" t="s">
        <v>2605</v>
      </c>
      <c r="B2361" s="19" t="str">
        <f t="array" ref="B2361">XLOOKUP(A2361,Data!F:F,Data!G:G)</f>
        <v>J3C</v>
      </c>
      <c r="C2361" s="19" t="str">
        <f t="shared" si="3"/>
        <v>J066</v>
      </c>
      <c r="D2361" s="19" t="str">
        <f t="array" ref="D2361">XLOOKUP(A2361,Data!F:F,Data!C:C)</f>
        <v>EXT</v>
      </c>
      <c r="E2361" s="19" t="str">
        <f t="array" ref="E2361">XLOOKUP(A2361,Data!F:F,Data!H:H)</f>
        <v>BW</v>
      </c>
      <c r="F2361" s="106" t="str">
        <f>SUMIFS(Data!J:J,Data!F:F,A2361)</f>
        <v>1</v>
      </c>
      <c r="G2361" s="106" t="str">
        <f>SUMIFS(Cast!C:C,CastElements,A2361)</f>
        <v>0</v>
      </c>
      <c r="H2361" s="106" t="str">
        <f t="shared" si="4"/>
        <v>1</v>
      </c>
      <c r="I2361" s="106" t="str">
        <f>SUMIFS(Del!C:C,Del!B:B,A2361)</f>
        <v>0</v>
      </c>
      <c r="J2361" s="106" t="str">
        <f t="shared" si="5"/>
        <v>1</v>
      </c>
      <c r="K2361" s="106" t="str">
        <f t="shared" si="6"/>
        <v>0</v>
      </c>
      <c r="L2361" s="106"/>
      <c r="M2361" s="106" t="str">
        <f>SUMIFS(Ere!C:C,Ere!B:B,A2361)</f>
        <v>0</v>
      </c>
      <c r="N2361" s="106" t="str">
        <f t="shared" si="7"/>
        <v>1</v>
      </c>
      <c r="O2361" s="107" t="str">
        <f t="array" ref="O2361">XLOOKUP(A2361,Data!F:F,Data!O:O)</f>
        <v>  0.59 </v>
      </c>
      <c r="P2361" s="107" t="str">
        <f t="shared" si="8"/>
        <v>  1.48 </v>
      </c>
      <c r="Q2361" s="27"/>
    </row>
    <row r="2362" ht="15.75" customHeight="1">
      <c r="A2362" s="111" t="s">
        <v>2606</v>
      </c>
      <c r="B2362" s="19" t="str">
        <f t="array" ref="B2362">XLOOKUP(A2362,Data!F:F,Data!G:G)</f>
        <v>J3C</v>
      </c>
      <c r="C2362" s="19" t="str">
        <f t="shared" si="3"/>
        <v>J066</v>
      </c>
      <c r="D2362" s="19" t="str">
        <f t="array" ref="D2362">XLOOKUP(A2362,Data!F:F,Data!C:C)</f>
        <v/>
      </c>
      <c r="E2362" s="19" t="str">
        <f t="array" ref="E2362">XLOOKUP(A2362,Data!F:F,Data!H:H)</f>
        <v>BW</v>
      </c>
      <c r="F2362" s="106" t="str">
        <f>SUMIFS(Data!J:J,Data!F:F,A2362)</f>
        <v>1</v>
      </c>
      <c r="G2362" s="106" t="str">
        <f>SUMIFS(Cast!C:C,CastElements,A2362)</f>
        <v>0</v>
      </c>
      <c r="H2362" s="106" t="str">
        <f t="shared" si="4"/>
        <v>1</v>
      </c>
      <c r="I2362" s="106" t="str">
        <f>SUMIFS(Del!C:C,Del!B:B,A2362)</f>
        <v>0</v>
      </c>
      <c r="J2362" s="106" t="str">
        <f t="shared" si="5"/>
        <v>1</v>
      </c>
      <c r="K2362" s="106" t="str">
        <f t="shared" si="6"/>
        <v>0</v>
      </c>
      <c r="L2362" s="106"/>
      <c r="M2362" s="106" t="str">
        <f>SUMIFS(Ere!C:C,Ere!B:B,A2362)</f>
        <v>0</v>
      </c>
      <c r="N2362" s="106" t="str">
        <f t="shared" si="7"/>
        <v>1</v>
      </c>
      <c r="O2362" s="107" t="str">
        <f t="array" ref="O2362">XLOOKUP(A2362,Data!F:F,Data!O:O)</f>
        <v>  1.51 </v>
      </c>
      <c r="P2362" s="107" t="str">
        <f t="shared" si="8"/>
        <v>  3.78 </v>
      </c>
      <c r="Q2362" s="27"/>
    </row>
    <row r="2363" ht="15.75" customHeight="1">
      <c r="A2363" s="111" t="s">
        <v>2607</v>
      </c>
      <c r="B2363" s="19" t="str">
        <f t="array" ref="B2363">XLOOKUP(A2363,Data!F:F,Data!G:G)</f>
        <v>J3C</v>
      </c>
      <c r="C2363" s="19" t="str">
        <f t="shared" si="3"/>
        <v>J066</v>
      </c>
      <c r="D2363" s="19" t="str">
        <f t="array" ref="D2363">XLOOKUP(A2363,Data!F:F,Data!C:C)</f>
        <v/>
      </c>
      <c r="E2363" s="19" t="str">
        <f t="array" ref="E2363">XLOOKUP(A2363,Data!F:F,Data!H:H)</f>
        <v>BW</v>
      </c>
      <c r="F2363" s="106" t="str">
        <f>SUMIFS(Data!J:J,Data!F:F,A2363)</f>
        <v>1</v>
      </c>
      <c r="G2363" s="106" t="str">
        <f>SUMIFS(Cast!C:C,CastElements,A2363)</f>
        <v>1</v>
      </c>
      <c r="H2363" s="106" t="str">
        <f t="shared" si="4"/>
        <v>0</v>
      </c>
      <c r="I2363" s="106" t="str">
        <f>SUMIFS(Del!C:C,Del!B:B,A2363)</f>
        <v>0</v>
      </c>
      <c r="J2363" s="106" t="str">
        <f t="shared" si="5"/>
        <v>1</v>
      </c>
      <c r="K2363" s="106" t="str">
        <f t="shared" si="6"/>
        <v>1</v>
      </c>
      <c r="L2363" s="106"/>
      <c r="M2363" s="106" t="str">
        <f>SUMIFS(Ere!C:C,Ere!B:B,A2363)</f>
        <v>0</v>
      </c>
      <c r="N2363" s="106" t="str">
        <f t="shared" si="7"/>
        <v>1</v>
      </c>
      <c r="O2363" s="107" t="str">
        <f t="array" ref="O2363">XLOOKUP(A2363,Data!F:F,Data!O:O)</f>
        <v>  1.91 </v>
      </c>
      <c r="P2363" s="107" t="str">
        <f t="shared" si="8"/>
        <v>  4.79 </v>
      </c>
      <c r="Q2363" s="27"/>
    </row>
    <row r="2364" ht="15.75" customHeight="1">
      <c r="A2364" s="111" t="s">
        <v>2608</v>
      </c>
      <c r="B2364" s="19" t="str">
        <f t="array" ref="B2364">XLOOKUP(A2364,Data!F:F,Data!G:G)</f>
        <v>J3C</v>
      </c>
      <c r="C2364" s="19" t="str">
        <f t="shared" si="3"/>
        <v>J066</v>
      </c>
      <c r="D2364" s="19" t="str">
        <f t="array" ref="D2364">XLOOKUP(A2364,Data!F:F,Data!C:C)</f>
        <v/>
      </c>
      <c r="E2364" s="19" t="str">
        <f t="array" ref="E2364">XLOOKUP(A2364,Data!F:F,Data!H:H)</f>
        <v>BW</v>
      </c>
      <c r="F2364" s="106" t="str">
        <f>SUMIFS(Data!J:J,Data!F:F,A2364)</f>
        <v>1</v>
      </c>
      <c r="G2364" s="106" t="str">
        <f>SUMIFS(Cast!C:C,CastElements,A2364)</f>
        <v>0</v>
      </c>
      <c r="H2364" s="106" t="str">
        <f t="shared" si="4"/>
        <v>1</v>
      </c>
      <c r="I2364" s="106" t="str">
        <f>SUMIFS(Del!C:C,Del!B:B,A2364)</f>
        <v>0</v>
      </c>
      <c r="J2364" s="106" t="str">
        <f t="shared" si="5"/>
        <v>1</v>
      </c>
      <c r="K2364" s="106" t="str">
        <f t="shared" si="6"/>
        <v>0</v>
      </c>
      <c r="L2364" s="106"/>
      <c r="M2364" s="106" t="str">
        <f>SUMIFS(Ere!C:C,Ere!B:B,A2364)</f>
        <v>0</v>
      </c>
      <c r="N2364" s="106" t="str">
        <f t="shared" si="7"/>
        <v>1</v>
      </c>
      <c r="O2364" s="107" t="str">
        <f t="array" ref="O2364">XLOOKUP(A2364,Data!F:F,Data!O:O)</f>
        <v>  1.91 </v>
      </c>
      <c r="P2364" s="107" t="str">
        <f t="shared" si="8"/>
        <v>  4.79 </v>
      </c>
      <c r="Q2364" s="27"/>
    </row>
    <row r="2365" ht="15.75" customHeight="1">
      <c r="A2365" s="111" t="s">
        <v>2609</v>
      </c>
      <c r="B2365" s="19" t="str">
        <f t="array" ref="B2365">XLOOKUP(A2365,Data!F:F,Data!G:G)</f>
        <v>J3C</v>
      </c>
      <c r="C2365" s="19" t="str">
        <f t="shared" si="3"/>
        <v>J066</v>
      </c>
      <c r="D2365" s="19" t="str">
        <f t="array" ref="D2365">XLOOKUP(A2365,Data!F:F,Data!C:C)</f>
        <v/>
      </c>
      <c r="E2365" s="19" t="str">
        <f t="array" ref="E2365">XLOOKUP(A2365,Data!F:F,Data!H:H)</f>
        <v>BW</v>
      </c>
      <c r="F2365" s="106" t="str">
        <f>SUMIFS(Data!J:J,Data!F:F,A2365)</f>
        <v>1</v>
      </c>
      <c r="G2365" s="106" t="str">
        <f>SUMIFS(Cast!C:C,CastElements,A2365)</f>
        <v>1</v>
      </c>
      <c r="H2365" s="106" t="str">
        <f t="shared" si="4"/>
        <v>0</v>
      </c>
      <c r="I2365" s="106" t="str">
        <f>SUMIFS(Del!C:C,Del!B:B,A2365)</f>
        <v>0</v>
      </c>
      <c r="J2365" s="106" t="str">
        <f t="shared" si="5"/>
        <v>1</v>
      </c>
      <c r="K2365" s="106" t="str">
        <f t="shared" si="6"/>
        <v>1</v>
      </c>
      <c r="L2365" s="106"/>
      <c r="M2365" s="106" t="str">
        <f>SUMIFS(Ere!C:C,Ere!B:B,A2365)</f>
        <v>0</v>
      </c>
      <c r="N2365" s="106" t="str">
        <f t="shared" si="7"/>
        <v>1</v>
      </c>
      <c r="O2365" s="107" t="str">
        <f t="array" ref="O2365">XLOOKUP(A2365,Data!F:F,Data!O:O)</f>
        <v>  1.81 </v>
      </c>
      <c r="P2365" s="107" t="str">
        <f t="shared" si="8"/>
        <v>  4.53 </v>
      </c>
      <c r="Q2365" s="27"/>
    </row>
    <row r="2366" ht="15.75" customHeight="1">
      <c r="A2366" s="111" t="s">
        <v>2610</v>
      </c>
      <c r="B2366" s="19" t="str">
        <f t="array" ref="B2366">XLOOKUP(A2366,Data!F:F,Data!G:G)</f>
        <v>J3C</v>
      </c>
      <c r="C2366" s="19" t="str">
        <f t="shared" si="3"/>
        <v>J066</v>
      </c>
      <c r="D2366" s="19" t="str">
        <f t="array" ref="D2366">XLOOKUP(A2366,Data!F:F,Data!C:C)</f>
        <v/>
      </c>
      <c r="E2366" s="19" t="str">
        <f t="array" ref="E2366">XLOOKUP(A2366,Data!F:F,Data!H:H)</f>
        <v>BW</v>
      </c>
      <c r="F2366" s="106" t="str">
        <f>SUMIFS(Data!J:J,Data!F:F,A2366)</f>
        <v>1</v>
      </c>
      <c r="G2366" s="106" t="str">
        <f>SUMIFS(Cast!C:C,CastElements,A2366)</f>
        <v>1</v>
      </c>
      <c r="H2366" s="106" t="str">
        <f t="shared" si="4"/>
        <v>0</v>
      </c>
      <c r="I2366" s="106" t="str">
        <f>SUMIFS(Del!C:C,Del!B:B,A2366)</f>
        <v>0</v>
      </c>
      <c r="J2366" s="106" t="str">
        <f t="shared" si="5"/>
        <v>1</v>
      </c>
      <c r="K2366" s="106" t="str">
        <f t="shared" si="6"/>
        <v>1</v>
      </c>
      <c r="L2366" s="106"/>
      <c r="M2366" s="106" t="str">
        <f>SUMIFS(Ere!C:C,Ere!B:B,A2366)</f>
        <v>0</v>
      </c>
      <c r="N2366" s="106" t="str">
        <f t="shared" si="7"/>
        <v>1</v>
      </c>
      <c r="O2366" s="107" t="str">
        <f t="array" ref="O2366">XLOOKUP(A2366,Data!F:F,Data!O:O)</f>
        <v>  1.81 </v>
      </c>
      <c r="P2366" s="107" t="str">
        <f t="shared" si="8"/>
        <v>  4.53 </v>
      </c>
      <c r="Q2366" s="27"/>
    </row>
    <row r="2367" ht="15.75" customHeight="1">
      <c r="A2367" s="111" t="s">
        <v>2611</v>
      </c>
      <c r="B2367" s="19" t="str">
        <f t="array" ref="B2367">XLOOKUP(A2367,Data!F:F,Data!G:G)</f>
        <v>J3C</v>
      </c>
      <c r="C2367" s="19" t="str">
        <f t="shared" si="3"/>
        <v>J066</v>
      </c>
      <c r="D2367" s="19" t="str">
        <f t="array" ref="D2367">XLOOKUP(A2367,Data!F:F,Data!C:C)</f>
        <v/>
      </c>
      <c r="E2367" s="19" t="str">
        <f t="array" ref="E2367">XLOOKUP(A2367,Data!F:F,Data!H:H)</f>
        <v>BW</v>
      </c>
      <c r="F2367" s="106" t="str">
        <f>SUMIFS(Data!J:J,Data!F:F,A2367)</f>
        <v>1</v>
      </c>
      <c r="G2367" s="106" t="str">
        <f>SUMIFS(Cast!C:C,CastElements,A2367)</f>
        <v>1</v>
      </c>
      <c r="H2367" s="106" t="str">
        <f t="shared" si="4"/>
        <v>0</v>
      </c>
      <c r="I2367" s="106" t="str">
        <f>SUMIFS(Del!C:C,Del!B:B,A2367)</f>
        <v>0</v>
      </c>
      <c r="J2367" s="106" t="str">
        <f t="shared" si="5"/>
        <v>1</v>
      </c>
      <c r="K2367" s="106" t="str">
        <f t="shared" si="6"/>
        <v>1</v>
      </c>
      <c r="L2367" s="106"/>
      <c r="M2367" s="106" t="str">
        <f>SUMIFS(Ere!C:C,Ere!B:B,A2367)</f>
        <v>0</v>
      </c>
      <c r="N2367" s="106" t="str">
        <f t="shared" si="7"/>
        <v>1</v>
      </c>
      <c r="O2367" s="107" t="str">
        <f t="array" ref="O2367">XLOOKUP(A2367,Data!F:F,Data!O:O)</f>
        <v>  1.81 </v>
      </c>
      <c r="P2367" s="107" t="str">
        <f t="shared" si="8"/>
        <v>  4.53 </v>
      </c>
      <c r="Q2367" s="27"/>
    </row>
    <row r="2368" ht="15.75" customHeight="1">
      <c r="A2368" s="111" t="s">
        <v>2612</v>
      </c>
      <c r="B2368" s="19" t="str">
        <f t="array" ref="B2368">XLOOKUP(A2368,Data!F:F,Data!G:G)</f>
        <v>J3C</v>
      </c>
      <c r="C2368" s="19" t="str">
        <f t="shared" si="3"/>
        <v>J066</v>
      </c>
      <c r="D2368" s="19" t="str">
        <f t="array" ref="D2368">XLOOKUP(A2368,Data!F:F,Data!C:C)</f>
        <v/>
      </c>
      <c r="E2368" s="19" t="str">
        <f t="array" ref="E2368">XLOOKUP(A2368,Data!F:F,Data!H:H)</f>
        <v>BW</v>
      </c>
      <c r="F2368" s="106" t="str">
        <f>SUMIFS(Data!J:J,Data!F:F,A2368)</f>
        <v>1</v>
      </c>
      <c r="G2368" s="106" t="str">
        <f>SUMIFS(Cast!C:C,CastElements,A2368)</f>
        <v>0</v>
      </c>
      <c r="H2368" s="106" t="str">
        <f t="shared" si="4"/>
        <v>1</v>
      </c>
      <c r="I2368" s="106" t="str">
        <f>SUMIFS(Del!C:C,Del!B:B,A2368)</f>
        <v>0</v>
      </c>
      <c r="J2368" s="106" t="str">
        <f t="shared" si="5"/>
        <v>1</v>
      </c>
      <c r="K2368" s="106" t="str">
        <f t="shared" si="6"/>
        <v>0</v>
      </c>
      <c r="L2368" s="106"/>
      <c r="M2368" s="106" t="str">
        <f>SUMIFS(Ere!C:C,Ere!B:B,A2368)</f>
        <v>0</v>
      </c>
      <c r="N2368" s="106" t="str">
        <f t="shared" si="7"/>
        <v>1</v>
      </c>
      <c r="O2368" s="107" t="str">
        <f t="array" ref="O2368">XLOOKUP(A2368,Data!F:F,Data!O:O)</f>
        <v>  1.53 </v>
      </c>
      <c r="P2368" s="107" t="str">
        <f t="shared" si="8"/>
        <v>  3.82 </v>
      </c>
      <c r="Q2368" s="27"/>
    </row>
    <row r="2369" ht="15.75" customHeight="1">
      <c r="A2369" s="111" t="s">
        <v>2613</v>
      </c>
      <c r="B2369" s="19" t="str">
        <f t="array" ref="B2369">XLOOKUP(A2369,Data!F:F,Data!G:G)</f>
        <v>J3C</v>
      </c>
      <c r="C2369" s="19" t="str">
        <f t="shared" si="3"/>
        <v>J066</v>
      </c>
      <c r="D2369" s="19" t="str">
        <f t="array" ref="D2369">XLOOKUP(A2369,Data!F:F,Data!C:C)</f>
        <v/>
      </c>
      <c r="E2369" s="19" t="str">
        <f t="array" ref="E2369">XLOOKUP(A2369,Data!F:F,Data!H:H)</f>
        <v>BW</v>
      </c>
      <c r="F2369" s="106" t="str">
        <f>SUMIFS(Data!J:J,Data!F:F,A2369)</f>
        <v>1</v>
      </c>
      <c r="G2369" s="106" t="str">
        <f>SUMIFS(Cast!C:C,CastElements,A2369)</f>
        <v>0</v>
      </c>
      <c r="H2369" s="106" t="str">
        <f t="shared" si="4"/>
        <v>1</v>
      </c>
      <c r="I2369" s="106" t="str">
        <f>SUMIFS(Del!C:C,Del!B:B,A2369)</f>
        <v>0</v>
      </c>
      <c r="J2369" s="106" t="str">
        <f t="shared" si="5"/>
        <v>1</v>
      </c>
      <c r="K2369" s="106" t="str">
        <f t="shared" si="6"/>
        <v>0</v>
      </c>
      <c r="L2369" s="106"/>
      <c r="M2369" s="106" t="str">
        <f>SUMIFS(Ere!C:C,Ere!B:B,A2369)</f>
        <v>0</v>
      </c>
      <c r="N2369" s="106" t="str">
        <f t="shared" si="7"/>
        <v>1</v>
      </c>
      <c r="O2369" s="107" t="str">
        <f t="array" ref="O2369">XLOOKUP(A2369,Data!F:F,Data!O:O)</f>
        <v>  0.34 </v>
      </c>
      <c r="P2369" s="107" t="str">
        <f t="shared" si="8"/>
        <v>  0.85 </v>
      </c>
      <c r="Q2369" s="27"/>
    </row>
    <row r="2370" ht="15.75" customHeight="1">
      <c r="A2370" s="111" t="s">
        <v>2614</v>
      </c>
      <c r="B2370" s="19" t="str">
        <f t="array" ref="B2370">XLOOKUP(A2370,Data!F:F,Data!G:G)</f>
        <v>J3C</v>
      </c>
      <c r="C2370" s="19" t="str">
        <f t="shared" si="3"/>
        <v>J066</v>
      </c>
      <c r="D2370" s="19" t="str">
        <f t="array" ref="D2370">XLOOKUP(A2370,Data!F:F,Data!C:C)</f>
        <v/>
      </c>
      <c r="E2370" s="19" t="str">
        <f t="array" ref="E2370">XLOOKUP(A2370,Data!F:F,Data!H:H)</f>
        <v>CF</v>
      </c>
      <c r="F2370" s="106" t="str">
        <f>SUMIFS(Data!J:J,Data!F:F,A2370)</f>
        <v>1</v>
      </c>
      <c r="G2370" s="106" t="str">
        <f>SUMIFS(Cast!C:C,CastElements,A2370)</f>
        <v>0</v>
      </c>
      <c r="H2370" s="106" t="str">
        <f t="shared" si="4"/>
        <v>1</v>
      </c>
      <c r="I2370" s="106" t="str">
        <f>SUMIFS(Del!C:C,Del!B:B,A2370)</f>
        <v>0</v>
      </c>
      <c r="J2370" s="106" t="str">
        <f t="shared" si="5"/>
        <v>1</v>
      </c>
      <c r="K2370" s="106" t="str">
        <f t="shared" si="6"/>
        <v>0</v>
      </c>
      <c r="L2370" s="106"/>
      <c r="M2370" s="106" t="str">
        <f>SUMIFS(Ere!C:C,Ere!B:B,A2370)</f>
        <v>0</v>
      </c>
      <c r="N2370" s="106" t="str">
        <f t="shared" si="7"/>
        <v>1</v>
      </c>
      <c r="O2370" s="107" t="str">
        <f t="array" ref="O2370">XLOOKUP(A2370,Data!F:F,Data!O:O)</f>
        <v>  0.47 </v>
      </c>
      <c r="P2370" s="107" t="str">
        <f t="shared" si="8"/>
        <v>  1.17 </v>
      </c>
      <c r="Q2370" s="27"/>
    </row>
    <row r="2371" ht="15.75" customHeight="1">
      <c r="A2371" s="111" t="s">
        <v>2615</v>
      </c>
      <c r="B2371" s="19" t="str">
        <f t="array" ref="B2371">XLOOKUP(A2371,Data!F:F,Data!G:G)</f>
        <v>J3C</v>
      </c>
      <c r="C2371" s="19" t="str">
        <f t="shared" si="3"/>
        <v>J067</v>
      </c>
      <c r="D2371" s="19" t="str">
        <f t="array" ref="D2371">XLOOKUP(A2371,Data!F:F,Data!C:C)</f>
        <v>EXT</v>
      </c>
      <c r="E2371" s="19" t="str">
        <f t="array" ref="E2371">XLOOKUP(A2371,Data!F:F,Data!H:H)</f>
        <v>BW</v>
      </c>
      <c r="F2371" s="106" t="str">
        <f>SUMIFS(Data!J:J,Data!F:F,A2371)</f>
        <v>1</v>
      </c>
      <c r="G2371" s="106" t="str">
        <f>SUMIFS(Cast!C:C,CastElements,A2371)</f>
        <v>0</v>
      </c>
      <c r="H2371" s="106" t="str">
        <f t="shared" si="4"/>
        <v>1</v>
      </c>
      <c r="I2371" s="106" t="str">
        <f>SUMIFS(Del!C:C,Del!B:B,A2371)</f>
        <v>0</v>
      </c>
      <c r="J2371" s="106" t="str">
        <f t="shared" si="5"/>
        <v>1</v>
      </c>
      <c r="K2371" s="106" t="str">
        <f t="shared" si="6"/>
        <v>0</v>
      </c>
      <c r="L2371" s="106"/>
      <c r="M2371" s="106" t="str">
        <f>SUMIFS(Ere!C:C,Ere!B:B,A2371)</f>
        <v>0</v>
      </c>
      <c r="N2371" s="106" t="str">
        <f t="shared" si="7"/>
        <v>1</v>
      </c>
      <c r="O2371" s="107" t="str">
        <f t="array" ref="O2371">XLOOKUP(A2371,Data!F:F,Data!O:O)</f>
        <v>  0.92 </v>
      </c>
      <c r="P2371" s="107" t="str">
        <f t="shared" si="8"/>
        <v>  2.29 </v>
      </c>
      <c r="Q2371" s="27"/>
    </row>
    <row r="2372" ht="15.75" customHeight="1">
      <c r="A2372" s="111" t="s">
        <v>2616</v>
      </c>
      <c r="B2372" s="19" t="str">
        <f t="array" ref="B2372">XLOOKUP(A2372,Data!F:F,Data!G:G)</f>
        <v>J3C</v>
      </c>
      <c r="C2372" s="19" t="str">
        <f t="shared" si="3"/>
        <v>J067</v>
      </c>
      <c r="D2372" s="19" t="str">
        <f t="array" ref="D2372">XLOOKUP(A2372,Data!F:F,Data!C:C)</f>
        <v/>
      </c>
      <c r="E2372" s="19" t="str">
        <f t="array" ref="E2372">XLOOKUP(A2372,Data!F:F,Data!H:H)</f>
        <v>BW</v>
      </c>
      <c r="F2372" s="106" t="str">
        <f>SUMIFS(Data!J:J,Data!F:F,A2372)</f>
        <v>1</v>
      </c>
      <c r="G2372" s="106" t="str">
        <f>SUMIFS(Cast!C:C,CastElements,A2372)</f>
        <v>1</v>
      </c>
      <c r="H2372" s="106" t="str">
        <f t="shared" si="4"/>
        <v>0</v>
      </c>
      <c r="I2372" s="106" t="str">
        <f>SUMIFS(Del!C:C,Del!B:B,A2372)</f>
        <v>0</v>
      </c>
      <c r="J2372" s="106" t="str">
        <f t="shared" si="5"/>
        <v>1</v>
      </c>
      <c r="K2372" s="106" t="str">
        <f t="shared" si="6"/>
        <v>1</v>
      </c>
      <c r="L2372" s="106"/>
      <c r="M2372" s="106" t="str">
        <f>SUMIFS(Ere!C:C,Ere!B:B,A2372)</f>
        <v>0</v>
      </c>
      <c r="N2372" s="106" t="str">
        <f t="shared" si="7"/>
        <v>1</v>
      </c>
      <c r="O2372" s="107" t="str">
        <f t="array" ref="O2372">XLOOKUP(A2372,Data!F:F,Data!O:O)</f>
        <v>  1.81 </v>
      </c>
      <c r="P2372" s="107" t="str">
        <f t="shared" si="8"/>
        <v>  4.53 </v>
      </c>
      <c r="Q2372" s="27"/>
    </row>
    <row r="2373" ht="15.75" customHeight="1">
      <c r="A2373" s="111" t="s">
        <v>2617</v>
      </c>
      <c r="B2373" s="19" t="str">
        <f t="array" ref="B2373">XLOOKUP(A2373,Data!F:F,Data!G:G)</f>
        <v>J3C</v>
      </c>
      <c r="C2373" s="19" t="str">
        <f t="shared" si="3"/>
        <v>J067</v>
      </c>
      <c r="D2373" s="19" t="str">
        <f t="array" ref="D2373">XLOOKUP(A2373,Data!F:F,Data!C:C)</f>
        <v/>
      </c>
      <c r="E2373" s="19" t="str">
        <f t="array" ref="E2373">XLOOKUP(A2373,Data!F:F,Data!H:H)</f>
        <v>BW</v>
      </c>
      <c r="F2373" s="106" t="str">
        <f>SUMIFS(Data!J:J,Data!F:F,A2373)</f>
        <v>1</v>
      </c>
      <c r="G2373" s="106" t="str">
        <f>SUMIFS(Cast!C:C,CastElements,A2373)</f>
        <v>1</v>
      </c>
      <c r="H2373" s="106" t="str">
        <f t="shared" si="4"/>
        <v>0</v>
      </c>
      <c r="I2373" s="106" t="str">
        <f>SUMIFS(Del!C:C,Del!B:B,A2373)</f>
        <v>0</v>
      </c>
      <c r="J2373" s="106" t="str">
        <f t="shared" si="5"/>
        <v>1</v>
      </c>
      <c r="K2373" s="106" t="str">
        <f t="shared" si="6"/>
        <v>1</v>
      </c>
      <c r="L2373" s="106"/>
      <c r="M2373" s="106" t="str">
        <f>SUMIFS(Ere!C:C,Ere!B:B,A2373)</f>
        <v>0</v>
      </c>
      <c r="N2373" s="106" t="str">
        <f t="shared" si="7"/>
        <v>1</v>
      </c>
      <c r="O2373" s="107" t="str">
        <f t="array" ref="O2373">XLOOKUP(A2373,Data!F:F,Data!O:O)</f>
        <v>  1.81 </v>
      </c>
      <c r="P2373" s="107" t="str">
        <f t="shared" si="8"/>
        <v>  4.53 </v>
      </c>
      <c r="Q2373" s="27"/>
    </row>
    <row r="2374" ht="15.75" customHeight="1">
      <c r="A2374" s="111" t="s">
        <v>2618</v>
      </c>
      <c r="B2374" s="19" t="str">
        <f t="array" ref="B2374">XLOOKUP(A2374,Data!F:F,Data!G:G)</f>
        <v>J3C</v>
      </c>
      <c r="C2374" s="19" t="str">
        <f t="shared" si="3"/>
        <v>J067</v>
      </c>
      <c r="D2374" s="19" t="str">
        <f t="array" ref="D2374">XLOOKUP(A2374,Data!F:F,Data!C:C)</f>
        <v/>
      </c>
      <c r="E2374" s="19" t="str">
        <f t="array" ref="E2374">XLOOKUP(A2374,Data!F:F,Data!H:H)</f>
        <v>BW</v>
      </c>
      <c r="F2374" s="106" t="str">
        <f>SUMIFS(Data!J:J,Data!F:F,A2374)</f>
        <v>1</v>
      </c>
      <c r="G2374" s="106" t="str">
        <f>SUMIFS(Cast!C:C,CastElements,A2374)</f>
        <v>0</v>
      </c>
      <c r="H2374" s="106" t="str">
        <f t="shared" si="4"/>
        <v>1</v>
      </c>
      <c r="I2374" s="106" t="str">
        <f>SUMIFS(Del!C:C,Del!B:B,A2374)</f>
        <v>0</v>
      </c>
      <c r="J2374" s="106" t="str">
        <f t="shared" si="5"/>
        <v>1</v>
      </c>
      <c r="K2374" s="106" t="str">
        <f t="shared" si="6"/>
        <v>0</v>
      </c>
      <c r="L2374" s="106"/>
      <c r="M2374" s="106" t="str">
        <f>SUMIFS(Ere!C:C,Ere!B:B,A2374)</f>
        <v>0</v>
      </c>
      <c r="N2374" s="106" t="str">
        <f t="shared" si="7"/>
        <v>1</v>
      </c>
      <c r="O2374" s="107" t="str">
        <f t="array" ref="O2374">XLOOKUP(A2374,Data!F:F,Data!O:O)</f>
        <v>  1.81 </v>
      </c>
      <c r="P2374" s="107" t="str">
        <f t="shared" si="8"/>
        <v>  4.53 </v>
      </c>
      <c r="Q2374" s="27"/>
    </row>
    <row r="2375" ht="15.75" customHeight="1">
      <c r="A2375" s="111" t="s">
        <v>2619</v>
      </c>
      <c r="B2375" s="19" t="str">
        <f t="array" ref="B2375">XLOOKUP(A2375,Data!F:F,Data!G:G)</f>
        <v>J3C</v>
      </c>
      <c r="C2375" s="19" t="str">
        <f t="shared" si="3"/>
        <v>J067</v>
      </c>
      <c r="D2375" s="19" t="str">
        <f t="array" ref="D2375">XLOOKUP(A2375,Data!F:F,Data!C:C)</f>
        <v>EXT</v>
      </c>
      <c r="E2375" s="19" t="str">
        <f t="array" ref="E2375">XLOOKUP(A2375,Data!F:F,Data!H:H)</f>
        <v>BW</v>
      </c>
      <c r="F2375" s="106" t="str">
        <f>SUMIFS(Data!J:J,Data!F:F,A2375)</f>
        <v>1</v>
      </c>
      <c r="G2375" s="106" t="str">
        <f>SUMIFS(Cast!C:C,CastElements,A2375)</f>
        <v>0</v>
      </c>
      <c r="H2375" s="106" t="str">
        <f t="shared" si="4"/>
        <v>1</v>
      </c>
      <c r="I2375" s="106" t="str">
        <f>SUMIFS(Del!C:C,Del!B:B,A2375)</f>
        <v>0</v>
      </c>
      <c r="J2375" s="106" t="str">
        <f t="shared" si="5"/>
        <v>1</v>
      </c>
      <c r="K2375" s="106" t="str">
        <f t="shared" si="6"/>
        <v>0</v>
      </c>
      <c r="L2375" s="106"/>
      <c r="M2375" s="106" t="str">
        <f>SUMIFS(Ere!C:C,Ere!B:B,A2375)</f>
        <v>0</v>
      </c>
      <c r="N2375" s="106" t="str">
        <f t="shared" si="7"/>
        <v>1</v>
      </c>
      <c r="O2375" s="107" t="str">
        <f t="array" ref="O2375">XLOOKUP(A2375,Data!F:F,Data!O:O)</f>
        <v>  0.49 </v>
      </c>
      <c r="P2375" s="107" t="str">
        <f t="shared" si="8"/>
        <v>  1.22 </v>
      </c>
      <c r="Q2375" s="27"/>
    </row>
    <row r="2376" ht="15.75" customHeight="1">
      <c r="A2376" s="111" t="s">
        <v>2620</v>
      </c>
      <c r="B2376" s="19" t="str">
        <f t="array" ref="B2376">XLOOKUP(A2376,Data!F:F,Data!G:G)</f>
        <v>J3C</v>
      </c>
      <c r="C2376" s="19" t="str">
        <f t="shared" si="3"/>
        <v>J067</v>
      </c>
      <c r="D2376" s="19" t="str">
        <f t="array" ref="D2376">XLOOKUP(A2376,Data!F:F,Data!C:C)</f>
        <v>EXT</v>
      </c>
      <c r="E2376" s="19" t="str">
        <f t="array" ref="E2376">XLOOKUP(A2376,Data!F:F,Data!H:H)</f>
        <v>BW</v>
      </c>
      <c r="F2376" s="106" t="str">
        <f>SUMIFS(Data!J:J,Data!F:F,A2376)</f>
        <v>1</v>
      </c>
      <c r="G2376" s="106" t="str">
        <f>SUMIFS(Cast!C:C,CastElements,A2376)</f>
        <v>0</v>
      </c>
      <c r="H2376" s="106" t="str">
        <f t="shared" si="4"/>
        <v>1</v>
      </c>
      <c r="I2376" s="106" t="str">
        <f>SUMIFS(Del!C:C,Del!B:B,A2376)</f>
        <v>0</v>
      </c>
      <c r="J2376" s="106" t="str">
        <f t="shared" si="5"/>
        <v>1</v>
      </c>
      <c r="K2376" s="106" t="str">
        <f t="shared" si="6"/>
        <v>0</v>
      </c>
      <c r="L2376" s="106"/>
      <c r="M2376" s="106" t="str">
        <f>SUMIFS(Ere!C:C,Ere!B:B,A2376)</f>
        <v>0</v>
      </c>
      <c r="N2376" s="106" t="str">
        <f t="shared" si="7"/>
        <v>1</v>
      </c>
      <c r="O2376" s="107" t="str">
        <f t="array" ref="O2376">XLOOKUP(A2376,Data!F:F,Data!O:O)</f>
        <v>  0.49 </v>
      </c>
      <c r="P2376" s="107" t="str">
        <f t="shared" si="8"/>
        <v>  1.22 </v>
      </c>
      <c r="Q2376" s="27"/>
    </row>
    <row r="2377" ht="15.75" customHeight="1">
      <c r="A2377" s="111" t="s">
        <v>2621</v>
      </c>
      <c r="B2377" s="19" t="str">
        <f t="array" ref="B2377">XLOOKUP(A2377,Data!F:F,Data!G:G)</f>
        <v>J3C</v>
      </c>
      <c r="C2377" s="19" t="str">
        <f t="shared" si="3"/>
        <v>J067</v>
      </c>
      <c r="D2377" s="19" t="str">
        <f t="array" ref="D2377">XLOOKUP(A2377,Data!F:F,Data!C:C)</f>
        <v>EXT</v>
      </c>
      <c r="E2377" s="19" t="str">
        <f t="array" ref="E2377">XLOOKUP(A2377,Data!F:F,Data!H:H)</f>
        <v>BW</v>
      </c>
      <c r="F2377" s="106" t="str">
        <f>SUMIFS(Data!J:J,Data!F:F,A2377)</f>
        <v>1</v>
      </c>
      <c r="G2377" s="106" t="str">
        <f>SUMIFS(Cast!C:C,CastElements,A2377)</f>
        <v>0</v>
      </c>
      <c r="H2377" s="106" t="str">
        <f t="shared" si="4"/>
        <v>1</v>
      </c>
      <c r="I2377" s="106" t="str">
        <f>SUMIFS(Del!C:C,Del!B:B,A2377)</f>
        <v>0</v>
      </c>
      <c r="J2377" s="106" t="str">
        <f t="shared" si="5"/>
        <v>1</v>
      </c>
      <c r="K2377" s="106" t="str">
        <f t="shared" si="6"/>
        <v>0</v>
      </c>
      <c r="L2377" s="106"/>
      <c r="M2377" s="106" t="str">
        <f>SUMIFS(Ere!C:C,Ere!B:B,A2377)</f>
        <v>0</v>
      </c>
      <c r="N2377" s="106" t="str">
        <f t="shared" si="7"/>
        <v>1</v>
      </c>
      <c r="O2377" s="107" t="str">
        <f t="array" ref="O2377">XLOOKUP(A2377,Data!F:F,Data!O:O)</f>
        <v>  0.49 </v>
      </c>
      <c r="P2377" s="107" t="str">
        <f t="shared" si="8"/>
        <v>  1.22 </v>
      </c>
      <c r="Q2377" s="27"/>
    </row>
    <row r="2378" ht="15.75" customHeight="1">
      <c r="A2378" s="111" t="s">
        <v>2622</v>
      </c>
      <c r="B2378" s="19" t="str">
        <f t="array" ref="B2378">XLOOKUP(A2378,Data!F:F,Data!G:G)</f>
        <v>J3C</v>
      </c>
      <c r="C2378" s="19" t="str">
        <f t="shared" si="3"/>
        <v>J067</v>
      </c>
      <c r="D2378" s="19" t="str">
        <f t="array" ref="D2378">XLOOKUP(A2378,Data!F:F,Data!C:C)</f>
        <v>EXT</v>
      </c>
      <c r="E2378" s="19" t="str">
        <f t="array" ref="E2378">XLOOKUP(A2378,Data!F:F,Data!H:H)</f>
        <v>BW</v>
      </c>
      <c r="F2378" s="106" t="str">
        <f>SUMIFS(Data!J:J,Data!F:F,A2378)</f>
        <v>1</v>
      </c>
      <c r="G2378" s="106" t="str">
        <f>SUMIFS(Cast!C:C,CastElements,A2378)</f>
        <v>0</v>
      </c>
      <c r="H2378" s="106" t="str">
        <f t="shared" si="4"/>
        <v>1</v>
      </c>
      <c r="I2378" s="106" t="str">
        <f>SUMIFS(Del!C:C,Del!B:B,A2378)</f>
        <v>0</v>
      </c>
      <c r="J2378" s="106" t="str">
        <f t="shared" si="5"/>
        <v>1</v>
      </c>
      <c r="K2378" s="106" t="str">
        <f t="shared" si="6"/>
        <v>0</v>
      </c>
      <c r="L2378" s="106"/>
      <c r="M2378" s="106" t="str">
        <f>SUMIFS(Ere!C:C,Ere!B:B,A2378)</f>
        <v>0</v>
      </c>
      <c r="N2378" s="106" t="str">
        <f t="shared" si="7"/>
        <v>1</v>
      </c>
      <c r="O2378" s="107" t="str">
        <f t="array" ref="O2378">XLOOKUP(A2378,Data!F:F,Data!O:O)</f>
        <v>  0.49 </v>
      </c>
      <c r="P2378" s="107" t="str">
        <f t="shared" si="8"/>
        <v>  1.22 </v>
      </c>
      <c r="Q2378" s="27"/>
    </row>
    <row r="2379" ht="15.75" customHeight="1">
      <c r="A2379" s="111" t="s">
        <v>2623</v>
      </c>
      <c r="B2379" s="19" t="str">
        <f t="array" ref="B2379">XLOOKUP(A2379,Data!F:F,Data!G:G)</f>
        <v>J3C</v>
      </c>
      <c r="C2379" s="19" t="str">
        <f t="shared" si="3"/>
        <v>J067</v>
      </c>
      <c r="D2379" s="19" t="str">
        <f t="array" ref="D2379">XLOOKUP(A2379,Data!F:F,Data!C:C)</f>
        <v>EXT</v>
      </c>
      <c r="E2379" s="19" t="str">
        <f t="array" ref="E2379">XLOOKUP(A2379,Data!F:F,Data!H:H)</f>
        <v>BW</v>
      </c>
      <c r="F2379" s="106" t="str">
        <f>SUMIFS(Data!J:J,Data!F:F,A2379)</f>
        <v>1</v>
      </c>
      <c r="G2379" s="106" t="str">
        <f>SUMIFS(Cast!C:C,CastElements,A2379)</f>
        <v>0</v>
      </c>
      <c r="H2379" s="106" t="str">
        <f t="shared" si="4"/>
        <v>1</v>
      </c>
      <c r="I2379" s="106" t="str">
        <f>SUMIFS(Del!C:C,Del!B:B,A2379)</f>
        <v>0</v>
      </c>
      <c r="J2379" s="106" t="str">
        <f t="shared" si="5"/>
        <v>1</v>
      </c>
      <c r="K2379" s="106" t="str">
        <f t="shared" si="6"/>
        <v>0</v>
      </c>
      <c r="L2379" s="106"/>
      <c r="M2379" s="106" t="str">
        <f>SUMIFS(Ere!C:C,Ere!B:B,A2379)</f>
        <v>0</v>
      </c>
      <c r="N2379" s="106" t="str">
        <f t="shared" si="7"/>
        <v>1</v>
      </c>
      <c r="O2379" s="107" t="str">
        <f t="array" ref="O2379">XLOOKUP(A2379,Data!F:F,Data!O:O)</f>
        <v>  0.49 </v>
      </c>
      <c r="P2379" s="107" t="str">
        <f t="shared" si="8"/>
        <v>  1.22 </v>
      </c>
      <c r="Q2379" s="27"/>
    </row>
    <row r="2380" ht="15.75" customHeight="1">
      <c r="A2380" s="111" t="s">
        <v>2624</v>
      </c>
      <c r="B2380" s="19" t="str">
        <f t="array" ref="B2380">XLOOKUP(A2380,Data!F:F,Data!G:G)</f>
        <v>J3C</v>
      </c>
      <c r="C2380" s="19" t="str">
        <f t="shared" si="3"/>
        <v>J067</v>
      </c>
      <c r="D2380" s="19" t="str">
        <f t="array" ref="D2380">XLOOKUP(A2380,Data!F:F,Data!C:C)</f>
        <v>EXT</v>
      </c>
      <c r="E2380" s="19" t="str">
        <f t="array" ref="E2380">XLOOKUP(A2380,Data!F:F,Data!H:H)</f>
        <v>BW</v>
      </c>
      <c r="F2380" s="106" t="str">
        <f>SUMIFS(Data!J:J,Data!F:F,A2380)</f>
        <v>1</v>
      </c>
      <c r="G2380" s="106" t="str">
        <f>SUMIFS(Cast!C:C,CastElements,A2380)</f>
        <v>0</v>
      </c>
      <c r="H2380" s="106" t="str">
        <f t="shared" si="4"/>
        <v>1</v>
      </c>
      <c r="I2380" s="106" t="str">
        <f>SUMIFS(Del!C:C,Del!B:B,A2380)</f>
        <v>0</v>
      </c>
      <c r="J2380" s="106" t="str">
        <f t="shared" si="5"/>
        <v>1</v>
      </c>
      <c r="K2380" s="106" t="str">
        <f t="shared" si="6"/>
        <v>0</v>
      </c>
      <c r="L2380" s="106"/>
      <c r="M2380" s="106" t="str">
        <f>SUMIFS(Ere!C:C,Ere!B:B,A2380)</f>
        <v>0</v>
      </c>
      <c r="N2380" s="106" t="str">
        <f t="shared" si="7"/>
        <v>1</v>
      </c>
      <c r="O2380" s="107" t="str">
        <f t="array" ref="O2380">XLOOKUP(A2380,Data!F:F,Data!O:O)</f>
        <v>  0.49 </v>
      </c>
      <c r="P2380" s="107" t="str">
        <f t="shared" si="8"/>
        <v>  1.22 </v>
      </c>
      <c r="Q2380" s="27"/>
    </row>
    <row r="2381" ht="15.75" customHeight="1">
      <c r="A2381" s="111" t="s">
        <v>2625</v>
      </c>
      <c r="B2381" s="19" t="str">
        <f t="array" ref="B2381">XLOOKUP(A2381,Data!F:F,Data!G:G)</f>
        <v>J3C</v>
      </c>
      <c r="C2381" s="19" t="str">
        <f t="shared" si="3"/>
        <v>J067</v>
      </c>
      <c r="D2381" s="19" t="str">
        <f t="array" ref="D2381">XLOOKUP(A2381,Data!F:F,Data!C:C)</f>
        <v>EXT</v>
      </c>
      <c r="E2381" s="19" t="str">
        <f t="array" ref="E2381">XLOOKUP(A2381,Data!F:F,Data!H:H)</f>
        <v>BW</v>
      </c>
      <c r="F2381" s="106" t="str">
        <f>SUMIFS(Data!J:J,Data!F:F,A2381)</f>
        <v>1</v>
      </c>
      <c r="G2381" s="106" t="str">
        <f>SUMIFS(Cast!C:C,CastElements,A2381)</f>
        <v>0</v>
      </c>
      <c r="H2381" s="106" t="str">
        <f t="shared" si="4"/>
        <v>1</v>
      </c>
      <c r="I2381" s="106" t="str">
        <f>SUMIFS(Del!C:C,Del!B:B,A2381)</f>
        <v>0</v>
      </c>
      <c r="J2381" s="106" t="str">
        <f t="shared" si="5"/>
        <v>1</v>
      </c>
      <c r="K2381" s="106" t="str">
        <f t="shared" si="6"/>
        <v>0</v>
      </c>
      <c r="L2381" s="106"/>
      <c r="M2381" s="106" t="str">
        <f>SUMIFS(Ere!C:C,Ere!B:B,A2381)</f>
        <v>0</v>
      </c>
      <c r="N2381" s="106" t="str">
        <f t="shared" si="7"/>
        <v>1</v>
      </c>
      <c r="O2381" s="107" t="str">
        <f t="array" ref="O2381">XLOOKUP(A2381,Data!F:F,Data!O:O)</f>
        <v>  0.49 </v>
      </c>
      <c r="P2381" s="107" t="str">
        <f t="shared" si="8"/>
        <v>  1.22 </v>
      </c>
      <c r="Q2381" s="27"/>
    </row>
    <row r="2382" ht="15.75" customHeight="1">
      <c r="A2382" s="111" t="s">
        <v>2626</v>
      </c>
      <c r="B2382" s="19" t="str">
        <f t="array" ref="B2382">XLOOKUP(A2382,Data!F:F,Data!G:G)</f>
        <v>J3C</v>
      </c>
      <c r="C2382" s="19" t="str">
        <f t="shared" si="3"/>
        <v>J067</v>
      </c>
      <c r="D2382" s="19" t="str">
        <f t="array" ref="D2382">XLOOKUP(A2382,Data!F:F,Data!C:C)</f>
        <v>EXT</v>
      </c>
      <c r="E2382" s="19" t="str">
        <f t="array" ref="E2382">XLOOKUP(A2382,Data!F:F,Data!H:H)</f>
        <v>BW</v>
      </c>
      <c r="F2382" s="106" t="str">
        <f>SUMIFS(Data!J:J,Data!F:F,A2382)</f>
        <v>1</v>
      </c>
      <c r="G2382" s="106" t="str">
        <f>SUMIFS(Cast!C:C,CastElements,A2382)</f>
        <v>0</v>
      </c>
      <c r="H2382" s="106" t="str">
        <f t="shared" si="4"/>
        <v>1</v>
      </c>
      <c r="I2382" s="106" t="str">
        <f>SUMIFS(Del!C:C,Del!B:B,A2382)</f>
        <v>0</v>
      </c>
      <c r="J2382" s="106" t="str">
        <f t="shared" si="5"/>
        <v>1</v>
      </c>
      <c r="K2382" s="106" t="str">
        <f t="shared" si="6"/>
        <v>0</v>
      </c>
      <c r="L2382" s="106"/>
      <c r="M2382" s="106" t="str">
        <f>SUMIFS(Ere!C:C,Ere!B:B,A2382)</f>
        <v>0</v>
      </c>
      <c r="N2382" s="106" t="str">
        <f t="shared" si="7"/>
        <v>1</v>
      </c>
      <c r="O2382" s="107" t="str">
        <f t="array" ref="O2382">XLOOKUP(A2382,Data!F:F,Data!O:O)</f>
        <v>  0.49 </v>
      </c>
      <c r="P2382" s="107" t="str">
        <f t="shared" si="8"/>
        <v>  1.22 </v>
      </c>
      <c r="Q2382" s="27"/>
    </row>
    <row r="2383" ht="15.75" customHeight="1">
      <c r="A2383" s="111" t="s">
        <v>2627</v>
      </c>
      <c r="B2383" s="19" t="str">
        <f t="array" ref="B2383">XLOOKUP(A2383,Data!F:F,Data!G:G)</f>
        <v>J3C</v>
      </c>
      <c r="C2383" s="19" t="str">
        <f t="shared" si="3"/>
        <v>J067</v>
      </c>
      <c r="D2383" s="19" t="str">
        <f t="array" ref="D2383">XLOOKUP(A2383,Data!F:F,Data!C:C)</f>
        <v>EXT</v>
      </c>
      <c r="E2383" s="19" t="str">
        <f t="array" ref="E2383">XLOOKUP(A2383,Data!F:F,Data!H:H)</f>
        <v>BW</v>
      </c>
      <c r="F2383" s="106" t="str">
        <f>SUMIFS(Data!J:J,Data!F:F,A2383)</f>
        <v>1</v>
      </c>
      <c r="G2383" s="106" t="str">
        <f>SUMIFS(Cast!C:C,CastElements,A2383)</f>
        <v>0</v>
      </c>
      <c r="H2383" s="106" t="str">
        <f t="shared" si="4"/>
        <v>1</v>
      </c>
      <c r="I2383" s="106" t="str">
        <f>SUMIFS(Del!C:C,Del!B:B,A2383)</f>
        <v>0</v>
      </c>
      <c r="J2383" s="106" t="str">
        <f t="shared" si="5"/>
        <v>1</v>
      </c>
      <c r="K2383" s="106" t="str">
        <f t="shared" si="6"/>
        <v>0</v>
      </c>
      <c r="L2383" s="106"/>
      <c r="M2383" s="106" t="str">
        <f>SUMIFS(Ere!C:C,Ere!B:B,A2383)</f>
        <v>0</v>
      </c>
      <c r="N2383" s="106" t="str">
        <f t="shared" si="7"/>
        <v>1</v>
      </c>
      <c r="O2383" s="107" t="str">
        <f t="array" ref="O2383">XLOOKUP(A2383,Data!F:F,Data!O:O)</f>
        <v>  0.49 </v>
      </c>
      <c r="P2383" s="107" t="str">
        <f t="shared" si="8"/>
        <v>  1.22 </v>
      </c>
      <c r="Q2383" s="27"/>
    </row>
    <row r="2384" ht="15.75" customHeight="1">
      <c r="A2384" s="111" t="s">
        <v>2628</v>
      </c>
      <c r="B2384" s="19" t="str">
        <f t="array" ref="B2384">XLOOKUP(A2384,Data!F:F,Data!G:G)</f>
        <v>J3C</v>
      </c>
      <c r="C2384" s="19" t="str">
        <f t="shared" si="3"/>
        <v>J067</v>
      </c>
      <c r="D2384" s="19" t="str">
        <f t="array" ref="D2384">XLOOKUP(A2384,Data!F:F,Data!C:C)</f>
        <v>EXT</v>
      </c>
      <c r="E2384" s="19" t="str">
        <f t="array" ref="E2384">XLOOKUP(A2384,Data!F:F,Data!H:H)</f>
        <v>BW</v>
      </c>
      <c r="F2384" s="106" t="str">
        <f>SUMIFS(Data!J:J,Data!F:F,A2384)</f>
        <v>1</v>
      </c>
      <c r="G2384" s="106" t="str">
        <f>SUMIFS(Cast!C:C,CastElements,A2384)</f>
        <v>0</v>
      </c>
      <c r="H2384" s="106" t="str">
        <f t="shared" si="4"/>
        <v>1</v>
      </c>
      <c r="I2384" s="106" t="str">
        <f>SUMIFS(Del!C:C,Del!B:B,A2384)</f>
        <v>0</v>
      </c>
      <c r="J2384" s="106" t="str">
        <f t="shared" si="5"/>
        <v>1</v>
      </c>
      <c r="K2384" s="106" t="str">
        <f t="shared" si="6"/>
        <v>0</v>
      </c>
      <c r="L2384" s="106"/>
      <c r="M2384" s="106" t="str">
        <f>SUMIFS(Ere!C:C,Ere!B:B,A2384)</f>
        <v>0</v>
      </c>
      <c r="N2384" s="106" t="str">
        <f t="shared" si="7"/>
        <v>1</v>
      </c>
      <c r="O2384" s="107" t="str">
        <f t="array" ref="O2384">XLOOKUP(A2384,Data!F:F,Data!O:O)</f>
        <v>  0.49 </v>
      </c>
      <c r="P2384" s="107" t="str">
        <f t="shared" si="8"/>
        <v>  1.22 </v>
      </c>
      <c r="Q2384" s="27"/>
    </row>
    <row r="2385" ht="15.75" customHeight="1">
      <c r="A2385" s="111" t="s">
        <v>2629</v>
      </c>
      <c r="B2385" s="19" t="str">
        <f t="array" ref="B2385">XLOOKUP(A2385,Data!F:F,Data!G:G)</f>
        <v>J3C</v>
      </c>
      <c r="C2385" s="19" t="str">
        <f t="shared" si="3"/>
        <v>J067</v>
      </c>
      <c r="D2385" s="19" t="str">
        <f t="array" ref="D2385">XLOOKUP(A2385,Data!F:F,Data!C:C)</f>
        <v>EXT</v>
      </c>
      <c r="E2385" s="19" t="str">
        <f t="array" ref="E2385">XLOOKUP(A2385,Data!F:F,Data!H:H)</f>
        <v>BW</v>
      </c>
      <c r="F2385" s="106" t="str">
        <f>SUMIFS(Data!J:J,Data!F:F,A2385)</f>
        <v>1</v>
      </c>
      <c r="G2385" s="106" t="str">
        <f>SUMIFS(Cast!C:C,CastElements,A2385)</f>
        <v>0</v>
      </c>
      <c r="H2385" s="106" t="str">
        <f t="shared" si="4"/>
        <v>1</v>
      </c>
      <c r="I2385" s="106" t="str">
        <f>SUMIFS(Del!C:C,Del!B:B,A2385)</f>
        <v>0</v>
      </c>
      <c r="J2385" s="106" t="str">
        <f t="shared" si="5"/>
        <v>1</v>
      </c>
      <c r="K2385" s="106" t="str">
        <f t="shared" si="6"/>
        <v>0</v>
      </c>
      <c r="L2385" s="106"/>
      <c r="M2385" s="106" t="str">
        <f>SUMIFS(Ere!C:C,Ere!B:B,A2385)</f>
        <v>0</v>
      </c>
      <c r="N2385" s="106" t="str">
        <f t="shared" si="7"/>
        <v>1</v>
      </c>
      <c r="O2385" s="107" t="str">
        <f t="array" ref="O2385">XLOOKUP(A2385,Data!F:F,Data!O:O)</f>
        <v>  0.49 </v>
      </c>
      <c r="P2385" s="107" t="str">
        <f t="shared" si="8"/>
        <v>  1.22 </v>
      </c>
      <c r="Q2385" s="27"/>
    </row>
    <row r="2386" ht="15.75" customHeight="1">
      <c r="A2386" s="111" t="s">
        <v>2630</v>
      </c>
      <c r="B2386" s="19" t="str">
        <f t="array" ref="B2386">XLOOKUP(A2386,Data!F:F,Data!G:G)</f>
        <v>J3C</v>
      </c>
      <c r="C2386" s="19" t="str">
        <f t="shared" si="3"/>
        <v>J067</v>
      </c>
      <c r="D2386" s="19" t="str">
        <f t="array" ref="D2386">XLOOKUP(A2386,Data!F:F,Data!C:C)</f>
        <v>EXT</v>
      </c>
      <c r="E2386" s="19" t="str">
        <f t="array" ref="E2386">XLOOKUP(A2386,Data!F:F,Data!H:H)</f>
        <v>BW</v>
      </c>
      <c r="F2386" s="106" t="str">
        <f>SUMIFS(Data!J:J,Data!F:F,A2386)</f>
        <v>1</v>
      </c>
      <c r="G2386" s="106" t="str">
        <f>SUMIFS(Cast!C:C,CastElements,A2386)</f>
        <v>0</v>
      </c>
      <c r="H2386" s="106" t="str">
        <f t="shared" si="4"/>
        <v>1</v>
      </c>
      <c r="I2386" s="106" t="str">
        <f>SUMIFS(Del!C:C,Del!B:B,A2386)</f>
        <v>0</v>
      </c>
      <c r="J2386" s="106" t="str">
        <f t="shared" si="5"/>
        <v>1</v>
      </c>
      <c r="K2386" s="106" t="str">
        <f t="shared" si="6"/>
        <v>0</v>
      </c>
      <c r="L2386" s="106"/>
      <c r="M2386" s="106" t="str">
        <f>SUMIFS(Ere!C:C,Ere!B:B,A2386)</f>
        <v>0</v>
      </c>
      <c r="N2386" s="106" t="str">
        <f t="shared" si="7"/>
        <v>1</v>
      </c>
      <c r="O2386" s="107" t="str">
        <f t="array" ref="O2386">XLOOKUP(A2386,Data!F:F,Data!O:O)</f>
        <v>  0.49 </v>
      </c>
      <c r="P2386" s="107" t="str">
        <f t="shared" si="8"/>
        <v>  1.22 </v>
      </c>
      <c r="Q2386" s="27"/>
    </row>
    <row r="2387" ht="15.75" customHeight="1">
      <c r="A2387" s="111" t="s">
        <v>2631</v>
      </c>
      <c r="B2387" s="19" t="str">
        <f t="array" ref="B2387">XLOOKUP(A2387,Data!F:F,Data!G:G)</f>
        <v>J3C</v>
      </c>
      <c r="C2387" s="19" t="str">
        <f t="shared" si="3"/>
        <v>J067</v>
      </c>
      <c r="D2387" s="19" t="str">
        <f t="array" ref="D2387">XLOOKUP(A2387,Data!F:F,Data!C:C)</f>
        <v>EXT</v>
      </c>
      <c r="E2387" s="19" t="str">
        <f t="array" ref="E2387">XLOOKUP(A2387,Data!F:F,Data!H:H)</f>
        <v>BW</v>
      </c>
      <c r="F2387" s="106" t="str">
        <f>SUMIFS(Data!J:J,Data!F:F,A2387)</f>
        <v>1</v>
      </c>
      <c r="G2387" s="106" t="str">
        <f>SUMIFS(Cast!C:C,CastElements,A2387)</f>
        <v>0</v>
      </c>
      <c r="H2387" s="106" t="str">
        <f t="shared" si="4"/>
        <v>1</v>
      </c>
      <c r="I2387" s="106" t="str">
        <f>SUMIFS(Del!C:C,Del!B:B,A2387)</f>
        <v>0</v>
      </c>
      <c r="J2387" s="106" t="str">
        <f t="shared" si="5"/>
        <v>1</v>
      </c>
      <c r="K2387" s="106" t="str">
        <f t="shared" si="6"/>
        <v>0</v>
      </c>
      <c r="L2387" s="106"/>
      <c r="M2387" s="106" t="str">
        <f>SUMIFS(Ere!C:C,Ere!B:B,A2387)</f>
        <v>0</v>
      </c>
      <c r="N2387" s="106" t="str">
        <f t="shared" si="7"/>
        <v>1</v>
      </c>
      <c r="O2387" s="107" t="str">
        <f t="array" ref="O2387">XLOOKUP(A2387,Data!F:F,Data!O:O)</f>
        <v>  0.49 </v>
      </c>
      <c r="P2387" s="107" t="str">
        <f t="shared" si="8"/>
        <v>  1.22 </v>
      </c>
      <c r="Q2387" s="27"/>
    </row>
    <row r="2388" ht="15.75" customHeight="1">
      <c r="A2388" s="111" t="s">
        <v>2632</v>
      </c>
      <c r="B2388" s="19" t="str">
        <f t="array" ref="B2388">XLOOKUP(A2388,Data!F:F,Data!G:G)</f>
        <v>J3C</v>
      </c>
      <c r="C2388" s="19" t="str">
        <f t="shared" si="3"/>
        <v>J067</v>
      </c>
      <c r="D2388" s="19" t="str">
        <f t="array" ref="D2388">XLOOKUP(A2388,Data!F:F,Data!C:C)</f>
        <v/>
      </c>
      <c r="E2388" s="19" t="str">
        <f t="array" ref="E2388">XLOOKUP(A2388,Data!F:F,Data!H:H)</f>
        <v>BW</v>
      </c>
      <c r="F2388" s="106" t="str">
        <f>SUMIFS(Data!J:J,Data!F:F,A2388)</f>
        <v>1</v>
      </c>
      <c r="G2388" s="106" t="str">
        <f>SUMIFS(Cast!C:C,CastElements,A2388)</f>
        <v>0</v>
      </c>
      <c r="H2388" s="106" t="str">
        <f t="shared" si="4"/>
        <v>1</v>
      </c>
      <c r="I2388" s="106" t="str">
        <f>SUMIFS(Del!C:C,Del!B:B,A2388)</f>
        <v>0</v>
      </c>
      <c r="J2388" s="106" t="str">
        <f t="shared" si="5"/>
        <v>1</v>
      </c>
      <c r="K2388" s="106" t="str">
        <f t="shared" si="6"/>
        <v>0</v>
      </c>
      <c r="L2388" s="106"/>
      <c r="M2388" s="106" t="str">
        <f>SUMIFS(Ere!C:C,Ere!B:B,A2388)</f>
        <v>0</v>
      </c>
      <c r="N2388" s="106" t="str">
        <f t="shared" si="7"/>
        <v>1</v>
      </c>
      <c r="O2388" s="107" t="str">
        <f t="array" ref="O2388">XLOOKUP(A2388,Data!F:F,Data!O:O)</f>
        <v>  1.53 </v>
      </c>
      <c r="P2388" s="107" t="str">
        <f t="shared" si="8"/>
        <v>  3.82 </v>
      </c>
      <c r="Q2388" s="27"/>
    </row>
    <row r="2389" ht="15.75" customHeight="1">
      <c r="A2389" s="111" t="s">
        <v>2633</v>
      </c>
      <c r="B2389" s="19" t="str">
        <f t="array" ref="B2389">XLOOKUP(A2389,Data!F:F,Data!G:G)</f>
        <v>J3C</v>
      </c>
      <c r="C2389" s="19" t="str">
        <f t="shared" si="3"/>
        <v>J067</v>
      </c>
      <c r="D2389" s="19" t="str">
        <f t="array" ref="D2389">XLOOKUP(A2389,Data!F:F,Data!C:C)</f>
        <v/>
      </c>
      <c r="E2389" s="19" t="str">
        <f t="array" ref="E2389">XLOOKUP(A2389,Data!F:F,Data!H:H)</f>
        <v>BW</v>
      </c>
      <c r="F2389" s="106" t="str">
        <f>SUMIFS(Data!J:J,Data!F:F,A2389)</f>
        <v>1</v>
      </c>
      <c r="G2389" s="106" t="str">
        <f>SUMIFS(Cast!C:C,CastElements,A2389)</f>
        <v>0</v>
      </c>
      <c r="H2389" s="106" t="str">
        <f t="shared" si="4"/>
        <v>1</v>
      </c>
      <c r="I2389" s="106" t="str">
        <f>SUMIFS(Del!C:C,Del!B:B,A2389)</f>
        <v>0</v>
      </c>
      <c r="J2389" s="106" t="str">
        <f t="shared" si="5"/>
        <v>1</v>
      </c>
      <c r="K2389" s="106" t="str">
        <f t="shared" si="6"/>
        <v>0</v>
      </c>
      <c r="L2389" s="106"/>
      <c r="M2389" s="106" t="str">
        <f>SUMIFS(Ere!C:C,Ere!B:B,A2389)</f>
        <v>0</v>
      </c>
      <c r="N2389" s="106" t="str">
        <f t="shared" si="7"/>
        <v>1</v>
      </c>
      <c r="O2389" s="107" t="str">
        <f t="array" ref="O2389">XLOOKUP(A2389,Data!F:F,Data!O:O)</f>
        <v>  1.91 </v>
      </c>
      <c r="P2389" s="107" t="str">
        <f t="shared" si="8"/>
        <v>  4.79 </v>
      </c>
      <c r="Q2389" s="27"/>
    </row>
    <row r="2390" ht="15.75" customHeight="1">
      <c r="A2390" s="111" t="s">
        <v>2634</v>
      </c>
      <c r="B2390" s="19" t="str">
        <f t="array" ref="B2390">XLOOKUP(A2390,Data!F:F,Data!G:G)</f>
        <v>J3C</v>
      </c>
      <c r="C2390" s="19" t="str">
        <f t="shared" si="3"/>
        <v>J067</v>
      </c>
      <c r="D2390" s="19" t="str">
        <f t="array" ref="D2390">XLOOKUP(A2390,Data!F:F,Data!C:C)</f>
        <v/>
      </c>
      <c r="E2390" s="19" t="str">
        <f t="array" ref="E2390">XLOOKUP(A2390,Data!F:F,Data!H:H)</f>
        <v>BW</v>
      </c>
      <c r="F2390" s="106" t="str">
        <f>SUMIFS(Data!J:J,Data!F:F,A2390)</f>
        <v>1</v>
      </c>
      <c r="G2390" s="106" t="str">
        <f>SUMIFS(Cast!C:C,CastElements,A2390)</f>
        <v>0</v>
      </c>
      <c r="H2390" s="106" t="str">
        <f t="shared" si="4"/>
        <v>1</v>
      </c>
      <c r="I2390" s="106" t="str">
        <f>SUMIFS(Del!C:C,Del!B:B,A2390)</f>
        <v>0</v>
      </c>
      <c r="J2390" s="106" t="str">
        <f t="shared" si="5"/>
        <v>1</v>
      </c>
      <c r="K2390" s="106" t="str">
        <f t="shared" si="6"/>
        <v>0</v>
      </c>
      <c r="L2390" s="106"/>
      <c r="M2390" s="106" t="str">
        <f>SUMIFS(Ere!C:C,Ere!B:B,A2390)</f>
        <v>0</v>
      </c>
      <c r="N2390" s="106" t="str">
        <f t="shared" si="7"/>
        <v>1</v>
      </c>
      <c r="O2390" s="107" t="str">
        <f t="array" ref="O2390">XLOOKUP(A2390,Data!F:F,Data!O:O)</f>
        <v>  1.91 </v>
      </c>
      <c r="P2390" s="107" t="str">
        <f t="shared" si="8"/>
        <v>  4.79 </v>
      </c>
      <c r="Q2390" s="27"/>
    </row>
    <row r="2391" ht="15.75" customHeight="1">
      <c r="A2391" s="111" t="s">
        <v>2635</v>
      </c>
      <c r="B2391" s="19" t="str">
        <f t="array" ref="B2391">XLOOKUP(A2391,Data!F:F,Data!G:G)</f>
        <v>J3C</v>
      </c>
      <c r="C2391" s="19" t="str">
        <f t="shared" si="3"/>
        <v>J067</v>
      </c>
      <c r="D2391" s="19" t="str">
        <f t="array" ref="D2391">XLOOKUP(A2391,Data!F:F,Data!C:C)</f>
        <v/>
      </c>
      <c r="E2391" s="19" t="str">
        <f t="array" ref="E2391">XLOOKUP(A2391,Data!F:F,Data!H:H)</f>
        <v>BW</v>
      </c>
      <c r="F2391" s="106" t="str">
        <f>SUMIFS(Data!J:J,Data!F:F,A2391)</f>
        <v>1</v>
      </c>
      <c r="G2391" s="106" t="str">
        <f>SUMIFS(Cast!C:C,CastElements,A2391)</f>
        <v>1</v>
      </c>
      <c r="H2391" s="106" t="str">
        <f t="shared" si="4"/>
        <v>0</v>
      </c>
      <c r="I2391" s="106" t="str">
        <f>SUMIFS(Del!C:C,Del!B:B,A2391)</f>
        <v>0</v>
      </c>
      <c r="J2391" s="106" t="str">
        <f t="shared" si="5"/>
        <v>1</v>
      </c>
      <c r="K2391" s="106" t="str">
        <f t="shared" si="6"/>
        <v>1</v>
      </c>
      <c r="L2391" s="106"/>
      <c r="M2391" s="106" t="str">
        <f>SUMIFS(Ere!C:C,Ere!B:B,A2391)</f>
        <v>0</v>
      </c>
      <c r="N2391" s="106" t="str">
        <f t="shared" si="7"/>
        <v>1</v>
      </c>
      <c r="O2391" s="107" t="str">
        <f t="array" ref="O2391">XLOOKUP(A2391,Data!F:F,Data!O:O)</f>
        <v>  1.77 </v>
      </c>
      <c r="P2391" s="107" t="str">
        <f t="shared" si="8"/>
        <v>  4.44 </v>
      </c>
      <c r="Q2391" s="27"/>
    </row>
    <row r="2392" ht="15.75" customHeight="1">
      <c r="A2392" s="111" t="s">
        <v>2636</v>
      </c>
      <c r="B2392" s="19" t="str">
        <f t="array" ref="B2392">XLOOKUP(A2392,Data!F:F,Data!G:G)</f>
        <v>J3C</v>
      </c>
      <c r="C2392" s="19" t="str">
        <f t="shared" si="3"/>
        <v>J067</v>
      </c>
      <c r="D2392" s="19" t="str">
        <f t="array" ref="D2392">XLOOKUP(A2392,Data!F:F,Data!C:C)</f>
        <v/>
      </c>
      <c r="E2392" s="19" t="str">
        <f t="array" ref="E2392">XLOOKUP(A2392,Data!F:F,Data!H:H)</f>
        <v>BW</v>
      </c>
      <c r="F2392" s="106" t="str">
        <f>SUMIFS(Data!J:J,Data!F:F,A2392)</f>
        <v>1</v>
      </c>
      <c r="G2392" s="106" t="str">
        <f>SUMIFS(Cast!C:C,CastElements,A2392)</f>
        <v>1</v>
      </c>
      <c r="H2392" s="106" t="str">
        <f t="shared" si="4"/>
        <v>0</v>
      </c>
      <c r="I2392" s="106" t="str">
        <f>SUMIFS(Del!C:C,Del!B:B,A2392)</f>
        <v>0</v>
      </c>
      <c r="J2392" s="106" t="str">
        <f t="shared" si="5"/>
        <v>1</v>
      </c>
      <c r="K2392" s="106" t="str">
        <f t="shared" si="6"/>
        <v>1</v>
      </c>
      <c r="L2392" s="106"/>
      <c r="M2392" s="106" t="str">
        <f>SUMIFS(Ere!C:C,Ere!B:B,A2392)</f>
        <v>0</v>
      </c>
      <c r="N2392" s="106" t="str">
        <f t="shared" si="7"/>
        <v>1</v>
      </c>
      <c r="O2392" s="107" t="str">
        <f t="array" ref="O2392">XLOOKUP(A2392,Data!F:F,Data!O:O)</f>
        <v>  1.77 </v>
      </c>
      <c r="P2392" s="107" t="str">
        <f t="shared" si="8"/>
        <v>  4.44 </v>
      </c>
      <c r="Q2392" s="27"/>
    </row>
    <row r="2393" ht="15.75" customHeight="1">
      <c r="A2393" s="111" t="s">
        <v>2637</v>
      </c>
      <c r="B2393" s="19" t="str">
        <f t="array" ref="B2393">XLOOKUP(A2393,Data!F:F,Data!G:G)</f>
        <v>J3C</v>
      </c>
      <c r="C2393" s="19" t="str">
        <f t="shared" si="3"/>
        <v>J067</v>
      </c>
      <c r="D2393" s="19" t="str">
        <f t="array" ref="D2393">XLOOKUP(A2393,Data!F:F,Data!C:C)</f>
        <v/>
      </c>
      <c r="E2393" s="19" t="str">
        <f t="array" ref="E2393">XLOOKUP(A2393,Data!F:F,Data!H:H)</f>
        <v>BW</v>
      </c>
      <c r="F2393" s="106" t="str">
        <f>SUMIFS(Data!J:J,Data!F:F,A2393)</f>
        <v>1</v>
      </c>
      <c r="G2393" s="106" t="str">
        <f>SUMIFS(Cast!C:C,CastElements,A2393)</f>
        <v>1</v>
      </c>
      <c r="H2393" s="106" t="str">
        <f t="shared" si="4"/>
        <v>0</v>
      </c>
      <c r="I2393" s="106" t="str">
        <f>SUMIFS(Del!C:C,Del!B:B,A2393)</f>
        <v>0</v>
      </c>
      <c r="J2393" s="106" t="str">
        <f t="shared" si="5"/>
        <v>1</v>
      </c>
      <c r="K2393" s="106" t="str">
        <f t="shared" si="6"/>
        <v>1</v>
      </c>
      <c r="L2393" s="106"/>
      <c r="M2393" s="106" t="str">
        <f>SUMIFS(Ere!C:C,Ere!B:B,A2393)</f>
        <v>0</v>
      </c>
      <c r="N2393" s="106" t="str">
        <f t="shared" si="7"/>
        <v>1</v>
      </c>
      <c r="O2393" s="107" t="str">
        <f t="array" ref="O2393">XLOOKUP(A2393,Data!F:F,Data!O:O)</f>
        <v>  1.77 </v>
      </c>
      <c r="P2393" s="107" t="str">
        <f t="shared" si="8"/>
        <v>  4.44 </v>
      </c>
      <c r="Q2393" s="27"/>
    </row>
    <row r="2394" ht="15.75" customHeight="1">
      <c r="A2394" s="111" t="s">
        <v>2638</v>
      </c>
      <c r="B2394" s="19" t="str">
        <f t="array" ref="B2394">XLOOKUP(A2394,Data!F:F,Data!G:G)</f>
        <v>J3C</v>
      </c>
      <c r="C2394" s="19" t="str">
        <f t="shared" si="3"/>
        <v>J067</v>
      </c>
      <c r="D2394" s="19" t="str">
        <f t="array" ref="D2394">XLOOKUP(A2394,Data!F:F,Data!C:C)</f>
        <v/>
      </c>
      <c r="E2394" s="19" t="str">
        <f t="array" ref="E2394">XLOOKUP(A2394,Data!F:F,Data!H:H)</f>
        <v>BW</v>
      </c>
      <c r="F2394" s="106" t="str">
        <f>SUMIFS(Data!J:J,Data!F:F,A2394)</f>
        <v>1</v>
      </c>
      <c r="G2394" s="106" t="str">
        <f>SUMIFS(Cast!C:C,CastElements,A2394)</f>
        <v>0</v>
      </c>
      <c r="H2394" s="106" t="str">
        <f t="shared" si="4"/>
        <v>1</v>
      </c>
      <c r="I2394" s="106" t="str">
        <f>SUMIFS(Del!C:C,Del!B:B,A2394)</f>
        <v>0</v>
      </c>
      <c r="J2394" s="106" t="str">
        <f t="shared" si="5"/>
        <v>1</v>
      </c>
      <c r="K2394" s="106" t="str">
        <f t="shared" si="6"/>
        <v>0</v>
      </c>
      <c r="L2394" s="106"/>
      <c r="M2394" s="106" t="str">
        <f>SUMIFS(Ere!C:C,Ere!B:B,A2394)</f>
        <v>0</v>
      </c>
      <c r="N2394" s="106" t="str">
        <f t="shared" si="7"/>
        <v>1</v>
      </c>
      <c r="O2394" s="107" t="str">
        <f t="array" ref="O2394">XLOOKUP(A2394,Data!F:F,Data!O:O)</f>
        <v>  1.77 </v>
      </c>
      <c r="P2394" s="107" t="str">
        <f t="shared" si="8"/>
        <v>  4.44 </v>
      </c>
      <c r="Q2394" s="27"/>
    </row>
    <row r="2395" ht="15.75" customHeight="1">
      <c r="A2395" s="111" t="s">
        <v>2639</v>
      </c>
      <c r="B2395" s="19" t="str">
        <f t="array" ref="B2395">XLOOKUP(A2395,Data!F:F,Data!G:G)</f>
        <v>J3C</v>
      </c>
      <c r="C2395" s="19" t="str">
        <f t="shared" si="3"/>
        <v>J067</v>
      </c>
      <c r="D2395" s="19" t="str">
        <f t="array" ref="D2395">XLOOKUP(A2395,Data!F:F,Data!C:C)</f>
        <v/>
      </c>
      <c r="E2395" s="19" t="str">
        <f t="array" ref="E2395">XLOOKUP(A2395,Data!F:F,Data!H:H)</f>
        <v>BW</v>
      </c>
      <c r="F2395" s="106" t="str">
        <f>SUMIFS(Data!J:J,Data!F:F,A2395)</f>
        <v>1</v>
      </c>
      <c r="G2395" s="106" t="str">
        <f>SUMIFS(Cast!C:C,CastElements,A2395)</f>
        <v>0</v>
      </c>
      <c r="H2395" s="106" t="str">
        <f t="shared" si="4"/>
        <v>1</v>
      </c>
      <c r="I2395" s="106" t="str">
        <f>SUMIFS(Del!C:C,Del!B:B,A2395)</f>
        <v>0</v>
      </c>
      <c r="J2395" s="106" t="str">
        <f t="shared" si="5"/>
        <v>1</v>
      </c>
      <c r="K2395" s="106" t="str">
        <f t="shared" si="6"/>
        <v>0</v>
      </c>
      <c r="L2395" s="106"/>
      <c r="M2395" s="106" t="str">
        <f>SUMIFS(Ere!C:C,Ere!B:B,A2395)</f>
        <v>0</v>
      </c>
      <c r="N2395" s="106" t="str">
        <f t="shared" si="7"/>
        <v>1</v>
      </c>
      <c r="O2395" s="107" t="str">
        <f t="array" ref="O2395">XLOOKUP(A2395,Data!F:F,Data!O:O)</f>
        <v>  1.60 </v>
      </c>
      <c r="P2395" s="107" t="str">
        <f t="shared" si="8"/>
        <v>  4.00 </v>
      </c>
      <c r="Q2395" s="27"/>
    </row>
    <row r="2396" ht="15.75" customHeight="1">
      <c r="A2396" s="111" t="s">
        <v>2640</v>
      </c>
      <c r="B2396" s="19" t="str">
        <f t="array" ref="B2396">XLOOKUP(A2396,Data!F:F,Data!G:G)</f>
        <v>J3C</v>
      </c>
      <c r="C2396" s="19" t="str">
        <f t="shared" si="3"/>
        <v>J067</v>
      </c>
      <c r="D2396" s="19" t="str">
        <f t="array" ref="D2396">XLOOKUP(A2396,Data!F:F,Data!C:C)</f>
        <v/>
      </c>
      <c r="E2396" s="19" t="str">
        <f t="array" ref="E2396">XLOOKUP(A2396,Data!F:F,Data!H:H)</f>
        <v>BW</v>
      </c>
      <c r="F2396" s="106" t="str">
        <f>SUMIFS(Data!J:J,Data!F:F,A2396)</f>
        <v>1</v>
      </c>
      <c r="G2396" s="106" t="str">
        <f>SUMIFS(Cast!C:C,CastElements,A2396)</f>
        <v>1</v>
      </c>
      <c r="H2396" s="106" t="str">
        <f t="shared" si="4"/>
        <v>0</v>
      </c>
      <c r="I2396" s="106" t="str">
        <f>SUMIFS(Del!C:C,Del!B:B,A2396)</f>
        <v>0</v>
      </c>
      <c r="J2396" s="106" t="str">
        <f t="shared" si="5"/>
        <v>1</v>
      </c>
      <c r="K2396" s="106" t="str">
        <f t="shared" si="6"/>
        <v>1</v>
      </c>
      <c r="L2396" s="106"/>
      <c r="M2396" s="106" t="str">
        <f>SUMIFS(Ere!C:C,Ere!B:B,A2396)</f>
        <v>0</v>
      </c>
      <c r="N2396" s="106" t="str">
        <f t="shared" si="7"/>
        <v>1</v>
      </c>
      <c r="O2396" s="107" t="str">
        <f t="array" ref="O2396">XLOOKUP(A2396,Data!F:F,Data!O:O)</f>
        <v>  0.38 </v>
      </c>
      <c r="P2396" s="107" t="str">
        <f t="shared" si="8"/>
        <v>  0.94 </v>
      </c>
      <c r="Q2396" s="27"/>
    </row>
    <row r="2397" ht="15.75" customHeight="1">
      <c r="A2397" s="111" t="s">
        <v>2641</v>
      </c>
      <c r="B2397" s="19" t="str">
        <f t="array" ref="B2397">XLOOKUP(A2397,Data!F:F,Data!G:G)</f>
        <v>J3C</v>
      </c>
      <c r="C2397" s="19" t="str">
        <f t="shared" si="3"/>
        <v>J067</v>
      </c>
      <c r="D2397" s="19" t="str">
        <f t="array" ref="D2397">XLOOKUP(A2397,Data!F:F,Data!C:C)</f>
        <v/>
      </c>
      <c r="E2397" s="19" t="str">
        <f t="array" ref="E2397">XLOOKUP(A2397,Data!F:F,Data!H:H)</f>
        <v>BW</v>
      </c>
      <c r="F2397" s="106" t="str">
        <f>SUMIFS(Data!J:J,Data!F:F,A2397)</f>
        <v>1</v>
      </c>
      <c r="G2397" s="106" t="str">
        <f>SUMIFS(Cast!C:C,CastElements,A2397)</f>
        <v>0</v>
      </c>
      <c r="H2397" s="106" t="str">
        <f t="shared" si="4"/>
        <v>1</v>
      </c>
      <c r="I2397" s="106" t="str">
        <f>SUMIFS(Del!C:C,Del!B:B,A2397)</f>
        <v>0</v>
      </c>
      <c r="J2397" s="106" t="str">
        <f t="shared" si="5"/>
        <v>1</v>
      </c>
      <c r="K2397" s="106" t="str">
        <f t="shared" si="6"/>
        <v>0</v>
      </c>
      <c r="L2397" s="106"/>
      <c r="M2397" s="106" t="str">
        <f>SUMIFS(Ere!C:C,Ere!B:B,A2397)</f>
        <v>0</v>
      </c>
      <c r="N2397" s="106" t="str">
        <f t="shared" si="7"/>
        <v>1</v>
      </c>
      <c r="O2397" s="107" t="str">
        <f t="array" ref="O2397">XLOOKUP(A2397,Data!F:F,Data!O:O)</f>
        <v>  0.36 </v>
      </c>
      <c r="P2397" s="107" t="str">
        <f t="shared" si="8"/>
        <v>  0.89 </v>
      </c>
      <c r="Q2397" s="27"/>
    </row>
    <row r="2398" ht="15.75" customHeight="1">
      <c r="A2398" s="111" t="s">
        <v>2642</v>
      </c>
      <c r="B2398" s="19" t="str">
        <f t="array" ref="B2398">XLOOKUP(A2398,Data!F:F,Data!G:G)</f>
        <v>J3C</v>
      </c>
      <c r="C2398" s="19" t="str">
        <f t="shared" si="3"/>
        <v>J067</v>
      </c>
      <c r="D2398" s="19" t="str">
        <f t="array" ref="D2398">XLOOKUP(A2398,Data!F:F,Data!C:C)</f>
        <v/>
      </c>
      <c r="E2398" s="19" t="str">
        <f t="array" ref="E2398">XLOOKUP(A2398,Data!F:F,Data!H:H)</f>
        <v>BW</v>
      </c>
      <c r="F2398" s="106" t="str">
        <f>SUMIFS(Data!J:J,Data!F:F,A2398)</f>
        <v>1</v>
      </c>
      <c r="G2398" s="106" t="str">
        <f>SUMIFS(Cast!C:C,CastElements,A2398)</f>
        <v>0</v>
      </c>
      <c r="H2398" s="106" t="str">
        <f t="shared" si="4"/>
        <v>1</v>
      </c>
      <c r="I2398" s="106" t="str">
        <f>SUMIFS(Del!C:C,Del!B:B,A2398)</f>
        <v>0</v>
      </c>
      <c r="J2398" s="106" t="str">
        <f t="shared" si="5"/>
        <v>1</v>
      </c>
      <c r="K2398" s="106" t="str">
        <f t="shared" si="6"/>
        <v>0</v>
      </c>
      <c r="L2398" s="106"/>
      <c r="M2398" s="106" t="str">
        <f>SUMIFS(Ere!C:C,Ere!B:B,A2398)</f>
        <v>0</v>
      </c>
      <c r="N2398" s="106" t="str">
        <f t="shared" si="7"/>
        <v>1</v>
      </c>
      <c r="O2398" s="107" t="str">
        <f t="array" ref="O2398">XLOOKUP(A2398,Data!F:F,Data!O:O)</f>
        <v>  0.52 </v>
      </c>
      <c r="P2398" s="107" t="str">
        <f t="shared" si="8"/>
        <v>  1.29 </v>
      </c>
      <c r="Q2398" s="27"/>
    </row>
    <row r="2399" ht="15.75" customHeight="1">
      <c r="A2399" s="111" t="s">
        <v>2643</v>
      </c>
      <c r="B2399" s="19" t="str">
        <f t="array" ref="B2399">XLOOKUP(A2399,Data!F:F,Data!G:G)</f>
        <v>J3C</v>
      </c>
      <c r="C2399" s="19" t="str">
        <f t="shared" si="3"/>
        <v>J067</v>
      </c>
      <c r="D2399" s="19" t="str">
        <f t="array" ref="D2399">XLOOKUP(A2399,Data!F:F,Data!C:C)</f>
        <v/>
      </c>
      <c r="E2399" s="19" t="str">
        <f t="array" ref="E2399">XLOOKUP(A2399,Data!F:F,Data!H:H)</f>
        <v>BW</v>
      </c>
      <c r="F2399" s="106" t="str">
        <f>SUMIFS(Data!J:J,Data!F:F,A2399)</f>
        <v>1</v>
      </c>
      <c r="G2399" s="106" t="str">
        <f>SUMIFS(Cast!C:C,CastElements,A2399)</f>
        <v>1</v>
      </c>
      <c r="H2399" s="106" t="str">
        <f t="shared" si="4"/>
        <v>0</v>
      </c>
      <c r="I2399" s="106" t="str">
        <f>SUMIFS(Del!C:C,Del!B:B,A2399)</f>
        <v>0</v>
      </c>
      <c r="J2399" s="106" t="str">
        <f t="shared" si="5"/>
        <v>1</v>
      </c>
      <c r="K2399" s="106" t="str">
        <f t="shared" si="6"/>
        <v>1</v>
      </c>
      <c r="L2399" s="106"/>
      <c r="M2399" s="106" t="str">
        <f>SUMIFS(Ere!C:C,Ere!B:B,A2399)</f>
        <v>0</v>
      </c>
      <c r="N2399" s="106" t="str">
        <f t="shared" si="7"/>
        <v>1</v>
      </c>
      <c r="O2399" s="107" t="str">
        <f t="array" ref="O2399">XLOOKUP(A2399,Data!F:F,Data!O:O)</f>
        <v>  0.47 </v>
      </c>
      <c r="P2399" s="107" t="str">
        <f t="shared" si="8"/>
        <v>  1.17 </v>
      </c>
      <c r="Q2399" s="27"/>
    </row>
    <row r="2400" ht="15.75" customHeight="1">
      <c r="A2400" s="111" t="s">
        <v>2644</v>
      </c>
      <c r="B2400" s="19" t="str">
        <f t="array" ref="B2400">XLOOKUP(A2400,Data!F:F,Data!G:G)</f>
        <v>J3C</v>
      </c>
      <c r="C2400" s="19" t="str">
        <f t="shared" si="3"/>
        <v>J067</v>
      </c>
      <c r="D2400" s="19" t="str">
        <f t="array" ref="D2400">XLOOKUP(A2400,Data!F:F,Data!C:C)</f>
        <v/>
      </c>
      <c r="E2400" s="19" t="str">
        <f t="array" ref="E2400">XLOOKUP(A2400,Data!F:F,Data!H:H)</f>
        <v>CF</v>
      </c>
      <c r="F2400" s="106" t="str">
        <f>SUMIFS(Data!J:J,Data!F:F,A2400)</f>
        <v>1</v>
      </c>
      <c r="G2400" s="106" t="str">
        <f>SUMIFS(Cast!C:C,CastElements,A2400)</f>
        <v>1</v>
      </c>
      <c r="H2400" s="106" t="str">
        <f t="shared" si="4"/>
        <v>0</v>
      </c>
      <c r="I2400" s="106" t="str">
        <f>SUMIFS(Del!C:C,Del!B:B,A2400)</f>
        <v>0</v>
      </c>
      <c r="J2400" s="106" t="str">
        <f t="shared" si="5"/>
        <v>1</v>
      </c>
      <c r="K2400" s="106" t="str">
        <f t="shared" si="6"/>
        <v>1</v>
      </c>
      <c r="L2400" s="106"/>
      <c r="M2400" s="106" t="str">
        <f>SUMIFS(Ere!C:C,Ere!B:B,A2400)</f>
        <v>0</v>
      </c>
      <c r="N2400" s="106" t="str">
        <f t="shared" si="7"/>
        <v>1</v>
      </c>
      <c r="O2400" s="107" t="str">
        <f t="array" ref="O2400">XLOOKUP(A2400,Data!F:F,Data!O:O)</f>
        <v>  0.52 </v>
      </c>
      <c r="P2400" s="107" t="str">
        <f t="shared" si="8"/>
        <v>  1.29 </v>
      </c>
      <c r="Q2400" s="27"/>
    </row>
    <row r="2401" ht="15.75" customHeight="1">
      <c r="A2401" s="111" t="s">
        <v>2645</v>
      </c>
      <c r="B2401" s="19" t="str">
        <f t="array" ref="B2401">XLOOKUP(A2401,Data!F:F,Data!G:G)</f>
        <v>J3C</v>
      </c>
      <c r="C2401" s="19" t="str">
        <f t="shared" si="3"/>
        <v>J068</v>
      </c>
      <c r="D2401" s="19" t="str">
        <f t="array" ref="D2401">XLOOKUP(A2401,Data!F:F,Data!C:C)</f>
        <v/>
      </c>
      <c r="E2401" s="19" t="str">
        <f t="array" ref="E2401">XLOOKUP(A2401,Data!F:F,Data!H:H)</f>
        <v>BW</v>
      </c>
      <c r="F2401" s="106" t="str">
        <f>SUMIFS(Data!J:J,Data!F:F,A2401)</f>
        <v>1</v>
      </c>
      <c r="G2401" s="106" t="str">
        <f>SUMIFS(Cast!C:C,CastElements,A2401)</f>
        <v>0</v>
      </c>
      <c r="H2401" s="106" t="str">
        <f t="shared" si="4"/>
        <v>1</v>
      </c>
      <c r="I2401" s="106" t="str">
        <f>SUMIFS(Del!C:C,Del!B:B,A2401)</f>
        <v>0</v>
      </c>
      <c r="J2401" s="106" t="str">
        <f t="shared" si="5"/>
        <v>1</v>
      </c>
      <c r="K2401" s="106" t="str">
        <f t="shared" si="6"/>
        <v>0</v>
      </c>
      <c r="L2401" s="106"/>
      <c r="M2401" s="106" t="str">
        <f>SUMIFS(Ere!C:C,Ere!B:B,A2401)</f>
        <v>0</v>
      </c>
      <c r="N2401" s="106" t="str">
        <f t="shared" si="7"/>
        <v>1</v>
      </c>
      <c r="O2401" s="107" t="str">
        <f t="array" ref="O2401">XLOOKUP(A2401,Data!F:F,Data!O:O)</f>
        <v>  0.35 </v>
      </c>
      <c r="P2401" s="107" t="str">
        <f t="shared" si="8"/>
        <v>  0.88 </v>
      </c>
      <c r="Q2401" s="27"/>
    </row>
    <row r="2402" ht="15.75" customHeight="1">
      <c r="A2402" s="111" t="s">
        <v>2646</v>
      </c>
      <c r="B2402" s="19" t="str">
        <f t="array" ref="B2402">XLOOKUP(A2402,Data!F:F,Data!G:G)</f>
        <v>J3C</v>
      </c>
      <c r="C2402" s="19" t="str">
        <f t="shared" si="3"/>
        <v>J068</v>
      </c>
      <c r="D2402" s="19" t="str">
        <f t="array" ref="D2402">XLOOKUP(A2402,Data!F:F,Data!C:C)</f>
        <v/>
      </c>
      <c r="E2402" s="19" t="str">
        <f t="array" ref="E2402">XLOOKUP(A2402,Data!F:F,Data!H:H)</f>
        <v>CF</v>
      </c>
      <c r="F2402" s="106" t="str">
        <f>SUMIFS(Data!J:J,Data!F:F,A2402)</f>
        <v>1</v>
      </c>
      <c r="G2402" s="106" t="str">
        <f>SUMIFS(Cast!C:C,CastElements,A2402)</f>
        <v>0</v>
      </c>
      <c r="H2402" s="106" t="str">
        <f t="shared" si="4"/>
        <v>1</v>
      </c>
      <c r="I2402" s="106" t="str">
        <f>SUMIFS(Del!C:C,Del!B:B,A2402)</f>
        <v>0</v>
      </c>
      <c r="J2402" s="106" t="str">
        <f t="shared" si="5"/>
        <v>1</v>
      </c>
      <c r="K2402" s="106" t="str">
        <f t="shared" si="6"/>
        <v>0</v>
      </c>
      <c r="L2402" s="106"/>
      <c r="M2402" s="106" t="str">
        <f>SUMIFS(Ere!C:C,Ere!B:B,A2402)</f>
        <v>0</v>
      </c>
      <c r="N2402" s="106" t="str">
        <f t="shared" si="7"/>
        <v>1</v>
      </c>
      <c r="O2402" s="107" t="str">
        <f t="array" ref="O2402">XLOOKUP(A2402,Data!F:F,Data!O:O)</f>
        <v>  0.52 </v>
      </c>
      <c r="P2402" s="107" t="str">
        <f t="shared" si="8"/>
        <v>  1.29 </v>
      </c>
      <c r="Q2402" s="27"/>
    </row>
    <row r="2403" ht="15.75" customHeight="1">
      <c r="A2403" s="111" t="s">
        <v>2647</v>
      </c>
      <c r="B2403" s="19" t="str">
        <f t="array" ref="B2403">XLOOKUP(A2403,Data!F:F,Data!G:G)</f>
        <v>J3C</v>
      </c>
      <c r="C2403" s="19" t="str">
        <f t="shared" si="3"/>
        <v>J068</v>
      </c>
      <c r="D2403" s="19" t="str">
        <f t="array" ref="D2403">XLOOKUP(A2403,Data!F:F,Data!C:C)</f>
        <v/>
      </c>
      <c r="E2403" s="19" t="str">
        <f t="array" ref="E2403">XLOOKUP(A2403,Data!F:F,Data!H:H)</f>
        <v>BW</v>
      </c>
      <c r="F2403" s="106" t="str">
        <f>SUMIFS(Data!J:J,Data!F:F,A2403)</f>
        <v>1</v>
      </c>
      <c r="G2403" s="106" t="str">
        <f>SUMIFS(Cast!C:C,CastElements,A2403)</f>
        <v>0</v>
      </c>
      <c r="H2403" s="106" t="str">
        <f t="shared" si="4"/>
        <v>1</v>
      </c>
      <c r="I2403" s="106" t="str">
        <f>SUMIFS(Del!C:C,Del!B:B,A2403)</f>
        <v>0</v>
      </c>
      <c r="J2403" s="106" t="str">
        <f t="shared" si="5"/>
        <v>1</v>
      </c>
      <c r="K2403" s="106" t="str">
        <f t="shared" si="6"/>
        <v>0</v>
      </c>
      <c r="L2403" s="106"/>
      <c r="M2403" s="106" t="str">
        <f>SUMIFS(Ere!C:C,Ere!B:B,A2403)</f>
        <v>0</v>
      </c>
      <c r="N2403" s="106" t="str">
        <f t="shared" si="7"/>
        <v>1</v>
      </c>
      <c r="O2403" s="107" t="str">
        <f t="array" ref="O2403">XLOOKUP(A2403,Data!F:F,Data!O:O)</f>
        <v>  1.91 </v>
      </c>
      <c r="P2403" s="107" t="str">
        <f t="shared" si="8"/>
        <v>  4.79 </v>
      </c>
      <c r="Q2403" s="27"/>
    </row>
    <row r="2404" ht="15.75" customHeight="1">
      <c r="A2404" s="111" t="s">
        <v>2648</v>
      </c>
      <c r="B2404" s="19" t="str">
        <f t="array" ref="B2404">XLOOKUP(A2404,Data!F:F,Data!G:G)</f>
        <v>J3C</v>
      </c>
      <c r="C2404" s="19" t="str">
        <f t="shared" si="3"/>
        <v>J068</v>
      </c>
      <c r="D2404" s="19" t="str">
        <f t="array" ref="D2404">XLOOKUP(A2404,Data!F:F,Data!C:C)</f>
        <v/>
      </c>
      <c r="E2404" s="19" t="str">
        <f t="array" ref="E2404">XLOOKUP(A2404,Data!F:F,Data!H:H)</f>
        <v>BW</v>
      </c>
      <c r="F2404" s="106" t="str">
        <f>SUMIFS(Data!J:J,Data!F:F,A2404)</f>
        <v>1</v>
      </c>
      <c r="G2404" s="106" t="str">
        <f>SUMIFS(Cast!C:C,CastElements,A2404)</f>
        <v>1</v>
      </c>
      <c r="H2404" s="106" t="str">
        <f t="shared" si="4"/>
        <v>0</v>
      </c>
      <c r="I2404" s="106" t="str">
        <f>SUMIFS(Del!C:C,Del!B:B,A2404)</f>
        <v>0</v>
      </c>
      <c r="J2404" s="106" t="str">
        <f t="shared" si="5"/>
        <v>1</v>
      </c>
      <c r="K2404" s="106" t="str">
        <f t="shared" si="6"/>
        <v>1</v>
      </c>
      <c r="L2404" s="106"/>
      <c r="M2404" s="106" t="str">
        <f>SUMIFS(Ere!C:C,Ere!B:B,A2404)</f>
        <v>0</v>
      </c>
      <c r="N2404" s="106" t="str">
        <f t="shared" si="7"/>
        <v>1</v>
      </c>
      <c r="O2404" s="107" t="str">
        <f t="array" ref="O2404">XLOOKUP(A2404,Data!F:F,Data!O:O)</f>
        <v>  1.77 </v>
      </c>
      <c r="P2404" s="107" t="str">
        <f t="shared" si="8"/>
        <v>  4.44 </v>
      </c>
      <c r="Q2404" s="27"/>
    </row>
    <row r="2405" ht="15.75" customHeight="1">
      <c r="A2405" s="111" t="s">
        <v>2649</v>
      </c>
      <c r="B2405" s="19" t="str">
        <f t="array" ref="B2405">XLOOKUP(A2405,Data!F:F,Data!G:G)</f>
        <v>J3C</v>
      </c>
      <c r="C2405" s="19" t="str">
        <f t="shared" si="3"/>
        <v>J068</v>
      </c>
      <c r="D2405" s="19" t="str">
        <f t="array" ref="D2405">XLOOKUP(A2405,Data!F:F,Data!C:C)</f>
        <v/>
      </c>
      <c r="E2405" s="19" t="str">
        <f t="array" ref="E2405">XLOOKUP(A2405,Data!F:F,Data!H:H)</f>
        <v>BW</v>
      </c>
      <c r="F2405" s="106" t="str">
        <f>SUMIFS(Data!J:J,Data!F:F,A2405)</f>
        <v>1</v>
      </c>
      <c r="G2405" s="106" t="str">
        <f>SUMIFS(Cast!C:C,CastElements,A2405)</f>
        <v>1</v>
      </c>
      <c r="H2405" s="106" t="str">
        <f t="shared" si="4"/>
        <v>0</v>
      </c>
      <c r="I2405" s="106" t="str">
        <f>SUMIFS(Del!C:C,Del!B:B,A2405)</f>
        <v>0</v>
      </c>
      <c r="J2405" s="106" t="str">
        <f t="shared" si="5"/>
        <v>1</v>
      </c>
      <c r="K2405" s="106" t="str">
        <f t="shared" si="6"/>
        <v>1</v>
      </c>
      <c r="L2405" s="106"/>
      <c r="M2405" s="106" t="str">
        <f>SUMIFS(Ere!C:C,Ere!B:B,A2405)</f>
        <v>0</v>
      </c>
      <c r="N2405" s="106" t="str">
        <f t="shared" si="7"/>
        <v>1</v>
      </c>
      <c r="O2405" s="107" t="str">
        <f t="array" ref="O2405">XLOOKUP(A2405,Data!F:F,Data!O:O)</f>
        <v>  1.77 </v>
      </c>
      <c r="P2405" s="107" t="str">
        <f t="shared" si="8"/>
        <v>  4.44 </v>
      </c>
      <c r="Q2405" s="27"/>
    </row>
    <row r="2406" ht="15.75" customHeight="1">
      <c r="A2406" s="111" t="s">
        <v>2650</v>
      </c>
      <c r="B2406" s="19" t="str">
        <f t="array" ref="B2406">XLOOKUP(A2406,Data!F:F,Data!G:G)</f>
        <v>J3C</v>
      </c>
      <c r="C2406" s="19" t="str">
        <f t="shared" si="3"/>
        <v>J068</v>
      </c>
      <c r="D2406" s="19" t="str">
        <f t="array" ref="D2406">XLOOKUP(A2406,Data!F:F,Data!C:C)</f>
        <v/>
      </c>
      <c r="E2406" s="19" t="str">
        <f t="array" ref="E2406">XLOOKUP(A2406,Data!F:F,Data!H:H)</f>
        <v>BW</v>
      </c>
      <c r="F2406" s="106" t="str">
        <f>SUMIFS(Data!J:J,Data!F:F,A2406)</f>
        <v>1</v>
      </c>
      <c r="G2406" s="106" t="str">
        <f>SUMIFS(Cast!C:C,CastElements,A2406)</f>
        <v>1</v>
      </c>
      <c r="H2406" s="106" t="str">
        <f t="shared" si="4"/>
        <v>0</v>
      </c>
      <c r="I2406" s="106" t="str">
        <f>SUMIFS(Del!C:C,Del!B:B,A2406)</f>
        <v>0</v>
      </c>
      <c r="J2406" s="106" t="str">
        <f t="shared" si="5"/>
        <v>1</v>
      </c>
      <c r="K2406" s="106" t="str">
        <f t="shared" si="6"/>
        <v>1</v>
      </c>
      <c r="L2406" s="106"/>
      <c r="M2406" s="106" t="str">
        <f>SUMIFS(Ere!C:C,Ere!B:B,A2406)</f>
        <v>0</v>
      </c>
      <c r="N2406" s="106" t="str">
        <f t="shared" si="7"/>
        <v>1</v>
      </c>
      <c r="O2406" s="107" t="str">
        <f t="array" ref="O2406">XLOOKUP(A2406,Data!F:F,Data!O:O)</f>
        <v>  1.77 </v>
      </c>
      <c r="P2406" s="107" t="str">
        <f t="shared" si="8"/>
        <v>  4.44 </v>
      </c>
      <c r="Q2406" s="27"/>
    </row>
    <row r="2407" ht="15.75" customHeight="1">
      <c r="A2407" s="111" t="s">
        <v>2651</v>
      </c>
      <c r="B2407" s="19" t="str">
        <f t="array" ref="B2407">XLOOKUP(A2407,Data!F:F,Data!G:G)</f>
        <v>J3C</v>
      </c>
      <c r="C2407" s="19" t="str">
        <f t="shared" si="3"/>
        <v>J068</v>
      </c>
      <c r="D2407" s="19" t="str">
        <f t="array" ref="D2407">XLOOKUP(A2407,Data!F:F,Data!C:C)</f>
        <v/>
      </c>
      <c r="E2407" s="19" t="str">
        <f t="array" ref="E2407">XLOOKUP(A2407,Data!F:F,Data!H:H)</f>
        <v>BW</v>
      </c>
      <c r="F2407" s="106" t="str">
        <f>SUMIFS(Data!J:J,Data!F:F,A2407)</f>
        <v>1</v>
      </c>
      <c r="G2407" s="106" t="str">
        <f>SUMIFS(Cast!C:C,CastElements,A2407)</f>
        <v>0</v>
      </c>
      <c r="H2407" s="106" t="str">
        <f t="shared" si="4"/>
        <v>1</v>
      </c>
      <c r="I2407" s="106" t="str">
        <f>SUMIFS(Del!C:C,Del!B:B,A2407)</f>
        <v>0</v>
      </c>
      <c r="J2407" s="106" t="str">
        <f t="shared" si="5"/>
        <v>1</v>
      </c>
      <c r="K2407" s="106" t="str">
        <f t="shared" si="6"/>
        <v>0</v>
      </c>
      <c r="L2407" s="106"/>
      <c r="M2407" s="106" t="str">
        <f>SUMIFS(Ere!C:C,Ere!B:B,A2407)</f>
        <v>0</v>
      </c>
      <c r="N2407" s="106" t="str">
        <f t="shared" si="7"/>
        <v>1</v>
      </c>
      <c r="O2407" s="107" t="str">
        <f t="array" ref="O2407">XLOOKUP(A2407,Data!F:F,Data!O:O)</f>
        <v>  1.77 </v>
      </c>
      <c r="P2407" s="107" t="str">
        <f t="shared" si="8"/>
        <v>  4.44 </v>
      </c>
      <c r="Q2407" s="27"/>
    </row>
    <row r="2408" ht="15.75" customHeight="1">
      <c r="A2408" s="111" t="s">
        <v>2652</v>
      </c>
      <c r="B2408" s="19" t="str">
        <f t="array" ref="B2408">XLOOKUP(A2408,Data!F:F,Data!G:G)</f>
        <v>J3C</v>
      </c>
      <c r="C2408" s="19" t="str">
        <f t="shared" si="3"/>
        <v>J068</v>
      </c>
      <c r="D2408" s="19" t="str">
        <f t="array" ref="D2408">XLOOKUP(A2408,Data!F:F,Data!C:C)</f>
        <v>EXT</v>
      </c>
      <c r="E2408" s="19" t="str">
        <f t="array" ref="E2408">XLOOKUP(A2408,Data!F:F,Data!H:H)</f>
        <v>BW</v>
      </c>
      <c r="F2408" s="106" t="str">
        <f>SUMIFS(Data!J:J,Data!F:F,A2408)</f>
        <v>1</v>
      </c>
      <c r="G2408" s="106" t="str">
        <f>SUMIFS(Cast!C:C,CastElements,A2408)</f>
        <v>0</v>
      </c>
      <c r="H2408" s="106" t="str">
        <f t="shared" si="4"/>
        <v>1</v>
      </c>
      <c r="I2408" s="106" t="str">
        <f>SUMIFS(Del!C:C,Del!B:B,A2408)</f>
        <v>0</v>
      </c>
      <c r="J2408" s="106" t="str">
        <f t="shared" si="5"/>
        <v>1</v>
      </c>
      <c r="K2408" s="106" t="str">
        <f t="shared" si="6"/>
        <v>0</v>
      </c>
      <c r="L2408" s="106"/>
      <c r="M2408" s="106" t="str">
        <f>SUMIFS(Ere!C:C,Ere!B:B,A2408)</f>
        <v>0</v>
      </c>
      <c r="N2408" s="106" t="str">
        <f t="shared" si="7"/>
        <v>1</v>
      </c>
      <c r="O2408" s="107" t="str">
        <f t="array" ref="O2408">XLOOKUP(A2408,Data!F:F,Data!O:O)</f>
        <v>  0.49 </v>
      </c>
      <c r="P2408" s="107" t="str">
        <f t="shared" si="8"/>
        <v>  1.24 </v>
      </c>
      <c r="Q2408" s="27"/>
    </row>
    <row r="2409" ht="15.75" customHeight="1">
      <c r="A2409" s="111" t="s">
        <v>2653</v>
      </c>
      <c r="B2409" s="19" t="str">
        <f t="array" ref="B2409">XLOOKUP(A2409,Data!F:F,Data!G:G)</f>
        <v>J3C</v>
      </c>
      <c r="C2409" s="19" t="str">
        <f t="shared" si="3"/>
        <v>J068</v>
      </c>
      <c r="D2409" s="19" t="str">
        <f t="array" ref="D2409">XLOOKUP(A2409,Data!F:F,Data!C:C)</f>
        <v>EXT</v>
      </c>
      <c r="E2409" s="19" t="str">
        <f t="array" ref="E2409">XLOOKUP(A2409,Data!F:F,Data!H:H)</f>
        <v>BW</v>
      </c>
      <c r="F2409" s="106" t="str">
        <f>SUMIFS(Data!J:J,Data!F:F,A2409)</f>
        <v>1</v>
      </c>
      <c r="G2409" s="106" t="str">
        <f>SUMIFS(Cast!C:C,CastElements,A2409)</f>
        <v>0</v>
      </c>
      <c r="H2409" s="106" t="str">
        <f t="shared" si="4"/>
        <v>1</v>
      </c>
      <c r="I2409" s="106" t="str">
        <f>SUMIFS(Del!C:C,Del!B:B,A2409)</f>
        <v>0</v>
      </c>
      <c r="J2409" s="106" t="str">
        <f t="shared" si="5"/>
        <v>1</v>
      </c>
      <c r="K2409" s="106" t="str">
        <f t="shared" si="6"/>
        <v>0</v>
      </c>
      <c r="L2409" s="106"/>
      <c r="M2409" s="106" t="str">
        <f>SUMIFS(Ere!C:C,Ere!B:B,A2409)</f>
        <v>0</v>
      </c>
      <c r="N2409" s="106" t="str">
        <f t="shared" si="7"/>
        <v>1</v>
      </c>
      <c r="O2409" s="107" t="str">
        <f t="array" ref="O2409">XLOOKUP(A2409,Data!F:F,Data!O:O)</f>
        <v>  0.49 </v>
      </c>
      <c r="P2409" s="107" t="str">
        <f t="shared" si="8"/>
        <v>  1.24 </v>
      </c>
      <c r="Q2409" s="27"/>
    </row>
    <row r="2410" ht="15.75" customHeight="1">
      <c r="A2410" s="111" t="s">
        <v>2654</v>
      </c>
      <c r="B2410" s="19" t="str">
        <f t="array" ref="B2410">XLOOKUP(A2410,Data!F:F,Data!G:G)</f>
        <v>J3C</v>
      </c>
      <c r="C2410" s="19" t="str">
        <f t="shared" si="3"/>
        <v>J068</v>
      </c>
      <c r="D2410" s="19" t="str">
        <f t="array" ref="D2410">XLOOKUP(A2410,Data!F:F,Data!C:C)</f>
        <v>EXT</v>
      </c>
      <c r="E2410" s="19" t="str">
        <f t="array" ref="E2410">XLOOKUP(A2410,Data!F:F,Data!H:H)</f>
        <v>BW</v>
      </c>
      <c r="F2410" s="106" t="str">
        <f>SUMIFS(Data!J:J,Data!F:F,A2410)</f>
        <v>1</v>
      </c>
      <c r="G2410" s="106" t="str">
        <f>SUMIFS(Cast!C:C,CastElements,A2410)</f>
        <v>0</v>
      </c>
      <c r="H2410" s="106" t="str">
        <f t="shared" si="4"/>
        <v>1</v>
      </c>
      <c r="I2410" s="106" t="str">
        <f>SUMIFS(Del!C:C,Del!B:B,A2410)</f>
        <v>0</v>
      </c>
      <c r="J2410" s="106" t="str">
        <f t="shared" si="5"/>
        <v>1</v>
      </c>
      <c r="K2410" s="106" t="str">
        <f t="shared" si="6"/>
        <v>0</v>
      </c>
      <c r="L2410" s="106"/>
      <c r="M2410" s="106" t="str">
        <f>SUMIFS(Ere!C:C,Ere!B:B,A2410)</f>
        <v>0</v>
      </c>
      <c r="N2410" s="106" t="str">
        <f t="shared" si="7"/>
        <v>1</v>
      </c>
      <c r="O2410" s="107" t="str">
        <f t="array" ref="O2410">XLOOKUP(A2410,Data!F:F,Data!O:O)</f>
        <v>  0.49 </v>
      </c>
      <c r="P2410" s="107" t="str">
        <f t="shared" si="8"/>
        <v>  1.24 </v>
      </c>
      <c r="Q2410" s="27"/>
    </row>
    <row r="2411" ht="15.75" customHeight="1">
      <c r="A2411" s="111" t="s">
        <v>2655</v>
      </c>
      <c r="B2411" s="19" t="str">
        <f t="array" ref="B2411">XLOOKUP(A2411,Data!F:F,Data!G:G)</f>
        <v>J3C</v>
      </c>
      <c r="C2411" s="19" t="str">
        <f t="shared" si="3"/>
        <v>J068</v>
      </c>
      <c r="D2411" s="19" t="str">
        <f t="array" ref="D2411">XLOOKUP(A2411,Data!F:F,Data!C:C)</f>
        <v>EXT</v>
      </c>
      <c r="E2411" s="19" t="str">
        <f t="array" ref="E2411">XLOOKUP(A2411,Data!F:F,Data!H:H)</f>
        <v>BW</v>
      </c>
      <c r="F2411" s="106" t="str">
        <f>SUMIFS(Data!J:J,Data!F:F,A2411)</f>
        <v>1</v>
      </c>
      <c r="G2411" s="106" t="str">
        <f>SUMIFS(Cast!C:C,CastElements,A2411)</f>
        <v>0</v>
      </c>
      <c r="H2411" s="106" t="str">
        <f t="shared" si="4"/>
        <v>1</v>
      </c>
      <c r="I2411" s="106" t="str">
        <f>SUMIFS(Del!C:C,Del!B:B,A2411)</f>
        <v>0</v>
      </c>
      <c r="J2411" s="106" t="str">
        <f t="shared" si="5"/>
        <v>1</v>
      </c>
      <c r="K2411" s="106" t="str">
        <f t="shared" si="6"/>
        <v>0</v>
      </c>
      <c r="L2411" s="106"/>
      <c r="M2411" s="106" t="str">
        <f>SUMIFS(Ere!C:C,Ere!B:B,A2411)</f>
        <v>0</v>
      </c>
      <c r="N2411" s="106" t="str">
        <f t="shared" si="7"/>
        <v>1</v>
      </c>
      <c r="O2411" s="107" t="str">
        <f t="array" ref="O2411">XLOOKUP(A2411,Data!F:F,Data!O:O)</f>
        <v>  0.49 </v>
      </c>
      <c r="P2411" s="107" t="str">
        <f t="shared" si="8"/>
        <v>  1.24 </v>
      </c>
      <c r="Q2411" s="27"/>
    </row>
    <row r="2412" ht="15.75" customHeight="1">
      <c r="A2412" s="111" t="s">
        <v>2656</v>
      </c>
      <c r="B2412" s="19" t="str">
        <f t="array" ref="B2412">XLOOKUP(A2412,Data!F:F,Data!G:G)</f>
        <v>J3C</v>
      </c>
      <c r="C2412" s="19" t="str">
        <f t="shared" si="3"/>
        <v>J068</v>
      </c>
      <c r="D2412" s="19" t="str">
        <f t="array" ref="D2412">XLOOKUP(A2412,Data!F:F,Data!C:C)</f>
        <v>EXT</v>
      </c>
      <c r="E2412" s="19" t="str">
        <f t="array" ref="E2412">XLOOKUP(A2412,Data!F:F,Data!H:H)</f>
        <v>BW</v>
      </c>
      <c r="F2412" s="106" t="str">
        <f>SUMIFS(Data!J:J,Data!F:F,A2412)</f>
        <v>1</v>
      </c>
      <c r="G2412" s="106" t="str">
        <f>SUMIFS(Cast!C:C,CastElements,A2412)</f>
        <v>0</v>
      </c>
      <c r="H2412" s="106" t="str">
        <f t="shared" si="4"/>
        <v>1</v>
      </c>
      <c r="I2412" s="106" t="str">
        <f>SUMIFS(Del!C:C,Del!B:B,A2412)</f>
        <v>0</v>
      </c>
      <c r="J2412" s="106" t="str">
        <f t="shared" si="5"/>
        <v>1</v>
      </c>
      <c r="K2412" s="106" t="str">
        <f t="shared" si="6"/>
        <v>0</v>
      </c>
      <c r="L2412" s="106"/>
      <c r="M2412" s="106" t="str">
        <f>SUMIFS(Ere!C:C,Ere!B:B,A2412)</f>
        <v>0</v>
      </c>
      <c r="N2412" s="106" t="str">
        <f t="shared" si="7"/>
        <v>1</v>
      </c>
      <c r="O2412" s="107" t="str">
        <f t="array" ref="O2412">XLOOKUP(A2412,Data!F:F,Data!O:O)</f>
        <v>  0.49 </v>
      </c>
      <c r="P2412" s="107" t="str">
        <f t="shared" si="8"/>
        <v>  1.24 </v>
      </c>
      <c r="Q2412" s="27"/>
    </row>
    <row r="2413" ht="15.75" customHeight="1">
      <c r="A2413" s="111" t="s">
        <v>2657</v>
      </c>
      <c r="B2413" s="19" t="str">
        <f t="array" ref="B2413">XLOOKUP(A2413,Data!F:F,Data!G:G)</f>
        <v>J3C</v>
      </c>
      <c r="C2413" s="19" t="str">
        <f t="shared" si="3"/>
        <v>J068</v>
      </c>
      <c r="D2413" s="19" t="str">
        <f t="array" ref="D2413">XLOOKUP(A2413,Data!F:F,Data!C:C)</f>
        <v>EXT</v>
      </c>
      <c r="E2413" s="19" t="str">
        <f t="array" ref="E2413">XLOOKUP(A2413,Data!F:F,Data!H:H)</f>
        <v>BW</v>
      </c>
      <c r="F2413" s="106" t="str">
        <f>SUMIFS(Data!J:J,Data!F:F,A2413)</f>
        <v>1</v>
      </c>
      <c r="G2413" s="106" t="str">
        <f>SUMIFS(Cast!C:C,CastElements,A2413)</f>
        <v>0</v>
      </c>
      <c r="H2413" s="106" t="str">
        <f t="shared" si="4"/>
        <v>1</v>
      </c>
      <c r="I2413" s="106" t="str">
        <f>SUMIFS(Del!C:C,Del!B:B,A2413)</f>
        <v>0</v>
      </c>
      <c r="J2413" s="106" t="str">
        <f t="shared" si="5"/>
        <v>1</v>
      </c>
      <c r="K2413" s="106" t="str">
        <f t="shared" si="6"/>
        <v>0</v>
      </c>
      <c r="L2413" s="106"/>
      <c r="M2413" s="106" t="str">
        <f>SUMIFS(Ere!C:C,Ere!B:B,A2413)</f>
        <v>0</v>
      </c>
      <c r="N2413" s="106" t="str">
        <f t="shared" si="7"/>
        <v>1</v>
      </c>
      <c r="O2413" s="107" t="str">
        <f t="array" ref="O2413">XLOOKUP(A2413,Data!F:F,Data!O:O)</f>
        <v>  0.49 </v>
      </c>
      <c r="P2413" s="107" t="str">
        <f t="shared" si="8"/>
        <v>  1.24 </v>
      </c>
      <c r="Q2413" s="27"/>
    </row>
    <row r="2414" ht="15.75" customHeight="1">
      <c r="A2414" s="111" t="s">
        <v>2658</v>
      </c>
      <c r="B2414" s="19" t="str">
        <f t="array" ref="B2414">XLOOKUP(A2414,Data!F:F,Data!G:G)</f>
        <v>J3C</v>
      </c>
      <c r="C2414" s="19" t="str">
        <f t="shared" si="3"/>
        <v>J068</v>
      </c>
      <c r="D2414" s="19" t="str">
        <f t="array" ref="D2414">XLOOKUP(A2414,Data!F:F,Data!C:C)</f>
        <v>EXT</v>
      </c>
      <c r="E2414" s="19" t="str">
        <f t="array" ref="E2414">XLOOKUP(A2414,Data!F:F,Data!H:H)</f>
        <v>BW</v>
      </c>
      <c r="F2414" s="106" t="str">
        <f>SUMIFS(Data!J:J,Data!F:F,A2414)</f>
        <v>1</v>
      </c>
      <c r="G2414" s="106" t="str">
        <f>SUMIFS(Cast!C:C,CastElements,A2414)</f>
        <v>0</v>
      </c>
      <c r="H2414" s="106" t="str">
        <f t="shared" si="4"/>
        <v>1</v>
      </c>
      <c r="I2414" s="106" t="str">
        <f>SUMIFS(Del!C:C,Del!B:B,A2414)</f>
        <v>0</v>
      </c>
      <c r="J2414" s="106" t="str">
        <f t="shared" si="5"/>
        <v>1</v>
      </c>
      <c r="K2414" s="106" t="str">
        <f t="shared" si="6"/>
        <v>0</v>
      </c>
      <c r="L2414" s="106"/>
      <c r="M2414" s="106" t="str">
        <f>SUMIFS(Ere!C:C,Ere!B:B,A2414)</f>
        <v>0</v>
      </c>
      <c r="N2414" s="106" t="str">
        <f t="shared" si="7"/>
        <v>1</v>
      </c>
      <c r="O2414" s="107" t="str">
        <f t="array" ref="O2414">XLOOKUP(A2414,Data!F:F,Data!O:O)</f>
        <v>  0.49 </v>
      </c>
      <c r="P2414" s="107" t="str">
        <f t="shared" si="8"/>
        <v>  1.24 </v>
      </c>
      <c r="Q2414" s="27"/>
    </row>
    <row r="2415" ht="15.75" customHeight="1">
      <c r="A2415" s="111" t="s">
        <v>2659</v>
      </c>
      <c r="B2415" s="19" t="str">
        <f t="array" ref="B2415">XLOOKUP(A2415,Data!F:F,Data!G:G)</f>
        <v>J3C</v>
      </c>
      <c r="C2415" s="19" t="str">
        <f t="shared" si="3"/>
        <v>J068</v>
      </c>
      <c r="D2415" s="19" t="str">
        <f t="array" ref="D2415">XLOOKUP(A2415,Data!F:F,Data!C:C)</f>
        <v>EXT</v>
      </c>
      <c r="E2415" s="19" t="str">
        <f t="array" ref="E2415">XLOOKUP(A2415,Data!F:F,Data!H:H)</f>
        <v>BW</v>
      </c>
      <c r="F2415" s="106" t="str">
        <f>SUMIFS(Data!J:J,Data!F:F,A2415)</f>
        <v>1</v>
      </c>
      <c r="G2415" s="106" t="str">
        <f>SUMIFS(Cast!C:C,CastElements,A2415)</f>
        <v>0</v>
      </c>
      <c r="H2415" s="106" t="str">
        <f t="shared" si="4"/>
        <v>1</v>
      </c>
      <c r="I2415" s="106" t="str">
        <f>SUMIFS(Del!C:C,Del!B:B,A2415)</f>
        <v>0</v>
      </c>
      <c r="J2415" s="106" t="str">
        <f t="shared" si="5"/>
        <v>1</v>
      </c>
      <c r="K2415" s="106" t="str">
        <f t="shared" si="6"/>
        <v>0</v>
      </c>
      <c r="L2415" s="106"/>
      <c r="M2415" s="106" t="str">
        <f>SUMIFS(Ere!C:C,Ere!B:B,A2415)</f>
        <v>0</v>
      </c>
      <c r="N2415" s="106" t="str">
        <f t="shared" si="7"/>
        <v>1</v>
      </c>
      <c r="O2415" s="107" t="str">
        <f t="array" ref="O2415">XLOOKUP(A2415,Data!F:F,Data!O:O)</f>
        <v>  0.49 </v>
      </c>
      <c r="P2415" s="107" t="str">
        <f t="shared" si="8"/>
        <v>  1.24 </v>
      </c>
      <c r="Q2415" s="27"/>
    </row>
    <row r="2416" ht="15.75" customHeight="1">
      <c r="A2416" s="111" t="s">
        <v>2660</v>
      </c>
      <c r="B2416" s="19" t="str">
        <f t="array" ref="B2416">XLOOKUP(A2416,Data!F:F,Data!G:G)</f>
        <v>J3C</v>
      </c>
      <c r="C2416" s="19" t="str">
        <f t="shared" si="3"/>
        <v>J068</v>
      </c>
      <c r="D2416" s="19" t="str">
        <f t="array" ref="D2416">XLOOKUP(A2416,Data!F:F,Data!C:C)</f>
        <v>EXT</v>
      </c>
      <c r="E2416" s="19" t="str">
        <f t="array" ref="E2416">XLOOKUP(A2416,Data!F:F,Data!H:H)</f>
        <v>BW</v>
      </c>
      <c r="F2416" s="106" t="str">
        <f>SUMIFS(Data!J:J,Data!F:F,A2416)</f>
        <v>1</v>
      </c>
      <c r="G2416" s="106" t="str">
        <f>SUMIFS(Cast!C:C,CastElements,A2416)</f>
        <v>0</v>
      </c>
      <c r="H2416" s="106" t="str">
        <f t="shared" si="4"/>
        <v>1</v>
      </c>
      <c r="I2416" s="106" t="str">
        <f>SUMIFS(Del!C:C,Del!B:B,A2416)</f>
        <v>0</v>
      </c>
      <c r="J2416" s="106" t="str">
        <f t="shared" si="5"/>
        <v>1</v>
      </c>
      <c r="K2416" s="106" t="str">
        <f t="shared" si="6"/>
        <v>0</v>
      </c>
      <c r="L2416" s="106"/>
      <c r="M2416" s="106" t="str">
        <f>SUMIFS(Ere!C:C,Ere!B:B,A2416)</f>
        <v>0</v>
      </c>
      <c r="N2416" s="106" t="str">
        <f t="shared" si="7"/>
        <v>1</v>
      </c>
      <c r="O2416" s="107" t="str">
        <f t="array" ref="O2416">XLOOKUP(A2416,Data!F:F,Data!O:O)</f>
        <v>  0.49 </v>
      </c>
      <c r="P2416" s="107" t="str">
        <f t="shared" si="8"/>
        <v>  1.24 </v>
      </c>
      <c r="Q2416" s="27"/>
    </row>
    <row r="2417" ht="15.75" customHeight="1">
      <c r="A2417" s="111" t="s">
        <v>2661</v>
      </c>
      <c r="B2417" s="19" t="str">
        <f t="array" ref="B2417">XLOOKUP(A2417,Data!F:F,Data!G:G)</f>
        <v>J3C</v>
      </c>
      <c r="C2417" s="19" t="str">
        <f t="shared" si="3"/>
        <v>J068</v>
      </c>
      <c r="D2417" s="19" t="str">
        <f t="array" ref="D2417">XLOOKUP(A2417,Data!F:F,Data!C:C)</f>
        <v>EXT</v>
      </c>
      <c r="E2417" s="19" t="str">
        <f t="array" ref="E2417">XLOOKUP(A2417,Data!F:F,Data!H:H)</f>
        <v>BW</v>
      </c>
      <c r="F2417" s="106" t="str">
        <f>SUMIFS(Data!J:J,Data!F:F,A2417)</f>
        <v>1</v>
      </c>
      <c r="G2417" s="106" t="str">
        <f>SUMIFS(Cast!C:C,CastElements,A2417)</f>
        <v>0</v>
      </c>
      <c r="H2417" s="106" t="str">
        <f t="shared" si="4"/>
        <v>1</v>
      </c>
      <c r="I2417" s="106" t="str">
        <f>SUMIFS(Del!C:C,Del!B:B,A2417)</f>
        <v>0</v>
      </c>
      <c r="J2417" s="106" t="str">
        <f t="shared" si="5"/>
        <v>1</v>
      </c>
      <c r="K2417" s="106" t="str">
        <f t="shared" si="6"/>
        <v>0</v>
      </c>
      <c r="L2417" s="106"/>
      <c r="M2417" s="106" t="str">
        <f>SUMIFS(Ere!C:C,Ere!B:B,A2417)</f>
        <v>0</v>
      </c>
      <c r="N2417" s="106" t="str">
        <f t="shared" si="7"/>
        <v>1</v>
      </c>
      <c r="O2417" s="107" t="str">
        <f t="array" ref="O2417">XLOOKUP(A2417,Data!F:F,Data!O:O)</f>
        <v>  0.79 </v>
      </c>
      <c r="P2417" s="107" t="str">
        <f t="shared" si="8"/>
        <v>  1.98 </v>
      </c>
      <c r="Q2417" s="27"/>
    </row>
    <row r="2418" ht="15.75" customHeight="1">
      <c r="A2418" s="111" t="s">
        <v>2662</v>
      </c>
      <c r="B2418" s="19" t="str">
        <f t="array" ref="B2418">XLOOKUP(A2418,Data!F:F,Data!G:G)</f>
        <v>J3C</v>
      </c>
      <c r="C2418" s="19" t="str">
        <f t="shared" si="3"/>
        <v>J068</v>
      </c>
      <c r="D2418" s="19" t="str">
        <f t="array" ref="D2418">XLOOKUP(A2418,Data!F:F,Data!C:C)</f>
        <v/>
      </c>
      <c r="E2418" s="19" t="str">
        <f t="array" ref="E2418">XLOOKUP(A2418,Data!F:F,Data!H:H)</f>
        <v>BW</v>
      </c>
      <c r="F2418" s="106" t="str">
        <f>SUMIFS(Data!J:J,Data!F:F,A2418)</f>
        <v>1</v>
      </c>
      <c r="G2418" s="106" t="str">
        <f>SUMIFS(Cast!C:C,CastElements,A2418)</f>
        <v>0</v>
      </c>
      <c r="H2418" s="106" t="str">
        <f t="shared" si="4"/>
        <v>1</v>
      </c>
      <c r="I2418" s="106" t="str">
        <f>SUMIFS(Del!C:C,Del!B:B,A2418)</f>
        <v>0</v>
      </c>
      <c r="J2418" s="106" t="str">
        <f t="shared" si="5"/>
        <v>1</v>
      </c>
      <c r="K2418" s="106" t="str">
        <f t="shared" si="6"/>
        <v>0</v>
      </c>
      <c r="L2418" s="106"/>
      <c r="M2418" s="106" t="str">
        <f>SUMIFS(Ere!C:C,Ere!B:B,A2418)</f>
        <v>0</v>
      </c>
      <c r="N2418" s="106" t="str">
        <f t="shared" si="7"/>
        <v>1</v>
      </c>
      <c r="O2418" s="107" t="str">
        <f t="array" ref="O2418">XLOOKUP(A2418,Data!F:F,Data!O:O)</f>
        <v>  1.54 </v>
      </c>
      <c r="P2418" s="107" t="str">
        <f t="shared" si="8"/>
        <v>  3.86 </v>
      </c>
      <c r="Q2418" s="27"/>
    </row>
    <row r="2419" ht="15.75" customHeight="1">
      <c r="A2419" s="111" t="s">
        <v>2663</v>
      </c>
      <c r="B2419" s="19" t="str">
        <f t="array" ref="B2419">XLOOKUP(A2419,Data!F:F,Data!G:G)</f>
        <v>J3C</v>
      </c>
      <c r="C2419" s="19" t="str">
        <f t="shared" si="3"/>
        <v>J068</v>
      </c>
      <c r="D2419" s="19" t="str">
        <f t="array" ref="D2419">XLOOKUP(A2419,Data!F:F,Data!C:C)</f>
        <v/>
      </c>
      <c r="E2419" s="19" t="str">
        <f t="array" ref="E2419">XLOOKUP(A2419,Data!F:F,Data!H:H)</f>
        <v>BW</v>
      </c>
      <c r="F2419" s="106" t="str">
        <f>SUMIFS(Data!J:J,Data!F:F,A2419)</f>
        <v>1</v>
      </c>
      <c r="G2419" s="106" t="str">
        <f>SUMIFS(Cast!C:C,CastElements,A2419)</f>
        <v>1</v>
      </c>
      <c r="H2419" s="106" t="str">
        <f t="shared" si="4"/>
        <v>0</v>
      </c>
      <c r="I2419" s="106" t="str">
        <f>SUMIFS(Del!C:C,Del!B:B,A2419)</f>
        <v>0</v>
      </c>
      <c r="J2419" s="106" t="str">
        <f t="shared" si="5"/>
        <v>1</v>
      </c>
      <c r="K2419" s="106" t="str">
        <f t="shared" si="6"/>
        <v>1</v>
      </c>
      <c r="L2419" s="106"/>
      <c r="M2419" s="106" t="str">
        <f>SUMIFS(Ere!C:C,Ere!B:B,A2419)</f>
        <v>0</v>
      </c>
      <c r="N2419" s="106" t="str">
        <f t="shared" si="7"/>
        <v>1</v>
      </c>
      <c r="O2419" s="107" t="str">
        <f t="array" ref="O2419">XLOOKUP(A2419,Data!F:F,Data!O:O)</f>
        <v>  1.50 </v>
      </c>
      <c r="P2419" s="107" t="str">
        <f t="shared" si="8"/>
        <v>  3.74 </v>
      </c>
      <c r="Q2419" s="27"/>
    </row>
    <row r="2420" ht="15.75" customHeight="1">
      <c r="A2420" s="111" t="s">
        <v>2664</v>
      </c>
      <c r="B2420" s="19" t="str">
        <f t="array" ref="B2420">XLOOKUP(A2420,Data!F:F,Data!G:G)</f>
        <v>J3C</v>
      </c>
      <c r="C2420" s="19" t="str">
        <f t="shared" si="3"/>
        <v>J068</v>
      </c>
      <c r="D2420" s="19" t="str">
        <f t="array" ref="D2420">XLOOKUP(A2420,Data!F:F,Data!C:C)</f>
        <v/>
      </c>
      <c r="E2420" s="19" t="str">
        <f t="array" ref="E2420">XLOOKUP(A2420,Data!F:F,Data!H:H)</f>
        <v>BW</v>
      </c>
      <c r="F2420" s="106" t="str">
        <f>SUMIFS(Data!J:J,Data!F:F,A2420)</f>
        <v>1</v>
      </c>
      <c r="G2420" s="106" t="str">
        <f>SUMIFS(Cast!C:C,CastElements,A2420)</f>
        <v>1</v>
      </c>
      <c r="H2420" s="106" t="str">
        <f t="shared" si="4"/>
        <v>0</v>
      </c>
      <c r="I2420" s="106" t="str">
        <f>SUMIFS(Del!C:C,Del!B:B,A2420)</f>
        <v>0</v>
      </c>
      <c r="J2420" s="106" t="str">
        <f t="shared" si="5"/>
        <v>1</v>
      </c>
      <c r="K2420" s="106" t="str">
        <f t="shared" si="6"/>
        <v>1</v>
      </c>
      <c r="L2420" s="106"/>
      <c r="M2420" s="106" t="str">
        <f>SUMIFS(Ere!C:C,Ere!B:B,A2420)</f>
        <v>0</v>
      </c>
      <c r="N2420" s="106" t="str">
        <f t="shared" si="7"/>
        <v>1</v>
      </c>
      <c r="O2420" s="107" t="str">
        <f t="array" ref="O2420">XLOOKUP(A2420,Data!F:F,Data!O:O)</f>
        <v>  1.50 </v>
      </c>
      <c r="P2420" s="107" t="str">
        <f t="shared" si="8"/>
        <v>  3.74 </v>
      </c>
      <c r="Q2420" s="27"/>
    </row>
    <row r="2421" ht="15.75" customHeight="1">
      <c r="A2421" s="111" t="s">
        <v>2665</v>
      </c>
      <c r="B2421" s="19" t="str">
        <f t="array" ref="B2421">XLOOKUP(A2421,Data!F:F,Data!G:G)</f>
        <v>J3C</v>
      </c>
      <c r="C2421" s="19" t="str">
        <f t="shared" si="3"/>
        <v>J068</v>
      </c>
      <c r="D2421" s="19" t="str">
        <f t="array" ref="D2421">XLOOKUP(A2421,Data!F:F,Data!C:C)</f>
        <v/>
      </c>
      <c r="E2421" s="19" t="str">
        <f t="array" ref="E2421">XLOOKUP(A2421,Data!F:F,Data!H:H)</f>
        <v>BW</v>
      </c>
      <c r="F2421" s="106" t="str">
        <f>SUMIFS(Data!J:J,Data!F:F,A2421)</f>
        <v>1</v>
      </c>
      <c r="G2421" s="106" t="str">
        <f>SUMIFS(Cast!C:C,CastElements,A2421)</f>
        <v>1</v>
      </c>
      <c r="H2421" s="106" t="str">
        <f t="shared" si="4"/>
        <v>0</v>
      </c>
      <c r="I2421" s="106" t="str">
        <f>SUMIFS(Del!C:C,Del!B:B,A2421)</f>
        <v>0</v>
      </c>
      <c r="J2421" s="106" t="str">
        <f t="shared" si="5"/>
        <v>1</v>
      </c>
      <c r="K2421" s="106" t="str">
        <f t="shared" si="6"/>
        <v>1</v>
      </c>
      <c r="L2421" s="106"/>
      <c r="M2421" s="106" t="str">
        <f>SUMIFS(Ere!C:C,Ere!B:B,A2421)</f>
        <v>0</v>
      </c>
      <c r="N2421" s="106" t="str">
        <f t="shared" si="7"/>
        <v>1</v>
      </c>
      <c r="O2421" s="107" t="str">
        <f t="array" ref="O2421">XLOOKUP(A2421,Data!F:F,Data!O:O)</f>
        <v>  1.50 </v>
      </c>
      <c r="P2421" s="107" t="str">
        <f t="shared" si="8"/>
        <v>  3.74 </v>
      </c>
      <c r="Q2421" s="27"/>
    </row>
    <row r="2422" ht="15.75" customHeight="1">
      <c r="A2422" s="111" t="s">
        <v>2666</v>
      </c>
      <c r="B2422" s="19" t="str">
        <f t="array" ref="B2422">XLOOKUP(A2422,Data!F:F,Data!G:G)</f>
        <v>J3C</v>
      </c>
      <c r="C2422" s="19" t="str">
        <f t="shared" si="3"/>
        <v>J068</v>
      </c>
      <c r="D2422" s="19" t="str">
        <f t="array" ref="D2422">XLOOKUP(A2422,Data!F:F,Data!C:C)</f>
        <v/>
      </c>
      <c r="E2422" s="19" t="str">
        <f t="array" ref="E2422">XLOOKUP(A2422,Data!F:F,Data!H:H)</f>
        <v>BW</v>
      </c>
      <c r="F2422" s="106" t="str">
        <f>SUMIFS(Data!J:J,Data!F:F,A2422)</f>
        <v>1</v>
      </c>
      <c r="G2422" s="106" t="str">
        <f>SUMIFS(Cast!C:C,CastElements,A2422)</f>
        <v>0</v>
      </c>
      <c r="H2422" s="106" t="str">
        <f t="shared" si="4"/>
        <v>1</v>
      </c>
      <c r="I2422" s="106" t="str">
        <f>SUMIFS(Del!C:C,Del!B:B,A2422)</f>
        <v>0</v>
      </c>
      <c r="J2422" s="106" t="str">
        <f t="shared" si="5"/>
        <v>1</v>
      </c>
      <c r="K2422" s="106" t="str">
        <f t="shared" si="6"/>
        <v>0</v>
      </c>
      <c r="L2422" s="106"/>
      <c r="M2422" s="106" t="str">
        <f>SUMIFS(Ere!C:C,Ere!B:B,A2422)</f>
        <v>0</v>
      </c>
      <c r="N2422" s="106" t="str">
        <f t="shared" si="7"/>
        <v>1</v>
      </c>
      <c r="O2422" s="107" t="str">
        <f t="array" ref="O2422">XLOOKUP(A2422,Data!F:F,Data!O:O)</f>
        <v>  1.21 </v>
      </c>
      <c r="P2422" s="107" t="str">
        <f t="shared" si="8"/>
        <v>  3.02 </v>
      </c>
      <c r="Q2422" s="27"/>
    </row>
    <row r="2423" ht="15.75" customHeight="1">
      <c r="A2423" s="111" t="s">
        <v>2667</v>
      </c>
      <c r="B2423" s="19" t="str">
        <f t="array" ref="B2423">XLOOKUP(A2423,Data!F:F,Data!G:G)</f>
        <v>J3C</v>
      </c>
      <c r="C2423" s="19" t="str">
        <f t="shared" si="3"/>
        <v>J068</v>
      </c>
      <c r="D2423" s="19" t="str">
        <f t="array" ref="D2423">XLOOKUP(A2423,Data!F:F,Data!C:C)</f>
        <v/>
      </c>
      <c r="E2423" s="19" t="str">
        <f t="array" ref="E2423">XLOOKUP(A2423,Data!F:F,Data!H:H)</f>
        <v>BW</v>
      </c>
      <c r="F2423" s="106" t="str">
        <f>SUMIFS(Data!J:J,Data!F:F,A2423)</f>
        <v>1</v>
      </c>
      <c r="G2423" s="106" t="str">
        <f>SUMIFS(Cast!C:C,CastElements,A2423)</f>
        <v>0</v>
      </c>
      <c r="H2423" s="106" t="str">
        <f t="shared" si="4"/>
        <v>1</v>
      </c>
      <c r="I2423" s="106" t="str">
        <f>SUMIFS(Del!C:C,Del!B:B,A2423)</f>
        <v>0</v>
      </c>
      <c r="J2423" s="106" t="str">
        <f t="shared" si="5"/>
        <v>1</v>
      </c>
      <c r="K2423" s="106" t="str">
        <f t="shared" si="6"/>
        <v>0</v>
      </c>
      <c r="L2423" s="106"/>
      <c r="M2423" s="106" t="str">
        <f>SUMIFS(Ere!C:C,Ere!B:B,A2423)</f>
        <v>0</v>
      </c>
      <c r="N2423" s="106" t="str">
        <f t="shared" si="7"/>
        <v>1</v>
      </c>
      <c r="O2423" s="107" t="str">
        <f t="array" ref="O2423">XLOOKUP(A2423,Data!F:F,Data!O:O)</f>
        <v>  1.50 </v>
      </c>
      <c r="P2423" s="107" t="str">
        <f t="shared" si="8"/>
        <v>  3.75 </v>
      </c>
      <c r="Q2423" s="27"/>
    </row>
    <row r="2424" ht="15.75" customHeight="1">
      <c r="A2424" s="111" t="s">
        <v>2668</v>
      </c>
      <c r="B2424" s="19" t="str">
        <f t="array" ref="B2424">XLOOKUP(A2424,Data!F:F,Data!G:G)</f>
        <v>J3C</v>
      </c>
      <c r="C2424" s="19" t="str">
        <f t="shared" si="3"/>
        <v>J068</v>
      </c>
      <c r="D2424" s="19" t="str">
        <f t="array" ref="D2424">XLOOKUP(A2424,Data!F:F,Data!C:C)</f>
        <v/>
      </c>
      <c r="E2424" s="19" t="str">
        <f t="array" ref="E2424">XLOOKUP(A2424,Data!F:F,Data!H:H)</f>
        <v>BW</v>
      </c>
      <c r="F2424" s="106" t="str">
        <f>SUMIFS(Data!J:J,Data!F:F,A2424)</f>
        <v>1</v>
      </c>
      <c r="G2424" s="106" t="str">
        <f>SUMIFS(Cast!C:C,CastElements,A2424)</f>
        <v>0</v>
      </c>
      <c r="H2424" s="106" t="str">
        <f t="shared" si="4"/>
        <v>1</v>
      </c>
      <c r="I2424" s="106" t="str">
        <f>SUMIFS(Del!C:C,Del!B:B,A2424)</f>
        <v>0</v>
      </c>
      <c r="J2424" s="106" t="str">
        <f t="shared" si="5"/>
        <v>1</v>
      </c>
      <c r="K2424" s="106" t="str">
        <f t="shared" si="6"/>
        <v>0</v>
      </c>
      <c r="L2424" s="106"/>
      <c r="M2424" s="106" t="str">
        <f>SUMIFS(Ere!C:C,Ere!B:B,A2424)</f>
        <v>0</v>
      </c>
      <c r="N2424" s="106" t="str">
        <f t="shared" si="7"/>
        <v>1</v>
      </c>
      <c r="O2424" s="107" t="str">
        <f t="array" ref="O2424">XLOOKUP(A2424,Data!F:F,Data!O:O)</f>
        <v>  1.91 </v>
      </c>
      <c r="P2424" s="107" t="str">
        <f t="shared" si="8"/>
        <v>  4.78 </v>
      </c>
      <c r="Q2424" s="27"/>
    </row>
    <row r="2425" ht="15.75" customHeight="1">
      <c r="A2425" s="111" t="s">
        <v>2669</v>
      </c>
      <c r="B2425" s="19" t="str">
        <f t="array" ref="B2425">XLOOKUP(A2425,Data!F:F,Data!G:G)</f>
        <v>J3C</v>
      </c>
      <c r="C2425" s="19" t="str">
        <f t="shared" si="3"/>
        <v>J068</v>
      </c>
      <c r="D2425" s="19" t="str">
        <f t="array" ref="D2425">XLOOKUP(A2425,Data!F:F,Data!C:C)</f>
        <v/>
      </c>
      <c r="E2425" s="19" t="str">
        <f t="array" ref="E2425">XLOOKUP(A2425,Data!F:F,Data!H:H)</f>
        <v>BW</v>
      </c>
      <c r="F2425" s="106" t="str">
        <f>SUMIFS(Data!J:J,Data!F:F,A2425)</f>
        <v>1</v>
      </c>
      <c r="G2425" s="106" t="str">
        <f>SUMIFS(Cast!C:C,CastElements,A2425)</f>
        <v>1</v>
      </c>
      <c r="H2425" s="106" t="str">
        <f t="shared" si="4"/>
        <v>0</v>
      </c>
      <c r="I2425" s="106" t="str">
        <f>SUMIFS(Del!C:C,Del!B:B,A2425)</f>
        <v>0</v>
      </c>
      <c r="J2425" s="106" t="str">
        <f t="shared" si="5"/>
        <v>1</v>
      </c>
      <c r="K2425" s="106" t="str">
        <f t="shared" si="6"/>
        <v>1</v>
      </c>
      <c r="L2425" s="106"/>
      <c r="M2425" s="106" t="str">
        <f>SUMIFS(Ere!C:C,Ere!B:B,A2425)</f>
        <v>0</v>
      </c>
      <c r="N2425" s="106" t="str">
        <f t="shared" si="7"/>
        <v>1</v>
      </c>
      <c r="O2425" s="107" t="str">
        <f t="array" ref="O2425">XLOOKUP(A2425,Data!F:F,Data!O:O)</f>
        <v>  0.38 </v>
      </c>
      <c r="P2425" s="107" t="str">
        <f t="shared" si="8"/>
        <v>  0.94 </v>
      </c>
      <c r="Q2425" s="27"/>
    </row>
    <row r="2426" ht="15.75" customHeight="1">
      <c r="A2426" s="111" t="s">
        <v>2670</v>
      </c>
      <c r="B2426" s="19" t="str">
        <f t="array" ref="B2426">XLOOKUP(A2426,Data!F:F,Data!G:G)</f>
        <v>J3C</v>
      </c>
      <c r="C2426" s="19" t="str">
        <f t="shared" si="3"/>
        <v>J068</v>
      </c>
      <c r="D2426" s="19" t="str">
        <f t="array" ref="D2426">XLOOKUP(A2426,Data!F:F,Data!C:C)</f>
        <v/>
      </c>
      <c r="E2426" s="19" t="str">
        <f t="array" ref="E2426">XLOOKUP(A2426,Data!F:F,Data!H:H)</f>
        <v>BW</v>
      </c>
      <c r="F2426" s="106" t="str">
        <f>SUMIFS(Data!J:J,Data!F:F,A2426)</f>
        <v>1</v>
      </c>
      <c r="G2426" s="106" t="str">
        <f>SUMIFS(Cast!C:C,CastElements,A2426)</f>
        <v>0</v>
      </c>
      <c r="H2426" s="106" t="str">
        <f t="shared" si="4"/>
        <v>1</v>
      </c>
      <c r="I2426" s="106" t="str">
        <f>SUMIFS(Del!C:C,Del!B:B,A2426)</f>
        <v>0</v>
      </c>
      <c r="J2426" s="106" t="str">
        <f t="shared" si="5"/>
        <v>1</v>
      </c>
      <c r="K2426" s="106" t="str">
        <f t="shared" si="6"/>
        <v>0</v>
      </c>
      <c r="L2426" s="106"/>
      <c r="M2426" s="106" t="str">
        <f>SUMIFS(Ere!C:C,Ere!B:B,A2426)</f>
        <v>0</v>
      </c>
      <c r="N2426" s="106" t="str">
        <f t="shared" si="7"/>
        <v>1</v>
      </c>
      <c r="O2426" s="107" t="str">
        <f t="array" ref="O2426">XLOOKUP(A2426,Data!F:F,Data!O:O)</f>
        <v>  0.47 </v>
      </c>
      <c r="P2426" s="107" t="str">
        <f t="shared" si="8"/>
        <v>  1.17 </v>
      </c>
      <c r="Q2426" s="27"/>
    </row>
    <row r="2427" ht="15.75" customHeight="1">
      <c r="A2427" s="111" t="s">
        <v>2671</v>
      </c>
      <c r="B2427" s="19" t="str">
        <f t="array" ref="B2427">XLOOKUP(A2427,Data!F:F,Data!G:G)</f>
        <v>J3C</v>
      </c>
      <c r="C2427" s="19" t="str">
        <f t="shared" si="3"/>
        <v>J069</v>
      </c>
      <c r="D2427" s="19" t="str">
        <f t="array" ref="D2427">XLOOKUP(A2427,Data!F:F,Data!C:C)</f>
        <v>EXT</v>
      </c>
      <c r="E2427" s="19" t="str">
        <f t="array" ref="E2427">XLOOKUP(A2427,Data!F:F,Data!H:H)</f>
        <v>BW</v>
      </c>
      <c r="F2427" s="106" t="str">
        <f>SUMIFS(Data!J:J,Data!F:F,A2427)</f>
        <v>1</v>
      </c>
      <c r="G2427" s="106" t="str">
        <f>SUMIFS(Cast!C:C,CastElements,A2427)</f>
        <v>0</v>
      </c>
      <c r="H2427" s="106" t="str">
        <f t="shared" si="4"/>
        <v>1</v>
      </c>
      <c r="I2427" s="106" t="str">
        <f>SUMIFS(Del!C:C,Del!B:B,A2427)</f>
        <v>0</v>
      </c>
      <c r="J2427" s="106" t="str">
        <f t="shared" si="5"/>
        <v>1</v>
      </c>
      <c r="K2427" s="106" t="str">
        <f t="shared" si="6"/>
        <v>0</v>
      </c>
      <c r="L2427" s="106"/>
      <c r="M2427" s="106" t="str">
        <f>SUMIFS(Ere!C:C,Ere!B:B,A2427)</f>
        <v>0</v>
      </c>
      <c r="N2427" s="106" t="str">
        <f t="shared" si="7"/>
        <v>1</v>
      </c>
      <c r="O2427" s="107" t="str">
        <f t="array" ref="O2427">XLOOKUP(A2427,Data!F:F,Data!O:O)</f>
        <v>  0.92 </v>
      </c>
      <c r="P2427" s="107" t="str">
        <f t="shared" si="8"/>
        <v>  2.29 </v>
      </c>
      <c r="Q2427" s="27"/>
    </row>
    <row r="2428" ht="15.75" customHeight="1">
      <c r="A2428" s="111" t="s">
        <v>2672</v>
      </c>
      <c r="B2428" s="19" t="str">
        <f t="array" ref="B2428">XLOOKUP(A2428,Data!F:F,Data!G:G)</f>
        <v>J3C</v>
      </c>
      <c r="C2428" s="19" t="str">
        <f t="shared" si="3"/>
        <v>J069</v>
      </c>
      <c r="D2428" s="19" t="str">
        <f t="array" ref="D2428">XLOOKUP(A2428,Data!F:F,Data!C:C)</f>
        <v/>
      </c>
      <c r="E2428" s="19" t="str">
        <f t="array" ref="E2428">XLOOKUP(A2428,Data!F:F,Data!H:H)</f>
        <v>BW</v>
      </c>
      <c r="F2428" s="106" t="str">
        <f>SUMIFS(Data!J:J,Data!F:F,A2428)</f>
        <v>1</v>
      </c>
      <c r="G2428" s="106" t="str">
        <f>SUMIFS(Cast!C:C,CastElements,A2428)</f>
        <v>0</v>
      </c>
      <c r="H2428" s="106" t="str">
        <f t="shared" si="4"/>
        <v>1</v>
      </c>
      <c r="I2428" s="106" t="str">
        <f>SUMIFS(Del!C:C,Del!B:B,A2428)</f>
        <v>0</v>
      </c>
      <c r="J2428" s="106" t="str">
        <f t="shared" si="5"/>
        <v>1</v>
      </c>
      <c r="K2428" s="106" t="str">
        <f t="shared" si="6"/>
        <v>0</v>
      </c>
      <c r="L2428" s="106"/>
      <c r="M2428" s="106" t="str">
        <f>SUMIFS(Ere!C:C,Ere!B:B,A2428)</f>
        <v>0</v>
      </c>
      <c r="N2428" s="106" t="str">
        <f t="shared" si="7"/>
        <v>1</v>
      </c>
      <c r="O2428" s="107" t="str">
        <f t="array" ref="O2428">XLOOKUP(A2428,Data!F:F,Data!O:O)</f>
        <v>  0.35 </v>
      </c>
      <c r="P2428" s="107" t="str">
        <f t="shared" si="8"/>
        <v>  0.88 </v>
      </c>
      <c r="Q2428" s="27"/>
    </row>
    <row r="2429" ht="15.75" customHeight="1">
      <c r="A2429" s="111" t="s">
        <v>2673</v>
      </c>
      <c r="B2429" s="19" t="str">
        <f t="array" ref="B2429">XLOOKUP(A2429,Data!F:F,Data!G:G)</f>
        <v>J3C</v>
      </c>
      <c r="C2429" s="19" t="str">
        <f t="shared" si="3"/>
        <v>J069</v>
      </c>
      <c r="D2429" s="19" t="str">
        <f t="array" ref="D2429">XLOOKUP(A2429,Data!F:F,Data!C:C)</f>
        <v/>
      </c>
      <c r="E2429" s="19" t="str">
        <f t="array" ref="E2429">XLOOKUP(A2429,Data!F:F,Data!H:H)</f>
        <v>CF</v>
      </c>
      <c r="F2429" s="106" t="str">
        <f>SUMIFS(Data!J:J,Data!F:F,A2429)</f>
        <v>1</v>
      </c>
      <c r="G2429" s="106" t="str">
        <f>SUMIFS(Cast!C:C,CastElements,A2429)</f>
        <v>0</v>
      </c>
      <c r="H2429" s="106" t="str">
        <f t="shared" si="4"/>
        <v>1</v>
      </c>
      <c r="I2429" s="106" t="str">
        <f>SUMIFS(Del!C:C,Del!B:B,A2429)</f>
        <v>0</v>
      </c>
      <c r="J2429" s="106" t="str">
        <f t="shared" si="5"/>
        <v>1</v>
      </c>
      <c r="K2429" s="106" t="str">
        <f t="shared" si="6"/>
        <v>0</v>
      </c>
      <c r="L2429" s="106"/>
      <c r="M2429" s="106" t="str">
        <f>SUMIFS(Ere!C:C,Ere!B:B,A2429)</f>
        <v>0</v>
      </c>
      <c r="N2429" s="106" t="str">
        <f t="shared" si="7"/>
        <v>1</v>
      </c>
      <c r="O2429" s="107" t="str">
        <f t="array" ref="O2429">XLOOKUP(A2429,Data!F:F,Data!O:O)</f>
        <v>  0.52 </v>
      </c>
      <c r="P2429" s="107" t="str">
        <f t="shared" si="8"/>
        <v>  1.29 </v>
      </c>
      <c r="Q2429" s="27"/>
    </row>
    <row r="2430" ht="15.75" customHeight="1">
      <c r="A2430" s="111" t="s">
        <v>2674</v>
      </c>
      <c r="B2430" s="19" t="str">
        <f t="array" ref="B2430">XLOOKUP(A2430,Data!F:F,Data!G:G)</f>
        <v>J3C</v>
      </c>
      <c r="C2430" s="19" t="str">
        <f t="shared" si="3"/>
        <v>J069</v>
      </c>
      <c r="D2430" s="19" t="str">
        <f t="array" ref="D2430">XLOOKUP(A2430,Data!F:F,Data!C:C)</f>
        <v/>
      </c>
      <c r="E2430" s="19" t="str">
        <f t="array" ref="E2430">XLOOKUP(A2430,Data!F:F,Data!H:H)</f>
        <v>BW</v>
      </c>
      <c r="F2430" s="106" t="str">
        <f>SUMIFS(Data!J:J,Data!F:F,A2430)</f>
        <v>1</v>
      </c>
      <c r="G2430" s="106" t="str">
        <f>SUMIFS(Cast!C:C,CastElements,A2430)</f>
        <v>0</v>
      </c>
      <c r="H2430" s="106" t="str">
        <f t="shared" si="4"/>
        <v>1</v>
      </c>
      <c r="I2430" s="106" t="str">
        <f>SUMIFS(Del!C:C,Del!B:B,A2430)</f>
        <v>0</v>
      </c>
      <c r="J2430" s="106" t="str">
        <f t="shared" si="5"/>
        <v>1</v>
      </c>
      <c r="K2430" s="106" t="str">
        <f t="shared" si="6"/>
        <v>0</v>
      </c>
      <c r="L2430" s="106"/>
      <c r="M2430" s="106" t="str">
        <f>SUMIFS(Ere!C:C,Ere!B:B,A2430)</f>
        <v>0</v>
      </c>
      <c r="N2430" s="106" t="str">
        <f t="shared" si="7"/>
        <v>1</v>
      </c>
      <c r="O2430" s="107" t="str">
        <f t="array" ref="O2430">XLOOKUP(A2430,Data!F:F,Data!O:O)</f>
        <v>  1.91 </v>
      </c>
      <c r="P2430" s="107" t="str">
        <f t="shared" si="8"/>
        <v>  4.79 </v>
      </c>
      <c r="Q2430" s="27"/>
    </row>
    <row r="2431" ht="15.75" customHeight="1">
      <c r="A2431" s="111" t="s">
        <v>2675</v>
      </c>
      <c r="B2431" s="19" t="str">
        <f t="array" ref="B2431">XLOOKUP(A2431,Data!F:F,Data!G:G)</f>
        <v>J3C</v>
      </c>
      <c r="C2431" s="19" t="str">
        <f t="shared" si="3"/>
        <v>J069</v>
      </c>
      <c r="D2431" s="19" t="str">
        <f t="array" ref="D2431">XLOOKUP(A2431,Data!F:F,Data!C:C)</f>
        <v/>
      </c>
      <c r="E2431" s="19" t="str">
        <f t="array" ref="E2431">XLOOKUP(A2431,Data!F:F,Data!H:H)</f>
        <v>BW</v>
      </c>
      <c r="F2431" s="106" t="str">
        <f>SUMIFS(Data!J:J,Data!F:F,A2431)</f>
        <v>1</v>
      </c>
      <c r="G2431" s="106" t="str">
        <f>SUMIFS(Cast!C:C,CastElements,A2431)</f>
        <v>1</v>
      </c>
      <c r="H2431" s="106" t="str">
        <f t="shared" si="4"/>
        <v>0</v>
      </c>
      <c r="I2431" s="106" t="str">
        <f>SUMIFS(Del!C:C,Del!B:B,A2431)</f>
        <v>0</v>
      </c>
      <c r="J2431" s="106" t="str">
        <f t="shared" si="5"/>
        <v>1</v>
      </c>
      <c r="K2431" s="106" t="str">
        <f t="shared" si="6"/>
        <v>1</v>
      </c>
      <c r="L2431" s="106"/>
      <c r="M2431" s="106" t="str">
        <f>SUMIFS(Ere!C:C,Ere!B:B,A2431)</f>
        <v>0</v>
      </c>
      <c r="N2431" s="106" t="str">
        <f t="shared" si="7"/>
        <v>1</v>
      </c>
      <c r="O2431" s="107" t="str">
        <f t="array" ref="O2431">XLOOKUP(A2431,Data!F:F,Data!O:O)</f>
        <v>  1.50 </v>
      </c>
      <c r="P2431" s="107" t="str">
        <f t="shared" si="8"/>
        <v>  3.74 </v>
      </c>
      <c r="Q2431" s="27"/>
    </row>
    <row r="2432" ht="15.75" customHeight="1">
      <c r="A2432" s="111" t="s">
        <v>2676</v>
      </c>
      <c r="B2432" s="19" t="str">
        <f t="array" ref="B2432">XLOOKUP(A2432,Data!F:F,Data!G:G)</f>
        <v>J3C</v>
      </c>
      <c r="C2432" s="19" t="str">
        <f t="shared" si="3"/>
        <v>J069</v>
      </c>
      <c r="D2432" s="19" t="str">
        <f t="array" ref="D2432">XLOOKUP(A2432,Data!F:F,Data!C:C)</f>
        <v/>
      </c>
      <c r="E2432" s="19" t="str">
        <f t="array" ref="E2432">XLOOKUP(A2432,Data!F:F,Data!H:H)</f>
        <v>BW</v>
      </c>
      <c r="F2432" s="106" t="str">
        <f>SUMIFS(Data!J:J,Data!F:F,A2432)</f>
        <v>1</v>
      </c>
      <c r="G2432" s="106" t="str">
        <f>SUMIFS(Cast!C:C,CastElements,A2432)</f>
        <v>1</v>
      </c>
      <c r="H2432" s="106" t="str">
        <f t="shared" si="4"/>
        <v>0</v>
      </c>
      <c r="I2432" s="106" t="str">
        <f>SUMIFS(Del!C:C,Del!B:B,A2432)</f>
        <v>0</v>
      </c>
      <c r="J2432" s="106" t="str">
        <f t="shared" si="5"/>
        <v>1</v>
      </c>
      <c r="K2432" s="106" t="str">
        <f t="shared" si="6"/>
        <v>1</v>
      </c>
      <c r="L2432" s="106"/>
      <c r="M2432" s="106" t="str">
        <f>SUMIFS(Ere!C:C,Ere!B:B,A2432)</f>
        <v>0</v>
      </c>
      <c r="N2432" s="106" t="str">
        <f t="shared" si="7"/>
        <v>1</v>
      </c>
      <c r="O2432" s="107" t="str">
        <f t="array" ref="O2432">XLOOKUP(A2432,Data!F:F,Data!O:O)</f>
        <v>  1.50 </v>
      </c>
      <c r="P2432" s="107" t="str">
        <f t="shared" si="8"/>
        <v>  3.74 </v>
      </c>
      <c r="Q2432" s="27"/>
    </row>
    <row r="2433" ht="15.75" customHeight="1">
      <c r="A2433" s="111" t="s">
        <v>2677</v>
      </c>
      <c r="B2433" s="19" t="str">
        <f t="array" ref="B2433">XLOOKUP(A2433,Data!F:F,Data!G:G)</f>
        <v>J3C</v>
      </c>
      <c r="C2433" s="19" t="str">
        <f t="shared" si="3"/>
        <v>J069</v>
      </c>
      <c r="D2433" s="19" t="str">
        <f t="array" ref="D2433">XLOOKUP(A2433,Data!F:F,Data!C:C)</f>
        <v/>
      </c>
      <c r="E2433" s="19" t="str">
        <f t="array" ref="E2433">XLOOKUP(A2433,Data!F:F,Data!H:H)</f>
        <v>BW</v>
      </c>
      <c r="F2433" s="106" t="str">
        <f>SUMIFS(Data!J:J,Data!F:F,A2433)</f>
        <v>1</v>
      </c>
      <c r="G2433" s="106" t="str">
        <f>SUMIFS(Cast!C:C,CastElements,A2433)</f>
        <v>0</v>
      </c>
      <c r="H2433" s="106" t="str">
        <f t="shared" si="4"/>
        <v>1</v>
      </c>
      <c r="I2433" s="106" t="str">
        <f>SUMIFS(Del!C:C,Del!B:B,A2433)</f>
        <v>0</v>
      </c>
      <c r="J2433" s="106" t="str">
        <f t="shared" si="5"/>
        <v>1</v>
      </c>
      <c r="K2433" s="106" t="str">
        <f t="shared" si="6"/>
        <v>0</v>
      </c>
      <c r="L2433" s="106"/>
      <c r="M2433" s="106" t="str">
        <f>SUMIFS(Ere!C:C,Ere!B:B,A2433)</f>
        <v>0</v>
      </c>
      <c r="N2433" s="106" t="str">
        <f t="shared" si="7"/>
        <v>1</v>
      </c>
      <c r="O2433" s="107" t="str">
        <f t="array" ref="O2433">XLOOKUP(A2433,Data!F:F,Data!O:O)</f>
        <v>  1.50 </v>
      </c>
      <c r="P2433" s="107" t="str">
        <f t="shared" si="8"/>
        <v>  3.74 </v>
      </c>
      <c r="Q2433" s="27"/>
    </row>
    <row r="2434" ht="15.75" customHeight="1">
      <c r="A2434" s="111" t="s">
        <v>2678</v>
      </c>
      <c r="B2434" s="19" t="str">
        <f t="array" ref="B2434">XLOOKUP(A2434,Data!F:F,Data!G:G)</f>
        <v>J3C</v>
      </c>
      <c r="C2434" s="19" t="str">
        <f t="shared" si="3"/>
        <v>J069</v>
      </c>
      <c r="D2434" s="19" t="str">
        <f t="array" ref="D2434">XLOOKUP(A2434,Data!F:F,Data!C:C)</f>
        <v>EXT</v>
      </c>
      <c r="E2434" s="19" t="str">
        <f t="array" ref="E2434">XLOOKUP(A2434,Data!F:F,Data!H:H)</f>
        <v>BW</v>
      </c>
      <c r="F2434" s="106" t="str">
        <f>SUMIFS(Data!J:J,Data!F:F,A2434)</f>
        <v>1</v>
      </c>
      <c r="G2434" s="106" t="str">
        <f>SUMIFS(Cast!C:C,CastElements,A2434)</f>
        <v>0</v>
      </c>
      <c r="H2434" s="106" t="str">
        <f t="shared" si="4"/>
        <v>1</v>
      </c>
      <c r="I2434" s="106" t="str">
        <f>SUMIFS(Del!C:C,Del!B:B,A2434)</f>
        <v>0</v>
      </c>
      <c r="J2434" s="106" t="str">
        <f t="shared" si="5"/>
        <v>1</v>
      </c>
      <c r="K2434" s="106" t="str">
        <f t="shared" si="6"/>
        <v>0</v>
      </c>
      <c r="L2434" s="106"/>
      <c r="M2434" s="106" t="str">
        <f>SUMIFS(Ere!C:C,Ere!B:B,A2434)</f>
        <v>0</v>
      </c>
      <c r="N2434" s="106" t="str">
        <f t="shared" si="7"/>
        <v>1</v>
      </c>
      <c r="O2434" s="107" t="str">
        <f t="array" ref="O2434">XLOOKUP(A2434,Data!F:F,Data!O:O)</f>
        <v>  0.97 </v>
      </c>
      <c r="P2434" s="107" t="str">
        <f t="shared" si="8"/>
        <v>  2.42 </v>
      </c>
      <c r="Q2434" s="27"/>
    </row>
    <row r="2435" ht="15.75" customHeight="1">
      <c r="A2435" s="111" t="s">
        <v>2679</v>
      </c>
      <c r="B2435" s="19" t="str">
        <f t="array" ref="B2435">XLOOKUP(A2435,Data!F:F,Data!G:G)</f>
        <v>J3C</v>
      </c>
      <c r="C2435" s="19" t="str">
        <f t="shared" si="3"/>
        <v>J069</v>
      </c>
      <c r="D2435" s="19" t="str">
        <f t="array" ref="D2435">XLOOKUP(A2435,Data!F:F,Data!C:C)</f>
        <v>EXT</v>
      </c>
      <c r="E2435" s="19" t="str">
        <f t="array" ref="E2435">XLOOKUP(A2435,Data!F:F,Data!H:H)</f>
        <v>BW</v>
      </c>
      <c r="F2435" s="106" t="str">
        <f>SUMIFS(Data!J:J,Data!F:F,A2435)</f>
        <v>1</v>
      </c>
      <c r="G2435" s="106" t="str">
        <f>SUMIFS(Cast!C:C,CastElements,A2435)</f>
        <v>0</v>
      </c>
      <c r="H2435" s="106" t="str">
        <f t="shared" si="4"/>
        <v>1</v>
      </c>
      <c r="I2435" s="106" t="str">
        <f>SUMIFS(Del!C:C,Del!B:B,A2435)</f>
        <v>0</v>
      </c>
      <c r="J2435" s="106" t="str">
        <f t="shared" si="5"/>
        <v>1</v>
      </c>
      <c r="K2435" s="106" t="str">
        <f t="shared" si="6"/>
        <v>0</v>
      </c>
      <c r="L2435" s="106"/>
      <c r="M2435" s="106" t="str">
        <f>SUMIFS(Ere!C:C,Ere!B:B,A2435)</f>
        <v>0</v>
      </c>
      <c r="N2435" s="106" t="str">
        <f t="shared" si="7"/>
        <v>1</v>
      </c>
      <c r="O2435" s="107" t="str">
        <f t="array" ref="O2435">XLOOKUP(A2435,Data!F:F,Data!O:O)</f>
        <v>  0.97 </v>
      </c>
      <c r="P2435" s="107" t="str">
        <f t="shared" si="8"/>
        <v>  2.42 </v>
      </c>
      <c r="Q2435" s="27"/>
    </row>
    <row r="2436" ht="15.75" customHeight="1">
      <c r="A2436" s="111" t="s">
        <v>2680</v>
      </c>
      <c r="B2436" s="19" t="str">
        <f t="array" ref="B2436">XLOOKUP(A2436,Data!F:F,Data!G:G)</f>
        <v>J3C</v>
      </c>
      <c r="C2436" s="19" t="str">
        <f t="shared" si="3"/>
        <v>J069</v>
      </c>
      <c r="D2436" s="19" t="str">
        <f t="array" ref="D2436">XLOOKUP(A2436,Data!F:F,Data!C:C)</f>
        <v>EXT</v>
      </c>
      <c r="E2436" s="19" t="str">
        <f t="array" ref="E2436">XLOOKUP(A2436,Data!F:F,Data!H:H)</f>
        <v>BW</v>
      </c>
      <c r="F2436" s="106" t="str">
        <f>SUMIFS(Data!J:J,Data!F:F,A2436)</f>
        <v>1</v>
      </c>
      <c r="G2436" s="106" t="str">
        <f>SUMIFS(Cast!C:C,CastElements,A2436)</f>
        <v>0</v>
      </c>
      <c r="H2436" s="106" t="str">
        <f t="shared" si="4"/>
        <v>1</v>
      </c>
      <c r="I2436" s="106" t="str">
        <f>SUMIFS(Del!C:C,Del!B:B,A2436)</f>
        <v>0</v>
      </c>
      <c r="J2436" s="106" t="str">
        <f t="shared" si="5"/>
        <v>1</v>
      </c>
      <c r="K2436" s="106" t="str">
        <f t="shared" si="6"/>
        <v>0</v>
      </c>
      <c r="L2436" s="106"/>
      <c r="M2436" s="106" t="str">
        <f>SUMIFS(Ere!C:C,Ere!B:B,A2436)</f>
        <v>0</v>
      </c>
      <c r="N2436" s="106" t="str">
        <f t="shared" si="7"/>
        <v>1</v>
      </c>
      <c r="O2436" s="107" t="str">
        <f t="array" ref="O2436">XLOOKUP(A2436,Data!F:F,Data!O:O)</f>
        <v>  0.97 </v>
      </c>
      <c r="P2436" s="107" t="str">
        <f t="shared" si="8"/>
        <v>  2.42 </v>
      </c>
      <c r="Q2436" s="27"/>
    </row>
    <row r="2437" ht="15.75" customHeight="1">
      <c r="A2437" s="111" t="s">
        <v>2681</v>
      </c>
      <c r="B2437" s="19" t="str">
        <f t="array" ref="B2437">XLOOKUP(A2437,Data!F:F,Data!G:G)</f>
        <v>J3C</v>
      </c>
      <c r="C2437" s="19" t="str">
        <f t="shared" si="3"/>
        <v>J069</v>
      </c>
      <c r="D2437" s="19" t="str">
        <f t="array" ref="D2437">XLOOKUP(A2437,Data!F:F,Data!C:C)</f>
        <v/>
      </c>
      <c r="E2437" s="19" t="str">
        <f t="array" ref="E2437">XLOOKUP(A2437,Data!F:F,Data!H:H)</f>
        <v>BW</v>
      </c>
      <c r="F2437" s="106" t="str">
        <f>SUMIFS(Data!J:J,Data!F:F,A2437)</f>
        <v>1</v>
      </c>
      <c r="G2437" s="106" t="str">
        <f>SUMIFS(Cast!C:C,CastElements,A2437)</f>
        <v>0</v>
      </c>
      <c r="H2437" s="106" t="str">
        <f t="shared" si="4"/>
        <v>1</v>
      </c>
      <c r="I2437" s="106" t="str">
        <f>SUMIFS(Del!C:C,Del!B:B,A2437)</f>
        <v>0</v>
      </c>
      <c r="J2437" s="106" t="str">
        <f t="shared" si="5"/>
        <v>1</v>
      </c>
      <c r="K2437" s="106" t="str">
        <f t="shared" si="6"/>
        <v>0</v>
      </c>
      <c r="L2437" s="106"/>
      <c r="M2437" s="106" t="str">
        <f>SUMIFS(Ere!C:C,Ere!B:B,A2437)</f>
        <v>0</v>
      </c>
      <c r="N2437" s="106" t="str">
        <f t="shared" si="7"/>
        <v>1</v>
      </c>
      <c r="O2437" s="107" t="str">
        <f t="array" ref="O2437">XLOOKUP(A2437,Data!F:F,Data!O:O)</f>
        <v>  1.63 </v>
      </c>
      <c r="P2437" s="107" t="str">
        <f t="shared" si="8"/>
        <v>  4.07 </v>
      </c>
      <c r="Q2437" s="27"/>
    </row>
    <row r="2438" ht="15.75" customHeight="1">
      <c r="A2438" s="111" t="s">
        <v>2682</v>
      </c>
      <c r="B2438" s="19" t="str">
        <f t="array" ref="B2438">XLOOKUP(A2438,Data!F:F,Data!G:G)</f>
        <v>J3C</v>
      </c>
      <c r="C2438" s="19" t="str">
        <f t="shared" si="3"/>
        <v>J069</v>
      </c>
      <c r="D2438" s="19" t="str">
        <f t="array" ref="D2438">XLOOKUP(A2438,Data!F:F,Data!C:C)</f>
        <v/>
      </c>
      <c r="E2438" s="19" t="str">
        <f t="array" ref="E2438">XLOOKUP(A2438,Data!F:F,Data!H:H)</f>
        <v>BW</v>
      </c>
      <c r="F2438" s="106" t="str">
        <f>SUMIFS(Data!J:J,Data!F:F,A2438)</f>
        <v>1</v>
      </c>
      <c r="G2438" s="106" t="str">
        <f>SUMIFS(Cast!C:C,CastElements,A2438)</f>
        <v>0</v>
      </c>
      <c r="H2438" s="106" t="str">
        <f t="shared" si="4"/>
        <v>1</v>
      </c>
      <c r="I2438" s="106" t="str">
        <f>SUMIFS(Del!C:C,Del!B:B,A2438)</f>
        <v>0</v>
      </c>
      <c r="J2438" s="106" t="str">
        <f t="shared" si="5"/>
        <v>1</v>
      </c>
      <c r="K2438" s="106" t="str">
        <f t="shared" si="6"/>
        <v>0</v>
      </c>
      <c r="L2438" s="106"/>
      <c r="M2438" s="106" t="str">
        <f>SUMIFS(Ere!C:C,Ere!B:B,A2438)</f>
        <v>0</v>
      </c>
      <c r="N2438" s="106" t="str">
        <f t="shared" si="7"/>
        <v>1</v>
      </c>
      <c r="O2438" s="107" t="str">
        <f t="array" ref="O2438">XLOOKUP(A2438,Data!F:F,Data!O:O)</f>
        <v>  1.86 </v>
      </c>
      <c r="P2438" s="107" t="str">
        <f t="shared" si="8"/>
        <v>  4.65 </v>
      </c>
      <c r="Q2438" s="27"/>
    </row>
    <row r="2439" ht="15.75" customHeight="1">
      <c r="A2439" s="111" t="s">
        <v>2683</v>
      </c>
      <c r="B2439" s="19" t="str">
        <f t="array" ref="B2439">XLOOKUP(A2439,Data!F:F,Data!G:G)</f>
        <v>J3C</v>
      </c>
      <c r="C2439" s="19" t="str">
        <f t="shared" si="3"/>
        <v>J069</v>
      </c>
      <c r="D2439" s="19" t="str">
        <f t="array" ref="D2439">XLOOKUP(A2439,Data!F:F,Data!C:C)</f>
        <v/>
      </c>
      <c r="E2439" s="19" t="str">
        <f t="array" ref="E2439">XLOOKUP(A2439,Data!F:F,Data!H:H)</f>
        <v>BW</v>
      </c>
      <c r="F2439" s="106" t="str">
        <f>SUMIFS(Data!J:J,Data!F:F,A2439)</f>
        <v>1</v>
      </c>
      <c r="G2439" s="106" t="str">
        <f>SUMIFS(Cast!C:C,CastElements,A2439)</f>
        <v>1</v>
      </c>
      <c r="H2439" s="106" t="str">
        <f t="shared" si="4"/>
        <v>0</v>
      </c>
      <c r="I2439" s="106" t="str">
        <f>SUMIFS(Del!C:C,Del!B:B,A2439)</f>
        <v>0</v>
      </c>
      <c r="J2439" s="106" t="str">
        <f t="shared" si="5"/>
        <v>1</v>
      </c>
      <c r="K2439" s="106" t="str">
        <f t="shared" si="6"/>
        <v>1</v>
      </c>
      <c r="L2439" s="106"/>
      <c r="M2439" s="106" t="str">
        <f>SUMIFS(Ere!C:C,Ere!B:B,A2439)</f>
        <v>0</v>
      </c>
      <c r="N2439" s="106" t="str">
        <f t="shared" si="7"/>
        <v>1</v>
      </c>
      <c r="O2439" s="107" t="str">
        <f t="array" ref="O2439">XLOOKUP(A2439,Data!F:F,Data!O:O)</f>
        <v>  1.60 </v>
      </c>
      <c r="P2439" s="107" t="str">
        <f t="shared" si="8"/>
        <v>  3.99 </v>
      </c>
      <c r="Q2439" s="27"/>
    </row>
    <row r="2440" ht="15.75" customHeight="1">
      <c r="A2440" s="111" t="s">
        <v>2684</v>
      </c>
      <c r="B2440" s="19" t="str">
        <f t="array" ref="B2440">XLOOKUP(A2440,Data!F:F,Data!G:G)</f>
        <v>J3C</v>
      </c>
      <c r="C2440" s="19" t="str">
        <f t="shared" si="3"/>
        <v>J069</v>
      </c>
      <c r="D2440" s="19" t="str">
        <f t="array" ref="D2440">XLOOKUP(A2440,Data!F:F,Data!C:C)</f>
        <v/>
      </c>
      <c r="E2440" s="19" t="str">
        <f t="array" ref="E2440">XLOOKUP(A2440,Data!F:F,Data!H:H)</f>
        <v>BW</v>
      </c>
      <c r="F2440" s="106" t="str">
        <f>SUMIFS(Data!J:J,Data!F:F,A2440)</f>
        <v>1</v>
      </c>
      <c r="G2440" s="106" t="str">
        <f>SUMIFS(Cast!C:C,CastElements,A2440)</f>
        <v>1</v>
      </c>
      <c r="H2440" s="106" t="str">
        <f t="shared" si="4"/>
        <v>0</v>
      </c>
      <c r="I2440" s="106" t="str">
        <f>SUMIFS(Del!C:C,Del!B:B,A2440)</f>
        <v>0</v>
      </c>
      <c r="J2440" s="106" t="str">
        <f t="shared" si="5"/>
        <v>1</v>
      </c>
      <c r="K2440" s="106" t="str">
        <f t="shared" si="6"/>
        <v>1</v>
      </c>
      <c r="L2440" s="106"/>
      <c r="M2440" s="106" t="str">
        <f>SUMIFS(Ere!C:C,Ere!B:B,A2440)</f>
        <v>0</v>
      </c>
      <c r="N2440" s="106" t="str">
        <f t="shared" si="7"/>
        <v>1</v>
      </c>
      <c r="O2440" s="107" t="str">
        <f t="array" ref="O2440">XLOOKUP(A2440,Data!F:F,Data!O:O)</f>
        <v>  2.12 </v>
      </c>
      <c r="P2440" s="107" t="str">
        <f t="shared" si="8"/>
        <v>  5.30 </v>
      </c>
      <c r="Q2440" s="27"/>
    </row>
    <row r="2441" ht="15.75" customHeight="1">
      <c r="A2441" s="111" t="s">
        <v>2685</v>
      </c>
      <c r="B2441" s="19" t="str">
        <f t="array" ref="B2441">XLOOKUP(A2441,Data!F:F,Data!G:G)</f>
        <v>J3C</v>
      </c>
      <c r="C2441" s="19" t="str">
        <f t="shared" si="3"/>
        <v>J069</v>
      </c>
      <c r="D2441" s="19" t="str">
        <f t="array" ref="D2441">XLOOKUP(A2441,Data!F:F,Data!C:C)</f>
        <v/>
      </c>
      <c r="E2441" s="19" t="str">
        <f t="array" ref="E2441">XLOOKUP(A2441,Data!F:F,Data!H:H)</f>
        <v>BW</v>
      </c>
      <c r="F2441" s="106" t="str">
        <f>SUMIFS(Data!J:J,Data!F:F,A2441)</f>
        <v>1</v>
      </c>
      <c r="G2441" s="106" t="str">
        <f>SUMIFS(Cast!C:C,CastElements,A2441)</f>
        <v>1</v>
      </c>
      <c r="H2441" s="106" t="str">
        <f t="shared" si="4"/>
        <v>0</v>
      </c>
      <c r="I2441" s="106" t="str">
        <f>SUMIFS(Del!C:C,Del!B:B,A2441)</f>
        <v>0</v>
      </c>
      <c r="J2441" s="106" t="str">
        <f t="shared" si="5"/>
        <v>1</v>
      </c>
      <c r="K2441" s="106" t="str">
        <f t="shared" si="6"/>
        <v>1</v>
      </c>
      <c r="L2441" s="106"/>
      <c r="M2441" s="106" t="str">
        <f>SUMIFS(Ere!C:C,Ere!B:B,A2441)</f>
        <v>0</v>
      </c>
      <c r="N2441" s="106" t="str">
        <f t="shared" si="7"/>
        <v>1</v>
      </c>
      <c r="O2441" s="107" t="str">
        <f t="array" ref="O2441">XLOOKUP(A2441,Data!F:F,Data!O:O)</f>
        <v>  2.00 </v>
      </c>
      <c r="P2441" s="107" t="str">
        <f t="shared" si="8"/>
        <v>  5.00 </v>
      </c>
      <c r="Q2441" s="27"/>
    </row>
    <row r="2442" ht="15.75" customHeight="1">
      <c r="A2442" s="111" t="s">
        <v>2686</v>
      </c>
      <c r="B2442" s="19" t="str">
        <f t="array" ref="B2442">XLOOKUP(A2442,Data!F:F,Data!G:G)</f>
        <v>J3C</v>
      </c>
      <c r="C2442" s="19" t="str">
        <f t="shared" si="3"/>
        <v>J069</v>
      </c>
      <c r="D2442" s="19" t="str">
        <f t="array" ref="D2442">XLOOKUP(A2442,Data!F:F,Data!C:C)</f>
        <v/>
      </c>
      <c r="E2442" s="19" t="str">
        <f t="array" ref="E2442">XLOOKUP(A2442,Data!F:F,Data!H:H)</f>
        <v>BW</v>
      </c>
      <c r="F2442" s="106" t="str">
        <f>SUMIFS(Data!J:J,Data!F:F,A2442)</f>
        <v>1</v>
      </c>
      <c r="G2442" s="106" t="str">
        <f>SUMIFS(Cast!C:C,CastElements,A2442)</f>
        <v>0</v>
      </c>
      <c r="H2442" s="106" t="str">
        <f t="shared" si="4"/>
        <v>1</v>
      </c>
      <c r="I2442" s="106" t="str">
        <f>SUMIFS(Del!C:C,Del!B:B,A2442)</f>
        <v>0</v>
      </c>
      <c r="J2442" s="106" t="str">
        <f t="shared" si="5"/>
        <v>1</v>
      </c>
      <c r="K2442" s="106" t="str">
        <f t="shared" si="6"/>
        <v>0</v>
      </c>
      <c r="L2442" s="106"/>
      <c r="M2442" s="106" t="str">
        <f>SUMIFS(Ere!C:C,Ere!B:B,A2442)</f>
        <v>0</v>
      </c>
      <c r="N2442" s="106" t="str">
        <f t="shared" si="7"/>
        <v>1</v>
      </c>
      <c r="O2442" s="107" t="str">
        <f t="array" ref="O2442">XLOOKUP(A2442,Data!F:F,Data!O:O)</f>
        <v>  1.21 </v>
      </c>
      <c r="P2442" s="107" t="str">
        <f t="shared" si="8"/>
        <v>  3.02 </v>
      </c>
      <c r="Q2442" s="27"/>
    </row>
    <row r="2443" ht="15.75" customHeight="1">
      <c r="A2443" s="111" t="s">
        <v>2687</v>
      </c>
      <c r="B2443" s="19" t="str">
        <f t="array" ref="B2443">XLOOKUP(A2443,Data!F:F,Data!G:G)</f>
        <v>J3C</v>
      </c>
      <c r="C2443" s="19" t="str">
        <f t="shared" si="3"/>
        <v>J069</v>
      </c>
      <c r="D2443" s="19" t="str">
        <f t="array" ref="D2443">XLOOKUP(A2443,Data!F:F,Data!C:C)</f>
        <v/>
      </c>
      <c r="E2443" s="19" t="str">
        <f t="array" ref="E2443">XLOOKUP(A2443,Data!F:F,Data!H:H)</f>
        <v>BW</v>
      </c>
      <c r="F2443" s="106" t="str">
        <f>SUMIFS(Data!J:J,Data!F:F,A2443)</f>
        <v>1</v>
      </c>
      <c r="G2443" s="106" t="str">
        <f>SUMIFS(Cast!C:C,CastElements,A2443)</f>
        <v>1</v>
      </c>
      <c r="H2443" s="106" t="str">
        <f t="shared" si="4"/>
        <v>0</v>
      </c>
      <c r="I2443" s="106" t="str">
        <f>SUMIFS(Del!C:C,Del!B:B,A2443)</f>
        <v>0</v>
      </c>
      <c r="J2443" s="106" t="str">
        <f t="shared" si="5"/>
        <v>1</v>
      </c>
      <c r="K2443" s="106" t="str">
        <f t="shared" si="6"/>
        <v>1</v>
      </c>
      <c r="L2443" s="106"/>
      <c r="M2443" s="106" t="str">
        <f>SUMIFS(Ere!C:C,Ere!B:B,A2443)</f>
        <v>0</v>
      </c>
      <c r="N2443" s="106" t="str">
        <f t="shared" si="7"/>
        <v>1</v>
      </c>
      <c r="O2443" s="107" t="str">
        <f t="array" ref="O2443">XLOOKUP(A2443,Data!F:F,Data!O:O)</f>
        <v>  2.14 </v>
      </c>
      <c r="P2443" s="107" t="str">
        <f t="shared" si="8"/>
        <v>  5.35 </v>
      </c>
      <c r="Q2443" s="27"/>
    </row>
    <row r="2444" ht="15.75" customHeight="1">
      <c r="A2444" s="111" t="s">
        <v>2688</v>
      </c>
      <c r="B2444" s="19" t="str">
        <f t="array" ref="B2444">XLOOKUP(A2444,Data!F:F,Data!G:G)</f>
        <v>J3C</v>
      </c>
      <c r="C2444" s="19" t="str">
        <f t="shared" si="3"/>
        <v>J069</v>
      </c>
      <c r="D2444" s="19" t="str">
        <f t="array" ref="D2444">XLOOKUP(A2444,Data!F:F,Data!C:C)</f>
        <v/>
      </c>
      <c r="E2444" s="19" t="str">
        <f t="array" ref="E2444">XLOOKUP(A2444,Data!F:F,Data!H:H)</f>
        <v>BW</v>
      </c>
      <c r="F2444" s="106" t="str">
        <f>SUMIFS(Data!J:J,Data!F:F,A2444)</f>
        <v>1</v>
      </c>
      <c r="G2444" s="106" t="str">
        <f>SUMIFS(Cast!C:C,CastElements,A2444)</f>
        <v>0</v>
      </c>
      <c r="H2444" s="106" t="str">
        <f t="shared" si="4"/>
        <v>1</v>
      </c>
      <c r="I2444" s="106" t="str">
        <f>SUMIFS(Del!C:C,Del!B:B,A2444)</f>
        <v>0</v>
      </c>
      <c r="J2444" s="106" t="str">
        <f t="shared" si="5"/>
        <v>1</v>
      </c>
      <c r="K2444" s="106" t="str">
        <f t="shared" si="6"/>
        <v>0</v>
      </c>
      <c r="L2444" s="106"/>
      <c r="M2444" s="106" t="str">
        <f>SUMIFS(Ere!C:C,Ere!B:B,A2444)</f>
        <v>0</v>
      </c>
      <c r="N2444" s="106" t="str">
        <f t="shared" si="7"/>
        <v>1</v>
      </c>
      <c r="O2444" s="107" t="str">
        <f t="array" ref="O2444">XLOOKUP(A2444,Data!F:F,Data!O:O)</f>
        <v>  0.95 </v>
      </c>
      <c r="P2444" s="107" t="str">
        <f t="shared" si="8"/>
        <v>  2.37 </v>
      </c>
      <c r="Q2444" s="27"/>
    </row>
    <row r="2445" ht="15.75" customHeight="1">
      <c r="A2445" s="112" t="s">
        <v>2689</v>
      </c>
      <c r="B2445" s="19" t="str">
        <f t="array" ref="B2445">XLOOKUP(A2445,Data!F:F,Data!G:G)</f>
        <v>J3C</v>
      </c>
      <c r="C2445" s="19" t="str">
        <f t="shared" si="3"/>
        <v>J069</v>
      </c>
      <c r="D2445" s="19" t="str">
        <f t="array" ref="D2445">XLOOKUP(A2445,Data!F:F,Data!C:C)</f>
        <v/>
      </c>
      <c r="E2445" s="19" t="str">
        <f t="array" ref="E2445">XLOOKUP(A2445,Data!F:F,Data!H:H)</f>
        <v>BW</v>
      </c>
      <c r="F2445" s="106" t="str">
        <f>SUMIFS(Data!J:J,Data!F:F,A2445)</f>
        <v>1</v>
      </c>
      <c r="G2445" s="106" t="str">
        <f>SUMIFS(Cast!C:C,CastElements,A2445)</f>
        <v>0</v>
      </c>
      <c r="H2445" s="106" t="str">
        <f t="shared" si="4"/>
        <v>1</v>
      </c>
      <c r="I2445" s="106" t="str">
        <f>SUMIFS(Del!C:C,Del!B:B,A2445)</f>
        <v>0</v>
      </c>
      <c r="J2445" s="106" t="str">
        <f t="shared" si="5"/>
        <v>1</v>
      </c>
      <c r="K2445" s="106" t="str">
        <f t="shared" si="6"/>
        <v>0</v>
      </c>
      <c r="L2445" s="106"/>
      <c r="M2445" s="106" t="str">
        <f>SUMIFS(Ere!C:C,Ere!B:B,A2445)</f>
        <v>0</v>
      </c>
      <c r="N2445" s="106" t="str">
        <f t="shared" si="7"/>
        <v>1</v>
      </c>
      <c r="O2445" s="107" t="str">
        <f t="array" ref="O2445">XLOOKUP(A2445,Data!F:F,Data!O:O)</f>
        <v>  0.47 </v>
      </c>
      <c r="P2445" s="107" t="str">
        <f t="shared" si="8"/>
        <v>  1.18 </v>
      </c>
      <c r="Q2445" s="27"/>
    </row>
    <row r="2446" ht="15.75" customHeight="1">
      <c r="A2446" s="113" t="s">
        <v>2690</v>
      </c>
      <c r="B2446" s="19" t="str">
        <f t="array" ref="B2446">XLOOKUP(A2446,Data!F:F,Data!G:G)</f>
        <v>J3B</v>
      </c>
      <c r="C2446" s="19" t="str">
        <f t="shared" si="3"/>
        <v>J041</v>
      </c>
      <c r="D2446" s="19" t="str">
        <f t="array" ref="D2446">XLOOKUP(A2446,Data!F:F,Data!C:C)</f>
        <v>EXT</v>
      </c>
      <c r="E2446" s="19" t="str">
        <f t="array" ref="E2446">XLOOKUP(A2446,Data!F:F,Data!H:H)</f>
        <v/>
      </c>
      <c r="F2446" s="106" t="str">
        <f>SUMIFS(Data!J:J,Data!F:F,A2446)</f>
        <v>1</v>
      </c>
      <c r="G2446" s="106" t="str">
        <f>SUMIFS(Cast!C:C,CastElements,A2446)</f>
        <v>0</v>
      </c>
      <c r="H2446" s="106" t="str">
        <f t="shared" si="4"/>
        <v>1</v>
      </c>
      <c r="I2446" s="106" t="str">
        <f>SUMIFS(Del!C:C,Del!B:B,A2446)</f>
        <v>0</v>
      </c>
      <c r="J2446" s="106" t="str">
        <f t="shared" si="5"/>
        <v>1</v>
      </c>
      <c r="K2446" s="106" t="str">
        <f t="shared" si="6"/>
        <v>0</v>
      </c>
      <c r="L2446" s="106"/>
      <c r="M2446" s="106" t="str">
        <f>SUMIFS(Ere!C:C,Ere!B:B,A2446)</f>
        <v>0</v>
      </c>
      <c r="N2446" s="106" t="str">
        <f t="shared" si="7"/>
        <v>1</v>
      </c>
      <c r="O2446" s="107" t="str">
        <f t="array" ref="O2446">XLOOKUP(A2446,Data!F:F,Data!O:O)</f>
        <v>  0.92 </v>
      </c>
      <c r="P2446" s="107" t="str">
        <f t="shared" si="8"/>
        <v>  2.30 </v>
      </c>
      <c r="Q2446" s="27"/>
    </row>
    <row r="2447" ht="15.75" customHeight="1">
      <c r="A2447" s="113" t="s">
        <v>2691</v>
      </c>
      <c r="B2447" s="19" t="str">
        <f t="array" ref="B2447">XLOOKUP(A2447,Data!F:F,Data!G:G)</f>
        <v>J3B</v>
      </c>
      <c r="C2447" s="19" t="str">
        <f t="shared" si="3"/>
        <v>J041</v>
      </c>
      <c r="D2447" s="19" t="str">
        <f t="array" ref="D2447">XLOOKUP(A2447,Data!F:F,Data!C:C)</f>
        <v>EXT</v>
      </c>
      <c r="E2447" s="19" t="str">
        <f t="array" ref="E2447">XLOOKUP(A2447,Data!F:F,Data!H:H)</f>
        <v/>
      </c>
      <c r="F2447" s="106" t="str">
        <f>SUMIFS(Data!J:J,Data!F:F,A2447)</f>
        <v>1</v>
      </c>
      <c r="G2447" s="106" t="str">
        <f>SUMIFS(Cast!C:C,CastElements,A2447)</f>
        <v>0</v>
      </c>
      <c r="H2447" s="106" t="str">
        <f t="shared" si="4"/>
        <v>1</v>
      </c>
      <c r="I2447" s="106" t="str">
        <f>SUMIFS(Del!C:C,Del!B:B,A2447)</f>
        <v>0</v>
      </c>
      <c r="J2447" s="106" t="str">
        <f t="shared" si="5"/>
        <v>1</v>
      </c>
      <c r="K2447" s="106" t="str">
        <f t="shared" si="6"/>
        <v>0</v>
      </c>
      <c r="L2447" s="106"/>
      <c r="M2447" s="106" t="str">
        <f>SUMIFS(Ere!C:C,Ere!B:B,A2447)</f>
        <v>0</v>
      </c>
      <c r="N2447" s="106" t="str">
        <f t="shared" si="7"/>
        <v>1</v>
      </c>
      <c r="O2447" s="107" t="str">
        <f t="array" ref="O2447">XLOOKUP(A2447,Data!F:F,Data!O:O)</f>
        <v>  0.92 </v>
      </c>
      <c r="P2447" s="107" t="str">
        <f t="shared" si="8"/>
        <v>  2.30 </v>
      </c>
      <c r="Q2447" s="27"/>
      <c r="V2447" t="s">
        <v>133</v>
      </c>
      <c r="W2447" t="str">
        <f t="array" ref="W2447">GROUPBY($C$3:$C$5445,$F$3:$F$5445,_xleta.SUM,,,,($C$3:$C$5445)=V2447)</f>
        <v>#NAME?</v>
      </c>
    </row>
    <row r="2448" ht="15.75" customHeight="1">
      <c r="A2448" s="113" t="s">
        <v>2692</v>
      </c>
      <c r="B2448" s="19" t="str">
        <f t="array" ref="B2448">XLOOKUP(A2448,Data!F:F,Data!G:G)</f>
        <v>J3B</v>
      </c>
      <c r="C2448" s="19" t="str">
        <f t="shared" si="3"/>
        <v>J041</v>
      </c>
      <c r="D2448" s="19" t="str">
        <f t="array" ref="D2448">XLOOKUP(A2448,Data!F:F,Data!C:C)</f>
        <v>EXT</v>
      </c>
      <c r="E2448" s="19" t="str">
        <f t="array" ref="E2448">XLOOKUP(A2448,Data!F:F,Data!H:H)</f>
        <v/>
      </c>
      <c r="F2448" s="106" t="str">
        <f>SUMIFS(Data!J:J,Data!F:F,A2448)</f>
        <v>1</v>
      </c>
      <c r="G2448" s="106" t="str">
        <f>SUMIFS(Cast!C:C,CastElements,A2448)</f>
        <v>0</v>
      </c>
      <c r="H2448" s="106" t="str">
        <f t="shared" si="4"/>
        <v>1</v>
      </c>
      <c r="I2448" s="106" t="str">
        <f>SUMIFS(Del!C:C,Del!B:B,A2448)</f>
        <v>0</v>
      </c>
      <c r="J2448" s="106" t="str">
        <f t="shared" si="5"/>
        <v>1</v>
      </c>
      <c r="K2448" s="106" t="str">
        <f t="shared" si="6"/>
        <v>0</v>
      </c>
      <c r="L2448" s="106"/>
      <c r="M2448" s="106" t="str">
        <f>SUMIFS(Ere!C:C,Ere!B:B,A2448)</f>
        <v>0</v>
      </c>
      <c r="N2448" s="106" t="str">
        <f t="shared" si="7"/>
        <v>1</v>
      </c>
      <c r="O2448" s="107" t="str">
        <f t="array" ref="O2448">XLOOKUP(A2448,Data!F:F,Data!O:O)</f>
        <v>  0.92 </v>
      </c>
      <c r="P2448" s="107" t="str">
        <f t="shared" si="8"/>
        <v>  2.30 </v>
      </c>
      <c r="Q2448" s="27"/>
      <c r="V2448" t="s">
        <v>134</v>
      </c>
    </row>
    <row r="2449" ht="15.75" customHeight="1">
      <c r="A2449" s="113" t="s">
        <v>2693</v>
      </c>
      <c r="B2449" s="19" t="str">
        <f t="array" ref="B2449">XLOOKUP(A2449,Data!F:F,Data!G:G)</f>
        <v>J3B</v>
      </c>
      <c r="C2449" s="19" t="str">
        <f t="shared" si="3"/>
        <v>J041</v>
      </c>
      <c r="D2449" s="19" t="str">
        <f t="array" ref="D2449">XLOOKUP(A2449,Data!F:F,Data!C:C)</f>
        <v/>
      </c>
      <c r="E2449" s="19" t="str">
        <f t="array" ref="E2449">XLOOKUP(A2449,Data!F:F,Data!H:H)</f>
        <v/>
      </c>
      <c r="F2449" s="106" t="str">
        <f>SUMIFS(Data!J:J,Data!F:F,A2449)</f>
        <v>1</v>
      </c>
      <c r="G2449" s="106" t="str">
        <f>SUMIFS(Cast!C:C,CastElements,A2449)</f>
        <v>0</v>
      </c>
      <c r="H2449" s="106" t="str">
        <f t="shared" si="4"/>
        <v>1</v>
      </c>
      <c r="I2449" s="106" t="str">
        <f>SUMIFS(Del!C:C,Del!B:B,A2449)</f>
        <v>0</v>
      </c>
      <c r="J2449" s="106" t="str">
        <f t="shared" si="5"/>
        <v>1</v>
      </c>
      <c r="K2449" s="106" t="str">
        <f t="shared" si="6"/>
        <v>0</v>
      </c>
      <c r="L2449" s="106"/>
      <c r="M2449" s="106" t="str">
        <f>SUMIFS(Ere!C:C,Ere!B:B,A2449)</f>
        <v>0</v>
      </c>
      <c r="N2449" s="106" t="str">
        <f t="shared" si="7"/>
        <v>1</v>
      </c>
      <c r="O2449" s="107" t="str">
        <f t="array" ref="O2449">XLOOKUP(A2449,Data!F:F,Data!O:O)</f>
        <v>  1.22 </v>
      </c>
      <c r="P2449" s="107" t="str">
        <f t="shared" si="8"/>
        <v>  3.05 </v>
      </c>
      <c r="Q2449" s="27"/>
      <c r="V2449" t="s">
        <v>135</v>
      </c>
    </row>
    <row r="2450" ht="15.75" customHeight="1">
      <c r="A2450" s="113" t="s">
        <v>2694</v>
      </c>
      <c r="B2450" s="19" t="str">
        <f t="array" ref="B2450">XLOOKUP(A2450,Data!F:F,Data!G:G)</f>
        <v>J3B</v>
      </c>
      <c r="C2450" s="19" t="str">
        <f t="shared" si="3"/>
        <v>J041</v>
      </c>
      <c r="D2450" s="19" t="str">
        <f t="array" ref="D2450">XLOOKUP(A2450,Data!F:F,Data!C:C)</f>
        <v/>
      </c>
      <c r="E2450" s="19" t="str">
        <f t="array" ref="E2450">XLOOKUP(A2450,Data!F:F,Data!H:H)</f>
        <v/>
      </c>
      <c r="F2450" s="106" t="str">
        <f>SUMIFS(Data!J:J,Data!F:F,A2450)</f>
        <v>1</v>
      </c>
      <c r="G2450" s="106" t="str">
        <f>SUMIFS(Cast!C:C,CastElements,A2450)</f>
        <v>0</v>
      </c>
      <c r="H2450" s="106" t="str">
        <f t="shared" si="4"/>
        <v>1</v>
      </c>
      <c r="I2450" s="106" t="str">
        <f>SUMIFS(Del!C:C,Del!B:B,A2450)</f>
        <v>0</v>
      </c>
      <c r="J2450" s="106" t="str">
        <f t="shared" si="5"/>
        <v>1</v>
      </c>
      <c r="K2450" s="106" t="str">
        <f t="shared" si="6"/>
        <v>0</v>
      </c>
      <c r="L2450" s="106"/>
      <c r="M2450" s="106" t="str">
        <f>SUMIFS(Ere!C:C,Ere!B:B,A2450)</f>
        <v>0</v>
      </c>
      <c r="N2450" s="106" t="str">
        <f t="shared" si="7"/>
        <v>1</v>
      </c>
      <c r="O2450" s="107" t="str">
        <f t="array" ref="O2450">XLOOKUP(A2450,Data!F:F,Data!O:O)</f>
        <v>  1.10 </v>
      </c>
      <c r="P2450" s="107" t="str">
        <f t="shared" si="8"/>
        <v>  2.75 </v>
      </c>
      <c r="Q2450" s="27"/>
      <c r="V2450" t="s">
        <v>136</v>
      </c>
    </row>
    <row r="2451" ht="15.75" customHeight="1">
      <c r="A2451" s="113" t="s">
        <v>2695</v>
      </c>
      <c r="B2451" s="19" t="str">
        <f t="array" ref="B2451">XLOOKUP(A2451,Data!F:F,Data!G:G)</f>
        <v>J3B</v>
      </c>
      <c r="C2451" s="19" t="str">
        <f t="shared" si="3"/>
        <v>J041</v>
      </c>
      <c r="D2451" s="19" t="str">
        <f t="array" ref="D2451">XLOOKUP(A2451,Data!F:F,Data!C:C)</f>
        <v/>
      </c>
      <c r="E2451" s="19" t="str">
        <f t="array" ref="E2451">XLOOKUP(A2451,Data!F:F,Data!H:H)</f>
        <v/>
      </c>
      <c r="F2451" s="106" t="str">
        <f>SUMIFS(Data!J:J,Data!F:F,A2451)</f>
        <v>1</v>
      </c>
      <c r="G2451" s="106" t="str">
        <f>SUMIFS(Cast!C:C,CastElements,A2451)</f>
        <v>0</v>
      </c>
      <c r="H2451" s="106" t="str">
        <f t="shared" si="4"/>
        <v>1</v>
      </c>
      <c r="I2451" s="106" t="str">
        <f>SUMIFS(Del!C:C,Del!B:B,A2451)</f>
        <v>0</v>
      </c>
      <c r="J2451" s="106" t="str">
        <f t="shared" si="5"/>
        <v>1</v>
      </c>
      <c r="K2451" s="106" t="str">
        <f t="shared" si="6"/>
        <v>0</v>
      </c>
      <c r="L2451" s="106"/>
      <c r="M2451" s="106" t="str">
        <f>SUMIFS(Ere!C:C,Ere!B:B,A2451)</f>
        <v>0</v>
      </c>
      <c r="N2451" s="106" t="str">
        <f t="shared" si="7"/>
        <v>1</v>
      </c>
      <c r="O2451" s="107" t="str">
        <f t="array" ref="O2451">XLOOKUP(A2451,Data!F:F,Data!O:O)</f>
        <v>  1.15 </v>
      </c>
      <c r="P2451" s="107" t="str">
        <f t="shared" si="8"/>
        <v>  2.88 </v>
      </c>
      <c r="Q2451" s="27"/>
      <c r="V2451" t="s">
        <v>137</v>
      </c>
    </row>
    <row r="2452" ht="15.75" customHeight="1">
      <c r="A2452" s="113" t="s">
        <v>2696</v>
      </c>
      <c r="B2452" s="19" t="str">
        <f t="array" ref="B2452">XLOOKUP(A2452,Data!F:F,Data!G:G)</f>
        <v>J3B</v>
      </c>
      <c r="C2452" s="19" t="str">
        <f t="shared" si="3"/>
        <v>J041</v>
      </c>
      <c r="D2452" s="19" t="str">
        <f t="array" ref="D2452">XLOOKUP(A2452,Data!F:F,Data!C:C)</f>
        <v>EXT</v>
      </c>
      <c r="E2452" s="19" t="str">
        <f t="array" ref="E2452">XLOOKUP(A2452,Data!F:F,Data!H:H)</f>
        <v/>
      </c>
      <c r="F2452" s="106" t="str">
        <f>SUMIFS(Data!J:J,Data!F:F,A2452)</f>
        <v>1</v>
      </c>
      <c r="G2452" s="106" t="str">
        <f>SUMIFS(Cast!C:C,CastElements,A2452)</f>
        <v>0</v>
      </c>
      <c r="H2452" s="106" t="str">
        <f t="shared" si="4"/>
        <v>1</v>
      </c>
      <c r="I2452" s="106" t="str">
        <f>SUMIFS(Del!C:C,Del!B:B,A2452)</f>
        <v>0</v>
      </c>
      <c r="J2452" s="106" t="str">
        <f t="shared" si="5"/>
        <v>1</v>
      </c>
      <c r="K2452" s="106" t="str">
        <f t="shared" si="6"/>
        <v>0</v>
      </c>
      <c r="L2452" s="106"/>
      <c r="M2452" s="106" t="str">
        <f>SUMIFS(Ere!C:C,Ere!B:B,A2452)</f>
        <v>0</v>
      </c>
      <c r="N2452" s="106" t="str">
        <f t="shared" si="7"/>
        <v>1</v>
      </c>
      <c r="O2452" s="107" t="str">
        <f t="array" ref="O2452">XLOOKUP(A2452,Data!F:F,Data!O:O)</f>
        <v>  0.79 </v>
      </c>
      <c r="P2452" s="107" t="str">
        <f t="shared" si="8"/>
        <v>  1.98 </v>
      </c>
      <c r="Q2452" s="27"/>
      <c r="V2452" t="s">
        <v>138</v>
      </c>
    </row>
    <row r="2453" ht="15.75" customHeight="1">
      <c r="A2453" s="113" t="s">
        <v>2697</v>
      </c>
      <c r="B2453" s="19" t="str">
        <f t="array" ref="B2453">XLOOKUP(A2453,Data!F:F,Data!G:G)</f>
        <v>J3B</v>
      </c>
      <c r="C2453" s="19" t="str">
        <f t="shared" si="3"/>
        <v>J042</v>
      </c>
      <c r="D2453" s="19" t="str">
        <f t="array" ref="D2453">XLOOKUP(A2453,Data!F:F,Data!C:C)</f>
        <v>EXT</v>
      </c>
      <c r="E2453" s="19" t="str">
        <f t="array" ref="E2453">XLOOKUP(A2453,Data!F:F,Data!H:H)</f>
        <v/>
      </c>
      <c r="F2453" s="106" t="str">
        <f>SUMIFS(Data!J:J,Data!F:F,A2453)</f>
        <v>1</v>
      </c>
      <c r="G2453" s="106" t="str">
        <f>SUMIFS(Cast!C:C,CastElements,A2453)</f>
        <v>0</v>
      </c>
      <c r="H2453" s="106" t="str">
        <f t="shared" si="4"/>
        <v>1</v>
      </c>
      <c r="I2453" s="106" t="str">
        <f>SUMIFS(Del!C:C,Del!B:B,A2453)</f>
        <v>0</v>
      </c>
      <c r="J2453" s="106" t="str">
        <f t="shared" si="5"/>
        <v>1</v>
      </c>
      <c r="K2453" s="106" t="str">
        <f t="shared" si="6"/>
        <v>0</v>
      </c>
      <c r="L2453" s="106"/>
      <c r="M2453" s="106" t="str">
        <f>SUMIFS(Ere!C:C,Ere!B:B,A2453)</f>
        <v>0</v>
      </c>
      <c r="N2453" s="106" t="str">
        <f t="shared" si="7"/>
        <v>1</v>
      </c>
      <c r="O2453" s="107" t="str">
        <f t="array" ref="O2453">XLOOKUP(A2453,Data!F:F,Data!O:O)</f>
        <v>  0.79 </v>
      </c>
      <c r="P2453" s="107" t="str">
        <f t="shared" si="8"/>
        <v>  1.98 </v>
      </c>
      <c r="Q2453" s="27"/>
      <c r="V2453" t="s">
        <v>139</v>
      </c>
    </row>
    <row r="2454" ht="15.75" customHeight="1">
      <c r="A2454" s="113" t="s">
        <v>2698</v>
      </c>
      <c r="B2454" s="19" t="str">
        <f t="array" ref="B2454">XLOOKUP(A2454,Data!F:F,Data!G:G)</f>
        <v>J3B</v>
      </c>
      <c r="C2454" s="19" t="str">
        <f t="shared" si="3"/>
        <v>J043</v>
      </c>
      <c r="D2454" s="19" t="str">
        <f t="array" ref="D2454">XLOOKUP(A2454,Data!F:F,Data!C:C)</f>
        <v>EXT</v>
      </c>
      <c r="E2454" s="19" t="str">
        <f t="array" ref="E2454">XLOOKUP(A2454,Data!F:F,Data!H:H)</f>
        <v/>
      </c>
      <c r="F2454" s="106" t="str">
        <f>SUMIFS(Data!J:J,Data!F:F,A2454)</f>
        <v>1</v>
      </c>
      <c r="G2454" s="106" t="str">
        <f>SUMIFS(Cast!C:C,CastElements,A2454)</f>
        <v>0</v>
      </c>
      <c r="H2454" s="106" t="str">
        <f t="shared" si="4"/>
        <v>1</v>
      </c>
      <c r="I2454" s="106" t="str">
        <f>SUMIFS(Del!C:C,Del!B:B,A2454)</f>
        <v>0</v>
      </c>
      <c r="J2454" s="106" t="str">
        <f t="shared" si="5"/>
        <v>1</v>
      </c>
      <c r="K2454" s="106" t="str">
        <f t="shared" si="6"/>
        <v>0</v>
      </c>
      <c r="L2454" s="106"/>
      <c r="M2454" s="106" t="str">
        <f>SUMIFS(Ere!C:C,Ere!B:B,A2454)</f>
        <v>0</v>
      </c>
      <c r="N2454" s="106" t="str">
        <f t="shared" si="7"/>
        <v>1</v>
      </c>
      <c r="O2454" s="107" t="str">
        <f t="array" ref="O2454">XLOOKUP(A2454,Data!F:F,Data!O:O)</f>
        <v>  0.79 </v>
      </c>
      <c r="P2454" s="107" t="str">
        <f t="shared" si="8"/>
        <v>  1.98 </v>
      </c>
      <c r="Q2454" s="27"/>
    </row>
    <row r="2455" ht="15.75" customHeight="1">
      <c r="A2455" s="113" t="s">
        <v>2699</v>
      </c>
      <c r="B2455" s="19" t="str">
        <f t="array" ref="B2455">XLOOKUP(A2455,Data!F:F,Data!G:G)</f>
        <v>J3B</v>
      </c>
      <c r="C2455" s="19" t="str">
        <f t="shared" si="3"/>
        <v>J044</v>
      </c>
      <c r="D2455" s="19" t="str">
        <f t="array" ref="D2455">XLOOKUP(A2455,Data!F:F,Data!C:C)</f>
        <v>EXT</v>
      </c>
      <c r="E2455" s="19" t="str">
        <f t="array" ref="E2455">XLOOKUP(A2455,Data!F:F,Data!H:H)</f>
        <v/>
      </c>
      <c r="F2455" s="106" t="str">
        <f>SUMIFS(Data!J:J,Data!F:F,A2455)</f>
        <v>1</v>
      </c>
      <c r="G2455" s="106" t="str">
        <f>SUMIFS(Cast!C:C,CastElements,A2455)</f>
        <v>0</v>
      </c>
      <c r="H2455" s="106" t="str">
        <f t="shared" si="4"/>
        <v>1</v>
      </c>
      <c r="I2455" s="106" t="str">
        <f>SUMIFS(Del!C:C,Del!B:B,A2455)</f>
        <v>0</v>
      </c>
      <c r="J2455" s="106" t="str">
        <f t="shared" si="5"/>
        <v>1</v>
      </c>
      <c r="K2455" s="106" t="str">
        <f t="shared" si="6"/>
        <v>0</v>
      </c>
      <c r="L2455" s="106"/>
      <c r="M2455" s="106" t="str">
        <f>SUMIFS(Ere!C:C,Ere!B:B,A2455)</f>
        <v>0</v>
      </c>
      <c r="N2455" s="106" t="str">
        <f t="shared" si="7"/>
        <v>1</v>
      </c>
      <c r="O2455" s="107" t="str">
        <f t="array" ref="O2455">XLOOKUP(A2455,Data!F:F,Data!O:O)</f>
        <v>  0.79 </v>
      </c>
      <c r="P2455" s="107" t="str">
        <f t="shared" si="8"/>
        <v>  1.98 </v>
      </c>
      <c r="Q2455" s="27"/>
    </row>
    <row r="2456" ht="15.75" customHeight="1">
      <c r="A2456" s="113" t="s">
        <v>2700</v>
      </c>
      <c r="B2456" s="19" t="str">
        <f t="array" ref="B2456">XLOOKUP(A2456,Data!F:F,Data!G:G)</f>
        <v>J3B</v>
      </c>
      <c r="C2456" s="19" t="str">
        <f t="shared" si="3"/>
        <v>J045</v>
      </c>
      <c r="D2456" s="19" t="str">
        <f t="array" ref="D2456">XLOOKUP(A2456,Data!F:F,Data!C:C)</f>
        <v>EXT</v>
      </c>
      <c r="E2456" s="19" t="str">
        <f t="array" ref="E2456">XLOOKUP(A2456,Data!F:F,Data!H:H)</f>
        <v/>
      </c>
      <c r="F2456" s="106" t="str">
        <f>SUMIFS(Data!J:J,Data!F:F,A2456)</f>
        <v>1</v>
      </c>
      <c r="G2456" s="106" t="str">
        <f>SUMIFS(Cast!C:C,CastElements,A2456)</f>
        <v>0</v>
      </c>
      <c r="H2456" s="106" t="str">
        <f t="shared" si="4"/>
        <v>1</v>
      </c>
      <c r="I2456" s="106" t="str">
        <f>SUMIFS(Del!C:C,Del!B:B,A2456)</f>
        <v>0</v>
      </c>
      <c r="J2456" s="106" t="str">
        <f t="shared" si="5"/>
        <v>1</v>
      </c>
      <c r="K2456" s="106" t="str">
        <f t="shared" si="6"/>
        <v>0</v>
      </c>
      <c r="L2456" s="106"/>
      <c r="M2456" s="106" t="str">
        <f>SUMIFS(Ere!C:C,Ere!B:B,A2456)</f>
        <v>0</v>
      </c>
      <c r="N2456" s="106" t="str">
        <f t="shared" si="7"/>
        <v>1</v>
      </c>
      <c r="O2456" s="107" t="str">
        <f t="array" ref="O2456">XLOOKUP(A2456,Data!F:F,Data!O:O)</f>
        <v>  0.79 </v>
      </c>
      <c r="P2456" s="107" t="str">
        <f t="shared" si="8"/>
        <v>  1.98 </v>
      </c>
      <c r="Q2456" s="27"/>
    </row>
    <row r="2457" ht="15.75" customHeight="1">
      <c r="A2457" s="113" t="s">
        <v>2701</v>
      </c>
      <c r="B2457" s="19" t="str">
        <f t="array" ref="B2457">XLOOKUP(A2457,Data!F:F,Data!G:G)</f>
        <v>J3B</v>
      </c>
      <c r="C2457" s="19" t="str">
        <f t="shared" si="3"/>
        <v>J046</v>
      </c>
      <c r="D2457" s="19" t="str">
        <f t="array" ref="D2457">XLOOKUP(A2457,Data!F:F,Data!C:C)</f>
        <v>EXT</v>
      </c>
      <c r="E2457" s="19" t="str">
        <f t="array" ref="E2457">XLOOKUP(A2457,Data!F:F,Data!H:H)</f>
        <v/>
      </c>
      <c r="F2457" s="106" t="str">
        <f>SUMIFS(Data!J:J,Data!F:F,A2457)</f>
        <v>1</v>
      </c>
      <c r="G2457" s="106" t="str">
        <f>SUMIFS(Cast!C:C,CastElements,A2457)</f>
        <v>0</v>
      </c>
      <c r="H2457" s="106" t="str">
        <f t="shared" si="4"/>
        <v>1</v>
      </c>
      <c r="I2457" s="106" t="str">
        <f>SUMIFS(Del!C:C,Del!B:B,A2457)</f>
        <v>0</v>
      </c>
      <c r="J2457" s="106" t="str">
        <f t="shared" si="5"/>
        <v>1</v>
      </c>
      <c r="K2457" s="106" t="str">
        <f t="shared" si="6"/>
        <v>0</v>
      </c>
      <c r="L2457" s="106"/>
      <c r="M2457" s="106" t="str">
        <f>SUMIFS(Ere!C:C,Ere!B:B,A2457)</f>
        <v>0</v>
      </c>
      <c r="N2457" s="106" t="str">
        <f t="shared" si="7"/>
        <v>1</v>
      </c>
      <c r="O2457" s="107" t="str">
        <f t="array" ref="O2457">XLOOKUP(A2457,Data!F:F,Data!O:O)</f>
        <v>  0.79 </v>
      </c>
      <c r="P2457" s="107" t="str">
        <f t="shared" si="8"/>
        <v>  1.98 </v>
      </c>
      <c r="Q2457" s="27"/>
    </row>
    <row r="2458" ht="15.75" customHeight="1">
      <c r="A2458" s="113" t="s">
        <v>2702</v>
      </c>
      <c r="B2458" s="19" t="str">
        <f t="array" ref="B2458">XLOOKUP(A2458,Data!F:F,Data!G:G)</f>
        <v>J3B</v>
      </c>
      <c r="C2458" s="19" t="str">
        <f t="shared" si="3"/>
        <v>J041</v>
      </c>
      <c r="D2458" s="19" t="str">
        <f t="array" ref="D2458">XLOOKUP(A2458,Data!F:F,Data!C:C)</f>
        <v/>
      </c>
      <c r="E2458" s="19" t="str">
        <f t="array" ref="E2458">XLOOKUP(A2458,Data!F:F,Data!H:H)</f>
        <v/>
      </c>
      <c r="F2458" s="106" t="str">
        <f>SUMIFS(Data!J:J,Data!F:F,A2458)</f>
        <v>1</v>
      </c>
      <c r="G2458" s="106" t="str">
        <f>SUMIFS(Cast!C:C,CastElements,A2458)</f>
        <v>0</v>
      </c>
      <c r="H2458" s="106" t="str">
        <f t="shared" si="4"/>
        <v>1</v>
      </c>
      <c r="I2458" s="106" t="str">
        <f>SUMIFS(Del!C:C,Del!B:B,A2458)</f>
        <v>0</v>
      </c>
      <c r="J2458" s="106" t="str">
        <f t="shared" si="5"/>
        <v>1</v>
      </c>
      <c r="K2458" s="106" t="str">
        <f t="shared" si="6"/>
        <v>0</v>
      </c>
      <c r="L2458" s="106"/>
      <c r="M2458" s="106" t="str">
        <f>SUMIFS(Ere!C:C,Ere!B:B,A2458)</f>
        <v>0</v>
      </c>
      <c r="N2458" s="106" t="str">
        <f t="shared" si="7"/>
        <v>1</v>
      </c>
      <c r="O2458" s="107" t="str">
        <f t="array" ref="O2458">XLOOKUP(A2458,Data!F:F,Data!O:O)</f>
        <v>  1.29 </v>
      </c>
      <c r="P2458" s="107" t="str">
        <f t="shared" si="8"/>
        <v>  3.23 </v>
      </c>
      <c r="Q2458" s="27"/>
    </row>
    <row r="2459" ht="15.75" customHeight="1">
      <c r="A2459" s="113" t="s">
        <v>2703</v>
      </c>
      <c r="B2459" s="19" t="str">
        <f t="array" ref="B2459">XLOOKUP(A2459,Data!F:F,Data!G:G)</f>
        <v>J3B</v>
      </c>
      <c r="C2459" s="19" t="str">
        <f t="shared" si="3"/>
        <v>J041</v>
      </c>
      <c r="D2459" s="19" t="str">
        <f t="array" ref="D2459">XLOOKUP(A2459,Data!F:F,Data!C:C)</f>
        <v/>
      </c>
      <c r="E2459" s="19" t="str">
        <f t="array" ref="E2459">XLOOKUP(A2459,Data!F:F,Data!H:H)</f>
        <v/>
      </c>
      <c r="F2459" s="106" t="str">
        <f>SUMIFS(Data!J:J,Data!F:F,A2459)</f>
        <v>1</v>
      </c>
      <c r="G2459" s="106" t="str">
        <f>SUMIFS(Cast!C:C,CastElements,A2459)</f>
        <v>0</v>
      </c>
      <c r="H2459" s="106" t="str">
        <f t="shared" si="4"/>
        <v>1</v>
      </c>
      <c r="I2459" s="106" t="str">
        <f>SUMIFS(Del!C:C,Del!B:B,A2459)</f>
        <v>0</v>
      </c>
      <c r="J2459" s="106" t="str">
        <f t="shared" si="5"/>
        <v>1</v>
      </c>
      <c r="K2459" s="106" t="str">
        <f t="shared" si="6"/>
        <v>0</v>
      </c>
      <c r="L2459" s="106"/>
      <c r="M2459" s="106" t="str">
        <f>SUMIFS(Ere!C:C,Ere!B:B,A2459)</f>
        <v>0</v>
      </c>
      <c r="N2459" s="106" t="str">
        <f t="shared" si="7"/>
        <v>1</v>
      </c>
      <c r="O2459" s="107" t="str">
        <f t="array" ref="O2459">XLOOKUP(A2459,Data!F:F,Data!O:O)</f>
        <v>  1.34 </v>
      </c>
      <c r="P2459" s="107" t="str">
        <f t="shared" si="8"/>
        <v>  3.35 </v>
      </c>
      <c r="Q2459" s="27"/>
    </row>
    <row r="2460" ht="15.75" customHeight="1">
      <c r="A2460" s="113" t="s">
        <v>2704</v>
      </c>
      <c r="B2460" s="19" t="str">
        <f t="array" ref="B2460">XLOOKUP(A2460,Data!F:F,Data!G:G)</f>
        <v>J3B</v>
      </c>
      <c r="C2460" s="19" t="str">
        <f t="shared" si="3"/>
        <v>J041</v>
      </c>
      <c r="D2460" s="19" t="str">
        <f t="array" ref="D2460">XLOOKUP(A2460,Data!F:F,Data!C:C)</f>
        <v/>
      </c>
      <c r="E2460" s="19" t="str">
        <f t="array" ref="E2460">XLOOKUP(A2460,Data!F:F,Data!H:H)</f>
        <v/>
      </c>
      <c r="F2460" s="106" t="str">
        <f>SUMIFS(Data!J:J,Data!F:F,A2460)</f>
        <v>1</v>
      </c>
      <c r="G2460" s="106" t="str">
        <f>SUMIFS(Cast!C:C,CastElements,A2460)</f>
        <v>0</v>
      </c>
      <c r="H2460" s="106" t="str">
        <f t="shared" si="4"/>
        <v>1</v>
      </c>
      <c r="I2460" s="106" t="str">
        <f>SUMIFS(Del!C:C,Del!B:B,A2460)</f>
        <v>0</v>
      </c>
      <c r="J2460" s="106" t="str">
        <f t="shared" si="5"/>
        <v>1</v>
      </c>
      <c r="K2460" s="106" t="str">
        <f t="shared" si="6"/>
        <v>0</v>
      </c>
      <c r="L2460" s="106"/>
      <c r="M2460" s="106" t="str">
        <f>SUMIFS(Ere!C:C,Ere!B:B,A2460)</f>
        <v>0</v>
      </c>
      <c r="N2460" s="106" t="str">
        <f t="shared" si="7"/>
        <v>1</v>
      </c>
      <c r="O2460" s="107" t="str">
        <f t="array" ref="O2460">XLOOKUP(A2460,Data!F:F,Data!O:O)</f>
        <v>  1.84 </v>
      </c>
      <c r="P2460" s="107" t="str">
        <f t="shared" si="8"/>
        <v>  4.60 </v>
      </c>
      <c r="Q2460" s="27"/>
    </row>
    <row r="2461" ht="15.75" customHeight="1">
      <c r="A2461" s="113" t="s">
        <v>2705</v>
      </c>
      <c r="B2461" s="19" t="str">
        <f t="array" ref="B2461">XLOOKUP(A2461,Data!F:F,Data!G:G)</f>
        <v>J3B</v>
      </c>
      <c r="C2461" s="19" t="str">
        <f t="shared" si="3"/>
        <v>J041</v>
      </c>
      <c r="D2461" s="19" t="str">
        <f t="array" ref="D2461">XLOOKUP(A2461,Data!F:F,Data!C:C)</f>
        <v/>
      </c>
      <c r="E2461" s="19" t="str">
        <f t="array" ref="E2461">XLOOKUP(A2461,Data!F:F,Data!H:H)</f>
        <v/>
      </c>
      <c r="F2461" s="106" t="str">
        <f>SUMIFS(Data!J:J,Data!F:F,A2461)</f>
        <v>1</v>
      </c>
      <c r="G2461" s="106" t="str">
        <f>SUMIFS(Cast!C:C,CastElements,A2461)</f>
        <v>0</v>
      </c>
      <c r="H2461" s="106" t="str">
        <f t="shared" si="4"/>
        <v>1</v>
      </c>
      <c r="I2461" s="106" t="str">
        <f>SUMIFS(Del!C:C,Del!B:B,A2461)</f>
        <v>0</v>
      </c>
      <c r="J2461" s="106" t="str">
        <f t="shared" si="5"/>
        <v>1</v>
      </c>
      <c r="K2461" s="106" t="str">
        <f t="shared" si="6"/>
        <v>0</v>
      </c>
      <c r="L2461" s="106"/>
      <c r="M2461" s="106" t="str">
        <f>SUMIFS(Ere!C:C,Ere!B:B,A2461)</f>
        <v>0</v>
      </c>
      <c r="N2461" s="106" t="str">
        <f t="shared" si="7"/>
        <v>1</v>
      </c>
      <c r="O2461" s="107" t="str">
        <f t="array" ref="O2461">XLOOKUP(A2461,Data!F:F,Data!O:O)</f>
        <v/>
      </c>
      <c r="P2461" s="107" t="str">
        <f t="shared" si="8"/>
        <v>  -   </v>
      </c>
      <c r="Q2461" s="27"/>
    </row>
    <row r="2462" ht="15.75" customHeight="1">
      <c r="A2462" s="113" t="s">
        <v>2706</v>
      </c>
      <c r="B2462" s="19" t="str">
        <f t="array" ref="B2462">XLOOKUP(A2462,Data!F:F,Data!G:G)</f>
        <v>J3B</v>
      </c>
      <c r="C2462" s="19" t="str">
        <f t="shared" si="3"/>
        <v>J041</v>
      </c>
      <c r="D2462" s="19" t="str">
        <f t="array" ref="D2462">XLOOKUP(A2462,Data!F:F,Data!C:C)</f>
        <v/>
      </c>
      <c r="E2462" s="19" t="str">
        <f t="array" ref="E2462">XLOOKUP(A2462,Data!F:F,Data!H:H)</f>
        <v/>
      </c>
      <c r="F2462" s="106" t="str">
        <f>SUMIFS(Data!J:J,Data!F:F,A2462)</f>
        <v>1</v>
      </c>
      <c r="G2462" s="106" t="str">
        <f>SUMIFS(Cast!C:C,CastElements,A2462)</f>
        <v>0</v>
      </c>
      <c r="H2462" s="106" t="str">
        <f t="shared" si="4"/>
        <v>1</v>
      </c>
      <c r="I2462" s="106" t="str">
        <f>SUMIFS(Del!C:C,Del!B:B,A2462)</f>
        <v>0</v>
      </c>
      <c r="J2462" s="106" t="str">
        <f t="shared" si="5"/>
        <v>1</v>
      </c>
      <c r="K2462" s="106" t="str">
        <f t="shared" si="6"/>
        <v>0</v>
      </c>
      <c r="L2462" s="106"/>
      <c r="M2462" s="106" t="str">
        <f>SUMIFS(Ere!C:C,Ere!B:B,A2462)</f>
        <v>0</v>
      </c>
      <c r="N2462" s="106" t="str">
        <f t="shared" si="7"/>
        <v>1</v>
      </c>
      <c r="O2462" s="107" t="str">
        <f t="array" ref="O2462">XLOOKUP(A2462,Data!F:F,Data!O:O)</f>
        <v>  2.12 </v>
      </c>
      <c r="P2462" s="107" t="str">
        <f t="shared" si="8"/>
        <v>  5.30 </v>
      </c>
      <c r="Q2462" s="27"/>
    </row>
    <row r="2463" ht="15.75" customHeight="1">
      <c r="A2463" s="113" t="s">
        <v>2707</v>
      </c>
      <c r="B2463" s="19" t="str">
        <f t="array" ref="B2463">XLOOKUP(A2463,Data!F:F,Data!G:G)</f>
        <v>J3B</v>
      </c>
      <c r="C2463" s="19" t="str">
        <f t="shared" si="3"/>
        <v>J041</v>
      </c>
      <c r="D2463" s="19" t="str">
        <f t="array" ref="D2463">XLOOKUP(A2463,Data!F:F,Data!C:C)</f>
        <v/>
      </c>
      <c r="E2463" s="19" t="str">
        <f t="array" ref="E2463">XLOOKUP(A2463,Data!F:F,Data!H:H)</f>
        <v/>
      </c>
      <c r="F2463" s="106" t="str">
        <f>SUMIFS(Data!J:J,Data!F:F,A2463)</f>
        <v>1</v>
      </c>
      <c r="G2463" s="106" t="str">
        <f>SUMIFS(Cast!C:C,CastElements,A2463)</f>
        <v>0</v>
      </c>
      <c r="H2463" s="106" t="str">
        <f t="shared" si="4"/>
        <v>1</v>
      </c>
      <c r="I2463" s="106" t="str">
        <f>SUMIFS(Del!C:C,Del!B:B,A2463)</f>
        <v>0</v>
      </c>
      <c r="J2463" s="106" t="str">
        <f t="shared" si="5"/>
        <v>1</v>
      </c>
      <c r="K2463" s="106" t="str">
        <f t="shared" si="6"/>
        <v>0</v>
      </c>
      <c r="L2463" s="106"/>
      <c r="M2463" s="106" t="str">
        <f>SUMIFS(Ere!C:C,Ere!B:B,A2463)</f>
        <v>0</v>
      </c>
      <c r="N2463" s="106" t="str">
        <f t="shared" si="7"/>
        <v>1</v>
      </c>
      <c r="O2463" s="107" t="str">
        <f t="array" ref="O2463">XLOOKUP(A2463,Data!F:F,Data!O:O)</f>
        <v>  2.12 </v>
      </c>
      <c r="P2463" s="107" t="str">
        <f t="shared" si="8"/>
        <v>  5.30 </v>
      </c>
      <c r="Q2463" s="27"/>
    </row>
    <row r="2464" ht="15.75" customHeight="1">
      <c r="A2464" s="113" t="s">
        <v>2708</v>
      </c>
      <c r="B2464" s="19" t="str">
        <f t="array" ref="B2464">XLOOKUP(A2464,Data!F:F,Data!G:G)</f>
        <v>J3B</v>
      </c>
      <c r="C2464" s="19" t="str">
        <f t="shared" si="3"/>
        <v>J041</v>
      </c>
      <c r="D2464" s="19" t="str">
        <f t="array" ref="D2464">XLOOKUP(A2464,Data!F:F,Data!C:C)</f>
        <v/>
      </c>
      <c r="E2464" s="19" t="str">
        <f t="array" ref="E2464">XLOOKUP(A2464,Data!F:F,Data!H:H)</f>
        <v/>
      </c>
      <c r="F2464" s="106" t="str">
        <f>SUMIFS(Data!J:J,Data!F:F,A2464)</f>
        <v>1</v>
      </c>
      <c r="G2464" s="106" t="str">
        <f>SUMIFS(Cast!C:C,CastElements,A2464)</f>
        <v>0</v>
      </c>
      <c r="H2464" s="106" t="str">
        <f t="shared" si="4"/>
        <v>1</v>
      </c>
      <c r="I2464" s="106" t="str">
        <f>SUMIFS(Del!C:C,Del!B:B,A2464)</f>
        <v>0</v>
      </c>
      <c r="J2464" s="106" t="str">
        <f t="shared" si="5"/>
        <v>1</v>
      </c>
      <c r="K2464" s="106" t="str">
        <f t="shared" si="6"/>
        <v>0</v>
      </c>
      <c r="L2464" s="106"/>
      <c r="M2464" s="106" t="str">
        <f>SUMIFS(Ere!C:C,Ere!B:B,A2464)</f>
        <v>0</v>
      </c>
      <c r="N2464" s="106" t="str">
        <f t="shared" si="7"/>
        <v>1</v>
      </c>
      <c r="O2464" s="107" t="str">
        <f t="array" ref="O2464">XLOOKUP(A2464,Data!F:F,Data!O:O)</f>
        <v>  2.12 </v>
      </c>
      <c r="P2464" s="107" t="str">
        <f t="shared" si="8"/>
        <v>  5.30 </v>
      </c>
      <c r="Q2464" s="27"/>
    </row>
    <row r="2465" ht="15.75" customHeight="1">
      <c r="A2465" s="113" t="s">
        <v>2709</v>
      </c>
      <c r="B2465" s="19" t="str">
        <f t="array" ref="B2465">XLOOKUP(A2465,Data!F:F,Data!G:G)</f>
        <v>J3B</v>
      </c>
      <c r="C2465" s="19" t="str">
        <f t="shared" si="3"/>
        <v>J041</v>
      </c>
      <c r="D2465" s="19" t="str">
        <f t="array" ref="D2465">XLOOKUP(A2465,Data!F:F,Data!C:C)</f>
        <v/>
      </c>
      <c r="E2465" s="19" t="str">
        <f t="array" ref="E2465">XLOOKUP(A2465,Data!F:F,Data!H:H)</f>
        <v/>
      </c>
      <c r="F2465" s="106" t="str">
        <f>SUMIFS(Data!J:J,Data!F:F,A2465)</f>
        <v>1</v>
      </c>
      <c r="G2465" s="106" t="str">
        <f>SUMIFS(Cast!C:C,CastElements,A2465)</f>
        <v>0</v>
      </c>
      <c r="H2465" s="106" t="str">
        <f t="shared" si="4"/>
        <v>1</v>
      </c>
      <c r="I2465" s="106" t="str">
        <f>SUMIFS(Del!C:C,Del!B:B,A2465)</f>
        <v>0</v>
      </c>
      <c r="J2465" s="106" t="str">
        <f t="shared" si="5"/>
        <v>1</v>
      </c>
      <c r="K2465" s="106" t="str">
        <f t="shared" si="6"/>
        <v>0</v>
      </c>
      <c r="L2465" s="106"/>
      <c r="M2465" s="106" t="str">
        <f>SUMIFS(Ere!C:C,Ere!B:B,A2465)</f>
        <v>0</v>
      </c>
      <c r="N2465" s="106" t="str">
        <f t="shared" si="7"/>
        <v>1</v>
      </c>
      <c r="O2465" s="107" t="str">
        <f t="array" ref="O2465">XLOOKUP(A2465,Data!F:F,Data!O:O)</f>
        <v>  2.26 </v>
      </c>
      <c r="P2465" s="107" t="str">
        <f t="shared" si="8"/>
        <v>  5.65 </v>
      </c>
      <c r="Q2465" s="27"/>
    </row>
    <row r="2466" ht="15.75" customHeight="1">
      <c r="A2466" s="113" t="s">
        <v>2710</v>
      </c>
      <c r="B2466" s="19" t="str">
        <f t="array" ref="B2466">XLOOKUP(A2466,Data!F:F,Data!G:G)</f>
        <v>J3B</v>
      </c>
      <c r="C2466" s="19" t="str">
        <f t="shared" si="3"/>
        <v>J041</v>
      </c>
      <c r="D2466" s="19" t="str">
        <f t="array" ref="D2466">XLOOKUP(A2466,Data!F:F,Data!C:C)</f>
        <v/>
      </c>
      <c r="E2466" s="19" t="str">
        <f t="array" ref="E2466">XLOOKUP(A2466,Data!F:F,Data!H:H)</f>
        <v/>
      </c>
      <c r="F2466" s="106" t="str">
        <f>SUMIFS(Data!J:J,Data!F:F,A2466)</f>
        <v>0</v>
      </c>
      <c r="G2466" s="106" t="str">
        <f>SUMIFS(Cast!C:C,CastElements,A2466)</f>
        <v>0</v>
      </c>
      <c r="H2466" s="106" t="str">
        <f t="shared" si="4"/>
        <v>0</v>
      </c>
      <c r="I2466" s="106" t="str">
        <f>SUMIFS(Del!C:C,Del!B:B,A2466)</f>
        <v>0</v>
      </c>
      <c r="J2466" s="106" t="str">
        <f t="shared" si="5"/>
        <v>0</v>
      </c>
      <c r="K2466" s="106" t="str">
        <f t="shared" si="6"/>
        <v>0</v>
      </c>
      <c r="L2466" s="106"/>
      <c r="M2466" s="106" t="str">
        <f>SUMIFS(Ere!C:C,Ere!B:B,A2466)</f>
        <v>0</v>
      </c>
      <c r="N2466" s="106" t="str">
        <f t="shared" si="7"/>
        <v>0</v>
      </c>
      <c r="O2466" s="107" t="str">
        <f t="array" ref="O2466">XLOOKUP(A2466,Data!F:F,Data!O:O)</f>
        <v/>
      </c>
      <c r="P2466" s="107" t="str">
        <f t="shared" si="8"/>
        <v>  -   </v>
      </c>
      <c r="Q2466" s="27"/>
    </row>
    <row r="2467" ht="15.75" customHeight="1">
      <c r="A2467" s="113" t="s">
        <v>2711</v>
      </c>
      <c r="B2467" s="19" t="str">
        <f t="array" ref="B2467">XLOOKUP(A2467,Data!F:F,Data!G:G)</f>
        <v>J3B</v>
      </c>
      <c r="C2467" s="19" t="str">
        <f t="shared" si="3"/>
        <v>J041</v>
      </c>
      <c r="D2467" s="19" t="str">
        <f t="array" ref="D2467">XLOOKUP(A2467,Data!F:F,Data!C:C)</f>
        <v/>
      </c>
      <c r="E2467" s="19" t="str">
        <f t="array" ref="E2467">XLOOKUP(A2467,Data!F:F,Data!H:H)</f>
        <v/>
      </c>
      <c r="F2467" s="106" t="str">
        <f>SUMIFS(Data!J:J,Data!F:F,A2467)</f>
        <v>0</v>
      </c>
      <c r="G2467" s="106" t="str">
        <f>SUMIFS(Cast!C:C,CastElements,A2467)</f>
        <v>0</v>
      </c>
      <c r="H2467" s="106" t="str">
        <f t="shared" si="4"/>
        <v>0</v>
      </c>
      <c r="I2467" s="106" t="str">
        <f>SUMIFS(Del!C:C,Del!B:B,A2467)</f>
        <v>0</v>
      </c>
      <c r="J2467" s="106" t="str">
        <f t="shared" si="5"/>
        <v>0</v>
      </c>
      <c r="K2467" s="106" t="str">
        <f t="shared" si="6"/>
        <v>0</v>
      </c>
      <c r="L2467" s="106"/>
      <c r="M2467" s="106" t="str">
        <f>SUMIFS(Ere!C:C,Ere!B:B,A2467)</f>
        <v>0</v>
      </c>
      <c r="N2467" s="106" t="str">
        <f t="shared" si="7"/>
        <v>0</v>
      </c>
      <c r="O2467" s="107" t="str">
        <f t="array" ref="O2467">XLOOKUP(A2467,Data!F:F,Data!O:O)</f>
        <v/>
      </c>
      <c r="P2467" s="107" t="str">
        <f t="shared" si="8"/>
        <v>  -   </v>
      </c>
      <c r="Q2467" s="27"/>
    </row>
    <row r="2468" ht="15.75" customHeight="1">
      <c r="A2468" s="113" t="s">
        <v>2712</v>
      </c>
      <c r="B2468" s="19" t="str">
        <f t="array" ref="B2468">XLOOKUP(A2468,Data!F:F,Data!G:G)</f>
        <v>J3B</v>
      </c>
      <c r="C2468" s="19" t="str">
        <f t="shared" si="3"/>
        <v>J042</v>
      </c>
      <c r="D2468" s="19" t="str">
        <f t="array" ref="D2468">XLOOKUP(A2468,Data!F:F,Data!C:C)</f>
        <v>EXT</v>
      </c>
      <c r="E2468" s="19" t="str">
        <f t="array" ref="E2468">XLOOKUP(A2468,Data!F:F,Data!H:H)</f>
        <v/>
      </c>
      <c r="F2468" s="106" t="str">
        <f>SUMIFS(Data!J:J,Data!F:F,A2468)</f>
        <v>1</v>
      </c>
      <c r="G2468" s="106" t="str">
        <f>SUMIFS(Cast!C:C,CastElements,A2468)</f>
        <v>0</v>
      </c>
      <c r="H2468" s="106" t="str">
        <f t="shared" si="4"/>
        <v>1</v>
      </c>
      <c r="I2468" s="106" t="str">
        <f>SUMIFS(Del!C:C,Del!B:B,A2468)</f>
        <v>0</v>
      </c>
      <c r="J2468" s="106" t="str">
        <f t="shared" si="5"/>
        <v>1</v>
      </c>
      <c r="K2468" s="106" t="str">
        <f t="shared" si="6"/>
        <v>0</v>
      </c>
      <c r="L2468" s="106"/>
      <c r="M2468" s="106" t="str">
        <f>SUMIFS(Ere!C:C,Ere!B:B,A2468)</f>
        <v>0</v>
      </c>
      <c r="N2468" s="106" t="str">
        <f t="shared" si="7"/>
        <v>1</v>
      </c>
      <c r="O2468" s="107" t="str">
        <f t="array" ref="O2468">XLOOKUP(A2468,Data!F:F,Data!O:O)</f>
        <v>  1.17 </v>
      </c>
      <c r="P2468" s="107" t="str">
        <f t="shared" si="8"/>
        <v>  2.93 </v>
      </c>
      <c r="Q2468" s="27"/>
    </row>
    <row r="2469" ht="15.75" customHeight="1">
      <c r="A2469" s="113" t="s">
        <v>2713</v>
      </c>
      <c r="B2469" s="19" t="str">
        <f t="array" ref="B2469">XLOOKUP(A2469,Data!F:F,Data!G:G)</f>
        <v>J3B</v>
      </c>
      <c r="C2469" s="19" t="str">
        <f t="shared" si="3"/>
        <v>J042</v>
      </c>
      <c r="D2469" s="19" t="str">
        <f t="array" ref="D2469">XLOOKUP(A2469,Data!F:F,Data!C:C)</f>
        <v>EXT</v>
      </c>
      <c r="E2469" s="19" t="str">
        <f t="array" ref="E2469">XLOOKUP(A2469,Data!F:F,Data!H:H)</f>
        <v/>
      </c>
      <c r="F2469" s="106" t="str">
        <f>SUMIFS(Data!J:J,Data!F:F,A2469)</f>
        <v>1</v>
      </c>
      <c r="G2469" s="106" t="str">
        <f>SUMIFS(Cast!C:C,CastElements,A2469)</f>
        <v>0</v>
      </c>
      <c r="H2469" s="106" t="str">
        <f t="shared" si="4"/>
        <v>1</v>
      </c>
      <c r="I2469" s="106" t="str">
        <f>SUMIFS(Del!C:C,Del!B:B,A2469)</f>
        <v>0</v>
      </c>
      <c r="J2469" s="106" t="str">
        <f t="shared" si="5"/>
        <v>1</v>
      </c>
      <c r="K2469" s="106" t="str">
        <f t="shared" si="6"/>
        <v>0</v>
      </c>
      <c r="L2469" s="106"/>
      <c r="M2469" s="106" t="str">
        <f>SUMIFS(Ere!C:C,Ere!B:B,A2469)</f>
        <v>0</v>
      </c>
      <c r="N2469" s="106" t="str">
        <f t="shared" si="7"/>
        <v>1</v>
      </c>
      <c r="O2469" s="107" t="str">
        <f t="array" ref="O2469">XLOOKUP(A2469,Data!F:F,Data!O:O)</f>
        <v>  0.99 </v>
      </c>
      <c r="P2469" s="107" t="str">
        <f t="shared" si="8"/>
        <v>  2.48 </v>
      </c>
      <c r="Q2469" s="27"/>
    </row>
    <row r="2470" ht="15.75" customHeight="1">
      <c r="A2470" s="113" t="s">
        <v>2714</v>
      </c>
      <c r="B2470" s="19" t="str">
        <f t="array" ref="B2470">XLOOKUP(A2470,Data!F:F,Data!G:G)</f>
        <v>J3B</v>
      </c>
      <c r="C2470" s="19" t="str">
        <f t="shared" si="3"/>
        <v>J043</v>
      </c>
      <c r="D2470" s="19" t="str">
        <f t="array" ref="D2470">XLOOKUP(A2470,Data!F:F,Data!C:C)</f>
        <v>EXT</v>
      </c>
      <c r="E2470" s="19" t="str">
        <f t="array" ref="E2470">XLOOKUP(A2470,Data!F:F,Data!H:H)</f>
        <v/>
      </c>
      <c r="F2470" s="106" t="str">
        <f>SUMIFS(Data!J:J,Data!F:F,A2470)</f>
        <v>1</v>
      </c>
      <c r="G2470" s="106" t="str">
        <f>SUMIFS(Cast!C:C,CastElements,A2470)</f>
        <v>0</v>
      </c>
      <c r="H2470" s="106" t="str">
        <f t="shared" si="4"/>
        <v>1</v>
      </c>
      <c r="I2470" s="106" t="str">
        <f>SUMIFS(Del!C:C,Del!B:B,A2470)</f>
        <v>0</v>
      </c>
      <c r="J2470" s="106" t="str">
        <f t="shared" si="5"/>
        <v>1</v>
      </c>
      <c r="K2470" s="106" t="str">
        <f t="shared" si="6"/>
        <v>0</v>
      </c>
      <c r="L2470" s="106"/>
      <c r="M2470" s="106" t="str">
        <f>SUMIFS(Ere!C:C,Ere!B:B,A2470)</f>
        <v>0</v>
      </c>
      <c r="N2470" s="106" t="str">
        <f t="shared" si="7"/>
        <v>1</v>
      </c>
      <c r="O2470" s="107" t="str">
        <f t="array" ref="O2470">XLOOKUP(A2470,Data!F:F,Data!O:O)</f>
        <v>  0.99 </v>
      </c>
      <c r="P2470" s="107" t="str">
        <f t="shared" si="8"/>
        <v>  2.48 </v>
      </c>
      <c r="Q2470" s="27"/>
    </row>
    <row r="2471" ht="15.75" customHeight="1">
      <c r="A2471" s="113" t="s">
        <v>2715</v>
      </c>
      <c r="B2471" s="19" t="str">
        <f t="array" ref="B2471">XLOOKUP(A2471,Data!F:F,Data!G:G)</f>
        <v>J3B</v>
      </c>
      <c r="C2471" s="19" t="str">
        <f t="shared" si="3"/>
        <v>J044</v>
      </c>
      <c r="D2471" s="19" t="str">
        <f t="array" ref="D2471">XLOOKUP(A2471,Data!F:F,Data!C:C)</f>
        <v>EXT</v>
      </c>
      <c r="E2471" s="19" t="str">
        <f t="array" ref="E2471">XLOOKUP(A2471,Data!F:F,Data!H:H)</f>
        <v/>
      </c>
      <c r="F2471" s="106" t="str">
        <f>SUMIFS(Data!J:J,Data!F:F,A2471)</f>
        <v>1</v>
      </c>
      <c r="G2471" s="106" t="str">
        <f>SUMIFS(Cast!C:C,CastElements,A2471)</f>
        <v>0</v>
      </c>
      <c r="H2471" s="106" t="str">
        <f t="shared" si="4"/>
        <v>1</v>
      </c>
      <c r="I2471" s="106" t="str">
        <f>SUMIFS(Del!C:C,Del!B:B,A2471)</f>
        <v>0</v>
      </c>
      <c r="J2471" s="106" t="str">
        <f t="shared" si="5"/>
        <v>1</v>
      </c>
      <c r="K2471" s="106" t="str">
        <f t="shared" si="6"/>
        <v>0</v>
      </c>
      <c r="L2471" s="106"/>
      <c r="M2471" s="106" t="str">
        <f>SUMIFS(Ere!C:C,Ere!B:B,A2471)</f>
        <v>0</v>
      </c>
      <c r="N2471" s="106" t="str">
        <f t="shared" si="7"/>
        <v>1</v>
      </c>
      <c r="O2471" s="107" t="str">
        <f t="array" ref="O2471">XLOOKUP(A2471,Data!F:F,Data!O:O)</f>
        <v>  0.99 </v>
      </c>
      <c r="P2471" s="107" t="str">
        <f t="shared" si="8"/>
        <v>  2.48 </v>
      </c>
      <c r="Q2471" s="27"/>
    </row>
    <row r="2472" ht="15.75" customHeight="1">
      <c r="A2472" s="113" t="s">
        <v>2716</v>
      </c>
      <c r="B2472" s="19" t="str">
        <f t="array" ref="B2472">XLOOKUP(A2472,Data!F:F,Data!G:G)</f>
        <v>J3B</v>
      </c>
      <c r="C2472" s="19" t="str">
        <f t="shared" si="3"/>
        <v>J045</v>
      </c>
      <c r="D2472" s="19" t="str">
        <f t="array" ref="D2472">XLOOKUP(A2472,Data!F:F,Data!C:C)</f>
        <v>EXT</v>
      </c>
      <c r="E2472" s="19" t="str">
        <f t="array" ref="E2472">XLOOKUP(A2472,Data!F:F,Data!H:H)</f>
        <v/>
      </c>
      <c r="F2472" s="106" t="str">
        <f>SUMIFS(Data!J:J,Data!F:F,A2472)</f>
        <v>1</v>
      </c>
      <c r="G2472" s="106" t="str">
        <f>SUMIFS(Cast!C:C,CastElements,A2472)</f>
        <v>0</v>
      </c>
      <c r="H2472" s="106" t="str">
        <f t="shared" si="4"/>
        <v>1</v>
      </c>
      <c r="I2472" s="106" t="str">
        <f>SUMIFS(Del!C:C,Del!B:B,A2472)</f>
        <v>0</v>
      </c>
      <c r="J2472" s="106" t="str">
        <f t="shared" si="5"/>
        <v>1</v>
      </c>
      <c r="K2472" s="106" t="str">
        <f t="shared" si="6"/>
        <v>0</v>
      </c>
      <c r="L2472" s="106"/>
      <c r="M2472" s="106" t="str">
        <f>SUMIFS(Ere!C:C,Ere!B:B,A2472)</f>
        <v>0</v>
      </c>
      <c r="N2472" s="106" t="str">
        <f t="shared" si="7"/>
        <v>1</v>
      </c>
      <c r="O2472" s="107" t="str">
        <f t="array" ref="O2472">XLOOKUP(A2472,Data!F:F,Data!O:O)</f>
        <v>  0.99 </v>
      </c>
      <c r="P2472" s="107" t="str">
        <f t="shared" si="8"/>
        <v>  2.48 </v>
      </c>
      <c r="Q2472" s="27"/>
    </row>
    <row r="2473" ht="15.75" customHeight="1">
      <c r="A2473" s="113" t="s">
        <v>2717</v>
      </c>
      <c r="B2473" s="19" t="str">
        <f t="array" ref="B2473">XLOOKUP(A2473,Data!F:F,Data!G:G)</f>
        <v>J3B</v>
      </c>
      <c r="C2473" s="19" t="str">
        <f t="shared" si="3"/>
        <v>J046</v>
      </c>
      <c r="D2473" s="19" t="str">
        <f t="array" ref="D2473">XLOOKUP(A2473,Data!F:F,Data!C:C)</f>
        <v>EXT</v>
      </c>
      <c r="E2473" s="19" t="str">
        <f t="array" ref="E2473">XLOOKUP(A2473,Data!F:F,Data!H:H)</f>
        <v/>
      </c>
      <c r="F2473" s="106" t="str">
        <f>SUMIFS(Data!J:J,Data!F:F,A2473)</f>
        <v>1</v>
      </c>
      <c r="G2473" s="106" t="str">
        <f>SUMIFS(Cast!C:C,CastElements,A2473)</f>
        <v>0</v>
      </c>
      <c r="H2473" s="106" t="str">
        <f t="shared" si="4"/>
        <v>1</v>
      </c>
      <c r="I2473" s="106" t="str">
        <f>SUMIFS(Del!C:C,Del!B:B,A2473)</f>
        <v>0</v>
      </c>
      <c r="J2473" s="106" t="str">
        <f t="shared" si="5"/>
        <v>1</v>
      </c>
      <c r="K2473" s="106" t="str">
        <f t="shared" si="6"/>
        <v>0</v>
      </c>
      <c r="L2473" s="106"/>
      <c r="M2473" s="106" t="str">
        <f>SUMIFS(Ere!C:C,Ere!B:B,A2473)</f>
        <v>0</v>
      </c>
      <c r="N2473" s="106" t="str">
        <f t="shared" si="7"/>
        <v>1</v>
      </c>
      <c r="O2473" s="107" t="str">
        <f t="array" ref="O2473">XLOOKUP(A2473,Data!F:F,Data!O:O)</f>
        <v>  0.99 </v>
      </c>
      <c r="P2473" s="107" t="str">
        <f t="shared" si="8"/>
        <v>  2.48 </v>
      </c>
      <c r="Q2473" s="27"/>
    </row>
    <row r="2474" ht="15.75" customHeight="1">
      <c r="A2474" s="113" t="s">
        <v>2718</v>
      </c>
      <c r="B2474" s="19" t="str">
        <f t="array" ref="B2474">XLOOKUP(A2474,Data!F:F,Data!G:G)</f>
        <v>J3B</v>
      </c>
      <c r="C2474" s="19" t="str">
        <f t="shared" si="3"/>
        <v>J042</v>
      </c>
      <c r="D2474" s="19" t="str">
        <f t="array" ref="D2474">XLOOKUP(A2474,Data!F:F,Data!C:C)</f>
        <v/>
      </c>
      <c r="E2474" s="19" t="str">
        <f t="array" ref="E2474">XLOOKUP(A2474,Data!F:F,Data!H:H)</f>
        <v/>
      </c>
      <c r="F2474" s="106" t="str">
        <f>SUMIFS(Data!J:J,Data!F:F,A2474)</f>
        <v>0</v>
      </c>
      <c r="G2474" s="106" t="str">
        <f>SUMIFS(Cast!C:C,CastElements,A2474)</f>
        <v>0</v>
      </c>
      <c r="H2474" s="106" t="str">
        <f t="shared" si="4"/>
        <v>0</v>
      </c>
      <c r="I2474" s="106" t="str">
        <f>SUMIFS(Del!C:C,Del!B:B,A2474)</f>
        <v>0</v>
      </c>
      <c r="J2474" s="106" t="str">
        <f t="shared" si="5"/>
        <v>0</v>
      </c>
      <c r="K2474" s="106" t="str">
        <f t="shared" si="6"/>
        <v>0</v>
      </c>
      <c r="L2474" s="106"/>
      <c r="M2474" s="106" t="str">
        <f>SUMIFS(Ere!C:C,Ere!B:B,A2474)</f>
        <v>0</v>
      </c>
      <c r="N2474" s="106" t="str">
        <f t="shared" si="7"/>
        <v>0</v>
      </c>
      <c r="O2474" s="107" t="str">
        <f t="array" ref="O2474">XLOOKUP(A2474,Data!F:F,Data!O:O)</f>
        <v/>
      </c>
      <c r="P2474" s="107" t="str">
        <f t="shared" si="8"/>
        <v>  -   </v>
      </c>
      <c r="Q2474" s="27"/>
    </row>
    <row r="2475" ht="15.75" customHeight="1">
      <c r="A2475" s="113" t="s">
        <v>2719</v>
      </c>
      <c r="B2475" s="19" t="str">
        <f t="array" ref="B2475">XLOOKUP(A2475,Data!F:F,Data!G:G)</f>
        <v>J3B</v>
      </c>
      <c r="C2475" s="19" t="str">
        <f t="shared" si="3"/>
        <v>J042</v>
      </c>
      <c r="D2475" s="19" t="str">
        <f t="array" ref="D2475">XLOOKUP(A2475,Data!F:F,Data!C:C)</f>
        <v/>
      </c>
      <c r="E2475" s="19" t="str">
        <f t="array" ref="E2475">XLOOKUP(A2475,Data!F:F,Data!H:H)</f>
        <v/>
      </c>
      <c r="F2475" s="106" t="str">
        <f>SUMIFS(Data!J:J,Data!F:F,A2475)</f>
        <v>1</v>
      </c>
      <c r="G2475" s="106" t="str">
        <f>SUMIFS(Cast!C:C,CastElements,A2475)</f>
        <v>0</v>
      </c>
      <c r="H2475" s="106" t="str">
        <f t="shared" si="4"/>
        <v>1</v>
      </c>
      <c r="I2475" s="106" t="str">
        <f>SUMIFS(Del!C:C,Del!B:B,A2475)</f>
        <v>0</v>
      </c>
      <c r="J2475" s="106" t="str">
        <f t="shared" si="5"/>
        <v>1</v>
      </c>
      <c r="K2475" s="106" t="str">
        <f t="shared" si="6"/>
        <v>0</v>
      </c>
      <c r="L2475" s="106"/>
      <c r="M2475" s="106" t="str">
        <f>SUMIFS(Ere!C:C,Ere!B:B,A2475)</f>
        <v>0</v>
      </c>
      <c r="N2475" s="106" t="str">
        <f t="shared" si="7"/>
        <v>1</v>
      </c>
      <c r="O2475" s="107" t="str">
        <f t="array" ref="O2475">XLOOKUP(A2475,Data!F:F,Data!O:O)</f>
        <v>  2.12 </v>
      </c>
      <c r="P2475" s="107" t="str">
        <f t="shared" si="8"/>
        <v>  5.30 </v>
      </c>
      <c r="Q2475" s="27"/>
    </row>
    <row r="2476" ht="15.75" customHeight="1">
      <c r="A2476" s="113" t="s">
        <v>2720</v>
      </c>
      <c r="B2476" s="19" t="str">
        <f t="array" ref="B2476">XLOOKUP(A2476,Data!F:F,Data!G:G)</f>
        <v>J3B</v>
      </c>
      <c r="C2476" s="19" t="str">
        <f t="shared" si="3"/>
        <v>J042</v>
      </c>
      <c r="D2476" s="19" t="str">
        <f t="array" ref="D2476">XLOOKUP(A2476,Data!F:F,Data!C:C)</f>
        <v/>
      </c>
      <c r="E2476" s="19" t="str">
        <f t="array" ref="E2476">XLOOKUP(A2476,Data!F:F,Data!H:H)</f>
        <v/>
      </c>
      <c r="F2476" s="106" t="str">
        <f>SUMIFS(Data!J:J,Data!F:F,A2476)</f>
        <v>1</v>
      </c>
      <c r="G2476" s="106" t="str">
        <f>SUMIFS(Cast!C:C,CastElements,A2476)</f>
        <v>0</v>
      </c>
      <c r="H2476" s="106" t="str">
        <f t="shared" si="4"/>
        <v>1</v>
      </c>
      <c r="I2476" s="106" t="str">
        <f>SUMIFS(Del!C:C,Del!B:B,A2476)</f>
        <v>0</v>
      </c>
      <c r="J2476" s="106" t="str">
        <f t="shared" si="5"/>
        <v>1</v>
      </c>
      <c r="K2476" s="106" t="str">
        <f t="shared" si="6"/>
        <v>0</v>
      </c>
      <c r="L2476" s="106"/>
      <c r="M2476" s="106" t="str">
        <f>SUMIFS(Ere!C:C,Ere!B:B,A2476)</f>
        <v>0</v>
      </c>
      <c r="N2476" s="106" t="str">
        <f t="shared" si="7"/>
        <v>1</v>
      </c>
      <c r="O2476" s="107" t="str">
        <f t="array" ref="O2476">XLOOKUP(A2476,Data!F:F,Data!O:O)</f>
        <v>  2.12 </v>
      </c>
      <c r="P2476" s="107" t="str">
        <f t="shared" si="8"/>
        <v>  5.30 </v>
      </c>
      <c r="Q2476" s="27"/>
    </row>
    <row r="2477" ht="15.75" customHeight="1">
      <c r="A2477" s="113" t="s">
        <v>2721</v>
      </c>
      <c r="B2477" s="19" t="str">
        <f t="array" ref="B2477">XLOOKUP(A2477,Data!F:F,Data!G:G)</f>
        <v>J3B</v>
      </c>
      <c r="C2477" s="19" t="str">
        <f t="shared" si="3"/>
        <v>J042</v>
      </c>
      <c r="D2477" s="19" t="str">
        <f t="array" ref="D2477">XLOOKUP(A2477,Data!F:F,Data!C:C)</f>
        <v/>
      </c>
      <c r="E2477" s="19" t="str">
        <f t="array" ref="E2477">XLOOKUP(A2477,Data!F:F,Data!H:H)</f>
        <v/>
      </c>
      <c r="F2477" s="106" t="str">
        <f>SUMIFS(Data!J:J,Data!F:F,A2477)</f>
        <v>1</v>
      </c>
      <c r="G2477" s="106" t="str">
        <f>SUMIFS(Cast!C:C,CastElements,A2477)</f>
        <v>0</v>
      </c>
      <c r="H2477" s="106" t="str">
        <f t="shared" si="4"/>
        <v>1</v>
      </c>
      <c r="I2477" s="106" t="str">
        <f>SUMIFS(Del!C:C,Del!B:B,A2477)</f>
        <v>0</v>
      </c>
      <c r="J2477" s="106" t="str">
        <f t="shared" si="5"/>
        <v>1</v>
      </c>
      <c r="K2477" s="106" t="str">
        <f t="shared" si="6"/>
        <v>0</v>
      </c>
      <c r="L2477" s="106"/>
      <c r="M2477" s="106" t="str">
        <f>SUMIFS(Ere!C:C,Ere!B:B,A2477)</f>
        <v>0</v>
      </c>
      <c r="N2477" s="106" t="str">
        <f t="shared" si="7"/>
        <v>1</v>
      </c>
      <c r="O2477" s="107" t="str">
        <f t="array" ref="O2477">XLOOKUP(A2477,Data!F:F,Data!O:O)</f>
        <v>  2.12 </v>
      </c>
      <c r="P2477" s="107" t="str">
        <f t="shared" si="8"/>
        <v>  5.30 </v>
      </c>
      <c r="Q2477" s="27"/>
    </row>
    <row r="2478" ht="15.75" customHeight="1">
      <c r="A2478" s="113" t="s">
        <v>2722</v>
      </c>
      <c r="B2478" s="19" t="str">
        <f t="array" ref="B2478">XLOOKUP(A2478,Data!F:F,Data!G:G)</f>
        <v>J3B</v>
      </c>
      <c r="C2478" s="19" t="str">
        <f t="shared" si="3"/>
        <v>J042</v>
      </c>
      <c r="D2478" s="19" t="str">
        <f t="array" ref="D2478">XLOOKUP(A2478,Data!F:F,Data!C:C)</f>
        <v/>
      </c>
      <c r="E2478" s="19" t="str">
        <f t="array" ref="E2478">XLOOKUP(A2478,Data!F:F,Data!H:H)</f>
        <v/>
      </c>
      <c r="F2478" s="106" t="str">
        <f>SUMIFS(Data!J:J,Data!F:F,A2478)</f>
        <v>1</v>
      </c>
      <c r="G2478" s="106" t="str">
        <f>SUMIFS(Cast!C:C,CastElements,A2478)</f>
        <v>0</v>
      </c>
      <c r="H2478" s="106" t="str">
        <f t="shared" si="4"/>
        <v>1</v>
      </c>
      <c r="I2478" s="106" t="str">
        <f>SUMIFS(Del!C:C,Del!B:B,A2478)</f>
        <v>0</v>
      </c>
      <c r="J2478" s="106" t="str">
        <f t="shared" si="5"/>
        <v>1</v>
      </c>
      <c r="K2478" s="106" t="str">
        <f t="shared" si="6"/>
        <v>0</v>
      </c>
      <c r="L2478" s="106"/>
      <c r="M2478" s="106" t="str">
        <f>SUMIFS(Ere!C:C,Ere!B:B,A2478)</f>
        <v>0</v>
      </c>
      <c r="N2478" s="106" t="str">
        <f t="shared" si="7"/>
        <v>1</v>
      </c>
      <c r="O2478" s="107" t="str">
        <f t="array" ref="O2478">XLOOKUP(A2478,Data!F:F,Data!O:O)</f>
        <v/>
      </c>
      <c r="P2478" s="107" t="str">
        <f t="shared" si="8"/>
        <v>  -   </v>
      </c>
      <c r="Q2478" s="27"/>
    </row>
    <row r="2479" ht="15.75" customHeight="1">
      <c r="A2479" s="113" t="s">
        <v>2723</v>
      </c>
      <c r="B2479" s="19" t="str">
        <f t="array" ref="B2479">XLOOKUP(A2479,Data!F:F,Data!G:G)</f>
        <v>J3B</v>
      </c>
      <c r="C2479" s="19" t="str">
        <f t="shared" si="3"/>
        <v>J042</v>
      </c>
      <c r="D2479" s="19" t="str">
        <f t="array" ref="D2479">XLOOKUP(A2479,Data!F:F,Data!C:C)</f>
        <v/>
      </c>
      <c r="E2479" s="19" t="str">
        <f t="array" ref="E2479">XLOOKUP(A2479,Data!F:F,Data!H:H)</f>
        <v/>
      </c>
      <c r="F2479" s="106" t="str">
        <f>SUMIFS(Data!J:J,Data!F:F,A2479)</f>
        <v>0</v>
      </c>
      <c r="G2479" s="106" t="str">
        <f>SUMIFS(Cast!C:C,CastElements,A2479)</f>
        <v>0</v>
      </c>
      <c r="H2479" s="106" t="str">
        <f t="shared" si="4"/>
        <v>0</v>
      </c>
      <c r="I2479" s="106" t="str">
        <f>SUMIFS(Del!C:C,Del!B:B,A2479)</f>
        <v>0</v>
      </c>
      <c r="J2479" s="106" t="str">
        <f t="shared" si="5"/>
        <v>0</v>
      </c>
      <c r="K2479" s="106" t="str">
        <f t="shared" si="6"/>
        <v>0</v>
      </c>
      <c r="L2479" s="106"/>
      <c r="M2479" s="106" t="str">
        <f>SUMIFS(Ere!C:C,Ere!B:B,A2479)</f>
        <v>0</v>
      </c>
      <c r="N2479" s="106" t="str">
        <f t="shared" si="7"/>
        <v>0</v>
      </c>
      <c r="O2479" s="107" t="str">
        <f t="array" ref="O2479">XLOOKUP(A2479,Data!F:F,Data!O:O)</f>
        <v/>
      </c>
      <c r="P2479" s="107" t="str">
        <f t="shared" si="8"/>
        <v>  -   </v>
      </c>
      <c r="Q2479" s="27"/>
    </row>
    <row r="2480" ht="15.75" customHeight="1">
      <c r="A2480" s="113" t="s">
        <v>2724</v>
      </c>
      <c r="B2480" s="19" t="str">
        <f t="array" ref="B2480">XLOOKUP(A2480,Data!F:F,Data!G:G)</f>
        <v>J3B</v>
      </c>
      <c r="C2480" s="19" t="str">
        <f t="shared" si="3"/>
        <v>J042</v>
      </c>
      <c r="D2480" s="19" t="str">
        <f t="array" ref="D2480">XLOOKUP(A2480,Data!F:F,Data!C:C)</f>
        <v/>
      </c>
      <c r="E2480" s="19" t="str">
        <f t="array" ref="E2480">XLOOKUP(A2480,Data!F:F,Data!H:H)</f>
        <v/>
      </c>
      <c r="F2480" s="106" t="str">
        <f>SUMIFS(Data!J:J,Data!F:F,A2480)</f>
        <v>1</v>
      </c>
      <c r="G2480" s="106" t="str">
        <f>SUMIFS(Cast!C:C,CastElements,A2480)</f>
        <v>0</v>
      </c>
      <c r="H2480" s="106" t="str">
        <f t="shared" si="4"/>
        <v>1</v>
      </c>
      <c r="I2480" s="106" t="str">
        <f>SUMIFS(Del!C:C,Del!B:B,A2480)</f>
        <v>0</v>
      </c>
      <c r="J2480" s="106" t="str">
        <f t="shared" si="5"/>
        <v>1</v>
      </c>
      <c r="K2480" s="106" t="str">
        <f t="shared" si="6"/>
        <v>0</v>
      </c>
      <c r="L2480" s="106"/>
      <c r="M2480" s="106" t="str">
        <f>SUMIFS(Ere!C:C,Ere!B:B,A2480)</f>
        <v>0</v>
      </c>
      <c r="N2480" s="106" t="str">
        <f t="shared" si="7"/>
        <v>1</v>
      </c>
      <c r="O2480" s="107" t="str">
        <f t="array" ref="O2480">XLOOKUP(A2480,Data!F:F,Data!O:O)</f>
        <v>  2.12 </v>
      </c>
      <c r="P2480" s="107" t="str">
        <f t="shared" si="8"/>
        <v>  5.30 </v>
      </c>
      <c r="Q2480" s="27"/>
    </row>
    <row r="2481" ht="15.75" customHeight="1">
      <c r="A2481" s="113" t="s">
        <v>2725</v>
      </c>
      <c r="B2481" s="19" t="str">
        <f t="array" ref="B2481">XLOOKUP(A2481,Data!F:F,Data!G:G)</f>
        <v>J3B</v>
      </c>
      <c r="C2481" s="19" t="str">
        <f t="shared" si="3"/>
        <v>J042</v>
      </c>
      <c r="D2481" s="19" t="str">
        <f t="array" ref="D2481">XLOOKUP(A2481,Data!F:F,Data!C:C)</f>
        <v/>
      </c>
      <c r="E2481" s="19" t="str">
        <f t="array" ref="E2481">XLOOKUP(A2481,Data!F:F,Data!H:H)</f>
        <v/>
      </c>
      <c r="F2481" s="106" t="str">
        <f>SUMIFS(Data!J:J,Data!F:F,A2481)</f>
        <v>1</v>
      </c>
      <c r="G2481" s="106" t="str">
        <f>SUMIFS(Cast!C:C,CastElements,A2481)</f>
        <v>0</v>
      </c>
      <c r="H2481" s="106" t="str">
        <f t="shared" si="4"/>
        <v>1</v>
      </c>
      <c r="I2481" s="106" t="str">
        <f>SUMIFS(Del!C:C,Del!B:B,A2481)</f>
        <v>0</v>
      </c>
      <c r="J2481" s="106" t="str">
        <f t="shared" si="5"/>
        <v>1</v>
      </c>
      <c r="K2481" s="106" t="str">
        <f t="shared" si="6"/>
        <v>0</v>
      </c>
      <c r="L2481" s="106"/>
      <c r="M2481" s="106" t="str">
        <f>SUMIFS(Ere!C:C,Ere!B:B,A2481)</f>
        <v>0</v>
      </c>
      <c r="N2481" s="106" t="str">
        <f t="shared" si="7"/>
        <v>1</v>
      </c>
      <c r="O2481" s="107" t="str">
        <f t="array" ref="O2481">XLOOKUP(A2481,Data!F:F,Data!O:O)</f>
        <v>  2.12 </v>
      </c>
      <c r="P2481" s="107" t="str">
        <f t="shared" si="8"/>
        <v>  5.30 </v>
      </c>
      <c r="Q2481" s="27"/>
    </row>
    <row r="2482" ht="15.75" customHeight="1">
      <c r="A2482" s="113" t="s">
        <v>2726</v>
      </c>
      <c r="B2482" s="19" t="str">
        <f t="array" ref="B2482">XLOOKUP(A2482,Data!F:F,Data!G:G)</f>
        <v>J3B</v>
      </c>
      <c r="C2482" s="19" t="str">
        <f t="shared" si="3"/>
        <v>J042</v>
      </c>
      <c r="D2482" s="19" t="str">
        <f t="array" ref="D2482">XLOOKUP(A2482,Data!F:F,Data!C:C)</f>
        <v/>
      </c>
      <c r="E2482" s="19" t="str">
        <f t="array" ref="E2482">XLOOKUP(A2482,Data!F:F,Data!H:H)</f>
        <v/>
      </c>
      <c r="F2482" s="106" t="str">
        <f>SUMIFS(Data!J:J,Data!F:F,A2482)</f>
        <v>1</v>
      </c>
      <c r="G2482" s="106" t="str">
        <f>SUMIFS(Cast!C:C,CastElements,A2482)</f>
        <v>0</v>
      </c>
      <c r="H2482" s="106" t="str">
        <f t="shared" si="4"/>
        <v>1</v>
      </c>
      <c r="I2482" s="106" t="str">
        <f>SUMIFS(Del!C:C,Del!B:B,A2482)</f>
        <v>0</v>
      </c>
      <c r="J2482" s="106" t="str">
        <f t="shared" si="5"/>
        <v>1</v>
      </c>
      <c r="K2482" s="106" t="str">
        <f t="shared" si="6"/>
        <v>0</v>
      </c>
      <c r="L2482" s="106"/>
      <c r="M2482" s="106" t="str">
        <f>SUMIFS(Ere!C:C,Ere!B:B,A2482)</f>
        <v>0</v>
      </c>
      <c r="N2482" s="106" t="str">
        <f t="shared" si="7"/>
        <v>1</v>
      </c>
      <c r="O2482" s="107" t="str">
        <f t="array" ref="O2482">XLOOKUP(A2482,Data!F:F,Data!O:O)</f>
        <v>  2.12 </v>
      </c>
      <c r="P2482" s="107" t="str">
        <f t="shared" si="8"/>
        <v>  5.30 </v>
      </c>
      <c r="Q2482" s="27"/>
    </row>
    <row r="2483" ht="15.75" customHeight="1">
      <c r="A2483" s="113" t="s">
        <v>2727</v>
      </c>
      <c r="B2483" s="19" t="str">
        <f t="array" ref="B2483">XLOOKUP(A2483,Data!F:F,Data!G:G)</f>
        <v>J3B</v>
      </c>
      <c r="C2483" s="19" t="str">
        <f t="shared" si="3"/>
        <v>J042</v>
      </c>
      <c r="D2483" s="19" t="str">
        <f t="array" ref="D2483">XLOOKUP(A2483,Data!F:F,Data!C:C)</f>
        <v/>
      </c>
      <c r="E2483" s="19" t="str">
        <f t="array" ref="E2483">XLOOKUP(A2483,Data!F:F,Data!H:H)</f>
        <v/>
      </c>
      <c r="F2483" s="106" t="str">
        <f>SUMIFS(Data!J:J,Data!F:F,A2483)</f>
        <v>1</v>
      </c>
      <c r="G2483" s="106" t="str">
        <f>SUMIFS(Cast!C:C,CastElements,A2483)</f>
        <v>0</v>
      </c>
      <c r="H2483" s="106" t="str">
        <f t="shared" si="4"/>
        <v>1</v>
      </c>
      <c r="I2483" s="106" t="str">
        <f>SUMIFS(Del!C:C,Del!B:B,A2483)</f>
        <v>0</v>
      </c>
      <c r="J2483" s="106" t="str">
        <f t="shared" si="5"/>
        <v>1</v>
      </c>
      <c r="K2483" s="106" t="str">
        <f t="shared" si="6"/>
        <v>0</v>
      </c>
      <c r="L2483" s="106"/>
      <c r="M2483" s="106" t="str">
        <f>SUMIFS(Ere!C:C,Ere!B:B,A2483)</f>
        <v>0</v>
      </c>
      <c r="N2483" s="106" t="str">
        <f t="shared" si="7"/>
        <v>1</v>
      </c>
      <c r="O2483" s="107" t="str">
        <f t="array" ref="O2483">XLOOKUP(A2483,Data!F:F,Data!O:O)</f>
        <v>  2.25 </v>
      </c>
      <c r="P2483" s="107" t="str">
        <f t="shared" si="8"/>
        <v>  5.63 </v>
      </c>
      <c r="Q2483" s="27"/>
    </row>
    <row r="2484" ht="15.75" customHeight="1">
      <c r="A2484" s="113" t="s">
        <v>2728</v>
      </c>
      <c r="B2484" s="19" t="str">
        <f t="array" ref="B2484">XLOOKUP(A2484,Data!F:F,Data!G:G)</f>
        <v>J3B</v>
      </c>
      <c r="C2484" s="19" t="str">
        <f t="shared" si="3"/>
        <v>J042</v>
      </c>
      <c r="D2484" s="19" t="str">
        <f t="array" ref="D2484">XLOOKUP(A2484,Data!F:F,Data!C:C)</f>
        <v/>
      </c>
      <c r="E2484" s="19" t="str">
        <f t="array" ref="E2484">XLOOKUP(A2484,Data!F:F,Data!H:H)</f>
        <v/>
      </c>
      <c r="F2484" s="106" t="str">
        <f>SUMIFS(Data!J:J,Data!F:F,A2484)</f>
        <v>0</v>
      </c>
      <c r="G2484" s="106" t="str">
        <f>SUMIFS(Cast!C:C,CastElements,A2484)</f>
        <v>0</v>
      </c>
      <c r="H2484" s="106" t="str">
        <f t="shared" si="4"/>
        <v>0</v>
      </c>
      <c r="I2484" s="106" t="str">
        <f>SUMIFS(Del!C:C,Del!B:B,A2484)</f>
        <v>0</v>
      </c>
      <c r="J2484" s="106" t="str">
        <f t="shared" si="5"/>
        <v>0</v>
      </c>
      <c r="K2484" s="106" t="str">
        <f t="shared" si="6"/>
        <v>0</v>
      </c>
      <c r="L2484" s="106"/>
      <c r="M2484" s="106" t="str">
        <f>SUMIFS(Ere!C:C,Ere!B:B,A2484)</f>
        <v>0</v>
      </c>
      <c r="N2484" s="106" t="str">
        <f t="shared" si="7"/>
        <v>0</v>
      </c>
      <c r="O2484" s="107" t="str">
        <f t="array" ref="O2484">XLOOKUP(A2484,Data!F:F,Data!O:O)</f>
        <v/>
      </c>
      <c r="P2484" s="107" t="str">
        <f t="shared" si="8"/>
        <v>  -   </v>
      </c>
      <c r="Q2484" s="27"/>
    </row>
    <row r="2485" ht="15.75" customHeight="1">
      <c r="A2485" s="113" t="s">
        <v>2729</v>
      </c>
      <c r="B2485" s="19" t="str">
        <f t="array" ref="B2485">XLOOKUP(A2485,Data!F:F,Data!G:G)</f>
        <v>J3B</v>
      </c>
      <c r="C2485" s="19" t="str">
        <f t="shared" si="3"/>
        <v>J042</v>
      </c>
      <c r="D2485" s="19" t="str">
        <f t="array" ref="D2485">XLOOKUP(A2485,Data!F:F,Data!C:C)</f>
        <v/>
      </c>
      <c r="E2485" s="19" t="str">
        <f t="array" ref="E2485">XLOOKUP(A2485,Data!F:F,Data!H:H)</f>
        <v/>
      </c>
      <c r="F2485" s="106" t="str">
        <f>SUMIFS(Data!J:J,Data!F:F,A2485)</f>
        <v>1</v>
      </c>
      <c r="G2485" s="106" t="str">
        <f>SUMIFS(Cast!C:C,CastElements,A2485)</f>
        <v>0</v>
      </c>
      <c r="H2485" s="106" t="str">
        <f t="shared" si="4"/>
        <v>1</v>
      </c>
      <c r="I2485" s="106" t="str">
        <f>SUMIFS(Del!C:C,Del!B:B,A2485)</f>
        <v>0</v>
      </c>
      <c r="J2485" s="106" t="str">
        <f t="shared" si="5"/>
        <v>1</v>
      </c>
      <c r="K2485" s="106" t="str">
        <f t="shared" si="6"/>
        <v>0</v>
      </c>
      <c r="L2485" s="106"/>
      <c r="M2485" s="106" t="str">
        <f>SUMIFS(Ere!C:C,Ere!B:B,A2485)</f>
        <v>0</v>
      </c>
      <c r="N2485" s="106" t="str">
        <f t="shared" si="7"/>
        <v>1</v>
      </c>
      <c r="O2485" s="107" t="str">
        <f t="array" ref="O2485">XLOOKUP(A2485,Data!F:F,Data!O:O)</f>
        <v>  0.47 </v>
      </c>
      <c r="P2485" s="107" t="str">
        <f t="shared" si="8"/>
        <v>  1.18 </v>
      </c>
      <c r="Q2485" s="27"/>
    </row>
    <row r="2486" ht="15.75" customHeight="1">
      <c r="A2486" s="113" t="s">
        <v>2730</v>
      </c>
      <c r="B2486" s="19" t="str">
        <f t="array" ref="B2486">XLOOKUP(A2486,Data!F:F,Data!G:G)</f>
        <v>J3B</v>
      </c>
      <c r="C2486" s="19" t="str">
        <f t="shared" si="3"/>
        <v>J042</v>
      </c>
      <c r="D2486" s="19" t="str">
        <f t="array" ref="D2486">XLOOKUP(A2486,Data!F:F,Data!C:C)</f>
        <v/>
      </c>
      <c r="E2486" s="19" t="str">
        <f t="array" ref="E2486">XLOOKUP(A2486,Data!F:F,Data!H:H)</f>
        <v/>
      </c>
      <c r="F2486" s="106" t="str">
        <f>SUMIFS(Data!J:J,Data!F:F,A2486)</f>
        <v>1</v>
      </c>
      <c r="G2486" s="106" t="str">
        <f>SUMIFS(Cast!C:C,CastElements,A2486)</f>
        <v>0</v>
      </c>
      <c r="H2486" s="106" t="str">
        <f t="shared" si="4"/>
        <v>1</v>
      </c>
      <c r="I2486" s="106" t="str">
        <f>SUMIFS(Del!C:C,Del!B:B,A2486)</f>
        <v>0</v>
      </c>
      <c r="J2486" s="106" t="str">
        <f t="shared" si="5"/>
        <v>1</v>
      </c>
      <c r="K2486" s="106" t="str">
        <f t="shared" si="6"/>
        <v>0</v>
      </c>
      <c r="L2486" s="106"/>
      <c r="M2486" s="106" t="str">
        <f>SUMIFS(Ere!C:C,Ere!B:B,A2486)</f>
        <v>0</v>
      </c>
      <c r="N2486" s="106" t="str">
        <f t="shared" si="7"/>
        <v>1</v>
      </c>
      <c r="O2486" s="107" t="str">
        <f t="array" ref="O2486">XLOOKUP(A2486,Data!F:F,Data!O:O)</f>
        <v>  0.54 </v>
      </c>
      <c r="P2486" s="107" t="str">
        <f t="shared" si="8"/>
        <v>  1.36 </v>
      </c>
      <c r="Q2486" s="27"/>
    </row>
    <row r="2487" ht="15.75" customHeight="1">
      <c r="A2487" s="113" t="s">
        <v>2731</v>
      </c>
      <c r="B2487" s="19" t="str">
        <f t="array" ref="B2487">XLOOKUP(A2487,Data!F:F,Data!G:G)</f>
        <v>J3B</v>
      </c>
      <c r="C2487" s="19" t="str">
        <f t="shared" si="3"/>
        <v>J043</v>
      </c>
      <c r="D2487" s="19" t="str">
        <f t="array" ref="D2487">XLOOKUP(A2487,Data!F:F,Data!C:C)</f>
        <v>EXT</v>
      </c>
      <c r="E2487" s="19" t="str">
        <f t="array" ref="E2487">XLOOKUP(A2487,Data!F:F,Data!H:H)</f>
        <v/>
      </c>
      <c r="F2487" s="106" t="str">
        <f>SUMIFS(Data!J:J,Data!F:F,A2487)</f>
        <v>0</v>
      </c>
      <c r="G2487" s="106" t="str">
        <f>SUMIFS(Cast!C:C,CastElements,A2487)</f>
        <v>0</v>
      </c>
      <c r="H2487" s="106" t="str">
        <f t="shared" si="4"/>
        <v>0</v>
      </c>
      <c r="I2487" s="106" t="str">
        <f>SUMIFS(Del!C:C,Del!B:B,A2487)</f>
        <v>0</v>
      </c>
      <c r="J2487" s="106" t="str">
        <f t="shared" si="5"/>
        <v>0</v>
      </c>
      <c r="K2487" s="106" t="str">
        <f t="shared" si="6"/>
        <v>0</v>
      </c>
      <c r="L2487" s="106"/>
      <c r="M2487" s="106" t="str">
        <f>SUMIFS(Ere!C:C,Ere!B:B,A2487)</f>
        <v>0</v>
      </c>
      <c r="N2487" s="106" t="str">
        <f t="shared" si="7"/>
        <v>0</v>
      </c>
      <c r="O2487" s="107" t="str">
        <f t="array" ref="O2487">XLOOKUP(A2487,Data!F:F,Data!O:O)</f>
        <v/>
      </c>
      <c r="P2487" s="107" t="str">
        <f t="shared" si="8"/>
        <v>  -   </v>
      </c>
      <c r="Q2487" s="27"/>
    </row>
    <row r="2488" ht="15.75" customHeight="1">
      <c r="A2488" s="113" t="s">
        <v>2732</v>
      </c>
      <c r="B2488" s="19" t="str">
        <f t="array" ref="B2488">XLOOKUP(A2488,Data!F:F,Data!G:G)</f>
        <v>J3B</v>
      </c>
      <c r="C2488" s="19" t="str">
        <f t="shared" si="3"/>
        <v>J043</v>
      </c>
      <c r="D2488" s="19" t="str">
        <f t="array" ref="D2488">XLOOKUP(A2488,Data!F:F,Data!C:C)</f>
        <v/>
      </c>
      <c r="E2488" s="19" t="str">
        <f t="array" ref="E2488">XLOOKUP(A2488,Data!F:F,Data!H:H)</f>
        <v/>
      </c>
      <c r="F2488" s="106" t="str">
        <f>SUMIFS(Data!J:J,Data!F:F,A2488)</f>
        <v>1</v>
      </c>
      <c r="G2488" s="106" t="str">
        <f>SUMIFS(Cast!C:C,CastElements,A2488)</f>
        <v>0</v>
      </c>
      <c r="H2488" s="106" t="str">
        <f t="shared" si="4"/>
        <v>1</v>
      </c>
      <c r="I2488" s="106" t="str">
        <f>SUMIFS(Del!C:C,Del!B:B,A2488)</f>
        <v>0</v>
      </c>
      <c r="J2488" s="106" t="str">
        <f t="shared" si="5"/>
        <v>1</v>
      </c>
      <c r="K2488" s="106" t="str">
        <f t="shared" si="6"/>
        <v>0</v>
      </c>
      <c r="L2488" s="106"/>
      <c r="M2488" s="106" t="str">
        <f>SUMIFS(Ere!C:C,Ere!B:B,A2488)</f>
        <v>0</v>
      </c>
      <c r="N2488" s="106" t="str">
        <f t="shared" si="7"/>
        <v>1</v>
      </c>
      <c r="O2488" s="107" t="str">
        <f t="array" ref="O2488">XLOOKUP(A2488,Data!F:F,Data!O:O)</f>
        <v>  1.58 </v>
      </c>
      <c r="P2488" s="107" t="str">
        <f t="shared" si="8"/>
        <v>  3.95 </v>
      </c>
      <c r="Q2488" s="27"/>
    </row>
    <row r="2489" ht="15.75" customHeight="1">
      <c r="A2489" s="113" t="s">
        <v>2733</v>
      </c>
      <c r="B2489" s="19" t="str">
        <f t="array" ref="B2489">XLOOKUP(A2489,Data!F:F,Data!G:G)</f>
        <v>J3B</v>
      </c>
      <c r="C2489" s="19" t="str">
        <f t="shared" si="3"/>
        <v>J043</v>
      </c>
      <c r="D2489" s="19" t="str">
        <f t="array" ref="D2489">XLOOKUP(A2489,Data!F:F,Data!C:C)</f>
        <v/>
      </c>
      <c r="E2489" s="19" t="str">
        <f t="array" ref="E2489">XLOOKUP(A2489,Data!F:F,Data!H:H)</f>
        <v/>
      </c>
      <c r="F2489" s="106" t="str">
        <f>SUMIFS(Data!J:J,Data!F:F,A2489)</f>
        <v>0</v>
      </c>
      <c r="G2489" s="106" t="str">
        <f>SUMIFS(Cast!C:C,CastElements,A2489)</f>
        <v>0</v>
      </c>
      <c r="H2489" s="106" t="str">
        <f t="shared" si="4"/>
        <v>0</v>
      </c>
      <c r="I2489" s="106" t="str">
        <f>SUMIFS(Del!C:C,Del!B:B,A2489)</f>
        <v>0</v>
      </c>
      <c r="J2489" s="106" t="str">
        <f t="shared" si="5"/>
        <v>0</v>
      </c>
      <c r="K2489" s="106" t="str">
        <f t="shared" si="6"/>
        <v>0</v>
      </c>
      <c r="L2489" s="106"/>
      <c r="M2489" s="106" t="str">
        <f>SUMIFS(Ere!C:C,Ere!B:B,A2489)</f>
        <v>0</v>
      </c>
      <c r="N2489" s="106" t="str">
        <f t="shared" si="7"/>
        <v>0</v>
      </c>
      <c r="O2489" s="107" t="str">
        <f t="array" ref="O2489">XLOOKUP(A2489,Data!F:F,Data!O:O)</f>
        <v/>
      </c>
      <c r="P2489" s="107" t="str">
        <f t="shared" si="8"/>
        <v>  -   </v>
      </c>
      <c r="Q2489" s="27"/>
    </row>
    <row r="2490" ht="15.75" customHeight="1">
      <c r="A2490" s="113" t="s">
        <v>2734</v>
      </c>
      <c r="B2490" s="19" t="str">
        <f t="array" ref="B2490">XLOOKUP(A2490,Data!F:F,Data!G:G)</f>
        <v>J3B</v>
      </c>
      <c r="C2490" s="19" t="str">
        <f t="shared" si="3"/>
        <v>J043</v>
      </c>
      <c r="D2490" s="19" t="str">
        <f t="array" ref="D2490">XLOOKUP(A2490,Data!F:F,Data!C:C)</f>
        <v/>
      </c>
      <c r="E2490" s="19" t="str">
        <f t="array" ref="E2490">XLOOKUP(A2490,Data!F:F,Data!H:H)</f>
        <v/>
      </c>
      <c r="F2490" s="106" t="str">
        <f>SUMIFS(Data!J:J,Data!F:F,A2490)</f>
        <v>0</v>
      </c>
      <c r="G2490" s="106" t="str">
        <f>SUMIFS(Cast!C:C,CastElements,A2490)</f>
        <v>0</v>
      </c>
      <c r="H2490" s="106" t="str">
        <f t="shared" si="4"/>
        <v>0</v>
      </c>
      <c r="I2490" s="106" t="str">
        <f>SUMIFS(Del!C:C,Del!B:B,A2490)</f>
        <v>0</v>
      </c>
      <c r="J2490" s="106" t="str">
        <f t="shared" si="5"/>
        <v>0</v>
      </c>
      <c r="K2490" s="106" t="str">
        <f t="shared" si="6"/>
        <v>0</v>
      </c>
      <c r="L2490" s="106"/>
      <c r="M2490" s="106" t="str">
        <f>SUMIFS(Ere!C:C,Ere!B:B,A2490)</f>
        <v>0</v>
      </c>
      <c r="N2490" s="106" t="str">
        <f t="shared" si="7"/>
        <v>0</v>
      </c>
      <c r="O2490" s="107" t="str">
        <f t="array" ref="O2490">XLOOKUP(A2490,Data!F:F,Data!O:O)</f>
        <v/>
      </c>
      <c r="P2490" s="107" t="str">
        <f t="shared" si="8"/>
        <v>  -   </v>
      </c>
      <c r="Q2490" s="27"/>
    </row>
    <row r="2491" ht="15.75" customHeight="1">
      <c r="A2491" s="113" t="s">
        <v>2735</v>
      </c>
      <c r="B2491" s="19" t="str">
        <f t="array" ref="B2491">XLOOKUP(A2491,Data!F:F,Data!G:G)</f>
        <v>J3B</v>
      </c>
      <c r="C2491" s="19" t="str">
        <f t="shared" si="3"/>
        <v>J043</v>
      </c>
      <c r="D2491" s="19" t="str">
        <f t="array" ref="D2491">XLOOKUP(A2491,Data!F:F,Data!C:C)</f>
        <v/>
      </c>
      <c r="E2491" s="19" t="str">
        <f t="array" ref="E2491">XLOOKUP(A2491,Data!F:F,Data!H:H)</f>
        <v/>
      </c>
      <c r="F2491" s="106" t="str">
        <f>SUMIFS(Data!J:J,Data!F:F,A2491)</f>
        <v>0</v>
      </c>
      <c r="G2491" s="106" t="str">
        <f>SUMIFS(Cast!C:C,CastElements,A2491)</f>
        <v>0</v>
      </c>
      <c r="H2491" s="106" t="str">
        <f t="shared" si="4"/>
        <v>0</v>
      </c>
      <c r="I2491" s="106" t="str">
        <f>SUMIFS(Del!C:C,Del!B:B,A2491)</f>
        <v>0</v>
      </c>
      <c r="J2491" s="106" t="str">
        <f t="shared" si="5"/>
        <v>0</v>
      </c>
      <c r="K2491" s="106" t="str">
        <f t="shared" si="6"/>
        <v>0</v>
      </c>
      <c r="L2491" s="106"/>
      <c r="M2491" s="106" t="str">
        <f>SUMIFS(Ere!C:C,Ere!B:B,A2491)</f>
        <v>0</v>
      </c>
      <c r="N2491" s="106" t="str">
        <f t="shared" si="7"/>
        <v>0</v>
      </c>
      <c r="O2491" s="107" t="str">
        <f t="array" ref="O2491">XLOOKUP(A2491,Data!F:F,Data!O:O)</f>
        <v/>
      </c>
      <c r="P2491" s="107" t="str">
        <f t="shared" si="8"/>
        <v>  -   </v>
      </c>
      <c r="Q2491" s="27"/>
    </row>
    <row r="2492" ht="15.75" customHeight="1">
      <c r="A2492" s="113" t="s">
        <v>2736</v>
      </c>
      <c r="B2492" s="19" t="str">
        <f t="array" ref="B2492">XLOOKUP(A2492,Data!F:F,Data!G:G)</f>
        <v>J3B</v>
      </c>
      <c r="C2492" s="19" t="str">
        <f t="shared" si="3"/>
        <v>J043</v>
      </c>
      <c r="D2492" s="19" t="str">
        <f t="array" ref="D2492">XLOOKUP(A2492,Data!F:F,Data!C:C)</f>
        <v/>
      </c>
      <c r="E2492" s="19" t="str">
        <f t="array" ref="E2492">XLOOKUP(A2492,Data!F:F,Data!H:H)</f>
        <v/>
      </c>
      <c r="F2492" s="106" t="str">
        <f>SUMIFS(Data!J:J,Data!F:F,A2492)</f>
        <v>0</v>
      </c>
      <c r="G2492" s="106" t="str">
        <f>SUMIFS(Cast!C:C,CastElements,A2492)</f>
        <v>0</v>
      </c>
      <c r="H2492" s="106" t="str">
        <f t="shared" si="4"/>
        <v>0</v>
      </c>
      <c r="I2492" s="106" t="str">
        <f>SUMIFS(Del!C:C,Del!B:B,A2492)</f>
        <v>0</v>
      </c>
      <c r="J2492" s="106" t="str">
        <f t="shared" si="5"/>
        <v>0</v>
      </c>
      <c r="K2492" s="106" t="str">
        <f t="shared" si="6"/>
        <v>0</v>
      </c>
      <c r="L2492" s="106"/>
      <c r="M2492" s="106" t="str">
        <f>SUMIFS(Ere!C:C,Ere!B:B,A2492)</f>
        <v>0</v>
      </c>
      <c r="N2492" s="106" t="str">
        <f t="shared" si="7"/>
        <v>0</v>
      </c>
      <c r="O2492" s="107" t="str">
        <f t="array" ref="O2492">XLOOKUP(A2492,Data!F:F,Data!O:O)</f>
        <v/>
      </c>
      <c r="P2492" s="107" t="str">
        <f t="shared" si="8"/>
        <v>  -   </v>
      </c>
      <c r="Q2492" s="27"/>
    </row>
    <row r="2493" ht="15.75" customHeight="1">
      <c r="A2493" s="113" t="s">
        <v>2737</v>
      </c>
      <c r="B2493" s="19" t="str">
        <f t="array" ref="B2493">XLOOKUP(A2493,Data!F:F,Data!G:G)</f>
        <v>J3B</v>
      </c>
      <c r="C2493" s="19" t="str">
        <f t="shared" si="3"/>
        <v>J043</v>
      </c>
      <c r="D2493" s="19" t="str">
        <f t="array" ref="D2493">XLOOKUP(A2493,Data!F:F,Data!C:C)</f>
        <v/>
      </c>
      <c r="E2493" s="19" t="str">
        <f t="array" ref="E2493">XLOOKUP(A2493,Data!F:F,Data!H:H)</f>
        <v/>
      </c>
      <c r="F2493" s="106" t="str">
        <f>SUMIFS(Data!J:J,Data!F:F,A2493)</f>
        <v>1</v>
      </c>
      <c r="G2493" s="106" t="str">
        <f>SUMIFS(Cast!C:C,CastElements,A2493)</f>
        <v>0</v>
      </c>
      <c r="H2493" s="106" t="str">
        <f t="shared" si="4"/>
        <v>1</v>
      </c>
      <c r="I2493" s="106" t="str">
        <f>SUMIFS(Del!C:C,Del!B:B,A2493)</f>
        <v>0</v>
      </c>
      <c r="J2493" s="106" t="str">
        <f t="shared" si="5"/>
        <v>1</v>
      </c>
      <c r="K2493" s="106" t="str">
        <f t="shared" si="6"/>
        <v>0</v>
      </c>
      <c r="L2493" s="106"/>
      <c r="M2493" s="106" t="str">
        <f>SUMIFS(Ere!C:C,Ere!B:B,A2493)</f>
        <v>0</v>
      </c>
      <c r="N2493" s="106" t="str">
        <f t="shared" si="7"/>
        <v>1</v>
      </c>
      <c r="O2493" s="107" t="str">
        <f t="array" ref="O2493">XLOOKUP(A2493,Data!F:F,Data!O:O)</f>
        <v>  1.77 </v>
      </c>
      <c r="P2493" s="107" t="str">
        <f t="shared" si="8"/>
        <v>  4.43 </v>
      </c>
      <c r="Q2493" s="27"/>
    </row>
    <row r="2494" ht="15.75" customHeight="1">
      <c r="A2494" s="113" t="s">
        <v>2738</v>
      </c>
      <c r="B2494" s="19" t="str">
        <f t="array" ref="B2494">XLOOKUP(A2494,Data!F:F,Data!G:G)</f>
        <v>J3B</v>
      </c>
      <c r="C2494" s="19" t="str">
        <f t="shared" si="3"/>
        <v>J043</v>
      </c>
      <c r="D2494" s="19" t="str">
        <f t="array" ref="D2494">XLOOKUP(A2494,Data!F:F,Data!C:C)</f>
        <v/>
      </c>
      <c r="E2494" s="19" t="str">
        <f t="array" ref="E2494">XLOOKUP(A2494,Data!F:F,Data!H:H)</f>
        <v/>
      </c>
      <c r="F2494" s="106" t="str">
        <f>SUMIFS(Data!J:J,Data!F:F,A2494)</f>
        <v>0</v>
      </c>
      <c r="G2494" s="106" t="str">
        <f>SUMIFS(Cast!C:C,CastElements,A2494)</f>
        <v>0</v>
      </c>
      <c r="H2494" s="106" t="str">
        <f t="shared" si="4"/>
        <v>0</v>
      </c>
      <c r="I2494" s="106" t="str">
        <f>SUMIFS(Del!C:C,Del!B:B,A2494)</f>
        <v>0</v>
      </c>
      <c r="J2494" s="106" t="str">
        <f t="shared" si="5"/>
        <v>0</v>
      </c>
      <c r="K2494" s="106" t="str">
        <f t="shared" si="6"/>
        <v>0</v>
      </c>
      <c r="L2494" s="106"/>
      <c r="M2494" s="106" t="str">
        <f>SUMIFS(Ere!C:C,Ere!B:B,A2494)</f>
        <v>0</v>
      </c>
      <c r="N2494" s="106" t="str">
        <f t="shared" si="7"/>
        <v>0</v>
      </c>
      <c r="O2494" s="107" t="str">
        <f t="array" ref="O2494">XLOOKUP(A2494,Data!F:F,Data!O:O)</f>
        <v/>
      </c>
      <c r="P2494" s="107" t="str">
        <f t="shared" si="8"/>
        <v>  -   </v>
      </c>
      <c r="Q2494" s="27"/>
    </row>
    <row r="2495" ht="15.75" customHeight="1">
      <c r="A2495" s="113" t="s">
        <v>2739</v>
      </c>
      <c r="B2495" s="19" t="str">
        <f t="array" ref="B2495">XLOOKUP(A2495,Data!F:F,Data!G:G)</f>
        <v>J3B</v>
      </c>
      <c r="C2495" s="19" t="str">
        <f t="shared" si="3"/>
        <v>J043</v>
      </c>
      <c r="D2495" s="19" t="str">
        <f t="array" ref="D2495">XLOOKUP(A2495,Data!F:F,Data!C:C)</f>
        <v/>
      </c>
      <c r="E2495" s="19" t="str">
        <f t="array" ref="E2495">XLOOKUP(A2495,Data!F:F,Data!H:H)</f>
        <v/>
      </c>
      <c r="F2495" s="106" t="str">
        <f>SUMIFS(Data!J:J,Data!F:F,A2495)</f>
        <v>0</v>
      </c>
      <c r="G2495" s="106" t="str">
        <f>SUMIFS(Cast!C:C,CastElements,A2495)</f>
        <v>0</v>
      </c>
      <c r="H2495" s="106" t="str">
        <f t="shared" si="4"/>
        <v>0</v>
      </c>
      <c r="I2495" s="106" t="str">
        <f>SUMIFS(Del!C:C,Del!B:B,A2495)</f>
        <v>0</v>
      </c>
      <c r="J2495" s="106" t="str">
        <f t="shared" si="5"/>
        <v>0</v>
      </c>
      <c r="K2495" s="106" t="str">
        <f t="shared" si="6"/>
        <v>0</v>
      </c>
      <c r="L2495" s="106"/>
      <c r="M2495" s="106" t="str">
        <f>SUMIFS(Ere!C:C,Ere!B:B,A2495)</f>
        <v>0</v>
      </c>
      <c r="N2495" s="106" t="str">
        <f t="shared" si="7"/>
        <v>0</v>
      </c>
      <c r="O2495" s="107" t="str">
        <f t="array" ref="O2495">XLOOKUP(A2495,Data!F:F,Data!O:O)</f>
        <v/>
      </c>
      <c r="P2495" s="107" t="str">
        <f t="shared" si="8"/>
        <v>  -   </v>
      </c>
      <c r="Q2495" s="27"/>
    </row>
    <row r="2496" ht="15.75" customHeight="1">
      <c r="A2496" s="113" t="s">
        <v>2740</v>
      </c>
      <c r="B2496" s="19" t="str">
        <f t="array" ref="B2496">XLOOKUP(A2496,Data!F:F,Data!G:G)</f>
        <v>J3B</v>
      </c>
      <c r="C2496" s="19" t="str">
        <f t="shared" si="3"/>
        <v>J043</v>
      </c>
      <c r="D2496" s="19" t="str">
        <f t="array" ref="D2496">XLOOKUP(A2496,Data!F:F,Data!C:C)</f>
        <v/>
      </c>
      <c r="E2496" s="19" t="str">
        <f t="array" ref="E2496">XLOOKUP(A2496,Data!F:F,Data!H:H)</f>
        <v/>
      </c>
      <c r="F2496" s="106" t="str">
        <f>SUMIFS(Data!J:J,Data!F:F,A2496)</f>
        <v>0</v>
      </c>
      <c r="G2496" s="106" t="str">
        <f>SUMIFS(Cast!C:C,CastElements,A2496)</f>
        <v>0</v>
      </c>
      <c r="H2496" s="106" t="str">
        <f t="shared" si="4"/>
        <v>0</v>
      </c>
      <c r="I2496" s="106" t="str">
        <f>SUMIFS(Del!C:C,Del!B:B,A2496)</f>
        <v>0</v>
      </c>
      <c r="J2496" s="106" t="str">
        <f t="shared" si="5"/>
        <v>0</v>
      </c>
      <c r="K2496" s="106" t="str">
        <f t="shared" si="6"/>
        <v>0</v>
      </c>
      <c r="L2496" s="106"/>
      <c r="M2496" s="106" t="str">
        <f>SUMIFS(Ere!C:C,Ere!B:B,A2496)</f>
        <v>0</v>
      </c>
      <c r="N2496" s="106" t="str">
        <f t="shared" si="7"/>
        <v>0</v>
      </c>
      <c r="O2496" s="107" t="str">
        <f t="array" ref="O2496">XLOOKUP(A2496,Data!F:F,Data!O:O)</f>
        <v/>
      </c>
      <c r="P2496" s="107" t="str">
        <f t="shared" si="8"/>
        <v>  -   </v>
      </c>
      <c r="Q2496" s="27"/>
    </row>
    <row r="2497" ht="15.75" customHeight="1">
      <c r="A2497" s="113" t="s">
        <v>2741</v>
      </c>
      <c r="B2497" s="19" t="str">
        <f t="array" ref="B2497">XLOOKUP(A2497,Data!F:F,Data!G:G)</f>
        <v>J3B</v>
      </c>
      <c r="C2497" s="19" t="str">
        <f t="shared" si="3"/>
        <v>J043</v>
      </c>
      <c r="D2497" s="19" t="str">
        <f t="array" ref="D2497">XLOOKUP(A2497,Data!F:F,Data!C:C)</f>
        <v/>
      </c>
      <c r="E2497" s="19" t="str">
        <f t="array" ref="E2497">XLOOKUP(A2497,Data!F:F,Data!H:H)</f>
        <v/>
      </c>
      <c r="F2497" s="106" t="str">
        <f>SUMIFS(Data!J:J,Data!F:F,A2497)</f>
        <v>0</v>
      </c>
      <c r="G2497" s="106" t="str">
        <f>SUMIFS(Cast!C:C,CastElements,A2497)</f>
        <v>0</v>
      </c>
      <c r="H2497" s="106" t="str">
        <f t="shared" si="4"/>
        <v>0</v>
      </c>
      <c r="I2497" s="106" t="str">
        <f>SUMIFS(Del!C:C,Del!B:B,A2497)</f>
        <v>0</v>
      </c>
      <c r="J2497" s="106" t="str">
        <f t="shared" si="5"/>
        <v>0</v>
      </c>
      <c r="K2497" s="106" t="str">
        <f t="shared" si="6"/>
        <v>0</v>
      </c>
      <c r="L2497" s="106"/>
      <c r="M2497" s="106" t="str">
        <f>SUMIFS(Ere!C:C,Ere!B:B,A2497)</f>
        <v>0</v>
      </c>
      <c r="N2497" s="106" t="str">
        <f t="shared" si="7"/>
        <v>0</v>
      </c>
      <c r="O2497" s="107" t="str">
        <f t="array" ref="O2497">XLOOKUP(A2497,Data!F:F,Data!O:O)</f>
        <v/>
      </c>
      <c r="P2497" s="107" t="str">
        <f t="shared" si="8"/>
        <v>  -   </v>
      </c>
      <c r="Q2497" s="27"/>
    </row>
    <row r="2498" ht="15.75" customHeight="1">
      <c r="A2498" s="113" t="s">
        <v>2742</v>
      </c>
      <c r="B2498" s="19" t="str">
        <f t="array" ref="B2498">XLOOKUP(A2498,Data!F:F,Data!G:G)</f>
        <v>J3B</v>
      </c>
      <c r="C2498" s="19" t="str">
        <f t="shared" si="3"/>
        <v>J043</v>
      </c>
      <c r="D2498" s="19" t="str">
        <f t="array" ref="D2498">XLOOKUP(A2498,Data!F:F,Data!C:C)</f>
        <v/>
      </c>
      <c r="E2498" s="19" t="str">
        <f t="array" ref="E2498">XLOOKUP(A2498,Data!F:F,Data!H:H)</f>
        <v/>
      </c>
      <c r="F2498" s="106" t="str">
        <f>SUMIFS(Data!J:J,Data!F:F,A2498)</f>
        <v>0</v>
      </c>
      <c r="G2498" s="106" t="str">
        <f>SUMIFS(Cast!C:C,CastElements,A2498)</f>
        <v>0</v>
      </c>
      <c r="H2498" s="106" t="str">
        <f t="shared" si="4"/>
        <v>0</v>
      </c>
      <c r="I2498" s="106" t="str">
        <f>SUMIFS(Del!C:C,Del!B:B,A2498)</f>
        <v>0</v>
      </c>
      <c r="J2498" s="106" t="str">
        <f t="shared" si="5"/>
        <v>0</v>
      </c>
      <c r="K2498" s="106" t="str">
        <f t="shared" si="6"/>
        <v>0</v>
      </c>
      <c r="L2498" s="106"/>
      <c r="M2498" s="106" t="str">
        <f>SUMIFS(Ere!C:C,Ere!B:B,A2498)</f>
        <v>0</v>
      </c>
      <c r="N2498" s="106" t="str">
        <f t="shared" si="7"/>
        <v>0</v>
      </c>
      <c r="O2498" s="107" t="str">
        <f t="array" ref="O2498">XLOOKUP(A2498,Data!F:F,Data!O:O)</f>
        <v/>
      </c>
      <c r="P2498" s="107" t="str">
        <f t="shared" si="8"/>
        <v>  -   </v>
      </c>
      <c r="Q2498" s="27"/>
    </row>
    <row r="2499" ht="15.75" customHeight="1">
      <c r="A2499" s="113" t="s">
        <v>2743</v>
      </c>
      <c r="B2499" s="19" t="str">
        <f t="array" ref="B2499">XLOOKUP(A2499,Data!F:F,Data!G:G)</f>
        <v>J3B</v>
      </c>
      <c r="C2499" s="19" t="str">
        <f t="shared" si="3"/>
        <v>J043</v>
      </c>
      <c r="D2499" s="19" t="str">
        <f t="array" ref="D2499">XLOOKUP(A2499,Data!F:F,Data!C:C)</f>
        <v/>
      </c>
      <c r="E2499" s="19" t="str">
        <f t="array" ref="E2499">XLOOKUP(A2499,Data!F:F,Data!H:H)</f>
        <v/>
      </c>
      <c r="F2499" s="106" t="str">
        <f>SUMIFS(Data!J:J,Data!F:F,A2499)</f>
        <v>0</v>
      </c>
      <c r="G2499" s="106" t="str">
        <f>SUMIFS(Cast!C:C,CastElements,A2499)</f>
        <v>0</v>
      </c>
      <c r="H2499" s="106" t="str">
        <f t="shared" si="4"/>
        <v>0</v>
      </c>
      <c r="I2499" s="106" t="str">
        <f>SUMIFS(Del!C:C,Del!B:B,A2499)</f>
        <v>0</v>
      </c>
      <c r="J2499" s="106" t="str">
        <f t="shared" si="5"/>
        <v>0</v>
      </c>
      <c r="K2499" s="106" t="str">
        <f t="shared" si="6"/>
        <v>0</v>
      </c>
      <c r="L2499" s="106"/>
      <c r="M2499" s="106" t="str">
        <f>SUMIFS(Ere!C:C,Ere!B:B,A2499)</f>
        <v>0</v>
      </c>
      <c r="N2499" s="106" t="str">
        <f t="shared" si="7"/>
        <v>0</v>
      </c>
      <c r="O2499" s="107" t="str">
        <f t="array" ref="O2499">XLOOKUP(A2499,Data!F:F,Data!O:O)</f>
        <v/>
      </c>
      <c r="P2499" s="107" t="str">
        <f t="shared" si="8"/>
        <v>  -   </v>
      </c>
      <c r="Q2499" s="27"/>
    </row>
    <row r="2500" ht="15.75" customHeight="1">
      <c r="A2500" s="113" t="s">
        <v>2744</v>
      </c>
      <c r="B2500" s="19" t="str">
        <f t="array" ref="B2500">XLOOKUP(A2500,Data!F:F,Data!G:G)</f>
        <v>J3B</v>
      </c>
      <c r="C2500" s="19" t="str">
        <f t="shared" si="3"/>
        <v>J043</v>
      </c>
      <c r="D2500" s="19" t="str">
        <f t="array" ref="D2500">XLOOKUP(A2500,Data!F:F,Data!C:C)</f>
        <v/>
      </c>
      <c r="E2500" s="19" t="str">
        <f t="array" ref="E2500">XLOOKUP(A2500,Data!F:F,Data!H:H)</f>
        <v/>
      </c>
      <c r="F2500" s="106" t="str">
        <f>SUMIFS(Data!J:J,Data!F:F,A2500)</f>
        <v>1</v>
      </c>
      <c r="G2500" s="106" t="str">
        <f>SUMIFS(Cast!C:C,CastElements,A2500)</f>
        <v>0</v>
      </c>
      <c r="H2500" s="106" t="str">
        <f t="shared" si="4"/>
        <v>1</v>
      </c>
      <c r="I2500" s="106" t="str">
        <f>SUMIFS(Del!C:C,Del!B:B,A2500)</f>
        <v>0</v>
      </c>
      <c r="J2500" s="106" t="str">
        <f t="shared" si="5"/>
        <v>1</v>
      </c>
      <c r="K2500" s="106" t="str">
        <f t="shared" si="6"/>
        <v>0</v>
      </c>
      <c r="L2500" s="106"/>
      <c r="M2500" s="106" t="str">
        <f>SUMIFS(Ere!C:C,Ere!B:B,A2500)</f>
        <v>0</v>
      </c>
      <c r="N2500" s="106" t="str">
        <f t="shared" si="7"/>
        <v>1</v>
      </c>
      <c r="O2500" s="107" t="str">
        <f t="array" ref="O2500">XLOOKUP(A2500,Data!F:F,Data!O:O)</f>
        <v>  0.51 </v>
      </c>
      <c r="P2500" s="107" t="str">
        <f t="shared" si="8"/>
        <v>  1.28 </v>
      </c>
      <c r="Q2500" s="27"/>
    </row>
    <row r="2501" ht="15.75" customHeight="1">
      <c r="A2501" s="113" t="s">
        <v>2745</v>
      </c>
      <c r="B2501" s="19" t="str">
        <f t="array" ref="B2501">XLOOKUP(A2501,Data!F:F,Data!G:G)</f>
        <v>J3B</v>
      </c>
      <c r="C2501" s="19" t="str">
        <f t="shared" si="3"/>
        <v>J044</v>
      </c>
      <c r="D2501" s="19" t="str">
        <f t="array" ref="D2501">XLOOKUP(A2501,Data!F:F,Data!C:C)</f>
        <v>EXT</v>
      </c>
      <c r="E2501" s="19" t="str">
        <f t="array" ref="E2501">XLOOKUP(A2501,Data!F:F,Data!H:H)</f>
        <v/>
      </c>
      <c r="F2501" s="106" t="str">
        <f>SUMIFS(Data!J:J,Data!F:F,A2501)</f>
        <v>0</v>
      </c>
      <c r="G2501" s="106" t="str">
        <f>SUMIFS(Cast!C:C,CastElements,A2501)</f>
        <v>0</v>
      </c>
      <c r="H2501" s="106" t="str">
        <f t="shared" si="4"/>
        <v>0</v>
      </c>
      <c r="I2501" s="106" t="str">
        <f>SUMIFS(Del!C:C,Del!B:B,A2501)</f>
        <v>0</v>
      </c>
      <c r="J2501" s="106" t="str">
        <f t="shared" si="5"/>
        <v>0</v>
      </c>
      <c r="K2501" s="106" t="str">
        <f t="shared" si="6"/>
        <v>0</v>
      </c>
      <c r="L2501" s="106"/>
      <c r="M2501" s="106" t="str">
        <f>SUMIFS(Ere!C:C,Ere!B:B,A2501)</f>
        <v>0</v>
      </c>
      <c r="N2501" s="106" t="str">
        <f t="shared" si="7"/>
        <v>0</v>
      </c>
      <c r="O2501" s="107" t="str">
        <f t="array" ref="O2501">XLOOKUP(A2501,Data!F:F,Data!O:O)</f>
        <v/>
      </c>
      <c r="P2501" s="107" t="str">
        <f t="shared" si="8"/>
        <v>  -   </v>
      </c>
      <c r="Q2501" s="27"/>
    </row>
    <row r="2502" ht="15.75" customHeight="1">
      <c r="A2502" s="113" t="s">
        <v>2746</v>
      </c>
      <c r="B2502" s="19" t="str">
        <f t="array" ref="B2502">XLOOKUP(A2502,Data!F:F,Data!G:G)</f>
        <v>J3B</v>
      </c>
      <c r="C2502" s="19" t="str">
        <f t="shared" si="3"/>
        <v>J044</v>
      </c>
      <c r="D2502" s="19" t="str">
        <f t="array" ref="D2502">XLOOKUP(A2502,Data!F:F,Data!C:C)</f>
        <v/>
      </c>
      <c r="E2502" s="19" t="str">
        <f t="array" ref="E2502">XLOOKUP(A2502,Data!F:F,Data!H:H)</f>
        <v/>
      </c>
      <c r="F2502" s="106" t="str">
        <f>SUMIFS(Data!J:J,Data!F:F,A2502)</f>
        <v>1</v>
      </c>
      <c r="G2502" s="106" t="str">
        <f>SUMIFS(Cast!C:C,CastElements,A2502)</f>
        <v>0</v>
      </c>
      <c r="H2502" s="106" t="str">
        <f t="shared" si="4"/>
        <v>1</v>
      </c>
      <c r="I2502" s="106" t="str">
        <f>SUMIFS(Del!C:C,Del!B:B,A2502)</f>
        <v>0</v>
      </c>
      <c r="J2502" s="106" t="str">
        <f t="shared" si="5"/>
        <v>1</v>
      </c>
      <c r="K2502" s="106" t="str">
        <f t="shared" si="6"/>
        <v>0</v>
      </c>
      <c r="L2502" s="106"/>
      <c r="M2502" s="106" t="str">
        <f>SUMIFS(Ere!C:C,Ere!B:B,A2502)</f>
        <v>0</v>
      </c>
      <c r="N2502" s="106" t="str">
        <f t="shared" si="7"/>
        <v>1</v>
      </c>
      <c r="O2502" s="107" t="str">
        <f t="array" ref="O2502">XLOOKUP(A2502,Data!F:F,Data!O:O)</f>
        <v>  1.60 </v>
      </c>
      <c r="P2502" s="107" t="str">
        <f t="shared" si="8"/>
        <v>  4.00 </v>
      </c>
      <c r="Q2502" s="27"/>
    </row>
    <row r="2503" ht="15.75" customHeight="1">
      <c r="A2503" s="113" t="s">
        <v>2747</v>
      </c>
      <c r="B2503" s="19" t="str">
        <f t="array" ref="B2503">XLOOKUP(A2503,Data!F:F,Data!G:G)</f>
        <v>J3B</v>
      </c>
      <c r="C2503" s="19" t="str">
        <f t="shared" si="3"/>
        <v>J044</v>
      </c>
      <c r="D2503" s="19" t="str">
        <f t="array" ref="D2503">XLOOKUP(A2503,Data!F:F,Data!C:C)</f>
        <v/>
      </c>
      <c r="E2503" s="19" t="str">
        <f t="array" ref="E2503">XLOOKUP(A2503,Data!F:F,Data!H:H)</f>
        <v/>
      </c>
      <c r="F2503" s="106" t="str">
        <f>SUMIFS(Data!J:J,Data!F:F,A2503)</f>
        <v>0</v>
      </c>
      <c r="G2503" s="106" t="str">
        <f>SUMIFS(Cast!C:C,CastElements,A2503)</f>
        <v>0</v>
      </c>
      <c r="H2503" s="106" t="str">
        <f t="shared" si="4"/>
        <v>0</v>
      </c>
      <c r="I2503" s="106" t="str">
        <f>SUMIFS(Del!C:C,Del!B:B,A2503)</f>
        <v>0</v>
      </c>
      <c r="J2503" s="106" t="str">
        <f t="shared" si="5"/>
        <v>0</v>
      </c>
      <c r="K2503" s="106" t="str">
        <f t="shared" si="6"/>
        <v>0</v>
      </c>
      <c r="L2503" s="106"/>
      <c r="M2503" s="106" t="str">
        <f>SUMIFS(Ere!C:C,Ere!B:B,A2503)</f>
        <v>0</v>
      </c>
      <c r="N2503" s="106" t="str">
        <f t="shared" si="7"/>
        <v>0</v>
      </c>
      <c r="O2503" s="107" t="str">
        <f t="array" ref="O2503">XLOOKUP(A2503,Data!F:F,Data!O:O)</f>
        <v/>
      </c>
      <c r="P2503" s="107" t="str">
        <f t="shared" si="8"/>
        <v>  -   </v>
      </c>
      <c r="Q2503" s="27"/>
    </row>
    <row r="2504" ht="15.75" customHeight="1">
      <c r="A2504" s="113" t="s">
        <v>2748</v>
      </c>
      <c r="B2504" s="19" t="str">
        <f t="array" ref="B2504">XLOOKUP(A2504,Data!F:F,Data!G:G)</f>
        <v>J3B</v>
      </c>
      <c r="C2504" s="19" t="str">
        <f t="shared" si="3"/>
        <v>J044</v>
      </c>
      <c r="D2504" s="19" t="str">
        <f t="array" ref="D2504">XLOOKUP(A2504,Data!F:F,Data!C:C)</f>
        <v/>
      </c>
      <c r="E2504" s="19" t="str">
        <f t="array" ref="E2504">XLOOKUP(A2504,Data!F:F,Data!H:H)</f>
        <v/>
      </c>
      <c r="F2504" s="106" t="str">
        <f>SUMIFS(Data!J:J,Data!F:F,A2504)</f>
        <v>0</v>
      </c>
      <c r="G2504" s="106" t="str">
        <f>SUMIFS(Cast!C:C,CastElements,A2504)</f>
        <v>0</v>
      </c>
      <c r="H2504" s="106" t="str">
        <f t="shared" si="4"/>
        <v>0</v>
      </c>
      <c r="I2504" s="106" t="str">
        <f>SUMIFS(Del!C:C,Del!B:B,A2504)</f>
        <v>0</v>
      </c>
      <c r="J2504" s="106" t="str">
        <f t="shared" si="5"/>
        <v>0</v>
      </c>
      <c r="K2504" s="106" t="str">
        <f t="shared" si="6"/>
        <v>0</v>
      </c>
      <c r="L2504" s="106"/>
      <c r="M2504" s="106" t="str">
        <f>SUMIFS(Ere!C:C,Ere!B:B,A2504)</f>
        <v>0</v>
      </c>
      <c r="N2504" s="106" t="str">
        <f t="shared" si="7"/>
        <v>0</v>
      </c>
      <c r="O2504" s="107" t="str">
        <f t="array" ref="O2504">XLOOKUP(A2504,Data!F:F,Data!O:O)</f>
        <v/>
      </c>
      <c r="P2504" s="107" t="str">
        <f t="shared" si="8"/>
        <v>  -   </v>
      </c>
      <c r="Q2504" s="27"/>
    </row>
    <row r="2505" ht="15.75" customHeight="1">
      <c r="A2505" s="113" t="s">
        <v>2749</v>
      </c>
      <c r="B2505" s="19" t="str">
        <f t="array" ref="B2505">XLOOKUP(A2505,Data!F:F,Data!G:G)</f>
        <v>J3B</v>
      </c>
      <c r="C2505" s="19" t="str">
        <f t="shared" si="3"/>
        <v>J044</v>
      </c>
      <c r="D2505" s="19" t="str">
        <f t="array" ref="D2505">XLOOKUP(A2505,Data!F:F,Data!C:C)</f>
        <v/>
      </c>
      <c r="E2505" s="19" t="str">
        <f t="array" ref="E2505">XLOOKUP(A2505,Data!F:F,Data!H:H)</f>
        <v/>
      </c>
      <c r="F2505" s="106" t="str">
        <f>SUMIFS(Data!J:J,Data!F:F,A2505)</f>
        <v>0</v>
      </c>
      <c r="G2505" s="106" t="str">
        <f>SUMIFS(Cast!C:C,CastElements,A2505)</f>
        <v>0</v>
      </c>
      <c r="H2505" s="106" t="str">
        <f t="shared" si="4"/>
        <v>0</v>
      </c>
      <c r="I2505" s="106" t="str">
        <f>SUMIFS(Del!C:C,Del!B:B,A2505)</f>
        <v>0</v>
      </c>
      <c r="J2505" s="106" t="str">
        <f t="shared" si="5"/>
        <v>0</v>
      </c>
      <c r="K2505" s="106" t="str">
        <f t="shared" si="6"/>
        <v>0</v>
      </c>
      <c r="L2505" s="106"/>
      <c r="M2505" s="106" t="str">
        <f>SUMIFS(Ere!C:C,Ere!B:B,A2505)</f>
        <v>0</v>
      </c>
      <c r="N2505" s="106" t="str">
        <f t="shared" si="7"/>
        <v>0</v>
      </c>
      <c r="O2505" s="107" t="str">
        <f t="array" ref="O2505">XLOOKUP(A2505,Data!F:F,Data!O:O)</f>
        <v/>
      </c>
      <c r="P2505" s="107" t="str">
        <f t="shared" si="8"/>
        <v>  -   </v>
      </c>
      <c r="Q2505" s="27"/>
    </row>
    <row r="2506" ht="15.75" customHeight="1">
      <c r="A2506" s="113" t="s">
        <v>2750</v>
      </c>
      <c r="B2506" s="19" t="str">
        <f t="array" ref="B2506">XLOOKUP(A2506,Data!F:F,Data!G:G)</f>
        <v>J3B</v>
      </c>
      <c r="C2506" s="19" t="str">
        <f t="shared" si="3"/>
        <v>J044</v>
      </c>
      <c r="D2506" s="19" t="str">
        <f t="array" ref="D2506">XLOOKUP(A2506,Data!F:F,Data!C:C)</f>
        <v/>
      </c>
      <c r="E2506" s="19" t="str">
        <f t="array" ref="E2506">XLOOKUP(A2506,Data!F:F,Data!H:H)</f>
        <v/>
      </c>
      <c r="F2506" s="106" t="str">
        <f>SUMIFS(Data!J:J,Data!F:F,A2506)</f>
        <v>0</v>
      </c>
      <c r="G2506" s="106" t="str">
        <f>SUMIFS(Cast!C:C,CastElements,A2506)</f>
        <v>0</v>
      </c>
      <c r="H2506" s="106" t="str">
        <f t="shared" si="4"/>
        <v>0</v>
      </c>
      <c r="I2506" s="106" t="str">
        <f>SUMIFS(Del!C:C,Del!B:B,A2506)</f>
        <v>0</v>
      </c>
      <c r="J2506" s="106" t="str">
        <f t="shared" si="5"/>
        <v>0</v>
      </c>
      <c r="K2506" s="106" t="str">
        <f t="shared" si="6"/>
        <v>0</v>
      </c>
      <c r="L2506" s="106"/>
      <c r="M2506" s="106" t="str">
        <f>SUMIFS(Ere!C:C,Ere!B:B,A2506)</f>
        <v>0</v>
      </c>
      <c r="N2506" s="106" t="str">
        <f t="shared" si="7"/>
        <v>0</v>
      </c>
      <c r="O2506" s="107" t="str">
        <f t="array" ref="O2506">XLOOKUP(A2506,Data!F:F,Data!O:O)</f>
        <v/>
      </c>
      <c r="P2506" s="107" t="str">
        <f t="shared" si="8"/>
        <v>  -   </v>
      </c>
      <c r="Q2506" s="27"/>
    </row>
    <row r="2507" ht="15.75" customHeight="1">
      <c r="A2507" s="113" t="s">
        <v>2751</v>
      </c>
      <c r="B2507" s="19" t="str">
        <f t="array" ref="B2507">XLOOKUP(A2507,Data!F:F,Data!G:G)</f>
        <v>J3B</v>
      </c>
      <c r="C2507" s="19" t="str">
        <f t="shared" si="3"/>
        <v>J044</v>
      </c>
      <c r="D2507" s="19" t="str">
        <f t="array" ref="D2507">XLOOKUP(A2507,Data!F:F,Data!C:C)</f>
        <v/>
      </c>
      <c r="E2507" s="19" t="str">
        <f t="array" ref="E2507">XLOOKUP(A2507,Data!F:F,Data!H:H)</f>
        <v/>
      </c>
      <c r="F2507" s="106" t="str">
        <f>SUMIFS(Data!J:J,Data!F:F,A2507)</f>
        <v>0</v>
      </c>
      <c r="G2507" s="106" t="str">
        <f>SUMIFS(Cast!C:C,CastElements,A2507)</f>
        <v>0</v>
      </c>
      <c r="H2507" s="106" t="str">
        <f t="shared" si="4"/>
        <v>0</v>
      </c>
      <c r="I2507" s="106" t="str">
        <f>SUMIFS(Del!C:C,Del!B:B,A2507)</f>
        <v>0</v>
      </c>
      <c r="J2507" s="106" t="str">
        <f t="shared" si="5"/>
        <v>0</v>
      </c>
      <c r="K2507" s="106" t="str">
        <f t="shared" si="6"/>
        <v>0</v>
      </c>
      <c r="L2507" s="106"/>
      <c r="M2507" s="106" t="str">
        <f>SUMIFS(Ere!C:C,Ere!B:B,A2507)</f>
        <v>0</v>
      </c>
      <c r="N2507" s="106" t="str">
        <f t="shared" si="7"/>
        <v>0</v>
      </c>
      <c r="O2507" s="107" t="str">
        <f t="array" ref="O2507">XLOOKUP(A2507,Data!F:F,Data!O:O)</f>
        <v/>
      </c>
      <c r="P2507" s="107" t="str">
        <f t="shared" si="8"/>
        <v>  -   </v>
      </c>
      <c r="Q2507" s="27"/>
    </row>
    <row r="2508" ht="15.75" customHeight="1">
      <c r="A2508" s="113" t="s">
        <v>2752</v>
      </c>
      <c r="B2508" s="19" t="str">
        <f t="array" ref="B2508">XLOOKUP(A2508,Data!F:F,Data!G:G)</f>
        <v>J3B</v>
      </c>
      <c r="C2508" s="19" t="str">
        <f t="shared" si="3"/>
        <v>J044</v>
      </c>
      <c r="D2508" s="19" t="str">
        <f t="array" ref="D2508">XLOOKUP(A2508,Data!F:F,Data!C:C)</f>
        <v/>
      </c>
      <c r="E2508" s="19" t="str">
        <f t="array" ref="E2508">XLOOKUP(A2508,Data!F:F,Data!H:H)</f>
        <v/>
      </c>
      <c r="F2508" s="106" t="str">
        <f>SUMIFS(Data!J:J,Data!F:F,A2508)</f>
        <v>1</v>
      </c>
      <c r="G2508" s="106" t="str">
        <f>SUMIFS(Cast!C:C,CastElements,A2508)</f>
        <v>0</v>
      </c>
      <c r="H2508" s="106" t="str">
        <f t="shared" si="4"/>
        <v>1</v>
      </c>
      <c r="I2508" s="106" t="str">
        <f>SUMIFS(Del!C:C,Del!B:B,A2508)</f>
        <v>0</v>
      </c>
      <c r="J2508" s="106" t="str">
        <f t="shared" si="5"/>
        <v>1</v>
      </c>
      <c r="K2508" s="106" t="str">
        <f t="shared" si="6"/>
        <v>0</v>
      </c>
      <c r="L2508" s="106"/>
      <c r="M2508" s="106" t="str">
        <f>SUMIFS(Ere!C:C,Ere!B:B,A2508)</f>
        <v>0</v>
      </c>
      <c r="N2508" s="106" t="str">
        <f t="shared" si="7"/>
        <v>1</v>
      </c>
      <c r="O2508" s="107" t="str">
        <f t="array" ref="O2508">XLOOKUP(A2508,Data!F:F,Data!O:O)</f>
        <v/>
      </c>
      <c r="P2508" s="107" t="str">
        <f t="shared" si="8"/>
        <v>  -   </v>
      </c>
      <c r="Q2508" s="27"/>
    </row>
    <row r="2509" ht="15.75" customHeight="1">
      <c r="A2509" s="113" t="s">
        <v>2753</v>
      </c>
      <c r="B2509" s="19" t="str">
        <f t="array" ref="B2509">XLOOKUP(A2509,Data!F:F,Data!G:G)</f>
        <v>J3B</v>
      </c>
      <c r="C2509" s="19" t="str">
        <f t="shared" si="3"/>
        <v>J044</v>
      </c>
      <c r="D2509" s="19" t="str">
        <f t="array" ref="D2509">XLOOKUP(A2509,Data!F:F,Data!C:C)</f>
        <v/>
      </c>
      <c r="E2509" s="19" t="str">
        <f t="array" ref="E2509">XLOOKUP(A2509,Data!F:F,Data!H:H)</f>
        <v/>
      </c>
      <c r="F2509" s="106" t="str">
        <f>SUMIFS(Data!J:J,Data!F:F,A2509)</f>
        <v>0</v>
      </c>
      <c r="G2509" s="106" t="str">
        <f>SUMIFS(Cast!C:C,CastElements,A2509)</f>
        <v>0</v>
      </c>
      <c r="H2509" s="106" t="str">
        <f t="shared" si="4"/>
        <v>0</v>
      </c>
      <c r="I2509" s="106" t="str">
        <f>SUMIFS(Del!C:C,Del!B:B,A2509)</f>
        <v>0</v>
      </c>
      <c r="J2509" s="106" t="str">
        <f t="shared" si="5"/>
        <v>0</v>
      </c>
      <c r="K2509" s="106" t="str">
        <f t="shared" si="6"/>
        <v>0</v>
      </c>
      <c r="L2509" s="106"/>
      <c r="M2509" s="106" t="str">
        <f>SUMIFS(Ere!C:C,Ere!B:B,A2509)</f>
        <v>0</v>
      </c>
      <c r="N2509" s="106" t="str">
        <f t="shared" si="7"/>
        <v>0</v>
      </c>
      <c r="O2509" s="107" t="str">
        <f t="array" ref="O2509">XLOOKUP(A2509,Data!F:F,Data!O:O)</f>
        <v/>
      </c>
      <c r="P2509" s="107" t="str">
        <f t="shared" si="8"/>
        <v>  -   </v>
      </c>
      <c r="Q2509" s="27"/>
    </row>
    <row r="2510" ht="15.75" customHeight="1">
      <c r="A2510" s="113" t="s">
        <v>2754</v>
      </c>
      <c r="B2510" s="19" t="str">
        <f t="array" ref="B2510">XLOOKUP(A2510,Data!F:F,Data!G:G)</f>
        <v>J3B</v>
      </c>
      <c r="C2510" s="19" t="str">
        <f t="shared" si="3"/>
        <v>J044</v>
      </c>
      <c r="D2510" s="19" t="str">
        <f t="array" ref="D2510">XLOOKUP(A2510,Data!F:F,Data!C:C)</f>
        <v/>
      </c>
      <c r="E2510" s="19" t="str">
        <f t="array" ref="E2510">XLOOKUP(A2510,Data!F:F,Data!H:H)</f>
        <v/>
      </c>
      <c r="F2510" s="106" t="str">
        <f>SUMIFS(Data!J:J,Data!F:F,A2510)</f>
        <v>0</v>
      </c>
      <c r="G2510" s="106" t="str">
        <f>SUMIFS(Cast!C:C,CastElements,A2510)</f>
        <v>0</v>
      </c>
      <c r="H2510" s="106" t="str">
        <f t="shared" si="4"/>
        <v>0</v>
      </c>
      <c r="I2510" s="106" t="str">
        <f>SUMIFS(Del!C:C,Del!B:B,A2510)</f>
        <v>0</v>
      </c>
      <c r="J2510" s="106" t="str">
        <f t="shared" si="5"/>
        <v>0</v>
      </c>
      <c r="K2510" s="106" t="str">
        <f t="shared" si="6"/>
        <v>0</v>
      </c>
      <c r="L2510" s="106"/>
      <c r="M2510" s="106" t="str">
        <f>SUMIFS(Ere!C:C,Ere!B:B,A2510)</f>
        <v>0</v>
      </c>
      <c r="N2510" s="106" t="str">
        <f t="shared" si="7"/>
        <v>0</v>
      </c>
      <c r="O2510" s="107" t="str">
        <f t="array" ref="O2510">XLOOKUP(A2510,Data!F:F,Data!O:O)</f>
        <v/>
      </c>
      <c r="P2510" s="107" t="str">
        <f t="shared" si="8"/>
        <v>  -   </v>
      </c>
      <c r="Q2510" s="27"/>
    </row>
    <row r="2511" ht="15.75" customHeight="1">
      <c r="A2511" s="113" t="s">
        <v>2755</v>
      </c>
      <c r="B2511" s="19" t="str">
        <f t="array" ref="B2511">XLOOKUP(A2511,Data!F:F,Data!G:G)</f>
        <v>J3B</v>
      </c>
      <c r="C2511" s="19" t="str">
        <f t="shared" si="3"/>
        <v>J044</v>
      </c>
      <c r="D2511" s="19" t="str">
        <f t="array" ref="D2511">XLOOKUP(A2511,Data!F:F,Data!C:C)</f>
        <v/>
      </c>
      <c r="E2511" s="19" t="str">
        <f t="array" ref="E2511">XLOOKUP(A2511,Data!F:F,Data!H:H)</f>
        <v/>
      </c>
      <c r="F2511" s="106" t="str">
        <f>SUMIFS(Data!J:J,Data!F:F,A2511)</f>
        <v>0</v>
      </c>
      <c r="G2511" s="106" t="str">
        <f>SUMIFS(Cast!C:C,CastElements,A2511)</f>
        <v>0</v>
      </c>
      <c r="H2511" s="106" t="str">
        <f t="shared" si="4"/>
        <v>0</v>
      </c>
      <c r="I2511" s="106" t="str">
        <f>SUMIFS(Del!C:C,Del!B:B,A2511)</f>
        <v>0</v>
      </c>
      <c r="J2511" s="106" t="str">
        <f t="shared" si="5"/>
        <v>0</v>
      </c>
      <c r="K2511" s="106" t="str">
        <f t="shared" si="6"/>
        <v>0</v>
      </c>
      <c r="L2511" s="106"/>
      <c r="M2511" s="106" t="str">
        <f>SUMIFS(Ere!C:C,Ere!B:B,A2511)</f>
        <v>0</v>
      </c>
      <c r="N2511" s="106" t="str">
        <f t="shared" si="7"/>
        <v>0</v>
      </c>
      <c r="O2511" s="107" t="str">
        <f t="array" ref="O2511">XLOOKUP(A2511,Data!F:F,Data!O:O)</f>
        <v/>
      </c>
      <c r="P2511" s="107" t="str">
        <f t="shared" si="8"/>
        <v>  -   </v>
      </c>
      <c r="Q2511" s="27"/>
    </row>
    <row r="2512" ht="15.75" customHeight="1">
      <c r="A2512" s="113" t="s">
        <v>2756</v>
      </c>
      <c r="B2512" s="19" t="str">
        <f t="array" ref="B2512">XLOOKUP(A2512,Data!F:F,Data!G:G)</f>
        <v>J3B</v>
      </c>
      <c r="C2512" s="19" t="str">
        <f t="shared" si="3"/>
        <v>J044</v>
      </c>
      <c r="D2512" s="19" t="str">
        <f t="array" ref="D2512">XLOOKUP(A2512,Data!F:F,Data!C:C)</f>
        <v/>
      </c>
      <c r="E2512" s="19" t="str">
        <f t="array" ref="E2512">XLOOKUP(A2512,Data!F:F,Data!H:H)</f>
        <v/>
      </c>
      <c r="F2512" s="106" t="str">
        <f>SUMIFS(Data!J:J,Data!F:F,A2512)</f>
        <v>0</v>
      </c>
      <c r="G2512" s="106" t="str">
        <f>SUMIFS(Cast!C:C,CastElements,A2512)</f>
        <v>0</v>
      </c>
      <c r="H2512" s="106" t="str">
        <f t="shared" si="4"/>
        <v>0</v>
      </c>
      <c r="I2512" s="106" t="str">
        <f>SUMIFS(Del!C:C,Del!B:B,A2512)</f>
        <v>0</v>
      </c>
      <c r="J2512" s="106" t="str">
        <f t="shared" si="5"/>
        <v>0</v>
      </c>
      <c r="K2512" s="106" t="str">
        <f t="shared" si="6"/>
        <v>0</v>
      </c>
      <c r="L2512" s="106"/>
      <c r="M2512" s="106" t="str">
        <f>SUMIFS(Ere!C:C,Ere!B:B,A2512)</f>
        <v>0</v>
      </c>
      <c r="N2512" s="106" t="str">
        <f t="shared" si="7"/>
        <v>0</v>
      </c>
      <c r="O2512" s="107" t="str">
        <f t="array" ref="O2512">XLOOKUP(A2512,Data!F:F,Data!O:O)</f>
        <v/>
      </c>
      <c r="P2512" s="107" t="str">
        <f t="shared" si="8"/>
        <v>  -   </v>
      </c>
      <c r="Q2512" s="27"/>
    </row>
    <row r="2513" ht="15.75" customHeight="1">
      <c r="A2513" s="113" t="s">
        <v>2757</v>
      </c>
      <c r="B2513" s="19" t="str">
        <f t="array" ref="B2513">XLOOKUP(A2513,Data!F:F,Data!G:G)</f>
        <v>J3B</v>
      </c>
      <c r="C2513" s="19" t="str">
        <f t="shared" si="3"/>
        <v>J044</v>
      </c>
      <c r="D2513" s="19" t="str">
        <f t="array" ref="D2513">XLOOKUP(A2513,Data!F:F,Data!C:C)</f>
        <v/>
      </c>
      <c r="E2513" s="19" t="str">
        <f t="array" ref="E2513">XLOOKUP(A2513,Data!F:F,Data!H:H)</f>
        <v/>
      </c>
      <c r="F2513" s="106" t="str">
        <f>SUMIFS(Data!J:J,Data!F:F,A2513)</f>
        <v>0</v>
      </c>
      <c r="G2513" s="106" t="str">
        <f>SUMIFS(Cast!C:C,CastElements,A2513)</f>
        <v>0</v>
      </c>
      <c r="H2513" s="106" t="str">
        <f t="shared" si="4"/>
        <v>0</v>
      </c>
      <c r="I2513" s="106" t="str">
        <f>SUMIFS(Del!C:C,Del!B:B,A2513)</f>
        <v>0</v>
      </c>
      <c r="J2513" s="106" t="str">
        <f t="shared" si="5"/>
        <v>0</v>
      </c>
      <c r="K2513" s="106" t="str">
        <f t="shared" si="6"/>
        <v>0</v>
      </c>
      <c r="L2513" s="106"/>
      <c r="M2513" s="106" t="str">
        <f>SUMIFS(Ere!C:C,Ere!B:B,A2513)</f>
        <v>0</v>
      </c>
      <c r="N2513" s="106" t="str">
        <f t="shared" si="7"/>
        <v>0</v>
      </c>
      <c r="O2513" s="107" t="str">
        <f t="array" ref="O2513">XLOOKUP(A2513,Data!F:F,Data!O:O)</f>
        <v/>
      </c>
      <c r="P2513" s="107" t="str">
        <f t="shared" si="8"/>
        <v>  -   </v>
      </c>
      <c r="Q2513" s="27"/>
    </row>
    <row r="2514" ht="15.75" customHeight="1">
      <c r="A2514" s="113" t="s">
        <v>2758</v>
      </c>
      <c r="B2514" s="19" t="str">
        <f t="array" ref="B2514">XLOOKUP(A2514,Data!F:F,Data!G:G)</f>
        <v>J3B</v>
      </c>
      <c r="C2514" s="19" t="str">
        <f t="shared" si="3"/>
        <v>J044</v>
      </c>
      <c r="D2514" s="19" t="str">
        <f t="array" ref="D2514">XLOOKUP(A2514,Data!F:F,Data!C:C)</f>
        <v/>
      </c>
      <c r="E2514" s="19" t="str">
        <f t="array" ref="E2514">XLOOKUP(A2514,Data!F:F,Data!H:H)</f>
        <v/>
      </c>
      <c r="F2514" s="106" t="str">
        <f>SUMIFS(Data!J:J,Data!F:F,A2514)</f>
        <v>0</v>
      </c>
      <c r="G2514" s="106" t="str">
        <f>SUMIFS(Cast!C:C,CastElements,A2514)</f>
        <v>0</v>
      </c>
      <c r="H2514" s="106" t="str">
        <f t="shared" si="4"/>
        <v>0</v>
      </c>
      <c r="I2514" s="106" t="str">
        <f>SUMIFS(Del!C:C,Del!B:B,A2514)</f>
        <v>0</v>
      </c>
      <c r="J2514" s="106" t="str">
        <f t="shared" si="5"/>
        <v>0</v>
      </c>
      <c r="K2514" s="106" t="str">
        <f t="shared" si="6"/>
        <v>0</v>
      </c>
      <c r="L2514" s="106"/>
      <c r="M2514" s="106" t="str">
        <f>SUMIFS(Ere!C:C,Ere!B:B,A2514)</f>
        <v>0</v>
      </c>
      <c r="N2514" s="106" t="str">
        <f t="shared" si="7"/>
        <v>0</v>
      </c>
      <c r="O2514" s="107" t="str">
        <f t="array" ref="O2514">XLOOKUP(A2514,Data!F:F,Data!O:O)</f>
        <v/>
      </c>
      <c r="P2514" s="107" t="str">
        <f t="shared" si="8"/>
        <v>  -   </v>
      </c>
      <c r="Q2514" s="27"/>
    </row>
    <row r="2515" ht="15.75" customHeight="1">
      <c r="A2515" s="113" t="s">
        <v>2759</v>
      </c>
      <c r="B2515" s="19" t="str">
        <f t="array" ref="B2515">XLOOKUP(A2515,Data!F:F,Data!G:G)</f>
        <v>J3B</v>
      </c>
      <c r="C2515" s="19" t="str">
        <f t="shared" si="3"/>
        <v>J045</v>
      </c>
      <c r="D2515" s="19" t="str">
        <f t="array" ref="D2515">XLOOKUP(A2515,Data!F:F,Data!C:C)</f>
        <v>EXT</v>
      </c>
      <c r="E2515" s="19" t="str">
        <f t="array" ref="E2515">XLOOKUP(A2515,Data!F:F,Data!H:H)</f>
        <v/>
      </c>
      <c r="F2515" s="106" t="str">
        <f>SUMIFS(Data!J:J,Data!F:F,A2515)</f>
        <v>0</v>
      </c>
      <c r="G2515" s="106" t="str">
        <f>SUMIFS(Cast!C:C,CastElements,A2515)</f>
        <v>0</v>
      </c>
      <c r="H2515" s="106" t="str">
        <f t="shared" si="4"/>
        <v>0</v>
      </c>
      <c r="I2515" s="106" t="str">
        <f>SUMIFS(Del!C:C,Del!B:B,A2515)</f>
        <v>0</v>
      </c>
      <c r="J2515" s="106" t="str">
        <f t="shared" si="5"/>
        <v>0</v>
      </c>
      <c r="K2515" s="106" t="str">
        <f t="shared" si="6"/>
        <v>0</v>
      </c>
      <c r="L2515" s="106"/>
      <c r="M2515" s="106" t="str">
        <f>SUMIFS(Ere!C:C,Ere!B:B,A2515)</f>
        <v>0</v>
      </c>
      <c r="N2515" s="106" t="str">
        <f t="shared" si="7"/>
        <v>0</v>
      </c>
      <c r="O2515" s="107" t="str">
        <f t="array" ref="O2515">XLOOKUP(A2515,Data!F:F,Data!O:O)</f>
        <v/>
      </c>
      <c r="P2515" s="107" t="str">
        <f t="shared" si="8"/>
        <v>  -   </v>
      </c>
      <c r="Q2515" s="27"/>
    </row>
    <row r="2516" ht="15.75" customHeight="1">
      <c r="A2516" s="113" t="s">
        <v>2760</v>
      </c>
      <c r="B2516" s="19" t="str">
        <f t="array" ref="B2516">XLOOKUP(A2516,Data!F:F,Data!G:G)</f>
        <v>J3B</v>
      </c>
      <c r="C2516" s="19" t="str">
        <f t="shared" si="3"/>
        <v>J045</v>
      </c>
      <c r="D2516" s="19" t="str">
        <f t="array" ref="D2516">XLOOKUP(A2516,Data!F:F,Data!C:C)</f>
        <v/>
      </c>
      <c r="E2516" s="19" t="str">
        <f t="array" ref="E2516">XLOOKUP(A2516,Data!F:F,Data!H:H)</f>
        <v/>
      </c>
      <c r="F2516" s="106" t="str">
        <f>SUMIFS(Data!J:J,Data!F:F,A2516)</f>
        <v>0</v>
      </c>
      <c r="G2516" s="106" t="str">
        <f>SUMIFS(Cast!C:C,CastElements,A2516)</f>
        <v>0</v>
      </c>
      <c r="H2516" s="106" t="str">
        <f t="shared" si="4"/>
        <v>0</v>
      </c>
      <c r="I2516" s="106" t="str">
        <f>SUMIFS(Del!C:C,Del!B:B,A2516)</f>
        <v>0</v>
      </c>
      <c r="J2516" s="106" t="str">
        <f t="shared" si="5"/>
        <v>0</v>
      </c>
      <c r="K2516" s="106" t="str">
        <f t="shared" si="6"/>
        <v>0</v>
      </c>
      <c r="L2516" s="106"/>
      <c r="M2516" s="106" t="str">
        <f>SUMIFS(Ere!C:C,Ere!B:B,A2516)</f>
        <v>0</v>
      </c>
      <c r="N2516" s="106" t="str">
        <f t="shared" si="7"/>
        <v>0</v>
      </c>
      <c r="O2516" s="107" t="str">
        <f t="array" ref="O2516">XLOOKUP(A2516,Data!F:F,Data!O:O)</f>
        <v/>
      </c>
      <c r="P2516" s="107" t="str">
        <f t="shared" si="8"/>
        <v>  -   </v>
      </c>
      <c r="Q2516" s="27"/>
    </row>
    <row r="2517" ht="15.75" customHeight="1">
      <c r="A2517" s="113" t="s">
        <v>2761</v>
      </c>
      <c r="B2517" s="19" t="str">
        <f t="array" ref="B2517">XLOOKUP(A2517,Data!F:F,Data!G:G)</f>
        <v>J3B</v>
      </c>
      <c r="C2517" s="19" t="str">
        <f t="shared" si="3"/>
        <v>J045</v>
      </c>
      <c r="D2517" s="19" t="str">
        <f t="array" ref="D2517">XLOOKUP(A2517,Data!F:F,Data!C:C)</f>
        <v/>
      </c>
      <c r="E2517" s="19" t="str">
        <f t="array" ref="E2517">XLOOKUP(A2517,Data!F:F,Data!H:H)</f>
        <v/>
      </c>
      <c r="F2517" s="106" t="str">
        <f>SUMIFS(Data!J:J,Data!F:F,A2517)</f>
        <v>0</v>
      </c>
      <c r="G2517" s="106" t="str">
        <f>SUMIFS(Cast!C:C,CastElements,A2517)</f>
        <v>0</v>
      </c>
      <c r="H2517" s="106" t="str">
        <f t="shared" si="4"/>
        <v>0</v>
      </c>
      <c r="I2517" s="106" t="str">
        <f>SUMIFS(Del!C:C,Del!B:B,A2517)</f>
        <v>0</v>
      </c>
      <c r="J2517" s="106" t="str">
        <f t="shared" si="5"/>
        <v>0</v>
      </c>
      <c r="K2517" s="106" t="str">
        <f t="shared" si="6"/>
        <v>0</v>
      </c>
      <c r="L2517" s="106"/>
      <c r="M2517" s="106" t="str">
        <f>SUMIFS(Ere!C:C,Ere!B:B,A2517)</f>
        <v>0</v>
      </c>
      <c r="N2517" s="106" t="str">
        <f t="shared" si="7"/>
        <v>0</v>
      </c>
      <c r="O2517" s="107" t="str">
        <f t="array" ref="O2517">XLOOKUP(A2517,Data!F:F,Data!O:O)</f>
        <v/>
      </c>
      <c r="P2517" s="107" t="str">
        <f t="shared" si="8"/>
        <v>  -   </v>
      </c>
      <c r="Q2517" s="27"/>
    </row>
    <row r="2518" ht="15.75" customHeight="1">
      <c r="A2518" s="113" t="s">
        <v>2762</v>
      </c>
      <c r="B2518" s="19" t="str">
        <f t="array" ref="B2518">XLOOKUP(A2518,Data!F:F,Data!G:G)</f>
        <v>J3B</v>
      </c>
      <c r="C2518" s="19" t="str">
        <f t="shared" si="3"/>
        <v>J045</v>
      </c>
      <c r="D2518" s="19" t="str">
        <f t="array" ref="D2518">XLOOKUP(A2518,Data!F:F,Data!C:C)</f>
        <v/>
      </c>
      <c r="E2518" s="19" t="str">
        <f t="array" ref="E2518">XLOOKUP(A2518,Data!F:F,Data!H:H)</f>
        <v/>
      </c>
      <c r="F2518" s="106" t="str">
        <f>SUMIFS(Data!J:J,Data!F:F,A2518)</f>
        <v>0</v>
      </c>
      <c r="G2518" s="106" t="str">
        <f>SUMIFS(Cast!C:C,CastElements,A2518)</f>
        <v>0</v>
      </c>
      <c r="H2518" s="106" t="str">
        <f t="shared" si="4"/>
        <v>0</v>
      </c>
      <c r="I2518" s="106" t="str">
        <f>SUMIFS(Del!C:C,Del!B:B,A2518)</f>
        <v>0</v>
      </c>
      <c r="J2518" s="106" t="str">
        <f t="shared" si="5"/>
        <v>0</v>
      </c>
      <c r="K2518" s="106" t="str">
        <f t="shared" si="6"/>
        <v>0</v>
      </c>
      <c r="L2518" s="106"/>
      <c r="M2518" s="106" t="str">
        <f>SUMIFS(Ere!C:C,Ere!B:B,A2518)</f>
        <v>0</v>
      </c>
      <c r="N2518" s="106" t="str">
        <f t="shared" si="7"/>
        <v>0</v>
      </c>
      <c r="O2518" s="107" t="str">
        <f t="array" ref="O2518">XLOOKUP(A2518,Data!F:F,Data!O:O)</f>
        <v/>
      </c>
      <c r="P2518" s="107" t="str">
        <f t="shared" si="8"/>
        <v>  -   </v>
      </c>
      <c r="Q2518" s="27"/>
    </row>
    <row r="2519" ht="15.75" customHeight="1">
      <c r="A2519" s="113" t="s">
        <v>2763</v>
      </c>
      <c r="B2519" s="19" t="str">
        <f t="array" ref="B2519">XLOOKUP(A2519,Data!F:F,Data!G:G)</f>
        <v>J3B</v>
      </c>
      <c r="C2519" s="19" t="str">
        <f t="shared" si="3"/>
        <v>J045</v>
      </c>
      <c r="D2519" s="19" t="str">
        <f t="array" ref="D2519">XLOOKUP(A2519,Data!F:F,Data!C:C)</f>
        <v/>
      </c>
      <c r="E2519" s="19" t="str">
        <f t="array" ref="E2519">XLOOKUP(A2519,Data!F:F,Data!H:H)</f>
        <v/>
      </c>
      <c r="F2519" s="106" t="str">
        <f>SUMIFS(Data!J:J,Data!F:F,A2519)</f>
        <v>0</v>
      </c>
      <c r="G2519" s="106" t="str">
        <f>SUMIFS(Cast!C:C,CastElements,A2519)</f>
        <v>0</v>
      </c>
      <c r="H2519" s="106" t="str">
        <f t="shared" si="4"/>
        <v>0</v>
      </c>
      <c r="I2519" s="106" t="str">
        <f>SUMIFS(Del!C:C,Del!B:B,A2519)</f>
        <v>0</v>
      </c>
      <c r="J2519" s="106" t="str">
        <f t="shared" si="5"/>
        <v>0</v>
      </c>
      <c r="K2519" s="106" t="str">
        <f t="shared" si="6"/>
        <v>0</v>
      </c>
      <c r="L2519" s="106"/>
      <c r="M2519" s="106" t="str">
        <f>SUMIFS(Ere!C:C,Ere!B:B,A2519)</f>
        <v>0</v>
      </c>
      <c r="N2519" s="106" t="str">
        <f t="shared" si="7"/>
        <v>0</v>
      </c>
      <c r="O2519" s="107" t="str">
        <f t="array" ref="O2519">XLOOKUP(A2519,Data!F:F,Data!O:O)</f>
        <v/>
      </c>
      <c r="P2519" s="107" t="str">
        <f t="shared" si="8"/>
        <v>  -   </v>
      </c>
      <c r="Q2519" s="27"/>
    </row>
    <row r="2520" ht="15.75" customHeight="1">
      <c r="A2520" s="113" t="s">
        <v>2764</v>
      </c>
      <c r="B2520" s="19" t="str">
        <f t="array" ref="B2520">XLOOKUP(A2520,Data!F:F,Data!G:G)</f>
        <v>J3B</v>
      </c>
      <c r="C2520" s="19" t="str">
        <f t="shared" si="3"/>
        <v>J045</v>
      </c>
      <c r="D2520" s="19" t="str">
        <f t="array" ref="D2520">XLOOKUP(A2520,Data!F:F,Data!C:C)</f>
        <v/>
      </c>
      <c r="E2520" s="19" t="str">
        <f t="array" ref="E2520">XLOOKUP(A2520,Data!F:F,Data!H:H)</f>
        <v/>
      </c>
      <c r="F2520" s="106" t="str">
        <f>SUMIFS(Data!J:J,Data!F:F,A2520)</f>
        <v>0</v>
      </c>
      <c r="G2520" s="106" t="str">
        <f>SUMIFS(Cast!C:C,CastElements,A2520)</f>
        <v>0</v>
      </c>
      <c r="H2520" s="106" t="str">
        <f t="shared" si="4"/>
        <v>0</v>
      </c>
      <c r="I2520" s="106" t="str">
        <f>SUMIFS(Del!C:C,Del!B:B,A2520)</f>
        <v>0</v>
      </c>
      <c r="J2520" s="106" t="str">
        <f t="shared" si="5"/>
        <v>0</v>
      </c>
      <c r="K2520" s="106" t="str">
        <f t="shared" si="6"/>
        <v>0</v>
      </c>
      <c r="L2520" s="106"/>
      <c r="M2520" s="106" t="str">
        <f>SUMIFS(Ere!C:C,Ere!B:B,A2520)</f>
        <v>0</v>
      </c>
      <c r="N2520" s="106" t="str">
        <f t="shared" si="7"/>
        <v>0</v>
      </c>
      <c r="O2520" s="107" t="str">
        <f t="array" ref="O2520">XLOOKUP(A2520,Data!F:F,Data!O:O)</f>
        <v/>
      </c>
      <c r="P2520" s="107" t="str">
        <f t="shared" si="8"/>
        <v>  -   </v>
      </c>
      <c r="Q2520" s="27"/>
    </row>
    <row r="2521" ht="15.75" customHeight="1">
      <c r="A2521" s="113" t="s">
        <v>2765</v>
      </c>
      <c r="B2521" s="19" t="str">
        <f t="array" ref="B2521">XLOOKUP(A2521,Data!F:F,Data!G:G)</f>
        <v>J3B</v>
      </c>
      <c r="C2521" s="19" t="str">
        <f t="shared" si="3"/>
        <v>J045</v>
      </c>
      <c r="D2521" s="19" t="str">
        <f t="array" ref="D2521">XLOOKUP(A2521,Data!F:F,Data!C:C)</f>
        <v/>
      </c>
      <c r="E2521" s="19" t="str">
        <f t="array" ref="E2521">XLOOKUP(A2521,Data!F:F,Data!H:H)</f>
        <v/>
      </c>
      <c r="F2521" s="106" t="str">
        <f>SUMIFS(Data!J:J,Data!F:F,A2521)</f>
        <v>0</v>
      </c>
      <c r="G2521" s="106" t="str">
        <f>SUMIFS(Cast!C:C,CastElements,A2521)</f>
        <v>0</v>
      </c>
      <c r="H2521" s="106" t="str">
        <f t="shared" si="4"/>
        <v>0</v>
      </c>
      <c r="I2521" s="106" t="str">
        <f>SUMIFS(Del!C:C,Del!B:B,A2521)</f>
        <v>0</v>
      </c>
      <c r="J2521" s="106" t="str">
        <f t="shared" si="5"/>
        <v>0</v>
      </c>
      <c r="K2521" s="106" t="str">
        <f t="shared" si="6"/>
        <v>0</v>
      </c>
      <c r="L2521" s="106"/>
      <c r="M2521" s="106" t="str">
        <f>SUMIFS(Ere!C:C,Ere!B:B,A2521)</f>
        <v>0</v>
      </c>
      <c r="N2521" s="106" t="str">
        <f t="shared" si="7"/>
        <v>0</v>
      </c>
      <c r="O2521" s="107" t="str">
        <f t="array" ref="O2521">XLOOKUP(A2521,Data!F:F,Data!O:O)</f>
        <v/>
      </c>
      <c r="P2521" s="107" t="str">
        <f t="shared" si="8"/>
        <v>  -   </v>
      </c>
      <c r="Q2521" s="27"/>
    </row>
    <row r="2522" ht="15.75" customHeight="1">
      <c r="A2522" s="113" t="s">
        <v>2766</v>
      </c>
      <c r="B2522" s="19" t="str">
        <f t="array" ref="B2522">XLOOKUP(A2522,Data!F:F,Data!G:G)</f>
        <v>J3B</v>
      </c>
      <c r="C2522" s="19" t="str">
        <f t="shared" si="3"/>
        <v>J045</v>
      </c>
      <c r="D2522" s="19" t="str">
        <f t="array" ref="D2522">XLOOKUP(A2522,Data!F:F,Data!C:C)</f>
        <v/>
      </c>
      <c r="E2522" s="19" t="str">
        <f t="array" ref="E2522">XLOOKUP(A2522,Data!F:F,Data!H:H)</f>
        <v/>
      </c>
      <c r="F2522" s="106" t="str">
        <f>SUMIFS(Data!J:J,Data!F:F,A2522)</f>
        <v>0</v>
      </c>
      <c r="G2522" s="106" t="str">
        <f>SUMIFS(Cast!C:C,CastElements,A2522)</f>
        <v>0</v>
      </c>
      <c r="H2522" s="106" t="str">
        <f t="shared" si="4"/>
        <v>0</v>
      </c>
      <c r="I2522" s="106" t="str">
        <f>SUMIFS(Del!C:C,Del!B:B,A2522)</f>
        <v>0</v>
      </c>
      <c r="J2522" s="106" t="str">
        <f t="shared" si="5"/>
        <v>0</v>
      </c>
      <c r="K2522" s="106" t="str">
        <f t="shared" si="6"/>
        <v>0</v>
      </c>
      <c r="L2522" s="106"/>
      <c r="M2522" s="106" t="str">
        <f>SUMIFS(Ere!C:C,Ere!B:B,A2522)</f>
        <v>0</v>
      </c>
      <c r="N2522" s="106" t="str">
        <f t="shared" si="7"/>
        <v>0</v>
      </c>
      <c r="O2522" s="107" t="str">
        <f t="array" ref="O2522">XLOOKUP(A2522,Data!F:F,Data!O:O)</f>
        <v/>
      </c>
      <c r="P2522" s="107" t="str">
        <f t="shared" si="8"/>
        <v>  -   </v>
      </c>
      <c r="Q2522" s="27"/>
    </row>
    <row r="2523" ht="15.75" customHeight="1">
      <c r="A2523" s="113" t="s">
        <v>2767</v>
      </c>
      <c r="B2523" s="19" t="str">
        <f t="array" ref="B2523">XLOOKUP(A2523,Data!F:F,Data!G:G)</f>
        <v>J3B</v>
      </c>
      <c r="C2523" s="19" t="str">
        <f t="shared" si="3"/>
        <v>J045</v>
      </c>
      <c r="D2523" s="19" t="str">
        <f t="array" ref="D2523">XLOOKUP(A2523,Data!F:F,Data!C:C)</f>
        <v/>
      </c>
      <c r="E2523" s="19" t="str">
        <f t="array" ref="E2523">XLOOKUP(A2523,Data!F:F,Data!H:H)</f>
        <v/>
      </c>
      <c r="F2523" s="106" t="str">
        <f>SUMIFS(Data!J:J,Data!F:F,A2523)</f>
        <v>0</v>
      </c>
      <c r="G2523" s="106" t="str">
        <f>SUMIFS(Cast!C:C,CastElements,A2523)</f>
        <v>0</v>
      </c>
      <c r="H2523" s="106" t="str">
        <f t="shared" si="4"/>
        <v>0</v>
      </c>
      <c r="I2523" s="106" t="str">
        <f>SUMIFS(Del!C:C,Del!B:B,A2523)</f>
        <v>0</v>
      </c>
      <c r="J2523" s="106" t="str">
        <f t="shared" si="5"/>
        <v>0</v>
      </c>
      <c r="K2523" s="106" t="str">
        <f t="shared" si="6"/>
        <v>0</v>
      </c>
      <c r="L2523" s="106"/>
      <c r="M2523" s="106" t="str">
        <f>SUMIFS(Ere!C:C,Ere!B:B,A2523)</f>
        <v>0</v>
      </c>
      <c r="N2523" s="106" t="str">
        <f t="shared" si="7"/>
        <v>0</v>
      </c>
      <c r="O2523" s="107" t="str">
        <f t="array" ref="O2523">XLOOKUP(A2523,Data!F:F,Data!O:O)</f>
        <v/>
      </c>
      <c r="P2523" s="107" t="str">
        <f t="shared" si="8"/>
        <v>  -   </v>
      </c>
      <c r="Q2523" s="27"/>
    </row>
    <row r="2524" ht="15.75" customHeight="1">
      <c r="A2524" s="113" t="s">
        <v>2768</v>
      </c>
      <c r="B2524" s="19" t="str">
        <f t="array" ref="B2524">XLOOKUP(A2524,Data!F:F,Data!G:G)</f>
        <v>J3B</v>
      </c>
      <c r="C2524" s="19" t="str">
        <f t="shared" si="3"/>
        <v>J045</v>
      </c>
      <c r="D2524" s="19" t="str">
        <f t="array" ref="D2524">XLOOKUP(A2524,Data!F:F,Data!C:C)</f>
        <v/>
      </c>
      <c r="E2524" s="19" t="str">
        <f t="array" ref="E2524">XLOOKUP(A2524,Data!F:F,Data!H:H)</f>
        <v/>
      </c>
      <c r="F2524" s="106" t="str">
        <f>SUMIFS(Data!J:J,Data!F:F,A2524)</f>
        <v>0</v>
      </c>
      <c r="G2524" s="106" t="str">
        <f>SUMIFS(Cast!C:C,CastElements,A2524)</f>
        <v>0</v>
      </c>
      <c r="H2524" s="106" t="str">
        <f t="shared" si="4"/>
        <v>0</v>
      </c>
      <c r="I2524" s="106" t="str">
        <f>SUMIFS(Del!C:C,Del!B:B,A2524)</f>
        <v>0</v>
      </c>
      <c r="J2524" s="106" t="str">
        <f t="shared" si="5"/>
        <v>0</v>
      </c>
      <c r="K2524" s="106" t="str">
        <f t="shared" si="6"/>
        <v>0</v>
      </c>
      <c r="L2524" s="106"/>
      <c r="M2524" s="106" t="str">
        <f>SUMIFS(Ere!C:C,Ere!B:B,A2524)</f>
        <v>0</v>
      </c>
      <c r="N2524" s="106" t="str">
        <f t="shared" si="7"/>
        <v>0</v>
      </c>
      <c r="O2524" s="107" t="str">
        <f t="array" ref="O2524">XLOOKUP(A2524,Data!F:F,Data!O:O)</f>
        <v/>
      </c>
      <c r="P2524" s="107" t="str">
        <f t="shared" si="8"/>
        <v>  -   </v>
      </c>
      <c r="Q2524" s="27"/>
    </row>
    <row r="2525" ht="15.75" customHeight="1">
      <c r="A2525" s="113" t="s">
        <v>2769</v>
      </c>
      <c r="B2525" s="19" t="str">
        <f t="array" ref="B2525">XLOOKUP(A2525,Data!F:F,Data!G:G)</f>
        <v>J3B</v>
      </c>
      <c r="C2525" s="19" t="str">
        <f t="shared" si="3"/>
        <v>J045</v>
      </c>
      <c r="D2525" s="19" t="str">
        <f t="array" ref="D2525">XLOOKUP(A2525,Data!F:F,Data!C:C)</f>
        <v/>
      </c>
      <c r="E2525" s="19" t="str">
        <f t="array" ref="E2525">XLOOKUP(A2525,Data!F:F,Data!H:H)</f>
        <v/>
      </c>
      <c r="F2525" s="106" t="str">
        <f>SUMIFS(Data!J:J,Data!F:F,A2525)</f>
        <v>0</v>
      </c>
      <c r="G2525" s="106" t="str">
        <f>SUMIFS(Cast!C:C,CastElements,A2525)</f>
        <v>0</v>
      </c>
      <c r="H2525" s="106" t="str">
        <f t="shared" si="4"/>
        <v>0</v>
      </c>
      <c r="I2525" s="106" t="str">
        <f>SUMIFS(Del!C:C,Del!B:B,A2525)</f>
        <v>0</v>
      </c>
      <c r="J2525" s="106" t="str">
        <f t="shared" si="5"/>
        <v>0</v>
      </c>
      <c r="K2525" s="106" t="str">
        <f t="shared" si="6"/>
        <v>0</v>
      </c>
      <c r="L2525" s="106"/>
      <c r="M2525" s="106" t="str">
        <f>SUMIFS(Ere!C:C,Ere!B:B,A2525)</f>
        <v>0</v>
      </c>
      <c r="N2525" s="106" t="str">
        <f t="shared" si="7"/>
        <v>0</v>
      </c>
      <c r="O2525" s="107" t="str">
        <f t="array" ref="O2525">XLOOKUP(A2525,Data!F:F,Data!O:O)</f>
        <v/>
      </c>
      <c r="P2525" s="107" t="str">
        <f t="shared" si="8"/>
        <v>  -   </v>
      </c>
      <c r="Q2525" s="27"/>
    </row>
    <row r="2526" ht="15.75" customHeight="1">
      <c r="A2526" s="113" t="s">
        <v>2770</v>
      </c>
      <c r="B2526" s="19" t="str">
        <f t="array" ref="B2526">XLOOKUP(A2526,Data!F:F,Data!G:G)</f>
        <v>J3B</v>
      </c>
      <c r="C2526" s="19" t="str">
        <f t="shared" si="3"/>
        <v>J045</v>
      </c>
      <c r="D2526" s="19" t="str">
        <f t="array" ref="D2526">XLOOKUP(A2526,Data!F:F,Data!C:C)</f>
        <v/>
      </c>
      <c r="E2526" s="19" t="str">
        <f t="array" ref="E2526">XLOOKUP(A2526,Data!F:F,Data!H:H)</f>
        <v/>
      </c>
      <c r="F2526" s="106" t="str">
        <f>SUMIFS(Data!J:J,Data!F:F,A2526)</f>
        <v>0</v>
      </c>
      <c r="G2526" s="106" t="str">
        <f>SUMIFS(Cast!C:C,CastElements,A2526)</f>
        <v>0</v>
      </c>
      <c r="H2526" s="106" t="str">
        <f t="shared" si="4"/>
        <v>0</v>
      </c>
      <c r="I2526" s="106" t="str">
        <f>SUMIFS(Del!C:C,Del!B:B,A2526)</f>
        <v>0</v>
      </c>
      <c r="J2526" s="106" t="str">
        <f t="shared" si="5"/>
        <v>0</v>
      </c>
      <c r="K2526" s="106" t="str">
        <f t="shared" si="6"/>
        <v>0</v>
      </c>
      <c r="L2526" s="106"/>
      <c r="M2526" s="106" t="str">
        <f>SUMIFS(Ere!C:C,Ere!B:B,A2526)</f>
        <v>0</v>
      </c>
      <c r="N2526" s="106" t="str">
        <f t="shared" si="7"/>
        <v>0</v>
      </c>
      <c r="O2526" s="107" t="str">
        <f t="array" ref="O2526">XLOOKUP(A2526,Data!F:F,Data!O:O)</f>
        <v/>
      </c>
      <c r="P2526" s="107" t="str">
        <f t="shared" si="8"/>
        <v>  -   </v>
      </c>
      <c r="Q2526" s="27"/>
    </row>
    <row r="2527" ht="15.75" customHeight="1">
      <c r="A2527" s="113" t="s">
        <v>2771</v>
      </c>
      <c r="B2527" s="19" t="str">
        <f t="array" ref="B2527">XLOOKUP(A2527,Data!F:F,Data!G:G)</f>
        <v>J3B</v>
      </c>
      <c r="C2527" s="19" t="str">
        <f t="shared" si="3"/>
        <v>J045</v>
      </c>
      <c r="D2527" s="19" t="str">
        <f t="array" ref="D2527">XLOOKUP(A2527,Data!F:F,Data!C:C)</f>
        <v/>
      </c>
      <c r="E2527" s="19" t="str">
        <f t="array" ref="E2527">XLOOKUP(A2527,Data!F:F,Data!H:H)</f>
        <v/>
      </c>
      <c r="F2527" s="106" t="str">
        <f>SUMIFS(Data!J:J,Data!F:F,A2527)</f>
        <v>0</v>
      </c>
      <c r="G2527" s="106" t="str">
        <f>SUMIFS(Cast!C:C,CastElements,A2527)</f>
        <v>0</v>
      </c>
      <c r="H2527" s="106" t="str">
        <f t="shared" si="4"/>
        <v>0</v>
      </c>
      <c r="I2527" s="106" t="str">
        <f>SUMIFS(Del!C:C,Del!B:B,A2527)</f>
        <v>0</v>
      </c>
      <c r="J2527" s="106" t="str">
        <f t="shared" si="5"/>
        <v>0</v>
      </c>
      <c r="K2527" s="106" t="str">
        <f t="shared" si="6"/>
        <v>0</v>
      </c>
      <c r="L2527" s="106"/>
      <c r="M2527" s="106" t="str">
        <f>SUMIFS(Ere!C:C,Ere!B:B,A2527)</f>
        <v>0</v>
      </c>
      <c r="N2527" s="106" t="str">
        <f t="shared" si="7"/>
        <v>0</v>
      </c>
      <c r="O2527" s="107" t="str">
        <f t="array" ref="O2527">XLOOKUP(A2527,Data!F:F,Data!O:O)</f>
        <v/>
      </c>
      <c r="P2527" s="107" t="str">
        <f t="shared" si="8"/>
        <v>  -   </v>
      </c>
      <c r="Q2527" s="27"/>
    </row>
    <row r="2528" ht="15.75" customHeight="1">
      <c r="A2528" s="113" t="s">
        <v>2772</v>
      </c>
      <c r="B2528" s="19" t="str">
        <f t="array" ref="B2528">XLOOKUP(A2528,Data!F:F,Data!G:G)</f>
        <v>J3B</v>
      </c>
      <c r="C2528" s="19" t="str">
        <f t="shared" si="3"/>
        <v>J045</v>
      </c>
      <c r="D2528" s="19" t="str">
        <f t="array" ref="D2528">XLOOKUP(A2528,Data!F:F,Data!C:C)</f>
        <v/>
      </c>
      <c r="E2528" s="19" t="str">
        <f t="array" ref="E2528">XLOOKUP(A2528,Data!F:F,Data!H:H)</f>
        <v/>
      </c>
      <c r="F2528" s="106" t="str">
        <f>SUMIFS(Data!J:J,Data!F:F,A2528)</f>
        <v>0</v>
      </c>
      <c r="G2528" s="106" t="str">
        <f>SUMIFS(Cast!C:C,CastElements,A2528)</f>
        <v>0</v>
      </c>
      <c r="H2528" s="106" t="str">
        <f t="shared" si="4"/>
        <v>0</v>
      </c>
      <c r="I2528" s="106" t="str">
        <f>SUMIFS(Del!C:C,Del!B:B,A2528)</f>
        <v>0</v>
      </c>
      <c r="J2528" s="106" t="str">
        <f t="shared" si="5"/>
        <v>0</v>
      </c>
      <c r="K2528" s="106" t="str">
        <f t="shared" si="6"/>
        <v>0</v>
      </c>
      <c r="L2528" s="106"/>
      <c r="M2528" s="106" t="str">
        <f>SUMIFS(Ere!C:C,Ere!B:B,A2528)</f>
        <v>0</v>
      </c>
      <c r="N2528" s="106" t="str">
        <f t="shared" si="7"/>
        <v>0</v>
      </c>
      <c r="O2528" s="107" t="str">
        <f t="array" ref="O2528">XLOOKUP(A2528,Data!F:F,Data!O:O)</f>
        <v/>
      </c>
      <c r="P2528" s="107" t="str">
        <f t="shared" si="8"/>
        <v>  -   </v>
      </c>
      <c r="Q2528" s="27"/>
    </row>
    <row r="2529" ht="15.75" customHeight="1">
      <c r="A2529" s="113" t="s">
        <v>2773</v>
      </c>
      <c r="B2529" s="19" t="str">
        <f t="array" ref="B2529">XLOOKUP(A2529,Data!F:F,Data!G:G)</f>
        <v>J3B</v>
      </c>
      <c r="C2529" s="19" t="str">
        <f t="shared" si="3"/>
        <v>J046</v>
      </c>
      <c r="D2529" s="19" t="str">
        <f t="array" ref="D2529">XLOOKUP(A2529,Data!F:F,Data!C:C)</f>
        <v>EXT</v>
      </c>
      <c r="E2529" s="19" t="str">
        <f t="array" ref="E2529">XLOOKUP(A2529,Data!F:F,Data!H:H)</f>
        <v/>
      </c>
      <c r="F2529" s="106" t="str">
        <f>SUMIFS(Data!J:J,Data!F:F,A2529)</f>
        <v>0</v>
      </c>
      <c r="G2529" s="106" t="str">
        <f>SUMIFS(Cast!C:C,CastElements,A2529)</f>
        <v>0</v>
      </c>
      <c r="H2529" s="106" t="str">
        <f t="shared" si="4"/>
        <v>0</v>
      </c>
      <c r="I2529" s="106" t="str">
        <f>SUMIFS(Del!C:C,Del!B:B,A2529)</f>
        <v>0</v>
      </c>
      <c r="J2529" s="106" t="str">
        <f t="shared" si="5"/>
        <v>0</v>
      </c>
      <c r="K2529" s="106" t="str">
        <f t="shared" si="6"/>
        <v>0</v>
      </c>
      <c r="L2529" s="106"/>
      <c r="M2529" s="106" t="str">
        <f>SUMIFS(Ere!C:C,Ere!B:B,A2529)</f>
        <v>0</v>
      </c>
      <c r="N2529" s="106" t="str">
        <f t="shared" si="7"/>
        <v>0</v>
      </c>
      <c r="O2529" s="107" t="str">
        <f t="array" ref="O2529">XLOOKUP(A2529,Data!F:F,Data!O:O)</f>
        <v/>
      </c>
      <c r="P2529" s="107" t="str">
        <f t="shared" si="8"/>
        <v>  -   </v>
      </c>
      <c r="Q2529" s="27"/>
    </row>
    <row r="2530" ht="15.75" customHeight="1">
      <c r="A2530" s="113" t="s">
        <v>2774</v>
      </c>
      <c r="B2530" s="19" t="str">
        <f t="array" ref="B2530">XLOOKUP(A2530,Data!F:F,Data!G:G)</f>
        <v>J3B</v>
      </c>
      <c r="C2530" s="19" t="str">
        <f t="shared" si="3"/>
        <v>J046</v>
      </c>
      <c r="D2530" s="19" t="str">
        <f t="array" ref="D2530">XLOOKUP(A2530,Data!F:F,Data!C:C)</f>
        <v/>
      </c>
      <c r="E2530" s="19" t="str">
        <f t="array" ref="E2530">XLOOKUP(A2530,Data!F:F,Data!H:H)</f>
        <v/>
      </c>
      <c r="F2530" s="106" t="str">
        <f>SUMIFS(Data!J:J,Data!F:F,A2530)</f>
        <v>0</v>
      </c>
      <c r="G2530" s="106" t="str">
        <f>SUMIFS(Cast!C:C,CastElements,A2530)</f>
        <v>0</v>
      </c>
      <c r="H2530" s="106" t="str">
        <f t="shared" si="4"/>
        <v>0</v>
      </c>
      <c r="I2530" s="106" t="str">
        <f>SUMIFS(Del!C:C,Del!B:B,A2530)</f>
        <v>0</v>
      </c>
      <c r="J2530" s="106" t="str">
        <f t="shared" si="5"/>
        <v>0</v>
      </c>
      <c r="K2530" s="106" t="str">
        <f t="shared" si="6"/>
        <v>0</v>
      </c>
      <c r="L2530" s="106"/>
      <c r="M2530" s="106" t="str">
        <f>SUMIFS(Ere!C:C,Ere!B:B,A2530)</f>
        <v>0</v>
      </c>
      <c r="N2530" s="106" t="str">
        <f t="shared" si="7"/>
        <v>0</v>
      </c>
      <c r="O2530" s="107" t="str">
        <f t="array" ref="O2530">XLOOKUP(A2530,Data!F:F,Data!O:O)</f>
        <v/>
      </c>
      <c r="P2530" s="107" t="str">
        <f t="shared" si="8"/>
        <v>  -   </v>
      </c>
      <c r="Q2530" s="27"/>
    </row>
    <row r="2531" ht="15.75" customHeight="1">
      <c r="A2531" s="113" t="s">
        <v>2775</v>
      </c>
      <c r="B2531" s="19" t="str">
        <f t="array" ref="B2531">XLOOKUP(A2531,Data!F:F,Data!G:G)</f>
        <v>J3B</v>
      </c>
      <c r="C2531" s="19" t="str">
        <f t="shared" si="3"/>
        <v>J046</v>
      </c>
      <c r="D2531" s="19" t="str">
        <f t="array" ref="D2531">XLOOKUP(A2531,Data!F:F,Data!C:C)</f>
        <v/>
      </c>
      <c r="E2531" s="19" t="str">
        <f t="array" ref="E2531">XLOOKUP(A2531,Data!F:F,Data!H:H)</f>
        <v/>
      </c>
      <c r="F2531" s="106" t="str">
        <f>SUMIFS(Data!J:J,Data!F:F,A2531)</f>
        <v>0</v>
      </c>
      <c r="G2531" s="106" t="str">
        <f>SUMIFS(Cast!C:C,CastElements,A2531)</f>
        <v>0</v>
      </c>
      <c r="H2531" s="106" t="str">
        <f t="shared" si="4"/>
        <v>0</v>
      </c>
      <c r="I2531" s="106" t="str">
        <f>SUMIFS(Del!C:C,Del!B:B,A2531)</f>
        <v>0</v>
      </c>
      <c r="J2531" s="106" t="str">
        <f t="shared" si="5"/>
        <v>0</v>
      </c>
      <c r="K2531" s="106" t="str">
        <f t="shared" si="6"/>
        <v>0</v>
      </c>
      <c r="L2531" s="106"/>
      <c r="M2531" s="106" t="str">
        <f>SUMIFS(Ere!C:C,Ere!B:B,A2531)</f>
        <v>0</v>
      </c>
      <c r="N2531" s="106" t="str">
        <f t="shared" si="7"/>
        <v>0</v>
      </c>
      <c r="O2531" s="107" t="str">
        <f t="array" ref="O2531">XLOOKUP(A2531,Data!F:F,Data!O:O)</f>
        <v/>
      </c>
      <c r="P2531" s="107" t="str">
        <f t="shared" si="8"/>
        <v>  -   </v>
      </c>
      <c r="Q2531" s="27"/>
    </row>
    <row r="2532" ht="15.75" customHeight="1">
      <c r="A2532" s="113" t="s">
        <v>2776</v>
      </c>
      <c r="B2532" s="19" t="str">
        <f t="array" ref="B2532">XLOOKUP(A2532,Data!F:F,Data!G:G)</f>
        <v>J3B</v>
      </c>
      <c r="C2532" s="19" t="str">
        <f t="shared" si="3"/>
        <v>J046</v>
      </c>
      <c r="D2532" s="19" t="str">
        <f t="array" ref="D2532">XLOOKUP(A2532,Data!F:F,Data!C:C)</f>
        <v/>
      </c>
      <c r="E2532" s="19" t="str">
        <f t="array" ref="E2532">XLOOKUP(A2532,Data!F:F,Data!H:H)</f>
        <v/>
      </c>
      <c r="F2532" s="106" t="str">
        <f>SUMIFS(Data!J:J,Data!F:F,A2532)</f>
        <v>0</v>
      </c>
      <c r="G2532" s="106" t="str">
        <f>SUMIFS(Cast!C:C,CastElements,A2532)</f>
        <v>0</v>
      </c>
      <c r="H2532" s="106" t="str">
        <f t="shared" si="4"/>
        <v>0</v>
      </c>
      <c r="I2532" s="106" t="str">
        <f>SUMIFS(Del!C:C,Del!B:B,A2532)</f>
        <v>0</v>
      </c>
      <c r="J2532" s="106" t="str">
        <f t="shared" si="5"/>
        <v>0</v>
      </c>
      <c r="K2532" s="106" t="str">
        <f t="shared" si="6"/>
        <v>0</v>
      </c>
      <c r="L2532" s="106"/>
      <c r="M2532" s="106" t="str">
        <f>SUMIFS(Ere!C:C,Ere!B:B,A2532)</f>
        <v>0</v>
      </c>
      <c r="N2532" s="106" t="str">
        <f t="shared" si="7"/>
        <v>0</v>
      </c>
      <c r="O2532" s="107" t="str">
        <f t="array" ref="O2532">XLOOKUP(A2532,Data!F:F,Data!O:O)</f>
        <v/>
      </c>
      <c r="P2532" s="107" t="str">
        <f t="shared" si="8"/>
        <v>  -   </v>
      </c>
      <c r="Q2532" s="27"/>
    </row>
    <row r="2533" ht="15.75" customHeight="1">
      <c r="A2533" s="113" t="s">
        <v>2777</v>
      </c>
      <c r="B2533" s="19" t="str">
        <f t="array" ref="B2533">XLOOKUP(A2533,Data!F:F,Data!G:G)</f>
        <v>J3B</v>
      </c>
      <c r="C2533" s="19" t="str">
        <f t="shared" si="3"/>
        <v>J046</v>
      </c>
      <c r="D2533" s="19" t="str">
        <f t="array" ref="D2533">XLOOKUP(A2533,Data!F:F,Data!C:C)</f>
        <v/>
      </c>
      <c r="E2533" s="19" t="str">
        <f t="array" ref="E2533">XLOOKUP(A2533,Data!F:F,Data!H:H)</f>
        <v/>
      </c>
      <c r="F2533" s="106" t="str">
        <f>SUMIFS(Data!J:J,Data!F:F,A2533)</f>
        <v>0</v>
      </c>
      <c r="G2533" s="106" t="str">
        <f>SUMIFS(Cast!C:C,CastElements,A2533)</f>
        <v>0</v>
      </c>
      <c r="H2533" s="106" t="str">
        <f t="shared" si="4"/>
        <v>0</v>
      </c>
      <c r="I2533" s="106" t="str">
        <f>SUMIFS(Del!C:C,Del!B:B,A2533)</f>
        <v>0</v>
      </c>
      <c r="J2533" s="106" t="str">
        <f t="shared" si="5"/>
        <v>0</v>
      </c>
      <c r="K2533" s="106" t="str">
        <f t="shared" si="6"/>
        <v>0</v>
      </c>
      <c r="L2533" s="106"/>
      <c r="M2533" s="106" t="str">
        <f>SUMIFS(Ere!C:C,Ere!B:B,A2533)</f>
        <v>0</v>
      </c>
      <c r="N2533" s="106" t="str">
        <f t="shared" si="7"/>
        <v>0</v>
      </c>
      <c r="O2533" s="107" t="str">
        <f t="array" ref="O2533">XLOOKUP(A2533,Data!F:F,Data!O:O)</f>
        <v/>
      </c>
      <c r="P2533" s="107" t="str">
        <f t="shared" si="8"/>
        <v>  -   </v>
      </c>
      <c r="Q2533" s="27"/>
    </row>
    <row r="2534" ht="15.75" customHeight="1">
      <c r="A2534" s="113" t="s">
        <v>2778</v>
      </c>
      <c r="B2534" s="19" t="str">
        <f t="array" ref="B2534">XLOOKUP(A2534,Data!F:F,Data!G:G)</f>
        <v>J3B</v>
      </c>
      <c r="C2534" s="19" t="str">
        <f t="shared" si="3"/>
        <v>J046</v>
      </c>
      <c r="D2534" s="19" t="str">
        <f t="array" ref="D2534">XLOOKUP(A2534,Data!F:F,Data!C:C)</f>
        <v/>
      </c>
      <c r="E2534" s="19" t="str">
        <f t="array" ref="E2534">XLOOKUP(A2534,Data!F:F,Data!H:H)</f>
        <v/>
      </c>
      <c r="F2534" s="106" t="str">
        <f>SUMIFS(Data!J:J,Data!F:F,A2534)</f>
        <v>0</v>
      </c>
      <c r="G2534" s="106" t="str">
        <f>SUMIFS(Cast!C:C,CastElements,A2534)</f>
        <v>0</v>
      </c>
      <c r="H2534" s="106" t="str">
        <f t="shared" si="4"/>
        <v>0</v>
      </c>
      <c r="I2534" s="106" t="str">
        <f>SUMIFS(Del!C:C,Del!B:B,A2534)</f>
        <v>0</v>
      </c>
      <c r="J2534" s="106" t="str">
        <f t="shared" si="5"/>
        <v>0</v>
      </c>
      <c r="K2534" s="106" t="str">
        <f t="shared" si="6"/>
        <v>0</v>
      </c>
      <c r="L2534" s="106"/>
      <c r="M2534" s="106" t="str">
        <f>SUMIFS(Ere!C:C,Ere!B:B,A2534)</f>
        <v>0</v>
      </c>
      <c r="N2534" s="106" t="str">
        <f t="shared" si="7"/>
        <v>0</v>
      </c>
      <c r="O2534" s="107" t="str">
        <f t="array" ref="O2534">XLOOKUP(A2534,Data!F:F,Data!O:O)</f>
        <v/>
      </c>
      <c r="P2534" s="107" t="str">
        <f t="shared" si="8"/>
        <v>  -   </v>
      </c>
      <c r="Q2534" s="27"/>
    </row>
    <row r="2535" ht="15.75" customHeight="1">
      <c r="A2535" s="113" t="s">
        <v>2779</v>
      </c>
      <c r="B2535" s="19" t="str">
        <f t="array" ref="B2535">XLOOKUP(A2535,Data!F:F,Data!G:G)</f>
        <v>J3B</v>
      </c>
      <c r="C2535" s="19" t="str">
        <f t="shared" si="3"/>
        <v>J046</v>
      </c>
      <c r="D2535" s="19" t="str">
        <f t="array" ref="D2535">XLOOKUP(A2535,Data!F:F,Data!C:C)</f>
        <v/>
      </c>
      <c r="E2535" s="19" t="str">
        <f t="array" ref="E2535">XLOOKUP(A2535,Data!F:F,Data!H:H)</f>
        <v/>
      </c>
      <c r="F2535" s="106" t="str">
        <f>SUMIFS(Data!J:J,Data!F:F,A2535)</f>
        <v>0</v>
      </c>
      <c r="G2535" s="106" t="str">
        <f>SUMIFS(Cast!C:C,CastElements,A2535)</f>
        <v>0</v>
      </c>
      <c r="H2535" s="106" t="str">
        <f t="shared" si="4"/>
        <v>0</v>
      </c>
      <c r="I2535" s="106" t="str">
        <f>SUMIFS(Del!C:C,Del!B:B,A2535)</f>
        <v>0</v>
      </c>
      <c r="J2535" s="106" t="str">
        <f t="shared" si="5"/>
        <v>0</v>
      </c>
      <c r="K2535" s="106" t="str">
        <f t="shared" si="6"/>
        <v>0</v>
      </c>
      <c r="L2535" s="106"/>
      <c r="M2535" s="106" t="str">
        <f>SUMIFS(Ere!C:C,Ere!B:B,A2535)</f>
        <v>0</v>
      </c>
      <c r="N2535" s="106" t="str">
        <f t="shared" si="7"/>
        <v>0</v>
      </c>
      <c r="O2535" s="107" t="str">
        <f t="array" ref="O2535">XLOOKUP(A2535,Data!F:F,Data!O:O)</f>
        <v/>
      </c>
      <c r="P2535" s="107" t="str">
        <f t="shared" si="8"/>
        <v>  -   </v>
      </c>
      <c r="Q2535" s="27"/>
    </row>
    <row r="2536" ht="15.75" customHeight="1">
      <c r="A2536" s="113" t="s">
        <v>2780</v>
      </c>
      <c r="B2536" s="19" t="str">
        <f t="array" ref="B2536">XLOOKUP(A2536,Data!F:F,Data!G:G)</f>
        <v>J3B</v>
      </c>
      <c r="C2536" s="19" t="str">
        <f t="shared" si="3"/>
        <v>J046</v>
      </c>
      <c r="D2536" s="19" t="str">
        <f t="array" ref="D2536">XLOOKUP(A2536,Data!F:F,Data!C:C)</f>
        <v/>
      </c>
      <c r="E2536" s="19" t="str">
        <f t="array" ref="E2536">XLOOKUP(A2536,Data!F:F,Data!H:H)</f>
        <v/>
      </c>
      <c r="F2536" s="106" t="str">
        <f>SUMIFS(Data!J:J,Data!F:F,A2536)</f>
        <v>0</v>
      </c>
      <c r="G2536" s="106" t="str">
        <f>SUMIFS(Cast!C:C,CastElements,A2536)</f>
        <v>0</v>
      </c>
      <c r="H2536" s="106" t="str">
        <f t="shared" si="4"/>
        <v>0</v>
      </c>
      <c r="I2536" s="106" t="str">
        <f>SUMIFS(Del!C:C,Del!B:B,A2536)</f>
        <v>0</v>
      </c>
      <c r="J2536" s="106" t="str">
        <f t="shared" si="5"/>
        <v>0</v>
      </c>
      <c r="K2536" s="106" t="str">
        <f t="shared" si="6"/>
        <v>0</v>
      </c>
      <c r="L2536" s="106"/>
      <c r="M2536" s="106" t="str">
        <f>SUMIFS(Ere!C:C,Ere!B:B,A2536)</f>
        <v>0</v>
      </c>
      <c r="N2536" s="106" t="str">
        <f t="shared" si="7"/>
        <v>0</v>
      </c>
      <c r="O2536" s="107" t="str">
        <f t="array" ref="O2536">XLOOKUP(A2536,Data!F:F,Data!O:O)</f>
        <v/>
      </c>
      <c r="P2536" s="107" t="str">
        <f t="shared" si="8"/>
        <v>  -   </v>
      </c>
      <c r="Q2536" s="27"/>
    </row>
    <row r="2537" ht="15.75" customHeight="1">
      <c r="A2537" s="113" t="s">
        <v>2781</v>
      </c>
      <c r="B2537" s="19" t="str">
        <f t="array" ref="B2537">XLOOKUP(A2537,Data!F:F,Data!G:G)</f>
        <v>J3B</v>
      </c>
      <c r="C2537" s="19" t="str">
        <f t="shared" si="3"/>
        <v>J046</v>
      </c>
      <c r="D2537" s="19" t="str">
        <f t="array" ref="D2537">XLOOKUP(A2537,Data!F:F,Data!C:C)</f>
        <v/>
      </c>
      <c r="E2537" s="19" t="str">
        <f t="array" ref="E2537">XLOOKUP(A2537,Data!F:F,Data!H:H)</f>
        <v/>
      </c>
      <c r="F2537" s="106" t="str">
        <f>SUMIFS(Data!J:J,Data!F:F,A2537)</f>
        <v>0</v>
      </c>
      <c r="G2537" s="106" t="str">
        <f>SUMIFS(Cast!C:C,CastElements,A2537)</f>
        <v>0</v>
      </c>
      <c r="H2537" s="106" t="str">
        <f t="shared" si="4"/>
        <v>0</v>
      </c>
      <c r="I2537" s="106" t="str">
        <f>SUMIFS(Del!C:C,Del!B:B,A2537)</f>
        <v>0</v>
      </c>
      <c r="J2537" s="106" t="str">
        <f t="shared" si="5"/>
        <v>0</v>
      </c>
      <c r="K2537" s="106" t="str">
        <f t="shared" si="6"/>
        <v>0</v>
      </c>
      <c r="L2537" s="106"/>
      <c r="M2537" s="106" t="str">
        <f>SUMIFS(Ere!C:C,Ere!B:B,A2537)</f>
        <v>0</v>
      </c>
      <c r="N2537" s="106" t="str">
        <f t="shared" si="7"/>
        <v>0</v>
      </c>
      <c r="O2537" s="107" t="str">
        <f t="array" ref="O2537">XLOOKUP(A2537,Data!F:F,Data!O:O)</f>
        <v/>
      </c>
      <c r="P2537" s="107" t="str">
        <f t="shared" si="8"/>
        <v>  -   </v>
      </c>
      <c r="Q2537" s="27"/>
    </row>
    <row r="2538" ht="15.75" customHeight="1">
      <c r="A2538" s="113" t="s">
        <v>2782</v>
      </c>
      <c r="B2538" s="19" t="str">
        <f t="array" ref="B2538">XLOOKUP(A2538,Data!F:F,Data!G:G)</f>
        <v>J3B</v>
      </c>
      <c r="C2538" s="19" t="str">
        <f t="shared" si="3"/>
        <v>J046</v>
      </c>
      <c r="D2538" s="19" t="str">
        <f t="array" ref="D2538">XLOOKUP(A2538,Data!F:F,Data!C:C)</f>
        <v/>
      </c>
      <c r="E2538" s="19" t="str">
        <f t="array" ref="E2538">XLOOKUP(A2538,Data!F:F,Data!H:H)</f>
        <v/>
      </c>
      <c r="F2538" s="106" t="str">
        <f>SUMIFS(Data!J:J,Data!F:F,A2538)</f>
        <v>0</v>
      </c>
      <c r="G2538" s="106" t="str">
        <f>SUMIFS(Cast!C:C,CastElements,A2538)</f>
        <v>0</v>
      </c>
      <c r="H2538" s="106" t="str">
        <f t="shared" si="4"/>
        <v>0</v>
      </c>
      <c r="I2538" s="106" t="str">
        <f>SUMIFS(Del!C:C,Del!B:B,A2538)</f>
        <v>0</v>
      </c>
      <c r="J2538" s="106" t="str">
        <f t="shared" si="5"/>
        <v>0</v>
      </c>
      <c r="K2538" s="106" t="str">
        <f t="shared" si="6"/>
        <v>0</v>
      </c>
      <c r="L2538" s="106"/>
      <c r="M2538" s="106" t="str">
        <f>SUMIFS(Ere!C:C,Ere!B:B,A2538)</f>
        <v>0</v>
      </c>
      <c r="N2538" s="106" t="str">
        <f t="shared" si="7"/>
        <v>0</v>
      </c>
      <c r="O2538" s="107" t="str">
        <f t="array" ref="O2538">XLOOKUP(A2538,Data!F:F,Data!O:O)</f>
        <v/>
      </c>
      <c r="P2538" s="107" t="str">
        <f t="shared" si="8"/>
        <v>  -   </v>
      </c>
      <c r="Q2538" s="27"/>
    </row>
    <row r="2539" ht="15.75" customHeight="1">
      <c r="A2539" s="113" t="s">
        <v>2783</v>
      </c>
      <c r="B2539" s="19" t="str">
        <f t="array" ref="B2539">XLOOKUP(A2539,Data!F:F,Data!G:G)</f>
        <v>J3B</v>
      </c>
      <c r="C2539" s="19" t="str">
        <f t="shared" si="3"/>
        <v>J046</v>
      </c>
      <c r="D2539" s="19" t="str">
        <f t="array" ref="D2539">XLOOKUP(A2539,Data!F:F,Data!C:C)</f>
        <v/>
      </c>
      <c r="E2539" s="19" t="str">
        <f t="array" ref="E2539">XLOOKUP(A2539,Data!F:F,Data!H:H)</f>
        <v/>
      </c>
      <c r="F2539" s="106" t="str">
        <f>SUMIFS(Data!J:J,Data!F:F,A2539)</f>
        <v>0</v>
      </c>
      <c r="G2539" s="106" t="str">
        <f>SUMIFS(Cast!C:C,CastElements,A2539)</f>
        <v>0</v>
      </c>
      <c r="H2539" s="106" t="str">
        <f t="shared" si="4"/>
        <v>0</v>
      </c>
      <c r="I2539" s="106" t="str">
        <f>SUMIFS(Del!C:C,Del!B:B,A2539)</f>
        <v>0</v>
      </c>
      <c r="J2539" s="106" t="str">
        <f t="shared" si="5"/>
        <v>0</v>
      </c>
      <c r="K2539" s="106" t="str">
        <f t="shared" si="6"/>
        <v>0</v>
      </c>
      <c r="L2539" s="106"/>
      <c r="M2539" s="106" t="str">
        <f>SUMIFS(Ere!C:C,Ere!B:B,A2539)</f>
        <v>0</v>
      </c>
      <c r="N2539" s="106" t="str">
        <f t="shared" si="7"/>
        <v>0</v>
      </c>
      <c r="O2539" s="107" t="str">
        <f t="array" ref="O2539">XLOOKUP(A2539,Data!F:F,Data!O:O)</f>
        <v/>
      </c>
      <c r="P2539" s="107" t="str">
        <f t="shared" si="8"/>
        <v>  -   </v>
      </c>
      <c r="Q2539" s="27"/>
    </row>
    <row r="2540" ht="15.75" customHeight="1">
      <c r="A2540" s="113" t="s">
        <v>2784</v>
      </c>
      <c r="B2540" s="19" t="str">
        <f t="array" ref="B2540">XLOOKUP(A2540,Data!F:F,Data!G:G)</f>
        <v>J3B</v>
      </c>
      <c r="C2540" s="19" t="str">
        <f t="shared" si="3"/>
        <v>J046</v>
      </c>
      <c r="D2540" s="19" t="str">
        <f t="array" ref="D2540">XLOOKUP(A2540,Data!F:F,Data!C:C)</f>
        <v/>
      </c>
      <c r="E2540" s="19" t="str">
        <f t="array" ref="E2540">XLOOKUP(A2540,Data!F:F,Data!H:H)</f>
        <v/>
      </c>
      <c r="F2540" s="106" t="str">
        <f>SUMIFS(Data!J:J,Data!F:F,A2540)</f>
        <v>0</v>
      </c>
      <c r="G2540" s="106" t="str">
        <f>SUMIFS(Cast!C:C,CastElements,A2540)</f>
        <v>0</v>
      </c>
      <c r="H2540" s="106" t="str">
        <f t="shared" si="4"/>
        <v>0</v>
      </c>
      <c r="I2540" s="106" t="str">
        <f>SUMIFS(Del!C:C,Del!B:B,A2540)</f>
        <v>0</v>
      </c>
      <c r="J2540" s="106" t="str">
        <f t="shared" si="5"/>
        <v>0</v>
      </c>
      <c r="K2540" s="106" t="str">
        <f t="shared" si="6"/>
        <v>0</v>
      </c>
      <c r="L2540" s="106"/>
      <c r="M2540" s="106" t="str">
        <f>SUMIFS(Ere!C:C,Ere!B:B,A2540)</f>
        <v>0</v>
      </c>
      <c r="N2540" s="106" t="str">
        <f t="shared" si="7"/>
        <v>0</v>
      </c>
      <c r="O2540" s="107" t="str">
        <f t="array" ref="O2540">XLOOKUP(A2540,Data!F:F,Data!O:O)</f>
        <v/>
      </c>
      <c r="P2540" s="107" t="str">
        <f t="shared" si="8"/>
        <v>  -   </v>
      </c>
      <c r="Q2540" s="27"/>
    </row>
    <row r="2541" ht="15.75" customHeight="1">
      <c r="A2541" s="113" t="s">
        <v>2785</v>
      </c>
      <c r="B2541" s="19" t="str">
        <f t="array" ref="B2541">XLOOKUP(A2541,Data!F:F,Data!G:G)</f>
        <v>J3B</v>
      </c>
      <c r="C2541" s="19" t="str">
        <f t="shared" si="3"/>
        <v>J046</v>
      </c>
      <c r="D2541" s="19" t="str">
        <f t="array" ref="D2541">XLOOKUP(A2541,Data!F:F,Data!C:C)</f>
        <v/>
      </c>
      <c r="E2541" s="19" t="str">
        <f t="array" ref="E2541">XLOOKUP(A2541,Data!F:F,Data!H:H)</f>
        <v/>
      </c>
      <c r="F2541" s="106" t="str">
        <f>SUMIFS(Data!J:J,Data!F:F,A2541)</f>
        <v>0</v>
      </c>
      <c r="G2541" s="106" t="str">
        <f>SUMIFS(Cast!C:C,CastElements,A2541)</f>
        <v>0</v>
      </c>
      <c r="H2541" s="106" t="str">
        <f t="shared" si="4"/>
        <v>0</v>
      </c>
      <c r="I2541" s="106" t="str">
        <f>SUMIFS(Del!C:C,Del!B:B,A2541)</f>
        <v>0</v>
      </c>
      <c r="J2541" s="106" t="str">
        <f t="shared" si="5"/>
        <v>0</v>
      </c>
      <c r="K2541" s="106" t="str">
        <f t="shared" si="6"/>
        <v>0</v>
      </c>
      <c r="L2541" s="106"/>
      <c r="M2541" s="106" t="str">
        <f>SUMIFS(Ere!C:C,Ere!B:B,A2541)</f>
        <v>0</v>
      </c>
      <c r="N2541" s="106" t="str">
        <f t="shared" si="7"/>
        <v>0</v>
      </c>
      <c r="O2541" s="107" t="str">
        <f t="array" ref="O2541">XLOOKUP(A2541,Data!F:F,Data!O:O)</f>
        <v/>
      </c>
      <c r="P2541" s="107" t="str">
        <f t="shared" si="8"/>
        <v>  -   </v>
      </c>
      <c r="Q2541" s="27"/>
    </row>
    <row r="2542" ht="15.75" customHeight="1">
      <c r="A2542" s="113" t="s">
        <v>2786</v>
      </c>
      <c r="B2542" s="19" t="str">
        <f t="array" ref="B2542">XLOOKUP(A2542,Data!F:F,Data!G:G)</f>
        <v>J3B</v>
      </c>
      <c r="C2542" s="19" t="str">
        <f t="shared" si="3"/>
        <v>J046</v>
      </c>
      <c r="D2542" s="19" t="str">
        <f t="array" ref="D2542">XLOOKUP(A2542,Data!F:F,Data!C:C)</f>
        <v/>
      </c>
      <c r="E2542" s="19" t="str">
        <f t="array" ref="E2542">XLOOKUP(A2542,Data!F:F,Data!H:H)</f>
        <v/>
      </c>
      <c r="F2542" s="106" t="str">
        <f>SUMIFS(Data!J:J,Data!F:F,A2542)</f>
        <v>0</v>
      </c>
      <c r="G2542" s="106" t="str">
        <f>SUMIFS(Cast!C:C,CastElements,A2542)</f>
        <v>0</v>
      </c>
      <c r="H2542" s="106" t="str">
        <f t="shared" si="4"/>
        <v>0</v>
      </c>
      <c r="I2542" s="106" t="str">
        <f>SUMIFS(Del!C:C,Del!B:B,A2542)</f>
        <v>0</v>
      </c>
      <c r="J2542" s="106" t="str">
        <f t="shared" si="5"/>
        <v>0</v>
      </c>
      <c r="K2542" s="106" t="str">
        <f t="shared" si="6"/>
        <v>0</v>
      </c>
      <c r="L2542" s="106"/>
      <c r="M2542" s="106" t="str">
        <f>SUMIFS(Ere!C:C,Ere!B:B,A2542)</f>
        <v>0</v>
      </c>
      <c r="N2542" s="106" t="str">
        <f t="shared" si="7"/>
        <v>0</v>
      </c>
      <c r="O2542" s="107" t="str">
        <f t="array" ref="O2542">XLOOKUP(A2542,Data!F:F,Data!O:O)</f>
        <v/>
      </c>
      <c r="P2542" s="107" t="str">
        <f t="shared" si="8"/>
        <v>  -   </v>
      </c>
      <c r="Q2542" s="27"/>
    </row>
    <row r="2543" ht="15.75" customHeight="1">
      <c r="A2543" s="113" t="s">
        <v>2787</v>
      </c>
      <c r="B2543" s="19" t="str">
        <f t="array" ref="B2543">XLOOKUP(A2543,Data!F:F,Data!G:G)</f>
        <v>J3B</v>
      </c>
      <c r="C2543" s="19" t="str">
        <f t="shared" si="3"/>
        <v>J047</v>
      </c>
      <c r="D2543" s="19" t="str">
        <f t="array" ref="D2543">XLOOKUP(A2543,Data!F:F,Data!C:C)</f>
        <v>EXT</v>
      </c>
      <c r="E2543" s="19" t="str">
        <f t="array" ref="E2543">XLOOKUP(A2543,Data!F:F,Data!H:H)</f>
        <v/>
      </c>
      <c r="F2543" s="106" t="str">
        <f>SUMIFS(Data!J:J,Data!F:F,A2543)</f>
        <v>0</v>
      </c>
      <c r="G2543" s="106" t="str">
        <f>SUMIFS(Cast!C:C,CastElements,A2543)</f>
        <v>0</v>
      </c>
      <c r="H2543" s="106" t="str">
        <f t="shared" si="4"/>
        <v>0</v>
      </c>
      <c r="I2543" s="106" t="str">
        <f>SUMIFS(Del!C:C,Del!B:B,A2543)</f>
        <v>0</v>
      </c>
      <c r="J2543" s="106" t="str">
        <f t="shared" si="5"/>
        <v>0</v>
      </c>
      <c r="K2543" s="106" t="str">
        <f t="shared" si="6"/>
        <v>0</v>
      </c>
      <c r="L2543" s="106"/>
      <c r="M2543" s="106" t="str">
        <f>SUMIFS(Ere!C:C,Ere!B:B,A2543)</f>
        <v>0</v>
      </c>
      <c r="N2543" s="106" t="str">
        <f t="shared" si="7"/>
        <v>0</v>
      </c>
      <c r="O2543" s="107" t="str">
        <f t="array" ref="O2543">XLOOKUP(A2543,Data!F:F,Data!O:O)</f>
        <v/>
      </c>
      <c r="P2543" s="107" t="str">
        <f t="shared" si="8"/>
        <v>  -   </v>
      </c>
      <c r="Q2543" s="27"/>
    </row>
    <row r="2544" ht="15.75" customHeight="1">
      <c r="A2544" s="113" t="s">
        <v>2788</v>
      </c>
      <c r="B2544" s="19" t="str">
        <f t="array" ref="B2544">XLOOKUP(A2544,Data!F:F,Data!G:G)</f>
        <v>J3B</v>
      </c>
      <c r="C2544" s="19" t="str">
        <f t="shared" si="3"/>
        <v>J047</v>
      </c>
      <c r="D2544" s="19" t="str">
        <f t="array" ref="D2544">XLOOKUP(A2544,Data!F:F,Data!C:C)</f>
        <v>EXT</v>
      </c>
      <c r="E2544" s="19" t="str">
        <f t="array" ref="E2544">XLOOKUP(A2544,Data!F:F,Data!H:H)</f>
        <v/>
      </c>
      <c r="F2544" s="106" t="str">
        <f>SUMIFS(Data!J:J,Data!F:F,A2544)</f>
        <v>0</v>
      </c>
      <c r="G2544" s="106" t="str">
        <f>SUMIFS(Cast!C:C,CastElements,A2544)</f>
        <v>0</v>
      </c>
      <c r="H2544" s="106" t="str">
        <f t="shared" si="4"/>
        <v>0</v>
      </c>
      <c r="I2544" s="106" t="str">
        <f>SUMIFS(Del!C:C,Del!B:B,A2544)</f>
        <v>0</v>
      </c>
      <c r="J2544" s="106" t="str">
        <f t="shared" si="5"/>
        <v>0</v>
      </c>
      <c r="K2544" s="106" t="str">
        <f t="shared" si="6"/>
        <v>0</v>
      </c>
      <c r="L2544" s="106"/>
      <c r="M2544" s="106" t="str">
        <f>SUMIFS(Ere!C:C,Ere!B:B,A2544)</f>
        <v>0</v>
      </c>
      <c r="N2544" s="106" t="str">
        <f t="shared" si="7"/>
        <v>0</v>
      </c>
      <c r="O2544" s="107" t="str">
        <f t="array" ref="O2544">XLOOKUP(A2544,Data!F:F,Data!O:O)</f>
        <v/>
      </c>
      <c r="P2544" s="107" t="str">
        <f t="shared" si="8"/>
        <v>  -   </v>
      </c>
      <c r="Q2544" s="27"/>
    </row>
    <row r="2545" ht="15.75" customHeight="1">
      <c r="A2545" s="113" t="s">
        <v>2789</v>
      </c>
      <c r="B2545" s="19" t="str">
        <f t="array" ref="B2545">XLOOKUP(A2545,Data!F:F,Data!G:G)</f>
        <v>J3B</v>
      </c>
      <c r="C2545" s="19" t="str">
        <f t="shared" si="3"/>
        <v>J047</v>
      </c>
      <c r="D2545" s="19" t="str">
        <f t="array" ref="D2545">XLOOKUP(A2545,Data!F:F,Data!C:C)</f>
        <v>EXT</v>
      </c>
      <c r="E2545" s="19" t="str">
        <f t="array" ref="E2545">XLOOKUP(A2545,Data!F:F,Data!H:H)</f>
        <v/>
      </c>
      <c r="F2545" s="106" t="str">
        <f>SUMIFS(Data!J:J,Data!F:F,A2545)</f>
        <v>0</v>
      </c>
      <c r="G2545" s="106" t="str">
        <f>SUMIFS(Cast!C:C,CastElements,A2545)</f>
        <v>0</v>
      </c>
      <c r="H2545" s="106" t="str">
        <f t="shared" si="4"/>
        <v>0</v>
      </c>
      <c r="I2545" s="106" t="str">
        <f>SUMIFS(Del!C:C,Del!B:B,A2545)</f>
        <v>0</v>
      </c>
      <c r="J2545" s="106" t="str">
        <f t="shared" si="5"/>
        <v>0</v>
      </c>
      <c r="K2545" s="106" t="str">
        <f t="shared" si="6"/>
        <v>0</v>
      </c>
      <c r="L2545" s="106"/>
      <c r="M2545" s="106" t="str">
        <f>SUMIFS(Ere!C:C,Ere!B:B,A2545)</f>
        <v>0</v>
      </c>
      <c r="N2545" s="106" t="str">
        <f t="shared" si="7"/>
        <v>0</v>
      </c>
      <c r="O2545" s="107" t="str">
        <f t="array" ref="O2545">XLOOKUP(A2545,Data!F:F,Data!O:O)</f>
        <v/>
      </c>
      <c r="P2545" s="107" t="str">
        <f t="shared" si="8"/>
        <v>  -   </v>
      </c>
      <c r="Q2545" s="27"/>
    </row>
    <row r="2546" ht="15.75" customHeight="1">
      <c r="A2546" s="113" t="s">
        <v>2790</v>
      </c>
      <c r="B2546" s="19" t="str">
        <f t="array" ref="B2546">XLOOKUP(A2546,Data!F:F,Data!G:G)</f>
        <v>J3B</v>
      </c>
      <c r="C2546" s="19" t="str">
        <f t="shared" si="3"/>
        <v>J047</v>
      </c>
      <c r="D2546" s="19" t="str">
        <f t="array" ref="D2546">XLOOKUP(A2546,Data!F:F,Data!C:C)</f>
        <v>EXT</v>
      </c>
      <c r="E2546" s="19" t="str">
        <f t="array" ref="E2546">XLOOKUP(A2546,Data!F:F,Data!H:H)</f>
        <v/>
      </c>
      <c r="F2546" s="106" t="str">
        <f>SUMIFS(Data!J:J,Data!F:F,A2546)</f>
        <v>0</v>
      </c>
      <c r="G2546" s="106" t="str">
        <f>SUMIFS(Cast!C:C,CastElements,A2546)</f>
        <v>0</v>
      </c>
      <c r="H2546" s="106" t="str">
        <f t="shared" si="4"/>
        <v>0</v>
      </c>
      <c r="I2546" s="106" t="str">
        <f>SUMIFS(Del!C:C,Del!B:B,A2546)</f>
        <v>0</v>
      </c>
      <c r="J2546" s="106" t="str">
        <f t="shared" si="5"/>
        <v>0</v>
      </c>
      <c r="K2546" s="106" t="str">
        <f t="shared" si="6"/>
        <v>0</v>
      </c>
      <c r="L2546" s="106"/>
      <c r="M2546" s="106" t="str">
        <f>SUMIFS(Ere!C:C,Ere!B:B,A2546)</f>
        <v>0</v>
      </c>
      <c r="N2546" s="106" t="str">
        <f t="shared" si="7"/>
        <v>0</v>
      </c>
      <c r="O2546" s="107" t="str">
        <f t="array" ref="O2546">XLOOKUP(A2546,Data!F:F,Data!O:O)</f>
        <v/>
      </c>
      <c r="P2546" s="107" t="str">
        <f t="shared" si="8"/>
        <v>  -   </v>
      </c>
      <c r="Q2546" s="27"/>
    </row>
    <row r="2547" ht="15.75" customHeight="1">
      <c r="A2547" s="113" t="s">
        <v>2791</v>
      </c>
      <c r="B2547" s="19" t="str">
        <f t="array" ref="B2547">XLOOKUP(A2547,Data!F:F,Data!G:G)</f>
        <v>J3B</v>
      </c>
      <c r="C2547" s="19" t="str">
        <f t="shared" si="3"/>
        <v>J047</v>
      </c>
      <c r="D2547" s="19" t="str">
        <f t="array" ref="D2547">XLOOKUP(A2547,Data!F:F,Data!C:C)</f>
        <v>EXT</v>
      </c>
      <c r="E2547" s="19" t="str">
        <f t="array" ref="E2547">XLOOKUP(A2547,Data!F:F,Data!H:H)</f>
        <v/>
      </c>
      <c r="F2547" s="106" t="str">
        <f>SUMIFS(Data!J:J,Data!F:F,A2547)</f>
        <v>0</v>
      </c>
      <c r="G2547" s="106" t="str">
        <f>SUMIFS(Cast!C:C,CastElements,A2547)</f>
        <v>0</v>
      </c>
      <c r="H2547" s="106" t="str">
        <f t="shared" si="4"/>
        <v>0</v>
      </c>
      <c r="I2547" s="106" t="str">
        <f>SUMIFS(Del!C:C,Del!B:B,A2547)</f>
        <v>0</v>
      </c>
      <c r="J2547" s="106" t="str">
        <f t="shared" si="5"/>
        <v>0</v>
      </c>
      <c r="K2547" s="106" t="str">
        <f t="shared" si="6"/>
        <v>0</v>
      </c>
      <c r="L2547" s="106"/>
      <c r="M2547" s="106" t="str">
        <f>SUMIFS(Ere!C:C,Ere!B:B,A2547)</f>
        <v>0</v>
      </c>
      <c r="N2547" s="106" t="str">
        <f t="shared" si="7"/>
        <v>0</v>
      </c>
      <c r="O2547" s="107" t="str">
        <f t="array" ref="O2547">XLOOKUP(A2547,Data!F:F,Data!O:O)</f>
        <v/>
      </c>
      <c r="P2547" s="107" t="str">
        <f t="shared" si="8"/>
        <v>  -   </v>
      </c>
      <c r="Q2547" s="27"/>
    </row>
    <row r="2548" ht="15.75" customHeight="1">
      <c r="A2548" s="113" t="s">
        <v>2792</v>
      </c>
      <c r="B2548" s="19" t="str">
        <f t="array" ref="B2548">XLOOKUP(A2548,Data!F:F,Data!G:G)</f>
        <v>J3B</v>
      </c>
      <c r="C2548" s="19" t="str">
        <f t="shared" si="3"/>
        <v>J047</v>
      </c>
      <c r="D2548" s="19" t="str">
        <f t="array" ref="D2548">XLOOKUP(A2548,Data!F:F,Data!C:C)</f>
        <v>EXT</v>
      </c>
      <c r="E2548" s="19" t="str">
        <f t="array" ref="E2548">XLOOKUP(A2548,Data!F:F,Data!H:H)</f>
        <v/>
      </c>
      <c r="F2548" s="106" t="str">
        <f>SUMIFS(Data!J:J,Data!F:F,A2548)</f>
        <v>0</v>
      </c>
      <c r="G2548" s="106" t="str">
        <f>SUMIFS(Cast!C:C,CastElements,A2548)</f>
        <v>0</v>
      </c>
      <c r="H2548" s="106" t="str">
        <f t="shared" si="4"/>
        <v>0</v>
      </c>
      <c r="I2548" s="106" t="str">
        <f>SUMIFS(Del!C:C,Del!B:B,A2548)</f>
        <v>0</v>
      </c>
      <c r="J2548" s="106" t="str">
        <f t="shared" si="5"/>
        <v>0</v>
      </c>
      <c r="K2548" s="106" t="str">
        <f t="shared" si="6"/>
        <v>0</v>
      </c>
      <c r="L2548" s="106"/>
      <c r="M2548" s="106" t="str">
        <f>SUMIFS(Ere!C:C,Ere!B:B,A2548)</f>
        <v>0</v>
      </c>
      <c r="N2548" s="106" t="str">
        <f t="shared" si="7"/>
        <v>0</v>
      </c>
      <c r="O2548" s="107" t="str">
        <f t="array" ref="O2548">XLOOKUP(A2548,Data!F:F,Data!O:O)</f>
        <v/>
      </c>
      <c r="P2548" s="107" t="str">
        <f t="shared" si="8"/>
        <v>  -   </v>
      </c>
      <c r="Q2548" s="27"/>
    </row>
    <row r="2549" ht="15.75" customHeight="1">
      <c r="A2549" s="113" t="s">
        <v>2793</v>
      </c>
      <c r="B2549" s="19" t="str">
        <f t="array" ref="B2549">XLOOKUP(A2549,Data!F:F,Data!G:G)</f>
        <v>J3B</v>
      </c>
      <c r="C2549" s="19" t="str">
        <f t="shared" si="3"/>
        <v>J047</v>
      </c>
      <c r="D2549" s="19" t="str">
        <f t="array" ref="D2549">XLOOKUP(A2549,Data!F:F,Data!C:C)</f>
        <v>EXT</v>
      </c>
      <c r="E2549" s="19" t="str">
        <f t="array" ref="E2549">XLOOKUP(A2549,Data!F:F,Data!H:H)</f>
        <v/>
      </c>
      <c r="F2549" s="106" t="str">
        <f>SUMIFS(Data!J:J,Data!F:F,A2549)</f>
        <v>0</v>
      </c>
      <c r="G2549" s="106" t="str">
        <f>SUMIFS(Cast!C:C,CastElements,A2549)</f>
        <v>0</v>
      </c>
      <c r="H2549" s="106" t="str">
        <f t="shared" si="4"/>
        <v>0</v>
      </c>
      <c r="I2549" s="106" t="str">
        <f>SUMIFS(Del!C:C,Del!B:B,A2549)</f>
        <v>0</v>
      </c>
      <c r="J2549" s="106" t="str">
        <f t="shared" si="5"/>
        <v>0</v>
      </c>
      <c r="K2549" s="106" t="str">
        <f t="shared" si="6"/>
        <v>0</v>
      </c>
      <c r="L2549" s="106"/>
      <c r="M2549" s="106" t="str">
        <f>SUMIFS(Ere!C:C,Ere!B:B,A2549)</f>
        <v>0</v>
      </c>
      <c r="N2549" s="106" t="str">
        <f t="shared" si="7"/>
        <v>0</v>
      </c>
      <c r="O2549" s="107" t="str">
        <f t="array" ref="O2549">XLOOKUP(A2549,Data!F:F,Data!O:O)</f>
        <v/>
      </c>
      <c r="P2549" s="107" t="str">
        <f t="shared" si="8"/>
        <v>  -   </v>
      </c>
      <c r="Q2549" s="27"/>
    </row>
    <row r="2550" ht="15.75" customHeight="1">
      <c r="A2550" s="113" t="s">
        <v>2794</v>
      </c>
      <c r="B2550" s="19" t="str">
        <f t="array" ref="B2550">XLOOKUP(A2550,Data!F:F,Data!G:G)</f>
        <v>J3B</v>
      </c>
      <c r="C2550" s="19" t="str">
        <f t="shared" si="3"/>
        <v>J047</v>
      </c>
      <c r="D2550" s="19" t="str">
        <f t="array" ref="D2550">XLOOKUP(A2550,Data!F:F,Data!C:C)</f>
        <v>EXT</v>
      </c>
      <c r="E2550" s="19" t="str">
        <f t="array" ref="E2550">XLOOKUP(A2550,Data!F:F,Data!H:H)</f>
        <v/>
      </c>
      <c r="F2550" s="106" t="str">
        <f>SUMIFS(Data!J:J,Data!F:F,A2550)</f>
        <v>0</v>
      </c>
      <c r="G2550" s="106" t="str">
        <f>SUMIFS(Cast!C:C,CastElements,A2550)</f>
        <v>0</v>
      </c>
      <c r="H2550" s="106" t="str">
        <f t="shared" si="4"/>
        <v>0</v>
      </c>
      <c r="I2550" s="106" t="str">
        <f>SUMIFS(Del!C:C,Del!B:B,A2550)</f>
        <v>0</v>
      </c>
      <c r="J2550" s="106" t="str">
        <f t="shared" si="5"/>
        <v>0</v>
      </c>
      <c r="K2550" s="106" t="str">
        <f t="shared" si="6"/>
        <v>0</v>
      </c>
      <c r="L2550" s="106"/>
      <c r="M2550" s="106" t="str">
        <f>SUMIFS(Ere!C:C,Ere!B:B,A2550)</f>
        <v>0</v>
      </c>
      <c r="N2550" s="106" t="str">
        <f t="shared" si="7"/>
        <v>0</v>
      </c>
      <c r="O2550" s="107" t="str">
        <f t="array" ref="O2550">XLOOKUP(A2550,Data!F:F,Data!O:O)</f>
        <v/>
      </c>
      <c r="P2550" s="107" t="str">
        <f t="shared" si="8"/>
        <v>  -   </v>
      </c>
      <c r="Q2550" s="27"/>
    </row>
    <row r="2551" ht="15.75" customHeight="1">
      <c r="A2551" s="113" t="s">
        <v>2795</v>
      </c>
      <c r="B2551" s="19" t="str">
        <f t="array" ref="B2551">XLOOKUP(A2551,Data!F:F,Data!G:G)</f>
        <v>J3B</v>
      </c>
      <c r="C2551" s="19" t="str">
        <f t="shared" si="3"/>
        <v>J047</v>
      </c>
      <c r="D2551" s="19" t="str">
        <f t="array" ref="D2551">XLOOKUP(A2551,Data!F:F,Data!C:C)</f>
        <v>EXT</v>
      </c>
      <c r="E2551" s="19" t="str">
        <f t="array" ref="E2551">XLOOKUP(A2551,Data!F:F,Data!H:H)</f>
        <v/>
      </c>
      <c r="F2551" s="106" t="str">
        <f>SUMIFS(Data!J:J,Data!F:F,A2551)</f>
        <v>0</v>
      </c>
      <c r="G2551" s="106" t="str">
        <f>SUMIFS(Cast!C:C,CastElements,A2551)</f>
        <v>0</v>
      </c>
      <c r="H2551" s="106" t="str">
        <f t="shared" si="4"/>
        <v>0</v>
      </c>
      <c r="I2551" s="106" t="str">
        <f>SUMIFS(Del!C:C,Del!B:B,A2551)</f>
        <v>0</v>
      </c>
      <c r="J2551" s="106" t="str">
        <f t="shared" si="5"/>
        <v>0</v>
      </c>
      <c r="K2551" s="106" t="str">
        <f t="shared" si="6"/>
        <v>0</v>
      </c>
      <c r="L2551" s="106"/>
      <c r="M2551" s="106" t="str">
        <f>SUMIFS(Ere!C:C,Ere!B:B,A2551)</f>
        <v>0</v>
      </c>
      <c r="N2551" s="106" t="str">
        <f t="shared" si="7"/>
        <v>0</v>
      </c>
      <c r="O2551" s="107" t="str">
        <f t="array" ref="O2551">XLOOKUP(A2551,Data!F:F,Data!O:O)</f>
        <v/>
      </c>
      <c r="P2551" s="107" t="str">
        <f t="shared" si="8"/>
        <v>  -   </v>
      </c>
      <c r="Q2551" s="27"/>
    </row>
    <row r="2552" ht="15.75" customHeight="1">
      <c r="A2552" s="113" t="s">
        <v>2796</v>
      </c>
      <c r="B2552" s="19" t="str">
        <f t="array" ref="B2552">XLOOKUP(A2552,Data!F:F,Data!G:G)</f>
        <v>J3B</v>
      </c>
      <c r="C2552" s="19" t="str">
        <f t="shared" si="3"/>
        <v>J047</v>
      </c>
      <c r="D2552" s="19" t="str">
        <f t="array" ref="D2552">XLOOKUP(A2552,Data!F:F,Data!C:C)</f>
        <v>EXT</v>
      </c>
      <c r="E2552" s="19" t="str">
        <f t="array" ref="E2552">XLOOKUP(A2552,Data!F:F,Data!H:H)</f>
        <v/>
      </c>
      <c r="F2552" s="106" t="str">
        <f>SUMIFS(Data!J:J,Data!F:F,A2552)</f>
        <v>0</v>
      </c>
      <c r="G2552" s="106" t="str">
        <f>SUMIFS(Cast!C:C,CastElements,A2552)</f>
        <v>0</v>
      </c>
      <c r="H2552" s="106" t="str">
        <f t="shared" si="4"/>
        <v>0</v>
      </c>
      <c r="I2552" s="106" t="str">
        <f>SUMIFS(Del!C:C,Del!B:B,A2552)</f>
        <v>0</v>
      </c>
      <c r="J2552" s="106" t="str">
        <f t="shared" si="5"/>
        <v>0</v>
      </c>
      <c r="K2552" s="106" t="str">
        <f t="shared" si="6"/>
        <v>0</v>
      </c>
      <c r="L2552" s="106"/>
      <c r="M2552" s="106" t="str">
        <f>SUMIFS(Ere!C:C,Ere!B:B,A2552)</f>
        <v>0</v>
      </c>
      <c r="N2552" s="106" t="str">
        <f t="shared" si="7"/>
        <v>0</v>
      </c>
      <c r="O2552" s="107" t="str">
        <f t="array" ref="O2552">XLOOKUP(A2552,Data!F:F,Data!O:O)</f>
        <v/>
      </c>
      <c r="P2552" s="107" t="str">
        <f t="shared" si="8"/>
        <v>  -   </v>
      </c>
      <c r="Q2552" s="27"/>
    </row>
    <row r="2553" ht="15.75" customHeight="1">
      <c r="A2553" s="113" t="s">
        <v>2797</v>
      </c>
      <c r="B2553" s="19" t="str">
        <f t="array" ref="B2553">XLOOKUP(A2553,Data!F:F,Data!G:G)</f>
        <v>J3B</v>
      </c>
      <c r="C2553" s="19" t="str">
        <f t="shared" si="3"/>
        <v>J047</v>
      </c>
      <c r="D2553" s="19" t="str">
        <f t="array" ref="D2553">XLOOKUP(A2553,Data!F:F,Data!C:C)</f>
        <v>EXT</v>
      </c>
      <c r="E2553" s="19" t="str">
        <f t="array" ref="E2553">XLOOKUP(A2553,Data!F:F,Data!H:H)</f>
        <v/>
      </c>
      <c r="F2553" s="106" t="str">
        <f>SUMIFS(Data!J:J,Data!F:F,A2553)</f>
        <v>0</v>
      </c>
      <c r="G2553" s="106" t="str">
        <f>SUMIFS(Cast!C:C,CastElements,A2553)</f>
        <v>0</v>
      </c>
      <c r="H2553" s="106" t="str">
        <f t="shared" si="4"/>
        <v>0</v>
      </c>
      <c r="I2553" s="106" t="str">
        <f>SUMIFS(Del!C:C,Del!B:B,A2553)</f>
        <v>0</v>
      </c>
      <c r="J2553" s="106" t="str">
        <f t="shared" si="5"/>
        <v>0</v>
      </c>
      <c r="K2553" s="106" t="str">
        <f t="shared" si="6"/>
        <v>0</v>
      </c>
      <c r="L2553" s="106"/>
      <c r="M2553" s="106" t="str">
        <f>SUMIFS(Ere!C:C,Ere!B:B,A2553)</f>
        <v>0</v>
      </c>
      <c r="N2553" s="106" t="str">
        <f t="shared" si="7"/>
        <v>0</v>
      </c>
      <c r="O2553" s="107" t="str">
        <f t="array" ref="O2553">XLOOKUP(A2553,Data!F:F,Data!O:O)</f>
        <v/>
      </c>
      <c r="P2553" s="107" t="str">
        <f t="shared" si="8"/>
        <v>  -   </v>
      </c>
      <c r="Q2553" s="27"/>
    </row>
    <row r="2554" ht="15.75" customHeight="1">
      <c r="A2554" s="113" t="s">
        <v>2798</v>
      </c>
      <c r="B2554" s="19" t="str">
        <f t="array" ref="B2554">XLOOKUP(A2554,Data!F:F,Data!G:G)</f>
        <v>J3B</v>
      </c>
      <c r="C2554" s="19" t="str">
        <f t="shared" si="3"/>
        <v>J047</v>
      </c>
      <c r="D2554" s="19" t="str">
        <f t="array" ref="D2554">XLOOKUP(A2554,Data!F:F,Data!C:C)</f>
        <v>EXT</v>
      </c>
      <c r="E2554" s="19" t="str">
        <f t="array" ref="E2554">XLOOKUP(A2554,Data!F:F,Data!H:H)</f>
        <v/>
      </c>
      <c r="F2554" s="106" t="str">
        <f>SUMIFS(Data!J:J,Data!F:F,A2554)</f>
        <v>0</v>
      </c>
      <c r="G2554" s="106" t="str">
        <f>SUMIFS(Cast!C:C,CastElements,A2554)</f>
        <v>0</v>
      </c>
      <c r="H2554" s="106" t="str">
        <f t="shared" si="4"/>
        <v>0</v>
      </c>
      <c r="I2554" s="106" t="str">
        <f>SUMIFS(Del!C:C,Del!B:B,A2554)</f>
        <v>0</v>
      </c>
      <c r="J2554" s="106" t="str">
        <f t="shared" si="5"/>
        <v>0</v>
      </c>
      <c r="K2554" s="106" t="str">
        <f t="shared" si="6"/>
        <v>0</v>
      </c>
      <c r="L2554" s="106"/>
      <c r="M2554" s="106" t="str">
        <f>SUMIFS(Ere!C:C,Ere!B:B,A2554)</f>
        <v>0</v>
      </c>
      <c r="N2554" s="106" t="str">
        <f t="shared" si="7"/>
        <v>0</v>
      </c>
      <c r="O2554" s="107" t="str">
        <f t="array" ref="O2554">XLOOKUP(A2554,Data!F:F,Data!O:O)</f>
        <v/>
      </c>
      <c r="P2554" s="107" t="str">
        <f t="shared" si="8"/>
        <v>  -   </v>
      </c>
      <c r="Q2554" s="27"/>
    </row>
    <row r="2555" ht="15.75" customHeight="1">
      <c r="A2555" s="113" t="s">
        <v>2799</v>
      </c>
      <c r="B2555" s="19" t="str">
        <f t="array" ref="B2555">XLOOKUP(A2555,Data!F:F,Data!G:G)</f>
        <v>J3B</v>
      </c>
      <c r="C2555" s="19" t="str">
        <f t="shared" si="3"/>
        <v>J047</v>
      </c>
      <c r="D2555" s="19" t="str">
        <f t="array" ref="D2555">XLOOKUP(A2555,Data!F:F,Data!C:C)</f>
        <v>EXT</v>
      </c>
      <c r="E2555" s="19" t="str">
        <f t="array" ref="E2555">XLOOKUP(A2555,Data!F:F,Data!H:H)</f>
        <v/>
      </c>
      <c r="F2555" s="106" t="str">
        <f>SUMIFS(Data!J:J,Data!F:F,A2555)</f>
        <v>0</v>
      </c>
      <c r="G2555" s="106" t="str">
        <f>SUMIFS(Cast!C:C,CastElements,A2555)</f>
        <v>0</v>
      </c>
      <c r="H2555" s="106" t="str">
        <f t="shared" si="4"/>
        <v>0</v>
      </c>
      <c r="I2555" s="106" t="str">
        <f>SUMIFS(Del!C:C,Del!B:B,A2555)</f>
        <v>0</v>
      </c>
      <c r="J2555" s="106" t="str">
        <f t="shared" si="5"/>
        <v>0</v>
      </c>
      <c r="K2555" s="106" t="str">
        <f t="shared" si="6"/>
        <v>0</v>
      </c>
      <c r="L2555" s="106"/>
      <c r="M2555" s="106" t="str">
        <f>SUMIFS(Ere!C:C,Ere!B:B,A2555)</f>
        <v>0</v>
      </c>
      <c r="N2555" s="106" t="str">
        <f t="shared" si="7"/>
        <v>0</v>
      </c>
      <c r="O2555" s="107" t="str">
        <f t="array" ref="O2555">XLOOKUP(A2555,Data!F:F,Data!O:O)</f>
        <v/>
      </c>
      <c r="P2555" s="107" t="str">
        <f t="shared" si="8"/>
        <v>  -   </v>
      </c>
      <c r="Q2555" s="27"/>
    </row>
    <row r="2556" ht="15.75" customHeight="1">
      <c r="A2556" s="113" t="s">
        <v>2800</v>
      </c>
      <c r="B2556" s="19" t="str">
        <f t="array" ref="B2556">XLOOKUP(A2556,Data!F:F,Data!G:G)</f>
        <v>J3B</v>
      </c>
      <c r="C2556" s="19" t="str">
        <f t="shared" si="3"/>
        <v>J047</v>
      </c>
      <c r="D2556" s="19" t="str">
        <f t="array" ref="D2556">XLOOKUP(A2556,Data!F:F,Data!C:C)</f>
        <v/>
      </c>
      <c r="E2556" s="19" t="str">
        <f t="array" ref="E2556">XLOOKUP(A2556,Data!F:F,Data!H:H)</f>
        <v/>
      </c>
      <c r="F2556" s="106" t="str">
        <f>SUMIFS(Data!J:J,Data!F:F,A2556)</f>
        <v>0</v>
      </c>
      <c r="G2556" s="106" t="str">
        <f>SUMIFS(Cast!C:C,CastElements,A2556)</f>
        <v>0</v>
      </c>
      <c r="H2556" s="106" t="str">
        <f t="shared" si="4"/>
        <v>0</v>
      </c>
      <c r="I2556" s="106" t="str">
        <f>SUMIFS(Del!C:C,Del!B:B,A2556)</f>
        <v>0</v>
      </c>
      <c r="J2556" s="106" t="str">
        <f t="shared" si="5"/>
        <v>0</v>
      </c>
      <c r="K2556" s="106" t="str">
        <f t="shared" si="6"/>
        <v>0</v>
      </c>
      <c r="L2556" s="106"/>
      <c r="M2556" s="106" t="str">
        <f>SUMIFS(Ere!C:C,Ere!B:B,A2556)</f>
        <v>0</v>
      </c>
      <c r="N2556" s="106" t="str">
        <f t="shared" si="7"/>
        <v>0</v>
      </c>
      <c r="O2556" s="107" t="str">
        <f t="array" ref="O2556">XLOOKUP(A2556,Data!F:F,Data!O:O)</f>
        <v/>
      </c>
      <c r="P2556" s="107" t="str">
        <f t="shared" si="8"/>
        <v>  -   </v>
      </c>
      <c r="Q2556" s="27"/>
    </row>
    <row r="2557" ht="15.75" customHeight="1">
      <c r="A2557" s="113" t="s">
        <v>2801</v>
      </c>
      <c r="B2557" s="19" t="str">
        <f t="array" ref="B2557">XLOOKUP(A2557,Data!F:F,Data!G:G)</f>
        <v>J3B</v>
      </c>
      <c r="C2557" s="19" t="str">
        <f t="shared" si="3"/>
        <v>J047</v>
      </c>
      <c r="D2557" s="19" t="str">
        <f t="array" ref="D2557">XLOOKUP(A2557,Data!F:F,Data!C:C)</f>
        <v/>
      </c>
      <c r="E2557" s="19" t="str">
        <f t="array" ref="E2557">XLOOKUP(A2557,Data!F:F,Data!H:H)</f>
        <v/>
      </c>
      <c r="F2557" s="106" t="str">
        <f>SUMIFS(Data!J:J,Data!F:F,A2557)</f>
        <v>0</v>
      </c>
      <c r="G2557" s="106" t="str">
        <f>SUMIFS(Cast!C:C,CastElements,A2557)</f>
        <v>0</v>
      </c>
      <c r="H2557" s="106" t="str">
        <f t="shared" si="4"/>
        <v>0</v>
      </c>
      <c r="I2557" s="106" t="str">
        <f>SUMIFS(Del!C:C,Del!B:B,A2557)</f>
        <v>0</v>
      </c>
      <c r="J2557" s="106" t="str">
        <f t="shared" si="5"/>
        <v>0</v>
      </c>
      <c r="K2557" s="106" t="str">
        <f t="shared" si="6"/>
        <v>0</v>
      </c>
      <c r="L2557" s="106"/>
      <c r="M2557" s="106" t="str">
        <f>SUMIFS(Ere!C:C,Ere!B:B,A2557)</f>
        <v>0</v>
      </c>
      <c r="N2557" s="106" t="str">
        <f t="shared" si="7"/>
        <v>0</v>
      </c>
      <c r="O2557" s="107" t="str">
        <f t="array" ref="O2557">XLOOKUP(A2557,Data!F:F,Data!O:O)</f>
        <v/>
      </c>
      <c r="P2557" s="107" t="str">
        <f t="shared" si="8"/>
        <v>  -   </v>
      </c>
      <c r="Q2557" s="27"/>
    </row>
    <row r="2558" ht="15.75" customHeight="1">
      <c r="A2558" s="113" t="s">
        <v>2802</v>
      </c>
      <c r="B2558" s="19" t="str">
        <f t="array" ref="B2558">XLOOKUP(A2558,Data!F:F,Data!G:G)</f>
        <v>J3B</v>
      </c>
      <c r="C2558" s="19" t="str">
        <f t="shared" si="3"/>
        <v>J047</v>
      </c>
      <c r="D2558" s="19" t="str">
        <f t="array" ref="D2558">XLOOKUP(A2558,Data!F:F,Data!C:C)</f>
        <v>EXT</v>
      </c>
      <c r="E2558" s="19" t="str">
        <f t="array" ref="E2558">XLOOKUP(A2558,Data!F:F,Data!H:H)</f>
        <v/>
      </c>
      <c r="F2558" s="106" t="str">
        <f>SUMIFS(Data!J:J,Data!F:F,A2558)</f>
        <v>0</v>
      </c>
      <c r="G2558" s="106" t="str">
        <f>SUMIFS(Cast!C:C,CastElements,A2558)</f>
        <v>0</v>
      </c>
      <c r="H2558" s="106" t="str">
        <f t="shared" si="4"/>
        <v>0</v>
      </c>
      <c r="I2558" s="106" t="str">
        <f>SUMIFS(Del!C:C,Del!B:B,A2558)</f>
        <v>0</v>
      </c>
      <c r="J2558" s="106" t="str">
        <f t="shared" si="5"/>
        <v>0</v>
      </c>
      <c r="K2558" s="106" t="str">
        <f t="shared" si="6"/>
        <v>0</v>
      </c>
      <c r="L2558" s="106"/>
      <c r="M2558" s="106" t="str">
        <f>SUMIFS(Ere!C:C,Ere!B:B,A2558)</f>
        <v>0</v>
      </c>
      <c r="N2558" s="106" t="str">
        <f t="shared" si="7"/>
        <v>0</v>
      </c>
      <c r="O2558" s="107" t="str">
        <f t="array" ref="O2558">XLOOKUP(A2558,Data!F:F,Data!O:O)</f>
        <v/>
      </c>
      <c r="P2558" s="107" t="str">
        <f t="shared" si="8"/>
        <v>  -   </v>
      </c>
      <c r="Q2558" s="27"/>
    </row>
    <row r="2559" ht="15.75" customHeight="1">
      <c r="A2559" s="113" t="s">
        <v>2803</v>
      </c>
      <c r="B2559" s="19" t="str">
        <f t="array" ref="B2559">XLOOKUP(A2559,Data!F:F,Data!G:G)</f>
        <v>J3B</v>
      </c>
      <c r="C2559" s="19" t="str">
        <f t="shared" si="3"/>
        <v>J047</v>
      </c>
      <c r="D2559" s="19" t="str">
        <f t="array" ref="D2559">XLOOKUP(A2559,Data!F:F,Data!C:C)</f>
        <v/>
      </c>
      <c r="E2559" s="19" t="str">
        <f t="array" ref="E2559">XLOOKUP(A2559,Data!F:F,Data!H:H)</f>
        <v/>
      </c>
      <c r="F2559" s="106" t="str">
        <f>SUMIFS(Data!J:J,Data!F:F,A2559)</f>
        <v>0</v>
      </c>
      <c r="G2559" s="106" t="str">
        <f>SUMIFS(Cast!C:C,CastElements,A2559)</f>
        <v>0</v>
      </c>
      <c r="H2559" s="106" t="str">
        <f t="shared" si="4"/>
        <v>0</v>
      </c>
      <c r="I2559" s="106" t="str">
        <f>SUMIFS(Del!C:C,Del!B:B,A2559)</f>
        <v>0</v>
      </c>
      <c r="J2559" s="106" t="str">
        <f t="shared" si="5"/>
        <v>0</v>
      </c>
      <c r="K2559" s="106" t="str">
        <f t="shared" si="6"/>
        <v>0</v>
      </c>
      <c r="L2559" s="106"/>
      <c r="M2559" s="106" t="str">
        <f>SUMIFS(Ere!C:C,Ere!B:B,A2559)</f>
        <v>0</v>
      </c>
      <c r="N2559" s="106" t="str">
        <f t="shared" si="7"/>
        <v>0</v>
      </c>
      <c r="O2559" s="107" t="str">
        <f t="array" ref="O2559">XLOOKUP(A2559,Data!F:F,Data!O:O)</f>
        <v/>
      </c>
      <c r="P2559" s="107" t="str">
        <f t="shared" si="8"/>
        <v>  -   </v>
      </c>
      <c r="Q2559" s="27"/>
    </row>
    <row r="2560" ht="15.75" customHeight="1">
      <c r="A2560" s="113" t="s">
        <v>2804</v>
      </c>
      <c r="B2560" s="19" t="str">
        <f t="array" ref="B2560">XLOOKUP(A2560,Data!F:F,Data!G:G)</f>
        <v>J3B</v>
      </c>
      <c r="C2560" s="19" t="str">
        <f t="shared" si="3"/>
        <v>J047</v>
      </c>
      <c r="D2560" s="19" t="str">
        <f t="array" ref="D2560">XLOOKUP(A2560,Data!F:F,Data!C:C)</f>
        <v/>
      </c>
      <c r="E2560" s="19" t="str">
        <f t="array" ref="E2560">XLOOKUP(A2560,Data!F:F,Data!H:H)</f>
        <v/>
      </c>
      <c r="F2560" s="106" t="str">
        <f>SUMIFS(Data!J:J,Data!F:F,A2560)</f>
        <v>0</v>
      </c>
      <c r="G2560" s="106" t="str">
        <f>SUMIFS(Cast!C:C,CastElements,A2560)</f>
        <v>0</v>
      </c>
      <c r="H2560" s="106" t="str">
        <f t="shared" si="4"/>
        <v>0</v>
      </c>
      <c r="I2560" s="106" t="str">
        <f>SUMIFS(Del!C:C,Del!B:B,A2560)</f>
        <v>0</v>
      </c>
      <c r="J2560" s="106" t="str">
        <f t="shared" si="5"/>
        <v>0</v>
      </c>
      <c r="K2560" s="106" t="str">
        <f t="shared" si="6"/>
        <v>0</v>
      </c>
      <c r="L2560" s="106"/>
      <c r="M2560" s="106" t="str">
        <f>SUMIFS(Ere!C:C,Ere!B:B,A2560)</f>
        <v>0</v>
      </c>
      <c r="N2560" s="106" t="str">
        <f t="shared" si="7"/>
        <v>0</v>
      </c>
      <c r="O2560" s="107" t="str">
        <f t="array" ref="O2560">XLOOKUP(A2560,Data!F:F,Data!O:O)</f>
        <v/>
      </c>
      <c r="P2560" s="107" t="str">
        <f t="shared" si="8"/>
        <v>  -   </v>
      </c>
      <c r="Q2560" s="27"/>
    </row>
    <row r="2561" ht="15.75" customHeight="1">
      <c r="A2561" s="113" t="s">
        <v>2805</v>
      </c>
      <c r="B2561" s="19" t="str">
        <f t="array" ref="B2561">XLOOKUP(A2561,Data!F:F,Data!G:G)</f>
        <v>J3B</v>
      </c>
      <c r="C2561" s="19" t="str">
        <f t="shared" si="3"/>
        <v>J047</v>
      </c>
      <c r="D2561" s="19" t="str">
        <f t="array" ref="D2561">XLOOKUP(A2561,Data!F:F,Data!C:C)</f>
        <v/>
      </c>
      <c r="E2561" s="19" t="str">
        <f t="array" ref="E2561">XLOOKUP(A2561,Data!F:F,Data!H:H)</f>
        <v/>
      </c>
      <c r="F2561" s="106" t="str">
        <f>SUMIFS(Data!J:J,Data!F:F,A2561)</f>
        <v>0</v>
      </c>
      <c r="G2561" s="106" t="str">
        <f>SUMIFS(Cast!C:C,CastElements,A2561)</f>
        <v>0</v>
      </c>
      <c r="H2561" s="106" t="str">
        <f t="shared" si="4"/>
        <v>0</v>
      </c>
      <c r="I2561" s="106" t="str">
        <f>SUMIFS(Del!C:C,Del!B:B,A2561)</f>
        <v>0</v>
      </c>
      <c r="J2561" s="106" t="str">
        <f t="shared" si="5"/>
        <v>0</v>
      </c>
      <c r="K2561" s="106" t="str">
        <f t="shared" si="6"/>
        <v>0</v>
      </c>
      <c r="L2561" s="106"/>
      <c r="M2561" s="106" t="str">
        <f>SUMIFS(Ere!C:C,Ere!B:B,A2561)</f>
        <v>0</v>
      </c>
      <c r="N2561" s="106" t="str">
        <f t="shared" si="7"/>
        <v>0</v>
      </c>
      <c r="O2561" s="107" t="str">
        <f t="array" ref="O2561">XLOOKUP(A2561,Data!F:F,Data!O:O)</f>
        <v/>
      </c>
      <c r="P2561" s="107" t="str">
        <f t="shared" si="8"/>
        <v>  -   </v>
      </c>
      <c r="Q2561" s="27"/>
    </row>
    <row r="2562" ht="15.75" customHeight="1">
      <c r="A2562" s="113" t="s">
        <v>2806</v>
      </c>
      <c r="B2562" s="19" t="str">
        <f t="array" ref="B2562">XLOOKUP(A2562,Data!F:F,Data!G:G)</f>
        <v>J3B</v>
      </c>
      <c r="C2562" s="19" t="str">
        <f t="shared" si="3"/>
        <v>J047</v>
      </c>
      <c r="D2562" s="19" t="str">
        <f t="array" ref="D2562">XLOOKUP(A2562,Data!F:F,Data!C:C)</f>
        <v/>
      </c>
      <c r="E2562" s="19" t="str">
        <f t="array" ref="E2562">XLOOKUP(A2562,Data!F:F,Data!H:H)</f>
        <v/>
      </c>
      <c r="F2562" s="106" t="str">
        <f>SUMIFS(Data!J:J,Data!F:F,A2562)</f>
        <v>0</v>
      </c>
      <c r="G2562" s="106" t="str">
        <f>SUMIFS(Cast!C:C,CastElements,A2562)</f>
        <v>0</v>
      </c>
      <c r="H2562" s="106" t="str">
        <f t="shared" si="4"/>
        <v>0</v>
      </c>
      <c r="I2562" s="106" t="str">
        <f>SUMIFS(Del!C:C,Del!B:B,A2562)</f>
        <v>0</v>
      </c>
      <c r="J2562" s="106" t="str">
        <f t="shared" si="5"/>
        <v>0</v>
      </c>
      <c r="K2562" s="106" t="str">
        <f t="shared" si="6"/>
        <v>0</v>
      </c>
      <c r="L2562" s="106"/>
      <c r="M2562" s="106" t="str">
        <f>SUMIFS(Ere!C:C,Ere!B:B,A2562)</f>
        <v>0</v>
      </c>
      <c r="N2562" s="106" t="str">
        <f t="shared" si="7"/>
        <v>0</v>
      </c>
      <c r="O2562" s="107" t="str">
        <f t="array" ref="O2562">XLOOKUP(A2562,Data!F:F,Data!O:O)</f>
        <v/>
      </c>
      <c r="P2562" s="107" t="str">
        <f t="shared" si="8"/>
        <v>  -   </v>
      </c>
      <c r="Q2562" s="27"/>
    </row>
    <row r="2563" ht="15.75" customHeight="1">
      <c r="A2563" s="113" t="s">
        <v>2807</v>
      </c>
      <c r="B2563" s="19" t="str">
        <f t="array" ref="B2563">XLOOKUP(A2563,Data!F:F,Data!G:G)</f>
        <v>J3B</v>
      </c>
      <c r="C2563" s="19" t="str">
        <f t="shared" si="3"/>
        <v>J047</v>
      </c>
      <c r="D2563" s="19" t="str">
        <f t="array" ref="D2563">XLOOKUP(A2563,Data!F:F,Data!C:C)</f>
        <v/>
      </c>
      <c r="E2563" s="19" t="str">
        <f t="array" ref="E2563">XLOOKUP(A2563,Data!F:F,Data!H:H)</f>
        <v/>
      </c>
      <c r="F2563" s="106" t="str">
        <f>SUMIFS(Data!J:J,Data!F:F,A2563)</f>
        <v>0</v>
      </c>
      <c r="G2563" s="106" t="str">
        <f>SUMIFS(Cast!C:C,CastElements,A2563)</f>
        <v>0</v>
      </c>
      <c r="H2563" s="106" t="str">
        <f t="shared" si="4"/>
        <v>0</v>
      </c>
      <c r="I2563" s="106" t="str">
        <f>SUMIFS(Del!C:C,Del!B:B,A2563)</f>
        <v>0</v>
      </c>
      <c r="J2563" s="106" t="str">
        <f t="shared" si="5"/>
        <v>0</v>
      </c>
      <c r="K2563" s="106" t="str">
        <f t="shared" si="6"/>
        <v>0</v>
      </c>
      <c r="L2563" s="106"/>
      <c r="M2563" s="106" t="str">
        <f>SUMIFS(Ere!C:C,Ere!B:B,A2563)</f>
        <v>0</v>
      </c>
      <c r="N2563" s="106" t="str">
        <f t="shared" si="7"/>
        <v>0</v>
      </c>
      <c r="O2563" s="107" t="str">
        <f t="array" ref="O2563">XLOOKUP(A2563,Data!F:F,Data!O:O)</f>
        <v/>
      </c>
      <c r="P2563" s="107" t="str">
        <f t="shared" si="8"/>
        <v>  -   </v>
      </c>
      <c r="Q2563" s="27"/>
    </row>
    <row r="2564" ht="15.75" customHeight="1">
      <c r="A2564" s="113" t="s">
        <v>2808</v>
      </c>
      <c r="B2564" s="19" t="str">
        <f t="array" ref="B2564">XLOOKUP(A2564,Data!F:F,Data!G:G)</f>
        <v>J3B</v>
      </c>
      <c r="C2564" s="19" t="str">
        <f t="shared" si="3"/>
        <v>J047</v>
      </c>
      <c r="D2564" s="19" t="str">
        <f t="array" ref="D2564">XLOOKUP(A2564,Data!F:F,Data!C:C)</f>
        <v/>
      </c>
      <c r="E2564" s="19" t="str">
        <f t="array" ref="E2564">XLOOKUP(A2564,Data!F:F,Data!H:H)</f>
        <v/>
      </c>
      <c r="F2564" s="106" t="str">
        <f>SUMIFS(Data!J:J,Data!F:F,A2564)</f>
        <v>0</v>
      </c>
      <c r="G2564" s="106" t="str">
        <f>SUMIFS(Cast!C:C,CastElements,A2564)</f>
        <v>0</v>
      </c>
      <c r="H2564" s="106" t="str">
        <f t="shared" si="4"/>
        <v>0</v>
      </c>
      <c r="I2564" s="106" t="str">
        <f>SUMIFS(Del!C:C,Del!B:B,A2564)</f>
        <v>0</v>
      </c>
      <c r="J2564" s="106" t="str">
        <f t="shared" si="5"/>
        <v>0</v>
      </c>
      <c r="K2564" s="106" t="str">
        <f t="shared" si="6"/>
        <v>0</v>
      </c>
      <c r="L2564" s="106"/>
      <c r="M2564" s="106" t="str">
        <f>SUMIFS(Ere!C:C,Ere!B:B,A2564)</f>
        <v>0</v>
      </c>
      <c r="N2564" s="106" t="str">
        <f t="shared" si="7"/>
        <v>0</v>
      </c>
      <c r="O2564" s="107" t="str">
        <f t="array" ref="O2564">XLOOKUP(A2564,Data!F:F,Data!O:O)</f>
        <v/>
      </c>
      <c r="P2564" s="107" t="str">
        <f t="shared" si="8"/>
        <v>  -   </v>
      </c>
      <c r="Q2564" s="27"/>
    </row>
    <row r="2565" ht="15.75" customHeight="1">
      <c r="A2565" s="113" t="s">
        <v>2809</v>
      </c>
      <c r="B2565" s="19" t="str">
        <f t="array" ref="B2565">XLOOKUP(A2565,Data!F:F,Data!G:G)</f>
        <v>J3B</v>
      </c>
      <c r="C2565" s="19" t="str">
        <f t="shared" si="3"/>
        <v>J047</v>
      </c>
      <c r="D2565" s="19" t="str">
        <f t="array" ref="D2565">XLOOKUP(A2565,Data!F:F,Data!C:C)</f>
        <v/>
      </c>
      <c r="E2565" s="19" t="str">
        <f t="array" ref="E2565">XLOOKUP(A2565,Data!F:F,Data!H:H)</f>
        <v/>
      </c>
      <c r="F2565" s="106" t="str">
        <f>SUMIFS(Data!J:J,Data!F:F,A2565)</f>
        <v>0</v>
      </c>
      <c r="G2565" s="106" t="str">
        <f>SUMIFS(Cast!C:C,CastElements,A2565)</f>
        <v>0</v>
      </c>
      <c r="H2565" s="106" t="str">
        <f t="shared" si="4"/>
        <v>0</v>
      </c>
      <c r="I2565" s="106" t="str">
        <f>SUMIFS(Del!C:C,Del!B:B,A2565)</f>
        <v>0</v>
      </c>
      <c r="J2565" s="106" t="str">
        <f t="shared" si="5"/>
        <v>0</v>
      </c>
      <c r="K2565" s="106" t="str">
        <f t="shared" si="6"/>
        <v>0</v>
      </c>
      <c r="L2565" s="106"/>
      <c r="M2565" s="106" t="str">
        <f>SUMIFS(Ere!C:C,Ere!B:B,A2565)</f>
        <v>0</v>
      </c>
      <c r="N2565" s="106" t="str">
        <f t="shared" si="7"/>
        <v>0</v>
      </c>
      <c r="O2565" s="107" t="str">
        <f t="array" ref="O2565">XLOOKUP(A2565,Data!F:F,Data!O:O)</f>
        <v/>
      </c>
      <c r="P2565" s="107" t="str">
        <f t="shared" si="8"/>
        <v>  -   </v>
      </c>
      <c r="Q2565" s="27"/>
    </row>
    <row r="2566" ht="15.75" customHeight="1">
      <c r="A2566" s="113" t="s">
        <v>2810</v>
      </c>
      <c r="B2566" s="19" t="str">
        <f t="array" ref="B2566">XLOOKUP(A2566,Data!F:F,Data!G:G)</f>
        <v>J3B</v>
      </c>
      <c r="C2566" s="19" t="str">
        <f t="shared" si="3"/>
        <v>J047</v>
      </c>
      <c r="D2566" s="19" t="str">
        <f t="array" ref="D2566">XLOOKUP(A2566,Data!F:F,Data!C:C)</f>
        <v/>
      </c>
      <c r="E2566" s="19" t="str">
        <f t="array" ref="E2566">XLOOKUP(A2566,Data!F:F,Data!H:H)</f>
        <v/>
      </c>
      <c r="F2566" s="106" t="str">
        <f>SUMIFS(Data!J:J,Data!F:F,A2566)</f>
        <v>0</v>
      </c>
      <c r="G2566" s="106" t="str">
        <f>SUMIFS(Cast!C:C,CastElements,A2566)</f>
        <v>0</v>
      </c>
      <c r="H2566" s="106" t="str">
        <f t="shared" si="4"/>
        <v>0</v>
      </c>
      <c r="I2566" s="106" t="str">
        <f>SUMIFS(Del!C:C,Del!B:B,A2566)</f>
        <v>0</v>
      </c>
      <c r="J2566" s="106" t="str">
        <f t="shared" si="5"/>
        <v>0</v>
      </c>
      <c r="K2566" s="106" t="str">
        <f t="shared" si="6"/>
        <v>0</v>
      </c>
      <c r="L2566" s="106"/>
      <c r="M2566" s="106" t="str">
        <f>SUMIFS(Ere!C:C,Ere!B:B,A2566)</f>
        <v>0</v>
      </c>
      <c r="N2566" s="106" t="str">
        <f t="shared" si="7"/>
        <v>0</v>
      </c>
      <c r="O2566" s="107" t="str">
        <f t="array" ref="O2566">XLOOKUP(A2566,Data!F:F,Data!O:O)</f>
        <v/>
      </c>
      <c r="P2566" s="107" t="str">
        <f t="shared" si="8"/>
        <v>  -   </v>
      </c>
      <c r="Q2566" s="27"/>
    </row>
    <row r="2567" ht="15.75" customHeight="1">
      <c r="A2567" s="113" t="s">
        <v>2811</v>
      </c>
      <c r="B2567" s="19" t="str">
        <f t="array" ref="B2567">XLOOKUP(A2567,Data!F:F,Data!G:G)</f>
        <v>J3B</v>
      </c>
      <c r="C2567" s="19" t="str">
        <f t="shared" si="3"/>
        <v>J047</v>
      </c>
      <c r="D2567" s="19" t="str">
        <f t="array" ref="D2567">XLOOKUP(A2567,Data!F:F,Data!C:C)</f>
        <v/>
      </c>
      <c r="E2567" s="19" t="str">
        <f t="array" ref="E2567">XLOOKUP(A2567,Data!F:F,Data!H:H)</f>
        <v/>
      </c>
      <c r="F2567" s="106" t="str">
        <f>SUMIFS(Data!J:J,Data!F:F,A2567)</f>
        <v>0</v>
      </c>
      <c r="G2567" s="106" t="str">
        <f>SUMIFS(Cast!C:C,CastElements,A2567)</f>
        <v>0</v>
      </c>
      <c r="H2567" s="106" t="str">
        <f t="shared" si="4"/>
        <v>0</v>
      </c>
      <c r="I2567" s="106" t="str">
        <f>SUMIFS(Del!C:C,Del!B:B,A2567)</f>
        <v>0</v>
      </c>
      <c r="J2567" s="106" t="str">
        <f t="shared" si="5"/>
        <v>0</v>
      </c>
      <c r="K2567" s="106" t="str">
        <f t="shared" si="6"/>
        <v>0</v>
      </c>
      <c r="L2567" s="106"/>
      <c r="M2567" s="106" t="str">
        <f>SUMIFS(Ere!C:C,Ere!B:B,A2567)</f>
        <v>0</v>
      </c>
      <c r="N2567" s="106" t="str">
        <f t="shared" si="7"/>
        <v>0</v>
      </c>
      <c r="O2567" s="107" t="str">
        <f t="array" ref="O2567">XLOOKUP(A2567,Data!F:F,Data!O:O)</f>
        <v/>
      </c>
      <c r="P2567" s="107" t="str">
        <f t="shared" si="8"/>
        <v>  -   </v>
      </c>
      <c r="Q2567" s="27"/>
    </row>
    <row r="2568" ht="15.75" customHeight="1">
      <c r="A2568" s="113" t="s">
        <v>2812</v>
      </c>
      <c r="B2568" s="19" t="str">
        <f t="array" ref="B2568">XLOOKUP(A2568,Data!F:F,Data!G:G)</f>
        <v>J3B</v>
      </c>
      <c r="C2568" s="19" t="str">
        <f t="shared" si="3"/>
        <v>J047</v>
      </c>
      <c r="D2568" s="19" t="str">
        <f t="array" ref="D2568">XLOOKUP(A2568,Data!F:F,Data!C:C)</f>
        <v/>
      </c>
      <c r="E2568" s="19" t="str">
        <f t="array" ref="E2568">XLOOKUP(A2568,Data!F:F,Data!H:H)</f>
        <v/>
      </c>
      <c r="F2568" s="106" t="str">
        <f>SUMIFS(Data!J:J,Data!F:F,A2568)</f>
        <v>0</v>
      </c>
      <c r="G2568" s="106" t="str">
        <f>SUMIFS(Cast!C:C,CastElements,A2568)</f>
        <v>0</v>
      </c>
      <c r="H2568" s="106" t="str">
        <f t="shared" si="4"/>
        <v>0</v>
      </c>
      <c r="I2568" s="106" t="str">
        <f>SUMIFS(Del!C:C,Del!B:B,A2568)</f>
        <v>0</v>
      </c>
      <c r="J2568" s="106" t="str">
        <f t="shared" si="5"/>
        <v>0</v>
      </c>
      <c r="K2568" s="106" t="str">
        <f t="shared" si="6"/>
        <v>0</v>
      </c>
      <c r="L2568" s="106"/>
      <c r="M2568" s="106" t="str">
        <f>SUMIFS(Ere!C:C,Ere!B:B,A2568)</f>
        <v>0</v>
      </c>
      <c r="N2568" s="106" t="str">
        <f t="shared" si="7"/>
        <v>0</v>
      </c>
      <c r="O2568" s="107" t="str">
        <f t="array" ref="O2568">XLOOKUP(A2568,Data!F:F,Data!O:O)</f>
        <v/>
      </c>
      <c r="P2568" s="107" t="str">
        <f t="shared" si="8"/>
        <v>  -   </v>
      </c>
      <c r="Q2568" s="27"/>
    </row>
    <row r="2569" ht="15.75" customHeight="1">
      <c r="A2569" s="113" t="s">
        <v>2813</v>
      </c>
      <c r="B2569" s="19" t="str">
        <f t="array" ref="B2569">XLOOKUP(A2569,Data!F:F,Data!G:G)</f>
        <v>J3B</v>
      </c>
      <c r="C2569" s="19" t="str">
        <f t="shared" si="3"/>
        <v>J047</v>
      </c>
      <c r="D2569" s="19" t="str">
        <f t="array" ref="D2569">XLOOKUP(A2569,Data!F:F,Data!C:C)</f>
        <v/>
      </c>
      <c r="E2569" s="19" t="str">
        <f t="array" ref="E2569">XLOOKUP(A2569,Data!F:F,Data!H:H)</f>
        <v/>
      </c>
      <c r="F2569" s="106" t="str">
        <f>SUMIFS(Data!J:J,Data!F:F,A2569)</f>
        <v>0</v>
      </c>
      <c r="G2569" s="106" t="str">
        <f>SUMIFS(Cast!C:C,CastElements,A2569)</f>
        <v>0</v>
      </c>
      <c r="H2569" s="106" t="str">
        <f t="shared" si="4"/>
        <v>0</v>
      </c>
      <c r="I2569" s="106" t="str">
        <f>SUMIFS(Del!C:C,Del!B:B,A2569)</f>
        <v>0</v>
      </c>
      <c r="J2569" s="106" t="str">
        <f t="shared" si="5"/>
        <v>0</v>
      </c>
      <c r="K2569" s="106" t="str">
        <f t="shared" si="6"/>
        <v>0</v>
      </c>
      <c r="L2569" s="106"/>
      <c r="M2569" s="106" t="str">
        <f>SUMIFS(Ere!C:C,Ere!B:B,A2569)</f>
        <v>0</v>
      </c>
      <c r="N2569" s="106" t="str">
        <f t="shared" si="7"/>
        <v>0</v>
      </c>
      <c r="O2569" s="107" t="str">
        <f t="array" ref="O2569">XLOOKUP(A2569,Data!F:F,Data!O:O)</f>
        <v/>
      </c>
      <c r="P2569" s="107" t="str">
        <f t="shared" si="8"/>
        <v>  -   </v>
      </c>
      <c r="Q2569" s="27"/>
    </row>
    <row r="2570" ht="15.75" customHeight="1">
      <c r="A2570" s="113" t="s">
        <v>2814</v>
      </c>
      <c r="B2570" s="19" t="str">
        <f t="array" ref="B2570">XLOOKUP(A2570,Data!F:F,Data!G:G)</f>
        <v>J3B</v>
      </c>
      <c r="C2570" s="19" t="str">
        <f t="shared" si="3"/>
        <v>J047</v>
      </c>
      <c r="D2570" s="19" t="str">
        <f t="array" ref="D2570">XLOOKUP(A2570,Data!F:F,Data!C:C)</f>
        <v/>
      </c>
      <c r="E2570" s="19" t="str">
        <f t="array" ref="E2570">XLOOKUP(A2570,Data!F:F,Data!H:H)</f>
        <v/>
      </c>
      <c r="F2570" s="106" t="str">
        <f>SUMIFS(Data!J:J,Data!F:F,A2570)</f>
        <v>1</v>
      </c>
      <c r="G2570" s="106" t="str">
        <f>SUMIFS(Cast!C:C,CastElements,A2570)</f>
        <v>0</v>
      </c>
      <c r="H2570" s="106" t="str">
        <f t="shared" si="4"/>
        <v>1</v>
      </c>
      <c r="I2570" s="106" t="str">
        <f>SUMIFS(Del!C:C,Del!B:B,A2570)</f>
        <v>0</v>
      </c>
      <c r="J2570" s="106" t="str">
        <f t="shared" si="5"/>
        <v>1</v>
      </c>
      <c r="K2570" s="106" t="str">
        <f t="shared" si="6"/>
        <v>0</v>
      </c>
      <c r="L2570" s="106"/>
      <c r="M2570" s="106" t="str">
        <f>SUMIFS(Ere!C:C,Ere!B:B,A2570)</f>
        <v>0</v>
      </c>
      <c r="N2570" s="106" t="str">
        <f t="shared" si="7"/>
        <v>1</v>
      </c>
      <c r="O2570" s="107" t="str">
        <f t="array" ref="O2570">XLOOKUP(A2570,Data!F:F,Data!O:O)</f>
        <v>  0.89 </v>
      </c>
      <c r="P2570" s="107" t="str">
        <f t="shared" si="8"/>
        <v>  2.23 </v>
      </c>
      <c r="Q2570" s="27"/>
    </row>
    <row r="2571" ht="15.75" customHeight="1">
      <c r="A2571" s="113" t="s">
        <v>2815</v>
      </c>
      <c r="B2571" s="19" t="str">
        <f t="array" ref="B2571">XLOOKUP(A2571,Data!F:F,Data!G:G)</f>
        <v>J3B</v>
      </c>
      <c r="C2571" s="19" t="str">
        <f t="shared" si="3"/>
        <v>J047</v>
      </c>
      <c r="D2571" s="19" t="str">
        <f t="array" ref="D2571">XLOOKUP(A2571,Data!F:F,Data!C:C)</f>
        <v/>
      </c>
      <c r="E2571" s="19" t="str">
        <f t="array" ref="E2571">XLOOKUP(A2571,Data!F:F,Data!H:H)</f>
        <v/>
      </c>
      <c r="F2571" s="106" t="str">
        <f>SUMIFS(Data!J:J,Data!F:F,A2571)</f>
        <v>0</v>
      </c>
      <c r="G2571" s="106" t="str">
        <f>SUMIFS(Cast!C:C,CastElements,A2571)</f>
        <v>0</v>
      </c>
      <c r="H2571" s="106" t="str">
        <f t="shared" si="4"/>
        <v>0</v>
      </c>
      <c r="I2571" s="106" t="str">
        <f>SUMIFS(Del!C:C,Del!B:B,A2571)</f>
        <v>0</v>
      </c>
      <c r="J2571" s="106" t="str">
        <f t="shared" si="5"/>
        <v>0</v>
      </c>
      <c r="K2571" s="106" t="str">
        <f t="shared" si="6"/>
        <v>0</v>
      </c>
      <c r="L2571" s="106"/>
      <c r="M2571" s="106" t="str">
        <f>SUMIFS(Ere!C:C,Ere!B:B,A2571)</f>
        <v>0</v>
      </c>
      <c r="N2571" s="106" t="str">
        <f t="shared" si="7"/>
        <v>0</v>
      </c>
      <c r="O2571" s="107" t="str">
        <f t="array" ref="O2571">XLOOKUP(A2571,Data!F:F,Data!O:O)</f>
        <v/>
      </c>
      <c r="P2571" s="107" t="str">
        <f t="shared" si="8"/>
        <v>  -   </v>
      </c>
      <c r="Q2571" s="27"/>
    </row>
    <row r="2572" ht="15.75" customHeight="1">
      <c r="A2572" s="113" t="s">
        <v>2816</v>
      </c>
      <c r="B2572" s="19" t="str">
        <f t="array" ref="B2572">XLOOKUP(A2572,Data!F:F,Data!G:G)</f>
        <v>J3B</v>
      </c>
      <c r="C2572" s="19" t="str">
        <f t="shared" si="3"/>
        <v>J047</v>
      </c>
      <c r="D2572" s="19" t="str">
        <f t="array" ref="D2572">XLOOKUP(A2572,Data!F:F,Data!C:C)</f>
        <v/>
      </c>
      <c r="E2572" s="19" t="str">
        <f t="array" ref="E2572">XLOOKUP(A2572,Data!F:F,Data!H:H)</f>
        <v/>
      </c>
      <c r="F2572" s="106" t="str">
        <f>SUMIFS(Data!J:J,Data!F:F,A2572)</f>
        <v>0</v>
      </c>
      <c r="G2572" s="106" t="str">
        <f>SUMIFS(Cast!C:C,CastElements,A2572)</f>
        <v>0</v>
      </c>
      <c r="H2572" s="106" t="str">
        <f t="shared" si="4"/>
        <v>0</v>
      </c>
      <c r="I2572" s="106" t="str">
        <f>SUMIFS(Del!C:C,Del!B:B,A2572)</f>
        <v>0</v>
      </c>
      <c r="J2572" s="106" t="str">
        <f t="shared" si="5"/>
        <v>0</v>
      </c>
      <c r="K2572" s="106" t="str">
        <f t="shared" si="6"/>
        <v>0</v>
      </c>
      <c r="L2572" s="106"/>
      <c r="M2572" s="106" t="str">
        <f>SUMIFS(Ere!C:C,Ere!B:B,A2572)</f>
        <v>0</v>
      </c>
      <c r="N2572" s="106" t="str">
        <f t="shared" si="7"/>
        <v>0</v>
      </c>
      <c r="O2572" s="107" t="str">
        <f t="array" ref="O2572">XLOOKUP(A2572,Data!F:F,Data!O:O)</f>
        <v/>
      </c>
      <c r="P2572" s="107" t="str">
        <f t="shared" si="8"/>
        <v>  -   </v>
      </c>
      <c r="Q2572" s="27"/>
    </row>
  </sheetData>
  <autoFilter ref="$A$2:$R$2572"/>
  <conditionalFormatting sqref="F3:P2572">
    <cfRule type="cellIs" dxfId="1" priority="1" operator="equal">
      <formula>0</formula>
    </cfRule>
  </conditionalFormatting>
  <printOptions/>
  <pageMargins bottom="0.54" footer="0.0" header="0.0" left="0.35" right="0.17" top="0.75"/>
  <pageSetup paperSize="9" scale="63" orientation="portrait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6.83" defaultRowHeight="15.0"/>
  <cols>
    <col customWidth="1" min="1" max="1" width="10.17"/>
    <col customWidth="1" min="2" max="2" width="6.83"/>
    <col customWidth="1" min="3" max="3" width="6.17"/>
    <col customWidth="1" min="4" max="7" width="12.5"/>
    <col customWidth="1" min="8" max="8" width="10.17"/>
    <col customWidth="1" min="9" max="10" width="12.5"/>
    <col customWidth="1" min="11" max="11" width="10.17"/>
    <col customWidth="1" min="12" max="13" width="12.5"/>
    <col customWidth="1" min="14" max="14" width="12.17"/>
    <col customWidth="1" min="15" max="15" width="10.33"/>
    <col customWidth="1" min="16" max="16" width="19.17"/>
    <col customWidth="1" min="17" max="17" width="9.17"/>
    <col customWidth="1" min="18" max="18" width="10.17"/>
  </cols>
  <sheetData>
    <row r="2" ht="21.0" customHeight="1">
      <c r="H2" s="1"/>
      <c r="K2" s="1"/>
      <c r="M2" s="2" t="s">
        <v>0</v>
      </c>
      <c r="O2" s="3" t="str">
        <f>+Summary!N2</f>
        <v>08-May-26</v>
      </c>
      <c r="P2" s="4"/>
    </row>
    <row r="3" ht="15.0" customHeight="1">
      <c r="H3" s="1"/>
      <c r="K3" s="1"/>
      <c r="M3" s="5"/>
      <c r="N3" s="5"/>
      <c r="O3" s="6"/>
      <c r="P3" s="7"/>
    </row>
    <row r="4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ht="60.0" customHeight="1">
      <c r="A5" s="10" t="s">
        <v>238</v>
      </c>
      <c r="B5" s="11" t="s">
        <v>2</v>
      </c>
      <c r="C5" s="11" t="s">
        <v>3</v>
      </c>
      <c r="D5" s="11" t="s">
        <v>4</v>
      </c>
      <c r="E5" s="114" t="s">
        <v>5</v>
      </c>
      <c r="F5" s="10" t="s">
        <v>6</v>
      </c>
      <c r="G5" s="13" t="s">
        <v>7</v>
      </c>
      <c r="H5" s="12" t="s">
        <v>8</v>
      </c>
      <c r="I5" s="14" t="s">
        <v>9</v>
      </c>
      <c r="J5" s="13" t="s">
        <v>10</v>
      </c>
      <c r="K5" s="12" t="s">
        <v>11</v>
      </c>
      <c r="L5" s="15" t="s">
        <v>12</v>
      </c>
      <c r="M5" s="10" t="s">
        <v>13</v>
      </c>
      <c r="N5" s="13" t="s">
        <v>14</v>
      </c>
      <c r="O5" s="12" t="s">
        <v>15</v>
      </c>
      <c r="P5" s="115" t="s">
        <v>16</v>
      </c>
      <c r="Q5" s="116" t="s">
        <v>17</v>
      </c>
    </row>
    <row r="6" ht="24.75" customHeight="1">
      <c r="A6" s="18" t="s">
        <v>2817</v>
      </c>
      <c r="B6" s="19" t="s">
        <v>18</v>
      </c>
      <c r="C6" s="19" t="s">
        <v>19</v>
      </c>
      <c r="D6" s="20" t="str">
        <f>SUMIFS('Element wise-detail Summary'!F:F,'Element wise-detail Summary'!B:B,Location_Summary!B6,'Element wise-detail Summary'!C:C,Location_Summary!C6,'Element wise-detail Summary'!D:D,Location_Summary!A6)</f>
        <v>7</v>
      </c>
      <c r="E6" s="117" t="str">
        <f>SUMIFS('Element wise-detail Summary'!$F$3:$F$1048576,'Element wise-detail Summary'!$B$3:$B$1048576,Location_Summary!$B6,'Element wise-detail Summary'!$C$3:$C$1048576,Location_Summary!C6,'Element wise-detail Summary'!$D$3:$D$1048576,Location_Summary!A6)</f>
        <v>7</v>
      </c>
      <c r="F6" s="22" t="str">
        <f>SUMIFS('Element wise-detail Summary'!$G$3:$G$1048576,'Element wise-detail Summary'!$B$3:$B$1048576,Location_Summary!$B6,'Element wise-detail Summary'!$C$3:$C$1048576,Location_Summary!C6,'Element wise-detail Summary'!$D$3:$D$1048576,Location_Summary!A6)</f>
        <v>7</v>
      </c>
      <c r="G6" s="20" t="str">
        <f t="shared" ref="G6:G72" si="1">E6-F6</f>
        <v>0</v>
      </c>
      <c r="H6" s="23" t="str">
        <f t="shared" ref="H6:H72" si="2">F6/D6</f>
        <v>100%</v>
      </c>
      <c r="I6" s="22" t="str">
        <f>SUMIFS('Element wise-detail Summary'!$I$3:$I$1048576,'Element wise-detail Summary'!$B$3:$B$1048576,B6,'Element wise-detail Summary'!$C$3:$C$1048576,C6,'Element wise-detail Summary'!$D$3:$D$1048576,Location_Summary!A6)</f>
        <v>7</v>
      </c>
      <c r="J6" s="20" t="str">
        <f t="shared" ref="J6:J72" si="3">E6-I6</f>
        <v>0</v>
      </c>
      <c r="K6" s="24" t="str">
        <f t="shared" ref="K6:K72" si="4">I6/D6</f>
        <v>100%</v>
      </c>
      <c r="L6" s="25" t="str">
        <f t="shared" ref="L6:L72" si="5">F6-I6</f>
        <v>0</v>
      </c>
      <c r="M6" s="22" t="str">
        <f>SUMIFS('Element wise-detail Summary'!$M$3:$M$1048576,'Element wise-detail Summary'!$B$3:$B$1048576,B6,'Element wise-detail Summary'!$C$3:$C$1048576,C6,'Element wise-detail Summary'!$D$3:$D$1048576,Location_Summary!A6)</f>
        <v>7</v>
      </c>
      <c r="N6" s="20" t="str">
        <f t="shared" ref="N6:N72" si="6">E6-M6</f>
        <v>0</v>
      </c>
      <c r="O6" s="24" t="str">
        <f t="shared" ref="O6:O72" si="7">M6/D6</f>
        <v>100%</v>
      </c>
      <c r="P6" s="118"/>
      <c r="Q6" s="27" t="str">
        <f t="shared" ref="Q6:Q72" si="8">+D6-E6</f>
        <v>0</v>
      </c>
      <c r="R6" s="27"/>
    </row>
    <row r="7" ht="24.75" customHeight="1">
      <c r="A7" s="18" t="s">
        <v>2817</v>
      </c>
      <c r="B7" s="19" t="s">
        <v>18</v>
      </c>
      <c r="C7" s="19" t="s">
        <v>21</v>
      </c>
      <c r="D7" s="20" t="str">
        <f>SUMIFS('Element wise-detail Summary'!F:F,'Element wise-detail Summary'!B:B,Location_Summary!B7,'Element wise-detail Summary'!C:C,Location_Summary!C7,'Element wise-detail Summary'!D:D,Location_Summary!A7)</f>
        <v>9</v>
      </c>
      <c r="E7" s="117" t="str">
        <f>SUMIFS('Element wise-detail Summary'!$F$3:$F$1048576,'Element wise-detail Summary'!$B$3:$B$1048576,Location_Summary!$B7,'Element wise-detail Summary'!$C$3:$C$1048576,Location_Summary!C7,'Element wise-detail Summary'!$D$3:$D$1048576,Location_Summary!A7)</f>
        <v>9</v>
      </c>
      <c r="F7" s="22" t="str">
        <f>SUMIFS('Element wise-detail Summary'!$G$3:$G$1048576,'Element wise-detail Summary'!$B$3:$B$1048576,Location_Summary!$B7,'Element wise-detail Summary'!$C$3:$C$1048576,Location_Summary!C7,'Element wise-detail Summary'!$D$3:$D$1048576,Location_Summary!A7)</f>
        <v>9</v>
      </c>
      <c r="G7" s="20" t="str">
        <f t="shared" si="1"/>
        <v>0</v>
      </c>
      <c r="H7" s="23" t="str">
        <f t="shared" si="2"/>
        <v>100%</v>
      </c>
      <c r="I7" s="22" t="str">
        <f>SUMIFS('Element wise-detail Summary'!$I$3:$I$1048576,'Element wise-detail Summary'!$B$3:$B$1048576,B7,'Element wise-detail Summary'!$C$3:$C$1048576,C7,'Element wise-detail Summary'!$D$3:$D$1048576,Location_Summary!A7)</f>
        <v>9</v>
      </c>
      <c r="J7" s="20" t="str">
        <f t="shared" si="3"/>
        <v>0</v>
      </c>
      <c r="K7" s="24" t="str">
        <f t="shared" si="4"/>
        <v>100%</v>
      </c>
      <c r="L7" s="25" t="str">
        <f t="shared" si="5"/>
        <v>0</v>
      </c>
      <c r="M7" s="22" t="str">
        <f>SUMIFS('Element wise-detail Summary'!$M$3:$M$1048576,'Element wise-detail Summary'!$B$3:$B$1048576,B7,'Element wise-detail Summary'!$C$3:$C$1048576,C7,'Element wise-detail Summary'!$D$3:$D$1048576,Location_Summary!A7)</f>
        <v>9</v>
      </c>
      <c r="N7" s="20" t="str">
        <f t="shared" si="6"/>
        <v>0</v>
      </c>
      <c r="O7" s="24" t="str">
        <f t="shared" si="7"/>
        <v>100%</v>
      </c>
      <c r="P7" s="118"/>
      <c r="Q7" s="27" t="str">
        <f t="shared" si="8"/>
        <v>0</v>
      </c>
      <c r="R7" s="27"/>
    </row>
    <row r="8" ht="24.75" customHeight="1">
      <c r="A8" s="18" t="s">
        <v>2817</v>
      </c>
      <c r="B8" s="19" t="s">
        <v>18</v>
      </c>
      <c r="C8" s="19" t="s">
        <v>22</v>
      </c>
      <c r="D8" s="20" t="str">
        <f>SUMIFS('Element wise-detail Summary'!F:F,'Element wise-detail Summary'!B:B,Location_Summary!B8,'Element wise-detail Summary'!C:C,Location_Summary!C8,'Element wise-detail Summary'!D:D,Location_Summary!A8)</f>
        <v>8</v>
      </c>
      <c r="E8" s="117" t="str">
        <f>SUMIFS('Element wise-detail Summary'!$F$3:$F$1048576,'Element wise-detail Summary'!$B$3:$B$1048576,Location_Summary!$B8,'Element wise-detail Summary'!$C$3:$C$1048576,Location_Summary!C8,'Element wise-detail Summary'!$D$3:$D$1048576,Location_Summary!A8)</f>
        <v>8</v>
      </c>
      <c r="F8" s="22" t="str">
        <f>SUMIFS('Element wise-detail Summary'!$G$3:$G$1048576,'Element wise-detail Summary'!$B$3:$B$1048576,Location_Summary!$B8,'Element wise-detail Summary'!$C$3:$C$1048576,Location_Summary!C8,'Element wise-detail Summary'!$D$3:$D$1048576,Location_Summary!A8)</f>
        <v>8</v>
      </c>
      <c r="G8" s="20" t="str">
        <f t="shared" si="1"/>
        <v>0</v>
      </c>
      <c r="H8" s="23" t="str">
        <f t="shared" si="2"/>
        <v>100%</v>
      </c>
      <c r="I8" s="22" t="str">
        <f>SUMIFS('Element wise-detail Summary'!$I$3:$I$1048576,'Element wise-detail Summary'!$B$3:$B$1048576,B8,'Element wise-detail Summary'!$C$3:$C$1048576,C8,'Element wise-detail Summary'!$D$3:$D$1048576,Location_Summary!A8)</f>
        <v>8</v>
      </c>
      <c r="J8" s="20" t="str">
        <f t="shared" si="3"/>
        <v>0</v>
      </c>
      <c r="K8" s="24" t="str">
        <f t="shared" si="4"/>
        <v>100%</v>
      </c>
      <c r="L8" s="25" t="str">
        <f t="shared" si="5"/>
        <v>0</v>
      </c>
      <c r="M8" s="22" t="str">
        <f>SUMIFS('Element wise-detail Summary'!$M$3:$M$1048576,'Element wise-detail Summary'!$B$3:$B$1048576,B8,'Element wise-detail Summary'!$C$3:$C$1048576,C8,'Element wise-detail Summary'!$D$3:$D$1048576,Location_Summary!A8)</f>
        <v>8</v>
      </c>
      <c r="N8" s="20" t="str">
        <f t="shared" si="6"/>
        <v>0</v>
      </c>
      <c r="O8" s="24" t="str">
        <f t="shared" si="7"/>
        <v>100%</v>
      </c>
      <c r="P8" s="118"/>
      <c r="Q8" s="27" t="str">
        <f t="shared" si="8"/>
        <v>0</v>
      </c>
      <c r="R8" s="27"/>
    </row>
    <row r="9" ht="24.75" customHeight="1">
      <c r="A9" s="18" t="s">
        <v>2817</v>
      </c>
      <c r="B9" s="19" t="s">
        <v>18</v>
      </c>
      <c r="C9" s="19" t="s">
        <v>24</v>
      </c>
      <c r="D9" s="20" t="str">
        <f>SUMIFS('Element wise-detail Summary'!F:F,'Element wise-detail Summary'!B:B,Location_Summary!B9,'Element wise-detail Summary'!C:C,Location_Summary!C9,'Element wise-detail Summary'!D:D,Location_Summary!A9)</f>
        <v>4</v>
      </c>
      <c r="E9" s="117" t="str">
        <f>SUMIFS('Element wise-detail Summary'!$F$3:$F$1048576,'Element wise-detail Summary'!$B$3:$B$1048576,Location_Summary!$B9,'Element wise-detail Summary'!$C$3:$C$1048576,Location_Summary!C9,'Element wise-detail Summary'!$D$3:$D$1048576,Location_Summary!A9)</f>
        <v>4</v>
      </c>
      <c r="F9" s="22" t="str">
        <f>SUMIFS('Element wise-detail Summary'!$G$3:$G$1048576,'Element wise-detail Summary'!$B$3:$B$1048576,Location_Summary!$B9,'Element wise-detail Summary'!$C$3:$C$1048576,Location_Summary!C9,'Element wise-detail Summary'!$D$3:$D$1048576,Location_Summary!A9)</f>
        <v>4</v>
      </c>
      <c r="G9" s="20" t="str">
        <f t="shared" si="1"/>
        <v>0</v>
      </c>
      <c r="H9" s="23" t="str">
        <f t="shared" si="2"/>
        <v>100%</v>
      </c>
      <c r="I9" s="22" t="str">
        <f>SUMIFS('Element wise-detail Summary'!$I$3:$I$1048576,'Element wise-detail Summary'!$B$3:$B$1048576,B9,'Element wise-detail Summary'!$C$3:$C$1048576,C9,'Element wise-detail Summary'!$D$3:$D$1048576,Location_Summary!A9)</f>
        <v>0</v>
      </c>
      <c r="J9" s="20" t="str">
        <f t="shared" si="3"/>
        <v>4</v>
      </c>
      <c r="K9" s="24" t="str">
        <f t="shared" si="4"/>
        <v>0%</v>
      </c>
      <c r="L9" s="25" t="str">
        <f t="shared" si="5"/>
        <v>4</v>
      </c>
      <c r="M9" s="22" t="str">
        <f>SUMIFS('Element wise-detail Summary'!$M$3:$M$1048576,'Element wise-detail Summary'!$B$3:$B$1048576,B9,'Element wise-detail Summary'!$C$3:$C$1048576,C9,'Element wise-detail Summary'!$D$3:$D$1048576,Location_Summary!A9)</f>
        <v>0</v>
      </c>
      <c r="N9" s="20" t="str">
        <f t="shared" si="6"/>
        <v>4</v>
      </c>
      <c r="O9" s="24" t="str">
        <f t="shared" si="7"/>
        <v>0%</v>
      </c>
      <c r="P9" s="118"/>
      <c r="Q9" s="27" t="str">
        <f t="shared" si="8"/>
        <v>0</v>
      </c>
      <c r="R9" s="27"/>
    </row>
    <row r="10" ht="24.75" customHeight="1">
      <c r="A10" s="18" t="s">
        <v>2817</v>
      </c>
      <c r="B10" s="19" t="s">
        <v>18</v>
      </c>
      <c r="C10" s="19" t="s">
        <v>25</v>
      </c>
      <c r="D10" s="20" t="str">
        <f>SUMIFS('Element wise-detail Summary'!F:F,'Element wise-detail Summary'!B:B,Location_Summary!B10,'Element wise-detail Summary'!C:C,Location_Summary!C10,'Element wise-detail Summary'!D:D,Location_Summary!A10)</f>
        <v>4</v>
      </c>
      <c r="E10" s="117" t="str">
        <f>SUMIFS('Element wise-detail Summary'!$F$3:$F$1048576,'Element wise-detail Summary'!$B$3:$B$1048576,Location_Summary!$B10,'Element wise-detail Summary'!$C$3:$C$1048576,Location_Summary!C10,'Element wise-detail Summary'!$D$3:$D$1048576,Location_Summary!A10)</f>
        <v>4</v>
      </c>
      <c r="F10" s="22" t="str">
        <f>SUMIFS('Element wise-detail Summary'!$G$3:$G$1048576,'Element wise-detail Summary'!$B$3:$B$1048576,Location_Summary!$B10,'Element wise-detail Summary'!$C$3:$C$1048576,Location_Summary!C10,'Element wise-detail Summary'!$D$3:$D$1048576,Location_Summary!A10)</f>
        <v>4</v>
      </c>
      <c r="G10" s="20" t="str">
        <f t="shared" si="1"/>
        <v>0</v>
      </c>
      <c r="H10" s="23" t="str">
        <f t="shared" si="2"/>
        <v>100%</v>
      </c>
      <c r="I10" s="22" t="str">
        <f>SUMIFS('Element wise-detail Summary'!$I$3:$I$1048576,'Element wise-detail Summary'!$B$3:$B$1048576,B10,'Element wise-detail Summary'!$C$3:$C$1048576,C10,'Element wise-detail Summary'!$D$3:$D$1048576,Location_Summary!A10)</f>
        <v>0</v>
      </c>
      <c r="J10" s="20" t="str">
        <f t="shared" si="3"/>
        <v>4</v>
      </c>
      <c r="K10" s="24" t="str">
        <f t="shared" si="4"/>
        <v>0%</v>
      </c>
      <c r="L10" s="25" t="str">
        <f t="shared" si="5"/>
        <v>4</v>
      </c>
      <c r="M10" s="22" t="str">
        <f>SUMIFS('Element wise-detail Summary'!$M$3:$M$1048576,'Element wise-detail Summary'!$B$3:$B$1048576,B10,'Element wise-detail Summary'!$C$3:$C$1048576,C10,'Element wise-detail Summary'!$D$3:$D$1048576,Location_Summary!A10)</f>
        <v>0</v>
      </c>
      <c r="N10" s="20" t="str">
        <f t="shared" si="6"/>
        <v>4</v>
      </c>
      <c r="O10" s="24" t="str">
        <f t="shared" si="7"/>
        <v>0%</v>
      </c>
      <c r="P10" s="118"/>
      <c r="Q10" s="27" t="str">
        <f t="shared" si="8"/>
        <v>0</v>
      </c>
      <c r="R10" s="27"/>
    </row>
    <row r="11" ht="24.75" customHeight="1">
      <c r="A11" s="18" t="s">
        <v>2817</v>
      </c>
      <c r="B11" s="19" t="s">
        <v>18</v>
      </c>
      <c r="C11" s="19" t="s">
        <v>26</v>
      </c>
      <c r="D11" s="20" t="str">
        <f>SUMIFS('Element wise-detail Summary'!F:F,'Element wise-detail Summary'!B:B,Location_Summary!B11,'Element wise-detail Summary'!C:C,Location_Summary!C11,'Element wise-detail Summary'!D:D,Location_Summary!A11)</f>
        <v>4</v>
      </c>
      <c r="E11" s="117" t="str">
        <f>SUMIFS('Element wise-detail Summary'!$F$3:$F$1048576,'Element wise-detail Summary'!$B$3:$B$1048576,Location_Summary!$B11,'Element wise-detail Summary'!$C$3:$C$1048576,Location_Summary!C11,'Element wise-detail Summary'!$D$3:$D$1048576,Location_Summary!A11)</f>
        <v>4</v>
      </c>
      <c r="F11" s="22" t="str">
        <f>SUMIFS('Element wise-detail Summary'!$G$3:$G$1048576,'Element wise-detail Summary'!$B$3:$B$1048576,Location_Summary!$B11,'Element wise-detail Summary'!$C$3:$C$1048576,Location_Summary!C11,'Element wise-detail Summary'!$D$3:$D$1048576,Location_Summary!A11)</f>
        <v>4</v>
      </c>
      <c r="G11" s="20" t="str">
        <f t="shared" si="1"/>
        <v>0</v>
      </c>
      <c r="H11" s="23" t="str">
        <f t="shared" si="2"/>
        <v>100%</v>
      </c>
      <c r="I11" s="22" t="str">
        <f>SUMIFS('Element wise-detail Summary'!$I$3:$I$1048576,'Element wise-detail Summary'!$B$3:$B$1048576,B11,'Element wise-detail Summary'!$C$3:$C$1048576,C11,'Element wise-detail Summary'!$D$3:$D$1048576,Location_Summary!A11)</f>
        <v>0</v>
      </c>
      <c r="J11" s="20" t="str">
        <f t="shared" si="3"/>
        <v>4</v>
      </c>
      <c r="K11" s="24" t="str">
        <f t="shared" si="4"/>
        <v>0%</v>
      </c>
      <c r="L11" s="25" t="str">
        <f t="shared" si="5"/>
        <v>4</v>
      </c>
      <c r="M11" s="22" t="str">
        <f>SUMIFS('Element wise-detail Summary'!$M$3:$M$1048576,'Element wise-detail Summary'!$B$3:$B$1048576,B11,'Element wise-detail Summary'!$C$3:$C$1048576,C11,'Element wise-detail Summary'!$D$3:$D$1048576,Location_Summary!A11)</f>
        <v>0</v>
      </c>
      <c r="N11" s="20" t="str">
        <f t="shared" si="6"/>
        <v>4</v>
      </c>
      <c r="O11" s="24" t="str">
        <f t="shared" si="7"/>
        <v>0%</v>
      </c>
      <c r="P11" s="118"/>
      <c r="Q11" s="27" t="str">
        <f t="shared" si="8"/>
        <v>0</v>
      </c>
      <c r="R11" s="27"/>
    </row>
    <row r="12" ht="24.75" customHeight="1">
      <c r="A12" s="18" t="s">
        <v>2817</v>
      </c>
      <c r="B12" s="19" t="s">
        <v>18</v>
      </c>
      <c r="C12" s="19" t="s">
        <v>28</v>
      </c>
      <c r="D12" s="20" t="str">
        <f>SUMIFS('Element wise-detail Summary'!F:F,'Element wise-detail Summary'!B:B,Location_Summary!B12,'Element wise-detail Summary'!C:C,Location_Summary!C12,'Element wise-detail Summary'!D:D,Location_Summary!A12)</f>
        <v>4</v>
      </c>
      <c r="E12" s="117" t="str">
        <f>SUMIFS('Element wise-detail Summary'!$F$3:$F$1048576,'Element wise-detail Summary'!$B$3:$B$1048576,Location_Summary!$B12,'Element wise-detail Summary'!$C$3:$C$1048576,Location_Summary!C12,'Element wise-detail Summary'!$D$3:$D$1048576,Location_Summary!A12)</f>
        <v>4</v>
      </c>
      <c r="F12" s="22" t="str">
        <f>SUMIFS('Element wise-detail Summary'!$G$3:$G$1048576,'Element wise-detail Summary'!$B$3:$B$1048576,Location_Summary!$B12,'Element wise-detail Summary'!$C$3:$C$1048576,Location_Summary!C12,'Element wise-detail Summary'!$D$3:$D$1048576,Location_Summary!A12)</f>
        <v>0</v>
      </c>
      <c r="G12" s="20" t="str">
        <f t="shared" si="1"/>
        <v>4</v>
      </c>
      <c r="H12" s="23" t="str">
        <f t="shared" si="2"/>
        <v>0%</v>
      </c>
      <c r="I12" s="22" t="str">
        <f>SUMIFS('Element wise-detail Summary'!$I$3:$I$1048576,'Element wise-detail Summary'!$B$3:$B$1048576,B12,'Element wise-detail Summary'!$C$3:$C$1048576,C12,'Element wise-detail Summary'!$D$3:$D$1048576,Location_Summary!A12)</f>
        <v>0</v>
      </c>
      <c r="J12" s="20" t="str">
        <f t="shared" si="3"/>
        <v>4</v>
      </c>
      <c r="K12" s="24" t="str">
        <f t="shared" si="4"/>
        <v>0%</v>
      </c>
      <c r="L12" s="25" t="str">
        <f t="shared" si="5"/>
        <v>0</v>
      </c>
      <c r="M12" s="22" t="str">
        <f>SUMIFS('Element wise-detail Summary'!$M$3:$M$1048576,'Element wise-detail Summary'!$B$3:$B$1048576,B12,'Element wise-detail Summary'!$C$3:$C$1048576,C12,'Element wise-detail Summary'!$D$3:$D$1048576,Location_Summary!A12)</f>
        <v>0</v>
      </c>
      <c r="N12" s="20" t="str">
        <f t="shared" si="6"/>
        <v>4</v>
      </c>
      <c r="O12" s="24" t="str">
        <f t="shared" si="7"/>
        <v>0%</v>
      </c>
      <c r="P12" s="118"/>
      <c r="Q12" s="27" t="str">
        <f t="shared" si="8"/>
        <v>0</v>
      </c>
      <c r="R12" s="27"/>
    </row>
    <row r="13" ht="24.75" customHeight="1">
      <c r="A13" s="18" t="s">
        <v>2817</v>
      </c>
      <c r="B13" s="19" t="s">
        <v>18</v>
      </c>
      <c r="C13" s="19" t="s">
        <v>29</v>
      </c>
      <c r="D13" s="20" t="str">
        <f>SUMIFS('Element wise-detail Summary'!F:F,'Element wise-detail Summary'!B:B,Location_Summary!B13,'Element wise-detail Summary'!C:C,Location_Summary!C13,'Element wise-detail Summary'!D:D,Location_Summary!A13)</f>
        <v>4</v>
      </c>
      <c r="E13" s="117" t="str">
        <f>SUMIFS('Element wise-detail Summary'!$F$3:$F$1048576,'Element wise-detail Summary'!$B$3:$B$1048576,Location_Summary!$B13,'Element wise-detail Summary'!$C$3:$C$1048576,Location_Summary!C13,'Element wise-detail Summary'!$D$3:$D$1048576,Location_Summary!A13)</f>
        <v>4</v>
      </c>
      <c r="F13" s="22" t="str">
        <f>SUMIFS('Element wise-detail Summary'!$G$3:$G$1048576,'Element wise-detail Summary'!$B$3:$B$1048576,Location_Summary!$B13,'Element wise-detail Summary'!$C$3:$C$1048576,Location_Summary!C13,'Element wise-detail Summary'!$D$3:$D$1048576,Location_Summary!A13)</f>
        <v>0</v>
      </c>
      <c r="G13" s="20" t="str">
        <f t="shared" si="1"/>
        <v>4</v>
      </c>
      <c r="H13" s="23" t="str">
        <f t="shared" si="2"/>
        <v>0%</v>
      </c>
      <c r="I13" s="22" t="str">
        <f>SUMIFS('Element wise-detail Summary'!$I$3:$I$1048576,'Element wise-detail Summary'!$B$3:$B$1048576,B13,'Element wise-detail Summary'!$C$3:$C$1048576,C13,'Element wise-detail Summary'!$D$3:$D$1048576,Location_Summary!A13)</f>
        <v>0</v>
      </c>
      <c r="J13" s="20" t="str">
        <f t="shared" si="3"/>
        <v>4</v>
      </c>
      <c r="K13" s="24" t="str">
        <f t="shared" si="4"/>
        <v>0%</v>
      </c>
      <c r="L13" s="25" t="str">
        <f t="shared" si="5"/>
        <v>0</v>
      </c>
      <c r="M13" s="22" t="str">
        <f>SUMIFS('Element wise-detail Summary'!$M$3:$M$1048576,'Element wise-detail Summary'!$B$3:$B$1048576,B13,'Element wise-detail Summary'!$C$3:$C$1048576,C13,'Element wise-detail Summary'!$D$3:$D$1048576,Location_Summary!A13)</f>
        <v>0</v>
      </c>
      <c r="N13" s="20" t="str">
        <f t="shared" si="6"/>
        <v>4</v>
      </c>
      <c r="O13" s="24" t="str">
        <f t="shared" si="7"/>
        <v>0%</v>
      </c>
      <c r="P13" s="118"/>
      <c r="Q13" s="27" t="str">
        <f t="shared" si="8"/>
        <v>0</v>
      </c>
      <c r="R13" s="27"/>
    </row>
    <row r="14" ht="24.75" customHeight="1">
      <c r="A14" s="18" t="s">
        <v>2817</v>
      </c>
      <c r="B14" s="19" t="s">
        <v>18</v>
      </c>
      <c r="C14" s="19" t="s">
        <v>30</v>
      </c>
      <c r="D14" s="20" t="str">
        <f>SUMIFS('Element wise-detail Summary'!F:F,'Element wise-detail Summary'!B:B,Location_Summary!B14,'Element wise-detail Summary'!C:C,Location_Summary!C14,'Element wise-detail Summary'!D:D,Location_Summary!A14)</f>
        <v>4</v>
      </c>
      <c r="E14" s="117" t="str">
        <f>SUMIFS('Element wise-detail Summary'!$F$3:$F$1048576,'Element wise-detail Summary'!$B$3:$B$1048576,Location_Summary!$B14,'Element wise-detail Summary'!$C$3:$C$1048576,Location_Summary!C14,'Element wise-detail Summary'!$D$3:$D$1048576,Location_Summary!A14)</f>
        <v>4</v>
      </c>
      <c r="F14" s="22" t="str">
        <f>SUMIFS('Element wise-detail Summary'!$G$3:$G$1048576,'Element wise-detail Summary'!$B$3:$B$1048576,Location_Summary!$B14,'Element wise-detail Summary'!$C$3:$C$1048576,Location_Summary!C14,'Element wise-detail Summary'!$D$3:$D$1048576,Location_Summary!A14)</f>
        <v>0</v>
      </c>
      <c r="G14" s="20" t="str">
        <f t="shared" si="1"/>
        <v>4</v>
      </c>
      <c r="H14" s="23" t="str">
        <f t="shared" si="2"/>
        <v>0%</v>
      </c>
      <c r="I14" s="22" t="str">
        <f>SUMIFS('Element wise-detail Summary'!$I$3:$I$1048576,'Element wise-detail Summary'!$B$3:$B$1048576,B14,'Element wise-detail Summary'!$C$3:$C$1048576,C14,'Element wise-detail Summary'!$D$3:$D$1048576,Location_Summary!A14)</f>
        <v>0</v>
      </c>
      <c r="J14" s="20" t="str">
        <f t="shared" si="3"/>
        <v>4</v>
      </c>
      <c r="K14" s="24" t="str">
        <f t="shared" si="4"/>
        <v>0%</v>
      </c>
      <c r="L14" s="25" t="str">
        <f t="shared" si="5"/>
        <v>0</v>
      </c>
      <c r="M14" s="22" t="str">
        <f>SUMIFS('Element wise-detail Summary'!$M$3:$M$1048576,'Element wise-detail Summary'!$B$3:$B$1048576,B14,'Element wise-detail Summary'!$C$3:$C$1048576,C14,'Element wise-detail Summary'!$D$3:$D$1048576,Location_Summary!A14)</f>
        <v>0</v>
      </c>
      <c r="N14" s="20" t="str">
        <f t="shared" si="6"/>
        <v>4</v>
      </c>
      <c r="O14" s="24" t="str">
        <f t="shared" si="7"/>
        <v>0%</v>
      </c>
      <c r="P14" s="118"/>
      <c r="Q14" s="27" t="str">
        <f t="shared" si="8"/>
        <v>0</v>
      </c>
      <c r="R14" s="27"/>
    </row>
    <row r="15" ht="24.75" customHeight="1">
      <c r="A15" s="18" t="s">
        <v>2817</v>
      </c>
      <c r="B15" s="19" t="s">
        <v>18</v>
      </c>
      <c r="C15" s="19" t="s">
        <v>31</v>
      </c>
      <c r="D15" s="20" t="str">
        <f>SUMIFS('Element wise-detail Summary'!F:F,'Element wise-detail Summary'!B:B,Location_Summary!B15,'Element wise-detail Summary'!C:C,Location_Summary!C15,'Element wise-detail Summary'!D:D,Location_Summary!A15)</f>
        <v>8</v>
      </c>
      <c r="E15" s="117" t="str">
        <f>SUMIFS('Element wise-detail Summary'!$F$3:$F$1048576,'Element wise-detail Summary'!$B$3:$B$1048576,Location_Summary!$B15,'Element wise-detail Summary'!$C$3:$C$1048576,Location_Summary!C15,'Element wise-detail Summary'!$D$3:$D$1048576,Location_Summary!A15)</f>
        <v>8</v>
      </c>
      <c r="F15" s="22" t="str">
        <f>SUMIFS('Element wise-detail Summary'!$G$3:$G$1048576,'Element wise-detail Summary'!$B$3:$B$1048576,Location_Summary!$B15,'Element wise-detail Summary'!$C$3:$C$1048576,Location_Summary!C15,'Element wise-detail Summary'!$D$3:$D$1048576,Location_Summary!A15)</f>
        <v>0</v>
      </c>
      <c r="G15" s="20" t="str">
        <f t="shared" si="1"/>
        <v>8</v>
      </c>
      <c r="H15" s="23" t="str">
        <f t="shared" si="2"/>
        <v>0%</v>
      </c>
      <c r="I15" s="22" t="str">
        <f>SUMIFS('Element wise-detail Summary'!$I$3:$I$1048576,'Element wise-detail Summary'!$B$3:$B$1048576,B15,'Element wise-detail Summary'!$C$3:$C$1048576,C15,'Element wise-detail Summary'!$D$3:$D$1048576,Location_Summary!A15)</f>
        <v>0</v>
      </c>
      <c r="J15" s="20" t="str">
        <f t="shared" si="3"/>
        <v>8</v>
      </c>
      <c r="K15" s="24" t="str">
        <f t="shared" si="4"/>
        <v>0%</v>
      </c>
      <c r="L15" s="25" t="str">
        <f t="shared" si="5"/>
        <v>0</v>
      </c>
      <c r="M15" s="22" t="str">
        <f>SUMIFS('Element wise-detail Summary'!$M$3:$M$1048576,'Element wise-detail Summary'!$B$3:$B$1048576,B15,'Element wise-detail Summary'!$C$3:$C$1048576,C15,'Element wise-detail Summary'!$D$3:$D$1048576,Location_Summary!A15)</f>
        <v>0</v>
      </c>
      <c r="N15" s="20" t="str">
        <f t="shared" si="6"/>
        <v>8</v>
      </c>
      <c r="O15" s="24" t="str">
        <f t="shared" si="7"/>
        <v>0%</v>
      </c>
      <c r="P15" s="118"/>
      <c r="Q15" s="27" t="str">
        <f t="shared" si="8"/>
        <v>0</v>
      </c>
      <c r="R15" s="27"/>
    </row>
    <row r="16" ht="24.75" customHeight="1">
      <c r="A16" s="18" t="s">
        <v>2817</v>
      </c>
      <c r="B16" s="19" t="s">
        <v>18</v>
      </c>
      <c r="C16" s="19" t="s">
        <v>33</v>
      </c>
      <c r="D16" s="20" t="str">
        <f>SUMIFS('Element wise-detail Summary'!F:F,'Element wise-detail Summary'!B:B,Location_Summary!B16,'Element wise-detail Summary'!C:C,Location_Summary!C16,'Element wise-detail Summary'!D:D,Location_Summary!A16)</f>
        <v>6</v>
      </c>
      <c r="E16" s="117" t="str">
        <f>SUMIFS('Element wise-detail Summary'!$F$3:$F$1048576,'Element wise-detail Summary'!$B$3:$B$1048576,Location_Summary!$B16,'Element wise-detail Summary'!$C$3:$C$1048576,Location_Summary!C16,'Element wise-detail Summary'!$D$3:$D$1048576,Location_Summary!A16)</f>
        <v>6</v>
      </c>
      <c r="F16" s="22" t="str">
        <f>SUMIFS('Element wise-detail Summary'!$G$3:$G$1048576,'Element wise-detail Summary'!$B$3:$B$1048576,Location_Summary!$B16,'Element wise-detail Summary'!$C$3:$C$1048576,Location_Summary!C16,'Element wise-detail Summary'!$D$3:$D$1048576,Location_Summary!A16)</f>
        <v>6</v>
      </c>
      <c r="G16" s="20" t="str">
        <f t="shared" si="1"/>
        <v>0</v>
      </c>
      <c r="H16" s="23" t="str">
        <f t="shared" si="2"/>
        <v>100%</v>
      </c>
      <c r="I16" s="22" t="str">
        <f>SUMIFS('Element wise-detail Summary'!$I$3:$I$1048576,'Element wise-detail Summary'!$B$3:$B$1048576,B16,'Element wise-detail Summary'!$C$3:$C$1048576,C16,'Element wise-detail Summary'!$D$3:$D$1048576,Location_Summary!A16)</f>
        <v>0</v>
      </c>
      <c r="J16" s="20" t="str">
        <f t="shared" si="3"/>
        <v>6</v>
      </c>
      <c r="K16" s="24" t="str">
        <f t="shared" si="4"/>
        <v>0%</v>
      </c>
      <c r="L16" s="25" t="str">
        <f t="shared" si="5"/>
        <v>6</v>
      </c>
      <c r="M16" s="22" t="str">
        <f>SUMIFS('Element wise-detail Summary'!$M$3:$M$1048576,'Element wise-detail Summary'!$B$3:$B$1048576,B16,'Element wise-detail Summary'!$C$3:$C$1048576,C16,'Element wise-detail Summary'!$D$3:$D$1048576,Location_Summary!A16)</f>
        <v>0</v>
      </c>
      <c r="N16" s="20" t="str">
        <f t="shared" si="6"/>
        <v>6</v>
      </c>
      <c r="O16" s="24" t="str">
        <f t="shared" si="7"/>
        <v>0%</v>
      </c>
      <c r="P16" s="118"/>
      <c r="Q16" s="27" t="str">
        <f t="shared" si="8"/>
        <v>0</v>
      </c>
      <c r="R16" s="27"/>
    </row>
    <row r="17" ht="24.75" customHeight="1">
      <c r="A17" s="18" t="s">
        <v>2817</v>
      </c>
      <c r="B17" s="19" t="s">
        <v>34</v>
      </c>
      <c r="C17" s="19" t="s">
        <v>35</v>
      </c>
      <c r="D17" s="20" t="str">
        <f>SUMIFS('Element wise-detail Summary'!F:F,'Element wise-detail Summary'!B:B,Location_Summary!B17,'Element wise-detail Summary'!C:C,Location_Summary!C17,'Element wise-detail Summary'!D:D,Location_Summary!A17)</f>
        <v>5</v>
      </c>
      <c r="E17" s="117" t="str">
        <f>SUMIFS('Element wise-detail Summary'!$F$3:$F$1048576,'Element wise-detail Summary'!$B$3:$B$1048576,Location_Summary!$B17,'Element wise-detail Summary'!$C$3:$C$1048576,Location_Summary!C17,'Element wise-detail Summary'!$D$3:$D$1048576,Location_Summary!A17)</f>
        <v>5</v>
      </c>
      <c r="F17" s="22" t="str">
        <f>SUMIFS('Element wise-detail Summary'!$G$3:$G$1048576,'Element wise-detail Summary'!$B$3:$B$1048576,Location_Summary!$B17,'Element wise-detail Summary'!$C$3:$C$1048576,Location_Summary!C17,'Element wise-detail Summary'!$D$3:$D$1048576,Location_Summary!A17)</f>
        <v>1</v>
      </c>
      <c r="G17" s="20" t="str">
        <f t="shared" si="1"/>
        <v>4</v>
      </c>
      <c r="H17" s="23" t="str">
        <f t="shared" si="2"/>
        <v>20%</v>
      </c>
      <c r="I17" s="22" t="str">
        <f>SUMIFS('Element wise-detail Summary'!$I$3:$I$1048576,'Element wise-detail Summary'!$B$3:$B$1048576,B17,'Element wise-detail Summary'!$C$3:$C$1048576,C17,'Element wise-detail Summary'!$D$3:$D$1048576,Location_Summary!A17)</f>
        <v>0</v>
      </c>
      <c r="J17" s="20" t="str">
        <f t="shared" si="3"/>
        <v>5</v>
      </c>
      <c r="K17" s="24" t="str">
        <f t="shared" si="4"/>
        <v>0%</v>
      </c>
      <c r="L17" s="25" t="str">
        <f t="shared" si="5"/>
        <v>1</v>
      </c>
      <c r="M17" s="22" t="str">
        <f>SUMIFS('Element wise-detail Summary'!$M$3:$M$1048576,'Element wise-detail Summary'!$B$3:$B$1048576,B17,'Element wise-detail Summary'!$C$3:$C$1048576,C17,'Element wise-detail Summary'!$D$3:$D$1048576,Location_Summary!A17)</f>
        <v>0</v>
      </c>
      <c r="N17" s="20" t="str">
        <f t="shared" si="6"/>
        <v>5</v>
      </c>
      <c r="O17" s="24" t="str">
        <f t="shared" si="7"/>
        <v>0%</v>
      </c>
      <c r="P17" s="118"/>
      <c r="Q17" s="27" t="str">
        <f t="shared" si="8"/>
        <v>0</v>
      </c>
      <c r="R17" s="27"/>
    </row>
    <row r="18" ht="24.75" customHeight="1">
      <c r="A18" s="18" t="s">
        <v>2817</v>
      </c>
      <c r="B18" s="19" t="s">
        <v>34</v>
      </c>
      <c r="C18" s="19" t="s">
        <v>37</v>
      </c>
      <c r="D18" s="20" t="str">
        <f>SUMIFS('Element wise-detail Summary'!F:F,'Element wise-detail Summary'!B:B,Location_Summary!B18,'Element wise-detail Summary'!C:C,Location_Summary!C18,'Element wise-detail Summary'!D:D,Location_Summary!A18)</f>
        <v>13</v>
      </c>
      <c r="E18" s="117" t="str">
        <f>SUMIFS('Element wise-detail Summary'!$F$3:$F$1048576,'Element wise-detail Summary'!$B$3:$B$1048576,Location_Summary!$B18,'Element wise-detail Summary'!$C$3:$C$1048576,Location_Summary!C18,'Element wise-detail Summary'!$D$3:$D$1048576,Location_Summary!A18)</f>
        <v>13</v>
      </c>
      <c r="F18" s="22" t="str">
        <f>SUMIFS('Element wise-detail Summary'!$G$3:$G$1048576,'Element wise-detail Summary'!$B$3:$B$1048576,Location_Summary!$B18,'Element wise-detail Summary'!$C$3:$C$1048576,Location_Summary!C18,'Element wise-detail Summary'!$D$3:$D$1048576,Location_Summary!A18)</f>
        <v>12</v>
      </c>
      <c r="G18" s="20" t="str">
        <f t="shared" si="1"/>
        <v>1</v>
      </c>
      <c r="H18" s="23" t="str">
        <f t="shared" si="2"/>
        <v>92%</v>
      </c>
      <c r="I18" s="22" t="str">
        <f>SUMIFS('Element wise-detail Summary'!$I$3:$I$1048576,'Element wise-detail Summary'!$B$3:$B$1048576,B18,'Element wise-detail Summary'!$C$3:$C$1048576,C18,'Element wise-detail Summary'!$D$3:$D$1048576,Location_Summary!A18)</f>
        <v>0</v>
      </c>
      <c r="J18" s="20" t="str">
        <f t="shared" si="3"/>
        <v>13</v>
      </c>
      <c r="K18" s="24" t="str">
        <f t="shared" si="4"/>
        <v>0%</v>
      </c>
      <c r="L18" s="25" t="str">
        <f t="shared" si="5"/>
        <v>12</v>
      </c>
      <c r="M18" s="22" t="str">
        <f>SUMIFS('Element wise-detail Summary'!$M$3:$M$1048576,'Element wise-detail Summary'!$B$3:$B$1048576,B18,'Element wise-detail Summary'!$C$3:$C$1048576,C18,'Element wise-detail Summary'!$D$3:$D$1048576,Location_Summary!A18)</f>
        <v>0</v>
      </c>
      <c r="N18" s="20" t="str">
        <f t="shared" si="6"/>
        <v>13</v>
      </c>
      <c r="O18" s="24" t="str">
        <f t="shared" si="7"/>
        <v>0%</v>
      </c>
      <c r="P18" s="118"/>
      <c r="Q18" s="27" t="str">
        <f t="shared" si="8"/>
        <v>0</v>
      </c>
      <c r="R18" s="27"/>
    </row>
    <row r="19" ht="24.75" customHeight="1">
      <c r="A19" s="18" t="s">
        <v>2817</v>
      </c>
      <c r="B19" s="19" t="s">
        <v>34</v>
      </c>
      <c r="C19" s="19" t="s">
        <v>39</v>
      </c>
      <c r="D19" s="20" t="str">
        <f>SUMIFS('Element wise-detail Summary'!F:F,'Element wise-detail Summary'!B:B,Location_Summary!B19,'Element wise-detail Summary'!C:C,Location_Summary!C19,'Element wise-detail Summary'!D:D,Location_Summary!A19)</f>
        <v>13</v>
      </c>
      <c r="E19" s="117" t="str">
        <f>SUMIFS('Element wise-detail Summary'!$F$3:$F$1048576,'Element wise-detail Summary'!$B$3:$B$1048576,Location_Summary!$B19,'Element wise-detail Summary'!$C$3:$C$1048576,Location_Summary!C19,'Element wise-detail Summary'!$D$3:$D$1048576,Location_Summary!A19)</f>
        <v>13</v>
      </c>
      <c r="F19" s="22" t="str">
        <f>SUMIFS('Element wise-detail Summary'!$G$3:$G$1048576,'Element wise-detail Summary'!$B$3:$B$1048576,Location_Summary!$B19,'Element wise-detail Summary'!$C$3:$C$1048576,Location_Summary!C19,'Element wise-detail Summary'!$D$3:$D$1048576,Location_Summary!A19)</f>
        <v>13</v>
      </c>
      <c r="G19" s="20" t="str">
        <f t="shared" si="1"/>
        <v>0</v>
      </c>
      <c r="H19" s="23" t="str">
        <f t="shared" si="2"/>
        <v>100%</v>
      </c>
      <c r="I19" s="22" t="str">
        <f>SUMIFS('Element wise-detail Summary'!$I$3:$I$1048576,'Element wise-detail Summary'!$B$3:$B$1048576,B19,'Element wise-detail Summary'!$C$3:$C$1048576,C19,'Element wise-detail Summary'!$D$3:$D$1048576,Location_Summary!A19)</f>
        <v>0</v>
      </c>
      <c r="J19" s="20" t="str">
        <f t="shared" si="3"/>
        <v>13</v>
      </c>
      <c r="K19" s="24" t="str">
        <f t="shared" si="4"/>
        <v>0%</v>
      </c>
      <c r="L19" s="25" t="str">
        <f t="shared" si="5"/>
        <v>13</v>
      </c>
      <c r="M19" s="22" t="str">
        <f>SUMIFS('Element wise-detail Summary'!$M$3:$M$1048576,'Element wise-detail Summary'!$B$3:$B$1048576,B19,'Element wise-detail Summary'!$C$3:$C$1048576,C19,'Element wise-detail Summary'!$D$3:$D$1048576,Location_Summary!A19)</f>
        <v>0</v>
      </c>
      <c r="N19" s="20" t="str">
        <f t="shared" si="6"/>
        <v>13</v>
      </c>
      <c r="O19" s="24" t="str">
        <f t="shared" si="7"/>
        <v>0%</v>
      </c>
      <c r="P19" s="118"/>
      <c r="Q19" s="27" t="str">
        <f t="shared" si="8"/>
        <v>0</v>
      </c>
      <c r="R19" s="27"/>
    </row>
    <row r="20" ht="24.75" customHeight="1">
      <c r="A20" s="18" t="s">
        <v>2817</v>
      </c>
      <c r="B20" s="19" t="s">
        <v>34</v>
      </c>
      <c r="C20" s="19" t="s">
        <v>40</v>
      </c>
      <c r="D20" s="20" t="str">
        <f>SUMIFS('Element wise-detail Summary'!F:F,'Element wise-detail Summary'!B:B,Location_Summary!B20,'Element wise-detail Summary'!C:C,Location_Summary!C20,'Element wise-detail Summary'!D:D,Location_Summary!A20)</f>
        <v>8</v>
      </c>
      <c r="E20" s="117" t="str">
        <f>SUMIFS('Element wise-detail Summary'!$F$3:$F$1048576,'Element wise-detail Summary'!$B$3:$B$1048576,Location_Summary!$B20,'Element wise-detail Summary'!$C$3:$C$1048576,Location_Summary!C20,'Element wise-detail Summary'!$D$3:$D$1048576,Location_Summary!A20)</f>
        <v>8</v>
      </c>
      <c r="F20" s="22" t="str">
        <f>SUMIFS('Element wise-detail Summary'!$G$3:$G$1048576,'Element wise-detail Summary'!$B$3:$B$1048576,Location_Summary!$B20,'Element wise-detail Summary'!$C$3:$C$1048576,Location_Summary!C20,'Element wise-detail Summary'!$D$3:$D$1048576,Location_Summary!A20)</f>
        <v>0</v>
      </c>
      <c r="G20" s="20" t="str">
        <f t="shared" si="1"/>
        <v>8</v>
      </c>
      <c r="H20" s="23" t="str">
        <f t="shared" si="2"/>
        <v>0%</v>
      </c>
      <c r="I20" s="22" t="str">
        <f>SUMIFS('Element wise-detail Summary'!$I$3:$I$1048576,'Element wise-detail Summary'!$B$3:$B$1048576,B20,'Element wise-detail Summary'!$C$3:$C$1048576,C20,'Element wise-detail Summary'!$D$3:$D$1048576,Location_Summary!A20)</f>
        <v>0</v>
      </c>
      <c r="J20" s="20" t="str">
        <f t="shared" si="3"/>
        <v>8</v>
      </c>
      <c r="K20" s="24" t="str">
        <f t="shared" si="4"/>
        <v>0%</v>
      </c>
      <c r="L20" s="25" t="str">
        <f t="shared" si="5"/>
        <v>0</v>
      </c>
      <c r="M20" s="22" t="str">
        <f>SUMIFS('Element wise-detail Summary'!$M$3:$M$1048576,'Element wise-detail Summary'!$B$3:$B$1048576,B20,'Element wise-detail Summary'!$C$3:$C$1048576,C20,'Element wise-detail Summary'!$D$3:$D$1048576,Location_Summary!A20)</f>
        <v>0</v>
      </c>
      <c r="N20" s="20" t="str">
        <f t="shared" si="6"/>
        <v>8</v>
      </c>
      <c r="O20" s="24" t="str">
        <f t="shared" si="7"/>
        <v>0%</v>
      </c>
      <c r="P20" s="118"/>
      <c r="Q20" s="27" t="str">
        <f t="shared" si="8"/>
        <v>0</v>
      </c>
      <c r="R20" s="27"/>
    </row>
    <row r="21" ht="24.75" customHeight="1">
      <c r="A21" s="18" t="s">
        <v>2817</v>
      </c>
      <c r="B21" s="19" t="s">
        <v>34</v>
      </c>
      <c r="C21" s="19" t="s">
        <v>41</v>
      </c>
      <c r="D21" s="20" t="str">
        <f>SUMIFS('Element wise-detail Summary'!F:F,'Element wise-detail Summary'!B:B,Location_Summary!B21,'Element wise-detail Summary'!C:C,Location_Summary!C21,'Element wise-detail Summary'!D:D,Location_Summary!A21)</f>
        <v>5</v>
      </c>
      <c r="E21" s="117" t="str">
        <f>SUMIFS('Element wise-detail Summary'!$F$3:$F$1048576,'Element wise-detail Summary'!$B$3:$B$1048576,Location_Summary!$B21,'Element wise-detail Summary'!$C$3:$C$1048576,Location_Summary!C21,'Element wise-detail Summary'!$D$3:$D$1048576,Location_Summary!A21)</f>
        <v>5</v>
      </c>
      <c r="F21" s="22" t="str">
        <f>SUMIFS('Element wise-detail Summary'!$G$3:$G$1048576,'Element wise-detail Summary'!$B$3:$B$1048576,Location_Summary!$B21,'Element wise-detail Summary'!$C$3:$C$1048576,Location_Summary!C21,'Element wise-detail Summary'!$D$3:$D$1048576,Location_Summary!A21)</f>
        <v>2</v>
      </c>
      <c r="G21" s="20" t="str">
        <f t="shared" si="1"/>
        <v>3</v>
      </c>
      <c r="H21" s="23" t="str">
        <f t="shared" si="2"/>
        <v>40%</v>
      </c>
      <c r="I21" s="22" t="str">
        <f>SUMIFS('Element wise-detail Summary'!$I$3:$I$1048576,'Element wise-detail Summary'!$B$3:$B$1048576,B21,'Element wise-detail Summary'!$C$3:$C$1048576,C21,'Element wise-detail Summary'!$D$3:$D$1048576,Location_Summary!A21)</f>
        <v>0</v>
      </c>
      <c r="J21" s="20" t="str">
        <f t="shared" si="3"/>
        <v>5</v>
      </c>
      <c r="K21" s="24" t="str">
        <f t="shared" si="4"/>
        <v>0%</v>
      </c>
      <c r="L21" s="25" t="str">
        <f t="shared" si="5"/>
        <v>2</v>
      </c>
      <c r="M21" s="22" t="str">
        <f>SUMIFS('Element wise-detail Summary'!$M$3:$M$1048576,'Element wise-detail Summary'!$B$3:$B$1048576,B21,'Element wise-detail Summary'!$C$3:$C$1048576,C21,'Element wise-detail Summary'!$D$3:$D$1048576,Location_Summary!A21)</f>
        <v>0</v>
      </c>
      <c r="N21" s="20" t="str">
        <f t="shared" si="6"/>
        <v>5</v>
      </c>
      <c r="O21" s="24" t="str">
        <f t="shared" si="7"/>
        <v>0%</v>
      </c>
      <c r="P21" s="118"/>
      <c r="Q21" s="27" t="str">
        <f t="shared" si="8"/>
        <v>0</v>
      </c>
      <c r="R21" s="27"/>
    </row>
    <row r="22" ht="24.75" customHeight="1">
      <c r="A22" s="18" t="s">
        <v>2817</v>
      </c>
      <c r="B22" s="19" t="s">
        <v>34</v>
      </c>
      <c r="C22" s="19" t="s">
        <v>42</v>
      </c>
      <c r="D22" s="20" t="str">
        <f>SUMIFS('Element wise-detail Summary'!F:F,'Element wise-detail Summary'!B:B,Location_Summary!B22,'Element wise-detail Summary'!C:C,Location_Summary!C22,'Element wise-detail Summary'!D:D,Location_Summary!A22)</f>
        <v>4</v>
      </c>
      <c r="E22" s="117" t="str">
        <f>SUMIFS('Element wise-detail Summary'!$F$3:$F$1048576,'Element wise-detail Summary'!$B$3:$B$1048576,Location_Summary!$B22,'Element wise-detail Summary'!$C$3:$C$1048576,Location_Summary!C22,'Element wise-detail Summary'!$D$3:$D$1048576,Location_Summary!A22)</f>
        <v>4</v>
      </c>
      <c r="F22" s="22" t="str">
        <f>SUMIFS('Element wise-detail Summary'!$G$3:$G$1048576,'Element wise-detail Summary'!$B$3:$B$1048576,Location_Summary!$B22,'Element wise-detail Summary'!$C$3:$C$1048576,Location_Summary!C22,'Element wise-detail Summary'!$D$3:$D$1048576,Location_Summary!A22)</f>
        <v>4</v>
      </c>
      <c r="G22" s="20" t="str">
        <f t="shared" si="1"/>
        <v>0</v>
      </c>
      <c r="H22" s="23" t="str">
        <f t="shared" si="2"/>
        <v>100%</v>
      </c>
      <c r="I22" s="22" t="str">
        <f>SUMIFS('Element wise-detail Summary'!$I$3:$I$1048576,'Element wise-detail Summary'!$B$3:$B$1048576,B22,'Element wise-detail Summary'!$C$3:$C$1048576,C22,'Element wise-detail Summary'!$D$3:$D$1048576,Location_Summary!A22)</f>
        <v>0</v>
      </c>
      <c r="J22" s="20" t="str">
        <f t="shared" si="3"/>
        <v>4</v>
      </c>
      <c r="K22" s="24" t="str">
        <f t="shared" si="4"/>
        <v>0%</v>
      </c>
      <c r="L22" s="25" t="str">
        <f t="shared" si="5"/>
        <v>4</v>
      </c>
      <c r="M22" s="22" t="str">
        <f>SUMIFS('Element wise-detail Summary'!$M$3:$M$1048576,'Element wise-detail Summary'!$B$3:$B$1048576,B22,'Element wise-detail Summary'!$C$3:$C$1048576,C22,'Element wise-detail Summary'!$D$3:$D$1048576,Location_Summary!A22)</f>
        <v>0</v>
      </c>
      <c r="N22" s="20" t="str">
        <f t="shared" si="6"/>
        <v>4</v>
      </c>
      <c r="O22" s="24" t="str">
        <f t="shared" si="7"/>
        <v>0%</v>
      </c>
      <c r="P22" s="118"/>
      <c r="Q22" s="27" t="str">
        <f t="shared" si="8"/>
        <v>0</v>
      </c>
      <c r="R22" s="27"/>
    </row>
    <row r="23" ht="24.75" customHeight="1">
      <c r="A23" s="18" t="s">
        <v>2817</v>
      </c>
      <c r="B23" s="19" t="s">
        <v>34</v>
      </c>
      <c r="C23" s="19" t="s">
        <v>43</v>
      </c>
      <c r="D23" s="20" t="str">
        <f>SUMIFS('Element wise-detail Summary'!F:F,'Element wise-detail Summary'!B:B,Location_Summary!B23,'Element wise-detail Summary'!C:C,Location_Summary!C23,'Element wise-detail Summary'!D:D,Location_Summary!A23)</f>
        <v>4</v>
      </c>
      <c r="E23" s="117" t="str">
        <f>SUMIFS('Element wise-detail Summary'!$F$3:$F$1048576,'Element wise-detail Summary'!$B$3:$B$1048576,Location_Summary!$B23,'Element wise-detail Summary'!$C$3:$C$1048576,Location_Summary!C23,'Element wise-detail Summary'!$D$3:$D$1048576,Location_Summary!A23)</f>
        <v>4</v>
      </c>
      <c r="F23" s="22" t="str">
        <f>SUMIFS('Element wise-detail Summary'!$G$3:$G$1048576,'Element wise-detail Summary'!$B$3:$B$1048576,Location_Summary!$B23,'Element wise-detail Summary'!$C$3:$C$1048576,Location_Summary!C23,'Element wise-detail Summary'!$D$3:$D$1048576,Location_Summary!A23)</f>
        <v>3</v>
      </c>
      <c r="G23" s="20" t="str">
        <f t="shared" si="1"/>
        <v>1</v>
      </c>
      <c r="H23" s="23" t="str">
        <f t="shared" si="2"/>
        <v>75%</v>
      </c>
      <c r="I23" s="22" t="str">
        <f>SUMIFS('Element wise-detail Summary'!$I$3:$I$1048576,'Element wise-detail Summary'!$B$3:$B$1048576,B23,'Element wise-detail Summary'!$C$3:$C$1048576,C23,'Element wise-detail Summary'!$D$3:$D$1048576,Location_Summary!A23)</f>
        <v>0</v>
      </c>
      <c r="J23" s="20" t="str">
        <f t="shared" si="3"/>
        <v>4</v>
      </c>
      <c r="K23" s="24" t="str">
        <f t="shared" si="4"/>
        <v>0%</v>
      </c>
      <c r="L23" s="25" t="str">
        <f t="shared" si="5"/>
        <v>3</v>
      </c>
      <c r="M23" s="22" t="str">
        <f>SUMIFS('Element wise-detail Summary'!$M$3:$M$1048576,'Element wise-detail Summary'!$B$3:$B$1048576,B23,'Element wise-detail Summary'!$C$3:$C$1048576,C23,'Element wise-detail Summary'!$D$3:$D$1048576,Location_Summary!A23)</f>
        <v>0</v>
      </c>
      <c r="N23" s="20" t="str">
        <f t="shared" si="6"/>
        <v>4</v>
      </c>
      <c r="O23" s="24" t="str">
        <f t="shared" si="7"/>
        <v>0%</v>
      </c>
      <c r="P23" s="118"/>
      <c r="Q23" s="27" t="str">
        <f t="shared" si="8"/>
        <v>0</v>
      </c>
      <c r="R23" s="27"/>
    </row>
    <row r="24" ht="24.75" customHeight="1">
      <c r="A24" s="18" t="s">
        <v>2817</v>
      </c>
      <c r="B24" s="19" t="s">
        <v>44</v>
      </c>
      <c r="C24" s="19" t="s">
        <v>45</v>
      </c>
      <c r="D24" s="20" t="str">
        <f>SUMIFS('Element wise-detail Summary'!F:F,'Element wise-detail Summary'!B:B,Location_Summary!B24,'Element wise-detail Summary'!C:C,Location_Summary!C24,'Element wise-detail Summary'!D:D,Location_Summary!A24)</f>
        <v>5</v>
      </c>
      <c r="E24" s="117" t="str">
        <f>SUMIFS('Element wise-detail Summary'!$F$3:$F$1048576,'Element wise-detail Summary'!$B$3:$B$1048576,Location_Summary!$B24,'Element wise-detail Summary'!$C$3:$C$1048576,Location_Summary!C24,'Element wise-detail Summary'!$D$3:$D$1048576,Location_Summary!A24)</f>
        <v>5</v>
      </c>
      <c r="F24" s="22" t="str">
        <f>SUMIFS('Element wise-detail Summary'!$G$3:$G$1048576,'Element wise-detail Summary'!$B$3:$B$1048576,Location_Summary!$B24,'Element wise-detail Summary'!$C$3:$C$1048576,Location_Summary!C24,'Element wise-detail Summary'!$D$3:$D$1048576,Location_Summary!A24)</f>
        <v>0</v>
      </c>
      <c r="G24" s="20" t="str">
        <f t="shared" si="1"/>
        <v>5</v>
      </c>
      <c r="H24" s="23" t="str">
        <f t="shared" si="2"/>
        <v>0%</v>
      </c>
      <c r="I24" s="22" t="str">
        <f>SUMIFS('Element wise-detail Summary'!$I$3:$I$1048576,'Element wise-detail Summary'!$B$3:$B$1048576,B24,'Element wise-detail Summary'!$C$3:$C$1048576,C24,'Element wise-detail Summary'!$D$3:$D$1048576,Location_Summary!A24)</f>
        <v>0</v>
      </c>
      <c r="J24" s="20" t="str">
        <f t="shared" si="3"/>
        <v>5</v>
      </c>
      <c r="K24" s="24" t="str">
        <f t="shared" si="4"/>
        <v>0%</v>
      </c>
      <c r="L24" s="25" t="str">
        <f t="shared" si="5"/>
        <v>0</v>
      </c>
      <c r="M24" s="22" t="str">
        <f>SUMIFS('Element wise-detail Summary'!$M$3:$M$1048576,'Element wise-detail Summary'!$B$3:$B$1048576,B24,'Element wise-detail Summary'!$C$3:$C$1048576,C24,'Element wise-detail Summary'!$D$3:$D$1048576,Location_Summary!A24)</f>
        <v>0</v>
      </c>
      <c r="N24" s="20" t="str">
        <f t="shared" si="6"/>
        <v>5</v>
      </c>
      <c r="O24" s="24" t="str">
        <f t="shared" si="7"/>
        <v>0%</v>
      </c>
      <c r="P24" s="118"/>
      <c r="Q24" s="27" t="str">
        <f t="shared" si="8"/>
        <v>0</v>
      </c>
      <c r="R24" s="27"/>
    </row>
    <row r="25" ht="24.75" customHeight="1">
      <c r="A25" s="18" t="s">
        <v>2817</v>
      </c>
      <c r="B25" s="19" t="s">
        <v>44</v>
      </c>
      <c r="C25" s="19" t="s">
        <v>47</v>
      </c>
      <c r="D25" s="20" t="str">
        <f>SUMIFS('Element wise-detail Summary'!F:F,'Element wise-detail Summary'!B:B,Location_Summary!B25,'Element wise-detail Summary'!C:C,Location_Summary!C25,'Element wise-detail Summary'!D:D,Location_Summary!A25)</f>
        <v>11</v>
      </c>
      <c r="E25" s="117" t="str">
        <f>SUMIFS('Element wise-detail Summary'!$F$3:$F$1048576,'Element wise-detail Summary'!$B$3:$B$1048576,Location_Summary!$B25,'Element wise-detail Summary'!$C$3:$C$1048576,Location_Summary!C25,'Element wise-detail Summary'!$D$3:$D$1048576,Location_Summary!A25)</f>
        <v>11</v>
      </c>
      <c r="F25" s="22" t="str">
        <f>SUMIFS('Element wise-detail Summary'!$G$3:$G$1048576,'Element wise-detail Summary'!$B$3:$B$1048576,Location_Summary!$B25,'Element wise-detail Summary'!$C$3:$C$1048576,Location_Summary!C25,'Element wise-detail Summary'!$D$3:$D$1048576,Location_Summary!A25)</f>
        <v>6</v>
      </c>
      <c r="G25" s="20" t="str">
        <f t="shared" si="1"/>
        <v>5</v>
      </c>
      <c r="H25" s="23" t="str">
        <f t="shared" si="2"/>
        <v>55%</v>
      </c>
      <c r="I25" s="22" t="str">
        <f>SUMIFS('Element wise-detail Summary'!$I$3:$I$1048576,'Element wise-detail Summary'!$B$3:$B$1048576,B25,'Element wise-detail Summary'!$C$3:$C$1048576,C25,'Element wise-detail Summary'!$D$3:$D$1048576,Location_Summary!A25)</f>
        <v>0</v>
      </c>
      <c r="J25" s="20" t="str">
        <f t="shared" si="3"/>
        <v>11</v>
      </c>
      <c r="K25" s="24" t="str">
        <f t="shared" si="4"/>
        <v>0%</v>
      </c>
      <c r="L25" s="25" t="str">
        <f t="shared" si="5"/>
        <v>6</v>
      </c>
      <c r="M25" s="22" t="str">
        <f>SUMIFS('Element wise-detail Summary'!$M$3:$M$1048576,'Element wise-detail Summary'!$B$3:$B$1048576,B25,'Element wise-detail Summary'!$C$3:$C$1048576,C25,'Element wise-detail Summary'!$D$3:$D$1048576,Location_Summary!A25)</f>
        <v>0</v>
      </c>
      <c r="N25" s="20" t="str">
        <f t="shared" si="6"/>
        <v>11</v>
      </c>
      <c r="O25" s="24" t="str">
        <f t="shared" si="7"/>
        <v>0%</v>
      </c>
      <c r="P25" s="118"/>
      <c r="Q25" s="27" t="str">
        <f t="shared" si="8"/>
        <v>0</v>
      </c>
      <c r="R25" s="27"/>
    </row>
    <row r="26" ht="24.75" customHeight="1">
      <c r="A26" s="18" t="s">
        <v>2817</v>
      </c>
      <c r="B26" s="19" t="s">
        <v>44</v>
      </c>
      <c r="C26" s="19" t="s">
        <v>48</v>
      </c>
      <c r="D26" s="20" t="str">
        <f>SUMIFS('Element wise-detail Summary'!F:F,'Element wise-detail Summary'!B:B,Location_Summary!B26,'Element wise-detail Summary'!C:C,Location_Summary!C26,'Element wise-detail Summary'!D:D,Location_Summary!A26)</f>
        <v>13</v>
      </c>
      <c r="E26" s="117" t="str">
        <f>SUMIFS('Element wise-detail Summary'!$F$3:$F$1048576,'Element wise-detail Summary'!$B$3:$B$1048576,Location_Summary!$B26,'Element wise-detail Summary'!$C$3:$C$1048576,Location_Summary!C26,'Element wise-detail Summary'!$D$3:$D$1048576,Location_Summary!A26)</f>
        <v>13</v>
      </c>
      <c r="F26" s="22" t="str">
        <f>SUMIFS('Element wise-detail Summary'!$G$3:$G$1048576,'Element wise-detail Summary'!$B$3:$B$1048576,Location_Summary!$B26,'Element wise-detail Summary'!$C$3:$C$1048576,Location_Summary!C26,'Element wise-detail Summary'!$D$3:$D$1048576,Location_Summary!A26)</f>
        <v>2</v>
      </c>
      <c r="G26" s="20" t="str">
        <f t="shared" si="1"/>
        <v>11</v>
      </c>
      <c r="H26" s="23" t="str">
        <f t="shared" si="2"/>
        <v>15%</v>
      </c>
      <c r="I26" s="22" t="str">
        <f>SUMIFS('Element wise-detail Summary'!$I$3:$I$1048576,'Element wise-detail Summary'!$B$3:$B$1048576,B26,'Element wise-detail Summary'!$C$3:$C$1048576,C26,'Element wise-detail Summary'!$D$3:$D$1048576,Location_Summary!A26)</f>
        <v>0</v>
      </c>
      <c r="J26" s="20" t="str">
        <f t="shared" si="3"/>
        <v>13</v>
      </c>
      <c r="K26" s="24" t="str">
        <f t="shared" si="4"/>
        <v>0%</v>
      </c>
      <c r="L26" s="25" t="str">
        <f t="shared" si="5"/>
        <v>2</v>
      </c>
      <c r="M26" s="22" t="str">
        <f>SUMIFS('Element wise-detail Summary'!$M$3:$M$1048576,'Element wise-detail Summary'!$B$3:$B$1048576,B26,'Element wise-detail Summary'!$C$3:$C$1048576,C26,'Element wise-detail Summary'!$D$3:$D$1048576,Location_Summary!A26)</f>
        <v>0</v>
      </c>
      <c r="N26" s="20" t="str">
        <f t="shared" si="6"/>
        <v>13</v>
      </c>
      <c r="O26" s="24" t="str">
        <f t="shared" si="7"/>
        <v>0%</v>
      </c>
      <c r="P26" s="118"/>
      <c r="Q26" s="27" t="str">
        <f t="shared" si="8"/>
        <v>0</v>
      </c>
      <c r="R26" s="27"/>
    </row>
    <row r="27" ht="24.75" customHeight="1">
      <c r="A27" s="18" t="s">
        <v>2817</v>
      </c>
      <c r="B27" s="19" t="s">
        <v>44</v>
      </c>
      <c r="C27" s="19" t="s">
        <v>50</v>
      </c>
      <c r="D27" s="20" t="str">
        <f>SUMIFS('Element wise-detail Summary'!F:F,'Element wise-detail Summary'!B:B,Location_Summary!B27,'Element wise-detail Summary'!C:C,Location_Summary!C27,'Element wise-detail Summary'!D:D,Location_Summary!A27)</f>
        <v>9</v>
      </c>
      <c r="E27" s="117" t="str">
        <f>SUMIFS('Element wise-detail Summary'!$F$3:$F$1048576,'Element wise-detail Summary'!$B$3:$B$1048576,Location_Summary!$B27,'Element wise-detail Summary'!$C$3:$C$1048576,Location_Summary!C27,'Element wise-detail Summary'!$D$3:$D$1048576,Location_Summary!A27)</f>
        <v>9</v>
      </c>
      <c r="F27" s="22" t="str">
        <f>SUMIFS('Element wise-detail Summary'!$G$3:$G$1048576,'Element wise-detail Summary'!$B$3:$B$1048576,Location_Summary!$B27,'Element wise-detail Summary'!$C$3:$C$1048576,Location_Summary!C27,'Element wise-detail Summary'!$D$3:$D$1048576,Location_Summary!A27)</f>
        <v>0</v>
      </c>
      <c r="G27" s="20" t="str">
        <f t="shared" si="1"/>
        <v>9</v>
      </c>
      <c r="H27" s="23" t="str">
        <f t="shared" si="2"/>
        <v>0%</v>
      </c>
      <c r="I27" s="22" t="str">
        <f>SUMIFS('Element wise-detail Summary'!$I$3:$I$1048576,'Element wise-detail Summary'!$B$3:$B$1048576,B27,'Element wise-detail Summary'!$C$3:$C$1048576,C27,'Element wise-detail Summary'!$D$3:$D$1048576,Location_Summary!A27)</f>
        <v>0</v>
      </c>
      <c r="J27" s="20" t="str">
        <f t="shared" si="3"/>
        <v>9</v>
      </c>
      <c r="K27" s="24" t="str">
        <f t="shared" si="4"/>
        <v>0%</v>
      </c>
      <c r="L27" s="25" t="str">
        <f t="shared" si="5"/>
        <v>0</v>
      </c>
      <c r="M27" s="22" t="str">
        <f>SUMIFS('Element wise-detail Summary'!$M$3:$M$1048576,'Element wise-detail Summary'!$B$3:$B$1048576,B27,'Element wise-detail Summary'!$C$3:$C$1048576,C27,'Element wise-detail Summary'!$D$3:$D$1048576,Location_Summary!A27)</f>
        <v>0</v>
      </c>
      <c r="N27" s="20" t="str">
        <f t="shared" si="6"/>
        <v>9</v>
      </c>
      <c r="O27" s="24" t="str">
        <f t="shared" si="7"/>
        <v>0%</v>
      </c>
      <c r="P27" s="118"/>
      <c r="Q27" s="27" t="str">
        <f t="shared" si="8"/>
        <v>0</v>
      </c>
      <c r="R27" s="27"/>
    </row>
    <row r="28" ht="24.75" customHeight="1">
      <c r="A28" s="18" t="s">
        <v>2817</v>
      </c>
      <c r="B28" s="19" t="s">
        <v>44</v>
      </c>
      <c r="C28" s="19" t="s">
        <v>52</v>
      </c>
      <c r="D28" s="20" t="str">
        <f>SUMIFS('Element wise-detail Summary'!F:F,'Element wise-detail Summary'!B:B,Location_Summary!B28,'Element wise-detail Summary'!C:C,Location_Summary!C28,'Element wise-detail Summary'!D:D,Location_Summary!A28)</f>
        <v>4</v>
      </c>
      <c r="E28" s="117" t="str">
        <f>SUMIFS('Element wise-detail Summary'!$F$3:$F$1048576,'Element wise-detail Summary'!$B$3:$B$1048576,Location_Summary!$B28,'Element wise-detail Summary'!$C$3:$C$1048576,Location_Summary!C28,'Element wise-detail Summary'!$D$3:$D$1048576,Location_Summary!A28)</f>
        <v>4</v>
      </c>
      <c r="F28" s="22" t="str">
        <f>SUMIFS('Element wise-detail Summary'!$G$3:$G$1048576,'Element wise-detail Summary'!$B$3:$B$1048576,Location_Summary!$B28,'Element wise-detail Summary'!$C$3:$C$1048576,Location_Summary!C28,'Element wise-detail Summary'!$D$3:$D$1048576,Location_Summary!A28)</f>
        <v>0</v>
      </c>
      <c r="G28" s="20" t="str">
        <f t="shared" si="1"/>
        <v>4</v>
      </c>
      <c r="H28" s="23" t="str">
        <f t="shared" si="2"/>
        <v>0%</v>
      </c>
      <c r="I28" s="22" t="str">
        <f>SUMIFS('Element wise-detail Summary'!$I$3:$I$1048576,'Element wise-detail Summary'!$B$3:$B$1048576,B28,'Element wise-detail Summary'!$C$3:$C$1048576,C28,'Element wise-detail Summary'!$D$3:$D$1048576,Location_Summary!A28)</f>
        <v>0</v>
      </c>
      <c r="J28" s="20" t="str">
        <f t="shared" si="3"/>
        <v>4</v>
      </c>
      <c r="K28" s="24" t="str">
        <f t="shared" si="4"/>
        <v>0%</v>
      </c>
      <c r="L28" s="25" t="str">
        <f t="shared" si="5"/>
        <v>0</v>
      </c>
      <c r="M28" s="22" t="str">
        <f>SUMIFS('Element wise-detail Summary'!$M$3:$M$1048576,'Element wise-detail Summary'!$B$3:$B$1048576,B28,'Element wise-detail Summary'!$C$3:$C$1048576,C28,'Element wise-detail Summary'!$D$3:$D$1048576,Location_Summary!A28)</f>
        <v>0</v>
      </c>
      <c r="N28" s="20" t="str">
        <f t="shared" si="6"/>
        <v>4</v>
      </c>
      <c r="O28" s="24" t="str">
        <f t="shared" si="7"/>
        <v>0%</v>
      </c>
      <c r="P28" s="118"/>
      <c r="Q28" s="27" t="str">
        <f t="shared" si="8"/>
        <v>0</v>
      </c>
      <c r="R28" s="27"/>
    </row>
    <row r="29" ht="24.75" customHeight="1">
      <c r="A29" s="18" t="s">
        <v>2817</v>
      </c>
      <c r="B29" s="19" t="s">
        <v>54</v>
      </c>
      <c r="C29" s="19" t="s">
        <v>55</v>
      </c>
      <c r="D29" s="20" t="str">
        <f>SUMIFS('Element wise-detail Summary'!F:F,'Element wise-detail Summary'!B:B,Location_Summary!B29,'Element wise-detail Summary'!C:C,Location_Summary!C29,'Element wise-detail Summary'!D:D,Location_Summary!A29)</f>
        <v>6</v>
      </c>
      <c r="E29" s="117" t="str">
        <f>SUMIFS('Element wise-detail Summary'!$F$3:$F$1048576,'Element wise-detail Summary'!$B$3:$B$1048576,Location_Summary!$B29,'Element wise-detail Summary'!$C$3:$C$1048576,Location_Summary!C29,'Element wise-detail Summary'!$D$3:$D$1048576,Location_Summary!A29)</f>
        <v>6</v>
      </c>
      <c r="F29" s="22" t="str">
        <f>SUMIFS('Element wise-detail Summary'!$G$3:$G$1048576,'Element wise-detail Summary'!$B$3:$B$1048576,Location_Summary!$B29,'Element wise-detail Summary'!$C$3:$C$1048576,Location_Summary!C29,'Element wise-detail Summary'!$D$3:$D$1048576,Location_Summary!A29)</f>
        <v>3</v>
      </c>
      <c r="G29" s="20" t="str">
        <f t="shared" si="1"/>
        <v>3</v>
      </c>
      <c r="H29" s="23" t="str">
        <f t="shared" si="2"/>
        <v>50%</v>
      </c>
      <c r="I29" s="22" t="str">
        <f>SUMIFS('Element wise-detail Summary'!$I$3:$I$1048576,'Element wise-detail Summary'!$B$3:$B$1048576,B29,'Element wise-detail Summary'!$C$3:$C$1048576,C29,'Element wise-detail Summary'!$D$3:$D$1048576,Location_Summary!A29)</f>
        <v>0</v>
      </c>
      <c r="J29" s="20" t="str">
        <f t="shared" si="3"/>
        <v>6</v>
      </c>
      <c r="K29" s="24" t="str">
        <f t="shared" si="4"/>
        <v>0%</v>
      </c>
      <c r="L29" s="25" t="str">
        <f t="shared" si="5"/>
        <v>3</v>
      </c>
      <c r="M29" s="22" t="str">
        <f>SUMIFS('Element wise-detail Summary'!$M$3:$M$1048576,'Element wise-detail Summary'!$B$3:$B$1048576,B29,'Element wise-detail Summary'!$C$3:$C$1048576,C29,'Element wise-detail Summary'!$D$3:$D$1048576,Location_Summary!A29)</f>
        <v>0</v>
      </c>
      <c r="N29" s="20" t="str">
        <f t="shared" si="6"/>
        <v>6</v>
      </c>
      <c r="O29" s="24" t="str">
        <f t="shared" si="7"/>
        <v>0%</v>
      </c>
      <c r="P29" s="118"/>
      <c r="Q29" s="27" t="str">
        <f t="shared" si="8"/>
        <v>0</v>
      </c>
      <c r="R29" s="27"/>
    </row>
    <row r="30" ht="24.75" customHeight="1">
      <c r="A30" s="18" t="s">
        <v>2817</v>
      </c>
      <c r="B30" s="19" t="s">
        <v>54</v>
      </c>
      <c r="C30" s="19" t="s">
        <v>57</v>
      </c>
      <c r="D30" s="20" t="str">
        <f>SUMIFS('Element wise-detail Summary'!F:F,'Element wise-detail Summary'!B:B,Location_Summary!B30,'Element wise-detail Summary'!C:C,Location_Summary!C30,'Element wise-detail Summary'!D:D,Location_Summary!A30)</f>
        <v>4</v>
      </c>
      <c r="E30" s="117" t="str">
        <f>SUMIFS('Element wise-detail Summary'!$F$3:$F$1048576,'Element wise-detail Summary'!$B$3:$B$1048576,Location_Summary!$B30,'Element wise-detail Summary'!$C$3:$C$1048576,Location_Summary!C30,'Element wise-detail Summary'!$D$3:$D$1048576,Location_Summary!A30)</f>
        <v>4</v>
      </c>
      <c r="F30" s="22" t="str">
        <f>SUMIFS('Element wise-detail Summary'!$G$3:$G$1048576,'Element wise-detail Summary'!$B$3:$B$1048576,Location_Summary!$B30,'Element wise-detail Summary'!$C$3:$C$1048576,Location_Summary!C30,'Element wise-detail Summary'!$D$3:$D$1048576,Location_Summary!A30)</f>
        <v>3</v>
      </c>
      <c r="G30" s="20" t="str">
        <f t="shared" si="1"/>
        <v>1</v>
      </c>
      <c r="H30" s="23" t="str">
        <f t="shared" si="2"/>
        <v>75%</v>
      </c>
      <c r="I30" s="22" t="str">
        <f>SUMIFS('Element wise-detail Summary'!$I$3:$I$1048576,'Element wise-detail Summary'!$B$3:$B$1048576,B30,'Element wise-detail Summary'!$C$3:$C$1048576,C30,'Element wise-detail Summary'!$D$3:$D$1048576,Location_Summary!A30)</f>
        <v>0</v>
      </c>
      <c r="J30" s="20" t="str">
        <f t="shared" si="3"/>
        <v>4</v>
      </c>
      <c r="K30" s="24" t="str">
        <f t="shared" si="4"/>
        <v>0%</v>
      </c>
      <c r="L30" s="25" t="str">
        <f t="shared" si="5"/>
        <v>3</v>
      </c>
      <c r="M30" s="22" t="str">
        <f>SUMIFS('Element wise-detail Summary'!$M$3:$M$1048576,'Element wise-detail Summary'!$B$3:$B$1048576,B30,'Element wise-detail Summary'!$C$3:$C$1048576,C30,'Element wise-detail Summary'!$D$3:$D$1048576,Location_Summary!A30)</f>
        <v>0</v>
      </c>
      <c r="N30" s="20" t="str">
        <f t="shared" si="6"/>
        <v>4</v>
      </c>
      <c r="O30" s="24" t="str">
        <f t="shared" si="7"/>
        <v>0%</v>
      </c>
      <c r="P30" s="118"/>
      <c r="Q30" s="27" t="str">
        <f t="shared" si="8"/>
        <v>0</v>
      </c>
      <c r="R30" s="27"/>
    </row>
    <row r="31" ht="24.75" customHeight="1">
      <c r="A31" s="18" t="s">
        <v>2817</v>
      </c>
      <c r="B31" s="19" t="s">
        <v>54</v>
      </c>
      <c r="C31" s="19" t="s">
        <v>58</v>
      </c>
      <c r="D31" s="20" t="str">
        <f>SUMIFS('Element wise-detail Summary'!F:F,'Element wise-detail Summary'!B:B,Location_Summary!B31,'Element wise-detail Summary'!C:C,Location_Summary!C31,'Element wise-detail Summary'!D:D,Location_Summary!A31)</f>
        <v>4</v>
      </c>
      <c r="E31" s="117" t="str">
        <f>SUMIFS('Element wise-detail Summary'!$F$3:$F$1048576,'Element wise-detail Summary'!$B$3:$B$1048576,Location_Summary!$B31,'Element wise-detail Summary'!$C$3:$C$1048576,Location_Summary!C31,'Element wise-detail Summary'!$D$3:$D$1048576,Location_Summary!A31)</f>
        <v>4</v>
      </c>
      <c r="F31" s="22" t="str">
        <f>SUMIFS('Element wise-detail Summary'!$G$3:$G$1048576,'Element wise-detail Summary'!$B$3:$B$1048576,Location_Summary!$B31,'Element wise-detail Summary'!$C$3:$C$1048576,Location_Summary!C31,'Element wise-detail Summary'!$D$3:$D$1048576,Location_Summary!A31)</f>
        <v>3</v>
      </c>
      <c r="G31" s="20" t="str">
        <f t="shared" si="1"/>
        <v>1</v>
      </c>
      <c r="H31" s="23" t="str">
        <f t="shared" si="2"/>
        <v>75%</v>
      </c>
      <c r="I31" s="22" t="str">
        <f>SUMIFS('Element wise-detail Summary'!$I$3:$I$1048576,'Element wise-detail Summary'!$B$3:$B$1048576,B31,'Element wise-detail Summary'!$C$3:$C$1048576,C31,'Element wise-detail Summary'!$D$3:$D$1048576,Location_Summary!A31)</f>
        <v>0</v>
      </c>
      <c r="J31" s="20" t="str">
        <f t="shared" si="3"/>
        <v>4</v>
      </c>
      <c r="K31" s="24" t="str">
        <f t="shared" si="4"/>
        <v>0%</v>
      </c>
      <c r="L31" s="25" t="str">
        <f t="shared" si="5"/>
        <v>3</v>
      </c>
      <c r="M31" s="22" t="str">
        <f>SUMIFS('Element wise-detail Summary'!$M$3:$M$1048576,'Element wise-detail Summary'!$B$3:$B$1048576,B31,'Element wise-detail Summary'!$C$3:$C$1048576,C31,'Element wise-detail Summary'!$D$3:$D$1048576,Location_Summary!A31)</f>
        <v>0</v>
      </c>
      <c r="N31" s="20" t="str">
        <f t="shared" si="6"/>
        <v>4</v>
      </c>
      <c r="O31" s="24" t="str">
        <f t="shared" si="7"/>
        <v>0%</v>
      </c>
      <c r="P31" s="118"/>
      <c r="Q31" s="27" t="str">
        <f t="shared" si="8"/>
        <v>0</v>
      </c>
      <c r="R31" s="27"/>
    </row>
    <row r="32" ht="24.75" customHeight="1">
      <c r="A32" s="18" t="s">
        <v>2817</v>
      </c>
      <c r="B32" s="19" t="s">
        <v>54</v>
      </c>
      <c r="C32" s="19" t="s">
        <v>59</v>
      </c>
      <c r="D32" s="20" t="str">
        <f>SUMIFS('Element wise-detail Summary'!F:F,'Element wise-detail Summary'!B:B,Location_Summary!B32,'Element wise-detail Summary'!C:C,Location_Summary!C32,'Element wise-detail Summary'!D:D,Location_Summary!A32)</f>
        <v>4</v>
      </c>
      <c r="E32" s="117" t="str">
        <f>SUMIFS('Element wise-detail Summary'!$F$3:$F$1048576,'Element wise-detail Summary'!$B$3:$B$1048576,Location_Summary!$B32,'Element wise-detail Summary'!$C$3:$C$1048576,Location_Summary!C32,'Element wise-detail Summary'!$D$3:$D$1048576,Location_Summary!A32)</f>
        <v>4</v>
      </c>
      <c r="F32" s="22" t="str">
        <f>SUMIFS('Element wise-detail Summary'!$G$3:$G$1048576,'Element wise-detail Summary'!$B$3:$B$1048576,Location_Summary!$B32,'Element wise-detail Summary'!$C$3:$C$1048576,Location_Summary!C32,'Element wise-detail Summary'!$D$3:$D$1048576,Location_Summary!A32)</f>
        <v>1</v>
      </c>
      <c r="G32" s="20" t="str">
        <f t="shared" si="1"/>
        <v>3</v>
      </c>
      <c r="H32" s="23" t="str">
        <f t="shared" si="2"/>
        <v>25%</v>
      </c>
      <c r="I32" s="22" t="str">
        <f>SUMIFS('Element wise-detail Summary'!$I$3:$I$1048576,'Element wise-detail Summary'!$B$3:$B$1048576,B32,'Element wise-detail Summary'!$C$3:$C$1048576,C32,'Element wise-detail Summary'!$D$3:$D$1048576,Location_Summary!A32)</f>
        <v>0</v>
      </c>
      <c r="J32" s="20" t="str">
        <f t="shared" si="3"/>
        <v>4</v>
      </c>
      <c r="K32" s="24" t="str">
        <f t="shared" si="4"/>
        <v>0%</v>
      </c>
      <c r="L32" s="25" t="str">
        <f t="shared" si="5"/>
        <v>1</v>
      </c>
      <c r="M32" s="22" t="str">
        <f>SUMIFS('Element wise-detail Summary'!$M$3:$M$1048576,'Element wise-detail Summary'!$B$3:$B$1048576,B32,'Element wise-detail Summary'!$C$3:$C$1048576,C32,'Element wise-detail Summary'!$D$3:$D$1048576,Location_Summary!A32)</f>
        <v>0</v>
      </c>
      <c r="N32" s="20" t="str">
        <f t="shared" si="6"/>
        <v>4</v>
      </c>
      <c r="O32" s="24" t="str">
        <f t="shared" si="7"/>
        <v>0%</v>
      </c>
      <c r="P32" s="118"/>
      <c r="Q32" s="27" t="str">
        <f t="shared" si="8"/>
        <v>0</v>
      </c>
      <c r="R32" s="27"/>
    </row>
    <row r="33" ht="24.75" customHeight="1">
      <c r="A33" s="18" t="s">
        <v>2817</v>
      </c>
      <c r="B33" s="19" t="s">
        <v>54</v>
      </c>
      <c r="C33" s="19" t="s">
        <v>60</v>
      </c>
      <c r="D33" s="20" t="str">
        <f>SUMIFS('Element wise-detail Summary'!F:F,'Element wise-detail Summary'!B:B,Location_Summary!B33,'Element wise-detail Summary'!C:C,Location_Summary!C33,'Element wise-detail Summary'!D:D,Location_Summary!A33)</f>
        <v>4</v>
      </c>
      <c r="E33" s="117" t="str">
        <f>SUMIFS('Element wise-detail Summary'!$F$3:$F$1048576,'Element wise-detail Summary'!$B$3:$B$1048576,Location_Summary!$B33,'Element wise-detail Summary'!$C$3:$C$1048576,Location_Summary!C33,'Element wise-detail Summary'!$D$3:$D$1048576,Location_Summary!A33)</f>
        <v>4</v>
      </c>
      <c r="F33" s="22" t="str">
        <f>SUMIFS('Element wise-detail Summary'!$G$3:$G$1048576,'Element wise-detail Summary'!$B$3:$B$1048576,Location_Summary!$B33,'Element wise-detail Summary'!$C$3:$C$1048576,Location_Summary!C33,'Element wise-detail Summary'!$D$3:$D$1048576,Location_Summary!A33)</f>
        <v>4</v>
      </c>
      <c r="G33" s="20" t="str">
        <f t="shared" si="1"/>
        <v>0</v>
      </c>
      <c r="H33" s="23" t="str">
        <f t="shared" si="2"/>
        <v>100%</v>
      </c>
      <c r="I33" s="22" t="str">
        <f>SUMIFS('Element wise-detail Summary'!$I$3:$I$1048576,'Element wise-detail Summary'!$B$3:$B$1048576,B33,'Element wise-detail Summary'!$C$3:$C$1048576,C33,'Element wise-detail Summary'!$D$3:$D$1048576,Location_Summary!A33)</f>
        <v>0</v>
      </c>
      <c r="J33" s="20" t="str">
        <f t="shared" si="3"/>
        <v>4</v>
      </c>
      <c r="K33" s="24" t="str">
        <f t="shared" si="4"/>
        <v>0%</v>
      </c>
      <c r="L33" s="25" t="str">
        <f t="shared" si="5"/>
        <v>4</v>
      </c>
      <c r="M33" s="22" t="str">
        <f>SUMIFS('Element wise-detail Summary'!$M$3:$M$1048576,'Element wise-detail Summary'!$B$3:$B$1048576,B33,'Element wise-detail Summary'!$C$3:$C$1048576,C33,'Element wise-detail Summary'!$D$3:$D$1048576,Location_Summary!A33)</f>
        <v>0</v>
      </c>
      <c r="N33" s="20" t="str">
        <f t="shared" si="6"/>
        <v>4</v>
      </c>
      <c r="O33" s="24" t="str">
        <f t="shared" si="7"/>
        <v>0%</v>
      </c>
      <c r="P33" s="118"/>
      <c r="Q33" s="27" t="str">
        <f t="shared" si="8"/>
        <v>0</v>
      </c>
      <c r="R33" s="27"/>
    </row>
    <row r="34" ht="24.75" customHeight="1">
      <c r="A34" s="18" t="s">
        <v>2817</v>
      </c>
      <c r="B34" s="19" t="s">
        <v>54</v>
      </c>
      <c r="C34" s="19" t="s">
        <v>62</v>
      </c>
      <c r="D34" s="20" t="str">
        <f>SUMIFS('Element wise-detail Summary'!F:F,'Element wise-detail Summary'!B:B,Location_Summary!B34,'Element wise-detail Summary'!C:C,Location_Summary!C34,'Element wise-detail Summary'!D:D,Location_Summary!A34)</f>
        <v>4</v>
      </c>
      <c r="E34" s="117" t="str">
        <f>SUMIFS('Element wise-detail Summary'!$F$3:$F$1048576,'Element wise-detail Summary'!$B$3:$B$1048576,Location_Summary!$B34,'Element wise-detail Summary'!$C$3:$C$1048576,Location_Summary!C34,'Element wise-detail Summary'!$D$3:$D$1048576,Location_Summary!A34)</f>
        <v>4</v>
      </c>
      <c r="F34" s="22" t="str">
        <f>SUMIFS('Element wise-detail Summary'!$G$3:$G$1048576,'Element wise-detail Summary'!$B$3:$B$1048576,Location_Summary!$B34,'Element wise-detail Summary'!$C$3:$C$1048576,Location_Summary!C34,'Element wise-detail Summary'!$D$3:$D$1048576,Location_Summary!A34)</f>
        <v>1</v>
      </c>
      <c r="G34" s="20" t="str">
        <f t="shared" si="1"/>
        <v>3</v>
      </c>
      <c r="H34" s="23" t="str">
        <f t="shared" si="2"/>
        <v>25%</v>
      </c>
      <c r="I34" s="22" t="str">
        <f>SUMIFS('Element wise-detail Summary'!$I$3:$I$1048576,'Element wise-detail Summary'!$B$3:$B$1048576,B34,'Element wise-detail Summary'!$C$3:$C$1048576,C34,'Element wise-detail Summary'!$D$3:$D$1048576,Location_Summary!A34)</f>
        <v>0</v>
      </c>
      <c r="J34" s="20" t="str">
        <f t="shared" si="3"/>
        <v>4</v>
      </c>
      <c r="K34" s="24" t="str">
        <f t="shared" si="4"/>
        <v>0%</v>
      </c>
      <c r="L34" s="25" t="str">
        <f t="shared" si="5"/>
        <v>1</v>
      </c>
      <c r="M34" s="22" t="str">
        <f>SUMIFS('Element wise-detail Summary'!$M$3:$M$1048576,'Element wise-detail Summary'!$B$3:$B$1048576,B34,'Element wise-detail Summary'!$C$3:$C$1048576,C34,'Element wise-detail Summary'!$D$3:$D$1048576,Location_Summary!A34)</f>
        <v>0</v>
      </c>
      <c r="N34" s="20" t="str">
        <f t="shared" si="6"/>
        <v>4</v>
      </c>
      <c r="O34" s="24" t="str">
        <f t="shared" si="7"/>
        <v>0%</v>
      </c>
      <c r="P34" s="118"/>
      <c r="Q34" s="27" t="str">
        <f t="shared" si="8"/>
        <v>0</v>
      </c>
      <c r="R34" s="27"/>
    </row>
    <row r="35" ht="24.75" customHeight="1">
      <c r="A35" s="18" t="s">
        <v>2817</v>
      </c>
      <c r="B35" s="19" t="s">
        <v>54</v>
      </c>
      <c r="C35" s="19" t="s">
        <v>63</v>
      </c>
      <c r="D35" s="20" t="str">
        <f>SUMIFS('Element wise-detail Summary'!F:F,'Element wise-detail Summary'!B:B,Location_Summary!B35,'Element wise-detail Summary'!C:C,Location_Summary!C35,'Element wise-detail Summary'!D:D,Location_Summary!A35)</f>
        <v>4</v>
      </c>
      <c r="E35" s="117" t="str">
        <f>SUMIFS('Element wise-detail Summary'!$F$3:$F$1048576,'Element wise-detail Summary'!$B$3:$B$1048576,Location_Summary!$B35,'Element wise-detail Summary'!$C$3:$C$1048576,Location_Summary!C35,'Element wise-detail Summary'!$D$3:$D$1048576,Location_Summary!A35)</f>
        <v>4</v>
      </c>
      <c r="F35" s="22" t="str">
        <f>SUMIFS('Element wise-detail Summary'!$G$3:$G$1048576,'Element wise-detail Summary'!$B$3:$B$1048576,Location_Summary!$B35,'Element wise-detail Summary'!$C$3:$C$1048576,Location_Summary!C35,'Element wise-detail Summary'!$D$3:$D$1048576,Location_Summary!A35)</f>
        <v>2</v>
      </c>
      <c r="G35" s="20" t="str">
        <f t="shared" si="1"/>
        <v>2</v>
      </c>
      <c r="H35" s="23" t="str">
        <f t="shared" si="2"/>
        <v>50%</v>
      </c>
      <c r="I35" s="22" t="str">
        <f>SUMIFS('Element wise-detail Summary'!$I$3:$I$1048576,'Element wise-detail Summary'!$B$3:$B$1048576,B35,'Element wise-detail Summary'!$C$3:$C$1048576,C35,'Element wise-detail Summary'!$D$3:$D$1048576,Location_Summary!A35)</f>
        <v>0</v>
      </c>
      <c r="J35" s="20" t="str">
        <f t="shared" si="3"/>
        <v>4</v>
      </c>
      <c r="K35" s="24" t="str">
        <f t="shared" si="4"/>
        <v>0%</v>
      </c>
      <c r="L35" s="25" t="str">
        <f t="shared" si="5"/>
        <v>2</v>
      </c>
      <c r="M35" s="22" t="str">
        <f>SUMIFS('Element wise-detail Summary'!$M$3:$M$1048576,'Element wise-detail Summary'!$B$3:$B$1048576,B35,'Element wise-detail Summary'!$C$3:$C$1048576,C35,'Element wise-detail Summary'!$D$3:$D$1048576,Location_Summary!A35)</f>
        <v>0</v>
      </c>
      <c r="N35" s="20" t="str">
        <f t="shared" si="6"/>
        <v>4</v>
      </c>
      <c r="O35" s="24" t="str">
        <f t="shared" si="7"/>
        <v>0%</v>
      </c>
      <c r="P35" s="118"/>
      <c r="Q35" s="27" t="str">
        <f t="shared" si="8"/>
        <v>0</v>
      </c>
      <c r="R35" s="27"/>
    </row>
    <row r="36" ht="24.75" customHeight="1">
      <c r="A36" s="18" t="s">
        <v>2817</v>
      </c>
      <c r="B36" s="19" t="s">
        <v>54</v>
      </c>
      <c r="C36" s="19" t="s">
        <v>64</v>
      </c>
      <c r="D36" s="20" t="str">
        <f>SUMIFS('Element wise-detail Summary'!F:F,'Element wise-detail Summary'!B:B,Location_Summary!B36,'Element wise-detail Summary'!C:C,Location_Summary!C36,'Element wise-detail Summary'!D:D,Location_Summary!A36)</f>
        <v>4</v>
      </c>
      <c r="E36" s="117" t="str">
        <f>SUMIFS('Element wise-detail Summary'!$F$3:$F$1048576,'Element wise-detail Summary'!$B$3:$B$1048576,Location_Summary!$B36,'Element wise-detail Summary'!$C$3:$C$1048576,Location_Summary!C36,'Element wise-detail Summary'!$D$3:$D$1048576,Location_Summary!A36)</f>
        <v>4</v>
      </c>
      <c r="F36" s="22" t="str">
        <f>SUMIFS('Element wise-detail Summary'!$G$3:$G$1048576,'Element wise-detail Summary'!$B$3:$B$1048576,Location_Summary!$B36,'Element wise-detail Summary'!$C$3:$C$1048576,Location_Summary!C36,'Element wise-detail Summary'!$D$3:$D$1048576,Location_Summary!A36)</f>
        <v>2</v>
      </c>
      <c r="G36" s="20" t="str">
        <f t="shared" si="1"/>
        <v>2</v>
      </c>
      <c r="H36" s="23" t="str">
        <f t="shared" si="2"/>
        <v>50%</v>
      </c>
      <c r="I36" s="22" t="str">
        <f>SUMIFS('Element wise-detail Summary'!$I$3:$I$1048576,'Element wise-detail Summary'!$B$3:$B$1048576,B36,'Element wise-detail Summary'!$C$3:$C$1048576,C36,'Element wise-detail Summary'!$D$3:$D$1048576,Location_Summary!A36)</f>
        <v>0</v>
      </c>
      <c r="J36" s="20" t="str">
        <f t="shared" si="3"/>
        <v>4</v>
      </c>
      <c r="K36" s="24" t="str">
        <f t="shared" si="4"/>
        <v>0%</v>
      </c>
      <c r="L36" s="25" t="str">
        <f t="shared" si="5"/>
        <v>2</v>
      </c>
      <c r="M36" s="22" t="str">
        <f>SUMIFS('Element wise-detail Summary'!$M$3:$M$1048576,'Element wise-detail Summary'!$B$3:$B$1048576,B36,'Element wise-detail Summary'!$C$3:$C$1048576,C36,'Element wise-detail Summary'!$D$3:$D$1048576,Location_Summary!A36)</f>
        <v>0</v>
      </c>
      <c r="N36" s="20" t="str">
        <f t="shared" si="6"/>
        <v>4</v>
      </c>
      <c r="O36" s="24" t="str">
        <f t="shared" si="7"/>
        <v>0%</v>
      </c>
      <c r="P36" s="118"/>
      <c r="Q36" s="27" t="str">
        <f t="shared" si="8"/>
        <v>0</v>
      </c>
      <c r="R36" s="27"/>
    </row>
    <row r="37" ht="24.75" customHeight="1">
      <c r="A37" s="18" t="s">
        <v>2817</v>
      </c>
      <c r="B37" s="19" t="s">
        <v>54</v>
      </c>
      <c r="C37" s="19" t="s">
        <v>65</v>
      </c>
      <c r="D37" s="20" t="str">
        <f>SUMIFS('Element wise-detail Summary'!F:F,'Element wise-detail Summary'!B:B,Location_Summary!B37,'Element wise-detail Summary'!C:C,Location_Summary!C37,'Element wise-detail Summary'!D:D,Location_Summary!A37)</f>
        <v>5</v>
      </c>
      <c r="E37" s="117" t="str">
        <f>SUMIFS('Element wise-detail Summary'!$F$3:$F$1048576,'Element wise-detail Summary'!$B$3:$B$1048576,Location_Summary!$B37,'Element wise-detail Summary'!$C$3:$C$1048576,Location_Summary!C37,'Element wise-detail Summary'!$D$3:$D$1048576,Location_Summary!A37)</f>
        <v>5</v>
      </c>
      <c r="F37" s="22" t="str">
        <f>SUMIFS('Element wise-detail Summary'!$G$3:$G$1048576,'Element wise-detail Summary'!$B$3:$B$1048576,Location_Summary!$B37,'Element wise-detail Summary'!$C$3:$C$1048576,Location_Summary!C37,'Element wise-detail Summary'!$D$3:$D$1048576,Location_Summary!A37)</f>
        <v>1</v>
      </c>
      <c r="G37" s="20" t="str">
        <f t="shared" si="1"/>
        <v>4</v>
      </c>
      <c r="H37" s="23" t="str">
        <f t="shared" si="2"/>
        <v>20%</v>
      </c>
      <c r="I37" s="22" t="str">
        <f>SUMIFS('Element wise-detail Summary'!$I$3:$I$1048576,'Element wise-detail Summary'!$B$3:$B$1048576,B37,'Element wise-detail Summary'!$C$3:$C$1048576,C37,'Element wise-detail Summary'!$D$3:$D$1048576,Location_Summary!A37)</f>
        <v>0</v>
      </c>
      <c r="J37" s="20" t="str">
        <f t="shared" si="3"/>
        <v>5</v>
      </c>
      <c r="K37" s="24" t="str">
        <f t="shared" si="4"/>
        <v>0%</v>
      </c>
      <c r="L37" s="25" t="str">
        <f t="shared" si="5"/>
        <v>1</v>
      </c>
      <c r="M37" s="22" t="str">
        <f>SUMIFS('Element wise-detail Summary'!$M$3:$M$1048576,'Element wise-detail Summary'!$B$3:$B$1048576,B37,'Element wise-detail Summary'!$C$3:$C$1048576,C37,'Element wise-detail Summary'!$D$3:$D$1048576,Location_Summary!A37)</f>
        <v>0</v>
      </c>
      <c r="N37" s="20" t="str">
        <f t="shared" si="6"/>
        <v>5</v>
      </c>
      <c r="O37" s="24" t="str">
        <f t="shared" si="7"/>
        <v>0%</v>
      </c>
      <c r="P37" s="118"/>
      <c r="Q37" s="27" t="str">
        <f t="shared" si="8"/>
        <v>0</v>
      </c>
      <c r="R37" s="27"/>
    </row>
    <row r="38" ht="24.75" customHeight="1">
      <c r="A38" s="18" t="s">
        <v>2817</v>
      </c>
      <c r="B38" s="19" t="s">
        <v>83</v>
      </c>
      <c r="C38" s="19" t="s">
        <v>84</v>
      </c>
      <c r="D38" s="20" t="str">
        <f>SUMIFS('Element wise-detail Summary'!F:F,'Element wise-detail Summary'!B:B,Location_Summary!B38,'Element wise-detail Summary'!C:C,Location_Summary!C38,'Element wise-detail Summary'!D:D,Location_Summary!A38)</f>
        <v>5</v>
      </c>
      <c r="E38" s="117" t="str">
        <f>SUMIFS('Element wise-detail Summary'!$F$3:$F$1048576,'Element wise-detail Summary'!$B$3:$B$1048576,Location_Summary!$B38,'Element wise-detail Summary'!$C$3:$C$1048576,Location_Summary!C38,'Element wise-detail Summary'!$D$3:$D$1048576,Location_Summary!A38)</f>
        <v>5</v>
      </c>
      <c r="F38" s="22" t="str">
        <f>SUMIFS('Element wise-detail Summary'!$G$3:$G$1048576,'Element wise-detail Summary'!$B$3:$B$1048576,Location_Summary!$B38,'Element wise-detail Summary'!$C$3:$C$1048576,Location_Summary!C38,'Element wise-detail Summary'!$D$3:$D$1048576,Location_Summary!A38)</f>
        <v>1</v>
      </c>
      <c r="G38" s="20" t="str">
        <f t="shared" si="1"/>
        <v>4</v>
      </c>
      <c r="H38" s="23" t="str">
        <f t="shared" si="2"/>
        <v>20%</v>
      </c>
      <c r="I38" s="22" t="str">
        <f>SUMIFS('Element wise-detail Summary'!$I$3:$I$1048576,'Element wise-detail Summary'!$B$3:$B$1048576,B38,'Element wise-detail Summary'!$C$3:$C$1048576,C38,'Element wise-detail Summary'!$D$3:$D$1048576,Location_Summary!A38)</f>
        <v>0</v>
      </c>
      <c r="J38" s="20" t="str">
        <f t="shared" si="3"/>
        <v>5</v>
      </c>
      <c r="K38" s="24" t="str">
        <f t="shared" si="4"/>
        <v>0%</v>
      </c>
      <c r="L38" s="25" t="str">
        <f t="shared" si="5"/>
        <v>1</v>
      </c>
      <c r="M38" s="22" t="str">
        <f>SUMIFS('Element wise-detail Summary'!$M$3:$M$1048576,'Element wise-detail Summary'!$B$3:$B$1048576,B38,'Element wise-detail Summary'!$C$3:$C$1048576,C38,'Element wise-detail Summary'!$D$3:$D$1048576,Location_Summary!A38)</f>
        <v>0</v>
      </c>
      <c r="N38" s="20" t="str">
        <f t="shared" si="6"/>
        <v>5</v>
      </c>
      <c r="O38" s="24" t="str">
        <f t="shared" si="7"/>
        <v>0%</v>
      </c>
      <c r="P38" s="118"/>
      <c r="Q38" s="27" t="str">
        <f t="shared" si="8"/>
        <v>0</v>
      </c>
      <c r="R38" s="27"/>
    </row>
    <row r="39" ht="24.75" customHeight="1">
      <c r="A39" s="18" t="s">
        <v>2817</v>
      </c>
      <c r="B39" s="19" t="s">
        <v>83</v>
      </c>
      <c r="C39" s="19" t="s">
        <v>85</v>
      </c>
      <c r="D39" s="20" t="str">
        <f>SUMIFS('Element wise-detail Summary'!F:F,'Element wise-detail Summary'!B:B,Location_Summary!B39,'Element wise-detail Summary'!C:C,Location_Summary!C39,'Element wise-detail Summary'!D:D,Location_Summary!A39)</f>
        <v>3</v>
      </c>
      <c r="E39" s="117" t="str">
        <f>SUMIFS('Element wise-detail Summary'!$F$3:$F$1048576,'Element wise-detail Summary'!$B$3:$B$1048576,Location_Summary!$B39,'Element wise-detail Summary'!$C$3:$C$1048576,Location_Summary!C39,'Element wise-detail Summary'!$D$3:$D$1048576,Location_Summary!A39)</f>
        <v>3</v>
      </c>
      <c r="F39" s="22" t="str">
        <f>SUMIFS('Element wise-detail Summary'!$G$3:$G$1048576,'Element wise-detail Summary'!$B$3:$B$1048576,Location_Summary!$B39,'Element wise-detail Summary'!$C$3:$C$1048576,Location_Summary!C39,'Element wise-detail Summary'!$D$3:$D$1048576,Location_Summary!A39)</f>
        <v>2</v>
      </c>
      <c r="G39" s="20" t="str">
        <f t="shared" si="1"/>
        <v>1</v>
      </c>
      <c r="H39" s="23" t="str">
        <f t="shared" si="2"/>
        <v>67%</v>
      </c>
      <c r="I39" s="22" t="str">
        <f>SUMIFS('Element wise-detail Summary'!$I$3:$I$1048576,'Element wise-detail Summary'!$B$3:$B$1048576,B39,'Element wise-detail Summary'!$C$3:$C$1048576,C39,'Element wise-detail Summary'!$D$3:$D$1048576,Location_Summary!A39)</f>
        <v>0</v>
      </c>
      <c r="J39" s="20" t="str">
        <f t="shared" si="3"/>
        <v>3</v>
      </c>
      <c r="K39" s="24" t="str">
        <f t="shared" si="4"/>
        <v>0%</v>
      </c>
      <c r="L39" s="25" t="str">
        <f t="shared" si="5"/>
        <v>2</v>
      </c>
      <c r="M39" s="22" t="str">
        <f>SUMIFS('Element wise-detail Summary'!$M$3:$M$1048576,'Element wise-detail Summary'!$B$3:$B$1048576,B39,'Element wise-detail Summary'!$C$3:$C$1048576,C39,'Element wise-detail Summary'!$D$3:$D$1048576,Location_Summary!A39)</f>
        <v>0</v>
      </c>
      <c r="N39" s="20" t="str">
        <f t="shared" si="6"/>
        <v>3</v>
      </c>
      <c r="O39" s="24" t="str">
        <f t="shared" si="7"/>
        <v>0%</v>
      </c>
      <c r="P39" s="118"/>
      <c r="Q39" s="27" t="str">
        <f t="shared" si="8"/>
        <v>0</v>
      </c>
      <c r="R39" s="27"/>
    </row>
    <row r="40" ht="24.75" customHeight="1">
      <c r="A40" s="18" t="s">
        <v>2817</v>
      </c>
      <c r="B40" s="19" t="s">
        <v>83</v>
      </c>
      <c r="C40" s="19" t="s">
        <v>86</v>
      </c>
      <c r="D40" s="20" t="str">
        <f>SUMIFS('Element wise-detail Summary'!F:F,'Element wise-detail Summary'!B:B,Location_Summary!B40,'Element wise-detail Summary'!C:C,Location_Summary!C40,'Element wise-detail Summary'!D:D,Location_Summary!A40)</f>
        <v>3</v>
      </c>
      <c r="E40" s="117" t="str">
        <f>SUMIFS('Element wise-detail Summary'!$F$3:$F$1048576,'Element wise-detail Summary'!$B$3:$B$1048576,Location_Summary!$B40,'Element wise-detail Summary'!$C$3:$C$1048576,Location_Summary!C40,'Element wise-detail Summary'!$D$3:$D$1048576,Location_Summary!A40)</f>
        <v>3</v>
      </c>
      <c r="F40" s="22" t="str">
        <f>SUMIFS('Element wise-detail Summary'!$G$3:$G$1048576,'Element wise-detail Summary'!$B$3:$B$1048576,Location_Summary!$B40,'Element wise-detail Summary'!$C$3:$C$1048576,Location_Summary!C40,'Element wise-detail Summary'!$D$3:$D$1048576,Location_Summary!A40)</f>
        <v>2</v>
      </c>
      <c r="G40" s="20" t="str">
        <f t="shared" si="1"/>
        <v>1</v>
      </c>
      <c r="H40" s="23" t="str">
        <f t="shared" si="2"/>
        <v>67%</v>
      </c>
      <c r="I40" s="22" t="str">
        <f>SUMIFS('Element wise-detail Summary'!$I$3:$I$1048576,'Element wise-detail Summary'!$B$3:$B$1048576,B40,'Element wise-detail Summary'!$C$3:$C$1048576,C40,'Element wise-detail Summary'!$D$3:$D$1048576,Location_Summary!A40)</f>
        <v>0</v>
      </c>
      <c r="J40" s="20" t="str">
        <f t="shared" si="3"/>
        <v>3</v>
      </c>
      <c r="K40" s="24" t="str">
        <f t="shared" si="4"/>
        <v>0%</v>
      </c>
      <c r="L40" s="25" t="str">
        <f t="shared" si="5"/>
        <v>2</v>
      </c>
      <c r="M40" s="22" t="str">
        <f>SUMIFS('Element wise-detail Summary'!$M$3:$M$1048576,'Element wise-detail Summary'!$B$3:$B$1048576,B40,'Element wise-detail Summary'!$C$3:$C$1048576,C40,'Element wise-detail Summary'!$D$3:$D$1048576,Location_Summary!A40)</f>
        <v>0</v>
      </c>
      <c r="N40" s="20" t="str">
        <f t="shared" si="6"/>
        <v>3</v>
      </c>
      <c r="O40" s="24" t="str">
        <f t="shared" si="7"/>
        <v>0%</v>
      </c>
      <c r="P40" s="118"/>
      <c r="Q40" s="27" t="str">
        <f t="shared" si="8"/>
        <v>0</v>
      </c>
      <c r="R40" s="27"/>
    </row>
    <row r="41" ht="24.75" customHeight="1">
      <c r="A41" s="18" t="s">
        <v>2817</v>
      </c>
      <c r="B41" s="19" t="s">
        <v>83</v>
      </c>
      <c r="C41" s="19" t="s">
        <v>87</v>
      </c>
      <c r="D41" s="20" t="str">
        <f>SUMIFS('Element wise-detail Summary'!F:F,'Element wise-detail Summary'!B:B,Location_Summary!B41,'Element wise-detail Summary'!C:C,Location_Summary!C41,'Element wise-detail Summary'!D:D,Location_Summary!A41)</f>
        <v>3</v>
      </c>
      <c r="E41" s="117" t="str">
        <f>SUMIFS('Element wise-detail Summary'!$F$3:$F$1048576,'Element wise-detail Summary'!$B$3:$B$1048576,Location_Summary!$B41,'Element wise-detail Summary'!$C$3:$C$1048576,Location_Summary!C41,'Element wise-detail Summary'!$D$3:$D$1048576,Location_Summary!A41)</f>
        <v>3</v>
      </c>
      <c r="F41" s="22" t="str">
        <f>SUMIFS('Element wise-detail Summary'!$G$3:$G$1048576,'Element wise-detail Summary'!$B$3:$B$1048576,Location_Summary!$B41,'Element wise-detail Summary'!$C$3:$C$1048576,Location_Summary!C41,'Element wise-detail Summary'!$D$3:$D$1048576,Location_Summary!A41)</f>
        <v>2</v>
      </c>
      <c r="G41" s="20" t="str">
        <f t="shared" si="1"/>
        <v>1</v>
      </c>
      <c r="H41" s="23" t="str">
        <f t="shared" si="2"/>
        <v>67%</v>
      </c>
      <c r="I41" s="22" t="str">
        <f>SUMIFS('Element wise-detail Summary'!$I$3:$I$1048576,'Element wise-detail Summary'!$B$3:$B$1048576,B41,'Element wise-detail Summary'!$C$3:$C$1048576,C41,'Element wise-detail Summary'!$D$3:$D$1048576,Location_Summary!A41)</f>
        <v>0</v>
      </c>
      <c r="J41" s="20" t="str">
        <f t="shared" si="3"/>
        <v>3</v>
      </c>
      <c r="K41" s="24" t="str">
        <f t="shared" si="4"/>
        <v>0%</v>
      </c>
      <c r="L41" s="25" t="str">
        <f t="shared" si="5"/>
        <v>2</v>
      </c>
      <c r="M41" s="22" t="str">
        <f>SUMIFS('Element wise-detail Summary'!$M$3:$M$1048576,'Element wise-detail Summary'!$B$3:$B$1048576,B41,'Element wise-detail Summary'!$C$3:$C$1048576,C41,'Element wise-detail Summary'!$D$3:$D$1048576,Location_Summary!A41)</f>
        <v>0</v>
      </c>
      <c r="N41" s="20" t="str">
        <f t="shared" si="6"/>
        <v>3</v>
      </c>
      <c r="O41" s="24" t="str">
        <f t="shared" si="7"/>
        <v>0%</v>
      </c>
      <c r="P41" s="118"/>
      <c r="Q41" s="27" t="str">
        <f t="shared" si="8"/>
        <v>0</v>
      </c>
      <c r="R41" s="27"/>
    </row>
    <row r="42" ht="24.75" customHeight="1">
      <c r="A42" s="18" t="s">
        <v>2817</v>
      </c>
      <c r="B42" s="19" t="s">
        <v>83</v>
      </c>
      <c r="C42" s="19" t="s">
        <v>88</v>
      </c>
      <c r="D42" s="20" t="str">
        <f>SUMIFS('Element wise-detail Summary'!F:F,'Element wise-detail Summary'!B:B,Location_Summary!B42,'Element wise-detail Summary'!C:C,Location_Summary!C42,'Element wise-detail Summary'!D:D,Location_Summary!A42)</f>
        <v>4</v>
      </c>
      <c r="E42" s="117" t="str">
        <f>SUMIFS('Element wise-detail Summary'!$F$3:$F$1048576,'Element wise-detail Summary'!$B$3:$B$1048576,Location_Summary!$B42,'Element wise-detail Summary'!$C$3:$C$1048576,Location_Summary!C42,'Element wise-detail Summary'!$D$3:$D$1048576,Location_Summary!A42)</f>
        <v>4</v>
      </c>
      <c r="F42" s="22" t="str">
        <f>SUMIFS('Element wise-detail Summary'!$G$3:$G$1048576,'Element wise-detail Summary'!$B$3:$B$1048576,Location_Summary!$B42,'Element wise-detail Summary'!$C$3:$C$1048576,Location_Summary!C42,'Element wise-detail Summary'!$D$3:$D$1048576,Location_Summary!A42)</f>
        <v>4</v>
      </c>
      <c r="G42" s="20" t="str">
        <f t="shared" si="1"/>
        <v>0</v>
      </c>
      <c r="H42" s="23" t="str">
        <f t="shared" si="2"/>
        <v>100%</v>
      </c>
      <c r="I42" s="22" t="str">
        <f>SUMIFS('Element wise-detail Summary'!$I$3:$I$1048576,'Element wise-detail Summary'!$B$3:$B$1048576,B42,'Element wise-detail Summary'!$C$3:$C$1048576,C42,'Element wise-detail Summary'!$D$3:$D$1048576,Location_Summary!A42)</f>
        <v>0</v>
      </c>
      <c r="J42" s="20" t="str">
        <f t="shared" si="3"/>
        <v>4</v>
      </c>
      <c r="K42" s="24" t="str">
        <f t="shared" si="4"/>
        <v>0%</v>
      </c>
      <c r="L42" s="25" t="str">
        <f t="shared" si="5"/>
        <v>4</v>
      </c>
      <c r="M42" s="22" t="str">
        <f>SUMIFS('Element wise-detail Summary'!$M$3:$M$1048576,'Element wise-detail Summary'!$B$3:$B$1048576,B42,'Element wise-detail Summary'!$C$3:$C$1048576,C42,'Element wise-detail Summary'!$D$3:$D$1048576,Location_Summary!A42)</f>
        <v>0</v>
      </c>
      <c r="N42" s="20" t="str">
        <f t="shared" si="6"/>
        <v>4</v>
      </c>
      <c r="O42" s="24" t="str">
        <f t="shared" si="7"/>
        <v>0%</v>
      </c>
      <c r="P42" s="118"/>
      <c r="Q42" s="27" t="str">
        <f t="shared" si="8"/>
        <v>0</v>
      </c>
      <c r="R42" s="27"/>
    </row>
    <row r="43" ht="24.75" customHeight="1">
      <c r="A43" s="18" t="s">
        <v>2817</v>
      </c>
      <c r="B43" s="19" t="s">
        <v>83</v>
      </c>
      <c r="C43" s="19" t="s">
        <v>89</v>
      </c>
      <c r="D43" s="20" t="str">
        <f>SUMIFS('Element wise-detail Summary'!F:F,'Element wise-detail Summary'!B:B,Location_Summary!B43,'Element wise-detail Summary'!C:C,Location_Summary!C43,'Element wise-detail Summary'!D:D,Location_Summary!A43)</f>
        <v>4</v>
      </c>
      <c r="E43" s="117" t="str">
        <f>SUMIFS('Element wise-detail Summary'!$F$3:$F$1048576,'Element wise-detail Summary'!$B$3:$B$1048576,Location_Summary!$B43,'Element wise-detail Summary'!$C$3:$C$1048576,Location_Summary!C43,'Element wise-detail Summary'!$D$3:$D$1048576,Location_Summary!A43)</f>
        <v>4</v>
      </c>
      <c r="F43" s="22" t="str">
        <f>SUMIFS('Element wise-detail Summary'!$G$3:$G$1048576,'Element wise-detail Summary'!$B$3:$B$1048576,Location_Summary!$B43,'Element wise-detail Summary'!$C$3:$C$1048576,Location_Summary!C43,'Element wise-detail Summary'!$D$3:$D$1048576,Location_Summary!A43)</f>
        <v>4</v>
      </c>
      <c r="G43" s="20" t="str">
        <f t="shared" si="1"/>
        <v>0</v>
      </c>
      <c r="H43" s="23" t="str">
        <f t="shared" si="2"/>
        <v>100%</v>
      </c>
      <c r="I43" s="22" t="str">
        <f>SUMIFS('Element wise-detail Summary'!$I$3:$I$1048576,'Element wise-detail Summary'!$B$3:$B$1048576,B43,'Element wise-detail Summary'!$C$3:$C$1048576,C43,'Element wise-detail Summary'!$D$3:$D$1048576,Location_Summary!A43)</f>
        <v>0</v>
      </c>
      <c r="J43" s="20" t="str">
        <f t="shared" si="3"/>
        <v>4</v>
      </c>
      <c r="K43" s="24" t="str">
        <f t="shared" si="4"/>
        <v>0%</v>
      </c>
      <c r="L43" s="25" t="str">
        <f t="shared" si="5"/>
        <v>4</v>
      </c>
      <c r="M43" s="22" t="str">
        <f>SUMIFS('Element wise-detail Summary'!$M$3:$M$1048576,'Element wise-detail Summary'!$B$3:$B$1048576,B43,'Element wise-detail Summary'!$C$3:$C$1048576,C43,'Element wise-detail Summary'!$D$3:$D$1048576,Location_Summary!A43)</f>
        <v>0</v>
      </c>
      <c r="N43" s="20" t="str">
        <f t="shared" si="6"/>
        <v>4</v>
      </c>
      <c r="O43" s="24" t="str">
        <f t="shared" si="7"/>
        <v>0%</v>
      </c>
      <c r="P43" s="118"/>
      <c r="Q43" s="27" t="str">
        <f t="shared" si="8"/>
        <v>0</v>
      </c>
      <c r="R43" s="27"/>
    </row>
    <row r="44" ht="24.75" customHeight="1">
      <c r="A44" s="18" t="s">
        <v>2817</v>
      </c>
      <c r="B44" s="19" t="s">
        <v>83</v>
      </c>
      <c r="C44" s="19" t="s">
        <v>90</v>
      </c>
      <c r="D44" s="20" t="str">
        <f>SUMIFS('Element wise-detail Summary'!F:F,'Element wise-detail Summary'!B:B,Location_Summary!B44,'Element wise-detail Summary'!C:C,Location_Summary!C44,'Element wise-detail Summary'!D:D,Location_Summary!A44)</f>
        <v>3</v>
      </c>
      <c r="E44" s="117" t="str">
        <f>SUMIFS('Element wise-detail Summary'!$F$3:$F$1048576,'Element wise-detail Summary'!$B$3:$B$1048576,Location_Summary!$B44,'Element wise-detail Summary'!$C$3:$C$1048576,Location_Summary!C44,'Element wise-detail Summary'!$D$3:$D$1048576,Location_Summary!A44)</f>
        <v>3</v>
      </c>
      <c r="F44" s="22" t="str">
        <f>SUMIFS('Element wise-detail Summary'!$G$3:$G$1048576,'Element wise-detail Summary'!$B$3:$B$1048576,Location_Summary!$B44,'Element wise-detail Summary'!$C$3:$C$1048576,Location_Summary!C44,'Element wise-detail Summary'!$D$3:$D$1048576,Location_Summary!A44)</f>
        <v>2</v>
      </c>
      <c r="G44" s="20" t="str">
        <f t="shared" si="1"/>
        <v>1</v>
      </c>
      <c r="H44" s="23" t="str">
        <f t="shared" si="2"/>
        <v>67%</v>
      </c>
      <c r="I44" s="22" t="str">
        <f>SUMIFS('Element wise-detail Summary'!$I$3:$I$1048576,'Element wise-detail Summary'!$B$3:$B$1048576,B44,'Element wise-detail Summary'!$C$3:$C$1048576,C44,'Element wise-detail Summary'!$D$3:$D$1048576,Location_Summary!A44)</f>
        <v>0</v>
      </c>
      <c r="J44" s="20" t="str">
        <f t="shared" si="3"/>
        <v>3</v>
      </c>
      <c r="K44" s="24" t="str">
        <f t="shared" si="4"/>
        <v>0%</v>
      </c>
      <c r="L44" s="25" t="str">
        <f t="shared" si="5"/>
        <v>2</v>
      </c>
      <c r="M44" s="22" t="str">
        <f>SUMIFS('Element wise-detail Summary'!$M$3:$M$1048576,'Element wise-detail Summary'!$B$3:$B$1048576,B44,'Element wise-detail Summary'!$C$3:$C$1048576,C44,'Element wise-detail Summary'!$D$3:$D$1048576,Location_Summary!A44)</f>
        <v>0</v>
      </c>
      <c r="N44" s="20" t="str">
        <f t="shared" si="6"/>
        <v>3</v>
      </c>
      <c r="O44" s="24" t="str">
        <f t="shared" si="7"/>
        <v>0%</v>
      </c>
      <c r="P44" s="118"/>
      <c r="Q44" s="27" t="str">
        <f t="shared" si="8"/>
        <v>0</v>
      </c>
      <c r="R44" s="27"/>
    </row>
    <row r="45" ht="24.75" customHeight="1">
      <c r="A45" s="18" t="s">
        <v>2817</v>
      </c>
      <c r="B45" s="19" t="s">
        <v>83</v>
      </c>
      <c r="C45" s="19" t="s">
        <v>91</v>
      </c>
      <c r="D45" s="20" t="str">
        <f>SUMIFS('Element wise-detail Summary'!F:F,'Element wise-detail Summary'!B:B,Location_Summary!B45,'Element wise-detail Summary'!C:C,Location_Summary!C45,'Element wise-detail Summary'!D:D,Location_Summary!A45)</f>
        <v>3</v>
      </c>
      <c r="E45" s="117" t="str">
        <f>SUMIFS('Element wise-detail Summary'!$F$3:$F$1048576,'Element wise-detail Summary'!$B$3:$B$1048576,Location_Summary!$B45,'Element wise-detail Summary'!$C$3:$C$1048576,Location_Summary!C45,'Element wise-detail Summary'!$D$3:$D$1048576,Location_Summary!A45)</f>
        <v>3</v>
      </c>
      <c r="F45" s="22" t="str">
        <f>SUMIFS('Element wise-detail Summary'!$G$3:$G$1048576,'Element wise-detail Summary'!$B$3:$B$1048576,Location_Summary!$B45,'Element wise-detail Summary'!$C$3:$C$1048576,Location_Summary!C45,'Element wise-detail Summary'!$D$3:$D$1048576,Location_Summary!A45)</f>
        <v>2</v>
      </c>
      <c r="G45" s="20" t="str">
        <f t="shared" si="1"/>
        <v>1</v>
      </c>
      <c r="H45" s="23" t="str">
        <f t="shared" si="2"/>
        <v>67%</v>
      </c>
      <c r="I45" s="22" t="str">
        <f>SUMIFS('Element wise-detail Summary'!$I$3:$I$1048576,'Element wise-detail Summary'!$B$3:$B$1048576,B45,'Element wise-detail Summary'!$C$3:$C$1048576,C45,'Element wise-detail Summary'!$D$3:$D$1048576,Location_Summary!A45)</f>
        <v>0</v>
      </c>
      <c r="J45" s="20" t="str">
        <f t="shared" si="3"/>
        <v>3</v>
      </c>
      <c r="K45" s="24" t="str">
        <f t="shared" si="4"/>
        <v>0%</v>
      </c>
      <c r="L45" s="25" t="str">
        <f t="shared" si="5"/>
        <v>2</v>
      </c>
      <c r="M45" s="22" t="str">
        <f>SUMIFS('Element wise-detail Summary'!$M$3:$M$1048576,'Element wise-detail Summary'!$B$3:$B$1048576,B45,'Element wise-detail Summary'!$C$3:$C$1048576,C45,'Element wise-detail Summary'!$D$3:$D$1048576,Location_Summary!A45)</f>
        <v>0</v>
      </c>
      <c r="N45" s="20" t="str">
        <f t="shared" si="6"/>
        <v>3</v>
      </c>
      <c r="O45" s="24" t="str">
        <f t="shared" si="7"/>
        <v>0%</v>
      </c>
      <c r="P45" s="118"/>
      <c r="Q45" s="27" t="str">
        <f t="shared" si="8"/>
        <v>0</v>
      </c>
      <c r="R45" s="27"/>
    </row>
    <row r="46" ht="24.75" customHeight="1">
      <c r="A46" s="18" t="s">
        <v>2817</v>
      </c>
      <c r="B46" s="19" t="s">
        <v>83</v>
      </c>
      <c r="C46" s="19" t="s">
        <v>92</v>
      </c>
      <c r="D46" s="20" t="str">
        <f>SUMIFS('Element wise-detail Summary'!F:F,'Element wise-detail Summary'!B:B,Location_Summary!B46,'Element wise-detail Summary'!C:C,Location_Summary!C46,'Element wise-detail Summary'!D:D,Location_Summary!A46)</f>
        <v>3</v>
      </c>
      <c r="E46" s="117" t="str">
        <f>SUMIFS('Element wise-detail Summary'!$F$3:$F$1048576,'Element wise-detail Summary'!$B$3:$B$1048576,Location_Summary!$B46,'Element wise-detail Summary'!$C$3:$C$1048576,Location_Summary!C46,'Element wise-detail Summary'!$D$3:$D$1048576,Location_Summary!A46)</f>
        <v>3</v>
      </c>
      <c r="F46" s="22" t="str">
        <f>SUMIFS('Element wise-detail Summary'!$G$3:$G$1048576,'Element wise-detail Summary'!$B$3:$B$1048576,Location_Summary!$B46,'Element wise-detail Summary'!$C$3:$C$1048576,Location_Summary!C46,'Element wise-detail Summary'!$D$3:$D$1048576,Location_Summary!A46)</f>
        <v>2</v>
      </c>
      <c r="G46" s="20" t="str">
        <f t="shared" si="1"/>
        <v>1</v>
      </c>
      <c r="H46" s="23" t="str">
        <f t="shared" si="2"/>
        <v>67%</v>
      </c>
      <c r="I46" s="22" t="str">
        <f>SUMIFS('Element wise-detail Summary'!$I$3:$I$1048576,'Element wise-detail Summary'!$B$3:$B$1048576,B46,'Element wise-detail Summary'!$C$3:$C$1048576,C46,'Element wise-detail Summary'!$D$3:$D$1048576,Location_Summary!A46)</f>
        <v>0</v>
      </c>
      <c r="J46" s="20" t="str">
        <f t="shared" si="3"/>
        <v>3</v>
      </c>
      <c r="K46" s="24" t="str">
        <f t="shared" si="4"/>
        <v>0%</v>
      </c>
      <c r="L46" s="25" t="str">
        <f t="shared" si="5"/>
        <v>2</v>
      </c>
      <c r="M46" s="22" t="str">
        <f>SUMIFS('Element wise-detail Summary'!$M$3:$M$1048576,'Element wise-detail Summary'!$B$3:$B$1048576,B46,'Element wise-detail Summary'!$C$3:$C$1048576,C46,'Element wise-detail Summary'!$D$3:$D$1048576,Location_Summary!A46)</f>
        <v>0</v>
      </c>
      <c r="N46" s="20" t="str">
        <f t="shared" si="6"/>
        <v>3</v>
      </c>
      <c r="O46" s="24" t="str">
        <f t="shared" si="7"/>
        <v>0%</v>
      </c>
      <c r="P46" s="118"/>
      <c r="Q46" s="27" t="str">
        <f t="shared" si="8"/>
        <v>0</v>
      </c>
      <c r="R46" s="27"/>
    </row>
    <row r="47" ht="24.75" customHeight="1">
      <c r="A47" s="18" t="s">
        <v>2817</v>
      </c>
      <c r="B47" s="19" t="s">
        <v>83</v>
      </c>
      <c r="C47" s="19" t="s">
        <v>93</v>
      </c>
      <c r="D47" s="20" t="str">
        <f>SUMIFS('Element wise-detail Summary'!F:F,'Element wise-detail Summary'!B:B,Location_Summary!B47,'Element wise-detail Summary'!C:C,Location_Summary!C47,'Element wise-detail Summary'!D:D,Location_Summary!A47)</f>
        <v>3</v>
      </c>
      <c r="E47" s="117" t="str">
        <f>SUMIFS('Element wise-detail Summary'!$F$3:$F$1048576,'Element wise-detail Summary'!$B$3:$B$1048576,Location_Summary!$B47,'Element wise-detail Summary'!$C$3:$C$1048576,Location_Summary!C47,'Element wise-detail Summary'!$D$3:$D$1048576,Location_Summary!A47)</f>
        <v>3</v>
      </c>
      <c r="F47" s="22" t="str">
        <f>SUMIFS('Element wise-detail Summary'!$G$3:$G$1048576,'Element wise-detail Summary'!$B$3:$B$1048576,Location_Summary!$B47,'Element wise-detail Summary'!$C$3:$C$1048576,Location_Summary!C47,'Element wise-detail Summary'!$D$3:$D$1048576,Location_Summary!A47)</f>
        <v>2</v>
      </c>
      <c r="G47" s="20" t="str">
        <f t="shared" si="1"/>
        <v>1</v>
      </c>
      <c r="H47" s="23" t="str">
        <f t="shared" si="2"/>
        <v>67%</v>
      </c>
      <c r="I47" s="22" t="str">
        <f>SUMIFS('Element wise-detail Summary'!$I$3:$I$1048576,'Element wise-detail Summary'!$B$3:$B$1048576,B47,'Element wise-detail Summary'!$C$3:$C$1048576,C47,'Element wise-detail Summary'!$D$3:$D$1048576,Location_Summary!A47)</f>
        <v>0</v>
      </c>
      <c r="J47" s="20" t="str">
        <f t="shared" si="3"/>
        <v>3</v>
      </c>
      <c r="K47" s="24" t="str">
        <f t="shared" si="4"/>
        <v>0%</v>
      </c>
      <c r="L47" s="25" t="str">
        <f t="shared" si="5"/>
        <v>2</v>
      </c>
      <c r="M47" s="22" t="str">
        <f>SUMIFS('Element wise-detail Summary'!$M$3:$M$1048576,'Element wise-detail Summary'!$B$3:$B$1048576,B47,'Element wise-detail Summary'!$C$3:$C$1048576,C47,'Element wise-detail Summary'!$D$3:$D$1048576,Location_Summary!A47)</f>
        <v>0</v>
      </c>
      <c r="N47" s="20" t="str">
        <f t="shared" si="6"/>
        <v>3</v>
      </c>
      <c r="O47" s="24" t="str">
        <f t="shared" si="7"/>
        <v>0%</v>
      </c>
      <c r="P47" s="118"/>
      <c r="Q47" s="27" t="str">
        <f t="shared" si="8"/>
        <v>0</v>
      </c>
      <c r="R47" s="27"/>
    </row>
    <row r="48" ht="24.75" customHeight="1">
      <c r="A48" s="18" t="s">
        <v>2817</v>
      </c>
      <c r="B48" s="19" t="s">
        <v>83</v>
      </c>
      <c r="C48" s="19" t="s">
        <v>94</v>
      </c>
      <c r="D48" s="20" t="str">
        <f>SUMIFS('Element wise-detail Summary'!F:F,'Element wise-detail Summary'!B:B,Location_Summary!B48,'Element wise-detail Summary'!C:C,Location_Summary!C48,'Element wise-detail Summary'!D:D,Location_Summary!A48)</f>
        <v>3</v>
      </c>
      <c r="E48" s="117" t="str">
        <f>SUMIFS('Element wise-detail Summary'!$F$3:$F$1048576,'Element wise-detail Summary'!$B$3:$B$1048576,Location_Summary!$B48,'Element wise-detail Summary'!$C$3:$C$1048576,Location_Summary!C48,'Element wise-detail Summary'!$D$3:$D$1048576,Location_Summary!A48)</f>
        <v>3</v>
      </c>
      <c r="F48" s="22" t="str">
        <f>SUMIFS('Element wise-detail Summary'!$G$3:$G$1048576,'Element wise-detail Summary'!$B$3:$B$1048576,Location_Summary!$B48,'Element wise-detail Summary'!$C$3:$C$1048576,Location_Summary!C48,'Element wise-detail Summary'!$D$3:$D$1048576,Location_Summary!A48)</f>
        <v>2</v>
      </c>
      <c r="G48" s="20" t="str">
        <f t="shared" si="1"/>
        <v>1</v>
      </c>
      <c r="H48" s="23" t="str">
        <f t="shared" si="2"/>
        <v>67%</v>
      </c>
      <c r="I48" s="22" t="str">
        <f>SUMIFS('Element wise-detail Summary'!$I$3:$I$1048576,'Element wise-detail Summary'!$B$3:$B$1048576,B48,'Element wise-detail Summary'!$C$3:$C$1048576,C48,'Element wise-detail Summary'!$D$3:$D$1048576,Location_Summary!A48)</f>
        <v>0</v>
      </c>
      <c r="J48" s="20" t="str">
        <f t="shared" si="3"/>
        <v>3</v>
      </c>
      <c r="K48" s="24" t="str">
        <f t="shared" si="4"/>
        <v>0%</v>
      </c>
      <c r="L48" s="25" t="str">
        <f t="shared" si="5"/>
        <v>2</v>
      </c>
      <c r="M48" s="22" t="str">
        <f>SUMIFS('Element wise-detail Summary'!$M$3:$M$1048576,'Element wise-detail Summary'!$B$3:$B$1048576,B48,'Element wise-detail Summary'!$C$3:$C$1048576,C48,'Element wise-detail Summary'!$D$3:$D$1048576,Location_Summary!A48)</f>
        <v>0</v>
      </c>
      <c r="N48" s="20" t="str">
        <f t="shared" si="6"/>
        <v>3</v>
      </c>
      <c r="O48" s="24" t="str">
        <f t="shared" si="7"/>
        <v>0%</v>
      </c>
      <c r="P48" s="118"/>
      <c r="Q48" s="27" t="str">
        <f t="shared" si="8"/>
        <v>0</v>
      </c>
      <c r="R48" s="27"/>
    </row>
    <row r="49" ht="24.75" customHeight="1">
      <c r="A49" s="18" t="s">
        <v>2817</v>
      </c>
      <c r="B49" s="19" t="s">
        <v>83</v>
      </c>
      <c r="C49" s="19" t="s">
        <v>95</v>
      </c>
      <c r="D49" s="20" t="str">
        <f>SUMIFS('Element wise-detail Summary'!F:F,'Element wise-detail Summary'!B:B,Location_Summary!B49,'Element wise-detail Summary'!C:C,Location_Summary!C49,'Element wise-detail Summary'!D:D,Location_Summary!A49)</f>
        <v>4</v>
      </c>
      <c r="E49" s="117" t="str">
        <f>SUMIFS('Element wise-detail Summary'!$F$3:$F$1048576,'Element wise-detail Summary'!$B$3:$B$1048576,Location_Summary!$B49,'Element wise-detail Summary'!$C$3:$C$1048576,Location_Summary!C49,'Element wise-detail Summary'!$D$3:$D$1048576,Location_Summary!A49)</f>
        <v>4</v>
      </c>
      <c r="F49" s="22" t="str">
        <f>SUMIFS('Element wise-detail Summary'!$G$3:$G$1048576,'Element wise-detail Summary'!$B$3:$B$1048576,Location_Summary!$B49,'Element wise-detail Summary'!$C$3:$C$1048576,Location_Summary!C49,'Element wise-detail Summary'!$D$3:$D$1048576,Location_Summary!A49)</f>
        <v>0</v>
      </c>
      <c r="G49" s="20" t="str">
        <f t="shared" si="1"/>
        <v>4</v>
      </c>
      <c r="H49" s="23" t="str">
        <f t="shared" si="2"/>
        <v>0%</v>
      </c>
      <c r="I49" s="22" t="str">
        <f>SUMIFS('Element wise-detail Summary'!$I$3:$I$1048576,'Element wise-detail Summary'!$B$3:$B$1048576,B49,'Element wise-detail Summary'!$C$3:$C$1048576,C49,'Element wise-detail Summary'!$D$3:$D$1048576,Location_Summary!A49)</f>
        <v>0</v>
      </c>
      <c r="J49" s="20" t="str">
        <f t="shared" si="3"/>
        <v>4</v>
      </c>
      <c r="K49" s="24" t="str">
        <f t="shared" si="4"/>
        <v>0%</v>
      </c>
      <c r="L49" s="25" t="str">
        <f t="shared" si="5"/>
        <v>0</v>
      </c>
      <c r="M49" s="22" t="str">
        <f>SUMIFS('Element wise-detail Summary'!$M$3:$M$1048576,'Element wise-detail Summary'!$B$3:$B$1048576,B49,'Element wise-detail Summary'!$C$3:$C$1048576,C49,'Element wise-detail Summary'!$D$3:$D$1048576,Location_Summary!A49)</f>
        <v>0</v>
      </c>
      <c r="N49" s="20" t="str">
        <f t="shared" si="6"/>
        <v>4</v>
      </c>
      <c r="O49" s="24" t="str">
        <f t="shared" si="7"/>
        <v>0%</v>
      </c>
      <c r="P49" s="118"/>
      <c r="Q49" s="27" t="str">
        <f t="shared" si="8"/>
        <v>0</v>
      </c>
      <c r="R49" s="27"/>
    </row>
    <row r="50" ht="24.75" customHeight="1">
      <c r="A50" s="18" t="s">
        <v>2817</v>
      </c>
      <c r="B50" s="19" t="s">
        <v>149</v>
      </c>
      <c r="C50" s="19" t="s">
        <v>150</v>
      </c>
      <c r="D50" s="20" t="str">
        <f>SUMIFS('Element wise-detail Summary'!F:F,'Element wise-detail Summary'!B:B,Location_Summary!B50,'Element wise-detail Summary'!C:C,Location_Summary!C50,'Element wise-detail Summary'!D:D,Location_Summary!A50)</f>
        <v>2</v>
      </c>
      <c r="E50" s="117" t="str">
        <f>SUMIFS('Element wise-detail Summary'!$F$3:$F$1048576,'Element wise-detail Summary'!$B$3:$B$1048576,Location_Summary!$B50,'Element wise-detail Summary'!$C$3:$C$1048576,Location_Summary!C50,'Element wise-detail Summary'!$D$3:$D$1048576,Location_Summary!A50)</f>
        <v>2</v>
      </c>
      <c r="F50" s="22" t="str">
        <f>SUMIFS('Element wise-detail Summary'!$G$3:$G$1048576,'Element wise-detail Summary'!$B$3:$B$1048576,Location_Summary!$B50,'Element wise-detail Summary'!$C$3:$C$1048576,Location_Summary!C50,'Element wise-detail Summary'!$D$3:$D$1048576,Location_Summary!A50)</f>
        <v>0</v>
      </c>
      <c r="G50" s="20" t="str">
        <f t="shared" si="1"/>
        <v>2</v>
      </c>
      <c r="H50" s="23" t="str">
        <f t="shared" si="2"/>
        <v>0%</v>
      </c>
      <c r="I50" s="22" t="str">
        <f>SUMIFS('Element wise-detail Summary'!$I$3:$I$1048576,'Element wise-detail Summary'!$B$3:$B$1048576,B50,'Element wise-detail Summary'!$C$3:$C$1048576,C50,'Element wise-detail Summary'!$D$3:$D$1048576,Location_Summary!A50)</f>
        <v>0</v>
      </c>
      <c r="J50" s="20" t="str">
        <f t="shared" si="3"/>
        <v>2</v>
      </c>
      <c r="K50" s="24" t="str">
        <f t="shared" si="4"/>
        <v>0%</v>
      </c>
      <c r="L50" s="25" t="str">
        <f t="shared" si="5"/>
        <v>0</v>
      </c>
      <c r="M50" s="22" t="str">
        <f>SUMIFS('Element wise-detail Summary'!$M$3:$M$1048576,'Element wise-detail Summary'!$B$3:$B$1048576,B50,'Element wise-detail Summary'!$C$3:$C$1048576,C50,'Element wise-detail Summary'!$D$3:$D$1048576,Location_Summary!A50)</f>
        <v>0</v>
      </c>
      <c r="N50" s="20" t="str">
        <f t="shared" si="6"/>
        <v>2</v>
      </c>
      <c r="O50" s="24" t="str">
        <f t="shared" si="7"/>
        <v>0%</v>
      </c>
      <c r="P50" s="118"/>
      <c r="Q50" s="27" t="str">
        <f t="shared" si="8"/>
        <v>0</v>
      </c>
      <c r="R50" s="27"/>
    </row>
    <row r="51" ht="24.75" customHeight="1">
      <c r="A51" s="18" t="s">
        <v>2817</v>
      </c>
      <c r="B51" s="19" t="s">
        <v>149</v>
      </c>
      <c r="C51" s="19" t="s">
        <v>151</v>
      </c>
      <c r="D51" s="20" t="str">
        <f>SUMIFS('Element wise-detail Summary'!F:F,'Element wise-detail Summary'!B:B,Location_Summary!B51,'Element wise-detail Summary'!C:C,Location_Summary!C51,'Element wise-detail Summary'!D:D,Location_Summary!A51)</f>
        <v>3</v>
      </c>
      <c r="E51" s="117" t="str">
        <f>SUMIFS('Element wise-detail Summary'!$F$3:$F$1048576,'Element wise-detail Summary'!$B$3:$B$1048576,Location_Summary!$B51,'Element wise-detail Summary'!$C$3:$C$1048576,Location_Summary!C51,'Element wise-detail Summary'!$D$3:$D$1048576,Location_Summary!A51)</f>
        <v>3</v>
      </c>
      <c r="F51" s="22" t="str">
        <f>SUMIFS('Element wise-detail Summary'!$G$3:$G$1048576,'Element wise-detail Summary'!$B$3:$B$1048576,Location_Summary!$B51,'Element wise-detail Summary'!$C$3:$C$1048576,Location_Summary!C51,'Element wise-detail Summary'!$D$3:$D$1048576,Location_Summary!A51)</f>
        <v>0</v>
      </c>
      <c r="G51" s="20" t="str">
        <f t="shared" si="1"/>
        <v>3</v>
      </c>
      <c r="H51" s="23" t="str">
        <f t="shared" si="2"/>
        <v>0%</v>
      </c>
      <c r="I51" s="22" t="str">
        <f>SUMIFS('Element wise-detail Summary'!$I$3:$I$1048576,'Element wise-detail Summary'!$B$3:$B$1048576,B51,'Element wise-detail Summary'!$C$3:$C$1048576,C51,'Element wise-detail Summary'!$D$3:$D$1048576,Location_Summary!A51)</f>
        <v>0</v>
      </c>
      <c r="J51" s="20" t="str">
        <f t="shared" si="3"/>
        <v>3</v>
      </c>
      <c r="K51" s="24" t="str">
        <f t="shared" si="4"/>
        <v>0%</v>
      </c>
      <c r="L51" s="25" t="str">
        <f t="shared" si="5"/>
        <v>0</v>
      </c>
      <c r="M51" s="22" t="str">
        <f>SUMIFS('Element wise-detail Summary'!$M$3:$M$1048576,'Element wise-detail Summary'!$B$3:$B$1048576,B51,'Element wise-detail Summary'!$C$3:$C$1048576,C51,'Element wise-detail Summary'!$D$3:$D$1048576,Location_Summary!A51)</f>
        <v>0</v>
      </c>
      <c r="N51" s="20" t="str">
        <f t="shared" si="6"/>
        <v>3</v>
      </c>
      <c r="O51" s="24" t="str">
        <f t="shared" si="7"/>
        <v>0%</v>
      </c>
      <c r="P51" s="118"/>
      <c r="Q51" s="27" t="str">
        <f t="shared" si="8"/>
        <v>0</v>
      </c>
      <c r="R51" s="27"/>
    </row>
    <row r="52" ht="24.75" customHeight="1">
      <c r="A52" s="18" t="s">
        <v>2817</v>
      </c>
      <c r="B52" s="19" t="s">
        <v>149</v>
      </c>
      <c r="C52" s="19" t="s">
        <v>152</v>
      </c>
      <c r="D52" s="20" t="str">
        <f>SUMIFS('Element wise-detail Summary'!F:F,'Element wise-detail Summary'!B:B,Location_Summary!B52,'Element wise-detail Summary'!C:C,Location_Summary!C52,'Element wise-detail Summary'!D:D,Location_Summary!A52)</f>
        <v>10</v>
      </c>
      <c r="E52" s="117" t="str">
        <f>SUMIFS('Element wise-detail Summary'!$F$3:$F$1048576,'Element wise-detail Summary'!$B$3:$B$1048576,Location_Summary!$B52,'Element wise-detail Summary'!$C$3:$C$1048576,Location_Summary!C52,'Element wise-detail Summary'!$D$3:$D$1048576,Location_Summary!A52)</f>
        <v>10</v>
      </c>
      <c r="F52" s="22" t="str">
        <f>SUMIFS('Element wise-detail Summary'!$G$3:$G$1048576,'Element wise-detail Summary'!$B$3:$B$1048576,Location_Summary!$B52,'Element wise-detail Summary'!$C$3:$C$1048576,Location_Summary!C52,'Element wise-detail Summary'!$D$3:$D$1048576,Location_Summary!A52)</f>
        <v>2</v>
      </c>
      <c r="G52" s="20" t="str">
        <f t="shared" si="1"/>
        <v>8</v>
      </c>
      <c r="H52" s="23" t="str">
        <f t="shared" si="2"/>
        <v>20%</v>
      </c>
      <c r="I52" s="22" t="str">
        <f>SUMIFS('Element wise-detail Summary'!$I$3:$I$1048576,'Element wise-detail Summary'!$B$3:$B$1048576,B52,'Element wise-detail Summary'!$C$3:$C$1048576,C52,'Element wise-detail Summary'!$D$3:$D$1048576,Location_Summary!A52)</f>
        <v>0</v>
      </c>
      <c r="J52" s="20" t="str">
        <f t="shared" si="3"/>
        <v>10</v>
      </c>
      <c r="K52" s="24" t="str">
        <f t="shared" si="4"/>
        <v>0%</v>
      </c>
      <c r="L52" s="25" t="str">
        <f t="shared" si="5"/>
        <v>2</v>
      </c>
      <c r="M52" s="22" t="str">
        <f>SUMIFS('Element wise-detail Summary'!$M$3:$M$1048576,'Element wise-detail Summary'!$B$3:$B$1048576,B52,'Element wise-detail Summary'!$C$3:$C$1048576,C52,'Element wise-detail Summary'!$D$3:$D$1048576,Location_Summary!A52)</f>
        <v>0</v>
      </c>
      <c r="N52" s="20" t="str">
        <f t="shared" si="6"/>
        <v>10</v>
      </c>
      <c r="O52" s="24" t="str">
        <f t="shared" si="7"/>
        <v>0%</v>
      </c>
      <c r="P52" s="118"/>
      <c r="Q52" s="27" t="str">
        <f t="shared" si="8"/>
        <v>0</v>
      </c>
      <c r="R52" s="27"/>
    </row>
    <row r="53" ht="24.75" customHeight="1">
      <c r="A53" s="18" t="s">
        <v>2817</v>
      </c>
      <c r="B53" s="19" t="s">
        <v>149</v>
      </c>
      <c r="C53" s="19" t="s">
        <v>153</v>
      </c>
      <c r="D53" s="20" t="str">
        <f>SUMIFS('Element wise-detail Summary'!F:F,'Element wise-detail Summary'!B:B,Location_Summary!B53,'Element wise-detail Summary'!C:C,Location_Summary!C53,'Element wise-detail Summary'!D:D,Location_Summary!A53)</f>
        <v>8</v>
      </c>
      <c r="E53" s="117" t="str">
        <f>SUMIFS('Element wise-detail Summary'!$F$3:$F$1048576,'Element wise-detail Summary'!$B$3:$B$1048576,Location_Summary!$B53,'Element wise-detail Summary'!$C$3:$C$1048576,Location_Summary!C53,'Element wise-detail Summary'!$D$3:$D$1048576,Location_Summary!A53)</f>
        <v>8</v>
      </c>
      <c r="F53" s="22" t="str">
        <f>SUMIFS('Element wise-detail Summary'!$G$3:$G$1048576,'Element wise-detail Summary'!$B$3:$B$1048576,Location_Summary!$B53,'Element wise-detail Summary'!$C$3:$C$1048576,Location_Summary!C53,'Element wise-detail Summary'!$D$3:$D$1048576,Location_Summary!A53)</f>
        <v>2</v>
      </c>
      <c r="G53" s="20" t="str">
        <f t="shared" si="1"/>
        <v>6</v>
      </c>
      <c r="H53" s="23" t="str">
        <f t="shared" si="2"/>
        <v>25%</v>
      </c>
      <c r="I53" s="22" t="str">
        <f>SUMIFS('Element wise-detail Summary'!$I$3:$I$1048576,'Element wise-detail Summary'!$B$3:$B$1048576,B53,'Element wise-detail Summary'!$C$3:$C$1048576,C53,'Element wise-detail Summary'!$D$3:$D$1048576,Location_Summary!A53)</f>
        <v>0</v>
      </c>
      <c r="J53" s="20" t="str">
        <f t="shared" si="3"/>
        <v>8</v>
      </c>
      <c r="K53" s="24" t="str">
        <f t="shared" si="4"/>
        <v>0%</v>
      </c>
      <c r="L53" s="25" t="str">
        <f t="shared" si="5"/>
        <v>2</v>
      </c>
      <c r="M53" s="22" t="str">
        <f>SUMIFS('Element wise-detail Summary'!$M$3:$M$1048576,'Element wise-detail Summary'!$B$3:$B$1048576,B53,'Element wise-detail Summary'!$C$3:$C$1048576,C53,'Element wise-detail Summary'!$D$3:$D$1048576,Location_Summary!A53)</f>
        <v>0</v>
      </c>
      <c r="N53" s="20" t="str">
        <f t="shared" si="6"/>
        <v>8</v>
      </c>
      <c r="O53" s="24" t="str">
        <f t="shared" si="7"/>
        <v>0%</v>
      </c>
      <c r="P53" s="118"/>
      <c r="Q53" s="27" t="str">
        <f t="shared" si="8"/>
        <v>0</v>
      </c>
      <c r="R53" s="27"/>
    </row>
    <row r="54" ht="24.75" customHeight="1">
      <c r="A54" s="18" t="s">
        <v>2817</v>
      </c>
      <c r="B54" s="19" t="s">
        <v>149</v>
      </c>
      <c r="C54" s="19" t="s">
        <v>154</v>
      </c>
      <c r="D54" s="20" t="str">
        <f>SUMIFS('Element wise-detail Summary'!F:F,'Element wise-detail Summary'!B:B,Location_Summary!B54,'Element wise-detail Summary'!C:C,Location_Summary!C54,'Element wise-detail Summary'!D:D,Location_Summary!A54)</f>
        <v>3</v>
      </c>
      <c r="E54" s="117" t="str">
        <f>SUMIFS('Element wise-detail Summary'!$F$3:$F$1048576,'Element wise-detail Summary'!$B$3:$B$1048576,Location_Summary!$B54,'Element wise-detail Summary'!$C$3:$C$1048576,Location_Summary!C54,'Element wise-detail Summary'!$D$3:$D$1048576,Location_Summary!A54)</f>
        <v>3</v>
      </c>
      <c r="F54" s="22" t="str">
        <f>SUMIFS('Element wise-detail Summary'!$G$3:$G$1048576,'Element wise-detail Summary'!$B$3:$B$1048576,Location_Summary!$B54,'Element wise-detail Summary'!$C$3:$C$1048576,Location_Summary!C54,'Element wise-detail Summary'!$D$3:$D$1048576,Location_Summary!A54)</f>
        <v>1</v>
      </c>
      <c r="G54" s="20" t="str">
        <f t="shared" si="1"/>
        <v>2</v>
      </c>
      <c r="H54" s="23" t="str">
        <f t="shared" si="2"/>
        <v>33%</v>
      </c>
      <c r="I54" s="22" t="str">
        <f>SUMIFS('Element wise-detail Summary'!$I$3:$I$1048576,'Element wise-detail Summary'!$B$3:$B$1048576,B54,'Element wise-detail Summary'!$C$3:$C$1048576,C54,'Element wise-detail Summary'!$D$3:$D$1048576,Location_Summary!A54)</f>
        <v>0</v>
      </c>
      <c r="J54" s="20" t="str">
        <f t="shared" si="3"/>
        <v>3</v>
      </c>
      <c r="K54" s="24" t="str">
        <f t="shared" si="4"/>
        <v>0%</v>
      </c>
      <c r="L54" s="25" t="str">
        <f t="shared" si="5"/>
        <v>1</v>
      </c>
      <c r="M54" s="22" t="str">
        <f>SUMIFS('Element wise-detail Summary'!$M$3:$M$1048576,'Element wise-detail Summary'!$B$3:$B$1048576,B54,'Element wise-detail Summary'!$C$3:$C$1048576,C54,'Element wise-detail Summary'!$D$3:$D$1048576,Location_Summary!A54)</f>
        <v>0</v>
      </c>
      <c r="N54" s="20" t="str">
        <f t="shared" si="6"/>
        <v>3</v>
      </c>
      <c r="O54" s="24" t="str">
        <f t="shared" si="7"/>
        <v>0%</v>
      </c>
      <c r="P54" s="118"/>
      <c r="Q54" s="27" t="str">
        <f t="shared" si="8"/>
        <v>0</v>
      </c>
      <c r="R54" s="27"/>
    </row>
    <row r="55" ht="24.75" customHeight="1">
      <c r="A55" s="18" t="s">
        <v>2817</v>
      </c>
      <c r="B55" s="19" t="s">
        <v>149</v>
      </c>
      <c r="C55" s="19" t="s">
        <v>155</v>
      </c>
      <c r="D55" s="20" t="str">
        <f>SUMIFS('Element wise-detail Summary'!F:F,'Element wise-detail Summary'!B:B,Location_Summary!B55,'Element wise-detail Summary'!C:C,Location_Summary!C55,'Element wise-detail Summary'!D:D,Location_Summary!A55)</f>
        <v>3</v>
      </c>
      <c r="E55" s="117" t="str">
        <f>SUMIFS('Element wise-detail Summary'!$F$3:$F$1048576,'Element wise-detail Summary'!$B$3:$B$1048576,Location_Summary!$B55,'Element wise-detail Summary'!$C$3:$C$1048576,Location_Summary!C55,'Element wise-detail Summary'!$D$3:$D$1048576,Location_Summary!A55)</f>
        <v>3</v>
      </c>
      <c r="F55" s="22" t="str">
        <f>SUMIFS('Element wise-detail Summary'!$G$3:$G$1048576,'Element wise-detail Summary'!$B$3:$B$1048576,Location_Summary!$B55,'Element wise-detail Summary'!$C$3:$C$1048576,Location_Summary!C55,'Element wise-detail Summary'!$D$3:$D$1048576,Location_Summary!A55)</f>
        <v>1</v>
      </c>
      <c r="G55" s="20" t="str">
        <f t="shared" si="1"/>
        <v>2</v>
      </c>
      <c r="H55" s="23" t="str">
        <f t="shared" si="2"/>
        <v>33%</v>
      </c>
      <c r="I55" s="22" t="str">
        <f>SUMIFS('Element wise-detail Summary'!$I$3:$I$1048576,'Element wise-detail Summary'!$B$3:$B$1048576,B55,'Element wise-detail Summary'!$C$3:$C$1048576,C55,'Element wise-detail Summary'!$D$3:$D$1048576,Location_Summary!A55)</f>
        <v>0</v>
      </c>
      <c r="J55" s="20" t="str">
        <f t="shared" si="3"/>
        <v>3</v>
      </c>
      <c r="K55" s="24" t="str">
        <f t="shared" si="4"/>
        <v>0%</v>
      </c>
      <c r="L55" s="25" t="str">
        <f t="shared" si="5"/>
        <v>1</v>
      </c>
      <c r="M55" s="22" t="str">
        <f>SUMIFS('Element wise-detail Summary'!$M$3:$M$1048576,'Element wise-detail Summary'!$B$3:$B$1048576,B55,'Element wise-detail Summary'!$C$3:$C$1048576,C55,'Element wise-detail Summary'!$D$3:$D$1048576,Location_Summary!A55)</f>
        <v>0</v>
      </c>
      <c r="N55" s="20" t="str">
        <f t="shared" si="6"/>
        <v>3</v>
      </c>
      <c r="O55" s="24" t="str">
        <f t="shared" si="7"/>
        <v>0%</v>
      </c>
      <c r="P55" s="118"/>
      <c r="Q55" s="27" t="str">
        <f t="shared" si="8"/>
        <v>0</v>
      </c>
      <c r="R55" s="27"/>
    </row>
    <row r="56" ht="24.75" customHeight="1">
      <c r="A56" s="18" t="s">
        <v>2817</v>
      </c>
      <c r="B56" s="19" t="s">
        <v>149</v>
      </c>
      <c r="C56" s="19" t="s">
        <v>156</v>
      </c>
      <c r="D56" s="20" t="str">
        <f>SUMIFS('Element wise-detail Summary'!F:F,'Element wise-detail Summary'!B:B,Location_Summary!B56,'Element wise-detail Summary'!C:C,Location_Summary!C56,'Element wise-detail Summary'!D:D,Location_Summary!A56)</f>
        <v>3</v>
      </c>
      <c r="E56" s="117" t="str">
        <f>SUMIFS('Element wise-detail Summary'!$F$3:$F$1048576,'Element wise-detail Summary'!$B$3:$B$1048576,Location_Summary!$B56,'Element wise-detail Summary'!$C$3:$C$1048576,Location_Summary!C56,'Element wise-detail Summary'!$D$3:$D$1048576,Location_Summary!A56)</f>
        <v>3</v>
      </c>
      <c r="F56" s="22" t="str">
        <f>SUMIFS('Element wise-detail Summary'!$G$3:$G$1048576,'Element wise-detail Summary'!$B$3:$B$1048576,Location_Summary!$B56,'Element wise-detail Summary'!$C$3:$C$1048576,Location_Summary!C56,'Element wise-detail Summary'!$D$3:$D$1048576,Location_Summary!A56)</f>
        <v>0</v>
      </c>
      <c r="G56" s="20" t="str">
        <f t="shared" si="1"/>
        <v>3</v>
      </c>
      <c r="H56" s="23" t="str">
        <f t="shared" si="2"/>
        <v>0%</v>
      </c>
      <c r="I56" s="22" t="str">
        <f>SUMIFS('Element wise-detail Summary'!$I$3:$I$1048576,'Element wise-detail Summary'!$B$3:$B$1048576,B56,'Element wise-detail Summary'!$C$3:$C$1048576,C56,'Element wise-detail Summary'!$D$3:$D$1048576,Location_Summary!A56)</f>
        <v>0</v>
      </c>
      <c r="J56" s="20" t="str">
        <f t="shared" si="3"/>
        <v>3</v>
      </c>
      <c r="K56" s="24" t="str">
        <f t="shared" si="4"/>
        <v>0%</v>
      </c>
      <c r="L56" s="25" t="str">
        <f t="shared" si="5"/>
        <v>0</v>
      </c>
      <c r="M56" s="22" t="str">
        <f>SUMIFS('Element wise-detail Summary'!$M$3:$M$1048576,'Element wise-detail Summary'!$B$3:$B$1048576,B56,'Element wise-detail Summary'!$C$3:$C$1048576,C56,'Element wise-detail Summary'!$D$3:$D$1048576,Location_Summary!A56)</f>
        <v>0</v>
      </c>
      <c r="N56" s="20" t="str">
        <f t="shared" si="6"/>
        <v>3</v>
      </c>
      <c r="O56" s="24" t="str">
        <f t="shared" si="7"/>
        <v>0%</v>
      </c>
      <c r="P56" s="118"/>
      <c r="Q56" s="27" t="str">
        <f t="shared" si="8"/>
        <v>0</v>
      </c>
      <c r="R56" s="27"/>
    </row>
    <row r="57" ht="24.75" customHeight="1">
      <c r="A57" s="18" t="s">
        <v>2817</v>
      </c>
      <c r="B57" s="19" t="s">
        <v>149</v>
      </c>
      <c r="C57" s="19" t="s">
        <v>157</v>
      </c>
      <c r="D57" s="20" t="str">
        <f>SUMIFS('Element wise-detail Summary'!F:F,'Element wise-detail Summary'!B:B,Location_Summary!B57,'Element wise-detail Summary'!C:C,Location_Summary!C57,'Element wise-detail Summary'!D:D,Location_Summary!A57)</f>
        <v>3</v>
      </c>
      <c r="E57" s="117" t="str">
        <f>SUMIFS('Element wise-detail Summary'!$F$3:$F$1048576,'Element wise-detail Summary'!$B$3:$B$1048576,Location_Summary!$B57,'Element wise-detail Summary'!$C$3:$C$1048576,Location_Summary!C57,'Element wise-detail Summary'!$D$3:$D$1048576,Location_Summary!A57)</f>
        <v>3</v>
      </c>
      <c r="F57" s="22" t="str">
        <f>SUMIFS('Element wise-detail Summary'!$G$3:$G$1048576,'Element wise-detail Summary'!$B$3:$B$1048576,Location_Summary!$B57,'Element wise-detail Summary'!$C$3:$C$1048576,Location_Summary!C57,'Element wise-detail Summary'!$D$3:$D$1048576,Location_Summary!A57)</f>
        <v>0</v>
      </c>
      <c r="G57" s="20" t="str">
        <f t="shared" si="1"/>
        <v>3</v>
      </c>
      <c r="H57" s="23" t="str">
        <f t="shared" si="2"/>
        <v>0%</v>
      </c>
      <c r="I57" s="22" t="str">
        <f>SUMIFS('Element wise-detail Summary'!$I$3:$I$1048576,'Element wise-detail Summary'!$B$3:$B$1048576,B57,'Element wise-detail Summary'!$C$3:$C$1048576,C57,'Element wise-detail Summary'!$D$3:$D$1048576,Location_Summary!A57)</f>
        <v>0</v>
      </c>
      <c r="J57" s="20" t="str">
        <f t="shared" si="3"/>
        <v>3</v>
      </c>
      <c r="K57" s="24" t="str">
        <f t="shared" si="4"/>
        <v>0%</v>
      </c>
      <c r="L57" s="25" t="str">
        <f t="shared" si="5"/>
        <v>0</v>
      </c>
      <c r="M57" s="22" t="str">
        <f>SUMIFS('Element wise-detail Summary'!$M$3:$M$1048576,'Element wise-detail Summary'!$B$3:$B$1048576,B57,'Element wise-detail Summary'!$C$3:$C$1048576,C57,'Element wise-detail Summary'!$D$3:$D$1048576,Location_Summary!A57)</f>
        <v>0</v>
      </c>
      <c r="N57" s="20" t="str">
        <f t="shared" si="6"/>
        <v>3</v>
      </c>
      <c r="O57" s="24" t="str">
        <f t="shared" si="7"/>
        <v>0%</v>
      </c>
      <c r="P57" s="118"/>
      <c r="Q57" s="27" t="str">
        <f t="shared" si="8"/>
        <v>0</v>
      </c>
      <c r="R57" s="27"/>
    </row>
    <row r="58" ht="24.75" customHeight="1">
      <c r="A58" s="18" t="s">
        <v>2817</v>
      </c>
      <c r="B58" s="19" t="s">
        <v>158</v>
      </c>
      <c r="C58" s="19" t="s">
        <v>159</v>
      </c>
      <c r="D58" s="20" t="str">
        <f>SUMIFS('Element wise-detail Summary'!F:F,'Element wise-detail Summary'!B:B,Location_Summary!B58,'Element wise-detail Summary'!C:C,Location_Summary!C58,'Element wise-detail Summary'!D:D,Location_Summary!A58)</f>
        <v>4</v>
      </c>
      <c r="E58" s="117" t="str">
        <f>SUMIFS('Element wise-detail Summary'!$F$3:$F$1048576,'Element wise-detail Summary'!$B$3:$B$1048576,Location_Summary!$B58,'Element wise-detail Summary'!$C$3:$C$1048576,Location_Summary!C58,'Element wise-detail Summary'!$D$3:$D$1048576,Location_Summary!A58)</f>
        <v>4</v>
      </c>
      <c r="F58" s="22" t="str">
        <f>SUMIFS('Element wise-detail Summary'!$G$3:$G$1048576,'Element wise-detail Summary'!$B$3:$B$1048576,Location_Summary!$B58,'Element wise-detail Summary'!$C$3:$C$1048576,Location_Summary!C58,'Element wise-detail Summary'!$D$3:$D$1048576,Location_Summary!A58)</f>
        <v>3</v>
      </c>
      <c r="G58" s="20" t="str">
        <f t="shared" si="1"/>
        <v>1</v>
      </c>
      <c r="H58" s="23" t="str">
        <f t="shared" si="2"/>
        <v>75%</v>
      </c>
      <c r="I58" s="22" t="str">
        <f>SUMIFS('Element wise-detail Summary'!$I$3:$I$1048576,'Element wise-detail Summary'!$B$3:$B$1048576,B58,'Element wise-detail Summary'!$C$3:$C$1048576,C58,'Element wise-detail Summary'!$D$3:$D$1048576,Location_Summary!A58)</f>
        <v>0</v>
      </c>
      <c r="J58" s="20" t="str">
        <f t="shared" si="3"/>
        <v>4</v>
      </c>
      <c r="K58" s="24" t="str">
        <f t="shared" si="4"/>
        <v>0%</v>
      </c>
      <c r="L58" s="25" t="str">
        <f t="shared" si="5"/>
        <v>3</v>
      </c>
      <c r="M58" s="22" t="str">
        <f>SUMIFS('Element wise-detail Summary'!$M$3:$M$1048576,'Element wise-detail Summary'!$B$3:$B$1048576,B58,'Element wise-detail Summary'!$C$3:$C$1048576,C58,'Element wise-detail Summary'!$D$3:$D$1048576,Location_Summary!A58)</f>
        <v>0</v>
      </c>
      <c r="N58" s="20" t="str">
        <f t="shared" si="6"/>
        <v>4</v>
      </c>
      <c r="O58" s="24" t="str">
        <f t="shared" si="7"/>
        <v>0%</v>
      </c>
      <c r="P58" s="118"/>
      <c r="Q58" s="27" t="str">
        <f t="shared" si="8"/>
        <v>0</v>
      </c>
      <c r="R58" s="27"/>
    </row>
    <row r="59" ht="24.75" customHeight="1">
      <c r="A59" s="18" t="s">
        <v>2817</v>
      </c>
      <c r="B59" s="19" t="s">
        <v>158</v>
      </c>
      <c r="C59" s="19" t="s">
        <v>160</v>
      </c>
      <c r="D59" s="20" t="str">
        <f>SUMIFS('Element wise-detail Summary'!F:F,'Element wise-detail Summary'!B:B,Location_Summary!B59,'Element wise-detail Summary'!C:C,Location_Summary!C59,'Element wise-detail Summary'!D:D,Location_Summary!A59)</f>
        <v>8</v>
      </c>
      <c r="E59" s="117" t="str">
        <f>SUMIFS('Element wise-detail Summary'!$F$3:$F$1048576,'Element wise-detail Summary'!$B$3:$B$1048576,Location_Summary!$B59,'Element wise-detail Summary'!$C$3:$C$1048576,Location_Summary!C59,'Element wise-detail Summary'!$D$3:$D$1048576,Location_Summary!A59)</f>
        <v>8</v>
      </c>
      <c r="F59" s="22" t="str">
        <f>SUMIFS('Element wise-detail Summary'!$G$3:$G$1048576,'Element wise-detail Summary'!$B$3:$B$1048576,Location_Summary!$B59,'Element wise-detail Summary'!$C$3:$C$1048576,Location_Summary!C59,'Element wise-detail Summary'!$D$3:$D$1048576,Location_Summary!A59)</f>
        <v>8</v>
      </c>
      <c r="G59" s="20" t="str">
        <f t="shared" si="1"/>
        <v>0</v>
      </c>
      <c r="H59" s="23" t="str">
        <f t="shared" si="2"/>
        <v>100%</v>
      </c>
      <c r="I59" s="22" t="str">
        <f>SUMIFS('Element wise-detail Summary'!$I$3:$I$1048576,'Element wise-detail Summary'!$B$3:$B$1048576,B59,'Element wise-detail Summary'!$C$3:$C$1048576,C59,'Element wise-detail Summary'!$D$3:$D$1048576,Location_Summary!A59)</f>
        <v>0</v>
      </c>
      <c r="J59" s="20" t="str">
        <f t="shared" si="3"/>
        <v>8</v>
      </c>
      <c r="K59" s="24" t="str">
        <f t="shared" si="4"/>
        <v>0%</v>
      </c>
      <c r="L59" s="25" t="str">
        <f t="shared" si="5"/>
        <v>8</v>
      </c>
      <c r="M59" s="22" t="str">
        <f>SUMIFS('Element wise-detail Summary'!$M$3:$M$1048576,'Element wise-detail Summary'!$B$3:$B$1048576,B59,'Element wise-detail Summary'!$C$3:$C$1048576,C59,'Element wise-detail Summary'!$D$3:$D$1048576,Location_Summary!A59)</f>
        <v>0</v>
      </c>
      <c r="N59" s="20" t="str">
        <f t="shared" si="6"/>
        <v>8</v>
      </c>
      <c r="O59" s="24" t="str">
        <f t="shared" si="7"/>
        <v>0%</v>
      </c>
      <c r="P59" s="118"/>
      <c r="Q59" s="27" t="str">
        <f t="shared" si="8"/>
        <v>0</v>
      </c>
      <c r="R59" s="27"/>
    </row>
    <row r="60" ht="24.75" customHeight="1">
      <c r="A60" s="18" t="s">
        <v>2817</v>
      </c>
      <c r="B60" s="19" t="s">
        <v>158</v>
      </c>
      <c r="C60" s="19" t="s">
        <v>161</v>
      </c>
      <c r="D60" s="20" t="str">
        <f>SUMIFS('Element wise-detail Summary'!F:F,'Element wise-detail Summary'!B:B,Location_Summary!B60,'Element wise-detail Summary'!C:C,Location_Summary!C60,'Element wise-detail Summary'!D:D,Location_Summary!A60)</f>
        <v>16</v>
      </c>
      <c r="E60" s="117" t="str">
        <f>SUMIFS('Element wise-detail Summary'!$F$3:$F$1048576,'Element wise-detail Summary'!$B$3:$B$1048576,Location_Summary!$B60,'Element wise-detail Summary'!$C$3:$C$1048576,Location_Summary!C60,'Element wise-detail Summary'!$D$3:$D$1048576,Location_Summary!A60)</f>
        <v>16</v>
      </c>
      <c r="F60" s="22" t="str">
        <f>SUMIFS('Element wise-detail Summary'!$G$3:$G$1048576,'Element wise-detail Summary'!$B$3:$B$1048576,Location_Summary!$B60,'Element wise-detail Summary'!$C$3:$C$1048576,Location_Summary!C60,'Element wise-detail Summary'!$D$3:$D$1048576,Location_Summary!A60)</f>
        <v>2</v>
      </c>
      <c r="G60" s="20" t="str">
        <f t="shared" si="1"/>
        <v>14</v>
      </c>
      <c r="H60" s="23" t="str">
        <f t="shared" si="2"/>
        <v>13%</v>
      </c>
      <c r="I60" s="22" t="str">
        <f>SUMIFS('Element wise-detail Summary'!$I$3:$I$1048576,'Element wise-detail Summary'!$B$3:$B$1048576,B60,'Element wise-detail Summary'!$C$3:$C$1048576,C60,'Element wise-detail Summary'!$D$3:$D$1048576,Location_Summary!A60)</f>
        <v>0</v>
      </c>
      <c r="J60" s="20" t="str">
        <f t="shared" si="3"/>
        <v>16</v>
      </c>
      <c r="K60" s="24" t="str">
        <f t="shared" si="4"/>
        <v>0%</v>
      </c>
      <c r="L60" s="25" t="str">
        <f t="shared" si="5"/>
        <v>2</v>
      </c>
      <c r="M60" s="22" t="str">
        <f>SUMIFS('Element wise-detail Summary'!$M$3:$M$1048576,'Element wise-detail Summary'!$B$3:$B$1048576,B60,'Element wise-detail Summary'!$C$3:$C$1048576,C60,'Element wise-detail Summary'!$D$3:$D$1048576,Location_Summary!A60)</f>
        <v>0</v>
      </c>
      <c r="N60" s="20" t="str">
        <f t="shared" si="6"/>
        <v>16</v>
      </c>
      <c r="O60" s="24" t="str">
        <f t="shared" si="7"/>
        <v>0%</v>
      </c>
      <c r="P60" s="118"/>
      <c r="Q60" s="27" t="str">
        <f t="shared" si="8"/>
        <v>0</v>
      </c>
      <c r="R60" s="27"/>
    </row>
    <row r="61" ht="24.75" customHeight="1">
      <c r="A61" s="18" t="s">
        <v>2817</v>
      </c>
      <c r="B61" s="19" t="s">
        <v>158</v>
      </c>
      <c r="C61" s="19" t="s">
        <v>162</v>
      </c>
      <c r="D61" s="20" t="str">
        <f>SUMIFS('Element wise-detail Summary'!F:F,'Element wise-detail Summary'!B:B,Location_Summary!B61,'Element wise-detail Summary'!C:C,Location_Summary!C61,'Element wise-detail Summary'!D:D,Location_Summary!A61)</f>
        <v>14</v>
      </c>
      <c r="E61" s="117" t="str">
        <f>SUMIFS('Element wise-detail Summary'!$F$3:$F$1048576,'Element wise-detail Summary'!$B$3:$B$1048576,Location_Summary!$B61,'Element wise-detail Summary'!$C$3:$C$1048576,Location_Summary!C61,'Element wise-detail Summary'!$D$3:$D$1048576,Location_Summary!A61)</f>
        <v>14</v>
      </c>
      <c r="F61" s="22" t="str">
        <f>SUMIFS('Element wise-detail Summary'!$G$3:$G$1048576,'Element wise-detail Summary'!$B$3:$B$1048576,Location_Summary!$B61,'Element wise-detail Summary'!$C$3:$C$1048576,Location_Summary!C61,'Element wise-detail Summary'!$D$3:$D$1048576,Location_Summary!A61)</f>
        <v>0</v>
      </c>
      <c r="G61" s="20" t="str">
        <f t="shared" si="1"/>
        <v>14</v>
      </c>
      <c r="H61" s="23" t="str">
        <f t="shared" si="2"/>
        <v>0%</v>
      </c>
      <c r="I61" s="22" t="str">
        <f>SUMIFS('Element wise-detail Summary'!$I$3:$I$1048576,'Element wise-detail Summary'!$B$3:$B$1048576,B61,'Element wise-detail Summary'!$C$3:$C$1048576,C61,'Element wise-detail Summary'!$D$3:$D$1048576,Location_Summary!A61)</f>
        <v>0</v>
      </c>
      <c r="J61" s="20" t="str">
        <f t="shared" si="3"/>
        <v>14</v>
      </c>
      <c r="K61" s="24" t="str">
        <f t="shared" si="4"/>
        <v>0%</v>
      </c>
      <c r="L61" s="25" t="str">
        <f t="shared" si="5"/>
        <v>0</v>
      </c>
      <c r="M61" s="22" t="str">
        <f>SUMIFS('Element wise-detail Summary'!$M$3:$M$1048576,'Element wise-detail Summary'!$B$3:$B$1048576,B61,'Element wise-detail Summary'!$C$3:$C$1048576,C61,'Element wise-detail Summary'!$D$3:$D$1048576,Location_Summary!A61)</f>
        <v>0</v>
      </c>
      <c r="N61" s="20" t="str">
        <f t="shared" si="6"/>
        <v>14</v>
      </c>
      <c r="O61" s="24" t="str">
        <f t="shared" si="7"/>
        <v>0%</v>
      </c>
      <c r="P61" s="118"/>
      <c r="Q61" s="27" t="str">
        <f t="shared" si="8"/>
        <v>0</v>
      </c>
      <c r="R61" s="27"/>
    </row>
    <row r="62" ht="24.75" customHeight="1">
      <c r="A62" s="18" t="s">
        <v>2817</v>
      </c>
      <c r="B62" s="19" t="s">
        <v>158</v>
      </c>
      <c r="C62" s="19" t="s">
        <v>163</v>
      </c>
      <c r="D62" s="20" t="str">
        <f>SUMIFS('Element wise-detail Summary'!F:F,'Element wise-detail Summary'!B:B,Location_Summary!B62,'Element wise-detail Summary'!C:C,Location_Summary!C62,'Element wise-detail Summary'!D:D,Location_Summary!A62)</f>
        <v>6</v>
      </c>
      <c r="E62" s="117" t="str">
        <f>SUMIFS('Element wise-detail Summary'!$F$3:$F$1048576,'Element wise-detail Summary'!$B$3:$B$1048576,Location_Summary!$B62,'Element wise-detail Summary'!$C$3:$C$1048576,Location_Summary!C62,'Element wise-detail Summary'!$D$3:$D$1048576,Location_Summary!A62)</f>
        <v>6</v>
      </c>
      <c r="F62" s="22" t="str">
        <f>SUMIFS('Element wise-detail Summary'!$G$3:$G$1048576,'Element wise-detail Summary'!$B$3:$B$1048576,Location_Summary!$B62,'Element wise-detail Summary'!$C$3:$C$1048576,Location_Summary!C62,'Element wise-detail Summary'!$D$3:$D$1048576,Location_Summary!A62)</f>
        <v>0</v>
      </c>
      <c r="G62" s="20" t="str">
        <f t="shared" si="1"/>
        <v>6</v>
      </c>
      <c r="H62" s="23" t="str">
        <f t="shared" si="2"/>
        <v>0%</v>
      </c>
      <c r="I62" s="22" t="str">
        <f>SUMIFS('Element wise-detail Summary'!$I$3:$I$1048576,'Element wise-detail Summary'!$B$3:$B$1048576,B62,'Element wise-detail Summary'!$C$3:$C$1048576,C62,'Element wise-detail Summary'!$D$3:$D$1048576,Location_Summary!A62)</f>
        <v>0</v>
      </c>
      <c r="J62" s="20" t="str">
        <f t="shared" si="3"/>
        <v>6</v>
      </c>
      <c r="K62" s="24" t="str">
        <f t="shared" si="4"/>
        <v>0%</v>
      </c>
      <c r="L62" s="25" t="str">
        <f t="shared" si="5"/>
        <v>0</v>
      </c>
      <c r="M62" s="22" t="str">
        <f>SUMIFS('Element wise-detail Summary'!$M$3:$M$1048576,'Element wise-detail Summary'!$B$3:$B$1048576,B62,'Element wise-detail Summary'!$C$3:$C$1048576,C62,'Element wise-detail Summary'!$D$3:$D$1048576,Location_Summary!A62)</f>
        <v>0</v>
      </c>
      <c r="N62" s="20" t="str">
        <f t="shared" si="6"/>
        <v>6</v>
      </c>
      <c r="O62" s="24" t="str">
        <f t="shared" si="7"/>
        <v>0%</v>
      </c>
      <c r="P62" s="118"/>
      <c r="Q62" s="27" t="str">
        <f t="shared" si="8"/>
        <v>0</v>
      </c>
      <c r="R62" s="27"/>
    </row>
    <row r="63" ht="24.75" customHeight="1">
      <c r="A63" s="18" t="s">
        <v>2817</v>
      </c>
      <c r="B63" s="19" t="s">
        <v>158</v>
      </c>
      <c r="C63" s="19" t="s">
        <v>164</v>
      </c>
      <c r="D63" s="20" t="str">
        <f>SUMIFS('Element wise-detail Summary'!F:F,'Element wise-detail Summary'!B:B,Location_Summary!B63,'Element wise-detail Summary'!C:C,Location_Summary!C63,'Element wise-detail Summary'!D:D,Location_Summary!A63)</f>
        <v>4</v>
      </c>
      <c r="E63" s="117" t="str">
        <f>SUMIFS('Element wise-detail Summary'!$F$3:$F$1048576,'Element wise-detail Summary'!$B$3:$B$1048576,Location_Summary!$B63,'Element wise-detail Summary'!$C$3:$C$1048576,Location_Summary!C63,'Element wise-detail Summary'!$D$3:$D$1048576,Location_Summary!A63)</f>
        <v>4</v>
      </c>
      <c r="F63" s="22" t="str">
        <f>SUMIFS('Element wise-detail Summary'!$G$3:$G$1048576,'Element wise-detail Summary'!$B$3:$B$1048576,Location_Summary!$B63,'Element wise-detail Summary'!$C$3:$C$1048576,Location_Summary!C63,'Element wise-detail Summary'!$D$3:$D$1048576,Location_Summary!A63)</f>
        <v>0</v>
      </c>
      <c r="G63" s="20" t="str">
        <f t="shared" si="1"/>
        <v>4</v>
      </c>
      <c r="H63" s="23" t="str">
        <f t="shared" si="2"/>
        <v>0%</v>
      </c>
      <c r="I63" s="22" t="str">
        <f>SUMIFS('Element wise-detail Summary'!$I$3:$I$1048576,'Element wise-detail Summary'!$B$3:$B$1048576,B63,'Element wise-detail Summary'!$C$3:$C$1048576,C63,'Element wise-detail Summary'!$D$3:$D$1048576,Location_Summary!A63)</f>
        <v>0</v>
      </c>
      <c r="J63" s="20" t="str">
        <f t="shared" si="3"/>
        <v>4</v>
      </c>
      <c r="K63" s="24" t="str">
        <f t="shared" si="4"/>
        <v>0%</v>
      </c>
      <c r="L63" s="25" t="str">
        <f t="shared" si="5"/>
        <v>0</v>
      </c>
      <c r="M63" s="22" t="str">
        <f>SUMIFS('Element wise-detail Summary'!$M$3:$M$1048576,'Element wise-detail Summary'!$B$3:$B$1048576,B63,'Element wise-detail Summary'!$C$3:$C$1048576,C63,'Element wise-detail Summary'!$D$3:$D$1048576,Location_Summary!A63)</f>
        <v>0</v>
      </c>
      <c r="N63" s="20" t="str">
        <f t="shared" si="6"/>
        <v>4</v>
      </c>
      <c r="O63" s="24" t="str">
        <f t="shared" si="7"/>
        <v>0%</v>
      </c>
      <c r="P63" s="118"/>
      <c r="Q63" s="27" t="str">
        <f t="shared" si="8"/>
        <v>0</v>
      </c>
      <c r="R63" s="27"/>
    </row>
    <row r="64" ht="24.75" customHeight="1">
      <c r="A64" s="18" t="s">
        <v>2817</v>
      </c>
      <c r="B64" s="19" t="s">
        <v>158</v>
      </c>
      <c r="C64" s="19" t="s">
        <v>165</v>
      </c>
      <c r="D64" s="20" t="str">
        <f>SUMIFS('Element wise-detail Summary'!F:F,'Element wise-detail Summary'!B:B,Location_Summary!B64,'Element wise-detail Summary'!C:C,Location_Summary!C64,'Element wise-detail Summary'!D:D,Location_Summary!A64)</f>
        <v>4</v>
      </c>
      <c r="E64" s="117" t="str">
        <f>SUMIFS('Element wise-detail Summary'!$F$3:$F$1048576,'Element wise-detail Summary'!$B$3:$B$1048576,Location_Summary!$B64,'Element wise-detail Summary'!$C$3:$C$1048576,Location_Summary!C64,'Element wise-detail Summary'!$D$3:$D$1048576,Location_Summary!A64)</f>
        <v>4</v>
      </c>
      <c r="F64" s="22" t="str">
        <f>SUMIFS('Element wise-detail Summary'!$G$3:$G$1048576,'Element wise-detail Summary'!$B$3:$B$1048576,Location_Summary!$B64,'Element wise-detail Summary'!$C$3:$C$1048576,Location_Summary!C64,'Element wise-detail Summary'!$D$3:$D$1048576,Location_Summary!A64)</f>
        <v>0</v>
      </c>
      <c r="G64" s="20" t="str">
        <f t="shared" si="1"/>
        <v>4</v>
      </c>
      <c r="H64" s="23" t="str">
        <f t="shared" si="2"/>
        <v>0%</v>
      </c>
      <c r="I64" s="22" t="str">
        <f>SUMIFS('Element wise-detail Summary'!$I$3:$I$1048576,'Element wise-detail Summary'!$B$3:$B$1048576,B64,'Element wise-detail Summary'!$C$3:$C$1048576,C64,'Element wise-detail Summary'!$D$3:$D$1048576,Location_Summary!A64)</f>
        <v>0</v>
      </c>
      <c r="J64" s="20" t="str">
        <f t="shared" si="3"/>
        <v>4</v>
      </c>
      <c r="K64" s="24" t="str">
        <f t="shared" si="4"/>
        <v>0%</v>
      </c>
      <c r="L64" s="25" t="str">
        <f t="shared" si="5"/>
        <v>0</v>
      </c>
      <c r="M64" s="22" t="str">
        <f>SUMIFS('Element wise-detail Summary'!$M$3:$M$1048576,'Element wise-detail Summary'!$B$3:$B$1048576,B64,'Element wise-detail Summary'!$C$3:$C$1048576,C64,'Element wise-detail Summary'!$D$3:$D$1048576,Location_Summary!A64)</f>
        <v>0</v>
      </c>
      <c r="N64" s="20" t="str">
        <f t="shared" si="6"/>
        <v>4</v>
      </c>
      <c r="O64" s="24" t="str">
        <f t="shared" si="7"/>
        <v>0%</v>
      </c>
      <c r="P64" s="118"/>
      <c r="Q64" s="27" t="str">
        <f t="shared" si="8"/>
        <v>0</v>
      </c>
      <c r="R64" s="27"/>
    </row>
    <row r="65" ht="24.75" customHeight="1">
      <c r="A65" s="18" t="s">
        <v>2817</v>
      </c>
      <c r="B65" s="19" t="s">
        <v>158</v>
      </c>
      <c r="C65" s="19" t="s">
        <v>166</v>
      </c>
      <c r="D65" s="20" t="str">
        <f>SUMIFS('Element wise-detail Summary'!F:F,'Element wise-detail Summary'!B:B,Location_Summary!B65,'Element wise-detail Summary'!C:C,Location_Summary!C65,'Element wise-detail Summary'!D:D,Location_Summary!A65)</f>
        <v>4</v>
      </c>
      <c r="E65" s="117" t="str">
        <f>SUMIFS('Element wise-detail Summary'!$F$3:$F$1048576,'Element wise-detail Summary'!$B$3:$B$1048576,Location_Summary!$B65,'Element wise-detail Summary'!$C$3:$C$1048576,Location_Summary!C65,'Element wise-detail Summary'!$D$3:$D$1048576,Location_Summary!A65)</f>
        <v>4</v>
      </c>
      <c r="F65" s="22" t="str">
        <f>SUMIFS('Element wise-detail Summary'!$G$3:$G$1048576,'Element wise-detail Summary'!$B$3:$B$1048576,Location_Summary!$B65,'Element wise-detail Summary'!$C$3:$C$1048576,Location_Summary!C65,'Element wise-detail Summary'!$D$3:$D$1048576,Location_Summary!A65)</f>
        <v>0</v>
      </c>
      <c r="G65" s="20" t="str">
        <f t="shared" si="1"/>
        <v>4</v>
      </c>
      <c r="H65" s="23" t="str">
        <f t="shared" si="2"/>
        <v>0%</v>
      </c>
      <c r="I65" s="22" t="str">
        <f>SUMIFS('Element wise-detail Summary'!$I$3:$I$1048576,'Element wise-detail Summary'!$B$3:$B$1048576,B65,'Element wise-detail Summary'!$C$3:$C$1048576,C65,'Element wise-detail Summary'!$D$3:$D$1048576,Location_Summary!A65)</f>
        <v>0</v>
      </c>
      <c r="J65" s="20" t="str">
        <f t="shared" si="3"/>
        <v>4</v>
      </c>
      <c r="K65" s="24" t="str">
        <f t="shared" si="4"/>
        <v>0%</v>
      </c>
      <c r="L65" s="25" t="str">
        <f t="shared" si="5"/>
        <v>0</v>
      </c>
      <c r="M65" s="22" t="str">
        <f>SUMIFS('Element wise-detail Summary'!$M$3:$M$1048576,'Element wise-detail Summary'!$B$3:$B$1048576,B65,'Element wise-detail Summary'!$C$3:$C$1048576,C65,'Element wise-detail Summary'!$D$3:$D$1048576,Location_Summary!A65)</f>
        <v>0</v>
      </c>
      <c r="N65" s="20" t="str">
        <f t="shared" si="6"/>
        <v>4</v>
      </c>
      <c r="O65" s="24" t="str">
        <f t="shared" si="7"/>
        <v>0%</v>
      </c>
      <c r="P65" s="118"/>
      <c r="Q65" s="27" t="str">
        <f t="shared" si="8"/>
        <v>0</v>
      </c>
      <c r="R65" s="27"/>
    </row>
    <row r="66" ht="24.75" customHeight="1">
      <c r="A66" s="18" t="s">
        <v>2817</v>
      </c>
      <c r="B66" s="19" t="s">
        <v>158</v>
      </c>
      <c r="C66" s="19" t="s">
        <v>167</v>
      </c>
      <c r="D66" s="20" t="str">
        <f>SUMIFS('Element wise-detail Summary'!F:F,'Element wise-detail Summary'!B:B,Location_Summary!B66,'Element wise-detail Summary'!C:C,Location_Summary!C66,'Element wise-detail Summary'!D:D,Location_Summary!A66)</f>
        <v>4</v>
      </c>
      <c r="E66" s="117" t="str">
        <f>SUMIFS('Element wise-detail Summary'!$F$3:$F$1048576,'Element wise-detail Summary'!$B$3:$B$1048576,Location_Summary!$B66,'Element wise-detail Summary'!$C$3:$C$1048576,Location_Summary!C66,'Element wise-detail Summary'!$D$3:$D$1048576,Location_Summary!A66)</f>
        <v>4</v>
      </c>
      <c r="F66" s="22" t="str">
        <f>SUMIFS('Element wise-detail Summary'!$G$3:$G$1048576,'Element wise-detail Summary'!$B$3:$B$1048576,Location_Summary!$B66,'Element wise-detail Summary'!$C$3:$C$1048576,Location_Summary!C66,'Element wise-detail Summary'!$D$3:$D$1048576,Location_Summary!A66)</f>
        <v>0</v>
      </c>
      <c r="G66" s="20" t="str">
        <f t="shared" si="1"/>
        <v>4</v>
      </c>
      <c r="H66" s="23" t="str">
        <f t="shared" si="2"/>
        <v>0%</v>
      </c>
      <c r="I66" s="22" t="str">
        <f>SUMIFS('Element wise-detail Summary'!$I$3:$I$1048576,'Element wise-detail Summary'!$B$3:$B$1048576,B66,'Element wise-detail Summary'!$C$3:$C$1048576,C66,'Element wise-detail Summary'!$D$3:$D$1048576,Location_Summary!A66)</f>
        <v>0</v>
      </c>
      <c r="J66" s="20" t="str">
        <f t="shared" si="3"/>
        <v>4</v>
      </c>
      <c r="K66" s="24" t="str">
        <f t="shared" si="4"/>
        <v>0%</v>
      </c>
      <c r="L66" s="25" t="str">
        <f t="shared" si="5"/>
        <v>0</v>
      </c>
      <c r="M66" s="22" t="str">
        <f>SUMIFS('Element wise-detail Summary'!$M$3:$M$1048576,'Element wise-detail Summary'!$B$3:$B$1048576,B66,'Element wise-detail Summary'!$C$3:$C$1048576,C66,'Element wise-detail Summary'!$D$3:$D$1048576,Location_Summary!A66)</f>
        <v>0</v>
      </c>
      <c r="N66" s="20" t="str">
        <f t="shared" si="6"/>
        <v>4</v>
      </c>
      <c r="O66" s="24" t="str">
        <f t="shared" si="7"/>
        <v>0%</v>
      </c>
      <c r="P66" s="118"/>
      <c r="Q66" s="27" t="str">
        <f t="shared" si="8"/>
        <v>0</v>
      </c>
      <c r="R66" s="27"/>
    </row>
    <row r="67" ht="24.75" customHeight="1">
      <c r="A67" s="18" t="s">
        <v>2817</v>
      </c>
      <c r="B67" s="19" t="s">
        <v>158</v>
      </c>
      <c r="C67" s="19" t="s">
        <v>168</v>
      </c>
      <c r="D67" s="20" t="str">
        <f>SUMIFS('Element wise-detail Summary'!F:F,'Element wise-detail Summary'!B:B,Location_Summary!B67,'Element wise-detail Summary'!C:C,Location_Summary!C67,'Element wise-detail Summary'!D:D,Location_Summary!A67)</f>
        <v>4</v>
      </c>
      <c r="E67" s="117" t="str">
        <f>SUMIFS('Element wise-detail Summary'!$F$3:$F$1048576,'Element wise-detail Summary'!$B$3:$B$1048576,Location_Summary!$B67,'Element wise-detail Summary'!$C$3:$C$1048576,Location_Summary!C67,'Element wise-detail Summary'!$D$3:$D$1048576,Location_Summary!A67)</f>
        <v>4</v>
      </c>
      <c r="F67" s="22" t="str">
        <f>SUMIFS('Element wise-detail Summary'!$G$3:$G$1048576,'Element wise-detail Summary'!$B$3:$B$1048576,Location_Summary!$B67,'Element wise-detail Summary'!$C$3:$C$1048576,Location_Summary!C67,'Element wise-detail Summary'!$D$3:$D$1048576,Location_Summary!A67)</f>
        <v>0</v>
      </c>
      <c r="G67" s="20" t="str">
        <f t="shared" si="1"/>
        <v>4</v>
      </c>
      <c r="H67" s="23" t="str">
        <f t="shared" si="2"/>
        <v>0%</v>
      </c>
      <c r="I67" s="22" t="str">
        <f>SUMIFS('Element wise-detail Summary'!$I$3:$I$1048576,'Element wise-detail Summary'!$B$3:$B$1048576,B67,'Element wise-detail Summary'!$C$3:$C$1048576,C67,'Element wise-detail Summary'!$D$3:$D$1048576,Location_Summary!A67)</f>
        <v>0</v>
      </c>
      <c r="J67" s="20" t="str">
        <f t="shared" si="3"/>
        <v>4</v>
      </c>
      <c r="K67" s="24" t="str">
        <f t="shared" si="4"/>
        <v>0%</v>
      </c>
      <c r="L67" s="25" t="str">
        <f t="shared" si="5"/>
        <v>0</v>
      </c>
      <c r="M67" s="22" t="str">
        <f>SUMIFS('Element wise-detail Summary'!$M$3:$M$1048576,'Element wise-detail Summary'!$B$3:$B$1048576,B67,'Element wise-detail Summary'!$C$3:$C$1048576,C67,'Element wise-detail Summary'!$D$3:$D$1048576,Location_Summary!A67)</f>
        <v>0</v>
      </c>
      <c r="N67" s="20" t="str">
        <f t="shared" si="6"/>
        <v>4</v>
      </c>
      <c r="O67" s="24" t="str">
        <f t="shared" si="7"/>
        <v>0%</v>
      </c>
      <c r="P67" s="118"/>
      <c r="Q67" s="27" t="str">
        <f t="shared" si="8"/>
        <v>0</v>
      </c>
      <c r="R67" s="27"/>
    </row>
    <row r="68" ht="24.75" customHeight="1">
      <c r="A68" s="18" t="s">
        <v>2817</v>
      </c>
      <c r="B68" s="19" t="s">
        <v>158</v>
      </c>
      <c r="C68" s="19" t="s">
        <v>169</v>
      </c>
      <c r="D68" s="20" t="str">
        <f>SUMIFS('Element wise-detail Summary'!F:F,'Element wise-detail Summary'!B:B,Location_Summary!B68,'Element wise-detail Summary'!C:C,Location_Summary!C68,'Element wise-detail Summary'!D:D,Location_Summary!A68)</f>
        <v>4</v>
      </c>
      <c r="E68" s="117" t="str">
        <f>SUMIFS('Element wise-detail Summary'!$F$3:$F$1048576,'Element wise-detail Summary'!$B$3:$B$1048576,Location_Summary!$B68,'Element wise-detail Summary'!$C$3:$C$1048576,Location_Summary!C68,'Element wise-detail Summary'!$D$3:$D$1048576,Location_Summary!A68)</f>
        <v>4</v>
      </c>
      <c r="F68" s="22" t="str">
        <f>SUMIFS('Element wise-detail Summary'!$G$3:$G$1048576,'Element wise-detail Summary'!$B$3:$B$1048576,Location_Summary!$B68,'Element wise-detail Summary'!$C$3:$C$1048576,Location_Summary!C68,'Element wise-detail Summary'!$D$3:$D$1048576,Location_Summary!A68)</f>
        <v>0</v>
      </c>
      <c r="G68" s="20" t="str">
        <f t="shared" si="1"/>
        <v>4</v>
      </c>
      <c r="H68" s="23" t="str">
        <f t="shared" si="2"/>
        <v>0%</v>
      </c>
      <c r="I68" s="22" t="str">
        <f>SUMIFS('Element wise-detail Summary'!$I$3:$I$1048576,'Element wise-detail Summary'!$B$3:$B$1048576,B68,'Element wise-detail Summary'!$C$3:$C$1048576,C68,'Element wise-detail Summary'!$D$3:$D$1048576,Location_Summary!A68)</f>
        <v>0</v>
      </c>
      <c r="J68" s="20" t="str">
        <f t="shared" si="3"/>
        <v>4</v>
      </c>
      <c r="K68" s="24" t="str">
        <f t="shared" si="4"/>
        <v>0%</v>
      </c>
      <c r="L68" s="25" t="str">
        <f t="shared" si="5"/>
        <v>0</v>
      </c>
      <c r="M68" s="22" t="str">
        <f>SUMIFS('Element wise-detail Summary'!$M$3:$M$1048576,'Element wise-detail Summary'!$B$3:$B$1048576,B68,'Element wise-detail Summary'!$C$3:$C$1048576,C68,'Element wise-detail Summary'!$D$3:$D$1048576,Location_Summary!A68)</f>
        <v>0</v>
      </c>
      <c r="N68" s="20" t="str">
        <f t="shared" si="6"/>
        <v>4</v>
      </c>
      <c r="O68" s="24" t="str">
        <f t="shared" si="7"/>
        <v>0%</v>
      </c>
      <c r="P68" s="118"/>
      <c r="Q68" s="27" t="str">
        <f t="shared" si="8"/>
        <v>0</v>
      </c>
      <c r="R68" s="27"/>
    </row>
    <row r="69" ht="24.75" customHeight="1">
      <c r="A69" s="18" t="s">
        <v>2817</v>
      </c>
      <c r="B69" s="19" t="s">
        <v>158</v>
      </c>
      <c r="C69" s="19" t="s">
        <v>170</v>
      </c>
      <c r="D69" s="20" t="str">
        <f>SUMIFS('Element wise-detail Summary'!F:F,'Element wise-detail Summary'!B:B,Location_Summary!B69,'Element wise-detail Summary'!C:C,Location_Summary!C69,'Element wise-detail Summary'!D:D,Location_Summary!A69)</f>
        <v>4</v>
      </c>
      <c r="E69" s="117" t="str">
        <f>SUMIFS('Element wise-detail Summary'!$F$3:$F$1048576,'Element wise-detail Summary'!$B$3:$B$1048576,Location_Summary!$B69,'Element wise-detail Summary'!$C$3:$C$1048576,Location_Summary!C69,'Element wise-detail Summary'!$D$3:$D$1048576,Location_Summary!A69)</f>
        <v>4</v>
      </c>
      <c r="F69" s="22" t="str">
        <f>SUMIFS('Element wise-detail Summary'!$G$3:$G$1048576,'Element wise-detail Summary'!$B$3:$B$1048576,Location_Summary!$B69,'Element wise-detail Summary'!$C$3:$C$1048576,Location_Summary!C69,'Element wise-detail Summary'!$D$3:$D$1048576,Location_Summary!A69)</f>
        <v>0</v>
      </c>
      <c r="G69" s="20" t="str">
        <f t="shared" si="1"/>
        <v>4</v>
      </c>
      <c r="H69" s="23" t="str">
        <f t="shared" si="2"/>
        <v>0%</v>
      </c>
      <c r="I69" s="22" t="str">
        <f>SUMIFS('Element wise-detail Summary'!$I$3:$I$1048576,'Element wise-detail Summary'!$B$3:$B$1048576,B69,'Element wise-detail Summary'!$C$3:$C$1048576,C69,'Element wise-detail Summary'!$D$3:$D$1048576,Location_Summary!A69)</f>
        <v>0</v>
      </c>
      <c r="J69" s="20" t="str">
        <f t="shared" si="3"/>
        <v>4</v>
      </c>
      <c r="K69" s="24" t="str">
        <f t="shared" si="4"/>
        <v>0%</v>
      </c>
      <c r="L69" s="25" t="str">
        <f t="shared" si="5"/>
        <v>0</v>
      </c>
      <c r="M69" s="22" t="str">
        <f>SUMIFS('Element wise-detail Summary'!$M$3:$M$1048576,'Element wise-detail Summary'!$B$3:$B$1048576,B69,'Element wise-detail Summary'!$C$3:$C$1048576,C69,'Element wise-detail Summary'!$D$3:$D$1048576,Location_Summary!A69)</f>
        <v>0</v>
      </c>
      <c r="N69" s="20" t="str">
        <f t="shared" si="6"/>
        <v>4</v>
      </c>
      <c r="O69" s="24" t="str">
        <f t="shared" si="7"/>
        <v>0%</v>
      </c>
      <c r="P69" s="118"/>
      <c r="Q69" s="27" t="str">
        <f t="shared" si="8"/>
        <v>0</v>
      </c>
      <c r="R69" s="27"/>
    </row>
    <row r="70" ht="24.75" customHeight="1">
      <c r="A70" s="18" t="s">
        <v>2817</v>
      </c>
      <c r="B70" s="19" t="s">
        <v>158</v>
      </c>
      <c r="C70" s="19" t="s">
        <v>171</v>
      </c>
      <c r="D70" s="20" t="str">
        <f>SUMIFS('Element wise-detail Summary'!F:F,'Element wise-detail Summary'!B:B,Location_Summary!B70,'Element wise-detail Summary'!C:C,Location_Summary!C70,'Element wise-detail Summary'!D:D,Location_Summary!A70)</f>
        <v>4</v>
      </c>
      <c r="E70" s="117" t="str">
        <f>SUMIFS('Element wise-detail Summary'!$F$3:$F$1048576,'Element wise-detail Summary'!$B$3:$B$1048576,Location_Summary!$B70,'Element wise-detail Summary'!$C$3:$C$1048576,Location_Summary!C70,'Element wise-detail Summary'!$D$3:$D$1048576,Location_Summary!A70)</f>
        <v>4</v>
      </c>
      <c r="F70" s="22" t="str">
        <f>SUMIFS('Element wise-detail Summary'!$G$3:$G$1048576,'Element wise-detail Summary'!$B$3:$B$1048576,Location_Summary!$B70,'Element wise-detail Summary'!$C$3:$C$1048576,Location_Summary!C70,'Element wise-detail Summary'!$D$3:$D$1048576,Location_Summary!A70)</f>
        <v>1</v>
      </c>
      <c r="G70" s="20" t="str">
        <f t="shared" si="1"/>
        <v>3</v>
      </c>
      <c r="H70" s="23" t="str">
        <f t="shared" si="2"/>
        <v>25%</v>
      </c>
      <c r="I70" s="22" t="str">
        <f>SUMIFS('Element wise-detail Summary'!$I$3:$I$1048576,'Element wise-detail Summary'!$B$3:$B$1048576,B70,'Element wise-detail Summary'!$C$3:$C$1048576,C70,'Element wise-detail Summary'!$D$3:$D$1048576,Location_Summary!A70)</f>
        <v>0</v>
      </c>
      <c r="J70" s="20" t="str">
        <f t="shared" si="3"/>
        <v>4</v>
      </c>
      <c r="K70" s="24" t="str">
        <f t="shared" si="4"/>
        <v>0%</v>
      </c>
      <c r="L70" s="25" t="str">
        <f t="shared" si="5"/>
        <v>1</v>
      </c>
      <c r="M70" s="22" t="str">
        <f>SUMIFS('Element wise-detail Summary'!$M$3:$M$1048576,'Element wise-detail Summary'!$B$3:$B$1048576,B70,'Element wise-detail Summary'!$C$3:$C$1048576,C70,'Element wise-detail Summary'!$D$3:$D$1048576,Location_Summary!A70)</f>
        <v>0</v>
      </c>
      <c r="N70" s="20" t="str">
        <f t="shared" si="6"/>
        <v>4</v>
      </c>
      <c r="O70" s="24" t="str">
        <f t="shared" si="7"/>
        <v>0%</v>
      </c>
      <c r="P70" s="118"/>
      <c r="Q70" s="27" t="str">
        <f t="shared" si="8"/>
        <v>0</v>
      </c>
      <c r="R70" s="27"/>
    </row>
    <row r="71" ht="24.75" customHeight="1">
      <c r="A71" s="18" t="s">
        <v>2817</v>
      </c>
      <c r="B71" s="19" t="s">
        <v>158</v>
      </c>
      <c r="C71" s="19" t="s">
        <v>172</v>
      </c>
      <c r="D71" s="20" t="str">
        <f>SUMIFS('Element wise-detail Summary'!F:F,'Element wise-detail Summary'!B:B,Location_Summary!B71,'Element wise-detail Summary'!C:C,Location_Summary!C71,'Element wise-detail Summary'!D:D,Location_Summary!A71)</f>
        <v>5</v>
      </c>
      <c r="E71" s="117" t="str">
        <f>SUMIFS('Element wise-detail Summary'!$F$3:$F$1048576,'Element wise-detail Summary'!$B$3:$B$1048576,Location_Summary!$B71,'Element wise-detail Summary'!$C$3:$C$1048576,Location_Summary!C71,'Element wise-detail Summary'!$D$3:$D$1048576,Location_Summary!A71)</f>
        <v>5</v>
      </c>
      <c r="F71" s="22" t="str">
        <f>SUMIFS('Element wise-detail Summary'!$G$3:$G$1048576,'Element wise-detail Summary'!$B$3:$B$1048576,Location_Summary!$B71,'Element wise-detail Summary'!$C$3:$C$1048576,Location_Summary!C71,'Element wise-detail Summary'!$D$3:$D$1048576,Location_Summary!A71)</f>
        <v>0</v>
      </c>
      <c r="G71" s="20" t="str">
        <f t="shared" si="1"/>
        <v>5</v>
      </c>
      <c r="H71" s="23" t="str">
        <f t="shared" si="2"/>
        <v>0%</v>
      </c>
      <c r="I71" s="22" t="str">
        <f>SUMIFS('Element wise-detail Summary'!$I$3:$I$1048576,'Element wise-detail Summary'!$B$3:$B$1048576,B71,'Element wise-detail Summary'!$C$3:$C$1048576,C71,'Element wise-detail Summary'!$D$3:$D$1048576,Location_Summary!A71)</f>
        <v>0</v>
      </c>
      <c r="J71" s="20" t="str">
        <f t="shared" si="3"/>
        <v>5</v>
      </c>
      <c r="K71" s="24" t="str">
        <f t="shared" si="4"/>
        <v>0%</v>
      </c>
      <c r="L71" s="25" t="str">
        <f t="shared" si="5"/>
        <v>0</v>
      </c>
      <c r="M71" s="22" t="str">
        <f>SUMIFS('Element wise-detail Summary'!$M$3:$M$1048576,'Element wise-detail Summary'!$B$3:$B$1048576,B71,'Element wise-detail Summary'!$C$3:$C$1048576,C71,'Element wise-detail Summary'!$D$3:$D$1048576,Location_Summary!A71)</f>
        <v>0</v>
      </c>
      <c r="N71" s="20" t="str">
        <f t="shared" si="6"/>
        <v>5</v>
      </c>
      <c r="O71" s="24" t="str">
        <f t="shared" si="7"/>
        <v>0%</v>
      </c>
      <c r="P71" s="118"/>
      <c r="Q71" s="27" t="str">
        <f t="shared" si="8"/>
        <v>0</v>
      </c>
      <c r="R71" s="27"/>
    </row>
    <row r="72" ht="24.75" customHeight="1">
      <c r="A72" s="18" t="s">
        <v>2817</v>
      </c>
      <c r="B72" s="19" t="s">
        <v>158</v>
      </c>
      <c r="C72" s="19" t="s">
        <v>173</v>
      </c>
      <c r="D72" s="20" t="str">
        <f>SUMIFS('Element wise-detail Summary'!F:F,'Element wise-detail Summary'!B:B,Location_Summary!B72,'Element wise-detail Summary'!C:C,Location_Summary!C72,'Element wise-detail Summary'!D:D,Location_Summary!A72)</f>
        <v>4</v>
      </c>
      <c r="E72" s="117" t="str">
        <f>SUMIFS('Element wise-detail Summary'!$F$3:$F$1048576,'Element wise-detail Summary'!$B$3:$B$1048576,Location_Summary!$B72,'Element wise-detail Summary'!$C$3:$C$1048576,Location_Summary!C72,'Element wise-detail Summary'!$D$3:$D$1048576,Location_Summary!A72)</f>
        <v>4</v>
      </c>
      <c r="F72" s="22" t="str">
        <f>SUMIFS('Element wise-detail Summary'!$G$3:$G$1048576,'Element wise-detail Summary'!$B$3:$B$1048576,Location_Summary!$B72,'Element wise-detail Summary'!$C$3:$C$1048576,Location_Summary!C72,'Element wise-detail Summary'!$D$3:$D$1048576,Location_Summary!A72)</f>
        <v>0</v>
      </c>
      <c r="G72" s="20" t="str">
        <f t="shared" si="1"/>
        <v>4</v>
      </c>
      <c r="H72" s="23" t="str">
        <f t="shared" si="2"/>
        <v>0%</v>
      </c>
      <c r="I72" s="22" t="str">
        <f>SUMIFS('Element wise-detail Summary'!$I$3:$I$1048576,'Element wise-detail Summary'!$B$3:$B$1048576,B72,'Element wise-detail Summary'!$C$3:$C$1048576,C72,'Element wise-detail Summary'!$D$3:$D$1048576,Location_Summary!A72)</f>
        <v>0</v>
      </c>
      <c r="J72" s="20" t="str">
        <f t="shared" si="3"/>
        <v>4</v>
      </c>
      <c r="K72" s="24" t="str">
        <f t="shared" si="4"/>
        <v>0%</v>
      </c>
      <c r="L72" s="25" t="str">
        <f t="shared" si="5"/>
        <v>0</v>
      </c>
      <c r="M72" s="22" t="str">
        <f>SUMIFS('Element wise-detail Summary'!$M$3:$M$1048576,'Element wise-detail Summary'!$B$3:$B$1048576,B72,'Element wise-detail Summary'!$C$3:$C$1048576,C72,'Element wise-detail Summary'!$D$3:$D$1048576,Location_Summary!A72)</f>
        <v>0</v>
      </c>
      <c r="N72" s="20" t="str">
        <f t="shared" si="6"/>
        <v>4</v>
      </c>
      <c r="O72" s="24" t="str">
        <f t="shared" si="7"/>
        <v>0%</v>
      </c>
      <c r="P72" s="118"/>
      <c r="Q72" s="27" t="str">
        <f t="shared" si="8"/>
        <v>0</v>
      </c>
      <c r="R72" s="27"/>
    </row>
    <row r="73" ht="15.75" customHeight="1">
      <c r="A73" s="18"/>
      <c r="B73" s="19"/>
      <c r="C73" s="19"/>
      <c r="D73" s="19"/>
      <c r="E73" s="119"/>
      <c r="F73" s="18"/>
      <c r="G73" s="19"/>
      <c r="H73" s="120"/>
      <c r="I73" s="18"/>
      <c r="J73" s="19"/>
      <c r="K73" s="120"/>
      <c r="L73" s="121"/>
      <c r="M73" s="18"/>
      <c r="N73" s="19"/>
      <c r="O73" s="120"/>
      <c r="P73" s="118"/>
    </row>
    <row r="74" ht="24.75" customHeight="1">
      <c r="A74" s="18" t="s">
        <v>2818</v>
      </c>
      <c r="B74" s="19" t="s">
        <v>18</v>
      </c>
      <c r="C74" s="19" t="s">
        <v>19</v>
      </c>
      <c r="D74" s="20" t="str">
        <f>SUMIFS('Element wise-detail Summary'!F:F,'Element wise-detail Summary'!B:B,Location_Summary!B74,'Element wise-detail Summary'!C:C,Location_Summary!C74,'Element wise-detail Summary'!D:D,Location_Summary!A74)</f>
        <v>0</v>
      </c>
      <c r="E74" s="117" t="str">
        <f>SUMIFS('Element wise-detail Summary'!$F$3:$F$1048576,'Element wise-detail Summary'!$B$3:$B$1048576,Location_Summary!$B74,'Element wise-detail Summary'!$C$3:$C$1048576,Location_Summary!C74,'Element wise-detail Summary'!$D$3:$D$1048576,Location_Summary!A74)</f>
        <v>0</v>
      </c>
      <c r="F74" s="22" t="str">
        <f>SUMIFS('Element wise-detail Summary'!$G$3:$G$1048576,'Element wise-detail Summary'!$B$3:$B$1048576,Location_Summary!$B74,'Element wise-detail Summary'!$C$3:$C$1048576,Location_Summary!C74,'Element wise-detail Summary'!$D$3:$D$1048576,Location_Summary!A74)</f>
        <v>0</v>
      </c>
      <c r="G74" s="20" t="str">
        <f t="shared" ref="G74:G140" si="9">E74-F74</f>
        <v>0</v>
      </c>
      <c r="H74" s="23" t="str">
        <f t="shared" ref="H74:H140" si="10">F74/D74</f>
        <v>#DIV/0!</v>
      </c>
      <c r="I74" s="22" t="str">
        <f>SUMIFS('Element wise-detail Summary'!$I$3:$I$1048576,'Element wise-detail Summary'!$B$3:$B$1048576,B74,'Element wise-detail Summary'!$C$3:$C$1048576,C74,'Element wise-detail Summary'!$D$3:$D$1048576,Location_Summary!A74)</f>
        <v>0</v>
      </c>
      <c r="J74" s="20" t="str">
        <f t="shared" ref="J74:J140" si="11">E74-I74</f>
        <v>0</v>
      </c>
      <c r="K74" s="24" t="str">
        <f t="shared" ref="K74:K140" si="12">I74/D74</f>
        <v>#DIV/0!</v>
      </c>
      <c r="L74" s="25" t="str">
        <f t="shared" ref="L74:L140" si="13">F74-I74</f>
        <v>0</v>
      </c>
      <c r="M74" s="22" t="str">
        <f>SUMIFS('Element wise-detail Summary'!$M$3:$M$1048576,'Element wise-detail Summary'!$B$3:$B$1048576,B74,'Element wise-detail Summary'!$C$3:$C$1048576,C74,'Element wise-detail Summary'!$D$3:$D$1048576,Location_Summary!A74)</f>
        <v>0</v>
      </c>
      <c r="N74" s="20" t="str">
        <f t="shared" ref="N74:N140" si="14">E74-M74</f>
        <v>0</v>
      </c>
      <c r="O74" s="24" t="str">
        <f t="shared" ref="O74:O140" si="15">M74/D74</f>
        <v>#DIV/0!</v>
      </c>
      <c r="P74" s="118"/>
      <c r="Q74" s="27" t="str">
        <f t="shared" ref="Q74:Q140" si="16">+D74-E74</f>
        <v>0</v>
      </c>
      <c r="R74" s="27"/>
    </row>
    <row r="75" ht="24.75" customHeight="1">
      <c r="A75" s="18" t="s">
        <v>2818</v>
      </c>
      <c r="B75" s="19" t="s">
        <v>18</v>
      </c>
      <c r="C75" s="19" t="s">
        <v>21</v>
      </c>
      <c r="D75" s="20" t="str">
        <f>SUMIFS('Element wise-detail Summary'!F:F,'Element wise-detail Summary'!B:B,Location_Summary!B75,'Element wise-detail Summary'!C:C,Location_Summary!C75,'Element wise-detail Summary'!D:D,Location_Summary!A75)</f>
        <v>0</v>
      </c>
      <c r="E75" s="117" t="str">
        <f>SUMIFS('Element wise-detail Summary'!$F$3:$F$1048576,'Element wise-detail Summary'!$B$3:$B$1048576,Location_Summary!$B75,'Element wise-detail Summary'!$C$3:$C$1048576,Location_Summary!C75,'Element wise-detail Summary'!$D$3:$D$1048576,Location_Summary!A75)</f>
        <v>0</v>
      </c>
      <c r="F75" s="22" t="str">
        <f>SUMIFS('Element wise-detail Summary'!$G$3:$G$1048576,'Element wise-detail Summary'!$B$3:$B$1048576,Location_Summary!$B75,'Element wise-detail Summary'!$C$3:$C$1048576,Location_Summary!C75,'Element wise-detail Summary'!$D$3:$D$1048576,Location_Summary!A75)</f>
        <v>0</v>
      </c>
      <c r="G75" s="20" t="str">
        <f t="shared" si="9"/>
        <v>0</v>
      </c>
      <c r="H75" s="23" t="str">
        <f t="shared" si="10"/>
        <v>#DIV/0!</v>
      </c>
      <c r="I75" s="22" t="str">
        <f>SUMIFS('Element wise-detail Summary'!$I$3:$I$1048576,'Element wise-detail Summary'!$B$3:$B$1048576,B75,'Element wise-detail Summary'!$C$3:$C$1048576,C75,'Element wise-detail Summary'!$D$3:$D$1048576,Location_Summary!A75)</f>
        <v>0</v>
      </c>
      <c r="J75" s="20" t="str">
        <f t="shared" si="11"/>
        <v>0</v>
      </c>
      <c r="K75" s="24" t="str">
        <f t="shared" si="12"/>
        <v>#DIV/0!</v>
      </c>
      <c r="L75" s="25" t="str">
        <f t="shared" si="13"/>
        <v>0</v>
      </c>
      <c r="M75" s="22" t="str">
        <f>SUMIFS('Element wise-detail Summary'!$M$3:$M$1048576,'Element wise-detail Summary'!$B$3:$B$1048576,B75,'Element wise-detail Summary'!$C$3:$C$1048576,C75,'Element wise-detail Summary'!$D$3:$D$1048576,Location_Summary!A75)</f>
        <v>0</v>
      </c>
      <c r="N75" s="20" t="str">
        <f t="shared" si="14"/>
        <v>0</v>
      </c>
      <c r="O75" s="24" t="str">
        <f t="shared" si="15"/>
        <v>#DIV/0!</v>
      </c>
      <c r="P75" s="118"/>
      <c r="Q75" s="27" t="str">
        <f t="shared" si="16"/>
        <v>0</v>
      </c>
      <c r="R75" s="27"/>
    </row>
    <row r="76" ht="24.75" customHeight="1">
      <c r="A76" s="18" t="s">
        <v>2818</v>
      </c>
      <c r="B76" s="19" t="s">
        <v>18</v>
      </c>
      <c r="C76" s="19" t="s">
        <v>22</v>
      </c>
      <c r="D76" s="20" t="str">
        <f>SUMIFS('Element wise-detail Summary'!F:F,'Element wise-detail Summary'!B:B,Location_Summary!B76,'Element wise-detail Summary'!C:C,Location_Summary!C76,'Element wise-detail Summary'!D:D,Location_Summary!A76)</f>
        <v>0</v>
      </c>
      <c r="E76" s="117" t="str">
        <f>SUMIFS('Element wise-detail Summary'!$F$3:$F$1048576,'Element wise-detail Summary'!$B$3:$B$1048576,Location_Summary!$B76,'Element wise-detail Summary'!$C$3:$C$1048576,Location_Summary!C76,'Element wise-detail Summary'!$D$3:$D$1048576,Location_Summary!A76)</f>
        <v>0</v>
      </c>
      <c r="F76" s="22" t="str">
        <f>SUMIFS('Element wise-detail Summary'!$G$3:$G$1048576,'Element wise-detail Summary'!$B$3:$B$1048576,Location_Summary!$B76,'Element wise-detail Summary'!$C$3:$C$1048576,Location_Summary!C76,'Element wise-detail Summary'!$D$3:$D$1048576,Location_Summary!A76)</f>
        <v>0</v>
      </c>
      <c r="G76" s="20" t="str">
        <f t="shared" si="9"/>
        <v>0</v>
      </c>
      <c r="H76" s="23" t="str">
        <f t="shared" si="10"/>
        <v>#DIV/0!</v>
      </c>
      <c r="I76" s="22" t="str">
        <f>SUMIFS('Element wise-detail Summary'!$I$3:$I$1048576,'Element wise-detail Summary'!$B$3:$B$1048576,B76,'Element wise-detail Summary'!$C$3:$C$1048576,C76,'Element wise-detail Summary'!$D$3:$D$1048576,Location_Summary!A76)</f>
        <v>0</v>
      </c>
      <c r="J76" s="20" t="str">
        <f t="shared" si="11"/>
        <v>0</v>
      </c>
      <c r="K76" s="24" t="str">
        <f t="shared" si="12"/>
        <v>#DIV/0!</v>
      </c>
      <c r="L76" s="25" t="str">
        <f t="shared" si="13"/>
        <v>0</v>
      </c>
      <c r="M76" s="22" t="str">
        <f>SUMIFS('Element wise-detail Summary'!$M$3:$M$1048576,'Element wise-detail Summary'!$B$3:$B$1048576,B76,'Element wise-detail Summary'!$C$3:$C$1048576,C76,'Element wise-detail Summary'!$D$3:$D$1048576,Location_Summary!A76)</f>
        <v>0</v>
      </c>
      <c r="N76" s="20" t="str">
        <f t="shared" si="14"/>
        <v>0</v>
      </c>
      <c r="O76" s="24" t="str">
        <f t="shared" si="15"/>
        <v>#DIV/0!</v>
      </c>
      <c r="P76" s="118"/>
      <c r="Q76" s="27" t="str">
        <f t="shared" si="16"/>
        <v>0</v>
      </c>
      <c r="R76" s="27"/>
    </row>
    <row r="77" ht="24.75" customHeight="1">
      <c r="A77" s="18" t="s">
        <v>2818</v>
      </c>
      <c r="B77" s="19" t="s">
        <v>18</v>
      </c>
      <c r="C77" s="19" t="s">
        <v>24</v>
      </c>
      <c r="D77" s="20" t="str">
        <f>SUMIFS('Element wise-detail Summary'!F:F,'Element wise-detail Summary'!B:B,Location_Summary!B77,'Element wise-detail Summary'!C:C,Location_Summary!C77,'Element wise-detail Summary'!D:D,Location_Summary!A77)</f>
        <v>0</v>
      </c>
      <c r="E77" s="117" t="str">
        <f>SUMIFS('Element wise-detail Summary'!$F$3:$F$1048576,'Element wise-detail Summary'!$B$3:$B$1048576,Location_Summary!$B77,'Element wise-detail Summary'!$C$3:$C$1048576,Location_Summary!C77,'Element wise-detail Summary'!$D$3:$D$1048576,Location_Summary!A77)</f>
        <v>0</v>
      </c>
      <c r="F77" s="22" t="str">
        <f>SUMIFS('Element wise-detail Summary'!$G$3:$G$1048576,'Element wise-detail Summary'!$B$3:$B$1048576,Location_Summary!$B77,'Element wise-detail Summary'!$C$3:$C$1048576,Location_Summary!C77,'Element wise-detail Summary'!$D$3:$D$1048576,Location_Summary!A77)</f>
        <v>0</v>
      </c>
      <c r="G77" s="20" t="str">
        <f t="shared" si="9"/>
        <v>0</v>
      </c>
      <c r="H77" s="23" t="str">
        <f t="shared" si="10"/>
        <v>#DIV/0!</v>
      </c>
      <c r="I77" s="22" t="str">
        <f>SUMIFS('Element wise-detail Summary'!$I$3:$I$1048576,'Element wise-detail Summary'!$B$3:$B$1048576,B77,'Element wise-detail Summary'!$C$3:$C$1048576,C77,'Element wise-detail Summary'!$D$3:$D$1048576,Location_Summary!A77)</f>
        <v>0</v>
      </c>
      <c r="J77" s="20" t="str">
        <f t="shared" si="11"/>
        <v>0</v>
      </c>
      <c r="K77" s="24" t="str">
        <f t="shared" si="12"/>
        <v>#DIV/0!</v>
      </c>
      <c r="L77" s="25" t="str">
        <f t="shared" si="13"/>
        <v>0</v>
      </c>
      <c r="M77" s="22" t="str">
        <f>SUMIFS('Element wise-detail Summary'!$M$3:$M$1048576,'Element wise-detail Summary'!$B$3:$B$1048576,B77,'Element wise-detail Summary'!$C$3:$C$1048576,C77,'Element wise-detail Summary'!$D$3:$D$1048576,Location_Summary!A77)</f>
        <v>0</v>
      </c>
      <c r="N77" s="20" t="str">
        <f t="shared" si="14"/>
        <v>0</v>
      </c>
      <c r="O77" s="24" t="str">
        <f t="shared" si="15"/>
        <v>#DIV/0!</v>
      </c>
      <c r="P77" s="118"/>
      <c r="Q77" s="27" t="str">
        <f t="shared" si="16"/>
        <v>0</v>
      </c>
      <c r="R77" s="27"/>
    </row>
    <row r="78" ht="24.75" customHeight="1">
      <c r="A78" s="18" t="s">
        <v>2818</v>
      </c>
      <c r="B78" s="19" t="s">
        <v>18</v>
      </c>
      <c r="C78" s="19" t="s">
        <v>25</v>
      </c>
      <c r="D78" s="20" t="str">
        <f>SUMIFS('Element wise-detail Summary'!F:F,'Element wise-detail Summary'!B:B,Location_Summary!B78,'Element wise-detail Summary'!C:C,Location_Summary!C78,'Element wise-detail Summary'!D:D,Location_Summary!A78)</f>
        <v>0</v>
      </c>
      <c r="E78" s="117" t="str">
        <f>SUMIFS('Element wise-detail Summary'!$F$3:$F$1048576,'Element wise-detail Summary'!$B$3:$B$1048576,Location_Summary!$B78,'Element wise-detail Summary'!$C$3:$C$1048576,Location_Summary!C78,'Element wise-detail Summary'!$D$3:$D$1048576,Location_Summary!A78)</f>
        <v>0</v>
      </c>
      <c r="F78" s="22" t="str">
        <f>SUMIFS('Element wise-detail Summary'!$G$3:$G$1048576,'Element wise-detail Summary'!$B$3:$B$1048576,Location_Summary!$B78,'Element wise-detail Summary'!$C$3:$C$1048576,Location_Summary!C78,'Element wise-detail Summary'!$D$3:$D$1048576,Location_Summary!A78)</f>
        <v>0</v>
      </c>
      <c r="G78" s="20" t="str">
        <f t="shared" si="9"/>
        <v>0</v>
      </c>
      <c r="H78" s="23" t="str">
        <f t="shared" si="10"/>
        <v>#DIV/0!</v>
      </c>
      <c r="I78" s="22" t="str">
        <f>SUMIFS('Element wise-detail Summary'!$I$3:$I$1048576,'Element wise-detail Summary'!$B$3:$B$1048576,B78,'Element wise-detail Summary'!$C$3:$C$1048576,C78,'Element wise-detail Summary'!$D$3:$D$1048576,Location_Summary!A78)</f>
        <v>0</v>
      </c>
      <c r="J78" s="20" t="str">
        <f t="shared" si="11"/>
        <v>0</v>
      </c>
      <c r="K78" s="24" t="str">
        <f t="shared" si="12"/>
        <v>#DIV/0!</v>
      </c>
      <c r="L78" s="25" t="str">
        <f t="shared" si="13"/>
        <v>0</v>
      </c>
      <c r="M78" s="22" t="str">
        <f>SUMIFS('Element wise-detail Summary'!$M$3:$M$1048576,'Element wise-detail Summary'!$B$3:$B$1048576,B78,'Element wise-detail Summary'!$C$3:$C$1048576,C78,'Element wise-detail Summary'!$D$3:$D$1048576,Location_Summary!A78)</f>
        <v>0</v>
      </c>
      <c r="N78" s="20" t="str">
        <f t="shared" si="14"/>
        <v>0</v>
      </c>
      <c r="O78" s="24" t="str">
        <f t="shared" si="15"/>
        <v>#DIV/0!</v>
      </c>
      <c r="P78" s="118"/>
      <c r="Q78" s="27" t="str">
        <f t="shared" si="16"/>
        <v>0</v>
      </c>
      <c r="R78" s="27"/>
    </row>
    <row r="79" ht="24.75" customHeight="1">
      <c r="A79" s="18" t="s">
        <v>2818</v>
      </c>
      <c r="B79" s="19" t="s">
        <v>18</v>
      </c>
      <c r="C79" s="19" t="s">
        <v>26</v>
      </c>
      <c r="D79" s="20" t="str">
        <f>SUMIFS('Element wise-detail Summary'!F:F,'Element wise-detail Summary'!B:B,Location_Summary!B79,'Element wise-detail Summary'!C:C,Location_Summary!C79,'Element wise-detail Summary'!D:D,Location_Summary!A79)</f>
        <v>0</v>
      </c>
      <c r="E79" s="117" t="str">
        <f>SUMIFS('Element wise-detail Summary'!$F$3:$F$1048576,'Element wise-detail Summary'!$B$3:$B$1048576,Location_Summary!$B79,'Element wise-detail Summary'!$C$3:$C$1048576,Location_Summary!C79,'Element wise-detail Summary'!$D$3:$D$1048576,Location_Summary!A79)</f>
        <v>0</v>
      </c>
      <c r="F79" s="22" t="str">
        <f>SUMIFS('Element wise-detail Summary'!$G$3:$G$1048576,'Element wise-detail Summary'!$B$3:$B$1048576,Location_Summary!$B79,'Element wise-detail Summary'!$C$3:$C$1048576,Location_Summary!C79,'Element wise-detail Summary'!$D$3:$D$1048576,Location_Summary!A79)</f>
        <v>0</v>
      </c>
      <c r="G79" s="20" t="str">
        <f t="shared" si="9"/>
        <v>0</v>
      </c>
      <c r="H79" s="23" t="str">
        <f t="shared" si="10"/>
        <v>#DIV/0!</v>
      </c>
      <c r="I79" s="22" t="str">
        <f>SUMIFS('Element wise-detail Summary'!$I$3:$I$1048576,'Element wise-detail Summary'!$B$3:$B$1048576,B79,'Element wise-detail Summary'!$C$3:$C$1048576,C79,'Element wise-detail Summary'!$D$3:$D$1048576,Location_Summary!A79)</f>
        <v>0</v>
      </c>
      <c r="J79" s="20" t="str">
        <f t="shared" si="11"/>
        <v>0</v>
      </c>
      <c r="K79" s="24" t="str">
        <f t="shared" si="12"/>
        <v>#DIV/0!</v>
      </c>
      <c r="L79" s="25" t="str">
        <f t="shared" si="13"/>
        <v>0</v>
      </c>
      <c r="M79" s="22" t="str">
        <f>SUMIFS('Element wise-detail Summary'!$M$3:$M$1048576,'Element wise-detail Summary'!$B$3:$B$1048576,B79,'Element wise-detail Summary'!$C$3:$C$1048576,C79,'Element wise-detail Summary'!$D$3:$D$1048576,Location_Summary!A79)</f>
        <v>0</v>
      </c>
      <c r="N79" s="20" t="str">
        <f t="shared" si="14"/>
        <v>0</v>
      </c>
      <c r="O79" s="24" t="str">
        <f t="shared" si="15"/>
        <v>#DIV/0!</v>
      </c>
      <c r="P79" s="118"/>
      <c r="Q79" s="27" t="str">
        <f t="shared" si="16"/>
        <v>0</v>
      </c>
      <c r="R79" s="27"/>
    </row>
    <row r="80" ht="24.75" customHeight="1">
      <c r="A80" s="18" t="s">
        <v>2818</v>
      </c>
      <c r="B80" s="19" t="s">
        <v>18</v>
      </c>
      <c r="C80" s="19" t="s">
        <v>28</v>
      </c>
      <c r="D80" s="20" t="str">
        <f>SUMIFS('Element wise-detail Summary'!F:F,'Element wise-detail Summary'!B:B,Location_Summary!B80,'Element wise-detail Summary'!C:C,Location_Summary!C80,'Element wise-detail Summary'!D:D,Location_Summary!A80)</f>
        <v>0</v>
      </c>
      <c r="E80" s="117" t="str">
        <f>SUMIFS('Element wise-detail Summary'!$F$3:$F$1048576,'Element wise-detail Summary'!$B$3:$B$1048576,Location_Summary!$B80,'Element wise-detail Summary'!$C$3:$C$1048576,Location_Summary!C80,'Element wise-detail Summary'!$D$3:$D$1048576,Location_Summary!A80)</f>
        <v>0</v>
      </c>
      <c r="F80" s="22" t="str">
        <f>SUMIFS('Element wise-detail Summary'!$G$3:$G$1048576,'Element wise-detail Summary'!$B$3:$B$1048576,Location_Summary!$B80,'Element wise-detail Summary'!$C$3:$C$1048576,Location_Summary!C80,'Element wise-detail Summary'!$D$3:$D$1048576,Location_Summary!A80)</f>
        <v>0</v>
      </c>
      <c r="G80" s="20" t="str">
        <f t="shared" si="9"/>
        <v>0</v>
      </c>
      <c r="H80" s="23" t="str">
        <f t="shared" si="10"/>
        <v>#DIV/0!</v>
      </c>
      <c r="I80" s="22" t="str">
        <f>SUMIFS('Element wise-detail Summary'!$I$3:$I$1048576,'Element wise-detail Summary'!$B$3:$B$1048576,B80,'Element wise-detail Summary'!$C$3:$C$1048576,C80,'Element wise-detail Summary'!$D$3:$D$1048576,Location_Summary!A80)</f>
        <v>0</v>
      </c>
      <c r="J80" s="20" t="str">
        <f t="shared" si="11"/>
        <v>0</v>
      </c>
      <c r="K80" s="24" t="str">
        <f t="shared" si="12"/>
        <v>#DIV/0!</v>
      </c>
      <c r="L80" s="25" t="str">
        <f t="shared" si="13"/>
        <v>0</v>
      </c>
      <c r="M80" s="22" t="str">
        <f>SUMIFS('Element wise-detail Summary'!$M$3:$M$1048576,'Element wise-detail Summary'!$B$3:$B$1048576,B80,'Element wise-detail Summary'!$C$3:$C$1048576,C80,'Element wise-detail Summary'!$D$3:$D$1048576,Location_Summary!A80)</f>
        <v>0</v>
      </c>
      <c r="N80" s="20" t="str">
        <f t="shared" si="14"/>
        <v>0</v>
      </c>
      <c r="O80" s="24" t="str">
        <f t="shared" si="15"/>
        <v>#DIV/0!</v>
      </c>
      <c r="P80" s="118"/>
      <c r="Q80" s="27" t="str">
        <f t="shared" si="16"/>
        <v>0</v>
      </c>
      <c r="R80" s="27"/>
    </row>
    <row r="81" ht="24.75" customHeight="1">
      <c r="A81" s="18" t="s">
        <v>2818</v>
      </c>
      <c r="B81" s="19" t="s">
        <v>18</v>
      </c>
      <c r="C81" s="19" t="s">
        <v>29</v>
      </c>
      <c r="D81" s="20" t="str">
        <f>SUMIFS('Element wise-detail Summary'!F:F,'Element wise-detail Summary'!B:B,Location_Summary!B81,'Element wise-detail Summary'!C:C,Location_Summary!C81,'Element wise-detail Summary'!D:D,Location_Summary!A81)</f>
        <v>0</v>
      </c>
      <c r="E81" s="117" t="str">
        <f>SUMIFS('Element wise-detail Summary'!$F$3:$F$1048576,'Element wise-detail Summary'!$B$3:$B$1048576,Location_Summary!$B81,'Element wise-detail Summary'!$C$3:$C$1048576,Location_Summary!C81,'Element wise-detail Summary'!$D$3:$D$1048576,Location_Summary!A81)</f>
        <v>0</v>
      </c>
      <c r="F81" s="22" t="str">
        <f>SUMIFS('Element wise-detail Summary'!$G$3:$G$1048576,'Element wise-detail Summary'!$B$3:$B$1048576,Location_Summary!$B81,'Element wise-detail Summary'!$C$3:$C$1048576,Location_Summary!C81,'Element wise-detail Summary'!$D$3:$D$1048576,Location_Summary!A81)</f>
        <v>0</v>
      </c>
      <c r="G81" s="20" t="str">
        <f t="shared" si="9"/>
        <v>0</v>
      </c>
      <c r="H81" s="23" t="str">
        <f t="shared" si="10"/>
        <v>#DIV/0!</v>
      </c>
      <c r="I81" s="22" t="str">
        <f>SUMIFS('Element wise-detail Summary'!$I$3:$I$1048576,'Element wise-detail Summary'!$B$3:$B$1048576,B81,'Element wise-detail Summary'!$C$3:$C$1048576,C81,'Element wise-detail Summary'!$D$3:$D$1048576,Location_Summary!A81)</f>
        <v>0</v>
      </c>
      <c r="J81" s="20" t="str">
        <f t="shared" si="11"/>
        <v>0</v>
      </c>
      <c r="K81" s="24" t="str">
        <f t="shared" si="12"/>
        <v>#DIV/0!</v>
      </c>
      <c r="L81" s="25" t="str">
        <f t="shared" si="13"/>
        <v>0</v>
      </c>
      <c r="M81" s="22" t="str">
        <f>SUMIFS('Element wise-detail Summary'!$M$3:$M$1048576,'Element wise-detail Summary'!$B$3:$B$1048576,B81,'Element wise-detail Summary'!$C$3:$C$1048576,C81,'Element wise-detail Summary'!$D$3:$D$1048576,Location_Summary!A81)</f>
        <v>0</v>
      </c>
      <c r="N81" s="20" t="str">
        <f t="shared" si="14"/>
        <v>0</v>
      </c>
      <c r="O81" s="24" t="str">
        <f t="shared" si="15"/>
        <v>#DIV/0!</v>
      </c>
      <c r="P81" s="118"/>
      <c r="Q81" s="27" t="str">
        <f t="shared" si="16"/>
        <v>0</v>
      </c>
      <c r="R81" s="27"/>
    </row>
    <row r="82" ht="24.75" customHeight="1">
      <c r="A82" s="18" t="s">
        <v>2818</v>
      </c>
      <c r="B82" s="19" t="s">
        <v>18</v>
      </c>
      <c r="C82" s="19" t="s">
        <v>30</v>
      </c>
      <c r="D82" s="20" t="str">
        <f>SUMIFS('Element wise-detail Summary'!F:F,'Element wise-detail Summary'!B:B,Location_Summary!B82,'Element wise-detail Summary'!C:C,Location_Summary!C82,'Element wise-detail Summary'!D:D,Location_Summary!A82)</f>
        <v>0</v>
      </c>
      <c r="E82" s="117" t="str">
        <f>SUMIFS('Element wise-detail Summary'!$F$3:$F$1048576,'Element wise-detail Summary'!$B$3:$B$1048576,Location_Summary!$B82,'Element wise-detail Summary'!$C$3:$C$1048576,Location_Summary!C82,'Element wise-detail Summary'!$D$3:$D$1048576,Location_Summary!A82)</f>
        <v>0</v>
      </c>
      <c r="F82" s="22" t="str">
        <f>SUMIFS('Element wise-detail Summary'!$G$3:$G$1048576,'Element wise-detail Summary'!$B$3:$B$1048576,Location_Summary!$B82,'Element wise-detail Summary'!$C$3:$C$1048576,Location_Summary!C82,'Element wise-detail Summary'!$D$3:$D$1048576,Location_Summary!A82)</f>
        <v>0</v>
      </c>
      <c r="G82" s="20" t="str">
        <f t="shared" si="9"/>
        <v>0</v>
      </c>
      <c r="H82" s="23" t="str">
        <f t="shared" si="10"/>
        <v>#DIV/0!</v>
      </c>
      <c r="I82" s="22" t="str">
        <f>SUMIFS('Element wise-detail Summary'!$I$3:$I$1048576,'Element wise-detail Summary'!$B$3:$B$1048576,B82,'Element wise-detail Summary'!$C$3:$C$1048576,C82,'Element wise-detail Summary'!$D$3:$D$1048576,Location_Summary!A82)</f>
        <v>0</v>
      </c>
      <c r="J82" s="20" t="str">
        <f t="shared" si="11"/>
        <v>0</v>
      </c>
      <c r="K82" s="24" t="str">
        <f t="shared" si="12"/>
        <v>#DIV/0!</v>
      </c>
      <c r="L82" s="25" t="str">
        <f t="shared" si="13"/>
        <v>0</v>
      </c>
      <c r="M82" s="22" t="str">
        <f>SUMIFS('Element wise-detail Summary'!$M$3:$M$1048576,'Element wise-detail Summary'!$B$3:$B$1048576,B82,'Element wise-detail Summary'!$C$3:$C$1048576,C82,'Element wise-detail Summary'!$D$3:$D$1048576,Location_Summary!A82)</f>
        <v>0</v>
      </c>
      <c r="N82" s="20" t="str">
        <f t="shared" si="14"/>
        <v>0</v>
      </c>
      <c r="O82" s="24" t="str">
        <f t="shared" si="15"/>
        <v>#DIV/0!</v>
      </c>
      <c r="P82" s="118"/>
      <c r="Q82" s="27" t="str">
        <f t="shared" si="16"/>
        <v>0</v>
      </c>
      <c r="R82" s="27"/>
    </row>
    <row r="83" ht="24.75" customHeight="1">
      <c r="A83" s="18" t="s">
        <v>2818</v>
      </c>
      <c r="B83" s="19" t="s">
        <v>18</v>
      </c>
      <c r="C83" s="19" t="s">
        <v>31</v>
      </c>
      <c r="D83" s="20" t="str">
        <f>SUMIFS('Element wise-detail Summary'!F:F,'Element wise-detail Summary'!B:B,Location_Summary!B83,'Element wise-detail Summary'!C:C,Location_Summary!C83,'Element wise-detail Summary'!D:D,Location_Summary!A83)</f>
        <v>0</v>
      </c>
      <c r="E83" s="117" t="str">
        <f>SUMIFS('Element wise-detail Summary'!$F$3:$F$1048576,'Element wise-detail Summary'!$B$3:$B$1048576,Location_Summary!$B83,'Element wise-detail Summary'!$C$3:$C$1048576,Location_Summary!C83,'Element wise-detail Summary'!$D$3:$D$1048576,Location_Summary!A83)</f>
        <v>0</v>
      </c>
      <c r="F83" s="22" t="str">
        <f>SUMIFS('Element wise-detail Summary'!$G$3:$G$1048576,'Element wise-detail Summary'!$B$3:$B$1048576,Location_Summary!$B83,'Element wise-detail Summary'!$C$3:$C$1048576,Location_Summary!C83,'Element wise-detail Summary'!$D$3:$D$1048576,Location_Summary!A83)</f>
        <v>0</v>
      </c>
      <c r="G83" s="20" t="str">
        <f t="shared" si="9"/>
        <v>0</v>
      </c>
      <c r="H83" s="23" t="str">
        <f t="shared" si="10"/>
        <v>#DIV/0!</v>
      </c>
      <c r="I83" s="22" t="str">
        <f>SUMIFS('Element wise-detail Summary'!$I$3:$I$1048576,'Element wise-detail Summary'!$B$3:$B$1048576,B83,'Element wise-detail Summary'!$C$3:$C$1048576,C83,'Element wise-detail Summary'!$D$3:$D$1048576,Location_Summary!A83)</f>
        <v>0</v>
      </c>
      <c r="J83" s="20" t="str">
        <f t="shared" si="11"/>
        <v>0</v>
      </c>
      <c r="K83" s="24" t="str">
        <f t="shared" si="12"/>
        <v>#DIV/0!</v>
      </c>
      <c r="L83" s="25" t="str">
        <f t="shared" si="13"/>
        <v>0</v>
      </c>
      <c r="M83" s="22" t="str">
        <f>SUMIFS('Element wise-detail Summary'!$M$3:$M$1048576,'Element wise-detail Summary'!$B$3:$B$1048576,B83,'Element wise-detail Summary'!$C$3:$C$1048576,C83,'Element wise-detail Summary'!$D$3:$D$1048576,Location_Summary!A83)</f>
        <v>0</v>
      </c>
      <c r="N83" s="20" t="str">
        <f t="shared" si="14"/>
        <v>0</v>
      </c>
      <c r="O83" s="24" t="str">
        <f t="shared" si="15"/>
        <v>#DIV/0!</v>
      </c>
      <c r="P83" s="118"/>
      <c r="Q83" s="27" t="str">
        <f t="shared" si="16"/>
        <v>0</v>
      </c>
      <c r="R83" s="27"/>
    </row>
    <row r="84" ht="24.75" customHeight="1">
      <c r="A84" s="18" t="s">
        <v>2818</v>
      </c>
      <c r="B84" s="19" t="s">
        <v>18</v>
      </c>
      <c r="C84" s="19" t="s">
        <v>33</v>
      </c>
      <c r="D84" s="20" t="str">
        <f>SUMIFS('Element wise-detail Summary'!F:F,'Element wise-detail Summary'!B:B,Location_Summary!B84,'Element wise-detail Summary'!C:C,Location_Summary!C84,'Element wise-detail Summary'!D:D,Location_Summary!A84)</f>
        <v>0</v>
      </c>
      <c r="E84" s="117" t="str">
        <f>SUMIFS('Element wise-detail Summary'!$F$3:$F$1048576,'Element wise-detail Summary'!$B$3:$B$1048576,Location_Summary!$B84,'Element wise-detail Summary'!$C$3:$C$1048576,Location_Summary!C84,'Element wise-detail Summary'!$D$3:$D$1048576,Location_Summary!A84)</f>
        <v>0</v>
      </c>
      <c r="F84" s="22" t="str">
        <f>SUMIFS('Element wise-detail Summary'!$G$3:$G$1048576,'Element wise-detail Summary'!$B$3:$B$1048576,Location_Summary!$B84,'Element wise-detail Summary'!$C$3:$C$1048576,Location_Summary!C84,'Element wise-detail Summary'!$D$3:$D$1048576,Location_Summary!A84)</f>
        <v>0</v>
      </c>
      <c r="G84" s="20" t="str">
        <f t="shared" si="9"/>
        <v>0</v>
      </c>
      <c r="H84" s="23" t="str">
        <f t="shared" si="10"/>
        <v>#DIV/0!</v>
      </c>
      <c r="I84" s="22" t="str">
        <f>SUMIFS('Element wise-detail Summary'!$I$3:$I$1048576,'Element wise-detail Summary'!$B$3:$B$1048576,B84,'Element wise-detail Summary'!$C$3:$C$1048576,C84,'Element wise-detail Summary'!$D$3:$D$1048576,Location_Summary!A84)</f>
        <v>0</v>
      </c>
      <c r="J84" s="20" t="str">
        <f t="shared" si="11"/>
        <v>0</v>
      </c>
      <c r="K84" s="24" t="str">
        <f t="shared" si="12"/>
        <v>#DIV/0!</v>
      </c>
      <c r="L84" s="25" t="str">
        <f t="shared" si="13"/>
        <v>0</v>
      </c>
      <c r="M84" s="22" t="str">
        <f>SUMIFS('Element wise-detail Summary'!$M$3:$M$1048576,'Element wise-detail Summary'!$B$3:$B$1048576,B84,'Element wise-detail Summary'!$C$3:$C$1048576,C84,'Element wise-detail Summary'!$D$3:$D$1048576,Location_Summary!A84)</f>
        <v>0</v>
      </c>
      <c r="N84" s="20" t="str">
        <f t="shared" si="14"/>
        <v>0</v>
      </c>
      <c r="O84" s="24" t="str">
        <f t="shared" si="15"/>
        <v>#DIV/0!</v>
      </c>
      <c r="P84" s="118"/>
      <c r="Q84" s="27" t="str">
        <f t="shared" si="16"/>
        <v>0</v>
      </c>
      <c r="R84" s="27"/>
    </row>
    <row r="85" ht="24.75" customHeight="1">
      <c r="A85" s="18" t="s">
        <v>2818</v>
      </c>
      <c r="B85" s="19" t="s">
        <v>34</v>
      </c>
      <c r="C85" s="19" t="s">
        <v>35</v>
      </c>
      <c r="D85" s="20" t="str">
        <f>SUMIFS('Element wise-detail Summary'!F:F,'Element wise-detail Summary'!B:B,Location_Summary!B85,'Element wise-detail Summary'!C:C,Location_Summary!C85,'Element wise-detail Summary'!D:D,Location_Summary!A85)</f>
        <v>0</v>
      </c>
      <c r="E85" s="117" t="str">
        <f>SUMIFS('Element wise-detail Summary'!$F$3:$F$1048576,'Element wise-detail Summary'!$B$3:$B$1048576,Location_Summary!$B85,'Element wise-detail Summary'!$C$3:$C$1048576,Location_Summary!C85,'Element wise-detail Summary'!$D$3:$D$1048576,Location_Summary!A85)</f>
        <v>0</v>
      </c>
      <c r="F85" s="22" t="str">
        <f>SUMIFS('Element wise-detail Summary'!$G$3:$G$1048576,'Element wise-detail Summary'!$B$3:$B$1048576,Location_Summary!$B85,'Element wise-detail Summary'!$C$3:$C$1048576,Location_Summary!C85,'Element wise-detail Summary'!$D$3:$D$1048576,Location_Summary!A85)</f>
        <v>0</v>
      </c>
      <c r="G85" s="20" t="str">
        <f t="shared" si="9"/>
        <v>0</v>
      </c>
      <c r="H85" s="23" t="str">
        <f t="shared" si="10"/>
        <v>#DIV/0!</v>
      </c>
      <c r="I85" s="22" t="str">
        <f>SUMIFS('Element wise-detail Summary'!$I$3:$I$1048576,'Element wise-detail Summary'!$B$3:$B$1048576,B85,'Element wise-detail Summary'!$C$3:$C$1048576,C85,'Element wise-detail Summary'!$D$3:$D$1048576,Location_Summary!A85)</f>
        <v>0</v>
      </c>
      <c r="J85" s="20" t="str">
        <f t="shared" si="11"/>
        <v>0</v>
      </c>
      <c r="K85" s="24" t="str">
        <f t="shared" si="12"/>
        <v>#DIV/0!</v>
      </c>
      <c r="L85" s="25" t="str">
        <f t="shared" si="13"/>
        <v>0</v>
      </c>
      <c r="M85" s="22" t="str">
        <f>SUMIFS('Element wise-detail Summary'!$M$3:$M$1048576,'Element wise-detail Summary'!$B$3:$B$1048576,B85,'Element wise-detail Summary'!$C$3:$C$1048576,C85,'Element wise-detail Summary'!$D$3:$D$1048576,Location_Summary!A85)</f>
        <v>0</v>
      </c>
      <c r="N85" s="20" t="str">
        <f t="shared" si="14"/>
        <v>0</v>
      </c>
      <c r="O85" s="24" t="str">
        <f t="shared" si="15"/>
        <v>#DIV/0!</v>
      </c>
      <c r="P85" s="118"/>
      <c r="Q85" s="27" t="str">
        <f t="shared" si="16"/>
        <v>0</v>
      </c>
      <c r="R85" s="27"/>
    </row>
    <row r="86" ht="24.75" customHeight="1">
      <c r="A86" s="18" t="s">
        <v>2818</v>
      </c>
      <c r="B86" s="19" t="s">
        <v>34</v>
      </c>
      <c r="C86" s="19" t="s">
        <v>37</v>
      </c>
      <c r="D86" s="20" t="str">
        <f>SUMIFS('Element wise-detail Summary'!F:F,'Element wise-detail Summary'!B:B,Location_Summary!B86,'Element wise-detail Summary'!C:C,Location_Summary!C86,'Element wise-detail Summary'!D:D,Location_Summary!A86)</f>
        <v>0</v>
      </c>
      <c r="E86" s="117" t="str">
        <f>SUMIFS('Element wise-detail Summary'!$F$3:$F$1048576,'Element wise-detail Summary'!$B$3:$B$1048576,Location_Summary!$B86,'Element wise-detail Summary'!$C$3:$C$1048576,Location_Summary!C86,'Element wise-detail Summary'!$D$3:$D$1048576,Location_Summary!A86)</f>
        <v>0</v>
      </c>
      <c r="F86" s="22" t="str">
        <f>SUMIFS('Element wise-detail Summary'!$G$3:$G$1048576,'Element wise-detail Summary'!$B$3:$B$1048576,Location_Summary!$B86,'Element wise-detail Summary'!$C$3:$C$1048576,Location_Summary!C86,'Element wise-detail Summary'!$D$3:$D$1048576,Location_Summary!A86)</f>
        <v>0</v>
      </c>
      <c r="G86" s="20" t="str">
        <f t="shared" si="9"/>
        <v>0</v>
      </c>
      <c r="H86" s="23" t="str">
        <f t="shared" si="10"/>
        <v>#DIV/0!</v>
      </c>
      <c r="I86" s="22" t="str">
        <f>SUMIFS('Element wise-detail Summary'!$I$3:$I$1048576,'Element wise-detail Summary'!$B$3:$B$1048576,B86,'Element wise-detail Summary'!$C$3:$C$1048576,C86,'Element wise-detail Summary'!$D$3:$D$1048576,Location_Summary!A86)</f>
        <v>0</v>
      </c>
      <c r="J86" s="20" t="str">
        <f t="shared" si="11"/>
        <v>0</v>
      </c>
      <c r="K86" s="24" t="str">
        <f t="shared" si="12"/>
        <v>#DIV/0!</v>
      </c>
      <c r="L86" s="25" t="str">
        <f t="shared" si="13"/>
        <v>0</v>
      </c>
      <c r="M86" s="22" t="str">
        <f>SUMIFS('Element wise-detail Summary'!$M$3:$M$1048576,'Element wise-detail Summary'!$B$3:$B$1048576,B86,'Element wise-detail Summary'!$C$3:$C$1048576,C86,'Element wise-detail Summary'!$D$3:$D$1048576,Location_Summary!A86)</f>
        <v>0</v>
      </c>
      <c r="N86" s="20" t="str">
        <f t="shared" si="14"/>
        <v>0</v>
      </c>
      <c r="O86" s="24" t="str">
        <f t="shared" si="15"/>
        <v>#DIV/0!</v>
      </c>
      <c r="P86" s="118"/>
      <c r="Q86" s="27" t="str">
        <f t="shared" si="16"/>
        <v>0</v>
      </c>
      <c r="R86" s="27"/>
    </row>
    <row r="87" ht="24.75" customHeight="1">
      <c r="A87" s="18" t="s">
        <v>2818</v>
      </c>
      <c r="B87" s="19" t="s">
        <v>34</v>
      </c>
      <c r="C87" s="19" t="s">
        <v>39</v>
      </c>
      <c r="D87" s="20" t="str">
        <f>SUMIFS('Element wise-detail Summary'!F:F,'Element wise-detail Summary'!B:B,Location_Summary!B87,'Element wise-detail Summary'!C:C,Location_Summary!C87,'Element wise-detail Summary'!D:D,Location_Summary!A87)</f>
        <v>0</v>
      </c>
      <c r="E87" s="117" t="str">
        <f>SUMIFS('Element wise-detail Summary'!$F$3:$F$1048576,'Element wise-detail Summary'!$B$3:$B$1048576,Location_Summary!$B87,'Element wise-detail Summary'!$C$3:$C$1048576,Location_Summary!C87,'Element wise-detail Summary'!$D$3:$D$1048576,Location_Summary!A87)</f>
        <v>0</v>
      </c>
      <c r="F87" s="22" t="str">
        <f>SUMIFS('Element wise-detail Summary'!$G$3:$G$1048576,'Element wise-detail Summary'!$B$3:$B$1048576,Location_Summary!$B87,'Element wise-detail Summary'!$C$3:$C$1048576,Location_Summary!C87,'Element wise-detail Summary'!$D$3:$D$1048576,Location_Summary!A87)</f>
        <v>0</v>
      </c>
      <c r="G87" s="20" t="str">
        <f t="shared" si="9"/>
        <v>0</v>
      </c>
      <c r="H87" s="23" t="str">
        <f t="shared" si="10"/>
        <v>#DIV/0!</v>
      </c>
      <c r="I87" s="22" t="str">
        <f>SUMIFS('Element wise-detail Summary'!$I$3:$I$1048576,'Element wise-detail Summary'!$B$3:$B$1048576,B87,'Element wise-detail Summary'!$C$3:$C$1048576,C87,'Element wise-detail Summary'!$D$3:$D$1048576,Location_Summary!A87)</f>
        <v>0</v>
      </c>
      <c r="J87" s="20" t="str">
        <f t="shared" si="11"/>
        <v>0</v>
      </c>
      <c r="K87" s="24" t="str">
        <f t="shared" si="12"/>
        <v>#DIV/0!</v>
      </c>
      <c r="L87" s="25" t="str">
        <f t="shared" si="13"/>
        <v>0</v>
      </c>
      <c r="M87" s="22" t="str">
        <f>SUMIFS('Element wise-detail Summary'!$M$3:$M$1048576,'Element wise-detail Summary'!$B$3:$B$1048576,B87,'Element wise-detail Summary'!$C$3:$C$1048576,C87,'Element wise-detail Summary'!$D$3:$D$1048576,Location_Summary!A87)</f>
        <v>0</v>
      </c>
      <c r="N87" s="20" t="str">
        <f t="shared" si="14"/>
        <v>0</v>
      </c>
      <c r="O87" s="24" t="str">
        <f t="shared" si="15"/>
        <v>#DIV/0!</v>
      </c>
      <c r="P87" s="118"/>
      <c r="Q87" s="27" t="str">
        <f t="shared" si="16"/>
        <v>0</v>
      </c>
      <c r="R87" s="27"/>
    </row>
    <row r="88" ht="24.75" customHeight="1">
      <c r="A88" s="18" t="s">
        <v>2818</v>
      </c>
      <c r="B88" s="19" t="s">
        <v>34</v>
      </c>
      <c r="C88" s="19" t="s">
        <v>40</v>
      </c>
      <c r="D88" s="20" t="str">
        <f>SUMIFS('Element wise-detail Summary'!F:F,'Element wise-detail Summary'!B:B,Location_Summary!B88,'Element wise-detail Summary'!C:C,Location_Summary!C88,'Element wise-detail Summary'!D:D,Location_Summary!A88)</f>
        <v>0</v>
      </c>
      <c r="E88" s="117" t="str">
        <f>SUMIFS('Element wise-detail Summary'!$F$3:$F$1048576,'Element wise-detail Summary'!$B$3:$B$1048576,Location_Summary!$B88,'Element wise-detail Summary'!$C$3:$C$1048576,Location_Summary!C88,'Element wise-detail Summary'!$D$3:$D$1048576,Location_Summary!A88)</f>
        <v>0</v>
      </c>
      <c r="F88" s="22" t="str">
        <f>SUMIFS('Element wise-detail Summary'!$G$3:$G$1048576,'Element wise-detail Summary'!$B$3:$B$1048576,Location_Summary!$B88,'Element wise-detail Summary'!$C$3:$C$1048576,Location_Summary!C88,'Element wise-detail Summary'!$D$3:$D$1048576,Location_Summary!A88)</f>
        <v>0</v>
      </c>
      <c r="G88" s="20" t="str">
        <f t="shared" si="9"/>
        <v>0</v>
      </c>
      <c r="H88" s="23" t="str">
        <f t="shared" si="10"/>
        <v>#DIV/0!</v>
      </c>
      <c r="I88" s="22" t="str">
        <f>SUMIFS('Element wise-detail Summary'!$I$3:$I$1048576,'Element wise-detail Summary'!$B$3:$B$1048576,B88,'Element wise-detail Summary'!$C$3:$C$1048576,C88,'Element wise-detail Summary'!$D$3:$D$1048576,Location_Summary!A88)</f>
        <v>0</v>
      </c>
      <c r="J88" s="20" t="str">
        <f t="shared" si="11"/>
        <v>0</v>
      </c>
      <c r="K88" s="24" t="str">
        <f t="shared" si="12"/>
        <v>#DIV/0!</v>
      </c>
      <c r="L88" s="25" t="str">
        <f t="shared" si="13"/>
        <v>0</v>
      </c>
      <c r="M88" s="22" t="str">
        <f>SUMIFS('Element wise-detail Summary'!$M$3:$M$1048576,'Element wise-detail Summary'!$B$3:$B$1048576,B88,'Element wise-detail Summary'!$C$3:$C$1048576,C88,'Element wise-detail Summary'!$D$3:$D$1048576,Location_Summary!A88)</f>
        <v>0</v>
      </c>
      <c r="N88" s="20" t="str">
        <f t="shared" si="14"/>
        <v>0</v>
      </c>
      <c r="O88" s="24" t="str">
        <f t="shared" si="15"/>
        <v>#DIV/0!</v>
      </c>
      <c r="P88" s="118"/>
      <c r="Q88" s="27" t="str">
        <f t="shared" si="16"/>
        <v>0</v>
      </c>
      <c r="R88" s="27"/>
    </row>
    <row r="89" ht="24.75" customHeight="1">
      <c r="A89" s="18" t="s">
        <v>2818</v>
      </c>
      <c r="B89" s="19" t="s">
        <v>34</v>
      </c>
      <c r="C89" s="19" t="s">
        <v>41</v>
      </c>
      <c r="D89" s="20" t="str">
        <f>SUMIFS('Element wise-detail Summary'!F:F,'Element wise-detail Summary'!B:B,Location_Summary!B89,'Element wise-detail Summary'!C:C,Location_Summary!C89,'Element wise-detail Summary'!D:D,Location_Summary!A89)</f>
        <v>0</v>
      </c>
      <c r="E89" s="117" t="str">
        <f>SUMIFS('Element wise-detail Summary'!$F$3:$F$1048576,'Element wise-detail Summary'!$B$3:$B$1048576,Location_Summary!$B89,'Element wise-detail Summary'!$C$3:$C$1048576,Location_Summary!C89,'Element wise-detail Summary'!$D$3:$D$1048576,Location_Summary!A89)</f>
        <v>0</v>
      </c>
      <c r="F89" s="22" t="str">
        <f>SUMIFS('Element wise-detail Summary'!$G$3:$G$1048576,'Element wise-detail Summary'!$B$3:$B$1048576,Location_Summary!$B89,'Element wise-detail Summary'!$C$3:$C$1048576,Location_Summary!C89,'Element wise-detail Summary'!$D$3:$D$1048576,Location_Summary!A89)</f>
        <v>0</v>
      </c>
      <c r="G89" s="20" t="str">
        <f t="shared" si="9"/>
        <v>0</v>
      </c>
      <c r="H89" s="23" t="str">
        <f t="shared" si="10"/>
        <v>#DIV/0!</v>
      </c>
      <c r="I89" s="22" t="str">
        <f>SUMIFS('Element wise-detail Summary'!$I$3:$I$1048576,'Element wise-detail Summary'!$B$3:$B$1048576,B89,'Element wise-detail Summary'!$C$3:$C$1048576,C89,'Element wise-detail Summary'!$D$3:$D$1048576,Location_Summary!A89)</f>
        <v>0</v>
      </c>
      <c r="J89" s="20" t="str">
        <f t="shared" si="11"/>
        <v>0</v>
      </c>
      <c r="K89" s="24" t="str">
        <f t="shared" si="12"/>
        <v>#DIV/0!</v>
      </c>
      <c r="L89" s="25" t="str">
        <f t="shared" si="13"/>
        <v>0</v>
      </c>
      <c r="M89" s="22" t="str">
        <f>SUMIFS('Element wise-detail Summary'!$M$3:$M$1048576,'Element wise-detail Summary'!$B$3:$B$1048576,B89,'Element wise-detail Summary'!$C$3:$C$1048576,C89,'Element wise-detail Summary'!$D$3:$D$1048576,Location_Summary!A89)</f>
        <v>0</v>
      </c>
      <c r="N89" s="20" t="str">
        <f t="shared" si="14"/>
        <v>0</v>
      </c>
      <c r="O89" s="24" t="str">
        <f t="shared" si="15"/>
        <v>#DIV/0!</v>
      </c>
      <c r="P89" s="118"/>
      <c r="Q89" s="27" t="str">
        <f t="shared" si="16"/>
        <v>0</v>
      </c>
      <c r="R89" s="27"/>
    </row>
    <row r="90" ht="24.75" customHeight="1">
      <c r="A90" s="18" t="s">
        <v>2818</v>
      </c>
      <c r="B90" s="19" t="s">
        <v>34</v>
      </c>
      <c r="C90" s="19" t="s">
        <v>42</v>
      </c>
      <c r="D90" s="20" t="str">
        <f>SUMIFS('Element wise-detail Summary'!F:F,'Element wise-detail Summary'!B:B,Location_Summary!B90,'Element wise-detail Summary'!C:C,Location_Summary!C90,'Element wise-detail Summary'!D:D,Location_Summary!A90)</f>
        <v>0</v>
      </c>
      <c r="E90" s="117" t="str">
        <f>SUMIFS('Element wise-detail Summary'!$F$3:$F$1048576,'Element wise-detail Summary'!$B$3:$B$1048576,Location_Summary!$B90,'Element wise-detail Summary'!$C$3:$C$1048576,Location_Summary!C90,'Element wise-detail Summary'!$D$3:$D$1048576,Location_Summary!A90)</f>
        <v>0</v>
      </c>
      <c r="F90" s="22" t="str">
        <f>SUMIFS('Element wise-detail Summary'!$G$3:$G$1048576,'Element wise-detail Summary'!$B$3:$B$1048576,Location_Summary!$B90,'Element wise-detail Summary'!$C$3:$C$1048576,Location_Summary!C90,'Element wise-detail Summary'!$D$3:$D$1048576,Location_Summary!A90)</f>
        <v>0</v>
      </c>
      <c r="G90" s="20" t="str">
        <f t="shared" si="9"/>
        <v>0</v>
      </c>
      <c r="H90" s="23" t="str">
        <f t="shared" si="10"/>
        <v>#DIV/0!</v>
      </c>
      <c r="I90" s="22" t="str">
        <f>SUMIFS('Element wise-detail Summary'!$I$3:$I$1048576,'Element wise-detail Summary'!$B$3:$B$1048576,B90,'Element wise-detail Summary'!$C$3:$C$1048576,C90,'Element wise-detail Summary'!$D$3:$D$1048576,Location_Summary!A90)</f>
        <v>0</v>
      </c>
      <c r="J90" s="20" t="str">
        <f t="shared" si="11"/>
        <v>0</v>
      </c>
      <c r="K90" s="24" t="str">
        <f t="shared" si="12"/>
        <v>#DIV/0!</v>
      </c>
      <c r="L90" s="25" t="str">
        <f t="shared" si="13"/>
        <v>0</v>
      </c>
      <c r="M90" s="22" t="str">
        <f>SUMIFS('Element wise-detail Summary'!$M$3:$M$1048576,'Element wise-detail Summary'!$B$3:$B$1048576,B90,'Element wise-detail Summary'!$C$3:$C$1048576,C90,'Element wise-detail Summary'!$D$3:$D$1048576,Location_Summary!A90)</f>
        <v>0</v>
      </c>
      <c r="N90" s="20" t="str">
        <f t="shared" si="14"/>
        <v>0</v>
      </c>
      <c r="O90" s="24" t="str">
        <f t="shared" si="15"/>
        <v>#DIV/0!</v>
      </c>
      <c r="P90" s="118"/>
      <c r="Q90" s="27" t="str">
        <f t="shared" si="16"/>
        <v>0</v>
      </c>
      <c r="R90" s="27"/>
    </row>
    <row r="91" ht="24.75" customHeight="1">
      <c r="A91" s="18" t="s">
        <v>2818</v>
      </c>
      <c r="B91" s="19" t="s">
        <v>34</v>
      </c>
      <c r="C91" s="19" t="s">
        <v>43</v>
      </c>
      <c r="D91" s="20" t="str">
        <f>SUMIFS('Element wise-detail Summary'!F:F,'Element wise-detail Summary'!B:B,Location_Summary!B91,'Element wise-detail Summary'!C:C,Location_Summary!C91,'Element wise-detail Summary'!D:D,Location_Summary!A91)</f>
        <v>0</v>
      </c>
      <c r="E91" s="117" t="str">
        <f>SUMIFS('Element wise-detail Summary'!$F$3:$F$1048576,'Element wise-detail Summary'!$B$3:$B$1048576,Location_Summary!$B91,'Element wise-detail Summary'!$C$3:$C$1048576,Location_Summary!C91,'Element wise-detail Summary'!$D$3:$D$1048576,Location_Summary!A91)</f>
        <v>0</v>
      </c>
      <c r="F91" s="22" t="str">
        <f>SUMIFS('Element wise-detail Summary'!$G$3:$G$1048576,'Element wise-detail Summary'!$B$3:$B$1048576,Location_Summary!$B91,'Element wise-detail Summary'!$C$3:$C$1048576,Location_Summary!C91,'Element wise-detail Summary'!$D$3:$D$1048576,Location_Summary!A91)</f>
        <v>0</v>
      </c>
      <c r="G91" s="20" t="str">
        <f t="shared" si="9"/>
        <v>0</v>
      </c>
      <c r="H91" s="23" t="str">
        <f t="shared" si="10"/>
        <v>#DIV/0!</v>
      </c>
      <c r="I91" s="22" t="str">
        <f>SUMIFS('Element wise-detail Summary'!$I$3:$I$1048576,'Element wise-detail Summary'!$B$3:$B$1048576,B91,'Element wise-detail Summary'!$C$3:$C$1048576,C91,'Element wise-detail Summary'!$D$3:$D$1048576,Location_Summary!A91)</f>
        <v>0</v>
      </c>
      <c r="J91" s="20" t="str">
        <f t="shared" si="11"/>
        <v>0</v>
      </c>
      <c r="K91" s="24" t="str">
        <f t="shared" si="12"/>
        <v>#DIV/0!</v>
      </c>
      <c r="L91" s="25" t="str">
        <f t="shared" si="13"/>
        <v>0</v>
      </c>
      <c r="M91" s="22" t="str">
        <f>SUMIFS('Element wise-detail Summary'!$M$3:$M$1048576,'Element wise-detail Summary'!$B$3:$B$1048576,B91,'Element wise-detail Summary'!$C$3:$C$1048576,C91,'Element wise-detail Summary'!$D$3:$D$1048576,Location_Summary!A91)</f>
        <v>0</v>
      </c>
      <c r="N91" s="20" t="str">
        <f t="shared" si="14"/>
        <v>0</v>
      </c>
      <c r="O91" s="24" t="str">
        <f t="shared" si="15"/>
        <v>#DIV/0!</v>
      </c>
      <c r="P91" s="118"/>
      <c r="Q91" s="27" t="str">
        <f t="shared" si="16"/>
        <v>0</v>
      </c>
      <c r="R91" s="27"/>
    </row>
    <row r="92" ht="24.75" customHeight="1">
      <c r="A92" s="18" t="s">
        <v>2818</v>
      </c>
      <c r="B92" s="19" t="s">
        <v>44</v>
      </c>
      <c r="C92" s="19" t="s">
        <v>45</v>
      </c>
      <c r="D92" s="20" t="str">
        <f>SUMIFS('Element wise-detail Summary'!F:F,'Element wise-detail Summary'!B:B,Location_Summary!B92,'Element wise-detail Summary'!C:C,Location_Summary!C92,'Element wise-detail Summary'!D:D,Location_Summary!A92)</f>
        <v>0</v>
      </c>
      <c r="E92" s="117" t="str">
        <f>SUMIFS('Element wise-detail Summary'!$F$3:$F$1048576,'Element wise-detail Summary'!$B$3:$B$1048576,Location_Summary!$B92,'Element wise-detail Summary'!$C$3:$C$1048576,Location_Summary!C92,'Element wise-detail Summary'!$D$3:$D$1048576,Location_Summary!A92)</f>
        <v>0</v>
      </c>
      <c r="F92" s="22" t="str">
        <f>SUMIFS('Element wise-detail Summary'!$G$3:$G$1048576,'Element wise-detail Summary'!$B$3:$B$1048576,Location_Summary!$B92,'Element wise-detail Summary'!$C$3:$C$1048576,Location_Summary!C92,'Element wise-detail Summary'!$D$3:$D$1048576,Location_Summary!A92)</f>
        <v>0</v>
      </c>
      <c r="G92" s="20" t="str">
        <f t="shared" si="9"/>
        <v>0</v>
      </c>
      <c r="H92" s="23" t="str">
        <f t="shared" si="10"/>
        <v>#DIV/0!</v>
      </c>
      <c r="I92" s="22" t="str">
        <f>SUMIFS('Element wise-detail Summary'!$I$3:$I$1048576,'Element wise-detail Summary'!$B$3:$B$1048576,B92,'Element wise-detail Summary'!$C$3:$C$1048576,C92,'Element wise-detail Summary'!$D$3:$D$1048576,Location_Summary!A92)</f>
        <v>0</v>
      </c>
      <c r="J92" s="20" t="str">
        <f t="shared" si="11"/>
        <v>0</v>
      </c>
      <c r="K92" s="24" t="str">
        <f t="shared" si="12"/>
        <v>#DIV/0!</v>
      </c>
      <c r="L92" s="25" t="str">
        <f t="shared" si="13"/>
        <v>0</v>
      </c>
      <c r="M92" s="22" t="str">
        <f>SUMIFS('Element wise-detail Summary'!$M$3:$M$1048576,'Element wise-detail Summary'!$B$3:$B$1048576,B92,'Element wise-detail Summary'!$C$3:$C$1048576,C92,'Element wise-detail Summary'!$D$3:$D$1048576,Location_Summary!A92)</f>
        <v>0</v>
      </c>
      <c r="N92" s="20" t="str">
        <f t="shared" si="14"/>
        <v>0</v>
      </c>
      <c r="O92" s="24" t="str">
        <f t="shared" si="15"/>
        <v>#DIV/0!</v>
      </c>
      <c r="P92" s="118"/>
      <c r="Q92" s="27" t="str">
        <f t="shared" si="16"/>
        <v>0</v>
      </c>
      <c r="R92" s="27"/>
    </row>
    <row r="93" ht="24.75" customHeight="1">
      <c r="A93" s="18" t="s">
        <v>2818</v>
      </c>
      <c r="B93" s="19" t="s">
        <v>44</v>
      </c>
      <c r="C93" s="19" t="s">
        <v>47</v>
      </c>
      <c r="D93" s="20" t="str">
        <f>SUMIFS('Element wise-detail Summary'!F:F,'Element wise-detail Summary'!B:B,Location_Summary!B93,'Element wise-detail Summary'!C:C,Location_Summary!C93,'Element wise-detail Summary'!D:D,Location_Summary!A93)</f>
        <v>0</v>
      </c>
      <c r="E93" s="117" t="str">
        <f>SUMIFS('Element wise-detail Summary'!$F$3:$F$1048576,'Element wise-detail Summary'!$B$3:$B$1048576,Location_Summary!$B93,'Element wise-detail Summary'!$C$3:$C$1048576,Location_Summary!C93,'Element wise-detail Summary'!$D$3:$D$1048576,Location_Summary!A93)</f>
        <v>0</v>
      </c>
      <c r="F93" s="22" t="str">
        <f>SUMIFS('Element wise-detail Summary'!$G$3:$G$1048576,'Element wise-detail Summary'!$B$3:$B$1048576,Location_Summary!$B93,'Element wise-detail Summary'!$C$3:$C$1048576,Location_Summary!C93,'Element wise-detail Summary'!$D$3:$D$1048576,Location_Summary!A93)</f>
        <v>0</v>
      </c>
      <c r="G93" s="20" t="str">
        <f t="shared" si="9"/>
        <v>0</v>
      </c>
      <c r="H93" s="23" t="str">
        <f t="shared" si="10"/>
        <v>#DIV/0!</v>
      </c>
      <c r="I93" s="22" t="str">
        <f>SUMIFS('Element wise-detail Summary'!$I$3:$I$1048576,'Element wise-detail Summary'!$B$3:$B$1048576,B93,'Element wise-detail Summary'!$C$3:$C$1048576,C93,'Element wise-detail Summary'!$D$3:$D$1048576,Location_Summary!A93)</f>
        <v>0</v>
      </c>
      <c r="J93" s="20" t="str">
        <f t="shared" si="11"/>
        <v>0</v>
      </c>
      <c r="K93" s="24" t="str">
        <f t="shared" si="12"/>
        <v>#DIV/0!</v>
      </c>
      <c r="L93" s="25" t="str">
        <f t="shared" si="13"/>
        <v>0</v>
      </c>
      <c r="M93" s="22" t="str">
        <f>SUMIFS('Element wise-detail Summary'!$M$3:$M$1048576,'Element wise-detail Summary'!$B$3:$B$1048576,B93,'Element wise-detail Summary'!$C$3:$C$1048576,C93,'Element wise-detail Summary'!$D$3:$D$1048576,Location_Summary!A93)</f>
        <v>0</v>
      </c>
      <c r="N93" s="20" t="str">
        <f t="shared" si="14"/>
        <v>0</v>
      </c>
      <c r="O93" s="24" t="str">
        <f t="shared" si="15"/>
        <v>#DIV/0!</v>
      </c>
      <c r="P93" s="118"/>
      <c r="Q93" s="27" t="str">
        <f t="shared" si="16"/>
        <v>0</v>
      </c>
      <c r="R93" s="27"/>
    </row>
    <row r="94" ht="24.75" customHeight="1">
      <c r="A94" s="18" t="s">
        <v>2818</v>
      </c>
      <c r="B94" s="19" t="s">
        <v>44</v>
      </c>
      <c r="C94" s="19" t="s">
        <v>48</v>
      </c>
      <c r="D94" s="20" t="str">
        <f>SUMIFS('Element wise-detail Summary'!F:F,'Element wise-detail Summary'!B:B,Location_Summary!B94,'Element wise-detail Summary'!C:C,Location_Summary!C94,'Element wise-detail Summary'!D:D,Location_Summary!A94)</f>
        <v>0</v>
      </c>
      <c r="E94" s="117" t="str">
        <f>SUMIFS('Element wise-detail Summary'!$F$3:$F$1048576,'Element wise-detail Summary'!$B$3:$B$1048576,Location_Summary!$B94,'Element wise-detail Summary'!$C$3:$C$1048576,Location_Summary!C94,'Element wise-detail Summary'!$D$3:$D$1048576,Location_Summary!A94)</f>
        <v>0</v>
      </c>
      <c r="F94" s="22" t="str">
        <f>SUMIFS('Element wise-detail Summary'!$G$3:$G$1048576,'Element wise-detail Summary'!$B$3:$B$1048576,Location_Summary!$B94,'Element wise-detail Summary'!$C$3:$C$1048576,Location_Summary!C94,'Element wise-detail Summary'!$D$3:$D$1048576,Location_Summary!A94)</f>
        <v>0</v>
      </c>
      <c r="G94" s="20" t="str">
        <f t="shared" si="9"/>
        <v>0</v>
      </c>
      <c r="H94" s="23" t="str">
        <f t="shared" si="10"/>
        <v>#DIV/0!</v>
      </c>
      <c r="I94" s="22" t="str">
        <f>SUMIFS('Element wise-detail Summary'!$I$3:$I$1048576,'Element wise-detail Summary'!$B$3:$B$1048576,B94,'Element wise-detail Summary'!$C$3:$C$1048576,C94,'Element wise-detail Summary'!$D$3:$D$1048576,Location_Summary!A94)</f>
        <v>0</v>
      </c>
      <c r="J94" s="20" t="str">
        <f t="shared" si="11"/>
        <v>0</v>
      </c>
      <c r="K94" s="24" t="str">
        <f t="shared" si="12"/>
        <v>#DIV/0!</v>
      </c>
      <c r="L94" s="25" t="str">
        <f t="shared" si="13"/>
        <v>0</v>
      </c>
      <c r="M94" s="22" t="str">
        <f>SUMIFS('Element wise-detail Summary'!$M$3:$M$1048576,'Element wise-detail Summary'!$B$3:$B$1048576,B94,'Element wise-detail Summary'!$C$3:$C$1048576,C94,'Element wise-detail Summary'!$D$3:$D$1048576,Location_Summary!A94)</f>
        <v>0</v>
      </c>
      <c r="N94" s="20" t="str">
        <f t="shared" si="14"/>
        <v>0</v>
      </c>
      <c r="O94" s="24" t="str">
        <f t="shared" si="15"/>
        <v>#DIV/0!</v>
      </c>
      <c r="P94" s="118"/>
      <c r="Q94" s="27" t="str">
        <f t="shared" si="16"/>
        <v>0</v>
      </c>
      <c r="R94" s="27"/>
    </row>
    <row r="95" ht="24.75" customHeight="1">
      <c r="A95" s="18" t="s">
        <v>2818</v>
      </c>
      <c r="B95" s="19" t="s">
        <v>44</v>
      </c>
      <c r="C95" s="19" t="s">
        <v>50</v>
      </c>
      <c r="D95" s="20" t="str">
        <f>SUMIFS('Element wise-detail Summary'!F:F,'Element wise-detail Summary'!B:B,Location_Summary!B95,'Element wise-detail Summary'!C:C,Location_Summary!C95,'Element wise-detail Summary'!D:D,Location_Summary!A95)</f>
        <v>0</v>
      </c>
      <c r="E95" s="117" t="str">
        <f>SUMIFS('Element wise-detail Summary'!$F$3:$F$1048576,'Element wise-detail Summary'!$B$3:$B$1048576,Location_Summary!$B95,'Element wise-detail Summary'!$C$3:$C$1048576,Location_Summary!C95,'Element wise-detail Summary'!$D$3:$D$1048576,Location_Summary!A95)</f>
        <v>0</v>
      </c>
      <c r="F95" s="22" t="str">
        <f>SUMIFS('Element wise-detail Summary'!$G$3:$G$1048576,'Element wise-detail Summary'!$B$3:$B$1048576,Location_Summary!$B95,'Element wise-detail Summary'!$C$3:$C$1048576,Location_Summary!C95,'Element wise-detail Summary'!$D$3:$D$1048576,Location_Summary!A95)</f>
        <v>0</v>
      </c>
      <c r="G95" s="20" t="str">
        <f t="shared" si="9"/>
        <v>0</v>
      </c>
      <c r="H95" s="23" t="str">
        <f t="shared" si="10"/>
        <v>#DIV/0!</v>
      </c>
      <c r="I95" s="22" t="str">
        <f>SUMIFS('Element wise-detail Summary'!$I$3:$I$1048576,'Element wise-detail Summary'!$B$3:$B$1048576,B95,'Element wise-detail Summary'!$C$3:$C$1048576,C95,'Element wise-detail Summary'!$D$3:$D$1048576,Location_Summary!A95)</f>
        <v>0</v>
      </c>
      <c r="J95" s="20" t="str">
        <f t="shared" si="11"/>
        <v>0</v>
      </c>
      <c r="K95" s="24" t="str">
        <f t="shared" si="12"/>
        <v>#DIV/0!</v>
      </c>
      <c r="L95" s="25" t="str">
        <f t="shared" si="13"/>
        <v>0</v>
      </c>
      <c r="M95" s="22" t="str">
        <f>SUMIFS('Element wise-detail Summary'!$M$3:$M$1048576,'Element wise-detail Summary'!$B$3:$B$1048576,B95,'Element wise-detail Summary'!$C$3:$C$1048576,C95,'Element wise-detail Summary'!$D$3:$D$1048576,Location_Summary!A95)</f>
        <v>0</v>
      </c>
      <c r="N95" s="20" t="str">
        <f t="shared" si="14"/>
        <v>0</v>
      </c>
      <c r="O95" s="24" t="str">
        <f t="shared" si="15"/>
        <v>#DIV/0!</v>
      </c>
      <c r="P95" s="118"/>
      <c r="Q95" s="27" t="str">
        <f t="shared" si="16"/>
        <v>0</v>
      </c>
      <c r="R95" s="27"/>
    </row>
    <row r="96" ht="24.75" customHeight="1">
      <c r="A96" s="18" t="s">
        <v>2818</v>
      </c>
      <c r="B96" s="19" t="s">
        <v>44</v>
      </c>
      <c r="C96" s="19" t="s">
        <v>52</v>
      </c>
      <c r="D96" s="20" t="str">
        <f>SUMIFS('Element wise-detail Summary'!F:F,'Element wise-detail Summary'!B:B,Location_Summary!B96,'Element wise-detail Summary'!C:C,Location_Summary!C96,'Element wise-detail Summary'!D:D,Location_Summary!A96)</f>
        <v>0</v>
      </c>
      <c r="E96" s="117" t="str">
        <f>SUMIFS('Element wise-detail Summary'!$F$3:$F$1048576,'Element wise-detail Summary'!$B$3:$B$1048576,Location_Summary!$B96,'Element wise-detail Summary'!$C$3:$C$1048576,Location_Summary!C96,'Element wise-detail Summary'!$D$3:$D$1048576,Location_Summary!A96)</f>
        <v>0</v>
      </c>
      <c r="F96" s="22" t="str">
        <f>SUMIFS('Element wise-detail Summary'!$G$3:$G$1048576,'Element wise-detail Summary'!$B$3:$B$1048576,Location_Summary!$B96,'Element wise-detail Summary'!$C$3:$C$1048576,Location_Summary!C96,'Element wise-detail Summary'!$D$3:$D$1048576,Location_Summary!A96)</f>
        <v>0</v>
      </c>
      <c r="G96" s="20" t="str">
        <f t="shared" si="9"/>
        <v>0</v>
      </c>
      <c r="H96" s="23" t="str">
        <f t="shared" si="10"/>
        <v>#DIV/0!</v>
      </c>
      <c r="I96" s="22" t="str">
        <f>SUMIFS('Element wise-detail Summary'!$I$3:$I$1048576,'Element wise-detail Summary'!$B$3:$B$1048576,B96,'Element wise-detail Summary'!$C$3:$C$1048576,C96,'Element wise-detail Summary'!$D$3:$D$1048576,Location_Summary!A96)</f>
        <v>0</v>
      </c>
      <c r="J96" s="20" t="str">
        <f t="shared" si="11"/>
        <v>0</v>
      </c>
      <c r="K96" s="24" t="str">
        <f t="shared" si="12"/>
        <v>#DIV/0!</v>
      </c>
      <c r="L96" s="25" t="str">
        <f t="shared" si="13"/>
        <v>0</v>
      </c>
      <c r="M96" s="22" t="str">
        <f>SUMIFS('Element wise-detail Summary'!$M$3:$M$1048576,'Element wise-detail Summary'!$B$3:$B$1048576,B96,'Element wise-detail Summary'!$C$3:$C$1048576,C96,'Element wise-detail Summary'!$D$3:$D$1048576,Location_Summary!A96)</f>
        <v>0</v>
      </c>
      <c r="N96" s="20" t="str">
        <f t="shared" si="14"/>
        <v>0</v>
      </c>
      <c r="O96" s="24" t="str">
        <f t="shared" si="15"/>
        <v>#DIV/0!</v>
      </c>
      <c r="P96" s="118"/>
      <c r="Q96" s="27" t="str">
        <f t="shared" si="16"/>
        <v>0</v>
      </c>
      <c r="R96" s="27"/>
    </row>
    <row r="97" ht="24.75" customHeight="1">
      <c r="A97" s="18" t="s">
        <v>2818</v>
      </c>
      <c r="B97" s="19" t="s">
        <v>54</v>
      </c>
      <c r="C97" s="19" t="s">
        <v>55</v>
      </c>
      <c r="D97" s="20" t="str">
        <f>SUMIFS('Element wise-detail Summary'!F:F,'Element wise-detail Summary'!B:B,Location_Summary!B97,'Element wise-detail Summary'!C:C,Location_Summary!C97,'Element wise-detail Summary'!D:D,Location_Summary!A97)</f>
        <v>0</v>
      </c>
      <c r="E97" s="117" t="str">
        <f>SUMIFS('Element wise-detail Summary'!$F$3:$F$1048576,'Element wise-detail Summary'!$B$3:$B$1048576,Location_Summary!$B97,'Element wise-detail Summary'!$C$3:$C$1048576,Location_Summary!C97,'Element wise-detail Summary'!$D$3:$D$1048576,Location_Summary!A97)</f>
        <v>0</v>
      </c>
      <c r="F97" s="22" t="str">
        <f>SUMIFS('Element wise-detail Summary'!$G$3:$G$1048576,'Element wise-detail Summary'!$B$3:$B$1048576,Location_Summary!$B97,'Element wise-detail Summary'!$C$3:$C$1048576,Location_Summary!C97,'Element wise-detail Summary'!$D$3:$D$1048576,Location_Summary!A97)</f>
        <v>0</v>
      </c>
      <c r="G97" s="20" t="str">
        <f t="shared" si="9"/>
        <v>0</v>
      </c>
      <c r="H97" s="23" t="str">
        <f t="shared" si="10"/>
        <v>#DIV/0!</v>
      </c>
      <c r="I97" s="22" t="str">
        <f>SUMIFS('Element wise-detail Summary'!$I$3:$I$1048576,'Element wise-detail Summary'!$B$3:$B$1048576,B97,'Element wise-detail Summary'!$C$3:$C$1048576,C97,'Element wise-detail Summary'!$D$3:$D$1048576,Location_Summary!A97)</f>
        <v>0</v>
      </c>
      <c r="J97" s="20" t="str">
        <f t="shared" si="11"/>
        <v>0</v>
      </c>
      <c r="K97" s="24" t="str">
        <f t="shared" si="12"/>
        <v>#DIV/0!</v>
      </c>
      <c r="L97" s="25" t="str">
        <f t="shared" si="13"/>
        <v>0</v>
      </c>
      <c r="M97" s="22" t="str">
        <f>SUMIFS('Element wise-detail Summary'!$M$3:$M$1048576,'Element wise-detail Summary'!$B$3:$B$1048576,B97,'Element wise-detail Summary'!$C$3:$C$1048576,C97,'Element wise-detail Summary'!$D$3:$D$1048576,Location_Summary!A97)</f>
        <v>0</v>
      </c>
      <c r="N97" s="20" t="str">
        <f t="shared" si="14"/>
        <v>0</v>
      </c>
      <c r="O97" s="24" t="str">
        <f t="shared" si="15"/>
        <v>#DIV/0!</v>
      </c>
      <c r="P97" s="118"/>
      <c r="Q97" s="27" t="str">
        <f t="shared" si="16"/>
        <v>0</v>
      </c>
      <c r="R97" s="27"/>
    </row>
    <row r="98" ht="24.75" customHeight="1">
      <c r="A98" s="18" t="s">
        <v>2818</v>
      </c>
      <c r="B98" s="19" t="s">
        <v>54</v>
      </c>
      <c r="C98" s="19" t="s">
        <v>57</v>
      </c>
      <c r="D98" s="20" t="str">
        <f>SUMIFS('Element wise-detail Summary'!F:F,'Element wise-detail Summary'!B:B,Location_Summary!B98,'Element wise-detail Summary'!C:C,Location_Summary!C98,'Element wise-detail Summary'!D:D,Location_Summary!A98)</f>
        <v>0</v>
      </c>
      <c r="E98" s="117" t="str">
        <f>SUMIFS('Element wise-detail Summary'!$F$3:$F$1048576,'Element wise-detail Summary'!$B$3:$B$1048576,Location_Summary!$B98,'Element wise-detail Summary'!$C$3:$C$1048576,Location_Summary!C98,'Element wise-detail Summary'!$D$3:$D$1048576,Location_Summary!A98)</f>
        <v>0</v>
      </c>
      <c r="F98" s="22" t="str">
        <f>SUMIFS('Element wise-detail Summary'!$G$3:$G$1048576,'Element wise-detail Summary'!$B$3:$B$1048576,Location_Summary!$B98,'Element wise-detail Summary'!$C$3:$C$1048576,Location_Summary!C98,'Element wise-detail Summary'!$D$3:$D$1048576,Location_Summary!A98)</f>
        <v>0</v>
      </c>
      <c r="G98" s="20" t="str">
        <f t="shared" si="9"/>
        <v>0</v>
      </c>
      <c r="H98" s="23" t="str">
        <f t="shared" si="10"/>
        <v>#DIV/0!</v>
      </c>
      <c r="I98" s="22" t="str">
        <f>SUMIFS('Element wise-detail Summary'!$I$3:$I$1048576,'Element wise-detail Summary'!$B$3:$B$1048576,B98,'Element wise-detail Summary'!$C$3:$C$1048576,C98,'Element wise-detail Summary'!$D$3:$D$1048576,Location_Summary!A98)</f>
        <v>0</v>
      </c>
      <c r="J98" s="20" t="str">
        <f t="shared" si="11"/>
        <v>0</v>
      </c>
      <c r="K98" s="24" t="str">
        <f t="shared" si="12"/>
        <v>#DIV/0!</v>
      </c>
      <c r="L98" s="25" t="str">
        <f t="shared" si="13"/>
        <v>0</v>
      </c>
      <c r="M98" s="22" t="str">
        <f>SUMIFS('Element wise-detail Summary'!$M$3:$M$1048576,'Element wise-detail Summary'!$B$3:$B$1048576,B98,'Element wise-detail Summary'!$C$3:$C$1048576,C98,'Element wise-detail Summary'!$D$3:$D$1048576,Location_Summary!A98)</f>
        <v>0</v>
      </c>
      <c r="N98" s="20" t="str">
        <f t="shared" si="14"/>
        <v>0</v>
      </c>
      <c r="O98" s="24" t="str">
        <f t="shared" si="15"/>
        <v>#DIV/0!</v>
      </c>
      <c r="P98" s="118"/>
      <c r="Q98" s="27" t="str">
        <f t="shared" si="16"/>
        <v>0</v>
      </c>
      <c r="R98" s="27"/>
    </row>
    <row r="99" ht="24.75" customHeight="1">
      <c r="A99" s="18" t="s">
        <v>2818</v>
      </c>
      <c r="B99" s="19" t="s">
        <v>54</v>
      </c>
      <c r="C99" s="19" t="s">
        <v>58</v>
      </c>
      <c r="D99" s="20" t="str">
        <f>SUMIFS('Element wise-detail Summary'!F:F,'Element wise-detail Summary'!B:B,Location_Summary!B99,'Element wise-detail Summary'!C:C,Location_Summary!C99,'Element wise-detail Summary'!D:D,Location_Summary!A99)</f>
        <v>0</v>
      </c>
      <c r="E99" s="117" t="str">
        <f>SUMIFS('Element wise-detail Summary'!$F$3:$F$1048576,'Element wise-detail Summary'!$B$3:$B$1048576,Location_Summary!$B99,'Element wise-detail Summary'!$C$3:$C$1048576,Location_Summary!C99,'Element wise-detail Summary'!$D$3:$D$1048576,Location_Summary!A99)</f>
        <v>0</v>
      </c>
      <c r="F99" s="22" t="str">
        <f>SUMIFS('Element wise-detail Summary'!$G$3:$G$1048576,'Element wise-detail Summary'!$B$3:$B$1048576,Location_Summary!$B99,'Element wise-detail Summary'!$C$3:$C$1048576,Location_Summary!C99,'Element wise-detail Summary'!$D$3:$D$1048576,Location_Summary!A99)</f>
        <v>0</v>
      </c>
      <c r="G99" s="20" t="str">
        <f t="shared" si="9"/>
        <v>0</v>
      </c>
      <c r="H99" s="23" t="str">
        <f t="shared" si="10"/>
        <v>#DIV/0!</v>
      </c>
      <c r="I99" s="22" t="str">
        <f>SUMIFS('Element wise-detail Summary'!$I$3:$I$1048576,'Element wise-detail Summary'!$B$3:$B$1048576,B99,'Element wise-detail Summary'!$C$3:$C$1048576,C99,'Element wise-detail Summary'!$D$3:$D$1048576,Location_Summary!A99)</f>
        <v>0</v>
      </c>
      <c r="J99" s="20" t="str">
        <f t="shared" si="11"/>
        <v>0</v>
      </c>
      <c r="K99" s="24" t="str">
        <f t="shared" si="12"/>
        <v>#DIV/0!</v>
      </c>
      <c r="L99" s="25" t="str">
        <f t="shared" si="13"/>
        <v>0</v>
      </c>
      <c r="M99" s="22" t="str">
        <f>SUMIFS('Element wise-detail Summary'!$M$3:$M$1048576,'Element wise-detail Summary'!$B$3:$B$1048576,B99,'Element wise-detail Summary'!$C$3:$C$1048576,C99,'Element wise-detail Summary'!$D$3:$D$1048576,Location_Summary!A99)</f>
        <v>0</v>
      </c>
      <c r="N99" s="20" t="str">
        <f t="shared" si="14"/>
        <v>0</v>
      </c>
      <c r="O99" s="24" t="str">
        <f t="shared" si="15"/>
        <v>#DIV/0!</v>
      </c>
      <c r="P99" s="118"/>
      <c r="Q99" s="27" t="str">
        <f t="shared" si="16"/>
        <v>0</v>
      </c>
      <c r="R99" s="27"/>
    </row>
    <row r="100" ht="24.75" customHeight="1">
      <c r="A100" s="18" t="s">
        <v>2818</v>
      </c>
      <c r="B100" s="19" t="s">
        <v>54</v>
      </c>
      <c r="C100" s="19" t="s">
        <v>59</v>
      </c>
      <c r="D100" s="20" t="str">
        <f>SUMIFS('Element wise-detail Summary'!F:F,'Element wise-detail Summary'!B:B,Location_Summary!B100,'Element wise-detail Summary'!C:C,Location_Summary!C100,'Element wise-detail Summary'!D:D,Location_Summary!A100)</f>
        <v>0</v>
      </c>
      <c r="E100" s="117" t="str">
        <f>SUMIFS('Element wise-detail Summary'!$F$3:$F$1048576,'Element wise-detail Summary'!$B$3:$B$1048576,Location_Summary!$B100,'Element wise-detail Summary'!$C$3:$C$1048576,Location_Summary!C100,'Element wise-detail Summary'!$D$3:$D$1048576,Location_Summary!A100)</f>
        <v>0</v>
      </c>
      <c r="F100" s="22" t="str">
        <f>SUMIFS('Element wise-detail Summary'!$G$3:$G$1048576,'Element wise-detail Summary'!$B$3:$B$1048576,Location_Summary!$B100,'Element wise-detail Summary'!$C$3:$C$1048576,Location_Summary!C100,'Element wise-detail Summary'!$D$3:$D$1048576,Location_Summary!A100)</f>
        <v>0</v>
      </c>
      <c r="G100" s="20" t="str">
        <f t="shared" si="9"/>
        <v>0</v>
      </c>
      <c r="H100" s="23" t="str">
        <f t="shared" si="10"/>
        <v>#DIV/0!</v>
      </c>
      <c r="I100" s="22" t="str">
        <f>SUMIFS('Element wise-detail Summary'!$I$3:$I$1048576,'Element wise-detail Summary'!$B$3:$B$1048576,B100,'Element wise-detail Summary'!$C$3:$C$1048576,C100,'Element wise-detail Summary'!$D$3:$D$1048576,Location_Summary!A100)</f>
        <v>0</v>
      </c>
      <c r="J100" s="20" t="str">
        <f t="shared" si="11"/>
        <v>0</v>
      </c>
      <c r="K100" s="24" t="str">
        <f t="shared" si="12"/>
        <v>#DIV/0!</v>
      </c>
      <c r="L100" s="25" t="str">
        <f t="shared" si="13"/>
        <v>0</v>
      </c>
      <c r="M100" s="22" t="str">
        <f>SUMIFS('Element wise-detail Summary'!$M$3:$M$1048576,'Element wise-detail Summary'!$B$3:$B$1048576,B100,'Element wise-detail Summary'!$C$3:$C$1048576,C100,'Element wise-detail Summary'!$D$3:$D$1048576,Location_Summary!A100)</f>
        <v>0</v>
      </c>
      <c r="N100" s="20" t="str">
        <f t="shared" si="14"/>
        <v>0</v>
      </c>
      <c r="O100" s="24" t="str">
        <f t="shared" si="15"/>
        <v>#DIV/0!</v>
      </c>
      <c r="P100" s="118"/>
      <c r="Q100" s="27" t="str">
        <f t="shared" si="16"/>
        <v>0</v>
      </c>
      <c r="R100" s="27"/>
    </row>
    <row r="101" ht="24.75" customHeight="1">
      <c r="A101" s="18" t="s">
        <v>2818</v>
      </c>
      <c r="B101" s="19" t="s">
        <v>54</v>
      </c>
      <c r="C101" s="19" t="s">
        <v>60</v>
      </c>
      <c r="D101" s="20" t="str">
        <f>SUMIFS('Element wise-detail Summary'!F:F,'Element wise-detail Summary'!B:B,Location_Summary!B101,'Element wise-detail Summary'!C:C,Location_Summary!C101,'Element wise-detail Summary'!D:D,Location_Summary!A101)</f>
        <v>0</v>
      </c>
      <c r="E101" s="117" t="str">
        <f>SUMIFS('Element wise-detail Summary'!$F$3:$F$1048576,'Element wise-detail Summary'!$B$3:$B$1048576,Location_Summary!$B101,'Element wise-detail Summary'!$C$3:$C$1048576,Location_Summary!C101,'Element wise-detail Summary'!$D$3:$D$1048576,Location_Summary!A101)</f>
        <v>0</v>
      </c>
      <c r="F101" s="22" t="str">
        <f>SUMIFS('Element wise-detail Summary'!$G$3:$G$1048576,'Element wise-detail Summary'!$B$3:$B$1048576,Location_Summary!$B101,'Element wise-detail Summary'!$C$3:$C$1048576,Location_Summary!C101,'Element wise-detail Summary'!$D$3:$D$1048576,Location_Summary!A101)</f>
        <v>0</v>
      </c>
      <c r="G101" s="20" t="str">
        <f t="shared" si="9"/>
        <v>0</v>
      </c>
      <c r="H101" s="23" t="str">
        <f t="shared" si="10"/>
        <v>#DIV/0!</v>
      </c>
      <c r="I101" s="22" t="str">
        <f>SUMIFS('Element wise-detail Summary'!$I$3:$I$1048576,'Element wise-detail Summary'!$B$3:$B$1048576,B101,'Element wise-detail Summary'!$C$3:$C$1048576,C101,'Element wise-detail Summary'!$D$3:$D$1048576,Location_Summary!A101)</f>
        <v>0</v>
      </c>
      <c r="J101" s="20" t="str">
        <f t="shared" si="11"/>
        <v>0</v>
      </c>
      <c r="K101" s="24" t="str">
        <f t="shared" si="12"/>
        <v>#DIV/0!</v>
      </c>
      <c r="L101" s="25" t="str">
        <f t="shared" si="13"/>
        <v>0</v>
      </c>
      <c r="M101" s="22" t="str">
        <f>SUMIFS('Element wise-detail Summary'!$M$3:$M$1048576,'Element wise-detail Summary'!$B$3:$B$1048576,B101,'Element wise-detail Summary'!$C$3:$C$1048576,C101,'Element wise-detail Summary'!$D$3:$D$1048576,Location_Summary!A101)</f>
        <v>0</v>
      </c>
      <c r="N101" s="20" t="str">
        <f t="shared" si="14"/>
        <v>0</v>
      </c>
      <c r="O101" s="24" t="str">
        <f t="shared" si="15"/>
        <v>#DIV/0!</v>
      </c>
      <c r="P101" s="118"/>
      <c r="Q101" s="27" t="str">
        <f t="shared" si="16"/>
        <v>0</v>
      </c>
      <c r="R101" s="27"/>
    </row>
    <row r="102" ht="24.75" customHeight="1">
      <c r="A102" s="18" t="s">
        <v>2818</v>
      </c>
      <c r="B102" s="19" t="s">
        <v>54</v>
      </c>
      <c r="C102" s="19" t="s">
        <v>62</v>
      </c>
      <c r="D102" s="20" t="str">
        <f>SUMIFS('Element wise-detail Summary'!F:F,'Element wise-detail Summary'!B:B,Location_Summary!B102,'Element wise-detail Summary'!C:C,Location_Summary!C102,'Element wise-detail Summary'!D:D,Location_Summary!A102)</f>
        <v>0</v>
      </c>
      <c r="E102" s="117" t="str">
        <f>SUMIFS('Element wise-detail Summary'!$F$3:$F$1048576,'Element wise-detail Summary'!$B$3:$B$1048576,Location_Summary!$B102,'Element wise-detail Summary'!$C$3:$C$1048576,Location_Summary!C102,'Element wise-detail Summary'!$D$3:$D$1048576,Location_Summary!A102)</f>
        <v>0</v>
      </c>
      <c r="F102" s="22" t="str">
        <f>SUMIFS('Element wise-detail Summary'!$G$3:$G$1048576,'Element wise-detail Summary'!$B$3:$B$1048576,Location_Summary!$B102,'Element wise-detail Summary'!$C$3:$C$1048576,Location_Summary!C102,'Element wise-detail Summary'!$D$3:$D$1048576,Location_Summary!A102)</f>
        <v>0</v>
      </c>
      <c r="G102" s="20" t="str">
        <f t="shared" si="9"/>
        <v>0</v>
      </c>
      <c r="H102" s="23" t="str">
        <f t="shared" si="10"/>
        <v>#DIV/0!</v>
      </c>
      <c r="I102" s="22" t="str">
        <f>SUMIFS('Element wise-detail Summary'!$I$3:$I$1048576,'Element wise-detail Summary'!$B$3:$B$1048576,B102,'Element wise-detail Summary'!$C$3:$C$1048576,C102,'Element wise-detail Summary'!$D$3:$D$1048576,Location_Summary!A102)</f>
        <v>0</v>
      </c>
      <c r="J102" s="20" t="str">
        <f t="shared" si="11"/>
        <v>0</v>
      </c>
      <c r="K102" s="24" t="str">
        <f t="shared" si="12"/>
        <v>#DIV/0!</v>
      </c>
      <c r="L102" s="25" t="str">
        <f t="shared" si="13"/>
        <v>0</v>
      </c>
      <c r="M102" s="22" t="str">
        <f>SUMIFS('Element wise-detail Summary'!$M$3:$M$1048576,'Element wise-detail Summary'!$B$3:$B$1048576,B102,'Element wise-detail Summary'!$C$3:$C$1048576,C102,'Element wise-detail Summary'!$D$3:$D$1048576,Location_Summary!A102)</f>
        <v>0</v>
      </c>
      <c r="N102" s="20" t="str">
        <f t="shared" si="14"/>
        <v>0</v>
      </c>
      <c r="O102" s="24" t="str">
        <f t="shared" si="15"/>
        <v>#DIV/0!</v>
      </c>
      <c r="P102" s="118"/>
      <c r="Q102" s="27" t="str">
        <f t="shared" si="16"/>
        <v>0</v>
      </c>
      <c r="R102" s="27"/>
    </row>
    <row r="103" ht="24.75" customHeight="1">
      <c r="A103" s="18" t="s">
        <v>2818</v>
      </c>
      <c r="B103" s="19" t="s">
        <v>54</v>
      </c>
      <c r="C103" s="19" t="s">
        <v>63</v>
      </c>
      <c r="D103" s="20" t="str">
        <f>SUMIFS('Element wise-detail Summary'!F:F,'Element wise-detail Summary'!B:B,Location_Summary!B103,'Element wise-detail Summary'!C:C,Location_Summary!C103,'Element wise-detail Summary'!D:D,Location_Summary!A103)</f>
        <v>0</v>
      </c>
      <c r="E103" s="117" t="str">
        <f>SUMIFS('Element wise-detail Summary'!$F$3:$F$1048576,'Element wise-detail Summary'!$B$3:$B$1048576,Location_Summary!$B103,'Element wise-detail Summary'!$C$3:$C$1048576,Location_Summary!C103,'Element wise-detail Summary'!$D$3:$D$1048576,Location_Summary!A103)</f>
        <v>0</v>
      </c>
      <c r="F103" s="22" t="str">
        <f>SUMIFS('Element wise-detail Summary'!$G$3:$G$1048576,'Element wise-detail Summary'!$B$3:$B$1048576,Location_Summary!$B103,'Element wise-detail Summary'!$C$3:$C$1048576,Location_Summary!C103,'Element wise-detail Summary'!$D$3:$D$1048576,Location_Summary!A103)</f>
        <v>0</v>
      </c>
      <c r="G103" s="20" t="str">
        <f t="shared" si="9"/>
        <v>0</v>
      </c>
      <c r="H103" s="23" t="str">
        <f t="shared" si="10"/>
        <v>#DIV/0!</v>
      </c>
      <c r="I103" s="22" t="str">
        <f>SUMIFS('Element wise-detail Summary'!$I$3:$I$1048576,'Element wise-detail Summary'!$B$3:$B$1048576,B103,'Element wise-detail Summary'!$C$3:$C$1048576,C103,'Element wise-detail Summary'!$D$3:$D$1048576,Location_Summary!A103)</f>
        <v>0</v>
      </c>
      <c r="J103" s="20" t="str">
        <f t="shared" si="11"/>
        <v>0</v>
      </c>
      <c r="K103" s="24" t="str">
        <f t="shared" si="12"/>
        <v>#DIV/0!</v>
      </c>
      <c r="L103" s="25" t="str">
        <f t="shared" si="13"/>
        <v>0</v>
      </c>
      <c r="M103" s="22" t="str">
        <f>SUMIFS('Element wise-detail Summary'!$M$3:$M$1048576,'Element wise-detail Summary'!$B$3:$B$1048576,B103,'Element wise-detail Summary'!$C$3:$C$1048576,C103,'Element wise-detail Summary'!$D$3:$D$1048576,Location_Summary!A103)</f>
        <v>0</v>
      </c>
      <c r="N103" s="20" t="str">
        <f t="shared" si="14"/>
        <v>0</v>
      </c>
      <c r="O103" s="24" t="str">
        <f t="shared" si="15"/>
        <v>#DIV/0!</v>
      </c>
      <c r="P103" s="118"/>
      <c r="Q103" s="27" t="str">
        <f t="shared" si="16"/>
        <v>0</v>
      </c>
      <c r="R103" s="27"/>
    </row>
    <row r="104" ht="24.75" customHeight="1">
      <c r="A104" s="18" t="s">
        <v>2818</v>
      </c>
      <c r="B104" s="19" t="s">
        <v>54</v>
      </c>
      <c r="C104" s="19" t="s">
        <v>64</v>
      </c>
      <c r="D104" s="20" t="str">
        <f>SUMIFS('Element wise-detail Summary'!F:F,'Element wise-detail Summary'!B:B,Location_Summary!B104,'Element wise-detail Summary'!C:C,Location_Summary!C104,'Element wise-detail Summary'!D:D,Location_Summary!A104)</f>
        <v>0</v>
      </c>
      <c r="E104" s="117" t="str">
        <f>SUMIFS('Element wise-detail Summary'!$F$3:$F$1048576,'Element wise-detail Summary'!$B$3:$B$1048576,Location_Summary!$B104,'Element wise-detail Summary'!$C$3:$C$1048576,Location_Summary!C104,'Element wise-detail Summary'!$D$3:$D$1048576,Location_Summary!A104)</f>
        <v>0</v>
      </c>
      <c r="F104" s="22" t="str">
        <f>SUMIFS('Element wise-detail Summary'!$G$3:$G$1048576,'Element wise-detail Summary'!$B$3:$B$1048576,Location_Summary!$B104,'Element wise-detail Summary'!$C$3:$C$1048576,Location_Summary!C104,'Element wise-detail Summary'!$D$3:$D$1048576,Location_Summary!A104)</f>
        <v>0</v>
      </c>
      <c r="G104" s="20" t="str">
        <f t="shared" si="9"/>
        <v>0</v>
      </c>
      <c r="H104" s="23" t="str">
        <f t="shared" si="10"/>
        <v>#DIV/0!</v>
      </c>
      <c r="I104" s="22" t="str">
        <f>SUMIFS('Element wise-detail Summary'!$I$3:$I$1048576,'Element wise-detail Summary'!$B$3:$B$1048576,B104,'Element wise-detail Summary'!$C$3:$C$1048576,C104,'Element wise-detail Summary'!$D$3:$D$1048576,Location_Summary!A104)</f>
        <v>0</v>
      </c>
      <c r="J104" s="20" t="str">
        <f t="shared" si="11"/>
        <v>0</v>
      </c>
      <c r="K104" s="24" t="str">
        <f t="shared" si="12"/>
        <v>#DIV/0!</v>
      </c>
      <c r="L104" s="25" t="str">
        <f t="shared" si="13"/>
        <v>0</v>
      </c>
      <c r="M104" s="22" t="str">
        <f>SUMIFS('Element wise-detail Summary'!$M$3:$M$1048576,'Element wise-detail Summary'!$B$3:$B$1048576,B104,'Element wise-detail Summary'!$C$3:$C$1048576,C104,'Element wise-detail Summary'!$D$3:$D$1048576,Location_Summary!A104)</f>
        <v>0</v>
      </c>
      <c r="N104" s="20" t="str">
        <f t="shared" si="14"/>
        <v>0</v>
      </c>
      <c r="O104" s="24" t="str">
        <f t="shared" si="15"/>
        <v>#DIV/0!</v>
      </c>
      <c r="P104" s="118"/>
      <c r="Q104" s="27" t="str">
        <f t="shared" si="16"/>
        <v>0</v>
      </c>
      <c r="R104" s="27"/>
    </row>
    <row r="105" ht="24.75" customHeight="1">
      <c r="A105" s="18" t="s">
        <v>2818</v>
      </c>
      <c r="B105" s="19" t="s">
        <v>54</v>
      </c>
      <c r="C105" s="19" t="s">
        <v>65</v>
      </c>
      <c r="D105" s="20" t="str">
        <f>SUMIFS('Element wise-detail Summary'!F:F,'Element wise-detail Summary'!B:B,Location_Summary!B105,'Element wise-detail Summary'!C:C,Location_Summary!C105,'Element wise-detail Summary'!D:D,Location_Summary!A105)</f>
        <v>0</v>
      </c>
      <c r="E105" s="117" t="str">
        <f>SUMIFS('Element wise-detail Summary'!$F$3:$F$1048576,'Element wise-detail Summary'!$B$3:$B$1048576,Location_Summary!$B105,'Element wise-detail Summary'!$C$3:$C$1048576,Location_Summary!C105,'Element wise-detail Summary'!$D$3:$D$1048576,Location_Summary!A105)</f>
        <v>0</v>
      </c>
      <c r="F105" s="22" t="str">
        <f>SUMIFS('Element wise-detail Summary'!$G$3:$G$1048576,'Element wise-detail Summary'!$B$3:$B$1048576,Location_Summary!$B105,'Element wise-detail Summary'!$C$3:$C$1048576,Location_Summary!C105,'Element wise-detail Summary'!$D$3:$D$1048576,Location_Summary!A105)</f>
        <v>0</v>
      </c>
      <c r="G105" s="20" t="str">
        <f t="shared" si="9"/>
        <v>0</v>
      </c>
      <c r="H105" s="23" t="str">
        <f t="shared" si="10"/>
        <v>#DIV/0!</v>
      </c>
      <c r="I105" s="22" t="str">
        <f>SUMIFS('Element wise-detail Summary'!$I$3:$I$1048576,'Element wise-detail Summary'!$B$3:$B$1048576,B105,'Element wise-detail Summary'!$C$3:$C$1048576,C105,'Element wise-detail Summary'!$D$3:$D$1048576,Location_Summary!A105)</f>
        <v>0</v>
      </c>
      <c r="J105" s="20" t="str">
        <f t="shared" si="11"/>
        <v>0</v>
      </c>
      <c r="K105" s="24" t="str">
        <f t="shared" si="12"/>
        <v>#DIV/0!</v>
      </c>
      <c r="L105" s="25" t="str">
        <f t="shared" si="13"/>
        <v>0</v>
      </c>
      <c r="M105" s="22" t="str">
        <f>SUMIFS('Element wise-detail Summary'!$M$3:$M$1048576,'Element wise-detail Summary'!$B$3:$B$1048576,B105,'Element wise-detail Summary'!$C$3:$C$1048576,C105,'Element wise-detail Summary'!$D$3:$D$1048576,Location_Summary!A105)</f>
        <v>0</v>
      </c>
      <c r="N105" s="20" t="str">
        <f t="shared" si="14"/>
        <v>0</v>
      </c>
      <c r="O105" s="24" t="str">
        <f t="shared" si="15"/>
        <v>#DIV/0!</v>
      </c>
      <c r="P105" s="118"/>
      <c r="Q105" s="27" t="str">
        <f t="shared" si="16"/>
        <v>0</v>
      </c>
      <c r="R105" s="27"/>
    </row>
    <row r="106" ht="24.75" customHeight="1">
      <c r="A106" s="18" t="s">
        <v>2818</v>
      </c>
      <c r="B106" s="19" t="s">
        <v>83</v>
      </c>
      <c r="C106" s="19" t="s">
        <v>84</v>
      </c>
      <c r="D106" s="20" t="str">
        <f>SUMIFS('Element wise-detail Summary'!F:F,'Element wise-detail Summary'!B:B,Location_Summary!B106,'Element wise-detail Summary'!C:C,Location_Summary!C106,'Element wise-detail Summary'!D:D,Location_Summary!A106)</f>
        <v>0</v>
      </c>
      <c r="E106" s="117" t="str">
        <f>SUMIFS('Element wise-detail Summary'!$F$3:$F$1048576,'Element wise-detail Summary'!$B$3:$B$1048576,Location_Summary!$B106,'Element wise-detail Summary'!$C$3:$C$1048576,Location_Summary!C106,'Element wise-detail Summary'!$D$3:$D$1048576,Location_Summary!A106)</f>
        <v>0</v>
      </c>
      <c r="F106" s="22" t="str">
        <f>SUMIFS('Element wise-detail Summary'!$G$3:$G$1048576,'Element wise-detail Summary'!$B$3:$B$1048576,Location_Summary!$B106,'Element wise-detail Summary'!$C$3:$C$1048576,Location_Summary!C106,'Element wise-detail Summary'!$D$3:$D$1048576,Location_Summary!A106)</f>
        <v>0</v>
      </c>
      <c r="G106" s="20" t="str">
        <f t="shared" si="9"/>
        <v>0</v>
      </c>
      <c r="H106" s="23" t="str">
        <f t="shared" si="10"/>
        <v>#DIV/0!</v>
      </c>
      <c r="I106" s="22" t="str">
        <f>SUMIFS('Element wise-detail Summary'!$I$3:$I$1048576,'Element wise-detail Summary'!$B$3:$B$1048576,B106,'Element wise-detail Summary'!$C$3:$C$1048576,C106,'Element wise-detail Summary'!$D$3:$D$1048576,Location_Summary!A106)</f>
        <v>0</v>
      </c>
      <c r="J106" s="20" t="str">
        <f t="shared" si="11"/>
        <v>0</v>
      </c>
      <c r="K106" s="24" t="str">
        <f t="shared" si="12"/>
        <v>#DIV/0!</v>
      </c>
      <c r="L106" s="25" t="str">
        <f t="shared" si="13"/>
        <v>0</v>
      </c>
      <c r="M106" s="22" t="str">
        <f>SUMIFS('Element wise-detail Summary'!$M$3:$M$1048576,'Element wise-detail Summary'!$B$3:$B$1048576,B106,'Element wise-detail Summary'!$C$3:$C$1048576,C106,'Element wise-detail Summary'!$D$3:$D$1048576,Location_Summary!A106)</f>
        <v>0</v>
      </c>
      <c r="N106" s="20" t="str">
        <f t="shared" si="14"/>
        <v>0</v>
      </c>
      <c r="O106" s="24" t="str">
        <f t="shared" si="15"/>
        <v>#DIV/0!</v>
      </c>
      <c r="P106" s="118"/>
      <c r="Q106" s="27" t="str">
        <f t="shared" si="16"/>
        <v>0</v>
      </c>
      <c r="R106" s="27"/>
    </row>
    <row r="107" ht="24.75" customHeight="1">
      <c r="A107" s="18" t="s">
        <v>2818</v>
      </c>
      <c r="B107" s="19" t="s">
        <v>83</v>
      </c>
      <c r="C107" s="19" t="s">
        <v>85</v>
      </c>
      <c r="D107" s="20" t="str">
        <f>SUMIFS('Element wise-detail Summary'!F:F,'Element wise-detail Summary'!B:B,Location_Summary!B107,'Element wise-detail Summary'!C:C,Location_Summary!C107,'Element wise-detail Summary'!D:D,Location_Summary!A107)</f>
        <v>0</v>
      </c>
      <c r="E107" s="117" t="str">
        <f>SUMIFS('Element wise-detail Summary'!$F$3:$F$1048576,'Element wise-detail Summary'!$B$3:$B$1048576,Location_Summary!$B107,'Element wise-detail Summary'!$C$3:$C$1048576,Location_Summary!C107,'Element wise-detail Summary'!$D$3:$D$1048576,Location_Summary!A107)</f>
        <v>0</v>
      </c>
      <c r="F107" s="22" t="str">
        <f>SUMIFS('Element wise-detail Summary'!$G$3:$G$1048576,'Element wise-detail Summary'!$B$3:$B$1048576,Location_Summary!$B107,'Element wise-detail Summary'!$C$3:$C$1048576,Location_Summary!C107,'Element wise-detail Summary'!$D$3:$D$1048576,Location_Summary!A107)</f>
        <v>0</v>
      </c>
      <c r="G107" s="20" t="str">
        <f t="shared" si="9"/>
        <v>0</v>
      </c>
      <c r="H107" s="23" t="str">
        <f t="shared" si="10"/>
        <v>#DIV/0!</v>
      </c>
      <c r="I107" s="22" t="str">
        <f>SUMIFS('Element wise-detail Summary'!$I$3:$I$1048576,'Element wise-detail Summary'!$B$3:$B$1048576,B107,'Element wise-detail Summary'!$C$3:$C$1048576,C107,'Element wise-detail Summary'!$D$3:$D$1048576,Location_Summary!A107)</f>
        <v>0</v>
      </c>
      <c r="J107" s="20" t="str">
        <f t="shared" si="11"/>
        <v>0</v>
      </c>
      <c r="K107" s="24" t="str">
        <f t="shared" si="12"/>
        <v>#DIV/0!</v>
      </c>
      <c r="L107" s="25" t="str">
        <f t="shared" si="13"/>
        <v>0</v>
      </c>
      <c r="M107" s="22" t="str">
        <f>SUMIFS('Element wise-detail Summary'!$M$3:$M$1048576,'Element wise-detail Summary'!$B$3:$B$1048576,B107,'Element wise-detail Summary'!$C$3:$C$1048576,C107,'Element wise-detail Summary'!$D$3:$D$1048576,Location_Summary!A107)</f>
        <v>0</v>
      </c>
      <c r="N107" s="20" t="str">
        <f t="shared" si="14"/>
        <v>0</v>
      </c>
      <c r="O107" s="24" t="str">
        <f t="shared" si="15"/>
        <v>#DIV/0!</v>
      </c>
      <c r="P107" s="118"/>
      <c r="Q107" s="27" t="str">
        <f t="shared" si="16"/>
        <v>0</v>
      </c>
      <c r="R107" s="27"/>
    </row>
    <row r="108" ht="24.75" customHeight="1">
      <c r="A108" s="18" t="s">
        <v>2818</v>
      </c>
      <c r="B108" s="19" t="s">
        <v>83</v>
      </c>
      <c r="C108" s="19" t="s">
        <v>86</v>
      </c>
      <c r="D108" s="20" t="str">
        <f>SUMIFS('Element wise-detail Summary'!F:F,'Element wise-detail Summary'!B:B,Location_Summary!B108,'Element wise-detail Summary'!C:C,Location_Summary!C108,'Element wise-detail Summary'!D:D,Location_Summary!A108)</f>
        <v>0</v>
      </c>
      <c r="E108" s="117" t="str">
        <f>SUMIFS('Element wise-detail Summary'!$F$3:$F$1048576,'Element wise-detail Summary'!$B$3:$B$1048576,Location_Summary!$B108,'Element wise-detail Summary'!$C$3:$C$1048576,Location_Summary!C108,'Element wise-detail Summary'!$D$3:$D$1048576,Location_Summary!A108)</f>
        <v>0</v>
      </c>
      <c r="F108" s="22" t="str">
        <f>SUMIFS('Element wise-detail Summary'!$G$3:$G$1048576,'Element wise-detail Summary'!$B$3:$B$1048576,Location_Summary!$B108,'Element wise-detail Summary'!$C$3:$C$1048576,Location_Summary!C108,'Element wise-detail Summary'!$D$3:$D$1048576,Location_Summary!A108)</f>
        <v>0</v>
      </c>
      <c r="G108" s="20" t="str">
        <f t="shared" si="9"/>
        <v>0</v>
      </c>
      <c r="H108" s="23" t="str">
        <f t="shared" si="10"/>
        <v>#DIV/0!</v>
      </c>
      <c r="I108" s="22" t="str">
        <f>SUMIFS('Element wise-detail Summary'!$I$3:$I$1048576,'Element wise-detail Summary'!$B$3:$B$1048576,B108,'Element wise-detail Summary'!$C$3:$C$1048576,C108,'Element wise-detail Summary'!$D$3:$D$1048576,Location_Summary!A108)</f>
        <v>0</v>
      </c>
      <c r="J108" s="20" t="str">
        <f t="shared" si="11"/>
        <v>0</v>
      </c>
      <c r="K108" s="24" t="str">
        <f t="shared" si="12"/>
        <v>#DIV/0!</v>
      </c>
      <c r="L108" s="25" t="str">
        <f t="shared" si="13"/>
        <v>0</v>
      </c>
      <c r="M108" s="22" t="str">
        <f>SUMIFS('Element wise-detail Summary'!$M$3:$M$1048576,'Element wise-detail Summary'!$B$3:$B$1048576,B108,'Element wise-detail Summary'!$C$3:$C$1048576,C108,'Element wise-detail Summary'!$D$3:$D$1048576,Location_Summary!A108)</f>
        <v>0</v>
      </c>
      <c r="N108" s="20" t="str">
        <f t="shared" si="14"/>
        <v>0</v>
      </c>
      <c r="O108" s="24" t="str">
        <f t="shared" si="15"/>
        <v>#DIV/0!</v>
      </c>
      <c r="P108" s="118"/>
      <c r="Q108" s="27" t="str">
        <f t="shared" si="16"/>
        <v>0</v>
      </c>
      <c r="R108" s="27"/>
    </row>
    <row r="109" ht="24.75" customHeight="1">
      <c r="A109" s="18" t="s">
        <v>2818</v>
      </c>
      <c r="B109" s="19" t="s">
        <v>83</v>
      </c>
      <c r="C109" s="19" t="s">
        <v>87</v>
      </c>
      <c r="D109" s="20" t="str">
        <f>SUMIFS('Element wise-detail Summary'!F:F,'Element wise-detail Summary'!B:B,Location_Summary!B109,'Element wise-detail Summary'!C:C,Location_Summary!C109,'Element wise-detail Summary'!D:D,Location_Summary!A109)</f>
        <v>0</v>
      </c>
      <c r="E109" s="117" t="str">
        <f>SUMIFS('Element wise-detail Summary'!$F$3:$F$1048576,'Element wise-detail Summary'!$B$3:$B$1048576,Location_Summary!$B109,'Element wise-detail Summary'!$C$3:$C$1048576,Location_Summary!C109,'Element wise-detail Summary'!$D$3:$D$1048576,Location_Summary!A109)</f>
        <v>0</v>
      </c>
      <c r="F109" s="22" t="str">
        <f>SUMIFS('Element wise-detail Summary'!$G$3:$G$1048576,'Element wise-detail Summary'!$B$3:$B$1048576,Location_Summary!$B109,'Element wise-detail Summary'!$C$3:$C$1048576,Location_Summary!C109,'Element wise-detail Summary'!$D$3:$D$1048576,Location_Summary!A109)</f>
        <v>0</v>
      </c>
      <c r="G109" s="20" t="str">
        <f t="shared" si="9"/>
        <v>0</v>
      </c>
      <c r="H109" s="23" t="str">
        <f t="shared" si="10"/>
        <v>#DIV/0!</v>
      </c>
      <c r="I109" s="22" t="str">
        <f>SUMIFS('Element wise-detail Summary'!$I$3:$I$1048576,'Element wise-detail Summary'!$B$3:$B$1048576,B109,'Element wise-detail Summary'!$C$3:$C$1048576,C109,'Element wise-detail Summary'!$D$3:$D$1048576,Location_Summary!A109)</f>
        <v>0</v>
      </c>
      <c r="J109" s="20" t="str">
        <f t="shared" si="11"/>
        <v>0</v>
      </c>
      <c r="K109" s="24" t="str">
        <f t="shared" si="12"/>
        <v>#DIV/0!</v>
      </c>
      <c r="L109" s="25" t="str">
        <f t="shared" si="13"/>
        <v>0</v>
      </c>
      <c r="M109" s="22" t="str">
        <f>SUMIFS('Element wise-detail Summary'!$M$3:$M$1048576,'Element wise-detail Summary'!$B$3:$B$1048576,B109,'Element wise-detail Summary'!$C$3:$C$1048576,C109,'Element wise-detail Summary'!$D$3:$D$1048576,Location_Summary!A109)</f>
        <v>0</v>
      </c>
      <c r="N109" s="20" t="str">
        <f t="shared" si="14"/>
        <v>0</v>
      </c>
      <c r="O109" s="24" t="str">
        <f t="shared" si="15"/>
        <v>#DIV/0!</v>
      </c>
      <c r="P109" s="118"/>
      <c r="Q109" s="27" t="str">
        <f t="shared" si="16"/>
        <v>0</v>
      </c>
      <c r="R109" s="27"/>
    </row>
    <row r="110" ht="24.75" customHeight="1">
      <c r="A110" s="18" t="s">
        <v>2818</v>
      </c>
      <c r="B110" s="19" t="s">
        <v>83</v>
      </c>
      <c r="C110" s="19" t="s">
        <v>88</v>
      </c>
      <c r="D110" s="20" t="str">
        <f>SUMIFS('Element wise-detail Summary'!F:F,'Element wise-detail Summary'!B:B,Location_Summary!B110,'Element wise-detail Summary'!C:C,Location_Summary!C110,'Element wise-detail Summary'!D:D,Location_Summary!A110)</f>
        <v>0</v>
      </c>
      <c r="E110" s="117" t="str">
        <f>SUMIFS('Element wise-detail Summary'!$F$3:$F$1048576,'Element wise-detail Summary'!$B$3:$B$1048576,Location_Summary!$B110,'Element wise-detail Summary'!$C$3:$C$1048576,Location_Summary!C110,'Element wise-detail Summary'!$D$3:$D$1048576,Location_Summary!A110)</f>
        <v>0</v>
      </c>
      <c r="F110" s="22" t="str">
        <f>SUMIFS('Element wise-detail Summary'!$G$3:$G$1048576,'Element wise-detail Summary'!$B$3:$B$1048576,Location_Summary!$B110,'Element wise-detail Summary'!$C$3:$C$1048576,Location_Summary!C110,'Element wise-detail Summary'!$D$3:$D$1048576,Location_Summary!A110)</f>
        <v>0</v>
      </c>
      <c r="G110" s="20" t="str">
        <f t="shared" si="9"/>
        <v>0</v>
      </c>
      <c r="H110" s="23" t="str">
        <f t="shared" si="10"/>
        <v>#DIV/0!</v>
      </c>
      <c r="I110" s="22" t="str">
        <f>SUMIFS('Element wise-detail Summary'!$I$3:$I$1048576,'Element wise-detail Summary'!$B$3:$B$1048576,B110,'Element wise-detail Summary'!$C$3:$C$1048576,C110,'Element wise-detail Summary'!$D$3:$D$1048576,Location_Summary!A110)</f>
        <v>0</v>
      </c>
      <c r="J110" s="20" t="str">
        <f t="shared" si="11"/>
        <v>0</v>
      </c>
      <c r="K110" s="24" t="str">
        <f t="shared" si="12"/>
        <v>#DIV/0!</v>
      </c>
      <c r="L110" s="25" t="str">
        <f t="shared" si="13"/>
        <v>0</v>
      </c>
      <c r="M110" s="22" t="str">
        <f>SUMIFS('Element wise-detail Summary'!$M$3:$M$1048576,'Element wise-detail Summary'!$B$3:$B$1048576,B110,'Element wise-detail Summary'!$C$3:$C$1048576,C110,'Element wise-detail Summary'!$D$3:$D$1048576,Location_Summary!A110)</f>
        <v>0</v>
      </c>
      <c r="N110" s="20" t="str">
        <f t="shared" si="14"/>
        <v>0</v>
      </c>
      <c r="O110" s="24" t="str">
        <f t="shared" si="15"/>
        <v>#DIV/0!</v>
      </c>
      <c r="P110" s="118"/>
      <c r="Q110" s="27" t="str">
        <f t="shared" si="16"/>
        <v>0</v>
      </c>
      <c r="R110" s="27"/>
    </row>
    <row r="111" ht="24.75" customHeight="1">
      <c r="A111" s="18" t="s">
        <v>2818</v>
      </c>
      <c r="B111" s="19" t="s">
        <v>83</v>
      </c>
      <c r="C111" s="19" t="s">
        <v>89</v>
      </c>
      <c r="D111" s="20" t="str">
        <f>SUMIFS('Element wise-detail Summary'!F:F,'Element wise-detail Summary'!B:B,Location_Summary!B111,'Element wise-detail Summary'!C:C,Location_Summary!C111,'Element wise-detail Summary'!D:D,Location_Summary!A111)</f>
        <v>0</v>
      </c>
      <c r="E111" s="117" t="str">
        <f>SUMIFS('Element wise-detail Summary'!$F$3:$F$1048576,'Element wise-detail Summary'!$B$3:$B$1048576,Location_Summary!$B111,'Element wise-detail Summary'!$C$3:$C$1048576,Location_Summary!C111,'Element wise-detail Summary'!$D$3:$D$1048576,Location_Summary!A111)</f>
        <v>0</v>
      </c>
      <c r="F111" s="22" t="str">
        <f>SUMIFS('Element wise-detail Summary'!$G$3:$G$1048576,'Element wise-detail Summary'!$B$3:$B$1048576,Location_Summary!$B111,'Element wise-detail Summary'!$C$3:$C$1048576,Location_Summary!C111,'Element wise-detail Summary'!$D$3:$D$1048576,Location_Summary!A111)</f>
        <v>0</v>
      </c>
      <c r="G111" s="20" t="str">
        <f t="shared" si="9"/>
        <v>0</v>
      </c>
      <c r="H111" s="23" t="str">
        <f t="shared" si="10"/>
        <v>#DIV/0!</v>
      </c>
      <c r="I111" s="22" t="str">
        <f>SUMIFS('Element wise-detail Summary'!$I$3:$I$1048576,'Element wise-detail Summary'!$B$3:$B$1048576,B111,'Element wise-detail Summary'!$C$3:$C$1048576,C111,'Element wise-detail Summary'!$D$3:$D$1048576,Location_Summary!A111)</f>
        <v>0</v>
      </c>
      <c r="J111" s="20" t="str">
        <f t="shared" si="11"/>
        <v>0</v>
      </c>
      <c r="K111" s="24" t="str">
        <f t="shared" si="12"/>
        <v>#DIV/0!</v>
      </c>
      <c r="L111" s="25" t="str">
        <f t="shared" si="13"/>
        <v>0</v>
      </c>
      <c r="M111" s="22" t="str">
        <f>SUMIFS('Element wise-detail Summary'!$M$3:$M$1048576,'Element wise-detail Summary'!$B$3:$B$1048576,B111,'Element wise-detail Summary'!$C$3:$C$1048576,C111,'Element wise-detail Summary'!$D$3:$D$1048576,Location_Summary!A111)</f>
        <v>0</v>
      </c>
      <c r="N111" s="20" t="str">
        <f t="shared" si="14"/>
        <v>0</v>
      </c>
      <c r="O111" s="24" t="str">
        <f t="shared" si="15"/>
        <v>#DIV/0!</v>
      </c>
      <c r="P111" s="118"/>
      <c r="Q111" s="27" t="str">
        <f t="shared" si="16"/>
        <v>0</v>
      </c>
      <c r="R111" s="27"/>
    </row>
    <row r="112" ht="24.75" customHeight="1">
      <c r="A112" s="18" t="s">
        <v>2818</v>
      </c>
      <c r="B112" s="19" t="s">
        <v>83</v>
      </c>
      <c r="C112" s="19" t="s">
        <v>90</v>
      </c>
      <c r="D112" s="20" t="str">
        <f>SUMIFS('Element wise-detail Summary'!F:F,'Element wise-detail Summary'!B:B,Location_Summary!B112,'Element wise-detail Summary'!C:C,Location_Summary!C112,'Element wise-detail Summary'!D:D,Location_Summary!A112)</f>
        <v>0</v>
      </c>
      <c r="E112" s="117" t="str">
        <f>SUMIFS('Element wise-detail Summary'!$F$3:$F$1048576,'Element wise-detail Summary'!$B$3:$B$1048576,Location_Summary!$B112,'Element wise-detail Summary'!$C$3:$C$1048576,Location_Summary!C112,'Element wise-detail Summary'!$D$3:$D$1048576,Location_Summary!A112)</f>
        <v>0</v>
      </c>
      <c r="F112" s="22" t="str">
        <f>SUMIFS('Element wise-detail Summary'!$G$3:$G$1048576,'Element wise-detail Summary'!$B$3:$B$1048576,Location_Summary!$B112,'Element wise-detail Summary'!$C$3:$C$1048576,Location_Summary!C112,'Element wise-detail Summary'!$D$3:$D$1048576,Location_Summary!A112)</f>
        <v>0</v>
      </c>
      <c r="G112" s="20" t="str">
        <f t="shared" si="9"/>
        <v>0</v>
      </c>
      <c r="H112" s="23" t="str">
        <f t="shared" si="10"/>
        <v>#DIV/0!</v>
      </c>
      <c r="I112" s="22" t="str">
        <f>SUMIFS('Element wise-detail Summary'!$I$3:$I$1048576,'Element wise-detail Summary'!$B$3:$B$1048576,B112,'Element wise-detail Summary'!$C$3:$C$1048576,C112,'Element wise-detail Summary'!$D$3:$D$1048576,Location_Summary!A112)</f>
        <v>0</v>
      </c>
      <c r="J112" s="20" t="str">
        <f t="shared" si="11"/>
        <v>0</v>
      </c>
      <c r="K112" s="24" t="str">
        <f t="shared" si="12"/>
        <v>#DIV/0!</v>
      </c>
      <c r="L112" s="25" t="str">
        <f t="shared" si="13"/>
        <v>0</v>
      </c>
      <c r="M112" s="22" t="str">
        <f>SUMIFS('Element wise-detail Summary'!$M$3:$M$1048576,'Element wise-detail Summary'!$B$3:$B$1048576,B112,'Element wise-detail Summary'!$C$3:$C$1048576,C112,'Element wise-detail Summary'!$D$3:$D$1048576,Location_Summary!A112)</f>
        <v>0</v>
      </c>
      <c r="N112" s="20" t="str">
        <f t="shared" si="14"/>
        <v>0</v>
      </c>
      <c r="O112" s="24" t="str">
        <f t="shared" si="15"/>
        <v>#DIV/0!</v>
      </c>
      <c r="P112" s="118"/>
      <c r="Q112" s="27" t="str">
        <f t="shared" si="16"/>
        <v>0</v>
      </c>
      <c r="R112" s="27"/>
    </row>
    <row r="113" ht="24.75" customHeight="1">
      <c r="A113" s="18" t="s">
        <v>2818</v>
      </c>
      <c r="B113" s="19" t="s">
        <v>83</v>
      </c>
      <c r="C113" s="19" t="s">
        <v>91</v>
      </c>
      <c r="D113" s="20" t="str">
        <f>SUMIFS('Element wise-detail Summary'!F:F,'Element wise-detail Summary'!B:B,Location_Summary!B113,'Element wise-detail Summary'!C:C,Location_Summary!C113,'Element wise-detail Summary'!D:D,Location_Summary!A113)</f>
        <v>0</v>
      </c>
      <c r="E113" s="117" t="str">
        <f>SUMIFS('Element wise-detail Summary'!$F$3:$F$1048576,'Element wise-detail Summary'!$B$3:$B$1048576,Location_Summary!$B113,'Element wise-detail Summary'!$C$3:$C$1048576,Location_Summary!C113,'Element wise-detail Summary'!$D$3:$D$1048576,Location_Summary!A113)</f>
        <v>0</v>
      </c>
      <c r="F113" s="22" t="str">
        <f>SUMIFS('Element wise-detail Summary'!$G$3:$G$1048576,'Element wise-detail Summary'!$B$3:$B$1048576,Location_Summary!$B113,'Element wise-detail Summary'!$C$3:$C$1048576,Location_Summary!C113,'Element wise-detail Summary'!$D$3:$D$1048576,Location_Summary!A113)</f>
        <v>0</v>
      </c>
      <c r="G113" s="20" t="str">
        <f t="shared" si="9"/>
        <v>0</v>
      </c>
      <c r="H113" s="23" t="str">
        <f t="shared" si="10"/>
        <v>#DIV/0!</v>
      </c>
      <c r="I113" s="22" t="str">
        <f>SUMIFS('Element wise-detail Summary'!$I$3:$I$1048576,'Element wise-detail Summary'!$B$3:$B$1048576,B113,'Element wise-detail Summary'!$C$3:$C$1048576,C113,'Element wise-detail Summary'!$D$3:$D$1048576,Location_Summary!A113)</f>
        <v>0</v>
      </c>
      <c r="J113" s="20" t="str">
        <f t="shared" si="11"/>
        <v>0</v>
      </c>
      <c r="K113" s="24" t="str">
        <f t="shared" si="12"/>
        <v>#DIV/0!</v>
      </c>
      <c r="L113" s="25" t="str">
        <f t="shared" si="13"/>
        <v>0</v>
      </c>
      <c r="M113" s="22" t="str">
        <f>SUMIFS('Element wise-detail Summary'!$M$3:$M$1048576,'Element wise-detail Summary'!$B$3:$B$1048576,B113,'Element wise-detail Summary'!$C$3:$C$1048576,C113,'Element wise-detail Summary'!$D$3:$D$1048576,Location_Summary!A113)</f>
        <v>0</v>
      </c>
      <c r="N113" s="20" t="str">
        <f t="shared" si="14"/>
        <v>0</v>
      </c>
      <c r="O113" s="24" t="str">
        <f t="shared" si="15"/>
        <v>#DIV/0!</v>
      </c>
      <c r="P113" s="118"/>
      <c r="Q113" s="27" t="str">
        <f t="shared" si="16"/>
        <v>0</v>
      </c>
      <c r="R113" s="27"/>
    </row>
    <row r="114" ht="24.75" customHeight="1">
      <c r="A114" s="18" t="s">
        <v>2818</v>
      </c>
      <c r="B114" s="19" t="s">
        <v>83</v>
      </c>
      <c r="C114" s="19" t="s">
        <v>92</v>
      </c>
      <c r="D114" s="20" t="str">
        <f>SUMIFS('Element wise-detail Summary'!F:F,'Element wise-detail Summary'!B:B,Location_Summary!B114,'Element wise-detail Summary'!C:C,Location_Summary!C114,'Element wise-detail Summary'!D:D,Location_Summary!A114)</f>
        <v>0</v>
      </c>
      <c r="E114" s="117" t="str">
        <f>SUMIFS('Element wise-detail Summary'!$F$3:$F$1048576,'Element wise-detail Summary'!$B$3:$B$1048576,Location_Summary!$B114,'Element wise-detail Summary'!$C$3:$C$1048576,Location_Summary!C114,'Element wise-detail Summary'!$D$3:$D$1048576,Location_Summary!A114)</f>
        <v>0</v>
      </c>
      <c r="F114" s="22" t="str">
        <f>SUMIFS('Element wise-detail Summary'!$G$3:$G$1048576,'Element wise-detail Summary'!$B$3:$B$1048576,Location_Summary!$B114,'Element wise-detail Summary'!$C$3:$C$1048576,Location_Summary!C114,'Element wise-detail Summary'!$D$3:$D$1048576,Location_Summary!A114)</f>
        <v>0</v>
      </c>
      <c r="G114" s="20" t="str">
        <f t="shared" si="9"/>
        <v>0</v>
      </c>
      <c r="H114" s="23" t="str">
        <f t="shared" si="10"/>
        <v>#DIV/0!</v>
      </c>
      <c r="I114" s="22" t="str">
        <f>SUMIFS('Element wise-detail Summary'!$I$3:$I$1048576,'Element wise-detail Summary'!$B$3:$B$1048576,B114,'Element wise-detail Summary'!$C$3:$C$1048576,C114,'Element wise-detail Summary'!$D$3:$D$1048576,Location_Summary!A114)</f>
        <v>0</v>
      </c>
      <c r="J114" s="20" t="str">
        <f t="shared" si="11"/>
        <v>0</v>
      </c>
      <c r="K114" s="24" t="str">
        <f t="shared" si="12"/>
        <v>#DIV/0!</v>
      </c>
      <c r="L114" s="25" t="str">
        <f t="shared" si="13"/>
        <v>0</v>
      </c>
      <c r="M114" s="22" t="str">
        <f>SUMIFS('Element wise-detail Summary'!$M$3:$M$1048576,'Element wise-detail Summary'!$B$3:$B$1048576,B114,'Element wise-detail Summary'!$C$3:$C$1048576,C114,'Element wise-detail Summary'!$D$3:$D$1048576,Location_Summary!A114)</f>
        <v>0</v>
      </c>
      <c r="N114" s="20" t="str">
        <f t="shared" si="14"/>
        <v>0</v>
      </c>
      <c r="O114" s="24" t="str">
        <f t="shared" si="15"/>
        <v>#DIV/0!</v>
      </c>
      <c r="P114" s="118"/>
      <c r="Q114" s="27" t="str">
        <f t="shared" si="16"/>
        <v>0</v>
      </c>
      <c r="R114" s="27"/>
    </row>
    <row r="115" ht="24.75" customHeight="1">
      <c r="A115" s="18" t="s">
        <v>2818</v>
      </c>
      <c r="B115" s="19" t="s">
        <v>83</v>
      </c>
      <c r="C115" s="19" t="s">
        <v>93</v>
      </c>
      <c r="D115" s="20" t="str">
        <f>SUMIFS('Element wise-detail Summary'!F:F,'Element wise-detail Summary'!B:B,Location_Summary!B115,'Element wise-detail Summary'!C:C,Location_Summary!C115,'Element wise-detail Summary'!D:D,Location_Summary!A115)</f>
        <v>0</v>
      </c>
      <c r="E115" s="117" t="str">
        <f>SUMIFS('Element wise-detail Summary'!$F$3:$F$1048576,'Element wise-detail Summary'!$B$3:$B$1048576,Location_Summary!$B115,'Element wise-detail Summary'!$C$3:$C$1048576,Location_Summary!C115,'Element wise-detail Summary'!$D$3:$D$1048576,Location_Summary!A115)</f>
        <v>0</v>
      </c>
      <c r="F115" s="22" t="str">
        <f>SUMIFS('Element wise-detail Summary'!$G$3:$G$1048576,'Element wise-detail Summary'!$B$3:$B$1048576,Location_Summary!$B115,'Element wise-detail Summary'!$C$3:$C$1048576,Location_Summary!C115,'Element wise-detail Summary'!$D$3:$D$1048576,Location_Summary!A115)</f>
        <v>0</v>
      </c>
      <c r="G115" s="20" t="str">
        <f t="shared" si="9"/>
        <v>0</v>
      </c>
      <c r="H115" s="23" t="str">
        <f t="shared" si="10"/>
        <v>#DIV/0!</v>
      </c>
      <c r="I115" s="22" t="str">
        <f>SUMIFS('Element wise-detail Summary'!$I$3:$I$1048576,'Element wise-detail Summary'!$B$3:$B$1048576,B115,'Element wise-detail Summary'!$C$3:$C$1048576,C115,'Element wise-detail Summary'!$D$3:$D$1048576,Location_Summary!A115)</f>
        <v>0</v>
      </c>
      <c r="J115" s="20" t="str">
        <f t="shared" si="11"/>
        <v>0</v>
      </c>
      <c r="K115" s="24" t="str">
        <f t="shared" si="12"/>
        <v>#DIV/0!</v>
      </c>
      <c r="L115" s="25" t="str">
        <f t="shared" si="13"/>
        <v>0</v>
      </c>
      <c r="M115" s="22" t="str">
        <f>SUMIFS('Element wise-detail Summary'!$M$3:$M$1048576,'Element wise-detail Summary'!$B$3:$B$1048576,B115,'Element wise-detail Summary'!$C$3:$C$1048576,C115,'Element wise-detail Summary'!$D$3:$D$1048576,Location_Summary!A115)</f>
        <v>0</v>
      </c>
      <c r="N115" s="20" t="str">
        <f t="shared" si="14"/>
        <v>0</v>
      </c>
      <c r="O115" s="24" t="str">
        <f t="shared" si="15"/>
        <v>#DIV/0!</v>
      </c>
      <c r="P115" s="118"/>
      <c r="Q115" s="27" t="str">
        <f t="shared" si="16"/>
        <v>0</v>
      </c>
      <c r="R115" s="27"/>
    </row>
    <row r="116" ht="24.75" customHeight="1">
      <c r="A116" s="18" t="s">
        <v>2818</v>
      </c>
      <c r="B116" s="19" t="s">
        <v>83</v>
      </c>
      <c r="C116" s="19" t="s">
        <v>94</v>
      </c>
      <c r="D116" s="20" t="str">
        <f>SUMIFS('Element wise-detail Summary'!F:F,'Element wise-detail Summary'!B:B,Location_Summary!B116,'Element wise-detail Summary'!C:C,Location_Summary!C116,'Element wise-detail Summary'!D:D,Location_Summary!A116)</f>
        <v>0</v>
      </c>
      <c r="E116" s="117" t="str">
        <f>SUMIFS('Element wise-detail Summary'!$F$3:$F$1048576,'Element wise-detail Summary'!$B$3:$B$1048576,Location_Summary!$B116,'Element wise-detail Summary'!$C$3:$C$1048576,Location_Summary!C116,'Element wise-detail Summary'!$D$3:$D$1048576,Location_Summary!A116)</f>
        <v>0</v>
      </c>
      <c r="F116" s="22" t="str">
        <f>SUMIFS('Element wise-detail Summary'!$G$3:$G$1048576,'Element wise-detail Summary'!$B$3:$B$1048576,Location_Summary!$B116,'Element wise-detail Summary'!$C$3:$C$1048576,Location_Summary!C116,'Element wise-detail Summary'!$D$3:$D$1048576,Location_Summary!A116)</f>
        <v>0</v>
      </c>
      <c r="G116" s="20" t="str">
        <f t="shared" si="9"/>
        <v>0</v>
      </c>
      <c r="H116" s="23" t="str">
        <f t="shared" si="10"/>
        <v>#DIV/0!</v>
      </c>
      <c r="I116" s="22" t="str">
        <f>SUMIFS('Element wise-detail Summary'!$I$3:$I$1048576,'Element wise-detail Summary'!$B$3:$B$1048576,B116,'Element wise-detail Summary'!$C$3:$C$1048576,C116,'Element wise-detail Summary'!$D$3:$D$1048576,Location_Summary!A116)</f>
        <v>0</v>
      </c>
      <c r="J116" s="20" t="str">
        <f t="shared" si="11"/>
        <v>0</v>
      </c>
      <c r="K116" s="24" t="str">
        <f t="shared" si="12"/>
        <v>#DIV/0!</v>
      </c>
      <c r="L116" s="25" t="str">
        <f t="shared" si="13"/>
        <v>0</v>
      </c>
      <c r="M116" s="22" t="str">
        <f>SUMIFS('Element wise-detail Summary'!$M$3:$M$1048576,'Element wise-detail Summary'!$B$3:$B$1048576,B116,'Element wise-detail Summary'!$C$3:$C$1048576,C116,'Element wise-detail Summary'!$D$3:$D$1048576,Location_Summary!A116)</f>
        <v>0</v>
      </c>
      <c r="N116" s="20" t="str">
        <f t="shared" si="14"/>
        <v>0</v>
      </c>
      <c r="O116" s="24" t="str">
        <f t="shared" si="15"/>
        <v>#DIV/0!</v>
      </c>
      <c r="P116" s="118"/>
      <c r="Q116" s="27" t="str">
        <f t="shared" si="16"/>
        <v>0</v>
      </c>
      <c r="R116" s="27"/>
    </row>
    <row r="117" ht="24.75" customHeight="1">
      <c r="A117" s="18" t="s">
        <v>2818</v>
      </c>
      <c r="B117" s="19" t="s">
        <v>83</v>
      </c>
      <c r="C117" s="19" t="s">
        <v>95</v>
      </c>
      <c r="D117" s="20" t="str">
        <f>SUMIFS('Element wise-detail Summary'!F:F,'Element wise-detail Summary'!B:B,Location_Summary!B117,'Element wise-detail Summary'!C:C,Location_Summary!C117,'Element wise-detail Summary'!D:D,Location_Summary!A117)</f>
        <v>0</v>
      </c>
      <c r="E117" s="117" t="str">
        <f>SUMIFS('Element wise-detail Summary'!$F$3:$F$1048576,'Element wise-detail Summary'!$B$3:$B$1048576,Location_Summary!$B117,'Element wise-detail Summary'!$C$3:$C$1048576,Location_Summary!C117,'Element wise-detail Summary'!$D$3:$D$1048576,Location_Summary!A117)</f>
        <v>0</v>
      </c>
      <c r="F117" s="22" t="str">
        <f>SUMIFS('Element wise-detail Summary'!$G$3:$G$1048576,'Element wise-detail Summary'!$B$3:$B$1048576,Location_Summary!$B117,'Element wise-detail Summary'!$C$3:$C$1048576,Location_Summary!C117,'Element wise-detail Summary'!$D$3:$D$1048576,Location_Summary!A117)</f>
        <v>0</v>
      </c>
      <c r="G117" s="20" t="str">
        <f t="shared" si="9"/>
        <v>0</v>
      </c>
      <c r="H117" s="23" t="str">
        <f t="shared" si="10"/>
        <v>#DIV/0!</v>
      </c>
      <c r="I117" s="22" t="str">
        <f>SUMIFS('Element wise-detail Summary'!$I$3:$I$1048576,'Element wise-detail Summary'!$B$3:$B$1048576,B117,'Element wise-detail Summary'!$C$3:$C$1048576,C117,'Element wise-detail Summary'!$D$3:$D$1048576,Location_Summary!A117)</f>
        <v>0</v>
      </c>
      <c r="J117" s="20" t="str">
        <f t="shared" si="11"/>
        <v>0</v>
      </c>
      <c r="K117" s="24" t="str">
        <f t="shared" si="12"/>
        <v>#DIV/0!</v>
      </c>
      <c r="L117" s="25" t="str">
        <f t="shared" si="13"/>
        <v>0</v>
      </c>
      <c r="M117" s="22" t="str">
        <f>SUMIFS('Element wise-detail Summary'!$M$3:$M$1048576,'Element wise-detail Summary'!$B$3:$B$1048576,B117,'Element wise-detail Summary'!$C$3:$C$1048576,C117,'Element wise-detail Summary'!$D$3:$D$1048576,Location_Summary!A117)</f>
        <v>0</v>
      </c>
      <c r="N117" s="20" t="str">
        <f t="shared" si="14"/>
        <v>0</v>
      </c>
      <c r="O117" s="24" t="str">
        <f t="shared" si="15"/>
        <v>#DIV/0!</v>
      </c>
      <c r="P117" s="118"/>
      <c r="Q117" s="27" t="str">
        <f t="shared" si="16"/>
        <v>0</v>
      </c>
      <c r="R117" s="27"/>
    </row>
    <row r="118" ht="24.75" customHeight="1">
      <c r="A118" s="18" t="s">
        <v>2818</v>
      </c>
      <c r="B118" s="19" t="s">
        <v>149</v>
      </c>
      <c r="C118" s="19" t="s">
        <v>150</v>
      </c>
      <c r="D118" s="20" t="str">
        <f>SUMIFS('Element wise-detail Summary'!F:F,'Element wise-detail Summary'!B:B,Location_Summary!B118,'Element wise-detail Summary'!C:C,Location_Summary!C118,'Element wise-detail Summary'!D:D,Location_Summary!A118)</f>
        <v>0</v>
      </c>
      <c r="E118" s="117" t="str">
        <f>SUMIFS('Element wise-detail Summary'!$F$3:$F$1048576,'Element wise-detail Summary'!$B$3:$B$1048576,Location_Summary!$B118,'Element wise-detail Summary'!$C$3:$C$1048576,Location_Summary!C118,'Element wise-detail Summary'!$D$3:$D$1048576,Location_Summary!A118)</f>
        <v>0</v>
      </c>
      <c r="F118" s="22" t="str">
        <f>SUMIFS('Element wise-detail Summary'!$G$3:$G$1048576,'Element wise-detail Summary'!$B$3:$B$1048576,Location_Summary!$B118,'Element wise-detail Summary'!$C$3:$C$1048576,Location_Summary!C118,'Element wise-detail Summary'!$D$3:$D$1048576,Location_Summary!A118)</f>
        <v>0</v>
      </c>
      <c r="G118" s="20" t="str">
        <f t="shared" si="9"/>
        <v>0</v>
      </c>
      <c r="H118" s="23" t="str">
        <f t="shared" si="10"/>
        <v>#DIV/0!</v>
      </c>
      <c r="I118" s="22" t="str">
        <f>SUMIFS('Element wise-detail Summary'!$I$3:$I$1048576,'Element wise-detail Summary'!$B$3:$B$1048576,B118,'Element wise-detail Summary'!$C$3:$C$1048576,C118,'Element wise-detail Summary'!$D$3:$D$1048576,Location_Summary!A118)</f>
        <v>0</v>
      </c>
      <c r="J118" s="20" t="str">
        <f t="shared" si="11"/>
        <v>0</v>
      </c>
      <c r="K118" s="24" t="str">
        <f t="shared" si="12"/>
        <v>#DIV/0!</v>
      </c>
      <c r="L118" s="25" t="str">
        <f t="shared" si="13"/>
        <v>0</v>
      </c>
      <c r="M118" s="22" t="str">
        <f>SUMIFS('Element wise-detail Summary'!$M$3:$M$1048576,'Element wise-detail Summary'!$B$3:$B$1048576,B118,'Element wise-detail Summary'!$C$3:$C$1048576,C118,'Element wise-detail Summary'!$D$3:$D$1048576,Location_Summary!A118)</f>
        <v>0</v>
      </c>
      <c r="N118" s="20" t="str">
        <f t="shared" si="14"/>
        <v>0</v>
      </c>
      <c r="O118" s="24" t="str">
        <f t="shared" si="15"/>
        <v>#DIV/0!</v>
      </c>
      <c r="P118" s="118"/>
      <c r="Q118" s="27" t="str">
        <f t="shared" si="16"/>
        <v>0</v>
      </c>
      <c r="R118" s="27"/>
    </row>
    <row r="119" ht="24.75" customHeight="1">
      <c r="A119" s="18" t="s">
        <v>2818</v>
      </c>
      <c r="B119" s="19" t="s">
        <v>149</v>
      </c>
      <c r="C119" s="19" t="s">
        <v>151</v>
      </c>
      <c r="D119" s="20" t="str">
        <f>SUMIFS('Element wise-detail Summary'!F:F,'Element wise-detail Summary'!B:B,Location_Summary!B119,'Element wise-detail Summary'!C:C,Location_Summary!C119,'Element wise-detail Summary'!D:D,Location_Summary!A119)</f>
        <v>0</v>
      </c>
      <c r="E119" s="117" t="str">
        <f>SUMIFS('Element wise-detail Summary'!$F$3:$F$1048576,'Element wise-detail Summary'!$B$3:$B$1048576,Location_Summary!$B119,'Element wise-detail Summary'!$C$3:$C$1048576,Location_Summary!C119,'Element wise-detail Summary'!$D$3:$D$1048576,Location_Summary!A119)</f>
        <v>0</v>
      </c>
      <c r="F119" s="22" t="str">
        <f>SUMIFS('Element wise-detail Summary'!$G$3:$G$1048576,'Element wise-detail Summary'!$B$3:$B$1048576,Location_Summary!$B119,'Element wise-detail Summary'!$C$3:$C$1048576,Location_Summary!C119,'Element wise-detail Summary'!$D$3:$D$1048576,Location_Summary!A119)</f>
        <v>0</v>
      </c>
      <c r="G119" s="20" t="str">
        <f t="shared" si="9"/>
        <v>0</v>
      </c>
      <c r="H119" s="23" t="str">
        <f t="shared" si="10"/>
        <v>#DIV/0!</v>
      </c>
      <c r="I119" s="22" t="str">
        <f>SUMIFS('Element wise-detail Summary'!$I$3:$I$1048576,'Element wise-detail Summary'!$B$3:$B$1048576,B119,'Element wise-detail Summary'!$C$3:$C$1048576,C119,'Element wise-detail Summary'!$D$3:$D$1048576,Location_Summary!A119)</f>
        <v>0</v>
      </c>
      <c r="J119" s="20" t="str">
        <f t="shared" si="11"/>
        <v>0</v>
      </c>
      <c r="K119" s="24" t="str">
        <f t="shared" si="12"/>
        <v>#DIV/0!</v>
      </c>
      <c r="L119" s="25" t="str">
        <f t="shared" si="13"/>
        <v>0</v>
      </c>
      <c r="M119" s="22" t="str">
        <f>SUMIFS('Element wise-detail Summary'!$M$3:$M$1048576,'Element wise-detail Summary'!$B$3:$B$1048576,B119,'Element wise-detail Summary'!$C$3:$C$1048576,C119,'Element wise-detail Summary'!$D$3:$D$1048576,Location_Summary!A119)</f>
        <v>0</v>
      </c>
      <c r="N119" s="20" t="str">
        <f t="shared" si="14"/>
        <v>0</v>
      </c>
      <c r="O119" s="24" t="str">
        <f t="shared" si="15"/>
        <v>#DIV/0!</v>
      </c>
      <c r="P119" s="118"/>
      <c r="Q119" s="27" t="str">
        <f t="shared" si="16"/>
        <v>0</v>
      </c>
      <c r="R119" s="27"/>
    </row>
    <row r="120" ht="24.75" customHeight="1">
      <c r="A120" s="18" t="s">
        <v>2818</v>
      </c>
      <c r="B120" s="19" t="s">
        <v>149</v>
      </c>
      <c r="C120" s="19" t="s">
        <v>152</v>
      </c>
      <c r="D120" s="20" t="str">
        <f>SUMIFS('Element wise-detail Summary'!F:F,'Element wise-detail Summary'!B:B,Location_Summary!B120,'Element wise-detail Summary'!C:C,Location_Summary!C120,'Element wise-detail Summary'!D:D,Location_Summary!A120)</f>
        <v>0</v>
      </c>
      <c r="E120" s="117" t="str">
        <f>SUMIFS('Element wise-detail Summary'!$F$3:$F$1048576,'Element wise-detail Summary'!$B$3:$B$1048576,Location_Summary!$B120,'Element wise-detail Summary'!$C$3:$C$1048576,Location_Summary!C120,'Element wise-detail Summary'!$D$3:$D$1048576,Location_Summary!A120)</f>
        <v>0</v>
      </c>
      <c r="F120" s="22" t="str">
        <f>SUMIFS('Element wise-detail Summary'!$G$3:$G$1048576,'Element wise-detail Summary'!$B$3:$B$1048576,Location_Summary!$B120,'Element wise-detail Summary'!$C$3:$C$1048576,Location_Summary!C120,'Element wise-detail Summary'!$D$3:$D$1048576,Location_Summary!A120)</f>
        <v>0</v>
      </c>
      <c r="G120" s="20" t="str">
        <f t="shared" si="9"/>
        <v>0</v>
      </c>
      <c r="H120" s="23" t="str">
        <f t="shared" si="10"/>
        <v>#DIV/0!</v>
      </c>
      <c r="I120" s="22" t="str">
        <f>SUMIFS('Element wise-detail Summary'!$I$3:$I$1048576,'Element wise-detail Summary'!$B$3:$B$1048576,B120,'Element wise-detail Summary'!$C$3:$C$1048576,C120,'Element wise-detail Summary'!$D$3:$D$1048576,Location_Summary!A120)</f>
        <v>0</v>
      </c>
      <c r="J120" s="20" t="str">
        <f t="shared" si="11"/>
        <v>0</v>
      </c>
      <c r="K120" s="24" t="str">
        <f t="shared" si="12"/>
        <v>#DIV/0!</v>
      </c>
      <c r="L120" s="25" t="str">
        <f t="shared" si="13"/>
        <v>0</v>
      </c>
      <c r="M120" s="22" t="str">
        <f>SUMIFS('Element wise-detail Summary'!$M$3:$M$1048576,'Element wise-detail Summary'!$B$3:$B$1048576,B120,'Element wise-detail Summary'!$C$3:$C$1048576,C120,'Element wise-detail Summary'!$D$3:$D$1048576,Location_Summary!A120)</f>
        <v>0</v>
      </c>
      <c r="N120" s="20" t="str">
        <f t="shared" si="14"/>
        <v>0</v>
      </c>
      <c r="O120" s="24" t="str">
        <f t="shared" si="15"/>
        <v>#DIV/0!</v>
      </c>
      <c r="P120" s="118"/>
      <c r="Q120" s="27" t="str">
        <f t="shared" si="16"/>
        <v>0</v>
      </c>
      <c r="R120" s="27"/>
    </row>
    <row r="121" ht="24.75" customHeight="1">
      <c r="A121" s="18" t="s">
        <v>2818</v>
      </c>
      <c r="B121" s="19" t="s">
        <v>149</v>
      </c>
      <c r="C121" s="19" t="s">
        <v>153</v>
      </c>
      <c r="D121" s="20" t="str">
        <f>SUMIFS('Element wise-detail Summary'!F:F,'Element wise-detail Summary'!B:B,Location_Summary!B121,'Element wise-detail Summary'!C:C,Location_Summary!C121,'Element wise-detail Summary'!D:D,Location_Summary!A121)</f>
        <v>0</v>
      </c>
      <c r="E121" s="117" t="str">
        <f>SUMIFS('Element wise-detail Summary'!$F$3:$F$1048576,'Element wise-detail Summary'!$B$3:$B$1048576,Location_Summary!$B121,'Element wise-detail Summary'!$C$3:$C$1048576,Location_Summary!C121,'Element wise-detail Summary'!$D$3:$D$1048576,Location_Summary!A121)</f>
        <v>0</v>
      </c>
      <c r="F121" s="22" t="str">
        <f>SUMIFS('Element wise-detail Summary'!$G$3:$G$1048576,'Element wise-detail Summary'!$B$3:$B$1048576,Location_Summary!$B121,'Element wise-detail Summary'!$C$3:$C$1048576,Location_Summary!C121,'Element wise-detail Summary'!$D$3:$D$1048576,Location_Summary!A121)</f>
        <v>0</v>
      </c>
      <c r="G121" s="20" t="str">
        <f t="shared" si="9"/>
        <v>0</v>
      </c>
      <c r="H121" s="23" t="str">
        <f t="shared" si="10"/>
        <v>#DIV/0!</v>
      </c>
      <c r="I121" s="22" t="str">
        <f>SUMIFS('Element wise-detail Summary'!$I$3:$I$1048576,'Element wise-detail Summary'!$B$3:$B$1048576,B121,'Element wise-detail Summary'!$C$3:$C$1048576,C121,'Element wise-detail Summary'!$D$3:$D$1048576,Location_Summary!A121)</f>
        <v>0</v>
      </c>
      <c r="J121" s="20" t="str">
        <f t="shared" si="11"/>
        <v>0</v>
      </c>
      <c r="K121" s="24" t="str">
        <f t="shared" si="12"/>
        <v>#DIV/0!</v>
      </c>
      <c r="L121" s="25" t="str">
        <f t="shared" si="13"/>
        <v>0</v>
      </c>
      <c r="M121" s="22" t="str">
        <f>SUMIFS('Element wise-detail Summary'!$M$3:$M$1048576,'Element wise-detail Summary'!$B$3:$B$1048576,B121,'Element wise-detail Summary'!$C$3:$C$1048576,C121,'Element wise-detail Summary'!$D$3:$D$1048576,Location_Summary!A121)</f>
        <v>0</v>
      </c>
      <c r="N121" s="20" t="str">
        <f t="shared" si="14"/>
        <v>0</v>
      </c>
      <c r="O121" s="24" t="str">
        <f t="shared" si="15"/>
        <v>#DIV/0!</v>
      </c>
      <c r="P121" s="118"/>
      <c r="Q121" s="27" t="str">
        <f t="shared" si="16"/>
        <v>0</v>
      </c>
      <c r="R121" s="27"/>
    </row>
    <row r="122" ht="24.75" customHeight="1">
      <c r="A122" s="18" t="s">
        <v>2818</v>
      </c>
      <c r="B122" s="19" t="s">
        <v>149</v>
      </c>
      <c r="C122" s="19" t="s">
        <v>154</v>
      </c>
      <c r="D122" s="20" t="str">
        <f>SUMIFS('Element wise-detail Summary'!F:F,'Element wise-detail Summary'!B:B,Location_Summary!B122,'Element wise-detail Summary'!C:C,Location_Summary!C122,'Element wise-detail Summary'!D:D,Location_Summary!A122)</f>
        <v>0</v>
      </c>
      <c r="E122" s="117" t="str">
        <f>SUMIFS('Element wise-detail Summary'!$F$3:$F$1048576,'Element wise-detail Summary'!$B$3:$B$1048576,Location_Summary!$B122,'Element wise-detail Summary'!$C$3:$C$1048576,Location_Summary!C122,'Element wise-detail Summary'!$D$3:$D$1048576,Location_Summary!A122)</f>
        <v>0</v>
      </c>
      <c r="F122" s="22" t="str">
        <f>SUMIFS('Element wise-detail Summary'!$G$3:$G$1048576,'Element wise-detail Summary'!$B$3:$B$1048576,Location_Summary!$B122,'Element wise-detail Summary'!$C$3:$C$1048576,Location_Summary!C122,'Element wise-detail Summary'!$D$3:$D$1048576,Location_Summary!A122)</f>
        <v>0</v>
      </c>
      <c r="G122" s="20" t="str">
        <f t="shared" si="9"/>
        <v>0</v>
      </c>
      <c r="H122" s="23" t="str">
        <f t="shared" si="10"/>
        <v>#DIV/0!</v>
      </c>
      <c r="I122" s="22" t="str">
        <f>SUMIFS('Element wise-detail Summary'!$I$3:$I$1048576,'Element wise-detail Summary'!$B$3:$B$1048576,B122,'Element wise-detail Summary'!$C$3:$C$1048576,C122,'Element wise-detail Summary'!$D$3:$D$1048576,Location_Summary!A122)</f>
        <v>0</v>
      </c>
      <c r="J122" s="20" t="str">
        <f t="shared" si="11"/>
        <v>0</v>
      </c>
      <c r="K122" s="24" t="str">
        <f t="shared" si="12"/>
        <v>#DIV/0!</v>
      </c>
      <c r="L122" s="25" t="str">
        <f t="shared" si="13"/>
        <v>0</v>
      </c>
      <c r="M122" s="22" t="str">
        <f>SUMIFS('Element wise-detail Summary'!$M$3:$M$1048576,'Element wise-detail Summary'!$B$3:$B$1048576,B122,'Element wise-detail Summary'!$C$3:$C$1048576,C122,'Element wise-detail Summary'!$D$3:$D$1048576,Location_Summary!A122)</f>
        <v>0</v>
      </c>
      <c r="N122" s="20" t="str">
        <f t="shared" si="14"/>
        <v>0</v>
      </c>
      <c r="O122" s="24" t="str">
        <f t="shared" si="15"/>
        <v>#DIV/0!</v>
      </c>
      <c r="P122" s="118"/>
      <c r="Q122" s="27" t="str">
        <f t="shared" si="16"/>
        <v>0</v>
      </c>
      <c r="R122" s="27"/>
    </row>
    <row r="123" ht="24.75" customHeight="1">
      <c r="A123" s="18" t="s">
        <v>2818</v>
      </c>
      <c r="B123" s="19" t="s">
        <v>149</v>
      </c>
      <c r="C123" s="19" t="s">
        <v>155</v>
      </c>
      <c r="D123" s="20" t="str">
        <f>SUMIFS('Element wise-detail Summary'!F:F,'Element wise-detail Summary'!B:B,Location_Summary!B123,'Element wise-detail Summary'!C:C,Location_Summary!C123,'Element wise-detail Summary'!D:D,Location_Summary!A123)</f>
        <v>0</v>
      </c>
      <c r="E123" s="117" t="str">
        <f>SUMIFS('Element wise-detail Summary'!$F$3:$F$1048576,'Element wise-detail Summary'!$B$3:$B$1048576,Location_Summary!$B123,'Element wise-detail Summary'!$C$3:$C$1048576,Location_Summary!C123,'Element wise-detail Summary'!$D$3:$D$1048576,Location_Summary!A123)</f>
        <v>0</v>
      </c>
      <c r="F123" s="22" t="str">
        <f>SUMIFS('Element wise-detail Summary'!$G$3:$G$1048576,'Element wise-detail Summary'!$B$3:$B$1048576,Location_Summary!$B123,'Element wise-detail Summary'!$C$3:$C$1048576,Location_Summary!C123,'Element wise-detail Summary'!$D$3:$D$1048576,Location_Summary!A123)</f>
        <v>0</v>
      </c>
      <c r="G123" s="20" t="str">
        <f t="shared" si="9"/>
        <v>0</v>
      </c>
      <c r="H123" s="23" t="str">
        <f t="shared" si="10"/>
        <v>#DIV/0!</v>
      </c>
      <c r="I123" s="22" t="str">
        <f>SUMIFS('Element wise-detail Summary'!$I$3:$I$1048576,'Element wise-detail Summary'!$B$3:$B$1048576,B123,'Element wise-detail Summary'!$C$3:$C$1048576,C123,'Element wise-detail Summary'!$D$3:$D$1048576,Location_Summary!A123)</f>
        <v>0</v>
      </c>
      <c r="J123" s="20" t="str">
        <f t="shared" si="11"/>
        <v>0</v>
      </c>
      <c r="K123" s="24" t="str">
        <f t="shared" si="12"/>
        <v>#DIV/0!</v>
      </c>
      <c r="L123" s="25" t="str">
        <f t="shared" si="13"/>
        <v>0</v>
      </c>
      <c r="M123" s="22" t="str">
        <f>SUMIFS('Element wise-detail Summary'!$M$3:$M$1048576,'Element wise-detail Summary'!$B$3:$B$1048576,B123,'Element wise-detail Summary'!$C$3:$C$1048576,C123,'Element wise-detail Summary'!$D$3:$D$1048576,Location_Summary!A123)</f>
        <v>0</v>
      </c>
      <c r="N123" s="20" t="str">
        <f t="shared" si="14"/>
        <v>0</v>
      </c>
      <c r="O123" s="24" t="str">
        <f t="shared" si="15"/>
        <v>#DIV/0!</v>
      </c>
      <c r="P123" s="118"/>
      <c r="Q123" s="27" t="str">
        <f t="shared" si="16"/>
        <v>0</v>
      </c>
      <c r="R123" s="27"/>
    </row>
    <row r="124" ht="24.75" customHeight="1">
      <c r="A124" s="18" t="s">
        <v>2818</v>
      </c>
      <c r="B124" s="19" t="s">
        <v>149</v>
      </c>
      <c r="C124" s="19" t="s">
        <v>156</v>
      </c>
      <c r="D124" s="20" t="str">
        <f>SUMIFS('Element wise-detail Summary'!F:F,'Element wise-detail Summary'!B:B,Location_Summary!B124,'Element wise-detail Summary'!C:C,Location_Summary!C124,'Element wise-detail Summary'!D:D,Location_Summary!A124)</f>
        <v>0</v>
      </c>
      <c r="E124" s="117" t="str">
        <f>SUMIFS('Element wise-detail Summary'!$F$3:$F$1048576,'Element wise-detail Summary'!$B$3:$B$1048576,Location_Summary!$B124,'Element wise-detail Summary'!$C$3:$C$1048576,Location_Summary!C124,'Element wise-detail Summary'!$D$3:$D$1048576,Location_Summary!A124)</f>
        <v>0</v>
      </c>
      <c r="F124" s="22" t="str">
        <f>SUMIFS('Element wise-detail Summary'!$G$3:$G$1048576,'Element wise-detail Summary'!$B$3:$B$1048576,Location_Summary!$B124,'Element wise-detail Summary'!$C$3:$C$1048576,Location_Summary!C124,'Element wise-detail Summary'!$D$3:$D$1048576,Location_Summary!A124)</f>
        <v>0</v>
      </c>
      <c r="G124" s="20" t="str">
        <f t="shared" si="9"/>
        <v>0</v>
      </c>
      <c r="H124" s="23" t="str">
        <f t="shared" si="10"/>
        <v>#DIV/0!</v>
      </c>
      <c r="I124" s="22" t="str">
        <f>SUMIFS('Element wise-detail Summary'!$I$3:$I$1048576,'Element wise-detail Summary'!$B$3:$B$1048576,B124,'Element wise-detail Summary'!$C$3:$C$1048576,C124,'Element wise-detail Summary'!$D$3:$D$1048576,Location_Summary!A124)</f>
        <v>0</v>
      </c>
      <c r="J124" s="20" t="str">
        <f t="shared" si="11"/>
        <v>0</v>
      </c>
      <c r="K124" s="24" t="str">
        <f t="shared" si="12"/>
        <v>#DIV/0!</v>
      </c>
      <c r="L124" s="25" t="str">
        <f t="shared" si="13"/>
        <v>0</v>
      </c>
      <c r="M124" s="22" t="str">
        <f>SUMIFS('Element wise-detail Summary'!$M$3:$M$1048576,'Element wise-detail Summary'!$B$3:$B$1048576,B124,'Element wise-detail Summary'!$C$3:$C$1048576,C124,'Element wise-detail Summary'!$D$3:$D$1048576,Location_Summary!A124)</f>
        <v>0</v>
      </c>
      <c r="N124" s="20" t="str">
        <f t="shared" si="14"/>
        <v>0</v>
      </c>
      <c r="O124" s="24" t="str">
        <f t="shared" si="15"/>
        <v>#DIV/0!</v>
      </c>
      <c r="P124" s="118"/>
      <c r="Q124" s="27" t="str">
        <f t="shared" si="16"/>
        <v>0</v>
      </c>
      <c r="R124" s="27"/>
    </row>
    <row r="125" ht="24.75" customHeight="1">
      <c r="A125" s="18" t="s">
        <v>2818</v>
      </c>
      <c r="B125" s="19" t="s">
        <v>149</v>
      </c>
      <c r="C125" s="19" t="s">
        <v>157</v>
      </c>
      <c r="D125" s="20" t="str">
        <f>SUMIFS('Element wise-detail Summary'!F:F,'Element wise-detail Summary'!B:B,Location_Summary!B125,'Element wise-detail Summary'!C:C,Location_Summary!C125,'Element wise-detail Summary'!D:D,Location_Summary!A125)</f>
        <v>0</v>
      </c>
      <c r="E125" s="117" t="str">
        <f>SUMIFS('Element wise-detail Summary'!$F$3:$F$1048576,'Element wise-detail Summary'!$B$3:$B$1048576,Location_Summary!$B125,'Element wise-detail Summary'!$C$3:$C$1048576,Location_Summary!C125,'Element wise-detail Summary'!$D$3:$D$1048576,Location_Summary!A125)</f>
        <v>0</v>
      </c>
      <c r="F125" s="22" t="str">
        <f>SUMIFS('Element wise-detail Summary'!$G$3:$G$1048576,'Element wise-detail Summary'!$B$3:$B$1048576,Location_Summary!$B125,'Element wise-detail Summary'!$C$3:$C$1048576,Location_Summary!C125,'Element wise-detail Summary'!$D$3:$D$1048576,Location_Summary!A125)</f>
        <v>0</v>
      </c>
      <c r="G125" s="20" t="str">
        <f t="shared" si="9"/>
        <v>0</v>
      </c>
      <c r="H125" s="23" t="str">
        <f t="shared" si="10"/>
        <v>#DIV/0!</v>
      </c>
      <c r="I125" s="22" t="str">
        <f>SUMIFS('Element wise-detail Summary'!$I$3:$I$1048576,'Element wise-detail Summary'!$B$3:$B$1048576,B125,'Element wise-detail Summary'!$C$3:$C$1048576,C125,'Element wise-detail Summary'!$D$3:$D$1048576,Location_Summary!A125)</f>
        <v>0</v>
      </c>
      <c r="J125" s="20" t="str">
        <f t="shared" si="11"/>
        <v>0</v>
      </c>
      <c r="K125" s="24" t="str">
        <f t="shared" si="12"/>
        <v>#DIV/0!</v>
      </c>
      <c r="L125" s="25" t="str">
        <f t="shared" si="13"/>
        <v>0</v>
      </c>
      <c r="M125" s="22" t="str">
        <f>SUMIFS('Element wise-detail Summary'!$M$3:$M$1048576,'Element wise-detail Summary'!$B$3:$B$1048576,B125,'Element wise-detail Summary'!$C$3:$C$1048576,C125,'Element wise-detail Summary'!$D$3:$D$1048576,Location_Summary!A125)</f>
        <v>0</v>
      </c>
      <c r="N125" s="20" t="str">
        <f t="shared" si="14"/>
        <v>0</v>
      </c>
      <c r="O125" s="24" t="str">
        <f t="shared" si="15"/>
        <v>#DIV/0!</v>
      </c>
      <c r="P125" s="118"/>
      <c r="Q125" s="27" t="str">
        <f t="shared" si="16"/>
        <v>0</v>
      </c>
      <c r="R125" s="27"/>
    </row>
    <row r="126" ht="24.75" customHeight="1">
      <c r="A126" s="18" t="s">
        <v>2818</v>
      </c>
      <c r="B126" s="19" t="s">
        <v>158</v>
      </c>
      <c r="C126" s="19" t="s">
        <v>159</v>
      </c>
      <c r="D126" s="20" t="str">
        <f>SUMIFS('Element wise-detail Summary'!F:F,'Element wise-detail Summary'!B:B,Location_Summary!B126,'Element wise-detail Summary'!C:C,Location_Summary!C126,'Element wise-detail Summary'!D:D,Location_Summary!A126)</f>
        <v>0</v>
      </c>
      <c r="E126" s="117" t="str">
        <f>SUMIFS('Element wise-detail Summary'!$F$3:$F$1048576,'Element wise-detail Summary'!$B$3:$B$1048576,Location_Summary!$B126,'Element wise-detail Summary'!$C$3:$C$1048576,Location_Summary!C126,'Element wise-detail Summary'!$D$3:$D$1048576,Location_Summary!A126)</f>
        <v>0</v>
      </c>
      <c r="F126" s="22" t="str">
        <f>SUMIFS('Element wise-detail Summary'!$G$3:$G$1048576,'Element wise-detail Summary'!$B$3:$B$1048576,Location_Summary!$B126,'Element wise-detail Summary'!$C$3:$C$1048576,Location_Summary!C126,'Element wise-detail Summary'!$D$3:$D$1048576,Location_Summary!A126)</f>
        <v>0</v>
      </c>
      <c r="G126" s="20" t="str">
        <f t="shared" si="9"/>
        <v>0</v>
      </c>
      <c r="H126" s="23" t="str">
        <f t="shared" si="10"/>
        <v>#DIV/0!</v>
      </c>
      <c r="I126" s="22" t="str">
        <f>SUMIFS('Element wise-detail Summary'!$I$3:$I$1048576,'Element wise-detail Summary'!$B$3:$B$1048576,B126,'Element wise-detail Summary'!$C$3:$C$1048576,C126,'Element wise-detail Summary'!$D$3:$D$1048576,Location_Summary!A126)</f>
        <v>0</v>
      </c>
      <c r="J126" s="20" t="str">
        <f t="shared" si="11"/>
        <v>0</v>
      </c>
      <c r="K126" s="24" t="str">
        <f t="shared" si="12"/>
        <v>#DIV/0!</v>
      </c>
      <c r="L126" s="25" t="str">
        <f t="shared" si="13"/>
        <v>0</v>
      </c>
      <c r="M126" s="22" t="str">
        <f>SUMIFS('Element wise-detail Summary'!$M$3:$M$1048576,'Element wise-detail Summary'!$B$3:$B$1048576,B126,'Element wise-detail Summary'!$C$3:$C$1048576,C126,'Element wise-detail Summary'!$D$3:$D$1048576,Location_Summary!A126)</f>
        <v>0</v>
      </c>
      <c r="N126" s="20" t="str">
        <f t="shared" si="14"/>
        <v>0</v>
      </c>
      <c r="O126" s="24" t="str">
        <f t="shared" si="15"/>
        <v>#DIV/0!</v>
      </c>
      <c r="P126" s="118"/>
      <c r="Q126" s="27" t="str">
        <f t="shared" si="16"/>
        <v>0</v>
      </c>
      <c r="R126" s="27"/>
    </row>
    <row r="127" ht="24.75" customHeight="1">
      <c r="A127" s="18" t="s">
        <v>2818</v>
      </c>
      <c r="B127" s="19" t="s">
        <v>158</v>
      </c>
      <c r="C127" s="19" t="s">
        <v>160</v>
      </c>
      <c r="D127" s="20" t="str">
        <f>SUMIFS('Element wise-detail Summary'!F:F,'Element wise-detail Summary'!B:B,Location_Summary!B127,'Element wise-detail Summary'!C:C,Location_Summary!C127,'Element wise-detail Summary'!D:D,Location_Summary!A127)</f>
        <v>0</v>
      </c>
      <c r="E127" s="117" t="str">
        <f>SUMIFS('Element wise-detail Summary'!$F$3:$F$1048576,'Element wise-detail Summary'!$B$3:$B$1048576,Location_Summary!$B127,'Element wise-detail Summary'!$C$3:$C$1048576,Location_Summary!C127,'Element wise-detail Summary'!$D$3:$D$1048576,Location_Summary!A127)</f>
        <v>0</v>
      </c>
      <c r="F127" s="22" t="str">
        <f>SUMIFS('Element wise-detail Summary'!$G$3:$G$1048576,'Element wise-detail Summary'!$B$3:$B$1048576,Location_Summary!$B127,'Element wise-detail Summary'!$C$3:$C$1048576,Location_Summary!C127,'Element wise-detail Summary'!$D$3:$D$1048576,Location_Summary!A127)</f>
        <v>0</v>
      </c>
      <c r="G127" s="20" t="str">
        <f t="shared" si="9"/>
        <v>0</v>
      </c>
      <c r="H127" s="23" t="str">
        <f t="shared" si="10"/>
        <v>#DIV/0!</v>
      </c>
      <c r="I127" s="22" t="str">
        <f>SUMIFS('Element wise-detail Summary'!$I$3:$I$1048576,'Element wise-detail Summary'!$B$3:$B$1048576,B127,'Element wise-detail Summary'!$C$3:$C$1048576,C127,'Element wise-detail Summary'!$D$3:$D$1048576,Location_Summary!A127)</f>
        <v>0</v>
      </c>
      <c r="J127" s="20" t="str">
        <f t="shared" si="11"/>
        <v>0</v>
      </c>
      <c r="K127" s="24" t="str">
        <f t="shared" si="12"/>
        <v>#DIV/0!</v>
      </c>
      <c r="L127" s="25" t="str">
        <f t="shared" si="13"/>
        <v>0</v>
      </c>
      <c r="M127" s="22" t="str">
        <f>SUMIFS('Element wise-detail Summary'!$M$3:$M$1048576,'Element wise-detail Summary'!$B$3:$B$1048576,B127,'Element wise-detail Summary'!$C$3:$C$1048576,C127,'Element wise-detail Summary'!$D$3:$D$1048576,Location_Summary!A127)</f>
        <v>0</v>
      </c>
      <c r="N127" s="20" t="str">
        <f t="shared" si="14"/>
        <v>0</v>
      </c>
      <c r="O127" s="24" t="str">
        <f t="shared" si="15"/>
        <v>#DIV/0!</v>
      </c>
      <c r="P127" s="118"/>
      <c r="Q127" s="27" t="str">
        <f t="shared" si="16"/>
        <v>0</v>
      </c>
      <c r="R127" s="27"/>
    </row>
    <row r="128" ht="24.75" customHeight="1">
      <c r="A128" s="18" t="s">
        <v>2818</v>
      </c>
      <c r="B128" s="19" t="s">
        <v>158</v>
      </c>
      <c r="C128" s="19" t="s">
        <v>161</v>
      </c>
      <c r="D128" s="20" t="str">
        <f>SUMIFS('Element wise-detail Summary'!F:F,'Element wise-detail Summary'!B:B,Location_Summary!B128,'Element wise-detail Summary'!C:C,Location_Summary!C128,'Element wise-detail Summary'!D:D,Location_Summary!A128)</f>
        <v>0</v>
      </c>
      <c r="E128" s="117" t="str">
        <f>SUMIFS('Element wise-detail Summary'!$F$3:$F$1048576,'Element wise-detail Summary'!$B$3:$B$1048576,Location_Summary!$B128,'Element wise-detail Summary'!$C$3:$C$1048576,Location_Summary!C128,'Element wise-detail Summary'!$D$3:$D$1048576,Location_Summary!A128)</f>
        <v>0</v>
      </c>
      <c r="F128" s="22" t="str">
        <f>SUMIFS('Element wise-detail Summary'!$G$3:$G$1048576,'Element wise-detail Summary'!$B$3:$B$1048576,Location_Summary!$B128,'Element wise-detail Summary'!$C$3:$C$1048576,Location_Summary!C128,'Element wise-detail Summary'!$D$3:$D$1048576,Location_Summary!A128)</f>
        <v>0</v>
      </c>
      <c r="G128" s="20" t="str">
        <f t="shared" si="9"/>
        <v>0</v>
      </c>
      <c r="H128" s="23" t="str">
        <f t="shared" si="10"/>
        <v>#DIV/0!</v>
      </c>
      <c r="I128" s="22" t="str">
        <f>SUMIFS('Element wise-detail Summary'!$I$3:$I$1048576,'Element wise-detail Summary'!$B$3:$B$1048576,B128,'Element wise-detail Summary'!$C$3:$C$1048576,C128,'Element wise-detail Summary'!$D$3:$D$1048576,Location_Summary!A128)</f>
        <v>0</v>
      </c>
      <c r="J128" s="20" t="str">
        <f t="shared" si="11"/>
        <v>0</v>
      </c>
      <c r="K128" s="24" t="str">
        <f t="shared" si="12"/>
        <v>#DIV/0!</v>
      </c>
      <c r="L128" s="25" t="str">
        <f t="shared" si="13"/>
        <v>0</v>
      </c>
      <c r="M128" s="22" t="str">
        <f>SUMIFS('Element wise-detail Summary'!$M$3:$M$1048576,'Element wise-detail Summary'!$B$3:$B$1048576,B128,'Element wise-detail Summary'!$C$3:$C$1048576,C128,'Element wise-detail Summary'!$D$3:$D$1048576,Location_Summary!A128)</f>
        <v>0</v>
      </c>
      <c r="N128" s="20" t="str">
        <f t="shared" si="14"/>
        <v>0</v>
      </c>
      <c r="O128" s="24" t="str">
        <f t="shared" si="15"/>
        <v>#DIV/0!</v>
      </c>
      <c r="P128" s="118"/>
      <c r="Q128" s="27" t="str">
        <f t="shared" si="16"/>
        <v>0</v>
      </c>
      <c r="R128" s="27"/>
    </row>
    <row r="129" ht="24.75" customHeight="1">
      <c r="A129" s="18" t="s">
        <v>2818</v>
      </c>
      <c r="B129" s="19" t="s">
        <v>158</v>
      </c>
      <c r="C129" s="19" t="s">
        <v>162</v>
      </c>
      <c r="D129" s="20" t="str">
        <f>SUMIFS('Element wise-detail Summary'!F:F,'Element wise-detail Summary'!B:B,Location_Summary!B129,'Element wise-detail Summary'!C:C,Location_Summary!C129,'Element wise-detail Summary'!D:D,Location_Summary!A129)</f>
        <v>0</v>
      </c>
      <c r="E129" s="117" t="str">
        <f>SUMIFS('Element wise-detail Summary'!$F$3:$F$1048576,'Element wise-detail Summary'!$B$3:$B$1048576,Location_Summary!$B129,'Element wise-detail Summary'!$C$3:$C$1048576,Location_Summary!C129,'Element wise-detail Summary'!$D$3:$D$1048576,Location_Summary!A129)</f>
        <v>0</v>
      </c>
      <c r="F129" s="22" t="str">
        <f>SUMIFS('Element wise-detail Summary'!$G$3:$G$1048576,'Element wise-detail Summary'!$B$3:$B$1048576,Location_Summary!$B129,'Element wise-detail Summary'!$C$3:$C$1048576,Location_Summary!C129,'Element wise-detail Summary'!$D$3:$D$1048576,Location_Summary!A129)</f>
        <v>0</v>
      </c>
      <c r="G129" s="20" t="str">
        <f t="shared" si="9"/>
        <v>0</v>
      </c>
      <c r="H129" s="23" t="str">
        <f t="shared" si="10"/>
        <v>#DIV/0!</v>
      </c>
      <c r="I129" s="22" t="str">
        <f>SUMIFS('Element wise-detail Summary'!$I$3:$I$1048576,'Element wise-detail Summary'!$B$3:$B$1048576,B129,'Element wise-detail Summary'!$C$3:$C$1048576,C129,'Element wise-detail Summary'!$D$3:$D$1048576,Location_Summary!A129)</f>
        <v>0</v>
      </c>
      <c r="J129" s="20" t="str">
        <f t="shared" si="11"/>
        <v>0</v>
      </c>
      <c r="K129" s="24" t="str">
        <f t="shared" si="12"/>
        <v>#DIV/0!</v>
      </c>
      <c r="L129" s="25" t="str">
        <f t="shared" si="13"/>
        <v>0</v>
      </c>
      <c r="M129" s="22" t="str">
        <f>SUMIFS('Element wise-detail Summary'!$M$3:$M$1048576,'Element wise-detail Summary'!$B$3:$B$1048576,B129,'Element wise-detail Summary'!$C$3:$C$1048576,C129,'Element wise-detail Summary'!$D$3:$D$1048576,Location_Summary!A129)</f>
        <v>0</v>
      </c>
      <c r="N129" s="20" t="str">
        <f t="shared" si="14"/>
        <v>0</v>
      </c>
      <c r="O129" s="24" t="str">
        <f t="shared" si="15"/>
        <v>#DIV/0!</v>
      </c>
      <c r="P129" s="118"/>
      <c r="Q129" s="27" t="str">
        <f t="shared" si="16"/>
        <v>0</v>
      </c>
      <c r="R129" s="27"/>
    </row>
    <row r="130" ht="24.75" customHeight="1">
      <c r="A130" s="18" t="s">
        <v>2818</v>
      </c>
      <c r="B130" s="19" t="s">
        <v>158</v>
      </c>
      <c r="C130" s="19" t="s">
        <v>163</v>
      </c>
      <c r="D130" s="20" t="str">
        <f>SUMIFS('Element wise-detail Summary'!F:F,'Element wise-detail Summary'!B:B,Location_Summary!B130,'Element wise-detail Summary'!C:C,Location_Summary!C130,'Element wise-detail Summary'!D:D,Location_Summary!A130)</f>
        <v>0</v>
      </c>
      <c r="E130" s="117" t="str">
        <f>SUMIFS('Element wise-detail Summary'!$F$3:$F$1048576,'Element wise-detail Summary'!$B$3:$B$1048576,Location_Summary!$B130,'Element wise-detail Summary'!$C$3:$C$1048576,Location_Summary!C130,'Element wise-detail Summary'!$D$3:$D$1048576,Location_Summary!A130)</f>
        <v>0</v>
      </c>
      <c r="F130" s="22" t="str">
        <f>SUMIFS('Element wise-detail Summary'!$G$3:$G$1048576,'Element wise-detail Summary'!$B$3:$B$1048576,Location_Summary!$B130,'Element wise-detail Summary'!$C$3:$C$1048576,Location_Summary!C130,'Element wise-detail Summary'!$D$3:$D$1048576,Location_Summary!A130)</f>
        <v>0</v>
      </c>
      <c r="G130" s="20" t="str">
        <f t="shared" si="9"/>
        <v>0</v>
      </c>
      <c r="H130" s="23" t="str">
        <f t="shared" si="10"/>
        <v>#DIV/0!</v>
      </c>
      <c r="I130" s="22" t="str">
        <f>SUMIFS('Element wise-detail Summary'!$I$3:$I$1048576,'Element wise-detail Summary'!$B$3:$B$1048576,B130,'Element wise-detail Summary'!$C$3:$C$1048576,C130,'Element wise-detail Summary'!$D$3:$D$1048576,Location_Summary!A130)</f>
        <v>0</v>
      </c>
      <c r="J130" s="20" t="str">
        <f t="shared" si="11"/>
        <v>0</v>
      </c>
      <c r="K130" s="24" t="str">
        <f t="shared" si="12"/>
        <v>#DIV/0!</v>
      </c>
      <c r="L130" s="25" t="str">
        <f t="shared" si="13"/>
        <v>0</v>
      </c>
      <c r="M130" s="22" t="str">
        <f>SUMIFS('Element wise-detail Summary'!$M$3:$M$1048576,'Element wise-detail Summary'!$B$3:$B$1048576,B130,'Element wise-detail Summary'!$C$3:$C$1048576,C130,'Element wise-detail Summary'!$D$3:$D$1048576,Location_Summary!A130)</f>
        <v>0</v>
      </c>
      <c r="N130" s="20" t="str">
        <f t="shared" si="14"/>
        <v>0</v>
      </c>
      <c r="O130" s="24" t="str">
        <f t="shared" si="15"/>
        <v>#DIV/0!</v>
      </c>
      <c r="P130" s="118"/>
      <c r="Q130" s="27" t="str">
        <f t="shared" si="16"/>
        <v>0</v>
      </c>
      <c r="R130" s="27"/>
    </row>
    <row r="131" ht="24.75" customHeight="1">
      <c r="A131" s="18" t="s">
        <v>2818</v>
      </c>
      <c r="B131" s="19" t="s">
        <v>158</v>
      </c>
      <c r="C131" s="19" t="s">
        <v>164</v>
      </c>
      <c r="D131" s="20" t="str">
        <f>SUMIFS('Element wise-detail Summary'!F:F,'Element wise-detail Summary'!B:B,Location_Summary!B131,'Element wise-detail Summary'!C:C,Location_Summary!C131,'Element wise-detail Summary'!D:D,Location_Summary!A131)</f>
        <v>0</v>
      </c>
      <c r="E131" s="117" t="str">
        <f>SUMIFS('Element wise-detail Summary'!$F$3:$F$1048576,'Element wise-detail Summary'!$B$3:$B$1048576,Location_Summary!$B131,'Element wise-detail Summary'!$C$3:$C$1048576,Location_Summary!C131,'Element wise-detail Summary'!$D$3:$D$1048576,Location_Summary!A131)</f>
        <v>0</v>
      </c>
      <c r="F131" s="22" t="str">
        <f>SUMIFS('Element wise-detail Summary'!$G$3:$G$1048576,'Element wise-detail Summary'!$B$3:$B$1048576,Location_Summary!$B131,'Element wise-detail Summary'!$C$3:$C$1048576,Location_Summary!C131,'Element wise-detail Summary'!$D$3:$D$1048576,Location_Summary!A131)</f>
        <v>0</v>
      </c>
      <c r="G131" s="20" t="str">
        <f t="shared" si="9"/>
        <v>0</v>
      </c>
      <c r="H131" s="23" t="str">
        <f t="shared" si="10"/>
        <v>#DIV/0!</v>
      </c>
      <c r="I131" s="22" t="str">
        <f>SUMIFS('Element wise-detail Summary'!$I$3:$I$1048576,'Element wise-detail Summary'!$B$3:$B$1048576,B131,'Element wise-detail Summary'!$C$3:$C$1048576,C131,'Element wise-detail Summary'!$D$3:$D$1048576,Location_Summary!A131)</f>
        <v>0</v>
      </c>
      <c r="J131" s="20" t="str">
        <f t="shared" si="11"/>
        <v>0</v>
      </c>
      <c r="K131" s="24" t="str">
        <f t="shared" si="12"/>
        <v>#DIV/0!</v>
      </c>
      <c r="L131" s="25" t="str">
        <f t="shared" si="13"/>
        <v>0</v>
      </c>
      <c r="M131" s="22" t="str">
        <f>SUMIFS('Element wise-detail Summary'!$M$3:$M$1048576,'Element wise-detail Summary'!$B$3:$B$1048576,B131,'Element wise-detail Summary'!$C$3:$C$1048576,C131,'Element wise-detail Summary'!$D$3:$D$1048576,Location_Summary!A131)</f>
        <v>0</v>
      </c>
      <c r="N131" s="20" t="str">
        <f t="shared" si="14"/>
        <v>0</v>
      </c>
      <c r="O131" s="24" t="str">
        <f t="shared" si="15"/>
        <v>#DIV/0!</v>
      </c>
      <c r="P131" s="118"/>
      <c r="Q131" s="27" t="str">
        <f t="shared" si="16"/>
        <v>0</v>
      </c>
      <c r="R131" s="27"/>
    </row>
    <row r="132" ht="24.75" customHeight="1">
      <c r="A132" s="18" t="s">
        <v>2818</v>
      </c>
      <c r="B132" s="19" t="s">
        <v>158</v>
      </c>
      <c r="C132" s="19" t="s">
        <v>165</v>
      </c>
      <c r="D132" s="20" t="str">
        <f>SUMIFS('Element wise-detail Summary'!F:F,'Element wise-detail Summary'!B:B,Location_Summary!B132,'Element wise-detail Summary'!C:C,Location_Summary!C132,'Element wise-detail Summary'!D:D,Location_Summary!A132)</f>
        <v>0</v>
      </c>
      <c r="E132" s="117" t="str">
        <f>SUMIFS('Element wise-detail Summary'!$F$3:$F$1048576,'Element wise-detail Summary'!$B$3:$B$1048576,Location_Summary!$B132,'Element wise-detail Summary'!$C$3:$C$1048576,Location_Summary!C132,'Element wise-detail Summary'!$D$3:$D$1048576,Location_Summary!A132)</f>
        <v>0</v>
      </c>
      <c r="F132" s="22" t="str">
        <f>SUMIFS('Element wise-detail Summary'!$G$3:$G$1048576,'Element wise-detail Summary'!$B$3:$B$1048576,Location_Summary!$B132,'Element wise-detail Summary'!$C$3:$C$1048576,Location_Summary!C132,'Element wise-detail Summary'!$D$3:$D$1048576,Location_Summary!A132)</f>
        <v>0</v>
      </c>
      <c r="G132" s="20" t="str">
        <f t="shared" si="9"/>
        <v>0</v>
      </c>
      <c r="H132" s="23" t="str">
        <f t="shared" si="10"/>
        <v>#DIV/0!</v>
      </c>
      <c r="I132" s="22" t="str">
        <f>SUMIFS('Element wise-detail Summary'!$I$3:$I$1048576,'Element wise-detail Summary'!$B$3:$B$1048576,B132,'Element wise-detail Summary'!$C$3:$C$1048576,C132,'Element wise-detail Summary'!$D$3:$D$1048576,Location_Summary!A132)</f>
        <v>0</v>
      </c>
      <c r="J132" s="20" t="str">
        <f t="shared" si="11"/>
        <v>0</v>
      </c>
      <c r="K132" s="24" t="str">
        <f t="shared" si="12"/>
        <v>#DIV/0!</v>
      </c>
      <c r="L132" s="25" t="str">
        <f t="shared" si="13"/>
        <v>0</v>
      </c>
      <c r="M132" s="22" t="str">
        <f>SUMIFS('Element wise-detail Summary'!$M$3:$M$1048576,'Element wise-detail Summary'!$B$3:$B$1048576,B132,'Element wise-detail Summary'!$C$3:$C$1048576,C132,'Element wise-detail Summary'!$D$3:$D$1048576,Location_Summary!A132)</f>
        <v>0</v>
      </c>
      <c r="N132" s="20" t="str">
        <f t="shared" si="14"/>
        <v>0</v>
      </c>
      <c r="O132" s="24" t="str">
        <f t="shared" si="15"/>
        <v>#DIV/0!</v>
      </c>
      <c r="P132" s="118"/>
      <c r="Q132" s="27" t="str">
        <f t="shared" si="16"/>
        <v>0</v>
      </c>
      <c r="R132" s="27"/>
    </row>
    <row r="133" ht="24.75" customHeight="1">
      <c r="A133" s="18" t="s">
        <v>2818</v>
      </c>
      <c r="B133" s="19" t="s">
        <v>158</v>
      </c>
      <c r="C133" s="19" t="s">
        <v>166</v>
      </c>
      <c r="D133" s="20" t="str">
        <f>SUMIFS('Element wise-detail Summary'!F:F,'Element wise-detail Summary'!B:B,Location_Summary!B133,'Element wise-detail Summary'!C:C,Location_Summary!C133,'Element wise-detail Summary'!D:D,Location_Summary!A133)</f>
        <v>0</v>
      </c>
      <c r="E133" s="117" t="str">
        <f>SUMIFS('Element wise-detail Summary'!$F$3:$F$1048576,'Element wise-detail Summary'!$B$3:$B$1048576,Location_Summary!$B133,'Element wise-detail Summary'!$C$3:$C$1048576,Location_Summary!C133,'Element wise-detail Summary'!$D$3:$D$1048576,Location_Summary!A133)</f>
        <v>0</v>
      </c>
      <c r="F133" s="22" t="str">
        <f>SUMIFS('Element wise-detail Summary'!$G$3:$G$1048576,'Element wise-detail Summary'!$B$3:$B$1048576,Location_Summary!$B133,'Element wise-detail Summary'!$C$3:$C$1048576,Location_Summary!C133,'Element wise-detail Summary'!$D$3:$D$1048576,Location_Summary!A133)</f>
        <v>0</v>
      </c>
      <c r="G133" s="20" t="str">
        <f t="shared" si="9"/>
        <v>0</v>
      </c>
      <c r="H133" s="23" t="str">
        <f t="shared" si="10"/>
        <v>#DIV/0!</v>
      </c>
      <c r="I133" s="22" t="str">
        <f>SUMIFS('Element wise-detail Summary'!$I$3:$I$1048576,'Element wise-detail Summary'!$B$3:$B$1048576,B133,'Element wise-detail Summary'!$C$3:$C$1048576,C133,'Element wise-detail Summary'!$D$3:$D$1048576,Location_Summary!A133)</f>
        <v>0</v>
      </c>
      <c r="J133" s="20" t="str">
        <f t="shared" si="11"/>
        <v>0</v>
      </c>
      <c r="K133" s="24" t="str">
        <f t="shared" si="12"/>
        <v>#DIV/0!</v>
      </c>
      <c r="L133" s="25" t="str">
        <f t="shared" si="13"/>
        <v>0</v>
      </c>
      <c r="M133" s="22" t="str">
        <f>SUMIFS('Element wise-detail Summary'!$M$3:$M$1048576,'Element wise-detail Summary'!$B$3:$B$1048576,B133,'Element wise-detail Summary'!$C$3:$C$1048576,C133,'Element wise-detail Summary'!$D$3:$D$1048576,Location_Summary!A133)</f>
        <v>0</v>
      </c>
      <c r="N133" s="20" t="str">
        <f t="shared" si="14"/>
        <v>0</v>
      </c>
      <c r="O133" s="24" t="str">
        <f t="shared" si="15"/>
        <v>#DIV/0!</v>
      </c>
      <c r="P133" s="118"/>
      <c r="Q133" s="27" t="str">
        <f t="shared" si="16"/>
        <v>0</v>
      </c>
      <c r="R133" s="27"/>
    </row>
    <row r="134" ht="24.75" customHeight="1">
      <c r="A134" s="18" t="s">
        <v>2818</v>
      </c>
      <c r="B134" s="19" t="s">
        <v>158</v>
      </c>
      <c r="C134" s="19" t="s">
        <v>167</v>
      </c>
      <c r="D134" s="20" t="str">
        <f>SUMIFS('Element wise-detail Summary'!F:F,'Element wise-detail Summary'!B:B,Location_Summary!B134,'Element wise-detail Summary'!C:C,Location_Summary!C134,'Element wise-detail Summary'!D:D,Location_Summary!A134)</f>
        <v>0</v>
      </c>
      <c r="E134" s="117" t="str">
        <f>SUMIFS('Element wise-detail Summary'!$F$3:$F$1048576,'Element wise-detail Summary'!$B$3:$B$1048576,Location_Summary!$B134,'Element wise-detail Summary'!$C$3:$C$1048576,Location_Summary!C134,'Element wise-detail Summary'!$D$3:$D$1048576,Location_Summary!A134)</f>
        <v>0</v>
      </c>
      <c r="F134" s="22" t="str">
        <f>SUMIFS('Element wise-detail Summary'!$G$3:$G$1048576,'Element wise-detail Summary'!$B$3:$B$1048576,Location_Summary!$B134,'Element wise-detail Summary'!$C$3:$C$1048576,Location_Summary!C134,'Element wise-detail Summary'!$D$3:$D$1048576,Location_Summary!A134)</f>
        <v>0</v>
      </c>
      <c r="G134" s="20" t="str">
        <f t="shared" si="9"/>
        <v>0</v>
      </c>
      <c r="H134" s="23" t="str">
        <f t="shared" si="10"/>
        <v>#DIV/0!</v>
      </c>
      <c r="I134" s="22" t="str">
        <f>SUMIFS('Element wise-detail Summary'!$I$3:$I$1048576,'Element wise-detail Summary'!$B$3:$B$1048576,B134,'Element wise-detail Summary'!$C$3:$C$1048576,C134,'Element wise-detail Summary'!$D$3:$D$1048576,Location_Summary!A134)</f>
        <v>0</v>
      </c>
      <c r="J134" s="20" t="str">
        <f t="shared" si="11"/>
        <v>0</v>
      </c>
      <c r="K134" s="24" t="str">
        <f t="shared" si="12"/>
        <v>#DIV/0!</v>
      </c>
      <c r="L134" s="25" t="str">
        <f t="shared" si="13"/>
        <v>0</v>
      </c>
      <c r="M134" s="22" t="str">
        <f>SUMIFS('Element wise-detail Summary'!$M$3:$M$1048576,'Element wise-detail Summary'!$B$3:$B$1048576,B134,'Element wise-detail Summary'!$C$3:$C$1048576,C134,'Element wise-detail Summary'!$D$3:$D$1048576,Location_Summary!A134)</f>
        <v>0</v>
      </c>
      <c r="N134" s="20" t="str">
        <f t="shared" si="14"/>
        <v>0</v>
      </c>
      <c r="O134" s="24" t="str">
        <f t="shared" si="15"/>
        <v>#DIV/0!</v>
      </c>
      <c r="P134" s="118"/>
      <c r="Q134" s="27" t="str">
        <f t="shared" si="16"/>
        <v>0</v>
      </c>
      <c r="R134" s="27"/>
    </row>
    <row r="135" ht="24.75" customHeight="1">
      <c r="A135" s="18" t="s">
        <v>2818</v>
      </c>
      <c r="B135" s="19" t="s">
        <v>158</v>
      </c>
      <c r="C135" s="19" t="s">
        <v>168</v>
      </c>
      <c r="D135" s="20" t="str">
        <f>SUMIFS('Element wise-detail Summary'!F:F,'Element wise-detail Summary'!B:B,Location_Summary!B135,'Element wise-detail Summary'!C:C,Location_Summary!C135,'Element wise-detail Summary'!D:D,Location_Summary!A135)</f>
        <v>0</v>
      </c>
      <c r="E135" s="117" t="str">
        <f>SUMIFS('Element wise-detail Summary'!$F$3:$F$1048576,'Element wise-detail Summary'!$B$3:$B$1048576,Location_Summary!$B135,'Element wise-detail Summary'!$C$3:$C$1048576,Location_Summary!C135,'Element wise-detail Summary'!$D$3:$D$1048576,Location_Summary!A135)</f>
        <v>0</v>
      </c>
      <c r="F135" s="22" t="str">
        <f>SUMIFS('Element wise-detail Summary'!$G$3:$G$1048576,'Element wise-detail Summary'!$B$3:$B$1048576,Location_Summary!$B135,'Element wise-detail Summary'!$C$3:$C$1048576,Location_Summary!C135,'Element wise-detail Summary'!$D$3:$D$1048576,Location_Summary!A135)</f>
        <v>0</v>
      </c>
      <c r="G135" s="20" t="str">
        <f t="shared" si="9"/>
        <v>0</v>
      </c>
      <c r="H135" s="23" t="str">
        <f t="shared" si="10"/>
        <v>#DIV/0!</v>
      </c>
      <c r="I135" s="22" t="str">
        <f>SUMIFS('Element wise-detail Summary'!$I$3:$I$1048576,'Element wise-detail Summary'!$B$3:$B$1048576,B135,'Element wise-detail Summary'!$C$3:$C$1048576,C135,'Element wise-detail Summary'!$D$3:$D$1048576,Location_Summary!A135)</f>
        <v>0</v>
      </c>
      <c r="J135" s="20" t="str">
        <f t="shared" si="11"/>
        <v>0</v>
      </c>
      <c r="K135" s="24" t="str">
        <f t="shared" si="12"/>
        <v>#DIV/0!</v>
      </c>
      <c r="L135" s="25" t="str">
        <f t="shared" si="13"/>
        <v>0</v>
      </c>
      <c r="M135" s="22" t="str">
        <f>SUMIFS('Element wise-detail Summary'!$M$3:$M$1048576,'Element wise-detail Summary'!$B$3:$B$1048576,B135,'Element wise-detail Summary'!$C$3:$C$1048576,C135,'Element wise-detail Summary'!$D$3:$D$1048576,Location_Summary!A135)</f>
        <v>0</v>
      </c>
      <c r="N135" s="20" t="str">
        <f t="shared" si="14"/>
        <v>0</v>
      </c>
      <c r="O135" s="24" t="str">
        <f t="shared" si="15"/>
        <v>#DIV/0!</v>
      </c>
      <c r="P135" s="118"/>
      <c r="Q135" s="27" t="str">
        <f t="shared" si="16"/>
        <v>0</v>
      </c>
      <c r="R135" s="27"/>
    </row>
    <row r="136" ht="24.75" customHeight="1">
      <c r="A136" s="18" t="s">
        <v>2818</v>
      </c>
      <c r="B136" s="19" t="s">
        <v>158</v>
      </c>
      <c r="C136" s="19" t="s">
        <v>169</v>
      </c>
      <c r="D136" s="20" t="str">
        <f>SUMIFS('Element wise-detail Summary'!F:F,'Element wise-detail Summary'!B:B,Location_Summary!B136,'Element wise-detail Summary'!C:C,Location_Summary!C136,'Element wise-detail Summary'!D:D,Location_Summary!A136)</f>
        <v>0</v>
      </c>
      <c r="E136" s="117" t="str">
        <f>SUMIFS('Element wise-detail Summary'!$F$3:$F$1048576,'Element wise-detail Summary'!$B$3:$B$1048576,Location_Summary!$B136,'Element wise-detail Summary'!$C$3:$C$1048576,Location_Summary!C136,'Element wise-detail Summary'!$D$3:$D$1048576,Location_Summary!A136)</f>
        <v>0</v>
      </c>
      <c r="F136" s="22" t="str">
        <f>SUMIFS('Element wise-detail Summary'!$G$3:$G$1048576,'Element wise-detail Summary'!$B$3:$B$1048576,Location_Summary!$B136,'Element wise-detail Summary'!$C$3:$C$1048576,Location_Summary!C136,'Element wise-detail Summary'!$D$3:$D$1048576,Location_Summary!A136)</f>
        <v>0</v>
      </c>
      <c r="G136" s="20" t="str">
        <f t="shared" si="9"/>
        <v>0</v>
      </c>
      <c r="H136" s="23" t="str">
        <f t="shared" si="10"/>
        <v>#DIV/0!</v>
      </c>
      <c r="I136" s="22" t="str">
        <f>SUMIFS('Element wise-detail Summary'!$I$3:$I$1048576,'Element wise-detail Summary'!$B$3:$B$1048576,B136,'Element wise-detail Summary'!$C$3:$C$1048576,C136,'Element wise-detail Summary'!$D$3:$D$1048576,Location_Summary!A136)</f>
        <v>0</v>
      </c>
      <c r="J136" s="20" t="str">
        <f t="shared" si="11"/>
        <v>0</v>
      </c>
      <c r="K136" s="24" t="str">
        <f t="shared" si="12"/>
        <v>#DIV/0!</v>
      </c>
      <c r="L136" s="25" t="str">
        <f t="shared" si="13"/>
        <v>0</v>
      </c>
      <c r="M136" s="22" t="str">
        <f>SUMIFS('Element wise-detail Summary'!$M$3:$M$1048576,'Element wise-detail Summary'!$B$3:$B$1048576,B136,'Element wise-detail Summary'!$C$3:$C$1048576,C136,'Element wise-detail Summary'!$D$3:$D$1048576,Location_Summary!A136)</f>
        <v>0</v>
      </c>
      <c r="N136" s="20" t="str">
        <f t="shared" si="14"/>
        <v>0</v>
      </c>
      <c r="O136" s="24" t="str">
        <f t="shared" si="15"/>
        <v>#DIV/0!</v>
      </c>
      <c r="P136" s="118"/>
      <c r="Q136" s="27" t="str">
        <f t="shared" si="16"/>
        <v>0</v>
      </c>
      <c r="R136" s="27"/>
    </row>
    <row r="137" ht="24.75" customHeight="1">
      <c r="A137" s="18" t="s">
        <v>2818</v>
      </c>
      <c r="B137" s="19" t="s">
        <v>158</v>
      </c>
      <c r="C137" s="19" t="s">
        <v>170</v>
      </c>
      <c r="D137" s="20" t="str">
        <f>SUMIFS('Element wise-detail Summary'!F:F,'Element wise-detail Summary'!B:B,Location_Summary!B137,'Element wise-detail Summary'!C:C,Location_Summary!C137,'Element wise-detail Summary'!D:D,Location_Summary!A137)</f>
        <v>0</v>
      </c>
      <c r="E137" s="117" t="str">
        <f>SUMIFS('Element wise-detail Summary'!$F$3:$F$1048576,'Element wise-detail Summary'!$B$3:$B$1048576,Location_Summary!$B137,'Element wise-detail Summary'!$C$3:$C$1048576,Location_Summary!C137,'Element wise-detail Summary'!$D$3:$D$1048576,Location_Summary!A137)</f>
        <v>0</v>
      </c>
      <c r="F137" s="22" t="str">
        <f>SUMIFS('Element wise-detail Summary'!$G$3:$G$1048576,'Element wise-detail Summary'!$B$3:$B$1048576,Location_Summary!$B137,'Element wise-detail Summary'!$C$3:$C$1048576,Location_Summary!C137,'Element wise-detail Summary'!$D$3:$D$1048576,Location_Summary!A137)</f>
        <v>0</v>
      </c>
      <c r="G137" s="20" t="str">
        <f t="shared" si="9"/>
        <v>0</v>
      </c>
      <c r="H137" s="23" t="str">
        <f t="shared" si="10"/>
        <v>#DIV/0!</v>
      </c>
      <c r="I137" s="22" t="str">
        <f>SUMIFS('Element wise-detail Summary'!$I$3:$I$1048576,'Element wise-detail Summary'!$B$3:$B$1048576,B137,'Element wise-detail Summary'!$C$3:$C$1048576,C137,'Element wise-detail Summary'!$D$3:$D$1048576,Location_Summary!A137)</f>
        <v>0</v>
      </c>
      <c r="J137" s="20" t="str">
        <f t="shared" si="11"/>
        <v>0</v>
      </c>
      <c r="K137" s="24" t="str">
        <f t="shared" si="12"/>
        <v>#DIV/0!</v>
      </c>
      <c r="L137" s="25" t="str">
        <f t="shared" si="13"/>
        <v>0</v>
      </c>
      <c r="M137" s="22" t="str">
        <f>SUMIFS('Element wise-detail Summary'!$M$3:$M$1048576,'Element wise-detail Summary'!$B$3:$B$1048576,B137,'Element wise-detail Summary'!$C$3:$C$1048576,C137,'Element wise-detail Summary'!$D$3:$D$1048576,Location_Summary!A137)</f>
        <v>0</v>
      </c>
      <c r="N137" s="20" t="str">
        <f t="shared" si="14"/>
        <v>0</v>
      </c>
      <c r="O137" s="24" t="str">
        <f t="shared" si="15"/>
        <v>#DIV/0!</v>
      </c>
      <c r="P137" s="118"/>
      <c r="Q137" s="27" t="str">
        <f t="shared" si="16"/>
        <v>0</v>
      </c>
      <c r="R137" s="27"/>
    </row>
    <row r="138" ht="24.75" customHeight="1">
      <c r="A138" s="18" t="s">
        <v>2818</v>
      </c>
      <c r="B138" s="19" t="s">
        <v>158</v>
      </c>
      <c r="C138" s="19" t="s">
        <v>171</v>
      </c>
      <c r="D138" s="20" t="str">
        <f>SUMIFS('Element wise-detail Summary'!F:F,'Element wise-detail Summary'!B:B,Location_Summary!B138,'Element wise-detail Summary'!C:C,Location_Summary!C138,'Element wise-detail Summary'!D:D,Location_Summary!A138)</f>
        <v>0</v>
      </c>
      <c r="E138" s="117" t="str">
        <f>SUMIFS('Element wise-detail Summary'!$F$3:$F$1048576,'Element wise-detail Summary'!$B$3:$B$1048576,Location_Summary!$B138,'Element wise-detail Summary'!$C$3:$C$1048576,Location_Summary!C138,'Element wise-detail Summary'!$D$3:$D$1048576,Location_Summary!A138)</f>
        <v>0</v>
      </c>
      <c r="F138" s="22" t="str">
        <f>SUMIFS('Element wise-detail Summary'!$G$3:$G$1048576,'Element wise-detail Summary'!$B$3:$B$1048576,Location_Summary!$B138,'Element wise-detail Summary'!$C$3:$C$1048576,Location_Summary!C138,'Element wise-detail Summary'!$D$3:$D$1048576,Location_Summary!A138)</f>
        <v>0</v>
      </c>
      <c r="G138" s="20" t="str">
        <f t="shared" si="9"/>
        <v>0</v>
      </c>
      <c r="H138" s="23" t="str">
        <f t="shared" si="10"/>
        <v>#DIV/0!</v>
      </c>
      <c r="I138" s="22" t="str">
        <f>SUMIFS('Element wise-detail Summary'!$I$3:$I$1048576,'Element wise-detail Summary'!$B$3:$B$1048576,B138,'Element wise-detail Summary'!$C$3:$C$1048576,C138,'Element wise-detail Summary'!$D$3:$D$1048576,Location_Summary!A138)</f>
        <v>0</v>
      </c>
      <c r="J138" s="20" t="str">
        <f t="shared" si="11"/>
        <v>0</v>
      </c>
      <c r="K138" s="24" t="str">
        <f t="shared" si="12"/>
        <v>#DIV/0!</v>
      </c>
      <c r="L138" s="25" t="str">
        <f t="shared" si="13"/>
        <v>0</v>
      </c>
      <c r="M138" s="22" t="str">
        <f>SUMIFS('Element wise-detail Summary'!$M$3:$M$1048576,'Element wise-detail Summary'!$B$3:$B$1048576,B138,'Element wise-detail Summary'!$C$3:$C$1048576,C138,'Element wise-detail Summary'!$D$3:$D$1048576,Location_Summary!A138)</f>
        <v>0</v>
      </c>
      <c r="N138" s="20" t="str">
        <f t="shared" si="14"/>
        <v>0</v>
      </c>
      <c r="O138" s="24" t="str">
        <f t="shared" si="15"/>
        <v>#DIV/0!</v>
      </c>
      <c r="P138" s="118"/>
      <c r="Q138" s="27" t="str">
        <f t="shared" si="16"/>
        <v>0</v>
      </c>
      <c r="R138" s="27"/>
    </row>
    <row r="139" ht="24.75" customHeight="1">
      <c r="A139" s="18" t="s">
        <v>2818</v>
      </c>
      <c r="B139" s="19" t="s">
        <v>158</v>
      </c>
      <c r="C139" s="19" t="s">
        <v>172</v>
      </c>
      <c r="D139" s="20" t="str">
        <f>SUMIFS('Element wise-detail Summary'!F:F,'Element wise-detail Summary'!B:B,Location_Summary!B139,'Element wise-detail Summary'!C:C,Location_Summary!C139,'Element wise-detail Summary'!D:D,Location_Summary!A139)</f>
        <v>0</v>
      </c>
      <c r="E139" s="117" t="str">
        <f>SUMIFS('Element wise-detail Summary'!$F$3:$F$1048576,'Element wise-detail Summary'!$B$3:$B$1048576,Location_Summary!$B139,'Element wise-detail Summary'!$C$3:$C$1048576,Location_Summary!C139,'Element wise-detail Summary'!$D$3:$D$1048576,Location_Summary!A139)</f>
        <v>0</v>
      </c>
      <c r="F139" s="22" t="str">
        <f>SUMIFS('Element wise-detail Summary'!$G$3:$G$1048576,'Element wise-detail Summary'!$B$3:$B$1048576,Location_Summary!$B139,'Element wise-detail Summary'!$C$3:$C$1048576,Location_Summary!C139,'Element wise-detail Summary'!$D$3:$D$1048576,Location_Summary!A139)</f>
        <v>0</v>
      </c>
      <c r="G139" s="20" t="str">
        <f t="shared" si="9"/>
        <v>0</v>
      </c>
      <c r="H139" s="23" t="str">
        <f t="shared" si="10"/>
        <v>#DIV/0!</v>
      </c>
      <c r="I139" s="22" t="str">
        <f>SUMIFS('Element wise-detail Summary'!$I$3:$I$1048576,'Element wise-detail Summary'!$B$3:$B$1048576,B139,'Element wise-detail Summary'!$C$3:$C$1048576,C139,'Element wise-detail Summary'!$D$3:$D$1048576,Location_Summary!A139)</f>
        <v>0</v>
      </c>
      <c r="J139" s="20" t="str">
        <f t="shared" si="11"/>
        <v>0</v>
      </c>
      <c r="K139" s="24" t="str">
        <f t="shared" si="12"/>
        <v>#DIV/0!</v>
      </c>
      <c r="L139" s="25" t="str">
        <f t="shared" si="13"/>
        <v>0</v>
      </c>
      <c r="M139" s="22" t="str">
        <f>SUMIFS('Element wise-detail Summary'!$M$3:$M$1048576,'Element wise-detail Summary'!$B$3:$B$1048576,B139,'Element wise-detail Summary'!$C$3:$C$1048576,C139,'Element wise-detail Summary'!$D$3:$D$1048576,Location_Summary!A139)</f>
        <v>0</v>
      </c>
      <c r="N139" s="20" t="str">
        <f t="shared" si="14"/>
        <v>0</v>
      </c>
      <c r="O139" s="24" t="str">
        <f t="shared" si="15"/>
        <v>#DIV/0!</v>
      </c>
      <c r="P139" s="118"/>
      <c r="Q139" s="27" t="str">
        <f t="shared" si="16"/>
        <v>0</v>
      </c>
      <c r="R139" s="27"/>
    </row>
    <row r="140" ht="24.75" customHeight="1">
      <c r="A140" s="122" t="s">
        <v>2818</v>
      </c>
      <c r="B140" s="123" t="s">
        <v>158</v>
      </c>
      <c r="C140" s="123" t="s">
        <v>173</v>
      </c>
      <c r="D140" s="124" t="str">
        <f>SUMIFS('Element wise-detail Summary'!F:F,'Element wise-detail Summary'!B:B,Location_Summary!B140,'Element wise-detail Summary'!C:C,Location_Summary!C140,'Element wise-detail Summary'!D:D,Location_Summary!A140)</f>
        <v>0</v>
      </c>
      <c r="E140" s="125" t="str">
        <f>SUMIFS('Element wise-detail Summary'!$F$3:$F$1048576,'Element wise-detail Summary'!$B$3:$B$1048576,Location_Summary!$B140,'Element wise-detail Summary'!$C$3:$C$1048576,Location_Summary!C140,'Element wise-detail Summary'!$D$3:$D$1048576,Location_Summary!A140)</f>
        <v>0</v>
      </c>
      <c r="F140" s="126" t="str">
        <f>SUMIFS('Element wise-detail Summary'!$G$3:$G$1048576,'Element wise-detail Summary'!$B$3:$B$1048576,Location_Summary!$B140,'Element wise-detail Summary'!$C$3:$C$1048576,Location_Summary!C140,'Element wise-detail Summary'!$D$3:$D$1048576,Location_Summary!A140)</f>
        <v>0</v>
      </c>
      <c r="G140" s="124" t="str">
        <f t="shared" si="9"/>
        <v>0</v>
      </c>
      <c r="H140" s="127" t="str">
        <f t="shared" si="10"/>
        <v>#DIV/0!</v>
      </c>
      <c r="I140" s="126" t="str">
        <f>SUMIFS('Element wise-detail Summary'!$I$3:$I$1048576,'Element wise-detail Summary'!$B$3:$B$1048576,B140,'Element wise-detail Summary'!$C$3:$C$1048576,C140,'Element wise-detail Summary'!$D$3:$D$1048576,Location_Summary!A140)</f>
        <v>0</v>
      </c>
      <c r="J140" s="124" t="str">
        <f t="shared" si="11"/>
        <v>0</v>
      </c>
      <c r="K140" s="128" t="str">
        <f t="shared" si="12"/>
        <v>#DIV/0!</v>
      </c>
      <c r="L140" s="129" t="str">
        <f t="shared" si="13"/>
        <v>0</v>
      </c>
      <c r="M140" s="126" t="str">
        <f>SUMIFS('Element wise-detail Summary'!$M$3:$M$1048576,'Element wise-detail Summary'!$B$3:$B$1048576,B140,'Element wise-detail Summary'!$C$3:$C$1048576,C140,'Element wise-detail Summary'!$D$3:$D$1048576,Location_Summary!A140)</f>
        <v>0</v>
      </c>
      <c r="N140" s="124" t="str">
        <f t="shared" si="14"/>
        <v>0</v>
      </c>
      <c r="O140" s="128" t="str">
        <f t="shared" si="15"/>
        <v>#DIV/0!</v>
      </c>
      <c r="P140" s="130"/>
      <c r="Q140" s="27" t="str">
        <f t="shared" si="16"/>
        <v>0</v>
      </c>
      <c r="R140" s="27"/>
    </row>
  </sheetData>
  <mergeCells count="2">
    <mergeCell ref="M2:N3"/>
    <mergeCell ref="O2:P3"/>
  </mergeCells>
  <conditionalFormatting sqref="D6:G72 I6:O72">
    <cfRule type="cellIs" dxfId="1" priority="1" operator="equal">
      <formula>0</formula>
    </cfRule>
  </conditionalFormatting>
  <conditionalFormatting sqref="D74:G140">
    <cfRule type="cellIs" dxfId="1" priority="2" operator="equal">
      <formula>0</formula>
    </cfRule>
  </conditionalFormatting>
  <conditionalFormatting sqref="E6:E72">
    <cfRule type="expression" dxfId="0" priority="3">
      <formula>IF($Q6&gt;0,1)</formula>
    </cfRule>
  </conditionalFormatting>
  <conditionalFormatting sqref="E74:E140">
    <cfRule type="expression" dxfId="0" priority="4">
      <formula>IF($Q74&gt;0,1)</formula>
    </cfRule>
  </conditionalFormatting>
  <conditionalFormatting sqref="I74:O140">
    <cfRule type="cellIs" dxfId="1" priority="5" operator="equal">
      <formula>0</formula>
    </cfRule>
  </conditionalFormatting>
  <conditionalFormatting sqref="Q6:Q72">
    <cfRule type="cellIs" dxfId="2" priority="6" operator="greaterThan">
      <formula>0</formula>
    </cfRule>
  </conditionalFormatting>
  <conditionalFormatting sqref="Q74:Q140">
    <cfRule type="cellIs" dxfId="2" priority="7" operator="greaterThan">
      <formula>0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0.33"/>
    <col customWidth="1" min="2" max="4" width="14.33"/>
    <col customWidth="1" min="5" max="5" width="13.17"/>
    <col customWidth="1" min="6" max="6" width="23.83"/>
    <col customWidth="1" min="7" max="7" width="10.5"/>
    <col customWidth="1" min="8" max="8" width="12.67"/>
    <col customWidth="1" min="9" max="9" width="11.0"/>
    <col customWidth="1" min="10" max="10" width="11.67"/>
    <col customWidth="1" min="11" max="11" width="12.67"/>
    <col customWidth="1" min="12" max="12" width="12.5"/>
    <col customWidth="1" min="13" max="13" width="13.0"/>
    <col customWidth="1" min="14" max="14" width="15.83"/>
    <col customWidth="1" min="15" max="16" width="9.83"/>
    <col customWidth="1" min="17" max="17" width="9.33"/>
    <col customWidth="1" min="18" max="18" width="21.5"/>
    <col customWidth="1" min="19" max="19" width="12.67"/>
    <col customWidth="1" min="20" max="20" width="9.83"/>
    <col customWidth="1" min="21" max="21" width="40.5"/>
    <col customWidth="1" min="22" max="22" width="14.17"/>
    <col customWidth="1" min="23" max="23" width="30.83"/>
    <col customWidth="1" min="24" max="24" width="28.5"/>
    <col customWidth="1" min="25" max="25" width="10.83"/>
    <col customWidth="1" min="26" max="26" width="10.17"/>
    <col customWidth="1" min="27" max="27" width="12.67"/>
    <col customWidth="1" min="28" max="28" width="8.33"/>
    <col customWidth="1" min="29" max="29" width="6.83"/>
    <col customWidth="1" min="30" max="30" width="14.17"/>
    <col customWidth="1" min="31" max="31" width="13.67"/>
    <col customWidth="1" min="32" max="32" width="4.5"/>
    <col customWidth="1" min="33" max="33" width="7.0"/>
  </cols>
  <sheetData>
    <row r="1" ht="21.75" customHeight="1">
      <c r="A1" s="131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2"/>
      <c r="P1" s="132"/>
      <c r="Q1" s="133"/>
      <c r="R1" s="134"/>
      <c r="S1" s="131"/>
      <c r="T1" s="134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</row>
    <row r="2" ht="21.75" customHeight="1">
      <c r="A2" s="135" t="s">
        <v>2819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6"/>
      <c r="Q2" s="137"/>
      <c r="R2" s="136"/>
      <c r="S2" s="135"/>
      <c r="T2" s="136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</row>
    <row r="3" ht="21.75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 t="s">
        <v>2820</v>
      </c>
      <c r="N3" s="135"/>
      <c r="O3" s="135">
        <v>289.94299999999987</v>
      </c>
      <c r="P3" s="136"/>
      <c r="Q3" s="137"/>
      <c r="R3" s="136"/>
      <c r="S3" s="135"/>
      <c r="T3" s="136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</row>
    <row r="4" ht="21.75" customHeight="1">
      <c r="A4" t="s">
        <v>2821</v>
      </c>
      <c r="B4" t="s">
        <v>2822</v>
      </c>
      <c r="C4" t="s">
        <v>2823</v>
      </c>
      <c r="D4" t="s">
        <v>2824</v>
      </c>
      <c r="E4" t="s">
        <v>2825</v>
      </c>
      <c r="F4" t="s">
        <v>2826</v>
      </c>
      <c r="G4" t="s">
        <v>2</v>
      </c>
      <c r="H4" t="s">
        <v>239</v>
      </c>
      <c r="I4" t="s">
        <v>2827</v>
      </c>
      <c r="J4" t="s">
        <v>2828</v>
      </c>
      <c r="K4" t="s">
        <v>2829</v>
      </c>
      <c r="L4" t="s">
        <v>2830</v>
      </c>
      <c r="M4" t="s">
        <v>2831</v>
      </c>
      <c r="N4" t="s">
        <v>2832</v>
      </c>
      <c r="O4" s="138" t="s">
        <v>2833</v>
      </c>
      <c r="P4" s="138" t="s">
        <v>2834</v>
      </c>
      <c r="Q4" s="139" t="s">
        <v>2835</v>
      </c>
      <c r="R4" s="140" t="s">
        <v>2836</v>
      </c>
      <c r="S4" t="s">
        <v>2837</v>
      </c>
      <c r="T4" s="140" t="s">
        <v>2838</v>
      </c>
      <c r="U4" t="s">
        <v>2839</v>
      </c>
      <c r="V4" t="s">
        <v>2840</v>
      </c>
      <c r="W4" t="s">
        <v>2841</v>
      </c>
      <c r="X4" t="s">
        <v>2842</v>
      </c>
      <c r="Y4" t="s">
        <v>2843</v>
      </c>
      <c r="Z4" t="s">
        <v>2844</v>
      </c>
      <c r="AA4" t="s">
        <v>2845</v>
      </c>
      <c r="AB4" t="s">
        <v>2846</v>
      </c>
      <c r="AC4" t="s">
        <v>2847</v>
      </c>
      <c r="AD4" t="s">
        <v>2848</v>
      </c>
      <c r="AE4" t="s">
        <v>2849</v>
      </c>
      <c r="AF4" t="s">
        <v>2850</v>
      </c>
      <c r="AG4" t="s">
        <v>2851</v>
      </c>
    </row>
    <row r="5" ht="21.75" hidden="1" customHeight="1">
      <c r="A5" s="135">
        <v>1.0</v>
      </c>
      <c r="B5" s="135">
        <v>25045.0</v>
      </c>
      <c r="C5" s="135" t="s">
        <v>2817</v>
      </c>
      <c r="D5" s="135">
        <v>1.0</v>
      </c>
      <c r="E5" s="135" t="s">
        <v>2852</v>
      </c>
      <c r="F5" s="135" t="s">
        <v>982</v>
      </c>
      <c r="G5" s="135" t="s">
        <v>34</v>
      </c>
      <c r="H5" s="135" t="s">
        <v>2853</v>
      </c>
      <c r="I5" s="135" t="s">
        <v>35</v>
      </c>
      <c r="J5" s="135">
        <v>1.0</v>
      </c>
      <c r="K5" s="135"/>
      <c r="L5" s="135">
        <v>5570.0</v>
      </c>
      <c r="M5" s="135">
        <v>1500.0</v>
      </c>
      <c r="N5" s="135">
        <v>120.0</v>
      </c>
      <c r="O5" s="135">
        <v>0.999</v>
      </c>
      <c r="P5" s="141">
        <v>2.0</v>
      </c>
      <c r="Q5" s="137">
        <v>2.4975</v>
      </c>
      <c r="R5" s="136">
        <v>46078.0</v>
      </c>
      <c r="S5" s="135" t="s">
        <v>2854</v>
      </c>
      <c r="T5" s="136">
        <v>46123.0</v>
      </c>
      <c r="U5" s="135" t="s">
        <v>2855</v>
      </c>
      <c r="V5" s="135" t="s">
        <v>2856</v>
      </c>
      <c r="W5" s="135" t="s">
        <v>2857</v>
      </c>
      <c r="X5" s="135"/>
      <c r="Y5" s="135"/>
      <c r="Z5" s="135" t="s">
        <v>2858</v>
      </c>
      <c r="AA5" s="135" t="s">
        <v>2859</v>
      </c>
      <c r="AB5" s="135"/>
      <c r="AC5" s="135"/>
      <c r="AD5" s="135" t="e">
        <v>#N/A</v>
      </c>
      <c r="AE5" s="135"/>
      <c r="AF5" s="135"/>
      <c r="AG5" s="135"/>
    </row>
    <row r="6" ht="21.75" hidden="1" customHeight="1">
      <c r="A6" s="135">
        <v>2.0</v>
      </c>
      <c r="B6" s="135">
        <v>25045.0</v>
      </c>
      <c r="C6" s="135" t="s">
        <v>2817</v>
      </c>
      <c r="D6" s="135">
        <v>1.0</v>
      </c>
      <c r="E6" s="135" t="s">
        <v>2852</v>
      </c>
      <c r="F6" s="135" t="s">
        <v>983</v>
      </c>
      <c r="G6" s="135" t="s">
        <v>34</v>
      </c>
      <c r="H6" s="135" t="s">
        <v>2853</v>
      </c>
      <c r="I6" s="135" t="s">
        <v>35</v>
      </c>
      <c r="J6" s="135">
        <v>1.0</v>
      </c>
      <c r="K6" s="135" t="s">
        <v>2860</v>
      </c>
      <c r="L6" s="135">
        <v>5700.0</v>
      </c>
      <c r="M6" s="135">
        <v>1500.0</v>
      </c>
      <c r="N6" s="135">
        <v>120.0</v>
      </c>
      <c r="O6" s="135">
        <v>1.01</v>
      </c>
      <c r="P6" s="141">
        <v>2.0</v>
      </c>
      <c r="Q6" s="137">
        <v>2.525</v>
      </c>
      <c r="R6" s="136">
        <v>46078.0</v>
      </c>
      <c r="S6" s="135" t="s">
        <v>2854</v>
      </c>
      <c r="T6" s="136">
        <v>46123.0</v>
      </c>
      <c r="U6" s="135" t="s">
        <v>2855</v>
      </c>
      <c r="V6" s="135" t="s">
        <v>2856</v>
      </c>
      <c r="W6" s="135" t="s">
        <v>2861</v>
      </c>
      <c r="X6" s="135"/>
      <c r="Y6" s="135"/>
      <c r="Z6" s="135" t="s">
        <v>2858</v>
      </c>
      <c r="AA6" s="135" t="s">
        <v>2859</v>
      </c>
      <c r="AB6" s="135"/>
      <c r="AC6" s="135"/>
      <c r="AD6" s="135" t="e">
        <v>#N/A</v>
      </c>
      <c r="AE6" s="135"/>
      <c r="AF6" s="135"/>
      <c r="AG6" s="135"/>
    </row>
    <row r="7" ht="21.75" hidden="1" customHeight="1">
      <c r="A7" s="135">
        <v>3.0</v>
      </c>
      <c r="B7" s="135">
        <v>25045.0</v>
      </c>
      <c r="C7" s="135" t="s">
        <v>2817</v>
      </c>
      <c r="D7" s="135">
        <v>1.0</v>
      </c>
      <c r="E7" s="135" t="s">
        <v>2852</v>
      </c>
      <c r="F7" s="135" t="s">
        <v>984</v>
      </c>
      <c r="G7" s="135" t="s">
        <v>34</v>
      </c>
      <c r="H7" s="135" t="s">
        <v>2853</v>
      </c>
      <c r="I7" s="135" t="s">
        <v>35</v>
      </c>
      <c r="J7" s="135">
        <v>1.0</v>
      </c>
      <c r="K7" s="135" t="s">
        <v>2860</v>
      </c>
      <c r="L7" s="135">
        <v>5700.0</v>
      </c>
      <c r="M7" s="135">
        <v>1500.0</v>
      </c>
      <c r="N7" s="135">
        <v>120.0</v>
      </c>
      <c r="O7" s="135">
        <v>1.01</v>
      </c>
      <c r="P7" s="141">
        <v>2.0</v>
      </c>
      <c r="Q7" s="137">
        <v>2.525</v>
      </c>
      <c r="R7" s="136">
        <v>46078.0</v>
      </c>
      <c r="S7" s="135" t="s">
        <v>2854</v>
      </c>
      <c r="T7" s="136">
        <v>46123.0</v>
      </c>
      <c r="U7" s="135" t="s">
        <v>2855</v>
      </c>
      <c r="V7" s="135" t="s">
        <v>2856</v>
      </c>
      <c r="W7" s="135" t="s">
        <v>2861</v>
      </c>
      <c r="X7" s="135"/>
      <c r="Y7" s="135"/>
      <c r="Z7" s="135" t="s">
        <v>2858</v>
      </c>
      <c r="AA7" s="135" t="s">
        <v>2859</v>
      </c>
      <c r="AB7" s="135"/>
      <c r="AC7" s="135"/>
      <c r="AD7" s="135" t="e">
        <v>#N/A</v>
      </c>
      <c r="AE7" s="135"/>
      <c r="AF7" s="135"/>
      <c r="AG7" s="135"/>
    </row>
    <row r="8" ht="21.75" hidden="1" customHeight="1">
      <c r="A8" s="135">
        <v>4.0</v>
      </c>
      <c r="B8" s="135">
        <v>25045.0</v>
      </c>
      <c r="C8" s="135" t="s">
        <v>2817</v>
      </c>
      <c r="D8" s="135">
        <v>1.0</v>
      </c>
      <c r="E8" s="135" t="s">
        <v>2852</v>
      </c>
      <c r="F8" s="135" t="s">
        <v>985</v>
      </c>
      <c r="G8" s="135" t="s">
        <v>34</v>
      </c>
      <c r="H8" s="135" t="s">
        <v>2853</v>
      </c>
      <c r="I8" s="135" t="s">
        <v>35</v>
      </c>
      <c r="J8" s="135">
        <v>1.0</v>
      </c>
      <c r="K8" s="135"/>
      <c r="L8" s="135">
        <v>5707.0</v>
      </c>
      <c r="M8" s="135">
        <v>1350.0</v>
      </c>
      <c r="N8" s="135">
        <v>120.0</v>
      </c>
      <c r="O8" s="135">
        <v>0.975</v>
      </c>
      <c r="P8" s="141">
        <v>1.0</v>
      </c>
      <c r="Q8" s="137">
        <v>2.4375</v>
      </c>
      <c r="R8" s="136">
        <v>46078.0</v>
      </c>
      <c r="S8" s="135" t="s">
        <v>2854</v>
      </c>
      <c r="T8" s="136"/>
      <c r="U8" s="135" t="s">
        <v>2855</v>
      </c>
      <c r="V8" s="135" t="s">
        <v>2856</v>
      </c>
      <c r="W8" s="135" t="s">
        <v>2862</v>
      </c>
      <c r="X8" s="135"/>
      <c r="Y8" s="135"/>
      <c r="Z8" s="135" t="s">
        <v>2858</v>
      </c>
      <c r="AA8" s="135"/>
      <c r="AB8" s="135"/>
      <c r="AC8" s="135" t="s">
        <v>2863</v>
      </c>
      <c r="AD8" s="135" t="e">
        <v>#N/A</v>
      </c>
      <c r="AE8" s="135"/>
      <c r="AF8" s="135"/>
      <c r="AG8" s="135"/>
    </row>
    <row r="9" ht="21.75" hidden="1" customHeight="1">
      <c r="A9" s="135">
        <v>5.0</v>
      </c>
      <c r="B9" s="135">
        <v>25045.0</v>
      </c>
      <c r="C9" s="135"/>
      <c r="D9" s="135">
        <v>1.0</v>
      </c>
      <c r="E9" s="135" t="s">
        <v>2852</v>
      </c>
      <c r="F9" s="135" t="s">
        <v>986</v>
      </c>
      <c r="G9" s="135" t="s">
        <v>34</v>
      </c>
      <c r="H9" s="135" t="s">
        <v>2853</v>
      </c>
      <c r="I9" s="135" t="s">
        <v>35</v>
      </c>
      <c r="J9" s="135">
        <v>1.0</v>
      </c>
      <c r="K9" s="135"/>
      <c r="L9" s="135">
        <v>4350.0</v>
      </c>
      <c r="M9" s="135">
        <v>3100.0</v>
      </c>
      <c r="N9" s="135">
        <v>120.0</v>
      </c>
      <c r="O9" s="135">
        <v>1.705</v>
      </c>
      <c r="P9" s="141">
        <v>2.0</v>
      </c>
      <c r="Q9" s="137">
        <v>4.2625</v>
      </c>
      <c r="R9" s="136">
        <v>46078.0</v>
      </c>
      <c r="S9" s="135" t="s">
        <v>2854</v>
      </c>
      <c r="T9" s="136">
        <v>46123.0</v>
      </c>
      <c r="U9" s="135" t="s">
        <v>2864</v>
      </c>
      <c r="V9" s="135" t="s">
        <v>2865</v>
      </c>
      <c r="W9" s="135" t="s">
        <v>2866</v>
      </c>
      <c r="X9" s="135" t="s">
        <v>2867</v>
      </c>
      <c r="Y9" s="135"/>
      <c r="Z9" s="135" t="s">
        <v>2858</v>
      </c>
      <c r="AA9" s="135" t="s">
        <v>2859</v>
      </c>
      <c r="AB9" s="135"/>
      <c r="AC9" s="135"/>
      <c r="AD9" s="135">
        <v>46136.0</v>
      </c>
      <c r="AE9" s="135"/>
      <c r="AF9" s="135"/>
      <c r="AG9" s="135"/>
    </row>
    <row r="10" ht="21.75" hidden="1" customHeight="1">
      <c r="A10" s="135">
        <v>6.0</v>
      </c>
      <c r="B10" s="135">
        <v>25045.0</v>
      </c>
      <c r="C10" s="135"/>
      <c r="D10" s="135">
        <v>1.0</v>
      </c>
      <c r="E10" s="135" t="s">
        <v>2852</v>
      </c>
      <c r="F10" s="135" t="s">
        <v>987</v>
      </c>
      <c r="G10" s="135" t="s">
        <v>34</v>
      </c>
      <c r="H10" s="135" t="s">
        <v>2853</v>
      </c>
      <c r="I10" s="135" t="s">
        <v>35</v>
      </c>
      <c r="J10" s="135">
        <v>1.0</v>
      </c>
      <c r="K10" s="135"/>
      <c r="L10" s="135">
        <v>5140.0</v>
      </c>
      <c r="M10" s="135">
        <v>3020.0</v>
      </c>
      <c r="N10" s="135">
        <v>120.0</v>
      </c>
      <c r="O10" s="135">
        <v>2.044</v>
      </c>
      <c r="P10" s="141">
        <v>2.0</v>
      </c>
      <c r="Q10" s="137">
        <v>5.11</v>
      </c>
      <c r="R10" s="136">
        <v>46078.0</v>
      </c>
      <c r="S10" s="135" t="s">
        <v>2854</v>
      </c>
      <c r="T10" s="136">
        <v>46123.0</v>
      </c>
      <c r="U10" s="135" t="s">
        <v>2855</v>
      </c>
      <c r="V10" s="135" t="s">
        <v>2868</v>
      </c>
      <c r="W10" s="135" t="s">
        <v>2869</v>
      </c>
      <c r="X10" s="135" t="s">
        <v>2870</v>
      </c>
      <c r="Y10" s="135"/>
      <c r="Z10" s="135" t="s">
        <v>2858</v>
      </c>
      <c r="AA10" s="135" t="s">
        <v>2859</v>
      </c>
      <c r="AB10" s="135"/>
      <c r="AC10" s="135"/>
      <c r="AD10" s="135">
        <v>46132.0</v>
      </c>
      <c r="AE10" s="135"/>
      <c r="AF10" s="135"/>
      <c r="AG10" s="135"/>
    </row>
    <row r="11" ht="21.75" hidden="1" customHeight="1">
      <c r="A11" s="135">
        <v>7.0</v>
      </c>
      <c r="B11" s="135">
        <v>25045.0</v>
      </c>
      <c r="C11" s="135"/>
      <c r="D11" s="135">
        <v>1.0</v>
      </c>
      <c r="E11" s="135" t="s">
        <v>2852</v>
      </c>
      <c r="F11" s="135" t="s">
        <v>988</v>
      </c>
      <c r="G11" s="135" t="s">
        <v>34</v>
      </c>
      <c r="H11" s="135" t="s">
        <v>2853</v>
      </c>
      <c r="I11" s="135" t="s">
        <v>35</v>
      </c>
      <c r="J11" s="135">
        <v>1.0</v>
      </c>
      <c r="K11" s="135"/>
      <c r="L11" s="135">
        <v>5590.0</v>
      </c>
      <c r="M11" s="135">
        <v>2920.0</v>
      </c>
      <c r="N11" s="135">
        <v>120.0</v>
      </c>
      <c r="O11" s="135">
        <v>2.168</v>
      </c>
      <c r="P11" s="141">
        <v>2.0</v>
      </c>
      <c r="Q11" s="137">
        <v>5.42</v>
      </c>
      <c r="R11" s="136">
        <v>46078.0</v>
      </c>
      <c r="S11" s="135" t="s">
        <v>2854</v>
      </c>
      <c r="T11" s="136">
        <v>46123.0</v>
      </c>
      <c r="U11" s="135" t="s">
        <v>2855</v>
      </c>
      <c r="V11" s="135" t="s">
        <v>2868</v>
      </c>
      <c r="W11" s="135" t="s">
        <v>2871</v>
      </c>
      <c r="X11" s="135" t="s">
        <v>2872</v>
      </c>
      <c r="Y11" s="135"/>
      <c r="Z11" s="135" t="s">
        <v>2858</v>
      </c>
      <c r="AA11" s="135" t="s">
        <v>2859</v>
      </c>
      <c r="AB11" s="135"/>
      <c r="AC11" s="135"/>
      <c r="AD11" s="135">
        <v>46130.0</v>
      </c>
      <c r="AE11" s="135"/>
      <c r="AF11" s="135"/>
      <c r="AG11" s="135"/>
    </row>
    <row r="12" ht="21.75" hidden="1" customHeight="1">
      <c r="A12" s="135">
        <v>8.0</v>
      </c>
      <c r="B12" s="135">
        <v>25045.0</v>
      </c>
      <c r="C12" s="135"/>
      <c r="D12" s="135">
        <v>1.0</v>
      </c>
      <c r="E12" s="135" t="s">
        <v>2852</v>
      </c>
      <c r="F12" s="135" t="s">
        <v>989</v>
      </c>
      <c r="G12" s="135" t="s">
        <v>34</v>
      </c>
      <c r="H12" s="135" t="s">
        <v>2853</v>
      </c>
      <c r="I12" s="135" t="s">
        <v>35</v>
      </c>
      <c r="J12" s="135">
        <v>1.0</v>
      </c>
      <c r="K12" s="135"/>
      <c r="L12" s="135">
        <v>1780.0</v>
      </c>
      <c r="M12" s="135">
        <v>1480.0</v>
      </c>
      <c r="N12" s="135">
        <v>120.0</v>
      </c>
      <c r="O12" s="135">
        <v>0.4</v>
      </c>
      <c r="P12" s="141">
        <v>2.0</v>
      </c>
      <c r="Q12" s="137">
        <v>1.0</v>
      </c>
      <c r="R12" s="136">
        <v>46078.0</v>
      </c>
      <c r="S12" s="135" t="s">
        <v>2854</v>
      </c>
      <c r="T12" s="136"/>
      <c r="U12" s="135" t="s">
        <v>2864</v>
      </c>
      <c r="V12" s="135" t="s">
        <v>2873</v>
      </c>
      <c r="W12" s="135" t="s">
        <v>2874</v>
      </c>
      <c r="X12" s="135"/>
      <c r="Y12" s="135"/>
      <c r="Z12" s="135" t="s">
        <v>2858</v>
      </c>
      <c r="AA12" s="135"/>
      <c r="AB12" s="135"/>
      <c r="AC12" s="135"/>
      <c r="AD12" s="135">
        <v>46099.0</v>
      </c>
      <c r="AE12" s="135"/>
      <c r="AF12" s="135"/>
      <c r="AG12" s="135"/>
    </row>
    <row r="13" ht="21.75" hidden="1" customHeight="1">
      <c r="A13" s="135">
        <v>9.0</v>
      </c>
      <c r="B13" s="135">
        <v>25045.0</v>
      </c>
      <c r="C13" s="135"/>
      <c r="D13" s="135">
        <v>1.0</v>
      </c>
      <c r="E13" s="135" t="s">
        <v>2875</v>
      </c>
      <c r="F13" s="135" t="s">
        <v>1003</v>
      </c>
      <c r="G13" s="135" t="s">
        <v>34</v>
      </c>
      <c r="H13" s="135" t="s">
        <v>2853</v>
      </c>
      <c r="I13" s="135" t="s">
        <v>37</v>
      </c>
      <c r="J13" s="135">
        <v>1.0</v>
      </c>
      <c r="K13" s="135"/>
      <c r="L13" s="135">
        <v>4620.0</v>
      </c>
      <c r="M13" s="135">
        <v>3140.0</v>
      </c>
      <c r="N13" s="135">
        <v>120.0</v>
      </c>
      <c r="O13" s="135">
        <v>1.979</v>
      </c>
      <c r="P13" s="141">
        <v>1.0</v>
      </c>
      <c r="Q13" s="137">
        <v>4.9475</v>
      </c>
      <c r="R13" s="136">
        <v>46078.0</v>
      </c>
      <c r="S13" s="135" t="s">
        <v>2854</v>
      </c>
      <c r="T13" s="136"/>
      <c r="U13" s="135" t="s">
        <v>2855</v>
      </c>
      <c r="V13" s="135" t="s">
        <v>2876</v>
      </c>
      <c r="W13" s="135" t="s">
        <v>2877</v>
      </c>
      <c r="X13" s="135"/>
      <c r="Y13" s="135"/>
      <c r="Z13" s="135" t="s">
        <v>2858</v>
      </c>
      <c r="AA13" s="135"/>
      <c r="AB13" s="135"/>
      <c r="AC13" s="135"/>
      <c r="AD13" s="135">
        <v>46109.0</v>
      </c>
      <c r="AE13" s="135"/>
      <c r="AF13" s="135"/>
      <c r="AG13" s="135"/>
    </row>
    <row r="14" ht="21.75" hidden="1" customHeight="1">
      <c r="A14" s="135">
        <v>10.0</v>
      </c>
      <c r="B14" s="135">
        <v>25045.0</v>
      </c>
      <c r="C14" s="135"/>
      <c r="D14" s="135">
        <v>1.0</v>
      </c>
      <c r="E14" s="135" t="s">
        <v>2875</v>
      </c>
      <c r="F14" s="135" t="s">
        <v>1004</v>
      </c>
      <c r="G14" s="135" t="s">
        <v>34</v>
      </c>
      <c r="H14" s="135" t="s">
        <v>2853</v>
      </c>
      <c r="I14" s="135" t="s">
        <v>37</v>
      </c>
      <c r="J14" s="135">
        <v>1.0</v>
      </c>
      <c r="K14" s="135"/>
      <c r="L14" s="135">
        <v>5195.0</v>
      </c>
      <c r="M14" s="135">
        <v>3210.0</v>
      </c>
      <c r="N14" s="135">
        <v>120.0</v>
      </c>
      <c r="O14" s="135">
        <v>2.32</v>
      </c>
      <c r="P14" s="141">
        <v>2.0</v>
      </c>
      <c r="Q14" s="137">
        <v>5.8</v>
      </c>
      <c r="R14" s="136">
        <v>46078.0</v>
      </c>
      <c r="S14" s="135" t="s">
        <v>2854</v>
      </c>
      <c r="T14" s="136"/>
      <c r="U14" s="135" t="s">
        <v>2855</v>
      </c>
      <c r="V14" s="135" t="s">
        <v>2878</v>
      </c>
      <c r="W14" s="135" t="s">
        <v>2879</v>
      </c>
      <c r="X14" s="135"/>
      <c r="Y14" s="135"/>
      <c r="Z14" s="135" t="s">
        <v>2858</v>
      </c>
      <c r="AA14" s="135"/>
      <c r="AB14" s="135"/>
      <c r="AC14" s="135"/>
      <c r="AD14" s="135">
        <v>46092.0</v>
      </c>
      <c r="AE14" s="135"/>
      <c r="AF14" s="135"/>
      <c r="AG14" s="135"/>
    </row>
    <row r="15" ht="21.75" hidden="1" customHeight="1">
      <c r="A15" s="135">
        <v>11.0</v>
      </c>
      <c r="B15" s="135">
        <v>25045.0</v>
      </c>
      <c r="C15" s="135"/>
      <c r="D15" s="135">
        <v>1.0</v>
      </c>
      <c r="E15" s="135" t="s">
        <v>2875</v>
      </c>
      <c r="F15" s="135" t="s">
        <v>1005</v>
      </c>
      <c r="G15" s="135" t="s">
        <v>34</v>
      </c>
      <c r="H15" s="135" t="s">
        <v>2853</v>
      </c>
      <c r="I15" s="135" t="s">
        <v>37</v>
      </c>
      <c r="J15" s="135">
        <v>1.0</v>
      </c>
      <c r="K15" s="135"/>
      <c r="L15" s="135">
        <v>1780.0</v>
      </c>
      <c r="M15" s="135">
        <v>1480.0</v>
      </c>
      <c r="N15" s="135">
        <v>120.0</v>
      </c>
      <c r="O15" s="135">
        <v>0.4</v>
      </c>
      <c r="P15" s="141">
        <v>1.0</v>
      </c>
      <c r="Q15" s="137">
        <v>1.0</v>
      </c>
      <c r="R15" s="136">
        <v>46078.0</v>
      </c>
      <c r="S15" s="135" t="s">
        <v>2854</v>
      </c>
      <c r="T15" s="136"/>
      <c r="U15" s="135" t="s">
        <v>2864</v>
      </c>
      <c r="V15" s="135" t="s">
        <v>2873</v>
      </c>
      <c r="W15" s="135" t="s">
        <v>2874</v>
      </c>
      <c r="X15" s="135"/>
      <c r="Y15" s="135"/>
      <c r="Z15" s="135" t="s">
        <v>2858</v>
      </c>
      <c r="AA15" s="135"/>
      <c r="AB15" s="135"/>
      <c r="AC15" s="135"/>
      <c r="AD15" s="135">
        <v>46105.0</v>
      </c>
      <c r="AE15" s="135"/>
      <c r="AF15" s="135"/>
      <c r="AG15" s="135"/>
    </row>
    <row r="16" ht="21.75" hidden="1" customHeight="1">
      <c r="A16" s="135">
        <v>12.0</v>
      </c>
      <c r="B16" s="135">
        <v>25045.0</v>
      </c>
      <c r="C16" s="135"/>
      <c r="D16" s="135">
        <v>1.0</v>
      </c>
      <c r="E16" s="135" t="s">
        <v>2880</v>
      </c>
      <c r="F16" s="135" t="s">
        <v>1031</v>
      </c>
      <c r="G16" s="135" t="s">
        <v>34</v>
      </c>
      <c r="H16" s="135" t="s">
        <v>2853</v>
      </c>
      <c r="I16" s="135" t="s">
        <v>39</v>
      </c>
      <c r="J16" s="135">
        <v>1.0</v>
      </c>
      <c r="K16" s="135"/>
      <c r="L16" s="135">
        <v>4620.0</v>
      </c>
      <c r="M16" s="135">
        <v>3140.0</v>
      </c>
      <c r="N16" s="135">
        <v>120.0</v>
      </c>
      <c r="O16" s="135">
        <v>1.979</v>
      </c>
      <c r="P16" s="141">
        <v>2.0</v>
      </c>
      <c r="Q16" s="137">
        <v>4.9475</v>
      </c>
      <c r="R16" s="136">
        <v>46078.0</v>
      </c>
      <c r="S16" s="135" t="s">
        <v>2854</v>
      </c>
      <c r="T16" s="136"/>
      <c r="U16" s="135" t="s">
        <v>2855</v>
      </c>
      <c r="V16" s="135" t="s">
        <v>2876</v>
      </c>
      <c r="W16" s="135" t="s">
        <v>2881</v>
      </c>
      <c r="X16" s="135"/>
      <c r="Y16" s="135"/>
      <c r="Z16" s="135" t="s">
        <v>2858</v>
      </c>
      <c r="AA16" s="135"/>
      <c r="AB16" s="135"/>
      <c r="AC16" s="135"/>
      <c r="AD16" s="135">
        <v>46097.0</v>
      </c>
      <c r="AE16" s="135"/>
      <c r="AF16" s="135"/>
      <c r="AG16" s="135"/>
    </row>
    <row r="17" ht="21.75" hidden="1" customHeight="1">
      <c r="A17" s="135">
        <v>13.0</v>
      </c>
      <c r="B17" s="135">
        <v>25045.0</v>
      </c>
      <c r="C17" s="135"/>
      <c r="D17" s="135">
        <v>1.0</v>
      </c>
      <c r="E17" s="135" t="s">
        <v>2880</v>
      </c>
      <c r="F17" s="135" t="s">
        <v>1032</v>
      </c>
      <c r="G17" s="135" t="s">
        <v>34</v>
      </c>
      <c r="H17" s="135" t="s">
        <v>2853</v>
      </c>
      <c r="I17" s="135" t="s">
        <v>39</v>
      </c>
      <c r="J17" s="135">
        <v>1.0</v>
      </c>
      <c r="K17" s="135"/>
      <c r="L17" s="135">
        <v>4739.0</v>
      </c>
      <c r="M17" s="135">
        <v>3530.0</v>
      </c>
      <c r="N17" s="135">
        <v>300.0</v>
      </c>
      <c r="O17" s="135">
        <v>3.439</v>
      </c>
      <c r="P17" s="141">
        <v>2.0</v>
      </c>
      <c r="Q17" s="137">
        <v>8.5975</v>
      </c>
      <c r="R17" s="136">
        <v>46081.0</v>
      </c>
      <c r="S17" s="135" t="s">
        <v>2882</v>
      </c>
      <c r="T17" s="136"/>
      <c r="U17" s="135" t="s">
        <v>2864</v>
      </c>
      <c r="V17" s="135" t="s">
        <v>2883</v>
      </c>
      <c r="W17" s="135" t="s">
        <v>2884</v>
      </c>
      <c r="X17" s="135" t="s">
        <v>2885</v>
      </c>
      <c r="Y17" s="135" t="s">
        <v>2886</v>
      </c>
      <c r="Z17" s="135" t="s">
        <v>2858</v>
      </c>
      <c r="AA17" s="135"/>
      <c r="AB17" s="135"/>
      <c r="AC17" s="135"/>
      <c r="AD17" s="135">
        <v>46118.0</v>
      </c>
      <c r="AE17" s="135"/>
      <c r="AF17" s="135"/>
      <c r="AG17" s="135"/>
    </row>
    <row r="18" ht="21.75" hidden="1" customHeight="1">
      <c r="A18" s="135">
        <v>14.0</v>
      </c>
      <c r="B18" s="135">
        <v>25045.0</v>
      </c>
      <c r="C18" s="135"/>
      <c r="D18" s="135">
        <v>1.0</v>
      </c>
      <c r="E18" s="135" t="s">
        <v>2887</v>
      </c>
      <c r="F18" s="135" t="s">
        <v>1059</v>
      </c>
      <c r="G18" s="135" t="s">
        <v>34</v>
      </c>
      <c r="H18" s="135" t="s">
        <v>2853</v>
      </c>
      <c r="I18" s="135" t="s">
        <v>40</v>
      </c>
      <c r="J18" s="135">
        <v>1.0</v>
      </c>
      <c r="K18" s="135"/>
      <c r="L18" s="135">
        <v>4612.0</v>
      </c>
      <c r="M18" s="135">
        <v>3530.0</v>
      </c>
      <c r="N18" s="135">
        <v>120.0</v>
      </c>
      <c r="O18" s="135">
        <v>2.329</v>
      </c>
      <c r="P18" s="141">
        <v>1.0</v>
      </c>
      <c r="Q18" s="137">
        <v>5.822500000000001</v>
      </c>
      <c r="R18" s="136">
        <v>46081.0</v>
      </c>
      <c r="S18" s="135" t="s">
        <v>2882</v>
      </c>
      <c r="T18" s="136"/>
      <c r="U18" s="135" t="s">
        <v>2855</v>
      </c>
      <c r="V18" s="135" t="s">
        <v>2878</v>
      </c>
      <c r="W18" s="135" t="s">
        <v>2888</v>
      </c>
      <c r="X18" s="135"/>
      <c r="Y18" s="135"/>
      <c r="Z18" s="135" t="s">
        <v>2858</v>
      </c>
      <c r="AA18" s="135"/>
      <c r="AB18" s="135"/>
      <c r="AC18" s="135"/>
      <c r="AD18" s="135">
        <v>46120.0</v>
      </c>
      <c r="AE18" s="135"/>
      <c r="AF18" s="135"/>
      <c r="AG18" s="135"/>
    </row>
    <row r="19" ht="21.75" hidden="1" customHeight="1">
      <c r="A19" s="135">
        <v>15.0</v>
      </c>
      <c r="B19" s="135">
        <v>25045.0</v>
      </c>
      <c r="C19" s="135"/>
      <c r="D19" s="135">
        <v>1.0</v>
      </c>
      <c r="E19" s="135" t="s">
        <v>2889</v>
      </c>
      <c r="F19" s="135" t="s">
        <v>1084</v>
      </c>
      <c r="G19" s="135" t="s">
        <v>34</v>
      </c>
      <c r="H19" s="135" t="s">
        <v>2853</v>
      </c>
      <c r="I19" s="135" t="s">
        <v>41</v>
      </c>
      <c r="J19" s="135">
        <v>1.0</v>
      </c>
      <c r="K19" s="135"/>
      <c r="L19" s="135">
        <v>4612.0</v>
      </c>
      <c r="M19" s="135">
        <v>3520.0</v>
      </c>
      <c r="N19" s="135">
        <v>120.0</v>
      </c>
      <c r="O19" s="135">
        <v>2.323</v>
      </c>
      <c r="P19" s="141">
        <v>1.0</v>
      </c>
      <c r="Q19" s="137">
        <v>5.8075</v>
      </c>
      <c r="R19" s="136">
        <v>46081.0</v>
      </c>
      <c r="S19" s="135" t="s">
        <v>2882</v>
      </c>
      <c r="T19" s="136"/>
      <c r="U19" s="135" t="s">
        <v>2855</v>
      </c>
      <c r="V19" s="135" t="s">
        <v>2878</v>
      </c>
      <c r="W19" s="135" t="s">
        <v>2888</v>
      </c>
      <c r="X19" s="135"/>
      <c r="Y19" s="135"/>
      <c r="Z19" s="135" t="s">
        <v>2858</v>
      </c>
      <c r="AA19" s="135"/>
      <c r="AB19" s="135"/>
      <c r="AC19" s="135"/>
      <c r="AD19" s="135">
        <v>46121.0</v>
      </c>
      <c r="AE19" s="135"/>
      <c r="AF19" s="135"/>
      <c r="AG19" s="135"/>
    </row>
    <row r="20" ht="21.75" hidden="1" customHeight="1">
      <c r="A20" s="135">
        <v>16.0</v>
      </c>
      <c r="B20" s="135">
        <v>25045.0</v>
      </c>
      <c r="C20" s="135"/>
      <c r="D20" s="135">
        <v>1.0</v>
      </c>
      <c r="E20" s="135" t="s">
        <v>2889</v>
      </c>
      <c r="F20" s="135" t="s">
        <v>1085</v>
      </c>
      <c r="G20" s="135" t="s">
        <v>34</v>
      </c>
      <c r="H20" s="135" t="s">
        <v>2853</v>
      </c>
      <c r="I20" s="135" t="s">
        <v>41</v>
      </c>
      <c r="J20" s="135">
        <v>1.0</v>
      </c>
      <c r="K20" s="135" t="s">
        <v>2860</v>
      </c>
      <c r="L20" s="135">
        <v>4612.0</v>
      </c>
      <c r="M20" s="135">
        <v>3270.0</v>
      </c>
      <c r="N20" s="135">
        <v>120.0</v>
      </c>
      <c r="O20" s="135">
        <v>2.185</v>
      </c>
      <c r="P20" s="141">
        <v>0.0</v>
      </c>
      <c r="Q20" s="137">
        <v>5.4625</v>
      </c>
      <c r="R20" s="136">
        <v>46081.0</v>
      </c>
      <c r="S20" s="135" t="s">
        <v>2882</v>
      </c>
      <c r="T20" s="136"/>
      <c r="U20" s="135" t="s">
        <v>2855</v>
      </c>
      <c r="V20" s="135" t="s">
        <v>2878</v>
      </c>
      <c r="W20" s="135" t="s">
        <v>2888</v>
      </c>
      <c r="X20" s="135"/>
      <c r="Y20" s="135"/>
      <c r="Z20" s="135" t="s">
        <v>2858</v>
      </c>
      <c r="AA20" s="135"/>
      <c r="AB20" s="135"/>
      <c r="AC20" s="135"/>
      <c r="AD20" s="135">
        <v>46122.0</v>
      </c>
      <c r="AE20" s="135"/>
      <c r="AF20" s="135"/>
      <c r="AG20" s="135"/>
    </row>
    <row r="21" ht="21.75" hidden="1" customHeight="1">
      <c r="A21" s="135">
        <v>17.0</v>
      </c>
      <c r="B21" s="135">
        <v>25045.0</v>
      </c>
      <c r="C21" s="135"/>
      <c r="D21" s="135">
        <v>1.0</v>
      </c>
      <c r="E21" s="135" t="s">
        <v>2889</v>
      </c>
      <c r="F21" s="135" t="s">
        <v>1086</v>
      </c>
      <c r="G21" s="135" t="s">
        <v>34</v>
      </c>
      <c r="H21" s="135" t="s">
        <v>2853</v>
      </c>
      <c r="I21" s="135" t="s">
        <v>41</v>
      </c>
      <c r="J21" s="135">
        <v>1.0</v>
      </c>
      <c r="K21" s="135" t="s">
        <v>2860</v>
      </c>
      <c r="L21" s="135">
        <v>4612.0</v>
      </c>
      <c r="M21" s="135">
        <v>3270.0</v>
      </c>
      <c r="N21" s="135">
        <v>120.0</v>
      </c>
      <c r="O21" s="135">
        <v>2.185</v>
      </c>
      <c r="P21" s="141">
        <v>0.0</v>
      </c>
      <c r="Q21" s="137">
        <v>5.4625</v>
      </c>
      <c r="R21" s="136">
        <v>46081.0</v>
      </c>
      <c r="S21" s="135" t="s">
        <v>2882</v>
      </c>
      <c r="T21" s="136"/>
      <c r="U21" s="135" t="s">
        <v>2855</v>
      </c>
      <c r="V21" s="135" t="s">
        <v>2878</v>
      </c>
      <c r="W21" s="135" t="s">
        <v>2888</v>
      </c>
      <c r="X21" s="135"/>
      <c r="Y21" s="135"/>
      <c r="Z21" s="135" t="s">
        <v>2858</v>
      </c>
      <c r="AA21" s="135"/>
      <c r="AB21" s="135"/>
      <c r="AC21" s="135"/>
      <c r="AD21" s="135">
        <v>46123.0</v>
      </c>
      <c r="AE21" s="135"/>
      <c r="AF21" s="135"/>
      <c r="AG21" s="135"/>
    </row>
    <row r="22" ht="21.75" hidden="1" customHeight="1">
      <c r="A22" s="135">
        <v>18.0</v>
      </c>
      <c r="B22" s="135">
        <v>25045.0</v>
      </c>
      <c r="C22" s="135"/>
      <c r="D22" s="135">
        <v>1.0</v>
      </c>
      <c r="E22" s="135" t="s">
        <v>2889</v>
      </c>
      <c r="F22" s="135" t="s">
        <v>1087</v>
      </c>
      <c r="G22" s="135" t="s">
        <v>34</v>
      </c>
      <c r="H22" s="135" t="s">
        <v>2853</v>
      </c>
      <c r="I22" s="135" t="s">
        <v>41</v>
      </c>
      <c r="J22" s="135">
        <v>1.0</v>
      </c>
      <c r="K22" s="135" t="s">
        <v>2860</v>
      </c>
      <c r="L22" s="135">
        <v>4612.0</v>
      </c>
      <c r="M22" s="135">
        <v>3270.0</v>
      </c>
      <c r="N22" s="135">
        <v>120.0</v>
      </c>
      <c r="O22" s="135">
        <v>2.185</v>
      </c>
      <c r="P22" s="141">
        <v>0.0</v>
      </c>
      <c r="Q22" s="137">
        <v>5.4625</v>
      </c>
      <c r="R22" s="136">
        <v>46081.0</v>
      </c>
      <c r="S22" s="135" t="s">
        <v>2882</v>
      </c>
      <c r="T22" s="136"/>
      <c r="U22" s="135" t="s">
        <v>2855</v>
      </c>
      <c r="V22" s="135" t="s">
        <v>2878</v>
      </c>
      <c r="W22" s="135" t="s">
        <v>2888</v>
      </c>
      <c r="X22" s="135"/>
      <c r="Y22" s="135"/>
      <c r="Z22" s="135" t="s">
        <v>2858</v>
      </c>
      <c r="AA22" s="135"/>
      <c r="AB22" s="135"/>
      <c r="AC22" s="135"/>
      <c r="AD22" s="135">
        <v>46125.0</v>
      </c>
      <c r="AE22" s="135"/>
      <c r="AF22" s="135"/>
      <c r="AG22" s="135"/>
    </row>
    <row r="23" ht="21.75" hidden="1" customHeight="1">
      <c r="A23" s="135">
        <v>19.0</v>
      </c>
      <c r="B23" s="135">
        <v>25045.0</v>
      </c>
      <c r="C23" s="135"/>
      <c r="D23" s="135">
        <v>1.0</v>
      </c>
      <c r="E23" s="135" t="s">
        <v>2889</v>
      </c>
      <c r="F23" s="135" t="s">
        <v>1088</v>
      </c>
      <c r="G23" s="135" t="s">
        <v>34</v>
      </c>
      <c r="H23" s="135" t="s">
        <v>2853</v>
      </c>
      <c r="I23" s="135" t="s">
        <v>41</v>
      </c>
      <c r="J23" s="135">
        <v>1.0</v>
      </c>
      <c r="K23" s="135" t="s">
        <v>2860</v>
      </c>
      <c r="L23" s="135">
        <v>4612.0</v>
      </c>
      <c r="M23" s="135">
        <v>3270.0</v>
      </c>
      <c r="N23" s="135">
        <v>120.0</v>
      </c>
      <c r="O23" s="135">
        <v>2.185</v>
      </c>
      <c r="P23" s="141">
        <v>0.0</v>
      </c>
      <c r="Q23" s="137">
        <v>5.4625</v>
      </c>
      <c r="R23" s="136">
        <v>46081.0</v>
      </c>
      <c r="S23" s="135" t="s">
        <v>2882</v>
      </c>
      <c r="T23" s="136"/>
      <c r="U23" s="135" t="s">
        <v>2855</v>
      </c>
      <c r="V23" s="135" t="s">
        <v>2878</v>
      </c>
      <c r="W23" s="135" t="s">
        <v>2888</v>
      </c>
      <c r="X23" s="135"/>
      <c r="Y23" s="135"/>
      <c r="Z23" s="135" t="s">
        <v>2858</v>
      </c>
      <c r="AA23" s="135"/>
      <c r="AB23" s="135"/>
      <c r="AC23" s="135"/>
      <c r="AD23" s="135">
        <v>46126.0</v>
      </c>
      <c r="AE23" s="135"/>
      <c r="AF23" s="135"/>
      <c r="AG23" s="135"/>
    </row>
    <row r="24" ht="21.75" hidden="1" customHeight="1">
      <c r="A24" s="135">
        <v>20.0</v>
      </c>
      <c r="B24" s="135">
        <v>25045.0</v>
      </c>
      <c r="C24" s="135"/>
      <c r="D24" s="135">
        <v>1.0</v>
      </c>
      <c r="E24" s="135" t="s">
        <v>2889</v>
      </c>
      <c r="F24" s="135" t="s">
        <v>1089</v>
      </c>
      <c r="G24" s="135" t="s">
        <v>34</v>
      </c>
      <c r="H24" s="135" t="s">
        <v>2853</v>
      </c>
      <c r="I24" s="135" t="s">
        <v>41</v>
      </c>
      <c r="J24" s="135">
        <v>1.0</v>
      </c>
      <c r="K24" s="135"/>
      <c r="L24" s="135">
        <v>4612.0</v>
      </c>
      <c r="M24" s="135">
        <v>3271.0</v>
      </c>
      <c r="N24" s="135">
        <v>120.0</v>
      </c>
      <c r="O24" s="135">
        <v>1.849</v>
      </c>
      <c r="P24" s="141">
        <v>1.0</v>
      </c>
      <c r="Q24" s="137">
        <v>4.6225</v>
      </c>
      <c r="R24" s="136">
        <v>46081.0</v>
      </c>
      <c r="S24" s="135" t="s">
        <v>2882</v>
      </c>
      <c r="T24" s="136"/>
      <c r="U24" s="135" t="s">
        <v>2864</v>
      </c>
      <c r="V24" s="135" t="s">
        <v>2890</v>
      </c>
      <c r="W24" s="135" t="s">
        <v>2891</v>
      </c>
      <c r="X24" s="135" t="s">
        <v>2892</v>
      </c>
      <c r="Y24" s="135"/>
      <c r="Z24" s="135" t="s">
        <v>2858</v>
      </c>
      <c r="AA24" s="135"/>
      <c r="AB24" s="135"/>
      <c r="AC24" s="135"/>
      <c r="AD24" s="135">
        <v>46118.0</v>
      </c>
      <c r="AE24" s="135"/>
      <c r="AF24" s="135"/>
      <c r="AG24" s="135"/>
    </row>
    <row r="25" ht="21.75" hidden="1" customHeight="1">
      <c r="A25" s="135">
        <v>21.0</v>
      </c>
      <c r="B25" s="135">
        <v>25045.0</v>
      </c>
      <c r="C25" s="135"/>
      <c r="D25" s="135">
        <v>1.0</v>
      </c>
      <c r="E25" s="135" t="s">
        <v>2893</v>
      </c>
      <c r="F25" s="135" t="s">
        <v>1105</v>
      </c>
      <c r="G25" s="135" t="s">
        <v>34</v>
      </c>
      <c r="H25" s="135" t="s">
        <v>2853</v>
      </c>
      <c r="I25" s="135" t="s">
        <v>42</v>
      </c>
      <c r="J25" s="135">
        <v>1.0</v>
      </c>
      <c r="K25" s="135"/>
      <c r="L25" s="135">
        <v>5160.0</v>
      </c>
      <c r="M25" s="135">
        <v>3270.0</v>
      </c>
      <c r="N25" s="135">
        <v>120.0</v>
      </c>
      <c r="O25" s="135">
        <v>2.011</v>
      </c>
      <c r="P25" s="141">
        <v>1.0</v>
      </c>
      <c r="Q25" s="137">
        <v>5.0275</v>
      </c>
      <c r="R25" s="136">
        <v>46081.0</v>
      </c>
      <c r="S25" s="135" t="s">
        <v>2882</v>
      </c>
      <c r="T25" s="136"/>
      <c r="U25" s="135" t="s">
        <v>2864</v>
      </c>
      <c r="V25" s="135" t="s">
        <v>2890</v>
      </c>
      <c r="W25" s="135" t="s">
        <v>2894</v>
      </c>
      <c r="X25" s="135" t="s">
        <v>2895</v>
      </c>
      <c r="Y25" s="135"/>
      <c r="Z25" s="135" t="s">
        <v>2858</v>
      </c>
      <c r="AA25" s="135"/>
      <c r="AB25" s="135"/>
      <c r="AC25" s="135"/>
      <c r="AD25" s="135">
        <v>46105.0</v>
      </c>
      <c r="AE25" s="135"/>
      <c r="AF25" s="135"/>
      <c r="AG25" s="135"/>
    </row>
    <row r="26" ht="21.75" hidden="1" customHeight="1">
      <c r="A26" s="135">
        <v>22.0</v>
      </c>
      <c r="B26" s="135">
        <v>25045.0</v>
      </c>
      <c r="C26" s="135"/>
      <c r="D26" s="135">
        <v>1.0</v>
      </c>
      <c r="E26" s="135" t="s">
        <v>2893</v>
      </c>
      <c r="F26" s="135" t="s">
        <v>1106</v>
      </c>
      <c r="G26" s="135" t="s">
        <v>34</v>
      </c>
      <c r="H26" s="135" t="s">
        <v>2853</v>
      </c>
      <c r="I26" s="135" t="s">
        <v>42</v>
      </c>
      <c r="J26" s="135">
        <v>1.0</v>
      </c>
      <c r="K26" s="135"/>
      <c r="L26" s="135">
        <v>5160.0</v>
      </c>
      <c r="M26" s="135">
        <v>3270.0</v>
      </c>
      <c r="N26" s="135">
        <v>120.0</v>
      </c>
      <c r="O26" s="135">
        <v>2.347</v>
      </c>
      <c r="P26" s="141">
        <v>1.0</v>
      </c>
      <c r="Q26" s="137">
        <v>5.8675</v>
      </c>
      <c r="R26" s="136">
        <v>46081.0</v>
      </c>
      <c r="S26" s="135" t="s">
        <v>2882</v>
      </c>
      <c r="T26" s="136"/>
      <c r="U26" s="135" t="s">
        <v>2855</v>
      </c>
      <c r="V26" s="135" t="s">
        <v>2878</v>
      </c>
      <c r="W26" s="135" t="s">
        <v>2896</v>
      </c>
      <c r="X26" s="135"/>
      <c r="Y26" s="135"/>
      <c r="Z26" s="135" t="s">
        <v>2858</v>
      </c>
      <c r="AA26" s="135"/>
      <c r="AB26" s="135"/>
      <c r="AC26" s="135"/>
      <c r="AD26" s="135">
        <v>46098.0</v>
      </c>
      <c r="AE26" s="135"/>
      <c r="AF26" s="135"/>
      <c r="AG26" s="135"/>
    </row>
    <row r="27" ht="21.75" hidden="1" customHeight="1">
      <c r="A27" s="135">
        <v>23.0</v>
      </c>
      <c r="B27" s="135">
        <v>25045.0</v>
      </c>
      <c r="C27" s="135"/>
      <c r="D27" s="135">
        <v>1.0</v>
      </c>
      <c r="E27" s="135" t="s">
        <v>2893</v>
      </c>
      <c r="F27" s="135" t="s">
        <v>1107</v>
      </c>
      <c r="G27" s="135" t="s">
        <v>34</v>
      </c>
      <c r="H27" s="135" t="s">
        <v>2853</v>
      </c>
      <c r="I27" s="135" t="s">
        <v>42</v>
      </c>
      <c r="J27" s="135">
        <v>1.0</v>
      </c>
      <c r="K27" s="135"/>
      <c r="L27" s="135">
        <v>5160.0</v>
      </c>
      <c r="M27" s="135">
        <v>3270.0</v>
      </c>
      <c r="N27" s="135">
        <v>120.0</v>
      </c>
      <c r="O27" s="135">
        <v>2.347</v>
      </c>
      <c r="P27" s="141">
        <v>1.0</v>
      </c>
      <c r="Q27" s="137">
        <v>5.8675</v>
      </c>
      <c r="R27" s="136">
        <v>46081.0</v>
      </c>
      <c r="S27" s="135" t="s">
        <v>2882</v>
      </c>
      <c r="T27" s="136"/>
      <c r="U27" s="135" t="s">
        <v>2855</v>
      </c>
      <c r="V27" s="135" t="s">
        <v>2878</v>
      </c>
      <c r="W27" s="135" t="s">
        <v>2896</v>
      </c>
      <c r="X27" s="135"/>
      <c r="Y27" s="135"/>
      <c r="Z27" s="135" t="s">
        <v>2858</v>
      </c>
      <c r="AA27" s="135"/>
      <c r="AB27" s="135"/>
      <c r="AC27" s="135"/>
      <c r="AD27" s="135">
        <v>46099.0</v>
      </c>
      <c r="AE27" s="135"/>
      <c r="AF27" s="135"/>
      <c r="AG27" s="135"/>
    </row>
    <row r="28" ht="21.75" hidden="1" customHeight="1">
      <c r="A28" s="135">
        <v>24.0</v>
      </c>
      <c r="B28" s="135">
        <v>25045.0</v>
      </c>
      <c r="C28" s="135"/>
      <c r="D28" s="135">
        <v>1.0</v>
      </c>
      <c r="E28" s="135" t="s">
        <v>2893</v>
      </c>
      <c r="F28" s="135" t="s">
        <v>1108</v>
      </c>
      <c r="G28" s="135" t="s">
        <v>34</v>
      </c>
      <c r="H28" s="135" t="s">
        <v>2853</v>
      </c>
      <c r="I28" s="135" t="s">
        <v>42</v>
      </c>
      <c r="J28" s="135">
        <v>1.0</v>
      </c>
      <c r="K28" s="135"/>
      <c r="L28" s="135">
        <v>5185.0</v>
      </c>
      <c r="M28" s="135">
        <v>3270.0</v>
      </c>
      <c r="N28" s="135">
        <v>120.0</v>
      </c>
      <c r="O28" s="135">
        <v>2.355</v>
      </c>
      <c r="P28" s="141">
        <v>1.0</v>
      </c>
      <c r="Q28" s="137">
        <v>5.8875</v>
      </c>
      <c r="R28" s="136">
        <v>46081.0</v>
      </c>
      <c r="S28" s="135" t="s">
        <v>2882</v>
      </c>
      <c r="T28" s="136"/>
      <c r="U28" s="135" t="s">
        <v>2855</v>
      </c>
      <c r="V28" s="135" t="s">
        <v>2878</v>
      </c>
      <c r="W28" s="135" t="s">
        <v>2897</v>
      </c>
      <c r="X28" s="135"/>
      <c r="Y28" s="135"/>
      <c r="Z28" s="135" t="s">
        <v>2858</v>
      </c>
      <c r="AA28" s="135"/>
      <c r="AB28" s="135"/>
      <c r="AC28" s="135"/>
      <c r="AD28" s="135">
        <v>46105.0</v>
      </c>
      <c r="AE28" s="135"/>
      <c r="AF28" s="135"/>
      <c r="AG28" s="135"/>
    </row>
    <row r="29" ht="21.75" hidden="1" customHeight="1">
      <c r="A29" s="135">
        <v>25.0</v>
      </c>
      <c r="B29" s="135">
        <v>25045.0</v>
      </c>
      <c r="C29" s="135"/>
      <c r="D29" s="135">
        <v>1.0</v>
      </c>
      <c r="E29" s="135" t="s">
        <v>2893</v>
      </c>
      <c r="F29" s="135" t="s">
        <v>1109</v>
      </c>
      <c r="G29" s="135" t="s">
        <v>34</v>
      </c>
      <c r="H29" s="135" t="s">
        <v>2853</v>
      </c>
      <c r="I29" s="135" t="s">
        <v>42</v>
      </c>
      <c r="J29" s="135">
        <v>1.0</v>
      </c>
      <c r="K29" s="135"/>
      <c r="L29" s="135">
        <v>4612.0</v>
      </c>
      <c r="M29" s="135">
        <v>3500.0</v>
      </c>
      <c r="N29" s="135">
        <v>120.0</v>
      </c>
      <c r="O29" s="135">
        <v>2.173</v>
      </c>
      <c r="P29" s="141">
        <v>1.0</v>
      </c>
      <c r="Q29" s="137">
        <v>5.4325</v>
      </c>
      <c r="R29" s="136">
        <v>46078.0</v>
      </c>
      <c r="S29" s="135" t="s">
        <v>2854</v>
      </c>
      <c r="T29" s="136"/>
      <c r="U29" s="135" t="s">
        <v>2855</v>
      </c>
      <c r="V29" s="135" t="s">
        <v>2878</v>
      </c>
      <c r="W29" s="135" t="s">
        <v>2898</v>
      </c>
      <c r="X29" s="135"/>
      <c r="Y29" s="135"/>
      <c r="Z29" s="135" t="s">
        <v>2858</v>
      </c>
      <c r="AA29" s="135"/>
      <c r="AB29" s="135"/>
      <c r="AC29" s="135"/>
      <c r="AD29" s="135">
        <v>46098.0</v>
      </c>
      <c r="AE29" s="135"/>
      <c r="AF29" s="135"/>
      <c r="AG29" s="135"/>
    </row>
    <row r="30" ht="21.75" hidden="1" customHeight="1">
      <c r="A30" s="135">
        <v>26.0</v>
      </c>
      <c r="B30" s="135">
        <v>25045.0</v>
      </c>
      <c r="C30" s="135"/>
      <c r="D30" s="135">
        <v>1.0</v>
      </c>
      <c r="E30" s="135" t="s">
        <v>2893</v>
      </c>
      <c r="F30" s="135" t="s">
        <v>1110</v>
      </c>
      <c r="G30" s="135" t="s">
        <v>34</v>
      </c>
      <c r="H30" s="135" t="s">
        <v>2853</v>
      </c>
      <c r="I30" s="135" t="s">
        <v>42</v>
      </c>
      <c r="J30" s="135">
        <v>1.0</v>
      </c>
      <c r="K30" s="135" t="s">
        <v>2860</v>
      </c>
      <c r="L30" s="135">
        <v>4612.0</v>
      </c>
      <c r="M30" s="135">
        <v>3250.0</v>
      </c>
      <c r="N30" s="135">
        <v>120.0</v>
      </c>
      <c r="O30" s="135">
        <v>2.173</v>
      </c>
      <c r="P30" s="141">
        <v>1.0</v>
      </c>
      <c r="Q30" s="137">
        <v>5.4325</v>
      </c>
      <c r="R30" s="136">
        <v>46078.0</v>
      </c>
      <c r="S30" s="135" t="s">
        <v>2854</v>
      </c>
      <c r="T30" s="136"/>
      <c r="U30" s="135" t="s">
        <v>2855</v>
      </c>
      <c r="V30" s="135" t="s">
        <v>2878</v>
      </c>
      <c r="W30" s="135" t="s">
        <v>2898</v>
      </c>
      <c r="X30" s="135"/>
      <c r="Y30" s="135"/>
      <c r="Z30" s="135" t="s">
        <v>2858</v>
      </c>
      <c r="AA30" s="135"/>
      <c r="AB30" s="135"/>
      <c r="AC30" s="135"/>
      <c r="AD30" s="135">
        <v>46099.0</v>
      </c>
      <c r="AE30" s="135"/>
      <c r="AF30" s="135"/>
      <c r="AG30" s="135"/>
    </row>
    <row r="31" ht="21.75" hidden="1" customHeight="1">
      <c r="A31" s="135">
        <v>27.0</v>
      </c>
      <c r="B31" s="135">
        <v>25045.0</v>
      </c>
      <c r="C31" s="135"/>
      <c r="D31" s="135">
        <v>1.0</v>
      </c>
      <c r="E31" s="135" t="s">
        <v>2893</v>
      </c>
      <c r="F31" s="135" t="s">
        <v>1111</v>
      </c>
      <c r="G31" s="135" t="s">
        <v>34</v>
      </c>
      <c r="H31" s="135" t="s">
        <v>2853</v>
      </c>
      <c r="I31" s="135" t="s">
        <v>42</v>
      </c>
      <c r="J31" s="135">
        <v>1.0</v>
      </c>
      <c r="K31" s="135" t="s">
        <v>2860</v>
      </c>
      <c r="L31" s="135">
        <v>4612.0</v>
      </c>
      <c r="M31" s="135">
        <v>3250.0</v>
      </c>
      <c r="N31" s="135">
        <v>120.0</v>
      </c>
      <c r="O31" s="135">
        <v>2.173</v>
      </c>
      <c r="P31" s="141">
        <v>1.0</v>
      </c>
      <c r="Q31" s="137">
        <v>5.4325</v>
      </c>
      <c r="R31" s="136">
        <v>46078.0</v>
      </c>
      <c r="S31" s="135" t="s">
        <v>2854</v>
      </c>
      <c r="T31" s="136"/>
      <c r="U31" s="135" t="s">
        <v>2855</v>
      </c>
      <c r="V31" s="135" t="s">
        <v>2878</v>
      </c>
      <c r="W31" s="135" t="s">
        <v>2898</v>
      </c>
      <c r="X31" s="135"/>
      <c r="Y31" s="135"/>
      <c r="Z31" s="135" t="s">
        <v>2858</v>
      </c>
      <c r="AA31" s="135"/>
      <c r="AB31" s="135"/>
      <c r="AC31" s="135"/>
      <c r="AD31" s="135">
        <v>46104.0</v>
      </c>
      <c r="AE31" s="135"/>
      <c r="AF31" s="135"/>
      <c r="AG31" s="135"/>
    </row>
    <row r="32" ht="21.75" hidden="1" customHeight="1">
      <c r="A32" s="135">
        <v>28.0</v>
      </c>
      <c r="B32" s="135">
        <v>25045.0</v>
      </c>
      <c r="C32" s="135"/>
      <c r="D32" s="135">
        <v>1.0</v>
      </c>
      <c r="E32" s="135" t="s">
        <v>2893</v>
      </c>
      <c r="F32" s="135" t="s">
        <v>1112</v>
      </c>
      <c r="G32" s="135" t="s">
        <v>34</v>
      </c>
      <c r="H32" s="135" t="s">
        <v>2853</v>
      </c>
      <c r="I32" s="135" t="s">
        <v>42</v>
      </c>
      <c r="J32" s="135">
        <v>1.0</v>
      </c>
      <c r="K32" s="135" t="s">
        <v>2860</v>
      </c>
      <c r="L32" s="135">
        <v>4612.0</v>
      </c>
      <c r="M32" s="135">
        <v>3250.0</v>
      </c>
      <c r="N32" s="135">
        <v>120.0</v>
      </c>
      <c r="O32" s="135">
        <v>2.173</v>
      </c>
      <c r="P32" s="141">
        <v>1.0</v>
      </c>
      <c r="Q32" s="137">
        <v>5.4325</v>
      </c>
      <c r="R32" s="136">
        <v>46078.0</v>
      </c>
      <c r="S32" s="135" t="s">
        <v>2854</v>
      </c>
      <c r="T32" s="136"/>
      <c r="U32" s="135" t="s">
        <v>2855</v>
      </c>
      <c r="V32" s="135" t="s">
        <v>2878</v>
      </c>
      <c r="W32" s="135" t="s">
        <v>2898</v>
      </c>
      <c r="X32" s="135"/>
      <c r="Y32" s="135"/>
      <c r="Z32" s="135" t="s">
        <v>2858</v>
      </c>
      <c r="AA32" s="135"/>
      <c r="AB32" s="135"/>
      <c r="AC32" s="135"/>
      <c r="AD32" s="135">
        <v>46105.0</v>
      </c>
      <c r="AE32" s="135"/>
      <c r="AF32" s="135"/>
      <c r="AG32" s="135"/>
    </row>
    <row r="33" ht="21.75" hidden="1" customHeight="1">
      <c r="A33" s="135">
        <v>29.0</v>
      </c>
      <c r="B33" s="135">
        <v>25045.0</v>
      </c>
      <c r="C33" s="135"/>
      <c r="D33" s="135">
        <v>1.0</v>
      </c>
      <c r="E33" s="135" t="s">
        <v>2893</v>
      </c>
      <c r="F33" s="135" t="s">
        <v>1113</v>
      </c>
      <c r="G33" s="135" t="s">
        <v>34</v>
      </c>
      <c r="H33" s="135" t="s">
        <v>2853</v>
      </c>
      <c r="I33" s="135" t="s">
        <v>42</v>
      </c>
      <c r="J33" s="135">
        <v>1.0</v>
      </c>
      <c r="K33" s="135" t="s">
        <v>2860</v>
      </c>
      <c r="L33" s="135">
        <v>4612.0</v>
      </c>
      <c r="M33" s="135">
        <v>3250.0</v>
      </c>
      <c r="N33" s="135">
        <v>120.0</v>
      </c>
      <c r="O33" s="135">
        <v>2.173</v>
      </c>
      <c r="P33" s="141">
        <v>1.0</v>
      </c>
      <c r="Q33" s="137">
        <v>5.4325</v>
      </c>
      <c r="R33" s="136">
        <v>46078.0</v>
      </c>
      <c r="S33" s="135" t="s">
        <v>2854</v>
      </c>
      <c r="T33" s="136"/>
      <c r="U33" s="135" t="s">
        <v>2855</v>
      </c>
      <c r="V33" s="135" t="s">
        <v>2878</v>
      </c>
      <c r="W33" s="135" t="s">
        <v>2898</v>
      </c>
      <c r="X33" s="135"/>
      <c r="Y33" s="135"/>
      <c r="Z33" s="135" t="s">
        <v>2858</v>
      </c>
      <c r="AA33" s="135"/>
      <c r="AB33" s="135"/>
      <c r="AC33" s="135"/>
      <c r="AD33" s="135">
        <v>46106.0</v>
      </c>
      <c r="AE33" s="135"/>
      <c r="AF33" s="135"/>
      <c r="AG33" s="135"/>
    </row>
    <row r="34" ht="21.75" hidden="1" customHeight="1">
      <c r="A34" s="135">
        <v>30.0</v>
      </c>
      <c r="B34" s="135">
        <v>25045.0</v>
      </c>
      <c r="C34" s="135"/>
      <c r="D34" s="135">
        <v>1.0</v>
      </c>
      <c r="E34" s="135" t="s">
        <v>2893</v>
      </c>
      <c r="F34" s="135" t="s">
        <v>1114</v>
      </c>
      <c r="G34" s="135" t="s">
        <v>34</v>
      </c>
      <c r="H34" s="135" t="s">
        <v>2853</v>
      </c>
      <c r="I34" s="135" t="s">
        <v>42</v>
      </c>
      <c r="J34" s="135">
        <v>1.0</v>
      </c>
      <c r="K34" s="135"/>
      <c r="L34" s="135">
        <v>4612.0</v>
      </c>
      <c r="M34" s="135">
        <v>3251.0</v>
      </c>
      <c r="N34" s="135">
        <v>120.0</v>
      </c>
      <c r="O34" s="135">
        <v>1.838</v>
      </c>
      <c r="P34" s="141">
        <v>1.0</v>
      </c>
      <c r="Q34" s="137">
        <v>4.595000000000001</v>
      </c>
      <c r="R34" s="136">
        <v>46078.0</v>
      </c>
      <c r="S34" s="135" t="s">
        <v>2854</v>
      </c>
      <c r="T34" s="136"/>
      <c r="U34" s="135" t="s">
        <v>2864</v>
      </c>
      <c r="V34" s="135" t="s">
        <v>2890</v>
      </c>
      <c r="W34" s="135" t="s">
        <v>2891</v>
      </c>
      <c r="X34" s="135" t="s">
        <v>2892</v>
      </c>
      <c r="Y34" s="135"/>
      <c r="Z34" s="135" t="s">
        <v>2858</v>
      </c>
      <c r="AA34" s="135"/>
      <c r="AB34" s="135"/>
      <c r="AC34" s="135"/>
      <c r="AD34" s="135">
        <v>46115.0</v>
      </c>
      <c r="AE34" s="135"/>
      <c r="AF34" s="135"/>
      <c r="AG34" s="135"/>
    </row>
    <row r="35" ht="21.75" hidden="1" customHeight="1">
      <c r="A35" s="135">
        <v>31.0</v>
      </c>
      <c r="B35" s="135">
        <v>25045.0</v>
      </c>
      <c r="C35" s="135"/>
      <c r="D35" s="135">
        <v>1.0</v>
      </c>
      <c r="E35" s="135" t="s">
        <v>2893</v>
      </c>
      <c r="F35" s="135" t="s">
        <v>1115</v>
      </c>
      <c r="G35" s="135" t="s">
        <v>34</v>
      </c>
      <c r="H35" s="135" t="s">
        <v>2853</v>
      </c>
      <c r="I35" s="135" t="s">
        <v>42</v>
      </c>
      <c r="J35" s="135">
        <v>1.0</v>
      </c>
      <c r="K35" s="135"/>
      <c r="L35" s="135">
        <v>3825.0</v>
      </c>
      <c r="M35" s="135">
        <v>3520.0</v>
      </c>
      <c r="N35" s="135">
        <v>300.0</v>
      </c>
      <c r="O35" s="135">
        <v>2.653</v>
      </c>
      <c r="P35" s="141">
        <v>2.0</v>
      </c>
      <c r="Q35" s="137">
        <v>6.6325</v>
      </c>
      <c r="R35" s="136">
        <v>46081.0</v>
      </c>
      <c r="S35" s="135" t="s">
        <v>2882</v>
      </c>
      <c r="T35" s="136"/>
      <c r="U35" s="135" t="s">
        <v>2864</v>
      </c>
      <c r="V35" s="135" t="s">
        <v>2899</v>
      </c>
      <c r="W35" s="135" t="s">
        <v>2900</v>
      </c>
      <c r="X35" s="135" t="s">
        <v>2885</v>
      </c>
      <c r="Y35" s="135" t="s">
        <v>2886</v>
      </c>
      <c r="Z35" s="135" t="s">
        <v>2858</v>
      </c>
      <c r="AA35" s="135"/>
      <c r="AB35" s="135"/>
      <c r="AC35" s="135"/>
      <c r="AD35" s="135">
        <v>46119.0</v>
      </c>
      <c r="AE35" s="135"/>
      <c r="AF35" s="135"/>
      <c r="AG35" s="135"/>
    </row>
    <row r="36" ht="21.75" hidden="1" customHeight="1">
      <c r="A36" s="135">
        <v>32.0</v>
      </c>
      <c r="B36" s="135">
        <v>25045.0</v>
      </c>
      <c r="C36" s="135"/>
      <c r="D36" s="135">
        <v>1.0</v>
      </c>
      <c r="E36" s="135" t="s">
        <v>2893</v>
      </c>
      <c r="F36" s="135" t="s">
        <v>1124</v>
      </c>
      <c r="G36" s="135" t="s">
        <v>34</v>
      </c>
      <c r="H36" s="135" t="s">
        <v>2853</v>
      </c>
      <c r="I36" s="135" t="s">
        <v>42</v>
      </c>
      <c r="J36" s="135">
        <v>1.0</v>
      </c>
      <c r="K36" s="135"/>
      <c r="L36" s="135">
        <v>1780.0</v>
      </c>
      <c r="M36" s="135">
        <v>1560.0</v>
      </c>
      <c r="N36" s="135">
        <v>120.0</v>
      </c>
      <c r="O36" s="135">
        <v>0.415</v>
      </c>
      <c r="P36" s="141">
        <v>1.0</v>
      </c>
      <c r="Q36" s="137">
        <v>1.0374999999999999</v>
      </c>
      <c r="R36" s="136">
        <v>46081.0</v>
      </c>
      <c r="S36" s="135" t="s">
        <v>2882</v>
      </c>
      <c r="T36" s="136"/>
      <c r="U36" s="135" t="s">
        <v>2864</v>
      </c>
      <c r="V36" s="135" t="s">
        <v>2873</v>
      </c>
      <c r="W36" s="135" t="s">
        <v>2901</v>
      </c>
      <c r="X36" s="135"/>
      <c r="Y36" s="135"/>
      <c r="Z36" s="135" t="s">
        <v>2858</v>
      </c>
      <c r="AA36" s="135"/>
      <c r="AB36" s="135"/>
      <c r="AC36" s="135"/>
      <c r="AD36" s="135">
        <v>46139.0</v>
      </c>
      <c r="AE36" s="135"/>
      <c r="AF36" s="135"/>
      <c r="AG36" s="135"/>
    </row>
    <row r="37" ht="21.75" hidden="1" customHeight="1">
      <c r="A37" s="135">
        <v>33.0</v>
      </c>
      <c r="B37" s="135">
        <v>25045.0</v>
      </c>
      <c r="C37" s="135"/>
      <c r="D37" s="135">
        <v>1.0</v>
      </c>
      <c r="E37" s="135" t="s">
        <v>2902</v>
      </c>
      <c r="F37" s="135" t="s">
        <v>1125</v>
      </c>
      <c r="G37" s="135" t="s">
        <v>34</v>
      </c>
      <c r="H37" s="135" t="s">
        <v>2853</v>
      </c>
      <c r="I37" s="135" t="s">
        <v>43</v>
      </c>
      <c r="J37" s="135">
        <v>1.0</v>
      </c>
      <c r="K37" s="135"/>
      <c r="L37" s="135">
        <v>5160.0</v>
      </c>
      <c r="M37" s="135">
        <v>3250.0</v>
      </c>
      <c r="N37" s="135">
        <v>120.0</v>
      </c>
      <c r="O37" s="135">
        <v>1.998</v>
      </c>
      <c r="P37" s="141">
        <v>1.0</v>
      </c>
      <c r="Q37" s="137">
        <v>4.995</v>
      </c>
      <c r="R37" s="136">
        <v>46078.0</v>
      </c>
      <c r="S37" s="135" t="s">
        <v>2854</v>
      </c>
      <c r="T37" s="136"/>
      <c r="U37" s="135" t="s">
        <v>2864</v>
      </c>
      <c r="V37" s="135" t="s">
        <v>2890</v>
      </c>
      <c r="W37" s="135" t="s">
        <v>2894</v>
      </c>
      <c r="X37" s="135" t="s">
        <v>2895</v>
      </c>
      <c r="Y37" s="135"/>
      <c r="Z37" s="135" t="s">
        <v>2858</v>
      </c>
      <c r="AA37" s="135"/>
      <c r="AB37" s="135"/>
      <c r="AC37" s="135"/>
      <c r="AD37" s="135">
        <v>46099.0</v>
      </c>
      <c r="AE37" s="135"/>
      <c r="AF37" s="135"/>
      <c r="AG37" s="135"/>
    </row>
    <row r="38" ht="21.75" hidden="1" customHeight="1">
      <c r="A38" s="135">
        <v>34.0</v>
      </c>
      <c r="B38" s="135">
        <v>25045.0</v>
      </c>
      <c r="C38" s="135"/>
      <c r="D38" s="135">
        <v>1.0</v>
      </c>
      <c r="E38" s="135" t="s">
        <v>2902</v>
      </c>
      <c r="F38" s="135" t="s">
        <v>1126</v>
      </c>
      <c r="G38" s="135" t="s">
        <v>34</v>
      </c>
      <c r="H38" s="135" t="s">
        <v>2853</v>
      </c>
      <c r="I38" s="135" t="s">
        <v>43</v>
      </c>
      <c r="J38" s="135">
        <v>1.0</v>
      </c>
      <c r="K38" s="135" t="s">
        <v>2860</v>
      </c>
      <c r="L38" s="135">
        <v>5160.0</v>
      </c>
      <c r="M38" s="135">
        <v>3250.0</v>
      </c>
      <c r="N38" s="135">
        <v>120.0</v>
      </c>
      <c r="O38" s="135">
        <v>2.335</v>
      </c>
      <c r="P38" s="141">
        <v>1.0</v>
      </c>
      <c r="Q38" s="137">
        <v>5.8375</v>
      </c>
      <c r="R38" s="136">
        <v>46078.0</v>
      </c>
      <c r="S38" s="135" t="s">
        <v>2854</v>
      </c>
      <c r="T38" s="136"/>
      <c r="U38" s="135" t="s">
        <v>2855</v>
      </c>
      <c r="V38" s="135" t="s">
        <v>2878</v>
      </c>
      <c r="W38" s="135" t="s">
        <v>2903</v>
      </c>
      <c r="X38" s="135"/>
      <c r="Y38" s="135"/>
      <c r="Z38" s="135" t="s">
        <v>2858</v>
      </c>
      <c r="AA38" s="135"/>
      <c r="AB38" s="135"/>
      <c r="AC38" s="135"/>
      <c r="AD38" s="135">
        <v>46109.0</v>
      </c>
      <c r="AE38" s="135"/>
      <c r="AF38" s="135"/>
      <c r="AG38" s="135"/>
    </row>
    <row r="39" ht="21.75" hidden="1" customHeight="1">
      <c r="A39" s="135">
        <v>35.0</v>
      </c>
      <c r="B39" s="135">
        <v>25045.0</v>
      </c>
      <c r="C39" s="135"/>
      <c r="D39" s="135">
        <v>1.0</v>
      </c>
      <c r="E39" s="135" t="s">
        <v>2902</v>
      </c>
      <c r="F39" s="135" t="s">
        <v>1127</v>
      </c>
      <c r="G39" s="135" t="s">
        <v>34</v>
      </c>
      <c r="H39" s="135" t="s">
        <v>2853</v>
      </c>
      <c r="I39" s="135" t="s">
        <v>43</v>
      </c>
      <c r="J39" s="135">
        <v>1.0</v>
      </c>
      <c r="K39" s="135" t="s">
        <v>2860</v>
      </c>
      <c r="L39" s="135">
        <v>5160.0</v>
      </c>
      <c r="M39" s="135">
        <v>3250.0</v>
      </c>
      <c r="N39" s="135">
        <v>120.0</v>
      </c>
      <c r="O39" s="135">
        <v>2.335</v>
      </c>
      <c r="P39" s="141">
        <v>1.0</v>
      </c>
      <c r="Q39" s="137">
        <v>5.8375</v>
      </c>
      <c r="R39" s="136">
        <v>46078.0</v>
      </c>
      <c r="S39" s="135" t="s">
        <v>2854</v>
      </c>
      <c r="T39" s="136"/>
      <c r="U39" s="135" t="s">
        <v>2855</v>
      </c>
      <c r="V39" s="135" t="s">
        <v>2878</v>
      </c>
      <c r="W39" s="135" t="s">
        <v>2903</v>
      </c>
      <c r="X39" s="135"/>
      <c r="Y39" s="135"/>
      <c r="Z39" s="135" t="s">
        <v>2858</v>
      </c>
      <c r="AA39" s="135"/>
      <c r="AB39" s="135"/>
      <c r="AC39" s="135"/>
      <c r="AD39" s="135">
        <v>46110.0</v>
      </c>
      <c r="AE39" s="135"/>
      <c r="AF39" s="135"/>
      <c r="AG39" s="135"/>
    </row>
    <row r="40" ht="21.75" hidden="1" customHeight="1">
      <c r="A40" s="135">
        <v>36.0</v>
      </c>
      <c r="B40" s="135">
        <v>25045.0</v>
      </c>
      <c r="C40" s="135"/>
      <c r="D40" s="135">
        <v>1.0</v>
      </c>
      <c r="E40" s="135" t="s">
        <v>2902</v>
      </c>
      <c r="F40" s="135" t="s">
        <v>1128</v>
      </c>
      <c r="G40" s="135" t="s">
        <v>34</v>
      </c>
      <c r="H40" s="135" t="s">
        <v>2853</v>
      </c>
      <c r="I40" s="135" t="s">
        <v>43</v>
      </c>
      <c r="J40" s="135">
        <v>1.0</v>
      </c>
      <c r="K40" s="135"/>
      <c r="L40" s="135">
        <v>5185.0</v>
      </c>
      <c r="M40" s="135">
        <v>3250.0</v>
      </c>
      <c r="N40" s="135">
        <v>120.0</v>
      </c>
      <c r="O40" s="135">
        <v>2.342</v>
      </c>
      <c r="P40" s="141">
        <v>1.0</v>
      </c>
      <c r="Q40" s="137">
        <v>5.855</v>
      </c>
      <c r="R40" s="136">
        <v>46078.0</v>
      </c>
      <c r="S40" s="135" t="s">
        <v>2854</v>
      </c>
      <c r="T40" s="136"/>
      <c r="U40" s="135" t="s">
        <v>2855</v>
      </c>
      <c r="V40" s="135" t="s">
        <v>2878</v>
      </c>
      <c r="W40" s="135" t="s">
        <v>2897</v>
      </c>
      <c r="X40" s="135"/>
      <c r="Y40" s="135"/>
      <c r="Z40" s="135" t="s">
        <v>2858</v>
      </c>
      <c r="AA40" s="135"/>
      <c r="AB40" s="135"/>
      <c r="AC40" s="135"/>
      <c r="AD40" s="135">
        <v>46095.0</v>
      </c>
      <c r="AE40" s="135"/>
      <c r="AF40" s="135"/>
      <c r="AG40" s="135"/>
    </row>
    <row r="41" ht="21.75" hidden="1" customHeight="1">
      <c r="A41" s="135">
        <v>37.0</v>
      </c>
      <c r="B41" s="135">
        <v>25045.0</v>
      </c>
      <c r="C41" s="135"/>
      <c r="D41" s="135">
        <v>1.0</v>
      </c>
      <c r="E41" s="135" t="s">
        <v>2902</v>
      </c>
      <c r="F41" s="135" t="s">
        <v>1129</v>
      </c>
      <c r="G41" s="135" t="s">
        <v>34</v>
      </c>
      <c r="H41" s="135" t="s">
        <v>2853</v>
      </c>
      <c r="I41" s="135" t="s">
        <v>43</v>
      </c>
      <c r="J41" s="135">
        <v>1.0</v>
      </c>
      <c r="K41" s="135"/>
      <c r="L41" s="135">
        <v>3825.0</v>
      </c>
      <c r="M41" s="135">
        <v>3500.0</v>
      </c>
      <c r="N41" s="135">
        <v>300.0</v>
      </c>
      <c r="O41" s="135">
        <v>2.621</v>
      </c>
      <c r="P41" s="141">
        <v>1.0</v>
      </c>
      <c r="Q41" s="137">
        <v>6.5525</v>
      </c>
      <c r="R41" s="136">
        <v>46081.0</v>
      </c>
      <c r="S41" s="135" t="s">
        <v>2882</v>
      </c>
      <c r="T41" s="136"/>
      <c r="U41" s="135" t="s">
        <v>2864</v>
      </c>
      <c r="V41" s="135" t="s">
        <v>2899</v>
      </c>
      <c r="W41" s="135" t="s">
        <v>2904</v>
      </c>
      <c r="X41" s="135" t="s">
        <v>2885</v>
      </c>
      <c r="Y41" s="135" t="s">
        <v>2886</v>
      </c>
      <c r="Z41" s="135" t="s">
        <v>2858</v>
      </c>
      <c r="AA41" s="135"/>
      <c r="AB41" s="135"/>
      <c r="AC41" s="135"/>
      <c r="AD41" s="135">
        <v>46121.0</v>
      </c>
      <c r="AE41" s="135"/>
      <c r="AF41" s="135"/>
      <c r="AG41" s="135"/>
    </row>
    <row r="42" ht="21.75" hidden="1" customHeight="1">
      <c r="A42" s="135">
        <v>38.0</v>
      </c>
      <c r="B42" s="135">
        <v>25045.0</v>
      </c>
      <c r="C42" s="135"/>
      <c r="D42" s="135">
        <v>1.0</v>
      </c>
      <c r="E42" s="135" t="s">
        <v>2852</v>
      </c>
      <c r="F42" s="135" t="s">
        <v>990</v>
      </c>
      <c r="G42" s="135" t="s">
        <v>34</v>
      </c>
      <c r="H42" s="135" t="s">
        <v>2853</v>
      </c>
      <c r="I42" s="135" t="s">
        <v>35</v>
      </c>
      <c r="J42" s="135">
        <v>1.0</v>
      </c>
      <c r="K42" s="135"/>
      <c r="L42" s="135">
        <v>3849.0</v>
      </c>
      <c r="M42" s="135">
        <v>3100.0</v>
      </c>
      <c r="N42" s="135">
        <v>120.0</v>
      </c>
      <c r="O42" s="135">
        <v>1.211</v>
      </c>
      <c r="P42" s="141">
        <v>2.0</v>
      </c>
      <c r="Q42" s="137">
        <v>3.0275000000000003</v>
      </c>
      <c r="R42" s="136">
        <v>46078.0</v>
      </c>
      <c r="S42" s="135" t="s">
        <v>2854</v>
      </c>
      <c r="T42" s="136">
        <v>46123.0</v>
      </c>
      <c r="U42" s="135" t="s">
        <v>2864</v>
      </c>
      <c r="V42" s="135" t="s">
        <v>2865</v>
      </c>
      <c r="W42" s="135" t="s">
        <v>2905</v>
      </c>
      <c r="X42" s="135" t="s">
        <v>2906</v>
      </c>
      <c r="Y42" s="135"/>
      <c r="Z42" s="135" t="s">
        <v>2858</v>
      </c>
      <c r="AA42" s="135" t="s">
        <v>2859</v>
      </c>
      <c r="AB42" s="135"/>
      <c r="AC42" s="135"/>
      <c r="AD42" s="135">
        <v>46128.0</v>
      </c>
      <c r="AE42" s="135"/>
      <c r="AF42" s="135"/>
      <c r="AG42" s="135"/>
    </row>
    <row r="43" ht="21.75" hidden="1" customHeight="1">
      <c r="A43" s="135">
        <v>39.0</v>
      </c>
      <c r="B43" s="135">
        <v>25045.0</v>
      </c>
      <c r="C43" s="135"/>
      <c r="D43" s="135">
        <v>1.0</v>
      </c>
      <c r="E43" s="135" t="s">
        <v>2852</v>
      </c>
      <c r="F43" s="135" t="s">
        <v>991</v>
      </c>
      <c r="G43" s="135" t="s">
        <v>34</v>
      </c>
      <c r="H43" s="135" t="s">
        <v>2853</v>
      </c>
      <c r="I43" s="135" t="s">
        <v>35</v>
      </c>
      <c r="J43" s="135">
        <v>1.0</v>
      </c>
      <c r="K43" s="135"/>
      <c r="L43" s="135">
        <v>3460.0</v>
      </c>
      <c r="M43" s="135">
        <v>1300.0</v>
      </c>
      <c r="N43" s="135">
        <v>120.0</v>
      </c>
      <c r="O43" s="135">
        <v>0.677</v>
      </c>
      <c r="P43" s="141">
        <v>2.0</v>
      </c>
      <c r="Q43" s="137">
        <v>1.6925000000000001</v>
      </c>
      <c r="R43" s="136">
        <v>46078.0</v>
      </c>
      <c r="S43" s="135" t="s">
        <v>2854</v>
      </c>
      <c r="T43" s="136">
        <v>46123.0</v>
      </c>
      <c r="U43" s="135" t="s">
        <v>2855</v>
      </c>
      <c r="V43" s="135" t="s">
        <v>2907</v>
      </c>
      <c r="W43" s="135" t="s">
        <v>2908</v>
      </c>
      <c r="X43" s="135"/>
      <c r="Y43" s="135"/>
      <c r="Z43" s="135" t="s">
        <v>2858</v>
      </c>
      <c r="AA43" s="135" t="s">
        <v>2859</v>
      </c>
      <c r="AB43" s="135"/>
      <c r="AC43" s="135"/>
      <c r="AD43" s="135">
        <v>46132.0</v>
      </c>
      <c r="AE43" s="135"/>
      <c r="AF43" s="135"/>
      <c r="AG43" s="135"/>
    </row>
    <row r="44" ht="21.75" hidden="1" customHeight="1">
      <c r="A44" s="135">
        <v>40.0</v>
      </c>
      <c r="B44" s="135">
        <v>25045.0</v>
      </c>
      <c r="C44" s="135"/>
      <c r="D44" s="135">
        <v>1.0</v>
      </c>
      <c r="E44" s="135" t="s">
        <v>2852</v>
      </c>
      <c r="F44" s="135" t="s">
        <v>992</v>
      </c>
      <c r="G44" s="135" t="s">
        <v>34</v>
      </c>
      <c r="H44" s="135" t="s">
        <v>2853</v>
      </c>
      <c r="I44" s="135" t="s">
        <v>35</v>
      </c>
      <c r="J44" s="135">
        <v>1.0</v>
      </c>
      <c r="K44" s="135"/>
      <c r="L44" s="135">
        <v>3460.0</v>
      </c>
      <c r="M44" s="135">
        <v>1300.0</v>
      </c>
      <c r="N44" s="135">
        <v>120.0</v>
      </c>
      <c r="O44" s="135">
        <v>0.677</v>
      </c>
      <c r="P44" s="141">
        <v>2.0</v>
      </c>
      <c r="Q44" s="137">
        <v>1.6925000000000001</v>
      </c>
      <c r="R44" s="136">
        <v>46078.0</v>
      </c>
      <c r="S44" s="135" t="s">
        <v>2854</v>
      </c>
      <c r="T44" s="136">
        <v>46123.0</v>
      </c>
      <c r="U44" s="135" t="s">
        <v>2855</v>
      </c>
      <c r="V44" s="135" t="s">
        <v>2907</v>
      </c>
      <c r="W44" s="135" t="s">
        <v>2908</v>
      </c>
      <c r="X44" s="135"/>
      <c r="Y44" s="135"/>
      <c r="Z44" s="135" t="s">
        <v>2858</v>
      </c>
      <c r="AA44" s="135" t="s">
        <v>2859</v>
      </c>
      <c r="AB44" s="135"/>
      <c r="AC44" s="135"/>
      <c r="AD44" s="135">
        <v>46133.0</v>
      </c>
      <c r="AE44" s="135"/>
      <c r="AF44" s="135"/>
      <c r="AG44" s="135"/>
    </row>
    <row r="45" ht="21.75" hidden="1" customHeight="1">
      <c r="A45" s="135">
        <v>41.0</v>
      </c>
      <c r="B45" s="135">
        <v>25045.0</v>
      </c>
      <c r="C45" s="135" t="s">
        <v>2817</v>
      </c>
      <c r="D45" s="135">
        <v>1.0</v>
      </c>
      <c r="E45" s="135" t="s">
        <v>2875</v>
      </c>
      <c r="F45" s="135" t="s">
        <v>1006</v>
      </c>
      <c r="G45" s="135" t="s">
        <v>34</v>
      </c>
      <c r="H45" s="135" t="s">
        <v>2853</v>
      </c>
      <c r="I45" s="135" t="s">
        <v>37</v>
      </c>
      <c r="J45" s="135">
        <v>1.0</v>
      </c>
      <c r="K45" s="135"/>
      <c r="L45" s="135">
        <v>2480.0</v>
      </c>
      <c r="M45" s="135">
        <v>1435.0</v>
      </c>
      <c r="N45" s="135">
        <v>120.0</v>
      </c>
      <c r="O45" s="135">
        <v>0.466</v>
      </c>
      <c r="P45" s="141">
        <v>1.0</v>
      </c>
      <c r="Q45" s="137">
        <v>1.165</v>
      </c>
      <c r="R45" s="136">
        <v>46078.0</v>
      </c>
      <c r="S45" s="135" t="s">
        <v>2854</v>
      </c>
      <c r="T45" s="136"/>
      <c r="U45" s="135" t="s">
        <v>2864</v>
      </c>
      <c r="V45" s="135" t="s">
        <v>2856</v>
      </c>
      <c r="W45" s="135" t="s">
        <v>2909</v>
      </c>
      <c r="X45" s="135"/>
      <c r="Y45" s="135"/>
      <c r="Z45" s="135" t="s">
        <v>2858</v>
      </c>
      <c r="AA45" s="135"/>
      <c r="AB45" s="135"/>
      <c r="AC45" s="135"/>
      <c r="AD45" s="135" t="e">
        <v>#N/A</v>
      </c>
      <c r="AE45" s="135"/>
      <c r="AF45" s="135"/>
      <c r="AG45" s="135"/>
    </row>
    <row r="46" ht="21.75" hidden="1" customHeight="1">
      <c r="A46" s="135">
        <v>42.0</v>
      </c>
      <c r="B46" s="135">
        <v>25045.0</v>
      </c>
      <c r="C46" s="135" t="s">
        <v>2817</v>
      </c>
      <c r="D46" s="135">
        <v>1.0</v>
      </c>
      <c r="E46" s="135" t="s">
        <v>2875</v>
      </c>
      <c r="F46" s="135" t="s">
        <v>1007</v>
      </c>
      <c r="G46" s="135" t="s">
        <v>34</v>
      </c>
      <c r="H46" s="135" t="s">
        <v>2853</v>
      </c>
      <c r="I46" s="135" t="s">
        <v>37</v>
      </c>
      <c r="J46" s="135">
        <v>1.0</v>
      </c>
      <c r="K46" s="135" t="s">
        <v>2860</v>
      </c>
      <c r="L46" s="135">
        <v>3000.0</v>
      </c>
      <c r="M46" s="135">
        <v>1435.0</v>
      </c>
      <c r="N46" s="135">
        <v>120.0</v>
      </c>
      <c r="O46" s="135">
        <v>0.51</v>
      </c>
      <c r="P46" s="141">
        <v>1.0</v>
      </c>
      <c r="Q46" s="137">
        <v>1.275</v>
      </c>
      <c r="R46" s="136">
        <v>46078.0</v>
      </c>
      <c r="S46" s="135" t="s">
        <v>2854</v>
      </c>
      <c r="T46" s="136"/>
      <c r="U46" s="135" t="s">
        <v>2864</v>
      </c>
      <c r="V46" s="135" t="s">
        <v>2856</v>
      </c>
      <c r="W46" s="135" t="s">
        <v>2910</v>
      </c>
      <c r="X46" s="135"/>
      <c r="Y46" s="135"/>
      <c r="Z46" s="135" t="s">
        <v>2858</v>
      </c>
      <c r="AA46" s="135"/>
      <c r="AB46" s="135"/>
      <c r="AC46" s="135"/>
      <c r="AD46" s="135">
        <v>46109.0</v>
      </c>
      <c r="AE46" s="135"/>
      <c r="AF46" s="135"/>
      <c r="AG46" s="135"/>
    </row>
    <row r="47" ht="21.75" hidden="1" customHeight="1">
      <c r="A47" s="135">
        <v>43.0</v>
      </c>
      <c r="B47" s="135">
        <v>25045.0</v>
      </c>
      <c r="C47" s="135" t="s">
        <v>2817</v>
      </c>
      <c r="D47" s="135">
        <v>1.0</v>
      </c>
      <c r="E47" s="135" t="s">
        <v>2875</v>
      </c>
      <c r="F47" s="135" t="s">
        <v>1008</v>
      </c>
      <c r="G47" s="135" t="s">
        <v>34</v>
      </c>
      <c r="H47" s="135" t="s">
        <v>2853</v>
      </c>
      <c r="I47" s="135" t="s">
        <v>37</v>
      </c>
      <c r="J47" s="135">
        <v>1.0</v>
      </c>
      <c r="K47" s="135" t="s">
        <v>2860</v>
      </c>
      <c r="L47" s="135">
        <v>3000.0</v>
      </c>
      <c r="M47" s="135">
        <v>1435.0</v>
      </c>
      <c r="N47" s="135">
        <v>120.0</v>
      </c>
      <c r="O47" s="135">
        <v>0.51</v>
      </c>
      <c r="P47" s="141">
        <v>1.0</v>
      </c>
      <c r="Q47" s="137">
        <v>1.275</v>
      </c>
      <c r="R47" s="136">
        <v>46078.0</v>
      </c>
      <c r="S47" s="135" t="s">
        <v>2854</v>
      </c>
      <c r="T47" s="136"/>
      <c r="U47" s="135" t="s">
        <v>2864</v>
      </c>
      <c r="V47" s="135" t="s">
        <v>2856</v>
      </c>
      <c r="W47" s="135" t="s">
        <v>2910</v>
      </c>
      <c r="X47" s="135"/>
      <c r="Y47" s="135"/>
      <c r="Z47" s="135" t="s">
        <v>2858</v>
      </c>
      <c r="AA47" s="135"/>
      <c r="AB47" s="135"/>
      <c r="AC47" s="135"/>
      <c r="AD47" s="135">
        <v>46111.0</v>
      </c>
      <c r="AE47" s="135"/>
      <c r="AF47" s="135"/>
      <c r="AG47" s="135"/>
    </row>
    <row r="48" ht="21.75" hidden="1" customHeight="1">
      <c r="A48" s="135">
        <v>44.0</v>
      </c>
      <c r="B48" s="135">
        <v>25045.0</v>
      </c>
      <c r="C48" s="135" t="s">
        <v>2817</v>
      </c>
      <c r="D48" s="135">
        <v>1.0</v>
      </c>
      <c r="E48" s="135" t="s">
        <v>2875</v>
      </c>
      <c r="F48" s="135" t="s">
        <v>1009</v>
      </c>
      <c r="G48" s="135" t="s">
        <v>34</v>
      </c>
      <c r="H48" s="135" t="s">
        <v>2853</v>
      </c>
      <c r="I48" s="135" t="s">
        <v>37</v>
      </c>
      <c r="J48" s="135">
        <v>1.0</v>
      </c>
      <c r="K48" s="135" t="s">
        <v>2860</v>
      </c>
      <c r="L48" s="135">
        <v>3000.0</v>
      </c>
      <c r="M48" s="135">
        <v>1435.0</v>
      </c>
      <c r="N48" s="135">
        <v>120.0</v>
      </c>
      <c r="O48" s="135">
        <v>0.51</v>
      </c>
      <c r="P48" s="141">
        <v>1.0</v>
      </c>
      <c r="Q48" s="137">
        <v>1.275</v>
      </c>
      <c r="R48" s="136">
        <v>46078.0</v>
      </c>
      <c r="S48" s="135" t="s">
        <v>2854</v>
      </c>
      <c r="T48" s="136"/>
      <c r="U48" s="135" t="s">
        <v>2864</v>
      </c>
      <c r="V48" s="135" t="s">
        <v>2856</v>
      </c>
      <c r="W48" s="135" t="s">
        <v>2910</v>
      </c>
      <c r="X48" s="135"/>
      <c r="Y48" s="135"/>
      <c r="Z48" s="135" t="s">
        <v>2858</v>
      </c>
      <c r="AA48" s="135"/>
      <c r="AB48" s="135"/>
      <c r="AC48" s="135"/>
      <c r="AD48" s="135">
        <v>46112.0</v>
      </c>
      <c r="AE48" s="135"/>
      <c r="AF48" s="135"/>
      <c r="AG48" s="135"/>
    </row>
    <row r="49" ht="21.75" hidden="1" customHeight="1">
      <c r="A49" s="135">
        <v>45.0</v>
      </c>
      <c r="B49" s="135">
        <v>25045.0</v>
      </c>
      <c r="C49" s="135" t="s">
        <v>2817</v>
      </c>
      <c r="D49" s="135">
        <v>1.0</v>
      </c>
      <c r="E49" s="135" t="s">
        <v>2875</v>
      </c>
      <c r="F49" s="135" t="s">
        <v>1010</v>
      </c>
      <c r="G49" s="135" t="s">
        <v>34</v>
      </c>
      <c r="H49" s="135" t="s">
        <v>2853</v>
      </c>
      <c r="I49" s="135" t="s">
        <v>37</v>
      </c>
      <c r="J49" s="135">
        <v>1.0</v>
      </c>
      <c r="K49" s="135" t="s">
        <v>2860</v>
      </c>
      <c r="L49" s="135">
        <v>3000.0</v>
      </c>
      <c r="M49" s="135">
        <v>1435.0</v>
      </c>
      <c r="N49" s="135">
        <v>120.0</v>
      </c>
      <c r="O49" s="135">
        <v>0.51</v>
      </c>
      <c r="P49" s="141">
        <v>1.0</v>
      </c>
      <c r="Q49" s="137">
        <v>1.275</v>
      </c>
      <c r="R49" s="136">
        <v>46078.0</v>
      </c>
      <c r="S49" s="135" t="s">
        <v>2854</v>
      </c>
      <c r="T49" s="136"/>
      <c r="U49" s="135" t="s">
        <v>2864</v>
      </c>
      <c r="V49" s="135" t="s">
        <v>2856</v>
      </c>
      <c r="W49" s="135" t="s">
        <v>2910</v>
      </c>
      <c r="X49" s="135"/>
      <c r="Y49" s="135"/>
      <c r="Z49" s="135" t="s">
        <v>2858</v>
      </c>
      <c r="AA49" s="135"/>
      <c r="AB49" s="135"/>
      <c r="AC49" s="135"/>
      <c r="AD49" s="135">
        <v>46115.0</v>
      </c>
      <c r="AE49" s="135"/>
      <c r="AF49" s="135"/>
      <c r="AG49" s="135"/>
    </row>
    <row r="50" ht="21.75" hidden="1" customHeight="1">
      <c r="A50" s="135">
        <v>46.0</v>
      </c>
      <c r="B50" s="135">
        <v>25045.0</v>
      </c>
      <c r="C50" s="135" t="s">
        <v>2817</v>
      </c>
      <c r="D50" s="135">
        <v>1.0</v>
      </c>
      <c r="E50" s="135" t="s">
        <v>2875</v>
      </c>
      <c r="F50" s="135" t="s">
        <v>1011</v>
      </c>
      <c r="G50" s="135" t="s">
        <v>34</v>
      </c>
      <c r="H50" s="135" t="s">
        <v>2853</v>
      </c>
      <c r="I50" s="135" t="s">
        <v>37</v>
      </c>
      <c r="J50" s="135">
        <v>1.0</v>
      </c>
      <c r="K50" s="135" t="s">
        <v>2860</v>
      </c>
      <c r="L50" s="135">
        <v>3000.0</v>
      </c>
      <c r="M50" s="135">
        <v>1435.0</v>
      </c>
      <c r="N50" s="135">
        <v>120.0</v>
      </c>
      <c r="O50" s="135">
        <v>0.51</v>
      </c>
      <c r="P50" s="141">
        <v>1.0</v>
      </c>
      <c r="Q50" s="137">
        <v>1.275</v>
      </c>
      <c r="R50" s="136">
        <v>46078.0</v>
      </c>
      <c r="S50" s="135" t="s">
        <v>2854</v>
      </c>
      <c r="T50" s="136"/>
      <c r="U50" s="135" t="s">
        <v>2864</v>
      </c>
      <c r="V50" s="135" t="s">
        <v>2856</v>
      </c>
      <c r="W50" s="135" t="s">
        <v>2910</v>
      </c>
      <c r="X50" s="135"/>
      <c r="Y50" s="135"/>
      <c r="Z50" s="135" t="s">
        <v>2858</v>
      </c>
      <c r="AA50" s="135"/>
      <c r="AB50" s="135"/>
      <c r="AC50" s="135"/>
      <c r="AD50" s="135">
        <v>46116.0</v>
      </c>
      <c r="AE50" s="135"/>
      <c r="AF50" s="135"/>
      <c r="AG50" s="135"/>
    </row>
    <row r="51" ht="21.75" hidden="1" customHeight="1">
      <c r="A51" s="135">
        <v>47.0</v>
      </c>
      <c r="B51" s="135">
        <v>25045.0</v>
      </c>
      <c r="C51" s="135" t="s">
        <v>2817</v>
      </c>
      <c r="D51" s="135">
        <v>1.0</v>
      </c>
      <c r="E51" s="135" t="s">
        <v>2875</v>
      </c>
      <c r="F51" s="135" t="s">
        <v>1012</v>
      </c>
      <c r="G51" s="135" t="s">
        <v>34</v>
      </c>
      <c r="H51" s="135" t="s">
        <v>2853</v>
      </c>
      <c r="I51" s="135" t="s">
        <v>37</v>
      </c>
      <c r="J51" s="135">
        <v>1.0</v>
      </c>
      <c r="K51" s="135"/>
      <c r="L51" s="135">
        <v>3000.0</v>
      </c>
      <c r="M51" s="135">
        <v>1510.0</v>
      </c>
      <c r="N51" s="135">
        <v>120.0</v>
      </c>
      <c r="O51" s="135">
        <v>0.521</v>
      </c>
      <c r="P51" s="141">
        <v>1.0</v>
      </c>
      <c r="Q51" s="137">
        <v>1.3025</v>
      </c>
      <c r="R51" s="136">
        <v>46078.0</v>
      </c>
      <c r="S51" s="135" t="s">
        <v>2854</v>
      </c>
      <c r="T51" s="136"/>
      <c r="U51" s="135" t="s">
        <v>2864</v>
      </c>
      <c r="V51" s="135" t="s">
        <v>2856</v>
      </c>
      <c r="W51" s="135" t="s">
        <v>2911</v>
      </c>
      <c r="X51" s="135"/>
      <c r="Y51" s="135"/>
      <c r="Z51" s="135" t="s">
        <v>2858</v>
      </c>
      <c r="AA51" s="135"/>
      <c r="AB51" s="135"/>
      <c r="AC51" s="135"/>
      <c r="AD51" s="135">
        <v>46086.0</v>
      </c>
      <c r="AE51" s="135"/>
      <c r="AF51" s="135"/>
      <c r="AG51" s="135"/>
    </row>
    <row r="52" ht="21.75" hidden="1" customHeight="1">
      <c r="A52" s="135">
        <v>48.0</v>
      </c>
      <c r="B52" s="135">
        <v>25045.0</v>
      </c>
      <c r="C52" s="135" t="s">
        <v>2817</v>
      </c>
      <c r="D52" s="135">
        <v>1.0</v>
      </c>
      <c r="E52" s="135" t="s">
        <v>2875</v>
      </c>
      <c r="F52" s="135" t="s">
        <v>1013</v>
      </c>
      <c r="G52" s="135" t="s">
        <v>34</v>
      </c>
      <c r="H52" s="135" t="s">
        <v>2853</v>
      </c>
      <c r="I52" s="135" t="s">
        <v>37</v>
      </c>
      <c r="J52" s="135">
        <v>1.0</v>
      </c>
      <c r="K52" s="135"/>
      <c r="L52" s="135">
        <v>3000.0</v>
      </c>
      <c r="M52" s="135">
        <v>1510.0</v>
      </c>
      <c r="N52" s="135">
        <v>120.0</v>
      </c>
      <c r="O52" s="135">
        <v>0.521</v>
      </c>
      <c r="P52" s="141">
        <v>1.0</v>
      </c>
      <c r="Q52" s="137">
        <v>1.3025</v>
      </c>
      <c r="R52" s="136">
        <v>46078.0</v>
      </c>
      <c r="S52" s="135" t="s">
        <v>2854</v>
      </c>
      <c r="T52" s="136"/>
      <c r="U52" s="135" t="s">
        <v>2864</v>
      </c>
      <c r="V52" s="135" t="s">
        <v>2856</v>
      </c>
      <c r="W52" s="135" t="s">
        <v>2911</v>
      </c>
      <c r="X52" s="135"/>
      <c r="Y52" s="135"/>
      <c r="Z52" s="135" t="s">
        <v>2858</v>
      </c>
      <c r="AA52" s="135"/>
      <c r="AB52" s="135"/>
      <c r="AC52" s="135"/>
      <c r="AD52" s="135">
        <v>46088.0</v>
      </c>
      <c r="AE52" s="135"/>
      <c r="AF52" s="135"/>
      <c r="AG52" s="135"/>
    </row>
    <row r="53" ht="21.75" hidden="1" customHeight="1">
      <c r="A53" s="135">
        <v>49.0</v>
      </c>
      <c r="B53" s="135">
        <v>25045.0</v>
      </c>
      <c r="C53" s="135" t="s">
        <v>2817</v>
      </c>
      <c r="D53" s="135">
        <v>1.0</v>
      </c>
      <c r="E53" s="135" t="s">
        <v>2875</v>
      </c>
      <c r="F53" s="135" t="s">
        <v>1014</v>
      </c>
      <c r="G53" s="135" t="s">
        <v>34</v>
      </c>
      <c r="H53" s="135" t="s">
        <v>2853</v>
      </c>
      <c r="I53" s="135" t="s">
        <v>37</v>
      </c>
      <c r="J53" s="135">
        <v>1.0</v>
      </c>
      <c r="K53" s="135"/>
      <c r="L53" s="135">
        <v>3000.0</v>
      </c>
      <c r="M53" s="135">
        <v>1510.0</v>
      </c>
      <c r="N53" s="135">
        <v>120.0</v>
      </c>
      <c r="O53" s="135">
        <v>0.521</v>
      </c>
      <c r="P53" s="141">
        <v>1.0</v>
      </c>
      <c r="Q53" s="137">
        <v>1.3025</v>
      </c>
      <c r="R53" s="136">
        <v>46078.0</v>
      </c>
      <c r="S53" s="135" t="s">
        <v>2854</v>
      </c>
      <c r="T53" s="136"/>
      <c r="U53" s="135" t="s">
        <v>2864</v>
      </c>
      <c r="V53" s="135" t="s">
        <v>2856</v>
      </c>
      <c r="W53" s="135" t="s">
        <v>2911</v>
      </c>
      <c r="X53" s="135"/>
      <c r="Y53" s="135"/>
      <c r="Z53" s="135" t="s">
        <v>2858</v>
      </c>
      <c r="AA53" s="135"/>
      <c r="AB53" s="135"/>
      <c r="AC53" s="135"/>
      <c r="AD53" s="135">
        <v>46091.0</v>
      </c>
      <c r="AE53" s="135"/>
      <c r="AF53" s="135"/>
      <c r="AG53" s="135"/>
    </row>
    <row r="54" ht="21.75" hidden="1" customHeight="1">
      <c r="A54" s="135">
        <v>50.0</v>
      </c>
      <c r="B54" s="135">
        <v>25045.0</v>
      </c>
      <c r="C54" s="135" t="s">
        <v>2817</v>
      </c>
      <c r="D54" s="135">
        <v>1.0</v>
      </c>
      <c r="E54" s="135" t="s">
        <v>2875</v>
      </c>
      <c r="F54" s="135" t="s">
        <v>1015</v>
      </c>
      <c r="G54" s="135" t="s">
        <v>34</v>
      </c>
      <c r="H54" s="135" t="s">
        <v>2853</v>
      </c>
      <c r="I54" s="135" t="s">
        <v>37</v>
      </c>
      <c r="J54" s="135">
        <v>1.0</v>
      </c>
      <c r="K54" s="135"/>
      <c r="L54" s="135">
        <v>3000.0</v>
      </c>
      <c r="M54" s="135">
        <v>1510.0</v>
      </c>
      <c r="N54" s="135">
        <v>120.0</v>
      </c>
      <c r="O54" s="135">
        <v>0.521</v>
      </c>
      <c r="P54" s="141">
        <v>1.0</v>
      </c>
      <c r="Q54" s="137">
        <v>1.3025</v>
      </c>
      <c r="R54" s="136">
        <v>46078.0</v>
      </c>
      <c r="S54" s="135" t="s">
        <v>2854</v>
      </c>
      <c r="T54" s="136"/>
      <c r="U54" s="135" t="s">
        <v>2864</v>
      </c>
      <c r="V54" s="135" t="s">
        <v>2856</v>
      </c>
      <c r="W54" s="135" t="s">
        <v>2911</v>
      </c>
      <c r="X54" s="135"/>
      <c r="Y54" s="135"/>
      <c r="Z54" s="135" t="s">
        <v>2858</v>
      </c>
      <c r="AA54" s="135"/>
      <c r="AB54" s="135"/>
      <c r="AC54" s="135"/>
      <c r="AD54" s="135">
        <v>46093.0</v>
      </c>
      <c r="AE54" s="135"/>
      <c r="AF54" s="135"/>
      <c r="AG54" s="135"/>
    </row>
    <row r="55" ht="21.75" hidden="1" customHeight="1">
      <c r="A55" s="135">
        <v>51.0</v>
      </c>
      <c r="B55" s="135">
        <v>25045.0</v>
      </c>
      <c r="C55" s="135" t="s">
        <v>2817</v>
      </c>
      <c r="D55" s="135">
        <v>1.0</v>
      </c>
      <c r="E55" s="135" t="s">
        <v>2875</v>
      </c>
      <c r="F55" s="135" t="s">
        <v>1016</v>
      </c>
      <c r="G55" s="135" t="s">
        <v>34</v>
      </c>
      <c r="H55" s="135" t="s">
        <v>2853</v>
      </c>
      <c r="I55" s="135" t="s">
        <v>37</v>
      </c>
      <c r="J55" s="135">
        <v>1.0</v>
      </c>
      <c r="K55" s="135"/>
      <c r="L55" s="135">
        <v>3000.0</v>
      </c>
      <c r="M55" s="135">
        <v>1510.0</v>
      </c>
      <c r="N55" s="135">
        <v>120.0</v>
      </c>
      <c r="O55" s="135">
        <v>0.521</v>
      </c>
      <c r="P55" s="141">
        <v>1.0</v>
      </c>
      <c r="Q55" s="137">
        <v>1.3025</v>
      </c>
      <c r="R55" s="136">
        <v>46078.0</v>
      </c>
      <c r="S55" s="135" t="s">
        <v>2854</v>
      </c>
      <c r="T55" s="136"/>
      <c r="U55" s="135" t="s">
        <v>2864</v>
      </c>
      <c r="V55" s="135" t="s">
        <v>2856</v>
      </c>
      <c r="W55" s="135" t="s">
        <v>2911</v>
      </c>
      <c r="X55" s="135"/>
      <c r="Y55" s="135"/>
      <c r="Z55" s="135" t="s">
        <v>2858</v>
      </c>
      <c r="AA55" s="135"/>
      <c r="AB55" s="135"/>
      <c r="AC55" s="135"/>
      <c r="AD55" s="135">
        <v>46095.0</v>
      </c>
      <c r="AE55" s="135"/>
      <c r="AF55" s="135"/>
      <c r="AG55" s="135"/>
    </row>
    <row r="56" ht="21.75" hidden="1" customHeight="1">
      <c r="A56" s="135">
        <v>52.0</v>
      </c>
      <c r="B56" s="135">
        <v>25045.0</v>
      </c>
      <c r="C56" s="135" t="s">
        <v>2817</v>
      </c>
      <c r="D56" s="135">
        <v>1.0</v>
      </c>
      <c r="E56" s="135" t="s">
        <v>2875</v>
      </c>
      <c r="F56" s="135" t="s">
        <v>1017</v>
      </c>
      <c r="G56" s="135" t="s">
        <v>34</v>
      </c>
      <c r="H56" s="135" t="s">
        <v>2853</v>
      </c>
      <c r="I56" s="135" t="s">
        <v>37</v>
      </c>
      <c r="J56" s="135">
        <v>1.0</v>
      </c>
      <c r="K56" s="135"/>
      <c r="L56" s="135">
        <v>3130.0</v>
      </c>
      <c r="M56" s="135">
        <v>1510.0</v>
      </c>
      <c r="N56" s="135">
        <v>120.0</v>
      </c>
      <c r="O56" s="135">
        <v>0.532</v>
      </c>
      <c r="P56" s="141">
        <v>1.0</v>
      </c>
      <c r="Q56" s="137">
        <v>1.33</v>
      </c>
      <c r="R56" s="136">
        <v>46078.0</v>
      </c>
      <c r="S56" s="135" t="s">
        <v>2854</v>
      </c>
      <c r="T56" s="136"/>
      <c r="U56" s="135" t="s">
        <v>2864</v>
      </c>
      <c r="V56" s="135" t="s">
        <v>2856</v>
      </c>
      <c r="W56" s="135" t="s">
        <v>2912</v>
      </c>
      <c r="X56" s="135"/>
      <c r="Y56" s="135"/>
      <c r="Z56" s="135" t="s">
        <v>2858</v>
      </c>
      <c r="AA56" s="135"/>
      <c r="AB56" s="135"/>
      <c r="AC56" s="135"/>
      <c r="AD56" s="135">
        <v>46088.0</v>
      </c>
      <c r="AE56" s="135"/>
      <c r="AF56" s="135"/>
      <c r="AG56" s="135"/>
    </row>
    <row r="57" ht="21.75" hidden="1" customHeight="1">
      <c r="A57" s="135">
        <v>53.0</v>
      </c>
      <c r="B57" s="135">
        <v>25045.0</v>
      </c>
      <c r="C57" s="135"/>
      <c r="D57" s="135">
        <v>1.0</v>
      </c>
      <c r="E57" s="135" t="s">
        <v>2887</v>
      </c>
      <c r="F57" s="135" t="s">
        <v>1060</v>
      </c>
      <c r="G57" s="135" t="s">
        <v>34</v>
      </c>
      <c r="H57" s="135" t="s">
        <v>2853</v>
      </c>
      <c r="I57" s="135" t="s">
        <v>40</v>
      </c>
      <c r="J57" s="135">
        <v>1.0</v>
      </c>
      <c r="K57" s="135"/>
      <c r="L57" s="135">
        <v>5015.0</v>
      </c>
      <c r="M57" s="135">
        <v>3580.0</v>
      </c>
      <c r="N57" s="135">
        <v>120.0</v>
      </c>
      <c r="O57" s="135">
        <v>2.725</v>
      </c>
      <c r="P57" s="141">
        <v>1.0</v>
      </c>
      <c r="Q57" s="137">
        <v>6.8125</v>
      </c>
      <c r="R57" s="136">
        <v>46081.0</v>
      </c>
      <c r="S57" s="135" t="s">
        <v>2882</v>
      </c>
      <c r="T57" s="136"/>
      <c r="U57" s="135" t="s">
        <v>2913</v>
      </c>
      <c r="V57" s="135" t="s">
        <v>2914</v>
      </c>
      <c r="W57" s="135" t="s">
        <v>2915</v>
      </c>
      <c r="X57" s="135"/>
      <c r="Y57" s="135"/>
      <c r="Z57" s="135" t="s">
        <v>2858</v>
      </c>
      <c r="AA57" s="135"/>
      <c r="AB57" s="135"/>
      <c r="AC57" s="135"/>
      <c r="AD57" s="135">
        <v>46132.0</v>
      </c>
      <c r="AE57" s="135"/>
      <c r="AF57" s="135"/>
      <c r="AG57" s="135"/>
    </row>
    <row r="58" ht="21.75" hidden="1" customHeight="1">
      <c r="A58" s="135">
        <v>54.0</v>
      </c>
      <c r="B58" s="135">
        <v>25045.0</v>
      </c>
      <c r="C58" s="135"/>
      <c r="D58" s="135">
        <v>1.0</v>
      </c>
      <c r="E58" s="135" t="s">
        <v>2887</v>
      </c>
      <c r="F58" s="135" t="s">
        <v>1061</v>
      </c>
      <c r="G58" s="135" t="s">
        <v>34</v>
      </c>
      <c r="H58" s="135" t="s">
        <v>2853</v>
      </c>
      <c r="I58" s="135" t="s">
        <v>40</v>
      </c>
      <c r="J58" s="135">
        <v>1.0</v>
      </c>
      <c r="K58" s="135" t="s">
        <v>2860</v>
      </c>
      <c r="L58" s="135">
        <v>4810.0</v>
      </c>
      <c r="M58" s="135">
        <v>3580.0</v>
      </c>
      <c r="N58" s="135">
        <v>120.0</v>
      </c>
      <c r="O58" s="135">
        <v>2.656</v>
      </c>
      <c r="P58" s="141">
        <v>1.0</v>
      </c>
      <c r="Q58" s="137">
        <v>6.640000000000001</v>
      </c>
      <c r="R58" s="136">
        <v>46081.0</v>
      </c>
      <c r="S58" s="135" t="s">
        <v>2882</v>
      </c>
      <c r="T58" s="136"/>
      <c r="U58" s="135" t="s">
        <v>2913</v>
      </c>
      <c r="V58" s="135" t="s">
        <v>2914</v>
      </c>
      <c r="W58" s="135" t="s">
        <v>2916</v>
      </c>
      <c r="X58" s="135"/>
      <c r="Y58" s="135"/>
      <c r="Z58" s="135" t="s">
        <v>2858</v>
      </c>
      <c r="AA58" s="135"/>
      <c r="AB58" s="135"/>
      <c r="AC58" s="135"/>
      <c r="AD58" s="135">
        <v>46136.0</v>
      </c>
      <c r="AE58" s="135"/>
      <c r="AF58" s="135"/>
      <c r="AG58" s="135"/>
    </row>
    <row r="59" ht="21.75" hidden="1" customHeight="1">
      <c r="A59" s="135">
        <v>55.0</v>
      </c>
      <c r="B59" s="135">
        <v>25045.0</v>
      </c>
      <c r="C59" s="135"/>
      <c r="D59" s="135">
        <v>1.0</v>
      </c>
      <c r="E59" s="135" t="s">
        <v>2887</v>
      </c>
      <c r="F59" s="135" t="s">
        <v>1062</v>
      </c>
      <c r="G59" s="135" t="s">
        <v>34</v>
      </c>
      <c r="H59" s="135" t="s">
        <v>2853</v>
      </c>
      <c r="I59" s="135" t="s">
        <v>40</v>
      </c>
      <c r="J59" s="135">
        <v>1.0</v>
      </c>
      <c r="K59" s="135" t="s">
        <v>2860</v>
      </c>
      <c r="L59" s="135">
        <v>4810.0</v>
      </c>
      <c r="M59" s="135">
        <v>3580.0</v>
      </c>
      <c r="N59" s="135">
        <v>120.0</v>
      </c>
      <c r="O59" s="135">
        <v>2.656</v>
      </c>
      <c r="P59" s="141">
        <v>1.0</v>
      </c>
      <c r="Q59" s="137">
        <v>6.640000000000001</v>
      </c>
      <c r="R59" s="136">
        <v>46081.0</v>
      </c>
      <c r="S59" s="135" t="s">
        <v>2882</v>
      </c>
      <c r="T59" s="136"/>
      <c r="U59" s="135" t="s">
        <v>2913</v>
      </c>
      <c r="V59" s="135" t="s">
        <v>2914</v>
      </c>
      <c r="W59" s="135" t="s">
        <v>2916</v>
      </c>
      <c r="X59" s="135"/>
      <c r="Y59" s="135"/>
      <c r="Z59" s="135" t="s">
        <v>2858</v>
      </c>
      <c r="AA59" s="135"/>
      <c r="AB59" s="135"/>
      <c r="AC59" s="135"/>
      <c r="AD59" s="135">
        <v>46137.0</v>
      </c>
      <c r="AE59" s="135"/>
      <c r="AF59" s="135"/>
      <c r="AG59" s="135"/>
    </row>
    <row r="60" ht="21.75" hidden="1" customHeight="1">
      <c r="A60" s="135">
        <v>56.0</v>
      </c>
      <c r="B60" s="135">
        <v>25045.0</v>
      </c>
      <c r="C60" s="135"/>
      <c r="D60" s="135">
        <v>1.0</v>
      </c>
      <c r="E60" s="135" t="s">
        <v>2887</v>
      </c>
      <c r="F60" s="135" t="s">
        <v>1063</v>
      </c>
      <c r="G60" s="135" t="s">
        <v>34</v>
      </c>
      <c r="H60" s="135" t="s">
        <v>2853</v>
      </c>
      <c r="I60" s="135" t="s">
        <v>40</v>
      </c>
      <c r="J60" s="135">
        <v>1.0</v>
      </c>
      <c r="K60" s="135"/>
      <c r="L60" s="135">
        <v>4820.0</v>
      </c>
      <c r="M60" s="135">
        <v>3580.0</v>
      </c>
      <c r="N60" s="135">
        <v>120.0</v>
      </c>
      <c r="O60" s="135">
        <v>2.323</v>
      </c>
      <c r="P60" s="141">
        <v>1.0</v>
      </c>
      <c r="Q60" s="137">
        <v>5.8075</v>
      </c>
      <c r="R60" s="136">
        <v>46081.0</v>
      </c>
      <c r="S60" s="135" t="s">
        <v>2882</v>
      </c>
      <c r="T60" s="136"/>
      <c r="U60" s="135" t="s">
        <v>2917</v>
      </c>
      <c r="V60" s="135" t="s">
        <v>2918</v>
      </c>
      <c r="W60" s="135" t="s">
        <v>2919</v>
      </c>
      <c r="X60" s="135" t="s">
        <v>2892</v>
      </c>
      <c r="Y60" s="135"/>
      <c r="Z60" s="135" t="s">
        <v>2858</v>
      </c>
      <c r="AA60" s="135"/>
      <c r="AB60" s="135"/>
      <c r="AC60" s="135"/>
      <c r="AD60" s="135">
        <v>46133.0</v>
      </c>
      <c r="AE60" s="135"/>
      <c r="AF60" s="135"/>
      <c r="AG60" s="135"/>
    </row>
    <row r="61" ht="21.75" hidden="1" customHeight="1">
      <c r="A61" s="135">
        <v>57.0</v>
      </c>
      <c r="B61" s="135">
        <v>25045.0</v>
      </c>
      <c r="C61" s="135"/>
      <c r="D61" s="135">
        <v>1.0</v>
      </c>
      <c r="E61" s="135" t="s">
        <v>2887</v>
      </c>
      <c r="F61" s="135" t="s">
        <v>1064</v>
      </c>
      <c r="G61" s="135" t="s">
        <v>34</v>
      </c>
      <c r="H61" s="135" t="s">
        <v>2853</v>
      </c>
      <c r="I61" s="135" t="s">
        <v>40</v>
      </c>
      <c r="J61" s="135">
        <v>1.0</v>
      </c>
      <c r="K61" s="135"/>
      <c r="L61" s="135">
        <v>5035.0</v>
      </c>
      <c r="M61" s="135">
        <v>3830.0</v>
      </c>
      <c r="N61" s="135">
        <v>300.0</v>
      </c>
      <c r="O61" s="135">
        <v>3.903</v>
      </c>
      <c r="P61" s="141">
        <v>2.0</v>
      </c>
      <c r="Q61" s="137">
        <v>9.7575</v>
      </c>
      <c r="R61" s="136">
        <v>46081.0</v>
      </c>
      <c r="S61" s="135" t="s">
        <v>2882</v>
      </c>
      <c r="T61" s="136"/>
      <c r="U61" s="135" t="s">
        <v>2864</v>
      </c>
      <c r="V61" s="135" t="s">
        <v>2920</v>
      </c>
      <c r="W61" s="135" t="s">
        <v>2921</v>
      </c>
      <c r="X61" s="135" t="s">
        <v>2885</v>
      </c>
      <c r="Y61" s="135" t="s">
        <v>2886</v>
      </c>
      <c r="Z61" s="135" t="s">
        <v>2858</v>
      </c>
      <c r="AA61" s="135"/>
      <c r="AB61" s="135"/>
      <c r="AC61" s="135"/>
      <c r="AD61" s="135">
        <v>46116.0</v>
      </c>
      <c r="AE61" s="135"/>
      <c r="AF61" s="135"/>
      <c r="AG61" s="135"/>
    </row>
    <row r="62" ht="21.75" hidden="1" customHeight="1">
      <c r="A62" s="135">
        <v>58.0</v>
      </c>
      <c r="B62" s="135">
        <v>25045.0</v>
      </c>
      <c r="C62" s="135" t="s">
        <v>2817</v>
      </c>
      <c r="D62" s="135">
        <v>1.0</v>
      </c>
      <c r="E62" s="135" t="s">
        <v>2889</v>
      </c>
      <c r="F62" s="135" t="s">
        <v>1090</v>
      </c>
      <c r="G62" s="135" t="s">
        <v>34</v>
      </c>
      <c r="H62" s="135" t="s">
        <v>2853</v>
      </c>
      <c r="I62" s="135" t="s">
        <v>41</v>
      </c>
      <c r="J62" s="135">
        <v>1.0</v>
      </c>
      <c r="K62" s="135"/>
      <c r="L62" s="135">
        <v>3000.0</v>
      </c>
      <c r="M62" s="135">
        <v>1350.0</v>
      </c>
      <c r="N62" s="135">
        <v>120.0</v>
      </c>
      <c r="O62" s="135">
        <v>0.5</v>
      </c>
      <c r="P62" s="141">
        <v>1.0</v>
      </c>
      <c r="Q62" s="137">
        <v>1.25</v>
      </c>
      <c r="R62" s="136">
        <v>46081.0</v>
      </c>
      <c r="S62" s="135" t="s">
        <v>2882</v>
      </c>
      <c r="T62" s="136"/>
      <c r="U62" s="135" t="s">
        <v>2864</v>
      </c>
      <c r="V62" s="135" t="s">
        <v>2922</v>
      </c>
      <c r="W62" s="135" t="s">
        <v>2923</v>
      </c>
      <c r="X62" s="135"/>
      <c r="Y62" s="135"/>
      <c r="Z62" s="135" t="s">
        <v>2858</v>
      </c>
      <c r="AA62" s="135"/>
      <c r="AB62" s="135"/>
      <c r="AC62" s="135"/>
      <c r="AD62" s="135" t="e">
        <v>#N/A</v>
      </c>
      <c r="AE62" s="135"/>
      <c r="AF62" s="135"/>
      <c r="AG62" s="135"/>
    </row>
    <row r="63" ht="21.75" hidden="1" customHeight="1">
      <c r="A63" s="135">
        <v>59.0</v>
      </c>
      <c r="B63" s="135">
        <v>25045.0</v>
      </c>
      <c r="C63" s="135" t="s">
        <v>2817</v>
      </c>
      <c r="D63" s="135">
        <v>1.0</v>
      </c>
      <c r="E63" s="135" t="s">
        <v>2889</v>
      </c>
      <c r="F63" s="135" t="s">
        <v>1091</v>
      </c>
      <c r="G63" s="135" t="s">
        <v>34</v>
      </c>
      <c r="H63" s="135" t="s">
        <v>2853</v>
      </c>
      <c r="I63" s="135" t="s">
        <v>41</v>
      </c>
      <c r="J63" s="135">
        <v>1.0</v>
      </c>
      <c r="K63" s="135"/>
      <c r="L63" s="135">
        <v>3000.0</v>
      </c>
      <c r="M63" s="135">
        <v>1350.0</v>
      </c>
      <c r="N63" s="135">
        <v>120.0</v>
      </c>
      <c r="O63" s="135">
        <v>0.5</v>
      </c>
      <c r="P63" s="141">
        <v>1.0</v>
      </c>
      <c r="Q63" s="137">
        <v>1.25</v>
      </c>
      <c r="R63" s="136">
        <v>46081.0</v>
      </c>
      <c r="S63" s="135" t="s">
        <v>2882</v>
      </c>
      <c r="T63" s="136"/>
      <c r="U63" s="135" t="s">
        <v>2864</v>
      </c>
      <c r="V63" s="135" t="s">
        <v>2922</v>
      </c>
      <c r="W63" s="135" t="s">
        <v>2923</v>
      </c>
      <c r="X63" s="135"/>
      <c r="Y63" s="135"/>
      <c r="Z63" s="135" t="s">
        <v>2858</v>
      </c>
      <c r="AA63" s="135"/>
      <c r="AB63" s="135"/>
      <c r="AC63" s="135"/>
      <c r="AD63" s="135" t="e">
        <v>#N/A</v>
      </c>
      <c r="AE63" s="135"/>
      <c r="AF63" s="135"/>
      <c r="AG63" s="135"/>
    </row>
    <row r="64" ht="21.75" hidden="1" customHeight="1">
      <c r="A64" s="135">
        <v>60.0</v>
      </c>
      <c r="B64" s="135">
        <v>25045.0</v>
      </c>
      <c r="C64" s="135" t="s">
        <v>2817</v>
      </c>
      <c r="D64" s="135">
        <v>1.0</v>
      </c>
      <c r="E64" s="135" t="s">
        <v>2889</v>
      </c>
      <c r="F64" s="135" t="s">
        <v>1092</v>
      </c>
      <c r="G64" s="135" t="s">
        <v>34</v>
      </c>
      <c r="H64" s="135" t="s">
        <v>2853</v>
      </c>
      <c r="I64" s="135" t="s">
        <v>41</v>
      </c>
      <c r="J64" s="135">
        <v>1.0</v>
      </c>
      <c r="K64" s="135"/>
      <c r="L64" s="135">
        <v>4600.0</v>
      </c>
      <c r="M64" s="135">
        <v>1350.0</v>
      </c>
      <c r="N64" s="135">
        <v>120.0</v>
      </c>
      <c r="O64" s="135">
        <v>0.882</v>
      </c>
      <c r="P64" s="141">
        <v>0.0</v>
      </c>
      <c r="Q64" s="137">
        <v>2.205</v>
      </c>
      <c r="R64" s="136">
        <v>46081.0</v>
      </c>
      <c r="S64" s="135" t="s">
        <v>2882</v>
      </c>
      <c r="T64" s="136"/>
      <c r="U64" s="135" t="s">
        <v>2855</v>
      </c>
      <c r="V64" s="135" t="s">
        <v>2856</v>
      </c>
      <c r="W64" s="135" t="s">
        <v>2924</v>
      </c>
      <c r="X64" s="135"/>
      <c r="Y64" s="135"/>
      <c r="Z64" s="135" t="s">
        <v>2858</v>
      </c>
      <c r="AA64" s="135"/>
      <c r="AB64" s="135"/>
      <c r="AC64" s="135"/>
      <c r="AD64" s="135">
        <v>46098.0</v>
      </c>
      <c r="AE64" s="135"/>
      <c r="AF64" s="135"/>
      <c r="AG64" s="135"/>
    </row>
    <row r="65" ht="21.75" hidden="1" customHeight="1">
      <c r="A65" s="135">
        <v>61.0</v>
      </c>
      <c r="B65" s="135">
        <v>25045.0</v>
      </c>
      <c r="C65" s="135"/>
      <c r="D65" s="135">
        <v>1.0</v>
      </c>
      <c r="E65" s="135" t="s">
        <v>2889</v>
      </c>
      <c r="F65" s="135" t="s">
        <v>1093</v>
      </c>
      <c r="G65" s="135" t="s">
        <v>34</v>
      </c>
      <c r="H65" s="135" t="s">
        <v>2853</v>
      </c>
      <c r="I65" s="135" t="s">
        <v>41</v>
      </c>
      <c r="J65" s="135">
        <v>1.0</v>
      </c>
      <c r="K65" s="135"/>
      <c r="L65" s="135">
        <v>5275.0</v>
      </c>
      <c r="M65" s="135">
        <v>3580.0</v>
      </c>
      <c r="N65" s="135">
        <v>120.0</v>
      </c>
      <c r="O65" s="135">
        <v>2.475</v>
      </c>
      <c r="P65" s="141">
        <v>1.0</v>
      </c>
      <c r="Q65" s="137">
        <v>6.1875</v>
      </c>
      <c r="R65" s="136">
        <v>46081.0</v>
      </c>
      <c r="S65" s="135" t="s">
        <v>2882</v>
      </c>
      <c r="T65" s="136"/>
      <c r="U65" s="135" t="s">
        <v>2913</v>
      </c>
      <c r="V65" s="135" t="s">
        <v>2914</v>
      </c>
      <c r="W65" s="135" t="s">
        <v>2925</v>
      </c>
      <c r="X65" s="135" t="s">
        <v>2895</v>
      </c>
      <c r="Y65" s="135"/>
      <c r="Z65" s="135" t="s">
        <v>2858</v>
      </c>
      <c r="AA65" s="135"/>
      <c r="AB65" s="135"/>
      <c r="AC65" s="135"/>
      <c r="AD65" s="135">
        <v>46133.0</v>
      </c>
      <c r="AE65" s="135"/>
      <c r="AF65" s="135"/>
      <c r="AG65" s="135"/>
    </row>
    <row r="66" ht="21.75" hidden="1" customHeight="1">
      <c r="A66" s="135">
        <v>62.0</v>
      </c>
      <c r="B66" s="135">
        <v>25045.0</v>
      </c>
      <c r="C66" s="135"/>
      <c r="D66" s="135">
        <v>1.0</v>
      </c>
      <c r="E66" s="135" t="s">
        <v>2889</v>
      </c>
      <c r="F66" s="135" t="s">
        <v>1094</v>
      </c>
      <c r="G66" s="135" t="s">
        <v>34</v>
      </c>
      <c r="H66" s="135" t="s">
        <v>2853</v>
      </c>
      <c r="I66" s="135" t="s">
        <v>41</v>
      </c>
      <c r="J66" s="135">
        <v>1.0</v>
      </c>
      <c r="K66" s="135"/>
      <c r="L66" s="135">
        <v>5275.0</v>
      </c>
      <c r="M66" s="135">
        <v>3580.0</v>
      </c>
      <c r="N66" s="135">
        <v>120.0</v>
      </c>
      <c r="O66" s="135">
        <v>2.811</v>
      </c>
      <c r="P66" s="141">
        <v>0.0</v>
      </c>
      <c r="Q66" s="137">
        <v>7.0275</v>
      </c>
      <c r="R66" s="136">
        <v>46081.0</v>
      </c>
      <c r="S66" s="135" t="s">
        <v>2882</v>
      </c>
      <c r="T66" s="136"/>
      <c r="U66" s="135" t="s">
        <v>2913</v>
      </c>
      <c r="V66" s="135" t="s">
        <v>2914</v>
      </c>
      <c r="W66" s="135" t="s">
        <v>2926</v>
      </c>
      <c r="X66" s="135"/>
      <c r="Y66" s="135"/>
      <c r="Z66" s="135" t="s">
        <v>2858</v>
      </c>
      <c r="AA66" s="135"/>
      <c r="AB66" s="135"/>
      <c r="AC66" s="135"/>
      <c r="AD66" s="135">
        <v>46134.0</v>
      </c>
      <c r="AE66" s="135"/>
      <c r="AF66" s="135"/>
      <c r="AG66" s="135"/>
    </row>
    <row r="67" ht="21.75" hidden="1" customHeight="1">
      <c r="A67" s="135">
        <v>63.0</v>
      </c>
      <c r="B67" s="135">
        <v>25045.0</v>
      </c>
      <c r="C67" s="135"/>
      <c r="D67" s="135">
        <v>1.0</v>
      </c>
      <c r="E67" s="135" t="s">
        <v>2889</v>
      </c>
      <c r="F67" s="135" t="s">
        <v>1095</v>
      </c>
      <c r="G67" s="135" t="s">
        <v>34</v>
      </c>
      <c r="H67" s="135" t="s">
        <v>2853</v>
      </c>
      <c r="I67" s="135" t="s">
        <v>41</v>
      </c>
      <c r="J67" s="135">
        <v>1.0</v>
      </c>
      <c r="K67" s="135"/>
      <c r="L67" s="135">
        <v>5275.0</v>
      </c>
      <c r="M67" s="135">
        <v>3580.0</v>
      </c>
      <c r="N67" s="135">
        <v>120.0</v>
      </c>
      <c r="O67" s="135">
        <v>2.811</v>
      </c>
      <c r="P67" s="141">
        <v>0.0</v>
      </c>
      <c r="Q67" s="137">
        <v>7.0275</v>
      </c>
      <c r="R67" s="136">
        <v>46081.0</v>
      </c>
      <c r="S67" s="135" t="s">
        <v>2882</v>
      </c>
      <c r="T67" s="136"/>
      <c r="U67" s="135" t="s">
        <v>2913</v>
      </c>
      <c r="V67" s="135" t="s">
        <v>2914</v>
      </c>
      <c r="W67" s="135" t="s">
        <v>2926</v>
      </c>
      <c r="X67" s="135"/>
      <c r="Y67" s="135"/>
      <c r="Z67" s="135" t="s">
        <v>2858</v>
      </c>
      <c r="AA67" s="135"/>
      <c r="AB67" s="135"/>
      <c r="AC67" s="135"/>
      <c r="AD67" s="135">
        <v>46135.0</v>
      </c>
      <c r="AE67" s="135"/>
      <c r="AF67" s="135"/>
      <c r="AG67" s="135"/>
    </row>
    <row r="68" ht="21.75" hidden="1" customHeight="1">
      <c r="A68" s="135">
        <v>64.0</v>
      </c>
      <c r="B68" s="135">
        <v>25045.0</v>
      </c>
      <c r="C68" s="135"/>
      <c r="D68" s="135">
        <v>1.0</v>
      </c>
      <c r="E68" s="135" t="s">
        <v>2889</v>
      </c>
      <c r="F68" s="135" t="s">
        <v>1096</v>
      </c>
      <c r="G68" s="135" t="s">
        <v>34</v>
      </c>
      <c r="H68" s="135" t="s">
        <v>2853</v>
      </c>
      <c r="I68" s="135" t="s">
        <v>41</v>
      </c>
      <c r="J68" s="135">
        <v>1.0</v>
      </c>
      <c r="K68" s="135"/>
      <c r="L68" s="135">
        <v>5290.0</v>
      </c>
      <c r="M68" s="135">
        <v>3580.0</v>
      </c>
      <c r="N68" s="135">
        <v>120.0</v>
      </c>
      <c r="O68" s="135">
        <v>2.816</v>
      </c>
      <c r="P68" s="141">
        <v>1.0</v>
      </c>
      <c r="Q68" s="137">
        <v>7.039999999999999</v>
      </c>
      <c r="R68" s="136">
        <v>46081.0</v>
      </c>
      <c r="S68" s="135" t="s">
        <v>2882</v>
      </c>
      <c r="T68" s="136"/>
      <c r="U68" s="135" t="s">
        <v>2913</v>
      </c>
      <c r="V68" s="135" t="s">
        <v>2914</v>
      </c>
      <c r="W68" s="135" t="s">
        <v>2927</v>
      </c>
      <c r="X68" s="135"/>
      <c r="Y68" s="135"/>
      <c r="Z68" s="135" t="s">
        <v>2858</v>
      </c>
      <c r="AA68" s="135"/>
      <c r="AB68" s="135"/>
      <c r="AC68" s="135"/>
      <c r="AD68" s="135">
        <v>46130.0</v>
      </c>
      <c r="AE68" s="135"/>
      <c r="AF68" s="135"/>
      <c r="AG68" s="135"/>
    </row>
    <row r="69" ht="21.75" hidden="1" customHeight="1">
      <c r="A69" s="135">
        <v>65.0</v>
      </c>
      <c r="B69" s="135">
        <v>25045.0</v>
      </c>
      <c r="C69" s="135"/>
      <c r="D69" s="135">
        <v>1.0</v>
      </c>
      <c r="E69" s="135" t="s">
        <v>2889</v>
      </c>
      <c r="F69" s="135" t="s">
        <v>1097</v>
      </c>
      <c r="G69" s="135" t="s">
        <v>34</v>
      </c>
      <c r="H69" s="135" t="s">
        <v>2853</v>
      </c>
      <c r="I69" s="135" t="s">
        <v>41</v>
      </c>
      <c r="J69" s="135">
        <v>1.0</v>
      </c>
      <c r="K69" s="135"/>
      <c r="L69" s="135">
        <v>3375.0</v>
      </c>
      <c r="M69" s="135">
        <v>3830.0</v>
      </c>
      <c r="N69" s="135">
        <v>300.0</v>
      </c>
      <c r="O69" s="135">
        <v>2.612</v>
      </c>
      <c r="P69" s="141">
        <v>2.0</v>
      </c>
      <c r="Q69" s="137">
        <v>6.53</v>
      </c>
      <c r="R69" s="136">
        <v>46081.0</v>
      </c>
      <c r="S69" s="135" t="s">
        <v>2882</v>
      </c>
      <c r="T69" s="136"/>
      <c r="U69" s="135" t="s">
        <v>2864</v>
      </c>
      <c r="V69" s="135" t="s">
        <v>2899</v>
      </c>
      <c r="W69" s="135" t="s">
        <v>2928</v>
      </c>
      <c r="X69" s="135" t="s">
        <v>2885</v>
      </c>
      <c r="Y69" s="135" t="s">
        <v>2886</v>
      </c>
      <c r="Z69" s="135" t="s">
        <v>2858</v>
      </c>
      <c r="AA69" s="135"/>
      <c r="AB69" s="135"/>
      <c r="AC69" s="135"/>
      <c r="AD69" s="135">
        <v>46122.0</v>
      </c>
      <c r="AE69" s="135"/>
      <c r="AF69" s="135"/>
      <c r="AG69" s="135"/>
    </row>
    <row r="70" ht="21.75" hidden="1" customHeight="1">
      <c r="A70" s="135">
        <v>66.0</v>
      </c>
      <c r="B70" s="135">
        <v>25045.0</v>
      </c>
      <c r="C70" s="135" t="s">
        <v>2817</v>
      </c>
      <c r="D70" s="135">
        <v>1.0</v>
      </c>
      <c r="E70" s="135" t="s">
        <v>2893</v>
      </c>
      <c r="F70" s="135" t="s">
        <v>1116</v>
      </c>
      <c r="G70" s="135" t="s">
        <v>34</v>
      </c>
      <c r="H70" s="135" t="s">
        <v>2853</v>
      </c>
      <c r="I70" s="135" t="s">
        <v>42</v>
      </c>
      <c r="J70" s="135">
        <v>1.0</v>
      </c>
      <c r="K70" s="135" t="s">
        <v>2860</v>
      </c>
      <c r="L70" s="135">
        <v>5622.0</v>
      </c>
      <c r="M70" s="135">
        <v>1350.0</v>
      </c>
      <c r="N70" s="135">
        <v>120.0</v>
      </c>
      <c r="O70" s="135">
        <v>0.968</v>
      </c>
      <c r="P70" s="141">
        <v>1.0</v>
      </c>
      <c r="Q70" s="137">
        <v>2.42</v>
      </c>
      <c r="R70" s="136">
        <v>46078.0</v>
      </c>
      <c r="S70" s="135" t="s">
        <v>2854</v>
      </c>
      <c r="T70" s="136"/>
      <c r="U70" s="135" t="s">
        <v>2855</v>
      </c>
      <c r="V70" s="135" t="s">
        <v>2856</v>
      </c>
      <c r="W70" s="135" t="s">
        <v>2929</v>
      </c>
      <c r="X70" s="135"/>
      <c r="Y70" s="135"/>
      <c r="Z70" s="135" t="s">
        <v>2858</v>
      </c>
      <c r="AA70" s="135"/>
      <c r="AB70" s="135"/>
      <c r="AC70" s="135"/>
      <c r="AD70" s="135">
        <v>46090.0</v>
      </c>
      <c r="AE70" s="135"/>
      <c r="AF70" s="135"/>
      <c r="AG70" s="135"/>
    </row>
    <row r="71" ht="21.75" hidden="1" customHeight="1">
      <c r="A71" s="135">
        <v>67.0</v>
      </c>
      <c r="B71" s="135">
        <v>25045.0</v>
      </c>
      <c r="C71" s="135" t="s">
        <v>2817</v>
      </c>
      <c r="D71" s="135">
        <v>1.0</v>
      </c>
      <c r="E71" s="135" t="s">
        <v>2893</v>
      </c>
      <c r="F71" s="135" t="s">
        <v>1117</v>
      </c>
      <c r="G71" s="135" t="s">
        <v>34</v>
      </c>
      <c r="H71" s="135" t="s">
        <v>2853</v>
      </c>
      <c r="I71" s="135" t="s">
        <v>42</v>
      </c>
      <c r="J71" s="135">
        <v>1.0</v>
      </c>
      <c r="K71" s="135" t="s">
        <v>2860</v>
      </c>
      <c r="L71" s="135">
        <v>5622.0</v>
      </c>
      <c r="M71" s="135">
        <v>1350.0</v>
      </c>
      <c r="N71" s="135">
        <v>120.0</v>
      </c>
      <c r="O71" s="135">
        <v>0.968</v>
      </c>
      <c r="P71" s="141">
        <v>1.0</v>
      </c>
      <c r="Q71" s="137">
        <v>2.42</v>
      </c>
      <c r="R71" s="136">
        <v>46078.0</v>
      </c>
      <c r="S71" s="135" t="s">
        <v>2854</v>
      </c>
      <c r="T71" s="136"/>
      <c r="U71" s="135" t="s">
        <v>2855</v>
      </c>
      <c r="V71" s="135" t="s">
        <v>2856</v>
      </c>
      <c r="W71" s="135" t="s">
        <v>2929</v>
      </c>
      <c r="X71" s="135"/>
      <c r="Y71" s="135"/>
      <c r="Z71" s="135" t="s">
        <v>2858</v>
      </c>
      <c r="AA71" s="135"/>
      <c r="AB71" s="135"/>
      <c r="AC71" s="135"/>
      <c r="AD71" s="135">
        <v>46092.0</v>
      </c>
      <c r="AE71" s="135"/>
      <c r="AF71" s="135"/>
      <c r="AG71" s="135"/>
    </row>
    <row r="72" ht="21.75" hidden="1" customHeight="1">
      <c r="A72" s="135">
        <v>68.0</v>
      </c>
      <c r="B72" s="135">
        <v>25045.0</v>
      </c>
      <c r="C72" s="135" t="s">
        <v>2817</v>
      </c>
      <c r="D72" s="135">
        <v>1.0</v>
      </c>
      <c r="E72" s="135" t="s">
        <v>2902</v>
      </c>
      <c r="F72" s="135" t="s">
        <v>1130</v>
      </c>
      <c r="G72" s="135" t="s">
        <v>34</v>
      </c>
      <c r="H72" s="135" t="s">
        <v>2853</v>
      </c>
      <c r="I72" s="135" t="s">
        <v>43</v>
      </c>
      <c r="J72" s="135">
        <v>1.0</v>
      </c>
      <c r="K72" s="135" t="s">
        <v>2860</v>
      </c>
      <c r="L72" s="135">
        <v>5623.0</v>
      </c>
      <c r="M72" s="135">
        <v>1350.0</v>
      </c>
      <c r="N72" s="135">
        <v>120.0</v>
      </c>
      <c r="O72" s="135">
        <v>0.968</v>
      </c>
      <c r="P72" s="141">
        <v>1.0</v>
      </c>
      <c r="Q72" s="137">
        <v>2.42</v>
      </c>
      <c r="R72" s="136">
        <v>46078.0</v>
      </c>
      <c r="S72" s="135" t="s">
        <v>2854</v>
      </c>
      <c r="T72" s="136"/>
      <c r="U72" s="135" t="s">
        <v>2855</v>
      </c>
      <c r="V72" s="135" t="s">
        <v>2856</v>
      </c>
      <c r="W72" s="135" t="s">
        <v>2930</v>
      </c>
      <c r="X72" s="135"/>
      <c r="Y72" s="135"/>
      <c r="Z72" s="135" t="s">
        <v>2858</v>
      </c>
      <c r="AA72" s="135"/>
      <c r="AB72" s="135"/>
      <c r="AC72" s="135"/>
      <c r="AD72" s="135">
        <v>46093.0</v>
      </c>
      <c r="AE72" s="135"/>
      <c r="AF72" s="135"/>
      <c r="AG72" s="135"/>
    </row>
    <row r="73" ht="21.75" hidden="1" customHeight="1">
      <c r="A73" s="135">
        <v>69.0</v>
      </c>
      <c r="B73" s="135">
        <v>25045.0</v>
      </c>
      <c r="C73" s="135" t="s">
        <v>2817</v>
      </c>
      <c r="D73" s="135">
        <v>1.0</v>
      </c>
      <c r="E73" s="135" t="s">
        <v>2902</v>
      </c>
      <c r="F73" s="135" t="s">
        <v>1131</v>
      </c>
      <c r="G73" s="135" t="s">
        <v>34</v>
      </c>
      <c r="H73" s="135" t="s">
        <v>2853</v>
      </c>
      <c r="I73" s="135" t="s">
        <v>43</v>
      </c>
      <c r="J73" s="135">
        <v>1.0</v>
      </c>
      <c r="K73" s="135" t="s">
        <v>2860</v>
      </c>
      <c r="L73" s="135">
        <v>5623.0</v>
      </c>
      <c r="M73" s="135">
        <v>1350.0</v>
      </c>
      <c r="N73" s="135">
        <v>120.0</v>
      </c>
      <c r="O73" s="135">
        <v>0.968</v>
      </c>
      <c r="P73" s="141">
        <v>1.0</v>
      </c>
      <c r="Q73" s="137">
        <v>2.42</v>
      </c>
      <c r="R73" s="136">
        <v>46078.0</v>
      </c>
      <c r="S73" s="135" t="s">
        <v>2854</v>
      </c>
      <c r="T73" s="136"/>
      <c r="U73" s="135" t="s">
        <v>2855</v>
      </c>
      <c r="V73" s="135" t="s">
        <v>2856</v>
      </c>
      <c r="W73" s="135" t="s">
        <v>2930</v>
      </c>
      <c r="X73" s="135"/>
      <c r="Y73" s="135"/>
      <c r="Z73" s="135" t="s">
        <v>2858</v>
      </c>
      <c r="AA73" s="135"/>
      <c r="AB73" s="135"/>
      <c r="AC73" s="135"/>
      <c r="AD73" s="135">
        <v>46095.0</v>
      </c>
      <c r="AE73" s="135"/>
      <c r="AF73" s="135"/>
      <c r="AG73" s="135"/>
    </row>
    <row r="74" ht="21.75" hidden="1" customHeight="1">
      <c r="A74" s="135">
        <v>70.0</v>
      </c>
      <c r="B74" s="135">
        <v>25045.0</v>
      </c>
      <c r="C74" s="135" t="s">
        <v>2817</v>
      </c>
      <c r="D74" s="135">
        <v>1.0</v>
      </c>
      <c r="E74" s="135" t="s">
        <v>2902</v>
      </c>
      <c r="F74" s="135" t="s">
        <v>1132</v>
      </c>
      <c r="G74" s="135" t="s">
        <v>34</v>
      </c>
      <c r="H74" s="135" t="s">
        <v>2853</v>
      </c>
      <c r="I74" s="135" t="s">
        <v>43</v>
      </c>
      <c r="J74" s="135">
        <v>1.0</v>
      </c>
      <c r="K74" s="135"/>
      <c r="L74" s="135">
        <v>5623.0</v>
      </c>
      <c r="M74" s="135">
        <v>1350.0</v>
      </c>
      <c r="N74" s="135">
        <v>120.0</v>
      </c>
      <c r="O74" s="135">
        <v>0.968</v>
      </c>
      <c r="P74" s="141">
        <v>1.0</v>
      </c>
      <c r="Q74" s="137">
        <v>2.42</v>
      </c>
      <c r="R74" s="136">
        <v>46078.0</v>
      </c>
      <c r="S74" s="135" t="s">
        <v>2854</v>
      </c>
      <c r="T74" s="136"/>
      <c r="U74" s="135" t="s">
        <v>2855</v>
      </c>
      <c r="V74" s="135" t="s">
        <v>2856</v>
      </c>
      <c r="W74" s="135" t="s">
        <v>2931</v>
      </c>
      <c r="X74" s="135"/>
      <c r="Y74" s="135"/>
      <c r="Z74" s="135" t="s">
        <v>2858</v>
      </c>
      <c r="AA74" s="135"/>
      <c r="AB74" s="135"/>
      <c r="AC74" s="135"/>
      <c r="AD74" s="135">
        <v>46097.0</v>
      </c>
      <c r="AE74" s="135"/>
      <c r="AF74" s="135"/>
      <c r="AG74" s="135"/>
    </row>
    <row r="75" ht="21.75" hidden="1" customHeight="1">
      <c r="A75" s="135">
        <v>71.0</v>
      </c>
      <c r="B75" s="135">
        <v>25045.0</v>
      </c>
      <c r="C75" s="135"/>
      <c r="D75" s="135">
        <v>1.0</v>
      </c>
      <c r="E75" s="135" t="s">
        <v>2902</v>
      </c>
      <c r="F75" s="135" t="s">
        <v>1133</v>
      </c>
      <c r="G75" s="135" t="s">
        <v>34</v>
      </c>
      <c r="H75" s="135" t="s">
        <v>2853</v>
      </c>
      <c r="I75" s="135" t="s">
        <v>43</v>
      </c>
      <c r="J75" s="135">
        <v>1.0</v>
      </c>
      <c r="K75" s="135"/>
      <c r="L75" s="135">
        <v>3420.0</v>
      </c>
      <c r="M75" s="135">
        <v>2900.0</v>
      </c>
      <c r="N75" s="135">
        <v>120.0</v>
      </c>
      <c r="O75" s="135">
        <v>1.181</v>
      </c>
      <c r="P75" s="141">
        <v>1.0</v>
      </c>
      <c r="Q75" s="137">
        <v>2.9525</v>
      </c>
      <c r="R75" s="136">
        <v>46078.0</v>
      </c>
      <c r="S75" s="135" t="s">
        <v>2854</v>
      </c>
      <c r="T75" s="136"/>
      <c r="U75" s="135" t="s">
        <v>2864</v>
      </c>
      <c r="V75" s="135" t="s">
        <v>2878</v>
      </c>
      <c r="W75" s="135" t="s">
        <v>2932</v>
      </c>
      <c r="X75" s="135" t="s">
        <v>2933</v>
      </c>
      <c r="Y75" s="135"/>
      <c r="Z75" s="135" t="s">
        <v>2858</v>
      </c>
      <c r="AA75" s="135"/>
      <c r="AB75" s="135"/>
      <c r="AC75" s="135"/>
      <c r="AD75" s="135">
        <v>46123.0</v>
      </c>
      <c r="AE75" s="135"/>
      <c r="AF75" s="135"/>
      <c r="AG75" s="135"/>
    </row>
    <row r="76" ht="21.75" hidden="1" customHeight="1">
      <c r="A76" s="135">
        <v>72.0</v>
      </c>
      <c r="B76" s="135">
        <v>25045.0</v>
      </c>
      <c r="C76" s="135"/>
      <c r="D76" s="135">
        <v>1.0</v>
      </c>
      <c r="E76" s="135" t="s">
        <v>2902</v>
      </c>
      <c r="F76" s="135" t="s">
        <v>1134</v>
      </c>
      <c r="G76" s="135" t="s">
        <v>34</v>
      </c>
      <c r="H76" s="135" t="s">
        <v>2853</v>
      </c>
      <c r="I76" s="135" t="s">
        <v>43</v>
      </c>
      <c r="J76" s="135">
        <v>1.0</v>
      </c>
      <c r="K76" s="135"/>
      <c r="L76" s="135">
        <v>3090.0</v>
      </c>
      <c r="M76" s="135">
        <v>2900.0</v>
      </c>
      <c r="N76" s="135">
        <v>120.0</v>
      </c>
      <c r="O76" s="135">
        <v>1.062</v>
      </c>
      <c r="P76" s="141">
        <v>1.0</v>
      </c>
      <c r="Q76" s="137">
        <v>2.6550000000000002</v>
      </c>
      <c r="R76" s="136">
        <v>46078.0</v>
      </c>
      <c r="S76" s="135" t="s">
        <v>2854</v>
      </c>
      <c r="T76" s="136"/>
      <c r="U76" s="135" t="s">
        <v>2864</v>
      </c>
      <c r="V76" s="135" t="s">
        <v>2878</v>
      </c>
      <c r="W76" s="135" t="s">
        <v>2934</v>
      </c>
      <c r="X76" s="135" t="s">
        <v>2935</v>
      </c>
      <c r="Y76" s="135"/>
      <c r="Z76" s="135" t="s">
        <v>2858</v>
      </c>
      <c r="AA76" s="135"/>
      <c r="AB76" s="135"/>
      <c r="AC76" s="135"/>
      <c r="AD76" s="135">
        <v>46125.0</v>
      </c>
      <c r="AE76" s="135"/>
      <c r="AF76" s="135"/>
      <c r="AG76" s="135"/>
    </row>
    <row r="77" ht="21.75" hidden="1" customHeight="1">
      <c r="A77" s="135">
        <v>73.0</v>
      </c>
      <c r="B77" s="135">
        <v>25045.0</v>
      </c>
      <c r="C77" s="135"/>
      <c r="D77" s="135">
        <v>1.0</v>
      </c>
      <c r="E77" s="135" t="s">
        <v>2902</v>
      </c>
      <c r="F77" s="135" t="s">
        <v>1135</v>
      </c>
      <c r="G77" s="135" t="s">
        <v>34</v>
      </c>
      <c r="H77" s="135" t="s">
        <v>2853</v>
      </c>
      <c r="I77" s="135" t="s">
        <v>43</v>
      </c>
      <c r="J77" s="135">
        <v>1.0</v>
      </c>
      <c r="K77" s="135"/>
      <c r="L77" s="135">
        <v>4460.0</v>
      </c>
      <c r="M77" s="135">
        <v>2900.0</v>
      </c>
      <c r="N77" s="135">
        <v>120.0</v>
      </c>
      <c r="O77" s="135">
        <v>1.262</v>
      </c>
      <c r="P77" s="141">
        <v>1.0</v>
      </c>
      <c r="Q77" s="137">
        <v>3.1550000000000002</v>
      </c>
      <c r="R77" s="136">
        <v>46078.0</v>
      </c>
      <c r="S77" s="135" t="s">
        <v>2854</v>
      </c>
      <c r="T77" s="136"/>
      <c r="U77" s="135" t="s">
        <v>2864</v>
      </c>
      <c r="V77" s="135" t="s">
        <v>2865</v>
      </c>
      <c r="W77" s="135" t="s">
        <v>2936</v>
      </c>
      <c r="X77" s="135" t="s">
        <v>2895</v>
      </c>
      <c r="Y77" s="135"/>
      <c r="Z77" s="135" t="s">
        <v>2858</v>
      </c>
      <c r="AA77" s="135"/>
      <c r="AB77" s="135"/>
      <c r="AC77" s="135"/>
      <c r="AD77" s="135">
        <v>46086.0</v>
      </c>
      <c r="AE77" s="135"/>
      <c r="AF77" s="135"/>
      <c r="AG77" s="135"/>
    </row>
    <row r="78" ht="21.75" hidden="1" customHeight="1">
      <c r="A78" s="135">
        <v>74.0</v>
      </c>
      <c r="B78" s="135">
        <v>25045.0</v>
      </c>
      <c r="C78" s="135"/>
      <c r="D78" s="135">
        <v>1.0</v>
      </c>
      <c r="E78" s="135" t="s">
        <v>2902</v>
      </c>
      <c r="F78" s="135" t="s">
        <v>1136</v>
      </c>
      <c r="G78" s="135" t="s">
        <v>34</v>
      </c>
      <c r="H78" s="135" t="s">
        <v>2853</v>
      </c>
      <c r="I78" s="135" t="s">
        <v>43</v>
      </c>
      <c r="J78" s="135">
        <v>1.0</v>
      </c>
      <c r="K78" s="135"/>
      <c r="L78" s="135">
        <v>3590.0</v>
      </c>
      <c r="M78" s="135">
        <v>2900.0</v>
      </c>
      <c r="N78" s="135">
        <v>120.0</v>
      </c>
      <c r="O78" s="135">
        <v>1.29</v>
      </c>
      <c r="P78" s="141">
        <v>1.0</v>
      </c>
      <c r="Q78" s="137">
        <v>3.225</v>
      </c>
      <c r="R78" s="136">
        <v>46078.0</v>
      </c>
      <c r="S78" s="135" t="s">
        <v>2854</v>
      </c>
      <c r="T78" s="136"/>
      <c r="U78" s="135" t="s">
        <v>2864</v>
      </c>
      <c r="V78" s="135" t="s">
        <v>2865</v>
      </c>
      <c r="W78" s="135" t="s">
        <v>2937</v>
      </c>
      <c r="X78" s="135" t="s">
        <v>2935</v>
      </c>
      <c r="Y78" s="135"/>
      <c r="Z78" s="135" t="s">
        <v>2858</v>
      </c>
      <c r="AA78" s="135"/>
      <c r="AB78" s="135"/>
      <c r="AC78" s="135"/>
      <c r="AD78" s="135">
        <v>46091.0</v>
      </c>
      <c r="AE78" s="135"/>
      <c r="AF78" s="135"/>
      <c r="AG78" s="135"/>
    </row>
    <row r="79" ht="21.75" hidden="1" customHeight="1">
      <c r="A79" s="135">
        <v>75.0</v>
      </c>
      <c r="B79" s="135">
        <v>25045.0</v>
      </c>
      <c r="C79" s="135"/>
      <c r="D79" s="135">
        <v>1.0</v>
      </c>
      <c r="E79" s="135" t="s">
        <v>2902</v>
      </c>
      <c r="F79" s="135" t="s">
        <v>1137</v>
      </c>
      <c r="G79" s="135" t="s">
        <v>34</v>
      </c>
      <c r="H79" s="135" t="s">
        <v>2853</v>
      </c>
      <c r="I79" s="135" t="s">
        <v>43</v>
      </c>
      <c r="J79" s="135">
        <v>1.0</v>
      </c>
      <c r="K79" s="135"/>
      <c r="L79" s="135">
        <v>4155.0</v>
      </c>
      <c r="M79" s="135">
        <v>2900.0</v>
      </c>
      <c r="N79" s="135">
        <v>120.0</v>
      </c>
      <c r="O79" s="135">
        <v>1.558</v>
      </c>
      <c r="P79" s="141">
        <v>1.0</v>
      </c>
      <c r="Q79" s="137">
        <v>3.895</v>
      </c>
      <c r="R79" s="136">
        <v>46078.0</v>
      </c>
      <c r="S79" s="135" t="s">
        <v>2854</v>
      </c>
      <c r="T79" s="136"/>
      <c r="U79" s="135" t="s">
        <v>2864</v>
      </c>
      <c r="V79" s="135" t="s">
        <v>2865</v>
      </c>
      <c r="W79" s="135" t="s">
        <v>2938</v>
      </c>
      <c r="X79" s="135"/>
      <c r="Y79" s="135"/>
      <c r="Z79" s="135" t="s">
        <v>2858</v>
      </c>
      <c r="AA79" s="135"/>
      <c r="AB79" s="135"/>
      <c r="AC79" s="135"/>
      <c r="AD79" s="135">
        <v>46090.0</v>
      </c>
      <c r="AE79" s="135"/>
      <c r="AF79" s="135"/>
      <c r="AG79" s="135"/>
    </row>
    <row r="80" ht="21.75" hidden="1" customHeight="1">
      <c r="A80" s="135">
        <v>76.0</v>
      </c>
      <c r="B80" s="135">
        <v>25045.0</v>
      </c>
      <c r="C80" s="135"/>
      <c r="D80" s="135">
        <v>1.0</v>
      </c>
      <c r="E80" s="135" t="s">
        <v>2902</v>
      </c>
      <c r="F80" s="135" t="s">
        <v>1138</v>
      </c>
      <c r="G80" s="135" t="s">
        <v>34</v>
      </c>
      <c r="H80" s="135" t="s">
        <v>2853</v>
      </c>
      <c r="I80" s="135" t="s">
        <v>43</v>
      </c>
      <c r="J80" s="135">
        <v>1.0</v>
      </c>
      <c r="K80" s="135"/>
      <c r="L80" s="135">
        <v>4920.0</v>
      </c>
      <c r="M80" s="135">
        <v>2900.0</v>
      </c>
      <c r="N80" s="135">
        <v>120.0</v>
      </c>
      <c r="O80" s="135">
        <v>1.782</v>
      </c>
      <c r="P80" s="141">
        <v>1.0</v>
      </c>
      <c r="Q80" s="137">
        <v>4.455</v>
      </c>
      <c r="R80" s="136">
        <v>46078.0</v>
      </c>
      <c r="S80" s="135" t="s">
        <v>2854</v>
      </c>
      <c r="T80" s="136"/>
      <c r="U80" s="135" t="s">
        <v>2855</v>
      </c>
      <c r="V80" s="135" t="s">
        <v>2868</v>
      </c>
      <c r="W80" s="135" t="s">
        <v>2939</v>
      </c>
      <c r="X80" s="135" t="s">
        <v>2933</v>
      </c>
      <c r="Y80" s="135"/>
      <c r="Z80" s="135" t="s">
        <v>2858</v>
      </c>
      <c r="AA80" s="135"/>
      <c r="AB80" s="135"/>
      <c r="AC80" s="135"/>
      <c r="AD80" s="135">
        <v>46098.0</v>
      </c>
      <c r="AE80" s="135"/>
      <c r="AF80" s="135"/>
      <c r="AG80" s="135"/>
    </row>
    <row r="81" ht="21.75" hidden="1" customHeight="1">
      <c r="A81" s="135">
        <v>77.0</v>
      </c>
      <c r="B81" s="135">
        <v>25045.0</v>
      </c>
      <c r="C81" s="135"/>
      <c r="D81" s="135">
        <v>1.0</v>
      </c>
      <c r="E81" s="135" t="s">
        <v>2902</v>
      </c>
      <c r="F81" s="135" t="s">
        <v>1139</v>
      </c>
      <c r="G81" s="135" t="s">
        <v>34</v>
      </c>
      <c r="H81" s="135" t="s">
        <v>2853</v>
      </c>
      <c r="I81" s="135" t="s">
        <v>43</v>
      </c>
      <c r="J81" s="135">
        <v>1.0</v>
      </c>
      <c r="K81" s="135"/>
      <c r="L81" s="135">
        <v>3083.0</v>
      </c>
      <c r="M81" s="135">
        <v>1250.0</v>
      </c>
      <c r="N81" s="135">
        <v>120.0</v>
      </c>
      <c r="O81" s="135">
        <v>0.533</v>
      </c>
      <c r="P81" s="141">
        <v>1.0</v>
      </c>
      <c r="Q81" s="137">
        <v>1.3325</v>
      </c>
      <c r="R81" s="136">
        <v>46057.0</v>
      </c>
      <c r="S81" s="135" t="s">
        <v>2940</v>
      </c>
      <c r="T81" s="136">
        <v>46125.0</v>
      </c>
      <c r="U81" s="135" t="s">
        <v>2864</v>
      </c>
      <c r="V81" s="135" t="s">
        <v>2856</v>
      </c>
      <c r="W81" s="135" t="s">
        <v>2941</v>
      </c>
      <c r="X81" s="135"/>
      <c r="Y81" s="135"/>
      <c r="Z81" s="135" t="s">
        <v>2858</v>
      </c>
      <c r="AA81" s="135" t="s">
        <v>2942</v>
      </c>
      <c r="AB81" s="135"/>
      <c r="AC81" s="135"/>
      <c r="AD81" s="135">
        <v>46127.0</v>
      </c>
      <c r="AE81" s="135"/>
      <c r="AF81" s="135"/>
      <c r="AG81" s="135"/>
    </row>
    <row r="82" ht="21.75" hidden="1" customHeight="1">
      <c r="A82" s="135">
        <v>78.0</v>
      </c>
      <c r="B82" s="135">
        <v>25045.0</v>
      </c>
      <c r="C82" s="135"/>
      <c r="D82" s="135">
        <v>1.0</v>
      </c>
      <c r="E82" s="135" t="s">
        <v>2902</v>
      </c>
      <c r="F82" s="135" t="s">
        <v>1140</v>
      </c>
      <c r="G82" s="135" t="s">
        <v>34</v>
      </c>
      <c r="H82" s="135" t="s">
        <v>2853</v>
      </c>
      <c r="I82" s="135" t="s">
        <v>43</v>
      </c>
      <c r="J82" s="135">
        <v>1.0</v>
      </c>
      <c r="K82" s="135"/>
      <c r="L82" s="135">
        <v>3068.0</v>
      </c>
      <c r="M82" s="135">
        <v>1250.0</v>
      </c>
      <c r="N82" s="135">
        <v>120.0</v>
      </c>
      <c r="O82" s="135">
        <v>0.53</v>
      </c>
      <c r="P82" s="141">
        <v>1.0</v>
      </c>
      <c r="Q82" s="137">
        <v>1.3250000000000002</v>
      </c>
      <c r="R82" s="136">
        <v>46078.0</v>
      </c>
      <c r="S82" s="135" t="s">
        <v>2854</v>
      </c>
      <c r="T82" s="136"/>
      <c r="U82" s="135" t="s">
        <v>2864</v>
      </c>
      <c r="V82" s="135" t="s">
        <v>2856</v>
      </c>
      <c r="W82" s="135" t="s">
        <v>2943</v>
      </c>
      <c r="X82" s="135"/>
      <c r="Y82" s="135"/>
      <c r="Z82" s="135" t="s">
        <v>2858</v>
      </c>
      <c r="AA82" s="135"/>
      <c r="AB82" s="135"/>
      <c r="AC82" s="135"/>
      <c r="AD82" s="135">
        <v>46094.0</v>
      </c>
      <c r="AE82" s="135"/>
      <c r="AF82" s="135"/>
      <c r="AG82" s="135"/>
    </row>
    <row r="83" ht="21.75" hidden="1" customHeight="1">
      <c r="A83" s="135">
        <v>79.0</v>
      </c>
      <c r="B83" s="135">
        <v>25045.0</v>
      </c>
      <c r="C83" s="135" t="s">
        <v>2817</v>
      </c>
      <c r="D83" s="135">
        <v>1.0</v>
      </c>
      <c r="E83" s="135" t="s">
        <v>2852</v>
      </c>
      <c r="F83" s="135" t="s">
        <v>993</v>
      </c>
      <c r="G83" s="135" t="s">
        <v>34</v>
      </c>
      <c r="H83" s="135" t="s">
        <v>2853</v>
      </c>
      <c r="I83" s="135" t="s">
        <v>35</v>
      </c>
      <c r="J83" s="135">
        <v>1.0</v>
      </c>
      <c r="K83" s="135"/>
      <c r="L83" s="135">
        <v>2200.0</v>
      </c>
      <c r="M83" s="135">
        <v>3260.0</v>
      </c>
      <c r="N83" s="135">
        <v>120.0</v>
      </c>
      <c r="O83" s="135">
        <v>0.811</v>
      </c>
      <c r="P83" s="141">
        <v>1.0</v>
      </c>
      <c r="Q83" s="137">
        <v>2.0275000000000003</v>
      </c>
      <c r="R83" s="136">
        <v>46078.0</v>
      </c>
      <c r="S83" s="135" t="s">
        <v>2854</v>
      </c>
      <c r="T83" s="136"/>
      <c r="U83" s="135" t="s">
        <v>2864</v>
      </c>
      <c r="V83" s="135" t="s">
        <v>2878</v>
      </c>
      <c r="W83" s="135" t="s">
        <v>2944</v>
      </c>
      <c r="X83" s="135" t="s">
        <v>2945</v>
      </c>
      <c r="Y83" s="135"/>
      <c r="Z83" s="135" t="s">
        <v>2858</v>
      </c>
      <c r="AA83" s="135"/>
      <c r="AB83" s="135"/>
      <c r="AC83" s="135"/>
      <c r="AD83" s="135">
        <v>46109.0</v>
      </c>
      <c r="AE83" s="135"/>
      <c r="AF83" s="135"/>
      <c r="AG83" s="135"/>
    </row>
    <row r="84" ht="21.75" hidden="1" customHeight="1">
      <c r="A84" s="135">
        <v>80.0</v>
      </c>
      <c r="B84" s="135">
        <v>25045.0</v>
      </c>
      <c r="C84" s="135" t="s">
        <v>2817</v>
      </c>
      <c r="D84" s="135">
        <v>1.0</v>
      </c>
      <c r="E84" s="135" t="s">
        <v>2875</v>
      </c>
      <c r="F84" s="135" t="s">
        <v>1018</v>
      </c>
      <c r="G84" s="135" t="s">
        <v>34</v>
      </c>
      <c r="H84" s="135" t="s">
        <v>2853</v>
      </c>
      <c r="I84" s="135" t="s">
        <v>37</v>
      </c>
      <c r="J84" s="135">
        <v>1.0</v>
      </c>
      <c r="K84" s="135"/>
      <c r="L84" s="135">
        <v>2600.0</v>
      </c>
      <c r="M84" s="135">
        <v>2935.0</v>
      </c>
      <c r="N84" s="135">
        <v>120.0</v>
      </c>
      <c r="O84" s="135">
        <v>0.94</v>
      </c>
      <c r="P84" s="141">
        <v>1.0</v>
      </c>
      <c r="Q84" s="137">
        <v>2.3499999999999996</v>
      </c>
      <c r="R84" s="136">
        <v>46078.0</v>
      </c>
      <c r="S84" s="135" t="s">
        <v>2854</v>
      </c>
      <c r="T84" s="136"/>
      <c r="U84" s="135" t="s">
        <v>2864</v>
      </c>
      <c r="V84" s="135" t="s">
        <v>2878</v>
      </c>
      <c r="W84" s="135" t="s">
        <v>2946</v>
      </c>
      <c r="X84" s="135" t="s">
        <v>2947</v>
      </c>
      <c r="Y84" s="135"/>
      <c r="Z84" s="135" t="s">
        <v>2858</v>
      </c>
      <c r="AA84" s="135"/>
      <c r="AB84" s="135"/>
      <c r="AC84" s="135"/>
      <c r="AD84" s="135">
        <v>46098.0</v>
      </c>
      <c r="AE84" s="135"/>
      <c r="AF84" s="135"/>
      <c r="AG84" s="135"/>
    </row>
    <row r="85" ht="21.75" hidden="1" customHeight="1">
      <c r="A85" s="135">
        <v>81.0</v>
      </c>
      <c r="B85" s="135">
        <v>25045.0</v>
      </c>
      <c r="C85" s="135"/>
      <c r="D85" s="135">
        <v>1.0</v>
      </c>
      <c r="E85" s="135" t="s">
        <v>2875</v>
      </c>
      <c r="F85" s="135" t="s">
        <v>1019</v>
      </c>
      <c r="G85" s="135" t="s">
        <v>34</v>
      </c>
      <c r="H85" s="135" t="s">
        <v>2853</v>
      </c>
      <c r="I85" s="135" t="s">
        <v>37</v>
      </c>
      <c r="J85" s="135">
        <v>1.0</v>
      </c>
      <c r="K85" s="135"/>
      <c r="L85" s="135">
        <v>2140.0</v>
      </c>
      <c r="M85" s="135">
        <v>950.0</v>
      </c>
      <c r="N85" s="135">
        <v>120.0</v>
      </c>
      <c r="O85" s="135">
        <v>0.354</v>
      </c>
      <c r="P85" s="141">
        <v>1.0</v>
      </c>
      <c r="Q85" s="137">
        <v>0.885</v>
      </c>
      <c r="R85" s="136">
        <v>46078.0</v>
      </c>
      <c r="S85" s="135" t="s">
        <v>2854</v>
      </c>
      <c r="T85" s="136"/>
      <c r="U85" s="135" t="s">
        <v>2864</v>
      </c>
      <c r="V85" s="135" t="s">
        <v>2948</v>
      </c>
      <c r="W85" s="135" t="s">
        <v>2949</v>
      </c>
      <c r="X85" s="135"/>
      <c r="Y85" s="135"/>
      <c r="Z85" s="135" t="s">
        <v>2858</v>
      </c>
      <c r="AA85" s="135"/>
      <c r="AB85" s="135"/>
      <c r="AC85" s="135"/>
      <c r="AD85" s="135">
        <v>46137.0</v>
      </c>
      <c r="AE85" s="135"/>
      <c r="AF85" s="135"/>
      <c r="AG85" s="135"/>
    </row>
    <row r="86" ht="21.75" hidden="1" customHeight="1">
      <c r="A86" s="135">
        <v>82.0</v>
      </c>
      <c r="B86" s="135">
        <v>25045.0</v>
      </c>
      <c r="C86" s="135"/>
      <c r="D86" s="135">
        <v>1.0</v>
      </c>
      <c r="E86" s="135" t="s">
        <v>2875</v>
      </c>
      <c r="F86" s="135" t="s">
        <v>1020</v>
      </c>
      <c r="G86" s="135" t="s">
        <v>34</v>
      </c>
      <c r="H86" s="135" t="s">
        <v>2853</v>
      </c>
      <c r="I86" s="135" t="s">
        <v>37</v>
      </c>
      <c r="J86" s="135">
        <v>1.0</v>
      </c>
      <c r="K86" s="135"/>
      <c r="L86" s="135">
        <v>2730.0</v>
      </c>
      <c r="M86" s="135">
        <v>1000.0</v>
      </c>
      <c r="N86" s="135">
        <v>120.0</v>
      </c>
      <c r="O86" s="135">
        <v>0.456</v>
      </c>
      <c r="P86" s="141">
        <v>2.0</v>
      </c>
      <c r="Q86" s="137">
        <v>1.1400000000000001</v>
      </c>
      <c r="R86" s="136">
        <v>46078.0</v>
      </c>
      <c r="S86" s="135" t="s">
        <v>2854</v>
      </c>
      <c r="T86" s="136"/>
      <c r="U86" s="135" t="s">
        <v>2950</v>
      </c>
      <c r="V86" s="135" t="s">
        <v>2951</v>
      </c>
      <c r="W86" s="135" t="s">
        <v>2952</v>
      </c>
      <c r="X86" s="135"/>
      <c r="Y86" s="135"/>
      <c r="Z86" s="135" t="s">
        <v>2858</v>
      </c>
      <c r="AA86" s="135"/>
      <c r="AB86" s="135"/>
      <c r="AC86" s="135"/>
      <c r="AD86" s="135">
        <v>46091.0</v>
      </c>
      <c r="AE86" s="135"/>
      <c r="AF86" s="135"/>
      <c r="AG86" s="135"/>
    </row>
    <row r="87" ht="21.75" hidden="1" customHeight="1">
      <c r="A87" s="135">
        <v>83.0</v>
      </c>
      <c r="B87" s="135">
        <v>25045.0</v>
      </c>
      <c r="C87" s="135"/>
      <c r="D87" s="135">
        <v>1.0</v>
      </c>
      <c r="E87" s="135" t="s">
        <v>2880</v>
      </c>
      <c r="F87" s="135" t="s">
        <v>1033</v>
      </c>
      <c r="G87" s="135" t="s">
        <v>34</v>
      </c>
      <c r="H87" s="135" t="s">
        <v>2853</v>
      </c>
      <c r="I87" s="135" t="s">
        <v>39</v>
      </c>
      <c r="J87" s="135">
        <v>1.0</v>
      </c>
      <c r="K87" s="135"/>
      <c r="L87" s="135">
        <v>2140.0</v>
      </c>
      <c r="M87" s="135">
        <v>950.0</v>
      </c>
      <c r="N87" s="135">
        <v>120.0</v>
      </c>
      <c r="O87" s="135">
        <v>0.359</v>
      </c>
      <c r="P87" s="141">
        <v>1.0</v>
      </c>
      <c r="Q87" s="137">
        <v>0.8975</v>
      </c>
      <c r="R87" s="136">
        <v>46078.0</v>
      </c>
      <c r="S87" s="135" t="s">
        <v>2854</v>
      </c>
      <c r="T87" s="136"/>
      <c r="U87" s="135" t="s">
        <v>2864</v>
      </c>
      <c r="V87" s="135" t="s">
        <v>2953</v>
      </c>
      <c r="W87" s="135" t="s">
        <v>2954</v>
      </c>
      <c r="X87" s="135"/>
      <c r="Y87" s="135"/>
      <c r="Z87" s="135" t="s">
        <v>2858</v>
      </c>
      <c r="AA87" s="135"/>
      <c r="AB87" s="135"/>
      <c r="AC87" s="135"/>
      <c r="AD87" s="135">
        <v>46081.0</v>
      </c>
      <c r="AE87" s="135"/>
      <c r="AF87" s="135"/>
      <c r="AG87" s="135"/>
    </row>
    <row r="88" ht="21.75" hidden="1" customHeight="1">
      <c r="A88" s="135">
        <v>84.0</v>
      </c>
      <c r="B88" s="135">
        <v>25045.0</v>
      </c>
      <c r="C88" s="135"/>
      <c r="D88" s="135">
        <v>1.0</v>
      </c>
      <c r="E88" s="135" t="s">
        <v>2880</v>
      </c>
      <c r="F88" s="135" t="s">
        <v>1034</v>
      </c>
      <c r="G88" s="135" t="s">
        <v>34</v>
      </c>
      <c r="H88" s="135" t="s">
        <v>2853</v>
      </c>
      <c r="I88" s="135" t="s">
        <v>39</v>
      </c>
      <c r="J88" s="135">
        <v>1.0</v>
      </c>
      <c r="K88" s="135"/>
      <c r="L88" s="135">
        <v>1780.0</v>
      </c>
      <c r="M88" s="135">
        <v>1610.0</v>
      </c>
      <c r="N88" s="135">
        <v>120.0</v>
      </c>
      <c r="O88" s="135">
        <v>0.425</v>
      </c>
      <c r="P88" s="141">
        <v>1.0</v>
      </c>
      <c r="Q88" s="137">
        <v>1.0625</v>
      </c>
      <c r="R88" s="136">
        <v>46078.0</v>
      </c>
      <c r="S88" s="135" t="s">
        <v>2854</v>
      </c>
      <c r="T88" s="136"/>
      <c r="U88" s="135" t="s">
        <v>2864</v>
      </c>
      <c r="V88" s="135" t="s">
        <v>2873</v>
      </c>
      <c r="W88" s="135" t="s">
        <v>2901</v>
      </c>
      <c r="X88" s="135"/>
      <c r="Y88" s="135"/>
      <c r="Z88" s="135" t="s">
        <v>2858</v>
      </c>
      <c r="AA88" s="135"/>
      <c r="AB88" s="135"/>
      <c r="AC88" s="135"/>
      <c r="AD88" s="135">
        <v>46107.0</v>
      </c>
      <c r="AE88" s="135"/>
      <c r="AF88" s="135"/>
      <c r="AG88" s="135"/>
    </row>
    <row r="89" ht="21.75" hidden="1" customHeight="1">
      <c r="A89" s="135">
        <v>85.0</v>
      </c>
      <c r="B89" s="135">
        <v>25045.0</v>
      </c>
      <c r="C89" s="135"/>
      <c r="D89" s="135">
        <v>1.0</v>
      </c>
      <c r="E89" s="135" t="s">
        <v>2880</v>
      </c>
      <c r="F89" s="135" t="s">
        <v>1035</v>
      </c>
      <c r="G89" s="135" t="s">
        <v>34</v>
      </c>
      <c r="H89" s="135" t="s">
        <v>2853</v>
      </c>
      <c r="I89" s="135" t="s">
        <v>39</v>
      </c>
      <c r="J89" s="135">
        <v>1.0</v>
      </c>
      <c r="K89" s="135"/>
      <c r="L89" s="135">
        <v>3330.0</v>
      </c>
      <c r="M89" s="135">
        <v>1000.0</v>
      </c>
      <c r="N89" s="135">
        <v>120.0</v>
      </c>
      <c r="O89" s="135">
        <v>0.59</v>
      </c>
      <c r="P89" s="141">
        <v>1.0</v>
      </c>
      <c r="Q89" s="137">
        <v>1.4749999999999999</v>
      </c>
      <c r="R89" s="136">
        <v>46078.0</v>
      </c>
      <c r="S89" s="135" t="s">
        <v>2854</v>
      </c>
      <c r="T89" s="136"/>
      <c r="U89" s="135" t="s">
        <v>2950</v>
      </c>
      <c r="V89" s="135" t="s">
        <v>2951</v>
      </c>
      <c r="W89" s="135" t="s">
        <v>2955</v>
      </c>
      <c r="X89" s="135"/>
      <c r="Y89" s="135"/>
      <c r="Z89" s="135" t="s">
        <v>2858</v>
      </c>
      <c r="AA89" s="135"/>
      <c r="AB89" s="135"/>
      <c r="AC89" s="135"/>
      <c r="AD89" s="135">
        <v>46099.0</v>
      </c>
      <c r="AE89" s="135"/>
      <c r="AF89" s="135"/>
      <c r="AG89" s="135"/>
    </row>
    <row r="90" ht="21.75" hidden="1" customHeight="1">
      <c r="A90" s="135">
        <v>86.0</v>
      </c>
      <c r="B90" s="135">
        <v>25045.0</v>
      </c>
      <c r="C90" s="135"/>
      <c r="D90" s="135">
        <v>1.0</v>
      </c>
      <c r="E90" s="135" t="s">
        <v>2887</v>
      </c>
      <c r="F90" s="135" t="s">
        <v>1065</v>
      </c>
      <c r="G90" s="135" t="s">
        <v>34</v>
      </c>
      <c r="H90" s="135" t="s">
        <v>2853</v>
      </c>
      <c r="I90" s="135" t="s">
        <v>40</v>
      </c>
      <c r="J90" s="135">
        <v>1.0</v>
      </c>
      <c r="K90" s="135"/>
      <c r="L90" s="135">
        <v>1780.0</v>
      </c>
      <c r="M90" s="135">
        <v>1610.0</v>
      </c>
      <c r="N90" s="135">
        <v>120.0</v>
      </c>
      <c r="O90" s="135">
        <v>0.425</v>
      </c>
      <c r="P90" s="141">
        <v>1.0</v>
      </c>
      <c r="Q90" s="137">
        <v>1.0625</v>
      </c>
      <c r="R90" s="136">
        <v>46081.0</v>
      </c>
      <c r="S90" s="135" t="s">
        <v>2882</v>
      </c>
      <c r="T90" s="136"/>
      <c r="U90" s="135" t="s">
        <v>2864</v>
      </c>
      <c r="V90" s="135" t="s">
        <v>2873</v>
      </c>
      <c r="W90" s="135" t="s">
        <v>2901</v>
      </c>
      <c r="X90" s="135"/>
      <c r="Y90" s="135"/>
      <c r="Z90" s="135" t="s">
        <v>2858</v>
      </c>
      <c r="AA90" s="135"/>
      <c r="AB90" s="135"/>
      <c r="AC90" s="135"/>
      <c r="AD90" s="135">
        <v>46132.0</v>
      </c>
      <c r="AE90" s="135"/>
      <c r="AF90" s="135"/>
      <c r="AG90" s="135"/>
    </row>
    <row r="91" ht="21.75" hidden="1" customHeight="1">
      <c r="A91" s="135">
        <v>87.0</v>
      </c>
      <c r="B91" s="135">
        <v>25045.0</v>
      </c>
      <c r="C91" s="135"/>
      <c r="D91" s="135">
        <v>1.0</v>
      </c>
      <c r="E91" s="135" t="s">
        <v>2887</v>
      </c>
      <c r="F91" s="135" t="s">
        <v>1066</v>
      </c>
      <c r="G91" s="135" t="s">
        <v>34</v>
      </c>
      <c r="H91" s="135" t="s">
        <v>2853</v>
      </c>
      <c r="I91" s="135" t="s">
        <v>40</v>
      </c>
      <c r="J91" s="135">
        <v>1.0</v>
      </c>
      <c r="K91" s="135"/>
      <c r="L91" s="135">
        <v>1780.0</v>
      </c>
      <c r="M91" s="135">
        <v>1875.0</v>
      </c>
      <c r="N91" s="135">
        <v>120.0</v>
      </c>
      <c r="O91" s="135">
        <v>0.522</v>
      </c>
      <c r="P91" s="141">
        <v>1.0</v>
      </c>
      <c r="Q91" s="137">
        <v>1.3050000000000002</v>
      </c>
      <c r="R91" s="136">
        <v>46081.0</v>
      </c>
      <c r="S91" s="135" t="s">
        <v>2882</v>
      </c>
      <c r="T91" s="136"/>
      <c r="U91" s="135" t="s">
        <v>2864</v>
      </c>
      <c r="V91" s="135" t="s">
        <v>2956</v>
      </c>
      <c r="W91" s="135" t="s">
        <v>2901</v>
      </c>
      <c r="X91" s="135"/>
      <c r="Y91" s="135"/>
      <c r="Z91" s="135" t="s">
        <v>2858</v>
      </c>
      <c r="AA91" s="135"/>
      <c r="AB91" s="135"/>
      <c r="AC91" s="135"/>
      <c r="AD91" s="135">
        <v>46134.0</v>
      </c>
      <c r="AE91" s="135"/>
      <c r="AF91" s="135"/>
      <c r="AG91" s="135"/>
    </row>
    <row r="92" ht="21.75" hidden="1" customHeight="1">
      <c r="A92" s="135">
        <v>88.0</v>
      </c>
      <c r="B92" s="135">
        <v>25045.0</v>
      </c>
      <c r="C92" s="135" t="s">
        <v>2817</v>
      </c>
      <c r="D92" s="135">
        <v>1.0</v>
      </c>
      <c r="E92" s="135" t="s">
        <v>2889</v>
      </c>
      <c r="F92" s="135" t="s">
        <v>1098</v>
      </c>
      <c r="G92" s="135" t="s">
        <v>34</v>
      </c>
      <c r="H92" s="135" t="s">
        <v>2853</v>
      </c>
      <c r="I92" s="135" t="s">
        <v>41</v>
      </c>
      <c r="J92" s="135">
        <v>1.0</v>
      </c>
      <c r="K92" s="135"/>
      <c r="L92" s="135">
        <v>5002.0</v>
      </c>
      <c r="M92" s="135">
        <v>3320.0</v>
      </c>
      <c r="N92" s="135">
        <v>120.0</v>
      </c>
      <c r="O92" s="135">
        <v>1.009</v>
      </c>
      <c r="P92" s="141">
        <v>0.0</v>
      </c>
      <c r="Q92" s="137">
        <v>2.5225</v>
      </c>
      <c r="R92" s="136">
        <v>46081.0</v>
      </c>
      <c r="S92" s="135" t="s">
        <v>2882</v>
      </c>
      <c r="T92" s="136"/>
      <c r="U92" s="135" t="s">
        <v>2855</v>
      </c>
      <c r="V92" s="135" t="s">
        <v>2856</v>
      </c>
      <c r="W92" s="135" t="s">
        <v>2957</v>
      </c>
      <c r="X92" s="135" t="s">
        <v>2958</v>
      </c>
      <c r="Y92" s="135"/>
      <c r="Z92" s="135" t="s">
        <v>2858</v>
      </c>
      <c r="AA92" s="135"/>
      <c r="AB92" s="135"/>
      <c r="AC92" s="135"/>
      <c r="AD92" s="135" t="e">
        <v>#N/A</v>
      </c>
      <c r="AE92" s="135"/>
      <c r="AF92" s="135"/>
      <c r="AG92" s="135"/>
    </row>
    <row r="93" ht="21.75" hidden="1" customHeight="1">
      <c r="A93" s="135">
        <v>89.0</v>
      </c>
      <c r="B93" s="135">
        <v>25045.0</v>
      </c>
      <c r="C93" s="135"/>
      <c r="D93" s="135">
        <v>1.0</v>
      </c>
      <c r="E93" s="135" t="s">
        <v>2889</v>
      </c>
      <c r="F93" s="135" t="s">
        <v>1099</v>
      </c>
      <c r="G93" s="135" t="s">
        <v>34</v>
      </c>
      <c r="H93" s="135" t="s">
        <v>2853</v>
      </c>
      <c r="I93" s="135" t="s">
        <v>41</v>
      </c>
      <c r="J93" s="135">
        <v>1.0</v>
      </c>
      <c r="K93" s="135"/>
      <c r="L93" s="135">
        <v>1780.0</v>
      </c>
      <c r="M93" s="135">
        <v>1560.0</v>
      </c>
      <c r="N93" s="135">
        <v>120.0</v>
      </c>
      <c r="O93" s="135">
        <v>0.415</v>
      </c>
      <c r="P93" s="141">
        <v>1.0</v>
      </c>
      <c r="Q93" s="137">
        <v>1.0374999999999999</v>
      </c>
      <c r="R93" s="136">
        <v>46081.0</v>
      </c>
      <c r="S93" s="135" t="s">
        <v>2882</v>
      </c>
      <c r="T93" s="136"/>
      <c r="U93" s="135" t="s">
        <v>2864</v>
      </c>
      <c r="V93" s="135" t="s">
        <v>2873</v>
      </c>
      <c r="W93" s="135" t="s">
        <v>2901</v>
      </c>
      <c r="X93" s="135"/>
      <c r="Y93" s="135"/>
      <c r="Z93" s="135" t="s">
        <v>2858</v>
      </c>
      <c r="AA93" s="135"/>
      <c r="AB93" s="135"/>
      <c r="AC93" s="135"/>
      <c r="AD93" s="135">
        <v>46136.0</v>
      </c>
      <c r="AE93" s="135"/>
      <c r="AF93" s="135"/>
      <c r="AG93" s="135"/>
    </row>
    <row r="94" ht="21.75" hidden="1" customHeight="1">
      <c r="A94" s="135">
        <v>90.0</v>
      </c>
      <c r="B94" s="135">
        <v>25045.0</v>
      </c>
      <c r="C94" s="135"/>
      <c r="D94" s="135">
        <v>1.0</v>
      </c>
      <c r="E94" s="135" t="s">
        <v>2889</v>
      </c>
      <c r="F94" s="135" t="s">
        <v>1100</v>
      </c>
      <c r="G94" s="135" t="s">
        <v>34</v>
      </c>
      <c r="H94" s="135" t="s">
        <v>2853</v>
      </c>
      <c r="I94" s="135" t="s">
        <v>41</v>
      </c>
      <c r="J94" s="135">
        <v>1.0</v>
      </c>
      <c r="K94" s="135"/>
      <c r="L94" s="135">
        <v>1780.0</v>
      </c>
      <c r="M94" s="135">
        <v>1875.0</v>
      </c>
      <c r="N94" s="135">
        <v>120.0</v>
      </c>
      <c r="O94" s="135">
        <v>0.522</v>
      </c>
      <c r="P94" s="141">
        <v>1.0</v>
      </c>
      <c r="Q94" s="137">
        <v>1.3050000000000002</v>
      </c>
      <c r="R94" s="136">
        <v>46081.0</v>
      </c>
      <c r="S94" s="135" t="s">
        <v>2882</v>
      </c>
      <c r="T94" s="136"/>
      <c r="U94" s="135" t="s">
        <v>2864</v>
      </c>
      <c r="V94" s="135" t="s">
        <v>2956</v>
      </c>
      <c r="W94" s="135" t="s">
        <v>2901</v>
      </c>
      <c r="X94" s="135"/>
      <c r="Y94" s="135"/>
      <c r="Z94" s="135" t="s">
        <v>2858</v>
      </c>
      <c r="AA94" s="135"/>
      <c r="AB94" s="135"/>
      <c r="AC94" s="135"/>
      <c r="AD94" s="135">
        <v>46135.0</v>
      </c>
      <c r="AE94" s="135"/>
      <c r="AF94" s="135"/>
      <c r="AG94" s="135"/>
    </row>
    <row r="95" ht="21.75" hidden="1" customHeight="1">
      <c r="A95" s="135">
        <v>91.0</v>
      </c>
      <c r="B95" s="135">
        <v>25045.0</v>
      </c>
      <c r="C95" s="135"/>
      <c r="D95" s="135">
        <v>1.0</v>
      </c>
      <c r="E95" s="135" t="s">
        <v>2889</v>
      </c>
      <c r="F95" s="135" t="s">
        <v>1101</v>
      </c>
      <c r="G95" s="135" t="s">
        <v>34</v>
      </c>
      <c r="H95" s="135" t="s">
        <v>2853</v>
      </c>
      <c r="I95" s="135" t="s">
        <v>41</v>
      </c>
      <c r="J95" s="135">
        <v>1.0</v>
      </c>
      <c r="K95" s="135"/>
      <c r="L95" s="135">
        <v>2840.0</v>
      </c>
      <c r="M95" s="135">
        <v>1000.0</v>
      </c>
      <c r="N95" s="135">
        <v>120.0</v>
      </c>
      <c r="O95" s="135">
        <v>0.469</v>
      </c>
      <c r="P95" s="141">
        <v>1.0</v>
      </c>
      <c r="Q95" s="137">
        <v>1.1724999999999999</v>
      </c>
      <c r="R95" s="136">
        <v>46081.0</v>
      </c>
      <c r="S95" s="135" t="s">
        <v>2882</v>
      </c>
      <c r="T95" s="136"/>
      <c r="U95" s="135" t="s">
        <v>2950</v>
      </c>
      <c r="V95" s="135" t="s">
        <v>2951</v>
      </c>
      <c r="W95" s="135" t="s">
        <v>2959</v>
      </c>
      <c r="X95" s="135"/>
      <c r="Y95" s="135"/>
      <c r="Z95" s="135" t="s">
        <v>2858</v>
      </c>
      <c r="AA95" s="135"/>
      <c r="AB95" s="135"/>
      <c r="AC95" s="135"/>
      <c r="AD95" s="135">
        <v>46095.0</v>
      </c>
      <c r="AE95" s="135"/>
      <c r="AF95" s="135"/>
      <c r="AG95" s="135"/>
    </row>
    <row r="96" ht="21.75" hidden="1" customHeight="1">
      <c r="A96" s="135">
        <v>92.0</v>
      </c>
      <c r="B96" s="135">
        <v>25045.0</v>
      </c>
      <c r="C96" s="135" t="s">
        <v>2817</v>
      </c>
      <c r="D96" s="135">
        <v>1.0</v>
      </c>
      <c r="E96" s="135" t="s">
        <v>2893</v>
      </c>
      <c r="F96" s="135" t="s">
        <v>1118</v>
      </c>
      <c r="G96" s="135" t="s">
        <v>34</v>
      </c>
      <c r="H96" s="135" t="s">
        <v>2853</v>
      </c>
      <c r="I96" s="135" t="s">
        <v>42</v>
      </c>
      <c r="J96" s="135">
        <v>1.0</v>
      </c>
      <c r="K96" s="135"/>
      <c r="L96" s="135">
        <v>5622.0</v>
      </c>
      <c r="M96" s="135">
        <v>3300.0</v>
      </c>
      <c r="N96" s="135">
        <v>120.0</v>
      </c>
      <c r="O96" s="135">
        <v>1.08</v>
      </c>
      <c r="P96" s="141">
        <v>2.0</v>
      </c>
      <c r="Q96" s="137">
        <v>2.7</v>
      </c>
      <c r="R96" s="136">
        <v>46081.0</v>
      </c>
      <c r="S96" s="135" t="s">
        <v>2882</v>
      </c>
      <c r="T96" s="136"/>
      <c r="U96" s="135" t="s">
        <v>2855</v>
      </c>
      <c r="V96" s="135" t="s">
        <v>2856</v>
      </c>
      <c r="W96" s="135" t="s">
        <v>2960</v>
      </c>
      <c r="X96" s="135" t="s">
        <v>2961</v>
      </c>
      <c r="Y96" s="135"/>
      <c r="Z96" s="135" t="s">
        <v>2858</v>
      </c>
      <c r="AA96" s="135"/>
      <c r="AB96" s="135"/>
      <c r="AC96" s="135"/>
      <c r="AD96" s="135">
        <v>46099.0</v>
      </c>
      <c r="AE96" s="135"/>
      <c r="AF96" s="135"/>
      <c r="AG96" s="135"/>
    </row>
    <row r="97" ht="21.75" hidden="1" customHeight="1">
      <c r="A97" s="135">
        <v>93.0</v>
      </c>
      <c r="B97" s="135">
        <v>25045.0</v>
      </c>
      <c r="C97" s="135" t="s">
        <v>2817</v>
      </c>
      <c r="D97" s="135">
        <v>1.0</v>
      </c>
      <c r="E97" s="135" t="s">
        <v>2893</v>
      </c>
      <c r="F97" s="135" t="s">
        <v>1119</v>
      </c>
      <c r="G97" s="135" t="s">
        <v>34</v>
      </c>
      <c r="H97" s="135" t="s">
        <v>2853</v>
      </c>
      <c r="I97" s="135" t="s">
        <v>42</v>
      </c>
      <c r="J97" s="135">
        <v>1.0</v>
      </c>
      <c r="K97" s="135" t="s">
        <v>2860</v>
      </c>
      <c r="L97" s="135">
        <v>2595.0</v>
      </c>
      <c r="M97" s="135">
        <v>2850.0</v>
      </c>
      <c r="N97" s="135">
        <v>120.0</v>
      </c>
      <c r="O97" s="135">
        <v>0.915</v>
      </c>
      <c r="P97" s="141">
        <v>1.0</v>
      </c>
      <c r="Q97" s="137">
        <v>2.2875</v>
      </c>
      <c r="R97" s="136">
        <v>46078.0</v>
      </c>
      <c r="S97" s="135" t="s">
        <v>2854</v>
      </c>
      <c r="T97" s="136"/>
      <c r="U97" s="135" t="s">
        <v>2864</v>
      </c>
      <c r="V97" s="135" t="s">
        <v>2878</v>
      </c>
      <c r="W97" s="135" t="s">
        <v>2962</v>
      </c>
      <c r="X97" s="135" t="s">
        <v>2963</v>
      </c>
      <c r="Y97" s="135"/>
      <c r="Z97" s="135" t="s">
        <v>2858</v>
      </c>
      <c r="AA97" s="135"/>
      <c r="AB97" s="135"/>
      <c r="AC97" s="135"/>
      <c r="AD97" s="135">
        <v>46105.0</v>
      </c>
      <c r="AE97" s="135"/>
      <c r="AF97" s="135"/>
      <c r="AG97" s="135"/>
    </row>
    <row r="98" ht="21.75" hidden="1" customHeight="1">
      <c r="A98" s="135">
        <v>94.0</v>
      </c>
      <c r="B98" s="135">
        <v>25045.0</v>
      </c>
      <c r="C98" s="135" t="s">
        <v>2817</v>
      </c>
      <c r="D98" s="135">
        <v>1.0</v>
      </c>
      <c r="E98" s="135" t="s">
        <v>2902</v>
      </c>
      <c r="F98" s="135" t="s">
        <v>1144</v>
      </c>
      <c r="G98" s="135" t="s">
        <v>34</v>
      </c>
      <c r="H98" s="135" t="s">
        <v>2853</v>
      </c>
      <c r="I98" s="135" t="s">
        <v>43</v>
      </c>
      <c r="J98" s="135">
        <v>1.0</v>
      </c>
      <c r="K98" s="135" t="s">
        <v>2860</v>
      </c>
      <c r="L98" s="135">
        <v>2595.0</v>
      </c>
      <c r="M98" s="135">
        <v>2850.0</v>
      </c>
      <c r="N98" s="135">
        <v>120.0</v>
      </c>
      <c r="O98" s="135">
        <v>0.915</v>
      </c>
      <c r="P98" s="141">
        <v>1.0</v>
      </c>
      <c r="Q98" s="137">
        <v>2.2875</v>
      </c>
      <c r="R98" s="136">
        <v>46078.0</v>
      </c>
      <c r="S98" s="135" t="s">
        <v>2854</v>
      </c>
      <c r="T98" s="136"/>
      <c r="U98" s="135" t="s">
        <v>2864</v>
      </c>
      <c r="V98" s="135" t="s">
        <v>2878</v>
      </c>
      <c r="W98" s="135" t="s">
        <v>2962</v>
      </c>
      <c r="X98" s="135" t="s">
        <v>2963</v>
      </c>
      <c r="Y98" s="135"/>
      <c r="Z98" s="135" t="s">
        <v>2858</v>
      </c>
      <c r="AA98" s="135"/>
      <c r="AB98" s="135"/>
      <c r="AC98" s="135"/>
      <c r="AD98" s="135" t="e">
        <v>#N/A</v>
      </c>
      <c r="AE98" s="135"/>
      <c r="AF98" s="135"/>
      <c r="AG98" s="135"/>
    </row>
    <row r="99" ht="21.75" hidden="1" customHeight="1">
      <c r="A99" s="135">
        <v>95.0</v>
      </c>
      <c r="B99" s="135">
        <v>25045.0</v>
      </c>
      <c r="C99" s="135"/>
      <c r="D99" s="135">
        <v>1.0</v>
      </c>
      <c r="E99" s="135" t="s">
        <v>2893</v>
      </c>
      <c r="F99" s="135" t="s">
        <v>1120</v>
      </c>
      <c r="G99" s="135" t="s">
        <v>34</v>
      </c>
      <c r="H99" s="135" t="s">
        <v>2853</v>
      </c>
      <c r="I99" s="135" t="s">
        <v>42</v>
      </c>
      <c r="J99" s="135">
        <v>1.0</v>
      </c>
      <c r="K99" s="135"/>
      <c r="L99" s="135">
        <v>1780.0</v>
      </c>
      <c r="M99" s="135">
        <v>1540.0</v>
      </c>
      <c r="N99" s="135">
        <v>120.0</v>
      </c>
      <c r="O99" s="135">
        <v>0.41</v>
      </c>
      <c r="P99" s="141">
        <v>1.0</v>
      </c>
      <c r="Q99" s="137">
        <v>1.025</v>
      </c>
      <c r="R99" s="136">
        <v>46081.0</v>
      </c>
      <c r="S99" s="135" t="s">
        <v>2882</v>
      </c>
      <c r="T99" s="136"/>
      <c r="U99" s="135" t="s">
        <v>2864</v>
      </c>
      <c r="V99" s="135" t="s">
        <v>2873</v>
      </c>
      <c r="W99" s="135" t="s">
        <v>2901</v>
      </c>
      <c r="X99" s="135"/>
      <c r="Y99" s="135"/>
      <c r="Z99" s="135" t="s">
        <v>2858</v>
      </c>
      <c r="AA99" s="135"/>
      <c r="AB99" s="135"/>
      <c r="AC99" s="135"/>
      <c r="AD99" s="135">
        <v>46111.0</v>
      </c>
      <c r="AE99" s="135"/>
      <c r="AF99" s="135"/>
      <c r="AG99" s="135"/>
    </row>
    <row r="100" ht="21.75" hidden="1" customHeight="1">
      <c r="A100" s="135">
        <v>96.0</v>
      </c>
      <c r="B100" s="135">
        <v>25045.0</v>
      </c>
      <c r="C100" s="135"/>
      <c r="D100" s="135">
        <v>1.0</v>
      </c>
      <c r="E100" s="135" t="s">
        <v>2893</v>
      </c>
      <c r="F100" s="135" t="s">
        <v>1121</v>
      </c>
      <c r="G100" s="135" t="s">
        <v>34</v>
      </c>
      <c r="H100" s="135" t="s">
        <v>2853</v>
      </c>
      <c r="I100" s="135" t="s">
        <v>42</v>
      </c>
      <c r="J100" s="135">
        <v>1.0</v>
      </c>
      <c r="K100" s="135"/>
      <c r="L100" s="135">
        <v>2840.0</v>
      </c>
      <c r="M100" s="135">
        <v>1000.0</v>
      </c>
      <c r="N100" s="135">
        <v>120.0</v>
      </c>
      <c r="O100" s="135">
        <v>0.469</v>
      </c>
      <c r="P100" s="141">
        <v>1.0</v>
      </c>
      <c r="Q100" s="137">
        <v>1.1724999999999999</v>
      </c>
      <c r="R100" s="136">
        <v>46081.0</v>
      </c>
      <c r="S100" s="135" t="s">
        <v>2882</v>
      </c>
      <c r="T100" s="136"/>
      <c r="U100" s="135" t="s">
        <v>2950</v>
      </c>
      <c r="V100" s="135" t="s">
        <v>2951</v>
      </c>
      <c r="W100" s="135" t="s">
        <v>2959</v>
      </c>
      <c r="X100" s="135"/>
      <c r="Y100" s="135"/>
      <c r="Z100" s="135" t="s">
        <v>2858</v>
      </c>
      <c r="AA100" s="135"/>
      <c r="AB100" s="135"/>
      <c r="AC100" s="135"/>
      <c r="AD100" s="135">
        <v>46098.0</v>
      </c>
      <c r="AE100" s="135"/>
      <c r="AF100" s="135"/>
      <c r="AG100" s="135"/>
    </row>
    <row r="101" ht="21.75" hidden="1" customHeight="1">
      <c r="A101" s="135">
        <v>97.0</v>
      </c>
      <c r="B101" s="135">
        <v>25045.0</v>
      </c>
      <c r="C101" s="135"/>
      <c r="D101" s="135">
        <v>1.0</v>
      </c>
      <c r="E101" s="135" t="s">
        <v>2902</v>
      </c>
      <c r="F101" s="135" t="s">
        <v>1141</v>
      </c>
      <c r="G101" s="135" t="s">
        <v>34</v>
      </c>
      <c r="H101" s="135" t="s">
        <v>2853</v>
      </c>
      <c r="I101" s="135" t="s">
        <v>43</v>
      </c>
      <c r="J101" s="135">
        <v>1.0</v>
      </c>
      <c r="K101" s="135"/>
      <c r="L101" s="135">
        <v>1780.0</v>
      </c>
      <c r="M101" s="135">
        <v>1540.0</v>
      </c>
      <c r="N101" s="135">
        <v>120.0</v>
      </c>
      <c r="O101" s="135">
        <v>0.41</v>
      </c>
      <c r="P101" s="141">
        <v>0.0</v>
      </c>
      <c r="Q101" s="137">
        <v>1.025</v>
      </c>
      <c r="R101" s="136">
        <v>46078.0</v>
      </c>
      <c r="S101" s="135" t="s">
        <v>2854</v>
      </c>
      <c r="T101" s="136"/>
      <c r="U101" s="135" t="s">
        <v>2864</v>
      </c>
      <c r="V101" s="135" t="s">
        <v>2873</v>
      </c>
      <c r="W101" s="135" t="s">
        <v>2901</v>
      </c>
      <c r="X101" s="135"/>
      <c r="Y101" s="135"/>
      <c r="Z101" s="135" t="s">
        <v>2858</v>
      </c>
      <c r="AA101" s="135"/>
      <c r="AB101" s="135"/>
      <c r="AC101" s="135"/>
      <c r="AD101" s="135">
        <v>46141.0</v>
      </c>
      <c r="AE101" s="135"/>
      <c r="AF101" s="135"/>
      <c r="AG101" s="135"/>
    </row>
    <row r="102" ht="21.75" hidden="1" customHeight="1">
      <c r="A102" s="135">
        <v>98.0</v>
      </c>
      <c r="B102" s="135">
        <v>25045.0</v>
      </c>
      <c r="C102" s="135"/>
      <c r="D102" s="135">
        <v>1.0</v>
      </c>
      <c r="E102" s="135" t="s">
        <v>2902</v>
      </c>
      <c r="F102" s="135" t="s">
        <v>1142</v>
      </c>
      <c r="G102" s="135" t="s">
        <v>34</v>
      </c>
      <c r="H102" s="135" t="s">
        <v>2853</v>
      </c>
      <c r="I102" s="135" t="s">
        <v>43</v>
      </c>
      <c r="J102" s="135">
        <v>1.0</v>
      </c>
      <c r="K102" s="135"/>
      <c r="L102" s="135">
        <v>2850.0</v>
      </c>
      <c r="M102" s="135">
        <v>1000.0</v>
      </c>
      <c r="N102" s="135">
        <v>120.0</v>
      </c>
      <c r="O102" s="135">
        <v>0.47</v>
      </c>
      <c r="P102" s="141">
        <v>1.0</v>
      </c>
      <c r="Q102" s="137">
        <v>1.1749999999999998</v>
      </c>
      <c r="R102" s="136">
        <v>46078.0</v>
      </c>
      <c r="S102" s="135" t="s">
        <v>2854</v>
      </c>
      <c r="T102" s="136"/>
      <c r="U102" s="135" t="s">
        <v>2950</v>
      </c>
      <c r="V102" s="135" t="s">
        <v>2951</v>
      </c>
      <c r="W102" s="135" t="s">
        <v>2964</v>
      </c>
      <c r="X102" s="135"/>
      <c r="Y102" s="135"/>
      <c r="Z102" s="135" t="s">
        <v>2858</v>
      </c>
      <c r="AA102" s="135"/>
      <c r="AB102" s="135"/>
      <c r="AC102" s="135"/>
      <c r="AD102" s="135">
        <v>46088.0</v>
      </c>
      <c r="AE102" s="135"/>
      <c r="AF102" s="135"/>
      <c r="AG102" s="135"/>
    </row>
    <row r="103" ht="21.75" hidden="1" customHeight="1">
      <c r="A103" s="135">
        <v>99.0</v>
      </c>
      <c r="B103" s="135">
        <v>25045.0</v>
      </c>
      <c r="C103" s="135"/>
      <c r="D103" s="135">
        <v>1.0</v>
      </c>
      <c r="E103" s="135" t="s">
        <v>2880</v>
      </c>
      <c r="F103" s="135" t="s">
        <v>1036</v>
      </c>
      <c r="G103" s="135" t="s">
        <v>34</v>
      </c>
      <c r="H103" s="135" t="s">
        <v>2965</v>
      </c>
      <c r="I103" s="135" t="s">
        <v>39</v>
      </c>
      <c r="J103" s="135">
        <v>1.0</v>
      </c>
      <c r="K103" s="135"/>
      <c r="L103" s="135">
        <v>400.0</v>
      </c>
      <c r="M103" s="135">
        <v>3230.0</v>
      </c>
      <c r="N103" s="135">
        <v>350.0</v>
      </c>
      <c r="O103" s="135">
        <v>0.557</v>
      </c>
      <c r="P103" s="141">
        <v>1.0</v>
      </c>
      <c r="Q103" s="137">
        <v>1.3925</v>
      </c>
      <c r="R103" s="136">
        <v>46078.0</v>
      </c>
      <c r="S103" s="135" t="s">
        <v>2854</v>
      </c>
      <c r="T103" s="136"/>
      <c r="U103" s="135" t="s">
        <v>2966</v>
      </c>
      <c r="V103" s="135" t="s">
        <v>2967</v>
      </c>
      <c r="W103" s="135"/>
      <c r="X103" s="135" t="s">
        <v>2968</v>
      </c>
      <c r="Y103" s="135"/>
      <c r="Z103" s="135" t="s">
        <v>2858</v>
      </c>
      <c r="AA103" s="135"/>
      <c r="AB103" s="135"/>
      <c r="AC103" s="135"/>
      <c r="AD103" s="135">
        <v>46121.0</v>
      </c>
      <c r="AE103" s="135"/>
      <c r="AF103" s="135"/>
      <c r="AG103" s="135"/>
    </row>
    <row r="104" ht="21.75" hidden="1" customHeight="1">
      <c r="A104" s="135">
        <v>100.0</v>
      </c>
      <c r="B104" s="135">
        <v>25045.0</v>
      </c>
      <c r="C104" s="135"/>
      <c r="D104" s="135">
        <v>1.0</v>
      </c>
      <c r="E104" s="135" t="s">
        <v>2887</v>
      </c>
      <c r="F104" s="135" t="s">
        <v>1067</v>
      </c>
      <c r="G104" s="135" t="s">
        <v>34</v>
      </c>
      <c r="H104" s="135" t="s">
        <v>2965</v>
      </c>
      <c r="I104" s="135" t="s">
        <v>40</v>
      </c>
      <c r="J104" s="135">
        <v>1.0</v>
      </c>
      <c r="K104" s="135"/>
      <c r="L104" s="135">
        <v>150.0</v>
      </c>
      <c r="M104" s="135">
        <v>3230.0</v>
      </c>
      <c r="N104" s="135">
        <v>350.0</v>
      </c>
      <c r="O104" s="135">
        <v>0.296</v>
      </c>
      <c r="P104" s="141">
        <v>1.0</v>
      </c>
      <c r="Q104" s="137">
        <v>0.74</v>
      </c>
      <c r="R104" s="136">
        <v>46081.0</v>
      </c>
      <c r="S104" s="135" t="s">
        <v>2882</v>
      </c>
      <c r="T104" s="136"/>
      <c r="U104" s="135" t="s">
        <v>2966</v>
      </c>
      <c r="V104" s="135" t="s">
        <v>2967</v>
      </c>
      <c r="W104" s="135"/>
      <c r="X104" s="135" t="s">
        <v>2969</v>
      </c>
      <c r="Y104" s="135"/>
      <c r="Z104" s="135" t="s">
        <v>2858</v>
      </c>
      <c r="AA104" s="135"/>
      <c r="AB104" s="135"/>
      <c r="AC104" s="135"/>
      <c r="AD104" s="135">
        <v>46142.0</v>
      </c>
      <c r="AE104" s="135"/>
      <c r="AF104" s="135"/>
      <c r="AG104" s="135"/>
    </row>
    <row r="105" ht="21.75" hidden="1" customHeight="1">
      <c r="A105" s="135">
        <v>101.0</v>
      </c>
      <c r="B105" s="135">
        <v>25045.0</v>
      </c>
      <c r="C105" s="135"/>
      <c r="D105" s="135">
        <v>1.0</v>
      </c>
      <c r="E105" s="135" t="s">
        <v>2887</v>
      </c>
      <c r="F105" s="135" t="s">
        <v>1068</v>
      </c>
      <c r="G105" s="135" t="s">
        <v>34</v>
      </c>
      <c r="H105" s="135" t="s">
        <v>2965</v>
      </c>
      <c r="I105" s="135" t="s">
        <v>40</v>
      </c>
      <c r="J105" s="135">
        <v>1.0</v>
      </c>
      <c r="K105" s="135"/>
      <c r="L105" s="135">
        <v>400.0</v>
      </c>
      <c r="M105" s="135">
        <v>3530.0</v>
      </c>
      <c r="N105" s="135">
        <v>350.0</v>
      </c>
      <c r="O105" s="135">
        <v>0.599</v>
      </c>
      <c r="P105" s="141">
        <v>1.0</v>
      </c>
      <c r="Q105" s="137">
        <v>1.4975</v>
      </c>
      <c r="R105" s="136">
        <v>46081.0</v>
      </c>
      <c r="S105" s="135" t="s">
        <v>2882</v>
      </c>
      <c r="T105" s="136"/>
      <c r="U105" s="135" t="s">
        <v>2966</v>
      </c>
      <c r="V105" s="135" t="s">
        <v>2967</v>
      </c>
      <c r="W105" s="135"/>
      <c r="X105" s="135" t="s">
        <v>2970</v>
      </c>
      <c r="Y105" s="135"/>
      <c r="Z105" s="135" t="s">
        <v>2858</v>
      </c>
      <c r="AA105" s="135"/>
      <c r="AB105" s="135"/>
      <c r="AC105" s="135"/>
      <c r="AD105" s="135">
        <v>46132.0</v>
      </c>
      <c r="AE105" s="135"/>
      <c r="AF105" s="135"/>
      <c r="AG105" s="135"/>
    </row>
    <row r="106" ht="21.75" hidden="1" customHeight="1">
      <c r="A106" s="135">
        <v>102.0</v>
      </c>
      <c r="B106" s="135">
        <v>25045.0</v>
      </c>
      <c r="C106" s="135"/>
      <c r="D106" s="135">
        <v>1.0</v>
      </c>
      <c r="E106" s="135" t="s">
        <v>2889</v>
      </c>
      <c r="F106" s="135" t="s">
        <v>1102</v>
      </c>
      <c r="G106" s="135" t="s">
        <v>34</v>
      </c>
      <c r="H106" s="135" t="s">
        <v>2965</v>
      </c>
      <c r="I106" s="135" t="s">
        <v>41</v>
      </c>
      <c r="J106" s="135">
        <v>1.0</v>
      </c>
      <c r="K106" s="135"/>
      <c r="L106" s="135">
        <v>150.0</v>
      </c>
      <c r="M106" s="135">
        <v>3220.0</v>
      </c>
      <c r="N106" s="135">
        <v>350.0</v>
      </c>
      <c r="O106" s="135">
        <v>0.296</v>
      </c>
      <c r="P106" s="141">
        <v>1.0</v>
      </c>
      <c r="Q106" s="137">
        <v>0.74</v>
      </c>
      <c r="R106" s="136">
        <v>46081.0</v>
      </c>
      <c r="S106" s="135" t="s">
        <v>2882</v>
      </c>
      <c r="T106" s="136"/>
      <c r="U106" s="135" t="s">
        <v>2966</v>
      </c>
      <c r="V106" s="135" t="s">
        <v>2967</v>
      </c>
      <c r="W106" s="135"/>
      <c r="X106" s="135" t="s">
        <v>2968</v>
      </c>
      <c r="Y106" s="135"/>
      <c r="Z106" s="135" t="s">
        <v>2858</v>
      </c>
      <c r="AA106" s="135"/>
      <c r="AB106" s="135"/>
      <c r="AC106" s="135"/>
      <c r="AD106" s="135">
        <v>46122.0</v>
      </c>
      <c r="AE106" s="135"/>
      <c r="AF106" s="135"/>
      <c r="AG106" s="135"/>
    </row>
    <row r="107" ht="21.75" hidden="1" customHeight="1">
      <c r="A107" s="135">
        <v>103.0</v>
      </c>
      <c r="B107" s="135">
        <v>25045.0</v>
      </c>
      <c r="C107" s="135"/>
      <c r="D107" s="135">
        <v>1.0</v>
      </c>
      <c r="E107" s="135" t="s">
        <v>2889</v>
      </c>
      <c r="F107" s="135" t="s">
        <v>1103</v>
      </c>
      <c r="G107" s="135" t="s">
        <v>34</v>
      </c>
      <c r="H107" s="135" t="s">
        <v>2965</v>
      </c>
      <c r="I107" s="135" t="s">
        <v>41</v>
      </c>
      <c r="J107" s="135">
        <v>1.0</v>
      </c>
      <c r="K107" s="135"/>
      <c r="L107" s="135">
        <v>400.0</v>
      </c>
      <c r="M107" s="135">
        <v>3530.0</v>
      </c>
      <c r="N107" s="135">
        <v>350.0</v>
      </c>
      <c r="O107" s="135">
        <v>0.599</v>
      </c>
      <c r="P107" s="141">
        <v>1.0</v>
      </c>
      <c r="Q107" s="137">
        <v>1.4975</v>
      </c>
      <c r="R107" s="136">
        <v>46081.0</v>
      </c>
      <c r="S107" s="135" t="s">
        <v>2882</v>
      </c>
      <c r="T107" s="136"/>
      <c r="U107" s="135" t="s">
        <v>2966</v>
      </c>
      <c r="V107" s="135" t="s">
        <v>2967</v>
      </c>
      <c r="W107" s="135"/>
      <c r="X107" s="135" t="s">
        <v>2969</v>
      </c>
      <c r="Y107" s="135"/>
      <c r="Z107" s="135" t="s">
        <v>2858</v>
      </c>
      <c r="AA107" s="135"/>
      <c r="AB107" s="135"/>
      <c r="AC107" s="135"/>
      <c r="AD107" s="135">
        <v>46111.0</v>
      </c>
      <c r="AE107" s="135"/>
      <c r="AF107" s="135"/>
      <c r="AG107" s="135"/>
    </row>
    <row r="108" ht="21.75" hidden="1" customHeight="1">
      <c r="A108" s="135">
        <v>104.0</v>
      </c>
      <c r="B108" s="135">
        <v>25045.0</v>
      </c>
      <c r="C108" s="135"/>
      <c r="D108" s="135">
        <v>1.0</v>
      </c>
      <c r="E108" s="135" t="s">
        <v>2893</v>
      </c>
      <c r="F108" s="135" t="s">
        <v>1122</v>
      </c>
      <c r="G108" s="135" t="s">
        <v>34</v>
      </c>
      <c r="H108" s="135" t="s">
        <v>2965</v>
      </c>
      <c r="I108" s="135" t="s">
        <v>42</v>
      </c>
      <c r="J108" s="135">
        <v>1.0</v>
      </c>
      <c r="K108" s="135"/>
      <c r="L108" s="135">
        <v>150.0</v>
      </c>
      <c r="M108" s="135">
        <v>3200.0</v>
      </c>
      <c r="N108" s="135">
        <v>350.0</v>
      </c>
      <c r="O108" s="135">
        <v>0.295</v>
      </c>
      <c r="P108" s="141">
        <v>2.0</v>
      </c>
      <c r="Q108" s="137">
        <v>0.7374999999999999</v>
      </c>
      <c r="R108" s="136">
        <v>46081.0</v>
      </c>
      <c r="S108" s="135" t="s">
        <v>2882</v>
      </c>
      <c r="T108" s="136">
        <v>46111.0</v>
      </c>
      <c r="U108" s="135" t="s">
        <v>2966</v>
      </c>
      <c r="V108" s="135" t="s">
        <v>2967</v>
      </c>
      <c r="W108" s="135"/>
      <c r="X108" s="135" t="s">
        <v>2968</v>
      </c>
      <c r="Y108" s="135"/>
      <c r="Z108" s="135" t="s">
        <v>2858</v>
      </c>
      <c r="AA108" s="135"/>
      <c r="AB108" s="135"/>
      <c r="AC108" s="135"/>
      <c r="AD108" s="135">
        <v>46121.0</v>
      </c>
      <c r="AE108" s="135"/>
      <c r="AF108" s="135"/>
      <c r="AG108" s="135"/>
    </row>
    <row r="109" ht="21.75" hidden="1" customHeight="1">
      <c r="A109" s="135">
        <v>105.0</v>
      </c>
      <c r="B109" s="135">
        <v>25045.0</v>
      </c>
      <c r="C109" s="135"/>
      <c r="D109" s="135">
        <v>1.0</v>
      </c>
      <c r="E109" s="135" t="s">
        <v>2893</v>
      </c>
      <c r="F109" s="135" t="s">
        <v>1123</v>
      </c>
      <c r="G109" s="135" t="s">
        <v>34</v>
      </c>
      <c r="H109" s="135" t="s">
        <v>2965</v>
      </c>
      <c r="I109" s="135" t="s">
        <v>42</v>
      </c>
      <c r="J109" s="135">
        <v>1.0</v>
      </c>
      <c r="K109" s="135"/>
      <c r="L109" s="135">
        <v>400.0</v>
      </c>
      <c r="M109" s="135">
        <v>3220.0</v>
      </c>
      <c r="N109" s="135">
        <v>350.0</v>
      </c>
      <c r="O109" s="135">
        <v>0.556</v>
      </c>
      <c r="P109" s="141">
        <v>0.0</v>
      </c>
      <c r="Q109" s="137">
        <v>1.3900000000000001</v>
      </c>
      <c r="R109" s="136">
        <v>46081.0</v>
      </c>
      <c r="S109" s="135" t="s">
        <v>2882</v>
      </c>
      <c r="T109" s="136"/>
      <c r="U109" s="135" t="s">
        <v>2966</v>
      </c>
      <c r="V109" s="135" t="s">
        <v>2967</v>
      </c>
      <c r="W109" s="135"/>
      <c r="X109" s="135" t="s">
        <v>2969</v>
      </c>
      <c r="Y109" s="135"/>
      <c r="Z109" s="135" t="s">
        <v>2858</v>
      </c>
      <c r="AA109" s="135"/>
      <c r="AB109" s="135"/>
      <c r="AC109" s="135"/>
      <c r="AD109" s="135">
        <v>46115.0</v>
      </c>
      <c r="AE109" s="135"/>
      <c r="AF109" s="135"/>
      <c r="AG109" s="135"/>
    </row>
    <row r="110" ht="21.75" hidden="1" customHeight="1">
      <c r="A110" s="135">
        <v>106.0</v>
      </c>
      <c r="B110" s="135">
        <v>25045.0</v>
      </c>
      <c r="C110" s="135"/>
      <c r="D110" s="135">
        <v>1.0</v>
      </c>
      <c r="E110" s="135" t="s">
        <v>2902</v>
      </c>
      <c r="F110" s="135" t="s">
        <v>1143</v>
      </c>
      <c r="G110" s="135" t="s">
        <v>34</v>
      </c>
      <c r="H110" s="135" t="s">
        <v>2965</v>
      </c>
      <c r="I110" s="135" t="s">
        <v>43</v>
      </c>
      <c r="J110" s="135">
        <v>1.0</v>
      </c>
      <c r="K110" s="135"/>
      <c r="L110" s="135">
        <v>400.0</v>
      </c>
      <c r="M110" s="135">
        <v>3200.0</v>
      </c>
      <c r="N110" s="135">
        <v>350.0</v>
      </c>
      <c r="O110" s="135">
        <v>0.553</v>
      </c>
      <c r="P110" s="141">
        <v>1.0</v>
      </c>
      <c r="Q110" s="137">
        <v>1.3825</v>
      </c>
      <c r="R110" s="136">
        <v>46078.0</v>
      </c>
      <c r="S110" s="135" t="s">
        <v>2854</v>
      </c>
      <c r="T110" s="136"/>
      <c r="U110" s="135" t="s">
        <v>2966</v>
      </c>
      <c r="V110" s="135" t="s">
        <v>2967</v>
      </c>
      <c r="W110" s="135"/>
      <c r="X110" s="135" t="s">
        <v>2969</v>
      </c>
      <c r="Y110" s="135"/>
      <c r="Z110" s="135" t="s">
        <v>2858</v>
      </c>
      <c r="AA110" s="135"/>
      <c r="AB110" s="135"/>
      <c r="AC110" s="135"/>
      <c r="AD110" s="135">
        <v>46119.0</v>
      </c>
      <c r="AE110" s="135"/>
      <c r="AF110" s="135"/>
      <c r="AG110" s="135"/>
    </row>
    <row r="111" ht="21.75" hidden="1" customHeight="1">
      <c r="A111" s="135">
        <v>107.0</v>
      </c>
      <c r="B111" s="135">
        <v>25045.0</v>
      </c>
      <c r="C111" s="135"/>
      <c r="D111" s="135">
        <v>1.0</v>
      </c>
      <c r="E111" s="135" t="s">
        <v>2852</v>
      </c>
      <c r="F111" s="135" t="s">
        <v>994</v>
      </c>
      <c r="G111" s="135" t="s">
        <v>34</v>
      </c>
      <c r="H111" s="135" t="s">
        <v>2853</v>
      </c>
      <c r="I111" s="135" t="s">
        <v>35</v>
      </c>
      <c r="J111" s="135">
        <v>1.0</v>
      </c>
      <c r="K111" s="135"/>
      <c r="L111" s="135">
        <v>4090.0</v>
      </c>
      <c r="M111" s="135">
        <v>3100.0</v>
      </c>
      <c r="N111" s="135">
        <v>120.0</v>
      </c>
      <c r="O111" s="135">
        <v>1.595</v>
      </c>
      <c r="P111" s="141">
        <v>2.0</v>
      </c>
      <c r="Q111" s="137">
        <v>3.9875</v>
      </c>
      <c r="R111" s="136">
        <v>46078.0</v>
      </c>
      <c r="S111" s="135" t="s">
        <v>2854</v>
      </c>
      <c r="T111" s="136">
        <v>46123.0</v>
      </c>
      <c r="U111" s="135" t="s">
        <v>2864</v>
      </c>
      <c r="V111" s="135" t="s">
        <v>2865</v>
      </c>
      <c r="W111" s="135" t="s">
        <v>2971</v>
      </c>
      <c r="X111" s="135" t="s">
        <v>2872</v>
      </c>
      <c r="Y111" s="135"/>
      <c r="Z111" s="135" t="s">
        <v>2858</v>
      </c>
      <c r="AA111" s="135" t="s">
        <v>2859</v>
      </c>
      <c r="AB111" s="135"/>
      <c r="AC111" s="135"/>
      <c r="AD111" s="135">
        <v>46125.0</v>
      </c>
      <c r="AE111" s="135"/>
      <c r="AF111" s="135"/>
      <c r="AG111" s="135"/>
    </row>
    <row r="112" ht="21.75" hidden="1" customHeight="1">
      <c r="A112" s="135">
        <v>108.0</v>
      </c>
      <c r="B112" s="135">
        <v>25045.0</v>
      </c>
      <c r="C112" s="135"/>
      <c r="D112" s="135">
        <v>1.0</v>
      </c>
      <c r="E112" s="135" t="s">
        <v>2887</v>
      </c>
      <c r="F112" s="135" t="s">
        <v>1069</v>
      </c>
      <c r="G112" s="135" t="s">
        <v>34</v>
      </c>
      <c r="H112" s="135" t="s">
        <v>2853</v>
      </c>
      <c r="I112" s="135" t="s">
        <v>40</v>
      </c>
      <c r="J112" s="135">
        <v>1.0</v>
      </c>
      <c r="K112" s="135"/>
      <c r="L112" s="135">
        <v>5540.0</v>
      </c>
      <c r="M112" s="135">
        <v>1000.0</v>
      </c>
      <c r="N112" s="135">
        <v>120.0</v>
      </c>
      <c r="O112" s="135">
        <v>0.927</v>
      </c>
      <c r="P112" s="141">
        <v>1.0</v>
      </c>
      <c r="Q112" s="137">
        <v>2.3175</v>
      </c>
      <c r="R112" s="136">
        <v>46081.0</v>
      </c>
      <c r="S112" s="135" t="s">
        <v>2882</v>
      </c>
      <c r="T112" s="136"/>
      <c r="U112" s="135" t="s">
        <v>2972</v>
      </c>
      <c r="V112" s="135" t="s">
        <v>2951</v>
      </c>
      <c r="W112" s="135" t="s">
        <v>2973</v>
      </c>
      <c r="X112" s="135"/>
      <c r="Y112" s="135"/>
      <c r="Z112" s="135" t="s">
        <v>2858</v>
      </c>
      <c r="AA112" s="135"/>
      <c r="AB112" s="135"/>
      <c r="AC112" s="135"/>
      <c r="AD112" s="135">
        <v>46114.0</v>
      </c>
      <c r="AE112" s="135"/>
      <c r="AF112" s="135"/>
      <c r="AG112" s="135"/>
    </row>
    <row r="113" ht="21.75" hidden="1" customHeight="1">
      <c r="A113" s="135">
        <v>109.0</v>
      </c>
      <c r="B113" s="135">
        <v>25045.0</v>
      </c>
      <c r="C113" s="135"/>
      <c r="D113" s="135">
        <v>1.0</v>
      </c>
      <c r="E113" s="135" t="s">
        <v>2887</v>
      </c>
      <c r="F113" s="135" t="s">
        <v>1070</v>
      </c>
      <c r="G113" s="135" t="s">
        <v>34</v>
      </c>
      <c r="H113" s="135" t="s">
        <v>2853</v>
      </c>
      <c r="I113" s="135" t="s">
        <v>40</v>
      </c>
      <c r="J113" s="135">
        <v>1.0</v>
      </c>
      <c r="K113" s="135"/>
      <c r="L113" s="135">
        <v>5525.0</v>
      </c>
      <c r="M113" s="135">
        <v>1000.0</v>
      </c>
      <c r="N113" s="135">
        <v>120.0</v>
      </c>
      <c r="O113" s="135">
        <v>0.925</v>
      </c>
      <c r="P113" s="141">
        <v>1.0</v>
      </c>
      <c r="Q113" s="137">
        <v>2.3125</v>
      </c>
      <c r="R113" s="136">
        <v>46081.0</v>
      </c>
      <c r="S113" s="135" t="s">
        <v>2882</v>
      </c>
      <c r="T113" s="136"/>
      <c r="U113" s="135" t="s">
        <v>2972</v>
      </c>
      <c r="V113" s="135" t="s">
        <v>2951</v>
      </c>
      <c r="W113" s="135" t="s">
        <v>2974</v>
      </c>
      <c r="X113" s="135"/>
      <c r="Y113" s="135"/>
      <c r="Z113" s="135" t="s">
        <v>2858</v>
      </c>
      <c r="AA113" s="135"/>
      <c r="AB113" s="135"/>
      <c r="AC113" s="135"/>
      <c r="AD113" s="135">
        <v>46116.0</v>
      </c>
      <c r="AE113" s="135"/>
      <c r="AF113" s="135"/>
      <c r="AG113" s="135"/>
    </row>
    <row r="114" ht="21.75" hidden="1" customHeight="1">
      <c r="A114" s="135">
        <v>110.0</v>
      </c>
      <c r="B114" s="135">
        <v>25045.0</v>
      </c>
      <c r="C114" s="135"/>
      <c r="D114" s="135">
        <v>1.0</v>
      </c>
      <c r="E114" s="135" t="s">
        <v>2852</v>
      </c>
      <c r="F114" s="135" t="s">
        <v>995</v>
      </c>
      <c r="G114" s="135" t="s">
        <v>34</v>
      </c>
      <c r="H114" s="135" t="s">
        <v>2853</v>
      </c>
      <c r="I114" s="135" t="s">
        <v>35</v>
      </c>
      <c r="J114" s="135">
        <v>1.0</v>
      </c>
      <c r="K114" s="135"/>
      <c r="L114" s="135">
        <v>5195.0</v>
      </c>
      <c r="M114" s="135">
        <v>3210.0</v>
      </c>
      <c r="N114" s="135">
        <v>120.0</v>
      </c>
      <c r="O114" s="135">
        <v>2.32</v>
      </c>
      <c r="P114" s="141">
        <v>2.0</v>
      </c>
      <c r="Q114" s="137">
        <v>5.8</v>
      </c>
      <c r="R114" s="136">
        <v>46078.0</v>
      </c>
      <c r="S114" s="135" t="s">
        <v>2854</v>
      </c>
      <c r="T114" s="136"/>
      <c r="U114" s="135" t="s">
        <v>2855</v>
      </c>
      <c r="V114" s="135" t="s">
        <v>2878</v>
      </c>
      <c r="W114" s="135" t="s">
        <v>2975</v>
      </c>
      <c r="X114" s="135"/>
      <c r="Y114" s="135"/>
      <c r="Z114" s="135" t="s">
        <v>2858</v>
      </c>
      <c r="AA114" s="135"/>
      <c r="AB114" s="135"/>
      <c r="AC114" s="135"/>
      <c r="AD114" s="135">
        <v>46093.0</v>
      </c>
      <c r="AE114" s="135"/>
      <c r="AF114" s="135"/>
      <c r="AG114" s="135"/>
    </row>
    <row r="115" ht="21.75" hidden="1" customHeight="1">
      <c r="A115" s="135">
        <v>111.0</v>
      </c>
      <c r="B115" s="135">
        <v>25045.0</v>
      </c>
      <c r="C115" s="135"/>
      <c r="D115" s="135">
        <v>1.0</v>
      </c>
      <c r="E115" s="135" t="s">
        <v>2852</v>
      </c>
      <c r="F115" s="135" t="s">
        <v>996</v>
      </c>
      <c r="G115" s="135" t="s">
        <v>34</v>
      </c>
      <c r="H115" s="135" t="s">
        <v>2853</v>
      </c>
      <c r="I115" s="135" t="s">
        <v>35</v>
      </c>
      <c r="J115" s="135">
        <v>1.0</v>
      </c>
      <c r="K115" s="135" t="s">
        <v>2860</v>
      </c>
      <c r="L115" s="135">
        <v>5180.0</v>
      </c>
      <c r="M115" s="135">
        <v>3210.0</v>
      </c>
      <c r="N115" s="135">
        <v>120.0</v>
      </c>
      <c r="O115" s="135">
        <v>2.316</v>
      </c>
      <c r="P115" s="141">
        <v>2.0</v>
      </c>
      <c r="Q115" s="137">
        <v>5.789999999999999</v>
      </c>
      <c r="R115" s="136">
        <v>46078.0</v>
      </c>
      <c r="S115" s="135" t="s">
        <v>2854</v>
      </c>
      <c r="T115" s="136"/>
      <c r="U115" s="135" t="s">
        <v>2855</v>
      </c>
      <c r="V115" s="135" t="s">
        <v>2878</v>
      </c>
      <c r="W115" s="135" t="s">
        <v>2976</v>
      </c>
      <c r="X115" s="135"/>
      <c r="Y115" s="135"/>
      <c r="Z115" s="135" t="s">
        <v>2858</v>
      </c>
      <c r="AA115" s="135"/>
      <c r="AB115" s="135"/>
      <c r="AC115" s="135"/>
      <c r="AD115" s="135">
        <v>46093.0</v>
      </c>
      <c r="AE115" s="135"/>
      <c r="AF115" s="135"/>
      <c r="AG115" s="135"/>
    </row>
    <row r="116" ht="21.75" hidden="1" customHeight="1">
      <c r="A116" s="135">
        <v>112.0</v>
      </c>
      <c r="B116" s="135">
        <v>25045.0</v>
      </c>
      <c r="C116" s="135"/>
      <c r="D116" s="135">
        <v>1.0</v>
      </c>
      <c r="E116" s="135" t="s">
        <v>2852</v>
      </c>
      <c r="F116" s="135" t="s">
        <v>997</v>
      </c>
      <c r="G116" s="135" t="s">
        <v>34</v>
      </c>
      <c r="H116" s="135" t="s">
        <v>2853</v>
      </c>
      <c r="I116" s="135" t="s">
        <v>35</v>
      </c>
      <c r="J116" s="135">
        <v>1.0</v>
      </c>
      <c r="K116" s="135" t="s">
        <v>2860</v>
      </c>
      <c r="L116" s="135">
        <v>5180.0</v>
      </c>
      <c r="M116" s="135">
        <v>3210.0</v>
      </c>
      <c r="N116" s="135">
        <v>120.0</v>
      </c>
      <c r="O116" s="135">
        <v>2.316</v>
      </c>
      <c r="P116" s="141">
        <v>2.0</v>
      </c>
      <c r="Q116" s="137">
        <v>5.789999999999999</v>
      </c>
      <c r="R116" s="136">
        <v>46078.0</v>
      </c>
      <c r="S116" s="135" t="s">
        <v>2854</v>
      </c>
      <c r="T116" s="136"/>
      <c r="U116" s="135" t="s">
        <v>2855</v>
      </c>
      <c r="V116" s="135" t="s">
        <v>2878</v>
      </c>
      <c r="W116" s="135" t="s">
        <v>2976</v>
      </c>
      <c r="X116" s="135"/>
      <c r="Y116" s="135"/>
      <c r="Z116" s="135" t="s">
        <v>2858</v>
      </c>
      <c r="AA116" s="135"/>
      <c r="AB116" s="135"/>
      <c r="AC116" s="135"/>
      <c r="AD116" s="135">
        <v>46094.0</v>
      </c>
      <c r="AE116" s="135"/>
      <c r="AF116" s="135"/>
      <c r="AG116" s="135"/>
    </row>
    <row r="117" ht="21.75" hidden="1" customHeight="1">
      <c r="A117" s="135">
        <v>113.0</v>
      </c>
      <c r="B117" s="135">
        <v>25045.0</v>
      </c>
      <c r="C117" s="135"/>
      <c r="D117" s="135">
        <v>1.0</v>
      </c>
      <c r="E117" s="135" t="s">
        <v>2875</v>
      </c>
      <c r="F117" s="135" t="s">
        <v>1021</v>
      </c>
      <c r="G117" s="135" t="s">
        <v>34</v>
      </c>
      <c r="H117" s="135" t="s">
        <v>2853</v>
      </c>
      <c r="I117" s="135" t="s">
        <v>37</v>
      </c>
      <c r="J117" s="135">
        <v>1.0</v>
      </c>
      <c r="K117" s="135" t="s">
        <v>2860</v>
      </c>
      <c r="L117" s="135">
        <v>5180.0</v>
      </c>
      <c r="M117" s="135">
        <v>3210.0</v>
      </c>
      <c r="N117" s="135">
        <v>120.0</v>
      </c>
      <c r="O117" s="135">
        <v>2.316</v>
      </c>
      <c r="P117" s="141">
        <v>1.0</v>
      </c>
      <c r="Q117" s="137">
        <v>5.789999999999999</v>
      </c>
      <c r="R117" s="136">
        <v>46078.0</v>
      </c>
      <c r="S117" s="135" t="s">
        <v>2854</v>
      </c>
      <c r="T117" s="136"/>
      <c r="U117" s="135" t="s">
        <v>2855</v>
      </c>
      <c r="V117" s="135" t="s">
        <v>2878</v>
      </c>
      <c r="W117" s="135" t="s">
        <v>2976</v>
      </c>
      <c r="X117" s="135"/>
      <c r="Y117" s="135"/>
      <c r="Z117" s="135" t="s">
        <v>2858</v>
      </c>
      <c r="AA117" s="135"/>
      <c r="AB117" s="135"/>
      <c r="AC117" s="135"/>
      <c r="AD117" s="135">
        <v>46095.0</v>
      </c>
      <c r="AE117" s="135"/>
      <c r="AF117" s="135"/>
      <c r="AG117" s="135"/>
    </row>
    <row r="118" ht="21.75" hidden="1" customHeight="1">
      <c r="A118" s="135">
        <v>114.0</v>
      </c>
      <c r="B118" s="135">
        <v>25045.0</v>
      </c>
      <c r="C118" s="135"/>
      <c r="D118" s="135">
        <v>1.0</v>
      </c>
      <c r="E118" s="135" t="s">
        <v>2875</v>
      </c>
      <c r="F118" s="135" t="s">
        <v>1022</v>
      </c>
      <c r="G118" s="135" t="s">
        <v>34</v>
      </c>
      <c r="H118" s="135" t="s">
        <v>2853</v>
      </c>
      <c r="I118" s="135" t="s">
        <v>37</v>
      </c>
      <c r="J118" s="135">
        <v>1.0</v>
      </c>
      <c r="K118" s="135" t="s">
        <v>2860</v>
      </c>
      <c r="L118" s="135">
        <v>5180.0</v>
      </c>
      <c r="M118" s="135">
        <v>3210.0</v>
      </c>
      <c r="N118" s="135">
        <v>120.0</v>
      </c>
      <c r="O118" s="135">
        <v>2.316</v>
      </c>
      <c r="P118" s="141">
        <v>1.0</v>
      </c>
      <c r="Q118" s="137">
        <v>5.789999999999999</v>
      </c>
      <c r="R118" s="136">
        <v>46078.0</v>
      </c>
      <c r="S118" s="135" t="s">
        <v>2854</v>
      </c>
      <c r="T118" s="136"/>
      <c r="U118" s="135" t="s">
        <v>2855</v>
      </c>
      <c r="V118" s="135" t="s">
        <v>2878</v>
      </c>
      <c r="W118" s="135" t="s">
        <v>2976</v>
      </c>
      <c r="X118" s="135"/>
      <c r="Y118" s="135"/>
      <c r="Z118" s="135" t="s">
        <v>2858</v>
      </c>
      <c r="AA118" s="135"/>
      <c r="AB118" s="135"/>
      <c r="AC118" s="135"/>
      <c r="AD118" s="135">
        <v>46097.0</v>
      </c>
      <c r="AE118" s="135"/>
      <c r="AF118" s="135"/>
      <c r="AG118" s="135"/>
    </row>
    <row r="119" ht="21.75" hidden="1" customHeight="1">
      <c r="A119" s="135">
        <v>115.0</v>
      </c>
      <c r="B119" s="135">
        <v>25045.0</v>
      </c>
      <c r="C119" s="135"/>
      <c r="D119" s="135">
        <v>1.0</v>
      </c>
      <c r="E119" s="135" t="s">
        <v>2852</v>
      </c>
      <c r="F119" s="135" t="s">
        <v>998</v>
      </c>
      <c r="G119" s="135" t="s">
        <v>34</v>
      </c>
      <c r="H119" s="135" t="s">
        <v>2853</v>
      </c>
      <c r="I119" s="135" t="s">
        <v>35</v>
      </c>
      <c r="J119" s="135">
        <v>1.0</v>
      </c>
      <c r="K119" s="135"/>
      <c r="L119" s="135">
        <v>5190.0</v>
      </c>
      <c r="M119" s="135">
        <v>3210.0</v>
      </c>
      <c r="N119" s="135">
        <v>120.0</v>
      </c>
      <c r="O119" s="135">
        <v>1.982</v>
      </c>
      <c r="P119" s="141">
        <v>2.0</v>
      </c>
      <c r="Q119" s="137">
        <v>4.955</v>
      </c>
      <c r="R119" s="136">
        <v>46078.0</v>
      </c>
      <c r="S119" s="135" t="s">
        <v>2854</v>
      </c>
      <c r="T119" s="136"/>
      <c r="U119" s="135" t="s">
        <v>2864</v>
      </c>
      <c r="V119" s="135" t="s">
        <v>2890</v>
      </c>
      <c r="W119" s="135" t="s">
        <v>2977</v>
      </c>
      <c r="X119" s="135" t="s">
        <v>2892</v>
      </c>
      <c r="Y119" s="135"/>
      <c r="Z119" s="135" t="s">
        <v>2858</v>
      </c>
      <c r="AA119" s="135"/>
      <c r="AB119" s="135"/>
      <c r="AC119" s="135"/>
      <c r="AD119" s="135">
        <v>46112.0</v>
      </c>
      <c r="AE119" s="135"/>
      <c r="AF119" s="135"/>
      <c r="AG119" s="135"/>
    </row>
    <row r="120" ht="21.75" hidden="1" customHeight="1">
      <c r="A120" s="135">
        <v>116.0</v>
      </c>
      <c r="B120" s="135">
        <v>25045.0</v>
      </c>
      <c r="C120" s="135"/>
      <c r="D120" s="135">
        <v>1.0</v>
      </c>
      <c r="E120" s="135" t="s">
        <v>2852</v>
      </c>
      <c r="F120" s="135" t="s">
        <v>999</v>
      </c>
      <c r="G120" s="135" t="s">
        <v>34</v>
      </c>
      <c r="H120" s="135" t="s">
        <v>2853</v>
      </c>
      <c r="I120" s="135" t="s">
        <v>35</v>
      </c>
      <c r="J120" s="135">
        <v>1.0</v>
      </c>
      <c r="K120" s="135"/>
      <c r="L120" s="135">
        <v>3745.0</v>
      </c>
      <c r="M120" s="135">
        <v>3460.0</v>
      </c>
      <c r="N120" s="135">
        <v>300.0</v>
      </c>
      <c r="O120" s="135">
        <v>2.581</v>
      </c>
      <c r="P120" s="141">
        <v>3.0</v>
      </c>
      <c r="Q120" s="137">
        <v>6.4525</v>
      </c>
      <c r="R120" s="136">
        <v>46081.0</v>
      </c>
      <c r="S120" s="135" t="s">
        <v>2882</v>
      </c>
      <c r="T120" s="136"/>
      <c r="U120" s="135" t="s">
        <v>2864</v>
      </c>
      <c r="V120" s="135" t="s">
        <v>2899</v>
      </c>
      <c r="W120" s="135" t="s">
        <v>2978</v>
      </c>
      <c r="X120" s="135" t="s">
        <v>2885</v>
      </c>
      <c r="Y120" s="135" t="s">
        <v>2886</v>
      </c>
      <c r="Z120" s="135" t="s">
        <v>2858</v>
      </c>
      <c r="AA120" s="135"/>
      <c r="AB120" s="135"/>
      <c r="AC120" s="135"/>
      <c r="AD120" s="135">
        <v>46123.0</v>
      </c>
      <c r="AE120" s="135"/>
      <c r="AF120" s="135"/>
      <c r="AG120" s="135"/>
    </row>
    <row r="121" ht="21.75" hidden="1" customHeight="1">
      <c r="A121" s="135">
        <v>117.0</v>
      </c>
      <c r="B121" s="135">
        <v>25045.0</v>
      </c>
      <c r="C121" s="135"/>
      <c r="D121" s="135">
        <v>1.0</v>
      </c>
      <c r="E121" s="135" t="s">
        <v>2852</v>
      </c>
      <c r="F121" s="135" t="s">
        <v>1000</v>
      </c>
      <c r="G121" s="135" t="s">
        <v>34</v>
      </c>
      <c r="H121" s="135" t="s">
        <v>2853</v>
      </c>
      <c r="I121" s="135" t="s">
        <v>35</v>
      </c>
      <c r="J121" s="135">
        <v>1.0</v>
      </c>
      <c r="K121" s="135"/>
      <c r="L121" s="135">
        <v>3000.0</v>
      </c>
      <c r="M121" s="135">
        <v>1000.0</v>
      </c>
      <c r="N121" s="135">
        <v>120.0</v>
      </c>
      <c r="O121" s="135">
        <v>0.48</v>
      </c>
      <c r="P121" s="141">
        <v>1.0</v>
      </c>
      <c r="Q121" s="137">
        <v>1.2</v>
      </c>
      <c r="R121" s="136">
        <v>46078.0</v>
      </c>
      <c r="S121" s="135" t="s">
        <v>2854</v>
      </c>
      <c r="T121" s="136"/>
      <c r="U121" s="135" t="s">
        <v>2950</v>
      </c>
      <c r="V121" s="135" t="s">
        <v>2951</v>
      </c>
      <c r="W121" s="135" t="s">
        <v>2979</v>
      </c>
      <c r="X121" s="135"/>
      <c r="Y121" s="135"/>
      <c r="Z121" s="135" t="s">
        <v>2858</v>
      </c>
      <c r="AA121" s="135"/>
      <c r="AB121" s="135"/>
      <c r="AC121" s="135"/>
      <c r="AD121" s="135">
        <v>46105.0</v>
      </c>
      <c r="AE121" s="135"/>
      <c r="AF121" s="135"/>
      <c r="AG121" s="135"/>
    </row>
    <row r="122" ht="21.75" hidden="1" customHeight="1">
      <c r="A122" s="135">
        <v>118.0</v>
      </c>
      <c r="B122" s="135">
        <v>25045.0</v>
      </c>
      <c r="C122" s="135"/>
      <c r="D122" s="135">
        <v>1.0</v>
      </c>
      <c r="E122" s="135" t="s">
        <v>2852</v>
      </c>
      <c r="F122" s="135" t="s">
        <v>1001</v>
      </c>
      <c r="G122" s="135" t="s">
        <v>34</v>
      </c>
      <c r="H122" s="135" t="s">
        <v>2853</v>
      </c>
      <c r="I122" s="135" t="s">
        <v>35</v>
      </c>
      <c r="J122" s="135">
        <v>1.0</v>
      </c>
      <c r="K122" s="135"/>
      <c r="L122" s="135">
        <v>4570.0</v>
      </c>
      <c r="M122" s="135">
        <v>1000.0</v>
      </c>
      <c r="N122" s="135">
        <v>120.0</v>
      </c>
      <c r="O122" s="135">
        <v>0.841</v>
      </c>
      <c r="P122" s="141">
        <v>2.0</v>
      </c>
      <c r="Q122" s="137">
        <v>2.1025</v>
      </c>
      <c r="R122" s="136">
        <v>46078.0</v>
      </c>
      <c r="S122" s="135" t="s">
        <v>2854</v>
      </c>
      <c r="T122" s="136"/>
      <c r="U122" s="135" t="s">
        <v>2950</v>
      </c>
      <c r="V122" s="135" t="s">
        <v>2980</v>
      </c>
      <c r="W122" s="135" t="s">
        <v>2981</v>
      </c>
      <c r="X122" s="135"/>
      <c r="Y122" s="135"/>
      <c r="Z122" s="135" t="s">
        <v>2858</v>
      </c>
      <c r="AA122" s="135"/>
      <c r="AB122" s="135"/>
      <c r="AC122" s="135"/>
      <c r="AD122" s="135">
        <v>46141.0</v>
      </c>
      <c r="AE122" s="135"/>
      <c r="AF122" s="135"/>
      <c r="AG122" s="135"/>
    </row>
    <row r="123" ht="21.75" hidden="1" customHeight="1">
      <c r="A123" s="135">
        <v>119.0</v>
      </c>
      <c r="B123" s="135">
        <v>25045.0</v>
      </c>
      <c r="C123" s="135"/>
      <c r="D123" s="135">
        <v>1.0</v>
      </c>
      <c r="E123" s="135" t="s">
        <v>2852</v>
      </c>
      <c r="F123" s="135" t="s">
        <v>1002</v>
      </c>
      <c r="G123" s="135" t="s">
        <v>34</v>
      </c>
      <c r="H123" s="135" t="s">
        <v>2965</v>
      </c>
      <c r="I123" s="135" t="s">
        <v>35</v>
      </c>
      <c r="J123" s="135">
        <v>1.0</v>
      </c>
      <c r="K123" s="135"/>
      <c r="L123" s="135">
        <v>400.0</v>
      </c>
      <c r="M123" s="135">
        <v>3160.0</v>
      </c>
      <c r="N123" s="135">
        <v>350.0</v>
      </c>
      <c r="O123" s="135">
        <v>0.548</v>
      </c>
      <c r="P123" s="141">
        <v>1.0</v>
      </c>
      <c r="Q123" s="137">
        <v>1.37</v>
      </c>
      <c r="R123" s="136">
        <v>46078.0</v>
      </c>
      <c r="S123" s="135" t="s">
        <v>2854</v>
      </c>
      <c r="T123" s="136"/>
      <c r="U123" s="135" t="s">
        <v>2966</v>
      </c>
      <c r="V123" s="135" t="s">
        <v>2967</v>
      </c>
      <c r="W123" s="135"/>
      <c r="X123" s="135" t="s">
        <v>2968</v>
      </c>
      <c r="Y123" s="135"/>
      <c r="Z123" s="135" t="s">
        <v>2858</v>
      </c>
      <c r="AA123" s="135"/>
      <c r="AB123" s="135"/>
      <c r="AC123" s="135"/>
      <c r="AD123" s="135">
        <v>46127.0</v>
      </c>
      <c r="AE123" s="135"/>
      <c r="AF123" s="135"/>
      <c r="AG123" s="135"/>
    </row>
    <row r="124" ht="21.75" hidden="1" customHeight="1">
      <c r="A124" s="135">
        <v>120.0</v>
      </c>
      <c r="B124" s="135">
        <v>25045.0</v>
      </c>
      <c r="C124" s="135"/>
      <c r="D124" s="135">
        <v>1.0</v>
      </c>
      <c r="E124" s="135" t="s">
        <v>2875</v>
      </c>
      <c r="F124" s="135" t="s">
        <v>1023</v>
      </c>
      <c r="G124" s="135" t="s">
        <v>34</v>
      </c>
      <c r="H124" s="135" t="s">
        <v>2853</v>
      </c>
      <c r="I124" s="135" t="s">
        <v>37</v>
      </c>
      <c r="J124" s="135">
        <v>1.0</v>
      </c>
      <c r="K124" s="135"/>
      <c r="L124" s="135">
        <v>3500.0</v>
      </c>
      <c r="M124" s="135">
        <v>3210.0</v>
      </c>
      <c r="N124" s="135">
        <v>120.0</v>
      </c>
      <c r="O124" s="135">
        <v>1.262</v>
      </c>
      <c r="P124" s="141">
        <v>3.0</v>
      </c>
      <c r="Q124" s="137">
        <v>3.1550000000000002</v>
      </c>
      <c r="R124" s="136">
        <v>46078.0</v>
      </c>
      <c r="S124" s="135" t="s">
        <v>2854</v>
      </c>
      <c r="T124" s="136"/>
      <c r="U124" s="135" t="s">
        <v>2864</v>
      </c>
      <c r="V124" s="135" t="s">
        <v>2982</v>
      </c>
      <c r="W124" s="135" t="s">
        <v>2983</v>
      </c>
      <c r="X124" s="135" t="s">
        <v>2895</v>
      </c>
      <c r="Y124" s="135"/>
      <c r="Z124" s="135" t="s">
        <v>2858</v>
      </c>
      <c r="AA124" s="135"/>
      <c r="AB124" s="135"/>
      <c r="AC124" s="135"/>
      <c r="AD124" s="135">
        <v>46136.0</v>
      </c>
      <c r="AE124" s="135"/>
      <c r="AF124" s="135"/>
      <c r="AG124" s="135"/>
    </row>
    <row r="125" ht="21.75" hidden="1" customHeight="1">
      <c r="A125" s="135">
        <v>121.0</v>
      </c>
      <c r="B125" s="135">
        <v>25045.0</v>
      </c>
      <c r="C125" s="135"/>
      <c r="D125" s="135">
        <v>1.0</v>
      </c>
      <c r="E125" s="135" t="s">
        <v>2875</v>
      </c>
      <c r="F125" s="135" t="s">
        <v>1024</v>
      </c>
      <c r="G125" s="135" t="s">
        <v>34</v>
      </c>
      <c r="H125" s="135" t="s">
        <v>2853</v>
      </c>
      <c r="I125" s="135" t="s">
        <v>37</v>
      </c>
      <c r="J125" s="135">
        <v>1.0</v>
      </c>
      <c r="K125" s="135"/>
      <c r="L125" s="135">
        <v>4610.0</v>
      </c>
      <c r="M125" s="135">
        <v>2890.0</v>
      </c>
      <c r="N125" s="135">
        <v>120.0</v>
      </c>
      <c r="O125" s="135">
        <v>1.838</v>
      </c>
      <c r="P125" s="141">
        <v>2.0</v>
      </c>
      <c r="Q125" s="137">
        <v>4.595000000000001</v>
      </c>
      <c r="R125" s="136">
        <v>46078.0</v>
      </c>
      <c r="S125" s="135" t="s">
        <v>2854</v>
      </c>
      <c r="T125" s="136"/>
      <c r="U125" s="135" t="s">
        <v>2855</v>
      </c>
      <c r="V125" s="135" t="s">
        <v>2876</v>
      </c>
      <c r="W125" s="135" t="s">
        <v>2984</v>
      </c>
      <c r="X125" s="135"/>
      <c r="Y125" s="135"/>
      <c r="Z125" s="135" t="s">
        <v>2858</v>
      </c>
      <c r="AA125" s="135"/>
      <c r="AB125" s="135"/>
      <c r="AC125" s="135"/>
      <c r="AD125" s="135">
        <v>46099.0</v>
      </c>
      <c r="AE125" s="135"/>
      <c r="AF125" s="135"/>
      <c r="AG125" s="135"/>
    </row>
    <row r="126" ht="21.75" hidden="1" customHeight="1">
      <c r="A126" s="135">
        <v>122.0</v>
      </c>
      <c r="B126" s="135">
        <v>25045.0</v>
      </c>
      <c r="C126" s="135"/>
      <c r="D126" s="135">
        <v>1.0</v>
      </c>
      <c r="E126" s="135" t="s">
        <v>2875</v>
      </c>
      <c r="F126" s="135" t="s">
        <v>1025</v>
      </c>
      <c r="G126" s="135" t="s">
        <v>34</v>
      </c>
      <c r="H126" s="135" t="s">
        <v>2853</v>
      </c>
      <c r="I126" s="135" t="s">
        <v>37</v>
      </c>
      <c r="J126" s="135">
        <v>1.0</v>
      </c>
      <c r="K126" s="135" t="s">
        <v>2860</v>
      </c>
      <c r="L126" s="135">
        <v>4610.0</v>
      </c>
      <c r="M126" s="135">
        <v>2890.0</v>
      </c>
      <c r="N126" s="135">
        <v>120.0</v>
      </c>
      <c r="O126" s="135">
        <v>1.838</v>
      </c>
      <c r="P126" s="141">
        <v>1.0</v>
      </c>
      <c r="Q126" s="137">
        <v>4.595000000000001</v>
      </c>
      <c r="R126" s="136">
        <v>46078.0</v>
      </c>
      <c r="S126" s="135" t="s">
        <v>2854</v>
      </c>
      <c r="T126" s="136"/>
      <c r="U126" s="135" t="s">
        <v>2855</v>
      </c>
      <c r="V126" s="135" t="s">
        <v>2876</v>
      </c>
      <c r="W126" s="135" t="s">
        <v>2984</v>
      </c>
      <c r="X126" s="135"/>
      <c r="Y126" s="135"/>
      <c r="Z126" s="135" t="s">
        <v>2858</v>
      </c>
      <c r="AA126" s="135"/>
      <c r="AB126" s="135"/>
      <c r="AC126" s="135"/>
      <c r="AD126" s="135">
        <v>46104.0</v>
      </c>
      <c r="AE126" s="135"/>
      <c r="AF126" s="135"/>
      <c r="AG126" s="135"/>
    </row>
    <row r="127" ht="21.75" hidden="1" customHeight="1">
      <c r="A127" s="135">
        <v>123.0</v>
      </c>
      <c r="B127" s="135">
        <v>25045.0</v>
      </c>
      <c r="C127" s="135"/>
      <c r="D127" s="135">
        <v>1.0</v>
      </c>
      <c r="E127" s="135" t="s">
        <v>2875</v>
      </c>
      <c r="F127" s="135" t="s">
        <v>1026</v>
      </c>
      <c r="G127" s="135" t="s">
        <v>34</v>
      </c>
      <c r="H127" s="135" t="s">
        <v>2853</v>
      </c>
      <c r="I127" s="135" t="s">
        <v>37</v>
      </c>
      <c r="J127" s="135">
        <v>1.0</v>
      </c>
      <c r="K127" s="135" t="s">
        <v>2860</v>
      </c>
      <c r="L127" s="135">
        <v>4610.0</v>
      </c>
      <c r="M127" s="135">
        <v>2890.0</v>
      </c>
      <c r="N127" s="135">
        <v>120.0</v>
      </c>
      <c r="O127" s="135">
        <v>1.838</v>
      </c>
      <c r="P127" s="141">
        <v>1.0</v>
      </c>
      <c r="Q127" s="137">
        <v>4.595000000000001</v>
      </c>
      <c r="R127" s="136">
        <v>46078.0</v>
      </c>
      <c r="S127" s="135" t="s">
        <v>2854</v>
      </c>
      <c r="T127" s="136"/>
      <c r="U127" s="135" t="s">
        <v>2855</v>
      </c>
      <c r="V127" s="135" t="s">
        <v>2876</v>
      </c>
      <c r="W127" s="135" t="s">
        <v>2984</v>
      </c>
      <c r="X127" s="135"/>
      <c r="Y127" s="135"/>
      <c r="Z127" s="135" t="s">
        <v>2858</v>
      </c>
      <c r="AA127" s="135"/>
      <c r="AB127" s="135"/>
      <c r="AC127" s="135"/>
      <c r="AD127" s="135">
        <v>46105.0</v>
      </c>
      <c r="AE127" s="135"/>
      <c r="AF127" s="135"/>
      <c r="AG127" s="135"/>
    </row>
    <row r="128" ht="21.75" hidden="1" customHeight="1">
      <c r="A128" s="135">
        <v>124.0</v>
      </c>
      <c r="B128" s="135">
        <v>25045.0</v>
      </c>
      <c r="C128" s="135"/>
      <c r="D128" s="135">
        <v>1.0</v>
      </c>
      <c r="E128" s="135" t="s">
        <v>2875</v>
      </c>
      <c r="F128" s="135" t="s">
        <v>1027</v>
      </c>
      <c r="G128" s="135" t="s">
        <v>34</v>
      </c>
      <c r="H128" s="135" t="s">
        <v>2853</v>
      </c>
      <c r="I128" s="135" t="s">
        <v>37</v>
      </c>
      <c r="J128" s="135">
        <v>1.0</v>
      </c>
      <c r="K128" s="135" t="s">
        <v>2860</v>
      </c>
      <c r="L128" s="135">
        <v>4610.0</v>
      </c>
      <c r="M128" s="135">
        <v>2890.0</v>
      </c>
      <c r="N128" s="135">
        <v>120.0</v>
      </c>
      <c r="O128" s="135">
        <v>1.838</v>
      </c>
      <c r="P128" s="141">
        <v>1.0</v>
      </c>
      <c r="Q128" s="137">
        <v>4.595000000000001</v>
      </c>
      <c r="R128" s="136">
        <v>46078.0</v>
      </c>
      <c r="S128" s="135" t="s">
        <v>2854</v>
      </c>
      <c r="T128" s="136"/>
      <c r="U128" s="135" t="s">
        <v>2855</v>
      </c>
      <c r="V128" s="135" t="s">
        <v>2876</v>
      </c>
      <c r="W128" s="135" t="s">
        <v>2984</v>
      </c>
      <c r="X128" s="135"/>
      <c r="Y128" s="135"/>
      <c r="Z128" s="135" t="s">
        <v>2858</v>
      </c>
      <c r="AA128" s="135"/>
      <c r="AB128" s="135"/>
      <c r="AC128" s="135"/>
      <c r="AD128" s="135">
        <v>46106.0</v>
      </c>
      <c r="AE128" s="135"/>
      <c r="AF128" s="135"/>
      <c r="AG128" s="135"/>
    </row>
    <row r="129" ht="21.75" hidden="1" customHeight="1">
      <c r="A129" s="135">
        <v>125.0</v>
      </c>
      <c r="B129" s="135">
        <v>25045.0</v>
      </c>
      <c r="C129" s="135"/>
      <c r="D129" s="135">
        <v>1.0</v>
      </c>
      <c r="E129" s="135" t="s">
        <v>2880</v>
      </c>
      <c r="F129" s="135" t="s">
        <v>1037</v>
      </c>
      <c r="G129" s="135" t="s">
        <v>34</v>
      </c>
      <c r="H129" s="135" t="s">
        <v>2853</v>
      </c>
      <c r="I129" s="135" t="s">
        <v>39</v>
      </c>
      <c r="J129" s="135">
        <v>1.0</v>
      </c>
      <c r="K129" s="135" t="s">
        <v>2860</v>
      </c>
      <c r="L129" s="135">
        <v>4610.0</v>
      </c>
      <c r="M129" s="135">
        <v>2890.0</v>
      </c>
      <c r="N129" s="135">
        <v>120.0</v>
      </c>
      <c r="O129" s="135">
        <v>1.838</v>
      </c>
      <c r="P129" s="141">
        <v>1.0</v>
      </c>
      <c r="Q129" s="137">
        <v>4.595000000000001</v>
      </c>
      <c r="R129" s="136">
        <v>46078.0</v>
      </c>
      <c r="S129" s="135" t="s">
        <v>2854</v>
      </c>
      <c r="T129" s="136"/>
      <c r="U129" s="135" t="s">
        <v>2855</v>
      </c>
      <c r="V129" s="135" t="s">
        <v>2876</v>
      </c>
      <c r="W129" s="135" t="s">
        <v>2984</v>
      </c>
      <c r="X129" s="135"/>
      <c r="Y129" s="135"/>
      <c r="Z129" s="135" t="s">
        <v>2858</v>
      </c>
      <c r="AA129" s="135"/>
      <c r="AB129" s="135"/>
      <c r="AC129" s="135"/>
      <c r="AD129" s="135">
        <v>46105.0</v>
      </c>
      <c r="AE129" s="135"/>
      <c r="AF129" s="135"/>
      <c r="AG129" s="135"/>
    </row>
    <row r="130" ht="21.75" hidden="1" customHeight="1">
      <c r="A130" s="135">
        <v>126.0</v>
      </c>
      <c r="B130" s="135">
        <v>25045.0</v>
      </c>
      <c r="C130" s="135"/>
      <c r="D130" s="135">
        <v>1.0</v>
      </c>
      <c r="E130" s="135" t="s">
        <v>2880</v>
      </c>
      <c r="F130" s="135" t="s">
        <v>1038</v>
      </c>
      <c r="G130" s="135" t="s">
        <v>34</v>
      </c>
      <c r="H130" s="135" t="s">
        <v>2853</v>
      </c>
      <c r="I130" s="135" t="s">
        <v>39</v>
      </c>
      <c r="J130" s="135">
        <v>1.0</v>
      </c>
      <c r="K130" s="135" t="s">
        <v>2860</v>
      </c>
      <c r="L130" s="135">
        <v>4610.0</v>
      </c>
      <c r="M130" s="135">
        <v>2890.0</v>
      </c>
      <c r="N130" s="135">
        <v>120.0</v>
      </c>
      <c r="O130" s="135">
        <v>1.838</v>
      </c>
      <c r="P130" s="141">
        <v>1.0</v>
      </c>
      <c r="Q130" s="137">
        <v>4.595000000000001</v>
      </c>
      <c r="R130" s="136">
        <v>46078.0</v>
      </c>
      <c r="S130" s="135" t="s">
        <v>2854</v>
      </c>
      <c r="T130" s="136"/>
      <c r="U130" s="135" t="s">
        <v>2855</v>
      </c>
      <c r="V130" s="135" t="s">
        <v>2876</v>
      </c>
      <c r="W130" s="135" t="s">
        <v>2984</v>
      </c>
      <c r="X130" s="135"/>
      <c r="Y130" s="135"/>
      <c r="Z130" s="135" t="s">
        <v>2858</v>
      </c>
      <c r="AA130" s="135"/>
      <c r="AB130" s="135"/>
      <c r="AC130" s="135"/>
      <c r="AD130" s="135">
        <v>46106.0</v>
      </c>
      <c r="AE130" s="135"/>
      <c r="AF130" s="135"/>
      <c r="AG130" s="135"/>
    </row>
    <row r="131" ht="21.75" hidden="1" customHeight="1">
      <c r="A131" s="135">
        <v>127.0</v>
      </c>
      <c r="B131" s="135">
        <v>25045.0</v>
      </c>
      <c r="C131" s="135"/>
      <c r="D131" s="135">
        <v>1.0</v>
      </c>
      <c r="E131" s="135" t="s">
        <v>2880</v>
      </c>
      <c r="F131" s="135" t="s">
        <v>1039</v>
      </c>
      <c r="G131" s="135" t="s">
        <v>34</v>
      </c>
      <c r="H131" s="135" t="s">
        <v>2853</v>
      </c>
      <c r="I131" s="135" t="s">
        <v>39</v>
      </c>
      <c r="J131" s="135">
        <v>1.0</v>
      </c>
      <c r="K131" s="135" t="s">
        <v>2860</v>
      </c>
      <c r="L131" s="135">
        <v>4610.0</v>
      </c>
      <c r="M131" s="135">
        <v>2890.0</v>
      </c>
      <c r="N131" s="135">
        <v>120.0</v>
      </c>
      <c r="O131" s="135">
        <v>1.838</v>
      </c>
      <c r="P131" s="141">
        <v>1.0</v>
      </c>
      <c r="Q131" s="137">
        <v>4.595000000000001</v>
      </c>
      <c r="R131" s="136">
        <v>46078.0</v>
      </c>
      <c r="S131" s="135" t="s">
        <v>2854</v>
      </c>
      <c r="T131" s="136"/>
      <c r="U131" s="135" t="s">
        <v>2855</v>
      </c>
      <c r="V131" s="135" t="s">
        <v>2876</v>
      </c>
      <c r="W131" s="135" t="s">
        <v>2984</v>
      </c>
      <c r="X131" s="135"/>
      <c r="Y131" s="135"/>
      <c r="Z131" s="135" t="s">
        <v>2858</v>
      </c>
      <c r="AA131" s="135"/>
      <c r="AB131" s="135"/>
      <c r="AC131" s="135"/>
      <c r="AD131" s="135">
        <v>46126.0</v>
      </c>
      <c r="AE131" s="135"/>
      <c r="AF131" s="135"/>
      <c r="AG131" s="135"/>
    </row>
    <row r="132" ht="21.75" hidden="1" customHeight="1">
      <c r="A132" s="135">
        <v>128.0</v>
      </c>
      <c r="B132" s="135">
        <v>25045.0</v>
      </c>
      <c r="C132" s="135"/>
      <c r="D132" s="135">
        <v>1.0</v>
      </c>
      <c r="E132" s="135" t="s">
        <v>2880</v>
      </c>
      <c r="F132" s="135" t="s">
        <v>1040</v>
      </c>
      <c r="G132" s="135" t="s">
        <v>34</v>
      </c>
      <c r="H132" s="135" t="s">
        <v>2853</v>
      </c>
      <c r="I132" s="135" t="s">
        <v>39</v>
      </c>
      <c r="J132" s="135">
        <v>1.0</v>
      </c>
      <c r="K132" s="135" t="s">
        <v>2860</v>
      </c>
      <c r="L132" s="135">
        <v>4610.0</v>
      </c>
      <c r="M132" s="135">
        <v>2890.0</v>
      </c>
      <c r="N132" s="135">
        <v>120.0</v>
      </c>
      <c r="O132" s="135">
        <v>1.838</v>
      </c>
      <c r="P132" s="141">
        <v>1.0</v>
      </c>
      <c r="Q132" s="137">
        <v>4.595000000000001</v>
      </c>
      <c r="R132" s="136">
        <v>46078.0</v>
      </c>
      <c r="S132" s="135" t="s">
        <v>2854</v>
      </c>
      <c r="T132" s="136"/>
      <c r="U132" s="135" t="s">
        <v>2855</v>
      </c>
      <c r="V132" s="135" t="s">
        <v>2876</v>
      </c>
      <c r="W132" s="135" t="s">
        <v>2984</v>
      </c>
      <c r="X132" s="135"/>
      <c r="Y132" s="135"/>
      <c r="Z132" s="135" t="s">
        <v>2858</v>
      </c>
      <c r="AA132" s="135"/>
      <c r="AB132" s="135"/>
      <c r="AC132" s="135"/>
      <c r="AD132" s="135">
        <v>46127.0</v>
      </c>
      <c r="AE132" s="135"/>
      <c r="AF132" s="135"/>
      <c r="AG132" s="135"/>
    </row>
    <row r="133" ht="21.75" hidden="1" customHeight="1">
      <c r="A133" s="135">
        <v>129.0</v>
      </c>
      <c r="B133" s="135">
        <v>25045.0</v>
      </c>
      <c r="C133" s="135"/>
      <c r="D133" s="135">
        <v>1.0</v>
      </c>
      <c r="E133" s="135" t="s">
        <v>2875</v>
      </c>
      <c r="F133" s="135" t="s">
        <v>1028</v>
      </c>
      <c r="G133" s="135" t="s">
        <v>34</v>
      </c>
      <c r="H133" s="135" t="s">
        <v>2853</v>
      </c>
      <c r="I133" s="135" t="s">
        <v>37</v>
      </c>
      <c r="J133" s="135">
        <v>1.0</v>
      </c>
      <c r="K133" s="135"/>
      <c r="L133" s="135">
        <v>4610.0</v>
      </c>
      <c r="M133" s="135">
        <v>2890.0</v>
      </c>
      <c r="N133" s="135">
        <v>120.0</v>
      </c>
      <c r="O133" s="135">
        <v>1.548</v>
      </c>
      <c r="P133" s="141">
        <v>1.0</v>
      </c>
      <c r="Q133" s="137">
        <v>3.87</v>
      </c>
      <c r="R133" s="136">
        <v>46078.0</v>
      </c>
      <c r="S133" s="135" t="s">
        <v>2854</v>
      </c>
      <c r="T133" s="136"/>
      <c r="U133" s="135" t="s">
        <v>2864</v>
      </c>
      <c r="V133" s="135" t="s">
        <v>2985</v>
      </c>
      <c r="W133" s="135" t="s">
        <v>2986</v>
      </c>
      <c r="X133" s="135" t="s">
        <v>2892</v>
      </c>
      <c r="Y133" s="135"/>
      <c r="Z133" s="135" t="s">
        <v>2858</v>
      </c>
      <c r="AA133" s="135"/>
      <c r="AB133" s="135"/>
      <c r="AC133" s="135"/>
      <c r="AD133" s="135">
        <v>46095.0</v>
      </c>
      <c r="AE133" s="135"/>
      <c r="AF133" s="135"/>
      <c r="AG133" s="135"/>
    </row>
    <row r="134" ht="21.75" hidden="1" customHeight="1">
      <c r="A134" s="135">
        <v>130.0</v>
      </c>
      <c r="B134" s="135">
        <v>25045.0</v>
      </c>
      <c r="C134" s="135"/>
      <c r="D134" s="135">
        <v>1.0</v>
      </c>
      <c r="E134" s="135" t="s">
        <v>2875</v>
      </c>
      <c r="F134" s="135" t="s">
        <v>1029</v>
      </c>
      <c r="G134" s="135" t="s">
        <v>34</v>
      </c>
      <c r="H134" s="135" t="s">
        <v>2853</v>
      </c>
      <c r="I134" s="135" t="s">
        <v>37</v>
      </c>
      <c r="J134" s="135">
        <v>1.0</v>
      </c>
      <c r="K134" s="135"/>
      <c r="L134" s="135">
        <v>5435.0</v>
      </c>
      <c r="M134" s="135">
        <v>3460.0</v>
      </c>
      <c r="N134" s="135">
        <v>300.0</v>
      </c>
      <c r="O134" s="135">
        <v>3.614</v>
      </c>
      <c r="P134" s="141">
        <v>3.0</v>
      </c>
      <c r="Q134" s="137">
        <v>9.035</v>
      </c>
      <c r="R134" s="136">
        <v>46081.0</v>
      </c>
      <c r="S134" s="135" t="s">
        <v>2882</v>
      </c>
      <c r="T134" s="136"/>
      <c r="U134" s="135" t="s">
        <v>2864</v>
      </c>
      <c r="V134" s="135" t="s">
        <v>2883</v>
      </c>
      <c r="W134" s="135" t="s">
        <v>2987</v>
      </c>
      <c r="X134" s="135" t="s">
        <v>2885</v>
      </c>
      <c r="Y134" s="135" t="s">
        <v>2886</v>
      </c>
      <c r="Z134" s="135" t="s">
        <v>2858</v>
      </c>
      <c r="AA134" s="135"/>
      <c r="AB134" s="135"/>
      <c r="AC134" s="135"/>
      <c r="AD134" s="135">
        <v>46113.0</v>
      </c>
      <c r="AE134" s="135"/>
      <c r="AF134" s="135"/>
      <c r="AG134" s="135"/>
    </row>
    <row r="135" ht="21.75" hidden="1" customHeight="1">
      <c r="A135" s="135">
        <v>131.0</v>
      </c>
      <c r="B135" s="135">
        <v>25045.0</v>
      </c>
      <c r="C135" s="135"/>
      <c r="D135" s="135">
        <v>1.0</v>
      </c>
      <c r="E135" s="135" t="s">
        <v>2875</v>
      </c>
      <c r="F135" s="135" t="s">
        <v>1030</v>
      </c>
      <c r="G135" s="135" t="s">
        <v>34</v>
      </c>
      <c r="H135" s="135" t="s">
        <v>2965</v>
      </c>
      <c r="I135" s="135" t="s">
        <v>37</v>
      </c>
      <c r="J135" s="135">
        <v>1.0</v>
      </c>
      <c r="K135" s="135"/>
      <c r="L135" s="135">
        <v>400.0</v>
      </c>
      <c r="M135" s="135">
        <v>3160.0</v>
      </c>
      <c r="N135" s="135">
        <v>350.0</v>
      </c>
      <c r="O135" s="135">
        <v>0.548</v>
      </c>
      <c r="P135" s="141">
        <v>2.0</v>
      </c>
      <c r="Q135" s="137">
        <v>1.37</v>
      </c>
      <c r="R135" s="136">
        <v>46078.0</v>
      </c>
      <c r="S135" s="135" t="s">
        <v>2854</v>
      </c>
      <c r="T135" s="136"/>
      <c r="U135" s="135" t="s">
        <v>2966</v>
      </c>
      <c r="V135" s="135" t="s">
        <v>2967</v>
      </c>
      <c r="W135" s="135"/>
      <c r="X135" s="135" t="s">
        <v>2969</v>
      </c>
      <c r="Y135" s="135"/>
      <c r="Z135" s="135" t="s">
        <v>2858</v>
      </c>
      <c r="AA135" s="135"/>
      <c r="AB135" s="135"/>
      <c r="AC135" s="135"/>
      <c r="AD135" s="135">
        <v>46121.0</v>
      </c>
      <c r="AE135" s="135"/>
      <c r="AF135" s="135"/>
      <c r="AG135" s="135"/>
    </row>
    <row r="136" ht="21.75" hidden="1" customHeight="1">
      <c r="A136" s="135">
        <v>132.0</v>
      </c>
      <c r="B136" s="135">
        <v>25045.0</v>
      </c>
      <c r="C136" s="135"/>
      <c r="D136" s="135">
        <v>1.0</v>
      </c>
      <c r="E136" s="135" t="s">
        <v>2880</v>
      </c>
      <c r="F136" s="135" t="s">
        <v>1041</v>
      </c>
      <c r="G136" s="135" t="s">
        <v>34</v>
      </c>
      <c r="H136" s="135" t="s">
        <v>2853</v>
      </c>
      <c r="I136" s="135" t="s">
        <v>39</v>
      </c>
      <c r="J136" s="135">
        <v>1.0</v>
      </c>
      <c r="K136" s="135"/>
      <c r="L136" s="135">
        <v>4610.0</v>
      </c>
      <c r="M136" s="135">
        <v>2890.0</v>
      </c>
      <c r="N136" s="135">
        <v>120.0</v>
      </c>
      <c r="O136" s="135">
        <v>1.548</v>
      </c>
      <c r="P136" s="141">
        <v>2.0</v>
      </c>
      <c r="Q136" s="137">
        <v>3.87</v>
      </c>
      <c r="R136" s="136">
        <v>46078.0</v>
      </c>
      <c r="S136" s="135" t="s">
        <v>2854</v>
      </c>
      <c r="T136" s="136"/>
      <c r="U136" s="135" t="s">
        <v>2864</v>
      </c>
      <c r="V136" s="135" t="s">
        <v>2985</v>
      </c>
      <c r="W136" s="135" t="s">
        <v>2988</v>
      </c>
      <c r="X136" s="135" t="s">
        <v>2895</v>
      </c>
      <c r="Y136" s="135"/>
      <c r="Z136" s="135" t="s">
        <v>2858</v>
      </c>
      <c r="AA136" s="135"/>
      <c r="AB136" s="135"/>
      <c r="AC136" s="135"/>
      <c r="AD136" s="135">
        <v>46097.0</v>
      </c>
      <c r="AE136" s="135"/>
      <c r="AF136" s="135"/>
      <c r="AG136" s="135"/>
    </row>
    <row r="137" ht="21.75" hidden="1" customHeight="1">
      <c r="A137" s="135">
        <v>133.0</v>
      </c>
      <c r="B137" s="135">
        <v>25045.0</v>
      </c>
      <c r="C137" s="135"/>
      <c r="D137" s="135">
        <v>1.0</v>
      </c>
      <c r="E137" s="135" t="s">
        <v>2880</v>
      </c>
      <c r="F137" s="135" t="s">
        <v>1042</v>
      </c>
      <c r="G137" s="135" t="s">
        <v>34</v>
      </c>
      <c r="H137" s="135" t="s">
        <v>2853</v>
      </c>
      <c r="I137" s="135" t="s">
        <v>39</v>
      </c>
      <c r="J137" s="135">
        <v>1.0</v>
      </c>
      <c r="K137" s="135"/>
      <c r="L137" s="135">
        <v>5015.0</v>
      </c>
      <c r="M137" s="135">
        <v>3280.0</v>
      </c>
      <c r="N137" s="135">
        <v>120.0</v>
      </c>
      <c r="O137" s="135">
        <v>2.31</v>
      </c>
      <c r="P137" s="141">
        <v>2.0</v>
      </c>
      <c r="Q137" s="137">
        <v>5.775</v>
      </c>
      <c r="R137" s="136">
        <v>46078.0</v>
      </c>
      <c r="S137" s="135" t="s">
        <v>2854</v>
      </c>
      <c r="T137" s="136"/>
      <c r="U137" s="135" t="s">
        <v>2855</v>
      </c>
      <c r="V137" s="135" t="s">
        <v>2878</v>
      </c>
      <c r="W137" s="135" t="s">
        <v>2915</v>
      </c>
      <c r="X137" s="135"/>
      <c r="Y137" s="135"/>
      <c r="Z137" s="135" t="s">
        <v>2858</v>
      </c>
      <c r="AA137" s="135"/>
      <c r="AB137" s="135"/>
      <c r="AC137" s="135"/>
      <c r="AD137" s="135">
        <v>46097.0</v>
      </c>
      <c r="AE137" s="135"/>
      <c r="AF137" s="135"/>
      <c r="AG137" s="135"/>
    </row>
    <row r="138" ht="21.75" hidden="1" customHeight="1">
      <c r="A138" s="135">
        <v>134.0</v>
      </c>
      <c r="B138" s="135">
        <v>25045.0</v>
      </c>
      <c r="C138" s="135"/>
      <c r="D138" s="135">
        <v>1.0</v>
      </c>
      <c r="E138" s="135" t="s">
        <v>2880</v>
      </c>
      <c r="F138" s="135" t="s">
        <v>1043</v>
      </c>
      <c r="G138" s="135" t="s">
        <v>34</v>
      </c>
      <c r="H138" s="135" t="s">
        <v>2853</v>
      </c>
      <c r="I138" s="135" t="s">
        <v>39</v>
      </c>
      <c r="J138" s="135">
        <v>1.0</v>
      </c>
      <c r="K138" s="135" t="s">
        <v>2860</v>
      </c>
      <c r="L138" s="135">
        <v>4912.0</v>
      </c>
      <c r="M138" s="135">
        <v>3280.0</v>
      </c>
      <c r="N138" s="135">
        <v>120.0</v>
      </c>
      <c r="O138" s="135">
        <v>2.28</v>
      </c>
      <c r="P138" s="141">
        <v>2.0</v>
      </c>
      <c r="Q138" s="137">
        <v>5.699999999999999</v>
      </c>
      <c r="R138" s="136">
        <v>46078.0</v>
      </c>
      <c r="S138" s="135" t="s">
        <v>2854</v>
      </c>
      <c r="T138" s="136"/>
      <c r="U138" s="135" t="s">
        <v>2855</v>
      </c>
      <c r="V138" s="135" t="s">
        <v>2878</v>
      </c>
      <c r="W138" s="135" t="s">
        <v>2989</v>
      </c>
      <c r="X138" s="135"/>
      <c r="Y138" s="135"/>
      <c r="Z138" s="135" t="s">
        <v>2858</v>
      </c>
      <c r="AA138" s="135"/>
      <c r="AB138" s="135"/>
      <c r="AC138" s="135"/>
      <c r="AD138" s="135">
        <v>46111.0</v>
      </c>
      <c r="AE138" s="135"/>
      <c r="AF138" s="135"/>
      <c r="AG138" s="135"/>
    </row>
    <row r="139" ht="21.75" hidden="1" customHeight="1">
      <c r="A139" s="135">
        <v>135.0</v>
      </c>
      <c r="B139" s="135">
        <v>25045.0</v>
      </c>
      <c r="C139" s="135"/>
      <c r="D139" s="135">
        <v>1.0</v>
      </c>
      <c r="E139" s="135" t="s">
        <v>2880</v>
      </c>
      <c r="F139" s="135" t="s">
        <v>1044</v>
      </c>
      <c r="G139" s="135" t="s">
        <v>34</v>
      </c>
      <c r="H139" s="135" t="s">
        <v>2853</v>
      </c>
      <c r="I139" s="135" t="s">
        <v>39</v>
      </c>
      <c r="J139" s="135">
        <v>1.0</v>
      </c>
      <c r="K139" s="135" t="s">
        <v>2860</v>
      </c>
      <c r="L139" s="135">
        <v>4912.0</v>
      </c>
      <c r="M139" s="135">
        <v>3280.0</v>
      </c>
      <c r="N139" s="135">
        <v>120.0</v>
      </c>
      <c r="O139" s="135">
        <v>2.28</v>
      </c>
      <c r="P139" s="141">
        <v>2.0</v>
      </c>
      <c r="Q139" s="137">
        <v>5.699999999999999</v>
      </c>
      <c r="R139" s="136">
        <v>46078.0</v>
      </c>
      <c r="S139" s="135" t="s">
        <v>2854</v>
      </c>
      <c r="T139" s="136"/>
      <c r="U139" s="135" t="s">
        <v>2855</v>
      </c>
      <c r="V139" s="135" t="s">
        <v>2878</v>
      </c>
      <c r="W139" s="135" t="s">
        <v>2989</v>
      </c>
      <c r="X139" s="135"/>
      <c r="Y139" s="135"/>
      <c r="Z139" s="135" t="s">
        <v>2858</v>
      </c>
      <c r="AA139" s="135"/>
      <c r="AB139" s="135"/>
      <c r="AC139" s="135"/>
      <c r="AD139" s="135">
        <v>46112.0</v>
      </c>
      <c r="AE139" s="135"/>
      <c r="AF139" s="135"/>
      <c r="AG139" s="135"/>
    </row>
    <row r="140" ht="21.75" hidden="1" customHeight="1">
      <c r="A140" s="135">
        <v>136.0</v>
      </c>
      <c r="B140" s="135">
        <v>25045.0</v>
      </c>
      <c r="C140" s="135"/>
      <c r="D140" s="135">
        <v>1.0</v>
      </c>
      <c r="E140" s="135" t="s">
        <v>2880</v>
      </c>
      <c r="F140" s="135" t="s">
        <v>1045</v>
      </c>
      <c r="G140" s="135" t="s">
        <v>34</v>
      </c>
      <c r="H140" s="135" t="s">
        <v>2853</v>
      </c>
      <c r="I140" s="135" t="s">
        <v>39</v>
      </c>
      <c r="J140" s="135">
        <v>1.0</v>
      </c>
      <c r="K140" s="135"/>
      <c r="L140" s="135">
        <v>4912.0</v>
      </c>
      <c r="M140" s="135">
        <v>3280.0</v>
      </c>
      <c r="N140" s="135">
        <v>120.0</v>
      </c>
      <c r="O140" s="135">
        <v>1.943</v>
      </c>
      <c r="P140" s="141">
        <v>2.0</v>
      </c>
      <c r="Q140" s="137">
        <v>4.8575</v>
      </c>
      <c r="R140" s="136">
        <v>46078.0</v>
      </c>
      <c r="S140" s="135" t="s">
        <v>2854</v>
      </c>
      <c r="T140" s="136"/>
      <c r="U140" s="135" t="s">
        <v>2864</v>
      </c>
      <c r="V140" s="135" t="s">
        <v>2890</v>
      </c>
      <c r="W140" s="135" t="s">
        <v>2990</v>
      </c>
      <c r="X140" s="135" t="s">
        <v>2892</v>
      </c>
      <c r="Y140" s="135"/>
      <c r="Z140" s="135" t="s">
        <v>2858</v>
      </c>
      <c r="AA140" s="135"/>
      <c r="AB140" s="135"/>
      <c r="AC140" s="135"/>
      <c r="AD140" s="135">
        <v>46114.0</v>
      </c>
      <c r="AE140" s="135"/>
      <c r="AF140" s="135"/>
      <c r="AG140" s="135"/>
    </row>
    <row r="141" ht="21.75" hidden="1" customHeight="1">
      <c r="A141" s="135">
        <v>137.0</v>
      </c>
      <c r="B141" s="135">
        <v>25045.0</v>
      </c>
      <c r="C141" s="135"/>
      <c r="D141" s="135">
        <v>1.0</v>
      </c>
      <c r="E141" s="135" t="s">
        <v>2887</v>
      </c>
      <c r="F141" s="135" t="s">
        <v>1071</v>
      </c>
      <c r="G141" s="135" t="s">
        <v>34</v>
      </c>
      <c r="H141" s="135" t="s">
        <v>2853</v>
      </c>
      <c r="I141" s="135" t="s">
        <v>40</v>
      </c>
      <c r="J141" s="135">
        <v>1.0</v>
      </c>
      <c r="K141" s="135"/>
      <c r="L141" s="135">
        <v>4612.0</v>
      </c>
      <c r="M141" s="135">
        <v>3280.0</v>
      </c>
      <c r="N141" s="135">
        <v>120.0</v>
      </c>
      <c r="O141" s="135">
        <v>1.854</v>
      </c>
      <c r="P141" s="141">
        <v>1.0</v>
      </c>
      <c r="Q141" s="137">
        <v>4.635</v>
      </c>
      <c r="R141" s="136">
        <v>46081.0</v>
      </c>
      <c r="S141" s="135" t="s">
        <v>2882</v>
      </c>
      <c r="T141" s="136"/>
      <c r="U141" s="135" t="s">
        <v>2864</v>
      </c>
      <c r="V141" s="135" t="s">
        <v>2890</v>
      </c>
      <c r="W141" s="135" t="s">
        <v>2991</v>
      </c>
      <c r="X141" s="135" t="s">
        <v>2895</v>
      </c>
      <c r="Y141" s="135"/>
      <c r="Z141" s="135" t="s">
        <v>2858</v>
      </c>
      <c r="AA141" s="135"/>
      <c r="AB141" s="135"/>
      <c r="AC141" s="135"/>
      <c r="AD141" s="135">
        <v>46107.0</v>
      </c>
      <c r="AE141" s="135"/>
      <c r="AF141" s="135"/>
      <c r="AG141" s="135"/>
    </row>
    <row r="142" ht="21.75" hidden="1" customHeight="1">
      <c r="A142" s="135">
        <v>138.0</v>
      </c>
      <c r="B142" s="135">
        <v>25045.0</v>
      </c>
      <c r="C142" s="135"/>
      <c r="D142" s="135">
        <v>1.0</v>
      </c>
      <c r="E142" s="135" t="s">
        <v>2887</v>
      </c>
      <c r="F142" s="135" t="s">
        <v>1072</v>
      </c>
      <c r="G142" s="135" t="s">
        <v>34</v>
      </c>
      <c r="H142" s="135" t="s">
        <v>2853</v>
      </c>
      <c r="I142" s="135" t="s">
        <v>40</v>
      </c>
      <c r="J142" s="135">
        <v>1.0</v>
      </c>
      <c r="K142" s="135" t="s">
        <v>2860</v>
      </c>
      <c r="L142" s="135">
        <v>4612.0</v>
      </c>
      <c r="M142" s="135">
        <v>3280.0</v>
      </c>
      <c r="N142" s="135">
        <v>120.0</v>
      </c>
      <c r="O142" s="135">
        <v>2.19</v>
      </c>
      <c r="P142" s="141">
        <v>2.0</v>
      </c>
      <c r="Q142" s="137">
        <v>5.475</v>
      </c>
      <c r="R142" s="136">
        <v>46081.0</v>
      </c>
      <c r="S142" s="135" t="s">
        <v>2882</v>
      </c>
      <c r="T142" s="136"/>
      <c r="U142" s="135" t="s">
        <v>2855</v>
      </c>
      <c r="V142" s="135" t="s">
        <v>2878</v>
      </c>
      <c r="W142" s="135" t="s">
        <v>2888</v>
      </c>
      <c r="X142" s="135"/>
      <c r="Y142" s="135"/>
      <c r="Z142" s="135" t="s">
        <v>2858</v>
      </c>
      <c r="AA142" s="135"/>
      <c r="AB142" s="135"/>
      <c r="AC142" s="135"/>
      <c r="AD142" s="135">
        <v>46132.0</v>
      </c>
      <c r="AE142" s="135"/>
      <c r="AF142" s="135"/>
      <c r="AG142" s="135"/>
    </row>
    <row r="143" ht="21.75" hidden="1" customHeight="1">
      <c r="A143" s="135">
        <v>139.0</v>
      </c>
      <c r="B143" s="135">
        <v>25045.0</v>
      </c>
      <c r="C143" s="135"/>
      <c r="D143" s="135">
        <v>1.0</v>
      </c>
      <c r="E143" s="135" t="s">
        <v>2887</v>
      </c>
      <c r="F143" s="135" t="s">
        <v>1073</v>
      </c>
      <c r="G143" s="135" t="s">
        <v>34</v>
      </c>
      <c r="H143" s="135" t="s">
        <v>2853</v>
      </c>
      <c r="I143" s="135" t="s">
        <v>40</v>
      </c>
      <c r="J143" s="135">
        <v>1.0</v>
      </c>
      <c r="K143" s="135" t="s">
        <v>2860</v>
      </c>
      <c r="L143" s="135">
        <v>4612.0</v>
      </c>
      <c r="M143" s="135">
        <v>3280.0</v>
      </c>
      <c r="N143" s="135">
        <v>120.0</v>
      </c>
      <c r="O143" s="135">
        <v>2.19</v>
      </c>
      <c r="P143" s="141">
        <v>2.0</v>
      </c>
      <c r="Q143" s="137">
        <v>5.475</v>
      </c>
      <c r="R143" s="136">
        <v>46081.0</v>
      </c>
      <c r="S143" s="135" t="s">
        <v>2882</v>
      </c>
      <c r="T143" s="136"/>
      <c r="U143" s="135" t="s">
        <v>2855</v>
      </c>
      <c r="V143" s="135" t="s">
        <v>2878</v>
      </c>
      <c r="W143" s="135" t="s">
        <v>2888</v>
      </c>
      <c r="X143" s="135"/>
      <c r="Y143" s="135"/>
      <c r="Z143" s="135" t="s">
        <v>2858</v>
      </c>
      <c r="AA143" s="135"/>
      <c r="AB143" s="135"/>
      <c r="AC143" s="135"/>
      <c r="AD143" s="135">
        <v>46133.0</v>
      </c>
      <c r="AE143" s="135"/>
      <c r="AF143" s="135"/>
      <c r="AG143" s="135"/>
    </row>
    <row r="144" ht="21.75" hidden="1" customHeight="1">
      <c r="A144" s="135">
        <v>140.0</v>
      </c>
      <c r="B144" s="135">
        <v>25045.0</v>
      </c>
      <c r="C144" s="135"/>
      <c r="D144" s="135">
        <v>1.0</v>
      </c>
      <c r="E144" s="135" t="s">
        <v>2887</v>
      </c>
      <c r="F144" s="135" t="s">
        <v>1074</v>
      </c>
      <c r="G144" s="135" t="s">
        <v>34</v>
      </c>
      <c r="H144" s="135" t="s">
        <v>2853</v>
      </c>
      <c r="I144" s="135" t="s">
        <v>40</v>
      </c>
      <c r="J144" s="135">
        <v>1.0</v>
      </c>
      <c r="K144" s="135" t="s">
        <v>2860</v>
      </c>
      <c r="L144" s="135">
        <v>4612.0</v>
      </c>
      <c r="M144" s="135">
        <v>3280.0</v>
      </c>
      <c r="N144" s="135">
        <v>120.0</v>
      </c>
      <c r="O144" s="135">
        <v>2.19</v>
      </c>
      <c r="P144" s="141">
        <v>2.0</v>
      </c>
      <c r="Q144" s="137">
        <v>5.475</v>
      </c>
      <c r="R144" s="136">
        <v>46081.0</v>
      </c>
      <c r="S144" s="135" t="s">
        <v>2882</v>
      </c>
      <c r="T144" s="136"/>
      <c r="U144" s="135" t="s">
        <v>2855</v>
      </c>
      <c r="V144" s="135" t="s">
        <v>2878</v>
      </c>
      <c r="W144" s="135" t="s">
        <v>2888</v>
      </c>
      <c r="X144" s="135"/>
      <c r="Y144" s="135"/>
      <c r="Z144" s="135" t="s">
        <v>2858</v>
      </c>
      <c r="AA144" s="135"/>
      <c r="AB144" s="135"/>
      <c r="AC144" s="135"/>
      <c r="AD144" s="135">
        <v>46134.0</v>
      </c>
      <c r="AE144" s="135"/>
      <c r="AF144" s="135"/>
      <c r="AG144" s="135"/>
    </row>
    <row r="145" ht="21.75" hidden="1" customHeight="1">
      <c r="A145" s="135">
        <v>141.0</v>
      </c>
      <c r="B145" s="135">
        <v>25045.0</v>
      </c>
      <c r="C145" s="135"/>
      <c r="D145" s="135">
        <v>1.0</v>
      </c>
      <c r="E145" s="135" t="s">
        <v>2887</v>
      </c>
      <c r="F145" s="135" t="s">
        <v>1075</v>
      </c>
      <c r="G145" s="135" t="s">
        <v>34</v>
      </c>
      <c r="H145" s="135" t="s">
        <v>2853</v>
      </c>
      <c r="I145" s="135" t="s">
        <v>40</v>
      </c>
      <c r="J145" s="135">
        <v>1.0</v>
      </c>
      <c r="K145" s="135" t="s">
        <v>2860</v>
      </c>
      <c r="L145" s="135">
        <v>4612.0</v>
      </c>
      <c r="M145" s="135">
        <v>3280.0</v>
      </c>
      <c r="N145" s="135">
        <v>120.0</v>
      </c>
      <c r="O145" s="135">
        <v>2.19</v>
      </c>
      <c r="P145" s="141">
        <v>2.0</v>
      </c>
      <c r="Q145" s="137">
        <v>5.475</v>
      </c>
      <c r="R145" s="136">
        <v>46081.0</v>
      </c>
      <c r="S145" s="135" t="s">
        <v>2882</v>
      </c>
      <c r="T145" s="136"/>
      <c r="U145" s="135" t="s">
        <v>2855</v>
      </c>
      <c r="V145" s="135" t="s">
        <v>2878</v>
      </c>
      <c r="W145" s="135" t="s">
        <v>2888</v>
      </c>
      <c r="X145" s="135"/>
      <c r="Y145" s="135"/>
      <c r="Z145" s="135" t="s">
        <v>2858</v>
      </c>
      <c r="AA145" s="135"/>
      <c r="AB145" s="135"/>
      <c r="AC145" s="135"/>
      <c r="AD145" s="135">
        <v>46135.0</v>
      </c>
      <c r="AE145" s="135"/>
      <c r="AF145" s="135"/>
      <c r="AG145" s="135"/>
    </row>
    <row r="146" ht="21.75" hidden="1" customHeight="1">
      <c r="A146" s="135">
        <v>142.0</v>
      </c>
      <c r="B146" s="135">
        <v>25045.0</v>
      </c>
      <c r="C146" s="135"/>
      <c r="D146" s="135">
        <v>2.0</v>
      </c>
      <c r="E146" s="135" t="s">
        <v>2992</v>
      </c>
      <c r="F146" s="135" t="s">
        <v>1145</v>
      </c>
      <c r="G146" s="135" t="s">
        <v>18</v>
      </c>
      <c r="H146" s="135" t="s">
        <v>2853</v>
      </c>
      <c r="I146" s="135" t="s">
        <v>19</v>
      </c>
      <c r="J146" s="135">
        <v>1.0</v>
      </c>
      <c r="K146" s="135"/>
      <c r="L146" s="135">
        <v>2865.0</v>
      </c>
      <c r="M146" s="135">
        <v>2930.0</v>
      </c>
      <c r="N146" s="135">
        <v>120.0</v>
      </c>
      <c r="O146" s="135">
        <v>0.826</v>
      </c>
      <c r="P146" s="141">
        <v>1.0</v>
      </c>
      <c r="Q146" s="137">
        <v>2.065</v>
      </c>
      <c r="R146" s="136">
        <v>46066.0</v>
      </c>
      <c r="S146" s="135" t="s">
        <v>2993</v>
      </c>
      <c r="T146" s="136">
        <v>46067.0</v>
      </c>
      <c r="U146" s="135" t="s">
        <v>2864</v>
      </c>
      <c r="V146" s="135" t="s">
        <v>2878</v>
      </c>
      <c r="W146" s="135" t="s">
        <v>2994</v>
      </c>
      <c r="X146" s="135" t="s">
        <v>2892</v>
      </c>
      <c r="Y146" s="135"/>
      <c r="Z146" s="135" t="s">
        <v>2858</v>
      </c>
      <c r="AA146" s="135" t="s">
        <v>2995</v>
      </c>
      <c r="AB146" s="135"/>
      <c r="AC146" s="135"/>
      <c r="AD146" s="135">
        <v>46077.0</v>
      </c>
      <c r="AE146" s="135"/>
      <c r="AF146" s="135"/>
      <c r="AG146" s="135"/>
    </row>
    <row r="147" ht="21.75" hidden="1" customHeight="1">
      <c r="A147" s="135">
        <v>143.0</v>
      </c>
      <c r="B147" s="135">
        <v>25045.0</v>
      </c>
      <c r="C147" s="135" t="s">
        <v>2817</v>
      </c>
      <c r="D147" s="135">
        <v>2.0</v>
      </c>
      <c r="E147" s="135" t="s">
        <v>2992</v>
      </c>
      <c r="F147" s="135" t="s">
        <v>1146</v>
      </c>
      <c r="G147" s="135" t="s">
        <v>18</v>
      </c>
      <c r="H147" s="135" t="s">
        <v>2853</v>
      </c>
      <c r="I147" s="135" t="s">
        <v>19</v>
      </c>
      <c r="J147" s="135">
        <v>1.0</v>
      </c>
      <c r="K147" s="135"/>
      <c r="L147" s="135">
        <v>4324.0</v>
      </c>
      <c r="M147" s="135">
        <v>2850.0</v>
      </c>
      <c r="N147" s="135">
        <v>120.0</v>
      </c>
      <c r="O147" s="135">
        <v>1.2</v>
      </c>
      <c r="P147" s="141">
        <v>0.0</v>
      </c>
      <c r="Q147" s="137">
        <v>3.0</v>
      </c>
      <c r="R147" s="136">
        <v>46066.0</v>
      </c>
      <c r="S147" s="135" t="s">
        <v>2993</v>
      </c>
      <c r="T147" s="136"/>
      <c r="U147" s="135" t="s">
        <v>2864</v>
      </c>
      <c r="V147" s="135" t="s">
        <v>2865</v>
      </c>
      <c r="W147" s="135" t="s">
        <v>2996</v>
      </c>
      <c r="X147" s="135" t="s">
        <v>2872</v>
      </c>
      <c r="Y147" s="135"/>
      <c r="Z147" s="135" t="s">
        <v>2858</v>
      </c>
      <c r="AA147" s="135"/>
      <c r="AB147" s="135"/>
      <c r="AC147" s="135"/>
      <c r="AD147" s="135">
        <v>46076.0</v>
      </c>
      <c r="AE147" s="135"/>
      <c r="AF147" s="135"/>
      <c r="AG147" s="135"/>
    </row>
    <row r="148" ht="21.75" hidden="1" customHeight="1">
      <c r="A148" s="135">
        <v>144.0</v>
      </c>
      <c r="B148" s="135">
        <v>25045.0</v>
      </c>
      <c r="C148" s="135" t="s">
        <v>2817</v>
      </c>
      <c r="D148" s="135">
        <v>2.0</v>
      </c>
      <c r="E148" s="135" t="s">
        <v>2992</v>
      </c>
      <c r="F148" s="135" t="s">
        <v>1147</v>
      </c>
      <c r="G148" s="135" t="s">
        <v>18</v>
      </c>
      <c r="H148" s="135" t="s">
        <v>2853</v>
      </c>
      <c r="I148" s="135" t="s">
        <v>19</v>
      </c>
      <c r="J148" s="135">
        <v>1.0</v>
      </c>
      <c r="K148" s="135"/>
      <c r="L148" s="135">
        <v>3590.0</v>
      </c>
      <c r="M148" s="135">
        <v>2850.0</v>
      </c>
      <c r="N148" s="135">
        <v>120.0</v>
      </c>
      <c r="O148" s="135">
        <v>1.017</v>
      </c>
      <c r="P148" s="141">
        <v>0.0</v>
      </c>
      <c r="Q148" s="137">
        <v>2.5424999999999995</v>
      </c>
      <c r="R148" s="136">
        <v>46066.0</v>
      </c>
      <c r="S148" s="135" t="s">
        <v>2993</v>
      </c>
      <c r="T148" s="136"/>
      <c r="U148" s="135" t="s">
        <v>2864</v>
      </c>
      <c r="V148" s="135" t="s">
        <v>2865</v>
      </c>
      <c r="W148" s="135" t="s">
        <v>2997</v>
      </c>
      <c r="X148" s="135" t="s">
        <v>2872</v>
      </c>
      <c r="Y148" s="135"/>
      <c r="Z148" s="135" t="s">
        <v>2858</v>
      </c>
      <c r="AA148" s="135"/>
      <c r="AB148" s="135"/>
      <c r="AC148" s="135"/>
      <c r="AD148" s="135">
        <v>46078.0</v>
      </c>
      <c r="AE148" s="135"/>
      <c r="AF148" s="135"/>
      <c r="AG148" s="135"/>
    </row>
    <row r="149" ht="21.75" hidden="1" customHeight="1">
      <c r="A149" s="135">
        <v>145.0</v>
      </c>
      <c r="B149" s="135">
        <v>25045.0</v>
      </c>
      <c r="C149" s="135"/>
      <c r="D149" s="135">
        <v>2.0</v>
      </c>
      <c r="E149" s="135" t="s">
        <v>2992</v>
      </c>
      <c r="F149" s="135" t="s">
        <v>1148</v>
      </c>
      <c r="G149" s="135" t="s">
        <v>18</v>
      </c>
      <c r="H149" s="135" t="s">
        <v>2853</v>
      </c>
      <c r="I149" s="135" t="s">
        <v>19</v>
      </c>
      <c r="J149" s="135">
        <v>1.0</v>
      </c>
      <c r="K149" s="135"/>
      <c r="L149" s="135">
        <v>4350.0</v>
      </c>
      <c r="M149" s="135">
        <v>3045.0</v>
      </c>
      <c r="N149" s="135">
        <v>120.0</v>
      </c>
      <c r="O149" s="135">
        <v>1.676</v>
      </c>
      <c r="P149" s="141">
        <v>0.0</v>
      </c>
      <c r="Q149" s="137">
        <v>4.1899999999999995</v>
      </c>
      <c r="R149" s="136">
        <v>46066.0</v>
      </c>
      <c r="S149" s="135" t="s">
        <v>2993</v>
      </c>
      <c r="T149" s="136"/>
      <c r="U149" s="135" t="s">
        <v>2864</v>
      </c>
      <c r="V149" s="135" t="s">
        <v>2865</v>
      </c>
      <c r="W149" s="135" t="s">
        <v>2998</v>
      </c>
      <c r="X149" s="135" t="s">
        <v>2999</v>
      </c>
      <c r="Y149" s="135"/>
      <c r="Z149" s="135" t="s">
        <v>2858</v>
      </c>
      <c r="AA149" s="135"/>
      <c r="AB149" s="135"/>
      <c r="AC149" s="135"/>
      <c r="AD149" s="135">
        <v>46077.0</v>
      </c>
      <c r="AE149" s="135"/>
      <c r="AF149" s="135"/>
      <c r="AG149" s="135"/>
    </row>
    <row r="150" ht="21.75" hidden="1" customHeight="1">
      <c r="A150" s="135">
        <v>146.0</v>
      </c>
      <c r="B150" s="135">
        <v>25045.0</v>
      </c>
      <c r="C150" s="135"/>
      <c r="D150" s="135">
        <v>2.0</v>
      </c>
      <c r="E150" s="135" t="s">
        <v>2992</v>
      </c>
      <c r="F150" s="135" t="s">
        <v>1149</v>
      </c>
      <c r="G150" s="135" t="s">
        <v>18</v>
      </c>
      <c r="H150" s="135" t="s">
        <v>2853</v>
      </c>
      <c r="I150" s="135" t="s">
        <v>19</v>
      </c>
      <c r="J150" s="135">
        <v>1.0</v>
      </c>
      <c r="K150" s="135"/>
      <c r="L150" s="135">
        <v>4090.0</v>
      </c>
      <c r="M150" s="135">
        <v>3045.0</v>
      </c>
      <c r="N150" s="135">
        <v>120.0</v>
      </c>
      <c r="O150" s="135">
        <v>1.606</v>
      </c>
      <c r="P150" s="141">
        <v>0.0</v>
      </c>
      <c r="Q150" s="137">
        <v>4.015000000000001</v>
      </c>
      <c r="R150" s="136">
        <v>46066.0</v>
      </c>
      <c r="S150" s="135" t="s">
        <v>2993</v>
      </c>
      <c r="T150" s="136"/>
      <c r="U150" s="135" t="s">
        <v>2864</v>
      </c>
      <c r="V150" s="135" t="s">
        <v>2865</v>
      </c>
      <c r="W150" s="135" t="s">
        <v>3000</v>
      </c>
      <c r="X150" s="135" t="s">
        <v>2872</v>
      </c>
      <c r="Y150" s="135"/>
      <c r="Z150" s="135" t="s">
        <v>2858</v>
      </c>
      <c r="AA150" s="135"/>
      <c r="AB150" s="135"/>
      <c r="AC150" s="135"/>
      <c r="AD150" s="135">
        <v>46076.0</v>
      </c>
      <c r="AE150" s="135"/>
      <c r="AF150" s="135"/>
      <c r="AG150" s="135"/>
    </row>
    <row r="151" ht="21.75" hidden="1" customHeight="1">
      <c r="A151" s="135">
        <v>147.0</v>
      </c>
      <c r="B151" s="135">
        <v>25045.0</v>
      </c>
      <c r="C151" s="135"/>
      <c r="D151" s="135">
        <v>2.0</v>
      </c>
      <c r="E151" s="135" t="s">
        <v>2992</v>
      </c>
      <c r="F151" s="135" t="s">
        <v>1150</v>
      </c>
      <c r="G151" s="135" t="s">
        <v>18</v>
      </c>
      <c r="H151" s="135" t="s">
        <v>2853</v>
      </c>
      <c r="I151" s="135" t="s">
        <v>19</v>
      </c>
      <c r="J151" s="135">
        <v>1.0</v>
      </c>
      <c r="K151" s="135"/>
      <c r="L151" s="135">
        <v>5140.0</v>
      </c>
      <c r="M151" s="135">
        <v>3045.0</v>
      </c>
      <c r="N151" s="135">
        <v>120.0</v>
      </c>
      <c r="O151" s="135">
        <v>2.013</v>
      </c>
      <c r="P151" s="141">
        <v>0.0</v>
      </c>
      <c r="Q151" s="137">
        <v>5.0325</v>
      </c>
      <c r="R151" s="136">
        <v>46066.0</v>
      </c>
      <c r="S151" s="135" t="s">
        <v>2993</v>
      </c>
      <c r="T151" s="136"/>
      <c r="U151" s="135" t="s">
        <v>2855</v>
      </c>
      <c r="V151" s="135" t="s">
        <v>2868</v>
      </c>
      <c r="W151" s="135" t="s">
        <v>3001</v>
      </c>
      <c r="X151" s="135" t="s">
        <v>2870</v>
      </c>
      <c r="Y151" s="135"/>
      <c r="Z151" s="135" t="s">
        <v>2858</v>
      </c>
      <c r="AA151" s="135"/>
      <c r="AB151" s="135"/>
      <c r="AC151" s="135"/>
      <c r="AD151" s="135">
        <v>46077.0</v>
      </c>
      <c r="AE151" s="135"/>
      <c r="AF151" s="135"/>
      <c r="AG151" s="135"/>
    </row>
    <row r="152" ht="21.75" hidden="1" customHeight="1">
      <c r="A152" s="135">
        <v>148.0</v>
      </c>
      <c r="B152" s="135">
        <v>25045.0</v>
      </c>
      <c r="C152" s="135"/>
      <c r="D152" s="135">
        <v>2.0</v>
      </c>
      <c r="E152" s="135" t="s">
        <v>2992</v>
      </c>
      <c r="F152" s="135" t="s">
        <v>1151</v>
      </c>
      <c r="G152" s="135" t="s">
        <v>18</v>
      </c>
      <c r="H152" s="135" t="s">
        <v>2853</v>
      </c>
      <c r="I152" s="135" t="s">
        <v>19</v>
      </c>
      <c r="J152" s="135">
        <v>1.0</v>
      </c>
      <c r="K152" s="135"/>
      <c r="L152" s="135">
        <v>5590.0</v>
      </c>
      <c r="M152" s="135">
        <v>2930.0</v>
      </c>
      <c r="N152" s="135">
        <v>120.0</v>
      </c>
      <c r="O152" s="135">
        <v>2.054</v>
      </c>
      <c r="P152" s="141">
        <v>0.0</v>
      </c>
      <c r="Q152" s="137">
        <v>5.135</v>
      </c>
      <c r="R152" s="136">
        <v>46066.0</v>
      </c>
      <c r="S152" s="135" t="s">
        <v>2993</v>
      </c>
      <c r="T152" s="136"/>
      <c r="U152" s="135" t="s">
        <v>2855</v>
      </c>
      <c r="V152" s="135" t="s">
        <v>2868</v>
      </c>
      <c r="W152" s="135" t="s">
        <v>3002</v>
      </c>
      <c r="X152" s="135" t="s">
        <v>2872</v>
      </c>
      <c r="Y152" s="135"/>
      <c r="Z152" s="135" t="s">
        <v>2858</v>
      </c>
      <c r="AA152" s="135"/>
      <c r="AB152" s="135"/>
      <c r="AC152" s="135"/>
      <c r="AD152" s="135">
        <v>46074.0</v>
      </c>
      <c r="AE152" s="135"/>
      <c r="AF152" s="135"/>
      <c r="AG152" s="135"/>
    </row>
    <row r="153" ht="21.75" hidden="1" customHeight="1">
      <c r="A153" s="135">
        <v>149.0</v>
      </c>
      <c r="B153" s="135">
        <v>25045.0</v>
      </c>
      <c r="C153" s="135" t="s">
        <v>2817</v>
      </c>
      <c r="D153" s="135">
        <v>2.0</v>
      </c>
      <c r="E153" s="135" t="s">
        <v>2992</v>
      </c>
      <c r="F153" s="135" t="s">
        <v>1152</v>
      </c>
      <c r="G153" s="135" t="s">
        <v>18</v>
      </c>
      <c r="H153" s="135" t="s">
        <v>2853</v>
      </c>
      <c r="I153" s="135" t="s">
        <v>19</v>
      </c>
      <c r="J153" s="135">
        <v>1.0</v>
      </c>
      <c r="K153" s="135"/>
      <c r="L153" s="135">
        <v>5640.0</v>
      </c>
      <c r="M153" s="135">
        <v>2850.0</v>
      </c>
      <c r="N153" s="135">
        <v>120.0</v>
      </c>
      <c r="O153" s="135">
        <v>2.01</v>
      </c>
      <c r="P153" s="141">
        <v>0.0</v>
      </c>
      <c r="Q153" s="137">
        <v>5.0249999999999995</v>
      </c>
      <c r="R153" s="136">
        <v>46066.0</v>
      </c>
      <c r="S153" s="135" t="s">
        <v>2993</v>
      </c>
      <c r="T153" s="136"/>
      <c r="U153" s="135" t="s">
        <v>2855</v>
      </c>
      <c r="V153" s="135" t="s">
        <v>2868</v>
      </c>
      <c r="W153" s="135" t="s">
        <v>3003</v>
      </c>
      <c r="X153" s="135" t="s">
        <v>2870</v>
      </c>
      <c r="Y153" s="135"/>
      <c r="Z153" s="135" t="s">
        <v>2858</v>
      </c>
      <c r="AA153" s="135"/>
      <c r="AB153" s="135"/>
      <c r="AC153" s="135"/>
      <c r="AD153" s="135">
        <v>46072.0</v>
      </c>
      <c r="AE153" s="135"/>
      <c r="AF153" s="135"/>
      <c r="AG153" s="135"/>
    </row>
    <row r="154" ht="21.75" hidden="1" customHeight="1">
      <c r="A154" s="135">
        <v>150.0</v>
      </c>
      <c r="B154" s="135">
        <v>25045.0</v>
      </c>
      <c r="C154" s="135"/>
      <c r="D154" s="135">
        <v>2.0</v>
      </c>
      <c r="E154" s="135" t="s">
        <v>2992</v>
      </c>
      <c r="F154" s="135" t="s">
        <v>1153</v>
      </c>
      <c r="G154" s="135" t="s">
        <v>18</v>
      </c>
      <c r="H154" s="135" t="s">
        <v>2853</v>
      </c>
      <c r="I154" s="135" t="s">
        <v>19</v>
      </c>
      <c r="J154" s="135">
        <v>1.0</v>
      </c>
      <c r="K154" s="135"/>
      <c r="L154" s="135">
        <v>5015.0</v>
      </c>
      <c r="M154" s="135">
        <v>3130.0</v>
      </c>
      <c r="N154" s="135">
        <v>120.0</v>
      </c>
      <c r="O154" s="135">
        <v>2.085</v>
      </c>
      <c r="P154" s="141">
        <v>0.0</v>
      </c>
      <c r="Q154" s="137">
        <v>5.2125</v>
      </c>
      <c r="R154" s="136">
        <v>46066.0</v>
      </c>
      <c r="S154" s="135" t="s">
        <v>2993</v>
      </c>
      <c r="T154" s="136"/>
      <c r="U154" s="135" t="s">
        <v>2855</v>
      </c>
      <c r="V154" s="135" t="s">
        <v>2876</v>
      </c>
      <c r="W154" s="135" t="s">
        <v>3004</v>
      </c>
      <c r="X154" s="135"/>
      <c r="Y154" s="135"/>
      <c r="Z154" s="135" t="s">
        <v>2858</v>
      </c>
      <c r="AA154" s="135"/>
      <c r="AB154" s="135"/>
      <c r="AC154" s="135"/>
      <c r="AD154" s="135">
        <v>46070.0</v>
      </c>
      <c r="AE154" s="135"/>
      <c r="AF154" s="135"/>
      <c r="AG154" s="135"/>
    </row>
    <row r="155" ht="21.75" hidden="1" customHeight="1">
      <c r="A155" s="135">
        <v>151.0</v>
      </c>
      <c r="B155" s="135">
        <v>25045.0</v>
      </c>
      <c r="C155" s="135"/>
      <c r="D155" s="135">
        <v>2.0</v>
      </c>
      <c r="E155" s="135" t="s">
        <v>2992</v>
      </c>
      <c r="F155" s="135" t="s">
        <v>1154</v>
      </c>
      <c r="G155" s="135" t="s">
        <v>18</v>
      </c>
      <c r="H155" s="135" t="s">
        <v>2853</v>
      </c>
      <c r="I155" s="135" t="s">
        <v>19</v>
      </c>
      <c r="J155" s="135">
        <v>1.0</v>
      </c>
      <c r="K155" s="135" t="s">
        <v>2860</v>
      </c>
      <c r="L155" s="135">
        <v>4350.0</v>
      </c>
      <c r="M155" s="135">
        <v>3130.0</v>
      </c>
      <c r="N155" s="135">
        <v>120.0</v>
      </c>
      <c r="O155" s="135">
        <v>1.898</v>
      </c>
      <c r="P155" s="141">
        <v>0.0</v>
      </c>
      <c r="Q155" s="137">
        <v>4.745</v>
      </c>
      <c r="R155" s="136">
        <v>46066.0</v>
      </c>
      <c r="S155" s="135" t="s">
        <v>2993</v>
      </c>
      <c r="T155" s="136"/>
      <c r="U155" s="135" t="s">
        <v>2855</v>
      </c>
      <c r="V155" s="135" t="s">
        <v>2876</v>
      </c>
      <c r="W155" s="135" t="s">
        <v>3005</v>
      </c>
      <c r="X155" s="135"/>
      <c r="Y155" s="135"/>
      <c r="Z155" s="135" t="s">
        <v>2858</v>
      </c>
      <c r="AA155" s="135"/>
      <c r="AB155" s="135"/>
      <c r="AC155" s="135"/>
      <c r="AD155" s="135">
        <v>46074.0</v>
      </c>
      <c r="AE155" s="135"/>
      <c r="AF155" s="135"/>
      <c r="AG155" s="135"/>
    </row>
    <row r="156" ht="21.75" hidden="1" customHeight="1">
      <c r="A156" s="135">
        <v>152.0</v>
      </c>
      <c r="B156" s="135">
        <v>25045.0</v>
      </c>
      <c r="C156" s="135"/>
      <c r="D156" s="135">
        <v>2.0</v>
      </c>
      <c r="E156" s="135" t="s">
        <v>2992</v>
      </c>
      <c r="F156" s="135" t="s">
        <v>1155</v>
      </c>
      <c r="G156" s="135" t="s">
        <v>18</v>
      </c>
      <c r="H156" s="135" t="s">
        <v>2853</v>
      </c>
      <c r="I156" s="135" t="s">
        <v>19</v>
      </c>
      <c r="J156" s="135">
        <v>1.0</v>
      </c>
      <c r="K156" s="135" t="s">
        <v>2860</v>
      </c>
      <c r="L156" s="135">
        <v>4350.0</v>
      </c>
      <c r="M156" s="135">
        <v>3130.0</v>
      </c>
      <c r="N156" s="135">
        <v>120.0</v>
      </c>
      <c r="O156" s="135">
        <v>1.898</v>
      </c>
      <c r="P156" s="141">
        <v>0.0</v>
      </c>
      <c r="Q156" s="137">
        <v>4.745</v>
      </c>
      <c r="R156" s="136">
        <v>46066.0</v>
      </c>
      <c r="S156" s="135" t="s">
        <v>2993</v>
      </c>
      <c r="T156" s="136"/>
      <c r="U156" s="135" t="s">
        <v>2855</v>
      </c>
      <c r="V156" s="135" t="s">
        <v>2876</v>
      </c>
      <c r="W156" s="135" t="s">
        <v>3005</v>
      </c>
      <c r="X156" s="135"/>
      <c r="Y156" s="135"/>
      <c r="Z156" s="135" t="s">
        <v>2858</v>
      </c>
      <c r="AA156" s="135"/>
      <c r="AB156" s="135"/>
      <c r="AC156" s="135"/>
      <c r="AD156" s="135">
        <v>46076.0</v>
      </c>
      <c r="AE156" s="135"/>
      <c r="AF156" s="135"/>
      <c r="AG156" s="135"/>
    </row>
    <row r="157" ht="21.75" hidden="1" customHeight="1">
      <c r="A157" s="135">
        <v>153.0</v>
      </c>
      <c r="B157" s="135">
        <v>25045.0</v>
      </c>
      <c r="C157" s="135"/>
      <c r="D157" s="135">
        <v>2.0</v>
      </c>
      <c r="E157" s="135" t="s">
        <v>2992</v>
      </c>
      <c r="F157" s="135" t="s">
        <v>1156</v>
      </c>
      <c r="G157" s="135" t="s">
        <v>18</v>
      </c>
      <c r="H157" s="135" t="s">
        <v>2853</v>
      </c>
      <c r="I157" s="135" t="s">
        <v>19</v>
      </c>
      <c r="J157" s="135">
        <v>1.0</v>
      </c>
      <c r="K157" s="135" t="s">
        <v>2860</v>
      </c>
      <c r="L157" s="135">
        <v>4350.0</v>
      </c>
      <c r="M157" s="135">
        <v>3130.0</v>
      </c>
      <c r="N157" s="135">
        <v>120.0</v>
      </c>
      <c r="O157" s="135">
        <v>1.898</v>
      </c>
      <c r="P157" s="141">
        <v>0.0</v>
      </c>
      <c r="Q157" s="137">
        <v>4.745</v>
      </c>
      <c r="R157" s="136">
        <v>46066.0</v>
      </c>
      <c r="S157" s="135" t="s">
        <v>2993</v>
      </c>
      <c r="T157" s="136"/>
      <c r="U157" s="135" t="s">
        <v>2855</v>
      </c>
      <c r="V157" s="135" t="s">
        <v>2876</v>
      </c>
      <c r="W157" s="135" t="s">
        <v>3005</v>
      </c>
      <c r="X157" s="135"/>
      <c r="Y157" s="135"/>
      <c r="Z157" s="135" t="s">
        <v>2858</v>
      </c>
      <c r="AA157" s="135"/>
      <c r="AB157" s="135"/>
      <c r="AC157" s="135"/>
      <c r="AD157" s="135">
        <v>46077.0</v>
      </c>
      <c r="AE157" s="135"/>
      <c r="AF157" s="135"/>
      <c r="AG157" s="135"/>
    </row>
    <row r="158" ht="21.75" hidden="1" customHeight="1">
      <c r="A158" s="135">
        <v>154.0</v>
      </c>
      <c r="B158" s="135">
        <v>25045.0</v>
      </c>
      <c r="C158" s="135"/>
      <c r="D158" s="135">
        <v>2.0</v>
      </c>
      <c r="E158" s="135" t="s">
        <v>2992</v>
      </c>
      <c r="F158" s="135" t="s">
        <v>1157</v>
      </c>
      <c r="G158" s="135" t="s">
        <v>18</v>
      </c>
      <c r="H158" s="135" t="s">
        <v>2853</v>
      </c>
      <c r="I158" s="135" t="s">
        <v>19</v>
      </c>
      <c r="J158" s="135">
        <v>1.0</v>
      </c>
      <c r="K158" s="135"/>
      <c r="L158" s="135">
        <v>4350.0</v>
      </c>
      <c r="M158" s="135">
        <v>3130.0</v>
      </c>
      <c r="N158" s="135">
        <v>120.0</v>
      </c>
      <c r="O158" s="135">
        <v>1.561</v>
      </c>
      <c r="P158" s="141">
        <v>2.0</v>
      </c>
      <c r="Q158" s="137">
        <v>3.9025</v>
      </c>
      <c r="R158" s="136">
        <v>46066.0</v>
      </c>
      <c r="S158" s="135" t="s">
        <v>2993</v>
      </c>
      <c r="T158" s="136">
        <v>46070.0</v>
      </c>
      <c r="U158" s="135" t="s">
        <v>2864</v>
      </c>
      <c r="V158" s="135" t="s">
        <v>2985</v>
      </c>
      <c r="W158" s="135" t="s">
        <v>3006</v>
      </c>
      <c r="X158" s="135" t="s">
        <v>2892</v>
      </c>
      <c r="Y158" s="135"/>
      <c r="Z158" s="135" t="s">
        <v>2858</v>
      </c>
      <c r="AA158" s="135" t="s">
        <v>2995</v>
      </c>
      <c r="AB158" s="135"/>
      <c r="AC158" s="135"/>
      <c r="AD158" s="135">
        <v>46072.0</v>
      </c>
      <c r="AE158" s="135"/>
      <c r="AF158" s="135"/>
      <c r="AG158" s="135"/>
    </row>
    <row r="159" ht="21.75" hidden="1" customHeight="1">
      <c r="A159" s="135">
        <v>155.0</v>
      </c>
      <c r="B159" s="135">
        <v>25045.0</v>
      </c>
      <c r="C159" s="135"/>
      <c r="D159" s="135">
        <v>2.0</v>
      </c>
      <c r="E159" s="135" t="s">
        <v>2992</v>
      </c>
      <c r="F159" s="135" t="s">
        <v>1158</v>
      </c>
      <c r="G159" s="135" t="s">
        <v>18</v>
      </c>
      <c r="H159" s="135" t="s">
        <v>2853</v>
      </c>
      <c r="I159" s="135" t="s">
        <v>19</v>
      </c>
      <c r="J159" s="135">
        <v>1.0</v>
      </c>
      <c r="K159" s="135"/>
      <c r="L159" s="135">
        <v>3578.0</v>
      </c>
      <c r="M159" s="135">
        <v>1310.0</v>
      </c>
      <c r="N159" s="135">
        <v>120.0</v>
      </c>
      <c r="O159" s="135">
        <v>0.689</v>
      </c>
      <c r="P159" s="141">
        <v>1.0</v>
      </c>
      <c r="Q159" s="137">
        <v>1.7225</v>
      </c>
      <c r="R159" s="136">
        <v>46066.0</v>
      </c>
      <c r="S159" s="135" t="s">
        <v>2993</v>
      </c>
      <c r="T159" s="136">
        <v>46074.0</v>
      </c>
      <c r="U159" s="135" t="s">
        <v>2864</v>
      </c>
      <c r="V159" s="135" t="s">
        <v>3007</v>
      </c>
      <c r="W159" s="135" t="s">
        <v>3008</v>
      </c>
      <c r="X159" s="135"/>
      <c r="Y159" s="135"/>
      <c r="Z159" s="135" t="s">
        <v>2858</v>
      </c>
      <c r="AA159" s="135" t="s">
        <v>3009</v>
      </c>
      <c r="AB159" s="135"/>
      <c r="AC159" s="135"/>
      <c r="AD159" s="135">
        <v>46078.0</v>
      </c>
      <c r="AE159" s="135"/>
      <c r="AF159" s="135"/>
      <c r="AG159" s="135"/>
    </row>
    <row r="160" ht="21.75" hidden="1" customHeight="1">
      <c r="A160" s="135">
        <v>156.0</v>
      </c>
      <c r="B160" s="135">
        <v>25045.0</v>
      </c>
      <c r="C160" s="135"/>
      <c r="D160" s="135">
        <v>2.0</v>
      </c>
      <c r="E160" s="135" t="s">
        <v>2992</v>
      </c>
      <c r="F160" s="135" t="s">
        <v>1159</v>
      </c>
      <c r="G160" s="135" t="s">
        <v>18</v>
      </c>
      <c r="H160" s="135" t="s">
        <v>2853</v>
      </c>
      <c r="I160" s="135" t="s">
        <v>19</v>
      </c>
      <c r="J160" s="135">
        <v>1.0</v>
      </c>
      <c r="K160" s="135"/>
      <c r="L160" s="135">
        <v>3578.0</v>
      </c>
      <c r="M160" s="135">
        <v>1310.0</v>
      </c>
      <c r="N160" s="135">
        <v>120.0</v>
      </c>
      <c r="O160" s="135">
        <v>0.689</v>
      </c>
      <c r="P160" s="141">
        <v>0.0</v>
      </c>
      <c r="Q160" s="137">
        <v>1.7225</v>
      </c>
      <c r="R160" s="136">
        <v>46066.0</v>
      </c>
      <c r="S160" s="135" t="s">
        <v>2993</v>
      </c>
      <c r="T160" s="136"/>
      <c r="U160" s="135" t="s">
        <v>2855</v>
      </c>
      <c r="V160" s="135" t="s">
        <v>2907</v>
      </c>
      <c r="W160" s="135" t="s">
        <v>3010</v>
      </c>
      <c r="X160" s="135"/>
      <c r="Y160" s="135"/>
      <c r="Z160" s="135" t="s">
        <v>2858</v>
      </c>
      <c r="AA160" s="135"/>
      <c r="AB160" s="135"/>
      <c r="AC160" s="135"/>
      <c r="AD160" s="135">
        <v>46079.0</v>
      </c>
      <c r="AE160" s="135"/>
      <c r="AF160" s="135"/>
      <c r="AG160" s="135"/>
    </row>
    <row r="161" ht="21.75" hidden="1" customHeight="1">
      <c r="A161" s="135">
        <v>157.0</v>
      </c>
      <c r="B161" s="135">
        <v>25045.0</v>
      </c>
      <c r="C161" s="135"/>
      <c r="D161" s="135">
        <v>2.0</v>
      </c>
      <c r="E161" s="135" t="s">
        <v>2992</v>
      </c>
      <c r="F161" s="135" t="s">
        <v>1160</v>
      </c>
      <c r="G161" s="135" t="s">
        <v>18</v>
      </c>
      <c r="H161" s="135" t="s">
        <v>2853</v>
      </c>
      <c r="I161" s="135" t="s">
        <v>19</v>
      </c>
      <c r="J161" s="135">
        <v>1.0</v>
      </c>
      <c r="K161" s="135"/>
      <c r="L161" s="135">
        <v>1635.0</v>
      </c>
      <c r="M161" s="135">
        <v>875.0</v>
      </c>
      <c r="N161" s="135">
        <v>120.0</v>
      </c>
      <c r="O161" s="135">
        <v>0.3</v>
      </c>
      <c r="P161" s="141">
        <v>0.0</v>
      </c>
      <c r="Q161" s="137">
        <v>0.75</v>
      </c>
      <c r="R161" s="136">
        <v>46066.0</v>
      </c>
      <c r="S161" s="135" t="s">
        <v>2993</v>
      </c>
      <c r="T161" s="136"/>
      <c r="U161" s="135" t="s">
        <v>2864</v>
      </c>
      <c r="V161" s="135" t="s">
        <v>2953</v>
      </c>
      <c r="W161" s="135" t="s">
        <v>3011</v>
      </c>
      <c r="X161" s="135"/>
      <c r="Y161" s="135"/>
      <c r="Z161" s="135" t="s">
        <v>2858</v>
      </c>
      <c r="AA161" s="135"/>
      <c r="AB161" s="135"/>
      <c r="AC161" s="135"/>
      <c r="AD161" s="135">
        <v>46079.0</v>
      </c>
      <c r="AE161" s="135"/>
      <c r="AF161" s="135"/>
      <c r="AG161" s="135"/>
    </row>
    <row r="162" ht="21.75" hidden="1" customHeight="1">
      <c r="A162" s="135">
        <v>158.0</v>
      </c>
      <c r="B162" s="135">
        <v>25045.0</v>
      </c>
      <c r="C162" s="135"/>
      <c r="D162" s="135">
        <v>2.0</v>
      </c>
      <c r="E162" s="135" t="s">
        <v>2992</v>
      </c>
      <c r="F162" s="135" t="s">
        <v>1161</v>
      </c>
      <c r="G162" s="135" t="s">
        <v>18</v>
      </c>
      <c r="H162" s="135" t="s">
        <v>2965</v>
      </c>
      <c r="I162" s="135" t="s">
        <v>19</v>
      </c>
      <c r="J162" s="135">
        <v>1.0</v>
      </c>
      <c r="K162" s="135"/>
      <c r="L162" s="135">
        <v>400.0</v>
      </c>
      <c r="M162" s="135">
        <v>2550.0</v>
      </c>
      <c r="N162" s="135">
        <v>350.0</v>
      </c>
      <c r="O162" s="135">
        <v>0.461</v>
      </c>
      <c r="P162" s="141">
        <v>2.0</v>
      </c>
      <c r="Q162" s="137">
        <v>1.1525</v>
      </c>
      <c r="R162" s="136">
        <v>46066.0</v>
      </c>
      <c r="S162" s="135" t="s">
        <v>2993</v>
      </c>
      <c r="T162" s="136">
        <v>46078.0</v>
      </c>
      <c r="U162" s="135" t="s">
        <v>2966</v>
      </c>
      <c r="V162" s="135" t="s">
        <v>2967</v>
      </c>
      <c r="W162" s="135"/>
      <c r="X162" s="135" t="s">
        <v>3012</v>
      </c>
      <c r="Y162" s="135"/>
      <c r="Z162" s="135" t="s">
        <v>2858</v>
      </c>
      <c r="AA162" s="135" t="s">
        <v>3013</v>
      </c>
      <c r="AB162" s="135"/>
      <c r="AC162" s="135"/>
      <c r="AD162" s="135">
        <v>46080.0</v>
      </c>
      <c r="AE162" s="135"/>
      <c r="AF162" s="135"/>
      <c r="AG162" s="135"/>
    </row>
    <row r="163" ht="21.75" hidden="1" customHeight="1">
      <c r="A163" s="135">
        <v>159.0</v>
      </c>
      <c r="B163" s="135">
        <v>25045.0</v>
      </c>
      <c r="C163" s="135" t="s">
        <v>2817</v>
      </c>
      <c r="D163" s="135">
        <v>2.0</v>
      </c>
      <c r="E163" s="135" t="s">
        <v>23</v>
      </c>
      <c r="F163" s="135" t="s">
        <v>1167</v>
      </c>
      <c r="G163" s="135" t="s">
        <v>18</v>
      </c>
      <c r="H163" s="135" t="s">
        <v>2853</v>
      </c>
      <c r="I163" s="135" t="s">
        <v>21</v>
      </c>
      <c r="J163" s="135">
        <v>1.0</v>
      </c>
      <c r="K163" s="135"/>
      <c r="L163" s="135">
        <v>2088.0</v>
      </c>
      <c r="M163" s="135">
        <v>3180.0</v>
      </c>
      <c r="N163" s="135">
        <v>120.0</v>
      </c>
      <c r="O163" s="135">
        <v>1.015</v>
      </c>
      <c r="P163" s="141">
        <v>0.0</v>
      </c>
      <c r="Q163" s="137">
        <v>2.5374999999999996</v>
      </c>
      <c r="R163" s="136">
        <v>46066.0</v>
      </c>
      <c r="S163" s="135" t="s">
        <v>2993</v>
      </c>
      <c r="T163" s="136"/>
      <c r="U163" s="135" t="s">
        <v>2864</v>
      </c>
      <c r="V163" s="135" t="s">
        <v>3014</v>
      </c>
      <c r="W163" s="135" t="s">
        <v>3015</v>
      </c>
      <c r="X163" s="135" t="s">
        <v>2872</v>
      </c>
      <c r="Y163" s="135"/>
      <c r="Z163" s="135" t="s">
        <v>2858</v>
      </c>
      <c r="AA163" s="135"/>
      <c r="AB163" s="135"/>
      <c r="AC163" s="135"/>
      <c r="AD163" s="135">
        <v>46073.0</v>
      </c>
      <c r="AE163" s="135"/>
      <c r="AF163" s="135"/>
      <c r="AG163" s="135"/>
    </row>
    <row r="164" ht="21.75" hidden="1" customHeight="1">
      <c r="A164" s="135">
        <v>160.0</v>
      </c>
      <c r="B164" s="135">
        <v>25045.0</v>
      </c>
      <c r="C164" s="135" t="s">
        <v>2817</v>
      </c>
      <c r="D164" s="135">
        <v>2.0</v>
      </c>
      <c r="E164" s="135" t="s">
        <v>23</v>
      </c>
      <c r="F164" s="135" t="s">
        <v>1168</v>
      </c>
      <c r="G164" s="135" t="s">
        <v>18</v>
      </c>
      <c r="H164" s="135" t="s">
        <v>2853</v>
      </c>
      <c r="I164" s="135" t="s">
        <v>21</v>
      </c>
      <c r="J164" s="135">
        <v>1.0</v>
      </c>
      <c r="K164" s="135"/>
      <c r="L164" s="135">
        <v>2040.0</v>
      </c>
      <c r="M164" s="135">
        <v>3180.0</v>
      </c>
      <c r="N164" s="135">
        <v>120.0</v>
      </c>
      <c r="O164" s="135">
        <v>1.002</v>
      </c>
      <c r="P164" s="141">
        <v>0.0</v>
      </c>
      <c r="Q164" s="137">
        <v>2.505</v>
      </c>
      <c r="R164" s="136">
        <v>46066.0</v>
      </c>
      <c r="S164" s="135" t="s">
        <v>2993</v>
      </c>
      <c r="T164" s="136"/>
      <c r="U164" s="135" t="s">
        <v>2864</v>
      </c>
      <c r="V164" s="135" t="s">
        <v>3014</v>
      </c>
      <c r="W164" s="135" t="s">
        <v>3016</v>
      </c>
      <c r="X164" s="135"/>
      <c r="Y164" s="135"/>
      <c r="Z164" s="135" t="s">
        <v>2858</v>
      </c>
      <c r="AA164" s="135"/>
      <c r="AB164" s="135"/>
      <c r="AC164" s="135"/>
      <c r="AD164" s="135">
        <v>46076.0</v>
      </c>
      <c r="AE164" s="135"/>
      <c r="AF164" s="135"/>
      <c r="AG164" s="135"/>
    </row>
    <row r="165" ht="21.75" hidden="1" customHeight="1">
      <c r="A165" s="135">
        <v>161.0</v>
      </c>
      <c r="B165" s="135">
        <v>25045.0</v>
      </c>
      <c r="C165" s="135" t="s">
        <v>2817</v>
      </c>
      <c r="D165" s="135">
        <v>2.0</v>
      </c>
      <c r="E165" s="135" t="s">
        <v>23</v>
      </c>
      <c r="F165" s="135" t="s">
        <v>1169</v>
      </c>
      <c r="G165" s="135" t="s">
        <v>18</v>
      </c>
      <c r="H165" s="135" t="s">
        <v>2853</v>
      </c>
      <c r="I165" s="135" t="s">
        <v>21</v>
      </c>
      <c r="J165" s="135">
        <v>1.0</v>
      </c>
      <c r="K165" s="135"/>
      <c r="L165" s="135">
        <v>2540.0</v>
      </c>
      <c r="M165" s="135">
        <v>3180.0</v>
      </c>
      <c r="N165" s="135">
        <v>120.0</v>
      </c>
      <c r="O165" s="135">
        <v>1.146</v>
      </c>
      <c r="P165" s="141">
        <v>0.0</v>
      </c>
      <c r="Q165" s="137">
        <v>2.8649999999999998</v>
      </c>
      <c r="R165" s="136">
        <v>46066.0</v>
      </c>
      <c r="S165" s="135" t="s">
        <v>2993</v>
      </c>
      <c r="T165" s="136"/>
      <c r="U165" s="135" t="s">
        <v>2864</v>
      </c>
      <c r="V165" s="135" t="s">
        <v>3014</v>
      </c>
      <c r="W165" s="135" t="s">
        <v>3017</v>
      </c>
      <c r="X165" s="135"/>
      <c r="Y165" s="135"/>
      <c r="Z165" s="135" t="s">
        <v>2858</v>
      </c>
      <c r="AA165" s="135"/>
      <c r="AB165" s="135"/>
      <c r="AC165" s="135"/>
      <c r="AD165" s="135">
        <v>46071.0</v>
      </c>
      <c r="AE165" s="135"/>
      <c r="AF165" s="135"/>
      <c r="AG165" s="135"/>
    </row>
    <row r="166" ht="21.75" hidden="1" customHeight="1">
      <c r="A166" s="135">
        <v>162.0</v>
      </c>
      <c r="B166" s="135">
        <v>25045.0</v>
      </c>
      <c r="C166" s="135" t="s">
        <v>2817</v>
      </c>
      <c r="D166" s="135">
        <v>2.0</v>
      </c>
      <c r="E166" s="135" t="s">
        <v>23</v>
      </c>
      <c r="F166" s="135" t="s">
        <v>1170</v>
      </c>
      <c r="G166" s="135" t="s">
        <v>18</v>
      </c>
      <c r="H166" s="135" t="s">
        <v>2853</v>
      </c>
      <c r="I166" s="135" t="s">
        <v>21</v>
      </c>
      <c r="J166" s="135">
        <v>1.0</v>
      </c>
      <c r="K166" s="135"/>
      <c r="L166" s="135">
        <v>3040.0</v>
      </c>
      <c r="M166" s="135">
        <v>3180.0</v>
      </c>
      <c r="N166" s="135">
        <v>120.0</v>
      </c>
      <c r="O166" s="135">
        <v>1.289</v>
      </c>
      <c r="P166" s="141">
        <v>0.0</v>
      </c>
      <c r="Q166" s="137">
        <v>3.2224999999999997</v>
      </c>
      <c r="R166" s="136">
        <v>46066.0</v>
      </c>
      <c r="S166" s="135" t="s">
        <v>2993</v>
      </c>
      <c r="T166" s="136"/>
      <c r="U166" s="135" t="s">
        <v>2864</v>
      </c>
      <c r="V166" s="135" t="s">
        <v>3014</v>
      </c>
      <c r="W166" s="135" t="s">
        <v>3018</v>
      </c>
      <c r="X166" s="135"/>
      <c r="Y166" s="135"/>
      <c r="Z166" s="135" t="s">
        <v>2858</v>
      </c>
      <c r="AA166" s="135"/>
      <c r="AB166" s="135"/>
      <c r="AC166" s="135"/>
      <c r="AD166" s="135">
        <v>46070.0</v>
      </c>
      <c r="AE166" s="135"/>
      <c r="AF166" s="135"/>
      <c r="AG166" s="135"/>
    </row>
    <row r="167" ht="21.75" hidden="1" customHeight="1">
      <c r="A167" s="135">
        <v>163.0</v>
      </c>
      <c r="B167" s="135">
        <v>25045.0</v>
      </c>
      <c r="C167" s="135" t="s">
        <v>2817</v>
      </c>
      <c r="D167" s="135">
        <v>2.0</v>
      </c>
      <c r="E167" s="135" t="s">
        <v>23</v>
      </c>
      <c r="F167" s="135" t="s">
        <v>1171</v>
      </c>
      <c r="G167" s="135" t="s">
        <v>18</v>
      </c>
      <c r="H167" s="135" t="s">
        <v>2853</v>
      </c>
      <c r="I167" s="135" t="s">
        <v>21</v>
      </c>
      <c r="J167" s="135">
        <v>1.0</v>
      </c>
      <c r="K167" s="135"/>
      <c r="L167" s="135">
        <v>2040.0</v>
      </c>
      <c r="M167" s="135">
        <v>3180.0</v>
      </c>
      <c r="N167" s="135">
        <v>120.0</v>
      </c>
      <c r="O167" s="135">
        <v>1.003</v>
      </c>
      <c r="P167" s="141">
        <v>0.0</v>
      </c>
      <c r="Q167" s="137">
        <v>2.5075</v>
      </c>
      <c r="R167" s="136">
        <v>46066.0</v>
      </c>
      <c r="S167" s="135" t="s">
        <v>2993</v>
      </c>
      <c r="T167" s="136"/>
      <c r="U167" s="135" t="s">
        <v>2864</v>
      </c>
      <c r="V167" s="135" t="s">
        <v>3014</v>
      </c>
      <c r="W167" s="135" t="s">
        <v>3016</v>
      </c>
      <c r="X167" s="135"/>
      <c r="Y167" s="135"/>
      <c r="Z167" s="135" t="s">
        <v>2858</v>
      </c>
      <c r="AA167" s="135"/>
      <c r="AB167" s="135"/>
      <c r="AC167" s="135"/>
      <c r="AD167" s="135">
        <v>46077.0</v>
      </c>
      <c r="AE167" s="135"/>
      <c r="AF167" s="135"/>
      <c r="AG167" s="135"/>
    </row>
    <row r="168" ht="21.75" hidden="1" customHeight="1">
      <c r="A168" s="135">
        <v>164.0</v>
      </c>
      <c r="B168" s="135">
        <v>25045.0</v>
      </c>
      <c r="C168" s="135" t="s">
        <v>2817</v>
      </c>
      <c r="D168" s="135">
        <v>2.0</v>
      </c>
      <c r="E168" s="135" t="s">
        <v>23</v>
      </c>
      <c r="F168" s="135" t="s">
        <v>1172</v>
      </c>
      <c r="G168" s="135" t="s">
        <v>18</v>
      </c>
      <c r="H168" s="135" t="s">
        <v>2853</v>
      </c>
      <c r="I168" s="135" t="s">
        <v>21</v>
      </c>
      <c r="J168" s="135">
        <v>1.0</v>
      </c>
      <c r="K168" s="135"/>
      <c r="L168" s="135">
        <v>3090.0</v>
      </c>
      <c r="M168" s="135">
        <v>3180.0</v>
      </c>
      <c r="N168" s="135">
        <v>120.0</v>
      </c>
      <c r="O168" s="135">
        <v>1.301</v>
      </c>
      <c r="P168" s="141">
        <v>0.0</v>
      </c>
      <c r="Q168" s="137">
        <v>3.2525</v>
      </c>
      <c r="R168" s="136">
        <v>46066.0</v>
      </c>
      <c r="S168" s="135" t="s">
        <v>2993</v>
      </c>
      <c r="T168" s="136"/>
      <c r="U168" s="135" t="s">
        <v>2864</v>
      </c>
      <c r="V168" s="135" t="s">
        <v>3014</v>
      </c>
      <c r="W168" s="135" t="s">
        <v>3019</v>
      </c>
      <c r="X168" s="135" t="s">
        <v>2872</v>
      </c>
      <c r="Y168" s="135"/>
      <c r="Z168" s="135" t="s">
        <v>2858</v>
      </c>
      <c r="AA168" s="135"/>
      <c r="AB168" s="135"/>
      <c r="AC168" s="135"/>
      <c r="AD168" s="135">
        <v>46070.0</v>
      </c>
      <c r="AE168" s="135"/>
      <c r="AF168" s="135"/>
      <c r="AG168" s="135"/>
    </row>
    <row r="169" ht="21.75" hidden="1" customHeight="1">
      <c r="A169" s="135">
        <v>165.0</v>
      </c>
      <c r="B169" s="135">
        <v>25045.0</v>
      </c>
      <c r="C169" s="135"/>
      <c r="D169" s="135">
        <v>2.0</v>
      </c>
      <c r="E169" s="135" t="s">
        <v>23</v>
      </c>
      <c r="F169" s="135" t="s">
        <v>1173</v>
      </c>
      <c r="G169" s="135" t="s">
        <v>18</v>
      </c>
      <c r="H169" s="135" t="s">
        <v>2853</v>
      </c>
      <c r="I169" s="135" t="s">
        <v>21</v>
      </c>
      <c r="J169" s="135">
        <v>1.0</v>
      </c>
      <c r="K169" s="135" t="s">
        <v>2860</v>
      </c>
      <c r="L169" s="135">
        <v>4294.0</v>
      </c>
      <c r="M169" s="135">
        <v>3110.0</v>
      </c>
      <c r="N169" s="135">
        <v>120.0</v>
      </c>
      <c r="O169" s="135">
        <v>1.872</v>
      </c>
      <c r="P169" s="141">
        <v>0.0</v>
      </c>
      <c r="Q169" s="137">
        <v>4.680000000000001</v>
      </c>
      <c r="R169" s="136">
        <v>46066.0</v>
      </c>
      <c r="S169" s="135" t="s">
        <v>2993</v>
      </c>
      <c r="T169" s="136"/>
      <c r="U169" s="135" t="s">
        <v>2855</v>
      </c>
      <c r="V169" s="135" t="s">
        <v>2876</v>
      </c>
      <c r="W169" s="135" t="s">
        <v>3020</v>
      </c>
      <c r="X169" s="135"/>
      <c r="Y169" s="135"/>
      <c r="Z169" s="135" t="s">
        <v>2858</v>
      </c>
      <c r="AA169" s="135"/>
      <c r="AB169" s="135"/>
      <c r="AC169" s="135"/>
      <c r="AD169" s="135">
        <v>46078.0</v>
      </c>
      <c r="AE169" s="135"/>
      <c r="AF169" s="135"/>
      <c r="AG169" s="135"/>
    </row>
    <row r="170" ht="21.75" hidden="1" customHeight="1">
      <c r="A170" s="135">
        <v>166.0</v>
      </c>
      <c r="B170" s="135">
        <v>25045.0</v>
      </c>
      <c r="C170" s="135"/>
      <c r="D170" s="135">
        <v>2.0</v>
      </c>
      <c r="E170" s="135" t="s">
        <v>23</v>
      </c>
      <c r="F170" s="135" t="s">
        <v>1174</v>
      </c>
      <c r="G170" s="135" t="s">
        <v>18</v>
      </c>
      <c r="H170" s="135" t="s">
        <v>2853</v>
      </c>
      <c r="I170" s="135" t="s">
        <v>21</v>
      </c>
      <c r="J170" s="135">
        <v>1.0</v>
      </c>
      <c r="K170" s="135" t="s">
        <v>2860</v>
      </c>
      <c r="L170" s="135">
        <v>4294.0</v>
      </c>
      <c r="M170" s="135">
        <v>3110.0</v>
      </c>
      <c r="N170" s="135">
        <v>120.0</v>
      </c>
      <c r="O170" s="135">
        <v>1.872</v>
      </c>
      <c r="P170" s="141">
        <v>0.0</v>
      </c>
      <c r="Q170" s="137">
        <v>4.680000000000001</v>
      </c>
      <c r="R170" s="136">
        <v>46066.0</v>
      </c>
      <c r="S170" s="135" t="s">
        <v>2993</v>
      </c>
      <c r="T170" s="136"/>
      <c r="U170" s="135" t="s">
        <v>2855</v>
      </c>
      <c r="V170" s="135" t="s">
        <v>2876</v>
      </c>
      <c r="W170" s="135" t="s">
        <v>3020</v>
      </c>
      <c r="X170" s="135"/>
      <c r="Y170" s="135"/>
      <c r="Z170" s="135" t="s">
        <v>2858</v>
      </c>
      <c r="AA170" s="135"/>
      <c r="AB170" s="135"/>
      <c r="AC170" s="135"/>
      <c r="AD170" s="135">
        <v>46079.0</v>
      </c>
      <c r="AE170" s="135"/>
      <c r="AF170" s="135"/>
      <c r="AG170" s="135"/>
    </row>
    <row r="171" ht="21.75" hidden="1" customHeight="1">
      <c r="A171" s="135">
        <v>167.0</v>
      </c>
      <c r="B171" s="135">
        <v>25045.0</v>
      </c>
      <c r="C171" s="135"/>
      <c r="D171" s="135">
        <v>2.0</v>
      </c>
      <c r="E171" s="135" t="s">
        <v>23</v>
      </c>
      <c r="F171" s="135" t="s">
        <v>1175</v>
      </c>
      <c r="G171" s="135" t="s">
        <v>18</v>
      </c>
      <c r="H171" s="135" t="s">
        <v>2853</v>
      </c>
      <c r="I171" s="135" t="s">
        <v>21</v>
      </c>
      <c r="J171" s="135">
        <v>1.0</v>
      </c>
      <c r="K171" s="135" t="s">
        <v>2860</v>
      </c>
      <c r="L171" s="135">
        <v>4294.0</v>
      </c>
      <c r="M171" s="135">
        <v>3110.0</v>
      </c>
      <c r="N171" s="135">
        <v>120.0</v>
      </c>
      <c r="O171" s="135">
        <v>1.872</v>
      </c>
      <c r="P171" s="141">
        <v>0.0</v>
      </c>
      <c r="Q171" s="137">
        <v>4.680000000000001</v>
      </c>
      <c r="R171" s="136">
        <v>46066.0</v>
      </c>
      <c r="S171" s="135" t="s">
        <v>2993</v>
      </c>
      <c r="T171" s="136"/>
      <c r="U171" s="135" t="s">
        <v>2855</v>
      </c>
      <c r="V171" s="135" t="s">
        <v>2876</v>
      </c>
      <c r="W171" s="135" t="s">
        <v>3020</v>
      </c>
      <c r="X171" s="135"/>
      <c r="Y171" s="135"/>
      <c r="Z171" s="135" t="s">
        <v>2858</v>
      </c>
      <c r="AA171" s="135"/>
      <c r="AB171" s="135"/>
      <c r="AC171" s="135"/>
      <c r="AD171" s="135">
        <v>46080.0</v>
      </c>
      <c r="AE171" s="135"/>
      <c r="AF171" s="135"/>
      <c r="AG171" s="135"/>
    </row>
    <row r="172" ht="21.75" hidden="1" customHeight="1">
      <c r="A172" s="135">
        <v>168.0</v>
      </c>
      <c r="B172" s="135">
        <v>25045.0</v>
      </c>
      <c r="C172" s="135"/>
      <c r="D172" s="135">
        <v>2.0</v>
      </c>
      <c r="E172" s="135" t="s">
        <v>23</v>
      </c>
      <c r="F172" s="135" t="s">
        <v>1176</v>
      </c>
      <c r="G172" s="135" t="s">
        <v>18</v>
      </c>
      <c r="H172" s="135" t="s">
        <v>2853</v>
      </c>
      <c r="I172" s="135" t="s">
        <v>21</v>
      </c>
      <c r="J172" s="135">
        <v>1.0</v>
      </c>
      <c r="K172" s="135"/>
      <c r="L172" s="135">
        <v>4295.0</v>
      </c>
      <c r="M172" s="135">
        <v>3110.0</v>
      </c>
      <c r="N172" s="135">
        <v>120.0</v>
      </c>
      <c r="O172" s="135">
        <v>1.536</v>
      </c>
      <c r="P172" s="141">
        <v>2.0</v>
      </c>
      <c r="Q172" s="137">
        <v>3.84</v>
      </c>
      <c r="R172" s="136">
        <v>46066.0</v>
      </c>
      <c r="S172" s="135" t="s">
        <v>2993</v>
      </c>
      <c r="T172" s="136">
        <v>46070.0</v>
      </c>
      <c r="U172" s="135" t="s">
        <v>2864</v>
      </c>
      <c r="V172" s="135" t="s">
        <v>2985</v>
      </c>
      <c r="W172" s="135" t="s">
        <v>3021</v>
      </c>
      <c r="X172" s="135"/>
      <c r="Y172" s="135"/>
      <c r="Z172" s="135" t="s">
        <v>2858</v>
      </c>
      <c r="AA172" s="135" t="s">
        <v>2995</v>
      </c>
      <c r="AB172" s="135"/>
      <c r="AC172" s="135"/>
      <c r="AD172" s="135">
        <v>46077.0</v>
      </c>
      <c r="AE172" s="135"/>
      <c r="AF172" s="135"/>
      <c r="AG172" s="135"/>
    </row>
    <row r="173" ht="21.75" hidden="1" customHeight="1">
      <c r="A173" s="135">
        <v>169.0</v>
      </c>
      <c r="B173" s="135">
        <v>25045.0</v>
      </c>
      <c r="C173" s="135"/>
      <c r="D173" s="135">
        <v>2.0</v>
      </c>
      <c r="E173" s="135" t="s">
        <v>23</v>
      </c>
      <c r="F173" s="135" t="s">
        <v>1177</v>
      </c>
      <c r="G173" s="135" t="s">
        <v>18</v>
      </c>
      <c r="H173" s="135" t="s">
        <v>2853</v>
      </c>
      <c r="I173" s="135" t="s">
        <v>21</v>
      </c>
      <c r="J173" s="135">
        <v>1.0</v>
      </c>
      <c r="K173" s="135" t="s">
        <v>2860</v>
      </c>
      <c r="L173" s="135">
        <v>5122.0</v>
      </c>
      <c r="M173" s="135">
        <v>3130.0</v>
      </c>
      <c r="N173" s="135">
        <v>120.0</v>
      </c>
      <c r="O173" s="135">
        <v>2.114</v>
      </c>
      <c r="P173" s="141">
        <v>0.0</v>
      </c>
      <c r="Q173" s="137">
        <v>5.285</v>
      </c>
      <c r="R173" s="136">
        <v>46066.0</v>
      </c>
      <c r="S173" s="135" t="s">
        <v>2993</v>
      </c>
      <c r="T173" s="136"/>
      <c r="U173" s="135" t="s">
        <v>2855</v>
      </c>
      <c r="V173" s="135" t="s">
        <v>2876</v>
      </c>
      <c r="W173" s="135" t="s">
        <v>3022</v>
      </c>
      <c r="X173" s="135"/>
      <c r="Y173" s="135"/>
      <c r="Z173" s="135" t="s">
        <v>2858</v>
      </c>
      <c r="AA173" s="135"/>
      <c r="AB173" s="135"/>
      <c r="AC173" s="135"/>
      <c r="AD173" s="135">
        <v>46076.0</v>
      </c>
      <c r="AE173" s="135"/>
      <c r="AF173" s="135"/>
      <c r="AG173" s="135"/>
    </row>
    <row r="174" ht="21.75" hidden="1" customHeight="1">
      <c r="A174" s="135">
        <v>170.0</v>
      </c>
      <c r="B174" s="135">
        <v>25045.0</v>
      </c>
      <c r="C174" s="135"/>
      <c r="D174" s="135">
        <v>2.0</v>
      </c>
      <c r="E174" s="135" t="s">
        <v>23</v>
      </c>
      <c r="F174" s="135" t="s">
        <v>1178</v>
      </c>
      <c r="G174" s="135" t="s">
        <v>18</v>
      </c>
      <c r="H174" s="135" t="s">
        <v>2853</v>
      </c>
      <c r="I174" s="135" t="s">
        <v>21</v>
      </c>
      <c r="J174" s="135">
        <v>1.0</v>
      </c>
      <c r="K174" s="135" t="s">
        <v>2860</v>
      </c>
      <c r="L174" s="135">
        <v>5122.0</v>
      </c>
      <c r="M174" s="135">
        <v>3130.0</v>
      </c>
      <c r="N174" s="135">
        <v>120.0</v>
      </c>
      <c r="O174" s="135">
        <v>2.114</v>
      </c>
      <c r="P174" s="141">
        <v>0.0</v>
      </c>
      <c r="Q174" s="137">
        <v>5.285</v>
      </c>
      <c r="R174" s="136">
        <v>46066.0</v>
      </c>
      <c r="S174" s="135" t="s">
        <v>2993</v>
      </c>
      <c r="T174" s="136"/>
      <c r="U174" s="135" t="s">
        <v>2855</v>
      </c>
      <c r="V174" s="135" t="s">
        <v>2876</v>
      </c>
      <c r="W174" s="135" t="s">
        <v>3022</v>
      </c>
      <c r="X174" s="135"/>
      <c r="Y174" s="135"/>
      <c r="Z174" s="135" t="s">
        <v>2858</v>
      </c>
      <c r="AA174" s="135"/>
      <c r="AB174" s="135"/>
      <c r="AC174" s="135"/>
      <c r="AD174" s="135">
        <v>46078.0</v>
      </c>
      <c r="AE174" s="135"/>
      <c r="AF174" s="135"/>
      <c r="AG174" s="135"/>
    </row>
    <row r="175" ht="21.75" hidden="1" customHeight="1">
      <c r="A175" s="135">
        <v>171.0</v>
      </c>
      <c r="B175" s="135">
        <v>25045.0</v>
      </c>
      <c r="C175" s="135"/>
      <c r="D175" s="135">
        <v>2.0</v>
      </c>
      <c r="E175" s="135" t="s">
        <v>23</v>
      </c>
      <c r="F175" s="135" t="s">
        <v>1179</v>
      </c>
      <c r="G175" s="135" t="s">
        <v>18</v>
      </c>
      <c r="H175" s="135" t="s">
        <v>2853</v>
      </c>
      <c r="I175" s="135" t="s">
        <v>21</v>
      </c>
      <c r="J175" s="135">
        <v>1.0</v>
      </c>
      <c r="K175" s="135" t="s">
        <v>2860</v>
      </c>
      <c r="L175" s="135">
        <v>5122.0</v>
      </c>
      <c r="M175" s="135">
        <v>3130.0</v>
      </c>
      <c r="N175" s="135">
        <v>120.0</v>
      </c>
      <c r="O175" s="135">
        <v>2.114</v>
      </c>
      <c r="P175" s="141">
        <v>0.0</v>
      </c>
      <c r="Q175" s="137">
        <v>5.285</v>
      </c>
      <c r="R175" s="136">
        <v>46066.0</v>
      </c>
      <c r="S175" s="135" t="s">
        <v>2993</v>
      </c>
      <c r="T175" s="136"/>
      <c r="U175" s="135" t="s">
        <v>2855</v>
      </c>
      <c r="V175" s="135" t="s">
        <v>2876</v>
      </c>
      <c r="W175" s="135" t="s">
        <v>3022</v>
      </c>
      <c r="X175" s="135"/>
      <c r="Y175" s="135"/>
      <c r="Z175" s="135" t="s">
        <v>2858</v>
      </c>
      <c r="AA175" s="135"/>
      <c r="AB175" s="135"/>
      <c r="AC175" s="135"/>
      <c r="AD175" s="135">
        <v>46079.0</v>
      </c>
      <c r="AE175" s="135"/>
      <c r="AF175" s="135"/>
      <c r="AG175" s="135"/>
    </row>
    <row r="176" ht="21.75" hidden="1" customHeight="1">
      <c r="A176" s="135">
        <v>172.0</v>
      </c>
      <c r="B176" s="135">
        <v>25045.0</v>
      </c>
      <c r="C176" s="135"/>
      <c r="D176" s="135">
        <v>2.0</v>
      </c>
      <c r="E176" s="135" t="s">
        <v>23</v>
      </c>
      <c r="F176" s="135" t="s">
        <v>1180</v>
      </c>
      <c r="G176" s="135" t="s">
        <v>18</v>
      </c>
      <c r="H176" s="135" t="s">
        <v>2853</v>
      </c>
      <c r="I176" s="135" t="s">
        <v>21</v>
      </c>
      <c r="J176" s="135">
        <v>1.0</v>
      </c>
      <c r="K176" s="135"/>
      <c r="L176" s="135">
        <v>5122.0</v>
      </c>
      <c r="M176" s="135">
        <v>3130.0</v>
      </c>
      <c r="N176" s="135">
        <v>120.0</v>
      </c>
      <c r="O176" s="135">
        <v>1.779</v>
      </c>
      <c r="P176" s="141">
        <v>1.0</v>
      </c>
      <c r="Q176" s="137">
        <v>4.4475</v>
      </c>
      <c r="R176" s="136">
        <v>46066.0</v>
      </c>
      <c r="S176" s="135" t="s">
        <v>2993</v>
      </c>
      <c r="T176" s="136">
        <v>46070.0</v>
      </c>
      <c r="U176" s="135" t="s">
        <v>2864</v>
      </c>
      <c r="V176" s="135" t="s">
        <v>2985</v>
      </c>
      <c r="W176" s="135" t="s">
        <v>3023</v>
      </c>
      <c r="X176" s="135" t="s">
        <v>2895</v>
      </c>
      <c r="Y176" s="135"/>
      <c r="Z176" s="135" t="s">
        <v>2858</v>
      </c>
      <c r="AA176" s="135" t="s">
        <v>2995</v>
      </c>
      <c r="AB176" s="135"/>
      <c r="AC176" s="135"/>
      <c r="AD176" s="135">
        <v>46079.0</v>
      </c>
      <c r="AE176" s="135"/>
      <c r="AF176" s="135"/>
      <c r="AG176" s="135"/>
    </row>
    <row r="177" ht="21.75" hidden="1" customHeight="1">
      <c r="A177" s="135">
        <v>173.0</v>
      </c>
      <c r="B177" s="135">
        <v>25045.0</v>
      </c>
      <c r="C177" s="135"/>
      <c r="D177" s="135">
        <v>2.0</v>
      </c>
      <c r="E177" s="135" t="s">
        <v>23</v>
      </c>
      <c r="F177" s="135" t="s">
        <v>1181</v>
      </c>
      <c r="G177" s="135" t="s">
        <v>18</v>
      </c>
      <c r="H177" s="135" t="s">
        <v>2853</v>
      </c>
      <c r="I177" s="135" t="s">
        <v>21</v>
      </c>
      <c r="J177" s="135">
        <v>1.0</v>
      </c>
      <c r="K177" s="135"/>
      <c r="L177" s="135">
        <v>1343.0</v>
      </c>
      <c r="M177" s="135">
        <v>1000.0</v>
      </c>
      <c r="N177" s="135">
        <v>120.0</v>
      </c>
      <c r="O177" s="135">
        <v>0.239</v>
      </c>
      <c r="P177" s="141">
        <v>0.0</v>
      </c>
      <c r="Q177" s="137">
        <v>0.5974999999999999</v>
      </c>
      <c r="R177" s="136">
        <v>46066.0</v>
      </c>
      <c r="S177" s="135" t="s">
        <v>2993</v>
      </c>
      <c r="T177" s="136"/>
      <c r="U177" s="135" t="s">
        <v>2950</v>
      </c>
      <c r="V177" s="135" t="s">
        <v>3024</v>
      </c>
      <c r="W177" s="135" t="s">
        <v>3025</v>
      </c>
      <c r="X177" s="135"/>
      <c r="Y177" s="135"/>
      <c r="Z177" s="135" t="s">
        <v>2858</v>
      </c>
      <c r="AA177" s="135"/>
      <c r="AB177" s="135"/>
      <c r="AC177" s="135"/>
      <c r="AD177" s="135">
        <v>46081.0</v>
      </c>
      <c r="AE177" s="135"/>
      <c r="AF177" s="135"/>
      <c r="AG177" s="135"/>
    </row>
    <row r="178" ht="21.75" hidden="1" customHeight="1">
      <c r="A178" s="135">
        <v>174.0</v>
      </c>
      <c r="B178" s="135">
        <v>25045.0</v>
      </c>
      <c r="C178" s="135"/>
      <c r="D178" s="135">
        <v>2.0</v>
      </c>
      <c r="E178" s="135" t="s">
        <v>23</v>
      </c>
      <c r="F178" s="135" t="s">
        <v>1182</v>
      </c>
      <c r="G178" s="135" t="s">
        <v>18</v>
      </c>
      <c r="H178" s="135" t="s">
        <v>2853</v>
      </c>
      <c r="I178" s="135" t="s">
        <v>21</v>
      </c>
      <c r="J178" s="135">
        <v>1.0</v>
      </c>
      <c r="K178" s="135"/>
      <c r="L178" s="135">
        <v>5122.0</v>
      </c>
      <c r="M178" s="135">
        <v>3265.0</v>
      </c>
      <c r="N178" s="135">
        <v>120.0</v>
      </c>
      <c r="O178" s="135">
        <v>2.396</v>
      </c>
      <c r="P178" s="141">
        <v>1.0</v>
      </c>
      <c r="Q178" s="137">
        <v>5.99</v>
      </c>
      <c r="R178" s="136">
        <v>46066.0</v>
      </c>
      <c r="S178" s="135" t="s">
        <v>2993</v>
      </c>
      <c r="T178" s="136">
        <v>46078.0</v>
      </c>
      <c r="U178" s="135" t="s">
        <v>2864</v>
      </c>
      <c r="V178" s="135" t="s">
        <v>3026</v>
      </c>
      <c r="W178" s="135" t="s">
        <v>3027</v>
      </c>
      <c r="X178" s="135"/>
      <c r="Y178" s="135"/>
      <c r="Z178" s="135" t="s">
        <v>2858</v>
      </c>
      <c r="AA178" s="135" t="s">
        <v>3013</v>
      </c>
      <c r="AB178" s="135"/>
      <c r="AC178" s="135"/>
      <c r="AD178" s="135">
        <v>46081.0</v>
      </c>
      <c r="AE178" s="135"/>
      <c r="AF178" s="135"/>
      <c r="AG178" s="135"/>
    </row>
    <row r="179" ht="21.75" hidden="1" customHeight="1">
      <c r="A179" s="135">
        <v>175.0</v>
      </c>
      <c r="B179" s="135">
        <v>25045.0</v>
      </c>
      <c r="C179" s="135" t="s">
        <v>2817</v>
      </c>
      <c r="D179" s="135">
        <v>2.0</v>
      </c>
      <c r="E179" s="135" t="s">
        <v>23</v>
      </c>
      <c r="F179" s="135" t="s">
        <v>1189</v>
      </c>
      <c r="G179" s="135" t="s">
        <v>18</v>
      </c>
      <c r="H179" s="135" t="s">
        <v>2853</v>
      </c>
      <c r="I179" s="135" t="s">
        <v>22</v>
      </c>
      <c r="J179" s="135">
        <v>1.0</v>
      </c>
      <c r="K179" s="135"/>
      <c r="L179" s="135">
        <v>3340.0</v>
      </c>
      <c r="M179" s="135">
        <v>3160.0</v>
      </c>
      <c r="N179" s="135">
        <v>120.0</v>
      </c>
      <c r="O179" s="135">
        <v>1.365</v>
      </c>
      <c r="P179" s="141">
        <v>1.0</v>
      </c>
      <c r="Q179" s="137">
        <v>3.4125</v>
      </c>
      <c r="R179" s="136">
        <v>46066.0</v>
      </c>
      <c r="S179" s="135" t="s">
        <v>2993</v>
      </c>
      <c r="T179" s="136">
        <v>46067.0</v>
      </c>
      <c r="U179" s="135" t="s">
        <v>2864</v>
      </c>
      <c r="V179" s="135" t="s">
        <v>3014</v>
      </c>
      <c r="W179" s="135" t="s">
        <v>3028</v>
      </c>
      <c r="X179" s="135" t="s">
        <v>2870</v>
      </c>
      <c r="Y179" s="135"/>
      <c r="Z179" s="135" t="s">
        <v>2858</v>
      </c>
      <c r="AA179" s="135" t="s">
        <v>3029</v>
      </c>
      <c r="AB179" s="135"/>
      <c r="AC179" s="135"/>
      <c r="AD179" s="135">
        <v>46090.0</v>
      </c>
      <c r="AE179" s="135"/>
      <c r="AF179" s="135"/>
      <c r="AG179" s="135"/>
    </row>
    <row r="180" ht="21.75" hidden="1" customHeight="1">
      <c r="A180" s="135">
        <v>176.0</v>
      </c>
      <c r="B180" s="135">
        <v>25045.0</v>
      </c>
      <c r="C180" s="135"/>
      <c r="D180" s="135">
        <v>2.0</v>
      </c>
      <c r="E180" s="135" t="s">
        <v>23</v>
      </c>
      <c r="F180" s="135" t="s">
        <v>1190</v>
      </c>
      <c r="G180" s="135" t="s">
        <v>18</v>
      </c>
      <c r="H180" s="135" t="s">
        <v>2853</v>
      </c>
      <c r="I180" s="135" t="s">
        <v>22</v>
      </c>
      <c r="J180" s="135">
        <v>1.0</v>
      </c>
      <c r="K180" s="135" t="s">
        <v>2860</v>
      </c>
      <c r="L180" s="135">
        <v>5076.0</v>
      </c>
      <c r="M180" s="135">
        <v>3110.0</v>
      </c>
      <c r="N180" s="135">
        <v>120.0</v>
      </c>
      <c r="O180" s="135">
        <v>2.089</v>
      </c>
      <c r="P180" s="141">
        <v>0.0</v>
      </c>
      <c r="Q180" s="137">
        <v>5.2225</v>
      </c>
      <c r="R180" s="136">
        <v>46066.0</v>
      </c>
      <c r="S180" s="135" t="s">
        <v>2993</v>
      </c>
      <c r="T180" s="136"/>
      <c r="U180" s="135" t="s">
        <v>2855</v>
      </c>
      <c r="V180" s="135" t="s">
        <v>2876</v>
      </c>
      <c r="W180" s="135" t="s">
        <v>3030</v>
      </c>
      <c r="X180" s="135"/>
      <c r="Y180" s="135"/>
      <c r="Z180" s="135" t="s">
        <v>2858</v>
      </c>
      <c r="AA180" s="135"/>
      <c r="AB180" s="135"/>
      <c r="AC180" s="135"/>
      <c r="AD180" s="135">
        <v>46070.0</v>
      </c>
      <c r="AE180" s="135"/>
      <c r="AF180" s="135"/>
      <c r="AG180" s="135"/>
    </row>
    <row r="181" ht="21.75" hidden="1" customHeight="1">
      <c r="A181" s="135">
        <v>177.0</v>
      </c>
      <c r="B181" s="135">
        <v>25045.0</v>
      </c>
      <c r="C181" s="135"/>
      <c r="D181" s="135">
        <v>2.0</v>
      </c>
      <c r="E181" s="135" t="s">
        <v>23</v>
      </c>
      <c r="F181" s="135" t="s">
        <v>1191</v>
      </c>
      <c r="G181" s="135" t="s">
        <v>18</v>
      </c>
      <c r="H181" s="135" t="s">
        <v>2853</v>
      </c>
      <c r="I181" s="135" t="s">
        <v>22</v>
      </c>
      <c r="J181" s="135">
        <v>1.0</v>
      </c>
      <c r="K181" s="135" t="s">
        <v>2860</v>
      </c>
      <c r="L181" s="135">
        <v>5076.0</v>
      </c>
      <c r="M181" s="135">
        <v>3110.0</v>
      </c>
      <c r="N181" s="135">
        <v>120.0</v>
      </c>
      <c r="O181" s="135">
        <v>2.089</v>
      </c>
      <c r="P181" s="141">
        <v>0.0</v>
      </c>
      <c r="Q181" s="137">
        <v>5.2225</v>
      </c>
      <c r="R181" s="136">
        <v>46066.0</v>
      </c>
      <c r="S181" s="135" t="s">
        <v>2993</v>
      </c>
      <c r="T181" s="136"/>
      <c r="U181" s="135" t="s">
        <v>2855</v>
      </c>
      <c r="V181" s="135" t="s">
        <v>2876</v>
      </c>
      <c r="W181" s="135" t="s">
        <v>3030</v>
      </c>
      <c r="X181" s="135"/>
      <c r="Y181" s="135"/>
      <c r="Z181" s="135" t="s">
        <v>2858</v>
      </c>
      <c r="AA181" s="135"/>
      <c r="AB181" s="135"/>
      <c r="AC181" s="135"/>
      <c r="AD181" s="135">
        <v>46071.0</v>
      </c>
      <c r="AE181" s="135"/>
      <c r="AF181" s="135"/>
      <c r="AG181" s="135"/>
    </row>
    <row r="182" ht="21.75" hidden="1" customHeight="1">
      <c r="A182" s="135">
        <v>178.0</v>
      </c>
      <c r="B182" s="135">
        <v>25045.0</v>
      </c>
      <c r="C182" s="135"/>
      <c r="D182" s="135">
        <v>2.0</v>
      </c>
      <c r="E182" s="135" t="s">
        <v>23</v>
      </c>
      <c r="F182" s="135" t="s">
        <v>1192</v>
      </c>
      <c r="G182" s="135" t="s">
        <v>18</v>
      </c>
      <c r="H182" s="135" t="s">
        <v>2853</v>
      </c>
      <c r="I182" s="135" t="s">
        <v>22</v>
      </c>
      <c r="J182" s="135">
        <v>1.0</v>
      </c>
      <c r="K182" s="135" t="s">
        <v>2860</v>
      </c>
      <c r="L182" s="135">
        <v>5076.0</v>
      </c>
      <c r="M182" s="135">
        <v>3110.0</v>
      </c>
      <c r="N182" s="135">
        <v>120.0</v>
      </c>
      <c r="O182" s="135">
        <v>2.089</v>
      </c>
      <c r="P182" s="141">
        <v>0.0</v>
      </c>
      <c r="Q182" s="137">
        <v>5.2225</v>
      </c>
      <c r="R182" s="136">
        <v>46066.0</v>
      </c>
      <c r="S182" s="135" t="s">
        <v>2993</v>
      </c>
      <c r="T182" s="136"/>
      <c r="U182" s="135" t="s">
        <v>2855</v>
      </c>
      <c r="V182" s="135" t="s">
        <v>2876</v>
      </c>
      <c r="W182" s="135" t="s">
        <v>3030</v>
      </c>
      <c r="X182" s="135"/>
      <c r="Y182" s="135"/>
      <c r="Z182" s="135" t="s">
        <v>2858</v>
      </c>
      <c r="AA182" s="135"/>
      <c r="AB182" s="135"/>
      <c r="AC182" s="135"/>
      <c r="AD182" s="135">
        <v>46073.0</v>
      </c>
      <c r="AE182" s="135"/>
      <c r="AF182" s="135"/>
      <c r="AG182" s="135"/>
    </row>
    <row r="183" ht="21.75" hidden="1" customHeight="1">
      <c r="A183" s="135">
        <v>179.0</v>
      </c>
      <c r="B183" s="135">
        <v>25045.0</v>
      </c>
      <c r="C183" s="135"/>
      <c r="D183" s="135">
        <v>2.0</v>
      </c>
      <c r="E183" s="135" t="s">
        <v>23</v>
      </c>
      <c r="F183" s="135" t="s">
        <v>1193</v>
      </c>
      <c r="G183" s="135" t="s">
        <v>18</v>
      </c>
      <c r="H183" s="135" t="s">
        <v>2853</v>
      </c>
      <c r="I183" s="135" t="s">
        <v>22</v>
      </c>
      <c r="J183" s="135">
        <v>1.0</v>
      </c>
      <c r="K183" s="135"/>
      <c r="L183" s="135">
        <v>5077.0</v>
      </c>
      <c r="M183" s="135">
        <v>3110.0</v>
      </c>
      <c r="N183" s="135">
        <v>120.0</v>
      </c>
      <c r="O183" s="135">
        <v>1.753</v>
      </c>
      <c r="P183" s="141">
        <v>2.0</v>
      </c>
      <c r="Q183" s="137">
        <v>4.382499999999999</v>
      </c>
      <c r="R183" s="136">
        <v>46066.0</v>
      </c>
      <c r="S183" s="135" t="s">
        <v>2993</v>
      </c>
      <c r="T183" s="136">
        <v>46070.0</v>
      </c>
      <c r="U183" s="135" t="s">
        <v>2864</v>
      </c>
      <c r="V183" s="135" t="s">
        <v>2985</v>
      </c>
      <c r="W183" s="135" t="s">
        <v>3031</v>
      </c>
      <c r="X183" s="135" t="s">
        <v>2895</v>
      </c>
      <c r="Y183" s="135"/>
      <c r="Z183" s="135" t="s">
        <v>2858</v>
      </c>
      <c r="AA183" s="135" t="s">
        <v>2995</v>
      </c>
      <c r="AB183" s="135"/>
      <c r="AC183" s="135"/>
      <c r="AD183" s="135">
        <v>46080.0</v>
      </c>
      <c r="AE183" s="135"/>
      <c r="AF183" s="135"/>
      <c r="AG183" s="135"/>
    </row>
    <row r="184" ht="21.75" hidden="1" customHeight="1">
      <c r="A184" s="135">
        <v>180.0</v>
      </c>
      <c r="B184" s="135">
        <v>25045.0</v>
      </c>
      <c r="C184" s="135"/>
      <c r="D184" s="135">
        <v>2.0</v>
      </c>
      <c r="E184" s="135" t="s">
        <v>23</v>
      </c>
      <c r="F184" s="135" t="s">
        <v>1194</v>
      </c>
      <c r="G184" s="135" t="s">
        <v>18</v>
      </c>
      <c r="H184" s="135" t="s">
        <v>2853</v>
      </c>
      <c r="I184" s="135" t="s">
        <v>22</v>
      </c>
      <c r="J184" s="135">
        <v>1.0</v>
      </c>
      <c r="K184" s="135"/>
      <c r="L184" s="135">
        <v>4242.0</v>
      </c>
      <c r="M184" s="135">
        <v>3180.0</v>
      </c>
      <c r="N184" s="135">
        <v>120.0</v>
      </c>
      <c r="O184" s="135">
        <v>1.693</v>
      </c>
      <c r="P184" s="141">
        <v>2.0</v>
      </c>
      <c r="Q184" s="137">
        <v>4.2325</v>
      </c>
      <c r="R184" s="136">
        <v>46066.0</v>
      </c>
      <c r="S184" s="135" t="s">
        <v>2993</v>
      </c>
      <c r="T184" s="136">
        <v>46070.0</v>
      </c>
      <c r="U184" s="135" t="s">
        <v>2864</v>
      </c>
      <c r="V184" s="135" t="s">
        <v>2890</v>
      </c>
      <c r="W184" s="135" t="s">
        <v>3032</v>
      </c>
      <c r="X184" s="135" t="s">
        <v>2892</v>
      </c>
      <c r="Y184" s="135"/>
      <c r="Z184" s="135" t="s">
        <v>2858</v>
      </c>
      <c r="AA184" s="135" t="s">
        <v>2995</v>
      </c>
      <c r="AB184" s="135"/>
      <c r="AC184" s="135"/>
      <c r="AD184" s="135">
        <v>46074.0</v>
      </c>
      <c r="AE184" s="135"/>
      <c r="AF184" s="135"/>
      <c r="AG184" s="135"/>
    </row>
    <row r="185" ht="21.75" hidden="1" customHeight="1">
      <c r="A185" s="135">
        <v>181.0</v>
      </c>
      <c r="B185" s="135">
        <v>25045.0</v>
      </c>
      <c r="C185" s="135" t="s">
        <v>2817</v>
      </c>
      <c r="D185" s="135">
        <v>2.0</v>
      </c>
      <c r="E185" s="135" t="s">
        <v>2992</v>
      </c>
      <c r="F185" s="135" t="s">
        <v>1162</v>
      </c>
      <c r="G185" s="135" t="s">
        <v>18</v>
      </c>
      <c r="H185" s="135" t="s">
        <v>2853</v>
      </c>
      <c r="I185" s="135" t="s">
        <v>19</v>
      </c>
      <c r="J185" s="135">
        <v>1.0</v>
      </c>
      <c r="K185" s="135"/>
      <c r="L185" s="135">
        <v>3040.0</v>
      </c>
      <c r="M185" s="135">
        <v>1350.0</v>
      </c>
      <c r="N185" s="135">
        <v>120.0</v>
      </c>
      <c r="O185" s="135">
        <v>0.503</v>
      </c>
      <c r="P185" s="141">
        <v>0.0</v>
      </c>
      <c r="Q185" s="137">
        <v>1.2575</v>
      </c>
      <c r="R185" s="136">
        <v>46067.0</v>
      </c>
      <c r="S185" s="135" t="s">
        <v>3029</v>
      </c>
      <c r="T185" s="136"/>
      <c r="U185" s="135" t="s">
        <v>2864</v>
      </c>
      <c r="V185" s="135" t="s">
        <v>2856</v>
      </c>
      <c r="W185" s="135" t="s">
        <v>3033</v>
      </c>
      <c r="X185" s="135"/>
      <c r="Y185" s="135"/>
      <c r="Z185" s="135" t="s">
        <v>2858</v>
      </c>
      <c r="AA185" s="135"/>
      <c r="AB185" s="135"/>
      <c r="AC185" s="135"/>
      <c r="AD185" s="135">
        <v>46084.0</v>
      </c>
      <c r="AE185" s="135"/>
      <c r="AF185" s="135"/>
      <c r="AG185" s="135"/>
    </row>
    <row r="186" ht="21.75" hidden="1" customHeight="1">
      <c r="A186" s="135">
        <v>182.0</v>
      </c>
      <c r="B186" s="135">
        <v>25045.0</v>
      </c>
      <c r="C186" s="135" t="s">
        <v>2817</v>
      </c>
      <c r="D186" s="135">
        <v>2.0</v>
      </c>
      <c r="E186" s="135" t="s">
        <v>2992</v>
      </c>
      <c r="F186" s="135" t="s">
        <v>1163</v>
      </c>
      <c r="G186" s="135" t="s">
        <v>18</v>
      </c>
      <c r="H186" s="135" t="s">
        <v>2853</v>
      </c>
      <c r="I186" s="135" t="s">
        <v>19</v>
      </c>
      <c r="J186" s="135">
        <v>1.0</v>
      </c>
      <c r="K186" s="135"/>
      <c r="L186" s="135">
        <v>3040.0</v>
      </c>
      <c r="M186" s="135">
        <v>1350.0</v>
      </c>
      <c r="N186" s="135">
        <v>120.0</v>
      </c>
      <c r="O186" s="135">
        <v>0.503</v>
      </c>
      <c r="P186" s="141">
        <v>0.0</v>
      </c>
      <c r="Q186" s="137">
        <v>1.2575</v>
      </c>
      <c r="R186" s="136">
        <v>46067.0</v>
      </c>
      <c r="S186" s="135" t="s">
        <v>3029</v>
      </c>
      <c r="T186" s="136"/>
      <c r="U186" s="135" t="s">
        <v>2864</v>
      </c>
      <c r="V186" s="135" t="s">
        <v>2856</v>
      </c>
      <c r="W186" s="135" t="s">
        <v>3033</v>
      </c>
      <c r="X186" s="135"/>
      <c r="Y186" s="135"/>
      <c r="Z186" s="135" t="s">
        <v>2858</v>
      </c>
      <c r="AA186" s="135"/>
      <c r="AB186" s="135"/>
      <c r="AC186" s="135"/>
      <c r="AD186" s="135">
        <v>46081.0</v>
      </c>
      <c r="AE186" s="135"/>
      <c r="AF186" s="135"/>
      <c r="AG186" s="135"/>
    </row>
    <row r="187" ht="21.75" hidden="1" customHeight="1">
      <c r="A187" s="135">
        <v>183.0</v>
      </c>
      <c r="B187" s="135">
        <v>25045.0</v>
      </c>
      <c r="C187" s="135" t="s">
        <v>2817</v>
      </c>
      <c r="D187" s="135">
        <v>2.0</v>
      </c>
      <c r="E187" s="135" t="s">
        <v>2992</v>
      </c>
      <c r="F187" s="135" t="s">
        <v>1164</v>
      </c>
      <c r="G187" s="135" t="s">
        <v>18</v>
      </c>
      <c r="H187" s="135" t="s">
        <v>2853</v>
      </c>
      <c r="I187" s="135" t="s">
        <v>19</v>
      </c>
      <c r="J187" s="135">
        <v>1.0</v>
      </c>
      <c r="K187" s="135"/>
      <c r="L187" s="135">
        <v>3340.0</v>
      </c>
      <c r="M187" s="135">
        <v>2850.0</v>
      </c>
      <c r="N187" s="135">
        <v>120.0</v>
      </c>
      <c r="O187" s="135">
        <v>1.226</v>
      </c>
      <c r="P187" s="141">
        <v>0.0</v>
      </c>
      <c r="Q187" s="137">
        <v>3.065</v>
      </c>
      <c r="R187" s="136">
        <v>46067.0</v>
      </c>
      <c r="S187" s="135" t="s">
        <v>3029</v>
      </c>
      <c r="T187" s="136"/>
      <c r="U187" s="135" t="s">
        <v>2864</v>
      </c>
      <c r="V187" s="135" t="s">
        <v>2878</v>
      </c>
      <c r="W187" s="135" t="s">
        <v>3034</v>
      </c>
      <c r="X187" s="135" t="s">
        <v>2870</v>
      </c>
      <c r="Y187" s="135"/>
      <c r="Z187" s="135" t="s">
        <v>2858</v>
      </c>
      <c r="AA187" s="135"/>
      <c r="AB187" s="135"/>
      <c r="AC187" s="135"/>
      <c r="AD187" s="135">
        <v>46079.0</v>
      </c>
      <c r="AE187" s="135"/>
      <c r="AF187" s="135"/>
      <c r="AG187" s="135"/>
    </row>
    <row r="188" ht="21.75" hidden="1" customHeight="1">
      <c r="A188" s="135">
        <v>184.0</v>
      </c>
      <c r="B188" s="135">
        <v>25045.0</v>
      </c>
      <c r="C188" s="135" t="s">
        <v>2817</v>
      </c>
      <c r="D188" s="135">
        <v>2.0</v>
      </c>
      <c r="E188" s="135" t="s">
        <v>2992</v>
      </c>
      <c r="F188" s="135" t="s">
        <v>1165</v>
      </c>
      <c r="G188" s="135" t="s">
        <v>18</v>
      </c>
      <c r="H188" s="135" t="s">
        <v>2853</v>
      </c>
      <c r="I188" s="135" t="s">
        <v>19</v>
      </c>
      <c r="J188" s="135">
        <v>1.0</v>
      </c>
      <c r="K188" s="135"/>
      <c r="L188" s="135">
        <v>2395.0</v>
      </c>
      <c r="M188" s="135">
        <v>3180.0</v>
      </c>
      <c r="N188" s="135">
        <v>120.0</v>
      </c>
      <c r="O188" s="135">
        <v>0.866</v>
      </c>
      <c r="P188" s="141">
        <v>0.0</v>
      </c>
      <c r="Q188" s="137">
        <v>2.165</v>
      </c>
      <c r="R188" s="136">
        <v>46067.0</v>
      </c>
      <c r="S188" s="135" t="s">
        <v>3029</v>
      </c>
      <c r="T188" s="136">
        <v>46069.0</v>
      </c>
      <c r="U188" s="135" t="s">
        <v>2864</v>
      </c>
      <c r="V188" s="135" t="s">
        <v>2878</v>
      </c>
      <c r="W188" s="135" t="s">
        <v>3035</v>
      </c>
      <c r="X188" s="135" t="s">
        <v>3036</v>
      </c>
      <c r="Y188" s="135"/>
      <c r="Z188" s="135" t="s">
        <v>2858</v>
      </c>
      <c r="AA188" s="135" t="s">
        <v>3037</v>
      </c>
      <c r="AB188" s="135"/>
      <c r="AC188" s="135"/>
      <c r="AD188" s="135">
        <v>46080.0</v>
      </c>
      <c r="AE188" s="135"/>
      <c r="AF188" s="135"/>
      <c r="AG188" s="135"/>
    </row>
    <row r="189" ht="21.75" hidden="1" customHeight="1">
      <c r="A189" s="135">
        <v>185.0</v>
      </c>
      <c r="B189" s="135">
        <v>25045.0</v>
      </c>
      <c r="C189" s="135" t="s">
        <v>2817</v>
      </c>
      <c r="D189" s="135">
        <v>2.0</v>
      </c>
      <c r="E189" s="135" t="s">
        <v>23</v>
      </c>
      <c r="F189" s="135" t="s">
        <v>1183</v>
      </c>
      <c r="G189" s="135" t="s">
        <v>18</v>
      </c>
      <c r="H189" s="135" t="s">
        <v>2853</v>
      </c>
      <c r="I189" s="135" t="s">
        <v>21</v>
      </c>
      <c r="J189" s="135">
        <v>1.0</v>
      </c>
      <c r="K189" s="135"/>
      <c r="L189" s="135">
        <v>2395.0</v>
      </c>
      <c r="M189" s="135">
        <v>3490.0</v>
      </c>
      <c r="N189" s="135">
        <v>120.0</v>
      </c>
      <c r="O189" s="135">
        <v>0.901</v>
      </c>
      <c r="P189" s="141">
        <v>1.0</v>
      </c>
      <c r="Q189" s="137">
        <v>2.2525</v>
      </c>
      <c r="R189" s="136">
        <v>46067.0</v>
      </c>
      <c r="S189" s="135" t="s">
        <v>3029</v>
      </c>
      <c r="T189" s="136">
        <v>46069.0</v>
      </c>
      <c r="U189" s="135" t="s">
        <v>2864</v>
      </c>
      <c r="V189" s="135" t="s">
        <v>2878</v>
      </c>
      <c r="W189" s="135" t="s">
        <v>3038</v>
      </c>
      <c r="X189" s="135" t="s">
        <v>3039</v>
      </c>
      <c r="Y189" s="135"/>
      <c r="Z189" s="135" t="s">
        <v>2858</v>
      </c>
      <c r="AA189" s="135" t="s">
        <v>3037</v>
      </c>
      <c r="AB189" s="135"/>
      <c r="AC189" s="135"/>
      <c r="AD189" s="135">
        <v>46086.0</v>
      </c>
      <c r="AE189" s="135"/>
      <c r="AF189" s="135"/>
      <c r="AG189" s="135"/>
    </row>
    <row r="190" ht="21.75" hidden="1" customHeight="1">
      <c r="A190" s="135">
        <v>186.0</v>
      </c>
      <c r="B190" s="135">
        <v>25045.0</v>
      </c>
      <c r="C190" s="135" t="s">
        <v>2817</v>
      </c>
      <c r="D190" s="135">
        <v>2.0</v>
      </c>
      <c r="E190" s="135" t="s">
        <v>23</v>
      </c>
      <c r="F190" s="135" t="s">
        <v>1184</v>
      </c>
      <c r="G190" s="135" t="s">
        <v>18</v>
      </c>
      <c r="H190" s="135" t="s">
        <v>2853</v>
      </c>
      <c r="I190" s="135" t="s">
        <v>21</v>
      </c>
      <c r="J190" s="135">
        <v>1.0</v>
      </c>
      <c r="K190" s="135"/>
      <c r="L190" s="135">
        <v>3340.0</v>
      </c>
      <c r="M190" s="135">
        <v>3180.0</v>
      </c>
      <c r="N190" s="135">
        <v>120.0</v>
      </c>
      <c r="O190" s="135">
        <v>1.372</v>
      </c>
      <c r="P190" s="141">
        <v>0.0</v>
      </c>
      <c r="Q190" s="137">
        <v>3.43</v>
      </c>
      <c r="R190" s="136">
        <v>46067.0</v>
      </c>
      <c r="S190" s="135" t="s">
        <v>3029</v>
      </c>
      <c r="T190" s="136"/>
      <c r="U190" s="135" t="s">
        <v>2864</v>
      </c>
      <c r="V190" s="135" t="s">
        <v>3014</v>
      </c>
      <c r="W190" s="135" t="s">
        <v>3040</v>
      </c>
      <c r="X190" s="135" t="s">
        <v>2870</v>
      </c>
      <c r="Y190" s="135"/>
      <c r="Z190" s="135" t="s">
        <v>2858</v>
      </c>
      <c r="AA190" s="135"/>
      <c r="AB190" s="135"/>
      <c r="AC190" s="135"/>
      <c r="AD190" s="135">
        <v>46079.0</v>
      </c>
      <c r="AE190" s="135"/>
      <c r="AF190" s="135"/>
      <c r="AG190" s="135"/>
    </row>
    <row r="191" ht="21.75" hidden="1" customHeight="1">
      <c r="A191" s="135">
        <v>187.0</v>
      </c>
      <c r="B191" s="135">
        <v>25045.0</v>
      </c>
      <c r="C191" s="135" t="s">
        <v>2817</v>
      </c>
      <c r="D191" s="135">
        <v>2.0</v>
      </c>
      <c r="E191" s="135" t="s">
        <v>23</v>
      </c>
      <c r="F191" s="135" t="s">
        <v>1185</v>
      </c>
      <c r="G191" s="135" t="s">
        <v>18</v>
      </c>
      <c r="H191" s="135" t="s">
        <v>2853</v>
      </c>
      <c r="I191" s="135" t="s">
        <v>21</v>
      </c>
      <c r="J191" s="135">
        <v>1.0</v>
      </c>
      <c r="K191" s="135"/>
      <c r="L191" s="135">
        <v>4090.0</v>
      </c>
      <c r="M191" s="135">
        <v>3180.0</v>
      </c>
      <c r="N191" s="135">
        <v>120.0</v>
      </c>
      <c r="O191" s="135">
        <v>1.71</v>
      </c>
      <c r="P191" s="141">
        <v>0.0</v>
      </c>
      <c r="Q191" s="137">
        <v>4.275</v>
      </c>
      <c r="R191" s="136">
        <v>46067.0</v>
      </c>
      <c r="S191" s="135" t="s">
        <v>3029</v>
      </c>
      <c r="T191" s="136"/>
      <c r="U191" s="135" t="s">
        <v>2864</v>
      </c>
      <c r="V191" s="135" t="s">
        <v>3041</v>
      </c>
      <c r="W191" s="135" t="s">
        <v>2971</v>
      </c>
      <c r="X191" s="135" t="s">
        <v>2872</v>
      </c>
      <c r="Y191" s="135"/>
      <c r="Z191" s="135" t="s">
        <v>2858</v>
      </c>
      <c r="AA191" s="135"/>
      <c r="AB191" s="135"/>
      <c r="AC191" s="135"/>
      <c r="AD191" s="135">
        <v>46083.0</v>
      </c>
      <c r="AE191" s="135"/>
      <c r="AF191" s="135"/>
      <c r="AG191" s="135"/>
    </row>
    <row r="192" ht="21.75" hidden="1" customHeight="1">
      <c r="A192" s="135">
        <v>188.0</v>
      </c>
      <c r="B192" s="135">
        <v>25045.0</v>
      </c>
      <c r="C192" s="135"/>
      <c r="D192" s="135">
        <v>2.0</v>
      </c>
      <c r="E192" s="135" t="s">
        <v>23</v>
      </c>
      <c r="F192" s="135" t="s">
        <v>1186</v>
      </c>
      <c r="G192" s="135" t="s">
        <v>18</v>
      </c>
      <c r="H192" s="135" t="s">
        <v>2853</v>
      </c>
      <c r="I192" s="135" t="s">
        <v>21</v>
      </c>
      <c r="J192" s="135">
        <v>1.0</v>
      </c>
      <c r="K192" s="135"/>
      <c r="L192" s="135">
        <v>5015.0</v>
      </c>
      <c r="M192" s="135">
        <v>3110.0</v>
      </c>
      <c r="N192" s="135">
        <v>120.0</v>
      </c>
      <c r="O192" s="135">
        <v>2.072</v>
      </c>
      <c r="P192" s="141">
        <v>0.0</v>
      </c>
      <c r="Q192" s="137">
        <v>5.18</v>
      </c>
      <c r="R192" s="136">
        <v>46067.0</v>
      </c>
      <c r="S192" s="135" t="s">
        <v>3029</v>
      </c>
      <c r="T192" s="136"/>
      <c r="U192" s="135" t="s">
        <v>2855</v>
      </c>
      <c r="V192" s="135" t="s">
        <v>2876</v>
      </c>
      <c r="W192" s="135" t="s">
        <v>3004</v>
      </c>
      <c r="X192" s="135"/>
      <c r="Y192" s="135"/>
      <c r="Z192" s="135" t="s">
        <v>2858</v>
      </c>
      <c r="AA192" s="135"/>
      <c r="AB192" s="135"/>
      <c r="AC192" s="135"/>
      <c r="AD192" s="135">
        <v>46071.0</v>
      </c>
      <c r="AE192" s="135"/>
      <c r="AF192" s="135"/>
      <c r="AG192" s="135"/>
    </row>
    <row r="193" ht="21.75" hidden="1" customHeight="1">
      <c r="A193" s="135">
        <v>189.0</v>
      </c>
      <c r="B193" s="135">
        <v>25045.0</v>
      </c>
      <c r="C193" s="135"/>
      <c r="D193" s="135">
        <v>2.0</v>
      </c>
      <c r="E193" s="135" t="s">
        <v>23</v>
      </c>
      <c r="F193" s="135" t="s">
        <v>1187</v>
      </c>
      <c r="G193" s="135" t="s">
        <v>18</v>
      </c>
      <c r="H193" s="135" t="s">
        <v>2853</v>
      </c>
      <c r="I193" s="135" t="s">
        <v>21</v>
      </c>
      <c r="J193" s="135">
        <v>1.0</v>
      </c>
      <c r="K193" s="135"/>
      <c r="L193" s="135">
        <v>2115.0</v>
      </c>
      <c r="M193" s="135">
        <v>895.0</v>
      </c>
      <c r="N193" s="135">
        <v>120.0</v>
      </c>
      <c r="O193" s="135">
        <v>0.381</v>
      </c>
      <c r="P193" s="141">
        <v>0.0</v>
      </c>
      <c r="Q193" s="137">
        <v>0.9525</v>
      </c>
      <c r="R193" s="136">
        <v>46067.0</v>
      </c>
      <c r="S193" s="135" t="s">
        <v>3029</v>
      </c>
      <c r="T193" s="136"/>
      <c r="U193" s="135" t="s">
        <v>2864</v>
      </c>
      <c r="V193" s="135" t="s">
        <v>2856</v>
      </c>
      <c r="W193" s="135" t="s">
        <v>3042</v>
      </c>
      <c r="X193" s="135"/>
      <c r="Y193" s="135"/>
      <c r="Z193" s="135" t="s">
        <v>2858</v>
      </c>
      <c r="AA193" s="135"/>
      <c r="AB193" s="135"/>
      <c r="AC193" s="135"/>
      <c r="AD193" s="135">
        <v>46086.0</v>
      </c>
      <c r="AE193" s="135"/>
      <c r="AF193" s="135"/>
      <c r="AG193" s="135"/>
    </row>
    <row r="194" ht="21.75" hidden="1" customHeight="1">
      <c r="A194" s="135">
        <v>190.0</v>
      </c>
      <c r="B194" s="135">
        <v>25045.0</v>
      </c>
      <c r="C194" s="135"/>
      <c r="D194" s="135">
        <v>2.0</v>
      </c>
      <c r="E194" s="135" t="s">
        <v>23</v>
      </c>
      <c r="F194" s="135" t="s">
        <v>1188</v>
      </c>
      <c r="G194" s="135" t="s">
        <v>18</v>
      </c>
      <c r="H194" s="135" t="s">
        <v>2965</v>
      </c>
      <c r="I194" s="135" t="s">
        <v>21</v>
      </c>
      <c r="J194" s="135">
        <v>1.0</v>
      </c>
      <c r="K194" s="135"/>
      <c r="L194" s="135">
        <v>400.0</v>
      </c>
      <c r="M194" s="135">
        <v>2550.0</v>
      </c>
      <c r="N194" s="135">
        <v>350.0</v>
      </c>
      <c r="O194" s="135">
        <v>0.462</v>
      </c>
      <c r="P194" s="141">
        <v>1.0</v>
      </c>
      <c r="Q194" s="137">
        <v>1.155</v>
      </c>
      <c r="R194" s="136">
        <v>46067.0</v>
      </c>
      <c r="S194" s="135" t="s">
        <v>3029</v>
      </c>
      <c r="T194" s="136">
        <v>46078.0</v>
      </c>
      <c r="U194" s="135" t="s">
        <v>2966</v>
      </c>
      <c r="V194" s="135" t="s">
        <v>2967</v>
      </c>
      <c r="W194" s="135"/>
      <c r="X194" s="135" t="s">
        <v>3012</v>
      </c>
      <c r="Y194" s="135"/>
      <c r="Z194" s="135" t="s">
        <v>2858</v>
      </c>
      <c r="AA194" s="135" t="s">
        <v>3013</v>
      </c>
      <c r="AB194" s="135"/>
      <c r="AC194" s="135"/>
      <c r="AD194" s="135">
        <v>46088.0</v>
      </c>
      <c r="AE194" s="135"/>
      <c r="AF194" s="135"/>
      <c r="AG194" s="135"/>
    </row>
    <row r="195" ht="21.75" hidden="1" customHeight="1">
      <c r="A195" s="135">
        <v>191.0</v>
      </c>
      <c r="B195" s="135">
        <v>25045.0</v>
      </c>
      <c r="C195" s="135" t="s">
        <v>2817</v>
      </c>
      <c r="D195" s="135">
        <v>2.0</v>
      </c>
      <c r="E195" s="135" t="s">
        <v>23</v>
      </c>
      <c r="F195" s="135" t="s">
        <v>1195</v>
      </c>
      <c r="G195" s="135" t="s">
        <v>18</v>
      </c>
      <c r="H195" s="135" t="s">
        <v>2853</v>
      </c>
      <c r="I195" s="135" t="s">
        <v>22</v>
      </c>
      <c r="J195" s="135">
        <v>1.0</v>
      </c>
      <c r="K195" s="135"/>
      <c r="L195" s="135">
        <v>3032.0</v>
      </c>
      <c r="M195" s="135">
        <v>3160.0</v>
      </c>
      <c r="N195" s="135">
        <v>120.0</v>
      </c>
      <c r="O195" s="135">
        <v>1.282</v>
      </c>
      <c r="P195" s="141">
        <v>0.0</v>
      </c>
      <c r="Q195" s="137">
        <v>3.205</v>
      </c>
      <c r="R195" s="136">
        <v>46067.0</v>
      </c>
      <c r="S195" s="135" t="s">
        <v>3029</v>
      </c>
      <c r="T195" s="136"/>
      <c r="U195" s="135" t="s">
        <v>2864</v>
      </c>
      <c r="V195" s="135" t="s">
        <v>3014</v>
      </c>
      <c r="W195" s="135" t="s">
        <v>3043</v>
      </c>
      <c r="X195" s="135" t="s">
        <v>2872</v>
      </c>
      <c r="Y195" s="135"/>
      <c r="Z195" s="135" t="s">
        <v>2858</v>
      </c>
      <c r="AA195" s="135"/>
      <c r="AB195" s="135"/>
      <c r="AC195" s="135"/>
      <c r="AD195" s="135">
        <v>46074.0</v>
      </c>
      <c r="AE195" s="135"/>
      <c r="AF195" s="135"/>
      <c r="AG195" s="135"/>
    </row>
    <row r="196" ht="21.75" hidden="1" customHeight="1">
      <c r="A196" s="135">
        <v>192.0</v>
      </c>
      <c r="B196" s="135">
        <v>25045.0</v>
      </c>
      <c r="C196" s="135" t="s">
        <v>2817</v>
      </c>
      <c r="D196" s="135">
        <v>2.0</v>
      </c>
      <c r="E196" s="135" t="s">
        <v>23</v>
      </c>
      <c r="F196" s="135" t="s">
        <v>1196</v>
      </c>
      <c r="G196" s="135" t="s">
        <v>18</v>
      </c>
      <c r="H196" s="135" t="s">
        <v>2853</v>
      </c>
      <c r="I196" s="135" t="s">
        <v>22</v>
      </c>
      <c r="J196" s="135">
        <v>1.0</v>
      </c>
      <c r="K196" s="135"/>
      <c r="L196" s="135">
        <v>2540.0</v>
      </c>
      <c r="M196" s="135">
        <v>3160.0</v>
      </c>
      <c r="N196" s="135">
        <v>120.0</v>
      </c>
      <c r="O196" s="135">
        <v>1.143</v>
      </c>
      <c r="P196" s="141">
        <v>0.0</v>
      </c>
      <c r="Q196" s="137">
        <v>2.8575</v>
      </c>
      <c r="R196" s="136">
        <v>46067.0</v>
      </c>
      <c r="S196" s="135" t="s">
        <v>3029</v>
      </c>
      <c r="T196" s="136"/>
      <c r="U196" s="135" t="s">
        <v>2864</v>
      </c>
      <c r="V196" s="135" t="s">
        <v>3014</v>
      </c>
      <c r="W196" s="135" t="s">
        <v>3017</v>
      </c>
      <c r="X196" s="135"/>
      <c r="Y196" s="135"/>
      <c r="Z196" s="135" t="s">
        <v>2858</v>
      </c>
      <c r="AA196" s="135"/>
      <c r="AB196" s="135"/>
      <c r="AC196" s="135"/>
      <c r="AD196" s="135">
        <v>46076.0</v>
      </c>
      <c r="AE196" s="135"/>
      <c r="AF196" s="135"/>
      <c r="AG196" s="135"/>
    </row>
    <row r="197" ht="21.75" hidden="1" customHeight="1">
      <c r="A197" s="135">
        <v>193.0</v>
      </c>
      <c r="B197" s="135">
        <v>25045.0</v>
      </c>
      <c r="C197" s="135" t="s">
        <v>2817</v>
      </c>
      <c r="D197" s="135">
        <v>2.0</v>
      </c>
      <c r="E197" s="135" t="s">
        <v>23</v>
      </c>
      <c r="F197" s="135" t="s">
        <v>1197</v>
      </c>
      <c r="G197" s="135" t="s">
        <v>18</v>
      </c>
      <c r="H197" s="135" t="s">
        <v>2853</v>
      </c>
      <c r="I197" s="135" t="s">
        <v>22</v>
      </c>
      <c r="J197" s="135">
        <v>1.0</v>
      </c>
      <c r="K197" s="135"/>
      <c r="L197" s="135">
        <v>3040.0</v>
      </c>
      <c r="M197" s="135">
        <v>3160.0</v>
      </c>
      <c r="N197" s="135">
        <v>120.0</v>
      </c>
      <c r="O197" s="135">
        <v>1.279</v>
      </c>
      <c r="P197" s="141">
        <v>0.0</v>
      </c>
      <c r="Q197" s="137">
        <v>3.1975</v>
      </c>
      <c r="R197" s="136">
        <v>46067.0</v>
      </c>
      <c r="S197" s="135" t="s">
        <v>3029</v>
      </c>
      <c r="T197" s="136"/>
      <c r="U197" s="135" t="s">
        <v>2864</v>
      </c>
      <c r="V197" s="135" t="s">
        <v>3014</v>
      </c>
      <c r="W197" s="135" t="s">
        <v>3018</v>
      </c>
      <c r="X197" s="135"/>
      <c r="Y197" s="135"/>
      <c r="Z197" s="135" t="s">
        <v>2858</v>
      </c>
      <c r="AA197" s="135"/>
      <c r="AB197" s="135"/>
      <c r="AC197" s="135"/>
      <c r="AD197" s="135">
        <v>46073.0</v>
      </c>
      <c r="AE197" s="135"/>
      <c r="AF197" s="135"/>
      <c r="AG197" s="135"/>
    </row>
    <row r="198" ht="21.75" hidden="1" customHeight="1">
      <c r="A198" s="135">
        <v>194.0</v>
      </c>
      <c r="B198" s="135">
        <v>25045.0</v>
      </c>
      <c r="C198" s="135" t="s">
        <v>2817</v>
      </c>
      <c r="D198" s="135">
        <v>2.0</v>
      </c>
      <c r="E198" s="135" t="s">
        <v>23</v>
      </c>
      <c r="F198" s="135" t="s">
        <v>1198</v>
      </c>
      <c r="G198" s="135" t="s">
        <v>18</v>
      </c>
      <c r="H198" s="135" t="s">
        <v>2853</v>
      </c>
      <c r="I198" s="135" t="s">
        <v>22</v>
      </c>
      <c r="J198" s="135">
        <v>1.0</v>
      </c>
      <c r="K198" s="135"/>
      <c r="L198" s="135">
        <v>2040.0</v>
      </c>
      <c r="M198" s="135">
        <v>3160.0</v>
      </c>
      <c r="N198" s="135">
        <v>120.0</v>
      </c>
      <c r="O198" s="135">
        <v>1.143</v>
      </c>
      <c r="P198" s="141">
        <v>0.0</v>
      </c>
      <c r="Q198" s="137">
        <v>2.8575</v>
      </c>
      <c r="R198" s="136">
        <v>46067.0</v>
      </c>
      <c r="S198" s="135" t="s">
        <v>3029</v>
      </c>
      <c r="T198" s="136"/>
      <c r="U198" s="135" t="s">
        <v>2864</v>
      </c>
      <c r="V198" s="135" t="s">
        <v>3014</v>
      </c>
      <c r="W198" s="135" t="s">
        <v>3016</v>
      </c>
      <c r="X198" s="135"/>
      <c r="Y198" s="135"/>
      <c r="Z198" s="135" t="s">
        <v>2858</v>
      </c>
      <c r="AA198" s="135"/>
      <c r="AB198" s="135"/>
      <c r="AC198" s="135"/>
      <c r="AD198" s="135">
        <v>46077.0</v>
      </c>
      <c r="AE198" s="135"/>
      <c r="AF198" s="135"/>
      <c r="AG198" s="135"/>
    </row>
    <row r="199" ht="21.75" hidden="1" customHeight="1">
      <c r="A199" s="135">
        <v>195.0</v>
      </c>
      <c r="B199" s="135">
        <v>25045.0</v>
      </c>
      <c r="C199" s="135" t="s">
        <v>2817</v>
      </c>
      <c r="D199" s="135">
        <v>2.0</v>
      </c>
      <c r="E199" s="135" t="s">
        <v>23</v>
      </c>
      <c r="F199" s="135" t="s">
        <v>1199</v>
      </c>
      <c r="G199" s="135" t="s">
        <v>18</v>
      </c>
      <c r="H199" s="135" t="s">
        <v>2853</v>
      </c>
      <c r="I199" s="135" t="s">
        <v>22</v>
      </c>
      <c r="J199" s="135">
        <v>1.0</v>
      </c>
      <c r="K199" s="135"/>
      <c r="L199" s="135">
        <v>3090.0</v>
      </c>
      <c r="M199" s="135">
        <v>3160.0</v>
      </c>
      <c r="N199" s="135">
        <v>120.0</v>
      </c>
      <c r="O199" s="135">
        <v>1.298</v>
      </c>
      <c r="P199" s="141">
        <v>0.0</v>
      </c>
      <c r="Q199" s="137">
        <v>3.245</v>
      </c>
      <c r="R199" s="136">
        <v>46067.0</v>
      </c>
      <c r="S199" s="135" t="s">
        <v>3029</v>
      </c>
      <c r="T199" s="136"/>
      <c r="U199" s="135" t="s">
        <v>2864</v>
      </c>
      <c r="V199" s="135" t="s">
        <v>3014</v>
      </c>
      <c r="W199" s="135" t="s">
        <v>3044</v>
      </c>
      <c r="X199" s="135" t="s">
        <v>2872</v>
      </c>
      <c r="Y199" s="135"/>
      <c r="Z199" s="135" t="s">
        <v>2858</v>
      </c>
      <c r="AA199" s="135"/>
      <c r="AB199" s="135"/>
      <c r="AC199" s="135"/>
      <c r="AD199" s="135">
        <v>46071.0</v>
      </c>
      <c r="AE199" s="135"/>
      <c r="AF199" s="135"/>
      <c r="AG199" s="135"/>
    </row>
    <row r="200" ht="21.75" hidden="1" customHeight="1">
      <c r="A200" s="135">
        <v>196.0</v>
      </c>
      <c r="B200" s="135">
        <v>25045.0</v>
      </c>
      <c r="C200" s="135" t="s">
        <v>2817</v>
      </c>
      <c r="D200" s="135">
        <v>2.0</v>
      </c>
      <c r="E200" s="135" t="s">
        <v>23</v>
      </c>
      <c r="F200" s="135" t="s">
        <v>1200</v>
      </c>
      <c r="G200" s="135" t="s">
        <v>18</v>
      </c>
      <c r="H200" s="135" t="s">
        <v>2853</v>
      </c>
      <c r="I200" s="135" t="s">
        <v>22</v>
      </c>
      <c r="J200" s="135">
        <v>1.0</v>
      </c>
      <c r="K200" s="135"/>
      <c r="L200" s="135">
        <v>2395.0</v>
      </c>
      <c r="M200" s="135">
        <v>3538.0</v>
      </c>
      <c r="N200" s="135">
        <v>120.0</v>
      </c>
      <c r="O200" s="135">
        <v>0.915</v>
      </c>
      <c r="P200" s="141">
        <v>1.0</v>
      </c>
      <c r="Q200" s="137">
        <v>2.2875</v>
      </c>
      <c r="R200" s="136">
        <v>46067.0</v>
      </c>
      <c r="S200" s="135" t="s">
        <v>3029</v>
      </c>
      <c r="T200" s="136">
        <v>46069.0</v>
      </c>
      <c r="U200" s="135" t="s">
        <v>2864</v>
      </c>
      <c r="V200" s="135" t="s">
        <v>3014</v>
      </c>
      <c r="W200" s="135" t="s">
        <v>3045</v>
      </c>
      <c r="X200" s="135" t="s">
        <v>3046</v>
      </c>
      <c r="Y200" s="135"/>
      <c r="Z200" s="135" t="s">
        <v>2858</v>
      </c>
      <c r="AA200" s="135" t="s">
        <v>3037</v>
      </c>
      <c r="AB200" s="135"/>
      <c r="AC200" s="135"/>
      <c r="AD200" s="135">
        <v>46092.0</v>
      </c>
      <c r="AE200" s="135"/>
      <c r="AF200" s="135"/>
      <c r="AG200" s="135"/>
    </row>
    <row r="201" ht="21.75" hidden="1" customHeight="1">
      <c r="A201" s="135">
        <v>197.0</v>
      </c>
      <c r="B201" s="135">
        <v>25045.0</v>
      </c>
      <c r="C201" s="135" t="s">
        <v>2817</v>
      </c>
      <c r="D201" s="135">
        <v>2.0</v>
      </c>
      <c r="E201" s="135" t="s">
        <v>23</v>
      </c>
      <c r="F201" s="135" t="s">
        <v>1201</v>
      </c>
      <c r="G201" s="135" t="s">
        <v>18</v>
      </c>
      <c r="H201" s="135" t="s">
        <v>2853</v>
      </c>
      <c r="I201" s="135" t="s">
        <v>22</v>
      </c>
      <c r="J201" s="135">
        <v>1.0</v>
      </c>
      <c r="K201" s="135"/>
      <c r="L201" s="135">
        <v>4090.0</v>
      </c>
      <c r="M201" s="135">
        <v>3160.0</v>
      </c>
      <c r="N201" s="135">
        <v>120.0</v>
      </c>
      <c r="O201" s="135">
        <v>1.701</v>
      </c>
      <c r="P201" s="141">
        <v>0.0</v>
      </c>
      <c r="Q201" s="137">
        <v>4.2525</v>
      </c>
      <c r="R201" s="136">
        <v>46067.0</v>
      </c>
      <c r="S201" s="135" t="s">
        <v>3029</v>
      </c>
      <c r="T201" s="136"/>
      <c r="U201" s="135" t="s">
        <v>2864</v>
      </c>
      <c r="V201" s="135" t="s">
        <v>3041</v>
      </c>
      <c r="W201" s="135" t="s">
        <v>2971</v>
      </c>
      <c r="X201" s="135" t="s">
        <v>2872</v>
      </c>
      <c r="Y201" s="135"/>
      <c r="Z201" s="135" t="s">
        <v>2858</v>
      </c>
      <c r="AA201" s="135"/>
      <c r="AB201" s="135"/>
      <c r="AC201" s="135"/>
      <c r="AD201" s="135">
        <v>46087.0</v>
      </c>
      <c r="AE201" s="135"/>
      <c r="AF201" s="135"/>
      <c r="AG201" s="135"/>
    </row>
    <row r="202" ht="21.75" hidden="1" customHeight="1">
      <c r="A202" s="135">
        <v>198.0</v>
      </c>
      <c r="B202" s="135">
        <v>25045.0</v>
      </c>
      <c r="C202" s="135"/>
      <c r="D202" s="135">
        <v>2.0</v>
      </c>
      <c r="E202" s="135" t="s">
        <v>23</v>
      </c>
      <c r="F202" s="135" t="s">
        <v>1202</v>
      </c>
      <c r="G202" s="135" t="s">
        <v>18</v>
      </c>
      <c r="H202" s="135" t="s">
        <v>2853</v>
      </c>
      <c r="I202" s="135" t="s">
        <v>22</v>
      </c>
      <c r="J202" s="135">
        <v>1.0</v>
      </c>
      <c r="K202" s="135"/>
      <c r="L202" s="135">
        <v>5015.0</v>
      </c>
      <c r="M202" s="135">
        <v>3180.0</v>
      </c>
      <c r="N202" s="135">
        <v>120.0</v>
      </c>
      <c r="O202" s="135">
        <v>2.251</v>
      </c>
      <c r="P202" s="141">
        <v>0.0</v>
      </c>
      <c r="Q202" s="137">
        <v>5.6274999999999995</v>
      </c>
      <c r="R202" s="136">
        <v>46067.0</v>
      </c>
      <c r="S202" s="135" t="s">
        <v>3029</v>
      </c>
      <c r="T202" s="136"/>
      <c r="U202" s="135" t="s">
        <v>2855</v>
      </c>
      <c r="V202" s="135" t="s">
        <v>2878</v>
      </c>
      <c r="W202" s="135" t="s">
        <v>3047</v>
      </c>
      <c r="X202" s="135"/>
      <c r="Y202" s="135"/>
      <c r="Z202" s="135" t="s">
        <v>2858</v>
      </c>
      <c r="AA202" s="135"/>
      <c r="AB202" s="135"/>
      <c r="AC202" s="135"/>
      <c r="AD202" s="135">
        <v>46074.0</v>
      </c>
      <c r="AE202" s="135"/>
      <c r="AF202" s="135"/>
      <c r="AG202" s="135"/>
    </row>
    <row r="203" ht="21.75" hidden="1" customHeight="1">
      <c r="A203" s="135">
        <v>199.0</v>
      </c>
      <c r="B203" s="135">
        <v>25045.0</v>
      </c>
      <c r="C203" s="135"/>
      <c r="D203" s="135">
        <v>2.0</v>
      </c>
      <c r="E203" s="135" t="s">
        <v>23</v>
      </c>
      <c r="F203" s="135" t="s">
        <v>1203</v>
      </c>
      <c r="G203" s="135" t="s">
        <v>18</v>
      </c>
      <c r="H203" s="135" t="s">
        <v>2853</v>
      </c>
      <c r="I203" s="135" t="s">
        <v>22</v>
      </c>
      <c r="J203" s="135">
        <v>1.0</v>
      </c>
      <c r="K203" s="135" t="s">
        <v>2860</v>
      </c>
      <c r="L203" s="135">
        <v>4242.0</v>
      </c>
      <c r="M203" s="135">
        <v>3180.0</v>
      </c>
      <c r="N203" s="135">
        <v>120.0</v>
      </c>
      <c r="O203" s="135">
        <v>2.029</v>
      </c>
      <c r="P203" s="141">
        <v>0.0</v>
      </c>
      <c r="Q203" s="137">
        <v>5.0725</v>
      </c>
      <c r="R203" s="136">
        <v>46067.0</v>
      </c>
      <c r="S203" s="135" t="s">
        <v>3029</v>
      </c>
      <c r="T203" s="136"/>
      <c r="U203" s="135" t="s">
        <v>2855</v>
      </c>
      <c r="V203" s="135" t="s">
        <v>2878</v>
      </c>
      <c r="W203" s="135" t="s">
        <v>3048</v>
      </c>
      <c r="X203" s="135"/>
      <c r="Y203" s="135"/>
      <c r="Z203" s="135" t="s">
        <v>2858</v>
      </c>
      <c r="AA203" s="135"/>
      <c r="AB203" s="135"/>
      <c r="AC203" s="135"/>
      <c r="AD203" s="135">
        <v>46080.0</v>
      </c>
      <c r="AE203" s="135"/>
      <c r="AF203" s="135"/>
      <c r="AG203" s="135"/>
    </row>
    <row r="204" ht="21.75" hidden="1" customHeight="1">
      <c r="A204" s="135">
        <v>200.0</v>
      </c>
      <c r="B204" s="135">
        <v>25045.0</v>
      </c>
      <c r="C204" s="135"/>
      <c r="D204" s="135">
        <v>2.0</v>
      </c>
      <c r="E204" s="135" t="s">
        <v>23</v>
      </c>
      <c r="F204" s="135" t="s">
        <v>1204</v>
      </c>
      <c r="G204" s="135" t="s">
        <v>18</v>
      </c>
      <c r="H204" s="135" t="s">
        <v>2853</v>
      </c>
      <c r="I204" s="135" t="s">
        <v>22</v>
      </c>
      <c r="J204" s="135">
        <v>1.0</v>
      </c>
      <c r="K204" s="135" t="s">
        <v>2860</v>
      </c>
      <c r="L204" s="135">
        <v>4242.0</v>
      </c>
      <c r="M204" s="135">
        <v>3180.0</v>
      </c>
      <c r="N204" s="135">
        <v>120.0</v>
      </c>
      <c r="O204" s="135">
        <v>2.029</v>
      </c>
      <c r="P204" s="141">
        <v>0.0</v>
      </c>
      <c r="Q204" s="137">
        <v>5.0725</v>
      </c>
      <c r="R204" s="136">
        <v>46067.0</v>
      </c>
      <c r="S204" s="135" t="s">
        <v>3029</v>
      </c>
      <c r="T204" s="136"/>
      <c r="U204" s="135" t="s">
        <v>2855</v>
      </c>
      <c r="V204" s="135" t="s">
        <v>2878</v>
      </c>
      <c r="W204" s="135" t="s">
        <v>3048</v>
      </c>
      <c r="X204" s="135"/>
      <c r="Y204" s="135"/>
      <c r="Z204" s="135" t="s">
        <v>2858</v>
      </c>
      <c r="AA204" s="135"/>
      <c r="AB204" s="135"/>
      <c r="AC204" s="135"/>
      <c r="AD204" s="135">
        <v>46081.0</v>
      </c>
      <c r="AE204" s="135"/>
      <c r="AF204" s="135"/>
      <c r="AG204" s="135"/>
    </row>
    <row r="205" ht="21.75" hidden="1" customHeight="1">
      <c r="A205" s="135">
        <v>201.0</v>
      </c>
      <c r="B205" s="135">
        <v>25045.0</v>
      </c>
      <c r="C205" s="135"/>
      <c r="D205" s="135">
        <v>2.0</v>
      </c>
      <c r="E205" s="135" t="s">
        <v>23</v>
      </c>
      <c r="F205" s="135" t="s">
        <v>1205</v>
      </c>
      <c r="G205" s="135" t="s">
        <v>18</v>
      </c>
      <c r="H205" s="135" t="s">
        <v>2853</v>
      </c>
      <c r="I205" s="135" t="s">
        <v>22</v>
      </c>
      <c r="J205" s="135">
        <v>1.0</v>
      </c>
      <c r="K205" s="135" t="s">
        <v>2860</v>
      </c>
      <c r="L205" s="135">
        <v>4242.0</v>
      </c>
      <c r="M205" s="135">
        <v>3180.0</v>
      </c>
      <c r="N205" s="135">
        <v>120.0</v>
      </c>
      <c r="O205" s="135">
        <v>2.029</v>
      </c>
      <c r="P205" s="141">
        <v>0.0</v>
      </c>
      <c r="Q205" s="137">
        <v>5.0725</v>
      </c>
      <c r="R205" s="136">
        <v>46067.0</v>
      </c>
      <c r="S205" s="135" t="s">
        <v>3029</v>
      </c>
      <c r="T205" s="136"/>
      <c r="U205" s="135" t="s">
        <v>2855</v>
      </c>
      <c r="V205" s="135" t="s">
        <v>2878</v>
      </c>
      <c r="W205" s="135" t="s">
        <v>3048</v>
      </c>
      <c r="X205" s="135"/>
      <c r="Y205" s="135"/>
      <c r="Z205" s="135" t="s">
        <v>2858</v>
      </c>
      <c r="AA205" s="135"/>
      <c r="AB205" s="135"/>
      <c r="AC205" s="135"/>
      <c r="AD205" s="135">
        <v>46085.0</v>
      </c>
      <c r="AE205" s="135"/>
      <c r="AF205" s="135"/>
      <c r="AG205" s="135"/>
    </row>
    <row r="206" ht="21.75" hidden="1" customHeight="1">
      <c r="A206" s="135">
        <v>202.0</v>
      </c>
      <c r="B206" s="135">
        <v>25045.0</v>
      </c>
      <c r="C206" s="135"/>
      <c r="D206" s="135">
        <v>2.0</v>
      </c>
      <c r="E206" s="135" t="s">
        <v>23</v>
      </c>
      <c r="F206" s="135" t="s">
        <v>1206</v>
      </c>
      <c r="G206" s="135" t="s">
        <v>18</v>
      </c>
      <c r="H206" s="135" t="s">
        <v>2853</v>
      </c>
      <c r="I206" s="135" t="s">
        <v>22</v>
      </c>
      <c r="J206" s="135">
        <v>1.0</v>
      </c>
      <c r="K206" s="135"/>
      <c r="L206" s="135">
        <v>2287.0</v>
      </c>
      <c r="M206" s="135">
        <v>3430.0</v>
      </c>
      <c r="N206" s="135">
        <v>120.0</v>
      </c>
      <c r="O206" s="135">
        <v>0.633</v>
      </c>
      <c r="P206" s="141">
        <v>0.0</v>
      </c>
      <c r="Q206" s="137">
        <v>1.5825</v>
      </c>
      <c r="R206" s="136">
        <v>46067.0</v>
      </c>
      <c r="S206" s="135" t="s">
        <v>3029</v>
      </c>
      <c r="T206" s="136"/>
      <c r="U206" s="135" t="s">
        <v>2864</v>
      </c>
      <c r="V206" s="135" t="s">
        <v>2951</v>
      </c>
      <c r="W206" s="135" t="s">
        <v>3049</v>
      </c>
      <c r="X206" s="135" t="s">
        <v>3050</v>
      </c>
      <c r="Y206" s="135"/>
      <c r="Z206" s="135" t="s">
        <v>2858</v>
      </c>
      <c r="AA206" s="135"/>
      <c r="AB206" s="135"/>
      <c r="AC206" s="135"/>
      <c r="AD206" s="135">
        <v>46078.0</v>
      </c>
      <c r="AE206" s="135"/>
      <c r="AF206" s="135"/>
      <c r="AG206" s="135"/>
    </row>
    <row r="207" ht="21.75" hidden="1" customHeight="1">
      <c r="A207" s="135">
        <v>203.0</v>
      </c>
      <c r="B207" s="135">
        <v>25045.0</v>
      </c>
      <c r="C207" s="135"/>
      <c r="D207" s="135">
        <v>2.0</v>
      </c>
      <c r="E207" s="135" t="s">
        <v>23</v>
      </c>
      <c r="F207" s="135" t="s">
        <v>1207</v>
      </c>
      <c r="G207" s="135" t="s">
        <v>18</v>
      </c>
      <c r="H207" s="135" t="s">
        <v>2853</v>
      </c>
      <c r="I207" s="135" t="s">
        <v>22</v>
      </c>
      <c r="J207" s="135">
        <v>1.0</v>
      </c>
      <c r="K207" s="135"/>
      <c r="L207" s="135">
        <v>1220.0</v>
      </c>
      <c r="M207" s="135">
        <v>1000.0</v>
      </c>
      <c r="N207" s="135">
        <v>120.0</v>
      </c>
      <c r="O207" s="135">
        <v>0.228</v>
      </c>
      <c r="P207" s="141">
        <v>0.0</v>
      </c>
      <c r="Q207" s="137">
        <v>0.5700000000000001</v>
      </c>
      <c r="R207" s="136">
        <v>46067.0</v>
      </c>
      <c r="S207" s="135" t="s">
        <v>3029</v>
      </c>
      <c r="T207" s="136"/>
      <c r="U207" s="135" t="s">
        <v>2950</v>
      </c>
      <c r="V207" s="135" t="s">
        <v>3024</v>
      </c>
      <c r="W207" s="135" t="s">
        <v>3051</v>
      </c>
      <c r="X207" s="135"/>
      <c r="Y207" s="135"/>
      <c r="Z207" s="135" t="s">
        <v>2858</v>
      </c>
      <c r="AA207" s="135"/>
      <c r="AB207" s="135"/>
      <c r="AC207" s="135"/>
      <c r="AD207" s="135">
        <v>46079.0</v>
      </c>
      <c r="AE207" s="135"/>
      <c r="AF207" s="135"/>
      <c r="AG207" s="135"/>
    </row>
    <row r="208" ht="21.75" hidden="1" customHeight="1">
      <c r="A208" s="135">
        <v>204.0</v>
      </c>
      <c r="B208" s="135">
        <v>25045.0</v>
      </c>
      <c r="C208" s="135"/>
      <c r="D208" s="135">
        <v>2.0</v>
      </c>
      <c r="E208" s="135" t="s">
        <v>23</v>
      </c>
      <c r="F208" s="135" t="s">
        <v>1208</v>
      </c>
      <c r="G208" s="135" t="s">
        <v>18</v>
      </c>
      <c r="H208" s="135" t="s">
        <v>2965</v>
      </c>
      <c r="I208" s="135" t="s">
        <v>22</v>
      </c>
      <c r="J208" s="135">
        <v>1.0</v>
      </c>
      <c r="K208" s="135"/>
      <c r="L208" s="135">
        <v>400.0</v>
      </c>
      <c r="M208" s="135">
        <v>3130.0</v>
      </c>
      <c r="N208" s="135">
        <v>350.0</v>
      </c>
      <c r="O208" s="135">
        <v>0.544</v>
      </c>
      <c r="P208" s="141">
        <v>1.0</v>
      </c>
      <c r="Q208" s="137">
        <v>1.36</v>
      </c>
      <c r="R208" s="136">
        <v>46067.0</v>
      </c>
      <c r="S208" s="135" t="s">
        <v>3029</v>
      </c>
      <c r="T208" s="136">
        <v>46078.0</v>
      </c>
      <c r="U208" s="135" t="s">
        <v>2966</v>
      </c>
      <c r="V208" s="135" t="s">
        <v>2967</v>
      </c>
      <c r="W208" s="135"/>
      <c r="X208" s="135" t="s">
        <v>3012</v>
      </c>
      <c r="Y208" s="135"/>
      <c r="Z208" s="135" t="s">
        <v>2858</v>
      </c>
      <c r="AA208" s="135" t="s">
        <v>3013</v>
      </c>
      <c r="AB208" s="135"/>
      <c r="AC208" s="135"/>
      <c r="AD208" s="135">
        <v>46092.0</v>
      </c>
      <c r="AE208" s="135"/>
      <c r="AF208" s="135"/>
      <c r="AG208" s="135"/>
    </row>
    <row r="209" ht="21.75" hidden="1" customHeight="1">
      <c r="A209" s="135">
        <v>205.0</v>
      </c>
      <c r="B209" s="135">
        <v>25045.0</v>
      </c>
      <c r="C209" s="135"/>
      <c r="D209" s="135">
        <v>2.0</v>
      </c>
      <c r="E209" s="135" t="s">
        <v>23</v>
      </c>
      <c r="F209" s="135" t="s">
        <v>1209</v>
      </c>
      <c r="G209" s="135" t="s">
        <v>18</v>
      </c>
      <c r="H209" s="135" t="s">
        <v>2853</v>
      </c>
      <c r="I209" s="135" t="s">
        <v>22</v>
      </c>
      <c r="J209" s="135">
        <v>1.0</v>
      </c>
      <c r="K209" s="135"/>
      <c r="L209" s="135">
        <v>5076.0</v>
      </c>
      <c r="M209" s="135">
        <v>3220.0</v>
      </c>
      <c r="N209" s="135">
        <v>120.0</v>
      </c>
      <c r="O209" s="135">
        <v>2.406</v>
      </c>
      <c r="P209" s="141">
        <v>1.0</v>
      </c>
      <c r="Q209" s="137">
        <v>6.015000000000001</v>
      </c>
      <c r="R209" s="136">
        <v>46067.0</v>
      </c>
      <c r="S209" s="135" t="s">
        <v>3029</v>
      </c>
      <c r="T209" s="136">
        <v>46070.0</v>
      </c>
      <c r="U209" s="135" t="s">
        <v>2864</v>
      </c>
      <c r="V209" s="135" t="s">
        <v>3052</v>
      </c>
      <c r="W209" s="135" t="s">
        <v>3053</v>
      </c>
      <c r="X209" s="135"/>
      <c r="Y209" s="135"/>
      <c r="Z209" s="135" t="s">
        <v>2858</v>
      </c>
      <c r="AA209" s="135" t="s">
        <v>2995</v>
      </c>
      <c r="AB209" s="135"/>
      <c r="AC209" s="135"/>
      <c r="AD209" s="135">
        <v>46092.0</v>
      </c>
      <c r="AE209" s="135"/>
      <c r="AF209" s="135"/>
      <c r="AG209" s="135"/>
    </row>
    <row r="210" ht="21.75" hidden="1" customHeight="1">
      <c r="A210" s="135">
        <v>206.0</v>
      </c>
      <c r="B210" s="135">
        <v>25045.0</v>
      </c>
      <c r="C210" s="135"/>
      <c r="D210" s="135">
        <v>2.0</v>
      </c>
      <c r="E210" s="135" t="s">
        <v>2992</v>
      </c>
      <c r="F210" s="135" t="s">
        <v>1166</v>
      </c>
      <c r="G210" s="135" t="s">
        <v>18</v>
      </c>
      <c r="H210" s="135" t="s">
        <v>2853</v>
      </c>
      <c r="I210" s="135" t="s">
        <v>19</v>
      </c>
      <c r="J210" s="135">
        <v>1.0</v>
      </c>
      <c r="K210" s="135"/>
      <c r="L210" s="135">
        <v>1873.0</v>
      </c>
      <c r="M210" s="135">
        <v>1000.0</v>
      </c>
      <c r="N210" s="135">
        <v>120.0</v>
      </c>
      <c r="O210" s="135">
        <v>0.283</v>
      </c>
      <c r="P210" s="141">
        <v>0.0</v>
      </c>
      <c r="Q210" s="137">
        <v>0.7074999999999999</v>
      </c>
      <c r="R210" s="136">
        <v>46074.0</v>
      </c>
      <c r="S210" s="135" t="s">
        <v>3009</v>
      </c>
      <c r="T210" s="136"/>
      <c r="U210" s="135" t="s">
        <v>2950</v>
      </c>
      <c r="V210" s="135" t="s">
        <v>3024</v>
      </c>
      <c r="W210" s="135" t="s">
        <v>3054</v>
      </c>
      <c r="X210" s="135"/>
      <c r="Y210" s="135"/>
      <c r="Z210" s="135" t="s">
        <v>2858</v>
      </c>
      <c r="AA210" s="135"/>
      <c r="AB210" s="135"/>
      <c r="AC210" s="135"/>
      <c r="AD210" s="135">
        <v>46079.0</v>
      </c>
      <c r="AE210" s="135"/>
      <c r="AF210" s="135"/>
      <c r="AG210" s="135"/>
    </row>
    <row r="211" ht="21.75" hidden="1" customHeight="1">
      <c r="A211" s="135">
        <v>207.0</v>
      </c>
      <c r="B211" s="135">
        <v>25045.0</v>
      </c>
      <c r="C211" s="135"/>
      <c r="D211" s="135">
        <v>2.0</v>
      </c>
      <c r="E211" s="135" t="s">
        <v>3055</v>
      </c>
      <c r="F211" s="135" t="s">
        <v>1210</v>
      </c>
      <c r="G211" s="135" t="s">
        <v>18</v>
      </c>
      <c r="H211" s="135" t="s">
        <v>2853</v>
      </c>
      <c r="I211" s="135" t="s">
        <v>24</v>
      </c>
      <c r="J211" s="135">
        <v>1.0</v>
      </c>
      <c r="K211" s="135"/>
      <c r="L211" s="135">
        <v>5015.0</v>
      </c>
      <c r="M211" s="135">
        <v>3180.0</v>
      </c>
      <c r="N211" s="135">
        <v>120.0</v>
      </c>
      <c r="O211" s="135">
        <v>2.251</v>
      </c>
      <c r="P211" s="141">
        <v>0.0</v>
      </c>
      <c r="Q211" s="137">
        <v>5.6274999999999995</v>
      </c>
      <c r="R211" s="136">
        <v>46074.0</v>
      </c>
      <c r="S211" s="135" t="s">
        <v>3009</v>
      </c>
      <c r="T211" s="136"/>
      <c r="U211" s="135" t="s">
        <v>2855</v>
      </c>
      <c r="V211" s="135" t="s">
        <v>2878</v>
      </c>
      <c r="W211" s="135" t="s">
        <v>3056</v>
      </c>
      <c r="X211" s="135"/>
      <c r="Y211" s="135"/>
      <c r="Z211" s="135" t="s">
        <v>2858</v>
      </c>
      <c r="AA211" s="135"/>
      <c r="AB211" s="135"/>
      <c r="AC211" s="135"/>
      <c r="AD211" s="135">
        <v>46077.0</v>
      </c>
      <c r="AE211" s="135"/>
      <c r="AF211" s="135"/>
      <c r="AG211" s="135"/>
    </row>
    <row r="212" ht="21.75" hidden="1" customHeight="1">
      <c r="A212" s="135">
        <v>208.0</v>
      </c>
      <c r="B212" s="135">
        <v>25045.0</v>
      </c>
      <c r="C212" s="135"/>
      <c r="D212" s="135">
        <v>2.0</v>
      </c>
      <c r="E212" s="135" t="s">
        <v>3057</v>
      </c>
      <c r="F212" s="135" t="s">
        <v>1227</v>
      </c>
      <c r="G212" s="135" t="s">
        <v>18</v>
      </c>
      <c r="H212" s="135" t="s">
        <v>2853</v>
      </c>
      <c r="I212" s="135" t="s">
        <v>25</v>
      </c>
      <c r="J212" s="135">
        <v>1.0</v>
      </c>
      <c r="K212" s="135"/>
      <c r="L212" s="135">
        <v>5015.0</v>
      </c>
      <c r="M212" s="135">
        <v>2970.0</v>
      </c>
      <c r="N212" s="135">
        <v>120.0</v>
      </c>
      <c r="O212" s="135">
        <v>1.988</v>
      </c>
      <c r="P212" s="141">
        <v>0.0</v>
      </c>
      <c r="Q212" s="137">
        <v>4.97</v>
      </c>
      <c r="R212" s="136">
        <v>46074.0</v>
      </c>
      <c r="S212" s="135" t="s">
        <v>3009</v>
      </c>
      <c r="T212" s="136"/>
      <c r="U212" s="135" t="s">
        <v>2855</v>
      </c>
      <c r="V212" s="135" t="s">
        <v>2878</v>
      </c>
      <c r="W212" s="135" t="s">
        <v>3058</v>
      </c>
      <c r="X212" s="135"/>
      <c r="Y212" s="135"/>
      <c r="Z212" s="135" t="s">
        <v>2858</v>
      </c>
      <c r="AA212" s="135"/>
      <c r="AB212" s="135"/>
      <c r="AC212" s="135"/>
      <c r="AD212" s="135">
        <v>46078.0</v>
      </c>
      <c r="AE212" s="135"/>
      <c r="AF212" s="135"/>
      <c r="AG212" s="135"/>
    </row>
    <row r="213" ht="21.75" hidden="1" customHeight="1">
      <c r="A213" s="135">
        <v>209.0</v>
      </c>
      <c r="B213" s="135">
        <v>25045.0</v>
      </c>
      <c r="C213" s="135" t="s">
        <v>2817</v>
      </c>
      <c r="D213" s="135">
        <v>2.0</v>
      </c>
      <c r="E213" s="135" t="s">
        <v>3055</v>
      </c>
      <c r="F213" s="135" t="s">
        <v>1211</v>
      </c>
      <c r="G213" s="135" t="s">
        <v>18</v>
      </c>
      <c r="H213" s="135" t="s">
        <v>2853</v>
      </c>
      <c r="I213" s="135" t="s">
        <v>24</v>
      </c>
      <c r="J213" s="135">
        <v>1.0</v>
      </c>
      <c r="K213" s="135"/>
      <c r="L213" s="135">
        <v>3340.0</v>
      </c>
      <c r="M213" s="135">
        <v>2851.0</v>
      </c>
      <c r="N213" s="135">
        <v>120.0</v>
      </c>
      <c r="O213" s="135">
        <v>1.226</v>
      </c>
      <c r="P213" s="141">
        <v>0.0</v>
      </c>
      <c r="Q213" s="137">
        <v>3.065</v>
      </c>
      <c r="R213" s="136">
        <v>46074.0</v>
      </c>
      <c r="S213" s="135" t="s">
        <v>3009</v>
      </c>
      <c r="T213" s="136"/>
      <c r="U213" s="135" t="s">
        <v>2864</v>
      </c>
      <c r="V213" s="135" t="s">
        <v>2878</v>
      </c>
      <c r="W213" s="135" t="s">
        <v>3059</v>
      </c>
      <c r="X213" s="135" t="s">
        <v>2870</v>
      </c>
      <c r="Y213" s="135"/>
      <c r="Z213" s="135" t="s">
        <v>2858</v>
      </c>
      <c r="AA213" s="135"/>
      <c r="AB213" s="135"/>
      <c r="AC213" s="135"/>
      <c r="AD213" s="135">
        <v>46095.0</v>
      </c>
      <c r="AE213" s="135"/>
      <c r="AF213" s="135"/>
      <c r="AG213" s="135"/>
    </row>
    <row r="214" ht="21.75" hidden="1" customHeight="1">
      <c r="A214" s="135">
        <v>210.0</v>
      </c>
      <c r="B214" s="135">
        <v>25045.0</v>
      </c>
      <c r="C214" s="135" t="s">
        <v>2817</v>
      </c>
      <c r="D214" s="135">
        <v>2.0</v>
      </c>
      <c r="E214" s="135" t="s">
        <v>3055</v>
      </c>
      <c r="F214" s="135" t="s">
        <v>1212</v>
      </c>
      <c r="G214" s="135" t="s">
        <v>18</v>
      </c>
      <c r="H214" s="135" t="s">
        <v>2853</v>
      </c>
      <c r="I214" s="135" t="s">
        <v>24</v>
      </c>
      <c r="J214" s="135">
        <v>1.0</v>
      </c>
      <c r="K214" s="135"/>
      <c r="L214" s="135">
        <v>2395.0</v>
      </c>
      <c r="M214" s="135">
        <v>2850.0</v>
      </c>
      <c r="N214" s="135">
        <v>120.0</v>
      </c>
      <c r="O214" s="135">
        <v>0.833</v>
      </c>
      <c r="P214" s="141">
        <v>0.0</v>
      </c>
      <c r="Q214" s="137">
        <v>2.0825</v>
      </c>
      <c r="R214" s="136">
        <v>46074.0</v>
      </c>
      <c r="S214" s="135" t="s">
        <v>3009</v>
      </c>
      <c r="T214" s="136"/>
      <c r="U214" s="135" t="s">
        <v>2864</v>
      </c>
      <c r="V214" s="135" t="s">
        <v>3014</v>
      </c>
      <c r="W214" s="135" t="s">
        <v>3060</v>
      </c>
      <c r="X214" s="135" t="s">
        <v>3061</v>
      </c>
      <c r="Y214" s="135"/>
      <c r="Z214" s="135" t="s">
        <v>2858</v>
      </c>
      <c r="AA214" s="135"/>
      <c r="AB214" s="135"/>
      <c r="AC214" s="135"/>
      <c r="AD214" s="135">
        <v>46080.0</v>
      </c>
      <c r="AE214" s="135"/>
      <c r="AF214" s="135"/>
      <c r="AG214" s="135"/>
    </row>
    <row r="215" ht="21.75" hidden="1" customHeight="1">
      <c r="A215" s="135">
        <v>211.0</v>
      </c>
      <c r="B215" s="135">
        <v>25045.0</v>
      </c>
      <c r="C215" s="135" t="s">
        <v>2817</v>
      </c>
      <c r="D215" s="135">
        <v>2.0</v>
      </c>
      <c r="E215" s="135" t="s">
        <v>3055</v>
      </c>
      <c r="F215" s="135" t="s">
        <v>1213</v>
      </c>
      <c r="G215" s="135" t="s">
        <v>18</v>
      </c>
      <c r="H215" s="135" t="s">
        <v>2853</v>
      </c>
      <c r="I215" s="135" t="s">
        <v>24</v>
      </c>
      <c r="J215" s="135">
        <v>1.0</v>
      </c>
      <c r="K215" s="135" t="s">
        <v>2860</v>
      </c>
      <c r="L215" s="135">
        <v>4090.0</v>
      </c>
      <c r="M215" s="135">
        <v>2850.0</v>
      </c>
      <c r="N215" s="135">
        <v>120.0</v>
      </c>
      <c r="O215" s="135">
        <v>1.513</v>
      </c>
      <c r="P215" s="141">
        <v>0.0</v>
      </c>
      <c r="Q215" s="137">
        <v>3.7824999999999998</v>
      </c>
      <c r="R215" s="136">
        <v>46074.0</v>
      </c>
      <c r="S215" s="135" t="s">
        <v>3009</v>
      </c>
      <c r="T215" s="136"/>
      <c r="U215" s="135" t="s">
        <v>2864</v>
      </c>
      <c r="V215" s="135" t="s">
        <v>2865</v>
      </c>
      <c r="W215" s="135" t="s">
        <v>2971</v>
      </c>
      <c r="X215" s="135" t="s">
        <v>2872</v>
      </c>
      <c r="Y215" s="135"/>
      <c r="Z215" s="135" t="s">
        <v>2858</v>
      </c>
      <c r="AA215" s="135"/>
      <c r="AB215" s="135"/>
      <c r="AC215" s="135"/>
      <c r="AD215" s="135">
        <v>46079.0</v>
      </c>
      <c r="AE215" s="135"/>
      <c r="AF215" s="135"/>
      <c r="AG215" s="135"/>
    </row>
    <row r="216" ht="21.75" hidden="1" customHeight="1">
      <c r="A216" s="135">
        <v>212.0</v>
      </c>
      <c r="B216" s="135">
        <v>25045.0</v>
      </c>
      <c r="C216" s="135" t="s">
        <v>2817</v>
      </c>
      <c r="D216" s="135">
        <v>2.0</v>
      </c>
      <c r="E216" s="135" t="s">
        <v>3057</v>
      </c>
      <c r="F216" s="135" t="s">
        <v>1228</v>
      </c>
      <c r="G216" s="135" t="s">
        <v>18</v>
      </c>
      <c r="H216" s="135" t="s">
        <v>2853</v>
      </c>
      <c r="I216" s="135" t="s">
        <v>25</v>
      </c>
      <c r="J216" s="135">
        <v>1.0</v>
      </c>
      <c r="K216" s="135" t="s">
        <v>2860</v>
      </c>
      <c r="L216" s="135">
        <v>4090.0</v>
      </c>
      <c r="M216" s="135">
        <v>2850.0</v>
      </c>
      <c r="N216" s="135">
        <v>120.0</v>
      </c>
      <c r="O216" s="135">
        <v>1.513</v>
      </c>
      <c r="P216" s="136">
        <v>0.0</v>
      </c>
      <c r="Q216" s="137">
        <v>3.7824999999999998</v>
      </c>
      <c r="R216" s="136">
        <v>46074.0</v>
      </c>
      <c r="S216" s="135" t="s">
        <v>3009</v>
      </c>
      <c r="T216" s="136"/>
      <c r="U216" s="135" t="s">
        <v>2864</v>
      </c>
      <c r="V216" s="135" t="s">
        <v>2865</v>
      </c>
      <c r="W216" s="135" t="s">
        <v>2971</v>
      </c>
      <c r="X216" s="135" t="s">
        <v>2872</v>
      </c>
      <c r="Y216" s="135"/>
      <c r="Z216" s="135" t="s">
        <v>2858</v>
      </c>
      <c r="AA216" s="135"/>
      <c r="AB216" s="135"/>
      <c r="AC216" s="135"/>
      <c r="AD216" s="135">
        <v>46080.0</v>
      </c>
      <c r="AE216" s="135"/>
      <c r="AF216" s="135"/>
      <c r="AG216" s="135"/>
    </row>
    <row r="217" ht="21.75" hidden="1" customHeight="1">
      <c r="A217" s="135">
        <v>213.0</v>
      </c>
      <c r="B217" s="135">
        <v>25045.0</v>
      </c>
      <c r="C217" s="135" t="s">
        <v>2817</v>
      </c>
      <c r="D217" s="135">
        <v>2.0</v>
      </c>
      <c r="E217" s="135" t="s">
        <v>3055</v>
      </c>
      <c r="F217" s="135" t="s">
        <v>1214</v>
      </c>
      <c r="G217" s="135" t="s">
        <v>18</v>
      </c>
      <c r="H217" s="135" t="s">
        <v>2853</v>
      </c>
      <c r="I217" s="135" t="s">
        <v>24</v>
      </c>
      <c r="J217" s="135">
        <v>1.0</v>
      </c>
      <c r="K217" s="135"/>
      <c r="L217" s="135">
        <v>4135.0</v>
      </c>
      <c r="M217" s="135">
        <v>2850.0</v>
      </c>
      <c r="N217" s="135">
        <v>120.0</v>
      </c>
      <c r="O217" s="135">
        <v>1.527</v>
      </c>
      <c r="P217" s="136">
        <v>0.0</v>
      </c>
      <c r="Q217" s="137">
        <v>3.8175</v>
      </c>
      <c r="R217" s="136">
        <v>46074.0</v>
      </c>
      <c r="S217" s="135" t="s">
        <v>3009</v>
      </c>
      <c r="T217" s="136"/>
      <c r="U217" s="135" t="s">
        <v>2864</v>
      </c>
      <c r="V217" s="135" t="s">
        <v>2865</v>
      </c>
      <c r="W217" s="135" t="s">
        <v>3062</v>
      </c>
      <c r="X217" s="135" t="s">
        <v>3063</v>
      </c>
      <c r="Y217" s="135"/>
      <c r="Z217" s="135" t="s">
        <v>2858</v>
      </c>
      <c r="AA217" s="135"/>
      <c r="AB217" s="135"/>
      <c r="AC217" s="135"/>
      <c r="AD217" s="135">
        <v>46079.0</v>
      </c>
      <c r="AE217" s="135"/>
      <c r="AF217" s="135"/>
      <c r="AG217" s="135"/>
    </row>
    <row r="218" ht="21.75" hidden="1" customHeight="1">
      <c r="A218" s="135">
        <v>214.0</v>
      </c>
      <c r="B218" s="135">
        <v>25045.0</v>
      </c>
      <c r="C218" s="135"/>
      <c r="D218" s="135">
        <v>2.0</v>
      </c>
      <c r="E218" s="135" t="s">
        <v>3055</v>
      </c>
      <c r="F218" s="135" t="s">
        <v>1215</v>
      </c>
      <c r="G218" s="135" t="s">
        <v>18</v>
      </c>
      <c r="H218" s="135" t="s">
        <v>2853</v>
      </c>
      <c r="I218" s="135" t="s">
        <v>24</v>
      </c>
      <c r="J218" s="135">
        <v>1.0</v>
      </c>
      <c r="K218" s="135"/>
      <c r="L218" s="135">
        <v>4300.0</v>
      </c>
      <c r="M218" s="135">
        <v>2970.0</v>
      </c>
      <c r="N218" s="135">
        <v>120.0</v>
      </c>
      <c r="O218" s="135">
        <v>1.802</v>
      </c>
      <c r="P218" s="136">
        <v>0.0</v>
      </c>
      <c r="Q218" s="137">
        <v>4.505</v>
      </c>
      <c r="R218" s="136">
        <v>46074.0</v>
      </c>
      <c r="S218" s="135" t="s">
        <v>3009</v>
      </c>
      <c r="T218" s="136"/>
      <c r="U218" s="135" t="s">
        <v>2855</v>
      </c>
      <c r="V218" s="135" t="s">
        <v>2876</v>
      </c>
      <c r="W218" s="135" t="s">
        <v>3064</v>
      </c>
      <c r="X218" s="135"/>
      <c r="Y218" s="135"/>
      <c r="Z218" s="135" t="s">
        <v>2858</v>
      </c>
      <c r="AA218" s="135"/>
      <c r="AB218" s="135"/>
      <c r="AC218" s="135"/>
      <c r="AD218" s="135">
        <v>46081.0</v>
      </c>
      <c r="AE218" s="135"/>
      <c r="AF218" s="135"/>
      <c r="AG218" s="135"/>
    </row>
    <row r="219" ht="21.75" hidden="1" customHeight="1">
      <c r="A219" s="135">
        <v>215.0</v>
      </c>
      <c r="B219" s="135">
        <v>25045.0</v>
      </c>
      <c r="C219" s="135"/>
      <c r="D219" s="135">
        <v>2.0</v>
      </c>
      <c r="E219" s="135" t="s">
        <v>3055</v>
      </c>
      <c r="F219" s="135" t="s">
        <v>1216</v>
      </c>
      <c r="G219" s="135" t="s">
        <v>18</v>
      </c>
      <c r="H219" s="135" t="s">
        <v>2853</v>
      </c>
      <c r="I219" s="135" t="s">
        <v>24</v>
      </c>
      <c r="J219" s="135">
        <v>1.0</v>
      </c>
      <c r="K219" s="135" t="s">
        <v>2860</v>
      </c>
      <c r="L219" s="135">
        <v>4300.0</v>
      </c>
      <c r="M219" s="135">
        <v>2970.0</v>
      </c>
      <c r="N219" s="135">
        <v>120.0</v>
      </c>
      <c r="O219" s="135">
        <v>1.802</v>
      </c>
      <c r="P219" s="136">
        <v>0.0</v>
      </c>
      <c r="Q219" s="137">
        <v>4.505</v>
      </c>
      <c r="R219" s="136">
        <v>46074.0</v>
      </c>
      <c r="S219" s="135" t="s">
        <v>3009</v>
      </c>
      <c r="T219" s="136"/>
      <c r="U219" s="135" t="s">
        <v>2855</v>
      </c>
      <c r="V219" s="135" t="s">
        <v>2876</v>
      </c>
      <c r="W219" s="135" t="s">
        <v>3065</v>
      </c>
      <c r="X219" s="135"/>
      <c r="Y219" s="135"/>
      <c r="Z219" s="135" t="s">
        <v>2858</v>
      </c>
      <c r="AA219" s="135"/>
      <c r="AB219" s="135"/>
      <c r="AC219" s="135"/>
      <c r="AD219" s="135">
        <v>46079.0</v>
      </c>
      <c r="AE219" s="135"/>
      <c r="AF219" s="135"/>
      <c r="AG219" s="135"/>
    </row>
    <row r="220" ht="21.75" hidden="1" customHeight="1">
      <c r="A220" s="135">
        <v>216.0</v>
      </c>
      <c r="B220" s="135">
        <v>25045.0</v>
      </c>
      <c r="C220" s="135"/>
      <c r="D220" s="135">
        <v>2.0</v>
      </c>
      <c r="E220" s="135" t="s">
        <v>3055</v>
      </c>
      <c r="F220" s="135" t="s">
        <v>1217</v>
      </c>
      <c r="G220" s="135" t="s">
        <v>18</v>
      </c>
      <c r="H220" s="135" t="s">
        <v>2853</v>
      </c>
      <c r="I220" s="135" t="s">
        <v>24</v>
      </c>
      <c r="J220" s="135">
        <v>1.0</v>
      </c>
      <c r="K220" s="135" t="s">
        <v>2860</v>
      </c>
      <c r="L220" s="135">
        <v>4300.0</v>
      </c>
      <c r="M220" s="135">
        <v>2970.0</v>
      </c>
      <c r="N220" s="135">
        <v>120.0</v>
      </c>
      <c r="O220" s="135">
        <v>1.802</v>
      </c>
      <c r="P220" s="136">
        <v>0.0</v>
      </c>
      <c r="Q220" s="137">
        <v>4.505</v>
      </c>
      <c r="R220" s="136">
        <v>46074.0</v>
      </c>
      <c r="S220" s="135" t="s">
        <v>3009</v>
      </c>
      <c r="T220" s="136"/>
      <c r="U220" s="135" t="s">
        <v>2855</v>
      </c>
      <c r="V220" s="135" t="s">
        <v>2876</v>
      </c>
      <c r="W220" s="135" t="s">
        <v>3065</v>
      </c>
      <c r="X220" s="135"/>
      <c r="Y220" s="135"/>
      <c r="Z220" s="135" t="s">
        <v>2858</v>
      </c>
      <c r="AA220" s="135"/>
      <c r="AB220" s="135"/>
      <c r="AC220" s="135"/>
      <c r="AD220" s="135">
        <v>46080.0</v>
      </c>
      <c r="AE220" s="135"/>
      <c r="AF220" s="135"/>
      <c r="AG220" s="135"/>
    </row>
    <row r="221" ht="21.75" hidden="1" customHeight="1">
      <c r="A221" s="135">
        <v>217.0</v>
      </c>
      <c r="B221" s="135">
        <v>25045.0</v>
      </c>
      <c r="C221" s="135"/>
      <c r="D221" s="135">
        <v>2.0</v>
      </c>
      <c r="E221" s="135" t="s">
        <v>3055</v>
      </c>
      <c r="F221" s="135" t="s">
        <v>1218</v>
      </c>
      <c r="G221" s="135" t="s">
        <v>18</v>
      </c>
      <c r="H221" s="135" t="s">
        <v>2853</v>
      </c>
      <c r="I221" s="135" t="s">
        <v>24</v>
      </c>
      <c r="J221" s="135">
        <v>1.0</v>
      </c>
      <c r="K221" s="135" t="s">
        <v>2860</v>
      </c>
      <c r="L221" s="135">
        <v>4300.0</v>
      </c>
      <c r="M221" s="135">
        <v>2970.0</v>
      </c>
      <c r="N221" s="135">
        <v>120.0</v>
      </c>
      <c r="O221" s="135">
        <v>1.802</v>
      </c>
      <c r="P221" s="136">
        <v>0.0</v>
      </c>
      <c r="Q221" s="137">
        <v>4.505</v>
      </c>
      <c r="R221" s="136">
        <v>46074.0</v>
      </c>
      <c r="S221" s="135" t="s">
        <v>3009</v>
      </c>
      <c r="T221" s="136"/>
      <c r="U221" s="135" t="s">
        <v>2855</v>
      </c>
      <c r="V221" s="135" t="s">
        <v>2876</v>
      </c>
      <c r="W221" s="135" t="s">
        <v>3065</v>
      </c>
      <c r="X221" s="135"/>
      <c r="Y221" s="135"/>
      <c r="Z221" s="135" t="s">
        <v>2858</v>
      </c>
      <c r="AA221" s="135"/>
      <c r="AB221" s="135"/>
      <c r="AC221" s="135"/>
      <c r="AD221" s="135">
        <v>46085.0</v>
      </c>
      <c r="AE221" s="135"/>
      <c r="AF221" s="135"/>
      <c r="AG221" s="135"/>
    </row>
    <row r="222" ht="21.75" hidden="1" customHeight="1">
      <c r="A222" s="135">
        <v>218.0</v>
      </c>
      <c r="B222" s="135">
        <v>25045.0</v>
      </c>
      <c r="C222" s="135"/>
      <c r="D222" s="135">
        <v>2.0</v>
      </c>
      <c r="E222" s="135" t="s">
        <v>3055</v>
      </c>
      <c r="F222" s="135" t="s">
        <v>1219</v>
      </c>
      <c r="G222" s="135" t="s">
        <v>18</v>
      </c>
      <c r="H222" s="135" t="s">
        <v>2853</v>
      </c>
      <c r="I222" s="135" t="s">
        <v>24</v>
      </c>
      <c r="J222" s="135">
        <v>1.0</v>
      </c>
      <c r="K222" s="135"/>
      <c r="L222" s="135">
        <v>4300.0</v>
      </c>
      <c r="M222" s="135">
        <v>2970.0</v>
      </c>
      <c r="N222" s="135">
        <v>120.0</v>
      </c>
      <c r="O222" s="135">
        <v>1.49</v>
      </c>
      <c r="P222" s="136">
        <v>0.0</v>
      </c>
      <c r="Q222" s="137">
        <v>3.725</v>
      </c>
      <c r="R222" s="136">
        <v>46074.0</v>
      </c>
      <c r="S222" s="135" t="s">
        <v>3009</v>
      </c>
      <c r="T222" s="136"/>
      <c r="U222" s="135" t="s">
        <v>2864</v>
      </c>
      <c r="V222" s="135" t="s">
        <v>2985</v>
      </c>
      <c r="W222" s="135" t="s">
        <v>3066</v>
      </c>
      <c r="X222" s="135" t="s">
        <v>2892</v>
      </c>
      <c r="Y222" s="135"/>
      <c r="Z222" s="135" t="s">
        <v>2858</v>
      </c>
      <c r="AA222" s="135"/>
      <c r="AB222" s="135"/>
      <c r="AC222" s="135"/>
      <c r="AD222" s="135">
        <v>46088.0</v>
      </c>
      <c r="AE222" s="135"/>
      <c r="AF222" s="135"/>
      <c r="AG222" s="135"/>
    </row>
    <row r="223" ht="21.75" hidden="1" customHeight="1">
      <c r="A223" s="135">
        <v>219.0</v>
      </c>
      <c r="B223" s="135">
        <v>25045.0</v>
      </c>
      <c r="C223" s="135"/>
      <c r="D223" s="135">
        <v>2.0</v>
      </c>
      <c r="E223" s="135" t="s">
        <v>3055</v>
      </c>
      <c r="F223" s="135" t="s">
        <v>1220</v>
      </c>
      <c r="G223" s="135" t="s">
        <v>18</v>
      </c>
      <c r="H223" s="135" t="s">
        <v>2853</v>
      </c>
      <c r="I223" s="135" t="s">
        <v>24</v>
      </c>
      <c r="J223" s="135">
        <v>1.0</v>
      </c>
      <c r="K223" s="135" t="s">
        <v>2860</v>
      </c>
      <c r="L223" s="135">
        <v>4405.0</v>
      </c>
      <c r="M223" s="135">
        <v>3180.0</v>
      </c>
      <c r="N223" s="135">
        <v>120.0</v>
      </c>
      <c r="O223" s="135">
        <v>2.076</v>
      </c>
      <c r="P223" s="136">
        <v>0.0</v>
      </c>
      <c r="Q223" s="137">
        <v>5.19</v>
      </c>
      <c r="R223" s="136">
        <v>46074.0</v>
      </c>
      <c r="S223" s="135" t="s">
        <v>3009</v>
      </c>
      <c r="T223" s="136"/>
      <c r="U223" s="135" t="s">
        <v>2855</v>
      </c>
      <c r="V223" s="135" t="s">
        <v>2878</v>
      </c>
      <c r="W223" s="135" t="s">
        <v>3067</v>
      </c>
      <c r="X223" s="135"/>
      <c r="Y223" s="135"/>
      <c r="Z223" s="135" t="s">
        <v>2858</v>
      </c>
      <c r="AA223" s="135"/>
      <c r="AB223" s="135"/>
      <c r="AC223" s="135"/>
      <c r="AD223" s="135">
        <v>46088.0</v>
      </c>
      <c r="AE223" s="135"/>
      <c r="AF223" s="135"/>
      <c r="AG223" s="135"/>
    </row>
    <row r="224" ht="21.75" hidden="1" customHeight="1">
      <c r="A224" s="135">
        <v>220.0</v>
      </c>
      <c r="B224" s="135">
        <v>25045.0</v>
      </c>
      <c r="C224" s="135"/>
      <c r="D224" s="135">
        <v>2.0</v>
      </c>
      <c r="E224" s="135" t="s">
        <v>3055</v>
      </c>
      <c r="F224" s="135" t="s">
        <v>1221</v>
      </c>
      <c r="G224" s="135" t="s">
        <v>18</v>
      </c>
      <c r="H224" s="135" t="s">
        <v>2853</v>
      </c>
      <c r="I224" s="135" t="s">
        <v>24</v>
      </c>
      <c r="J224" s="135">
        <v>1.0</v>
      </c>
      <c r="K224" s="135" t="s">
        <v>2860</v>
      </c>
      <c r="L224" s="135">
        <v>4405.0</v>
      </c>
      <c r="M224" s="135">
        <v>3180.0</v>
      </c>
      <c r="N224" s="135">
        <v>120.0</v>
      </c>
      <c r="O224" s="135">
        <v>2.076</v>
      </c>
      <c r="P224" s="136">
        <v>0.0</v>
      </c>
      <c r="Q224" s="137">
        <v>5.19</v>
      </c>
      <c r="R224" s="136">
        <v>46074.0</v>
      </c>
      <c r="S224" s="135" t="s">
        <v>3009</v>
      </c>
      <c r="T224" s="136"/>
      <c r="U224" s="135" t="s">
        <v>2855</v>
      </c>
      <c r="V224" s="135" t="s">
        <v>2878</v>
      </c>
      <c r="W224" s="135" t="s">
        <v>3067</v>
      </c>
      <c r="X224" s="135"/>
      <c r="Y224" s="135"/>
      <c r="Z224" s="135" t="s">
        <v>2858</v>
      </c>
      <c r="AA224" s="135"/>
      <c r="AB224" s="135"/>
      <c r="AC224" s="135"/>
      <c r="AD224" s="135">
        <v>46090.0</v>
      </c>
      <c r="AE224" s="135"/>
      <c r="AF224" s="135"/>
      <c r="AG224" s="135"/>
    </row>
    <row r="225" ht="21.75" hidden="1" customHeight="1">
      <c r="A225" s="135">
        <v>221.0</v>
      </c>
      <c r="B225" s="135">
        <v>25045.0</v>
      </c>
      <c r="C225" s="135"/>
      <c r="D225" s="135">
        <v>2.0</v>
      </c>
      <c r="E225" s="135" t="s">
        <v>3055</v>
      </c>
      <c r="F225" s="135" t="s">
        <v>1222</v>
      </c>
      <c r="G225" s="135" t="s">
        <v>18</v>
      </c>
      <c r="H225" s="135" t="s">
        <v>2853</v>
      </c>
      <c r="I225" s="135" t="s">
        <v>24</v>
      </c>
      <c r="J225" s="135">
        <v>1.0</v>
      </c>
      <c r="K225" s="135" t="s">
        <v>2860</v>
      </c>
      <c r="L225" s="135">
        <v>4405.0</v>
      </c>
      <c r="M225" s="135">
        <v>3180.0</v>
      </c>
      <c r="N225" s="135">
        <v>120.0</v>
      </c>
      <c r="O225" s="135">
        <v>2.076</v>
      </c>
      <c r="P225" s="136">
        <v>0.0</v>
      </c>
      <c r="Q225" s="137">
        <v>5.19</v>
      </c>
      <c r="R225" s="136">
        <v>46074.0</v>
      </c>
      <c r="S225" s="135" t="s">
        <v>3009</v>
      </c>
      <c r="T225" s="136"/>
      <c r="U225" s="135" t="s">
        <v>2855</v>
      </c>
      <c r="V225" s="135" t="s">
        <v>2878</v>
      </c>
      <c r="W225" s="135" t="s">
        <v>3067</v>
      </c>
      <c r="X225" s="135"/>
      <c r="Y225" s="135"/>
      <c r="Z225" s="135" t="s">
        <v>2858</v>
      </c>
      <c r="AA225" s="135"/>
      <c r="AB225" s="135"/>
      <c r="AC225" s="135"/>
      <c r="AD225" s="135">
        <v>46091.0</v>
      </c>
      <c r="AE225" s="135"/>
      <c r="AF225" s="135"/>
      <c r="AG225" s="135"/>
    </row>
    <row r="226" ht="21.75" hidden="1" customHeight="1">
      <c r="A226" s="135">
        <v>222.0</v>
      </c>
      <c r="B226" s="135">
        <v>25045.0</v>
      </c>
      <c r="C226" s="135"/>
      <c r="D226" s="135">
        <v>2.0</v>
      </c>
      <c r="E226" s="135" t="s">
        <v>3055</v>
      </c>
      <c r="F226" s="135" t="s">
        <v>1223</v>
      </c>
      <c r="G226" s="135" t="s">
        <v>18</v>
      </c>
      <c r="H226" s="135" t="s">
        <v>2853</v>
      </c>
      <c r="I226" s="135" t="s">
        <v>24</v>
      </c>
      <c r="J226" s="135">
        <v>1.0</v>
      </c>
      <c r="K226" s="135"/>
      <c r="L226" s="135">
        <v>4405.0</v>
      </c>
      <c r="M226" s="135">
        <v>3180.0</v>
      </c>
      <c r="N226" s="135">
        <v>120.0</v>
      </c>
      <c r="O226" s="135">
        <v>1.74</v>
      </c>
      <c r="P226" s="136">
        <v>0.0</v>
      </c>
      <c r="Q226" s="137">
        <v>4.35</v>
      </c>
      <c r="R226" s="136">
        <v>46074.0</v>
      </c>
      <c r="S226" s="135" t="s">
        <v>3009</v>
      </c>
      <c r="T226" s="136"/>
      <c r="U226" s="135" t="s">
        <v>2864</v>
      </c>
      <c r="V226" s="135" t="s">
        <v>2890</v>
      </c>
      <c r="W226" s="135" t="s">
        <v>3068</v>
      </c>
      <c r="X226" s="135" t="s">
        <v>2895</v>
      </c>
      <c r="Y226" s="135"/>
      <c r="Z226" s="135" t="s">
        <v>2858</v>
      </c>
      <c r="AA226" s="135"/>
      <c r="AB226" s="135"/>
      <c r="AC226" s="135"/>
      <c r="AD226" s="135">
        <v>46110.0</v>
      </c>
      <c r="AE226" s="135"/>
      <c r="AF226" s="135"/>
      <c r="AG226" s="135"/>
    </row>
    <row r="227" ht="21.75" hidden="1" customHeight="1">
      <c r="A227" s="135">
        <v>223.0</v>
      </c>
      <c r="B227" s="135">
        <v>25045.0</v>
      </c>
      <c r="C227" s="135"/>
      <c r="D227" s="135">
        <v>2.0</v>
      </c>
      <c r="E227" s="135" t="s">
        <v>3055</v>
      </c>
      <c r="F227" s="135" t="s">
        <v>1224</v>
      </c>
      <c r="G227" s="135" t="s">
        <v>18</v>
      </c>
      <c r="H227" s="135" t="s">
        <v>2853</v>
      </c>
      <c r="I227" s="135" t="s">
        <v>24</v>
      </c>
      <c r="J227" s="135">
        <v>1.0</v>
      </c>
      <c r="K227" s="135"/>
      <c r="L227" s="135">
        <v>2835.0</v>
      </c>
      <c r="M227" s="135">
        <v>1000.0</v>
      </c>
      <c r="N227" s="135">
        <v>120.0</v>
      </c>
      <c r="O227" s="135">
        <v>0.412</v>
      </c>
      <c r="P227" s="136">
        <v>0.0</v>
      </c>
      <c r="Q227" s="137">
        <v>1.03</v>
      </c>
      <c r="R227" s="136">
        <v>46074.0</v>
      </c>
      <c r="S227" s="135" t="s">
        <v>3009</v>
      </c>
      <c r="T227" s="136"/>
      <c r="U227" s="135" t="s">
        <v>2864</v>
      </c>
      <c r="V227" s="135" t="s">
        <v>2856</v>
      </c>
      <c r="W227" s="135" t="s">
        <v>3069</v>
      </c>
      <c r="X227" s="135"/>
      <c r="Y227" s="135"/>
      <c r="Z227" s="135" t="s">
        <v>2858</v>
      </c>
      <c r="AA227" s="135"/>
      <c r="AB227" s="135"/>
      <c r="AC227" s="135"/>
      <c r="AD227" s="135">
        <v>46091.0</v>
      </c>
      <c r="AE227" s="135"/>
      <c r="AF227" s="135"/>
      <c r="AG227" s="135"/>
    </row>
    <row r="228" ht="21.75" hidden="1" customHeight="1">
      <c r="A228" s="135">
        <v>224.0</v>
      </c>
      <c r="B228" s="135">
        <v>25045.0</v>
      </c>
      <c r="C228" s="135"/>
      <c r="D228" s="135">
        <v>2.0</v>
      </c>
      <c r="E228" s="135" t="s">
        <v>3055</v>
      </c>
      <c r="F228" s="135" t="s">
        <v>1225</v>
      </c>
      <c r="G228" s="135" t="s">
        <v>18</v>
      </c>
      <c r="H228" s="135" t="s">
        <v>2853</v>
      </c>
      <c r="I228" s="135" t="s">
        <v>24</v>
      </c>
      <c r="J228" s="135">
        <v>1.0</v>
      </c>
      <c r="K228" s="135"/>
      <c r="L228" s="135">
        <v>1635.0</v>
      </c>
      <c r="M228" s="135">
        <v>1505.0</v>
      </c>
      <c r="N228" s="135">
        <v>120.0</v>
      </c>
      <c r="O228" s="135">
        <v>0.391</v>
      </c>
      <c r="P228" s="136">
        <v>0.0</v>
      </c>
      <c r="Q228" s="137">
        <v>0.9775</v>
      </c>
      <c r="R228" s="136">
        <v>46074.0</v>
      </c>
      <c r="S228" s="135" t="s">
        <v>3009</v>
      </c>
      <c r="T228" s="136"/>
      <c r="U228" s="135" t="s">
        <v>2864</v>
      </c>
      <c r="V228" s="135" t="s">
        <v>2856</v>
      </c>
      <c r="W228" s="135" t="s">
        <v>3070</v>
      </c>
      <c r="X228" s="135"/>
      <c r="Y228" s="135"/>
      <c r="Z228" s="135" t="s">
        <v>2858</v>
      </c>
      <c r="AA228" s="135"/>
      <c r="AB228" s="135"/>
      <c r="AC228" s="135"/>
      <c r="AD228" s="135">
        <v>46091.0</v>
      </c>
      <c r="AE228" s="135"/>
      <c r="AF228" s="135"/>
      <c r="AG228" s="135"/>
    </row>
    <row r="229" ht="21.75" hidden="1" customHeight="1">
      <c r="A229" s="135">
        <v>225.0</v>
      </c>
      <c r="B229" s="135">
        <v>25045.0</v>
      </c>
      <c r="C229" s="135"/>
      <c r="D229" s="135">
        <v>2.0</v>
      </c>
      <c r="E229" s="135" t="s">
        <v>3055</v>
      </c>
      <c r="F229" s="135" t="s">
        <v>1226</v>
      </c>
      <c r="G229" s="135" t="s">
        <v>18</v>
      </c>
      <c r="H229" s="135" t="s">
        <v>2965</v>
      </c>
      <c r="I229" s="135" t="s">
        <v>24</v>
      </c>
      <c r="J229" s="135">
        <v>1.0</v>
      </c>
      <c r="K229" s="135"/>
      <c r="L229" s="135">
        <v>400.0</v>
      </c>
      <c r="M229" s="135">
        <v>3130.0</v>
      </c>
      <c r="N229" s="135">
        <v>350.0</v>
      </c>
      <c r="O229" s="135">
        <v>0.502</v>
      </c>
      <c r="P229" s="136">
        <v>1.0</v>
      </c>
      <c r="Q229" s="137">
        <v>1.255</v>
      </c>
      <c r="R229" s="136">
        <v>46074.0</v>
      </c>
      <c r="S229" s="135" t="s">
        <v>3009</v>
      </c>
      <c r="T229" s="136">
        <v>46078.0</v>
      </c>
      <c r="U229" s="135" t="s">
        <v>2966</v>
      </c>
      <c r="V229" s="135" t="s">
        <v>2967</v>
      </c>
      <c r="W229" s="135"/>
      <c r="X229" s="135"/>
      <c r="Y229" s="135"/>
      <c r="Z229" s="135" t="s">
        <v>2858</v>
      </c>
      <c r="AA229" s="135" t="s">
        <v>3013</v>
      </c>
      <c r="AB229" s="135"/>
      <c r="AC229" s="135"/>
      <c r="AD229" s="135">
        <v>46095.0</v>
      </c>
      <c r="AE229" s="135"/>
      <c r="AF229" s="135"/>
      <c r="AG229" s="135"/>
    </row>
    <row r="230" ht="21.75" hidden="1" customHeight="1">
      <c r="A230" s="135">
        <v>226.0</v>
      </c>
      <c r="B230" s="135">
        <v>25045.0</v>
      </c>
      <c r="C230" s="135" t="s">
        <v>2817</v>
      </c>
      <c r="D230" s="135">
        <v>2.0</v>
      </c>
      <c r="E230" s="135" t="s">
        <v>3057</v>
      </c>
      <c r="F230" s="135" t="s">
        <v>1229</v>
      </c>
      <c r="G230" s="135" t="s">
        <v>18</v>
      </c>
      <c r="H230" s="135" t="s">
        <v>2853</v>
      </c>
      <c r="I230" s="135" t="s">
        <v>25</v>
      </c>
      <c r="J230" s="135">
        <v>1.0</v>
      </c>
      <c r="K230" s="135"/>
      <c r="L230" s="135">
        <v>2395.0</v>
      </c>
      <c r="M230" s="135">
        <v>2850.0</v>
      </c>
      <c r="N230" s="135">
        <v>120.0</v>
      </c>
      <c r="O230" s="135">
        <v>0.839</v>
      </c>
      <c r="P230" s="136">
        <v>0.0</v>
      </c>
      <c r="Q230" s="137">
        <v>2.0975</v>
      </c>
      <c r="R230" s="136">
        <v>46074.0</v>
      </c>
      <c r="S230" s="135" t="s">
        <v>3009</v>
      </c>
      <c r="T230" s="136"/>
      <c r="U230" s="135" t="s">
        <v>2864</v>
      </c>
      <c r="V230" s="135" t="s">
        <v>2878</v>
      </c>
      <c r="W230" s="135" t="s">
        <v>3071</v>
      </c>
      <c r="X230" s="135" t="s">
        <v>3061</v>
      </c>
      <c r="Y230" s="135"/>
      <c r="Z230" s="135" t="s">
        <v>2858</v>
      </c>
      <c r="AA230" s="135"/>
      <c r="AB230" s="135"/>
      <c r="AC230" s="135"/>
      <c r="AD230" s="135">
        <v>46094.0</v>
      </c>
      <c r="AE230" s="135"/>
      <c r="AF230" s="135"/>
      <c r="AG230" s="135"/>
    </row>
    <row r="231" ht="21.75" hidden="1" customHeight="1">
      <c r="A231" s="135">
        <v>227.0</v>
      </c>
      <c r="B231" s="135">
        <v>25045.0</v>
      </c>
      <c r="C231" s="135" t="s">
        <v>2817</v>
      </c>
      <c r="D231" s="135">
        <v>2.0</v>
      </c>
      <c r="E231" s="135" t="s">
        <v>3057</v>
      </c>
      <c r="F231" s="135" t="s">
        <v>1230</v>
      </c>
      <c r="G231" s="135" t="s">
        <v>18</v>
      </c>
      <c r="H231" s="135" t="s">
        <v>2853</v>
      </c>
      <c r="I231" s="135" t="s">
        <v>25</v>
      </c>
      <c r="J231" s="135">
        <v>1.0</v>
      </c>
      <c r="K231" s="135"/>
      <c r="L231" s="135">
        <v>3340.0</v>
      </c>
      <c r="M231" s="135">
        <v>2850.0</v>
      </c>
      <c r="N231" s="135">
        <v>120.0</v>
      </c>
      <c r="O231" s="135">
        <v>1.226</v>
      </c>
      <c r="P231" s="136">
        <v>0.0</v>
      </c>
      <c r="Q231" s="137">
        <v>3.065</v>
      </c>
      <c r="R231" s="136">
        <v>46074.0</v>
      </c>
      <c r="S231" s="135" t="s">
        <v>3009</v>
      </c>
      <c r="T231" s="136"/>
      <c r="U231" s="135" t="s">
        <v>2864</v>
      </c>
      <c r="V231" s="135" t="s">
        <v>2878</v>
      </c>
      <c r="W231" s="135" t="s">
        <v>3028</v>
      </c>
      <c r="X231" s="135" t="s">
        <v>2870</v>
      </c>
      <c r="Y231" s="135"/>
      <c r="Z231" s="135" t="s">
        <v>2858</v>
      </c>
      <c r="AA231" s="135"/>
      <c r="AB231" s="135"/>
      <c r="AC231" s="135"/>
      <c r="AD231" s="135">
        <v>46097.0</v>
      </c>
      <c r="AE231" s="135"/>
      <c r="AF231" s="135"/>
      <c r="AG231" s="135"/>
    </row>
    <row r="232" ht="21.75" hidden="1" customHeight="1">
      <c r="A232" s="135">
        <v>228.0</v>
      </c>
      <c r="B232" s="135">
        <v>25045.0</v>
      </c>
      <c r="C232" s="135" t="s">
        <v>2817</v>
      </c>
      <c r="D232" s="135">
        <v>2.0</v>
      </c>
      <c r="E232" s="135" t="s">
        <v>3057</v>
      </c>
      <c r="F232" s="135" t="s">
        <v>1231</v>
      </c>
      <c r="G232" s="135" t="s">
        <v>18</v>
      </c>
      <c r="H232" s="135" t="s">
        <v>2853</v>
      </c>
      <c r="I232" s="135" t="s">
        <v>25</v>
      </c>
      <c r="J232" s="135">
        <v>1.0</v>
      </c>
      <c r="K232" s="135"/>
      <c r="L232" s="135">
        <v>4135.0</v>
      </c>
      <c r="M232" s="135">
        <v>2850.0</v>
      </c>
      <c r="N232" s="135">
        <v>120.0</v>
      </c>
      <c r="O232" s="135">
        <v>1.527</v>
      </c>
      <c r="P232" s="136">
        <v>0.0</v>
      </c>
      <c r="Q232" s="137">
        <v>3.8175</v>
      </c>
      <c r="R232" s="136">
        <v>46074.0</v>
      </c>
      <c r="S232" s="135" t="s">
        <v>3009</v>
      </c>
      <c r="T232" s="136"/>
      <c r="U232" s="135" t="s">
        <v>2864</v>
      </c>
      <c r="V232" s="135" t="s">
        <v>2865</v>
      </c>
      <c r="W232" s="135" t="s">
        <v>3062</v>
      </c>
      <c r="X232" s="135" t="s">
        <v>3072</v>
      </c>
      <c r="Y232" s="135"/>
      <c r="Z232" s="135" t="s">
        <v>2858</v>
      </c>
      <c r="AA232" s="135"/>
      <c r="AB232" s="135"/>
      <c r="AC232" s="135"/>
      <c r="AD232" s="135">
        <v>46080.0</v>
      </c>
      <c r="AE232" s="135"/>
      <c r="AF232" s="135"/>
      <c r="AG232" s="135"/>
    </row>
    <row r="233" ht="21.75" hidden="1" customHeight="1">
      <c r="A233" s="135">
        <v>229.0</v>
      </c>
      <c r="B233" s="135">
        <v>25045.0</v>
      </c>
      <c r="C233" s="135"/>
      <c r="D233" s="135">
        <v>2.0</v>
      </c>
      <c r="E233" s="135" t="s">
        <v>3057</v>
      </c>
      <c r="F233" s="135" t="s">
        <v>1232</v>
      </c>
      <c r="G233" s="135" t="s">
        <v>18</v>
      </c>
      <c r="H233" s="135" t="s">
        <v>2853</v>
      </c>
      <c r="I233" s="135" t="s">
        <v>25</v>
      </c>
      <c r="J233" s="135">
        <v>1.0</v>
      </c>
      <c r="K233" s="135"/>
      <c r="L233" s="135">
        <v>4300.0</v>
      </c>
      <c r="M233" s="135">
        <v>2900.0</v>
      </c>
      <c r="N233" s="135">
        <v>120.0</v>
      </c>
      <c r="O233" s="135">
        <v>1.766</v>
      </c>
      <c r="P233" s="136">
        <v>0.0</v>
      </c>
      <c r="Q233" s="137">
        <v>4.415</v>
      </c>
      <c r="R233" s="136">
        <v>46074.0</v>
      </c>
      <c r="S233" s="135" t="s">
        <v>3009</v>
      </c>
      <c r="T233" s="136"/>
      <c r="U233" s="135" t="s">
        <v>2855</v>
      </c>
      <c r="V233" s="135" t="s">
        <v>2876</v>
      </c>
      <c r="W233" s="135" t="s">
        <v>3073</v>
      </c>
      <c r="X233" s="135"/>
      <c r="Y233" s="135"/>
      <c r="Z233" s="135" t="s">
        <v>2858</v>
      </c>
      <c r="AA233" s="135"/>
      <c r="AB233" s="135"/>
      <c r="AC233" s="135"/>
      <c r="AD233" s="135">
        <v>46086.0</v>
      </c>
      <c r="AE233" s="135"/>
      <c r="AF233" s="135"/>
      <c r="AG233" s="135"/>
    </row>
    <row r="234" ht="21.75" hidden="1" customHeight="1">
      <c r="A234" s="135">
        <v>230.0</v>
      </c>
      <c r="B234" s="135">
        <v>25045.0</v>
      </c>
      <c r="C234" s="135"/>
      <c r="D234" s="135">
        <v>2.0</v>
      </c>
      <c r="E234" s="135" t="s">
        <v>3057</v>
      </c>
      <c r="F234" s="135" t="s">
        <v>1233</v>
      </c>
      <c r="G234" s="135" t="s">
        <v>18</v>
      </c>
      <c r="H234" s="135" t="s">
        <v>2853</v>
      </c>
      <c r="I234" s="135" t="s">
        <v>25</v>
      </c>
      <c r="J234" s="135">
        <v>1.0</v>
      </c>
      <c r="K234" s="135" t="s">
        <v>2860</v>
      </c>
      <c r="L234" s="135">
        <v>4300.0</v>
      </c>
      <c r="M234" s="135">
        <v>2900.0</v>
      </c>
      <c r="N234" s="135">
        <v>120.0</v>
      </c>
      <c r="O234" s="135">
        <v>1.766</v>
      </c>
      <c r="P234" s="136">
        <v>0.0</v>
      </c>
      <c r="Q234" s="137">
        <v>4.415</v>
      </c>
      <c r="R234" s="136">
        <v>46074.0</v>
      </c>
      <c r="S234" s="135" t="s">
        <v>3009</v>
      </c>
      <c r="T234" s="136"/>
      <c r="U234" s="135" t="s">
        <v>2855</v>
      </c>
      <c r="V234" s="135" t="s">
        <v>2876</v>
      </c>
      <c r="W234" s="135" t="s">
        <v>3065</v>
      </c>
      <c r="X234" s="135"/>
      <c r="Y234" s="135"/>
      <c r="Z234" s="135" t="s">
        <v>2858</v>
      </c>
      <c r="AA234" s="135"/>
      <c r="AB234" s="135"/>
      <c r="AC234" s="135"/>
      <c r="AD234" s="135">
        <v>46105.0</v>
      </c>
      <c r="AE234" s="135"/>
      <c r="AF234" s="135"/>
      <c r="AG234" s="135"/>
    </row>
    <row r="235" ht="21.75" hidden="1" customHeight="1">
      <c r="A235" s="135">
        <v>231.0</v>
      </c>
      <c r="B235" s="135">
        <v>25045.0</v>
      </c>
      <c r="C235" s="135"/>
      <c r="D235" s="135">
        <v>2.0</v>
      </c>
      <c r="E235" s="135" t="s">
        <v>3057</v>
      </c>
      <c r="F235" s="135" t="s">
        <v>1234</v>
      </c>
      <c r="G235" s="135" t="s">
        <v>18</v>
      </c>
      <c r="H235" s="135" t="s">
        <v>2853</v>
      </c>
      <c r="I235" s="135" t="s">
        <v>25</v>
      </c>
      <c r="J235" s="135">
        <v>1.0</v>
      </c>
      <c r="K235" s="135" t="s">
        <v>2860</v>
      </c>
      <c r="L235" s="135">
        <v>4300.0</v>
      </c>
      <c r="M235" s="135">
        <v>2900.0</v>
      </c>
      <c r="N235" s="135">
        <v>120.0</v>
      </c>
      <c r="O235" s="135">
        <v>1.766</v>
      </c>
      <c r="P235" s="136">
        <v>0.0</v>
      </c>
      <c r="Q235" s="137">
        <v>4.415</v>
      </c>
      <c r="R235" s="136">
        <v>46074.0</v>
      </c>
      <c r="S235" s="135" t="s">
        <v>3009</v>
      </c>
      <c r="T235" s="136"/>
      <c r="U235" s="135" t="s">
        <v>2855</v>
      </c>
      <c r="V235" s="135" t="s">
        <v>2876</v>
      </c>
      <c r="W235" s="135" t="s">
        <v>3065</v>
      </c>
      <c r="X235" s="135"/>
      <c r="Y235" s="135"/>
      <c r="Z235" s="135" t="s">
        <v>2858</v>
      </c>
      <c r="AA235" s="135"/>
      <c r="AB235" s="135"/>
      <c r="AC235" s="135"/>
      <c r="AD235" s="135">
        <v>46107.0</v>
      </c>
      <c r="AE235" s="135"/>
      <c r="AF235" s="135"/>
      <c r="AG235" s="135"/>
    </row>
    <row r="236" ht="21.75" hidden="1" customHeight="1">
      <c r="A236" s="135">
        <v>232.0</v>
      </c>
      <c r="B236" s="135">
        <v>25045.0</v>
      </c>
      <c r="C236" s="135"/>
      <c r="D236" s="135">
        <v>2.0</v>
      </c>
      <c r="E236" s="135" t="s">
        <v>3057</v>
      </c>
      <c r="F236" s="135" t="s">
        <v>1235</v>
      </c>
      <c r="G236" s="135" t="s">
        <v>18</v>
      </c>
      <c r="H236" s="135" t="s">
        <v>2853</v>
      </c>
      <c r="I236" s="135" t="s">
        <v>25</v>
      </c>
      <c r="J236" s="135">
        <v>1.0</v>
      </c>
      <c r="K236" s="135" t="s">
        <v>2860</v>
      </c>
      <c r="L236" s="135">
        <v>4300.0</v>
      </c>
      <c r="M236" s="135">
        <v>2900.0</v>
      </c>
      <c r="N236" s="135">
        <v>120.0</v>
      </c>
      <c r="O236" s="135">
        <v>1.766</v>
      </c>
      <c r="P236" s="136">
        <v>0.0</v>
      </c>
      <c r="Q236" s="137">
        <v>4.415</v>
      </c>
      <c r="R236" s="136">
        <v>46074.0</v>
      </c>
      <c r="S236" s="135" t="s">
        <v>3009</v>
      </c>
      <c r="T236" s="136"/>
      <c r="U236" s="135" t="s">
        <v>2855</v>
      </c>
      <c r="V236" s="135" t="s">
        <v>2876</v>
      </c>
      <c r="W236" s="135" t="s">
        <v>3065</v>
      </c>
      <c r="X236" s="135"/>
      <c r="Y236" s="135"/>
      <c r="Z236" s="135" t="s">
        <v>2858</v>
      </c>
      <c r="AA236" s="135"/>
      <c r="AB236" s="135"/>
      <c r="AC236" s="135"/>
      <c r="AD236" s="135">
        <v>46111.0</v>
      </c>
      <c r="AE236" s="135"/>
      <c r="AF236" s="135"/>
      <c r="AG236" s="135"/>
    </row>
    <row r="237" ht="21.75" hidden="1" customHeight="1">
      <c r="A237" s="135">
        <v>233.0</v>
      </c>
      <c r="B237" s="135">
        <v>25045.0</v>
      </c>
      <c r="C237" s="135"/>
      <c r="D237" s="135">
        <v>2.0</v>
      </c>
      <c r="E237" s="135" t="s">
        <v>3057</v>
      </c>
      <c r="F237" s="135" t="s">
        <v>1236</v>
      </c>
      <c r="G237" s="135" t="s">
        <v>18</v>
      </c>
      <c r="H237" s="135" t="s">
        <v>2853</v>
      </c>
      <c r="I237" s="135" t="s">
        <v>25</v>
      </c>
      <c r="J237" s="135">
        <v>1.0</v>
      </c>
      <c r="K237" s="135" t="s">
        <v>2860</v>
      </c>
      <c r="L237" s="135">
        <v>4405.0</v>
      </c>
      <c r="M237" s="135">
        <v>2970.0</v>
      </c>
      <c r="N237" s="135">
        <v>120.0</v>
      </c>
      <c r="O237" s="135">
        <v>1.829</v>
      </c>
      <c r="P237" s="136">
        <v>0.0</v>
      </c>
      <c r="Q237" s="137">
        <v>4.5725</v>
      </c>
      <c r="R237" s="136">
        <v>46074.0</v>
      </c>
      <c r="S237" s="135" t="s">
        <v>3009</v>
      </c>
      <c r="T237" s="136"/>
      <c r="U237" s="135" t="s">
        <v>2855</v>
      </c>
      <c r="V237" s="135" t="s">
        <v>2876</v>
      </c>
      <c r="W237" s="135" t="s">
        <v>3074</v>
      </c>
      <c r="X237" s="135"/>
      <c r="Y237" s="135"/>
      <c r="Z237" s="135" t="s">
        <v>2858</v>
      </c>
      <c r="AA237" s="135"/>
      <c r="AB237" s="135"/>
      <c r="AC237" s="135"/>
      <c r="AD237" s="135">
        <v>46097.0</v>
      </c>
      <c r="AE237" s="135"/>
      <c r="AF237" s="135"/>
      <c r="AG237" s="135"/>
    </row>
    <row r="238" ht="21.75" hidden="1" customHeight="1">
      <c r="A238" s="135">
        <v>234.0</v>
      </c>
      <c r="B238" s="135">
        <v>25045.0</v>
      </c>
      <c r="C238" s="135"/>
      <c r="D238" s="135">
        <v>2.0</v>
      </c>
      <c r="E238" s="135" t="s">
        <v>3057</v>
      </c>
      <c r="F238" s="135" t="s">
        <v>1237</v>
      </c>
      <c r="G238" s="135" t="s">
        <v>18</v>
      </c>
      <c r="H238" s="135" t="s">
        <v>2853</v>
      </c>
      <c r="I238" s="135" t="s">
        <v>25</v>
      </c>
      <c r="J238" s="135">
        <v>1.0</v>
      </c>
      <c r="K238" s="135" t="s">
        <v>2860</v>
      </c>
      <c r="L238" s="135">
        <v>4405.0</v>
      </c>
      <c r="M238" s="135">
        <v>2970.0</v>
      </c>
      <c r="N238" s="135">
        <v>120.0</v>
      </c>
      <c r="O238" s="135">
        <v>1.829</v>
      </c>
      <c r="P238" s="136">
        <v>0.0</v>
      </c>
      <c r="Q238" s="137">
        <v>4.5725</v>
      </c>
      <c r="R238" s="136">
        <v>46074.0</v>
      </c>
      <c r="S238" s="135" t="s">
        <v>3009</v>
      </c>
      <c r="T238" s="136"/>
      <c r="U238" s="135" t="s">
        <v>2855</v>
      </c>
      <c r="V238" s="135" t="s">
        <v>2876</v>
      </c>
      <c r="W238" s="135" t="s">
        <v>3074</v>
      </c>
      <c r="X238" s="135"/>
      <c r="Y238" s="135"/>
      <c r="Z238" s="135" t="s">
        <v>2858</v>
      </c>
      <c r="AA238" s="135"/>
      <c r="AB238" s="135"/>
      <c r="AC238" s="135"/>
      <c r="AD238" s="135">
        <v>46105.0</v>
      </c>
      <c r="AE238" s="135"/>
      <c r="AF238" s="135"/>
      <c r="AG238" s="135"/>
    </row>
    <row r="239" ht="21.75" hidden="1" customHeight="1">
      <c r="A239" s="135">
        <v>235.0</v>
      </c>
      <c r="B239" s="135">
        <v>25045.0</v>
      </c>
      <c r="C239" s="135"/>
      <c r="D239" s="135">
        <v>2.0</v>
      </c>
      <c r="E239" s="135" t="s">
        <v>3057</v>
      </c>
      <c r="F239" s="135" t="s">
        <v>1238</v>
      </c>
      <c r="G239" s="135" t="s">
        <v>18</v>
      </c>
      <c r="H239" s="135" t="s">
        <v>2853</v>
      </c>
      <c r="I239" s="135" t="s">
        <v>25</v>
      </c>
      <c r="J239" s="135">
        <v>1.0</v>
      </c>
      <c r="K239" s="135" t="s">
        <v>2860</v>
      </c>
      <c r="L239" s="135">
        <v>4405.0</v>
      </c>
      <c r="M239" s="135">
        <v>2970.0</v>
      </c>
      <c r="N239" s="135">
        <v>120.0</v>
      </c>
      <c r="O239" s="135">
        <v>1.829</v>
      </c>
      <c r="P239" s="136">
        <v>0.0</v>
      </c>
      <c r="Q239" s="137">
        <v>4.5725</v>
      </c>
      <c r="R239" s="136">
        <v>46074.0</v>
      </c>
      <c r="S239" s="135" t="s">
        <v>3009</v>
      </c>
      <c r="T239" s="136"/>
      <c r="U239" s="135" t="s">
        <v>2855</v>
      </c>
      <c r="V239" s="135" t="s">
        <v>2876</v>
      </c>
      <c r="W239" s="135" t="s">
        <v>3074</v>
      </c>
      <c r="X239" s="135"/>
      <c r="Y239" s="135"/>
      <c r="Z239" s="135" t="s">
        <v>2858</v>
      </c>
      <c r="AA239" s="135"/>
      <c r="AB239" s="135"/>
      <c r="AC239" s="135"/>
      <c r="AD239" s="135">
        <v>46106.0</v>
      </c>
      <c r="AE239" s="135"/>
      <c r="AF239" s="135"/>
      <c r="AG239" s="135"/>
    </row>
    <row r="240" ht="21.75" hidden="1" customHeight="1">
      <c r="A240" s="135">
        <v>236.0</v>
      </c>
      <c r="B240" s="135">
        <v>25045.0</v>
      </c>
      <c r="C240" s="135"/>
      <c r="D240" s="135">
        <v>2.0</v>
      </c>
      <c r="E240" s="135" t="s">
        <v>3057</v>
      </c>
      <c r="F240" s="135" t="s">
        <v>1239</v>
      </c>
      <c r="G240" s="135" t="s">
        <v>18</v>
      </c>
      <c r="H240" s="135" t="s">
        <v>2853</v>
      </c>
      <c r="I240" s="135" t="s">
        <v>25</v>
      </c>
      <c r="J240" s="135">
        <v>1.0</v>
      </c>
      <c r="K240" s="135"/>
      <c r="L240" s="135">
        <v>2835.0</v>
      </c>
      <c r="M240" s="135">
        <v>1000.0</v>
      </c>
      <c r="N240" s="135">
        <v>120.0</v>
      </c>
      <c r="O240" s="135">
        <v>0.412</v>
      </c>
      <c r="P240" s="136">
        <v>0.0</v>
      </c>
      <c r="Q240" s="137">
        <v>1.03</v>
      </c>
      <c r="R240" s="136">
        <v>46074.0</v>
      </c>
      <c r="S240" s="135" t="s">
        <v>3009</v>
      </c>
      <c r="T240" s="136"/>
      <c r="U240" s="135" t="s">
        <v>2864</v>
      </c>
      <c r="V240" s="135" t="s">
        <v>2856</v>
      </c>
      <c r="W240" s="135" t="s">
        <v>3069</v>
      </c>
      <c r="X240" s="135"/>
      <c r="Y240" s="135"/>
      <c r="Z240" s="135" t="s">
        <v>2858</v>
      </c>
      <c r="AA240" s="135"/>
      <c r="AB240" s="135"/>
      <c r="AC240" s="135"/>
      <c r="AD240" s="135">
        <v>46093.0</v>
      </c>
      <c r="AE240" s="135"/>
      <c r="AF240" s="135"/>
      <c r="AG240" s="135"/>
    </row>
    <row r="241" ht="21.75" hidden="1" customHeight="1">
      <c r="A241" s="135">
        <v>237.0</v>
      </c>
      <c r="B241" s="135">
        <v>25045.0</v>
      </c>
      <c r="C241" s="135"/>
      <c r="D241" s="135">
        <v>2.0</v>
      </c>
      <c r="E241" s="135" t="s">
        <v>3057</v>
      </c>
      <c r="F241" s="135" t="s">
        <v>1240</v>
      </c>
      <c r="G241" s="135" t="s">
        <v>18</v>
      </c>
      <c r="H241" s="135" t="s">
        <v>2853</v>
      </c>
      <c r="I241" s="135" t="s">
        <v>25</v>
      </c>
      <c r="J241" s="135">
        <v>1.0</v>
      </c>
      <c r="K241" s="135"/>
      <c r="L241" s="135">
        <v>1635.0</v>
      </c>
      <c r="M241" s="135">
        <v>1095.0</v>
      </c>
      <c r="N241" s="135">
        <v>120.0</v>
      </c>
      <c r="O241" s="135">
        <v>0.331</v>
      </c>
      <c r="P241" s="136">
        <v>0.0</v>
      </c>
      <c r="Q241" s="137">
        <v>0.8275</v>
      </c>
      <c r="R241" s="136">
        <v>46074.0</v>
      </c>
      <c r="S241" s="135" t="s">
        <v>3009</v>
      </c>
      <c r="T241" s="136"/>
      <c r="U241" s="135" t="s">
        <v>2864</v>
      </c>
      <c r="V241" s="135" t="s">
        <v>2953</v>
      </c>
      <c r="W241" s="135" t="s">
        <v>3075</v>
      </c>
      <c r="X241" s="135"/>
      <c r="Y241" s="135"/>
      <c r="Z241" s="135" t="s">
        <v>2858</v>
      </c>
      <c r="AA241" s="135"/>
      <c r="AB241" s="135"/>
      <c r="AC241" s="135"/>
      <c r="AD241" s="135">
        <v>46109.0</v>
      </c>
      <c r="AE241" s="135"/>
      <c r="AF241" s="135"/>
      <c r="AG241" s="135"/>
    </row>
    <row r="242" ht="21.75" hidden="1" customHeight="1">
      <c r="A242" s="135">
        <v>238.0</v>
      </c>
      <c r="B242" s="135">
        <v>25045.0</v>
      </c>
      <c r="C242" s="135"/>
      <c r="D242" s="135">
        <v>2.0</v>
      </c>
      <c r="E242" s="135" t="s">
        <v>3057</v>
      </c>
      <c r="F242" s="135" t="s">
        <v>1241</v>
      </c>
      <c r="G242" s="135" t="s">
        <v>18</v>
      </c>
      <c r="H242" s="135" t="s">
        <v>2965</v>
      </c>
      <c r="I242" s="135" t="s">
        <v>25</v>
      </c>
      <c r="J242" s="135">
        <v>1.0</v>
      </c>
      <c r="K242" s="135"/>
      <c r="L242" s="135">
        <v>400.0</v>
      </c>
      <c r="M242" s="135">
        <v>2720.0</v>
      </c>
      <c r="N242" s="135">
        <v>350.0</v>
      </c>
      <c r="O242" s="135">
        <v>0.445</v>
      </c>
      <c r="P242" s="136">
        <v>1.0</v>
      </c>
      <c r="Q242" s="137">
        <v>1.1125</v>
      </c>
      <c r="R242" s="136">
        <v>46074.0</v>
      </c>
      <c r="S242" s="135" t="s">
        <v>3009</v>
      </c>
      <c r="T242" s="136">
        <v>46078.0</v>
      </c>
      <c r="U242" s="135" t="s">
        <v>2966</v>
      </c>
      <c r="V242" s="135" t="s">
        <v>2967</v>
      </c>
      <c r="W242" s="135"/>
      <c r="X242" s="135"/>
      <c r="Y242" s="135"/>
      <c r="Z242" s="135" t="s">
        <v>2858</v>
      </c>
      <c r="AA242" s="135" t="s">
        <v>3013</v>
      </c>
      <c r="AB242" s="135"/>
      <c r="AC242" s="135"/>
      <c r="AD242" s="135">
        <v>46094.0</v>
      </c>
      <c r="AE242" s="135"/>
      <c r="AF242" s="135"/>
      <c r="AG242" s="135"/>
    </row>
    <row r="243" ht="21.75" hidden="1" customHeight="1">
      <c r="A243" s="135">
        <v>239.0</v>
      </c>
      <c r="B243" s="135">
        <v>25045.0</v>
      </c>
      <c r="C243" s="135"/>
      <c r="D243" s="135">
        <v>2.0</v>
      </c>
      <c r="E243" s="135" t="s">
        <v>3076</v>
      </c>
      <c r="F243" s="135" t="s">
        <v>1244</v>
      </c>
      <c r="G243" s="135" t="s">
        <v>18</v>
      </c>
      <c r="H243" s="135" t="s">
        <v>2853</v>
      </c>
      <c r="I243" s="135" t="s">
        <v>26</v>
      </c>
      <c r="J243" s="135">
        <v>1.0</v>
      </c>
      <c r="K243" s="135"/>
      <c r="L243" s="135">
        <v>5015.0</v>
      </c>
      <c r="M243" s="135">
        <v>2900.0</v>
      </c>
      <c r="N243" s="135">
        <v>120.0</v>
      </c>
      <c r="O243" s="135">
        <v>1.946</v>
      </c>
      <c r="P243" s="136">
        <v>0.0</v>
      </c>
      <c r="Q243" s="137">
        <v>4.865</v>
      </c>
      <c r="R243" s="136">
        <v>46074.0</v>
      </c>
      <c r="S243" s="135" t="s">
        <v>3009</v>
      </c>
      <c r="T243" s="136"/>
      <c r="U243" s="135" t="s">
        <v>2855</v>
      </c>
      <c r="V243" s="135" t="s">
        <v>2876</v>
      </c>
      <c r="W243" s="135" t="s">
        <v>3058</v>
      </c>
      <c r="X243" s="135"/>
      <c r="Y243" s="135"/>
      <c r="Z243" s="135" t="s">
        <v>2858</v>
      </c>
      <c r="AA243" s="135"/>
      <c r="AB243" s="135"/>
      <c r="AC243" s="135"/>
      <c r="AD243" s="135">
        <v>46087.0</v>
      </c>
      <c r="AE243" s="135"/>
      <c r="AF243" s="135"/>
      <c r="AG243" s="135"/>
    </row>
    <row r="244" ht="21.75" hidden="1" customHeight="1">
      <c r="A244" s="135">
        <v>240.0</v>
      </c>
      <c r="B244" s="135">
        <v>25045.0</v>
      </c>
      <c r="C244" s="135"/>
      <c r="D244" s="135">
        <v>2.0</v>
      </c>
      <c r="E244" s="135" t="s">
        <v>3076</v>
      </c>
      <c r="F244" s="135" t="s">
        <v>1245</v>
      </c>
      <c r="G244" s="135" t="s">
        <v>18</v>
      </c>
      <c r="H244" s="135" t="s">
        <v>2853</v>
      </c>
      <c r="I244" s="135" t="s">
        <v>26</v>
      </c>
      <c r="J244" s="135">
        <v>1.0</v>
      </c>
      <c r="K244" s="135"/>
      <c r="L244" s="135">
        <v>4405.0</v>
      </c>
      <c r="M244" s="135">
        <v>2900.0</v>
      </c>
      <c r="N244" s="135">
        <v>120.0</v>
      </c>
      <c r="O244" s="135">
        <v>1.792</v>
      </c>
      <c r="P244" s="136">
        <v>0.0</v>
      </c>
      <c r="Q244" s="137">
        <v>4.48</v>
      </c>
      <c r="R244" s="136">
        <v>46074.0</v>
      </c>
      <c r="S244" s="135" t="s">
        <v>3009</v>
      </c>
      <c r="T244" s="136"/>
      <c r="U244" s="135" t="s">
        <v>2855</v>
      </c>
      <c r="V244" s="135" t="s">
        <v>2876</v>
      </c>
      <c r="W244" s="135" t="s">
        <v>3074</v>
      </c>
      <c r="X244" s="135"/>
      <c r="Y244" s="135"/>
      <c r="Z244" s="135" t="s">
        <v>2858</v>
      </c>
      <c r="AA244" s="135"/>
      <c r="AB244" s="135"/>
      <c r="AC244" s="135"/>
      <c r="AD244" s="135">
        <v>46090.0</v>
      </c>
      <c r="AE244" s="135"/>
      <c r="AF244" s="135"/>
      <c r="AG244" s="135"/>
    </row>
    <row r="245" ht="21.75" hidden="1" customHeight="1">
      <c r="A245" s="135">
        <v>241.0</v>
      </c>
      <c r="B245" s="135">
        <v>25045.0</v>
      </c>
      <c r="C245" s="135"/>
      <c r="D245" s="135">
        <v>2.0</v>
      </c>
      <c r="E245" s="135" t="s">
        <v>3076</v>
      </c>
      <c r="F245" s="135" t="s">
        <v>1246</v>
      </c>
      <c r="G245" s="135" t="s">
        <v>18</v>
      </c>
      <c r="H245" s="135" t="s">
        <v>2853</v>
      </c>
      <c r="I245" s="135" t="s">
        <v>26</v>
      </c>
      <c r="J245" s="135">
        <v>1.0</v>
      </c>
      <c r="K245" s="135"/>
      <c r="L245" s="135">
        <v>4405.0</v>
      </c>
      <c r="M245" s="135">
        <v>2900.0</v>
      </c>
      <c r="N245" s="135">
        <v>120.0</v>
      </c>
      <c r="O245" s="135">
        <v>1.792</v>
      </c>
      <c r="P245" s="136">
        <v>0.0</v>
      </c>
      <c r="Q245" s="137">
        <v>4.48</v>
      </c>
      <c r="R245" s="136">
        <v>46074.0</v>
      </c>
      <c r="S245" s="135" t="s">
        <v>3009</v>
      </c>
      <c r="T245" s="136"/>
      <c r="U245" s="135" t="s">
        <v>2855</v>
      </c>
      <c r="V245" s="135" t="s">
        <v>2876</v>
      </c>
      <c r="W245" s="135" t="s">
        <v>3074</v>
      </c>
      <c r="X245" s="135"/>
      <c r="Y245" s="135"/>
      <c r="Z245" s="135" t="s">
        <v>2858</v>
      </c>
      <c r="AA245" s="135"/>
      <c r="AB245" s="135"/>
      <c r="AC245" s="135"/>
      <c r="AD245" s="135">
        <v>46083.0</v>
      </c>
      <c r="AE245" s="135"/>
      <c r="AF245" s="135"/>
      <c r="AG245" s="135"/>
    </row>
    <row r="246" ht="21.75" hidden="1" customHeight="1">
      <c r="A246" s="135">
        <v>242.0</v>
      </c>
      <c r="B246" s="135">
        <v>25045.0</v>
      </c>
      <c r="C246" s="135"/>
      <c r="D246" s="135">
        <v>2.0</v>
      </c>
      <c r="E246" s="135" t="s">
        <v>3076</v>
      </c>
      <c r="F246" s="135" t="s">
        <v>1247</v>
      </c>
      <c r="G246" s="135" t="s">
        <v>18</v>
      </c>
      <c r="H246" s="135" t="s">
        <v>2853</v>
      </c>
      <c r="I246" s="135" t="s">
        <v>26</v>
      </c>
      <c r="J246" s="135">
        <v>1.0</v>
      </c>
      <c r="K246" s="135"/>
      <c r="L246" s="135">
        <v>4405.0</v>
      </c>
      <c r="M246" s="135">
        <v>2900.0</v>
      </c>
      <c r="N246" s="135">
        <v>120.0</v>
      </c>
      <c r="O246" s="135">
        <v>1.792</v>
      </c>
      <c r="P246" s="136">
        <v>0.0</v>
      </c>
      <c r="Q246" s="137">
        <v>4.48</v>
      </c>
      <c r="R246" s="136">
        <v>46074.0</v>
      </c>
      <c r="S246" s="135" t="s">
        <v>3009</v>
      </c>
      <c r="T246" s="136"/>
      <c r="U246" s="135" t="s">
        <v>2855</v>
      </c>
      <c r="V246" s="135" t="s">
        <v>2876</v>
      </c>
      <c r="W246" s="135" t="s">
        <v>3074</v>
      </c>
      <c r="X246" s="135"/>
      <c r="Y246" s="135"/>
      <c r="Z246" s="135" t="s">
        <v>2858</v>
      </c>
      <c r="AA246" s="135"/>
      <c r="AB246" s="135"/>
      <c r="AC246" s="135"/>
      <c r="AD246" s="135">
        <v>46086.0</v>
      </c>
      <c r="AE246" s="135"/>
      <c r="AF246" s="135"/>
      <c r="AG246" s="135"/>
    </row>
    <row r="247" ht="21.75" hidden="1" customHeight="1">
      <c r="A247" s="135">
        <v>243.0</v>
      </c>
      <c r="B247" s="135">
        <v>25045.0</v>
      </c>
      <c r="C247" s="135"/>
      <c r="D247" s="135">
        <v>2.0</v>
      </c>
      <c r="E247" s="135" t="s">
        <v>3076</v>
      </c>
      <c r="F247" s="135" t="s">
        <v>1248</v>
      </c>
      <c r="G247" s="135" t="s">
        <v>18</v>
      </c>
      <c r="H247" s="135" t="s">
        <v>2853</v>
      </c>
      <c r="I247" s="135" t="s">
        <v>26</v>
      </c>
      <c r="J247" s="135">
        <v>1.0</v>
      </c>
      <c r="K247" s="135"/>
      <c r="L247" s="135">
        <v>4405.0</v>
      </c>
      <c r="M247" s="135">
        <v>2900.0</v>
      </c>
      <c r="N247" s="135">
        <v>120.0</v>
      </c>
      <c r="O247" s="135">
        <v>1.5</v>
      </c>
      <c r="P247" s="136">
        <v>0.0</v>
      </c>
      <c r="Q247" s="137">
        <v>3.75</v>
      </c>
      <c r="R247" s="136">
        <v>46074.0</v>
      </c>
      <c r="S247" s="135" t="s">
        <v>3009</v>
      </c>
      <c r="T247" s="136"/>
      <c r="U247" s="135" t="s">
        <v>2864</v>
      </c>
      <c r="V247" s="135" t="s">
        <v>2985</v>
      </c>
      <c r="W247" s="135" t="s">
        <v>3077</v>
      </c>
      <c r="X247" s="135" t="s">
        <v>2895</v>
      </c>
      <c r="Y247" s="135"/>
      <c r="Z247" s="135" t="s">
        <v>2858</v>
      </c>
      <c r="AA247" s="135"/>
      <c r="AB247" s="135"/>
      <c r="AC247" s="135"/>
      <c r="AD247" s="135">
        <v>46095.0</v>
      </c>
      <c r="AE247" s="135"/>
      <c r="AF247" s="135"/>
      <c r="AG247" s="135"/>
    </row>
    <row r="248" ht="21.75" hidden="1" customHeight="1">
      <c r="A248" s="135">
        <v>244.0</v>
      </c>
      <c r="B248" s="135">
        <v>25045.0</v>
      </c>
      <c r="C248" s="135"/>
      <c r="D248" s="135">
        <v>2.0</v>
      </c>
      <c r="E248" s="135" t="s">
        <v>3076</v>
      </c>
      <c r="F248" s="135" t="s">
        <v>1249</v>
      </c>
      <c r="G248" s="135" t="s">
        <v>18</v>
      </c>
      <c r="H248" s="135" t="s">
        <v>2853</v>
      </c>
      <c r="I248" s="135" t="s">
        <v>26</v>
      </c>
      <c r="J248" s="135">
        <v>1.0</v>
      </c>
      <c r="K248" s="135"/>
      <c r="L248" s="135">
        <v>1635.0</v>
      </c>
      <c r="M248" s="135">
        <v>1025.0</v>
      </c>
      <c r="N248" s="135">
        <v>120.0</v>
      </c>
      <c r="O248" s="135">
        <v>0.324</v>
      </c>
      <c r="P248" s="136">
        <v>0.0</v>
      </c>
      <c r="Q248" s="137">
        <v>0.81</v>
      </c>
      <c r="R248" s="136">
        <v>46074.0</v>
      </c>
      <c r="S248" s="135" t="s">
        <v>3009</v>
      </c>
      <c r="T248" s="136"/>
      <c r="U248" s="135" t="s">
        <v>2864</v>
      </c>
      <c r="V248" s="135" t="s">
        <v>2953</v>
      </c>
      <c r="W248" s="135" t="s">
        <v>3078</v>
      </c>
      <c r="X248" s="135"/>
      <c r="Y248" s="135"/>
      <c r="Z248" s="135" t="s">
        <v>2858</v>
      </c>
      <c r="AA248" s="135"/>
      <c r="AB248" s="135"/>
      <c r="AC248" s="135"/>
      <c r="AD248" s="135">
        <v>46111.0</v>
      </c>
      <c r="AE248" s="135"/>
      <c r="AF248" s="135"/>
      <c r="AG248" s="135"/>
    </row>
    <row r="249" ht="21.75" hidden="1" customHeight="1">
      <c r="A249" s="135">
        <v>245.0</v>
      </c>
      <c r="B249" s="135">
        <v>25045.0</v>
      </c>
      <c r="C249" s="135"/>
      <c r="D249" s="135">
        <v>2.0</v>
      </c>
      <c r="E249" s="135" t="s">
        <v>3076</v>
      </c>
      <c r="F249" s="135" t="s">
        <v>1250</v>
      </c>
      <c r="G249" s="135" t="s">
        <v>18</v>
      </c>
      <c r="H249" s="135" t="s">
        <v>2965</v>
      </c>
      <c r="I249" s="135" t="s">
        <v>26</v>
      </c>
      <c r="J249" s="135">
        <v>1.0</v>
      </c>
      <c r="K249" s="135"/>
      <c r="L249" s="135">
        <v>400.0</v>
      </c>
      <c r="M249" s="135">
        <v>2650.0</v>
      </c>
      <c r="N249" s="135">
        <v>350.0</v>
      </c>
      <c r="O249" s="135">
        <v>0.435</v>
      </c>
      <c r="P249" s="136">
        <v>1.0</v>
      </c>
      <c r="Q249" s="137">
        <v>1.0875</v>
      </c>
      <c r="R249" s="136">
        <v>46074.0</v>
      </c>
      <c r="S249" s="135" t="s">
        <v>3009</v>
      </c>
      <c r="T249" s="136">
        <v>46078.0</v>
      </c>
      <c r="U249" s="135" t="s">
        <v>2966</v>
      </c>
      <c r="V249" s="135" t="s">
        <v>2967</v>
      </c>
      <c r="W249" s="135"/>
      <c r="X249" s="135"/>
      <c r="Y249" s="135"/>
      <c r="Z249" s="135" t="s">
        <v>2858</v>
      </c>
      <c r="AA249" s="135" t="s">
        <v>3013</v>
      </c>
      <c r="AB249" s="135"/>
      <c r="AC249" s="135"/>
      <c r="AD249" s="135">
        <v>46099.0</v>
      </c>
      <c r="AE249" s="135"/>
      <c r="AF249" s="135"/>
      <c r="AG249" s="135"/>
    </row>
    <row r="250" ht="21.75" hidden="1" customHeight="1">
      <c r="A250" s="135">
        <v>246.0</v>
      </c>
      <c r="B250" s="135">
        <v>25045.0</v>
      </c>
      <c r="C250" s="135"/>
      <c r="D250" s="135">
        <v>2.0</v>
      </c>
      <c r="E250" s="135" t="s">
        <v>3079</v>
      </c>
      <c r="F250" s="135" t="s">
        <v>1261</v>
      </c>
      <c r="G250" s="135" t="s">
        <v>18</v>
      </c>
      <c r="H250" s="135" t="s">
        <v>2853</v>
      </c>
      <c r="I250" s="135" t="s">
        <v>28</v>
      </c>
      <c r="J250" s="135">
        <v>1.0</v>
      </c>
      <c r="K250" s="135"/>
      <c r="L250" s="135">
        <v>5015.0</v>
      </c>
      <c r="M250" s="135">
        <v>2910.0</v>
      </c>
      <c r="N250" s="135">
        <v>120.0</v>
      </c>
      <c r="O250" s="135">
        <v>1.95</v>
      </c>
      <c r="P250" s="136">
        <v>0.0</v>
      </c>
      <c r="Q250" s="137">
        <v>4.875</v>
      </c>
      <c r="R250" s="136">
        <v>46074.0</v>
      </c>
      <c r="S250" s="135" t="s">
        <v>3009</v>
      </c>
      <c r="T250" s="136"/>
      <c r="U250" s="135" t="s">
        <v>2855</v>
      </c>
      <c r="V250" s="135" t="s">
        <v>2876</v>
      </c>
      <c r="W250" s="135" t="s">
        <v>3004</v>
      </c>
      <c r="X250" s="135"/>
      <c r="Y250" s="135"/>
      <c r="Z250" s="135" t="s">
        <v>2858</v>
      </c>
      <c r="AA250" s="135"/>
      <c r="AB250" s="135"/>
      <c r="AC250" s="135"/>
      <c r="AD250" s="135">
        <v>46079.0</v>
      </c>
      <c r="AE250" s="135"/>
      <c r="AF250" s="135"/>
      <c r="AG250" s="135"/>
    </row>
    <row r="251" ht="21.75" hidden="1" customHeight="1">
      <c r="A251" s="135">
        <v>247.0</v>
      </c>
      <c r="B251" s="135">
        <v>25045.0</v>
      </c>
      <c r="C251" s="135"/>
      <c r="D251" s="135">
        <v>2.0</v>
      </c>
      <c r="E251" s="135" t="s">
        <v>3079</v>
      </c>
      <c r="F251" s="135" t="s">
        <v>1262</v>
      </c>
      <c r="G251" s="135" t="s">
        <v>18</v>
      </c>
      <c r="H251" s="135" t="s">
        <v>2853</v>
      </c>
      <c r="I251" s="135" t="s">
        <v>28</v>
      </c>
      <c r="J251" s="135">
        <v>1.0</v>
      </c>
      <c r="K251" s="135" t="s">
        <v>2860</v>
      </c>
      <c r="L251" s="135">
        <v>4405.0</v>
      </c>
      <c r="M251" s="135">
        <v>2910.0</v>
      </c>
      <c r="N251" s="135">
        <v>120.0</v>
      </c>
      <c r="O251" s="135">
        <v>1.797</v>
      </c>
      <c r="P251" s="136">
        <v>0.0</v>
      </c>
      <c r="Q251" s="137">
        <v>4.4925</v>
      </c>
      <c r="R251" s="136">
        <v>46074.0</v>
      </c>
      <c r="S251" s="135" t="s">
        <v>3009</v>
      </c>
      <c r="T251" s="136"/>
      <c r="U251" s="135" t="s">
        <v>2855</v>
      </c>
      <c r="V251" s="135" t="s">
        <v>2876</v>
      </c>
      <c r="W251" s="135" t="s">
        <v>3080</v>
      </c>
      <c r="X251" s="135"/>
      <c r="Y251" s="135"/>
      <c r="Z251" s="135" t="s">
        <v>2858</v>
      </c>
      <c r="AA251" s="135"/>
      <c r="AB251" s="135"/>
      <c r="AC251" s="135"/>
      <c r="AD251" s="135">
        <v>46088.0</v>
      </c>
      <c r="AE251" s="135"/>
      <c r="AF251" s="135"/>
      <c r="AG251" s="135"/>
    </row>
    <row r="252" ht="21.75" hidden="1" customHeight="1">
      <c r="A252" s="135">
        <v>248.0</v>
      </c>
      <c r="B252" s="135">
        <v>25045.0</v>
      </c>
      <c r="C252" s="135"/>
      <c r="D252" s="135">
        <v>2.0</v>
      </c>
      <c r="E252" s="135" t="s">
        <v>3079</v>
      </c>
      <c r="F252" s="135" t="s">
        <v>1263</v>
      </c>
      <c r="G252" s="135" t="s">
        <v>18</v>
      </c>
      <c r="H252" s="135" t="s">
        <v>2853</v>
      </c>
      <c r="I252" s="135" t="s">
        <v>28</v>
      </c>
      <c r="J252" s="135">
        <v>1.0</v>
      </c>
      <c r="K252" s="135" t="s">
        <v>2860</v>
      </c>
      <c r="L252" s="135">
        <v>4405.0</v>
      </c>
      <c r="M252" s="135">
        <v>2910.0</v>
      </c>
      <c r="N252" s="135">
        <v>120.0</v>
      </c>
      <c r="O252" s="135">
        <v>1.797</v>
      </c>
      <c r="P252" s="136">
        <v>0.0</v>
      </c>
      <c r="Q252" s="137">
        <v>4.4925</v>
      </c>
      <c r="R252" s="136">
        <v>46074.0</v>
      </c>
      <c r="S252" s="135" t="s">
        <v>3009</v>
      </c>
      <c r="T252" s="136"/>
      <c r="U252" s="135" t="s">
        <v>2855</v>
      </c>
      <c r="V252" s="135" t="s">
        <v>2876</v>
      </c>
      <c r="W252" s="135" t="s">
        <v>3080</v>
      </c>
      <c r="X252" s="135"/>
      <c r="Y252" s="135"/>
      <c r="Z252" s="135" t="s">
        <v>2858</v>
      </c>
      <c r="AA252" s="135"/>
      <c r="AB252" s="135"/>
      <c r="AC252" s="135"/>
      <c r="AD252" s="135">
        <v>46090.0</v>
      </c>
      <c r="AE252" s="135"/>
      <c r="AF252" s="135"/>
      <c r="AG252" s="135"/>
    </row>
    <row r="253" ht="21.75" hidden="1" customHeight="1">
      <c r="A253" s="135">
        <v>249.0</v>
      </c>
      <c r="B253" s="135">
        <v>25045.0</v>
      </c>
      <c r="C253" s="135"/>
      <c r="D253" s="135">
        <v>2.0</v>
      </c>
      <c r="E253" s="135" t="s">
        <v>3079</v>
      </c>
      <c r="F253" s="135" t="s">
        <v>1264</v>
      </c>
      <c r="G253" s="135" t="s">
        <v>18</v>
      </c>
      <c r="H253" s="135" t="s">
        <v>2853</v>
      </c>
      <c r="I253" s="135" t="s">
        <v>28</v>
      </c>
      <c r="J253" s="135">
        <v>1.0</v>
      </c>
      <c r="K253" s="135" t="s">
        <v>2860</v>
      </c>
      <c r="L253" s="135">
        <v>4405.0</v>
      </c>
      <c r="M253" s="135">
        <v>2910.0</v>
      </c>
      <c r="N253" s="135">
        <v>120.0</v>
      </c>
      <c r="O253" s="135">
        <v>1.797</v>
      </c>
      <c r="P253" s="136">
        <v>0.0</v>
      </c>
      <c r="Q253" s="137">
        <v>4.4925</v>
      </c>
      <c r="R253" s="136">
        <v>46074.0</v>
      </c>
      <c r="S253" s="135" t="s">
        <v>3009</v>
      </c>
      <c r="T253" s="136"/>
      <c r="U253" s="135" t="s">
        <v>2855</v>
      </c>
      <c r="V253" s="135" t="s">
        <v>2876</v>
      </c>
      <c r="W253" s="135" t="s">
        <v>3080</v>
      </c>
      <c r="X253" s="135"/>
      <c r="Y253" s="135"/>
      <c r="Z253" s="135" t="s">
        <v>2858</v>
      </c>
      <c r="AA253" s="135"/>
      <c r="AB253" s="135"/>
      <c r="AC253" s="135"/>
      <c r="AD253" s="135">
        <v>46092.0</v>
      </c>
      <c r="AE253" s="135"/>
      <c r="AF253" s="135"/>
      <c r="AG253" s="135"/>
    </row>
    <row r="254" ht="21.75" hidden="1" customHeight="1">
      <c r="A254" s="135">
        <v>250.0</v>
      </c>
      <c r="B254" s="135">
        <v>25045.0</v>
      </c>
      <c r="C254" s="135"/>
      <c r="D254" s="135">
        <v>2.0</v>
      </c>
      <c r="E254" s="135" t="s">
        <v>3081</v>
      </c>
      <c r="F254" s="135" t="s">
        <v>1278</v>
      </c>
      <c r="G254" s="135" t="s">
        <v>18</v>
      </c>
      <c r="H254" s="135" t="s">
        <v>2853</v>
      </c>
      <c r="I254" s="135" t="s">
        <v>29</v>
      </c>
      <c r="J254" s="135">
        <v>1.0</v>
      </c>
      <c r="K254" s="135" t="s">
        <v>2860</v>
      </c>
      <c r="L254" s="135">
        <v>4405.0</v>
      </c>
      <c r="M254" s="135">
        <v>2910.0</v>
      </c>
      <c r="N254" s="135">
        <v>120.0</v>
      </c>
      <c r="O254" s="135">
        <v>1.797</v>
      </c>
      <c r="P254" s="136">
        <v>0.0</v>
      </c>
      <c r="Q254" s="137">
        <v>4.4925</v>
      </c>
      <c r="R254" s="136">
        <v>46074.0</v>
      </c>
      <c r="S254" s="135" t="s">
        <v>3009</v>
      </c>
      <c r="T254" s="136"/>
      <c r="U254" s="135" t="s">
        <v>2855</v>
      </c>
      <c r="V254" s="135" t="s">
        <v>2876</v>
      </c>
      <c r="W254" s="135" t="s">
        <v>3080</v>
      </c>
      <c r="X254" s="135"/>
      <c r="Y254" s="135"/>
      <c r="Z254" s="135" t="s">
        <v>2858</v>
      </c>
      <c r="AA254" s="135"/>
      <c r="AB254" s="135"/>
      <c r="AC254" s="135"/>
      <c r="AD254" s="135">
        <v>46093.0</v>
      </c>
      <c r="AE254" s="135"/>
      <c r="AF254" s="135"/>
      <c r="AG254" s="135"/>
    </row>
    <row r="255" ht="21.75" hidden="1" customHeight="1">
      <c r="A255" s="135">
        <v>251.0</v>
      </c>
      <c r="B255" s="135">
        <v>25045.0</v>
      </c>
      <c r="C255" s="135"/>
      <c r="D255" s="135">
        <v>2.0</v>
      </c>
      <c r="E255" s="135" t="s">
        <v>3081</v>
      </c>
      <c r="F255" s="135" t="s">
        <v>1279</v>
      </c>
      <c r="G255" s="135" t="s">
        <v>18</v>
      </c>
      <c r="H255" s="135" t="s">
        <v>2853</v>
      </c>
      <c r="I255" s="135" t="s">
        <v>29</v>
      </c>
      <c r="J255" s="135">
        <v>1.0</v>
      </c>
      <c r="K255" s="135" t="s">
        <v>2860</v>
      </c>
      <c r="L255" s="135">
        <v>4405.0</v>
      </c>
      <c r="M255" s="135">
        <v>2910.0</v>
      </c>
      <c r="N255" s="135">
        <v>120.0</v>
      </c>
      <c r="O255" s="135">
        <v>1.797</v>
      </c>
      <c r="P255" s="136">
        <v>0.0</v>
      </c>
      <c r="Q255" s="137">
        <v>4.4925</v>
      </c>
      <c r="R255" s="136">
        <v>46074.0</v>
      </c>
      <c r="S255" s="135" t="s">
        <v>3009</v>
      </c>
      <c r="T255" s="136"/>
      <c r="U255" s="135" t="s">
        <v>2855</v>
      </c>
      <c r="V255" s="135" t="s">
        <v>2876</v>
      </c>
      <c r="W255" s="135" t="s">
        <v>3080</v>
      </c>
      <c r="X255" s="135"/>
      <c r="Y255" s="135"/>
      <c r="Z255" s="135" t="s">
        <v>2858</v>
      </c>
      <c r="AA255" s="135"/>
      <c r="AB255" s="135"/>
      <c r="AC255" s="135"/>
      <c r="AD255" s="135">
        <v>46095.0</v>
      </c>
      <c r="AE255" s="135"/>
      <c r="AF255" s="135"/>
      <c r="AG255" s="135"/>
    </row>
    <row r="256" ht="21.75" hidden="1" customHeight="1">
      <c r="A256" s="135">
        <v>252.0</v>
      </c>
      <c r="B256" s="135">
        <v>25045.0</v>
      </c>
      <c r="C256" s="135"/>
      <c r="D256" s="135">
        <v>2.0</v>
      </c>
      <c r="E256" s="135" t="s">
        <v>3081</v>
      </c>
      <c r="F256" s="135" t="s">
        <v>1280</v>
      </c>
      <c r="G256" s="135" t="s">
        <v>18</v>
      </c>
      <c r="H256" s="135" t="s">
        <v>2853</v>
      </c>
      <c r="I256" s="135" t="s">
        <v>29</v>
      </c>
      <c r="J256" s="135">
        <v>1.0</v>
      </c>
      <c r="K256" s="135" t="s">
        <v>2860</v>
      </c>
      <c r="L256" s="135">
        <v>4405.0</v>
      </c>
      <c r="M256" s="135">
        <v>2910.0</v>
      </c>
      <c r="N256" s="135">
        <v>120.0</v>
      </c>
      <c r="O256" s="135">
        <v>1.797</v>
      </c>
      <c r="P256" s="136">
        <v>0.0</v>
      </c>
      <c r="Q256" s="137">
        <v>4.4925</v>
      </c>
      <c r="R256" s="136">
        <v>46074.0</v>
      </c>
      <c r="S256" s="135" t="s">
        <v>3009</v>
      </c>
      <c r="T256" s="136"/>
      <c r="U256" s="135" t="s">
        <v>2855</v>
      </c>
      <c r="V256" s="135" t="s">
        <v>2876</v>
      </c>
      <c r="W256" s="135" t="s">
        <v>3080</v>
      </c>
      <c r="X256" s="135"/>
      <c r="Y256" s="135"/>
      <c r="Z256" s="135" t="s">
        <v>2858</v>
      </c>
      <c r="AA256" s="135"/>
      <c r="AB256" s="135"/>
      <c r="AC256" s="135"/>
      <c r="AD256" s="135">
        <v>46097.0</v>
      </c>
      <c r="AE256" s="135"/>
      <c r="AF256" s="135"/>
      <c r="AG256" s="135"/>
    </row>
    <row r="257" ht="21.75" hidden="1" customHeight="1">
      <c r="A257" s="135">
        <v>253.0</v>
      </c>
      <c r="B257" s="135">
        <v>25045.0</v>
      </c>
      <c r="C257" s="135"/>
      <c r="D257" s="135">
        <v>2.0</v>
      </c>
      <c r="E257" s="135" t="s">
        <v>3079</v>
      </c>
      <c r="F257" s="135" t="s">
        <v>1265</v>
      </c>
      <c r="G257" s="135" t="s">
        <v>18</v>
      </c>
      <c r="H257" s="135" t="s">
        <v>2853</v>
      </c>
      <c r="I257" s="135" t="s">
        <v>28</v>
      </c>
      <c r="J257" s="135">
        <v>1.0</v>
      </c>
      <c r="K257" s="135"/>
      <c r="L257" s="135">
        <v>4405.0</v>
      </c>
      <c r="M257" s="135">
        <v>2910.0</v>
      </c>
      <c r="N257" s="135">
        <v>120.0</v>
      </c>
      <c r="O257" s="135">
        <v>1.49</v>
      </c>
      <c r="P257" s="136">
        <v>0.0</v>
      </c>
      <c r="Q257" s="137">
        <v>3.725</v>
      </c>
      <c r="R257" s="136">
        <v>46074.0</v>
      </c>
      <c r="S257" s="135" t="s">
        <v>3009</v>
      </c>
      <c r="T257" s="136"/>
      <c r="U257" s="135" t="s">
        <v>2864</v>
      </c>
      <c r="V257" s="135" t="s">
        <v>2985</v>
      </c>
      <c r="W257" s="135" t="s">
        <v>3082</v>
      </c>
      <c r="X257" s="135" t="s">
        <v>2892</v>
      </c>
      <c r="Y257" s="135"/>
      <c r="Z257" s="135" t="s">
        <v>2858</v>
      </c>
      <c r="AA257" s="135"/>
      <c r="AB257" s="135"/>
      <c r="AC257" s="135"/>
      <c r="AD257" s="135">
        <v>46091.0</v>
      </c>
      <c r="AE257" s="135"/>
      <c r="AF257" s="135"/>
      <c r="AG257" s="135"/>
    </row>
    <row r="258" ht="21.75" hidden="1" customHeight="1">
      <c r="A258" s="135">
        <v>254.0</v>
      </c>
      <c r="B258" s="135">
        <v>25045.0</v>
      </c>
      <c r="C258" s="135"/>
      <c r="D258" s="135">
        <v>2.0</v>
      </c>
      <c r="E258" s="135" t="s">
        <v>3079</v>
      </c>
      <c r="F258" s="135" t="s">
        <v>1266</v>
      </c>
      <c r="G258" s="135" t="s">
        <v>18</v>
      </c>
      <c r="H258" s="135" t="s">
        <v>2853</v>
      </c>
      <c r="I258" s="135" t="s">
        <v>28</v>
      </c>
      <c r="J258" s="135">
        <v>1.0</v>
      </c>
      <c r="K258" s="135"/>
      <c r="L258" s="135">
        <v>1635.0</v>
      </c>
      <c r="M258" s="135">
        <v>950.0</v>
      </c>
      <c r="N258" s="135">
        <v>120.0</v>
      </c>
      <c r="O258" s="135">
        <v>0.316</v>
      </c>
      <c r="P258" s="136">
        <v>0.0</v>
      </c>
      <c r="Q258" s="137">
        <v>0.79</v>
      </c>
      <c r="R258" s="136">
        <v>46074.0</v>
      </c>
      <c r="S258" s="135" t="s">
        <v>3009</v>
      </c>
      <c r="T258" s="136"/>
      <c r="U258" s="135" t="s">
        <v>2864</v>
      </c>
      <c r="V258" s="135" t="s">
        <v>2953</v>
      </c>
      <c r="W258" s="135" t="s">
        <v>3083</v>
      </c>
      <c r="X258" s="135"/>
      <c r="Y258" s="135"/>
      <c r="Z258" s="135" t="s">
        <v>2858</v>
      </c>
      <c r="AA258" s="135"/>
      <c r="AB258" s="135"/>
      <c r="AC258" s="135"/>
      <c r="AD258" s="135">
        <v>46112.0</v>
      </c>
      <c r="AE258" s="135"/>
      <c r="AF258" s="135"/>
      <c r="AG258" s="135"/>
    </row>
    <row r="259" ht="21.75" hidden="1" customHeight="1">
      <c r="A259" s="135">
        <v>255.0</v>
      </c>
      <c r="B259" s="135">
        <v>25045.0</v>
      </c>
      <c r="C259" s="135"/>
      <c r="D259" s="135">
        <v>2.0</v>
      </c>
      <c r="E259" s="135" t="s">
        <v>3079</v>
      </c>
      <c r="F259" s="135" t="s">
        <v>1267</v>
      </c>
      <c r="G259" s="135" t="s">
        <v>18</v>
      </c>
      <c r="H259" s="135" t="s">
        <v>2965</v>
      </c>
      <c r="I259" s="135" t="s">
        <v>28</v>
      </c>
      <c r="J259" s="135">
        <v>1.0</v>
      </c>
      <c r="K259" s="135"/>
      <c r="L259" s="135">
        <v>400.0</v>
      </c>
      <c r="M259" s="135">
        <v>2591.0</v>
      </c>
      <c r="N259" s="135">
        <v>350.0</v>
      </c>
      <c r="O259" s="135">
        <v>0.427</v>
      </c>
      <c r="P259" s="136">
        <v>1.0</v>
      </c>
      <c r="Q259" s="137">
        <v>1.0675</v>
      </c>
      <c r="R259" s="136">
        <v>46074.0</v>
      </c>
      <c r="S259" s="135" t="s">
        <v>3009</v>
      </c>
      <c r="T259" s="136">
        <v>46078.0</v>
      </c>
      <c r="U259" s="135" t="s">
        <v>2966</v>
      </c>
      <c r="V259" s="135" t="s">
        <v>2967</v>
      </c>
      <c r="W259" s="135"/>
      <c r="X259" s="135"/>
      <c r="Y259" s="135"/>
      <c r="Z259" s="135" t="s">
        <v>2858</v>
      </c>
      <c r="AA259" s="135" t="s">
        <v>3013</v>
      </c>
      <c r="AB259" s="135"/>
      <c r="AC259" s="135"/>
      <c r="AD259" s="135">
        <v>46106.0</v>
      </c>
      <c r="AE259" s="135"/>
      <c r="AF259" s="135"/>
      <c r="AG259" s="135"/>
    </row>
    <row r="260" ht="21.75" hidden="1" customHeight="1">
      <c r="A260" s="135">
        <v>256.0</v>
      </c>
      <c r="B260" s="135">
        <v>25045.0</v>
      </c>
      <c r="C260" s="135" t="s">
        <v>2817</v>
      </c>
      <c r="D260" s="135">
        <v>2.0</v>
      </c>
      <c r="E260" s="135" t="s">
        <v>3081</v>
      </c>
      <c r="F260" s="135" t="s">
        <v>1281</v>
      </c>
      <c r="G260" s="135" t="s">
        <v>18</v>
      </c>
      <c r="H260" s="135" t="s">
        <v>2853</v>
      </c>
      <c r="I260" s="135" t="s">
        <v>29</v>
      </c>
      <c r="J260" s="135">
        <v>1.0</v>
      </c>
      <c r="K260" s="135"/>
      <c r="L260" s="135">
        <v>2395.0</v>
      </c>
      <c r="M260" s="135">
        <v>3810.0</v>
      </c>
      <c r="N260" s="135">
        <v>120.0</v>
      </c>
      <c r="O260" s="135">
        <v>1.38</v>
      </c>
      <c r="P260" s="136">
        <v>0.0</v>
      </c>
      <c r="Q260" s="137">
        <v>3.4499999999999997</v>
      </c>
      <c r="R260" s="136">
        <v>46074.0</v>
      </c>
      <c r="S260" s="135" t="s">
        <v>3009</v>
      </c>
      <c r="T260" s="136"/>
      <c r="U260" s="135" t="s">
        <v>2864</v>
      </c>
      <c r="V260" s="135" t="s">
        <v>2899</v>
      </c>
      <c r="W260" s="135" t="s">
        <v>3084</v>
      </c>
      <c r="X260" s="135"/>
      <c r="Y260" s="135"/>
      <c r="Z260" s="135" t="s">
        <v>2858</v>
      </c>
      <c r="AA260" s="135"/>
      <c r="AB260" s="135"/>
      <c r="AC260" s="135"/>
      <c r="AD260" s="135" t="e">
        <v>#N/A</v>
      </c>
      <c r="AE260" s="135"/>
      <c r="AF260" s="135"/>
      <c r="AG260" s="135"/>
    </row>
    <row r="261" ht="21.75" hidden="1" customHeight="1">
      <c r="A261" s="135">
        <v>257.0</v>
      </c>
      <c r="B261" s="135">
        <v>25045.0</v>
      </c>
      <c r="C261" s="135" t="s">
        <v>2817</v>
      </c>
      <c r="D261" s="135">
        <v>2.0</v>
      </c>
      <c r="E261" s="135" t="s">
        <v>3081</v>
      </c>
      <c r="F261" s="135" t="s">
        <v>1282</v>
      </c>
      <c r="G261" s="135" t="s">
        <v>18</v>
      </c>
      <c r="H261" s="135" t="s">
        <v>2853</v>
      </c>
      <c r="I261" s="135" t="s">
        <v>29</v>
      </c>
      <c r="J261" s="135">
        <v>1.0</v>
      </c>
      <c r="K261" s="135"/>
      <c r="L261" s="135">
        <v>3340.0</v>
      </c>
      <c r="M261" s="135">
        <v>3810.0</v>
      </c>
      <c r="N261" s="135">
        <v>120.0</v>
      </c>
      <c r="O261" s="135">
        <v>1.939</v>
      </c>
      <c r="P261" s="136">
        <v>0.0</v>
      </c>
      <c r="Q261" s="137">
        <v>4.8475</v>
      </c>
      <c r="R261" s="136">
        <v>46074.0</v>
      </c>
      <c r="S261" s="135" t="s">
        <v>3009</v>
      </c>
      <c r="T261" s="136"/>
      <c r="U261" s="135" t="s">
        <v>2917</v>
      </c>
      <c r="V261" s="135" t="s">
        <v>2899</v>
      </c>
      <c r="W261" s="135" t="s">
        <v>3085</v>
      </c>
      <c r="X261" s="135" t="s">
        <v>2870</v>
      </c>
      <c r="Y261" s="135"/>
      <c r="Z261" s="135" t="s">
        <v>2858</v>
      </c>
      <c r="AA261" s="135"/>
      <c r="AB261" s="135"/>
      <c r="AC261" s="135"/>
      <c r="AD261" s="135" t="e">
        <v>#N/A</v>
      </c>
      <c r="AE261" s="135"/>
      <c r="AF261" s="135"/>
      <c r="AG261" s="135"/>
    </row>
    <row r="262" ht="21.75" hidden="1" customHeight="1">
      <c r="A262" s="135">
        <v>258.0</v>
      </c>
      <c r="B262" s="135">
        <v>25045.0</v>
      </c>
      <c r="C262" s="135" t="s">
        <v>2817</v>
      </c>
      <c r="D262" s="135">
        <v>2.0</v>
      </c>
      <c r="E262" s="135" t="s">
        <v>3081</v>
      </c>
      <c r="F262" s="135" t="s">
        <v>1283</v>
      </c>
      <c r="G262" s="135" t="s">
        <v>18</v>
      </c>
      <c r="H262" s="135" t="s">
        <v>2853</v>
      </c>
      <c r="I262" s="135" t="s">
        <v>29</v>
      </c>
      <c r="J262" s="135">
        <v>1.0</v>
      </c>
      <c r="K262" s="135"/>
      <c r="L262" s="135">
        <v>4090.0</v>
      </c>
      <c r="M262" s="135">
        <v>3810.0</v>
      </c>
      <c r="N262" s="135">
        <v>120.0</v>
      </c>
      <c r="O262" s="135">
        <v>2.299</v>
      </c>
      <c r="P262" s="136">
        <v>0.0</v>
      </c>
      <c r="Q262" s="137">
        <v>5.7475</v>
      </c>
      <c r="R262" s="136">
        <v>46074.0</v>
      </c>
      <c r="S262" s="135" t="s">
        <v>3009</v>
      </c>
      <c r="T262" s="136"/>
      <c r="U262" s="135" t="s">
        <v>2917</v>
      </c>
      <c r="V262" s="135" t="s">
        <v>3086</v>
      </c>
      <c r="W262" s="135" t="s">
        <v>2971</v>
      </c>
      <c r="X262" s="135" t="s">
        <v>2872</v>
      </c>
      <c r="Y262" s="135"/>
      <c r="Z262" s="135" t="s">
        <v>2858</v>
      </c>
      <c r="AA262" s="135"/>
      <c r="AB262" s="135"/>
      <c r="AC262" s="135"/>
      <c r="AD262" s="135" t="e">
        <v>#N/A</v>
      </c>
      <c r="AE262" s="135"/>
      <c r="AF262" s="135"/>
      <c r="AG262" s="135"/>
    </row>
    <row r="263" ht="21.75" hidden="1" customHeight="1">
      <c r="A263" s="135">
        <v>259.0</v>
      </c>
      <c r="B263" s="135">
        <v>25045.0</v>
      </c>
      <c r="C263" s="135" t="s">
        <v>2817</v>
      </c>
      <c r="D263" s="135">
        <v>2.0</v>
      </c>
      <c r="E263" s="135" t="s">
        <v>3081</v>
      </c>
      <c r="F263" s="135" t="s">
        <v>1284</v>
      </c>
      <c r="G263" s="135" t="s">
        <v>18</v>
      </c>
      <c r="H263" s="135" t="s">
        <v>2853</v>
      </c>
      <c r="I263" s="135" t="s">
        <v>29</v>
      </c>
      <c r="J263" s="135">
        <v>1.0</v>
      </c>
      <c r="K263" s="135"/>
      <c r="L263" s="135">
        <v>4135.0</v>
      </c>
      <c r="M263" s="135">
        <v>3810.0</v>
      </c>
      <c r="N263" s="135">
        <v>120.0</v>
      </c>
      <c r="O263" s="135">
        <v>2.316</v>
      </c>
      <c r="P263" s="136">
        <v>0.0</v>
      </c>
      <c r="Q263" s="137">
        <v>5.789999999999999</v>
      </c>
      <c r="R263" s="136">
        <v>46074.0</v>
      </c>
      <c r="S263" s="135" t="s">
        <v>3009</v>
      </c>
      <c r="T263" s="136"/>
      <c r="U263" s="135" t="s">
        <v>2864</v>
      </c>
      <c r="V263" s="135" t="s">
        <v>3086</v>
      </c>
      <c r="W263" s="135" t="s">
        <v>3087</v>
      </c>
      <c r="X263" s="135" t="s">
        <v>2870</v>
      </c>
      <c r="Y263" s="135"/>
      <c r="Z263" s="135" t="s">
        <v>2858</v>
      </c>
      <c r="AA263" s="135"/>
      <c r="AB263" s="135"/>
      <c r="AC263" s="135"/>
      <c r="AD263" s="135" t="e">
        <v>#N/A</v>
      </c>
      <c r="AE263" s="135"/>
      <c r="AF263" s="135"/>
      <c r="AG263" s="135"/>
    </row>
    <row r="264" ht="21.75" hidden="1" customHeight="1">
      <c r="A264" s="135">
        <v>260.0</v>
      </c>
      <c r="B264" s="135">
        <v>25045.0</v>
      </c>
      <c r="C264" s="135"/>
      <c r="D264" s="135">
        <v>2.0</v>
      </c>
      <c r="E264" s="135" t="s">
        <v>3081</v>
      </c>
      <c r="F264" s="135" t="s">
        <v>1285</v>
      </c>
      <c r="G264" s="135" t="s">
        <v>18</v>
      </c>
      <c r="H264" s="135" t="s">
        <v>2853</v>
      </c>
      <c r="I264" s="135" t="s">
        <v>29</v>
      </c>
      <c r="J264" s="135">
        <v>1.0</v>
      </c>
      <c r="K264" s="135"/>
      <c r="L264" s="135">
        <v>4300.0</v>
      </c>
      <c r="M264" s="135">
        <v>2860.0</v>
      </c>
      <c r="N264" s="135">
        <v>120.0</v>
      </c>
      <c r="O264" s="135">
        <v>1.744</v>
      </c>
      <c r="P264" s="136">
        <v>0.0</v>
      </c>
      <c r="Q264" s="137">
        <v>4.36</v>
      </c>
      <c r="R264" s="136">
        <v>46074.0</v>
      </c>
      <c r="S264" s="135" t="s">
        <v>3009</v>
      </c>
      <c r="T264" s="136"/>
      <c r="U264" s="135" t="s">
        <v>2855</v>
      </c>
      <c r="V264" s="135" t="s">
        <v>2876</v>
      </c>
      <c r="W264" s="135" t="s">
        <v>3088</v>
      </c>
      <c r="X264" s="135"/>
      <c r="Y264" s="135"/>
      <c r="Z264" s="135" t="s">
        <v>2858</v>
      </c>
      <c r="AA264" s="135"/>
      <c r="AB264" s="135"/>
      <c r="AC264" s="135"/>
      <c r="AD264" s="135">
        <v>46091.0</v>
      </c>
      <c r="AE264" s="135"/>
      <c r="AF264" s="135"/>
      <c r="AG264" s="135"/>
    </row>
    <row r="265" ht="21.75" hidden="1" customHeight="1">
      <c r="A265" s="135">
        <v>261.0</v>
      </c>
      <c r="B265" s="135">
        <v>25045.0</v>
      </c>
      <c r="C265" s="135"/>
      <c r="D265" s="135">
        <v>2.0</v>
      </c>
      <c r="E265" s="135" t="s">
        <v>3081</v>
      </c>
      <c r="F265" s="135" t="s">
        <v>1286</v>
      </c>
      <c r="G265" s="135" t="s">
        <v>18</v>
      </c>
      <c r="H265" s="135" t="s">
        <v>2853</v>
      </c>
      <c r="I265" s="135" t="s">
        <v>29</v>
      </c>
      <c r="J265" s="135">
        <v>1.0</v>
      </c>
      <c r="K265" s="135" t="s">
        <v>2860</v>
      </c>
      <c r="L265" s="135">
        <v>4300.0</v>
      </c>
      <c r="M265" s="135">
        <v>2860.0</v>
      </c>
      <c r="N265" s="135">
        <v>120.0</v>
      </c>
      <c r="O265" s="135">
        <v>1.744</v>
      </c>
      <c r="P265" s="136">
        <v>0.0</v>
      </c>
      <c r="Q265" s="137">
        <v>4.36</v>
      </c>
      <c r="R265" s="136">
        <v>46074.0</v>
      </c>
      <c r="S265" s="135" t="s">
        <v>3009</v>
      </c>
      <c r="T265" s="136"/>
      <c r="U265" s="135" t="s">
        <v>2855</v>
      </c>
      <c r="V265" s="135" t="s">
        <v>2876</v>
      </c>
      <c r="W265" s="135" t="s">
        <v>3065</v>
      </c>
      <c r="X265" s="135"/>
      <c r="Y265" s="135"/>
      <c r="Z265" s="135" t="s">
        <v>2858</v>
      </c>
      <c r="AA265" s="135"/>
      <c r="AB265" s="135"/>
      <c r="AC265" s="135"/>
      <c r="AD265" s="135">
        <v>46093.0</v>
      </c>
      <c r="AE265" s="135"/>
      <c r="AF265" s="135"/>
      <c r="AG265" s="135"/>
    </row>
    <row r="266" ht="21.75" hidden="1" customHeight="1">
      <c r="A266" s="135">
        <v>262.0</v>
      </c>
      <c r="B266" s="135">
        <v>25045.0</v>
      </c>
      <c r="C266" s="135"/>
      <c r="D266" s="135">
        <v>2.0</v>
      </c>
      <c r="E266" s="135" t="s">
        <v>3081</v>
      </c>
      <c r="F266" s="135" t="s">
        <v>1287</v>
      </c>
      <c r="G266" s="135" t="s">
        <v>18</v>
      </c>
      <c r="H266" s="135" t="s">
        <v>2853</v>
      </c>
      <c r="I266" s="135" t="s">
        <v>29</v>
      </c>
      <c r="J266" s="135">
        <v>1.0</v>
      </c>
      <c r="K266" s="135" t="s">
        <v>2860</v>
      </c>
      <c r="L266" s="135">
        <v>4300.0</v>
      </c>
      <c r="M266" s="135">
        <v>2860.0</v>
      </c>
      <c r="N266" s="135">
        <v>120.0</v>
      </c>
      <c r="O266" s="135">
        <v>1.744</v>
      </c>
      <c r="P266" s="136">
        <v>0.0</v>
      </c>
      <c r="Q266" s="137">
        <v>4.36</v>
      </c>
      <c r="R266" s="136">
        <v>46074.0</v>
      </c>
      <c r="S266" s="135" t="s">
        <v>3009</v>
      </c>
      <c r="T266" s="136"/>
      <c r="U266" s="135" t="s">
        <v>2855</v>
      </c>
      <c r="V266" s="135" t="s">
        <v>2876</v>
      </c>
      <c r="W266" s="135" t="s">
        <v>3065</v>
      </c>
      <c r="X266" s="135"/>
      <c r="Y266" s="135"/>
      <c r="Z266" s="135" t="s">
        <v>2858</v>
      </c>
      <c r="AA266" s="135"/>
      <c r="AB266" s="135"/>
      <c r="AC266" s="135"/>
      <c r="AD266" s="135">
        <v>46094.0</v>
      </c>
      <c r="AE266" s="135"/>
      <c r="AF266" s="135"/>
      <c r="AG266" s="135"/>
    </row>
    <row r="267" ht="21.75" hidden="1" customHeight="1">
      <c r="A267" s="135">
        <v>263.0</v>
      </c>
      <c r="B267" s="135">
        <v>25045.0</v>
      </c>
      <c r="C267" s="135"/>
      <c r="D267" s="135">
        <v>2.0</v>
      </c>
      <c r="E267" s="135" t="s">
        <v>3081</v>
      </c>
      <c r="F267" s="135" t="s">
        <v>1288</v>
      </c>
      <c r="G267" s="135" t="s">
        <v>18</v>
      </c>
      <c r="H267" s="135" t="s">
        <v>2853</v>
      </c>
      <c r="I267" s="135" t="s">
        <v>29</v>
      </c>
      <c r="J267" s="135">
        <v>1.0</v>
      </c>
      <c r="K267" s="135" t="s">
        <v>2860</v>
      </c>
      <c r="L267" s="135">
        <v>4300.0</v>
      </c>
      <c r="M267" s="135">
        <v>2860.0</v>
      </c>
      <c r="N267" s="135">
        <v>120.0</v>
      </c>
      <c r="O267" s="135">
        <v>1.744</v>
      </c>
      <c r="P267" s="136">
        <v>0.0</v>
      </c>
      <c r="Q267" s="137">
        <v>4.36</v>
      </c>
      <c r="R267" s="136">
        <v>46074.0</v>
      </c>
      <c r="S267" s="135" t="s">
        <v>3009</v>
      </c>
      <c r="T267" s="136"/>
      <c r="U267" s="135" t="s">
        <v>2855</v>
      </c>
      <c r="V267" s="135" t="s">
        <v>2876</v>
      </c>
      <c r="W267" s="135" t="s">
        <v>3065</v>
      </c>
      <c r="X267" s="135"/>
      <c r="Y267" s="135"/>
      <c r="Z267" s="135" t="s">
        <v>2858</v>
      </c>
      <c r="AA267" s="135"/>
      <c r="AB267" s="135"/>
      <c r="AC267" s="135"/>
      <c r="AD267" s="135">
        <v>46095.0</v>
      </c>
      <c r="AE267" s="135"/>
      <c r="AF267" s="135"/>
      <c r="AG267" s="135"/>
    </row>
    <row r="268" ht="21.75" hidden="1" customHeight="1">
      <c r="A268" s="135">
        <v>264.0</v>
      </c>
      <c r="B268" s="135">
        <v>25045.0</v>
      </c>
      <c r="C268" s="135"/>
      <c r="D268" s="135">
        <v>2.0</v>
      </c>
      <c r="E268" s="135" t="s">
        <v>3081</v>
      </c>
      <c r="F268" s="135" t="s">
        <v>1289</v>
      </c>
      <c r="G268" s="135" t="s">
        <v>18</v>
      </c>
      <c r="H268" s="135" t="s">
        <v>2853</v>
      </c>
      <c r="I268" s="135" t="s">
        <v>29</v>
      </c>
      <c r="J268" s="135">
        <v>1.0</v>
      </c>
      <c r="K268" s="135"/>
      <c r="L268" s="135">
        <v>4300.0</v>
      </c>
      <c r="M268" s="135">
        <v>2860.0</v>
      </c>
      <c r="N268" s="135">
        <v>120.0</v>
      </c>
      <c r="O268" s="135">
        <v>1.456</v>
      </c>
      <c r="P268" s="136">
        <v>0.0</v>
      </c>
      <c r="Q268" s="137">
        <v>3.6399999999999997</v>
      </c>
      <c r="R268" s="136">
        <v>46074.0</v>
      </c>
      <c r="S268" s="135" t="s">
        <v>3009</v>
      </c>
      <c r="T268" s="136"/>
      <c r="U268" s="135" t="s">
        <v>2864</v>
      </c>
      <c r="V268" s="135" t="s">
        <v>2985</v>
      </c>
      <c r="W268" s="135" t="s">
        <v>3089</v>
      </c>
      <c r="X268" s="135" t="s">
        <v>3090</v>
      </c>
      <c r="Y268" s="135"/>
      <c r="Z268" s="135" t="s">
        <v>2858</v>
      </c>
      <c r="AA268" s="135"/>
      <c r="AB268" s="135"/>
      <c r="AC268" s="135"/>
      <c r="AD268" s="135">
        <v>46086.0</v>
      </c>
      <c r="AE268" s="135"/>
      <c r="AF268" s="135"/>
      <c r="AG268" s="135"/>
    </row>
    <row r="269" ht="21.75" hidden="1" customHeight="1">
      <c r="A269" s="135">
        <v>265.0</v>
      </c>
      <c r="B269" s="135">
        <v>25045.0</v>
      </c>
      <c r="C269" s="135"/>
      <c r="D269" s="135">
        <v>2.0</v>
      </c>
      <c r="E269" s="135" t="s">
        <v>3081</v>
      </c>
      <c r="F269" s="135" t="s">
        <v>1290</v>
      </c>
      <c r="G269" s="135" t="s">
        <v>18</v>
      </c>
      <c r="H269" s="135" t="s">
        <v>2853</v>
      </c>
      <c r="I269" s="135" t="s">
        <v>29</v>
      </c>
      <c r="J269" s="135">
        <v>1.0</v>
      </c>
      <c r="K269" s="135"/>
      <c r="L269" s="135">
        <v>5015.0</v>
      </c>
      <c r="M269" s="135">
        <v>2910.0</v>
      </c>
      <c r="N269" s="135">
        <v>120.0</v>
      </c>
      <c r="O269" s="135">
        <v>1.95</v>
      </c>
      <c r="P269" s="136">
        <v>0.0</v>
      </c>
      <c r="Q269" s="137">
        <v>4.875</v>
      </c>
      <c r="R269" s="136">
        <v>46074.0</v>
      </c>
      <c r="S269" s="135" t="s">
        <v>3009</v>
      </c>
      <c r="T269" s="136"/>
      <c r="U269" s="135" t="s">
        <v>2855</v>
      </c>
      <c r="V269" s="135" t="s">
        <v>2876</v>
      </c>
      <c r="W269" s="135" t="s">
        <v>3058</v>
      </c>
      <c r="X269" s="135"/>
      <c r="Y269" s="135"/>
      <c r="Z269" s="135" t="s">
        <v>2858</v>
      </c>
      <c r="AA269" s="135"/>
      <c r="AB269" s="135"/>
      <c r="AC269" s="135"/>
      <c r="AD269" s="135">
        <v>46080.0</v>
      </c>
      <c r="AE269" s="135"/>
      <c r="AF269" s="135"/>
      <c r="AG269" s="135"/>
    </row>
    <row r="270" ht="21.75" hidden="1" customHeight="1">
      <c r="A270" s="135">
        <v>266.0</v>
      </c>
      <c r="B270" s="135">
        <v>25045.0</v>
      </c>
      <c r="C270" s="135"/>
      <c r="D270" s="135">
        <v>2.0</v>
      </c>
      <c r="E270" s="135" t="s">
        <v>3081</v>
      </c>
      <c r="F270" s="135" t="s">
        <v>1291</v>
      </c>
      <c r="G270" s="135" t="s">
        <v>18</v>
      </c>
      <c r="H270" s="135" t="s">
        <v>2853</v>
      </c>
      <c r="I270" s="135" t="s">
        <v>29</v>
      </c>
      <c r="J270" s="135">
        <v>1.0</v>
      </c>
      <c r="K270" s="135"/>
      <c r="L270" s="135">
        <v>4405.0</v>
      </c>
      <c r="M270" s="135">
        <v>2910.0</v>
      </c>
      <c r="N270" s="135">
        <v>120.0</v>
      </c>
      <c r="O270" s="135">
        <v>1.49</v>
      </c>
      <c r="P270" s="136">
        <v>0.0</v>
      </c>
      <c r="Q270" s="137">
        <v>3.725</v>
      </c>
      <c r="R270" s="136">
        <v>46074.0</v>
      </c>
      <c r="S270" s="135" t="s">
        <v>3009</v>
      </c>
      <c r="T270" s="136"/>
      <c r="U270" s="135" t="s">
        <v>2864</v>
      </c>
      <c r="V270" s="135" t="s">
        <v>2985</v>
      </c>
      <c r="W270" s="135" t="s">
        <v>3091</v>
      </c>
      <c r="X270" s="135" t="s">
        <v>2895</v>
      </c>
      <c r="Y270" s="135"/>
      <c r="Z270" s="135" t="s">
        <v>2858</v>
      </c>
      <c r="AA270" s="135"/>
      <c r="AB270" s="135"/>
      <c r="AC270" s="135"/>
      <c r="AD270" s="135">
        <v>46093.0</v>
      </c>
      <c r="AE270" s="135"/>
      <c r="AF270" s="135"/>
      <c r="AG270" s="135"/>
    </row>
    <row r="271" ht="21.75" hidden="1" customHeight="1">
      <c r="A271" s="135">
        <v>267.0</v>
      </c>
      <c r="B271" s="135">
        <v>25045.0</v>
      </c>
      <c r="C271" s="135"/>
      <c r="D271" s="135">
        <v>2.0</v>
      </c>
      <c r="E271" s="135" t="s">
        <v>3081</v>
      </c>
      <c r="F271" s="135" t="s">
        <v>1292</v>
      </c>
      <c r="G271" s="135" t="s">
        <v>18</v>
      </c>
      <c r="H271" s="135" t="s">
        <v>2853</v>
      </c>
      <c r="I271" s="135" t="s">
        <v>29</v>
      </c>
      <c r="J271" s="135">
        <v>1.0</v>
      </c>
      <c r="K271" s="135"/>
      <c r="L271" s="135">
        <v>1635.0</v>
      </c>
      <c r="M271" s="135">
        <v>950.0</v>
      </c>
      <c r="N271" s="135">
        <v>120.0</v>
      </c>
      <c r="O271" s="135">
        <v>0.316</v>
      </c>
      <c r="P271" s="136">
        <v>0.0</v>
      </c>
      <c r="Q271" s="137">
        <v>0.79</v>
      </c>
      <c r="R271" s="136">
        <v>46074.0</v>
      </c>
      <c r="S271" s="135" t="s">
        <v>3009</v>
      </c>
      <c r="T271" s="136"/>
      <c r="U271" s="135" t="s">
        <v>2864</v>
      </c>
      <c r="V271" s="135" t="s">
        <v>2953</v>
      </c>
      <c r="W271" s="135" t="s">
        <v>3092</v>
      </c>
      <c r="X271" s="135"/>
      <c r="Y271" s="135"/>
      <c r="Z271" s="135" t="s">
        <v>2858</v>
      </c>
      <c r="AA271" s="135"/>
      <c r="AB271" s="135"/>
      <c r="AC271" s="135"/>
      <c r="AD271" s="135">
        <v>46114.0</v>
      </c>
      <c r="AE271" s="135"/>
      <c r="AF271" s="135"/>
      <c r="AG271" s="135"/>
    </row>
    <row r="272" ht="21.75" hidden="1" customHeight="1">
      <c r="A272" s="135">
        <v>268.0</v>
      </c>
      <c r="B272" s="135">
        <v>25045.0</v>
      </c>
      <c r="C272" s="135"/>
      <c r="D272" s="135">
        <v>2.0</v>
      </c>
      <c r="E272" s="135" t="s">
        <v>3081</v>
      </c>
      <c r="F272" s="135" t="s">
        <v>1293</v>
      </c>
      <c r="G272" s="135" t="s">
        <v>18</v>
      </c>
      <c r="H272" s="135" t="s">
        <v>2853</v>
      </c>
      <c r="I272" s="135" t="s">
        <v>29</v>
      </c>
      <c r="J272" s="135">
        <v>1.0</v>
      </c>
      <c r="K272" s="135"/>
      <c r="L272" s="135">
        <v>2835.0</v>
      </c>
      <c r="M272" s="135">
        <v>1000.0</v>
      </c>
      <c r="N272" s="135">
        <v>120.0</v>
      </c>
      <c r="O272" s="135">
        <v>0.412</v>
      </c>
      <c r="P272" s="136">
        <v>0.0</v>
      </c>
      <c r="Q272" s="137">
        <v>1.03</v>
      </c>
      <c r="R272" s="136">
        <v>46074.0</v>
      </c>
      <c r="S272" s="135" t="s">
        <v>3009</v>
      </c>
      <c r="T272" s="136"/>
      <c r="U272" s="135" t="s">
        <v>2864</v>
      </c>
      <c r="V272" s="135" t="s">
        <v>2856</v>
      </c>
      <c r="W272" s="135" t="s">
        <v>3069</v>
      </c>
      <c r="X272" s="135"/>
      <c r="Y272" s="135"/>
      <c r="Z272" s="135" t="s">
        <v>2858</v>
      </c>
      <c r="AA272" s="135"/>
      <c r="AB272" s="135"/>
      <c r="AC272" s="135"/>
      <c r="AD272" s="135">
        <v>46095.0</v>
      </c>
      <c r="AE272" s="135"/>
      <c r="AF272" s="135"/>
      <c r="AG272" s="135"/>
    </row>
    <row r="273" ht="21.75" hidden="1" customHeight="1">
      <c r="A273" s="135">
        <v>269.0</v>
      </c>
      <c r="B273" s="135">
        <v>25045.0</v>
      </c>
      <c r="C273" s="135"/>
      <c r="D273" s="135">
        <v>2.0</v>
      </c>
      <c r="E273" s="135" t="s">
        <v>3081</v>
      </c>
      <c r="F273" s="135" t="s">
        <v>1294</v>
      </c>
      <c r="G273" s="135" t="s">
        <v>18</v>
      </c>
      <c r="H273" s="135" t="s">
        <v>2965</v>
      </c>
      <c r="I273" s="135" t="s">
        <v>29</v>
      </c>
      <c r="J273" s="135">
        <v>1.0</v>
      </c>
      <c r="K273" s="135"/>
      <c r="L273" s="135">
        <v>400.0</v>
      </c>
      <c r="M273" s="135">
        <v>2591.0</v>
      </c>
      <c r="N273" s="135">
        <v>350.0</v>
      </c>
      <c r="O273" s="135">
        <v>0.427</v>
      </c>
      <c r="P273" s="136">
        <v>1.0</v>
      </c>
      <c r="Q273" s="137">
        <v>1.0675</v>
      </c>
      <c r="R273" s="136">
        <v>46074.0</v>
      </c>
      <c r="S273" s="135" t="s">
        <v>3009</v>
      </c>
      <c r="T273" s="136">
        <v>46078.0</v>
      </c>
      <c r="U273" s="135" t="s">
        <v>2966</v>
      </c>
      <c r="V273" s="135" t="s">
        <v>2967</v>
      </c>
      <c r="W273" s="135"/>
      <c r="X273" s="135"/>
      <c r="Y273" s="135"/>
      <c r="Z273" s="135" t="s">
        <v>2858</v>
      </c>
      <c r="AA273" s="135" t="s">
        <v>3013</v>
      </c>
      <c r="AB273" s="135"/>
      <c r="AC273" s="135"/>
      <c r="AD273" s="135">
        <v>46105.0</v>
      </c>
      <c r="AE273" s="135"/>
      <c r="AF273" s="135"/>
      <c r="AG273" s="135"/>
    </row>
    <row r="274" ht="21.75" hidden="1" customHeight="1">
      <c r="A274" s="135">
        <v>270.0</v>
      </c>
      <c r="B274" s="135">
        <v>25045.0</v>
      </c>
      <c r="C274" s="135" t="s">
        <v>2817</v>
      </c>
      <c r="D274" s="135">
        <v>2.0</v>
      </c>
      <c r="E274" s="135" t="s">
        <v>3093</v>
      </c>
      <c r="F274" s="135" t="s">
        <v>1295</v>
      </c>
      <c r="G274" s="135" t="s">
        <v>18</v>
      </c>
      <c r="H274" s="135" t="s">
        <v>2853</v>
      </c>
      <c r="I274" s="135" t="s">
        <v>30</v>
      </c>
      <c r="J274" s="135">
        <v>1.0</v>
      </c>
      <c r="K274" s="135"/>
      <c r="L274" s="135">
        <v>3188.0</v>
      </c>
      <c r="M274" s="135">
        <v>3900.0</v>
      </c>
      <c r="N274" s="135">
        <v>120.0</v>
      </c>
      <c r="O274" s="135">
        <v>1.937</v>
      </c>
      <c r="P274" s="136">
        <v>0.0</v>
      </c>
      <c r="Q274" s="137">
        <v>4.8425</v>
      </c>
      <c r="R274" s="136">
        <v>46074.0</v>
      </c>
      <c r="S274" s="135" t="s">
        <v>3009</v>
      </c>
      <c r="T274" s="136"/>
      <c r="U274" s="135" t="s">
        <v>2917</v>
      </c>
      <c r="V274" s="135" t="s">
        <v>2899</v>
      </c>
      <c r="W274" s="135" t="s">
        <v>3094</v>
      </c>
      <c r="X274" s="135"/>
      <c r="Y274" s="135"/>
      <c r="Z274" s="135" t="s">
        <v>2858</v>
      </c>
      <c r="AA274" s="135"/>
      <c r="AB274" s="135"/>
      <c r="AC274" s="135"/>
      <c r="AD274" s="135" t="e">
        <v>#N/A</v>
      </c>
      <c r="AE274" s="135"/>
      <c r="AF274" s="135"/>
      <c r="AG274" s="135"/>
    </row>
    <row r="275" ht="21.75" hidden="1" customHeight="1">
      <c r="A275" s="135">
        <v>271.0</v>
      </c>
      <c r="B275" s="135">
        <v>25045.0</v>
      </c>
      <c r="C275" s="135" t="s">
        <v>2817</v>
      </c>
      <c r="D275" s="135">
        <v>2.0</v>
      </c>
      <c r="E275" s="135" t="s">
        <v>3093</v>
      </c>
      <c r="F275" s="135" t="s">
        <v>1296</v>
      </c>
      <c r="G275" s="135" t="s">
        <v>18</v>
      </c>
      <c r="H275" s="135" t="s">
        <v>2853</v>
      </c>
      <c r="I275" s="135" t="s">
        <v>30</v>
      </c>
      <c r="J275" s="135">
        <v>1.0</v>
      </c>
      <c r="K275" s="135"/>
      <c r="L275" s="135">
        <v>4460.0</v>
      </c>
      <c r="M275" s="135">
        <v>3900.0</v>
      </c>
      <c r="N275" s="135">
        <v>120.0</v>
      </c>
      <c r="O275" s="135">
        <v>2.168</v>
      </c>
      <c r="P275" s="136">
        <v>0.0</v>
      </c>
      <c r="Q275" s="137">
        <v>5.42</v>
      </c>
      <c r="R275" s="136">
        <v>46074.0</v>
      </c>
      <c r="S275" s="135" t="s">
        <v>3009</v>
      </c>
      <c r="T275" s="136"/>
      <c r="U275" s="135" t="s">
        <v>2917</v>
      </c>
      <c r="V275" s="135" t="s">
        <v>3086</v>
      </c>
      <c r="W275" s="135" t="s">
        <v>3095</v>
      </c>
      <c r="X275" s="135" t="s">
        <v>3096</v>
      </c>
      <c r="Y275" s="135"/>
      <c r="Z275" s="135" t="s">
        <v>2858</v>
      </c>
      <c r="AA275" s="135"/>
      <c r="AB275" s="135"/>
      <c r="AC275" s="135"/>
      <c r="AD275" s="135" t="e">
        <v>#N/A</v>
      </c>
      <c r="AE275" s="135"/>
      <c r="AF275" s="135"/>
      <c r="AG275" s="135"/>
    </row>
    <row r="276" ht="21.75" hidden="1" customHeight="1">
      <c r="A276" s="135">
        <v>272.0</v>
      </c>
      <c r="B276" s="135">
        <v>25045.0</v>
      </c>
      <c r="C276" s="135" t="s">
        <v>2817</v>
      </c>
      <c r="D276" s="135">
        <v>2.0</v>
      </c>
      <c r="E276" s="135" t="s">
        <v>3093</v>
      </c>
      <c r="F276" s="135" t="s">
        <v>1297</v>
      </c>
      <c r="G276" s="135" t="s">
        <v>18</v>
      </c>
      <c r="H276" s="135" t="s">
        <v>2853</v>
      </c>
      <c r="I276" s="135" t="s">
        <v>30</v>
      </c>
      <c r="J276" s="135">
        <v>1.0</v>
      </c>
      <c r="K276" s="135"/>
      <c r="L276" s="135">
        <v>3590.0</v>
      </c>
      <c r="M276" s="135">
        <v>3900.0</v>
      </c>
      <c r="N276" s="135">
        <v>120.0</v>
      </c>
      <c r="O276" s="135">
        <v>2.168</v>
      </c>
      <c r="P276" s="136">
        <v>0.0</v>
      </c>
      <c r="Q276" s="137">
        <v>5.42</v>
      </c>
      <c r="R276" s="136">
        <v>46074.0</v>
      </c>
      <c r="S276" s="135" t="s">
        <v>3009</v>
      </c>
      <c r="T276" s="136"/>
      <c r="U276" s="135" t="s">
        <v>2917</v>
      </c>
      <c r="V276" s="135" t="s">
        <v>3086</v>
      </c>
      <c r="W276" s="135" t="s">
        <v>3097</v>
      </c>
      <c r="X276" s="135"/>
      <c r="Y276" s="135"/>
      <c r="Z276" s="135" t="s">
        <v>2858</v>
      </c>
      <c r="AA276" s="135"/>
      <c r="AB276" s="135"/>
      <c r="AC276" s="135"/>
      <c r="AD276" s="135" t="e">
        <v>#N/A</v>
      </c>
      <c r="AE276" s="135"/>
      <c r="AF276" s="135"/>
      <c r="AG276" s="135"/>
    </row>
    <row r="277" ht="21.75" hidden="1" customHeight="1">
      <c r="A277" s="135">
        <v>273.0</v>
      </c>
      <c r="B277" s="135">
        <v>25045.0</v>
      </c>
      <c r="C277" s="135" t="s">
        <v>2817</v>
      </c>
      <c r="D277" s="135">
        <v>2.0</v>
      </c>
      <c r="E277" s="135" t="s">
        <v>3093</v>
      </c>
      <c r="F277" s="135" t="s">
        <v>1298</v>
      </c>
      <c r="G277" s="135" t="s">
        <v>18</v>
      </c>
      <c r="H277" s="135" t="s">
        <v>2853</v>
      </c>
      <c r="I277" s="135" t="s">
        <v>30</v>
      </c>
      <c r="J277" s="135">
        <v>1.0</v>
      </c>
      <c r="K277" s="135"/>
      <c r="L277" s="135">
        <v>4920.0</v>
      </c>
      <c r="M277" s="135">
        <v>3900.0</v>
      </c>
      <c r="N277" s="135">
        <v>120.0</v>
      </c>
      <c r="O277" s="135">
        <v>2.907</v>
      </c>
      <c r="P277" s="136">
        <v>0.0</v>
      </c>
      <c r="Q277" s="137">
        <v>7.2675</v>
      </c>
      <c r="R277" s="136">
        <v>46074.0</v>
      </c>
      <c r="S277" s="135" t="s">
        <v>3009</v>
      </c>
      <c r="T277" s="136"/>
      <c r="U277" s="135" t="s">
        <v>2917</v>
      </c>
      <c r="V277" s="135" t="s">
        <v>3098</v>
      </c>
      <c r="W277" s="135" t="s">
        <v>3099</v>
      </c>
      <c r="X277" s="135"/>
      <c r="Y277" s="135"/>
      <c r="Z277" s="135" t="s">
        <v>2858</v>
      </c>
      <c r="AA277" s="135"/>
      <c r="AB277" s="135"/>
      <c r="AC277" s="135"/>
      <c r="AD277" s="135" t="e">
        <v>#N/A</v>
      </c>
      <c r="AE277" s="135"/>
      <c r="AF277" s="135"/>
      <c r="AG277" s="135"/>
    </row>
    <row r="278" ht="21.75" hidden="1" customHeight="1">
      <c r="A278" s="135">
        <v>274.0</v>
      </c>
      <c r="B278" s="135">
        <v>25045.0</v>
      </c>
      <c r="C278" s="135"/>
      <c r="D278" s="135">
        <v>2.0</v>
      </c>
      <c r="E278" s="135" t="s">
        <v>3093</v>
      </c>
      <c r="F278" s="135" t="s">
        <v>1299</v>
      </c>
      <c r="G278" s="135" t="s">
        <v>18</v>
      </c>
      <c r="H278" s="135" t="s">
        <v>2853</v>
      </c>
      <c r="I278" s="135" t="s">
        <v>30</v>
      </c>
      <c r="J278" s="135">
        <v>1.0</v>
      </c>
      <c r="K278" s="135" t="s">
        <v>2860</v>
      </c>
      <c r="L278" s="135">
        <v>4125.0</v>
      </c>
      <c r="M278" s="135">
        <v>2860.0</v>
      </c>
      <c r="N278" s="135">
        <v>120.0</v>
      </c>
      <c r="O278" s="135">
        <v>1.549</v>
      </c>
      <c r="P278" s="136">
        <v>0.0</v>
      </c>
      <c r="Q278" s="137">
        <v>3.8724999999999996</v>
      </c>
      <c r="R278" s="136">
        <v>46074.0</v>
      </c>
      <c r="S278" s="135" t="s">
        <v>3009</v>
      </c>
      <c r="T278" s="136"/>
      <c r="U278" s="135" t="s">
        <v>2864</v>
      </c>
      <c r="V278" s="135" t="s">
        <v>3100</v>
      </c>
      <c r="W278" s="135" t="s">
        <v>3101</v>
      </c>
      <c r="X278" s="135"/>
      <c r="Y278" s="135"/>
      <c r="Z278" s="135" t="s">
        <v>2858</v>
      </c>
      <c r="AA278" s="135"/>
      <c r="AB278" s="135"/>
      <c r="AC278" s="135"/>
      <c r="AD278" s="135">
        <v>46093.0</v>
      </c>
      <c r="AE278" s="135"/>
      <c r="AF278" s="135"/>
      <c r="AG278" s="135"/>
    </row>
    <row r="279" ht="21.75" hidden="1" customHeight="1">
      <c r="A279" s="135">
        <v>275.0</v>
      </c>
      <c r="B279" s="135">
        <v>25045.0</v>
      </c>
      <c r="C279" s="135"/>
      <c r="D279" s="135">
        <v>2.0</v>
      </c>
      <c r="E279" s="135" t="s">
        <v>3093</v>
      </c>
      <c r="F279" s="135" t="s">
        <v>1300</v>
      </c>
      <c r="G279" s="135" t="s">
        <v>18</v>
      </c>
      <c r="H279" s="135" t="s">
        <v>2853</v>
      </c>
      <c r="I279" s="135" t="s">
        <v>30</v>
      </c>
      <c r="J279" s="135">
        <v>1.0</v>
      </c>
      <c r="K279" s="135" t="s">
        <v>2860</v>
      </c>
      <c r="L279" s="135">
        <v>4125.0</v>
      </c>
      <c r="M279" s="135">
        <v>2860.0</v>
      </c>
      <c r="N279" s="135">
        <v>120.0</v>
      </c>
      <c r="O279" s="135">
        <v>1.549</v>
      </c>
      <c r="P279" s="136">
        <v>0.0</v>
      </c>
      <c r="Q279" s="137">
        <v>3.8724999999999996</v>
      </c>
      <c r="R279" s="136">
        <v>46074.0</v>
      </c>
      <c r="S279" s="135" t="s">
        <v>3009</v>
      </c>
      <c r="T279" s="136"/>
      <c r="U279" s="135" t="s">
        <v>2864</v>
      </c>
      <c r="V279" s="135" t="s">
        <v>3100</v>
      </c>
      <c r="W279" s="135" t="s">
        <v>3101</v>
      </c>
      <c r="X279" s="135"/>
      <c r="Y279" s="135"/>
      <c r="Z279" s="135" t="s">
        <v>2858</v>
      </c>
      <c r="AA279" s="135"/>
      <c r="AB279" s="135"/>
      <c r="AC279" s="135"/>
      <c r="AD279" s="135">
        <v>46094.0</v>
      </c>
      <c r="AE279" s="135"/>
      <c r="AF279" s="135"/>
      <c r="AG279" s="135"/>
    </row>
    <row r="280" ht="21.75" hidden="1" customHeight="1">
      <c r="A280" s="135">
        <v>276.0</v>
      </c>
      <c r="B280" s="135">
        <v>25045.0</v>
      </c>
      <c r="C280" s="135"/>
      <c r="D280" s="135">
        <v>2.0</v>
      </c>
      <c r="E280" s="135" t="s">
        <v>3093</v>
      </c>
      <c r="F280" s="135" t="s">
        <v>1301</v>
      </c>
      <c r="G280" s="135" t="s">
        <v>18</v>
      </c>
      <c r="H280" s="135" t="s">
        <v>2853</v>
      </c>
      <c r="I280" s="135" t="s">
        <v>30</v>
      </c>
      <c r="J280" s="135">
        <v>1.0</v>
      </c>
      <c r="K280" s="135" t="s">
        <v>2860</v>
      </c>
      <c r="L280" s="135">
        <v>4125.0</v>
      </c>
      <c r="M280" s="135">
        <v>2860.0</v>
      </c>
      <c r="N280" s="135">
        <v>120.0</v>
      </c>
      <c r="O280" s="135">
        <v>1.549</v>
      </c>
      <c r="P280" s="136">
        <v>0.0</v>
      </c>
      <c r="Q280" s="137">
        <v>3.8724999999999996</v>
      </c>
      <c r="R280" s="136">
        <v>46074.0</v>
      </c>
      <c r="S280" s="135" t="s">
        <v>3009</v>
      </c>
      <c r="T280" s="136"/>
      <c r="U280" s="135" t="s">
        <v>2864</v>
      </c>
      <c r="V280" s="135" t="s">
        <v>3100</v>
      </c>
      <c r="W280" s="135" t="s">
        <v>3101</v>
      </c>
      <c r="X280" s="135"/>
      <c r="Y280" s="135"/>
      <c r="Z280" s="135" t="s">
        <v>2858</v>
      </c>
      <c r="AA280" s="135"/>
      <c r="AB280" s="135"/>
      <c r="AC280" s="135"/>
      <c r="AD280" s="135">
        <v>46095.0</v>
      </c>
      <c r="AE280" s="135"/>
      <c r="AF280" s="135"/>
      <c r="AG280" s="135"/>
    </row>
    <row r="281" ht="21.75" hidden="1" customHeight="1">
      <c r="A281" s="135">
        <v>277.0</v>
      </c>
      <c r="B281" s="135">
        <v>25045.0</v>
      </c>
      <c r="C281" s="135"/>
      <c r="D281" s="135">
        <v>2.0</v>
      </c>
      <c r="E281" s="135" t="s">
        <v>3093</v>
      </c>
      <c r="F281" s="135" t="s">
        <v>1302</v>
      </c>
      <c r="G281" s="135" t="s">
        <v>18</v>
      </c>
      <c r="H281" s="135" t="s">
        <v>2853</v>
      </c>
      <c r="I281" s="135" t="s">
        <v>30</v>
      </c>
      <c r="J281" s="135">
        <v>1.0</v>
      </c>
      <c r="K281" s="135"/>
      <c r="L281" s="135">
        <v>4125.0</v>
      </c>
      <c r="M281" s="135">
        <v>2860.0</v>
      </c>
      <c r="N281" s="135">
        <v>120.0</v>
      </c>
      <c r="O281" s="135">
        <v>1.263</v>
      </c>
      <c r="P281" s="136">
        <v>0.0</v>
      </c>
      <c r="Q281" s="137">
        <v>3.1574999999999998</v>
      </c>
      <c r="R281" s="136">
        <v>46074.0</v>
      </c>
      <c r="S281" s="135" t="s">
        <v>3009</v>
      </c>
      <c r="T281" s="136"/>
      <c r="U281" s="135" t="s">
        <v>2864</v>
      </c>
      <c r="V281" s="135" t="s">
        <v>3100</v>
      </c>
      <c r="W281" s="135" t="s">
        <v>3102</v>
      </c>
      <c r="X281" s="135" t="s">
        <v>2895</v>
      </c>
      <c r="Y281" s="135"/>
      <c r="Z281" s="135" t="s">
        <v>2858</v>
      </c>
      <c r="AA281" s="135"/>
      <c r="AB281" s="135"/>
      <c r="AC281" s="135"/>
      <c r="AD281" s="135">
        <v>46093.0</v>
      </c>
      <c r="AE281" s="135"/>
      <c r="AF281" s="135"/>
      <c r="AG281" s="135"/>
    </row>
    <row r="282" ht="21.75" hidden="1" customHeight="1">
      <c r="A282" s="135">
        <v>278.0</v>
      </c>
      <c r="B282" s="135">
        <v>25045.0</v>
      </c>
      <c r="C282" s="135"/>
      <c r="D282" s="135">
        <v>2.0</v>
      </c>
      <c r="E282" s="135" t="s">
        <v>3093</v>
      </c>
      <c r="F282" s="135" t="s">
        <v>1303</v>
      </c>
      <c r="G282" s="135" t="s">
        <v>18</v>
      </c>
      <c r="H282" s="135" t="s">
        <v>2853</v>
      </c>
      <c r="I282" s="135" t="s">
        <v>30</v>
      </c>
      <c r="J282" s="135">
        <v>1.0</v>
      </c>
      <c r="K282" s="135"/>
      <c r="L282" s="135">
        <v>4524.0</v>
      </c>
      <c r="M282" s="135">
        <v>2850.0</v>
      </c>
      <c r="N282" s="135">
        <v>120.0</v>
      </c>
      <c r="O282" s="135">
        <v>1.794</v>
      </c>
      <c r="P282" s="136">
        <v>0.0</v>
      </c>
      <c r="Q282" s="137">
        <v>4.485</v>
      </c>
      <c r="R282" s="136">
        <v>46074.0</v>
      </c>
      <c r="S282" s="135" t="s">
        <v>3009</v>
      </c>
      <c r="T282" s="136"/>
      <c r="U282" s="135" t="s">
        <v>2855</v>
      </c>
      <c r="V282" s="135" t="s">
        <v>2876</v>
      </c>
      <c r="W282" s="135" t="s">
        <v>3103</v>
      </c>
      <c r="X282" s="135"/>
      <c r="Y282" s="135"/>
      <c r="Z282" s="135" t="s">
        <v>2858</v>
      </c>
      <c r="AA282" s="135"/>
      <c r="AB282" s="135"/>
      <c r="AC282" s="135"/>
      <c r="AD282" s="135">
        <v>46095.0</v>
      </c>
      <c r="AE282" s="135"/>
      <c r="AF282" s="135"/>
      <c r="AG282" s="135"/>
    </row>
    <row r="283" ht="21.75" hidden="1" customHeight="1">
      <c r="A283" s="135">
        <v>279.0</v>
      </c>
      <c r="B283" s="135">
        <v>25045.0</v>
      </c>
      <c r="C283" s="135"/>
      <c r="D283" s="135">
        <v>2.0</v>
      </c>
      <c r="E283" s="135" t="s">
        <v>3093</v>
      </c>
      <c r="F283" s="135" t="s">
        <v>1304</v>
      </c>
      <c r="G283" s="135" t="s">
        <v>18</v>
      </c>
      <c r="H283" s="135" t="s">
        <v>2853</v>
      </c>
      <c r="I283" s="135" t="s">
        <v>30</v>
      </c>
      <c r="J283" s="135">
        <v>1.0</v>
      </c>
      <c r="K283" s="135" t="s">
        <v>2860</v>
      </c>
      <c r="L283" s="135">
        <v>4524.0</v>
      </c>
      <c r="M283" s="135">
        <v>2850.0</v>
      </c>
      <c r="N283" s="135">
        <v>120.0</v>
      </c>
      <c r="O283" s="135">
        <v>1.794</v>
      </c>
      <c r="P283" s="136">
        <v>0.0</v>
      </c>
      <c r="Q283" s="137">
        <v>4.485</v>
      </c>
      <c r="R283" s="136">
        <v>46074.0</v>
      </c>
      <c r="S283" s="135" t="s">
        <v>3009</v>
      </c>
      <c r="T283" s="136"/>
      <c r="U283" s="135" t="s">
        <v>2855</v>
      </c>
      <c r="V283" s="135" t="s">
        <v>2876</v>
      </c>
      <c r="W283" s="135" t="s">
        <v>3104</v>
      </c>
      <c r="X283" s="135"/>
      <c r="Y283" s="135"/>
      <c r="Z283" s="135" t="s">
        <v>2858</v>
      </c>
      <c r="AA283" s="135"/>
      <c r="AB283" s="135"/>
      <c r="AC283" s="135"/>
      <c r="AD283" s="135">
        <v>46097.0</v>
      </c>
      <c r="AE283" s="135"/>
      <c r="AF283" s="135"/>
      <c r="AG283" s="135"/>
    </row>
    <row r="284" ht="21.75" hidden="1" customHeight="1">
      <c r="A284" s="135">
        <v>280.0</v>
      </c>
      <c r="B284" s="135">
        <v>25045.0</v>
      </c>
      <c r="C284" s="135"/>
      <c r="D284" s="135">
        <v>2.0</v>
      </c>
      <c r="E284" s="135" t="s">
        <v>3093</v>
      </c>
      <c r="F284" s="135" t="s">
        <v>1305</v>
      </c>
      <c r="G284" s="135" t="s">
        <v>18</v>
      </c>
      <c r="H284" s="135" t="s">
        <v>2853</v>
      </c>
      <c r="I284" s="135" t="s">
        <v>30</v>
      </c>
      <c r="J284" s="135">
        <v>1.0</v>
      </c>
      <c r="K284" s="135" t="s">
        <v>2860</v>
      </c>
      <c r="L284" s="135">
        <v>4524.0</v>
      </c>
      <c r="M284" s="135">
        <v>2850.0</v>
      </c>
      <c r="N284" s="135">
        <v>120.0</v>
      </c>
      <c r="O284" s="135">
        <v>1.794</v>
      </c>
      <c r="P284" s="136">
        <v>0.0</v>
      </c>
      <c r="Q284" s="137">
        <v>4.485</v>
      </c>
      <c r="R284" s="136">
        <v>46074.0</v>
      </c>
      <c r="S284" s="135" t="s">
        <v>3009</v>
      </c>
      <c r="T284" s="136"/>
      <c r="U284" s="135" t="s">
        <v>2855</v>
      </c>
      <c r="V284" s="135" t="s">
        <v>2876</v>
      </c>
      <c r="W284" s="135" t="s">
        <v>3104</v>
      </c>
      <c r="X284" s="135"/>
      <c r="Y284" s="135"/>
      <c r="Z284" s="135" t="s">
        <v>2858</v>
      </c>
      <c r="AA284" s="135"/>
      <c r="AB284" s="135"/>
      <c r="AC284" s="135"/>
      <c r="AD284" s="135">
        <v>46098.0</v>
      </c>
      <c r="AE284" s="135"/>
      <c r="AF284" s="135"/>
      <c r="AG284" s="135"/>
    </row>
    <row r="285" ht="21.75" hidden="1" customHeight="1">
      <c r="A285" s="135">
        <v>281.0</v>
      </c>
      <c r="B285" s="135">
        <v>25045.0</v>
      </c>
      <c r="C285" s="135"/>
      <c r="D285" s="135">
        <v>2.0</v>
      </c>
      <c r="E285" s="135" t="s">
        <v>3093</v>
      </c>
      <c r="F285" s="135" t="s">
        <v>1306</v>
      </c>
      <c r="G285" s="135" t="s">
        <v>18</v>
      </c>
      <c r="H285" s="135" t="s">
        <v>2853</v>
      </c>
      <c r="I285" s="135" t="s">
        <v>30</v>
      </c>
      <c r="J285" s="135">
        <v>1.0</v>
      </c>
      <c r="K285" s="135" t="s">
        <v>2860</v>
      </c>
      <c r="L285" s="135">
        <v>4524.0</v>
      </c>
      <c r="M285" s="135">
        <v>2850.0</v>
      </c>
      <c r="N285" s="135">
        <v>120.0</v>
      </c>
      <c r="O285" s="135">
        <v>1.794</v>
      </c>
      <c r="P285" s="136">
        <v>0.0</v>
      </c>
      <c r="Q285" s="137">
        <v>4.485</v>
      </c>
      <c r="R285" s="136">
        <v>46074.0</v>
      </c>
      <c r="S285" s="135" t="s">
        <v>3009</v>
      </c>
      <c r="T285" s="136"/>
      <c r="U285" s="135" t="s">
        <v>2855</v>
      </c>
      <c r="V285" s="135" t="s">
        <v>2876</v>
      </c>
      <c r="W285" s="135" t="s">
        <v>3104</v>
      </c>
      <c r="X285" s="135"/>
      <c r="Y285" s="135"/>
      <c r="Z285" s="135" t="s">
        <v>2858</v>
      </c>
      <c r="AA285" s="135"/>
      <c r="AB285" s="135"/>
      <c r="AC285" s="135"/>
      <c r="AD285" s="135">
        <v>46099.0</v>
      </c>
      <c r="AE285" s="135"/>
      <c r="AF285" s="135"/>
      <c r="AG285" s="135"/>
    </row>
    <row r="286" ht="21.75" hidden="1" customHeight="1">
      <c r="A286" s="135">
        <v>282.0</v>
      </c>
      <c r="B286" s="135">
        <v>25045.0</v>
      </c>
      <c r="C286" s="135"/>
      <c r="D286" s="135">
        <v>2.0</v>
      </c>
      <c r="E286" s="135" t="s">
        <v>3093</v>
      </c>
      <c r="F286" s="135" t="s">
        <v>1307</v>
      </c>
      <c r="G286" s="135" t="s">
        <v>18</v>
      </c>
      <c r="H286" s="135" t="s">
        <v>2853</v>
      </c>
      <c r="I286" s="135" t="s">
        <v>30</v>
      </c>
      <c r="J286" s="135">
        <v>1.0</v>
      </c>
      <c r="K286" s="135"/>
      <c r="L286" s="135">
        <v>4524.0</v>
      </c>
      <c r="M286" s="135">
        <v>2850.0</v>
      </c>
      <c r="N286" s="135">
        <v>120.0</v>
      </c>
      <c r="O286" s="135">
        <v>1.509</v>
      </c>
      <c r="P286" s="136">
        <v>0.0</v>
      </c>
      <c r="Q286" s="137">
        <v>3.7725</v>
      </c>
      <c r="R286" s="136">
        <v>46074.0</v>
      </c>
      <c r="S286" s="135" t="s">
        <v>3009</v>
      </c>
      <c r="T286" s="136"/>
      <c r="U286" s="135" t="s">
        <v>2864</v>
      </c>
      <c r="V286" s="135" t="s">
        <v>2985</v>
      </c>
      <c r="W286" s="135" t="s">
        <v>3105</v>
      </c>
      <c r="X286" s="135" t="s">
        <v>2892</v>
      </c>
      <c r="Y286" s="135"/>
      <c r="Z286" s="135" t="s">
        <v>2858</v>
      </c>
      <c r="AA286" s="135"/>
      <c r="AB286" s="135"/>
      <c r="AC286" s="135"/>
      <c r="AD286" s="135">
        <v>46090.0</v>
      </c>
      <c r="AE286" s="135"/>
      <c r="AF286" s="135"/>
      <c r="AG286" s="135"/>
    </row>
    <row r="287" ht="21.75" hidden="1" customHeight="1">
      <c r="A287" s="135">
        <v>283.0</v>
      </c>
      <c r="B287" s="135">
        <v>25045.0</v>
      </c>
      <c r="C287" s="135"/>
      <c r="D287" s="135">
        <v>2.0</v>
      </c>
      <c r="E287" s="135" t="s">
        <v>3093</v>
      </c>
      <c r="F287" s="135" t="s">
        <v>1308</v>
      </c>
      <c r="G287" s="135" t="s">
        <v>18</v>
      </c>
      <c r="H287" s="135" t="s">
        <v>2853</v>
      </c>
      <c r="I287" s="135" t="s">
        <v>30</v>
      </c>
      <c r="J287" s="135">
        <v>1.0</v>
      </c>
      <c r="K287" s="135"/>
      <c r="L287" s="135">
        <v>5000.0</v>
      </c>
      <c r="M287" s="135">
        <v>2860.0</v>
      </c>
      <c r="N287" s="135">
        <v>120.0</v>
      </c>
      <c r="O287" s="135">
        <v>1.92</v>
      </c>
      <c r="P287" s="136">
        <v>0.0</v>
      </c>
      <c r="Q287" s="137">
        <v>4.8</v>
      </c>
      <c r="R287" s="136">
        <v>46074.0</v>
      </c>
      <c r="S287" s="135" t="s">
        <v>3009</v>
      </c>
      <c r="T287" s="136"/>
      <c r="U287" s="135" t="s">
        <v>2855</v>
      </c>
      <c r="V287" s="135" t="s">
        <v>2876</v>
      </c>
      <c r="W287" s="135" t="s">
        <v>3106</v>
      </c>
      <c r="X287" s="135"/>
      <c r="Y287" s="135"/>
      <c r="Z287" s="135" t="s">
        <v>2858</v>
      </c>
      <c r="AA287" s="135"/>
      <c r="AB287" s="135"/>
      <c r="AC287" s="135"/>
      <c r="AD287" s="135">
        <v>46090.0</v>
      </c>
      <c r="AE287" s="135"/>
      <c r="AF287" s="135"/>
      <c r="AG287" s="135"/>
    </row>
    <row r="288" ht="21.75" hidden="1" customHeight="1">
      <c r="A288" s="135">
        <v>284.0</v>
      </c>
      <c r="B288" s="135">
        <v>25045.0</v>
      </c>
      <c r="C288" s="135"/>
      <c r="D288" s="135">
        <v>2.0</v>
      </c>
      <c r="E288" s="135" t="s">
        <v>3093</v>
      </c>
      <c r="F288" s="135" t="s">
        <v>1309</v>
      </c>
      <c r="G288" s="135" t="s">
        <v>18</v>
      </c>
      <c r="H288" s="135" t="s">
        <v>2853</v>
      </c>
      <c r="I288" s="135" t="s">
        <v>30</v>
      </c>
      <c r="J288" s="135">
        <v>1.0</v>
      </c>
      <c r="K288" s="135"/>
      <c r="L288" s="135">
        <v>2528.0</v>
      </c>
      <c r="M288" s="135">
        <v>970.0</v>
      </c>
      <c r="N288" s="135">
        <v>120.0</v>
      </c>
      <c r="O288" s="135">
        <v>0.44</v>
      </c>
      <c r="P288" s="136">
        <v>0.0</v>
      </c>
      <c r="Q288" s="137">
        <v>1.1</v>
      </c>
      <c r="R288" s="136">
        <v>46074.0</v>
      </c>
      <c r="S288" s="135" t="s">
        <v>3009</v>
      </c>
      <c r="T288" s="136"/>
      <c r="U288" s="135" t="s">
        <v>2864</v>
      </c>
      <c r="V288" s="135" t="s">
        <v>2951</v>
      </c>
      <c r="W288" s="135" t="s">
        <v>3107</v>
      </c>
      <c r="X288" s="135"/>
      <c r="Y288" s="135"/>
      <c r="Z288" s="135" t="s">
        <v>2858</v>
      </c>
      <c r="AA288" s="135"/>
      <c r="AB288" s="135"/>
      <c r="AC288" s="135"/>
      <c r="AD288" s="135">
        <v>46120.0</v>
      </c>
      <c r="AE288" s="135"/>
      <c r="AF288" s="135"/>
      <c r="AG288" s="135"/>
    </row>
    <row r="289" ht="21.75" hidden="1" customHeight="1">
      <c r="A289" s="135">
        <v>285.0</v>
      </c>
      <c r="B289" s="135">
        <v>25045.0</v>
      </c>
      <c r="C289" s="135"/>
      <c r="D289" s="135">
        <v>2.0</v>
      </c>
      <c r="E289" s="135" t="s">
        <v>3093</v>
      </c>
      <c r="F289" s="135" t="s">
        <v>1310</v>
      </c>
      <c r="G289" s="135" t="s">
        <v>18</v>
      </c>
      <c r="H289" s="135" t="s">
        <v>2965</v>
      </c>
      <c r="I289" s="135" t="s">
        <v>30</v>
      </c>
      <c r="J289" s="135">
        <v>1.0</v>
      </c>
      <c r="K289" s="135"/>
      <c r="L289" s="135">
        <v>400.0</v>
      </c>
      <c r="M289" s="135">
        <v>2610.0</v>
      </c>
      <c r="N289" s="135">
        <v>350.0</v>
      </c>
      <c r="O289" s="135">
        <v>0.429</v>
      </c>
      <c r="P289" s="136">
        <v>1.0</v>
      </c>
      <c r="Q289" s="137">
        <v>1.0725</v>
      </c>
      <c r="R289" s="136">
        <v>46074.0</v>
      </c>
      <c r="S289" s="135" t="s">
        <v>3009</v>
      </c>
      <c r="T289" s="136">
        <v>46078.0</v>
      </c>
      <c r="U289" s="135" t="s">
        <v>2966</v>
      </c>
      <c r="V289" s="135" t="s">
        <v>2967</v>
      </c>
      <c r="W289" s="135"/>
      <c r="X289" s="135"/>
      <c r="Y289" s="135"/>
      <c r="Z289" s="135" t="s">
        <v>2858</v>
      </c>
      <c r="AA289" s="135" t="s">
        <v>3013</v>
      </c>
      <c r="AB289" s="135"/>
      <c r="AC289" s="135"/>
      <c r="AD289" s="135">
        <v>46112.0</v>
      </c>
      <c r="AE289" s="135"/>
      <c r="AF289" s="135"/>
      <c r="AG289" s="135"/>
    </row>
    <row r="290" ht="21.75" hidden="1" customHeight="1">
      <c r="A290" s="135">
        <v>286.0</v>
      </c>
      <c r="B290" s="135">
        <v>25045.0</v>
      </c>
      <c r="C290" s="135"/>
      <c r="D290" s="135">
        <v>2.0</v>
      </c>
      <c r="E290" s="135" t="s">
        <v>3093</v>
      </c>
      <c r="F290" s="135" t="s">
        <v>1311</v>
      </c>
      <c r="G290" s="135" t="s">
        <v>18</v>
      </c>
      <c r="H290" s="135" t="s">
        <v>2853</v>
      </c>
      <c r="I290" s="135" t="s">
        <v>30</v>
      </c>
      <c r="J290" s="135">
        <v>1.0</v>
      </c>
      <c r="K290" s="135"/>
      <c r="L290" s="135">
        <v>2845.0</v>
      </c>
      <c r="M290" s="135">
        <v>1000.0</v>
      </c>
      <c r="N290" s="135">
        <v>120.0</v>
      </c>
      <c r="O290" s="135">
        <v>0.47</v>
      </c>
      <c r="P290" s="136">
        <v>0.0</v>
      </c>
      <c r="Q290" s="137">
        <v>1.1749999999999998</v>
      </c>
      <c r="R290" s="136">
        <v>46074.0</v>
      </c>
      <c r="S290" s="135" t="s">
        <v>3009</v>
      </c>
      <c r="T290" s="136"/>
      <c r="U290" s="135" t="s">
        <v>2950</v>
      </c>
      <c r="V290" s="135" t="s">
        <v>2951</v>
      </c>
      <c r="W290" s="135" t="s">
        <v>3108</v>
      </c>
      <c r="X290" s="135"/>
      <c r="Y290" s="135"/>
      <c r="Z290" s="135" t="s">
        <v>2858</v>
      </c>
      <c r="AA290" s="135"/>
      <c r="AB290" s="135"/>
      <c r="AC290" s="135"/>
      <c r="AD290" s="135">
        <v>46106.0</v>
      </c>
      <c r="AE290" s="135"/>
      <c r="AF290" s="135"/>
      <c r="AG290" s="135"/>
    </row>
    <row r="291" ht="21.75" hidden="1" customHeight="1">
      <c r="A291" s="135">
        <v>287.0</v>
      </c>
      <c r="B291" s="135">
        <v>25045.0</v>
      </c>
      <c r="C291" s="135"/>
      <c r="D291" s="135">
        <v>2.0</v>
      </c>
      <c r="E291" s="135" t="s">
        <v>3109</v>
      </c>
      <c r="F291" s="135" t="s">
        <v>1312</v>
      </c>
      <c r="G291" s="135" t="s">
        <v>18</v>
      </c>
      <c r="H291" s="135" t="s">
        <v>2853</v>
      </c>
      <c r="I291" s="135" t="s">
        <v>31</v>
      </c>
      <c r="J291" s="135">
        <v>1.0</v>
      </c>
      <c r="K291" s="135"/>
      <c r="L291" s="135">
        <v>5238.0</v>
      </c>
      <c r="M291" s="135">
        <v>3120.0</v>
      </c>
      <c r="N291" s="135">
        <v>120.0</v>
      </c>
      <c r="O291" s="135">
        <v>2.121</v>
      </c>
      <c r="P291" s="136">
        <v>0.0</v>
      </c>
      <c r="Q291" s="137">
        <v>5.3025</v>
      </c>
      <c r="R291" s="136">
        <v>46074.0</v>
      </c>
      <c r="S291" s="135" t="s">
        <v>3009</v>
      </c>
      <c r="T291" s="136"/>
      <c r="U291" s="135" t="s">
        <v>2855</v>
      </c>
      <c r="V291" s="135" t="s">
        <v>2876</v>
      </c>
      <c r="W291" s="135" t="s">
        <v>3110</v>
      </c>
      <c r="X291" s="135"/>
      <c r="Y291" s="135"/>
      <c r="Z291" s="135" t="s">
        <v>2858</v>
      </c>
      <c r="AA291" s="135"/>
      <c r="AB291" s="135"/>
      <c r="AC291" s="135"/>
      <c r="AD291" s="135">
        <v>46088.0</v>
      </c>
      <c r="AE291" s="135"/>
      <c r="AF291" s="135"/>
      <c r="AG291" s="135"/>
    </row>
    <row r="292" ht="21.75" hidden="1" customHeight="1">
      <c r="A292" s="135">
        <v>288.0</v>
      </c>
      <c r="B292" s="135">
        <v>25045.0</v>
      </c>
      <c r="C292" s="135"/>
      <c r="D292" s="135">
        <v>2.0</v>
      </c>
      <c r="E292" s="135" t="s">
        <v>3109</v>
      </c>
      <c r="F292" s="135" t="s">
        <v>1313</v>
      </c>
      <c r="G292" s="135" t="s">
        <v>18</v>
      </c>
      <c r="H292" s="135" t="s">
        <v>2853</v>
      </c>
      <c r="I292" s="135" t="s">
        <v>31</v>
      </c>
      <c r="J292" s="135">
        <v>1.0</v>
      </c>
      <c r="K292" s="135" t="s">
        <v>2860</v>
      </c>
      <c r="L292" s="135">
        <v>5238.0</v>
      </c>
      <c r="M292" s="135">
        <v>2870.0</v>
      </c>
      <c r="N292" s="135">
        <v>120.0</v>
      </c>
      <c r="O292" s="135">
        <v>1.982</v>
      </c>
      <c r="P292" s="136">
        <v>0.0</v>
      </c>
      <c r="Q292" s="137">
        <v>4.955</v>
      </c>
      <c r="R292" s="136">
        <v>46074.0</v>
      </c>
      <c r="S292" s="135" t="s">
        <v>3009</v>
      </c>
      <c r="T292" s="136"/>
      <c r="U292" s="135" t="s">
        <v>2855</v>
      </c>
      <c r="V292" s="135" t="s">
        <v>2876</v>
      </c>
      <c r="W292" s="135" t="s">
        <v>3110</v>
      </c>
      <c r="X292" s="135"/>
      <c r="Y292" s="135"/>
      <c r="Z292" s="135" t="s">
        <v>2858</v>
      </c>
      <c r="AA292" s="135"/>
      <c r="AB292" s="135"/>
      <c r="AC292" s="135"/>
      <c r="AD292" s="135">
        <v>46091.0</v>
      </c>
      <c r="AE292" s="135"/>
      <c r="AF292" s="135"/>
      <c r="AG292" s="135"/>
    </row>
    <row r="293" ht="21.75" hidden="1" customHeight="1">
      <c r="A293" s="135">
        <v>289.0</v>
      </c>
      <c r="B293" s="135">
        <v>25045.0</v>
      </c>
      <c r="C293" s="135"/>
      <c r="D293" s="135">
        <v>2.0</v>
      </c>
      <c r="E293" s="135" t="s">
        <v>3109</v>
      </c>
      <c r="F293" s="135" t="s">
        <v>1314</v>
      </c>
      <c r="G293" s="135" t="s">
        <v>18</v>
      </c>
      <c r="H293" s="135" t="s">
        <v>2853</v>
      </c>
      <c r="I293" s="135" t="s">
        <v>31</v>
      </c>
      <c r="J293" s="135">
        <v>1.0</v>
      </c>
      <c r="K293" s="135" t="s">
        <v>2860</v>
      </c>
      <c r="L293" s="135">
        <v>5238.0</v>
      </c>
      <c r="M293" s="135">
        <v>2870.0</v>
      </c>
      <c r="N293" s="135">
        <v>120.0</v>
      </c>
      <c r="O293" s="135">
        <v>1.982</v>
      </c>
      <c r="P293" s="136">
        <v>0.0</v>
      </c>
      <c r="Q293" s="137">
        <v>4.955</v>
      </c>
      <c r="R293" s="136">
        <v>46074.0</v>
      </c>
      <c r="S293" s="135" t="s">
        <v>3009</v>
      </c>
      <c r="T293" s="136"/>
      <c r="U293" s="135" t="s">
        <v>2855</v>
      </c>
      <c r="V293" s="135" t="s">
        <v>2876</v>
      </c>
      <c r="W293" s="135" t="s">
        <v>3110</v>
      </c>
      <c r="X293" s="135"/>
      <c r="Y293" s="135"/>
      <c r="Z293" s="135" t="s">
        <v>2858</v>
      </c>
      <c r="AA293" s="135"/>
      <c r="AB293" s="135"/>
      <c r="AC293" s="135"/>
      <c r="AD293" s="135">
        <v>46093.0</v>
      </c>
      <c r="AE293" s="135"/>
      <c r="AF293" s="135"/>
      <c r="AG293" s="135"/>
    </row>
    <row r="294" ht="21.75" hidden="1" customHeight="1">
      <c r="A294" s="135">
        <v>290.0</v>
      </c>
      <c r="B294" s="135">
        <v>25045.0</v>
      </c>
      <c r="C294" s="135"/>
      <c r="D294" s="135">
        <v>2.0</v>
      </c>
      <c r="E294" s="135" t="s">
        <v>3109</v>
      </c>
      <c r="F294" s="135" t="s">
        <v>1315</v>
      </c>
      <c r="G294" s="135" t="s">
        <v>18</v>
      </c>
      <c r="H294" s="135" t="s">
        <v>2853</v>
      </c>
      <c r="I294" s="135" t="s">
        <v>31</v>
      </c>
      <c r="J294" s="135">
        <v>1.0</v>
      </c>
      <c r="K294" s="135" t="s">
        <v>2860</v>
      </c>
      <c r="L294" s="135">
        <v>5238.0</v>
      </c>
      <c r="M294" s="135">
        <v>2870.0</v>
      </c>
      <c r="N294" s="135">
        <v>120.0</v>
      </c>
      <c r="O294" s="135">
        <v>1.982</v>
      </c>
      <c r="P294" s="136">
        <v>0.0</v>
      </c>
      <c r="Q294" s="137">
        <v>4.955</v>
      </c>
      <c r="R294" s="136">
        <v>46074.0</v>
      </c>
      <c r="S294" s="135" t="s">
        <v>3009</v>
      </c>
      <c r="T294" s="136"/>
      <c r="U294" s="135" t="s">
        <v>2855</v>
      </c>
      <c r="V294" s="135" t="s">
        <v>2876</v>
      </c>
      <c r="W294" s="135" t="s">
        <v>3110</v>
      </c>
      <c r="X294" s="135"/>
      <c r="Y294" s="135"/>
      <c r="Z294" s="135" t="s">
        <v>2858</v>
      </c>
      <c r="AA294" s="135"/>
      <c r="AB294" s="135"/>
      <c r="AC294" s="135"/>
      <c r="AD294" s="135">
        <v>46094.0</v>
      </c>
      <c r="AE294" s="135"/>
      <c r="AF294" s="135"/>
      <c r="AG294" s="135"/>
    </row>
    <row r="295" ht="21.75" hidden="1" customHeight="1">
      <c r="A295" s="135">
        <v>291.0</v>
      </c>
      <c r="B295" s="135">
        <v>25045.0</v>
      </c>
      <c r="C295" s="135"/>
      <c r="D295" s="135">
        <v>2.0</v>
      </c>
      <c r="E295" s="135" t="s">
        <v>3109</v>
      </c>
      <c r="F295" s="135" t="s">
        <v>1316</v>
      </c>
      <c r="G295" s="135" t="s">
        <v>18</v>
      </c>
      <c r="H295" s="135" t="s">
        <v>2853</v>
      </c>
      <c r="I295" s="135" t="s">
        <v>31</v>
      </c>
      <c r="J295" s="135">
        <v>1.0</v>
      </c>
      <c r="K295" s="135"/>
      <c r="L295" s="135">
        <v>5238.0</v>
      </c>
      <c r="M295" s="135">
        <v>2870.0</v>
      </c>
      <c r="N295" s="135">
        <v>120.0</v>
      </c>
      <c r="O295" s="135">
        <v>1.704</v>
      </c>
      <c r="P295" s="136">
        <v>0.0</v>
      </c>
      <c r="Q295" s="137">
        <v>4.26</v>
      </c>
      <c r="R295" s="136">
        <v>46074.0</v>
      </c>
      <c r="S295" s="135" t="s">
        <v>3009</v>
      </c>
      <c r="T295" s="136"/>
      <c r="U295" s="135" t="s">
        <v>2864</v>
      </c>
      <c r="V295" s="135" t="s">
        <v>2985</v>
      </c>
      <c r="W295" s="135" t="s">
        <v>3111</v>
      </c>
      <c r="X295" s="135" t="s">
        <v>2892</v>
      </c>
      <c r="Y295" s="135"/>
      <c r="Z295" s="135" t="s">
        <v>2858</v>
      </c>
      <c r="AA295" s="135"/>
      <c r="AB295" s="135"/>
      <c r="AC295" s="135"/>
      <c r="AD295" s="135">
        <v>46087.0</v>
      </c>
      <c r="AE295" s="135"/>
      <c r="AF295" s="135"/>
      <c r="AG295" s="135"/>
    </row>
    <row r="296" ht="21.75" hidden="1" customHeight="1">
      <c r="A296" s="135">
        <v>292.0</v>
      </c>
      <c r="B296" s="135">
        <v>25045.0</v>
      </c>
      <c r="C296" s="135"/>
      <c r="D296" s="135">
        <v>2.0</v>
      </c>
      <c r="E296" s="135" t="s">
        <v>3109</v>
      </c>
      <c r="F296" s="135" t="s">
        <v>1317</v>
      </c>
      <c r="G296" s="135" t="s">
        <v>18</v>
      </c>
      <c r="H296" s="135" t="s">
        <v>2853</v>
      </c>
      <c r="I296" s="135" t="s">
        <v>31</v>
      </c>
      <c r="J296" s="135">
        <v>1.0</v>
      </c>
      <c r="K296" s="135"/>
      <c r="L296" s="135">
        <v>5015.0</v>
      </c>
      <c r="M296" s="135">
        <v>2850.0</v>
      </c>
      <c r="N296" s="135">
        <v>120.0</v>
      </c>
      <c r="O296" s="135">
        <v>1.915</v>
      </c>
      <c r="P296" s="136">
        <v>0.0</v>
      </c>
      <c r="Q296" s="137">
        <v>4.7875</v>
      </c>
      <c r="R296" s="136">
        <v>46074.0</v>
      </c>
      <c r="S296" s="135" t="s">
        <v>3009</v>
      </c>
      <c r="T296" s="136"/>
      <c r="U296" s="135" t="s">
        <v>2855</v>
      </c>
      <c r="V296" s="135" t="s">
        <v>2876</v>
      </c>
      <c r="W296" s="135" t="s">
        <v>3058</v>
      </c>
      <c r="X296" s="135"/>
      <c r="Y296" s="135"/>
      <c r="Z296" s="135" t="s">
        <v>2858</v>
      </c>
      <c r="AA296" s="135"/>
      <c r="AB296" s="135"/>
      <c r="AC296" s="135"/>
      <c r="AD296" s="135">
        <v>46088.0</v>
      </c>
      <c r="AE296" s="135"/>
      <c r="AF296" s="135"/>
      <c r="AG296" s="135"/>
    </row>
    <row r="297" ht="21.75" hidden="1" customHeight="1">
      <c r="A297" s="135">
        <v>293.0</v>
      </c>
      <c r="B297" s="135">
        <v>25045.0</v>
      </c>
      <c r="C297" s="135"/>
      <c r="D297" s="135">
        <v>2.0</v>
      </c>
      <c r="E297" s="135" t="s">
        <v>3109</v>
      </c>
      <c r="F297" s="135" t="s">
        <v>1318</v>
      </c>
      <c r="G297" s="135" t="s">
        <v>18</v>
      </c>
      <c r="H297" s="135" t="s">
        <v>2853</v>
      </c>
      <c r="I297" s="135" t="s">
        <v>31</v>
      </c>
      <c r="J297" s="135">
        <v>1.0</v>
      </c>
      <c r="K297" s="135" t="s">
        <v>2860</v>
      </c>
      <c r="L297" s="135">
        <v>4346.0</v>
      </c>
      <c r="M297" s="135">
        <v>2850.0</v>
      </c>
      <c r="N297" s="135">
        <v>120.0</v>
      </c>
      <c r="O297" s="135">
        <v>1.754</v>
      </c>
      <c r="P297" s="136">
        <v>0.0</v>
      </c>
      <c r="Q297" s="137">
        <v>4.385</v>
      </c>
      <c r="R297" s="136">
        <v>46074.0</v>
      </c>
      <c r="S297" s="135" t="s">
        <v>3009</v>
      </c>
      <c r="T297" s="136"/>
      <c r="U297" s="135" t="s">
        <v>2855</v>
      </c>
      <c r="V297" s="135" t="s">
        <v>2876</v>
      </c>
      <c r="W297" s="135" t="s">
        <v>3112</v>
      </c>
      <c r="X297" s="135"/>
      <c r="Y297" s="135"/>
      <c r="Z297" s="135" t="s">
        <v>2858</v>
      </c>
      <c r="AA297" s="135"/>
      <c r="AB297" s="135"/>
      <c r="AC297" s="135"/>
      <c r="AD297" s="135">
        <v>46099.0</v>
      </c>
      <c r="AE297" s="135"/>
      <c r="AF297" s="135"/>
      <c r="AG297" s="135"/>
    </row>
    <row r="298" ht="21.75" hidden="1" customHeight="1">
      <c r="A298" s="135">
        <v>294.0</v>
      </c>
      <c r="B298" s="135">
        <v>25045.0</v>
      </c>
      <c r="C298" s="135"/>
      <c r="D298" s="135">
        <v>2.0</v>
      </c>
      <c r="E298" s="135" t="s">
        <v>3109</v>
      </c>
      <c r="F298" s="135" t="s">
        <v>1319</v>
      </c>
      <c r="G298" s="135" t="s">
        <v>18</v>
      </c>
      <c r="H298" s="135" t="s">
        <v>2853</v>
      </c>
      <c r="I298" s="135" t="s">
        <v>31</v>
      </c>
      <c r="J298" s="135">
        <v>1.0</v>
      </c>
      <c r="K298" s="135" t="s">
        <v>2860</v>
      </c>
      <c r="L298" s="135">
        <v>4346.0</v>
      </c>
      <c r="M298" s="135">
        <v>2850.0</v>
      </c>
      <c r="N298" s="135">
        <v>120.0</v>
      </c>
      <c r="O298" s="135">
        <v>1.754</v>
      </c>
      <c r="P298" s="136">
        <v>0.0</v>
      </c>
      <c r="Q298" s="137">
        <v>4.385</v>
      </c>
      <c r="R298" s="136">
        <v>46074.0</v>
      </c>
      <c r="S298" s="135" t="s">
        <v>3009</v>
      </c>
      <c r="T298" s="136"/>
      <c r="U298" s="135" t="s">
        <v>2855</v>
      </c>
      <c r="V298" s="135" t="s">
        <v>2876</v>
      </c>
      <c r="W298" s="135" t="s">
        <v>3112</v>
      </c>
      <c r="X298" s="135"/>
      <c r="Y298" s="135"/>
      <c r="Z298" s="135" t="s">
        <v>2858</v>
      </c>
      <c r="AA298" s="135"/>
      <c r="AB298" s="135"/>
      <c r="AC298" s="135"/>
      <c r="AD298" s="135">
        <v>46105.0</v>
      </c>
      <c r="AE298" s="135"/>
      <c r="AF298" s="135"/>
      <c r="AG298" s="135"/>
    </row>
    <row r="299" ht="21.75" hidden="1" customHeight="1">
      <c r="A299" s="135">
        <v>295.0</v>
      </c>
      <c r="B299" s="135">
        <v>25045.0</v>
      </c>
      <c r="C299" s="135"/>
      <c r="D299" s="135">
        <v>2.0</v>
      </c>
      <c r="E299" s="135" t="s">
        <v>3109</v>
      </c>
      <c r="F299" s="135" t="s">
        <v>1320</v>
      </c>
      <c r="G299" s="135" t="s">
        <v>18</v>
      </c>
      <c r="H299" s="135" t="s">
        <v>2853</v>
      </c>
      <c r="I299" s="135" t="s">
        <v>31</v>
      </c>
      <c r="J299" s="135">
        <v>1.0</v>
      </c>
      <c r="K299" s="135" t="s">
        <v>2860</v>
      </c>
      <c r="L299" s="135">
        <v>4346.0</v>
      </c>
      <c r="M299" s="135">
        <v>2850.0</v>
      </c>
      <c r="N299" s="135">
        <v>120.0</v>
      </c>
      <c r="O299" s="135">
        <v>1.754</v>
      </c>
      <c r="P299" s="136">
        <v>0.0</v>
      </c>
      <c r="Q299" s="137">
        <v>4.385</v>
      </c>
      <c r="R299" s="136">
        <v>46074.0</v>
      </c>
      <c r="S299" s="135" t="s">
        <v>3009</v>
      </c>
      <c r="T299" s="136"/>
      <c r="U299" s="135" t="s">
        <v>2855</v>
      </c>
      <c r="V299" s="135" t="s">
        <v>2876</v>
      </c>
      <c r="W299" s="135" t="s">
        <v>3112</v>
      </c>
      <c r="X299" s="135"/>
      <c r="Y299" s="135"/>
      <c r="Z299" s="135" t="s">
        <v>2858</v>
      </c>
      <c r="AA299" s="135"/>
      <c r="AB299" s="135"/>
      <c r="AC299" s="135"/>
      <c r="AD299" s="135">
        <v>46106.0</v>
      </c>
      <c r="AE299" s="135"/>
      <c r="AF299" s="135"/>
      <c r="AG299" s="135"/>
    </row>
    <row r="300" ht="21.75" hidden="1" customHeight="1">
      <c r="A300" s="135">
        <v>296.0</v>
      </c>
      <c r="B300" s="135">
        <v>25045.0</v>
      </c>
      <c r="C300" s="135"/>
      <c r="D300" s="135">
        <v>2.0</v>
      </c>
      <c r="E300" s="135" t="s">
        <v>3109</v>
      </c>
      <c r="F300" s="135" t="s">
        <v>1321</v>
      </c>
      <c r="G300" s="135" t="s">
        <v>18</v>
      </c>
      <c r="H300" s="135" t="s">
        <v>2853</v>
      </c>
      <c r="I300" s="135" t="s">
        <v>31</v>
      </c>
      <c r="J300" s="135">
        <v>1.0</v>
      </c>
      <c r="K300" s="135"/>
      <c r="L300" s="135">
        <v>4346.0</v>
      </c>
      <c r="M300" s="135">
        <v>2850.0</v>
      </c>
      <c r="N300" s="135">
        <v>120.0</v>
      </c>
      <c r="O300" s="135">
        <v>1.463</v>
      </c>
      <c r="P300" s="136">
        <v>0.0</v>
      </c>
      <c r="Q300" s="137">
        <v>3.6575</v>
      </c>
      <c r="R300" s="136">
        <v>46074.0</v>
      </c>
      <c r="S300" s="135" t="s">
        <v>3009</v>
      </c>
      <c r="T300" s="136"/>
      <c r="U300" s="135" t="s">
        <v>2864</v>
      </c>
      <c r="V300" s="135" t="s">
        <v>2985</v>
      </c>
      <c r="W300" s="135" t="s">
        <v>3113</v>
      </c>
      <c r="X300" s="135" t="s">
        <v>2895</v>
      </c>
      <c r="Y300" s="135"/>
      <c r="Z300" s="135" t="s">
        <v>2858</v>
      </c>
      <c r="AA300" s="135"/>
      <c r="AB300" s="135"/>
      <c r="AC300" s="135"/>
      <c r="AD300" s="135">
        <v>46093.0</v>
      </c>
      <c r="AE300" s="135"/>
      <c r="AF300" s="135"/>
      <c r="AG300" s="135"/>
    </row>
    <row r="301" ht="21.75" hidden="1" customHeight="1">
      <c r="A301" s="135">
        <v>297.0</v>
      </c>
      <c r="B301" s="135">
        <v>25045.0</v>
      </c>
      <c r="C301" s="135"/>
      <c r="D301" s="135">
        <v>2.0</v>
      </c>
      <c r="E301" s="135" t="s">
        <v>3109</v>
      </c>
      <c r="F301" s="135" t="s">
        <v>1322</v>
      </c>
      <c r="G301" s="135" t="s">
        <v>18</v>
      </c>
      <c r="H301" s="135" t="s">
        <v>2853</v>
      </c>
      <c r="I301" s="135" t="s">
        <v>31</v>
      </c>
      <c r="J301" s="135">
        <v>1.0</v>
      </c>
      <c r="K301" s="135"/>
      <c r="L301" s="135">
        <v>1939.0</v>
      </c>
      <c r="M301" s="135">
        <v>2900.0</v>
      </c>
      <c r="N301" s="135">
        <v>120.0</v>
      </c>
      <c r="O301" s="135">
        <v>0.512</v>
      </c>
      <c r="P301" s="136">
        <v>0.0</v>
      </c>
      <c r="Q301" s="137">
        <v>1.28</v>
      </c>
      <c r="R301" s="136">
        <v>46074.0</v>
      </c>
      <c r="S301" s="135" t="s">
        <v>3009</v>
      </c>
      <c r="T301" s="136"/>
      <c r="U301" s="135" t="s">
        <v>2864</v>
      </c>
      <c r="V301" s="135" t="s">
        <v>2856</v>
      </c>
      <c r="W301" s="135" t="s">
        <v>3114</v>
      </c>
      <c r="X301" s="135" t="s">
        <v>3115</v>
      </c>
      <c r="Y301" s="135"/>
      <c r="Z301" s="135" t="s">
        <v>2858</v>
      </c>
      <c r="AA301" s="135"/>
      <c r="AB301" s="135"/>
      <c r="AC301" s="135"/>
      <c r="AD301" s="135">
        <v>46098.0</v>
      </c>
      <c r="AE301" s="135"/>
      <c r="AF301" s="135"/>
      <c r="AG301" s="135"/>
    </row>
    <row r="302" ht="21.75" hidden="1" customHeight="1">
      <c r="A302" s="135">
        <v>298.0</v>
      </c>
      <c r="B302" s="135">
        <v>25045.0</v>
      </c>
      <c r="C302" s="135"/>
      <c r="D302" s="135">
        <v>2.0</v>
      </c>
      <c r="E302" s="135" t="s">
        <v>3109</v>
      </c>
      <c r="F302" s="135" t="s">
        <v>1323</v>
      </c>
      <c r="G302" s="135" t="s">
        <v>18</v>
      </c>
      <c r="H302" s="135" t="s">
        <v>2853</v>
      </c>
      <c r="I302" s="135" t="s">
        <v>31</v>
      </c>
      <c r="J302" s="135">
        <v>1.0</v>
      </c>
      <c r="K302" s="135"/>
      <c r="L302" s="135">
        <v>2953.0</v>
      </c>
      <c r="M302" s="135">
        <v>1000.0</v>
      </c>
      <c r="N302" s="135">
        <v>120.0</v>
      </c>
      <c r="O302" s="135">
        <v>0.43</v>
      </c>
      <c r="P302" s="136">
        <v>0.0</v>
      </c>
      <c r="Q302" s="137">
        <v>1.075</v>
      </c>
      <c r="R302" s="136">
        <v>46074.0</v>
      </c>
      <c r="S302" s="135" t="s">
        <v>3009</v>
      </c>
      <c r="T302" s="136"/>
      <c r="U302" s="135" t="s">
        <v>2864</v>
      </c>
      <c r="V302" s="135" t="s">
        <v>2856</v>
      </c>
      <c r="W302" s="135" t="s">
        <v>3116</v>
      </c>
      <c r="X302" s="135"/>
      <c r="Y302" s="135"/>
      <c r="Z302" s="135" t="s">
        <v>2858</v>
      </c>
      <c r="AA302" s="135"/>
      <c r="AB302" s="135"/>
      <c r="AC302" s="135"/>
      <c r="AD302" s="135">
        <v>46088.0</v>
      </c>
      <c r="AE302" s="135"/>
      <c r="AF302" s="135"/>
      <c r="AG302" s="135"/>
    </row>
    <row r="303" ht="21.75" hidden="1" customHeight="1">
      <c r="A303" s="135">
        <v>299.0</v>
      </c>
      <c r="B303" s="135">
        <v>25045.0</v>
      </c>
      <c r="C303" s="135"/>
      <c r="D303" s="135">
        <v>2.0</v>
      </c>
      <c r="E303" s="135" t="s">
        <v>3109</v>
      </c>
      <c r="F303" s="135" t="s">
        <v>1324</v>
      </c>
      <c r="G303" s="135" t="s">
        <v>18</v>
      </c>
      <c r="H303" s="135" t="s">
        <v>2853</v>
      </c>
      <c r="I303" s="135" t="s">
        <v>31</v>
      </c>
      <c r="J303" s="135">
        <v>1.0</v>
      </c>
      <c r="K303" s="135"/>
      <c r="L303" s="135">
        <v>2144.0</v>
      </c>
      <c r="M303" s="135">
        <v>1000.0</v>
      </c>
      <c r="N303" s="135">
        <v>120.0</v>
      </c>
      <c r="O303" s="135">
        <v>0.373</v>
      </c>
      <c r="P303" s="136">
        <v>0.0</v>
      </c>
      <c r="Q303" s="137">
        <v>0.9325</v>
      </c>
      <c r="R303" s="136">
        <v>46074.0</v>
      </c>
      <c r="S303" s="135" t="s">
        <v>3009</v>
      </c>
      <c r="T303" s="136"/>
      <c r="U303" s="135" t="s">
        <v>2864</v>
      </c>
      <c r="V303" s="135" t="s">
        <v>2856</v>
      </c>
      <c r="W303" s="135" t="s">
        <v>3117</v>
      </c>
      <c r="X303" s="135"/>
      <c r="Y303" s="135"/>
      <c r="Z303" s="135" t="s">
        <v>2858</v>
      </c>
      <c r="AA303" s="135"/>
      <c r="AB303" s="135"/>
      <c r="AC303" s="135"/>
      <c r="AD303" s="135">
        <v>46097.0</v>
      </c>
      <c r="AE303" s="135"/>
      <c r="AF303" s="135"/>
      <c r="AG303" s="135"/>
    </row>
    <row r="304" ht="21.75" hidden="1" customHeight="1">
      <c r="A304" s="135">
        <v>300.0</v>
      </c>
      <c r="B304" s="135">
        <v>25045.0</v>
      </c>
      <c r="C304" s="135"/>
      <c r="D304" s="135">
        <v>2.0</v>
      </c>
      <c r="E304" s="135" t="s">
        <v>3109</v>
      </c>
      <c r="F304" s="135" t="s">
        <v>1325</v>
      </c>
      <c r="G304" s="135" t="s">
        <v>18</v>
      </c>
      <c r="H304" s="135" t="s">
        <v>2965</v>
      </c>
      <c r="I304" s="135" t="s">
        <v>31</v>
      </c>
      <c r="J304" s="135">
        <v>1.0</v>
      </c>
      <c r="K304" s="135"/>
      <c r="L304" s="135">
        <v>400.0</v>
      </c>
      <c r="M304" s="135">
        <v>2600.0</v>
      </c>
      <c r="N304" s="135">
        <v>350.0</v>
      </c>
      <c r="O304" s="135">
        <v>0.428</v>
      </c>
      <c r="P304" s="136">
        <v>1.0</v>
      </c>
      <c r="Q304" s="137">
        <v>1.07</v>
      </c>
      <c r="R304" s="136">
        <v>46074.0</v>
      </c>
      <c r="S304" s="135" t="s">
        <v>3009</v>
      </c>
      <c r="T304" s="136">
        <v>46078.0</v>
      </c>
      <c r="U304" s="135" t="s">
        <v>2966</v>
      </c>
      <c r="V304" s="135" t="s">
        <v>2967</v>
      </c>
      <c r="W304" s="135"/>
      <c r="X304" s="135"/>
      <c r="Y304" s="135"/>
      <c r="Z304" s="135" t="s">
        <v>2858</v>
      </c>
      <c r="AA304" s="135" t="s">
        <v>3013</v>
      </c>
      <c r="AB304" s="135"/>
      <c r="AC304" s="135"/>
      <c r="AD304" s="135">
        <v>46116.0</v>
      </c>
      <c r="AE304" s="135"/>
      <c r="AF304" s="135"/>
      <c r="AG304" s="135"/>
    </row>
    <row r="305" ht="21.75" hidden="1" customHeight="1">
      <c r="A305" s="135">
        <v>301.0</v>
      </c>
      <c r="B305" s="135">
        <v>25045.0</v>
      </c>
      <c r="C305" s="135" t="s">
        <v>2817</v>
      </c>
      <c r="D305" s="135">
        <v>2.0</v>
      </c>
      <c r="E305" s="135" t="s">
        <v>3118</v>
      </c>
      <c r="F305" s="135" t="s">
        <v>1334</v>
      </c>
      <c r="G305" s="135" t="s">
        <v>18</v>
      </c>
      <c r="H305" s="135" t="s">
        <v>2853</v>
      </c>
      <c r="I305" s="135" t="s">
        <v>33</v>
      </c>
      <c r="J305" s="135">
        <v>1.0</v>
      </c>
      <c r="K305" s="135"/>
      <c r="L305" s="135">
        <v>3400.0</v>
      </c>
      <c r="M305" s="135">
        <v>1465.0</v>
      </c>
      <c r="N305" s="135">
        <v>120.0</v>
      </c>
      <c r="O305" s="135">
        <v>0.547</v>
      </c>
      <c r="P305" s="136">
        <v>0.0</v>
      </c>
      <c r="Q305" s="137">
        <v>1.3675000000000002</v>
      </c>
      <c r="R305" s="136">
        <v>46074.0</v>
      </c>
      <c r="S305" s="135" t="s">
        <v>3009</v>
      </c>
      <c r="T305" s="136"/>
      <c r="U305" s="135" t="s">
        <v>2864</v>
      </c>
      <c r="V305" s="135" t="s">
        <v>2856</v>
      </c>
      <c r="W305" s="135" t="s">
        <v>3119</v>
      </c>
      <c r="X305" s="135"/>
      <c r="Y305" s="135"/>
      <c r="Z305" s="135" t="s">
        <v>2858</v>
      </c>
      <c r="AA305" s="135"/>
      <c r="AB305" s="135"/>
      <c r="AC305" s="135"/>
      <c r="AD305" s="135">
        <v>46097.0</v>
      </c>
      <c r="AE305" s="135"/>
      <c r="AF305" s="135"/>
      <c r="AG305" s="135"/>
    </row>
    <row r="306" ht="21.75" hidden="1" customHeight="1">
      <c r="A306" s="135">
        <v>302.0</v>
      </c>
      <c r="B306" s="135">
        <v>25045.0</v>
      </c>
      <c r="C306" s="135" t="s">
        <v>2817</v>
      </c>
      <c r="D306" s="135">
        <v>2.0</v>
      </c>
      <c r="E306" s="135" t="s">
        <v>3118</v>
      </c>
      <c r="F306" s="135" t="s">
        <v>1335</v>
      </c>
      <c r="G306" s="135" t="s">
        <v>18</v>
      </c>
      <c r="H306" s="135" t="s">
        <v>2853</v>
      </c>
      <c r="I306" s="135" t="s">
        <v>33</v>
      </c>
      <c r="J306" s="135">
        <v>1.0</v>
      </c>
      <c r="K306" s="135"/>
      <c r="L306" s="135">
        <v>3400.0</v>
      </c>
      <c r="M306" s="135">
        <v>1535.0</v>
      </c>
      <c r="N306" s="135">
        <v>120.0</v>
      </c>
      <c r="O306" s="135">
        <v>0.566</v>
      </c>
      <c r="P306" s="136">
        <v>0.0</v>
      </c>
      <c r="Q306" s="137">
        <v>1.4149999999999998</v>
      </c>
      <c r="R306" s="136">
        <v>46074.0</v>
      </c>
      <c r="S306" s="135" t="s">
        <v>3009</v>
      </c>
      <c r="T306" s="136"/>
      <c r="U306" s="135" t="s">
        <v>2864</v>
      </c>
      <c r="V306" s="135" t="s">
        <v>2856</v>
      </c>
      <c r="W306" s="135" t="s">
        <v>3120</v>
      </c>
      <c r="X306" s="135"/>
      <c r="Y306" s="135"/>
      <c r="Z306" s="135" t="s">
        <v>2858</v>
      </c>
      <c r="AA306" s="135"/>
      <c r="AB306" s="135"/>
      <c r="AC306" s="135"/>
      <c r="AD306" s="135">
        <v>46086.0</v>
      </c>
      <c r="AE306" s="135"/>
      <c r="AF306" s="135"/>
      <c r="AG306" s="135"/>
    </row>
    <row r="307" ht="21.75" hidden="1" customHeight="1">
      <c r="A307" s="135">
        <v>303.0</v>
      </c>
      <c r="B307" s="135">
        <v>25045.0</v>
      </c>
      <c r="C307" s="135" t="s">
        <v>2817</v>
      </c>
      <c r="D307" s="135">
        <v>2.0</v>
      </c>
      <c r="E307" s="135" t="s">
        <v>3118</v>
      </c>
      <c r="F307" s="135" t="s">
        <v>1336</v>
      </c>
      <c r="G307" s="135" t="s">
        <v>18</v>
      </c>
      <c r="H307" s="135" t="s">
        <v>2853</v>
      </c>
      <c r="I307" s="135" t="s">
        <v>33</v>
      </c>
      <c r="J307" s="135">
        <v>1.0</v>
      </c>
      <c r="K307" s="135"/>
      <c r="L307" s="135">
        <v>4880.0</v>
      </c>
      <c r="M307" s="135">
        <v>1635.0</v>
      </c>
      <c r="N307" s="135">
        <v>120.0</v>
      </c>
      <c r="O307" s="135">
        <v>1.02</v>
      </c>
      <c r="P307" s="136">
        <v>0.0</v>
      </c>
      <c r="Q307" s="137">
        <v>2.55</v>
      </c>
      <c r="R307" s="136">
        <v>46074.0</v>
      </c>
      <c r="S307" s="135" t="s">
        <v>3009</v>
      </c>
      <c r="T307" s="136"/>
      <c r="U307" s="135" t="s">
        <v>2855</v>
      </c>
      <c r="V307" s="135" t="s">
        <v>2856</v>
      </c>
      <c r="W307" s="135" t="s">
        <v>3121</v>
      </c>
      <c r="X307" s="135"/>
      <c r="Y307" s="135"/>
      <c r="Z307" s="135" t="s">
        <v>2858</v>
      </c>
      <c r="AA307" s="135"/>
      <c r="AB307" s="135"/>
      <c r="AC307" s="135"/>
      <c r="AD307" s="135">
        <v>46088.0</v>
      </c>
      <c r="AE307" s="135"/>
      <c r="AF307" s="135"/>
      <c r="AG307" s="135"/>
    </row>
    <row r="308" ht="21.75" hidden="1" customHeight="1">
      <c r="A308" s="135">
        <v>304.0</v>
      </c>
      <c r="B308" s="135">
        <v>25045.0</v>
      </c>
      <c r="C308" s="135" t="s">
        <v>2817</v>
      </c>
      <c r="D308" s="135">
        <v>2.0</v>
      </c>
      <c r="E308" s="135" t="s">
        <v>3118</v>
      </c>
      <c r="F308" s="135" t="s">
        <v>1337</v>
      </c>
      <c r="G308" s="135" t="s">
        <v>18</v>
      </c>
      <c r="H308" s="135" t="s">
        <v>2853</v>
      </c>
      <c r="I308" s="135" t="s">
        <v>33</v>
      </c>
      <c r="J308" s="135">
        <v>1.0</v>
      </c>
      <c r="K308" s="135"/>
      <c r="L308" s="135">
        <v>4880.0</v>
      </c>
      <c r="M308" s="135">
        <v>1730.0</v>
      </c>
      <c r="N308" s="135">
        <v>120.0</v>
      </c>
      <c r="O308" s="135">
        <v>1.076</v>
      </c>
      <c r="P308" s="136">
        <v>0.0</v>
      </c>
      <c r="Q308" s="137">
        <v>2.6900000000000004</v>
      </c>
      <c r="R308" s="136">
        <v>46074.0</v>
      </c>
      <c r="S308" s="135" t="s">
        <v>3009</v>
      </c>
      <c r="T308" s="136"/>
      <c r="U308" s="135" t="s">
        <v>2855</v>
      </c>
      <c r="V308" s="135" t="s">
        <v>2856</v>
      </c>
      <c r="W308" s="135" t="s">
        <v>3121</v>
      </c>
      <c r="X308" s="135"/>
      <c r="Y308" s="135"/>
      <c r="Z308" s="135" t="s">
        <v>2858</v>
      </c>
      <c r="AA308" s="135"/>
      <c r="AB308" s="135"/>
      <c r="AC308" s="135"/>
      <c r="AD308" s="135">
        <v>46086.0</v>
      </c>
      <c r="AE308" s="135"/>
      <c r="AF308" s="135"/>
      <c r="AG308" s="135"/>
    </row>
    <row r="309" ht="21.75" hidden="1" customHeight="1">
      <c r="A309" s="135">
        <v>305.0</v>
      </c>
      <c r="B309" s="135">
        <v>25045.0</v>
      </c>
      <c r="C309" s="135" t="s">
        <v>2817</v>
      </c>
      <c r="D309" s="135">
        <v>2.0</v>
      </c>
      <c r="E309" s="135" t="s">
        <v>3118</v>
      </c>
      <c r="F309" s="135" t="s">
        <v>1338</v>
      </c>
      <c r="G309" s="135" t="s">
        <v>18</v>
      </c>
      <c r="H309" s="135" t="s">
        <v>2853</v>
      </c>
      <c r="I309" s="135" t="s">
        <v>33</v>
      </c>
      <c r="J309" s="135">
        <v>1.0</v>
      </c>
      <c r="K309" s="135"/>
      <c r="L309" s="135">
        <v>4880.0</v>
      </c>
      <c r="M309" s="135">
        <v>1850.0</v>
      </c>
      <c r="N309" s="135">
        <v>120.0</v>
      </c>
      <c r="O309" s="135">
        <v>1.146</v>
      </c>
      <c r="P309" s="136">
        <v>0.0</v>
      </c>
      <c r="Q309" s="137">
        <v>2.8649999999999998</v>
      </c>
      <c r="R309" s="136">
        <v>46074.0</v>
      </c>
      <c r="S309" s="135" t="s">
        <v>3009</v>
      </c>
      <c r="T309" s="136"/>
      <c r="U309" s="135" t="s">
        <v>2855</v>
      </c>
      <c r="V309" s="135" t="s">
        <v>2856</v>
      </c>
      <c r="W309" s="135" t="s">
        <v>3121</v>
      </c>
      <c r="X309" s="135"/>
      <c r="Y309" s="135"/>
      <c r="Z309" s="135" t="s">
        <v>2858</v>
      </c>
      <c r="AA309" s="135"/>
      <c r="AB309" s="135"/>
      <c r="AC309" s="135"/>
      <c r="AD309" s="135">
        <v>46080.0</v>
      </c>
      <c r="AE309" s="135"/>
      <c r="AF309" s="135"/>
      <c r="AG309" s="135"/>
    </row>
    <row r="310" ht="21.75" hidden="1" customHeight="1">
      <c r="A310" s="135">
        <v>306.0</v>
      </c>
      <c r="B310" s="135">
        <v>25045.0</v>
      </c>
      <c r="C310" s="135" t="s">
        <v>2817</v>
      </c>
      <c r="D310" s="135">
        <v>2.0</v>
      </c>
      <c r="E310" s="135" t="s">
        <v>3118</v>
      </c>
      <c r="F310" s="135" t="s">
        <v>1339</v>
      </c>
      <c r="G310" s="135" t="s">
        <v>18</v>
      </c>
      <c r="H310" s="135" t="s">
        <v>2853</v>
      </c>
      <c r="I310" s="135" t="s">
        <v>33</v>
      </c>
      <c r="J310" s="135">
        <v>1.0</v>
      </c>
      <c r="K310" s="135"/>
      <c r="L310" s="135">
        <v>3505.0</v>
      </c>
      <c r="M310" s="135">
        <v>2920.0</v>
      </c>
      <c r="N310" s="135">
        <v>120.0</v>
      </c>
      <c r="O310" s="135">
        <v>0.991</v>
      </c>
      <c r="P310" s="136">
        <v>0.0</v>
      </c>
      <c r="Q310" s="137">
        <v>2.4775</v>
      </c>
      <c r="R310" s="136">
        <v>46074.0</v>
      </c>
      <c r="S310" s="135" t="s">
        <v>3009</v>
      </c>
      <c r="T310" s="136"/>
      <c r="U310" s="135" t="s">
        <v>2864</v>
      </c>
      <c r="V310" s="135" t="s">
        <v>2878</v>
      </c>
      <c r="W310" s="135" t="s">
        <v>3122</v>
      </c>
      <c r="X310" s="135" t="s">
        <v>3096</v>
      </c>
      <c r="Y310" s="135"/>
      <c r="Z310" s="135" t="s">
        <v>2858</v>
      </c>
      <c r="AA310" s="135"/>
      <c r="AB310" s="135"/>
      <c r="AC310" s="135"/>
      <c r="AD310" s="135">
        <v>46098.0</v>
      </c>
      <c r="AE310" s="135"/>
      <c r="AF310" s="135"/>
      <c r="AG310" s="135"/>
    </row>
    <row r="311" ht="21.75" hidden="1" customHeight="1">
      <c r="A311" s="135">
        <v>307.0</v>
      </c>
      <c r="B311" s="135">
        <v>25045.0</v>
      </c>
      <c r="C311" s="135"/>
      <c r="D311" s="135">
        <v>2.0</v>
      </c>
      <c r="E311" s="135" t="s">
        <v>3118</v>
      </c>
      <c r="F311" s="135" t="s">
        <v>1340</v>
      </c>
      <c r="G311" s="135" t="s">
        <v>18</v>
      </c>
      <c r="H311" s="135" t="s">
        <v>2853</v>
      </c>
      <c r="I311" s="135" t="s">
        <v>33</v>
      </c>
      <c r="J311" s="135">
        <v>1.0</v>
      </c>
      <c r="K311" s="135"/>
      <c r="L311" s="135">
        <v>4458.0</v>
      </c>
      <c r="M311" s="135">
        <v>3065.0</v>
      </c>
      <c r="N311" s="135">
        <v>120.0</v>
      </c>
      <c r="O311" s="135">
        <v>1.736</v>
      </c>
      <c r="P311" s="136">
        <v>0.0</v>
      </c>
      <c r="Q311" s="137">
        <v>4.34</v>
      </c>
      <c r="R311" s="136">
        <v>46074.0</v>
      </c>
      <c r="S311" s="135" t="s">
        <v>3009</v>
      </c>
      <c r="T311" s="136"/>
      <c r="U311" s="135" t="s">
        <v>2864</v>
      </c>
      <c r="V311" s="135" t="s">
        <v>3041</v>
      </c>
      <c r="W311" s="135" t="s">
        <v>3123</v>
      </c>
      <c r="X311" s="135" t="s">
        <v>2867</v>
      </c>
      <c r="Y311" s="135"/>
      <c r="Z311" s="135" t="s">
        <v>2858</v>
      </c>
      <c r="AA311" s="135"/>
      <c r="AB311" s="135"/>
      <c r="AC311" s="135"/>
      <c r="AD311" s="135">
        <v>46092.0</v>
      </c>
      <c r="AE311" s="135"/>
      <c r="AF311" s="135"/>
      <c r="AG311" s="135"/>
    </row>
    <row r="312" ht="21.75" hidden="1" customHeight="1">
      <c r="A312" s="135">
        <v>308.0</v>
      </c>
      <c r="B312" s="135">
        <v>25045.0</v>
      </c>
      <c r="C312" s="135"/>
      <c r="D312" s="135">
        <v>2.0</v>
      </c>
      <c r="E312" s="135" t="s">
        <v>3118</v>
      </c>
      <c r="F312" s="135" t="s">
        <v>1341</v>
      </c>
      <c r="G312" s="135" t="s">
        <v>18</v>
      </c>
      <c r="H312" s="135" t="s">
        <v>2853</v>
      </c>
      <c r="I312" s="135" t="s">
        <v>33</v>
      </c>
      <c r="J312" s="135">
        <v>1.0</v>
      </c>
      <c r="K312" s="135"/>
      <c r="L312" s="135">
        <v>4160.0</v>
      </c>
      <c r="M312" s="135">
        <v>3350.0</v>
      </c>
      <c r="N312" s="135">
        <v>120.0</v>
      </c>
      <c r="O312" s="135">
        <v>1.485</v>
      </c>
      <c r="P312" s="136">
        <v>0.0</v>
      </c>
      <c r="Q312" s="137">
        <v>3.7125000000000004</v>
      </c>
      <c r="R312" s="136">
        <v>46074.0</v>
      </c>
      <c r="S312" s="135" t="s">
        <v>3009</v>
      </c>
      <c r="T312" s="136"/>
      <c r="U312" s="135" t="s">
        <v>2864</v>
      </c>
      <c r="V312" s="135" t="s">
        <v>3041</v>
      </c>
      <c r="W312" s="135" t="s">
        <v>3124</v>
      </c>
      <c r="X312" s="135" t="s">
        <v>2895</v>
      </c>
      <c r="Y312" s="135"/>
      <c r="Z312" s="135" t="s">
        <v>2858</v>
      </c>
      <c r="AA312" s="135"/>
      <c r="AB312" s="135"/>
      <c r="AC312" s="135"/>
      <c r="AD312" s="135">
        <v>46094.0</v>
      </c>
      <c r="AE312" s="135"/>
      <c r="AF312" s="135"/>
      <c r="AG312" s="135"/>
    </row>
    <row r="313" ht="21.75" hidden="1" customHeight="1">
      <c r="A313" s="135">
        <v>309.0</v>
      </c>
      <c r="B313" s="135">
        <v>25045.0</v>
      </c>
      <c r="C313" s="135"/>
      <c r="D313" s="135">
        <v>2.0</v>
      </c>
      <c r="E313" s="135" t="s">
        <v>3118</v>
      </c>
      <c r="F313" s="135" t="s">
        <v>1342</v>
      </c>
      <c r="G313" s="135" t="s">
        <v>18</v>
      </c>
      <c r="H313" s="135" t="s">
        <v>2853</v>
      </c>
      <c r="I313" s="135" t="s">
        <v>33</v>
      </c>
      <c r="J313" s="135">
        <v>1.0</v>
      </c>
      <c r="K313" s="135"/>
      <c r="L313" s="135">
        <v>4090.0</v>
      </c>
      <c r="M313" s="135">
        <v>3173.0</v>
      </c>
      <c r="N313" s="135">
        <v>120.0</v>
      </c>
      <c r="O313" s="135">
        <v>1.7136</v>
      </c>
      <c r="P313" s="136">
        <v>0.0</v>
      </c>
      <c r="Q313" s="137">
        <v>4.284</v>
      </c>
      <c r="R313" s="136">
        <v>46074.0</v>
      </c>
      <c r="S313" s="135" t="s">
        <v>3009</v>
      </c>
      <c r="T313" s="136"/>
      <c r="U313" s="135" t="s">
        <v>2864</v>
      </c>
      <c r="V313" s="135" t="s">
        <v>3041</v>
      </c>
      <c r="W313" s="135" t="s">
        <v>2971</v>
      </c>
      <c r="X313" s="135" t="s">
        <v>2872</v>
      </c>
      <c r="Y313" s="135"/>
      <c r="Z313" s="135" t="s">
        <v>2858</v>
      </c>
      <c r="AA313" s="135"/>
      <c r="AB313" s="135"/>
      <c r="AC313" s="135"/>
      <c r="AD313" s="135">
        <v>46091.0</v>
      </c>
      <c r="AE313" s="135"/>
      <c r="AF313" s="135"/>
      <c r="AG313" s="135"/>
    </row>
    <row r="314" ht="21.75" hidden="1" customHeight="1">
      <c r="A314" s="135">
        <v>310.0</v>
      </c>
      <c r="B314" s="135">
        <v>25045.0</v>
      </c>
      <c r="C314" s="135"/>
      <c r="D314" s="135">
        <v>2.0</v>
      </c>
      <c r="E314" s="135" t="s">
        <v>3118</v>
      </c>
      <c r="F314" s="135" t="s">
        <v>1343</v>
      </c>
      <c r="G314" s="135" t="s">
        <v>18</v>
      </c>
      <c r="H314" s="135" t="s">
        <v>2853</v>
      </c>
      <c r="I314" s="135" t="s">
        <v>33</v>
      </c>
      <c r="J314" s="135">
        <v>1.0</v>
      </c>
      <c r="K314" s="135"/>
      <c r="L314" s="135">
        <v>5590.0</v>
      </c>
      <c r="M314" s="135">
        <v>3350.0</v>
      </c>
      <c r="N314" s="135">
        <v>120.0</v>
      </c>
      <c r="O314" s="135">
        <v>2.389</v>
      </c>
      <c r="P314" s="136">
        <v>0.0</v>
      </c>
      <c r="Q314" s="137">
        <v>5.972499999999999</v>
      </c>
      <c r="R314" s="136">
        <v>46074.0</v>
      </c>
      <c r="S314" s="135" t="s">
        <v>3009</v>
      </c>
      <c r="T314" s="136"/>
      <c r="U314" s="135" t="s">
        <v>2855</v>
      </c>
      <c r="V314" s="135" t="s">
        <v>2868</v>
      </c>
      <c r="W314" s="135" t="s">
        <v>3125</v>
      </c>
      <c r="X314" s="135" t="s">
        <v>2872</v>
      </c>
      <c r="Y314" s="135"/>
      <c r="Z314" s="135" t="s">
        <v>2858</v>
      </c>
      <c r="AA314" s="135"/>
      <c r="AB314" s="135"/>
      <c r="AC314" s="135"/>
      <c r="AD314" s="135">
        <v>46095.0</v>
      </c>
      <c r="AE314" s="135"/>
      <c r="AF314" s="135"/>
      <c r="AG314" s="135"/>
    </row>
    <row r="315" ht="21.75" hidden="1" customHeight="1">
      <c r="A315" s="135">
        <v>311.0</v>
      </c>
      <c r="B315" s="135">
        <v>25045.0</v>
      </c>
      <c r="C315" s="135"/>
      <c r="D315" s="135">
        <v>2.0</v>
      </c>
      <c r="E315" s="135" t="s">
        <v>3118</v>
      </c>
      <c r="F315" s="135" t="s">
        <v>1344</v>
      </c>
      <c r="G315" s="135" t="s">
        <v>18</v>
      </c>
      <c r="H315" s="135" t="s">
        <v>2853</v>
      </c>
      <c r="I315" s="135" t="s">
        <v>33</v>
      </c>
      <c r="J315" s="135">
        <v>1.0</v>
      </c>
      <c r="K315" s="135"/>
      <c r="L315" s="135">
        <v>5140.0</v>
      </c>
      <c r="M315" s="135">
        <v>3173.0</v>
      </c>
      <c r="N315" s="135">
        <v>120.0</v>
      </c>
      <c r="O315" s="135">
        <v>2.139</v>
      </c>
      <c r="P315" s="136">
        <v>0.0</v>
      </c>
      <c r="Q315" s="137">
        <v>5.347499999999999</v>
      </c>
      <c r="R315" s="136">
        <v>46074.0</v>
      </c>
      <c r="S315" s="135" t="s">
        <v>3009</v>
      </c>
      <c r="T315" s="136"/>
      <c r="U315" s="135" t="s">
        <v>2855</v>
      </c>
      <c r="V315" s="135" t="s">
        <v>2876</v>
      </c>
      <c r="W315" s="135" t="s">
        <v>3126</v>
      </c>
      <c r="X315" s="135" t="s">
        <v>2870</v>
      </c>
      <c r="Y315" s="135"/>
      <c r="Z315" s="135" t="s">
        <v>2858</v>
      </c>
      <c r="AA315" s="135"/>
      <c r="AB315" s="135"/>
      <c r="AC315" s="135"/>
      <c r="AD315" s="135">
        <v>46097.0</v>
      </c>
      <c r="AE315" s="135"/>
      <c r="AF315" s="135"/>
      <c r="AG315" s="135"/>
    </row>
    <row r="316" ht="21.75" hidden="1" customHeight="1">
      <c r="A316" s="135">
        <v>312.0</v>
      </c>
      <c r="B316" s="135">
        <v>25045.0</v>
      </c>
      <c r="C316" s="135"/>
      <c r="D316" s="135">
        <v>2.0</v>
      </c>
      <c r="E316" s="135" t="s">
        <v>3118</v>
      </c>
      <c r="F316" s="135" t="s">
        <v>1345</v>
      </c>
      <c r="G316" s="135" t="s">
        <v>18</v>
      </c>
      <c r="H316" s="135" t="s">
        <v>2853</v>
      </c>
      <c r="I316" s="135" t="s">
        <v>33</v>
      </c>
      <c r="J316" s="135">
        <v>1.0</v>
      </c>
      <c r="K316" s="135"/>
      <c r="L316" s="135">
        <v>5015.0</v>
      </c>
      <c r="M316" s="135">
        <v>2870.0</v>
      </c>
      <c r="N316" s="135">
        <v>120.0</v>
      </c>
      <c r="O316" s="135">
        <v>1.928</v>
      </c>
      <c r="P316" s="136">
        <v>0.0</v>
      </c>
      <c r="Q316" s="137">
        <v>4.82</v>
      </c>
      <c r="R316" s="136">
        <v>46074.0</v>
      </c>
      <c r="S316" s="135" t="s">
        <v>3009</v>
      </c>
      <c r="T316" s="136"/>
      <c r="U316" s="135" t="s">
        <v>2855</v>
      </c>
      <c r="V316" s="135" t="s">
        <v>2876</v>
      </c>
      <c r="W316" s="135" t="s">
        <v>3058</v>
      </c>
      <c r="X316" s="135"/>
      <c r="Y316" s="135"/>
      <c r="Z316" s="135" t="s">
        <v>2858</v>
      </c>
      <c r="AA316" s="135"/>
      <c r="AB316" s="135"/>
      <c r="AC316" s="135"/>
      <c r="AD316" s="135">
        <v>46086.0</v>
      </c>
      <c r="AE316" s="135"/>
      <c r="AF316" s="135"/>
      <c r="AG316" s="135"/>
    </row>
    <row r="317" ht="21.75" hidden="1" customHeight="1">
      <c r="A317" s="135">
        <v>313.0</v>
      </c>
      <c r="B317" s="135">
        <v>25045.0</v>
      </c>
      <c r="C317" s="135"/>
      <c r="D317" s="135">
        <v>2.0</v>
      </c>
      <c r="E317" s="135" t="s">
        <v>3118</v>
      </c>
      <c r="F317" s="135" t="s">
        <v>1346</v>
      </c>
      <c r="G317" s="135" t="s">
        <v>18</v>
      </c>
      <c r="H317" s="135" t="s">
        <v>2853</v>
      </c>
      <c r="I317" s="135" t="s">
        <v>33</v>
      </c>
      <c r="J317" s="135">
        <v>1.0</v>
      </c>
      <c r="K317" s="135" t="s">
        <v>2860</v>
      </c>
      <c r="L317" s="135">
        <v>4494.0</v>
      </c>
      <c r="M317" s="135">
        <v>2870.0</v>
      </c>
      <c r="N317" s="135">
        <v>120.0</v>
      </c>
      <c r="O317" s="135">
        <v>1.798</v>
      </c>
      <c r="P317" s="136">
        <v>0.0</v>
      </c>
      <c r="Q317" s="137">
        <v>4.495</v>
      </c>
      <c r="R317" s="136">
        <v>46074.0</v>
      </c>
      <c r="S317" s="135" t="s">
        <v>3009</v>
      </c>
      <c r="T317" s="136"/>
      <c r="U317" s="135" t="s">
        <v>2855</v>
      </c>
      <c r="V317" s="135" t="s">
        <v>2876</v>
      </c>
      <c r="W317" s="135" t="s">
        <v>3127</v>
      </c>
      <c r="X317" s="135"/>
      <c r="Y317" s="135"/>
      <c r="Z317" s="135" t="s">
        <v>2858</v>
      </c>
      <c r="AA317" s="135"/>
      <c r="AB317" s="135"/>
      <c r="AC317" s="135"/>
      <c r="AD317" s="135">
        <v>46087.0</v>
      </c>
      <c r="AE317" s="135"/>
      <c r="AF317" s="135"/>
      <c r="AG317" s="135"/>
    </row>
    <row r="318" ht="21.75" hidden="1" customHeight="1">
      <c r="A318" s="135">
        <v>314.0</v>
      </c>
      <c r="B318" s="135">
        <v>25045.0</v>
      </c>
      <c r="C318" s="135"/>
      <c r="D318" s="135">
        <v>2.0</v>
      </c>
      <c r="E318" s="135" t="s">
        <v>3118</v>
      </c>
      <c r="F318" s="135" t="s">
        <v>1347</v>
      </c>
      <c r="G318" s="135" t="s">
        <v>18</v>
      </c>
      <c r="H318" s="135" t="s">
        <v>2853</v>
      </c>
      <c r="I318" s="135" t="s">
        <v>33</v>
      </c>
      <c r="J318" s="135">
        <v>1.0</v>
      </c>
      <c r="K318" s="135" t="s">
        <v>2860</v>
      </c>
      <c r="L318" s="135">
        <v>4494.0</v>
      </c>
      <c r="M318" s="135">
        <v>2870.0</v>
      </c>
      <c r="N318" s="135">
        <v>120.0</v>
      </c>
      <c r="O318" s="135">
        <v>1.798</v>
      </c>
      <c r="P318" s="136">
        <v>0.0</v>
      </c>
      <c r="Q318" s="137">
        <v>4.495</v>
      </c>
      <c r="R318" s="136">
        <v>46074.0</v>
      </c>
      <c r="S318" s="135" t="s">
        <v>3009</v>
      </c>
      <c r="T318" s="136"/>
      <c r="U318" s="135" t="s">
        <v>2855</v>
      </c>
      <c r="V318" s="135" t="s">
        <v>2876</v>
      </c>
      <c r="W318" s="135" t="s">
        <v>3127</v>
      </c>
      <c r="X318" s="135"/>
      <c r="Y318" s="135"/>
      <c r="Z318" s="135" t="s">
        <v>2858</v>
      </c>
      <c r="AA318" s="135"/>
      <c r="AB318" s="135"/>
      <c r="AC318" s="135"/>
      <c r="AD318" s="135">
        <v>46090.0</v>
      </c>
      <c r="AE318" s="135"/>
      <c r="AF318" s="135"/>
      <c r="AG318" s="135"/>
    </row>
    <row r="319" ht="21.75" hidden="1" customHeight="1">
      <c r="A319" s="135">
        <v>315.0</v>
      </c>
      <c r="B319" s="135">
        <v>25045.0</v>
      </c>
      <c r="C319" s="135"/>
      <c r="D319" s="135">
        <v>2.0</v>
      </c>
      <c r="E319" s="135" t="s">
        <v>3118</v>
      </c>
      <c r="F319" s="135" t="s">
        <v>1348</v>
      </c>
      <c r="G319" s="135" t="s">
        <v>18</v>
      </c>
      <c r="H319" s="135" t="s">
        <v>2853</v>
      </c>
      <c r="I319" s="135" t="s">
        <v>33</v>
      </c>
      <c r="J319" s="135">
        <v>1.0</v>
      </c>
      <c r="K319" s="135" t="s">
        <v>2860</v>
      </c>
      <c r="L319" s="135">
        <v>4494.0</v>
      </c>
      <c r="M319" s="135">
        <v>2870.0</v>
      </c>
      <c r="N319" s="135">
        <v>120.0</v>
      </c>
      <c r="O319" s="135">
        <v>1.798</v>
      </c>
      <c r="P319" s="136">
        <v>0.0</v>
      </c>
      <c r="Q319" s="137">
        <v>4.495</v>
      </c>
      <c r="R319" s="136">
        <v>46074.0</v>
      </c>
      <c r="S319" s="135" t="s">
        <v>3009</v>
      </c>
      <c r="T319" s="136"/>
      <c r="U319" s="135" t="s">
        <v>2855</v>
      </c>
      <c r="V319" s="135" t="s">
        <v>2876</v>
      </c>
      <c r="W319" s="135" t="s">
        <v>3127</v>
      </c>
      <c r="X319" s="135"/>
      <c r="Y319" s="135"/>
      <c r="Z319" s="135" t="s">
        <v>2858</v>
      </c>
      <c r="AA319" s="135"/>
      <c r="AB319" s="135"/>
      <c r="AC319" s="135"/>
      <c r="AD319" s="135">
        <v>46093.0</v>
      </c>
      <c r="AE319" s="135"/>
      <c r="AF319" s="135"/>
      <c r="AG319" s="135"/>
    </row>
    <row r="320" ht="21.75" hidden="1" customHeight="1">
      <c r="A320" s="135">
        <v>316.0</v>
      </c>
      <c r="B320" s="135">
        <v>25045.0</v>
      </c>
      <c r="C320" s="135"/>
      <c r="D320" s="135">
        <v>2.0</v>
      </c>
      <c r="E320" s="135" t="s">
        <v>3118</v>
      </c>
      <c r="F320" s="135" t="s">
        <v>1349</v>
      </c>
      <c r="G320" s="135" t="s">
        <v>18</v>
      </c>
      <c r="H320" s="135" t="s">
        <v>2853</v>
      </c>
      <c r="I320" s="135" t="s">
        <v>33</v>
      </c>
      <c r="J320" s="135">
        <v>1.0</v>
      </c>
      <c r="K320" s="135"/>
      <c r="L320" s="135">
        <v>4494.0</v>
      </c>
      <c r="M320" s="135">
        <v>2870.0</v>
      </c>
      <c r="N320" s="135">
        <v>120.0</v>
      </c>
      <c r="O320" s="135">
        <v>1.509</v>
      </c>
      <c r="P320" s="136">
        <v>0.0</v>
      </c>
      <c r="Q320" s="137">
        <v>3.7725</v>
      </c>
      <c r="R320" s="136">
        <v>46074.0</v>
      </c>
      <c r="S320" s="135" t="s">
        <v>3009</v>
      </c>
      <c r="T320" s="136"/>
      <c r="U320" s="135" t="s">
        <v>2864</v>
      </c>
      <c r="V320" s="135" t="s">
        <v>2985</v>
      </c>
      <c r="W320" s="135" t="s">
        <v>3128</v>
      </c>
      <c r="X320" s="135" t="s">
        <v>2895</v>
      </c>
      <c r="Y320" s="135"/>
      <c r="Z320" s="135" t="s">
        <v>2858</v>
      </c>
      <c r="AA320" s="135"/>
      <c r="AB320" s="135"/>
      <c r="AC320" s="135"/>
      <c r="AD320" s="135">
        <v>46091.0</v>
      </c>
      <c r="AE320" s="135"/>
      <c r="AF320" s="135"/>
      <c r="AG320" s="135"/>
    </row>
    <row r="321" ht="21.75" hidden="1" customHeight="1">
      <c r="A321" s="135">
        <v>317.0</v>
      </c>
      <c r="B321" s="135">
        <v>25045.0</v>
      </c>
      <c r="C321" s="135"/>
      <c r="D321" s="135">
        <v>2.0</v>
      </c>
      <c r="E321" s="135" t="s">
        <v>3118</v>
      </c>
      <c r="F321" s="135" t="s">
        <v>1350</v>
      </c>
      <c r="G321" s="135" t="s">
        <v>18</v>
      </c>
      <c r="H321" s="135" t="s">
        <v>2853</v>
      </c>
      <c r="I321" s="135" t="s">
        <v>33</v>
      </c>
      <c r="J321" s="135">
        <v>1.0</v>
      </c>
      <c r="K321" s="135"/>
      <c r="L321" s="135">
        <v>3445.0</v>
      </c>
      <c r="M321" s="135">
        <v>1200.0</v>
      </c>
      <c r="N321" s="135">
        <v>120.0</v>
      </c>
      <c r="O321" s="135">
        <v>0.657</v>
      </c>
      <c r="P321" s="136">
        <v>0.0</v>
      </c>
      <c r="Q321" s="137">
        <v>1.6425</v>
      </c>
      <c r="R321" s="136">
        <v>46074.0</v>
      </c>
      <c r="S321" s="135" t="s">
        <v>3009</v>
      </c>
      <c r="T321" s="136"/>
      <c r="U321" s="135" t="s">
        <v>2864</v>
      </c>
      <c r="V321" s="135" t="s">
        <v>3007</v>
      </c>
      <c r="W321" s="135" t="s">
        <v>3129</v>
      </c>
      <c r="X321" s="135"/>
      <c r="Y321" s="135"/>
      <c r="Z321" s="135" t="s">
        <v>2858</v>
      </c>
      <c r="AA321" s="135"/>
      <c r="AB321" s="135"/>
      <c r="AC321" s="135"/>
      <c r="AD321" s="135">
        <v>46118.0</v>
      </c>
      <c r="AE321" s="135"/>
      <c r="AF321" s="135"/>
      <c r="AG321" s="135"/>
    </row>
    <row r="322" ht="21.75" hidden="1" customHeight="1">
      <c r="A322" s="135">
        <v>318.0</v>
      </c>
      <c r="B322" s="135">
        <v>25045.0</v>
      </c>
      <c r="C322" s="135"/>
      <c r="D322" s="135">
        <v>2.0</v>
      </c>
      <c r="E322" s="135" t="s">
        <v>3118</v>
      </c>
      <c r="F322" s="135" t="s">
        <v>1351</v>
      </c>
      <c r="G322" s="135" t="s">
        <v>18</v>
      </c>
      <c r="H322" s="135" t="s">
        <v>2853</v>
      </c>
      <c r="I322" s="135" t="s">
        <v>33</v>
      </c>
      <c r="J322" s="135">
        <v>1.0</v>
      </c>
      <c r="K322" s="135"/>
      <c r="L322" s="135">
        <v>3558.0</v>
      </c>
      <c r="M322" s="135">
        <v>1200.0</v>
      </c>
      <c r="N322" s="135">
        <v>120.0</v>
      </c>
      <c r="O322" s="135">
        <v>0.657</v>
      </c>
      <c r="P322" s="136">
        <v>0.0</v>
      </c>
      <c r="Q322" s="137">
        <v>1.6425</v>
      </c>
      <c r="R322" s="136">
        <v>46074.0</v>
      </c>
      <c r="S322" s="135" t="s">
        <v>3009</v>
      </c>
      <c r="T322" s="136"/>
      <c r="U322" s="135" t="s">
        <v>2864</v>
      </c>
      <c r="V322" s="135" t="s">
        <v>3007</v>
      </c>
      <c r="W322" s="135" t="s">
        <v>3130</v>
      </c>
      <c r="X322" s="135"/>
      <c r="Y322" s="135"/>
      <c r="Z322" s="135" t="s">
        <v>2858</v>
      </c>
      <c r="AA322" s="135"/>
      <c r="AB322" s="135"/>
      <c r="AC322" s="135"/>
      <c r="AD322" s="135">
        <v>46120.0</v>
      </c>
      <c r="AE322" s="135"/>
      <c r="AF322" s="135"/>
      <c r="AG322" s="135"/>
    </row>
    <row r="323" ht="21.75" hidden="1" customHeight="1">
      <c r="A323" s="135">
        <v>319.0</v>
      </c>
      <c r="B323" s="135">
        <v>25045.0</v>
      </c>
      <c r="C323" s="135"/>
      <c r="D323" s="135">
        <v>2.0</v>
      </c>
      <c r="E323" s="135" t="s">
        <v>3118</v>
      </c>
      <c r="F323" s="135" t="s">
        <v>1352</v>
      </c>
      <c r="G323" s="135" t="s">
        <v>18</v>
      </c>
      <c r="H323" s="135" t="s">
        <v>2853</v>
      </c>
      <c r="I323" s="135" t="s">
        <v>33</v>
      </c>
      <c r="J323" s="135">
        <v>1.0</v>
      </c>
      <c r="K323" s="135"/>
      <c r="L323" s="135">
        <v>1662.0</v>
      </c>
      <c r="M323" s="135">
        <v>985.0</v>
      </c>
      <c r="N323" s="135">
        <v>120.0</v>
      </c>
      <c r="O323" s="135">
        <v>0.323</v>
      </c>
      <c r="P323" s="136">
        <v>0.0</v>
      </c>
      <c r="Q323" s="137">
        <v>0.8075</v>
      </c>
      <c r="R323" s="136">
        <v>46074.0</v>
      </c>
      <c r="S323" s="135" t="s">
        <v>3009</v>
      </c>
      <c r="T323" s="136"/>
      <c r="U323" s="135" t="s">
        <v>2864</v>
      </c>
      <c r="V323" s="135" t="s">
        <v>2953</v>
      </c>
      <c r="W323" s="135" t="s">
        <v>3131</v>
      </c>
      <c r="X323" s="135"/>
      <c r="Y323" s="135"/>
      <c r="Z323" s="135" t="s">
        <v>2858</v>
      </c>
      <c r="AA323" s="135"/>
      <c r="AB323" s="135"/>
      <c r="AC323" s="135"/>
      <c r="AD323" s="135">
        <v>46115.0</v>
      </c>
      <c r="AE323" s="135"/>
      <c r="AF323" s="135"/>
      <c r="AG323" s="135"/>
    </row>
    <row r="324" ht="21.75" hidden="1" customHeight="1">
      <c r="A324" s="135">
        <v>320.0</v>
      </c>
      <c r="B324" s="135">
        <v>25045.0</v>
      </c>
      <c r="C324" s="135"/>
      <c r="D324" s="135">
        <v>2.0</v>
      </c>
      <c r="E324" s="135" t="s">
        <v>3118</v>
      </c>
      <c r="F324" s="135" t="s">
        <v>1353</v>
      </c>
      <c r="G324" s="135" t="s">
        <v>18</v>
      </c>
      <c r="H324" s="135" t="s">
        <v>2853</v>
      </c>
      <c r="I324" s="135" t="s">
        <v>33</v>
      </c>
      <c r="J324" s="135">
        <v>1.0</v>
      </c>
      <c r="K324" s="135"/>
      <c r="L324" s="135">
        <v>5520.0</v>
      </c>
      <c r="M324" s="135">
        <v>1000.0</v>
      </c>
      <c r="N324" s="135">
        <v>120.0</v>
      </c>
      <c r="O324" s="135">
        <v>0.925</v>
      </c>
      <c r="P324" s="136">
        <v>0.0</v>
      </c>
      <c r="Q324" s="137">
        <v>2.3125</v>
      </c>
      <c r="R324" s="136">
        <v>46074.0</v>
      </c>
      <c r="S324" s="135" t="s">
        <v>3009</v>
      </c>
      <c r="T324" s="136"/>
      <c r="U324" s="135" t="s">
        <v>2972</v>
      </c>
      <c r="V324" s="135" t="s">
        <v>2951</v>
      </c>
      <c r="W324" s="135" t="s">
        <v>3132</v>
      </c>
      <c r="X324" s="135"/>
      <c r="Y324" s="135"/>
      <c r="Z324" s="135" t="s">
        <v>2858</v>
      </c>
      <c r="AA324" s="135"/>
      <c r="AB324" s="135"/>
      <c r="AC324" s="135"/>
      <c r="AD324" s="135">
        <v>46118.0</v>
      </c>
      <c r="AE324" s="135"/>
      <c r="AF324" s="135"/>
      <c r="AG324" s="135"/>
    </row>
    <row r="325" ht="21.75" hidden="1" customHeight="1">
      <c r="A325" s="135">
        <v>321.0</v>
      </c>
      <c r="B325" s="135">
        <v>25045.0</v>
      </c>
      <c r="C325" s="135"/>
      <c r="D325" s="135">
        <v>2.0</v>
      </c>
      <c r="E325" s="135" t="s">
        <v>3118</v>
      </c>
      <c r="F325" s="135" t="s">
        <v>1354</v>
      </c>
      <c r="G325" s="135" t="s">
        <v>18</v>
      </c>
      <c r="H325" s="135" t="s">
        <v>2965</v>
      </c>
      <c r="I325" s="135" t="s">
        <v>33</v>
      </c>
      <c r="J325" s="135">
        <v>1.0</v>
      </c>
      <c r="K325" s="135"/>
      <c r="L325" s="135">
        <v>400.0</v>
      </c>
      <c r="M325" s="135">
        <v>2620.0</v>
      </c>
      <c r="N325" s="135">
        <v>350.0</v>
      </c>
      <c r="O325" s="135">
        <v>0.431</v>
      </c>
      <c r="P325" s="136">
        <v>1.0</v>
      </c>
      <c r="Q325" s="137">
        <v>1.0775</v>
      </c>
      <c r="R325" s="136">
        <v>46074.0</v>
      </c>
      <c r="S325" s="135" t="s">
        <v>3009</v>
      </c>
      <c r="T325" s="136">
        <v>46078.0</v>
      </c>
      <c r="U325" s="135" t="s">
        <v>2966</v>
      </c>
      <c r="V325" s="135" t="s">
        <v>2967</v>
      </c>
      <c r="W325" s="135"/>
      <c r="X325" s="135"/>
      <c r="Y325" s="135"/>
      <c r="Z325" s="135" t="s">
        <v>2858</v>
      </c>
      <c r="AA325" s="135" t="s">
        <v>3013</v>
      </c>
      <c r="AB325" s="135"/>
      <c r="AC325" s="135"/>
      <c r="AD325" s="135">
        <v>46099.0</v>
      </c>
      <c r="AE325" s="135"/>
      <c r="AF325" s="135"/>
      <c r="AG325" s="135"/>
    </row>
    <row r="326" ht="21.75" hidden="1" customHeight="1">
      <c r="A326" s="135">
        <v>322.0</v>
      </c>
      <c r="B326" s="135">
        <v>25045.0</v>
      </c>
      <c r="C326" s="135" t="s">
        <v>2817</v>
      </c>
      <c r="D326" s="135">
        <v>1.0</v>
      </c>
      <c r="E326" s="135" t="s">
        <v>2880</v>
      </c>
      <c r="F326" s="135" t="s">
        <v>1046</v>
      </c>
      <c r="G326" s="135" t="s">
        <v>34</v>
      </c>
      <c r="H326" s="135" t="s">
        <v>2853</v>
      </c>
      <c r="I326" s="135" t="s">
        <v>39</v>
      </c>
      <c r="J326" s="135">
        <v>1.0</v>
      </c>
      <c r="K326" s="135"/>
      <c r="L326" s="135">
        <v>2733.0</v>
      </c>
      <c r="M326" s="135">
        <v>1600.0</v>
      </c>
      <c r="N326" s="135">
        <v>120.0</v>
      </c>
      <c r="O326" s="135">
        <v>0.528</v>
      </c>
      <c r="P326" s="136">
        <v>0.0</v>
      </c>
      <c r="Q326" s="137">
        <v>1.32</v>
      </c>
      <c r="R326" s="136">
        <v>46081.0</v>
      </c>
      <c r="S326" s="135" t="s">
        <v>2882</v>
      </c>
      <c r="T326" s="136"/>
      <c r="U326" s="135" t="s">
        <v>2864</v>
      </c>
      <c r="V326" s="135" t="s">
        <v>2856</v>
      </c>
      <c r="W326" s="135" t="s">
        <v>3133</v>
      </c>
      <c r="X326" s="135"/>
      <c r="Y326" s="135"/>
      <c r="Z326" s="135" t="s">
        <v>2858</v>
      </c>
      <c r="AA326" s="135"/>
      <c r="AB326" s="135"/>
      <c r="AC326" s="135"/>
      <c r="AD326" s="135">
        <v>46106.0</v>
      </c>
      <c r="AE326" s="135"/>
      <c r="AF326" s="135"/>
      <c r="AG326" s="135"/>
    </row>
    <row r="327" ht="21.75" hidden="1" customHeight="1">
      <c r="A327" s="135">
        <v>323.0</v>
      </c>
      <c r="B327" s="135">
        <v>25045.0</v>
      </c>
      <c r="C327" s="135" t="s">
        <v>2817</v>
      </c>
      <c r="D327" s="135">
        <v>1.0</v>
      </c>
      <c r="E327" s="135" t="s">
        <v>2880</v>
      </c>
      <c r="F327" s="135" t="s">
        <v>1047</v>
      </c>
      <c r="G327" s="135" t="s">
        <v>34</v>
      </c>
      <c r="H327" s="135" t="s">
        <v>2853</v>
      </c>
      <c r="I327" s="135" t="s">
        <v>39</v>
      </c>
      <c r="J327" s="135">
        <v>1.0</v>
      </c>
      <c r="K327" s="135" t="s">
        <v>3134</v>
      </c>
      <c r="L327" s="135">
        <v>3000.0</v>
      </c>
      <c r="M327" s="135">
        <v>1600.0</v>
      </c>
      <c r="N327" s="135">
        <v>120.0</v>
      </c>
      <c r="O327" s="135">
        <v>0.554</v>
      </c>
      <c r="P327" s="136">
        <v>0.0</v>
      </c>
      <c r="Q327" s="137">
        <v>1.3850000000000002</v>
      </c>
      <c r="R327" s="136">
        <v>46081.0</v>
      </c>
      <c r="S327" s="135" t="s">
        <v>2882</v>
      </c>
      <c r="T327" s="136"/>
      <c r="U327" s="135" t="s">
        <v>2864</v>
      </c>
      <c r="V327" s="135" t="s">
        <v>2856</v>
      </c>
      <c r="W327" s="135" t="s">
        <v>2911</v>
      </c>
      <c r="X327" s="135"/>
      <c r="Y327" s="135"/>
      <c r="Z327" s="135" t="s">
        <v>2858</v>
      </c>
      <c r="AA327" s="135"/>
      <c r="AB327" s="135"/>
      <c r="AC327" s="135"/>
      <c r="AD327" s="135">
        <v>46109.0</v>
      </c>
      <c r="AE327" s="135"/>
      <c r="AF327" s="135"/>
      <c r="AG327" s="135"/>
    </row>
    <row r="328" ht="21.75" hidden="1" customHeight="1">
      <c r="A328" s="135">
        <v>324.0</v>
      </c>
      <c r="B328" s="135">
        <v>25045.0</v>
      </c>
      <c r="C328" s="135" t="s">
        <v>2817</v>
      </c>
      <c r="D328" s="135">
        <v>1.0</v>
      </c>
      <c r="E328" s="135" t="s">
        <v>2880</v>
      </c>
      <c r="F328" s="135" t="s">
        <v>1048</v>
      </c>
      <c r="G328" s="135" t="s">
        <v>34</v>
      </c>
      <c r="H328" s="135" t="s">
        <v>2853</v>
      </c>
      <c r="I328" s="135" t="s">
        <v>39</v>
      </c>
      <c r="J328" s="135">
        <v>1.0</v>
      </c>
      <c r="K328" s="135" t="s">
        <v>3134</v>
      </c>
      <c r="L328" s="135">
        <v>3000.0</v>
      </c>
      <c r="M328" s="135">
        <v>1600.0</v>
      </c>
      <c r="N328" s="135">
        <v>120.0</v>
      </c>
      <c r="O328" s="135">
        <v>0.554</v>
      </c>
      <c r="P328" s="136">
        <v>0.0</v>
      </c>
      <c r="Q328" s="137">
        <v>1.3850000000000002</v>
      </c>
      <c r="R328" s="136">
        <v>46081.0</v>
      </c>
      <c r="S328" s="135" t="s">
        <v>2882</v>
      </c>
      <c r="T328" s="136"/>
      <c r="U328" s="135" t="s">
        <v>2864</v>
      </c>
      <c r="V328" s="135" t="s">
        <v>2856</v>
      </c>
      <c r="W328" s="135" t="s">
        <v>2911</v>
      </c>
      <c r="X328" s="135"/>
      <c r="Y328" s="135"/>
      <c r="Z328" s="135" t="s">
        <v>2858</v>
      </c>
      <c r="AA328" s="135"/>
      <c r="AB328" s="135"/>
      <c r="AC328" s="135"/>
      <c r="AD328" s="135">
        <v>46111.0</v>
      </c>
      <c r="AE328" s="135"/>
      <c r="AF328" s="135"/>
      <c r="AG328" s="135"/>
    </row>
    <row r="329" ht="21.75" hidden="1" customHeight="1">
      <c r="A329" s="135">
        <v>325.0</v>
      </c>
      <c r="B329" s="135">
        <v>25045.0</v>
      </c>
      <c r="C329" s="135" t="s">
        <v>2817</v>
      </c>
      <c r="D329" s="135">
        <v>1.0</v>
      </c>
      <c r="E329" s="135" t="s">
        <v>2880</v>
      </c>
      <c r="F329" s="135" t="s">
        <v>1049</v>
      </c>
      <c r="G329" s="135" t="s">
        <v>34</v>
      </c>
      <c r="H329" s="135" t="s">
        <v>2853</v>
      </c>
      <c r="I329" s="135" t="s">
        <v>39</v>
      </c>
      <c r="J329" s="135">
        <v>1.0</v>
      </c>
      <c r="K329" s="135" t="s">
        <v>3134</v>
      </c>
      <c r="L329" s="135">
        <v>3000.0</v>
      </c>
      <c r="M329" s="135">
        <v>1600.0</v>
      </c>
      <c r="N329" s="135">
        <v>120.0</v>
      </c>
      <c r="O329" s="135">
        <v>0.554</v>
      </c>
      <c r="P329" s="136">
        <v>0.0</v>
      </c>
      <c r="Q329" s="137">
        <v>1.3850000000000002</v>
      </c>
      <c r="R329" s="136">
        <v>46081.0</v>
      </c>
      <c r="S329" s="135" t="s">
        <v>2882</v>
      </c>
      <c r="T329" s="136"/>
      <c r="U329" s="135" t="s">
        <v>2864</v>
      </c>
      <c r="V329" s="135" t="s">
        <v>2856</v>
      </c>
      <c r="W329" s="135" t="s">
        <v>2911</v>
      </c>
      <c r="X329" s="135"/>
      <c r="Y329" s="135"/>
      <c r="Z329" s="135" t="s">
        <v>2858</v>
      </c>
      <c r="AA329" s="135"/>
      <c r="AB329" s="135"/>
      <c r="AC329" s="135"/>
      <c r="AD329" s="135">
        <v>46113.0</v>
      </c>
      <c r="AE329" s="135"/>
      <c r="AF329" s="135"/>
      <c r="AG329" s="135"/>
    </row>
    <row r="330" ht="21.75" hidden="1" customHeight="1">
      <c r="A330" s="135">
        <v>326.0</v>
      </c>
      <c r="B330" s="135">
        <v>25045.0</v>
      </c>
      <c r="C330" s="135" t="s">
        <v>2817</v>
      </c>
      <c r="D330" s="135">
        <v>1.0</v>
      </c>
      <c r="E330" s="135" t="s">
        <v>2880</v>
      </c>
      <c r="F330" s="135" t="s">
        <v>1050</v>
      </c>
      <c r="G330" s="135" t="s">
        <v>34</v>
      </c>
      <c r="H330" s="135" t="s">
        <v>2853</v>
      </c>
      <c r="I330" s="135" t="s">
        <v>39</v>
      </c>
      <c r="J330" s="135">
        <v>1.0</v>
      </c>
      <c r="K330" s="135" t="s">
        <v>3134</v>
      </c>
      <c r="L330" s="135">
        <v>3000.0</v>
      </c>
      <c r="M330" s="135">
        <v>1600.0</v>
      </c>
      <c r="N330" s="135">
        <v>120.0</v>
      </c>
      <c r="O330" s="135">
        <v>0.554</v>
      </c>
      <c r="P330" s="136">
        <v>0.0</v>
      </c>
      <c r="Q330" s="137">
        <v>1.3850000000000002</v>
      </c>
      <c r="R330" s="136">
        <v>46081.0</v>
      </c>
      <c r="S330" s="135" t="s">
        <v>2882</v>
      </c>
      <c r="T330" s="136"/>
      <c r="U330" s="135" t="s">
        <v>2864</v>
      </c>
      <c r="V330" s="135" t="s">
        <v>2856</v>
      </c>
      <c r="W330" s="135" t="s">
        <v>2911</v>
      </c>
      <c r="X330" s="135"/>
      <c r="Y330" s="135"/>
      <c r="Z330" s="135" t="s">
        <v>2858</v>
      </c>
      <c r="AA330" s="135"/>
      <c r="AB330" s="135"/>
      <c r="AC330" s="135"/>
      <c r="AD330" s="135">
        <v>46099.0</v>
      </c>
      <c r="AE330" s="135"/>
      <c r="AF330" s="135"/>
      <c r="AG330" s="135"/>
    </row>
    <row r="331" ht="21.75" hidden="1" customHeight="1">
      <c r="A331" s="135">
        <v>327.0</v>
      </c>
      <c r="B331" s="135">
        <v>25045.0</v>
      </c>
      <c r="C331" s="135" t="s">
        <v>2817</v>
      </c>
      <c r="D331" s="135">
        <v>1.0</v>
      </c>
      <c r="E331" s="135" t="s">
        <v>2880</v>
      </c>
      <c r="F331" s="135" t="s">
        <v>1051</v>
      </c>
      <c r="G331" s="135" t="s">
        <v>34</v>
      </c>
      <c r="H331" s="135" t="s">
        <v>2853</v>
      </c>
      <c r="I331" s="135" t="s">
        <v>39</v>
      </c>
      <c r="J331" s="135">
        <v>1.0</v>
      </c>
      <c r="K331" s="135" t="s">
        <v>3134</v>
      </c>
      <c r="L331" s="135">
        <v>3000.0</v>
      </c>
      <c r="M331" s="135">
        <v>1600.0</v>
      </c>
      <c r="N331" s="135">
        <v>120.0</v>
      </c>
      <c r="O331" s="135">
        <v>0.554</v>
      </c>
      <c r="P331" s="136">
        <v>0.0</v>
      </c>
      <c r="Q331" s="137">
        <v>1.3850000000000002</v>
      </c>
      <c r="R331" s="136">
        <v>46081.0</v>
      </c>
      <c r="S331" s="135" t="s">
        <v>2882</v>
      </c>
      <c r="T331" s="136"/>
      <c r="U331" s="135" t="s">
        <v>2864</v>
      </c>
      <c r="V331" s="135" t="s">
        <v>2856</v>
      </c>
      <c r="W331" s="135" t="s">
        <v>2911</v>
      </c>
      <c r="X331" s="135"/>
      <c r="Y331" s="135"/>
      <c r="Z331" s="135" t="s">
        <v>2858</v>
      </c>
      <c r="AA331" s="135"/>
      <c r="AB331" s="135"/>
      <c r="AC331" s="135"/>
      <c r="AD331" s="135">
        <v>46105.0</v>
      </c>
      <c r="AE331" s="135"/>
      <c r="AF331" s="135"/>
      <c r="AG331" s="135"/>
    </row>
    <row r="332" ht="21.75" hidden="1" customHeight="1">
      <c r="A332" s="135">
        <v>328.0</v>
      </c>
      <c r="B332" s="135">
        <v>25045.0</v>
      </c>
      <c r="C332" s="135" t="s">
        <v>2817</v>
      </c>
      <c r="D332" s="135">
        <v>1.0</v>
      </c>
      <c r="E332" s="135" t="s">
        <v>2880</v>
      </c>
      <c r="F332" s="135" t="s">
        <v>1052</v>
      </c>
      <c r="G332" s="135" t="s">
        <v>34</v>
      </c>
      <c r="H332" s="135" t="s">
        <v>2853</v>
      </c>
      <c r="I332" s="135" t="s">
        <v>39</v>
      </c>
      <c r="J332" s="135">
        <v>1.0</v>
      </c>
      <c r="K332" s="135" t="s">
        <v>3134</v>
      </c>
      <c r="L332" s="135">
        <v>3000.0</v>
      </c>
      <c r="M332" s="135">
        <v>1600.0</v>
      </c>
      <c r="N332" s="135">
        <v>120.0</v>
      </c>
      <c r="O332" s="135">
        <v>0.554</v>
      </c>
      <c r="P332" s="136">
        <v>0.0</v>
      </c>
      <c r="Q332" s="137">
        <v>1.3850000000000002</v>
      </c>
      <c r="R332" s="136">
        <v>46081.0</v>
      </c>
      <c r="S332" s="135" t="s">
        <v>2882</v>
      </c>
      <c r="T332" s="136"/>
      <c r="U332" s="135" t="s">
        <v>2864</v>
      </c>
      <c r="V332" s="135" t="s">
        <v>2856</v>
      </c>
      <c r="W332" s="135" t="s">
        <v>2911</v>
      </c>
      <c r="X332" s="135"/>
      <c r="Y332" s="135"/>
      <c r="Z332" s="135" t="s">
        <v>2858</v>
      </c>
      <c r="AA332" s="135"/>
      <c r="AB332" s="135"/>
      <c r="AC332" s="135"/>
      <c r="AD332" s="135">
        <v>46106.0</v>
      </c>
      <c r="AE332" s="135"/>
      <c r="AF332" s="135"/>
      <c r="AG332" s="135"/>
    </row>
    <row r="333" ht="21.75" hidden="1" customHeight="1">
      <c r="A333" s="135">
        <v>329.0</v>
      </c>
      <c r="B333" s="135">
        <v>25045.0</v>
      </c>
      <c r="C333" s="135" t="s">
        <v>2817</v>
      </c>
      <c r="D333" s="135">
        <v>1.0</v>
      </c>
      <c r="E333" s="135" t="s">
        <v>2880</v>
      </c>
      <c r="F333" s="135" t="s">
        <v>1053</v>
      </c>
      <c r="G333" s="135" t="s">
        <v>34</v>
      </c>
      <c r="H333" s="135" t="s">
        <v>2853</v>
      </c>
      <c r="I333" s="135" t="s">
        <v>39</v>
      </c>
      <c r="J333" s="135">
        <v>1.0</v>
      </c>
      <c r="K333" s="135" t="s">
        <v>3134</v>
      </c>
      <c r="L333" s="135">
        <v>3000.0</v>
      </c>
      <c r="M333" s="135">
        <v>1460.0</v>
      </c>
      <c r="N333" s="135">
        <v>120.0</v>
      </c>
      <c r="O333" s="135">
        <v>0.513</v>
      </c>
      <c r="P333" s="136">
        <v>0.0</v>
      </c>
      <c r="Q333" s="137">
        <v>1.2825</v>
      </c>
      <c r="R333" s="136">
        <v>46081.0</v>
      </c>
      <c r="S333" s="135" t="s">
        <v>2882</v>
      </c>
      <c r="T333" s="136"/>
      <c r="U333" s="135" t="s">
        <v>2864</v>
      </c>
      <c r="V333" s="135" t="s">
        <v>2856</v>
      </c>
      <c r="W333" s="135" t="s">
        <v>2911</v>
      </c>
      <c r="X333" s="135"/>
      <c r="Y333" s="135"/>
      <c r="Z333" s="135" t="s">
        <v>2858</v>
      </c>
      <c r="AA333" s="135"/>
      <c r="AB333" s="135"/>
      <c r="AC333" s="135"/>
      <c r="AD333" s="135">
        <v>46097.0</v>
      </c>
      <c r="AE333" s="135"/>
      <c r="AF333" s="135"/>
      <c r="AG333" s="135"/>
    </row>
    <row r="334" ht="21.75" hidden="1" customHeight="1">
      <c r="A334" s="135">
        <v>330.0</v>
      </c>
      <c r="B334" s="135">
        <v>25045.0</v>
      </c>
      <c r="C334" s="135" t="s">
        <v>2817</v>
      </c>
      <c r="D334" s="135">
        <v>1.0</v>
      </c>
      <c r="E334" s="135" t="s">
        <v>2880</v>
      </c>
      <c r="F334" s="135" t="s">
        <v>1054</v>
      </c>
      <c r="G334" s="135" t="s">
        <v>34</v>
      </c>
      <c r="H334" s="135" t="s">
        <v>2853</v>
      </c>
      <c r="I334" s="135" t="s">
        <v>39</v>
      </c>
      <c r="J334" s="135">
        <v>1.0</v>
      </c>
      <c r="K334" s="135" t="s">
        <v>3134</v>
      </c>
      <c r="L334" s="135">
        <v>3000.0</v>
      </c>
      <c r="M334" s="135">
        <v>1460.0</v>
      </c>
      <c r="N334" s="135">
        <v>120.0</v>
      </c>
      <c r="O334" s="135">
        <v>0.513</v>
      </c>
      <c r="P334" s="136">
        <v>0.0</v>
      </c>
      <c r="Q334" s="137">
        <v>1.2825</v>
      </c>
      <c r="R334" s="136">
        <v>46081.0</v>
      </c>
      <c r="S334" s="135" t="s">
        <v>2882</v>
      </c>
      <c r="T334" s="136"/>
      <c r="U334" s="135" t="s">
        <v>2864</v>
      </c>
      <c r="V334" s="135" t="s">
        <v>2856</v>
      </c>
      <c r="W334" s="135" t="s">
        <v>2911</v>
      </c>
      <c r="X334" s="135"/>
      <c r="Y334" s="135"/>
      <c r="Z334" s="135" t="s">
        <v>2858</v>
      </c>
      <c r="AA334" s="135"/>
      <c r="AB334" s="135"/>
      <c r="AC334" s="135"/>
      <c r="AD334" s="135">
        <v>46098.0</v>
      </c>
      <c r="AE334" s="135"/>
      <c r="AF334" s="135"/>
      <c r="AG334" s="135"/>
    </row>
    <row r="335" ht="21.75" hidden="1" customHeight="1">
      <c r="A335" s="135">
        <v>331.0</v>
      </c>
      <c r="B335" s="135">
        <v>25045.0</v>
      </c>
      <c r="C335" s="135" t="s">
        <v>2817</v>
      </c>
      <c r="D335" s="135">
        <v>1.0</v>
      </c>
      <c r="E335" s="135" t="s">
        <v>2880</v>
      </c>
      <c r="F335" s="135" t="s">
        <v>1055</v>
      </c>
      <c r="G335" s="135" t="s">
        <v>34</v>
      </c>
      <c r="H335" s="135" t="s">
        <v>2853</v>
      </c>
      <c r="I335" s="135" t="s">
        <v>39</v>
      </c>
      <c r="J335" s="135">
        <v>1.0</v>
      </c>
      <c r="K335" s="135" t="s">
        <v>3134</v>
      </c>
      <c r="L335" s="135">
        <v>3000.0</v>
      </c>
      <c r="M335" s="135">
        <v>1460.0</v>
      </c>
      <c r="N335" s="135">
        <v>120.0</v>
      </c>
      <c r="O335" s="135">
        <v>0.513</v>
      </c>
      <c r="P335" s="136">
        <v>0.0</v>
      </c>
      <c r="Q335" s="137">
        <v>1.2825</v>
      </c>
      <c r="R335" s="136">
        <v>46081.0</v>
      </c>
      <c r="S335" s="135" t="s">
        <v>2882</v>
      </c>
      <c r="T335" s="136"/>
      <c r="U335" s="135" t="s">
        <v>2864</v>
      </c>
      <c r="V335" s="135" t="s">
        <v>2856</v>
      </c>
      <c r="W335" s="135" t="s">
        <v>2911</v>
      </c>
      <c r="X335" s="135"/>
      <c r="Y335" s="135"/>
      <c r="Z335" s="135" t="s">
        <v>2858</v>
      </c>
      <c r="AA335" s="135"/>
      <c r="AB335" s="135"/>
      <c r="AC335" s="135"/>
      <c r="AD335" s="135">
        <v>46099.0</v>
      </c>
      <c r="AE335" s="135"/>
      <c r="AF335" s="135"/>
      <c r="AG335" s="135"/>
    </row>
    <row r="336" ht="21.75" hidden="1" customHeight="1">
      <c r="A336" s="135">
        <v>332.0</v>
      </c>
      <c r="B336" s="135">
        <v>25045.0</v>
      </c>
      <c r="C336" s="135" t="s">
        <v>2817</v>
      </c>
      <c r="D336" s="135">
        <v>1.0</v>
      </c>
      <c r="E336" s="135" t="s">
        <v>2880</v>
      </c>
      <c r="F336" s="135" t="s">
        <v>1056</v>
      </c>
      <c r="G336" s="135" t="s">
        <v>34</v>
      </c>
      <c r="H336" s="135" t="s">
        <v>2853</v>
      </c>
      <c r="I336" s="135" t="s">
        <v>39</v>
      </c>
      <c r="J336" s="135">
        <v>1.0</v>
      </c>
      <c r="K336" s="135" t="s">
        <v>3134</v>
      </c>
      <c r="L336" s="135">
        <v>3000.0</v>
      </c>
      <c r="M336" s="135">
        <v>1460.0</v>
      </c>
      <c r="N336" s="135">
        <v>120.0</v>
      </c>
      <c r="O336" s="135">
        <v>0.513</v>
      </c>
      <c r="P336" s="136">
        <v>0.0</v>
      </c>
      <c r="Q336" s="137">
        <v>1.2825</v>
      </c>
      <c r="R336" s="136">
        <v>46081.0</v>
      </c>
      <c r="S336" s="135" t="s">
        <v>2882</v>
      </c>
      <c r="T336" s="136"/>
      <c r="U336" s="135" t="s">
        <v>2864</v>
      </c>
      <c r="V336" s="135" t="s">
        <v>2856</v>
      </c>
      <c r="W336" s="135" t="s">
        <v>3135</v>
      </c>
      <c r="X336" s="135"/>
      <c r="Y336" s="135"/>
      <c r="Z336" s="135" t="s">
        <v>2858</v>
      </c>
      <c r="AA336" s="135"/>
      <c r="AB336" s="135"/>
      <c r="AC336" s="135"/>
      <c r="AD336" s="135">
        <v>46105.0</v>
      </c>
      <c r="AE336" s="135"/>
      <c r="AF336" s="135"/>
      <c r="AG336" s="135"/>
    </row>
    <row r="337" ht="21.75" hidden="1" customHeight="1">
      <c r="A337" s="135">
        <v>333.0</v>
      </c>
      <c r="B337" s="135">
        <v>25045.0</v>
      </c>
      <c r="C337" s="135" t="s">
        <v>2817</v>
      </c>
      <c r="D337" s="135">
        <v>1.0</v>
      </c>
      <c r="E337" s="135" t="s">
        <v>2880</v>
      </c>
      <c r="F337" s="135" t="s">
        <v>1057</v>
      </c>
      <c r="G337" s="135" t="s">
        <v>34</v>
      </c>
      <c r="H337" s="135" t="s">
        <v>2853</v>
      </c>
      <c r="I337" s="135" t="s">
        <v>39</v>
      </c>
      <c r="J337" s="135">
        <v>1.0</v>
      </c>
      <c r="K337" s="135"/>
      <c r="L337" s="135">
        <v>3000.0</v>
      </c>
      <c r="M337" s="135">
        <v>1460.0</v>
      </c>
      <c r="N337" s="135">
        <v>120.0</v>
      </c>
      <c r="O337" s="135">
        <v>0.513</v>
      </c>
      <c r="P337" s="136">
        <v>0.0</v>
      </c>
      <c r="Q337" s="137">
        <v>1.2825</v>
      </c>
      <c r="R337" s="136">
        <v>46081.0</v>
      </c>
      <c r="S337" s="135" t="s">
        <v>2882</v>
      </c>
      <c r="T337" s="136"/>
      <c r="U337" s="135" t="s">
        <v>2864</v>
      </c>
      <c r="V337" s="135" t="s">
        <v>2856</v>
      </c>
      <c r="W337" s="135" t="s">
        <v>3135</v>
      </c>
      <c r="X337" s="135"/>
      <c r="Y337" s="135"/>
      <c r="Z337" s="135" t="s">
        <v>2858</v>
      </c>
      <c r="AA337" s="135"/>
      <c r="AB337" s="135"/>
      <c r="AC337" s="135"/>
      <c r="AD337" s="135">
        <v>46098.0</v>
      </c>
      <c r="AE337" s="135"/>
      <c r="AF337" s="135"/>
      <c r="AG337" s="135"/>
    </row>
    <row r="338" ht="21.75" hidden="1" customHeight="1">
      <c r="A338" s="135">
        <v>334.0</v>
      </c>
      <c r="B338" s="135">
        <v>25045.0</v>
      </c>
      <c r="C338" s="135" t="s">
        <v>2817</v>
      </c>
      <c r="D338" s="135">
        <v>1.0</v>
      </c>
      <c r="E338" s="135" t="s">
        <v>2880</v>
      </c>
      <c r="F338" s="135" t="s">
        <v>1058</v>
      </c>
      <c r="G338" s="135" t="s">
        <v>34</v>
      </c>
      <c r="H338" s="135" t="s">
        <v>2853</v>
      </c>
      <c r="I338" s="135" t="s">
        <v>39</v>
      </c>
      <c r="J338" s="135">
        <v>1.0</v>
      </c>
      <c r="K338" s="135"/>
      <c r="L338" s="135">
        <v>2195.0</v>
      </c>
      <c r="M338" s="135">
        <v>3440.0</v>
      </c>
      <c r="N338" s="135">
        <v>120.0</v>
      </c>
      <c r="O338" s="135">
        <v>0.836</v>
      </c>
      <c r="P338" s="136">
        <v>0.0</v>
      </c>
      <c r="Q338" s="137">
        <v>2.09</v>
      </c>
      <c r="R338" s="136">
        <v>46081.0</v>
      </c>
      <c r="S338" s="135" t="s">
        <v>2882</v>
      </c>
      <c r="T338" s="136"/>
      <c r="U338" s="135" t="s">
        <v>2864</v>
      </c>
      <c r="V338" s="135" t="s">
        <v>2878</v>
      </c>
      <c r="W338" s="135" t="s">
        <v>3136</v>
      </c>
      <c r="X338" s="135" t="s">
        <v>3137</v>
      </c>
      <c r="Y338" s="135"/>
      <c r="Z338" s="135" t="s">
        <v>2858</v>
      </c>
      <c r="AA338" s="135"/>
      <c r="AB338" s="135"/>
      <c r="AC338" s="135"/>
      <c r="AD338" s="135">
        <v>46097.0</v>
      </c>
      <c r="AE338" s="135"/>
      <c r="AF338" s="135"/>
      <c r="AG338" s="135"/>
    </row>
    <row r="339" ht="21.75" hidden="1" customHeight="1">
      <c r="A339" s="135">
        <v>335.0</v>
      </c>
      <c r="B339" s="135">
        <v>25045.0</v>
      </c>
      <c r="C339" s="135" t="s">
        <v>2817</v>
      </c>
      <c r="D339" s="135">
        <v>1.0</v>
      </c>
      <c r="E339" s="135" t="s">
        <v>2889</v>
      </c>
      <c r="F339" s="135" t="s">
        <v>1104</v>
      </c>
      <c r="G339" s="135" t="s">
        <v>34</v>
      </c>
      <c r="H339" s="135" t="s">
        <v>2853</v>
      </c>
      <c r="I339" s="135" t="s">
        <v>41</v>
      </c>
      <c r="J339" s="135">
        <v>1.0</v>
      </c>
      <c r="K339" s="135"/>
      <c r="L339" s="135">
        <v>3595.0</v>
      </c>
      <c r="M339" s="135">
        <v>2850.0</v>
      </c>
      <c r="N339" s="135">
        <v>120.0</v>
      </c>
      <c r="O339" s="135">
        <v>1.067</v>
      </c>
      <c r="P339" s="136">
        <v>0.0</v>
      </c>
      <c r="Q339" s="137">
        <v>2.6675</v>
      </c>
      <c r="R339" s="136">
        <v>46081.0</v>
      </c>
      <c r="S339" s="135" t="s">
        <v>2882</v>
      </c>
      <c r="T339" s="136"/>
      <c r="U339" s="135" t="s">
        <v>2864</v>
      </c>
      <c r="V339" s="135" t="s">
        <v>2865</v>
      </c>
      <c r="W339" s="135" t="s">
        <v>3138</v>
      </c>
      <c r="X339" s="135" t="s">
        <v>3139</v>
      </c>
      <c r="Y339" s="135"/>
      <c r="Z339" s="135" t="s">
        <v>2858</v>
      </c>
      <c r="AA339" s="135"/>
      <c r="AB339" s="135"/>
      <c r="AC339" s="135"/>
      <c r="AD339" s="135">
        <v>46105.0</v>
      </c>
      <c r="AE339" s="135"/>
      <c r="AF339" s="135"/>
      <c r="AG339" s="135"/>
    </row>
    <row r="340" ht="21.75" hidden="1" customHeight="1">
      <c r="A340" s="135">
        <v>336.0</v>
      </c>
      <c r="B340" s="135">
        <v>25045.0</v>
      </c>
      <c r="C340" s="135" t="s">
        <v>2817</v>
      </c>
      <c r="D340" s="135">
        <v>1.0</v>
      </c>
      <c r="E340" s="135" t="s">
        <v>2887</v>
      </c>
      <c r="F340" s="135" t="s">
        <v>1082</v>
      </c>
      <c r="G340" s="135" t="s">
        <v>34</v>
      </c>
      <c r="H340" s="135" t="s">
        <v>2853</v>
      </c>
      <c r="I340" s="135" t="s">
        <v>40</v>
      </c>
      <c r="J340" s="135">
        <v>1.0</v>
      </c>
      <c r="K340" s="135"/>
      <c r="L340" s="135">
        <v>1935.0</v>
      </c>
      <c r="M340" s="135">
        <v>3630.0</v>
      </c>
      <c r="N340" s="135">
        <v>120.0</v>
      </c>
      <c r="O340" s="135">
        <v>0.922</v>
      </c>
      <c r="P340" s="136">
        <v>0.0</v>
      </c>
      <c r="Q340" s="137">
        <v>2.305</v>
      </c>
      <c r="R340" s="136">
        <v>46123.0</v>
      </c>
      <c r="S340" s="135" t="s">
        <v>2859</v>
      </c>
      <c r="T340" s="136"/>
      <c r="U340" s="135" t="s">
        <v>2864</v>
      </c>
      <c r="V340" s="135" t="s">
        <v>2878</v>
      </c>
      <c r="W340" s="135" t="s">
        <v>3140</v>
      </c>
      <c r="X340" s="135" t="s">
        <v>3141</v>
      </c>
      <c r="Y340" s="135"/>
      <c r="Z340" s="135" t="s">
        <v>2858</v>
      </c>
      <c r="AA340" s="135"/>
      <c r="AB340" s="135"/>
      <c r="AC340" s="135"/>
      <c r="AD340" s="135" t="e">
        <v>#N/A</v>
      </c>
      <c r="AE340" s="135"/>
      <c r="AF340" s="135"/>
      <c r="AG340" s="135"/>
    </row>
    <row r="341" ht="21.75" hidden="1" customHeight="1">
      <c r="A341" s="135">
        <v>337.0</v>
      </c>
      <c r="B341" s="135">
        <v>25045.0</v>
      </c>
      <c r="C341" s="135" t="s">
        <v>2817</v>
      </c>
      <c r="D341" s="135">
        <v>1.0</v>
      </c>
      <c r="E341" s="135" t="s">
        <v>2887</v>
      </c>
      <c r="F341" s="135" t="s">
        <v>1083</v>
      </c>
      <c r="G341" s="135" t="s">
        <v>34</v>
      </c>
      <c r="H341" s="135" t="s">
        <v>2853</v>
      </c>
      <c r="I341" s="135" t="s">
        <v>40</v>
      </c>
      <c r="J341" s="135">
        <v>1.0</v>
      </c>
      <c r="K341" s="135"/>
      <c r="L341" s="135">
        <v>3260.0</v>
      </c>
      <c r="M341" s="135">
        <v>2850.0</v>
      </c>
      <c r="N341" s="135">
        <v>120.0</v>
      </c>
      <c r="O341" s="135">
        <v>0.873</v>
      </c>
      <c r="P341" s="136">
        <v>0.0</v>
      </c>
      <c r="Q341" s="137">
        <v>2.1825</v>
      </c>
      <c r="R341" s="136">
        <v>46123.0</v>
      </c>
      <c r="S341" s="135" t="s">
        <v>2859</v>
      </c>
      <c r="T341" s="136"/>
      <c r="U341" s="135" t="s">
        <v>2864</v>
      </c>
      <c r="V341" s="135" t="s">
        <v>2878</v>
      </c>
      <c r="W341" s="135" t="s">
        <v>3142</v>
      </c>
      <c r="X341" s="135" t="s">
        <v>3143</v>
      </c>
      <c r="Y341" s="135"/>
      <c r="Z341" s="135" t="s">
        <v>2858</v>
      </c>
      <c r="AA341" s="135"/>
      <c r="AB341" s="135"/>
      <c r="AC341" s="135"/>
      <c r="AD341" s="135" t="e">
        <v>#N/A</v>
      </c>
      <c r="AE341" s="135"/>
      <c r="AF341" s="135"/>
      <c r="AG341" s="135"/>
    </row>
    <row r="342" ht="21.75" hidden="1" customHeight="1">
      <c r="A342" s="135">
        <v>338.0</v>
      </c>
      <c r="B342" s="135">
        <v>25045.0</v>
      </c>
      <c r="C342" s="135" t="s">
        <v>2817</v>
      </c>
      <c r="D342" s="135">
        <v>1.0</v>
      </c>
      <c r="E342" s="135" t="s">
        <v>2887</v>
      </c>
      <c r="F342" s="135" t="s">
        <v>1076</v>
      </c>
      <c r="G342" s="135" t="s">
        <v>34</v>
      </c>
      <c r="H342" s="135" t="s">
        <v>2853</v>
      </c>
      <c r="I342" s="135" t="s">
        <v>40</v>
      </c>
      <c r="J342" s="135">
        <v>1.0</v>
      </c>
      <c r="K342" s="135"/>
      <c r="L342" s="135">
        <v>3000.0</v>
      </c>
      <c r="M342" s="135">
        <v>1350.0</v>
      </c>
      <c r="N342" s="135">
        <v>120.0</v>
      </c>
      <c r="O342" s="135">
        <v>0.5</v>
      </c>
      <c r="P342" s="136">
        <v>0.0</v>
      </c>
      <c r="Q342" s="137">
        <v>1.25</v>
      </c>
      <c r="R342" s="136">
        <v>46123.0</v>
      </c>
      <c r="S342" s="135" t="s">
        <v>2859</v>
      </c>
      <c r="T342" s="136"/>
      <c r="U342" s="135" t="s">
        <v>2864</v>
      </c>
      <c r="V342" s="135" t="s">
        <v>2856</v>
      </c>
      <c r="W342" s="135"/>
      <c r="X342" s="135"/>
      <c r="Y342" s="135"/>
      <c r="Z342" s="135" t="s">
        <v>2858</v>
      </c>
      <c r="AA342" s="135"/>
      <c r="AB342" s="135"/>
      <c r="AC342" s="135"/>
      <c r="AD342" s="135" t="e">
        <v>#N/A</v>
      </c>
      <c r="AE342" s="135"/>
      <c r="AF342" s="135"/>
      <c r="AG342" s="135"/>
    </row>
    <row r="343" ht="21.75" hidden="1" customHeight="1">
      <c r="A343" s="135">
        <v>339.0</v>
      </c>
      <c r="B343" s="135">
        <v>25045.0</v>
      </c>
      <c r="C343" s="135" t="s">
        <v>2817</v>
      </c>
      <c r="D343" s="135">
        <v>1.0</v>
      </c>
      <c r="E343" s="135" t="s">
        <v>2887</v>
      </c>
      <c r="F343" s="135" t="s">
        <v>1077</v>
      </c>
      <c r="G343" s="135" t="s">
        <v>34</v>
      </c>
      <c r="H343" s="135" t="s">
        <v>2853</v>
      </c>
      <c r="I343" s="135" t="s">
        <v>40</v>
      </c>
      <c r="J343" s="135">
        <v>1.0</v>
      </c>
      <c r="K343" s="135"/>
      <c r="L343" s="135">
        <v>3000.0</v>
      </c>
      <c r="M343" s="135">
        <v>1350.0</v>
      </c>
      <c r="N343" s="135">
        <v>120.0</v>
      </c>
      <c r="O343" s="135">
        <v>0.5</v>
      </c>
      <c r="P343" s="136">
        <v>0.0</v>
      </c>
      <c r="Q343" s="137">
        <v>1.25</v>
      </c>
      <c r="R343" s="136">
        <v>46123.0</v>
      </c>
      <c r="S343" s="135" t="s">
        <v>2859</v>
      </c>
      <c r="T343" s="136"/>
      <c r="U343" s="135" t="s">
        <v>2864</v>
      </c>
      <c r="V343" s="135" t="s">
        <v>2856</v>
      </c>
      <c r="W343" s="135"/>
      <c r="X343" s="135"/>
      <c r="Y343" s="135"/>
      <c r="Z343" s="135" t="s">
        <v>2858</v>
      </c>
      <c r="AA343" s="135"/>
      <c r="AB343" s="135"/>
      <c r="AC343" s="135"/>
      <c r="AD343" s="135" t="e">
        <v>#N/A</v>
      </c>
      <c r="AE343" s="135"/>
      <c r="AF343" s="135"/>
      <c r="AG343" s="135"/>
    </row>
    <row r="344" ht="21.75" hidden="1" customHeight="1">
      <c r="A344" s="135">
        <v>340.0</v>
      </c>
      <c r="B344" s="135">
        <v>25045.0</v>
      </c>
      <c r="C344" s="135" t="s">
        <v>2817</v>
      </c>
      <c r="D344" s="135">
        <v>1.0</v>
      </c>
      <c r="E344" s="135" t="s">
        <v>2887</v>
      </c>
      <c r="F344" s="135" t="s">
        <v>1078</v>
      </c>
      <c r="G344" s="135" t="s">
        <v>34</v>
      </c>
      <c r="H344" s="135" t="s">
        <v>2853</v>
      </c>
      <c r="I344" s="135" t="s">
        <v>40</v>
      </c>
      <c r="J344" s="135">
        <v>1.0</v>
      </c>
      <c r="K344" s="135"/>
      <c r="L344" s="135">
        <v>3000.0</v>
      </c>
      <c r="M344" s="135">
        <v>1350.0</v>
      </c>
      <c r="N344" s="135">
        <v>120.0</v>
      </c>
      <c r="O344" s="135">
        <v>0.5</v>
      </c>
      <c r="P344" s="136">
        <v>0.0</v>
      </c>
      <c r="Q344" s="137">
        <v>1.25</v>
      </c>
      <c r="R344" s="136">
        <v>46123.0</v>
      </c>
      <c r="S344" s="135" t="s">
        <v>2859</v>
      </c>
      <c r="T344" s="136"/>
      <c r="U344" s="135" t="s">
        <v>2864</v>
      </c>
      <c r="V344" s="135" t="s">
        <v>2856</v>
      </c>
      <c r="W344" s="135"/>
      <c r="X344" s="135"/>
      <c r="Y344" s="135"/>
      <c r="Z344" s="135" t="s">
        <v>2858</v>
      </c>
      <c r="AA344" s="135"/>
      <c r="AB344" s="135"/>
      <c r="AC344" s="135"/>
      <c r="AD344" s="135" t="e">
        <v>#N/A</v>
      </c>
      <c r="AE344" s="135"/>
      <c r="AF344" s="135"/>
      <c r="AG344" s="135"/>
    </row>
    <row r="345" ht="21.75" hidden="1" customHeight="1">
      <c r="A345" s="135">
        <v>341.0</v>
      </c>
      <c r="B345" s="135">
        <v>25045.0</v>
      </c>
      <c r="C345" s="135" t="s">
        <v>2817</v>
      </c>
      <c r="D345" s="135">
        <v>1.0</v>
      </c>
      <c r="E345" s="135" t="s">
        <v>2887</v>
      </c>
      <c r="F345" s="135" t="s">
        <v>1079</v>
      </c>
      <c r="G345" s="135" t="s">
        <v>34</v>
      </c>
      <c r="H345" s="135" t="s">
        <v>2853</v>
      </c>
      <c r="I345" s="135" t="s">
        <v>40</v>
      </c>
      <c r="J345" s="135">
        <v>1.0</v>
      </c>
      <c r="K345" s="135"/>
      <c r="L345" s="135">
        <v>3000.0</v>
      </c>
      <c r="M345" s="135">
        <v>1350.0</v>
      </c>
      <c r="N345" s="135">
        <v>120.0</v>
      </c>
      <c r="O345" s="135">
        <v>0.5</v>
      </c>
      <c r="P345" s="136">
        <v>0.0</v>
      </c>
      <c r="Q345" s="137">
        <v>1.25</v>
      </c>
      <c r="R345" s="136">
        <v>46123.0</v>
      </c>
      <c r="S345" s="135" t="s">
        <v>2859</v>
      </c>
      <c r="T345" s="136"/>
      <c r="U345" s="135" t="s">
        <v>2864</v>
      </c>
      <c r="V345" s="135" t="s">
        <v>2856</v>
      </c>
      <c r="W345" s="135"/>
      <c r="X345" s="135"/>
      <c r="Y345" s="135"/>
      <c r="Z345" s="135" t="s">
        <v>2858</v>
      </c>
      <c r="AA345" s="135"/>
      <c r="AB345" s="135"/>
      <c r="AC345" s="135"/>
      <c r="AD345" s="135" t="e">
        <v>#N/A</v>
      </c>
      <c r="AE345" s="135"/>
      <c r="AF345" s="135"/>
      <c r="AG345" s="135"/>
    </row>
    <row r="346" ht="21.75" hidden="1" customHeight="1">
      <c r="A346" s="135">
        <v>342.0</v>
      </c>
      <c r="B346" s="135">
        <v>25045.0</v>
      </c>
      <c r="C346" s="135" t="s">
        <v>2817</v>
      </c>
      <c r="D346" s="135">
        <v>1.0</v>
      </c>
      <c r="E346" s="135" t="s">
        <v>2887</v>
      </c>
      <c r="F346" s="135" t="s">
        <v>1080</v>
      </c>
      <c r="G346" s="135" t="s">
        <v>34</v>
      </c>
      <c r="H346" s="135" t="s">
        <v>2853</v>
      </c>
      <c r="I346" s="135" t="s">
        <v>40</v>
      </c>
      <c r="J346" s="135">
        <v>1.0</v>
      </c>
      <c r="K346" s="135"/>
      <c r="L346" s="135">
        <v>3000.0</v>
      </c>
      <c r="M346" s="135">
        <v>1350.0</v>
      </c>
      <c r="N346" s="135">
        <v>120.0</v>
      </c>
      <c r="O346" s="135">
        <v>0.5</v>
      </c>
      <c r="P346" s="136">
        <v>0.0</v>
      </c>
      <c r="Q346" s="137">
        <v>1.25</v>
      </c>
      <c r="R346" s="136">
        <v>46123.0</v>
      </c>
      <c r="S346" s="135" t="s">
        <v>2859</v>
      </c>
      <c r="T346" s="136"/>
      <c r="U346" s="135" t="s">
        <v>2864</v>
      </c>
      <c r="V346" s="135" t="s">
        <v>2856</v>
      </c>
      <c r="W346" s="135"/>
      <c r="X346" s="135"/>
      <c r="Y346" s="135"/>
      <c r="Z346" s="135" t="s">
        <v>2858</v>
      </c>
      <c r="AA346" s="135"/>
      <c r="AB346" s="135"/>
      <c r="AC346" s="135"/>
      <c r="AD346" s="135" t="e">
        <v>#N/A</v>
      </c>
      <c r="AE346" s="135"/>
      <c r="AF346" s="135"/>
      <c r="AG346" s="135"/>
    </row>
    <row r="347" ht="21.75" hidden="1" customHeight="1">
      <c r="A347" s="135">
        <v>343.0</v>
      </c>
      <c r="B347" s="135">
        <v>25045.0</v>
      </c>
      <c r="C347" s="135" t="s">
        <v>2817</v>
      </c>
      <c r="D347" s="135">
        <v>1.0</v>
      </c>
      <c r="E347" s="135" t="s">
        <v>2887</v>
      </c>
      <c r="F347" s="135" t="s">
        <v>1081</v>
      </c>
      <c r="G347" s="135" t="s">
        <v>34</v>
      </c>
      <c r="H347" s="135" t="s">
        <v>2853</v>
      </c>
      <c r="I347" s="135" t="s">
        <v>40</v>
      </c>
      <c r="J347" s="135">
        <v>1.0</v>
      </c>
      <c r="K347" s="135"/>
      <c r="L347" s="135">
        <v>3724.0</v>
      </c>
      <c r="M347" s="135">
        <v>2850.0</v>
      </c>
      <c r="N347" s="135">
        <v>120.0</v>
      </c>
      <c r="O347" s="135">
        <v>0.952</v>
      </c>
      <c r="P347" s="136">
        <v>0.0</v>
      </c>
      <c r="Q347" s="137">
        <v>2.38</v>
      </c>
      <c r="R347" s="136">
        <v>46123.0</v>
      </c>
      <c r="S347" s="135" t="s">
        <v>2859</v>
      </c>
      <c r="T347" s="136"/>
      <c r="U347" s="135" t="s">
        <v>2864</v>
      </c>
      <c r="V347" s="135" t="s">
        <v>3144</v>
      </c>
      <c r="W347" s="135"/>
      <c r="X347" s="135" t="s">
        <v>3145</v>
      </c>
      <c r="Y347" s="135"/>
      <c r="Z347" s="135" t="s">
        <v>2858</v>
      </c>
      <c r="AA347" s="135"/>
      <c r="AB347" s="135"/>
      <c r="AC347" s="135"/>
      <c r="AD347" s="135" t="e">
        <v>#N/A</v>
      </c>
      <c r="AE347" s="135"/>
      <c r="AF347" s="135"/>
      <c r="AG347" s="135"/>
    </row>
    <row r="348" ht="21.75" hidden="1" customHeight="1">
      <c r="A348" s="135">
        <v>344.0</v>
      </c>
      <c r="B348" s="135">
        <v>25045.0</v>
      </c>
      <c r="C348" s="135" t="s">
        <v>2817</v>
      </c>
      <c r="D348" s="135">
        <v>4.0</v>
      </c>
      <c r="E348" s="135" t="s">
        <v>3146</v>
      </c>
      <c r="F348" s="135" t="s">
        <v>1355</v>
      </c>
      <c r="G348" s="135" t="s">
        <v>54</v>
      </c>
      <c r="H348" s="135" t="s">
        <v>2853</v>
      </c>
      <c r="I348" s="135" t="s">
        <v>55</v>
      </c>
      <c r="J348" s="135">
        <v>1.0</v>
      </c>
      <c r="K348" s="135"/>
      <c r="L348" s="135">
        <v>5500.0</v>
      </c>
      <c r="M348" s="135">
        <v>1350.0</v>
      </c>
      <c r="N348" s="135">
        <v>120.0</v>
      </c>
      <c r="O348" s="135">
        <v>0.958</v>
      </c>
      <c r="P348" s="136">
        <v>0.0</v>
      </c>
      <c r="Q348" s="137">
        <v>2.395</v>
      </c>
      <c r="R348" s="136">
        <v>46104.0</v>
      </c>
      <c r="S348" s="135" t="s">
        <v>3147</v>
      </c>
      <c r="T348" s="136"/>
      <c r="U348" s="135" t="s">
        <v>2855</v>
      </c>
      <c r="V348" s="135" t="s">
        <v>2856</v>
      </c>
      <c r="W348" s="135" t="s">
        <v>3148</v>
      </c>
      <c r="X348" s="135"/>
      <c r="Y348" s="135"/>
      <c r="Z348" s="135" t="s">
        <v>2858</v>
      </c>
      <c r="AA348" s="135"/>
      <c r="AB348" s="135"/>
      <c r="AC348" s="135"/>
      <c r="AD348" s="135">
        <v>46113.0</v>
      </c>
      <c r="AE348" s="135"/>
      <c r="AF348" s="135"/>
      <c r="AG348" s="135"/>
    </row>
    <row r="349" ht="21.75" hidden="1" customHeight="1">
      <c r="A349" s="135">
        <v>345.0</v>
      </c>
      <c r="B349" s="135">
        <v>25045.0</v>
      </c>
      <c r="C349" s="135" t="s">
        <v>2817</v>
      </c>
      <c r="D349" s="135">
        <v>4.0</v>
      </c>
      <c r="E349" s="135" t="s">
        <v>3146</v>
      </c>
      <c r="F349" s="135" t="s">
        <v>1356</v>
      </c>
      <c r="G349" s="135" t="s">
        <v>54</v>
      </c>
      <c r="H349" s="135" t="s">
        <v>2853</v>
      </c>
      <c r="I349" s="135" t="s">
        <v>55</v>
      </c>
      <c r="J349" s="135">
        <v>1.0</v>
      </c>
      <c r="K349" s="135"/>
      <c r="L349" s="135">
        <v>5500.0</v>
      </c>
      <c r="M349" s="135">
        <v>1350.0</v>
      </c>
      <c r="N349" s="135">
        <v>120.0</v>
      </c>
      <c r="O349" s="135">
        <v>0.958</v>
      </c>
      <c r="P349" s="136">
        <v>0.0</v>
      </c>
      <c r="Q349" s="137">
        <v>2.395</v>
      </c>
      <c r="R349" s="136">
        <v>46104.0</v>
      </c>
      <c r="S349" s="135" t="s">
        <v>3147</v>
      </c>
      <c r="T349" s="136"/>
      <c r="U349" s="135" t="s">
        <v>2855</v>
      </c>
      <c r="V349" s="135" t="s">
        <v>2856</v>
      </c>
      <c r="W349" s="135" t="s">
        <v>3148</v>
      </c>
      <c r="X349" s="135"/>
      <c r="Y349" s="135"/>
      <c r="Z349" s="135" t="s">
        <v>2858</v>
      </c>
      <c r="AA349" s="135"/>
      <c r="AB349" s="135"/>
      <c r="AC349" s="135"/>
      <c r="AD349" s="135">
        <v>46112.0</v>
      </c>
      <c r="AE349" s="135"/>
      <c r="AF349" s="135"/>
      <c r="AG349" s="135"/>
    </row>
    <row r="350" ht="21.75" hidden="1" customHeight="1">
      <c r="A350" s="135">
        <v>346.0</v>
      </c>
      <c r="B350" s="135">
        <v>25045.0</v>
      </c>
      <c r="C350" s="135"/>
      <c r="D350" s="135">
        <v>4.0</v>
      </c>
      <c r="E350" s="135" t="s">
        <v>3146</v>
      </c>
      <c r="F350" s="135" t="s">
        <v>1357</v>
      </c>
      <c r="G350" s="135" t="s">
        <v>54</v>
      </c>
      <c r="H350" s="135" t="s">
        <v>2853</v>
      </c>
      <c r="I350" s="135" t="s">
        <v>55</v>
      </c>
      <c r="J350" s="135">
        <v>1.0</v>
      </c>
      <c r="K350" s="135"/>
      <c r="L350" s="135">
        <v>3192.0</v>
      </c>
      <c r="M350" s="135">
        <v>2851.0</v>
      </c>
      <c r="N350" s="135">
        <v>120.0</v>
      </c>
      <c r="O350" s="135">
        <v>1.167</v>
      </c>
      <c r="P350" s="136">
        <v>1.0</v>
      </c>
      <c r="Q350" s="137">
        <v>2.9175</v>
      </c>
      <c r="R350" s="136">
        <v>46104.0</v>
      </c>
      <c r="S350" s="135" t="s">
        <v>3147</v>
      </c>
      <c r="T350" s="136">
        <v>46122.0</v>
      </c>
      <c r="U350" s="135" t="s">
        <v>2864</v>
      </c>
      <c r="V350" s="135" t="s">
        <v>2878</v>
      </c>
      <c r="W350" s="135" t="s">
        <v>3149</v>
      </c>
      <c r="X350" s="135" t="s">
        <v>2872</v>
      </c>
      <c r="Y350" s="135"/>
      <c r="Z350" s="135" t="s">
        <v>2858</v>
      </c>
      <c r="AA350" s="135" t="s">
        <v>3150</v>
      </c>
      <c r="AB350" s="135"/>
      <c r="AC350" s="135"/>
      <c r="AD350" s="135">
        <v>46123.0</v>
      </c>
      <c r="AE350" s="135"/>
      <c r="AF350" s="135"/>
      <c r="AG350" s="135"/>
    </row>
    <row r="351" ht="21.75" hidden="1" customHeight="1">
      <c r="A351" s="135">
        <v>347.0</v>
      </c>
      <c r="B351" s="135">
        <v>25045.0</v>
      </c>
      <c r="C351" s="135"/>
      <c r="D351" s="135">
        <v>4.0</v>
      </c>
      <c r="E351" s="135" t="s">
        <v>3146</v>
      </c>
      <c r="F351" s="135" t="s">
        <v>1358</v>
      </c>
      <c r="G351" s="135" t="s">
        <v>54</v>
      </c>
      <c r="H351" s="135" t="s">
        <v>2853</v>
      </c>
      <c r="I351" s="135" t="s">
        <v>55</v>
      </c>
      <c r="J351" s="135">
        <v>1.0</v>
      </c>
      <c r="K351" s="135"/>
      <c r="L351" s="135">
        <v>1540.0</v>
      </c>
      <c r="M351" s="135">
        <v>2800.0</v>
      </c>
      <c r="N351" s="135">
        <v>120.0</v>
      </c>
      <c r="O351" s="135">
        <v>0.769</v>
      </c>
      <c r="P351" s="136">
        <v>1.0</v>
      </c>
      <c r="Q351" s="137">
        <v>1.9225</v>
      </c>
      <c r="R351" s="136">
        <v>46104.0</v>
      </c>
      <c r="S351" s="135" t="s">
        <v>3147</v>
      </c>
      <c r="T351" s="136">
        <v>46122.0</v>
      </c>
      <c r="U351" s="135" t="s">
        <v>2864</v>
      </c>
      <c r="V351" s="135" t="s">
        <v>2878</v>
      </c>
      <c r="W351" s="135" t="s">
        <v>3151</v>
      </c>
      <c r="X351" s="135"/>
      <c r="Y351" s="135"/>
      <c r="Z351" s="135" t="s">
        <v>2858</v>
      </c>
      <c r="AA351" s="135" t="s">
        <v>3150</v>
      </c>
      <c r="AB351" s="135"/>
      <c r="AC351" s="135"/>
      <c r="AD351" s="135">
        <v>46127.0</v>
      </c>
      <c r="AE351" s="135"/>
      <c r="AF351" s="135"/>
      <c r="AG351" s="135"/>
    </row>
    <row r="352" ht="21.75" hidden="1" customHeight="1">
      <c r="A352" s="135">
        <v>348.0</v>
      </c>
      <c r="B352" s="135">
        <v>25045.0</v>
      </c>
      <c r="C352" s="135"/>
      <c r="D352" s="135">
        <v>4.0</v>
      </c>
      <c r="E352" s="135" t="s">
        <v>3146</v>
      </c>
      <c r="F352" s="135" t="s">
        <v>1359</v>
      </c>
      <c r="G352" s="135" t="s">
        <v>54</v>
      </c>
      <c r="H352" s="135" t="s">
        <v>2853</v>
      </c>
      <c r="I352" s="135" t="s">
        <v>55</v>
      </c>
      <c r="J352" s="135">
        <v>1.0</v>
      </c>
      <c r="K352" s="135"/>
      <c r="L352" s="135">
        <v>2000.0</v>
      </c>
      <c r="M352" s="135">
        <v>2800.0</v>
      </c>
      <c r="N352" s="135">
        <v>120.0</v>
      </c>
      <c r="O352" s="135">
        <v>0.889</v>
      </c>
      <c r="P352" s="136">
        <v>1.0</v>
      </c>
      <c r="Q352" s="137">
        <v>2.2225</v>
      </c>
      <c r="R352" s="136">
        <v>46104.0</v>
      </c>
      <c r="S352" s="135" t="s">
        <v>3147</v>
      </c>
      <c r="T352" s="136">
        <v>46122.0</v>
      </c>
      <c r="U352" s="135" t="s">
        <v>2864</v>
      </c>
      <c r="V352" s="135" t="s">
        <v>2878</v>
      </c>
      <c r="W352" s="135" t="s">
        <v>3152</v>
      </c>
      <c r="X352" s="135"/>
      <c r="Y352" s="135"/>
      <c r="Z352" s="135" t="s">
        <v>2858</v>
      </c>
      <c r="AA352" s="135" t="s">
        <v>3150</v>
      </c>
      <c r="AB352" s="135"/>
      <c r="AC352" s="135"/>
      <c r="AD352" s="135">
        <v>46130.0</v>
      </c>
      <c r="AE352" s="135"/>
      <c r="AF352" s="135"/>
      <c r="AG352" s="135"/>
    </row>
    <row r="353" ht="21.75" hidden="1" customHeight="1">
      <c r="A353" s="135">
        <v>349.0</v>
      </c>
      <c r="B353" s="135">
        <v>25045.0</v>
      </c>
      <c r="C353" s="135"/>
      <c r="D353" s="135">
        <v>4.0</v>
      </c>
      <c r="E353" s="135" t="s">
        <v>3146</v>
      </c>
      <c r="F353" s="135" t="s">
        <v>1360</v>
      </c>
      <c r="G353" s="135" t="s">
        <v>54</v>
      </c>
      <c r="H353" s="135" t="s">
        <v>2853</v>
      </c>
      <c r="I353" s="135" t="s">
        <v>55</v>
      </c>
      <c r="J353" s="135">
        <v>1.0</v>
      </c>
      <c r="K353" s="135"/>
      <c r="L353" s="135">
        <v>1514.0</v>
      </c>
      <c r="M353" s="135">
        <v>2800.0</v>
      </c>
      <c r="N353" s="135">
        <v>120.0</v>
      </c>
      <c r="O353" s="135">
        <v>0.767</v>
      </c>
      <c r="P353" s="136">
        <v>1.0</v>
      </c>
      <c r="Q353" s="137">
        <v>1.9175</v>
      </c>
      <c r="R353" s="136">
        <v>46104.0</v>
      </c>
      <c r="S353" s="135" t="s">
        <v>3147</v>
      </c>
      <c r="T353" s="136">
        <v>46122.0</v>
      </c>
      <c r="U353" s="135" t="s">
        <v>2864</v>
      </c>
      <c r="V353" s="135" t="s">
        <v>2878</v>
      </c>
      <c r="W353" s="135" t="s">
        <v>3153</v>
      </c>
      <c r="X353" s="135"/>
      <c r="Y353" s="135"/>
      <c r="Z353" s="135" t="s">
        <v>2858</v>
      </c>
      <c r="AA353" s="135" t="s">
        <v>3150</v>
      </c>
      <c r="AB353" s="135"/>
      <c r="AC353" s="135"/>
      <c r="AD353" s="135">
        <v>46136.0</v>
      </c>
      <c r="AE353" s="135"/>
      <c r="AF353" s="135"/>
      <c r="AG353" s="135"/>
    </row>
    <row r="354" ht="21.75" hidden="1" customHeight="1">
      <c r="A354" s="135">
        <v>350.0</v>
      </c>
      <c r="B354" s="135">
        <v>25045.0</v>
      </c>
      <c r="C354" s="135"/>
      <c r="D354" s="135">
        <v>4.0</v>
      </c>
      <c r="E354" s="135" t="s">
        <v>3146</v>
      </c>
      <c r="F354" s="135" t="s">
        <v>1361</v>
      </c>
      <c r="G354" s="135" t="s">
        <v>54</v>
      </c>
      <c r="H354" s="135" t="s">
        <v>2853</v>
      </c>
      <c r="I354" s="135" t="s">
        <v>55</v>
      </c>
      <c r="J354" s="135">
        <v>1.0</v>
      </c>
      <c r="K354" s="135"/>
      <c r="L354" s="135">
        <v>1511.0</v>
      </c>
      <c r="M354" s="135">
        <v>2800.0</v>
      </c>
      <c r="N354" s="135">
        <v>120.0</v>
      </c>
      <c r="O354" s="135">
        <v>0.767</v>
      </c>
      <c r="P354" s="136">
        <v>1.0</v>
      </c>
      <c r="Q354" s="137">
        <v>1.9175</v>
      </c>
      <c r="R354" s="136">
        <v>46104.0</v>
      </c>
      <c r="S354" s="135" t="s">
        <v>3147</v>
      </c>
      <c r="T354" s="136">
        <v>46122.0</v>
      </c>
      <c r="U354" s="135" t="s">
        <v>2864</v>
      </c>
      <c r="V354" s="135" t="s">
        <v>2878</v>
      </c>
      <c r="W354" s="135" t="s">
        <v>3154</v>
      </c>
      <c r="X354" s="135"/>
      <c r="Y354" s="135"/>
      <c r="Z354" s="135" t="s">
        <v>2858</v>
      </c>
      <c r="AA354" s="135" t="s">
        <v>3150</v>
      </c>
      <c r="AB354" s="135"/>
      <c r="AC354" s="135"/>
      <c r="AD354" s="135">
        <v>46137.0</v>
      </c>
      <c r="AE354" s="135"/>
      <c r="AF354" s="135"/>
      <c r="AG354" s="135"/>
    </row>
    <row r="355" ht="21.75" hidden="1" customHeight="1">
      <c r="A355" s="135">
        <v>351.0</v>
      </c>
      <c r="B355" s="135">
        <v>25045.0</v>
      </c>
      <c r="C355" s="135"/>
      <c r="D355" s="135">
        <v>4.0</v>
      </c>
      <c r="E355" s="135" t="s">
        <v>3146</v>
      </c>
      <c r="F355" s="135" t="s">
        <v>1362</v>
      </c>
      <c r="G355" s="135" t="s">
        <v>54</v>
      </c>
      <c r="H355" s="135" t="s">
        <v>2853</v>
      </c>
      <c r="I355" s="135" t="s">
        <v>55</v>
      </c>
      <c r="J355" s="135">
        <v>1.0</v>
      </c>
      <c r="K355" s="135"/>
      <c r="L355" s="135">
        <v>2567.0</v>
      </c>
      <c r="M355" s="135">
        <v>2800.0</v>
      </c>
      <c r="N355" s="135">
        <v>120.0</v>
      </c>
      <c r="O355" s="135">
        <v>1.009</v>
      </c>
      <c r="P355" s="136">
        <v>1.0</v>
      </c>
      <c r="Q355" s="137">
        <v>2.5225</v>
      </c>
      <c r="R355" s="136">
        <v>46104.0</v>
      </c>
      <c r="S355" s="135" t="s">
        <v>3147</v>
      </c>
      <c r="T355" s="136">
        <v>46122.0</v>
      </c>
      <c r="U355" s="135" t="s">
        <v>2864</v>
      </c>
      <c r="V355" s="135" t="s">
        <v>2878</v>
      </c>
      <c r="W355" s="135" t="s">
        <v>3155</v>
      </c>
      <c r="X355" s="135"/>
      <c r="Y355" s="135"/>
      <c r="Z355" s="135" t="s">
        <v>2858</v>
      </c>
      <c r="AA355" s="135" t="s">
        <v>3150</v>
      </c>
      <c r="AB355" s="135"/>
      <c r="AC355" s="135"/>
      <c r="AD355" s="135">
        <v>46126.0</v>
      </c>
      <c r="AE355" s="135"/>
      <c r="AF355" s="135"/>
      <c r="AG355" s="135"/>
    </row>
    <row r="356" ht="21.75" hidden="1" customHeight="1">
      <c r="A356" s="135">
        <v>352.0</v>
      </c>
      <c r="B356" s="135">
        <v>25045.0</v>
      </c>
      <c r="C356" s="135"/>
      <c r="D356" s="135">
        <v>4.0</v>
      </c>
      <c r="E356" s="135" t="s">
        <v>3146</v>
      </c>
      <c r="F356" s="135" t="s">
        <v>1363</v>
      </c>
      <c r="G356" s="135" t="s">
        <v>54</v>
      </c>
      <c r="H356" s="135" t="s">
        <v>2853</v>
      </c>
      <c r="I356" s="135" t="s">
        <v>55</v>
      </c>
      <c r="J356" s="135">
        <v>1.0</v>
      </c>
      <c r="K356" s="135"/>
      <c r="L356" s="135">
        <v>3350.0</v>
      </c>
      <c r="M356" s="135">
        <v>2800.0</v>
      </c>
      <c r="N356" s="135">
        <v>120.0</v>
      </c>
      <c r="O356" s="135">
        <v>1.202</v>
      </c>
      <c r="P356" s="136">
        <v>1.0</v>
      </c>
      <c r="Q356" s="137">
        <v>3.005</v>
      </c>
      <c r="R356" s="136">
        <v>46104.0</v>
      </c>
      <c r="S356" s="135" t="s">
        <v>3147</v>
      </c>
      <c r="T356" s="136">
        <v>46122.0</v>
      </c>
      <c r="U356" s="135" t="s">
        <v>2864</v>
      </c>
      <c r="V356" s="135" t="s">
        <v>2878</v>
      </c>
      <c r="W356" s="135" t="s">
        <v>3156</v>
      </c>
      <c r="X356" s="135" t="s">
        <v>2872</v>
      </c>
      <c r="Y356" s="135"/>
      <c r="Z356" s="135" t="s">
        <v>2858</v>
      </c>
      <c r="AA356" s="135" t="s">
        <v>3150</v>
      </c>
      <c r="AB356" s="135"/>
      <c r="AC356" s="135"/>
      <c r="AD356" s="135">
        <v>46122.0</v>
      </c>
      <c r="AE356" s="135"/>
      <c r="AF356" s="135"/>
      <c r="AG356" s="135"/>
    </row>
    <row r="357" ht="21.75" hidden="1" customHeight="1">
      <c r="A357" s="135">
        <v>353.0</v>
      </c>
      <c r="B357" s="135">
        <v>25045.0</v>
      </c>
      <c r="C357" s="135" t="s">
        <v>2817</v>
      </c>
      <c r="D357" s="135">
        <v>4.0</v>
      </c>
      <c r="E357" s="135" t="s">
        <v>3146</v>
      </c>
      <c r="F357" s="135" t="s">
        <v>1364</v>
      </c>
      <c r="G357" s="135" t="s">
        <v>54</v>
      </c>
      <c r="H357" s="135" t="s">
        <v>2853</v>
      </c>
      <c r="I357" s="135" t="s">
        <v>55</v>
      </c>
      <c r="J357" s="135">
        <v>1.0</v>
      </c>
      <c r="K357" s="135" t="s">
        <v>3134</v>
      </c>
      <c r="L357" s="135">
        <v>2195.0</v>
      </c>
      <c r="M357" s="135">
        <v>2850.0</v>
      </c>
      <c r="N357" s="135">
        <v>120.0</v>
      </c>
      <c r="O357" s="135">
        <v>0.79</v>
      </c>
      <c r="P357" s="136">
        <v>0.0</v>
      </c>
      <c r="Q357" s="137">
        <v>1.975</v>
      </c>
      <c r="R357" s="136">
        <v>46104.0</v>
      </c>
      <c r="S357" s="135" t="s">
        <v>3147</v>
      </c>
      <c r="T357" s="136"/>
      <c r="U357" s="135" t="s">
        <v>2864</v>
      </c>
      <c r="V357" s="135" t="s">
        <v>2878</v>
      </c>
      <c r="W357" s="135" t="s">
        <v>3157</v>
      </c>
      <c r="X357" s="135" t="s">
        <v>3158</v>
      </c>
      <c r="Y357" s="135"/>
      <c r="Z357" s="135" t="s">
        <v>2858</v>
      </c>
      <c r="AA357" s="135"/>
      <c r="AB357" s="135"/>
      <c r="AC357" s="135"/>
      <c r="AD357" s="135">
        <v>46107.0</v>
      </c>
      <c r="AE357" s="135"/>
      <c r="AF357" s="135"/>
      <c r="AG357" s="135"/>
    </row>
    <row r="358" ht="21.75" hidden="1" customHeight="1">
      <c r="A358" s="135">
        <v>354.0</v>
      </c>
      <c r="B358" s="135">
        <v>25045.0</v>
      </c>
      <c r="C358" s="135" t="s">
        <v>2817</v>
      </c>
      <c r="D358" s="135">
        <v>4.0</v>
      </c>
      <c r="E358" s="135" t="s">
        <v>3159</v>
      </c>
      <c r="F358" s="135" t="s">
        <v>1433</v>
      </c>
      <c r="G358" s="135" t="s">
        <v>54</v>
      </c>
      <c r="H358" s="135" t="s">
        <v>2853</v>
      </c>
      <c r="I358" s="135" t="s">
        <v>60</v>
      </c>
      <c r="J358" s="135">
        <v>1.0</v>
      </c>
      <c r="K358" s="135" t="s">
        <v>3134</v>
      </c>
      <c r="L358" s="135">
        <v>2195.0</v>
      </c>
      <c r="M358" s="135">
        <v>2850.0</v>
      </c>
      <c r="N358" s="135">
        <v>120.0</v>
      </c>
      <c r="O358" s="135">
        <v>0.79</v>
      </c>
      <c r="P358" s="136">
        <v>0.0</v>
      </c>
      <c r="Q358" s="137">
        <v>1.975</v>
      </c>
      <c r="R358" s="136">
        <v>46104.0</v>
      </c>
      <c r="S358" s="135" t="s">
        <v>3147</v>
      </c>
      <c r="T358" s="136"/>
      <c r="U358" s="135" t="s">
        <v>2864</v>
      </c>
      <c r="V358" s="135" t="s">
        <v>2878</v>
      </c>
      <c r="W358" s="135" t="s">
        <v>3157</v>
      </c>
      <c r="X358" s="135" t="s">
        <v>3158</v>
      </c>
      <c r="Y358" s="135"/>
      <c r="Z358" s="135" t="s">
        <v>2858</v>
      </c>
      <c r="AA358" s="135"/>
      <c r="AB358" s="135"/>
      <c r="AC358" s="135"/>
      <c r="AD358" s="135">
        <v>46111.0</v>
      </c>
      <c r="AE358" s="135"/>
      <c r="AF358" s="135"/>
      <c r="AG358" s="135"/>
    </row>
    <row r="359" ht="21.75" hidden="1" customHeight="1">
      <c r="A359" s="135">
        <v>355.0</v>
      </c>
      <c r="B359" s="135">
        <v>25045.0</v>
      </c>
      <c r="C359" s="135" t="s">
        <v>2817</v>
      </c>
      <c r="D359" s="135">
        <v>4.0</v>
      </c>
      <c r="E359" s="135" t="s">
        <v>3160</v>
      </c>
      <c r="F359" s="135" t="s">
        <v>1450</v>
      </c>
      <c r="G359" s="135" t="s">
        <v>54</v>
      </c>
      <c r="H359" s="135" t="s">
        <v>2853</v>
      </c>
      <c r="I359" s="135" t="s">
        <v>62</v>
      </c>
      <c r="J359" s="135">
        <v>1.0</v>
      </c>
      <c r="K359" s="135" t="s">
        <v>3134</v>
      </c>
      <c r="L359" s="135">
        <v>2195.0</v>
      </c>
      <c r="M359" s="135">
        <v>2850.0</v>
      </c>
      <c r="N359" s="135">
        <v>120.0</v>
      </c>
      <c r="O359" s="135">
        <v>0.79</v>
      </c>
      <c r="P359" s="136">
        <v>0.0</v>
      </c>
      <c r="Q359" s="137">
        <v>1.975</v>
      </c>
      <c r="R359" s="136">
        <v>46104.0</v>
      </c>
      <c r="S359" s="135" t="s">
        <v>3147</v>
      </c>
      <c r="T359" s="136"/>
      <c r="U359" s="135" t="s">
        <v>2864</v>
      </c>
      <c r="V359" s="135" t="s">
        <v>2878</v>
      </c>
      <c r="W359" s="135" t="s">
        <v>3157</v>
      </c>
      <c r="X359" s="135" t="s">
        <v>3158</v>
      </c>
      <c r="Y359" s="135"/>
      <c r="Z359" s="135" t="s">
        <v>2858</v>
      </c>
      <c r="AA359" s="135"/>
      <c r="AB359" s="135"/>
      <c r="AC359" s="135"/>
      <c r="AD359" s="135">
        <v>46114.0</v>
      </c>
      <c r="AE359" s="135"/>
      <c r="AF359" s="135"/>
      <c r="AG359" s="135"/>
    </row>
    <row r="360" ht="21.75" hidden="1" customHeight="1">
      <c r="A360" s="135">
        <v>356.0</v>
      </c>
      <c r="B360" s="135">
        <v>25045.0</v>
      </c>
      <c r="C360" s="135"/>
      <c r="D360" s="135">
        <v>4.0</v>
      </c>
      <c r="E360" s="135" t="s">
        <v>3146</v>
      </c>
      <c r="F360" s="135" t="s">
        <v>1365</v>
      </c>
      <c r="G360" s="135" t="s">
        <v>54</v>
      </c>
      <c r="H360" s="135" t="s">
        <v>2853</v>
      </c>
      <c r="I360" s="135" t="s">
        <v>55</v>
      </c>
      <c r="J360" s="135">
        <v>1.0</v>
      </c>
      <c r="K360" s="135"/>
      <c r="L360" s="135">
        <v>3590.0</v>
      </c>
      <c r="M360" s="135">
        <v>2800.0</v>
      </c>
      <c r="N360" s="135">
        <v>120.0</v>
      </c>
      <c r="O360" s="135">
        <v>1.363</v>
      </c>
      <c r="P360" s="136">
        <v>1.0</v>
      </c>
      <c r="Q360" s="137">
        <v>3.4074999999999998</v>
      </c>
      <c r="R360" s="136">
        <v>46104.0</v>
      </c>
      <c r="S360" s="135" t="s">
        <v>3147</v>
      </c>
      <c r="T360" s="136">
        <v>46122.0</v>
      </c>
      <c r="U360" s="135" t="s">
        <v>2864</v>
      </c>
      <c r="V360" s="135" t="s">
        <v>2865</v>
      </c>
      <c r="W360" s="135" t="s">
        <v>3161</v>
      </c>
      <c r="X360" s="135" t="s">
        <v>2872</v>
      </c>
      <c r="Y360" s="135"/>
      <c r="Z360" s="135" t="s">
        <v>2858</v>
      </c>
      <c r="AA360" s="135" t="s">
        <v>3150</v>
      </c>
      <c r="AB360" s="135"/>
      <c r="AC360" s="135"/>
      <c r="AD360" s="135">
        <v>46123.0</v>
      </c>
      <c r="AE360" s="135"/>
      <c r="AF360" s="135"/>
      <c r="AG360" s="135"/>
    </row>
    <row r="361" ht="21.75" hidden="1" customHeight="1">
      <c r="A361" s="135">
        <v>357.0</v>
      </c>
      <c r="B361" s="135">
        <v>25045.0</v>
      </c>
      <c r="C361" s="135"/>
      <c r="D361" s="135">
        <v>4.0</v>
      </c>
      <c r="E361" s="135" t="s">
        <v>3146</v>
      </c>
      <c r="F361" s="135" t="s">
        <v>1366</v>
      </c>
      <c r="G361" s="135" t="s">
        <v>54</v>
      </c>
      <c r="H361" s="135" t="s">
        <v>2853</v>
      </c>
      <c r="I361" s="135" t="s">
        <v>55</v>
      </c>
      <c r="J361" s="135">
        <v>1.0</v>
      </c>
      <c r="K361" s="135"/>
      <c r="L361" s="135">
        <v>3594.0</v>
      </c>
      <c r="M361" s="135">
        <v>2800.0</v>
      </c>
      <c r="N361" s="135">
        <v>120.0</v>
      </c>
      <c r="O361" s="135">
        <v>1.363</v>
      </c>
      <c r="P361" s="136">
        <v>1.0</v>
      </c>
      <c r="Q361" s="137">
        <v>3.4074999999999998</v>
      </c>
      <c r="R361" s="136">
        <v>46104.0</v>
      </c>
      <c r="S361" s="135" t="s">
        <v>3147</v>
      </c>
      <c r="T361" s="136">
        <v>46122.0</v>
      </c>
      <c r="U361" s="135" t="s">
        <v>2864</v>
      </c>
      <c r="V361" s="135" t="s">
        <v>2865</v>
      </c>
      <c r="W361" s="135" t="s">
        <v>3162</v>
      </c>
      <c r="X361" s="135" t="s">
        <v>2872</v>
      </c>
      <c r="Y361" s="135"/>
      <c r="Z361" s="135" t="s">
        <v>2858</v>
      </c>
      <c r="AA361" s="135" t="s">
        <v>3150</v>
      </c>
      <c r="AB361" s="135"/>
      <c r="AC361" s="135"/>
      <c r="AD361" s="135">
        <v>46122.0</v>
      </c>
      <c r="AE361" s="135"/>
      <c r="AF361" s="135"/>
      <c r="AG361" s="135"/>
    </row>
    <row r="362" ht="21.75" hidden="1" customHeight="1">
      <c r="A362" s="135">
        <v>358.0</v>
      </c>
      <c r="B362" s="135">
        <v>25045.0</v>
      </c>
      <c r="C362" s="135"/>
      <c r="D362" s="135">
        <v>4.0</v>
      </c>
      <c r="E362" s="135" t="s">
        <v>3146</v>
      </c>
      <c r="F362" s="135" t="s">
        <v>1367</v>
      </c>
      <c r="G362" s="135" t="s">
        <v>54</v>
      </c>
      <c r="H362" s="135" t="s">
        <v>2853</v>
      </c>
      <c r="I362" s="135" t="s">
        <v>55</v>
      </c>
      <c r="J362" s="135">
        <v>1.0</v>
      </c>
      <c r="K362" s="135"/>
      <c r="L362" s="135">
        <v>3590.0</v>
      </c>
      <c r="M362" s="135">
        <v>2800.0</v>
      </c>
      <c r="N362" s="135">
        <v>120.0</v>
      </c>
      <c r="O362" s="135">
        <v>1.363</v>
      </c>
      <c r="P362" s="136">
        <v>1.0</v>
      </c>
      <c r="Q362" s="137">
        <v>3.4074999999999998</v>
      </c>
      <c r="R362" s="136">
        <v>46104.0</v>
      </c>
      <c r="S362" s="135" t="s">
        <v>3147</v>
      </c>
      <c r="T362" s="136">
        <v>46122.0</v>
      </c>
      <c r="U362" s="135" t="s">
        <v>2864</v>
      </c>
      <c r="V362" s="135" t="s">
        <v>2865</v>
      </c>
      <c r="W362" s="135" t="s">
        <v>3162</v>
      </c>
      <c r="X362" s="135" t="s">
        <v>2872</v>
      </c>
      <c r="Y362" s="135"/>
      <c r="Z362" s="135" t="s">
        <v>2858</v>
      </c>
      <c r="AA362" s="135" t="s">
        <v>3150</v>
      </c>
      <c r="AB362" s="135"/>
      <c r="AC362" s="135"/>
      <c r="AD362" s="135">
        <v>46121.0</v>
      </c>
      <c r="AE362" s="135"/>
      <c r="AF362" s="135"/>
      <c r="AG362" s="135"/>
    </row>
    <row r="363" ht="21.75" hidden="1" customHeight="1">
      <c r="A363" s="135">
        <v>359.0</v>
      </c>
      <c r="B363" s="135">
        <v>25045.0</v>
      </c>
      <c r="C363" s="135"/>
      <c r="D363" s="135">
        <v>4.0</v>
      </c>
      <c r="E363" s="135" t="s">
        <v>3146</v>
      </c>
      <c r="F363" s="135" t="s">
        <v>1368</v>
      </c>
      <c r="G363" s="135" t="s">
        <v>54</v>
      </c>
      <c r="H363" s="135" t="s">
        <v>2853</v>
      </c>
      <c r="I363" s="135" t="s">
        <v>55</v>
      </c>
      <c r="J363" s="135">
        <v>1.0</v>
      </c>
      <c r="K363" s="135"/>
      <c r="L363" s="135">
        <v>4668.0</v>
      </c>
      <c r="M363" s="135">
        <v>2800.0</v>
      </c>
      <c r="N363" s="135">
        <v>120.0</v>
      </c>
      <c r="O363" s="135">
        <v>1.525</v>
      </c>
      <c r="P363" s="136">
        <v>0.0</v>
      </c>
      <c r="Q363" s="137">
        <v>3.8125</v>
      </c>
      <c r="R363" s="136">
        <v>46104.0</v>
      </c>
      <c r="S363" s="135" t="s">
        <v>3147</v>
      </c>
      <c r="T363" s="136"/>
      <c r="U363" s="135" t="s">
        <v>2864</v>
      </c>
      <c r="V363" s="135" t="s">
        <v>2985</v>
      </c>
      <c r="W363" s="135" t="s">
        <v>3163</v>
      </c>
      <c r="X363" s="135" t="s">
        <v>3164</v>
      </c>
      <c r="Y363" s="135"/>
      <c r="Z363" s="135" t="s">
        <v>2858</v>
      </c>
      <c r="AA363" s="135"/>
      <c r="AB363" s="135"/>
      <c r="AC363" s="135"/>
      <c r="AD363" s="135">
        <v>46123.0</v>
      </c>
      <c r="AE363" s="135"/>
      <c r="AF363" s="135"/>
      <c r="AG363" s="135"/>
    </row>
    <row r="364" ht="21.75" hidden="1" customHeight="1">
      <c r="A364" s="135">
        <v>360.0</v>
      </c>
      <c r="B364" s="135">
        <v>25045.0</v>
      </c>
      <c r="C364" s="135"/>
      <c r="D364" s="135">
        <v>4.0</v>
      </c>
      <c r="E364" s="135" t="s">
        <v>3146</v>
      </c>
      <c r="F364" s="135" t="s">
        <v>1369</v>
      </c>
      <c r="G364" s="135" t="s">
        <v>54</v>
      </c>
      <c r="H364" s="135" t="s">
        <v>2853</v>
      </c>
      <c r="I364" s="135" t="s">
        <v>55</v>
      </c>
      <c r="J364" s="135">
        <v>1.0</v>
      </c>
      <c r="K364" s="135"/>
      <c r="L364" s="135">
        <v>5015.0</v>
      </c>
      <c r="M364" s="135">
        <v>3220.0</v>
      </c>
      <c r="N364" s="135">
        <v>120.0</v>
      </c>
      <c r="O364" s="135">
        <v>2.274</v>
      </c>
      <c r="P364" s="136">
        <v>0.0</v>
      </c>
      <c r="Q364" s="137">
        <v>5.6850000000000005</v>
      </c>
      <c r="R364" s="136">
        <v>46104.0</v>
      </c>
      <c r="S364" s="135" t="s">
        <v>3147</v>
      </c>
      <c r="T364" s="136"/>
      <c r="U364" s="135" t="s">
        <v>2855</v>
      </c>
      <c r="V364" s="135" t="s">
        <v>2878</v>
      </c>
      <c r="W364" s="135" t="s">
        <v>2915</v>
      </c>
      <c r="X364" s="135"/>
      <c r="Y364" s="135"/>
      <c r="Z364" s="135" t="s">
        <v>2858</v>
      </c>
      <c r="AA364" s="135"/>
      <c r="AB364" s="135"/>
      <c r="AC364" s="135"/>
      <c r="AD364" s="135">
        <v>46106.0</v>
      </c>
      <c r="AE364" s="135"/>
      <c r="AF364" s="135"/>
      <c r="AG364" s="135"/>
    </row>
    <row r="365" ht="21.75" hidden="1" customHeight="1">
      <c r="A365" s="135">
        <v>361.0</v>
      </c>
      <c r="B365" s="135">
        <v>25045.0</v>
      </c>
      <c r="C365" s="135"/>
      <c r="D365" s="135">
        <v>4.0</v>
      </c>
      <c r="E365" s="135" t="s">
        <v>3146</v>
      </c>
      <c r="F365" s="135" t="s">
        <v>1370</v>
      </c>
      <c r="G365" s="135" t="s">
        <v>54</v>
      </c>
      <c r="H365" s="135" t="s">
        <v>2853</v>
      </c>
      <c r="I365" s="135" t="s">
        <v>55</v>
      </c>
      <c r="J365" s="135">
        <v>1.0</v>
      </c>
      <c r="K365" s="135"/>
      <c r="L365" s="135">
        <v>4655.0</v>
      </c>
      <c r="M365" s="135">
        <v>3220.0</v>
      </c>
      <c r="N365" s="135">
        <v>120.0</v>
      </c>
      <c r="O365" s="135">
        <v>1.833</v>
      </c>
      <c r="P365" s="136">
        <v>0.0</v>
      </c>
      <c r="Q365" s="137">
        <v>4.5825</v>
      </c>
      <c r="R365" s="136">
        <v>46104.0</v>
      </c>
      <c r="S365" s="135" t="s">
        <v>3147</v>
      </c>
      <c r="T365" s="136"/>
      <c r="U365" s="135" t="s">
        <v>2864</v>
      </c>
      <c r="V365" s="135" t="s">
        <v>2890</v>
      </c>
      <c r="W365" s="135" t="s">
        <v>3165</v>
      </c>
      <c r="X365" s="135" t="s">
        <v>3166</v>
      </c>
      <c r="Y365" s="135"/>
      <c r="Z365" s="135" t="s">
        <v>2858</v>
      </c>
      <c r="AA365" s="135"/>
      <c r="AB365" s="135"/>
      <c r="AC365" s="135"/>
      <c r="AD365" s="135">
        <v>46120.0</v>
      </c>
      <c r="AE365" s="135"/>
      <c r="AF365" s="135"/>
      <c r="AG365" s="135"/>
    </row>
    <row r="366" ht="21.75" hidden="1" customHeight="1">
      <c r="A366" s="135">
        <v>362.0</v>
      </c>
      <c r="B366" s="135">
        <v>25045.0</v>
      </c>
      <c r="C366" s="135"/>
      <c r="D366" s="135">
        <v>4.0</v>
      </c>
      <c r="E366" s="135" t="s">
        <v>3146</v>
      </c>
      <c r="F366" s="135" t="s">
        <v>1371</v>
      </c>
      <c r="G366" s="135" t="s">
        <v>54</v>
      </c>
      <c r="H366" s="135" t="s">
        <v>2853</v>
      </c>
      <c r="I366" s="135" t="s">
        <v>55</v>
      </c>
      <c r="J366" s="135">
        <v>1.0</v>
      </c>
      <c r="K366" s="135"/>
      <c r="L366" s="135">
        <v>4320.0</v>
      </c>
      <c r="M366" s="135">
        <v>1250.0</v>
      </c>
      <c r="N366" s="135">
        <v>120.0</v>
      </c>
      <c r="O366" s="135">
        <v>0.834</v>
      </c>
      <c r="P366" s="136">
        <v>0.0</v>
      </c>
      <c r="Q366" s="137">
        <v>2.085</v>
      </c>
      <c r="R366" s="136">
        <v>46104.0</v>
      </c>
      <c r="S366" s="135" t="s">
        <v>3147</v>
      </c>
      <c r="T366" s="136"/>
      <c r="U366" s="135" t="s">
        <v>2864</v>
      </c>
      <c r="V366" s="135" t="s">
        <v>3144</v>
      </c>
      <c r="W366" s="135" t="s">
        <v>3167</v>
      </c>
      <c r="X366" s="135"/>
      <c r="Y366" s="135"/>
      <c r="Z366" s="135" t="s">
        <v>2858</v>
      </c>
      <c r="AA366" s="135"/>
      <c r="AB366" s="135"/>
      <c r="AC366" s="135"/>
      <c r="AD366" s="135">
        <v>46107.0</v>
      </c>
      <c r="AE366" s="135"/>
      <c r="AF366" s="135"/>
      <c r="AG366" s="135"/>
    </row>
    <row r="367" ht="21.75" hidden="1" customHeight="1">
      <c r="A367" s="135">
        <v>363.0</v>
      </c>
      <c r="B367" s="135">
        <v>25045.0</v>
      </c>
      <c r="C367" s="135"/>
      <c r="D367" s="135">
        <v>4.0</v>
      </c>
      <c r="E367" s="135" t="s">
        <v>3146</v>
      </c>
      <c r="F367" s="135" t="s">
        <v>1372</v>
      </c>
      <c r="G367" s="135" t="s">
        <v>54</v>
      </c>
      <c r="H367" s="135" t="s">
        <v>2853</v>
      </c>
      <c r="I367" s="135" t="s">
        <v>55</v>
      </c>
      <c r="J367" s="135">
        <v>1.0</v>
      </c>
      <c r="K367" s="135"/>
      <c r="L367" s="135">
        <v>1635.0</v>
      </c>
      <c r="M367" s="135">
        <v>1546.0</v>
      </c>
      <c r="N367" s="135">
        <v>120.0</v>
      </c>
      <c r="O367" s="135">
        <v>0.398</v>
      </c>
      <c r="P367" s="136">
        <v>0.0</v>
      </c>
      <c r="Q367" s="137">
        <v>0.9950000000000001</v>
      </c>
      <c r="R367" s="136">
        <v>46104.0</v>
      </c>
      <c r="S367" s="135" t="s">
        <v>3147</v>
      </c>
      <c r="T367" s="136"/>
      <c r="U367" s="135" t="s">
        <v>2864</v>
      </c>
      <c r="V367" s="135" t="s">
        <v>2873</v>
      </c>
      <c r="W367" s="135" t="s">
        <v>3168</v>
      </c>
      <c r="X367" s="135"/>
      <c r="Y367" s="135"/>
      <c r="Z367" s="135" t="s">
        <v>2858</v>
      </c>
      <c r="AA367" s="135"/>
      <c r="AB367" s="135"/>
      <c r="AC367" s="135"/>
      <c r="AD367" s="135">
        <v>46113.0</v>
      </c>
      <c r="AE367" s="135"/>
      <c r="AF367" s="135"/>
      <c r="AG367" s="135"/>
    </row>
    <row r="368" ht="21.75" hidden="1" customHeight="1">
      <c r="A368" s="135">
        <v>364.0</v>
      </c>
      <c r="B368" s="135">
        <v>25045.0</v>
      </c>
      <c r="C368" s="135"/>
      <c r="D368" s="135">
        <v>4.0</v>
      </c>
      <c r="E368" s="135" t="s">
        <v>3146</v>
      </c>
      <c r="F368" s="135" t="s">
        <v>1373</v>
      </c>
      <c r="G368" s="135" t="s">
        <v>54</v>
      </c>
      <c r="H368" s="135" t="s">
        <v>2853</v>
      </c>
      <c r="I368" s="135" t="s">
        <v>55</v>
      </c>
      <c r="J368" s="135">
        <v>1.0</v>
      </c>
      <c r="K368" s="135"/>
      <c r="L368" s="135">
        <v>1870.0</v>
      </c>
      <c r="M368" s="135">
        <v>1000.0</v>
      </c>
      <c r="N368" s="135">
        <v>120.0</v>
      </c>
      <c r="O368" s="135">
        <v>0.396</v>
      </c>
      <c r="P368" s="136">
        <v>0.0</v>
      </c>
      <c r="Q368" s="137">
        <v>0.99</v>
      </c>
      <c r="R368" s="136">
        <v>46104.0</v>
      </c>
      <c r="S368" s="135" t="s">
        <v>3147</v>
      </c>
      <c r="T368" s="136"/>
      <c r="U368" s="135" t="s">
        <v>2950</v>
      </c>
      <c r="V368" s="135" t="s">
        <v>2951</v>
      </c>
      <c r="W368" s="135" t="s">
        <v>3169</v>
      </c>
      <c r="X368" s="135"/>
      <c r="Y368" s="135"/>
      <c r="Z368" s="135" t="s">
        <v>2858</v>
      </c>
      <c r="AA368" s="135"/>
      <c r="AB368" s="135"/>
      <c r="AC368" s="135"/>
      <c r="AD368" s="135">
        <v>46111.0</v>
      </c>
      <c r="AE368" s="135"/>
      <c r="AF368" s="135"/>
      <c r="AG368" s="135"/>
    </row>
    <row r="369" ht="21.75" hidden="1" customHeight="1">
      <c r="A369" s="135">
        <v>365.0</v>
      </c>
      <c r="B369" s="135">
        <v>25045.0</v>
      </c>
      <c r="C369" s="135"/>
      <c r="D369" s="135">
        <v>4.0</v>
      </c>
      <c r="E369" s="135" t="s">
        <v>3146</v>
      </c>
      <c r="F369" s="135" t="s">
        <v>1374</v>
      </c>
      <c r="G369" s="135" t="s">
        <v>54</v>
      </c>
      <c r="H369" s="135" t="s">
        <v>2853</v>
      </c>
      <c r="I369" s="135" t="s">
        <v>55</v>
      </c>
      <c r="J369" s="135">
        <v>1.0</v>
      </c>
      <c r="K369" s="135"/>
      <c r="L369" s="135">
        <v>4006.0</v>
      </c>
      <c r="M369" s="135">
        <v>1000.0</v>
      </c>
      <c r="N369" s="135">
        <v>120.0</v>
      </c>
      <c r="O369" s="135">
        <v>0.798</v>
      </c>
      <c r="P369" s="136">
        <v>0.0</v>
      </c>
      <c r="Q369" s="137">
        <v>1.995</v>
      </c>
      <c r="R369" s="136">
        <v>46104.0</v>
      </c>
      <c r="S369" s="135" t="s">
        <v>3147</v>
      </c>
      <c r="T369" s="136"/>
      <c r="U369" s="135" t="s">
        <v>2972</v>
      </c>
      <c r="V369" s="135" t="s">
        <v>2951</v>
      </c>
      <c r="W369" s="135" t="s">
        <v>3170</v>
      </c>
      <c r="X369" s="135"/>
      <c r="Y369" s="135"/>
      <c r="Z369" s="135" t="s">
        <v>2858</v>
      </c>
      <c r="AA369" s="135"/>
      <c r="AB369" s="135"/>
      <c r="AC369" s="135"/>
      <c r="AD369" s="135">
        <v>46113.0</v>
      </c>
      <c r="AE369" s="135"/>
      <c r="AF369" s="135"/>
      <c r="AG369" s="135"/>
    </row>
    <row r="370" ht="21.75" hidden="1" customHeight="1">
      <c r="A370" s="135">
        <v>366.0</v>
      </c>
      <c r="B370" s="135">
        <v>25045.0</v>
      </c>
      <c r="C370" s="135"/>
      <c r="D370" s="135">
        <v>4.0</v>
      </c>
      <c r="E370" s="135" t="s">
        <v>3146</v>
      </c>
      <c r="F370" s="135" t="s">
        <v>1375</v>
      </c>
      <c r="G370" s="135" t="s">
        <v>54</v>
      </c>
      <c r="H370" s="135" t="s">
        <v>2853</v>
      </c>
      <c r="I370" s="135" t="s">
        <v>55</v>
      </c>
      <c r="J370" s="135">
        <v>1.0</v>
      </c>
      <c r="K370" s="135"/>
      <c r="L370" s="135">
        <v>4012.0</v>
      </c>
      <c r="M370" s="135">
        <v>1000.0</v>
      </c>
      <c r="N370" s="135">
        <v>120.0</v>
      </c>
      <c r="O370" s="135">
        <v>0.798</v>
      </c>
      <c r="P370" s="136">
        <v>0.0</v>
      </c>
      <c r="Q370" s="137">
        <v>1.995</v>
      </c>
      <c r="R370" s="136">
        <v>46104.0</v>
      </c>
      <c r="S370" s="135" t="s">
        <v>3147</v>
      </c>
      <c r="T370" s="136"/>
      <c r="U370" s="135" t="s">
        <v>2972</v>
      </c>
      <c r="V370" s="135" t="s">
        <v>2951</v>
      </c>
      <c r="W370" s="135" t="s">
        <v>3171</v>
      </c>
      <c r="X370" s="135"/>
      <c r="Y370" s="135"/>
      <c r="Z370" s="135" t="s">
        <v>2858</v>
      </c>
      <c r="AA370" s="135"/>
      <c r="AB370" s="135"/>
      <c r="AC370" s="135"/>
      <c r="AD370" s="135">
        <v>46119.0</v>
      </c>
      <c r="AE370" s="135"/>
      <c r="AF370" s="135"/>
      <c r="AG370" s="135"/>
    </row>
    <row r="371" ht="21.75" hidden="1" customHeight="1">
      <c r="A371" s="135">
        <v>367.0</v>
      </c>
      <c r="B371" s="135">
        <v>25045.0</v>
      </c>
      <c r="C371" s="135"/>
      <c r="D371" s="135">
        <v>4.0</v>
      </c>
      <c r="E371" s="135" t="s">
        <v>3146</v>
      </c>
      <c r="F371" s="135" t="s">
        <v>1376</v>
      </c>
      <c r="G371" s="135" t="s">
        <v>54</v>
      </c>
      <c r="H371" s="135" t="s">
        <v>2965</v>
      </c>
      <c r="I371" s="135" t="s">
        <v>55</v>
      </c>
      <c r="J371" s="135">
        <v>1.0</v>
      </c>
      <c r="K371" s="135"/>
      <c r="L371" s="135">
        <v>400.0</v>
      </c>
      <c r="M371" s="135">
        <v>3170.0</v>
      </c>
      <c r="N371" s="135">
        <v>350.0</v>
      </c>
      <c r="O371" s="135">
        <v>0.508</v>
      </c>
      <c r="P371" s="136">
        <v>1.0</v>
      </c>
      <c r="Q371" s="137">
        <v>1.27</v>
      </c>
      <c r="R371" s="136">
        <v>46104.0</v>
      </c>
      <c r="S371" s="135" t="s">
        <v>3147</v>
      </c>
      <c r="T371" s="136">
        <v>46107.0</v>
      </c>
      <c r="U371" s="135" t="s">
        <v>2966</v>
      </c>
      <c r="V371" s="135" t="s">
        <v>2967</v>
      </c>
      <c r="W371" s="135"/>
      <c r="X371" s="135" t="s">
        <v>3172</v>
      </c>
      <c r="Y371" s="135"/>
      <c r="Z371" s="135" t="s">
        <v>2858</v>
      </c>
      <c r="AA371" s="135" t="s">
        <v>3173</v>
      </c>
      <c r="AB371" s="135"/>
      <c r="AC371" s="135"/>
      <c r="AD371" s="135">
        <v>46114.0</v>
      </c>
      <c r="AE371" s="135"/>
      <c r="AF371" s="135"/>
      <c r="AG371" s="135"/>
    </row>
    <row r="372" ht="21.75" hidden="1" customHeight="1">
      <c r="A372" s="135">
        <v>368.0</v>
      </c>
      <c r="B372" s="135">
        <v>25045.0</v>
      </c>
      <c r="C372" s="135" t="s">
        <v>2817</v>
      </c>
      <c r="D372" s="135">
        <v>4.0</v>
      </c>
      <c r="E372" s="135" t="s">
        <v>3174</v>
      </c>
      <c r="F372" s="135" t="s">
        <v>1384</v>
      </c>
      <c r="G372" s="135" t="s">
        <v>54</v>
      </c>
      <c r="H372" s="135" t="s">
        <v>2853</v>
      </c>
      <c r="I372" s="135" t="s">
        <v>57</v>
      </c>
      <c r="J372" s="135">
        <v>1.0</v>
      </c>
      <c r="K372" s="135" t="s">
        <v>3134</v>
      </c>
      <c r="L372" s="135">
        <v>4455.0</v>
      </c>
      <c r="M372" s="135">
        <v>1350.0</v>
      </c>
      <c r="N372" s="135">
        <v>120.0</v>
      </c>
      <c r="O372" s="135">
        <v>0.87</v>
      </c>
      <c r="P372" s="136">
        <v>0.0</v>
      </c>
      <c r="Q372" s="137">
        <v>2.175</v>
      </c>
      <c r="R372" s="136">
        <v>46104.0</v>
      </c>
      <c r="S372" s="135" t="s">
        <v>3147</v>
      </c>
      <c r="T372" s="136"/>
      <c r="U372" s="135" t="s">
        <v>2855</v>
      </c>
      <c r="V372" s="135" t="s">
        <v>2856</v>
      </c>
      <c r="W372" s="135" t="s">
        <v>3175</v>
      </c>
      <c r="X372" s="135"/>
      <c r="Y372" s="135"/>
      <c r="Z372" s="135" t="s">
        <v>2858</v>
      </c>
      <c r="AA372" s="135"/>
      <c r="AB372" s="135"/>
      <c r="AC372" s="135"/>
      <c r="AD372" s="135">
        <v>46106.0</v>
      </c>
      <c r="AE372" s="135"/>
      <c r="AF372" s="135"/>
      <c r="AG372" s="135"/>
    </row>
    <row r="373" ht="21.75" hidden="1" customHeight="1">
      <c r="A373" s="135">
        <v>369.0</v>
      </c>
      <c r="B373" s="135">
        <v>25045.0</v>
      </c>
      <c r="C373" s="135" t="s">
        <v>2817</v>
      </c>
      <c r="D373" s="135">
        <v>4.0</v>
      </c>
      <c r="E373" s="135" t="s">
        <v>3174</v>
      </c>
      <c r="F373" s="135" t="s">
        <v>1385</v>
      </c>
      <c r="G373" s="135" t="s">
        <v>54</v>
      </c>
      <c r="H373" s="135" t="s">
        <v>2853</v>
      </c>
      <c r="I373" s="135" t="s">
        <v>57</v>
      </c>
      <c r="J373" s="135">
        <v>1.0</v>
      </c>
      <c r="K373" s="135" t="s">
        <v>3134</v>
      </c>
      <c r="L373" s="135">
        <v>4455.0</v>
      </c>
      <c r="M373" s="135">
        <v>1350.0</v>
      </c>
      <c r="N373" s="135">
        <v>120.0</v>
      </c>
      <c r="O373" s="135">
        <v>0.87</v>
      </c>
      <c r="P373" s="136">
        <v>0.0</v>
      </c>
      <c r="Q373" s="137">
        <v>2.175</v>
      </c>
      <c r="R373" s="136">
        <v>46104.0</v>
      </c>
      <c r="S373" s="135" t="s">
        <v>3147</v>
      </c>
      <c r="T373" s="136"/>
      <c r="U373" s="135" t="s">
        <v>2855</v>
      </c>
      <c r="V373" s="135" t="s">
        <v>2856</v>
      </c>
      <c r="W373" s="135" t="s">
        <v>3175</v>
      </c>
      <c r="X373" s="135"/>
      <c r="Y373" s="135"/>
      <c r="Z373" s="135" t="s">
        <v>2858</v>
      </c>
      <c r="AA373" s="135"/>
      <c r="AB373" s="135"/>
      <c r="AC373" s="135"/>
      <c r="AD373" s="135">
        <v>46107.0</v>
      </c>
      <c r="AE373" s="135"/>
      <c r="AF373" s="135"/>
      <c r="AG373" s="135"/>
    </row>
    <row r="374" ht="21.75" hidden="1" customHeight="1">
      <c r="A374" s="135">
        <v>370.0</v>
      </c>
      <c r="B374" s="135">
        <v>25045.0</v>
      </c>
      <c r="C374" s="135" t="s">
        <v>2817</v>
      </c>
      <c r="D374" s="135">
        <v>4.0</v>
      </c>
      <c r="E374" s="135" t="s">
        <v>3176</v>
      </c>
      <c r="F374" s="135" t="s">
        <v>1400</v>
      </c>
      <c r="G374" s="135" t="s">
        <v>54</v>
      </c>
      <c r="H374" s="135" t="s">
        <v>2853</v>
      </c>
      <c r="I374" s="135" t="s">
        <v>58</v>
      </c>
      <c r="J374" s="135">
        <v>1.0</v>
      </c>
      <c r="K374" s="135" t="s">
        <v>3134</v>
      </c>
      <c r="L374" s="135">
        <v>4455.0</v>
      </c>
      <c r="M374" s="135">
        <v>1350.0</v>
      </c>
      <c r="N374" s="135">
        <v>120.0</v>
      </c>
      <c r="O374" s="135">
        <v>0.87</v>
      </c>
      <c r="P374" s="136">
        <v>0.0</v>
      </c>
      <c r="Q374" s="137">
        <v>2.175</v>
      </c>
      <c r="R374" s="136">
        <v>46104.0</v>
      </c>
      <c r="S374" s="135" t="s">
        <v>3147</v>
      </c>
      <c r="T374" s="136"/>
      <c r="U374" s="135" t="s">
        <v>2855</v>
      </c>
      <c r="V374" s="135" t="s">
        <v>2856</v>
      </c>
      <c r="W374" s="135" t="s">
        <v>3175</v>
      </c>
      <c r="X374" s="135"/>
      <c r="Y374" s="135"/>
      <c r="Z374" s="135" t="s">
        <v>2858</v>
      </c>
      <c r="AA374" s="135"/>
      <c r="AB374" s="135"/>
      <c r="AC374" s="135"/>
      <c r="AD374" s="135">
        <v>46109.0</v>
      </c>
      <c r="AE374" s="135"/>
      <c r="AF374" s="135"/>
      <c r="AG374" s="135"/>
    </row>
    <row r="375" ht="21.75" hidden="1" customHeight="1">
      <c r="A375" s="135">
        <v>371.0</v>
      </c>
      <c r="B375" s="135">
        <v>25045.0</v>
      </c>
      <c r="C375" s="135" t="s">
        <v>2817</v>
      </c>
      <c r="D375" s="135">
        <v>4.0</v>
      </c>
      <c r="E375" s="135" t="s">
        <v>3176</v>
      </c>
      <c r="F375" s="135" t="s">
        <v>1401</v>
      </c>
      <c r="G375" s="135" t="s">
        <v>54</v>
      </c>
      <c r="H375" s="135" t="s">
        <v>2853</v>
      </c>
      <c r="I375" s="135" t="s">
        <v>58</v>
      </c>
      <c r="J375" s="135">
        <v>1.0</v>
      </c>
      <c r="K375" s="135" t="s">
        <v>3134</v>
      </c>
      <c r="L375" s="135">
        <v>4455.0</v>
      </c>
      <c r="M375" s="135">
        <v>1350.0</v>
      </c>
      <c r="N375" s="135">
        <v>120.0</v>
      </c>
      <c r="O375" s="135">
        <v>0.87</v>
      </c>
      <c r="P375" s="136">
        <v>0.0</v>
      </c>
      <c r="Q375" s="137">
        <v>2.175</v>
      </c>
      <c r="R375" s="136">
        <v>46104.0</v>
      </c>
      <c r="S375" s="135" t="s">
        <v>3147</v>
      </c>
      <c r="T375" s="136"/>
      <c r="U375" s="135" t="s">
        <v>2855</v>
      </c>
      <c r="V375" s="135" t="s">
        <v>2856</v>
      </c>
      <c r="W375" s="135" t="s">
        <v>3175</v>
      </c>
      <c r="X375" s="135"/>
      <c r="Y375" s="135"/>
      <c r="Z375" s="135" t="s">
        <v>2858</v>
      </c>
      <c r="AA375" s="135"/>
      <c r="AB375" s="135"/>
      <c r="AC375" s="135"/>
      <c r="AD375" s="135">
        <v>46111.0</v>
      </c>
      <c r="AE375" s="135"/>
      <c r="AF375" s="135"/>
      <c r="AG375" s="135"/>
    </row>
    <row r="376" ht="21.75" hidden="1" customHeight="1">
      <c r="A376" s="135">
        <v>372.0</v>
      </c>
      <c r="B376" s="135">
        <v>25045.0</v>
      </c>
      <c r="C376" s="135" t="s">
        <v>2817</v>
      </c>
      <c r="D376" s="135">
        <v>4.0</v>
      </c>
      <c r="E376" s="135" t="s">
        <v>3174</v>
      </c>
      <c r="F376" s="135" t="s">
        <v>1386</v>
      </c>
      <c r="G376" s="135" t="s">
        <v>54</v>
      </c>
      <c r="H376" s="135" t="s">
        <v>2853</v>
      </c>
      <c r="I376" s="135" t="s">
        <v>57</v>
      </c>
      <c r="J376" s="135">
        <v>1.0</v>
      </c>
      <c r="K376" s="135" t="s">
        <v>3134</v>
      </c>
      <c r="L376" s="135">
        <v>4455.0</v>
      </c>
      <c r="M376" s="135">
        <v>2850.0</v>
      </c>
      <c r="N376" s="135">
        <v>120.0</v>
      </c>
      <c r="O376" s="135">
        <v>0.941</v>
      </c>
      <c r="P376" s="136">
        <v>0.0</v>
      </c>
      <c r="Q376" s="137">
        <v>2.3525</v>
      </c>
      <c r="R376" s="136">
        <v>46104.0</v>
      </c>
      <c r="S376" s="135" t="s">
        <v>3147</v>
      </c>
      <c r="T376" s="136"/>
      <c r="U376" s="135" t="s">
        <v>2855</v>
      </c>
      <c r="V376" s="135" t="s">
        <v>2856</v>
      </c>
      <c r="W376" s="135" t="s">
        <v>3177</v>
      </c>
      <c r="X376" s="135" t="s">
        <v>3178</v>
      </c>
      <c r="Y376" s="135"/>
      <c r="Z376" s="135" t="s">
        <v>2858</v>
      </c>
      <c r="AA376" s="135"/>
      <c r="AB376" s="135"/>
      <c r="AC376" s="135"/>
      <c r="AD376" s="135" t="e">
        <v>#N/A</v>
      </c>
      <c r="AE376" s="135"/>
      <c r="AF376" s="135"/>
      <c r="AG376" s="135"/>
    </row>
    <row r="377" ht="21.75" hidden="1" customHeight="1">
      <c r="A377" s="135">
        <v>373.0</v>
      </c>
      <c r="B377" s="135">
        <v>25045.0</v>
      </c>
      <c r="C377" s="135" t="s">
        <v>2817</v>
      </c>
      <c r="D377" s="135">
        <v>4.0</v>
      </c>
      <c r="E377" s="135" t="s">
        <v>3176</v>
      </c>
      <c r="F377" s="135" t="s">
        <v>1402</v>
      </c>
      <c r="G377" s="135" t="s">
        <v>54</v>
      </c>
      <c r="H377" s="135" t="s">
        <v>2853</v>
      </c>
      <c r="I377" s="135" t="s">
        <v>58</v>
      </c>
      <c r="J377" s="135">
        <v>1.0</v>
      </c>
      <c r="K377" s="135" t="s">
        <v>3134</v>
      </c>
      <c r="L377" s="135">
        <v>4455.0</v>
      </c>
      <c r="M377" s="135">
        <v>2850.0</v>
      </c>
      <c r="N377" s="135">
        <v>120.0</v>
      </c>
      <c r="O377" s="135">
        <v>0.941</v>
      </c>
      <c r="P377" s="136">
        <v>0.0</v>
      </c>
      <c r="Q377" s="137">
        <v>2.3525</v>
      </c>
      <c r="R377" s="136">
        <v>46104.0</v>
      </c>
      <c r="S377" s="135" t="s">
        <v>3147</v>
      </c>
      <c r="T377" s="136"/>
      <c r="U377" s="135" t="s">
        <v>2855</v>
      </c>
      <c r="V377" s="135" t="s">
        <v>2856</v>
      </c>
      <c r="W377" s="135" t="s">
        <v>3177</v>
      </c>
      <c r="X377" s="135" t="s">
        <v>3178</v>
      </c>
      <c r="Y377" s="135"/>
      <c r="Z377" s="135" t="s">
        <v>2858</v>
      </c>
      <c r="AA377" s="135"/>
      <c r="AB377" s="135"/>
      <c r="AC377" s="135"/>
      <c r="AD377" s="135" t="e">
        <v>#N/A</v>
      </c>
      <c r="AE377" s="135"/>
      <c r="AF377" s="135"/>
      <c r="AG377" s="135"/>
    </row>
    <row r="378" ht="21.75" hidden="1" customHeight="1">
      <c r="A378" s="135">
        <v>374.0</v>
      </c>
      <c r="B378" s="135">
        <v>25045.0</v>
      </c>
      <c r="C378" s="135" t="s">
        <v>2817</v>
      </c>
      <c r="D378" s="135">
        <v>4.0</v>
      </c>
      <c r="E378" s="135" t="s">
        <v>3174</v>
      </c>
      <c r="F378" s="135" t="s">
        <v>1387</v>
      </c>
      <c r="G378" s="135" t="s">
        <v>54</v>
      </c>
      <c r="H378" s="135" t="s">
        <v>2853</v>
      </c>
      <c r="I378" s="135" t="s">
        <v>57</v>
      </c>
      <c r="J378" s="135">
        <v>1.0</v>
      </c>
      <c r="K378" s="135"/>
      <c r="L378" s="135">
        <v>2595.0</v>
      </c>
      <c r="M378" s="135">
        <v>3270.0</v>
      </c>
      <c r="N378" s="135">
        <v>120.0</v>
      </c>
      <c r="O378" s="135">
        <v>0.935</v>
      </c>
      <c r="P378" s="136">
        <v>0.0</v>
      </c>
      <c r="Q378" s="137">
        <v>2.3375000000000004</v>
      </c>
      <c r="R378" s="136">
        <v>46104.0</v>
      </c>
      <c r="S378" s="135" t="s">
        <v>3147</v>
      </c>
      <c r="T378" s="136"/>
      <c r="U378" s="135" t="s">
        <v>2864</v>
      </c>
      <c r="V378" s="135" t="s">
        <v>2878</v>
      </c>
      <c r="W378" s="135" t="s">
        <v>2962</v>
      </c>
      <c r="X378" s="135" t="s">
        <v>3179</v>
      </c>
      <c r="Y378" s="135"/>
      <c r="Z378" s="135" t="s">
        <v>2858</v>
      </c>
      <c r="AA378" s="135"/>
      <c r="AB378" s="135"/>
      <c r="AC378" s="135"/>
      <c r="AD378" s="135">
        <v>46115.0</v>
      </c>
      <c r="AE378" s="135"/>
      <c r="AF378" s="135"/>
      <c r="AG378" s="135"/>
    </row>
    <row r="379" ht="21.75" hidden="1" customHeight="1">
      <c r="A379" s="135">
        <v>375.0</v>
      </c>
      <c r="B379" s="135">
        <v>25045.0</v>
      </c>
      <c r="C379" s="135"/>
      <c r="D379" s="135">
        <v>4.0</v>
      </c>
      <c r="E379" s="135" t="s">
        <v>3174</v>
      </c>
      <c r="F379" s="135" t="s">
        <v>1388</v>
      </c>
      <c r="G379" s="135" t="s">
        <v>54</v>
      </c>
      <c r="H379" s="135" t="s">
        <v>2853</v>
      </c>
      <c r="I379" s="135" t="s">
        <v>57</v>
      </c>
      <c r="J379" s="135">
        <v>1.0</v>
      </c>
      <c r="K379" s="135"/>
      <c r="L379" s="135">
        <v>4450.0</v>
      </c>
      <c r="M379" s="135">
        <v>3100.0</v>
      </c>
      <c r="N379" s="135">
        <v>120.0</v>
      </c>
      <c r="O379" s="135">
        <v>1.91</v>
      </c>
      <c r="P379" s="136">
        <v>0.0</v>
      </c>
      <c r="Q379" s="137">
        <v>4.7749999999999995</v>
      </c>
      <c r="R379" s="136">
        <v>46104.0</v>
      </c>
      <c r="S379" s="135" t="s">
        <v>3147</v>
      </c>
      <c r="T379" s="136"/>
      <c r="U379" s="135" t="s">
        <v>2855</v>
      </c>
      <c r="V379" s="135" t="s">
        <v>2876</v>
      </c>
      <c r="W379" s="135" t="s">
        <v>3180</v>
      </c>
      <c r="X379" s="135"/>
      <c r="Y379" s="135"/>
      <c r="Z379" s="135" t="s">
        <v>2858</v>
      </c>
      <c r="AA379" s="135"/>
      <c r="AB379" s="135"/>
      <c r="AC379" s="135"/>
      <c r="AD379" s="135">
        <v>46107.0</v>
      </c>
      <c r="AE379" s="135"/>
      <c r="AF379" s="135"/>
      <c r="AG379" s="135"/>
    </row>
    <row r="380" ht="21.75" hidden="1" customHeight="1">
      <c r="A380" s="135">
        <v>376.0</v>
      </c>
      <c r="B380" s="135">
        <v>25045.0</v>
      </c>
      <c r="C380" s="135"/>
      <c r="D380" s="135">
        <v>4.0</v>
      </c>
      <c r="E380" s="135" t="s">
        <v>3174</v>
      </c>
      <c r="F380" s="135" t="s">
        <v>1389</v>
      </c>
      <c r="G380" s="135" t="s">
        <v>54</v>
      </c>
      <c r="H380" s="135" t="s">
        <v>2853</v>
      </c>
      <c r="I380" s="135" t="s">
        <v>57</v>
      </c>
      <c r="J380" s="135">
        <v>1.0</v>
      </c>
      <c r="K380" s="135" t="s">
        <v>3134</v>
      </c>
      <c r="L380" s="135">
        <v>4591.0</v>
      </c>
      <c r="M380" s="135">
        <v>3100.0</v>
      </c>
      <c r="N380" s="135">
        <v>120.0</v>
      </c>
      <c r="O380" s="135">
        <v>1.949</v>
      </c>
      <c r="P380" s="136">
        <v>0.0</v>
      </c>
      <c r="Q380" s="137">
        <v>4.8725000000000005</v>
      </c>
      <c r="R380" s="136">
        <v>46104.0</v>
      </c>
      <c r="S380" s="135" t="s">
        <v>3147</v>
      </c>
      <c r="T380" s="136"/>
      <c r="U380" s="135" t="s">
        <v>2855</v>
      </c>
      <c r="V380" s="135" t="s">
        <v>2876</v>
      </c>
      <c r="W380" s="135" t="s">
        <v>3181</v>
      </c>
      <c r="X380" s="135"/>
      <c r="Y380" s="135"/>
      <c r="Z380" s="135" t="s">
        <v>2858</v>
      </c>
      <c r="AA380" s="135"/>
      <c r="AB380" s="135"/>
      <c r="AC380" s="135"/>
      <c r="AD380" s="135">
        <v>46109.0</v>
      </c>
      <c r="AE380" s="135"/>
      <c r="AF380" s="135"/>
      <c r="AG380" s="135"/>
    </row>
    <row r="381" ht="21.75" hidden="1" customHeight="1">
      <c r="A381" s="135">
        <v>377.0</v>
      </c>
      <c r="B381" s="135">
        <v>25045.0</v>
      </c>
      <c r="C381" s="135"/>
      <c r="D381" s="135">
        <v>4.0</v>
      </c>
      <c r="E381" s="135" t="s">
        <v>3174</v>
      </c>
      <c r="F381" s="135" t="s">
        <v>1390</v>
      </c>
      <c r="G381" s="135" t="s">
        <v>54</v>
      </c>
      <c r="H381" s="135" t="s">
        <v>2853</v>
      </c>
      <c r="I381" s="135" t="s">
        <v>57</v>
      </c>
      <c r="J381" s="135">
        <v>1.0</v>
      </c>
      <c r="K381" s="135" t="s">
        <v>3134</v>
      </c>
      <c r="L381" s="135">
        <v>4591.0</v>
      </c>
      <c r="M381" s="135">
        <v>3100.0</v>
      </c>
      <c r="N381" s="135">
        <v>120.0</v>
      </c>
      <c r="O381" s="135">
        <v>1.949</v>
      </c>
      <c r="P381" s="136">
        <v>0.0</v>
      </c>
      <c r="Q381" s="137">
        <v>4.8725000000000005</v>
      </c>
      <c r="R381" s="136">
        <v>46104.0</v>
      </c>
      <c r="S381" s="135" t="s">
        <v>3147</v>
      </c>
      <c r="T381" s="136"/>
      <c r="U381" s="135" t="s">
        <v>2855</v>
      </c>
      <c r="V381" s="135" t="s">
        <v>2876</v>
      </c>
      <c r="W381" s="135" t="s">
        <v>3181</v>
      </c>
      <c r="X381" s="135"/>
      <c r="Y381" s="135"/>
      <c r="Z381" s="135" t="s">
        <v>2858</v>
      </c>
      <c r="AA381" s="135"/>
      <c r="AB381" s="135"/>
      <c r="AC381" s="135"/>
      <c r="AD381" s="135">
        <v>46110.0</v>
      </c>
      <c r="AE381" s="135"/>
      <c r="AF381" s="135"/>
      <c r="AG381" s="135"/>
    </row>
    <row r="382" ht="21.75" hidden="1" customHeight="1">
      <c r="A382" s="135">
        <v>378.0</v>
      </c>
      <c r="B382" s="135">
        <v>25045.0</v>
      </c>
      <c r="C382" s="135"/>
      <c r="D382" s="135">
        <v>4.0</v>
      </c>
      <c r="E382" s="135" t="s">
        <v>3174</v>
      </c>
      <c r="F382" s="135" t="s">
        <v>1391</v>
      </c>
      <c r="G382" s="135" t="s">
        <v>54</v>
      </c>
      <c r="H382" s="135" t="s">
        <v>2853</v>
      </c>
      <c r="I382" s="135" t="s">
        <v>57</v>
      </c>
      <c r="J382" s="135">
        <v>1.0</v>
      </c>
      <c r="K382" s="135" t="s">
        <v>3134</v>
      </c>
      <c r="L382" s="135">
        <v>4591.0</v>
      </c>
      <c r="M382" s="135">
        <v>3100.0</v>
      </c>
      <c r="N382" s="135">
        <v>120.0</v>
      </c>
      <c r="O382" s="135">
        <v>1.949</v>
      </c>
      <c r="P382" s="136">
        <v>0.0</v>
      </c>
      <c r="Q382" s="137">
        <v>4.8725000000000005</v>
      </c>
      <c r="R382" s="136">
        <v>46104.0</v>
      </c>
      <c r="S382" s="135" t="s">
        <v>3147</v>
      </c>
      <c r="T382" s="136"/>
      <c r="U382" s="135" t="s">
        <v>2855</v>
      </c>
      <c r="V382" s="135" t="s">
        <v>2876</v>
      </c>
      <c r="W382" s="135" t="s">
        <v>3181</v>
      </c>
      <c r="X382" s="135"/>
      <c r="Y382" s="135"/>
      <c r="Z382" s="135" t="s">
        <v>2858</v>
      </c>
      <c r="AA382" s="135"/>
      <c r="AB382" s="135"/>
      <c r="AC382" s="135"/>
      <c r="AD382" s="135">
        <v>46111.0</v>
      </c>
      <c r="AE382" s="135"/>
      <c r="AF382" s="135"/>
      <c r="AG382" s="135"/>
    </row>
    <row r="383" ht="21.75" hidden="1" customHeight="1">
      <c r="A383" s="135">
        <v>379.0</v>
      </c>
      <c r="B383" s="135">
        <v>25045.0</v>
      </c>
      <c r="C383" s="135"/>
      <c r="D383" s="135">
        <v>4.0</v>
      </c>
      <c r="E383" s="135" t="s">
        <v>3160</v>
      </c>
      <c r="F383" s="135" t="s">
        <v>1451</v>
      </c>
      <c r="G383" s="135" t="s">
        <v>54</v>
      </c>
      <c r="H383" s="135" t="s">
        <v>2853</v>
      </c>
      <c r="I383" s="135" t="s">
        <v>62</v>
      </c>
      <c r="J383" s="135">
        <v>1.0</v>
      </c>
      <c r="K383" s="135" t="s">
        <v>3134</v>
      </c>
      <c r="L383" s="135">
        <v>4591.0</v>
      </c>
      <c r="M383" s="135">
        <v>3100.0</v>
      </c>
      <c r="N383" s="135">
        <v>120.0</v>
      </c>
      <c r="O383" s="135">
        <v>1.949</v>
      </c>
      <c r="P383" s="136">
        <v>0.0</v>
      </c>
      <c r="Q383" s="137">
        <v>4.8725000000000005</v>
      </c>
      <c r="R383" s="136">
        <v>46104.0</v>
      </c>
      <c r="S383" s="135" t="s">
        <v>3147</v>
      </c>
      <c r="T383" s="136"/>
      <c r="U383" s="135" t="s">
        <v>2855</v>
      </c>
      <c r="V383" s="135" t="s">
        <v>2876</v>
      </c>
      <c r="W383" s="135" t="s">
        <v>3181</v>
      </c>
      <c r="X383" s="135"/>
      <c r="Y383" s="135"/>
      <c r="Z383" s="135" t="s">
        <v>2858</v>
      </c>
      <c r="AA383" s="135"/>
      <c r="AB383" s="135"/>
      <c r="AC383" s="135"/>
      <c r="AD383" s="135">
        <v>46112.0</v>
      </c>
      <c r="AE383" s="135"/>
      <c r="AF383" s="135"/>
      <c r="AG383" s="135"/>
    </row>
    <row r="384" ht="21.75" hidden="1" customHeight="1">
      <c r="A384" s="135">
        <v>380.0</v>
      </c>
      <c r="B384" s="135">
        <v>25045.0</v>
      </c>
      <c r="C384" s="135"/>
      <c r="D384" s="135">
        <v>4.0</v>
      </c>
      <c r="E384" s="135" t="s">
        <v>3160</v>
      </c>
      <c r="F384" s="135" t="s">
        <v>1452</v>
      </c>
      <c r="G384" s="135" t="s">
        <v>54</v>
      </c>
      <c r="H384" s="135" t="s">
        <v>2853</v>
      </c>
      <c r="I384" s="135" t="s">
        <v>62</v>
      </c>
      <c r="J384" s="135">
        <v>1.0</v>
      </c>
      <c r="K384" s="135" t="s">
        <v>3134</v>
      </c>
      <c r="L384" s="135">
        <v>4591.0</v>
      </c>
      <c r="M384" s="135">
        <v>3100.0</v>
      </c>
      <c r="N384" s="135">
        <v>120.0</v>
      </c>
      <c r="O384" s="135">
        <v>1.949</v>
      </c>
      <c r="P384" s="136">
        <v>0.0</v>
      </c>
      <c r="Q384" s="137">
        <v>4.8725000000000005</v>
      </c>
      <c r="R384" s="136">
        <v>46104.0</v>
      </c>
      <c r="S384" s="135" t="s">
        <v>3147</v>
      </c>
      <c r="T384" s="136"/>
      <c r="U384" s="135" t="s">
        <v>2855</v>
      </c>
      <c r="V384" s="135" t="s">
        <v>2876</v>
      </c>
      <c r="W384" s="135" t="s">
        <v>3181</v>
      </c>
      <c r="X384" s="135"/>
      <c r="Y384" s="135"/>
      <c r="Z384" s="135" t="s">
        <v>2858</v>
      </c>
      <c r="AA384" s="135"/>
      <c r="AB384" s="135"/>
      <c r="AC384" s="135"/>
      <c r="AD384" s="135">
        <v>46113.0</v>
      </c>
      <c r="AE384" s="135"/>
      <c r="AF384" s="135"/>
      <c r="AG384" s="135"/>
    </row>
    <row r="385" ht="21.75" hidden="1" customHeight="1">
      <c r="A385" s="135">
        <v>381.0</v>
      </c>
      <c r="B385" s="135">
        <v>25045.0</v>
      </c>
      <c r="C385" s="135"/>
      <c r="D385" s="135">
        <v>4.0</v>
      </c>
      <c r="E385" s="135" t="s">
        <v>3160</v>
      </c>
      <c r="F385" s="135" t="s">
        <v>1453</v>
      </c>
      <c r="G385" s="135" t="s">
        <v>54</v>
      </c>
      <c r="H385" s="135" t="s">
        <v>2853</v>
      </c>
      <c r="I385" s="135" t="s">
        <v>62</v>
      </c>
      <c r="J385" s="135">
        <v>1.0</v>
      </c>
      <c r="K385" s="135" t="s">
        <v>3134</v>
      </c>
      <c r="L385" s="135">
        <v>4591.0</v>
      </c>
      <c r="M385" s="135">
        <v>3100.0</v>
      </c>
      <c r="N385" s="135">
        <v>120.0</v>
      </c>
      <c r="O385" s="135">
        <v>1.949</v>
      </c>
      <c r="P385" s="136">
        <v>0.0</v>
      </c>
      <c r="Q385" s="137">
        <v>4.8725000000000005</v>
      </c>
      <c r="R385" s="136">
        <v>46104.0</v>
      </c>
      <c r="S385" s="135" t="s">
        <v>3147</v>
      </c>
      <c r="T385" s="136"/>
      <c r="U385" s="135" t="s">
        <v>2855</v>
      </c>
      <c r="V385" s="135" t="s">
        <v>2876</v>
      </c>
      <c r="W385" s="135" t="s">
        <v>3181</v>
      </c>
      <c r="X385" s="135"/>
      <c r="Y385" s="135"/>
      <c r="Z385" s="135" t="s">
        <v>2858</v>
      </c>
      <c r="AA385" s="135"/>
      <c r="AB385" s="135"/>
      <c r="AC385" s="135"/>
      <c r="AD385" s="135">
        <v>46114.0</v>
      </c>
      <c r="AE385" s="135"/>
      <c r="AF385" s="135"/>
      <c r="AG385" s="135"/>
    </row>
    <row r="386" ht="21.75" hidden="1" customHeight="1">
      <c r="A386" s="135">
        <v>382.0</v>
      </c>
      <c r="B386" s="135">
        <v>25045.0</v>
      </c>
      <c r="C386" s="135"/>
      <c r="D386" s="135">
        <v>4.0</v>
      </c>
      <c r="E386" s="135" t="s">
        <v>3174</v>
      </c>
      <c r="F386" s="135" t="s">
        <v>1392</v>
      </c>
      <c r="G386" s="135" t="s">
        <v>54</v>
      </c>
      <c r="H386" s="135" t="s">
        <v>2853</v>
      </c>
      <c r="I386" s="135" t="s">
        <v>57</v>
      </c>
      <c r="J386" s="135">
        <v>1.0</v>
      </c>
      <c r="K386" s="135"/>
      <c r="L386" s="135">
        <v>4591.0</v>
      </c>
      <c r="M386" s="135">
        <v>3100.0</v>
      </c>
      <c r="N386" s="135">
        <v>120.0</v>
      </c>
      <c r="O386" s="135">
        <v>1.612</v>
      </c>
      <c r="P386" s="136">
        <v>0.0</v>
      </c>
      <c r="Q386" s="137">
        <v>4.03</v>
      </c>
      <c r="R386" s="136">
        <v>46104.0</v>
      </c>
      <c r="S386" s="135" t="s">
        <v>3147</v>
      </c>
      <c r="T386" s="136"/>
      <c r="U386" s="135" t="s">
        <v>2864</v>
      </c>
      <c r="V386" s="135" t="s">
        <v>2985</v>
      </c>
      <c r="W386" s="135" t="s">
        <v>3182</v>
      </c>
      <c r="X386" s="135" t="s">
        <v>3183</v>
      </c>
      <c r="Y386" s="135"/>
      <c r="Z386" s="135" t="s">
        <v>2858</v>
      </c>
      <c r="AA386" s="135"/>
      <c r="AB386" s="135"/>
      <c r="AC386" s="135"/>
      <c r="AD386" s="135">
        <v>46113.0</v>
      </c>
      <c r="AE386" s="135"/>
      <c r="AF386" s="135"/>
      <c r="AG386" s="135"/>
    </row>
    <row r="387" ht="21.75" hidden="1" customHeight="1">
      <c r="A387" s="135">
        <v>383.0</v>
      </c>
      <c r="B387" s="135">
        <v>25045.0</v>
      </c>
      <c r="C387" s="135"/>
      <c r="D387" s="135">
        <v>4.0</v>
      </c>
      <c r="E387" s="135" t="s">
        <v>3174</v>
      </c>
      <c r="F387" s="135" t="s">
        <v>1393</v>
      </c>
      <c r="G387" s="135" t="s">
        <v>54</v>
      </c>
      <c r="H387" s="135" t="s">
        <v>2853</v>
      </c>
      <c r="I387" s="135" t="s">
        <v>57</v>
      </c>
      <c r="J387" s="135">
        <v>1.0</v>
      </c>
      <c r="K387" s="135"/>
      <c r="L387" s="135">
        <v>5015.0</v>
      </c>
      <c r="M387" s="135">
        <v>3220.0</v>
      </c>
      <c r="N387" s="135">
        <v>120.0</v>
      </c>
      <c r="O387" s="135">
        <v>2.274</v>
      </c>
      <c r="P387" s="136">
        <v>0.0</v>
      </c>
      <c r="Q387" s="137">
        <v>5.6850000000000005</v>
      </c>
      <c r="R387" s="136">
        <v>46104.0</v>
      </c>
      <c r="S387" s="135" t="s">
        <v>3147</v>
      </c>
      <c r="T387" s="136"/>
      <c r="U387" s="135" t="s">
        <v>2855</v>
      </c>
      <c r="V387" s="135" t="s">
        <v>2878</v>
      </c>
      <c r="W387" s="135" t="s">
        <v>3184</v>
      </c>
      <c r="X387" s="135"/>
      <c r="Y387" s="135"/>
      <c r="Z387" s="135" t="s">
        <v>2858</v>
      </c>
      <c r="AA387" s="135"/>
      <c r="AB387" s="135"/>
      <c r="AC387" s="135"/>
      <c r="AD387" s="135">
        <v>46107.0</v>
      </c>
      <c r="AE387" s="135"/>
      <c r="AF387" s="135"/>
      <c r="AG387" s="135"/>
    </row>
    <row r="388" ht="21.75" hidden="1" customHeight="1">
      <c r="A388" s="135">
        <v>384.0</v>
      </c>
      <c r="B388" s="135">
        <v>25045.0</v>
      </c>
      <c r="C388" s="135"/>
      <c r="D388" s="135">
        <v>4.0</v>
      </c>
      <c r="E388" s="135" t="s">
        <v>3174</v>
      </c>
      <c r="F388" s="135" t="s">
        <v>1394</v>
      </c>
      <c r="G388" s="135" t="s">
        <v>54</v>
      </c>
      <c r="H388" s="135" t="s">
        <v>2853</v>
      </c>
      <c r="I388" s="135" t="s">
        <v>57</v>
      </c>
      <c r="J388" s="135">
        <v>1.0</v>
      </c>
      <c r="K388" s="135"/>
      <c r="L388" s="135">
        <v>4655.0</v>
      </c>
      <c r="M388" s="135">
        <v>3220.0</v>
      </c>
      <c r="N388" s="135">
        <v>120.0</v>
      </c>
      <c r="O388" s="135">
        <v>2.17</v>
      </c>
      <c r="P388" s="136">
        <v>0.0</v>
      </c>
      <c r="Q388" s="137">
        <v>5.425</v>
      </c>
      <c r="R388" s="136">
        <v>46104.0</v>
      </c>
      <c r="S388" s="135" t="s">
        <v>3147</v>
      </c>
      <c r="T388" s="136"/>
      <c r="U388" s="135" t="s">
        <v>2855</v>
      </c>
      <c r="V388" s="135" t="s">
        <v>2878</v>
      </c>
      <c r="W388" s="135" t="s">
        <v>3185</v>
      </c>
      <c r="X388" s="135"/>
      <c r="Y388" s="135"/>
      <c r="Z388" s="135" t="s">
        <v>2858</v>
      </c>
      <c r="AA388" s="135"/>
      <c r="AB388" s="135"/>
      <c r="AC388" s="135"/>
      <c r="AD388" s="135">
        <v>46113.0</v>
      </c>
      <c r="AE388" s="135"/>
      <c r="AF388" s="135"/>
      <c r="AG388" s="135"/>
    </row>
    <row r="389" ht="21.75" hidden="1" customHeight="1">
      <c r="A389" s="135">
        <v>385.0</v>
      </c>
      <c r="B389" s="135">
        <v>25045.0</v>
      </c>
      <c r="C389" s="135"/>
      <c r="D389" s="135">
        <v>4.0</v>
      </c>
      <c r="E389" s="135" t="s">
        <v>3174</v>
      </c>
      <c r="F389" s="135" t="s">
        <v>1395</v>
      </c>
      <c r="G389" s="135" t="s">
        <v>54</v>
      </c>
      <c r="H389" s="135" t="s">
        <v>2853</v>
      </c>
      <c r="I389" s="135" t="s">
        <v>57</v>
      </c>
      <c r="J389" s="135">
        <v>1.0</v>
      </c>
      <c r="K389" s="135"/>
      <c r="L389" s="135">
        <v>4655.0</v>
      </c>
      <c r="M389" s="135">
        <v>3220.0</v>
      </c>
      <c r="N389" s="135">
        <v>120.0</v>
      </c>
      <c r="O389" s="135">
        <v>2.17</v>
      </c>
      <c r="P389" s="136">
        <v>0.0</v>
      </c>
      <c r="Q389" s="137">
        <v>5.425</v>
      </c>
      <c r="R389" s="136">
        <v>46104.0</v>
      </c>
      <c r="S389" s="135" t="s">
        <v>3147</v>
      </c>
      <c r="T389" s="136"/>
      <c r="U389" s="135" t="s">
        <v>2855</v>
      </c>
      <c r="V389" s="135" t="s">
        <v>2878</v>
      </c>
      <c r="W389" s="135" t="s">
        <v>3185</v>
      </c>
      <c r="X389" s="135"/>
      <c r="Y389" s="135"/>
      <c r="Z389" s="135" t="s">
        <v>2858</v>
      </c>
      <c r="AA389" s="135"/>
      <c r="AB389" s="135"/>
      <c r="AC389" s="135"/>
      <c r="AD389" s="135">
        <v>46114.0</v>
      </c>
      <c r="AE389" s="135"/>
      <c r="AF389" s="135"/>
      <c r="AG389" s="135"/>
    </row>
    <row r="390" ht="21.75" hidden="1" customHeight="1">
      <c r="A390" s="135">
        <v>386.0</v>
      </c>
      <c r="B390" s="135">
        <v>25045.0</v>
      </c>
      <c r="C390" s="135"/>
      <c r="D390" s="135">
        <v>4.0</v>
      </c>
      <c r="E390" s="135" t="s">
        <v>3174</v>
      </c>
      <c r="F390" s="135" t="s">
        <v>1396</v>
      </c>
      <c r="G390" s="135" t="s">
        <v>54</v>
      </c>
      <c r="H390" s="135" t="s">
        <v>2853</v>
      </c>
      <c r="I390" s="135" t="s">
        <v>57</v>
      </c>
      <c r="J390" s="135">
        <v>1.0</v>
      </c>
      <c r="K390" s="135"/>
      <c r="L390" s="135">
        <v>4655.0</v>
      </c>
      <c r="M390" s="135">
        <v>3220.0</v>
      </c>
      <c r="N390" s="135">
        <v>120.0</v>
      </c>
      <c r="O390" s="135">
        <v>2.17</v>
      </c>
      <c r="P390" s="136">
        <v>0.0</v>
      </c>
      <c r="Q390" s="137">
        <v>5.425</v>
      </c>
      <c r="R390" s="136">
        <v>46104.0</v>
      </c>
      <c r="S390" s="135" t="s">
        <v>3147</v>
      </c>
      <c r="T390" s="136"/>
      <c r="U390" s="135" t="s">
        <v>2855</v>
      </c>
      <c r="V390" s="135" t="s">
        <v>2878</v>
      </c>
      <c r="W390" s="135" t="s">
        <v>3185</v>
      </c>
      <c r="X390" s="135"/>
      <c r="Y390" s="135"/>
      <c r="Z390" s="135" t="s">
        <v>2858</v>
      </c>
      <c r="AA390" s="135"/>
      <c r="AB390" s="135"/>
      <c r="AC390" s="135"/>
      <c r="AD390" s="135">
        <v>46115.0</v>
      </c>
      <c r="AE390" s="135"/>
      <c r="AF390" s="135"/>
      <c r="AG390" s="135"/>
    </row>
    <row r="391" ht="21.75" hidden="1" customHeight="1">
      <c r="A391" s="135">
        <v>387.0</v>
      </c>
      <c r="B391" s="135">
        <v>25045.0</v>
      </c>
      <c r="C391" s="135"/>
      <c r="D391" s="135">
        <v>4.0</v>
      </c>
      <c r="E391" s="135" t="s">
        <v>3146</v>
      </c>
      <c r="F391" s="135" t="s">
        <v>1377</v>
      </c>
      <c r="G391" s="135" t="s">
        <v>54</v>
      </c>
      <c r="H391" s="135" t="s">
        <v>2853</v>
      </c>
      <c r="I391" s="135" t="s">
        <v>55</v>
      </c>
      <c r="J391" s="135">
        <v>1.0</v>
      </c>
      <c r="K391" s="135"/>
      <c r="L391" s="135">
        <v>4655.0</v>
      </c>
      <c r="M391" s="135">
        <v>3220.0</v>
      </c>
      <c r="N391" s="135">
        <v>120.0</v>
      </c>
      <c r="O391" s="135">
        <v>2.17</v>
      </c>
      <c r="P391" s="136">
        <v>0.0</v>
      </c>
      <c r="Q391" s="137">
        <v>5.425</v>
      </c>
      <c r="R391" s="136">
        <v>46104.0</v>
      </c>
      <c r="S391" s="135" t="s">
        <v>3147</v>
      </c>
      <c r="T391" s="136"/>
      <c r="U391" s="135" t="s">
        <v>2855</v>
      </c>
      <c r="V391" s="135" t="s">
        <v>2878</v>
      </c>
      <c r="W391" s="135" t="s">
        <v>3185</v>
      </c>
      <c r="X391" s="135"/>
      <c r="Y391" s="135"/>
      <c r="Z391" s="135" t="s">
        <v>2858</v>
      </c>
      <c r="AA391" s="135"/>
      <c r="AB391" s="135"/>
      <c r="AC391" s="135"/>
      <c r="AD391" s="135">
        <v>46116.0</v>
      </c>
      <c r="AE391" s="135"/>
      <c r="AF391" s="135"/>
      <c r="AG391" s="135"/>
    </row>
    <row r="392" ht="21.75" hidden="1" customHeight="1">
      <c r="A392" s="135">
        <v>388.0</v>
      </c>
      <c r="B392" s="135">
        <v>25045.0</v>
      </c>
      <c r="C392" s="135"/>
      <c r="D392" s="135">
        <v>4.0</v>
      </c>
      <c r="E392" s="135" t="s">
        <v>3146</v>
      </c>
      <c r="F392" s="135" t="s">
        <v>1378</v>
      </c>
      <c r="G392" s="135" t="s">
        <v>54</v>
      </c>
      <c r="H392" s="135" t="s">
        <v>2853</v>
      </c>
      <c r="I392" s="135" t="s">
        <v>55</v>
      </c>
      <c r="J392" s="135">
        <v>1.0</v>
      </c>
      <c r="K392" s="135"/>
      <c r="L392" s="135">
        <v>4655.0</v>
      </c>
      <c r="M392" s="135">
        <v>3220.0</v>
      </c>
      <c r="N392" s="135">
        <v>120.0</v>
      </c>
      <c r="O392" s="135">
        <v>2.17</v>
      </c>
      <c r="P392" s="136">
        <v>0.0</v>
      </c>
      <c r="Q392" s="137">
        <v>5.425</v>
      </c>
      <c r="R392" s="136">
        <v>46104.0</v>
      </c>
      <c r="S392" s="135" t="s">
        <v>3147</v>
      </c>
      <c r="T392" s="136"/>
      <c r="U392" s="135" t="s">
        <v>2855</v>
      </c>
      <c r="V392" s="135" t="s">
        <v>2878</v>
      </c>
      <c r="W392" s="135" t="s">
        <v>3185</v>
      </c>
      <c r="X392" s="135"/>
      <c r="Y392" s="135"/>
      <c r="Z392" s="135" t="s">
        <v>2858</v>
      </c>
      <c r="AA392" s="135"/>
      <c r="AB392" s="135"/>
      <c r="AC392" s="135"/>
      <c r="AD392" s="135">
        <v>46118.0</v>
      </c>
      <c r="AE392" s="135"/>
      <c r="AF392" s="135"/>
      <c r="AG392" s="135"/>
    </row>
    <row r="393" ht="21.75" hidden="1" customHeight="1">
      <c r="A393" s="135">
        <v>389.0</v>
      </c>
      <c r="B393" s="135">
        <v>25045.0</v>
      </c>
      <c r="C393" s="135"/>
      <c r="D393" s="135">
        <v>4.0</v>
      </c>
      <c r="E393" s="135" t="s">
        <v>3146</v>
      </c>
      <c r="F393" s="135" t="s">
        <v>1379</v>
      </c>
      <c r="G393" s="135" t="s">
        <v>54</v>
      </c>
      <c r="H393" s="135" t="s">
        <v>2853</v>
      </c>
      <c r="I393" s="135" t="s">
        <v>55</v>
      </c>
      <c r="J393" s="135">
        <v>1.0</v>
      </c>
      <c r="K393" s="135"/>
      <c r="L393" s="135">
        <v>4655.0</v>
      </c>
      <c r="M393" s="135">
        <v>3220.0</v>
      </c>
      <c r="N393" s="135">
        <v>120.0</v>
      </c>
      <c r="O393" s="135">
        <v>2.17</v>
      </c>
      <c r="P393" s="136">
        <v>0.0</v>
      </c>
      <c r="Q393" s="137">
        <v>5.425</v>
      </c>
      <c r="R393" s="136">
        <v>46104.0</v>
      </c>
      <c r="S393" s="135" t="s">
        <v>3147</v>
      </c>
      <c r="T393" s="136"/>
      <c r="U393" s="135" t="s">
        <v>2855</v>
      </c>
      <c r="V393" s="135" t="s">
        <v>2878</v>
      </c>
      <c r="W393" s="135" t="s">
        <v>3185</v>
      </c>
      <c r="X393" s="135"/>
      <c r="Y393" s="135"/>
      <c r="Z393" s="135" t="s">
        <v>2858</v>
      </c>
      <c r="AA393" s="135"/>
      <c r="AB393" s="135"/>
      <c r="AC393" s="135"/>
      <c r="AD393" s="135">
        <v>46119.0</v>
      </c>
      <c r="AE393" s="135"/>
      <c r="AF393" s="135"/>
      <c r="AG393" s="135"/>
    </row>
    <row r="394" ht="21.75" hidden="1" customHeight="1">
      <c r="A394" s="135">
        <v>390.0</v>
      </c>
      <c r="B394" s="135">
        <v>25045.0</v>
      </c>
      <c r="C394" s="135"/>
      <c r="D394" s="135">
        <v>4.0</v>
      </c>
      <c r="E394" s="135" t="s">
        <v>3174</v>
      </c>
      <c r="F394" s="135" t="s">
        <v>1397</v>
      </c>
      <c r="G394" s="135" t="s">
        <v>54</v>
      </c>
      <c r="H394" s="135" t="s">
        <v>2853</v>
      </c>
      <c r="I394" s="135" t="s">
        <v>57</v>
      </c>
      <c r="J394" s="135">
        <v>1.0</v>
      </c>
      <c r="K394" s="135"/>
      <c r="L394" s="135">
        <v>4655.0</v>
      </c>
      <c r="M394" s="135">
        <v>3220.0</v>
      </c>
      <c r="N394" s="135">
        <v>120.0</v>
      </c>
      <c r="O394" s="135">
        <v>1.833</v>
      </c>
      <c r="P394" s="136">
        <v>0.0</v>
      </c>
      <c r="Q394" s="137">
        <v>4.5825</v>
      </c>
      <c r="R394" s="136">
        <v>46104.0</v>
      </c>
      <c r="S394" s="135" t="s">
        <v>3147</v>
      </c>
      <c r="T394" s="136"/>
      <c r="U394" s="135" t="s">
        <v>2864</v>
      </c>
      <c r="V394" s="135" t="s">
        <v>2890</v>
      </c>
      <c r="W394" s="135" t="s">
        <v>3186</v>
      </c>
      <c r="X394" s="135" t="s">
        <v>2895</v>
      </c>
      <c r="Y394" s="135"/>
      <c r="Z394" s="135" t="s">
        <v>2858</v>
      </c>
      <c r="AA394" s="135"/>
      <c r="AB394" s="135"/>
      <c r="AC394" s="135"/>
      <c r="AD394" s="135">
        <v>46121.0</v>
      </c>
      <c r="AE394" s="135"/>
      <c r="AF394" s="135"/>
      <c r="AG394" s="135"/>
    </row>
    <row r="395" ht="21.75" hidden="1" customHeight="1">
      <c r="A395" s="135">
        <v>391.0</v>
      </c>
      <c r="B395" s="135">
        <v>25045.0</v>
      </c>
      <c r="C395" s="135"/>
      <c r="D395" s="135">
        <v>4.0</v>
      </c>
      <c r="E395" s="135" t="s">
        <v>3174</v>
      </c>
      <c r="F395" s="135" t="s">
        <v>1398</v>
      </c>
      <c r="G395" s="135" t="s">
        <v>54</v>
      </c>
      <c r="H395" s="135" t="s">
        <v>2853</v>
      </c>
      <c r="I395" s="135" t="s">
        <v>57</v>
      </c>
      <c r="J395" s="135">
        <v>1.0</v>
      </c>
      <c r="K395" s="135"/>
      <c r="L395" s="135">
        <v>1635.0</v>
      </c>
      <c r="M395" s="135">
        <v>1545.0</v>
      </c>
      <c r="N395" s="135">
        <v>120.0</v>
      </c>
      <c r="O395" s="135">
        <v>0.398</v>
      </c>
      <c r="P395" s="136">
        <v>0.0</v>
      </c>
      <c r="Q395" s="137">
        <v>0.9950000000000001</v>
      </c>
      <c r="R395" s="136">
        <v>46104.0</v>
      </c>
      <c r="S395" s="135" t="s">
        <v>3147</v>
      </c>
      <c r="T395" s="136"/>
      <c r="U395" s="135" t="s">
        <v>2864</v>
      </c>
      <c r="V395" s="135" t="s">
        <v>2873</v>
      </c>
      <c r="W395" s="135" t="s">
        <v>3187</v>
      </c>
      <c r="X395" s="135"/>
      <c r="Y395" s="135"/>
      <c r="Z395" s="135" t="s">
        <v>2858</v>
      </c>
      <c r="AA395" s="135"/>
      <c r="AB395" s="135"/>
      <c r="AC395" s="135"/>
      <c r="AD395" s="135">
        <v>46114.0</v>
      </c>
      <c r="AE395" s="135"/>
      <c r="AF395" s="135"/>
      <c r="AG395" s="135"/>
    </row>
    <row r="396" ht="21.75" hidden="1" customHeight="1">
      <c r="A396" s="135">
        <v>392.0</v>
      </c>
      <c r="B396" s="135">
        <v>25045.0</v>
      </c>
      <c r="C396" s="135"/>
      <c r="D396" s="135">
        <v>4.0</v>
      </c>
      <c r="E396" s="135" t="s">
        <v>3174</v>
      </c>
      <c r="F396" s="135" t="s">
        <v>1399</v>
      </c>
      <c r="G396" s="135" t="s">
        <v>54</v>
      </c>
      <c r="H396" s="135" t="s">
        <v>2965</v>
      </c>
      <c r="I396" s="135" t="s">
        <v>57</v>
      </c>
      <c r="J396" s="135">
        <v>1.0</v>
      </c>
      <c r="K396" s="135"/>
      <c r="L396" s="135">
        <v>400.0</v>
      </c>
      <c r="M396" s="135">
        <v>3170.0</v>
      </c>
      <c r="N396" s="135">
        <v>350.0</v>
      </c>
      <c r="O396" s="135">
        <v>0.508</v>
      </c>
      <c r="P396" s="136">
        <v>1.0</v>
      </c>
      <c r="Q396" s="137">
        <v>1.27</v>
      </c>
      <c r="R396" s="136">
        <v>46104.0</v>
      </c>
      <c r="S396" s="135" t="s">
        <v>3147</v>
      </c>
      <c r="T396" s="136">
        <v>46107.0</v>
      </c>
      <c r="U396" s="135" t="s">
        <v>2966</v>
      </c>
      <c r="V396" s="135" t="s">
        <v>2967</v>
      </c>
      <c r="W396" s="135"/>
      <c r="X396" s="135" t="s">
        <v>3188</v>
      </c>
      <c r="Y396" s="135"/>
      <c r="Z396" s="135" t="s">
        <v>2858</v>
      </c>
      <c r="AA396" s="135" t="s">
        <v>3173</v>
      </c>
      <c r="AB396" s="135"/>
      <c r="AC396" s="135"/>
      <c r="AD396" s="135">
        <v>46114.0</v>
      </c>
      <c r="AE396" s="135"/>
      <c r="AF396" s="135"/>
      <c r="AG396" s="135"/>
    </row>
    <row r="397" ht="21.75" hidden="1" customHeight="1">
      <c r="A397" s="135">
        <v>393.0</v>
      </c>
      <c r="B397" s="135">
        <v>25045.0</v>
      </c>
      <c r="C397" s="135" t="s">
        <v>2817</v>
      </c>
      <c r="D397" s="135">
        <v>4.0</v>
      </c>
      <c r="E397" s="135" t="s">
        <v>3176</v>
      </c>
      <c r="F397" s="135" t="s">
        <v>1403</v>
      </c>
      <c r="G397" s="135" t="s">
        <v>54</v>
      </c>
      <c r="H397" s="135" t="s">
        <v>2853</v>
      </c>
      <c r="I397" s="135" t="s">
        <v>58</v>
      </c>
      <c r="J397" s="135">
        <v>1.0</v>
      </c>
      <c r="K397" s="135"/>
      <c r="L397" s="135">
        <v>2595.0</v>
      </c>
      <c r="M397" s="135">
        <v>3150.0</v>
      </c>
      <c r="N397" s="135">
        <v>120.0</v>
      </c>
      <c r="O397" s="135">
        <v>0.929</v>
      </c>
      <c r="P397" s="136">
        <v>0.0</v>
      </c>
      <c r="Q397" s="137">
        <v>2.3225000000000002</v>
      </c>
      <c r="R397" s="136">
        <v>46104.0</v>
      </c>
      <c r="S397" s="135" t="s">
        <v>3147</v>
      </c>
      <c r="T397" s="136"/>
      <c r="U397" s="135" t="s">
        <v>2864</v>
      </c>
      <c r="V397" s="135" t="s">
        <v>2878</v>
      </c>
      <c r="W397" s="135" t="s">
        <v>2962</v>
      </c>
      <c r="X397" s="135" t="s">
        <v>3189</v>
      </c>
      <c r="Y397" s="135"/>
      <c r="Z397" s="135" t="s">
        <v>2858</v>
      </c>
      <c r="AA397" s="135"/>
      <c r="AB397" s="135"/>
      <c r="AC397" s="135"/>
      <c r="AD397" s="135">
        <v>46136.0</v>
      </c>
      <c r="AE397" s="135"/>
      <c r="AF397" s="135"/>
      <c r="AG397" s="135"/>
    </row>
    <row r="398" ht="21.75" hidden="1" customHeight="1">
      <c r="A398" s="135">
        <v>394.0</v>
      </c>
      <c r="B398" s="135">
        <v>25045.0</v>
      </c>
      <c r="C398" s="135"/>
      <c r="D398" s="135">
        <v>4.0</v>
      </c>
      <c r="E398" s="135" t="s">
        <v>3176</v>
      </c>
      <c r="F398" s="135" t="s">
        <v>1404</v>
      </c>
      <c r="G398" s="135" t="s">
        <v>54</v>
      </c>
      <c r="H398" s="135" t="s">
        <v>2853</v>
      </c>
      <c r="I398" s="135" t="s">
        <v>58</v>
      </c>
      <c r="J398" s="135">
        <v>1.0</v>
      </c>
      <c r="K398" s="135"/>
      <c r="L398" s="135">
        <v>4500.0</v>
      </c>
      <c r="M398" s="135">
        <v>3130.0</v>
      </c>
      <c r="N398" s="135">
        <v>120.0</v>
      </c>
      <c r="O398" s="135">
        <v>1.94</v>
      </c>
      <c r="P398" s="136">
        <v>0.0</v>
      </c>
      <c r="Q398" s="137">
        <v>4.85</v>
      </c>
      <c r="R398" s="136">
        <v>46104.0</v>
      </c>
      <c r="S398" s="135" t="s">
        <v>3147</v>
      </c>
      <c r="T398" s="136"/>
      <c r="U398" s="135" t="s">
        <v>2855</v>
      </c>
      <c r="V398" s="135" t="s">
        <v>2876</v>
      </c>
      <c r="W398" s="135" t="s">
        <v>3190</v>
      </c>
      <c r="X398" s="135"/>
      <c r="Y398" s="135"/>
      <c r="Z398" s="135" t="s">
        <v>2858</v>
      </c>
      <c r="AA398" s="135"/>
      <c r="AB398" s="135"/>
      <c r="AC398" s="135"/>
      <c r="AD398" s="135">
        <v>46109.0</v>
      </c>
      <c r="AE398" s="135"/>
      <c r="AF398" s="135"/>
      <c r="AG398" s="135"/>
    </row>
    <row r="399" ht="21.75" hidden="1" customHeight="1">
      <c r="A399" s="135">
        <v>395.0</v>
      </c>
      <c r="B399" s="135">
        <v>25045.0</v>
      </c>
      <c r="C399" s="135"/>
      <c r="D399" s="135">
        <v>4.0</v>
      </c>
      <c r="E399" s="135" t="s">
        <v>3176</v>
      </c>
      <c r="F399" s="135" t="s">
        <v>1405</v>
      </c>
      <c r="G399" s="135" t="s">
        <v>54</v>
      </c>
      <c r="H399" s="135" t="s">
        <v>2853</v>
      </c>
      <c r="I399" s="135" t="s">
        <v>58</v>
      </c>
      <c r="J399" s="135">
        <v>1.0</v>
      </c>
      <c r="K399" s="135"/>
      <c r="L399" s="135">
        <v>4500.0</v>
      </c>
      <c r="M399" s="135">
        <v>3130.0</v>
      </c>
      <c r="N399" s="135">
        <v>120.0</v>
      </c>
      <c r="O399" s="135">
        <v>1.94</v>
      </c>
      <c r="P399" s="136">
        <v>0.0</v>
      </c>
      <c r="Q399" s="137">
        <v>4.85</v>
      </c>
      <c r="R399" s="136">
        <v>46104.0</v>
      </c>
      <c r="S399" s="135" t="s">
        <v>3147</v>
      </c>
      <c r="T399" s="136"/>
      <c r="U399" s="135" t="s">
        <v>2855</v>
      </c>
      <c r="V399" s="135" t="s">
        <v>2876</v>
      </c>
      <c r="W399" s="135" t="s">
        <v>3191</v>
      </c>
      <c r="X399" s="135"/>
      <c r="Y399" s="135"/>
      <c r="Z399" s="135" t="s">
        <v>2858</v>
      </c>
      <c r="AA399" s="135"/>
      <c r="AB399" s="135"/>
      <c r="AC399" s="135"/>
      <c r="AD399" s="135">
        <v>46110.0</v>
      </c>
      <c r="AE399" s="135"/>
      <c r="AF399" s="135"/>
      <c r="AG399" s="135"/>
    </row>
    <row r="400" ht="21.75" hidden="1" customHeight="1">
      <c r="A400" s="135">
        <v>396.0</v>
      </c>
      <c r="B400" s="135">
        <v>25045.0</v>
      </c>
      <c r="C400" s="135"/>
      <c r="D400" s="135">
        <v>4.0</v>
      </c>
      <c r="E400" s="135" t="s">
        <v>3176</v>
      </c>
      <c r="F400" s="135" t="s">
        <v>1406</v>
      </c>
      <c r="G400" s="135" t="s">
        <v>54</v>
      </c>
      <c r="H400" s="135" t="s">
        <v>2853</v>
      </c>
      <c r="I400" s="135" t="s">
        <v>58</v>
      </c>
      <c r="J400" s="135">
        <v>1.0</v>
      </c>
      <c r="K400" s="135"/>
      <c r="L400" s="135">
        <v>4500.0</v>
      </c>
      <c r="M400" s="135">
        <v>3130.0</v>
      </c>
      <c r="N400" s="135">
        <v>120.0</v>
      </c>
      <c r="O400" s="135">
        <v>1.94</v>
      </c>
      <c r="P400" s="136">
        <v>0.0</v>
      </c>
      <c r="Q400" s="137">
        <v>4.85</v>
      </c>
      <c r="R400" s="136">
        <v>46104.0</v>
      </c>
      <c r="S400" s="135" t="s">
        <v>3147</v>
      </c>
      <c r="T400" s="136"/>
      <c r="U400" s="135" t="s">
        <v>2855</v>
      </c>
      <c r="V400" s="135" t="s">
        <v>2876</v>
      </c>
      <c r="W400" s="135" t="s">
        <v>3191</v>
      </c>
      <c r="X400" s="135"/>
      <c r="Y400" s="135"/>
      <c r="Z400" s="135" t="s">
        <v>2858</v>
      </c>
      <c r="AA400" s="135"/>
      <c r="AB400" s="135"/>
      <c r="AC400" s="135"/>
      <c r="AD400" s="135">
        <v>46112.0</v>
      </c>
      <c r="AE400" s="135"/>
      <c r="AF400" s="135"/>
      <c r="AG400" s="135"/>
    </row>
    <row r="401" ht="21.75" hidden="1" customHeight="1">
      <c r="A401" s="135">
        <v>397.0</v>
      </c>
      <c r="B401" s="135">
        <v>25045.0</v>
      </c>
      <c r="C401" s="135"/>
      <c r="D401" s="135">
        <v>4.0</v>
      </c>
      <c r="E401" s="135" t="s">
        <v>3176</v>
      </c>
      <c r="F401" s="135" t="s">
        <v>1407</v>
      </c>
      <c r="G401" s="135" t="s">
        <v>54</v>
      </c>
      <c r="H401" s="135" t="s">
        <v>2853</v>
      </c>
      <c r="I401" s="135" t="s">
        <v>58</v>
      </c>
      <c r="J401" s="135">
        <v>1.0</v>
      </c>
      <c r="K401" s="135"/>
      <c r="L401" s="135">
        <v>4500.0</v>
      </c>
      <c r="M401" s="135">
        <v>3130.0</v>
      </c>
      <c r="N401" s="135">
        <v>120.0</v>
      </c>
      <c r="O401" s="135">
        <v>1.94</v>
      </c>
      <c r="P401" s="136">
        <v>0.0</v>
      </c>
      <c r="Q401" s="137">
        <v>4.85</v>
      </c>
      <c r="R401" s="136">
        <v>46104.0</v>
      </c>
      <c r="S401" s="135" t="s">
        <v>3147</v>
      </c>
      <c r="T401" s="136"/>
      <c r="U401" s="135" t="s">
        <v>2855</v>
      </c>
      <c r="V401" s="135" t="s">
        <v>2876</v>
      </c>
      <c r="W401" s="135" t="s">
        <v>3191</v>
      </c>
      <c r="X401" s="135"/>
      <c r="Y401" s="135"/>
      <c r="Z401" s="135" t="s">
        <v>2858</v>
      </c>
      <c r="AA401" s="135"/>
      <c r="AB401" s="135"/>
      <c r="AC401" s="135"/>
      <c r="AD401" s="135">
        <v>46113.0</v>
      </c>
      <c r="AE401" s="135"/>
      <c r="AF401" s="135"/>
      <c r="AG401" s="135"/>
    </row>
    <row r="402" ht="21.75" hidden="1" customHeight="1">
      <c r="A402" s="135">
        <v>398.0</v>
      </c>
      <c r="B402" s="135">
        <v>25045.0</v>
      </c>
      <c r="C402" s="135"/>
      <c r="D402" s="135">
        <v>4.0</v>
      </c>
      <c r="E402" s="135" t="s">
        <v>3176</v>
      </c>
      <c r="F402" s="135" t="s">
        <v>1408</v>
      </c>
      <c r="G402" s="135" t="s">
        <v>54</v>
      </c>
      <c r="H402" s="135" t="s">
        <v>2853</v>
      </c>
      <c r="I402" s="135" t="s">
        <v>58</v>
      </c>
      <c r="J402" s="135">
        <v>1.0</v>
      </c>
      <c r="K402" s="135"/>
      <c r="L402" s="135">
        <v>4500.0</v>
      </c>
      <c r="M402" s="135">
        <v>3130.0</v>
      </c>
      <c r="N402" s="135">
        <v>120.0</v>
      </c>
      <c r="O402" s="135">
        <v>1.603</v>
      </c>
      <c r="P402" s="136">
        <v>0.0</v>
      </c>
      <c r="Q402" s="137">
        <v>4.0075</v>
      </c>
      <c r="R402" s="136">
        <v>46104.0</v>
      </c>
      <c r="S402" s="135" t="s">
        <v>3147</v>
      </c>
      <c r="T402" s="136"/>
      <c r="U402" s="135" t="s">
        <v>2864</v>
      </c>
      <c r="V402" s="135" t="s">
        <v>2985</v>
      </c>
      <c r="W402" s="135" t="s">
        <v>3192</v>
      </c>
      <c r="X402" s="135" t="s">
        <v>3193</v>
      </c>
      <c r="Y402" s="135"/>
      <c r="Z402" s="135" t="s">
        <v>2858</v>
      </c>
      <c r="AA402" s="135"/>
      <c r="AB402" s="135"/>
      <c r="AC402" s="135"/>
      <c r="AD402" s="135">
        <v>46114.0</v>
      </c>
      <c r="AE402" s="135"/>
      <c r="AF402" s="135"/>
      <c r="AG402" s="135"/>
    </row>
    <row r="403" ht="21.75" hidden="1" customHeight="1">
      <c r="A403" s="135">
        <v>399.0</v>
      </c>
      <c r="B403" s="135">
        <v>25045.0</v>
      </c>
      <c r="C403" s="135"/>
      <c r="D403" s="135">
        <v>4.0</v>
      </c>
      <c r="E403" s="135" t="s">
        <v>3176</v>
      </c>
      <c r="F403" s="135" t="s">
        <v>1409</v>
      </c>
      <c r="G403" s="135" t="s">
        <v>54</v>
      </c>
      <c r="H403" s="135" t="s">
        <v>2853</v>
      </c>
      <c r="I403" s="135" t="s">
        <v>58</v>
      </c>
      <c r="J403" s="135">
        <v>1.0</v>
      </c>
      <c r="K403" s="135"/>
      <c r="L403" s="135">
        <v>5015.0</v>
      </c>
      <c r="M403" s="135">
        <v>3100.0</v>
      </c>
      <c r="N403" s="135">
        <v>120.0</v>
      </c>
      <c r="O403" s="135">
        <v>2.066</v>
      </c>
      <c r="P403" s="136">
        <v>0.0</v>
      </c>
      <c r="Q403" s="137">
        <v>5.164999999999999</v>
      </c>
      <c r="R403" s="136">
        <v>46104.0</v>
      </c>
      <c r="S403" s="135" t="s">
        <v>3147</v>
      </c>
      <c r="T403" s="136"/>
      <c r="U403" s="135" t="s">
        <v>2855</v>
      </c>
      <c r="V403" s="135" t="s">
        <v>2876</v>
      </c>
      <c r="W403" s="135" t="s">
        <v>3058</v>
      </c>
      <c r="X403" s="135"/>
      <c r="Y403" s="135"/>
      <c r="Z403" s="135" t="s">
        <v>2858</v>
      </c>
      <c r="AA403" s="135"/>
      <c r="AB403" s="135"/>
      <c r="AC403" s="135"/>
      <c r="AD403" s="135">
        <v>46107.0</v>
      </c>
      <c r="AE403" s="135"/>
      <c r="AF403" s="135"/>
      <c r="AG403" s="135"/>
    </row>
    <row r="404" ht="21.75" hidden="1" customHeight="1">
      <c r="A404" s="135">
        <v>400.0</v>
      </c>
      <c r="B404" s="135">
        <v>25045.0</v>
      </c>
      <c r="C404" s="135"/>
      <c r="D404" s="135">
        <v>4.0</v>
      </c>
      <c r="E404" s="135" t="s">
        <v>3176</v>
      </c>
      <c r="F404" s="135" t="s">
        <v>1410</v>
      </c>
      <c r="G404" s="135" t="s">
        <v>54</v>
      </c>
      <c r="H404" s="135" t="s">
        <v>2853</v>
      </c>
      <c r="I404" s="135" t="s">
        <v>58</v>
      </c>
      <c r="J404" s="135">
        <v>1.0</v>
      </c>
      <c r="K404" s="135" t="s">
        <v>3134</v>
      </c>
      <c r="L404" s="135">
        <v>4655.0</v>
      </c>
      <c r="M404" s="135">
        <v>3100.0</v>
      </c>
      <c r="N404" s="135">
        <v>120.0</v>
      </c>
      <c r="O404" s="135">
        <v>1.966</v>
      </c>
      <c r="P404" s="136">
        <v>0.0</v>
      </c>
      <c r="Q404" s="137">
        <v>4.915</v>
      </c>
      <c r="R404" s="136">
        <v>46104.0</v>
      </c>
      <c r="S404" s="135" t="s">
        <v>3147</v>
      </c>
      <c r="T404" s="136"/>
      <c r="U404" s="135" t="s">
        <v>2855</v>
      </c>
      <c r="V404" s="135" t="s">
        <v>2876</v>
      </c>
      <c r="W404" s="135" t="s">
        <v>3194</v>
      </c>
      <c r="X404" s="135"/>
      <c r="Y404" s="135"/>
      <c r="Z404" s="135" t="s">
        <v>2858</v>
      </c>
      <c r="AA404" s="135"/>
      <c r="AB404" s="135"/>
      <c r="AC404" s="135"/>
      <c r="AD404" s="135">
        <v>46106.0</v>
      </c>
      <c r="AE404" s="135"/>
      <c r="AF404" s="135"/>
      <c r="AG404" s="135"/>
    </row>
    <row r="405" ht="21.75" hidden="1" customHeight="1">
      <c r="A405" s="135">
        <v>401.0</v>
      </c>
      <c r="B405" s="135">
        <v>25045.0</v>
      </c>
      <c r="C405" s="135"/>
      <c r="D405" s="135">
        <v>4.0</v>
      </c>
      <c r="E405" s="135" t="s">
        <v>3176</v>
      </c>
      <c r="F405" s="135" t="s">
        <v>1411</v>
      </c>
      <c r="G405" s="135" t="s">
        <v>54</v>
      </c>
      <c r="H405" s="135" t="s">
        <v>2853</v>
      </c>
      <c r="I405" s="135" t="s">
        <v>58</v>
      </c>
      <c r="J405" s="135">
        <v>1.0</v>
      </c>
      <c r="K405" s="135" t="s">
        <v>3134</v>
      </c>
      <c r="L405" s="135">
        <v>4655.0</v>
      </c>
      <c r="M405" s="135">
        <v>3100.0</v>
      </c>
      <c r="N405" s="135">
        <v>120.0</v>
      </c>
      <c r="O405" s="135">
        <v>1.966</v>
      </c>
      <c r="P405" s="136">
        <v>0.0</v>
      </c>
      <c r="Q405" s="137">
        <v>4.915</v>
      </c>
      <c r="R405" s="136">
        <v>46104.0</v>
      </c>
      <c r="S405" s="135" t="s">
        <v>3147</v>
      </c>
      <c r="T405" s="136"/>
      <c r="U405" s="135" t="s">
        <v>2855</v>
      </c>
      <c r="V405" s="135" t="s">
        <v>2876</v>
      </c>
      <c r="W405" s="135" t="s">
        <v>3194</v>
      </c>
      <c r="X405" s="135"/>
      <c r="Y405" s="135"/>
      <c r="Z405" s="135" t="s">
        <v>2858</v>
      </c>
      <c r="AA405" s="135"/>
      <c r="AB405" s="135"/>
      <c r="AC405" s="135"/>
      <c r="AD405" s="135">
        <v>46107.0</v>
      </c>
      <c r="AE405" s="135"/>
      <c r="AF405" s="135"/>
      <c r="AG405" s="135"/>
    </row>
    <row r="406" ht="21.75" hidden="1" customHeight="1">
      <c r="A406" s="135">
        <v>402.0</v>
      </c>
      <c r="B406" s="135">
        <v>25045.0</v>
      </c>
      <c r="C406" s="135"/>
      <c r="D406" s="135">
        <v>4.0</v>
      </c>
      <c r="E406" s="135" t="s">
        <v>3176</v>
      </c>
      <c r="F406" s="135" t="s">
        <v>1412</v>
      </c>
      <c r="G406" s="135" t="s">
        <v>54</v>
      </c>
      <c r="H406" s="135" t="s">
        <v>2853</v>
      </c>
      <c r="I406" s="135" t="s">
        <v>58</v>
      </c>
      <c r="J406" s="135">
        <v>1.0</v>
      </c>
      <c r="K406" s="135" t="s">
        <v>3134</v>
      </c>
      <c r="L406" s="135">
        <v>4655.0</v>
      </c>
      <c r="M406" s="135">
        <v>3100.0</v>
      </c>
      <c r="N406" s="135">
        <v>120.0</v>
      </c>
      <c r="O406" s="135">
        <v>1.966</v>
      </c>
      <c r="P406" s="136">
        <v>0.0</v>
      </c>
      <c r="Q406" s="137">
        <v>4.915</v>
      </c>
      <c r="R406" s="136">
        <v>46104.0</v>
      </c>
      <c r="S406" s="135" t="s">
        <v>3147</v>
      </c>
      <c r="T406" s="136"/>
      <c r="U406" s="135" t="s">
        <v>2855</v>
      </c>
      <c r="V406" s="135" t="s">
        <v>2876</v>
      </c>
      <c r="W406" s="135" t="s">
        <v>3194</v>
      </c>
      <c r="X406" s="135"/>
      <c r="Y406" s="135"/>
      <c r="Z406" s="135" t="s">
        <v>2858</v>
      </c>
      <c r="AA406" s="135"/>
      <c r="AB406" s="135"/>
      <c r="AC406" s="135"/>
      <c r="AD406" s="135">
        <v>46109.0</v>
      </c>
      <c r="AE406" s="135"/>
      <c r="AF406" s="135"/>
      <c r="AG406" s="135"/>
    </row>
    <row r="407" ht="21.75" hidden="1" customHeight="1">
      <c r="A407" s="135">
        <v>403.0</v>
      </c>
      <c r="B407" s="135">
        <v>25045.0</v>
      </c>
      <c r="C407" s="135"/>
      <c r="D407" s="135">
        <v>4.0</v>
      </c>
      <c r="E407" s="135" t="s">
        <v>3159</v>
      </c>
      <c r="F407" s="135" t="s">
        <v>1434</v>
      </c>
      <c r="G407" s="135" t="s">
        <v>54</v>
      </c>
      <c r="H407" s="135" t="s">
        <v>2853</v>
      </c>
      <c r="I407" s="135" t="s">
        <v>60</v>
      </c>
      <c r="J407" s="135">
        <v>1.0</v>
      </c>
      <c r="K407" s="135" t="s">
        <v>3134</v>
      </c>
      <c r="L407" s="135">
        <v>4655.0</v>
      </c>
      <c r="M407" s="135">
        <v>3100.0</v>
      </c>
      <c r="N407" s="135">
        <v>120.0</v>
      </c>
      <c r="O407" s="135">
        <v>1.966</v>
      </c>
      <c r="P407" s="136">
        <v>0.0</v>
      </c>
      <c r="Q407" s="137">
        <v>4.915</v>
      </c>
      <c r="R407" s="136">
        <v>46104.0</v>
      </c>
      <c r="S407" s="135" t="s">
        <v>3147</v>
      </c>
      <c r="T407" s="136"/>
      <c r="U407" s="135" t="s">
        <v>2855</v>
      </c>
      <c r="V407" s="135" t="s">
        <v>2876</v>
      </c>
      <c r="W407" s="135" t="s">
        <v>3194</v>
      </c>
      <c r="X407" s="135"/>
      <c r="Y407" s="135"/>
      <c r="Z407" s="135" t="s">
        <v>2858</v>
      </c>
      <c r="AA407" s="135"/>
      <c r="AB407" s="135"/>
      <c r="AC407" s="135"/>
      <c r="AD407" s="135">
        <v>46111.0</v>
      </c>
      <c r="AE407" s="135"/>
      <c r="AF407" s="135"/>
      <c r="AG407" s="135"/>
    </row>
    <row r="408" ht="21.75" hidden="1" customHeight="1">
      <c r="A408" s="135">
        <v>404.0</v>
      </c>
      <c r="B408" s="135">
        <v>25045.0</v>
      </c>
      <c r="C408" s="135"/>
      <c r="D408" s="135">
        <v>4.0</v>
      </c>
      <c r="E408" s="135" t="s">
        <v>3159</v>
      </c>
      <c r="F408" s="135" t="s">
        <v>1435</v>
      </c>
      <c r="G408" s="135" t="s">
        <v>54</v>
      </c>
      <c r="H408" s="135" t="s">
        <v>2853</v>
      </c>
      <c r="I408" s="135" t="s">
        <v>60</v>
      </c>
      <c r="J408" s="135">
        <v>1.0</v>
      </c>
      <c r="K408" s="135" t="s">
        <v>3134</v>
      </c>
      <c r="L408" s="135">
        <v>4655.0</v>
      </c>
      <c r="M408" s="135">
        <v>3100.0</v>
      </c>
      <c r="N408" s="135">
        <v>120.0</v>
      </c>
      <c r="O408" s="135">
        <v>1.966</v>
      </c>
      <c r="P408" s="136">
        <v>0.0</v>
      </c>
      <c r="Q408" s="137">
        <v>4.915</v>
      </c>
      <c r="R408" s="136">
        <v>46104.0</v>
      </c>
      <c r="S408" s="135" t="s">
        <v>3147</v>
      </c>
      <c r="T408" s="136"/>
      <c r="U408" s="135" t="s">
        <v>2855</v>
      </c>
      <c r="V408" s="135" t="s">
        <v>2876</v>
      </c>
      <c r="W408" s="135" t="s">
        <v>3194</v>
      </c>
      <c r="X408" s="135"/>
      <c r="Y408" s="135"/>
      <c r="Z408" s="135" t="s">
        <v>2858</v>
      </c>
      <c r="AA408" s="135"/>
      <c r="AB408" s="135"/>
      <c r="AC408" s="135"/>
      <c r="AD408" s="135">
        <v>46112.0</v>
      </c>
      <c r="AE408" s="135"/>
      <c r="AF408" s="135"/>
      <c r="AG408" s="135"/>
    </row>
    <row r="409" ht="21.75" hidden="1" customHeight="1">
      <c r="A409" s="135">
        <v>405.0</v>
      </c>
      <c r="B409" s="135">
        <v>25045.0</v>
      </c>
      <c r="C409" s="135"/>
      <c r="D409" s="135">
        <v>4.0</v>
      </c>
      <c r="E409" s="135" t="s">
        <v>3159</v>
      </c>
      <c r="F409" s="135" t="s">
        <v>1436</v>
      </c>
      <c r="G409" s="135" t="s">
        <v>54</v>
      </c>
      <c r="H409" s="135" t="s">
        <v>2853</v>
      </c>
      <c r="I409" s="135" t="s">
        <v>60</v>
      </c>
      <c r="J409" s="135">
        <v>1.0</v>
      </c>
      <c r="K409" s="135" t="s">
        <v>3134</v>
      </c>
      <c r="L409" s="135">
        <v>4655.0</v>
      </c>
      <c r="M409" s="135">
        <v>3100.0</v>
      </c>
      <c r="N409" s="135">
        <v>120.0</v>
      </c>
      <c r="O409" s="135">
        <v>1.966</v>
      </c>
      <c r="P409" s="136">
        <v>0.0</v>
      </c>
      <c r="Q409" s="137">
        <v>4.915</v>
      </c>
      <c r="R409" s="136">
        <v>46104.0</v>
      </c>
      <c r="S409" s="135" t="s">
        <v>3147</v>
      </c>
      <c r="T409" s="136"/>
      <c r="U409" s="135" t="s">
        <v>2855</v>
      </c>
      <c r="V409" s="135" t="s">
        <v>2876</v>
      </c>
      <c r="W409" s="135" t="s">
        <v>3194</v>
      </c>
      <c r="X409" s="135"/>
      <c r="Y409" s="135"/>
      <c r="Z409" s="135" t="s">
        <v>2858</v>
      </c>
      <c r="AA409" s="135"/>
      <c r="AB409" s="135"/>
      <c r="AC409" s="135"/>
      <c r="AD409" s="135">
        <v>46113.0</v>
      </c>
      <c r="AE409" s="135"/>
      <c r="AF409" s="135"/>
      <c r="AG409" s="135"/>
    </row>
    <row r="410" ht="21.75" hidden="1" customHeight="1">
      <c r="A410" s="135">
        <v>406.0</v>
      </c>
      <c r="B410" s="135">
        <v>25045.0</v>
      </c>
      <c r="C410" s="135"/>
      <c r="D410" s="135">
        <v>4.0</v>
      </c>
      <c r="E410" s="135" t="s">
        <v>3160</v>
      </c>
      <c r="F410" s="135" t="s">
        <v>1454</v>
      </c>
      <c r="G410" s="135" t="s">
        <v>54</v>
      </c>
      <c r="H410" s="135" t="s">
        <v>2853</v>
      </c>
      <c r="I410" s="135" t="s">
        <v>62</v>
      </c>
      <c r="J410" s="135">
        <v>1.0</v>
      </c>
      <c r="K410" s="135" t="s">
        <v>3134</v>
      </c>
      <c r="L410" s="135">
        <v>4655.0</v>
      </c>
      <c r="M410" s="135">
        <v>3100.0</v>
      </c>
      <c r="N410" s="135">
        <v>120.0</v>
      </c>
      <c r="O410" s="135">
        <v>1.966</v>
      </c>
      <c r="P410" s="136">
        <v>0.0</v>
      </c>
      <c r="Q410" s="137">
        <v>4.915</v>
      </c>
      <c r="R410" s="136">
        <v>46104.0</v>
      </c>
      <c r="S410" s="135" t="s">
        <v>3147</v>
      </c>
      <c r="T410" s="136"/>
      <c r="U410" s="135" t="s">
        <v>2855</v>
      </c>
      <c r="V410" s="135" t="s">
        <v>2876</v>
      </c>
      <c r="W410" s="135" t="s">
        <v>3194</v>
      </c>
      <c r="X410" s="135"/>
      <c r="Y410" s="135"/>
      <c r="Z410" s="135" t="s">
        <v>2858</v>
      </c>
      <c r="AA410" s="135"/>
      <c r="AB410" s="135"/>
      <c r="AC410" s="135"/>
      <c r="AD410" s="135">
        <v>46114.0</v>
      </c>
      <c r="AE410" s="135"/>
      <c r="AF410" s="135"/>
      <c r="AG410" s="135"/>
    </row>
    <row r="411" ht="21.75" hidden="1" customHeight="1">
      <c r="A411" s="135">
        <v>407.0</v>
      </c>
      <c r="B411" s="135">
        <v>25045.0</v>
      </c>
      <c r="C411" s="135"/>
      <c r="D411" s="135">
        <v>4.0</v>
      </c>
      <c r="E411" s="135" t="s">
        <v>3160</v>
      </c>
      <c r="F411" s="135" t="s">
        <v>1455</v>
      </c>
      <c r="G411" s="135" t="s">
        <v>54</v>
      </c>
      <c r="H411" s="135" t="s">
        <v>2853</v>
      </c>
      <c r="I411" s="135" t="s">
        <v>62</v>
      </c>
      <c r="J411" s="135">
        <v>1.0</v>
      </c>
      <c r="K411" s="135" t="s">
        <v>3134</v>
      </c>
      <c r="L411" s="135">
        <v>4655.0</v>
      </c>
      <c r="M411" s="135">
        <v>3100.0</v>
      </c>
      <c r="N411" s="135">
        <v>120.0</v>
      </c>
      <c r="O411" s="135">
        <v>1.966</v>
      </c>
      <c r="P411" s="136">
        <v>0.0</v>
      </c>
      <c r="Q411" s="137">
        <v>4.915</v>
      </c>
      <c r="R411" s="136">
        <v>46104.0</v>
      </c>
      <c r="S411" s="135" t="s">
        <v>3147</v>
      </c>
      <c r="T411" s="136"/>
      <c r="U411" s="135" t="s">
        <v>2855</v>
      </c>
      <c r="V411" s="135" t="s">
        <v>2876</v>
      </c>
      <c r="W411" s="135" t="s">
        <v>3194</v>
      </c>
      <c r="X411" s="135"/>
      <c r="Y411" s="135"/>
      <c r="Z411" s="135" t="s">
        <v>2858</v>
      </c>
      <c r="AA411" s="135"/>
      <c r="AB411" s="135"/>
      <c r="AC411" s="135"/>
      <c r="AD411" s="135">
        <v>46115.0</v>
      </c>
      <c r="AE411" s="135"/>
      <c r="AF411" s="135"/>
      <c r="AG411" s="135"/>
    </row>
    <row r="412" ht="21.75" hidden="1" customHeight="1">
      <c r="A412" s="135">
        <v>408.0</v>
      </c>
      <c r="B412" s="135">
        <v>25045.0</v>
      </c>
      <c r="C412" s="135"/>
      <c r="D412" s="135">
        <v>4.0</v>
      </c>
      <c r="E412" s="135" t="s">
        <v>3160</v>
      </c>
      <c r="F412" s="135" t="s">
        <v>1456</v>
      </c>
      <c r="G412" s="135" t="s">
        <v>54</v>
      </c>
      <c r="H412" s="135" t="s">
        <v>2853</v>
      </c>
      <c r="I412" s="135" t="s">
        <v>62</v>
      </c>
      <c r="J412" s="135">
        <v>1.0</v>
      </c>
      <c r="K412" s="135" t="s">
        <v>3134</v>
      </c>
      <c r="L412" s="135">
        <v>4655.0</v>
      </c>
      <c r="M412" s="135">
        <v>3100.0</v>
      </c>
      <c r="N412" s="135">
        <v>120.0</v>
      </c>
      <c r="O412" s="135">
        <v>1.966</v>
      </c>
      <c r="P412" s="136">
        <v>0.0</v>
      </c>
      <c r="Q412" s="137">
        <v>4.915</v>
      </c>
      <c r="R412" s="136">
        <v>46104.0</v>
      </c>
      <c r="S412" s="135" t="s">
        <v>3147</v>
      </c>
      <c r="T412" s="136"/>
      <c r="U412" s="135" t="s">
        <v>2855</v>
      </c>
      <c r="V412" s="135" t="s">
        <v>2876</v>
      </c>
      <c r="W412" s="135" t="s">
        <v>3194</v>
      </c>
      <c r="X412" s="135"/>
      <c r="Y412" s="135"/>
      <c r="Z412" s="135" t="s">
        <v>2858</v>
      </c>
      <c r="AA412" s="135"/>
      <c r="AB412" s="135"/>
      <c r="AC412" s="135"/>
      <c r="AD412" s="135">
        <v>46116.0</v>
      </c>
      <c r="AE412" s="135"/>
      <c r="AF412" s="135"/>
      <c r="AG412" s="135"/>
    </row>
    <row r="413" ht="21.75" hidden="1" customHeight="1">
      <c r="A413" s="135">
        <v>409.0</v>
      </c>
      <c r="B413" s="135">
        <v>25045.0</v>
      </c>
      <c r="C413" s="135"/>
      <c r="D413" s="135">
        <v>4.0</v>
      </c>
      <c r="E413" s="135" t="s">
        <v>3176</v>
      </c>
      <c r="F413" s="135" t="s">
        <v>1413</v>
      </c>
      <c r="G413" s="135" t="s">
        <v>54</v>
      </c>
      <c r="H413" s="135" t="s">
        <v>2853</v>
      </c>
      <c r="I413" s="135" t="s">
        <v>58</v>
      </c>
      <c r="J413" s="135">
        <v>1.0</v>
      </c>
      <c r="K413" s="135"/>
      <c r="L413" s="135">
        <v>4655.0</v>
      </c>
      <c r="M413" s="135">
        <v>3100.0</v>
      </c>
      <c r="N413" s="135">
        <v>120.0</v>
      </c>
      <c r="O413" s="135">
        <v>1.63</v>
      </c>
      <c r="P413" s="136">
        <v>0.0</v>
      </c>
      <c r="Q413" s="137">
        <v>4.074999999999999</v>
      </c>
      <c r="R413" s="136">
        <v>46104.0</v>
      </c>
      <c r="S413" s="135" t="s">
        <v>3147</v>
      </c>
      <c r="T413" s="136"/>
      <c r="U413" s="135" t="s">
        <v>2864</v>
      </c>
      <c r="V413" s="135" t="s">
        <v>2985</v>
      </c>
      <c r="W413" s="135" t="s">
        <v>3195</v>
      </c>
      <c r="X413" s="135" t="s">
        <v>2895</v>
      </c>
      <c r="Y413" s="135"/>
      <c r="Z413" s="135" t="s">
        <v>2858</v>
      </c>
      <c r="AA413" s="135"/>
      <c r="AB413" s="135"/>
      <c r="AC413" s="135"/>
      <c r="AD413" s="135">
        <v>46110.0</v>
      </c>
      <c r="AE413" s="135"/>
      <c r="AF413" s="135"/>
      <c r="AG413" s="135"/>
    </row>
    <row r="414" ht="21.75" hidden="1" customHeight="1">
      <c r="A414" s="135">
        <v>410.0</v>
      </c>
      <c r="B414" s="135">
        <v>25045.0</v>
      </c>
      <c r="C414" s="135"/>
      <c r="D414" s="135">
        <v>4.0</v>
      </c>
      <c r="E414" s="135" t="s">
        <v>3176</v>
      </c>
      <c r="F414" s="135" t="s">
        <v>1414</v>
      </c>
      <c r="G414" s="135" t="s">
        <v>54</v>
      </c>
      <c r="H414" s="135" t="s">
        <v>2853</v>
      </c>
      <c r="I414" s="135" t="s">
        <v>58</v>
      </c>
      <c r="J414" s="135">
        <v>1.0</v>
      </c>
      <c r="K414" s="135"/>
      <c r="L414" s="135">
        <v>1635.0</v>
      </c>
      <c r="M414" s="135">
        <v>880.0</v>
      </c>
      <c r="N414" s="135">
        <v>120.0</v>
      </c>
      <c r="O414" s="135">
        <v>0.302</v>
      </c>
      <c r="P414" s="136">
        <v>0.0</v>
      </c>
      <c r="Q414" s="137">
        <v>0.755</v>
      </c>
      <c r="R414" s="136">
        <v>46104.0</v>
      </c>
      <c r="S414" s="135" t="s">
        <v>3147</v>
      </c>
      <c r="T414" s="136"/>
      <c r="U414" s="135" t="s">
        <v>2864</v>
      </c>
      <c r="V414" s="135" t="s">
        <v>2953</v>
      </c>
      <c r="W414" s="135" t="s">
        <v>3196</v>
      </c>
      <c r="X414" s="135"/>
      <c r="Y414" s="135"/>
      <c r="Z414" s="135" t="s">
        <v>2858</v>
      </c>
      <c r="AA414" s="135"/>
      <c r="AB414" s="135"/>
      <c r="AC414" s="135"/>
      <c r="AD414" s="135">
        <v>46121.0</v>
      </c>
      <c r="AE414" s="135"/>
      <c r="AF414" s="135"/>
      <c r="AG414" s="135"/>
    </row>
    <row r="415" ht="21.75" hidden="1" customHeight="1">
      <c r="A415" s="135">
        <v>411.0</v>
      </c>
      <c r="B415" s="135">
        <v>25045.0</v>
      </c>
      <c r="C415" s="135"/>
      <c r="D415" s="135">
        <v>4.0</v>
      </c>
      <c r="E415" s="135" t="s">
        <v>3176</v>
      </c>
      <c r="F415" s="135" t="s">
        <v>1415</v>
      </c>
      <c r="G415" s="135" t="s">
        <v>54</v>
      </c>
      <c r="H415" s="135" t="s">
        <v>2965</v>
      </c>
      <c r="I415" s="135" t="s">
        <v>58</v>
      </c>
      <c r="J415" s="135">
        <v>1.0</v>
      </c>
      <c r="K415" s="135" t="s">
        <v>3134</v>
      </c>
      <c r="L415" s="135">
        <v>400.0</v>
      </c>
      <c r="M415" s="135">
        <v>2550.0</v>
      </c>
      <c r="N415" s="135">
        <v>350.0</v>
      </c>
      <c r="O415" s="135">
        <v>0.421</v>
      </c>
      <c r="P415" s="136">
        <v>1.0</v>
      </c>
      <c r="Q415" s="137">
        <v>1.0525</v>
      </c>
      <c r="R415" s="136">
        <v>46104.0</v>
      </c>
      <c r="S415" s="135" t="s">
        <v>3147</v>
      </c>
      <c r="T415" s="136">
        <v>46107.0</v>
      </c>
      <c r="U415" s="135" t="s">
        <v>2966</v>
      </c>
      <c r="V415" s="135" t="s">
        <v>2967</v>
      </c>
      <c r="W415" s="135"/>
      <c r="X415" s="135" t="s">
        <v>3188</v>
      </c>
      <c r="Y415" s="135"/>
      <c r="Z415" s="135" t="s">
        <v>2858</v>
      </c>
      <c r="AA415" s="135" t="s">
        <v>3173</v>
      </c>
      <c r="AB415" s="135"/>
      <c r="AC415" s="135"/>
      <c r="AD415" s="135">
        <v>46115.0</v>
      </c>
      <c r="AE415" s="135"/>
      <c r="AF415" s="135"/>
      <c r="AG415" s="135"/>
    </row>
    <row r="416" ht="21.75" hidden="1" customHeight="1">
      <c r="A416" s="135">
        <v>412.0</v>
      </c>
      <c r="B416" s="135">
        <v>25045.0</v>
      </c>
      <c r="C416" s="135"/>
      <c r="D416" s="135">
        <v>4.0</v>
      </c>
      <c r="E416" s="135" t="s">
        <v>3197</v>
      </c>
      <c r="F416" s="135" t="s">
        <v>1416</v>
      </c>
      <c r="G416" s="135" t="s">
        <v>54</v>
      </c>
      <c r="H416" s="135" t="s">
        <v>2965</v>
      </c>
      <c r="I416" s="135" t="s">
        <v>59</v>
      </c>
      <c r="J416" s="135">
        <v>1.0</v>
      </c>
      <c r="K416" s="135" t="s">
        <v>3134</v>
      </c>
      <c r="L416" s="135">
        <v>400.0</v>
      </c>
      <c r="M416" s="135">
        <v>2550.0</v>
      </c>
      <c r="N416" s="135">
        <v>350.0</v>
      </c>
      <c r="O416" s="135">
        <v>0.421</v>
      </c>
      <c r="P416" s="136">
        <v>1.0</v>
      </c>
      <c r="Q416" s="137">
        <v>1.0525</v>
      </c>
      <c r="R416" s="136">
        <v>46104.0</v>
      </c>
      <c r="S416" s="135" t="s">
        <v>3147</v>
      </c>
      <c r="T416" s="136">
        <v>46107.0</v>
      </c>
      <c r="U416" s="135" t="s">
        <v>2966</v>
      </c>
      <c r="V416" s="135" t="s">
        <v>2967</v>
      </c>
      <c r="W416" s="135"/>
      <c r="X416" s="135" t="s">
        <v>3188</v>
      </c>
      <c r="Y416" s="135"/>
      <c r="Z416" s="135" t="s">
        <v>2858</v>
      </c>
      <c r="AA416" s="135" t="s">
        <v>3173</v>
      </c>
      <c r="AB416" s="135"/>
      <c r="AC416" s="135"/>
      <c r="AD416" s="135">
        <v>46116.0</v>
      </c>
      <c r="AE416" s="135"/>
      <c r="AF416" s="135"/>
      <c r="AG416" s="135"/>
    </row>
    <row r="417" ht="21.75" hidden="1" customHeight="1">
      <c r="A417" s="135">
        <v>413.0</v>
      </c>
      <c r="B417" s="135">
        <v>25045.0</v>
      </c>
      <c r="C417" s="135" t="s">
        <v>2817</v>
      </c>
      <c r="D417" s="135">
        <v>4.0</v>
      </c>
      <c r="E417" s="135" t="s">
        <v>3197</v>
      </c>
      <c r="F417" s="135" t="s">
        <v>1417</v>
      </c>
      <c r="G417" s="135" t="s">
        <v>54</v>
      </c>
      <c r="H417" s="135" t="s">
        <v>2853</v>
      </c>
      <c r="I417" s="135" t="s">
        <v>59</v>
      </c>
      <c r="J417" s="135">
        <v>1.0</v>
      </c>
      <c r="K417" s="135" t="s">
        <v>3134</v>
      </c>
      <c r="L417" s="135">
        <v>4456.0</v>
      </c>
      <c r="M417" s="135">
        <v>1680.0</v>
      </c>
      <c r="N417" s="135">
        <v>120.0</v>
      </c>
      <c r="O417" s="135">
        <v>1.002</v>
      </c>
      <c r="P417" s="136">
        <v>0.0</v>
      </c>
      <c r="Q417" s="137">
        <v>2.505</v>
      </c>
      <c r="R417" s="136">
        <v>46104.0</v>
      </c>
      <c r="S417" s="135" t="s">
        <v>3147</v>
      </c>
      <c r="T417" s="136"/>
      <c r="U417" s="135" t="s">
        <v>2855</v>
      </c>
      <c r="V417" s="135" t="s">
        <v>2856</v>
      </c>
      <c r="W417" s="135" t="s">
        <v>3198</v>
      </c>
      <c r="X417" s="135"/>
      <c r="Y417" s="135"/>
      <c r="Z417" s="135" t="s">
        <v>2858</v>
      </c>
      <c r="AA417" s="135"/>
      <c r="AB417" s="135"/>
      <c r="AC417" s="135"/>
      <c r="AD417" s="135" t="e">
        <v>#N/A</v>
      </c>
      <c r="AE417" s="135"/>
      <c r="AF417" s="135"/>
      <c r="AG417" s="135"/>
    </row>
    <row r="418" ht="21.75" hidden="1" customHeight="1">
      <c r="A418" s="135">
        <v>414.0</v>
      </c>
      <c r="B418" s="135">
        <v>25045.0</v>
      </c>
      <c r="C418" s="135" t="s">
        <v>2817</v>
      </c>
      <c r="D418" s="135">
        <v>4.0</v>
      </c>
      <c r="E418" s="135" t="s">
        <v>3197</v>
      </c>
      <c r="F418" s="135" t="s">
        <v>1418</v>
      </c>
      <c r="G418" s="135" t="s">
        <v>54</v>
      </c>
      <c r="H418" s="135" t="s">
        <v>2853</v>
      </c>
      <c r="I418" s="135" t="s">
        <v>59</v>
      </c>
      <c r="J418" s="135">
        <v>1.0</v>
      </c>
      <c r="K418" s="135" t="s">
        <v>3134</v>
      </c>
      <c r="L418" s="135">
        <v>4456.0</v>
      </c>
      <c r="M418" s="135">
        <v>1680.0</v>
      </c>
      <c r="N418" s="135">
        <v>120.0</v>
      </c>
      <c r="O418" s="135">
        <v>1.002</v>
      </c>
      <c r="P418" s="136">
        <v>0.0</v>
      </c>
      <c r="Q418" s="137">
        <v>2.505</v>
      </c>
      <c r="R418" s="136">
        <v>46104.0</v>
      </c>
      <c r="S418" s="135" t="s">
        <v>3147</v>
      </c>
      <c r="T418" s="136"/>
      <c r="U418" s="135" t="s">
        <v>2855</v>
      </c>
      <c r="V418" s="135" t="s">
        <v>2856</v>
      </c>
      <c r="W418" s="135" t="s">
        <v>3198</v>
      </c>
      <c r="X418" s="135"/>
      <c r="Y418" s="135"/>
      <c r="Z418" s="135" t="s">
        <v>2858</v>
      </c>
      <c r="AA418" s="135"/>
      <c r="AB418" s="135"/>
      <c r="AC418" s="135"/>
      <c r="AD418" s="135" t="e">
        <v>#N/A</v>
      </c>
      <c r="AE418" s="135"/>
      <c r="AF418" s="135"/>
      <c r="AG418" s="135"/>
    </row>
    <row r="419" ht="21.75" hidden="1" customHeight="1">
      <c r="A419" s="135">
        <v>415.0</v>
      </c>
      <c r="B419" s="135">
        <v>25045.0</v>
      </c>
      <c r="C419" s="135" t="s">
        <v>2817</v>
      </c>
      <c r="D419" s="135">
        <v>4.0</v>
      </c>
      <c r="E419" s="135" t="s">
        <v>3197</v>
      </c>
      <c r="F419" s="135" t="s">
        <v>1419</v>
      </c>
      <c r="G419" s="135" t="s">
        <v>54</v>
      </c>
      <c r="H419" s="135" t="s">
        <v>2853</v>
      </c>
      <c r="I419" s="135" t="s">
        <v>59</v>
      </c>
      <c r="J419" s="135">
        <v>1.0</v>
      </c>
      <c r="K419" s="135"/>
      <c r="L419" s="135">
        <v>4456.0</v>
      </c>
      <c r="M419" s="135">
        <v>1820.0</v>
      </c>
      <c r="N419" s="135">
        <v>120.0</v>
      </c>
      <c r="O419" s="135">
        <v>1.077</v>
      </c>
      <c r="P419" s="136">
        <v>0.0</v>
      </c>
      <c r="Q419" s="137">
        <v>2.6925</v>
      </c>
      <c r="R419" s="136">
        <v>46104.0</v>
      </c>
      <c r="S419" s="135" t="s">
        <v>3147</v>
      </c>
      <c r="T419" s="136"/>
      <c r="U419" s="135" t="s">
        <v>2855</v>
      </c>
      <c r="V419" s="135" t="s">
        <v>2856</v>
      </c>
      <c r="W419" s="135" t="s">
        <v>3198</v>
      </c>
      <c r="X419" s="135"/>
      <c r="Y419" s="135"/>
      <c r="Z419" s="135" t="s">
        <v>2858</v>
      </c>
      <c r="AA419" s="135"/>
      <c r="AB419" s="135"/>
      <c r="AC419" s="135"/>
      <c r="AD419" s="135" t="e">
        <v>#N/A</v>
      </c>
      <c r="AE419" s="135"/>
      <c r="AF419" s="135"/>
      <c r="AG419" s="135"/>
    </row>
    <row r="420" ht="21.75" hidden="1" customHeight="1">
      <c r="A420" s="135">
        <v>416.0</v>
      </c>
      <c r="B420" s="135">
        <v>25045.0</v>
      </c>
      <c r="C420" s="135" t="s">
        <v>2817</v>
      </c>
      <c r="D420" s="135">
        <v>4.0</v>
      </c>
      <c r="E420" s="135" t="s">
        <v>3197</v>
      </c>
      <c r="F420" s="135" t="s">
        <v>1420</v>
      </c>
      <c r="G420" s="135" t="s">
        <v>54</v>
      </c>
      <c r="H420" s="135" t="s">
        <v>2853</v>
      </c>
      <c r="I420" s="135" t="s">
        <v>59</v>
      </c>
      <c r="J420" s="135">
        <v>1.0</v>
      </c>
      <c r="K420" s="135"/>
      <c r="L420" s="135">
        <v>2595.0</v>
      </c>
      <c r="M420" s="135">
        <v>3205.0</v>
      </c>
      <c r="N420" s="135">
        <v>120.0</v>
      </c>
      <c r="O420" s="135">
        <v>0.939</v>
      </c>
      <c r="P420" s="136">
        <v>0.0</v>
      </c>
      <c r="Q420" s="137">
        <v>2.3474999999999997</v>
      </c>
      <c r="R420" s="136">
        <v>46104.0</v>
      </c>
      <c r="S420" s="135" t="s">
        <v>3147</v>
      </c>
      <c r="T420" s="136"/>
      <c r="U420" s="135" t="s">
        <v>2864</v>
      </c>
      <c r="V420" s="135" t="s">
        <v>2878</v>
      </c>
      <c r="W420" s="135" t="s">
        <v>3199</v>
      </c>
      <c r="X420" s="135" t="s">
        <v>3200</v>
      </c>
      <c r="Y420" s="135"/>
      <c r="Z420" s="135" t="s">
        <v>2858</v>
      </c>
      <c r="AA420" s="135"/>
      <c r="AB420" s="135"/>
      <c r="AC420" s="135"/>
      <c r="AD420" s="135">
        <v>46112.0</v>
      </c>
      <c r="AE420" s="135"/>
      <c r="AF420" s="135"/>
      <c r="AG420" s="135"/>
    </row>
    <row r="421" ht="21.75" hidden="1" customHeight="1">
      <c r="A421" s="135">
        <v>417.0</v>
      </c>
      <c r="B421" s="135">
        <v>25045.0</v>
      </c>
      <c r="C421" s="135"/>
      <c r="D421" s="135">
        <v>4.0</v>
      </c>
      <c r="E421" s="135" t="s">
        <v>3197</v>
      </c>
      <c r="F421" s="135" t="s">
        <v>1421</v>
      </c>
      <c r="G421" s="135" t="s">
        <v>54</v>
      </c>
      <c r="H421" s="135" t="s">
        <v>2853</v>
      </c>
      <c r="I421" s="135" t="s">
        <v>59</v>
      </c>
      <c r="J421" s="135">
        <v>1.0</v>
      </c>
      <c r="K421" s="135"/>
      <c r="L421" s="135">
        <v>3421.0</v>
      </c>
      <c r="M421" s="135">
        <v>3300.0</v>
      </c>
      <c r="N421" s="135">
        <v>120.0</v>
      </c>
      <c r="O421" s="135">
        <v>1.391</v>
      </c>
      <c r="P421" s="136">
        <v>0.0</v>
      </c>
      <c r="Q421" s="137">
        <v>3.4775</v>
      </c>
      <c r="R421" s="136">
        <v>46104.0</v>
      </c>
      <c r="S421" s="135" t="s">
        <v>3147</v>
      </c>
      <c r="T421" s="136"/>
      <c r="U421" s="135" t="s">
        <v>2864</v>
      </c>
      <c r="V421" s="135" t="s">
        <v>3014</v>
      </c>
      <c r="W421" s="135" t="s">
        <v>3201</v>
      </c>
      <c r="X421" s="135" t="s">
        <v>3202</v>
      </c>
      <c r="Y421" s="135"/>
      <c r="Z421" s="135" t="s">
        <v>2858</v>
      </c>
      <c r="AA421" s="135"/>
      <c r="AB421" s="135"/>
      <c r="AC421" s="135"/>
      <c r="AD421" s="135">
        <v>46139.0</v>
      </c>
      <c r="AE421" s="135"/>
      <c r="AF421" s="135"/>
      <c r="AG421" s="135"/>
    </row>
    <row r="422" ht="21.75" hidden="1" customHeight="1">
      <c r="A422" s="135">
        <v>418.0</v>
      </c>
      <c r="B422" s="135">
        <v>25045.0</v>
      </c>
      <c r="C422" s="135"/>
      <c r="D422" s="135">
        <v>4.0</v>
      </c>
      <c r="E422" s="135" t="s">
        <v>3197</v>
      </c>
      <c r="F422" s="135" t="s">
        <v>1422</v>
      </c>
      <c r="G422" s="135" t="s">
        <v>54</v>
      </c>
      <c r="H422" s="135" t="s">
        <v>2853</v>
      </c>
      <c r="I422" s="135" t="s">
        <v>59</v>
      </c>
      <c r="J422" s="135">
        <v>1.0</v>
      </c>
      <c r="K422" s="135"/>
      <c r="L422" s="135">
        <v>3090.0</v>
      </c>
      <c r="M422" s="135">
        <v>3200.0</v>
      </c>
      <c r="N422" s="135">
        <v>120.0</v>
      </c>
      <c r="O422" s="135">
        <v>1.173</v>
      </c>
      <c r="P422" s="136">
        <v>0.0</v>
      </c>
      <c r="Q422" s="137">
        <v>2.9325</v>
      </c>
      <c r="R422" s="136">
        <v>46104.0</v>
      </c>
      <c r="S422" s="135" t="s">
        <v>3147</v>
      </c>
      <c r="T422" s="136"/>
      <c r="U422" s="135" t="s">
        <v>2864</v>
      </c>
      <c r="V422" s="135" t="s">
        <v>3014</v>
      </c>
      <c r="W422" s="135" t="s">
        <v>3203</v>
      </c>
      <c r="X422" s="135" t="s">
        <v>2935</v>
      </c>
      <c r="Y422" s="135"/>
      <c r="Z422" s="135" t="s">
        <v>2858</v>
      </c>
      <c r="AA422" s="135"/>
      <c r="AB422" s="135"/>
      <c r="AC422" s="135"/>
      <c r="AD422" s="135">
        <v>46142.0</v>
      </c>
      <c r="AE422" s="135"/>
      <c r="AF422" s="135"/>
      <c r="AG422" s="135"/>
    </row>
    <row r="423" ht="21.75" hidden="1" customHeight="1">
      <c r="A423" s="135">
        <v>419.0</v>
      </c>
      <c r="B423" s="135">
        <v>25045.0</v>
      </c>
      <c r="C423" s="135"/>
      <c r="D423" s="135">
        <v>4.0</v>
      </c>
      <c r="E423" s="135" t="s">
        <v>3197</v>
      </c>
      <c r="F423" s="135" t="s">
        <v>1423</v>
      </c>
      <c r="G423" s="135" t="s">
        <v>54</v>
      </c>
      <c r="H423" s="135" t="s">
        <v>2853</v>
      </c>
      <c r="I423" s="135" t="s">
        <v>59</v>
      </c>
      <c r="J423" s="135">
        <v>1.0</v>
      </c>
      <c r="K423" s="135"/>
      <c r="L423" s="135">
        <v>3315.0</v>
      </c>
      <c r="M423" s="135">
        <v>3200.0</v>
      </c>
      <c r="N423" s="135">
        <v>120.0</v>
      </c>
      <c r="O423" s="135">
        <v>1.378</v>
      </c>
      <c r="P423" s="136">
        <v>0.0</v>
      </c>
      <c r="Q423" s="137">
        <v>3.445</v>
      </c>
      <c r="R423" s="136">
        <v>46104.0</v>
      </c>
      <c r="S423" s="135" t="s">
        <v>3147</v>
      </c>
      <c r="T423" s="136"/>
      <c r="U423" s="135" t="s">
        <v>2864</v>
      </c>
      <c r="V423" s="135" t="s">
        <v>3014</v>
      </c>
      <c r="W423" s="135" t="s">
        <v>3204</v>
      </c>
      <c r="X423" s="135"/>
      <c r="Y423" s="135"/>
      <c r="Z423" s="135" t="s">
        <v>2858</v>
      </c>
      <c r="AA423" s="135"/>
      <c r="AB423" s="135"/>
      <c r="AC423" s="135"/>
      <c r="AD423" s="135">
        <v>46140.0</v>
      </c>
      <c r="AE423" s="135"/>
      <c r="AF423" s="135"/>
      <c r="AG423" s="135"/>
    </row>
    <row r="424" ht="21.75" hidden="1" customHeight="1">
      <c r="A424" s="135">
        <v>420.0</v>
      </c>
      <c r="B424" s="135">
        <v>25045.0</v>
      </c>
      <c r="C424" s="135"/>
      <c r="D424" s="135">
        <v>4.0</v>
      </c>
      <c r="E424" s="135" t="s">
        <v>3197</v>
      </c>
      <c r="F424" s="135" t="s">
        <v>1424</v>
      </c>
      <c r="G424" s="135" t="s">
        <v>54</v>
      </c>
      <c r="H424" s="135" t="s">
        <v>2853</v>
      </c>
      <c r="I424" s="135" t="s">
        <v>59</v>
      </c>
      <c r="J424" s="135">
        <v>1.0</v>
      </c>
      <c r="K424" s="135"/>
      <c r="L424" s="135">
        <v>4460.0</v>
      </c>
      <c r="M424" s="135">
        <v>3400.0</v>
      </c>
      <c r="N424" s="135">
        <v>120.0</v>
      </c>
      <c r="O424" s="135">
        <v>1.514</v>
      </c>
      <c r="P424" s="136">
        <v>0.0</v>
      </c>
      <c r="Q424" s="137">
        <v>3.785</v>
      </c>
      <c r="R424" s="136">
        <v>46104.0</v>
      </c>
      <c r="S424" s="135" t="s">
        <v>3147</v>
      </c>
      <c r="T424" s="136"/>
      <c r="U424" s="135" t="s">
        <v>2864</v>
      </c>
      <c r="V424" s="135" t="s">
        <v>3041</v>
      </c>
      <c r="W424" s="135" t="s">
        <v>3205</v>
      </c>
      <c r="X424" s="135" t="s">
        <v>2895</v>
      </c>
      <c r="Y424" s="135"/>
      <c r="Z424" s="135" t="s">
        <v>2858</v>
      </c>
      <c r="AA424" s="135"/>
      <c r="AB424" s="135"/>
      <c r="AC424" s="135"/>
      <c r="AD424" s="135">
        <v>46139.0</v>
      </c>
      <c r="AE424" s="135"/>
      <c r="AF424" s="135"/>
      <c r="AG424" s="135"/>
    </row>
    <row r="425" ht="21.75" hidden="1" customHeight="1">
      <c r="A425" s="135">
        <v>421.0</v>
      </c>
      <c r="B425" s="135">
        <v>25045.0</v>
      </c>
      <c r="C425" s="135"/>
      <c r="D425" s="135">
        <v>4.0</v>
      </c>
      <c r="E425" s="135" t="s">
        <v>3197</v>
      </c>
      <c r="F425" s="135" t="s">
        <v>1425</v>
      </c>
      <c r="G425" s="135" t="s">
        <v>54</v>
      </c>
      <c r="H425" s="135" t="s">
        <v>2853</v>
      </c>
      <c r="I425" s="135" t="s">
        <v>59</v>
      </c>
      <c r="J425" s="135">
        <v>1.0</v>
      </c>
      <c r="K425" s="135"/>
      <c r="L425" s="135">
        <v>3590.0</v>
      </c>
      <c r="M425" s="135">
        <v>3300.0</v>
      </c>
      <c r="N425" s="135">
        <v>120.0</v>
      </c>
      <c r="O425" s="135">
        <v>1.463</v>
      </c>
      <c r="P425" s="136">
        <v>0.0</v>
      </c>
      <c r="Q425" s="137">
        <v>3.6575</v>
      </c>
      <c r="R425" s="136">
        <v>46104.0</v>
      </c>
      <c r="S425" s="135" t="s">
        <v>3147</v>
      </c>
      <c r="T425" s="136"/>
      <c r="U425" s="135" t="s">
        <v>2864</v>
      </c>
      <c r="V425" s="135" t="s">
        <v>3041</v>
      </c>
      <c r="W425" s="135" t="s">
        <v>2937</v>
      </c>
      <c r="X425" s="135"/>
      <c r="Y425" s="135"/>
      <c r="Z425" s="135" t="s">
        <v>2858</v>
      </c>
      <c r="AA425" s="135"/>
      <c r="AB425" s="135"/>
      <c r="AC425" s="135"/>
      <c r="AD425" s="135">
        <v>46140.0</v>
      </c>
      <c r="AE425" s="135"/>
      <c r="AF425" s="135"/>
      <c r="AG425" s="135"/>
    </row>
    <row r="426" ht="21.75" hidden="1" customHeight="1">
      <c r="A426" s="135">
        <v>422.0</v>
      </c>
      <c r="B426" s="135">
        <v>25045.0</v>
      </c>
      <c r="C426" s="135"/>
      <c r="D426" s="135">
        <v>4.0</v>
      </c>
      <c r="E426" s="135" t="s">
        <v>3197</v>
      </c>
      <c r="F426" s="135" t="s">
        <v>1426</v>
      </c>
      <c r="G426" s="135" t="s">
        <v>54</v>
      </c>
      <c r="H426" s="135" t="s">
        <v>2853</v>
      </c>
      <c r="I426" s="135" t="s">
        <v>59</v>
      </c>
      <c r="J426" s="135">
        <v>1.0</v>
      </c>
      <c r="K426" s="135"/>
      <c r="L426" s="135">
        <v>4920.0</v>
      </c>
      <c r="M426" s="135">
        <v>3300.0</v>
      </c>
      <c r="N426" s="135">
        <v>120.0</v>
      </c>
      <c r="O426" s="135">
        <v>2.068</v>
      </c>
      <c r="P426" s="136">
        <v>0.0</v>
      </c>
      <c r="Q426" s="137">
        <v>5.17</v>
      </c>
      <c r="R426" s="136">
        <v>46104.0</v>
      </c>
      <c r="S426" s="135" t="s">
        <v>3147</v>
      </c>
      <c r="T426" s="136"/>
      <c r="U426" s="135" t="s">
        <v>2855</v>
      </c>
      <c r="V426" s="135" t="s">
        <v>2876</v>
      </c>
      <c r="W426" s="135" t="s">
        <v>3206</v>
      </c>
      <c r="X426" s="135"/>
      <c r="Y426" s="135"/>
      <c r="Z426" s="135" t="s">
        <v>2858</v>
      </c>
      <c r="AA426" s="135"/>
      <c r="AB426" s="135"/>
      <c r="AC426" s="135"/>
      <c r="AD426" s="135">
        <v>46121.0</v>
      </c>
      <c r="AE426" s="135"/>
      <c r="AF426" s="135"/>
      <c r="AG426" s="135"/>
    </row>
    <row r="427" ht="21.75" hidden="1" customHeight="1">
      <c r="A427" s="135">
        <v>423.0</v>
      </c>
      <c r="B427" s="135">
        <v>25045.0</v>
      </c>
      <c r="C427" s="135"/>
      <c r="D427" s="135">
        <v>4.0</v>
      </c>
      <c r="E427" s="135" t="s">
        <v>3197</v>
      </c>
      <c r="F427" s="135" t="s">
        <v>1427</v>
      </c>
      <c r="G427" s="135" t="s">
        <v>54</v>
      </c>
      <c r="H427" s="135" t="s">
        <v>2853</v>
      </c>
      <c r="I427" s="135" t="s">
        <v>59</v>
      </c>
      <c r="J427" s="135">
        <v>1.0</v>
      </c>
      <c r="K427" s="135"/>
      <c r="L427" s="135">
        <v>5015.0</v>
      </c>
      <c r="M427" s="135">
        <v>3130.0</v>
      </c>
      <c r="N427" s="135">
        <v>120.0</v>
      </c>
      <c r="O427" s="135">
        <v>2.084</v>
      </c>
      <c r="P427" s="136">
        <v>0.0</v>
      </c>
      <c r="Q427" s="137">
        <v>5.21</v>
      </c>
      <c r="R427" s="136">
        <v>46104.0</v>
      </c>
      <c r="S427" s="135" t="s">
        <v>3147</v>
      </c>
      <c r="T427" s="136"/>
      <c r="U427" s="135" t="s">
        <v>2855</v>
      </c>
      <c r="V427" s="135" t="s">
        <v>2876</v>
      </c>
      <c r="W427" s="135" t="s">
        <v>3207</v>
      </c>
      <c r="X427" s="135"/>
      <c r="Y427" s="135"/>
      <c r="Z427" s="135" t="s">
        <v>2858</v>
      </c>
      <c r="AA427" s="135"/>
      <c r="AB427" s="135"/>
      <c r="AC427" s="135"/>
      <c r="AD427" s="135">
        <v>46109.0</v>
      </c>
      <c r="AE427" s="135"/>
      <c r="AF427" s="135"/>
      <c r="AG427" s="135"/>
    </row>
    <row r="428" ht="21.75" hidden="1" customHeight="1">
      <c r="A428" s="135">
        <v>424.0</v>
      </c>
      <c r="B428" s="135">
        <v>25045.0</v>
      </c>
      <c r="C428" s="135"/>
      <c r="D428" s="135">
        <v>4.0</v>
      </c>
      <c r="E428" s="135" t="s">
        <v>3197</v>
      </c>
      <c r="F428" s="135" t="s">
        <v>1428</v>
      </c>
      <c r="G428" s="135" t="s">
        <v>54</v>
      </c>
      <c r="H428" s="135" t="s">
        <v>2853</v>
      </c>
      <c r="I428" s="135" t="s">
        <v>59</v>
      </c>
      <c r="J428" s="135">
        <v>1.0</v>
      </c>
      <c r="K428" s="135" t="s">
        <v>3134</v>
      </c>
      <c r="L428" s="135">
        <v>4655.0</v>
      </c>
      <c r="M428" s="135">
        <v>3130.0</v>
      </c>
      <c r="N428" s="135">
        <v>120.0</v>
      </c>
      <c r="O428" s="135">
        <v>1.983</v>
      </c>
      <c r="P428" s="136">
        <v>0.0</v>
      </c>
      <c r="Q428" s="137">
        <v>4.9575000000000005</v>
      </c>
      <c r="R428" s="136">
        <v>46104.0</v>
      </c>
      <c r="S428" s="135" t="s">
        <v>3147</v>
      </c>
      <c r="T428" s="136"/>
      <c r="U428" s="135" t="s">
        <v>2855</v>
      </c>
      <c r="V428" s="135" t="s">
        <v>2876</v>
      </c>
      <c r="W428" s="135" t="s">
        <v>3194</v>
      </c>
      <c r="X428" s="135"/>
      <c r="Y428" s="135"/>
      <c r="Z428" s="135" t="s">
        <v>2858</v>
      </c>
      <c r="AA428" s="135"/>
      <c r="AB428" s="135"/>
      <c r="AC428" s="135"/>
      <c r="AD428" s="135">
        <v>46109.0</v>
      </c>
      <c r="AE428" s="135"/>
      <c r="AF428" s="135"/>
      <c r="AG428" s="135"/>
    </row>
    <row r="429" ht="21.75" hidden="1" customHeight="1">
      <c r="A429" s="135">
        <v>425.0</v>
      </c>
      <c r="B429" s="135">
        <v>25045.0</v>
      </c>
      <c r="C429" s="135"/>
      <c r="D429" s="135">
        <v>4.0</v>
      </c>
      <c r="E429" s="135" t="s">
        <v>3197</v>
      </c>
      <c r="F429" s="135" t="s">
        <v>1429</v>
      </c>
      <c r="G429" s="135" t="s">
        <v>54</v>
      </c>
      <c r="H429" s="135" t="s">
        <v>2853</v>
      </c>
      <c r="I429" s="135" t="s">
        <v>59</v>
      </c>
      <c r="J429" s="135">
        <v>1.0</v>
      </c>
      <c r="K429" s="135" t="s">
        <v>3134</v>
      </c>
      <c r="L429" s="135">
        <v>4655.0</v>
      </c>
      <c r="M429" s="135">
        <v>3130.0</v>
      </c>
      <c r="N429" s="135">
        <v>120.0</v>
      </c>
      <c r="O429" s="135">
        <v>1.983</v>
      </c>
      <c r="P429" s="136">
        <v>0.0</v>
      </c>
      <c r="Q429" s="137">
        <v>4.9575000000000005</v>
      </c>
      <c r="R429" s="136">
        <v>46104.0</v>
      </c>
      <c r="S429" s="135" t="s">
        <v>3147</v>
      </c>
      <c r="T429" s="136"/>
      <c r="U429" s="135" t="s">
        <v>2855</v>
      </c>
      <c r="V429" s="135" t="s">
        <v>2876</v>
      </c>
      <c r="W429" s="135" t="s">
        <v>3194</v>
      </c>
      <c r="X429" s="135"/>
      <c r="Y429" s="135"/>
      <c r="Z429" s="135" t="s">
        <v>2858</v>
      </c>
      <c r="AA429" s="135"/>
      <c r="AB429" s="135"/>
      <c r="AC429" s="135"/>
      <c r="AD429" s="135">
        <v>46111.0</v>
      </c>
      <c r="AE429" s="135"/>
      <c r="AF429" s="135"/>
      <c r="AG429" s="135"/>
    </row>
    <row r="430" ht="21.75" hidden="1" customHeight="1">
      <c r="A430" s="135">
        <v>426.0</v>
      </c>
      <c r="B430" s="135">
        <v>25045.0</v>
      </c>
      <c r="C430" s="135"/>
      <c r="D430" s="135">
        <v>4.0</v>
      </c>
      <c r="E430" s="135" t="s">
        <v>3197</v>
      </c>
      <c r="F430" s="135" t="s">
        <v>1430</v>
      </c>
      <c r="G430" s="135" t="s">
        <v>54</v>
      </c>
      <c r="H430" s="135" t="s">
        <v>2853</v>
      </c>
      <c r="I430" s="135" t="s">
        <v>59</v>
      </c>
      <c r="J430" s="135">
        <v>1.0</v>
      </c>
      <c r="K430" s="135" t="s">
        <v>3134</v>
      </c>
      <c r="L430" s="135">
        <v>4655.0</v>
      </c>
      <c r="M430" s="135">
        <v>3130.0</v>
      </c>
      <c r="N430" s="135">
        <v>120.0</v>
      </c>
      <c r="O430" s="135">
        <v>1.983</v>
      </c>
      <c r="P430" s="136">
        <v>0.0</v>
      </c>
      <c r="Q430" s="137">
        <v>4.9575000000000005</v>
      </c>
      <c r="R430" s="136">
        <v>46104.0</v>
      </c>
      <c r="S430" s="135" t="s">
        <v>3147</v>
      </c>
      <c r="T430" s="136"/>
      <c r="U430" s="135" t="s">
        <v>2855</v>
      </c>
      <c r="V430" s="135" t="s">
        <v>2876</v>
      </c>
      <c r="W430" s="135" t="s">
        <v>3194</v>
      </c>
      <c r="X430" s="135"/>
      <c r="Y430" s="135"/>
      <c r="Z430" s="135" t="s">
        <v>2858</v>
      </c>
      <c r="AA430" s="135"/>
      <c r="AB430" s="135"/>
      <c r="AC430" s="135"/>
      <c r="AD430" s="135">
        <v>46113.0</v>
      </c>
      <c r="AE430" s="135"/>
      <c r="AF430" s="135"/>
      <c r="AG430" s="135"/>
    </row>
    <row r="431" ht="21.75" hidden="1" customHeight="1">
      <c r="A431" s="135">
        <v>427.0</v>
      </c>
      <c r="B431" s="135">
        <v>25045.0</v>
      </c>
      <c r="C431" s="135"/>
      <c r="D431" s="135">
        <v>4.0</v>
      </c>
      <c r="E431" s="135" t="s">
        <v>3197</v>
      </c>
      <c r="F431" s="135" t="s">
        <v>1431</v>
      </c>
      <c r="G431" s="135" t="s">
        <v>54</v>
      </c>
      <c r="H431" s="135" t="s">
        <v>2853</v>
      </c>
      <c r="I431" s="135" t="s">
        <v>59</v>
      </c>
      <c r="J431" s="135">
        <v>1.0</v>
      </c>
      <c r="K431" s="135"/>
      <c r="L431" s="135">
        <v>4655.0</v>
      </c>
      <c r="M431" s="135">
        <v>3130.0</v>
      </c>
      <c r="N431" s="135">
        <v>120.0</v>
      </c>
      <c r="O431" s="135">
        <v>1.647</v>
      </c>
      <c r="P431" s="136">
        <v>0.0</v>
      </c>
      <c r="Q431" s="137">
        <v>4.1175</v>
      </c>
      <c r="R431" s="136">
        <v>46104.0</v>
      </c>
      <c r="S431" s="135" t="s">
        <v>3147</v>
      </c>
      <c r="T431" s="136"/>
      <c r="U431" s="135" t="s">
        <v>2864</v>
      </c>
      <c r="V431" s="135" t="s">
        <v>2985</v>
      </c>
      <c r="W431" s="135" t="s">
        <v>3208</v>
      </c>
      <c r="X431" s="135" t="s">
        <v>2895</v>
      </c>
      <c r="Y431" s="135"/>
      <c r="Z431" s="135" t="s">
        <v>2858</v>
      </c>
      <c r="AA431" s="135"/>
      <c r="AB431" s="135"/>
      <c r="AC431" s="135"/>
      <c r="AD431" s="135">
        <v>46115.0</v>
      </c>
      <c r="AE431" s="135"/>
      <c r="AF431" s="135"/>
      <c r="AG431" s="135"/>
    </row>
    <row r="432" ht="21.75" hidden="1" customHeight="1">
      <c r="A432" s="135">
        <v>428.0</v>
      </c>
      <c r="B432" s="135">
        <v>25045.0</v>
      </c>
      <c r="C432" s="135"/>
      <c r="D432" s="135">
        <v>4.0</v>
      </c>
      <c r="E432" s="135" t="s">
        <v>3197</v>
      </c>
      <c r="F432" s="135" t="s">
        <v>1432</v>
      </c>
      <c r="G432" s="135" t="s">
        <v>54</v>
      </c>
      <c r="H432" s="135" t="s">
        <v>2853</v>
      </c>
      <c r="I432" s="135" t="s">
        <v>59</v>
      </c>
      <c r="J432" s="135">
        <v>1.0</v>
      </c>
      <c r="K432" s="135"/>
      <c r="L432" s="135">
        <v>1635.0</v>
      </c>
      <c r="M432" s="135">
        <v>880.0</v>
      </c>
      <c r="N432" s="135">
        <v>120.0</v>
      </c>
      <c r="O432" s="135">
        <v>0.305</v>
      </c>
      <c r="P432" s="136">
        <v>0.0</v>
      </c>
      <c r="Q432" s="137">
        <v>0.7625</v>
      </c>
      <c r="R432" s="136">
        <v>46104.0</v>
      </c>
      <c r="S432" s="135" t="s">
        <v>3147</v>
      </c>
      <c r="T432" s="136"/>
      <c r="U432" s="135" t="s">
        <v>2864</v>
      </c>
      <c r="V432" s="135" t="s">
        <v>2953</v>
      </c>
      <c r="W432" s="135" t="s">
        <v>3209</v>
      </c>
      <c r="X432" s="135"/>
      <c r="Y432" s="135"/>
      <c r="Z432" s="135" t="s">
        <v>2858</v>
      </c>
      <c r="AA432" s="135"/>
      <c r="AB432" s="135"/>
      <c r="AC432" s="135"/>
      <c r="AD432" s="135">
        <v>46122.0</v>
      </c>
      <c r="AE432" s="135"/>
      <c r="AF432" s="135"/>
      <c r="AG432" s="135"/>
    </row>
    <row r="433" ht="21.75" hidden="1" customHeight="1">
      <c r="A433" s="135">
        <v>429.0</v>
      </c>
      <c r="B433" s="135">
        <v>25045.0</v>
      </c>
      <c r="C433" s="135" t="s">
        <v>2817</v>
      </c>
      <c r="D433" s="135">
        <v>4.0</v>
      </c>
      <c r="E433" s="135" t="s">
        <v>3159</v>
      </c>
      <c r="F433" s="135" t="s">
        <v>1437</v>
      </c>
      <c r="G433" s="135" t="s">
        <v>54</v>
      </c>
      <c r="H433" s="135" t="s">
        <v>2853</v>
      </c>
      <c r="I433" s="135" t="s">
        <v>60</v>
      </c>
      <c r="J433" s="135">
        <v>1.0</v>
      </c>
      <c r="K433" s="135"/>
      <c r="L433" s="135">
        <v>4590.0</v>
      </c>
      <c r="M433" s="135">
        <v>1350.0</v>
      </c>
      <c r="N433" s="135">
        <v>120.0</v>
      </c>
      <c r="O433" s="135">
        <v>0.881</v>
      </c>
      <c r="P433" s="136">
        <v>0.0</v>
      </c>
      <c r="Q433" s="137">
        <v>2.2025</v>
      </c>
      <c r="R433" s="136">
        <v>46104.0</v>
      </c>
      <c r="S433" s="135" t="s">
        <v>3147</v>
      </c>
      <c r="T433" s="136"/>
      <c r="U433" s="135" t="s">
        <v>2855</v>
      </c>
      <c r="V433" s="135" t="s">
        <v>2856</v>
      </c>
      <c r="W433" s="135" t="s">
        <v>3210</v>
      </c>
      <c r="X433" s="135"/>
      <c r="Y433" s="135"/>
      <c r="Z433" s="135" t="s">
        <v>2858</v>
      </c>
      <c r="AA433" s="135"/>
      <c r="AB433" s="135"/>
      <c r="AC433" s="135"/>
      <c r="AD433" s="135">
        <v>46116.0</v>
      </c>
      <c r="AE433" s="135"/>
      <c r="AF433" s="135"/>
      <c r="AG433" s="135"/>
    </row>
    <row r="434" ht="21.75" hidden="1" customHeight="1">
      <c r="A434" s="135">
        <v>430.0</v>
      </c>
      <c r="B434" s="135">
        <v>25045.0</v>
      </c>
      <c r="C434" s="135" t="s">
        <v>2817</v>
      </c>
      <c r="D434" s="135">
        <v>4.0</v>
      </c>
      <c r="E434" s="135" t="s">
        <v>3159</v>
      </c>
      <c r="F434" s="135" t="s">
        <v>1438</v>
      </c>
      <c r="G434" s="135" t="s">
        <v>54</v>
      </c>
      <c r="H434" s="135" t="s">
        <v>2853</v>
      </c>
      <c r="I434" s="135" t="s">
        <v>60</v>
      </c>
      <c r="J434" s="135">
        <v>1.0</v>
      </c>
      <c r="K434" s="135"/>
      <c r="L434" s="135">
        <v>4590.0</v>
      </c>
      <c r="M434" s="135">
        <v>1350.0</v>
      </c>
      <c r="N434" s="135">
        <v>120.0</v>
      </c>
      <c r="O434" s="135">
        <v>0.881</v>
      </c>
      <c r="P434" s="136">
        <v>0.0</v>
      </c>
      <c r="Q434" s="137">
        <v>2.2025</v>
      </c>
      <c r="R434" s="136">
        <v>46104.0</v>
      </c>
      <c r="S434" s="135" t="s">
        <v>3147</v>
      </c>
      <c r="T434" s="136"/>
      <c r="U434" s="135" t="s">
        <v>2855</v>
      </c>
      <c r="V434" s="135" t="s">
        <v>2856</v>
      </c>
      <c r="W434" s="135" t="s">
        <v>3211</v>
      </c>
      <c r="X434" s="135"/>
      <c r="Y434" s="135"/>
      <c r="Z434" s="135" t="s">
        <v>2858</v>
      </c>
      <c r="AA434" s="135"/>
      <c r="AB434" s="135"/>
      <c r="AC434" s="135"/>
      <c r="AD434" s="135">
        <v>46118.0</v>
      </c>
      <c r="AE434" s="135"/>
      <c r="AF434" s="135"/>
      <c r="AG434" s="135"/>
    </row>
    <row r="435" ht="21.75" hidden="1" customHeight="1">
      <c r="A435" s="135">
        <v>431.0</v>
      </c>
      <c r="B435" s="135">
        <v>25045.0</v>
      </c>
      <c r="C435" s="135" t="s">
        <v>2817</v>
      </c>
      <c r="D435" s="135">
        <v>4.0</v>
      </c>
      <c r="E435" s="135" t="s">
        <v>3159</v>
      </c>
      <c r="F435" s="135" t="s">
        <v>1439</v>
      </c>
      <c r="G435" s="135" t="s">
        <v>54</v>
      </c>
      <c r="H435" s="135" t="s">
        <v>2853</v>
      </c>
      <c r="I435" s="135" t="s">
        <v>60</v>
      </c>
      <c r="J435" s="135">
        <v>1.0</v>
      </c>
      <c r="K435" s="135"/>
      <c r="L435" s="135">
        <v>4590.0</v>
      </c>
      <c r="M435" s="135">
        <v>1350.0</v>
      </c>
      <c r="N435" s="135">
        <v>120.0</v>
      </c>
      <c r="O435" s="135">
        <v>0.881</v>
      </c>
      <c r="P435" s="136">
        <v>0.0</v>
      </c>
      <c r="Q435" s="137">
        <v>2.2025</v>
      </c>
      <c r="R435" s="136">
        <v>46104.0</v>
      </c>
      <c r="S435" s="135" t="s">
        <v>3147</v>
      </c>
      <c r="T435" s="136"/>
      <c r="U435" s="135" t="s">
        <v>2855</v>
      </c>
      <c r="V435" s="135" t="s">
        <v>2856</v>
      </c>
      <c r="W435" s="135" t="s">
        <v>3211</v>
      </c>
      <c r="X435" s="135"/>
      <c r="Y435" s="135"/>
      <c r="Z435" s="135" t="s">
        <v>2858</v>
      </c>
      <c r="AA435" s="135"/>
      <c r="AB435" s="135"/>
      <c r="AC435" s="135"/>
      <c r="AD435" s="135">
        <v>46119.0</v>
      </c>
      <c r="AE435" s="135"/>
      <c r="AF435" s="135"/>
      <c r="AG435" s="135"/>
    </row>
    <row r="436" ht="21.75" hidden="1" customHeight="1">
      <c r="A436" s="135">
        <v>432.0</v>
      </c>
      <c r="B436" s="135">
        <v>25045.0</v>
      </c>
      <c r="C436" s="135"/>
      <c r="D436" s="135">
        <v>4.0</v>
      </c>
      <c r="E436" s="135" t="s">
        <v>3159</v>
      </c>
      <c r="F436" s="135" t="s">
        <v>1440</v>
      </c>
      <c r="G436" s="135" t="s">
        <v>54</v>
      </c>
      <c r="H436" s="135" t="s">
        <v>2853</v>
      </c>
      <c r="I436" s="135" t="s">
        <v>60</v>
      </c>
      <c r="J436" s="135">
        <v>1.0</v>
      </c>
      <c r="K436" s="135"/>
      <c r="L436" s="135">
        <v>3300.0</v>
      </c>
      <c r="M436" s="135">
        <v>2956.0</v>
      </c>
      <c r="N436" s="135">
        <v>120.0</v>
      </c>
      <c r="O436" s="135">
        <v>1.2636</v>
      </c>
      <c r="P436" s="136">
        <v>0.0</v>
      </c>
      <c r="Q436" s="137">
        <v>3.1590000000000003</v>
      </c>
      <c r="R436" s="136">
        <v>46104.0</v>
      </c>
      <c r="S436" s="135" t="s">
        <v>3147</v>
      </c>
      <c r="T436" s="136"/>
      <c r="U436" s="135" t="s">
        <v>2864</v>
      </c>
      <c r="V436" s="135" t="s">
        <v>2878</v>
      </c>
      <c r="W436" s="135" t="s">
        <v>3212</v>
      </c>
      <c r="X436" s="135"/>
      <c r="Y436" s="135"/>
      <c r="Z436" s="135" t="s">
        <v>2858</v>
      </c>
      <c r="AA436" s="135"/>
      <c r="AB436" s="135"/>
      <c r="AC436" s="135"/>
      <c r="AD436" s="135">
        <v>46115.0</v>
      </c>
      <c r="AE436" s="135"/>
      <c r="AF436" s="135"/>
      <c r="AG436" s="135"/>
    </row>
    <row r="437" ht="21.75" hidden="1" customHeight="1">
      <c r="A437" s="135">
        <v>433.0</v>
      </c>
      <c r="B437" s="135">
        <v>25045.0</v>
      </c>
      <c r="C437" s="135"/>
      <c r="D437" s="135">
        <v>4.0</v>
      </c>
      <c r="E437" s="135" t="s">
        <v>3159</v>
      </c>
      <c r="F437" s="135" t="s">
        <v>1441</v>
      </c>
      <c r="G437" s="135" t="s">
        <v>54</v>
      </c>
      <c r="H437" s="135" t="s">
        <v>2853</v>
      </c>
      <c r="I437" s="135" t="s">
        <v>60</v>
      </c>
      <c r="J437" s="135">
        <v>1.0</v>
      </c>
      <c r="K437" s="135"/>
      <c r="L437" s="135">
        <v>3090.0</v>
      </c>
      <c r="M437" s="135">
        <v>2956.0</v>
      </c>
      <c r="N437" s="135">
        <v>120.0</v>
      </c>
      <c r="O437" s="135">
        <v>1.082</v>
      </c>
      <c r="P437" s="136">
        <v>0.0</v>
      </c>
      <c r="Q437" s="137">
        <v>2.705</v>
      </c>
      <c r="R437" s="136">
        <v>46104.0</v>
      </c>
      <c r="S437" s="135" t="s">
        <v>3147</v>
      </c>
      <c r="T437" s="136"/>
      <c r="U437" s="135" t="s">
        <v>2864</v>
      </c>
      <c r="V437" s="135" t="s">
        <v>2878</v>
      </c>
      <c r="W437" s="135" t="s">
        <v>3213</v>
      </c>
      <c r="X437" s="135" t="s">
        <v>3214</v>
      </c>
      <c r="Y437" s="135"/>
      <c r="Z437" s="135" t="s">
        <v>2858</v>
      </c>
      <c r="AA437" s="135"/>
      <c r="AB437" s="135"/>
      <c r="AC437" s="135"/>
      <c r="AD437" s="135">
        <v>46118.0</v>
      </c>
      <c r="AE437" s="135"/>
      <c r="AF437" s="135"/>
      <c r="AG437" s="135"/>
    </row>
    <row r="438" ht="21.75" hidden="1" customHeight="1">
      <c r="A438" s="135">
        <v>434.0</v>
      </c>
      <c r="B438" s="135">
        <v>25045.0</v>
      </c>
      <c r="C438" s="135"/>
      <c r="D438" s="135">
        <v>4.0</v>
      </c>
      <c r="E438" s="135" t="s">
        <v>3159</v>
      </c>
      <c r="F438" s="135" t="s">
        <v>1442</v>
      </c>
      <c r="G438" s="135" t="s">
        <v>54</v>
      </c>
      <c r="H438" s="135" t="s">
        <v>2853</v>
      </c>
      <c r="I438" s="135" t="s">
        <v>60</v>
      </c>
      <c r="J438" s="135">
        <v>1.0</v>
      </c>
      <c r="K438" s="135"/>
      <c r="L438" s="135">
        <v>3420.0</v>
      </c>
      <c r="M438" s="135">
        <v>2956.0</v>
      </c>
      <c r="N438" s="135">
        <v>120.0</v>
      </c>
      <c r="O438" s="135">
        <v>1.204</v>
      </c>
      <c r="P438" s="136">
        <v>0.0</v>
      </c>
      <c r="Q438" s="137">
        <v>3.01</v>
      </c>
      <c r="R438" s="136">
        <v>46104.0</v>
      </c>
      <c r="S438" s="135" t="s">
        <v>3147</v>
      </c>
      <c r="T438" s="136"/>
      <c r="U438" s="135" t="s">
        <v>2864</v>
      </c>
      <c r="V438" s="135" t="s">
        <v>2878</v>
      </c>
      <c r="W438" s="135" t="s">
        <v>3215</v>
      </c>
      <c r="X438" s="135" t="s">
        <v>3216</v>
      </c>
      <c r="Y438" s="135"/>
      <c r="Z438" s="135" t="s">
        <v>2858</v>
      </c>
      <c r="AA438" s="135"/>
      <c r="AB438" s="135"/>
      <c r="AC438" s="135"/>
      <c r="AD438" s="135">
        <v>46119.0</v>
      </c>
      <c r="AE438" s="135"/>
      <c r="AF438" s="135"/>
      <c r="AG438" s="135"/>
    </row>
    <row r="439" ht="21.75" hidden="1" customHeight="1">
      <c r="A439" s="135">
        <v>435.0</v>
      </c>
      <c r="B439" s="135">
        <v>25045.0</v>
      </c>
      <c r="C439" s="135"/>
      <c r="D439" s="135">
        <v>4.0</v>
      </c>
      <c r="E439" s="135" t="s">
        <v>3159</v>
      </c>
      <c r="F439" s="135" t="s">
        <v>1443</v>
      </c>
      <c r="G439" s="135" t="s">
        <v>54</v>
      </c>
      <c r="H439" s="135" t="s">
        <v>2853</v>
      </c>
      <c r="I439" s="135" t="s">
        <v>60</v>
      </c>
      <c r="J439" s="135">
        <v>1.0</v>
      </c>
      <c r="K439" s="135"/>
      <c r="L439" s="135">
        <v>4460.0</v>
      </c>
      <c r="M439" s="135">
        <v>2880.0</v>
      </c>
      <c r="N439" s="135">
        <v>120.0</v>
      </c>
      <c r="O439" s="135">
        <v>1.244</v>
      </c>
      <c r="P439" s="136">
        <v>0.0</v>
      </c>
      <c r="Q439" s="137">
        <v>3.11</v>
      </c>
      <c r="R439" s="136">
        <v>46104.0</v>
      </c>
      <c r="S439" s="135" t="s">
        <v>3147</v>
      </c>
      <c r="T439" s="136"/>
      <c r="U439" s="135" t="s">
        <v>2864</v>
      </c>
      <c r="V439" s="135" t="s">
        <v>2865</v>
      </c>
      <c r="W439" s="135" t="s">
        <v>3217</v>
      </c>
      <c r="X439" s="135" t="s">
        <v>3218</v>
      </c>
      <c r="Y439" s="135"/>
      <c r="Z439" s="135" t="s">
        <v>2858</v>
      </c>
      <c r="AA439" s="135"/>
      <c r="AB439" s="135"/>
      <c r="AC439" s="135"/>
      <c r="AD439" s="135">
        <v>46119.0</v>
      </c>
      <c r="AE439" s="135"/>
      <c r="AF439" s="135"/>
      <c r="AG439" s="135"/>
    </row>
    <row r="440" ht="21.75" hidden="1" customHeight="1">
      <c r="A440" s="135">
        <v>436.0</v>
      </c>
      <c r="B440" s="135">
        <v>25045.0</v>
      </c>
      <c r="C440" s="135"/>
      <c r="D440" s="135">
        <v>4.0</v>
      </c>
      <c r="E440" s="135" t="s">
        <v>3159</v>
      </c>
      <c r="F440" s="135" t="s">
        <v>1444</v>
      </c>
      <c r="G440" s="135" t="s">
        <v>54</v>
      </c>
      <c r="H440" s="135" t="s">
        <v>2853</v>
      </c>
      <c r="I440" s="135" t="s">
        <v>60</v>
      </c>
      <c r="J440" s="135">
        <v>1.0</v>
      </c>
      <c r="K440" s="135"/>
      <c r="L440" s="135">
        <v>3590.0</v>
      </c>
      <c r="M440" s="135">
        <v>2950.0</v>
      </c>
      <c r="N440" s="135">
        <v>120.0</v>
      </c>
      <c r="O440" s="135">
        <v>1.282</v>
      </c>
      <c r="P440" s="136">
        <v>0.0</v>
      </c>
      <c r="Q440" s="137">
        <v>3.205</v>
      </c>
      <c r="R440" s="136">
        <v>46104.0</v>
      </c>
      <c r="S440" s="135" t="s">
        <v>3147</v>
      </c>
      <c r="T440" s="136"/>
      <c r="U440" s="135" t="s">
        <v>2864</v>
      </c>
      <c r="V440" s="135" t="s">
        <v>2865</v>
      </c>
      <c r="W440" s="135" t="s">
        <v>3219</v>
      </c>
      <c r="X440" s="135" t="s">
        <v>3214</v>
      </c>
      <c r="Y440" s="135"/>
      <c r="Z440" s="135" t="s">
        <v>2858</v>
      </c>
      <c r="AA440" s="135"/>
      <c r="AB440" s="135"/>
      <c r="AC440" s="135"/>
      <c r="AD440" s="135">
        <v>46120.0</v>
      </c>
      <c r="AE440" s="135"/>
      <c r="AF440" s="135"/>
      <c r="AG440" s="135"/>
    </row>
    <row r="441" ht="21.75" hidden="1" customHeight="1">
      <c r="A441" s="135">
        <v>437.0</v>
      </c>
      <c r="B441" s="135">
        <v>25045.0</v>
      </c>
      <c r="C441" s="135"/>
      <c r="D441" s="135">
        <v>4.0</v>
      </c>
      <c r="E441" s="135" t="s">
        <v>3159</v>
      </c>
      <c r="F441" s="135" t="s">
        <v>1445</v>
      </c>
      <c r="G441" s="135" t="s">
        <v>54</v>
      </c>
      <c r="H441" s="135" t="s">
        <v>2853</v>
      </c>
      <c r="I441" s="135" t="s">
        <v>60</v>
      </c>
      <c r="J441" s="135">
        <v>1.0</v>
      </c>
      <c r="K441" s="135"/>
      <c r="L441" s="135">
        <v>4500.0</v>
      </c>
      <c r="M441" s="135">
        <v>2956.0</v>
      </c>
      <c r="N441" s="135">
        <v>120.0</v>
      </c>
      <c r="O441" s="135">
        <v>1.815</v>
      </c>
      <c r="P441" s="136">
        <v>0.0</v>
      </c>
      <c r="Q441" s="137">
        <v>4.5375</v>
      </c>
      <c r="R441" s="136">
        <v>46104.0</v>
      </c>
      <c r="S441" s="135" t="s">
        <v>3147</v>
      </c>
      <c r="T441" s="136"/>
      <c r="U441" s="135" t="s">
        <v>2855</v>
      </c>
      <c r="V441" s="135" t="s">
        <v>2868</v>
      </c>
      <c r="W441" s="135" t="s">
        <v>3220</v>
      </c>
      <c r="X441" s="135" t="s">
        <v>3216</v>
      </c>
      <c r="Y441" s="135"/>
      <c r="Z441" s="135" t="s">
        <v>2858</v>
      </c>
      <c r="AA441" s="135"/>
      <c r="AB441" s="135"/>
      <c r="AC441" s="135"/>
      <c r="AD441" s="135">
        <v>46113.0</v>
      </c>
      <c r="AE441" s="135"/>
      <c r="AF441" s="135"/>
      <c r="AG441" s="135"/>
    </row>
    <row r="442" ht="21.75" hidden="1" customHeight="1">
      <c r="A442" s="135">
        <v>438.0</v>
      </c>
      <c r="B442" s="135">
        <v>25045.0</v>
      </c>
      <c r="C442" s="135"/>
      <c r="D442" s="135">
        <v>4.0</v>
      </c>
      <c r="E442" s="135" t="s">
        <v>3159</v>
      </c>
      <c r="F442" s="135" t="s">
        <v>1446</v>
      </c>
      <c r="G442" s="135" t="s">
        <v>54</v>
      </c>
      <c r="H442" s="135" t="s">
        <v>2853</v>
      </c>
      <c r="I442" s="135" t="s">
        <v>60</v>
      </c>
      <c r="J442" s="135">
        <v>1.0</v>
      </c>
      <c r="K442" s="135" t="s">
        <v>3134</v>
      </c>
      <c r="L442" s="135">
        <v>5015.0</v>
      </c>
      <c r="M442" s="135">
        <v>3100.0</v>
      </c>
      <c r="N442" s="135">
        <v>120.0</v>
      </c>
      <c r="O442" s="135">
        <v>2.065</v>
      </c>
      <c r="P442" s="136">
        <v>0.0</v>
      </c>
      <c r="Q442" s="137">
        <v>5.1625</v>
      </c>
      <c r="R442" s="136">
        <v>46104.0</v>
      </c>
      <c r="S442" s="135" t="s">
        <v>3147</v>
      </c>
      <c r="T442" s="136"/>
      <c r="U442" s="135" t="s">
        <v>2855</v>
      </c>
      <c r="V442" s="135" t="s">
        <v>2876</v>
      </c>
      <c r="W442" s="135" t="s">
        <v>3221</v>
      </c>
      <c r="X442" s="135"/>
      <c r="Y442" s="135"/>
      <c r="Z442" s="135" t="s">
        <v>2858</v>
      </c>
      <c r="AA442" s="135"/>
      <c r="AB442" s="135"/>
      <c r="AC442" s="135"/>
      <c r="AD442" s="135">
        <v>46111.0</v>
      </c>
      <c r="AE442" s="135"/>
      <c r="AF442" s="135"/>
      <c r="AG442" s="135"/>
    </row>
    <row r="443" ht="21.75" hidden="1" customHeight="1">
      <c r="A443" s="135">
        <v>439.0</v>
      </c>
      <c r="B443" s="135">
        <v>25045.0</v>
      </c>
      <c r="C443" s="135"/>
      <c r="D443" s="135">
        <v>4.0</v>
      </c>
      <c r="E443" s="135" t="s">
        <v>3160</v>
      </c>
      <c r="F443" s="135" t="s">
        <v>1457</v>
      </c>
      <c r="G443" s="135" t="s">
        <v>54</v>
      </c>
      <c r="H443" s="135" t="s">
        <v>2853</v>
      </c>
      <c r="I443" s="135" t="s">
        <v>62</v>
      </c>
      <c r="J443" s="135">
        <v>1.0</v>
      </c>
      <c r="K443" s="135" t="s">
        <v>3134</v>
      </c>
      <c r="L443" s="135">
        <v>5015.0</v>
      </c>
      <c r="M443" s="135">
        <v>3100.0</v>
      </c>
      <c r="N443" s="135">
        <v>120.0</v>
      </c>
      <c r="O443" s="135">
        <v>2.065</v>
      </c>
      <c r="P443" s="136">
        <v>0.0</v>
      </c>
      <c r="Q443" s="137">
        <v>5.1625</v>
      </c>
      <c r="R443" s="136">
        <v>46104.0</v>
      </c>
      <c r="S443" s="135" t="s">
        <v>3147</v>
      </c>
      <c r="T443" s="136"/>
      <c r="U443" s="135" t="s">
        <v>2855</v>
      </c>
      <c r="V443" s="135" t="s">
        <v>2876</v>
      </c>
      <c r="W443" s="135" t="s">
        <v>3221</v>
      </c>
      <c r="X443" s="135"/>
      <c r="Y443" s="135"/>
      <c r="Z443" s="135" t="s">
        <v>2858</v>
      </c>
      <c r="AA443" s="135"/>
      <c r="AB443" s="135"/>
      <c r="AC443" s="135"/>
      <c r="AD443" s="135">
        <v>46113.0</v>
      </c>
      <c r="AE443" s="135"/>
      <c r="AF443" s="135"/>
      <c r="AG443" s="135"/>
    </row>
    <row r="444" ht="21.75" hidden="1" customHeight="1">
      <c r="A444" s="135">
        <v>440.0</v>
      </c>
      <c r="B444" s="135">
        <v>25045.0</v>
      </c>
      <c r="C444" s="135"/>
      <c r="D444" s="135">
        <v>4.0</v>
      </c>
      <c r="E444" s="135" t="s">
        <v>3159</v>
      </c>
      <c r="F444" s="135" t="s">
        <v>1447</v>
      </c>
      <c r="G444" s="135" t="s">
        <v>54</v>
      </c>
      <c r="H444" s="135" t="s">
        <v>2853</v>
      </c>
      <c r="I444" s="135" t="s">
        <v>60</v>
      </c>
      <c r="J444" s="135">
        <v>1.0</v>
      </c>
      <c r="K444" s="135"/>
      <c r="L444" s="135">
        <v>4655.0</v>
      </c>
      <c r="M444" s="135">
        <v>3100.0</v>
      </c>
      <c r="N444" s="135">
        <v>120.0</v>
      </c>
      <c r="O444" s="135">
        <v>1.629</v>
      </c>
      <c r="P444" s="136">
        <v>0.0</v>
      </c>
      <c r="Q444" s="137">
        <v>4.0725</v>
      </c>
      <c r="R444" s="136">
        <v>46104.0</v>
      </c>
      <c r="S444" s="135" t="s">
        <v>3147</v>
      </c>
      <c r="T444" s="136"/>
      <c r="U444" s="135" t="s">
        <v>2864</v>
      </c>
      <c r="V444" s="135" t="s">
        <v>2985</v>
      </c>
      <c r="W444" s="135" t="s">
        <v>3222</v>
      </c>
      <c r="X444" s="135" t="s">
        <v>2892</v>
      </c>
      <c r="Y444" s="135"/>
      <c r="Z444" s="135" t="s">
        <v>2858</v>
      </c>
      <c r="AA444" s="135"/>
      <c r="AB444" s="135"/>
      <c r="AC444" s="135"/>
      <c r="AD444" s="135">
        <v>46116.0</v>
      </c>
      <c r="AE444" s="135"/>
      <c r="AF444" s="135"/>
      <c r="AG444" s="135"/>
    </row>
    <row r="445" ht="21.75" hidden="1" customHeight="1">
      <c r="A445" s="135">
        <v>441.0</v>
      </c>
      <c r="B445" s="135">
        <v>25045.0</v>
      </c>
      <c r="C445" s="135"/>
      <c r="D445" s="135">
        <v>4.0</v>
      </c>
      <c r="E445" s="135" t="s">
        <v>3159</v>
      </c>
      <c r="F445" s="135" t="s">
        <v>1448</v>
      </c>
      <c r="G445" s="135" t="s">
        <v>54</v>
      </c>
      <c r="H445" s="135" t="s">
        <v>2853</v>
      </c>
      <c r="I445" s="135" t="s">
        <v>60</v>
      </c>
      <c r="J445" s="135">
        <v>1.0</v>
      </c>
      <c r="K445" s="135"/>
      <c r="L445" s="135">
        <v>1635.0</v>
      </c>
      <c r="M445" s="135">
        <v>1225.0</v>
      </c>
      <c r="N445" s="135">
        <v>120.0</v>
      </c>
      <c r="O445" s="135">
        <v>0.345</v>
      </c>
      <c r="P445" s="136">
        <v>0.0</v>
      </c>
      <c r="Q445" s="137">
        <v>0.8624999999999999</v>
      </c>
      <c r="R445" s="136">
        <v>46104.0</v>
      </c>
      <c r="S445" s="135" t="s">
        <v>3147</v>
      </c>
      <c r="T445" s="136"/>
      <c r="U445" s="135" t="s">
        <v>2864</v>
      </c>
      <c r="V445" s="135" t="s">
        <v>2953</v>
      </c>
      <c r="W445" s="135" t="s">
        <v>3223</v>
      </c>
      <c r="X445" s="135"/>
      <c r="Y445" s="135"/>
      <c r="Z445" s="135" t="s">
        <v>2858</v>
      </c>
      <c r="AA445" s="135"/>
      <c r="AB445" s="135"/>
      <c r="AC445" s="135"/>
      <c r="AD445" s="135">
        <v>46118.0</v>
      </c>
      <c r="AE445" s="135"/>
      <c r="AF445" s="135"/>
      <c r="AG445" s="135"/>
    </row>
    <row r="446" ht="21.75" hidden="1" customHeight="1">
      <c r="A446" s="135">
        <v>442.0</v>
      </c>
      <c r="B446" s="135">
        <v>25045.0</v>
      </c>
      <c r="C446" s="135"/>
      <c r="D446" s="135">
        <v>4.0</v>
      </c>
      <c r="E446" s="135" t="s">
        <v>3160</v>
      </c>
      <c r="F446" s="135" t="s">
        <v>1458</v>
      </c>
      <c r="G446" s="135" t="s">
        <v>54</v>
      </c>
      <c r="H446" s="135" t="s">
        <v>2853</v>
      </c>
      <c r="I446" s="135" t="s">
        <v>62</v>
      </c>
      <c r="J446" s="135">
        <v>1.0</v>
      </c>
      <c r="K446" s="135"/>
      <c r="L446" s="135">
        <v>1635.0</v>
      </c>
      <c r="M446" s="135">
        <v>1225.0</v>
      </c>
      <c r="N446" s="135">
        <v>120.0</v>
      </c>
      <c r="O446" s="135">
        <v>0.345</v>
      </c>
      <c r="P446" s="136">
        <v>0.0</v>
      </c>
      <c r="Q446" s="137">
        <v>0.8624999999999999</v>
      </c>
      <c r="R446" s="136">
        <v>46104.0</v>
      </c>
      <c r="S446" s="135" t="s">
        <v>3147</v>
      </c>
      <c r="T446" s="136"/>
      <c r="U446" s="135" t="s">
        <v>2864</v>
      </c>
      <c r="V446" s="135" t="s">
        <v>2953</v>
      </c>
      <c r="W446" s="135" t="s">
        <v>3223</v>
      </c>
      <c r="X446" s="135"/>
      <c r="Y446" s="135"/>
      <c r="Z446" s="135" t="s">
        <v>2858</v>
      </c>
      <c r="AA446" s="135"/>
      <c r="AB446" s="135"/>
      <c r="AC446" s="135"/>
      <c r="AD446" s="135">
        <v>46119.0</v>
      </c>
      <c r="AE446" s="135"/>
      <c r="AF446" s="135"/>
      <c r="AG446" s="135"/>
    </row>
    <row r="447" ht="21.75" hidden="1" customHeight="1">
      <c r="A447" s="135">
        <v>443.0</v>
      </c>
      <c r="B447" s="135">
        <v>25045.0</v>
      </c>
      <c r="C447" s="135"/>
      <c r="D447" s="135">
        <v>4.0</v>
      </c>
      <c r="E447" s="135" t="s">
        <v>3159</v>
      </c>
      <c r="F447" s="135" t="s">
        <v>1449</v>
      </c>
      <c r="G447" s="135" t="s">
        <v>54</v>
      </c>
      <c r="H447" s="135" t="s">
        <v>2965</v>
      </c>
      <c r="I447" s="135" t="s">
        <v>60</v>
      </c>
      <c r="J447" s="135">
        <v>1.0</v>
      </c>
      <c r="K447" s="135" t="s">
        <v>3134</v>
      </c>
      <c r="L447" s="135">
        <v>400.0</v>
      </c>
      <c r="M447" s="135">
        <v>2850.0</v>
      </c>
      <c r="N447" s="135">
        <v>350.0</v>
      </c>
      <c r="O447" s="135">
        <v>0.463</v>
      </c>
      <c r="P447" s="136">
        <v>1.0</v>
      </c>
      <c r="Q447" s="137">
        <v>1.1575</v>
      </c>
      <c r="R447" s="136">
        <v>46104.0</v>
      </c>
      <c r="S447" s="135" t="s">
        <v>3147</v>
      </c>
      <c r="T447" s="136">
        <v>46107.0</v>
      </c>
      <c r="U447" s="135" t="s">
        <v>2966</v>
      </c>
      <c r="V447" s="135" t="s">
        <v>2967</v>
      </c>
      <c r="W447" s="135"/>
      <c r="X447" s="135" t="s">
        <v>3172</v>
      </c>
      <c r="Y447" s="135"/>
      <c r="Z447" s="135" t="s">
        <v>2858</v>
      </c>
      <c r="AA447" s="135"/>
      <c r="AB447" s="135"/>
      <c r="AC447" s="135"/>
      <c r="AD447" s="135">
        <v>46115.0</v>
      </c>
      <c r="AE447" s="135"/>
      <c r="AF447" s="135"/>
      <c r="AG447" s="135"/>
    </row>
    <row r="448" ht="21.75" hidden="1" customHeight="1">
      <c r="A448" s="135">
        <v>444.0</v>
      </c>
      <c r="B448" s="135">
        <v>25045.0</v>
      </c>
      <c r="C448" s="135"/>
      <c r="D448" s="135">
        <v>4.0</v>
      </c>
      <c r="E448" s="135" t="s">
        <v>3160</v>
      </c>
      <c r="F448" s="135" t="s">
        <v>1459</v>
      </c>
      <c r="G448" s="135" t="s">
        <v>54</v>
      </c>
      <c r="H448" s="135" t="s">
        <v>2965</v>
      </c>
      <c r="I448" s="135" t="s">
        <v>62</v>
      </c>
      <c r="J448" s="135">
        <v>1.0</v>
      </c>
      <c r="K448" s="135" t="s">
        <v>3134</v>
      </c>
      <c r="L448" s="135">
        <v>400.0</v>
      </c>
      <c r="M448" s="135">
        <v>2850.0</v>
      </c>
      <c r="N448" s="135">
        <v>350.0</v>
      </c>
      <c r="O448" s="135">
        <v>0.463</v>
      </c>
      <c r="P448" s="136">
        <v>1.0</v>
      </c>
      <c r="Q448" s="137">
        <v>1.1575</v>
      </c>
      <c r="R448" s="136">
        <v>46104.0</v>
      </c>
      <c r="S448" s="135" t="s">
        <v>3147</v>
      </c>
      <c r="T448" s="136">
        <v>46107.0</v>
      </c>
      <c r="U448" s="135" t="s">
        <v>2966</v>
      </c>
      <c r="V448" s="135" t="s">
        <v>2967</v>
      </c>
      <c r="W448" s="135"/>
      <c r="X448" s="135" t="s">
        <v>3172</v>
      </c>
      <c r="Y448" s="135"/>
      <c r="Z448" s="135" t="s">
        <v>2858</v>
      </c>
      <c r="AA448" s="135"/>
      <c r="AB448" s="135"/>
      <c r="AC448" s="135"/>
      <c r="AD448" s="135">
        <v>46116.0</v>
      </c>
      <c r="AE448" s="135"/>
      <c r="AF448" s="135"/>
      <c r="AG448" s="135"/>
    </row>
    <row r="449" ht="21.75" hidden="1" customHeight="1">
      <c r="A449" s="135">
        <v>445.0</v>
      </c>
      <c r="B449" s="135">
        <v>25045.0</v>
      </c>
      <c r="C449" s="135" t="s">
        <v>2817</v>
      </c>
      <c r="D449" s="135">
        <v>4.0</v>
      </c>
      <c r="E449" s="135" t="s">
        <v>3160</v>
      </c>
      <c r="F449" s="135" t="s">
        <v>1460</v>
      </c>
      <c r="G449" s="135" t="s">
        <v>54</v>
      </c>
      <c r="H449" s="135" t="s">
        <v>2853</v>
      </c>
      <c r="I449" s="135" t="s">
        <v>62</v>
      </c>
      <c r="J449" s="135">
        <v>1.0</v>
      </c>
      <c r="K449" s="135"/>
      <c r="L449" s="135">
        <v>4588.0</v>
      </c>
      <c r="M449" s="135">
        <v>3150.0</v>
      </c>
      <c r="N449" s="135">
        <v>120.0</v>
      </c>
      <c r="O449" s="135">
        <v>1.05</v>
      </c>
      <c r="P449" s="136">
        <v>0.0</v>
      </c>
      <c r="Q449" s="137">
        <v>2.625</v>
      </c>
      <c r="R449" s="136">
        <v>46104.0</v>
      </c>
      <c r="S449" s="135" t="s">
        <v>3147</v>
      </c>
      <c r="T449" s="136"/>
      <c r="U449" s="135" t="s">
        <v>2855</v>
      </c>
      <c r="V449" s="135" t="s">
        <v>2856</v>
      </c>
      <c r="W449" s="135" t="s">
        <v>3224</v>
      </c>
      <c r="X449" s="135" t="s">
        <v>3225</v>
      </c>
      <c r="Y449" s="135"/>
      <c r="Z449" s="135" t="s">
        <v>2858</v>
      </c>
      <c r="AA449" s="135"/>
      <c r="AB449" s="135"/>
      <c r="AC449" s="135"/>
      <c r="AD449" s="135" t="e">
        <v>#N/A</v>
      </c>
      <c r="AE449" s="135"/>
      <c r="AF449" s="135"/>
      <c r="AG449" s="135"/>
    </row>
    <row r="450" ht="21.75" hidden="1" customHeight="1">
      <c r="A450" s="135">
        <v>446.0</v>
      </c>
      <c r="B450" s="135">
        <v>25045.0</v>
      </c>
      <c r="C450" s="135" t="s">
        <v>2817</v>
      </c>
      <c r="D450" s="135">
        <v>4.0</v>
      </c>
      <c r="E450" s="135" t="s">
        <v>3160</v>
      </c>
      <c r="F450" s="135" t="s">
        <v>1461</v>
      </c>
      <c r="G450" s="135" t="s">
        <v>54</v>
      </c>
      <c r="H450" s="135" t="s">
        <v>2853</v>
      </c>
      <c r="I450" s="135" t="s">
        <v>62</v>
      </c>
      <c r="J450" s="135">
        <v>1.0</v>
      </c>
      <c r="K450" s="135"/>
      <c r="L450" s="135">
        <v>4588.0</v>
      </c>
      <c r="M450" s="135">
        <v>1350.0</v>
      </c>
      <c r="N450" s="135">
        <v>120.0</v>
      </c>
      <c r="O450" s="135">
        <v>0.881</v>
      </c>
      <c r="P450" s="136">
        <v>0.0</v>
      </c>
      <c r="Q450" s="137">
        <v>2.2025</v>
      </c>
      <c r="R450" s="136">
        <v>46104.0</v>
      </c>
      <c r="S450" s="135" t="s">
        <v>3147</v>
      </c>
      <c r="T450" s="136"/>
      <c r="U450" s="135" t="s">
        <v>2855</v>
      </c>
      <c r="V450" s="135" t="s">
        <v>2856</v>
      </c>
      <c r="W450" s="135" t="s">
        <v>3226</v>
      </c>
      <c r="X450" s="135"/>
      <c r="Y450" s="135"/>
      <c r="Z450" s="135" t="s">
        <v>2858</v>
      </c>
      <c r="AA450" s="135"/>
      <c r="AB450" s="135"/>
      <c r="AC450" s="135"/>
      <c r="AD450" s="135" t="e">
        <v>#N/A</v>
      </c>
      <c r="AE450" s="135"/>
      <c r="AF450" s="135"/>
      <c r="AG450" s="135"/>
    </row>
    <row r="451" ht="21.75" hidden="1" customHeight="1">
      <c r="A451" s="135">
        <v>447.0</v>
      </c>
      <c r="B451" s="135">
        <v>25045.0</v>
      </c>
      <c r="C451" s="135" t="s">
        <v>2817</v>
      </c>
      <c r="D451" s="135">
        <v>4.0</v>
      </c>
      <c r="E451" s="135" t="s">
        <v>3160</v>
      </c>
      <c r="F451" s="135" t="s">
        <v>1462</v>
      </c>
      <c r="G451" s="135" t="s">
        <v>54</v>
      </c>
      <c r="H451" s="135" t="s">
        <v>2853</v>
      </c>
      <c r="I451" s="135" t="s">
        <v>62</v>
      </c>
      <c r="J451" s="135">
        <v>1.0</v>
      </c>
      <c r="K451" s="135"/>
      <c r="L451" s="135">
        <v>4588.0</v>
      </c>
      <c r="M451" s="135">
        <v>1350.0</v>
      </c>
      <c r="N451" s="135">
        <v>120.0</v>
      </c>
      <c r="O451" s="135">
        <v>0.881</v>
      </c>
      <c r="P451" s="136">
        <v>0.0</v>
      </c>
      <c r="Q451" s="137">
        <v>2.2025</v>
      </c>
      <c r="R451" s="136">
        <v>46104.0</v>
      </c>
      <c r="S451" s="135" t="s">
        <v>3147</v>
      </c>
      <c r="T451" s="136"/>
      <c r="U451" s="135" t="s">
        <v>2855</v>
      </c>
      <c r="V451" s="135" t="s">
        <v>2856</v>
      </c>
      <c r="W451" s="135" t="s">
        <v>3226</v>
      </c>
      <c r="X451" s="135"/>
      <c r="Y451" s="135"/>
      <c r="Z451" s="135" t="s">
        <v>2858</v>
      </c>
      <c r="AA451" s="135"/>
      <c r="AB451" s="135"/>
      <c r="AC451" s="135"/>
      <c r="AD451" s="135" t="e">
        <v>#N/A</v>
      </c>
      <c r="AE451" s="135"/>
      <c r="AF451" s="135"/>
      <c r="AG451" s="135"/>
    </row>
    <row r="452" ht="21.75" hidden="1" customHeight="1">
      <c r="A452" s="135">
        <v>448.0</v>
      </c>
      <c r="B452" s="135">
        <v>25045.0</v>
      </c>
      <c r="C452" s="135"/>
      <c r="D452" s="135">
        <v>4.0</v>
      </c>
      <c r="E452" s="135" t="s">
        <v>3160</v>
      </c>
      <c r="F452" s="135" t="s">
        <v>1463</v>
      </c>
      <c r="G452" s="135" t="s">
        <v>54</v>
      </c>
      <c r="H452" s="135" t="s">
        <v>2853</v>
      </c>
      <c r="I452" s="135" t="s">
        <v>62</v>
      </c>
      <c r="J452" s="135">
        <v>1.0</v>
      </c>
      <c r="K452" s="135"/>
      <c r="L452" s="135">
        <v>4448.0</v>
      </c>
      <c r="M452" s="135">
        <v>3100.0</v>
      </c>
      <c r="N452" s="135">
        <v>120.0</v>
      </c>
      <c r="O452" s="135">
        <v>1.91</v>
      </c>
      <c r="P452" s="136">
        <v>0.0</v>
      </c>
      <c r="Q452" s="137">
        <v>4.7749999999999995</v>
      </c>
      <c r="R452" s="136">
        <v>46104.0</v>
      </c>
      <c r="S452" s="135" t="s">
        <v>3147</v>
      </c>
      <c r="T452" s="136"/>
      <c r="U452" s="135" t="s">
        <v>2855</v>
      </c>
      <c r="V452" s="135" t="s">
        <v>2876</v>
      </c>
      <c r="W452" s="135" t="s">
        <v>3227</v>
      </c>
      <c r="X452" s="135"/>
      <c r="Y452" s="135"/>
      <c r="Z452" s="135" t="s">
        <v>2858</v>
      </c>
      <c r="AA452" s="135"/>
      <c r="AB452" s="135"/>
      <c r="AC452" s="135"/>
      <c r="AD452" s="135">
        <v>46113.0</v>
      </c>
      <c r="AE452" s="135"/>
      <c r="AF452" s="135"/>
      <c r="AG452" s="135"/>
    </row>
    <row r="453" ht="21.75" hidden="1" customHeight="1">
      <c r="A453" s="135">
        <v>449.0</v>
      </c>
      <c r="B453" s="135">
        <v>25045.0</v>
      </c>
      <c r="C453" s="135"/>
      <c r="D453" s="135">
        <v>4.0</v>
      </c>
      <c r="E453" s="135" t="s">
        <v>3160</v>
      </c>
      <c r="F453" s="135" t="s">
        <v>1464</v>
      </c>
      <c r="G453" s="135" t="s">
        <v>54</v>
      </c>
      <c r="H453" s="135" t="s">
        <v>2853</v>
      </c>
      <c r="I453" s="135" t="s">
        <v>62</v>
      </c>
      <c r="J453" s="135">
        <v>1.0</v>
      </c>
      <c r="K453" s="135"/>
      <c r="L453" s="135">
        <v>4590.0</v>
      </c>
      <c r="M453" s="135">
        <v>3100.0</v>
      </c>
      <c r="N453" s="135">
        <v>120.0</v>
      </c>
      <c r="O453" s="135">
        <v>1.612</v>
      </c>
      <c r="P453" s="136">
        <v>0.0</v>
      </c>
      <c r="Q453" s="137">
        <v>4.03</v>
      </c>
      <c r="R453" s="136">
        <v>46104.0</v>
      </c>
      <c r="S453" s="135" t="s">
        <v>3147</v>
      </c>
      <c r="T453" s="136"/>
      <c r="U453" s="135" t="s">
        <v>2864</v>
      </c>
      <c r="V453" s="135" t="s">
        <v>2985</v>
      </c>
      <c r="W453" s="135" t="s">
        <v>3228</v>
      </c>
      <c r="X453" s="135" t="s">
        <v>2895</v>
      </c>
      <c r="Y453" s="135"/>
      <c r="Z453" s="135" t="s">
        <v>2858</v>
      </c>
      <c r="AA453" s="135"/>
      <c r="AB453" s="135"/>
      <c r="AC453" s="135"/>
      <c r="AD453" s="135">
        <v>46119.0</v>
      </c>
      <c r="AE453" s="135"/>
      <c r="AF453" s="135"/>
      <c r="AG453" s="135"/>
    </row>
    <row r="454" ht="21.75" hidden="1" customHeight="1">
      <c r="A454" s="135">
        <v>450.0</v>
      </c>
      <c r="B454" s="135">
        <v>25045.0</v>
      </c>
      <c r="C454" s="135"/>
      <c r="D454" s="135">
        <v>4.0</v>
      </c>
      <c r="E454" s="135" t="s">
        <v>3160</v>
      </c>
      <c r="F454" s="135" t="s">
        <v>1465</v>
      </c>
      <c r="G454" s="135" t="s">
        <v>54</v>
      </c>
      <c r="H454" s="135" t="s">
        <v>2853</v>
      </c>
      <c r="I454" s="135" t="s">
        <v>62</v>
      </c>
      <c r="J454" s="135">
        <v>1.0</v>
      </c>
      <c r="K454" s="135"/>
      <c r="L454" s="135">
        <v>4655.0</v>
      </c>
      <c r="M454" s="135">
        <v>3100.0</v>
      </c>
      <c r="N454" s="135">
        <v>120.0</v>
      </c>
      <c r="O454" s="135">
        <v>1.63</v>
      </c>
      <c r="P454" s="136">
        <v>0.0</v>
      </c>
      <c r="Q454" s="137">
        <v>4.074999999999999</v>
      </c>
      <c r="R454" s="136">
        <v>46104.0</v>
      </c>
      <c r="S454" s="135" t="s">
        <v>3147</v>
      </c>
      <c r="T454" s="136"/>
      <c r="U454" s="135" t="s">
        <v>2864</v>
      </c>
      <c r="V454" s="135" t="s">
        <v>2985</v>
      </c>
      <c r="W454" s="135" t="s">
        <v>3229</v>
      </c>
      <c r="X454" s="135" t="s">
        <v>2892</v>
      </c>
      <c r="Y454" s="135"/>
      <c r="Z454" s="135" t="s">
        <v>2858</v>
      </c>
      <c r="AA454" s="135"/>
      <c r="AB454" s="135"/>
      <c r="AC454" s="135"/>
      <c r="AD454" s="135">
        <v>46120.0</v>
      </c>
      <c r="AE454" s="135"/>
      <c r="AF454" s="135"/>
      <c r="AG454" s="135"/>
    </row>
    <row r="455" ht="21.75" hidden="1" customHeight="1">
      <c r="A455" s="135">
        <v>451.0</v>
      </c>
      <c r="B455" s="135">
        <v>25045.0</v>
      </c>
      <c r="C455" s="135" t="s">
        <v>2817</v>
      </c>
      <c r="D455" s="135">
        <v>4.0</v>
      </c>
      <c r="E455" s="135" t="s">
        <v>3230</v>
      </c>
      <c r="F455" s="135" t="s">
        <v>1466</v>
      </c>
      <c r="G455" s="135" t="s">
        <v>54</v>
      </c>
      <c r="H455" s="135" t="s">
        <v>2853</v>
      </c>
      <c r="I455" s="135" t="s">
        <v>63</v>
      </c>
      <c r="J455" s="135">
        <v>1.0</v>
      </c>
      <c r="K455" s="135"/>
      <c r="L455" s="135">
        <v>4595.0</v>
      </c>
      <c r="M455" s="135">
        <v>3150.0</v>
      </c>
      <c r="N455" s="135">
        <v>120.0</v>
      </c>
      <c r="O455" s="135">
        <v>1.053</v>
      </c>
      <c r="P455" s="136">
        <v>0.0</v>
      </c>
      <c r="Q455" s="137">
        <v>2.6325</v>
      </c>
      <c r="R455" s="136">
        <v>46104.0</v>
      </c>
      <c r="S455" s="135" t="s">
        <v>3147</v>
      </c>
      <c r="T455" s="136"/>
      <c r="U455" s="135" t="s">
        <v>2855</v>
      </c>
      <c r="V455" s="135" t="s">
        <v>2856</v>
      </c>
      <c r="W455" s="135" t="s">
        <v>3231</v>
      </c>
      <c r="X455" s="135" t="s">
        <v>3232</v>
      </c>
      <c r="Y455" s="135"/>
      <c r="Z455" s="135" t="s">
        <v>2858</v>
      </c>
      <c r="AA455" s="135"/>
      <c r="AB455" s="135"/>
      <c r="AC455" s="135"/>
      <c r="AD455" s="135" t="e">
        <v>#N/A</v>
      </c>
      <c r="AE455" s="135"/>
      <c r="AF455" s="135"/>
      <c r="AG455" s="135"/>
    </row>
    <row r="456" ht="21.75" hidden="1" customHeight="1">
      <c r="A456" s="135">
        <v>452.0</v>
      </c>
      <c r="B456" s="135">
        <v>25045.0</v>
      </c>
      <c r="C456" s="135" t="s">
        <v>2817</v>
      </c>
      <c r="D456" s="135">
        <v>4.0</v>
      </c>
      <c r="E456" s="135" t="s">
        <v>3230</v>
      </c>
      <c r="F456" s="135" t="s">
        <v>1467</v>
      </c>
      <c r="G456" s="135" t="s">
        <v>54</v>
      </c>
      <c r="H456" s="135" t="s">
        <v>2853</v>
      </c>
      <c r="I456" s="135" t="s">
        <v>63</v>
      </c>
      <c r="J456" s="135">
        <v>1.0</v>
      </c>
      <c r="K456" s="135"/>
      <c r="L456" s="135">
        <v>4595.0</v>
      </c>
      <c r="M456" s="135">
        <v>1350.0</v>
      </c>
      <c r="N456" s="135">
        <v>120.0</v>
      </c>
      <c r="O456" s="135">
        <v>0.881</v>
      </c>
      <c r="P456" s="136">
        <v>0.0</v>
      </c>
      <c r="Q456" s="137">
        <v>2.2025</v>
      </c>
      <c r="R456" s="136">
        <v>46104.0</v>
      </c>
      <c r="S456" s="135" t="s">
        <v>3147</v>
      </c>
      <c r="T456" s="136"/>
      <c r="U456" s="135" t="s">
        <v>2855</v>
      </c>
      <c r="V456" s="135" t="s">
        <v>2856</v>
      </c>
      <c r="W456" s="135" t="s">
        <v>3233</v>
      </c>
      <c r="X456" s="135"/>
      <c r="Y456" s="135"/>
      <c r="Z456" s="135" t="s">
        <v>2858</v>
      </c>
      <c r="AA456" s="135"/>
      <c r="AB456" s="135"/>
      <c r="AC456" s="135"/>
      <c r="AD456" s="135">
        <v>46115.0</v>
      </c>
      <c r="AE456" s="135"/>
      <c r="AF456" s="135"/>
      <c r="AG456" s="135"/>
    </row>
    <row r="457" ht="21.75" hidden="1" customHeight="1">
      <c r="A457" s="135">
        <v>453.0</v>
      </c>
      <c r="B457" s="135">
        <v>25045.0</v>
      </c>
      <c r="C457" s="135" t="s">
        <v>2817</v>
      </c>
      <c r="D457" s="135">
        <v>4.0</v>
      </c>
      <c r="E457" s="135" t="s">
        <v>3230</v>
      </c>
      <c r="F457" s="135" t="s">
        <v>1468</v>
      </c>
      <c r="G457" s="135" t="s">
        <v>54</v>
      </c>
      <c r="H457" s="135" t="s">
        <v>2853</v>
      </c>
      <c r="I457" s="135" t="s">
        <v>63</v>
      </c>
      <c r="J457" s="135">
        <v>1.0</v>
      </c>
      <c r="K457" s="135"/>
      <c r="L457" s="135">
        <v>2195.0</v>
      </c>
      <c r="M457" s="135">
        <v>2850.0</v>
      </c>
      <c r="N457" s="135">
        <v>120.0</v>
      </c>
      <c r="O457" s="135">
        <v>0.79</v>
      </c>
      <c r="P457" s="136">
        <v>0.0</v>
      </c>
      <c r="Q457" s="137">
        <v>1.975</v>
      </c>
      <c r="R457" s="136">
        <v>46104.0</v>
      </c>
      <c r="S457" s="135" t="s">
        <v>3147</v>
      </c>
      <c r="T457" s="136"/>
      <c r="U457" s="135" t="s">
        <v>2864</v>
      </c>
      <c r="V457" s="135" t="s">
        <v>2878</v>
      </c>
      <c r="W457" s="135" t="s">
        <v>3234</v>
      </c>
      <c r="X457" s="135" t="s">
        <v>3235</v>
      </c>
      <c r="Y457" s="135"/>
      <c r="Z457" s="135" t="s">
        <v>2858</v>
      </c>
      <c r="AA457" s="135"/>
      <c r="AB457" s="135"/>
      <c r="AC457" s="135"/>
      <c r="AD457" s="135">
        <v>46137.0</v>
      </c>
      <c r="AE457" s="135"/>
      <c r="AF457" s="135"/>
      <c r="AG457" s="135"/>
    </row>
    <row r="458" ht="21.75" hidden="1" customHeight="1">
      <c r="A458" s="135">
        <v>454.0</v>
      </c>
      <c r="B458" s="135">
        <v>25045.0</v>
      </c>
      <c r="C458" s="135"/>
      <c r="D458" s="135">
        <v>4.0</v>
      </c>
      <c r="E458" s="135" t="s">
        <v>3230</v>
      </c>
      <c r="F458" s="135" t="s">
        <v>1469</v>
      </c>
      <c r="G458" s="135" t="s">
        <v>54</v>
      </c>
      <c r="H458" s="135" t="s">
        <v>2853</v>
      </c>
      <c r="I458" s="135" t="s">
        <v>63</v>
      </c>
      <c r="J458" s="135">
        <v>1.0</v>
      </c>
      <c r="K458" s="135"/>
      <c r="L458" s="135">
        <v>4500.0</v>
      </c>
      <c r="M458" s="135">
        <v>3100.0</v>
      </c>
      <c r="N458" s="135">
        <v>120.0</v>
      </c>
      <c r="O458" s="135">
        <v>1.924</v>
      </c>
      <c r="P458" s="136">
        <v>0.0</v>
      </c>
      <c r="Q458" s="137">
        <v>4.81</v>
      </c>
      <c r="R458" s="136">
        <v>46104.0</v>
      </c>
      <c r="S458" s="135" t="s">
        <v>3147</v>
      </c>
      <c r="T458" s="136"/>
      <c r="U458" s="135" t="s">
        <v>2855</v>
      </c>
      <c r="V458" s="135" t="s">
        <v>2876</v>
      </c>
      <c r="W458" s="135" t="s">
        <v>3236</v>
      </c>
      <c r="X458" s="135"/>
      <c r="Y458" s="135"/>
      <c r="Z458" s="135" t="s">
        <v>2858</v>
      </c>
      <c r="AA458" s="135"/>
      <c r="AB458" s="135"/>
      <c r="AC458" s="135"/>
      <c r="AD458" s="135">
        <v>46114.0</v>
      </c>
      <c r="AE458" s="135"/>
      <c r="AF458" s="135"/>
      <c r="AG458" s="135"/>
    </row>
    <row r="459" ht="21.75" hidden="1" customHeight="1">
      <c r="A459" s="135">
        <v>455.0</v>
      </c>
      <c r="B459" s="135">
        <v>25045.0</v>
      </c>
      <c r="C459" s="135"/>
      <c r="D459" s="135">
        <v>4.0</v>
      </c>
      <c r="E459" s="135" t="s">
        <v>3230</v>
      </c>
      <c r="F459" s="135" t="s">
        <v>1470</v>
      </c>
      <c r="G459" s="135" t="s">
        <v>54</v>
      </c>
      <c r="H459" s="135" t="s">
        <v>2853</v>
      </c>
      <c r="I459" s="135" t="s">
        <v>63</v>
      </c>
      <c r="J459" s="135">
        <v>1.0</v>
      </c>
      <c r="K459" s="135" t="s">
        <v>3134</v>
      </c>
      <c r="L459" s="135">
        <v>4500.0</v>
      </c>
      <c r="M459" s="135">
        <v>3100.0</v>
      </c>
      <c r="N459" s="135">
        <v>120.0</v>
      </c>
      <c r="O459" s="135">
        <v>1.923</v>
      </c>
      <c r="P459" s="136">
        <v>0.0</v>
      </c>
      <c r="Q459" s="137">
        <v>4.8075</v>
      </c>
      <c r="R459" s="136">
        <v>46104.0</v>
      </c>
      <c r="S459" s="135" t="s">
        <v>3147</v>
      </c>
      <c r="T459" s="136"/>
      <c r="U459" s="135" t="s">
        <v>2855</v>
      </c>
      <c r="V459" s="135" t="s">
        <v>2876</v>
      </c>
      <c r="W459" s="135" t="s">
        <v>3191</v>
      </c>
      <c r="X459" s="135"/>
      <c r="Y459" s="135"/>
      <c r="Z459" s="135" t="s">
        <v>2858</v>
      </c>
      <c r="AA459" s="135"/>
      <c r="AB459" s="135"/>
      <c r="AC459" s="135"/>
      <c r="AD459" s="135">
        <v>46115.0</v>
      </c>
      <c r="AE459" s="135"/>
      <c r="AF459" s="135"/>
      <c r="AG459" s="135"/>
    </row>
    <row r="460" ht="21.75" hidden="1" customHeight="1">
      <c r="A460" s="135">
        <v>456.0</v>
      </c>
      <c r="B460" s="135">
        <v>25045.0</v>
      </c>
      <c r="C460" s="135"/>
      <c r="D460" s="135">
        <v>4.0</v>
      </c>
      <c r="E460" s="135" t="s">
        <v>3230</v>
      </c>
      <c r="F460" s="135" t="s">
        <v>1471</v>
      </c>
      <c r="G460" s="135" t="s">
        <v>54</v>
      </c>
      <c r="H460" s="135" t="s">
        <v>2853</v>
      </c>
      <c r="I460" s="135" t="s">
        <v>63</v>
      </c>
      <c r="J460" s="135">
        <v>1.0</v>
      </c>
      <c r="K460" s="135" t="s">
        <v>3134</v>
      </c>
      <c r="L460" s="135">
        <v>4500.0</v>
      </c>
      <c r="M460" s="135">
        <v>3100.0</v>
      </c>
      <c r="N460" s="135">
        <v>120.0</v>
      </c>
      <c r="O460" s="135">
        <v>1.923</v>
      </c>
      <c r="P460" s="136">
        <v>0.0</v>
      </c>
      <c r="Q460" s="137">
        <v>4.8075</v>
      </c>
      <c r="R460" s="136">
        <v>46104.0</v>
      </c>
      <c r="S460" s="135" t="s">
        <v>3147</v>
      </c>
      <c r="T460" s="136"/>
      <c r="U460" s="135" t="s">
        <v>2855</v>
      </c>
      <c r="V460" s="135" t="s">
        <v>2876</v>
      </c>
      <c r="W460" s="135" t="s">
        <v>3191</v>
      </c>
      <c r="X460" s="135"/>
      <c r="Y460" s="135"/>
      <c r="Z460" s="135" t="s">
        <v>2858</v>
      </c>
      <c r="AA460" s="135"/>
      <c r="AB460" s="135"/>
      <c r="AC460" s="135"/>
      <c r="AD460" s="135">
        <v>46118.0</v>
      </c>
      <c r="AE460" s="135"/>
      <c r="AF460" s="135"/>
      <c r="AG460" s="135"/>
    </row>
    <row r="461" ht="21.75" hidden="1" customHeight="1">
      <c r="A461" s="135">
        <v>457.0</v>
      </c>
      <c r="B461" s="135">
        <v>25045.0</v>
      </c>
      <c r="C461" s="135"/>
      <c r="D461" s="135">
        <v>4.0</v>
      </c>
      <c r="E461" s="135" t="s">
        <v>3230</v>
      </c>
      <c r="F461" s="135" t="s">
        <v>1472</v>
      </c>
      <c r="G461" s="135" t="s">
        <v>54</v>
      </c>
      <c r="H461" s="135" t="s">
        <v>2853</v>
      </c>
      <c r="I461" s="135" t="s">
        <v>63</v>
      </c>
      <c r="J461" s="135">
        <v>1.0</v>
      </c>
      <c r="K461" s="135" t="s">
        <v>3134</v>
      </c>
      <c r="L461" s="135">
        <v>4500.0</v>
      </c>
      <c r="M461" s="135">
        <v>3100.0</v>
      </c>
      <c r="N461" s="135">
        <v>120.0</v>
      </c>
      <c r="O461" s="135">
        <v>1.923</v>
      </c>
      <c r="P461" s="136">
        <v>0.0</v>
      </c>
      <c r="Q461" s="137">
        <v>4.8075</v>
      </c>
      <c r="R461" s="136">
        <v>46104.0</v>
      </c>
      <c r="S461" s="135" t="s">
        <v>3147</v>
      </c>
      <c r="T461" s="136"/>
      <c r="U461" s="135" t="s">
        <v>2855</v>
      </c>
      <c r="V461" s="135" t="s">
        <v>2876</v>
      </c>
      <c r="W461" s="135" t="s">
        <v>3191</v>
      </c>
      <c r="X461" s="135"/>
      <c r="Y461" s="135"/>
      <c r="Z461" s="135" t="s">
        <v>2858</v>
      </c>
      <c r="AA461" s="135"/>
      <c r="AB461" s="135"/>
      <c r="AC461" s="135"/>
      <c r="AD461" s="135">
        <v>46119.0</v>
      </c>
      <c r="AE461" s="135"/>
      <c r="AF461" s="135"/>
      <c r="AG461" s="135"/>
    </row>
    <row r="462" ht="21.75" hidden="1" customHeight="1">
      <c r="A462" s="135">
        <v>458.0</v>
      </c>
      <c r="B462" s="135">
        <v>25045.0</v>
      </c>
      <c r="C462" s="135"/>
      <c r="D462" s="135">
        <v>4.0</v>
      </c>
      <c r="E462" s="135" t="s">
        <v>3230</v>
      </c>
      <c r="F462" s="135" t="s">
        <v>1473</v>
      </c>
      <c r="G462" s="135" t="s">
        <v>54</v>
      </c>
      <c r="H462" s="135" t="s">
        <v>2853</v>
      </c>
      <c r="I462" s="135" t="s">
        <v>63</v>
      </c>
      <c r="J462" s="135">
        <v>1.0</v>
      </c>
      <c r="K462" s="135"/>
      <c r="L462" s="135">
        <v>4500.0</v>
      </c>
      <c r="M462" s="135">
        <v>3100.0</v>
      </c>
      <c r="N462" s="135">
        <v>120.0</v>
      </c>
      <c r="O462" s="135">
        <v>1.587</v>
      </c>
      <c r="P462" s="136">
        <v>0.0</v>
      </c>
      <c r="Q462" s="137">
        <v>3.9675</v>
      </c>
      <c r="R462" s="136">
        <v>46104.0</v>
      </c>
      <c r="S462" s="135" t="s">
        <v>3147</v>
      </c>
      <c r="T462" s="136"/>
      <c r="U462" s="135" t="s">
        <v>2864</v>
      </c>
      <c r="V462" s="135" t="s">
        <v>2985</v>
      </c>
      <c r="W462" s="135" t="s">
        <v>3237</v>
      </c>
      <c r="X462" s="135"/>
      <c r="Y462" s="135"/>
      <c r="Z462" s="135" t="s">
        <v>2858</v>
      </c>
      <c r="AA462" s="135"/>
      <c r="AB462" s="135"/>
      <c r="AC462" s="135"/>
      <c r="AD462" s="135">
        <v>46121.0</v>
      </c>
      <c r="AE462" s="135"/>
      <c r="AF462" s="135"/>
      <c r="AG462" s="135"/>
    </row>
    <row r="463" ht="21.75" hidden="1" customHeight="1">
      <c r="A463" s="135">
        <v>459.0</v>
      </c>
      <c r="B463" s="135">
        <v>25045.0</v>
      </c>
      <c r="C463" s="135"/>
      <c r="D463" s="135">
        <v>4.0</v>
      </c>
      <c r="E463" s="135" t="s">
        <v>3230</v>
      </c>
      <c r="F463" s="135" t="s">
        <v>1474</v>
      </c>
      <c r="G463" s="135" t="s">
        <v>54</v>
      </c>
      <c r="H463" s="135" t="s">
        <v>2853</v>
      </c>
      <c r="I463" s="135" t="s">
        <v>63</v>
      </c>
      <c r="J463" s="135">
        <v>1.0</v>
      </c>
      <c r="K463" s="135"/>
      <c r="L463" s="135">
        <v>5015.0</v>
      </c>
      <c r="M463" s="135">
        <v>3290.0</v>
      </c>
      <c r="N463" s="135">
        <v>120.0</v>
      </c>
      <c r="O463" s="135">
        <v>2.316</v>
      </c>
      <c r="P463" s="136">
        <v>0.0</v>
      </c>
      <c r="Q463" s="137">
        <v>5.789999999999999</v>
      </c>
      <c r="R463" s="136">
        <v>46104.0</v>
      </c>
      <c r="S463" s="135" t="s">
        <v>3147</v>
      </c>
      <c r="T463" s="136"/>
      <c r="U463" s="135" t="s">
        <v>2855</v>
      </c>
      <c r="V463" s="135" t="s">
        <v>2878</v>
      </c>
      <c r="W463" s="135" t="s">
        <v>2915</v>
      </c>
      <c r="X463" s="135"/>
      <c r="Y463" s="135"/>
      <c r="Z463" s="135" t="s">
        <v>2858</v>
      </c>
      <c r="AA463" s="135"/>
      <c r="AB463" s="135"/>
      <c r="AC463" s="135"/>
      <c r="AD463" s="135">
        <v>46111.0</v>
      </c>
      <c r="AE463" s="135"/>
      <c r="AF463" s="135"/>
      <c r="AG463" s="135"/>
    </row>
    <row r="464" ht="21.75" hidden="1" customHeight="1">
      <c r="A464" s="135">
        <v>460.0</v>
      </c>
      <c r="B464" s="135">
        <v>25045.0</v>
      </c>
      <c r="C464" s="135"/>
      <c r="D464" s="135">
        <v>4.0</v>
      </c>
      <c r="E464" s="135" t="s">
        <v>3230</v>
      </c>
      <c r="F464" s="135" t="s">
        <v>1475</v>
      </c>
      <c r="G464" s="135" t="s">
        <v>54</v>
      </c>
      <c r="H464" s="135" t="s">
        <v>2853</v>
      </c>
      <c r="I464" s="135" t="s">
        <v>63</v>
      </c>
      <c r="J464" s="135">
        <v>1.0</v>
      </c>
      <c r="K464" s="135" t="s">
        <v>3134</v>
      </c>
      <c r="L464" s="135">
        <v>4830.0</v>
      </c>
      <c r="M464" s="135">
        <v>3290.0</v>
      </c>
      <c r="N464" s="135">
        <v>120.0</v>
      </c>
      <c r="O464" s="135">
        <v>2.261</v>
      </c>
      <c r="P464" s="136">
        <v>0.0</v>
      </c>
      <c r="Q464" s="137">
        <v>5.6525</v>
      </c>
      <c r="R464" s="136">
        <v>46104.0</v>
      </c>
      <c r="S464" s="135" t="s">
        <v>3147</v>
      </c>
      <c r="T464" s="136"/>
      <c r="U464" s="135" t="s">
        <v>2855</v>
      </c>
      <c r="V464" s="135" t="s">
        <v>2878</v>
      </c>
      <c r="W464" s="135" t="s">
        <v>3238</v>
      </c>
      <c r="X464" s="135"/>
      <c r="Y464" s="135"/>
      <c r="Z464" s="135" t="s">
        <v>2858</v>
      </c>
      <c r="AA464" s="135"/>
      <c r="AB464" s="135"/>
      <c r="AC464" s="135"/>
      <c r="AD464" s="135">
        <v>46113.0</v>
      </c>
      <c r="AE464" s="135"/>
      <c r="AF464" s="135"/>
      <c r="AG464" s="135"/>
    </row>
    <row r="465" ht="21.75" hidden="1" customHeight="1">
      <c r="A465" s="135">
        <v>461.0</v>
      </c>
      <c r="B465" s="135">
        <v>25045.0</v>
      </c>
      <c r="C465" s="135"/>
      <c r="D465" s="135">
        <v>4.0</v>
      </c>
      <c r="E465" s="135" t="s">
        <v>3230</v>
      </c>
      <c r="F465" s="135" t="s">
        <v>1476</v>
      </c>
      <c r="G465" s="135" t="s">
        <v>54</v>
      </c>
      <c r="H465" s="135" t="s">
        <v>2853</v>
      </c>
      <c r="I465" s="135" t="s">
        <v>63</v>
      </c>
      <c r="J465" s="135">
        <v>1.0</v>
      </c>
      <c r="K465" s="135" t="s">
        <v>3134</v>
      </c>
      <c r="L465" s="135">
        <v>4830.0</v>
      </c>
      <c r="M465" s="135">
        <v>3290.0</v>
      </c>
      <c r="N465" s="135">
        <v>120.0</v>
      </c>
      <c r="O465" s="135">
        <v>2.261</v>
      </c>
      <c r="P465" s="136">
        <v>0.0</v>
      </c>
      <c r="Q465" s="137">
        <v>5.6525</v>
      </c>
      <c r="R465" s="136">
        <v>46104.0</v>
      </c>
      <c r="S465" s="135" t="s">
        <v>3147</v>
      </c>
      <c r="T465" s="136"/>
      <c r="U465" s="135" t="s">
        <v>2855</v>
      </c>
      <c r="V465" s="135" t="s">
        <v>2878</v>
      </c>
      <c r="W465" s="135" t="s">
        <v>3238</v>
      </c>
      <c r="X465" s="135"/>
      <c r="Y465" s="135"/>
      <c r="Z465" s="135" t="s">
        <v>2858</v>
      </c>
      <c r="AA465" s="135"/>
      <c r="AB465" s="135"/>
      <c r="AC465" s="135"/>
      <c r="AD465" s="135">
        <v>46114.0</v>
      </c>
      <c r="AE465" s="135"/>
      <c r="AF465" s="135"/>
      <c r="AG465" s="135"/>
    </row>
    <row r="466" ht="21.75" hidden="1" customHeight="1">
      <c r="A466" s="135">
        <v>462.0</v>
      </c>
      <c r="B466" s="135">
        <v>25045.0</v>
      </c>
      <c r="C466" s="135"/>
      <c r="D466" s="135">
        <v>4.0</v>
      </c>
      <c r="E466" s="135" t="s">
        <v>3230</v>
      </c>
      <c r="F466" s="135" t="s">
        <v>1477</v>
      </c>
      <c r="G466" s="135" t="s">
        <v>54</v>
      </c>
      <c r="H466" s="135" t="s">
        <v>2853</v>
      </c>
      <c r="I466" s="135" t="s">
        <v>63</v>
      </c>
      <c r="J466" s="135">
        <v>1.0</v>
      </c>
      <c r="K466" s="135" t="s">
        <v>3134</v>
      </c>
      <c r="L466" s="135">
        <v>4830.0</v>
      </c>
      <c r="M466" s="135">
        <v>3290.0</v>
      </c>
      <c r="N466" s="135">
        <v>120.0</v>
      </c>
      <c r="O466" s="135">
        <v>2.261</v>
      </c>
      <c r="P466" s="136">
        <v>0.0</v>
      </c>
      <c r="Q466" s="137">
        <v>5.6525</v>
      </c>
      <c r="R466" s="136">
        <v>46104.0</v>
      </c>
      <c r="S466" s="135" t="s">
        <v>3147</v>
      </c>
      <c r="T466" s="136"/>
      <c r="U466" s="135" t="s">
        <v>2855</v>
      </c>
      <c r="V466" s="135" t="s">
        <v>2878</v>
      </c>
      <c r="W466" s="135" t="s">
        <v>3238</v>
      </c>
      <c r="X466" s="135"/>
      <c r="Y466" s="135"/>
      <c r="Z466" s="135" t="s">
        <v>2858</v>
      </c>
      <c r="AA466" s="135"/>
      <c r="AB466" s="135"/>
      <c r="AC466" s="135"/>
      <c r="AD466" s="135">
        <v>46115.0</v>
      </c>
      <c r="AE466" s="135"/>
      <c r="AF466" s="135"/>
      <c r="AG466" s="135"/>
    </row>
    <row r="467" ht="21.75" hidden="1" customHeight="1">
      <c r="A467" s="135">
        <v>463.0</v>
      </c>
      <c r="B467" s="135">
        <v>25045.0</v>
      </c>
      <c r="C467" s="135"/>
      <c r="D467" s="135">
        <v>4.0</v>
      </c>
      <c r="E467" s="135" t="s">
        <v>3230</v>
      </c>
      <c r="F467" s="135" t="s">
        <v>1478</v>
      </c>
      <c r="G467" s="135" t="s">
        <v>54</v>
      </c>
      <c r="H467" s="135" t="s">
        <v>2853</v>
      </c>
      <c r="I467" s="135" t="s">
        <v>63</v>
      </c>
      <c r="J467" s="135">
        <v>1.0</v>
      </c>
      <c r="K467" s="135"/>
      <c r="L467" s="135">
        <v>4830.0</v>
      </c>
      <c r="M467" s="135">
        <v>3290.0</v>
      </c>
      <c r="N467" s="135">
        <v>120.0</v>
      </c>
      <c r="O467" s="135">
        <v>1.925</v>
      </c>
      <c r="P467" s="136">
        <v>0.0</v>
      </c>
      <c r="Q467" s="137">
        <v>4.8125</v>
      </c>
      <c r="R467" s="136">
        <v>46104.0</v>
      </c>
      <c r="S467" s="135" t="s">
        <v>3147</v>
      </c>
      <c r="T467" s="136"/>
      <c r="U467" s="135" t="s">
        <v>2864</v>
      </c>
      <c r="V467" s="135" t="s">
        <v>2890</v>
      </c>
      <c r="W467" s="135" t="s">
        <v>3239</v>
      </c>
      <c r="X467" s="135" t="s">
        <v>2892</v>
      </c>
      <c r="Y467" s="135"/>
      <c r="Z467" s="135" t="s">
        <v>2858</v>
      </c>
      <c r="AA467" s="135"/>
      <c r="AB467" s="135"/>
      <c r="AC467" s="135"/>
      <c r="AD467" s="135">
        <v>46134.0</v>
      </c>
      <c r="AE467" s="135"/>
      <c r="AF467" s="135"/>
      <c r="AG467" s="135"/>
    </row>
    <row r="468" ht="21.75" hidden="1" customHeight="1">
      <c r="A468" s="135">
        <v>464.0</v>
      </c>
      <c r="B468" s="135">
        <v>25045.0</v>
      </c>
      <c r="C468" s="135"/>
      <c r="D468" s="135">
        <v>4.0</v>
      </c>
      <c r="E468" s="135" t="s">
        <v>3230</v>
      </c>
      <c r="F468" s="135" t="s">
        <v>1479</v>
      </c>
      <c r="G468" s="135" t="s">
        <v>54</v>
      </c>
      <c r="H468" s="135" t="s">
        <v>2853</v>
      </c>
      <c r="I468" s="135" t="s">
        <v>63</v>
      </c>
      <c r="J468" s="135">
        <v>1.0</v>
      </c>
      <c r="K468" s="135"/>
      <c r="L468" s="135">
        <v>1620.0</v>
      </c>
      <c r="M468" s="135">
        <v>1615.0</v>
      </c>
      <c r="N468" s="135">
        <v>120.0</v>
      </c>
      <c r="O468" s="135">
        <v>0.412</v>
      </c>
      <c r="P468" s="136">
        <v>0.0</v>
      </c>
      <c r="Q468" s="137">
        <v>1.03</v>
      </c>
      <c r="R468" s="136">
        <v>46104.0</v>
      </c>
      <c r="S468" s="135" t="s">
        <v>3147</v>
      </c>
      <c r="T468" s="136"/>
      <c r="U468" s="135" t="s">
        <v>2864</v>
      </c>
      <c r="V468" s="135" t="s">
        <v>2873</v>
      </c>
      <c r="W468" s="135" t="s">
        <v>3240</v>
      </c>
      <c r="X468" s="135"/>
      <c r="Y468" s="135"/>
      <c r="Z468" s="135" t="s">
        <v>2858</v>
      </c>
      <c r="AA468" s="135"/>
      <c r="AB468" s="135"/>
      <c r="AC468" s="135"/>
      <c r="AD468" s="135">
        <v>46121.0</v>
      </c>
      <c r="AE468" s="135"/>
      <c r="AF468" s="135"/>
      <c r="AG468" s="135"/>
    </row>
    <row r="469" ht="21.75" hidden="1" customHeight="1">
      <c r="A469" s="135">
        <v>465.0</v>
      </c>
      <c r="B469" s="135">
        <v>25045.0</v>
      </c>
      <c r="C469" s="135"/>
      <c r="D469" s="135">
        <v>4.0</v>
      </c>
      <c r="E469" s="135" t="s">
        <v>3230</v>
      </c>
      <c r="F469" s="135" t="s">
        <v>1480</v>
      </c>
      <c r="G469" s="135" t="s">
        <v>54</v>
      </c>
      <c r="H469" s="135" t="s">
        <v>2965</v>
      </c>
      <c r="I469" s="135" t="s">
        <v>63</v>
      </c>
      <c r="J469" s="135">
        <v>1.0</v>
      </c>
      <c r="K469" s="135"/>
      <c r="L469" s="135">
        <v>400.0</v>
      </c>
      <c r="M469" s="135">
        <v>3240.0</v>
      </c>
      <c r="N469" s="135">
        <v>350.0</v>
      </c>
      <c r="O469" s="135">
        <v>0.518</v>
      </c>
      <c r="P469" s="136">
        <v>1.0</v>
      </c>
      <c r="Q469" s="137">
        <v>1.295</v>
      </c>
      <c r="R469" s="136">
        <v>46104.0</v>
      </c>
      <c r="S469" s="135" t="s">
        <v>3147</v>
      </c>
      <c r="T469" s="136">
        <v>46107.0</v>
      </c>
      <c r="U469" s="135" t="s">
        <v>2966</v>
      </c>
      <c r="V469" s="135" t="s">
        <v>2967</v>
      </c>
      <c r="W469" s="135"/>
      <c r="X469" s="135" t="s">
        <v>3172</v>
      </c>
      <c r="Y469" s="135"/>
      <c r="Z469" s="135" t="s">
        <v>2858</v>
      </c>
      <c r="AA469" s="135" t="s">
        <v>3173</v>
      </c>
      <c r="AB469" s="135"/>
      <c r="AC469" s="135"/>
      <c r="AD469" s="135">
        <v>46119.0</v>
      </c>
      <c r="AE469" s="135"/>
      <c r="AF469" s="135"/>
      <c r="AG469" s="135"/>
    </row>
    <row r="470" ht="21.75" hidden="1" customHeight="1">
      <c r="A470" s="135">
        <v>466.0</v>
      </c>
      <c r="B470" s="135">
        <v>25045.0</v>
      </c>
      <c r="C470" s="135" t="s">
        <v>2817</v>
      </c>
      <c r="D470" s="135">
        <v>4.0</v>
      </c>
      <c r="E470" s="135" t="s">
        <v>3241</v>
      </c>
      <c r="F470" s="135" t="s">
        <v>1482</v>
      </c>
      <c r="G470" s="135" t="s">
        <v>54</v>
      </c>
      <c r="H470" s="135" t="s">
        <v>2853</v>
      </c>
      <c r="I470" s="135" t="s">
        <v>64</v>
      </c>
      <c r="J470" s="135">
        <v>1.0</v>
      </c>
      <c r="K470" s="135"/>
      <c r="L470" s="135">
        <v>2974.0</v>
      </c>
      <c r="M470" s="135">
        <v>350.0</v>
      </c>
      <c r="N470" s="135">
        <v>120.0</v>
      </c>
      <c r="O470" s="135">
        <v>0.497</v>
      </c>
      <c r="P470" s="136">
        <v>0.0</v>
      </c>
      <c r="Q470" s="137">
        <v>1.2425</v>
      </c>
      <c r="R470" s="136">
        <v>46104.0</v>
      </c>
      <c r="S470" s="135" t="s">
        <v>3147</v>
      </c>
      <c r="T470" s="136"/>
      <c r="U470" s="135" t="s">
        <v>2864</v>
      </c>
      <c r="V470" s="135" t="s">
        <v>2856</v>
      </c>
      <c r="W470" s="135" t="s">
        <v>3242</v>
      </c>
      <c r="X470" s="135"/>
      <c r="Y470" s="135"/>
      <c r="Z470" s="135" t="s">
        <v>2858</v>
      </c>
      <c r="AA470" s="135"/>
      <c r="AB470" s="135"/>
      <c r="AC470" s="135"/>
      <c r="AD470" s="135" t="e">
        <v>#N/A</v>
      </c>
      <c r="AE470" s="135"/>
      <c r="AF470" s="135"/>
      <c r="AG470" s="135"/>
    </row>
    <row r="471" ht="21.75" hidden="1" customHeight="1">
      <c r="A471" s="135">
        <v>467.0</v>
      </c>
      <c r="B471" s="135">
        <v>25045.0</v>
      </c>
      <c r="C471" s="135" t="s">
        <v>2817</v>
      </c>
      <c r="D471" s="135">
        <v>4.0</v>
      </c>
      <c r="E471" s="135" t="s">
        <v>3241</v>
      </c>
      <c r="F471" s="135" t="s">
        <v>1483</v>
      </c>
      <c r="G471" s="135" t="s">
        <v>54</v>
      </c>
      <c r="H471" s="135" t="s">
        <v>2853</v>
      </c>
      <c r="I471" s="135" t="s">
        <v>64</v>
      </c>
      <c r="J471" s="135">
        <v>1.0</v>
      </c>
      <c r="K471" s="135"/>
      <c r="L471" s="135">
        <v>4950.0</v>
      </c>
      <c r="M471" s="135">
        <v>1350.0</v>
      </c>
      <c r="N471" s="135">
        <v>120.0</v>
      </c>
      <c r="O471" s="135">
        <v>0.911</v>
      </c>
      <c r="P471" s="136">
        <v>0.0</v>
      </c>
      <c r="Q471" s="137">
        <v>2.2775</v>
      </c>
      <c r="R471" s="136">
        <v>46104.0</v>
      </c>
      <c r="S471" s="135" t="s">
        <v>3147</v>
      </c>
      <c r="T471" s="136"/>
      <c r="U471" s="135" t="s">
        <v>2855</v>
      </c>
      <c r="V471" s="135" t="s">
        <v>2856</v>
      </c>
      <c r="W471" s="135" t="s">
        <v>3243</v>
      </c>
      <c r="X471" s="135"/>
      <c r="Y471" s="135"/>
      <c r="Z471" s="135" t="s">
        <v>2858</v>
      </c>
      <c r="AA471" s="135"/>
      <c r="AB471" s="135"/>
      <c r="AC471" s="135"/>
      <c r="AD471" s="135">
        <v>46114.0</v>
      </c>
      <c r="AE471" s="135"/>
      <c r="AF471" s="135"/>
      <c r="AG471" s="135"/>
    </row>
    <row r="472" ht="21.75" hidden="1" customHeight="1">
      <c r="A472" s="135">
        <v>468.0</v>
      </c>
      <c r="B472" s="135">
        <v>25045.0</v>
      </c>
      <c r="C472" s="135" t="s">
        <v>2817</v>
      </c>
      <c r="D472" s="135">
        <v>4.0</v>
      </c>
      <c r="E472" s="135" t="s">
        <v>3241</v>
      </c>
      <c r="F472" s="135" t="s">
        <v>1484</v>
      </c>
      <c r="G472" s="135" t="s">
        <v>54</v>
      </c>
      <c r="H472" s="135" t="s">
        <v>2853</v>
      </c>
      <c r="I472" s="135" t="s">
        <v>64</v>
      </c>
      <c r="J472" s="135">
        <v>1.0</v>
      </c>
      <c r="K472" s="135"/>
      <c r="L472" s="135">
        <v>4950.0</v>
      </c>
      <c r="M472" s="135">
        <v>2850.0</v>
      </c>
      <c r="N472" s="135">
        <v>120.0</v>
      </c>
      <c r="O472" s="135">
        <v>0.982</v>
      </c>
      <c r="P472" s="136">
        <v>0.0</v>
      </c>
      <c r="Q472" s="137">
        <v>2.455</v>
      </c>
      <c r="R472" s="136">
        <v>46104.0</v>
      </c>
      <c r="S472" s="135" t="s">
        <v>3147</v>
      </c>
      <c r="T472" s="136"/>
      <c r="U472" s="135" t="s">
        <v>2855</v>
      </c>
      <c r="V472" s="135" t="s">
        <v>2856</v>
      </c>
      <c r="W472" s="135" t="s">
        <v>3244</v>
      </c>
      <c r="X472" s="135" t="s">
        <v>3245</v>
      </c>
      <c r="Y472" s="135"/>
      <c r="Z472" s="135" t="s">
        <v>2858</v>
      </c>
      <c r="AA472" s="135"/>
      <c r="AB472" s="135"/>
      <c r="AC472" s="135"/>
      <c r="AD472" s="135" t="e">
        <v>#N/A</v>
      </c>
      <c r="AE472" s="135"/>
      <c r="AF472" s="135"/>
      <c r="AG472" s="135"/>
    </row>
    <row r="473" ht="21.75" hidden="1" customHeight="1">
      <c r="A473" s="135">
        <v>469.0</v>
      </c>
      <c r="B473" s="135">
        <v>25045.0</v>
      </c>
      <c r="C473" s="135" t="s">
        <v>2817</v>
      </c>
      <c r="D473" s="135">
        <v>4.0</v>
      </c>
      <c r="E473" s="135" t="s">
        <v>3241</v>
      </c>
      <c r="F473" s="135" t="s">
        <v>1485</v>
      </c>
      <c r="G473" s="135" t="s">
        <v>54</v>
      </c>
      <c r="H473" s="135" t="s">
        <v>2853</v>
      </c>
      <c r="I473" s="135" t="s">
        <v>64</v>
      </c>
      <c r="J473" s="135">
        <v>1.0</v>
      </c>
      <c r="K473" s="135"/>
      <c r="L473" s="135">
        <v>4571.0</v>
      </c>
      <c r="M473" s="135">
        <v>3340.0</v>
      </c>
      <c r="N473" s="135">
        <v>120.0</v>
      </c>
      <c r="O473" s="135">
        <v>1.724</v>
      </c>
      <c r="P473" s="136">
        <v>0.0</v>
      </c>
      <c r="Q473" s="137">
        <v>4.31</v>
      </c>
      <c r="R473" s="136">
        <v>46104.0</v>
      </c>
      <c r="S473" s="135" t="s">
        <v>3147</v>
      </c>
      <c r="T473" s="136"/>
      <c r="U473" s="135" t="s">
        <v>2855</v>
      </c>
      <c r="V473" s="135" t="s">
        <v>2868</v>
      </c>
      <c r="W473" s="135" t="s">
        <v>3246</v>
      </c>
      <c r="X473" s="135" t="s">
        <v>3247</v>
      </c>
      <c r="Y473" s="135"/>
      <c r="Z473" s="135" t="s">
        <v>2858</v>
      </c>
      <c r="AA473" s="135"/>
      <c r="AB473" s="135"/>
      <c r="AC473" s="135"/>
      <c r="AD473" s="135">
        <v>46125.0</v>
      </c>
      <c r="AE473" s="135"/>
      <c r="AF473" s="135"/>
      <c r="AG473" s="135"/>
    </row>
    <row r="474" ht="21.75" hidden="1" customHeight="1">
      <c r="A474" s="135">
        <v>470.0</v>
      </c>
      <c r="B474" s="135">
        <v>25045.0</v>
      </c>
      <c r="C474" s="135"/>
      <c r="D474" s="135">
        <v>4.0</v>
      </c>
      <c r="E474" s="135" t="s">
        <v>3241</v>
      </c>
      <c r="F474" s="135" t="s">
        <v>1486</v>
      </c>
      <c r="G474" s="135" t="s">
        <v>54</v>
      </c>
      <c r="H474" s="135" t="s">
        <v>2853</v>
      </c>
      <c r="I474" s="135" t="s">
        <v>64</v>
      </c>
      <c r="J474" s="135">
        <v>1.0</v>
      </c>
      <c r="K474" s="135"/>
      <c r="L474" s="135">
        <v>4670.0</v>
      </c>
      <c r="M474" s="135">
        <v>3090.0</v>
      </c>
      <c r="N474" s="135">
        <v>120.0</v>
      </c>
      <c r="O474" s="135">
        <v>1.965</v>
      </c>
      <c r="P474" s="136">
        <v>0.0</v>
      </c>
      <c r="Q474" s="137">
        <v>4.9125000000000005</v>
      </c>
      <c r="R474" s="136">
        <v>46104.0</v>
      </c>
      <c r="S474" s="135" t="s">
        <v>3147</v>
      </c>
      <c r="T474" s="136"/>
      <c r="U474" s="135" t="s">
        <v>2855</v>
      </c>
      <c r="V474" s="135" t="s">
        <v>2876</v>
      </c>
      <c r="W474" s="135" t="s">
        <v>3248</v>
      </c>
      <c r="X474" s="135"/>
      <c r="Y474" s="135"/>
      <c r="Z474" s="135" t="s">
        <v>2858</v>
      </c>
      <c r="AA474" s="135"/>
      <c r="AB474" s="135"/>
      <c r="AC474" s="135"/>
      <c r="AD474" s="135">
        <v>46120.0</v>
      </c>
      <c r="AE474" s="135"/>
      <c r="AF474" s="135"/>
      <c r="AG474" s="135"/>
    </row>
    <row r="475" ht="21.75" hidden="1" customHeight="1">
      <c r="A475" s="135">
        <v>471.0</v>
      </c>
      <c r="B475" s="135">
        <v>25045.0</v>
      </c>
      <c r="C475" s="135"/>
      <c r="D475" s="135">
        <v>4.0</v>
      </c>
      <c r="E475" s="135" t="s">
        <v>3241</v>
      </c>
      <c r="F475" s="135" t="s">
        <v>1487</v>
      </c>
      <c r="G475" s="135" t="s">
        <v>54</v>
      </c>
      <c r="H475" s="135" t="s">
        <v>2853</v>
      </c>
      <c r="I475" s="135" t="s">
        <v>64</v>
      </c>
      <c r="J475" s="135">
        <v>1.0</v>
      </c>
      <c r="K475" s="135" t="s">
        <v>3134</v>
      </c>
      <c r="L475" s="135">
        <v>4670.0</v>
      </c>
      <c r="M475" s="135">
        <v>3090.0</v>
      </c>
      <c r="N475" s="135">
        <v>120.0</v>
      </c>
      <c r="O475" s="135">
        <v>1.96</v>
      </c>
      <c r="P475" s="136">
        <v>0.0</v>
      </c>
      <c r="Q475" s="137">
        <v>4.9</v>
      </c>
      <c r="R475" s="136">
        <v>46104.0</v>
      </c>
      <c r="S475" s="135" t="s">
        <v>3147</v>
      </c>
      <c r="T475" s="136"/>
      <c r="U475" s="135" t="s">
        <v>2855</v>
      </c>
      <c r="V475" s="135" t="s">
        <v>2876</v>
      </c>
      <c r="W475" s="135" t="s">
        <v>3249</v>
      </c>
      <c r="X475" s="135"/>
      <c r="Y475" s="135"/>
      <c r="Z475" s="135" t="s">
        <v>2858</v>
      </c>
      <c r="AA475" s="135"/>
      <c r="AB475" s="135"/>
      <c r="AC475" s="135"/>
      <c r="AD475" s="135">
        <v>46122.0</v>
      </c>
      <c r="AE475" s="135"/>
      <c r="AF475" s="135"/>
      <c r="AG475" s="135"/>
    </row>
    <row r="476" ht="21.75" hidden="1" customHeight="1">
      <c r="A476" s="135">
        <v>472.0</v>
      </c>
      <c r="B476" s="135">
        <v>25045.0</v>
      </c>
      <c r="C476" s="135"/>
      <c r="D476" s="135">
        <v>4.0</v>
      </c>
      <c r="E476" s="135" t="s">
        <v>3241</v>
      </c>
      <c r="F476" s="135" t="s">
        <v>1488</v>
      </c>
      <c r="G476" s="135" t="s">
        <v>54</v>
      </c>
      <c r="H476" s="135" t="s">
        <v>2853</v>
      </c>
      <c r="I476" s="135" t="s">
        <v>64</v>
      </c>
      <c r="J476" s="135">
        <v>1.0</v>
      </c>
      <c r="K476" s="135" t="s">
        <v>3134</v>
      </c>
      <c r="L476" s="135">
        <v>4670.0</v>
      </c>
      <c r="M476" s="135">
        <v>3090.0</v>
      </c>
      <c r="N476" s="135">
        <v>120.0</v>
      </c>
      <c r="O476" s="135">
        <v>1.96</v>
      </c>
      <c r="P476" s="136">
        <v>0.0</v>
      </c>
      <c r="Q476" s="137">
        <v>4.9</v>
      </c>
      <c r="R476" s="136">
        <v>46104.0</v>
      </c>
      <c r="S476" s="135" t="s">
        <v>3147</v>
      </c>
      <c r="T476" s="136"/>
      <c r="U476" s="135" t="s">
        <v>2855</v>
      </c>
      <c r="V476" s="135" t="s">
        <v>2876</v>
      </c>
      <c r="W476" s="135" t="s">
        <v>3249</v>
      </c>
      <c r="X476" s="135"/>
      <c r="Y476" s="135"/>
      <c r="Z476" s="135" t="s">
        <v>2858</v>
      </c>
      <c r="AA476" s="135"/>
      <c r="AB476" s="135"/>
      <c r="AC476" s="135"/>
      <c r="AD476" s="135">
        <v>46123.0</v>
      </c>
      <c r="AE476" s="135"/>
      <c r="AF476" s="135"/>
      <c r="AG476" s="135"/>
    </row>
    <row r="477" ht="21.75" hidden="1" customHeight="1">
      <c r="A477" s="135">
        <v>473.0</v>
      </c>
      <c r="B477" s="135">
        <v>25045.0</v>
      </c>
      <c r="C477" s="135"/>
      <c r="D477" s="135">
        <v>4.0</v>
      </c>
      <c r="E477" s="135" t="s">
        <v>3241</v>
      </c>
      <c r="F477" s="135" t="s">
        <v>1489</v>
      </c>
      <c r="G477" s="135" t="s">
        <v>54</v>
      </c>
      <c r="H477" s="135" t="s">
        <v>2853</v>
      </c>
      <c r="I477" s="135" t="s">
        <v>64</v>
      </c>
      <c r="J477" s="135">
        <v>1.0</v>
      </c>
      <c r="K477" s="135" t="s">
        <v>3134</v>
      </c>
      <c r="L477" s="135">
        <v>4670.0</v>
      </c>
      <c r="M477" s="135">
        <v>3090.0</v>
      </c>
      <c r="N477" s="135">
        <v>120.0</v>
      </c>
      <c r="O477" s="135">
        <v>1.96</v>
      </c>
      <c r="P477" s="136">
        <v>0.0</v>
      </c>
      <c r="Q477" s="137">
        <v>4.9</v>
      </c>
      <c r="R477" s="136">
        <v>46104.0</v>
      </c>
      <c r="S477" s="135" t="s">
        <v>3147</v>
      </c>
      <c r="T477" s="136"/>
      <c r="U477" s="135" t="s">
        <v>2855</v>
      </c>
      <c r="V477" s="135" t="s">
        <v>2876</v>
      </c>
      <c r="W477" s="135" t="s">
        <v>3249</v>
      </c>
      <c r="X477" s="135"/>
      <c r="Y477" s="135"/>
      <c r="Z477" s="135" t="s">
        <v>2858</v>
      </c>
      <c r="AA477" s="135"/>
      <c r="AB477" s="135"/>
      <c r="AC477" s="135"/>
      <c r="AD477" s="135">
        <v>46125.0</v>
      </c>
      <c r="AE477" s="135"/>
      <c r="AF477" s="135"/>
      <c r="AG477" s="135"/>
    </row>
    <row r="478" ht="21.75" hidden="1" customHeight="1">
      <c r="A478" s="135">
        <v>474.0</v>
      </c>
      <c r="B478" s="135">
        <v>25045.0</v>
      </c>
      <c r="C478" s="135"/>
      <c r="D478" s="135">
        <v>4.0</v>
      </c>
      <c r="E478" s="135" t="s">
        <v>3241</v>
      </c>
      <c r="F478" s="135" t="s">
        <v>1490</v>
      </c>
      <c r="G478" s="135" t="s">
        <v>54</v>
      </c>
      <c r="H478" s="135" t="s">
        <v>2853</v>
      </c>
      <c r="I478" s="135" t="s">
        <v>64</v>
      </c>
      <c r="J478" s="135">
        <v>1.0</v>
      </c>
      <c r="K478" s="135"/>
      <c r="L478" s="135">
        <v>4670.0</v>
      </c>
      <c r="M478" s="135">
        <v>3090.0</v>
      </c>
      <c r="N478" s="135">
        <v>120.0</v>
      </c>
      <c r="O478" s="135">
        <v>1.631</v>
      </c>
      <c r="P478" s="136">
        <v>0.0</v>
      </c>
      <c r="Q478" s="137">
        <v>4.0775</v>
      </c>
      <c r="R478" s="136">
        <v>46104.0</v>
      </c>
      <c r="S478" s="135" t="s">
        <v>3147</v>
      </c>
      <c r="T478" s="136"/>
      <c r="U478" s="135" t="s">
        <v>2864</v>
      </c>
      <c r="V478" s="135" t="s">
        <v>2985</v>
      </c>
      <c r="W478" s="135" t="s">
        <v>3250</v>
      </c>
      <c r="X478" s="135" t="s">
        <v>3251</v>
      </c>
      <c r="Y478" s="135"/>
      <c r="Z478" s="135" t="s">
        <v>2858</v>
      </c>
      <c r="AA478" s="135"/>
      <c r="AB478" s="135"/>
      <c r="AC478" s="135"/>
      <c r="AD478" s="135">
        <v>46122.0</v>
      </c>
      <c r="AE478" s="135"/>
      <c r="AF478" s="135"/>
      <c r="AG478" s="135"/>
    </row>
    <row r="479" ht="21.75" hidden="1" customHeight="1">
      <c r="A479" s="135">
        <v>475.0</v>
      </c>
      <c r="B479" s="135">
        <v>25045.0</v>
      </c>
      <c r="C479" s="135"/>
      <c r="D479" s="135">
        <v>4.0</v>
      </c>
      <c r="E479" s="135" t="s">
        <v>3241</v>
      </c>
      <c r="F479" s="135" t="s">
        <v>1491</v>
      </c>
      <c r="G479" s="135" t="s">
        <v>54</v>
      </c>
      <c r="H479" s="135" t="s">
        <v>2853</v>
      </c>
      <c r="I479" s="135" t="s">
        <v>64</v>
      </c>
      <c r="J479" s="135">
        <v>1.0</v>
      </c>
      <c r="K479" s="135"/>
      <c r="L479" s="135">
        <v>5015.0</v>
      </c>
      <c r="M479" s="135">
        <v>3290.0</v>
      </c>
      <c r="N479" s="135">
        <v>120.0</v>
      </c>
      <c r="O479" s="135">
        <v>2.316</v>
      </c>
      <c r="P479" s="136">
        <v>0.0</v>
      </c>
      <c r="Q479" s="137">
        <v>5.789999999999999</v>
      </c>
      <c r="R479" s="136">
        <v>46104.0</v>
      </c>
      <c r="S479" s="135" t="s">
        <v>3147</v>
      </c>
      <c r="T479" s="136"/>
      <c r="U479" s="135" t="s">
        <v>2855</v>
      </c>
      <c r="V479" s="135" t="s">
        <v>2878</v>
      </c>
      <c r="W479" s="135" t="s">
        <v>3184</v>
      </c>
      <c r="X479" s="135"/>
      <c r="Y479" s="135"/>
      <c r="Z479" s="135" t="s">
        <v>2858</v>
      </c>
      <c r="AA479" s="135"/>
      <c r="AB479" s="135"/>
      <c r="AC479" s="135"/>
      <c r="AD479" s="135">
        <v>46121.0</v>
      </c>
      <c r="AE479" s="135"/>
      <c r="AF479" s="135"/>
      <c r="AG479" s="135"/>
    </row>
    <row r="480" ht="21.75" hidden="1" customHeight="1">
      <c r="A480" s="135">
        <v>476.0</v>
      </c>
      <c r="B480" s="135">
        <v>25045.0</v>
      </c>
      <c r="C480" s="135"/>
      <c r="D480" s="135">
        <v>4.0</v>
      </c>
      <c r="E480" s="135" t="s">
        <v>3241</v>
      </c>
      <c r="F480" s="135" t="s">
        <v>1492</v>
      </c>
      <c r="G480" s="135" t="s">
        <v>54</v>
      </c>
      <c r="H480" s="135" t="s">
        <v>2853</v>
      </c>
      <c r="I480" s="135" t="s">
        <v>64</v>
      </c>
      <c r="J480" s="135">
        <v>1.0</v>
      </c>
      <c r="K480" s="135"/>
      <c r="L480" s="135">
        <v>4830.0</v>
      </c>
      <c r="M480" s="135">
        <v>3290.0</v>
      </c>
      <c r="N480" s="135">
        <v>120.0</v>
      </c>
      <c r="O480" s="135">
        <v>2.262</v>
      </c>
      <c r="P480" s="136">
        <v>0.0</v>
      </c>
      <c r="Q480" s="137">
        <v>5.655</v>
      </c>
      <c r="R480" s="136">
        <v>46104.0</v>
      </c>
      <c r="S480" s="135" t="s">
        <v>3147</v>
      </c>
      <c r="T480" s="136"/>
      <c r="U480" s="135" t="s">
        <v>2855</v>
      </c>
      <c r="V480" s="135" t="s">
        <v>2878</v>
      </c>
      <c r="W480" s="135" t="s">
        <v>3252</v>
      </c>
      <c r="X480" s="135"/>
      <c r="Y480" s="135"/>
      <c r="Z480" s="135" t="s">
        <v>2858</v>
      </c>
      <c r="AA480" s="135"/>
      <c r="AB480" s="135"/>
      <c r="AC480" s="135"/>
      <c r="AD480" s="135">
        <v>46116.0</v>
      </c>
      <c r="AE480" s="135"/>
      <c r="AF480" s="135"/>
      <c r="AG480" s="135"/>
    </row>
    <row r="481" ht="21.75" hidden="1" customHeight="1">
      <c r="A481" s="135">
        <v>477.0</v>
      </c>
      <c r="B481" s="135">
        <v>25045.0</v>
      </c>
      <c r="C481" s="135"/>
      <c r="D481" s="135">
        <v>4.0</v>
      </c>
      <c r="E481" s="135" t="s">
        <v>3241</v>
      </c>
      <c r="F481" s="135" t="s">
        <v>1493</v>
      </c>
      <c r="G481" s="135" t="s">
        <v>54</v>
      </c>
      <c r="H481" s="135" t="s">
        <v>2853</v>
      </c>
      <c r="I481" s="135" t="s">
        <v>64</v>
      </c>
      <c r="J481" s="135">
        <v>1.0</v>
      </c>
      <c r="K481" s="135"/>
      <c r="L481" s="135">
        <v>4830.0</v>
      </c>
      <c r="M481" s="135">
        <v>3290.0</v>
      </c>
      <c r="N481" s="135">
        <v>120.0</v>
      </c>
      <c r="O481" s="135">
        <v>2.262</v>
      </c>
      <c r="P481" s="136">
        <v>0.0</v>
      </c>
      <c r="Q481" s="137">
        <v>5.655</v>
      </c>
      <c r="R481" s="136">
        <v>46104.0</v>
      </c>
      <c r="S481" s="135" t="s">
        <v>3147</v>
      </c>
      <c r="T481" s="136"/>
      <c r="U481" s="135" t="s">
        <v>2855</v>
      </c>
      <c r="V481" s="135" t="s">
        <v>2878</v>
      </c>
      <c r="W481" s="135" t="s">
        <v>3252</v>
      </c>
      <c r="X481" s="135"/>
      <c r="Y481" s="135"/>
      <c r="Z481" s="135" t="s">
        <v>2858</v>
      </c>
      <c r="AA481" s="135"/>
      <c r="AB481" s="135"/>
      <c r="AC481" s="135"/>
      <c r="AD481" s="135">
        <v>46118.0</v>
      </c>
      <c r="AE481" s="135"/>
      <c r="AF481" s="135"/>
      <c r="AG481" s="135"/>
    </row>
    <row r="482" ht="21.75" hidden="1" customHeight="1">
      <c r="A482" s="135">
        <v>478.0</v>
      </c>
      <c r="B482" s="135">
        <v>25045.0</v>
      </c>
      <c r="C482" s="135"/>
      <c r="D482" s="135">
        <v>4.0</v>
      </c>
      <c r="E482" s="135" t="s">
        <v>3241</v>
      </c>
      <c r="F482" s="135" t="s">
        <v>1494</v>
      </c>
      <c r="G482" s="135" t="s">
        <v>54</v>
      </c>
      <c r="H482" s="135" t="s">
        <v>2853</v>
      </c>
      <c r="I482" s="135" t="s">
        <v>64</v>
      </c>
      <c r="J482" s="135">
        <v>1.0</v>
      </c>
      <c r="K482" s="135"/>
      <c r="L482" s="135">
        <v>4830.0</v>
      </c>
      <c r="M482" s="135">
        <v>3290.0</v>
      </c>
      <c r="N482" s="135">
        <v>120.0</v>
      </c>
      <c r="O482" s="135">
        <v>2.262</v>
      </c>
      <c r="P482" s="136">
        <v>0.0</v>
      </c>
      <c r="Q482" s="137">
        <v>5.655</v>
      </c>
      <c r="R482" s="136">
        <v>46104.0</v>
      </c>
      <c r="S482" s="135" t="s">
        <v>3147</v>
      </c>
      <c r="T482" s="136"/>
      <c r="U482" s="135" t="s">
        <v>2855</v>
      </c>
      <c r="V482" s="135" t="s">
        <v>2878</v>
      </c>
      <c r="W482" s="135" t="s">
        <v>3252</v>
      </c>
      <c r="X482" s="135"/>
      <c r="Y482" s="135"/>
      <c r="Z482" s="135" t="s">
        <v>2858</v>
      </c>
      <c r="AA482" s="135"/>
      <c r="AB482" s="135"/>
      <c r="AC482" s="135"/>
      <c r="AD482" s="135">
        <v>46119.0</v>
      </c>
      <c r="AE482" s="135"/>
      <c r="AF482" s="135"/>
      <c r="AG482" s="135"/>
    </row>
    <row r="483" ht="21.75" hidden="1" customHeight="1">
      <c r="A483" s="135">
        <v>479.0</v>
      </c>
      <c r="B483" s="135">
        <v>25045.0</v>
      </c>
      <c r="C483" s="135"/>
      <c r="D483" s="135">
        <v>4.0</v>
      </c>
      <c r="E483" s="135" t="s">
        <v>3241</v>
      </c>
      <c r="F483" s="135" t="s">
        <v>1495</v>
      </c>
      <c r="G483" s="135" t="s">
        <v>54</v>
      </c>
      <c r="H483" s="135" t="s">
        <v>2853</v>
      </c>
      <c r="I483" s="135" t="s">
        <v>64</v>
      </c>
      <c r="J483" s="135">
        <v>1.0</v>
      </c>
      <c r="K483" s="135"/>
      <c r="L483" s="135">
        <v>4833.0</v>
      </c>
      <c r="M483" s="135">
        <v>3290.0</v>
      </c>
      <c r="N483" s="135">
        <v>120.0</v>
      </c>
      <c r="O483" s="135">
        <v>1.925</v>
      </c>
      <c r="P483" s="136">
        <v>0.0</v>
      </c>
      <c r="Q483" s="137">
        <v>4.8125</v>
      </c>
      <c r="R483" s="136">
        <v>46104.0</v>
      </c>
      <c r="S483" s="135" t="s">
        <v>3147</v>
      </c>
      <c r="T483" s="136"/>
      <c r="U483" s="135" t="s">
        <v>2864</v>
      </c>
      <c r="V483" s="135" t="s">
        <v>2890</v>
      </c>
      <c r="W483" s="135" t="s">
        <v>3253</v>
      </c>
      <c r="X483" s="135" t="s">
        <v>2895</v>
      </c>
      <c r="Y483" s="135"/>
      <c r="Z483" s="135" t="s">
        <v>2858</v>
      </c>
      <c r="AA483" s="135"/>
      <c r="AB483" s="135"/>
      <c r="AC483" s="135"/>
      <c r="AD483" s="135">
        <v>46122.0</v>
      </c>
      <c r="AE483" s="135"/>
      <c r="AF483" s="135"/>
      <c r="AG483" s="135"/>
    </row>
    <row r="484" ht="21.75" hidden="1" customHeight="1">
      <c r="A484" s="135">
        <v>480.0</v>
      </c>
      <c r="B484" s="135">
        <v>25045.0</v>
      </c>
      <c r="C484" s="135"/>
      <c r="D484" s="135">
        <v>4.0</v>
      </c>
      <c r="E484" s="135" t="s">
        <v>3241</v>
      </c>
      <c r="F484" s="135" t="s">
        <v>1496</v>
      </c>
      <c r="G484" s="135" t="s">
        <v>54</v>
      </c>
      <c r="H484" s="135" t="s">
        <v>2853</v>
      </c>
      <c r="I484" s="135" t="s">
        <v>64</v>
      </c>
      <c r="J484" s="135">
        <v>1.0</v>
      </c>
      <c r="K484" s="135"/>
      <c r="L484" s="135">
        <v>1620.0</v>
      </c>
      <c r="M484" s="135">
        <v>1615.0</v>
      </c>
      <c r="N484" s="135">
        <v>120.0</v>
      </c>
      <c r="O484" s="135">
        <v>0.412</v>
      </c>
      <c r="P484" s="136">
        <v>0.0</v>
      </c>
      <c r="Q484" s="137">
        <v>1.03</v>
      </c>
      <c r="R484" s="136">
        <v>46104.0</v>
      </c>
      <c r="S484" s="135" t="s">
        <v>3147</v>
      </c>
      <c r="T484" s="136"/>
      <c r="U484" s="135" t="s">
        <v>2864</v>
      </c>
      <c r="V484" s="135" t="s">
        <v>2873</v>
      </c>
      <c r="W484" s="135" t="s">
        <v>3254</v>
      </c>
      <c r="X484" s="135"/>
      <c r="Y484" s="135"/>
      <c r="Z484" s="135" t="s">
        <v>2858</v>
      </c>
      <c r="AA484" s="135"/>
      <c r="AB484" s="135"/>
      <c r="AC484" s="135"/>
      <c r="AD484" s="135">
        <v>46122.0</v>
      </c>
      <c r="AE484" s="135"/>
      <c r="AF484" s="135"/>
      <c r="AG484" s="135"/>
    </row>
    <row r="485" ht="21.75" hidden="1" customHeight="1">
      <c r="A485" s="135">
        <v>481.0</v>
      </c>
      <c r="B485" s="135">
        <v>25045.0</v>
      </c>
      <c r="C485" s="135"/>
      <c r="D485" s="135">
        <v>4.0</v>
      </c>
      <c r="E485" s="135" t="s">
        <v>3241</v>
      </c>
      <c r="F485" s="135" t="s">
        <v>1497</v>
      </c>
      <c r="G485" s="135" t="s">
        <v>54</v>
      </c>
      <c r="H485" s="135" t="s">
        <v>2965</v>
      </c>
      <c r="I485" s="135" t="s">
        <v>64</v>
      </c>
      <c r="J485" s="135">
        <v>1.0</v>
      </c>
      <c r="K485" s="135"/>
      <c r="L485" s="135">
        <v>400.0</v>
      </c>
      <c r="M485" s="135">
        <v>3240.0</v>
      </c>
      <c r="N485" s="135">
        <v>350.0</v>
      </c>
      <c r="O485" s="135">
        <v>0.518</v>
      </c>
      <c r="P485" s="136">
        <v>1.0</v>
      </c>
      <c r="Q485" s="137">
        <v>1.295</v>
      </c>
      <c r="R485" s="136">
        <v>46104.0</v>
      </c>
      <c r="S485" s="135" t="s">
        <v>3147</v>
      </c>
      <c r="T485" s="136">
        <v>46107.0</v>
      </c>
      <c r="U485" s="135" t="s">
        <v>2966</v>
      </c>
      <c r="V485" s="135" t="s">
        <v>2967</v>
      </c>
      <c r="W485" s="135"/>
      <c r="X485" s="135" t="s">
        <v>3188</v>
      </c>
      <c r="Y485" s="135"/>
      <c r="Z485" s="135" t="s">
        <v>2858</v>
      </c>
      <c r="AA485" s="135" t="s">
        <v>3173</v>
      </c>
      <c r="AB485" s="135"/>
      <c r="AC485" s="135"/>
      <c r="AD485" s="135">
        <v>46119.0</v>
      </c>
      <c r="AE485" s="135"/>
      <c r="AF485" s="135"/>
      <c r="AG485" s="135"/>
    </row>
    <row r="486" ht="21.75" hidden="1" customHeight="1">
      <c r="A486" s="135">
        <v>482.0</v>
      </c>
      <c r="B486" s="135">
        <v>25045.0</v>
      </c>
      <c r="C486" s="135" t="s">
        <v>2817</v>
      </c>
      <c r="D486" s="135">
        <v>4.0</v>
      </c>
      <c r="E486" s="135" t="s">
        <v>3255</v>
      </c>
      <c r="F486" s="135" t="s">
        <v>1498</v>
      </c>
      <c r="G486" s="135" t="s">
        <v>54</v>
      </c>
      <c r="H486" s="135" t="s">
        <v>2853</v>
      </c>
      <c r="I486" s="135" t="s">
        <v>65</v>
      </c>
      <c r="J486" s="135">
        <v>1.0</v>
      </c>
      <c r="K486" s="135"/>
      <c r="L486" s="135">
        <v>5352.0</v>
      </c>
      <c r="M486" s="135">
        <v>1611.0</v>
      </c>
      <c r="N486" s="135">
        <v>120.0</v>
      </c>
      <c r="O486" s="135">
        <v>1.052</v>
      </c>
      <c r="P486" s="136">
        <v>0.0</v>
      </c>
      <c r="Q486" s="137">
        <v>2.63</v>
      </c>
      <c r="R486" s="136">
        <v>46104.0</v>
      </c>
      <c r="S486" s="135" t="s">
        <v>3147</v>
      </c>
      <c r="T486" s="136"/>
      <c r="U486" s="135" t="s">
        <v>2855</v>
      </c>
      <c r="V486" s="135" t="s">
        <v>2856</v>
      </c>
      <c r="W486" s="135" t="s">
        <v>3256</v>
      </c>
      <c r="X486" s="135"/>
      <c r="Y486" s="135"/>
      <c r="Z486" s="135" t="s">
        <v>2858</v>
      </c>
      <c r="AA486" s="135"/>
      <c r="AB486" s="135"/>
      <c r="AC486" s="135"/>
      <c r="AD486" s="135" t="e">
        <v>#N/A</v>
      </c>
      <c r="AE486" s="135"/>
      <c r="AF486" s="135"/>
      <c r="AG486" s="135"/>
    </row>
    <row r="487" ht="21.75" hidden="1" customHeight="1">
      <c r="A487" s="135">
        <v>483.0</v>
      </c>
      <c r="B487" s="135">
        <v>25045.0</v>
      </c>
      <c r="C487" s="135" t="s">
        <v>2817</v>
      </c>
      <c r="D487" s="135">
        <v>4.0</v>
      </c>
      <c r="E487" s="135" t="s">
        <v>3255</v>
      </c>
      <c r="F487" s="135" t="s">
        <v>1499</v>
      </c>
      <c r="G487" s="135" t="s">
        <v>54</v>
      </c>
      <c r="H487" s="135" t="s">
        <v>2853</v>
      </c>
      <c r="I487" s="135" t="s">
        <v>65</v>
      </c>
      <c r="J487" s="135">
        <v>1.0</v>
      </c>
      <c r="K487" s="135"/>
      <c r="L487" s="135">
        <v>5352.0</v>
      </c>
      <c r="M487" s="135">
        <v>1848.0</v>
      </c>
      <c r="N487" s="135">
        <v>120.0</v>
      </c>
      <c r="O487" s="135">
        <v>1.205</v>
      </c>
      <c r="P487" s="136">
        <v>0.0</v>
      </c>
      <c r="Q487" s="137">
        <v>3.0125</v>
      </c>
      <c r="R487" s="136">
        <v>46104.0</v>
      </c>
      <c r="S487" s="135" t="s">
        <v>3147</v>
      </c>
      <c r="T487" s="136"/>
      <c r="U487" s="135" t="s">
        <v>2855</v>
      </c>
      <c r="V487" s="135" t="s">
        <v>2856</v>
      </c>
      <c r="W487" s="135" t="s">
        <v>3256</v>
      </c>
      <c r="X487" s="135"/>
      <c r="Y487" s="135"/>
      <c r="Z487" s="135" t="s">
        <v>2858</v>
      </c>
      <c r="AA487" s="135"/>
      <c r="AB487" s="135"/>
      <c r="AC487" s="135"/>
      <c r="AD487" s="135" t="e">
        <v>#N/A</v>
      </c>
      <c r="AE487" s="135"/>
      <c r="AF487" s="135"/>
      <c r="AG487" s="135"/>
    </row>
    <row r="488" ht="21.75" hidden="1" customHeight="1">
      <c r="A488" s="135">
        <v>484.0</v>
      </c>
      <c r="B488" s="135">
        <v>25045.0</v>
      </c>
      <c r="C488" s="135" t="s">
        <v>2817</v>
      </c>
      <c r="D488" s="135">
        <v>4.0</v>
      </c>
      <c r="E488" s="135" t="s">
        <v>3255</v>
      </c>
      <c r="F488" s="135" t="s">
        <v>1500</v>
      </c>
      <c r="G488" s="135" t="s">
        <v>54</v>
      </c>
      <c r="H488" s="135" t="s">
        <v>2853</v>
      </c>
      <c r="I488" s="135" t="s">
        <v>65</v>
      </c>
      <c r="J488" s="135">
        <v>1.0</v>
      </c>
      <c r="K488" s="135"/>
      <c r="L488" s="135">
        <v>5352.0</v>
      </c>
      <c r="M488" s="135">
        <v>2250.0</v>
      </c>
      <c r="N488" s="135">
        <v>120.0</v>
      </c>
      <c r="O488" s="135">
        <v>1.638</v>
      </c>
      <c r="P488" s="136">
        <v>0.0</v>
      </c>
      <c r="Q488" s="137">
        <v>4.095</v>
      </c>
      <c r="R488" s="136">
        <v>46104.0</v>
      </c>
      <c r="S488" s="135" t="s">
        <v>3147</v>
      </c>
      <c r="T488" s="136"/>
      <c r="U488" s="135" t="s">
        <v>2855</v>
      </c>
      <c r="V488" s="135" t="s">
        <v>3257</v>
      </c>
      <c r="W488" s="135" t="s">
        <v>3258</v>
      </c>
      <c r="X488" s="135"/>
      <c r="Y488" s="135"/>
      <c r="Z488" s="135" t="s">
        <v>2858</v>
      </c>
      <c r="AA488" s="135"/>
      <c r="AB488" s="135"/>
      <c r="AC488" s="135"/>
      <c r="AD488" s="135" t="e">
        <v>#N/A</v>
      </c>
      <c r="AE488" s="135"/>
      <c r="AF488" s="135"/>
      <c r="AG488" s="135"/>
    </row>
    <row r="489" ht="21.75" hidden="1" customHeight="1">
      <c r="A489" s="135">
        <v>485.0</v>
      </c>
      <c r="B489" s="135">
        <v>25045.0</v>
      </c>
      <c r="C489" s="135" t="s">
        <v>2817</v>
      </c>
      <c r="D489" s="135">
        <v>4.0</v>
      </c>
      <c r="E489" s="135" t="s">
        <v>3255</v>
      </c>
      <c r="F489" s="135" t="s">
        <v>1501</v>
      </c>
      <c r="G489" s="135" t="s">
        <v>54</v>
      </c>
      <c r="H489" s="135" t="s">
        <v>2853</v>
      </c>
      <c r="I489" s="135" t="s">
        <v>65</v>
      </c>
      <c r="J489" s="135">
        <v>1.0</v>
      </c>
      <c r="K489" s="135"/>
      <c r="L489" s="135">
        <v>5352.0</v>
      </c>
      <c r="M489" s="135">
        <v>2037.0</v>
      </c>
      <c r="N489" s="135">
        <v>120.0</v>
      </c>
      <c r="O489" s="135">
        <v>1.5</v>
      </c>
      <c r="P489" s="136">
        <v>0.0</v>
      </c>
      <c r="Q489" s="137">
        <v>3.75</v>
      </c>
      <c r="R489" s="136">
        <v>46104.0</v>
      </c>
      <c r="S489" s="135" t="s">
        <v>3147</v>
      </c>
      <c r="T489" s="136"/>
      <c r="U489" s="135" t="s">
        <v>2855</v>
      </c>
      <c r="V489" s="135" t="s">
        <v>3257</v>
      </c>
      <c r="W489" s="135" t="s">
        <v>3256</v>
      </c>
      <c r="X489" s="135"/>
      <c r="Y489" s="135"/>
      <c r="Z489" s="135" t="s">
        <v>2858</v>
      </c>
      <c r="AA489" s="135"/>
      <c r="AB489" s="135"/>
      <c r="AC489" s="135"/>
      <c r="AD489" s="135" t="e">
        <v>#N/A</v>
      </c>
      <c r="AE489" s="135"/>
      <c r="AF489" s="135"/>
      <c r="AG489" s="135"/>
    </row>
    <row r="490" ht="21.75" hidden="1" customHeight="1">
      <c r="A490" s="135">
        <v>486.0</v>
      </c>
      <c r="B490" s="135">
        <v>25045.0</v>
      </c>
      <c r="C490" s="135" t="s">
        <v>2817</v>
      </c>
      <c r="D490" s="135">
        <v>4.0</v>
      </c>
      <c r="E490" s="135" t="s">
        <v>3255</v>
      </c>
      <c r="F490" s="135" t="s">
        <v>1502</v>
      </c>
      <c r="G490" s="135" t="s">
        <v>54</v>
      </c>
      <c r="H490" s="135" t="s">
        <v>2853</v>
      </c>
      <c r="I490" s="135" t="s">
        <v>65</v>
      </c>
      <c r="J490" s="135">
        <v>1.0</v>
      </c>
      <c r="K490" s="135"/>
      <c r="L490" s="135">
        <v>2595.0</v>
      </c>
      <c r="M490" s="135">
        <v>3140.0</v>
      </c>
      <c r="N490" s="135">
        <v>120.0</v>
      </c>
      <c r="O490" s="135">
        <v>0.92</v>
      </c>
      <c r="P490" s="136">
        <v>0.0</v>
      </c>
      <c r="Q490" s="137">
        <v>2.3000000000000003</v>
      </c>
      <c r="R490" s="136">
        <v>46104.0</v>
      </c>
      <c r="S490" s="135" t="s">
        <v>3147</v>
      </c>
      <c r="T490" s="136"/>
      <c r="U490" s="135" t="s">
        <v>2864</v>
      </c>
      <c r="V490" s="135" t="s">
        <v>2878</v>
      </c>
      <c r="W490" s="135" t="s">
        <v>2962</v>
      </c>
      <c r="X490" s="135" t="s">
        <v>3259</v>
      </c>
      <c r="Y490" s="135"/>
      <c r="Z490" s="135" t="s">
        <v>2858</v>
      </c>
      <c r="AA490" s="135"/>
      <c r="AB490" s="135"/>
      <c r="AC490" s="135"/>
      <c r="AD490" s="135">
        <v>46114.0</v>
      </c>
      <c r="AE490" s="135"/>
      <c r="AF490" s="135"/>
      <c r="AG490" s="135"/>
    </row>
    <row r="491" ht="21.75" hidden="1" customHeight="1">
      <c r="A491" s="135">
        <v>487.0</v>
      </c>
      <c r="B491" s="135">
        <v>25045.0</v>
      </c>
      <c r="C491" s="135"/>
      <c r="D491" s="135">
        <v>4.0</v>
      </c>
      <c r="E491" s="135" t="s">
        <v>3255</v>
      </c>
      <c r="F491" s="135" t="s">
        <v>1503</v>
      </c>
      <c r="G491" s="135" t="s">
        <v>54</v>
      </c>
      <c r="H491" s="135" t="s">
        <v>2853</v>
      </c>
      <c r="I491" s="135" t="s">
        <v>65</v>
      </c>
      <c r="J491" s="135">
        <v>1.0</v>
      </c>
      <c r="K491" s="135"/>
      <c r="L491" s="135">
        <v>3090.0</v>
      </c>
      <c r="M491" s="135">
        <v>3500.0</v>
      </c>
      <c r="N491" s="135">
        <v>120.0</v>
      </c>
      <c r="O491" s="135">
        <v>1.297</v>
      </c>
      <c r="P491" s="136">
        <v>0.0</v>
      </c>
      <c r="Q491" s="137">
        <v>3.2424999999999997</v>
      </c>
      <c r="R491" s="136">
        <v>46104.0</v>
      </c>
      <c r="S491" s="135" t="s">
        <v>3147</v>
      </c>
      <c r="T491" s="136"/>
      <c r="U491" s="135" t="s">
        <v>2864</v>
      </c>
      <c r="V491" s="135" t="s">
        <v>3014</v>
      </c>
      <c r="W491" s="135" t="s">
        <v>3260</v>
      </c>
      <c r="X491" s="135" t="s">
        <v>2935</v>
      </c>
      <c r="Y491" s="135"/>
      <c r="Z491" s="135" t="s">
        <v>2858</v>
      </c>
      <c r="AA491" s="135"/>
      <c r="AB491" s="135"/>
      <c r="AC491" s="135"/>
      <c r="AD491" s="135">
        <v>46141.0</v>
      </c>
      <c r="AE491" s="135"/>
      <c r="AF491" s="135"/>
      <c r="AG491" s="135"/>
    </row>
    <row r="492" ht="21.75" hidden="1" customHeight="1">
      <c r="A492" s="135">
        <v>488.0</v>
      </c>
      <c r="B492" s="135">
        <v>25045.0</v>
      </c>
      <c r="C492" s="135"/>
      <c r="D492" s="135">
        <v>4.0</v>
      </c>
      <c r="E492" s="135" t="s">
        <v>3255</v>
      </c>
      <c r="F492" s="135" t="s">
        <v>1504</v>
      </c>
      <c r="G492" s="135" t="s">
        <v>54</v>
      </c>
      <c r="H492" s="135" t="s">
        <v>2853</v>
      </c>
      <c r="I492" s="135" t="s">
        <v>65</v>
      </c>
      <c r="J492" s="135">
        <v>1.0</v>
      </c>
      <c r="K492" s="135"/>
      <c r="L492" s="135">
        <v>2680.0</v>
      </c>
      <c r="M492" s="135">
        <v>3500.0</v>
      </c>
      <c r="N492" s="135">
        <v>120.0</v>
      </c>
      <c r="O492" s="135">
        <v>1.292</v>
      </c>
      <c r="P492" s="136">
        <v>0.0</v>
      </c>
      <c r="Q492" s="137">
        <v>3.23</v>
      </c>
      <c r="R492" s="136">
        <v>46104.0</v>
      </c>
      <c r="S492" s="135" t="s">
        <v>3147</v>
      </c>
      <c r="T492" s="136"/>
      <c r="U492" s="135" t="s">
        <v>2864</v>
      </c>
      <c r="V492" s="135" t="s">
        <v>3014</v>
      </c>
      <c r="W492" s="135" t="s">
        <v>3261</v>
      </c>
      <c r="X492" s="135"/>
      <c r="Y492" s="135"/>
      <c r="Z492" s="135" t="s">
        <v>2858</v>
      </c>
      <c r="AA492" s="135"/>
      <c r="AB492" s="135"/>
      <c r="AC492" s="135"/>
      <c r="AD492" s="135">
        <v>46137.0</v>
      </c>
      <c r="AE492" s="135"/>
      <c r="AF492" s="135"/>
      <c r="AG492" s="135"/>
    </row>
    <row r="493" ht="21.75" hidden="1" customHeight="1">
      <c r="A493" s="135">
        <v>489.0</v>
      </c>
      <c r="B493" s="135">
        <v>25045.0</v>
      </c>
      <c r="C493" s="135"/>
      <c r="D493" s="135">
        <v>4.0</v>
      </c>
      <c r="E493" s="135" t="s">
        <v>3255</v>
      </c>
      <c r="F493" s="135" t="s">
        <v>1505</v>
      </c>
      <c r="G493" s="135" t="s">
        <v>54</v>
      </c>
      <c r="H493" s="135" t="s">
        <v>2853</v>
      </c>
      <c r="I493" s="135" t="s">
        <v>65</v>
      </c>
      <c r="J493" s="135">
        <v>1.0</v>
      </c>
      <c r="K493" s="135"/>
      <c r="L493" s="135">
        <v>4460.0</v>
      </c>
      <c r="M493" s="135">
        <v>3750.0</v>
      </c>
      <c r="N493" s="135">
        <v>120.0</v>
      </c>
      <c r="O493" s="135">
        <v>1.777</v>
      </c>
      <c r="P493" s="136" t="s">
        <v>3262</v>
      </c>
      <c r="Q493" s="137">
        <v>4.4425</v>
      </c>
      <c r="R493" s="136">
        <v>46104.0</v>
      </c>
      <c r="S493" s="135" t="s">
        <v>3147</v>
      </c>
      <c r="T493" s="136"/>
      <c r="U493" s="135" t="s">
        <v>2864</v>
      </c>
      <c r="V493" s="135" t="s">
        <v>2899</v>
      </c>
      <c r="W493" s="135" t="s">
        <v>3263</v>
      </c>
      <c r="X493" s="135" t="s">
        <v>2895</v>
      </c>
      <c r="Y493" s="135"/>
      <c r="Z493" s="135" t="s">
        <v>2858</v>
      </c>
      <c r="AA493" s="135"/>
      <c r="AB493" s="135"/>
      <c r="AC493" s="135"/>
      <c r="AD493" s="135">
        <v>46140.0</v>
      </c>
      <c r="AE493" s="135"/>
      <c r="AF493" s="135"/>
      <c r="AG493" s="135"/>
    </row>
    <row r="494" ht="21.75" hidden="1" customHeight="1">
      <c r="A494" s="135">
        <v>490.0</v>
      </c>
      <c r="B494" s="135">
        <v>25045.0</v>
      </c>
      <c r="C494" s="135"/>
      <c r="D494" s="135">
        <v>4.0</v>
      </c>
      <c r="E494" s="135" t="s">
        <v>3255</v>
      </c>
      <c r="F494" s="135" t="s">
        <v>1506</v>
      </c>
      <c r="G494" s="135" t="s">
        <v>54</v>
      </c>
      <c r="H494" s="135" t="s">
        <v>2853</v>
      </c>
      <c r="I494" s="135" t="s">
        <v>65</v>
      </c>
      <c r="J494" s="135">
        <v>1.0</v>
      </c>
      <c r="K494" s="135"/>
      <c r="L494" s="135">
        <v>3590.0</v>
      </c>
      <c r="M494" s="135">
        <v>3650.0</v>
      </c>
      <c r="N494" s="135">
        <v>120.0</v>
      </c>
      <c r="O494" s="135">
        <v>1.728</v>
      </c>
      <c r="P494" s="136" t="s">
        <v>3262</v>
      </c>
      <c r="Q494" s="137">
        <v>4.32</v>
      </c>
      <c r="R494" s="136">
        <v>46104.0</v>
      </c>
      <c r="S494" s="135" t="s">
        <v>3147</v>
      </c>
      <c r="T494" s="136"/>
      <c r="U494" s="135" t="s">
        <v>2864</v>
      </c>
      <c r="V494" s="135" t="s">
        <v>3264</v>
      </c>
      <c r="W494" s="135" t="s">
        <v>3265</v>
      </c>
      <c r="X494" s="135" t="s">
        <v>2935</v>
      </c>
      <c r="Y494" s="135"/>
      <c r="Z494" s="135" t="s">
        <v>2858</v>
      </c>
      <c r="AA494" s="135"/>
      <c r="AB494" s="135"/>
      <c r="AC494" s="135"/>
      <c r="AD494" s="135">
        <v>46141.0</v>
      </c>
      <c r="AE494" s="135"/>
      <c r="AF494" s="135"/>
      <c r="AG494" s="135"/>
    </row>
    <row r="495" ht="21.75" hidden="1" customHeight="1">
      <c r="A495" s="135">
        <v>491.0</v>
      </c>
      <c r="B495" s="135">
        <v>25045.0</v>
      </c>
      <c r="C495" s="135"/>
      <c r="D495" s="135">
        <v>4.0</v>
      </c>
      <c r="E495" s="135" t="s">
        <v>3255</v>
      </c>
      <c r="F495" s="135" t="s">
        <v>1507</v>
      </c>
      <c r="G495" s="135" t="s">
        <v>54</v>
      </c>
      <c r="H495" s="135" t="s">
        <v>2853</v>
      </c>
      <c r="I495" s="135" t="s">
        <v>65</v>
      </c>
      <c r="J495" s="135">
        <v>1.0</v>
      </c>
      <c r="K495" s="135"/>
      <c r="L495" s="135">
        <v>4920.0</v>
      </c>
      <c r="M495" s="135">
        <v>3650.0</v>
      </c>
      <c r="N495" s="135">
        <v>120.0</v>
      </c>
      <c r="O495" s="135">
        <v>2.471</v>
      </c>
      <c r="P495" s="136">
        <v>0.0</v>
      </c>
      <c r="Q495" s="137">
        <v>6.1775</v>
      </c>
      <c r="R495" s="136">
        <v>46104.0</v>
      </c>
      <c r="S495" s="135" t="s">
        <v>3147</v>
      </c>
      <c r="T495" s="136"/>
      <c r="U495" s="135" t="s">
        <v>2855</v>
      </c>
      <c r="V495" s="135" t="s">
        <v>3266</v>
      </c>
      <c r="W495" s="135" t="s">
        <v>3267</v>
      </c>
      <c r="X495" s="135" t="s">
        <v>2933</v>
      </c>
      <c r="Y495" s="135"/>
      <c r="Z495" s="135" t="s">
        <v>2858</v>
      </c>
      <c r="AA495" s="135"/>
      <c r="AB495" s="135"/>
      <c r="AC495" s="135"/>
      <c r="AD495" s="135">
        <v>46137.0</v>
      </c>
      <c r="AE495" s="135"/>
      <c r="AF495" s="135"/>
      <c r="AG495" s="135"/>
    </row>
    <row r="496" ht="21.75" hidden="1" customHeight="1">
      <c r="A496" s="135">
        <v>492.0</v>
      </c>
      <c r="B496" s="135">
        <v>25045.0</v>
      </c>
      <c r="C496" s="135"/>
      <c r="D496" s="135">
        <v>4.0</v>
      </c>
      <c r="E496" s="135" t="s">
        <v>3255</v>
      </c>
      <c r="F496" s="135" t="s">
        <v>1508</v>
      </c>
      <c r="G496" s="135" t="s">
        <v>54</v>
      </c>
      <c r="H496" s="135" t="s">
        <v>2853</v>
      </c>
      <c r="I496" s="135" t="s">
        <v>65</v>
      </c>
      <c r="J496" s="135">
        <v>1.0</v>
      </c>
      <c r="K496" s="135"/>
      <c r="L496" s="135">
        <v>3921.0</v>
      </c>
      <c r="M496" s="135">
        <v>3090.0</v>
      </c>
      <c r="N496" s="135">
        <v>120.0</v>
      </c>
      <c r="O496" s="135">
        <v>1.607</v>
      </c>
      <c r="P496" s="136">
        <v>0.0</v>
      </c>
      <c r="Q496" s="137">
        <v>4.0175</v>
      </c>
      <c r="R496" s="136">
        <v>46104.0</v>
      </c>
      <c r="S496" s="135" t="s">
        <v>3147</v>
      </c>
      <c r="T496" s="136"/>
      <c r="U496" s="135" t="s">
        <v>2864</v>
      </c>
      <c r="V496" s="135" t="s">
        <v>3100</v>
      </c>
      <c r="W496" s="135" t="s">
        <v>3268</v>
      </c>
      <c r="X496" s="135"/>
      <c r="Y496" s="135"/>
      <c r="Z496" s="135" t="s">
        <v>2858</v>
      </c>
      <c r="AA496" s="135"/>
      <c r="AB496" s="135"/>
      <c r="AC496" s="135"/>
      <c r="AD496" s="135">
        <v>46109.0</v>
      </c>
      <c r="AE496" s="135"/>
      <c r="AF496" s="135"/>
      <c r="AG496" s="135"/>
    </row>
    <row r="497" ht="21.75" hidden="1" customHeight="1">
      <c r="A497" s="135">
        <v>493.0</v>
      </c>
      <c r="B497" s="135">
        <v>25045.0</v>
      </c>
      <c r="C497" s="135"/>
      <c r="D497" s="135">
        <v>4.0</v>
      </c>
      <c r="E497" s="135" t="s">
        <v>3255</v>
      </c>
      <c r="F497" s="135" t="s">
        <v>1509</v>
      </c>
      <c r="G497" s="135" t="s">
        <v>54</v>
      </c>
      <c r="H497" s="135" t="s">
        <v>2853</v>
      </c>
      <c r="I497" s="135" t="s">
        <v>65</v>
      </c>
      <c r="J497" s="135">
        <v>1.0</v>
      </c>
      <c r="K497" s="135"/>
      <c r="L497" s="135">
        <v>3921.0</v>
      </c>
      <c r="M497" s="135">
        <v>3090.0</v>
      </c>
      <c r="N497" s="135">
        <v>120.0</v>
      </c>
      <c r="O497" s="135">
        <v>1.607</v>
      </c>
      <c r="P497" s="136">
        <v>0.0</v>
      </c>
      <c r="Q497" s="137">
        <v>4.0175</v>
      </c>
      <c r="R497" s="136">
        <v>46104.0</v>
      </c>
      <c r="S497" s="135" t="s">
        <v>3147</v>
      </c>
      <c r="T497" s="136"/>
      <c r="U497" s="135" t="s">
        <v>2864</v>
      </c>
      <c r="V497" s="135" t="s">
        <v>3100</v>
      </c>
      <c r="W497" s="135" t="s">
        <v>3268</v>
      </c>
      <c r="X497" s="135"/>
      <c r="Y497" s="135"/>
      <c r="Z497" s="135" t="s">
        <v>2858</v>
      </c>
      <c r="AA497" s="135"/>
      <c r="AB497" s="135"/>
      <c r="AC497" s="135"/>
      <c r="AD497" s="135">
        <v>46111.0</v>
      </c>
      <c r="AE497" s="135"/>
      <c r="AF497" s="135"/>
      <c r="AG497" s="135"/>
    </row>
    <row r="498" ht="21.75" hidden="1" customHeight="1">
      <c r="A498" s="135">
        <v>494.0</v>
      </c>
      <c r="B498" s="135">
        <v>25045.0</v>
      </c>
      <c r="C498" s="135"/>
      <c r="D498" s="135">
        <v>4.0</v>
      </c>
      <c r="E498" s="135" t="s">
        <v>3255</v>
      </c>
      <c r="F498" s="135" t="s">
        <v>1510</v>
      </c>
      <c r="G498" s="135" t="s">
        <v>54</v>
      </c>
      <c r="H498" s="135" t="s">
        <v>2853</v>
      </c>
      <c r="I498" s="135" t="s">
        <v>65</v>
      </c>
      <c r="J498" s="135">
        <v>1.0</v>
      </c>
      <c r="K498" s="135"/>
      <c r="L498" s="135">
        <v>3921.0</v>
      </c>
      <c r="M498" s="135">
        <v>3090.0</v>
      </c>
      <c r="N498" s="135">
        <v>120.0</v>
      </c>
      <c r="O498" s="135">
        <v>1.607</v>
      </c>
      <c r="P498" s="136">
        <v>0.0</v>
      </c>
      <c r="Q498" s="137">
        <v>4.0175</v>
      </c>
      <c r="R498" s="136">
        <v>46104.0</v>
      </c>
      <c r="S498" s="135" t="s">
        <v>3147</v>
      </c>
      <c r="T498" s="136"/>
      <c r="U498" s="135" t="s">
        <v>2864</v>
      </c>
      <c r="V498" s="135" t="s">
        <v>3100</v>
      </c>
      <c r="W498" s="135" t="s">
        <v>3268</v>
      </c>
      <c r="X498" s="135"/>
      <c r="Y498" s="135"/>
      <c r="Z498" s="135" t="s">
        <v>2858</v>
      </c>
      <c r="AA498" s="135"/>
      <c r="AB498" s="135"/>
      <c r="AC498" s="135"/>
      <c r="AD498" s="135">
        <v>46112.0</v>
      </c>
      <c r="AE498" s="135"/>
      <c r="AF498" s="135"/>
      <c r="AG498" s="135"/>
    </row>
    <row r="499" ht="21.75" hidden="1" customHeight="1">
      <c r="A499" s="135">
        <v>495.0</v>
      </c>
      <c r="B499" s="135">
        <v>25045.0</v>
      </c>
      <c r="C499" s="135"/>
      <c r="D499" s="135">
        <v>4.0</v>
      </c>
      <c r="E499" s="135" t="s">
        <v>3255</v>
      </c>
      <c r="F499" s="135" t="s">
        <v>1511</v>
      </c>
      <c r="G499" s="135" t="s">
        <v>54</v>
      </c>
      <c r="H499" s="135" t="s">
        <v>2853</v>
      </c>
      <c r="I499" s="135" t="s">
        <v>65</v>
      </c>
      <c r="J499" s="135">
        <v>1.0</v>
      </c>
      <c r="K499" s="135"/>
      <c r="L499" s="135">
        <v>3921.0</v>
      </c>
      <c r="M499" s="135">
        <v>3090.0</v>
      </c>
      <c r="N499" s="135">
        <v>120.0</v>
      </c>
      <c r="O499" s="135">
        <v>1.273</v>
      </c>
      <c r="P499" s="136">
        <v>0.0</v>
      </c>
      <c r="Q499" s="137">
        <v>3.1824999999999997</v>
      </c>
      <c r="R499" s="136">
        <v>46104.0</v>
      </c>
      <c r="S499" s="135" t="s">
        <v>3147</v>
      </c>
      <c r="T499" s="136"/>
      <c r="U499" s="135" t="s">
        <v>2864</v>
      </c>
      <c r="V499" s="135" t="s">
        <v>3100</v>
      </c>
      <c r="W499" s="135" t="s">
        <v>3269</v>
      </c>
      <c r="X499" s="135" t="s">
        <v>2895</v>
      </c>
      <c r="Y499" s="135"/>
      <c r="Z499" s="135" t="s">
        <v>2858</v>
      </c>
      <c r="AA499" s="135"/>
      <c r="AB499" s="135"/>
      <c r="AC499" s="135"/>
      <c r="AD499" s="135">
        <v>46114.0</v>
      </c>
      <c r="AE499" s="135"/>
      <c r="AF499" s="135"/>
      <c r="AG499" s="135"/>
    </row>
    <row r="500" ht="21.75" hidden="1" customHeight="1">
      <c r="A500" s="135">
        <v>496.0</v>
      </c>
      <c r="B500" s="135">
        <v>25045.0</v>
      </c>
      <c r="C500" s="135"/>
      <c r="D500" s="135">
        <v>4.0</v>
      </c>
      <c r="E500" s="135" t="s">
        <v>3255</v>
      </c>
      <c r="F500" s="135" t="s">
        <v>1512</v>
      </c>
      <c r="G500" s="135" t="s">
        <v>54</v>
      </c>
      <c r="H500" s="135" t="s">
        <v>2853</v>
      </c>
      <c r="I500" s="135" t="s">
        <v>65</v>
      </c>
      <c r="J500" s="135">
        <v>1.0</v>
      </c>
      <c r="K500" s="135"/>
      <c r="L500" s="135">
        <v>5015.0</v>
      </c>
      <c r="M500" s="135">
        <v>3090.0</v>
      </c>
      <c r="N500" s="135">
        <v>120.0</v>
      </c>
      <c r="O500" s="135">
        <v>2.06</v>
      </c>
      <c r="P500" s="136">
        <v>0.0</v>
      </c>
      <c r="Q500" s="137">
        <v>5.15</v>
      </c>
      <c r="R500" s="136">
        <v>46104.0</v>
      </c>
      <c r="S500" s="135" t="s">
        <v>3147</v>
      </c>
      <c r="T500" s="136"/>
      <c r="U500" s="135" t="s">
        <v>2855</v>
      </c>
      <c r="V500" s="135" t="s">
        <v>2876</v>
      </c>
      <c r="W500" s="135" t="s">
        <v>3058</v>
      </c>
      <c r="X500" s="135"/>
      <c r="Y500" s="135"/>
      <c r="Z500" s="135" t="s">
        <v>2858</v>
      </c>
      <c r="AA500" s="135"/>
      <c r="AB500" s="135"/>
      <c r="AC500" s="135"/>
      <c r="AD500" s="135">
        <v>46114.0</v>
      </c>
      <c r="AE500" s="135"/>
      <c r="AF500" s="135"/>
      <c r="AG500" s="135"/>
    </row>
    <row r="501" ht="21.75" hidden="1" customHeight="1">
      <c r="A501" s="135">
        <v>497.0</v>
      </c>
      <c r="B501" s="135">
        <v>25045.0</v>
      </c>
      <c r="C501" s="135"/>
      <c r="D501" s="135">
        <v>4.0</v>
      </c>
      <c r="E501" s="135" t="s">
        <v>3255</v>
      </c>
      <c r="F501" s="135" t="s">
        <v>1513</v>
      </c>
      <c r="G501" s="135" t="s">
        <v>54</v>
      </c>
      <c r="H501" s="135" t="s">
        <v>2853</v>
      </c>
      <c r="I501" s="135" t="s">
        <v>65</v>
      </c>
      <c r="J501" s="135">
        <v>1.0</v>
      </c>
      <c r="K501" s="135"/>
      <c r="L501" s="135">
        <v>3780.0</v>
      </c>
      <c r="M501" s="135">
        <v>3340.0</v>
      </c>
      <c r="N501" s="135">
        <v>300.0</v>
      </c>
      <c r="O501" s="135">
        <v>2.398</v>
      </c>
      <c r="P501" s="136">
        <v>0.0</v>
      </c>
      <c r="Q501" s="137">
        <v>5.995</v>
      </c>
      <c r="R501" s="136">
        <v>46104.0</v>
      </c>
      <c r="S501" s="135" t="s">
        <v>3147</v>
      </c>
      <c r="T501" s="136"/>
      <c r="U501" s="135" t="s">
        <v>2864</v>
      </c>
      <c r="V501" s="135" t="s">
        <v>3270</v>
      </c>
      <c r="W501" s="135" t="s">
        <v>3271</v>
      </c>
      <c r="X501" s="135" t="s">
        <v>3272</v>
      </c>
      <c r="Y501" s="135" t="s">
        <v>2886</v>
      </c>
      <c r="Z501" s="135" t="s">
        <v>2858</v>
      </c>
      <c r="AA501" s="135"/>
      <c r="AB501" s="135"/>
      <c r="AC501" s="135"/>
      <c r="AD501" s="135">
        <v>46125.0</v>
      </c>
      <c r="AE501" s="135"/>
      <c r="AF501" s="135"/>
      <c r="AG501" s="135"/>
    </row>
    <row r="502" ht="21.75" hidden="1" customHeight="1">
      <c r="A502" s="135">
        <v>498.0</v>
      </c>
      <c r="B502" s="135">
        <v>25045.0</v>
      </c>
      <c r="C502" s="135"/>
      <c r="D502" s="135">
        <v>4.0</v>
      </c>
      <c r="E502" s="135" t="s">
        <v>3255</v>
      </c>
      <c r="F502" s="135" t="s">
        <v>1514</v>
      </c>
      <c r="G502" s="135" t="s">
        <v>54</v>
      </c>
      <c r="H502" s="135" t="s">
        <v>2853</v>
      </c>
      <c r="I502" s="135" t="s">
        <v>65</v>
      </c>
      <c r="J502" s="135">
        <v>1.0</v>
      </c>
      <c r="K502" s="135"/>
      <c r="L502" s="135">
        <v>3820.0</v>
      </c>
      <c r="M502" s="135">
        <v>1510.0</v>
      </c>
      <c r="N502" s="135">
        <v>120.0</v>
      </c>
      <c r="O502" s="135">
        <v>0.75</v>
      </c>
      <c r="P502" s="136">
        <v>0.0</v>
      </c>
      <c r="Q502" s="137">
        <v>1.875</v>
      </c>
      <c r="R502" s="136">
        <v>46104.0</v>
      </c>
      <c r="S502" s="135" t="s">
        <v>3147</v>
      </c>
      <c r="T502" s="136"/>
      <c r="U502" s="135" t="s">
        <v>2864</v>
      </c>
      <c r="V502" s="135" t="s">
        <v>3007</v>
      </c>
      <c r="W502" s="135" t="s">
        <v>3273</v>
      </c>
      <c r="X502" s="135"/>
      <c r="Y502" s="135"/>
      <c r="Z502" s="135" t="s">
        <v>2858</v>
      </c>
      <c r="AA502" s="135"/>
      <c r="AB502" s="135"/>
      <c r="AC502" s="135"/>
      <c r="AD502" s="135">
        <v>46121.0</v>
      </c>
      <c r="AE502" s="135"/>
      <c r="AF502" s="135"/>
      <c r="AG502" s="135"/>
    </row>
    <row r="503" ht="21.75" hidden="1" customHeight="1">
      <c r="A503" s="135">
        <v>499.0</v>
      </c>
      <c r="B503" s="135">
        <v>25045.0</v>
      </c>
      <c r="C503" s="135"/>
      <c r="D503" s="135">
        <v>4.0</v>
      </c>
      <c r="E503" s="135" t="s">
        <v>3255</v>
      </c>
      <c r="F503" s="135" t="s">
        <v>1515</v>
      </c>
      <c r="G503" s="135" t="s">
        <v>54</v>
      </c>
      <c r="H503" s="135" t="s">
        <v>2853</v>
      </c>
      <c r="I503" s="135" t="s">
        <v>65</v>
      </c>
      <c r="J503" s="135">
        <v>1.0</v>
      </c>
      <c r="K503" s="135"/>
      <c r="L503" s="135">
        <v>3820.0</v>
      </c>
      <c r="M503" s="135">
        <v>1510.0</v>
      </c>
      <c r="N503" s="135">
        <v>120.0</v>
      </c>
      <c r="O503" s="135">
        <v>0.75</v>
      </c>
      <c r="P503" s="136">
        <v>0.0</v>
      </c>
      <c r="Q503" s="137">
        <v>1.875</v>
      </c>
      <c r="R503" s="136">
        <v>46104.0</v>
      </c>
      <c r="S503" s="135" t="s">
        <v>3147</v>
      </c>
      <c r="T503" s="136"/>
      <c r="U503" s="135" t="s">
        <v>2855</v>
      </c>
      <c r="V503" s="135" t="s">
        <v>2907</v>
      </c>
      <c r="W503" s="135" t="s">
        <v>3274</v>
      </c>
      <c r="X503" s="135"/>
      <c r="Y503" s="135"/>
      <c r="Z503" s="135" t="s">
        <v>2858</v>
      </c>
      <c r="AA503" s="135"/>
      <c r="AB503" s="135"/>
      <c r="AC503" s="135"/>
      <c r="AD503" s="135">
        <v>46141.0</v>
      </c>
      <c r="AE503" s="135"/>
      <c r="AF503" s="135"/>
      <c r="AG503" s="135"/>
    </row>
    <row r="504" ht="21.75" hidden="1" customHeight="1">
      <c r="A504" s="135">
        <v>500.0</v>
      </c>
      <c r="B504" s="135">
        <v>25045.0</v>
      </c>
      <c r="C504" s="135"/>
      <c r="D504" s="135">
        <v>4.0</v>
      </c>
      <c r="E504" s="135" t="s">
        <v>3255</v>
      </c>
      <c r="F504" s="135" t="s">
        <v>1516</v>
      </c>
      <c r="G504" s="135" t="s">
        <v>54</v>
      </c>
      <c r="H504" s="135" t="s">
        <v>2853</v>
      </c>
      <c r="I504" s="135" t="s">
        <v>65</v>
      </c>
      <c r="J504" s="135">
        <v>1.0</v>
      </c>
      <c r="K504" s="135"/>
      <c r="L504" s="135">
        <v>1780.0</v>
      </c>
      <c r="M504" s="135">
        <v>885.0</v>
      </c>
      <c r="N504" s="135">
        <v>120.0</v>
      </c>
      <c r="O504" s="135">
        <v>0.314</v>
      </c>
      <c r="P504" s="136">
        <v>0.0</v>
      </c>
      <c r="Q504" s="137">
        <v>0.785</v>
      </c>
      <c r="R504" s="136">
        <v>46104.0</v>
      </c>
      <c r="S504" s="135" t="s">
        <v>3147</v>
      </c>
      <c r="T504" s="136"/>
      <c r="U504" s="135" t="s">
        <v>2864</v>
      </c>
      <c r="V504" s="135" t="s">
        <v>2953</v>
      </c>
      <c r="W504" s="135" t="s">
        <v>3275</v>
      </c>
      <c r="X504" s="135"/>
      <c r="Y504" s="135"/>
      <c r="Z504" s="135" t="s">
        <v>2858</v>
      </c>
      <c r="AA504" s="135"/>
      <c r="AB504" s="135"/>
      <c r="AC504" s="135"/>
      <c r="AD504" s="135">
        <v>46116.0</v>
      </c>
      <c r="AE504" s="135"/>
      <c r="AF504" s="135"/>
      <c r="AG504" s="135"/>
    </row>
    <row r="505" ht="21.75" hidden="1" customHeight="1">
      <c r="A505" s="135">
        <v>501.0</v>
      </c>
      <c r="B505" s="135">
        <v>25045.0</v>
      </c>
      <c r="C505" s="135"/>
      <c r="D505" s="135">
        <v>4.0</v>
      </c>
      <c r="E505" s="135" t="s">
        <v>3255</v>
      </c>
      <c r="F505" s="135" t="s">
        <v>1517</v>
      </c>
      <c r="G505" s="135" t="s">
        <v>54</v>
      </c>
      <c r="H505" s="135" t="s">
        <v>2853</v>
      </c>
      <c r="I505" s="135" t="s">
        <v>65</v>
      </c>
      <c r="J505" s="135">
        <v>1.0</v>
      </c>
      <c r="K505" s="135"/>
      <c r="L505" s="135">
        <v>3940.0</v>
      </c>
      <c r="M505" s="135">
        <v>1000.0</v>
      </c>
      <c r="N505" s="135">
        <v>120.0</v>
      </c>
      <c r="O505" s="135">
        <v>0.793</v>
      </c>
      <c r="P505" s="136">
        <v>0.0</v>
      </c>
      <c r="Q505" s="137">
        <v>1.9825000000000002</v>
      </c>
      <c r="R505" s="136">
        <v>46104.0</v>
      </c>
      <c r="S505" s="135" t="s">
        <v>3147</v>
      </c>
      <c r="T505" s="136"/>
      <c r="U505" s="135" t="s">
        <v>2950</v>
      </c>
      <c r="V505" s="135" t="s">
        <v>2951</v>
      </c>
      <c r="W505" s="135" t="s">
        <v>3276</v>
      </c>
      <c r="X505" s="135"/>
      <c r="Y505" s="135"/>
      <c r="Z505" s="135" t="s">
        <v>2858</v>
      </c>
      <c r="AA505" s="135"/>
      <c r="AB505" s="135"/>
      <c r="AC505" s="135"/>
      <c r="AD505" s="135">
        <v>46113.0</v>
      </c>
      <c r="AE505" s="135"/>
      <c r="AF505" s="135"/>
      <c r="AG505" s="135"/>
    </row>
    <row r="506" ht="21.75" hidden="1" customHeight="1">
      <c r="A506" s="135">
        <v>502.0</v>
      </c>
      <c r="B506" s="135">
        <v>25045.0</v>
      </c>
      <c r="C506" s="135"/>
      <c r="D506" s="135">
        <v>4.0</v>
      </c>
      <c r="E506" s="135" t="s">
        <v>3255</v>
      </c>
      <c r="F506" s="135" t="s">
        <v>1518</v>
      </c>
      <c r="G506" s="135" t="s">
        <v>54</v>
      </c>
      <c r="H506" s="135" t="s">
        <v>2965</v>
      </c>
      <c r="I506" s="135" t="s">
        <v>65</v>
      </c>
      <c r="J506" s="135">
        <v>1.0</v>
      </c>
      <c r="K506" s="135"/>
      <c r="L506" s="135">
        <v>400.0</v>
      </c>
      <c r="M506" s="135">
        <v>2550.0</v>
      </c>
      <c r="N506" s="135">
        <v>350.0</v>
      </c>
      <c r="O506" s="135">
        <v>0.421</v>
      </c>
      <c r="P506" s="136">
        <v>0.0</v>
      </c>
      <c r="Q506" s="137">
        <v>1.0525</v>
      </c>
      <c r="R506" s="136">
        <v>46104.0</v>
      </c>
      <c r="S506" s="135" t="s">
        <v>3147</v>
      </c>
      <c r="T506" s="136"/>
      <c r="U506" s="135" t="s">
        <v>2966</v>
      </c>
      <c r="V506" s="135" t="s">
        <v>2967</v>
      </c>
      <c r="W506" s="135"/>
      <c r="X506" s="135" t="s">
        <v>3188</v>
      </c>
      <c r="Y506" s="135"/>
      <c r="Z506" s="135" t="s">
        <v>2858</v>
      </c>
      <c r="AA506" s="135" t="s">
        <v>3173</v>
      </c>
      <c r="AB506" s="135"/>
      <c r="AC506" s="135"/>
      <c r="AD506" s="135">
        <v>46129.0</v>
      </c>
      <c r="AE506" s="135"/>
      <c r="AF506" s="135"/>
      <c r="AG506" s="135"/>
    </row>
    <row r="507" ht="21.75" hidden="1" customHeight="1">
      <c r="A507" s="135">
        <v>503.0</v>
      </c>
      <c r="B507" s="135">
        <v>25045.0</v>
      </c>
      <c r="C507" s="135" t="s">
        <v>2817</v>
      </c>
      <c r="D507" s="135">
        <v>3.0</v>
      </c>
      <c r="E507" s="135" t="s">
        <v>3277</v>
      </c>
      <c r="F507" s="135" t="s">
        <v>1520</v>
      </c>
      <c r="G507" s="135" t="s">
        <v>44</v>
      </c>
      <c r="H507" s="135" t="s">
        <v>2853</v>
      </c>
      <c r="I507" s="135" t="s">
        <v>45</v>
      </c>
      <c r="J507" s="135">
        <v>1.0</v>
      </c>
      <c r="K507" s="135"/>
      <c r="L507" s="135">
        <v>4876.0</v>
      </c>
      <c r="M507" s="135">
        <v>1680.0</v>
      </c>
      <c r="N507" s="135">
        <v>120.0</v>
      </c>
      <c r="O507" s="135">
        <v>1.05</v>
      </c>
      <c r="P507" s="136">
        <v>0.0</v>
      </c>
      <c r="Q507" s="137">
        <v>2.625</v>
      </c>
      <c r="R507" s="136">
        <v>46106.0</v>
      </c>
      <c r="S507" s="135" t="s">
        <v>3278</v>
      </c>
      <c r="T507" s="136"/>
      <c r="U507" s="135" t="s">
        <v>2855</v>
      </c>
      <c r="V507" s="135" t="s">
        <v>2856</v>
      </c>
      <c r="W507" s="135" t="s">
        <v>3279</v>
      </c>
      <c r="X507" s="135"/>
      <c r="Y507" s="135"/>
      <c r="Z507" s="135" t="s">
        <v>2858</v>
      </c>
      <c r="AA507" s="135"/>
      <c r="AB507" s="135"/>
      <c r="AC507" s="135"/>
      <c r="AD507" s="135" t="e">
        <v>#N/A</v>
      </c>
      <c r="AE507" s="135"/>
      <c r="AF507" s="135"/>
      <c r="AG507" s="135"/>
    </row>
    <row r="508" ht="21.75" hidden="1" customHeight="1">
      <c r="A508" s="135">
        <v>504.0</v>
      </c>
      <c r="B508" s="135">
        <v>25045.0</v>
      </c>
      <c r="C508" s="135" t="s">
        <v>2817</v>
      </c>
      <c r="D508" s="135">
        <v>3.0</v>
      </c>
      <c r="E508" s="135" t="s">
        <v>3277</v>
      </c>
      <c r="F508" s="135" t="s">
        <v>1521</v>
      </c>
      <c r="G508" s="135" t="s">
        <v>44</v>
      </c>
      <c r="H508" s="135" t="s">
        <v>2853</v>
      </c>
      <c r="I508" s="135" t="s">
        <v>45</v>
      </c>
      <c r="J508" s="135">
        <v>1.0</v>
      </c>
      <c r="K508" s="135"/>
      <c r="L508" s="135">
        <v>4881.0</v>
      </c>
      <c r="M508" s="135">
        <v>1680.0</v>
      </c>
      <c r="N508" s="135">
        <v>120.0</v>
      </c>
      <c r="O508" s="135">
        <v>1.05</v>
      </c>
      <c r="P508" s="136">
        <v>0.0</v>
      </c>
      <c r="Q508" s="137">
        <v>2.625</v>
      </c>
      <c r="R508" s="136">
        <v>46106.0</v>
      </c>
      <c r="S508" s="135" t="s">
        <v>3278</v>
      </c>
      <c r="T508" s="136"/>
      <c r="U508" s="135" t="s">
        <v>2855</v>
      </c>
      <c r="V508" s="135" t="s">
        <v>2856</v>
      </c>
      <c r="W508" s="135" t="s">
        <v>3280</v>
      </c>
      <c r="X508" s="135"/>
      <c r="Y508" s="135"/>
      <c r="Z508" s="135" t="s">
        <v>2858</v>
      </c>
      <c r="AA508" s="135"/>
      <c r="AB508" s="135"/>
      <c r="AC508" s="135"/>
      <c r="AD508" s="135" t="e">
        <v>#N/A</v>
      </c>
      <c r="AE508" s="135"/>
      <c r="AF508" s="135"/>
      <c r="AG508" s="135"/>
    </row>
    <row r="509" ht="21.75" hidden="1" customHeight="1">
      <c r="A509" s="135">
        <v>505.0</v>
      </c>
      <c r="B509" s="135">
        <v>25045.0</v>
      </c>
      <c r="C509" s="135" t="s">
        <v>2817</v>
      </c>
      <c r="D509" s="135">
        <v>3.0</v>
      </c>
      <c r="E509" s="135" t="s">
        <v>3277</v>
      </c>
      <c r="F509" s="135" t="s">
        <v>1522</v>
      </c>
      <c r="G509" s="135" t="s">
        <v>44</v>
      </c>
      <c r="H509" s="135" t="s">
        <v>2853</v>
      </c>
      <c r="I509" s="135" t="s">
        <v>45</v>
      </c>
      <c r="J509" s="135">
        <v>1.0</v>
      </c>
      <c r="K509" s="135"/>
      <c r="L509" s="135">
        <v>4876.0</v>
      </c>
      <c r="M509" s="135">
        <v>1980.0</v>
      </c>
      <c r="N509" s="135">
        <v>120.0</v>
      </c>
      <c r="O509" s="135">
        <v>1.222</v>
      </c>
      <c r="P509" s="136">
        <v>0.0</v>
      </c>
      <c r="Q509" s="137">
        <v>3.0549999999999997</v>
      </c>
      <c r="R509" s="136">
        <v>46106.0</v>
      </c>
      <c r="S509" s="135" t="s">
        <v>3278</v>
      </c>
      <c r="T509" s="136"/>
      <c r="U509" s="135" t="s">
        <v>2855</v>
      </c>
      <c r="V509" s="135" t="s">
        <v>2856</v>
      </c>
      <c r="W509" s="135" t="s">
        <v>3279</v>
      </c>
      <c r="X509" s="135"/>
      <c r="Y509" s="135"/>
      <c r="Z509" s="135" t="s">
        <v>2858</v>
      </c>
      <c r="AA509" s="135"/>
      <c r="AB509" s="135"/>
      <c r="AC509" s="135"/>
      <c r="AD509" s="135" t="e">
        <v>#N/A</v>
      </c>
      <c r="AE509" s="135"/>
      <c r="AF509" s="135"/>
      <c r="AG509" s="135"/>
    </row>
    <row r="510" ht="21.75" hidden="1" customHeight="1">
      <c r="A510" s="135">
        <v>506.0</v>
      </c>
      <c r="B510" s="135">
        <v>25045.0</v>
      </c>
      <c r="C510" s="135" t="s">
        <v>2817</v>
      </c>
      <c r="D510" s="135">
        <v>3.0</v>
      </c>
      <c r="E510" s="135" t="s">
        <v>3277</v>
      </c>
      <c r="F510" s="135" t="s">
        <v>1523</v>
      </c>
      <c r="G510" s="135" t="s">
        <v>44</v>
      </c>
      <c r="H510" s="135" t="s">
        <v>2853</v>
      </c>
      <c r="I510" s="135" t="s">
        <v>45</v>
      </c>
      <c r="J510" s="135">
        <v>1.0</v>
      </c>
      <c r="K510" s="135"/>
      <c r="L510" s="135">
        <v>4876.0</v>
      </c>
      <c r="M510" s="135">
        <v>1980.0</v>
      </c>
      <c r="N510" s="135">
        <v>120.0</v>
      </c>
      <c r="O510" s="135">
        <v>1.4</v>
      </c>
      <c r="P510" s="136">
        <v>0.0</v>
      </c>
      <c r="Q510" s="137">
        <v>3.5</v>
      </c>
      <c r="R510" s="136">
        <v>46106.0</v>
      </c>
      <c r="S510" s="135" t="s">
        <v>3278</v>
      </c>
      <c r="T510" s="136"/>
      <c r="U510" s="135" t="s">
        <v>2855</v>
      </c>
      <c r="V510" s="135" t="s">
        <v>2856</v>
      </c>
      <c r="W510" s="135" t="s">
        <v>3279</v>
      </c>
      <c r="X510" s="135"/>
      <c r="Y510" s="135"/>
      <c r="Z510" s="135" t="s">
        <v>2858</v>
      </c>
      <c r="AA510" s="135"/>
      <c r="AB510" s="135"/>
      <c r="AC510" s="135"/>
      <c r="AD510" s="135" t="e">
        <v>#N/A</v>
      </c>
      <c r="AE510" s="135"/>
      <c r="AF510" s="135"/>
      <c r="AG510" s="135"/>
    </row>
    <row r="511" ht="21.75" hidden="1" customHeight="1">
      <c r="A511" s="135">
        <v>507.0</v>
      </c>
      <c r="B511" s="135">
        <v>25045.0</v>
      </c>
      <c r="C511" s="135"/>
      <c r="D511" s="135">
        <v>3.0</v>
      </c>
      <c r="E511" s="135" t="s">
        <v>3277</v>
      </c>
      <c r="F511" s="135" t="s">
        <v>1524</v>
      </c>
      <c r="G511" s="135" t="s">
        <v>44</v>
      </c>
      <c r="H511" s="135" t="s">
        <v>2853</v>
      </c>
      <c r="I511" s="135" t="s">
        <v>45</v>
      </c>
      <c r="J511" s="135">
        <v>1.0</v>
      </c>
      <c r="K511" s="135"/>
      <c r="L511" s="135">
        <v>3090.0</v>
      </c>
      <c r="M511" s="135">
        <v>3300.0</v>
      </c>
      <c r="N511" s="135">
        <v>120.0</v>
      </c>
      <c r="O511" s="135">
        <v>1.21</v>
      </c>
      <c r="P511" s="136">
        <v>0.0</v>
      </c>
      <c r="Q511" s="137">
        <v>3.025</v>
      </c>
      <c r="R511" s="136">
        <v>46106.0</v>
      </c>
      <c r="S511" s="135" t="s">
        <v>3278</v>
      </c>
      <c r="T511" s="136"/>
      <c r="U511" s="135" t="s">
        <v>2864</v>
      </c>
      <c r="V511" s="135" t="s">
        <v>2878</v>
      </c>
      <c r="W511" s="135" t="s">
        <v>3213</v>
      </c>
      <c r="X511" s="135" t="s">
        <v>3214</v>
      </c>
      <c r="Y511" s="135"/>
      <c r="Z511" s="135" t="s">
        <v>2858</v>
      </c>
      <c r="AA511" s="135"/>
      <c r="AB511" s="135"/>
      <c r="AC511" s="135"/>
      <c r="AD511" s="135">
        <v>46116.0</v>
      </c>
      <c r="AE511" s="135"/>
      <c r="AF511" s="135"/>
      <c r="AG511" s="135"/>
    </row>
    <row r="512" ht="21.75" hidden="1" customHeight="1">
      <c r="A512" s="135">
        <v>508.0</v>
      </c>
      <c r="B512" s="135">
        <v>25045.0</v>
      </c>
      <c r="C512" s="135"/>
      <c r="D512" s="135">
        <v>3.0</v>
      </c>
      <c r="E512" s="135" t="s">
        <v>3277</v>
      </c>
      <c r="F512" s="135" t="s">
        <v>1525</v>
      </c>
      <c r="G512" s="135" t="s">
        <v>44</v>
      </c>
      <c r="H512" s="135" t="s">
        <v>2853</v>
      </c>
      <c r="I512" s="135" t="s">
        <v>45</v>
      </c>
      <c r="J512" s="135">
        <v>1.0</v>
      </c>
      <c r="K512" s="135"/>
      <c r="L512" s="135">
        <v>3420.0</v>
      </c>
      <c r="M512" s="135">
        <v>3300.0</v>
      </c>
      <c r="N512" s="135">
        <v>120.0</v>
      </c>
      <c r="O512" s="135">
        <v>1.36</v>
      </c>
      <c r="P512" s="136">
        <v>0.0</v>
      </c>
      <c r="Q512" s="137">
        <v>3.4000000000000004</v>
      </c>
      <c r="R512" s="136">
        <v>46106.0</v>
      </c>
      <c r="S512" s="135" t="s">
        <v>3278</v>
      </c>
      <c r="T512" s="136"/>
      <c r="U512" s="135" t="s">
        <v>2864</v>
      </c>
      <c r="V512" s="135" t="s">
        <v>3014</v>
      </c>
      <c r="W512" s="135" t="s">
        <v>2932</v>
      </c>
      <c r="X512" s="135" t="s">
        <v>3216</v>
      </c>
      <c r="Y512" s="135"/>
      <c r="Z512" s="135" t="s">
        <v>2858</v>
      </c>
      <c r="AA512" s="135"/>
      <c r="AB512" s="135"/>
      <c r="AC512" s="135"/>
      <c r="AD512" s="135">
        <v>46116.0</v>
      </c>
      <c r="AE512" s="135"/>
      <c r="AF512" s="135"/>
      <c r="AG512" s="135"/>
    </row>
    <row r="513" ht="21.75" hidden="1" customHeight="1">
      <c r="A513" s="135">
        <v>509.0</v>
      </c>
      <c r="B513" s="135">
        <v>25045.0</v>
      </c>
      <c r="C513" s="135"/>
      <c r="D513" s="135">
        <v>3.0</v>
      </c>
      <c r="E513" s="135" t="s">
        <v>3277</v>
      </c>
      <c r="F513" s="135" t="s">
        <v>1526</v>
      </c>
      <c r="G513" s="135" t="s">
        <v>44</v>
      </c>
      <c r="H513" s="135" t="s">
        <v>2853</v>
      </c>
      <c r="I513" s="135" t="s">
        <v>45</v>
      </c>
      <c r="J513" s="135">
        <v>1.0</v>
      </c>
      <c r="K513" s="135"/>
      <c r="L513" s="135">
        <v>3803.0</v>
      </c>
      <c r="M513" s="135">
        <v>3300.0</v>
      </c>
      <c r="N513" s="135">
        <v>120.0</v>
      </c>
      <c r="O513" s="135">
        <v>1.65</v>
      </c>
      <c r="P513" s="136">
        <v>0.0</v>
      </c>
      <c r="Q513" s="137">
        <v>4.125</v>
      </c>
      <c r="R513" s="136">
        <v>46106.0</v>
      </c>
      <c r="S513" s="135" t="s">
        <v>3278</v>
      </c>
      <c r="T513" s="136"/>
      <c r="U513" s="135" t="s">
        <v>2864</v>
      </c>
      <c r="V513" s="135" t="s">
        <v>2865</v>
      </c>
      <c r="W513" s="135" t="s">
        <v>3281</v>
      </c>
      <c r="X513" s="135"/>
      <c r="Y513" s="135"/>
      <c r="Z513" s="135" t="s">
        <v>2858</v>
      </c>
      <c r="AA513" s="135"/>
      <c r="AB513" s="135"/>
      <c r="AC513" s="135"/>
      <c r="AD513" s="135">
        <v>46110.0</v>
      </c>
      <c r="AE513" s="135"/>
      <c r="AF513" s="135"/>
      <c r="AG513" s="135"/>
    </row>
    <row r="514" ht="21.75" hidden="1" customHeight="1">
      <c r="A514" s="135">
        <v>510.0</v>
      </c>
      <c r="B514" s="135">
        <v>25045.0</v>
      </c>
      <c r="C514" s="135"/>
      <c r="D514" s="135">
        <v>3.0</v>
      </c>
      <c r="E514" s="135" t="s">
        <v>3277</v>
      </c>
      <c r="F514" s="135" t="s">
        <v>1527</v>
      </c>
      <c r="G514" s="135" t="s">
        <v>44</v>
      </c>
      <c r="H514" s="135" t="s">
        <v>2853</v>
      </c>
      <c r="I514" s="135" t="s">
        <v>45</v>
      </c>
      <c r="J514" s="135">
        <v>1.0</v>
      </c>
      <c r="K514" s="135"/>
      <c r="L514" s="135">
        <v>4920.0</v>
      </c>
      <c r="M514" s="135">
        <v>3500.0</v>
      </c>
      <c r="N514" s="135">
        <v>120.0</v>
      </c>
      <c r="O514" s="135">
        <v>2.19</v>
      </c>
      <c r="P514" s="136">
        <v>0.0</v>
      </c>
      <c r="Q514" s="137">
        <v>5.475</v>
      </c>
      <c r="R514" s="136">
        <v>46106.0</v>
      </c>
      <c r="S514" s="135" t="s">
        <v>3278</v>
      </c>
      <c r="T514" s="136"/>
      <c r="U514" s="135" t="s">
        <v>2855</v>
      </c>
      <c r="V514" s="135" t="s">
        <v>2876</v>
      </c>
      <c r="W514" s="135" t="s">
        <v>3220</v>
      </c>
      <c r="X514" s="135" t="s">
        <v>3216</v>
      </c>
      <c r="Y514" s="135"/>
      <c r="Z514" s="135" t="s">
        <v>2858</v>
      </c>
      <c r="AA514" s="135"/>
      <c r="AB514" s="135"/>
      <c r="AC514" s="135"/>
      <c r="AD514" s="135">
        <v>46111.0</v>
      </c>
      <c r="AE514" s="135"/>
      <c r="AF514" s="135"/>
      <c r="AG514" s="135"/>
    </row>
    <row r="515" ht="21.75" hidden="1" customHeight="1">
      <c r="A515" s="135">
        <v>511.0</v>
      </c>
      <c r="B515" s="135">
        <v>25045.0</v>
      </c>
      <c r="C515" s="135"/>
      <c r="D515" s="135">
        <v>3.0</v>
      </c>
      <c r="E515" s="135" t="s">
        <v>3277</v>
      </c>
      <c r="F515" s="135" t="s">
        <v>1528</v>
      </c>
      <c r="G515" s="135" t="s">
        <v>44</v>
      </c>
      <c r="H515" s="135" t="s">
        <v>2853</v>
      </c>
      <c r="I515" s="135" t="s">
        <v>45</v>
      </c>
      <c r="J515" s="135">
        <v>1.0</v>
      </c>
      <c r="K515" s="135"/>
      <c r="L515" s="135">
        <v>5155.0</v>
      </c>
      <c r="M515" s="135">
        <v>3290.0</v>
      </c>
      <c r="N515" s="135">
        <v>120.0</v>
      </c>
      <c r="O515" s="135">
        <v>2.36</v>
      </c>
      <c r="P515" s="136">
        <v>0.0</v>
      </c>
      <c r="Q515" s="137">
        <v>5.8999999999999995</v>
      </c>
      <c r="R515" s="136">
        <v>46106.0</v>
      </c>
      <c r="S515" s="135" t="s">
        <v>3278</v>
      </c>
      <c r="T515" s="136"/>
      <c r="U515" s="135" t="s">
        <v>2855</v>
      </c>
      <c r="V515" s="135" t="s">
        <v>2878</v>
      </c>
      <c r="W515" s="135" t="s">
        <v>3282</v>
      </c>
      <c r="X515" s="135"/>
      <c r="Y515" s="135"/>
      <c r="Z515" s="135" t="s">
        <v>2858</v>
      </c>
      <c r="AA515" s="135"/>
      <c r="AB515" s="135"/>
      <c r="AC515" s="135"/>
      <c r="AD515" s="135">
        <v>46119.0</v>
      </c>
      <c r="AE515" s="135"/>
      <c r="AF515" s="135"/>
      <c r="AG515" s="135"/>
    </row>
    <row r="516" ht="21.75" hidden="1" customHeight="1">
      <c r="A516" s="135">
        <v>512.0</v>
      </c>
      <c r="B516" s="135">
        <v>25045.0</v>
      </c>
      <c r="C516" s="135"/>
      <c r="D516" s="135">
        <v>3.0</v>
      </c>
      <c r="E516" s="135" t="s">
        <v>3277</v>
      </c>
      <c r="F516" s="135" t="s">
        <v>1529</v>
      </c>
      <c r="G516" s="135" t="s">
        <v>44</v>
      </c>
      <c r="H516" s="135" t="s">
        <v>2853</v>
      </c>
      <c r="I516" s="135" t="s">
        <v>45</v>
      </c>
      <c r="J516" s="135">
        <v>1.0</v>
      </c>
      <c r="K516" s="135" t="s">
        <v>3134</v>
      </c>
      <c r="L516" s="135">
        <v>5170.0</v>
      </c>
      <c r="M516" s="135">
        <v>3290.0</v>
      </c>
      <c r="N516" s="135">
        <v>120.0</v>
      </c>
      <c r="O516" s="135">
        <v>2.36</v>
      </c>
      <c r="P516" s="136">
        <v>0.0</v>
      </c>
      <c r="Q516" s="137">
        <v>5.8999999999999995</v>
      </c>
      <c r="R516" s="136">
        <v>46106.0</v>
      </c>
      <c r="S516" s="135" t="s">
        <v>3278</v>
      </c>
      <c r="T516" s="136"/>
      <c r="U516" s="135" t="s">
        <v>2855</v>
      </c>
      <c r="V516" s="135" t="s">
        <v>2878</v>
      </c>
      <c r="W516" s="135" t="s">
        <v>3283</v>
      </c>
      <c r="X516" s="135"/>
      <c r="Y516" s="135"/>
      <c r="Z516" s="135" t="s">
        <v>2858</v>
      </c>
      <c r="AA516" s="135"/>
      <c r="AB516" s="135"/>
      <c r="AC516" s="135"/>
      <c r="AD516" s="135">
        <v>46136.0</v>
      </c>
      <c r="AE516" s="135"/>
      <c r="AF516" s="135"/>
      <c r="AG516" s="135"/>
    </row>
    <row r="517" ht="21.75" hidden="1" customHeight="1">
      <c r="A517" s="135">
        <v>513.0</v>
      </c>
      <c r="B517" s="135">
        <v>25045.0</v>
      </c>
      <c r="C517" s="135"/>
      <c r="D517" s="135">
        <v>3.0</v>
      </c>
      <c r="E517" s="135" t="s">
        <v>3277</v>
      </c>
      <c r="F517" s="135" t="s">
        <v>1530</v>
      </c>
      <c r="G517" s="135" t="s">
        <v>44</v>
      </c>
      <c r="H517" s="135" t="s">
        <v>2853</v>
      </c>
      <c r="I517" s="135" t="s">
        <v>45</v>
      </c>
      <c r="J517" s="135">
        <v>1.0</v>
      </c>
      <c r="K517" s="135" t="s">
        <v>3134</v>
      </c>
      <c r="L517" s="135">
        <v>5170.0</v>
      </c>
      <c r="M517" s="135">
        <v>3290.0</v>
      </c>
      <c r="N517" s="135">
        <v>120.0</v>
      </c>
      <c r="O517" s="135">
        <v>2.36</v>
      </c>
      <c r="P517" s="136">
        <v>0.0</v>
      </c>
      <c r="Q517" s="137">
        <v>5.8999999999999995</v>
      </c>
      <c r="R517" s="136">
        <v>46106.0</v>
      </c>
      <c r="S517" s="135" t="s">
        <v>3278</v>
      </c>
      <c r="T517" s="136"/>
      <c r="U517" s="135" t="s">
        <v>2855</v>
      </c>
      <c r="V517" s="135" t="s">
        <v>2878</v>
      </c>
      <c r="W517" s="135" t="s">
        <v>3283</v>
      </c>
      <c r="X517" s="135"/>
      <c r="Y517" s="135"/>
      <c r="Z517" s="135" t="s">
        <v>2858</v>
      </c>
      <c r="AA517" s="135"/>
      <c r="AB517" s="135"/>
      <c r="AC517" s="135"/>
      <c r="AD517" s="135">
        <v>46137.0</v>
      </c>
      <c r="AE517" s="135"/>
      <c r="AF517" s="135"/>
      <c r="AG517" s="135"/>
    </row>
    <row r="518" ht="21.75" hidden="1" customHeight="1">
      <c r="A518" s="135">
        <v>514.0</v>
      </c>
      <c r="B518" s="135">
        <v>25045.0</v>
      </c>
      <c r="C518" s="135"/>
      <c r="D518" s="135">
        <v>3.0</v>
      </c>
      <c r="E518" s="135" t="s">
        <v>3277</v>
      </c>
      <c r="F518" s="135" t="s">
        <v>1531</v>
      </c>
      <c r="G518" s="135" t="s">
        <v>44</v>
      </c>
      <c r="H518" s="135" t="s">
        <v>2853</v>
      </c>
      <c r="I518" s="135" t="s">
        <v>45</v>
      </c>
      <c r="J518" s="135">
        <v>1.0</v>
      </c>
      <c r="K518" s="135"/>
      <c r="L518" s="135">
        <v>3636.0</v>
      </c>
      <c r="M518" s="135">
        <v>1250.0</v>
      </c>
      <c r="N518" s="135">
        <v>120.0</v>
      </c>
      <c r="O518" s="135">
        <v>0.683</v>
      </c>
      <c r="P518" s="136">
        <v>0.0</v>
      </c>
      <c r="Q518" s="137">
        <v>1.7075</v>
      </c>
      <c r="R518" s="136">
        <v>46106.0</v>
      </c>
      <c r="S518" s="135" t="s">
        <v>3278</v>
      </c>
      <c r="T518" s="136"/>
      <c r="U518" s="135" t="s">
        <v>2855</v>
      </c>
      <c r="V518" s="135" t="s">
        <v>2907</v>
      </c>
      <c r="W518" s="135" t="s">
        <v>3284</v>
      </c>
      <c r="X518" s="135"/>
      <c r="Y518" s="135"/>
      <c r="Z518" s="135" t="s">
        <v>2858</v>
      </c>
      <c r="AA518" s="135"/>
      <c r="AB518" s="135"/>
      <c r="AC518" s="135"/>
      <c r="AD518" s="135">
        <v>46139.0</v>
      </c>
      <c r="AE518" s="135"/>
      <c r="AF518" s="135"/>
      <c r="AG518" s="135"/>
    </row>
    <row r="519" ht="21.75" hidden="1" customHeight="1">
      <c r="A519" s="135">
        <v>515.0</v>
      </c>
      <c r="B519" s="135">
        <v>25045.0</v>
      </c>
      <c r="C519" s="135"/>
      <c r="D519" s="135">
        <v>3.0</v>
      </c>
      <c r="E519" s="135" t="s">
        <v>3277</v>
      </c>
      <c r="F519" s="135" t="s">
        <v>1532</v>
      </c>
      <c r="G519" s="135" t="s">
        <v>44</v>
      </c>
      <c r="H519" s="135" t="s">
        <v>2853</v>
      </c>
      <c r="I519" s="135" t="s">
        <v>45</v>
      </c>
      <c r="J519" s="135">
        <v>1.0</v>
      </c>
      <c r="K519" s="135"/>
      <c r="L519" s="135">
        <v>1780.0</v>
      </c>
      <c r="M519" s="135">
        <v>1580.0</v>
      </c>
      <c r="N519" s="135">
        <v>120.0</v>
      </c>
      <c r="O519" s="135">
        <v>0.42</v>
      </c>
      <c r="P519" s="136">
        <v>0.0</v>
      </c>
      <c r="Q519" s="137">
        <v>1.05</v>
      </c>
      <c r="R519" s="136">
        <v>46106.0</v>
      </c>
      <c r="S519" s="135" t="s">
        <v>3278</v>
      </c>
      <c r="T519" s="136"/>
      <c r="U519" s="135" t="s">
        <v>2864</v>
      </c>
      <c r="V519" s="135" t="s">
        <v>2873</v>
      </c>
      <c r="W519" s="135" t="s">
        <v>2901</v>
      </c>
      <c r="X519" s="135"/>
      <c r="Y519" s="135"/>
      <c r="Z519" s="135" t="s">
        <v>2858</v>
      </c>
      <c r="AA519" s="135"/>
      <c r="AB519" s="135"/>
      <c r="AC519" s="135"/>
      <c r="AD519" s="135">
        <v>46115.0</v>
      </c>
      <c r="AE519" s="135"/>
      <c r="AF519" s="135"/>
      <c r="AG519" s="135"/>
    </row>
    <row r="520" ht="21.75" hidden="1" customHeight="1">
      <c r="A520" s="135">
        <v>516.0</v>
      </c>
      <c r="B520" s="135">
        <v>25045.0</v>
      </c>
      <c r="C520" s="135"/>
      <c r="D520" s="135">
        <v>3.0</v>
      </c>
      <c r="E520" s="135" t="s">
        <v>3277</v>
      </c>
      <c r="F520" s="135" t="s">
        <v>1533</v>
      </c>
      <c r="G520" s="135" t="s">
        <v>44</v>
      </c>
      <c r="H520" s="135" t="s">
        <v>2853</v>
      </c>
      <c r="I520" s="135" t="s">
        <v>45</v>
      </c>
      <c r="J520" s="135">
        <v>1.0</v>
      </c>
      <c r="K520" s="135"/>
      <c r="L520" s="135">
        <v>3355.0</v>
      </c>
      <c r="M520" s="135">
        <v>1000.0</v>
      </c>
      <c r="N520" s="135">
        <v>120.0</v>
      </c>
      <c r="O520" s="135">
        <v>0.513</v>
      </c>
      <c r="P520" s="136">
        <v>0.0</v>
      </c>
      <c r="Q520" s="137">
        <v>1.2825</v>
      </c>
      <c r="R520" s="136">
        <v>46106.0</v>
      </c>
      <c r="S520" s="135" t="s">
        <v>3278</v>
      </c>
      <c r="T520" s="136"/>
      <c r="U520" s="135" t="s">
        <v>2950</v>
      </c>
      <c r="V520" s="135" t="s">
        <v>2951</v>
      </c>
      <c r="W520" s="135" t="s">
        <v>3285</v>
      </c>
      <c r="X520" s="135"/>
      <c r="Y520" s="135"/>
      <c r="Z520" s="135" t="s">
        <v>2858</v>
      </c>
      <c r="AA520" s="135"/>
      <c r="AB520" s="135"/>
      <c r="AC520" s="135"/>
      <c r="AD520" s="135">
        <v>46113.0</v>
      </c>
      <c r="AE520" s="135"/>
      <c r="AF520" s="135"/>
      <c r="AG520" s="135"/>
    </row>
    <row r="521" ht="21.75" hidden="1" customHeight="1">
      <c r="A521" s="135">
        <v>517.0</v>
      </c>
      <c r="B521" s="135">
        <v>25045.0</v>
      </c>
      <c r="C521" s="135" t="s">
        <v>2817</v>
      </c>
      <c r="D521" s="135">
        <v>3.0</v>
      </c>
      <c r="E521" s="135" t="s">
        <v>3286</v>
      </c>
      <c r="F521" s="135" t="s">
        <v>1541</v>
      </c>
      <c r="G521" s="135" t="s">
        <v>44</v>
      </c>
      <c r="H521" s="135" t="s">
        <v>2853</v>
      </c>
      <c r="I521" s="135" t="s">
        <v>47</v>
      </c>
      <c r="J521" s="135">
        <v>1.0</v>
      </c>
      <c r="K521" s="135" t="s">
        <v>3134</v>
      </c>
      <c r="L521" s="135">
        <v>4242.0</v>
      </c>
      <c r="M521" s="135">
        <v>1430.0</v>
      </c>
      <c r="N521" s="135">
        <v>120.0</v>
      </c>
      <c r="O521" s="135">
        <v>0.872</v>
      </c>
      <c r="P521" s="136">
        <v>0.0</v>
      </c>
      <c r="Q521" s="137">
        <v>2.18</v>
      </c>
      <c r="R521" s="136">
        <v>46106.0</v>
      </c>
      <c r="S521" s="135" t="s">
        <v>3278</v>
      </c>
      <c r="T521" s="136"/>
      <c r="U521" s="135" t="s">
        <v>2855</v>
      </c>
      <c r="V521" s="135" t="s">
        <v>2856</v>
      </c>
      <c r="W521" s="135" t="s">
        <v>3287</v>
      </c>
      <c r="X521" s="135"/>
      <c r="Y521" s="135"/>
      <c r="Z521" s="135" t="s">
        <v>2858</v>
      </c>
      <c r="AA521" s="135"/>
      <c r="AB521" s="135"/>
      <c r="AC521" s="135"/>
      <c r="AD521" s="135" t="e">
        <v>#N/A</v>
      </c>
      <c r="AE521" s="135"/>
      <c r="AF521" s="135"/>
      <c r="AG521" s="135"/>
    </row>
    <row r="522" ht="21.75" hidden="1" customHeight="1">
      <c r="A522" s="135">
        <v>518.0</v>
      </c>
      <c r="B522" s="135">
        <v>25045.0</v>
      </c>
      <c r="C522" s="135" t="s">
        <v>2817</v>
      </c>
      <c r="D522" s="135">
        <v>3.0</v>
      </c>
      <c r="E522" s="135" t="s">
        <v>3286</v>
      </c>
      <c r="F522" s="135" t="s">
        <v>1542</v>
      </c>
      <c r="G522" s="135" t="s">
        <v>44</v>
      </c>
      <c r="H522" s="135" t="s">
        <v>2853</v>
      </c>
      <c r="I522" s="135" t="s">
        <v>47</v>
      </c>
      <c r="J522" s="135">
        <v>1.0</v>
      </c>
      <c r="K522" s="135" t="s">
        <v>3134</v>
      </c>
      <c r="L522" s="135">
        <v>4242.0</v>
      </c>
      <c r="M522" s="135">
        <v>1430.0</v>
      </c>
      <c r="N522" s="135">
        <v>120.0</v>
      </c>
      <c r="O522" s="135">
        <v>0.872</v>
      </c>
      <c r="P522" s="136">
        <v>0.0</v>
      </c>
      <c r="Q522" s="137">
        <v>2.18</v>
      </c>
      <c r="R522" s="136">
        <v>46106.0</v>
      </c>
      <c r="S522" s="135" t="s">
        <v>3278</v>
      </c>
      <c r="T522" s="136"/>
      <c r="U522" s="135" t="s">
        <v>2855</v>
      </c>
      <c r="V522" s="135" t="s">
        <v>2856</v>
      </c>
      <c r="W522" s="135" t="s">
        <v>3287</v>
      </c>
      <c r="X522" s="135"/>
      <c r="Y522" s="135"/>
      <c r="Z522" s="135" t="s">
        <v>2858</v>
      </c>
      <c r="AA522" s="135"/>
      <c r="AB522" s="135"/>
      <c r="AC522" s="135"/>
      <c r="AD522" s="135" t="e">
        <v>#N/A</v>
      </c>
      <c r="AE522" s="135"/>
      <c r="AF522" s="135"/>
      <c r="AG522" s="135"/>
    </row>
    <row r="523" ht="21.75" hidden="1" customHeight="1">
      <c r="A523" s="135">
        <v>519.0</v>
      </c>
      <c r="B523" s="135">
        <v>25045.0</v>
      </c>
      <c r="C523" s="135" t="s">
        <v>2817</v>
      </c>
      <c r="D523" s="135">
        <v>3.0</v>
      </c>
      <c r="E523" s="135" t="s">
        <v>3286</v>
      </c>
      <c r="F523" s="135" t="s">
        <v>1543</v>
      </c>
      <c r="G523" s="135" t="s">
        <v>44</v>
      </c>
      <c r="H523" s="135" t="s">
        <v>2853</v>
      </c>
      <c r="I523" s="135" t="s">
        <v>47</v>
      </c>
      <c r="J523" s="135">
        <v>1.0</v>
      </c>
      <c r="K523" s="135" t="s">
        <v>3134</v>
      </c>
      <c r="L523" s="135">
        <v>4242.0</v>
      </c>
      <c r="M523" s="135">
        <v>1430.0</v>
      </c>
      <c r="N523" s="135">
        <v>120.0</v>
      </c>
      <c r="O523" s="135">
        <v>0.872</v>
      </c>
      <c r="P523" s="136">
        <v>0.0</v>
      </c>
      <c r="Q523" s="137">
        <v>2.18</v>
      </c>
      <c r="R523" s="136">
        <v>46106.0</v>
      </c>
      <c r="S523" s="135" t="s">
        <v>3278</v>
      </c>
      <c r="T523" s="136"/>
      <c r="U523" s="135" t="s">
        <v>2855</v>
      </c>
      <c r="V523" s="135" t="s">
        <v>2856</v>
      </c>
      <c r="W523" s="135" t="s">
        <v>3287</v>
      </c>
      <c r="X523" s="135"/>
      <c r="Y523" s="135"/>
      <c r="Z523" s="135" t="s">
        <v>2858</v>
      </c>
      <c r="AA523" s="135"/>
      <c r="AB523" s="135"/>
      <c r="AC523" s="135"/>
      <c r="AD523" s="135" t="e">
        <v>#N/A</v>
      </c>
      <c r="AE523" s="135"/>
      <c r="AF523" s="135"/>
      <c r="AG523" s="135"/>
    </row>
    <row r="524" ht="21.75" hidden="1" customHeight="1">
      <c r="A524" s="135">
        <v>520.0</v>
      </c>
      <c r="B524" s="135">
        <v>25045.0</v>
      </c>
      <c r="C524" s="135" t="s">
        <v>2817</v>
      </c>
      <c r="D524" s="135">
        <v>3.0</v>
      </c>
      <c r="E524" s="135" t="s">
        <v>3286</v>
      </c>
      <c r="F524" s="135" t="s">
        <v>1544</v>
      </c>
      <c r="G524" s="135" t="s">
        <v>44</v>
      </c>
      <c r="H524" s="135" t="s">
        <v>2853</v>
      </c>
      <c r="I524" s="135" t="s">
        <v>47</v>
      </c>
      <c r="J524" s="135">
        <v>1.0</v>
      </c>
      <c r="K524" s="135" t="s">
        <v>3134</v>
      </c>
      <c r="L524" s="135">
        <v>3000.0</v>
      </c>
      <c r="M524" s="135">
        <v>1430.0</v>
      </c>
      <c r="N524" s="135">
        <v>120.0</v>
      </c>
      <c r="O524" s="135">
        <v>0.51</v>
      </c>
      <c r="P524" s="136">
        <v>0.0</v>
      </c>
      <c r="Q524" s="137">
        <v>1.275</v>
      </c>
      <c r="R524" s="136">
        <v>46106.0</v>
      </c>
      <c r="S524" s="135" t="s">
        <v>3278</v>
      </c>
      <c r="T524" s="136"/>
      <c r="U524" s="135" t="s">
        <v>2864</v>
      </c>
      <c r="V524" s="135" t="s">
        <v>2856</v>
      </c>
      <c r="W524" s="135" t="s">
        <v>3288</v>
      </c>
      <c r="X524" s="135"/>
      <c r="Y524" s="135"/>
      <c r="Z524" s="135" t="s">
        <v>2858</v>
      </c>
      <c r="AA524" s="135"/>
      <c r="AB524" s="135"/>
      <c r="AC524" s="135"/>
      <c r="AD524" s="135">
        <v>46109.0</v>
      </c>
      <c r="AE524" s="135"/>
      <c r="AF524" s="135"/>
      <c r="AG524" s="135"/>
    </row>
    <row r="525" ht="21.75" hidden="1" customHeight="1">
      <c r="A525" s="135">
        <v>521.0</v>
      </c>
      <c r="B525" s="135">
        <v>25045.0</v>
      </c>
      <c r="C525" s="135" t="s">
        <v>2817</v>
      </c>
      <c r="D525" s="135">
        <v>3.0</v>
      </c>
      <c r="E525" s="135" t="s">
        <v>3286</v>
      </c>
      <c r="F525" s="135" t="s">
        <v>1545</v>
      </c>
      <c r="G525" s="135" t="s">
        <v>44</v>
      </c>
      <c r="H525" s="135" t="s">
        <v>2853</v>
      </c>
      <c r="I525" s="135" t="s">
        <v>47</v>
      </c>
      <c r="J525" s="135">
        <v>1.0</v>
      </c>
      <c r="K525" s="135" t="s">
        <v>3134</v>
      </c>
      <c r="L525" s="135">
        <v>3000.0</v>
      </c>
      <c r="M525" s="135">
        <v>1430.0</v>
      </c>
      <c r="N525" s="135">
        <v>120.0</v>
      </c>
      <c r="O525" s="135">
        <v>0.51</v>
      </c>
      <c r="P525" s="136">
        <v>0.0</v>
      </c>
      <c r="Q525" s="137">
        <v>1.275</v>
      </c>
      <c r="R525" s="136">
        <v>46106.0</v>
      </c>
      <c r="S525" s="135" t="s">
        <v>3278</v>
      </c>
      <c r="T525" s="136"/>
      <c r="U525" s="135" t="s">
        <v>2864</v>
      </c>
      <c r="V525" s="135" t="s">
        <v>2856</v>
      </c>
      <c r="W525" s="135" t="s">
        <v>3288</v>
      </c>
      <c r="X525" s="135"/>
      <c r="Y525" s="135"/>
      <c r="Z525" s="135" t="s">
        <v>2858</v>
      </c>
      <c r="AA525" s="135"/>
      <c r="AB525" s="135"/>
      <c r="AC525" s="135"/>
      <c r="AD525" s="135">
        <v>46111.0</v>
      </c>
      <c r="AE525" s="135"/>
      <c r="AF525" s="135"/>
      <c r="AG525" s="135"/>
    </row>
    <row r="526" ht="21.75" hidden="1" customHeight="1">
      <c r="A526" s="135">
        <v>522.0</v>
      </c>
      <c r="B526" s="135">
        <v>25045.0</v>
      </c>
      <c r="C526" s="135" t="s">
        <v>2817</v>
      </c>
      <c r="D526" s="135">
        <v>3.0</v>
      </c>
      <c r="E526" s="135" t="s">
        <v>3286</v>
      </c>
      <c r="F526" s="135" t="s">
        <v>1546</v>
      </c>
      <c r="G526" s="135" t="s">
        <v>44</v>
      </c>
      <c r="H526" s="135" t="s">
        <v>2853</v>
      </c>
      <c r="I526" s="135" t="s">
        <v>47</v>
      </c>
      <c r="J526" s="135">
        <v>1.0</v>
      </c>
      <c r="K526" s="135" t="s">
        <v>3134</v>
      </c>
      <c r="L526" s="135">
        <v>3000.0</v>
      </c>
      <c r="M526" s="135">
        <v>1430.0</v>
      </c>
      <c r="N526" s="135">
        <v>120.0</v>
      </c>
      <c r="O526" s="135">
        <v>0.51</v>
      </c>
      <c r="P526" s="136">
        <v>0.0</v>
      </c>
      <c r="Q526" s="137">
        <v>1.275</v>
      </c>
      <c r="R526" s="136">
        <v>46106.0</v>
      </c>
      <c r="S526" s="135" t="s">
        <v>3278</v>
      </c>
      <c r="T526" s="136"/>
      <c r="U526" s="135" t="s">
        <v>2864</v>
      </c>
      <c r="V526" s="135" t="s">
        <v>2856</v>
      </c>
      <c r="W526" s="135" t="s">
        <v>3288</v>
      </c>
      <c r="X526" s="135"/>
      <c r="Y526" s="135"/>
      <c r="Z526" s="135" t="s">
        <v>2858</v>
      </c>
      <c r="AA526" s="135"/>
      <c r="AB526" s="135"/>
      <c r="AC526" s="135"/>
      <c r="AD526" s="135">
        <v>46115.0</v>
      </c>
      <c r="AE526" s="135"/>
      <c r="AF526" s="135"/>
      <c r="AG526" s="135"/>
    </row>
    <row r="527" ht="21.75" hidden="1" customHeight="1">
      <c r="A527" s="135">
        <v>523.0</v>
      </c>
      <c r="B527" s="135">
        <v>25045.0</v>
      </c>
      <c r="C527" s="135" t="s">
        <v>2817</v>
      </c>
      <c r="D527" s="135">
        <v>3.0</v>
      </c>
      <c r="E527" s="135" t="s">
        <v>3286</v>
      </c>
      <c r="F527" s="135" t="s">
        <v>1547</v>
      </c>
      <c r="G527" s="135" t="s">
        <v>44</v>
      </c>
      <c r="H527" s="135" t="s">
        <v>2853</v>
      </c>
      <c r="I527" s="135" t="s">
        <v>47</v>
      </c>
      <c r="J527" s="135">
        <v>1.0</v>
      </c>
      <c r="K527" s="135" t="s">
        <v>3134</v>
      </c>
      <c r="L527" s="135">
        <v>3000.0</v>
      </c>
      <c r="M527" s="135">
        <v>1430.0</v>
      </c>
      <c r="N527" s="135">
        <v>120.0</v>
      </c>
      <c r="O527" s="135">
        <v>0.51</v>
      </c>
      <c r="P527" s="136">
        <v>0.0</v>
      </c>
      <c r="Q527" s="137">
        <v>1.275</v>
      </c>
      <c r="R527" s="136">
        <v>46106.0</v>
      </c>
      <c r="S527" s="135" t="s">
        <v>3278</v>
      </c>
      <c r="T527" s="136"/>
      <c r="U527" s="135" t="s">
        <v>2864</v>
      </c>
      <c r="V527" s="135" t="s">
        <v>2856</v>
      </c>
      <c r="W527" s="135" t="s">
        <v>3288</v>
      </c>
      <c r="X527" s="135"/>
      <c r="Y527" s="135"/>
      <c r="Z527" s="135" t="s">
        <v>2858</v>
      </c>
      <c r="AA527" s="135"/>
      <c r="AB527" s="135"/>
      <c r="AC527" s="135"/>
      <c r="AD527" s="135">
        <v>46114.0</v>
      </c>
      <c r="AE527" s="135"/>
      <c r="AF527" s="135"/>
      <c r="AG527" s="135"/>
    </row>
    <row r="528" ht="21.75" hidden="1" customHeight="1">
      <c r="A528" s="135">
        <v>524.0</v>
      </c>
      <c r="B528" s="135">
        <v>25045.0</v>
      </c>
      <c r="C528" s="135" t="s">
        <v>2817</v>
      </c>
      <c r="D528" s="135">
        <v>3.0</v>
      </c>
      <c r="E528" s="135" t="s">
        <v>3286</v>
      </c>
      <c r="F528" s="135" t="s">
        <v>1548</v>
      </c>
      <c r="G528" s="135" t="s">
        <v>44</v>
      </c>
      <c r="H528" s="135" t="s">
        <v>2853</v>
      </c>
      <c r="I528" s="135" t="s">
        <v>47</v>
      </c>
      <c r="J528" s="135">
        <v>1.0</v>
      </c>
      <c r="K528" s="135" t="s">
        <v>3134</v>
      </c>
      <c r="L528" s="135">
        <v>3000.0</v>
      </c>
      <c r="M528" s="135">
        <v>1430.0</v>
      </c>
      <c r="N528" s="135">
        <v>120.0</v>
      </c>
      <c r="O528" s="135">
        <v>0.51</v>
      </c>
      <c r="P528" s="136">
        <v>0.0</v>
      </c>
      <c r="Q528" s="137">
        <v>1.275</v>
      </c>
      <c r="R528" s="136">
        <v>46106.0</v>
      </c>
      <c r="S528" s="135" t="s">
        <v>3278</v>
      </c>
      <c r="T528" s="136"/>
      <c r="U528" s="135" t="s">
        <v>2864</v>
      </c>
      <c r="V528" s="135" t="s">
        <v>2856</v>
      </c>
      <c r="W528" s="135" t="s">
        <v>3288</v>
      </c>
      <c r="X528" s="135"/>
      <c r="Y528" s="135"/>
      <c r="Z528" s="135" t="s">
        <v>2858</v>
      </c>
      <c r="AA528" s="135"/>
      <c r="AB528" s="135"/>
      <c r="AC528" s="135"/>
      <c r="AD528" s="135">
        <v>46116.0</v>
      </c>
      <c r="AE528" s="135"/>
      <c r="AF528" s="135"/>
      <c r="AG528" s="135"/>
    </row>
    <row r="529" ht="21.75" hidden="1" customHeight="1">
      <c r="A529" s="135">
        <v>525.0</v>
      </c>
      <c r="B529" s="135">
        <v>25045.0</v>
      </c>
      <c r="C529" s="135" t="s">
        <v>2817</v>
      </c>
      <c r="D529" s="135">
        <v>3.0</v>
      </c>
      <c r="E529" s="135" t="s">
        <v>3286</v>
      </c>
      <c r="F529" s="135" t="s">
        <v>1549</v>
      </c>
      <c r="G529" s="135" t="s">
        <v>44</v>
      </c>
      <c r="H529" s="135" t="s">
        <v>2853</v>
      </c>
      <c r="I529" s="135" t="s">
        <v>47</v>
      </c>
      <c r="J529" s="135">
        <v>1.0</v>
      </c>
      <c r="K529" s="135" t="s">
        <v>3134</v>
      </c>
      <c r="L529" s="135">
        <v>3000.0</v>
      </c>
      <c r="M529" s="135">
        <v>1430.0</v>
      </c>
      <c r="N529" s="135">
        <v>120.0</v>
      </c>
      <c r="O529" s="135">
        <v>0.51</v>
      </c>
      <c r="P529" s="136">
        <v>0.0</v>
      </c>
      <c r="Q529" s="137">
        <v>1.275</v>
      </c>
      <c r="R529" s="136">
        <v>46106.0</v>
      </c>
      <c r="S529" s="135" t="s">
        <v>3278</v>
      </c>
      <c r="T529" s="136"/>
      <c r="U529" s="135" t="s">
        <v>2864</v>
      </c>
      <c r="V529" s="135" t="s">
        <v>2856</v>
      </c>
      <c r="W529" s="135" t="s">
        <v>3288</v>
      </c>
      <c r="X529" s="135"/>
      <c r="Y529" s="135"/>
      <c r="Z529" s="135" t="s">
        <v>2858</v>
      </c>
      <c r="AA529" s="135"/>
      <c r="AB529" s="135"/>
      <c r="AC529" s="135"/>
      <c r="AD529" s="135">
        <v>46118.0</v>
      </c>
      <c r="AE529" s="135"/>
      <c r="AF529" s="135"/>
      <c r="AG529" s="135"/>
    </row>
    <row r="530" ht="21.75" hidden="1" customHeight="1">
      <c r="A530" s="135">
        <v>526.0</v>
      </c>
      <c r="B530" s="135">
        <v>25045.0</v>
      </c>
      <c r="C530" s="135" t="s">
        <v>2817</v>
      </c>
      <c r="D530" s="135">
        <v>3.0</v>
      </c>
      <c r="E530" s="135" t="s">
        <v>3286</v>
      </c>
      <c r="F530" s="135" t="s">
        <v>1550</v>
      </c>
      <c r="G530" s="135" t="s">
        <v>44</v>
      </c>
      <c r="H530" s="135" t="s">
        <v>2853</v>
      </c>
      <c r="I530" s="135" t="s">
        <v>47</v>
      </c>
      <c r="J530" s="135">
        <v>1.0</v>
      </c>
      <c r="K530" s="135"/>
      <c r="L530" s="135">
        <v>2263.0</v>
      </c>
      <c r="M530" s="135">
        <v>1430.0</v>
      </c>
      <c r="N530" s="135">
        <v>120.0</v>
      </c>
      <c r="O530" s="135">
        <v>0.45</v>
      </c>
      <c r="P530" s="136">
        <v>0.0</v>
      </c>
      <c r="Q530" s="137">
        <v>1.125</v>
      </c>
      <c r="R530" s="136">
        <v>46106.0</v>
      </c>
      <c r="S530" s="135" t="s">
        <v>3278</v>
      </c>
      <c r="T530" s="136"/>
      <c r="U530" s="135" t="s">
        <v>2864</v>
      </c>
      <c r="V530" s="135" t="s">
        <v>2856</v>
      </c>
      <c r="W530" s="135" t="s">
        <v>3289</v>
      </c>
      <c r="X530" s="135"/>
      <c r="Y530" s="135"/>
      <c r="Z530" s="135" t="s">
        <v>2858</v>
      </c>
      <c r="AA530" s="135"/>
      <c r="AB530" s="135"/>
      <c r="AC530" s="135"/>
      <c r="AD530" s="135" t="e">
        <v>#N/A</v>
      </c>
      <c r="AE530" s="135"/>
      <c r="AF530" s="135"/>
      <c r="AG530" s="135"/>
    </row>
    <row r="531" ht="21.75" hidden="1" customHeight="1">
      <c r="A531" s="135">
        <v>527.0</v>
      </c>
      <c r="B531" s="135">
        <v>25045.0</v>
      </c>
      <c r="C531" s="135"/>
      <c r="D531" s="135">
        <v>3.0</v>
      </c>
      <c r="E531" s="135" t="s">
        <v>3286</v>
      </c>
      <c r="F531" s="135" t="s">
        <v>1551</v>
      </c>
      <c r="G531" s="135" t="s">
        <v>44</v>
      </c>
      <c r="H531" s="135" t="s">
        <v>2853</v>
      </c>
      <c r="I531" s="135" t="s">
        <v>47</v>
      </c>
      <c r="J531" s="135">
        <v>1.0</v>
      </c>
      <c r="K531" s="135"/>
      <c r="L531" s="135">
        <v>4612.0</v>
      </c>
      <c r="M531" s="135">
        <v>3200.0</v>
      </c>
      <c r="N531" s="135">
        <v>120.0</v>
      </c>
      <c r="O531" s="135">
        <v>2.01</v>
      </c>
      <c r="P531" s="136">
        <v>0.0</v>
      </c>
      <c r="Q531" s="137">
        <v>5.0249999999999995</v>
      </c>
      <c r="R531" s="136">
        <v>46106.0</v>
      </c>
      <c r="S531" s="135" t="s">
        <v>3278</v>
      </c>
      <c r="T531" s="136"/>
      <c r="U531" s="135" t="s">
        <v>2855</v>
      </c>
      <c r="V531" s="135" t="s">
        <v>2876</v>
      </c>
      <c r="W531" s="135" t="s">
        <v>3290</v>
      </c>
      <c r="X531" s="135"/>
      <c r="Y531" s="135"/>
      <c r="Z531" s="135" t="s">
        <v>2858</v>
      </c>
      <c r="AA531" s="135"/>
      <c r="AB531" s="135"/>
      <c r="AC531" s="135"/>
      <c r="AD531" s="135">
        <v>46114.0</v>
      </c>
      <c r="AE531" s="135"/>
      <c r="AF531" s="135"/>
      <c r="AG531" s="135"/>
    </row>
    <row r="532" ht="21.75" hidden="1" customHeight="1">
      <c r="A532" s="135">
        <v>528.0</v>
      </c>
      <c r="B532" s="135">
        <v>25045.0</v>
      </c>
      <c r="C532" s="135"/>
      <c r="D532" s="135">
        <v>3.0</v>
      </c>
      <c r="E532" s="135" t="s">
        <v>3286</v>
      </c>
      <c r="F532" s="135" t="s">
        <v>1552</v>
      </c>
      <c r="G532" s="135" t="s">
        <v>44</v>
      </c>
      <c r="H532" s="135" t="s">
        <v>2853</v>
      </c>
      <c r="I532" s="135" t="s">
        <v>47</v>
      </c>
      <c r="J532" s="135">
        <v>1.0</v>
      </c>
      <c r="K532" s="135" t="s">
        <v>3134</v>
      </c>
      <c r="L532" s="135">
        <v>4612.0</v>
      </c>
      <c r="M532" s="135">
        <v>2950.0</v>
      </c>
      <c r="N532" s="135">
        <v>120.0</v>
      </c>
      <c r="O532" s="135">
        <v>1.82</v>
      </c>
      <c r="P532" s="136">
        <v>0.0</v>
      </c>
      <c r="Q532" s="137">
        <v>4.55</v>
      </c>
      <c r="R532" s="136">
        <v>46106.0</v>
      </c>
      <c r="S532" s="135" t="s">
        <v>3278</v>
      </c>
      <c r="T532" s="136"/>
      <c r="U532" s="135" t="s">
        <v>2855</v>
      </c>
      <c r="V532" s="135" t="s">
        <v>2876</v>
      </c>
      <c r="W532" s="135" t="s">
        <v>3290</v>
      </c>
      <c r="X532" s="135"/>
      <c r="Y532" s="135"/>
      <c r="Z532" s="135" t="s">
        <v>2858</v>
      </c>
      <c r="AA532" s="135"/>
      <c r="AB532" s="135"/>
      <c r="AC532" s="135"/>
      <c r="AD532" s="135">
        <v>46116.0</v>
      </c>
      <c r="AE532" s="135"/>
      <c r="AF532" s="135"/>
      <c r="AG532" s="135"/>
    </row>
    <row r="533" ht="21.75" hidden="1" customHeight="1">
      <c r="A533" s="135">
        <v>529.0</v>
      </c>
      <c r="B533" s="135">
        <v>25045.0</v>
      </c>
      <c r="C533" s="135"/>
      <c r="D533" s="135">
        <v>3.0</v>
      </c>
      <c r="E533" s="135" t="s">
        <v>3286</v>
      </c>
      <c r="F533" s="135" t="s">
        <v>1553</v>
      </c>
      <c r="G533" s="135" t="s">
        <v>44</v>
      </c>
      <c r="H533" s="135" t="s">
        <v>2853</v>
      </c>
      <c r="I533" s="135" t="s">
        <v>47</v>
      </c>
      <c r="J533" s="135">
        <v>1.0</v>
      </c>
      <c r="K533" s="135" t="s">
        <v>3134</v>
      </c>
      <c r="L533" s="135">
        <v>4612.0</v>
      </c>
      <c r="M533" s="135">
        <v>2950.0</v>
      </c>
      <c r="N533" s="135">
        <v>120.0</v>
      </c>
      <c r="O533" s="135">
        <v>1.82</v>
      </c>
      <c r="P533" s="136">
        <v>0.0</v>
      </c>
      <c r="Q533" s="137">
        <v>4.55</v>
      </c>
      <c r="R533" s="136">
        <v>46106.0</v>
      </c>
      <c r="S533" s="135" t="s">
        <v>3278</v>
      </c>
      <c r="T533" s="136"/>
      <c r="U533" s="135" t="s">
        <v>2855</v>
      </c>
      <c r="V533" s="135" t="s">
        <v>2876</v>
      </c>
      <c r="W533" s="135" t="s">
        <v>3290</v>
      </c>
      <c r="X533" s="135"/>
      <c r="Y533" s="135"/>
      <c r="Z533" s="135" t="s">
        <v>2858</v>
      </c>
      <c r="AA533" s="135"/>
      <c r="AB533" s="135"/>
      <c r="AC533" s="135"/>
      <c r="AD533" s="135">
        <v>46119.0</v>
      </c>
      <c r="AE533" s="135"/>
      <c r="AF533" s="135"/>
      <c r="AG533" s="135"/>
    </row>
    <row r="534" ht="21.75" hidden="1" customHeight="1">
      <c r="A534" s="135">
        <v>530.0</v>
      </c>
      <c r="B534" s="135">
        <v>25045.0</v>
      </c>
      <c r="C534" s="135"/>
      <c r="D534" s="135">
        <v>3.0</v>
      </c>
      <c r="E534" s="135" t="s">
        <v>3286</v>
      </c>
      <c r="F534" s="135" t="s">
        <v>1554</v>
      </c>
      <c r="G534" s="135" t="s">
        <v>44</v>
      </c>
      <c r="H534" s="135" t="s">
        <v>2853</v>
      </c>
      <c r="I534" s="135" t="s">
        <v>47</v>
      </c>
      <c r="J534" s="135">
        <v>1.0</v>
      </c>
      <c r="K534" s="135" t="s">
        <v>3134</v>
      </c>
      <c r="L534" s="135">
        <v>4612.0</v>
      </c>
      <c r="M534" s="135">
        <v>2950.0</v>
      </c>
      <c r="N534" s="135">
        <v>120.0</v>
      </c>
      <c r="O534" s="135">
        <v>1.82</v>
      </c>
      <c r="P534" s="136">
        <v>0.0</v>
      </c>
      <c r="Q534" s="137">
        <v>4.55</v>
      </c>
      <c r="R534" s="136">
        <v>46106.0</v>
      </c>
      <c r="S534" s="135" t="s">
        <v>3278</v>
      </c>
      <c r="T534" s="136"/>
      <c r="U534" s="135" t="s">
        <v>2855</v>
      </c>
      <c r="V534" s="135" t="s">
        <v>2876</v>
      </c>
      <c r="W534" s="135" t="s">
        <v>3290</v>
      </c>
      <c r="X534" s="135"/>
      <c r="Y534" s="135"/>
      <c r="Z534" s="135" t="s">
        <v>2858</v>
      </c>
      <c r="AA534" s="135"/>
      <c r="AB534" s="135"/>
      <c r="AC534" s="135"/>
      <c r="AD534" s="135">
        <v>46120.0</v>
      </c>
      <c r="AE534" s="135"/>
      <c r="AF534" s="135"/>
      <c r="AG534" s="135"/>
    </row>
    <row r="535" ht="21.75" hidden="1" customHeight="1">
      <c r="A535" s="135">
        <v>531.0</v>
      </c>
      <c r="B535" s="135">
        <v>25045.0</v>
      </c>
      <c r="C535" s="135"/>
      <c r="D535" s="135">
        <v>3.0</v>
      </c>
      <c r="E535" s="135" t="s">
        <v>3286</v>
      </c>
      <c r="F535" s="135" t="s">
        <v>1555</v>
      </c>
      <c r="G535" s="135" t="s">
        <v>44</v>
      </c>
      <c r="H535" s="135" t="s">
        <v>2853</v>
      </c>
      <c r="I535" s="135" t="s">
        <v>47</v>
      </c>
      <c r="J535" s="135">
        <v>1.0</v>
      </c>
      <c r="K535" s="135" t="s">
        <v>3134</v>
      </c>
      <c r="L535" s="135">
        <v>4612.0</v>
      </c>
      <c r="M535" s="135">
        <v>2950.0</v>
      </c>
      <c r="N535" s="135">
        <v>120.0</v>
      </c>
      <c r="O535" s="135">
        <v>1.82</v>
      </c>
      <c r="P535" s="136">
        <v>0.0</v>
      </c>
      <c r="Q535" s="137">
        <v>4.55</v>
      </c>
      <c r="R535" s="136">
        <v>46106.0</v>
      </c>
      <c r="S535" s="135" t="s">
        <v>3278</v>
      </c>
      <c r="T535" s="136"/>
      <c r="U535" s="135" t="s">
        <v>2855</v>
      </c>
      <c r="V535" s="135" t="s">
        <v>2876</v>
      </c>
      <c r="W535" s="135" t="s">
        <v>3290</v>
      </c>
      <c r="X535" s="135"/>
      <c r="Y535" s="135"/>
      <c r="Z535" s="135" t="s">
        <v>2858</v>
      </c>
      <c r="AA535" s="135"/>
      <c r="AB535" s="135"/>
      <c r="AC535" s="135"/>
      <c r="AD535" s="135">
        <v>46121.0</v>
      </c>
      <c r="AE535" s="135"/>
      <c r="AF535" s="135"/>
      <c r="AG535" s="135"/>
    </row>
    <row r="536" ht="21.75" hidden="1" customHeight="1">
      <c r="A536" s="135">
        <v>532.0</v>
      </c>
      <c r="B536" s="135">
        <v>25045.0</v>
      </c>
      <c r="C536" s="135"/>
      <c r="D536" s="135">
        <v>3.0</v>
      </c>
      <c r="E536" s="135" t="s">
        <v>3286</v>
      </c>
      <c r="F536" s="135" t="s">
        <v>1556</v>
      </c>
      <c r="G536" s="135" t="s">
        <v>44</v>
      </c>
      <c r="H536" s="135" t="s">
        <v>2853</v>
      </c>
      <c r="I536" s="135" t="s">
        <v>47</v>
      </c>
      <c r="J536" s="135">
        <v>1.0</v>
      </c>
      <c r="K536" s="135" t="s">
        <v>3134</v>
      </c>
      <c r="L536" s="135">
        <v>5170.0</v>
      </c>
      <c r="M536" s="135">
        <v>3290.0</v>
      </c>
      <c r="N536" s="135">
        <v>120.0</v>
      </c>
      <c r="O536" s="135">
        <v>2.36</v>
      </c>
      <c r="P536" s="136">
        <v>0.0</v>
      </c>
      <c r="Q536" s="137">
        <v>5.8999999999999995</v>
      </c>
      <c r="R536" s="136">
        <v>46106.0</v>
      </c>
      <c r="S536" s="135" t="s">
        <v>3278</v>
      </c>
      <c r="T536" s="136"/>
      <c r="U536" s="135" t="s">
        <v>2855</v>
      </c>
      <c r="V536" s="135" t="s">
        <v>2878</v>
      </c>
      <c r="W536" s="135" t="s">
        <v>3283</v>
      </c>
      <c r="X536" s="135"/>
      <c r="Y536" s="135"/>
      <c r="Z536" s="135" t="s">
        <v>2858</v>
      </c>
      <c r="AA536" s="135"/>
      <c r="AB536" s="135"/>
      <c r="AC536" s="135"/>
      <c r="AD536" s="135">
        <v>46120.0</v>
      </c>
      <c r="AE536" s="135"/>
      <c r="AF536" s="135"/>
      <c r="AG536" s="135"/>
    </row>
    <row r="537" ht="21.75" hidden="1" customHeight="1">
      <c r="A537" s="135">
        <v>533.0</v>
      </c>
      <c r="B537" s="135">
        <v>25045.0</v>
      </c>
      <c r="C537" s="135"/>
      <c r="D537" s="135">
        <v>3.0</v>
      </c>
      <c r="E537" s="135" t="s">
        <v>3286</v>
      </c>
      <c r="F537" s="135" t="s">
        <v>1557</v>
      </c>
      <c r="G537" s="135" t="s">
        <v>44</v>
      </c>
      <c r="H537" s="135" t="s">
        <v>2853</v>
      </c>
      <c r="I537" s="135" t="s">
        <v>47</v>
      </c>
      <c r="J537" s="135">
        <v>1.0</v>
      </c>
      <c r="K537" s="135" t="s">
        <v>3134</v>
      </c>
      <c r="L537" s="135">
        <v>5170.0</v>
      </c>
      <c r="M537" s="135">
        <v>3290.0</v>
      </c>
      <c r="N537" s="135">
        <v>120.0</v>
      </c>
      <c r="O537" s="135">
        <v>2.36</v>
      </c>
      <c r="P537" s="136">
        <v>0.0</v>
      </c>
      <c r="Q537" s="137">
        <v>5.8999999999999995</v>
      </c>
      <c r="R537" s="136">
        <v>46106.0</v>
      </c>
      <c r="S537" s="135" t="s">
        <v>3278</v>
      </c>
      <c r="T537" s="136"/>
      <c r="U537" s="135" t="s">
        <v>2855</v>
      </c>
      <c r="V537" s="135" t="s">
        <v>2878</v>
      </c>
      <c r="W537" s="135" t="s">
        <v>3283</v>
      </c>
      <c r="X537" s="135"/>
      <c r="Y537" s="135"/>
      <c r="Z537" s="135" t="s">
        <v>2858</v>
      </c>
      <c r="AA537" s="135"/>
      <c r="AB537" s="135"/>
      <c r="AC537" s="135"/>
      <c r="AD537" s="135">
        <v>46121.0</v>
      </c>
      <c r="AE537" s="135"/>
      <c r="AF537" s="135"/>
      <c r="AG537" s="135"/>
    </row>
    <row r="538" ht="21.75" hidden="1" customHeight="1">
      <c r="A538" s="135">
        <v>534.0</v>
      </c>
      <c r="B538" s="135">
        <v>25045.0</v>
      </c>
      <c r="C538" s="135"/>
      <c r="D538" s="135">
        <v>3.0</v>
      </c>
      <c r="E538" s="135" t="s">
        <v>3286</v>
      </c>
      <c r="F538" s="135" t="s">
        <v>1558</v>
      </c>
      <c r="G538" s="135" t="s">
        <v>44</v>
      </c>
      <c r="H538" s="135" t="s">
        <v>2853</v>
      </c>
      <c r="I538" s="135" t="s">
        <v>47</v>
      </c>
      <c r="J538" s="135">
        <v>1.0</v>
      </c>
      <c r="K538" s="135"/>
      <c r="L538" s="135">
        <v>5185.0</v>
      </c>
      <c r="M538" s="135">
        <v>3290.0</v>
      </c>
      <c r="N538" s="135">
        <v>120.0</v>
      </c>
      <c r="O538" s="135">
        <v>2.36</v>
      </c>
      <c r="P538" s="136">
        <v>0.0</v>
      </c>
      <c r="Q538" s="137">
        <v>5.8999999999999995</v>
      </c>
      <c r="R538" s="136">
        <v>46106.0</v>
      </c>
      <c r="S538" s="135" t="s">
        <v>3278</v>
      </c>
      <c r="T538" s="136"/>
      <c r="U538" s="135" t="s">
        <v>2855</v>
      </c>
      <c r="V538" s="135" t="s">
        <v>2878</v>
      </c>
      <c r="W538" s="135" t="s">
        <v>3291</v>
      </c>
      <c r="X538" s="135"/>
      <c r="Y538" s="135"/>
      <c r="Z538" s="135" t="s">
        <v>2858</v>
      </c>
      <c r="AA538" s="135"/>
      <c r="AB538" s="135"/>
      <c r="AC538" s="135"/>
      <c r="AD538" s="135">
        <v>46115.0</v>
      </c>
      <c r="AE538" s="135"/>
      <c r="AF538" s="135"/>
      <c r="AG538" s="135"/>
    </row>
    <row r="539" ht="21.75" hidden="1" customHeight="1">
      <c r="A539" s="135">
        <v>535.0</v>
      </c>
      <c r="B539" s="135">
        <v>25045.0</v>
      </c>
      <c r="C539" s="135"/>
      <c r="D539" s="135">
        <v>3.0</v>
      </c>
      <c r="E539" s="135" t="s">
        <v>3286</v>
      </c>
      <c r="F539" s="135" t="s">
        <v>1559</v>
      </c>
      <c r="G539" s="135" t="s">
        <v>44</v>
      </c>
      <c r="H539" s="135" t="s">
        <v>2853</v>
      </c>
      <c r="I539" s="135" t="s">
        <v>47</v>
      </c>
      <c r="J539" s="135">
        <v>1.0</v>
      </c>
      <c r="K539" s="135"/>
      <c r="L539" s="135">
        <v>1780.0</v>
      </c>
      <c r="M539" s="135">
        <v>1580.0</v>
      </c>
      <c r="N539" s="135">
        <v>120.0</v>
      </c>
      <c r="O539" s="135">
        <v>0.42</v>
      </c>
      <c r="P539" s="136">
        <v>0.0</v>
      </c>
      <c r="Q539" s="137">
        <v>1.05</v>
      </c>
      <c r="R539" s="136">
        <v>46106.0</v>
      </c>
      <c r="S539" s="135" t="s">
        <v>3278</v>
      </c>
      <c r="T539" s="136"/>
      <c r="U539" s="135" t="s">
        <v>2864</v>
      </c>
      <c r="V539" s="135" t="s">
        <v>2873</v>
      </c>
      <c r="W539" s="135" t="s">
        <v>2901</v>
      </c>
      <c r="X539" s="135"/>
      <c r="Y539" s="135"/>
      <c r="Z539" s="135" t="s">
        <v>2858</v>
      </c>
      <c r="AA539" s="135"/>
      <c r="AB539" s="135"/>
      <c r="AC539" s="135"/>
      <c r="AD539" s="135">
        <v>46116.0</v>
      </c>
      <c r="AE539" s="135"/>
      <c r="AF539" s="135"/>
      <c r="AG539" s="135"/>
    </row>
    <row r="540" ht="21.75" hidden="1" customHeight="1">
      <c r="A540" s="135">
        <v>536.0</v>
      </c>
      <c r="B540" s="135">
        <v>25045.0</v>
      </c>
      <c r="C540" s="135"/>
      <c r="D540" s="135">
        <v>3.0</v>
      </c>
      <c r="E540" s="135" t="s">
        <v>3286</v>
      </c>
      <c r="F540" s="135" t="s">
        <v>1560</v>
      </c>
      <c r="G540" s="135" t="s">
        <v>44</v>
      </c>
      <c r="H540" s="135" t="s">
        <v>2853</v>
      </c>
      <c r="I540" s="135" t="s">
        <v>47</v>
      </c>
      <c r="J540" s="135">
        <v>1.0</v>
      </c>
      <c r="K540" s="135"/>
      <c r="L540" s="135">
        <v>3676.0</v>
      </c>
      <c r="M540" s="135">
        <v>1000.0</v>
      </c>
      <c r="N540" s="135">
        <v>120.0</v>
      </c>
      <c r="O540" s="135">
        <v>0.71</v>
      </c>
      <c r="P540" s="136">
        <v>0.0</v>
      </c>
      <c r="Q540" s="137">
        <v>1.775</v>
      </c>
      <c r="R540" s="136">
        <v>46106.0</v>
      </c>
      <c r="S540" s="135" t="s">
        <v>3278</v>
      </c>
      <c r="T540" s="136"/>
      <c r="U540" s="135" t="s">
        <v>2950</v>
      </c>
      <c r="V540" s="135" t="s">
        <v>2951</v>
      </c>
      <c r="W540" s="135" t="s">
        <v>3292</v>
      </c>
      <c r="X540" s="135"/>
      <c r="Y540" s="135"/>
      <c r="Z540" s="135" t="s">
        <v>2858</v>
      </c>
      <c r="AA540" s="135"/>
      <c r="AB540" s="135"/>
      <c r="AC540" s="135"/>
      <c r="AD540" s="135">
        <v>46111.0</v>
      </c>
      <c r="AE540" s="135"/>
      <c r="AF540" s="135"/>
      <c r="AG540" s="135"/>
    </row>
    <row r="541" ht="21.75" hidden="1" customHeight="1">
      <c r="A541" s="135">
        <v>537.0</v>
      </c>
      <c r="B541" s="135">
        <v>25045.0</v>
      </c>
      <c r="C541" s="135"/>
      <c r="D541" s="135">
        <v>3.0</v>
      </c>
      <c r="E541" s="135" t="s">
        <v>3286</v>
      </c>
      <c r="F541" s="135" t="s">
        <v>1561</v>
      </c>
      <c r="G541" s="135" t="s">
        <v>44</v>
      </c>
      <c r="H541" s="135" t="s">
        <v>2853</v>
      </c>
      <c r="I541" s="135" t="s">
        <v>47</v>
      </c>
      <c r="J541" s="135">
        <v>1.0</v>
      </c>
      <c r="K541" s="135"/>
      <c r="L541" s="135">
        <v>6050.0</v>
      </c>
      <c r="M541" s="135">
        <v>1000.0</v>
      </c>
      <c r="N541" s="135">
        <v>120.0</v>
      </c>
      <c r="O541" s="135">
        <v>0.97</v>
      </c>
      <c r="P541" s="136">
        <v>0.0</v>
      </c>
      <c r="Q541" s="137">
        <v>2.425</v>
      </c>
      <c r="R541" s="136">
        <v>46106.0</v>
      </c>
      <c r="S541" s="135" t="s">
        <v>3278</v>
      </c>
      <c r="T541" s="136"/>
      <c r="U541" s="135" t="s">
        <v>2972</v>
      </c>
      <c r="V541" s="135" t="s">
        <v>2951</v>
      </c>
      <c r="W541" s="135" t="s">
        <v>3293</v>
      </c>
      <c r="X541" s="135"/>
      <c r="Y541" s="135"/>
      <c r="Z541" s="135" t="s">
        <v>2858</v>
      </c>
      <c r="AA541" s="135"/>
      <c r="AB541" s="135"/>
      <c r="AC541" s="135"/>
      <c r="AD541" s="135">
        <v>46111.0</v>
      </c>
      <c r="AE541" s="135"/>
      <c r="AF541" s="135"/>
      <c r="AG541" s="135"/>
    </row>
    <row r="542" ht="21.75" hidden="1" customHeight="1">
      <c r="A542" s="135">
        <v>538.0</v>
      </c>
      <c r="B542" s="135">
        <v>25045.0</v>
      </c>
      <c r="C542" s="135" t="s">
        <v>2817</v>
      </c>
      <c r="D542" s="135">
        <v>3.0</v>
      </c>
      <c r="E542" s="135" t="s">
        <v>3294</v>
      </c>
      <c r="F542" s="135" t="s">
        <v>1568</v>
      </c>
      <c r="G542" s="135" t="s">
        <v>44</v>
      </c>
      <c r="H542" s="135" t="s">
        <v>2853</v>
      </c>
      <c r="I542" s="135" t="s">
        <v>48</v>
      </c>
      <c r="J542" s="135">
        <v>1.0</v>
      </c>
      <c r="K542" s="135"/>
      <c r="L542" s="135">
        <v>3124.0</v>
      </c>
      <c r="M542" s="135">
        <v>1350.0</v>
      </c>
      <c r="N542" s="135">
        <v>120.0</v>
      </c>
      <c r="O542" s="135">
        <v>0.513</v>
      </c>
      <c r="P542" s="136">
        <v>0.0</v>
      </c>
      <c r="Q542" s="137">
        <v>1.2825</v>
      </c>
      <c r="R542" s="136">
        <v>46106.0</v>
      </c>
      <c r="S542" s="135" t="s">
        <v>3278</v>
      </c>
      <c r="T542" s="136"/>
      <c r="U542" s="135" t="s">
        <v>2864</v>
      </c>
      <c r="V542" s="135" t="s">
        <v>2856</v>
      </c>
      <c r="W542" s="135" t="s">
        <v>3295</v>
      </c>
      <c r="X542" s="135"/>
      <c r="Y542" s="135"/>
      <c r="Z542" s="135" t="s">
        <v>2858</v>
      </c>
      <c r="AA542" s="135"/>
      <c r="AB542" s="135"/>
      <c r="AC542" s="135"/>
      <c r="AD542" s="135" t="e">
        <v>#N/A</v>
      </c>
      <c r="AE542" s="135"/>
      <c r="AF542" s="135"/>
      <c r="AG542" s="135"/>
    </row>
    <row r="543" ht="21.75" hidden="1" customHeight="1">
      <c r="A543" s="135">
        <v>539.0</v>
      </c>
      <c r="B543" s="135">
        <v>25045.0</v>
      </c>
      <c r="C543" s="135" t="s">
        <v>2817</v>
      </c>
      <c r="D543" s="135">
        <v>3.0</v>
      </c>
      <c r="E543" s="135" t="s">
        <v>3294</v>
      </c>
      <c r="F543" s="135" t="s">
        <v>1569</v>
      </c>
      <c r="G543" s="135" t="s">
        <v>44</v>
      </c>
      <c r="H543" s="135" t="s">
        <v>2853</v>
      </c>
      <c r="I543" s="135" t="s">
        <v>48</v>
      </c>
      <c r="J543" s="135">
        <v>1.0</v>
      </c>
      <c r="K543" s="135" t="s">
        <v>3134</v>
      </c>
      <c r="L543" s="135">
        <v>3112.0</v>
      </c>
      <c r="M543" s="135">
        <v>1350.0</v>
      </c>
      <c r="N543" s="135">
        <v>120.0</v>
      </c>
      <c r="O543" s="135">
        <v>0.51</v>
      </c>
      <c r="P543" s="136">
        <v>0.0</v>
      </c>
      <c r="Q543" s="137">
        <v>1.275</v>
      </c>
      <c r="R543" s="136">
        <v>46106.0</v>
      </c>
      <c r="S543" s="135" t="s">
        <v>3278</v>
      </c>
      <c r="T543" s="136"/>
      <c r="U543" s="135" t="s">
        <v>2864</v>
      </c>
      <c r="V543" s="135" t="s">
        <v>2856</v>
      </c>
      <c r="W543" s="135" t="s">
        <v>3296</v>
      </c>
      <c r="X543" s="135"/>
      <c r="Y543" s="135"/>
      <c r="Z543" s="135" t="s">
        <v>2858</v>
      </c>
      <c r="AA543" s="135"/>
      <c r="AB543" s="135"/>
      <c r="AC543" s="135"/>
      <c r="AD543" s="135">
        <v>46114.0</v>
      </c>
      <c r="AE543" s="135"/>
      <c r="AF543" s="135"/>
      <c r="AG543" s="135"/>
    </row>
    <row r="544" ht="21.75" hidden="1" customHeight="1">
      <c r="A544" s="135">
        <v>540.0</v>
      </c>
      <c r="B544" s="135">
        <v>25045.0</v>
      </c>
      <c r="C544" s="135" t="s">
        <v>2817</v>
      </c>
      <c r="D544" s="135">
        <v>3.0</v>
      </c>
      <c r="E544" s="135" t="s">
        <v>3294</v>
      </c>
      <c r="F544" s="135" t="s">
        <v>1570</v>
      </c>
      <c r="G544" s="135" t="s">
        <v>44</v>
      </c>
      <c r="H544" s="135" t="s">
        <v>2853</v>
      </c>
      <c r="I544" s="135" t="s">
        <v>48</v>
      </c>
      <c r="J544" s="135">
        <v>1.0</v>
      </c>
      <c r="K544" s="135" t="s">
        <v>3134</v>
      </c>
      <c r="L544" s="135">
        <v>3112.0</v>
      </c>
      <c r="M544" s="135">
        <v>1350.0</v>
      </c>
      <c r="N544" s="135">
        <v>120.0</v>
      </c>
      <c r="O544" s="135">
        <v>0.51</v>
      </c>
      <c r="P544" s="136">
        <v>0.0</v>
      </c>
      <c r="Q544" s="137">
        <v>1.275</v>
      </c>
      <c r="R544" s="136">
        <v>46106.0</v>
      </c>
      <c r="S544" s="135" t="s">
        <v>3278</v>
      </c>
      <c r="T544" s="136"/>
      <c r="U544" s="135" t="s">
        <v>2864</v>
      </c>
      <c r="V544" s="135" t="s">
        <v>2856</v>
      </c>
      <c r="W544" s="135" t="s">
        <v>3296</v>
      </c>
      <c r="X544" s="135"/>
      <c r="Y544" s="135"/>
      <c r="Z544" s="135" t="s">
        <v>2858</v>
      </c>
      <c r="AA544" s="135"/>
      <c r="AB544" s="135"/>
      <c r="AC544" s="135"/>
      <c r="AD544" s="135">
        <v>46115.0</v>
      </c>
      <c r="AE544" s="135"/>
      <c r="AF544" s="135"/>
      <c r="AG544" s="135"/>
    </row>
    <row r="545" ht="21.75" hidden="1" customHeight="1">
      <c r="A545" s="135">
        <v>541.0</v>
      </c>
      <c r="B545" s="135">
        <v>25045.0</v>
      </c>
      <c r="C545" s="135" t="s">
        <v>2817</v>
      </c>
      <c r="D545" s="135">
        <v>3.0</v>
      </c>
      <c r="E545" s="135" t="s">
        <v>3294</v>
      </c>
      <c r="F545" s="135" t="s">
        <v>1571</v>
      </c>
      <c r="G545" s="135" t="s">
        <v>44</v>
      </c>
      <c r="H545" s="135" t="s">
        <v>2853</v>
      </c>
      <c r="I545" s="135" t="s">
        <v>48</v>
      </c>
      <c r="J545" s="135">
        <v>1.0</v>
      </c>
      <c r="K545" s="135" t="s">
        <v>3134</v>
      </c>
      <c r="L545" s="135">
        <v>3112.0</v>
      </c>
      <c r="M545" s="135">
        <v>1350.0</v>
      </c>
      <c r="N545" s="135">
        <v>120.0</v>
      </c>
      <c r="O545" s="135">
        <v>0.51</v>
      </c>
      <c r="P545" s="136">
        <v>0.0</v>
      </c>
      <c r="Q545" s="137">
        <v>1.275</v>
      </c>
      <c r="R545" s="136">
        <v>46106.0</v>
      </c>
      <c r="S545" s="135" t="s">
        <v>3278</v>
      </c>
      <c r="T545" s="136"/>
      <c r="U545" s="135" t="s">
        <v>2864</v>
      </c>
      <c r="V545" s="135" t="s">
        <v>2856</v>
      </c>
      <c r="W545" s="135" t="s">
        <v>3296</v>
      </c>
      <c r="X545" s="135"/>
      <c r="Y545" s="135"/>
      <c r="Z545" s="135" t="s">
        <v>2858</v>
      </c>
      <c r="AA545" s="135"/>
      <c r="AB545" s="135"/>
      <c r="AC545" s="135"/>
      <c r="AD545" s="135" t="e">
        <v>#N/A</v>
      </c>
      <c r="AE545" s="135"/>
      <c r="AF545" s="135"/>
      <c r="AG545" s="135"/>
    </row>
    <row r="546" ht="21.75" hidden="1" customHeight="1">
      <c r="A546" s="135">
        <v>542.0</v>
      </c>
      <c r="B546" s="135">
        <v>25045.0</v>
      </c>
      <c r="C546" s="135" t="s">
        <v>2817</v>
      </c>
      <c r="D546" s="135">
        <v>3.0</v>
      </c>
      <c r="E546" s="135" t="s">
        <v>3294</v>
      </c>
      <c r="F546" s="135" t="s">
        <v>1572</v>
      </c>
      <c r="G546" s="135" t="s">
        <v>44</v>
      </c>
      <c r="H546" s="135" t="s">
        <v>2853</v>
      </c>
      <c r="I546" s="135" t="s">
        <v>48</v>
      </c>
      <c r="J546" s="135">
        <v>1.0</v>
      </c>
      <c r="K546" s="135" t="s">
        <v>3134</v>
      </c>
      <c r="L546" s="135">
        <v>3112.0</v>
      </c>
      <c r="M546" s="135">
        <v>1350.0</v>
      </c>
      <c r="N546" s="135">
        <v>120.0</v>
      </c>
      <c r="O546" s="135">
        <v>0.51</v>
      </c>
      <c r="P546" s="136">
        <v>0.0</v>
      </c>
      <c r="Q546" s="137">
        <v>1.275</v>
      </c>
      <c r="R546" s="136">
        <v>46106.0</v>
      </c>
      <c r="S546" s="135" t="s">
        <v>3278</v>
      </c>
      <c r="T546" s="136"/>
      <c r="U546" s="135" t="s">
        <v>2864</v>
      </c>
      <c r="V546" s="135" t="s">
        <v>2856</v>
      </c>
      <c r="W546" s="135" t="s">
        <v>3296</v>
      </c>
      <c r="X546" s="135"/>
      <c r="Y546" s="135"/>
      <c r="Z546" s="135" t="s">
        <v>2858</v>
      </c>
      <c r="AA546" s="135"/>
      <c r="AB546" s="135"/>
      <c r="AC546" s="135"/>
      <c r="AD546" s="135" t="e">
        <v>#N/A</v>
      </c>
      <c r="AE546" s="135"/>
      <c r="AF546" s="135"/>
      <c r="AG546" s="135"/>
    </row>
    <row r="547" ht="21.75" hidden="1" customHeight="1">
      <c r="A547" s="135">
        <v>543.0</v>
      </c>
      <c r="B547" s="135">
        <v>25045.0</v>
      </c>
      <c r="C547" s="135" t="s">
        <v>2817</v>
      </c>
      <c r="D547" s="135">
        <v>3.0</v>
      </c>
      <c r="E547" s="135" t="s">
        <v>3294</v>
      </c>
      <c r="F547" s="135" t="s">
        <v>1573</v>
      </c>
      <c r="G547" s="135" t="s">
        <v>44</v>
      </c>
      <c r="H547" s="135" t="s">
        <v>2853</v>
      </c>
      <c r="I547" s="135" t="s">
        <v>48</v>
      </c>
      <c r="J547" s="135">
        <v>1.0</v>
      </c>
      <c r="K547" s="135" t="s">
        <v>3134</v>
      </c>
      <c r="L547" s="135">
        <v>3112.0</v>
      </c>
      <c r="M547" s="135">
        <v>1350.0</v>
      </c>
      <c r="N547" s="135">
        <v>120.0</v>
      </c>
      <c r="O547" s="135">
        <v>0.51</v>
      </c>
      <c r="P547" s="136">
        <v>0.0</v>
      </c>
      <c r="Q547" s="137">
        <v>1.275</v>
      </c>
      <c r="R547" s="136">
        <v>46106.0</v>
      </c>
      <c r="S547" s="135" t="s">
        <v>3278</v>
      </c>
      <c r="T547" s="136"/>
      <c r="U547" s="135" t="s">
        <v>2864</v>
      </c>
      <c r="V547" s="135" t="s">
        <v>2856</v>
      </c>
      <c r="W547" s="135" t="s">
        <v>3296</v>
      </c>
      <c r="X547" s="135"/>
      <c r="Y547" s="135"/>
      <c r="Z547" s="135" t="s">
        <v>2858</v>
      </c>
      <c r="AA547" s="135"/>
      <c r="AB547" s="135"/>
      <c r="AC547" s="135"/>
      <c r="AD547" s="135" t="e">
        <v>#N/A</v>
      </c>
      <c r="AE547" s="135"/>
      <c r="AF547" s="135"/>
      <c r="AG547" s="135"/>
    </row>
    <row r="548" ht="21.75" hidden="1" customHeight="1">
      <c r="A548" s="135">
        <v>544.0</v>
      </c>
      <c r="B548" s="135">
        <v>25045.0</v>
      </c>
      <c r="C548" s="135" t="s">
        <v>2817</v>
      </c>
      <c r="D548" s="135">
        <v>3.0</v>
      </c>
      <c r="E548" s="135" t="s">
        <v>3294</v>
      </c>
      <c r="F548" s="135" t="s">
        <v>1574</v>
      </c>
      <c r="G548" s="135" t="s">
        <v>44</v>
      </c>
      <c r="H548" s="135" t="s">
        <v>2853</v>
      </c>
      <c r="I548" s="135" t="s">
        <v>48</v>
      </c>
      <c r="J548" s="135">
        <v>1.0</v>
      </c>
      <c r="K548" s="135" t="s">
        <v>3134</v>
      </c>
      <c r="L548" s="135">
        <v>3112.0</v>
      </c>
      <c r="M548" s="135">
        <v>1350.0</v>
      </c>
      <c r="N548" s="135">
        <v>120.0</v>
      </c>
      <c r="O548" s="135">
        <v>0.51</v>
      </c>
      <c r="P548" s="136">
        <v>0.0</v>
      </c>
      <c r="Q548" s="137">
        <v>1.275</v>
      </c>
      <c r="R548" s="136">
        <v>46106.0</v>
      </c>
      <c r="S548" s="135" t="s">
        <v>3278</v>
      </c>
      <c r="T548" s="136"/>
      <c r="U548" s="135" t="s">
        <v>2864</v>
      </c>
      <c r="V548" s="135" t="s">
        <v>2856</v>
      </c>
      <c r="W548" s="135" t="s">
        <v>3296</v>
      </c>
      <c r="X548" s="135"/>
      <c r="Y548" s="135"/>
      <c r="Z548" s="135" t="s">
        <v>2858</v>
      </c>
      <c r="AA548" s="135"/>
      <c r="AB548" s="135"/>
      <c r="AC548" s="135"/>
      <c r="AD548" s="135" t="e">
        <v>#N/A</v>
      </c>
      <c r="AE548" s="135"/>
      <c r="AF548" s="135"/>
      <c r="AG548" s="135"/>
    </row>
    <row r="549" ht="21.75" hidden="1" customHeight="1">
      <c r="A549" s="135">
        <v>545.0</v>
      </c>
      <c r="B549" s="135">
        <v>25045.0</v>
      </c>
      <c r="C549" s="135" t="s">
        <v>2817</v>
      </c>
      <c r="D549" s="135">
        <v>3.0</v>
      </c>
      <c r="E549" s="135" t="s">
        <v>3294</v>
      </c>
      <c r="F549" s="135" t="s">
        <v>1575</v>
      </c>
      <c r="G549" s="135" t="s">
        <v>44</v>
      </c>
      <c r="H549" s="135" t="s">
        <v>2853</v>
      </c>
      <c r="I549" s="135" t="s">
        <v>48</v>
      </c>
      <c r="J549" s="135">
        <v>1.0</v>
      </c>
      <c r="K549" s="135" t="s">
        <v>3134</v>
      </c>
      <c r="L549" s="135">
        <v>3112.0</v>
      </c>
      <c r="M549" s="135">
        <v>1350.0</v>
      </c>
      <c r="N549" s="135">
        <v>120.0</v>
      </c>
      <c r="O549" s="135">
        <v>0.51</v>
      </c>
      <c r="P549" s="136">
        <v>0.0</v>
      </c>
      <c r="Q549" s="137">
        <v>1.275</v>
      </c>
      <c r="R549" s="136">
        <v>46106.0</v>
      </c>
      <c r="S549" s="135" t="s">
        <v>3278</v>
      </c>
      <c r="T549" s="136"/>
      <c r="U549" s="135" t="s">
        <v>2864</v>
      </c>
      <c r="V549" s="135" t="s">
        <v>2856</v>
      </c>
      <c r="W549" s="135" t="s">
        <v>3297</v>
      </c>
      <c r="X549" s="135"/>
      <c r="Y549" s="135"/>
      <c r="Z549" s="135" t="s">
        <v>2858</v>
      </c>
      <c r="AA549" s="135"/>
      <c r="AB549" s="135"/>
      <c r="AC549" s="135"/>
      <c r="AD549" s="135" t="e">
        <v>#N/A</v>
      </c>
      <c r="AE549" s="135"/>
      <c r="AF549" s="135"/>
      <c r="AG549" s="135"/>
    </row>
    <row r="550" ht="21.75" hidden="1" customHeight="1">
      <c r="A550" s="135">
        <v>546.0</v>
      </c>
      <c r="B550" s="135">
        <v>25045.0</v>
      </c>
      <c r="C550" s="135" t="s">
        <v>2817</v>
      </c>
      <c r="D550" s="135">
        <v>3.0</v>
      </c>
      <c r="E550" s="135" t="s">
        <v>3294</v>
      </c>
      <c r="F550" s="135" t="s">
        <v>1576</v>
      </c>
      <c r="G550" s="135" t="s">
        <v>44</v>
      </c>
      <c r="H550" s="135" t="s">
        <v>2853</v>
      </c>
      <c r="I550" s="135" t="s">
        <v>48</v>
      </c>
      <c r="J550" s="135">
        <v>1.0</v>
      </c>
      <c r="K550" s="135" t="s">
        <v>3134</v>
      </c>
      <c r="L550" s="135">
        <v>3112.0</v>
      </c>
      <c r="M550" s="135">
        <v>1350.0</v>
      </c>
      <c r="N550" s="135">
        <v>120.0</v>
      </c>
      <c r="O550" s="135">
        <v>0.51</v>
      </c>
      <c r="P550" s="136">
        <v>0.0</v>
      </c>
      <c r="Q550" s="137">
        <v>1.275</v>
      </c>
      <c r="R550" s="136">
        <v>46106.0</v>
      </c>
      <c r="S550" s="135" t="s">
        <v>3278</v>
      </c>
      <c r="T550" s="136"/>
      <c r="U550" s="135" t="s">
        <v>2864</v>
      </c>
      <c r="V550" s="135" t="s">
        <v>2856</v>
      </c>
      <c r="W550" s="135" t="s">
        <v>3297</v>
      </c>
      <c r="X550" s="135"/>
      <c r="Y550" s="135"/>
      <c r="Z550" s="135" t="s">
        <v>2858</v>
      </c>
      <c r="AA550" s="135"/>
      <c r="AB550" s="135"/>
      <c r="AC550" s="135"/>
      <c r="AD550" s="135" t="e">
        <v>#N/A</v>
      </c>
      <c r="AE550" s="135"/>
      <c r="AF550" s="135"/>
      <c r="AG550" s="135"/>
    </row>
    <row r="551" ht="21.75" hidden="1" customHeight="1">
      <c r="A551" s="135">
        <v>547.0</v>
      </c>
      <c r="B551" s="135">
        <v>25045.0</v>
      </c>
      <c r="C551" s="135" t="s">
        <v>2817</v>
      </c>
      <c r="D551" s="135">
        <v>3.0</v>
      </c>
      <c r="E551" s="135" t="s">
        <v>3294</v>
      </c>
      <c r="F551" s="135" t="s">
        <v>1577</v>
      </c>
      <c r="G551" s="135" t="s">
        <v>44</v>
      </c>
      <c r="H551" s="135" t="s">
        <v>2853</v>
      </c>
      <c r="I551" s="135" t="s">
        <v>48</v>
      </c>
      <c r="J551" s="135">
        <v>1.0</v>
      </c>
      <c r="K551" s="135" t="s">
        <v>3134</v>
      </c>
      <c r="L551" s="135">
        <v>3112.0</v>
      </c>
      <c r="M551" s="135">
        <v>1350.0</v>
      </c>
      <c r="N551" s="135">
        <v>120.0</v>
      </c>
      <c r="O551" s="135">
        <v>0.51</v>
      </c>
      <c r="P551" s="136">
        <v>0.0</v>
      </c>
      <c r="Q551" s="137">
        <v>1.275</v>
      </c>
      <c r="R551" s="136">
        <v>46106.0</v>
      </c>
      <c r="S551" s="135" t="s">
        <v>3278</v>
      </c>
      <c r="T551" s="136"/>
      <c r="U551" s="135" t="s">
        <v>2864</v>
      </c>
      <c r="V551" s="135" t="s">
        <v>2856</v>
      </c>
      <c r="W551" s="135" t="s">
        <v>3297</v>
      </c>
      <c r="X551" s="135"/>
      <c r="Y551" s="135"/>
      <c r="Z551" s="135" t="s">
        <v>2858</v>
      </c>
      <c r="AA551" s="135"/>
      <c r="AB551" s="135"/>
      <c r="AC551" s="135"/>
      <c r="AD551" s="135" t="e">
        <v>#N/A</v>
      </c>
      <c r="AE551" s="135"/>
      <c r="AF551" s="135"/>
      <c r="AG551" s="135"/>
    </row>
    <row r="552" ht="21.75" hidden="1" customHeight="1">
      <c r="A552" s="135">
        <v>548.0</v>
      </c>
      <c r="B552" s="135">
        <v>25045.0</v>
      </c>
      <c r="C552" s="135" t="s">
        <v>2817</v>
      </c>
      <c r="D552" s="135">
        <v>3.0</v>
      </c>
      <c r="E552" s="135" t="s">
        <v>3294</v>
      </c>
      <c r="F552" s="135" t="s">
        <v>1578</v>
      </c>
      <c r="G552" s="135" t="s">
        <v>44</v>
      </c>
      <c r="H552" s="135" t="s">
        <v>2853</v>
      </c>
      <c r="I552" s="135" t="s">
        <v>48</v>
      </c>
      <c r="J552" s="135">
        <v>1.0</v>
      </c>
      <c r="K552" s="135" t="s">
        <v>3134</v>
      </c>
      <c r="L552" s="135">
        <v>3112.0</v>
      </c>
      <c r="M552" s="135">
        <v>1350.0</v>
      </c>
      <c r="N552" s="135">
        <v>120.0</v>
      </c>
      <c r="O552" s="135">
        <v>0.51</v>
      </c>
      <c r="P552" s="136">
        <v>0.0</v>
      </c>
      <c r="Q552" s="137">
        <v>1.275</v>
      </c>
      <c r="R552" s="136">
        <v>46106.0</v>
      </c>
      <c r="S552" s="135" t="s">
        <v>3278</v>
      </c>
      <c r="T552" s="136"/>
      <c r="U552" s="135" t="s">
        <v>2864</v>
      </c>
      <c r="V552" s="135" t="s">
        <v>2856</v>
      </c>
      <c r="W552" s="135" t="s">
        <v>3297</v>
      </c>
      <c r="X552" s="135"/>
      <c r="Y552" s="135"/>
      <c r="Z552" s="135" t="s">
        <v>2858</v>
      </c>
      <c r="AA552" s="135"/>
      <c r="AB552" s="135"/>
      <c r="AC552" s="135"/>
      <c r="AD552" s="135" t="e">
        <v>#N/A</v>
      </c>
      <c r="AE552" s="135"/>
      <c r="AF552" s="135"/>
      <c r="AG552" s="135"/>
    </row>
    <row r="553" ht="21.75" hidden="1" customHeight="1">
      <c r="A553" s="135">
        <v>549.0</v>
      </c>
      <c r="B553" s="135">
        <v>25045.0</v>
      </c>
      <c r="C553" s="135"/>
      <c r="D553" s="135">
        <v>3.0</v>
      </c>
      <c r="E553" s="135" t="s">
        <v>3294</v>
      </c>
      <c r="F553" s="135" t="s">
        <v>1579</v>
      </c>
      <c r="G553" s="135" t="s">
        <v>44</v>
      </c>
      <c r="H553" s="135" t="s">
        <v>2853</v>
      </c>
      <c r="I553" s="135" t="s">
        <v>48</v>
      </c>
      <c r="J553" s="135">
        <v>1.0</v>
      </c>
      <c r="K553" s="135" t="s">
        <v>3134</v>
      </c>
      <c r="L553" s="135">
        <v>4612.0</v>
      </c>
      <c r="M553" s="135">
        <v>2950.0</v>
      </c>
      <c r="N553" s="135">
        <v>120.0</v>
      </c>
      <c r="O553" s="135">
        <v>1.82</v>
      </c>
      <c r="P553" s="136">
        <v>0.0</v>
      </c>
      <c r="Q553" s="137">
        <v>4.55</v>
      </c>
      <c r="R553" s="136">
        <v>46106.0</v>
      </c>
      <c r="S553" s="135" t="s">
        <v>3278</v>
      </c>
      <c r="T553" s="136"/>
      <c r="U553" s="135" t="s">
        <v>2855</v>
      </c>
      <c r="V553" s="135" t="s">
        <v>2876</v>
      </c>
      <c r="W553" s="135" t="s">
        <v>3290</v>
      </c>
      <c r="X553" s="135"/>
      <c r="Y553" s="135"/>
      <c r="Z553" s="135" t="s">
        <v>2858</v>
      </c>
      <c r="AA553" s="135"/>
      <c r="AB553" s="135"/>
      <c r="AC553" s="135"/>
      <c r="AD553" s="135">
        <v>46112.0</v>
      </c>
      <c r="AE553" s="135"/>
      <c r="AF553" s="135"/>
      <c r="AG553" s="135"/>
    </row>
    <row r="554" ht="21.75" hidden="1" customHeight="1">
      <c r="A554" s="135">
        <v>550.0</v>
      </c>
      <c r="B554" s="135">
        <v>25045.0</v>
      </c>
      <c r="C554" s="135"/>
      <c r="D554" s="135">
        <v>3.0</v>
      </c>
      <c r="E554" s="135" t="s">
        <v>3294</v>
      </c>
      <c r="F554" s="135" t="s">
        <v>1580</v>
      </c>
      <c r="G554" s="135" t="s">
        <v>44</v>
      </c>
      <c r="H554" s="135" t="s">
        <v>2853</v>
      </c>
      <c r="I554" s="135" t="s">
        <v>48</v>
      </c>
      <c r="J554" s="135">
        <v>1.0</v>
      </c>
      <c r="K554" s="135" t="s">
        <v>3134</v>
      </c>
      <c r="L554" s="135">
        <v>4612.0</v>
      </c>
      <c r="M554" s="135">
        <v>2950.0</v>
      </c>
      <c r="N554" s="135">
        <v>120.0</v>
      </c>
      <c r="O554" s="135">
        <v>1.82</v>
      </c>
      <c r="P554" s="136">
        <v>0.0</v>
      </c>
      <c r="Q554" s="137">
        <v>4.55</v>
      </c>
      <c r="R554" s="136">
        <v>46106.0</v>
      </c>
      <c r="S554" s="135" t="s">
        <v>3278</v>
      </c>
      <c r="T554" s="136"/>
      <c r="U554" s="135" t="s">
        <v>2855</v>
      </c>
      <c r="V554" s="135" t="s">
        <v>2876</v>
      </c>
      <c r="W554" s="135" t="s">
        <v>3290</v>
      </c>
      <c r="X554" s="135"/>
      <c r="Y554" s="135"/>
      <c r="Z554" s="135" t="s">
        <v>2858</v>
      </c>
      <c r="AA554" s="135"/>
      <c r="AB554" s="135"/>
      <c r="AC554" s="135"/>
      <c r="AD554" s="135">
        <v>46113.0</v>
      </c>
      <c r="AE554" s="135"/>
      <c r="AF554" s="135"/>
      <c r="AG554" s="135"/>
    </row>
    <row r="555" ht="21.75" hidden="1" customHeight="1">
      <c r="A555" s="135">
        <v>551.0</v>
      </c>
      <c r="B555" s="135">
        <v>25045.0</v>
      </c>
      <c r="C555" s="135"/>
      <c r="D555" s="135">
        <v>3.0</v>
      </c>
      <c r="E555" s="135" t="s">
        <v>3294</v>
      </c>
      <c r="F555" s="135" t="s">
        <v>1581</v>
      </c>
      <c r="G555" s="135" t="s">
        <v>44</v>
      </c>
      <c r="H555" s="135" t="s">
        <v>2853</v>
      </c>
      <c r="I555" s="135" t="s">
        <v>48</v>
      </c>
      <c r="J555" s="135">
        <v>1.0</v>
      </c>
      <c r="K555" s="135" t="s">
        <v>3134</v>
      </c>
      <c r="L555" s="135">
        <v>4612.0</v>
      </c>
      <c r="M555" s="135">
        <v>2950.0</v>
      </c>
      <c r="N555" s="135">
        <v>120.0</v>
      </c>
      <c r="O555" s="135">
        <v>1.82</v>
      </c>
      <c r="P555" s="136">
        <v>0.0</v>
      </c>
      <c r="Q555" s="137">
        <v>4.55</v>
      </c>
      <c r="R555" s="136">
        <v>46106.0</v>
      </c>
      <c r="S555" s="135" t="s">
        <v>3278</v>
      </c>
      <c r="T555" s="136"/>
      <c r="U555" s="135" t="s">
        <v>2855</v>
      </c>
      <c r="V555" s="135" t="s">
        <v>2876</v>
      </c>
      <c r="W555" s="135" t="s">
        <v>3290</v>
      </c>
      <c r="X555" s="135"/>
      <c r="Y555" s="135"/>
      <c r="Z555" s="135" t="s">
        <v>2858</v>
      </c>
      <c r="AA555" s="135"/>
      <c r="AB555" s="135"/>
      <c r="AC555" s="135"/>
      <c r="AD555" s="135">
        <v>46114.0</v>
      </c>
      <c r="AE555" s="135"/>
      <c r="AF555" s="135"/>
      <c r="AG555" s="135"/>
    </row>
    <row r="556" ht="21.75" hidden="1" customHeight="1">
      <c r="A556" s="135">
        <v>552.0</v>
      </c>
      <c r="B556" s="135">
        <v>25045.0</v>
      </c>
      <c r="C556" s="135"/>
      <c r="D556" s="135">
        <v>3.0</v>
      </c>
      <c r="E556" s="135" t="s">
        <v>3294</v>
      </c>
      <c r="F556" s="135" t="s">
        <v>1582</v>
      </c>
      <c r="G556" s="135" t="s">
        <v>44</v>
      </c>
      <c r="H556" s="135" t="s">
        <v>2853</v>
      </c>
      <c r="I556" s="135" t="s">
        <v>48</v>
      </c>
      <c r="J556" s="135">
        <v>1.0</v>
      </c>
      <c r="K556" s="135" t="s">
        <v>3134</v>
      </c>
      <c r="L556" s="135">
        <v>4612.0</v>
      </c>
      <c r="M556" s="135">
        <v>2950.0</v>
      </c>
      <c r="N556" s="135">
        <v>120.0</v>
      </c>
      <c r="O556" s="135">
        <v>1.82</v>
      </c>
      <c r="P556" s="136">
        <v>0.0</v>
      </c>
      <c r="Q556" s="137">
        <v>4.55</v>
      </c>
      <c r="R556" s="136">
        <v>46106.0</v>
      </c>
      <c r="S556" s="135" t="s">
        <v>3278</v>
      </c>
      <c r="T556" s="136"/>
      <c r="U556" s="135" t="s">
        <v>2855</v>
      </c>
      <c r="V556" s="135" t="s">
        <v>2876</v>
      </c>
      <c r="W556" s="135" t="s">
        <v>3290</v>
      </c>
      <c r="X556" s="135"/>
      <c r="Y556" s="135"/>
      <c r="Z556" s="135" t="s">
        <v>2858</v>
      </c>
      <c r="AA556" s="135"/>
      <c r="AB556" s="135"/>
      <c r="AC556" s="135"/>
      <c r="AD556" s="135">
        <v>46115.0</v>
      </c>
      <c r="AE556" s="135"/>
      <c r="AF556" s="135"/>
      <c r="AG556" s="135"/>
    </row>
    <row r="557" ht="21.75" hidden="1" customHeight="1">
      <c r="A557" s="135">
        <v>553.0</v>
      </c>
      <c r="B557" s="135">
        <v>25045.0</v>
      </c>
      <c r="C557" s="135"/>
      <c r="D557" s="135">
        <v>3.0</v>
      </c>
      <c r="E557" s="135" t="s">
        <v>3294</v>
      </c>
      <c r="F557" s="135" t="s">
        <v>1583</v>
      </c>
      <c r="G557" s="135" t="s">
        <v>44</v>
      </c>
      <c r="H557" s="135" t="s">
        <v>2853</v>
      </c>
      <c r="I557" s="135" t="s">
        <v>48</v>
      </c>
      <c r="J557" s="135">
        <v>1.0</v>
      </c>
      <c r="K557" s="135" t="s">
        <v>3134</v>
      </c>
      <c r="L557" s="135">
        <v>5046.0</v>
      </c>
      <c r="M557" s="135">
        <v>3000.0</v>
      </c>
      <c r="N557" s="135">
        <v>120.0</v>
      </c>
      <c r="O557" s="135">
        <v>2.01</v>
      </c>
      <c r="P557" s="136">
        <v>0.0</v>
      </c>
      <c r="Q557" s="137">
        <v>5.0249999999999995</v>
      </c>
      <c r="R557" s="136">
        <v>46106.0</v>
      </c>
      <c r="S557" s="135" t="s">
        <v>3278</v>
      </c>
      <c r="T557" s="136"/>
      <c r="U557" s="135" t="s">
        <v>2855</v>
      </c>
      <c r="V557" s="135" t="s">
        <v>2876</v>
      </c>
      <c r="W557" s="135" t="s">
        <v>3298</v>
      </c>
      <c r="X557" s="135"/>
      <c r="Y557" s="135"/>
      <c r="Z557" s="135" t="s">
        <v>2858</v>
      </c>
      <c r="AA557" s="135"/>
      <c r="AB557" s="135"/>
      <c r="AC557" s="135"/>
      <c r="AD557" s="135">
        <v>46115.0</v>
      </c>
      <c r="AE557" s="135"/>
      <c r="AF557" s="135"/>
      <c r="AG557" s="135"/>
    </row>
    <row r="558" ht="21.75" hidden="1" customHeight="1">
      <c r="A558" s="135">
        <v>554.0</v>
      </c>
      <c r="B558" s="135">
        <v>25045.0</v>
      </c>
      <c r="C558" s="135"/>
      <c r="D558" s="135">
        <v>3.0</v>
      </c>
      <c r="E558" s="135" t="s">
        <v>3294</v>
      </c>
      <c r="F558" s="135" t="s">
        <v>1584</v>
      </c>
      <c r="G558" s="135" t="s">
        <v>44</v>
      </c>
      <c r="H558" s="135" t="s">
        <v>2853</v>
      </c>
      <c r="I558" s="135" t="s">
        <v>48</v>
      </c>
      <c r="J558" s="135">
        <v>1.0</v>
      </c>
      <c r="K558" s="135" t="s">
        <v>3134</v>
      </c>
      <c r="L558" s="135">
        <v>5046.0</v>
      </c>
      <c r="M558" s="135">
        <v>3000.0</v>
      </c>
      <c r="N558" s="135">
        <v>120.0</v>
      </c>
      <c r="O558" s="135">
        <v>2.01</v>
      </c>
      <c r="P558" s="136">
        <v>0.0</v>
      </c>
      <c r="Q558" s="137">
        <v>5.0249999999999995</v>
      </c>
      <c r="R558" s="136">
        <v>46106.0</v>
      </c>
      <c r="S558" s="135" t="s">
        <v>3278</v>
      </c>
      <c r="T558" s="136"/>
      <c r="U558" s="135" t="s">
        <v>2855</v>
      </c>
      <c r="V558" s="135" t="s">
        <v>2876</v>
      </c>
      <c r="W558" s="135" t="s">
        <v>3298</v>
      </c>
      <c r="X558" s="135"/>
      <c r="Y558" s="135"/>
      <c r="Z558" s="135" t="s">
        <v>2858</v>
      </c>
      <c r="AA558" s="135"/>
      <c r="AB558" s="135"/>
      <c r="AC558" s="135"/>
      <c r="AD558" s="135">
        <v>46116.0</v>
      </c>
      <c r="AE558" s="135"/>
      <c r="AF558" s="135"/>
      <c r="AG558" s="135"/>
    </row>
    <row r="559" ht="21.75" hidden="1" customHeight="1">
      <c r="A559" s="135">
        <v>555.0</v>
      </c>
      <c r="B559" s="135">
        <v>25045.0</v>
      </c>
      <c r="C559" s="135"/>
      <c r="D559" s="135">
        <v>3.0</v>
      </c>
      <c r="E559" s="135" t="s">
        <v>3294</v>
      </c>
      <c r="F559" s="135" t="s">
        <v>1585</v>
      </c>
      <c r="G559" s="135" t="s">
        <v>44</v>
      </c>
      <c r="H559" s="135" t="s">
        <v>2853</v>
      </c>
      <c r="I559" s="135" t="s">
        <v>48</v>
      </c>
      <c r="J559" s="135">
        <v>1.0</v>
      </c>
      <c r="K559" s="135"/>
      <c r="L559" s="135">
        <v>1962.0</v>
      </c>
      <c r="M559" s="135">
        <v>1000.0</v>
      </c>
      <c r="N559" s="135">
        <v>120.0</v>
      </c>
      <c r="O559" s="135">
        <v>0.4</v>
      </c>
      <c r="P559" s="136">
        <v>0.0</v>
      </c>
      <c r="Q559" s="137">
        <v>1.0</v>
      </c>
      <c r="R559" s="136">
        <v>46106.0</v>
      </c>
      <c r="S559" s="135" t="s">
        <v>3278</v>
      </c>
      <c r="T559" s="136"/>
      <c r="U559" s="135" t="s">
        <v>2950</v>
      </c>
      <c r="V559" s="135" t="s">
        <v>2951</v>
      </c>
      <c r="W559" s="135" t="s">
        <v>3299</v>
      </c>
      <c r="X559" s="135"/>
      <c r="Y559" s="135"/>
      <c r="Z559" s="135" t="s">
        <v>2858</v>
      </c>
      <c r="AA559" s="135"/>
      <c r="AB559" s="135"/>
      <c r="AC559" s="135"/>
      <c r="AD559" s="135">
        <v>46114.0</v>
      </c>
      <c r="AE559" s="135"/>
      <c r="AF559" s="135"/>
      <c r="AG559" s="135"/>
    </row>
    <row r="560" ht="21.75" hidden="1" customHeight="1">
      <c r="A560" s="135">
        <v>556.0</v>
      </c>
      <c r="B560" s="135">
        <v>25045.0</v>
      </c>
      <c r="C560" s="135"/>
      <c r="D560" s="135">
        <v>3.0</v>
      </c>
      <c r="E560" s="135" t="s">
        <v>3294</v>
      </c>
      <c r="F560" s="135" t="s">
        <v>1586</v>
      </c>
      <c r="G560" s="135" t="s">
        <v>44</v>
      </c>
      <c r="H560" s="135" t="s">
        <v>2853</v>
      </c>
      <c r="I560" s="135" t="s">
        <v>48</v>
      </c>
      <c r="J560" s="135">
        <v>1.0</v>
      </c>
      <c r="K560" s="135"/>
      <c r="L560" s="135">
        <v>2823.0</v>
      </c>
      <c r="M560" s="135">
        <v>1000.0</v>
      </c>
      <c r="N560" s="135">
        <v>120.0</v>
      </c>
      <c r="O560" s="135">
        <v>0.47</v>
      </c>
      <c r="P560" s="136">
        <v>0.0</v>
      </c>
      <c r="Q560" s="137">
        <v>1.1749999999999998</v>
      </c>
      <c r="R560" s="136">
        <v>46106.0</v>
      </c>
      <c r="S560" s="135" t="s">
        <v>3278</v>
      </c>
      <c r="T560" s="136"/>
      <c r="U560" s="135" t="s">
        <v>2950</v>
      </c>
      <c r="V560" s="135" t="s">
        <v>2951</v>
      </c>
      <c r="W560" s="135" t="s">
        <v>3300</v>
      </c>
      <c r="X560" s="135"/>
      <c r="Y560" s="135"/>
      <c r="Z560" s="135" t="s">
        <v>2858</v>
      </c>
      <c r="AA560" s="135"/>
      <c r="AB560" s="135"/>
      <c r="AC560" s="135"/>
      <c r="AD560" s="135">
        <v>46114.0</v>
      </c>
      <c r="AE560" s="135"/>
      <c r="AF560" s="135"/>
      <c r="AG560" s="135"/>
    </row>
    <row r="561" ht="21.75" hidden="1" customHeight="1">
      <c r="A561" s="135">
        <v>557.0</v>
      </c>
      <c r="B561" s="135">
        <v>25045.0</v>
      </c>
      <c r="C561" s="135" t="s">
        <v>2817</v>
      </c>
      <c r="D561" s="135">
        <v>3.0</v>
      </c>
      <c r="E561" s="135" t="s">
        <v>3301</v>
      </c>
      <c r="F561" s="135" t="s">
        <v>1597</v>
      </c>
      <c r="G561" s="135" t="s">
        <v>44</v>
      </c>
      <c r="H561" s="135" t="s">
        <v>2853</v>
      </c>
      <c r="I561" s="135" t="s">
        <v>50</v>
      </c>
      <c r="J561" s="135">
        <v>1.0</v>
      </c>
      <c r="K561" s="135"/>
      <c r="L561" s="135">
        <v>5800.0</v>
      </c>
      <c r="M561" s="135">
        <v>1350.0</v>
      </c>
      <c r="N561" s="135">
        <v>120.0</v>
      </c>
      <c r="O561" s="135">
        <v>0.98</v>
      </c>
      <c r="P561" s="136">
        <v>0.0</v>
      </c>
      <c r="Q561" s="137">
        <v>2.45</v>
      </c>
      <c r="R561" s="136">
        <v>46106.0</v>
      </c>
      <c r="S561" s="135" t="s">
        <v>3278</v>
      </c>
      <c r="T561" s="136"/>
      <c r="U561" s="135" t="s">
        <v>2855</v>
      </c>
      <c r="V561" s="135" t="s">
        <v>2856</v>
      </c>
      <c r="W561" s="135" t="s">
        <v>3302</v>
      </c>
      <c r="X561" s="135"/>
      <c r="Y561" s="135"/>
      <c r="Z561" s="135" t="s">
        <v>2858</v>
      </c>
      <c r="AA561" s="135"/>
      <c r="AB561" s="135"/>
      <c r="AC561" s="135"/>
      <c r="AD561" s="135" t="e">
        <v>#N/A</v>
      </c>
      <c r="AE561" s="135"/>
      <c r="AF561" s="135"/>
      <c r="AG561" s="135"/>
    </row>
    <row r="562" ht="21.75" hidden="1" customHeight="1">
      <c r="A562" s="135">
        <v>558.0</v>
      </c>
      <c r="B562" s="135">
        <v>25045.0</v>
      </c>
      <c r="C562" s="135"/>
      <c r="D562" s="135">
        <v>3.0</v>
      </c>
      <c r="E562" s="135" t="s">
        <v>3301</v>
      </c>
      <c r="F562" s="135" t="s">
        <v>1598</v>
      </c>
      <c r="G562" s="135" t="s">
        <v>44</v>
      </c>
      <c r="H562" s="135" t="s">
        <v>2853</v>
      </c>
      <c r="I562" s="135" t="s">
        <v>50</v>
      </c>
      <c r="J562" s="135">
        <v>1.0</v>
      </c>
      <c r="K562" s="135" t="s">
        <v>3134</v>
      </c>
      <c r="L562" s="135">
        <v>4612.0</v>
      </c>
      <c r="M562" s="135">
        <v>3000.0</v>
      </c>
      <c r="N562" s="135">
        <v>120.0</v>
      </c>
      <c r="O562" s="135">
        <v>1.9</v>
      </c>
      <c r="P562" s="136">
        <v>0.0</v>
      </c>
      <c r="Q562" s="137">
        <v>4.75</v>
      </c>
      <c r="R562" s="136">
        <v>46106.0</v>
      </c>
      <c r="S562" s="135" t="s">
        <v>3278</v>
      </c>
      <c r="T562" s="136"/>
      <c r="U562" s="135" t="s">
        <v>2855</v>
      </c>
      <c r="V562" s="135" t="s">
        <v>2876</v>
      </c>
      <c r="W562" s="135" t="s">
        <v>3290</v>
      </c>
      <c r="X562" s="135"/>
      <c r="Y562" s="135"/>
      <c r="Z562" s="135" t="s">
        <v>2858</v>
      </c>
      <c r="AA562" s="135"/>
      <c r="AB562" s="135"/>
      <c r="AC562" s="135"/>
      <c r="AD562" s="135">
        <v>46115.0</v>
      </c>
      <c r="AE562" s="135"/>
      <c r="AF562" s="135"/>
      <c r="AG562" s="135"/>
    </row>
    <row r="563" ht="21.75" hidden="1" customHeight="1">
      <c r="A563" s="135">
        <v>559.0</v>
      </c>
      <c r="B563" s="135">
        <v>25045.0</v>
      </c>
      <c r="C563" s="135"/>
      <c r="D563" s="135">
        <v>3.0</v>
      </c>
      <c r="E563" s="135" t="s">
        <v>3301</v>
      </c>
      <c r="F563" s="135" t="s">
        <v>1599</v>
      </c>
      <c r="G563" s="135" t="s">
        <v>44</v>
      </c>
      <c r="H563" s="135" t="s">
        <v>2853</v>
      </c>
      <c r="I563" s="135" t="s">
        <v>50</v>
      </c>
      <c r="J563" s="135">
        <v>1.0</v>
      </c>
      <c r="K563" s="135" t="s">
        <v>3134</v>
      </c>
      <c r="L563" s="135">
        <v>4612.0</v>
      </c>
      <c r="M563" s="135">
        <v>3000.0</v>
      </c>
      <c r="N563" s="135">
        <v>120.0</v>
      </c>
      <c r="O563" s="135">
        <v>1.9</v>
      </c>
      <c r="P563" s="136">
        <v>0.0</v>
      </c>
      <c r="Q563" s="137">
        <v>4.75</v>
      </c>
      <c r="R563" s="136">
        <v>46106.0</v>
      </c>
      <c r="S563" s="135" t="s">
        <v>3278</v>
      </c>
      <c r="T563" s="136"/>
      <c r="U563" s="135" t="s">
        <v>2855</v>
      </c>
      <c r="V563" s="135" t="s">
        <v>2876</v>
      </c>
      <c r="W563" s="135" t="s">
        <v>3290</v>
      </c>
      <c r="X563" s="135"/>
      <c r="Y563" s="135"/>
      <c r="Z563" s="135" t="s">
        <v>2858</v>
      </c>
      <c r="AA563" s="135"/>
      <c r="AB563" s="135"/>
      <c r="AC563" s="135"/>
      <c r="AD563" s="135">
        <v>46116.0</v>
      </c>
      <c r="AE563" s="135"/>
      <c r="AF563" s="135"/>
      <c r="AG563" s="135"/>
    </row>
    <row r="564" ht="21.75" hidden="1" customHeight="1">
      <c r="A564" s="135">
        <v>560.0</v>
      </c>
      <c r="B564" s="135">
        <v>25045.0</v>
      </c>
      <c r="C564" s="135"/>
      <c r="D564" s="135">
        <v>3.0</v>
      </c>
      <c r="E564" s="135" t="s">
        <v>3301</v>
      </c>
      <c r="F564" s="135" t="s">
        <v>1600</v>
      </c>
      <c r="G564" s="135" t="s">
        <v>44</v>
      </c>
      <c r="H564" s="135" t="s">
        <v>2853</v>
      </c>
      <c r="I564" s="135" t="s">
        <v>50</v>
      </c>
      <c r="J564" s="135">
        <v>1.0</v>
      </c>
      <c r="K564" s="135" t="s">
        <v>3134</v>
      </c>
      <c r="L564" s="135">
        <v>4612.0</v>
      </c>
      <c r="M564" s="135">
        <v>3000.0</v>
      </c>
      <c r="N564" s="135">
        <v>120.0</v>
      </c>
      <c r="O564" s="135">
        <v>1.9</v>
      </c>
      <c r="P564" s="136">
        <v>0.0</v>
      </c>
      <c r="Q564" s="137">
        <v>4.75</v>
      </c>
      <c r="R564" s="136">
        <v>46106.0</v>
      </c>
      <c r="S564" s="135" t="s">
        <v>3278</v>
      </c>
      <c r="T564" s="136"/>
      <c r="U564" s="135" t="s">
        <v>2855</v>
      </c>
      <c r="V564" s="135" t="s">
        <v>2876</v>
      </c>
      <c r="W564" s="135" t="s">
        <v>3290</v>
      </c>
      <c r="X564" s="135"/>
      <c r="Y564" s="135"/>
      <c r="Z564" s="135" t="s">
        <v>2858</v>
      </c>
      <c r="AA564" s="135"/>
      <c r="AB564" s="135"/>
      <c r="AC564" s="135"/>
      <c r="AD564" s="135">
        <v>46119.0</v>
      </c>
      <c r="AE564" s="135"/>
      <c r="AF564" s="135"/>
      <c r="AG564" s="135"/>
    </row>
    <row r="565" ht="21.75" hidden="1" customHeight="1">
      <c r="A565" s="135">
        <v>561.0</v>
      </c>
      <c r="B565" s="135">
        <v>25045.0</v>
      </c>
      <c r="C565" s="135"/>
      <c r="D565" s="135">
        <v>3.0</v>
      </c>
      <c r="E565" s="135" t="s">
        <v>3301</v>
      </c>
      <c r="F565" s="135" t="s">
        <v>1601</v>
      </c>
      <c r="G565" s="135" t="s">
        <v>44</v>
      </c>
      <c r="H565" s="135" t="s">
        <v>2853</v>
      </c>
      <c r="I565" s="135" t="s">
        <v>50</v>
      </c>
      <c r="J565" s="135">
        <v>1.0</v>
      </c>
      <c r="K565" s="135" t="s">
        <v>3134</v>
      </c>
      <c r="L565" s="135">
        <v>4612.0</v>
      </c>
      <c r="M565" s="135">
        <v>3000.0</v>
      </c>
      <c r="N565" s="135">
        <v>120.0</v>
      </c>
      <c r="O565" s="135">
        <v>1.9</v>
      </c>
      <c r="P565" s="136">
        <v>0.0</v>
      </c>
      <c r="Q565" s="137">
        <v>4.75</v>
      </c>
      <c r="R565" s="136">
        <v>46106.0</v>
      </c>
      <c r="S565" s="135" t="s">
        <v>3278</v>
      </c>
      <c r="T565" s="136"/>
      <c r="U565" s="135" t="s">
        <v>2855</v>
      </c>
      <c r="V565" s="135" t="s">
        <v>2876</v>
      </c>
      <c r="W565" s="135" t="s">
        <v>3290</v>
      </c>
      <c r="X565" s="135"/>
      <c r="Y565" s="135"/>
      <c r="Z565" s="135" t="s">
        <v>2858</v>
      </c>
      <c r="AA565" s="135"/>
      <c r="AB565" s="135"/>
      <c r="AC565" s="135"/>
      <c r="AD565" s="135">
        <v>46120.0</v>
      </c>
      <c r="AE565" s="135"/>
      <c r="AF565" s="135"/>
      <c r="AG565" s="135"/>
    </row>
    <row r="566" ht="21.75" hidden="1" customHeight="1">
      <c r="A566" s="135">
        <v>562.0</v>
      </c>
      <c r="B566" s="135">
        <v>25045.0</v>
      </c>
      <c r="C566" s="135"/>
      <c r="D566" s="135">
        <v>3.0</v>
      </c>
      <c r="E566" s="135" t="s">
        <v>3301</v>
      </c>
      <c r="F566" s="135" t="s">
        <v>1602</v>
      </c>
      <c r="G566" s="135" t="s">
        <v>44</v>
      </c>
      <c r="H566" s="135" t="s">
        <v>2853</v>
      </c>
      <c r="I566" s="135" t="s">
        <v>50</v>
      </c>
      <c r="J566" s="135">
        <v>1.0</v>
      </c>
      <c r="K566" s="135"/>
      <c r="L566" s="135">
        <v>5185.0</v>
      </c>
      <c r="M566" s="135">
        <v>3220.0</v>
      </c>
      <c r="N566" s="135">
        <v>120.0</v>
      </c>
      <c r="O566" s="135">
        <v>2.32</v>
      </c>
      <c r="P566" s="136">
        <v>0.0</v>
      </c>
      <c r="Q566" s="137">
        <v>5.8</v>
      </c>
      <c r="R566" s="136">
        <v>46106.0</v>
      </c>
      <c r="S566" s="135" t="s">
        <v>3278</v>
      </c>
      <c r="T566" s="136"/>
      <c r="U566" s="135" t="s">
        <v>2855</v>
      </c>
      <c r="V566" s="135" t="s">
        <v>2878</v>
      </c>
      <c r="W566" s="135" t="s">
        <v>3303</v>
      </c>
      <c r="X566" s="135"/>
      <c r="Y566" s="135"/>
      <c r="Z566" s="135" t="s">
        <v>2858</v>
      </c>
      <c r="AA566" s="135"/>
      <c r="AB566" s="135"/>
      <c r="AC566" s="135"/>
      <c r="AD566" s="135">
        <v>46118.0</v>
      </c>
      <c r="AE566" s="135"/>
      <c r="AF566" s="135"/>
      <c r="AG566" s="135"/>
    </row>
    <row r="567" ht="21.75" hidden="1" customHeight="1">
      <c r="A567" s="135">
        <v>563.0</v>
      </c>
      <c r="B567" s="135">
        <v>25045.0</v>
      </c>
      <c r="C567" s="135"/>
      <c r="D567" s="135">
        <v>3.0</v>
      </c>
      <c r="E567" s="135" t="s">
        <v>3301</v>
      </c>
      <c r="F567" s="135" t="s">
        <v>1603</v>
      </c>
      <c r="G567" s="135" t="s">
        <v>44</v>
      </c>
      <c r="H567" s="135" t="s">
        <v>2853</v>
      </c>
      <c r="I567" s="135" t="s">
        <v>50</v>
      </c>
      <c r="J567" s="135">
        <v>1.0</v>
      </c>
      <c r="K567" s="135" t="s">
        <v>3134</v>
      </c>
      <c r="L567" s="135">
        <v>5170.0</v>
      </c>
      <c r="M567" s="135">
        <v>3220.0</v>
      </c>
      <c r="N567" s="135">
        <v>120.0</v>
      </c>
      <c r="O567" s="135">
        <v>2.32</v>
      </c>
      <c r="P567" s="136">
        <v>0.0</v>
      </c>
      <c r="Q567" s="137">
        <v>5.8</v>
      </c>
      <c r="R567" s="136">
        <v>46106.0</v>
      </c>
      <c r="S567" s="135" t="s">
        <v>3278</v>
      </c>
      <c r="T567" s="136"/>
      <c r="U567" s="135" t="s">
        <v>2855</v>
      </c>
      <c r="V567" s="135" t="s">
        <v>2878</v>
      </c>
      <c r="W567" s="135" t="s">
        <v>3283</v>
      </c>
      <c r="X567" s="135"/>
      <c r="Y567" s="135"/>
      <c r="Z567" s="135" t="s">
        <v>2858</v>
      </c>
      <c r="AA567" s="135"/>
      <c r="AB567" s="135"/>
      <c r="AC567" s="135"/>
      <c r="AD567" s="135">
        <v>46122.0</v>
      </c>
      <c r="AE567" s="135"/>
      <c r="AF567" s="135"/>
      <c r="AG567" s="135"/>
    </row>
    <row r="568" ht="21.75" hidden="1" customHeight="1">
      <c r="A568" s="135">
        <v>564.0</v>
      </c>
      <c r="B568" s="135">
        <v>25045.0</v>
      </c>
      <c r="C568" s="135"/>
      <c r="D568" s="135">
        <v>3.0</v>
      </c>
      <c r="E568" s="135" t="s">
        <v>3301</v>
      </c>
      <c r="F568" s="135" t="s">
        <v>1604</v>
      </c>
      <c r="G568" s="135" t="s">
        <v>44</v>
      </c>
      <c r="H568" s="135" t="s">
        <v>2853</v>
      </c>
      <c r="I568" s="135" t="s">
        <v>50</v>
      </c>
      <c r="J568" s="135">
        <v>1.0</v>
      </c>
      <c r="K568" s="135" t="s">
        <v>3134</v>
      </c>
      <c r="L568" s="135">
        <v>5170.0</v>
      </c>
      <c r="M568" s="135">
        <v>3220.0</v>
      </c>
      <c r="N568" s="135">
        <v>120.0</v>
      </c>
      <c r="O568" s="135">
        <v>2.32</v>
      </c>
      <c r="P568" s="136">
        <v>0.0</v>
      </c>
      <c r="Q568" s="137">
        <v>5.8</v>
      </c>
      <c r="R568" s="136">
        <v>46106.0</v>
      </c>
      <c r="S568" s="135" t="s">
        <v>3278</v>
      </c>
      <c r="T568" s="136"/>
      <c r="U568" s="135" t="s">
        <v>2855</v>
      </c>
      <c r="V568" s="135" t="s">
        <v>2878</v>
      </c>
      <c r="W568" s="135" t="s">
        <v>3283</v>
      </c>
      <c r="X568" s="135"/>
      <c r="Y568" s="135"/>
      <c r="Z568" s="135" t="s">
        <v>2858</v>
      </c>
      <c r="AA568" s="135"/>
      <c r="AB568" s="135"/>
      <c r="AC568" s="135"/>
      <c r="AD568" s="135">
        <v>46123.0</v>
      </c>
      <c r="AE568" s="135"/>
      <c r="AF568" s="135"/>
      <c r="AG568" s="135"/>
    </row>
    <row r="569" ht="21.75" hidden="1" customHeight="1">
      <c r="A569" s="135">
        <v>565.0</v>
      </c>
      <c r="B569" s="135">
        <v>25045.0</v>
      </c>
      <c r="C569" s="135"/>
      <c r="D569" s="135">
        <v>3.0</v>
      </c>
      <c r="E569" s="135" t="s">
        <v>3301</v>
      </c>
      <c r="F569" s="135" t="s">
        <v>1605</v>
      </c>
      <c r="G569" s="135" t="s">
        <v>44</v>
      </c>
      <c r="H569" s="135" t="s">
        <v>2853</v>
      </c>
      <c r="I569" s="135" t="s">
        <v>50</v>
      </c>
      <c r="J569" s="135">
        <v>1.0</v>
      </c>
      <c r="K569" s="135"/>
      <c r="L569" s="135">
        <v>1780.0</v>
      </c>
      <c r="M569" s="135">
        <v>1510.0</v>
      </c>
      <c r="N569" s="135">
        <v>120.0</v>
      </c>
      <c r="O569" s="135">
        <v>0.41</v>
      </c>
      <c r="P569" s="136">
        <v>0.0</v>
      </c>
      <c r="Q569" s="137">
        <v>1.025</v>
      </c>
      <c r="R569" s="136">
        <v>46106.0</v>
      </c>
      <c r="S569" s="135" t="s">
        <v>3278</v>
      </c>
      <c r="T569" s="136"/>
      <c r="U569" s="135" t="s">
        <v>2864</v>
      </c>
      <c r="V569" s="135" t="s">
        <v>2873</v>
      </c>
      <c r="W569" s="135" t="s">
        <v>2901</v>
      </c>
      <c r="X569" s="135"/>
      <c r="Y569" s="135"/>
      <c r="Z569" s="135" t="s">
        <v>2858</v>
      </c>
      <c r="AA569" s="135"/>
      <c r="AB569" s="135"/>
      <c r="AC569" s="135"/>
      <c r="AD569" s="135">
        <v>46118.0</v>
      </c>
      <c r="AE569" s="135"/>
      <c r="AF569" s="135"/>
      <c r="AG569" s="135"/>
    </row>
    <row r="570" ht="21.75" hidden="1" customHeight="1">
      <c r="A570" s="135">
        <v>566.0</v>
      </c>
      <c r="B570" s="135">
        <v>25045.0</v>
      </c>
      <c r="C570" s="135"/>
      <c r="D570" s="135">
        <v>3.0</v>
      </c>
      <c r="E570" s="135" t="s">
        <v>3301</v>
      </c>
      <c r="F570" s="135" t="s">
        <v>1606</v>
      </c>
      <c r="G570" s="135" t="s">
        <v>44</v>
      </c>
      <c r="H570" s="135" t="s">
        <v>2853</v>
      </c>
      <c r="I570" s="135" t="s">
        <v>50</v>
      </c>
      <c r="J570" s="135">
        <v>1.0</v>
      </c>
      <c r="K570" s="135"/>
      <c r="L570" s="135">
        <v>4790.0</v>
      </c>
      <c r="M570" s="135">
        <v>1000.0</v>
      </c>
      <c r="N570" s="135">
        <v>120.0</v>
      </c>
      <c r="O570" s="135">
        <v>0.864</v>
      </c>
      <c r="P570" s="136">
        <v>0.0</v>
      </c>
      <c r="Q570" s="137">
        <v>2.16</v>
      </c>
      <c r="R570" s="136">
        <v>46106.0</v>
      </c>
      <c r="S570" s="135" t="s">
        <v>3278</v>
      </c>
      <c r="T570" s="136"/>
      <c r="U570" s="135" t="s">
        <v>2950</v>
      </c>
      <c r="V570" s="135" t="s">
        <v>2980</v>
      </c>
      <c r="W570" s="135" t="s">
        <v>3304</v>
      </c>
      <c r="X570" s="135"/>
      <c r="Y570" s="135"/>
      <c r="Z570" s="135" t="s">
        <v>2858</v>
      </c>
      <c r="AA570" s="135"/>
      <c r="AB570" s="135"/>
      <c r="AC570" s="135"/>
      <c r="AD570" s="135">
        <v>46140.0</v>
      </c>
      <c r="AE570" s="135"/>
      <c r="AF570" s="135"/>
      <c r="AG570" s="135"/>
    </row>
    <row r="571" ht="21.75" hidden="1" customHeight="1">
      <c r="A571" s="135">
        <v>567.0</v>
      </c>
      <c r="B571" s="135">
        <v>25045.0</v>
      </c>
      <c r="C571" s="135" t="s">
        <v>2817</v>
      </c>
      <c r="D571" s="135">
        <v>3.0</v>
      </c>
      <c r="E571" s="135" t="s">
        <v>3305</v>
      </c>
      <c r="F571" s="135" t="s">
        <v>1622</v>
      </c>
      <c r="G571" s="135" t="s">
        <v>44</v>
      </c>
      <c r="H571" s="135" t="s">
        <v>2853</v>
      </c>
      <c r="I571" s="135" t="s">
        <v>52</v>
      </c>
      <c r="J571" s="135">
        <v>1.0</v>
      </c>
      <c r="K571" s="135" t="s">
        <v>3134</v>
      </c>
      <c r="L571" s="135">
        <v>6067.0</v>
      </c>
      <c r="M571" s="135">
        <v>1490.0</v>
      </c>
      <c r="N571" s="135">
        <v>120.0</v>
      </c>
      <c r="O571" s="135">
        <v>1.1</v>
      </c>
      <c r="P571" s="136">
        <v>0.0</v>
      </c>
      <c r="Q571" s="137">
        <v>2.75</v>
      </c>
      <c r="R571" s="136">
        <v>46106.0</v>
      </c>
      <c r="S571" s="135" t="s">
        <v>3278</v>
      </c>
      <c r="T571" s="136"/>
      <c r="U571" s="135" t="s">
        <v>2855</v>
      </c>
      <c r="V571" s="135" t="s">
        <v>2856</v>
      </c>
      <c r="W571" s="135" t="s">
        <v>3306</v>
      </c>
      <c r="X571" s="135"/>
      <c r="Y571" s="135"/>
      <c r="Z571" s="135" t="s">
        <v>2858</v>
      </c>
      <c r="AA571" s="135"/>
      <c r="AB571" s="135"/>
      <c r="AC571" s="135"/>
      <c r="AD571" s="135" t="e">
        <v>#N/A</v>
      </c>
      <c r="AE571" s="135"/>
      <c r="AF571" s="135"/>
      <c r="AG571" s="135"/>
    </row>
    <row r="572" ht="21.75" hidden="1" customHeight="1">
      <c r="A572" s="135">
        <v>568.0</v>
      </c>
      <c r="B572" s="135">
        <v>25045.0</v>
      </c>
      <c r="C572" s="135" t="s">
        <v>2817</v>
      </c>
      <c r="D572" s="135">
        <v>3.0</v>
      </c>
      <c r="E572" s="135" t="s">
        <v>3305</v>
      </c>
      <c r="F572" s="135" t="s">
        <v>1623</v>
      </c>
      <c r="G572" s="135" t="s">
        <v>44</v>
      </c>
      <c r="H572" s="135" t="s">
        <v>2853</v>
      </c>
      <c r="I572" s="135" t="s">
        <v>52</v>
      </c>
      <c r="J572" s="135">
        <v>1.0</v>
      </c>
      <c r="K572" s="135" t="s">
        <v>3134</v>
      </c>
      <c r="L572" s="135">
        <v>6067.0</v>
      </c>
      <c r="M572" s="135">
        <v>1490.0</v>
      </c>
      <c r="N572" s="135">
        <v>120.0</v>
      </c>
      <c r="O572" s="135">
        <v>1.1</v>
      </c>
      <c r="P572" s="136">
        <v>0.0</v>
      </c>
      <c r="Q572" s="137">
        <v>2.75</v>
      </c>
      <c r="R572" s="136">
        <v>46106.0</v>
      </c>
      <c r="S572" s="135" t="s">
        <v>3278</v>
      </c>
      <c r="T572" s="136"/>
      <c r="U572" s="135" t="s">
        <v>2855</v>
      </c>
      <c r="V572" s="135" t="s">
        <v>2856</v>
      </c>
      <c r="W572" s="135" t="s">
        <v>3306</v>
      </c>
      <c r="X572" s="135"/>
      <c r="Y572" s="135"/>
      <c r="Z572" s="135" t="s">
        <v>2858</v>
      </c>
      <c r="AA572" s="135"/>
      <c r="AB572" s="135"/>
      <c r="AC572" s="135"/>
      <c r="AD572" s="135" t="e">
        <v>#N/A</v>
      </c>
      <c r="AE572" s="135"/>
      <c r="AF572" s="135"/>
      <c r="AG572" s="135"/>
    </row>
    <row r="573" ht="21.75" hidden="1" customHeight="1">
      <c r="A573" s="135">
        <v>569.0</v>
      </c>
      <c r="B573" s="135">
        <v>25045.0</v>
      </c>
      <c r="C573" s="135"/>
      <c r="D573" s="135">
        <v>3.0</v>
      </c>
      <c r="E573" s="135" t="s">
        <v>3305</v>
      </c>
      <c r="F573" s="135" t="s">
        <v>1624</v>
      </c>
      <c r="G573" s="135" t="s">
        <v>44</v>
      </c>
      <c r="H573" s="135" t="s">
        <v>2853</v>
      </c>
      <c r="I573" s="135" t="s">
        <v>52</v>
      </c>
      <c r="J573" s="135">
        <v>1.0</v>
      </c>
      <c r="K573" s="135"/>
      <c r="L573" s="135">
        <v>4090.0</v>
      </c>
      <c r="M573" s="135">
        <v>3100.0</v>
      </c>
      <c r="N573" s="135">
        <v>120.0</v>
      </c>
      <c r="O573" s="135">
        <v>1.63</v>
      </c>
      <c r="P573" s="136">
        <v>0.0</v>
      </c>
      <c r="Q573" s="137">
        <v>4.074999999999999</v>
      </c>
      <c r="R573" s="136">
        <v>46106.0</v>
      </c>
      <c r="S573" s="135" t="s">
        <v>3278</v>
      </c>
      <c r="T573" s="136"/>
      <c r="U573" s="135" t="s">
        <v>2864</v>
      </c>
      <c r="V573" s="135" t="s">
        <v>2865</v>
      </c>
      <c r="W573" s="135" t="s">
        <v>2971</v>
      </c>
      <c r="X573" s="135" t="s">
        <v>2872</v>
      </c>
      <c r="Y573" s="135"/>
      <c r="Z573" s="135" t="s">
        <v>2858</v>
      </c>
      <c r="AA573" s="135"/>
      <c r="AB573" s="135"/>
      <c r="AC573" s="135"/>
      <c r="AD573" s="135">
        <v>46116.0</v>
      </c>
      <c r="AE573" s="135"/>
      <c r="AF573" s="135"/>
      <c r="AG573" s="135"/>
    </row>
    <row r="574" ht="21.75" hidden="1" customHeight="1">
      <c r="A574" s="135">
        <v>570.0</v>
      </c>
      <c r="B574" s="135">
        <v>25045.0</v>
      </c>
      <c r="C574" s="135"/>
      <c r="D574" s="135">
        <v>3.0</v>
      </c>
      <c r="E574" s="135" t="s">
        <v>3305</v>
      </c>
      <c r="F574" s="135" t="s">
        <v>1625</v>
      </c>
      <c r="G574" s="135" t="s">
        <v>44</v>
      </c>
      <c r="H574" s="135" t="s">
        <v>2853</v>
      </c>
      <c r="I574" s="135" t="s">
        <v>52</v>
      </c>
      <c r="J574" s="135">
        <v>1.0</v>
      </c>
      <c r="K574" s="135"/>
      <c r="L574" s="135">
        <v>4350.0</v>
      </c>
      <c r="M574" s="135">
        <v>3100.0</v>
      </c>
      <c r="N574" s="135">
        <v>120.0</v>
      </c>
      <c r="O574" s="135">
        <v>1.71</v>
      </c>
      <c r="P574" s="136">
        <v>0.0</v>
      </c>
      <c r="Q574" s="137">
        <v>4.275</v>
      </c>
      <c r="R574" s="136">
        <v>46106.0</v>
      </c>
      <c r="S574" s="135" t="s">
        <v>3278</v>
      </c>
      <c r="T574" s="136"/>
      <c r="U574" s="135" t="s">
        <v>2864</v>
      </c>
      <c r="V574" s="135" t="s">
        <v>2865</v>
      </c>
      <c r="W574" s="135" t="s">
        <v>3307</v>
      </c>
      <c r="X574" s="135" t="s">
        <v>2867</v>
      </c>
      <c r="Y574" s="135"/>
      <c r="Z574" s="135" t="s">
        <v>2858</v>
      </c>
      <c r="AA574" s="135"/>
      <c r="AB574" s="135"/>
      <c r="AC574" s="135"/>
      <c r="AD574" s="135">
        <v>46118.0</v>
      </c>
      <c r="AE574" s="135"/>
      <c r="AF574" s="135"/>
      <c r="AG574" s="135"/>
    </row>
    <row r="575" ht="21.75" hidden="1" customHeight="1">
      <c r="A575" s="135">
        <v>571.0</v>
      </c>
      <c r="B575" s="135">
        <v>25045.0</v>
      </c>
      <c r="C575" s="135"/>
      <c r="D575" s="135">
        <v>3.0</v>
      </c>
      <c r="E575" s="135" t="s">
        <v>3305</v>
      </c>
      <c r="F575" s="135" t="s">
        <v>1626</v>
      </c>
      <c r="G575" s="135" t="s">
        <v>44</v>
      </c>
      <c r="H575" s="135" t="s">
        <v>2853</v>
      </c>
      <c r="I575" s="135" t="s">
        <v>52</v>
      </c>
      <c r="J575" s="135">
        <v>1.0</v>
      </c>
      <c r="K575" s="135"/>
      <c r="L575" s="135">
        <v>5590.0</v>
      </c>
      <c r="M575" s="135">
        <v>3100.0</v>
      </c>
      <c r="N575" s="135">
        <v>120.0</v>
      </c>
      <c r="O575" s="135">
        <v>2.16</v>
      </c>
      <c r="P575" s="136">
        <v>0.0</v>
      </c>
      <c r="Q575" s="137">
        <v>5.4</v>
      </c>
      <c r="R575" s="136">
        <v>46106.0</v>
      </c>
      <c r="S575" s="135" t="s">
        <v>3278</v>
      </c>
      <c r="T575" s="136"/>
      <c r="U575" s="135" t="s">
        <v>2855</v>
      </c>
      <c r="V575" s="135" t="s">
        <v>2868</v>
      </c>
      <c r="W575" s="135" t="s">
        <v>2871</v>
      </c>
      <c r="X575" s="135" t="s">
        <v>2872</v>
      </c>
      <c r="Y575" s="135"/>
      <c r="Z575" s="135" t="s">
        <v>2858</v>
      </c>
      <c r="AA575" s="135"/>
      <c r="AB575" s="135"/>
      <c r="AC575" s="135"/>
      <c r="AD575" s="135">
        <v>46111.0</v>
      </c>
      <c r="AE575" s="135"/>
      <c r="AF575" s="135"/>
      <c r="AG575" s="135"/>
    </row>
    <row r="576" ht="21.75" hidden="1" customHeight="1">
      <c r="A576" s="135">
        <v>572.0</v>
      </c>
      <c r="B576" s="135">
        <v>25045.0</v>
      </c>
      <c r="C576" s="135"/>
      <c r="D576" s="135">
        <v>3.0</v>
      </c>
      <c r="E576" s="135" t="s">
        <v>3305</v>
      </c>
      <c r="F576" s="135" t="s">
        <v>1627</v>
      </c>
      <c r="G576" s="135" t="s">
        <v>44</v>
      </c>
      <c r="H576" s="135" t="s">
        <v>2853</v>
      </c>
      <c r="I576" s="135" t="s">
        <v>52</v>
      </c>
      <c r="J576" s="135">
        <v>1.0</v>
      </c>
      <c r="K576" s="135"/>
      <c r="L576" s="135">
        <v>5140.0</v>
      </c>
      <c r="M576" s="135">
        <v>3100.0</v>
      </c>
      <c r="N576" s="135">
        <v>120.0</v>
      </c>
      <c r="O576" s="135">
        <v>2.0</v>
      </c>
      <c r="P576" s="136">
        <v>0.0</v>
      </c>
      <c r="Q576" s="137">
        <v>5.0</v>
      </c>
      <c r="R576" s="136">
        <v>46106.0</v>
      </c>
      <c r="S576" s="135" t="s">
        <v>3278</v>
      </c>
      <c r="T576" s="136"/>
      <c r="U576" s="135" t="s">
        <v>2855</v>
      </c>
      <c r="V576" s="135" t="s">
        <v>2868</v>
      </c>
      <c r="W576" s="135" t="s">
        <v>3308</v>
      </c>
      <c r="X576" s="135"/>
      <c r="Y576" s="135"/>
      <c r="Z576" s="135" t="s">
        <v>2858</v>
      </c>
      <c r="AA576" s="135"/>
      <c r="AB576" s="135"/>
      <c r="AC576" s="135"/>
      <c r="AD576" s="135">
        <v>46112.0</v>
      </c>
      <c r="AE576" s="135"/>
      <c r="AF576" s="135"/>
      <c r="AG576" s="135"/>
    </row>
    <row r="577" ht="21.75" hidden="1" customHeight="1">
      <c r="A577" s="135">
        <v>573.0</v>
      </c>
      <c r="B577" s="135">
        <v>25045.0</v>
      </c>
      <c r="C577" s="135"/>
      <c r="D577" s="135">
        <v>3.0</v>
      </c>
      <c r="E577" s="135" t="s">
        <v>3305</v>
      </c>
      <c r="F577" s="135" t="s">
        <v>1628</v>
      </c>
      <c r="G577" s="135" t="s">
        <v>44</v>
      </c>
      <c r="H577" s="135" t="s">
        <v>2853</v>
      </c>
      <c r="I577" s="135" t="s">
        <v>52</v>
      </c>
      <c r="J577" s="135">
        <v>1.0</v>
      </c>
      <c r="K577" s="135" t="s">
        <v>3134</v>
      </c>
      <c r="L577" s="135">
        <v>5170.0</v>
      </c>
      <c r="M577" s="135">
        <v>3220.0</v>
      </c>
      <c r="N577" s="135">
        <v>120.0</v>
      </c>
      <c r="O577" s="135">
        <v>2.32</v>
      </c>
      <c r="P577" s="136">
        <v>0.0</v>
      </c>
      <c r="Q577" s="137">
        <v>5.8</v>
      </c>
      <c r="R577" s="136">
        <v>46106.0</v>
      </c>
      <c r="S577" s="135" t="s">
        <v>3278</v>
      </c>
      <c r="T577" s="136"/>
      <c r="U577" s="135" t="s">
        <v>2855</v>
      </c>
      <c r="V577" s="135" t="s">
        <v>2878</v>
      </c>
      <c r="W577" s="135" t="s">
        <v>3283</v>
      </c>
      <c r="X577" s="135"/>
      <c r="Y577" s="135"/>
      <c r="Z577" s="135" t="s">
        <v>2858</v>
      </c>
      <c r="AA577" s="135"/>
      <c r="AB577" s="135"/>
      <c r="AC577" s="135"/>
      <c r="AD577" s="135">
        <v>46125.0</v>
      </c>
      <c r="AE577" s="135"/>
      <c r="AF577" s="135"/>
      <c r="AG577" s="135"/>
    </row>
    <row r="578" ht="21.75" hidden="1" customHeight="1">
      <c r="A578" s="135">
        <v>574.0</v>
      </c>
      <c r="B578" s="135">
        <v>25045.0</v>
      </c>
      <c r="C578" s="135"/>
      <c r="D578" s="135">
        <v>3.0</v>
      </c>
      <c r="E578" s="135" t="s">
        <v>3305</v>
      </c>
      <c r="F578" s="135" t="s">
        <v>1629</v>
      </c>
      <c r="G578" s="135" t="s">
        <v>44</v>
      </c>
      <c r="H578" s="135" t="s">
        <v>2853</v>
      </c>
      <c r="I578" s="135" t="s">
        <v>52</v>
      </c>
      <c r="J578" s="135">
        <v>1.0</v>
      </c>
      <c r="K578" s="135" t="s">
        <v>3134</v>
      </c>
      <c r="L578" s="135">
        <v>5170.0</v>
      </c>
      <c r="M578" s="135">
        <v>3220.0</v>
      </c>
      <c r="N578" s="135">
        <v>120.0</v>
      </c>
      <c r="O578" s="135">
        <v>2.32</v>
      </c>
      <c r="P578" s="136">
        <v>0.0</v>
      </c>
      <c r="Q578" s="137">
        <v>5.8</v>
      </c>
      <c r="R578" s="136">
        <v>46106.0</v>
      </c>
      <c r="S578" s="135" t="s">
        <v>3278</v>
      </c>
      <c r="T578" s="136"/>
      <c r="U578" s="135" t="s">
        <v>2855</v>
      </c>
      <c r="V578" s="135" t="s">
        <v>2878</v>
      </c>
      <c r="W578" s="135" t="s">
        <v>3283</v>
      </c>
      <c r="X578" s="135"/>
      <c r="Y578" s="135"/>
      <c r="Z578" s="135" t="s">
        <v>2858</v>
      </c>
      <c r="AA578" s="135"/>
      <c r="AB578" s="135"/>
      <c r="AC578" s="135"/>
      <c r="AD578" s="135">
        <v>46127.0</v>
      </c>
      <c r="AE578" s="135"/>
      <c r="AF578" s="135"/>
      <c r="AG578" s="135"/>
    </row>
    <row r="579" ht="21.75" hidden="1" customHeight="1">
      <c r="A579" s="135">
        <v>575.0</v>
      </c>
      <c r="B579" s="135">
        <v>25045.0</v>
      </c>
      <c r="C579" s="135"/>
      <c r="D579" s="135">
        <v>3.0</v>
      </c>
      <c r="E579" s="135" t="s">
        <v>3305</v>
      </c>
      <c r="F579" s="135" t="s">
        <v>1630</v>
      </c>
      <c r="G579" s="135" t="s">
        <v>44</v>
      </c>
      <c r="H579" s="135" t="s">
        <v>2853</v>
      </c>
      <c r="I579" s="135" t="s">
        <v>52</v>
      </c>
      <c r="J579" s="135">
        <v>1.0</v>
      </c>
      <c r="K579" s="135"/>
      <c r="L579" s="135">
        <v>5185.0</v>
      </c>
      <c r="M579" s="135">
        <v>3220.0</v>
      </c>
      <c r="N579" s="135">
        <v>120.0</v>
      </c>
      <c r="O579" s="135">
        <v>2.32</v>
      </c>
      <c r="P579" s="136">
        <v>0.0</v>
      </c>
      <c r="Q579" s="137">
        <v>5.8</v>
      </c>
      <c r="R579" s="136">
        <v>46106.0</v>
      </c>
      <c r="S579" s="135" t="s">
        <v>3278</v>
      </c>
      <c r="T579" s="136"/>
      <c r="U579" s="135" t="s">
        <v>2855</v>
      </c>
      <c r="V579" s="135" t="s">
        <v>2878</v>
      </c>
      <c r="W579" s="135" t="s">
        <v>3309</v>
      </c>
      <c r="X579" s="135"/>
      <c r="Y579" s="135"/>
      <c r="Z579" s="135" t="s">
        <v>2858</v>
      </c>
      <c r="AA579" s="135"/>
      <c r="AB579" s="135"/>
      <c r="AC579" s="135"/>
      <c r="AD579" s="135">
        <v>46133.0</v>
      </c>
      <c r="AE579" s="135"/>
      <c r="AF579" s="135"/>
      <c r="AG579" s="135"/>
    </row>
    <row r="580" ht="21.75" hidden="1" customHeight="1">
      <c r="A580" s="135">
        <v>576.0</v>
      </c>
      <c r="B580" s="135">
        <v>25045.0</v>
      </c>
      <c r="C580" s="135"/>
      <c r="D580" s="135">
        <v>3.0</v>
      </c>
      <c r="E580" s="135" t="s">
        <v>3305</v>
      </c>
      <c r="F580" s="135" t="s">
        <v>1631</v>
      </c>
      <c r="G580" s="135" t="s">
        <v>44</v>
      </c>
      <c r="H580" s="135" t="s">
        <v>2853</v>
      </c>
      <c r="I580" s="135" t="s">
        <v>52</v>
      </c>
      <c r="J580" s="135">
        <v>1.0</v>
      </c>
      <c r="K580" s="135"/>
      <c r="L580" s="135">
        <v>3080.0</v>
      </c>
      <c r="M580" s="135">
        <v>1250.0</v>
      </c>
      <c r="N580" s="135">
        <v>120.0</v>
      </c>
      <c r="O580" s="135">
        <v>0.49</v>
      </c>
      <c r="P580" s="136">
        <v>0.0</v>
      </c>
      <c r="Q580" s="137">
        <v>1.225</v>
      </c>
      <c r="R580" s="136">
        <v>46106.0</v>
      </c>
      <c r="S580" s="135" t="s">
        <v>3278</v>
      </c>
      <c r="T580" s="136"/>
      <c r="U580" s="135" t="s">
        <v>2864</v>
      </c>
      <c r="V580" s="135" t="s">
        <v>2856</v>
      </c>
      <c r="W580" s="135" t="s">
        <v>3310</v>
      </c>
      <c r="X580" s="135"/>
      <c r="Y580" s="135"/>
      <c r="Z580" s="135" t="s">
        <v>2858</v>
      </c>
      <c r="AA580" s="135"/>
      <c r="AB580" s="135"/>
      <c r="AC580" s="135"/>
      <c r="AD580" s="135">
        <v>46127.0</v>
      </c>
      <c r="AE580" s="135"/>
      <c r="AF580" s="135"/>
      <c r="AG580" s="135"/>
    </row>
    <row r="581" ht="21.75" hidden="1" customHeight="1">
      <c r="A581" s="135">
        <v>577.0</v>
      </c>
      <c r="B581" s="135">
        <v>25045.0</v>
      </c>
      <c r="C581" s="135"/>
      <c r="D581" s="135">
        <v>3.0</v>
      </c>
      <c r="E581" s="135" t="s">
        <v>3305</v>
      </c>
      <c r="F581" s="135" t="s">
        <v>1632</v>
      </c>
      <c r="G581" s="135" t="s">
        <v>44</v>
      </c>
      <c r="H581" s="135" t="s">
        <v>2853</v>
      </c>
      <c r="I581" s="135" t="s">
        <v>52</v>
      </c>
      <c r="J581" s="135">
        <v>1.0</v>
      </c>
      <c r="K581" s="135"/>
      <c r="L581" s="135">
        <v>3080.0</v>
      </c>
      <c r="M581" s="135">
        <v>1250.0</v>
      </c>
      <c r="N581" s="135">
        <v>120.0</v>
      </c>
      <c r="O581" s="135">
        <v>0.49</v>
      </c>
      <c r="P581" s="136">
        <v>0.0</v>
      </c>
      <c r="Q581" s="137">
        <v>1.225</v>
      </c>
      <c r="R581" s="136">
        <v>46106.0</v>
      </c>
      <c r="S581" s="135" t="s">
        <v>3278</v>
      </c>
      <c r="T581" s="136"/>
      <c r="U581" s="135" t="s">
        <v>2864</v>
      </c>
      <c r="V581" s="135" t="s">
        <v>2856</v>
      </c>
      <c r="W581" s="135" t="s">
        <v>3310</v>
      </c>
      <c r="X581" s="135"/>
      <c r="Y581" s="135"/>
      <c r="Z581" s="135" t="s">
        <v>2858</v>
      </c>
      <c r="AA581" s="135"/>
      <c r="AB581" s="135"/>
      <c r="AC581" s="135"/>
      <c r="AD581" s="135">
        <v>46130.0</v>
      </c>
      <c r="AE581" s="135"/>
      <c r="AF581" s="135"/>
      <c r="AG581" s="135"/>
    </row>
    <row r="582" ht="21.75" hidden="1" customHeight="1">
      <c r="A582" s="135">
        <v>578.0</v>
      </c>
      <c r="B582" s="135">
        <v>25045.0</v>
      </c>
      <c r="C582" s="135"/>
      <c r="D582" s="135">
        <v>3.0</v>
      </c>
      <c r="E582" s="135" t="s">
        <v>3305</v>
      </c>
      <c r="F582" s="135" t="s">
        <v>1633</v>
      </c>
      <c r="G582" s="135" t="s">
        <v>44</v>
      </c>
      <c r="H582" s="135" t="s">
        <v>2853</v>
      </c>
      <c r="I582" s="135" t="s">
        <v>52</v>
      </c>
      <c r="J582" s="135">
        <v>1.0</v>
      </c>
      <c r="K582" s="135"/>
      <c r="L582" s="135">
        <v>1780.0</v>
      </c>
      <c r="M582" s="135">
        <v>1510.0</v>
      </c>
      <c r="N582" s="135">
        <v>120.0</v>
      </c>
      <c r="O582" s="135">
        <v>0.41</v>
      </c>
      <c r="P582" s="136">
        <v>0.0</v>
      </c>
      <c r="Q582" s="137">
        <v>1.025</v>
      </c>
      <c r="R582" s="136">
        <v>46106.0</v>
      </c>
      <c r="S582" s="135" t="s">
        <v>3278</v>
      </c>
      <c r="T582" s="136"/>
      <c r="U582" s="135" t="s">
        <v>2864</v>
      </c>
      <c r="V582" s="135" t="s">
        <v>2856</v>
      </c>
      <c r="W582" s="135" t="s">
        <v>2901</v>
      </c>
      <c r="X582" s="135"/>
      <c r="Y582" s="135"/>
      <c r="Z582" s="135" t="s">
        <v>2858</v>
      </c>
      <c r="AA582" s="135"/>
      <c r="AB582" s="135"/>
      <c r="AC582" s="135"/>
      <c r="AD582" s="135">
        <v>46133.0</v>
      </c>
      <c r="AE582" s="135"/>
      <c r="AF582" s="135"/>
      <c r="AG582" s="135"/>
    </row>
    <row r="583" ht="21.75" hidden="1" customHeight="1">
      <c r="A583" s="135">
        <v>579.0</v>
      </c>
      <c r="B583" s="135">
        <v>25045.0</v>
      </c>
      <c r="C583" s="135" t="s">
        <v>2817</v>
      </c>
      <c r="D583" s="135">
        <v>4.0</v>
      </c>
      <c r="E583" s="135" t="s">
        <v>3146</v>
      </c>
      <c r="F583" s="135" t="s">
        <v>1380</v>
      </c>
      <c r="G583" s="135" t="s">
        <v>54</v>
      </c>
      <c r="H583" s="135" t="s">
        <v>2853</v>
      </c>
      <c r="I583" s="135" t="s">
        <v>55</v>
      </c>
      <c r="J583" s="135">
        <v>1.0</v>
      </c>
      <c r="K583" s="135" t="s">
        <v>3134</v>
      </c>
      <c r="L583" s="135">
        <v>5500.0</v>
      </c>
      <c r="M583" s="135">
        <v>1350.0</v>
      </c>
      <c r="N583" s="135">
        <v>120.0</v>
      </c>
      <c r="O583" s="135">
        <v>0.958</v>
      </c>
      <c r="P583" s="136">
        <v>0.0</v>
      </c>
      <c r="Q583" s="137">
        <v>2.395</v>
      </c>
      <c r="R583" s="136">
        <v>46107.0</v>
      </c>
      <c r="S583" s="135" t="s">
        <v>3173</v>
      </c>
      <c r="T583" s="136"/>
      <c r="U583" s="135" t="s">
        <v>2855</v>
      </c>
      <c r="V583" s="135" t="s">
        <v>2856</v>
      </c>
      <c r="W583" s="135" t="s">
        <v>3311</v>
      </c>
      <c r="X583" s="135"/>
      <c r="Y583" s="135"/>
      <c r="Z583" s="135" t="s">
        <v>2858</v>
      </c>
      <c r="AA583" s="135"/>
      <c r="AB583" s="135"/>
      <c r="AC583" s="135"/>
      <c r="AD583" s="135" t="e">
        <v>#N/A</v>
      </c>
      <c r="AE583" s="135"/>
      <c r="AF583" s="135"/>
      <c r="AG583" s="135"/>
    </row>
    <row r="584" ht="21.75" hidden="1" customHeight="1">
      <c r="A584" s="135">
        <v>580.0</v>
      </c>
      <c r="B584" s="135">
        <v>25045.0</v>
      </c>
      <c r="C584" s="135" t="s">
        <v>2817</v>
      </c>
      <c r="D584" s="135">
        <v>4.0</v>
      </c>
      <c r="E584" s="135" t="s">
        <v>3146</v>
      </c>
      <c r="F584" s="135" t="s">
        <v>1381</v>
      </c>
      <c r="G584" s="135" t="s">
        <v>54</v>
      </c>
      <c r="H584" s="135" t="s">
        <v>2853</v>
      </c>
      <c r="I584" s="135" t="s">
        <v>55</v>
      </c>
      <c r="J584" s="135">
        <v>1.0</v>
      </c>
      <c r="K584" s="135" t="s">
        <v>3134</v>
      </c>
      <c r="L584" s="135">
        <v>5500.0</v>
      </c>
      <c r="M584" s="135">
        <v>1350.0</v>
      </c>
      <c r="N584" s="135">
        <v>120.0</v>
      </c>
      <c r="O584" s="135">
        <v>0.958</v>
      </c>
      <c r="P584" s="136">
        <v>0.0</v>
      </c>
      <c r="Q584" s="137">
        <v>2.395</v>
      </c>
      <c r="R584" s="136">
        <v>46107.0</v>
      </c>
      <c r="S584" s="135" t="s">
        <v>3173</v>
      </c>
      <c r="T584" s="136"/>
      <c r="U584" s="135" t="s">
        <v>2855</v>
      </c>
      <c r="V584" s="135" t="s">
        <v>2856</v>
      </c>
      <c r="W584" s="135" t="s">
        <v>3311</v>
      </c>
      <c r="X584" s="135"/>
      <c r="Y584" s="135"/>
      <c r="Z584" s="135" t="s">
        <v>2858</v>
      </c>
      <c r="AA584" s="135"/>
      <c r="AB584" s="135"/>
      <c r="AC584" s="135"/>
      <c r="AD584" s="135" t="e">
        <v>#N/A</v>
      </c>
      <c r="AE584" s="135"/>
      <c r="AF584" s="135"/>
      <c r="AG584" s="135"/>
    </row>
    <row r="585" ht="21.75" hidden="1" customHeight="1">
      <c r="A585" s="135">
        <v>581.0</v>
      </c>
      <c r="B585" s="135">
        <v>25045.0</v>
      </c>
      <c r="C585" s="135" t="s">
        <v>2817</v>
      </c>
      <c r="D585" s="135">
        <v>4.0</v>
      </c>
      <c r="E585" s="135" t="s">
        <v>3146</v>
      </c>
      <c r="F585" s="135" t="s">
        <v>1382</v>
      </c>
      <c r="G585" s="135" t="s">
        <v>54</v>
      </c>
      <c r="H585" s="135" t="s">
        <v>2853</v>
      </c>
      <c r="I585" s="135" t="s">
        <v>55</v>
      </c>
      <c r="J585" s="135">
        <v>1.0</v>
      </c>
      <c r="K585" s="135" t="s">
        <v>3134</v>
      </c>
      <c r="L585" s="135">
        <v>5500.0</v>
      </c>
      <c r="M585" s="135">
        <v>1350.0</v>
      </c>
      <c r="N585" s="135">
        <v>120.0</v>
      </c>
      <c r="O585" s="135">
        <v>0.958</v>
      </c>
      <c r="P585" s="136">
        <v>0.0</v>
      </c>
      <c r="Q585" s="137">
        <v>2.395</v>
      </c>
      <c r="R585" s="136">
        <v>46107.0</v>
      </c>
      <c r="S585" s="135" t="s">
        <v>3173</v>
      </c>
      <c r="T585" s="136"/>
      <c r="U585" s="135" t="s">
        <v>2855</v>
      </c>
      <c r="V585" s="135" t="s">
        <v>2856</v>
      </c>
      <c r="W585" s="135" t="s">
        <v>3311</v>
      </c>
      <c r="X585" s="135"/>
      <c r="Y585" s="135"/>
      <c r="Z585" s="135" t="s">
        <v>2858</v>
      </c>
      <c r="AA585" s="135"/>
      <c r="AB585" s="135"/>
      <c r="AC585" s="135"/>
      <c r="AD585" s="135" t="e">
        <v>#N/A</v>
      </c>
      <c r="AE585" s="135"/>
      <c r="AF585" s="135"/>
      <c r="AG585" s="135"/>
    </row>
    <row r="586" ht="21.75" hidden="1" customHeight="1">
      <c r="A586" s="135">
        <v>582.0</v>
      </c>
      <c r="B586" s="135">
        <v>25045.0</v>
      </c>
      <c r="C586" s="135"/>
      <c r="D586" s="135">
        <v>4.0</v>
      </c>
      <c r="E586" s="135" t="s">
        <v>3146</v>
      </c>
      <c r="F586" s="135" t="s">
        <v>1383</v>
      </c>
      <c r="G586" s="135" t="s">
        <v>54</v>
      </c>
      <c r="H586" s="135" t="s">
        <v>2853</v>
      </c>
      <c r="I586" s="135" t="s">
        <v>55</v>
      </c>
      <c r="J586" s="135">
        <v>1.0</v>
      </c>
      <c r="K586" s="135"/>
      <c r="L586" s="135">
        <v>3217.0</v>
      </c>
      <c r="M586" s="135">
        <v>2800.0</v>
      </c>
      <c r="N586" s="135">
        <v>120.0</v>
      </c>
      <c r="O586" s="135">
        <v>1.169</v>
      </c>
      <c r="P586" s="136">
        <v>1.0</v>
      </c>
      <c r="Q586" s="137">
        <v>2.9225000000000003</v>
      </c>
      <c r="R586" s="136">
        <v>46107.0</v>
      </c>
      <c r="S586" s="135" t="s">
        <v>3173</v>
      </c>
      <c r="T586" s="136">
        <v>46122.0</v>
      </c>
      <c r="U586" s="135" t="s">
        <v>2864</v>
      </c>
      <c r="V586" s="135" t="s">
        <v>2878</v>
      </c>
      <c r="W586" s="135" t="s">
        <v>3312</v>
      </c>
      <c r="X586" s="135" t="s">
        <v>3313</v>
      </c>
      <c r="Y586" s="135"/>
      <c r="Z586" s="135" t="s">
        <v>2858</v>
      </c>
      <c r="AA586" s="135" t="s">
        <v>3314</v>
      </c>
      <c r="AB586" s="135"/>
      <c r="AC586" s="135"/>
      <c r="AD586" s="135">
        <v>46119.0</v>
      </c>
      <c r="AE586" s="135"/>
      <c r="AF586" s="135"/>
      <c r="AG586" s="135"/>
    </row>
    <row r="587" ht="21.75" hidden="1" customHeight="1">
      <c r="A587" s="135">
        <v>583.0</v>
      </c>
      <c r="B587" s="135">
        <v>25045.0</v>
      </c>
      <c r="C587" s="135" t="s">
        <v>2817</v>
      </c>
      <c r="D587" s="135">
        <v>4.0</v>
      </c>
      <c r="E587" s="135" t="s">
        <v>3230</v>
      </c>
      <c r="F587" s="135" t="s">
        <v>1481</v>
      </c>
      <c r="G587" s="135" t="s">
        <v>54</v>
      </c>
      <c r="H587" s="135" t="s">
        <v>2853</v>
      </c>
      <c r="I587" s="135" t="s">
        <v>63</v>
      </c>
      <c r="J587" s="135">
        <v>1.0</v>
      </c>
      <c r="K587" s="135"/>
      <c r="L587" s="135">
        <v>4595.0</v>
      </c>
      <c r="M587" s="135">
        <v>1350.0</v>
      </c>
      <c r="N587" s="135">
        <v>120.0</v>
      </c>
      <c r="O587" s="135">
        <v>0.881</v>
      </c>
      <c r="P587" s="136">
        <v>0.0</v>
      </c>
      <c r="Q587" s="137">
        <v>2.2025</v>
      </c>
      <c r="R587" s="136">
        <v>46107.0</v>
      </c>
      <c r="S587" s="135" t="s">
        <v>3173</v>
      </c>
      <c r="T587" s="136"/>
      <c r="U587" s="135" t="s">
        <v>2855</v>
      </c>
      <c r="V587" s="135" t="s">
        <v>2856</v>
      </c>
      <c r="W587" s="135" t="s">
        <v>3315</v>
      </c>
      <c r="X587" s="135"/>
      <c r="Y587" s="135"/>
      <c r="Z587" s="135" t="s">
        <v>2858</v>
      </c>
      <c r="AA587" s="135"/>
      <c r="AB587" s="135"/>
      <c r="AC587" s="135"/>
      <c r="AD587" s="135" t="e">
        <v>#N/A</v>
      </c>
      <c r="AE587" s="135"/>
      <c r="AF587" s="135"/>
      <c r="AG587" s="135"/>
    </row>
    <row r="588" ht="21.75" hidden="1" customHeight="1">
      <c r="A588" s="135">
        <v>584.0</v>
      </c>
      <c r="B588" s="135">
        <v>25045.0</v>
      </c>
      <c r="C588" s="135"/>
      <c r="D588" s="135">
        <v>4.0</v>
      </c>
      <c r="E588" s="135" t="s">
        <v>3255</v>
      </c>
      <c r="F588" s="135" t="s">
        <v>1519</v>
      </c>
      <c r="G588" s="135" t="s">
        <v>54</v>
      </c>
      <c r="H588" s="135" t="s">
        <v>2853</v>
      </c>
      <c r="I588" s="135" t="s">
        <v>65</v>
      </c>
      <c r="J588" s="135">
        <v>1.0</v>
      </c>
      <c r="K588" s="135"/>
      <c r="L588" s="135">
        <v>3420.0</v>
      </c>
      <c r="M588" s="135">
        <v>3500.0</v>
      </c>
      <c r="N588" s="135">
        <v>120.0</v>
      </c>
      <c r="O588" s="135">
        <v>1.584</v>
      </c>
      <c r="P588" s="136">
        <v>0.0</v>
      </c>
      <c r="Q588" s="137">
        <v>3.96</v>
      </c>
      <c r="R588" s="136">
        <v>46107.0</v>
      </c>
      <c r="S588" s="135" t="s">
        <v>3173</v>
      </c>
      <c r="T588" s="136"/>
      <c r="U588" s="135" t="s">
        <v>2864</v>
      </c>
      <c r="V588" s="135" t="s">
        <v>3041</v>
      </c>
      <c r="W588" s="135" t="s">
        <v>3316</v>
      </c>
      <c r="X588" s="135" t="s">
        <v>3317</v>
      </c>
      <c r="Y588" s="135"/>
      <c r="Z588" s="135" t="s">
        <v>2858</v>
      </c>
      <c r="AA588" s="135"/>
      <c r="AB588" s="135"/>
      <c r="AC588" s="135"/>
      <c r="AD588" s="135">
        <v>46126.0</v>
      </c>
      <c r="AE588" s="135"/>
      <c r="AF588" s="135"/>
      <c r="AG588" s="135"/>
    </row>
    <row r="589" ht="21.75" hidden="1" customHeight="1">
      <c r="A589" s="135">
        <v>585.0</v>
      </c>
      <c r="B589" s="135">
        <v>25045.0</v>
      </c>
      <c r="C589" s="135" t="s">
        <v>2817</v>
      </c>
      <c r="D589" s="135">
        <v>27.0</v>
      </c>
      <c r="E589" s="135" t="s">
        <v>3318</v>
      </c>
      <c r="F589" s="135" t="s">
        <v>389</v>
      </c>
      <c r="G589" s="135" t="s">
        <v>149</v>
      </c>
      <c r="H589" s="135" t="s">
        <v>2853</v>
      </c>
      <c r="I589" s="135" t="s">
        <v>150</v>
      </c>
      <c r="J589" s="135">
        <v>1.0</v>
      </c>
      <c r="K589" s="135"/>
      <c r="L589" s="135">
        <v>3820.0</v>
      </c>
      <c r="M589" s="135">
        <v>3000.0</v>
      </c>
      <c r="N589" s="135">
        <v>120.0</v>
      </c>
      <c r="O589" s="135">
        <v>1.25</v>
      </c>
      <c r="P589" s="136">
        <v>0.0</v>
      </c>
      <c r="Q589" s="137">
        <v>3.125</v>
      </c>
      <c r="R589" s="136">
        <v>46109.0</v>
      </c>
      <c r="S589" s="135" t="s">
        <v>3319</v>
      </c>
      <c r="T589" s="136"/>
      <c r="U589" s="135" t="s">
        <v>2864</v>
      </c>
      <c r="V589" s="135" t="s">
        <v>2865</v>
      </c>
      <c r="W589" s="135" t="s">
        <v>3320</v>
      </c>
      <c r="X589" s="135" t="s">
        <v>3321</v>
      </c>
      <c r="Y589" s="135"/>
      <c r="Z589" s="135" t="s">
        <v>2858</v>
      </c>
      <c r="AA589" s="135"/>
      <c r="AB589" s="135"/>
      <c r="AC589" s="135"/>
      <c r="AD589" s="135" t="e">
        <v>#N/A</v>
      </c>
      <c r="AE589" s="135"/>
      <c r="AF589" s="135"/>
      <c r="AG589" s="135"/>
    </row>
    <row r="590" ht="21.75" hidden="1" customHeight="1">
      <c r="A590" s="135">
        <v>586.0</v>
      </c>
      <c r="B590" s="135">
        <v>25045.0</v>
      </c>
      <c r="C590" s="135"/>
      <c r="D590" s="135">
        <v>27.0</v>
      </c>
      <c r="E590" s="135" t="s">
        <v>3318</v>
      </c>
      <c r="F590" s="135" t="s">
        <v>390</v>
      </c>
      <c r="G590" s="135" t="s">
        <v>149</v>
      </c>
      <c r="H590" s="135" t="s">
        <v>2853</v>
      </c>
      <c r="I590" s="135" t="s">
        <v>150</v>
      </c>
      <c r="J590" s="135">
        <v>1.0</v>
      </c>
      <c r="K590" s="135"/>
      <c r="L590" s="135">
        <v>4515.0</v>
      </c>
      <c r="M590" s="135">
        <v>3160.0</v>
      </c>
      <c r="N590" s="135">
        <v>120.0</v>
      </c>
      <c r="O590" s="135">
        <v>2.097</v>
      </c>
      <c r="P590" s="136">
        <v>0.0</v>
      </c>
      <c r="Q590" s="137">
        <v>5.2425</v>
      </c>
      <c r="R590" s="136">
        <v>46109.0</v>
      </c>
      <c r="S590" s="135" t="s">
        <v>3319</v>
      </c>
      <c r="T590" s="136"/>
      <c r="U590" s="135" t="s">
        <v>2855</v>
      </c>
      <c r="V590" s="135" t="s">
        <v>2878</v>
      </c>
      <c r="W590" s="135" t="s">
        <v>3322</v>
      </c>
      <c r="X590" s="135"/>
      <c r="Y590" s="135"/>
      <c r="Z590" s="135" t="s">
        <v>2858</v>
      </c>
      <c r="AA590" s="135"/>
      <c r="AB590" s="135"/>
      <c r="AC590" s="135"/>
      <c r="AD590" s="135">
        <v>46136.0</v>
      </c>
      <c r="AE590" s="135"/>
      <c r="AF590" s="135"/>
      <c r="AG590" s="135"/>
    </row>
    <row r="591" ht="21.75" hidden="1" customHeight="1">
      <c r="A591" s="135">
        <v>587.0</v>
      </c>
      <c r="B591" s="135">
        <v>25045.0</v>
      </c>
      <c r="C591" s="135" t="s">
        <v>2817</v>
      </c>
      <c r="D591" s="135">
        <v>27.0</v>
      </c>
      <c r="E591" s="135" t="s">
        <v>3323</v>
      </c>
      <c r="F591" s="135" t="s">
        <v>407</v>
      </c>
      <c r="G591" s="135" t="s">
        <v>149</v>
      </c>
      <c r="H591" s="135" t="s">
        <v>2853</v>
      </c>
      <c r="I591" s="135" t="s">
        <v>151</v>
      </c>
      <c r="J591" s="135">
        <v>1.0</v>
      </c>
      <c r="K591" s="135"/>
      <c r="L591" s="135">
        <v>4460.0</v>
      </c>
      <c r="M591" s="135">
        <v>2850.0</v>
      </c>
      <c r="N591" s="135">
        <v>120.0</v>
      </c>
      <c r="O591" s="135">
        <v>1.391</v>
      </c>
      <c r="P591" s="136">
        <v>0.0</v>
      </c>
      <c r="Q591" s="137">
        <v>3.4775</v>
      </c>
      <c r="R591" s="136">
        <v>46109.0</v>
      </c>
      <c r="S591" s="135" t="s">
        <v>3319</v>
      </c>
      <c r="T591" s="136"/>
      <c r="U591" s="135" t="s">
        <v>2864</v>
      </c>
      <c r="V591" s="135" t="s">
        <v>2865</v>
      </c>
      <c r="W591" s="135" t="s">
        <v>3324</v>
      </c>
      <c r="X591" s="135" t="s">
        <v>3321</v>
      </c>
      <c r="Y591" s="135"/>
      <c r="Z591" s="135" t="s">
        <v>2858</v>
      </c>
      <c r="AA591" s="135"/>
      <c r="AB591" s="135"/>
      <c r="AC591" s="135"/>
      <c r="AD591" s="135" t="e">
        <v>#N/A</v>
      </c>
      <c r="AE591" s="135"/>
      <c r="AF591" s="135"/>
      <c r="AG591" s="135"/>
    </row>
    <row r="592" ht="21.75" hidden="1" customHeight="1">
      <c r="A592" s="135">
        <v>588.0</v>
      </c>
      <c r="B592" s="135">
        <v>25045.0</v>
      </c>
      <c r="C592" s="135"/>
      <c r="D592" s="135">
        <v>27.0</v>
      </c>
      <c r="E592" s="135" t="s">
        <v>3323</v>
      </c>
      <c r="F592" s="135" t="s">
        <v>408</v>
      </c>
      <c r="G592" s="135" t="s">
        <v>149</v>
      </c>
      <c r="H592" s="135" t="s">
        <v>2853</v>
      </c>
      <c r="I592" s="135" t="s">
        <v>151</v>
      </c>
      <c r="J592" s="135">
        <v>1.0</v>
      </c>
      <c r="K592" s="135"/>
      <c r="L592" s="135">
        <v>4537.0</v>
      </c>
      <c r="M592" s="135">
        <v>3070.0</v>
      </c>
      <c r="N592" s="135">
        <v>120.0</v>
      </c>
      <c r="O592" s="135">
        <v>1.917</v>
      </c>
      <c r="P592" s="136">
        <v>0.0</v>
      </c>
      <c r="Q592" s="137">
        <v>4.7925</v>
      </c>
      <c r="R592" s="136">
        <v>46109.0</v>
      </c>
      <c r="S592" s="135" t="s">
        <v>3319</v>
      </c>
      <c r="T592" s="136"/>
      <c r="U592" s="135" t="s">
        <v>2855</v>
      </c>
      <c r="V592" s="135" t="s">
        <v>2876</v>
      </c>
      <c r="W592" s="135" t="s">
        <v>3325</v>
      </c>
      <c r="X592" s="135"/>
      <c r="Y592" s="135"/>
      <c r="Z592" s="135" t="s">
        <v>2858</v>
      </c>
      <c r="AA592" s="135"/>
      <c r="AB592" s="135"/>
      <c r="AC592" s="135"/>
      <c r="AD592" s="135">
        <v>46118.0</v>
      </c>
      <c r="AE592" s="135"/>
      <c r="AF592" s="135"/>
      <c r="AG592" s="135"/>
    </row>
    <row r="593" ht="21.75" hidden="1" customHeight="1">
      <c r="A593" s="135">
        <v>589.0</v>
      </c>
      <c r="B593" s="135">
        <v>25045.0</v>
      </c>
      <c r="C593" s="135"/>
      <c r="D593" s="135">
        <v>27.0</v>
      </c>
      <c r="E593" s="135" t="s">
        <v>3323</v>
      </c>
      <c r="F593" s="135" t="s">
        <v>409</v>
      </c>
      <c r="G593" s="135" t="s">
        <v>149</v>
      </c>
      <c r="H593" s="135" t="s">
        <v>2853</v>
      </c>
      <c r="I593" s="135" t="s">
        <v>151</v>
      </c>
      <c r="J593" s="135">
        <v>1.0</v>
      </c>
      <c r="K593" s="135" t="s">
        <v>3134</v>
      </c>
      <c r="L593" s="135">
        <v>4512.0</v>
      </c>
      <c r="M593" s="135">
        <v>3070.0</v>
      </c>
      <c r="N593" s="135">
        <v>120.0</v>
      </c>
      <c r="O593" s="135">
        <v>1.97</v>
      </c>
      <c r="P593" s="136">
        <v>0.0</v>
      </c>
      <c r="Q593" s="137">
        <v>4.925</v>
      </c>
      <c r="R593" s="136">
        <v>46109.0</v>
      </c>
      <c r="S593" s="135" t="s">
        <v>3319</v>
      </c>
      <c r="T593" s="136"/>
      <c r="U593" s="135" t="s">
        <v>2855</v>
      </c>
      <c r="V593" s="135" t="s">
        <v>2876</v>
      </c>
      <c r="W593" s="135" t="s">
        <v>3326</v>
      </c>
      <c r="X593" s="135"/>
      <c r="Y593" s="135"/>
      <c r="Z593" s="135" t="s">
        <v>2858</v>
      </c>
      <c r="AA593" s="135"/>
      <c r="AB593" s="135"/>
      <c r="AC593" s="135"/>
      <c r="AD593" s="135">
        <v>46116.0</v>
      </c>
      <c r="AE593" s="135"/>
      <c r="AF593" s="135"/>
      <c r="AG593" s="135"/>
    </row>
    <row r="594" ht="21.75" hidden="1" customHeight="1">
      <c r="A594" s="135">
        <v>590.0</v>
      </c>
      <c r="B594" s="135">
        <v>25045.0</v>
      </c>
      <c r="C594" s="135"/>
      <c r="D594" s="135">
        <v>27.0</v>
      </c>
      <c r="E594" s="135" t="s">
        <v>3323</v>
      </c>
      <c r="F594" s="135" t="s">
        <v>410</v>
      </c>
      <c r="G594" s="135" t="s">
        <v>149</v>
      </c>
      <c r="H594" s="135" t="s">
        <v>2853</v>
      </c>
      <c r="I594" s="135" t="s">
        <v>151</v>
      </c>
      <c r="J594" s="135">
        <v>1.0</v>
      </c>
      <c r="K594" s="135" t="s">
        <v>3134</v>
      </c>
      <c r="L594" s="135">
        <v>4512.0</v>
      </c>
      <c r="M594" s="135">
        <v>3070.0</v>
      </c>
      <c r="N594" s="135">
        <v>120.0</v>
      </c>
      <c r="O594" s="135">
        <v>1.97</v>
      </c>
      <c r="P594" s="136">
        <v>0.0</v>
      </c>
      <c r="Q594" s="137">
        <v>4.925</v>
      </c>
      <c r="R594" s="136">
        <v>46109.0</v>
      </c>
      <c r="S594" s="135" t="s">
        <v>3319</v>
      </c>
      <c r="T594" s="136"/>
      <c r="U594" s="135" t="s">
        <v>2855</v>
      </c>
      <c r="V594" s="135" t="s">
        <v>2876</v>
      </c>
      <c r="W594" s="135" t="s">
        <v>3326</v>
      </c>
      <c r="X594" s="135"/>
      <c r="Y594" s="135"/>
      <c r="Z594" s="135" t="s">
        <v>2858</v>
      </c>
      <c r="AA594" s="135"/>
      <c r="AB594" s="135"/>
      <c r="AC594" s="135"/>
      <c r="AD594" s="135">
        <v>46118.0</v>
      </c>
      <c r="AE594" s="135"/>
      <c r="AF594" s="135"/>
      <c r="AG594" s="135"/>
    </row>
    <row r="595" ht="21.75" hidden="1" customHeight="1">
      <c r="A595" s="135">
        <v>591.0</v>
      </c>
      <c r="B595" s="135">
        <v>25045.0</v>
      </c>
      <c r="C595" s="135"/>
      <c r="D595" s="135">
        <v>27.0</v>
      </c>
      <c r="E595" s="135" t="s">
        <v>3323</v>
      </c>
      <c r="F595" s="135" t="s">
        <v>411</v>
      </c>
      <c r="G595" s="135" t="s">
        <v>149</v>
      </c>
      <c r="H595" s="135" t="s">
        <v>2853</v>
      </c>
      <c r="I595" s="135" t="s">
        <v>151</v>
      </c>
      <c r="J595" s="135">
        <v>1.0</v>
      </c>
      <c r="K595" s="135" t="s">
        <v>3134</v>
      </c>
      <c r="L595" s="135">
        <v>4512.0</v>
      </c>
      <c r="M595" s="135">
        <v>3070.0</v>
      </c>
      <c r="N595" s="135">
        <v>120.0</v>
      </c>
      <c r="O595" s="135">
        <v>1.97</v>
      </c>
      <c r="P595" s="136">
        <v>0.0</v>
      </c>
      <c r="Q595" s="137">
        <v>4.925</v>
      </c>
      <c r="R595" s="136">
        <v>46109.0</v>
      </c>
      <c r="S595" s="135" t="s">
        <v>3319</v>
      </c>
      <c r="T595" s="136"/>
      <c r="U595" s="135" t="s">
        <v>2855</v>
      </c>
      <c r="V595" s="135" t="s">
        <v>2876</v>
      </c>
      <c r="W595" s="135" t="s">
        <v>3326</v>
      </c>
      <c r="X595" s="135"/>
      <c r="Y595" s="135"/>
      <c r="Z595" s="135" t="s">
        <v>2858</v>
      </c>
      <c r="AA595" s="135"/>
      <c r="AB595" s="135"/>
      <c r="AC595" s="135"/>
      <c r="AD595" s="135">
        <v>46119.0</v>
      </c>
      <c r="AE595" s="135"/>
      <c r="AF595" s="135"/>
      <c r="AG595" s="135"/>
    </row>
    <row r="596" ht="21.75" hidden="1" customHeight="1">
      <c r="A596" s="135">
        <v>592.0</v>
      </c>
      <c r="B596" s="135">
        <v>25045.0</v>
      </c>
      <c r="C596" s="135"/>
      <c r="D596" s="135">
        <v>27.0</v>
      </c>
      <c r="E596" s="135" t="s">
        <v>3323</v>
      </c>
      <c r="F596" s="135" t="s">
        <v>412</v>
      </c>
      <c r="G596" s="135" t="s">
        <v>149</v>
      </c>
      <c r="H596" s="135" t="s">
        <v>2853</v>
      </c>
      <c r="I596" s="135" t="s">
        <v>151</v>
      </c>
      <c r="J596" s="135">
        <v>1.0</v>
      </c>
      <c r="K596" s="135" t="s">
        <v>3134</v>
      </c>
      <c r="L596" s="135">
        <v>4347.0</v>
      </c>
      <c r="M596" s="135">
        <v>3160.0</v>
      </c>
      <c r="N596" s="135">
        <v>120.0</v>
      </c>
      <c r="O596" s="135">
        <v>2.12</v>
      </c>
      <c r="P596" s="136">
        <v>0.0</v>
      </c>
      <c r="Q596" s="137">
        <v>5.300000000000001</v>
      </c>
      <c r="R596" s="136">
        <v>46109.0</v>
      </c>
      <c r="S596" s="135" t="s">
        <v>3319</v>
      </c>
      <c r="T596" s="136"/>
      <c r="U596" s="135" t="s">
        <v>2855</v>
      </c>
      <c r="V596" s="135" t="s">
        <v>2878</v>
      </c>
      <c r="W596" s="135" t="s">
        <v>3327</v>
      </c>
      <c r="X596" s="135"/>
      <c r="Y596" s="135"/>
      <c r="Z596" s="135" t="s">
        <v>2858</v>
      </c>
      <c r="AA596" s="135"/>
      <c r="AB596" s="135"/>
      <c r="AC596" s="135"/>
      <c r="AD596" s="135">
        <v>46141.0</v>
      </c>
      <c r="AE596" s="135"/>
      <c r="AF596" s="135"/>
      <c r="AG596" s="135"/>
    </row>
    <row r="597" ht="21.75" hidden="1" customHeight="1">
      <c r="A597" s="135">
        <v>593.0</v>
      </c>
      <c r="B597" s="135">
        <v>25045.0</v>
      </c>
      <c r="C597" s="135"/>
      <c r="D597" s="135">
        <v>27.0</v>
      </c>
      <c r="E597" s="135" t="s">
        <v>3323</v>
      </c>
      <c r="F597" s="135" t="s">
        <v>413</v>
      </c>
      <c r="G597" s="135" t="s">
        <v>149</v>
      </c>
      <c r="H597" s="135" t="s">
        <v>2853</v>
      </c>
      <c r="I597" s="135" t="s">
        <v>151</v>
      </c>
      <c r="J597" s="135">
        <v>1.0</v>
      </c>
      <c r="K597" s="135" t="s">
        <v>3134</v>
      </c>
      <c r="L597" s="135">
        <v>4347.0</v>
      </c>
      <c r="M597" s="135">
        <v>3160.0</v>
      </c>
      <c r="N597" s="135">
        <v>120.0</v>
      </c>
      <c r="O597" s="135">
        <v>2.12</v>
      </c>
      <c r="P597" s="136">
        <v>0.0</v>
      </c>
      <c r="Q597" s="137">
        <v>5.300000000000001</v>
      </c>
      <c r="R597" s="136">
        <v>46109.0</v>
      </c>
      <c r="S597" s="135" t="s">
        <v>3319</v>
      </c>
      <c r="T597" s="136"/>
      <c r="U597" s="135" t="s">
        <v>2855</v>
      </c>
      <c r="V597" s="135" t="s">
        <v>2878</v>
      </c>
      <c r="W597" s="135" t="s">
        <v>3327</v>
      </c>
      <c r="X597" s="135"/>
      <c r="Y597" s="135"/>
      <c r="Z597" s="135" t="s">
        <v>2858</v>
      </c>
      <c r="AA597" s="135"/>
      <c r="AB597" s="135"/>
      <c r="AC597" s="135"/>
      <c r="AD597" s="135">
        <v>46142.0</v>
      </c>
      <c r="AE597" s="135"/>
      <c r="AF597" s="135"/>
      <c r="AG597" s="135"/>
    </row>
    <row r="598" ht="21.75" hidden="1" customHeight="1">
      <c r="A598" s="135">
        <v>594.0</v>
      </c>
      <c r="B598" s="135">
        <v>25045.0</v>
      </c>
      <c r="C598" s="135"/>
      <c r="D598" s="135">
        <v>27.0</v>
      </c>
      <c r="E598" s="135" t="s">
        <v>3323</v>
      </c>
      <c r="F598" s="135" t="s">
        <v>414</v>
      </c>
      <c r="G598" s="135" t="s">
        <v>149</v>
      </c>
      <c r="H598" s="135" t="s">
        <v>2853</v>
      </c>
      <c r="I598" s="135" t="s">
        <v>151</v>
      </c>
      <c r="J598" s="135">
        <v>1.0</v>
      </c>
      <c r="K598" s="135" t="s">
        <v>3134</v>
      </c>
      <c r="L598" s="135">
        <v>4347.0</v>
      </c>
      <c r="M598" s="135">
        <v>3160.0</v>
      </c>
      <c r="N598" s="135">
        <v>120.0</v>
      </c>
      <c r="O598" s="135">
        <v>2.12</v>
      </c>
      <c r="P598" s="136">
        <v>0.0</v>
      </c>
      <c r="Q598" s="137">
        <v>5.300000000000001</v>
      </c>
      <c r="R598" s="136">
        <v>46109.0</v>
      </c>
      <c r="S598" s="135" t="s">
        <v>3319</v>
      </c>
      <c r="T598" s="136"/>
      <c r="U598" s="135" t="s">
        <v>2855</v>
      </c>
      <c r="V598" s="135" t="s">
        <v>2878</v>
      </c>
      <c r="W598" s="135" t="s">
        <v>3327</v>
      </c>
      <c r="X598" s="135"/>
      <c r="Y598" s="135"/>
      <c r="Z598" s="135" t="s">
        <v>2858</v>
      </c>
      <c r="AA598" s="135"/>
      <c r="AB598" s="135"/>
      <c r="AC598" s="135"/>
      <c r="AD598" s="135">
        <v>46143.0</v>
      </c>
      <c r="AE598" s="135"/>
      <c r="AF598" s="135"/>
      <c r="AG598" s="135"/>
    </row>
    <row r="599" ht="21.75" hidden="1" customHeight="1">
      <c r="A599" s="135">
        <v>595.0</v>
      </c>
      <c r="B599" s="135">
        <v>25045.0</v>
      </c>
      <c r="C599" s="135"/>
      <c r="D599" s="135">
        <v>27.0</v>
      </c>
      <c r="E599" s="135" t="s">
        <v>3323</v>
      </c>
      <c r="F599" s="135" t="s">
        <v>415</v>
      </c>
      <c r="G599" s="135" t="s">
        <v>149</v>
      </c>
      <c r="H599" s="135" t="s">
        <v>2853</v>
      </c>
      <c r="I599" s="135" t="s">
        <v>151</v>
      </c>
      <c r="J599" s="135">
        <v>1.0</v>
      </c>
      <c r="K599" s="135"/>
      <c r="L599" s="135">
        <v>5015.0</v>
      </c>
      <c r="M599" s="135">
        <v>3160.0</v>
      </c>
      <c r="N599" s="135">
        <v>120.0</v>
      </c>
      <c r="O599" s="135">
        <v>2.238</v>
      </c>
      <c r="P599" s="136">
        <v>0.0</v>
      </c>
      <c r="Q599" s="137">
        <v>5.595</v>
      </c>
      <c r="R599" s="136">
        <v>46109.0</v>
      </c>
      <c r="S599" s="135" t="s">
        <v>3319</v>
      </c>
      <c r="T599" s="136"/>
      <c r="U599" s="135" t="s">
        <v>2855</v>
      </c>
      <c r="V599" s="135" t="s">
        <v>2878</v>
      </c>
      <c r="W599" s="135" t="s">
        <v>3328</v>
      </c>
      <c r="X599" s="135"/>
      <c r="Y599" s="135"/>
      <c r="Z599" s="135" t="s">
        <v>2858</v>
      </c>
      <c r="AA599" s="135"/>
      <c r="AB599" s="135"/>
      <c r="AC599" s="135"/>
      <c r="AD599" s="135">
        <v>46122.0</v>
      </c>
      <c r="AE599" s="135"/>
      <c r="AF599" s="135"/>
      <c r="AG599" s="135"/>
    </row>
    <row r="600" ht="21.75" hidden="1" customHeight="1">
      <c r="A600" s="135">
        <v>596.0</v>
      </c>
      <c r="B600" s="135">
        <v>25045.0</v>
      </c>
      <c r="C600" s="135"/>
      <c r="D600" s="135">
        <v>27.0</v>
      </c>
      <c r="E600" s="135" t="s">
        <v>3329</v>
      </c>
      <c r="F600" s="135" t="s">
        <v>424</v>
      </c>
      <c r="G600" s="135" t="s">
        <v>149</v>
      </c>
      <c r="H600" s="135" t="s">
        <v>2853</v>
      </c>
      <c r="I600" s="135" t="s">
        <v>152</v>
      </c>
      <c r="J600" s="135">
        <v>1.0</v>
      </c>
      <c r="K600" s="135"/>
      <c r="L600" s="135">
        <v>4413.0</v>
      </c>
      <c r="M600" s="135">
        <v>3030.0</v>
      </c>
      <c r="N600" s="135">
        <v>120.0</v>
      </c>
      <c r="O600" s="135">
        <v>1.863</v>
      </c>
      <c r="P600" s="136">
        <v>0.0</v>
      </c>
      <c r="Q600" s="137">
        <v>4.6575</v>
      </c>
      <c r="R600" s="136">
        <v>46109.0</v>
      </c>
      <c r="S600" s="135" t="s">
        <v>3319</v>
      </c>
      <c r="T600" s="136"/>
      <c r="U600" s="135" t="s">
        <v>2855</v>
      </c>
      <c r="V600" s="135" t="s">
        <v>2876</v>
      </c>
      <c r="W600" s="135" t="s">
        <v>3330</v>
      </c>
      <c r="X600" s="135"/>
      <c r="Y600" s="135"/>
      <c r="Z600" s="135" t="s">
        <v>2858</v>
      </c>
      <c r="AA600" s="135"/>
      <c r="AB600" s="135"/>
      <c r="AC600" s="135"/>
      <c r="AD600" s="135">
        <v>46119.0</v>
      </c>
      <c r="AE600" s="135"/>
      <c r="AF600" s="135"/>
      <c r="AG600" s="135"/>
    </row>
    <row r="601" ht="21.75" hidden="1" customHeight="1">
      <c r="A601" s="135">
        <v>597.0</v>
      </c>
      <c r="B601" s="135">
        <v>25045.0</v>
      </c>
      <c r="C601" s="135"/>
      <c r="D601" s="135">
        <v>27.0</v>
      </c>
      <c r="E601" s="135" t="s">
        <v>3329</v>
      </c>
      <c r="F601" s="135" t="s">
        <v>425</v>
      </c>
      <c r="G601" s="135" t="s">
        <v>149</v>
      </c>
      <c r="H601" s="135" t="s">
        <v>2853</v>
      </c>
      <c r="I601" s="135" t="s">
        <v>152</v>
      </c>
      <c r="J601" s="135">
        <v>1.0</v>
      </c>
      <c r="K601" s="135" t="s">
        <v>3134</v>
      </c>
      <c r="L601" s="135">
        <v>4413.0</v>
      </c>
      <c r="M601" s="135">
        <v>2880.0</v>
      </c>
      <c r="N601" s="135">
        <v>120.0</v>
      </c>
      <c r="O601" s="135">
        <v>1.843</v>
      </c>
      <c r="P601" s="136">
        <v>0.0</v>
      </c>
      <c r="Q601" s="137">
        <v>4.6075</v>
      </c>
      <c r="R601" s="136">
        <v>46109.0</v>
      </c>
      <c r="S601" s="135" t="s">
        <v>3319</v>
      </c>
      <c r="T601" s="136"/>
      <c r="U601" s="135" t="s">
        <v>2855</v>
      </c>
      <c r="V601" s="135" t="s">
        <v>2876</v>
      </c>
      <c r="W601" s="135" t="s">
        <v>3331</v>
      </c>
      <c r="X601" s="135"/>
      <c r="Y601" s="135"/>
      <c r="Z601" s="135" t="s">
        <v>2858</v>
      </c>
      <c r="AA601" s="135"/>
      <c r="AB601" s="135"/>
      <c r="AC601" s="135"/>
      <c r="AD601" s="135">
        <v>46120.0</v>
      </c>
      <c r="AE601" s="135"/>
      <c r="AF601" s="135"/>
      <c r="AG601" s="135"/>
    </row>
    <row r="602" ht="21.75" hidden="1" customHeight="1">
      <c r="A602" s="135">
        <v>598.0</v>
      </c>
      <c r="B602" s="135">
        <v>25045.0</v>
      </c>
      <c r="C602" s="135"/>
      <c r="D602" s="135">
        <v>27.0</v>
      </c>
      <c r="E602" s="135" t="s">
        <v>3329</v>
      </c>
      <c r="F602" s="135" t="s">
        <v>426</v>
      </c>
      <c r="G602" s="135" t="s">
        <v>149</v>
      </c>
      <c r="H602" s="135" t="s">
        <v>2853</v>
      </c>
      <c r="I602" s="135" t="s">
        <v>152</v>
      </c>
      <c r="J602" s="135">
        <v>1.0</v>
      </c>
      <c r="K602" s="135" t="s">
        <v>3134</v>
      </c>
      <c r="L602" s="135">
        <v>4413.0</v>
      </c>
      <c r="M602" s="135">
        <v>2880.0</v>
      </c>
      <c r="N602" s="135">
        <v>120.0</v>
      </c>
      <c r="O602" s="135">
        <v>1.843</v>
      </c>
      <c r="P602" s="136">
        <v>0.0</v>
      </c>
      <c r="Q602" s="137">
        <v>4.6075</v>
      </c>
      <c r="R602" s="136">
        <v>46109.0</v>
      </c>
      <c r="S602" s="135" t="s">
        <v>3319</v>
      </c>
      <c r="T602" s="136"/>
      <c r="U602" s="135" t="s">
        <v>2855</v>
      </c>
      <c r="V602" s="135" t="s">
        <v>2876</v>
      </c>
      <c r="W602" s="135" t="s">
        <v>3331</v>
      </c>
      <c r="X602" s="135"/>
      <c r="Y602" s="135"/>
      <c r="Z602" s="135" t="s">
        <v>2858</v>
      </c>
      <c r="AA602" s="135"/>
      <c r="AB602" s="135"/>
      <c r="AC602" s="135"/>
      <c r="AD602" s="135">
        <v>46121.0</v>
      </c>
      <c r="AE602" s="135"/>
      <c r="AF602" s="135"/>
      <c r="AG602" s="135"/>
    </row>
    <row r="603" ht="21.75" hidden="1" customHeight="1">
      <c r="A603" s="135">
        <v>599.0</v>
      </c>
      <c r="B603" s="135">
        <v>25045.0</v>
      </c>
      <c r="C603" s="135"/>
      <c r="D603" s="135">
        <v>27.0</v>
      </c>
      <c r="E603" s="135" t="s">
        <v>3329</v>
      </c>
      <c r="F603" s="135" t="s">
        <v>427</v>
      </c>
      <c r="G603" s="135" t="s">
        <v>149</v>
      </c>
      <c r="H603" s="135" t="s">
        <v>2853</v>
      </c>
      <c r="I603" s="135" t="s">
        <v>152</v>
      </c>
      <c r="J603" s="135">
        <v>1.0</v>
      </c>
      <c r="K603" s="135" t="s">
        <v>3134</v>
      </c>
      <c r="L603" s="135">
        <v>4413.0</v>
      </c>
      <c r="M603" s="135">
        <v>2880.0</v>
      </c>
      <c r="N603" s="135">
        <v>120.0</v>
      </c>
      <c r="O603" s="135">
        <v>1.843</v>
      </c>
      <c r="P603" s="136">
        <v>0.0</v>
      </c>
      <c r="Q603" s="137">
        <v>4.6075</v>
      </c>
      <c r="R603" s="136">
        <v>46109.0</v>
      </c>
      <c r="S603" s="135" t="s">
        <v>3319</v>
      </c>
      <c r="T603" s="136"/>
      <c r="U603" s="135" t="s">
        <v>2855</v>
      </c>
      <c r="V603" s="135" t="s">
        <v>2876</v>
      </c>
      <c r="W603" s="135" t="s">
        <v>3331</v>
      </c>
      <c r="X603" s="135"/>
      <c r="Y603" s="135"/>
      <c r="Z603" s="135" t="s">
        <v>2858</v>
      </c>
      <c r="AA603" s="135"/>
      <c r="AB603" s="135"/>
      <c r="AC603" s="135"/>
      <c r="AD603" s="135">
        <v>46122.0</v>
      </c>
      <c r="AE603" s="135"/>
      <c r="AF603" s="135"/>
      <c r="AG603" s="135"/>
    </row>
    <row r="604" ht="21.75" hidden="1" customHeight="1">
      <c r="A604" s="135">
        <v>600.0</v>
      </c>
      <c r="B604" s="135">
        <v>25045.0</v>
      </c>
      <c r="C604" s="135"/>
      <c r="D604" s="135">
        <v>27.0</v>
      </c>
      <c r="E604" s="135" t="s">
        <v>3329</v>
      </c>
      <c r="F604" s="135" t="s">
        <v>428</v>
      </c>
      <c r="G604" s="135" t="s">
        <v>149</v>
      </c>
      <c r="H604" s="135" t="s">
        <v>2853</v>
      </c>
      <c r="I604" s="135" t="s">
        <v>152</v>
      </c>
      <c r="J604" s="135">
        <v>1.0</v>
      </c>
      <c r="K604" s="135" t="s">
        <v>3134</v>
      </c>
      <c r="L604" s="135">
        <v>4413.0</v>
      </c>
      <c r="M604" s="135">
        <v>2880.0</v>
      </c>
      <c r="N604" s="135">
        <v>120.0</v>
      </c>
      <c r="O604" s="135">
        <v>1.843</v>
      </c>
      <c r="P604" s="136">
        <v>0.0</v>
      </c>
      <c r="Q604" s="137">
        <v>4.6075</v>
      </c>
      <c r="R604" s="136">
        <v>46109.0</v>
      </c>
      <c r="S604" s="135" t="s">
        <v>3319</v>
      </c>
      <c r="T604" s="136"/>
      <c r="U604" s="135" t="s">
        <v>2855</v>
      </c>
      <c r="V604" s="135" t="s">
        <v>2876</v>
      </c>
      <c r="W604" s="135" t="s">
        <v>3331</v>
      </c>
      <c r="X604" s="135"/>
      <c r="Y604" s="135"/>
      <c r="Z604" s="135" t="s">
        <v>2858</v>
      </c>
      <c r="AA604" s="135"/>
      <c r="AB604" s="135"/>
      <c r="AC604" s="135"/>
      <c r="AD604" s="135">
        <v>46123.0</v>
      </c>
      <c r="AE604" s="135"/>
      <c r="AF604" s="135"/>
      <c r="AG604" s="135"/>
    </row>
    <row r="605" ht="21.75" hidden="1" customHeight="1">
      <c r="A605" s="135">
        <v>601.0</v>
      </c>
      <c r="B605" s="135">
        <v>25045.0</v>
      </c>
      <c r="C605" s="135"/>
      <c r="D605" s="135">
        <v>27.0</v>
      </c>
      <c r="E605" s="135" t="s">
        <v>3329</v>
      </c>
      <c r="F605" s="135" t="s">
        <v>429</v>
      </c>
      <c r="G605" s="135" t="s">
        <v>149</v>
      </c>
      <c r="H605" s="135" t="s">
        <v>2853</v>
      </c>
      <c r="I605" s="135" t="s">
        <v>152</v>
      </c>
      <c r="J605" s="135">
        <v>1.0</v>
      </c>
      <c r="K605" s="135" t="s">
        <v>3134</v>
      </c>
      <c r="L605" s="135">
        <v>4394.0</v>
      </c>
      <c r="M605" s="135">
        <v>3070.0</v>
      </c>
      <c r="N605" s="135">
        <v>120.0</v>
      </c>
      <c r="O605" s="135">
        <v>1.938</v>
      </c>
      <c r="P605" s="136">
        <v>0.0</v>
      </c>
      <c r="Q605" s="137">
        <v>4.845</v>
      </c>
      <c r="R605" s="136">
        <v>46109.0</v>
      </c>
      <c r="S605" s="135" t="s">
        <v>3319</v>
      </c>
      <c r="T605" s="136"/>
      <c r="U605" s="135" t="s">
        <v>2855</v>
      </c>
      <c r="V605" s="135" t="s">
        <v>2876</v>
      </c>
      <c r="W605" s="135" t="s">
        <v>3332</v>
      </c>
      <c r="X605" s="135"/>
      <c r="Y605" s="135"/>
      <c r="Z605" s="135" t="s">
        <v>2858</v>
      </c>
      <c r="AA605" s="135"/>
      <c r="AB605" s="135"/>
      <c r="AC605" s="135"/>
      <c r="AD605" s="135">
        <v>46118.0</v>
      </c>
      <c r="AE605" s="135"/>
      <c r="AF605" s="135"/>
      <c r="AG605" s="135"/>
    </row>
    <row r="606" ht="21.75" hidden="1" customHeight="1">
      <c r="A606" s="135">
        <v>602.0</v>
      </c>
      <c r="B606" s="135">
        <v>25045.0</v>
      </c>
      <c r="C606" s="135"/>
      <c r="D606" s="135">
        <v>27.0</v>
      </c>
      <c r="E606" s="135" t="s">
        <v>3329</v>
      </c>
      <c r="F606" s="135" t="s">
        <v>430</v>
      </c>
      <c r="G606" s="135" t="s">
        <v>149</v>
      </c>
      <c r="H606" s="135" t="s">
        <v>2853</v>
      </c>
      <c r="I606" s="135" t="s">
        <v>152</v>
      </c>
      <c r="J606" s="135">
        <v>1.0</v>
      </c>
      <c r="K606" s="135" t="s">
        <v>3134</v>
      </c>
      <c r="L606" s="135">
        <v>4394.0</v>
      </c>
      <c r="M606" s="135">
        <v>3070.0</v>
      </c>
      <c r="N606" s="135">
        <v>120.0</v>
      </c>
      <c r="O606" s="135">
        <v>1.938</v>
      </c>
      <c r="P606" s="136">
        <v>0.0</v>
      </c>
      <c r="Q606" s="137">
        <v>4.845</v>
      </c>
      <c r="R606" s="136">
        <v>46109.0</v>
      </c>
      <c r="S606" s="135" t="s">
        <v>3319</v>
      </c>
      <c r="T606" s="136"/>
      <c r="U606" s="135" t="s">
        <v>2855</v>
      </c>
      <c r="V606" s="135" t="s">
        <v>2876</v>
      </c>
      <c r="W606" s="135" t="s">
        <v>3332</v>
      </c>
      <c r="X606" s="135"/>
      <c r="Y606" s="135"/>
      <c r="Z606" s="135" t="s">
        <v>2858</v>
      </c>
      <c r="AA606" s="135"/>
      <c r="AB606" s="135"/>
      <c r="AC606" s="135"/>
      <c r="AD606" s="135">
        <v>46119.0</v>
      </c>
      <c r="AE606" s="135"/>
      <c r="AF606" s="135"/>
      <c r="AG606" s="135"/>
    </row>
    <row r="607" ht="21.75" hidden="1" customHeight="1">
      <c r="A607" s="135">
        <v>603.0</v>
      </c>
      <c r="B607" s="135">
        <v>25045.0</v>
      </c>
      <c r="C607" s="135"/>
      <c r="D607" s="135">
        <v>27.0</v>
      </c>
      <c r="E607" s="135" t="s">
        <v>3329</v>
      </c>
      <c r="F607" s="135" t="s">
        <v>431</v>
      </c>
      <c r="G607" s="135" t="s">
        <v>149</v>
      </c>
      <c r="H607" s="135" t="s">
        <v>2853</v>
      </c>
      <c r="I607" s="135" t="s">
        <v>152</v>
      </c>
      <c r="J607" s="135">
        <v>1.0</v>
      </c>
      <c r="K607" s="135" t="s">
        <v>3134</v>
      </c>
      <c r="L607" s="135">
        <v>4394.0</v>
      </c>
      <c r="M607" s="135">
        <v>3070.0</v>
      </c>
      <c r="N607" s="135">
        <v>120.0</v>
      </c>
      <c r="O607" s="135">
        <v>1.938</v>
      </c>
      <c r="P607" s="136">
        <v>0.0</v>
      </c>
      <c r="Q607" s="137">
        <v>4.845</v>
      </c>
      <c r="R607" s="136">
        <v>46109.0</v>
      </c>
      <c r="S607" s="135" t="s">
        <v>3319</v>
      </c>
      <c r="T607" s="136"/>
      <c r="U607" s="135" t="s">
        <v>2855</v>
      </c>
      <c r="V607" s="135" t="s">
        <v>2876</v>
      </c>
      <c r="W607" s="135" t="s">
        <v>3332</v>
      </c>
      <c r="X607" s="135"/>
      <c r="Y607" s="135"/>
      <c r="Z607" s="135" t="s">
        <v>2858</v>
      </c>
      <c r="AA607" s="135"/>
      <c r="AB607" s="135"/>
      <c r="AC607" s="135"/>
      <c r="AD607" s="135">
        <v>46120.0</v>
      </c>
      <c r="AE607" s="135"/>
      <c r="AF607" s="135"/>
      <c r="AG607" s="135"/>
    </row>
    <row r="608" ht="21.75" hidden="1" customHeight="1">
      <c r="A608" s="135">
        <v>604.0</v>
      </c>
      <c r="B608" s="135">
        <v>25045.0</v>
      </c>
      <c r="C608" s="135"/>
      <c r="D608" s="135">
        <v>27.0</v>
      </c>
      <c r="E608" s="135" t="s">
        <v>3329</v>
      </c>
      <c r="F608" s="135" t="s">
        <v>432</v>
      </c>
      <c r="G608" s="135" t="s">
        <v>149</v>
      </c>
      <c r="H608" s="135" t="s">
        <v>2853</v>
      </c>
      <c r="I608" s="135" t="s">
        <v>152</v>
      </c>
      <c r="J608" s="135">
        <v>1.0</v>
      </c>
      <c r="K608" s="135"/>
      <c r="L608" s="135">
        <v>5015.0</v>
      </c>
      <c r="M608" s="135">
        <v>3070.0</v>
      </c>
      <c r="N608" s="135">
        <v>120.0</v>
      </c>
      <c r="O608" s="135">
        <v>2.047</v>
      </c>
      <c r="P608" s="136">
        <v>0.0</v>
      </c>
      <c r="Q608" s="137">
        <v>5.117500000000001</v>
      </c>
      <c r="R608" s="136">
        <v>46109.0</v>
      </c>
      <c r="S608" s="135" t="s">
        <v>3319</v>
      </c>
      <c r="T608" s="136"/>
      <c r="U608" s="135" t="s">
        <v>2855</v>
      </c>
      <c r="V608" s="135" t="s">
        <v>2876</v>
      </c>
      <c r="W608" s="135" t="s">
        <v>3058</v>
      </c>
      <c r="X608" s="135"/>
      <c r="Y608" s="135"/>
      <c r="Z608" s="135" t="s">
        <v>2858</v>
      </c>
      <c r="AA608" s="135"/>
      <c r="AB608" s="135"/>
      <c r="AC608" s="135"/>
      <c r="AD608" s="135">
        <v>46123.0</v>
      </c>
      <c r="AE608" s="135"/>
      <c r="AF608" s="135"/>
      <c r="AG608" s="135"/>
    </row>
    <row r="609" ht="21.75" hidden="1" customHeight="1">
      <c r="A609" s="135">
        <v>605.0</v>
      </c>
      <c r="B609" s="135">
        <v>25045.0</v>
      </c>
      <c r="C609" s="135"/>
      <c r="D609" s="135">
        <v>27.0</v>
      </c>
      <c r="E609" s="135" t="s">
        <v>3329</v>
      </c>
      <c r="F609" s="135" t="s">
        <v>433</v>
      </c>
      <c r="G609" s="135" t="s">
        <v>149</v>
      </c>
      <c r="H609" s="135" t="s">
        <v>2853</v>
      </c>
      <c r="I609" s="135" t="s">
        <v>152</v>
      </c>
      <c r="J609" s="135">
        <v>1.0</v>
      </c>
      <c r="K609" s="135"/>
      <c r="L609" s="135">
        <v>1797.0</v>
      </c>
      <c r="M609" s="135">
        <v>1200.0</v>
      </c>
      <c r="N609" s="135">
        <v>120.0</v>
      </c>
      <c r="O609" s="135">
        <v>0.378</v>
      </c>
      <c r="P609" s="136">
        <v>0.0</v>
      </c>
      <c r="Q609" s="137">
        <v>0.9450000000000001</v>
      </c>
      <c r="R609" s="136">
        <v>46109.0</v>
      </c>
      <c r="S609" s="135" t="s">
        <v>3319</v>
      </c>
      <c r="T609" s="136"/>
      <c r="U609" s="135" t="s">
        <v>2864</v>
      </c>
      <c r="V609" s="135" t="s">
        <v>2953</v>
      </c>
      <c r="W609" s="135" t="s">
        <v>3333</v>
      </c>
      <c r="X609" s="135"/>
      <c r="Y609" s="135"/>
      <c r="Z609" s="135" t="s">
        <v>2858</v>
      </c>
      <c r="AA609" s="135"/>
      <c r="AB609" s="135"/>
      <c r="AC609" s="135"/>
      <c r="AD609" s="135">
        <v>46149.0</v>
      </c>
      <c r="AE609" s="135"/>
      <c r="AF609" s="135"/>
      <c r="AG609" s="135"/>
    </row>
    <row r="610" ht="21.75" hidden="1" customHeight="1">
      <c r="A610" s="135">
        <v>606.0</v>
      </c>
      <c r="B610" s="135">
        <v>25045.0</v>
      </c>
      <c r="C610" s="135"/>
      <c r="D610" s="135">
        <v>27.0</v>
      </c>
      <c r="E610" s="135" t="s">
        <v>3329</v>
      </c>
      <c r="F610" s="135" t="s">
        <v>434</v>
      </c>
      <c r="G610" s="135" t="s">
        <v>149</v>
      </c>
      <c r="H610" s="135" t="s">
        <v>2853</v>
      </c>
      <c r="I610" s="135" t="s">
        <v>152</v>
      </c>
      <c r="J610" s="135">
        <v>1.0</v>
      </c>
      <c r="K610" s="135"/>
      <c r="L610" s="135">
        <v>2829.0</v>
      </c>
      <c r="M610" s="135">
        <v>1000.0</v>
      </c>
      <c r="N610" s="135">
        <v>120.0</v>
      </c>
      <c r="O610" s="135">
        <v>0.474</v>
      </c>
      <c r="P610" s="136">
        <v>0.0</v>
      </c>
      <c r="Q610" s="137">
        <v>1.185</v>
      </c>
      <c r="R610" s="136">
        <v>46109.0</v>
      </c>
      <c r="S610" s="135" t="s">
        <v>3319</v>
      </c>
      <c r="T610" s="136"/>
      <c r="U610" s="135" t="s">
        <v>2864</v>
      </c>
      <c r="V610" s="135" t="s">
        <v>2951</v>
      </c>
      <c r="W610" s="135" t="s">
        <v>3334</v>
      </c>
      <c r="X610" s="135"/>
      <c r="Y610" s="135"/>
      <c r="Z610" s="135" t="s">
        <v>2858</v>
      </c>
      <c r="AA610" s="135"/>
      <c r="AB610" s="135"/>
      <c r="AC610" s="135"/>
      <c r="AD610" s="135">
        <v>0.0</v>
      </c>
      <c r="AE610" s="135"/>
      <c r="AF610" s="135"/>
      <c r="AG610" s="135"/>
    </row>
    <row r="611" ht="21.75" hidden="1" customHeight="1">
      <c r="A611" s="135">
        <v>607.0</v>
      </c>
      <c r="B611" s="135">
        <v>25045.0</v>
      </c>
      <c r="C611" s="135" t="s">
        <v>2817</v>
      </c>
      <c r="D611" s="135">
        <v>27.0</v>
      </c>
      <c r="E611" s="135" t="s">
        <v>3335</v>
      </c>
      <c r="F611" s="135" t="s">
        <v>450</v>
      </c>
      <c r="G611" s="135" t="s">
        <v>149</v>
      </c>
      <c r="H611" s="135" t="s">
        <v>2853</v>
      </c>
      <c r="I611" s="135" t="s">
        <v>153</v>
      </c>
      <c r="J611" s="135">
        <v>1.0</v>
      </c>
      <c r="K611" s="135"/>
      <c r="L611" s="135">
        <v>2410.0</v>
      </c>
      <c r="M611" s="135">
        <v>1350.0</v>
      </c>
      <c r="N611" s="135">
        <v>120.0</v>
      </c>
      <c r="O611" s="135">
        <v>0.48</v>
      </c>
      <c r="P611" s="136">
        <v>0.0</v>
      </c>
      <c r="Q611" s="137">
        <v>1.2</v>
      </c>
      <c r="R611" s="136">
        <v>46109.0</v>
      </c>
      <c r="S611" s="135" t="s">
        <v>3319</v>
      </c>
      <c r="T611" s="136"/>
      <c r="U611" s="135" t="s">
        <v>2864</v>
      </c>
      <c r="V611" s="135" t="s">
        <v>2856</v>
      </c>
      <c r="W611" s="135" t="s">
        <v>3336</v>
      </c>
      <c r="X611" s="135"/>
      <c r="Y611" s="135"/>
      <c r="Z611" s="135" t="s">
        <v>2858</v>
      </c>
      <c r="AA611" s="135"/>
      <c r="AB611" s="135"/>
      <c r="AC611" s="135"/>
      <c r="AD611" s="135" t="e">
        <v>#N/A</v>
      </c>
      <c r="AE611" s="135"/>
      <c r="AF611" s="135"/>
      <c r="AG611" s="135"/>
    </row>
    <row r="612" ht="21.75" hidden="1" customHeight="1">
      <c r="A612" s="135">
        <v>608.0</v>
      </c>
      <c r="B612" s="135">
        <v>25045.0</v>
      </c>
      <c r="C612" s="135" t="s">
        <v>2817</v>
      </c>
      <c r="D612" s="135">
        <v>27.0</v>
      </c>
      <c r="E612" s="135" t="s">
        <v>3335</v>
      </c>
      <c r="F612" s="135" t="s">
        <v>451</v>
      </c>
      <c r="G612" s="135" t="s">
        <v>149</v>
      </c>
      <c r="H612" s="135" t="s">
        <v>2853</v>
      </c>
      <c r="I612" s="135" t="s">
        <v>153</v>
      </c>
      <c r="J612" s="135">
        <v>1.0</v>
      </c>
      <c r="K612" s="135" t="s">
        <v>3134</v>
      </c>
      <c r="L612" s="135">
        <v>3000.0</v>
      </c>
      <c r="M612" s="135">
        <v>1350.0</v>
      </c>
      <c r="N612" s="135">
        <v>120.0</v>
      </c>
      <c r="O612" s="135">
        <v>0.529</v>
      </c>
      <c r="P612" s="136">
        <v>0.0</v>
      </c>
      <c r="Q612" s="137">
        <v>1.3225</v>
      </c>
      <c r="R612" s="136">
        <v>46109.0</v>
      </c>
      <c r="S612" s="135" t="s">
        <v>3319</v>
      </c>
      <c r="T612" s="136"/>
      <c r="U612" s="135" t="s">
        <v>2864</v>
      </c>
      <c r="V612" s="135" t="s">
        <v>2856</v>
      </c>
      <c r="W612" s="135" t="s">
        <v>2923</v>
      </c>
      <c r="X612" s="135"/>
      <c r="Y612" s="135"/>
      <c r="Z612" s="135" t="s">
        <v>2858</v>
      </c>
      <c r="AA612" s="135"/>
      <c r="AB612" s="135"/>
      <c r="AC612" s="135"/>
      <c r="AD612" s="135">
        <v>46118.0</v>
      </c>
      <c r="AE612" s="135"/>
      <c r="AF612" s="135"/>
      <c r="AG612" s="135"/>
    </row>
    <row r="613" ht="21.75" hidden="1" customHeight="1">
      <c r="A613" s="135">
        <v>609.0</v>
      </c>
      <c r="B613" s="135">
        <v>25045.0</v>
      </c>
      <c r="C613" s="135" t="s">
        <v>2817</v>
      </c>
      <c r="D613" s="135">
        <v>27.0</v>
      </c>
      <c r="E613" s="135" t="s">
        <v>3335</v>
      </c>
      <c r="F613" s="135" t="s">
        <v>452</v>
      </c>
      <c r="G613" s="135" t="s">
        <v>149</v>
      </c>
      <c r="H613" s="135" t="s">
        <v>2853</v>
      </c>
      <c r="I613" s="135" t="s">
        <v>153</v>
      </c>
      <c r="J613" s="135">
        <v>1.0</v>
      </c>
      <c r="K613" s="135" t="s">
        <v>3134</v>
      </c>
      <c r="L613" s="135">
        <v>3000.0</v>
      </c>
      <c r="M613" s="135">
        <v>1350.0</v>
      </c>
      <c r="N613" s="135">
        <v>120.0</v>
      </c>
      <c r="O613" s="135">
        <v>0.529</v>
      </c>
      <c r="P613" s="136">
        <v>0.0</v>
      </c>
      <c r="Q613" s="137">
        <v>1.3225</v>
      </c>
      <c r="R613" s="136">
        <v>46109.0</v>
      </c>
      <c r="S613" s="135" t="s">
        <v>3319</v>
      </c>
      <c r="T613" s="136"/>
      <c r="U613" s="135" t="s">
        <v>2864</v>
      </c>
      <c r="V613" s="135" t="s">
        <v>2856</v>
      </c>
      <c r="W613" s="135" t="s">
        <v>2923</v>
      </c>
      <c r="X613" s="135"/>
      <c r="Y613" s="135"/>
      <c r="Z613" s="135" t="s">
        <v>2858</v>
      </c>
      <c r="AA613" s="135"/>
      <c r="AB613" s="135"/>
      <c r="AC613" s="135"/>
      <c r="AD613" s="135">
        <v>46119.0</v>
      </c>
      <c r="AE613" s="135"/>
      <c r="AF613" s="135"/>
      <c r="AG613" s="135"/>
    </row>
    <row r="614" ht="21.75" hidden="1" customHeight="1">
      <c r="A614" s="135">
        <v>610.0</v>
      </c>
      <c r="B614" s="135">
        <v>25045.0</v>
      </c>
      <c r="C614" s="135" t="s">
        <v>2817</v>
      </c>
      <c r="D614" s="135">
        <v>27.0</v>
      </c>
      <c r="E614" s="135" t="s">
        <v>3335</v>
      </c>
      <c r="F614" s="135" t="s">
        <v>453</v>
      </c>
      <c r="G614" s="135" t="s">
        <v>149</v>
      </c>
      <c r="H614" s="135" t="s">
        <v>2853</v>
      </c>
      <c r="I614" s="135" t="s">
        <v>153</v>
      </c>
      <c r="J614" s="135">
        <v>1.0</v>
      </c>
      <c r="K614" s="135" t="s">
        <v>3134</v>
      </c>
      <c r="L614" s="135">
        <v>3000.0</v>
      </c>
      <c r="M614" s="135">
        <v>1350.0</v>
      </c>
      <c r="N614" s="135">
        <v>120.0</v>
      </c>
      <c r="O614" s="135">
        <v>0.529</v>
      </c>
      <c r="P614" s="136">
        <v>0.0</v>
      </c>
      <c r="Q614" s="137">
        <v>1.3225</v>
      </c>
      <c r="R614" s="136">
        <v>46109.0</v>
      </c>
      <c r="S614" s="135" t="s">
        <v>3319</v>
      </c>
      <c r="T614" s="136"/>
      <c r="U614" s="135" t="s">
        <v>2864</v>
      </c>
      <c r="V614" s="135" t="s">
        <v>2856</v>
      </c>
      <c r="W614" s="135" t="s">
        <v>2923</v>
      </c>
      <c r="X614" s="135"/>
      <c r="Y614" s="135"/>
      <c r="Z614" s="135" t="s">
        <v>2858</v>
      </c>
      <c r="AA614" s="135"/>
      <c r="AB614" s="135"/>
      <c r="AC614" s="135"/>
      <c r="AD614" s="135" t="e">
        <v>#N/A</v>
      </c>
      <c r="AE614" s="135"/>
      <c r="AF614" s="135"/>
      <c r="AG614" s="135"/>
    </row>
    <row r="615" ht="21.75" hidden="1" customHeight="1">
      <c r="A615" s="135">
        <v>611.0</v>
      </c>
      <c r="B615" s="135">
        <v>25045.0</v>
      </c>
      <c r="C615" s="135" t="s">
        <v>2817</v>
      </c>
      <c r="D615" s="135">
        <v>27.0</v>
      </c>
      <c r="E615" s="135" t="s">
        <v>3335</v>
      </c>
      <c r="F615" s="135" t="s">
        <v>454</v>
      </c>
      <c r="G615" s="135" t="s">
        <v>149</v>
      </c>
      <c r="H615" s="135" t="s">
        <v>2853</v>
      </c>
      <c r="I615" s="135" t="s">
        <v>153</v>
      </c>
      <c r="J615" s="135">
        <v>1.0</v>
      </c>
      <c r="K615" s="135" t="s">
        <v>3134</v>
      </c>
      <c r="L615" s="135">
        <v>3000.0</v>
      </c>
      <c r="M615" s="135">
        <v>1350.0</v>
      </c>
      <c r="N615" s="135">
        <v>120.0</v>
      </c>
      <c r="O615" s="135">
        <v>0.529</v>
      </c>
      <c r="P615" s="136">
        <v>0.0</v>
      </c>
      <c r="Q615" s="137">
        <v>1.3225</v>
      </c>
      <c r="R615" s="136">
        <v>46109.0</v>
      </c>
      <c r="S615" s="135" t="s">
        <v>3319</v>
      </c>
      <c r="T615" s="136"/>
      <c r="U615" s="135" t="s">
        <v>2864</v>
      </c>
      <c r="V615" s="135" t="s">
        <v>2856</v>
      </c>
      <c r="W615" s="135" t="s">
        <v>2923</v>
      </c>
      <c r="X615" s="135"/>
      <c r="Y615" s="135"/>
      <c r="Z615" s="135" t="s">
        <v>2858</v>
      </c>
      <c r="AA615" s="135"/>
      <c r="AB615" s="135"/>
      <c r="AC615" s="135"/>
      <c r="AD615" s="135" t="e">
        <v>#N/A</v>
      </c>
      <c r="AE615" s="135"/>
      <c r="AF615" s="135"/>
      <c r="AG615" s="135"/>
    </row>
    <row r="616" ht="21.75" hidden="1" customHeight="1">
      <c r="A616" s="135">
        <v>612.0</v>
      </c>
      <c r="B616" s="135">
        <v>25045.0</v>
      </c>
      <c r="C616" s="135" t="s">
        <v>2817</v>
      </c>
      <c r="D616" s="135">
        <v>27.0</v>
      </c>
      <c r="E616" s="135" t="s">
        <v>3335</v>
      </c>
      <c r="F616" s="135" t="s">
        <v>455</v>
      </c>
      <c r="G616" s="135" t="s">
        <v>149</v>
      </c>
      <c r="H616" s="135" t="s">
        <v>2853</v>
      </c>
      <c r="I616" s="135" t="s">
        <v>153</v>
      </c>
      <c r="J616" s="135">
        <v>1.0</v>
      </c>
      <c r="K616" s="135" t="s">
        <v>3134</v>
      </c>
      <c r="L616" s="135">
        <v>3000.0</v>
      </c>
      <c r="M616" s="135">
        <v>1350.0</v>
      </c>
      <c r="N616" s="135">
        <v>120.0</v>
      </c>
      <c r="O616" s="135">
        <v>0.529</v>
      </c>
      <c r="P616" s="136">
        <v>0.0</v>
      </c>
      <c r="Q616" s="137">
        <v>1.3225</v>
      </c>
      <c r="R616" s="136">
        <v>46109.0</v>
      </c>
      <c r="S616" s="135" t="s">
        <v>3319</v>
      </c>
      <c r="T616" s="136"/>
      <c r="U616" s="135" t="s">
        <v>2864</v>
      </c>
      <c r="V616" s="135" t="s">
        <v>2856</v>
      </c>
      <c r="W616" s="135" t="s">
        <v>2923</v>
      </c>
      <c r="X616" s="135"/>
      <c r="Y616" s="135"/>
      <c r="Z616" s="135" t="s">
        <v>2858</v>
      </c>
      <c r="AA616" s="135"/>
      <c r="AB616" s="135"/>
      <c r="AC616" s="135"/>
      <c r="AD616" s="135" t="e">
        <v>#N/A</v>
      </c>
      <c r="AE616" s="135"/>
      <c r="AF616" s="135"/>
      <c r="AG616" s="135"/>
    </row>
    <row r="617" ht="21.75" hidden="1" customHeight="1">
      <c r="A617" s="135">
        <v>613.0</v>
      </c>
      <c r="B617" s="135">
        <v>25045.0</v>
      </c>
      <c r="C617" s="135" t="s">
        <v>2817</v>
      </c>
      <c r="D617" s="135">
        <v>27.0</v>
      </c>
      <c r="E617" s="135" t="s">
        <v>3335</v>
      </c>
      <c r="F617" s="135" t="s">
        <v>456</v>
      </c>
      <c r="G617" s="135" t="s">
        <v>149</v>
      </c>
      <c r="H617" s="135" t="s">
        <v>2853</v>
      </c>
      <c r="I617" s="135" t="s">
        <v>153</v>
      </c>
      <c r="J617" s="135">
        <v>1.0</v>
      </c>
      <c r="K617" s="135" t="s">
        <v>3134</v>
      </c>
      <c r="L617" s="135">
        <v>3000.0</v>
      </c>
      <c r="M617" s="135">
        <v>1350.0</v>
      </c>
      <c r="N617" s="135">
        <v>120.0</v>
      </c>
      <c r="O617" s="135">
        <v>0.529</v>
      </c>
      <c r="P617" s="136">
        <v>0.0</v>
      </c>
      <c r="Q617" s="137">
        <v>1.3225</v>
      </c>
      <c r="R617" s="136">
        <v>46109.0</v>
      </c>
      <c r="S617" s="135" t="s">
        <v>3319</v>
      </c>
      <c r="T617" s="136"/>
      <c r="U617" s="135" t="s">
        <v>2864</v>
      </c>
      <c r="V617" s="135" t="s">
        <v>2856</v>
      </c>
      <c r="W617" s="135" t="s">
        <v>2923</v>
      </c>
      <c r="X617" s="135"/>
      <c r="Y617" s="135"/>
      <c r="Z617" s="135" t="s">
        <v>2858</v>
      </c>
      <c r="AA617" s="135"/>
      <c r="AB617" s="135"/>
      <c r="AC617" s="135"/>
      <c r="AD617" s="135" t="e">
        <v>#N/A</v>
      </c>
      <c r="AE617" s="135"/>
      <c r="AF617" s="135"/>
      <c r="AG617" s="135"/>
    </row>
    <row r="618" ht="21.75" hidden="1" customHeight="1">
      <c r="A618" s="135">
        <v>614.0</v>
      </c>
      <c r="B618" s="135">
        <v>25045.0</v>
      </c>
      <c r="C618" s="135" t="s">
        <v>2817</v>
      </c>
      <c r="D618" s="135">
        <v>27.0</v>
      </c>
      <c r="E618" s="135" t="s">
        <v>3335</v>
      </c>
      <c r="F618" s="135" t="s">
        <v>457</v>
      </c>
      <c r="G618" s="135" t="s">
        <v>149</v>
      </c>
      <c r="H618" s="135" t="s">
        <v>2853</v>
      </c>
      <c r="I618" s="135" t="s">
        <v>153</v>
      </c>
      <c r="J618" s="135">
        <v>1.0</v>
      </c>
      <c r="K618" s="135" t="s">
        <v>3134</v>
      </c>
      <c r="L618" s="135">
        <v>3000.0</v>
      </c>
      <c r="M618" s="135">
        <v>1350.0</v>
      </c>
      <c r="N618" s="135">
        <v>120.0</v>
      </c>
      <c r="O618" s="135">
        <v>0.529</v>
      </c>
      <c r="P618" s="136">
        <v>0.0</v>
      </c>
      <c r="Q618" s="137">
        <v>1.3225</v>
      </c>
      <c r="R618" s="136">
        <v>46109.0</v>
      </c>
      <c r="S618" s="135" t="s">
        <v>3319</v>
      </c>
      <c r="T618" s="136"/>
      <c r="U618" s="135" t="s">
        <v>2864</v>
      </c>
      <c r="V618" s="135" t="s">
        <v>2856</v>
      </c>
      <c r="W618" s="135" t="s">
        <v>2923</v>
      </c>
      <c r="X618" s="135"/>
      <c r="Y618" s="135"/>
      <c r="Z618" s="135" t="s">
        <v>2858</v>
      </c>
      <c r="AA618" s="135"/>
      <c r="AB618" s="135"/>
      <c r="AC618" s="135"/>
      <c r="AD618" s="135" t="e">
        <v>#N/A</v>
      </c>
      <c r="AE618" s="135"/>
      <c r="AF618" s="135"/>
      <c r="AG618" s="135"/>
    </row>
    <row r="619" ht="21.75" hidden="1" customHeight="1">
      <c r="A619" s="135">
        <v>615.0</v>
      </c>
      <c r="B619" s="135">
        <v>25045.0</v>
      </c>
      <c r="C619" s="135"/>
      <c r="D619" s="135">
        <v>27.0</v>
      </c>
      <c r="E619" s="135" t="s">
        <v>3335</v>
      </c>
      <c r="F619" s="135" t="s">
        <v>458</v>
      </c>
      <c r="G619" s="135" t="s">
        <v>149</v>
      </c>
      <c r="H619" s="135" t="s">
        <v>2853</v>
      </c>
      <c r="I619" s="135" t="s">
        <v>153</v>
      </c>
      <c r="J619" s="135">
        <v>1.0</v>
      </c>
      <c r="K619" s="135" t="s">
        <v>3134</v>
      </c>
      <c r="L619" s="135">
        <v>4623.0</v>
      </c>
      <c r="M619" s="135">
        <v>2970.0</v>
      </c>
      <c r="N619" s="135">
        <v>120.0</v>
      </c>
      <c r="O619" s="135">
        <v>1.945</v>
      </c>
      <c r="P619" s="136">
        <v>0.0</v>
      </c>
      <c r="Q619" s="137">
        <v>4.8625</v>
      </c>
      <c r="R619" s="136">
        <v>46109.0</v>
      </c>
      <c r="S619" s="135" t="s">
        <v>3319</v>
      </c>
      <c r="T619" s="136"/>
      <c r="U619" s="135" t="s">
        <v>2855</v>
      </c>
      <c r="V619" s="135" t="s">
        <v>2876</v>
      </c>
      <c r="W619" s="135" t="s">
        <v>3337</v>
      </c>
      <c r="X619" s="135"/>
      <c r="Y619" s="135"/>
      <c r="Z619" s="135" t="s">
        <v>2858</v>
      </c>
      <c r="AA619" s="135"/>
      <c r="AB619" s="135"/>
      <c r="AC619" s="135"/>
      <c r="AD619" s="135">
        <v>46121.0</v>
      </c>
      <c r="AE619" s="135"/>
      <c r="AF619" s="135"/>
      <c r="AG619" s="135"/>
    </row>
    <row r="620" ht="21.75" hidden="1" customHeight="1">
      <c r="A620" s="135">
        <v>616.0</v>
      </c>
      <c r="B620" s="135">
        <v>25045.0</v>
      </c>
      <c r="C620" s="135"/>
      <c r="D620" s="135">
        <v>27.0</v>
      </c>
      <c r="E620" s="135" t="s">
        <v>3335</v>
      </c>
      <c r="F620" s="135" t="s">
        <v>459</v>
      </c>
      <c r="G620" s="135" t="s">
        <v>149</v>
      </c>
      <c r="H620" s="135" t="s">
        <v>2853</v>
      </c>
      <c r="I620" s="135" t="s">
        <v>153</v>
      </c>
      <c r="J620" s="135">
        <v>1.0</v>
      </c>
      <c r="K620" s="135" t="s">
        <v>3134</v>
      </c>
      <c r="L620" s="135">
        <v>4623.0</v>
      </c>
      <c r="M620" s="135">
        <v>2970.0</v>
      </c>
      <c r="N620" s="135">
        <v>120.0</v>
      </c>
      <c r="O620" s="135">
        <v>1.945</v>
      </c>
      <c r="P620" s="136">
        <v>0.0</v>
      </c>
      <c r="Q620" s="137">
        <v>4.8625</v>
      </c>
      <c r="R620" s="136">
        <v>46109.0</v>
      </c>
      <c r="S620" s="135" t="s">
        <v>3319</v>
      </c>
      <c r="T620" s="136"/>
      <c r="U620" s="135" t="s">
        <v>2855</v>
      </c>
      <c r="V620" s="135" t="s">
        <v>2876</v>
      </c>
      <c r="W620" s="135" t="s">
        <v>3337</v>
      </c>
      <c r="X620" s="135"/>
      <c r="Y620" s="135"/>
      <c r="Z620" s="135" t="s">
        <v>2858</v>
      </c>
      <c r="AA620" s="135"/>
      <c r="AB620" s="135"/>
      <c r="AC620" s="135"/>
      <c r="AD620" s="135">
        <v>46122.0</v>
      </c>
      <c r="AE620" s="135"/>
      <c r="AF620" s="135"/>
      <c r="AG620" s="135"/>
    </row>
    <row r="621" ht="21.75" hidden="1" customHeight="1">
      <c r="A621" s="135">
        <v>617.0</v>
      </c>
      <c r="B621" s="135">
        <v>25045.0</v>
      </c>
      <c r="C621" s="135"/>
      <c r="D621" s="135">
        <v>27.0</v>
      </c>
      <c r="E621" s="135" t="s">
        <v>3335</v>
      </c>
      <c r="F621" s="135" t="s">
        <v>460</v>
      </c>
      <c r="G621" s="135" t="s">
        <v>149</v>
      </c>
      <c r="H621" s="135" t="s">
        <v>2853</v>
      </c>
      <c r="I621" s="135" t="s">
        <v>153</v>
      </c>
      <c r="J621" s="135">
        <v>1.0</v>
      </c>
      <c r="K621" s="135" t="s">
        <v>3134</v>
      </c>
      <c r="L621" s="135">
        <v>4623.0</v>
      </c>
      <c r="M621" s="135">
        <v>2970.0</v>
      </c>
      <c r="N621" s="135">
        <v>120.0</v>
      </c>
      <c r="O621" s="135">
        <v>1.945</v>
      </c>
      <c r="P621" s="136">
        <v>0.0</v>
      </c>
      <c r="Q621" s="137">
        <v>4.8625</v>
      </c>
      <c r="R621" s="136">
        <v>46109.0</v>
      </c>
      <c r="S621" s="135" t="s">
        <v>3319</v>
      </c>
      <c r="T621" s="136"/>
      <c r="U621" s="135" t="s">
        <v>2855</v>
      </c>
      <c r="V621" s="135" t="s">
        <v>2876</v>
      </c>
      <c r="W621" s="135" t="s">
        <v>3337</v>
      </c>
      <c r="X621" s="135"/>
      <c r="Y621" s="135"/>
      <c r="Z621" s="135" t="s">
        <v>2858</v>
      </c>
      <c r="AA621" s="135"/>
      <c r="AB621" s="135"/>
      <c r="AC621" s="135"/>
      <c r="AD621" s="135">
        <v>46123.0</v>
      </c>
      <c r="AE621" s="135"/>
      <c r="AF621" s="135"/>
      <c r="AG621" s="135"/>
    </row>
    <row r="622" ht="21.75" hidden="1" customHeight="1">
      <c r="A622" s="135">
        <v>618.0</v>
      </c>
      <c r="B622" s="135">
        <v>25045.0</v>
      </c>
      <c r="C622" s="135"/>
      <c r="D622" s="135">
        <v>27.0</v>
      </c>
      <c r="E622" s="135" t="s">
        <v>3335</v>
      </c>
      <c r="F622" s="135" t="s">
        <v>461</v>
      </c>
      <c r="G622" s="135" t="s">
        <v>149</v>
      </c>
      <c r="H622" s="135" t="s">
        <v>2853</v>
      </c>
      <c r="I622" s="135" t="s">
        <v>153</v>
      </c>
      <c r="J622" s="135">
        <v>1.0</v>
      </c>
      <c r="K622" s="135" t="s">
        <v>3134</v>
      </c>
      <c r="L622" s="135">
        <v>4414.0</v>
      </c>
      <c r="M622" s="135">
        <v>2880.0</v>
      </c>
      <c r="N622" s="135">
        <v>120.0</v>
      </c>
      <c r="O622" s="135">
        <v>1.843</v>
      </c>
      <c r="P622" s="136">
        <v>0.0</v>
      </c>
      <c r="Q622" s="137">
        <v>4.6075</v>
      </c>
      <c r="R622" s="136">
        <v>46109.0</v>
      </c>
      <c r="S622" s="135" t="s">
        <v>3319</v>
      </c>
      <c r="T622" s="136"/>
      <c r="U622" s="135" t="s">
        <v>2855</v>
      </c>
      <c r="V622" s="135" t="s">
        <v>2876</v>
      </c>
      <c r="W622" s="135" t="s">
        <v>3330</v>
      </c>
      <c r="X622" s="135"/>
      <c r="Y622" s="135"/>
      <c r="Z622" s="135" t="s">
        <v>2858</v>
      </c>
      <c r="AA622" s="135"/>
      <c r="AB622" s="135"/>
      <c r="AC622" s="135"/>
      <c r="AD622" s="135">
        <v>46120.0</v>
      </c>
      <c r="AE622" s="135"/>
      <c r="AF622" s="135"/>
      <c r="AG622" s="135"/>
    </row>
    <row r="623" ht="21.75" hidden="1" customHeight="1">
      <c r="A623" s="135">
        <v>619.0</v>
      </c>
      <c r="B623" s="135">
        <v>25045.0</v>
      </c>
      <c r="C623" s="135"/>
      <c r="D623" s="135">
        <v>27.0</v>
      </c>
      <c r="E623" s="135" t="s">
        <v>3335</v>
      </c>
      <c r="F623" s="135" t="s">
        <v>462</v>
      </c>
      <c r="G623" s="135" t="s">
        <v>149</v>
      </c>
      <c r="H623" s="135" t="s">
        <v>2853</v>
      </c>
      <c r="I623" s="135" t="s">
        <v>153</v>
      </c>
      <c r="J623" s="135">
        <v>1.0</v>
      </c>
      <c r="K623" s="135" t="s">
        <v>3134</v>
      </c>
      <c r="L623" s="135">
        <v>4414.0</v>
      </c>
      <c r="M623" s="135">
        <v>2880.0</v>
      </c>
      <c r="N623" s="135">
        <v>120.0</v>
      </c>
      <c r="O623" s="135">
        <v>1.843</v>
      </c>
      <c r="P623" s="136">
        <v>0.0</v>
      </c>
      <c r="Q623" s="137">
        <v>4.6075</v>
      </c>
      <c r="R623" s="136">
        <v>46109.0</v>
      </c>
      <c r="S623" s="135" t="s">
        <v>3319</v>
      </c>
      <c r="T623" s="136"/>
      <c r="U623" s="135" t="s">
        <v>2855</v>
      </c>
      <c r="V623" s="135" t="s">
        <v>2876</v>
      </c>
      <c r="W623" s="135" t="s">
        <v>3330</v>
      </c>
      <c r="X623" s="135"/>
      <c r="Y623" s="135"/>
      <c r="Z623" s="135" t="s">
        <v>2858</v>
      </c>
      <c r="AA623" s="135"/>
      <c r="AB623" s="135"/>
      <c r="AC623" s="135"/>
      <c r="AD623" s="135">
        <v>46121.0</v>
      </c>
      <c r="AE623" s="135"/>
      <c r="AF623" s="135"/>
      <c r="AG623" s="135"/>
    </row>
    <row r="624" ht="21.75" hidden="1" customHeight="1">
      <c r="A624" s="135">
        <v>620.0</v>
      </c>
      <c r="B624" s="135">
        <v>25045.0</v>
      </c>
      <c r="C624" s="135"/>
      <c r="D624" s="135">
        <v>27.0</v>
      </c>
      <c r="E624" s="135" t="s">
        <v>3335</v>
      </c>
      <c r="F624" s="135" t="s">
        <v>463</v>
      </c>
      <c r="G624" s="135" t="s">
        <v>149</v>
      </c>
      <c r="H624" s="135" t="s">
        <v>2853</v>
      </c>
      <c r="I624" s="135" t="s">
        <v>153</v>
      </c>
      <c r="J624" s="135">
        <v>1.0</v>
      </c>
      <c r="K624" s="135" t="s">
        <v>3134</v>
      </c>
      <c r="L624" s="135">
        <v>4414.0</v>
      </c>
      <c r="M624" s="135">
        <v>2880.0</v>
      </c>
      <c r="N624" s="135">
        <v>120.0</v>
      </c>
      <c r="O624" s="135">
        <v>1.843</v>
      </c>
      <c r="P624" s="136">
        <v>0.0</v>
      </c>
      <c r="Q624" s="137">
        <v>4.6075</v>
      </c>
      <c r="R624" s="136">
        <v>46109.0</v>
      </c>
      <c r="S624" s="135" t="s">
        <v>3319</v>
      </c>
      <c r="T624" s="136"/>
      <c r="U624" s="135" t="s">
        <v>2855</v>
      </c>
      <c r="V624" s="135" t="s">
        <v>2876</v>
      </c>
      <c r="W624" s="135" t="s">
        <v>3330</v>
      </c>
      <c r="X624" s="135"/>
      <c r="Y624" s="135"/>
      <c r="Z624" s="135" t="s">
        <v>2858</v>
      </c>
      <c r="AA624" s="135"/>
      <c r="AB624" s="135"/>
      <c r="AC624" s="135"/>
      <c r="AD624" s="135">
        <v>46122.0</v>
      </c>
      <c r="AE624" s="135"/>
      <c r="AF624" s="135"/>
      <c r="AG624" s="135"/>
    </row>
    <row r="625" ht="21.75" hidden="1" customHeight="1">
      <c r="A625" s="135">
        <v>621.0</v>
      </c>
      <c r="B625" s="135">
        <v>25045.0</v>
      </c>
      <c r="C625" s="135"/>
      <c r="D625" s="135">
        <v>27.0</v>
      </c>
      <c r="E625" s="135" t="s">
        <v>3335</v>
      </c>
      <c r="F625" s="135" t="s">
        <v>464</v>
      </c>
      <c r="G625" s="135" t="s">
        <v>149</v>
      </c>
      <c r="H625" s="135" t="s">
        <v>2853</v>
      </c>
      <c r="I625" s="135" t="s">
        <v>153</v>
      </c>
      <c r="J625" s="135">
        <v>1.0</v>
      </c>
      <c r="K625" s="135" t="s">
        <v>3134</v>
      </c>
      <c r="L625" s="135">
        <v>4414.0</v>
      </c>
      <c r="M625" s="135">
        <v>2880.0</v>
      </c>
      <c r="N625" s="135">
        <v>120.0</v>
      </c>
      <c r="O625" s="135">
        <v>1.843</v>
      </c>
      <c r="P625" s="136">
        <v>0.0</v>
      </c>
      <c r="Q625" s="137">
        <v>4.6075</v>
      </c>
      <c r="R625" s="136">
        <v>46109.0</v>
      </c>
      <c r="S625" s="135" t="s">
        <v>3319</v>
      </c>
      <c r="T625" s="136"/>
      <c r="U625" s="135" t="s">
        <v>2855</v>
      </c>
      <c r="V625" s="135" t="s">
        <v>2876</v>
      </c>
      <c r="W625" s="135" t="s">
        <v>3330</v>
      </c>
      <c r="X625" s="135"/>
      <c r="Y625" s="135"/>
      <c r="Z625" s="135" t="s">
        <v>2858</v>
      </c>
      <c r="AA625" s="135"/>
      <c r="AB625" s="135"/>
      <c r="AC625" s="135"/>
      <c r="AD625" s="135">
        <v>46123.0</v>
      </c>
      <c r="AE625" s="135"/>
      <c r="AF625" s="135"/>
      <c r="AG625" s="135"/>
    </row>
    <row r="626" ht="21.75" hidden="1" customHeight="1">
      <c r="A626" s="135">
        <v>622.0</v>
      </c>
      <c r="B626" s="135">
        <v>25045.0</v>
      </c>
      <c r="C626" s="135" t="s">
        <v>2817</v>
      </c>
      <c r="D626" s="135">
        <v>27.0</v>
      </c>
      <c r="E626" s="135" t="s">
        <v>3338</v>
      </c>
      <c r="F626" s="135" t="s">
        <v>474</v>
      </c>
      <c r="G626" s="135" t="s">
        <v>149</v>
      </c>
      <c r="H626" s="135" t="s">
        <v>2853</v>
      </c>
      <c r="I626" s="135" t="s">
        <v>154</v>
      </c>
      <c r="J626" s="135">
        <v>1.0</v>
      </c>
      <c r="K626" s="135"/>
      <c r="L626" s="135">
        <v>5887.0</v>
      </c>
      <c r="M626" s="135">
        <v>2850.0</v>
      </c>
      <c r="N626" s="135">
        <v>120.0</v>
      </c>
      <c r="O626" s="135">
        <v>1.134</v>
      </c>
      <c r="P626" s="136">
        <v>0.0</v>
      </c>
      <c r="Q626" s="137">
        <v>2.835</v>
      </c>
      <c r="R626" s="136">
        <v>46109.0</v>
      </c>
      <c r="S626" s="135" t="s">
        <v>3319</v>
      </c>
      <c r="T626" s="136"/>
      <c r="U626" s="135" t="s">
        <v>2855</v>
      </c>
      <c r="V626" s="135" t="s">
        <v>2856</v>
      </c>
      <c r="W626" s="135" t="s">
        <v>3339</v>
      </c>
      <c r="X626" s="135" t="s">
        <v>3340</v>
      </c>
      <c r="Y626" s="135"/>
      <c r="Z626" s="135" t="s">
        <v>2858</v>
      </c>
      <c r="AA626" s="135"/>
      <c r="AB626" s="135"/>
      <c r="AC626" s="135"/>
      <c r="AD626" s="135">
        <v>0.0</v>
      </c>
      <c r="AE626" s="135"/>
      <c r="AF626" s="135"/>
      <c r="AG626" s="135"/>
    </row>
    <row r="627" ht="21.75" hidden="1" customHeight="1">
      <c r="A627" s="135">
        <v>623.0</v>
      </c>
      <c r="B627" s="135">
        <v>25045.0</v>
      </c>
      <c r="C627" s="135" t="s">
        <v>2817</v>
      </c>
      <c r="D627" s="135">
        <v>27.0</v>
      </c>
      <c r="E627" s="135" t="s">
        <v>3338</v>
      </c>
      <c r="F627" s="135" t="s">
        <v>475</v>
      </c>
      <c r="G627" s="135" t="s">
        <v>149</v>
      </c>
      <c r="H627" s="135" t="s">
        <v>2853</v>
      </c>
      <c r="I627" s="135" t="s">
        <v>154</v>
      </c>
      <c r="J627" s="135">
        <v>1.0</v>
      </c>
      <c r="K627" s="135"/>
      <c r="L627" s="135">
        <v>5887.0</v>
      </c>
      <c r="M627" s="135">
        <v>1350.0</v>
      </c>
      <c r="N627" s="135">
        <v>120.0</v>
      </c>
      <c r="O627" s="135">
        <v>0.99</v>
      </c>
      <c r="P627" s="136">
        <v>0.0</v>
      </c>
      <c r="Q627" s="137">
        <v>2.475</v>
      </c>
      <c r="R627" s="136">
        <v>46109.0</v>
      </c>
      <c r="S627" s="135" t="s">
        <v>3319</v>
      </c>
      <c r="T627" s="136"/>
      <c r="U627" s="135" t="s">
        <v>2855</v>
      </c>
      <c r="V627" s="135" t="s">
        <v>2856</v>
      </c>
      <c r="W627" s="135" t="s">
        <v>3341</v>
      </c>
      <c r="X627" s="135"/>
      <c r="Y627" s="135"/>
      <c r="Z627" s="135" t="s">
        <v>2858</v>
      </c>
      <c r="AA627" s="135"/>
      <c r="AB627" s="135"/>
      <c r="AC627" s="135"/>
      <c r="AD627" s="135" t="e">
        <v>#N/A</v>
      </c>
      <c r="AE627" s="135"/>
      <c r="AF627" s="135"/>
      <c r="AG627" s="135"/>
    </row>
    <row r="628" ht="21.75" hidden="1" customHeight="1">
      <c r="A628" s="135">
        <v>624.0</v>
      </c>
      <c r="B628" s="135">
        <v>25045.0</v>
      </c>
      <c r="C628" s="135" t="s">
        <v>2817</v>
      </c>
      <c r="D628" s="135">
        <v>27.0</v>
      </c>
      <c r="E628" s="135" t="s">
        <v>3338</v>
      </c>
      <c r="F628" s="135" t="s">
        <v>476</v>
      </c>
      <c r="G628" s="135" t="s">
        <v>149</v>
      </c>
      <c r="H628" s="135" t="s">
        <v>2853</v>
      </c>
      <c r="I628" s="135" t="s">
        <v>154</v>
      </c>
      <c r="J628" s="135">
        <v>1.0</v>
      </c>
      <c r="K628" s="135"/>
      <c r="L628" s="135">
        <v>2195.0</v>
      </c>
      <c r="M628" s="135">
        <v>2990.0</v>
      </c>
      <c r="N628" s="135">
        <v>120.0</v>
      </c>
      <c r="O628" s="135">
        <v>0.846</v>
      </c>
      <c r="P628" s="136">
        <v>0.0</v>
      </c>
      <c r="Q628" s="137">
        <v>2.1149999999999998</v>
      </c>
      <c r="R628" s="136">
        <v>46109.0</v>
      </c>
      <c r="S628" s="135" t="s">
        <v>3319</v>
      </c>
      <c r="T628" s="136"/>
      <c r="U628" s="135" t="s">
        <v>2864</v>
      </c>
      <c r="V628" s="135" t="s">
        <v>2878</v>
      </c>
      <c r="W628" s="135" t="s">
        <v>3157</v>
      </c>
      <c r="X628" s="135" t="s">
        <v>3342</v>
      </c>
      <c r="Y628" s="135"/>
      <c r="Z628" s="135" t="s">
        <v>2858</v>
      </c>
      <c r="AA628" s="135"/>
      <c r="AB628" s="135"/>
      <c r="AC628" s="135"/>
      <c r="AD628" s="135">
        <v>46120.0</v>
      </c>
      <c r="AE628" s="135"/>
      <c r="AF628" s="135"/>
      <c r="AG628" s="135"/>
    </row>
    <row r="629" ht="21.75" hidden="1" customHeight="1">
      <c r="A629" s="135">
        <v>625.0</v>
      </c>
      <c r="B629" s="135">
        <v>25045.0</v>
      </c>
      <c r="C629" s="135"/>
      <c r="D629" s="135">
        <v>27.0</v>
      </c>
      <c r="E629" s="135" t="s">
        <v>3338</v>
      </c>
      <c r="F629" s="135" t="s">
        <v>477</v>
      </c>
      <c r="G629" s="135" t="s">
        <v>149</v>
      </c>
      <c r="H629" s="135" t="s">
        <v>2853</v>
      </c>
      <c r="I629" s="135" t="s">
        <v>154</v>
      </c>
      <c r="J629" s="135">
        <v>1.0</v>
      </c>
      <c r="K629" s="135"/>
      <c r="L629" s="135">
        <v>5000.0</v>
      </c>
      <c r="M629" s="135">
        <v>2940.0</v>
      </c>
      <c r="N629" s="135">
        <v>120.0</v>
      </c>
      <c r="O629" s="135">
        <v>1.966</v>
      </c>
      <c r="P629" s="136">
        <v>0.0</v>
      </c>
      <c r="Q629" s="137">
        <v>4.915</v>
      </c>
      <c r="R629" s="136">
        <v>46109.0</v>
      </c>
      <c r="S629" s="135" t="s">
        <v>3319</v>
      </c>
      <c r="T629" s="136"/>
      <c r="U629" s="135" t="s">
        <v>2855</v>
      </c>
      <c r="V629" s="135" t="s">
        <v>2876</v>
      </c>
      <c r="W629" s="135" t="s">
        <v>3106</v>
      </c>
      <c r="X629" s="135"/>
      <c r="Y629" s="135"/>
      <c r="Z629" s="135" t="s">
        <v>2858</v>
      </c>
      <c r="AA629" s="135"/>
      <c r="AB629" s="135"/>
      <c r="AC629" s="135"/>
      <c r="AD629" s="135">
        <v>46137.0</v>
      </c>
      <c r="AE629" s="135"/>
      <c r="AF629" s="135"/>
      <c r="AG629" s="135"/>
    </row>
    <row r="630" ht="21.75" hidden="1" customHeight="1">
      <c r="A630" s="135">
        <v>626.0</v>
      </c>
      <c r="B630" s="135">
        <v>25045.0</v>
      </c>
      <c r="C630" s="135"/>
      <c r="D630" s="135">
        <v>27.0</v>
      </c>
      <c r="E630" s="135" t="s">
        <v>3338</v>
      </c>
      <c r="F630" s="135" t="s">
        <v>478</v>
      </c>
      <c r="G630" s="135" t="s">
        <v>149</v>
      </c>
      <c r="H630" s="135" t="s">
        <v>2853</v>
      </c>
      <c r="I630" s="135" t="s">
        <v>154</v>
      </c>
      <c r="J630" s="135">
        <v>1.0</v>
      </c>
      <c r="K630" s="135" t="s">
        <v>3134</v>
      </c>
      <c r="L630" s="135">
        <v>4597.0</v>
      </c>
      <c r="M630" s="135">
        <v>2940.0</v>
      </c>
      <c r="N630" s="135">
        <v>120.0</v>
      </c>
      <c r="O630" s="135">
        <v>1.922</v>
      </c>
      <c r="P630" s="136">
        <v>0.0</v>
      </c>
      <c r="Q630" s="137">
        <v>4.805</v>
      </c>
      <c r="R630" s="136">
        <v>46109.0</v>
      </c>
      <c r="S630" s="135" t="s">
        <v>3319</v>
      </c>
      <c r="T630" s="136"/>
      <c r="U630" s="135" t="s">
        <v>2855</v>
      </c>
      <c r="V630" s="135" t="s">
        <v>2876</v>
      </c>
      <c r="W630" s="135" t="s">
        <v>3343</v>
      </c>
      <c r="X630" s="135"/>
      <c r="Y630" s="135"/>
      <c r="Z630" s="135" t="s">
        <v>2858</v>
      </c>
      <c r="AA630" s="135"/>
      <c r="AB630" s="135"/>
      <c r="AC630" s="135"/>
      <c r="AD630" s="135">
        <v>46125.0</v>
      </c>
      <c r="AE630" s="135"/>
      <c r="AF630" s="135"/>
      <c r="AG630" s="135"/>
    </row>
    <row r="631" ht="21.75" hidden="1" customHeight="1">
      <c r="A631" s="135">
        <v>627.0</v>
      </c>
      <c r="B631" s="135">
        <v>25045.0</v>
      </c>
      <c r="C631" s="135"/>
      <c r="D631" s="135">
        <v>27.0</v>
      </c>
      <c r="E631" s="135" t="s">
        <v>3338</v>
      </c>
      <c r="F631" s="135" t="s">
        <v>479</v>
      </c>
      <c r="G631" s="135" t="s">
        <v>149</v>
      </c>
      <c r="H631" s="135" t="s">
        <v>2853</v>
      </c>
      <c r="I631" s="135" t="s">
        <v>154</v>
      </c>
      <c r="J631" s="135">
        <v>1.0</v>
      </c>
      <c r="K631" s="135" t="s">
        <v>3134</v>
      </c>
      <c r="L631" s="135">
        <v>4597.0</v>
      </c>
      <c r="M631" s="135">
        <v>2940.0</v>
      </c>
      <c r="N631" s="135">
        <v>120.0</v>
      </c>
      <c r="O631" s="135">
        <v>1.922</v>
      </c>
      <c r="P631" s="136">
        <v>0.0</v>
      </c>
      <c r="Q631" s="137">
        <v>4.805</v>
      </c>
      <c r="R631" s="136">
        <v>46109.0</v>
      </c>
      <c r="S631" s="135" t="s">
        <v>3319</v>
      </c>
      <c r="T631" s="136"/>
      <c r="U631" s="135" t="s">
        <v>2855</v>
      </c>
      <c r="V631" s="135" t="s">
        <v>2876</v>
      </c>
      <c r="W631" s="135" t="s">
        <v>3343</v>
      </c>
      <c r="X631" s="135"/>
      <c r="Y631" s="135"/>
      <c r="Z631" s="135" t="s">
        <v>2858</v>
      </c>
      <c r="AA631" s="135"/>
      <c r="AB631" s="135"/>
      <c r="AC631" s="135"/>
      <c r="AD631" s="135">
        <v>46126.0</v>
      </c>
      <c r="AE631" s="135"/>
      <c r="AF631" s="135"/>
      <c r="AG631" s="135"/>
    </row>
    <row r="632" ht="21.75" hidden="1" customHeight="1">
      <c r="A632" s="135">
        <v>628.0</v>
      </c>
      <c r="B632" s="135">
        <v>25045.0</v>
      </c>
      <c r="C632" s="135"/>
      <c r="D632" s="135">
        <v>27.0</v>
      </c>
      <c r="E632" s="135" t="s">
        <v>3338</v>
      </c>
      <c r="F632" s="135" t="s">
        <v>480</v>
      </c>
      <c r="G632" s="135" t="s">
        <v>149</v>
      </c>
      <c r="H632" s="135" t="s">
        <v>2853</v>
      </c>
      <c r="I632" s="135" t="s">
        <v>154</v>
      </c>
      <c r="J632" s="135">
        <v>1.0</v>
      </c>
      <c r="K632" s="135" t="s">
        <v>3134</v>
      </c>
      <c r="L632" s="135">
        <v>4597.0</v>
      </c>
      <c r="M632" s="135">
        <v>2940.0</v>
      </c>
      <c r="N632" s="135">
        <v>120.0</v>
      </c>
      <c r="O632" s="135">
        <v>1.922</v>
      </c>
      <c r="P632" s="136">
        <v>0.0</v>
      </c>
      <c r="Q632" s="137">
        <v>4.805</v>
      </c>
      <c r="R632" s="136">
        <v>46109.0</v>
      </c>
      <c r="S632" s="135" t="s">
        <v>3319</v>
      </c>
      <c r="T632" s="136"/>
      <c r="U632" s="135" t="s">
        <v>2855</v>
      </c>
      <c r="V632" s="135" t="s">
        <v>2876</v>
      </c>
      <c r="W632" s="135" t="s">
        <v>3343</v>
      </c>
      <c r="X632" s="135"/>
      <c r="Y632" s="135"/>
      <c r="Z632" s="135" t="s">
        <v>2858</v>
      </c>
      <c r="AA632" s="135"/>
      <c r="AB632" s="135"/>
      <c r="AC632" s="135"/>
      <c r="AD632" s="135">
        <v>46127.0</v>
      </c>
      <c r="AE632" s="135"/>
      <c r="AF632" s="135"/>
      <c r="AG632" s="135"/>
    </row>
    <row r="633" ht="21.75" hidden="1" customHeight="1">
      <c r="A633" s="135">
        <v>629.0</v>
      </c>
      <c r="B633" s="135">
        <v>25045.0</v>
      </c>
      <c r="C633" s="135"/>
      <c r="D633" s="135">
        <v>27.0</v>
      </c>
      <c r="E633" s="135" t="s">
        <v>3338</v>
      </c>
      <c r="F633" s="135" t="s">
        <v>481</v>
      </c>
      <c r="G633" s="135" t="s">
        <v>149</v>
      </c>
      <c r="H633" s="135" t="s">
        <v>2853</v>
      </c>
      <c r="I633" s="135" t="s">
        <v>154</v>
      </c>
      <c r="J633" s="135">
        <v>1.0</v>
      </c>
      <c r="K633" s="135" t="s">
        <v>3134</v>
      </c>
      <c r="L633" s="135">
        <v>4717.0</v>
      </c>
      <c r="M633" s="135">
        <v>2970.0</v>
      </c>
      <c r="N633" s="135">
        <v>120.0</v>
      </c>
      <c r="O633" s="135">
        <v>1.97</v>
      </c>
      <c r="P633" s="136">
        <v>0.0</v>
      </c>
      <c r="Q633" s="137">
        <v>4.925</v>
      </c>
      <c r="R633" s="136">
        <v>46109.0</v>
      </c>
      <c r="S633" s="135" t="s">
        <v>3319</v>
      </c>
      <c r="T633" s="136"/>
      <c r="U633" s="135" t="s">
        <v>2855</v>
      </c>
      <c r="V633" s="135" t="s">
        <v>2876</v>
      </c>
      <c r="W633" s="135" t="s">
        <v>3344</v>
      </c>
      <c r="X633" s="135"/>
      <c r="Y633" s="135"/>
      <c r="Z633" s="135" t="s">
        <v>2858</v>
      </c>
      <c r="AA633" s="135"/>
      <c r="AB633" s="135"/>
      <c r="AC633" s="135"/>
      <c r="AD633" s="135">
        <v>46128.0</v>
      </c>
      <c r="AE633" s="135"/>
      <c r="AF633" s="135"/>
      <c r="AG633" s="135"/>
    </row>
    <row r="634" ht="21.75" hidden="1" customHeight="1">
      <c r="A634" s="135">
        <v>630.0</v>
      </c>
      <c r="B634" s="135">
        <v>25045.0</v>
      </c>
      <c r="C634" s="135"/>
      <c r="D634" s="135">
        <v>27.0</v>
      </c>
      <c r="E634" s="135" t="s">
        <v>3338</v>
      </c>
      <c r="F634" s="135" t="s">
        <v>482</v>
      </c>
      <c r="G634" s="135" t="s">
        <v>149</v>
      </c>
      <c r="H634" s="135" t="s">
        <v>2853</v>
      </c>
      <c r="I634" s="135" t="s">
        <v>154</v>
      </c>
      <c r="J634" s="135">
        <v>1.0</v>
      </c>
      <c r="K634" s="135" t="s">
        <v>3134</v>
      </c>
      <c r="L634" s="135">
        <v>4717.0</v>
      </c>
      <c r="M634" s="135">
        <v>2970.0</v>
      </c>
      <c r="N634" s="135">
        <v>120.0</v>
      </c>
      <c r="O634" s="135">
        <v>1.97</v>
      </c>
      <c r="P634" s="136">
        <v>0.0</v>
      </c>
      <c r="Q634" s="137">
        <v>4.925</v>
      </c>
      <c r="R634" s="136">
        <v>46109.0</v>
      </c>
      <c r="S634" s="135" t="s">
        <v>3319</v>
      </c>
      <c r="T634" s="136"/>
      <c r="U634" s="135" t="s">
        <v>2855</v>
      </c>
      <c r="V634" s="135" t="s">
        <v>2876</v>
      </c>
      <c r="W634" s="135" t="s">
        <v>3344</v>
      </c>
      <c r="X634" s="135"/>
      <c r="Y634" s="135"/>
      <c r="Z634" s="135" t="s">
        <v>2858</v>
      </c>
      <c r="AA634" s="135"/>
      <c r="AB634" s="135"/>
      <c r="AC634" s="135"/>
      <c r="AD634" s="135">
        <v>46129.0</v>
      </c>
      <c r="AE634" s="135"/>
      <c r="AF634" s="135"/>
      <c r="AG634" s="135"/>
    </row>
    <row r="635" ht="21.75" hidden="1" customHeight="1">
      <c r="A635" s="135">
        <v>631.0</v>
      </c>
      <c r="B635" s="135">
        <v>25045.0</v>
      </c>
      <c r="C635" s="135"/>
      <c r="D635" s="135">
        <v>27.0</v>
      </c>
      <c r="E635" s="135" t="s">
        <v>3338</v>
      </c>
      <c r="F635" s="135" t="s">
        <v>483</v>
      </c>
      <c r="G635" s="135" t="s">
        <v>149</v>
      </c>
      <c r="H635" s="135" t="s">
        <v>2853</v>
      </c>
      <c r="I635" s="135" t="s">
        <v>154</v>
      </c>
      <c r="J635" s="135">
        <v>1.0</v>
      </c>
      <c r="K635" s="135" t="s">
        <v>3134</v>
      </c>
      <c r="L635" s="135">
        <v>4717.0</v>
      </c>
      <c r="M635" s="135">
        <v>2970.0</v>
      </c>
      <c r="N635" s="135">
        <v>120.0</v>
      </c>
      <c r="O635" s="135">
        <v>1.97</v>
      </c>
      <c r="P635" s="136">
        <v>0.0</v>
      </c>
      <c r="Q635" s="137">
        <v>4.925</v>
      </c>
      <c r="R635" s="136">
        <v>46109.0</v>
      </c>
      <c r="S635" s="135" t="s">
        <v>3319</v>
      </c>
      <c r="T635" s="136"/>
      <c r="U635" s="135" t="s">
        <v>2855</v>
      </c>
      <c r="V635" s="135" t="s">
        <v>2876</v>
      </c>
      <c r="W635" s="135" t="s">
        <v>3344</v>
      </c>
      <c r="X635" s="135"/>
      <c r="Y635" s="135"/>
      <c r="Z635" s="135" t="s">
        <v>2858</v>
      </c>
      <c r="AA635" s="135"/>
      <c r="AB635" s="135"/>
      <c r="AC635" s="135"/>
      <c r="AD635" s="135">
        <v>46130.0</v>
      </c>
      <c r="AE635" s="135"/>
      <c r="AF635" s="135"/>
      <c r="AG635" s="135"/>
    </row>
    <row r="636" ht="21.75" hidden="1" customHeight="1">
      <c r="A636" s="135">
        <v>632.0</v>
      </c>
      <c r="B636" s="135">
        <v>25045.0</v>
      </c>
      <c r="C636" s="135"/>
      <c r="D636" s="135">
        <v>27.0</v>
      </c>
      <c r="E636" s="135" t="s">
        <v>3338</v>
      </c>
      <c r="F636" s="135" t="s">
        <v>484</v>
      </c>
      <c r="G636" s="135" t="s">
        <v>149</v>
      </c>
      <c r="H636" s="135" t="s">
        <v>2853</v>
      </c>
      <c r="I636" s="135" t="s">
        <v>154</v>
      </c>
      <c r="J636" s="135">
        <v>1.0</v>
      </c>
      <c r="K636" s="135"/>
      <c r="L636" s="135">
        <v>4717.0</v>
      </c>
      <c r="M636" s="135">
        <v>2970.0</v>
      </c>
      <c r="N636" s="135">
        <v>120.0</v>
      </c>
      <c r="O636" s="135">
        <v>1.91</v>
      </c>
      <c r="P636" s="136">
        <v>0.0</v>
      </c>
      <c r="Q636" s="137">
        <v>4.7749999999999995</v>
      </c>
      <c r="R636" s="136">
        <v>46109.0</v>
      </c>
      <c r="S636" s="135" t="s">
        <v>3319</v>
      </c>
      <c r="T636" s="136"/>
      <c r="U636" s="135" t="s">
        <v>2855</v>
      </c>
      <c r="V636" s="135" t="s">
        <v>2876</v>
      </c>
      <c r="W636" s="135" t="s">
        <v>3345</v>
      </c>
      <c r="X636" s="135"/>
      <c r="Y636" s="135"/>
      <c r="Z636" s="135" t="s">
        <v>2858</v>
      </c>
      <c r="AA636" s="135"/>
      <c r="AB636" s="135"/>
      <c r="AC636" s="135"/>
      <c r="AD636" s="135">
        <v>46132.0</v>
      </c>
      <c r="AE636" s="135"/>
      <c r="AF636" s="135"/>
      <c r="AG636" s="135"/>
    </row>
    <row r="637" ht="21.75" hidden="1" customHeight="1">
      <c r="A637" s="135">
        <v>633.0</v>
      </c>
      <c r="B637" s="135">
        <v>25045.0</v>
      </c>
      <c r="C637" s="135" t="s">
        <v>2817</v>
      </c>
      <c r="D637" s="135">
        <v>27.0</v>
      </c>
      <c r="E637" s="135" t="s">
        <v>3346</v>
      </c>
      <c r="F637" s="135" t="s">
        <v>490</v>
      </c>
      <c r="G637" s="135" t="s">
        <v>149</v>
      </c>
      <c r="H637" s="135" t="s">
        <v>2853</v>
      </c>
      <c r="I637" s="135" t="s">
        <v>155</v>
      </c>
      <c r="J637" s="135">
        <v>1.0</v>
      </c>
      <c r="K637" s="135"/>
      <c r="L637" s="135">
        <v>5887.0</v>
      </c>
      <c r="M637" s="135">
        <v>1350.0</v>
      </c>
      <c r="N637" s="135">
        <v>120.0</v>
      </c>
      <c r="O637" s="135">
        <v>0.99</v>
      </c>
      <c r="P637" s="136">
        <v>0.0</v>
      </c>
      <c r="Q637" s="137">
        <v>2.475</v>
      </c>
      <c r="R637" s="136">
        <v>46109.0</v>
      </c>
      <c r="S637" s="135" t="s">
        <v>3319</v>
      </c>
      <c r="T637" s="136"/>
      <c r="U637" s="135" t="s">
        <v>2855</v>
      </c>
      <c r="V637" s="135" t="s">
        <v>2856</v>
      </c>
      <c r="W637" s="135" t="s">
        <v>3341</v>
      </c>
      <c r="X637" s="135"/>
      <c r="Y637" s="135"/>
      <c r="Z637" s="135" t="s">
        <v>2858</v>
      </c>
      <c r="AA637" s="135"/>
      <c r="AB637" s="135"/>
      <c r="AC637" s="135"/>
      <c r="AD637" s="135" t="e">
        <v>#N/A</v>
      </c>
      <c r="AE637" s="135"/>
      <c r="AF637" s="135"/>
      <c r="AG637" s="135"/>
    </row>
    <row r="638" ht="21.75" hidden="1" customHeight="1">
      <c r="A638" s="135">
        <v>634.0</v>
      </c>
      <c r="B638" s="135">
        <v>25045.0</v>
      </c>
      <c r="C638" s="135" t="s">
        <v>2817</v>
      </c>
      <c r="D638" s="135">
        <v>27.0</v>
      </c>
      <c r="E638" s="135" t="s">
        <v>3346</v>
      </c>
      <c r="F638" s="135" t="s">
        <v>491</v>
      </c>
      <c r="G638" s="135" t="s">
        <v>149</v>
      </c>
      <c r="H638" s="135" t="s">
        <v>2853</v>
      </c>
      <c r="I638" s="135" t="s">
        <v>155</v>
      </c>
      <c r="J638" s="135">
        <v>1.0</v>
      </c>
      <c r="K638" s="135"/>
      <c r="L638" s="135">
        <v>2195.0</v>
      </c>
      <c r="M638" s="135">
        <v>2900.0</v>
      </c>
      <c r="N638" s="135">
        <v>120.0</v>
      </c>
      <c r="O638" s="135">
        <v>0.797</v>
      </c>
      <c r="P638" s="136">
        <v>0.0</v>
      </c>
      <c r="Q638" s="137">
        <v>1.9925000000000002</v>
      </c>
      <c r="R638" s="136">
        <v>46109.0</v>
      </c>
      <c r="S638" s="135" t="s">
        <v>3319</v>
      </c>
      <c r="T638" s="136"/>
      <c r="U638" s="135" t="s">
        <v>2864</v>
      </c>
      <c r="V638" s="135" t="s">
        <v>2878</v>
      </c>
      <c r="W638" s="135" t="s">
        <v>3157</v>
      </c>
      <c r="X638" s="135" t="s">
        <v>3347</v>
      </c>
      <c r="Y638" s="135"/>
      <c r="Z638" s="135" t="s">
        <v>2858</v>
      </c>
      <c r="AA638" s="135"/>
      <c r="AB638" s="135"/>
      <c r="AC638" s="135"/>
      <c r="AD638" s="135">
        <v>46121.0</v>
      </c>
      <c r="AE638" s="135"/>
      <c r="AF638" s="135"/>
      <c r="AG638" s="135"/>
    </row>
    <row r="639" ht="21.75" hidden="1" customHeight="1">
      <c r="A639" s="135">
        <v>635.0</v>
      </c>
      <c r="B639" s="135">
        <v>25045.0</v>
      </c>
      <c r="C639" s="135"/>
      <c r="D639" s="135">
        <v>27.0</v>
      </c>
      <c r="E639" s="135" t="s">
        <v>3346</v>
      </c>
      <c r="F639" s="135" t="s">
        <v>492</v>
      </c>
      <c r="G639" s="135" t="s">
        <v>149</v>
      </c>
      <c r="H639" s="135" t="s">
        <v>2853</v>
      </c>
      <c r="I639" s="135" t="s">
        <v>155</v>
      </c>
      <c r="J639" s="135">
        <v>1.0</v>
      </c>
      <c r="K639" s="135"/>
      <c r="L639" s="135">
        <v>5000.0</v>
      </c>
      <c r="M639" s="135">
        <v>2850.0</v>
      </c>
      <c r="N639" s="135">
        <v>120.0</v>
      </c>
      <c r="O639" s="135">
        <v>1.912</v>
      </c>
      <c r="P639" s="136">
        <v>0.0</v>
      </c>
      <c r="Q639" s="137">
        <v>4.779999999999999</v>
      </c>
      <c r="R639" s="136">
        <v>46109.0</v>
      </c>
      <c r="S639" s="135" t="s">
        <v>3319</v>
      </c>
      <c r="T639" s="136"/>
      <c r="U639" s="135" t="s">
        <v>2855</v>
      </c>
      <c r="V639" s="135" t="s">
        <v>2876</v>
      </c>
      <c r="W639" s="135" t="s">
        <v>3106</v>
      </c>
      <c r="X639" s="135"/>
      <c r="Y639" s="135"/>
      <c r="Z639" s="135" t="s">
        <v>2858</v>
      </c>
      <c r="AA639" s="135"/>
      <c r="AB639" s="135"/>
      <c r="AC639" s="135"/>
      <c r="AD639" s="135">
        <v>46134.0</v>
      </c>
      <c r="AE639" s="135"/>
      <c r="AF639" s="135"/>
      <c r="AG639" s="135"/>
    </row>
    <row r="640" ht="21.75" hidden="1" customHeight="1">
      <c r="A640" s="135">
        <v>636.0</v>
      </c>
      <c r="B640" s="135">
        <v>25045.0</v>
      </c>
      <c r="C640" s="135"/>
      <c r="D640" s="135">
        <v>27.0</v>
      </c>
      <c r="E640" s="135" t="s">
        <v>3346</v>
      </c>
      <c r="F640" s="135" t="s">
        <v>493</v>
      </c>
      <c r="G640" s="135" t="s">
        <v>149</v>
      </c>
      <c r="H640" s="135" t="s">
        <v>2853</v>
      </c>
      <c r="I640" s="135" t="s">
        <v>155</v>
      </c>
      <c r="J640" s="135">
        <v>1.0</v>
      </c>
      <c r="K640" s="135" t="s">
        <v>3134</v>
      </c>
      <c r="L640" s="135">
        <v>4597.0</v>
      </c>
      <c r="M640" s="135">
        <v>2850.0</v>
      </c>
      <c r="N640" s="135">
        <v>120.0</v>
      </c>
      <c r="O640" s="135">
        <v>1.872</v>
      </c>
      <c r="P640" s="136">
        <v>0.0</v>
      </c>
      <c r="Q640" s="137">
        <v>4.680000000000001</v>
      </c>
      <c r="R640" s="136">
        <v>46109.0</v>
      </c>
      <c r="S640" s="135" t="s">
        <v>3319</v>
      </c>
      <c r="T640" s="136"/>
      <c r="U640" s="135" t="s">
        <v>2855</v>
      </c>
      <c r="V640" s="135" t="s">
        <v>2876</v>
      </c>
      <c r="W640" s="135" t="s">
        <v>3343</v>
      </c>
      <c r="X640" s="135"/>
      <c r="Y640" s="135"/>
      <c r="Z640" s="135" t="s">
        <v>2858</v>
      </c>
      <c r="AA640" s="135"/>
      <c r="AB640" s="135"/>
      <c r="AC640" s="135"/>
      <c r="AD640" s="135">
        <v>46123.0</v>
      </c>
      <c r="AE640" s="135"/>
      <c r="AF640" s="135"/>
      <c r="AG640" s="135"/>
    </row>
    <row r="641" ht="21.75" hidden="1" customHeight="1">
      <c r="A641" s="135">
        <v>637.0</v>
      </c>
      <c r="B641" s="135">
        <v>25045.0</v>
      </c>
      <c r="C641" s="135"/>
      <c r="D641" s="135">
        <v>27.0</v>
      </c>
      <c r="E641" s="135" t="s">
        <v>3346</v>
      </c>
      <c r="F641" s="135" t="s">
        <v>494</v>
      </c>
      <c r="G641" s="135" t="s">
        <v>149</v>
      </c>
      <c r="H641" s="135" t="s">
        <v>2853</v>
      </c>
      <c r="I641" s="135" t="s">
        <v>155</v>
      </c>
      <c r="J641" s="135">
        <v>1.0</v>
      </c>
      <c r="K641" s="135" t="s">
        <v>3134</v>
      </c>
      <c r="L641" s="135">
        <v>4597.0</v>
      </c>
      <c r="M641" s="135">
        <v>2850.0</v>
      </c>
      <c r="N641" s="135">
        <v>120.0</v>
      </c>
      <c r="O641" s="135">
        <v>1.872</v>
      </c>
      <c r="P641" s="136">
        <v>0.0</v>
      </c>
      <c r="Q641" s="137">
        <v>4.680000000000001</v>
      </c>
      <c r="R641" s="136">
        <v>46109.0</v>
      </c>
      <c r="S641" s="135" t="s">
        <v>3319</v>
      </c>
      <c r="T641" s="136"/>
      <c r="U641" s="135" t="s">
        <v>2855</v>
      </c>
      <c r="V641" s="135" t="s">
        <v>2876</v>
      </c>
      <c r="W641" s="135" t="s">
        <v>3343</v>
      </c>
      <c r="X641" s="135"/>
      <c r="Y641" s="135"/>
      <c r="Z641" s="135" t="s">
        <v>2858</v>
      </c>
      <c r="AA641" s="135"/>
      <c r="AB641" s="135"/>
      <c r="AC641" s="135"/>
      <c r="AD641" s="135">
        <v>46125.0</v>
      </c>
      <c r="AE641" s="135"/>
      <c r="AF641" s="135"/>
      <c r="AG641" s="135"/>
    </row>
    <row r="642" ht="21.75" hidden="1" customHeight="1">
      <c r="A642" s="135">
        <v>638.0</v>
      </c>
      <c r="B642" s="135">
        <v>25045.0</v>
      </c>
      <c r="C642" s="135"/>
      <c r="D642" s="135">
        <v>27.0</v>
      </c>
      <c r="E642" s="135" t="s">
        <v>3346</v>
      </c>
      <c r="F642" s="135" t="s">
        <v>495</v>
      </c>
      <c r="G642" s="135" t="s">
        <v>149</v>
      </c>
      <c r="H642" s="135" t="s">
        <v>2853</v>
      </c>
      <c r="I642" s="135" t="s">
        <v>155</v>
      </c>
      <c r="J642" s="135">
        <v>1.0</v>
      </c>
      <c r="K642" s="135" t="s">
        <v>3134</v>
      </c>
      <c r="L642" s="135">
        <v>4597.0</v>
      </c>
      <c r="M642" s="135">
        <v>2850.0</v>
      </c>
      <c r="N642" s="135">
        <v>120.0</v>
      </c>
      <c r="O642" s="135">
        <v>1.872</v>
      </c>
      <c r="P642" s="136">
        <v>0.0</v>
      </c>
      <c r="Q642" s="137">
        <v>4.680000000000001</v>
      </c>
      <c r="R642" s="136">
        <v>46109.0</v>
      </c>
      <c r="S642" s="135" t="s">
        <v>3319</v>
      </c>
      <c r="T642" s="136"/>
      <c r="U642" s="135" t="s">
        <v>2855</v>
      </c>
      <c r="V642" s="135" t="s">
        <v>2876</v>
      </c>
      <c r="W642" s="135" t="s">
        <v>3343</v>
      </c>
      <c r="X642" s="135"/>
      <c r="Y642" s="135"/>
      <c r="Z642" s="135" t="s">
        <v>2858</v>
      </c>
      <c r="AA642" s="135"/>
      <c r="AB642" s="135"/>
      <c r="AC642" s="135"/>
      <c r="AD642" s="135">
        <v>46127.0</v>
      </c>
      <c r="AE642" s="135"/>
      <c r="AF642" s="135"/>
      <c r="AG642" s="135"/>
    </row>
    <row r="643" ht="21.75" hidden="1" customHeight="1">
      <c r="A643" s="135">
        <v>639.0</v>
      </c>
      <c r="B643" s="135">
        <v>25045.0</v>
      </c>
      <c r="C643" s="135"/>
      <c r="D643" s="135">
        <v>27.0</v>
      </c>
      <c r="E643" s="135" t="s">
        <v>3346</v>
      </c>
      <c r="F643" s="135" t="s">
        <v>496</v>
      </c>
      <c r="G643" s="135" t="s">
        <v>149</v>
      </c>
      <c r="H643" s="135" t="s">
        <v>2853</v>
      </c>
      <c r="I643" s="135" t="s">
        <v>155</v>
      </c>
      <c r="J643" s="135">
        <v>1.0</v>
      </c>
      <c r="K643" s="135" t="s">
        <v>3134</v>
      </c>
      <c r="L643" s="135">
        <v>4716.0</v>
      </c>
      <c r="M643" s="135">
        <v>2940.0</v>
      </c>
      <c r="N643" s="135">
        <v>120.0</v>
      </c>
      <c r="O643" s="135">
        <v>1.953</v>
      </c>
      <c r="P643" s="136">
        <v>0.0</v>
      </c>
      <c r="Q643" s="137">
        <v>4.8825</v>
      </c>
      <c r="R643" s="136">
        <v>46109.0</v>
      </c>
      <c r="S643" s="135" t="s">
        <v>3319</v>
      </c>
      <c r="T643" s="136"/>
      <c r="U643" s="135" t="s">
        <v>2855</v>
      </c>
      <c r="V643" s="135" t="s">
        <v>2876</v>
      </c>
      <c r="W643" s="135" t="s">
        <v>3348</v>
      </c>
      <c r="X643" s="135"/>
      <c r="Y643" s="135"/>
      <c r="Z643" s="135" t="s">
        <v>2858</v>
      </c>
      <c r="AA643" s="135"/>
      <c r="AB643" s="135"/>
      <c r="AC643" s="135"/>
      <c r="AD643" s="135">
        <v>46123.0</v>
      </c>
      <c r="AE643" s="135"/>
      <c r="AF643" s="135"/>
      <c r="AG643" s="135"/>
    </row>
    <row r="644" ht="21.75" hidden="1" customHeight="1">
      <c r="A644" s="135">
        <v>640.0</v>
      </c>
      <c r="B644" s="135">
        <v>25045.0</v>
      </c>
      <c r="C644" s="135"/>
      <c r="D644" s="135">
        <v>27.0</v>
      </c>
      <c r="E644" s="135" t="s">
        <v>3346</v>
      </c>
      <c r="F644" s="135" t="s">
        <v>497</v>
      </c>
      <c r="G644" s="135" t="s">
        <v>149</v>
      </c>
      <c r="H644" s="135" t="s">
        <v>2853</v>
      </c>
      <c r="I644" s="135" t="s">
        <v>155</v>
      </c>
      <c r="J644" s="135">
        <v>1.0</v>
      </c>
      <c r="K644" s="135" t="s">
        <v>3134</v>
      </c>
      <c r="L644" s="135">
        <v>4716.0</v>
      </c>
      <c r="M644" s="135">
        <v>2940.0</v>
      </c>
      <c r="N644" s="135">
        <v>120.0</v>
      </c>
      <c r="O644" s="135">
        <v>1.953</v>
      </c>
      <c r="P644" s="136">
        <v>0.0</v>
      </c>
      <c r="Q644" s="137">
        <v>4.8825</v>
      </c>
      <c r="R644" s="136">
        <v>46109.0</v>
      </c>
      <c r="S644" s="135" t="s">
        <v>3319</v>
      </c>
      <c r="T644" s="136"/>
      <c r="U644" s="135" t="s">
        <v>2855</v>
      </c>
      <c r="V644" s="135" t="s">
        <v>2876</v>
      </c>
      <c r="W644" s="135" t="s">
        <v>3348</v>
      </c>
      <c r="X644" s="135"/>
      <c r="Y644" s="135"/>
      <c r="Z644" s="135" t="s">
        <v>2858</v>
      </c>
      <c r="AA644" s="135"/>
      <c r="AB644" s="135"/>
      <c r="AC644" s="135"/>
      <c r="AD644" s="135">
        <v>46125.0</v>
      </c>
      <c r="AE644" s="135"/>
      <c r="AF644" s="135"/>
      <c r="AG644" s="135"/>
    </row>
    <row r="645" ht="21.75" hidden="1" customHeight="1">
      <c r="A645" s="135">
        <v>641.0</v>
      </c>
      <c r="B645" s="135">
        <v>25045.0</v>
      </c>
      <c r="C645" s="135"/>
      <c r="D645" s="135">
        <v>27.0</v>
      </c>
      <c r="E645" s="135" t="s">
        <v>3346</v>
      </c>
      <c r="F645" s="135" t="s">
        <v>498</v>
      </c>
      <c r="G645" s="135" t="s">
        <v>149</v>
      </c>
      <c r="H645" s="135" t="s">
        <v>2853</v>
      </c>
      <c r="I645" s="135" t="s">
        <v>155</v>
      </c>
      <c r="J645" s="135">
        <v>1.0</v>
      </c>
      <c r="K645" s="135" t="s">
        <v>3134</v>
      </c>
      <c r="L645" s="135">
        <v>4716.0</v>
      </c>
      <c r="M645" s="135">
        <v>2940.0</v>
      </c>
      <c r="N645" s="135">
        <v>120.0</v>
      </c>
      <c r="O645" s="135">
        <v>1.953</v>
      </c>
      <c r="P645" s="136">
        <v>0.0</v>
      </c>
      <c r="Q645" s="137">
        <v>4.8825</v>
      </c>
      <c r="R645" s="136">
        <v>46109.0</v>
      </c>
      <c r="S645" s="135" t="s">
        <v>3319</v>
      </c>
      <c r="T645" s="136"/>
      <c r="U645" s="135" t="s">
        <v>2855</v>
      </c>
      <c r="V645" s="135" t="s">
        <v>2876</v>
      </c>
      <c r="W645" s="135" t="s">
        <v>3348</v>
      </c>
      <c r="X645" s="135"/>
      <c r="Y645" s="135"/>
      <c r="Z645" s="135" t="s">
        <v>2858</v>
      </c>
      <c r="AA645" s="135"/>
      <c r="AB645" s="135"/>
      <c r="AC645" s="135"/>
      <c r="AD645" s="135">
        <v>46126.0</v>
      </c>
      <c r="AE645" s="135"/>
      <c r="AF645" s="135"/>
      <c r="AG645" s="135"/>
    </row>
    <row r="646" ht="21.75" hidden="1" customHeight="1">
      <c r="A646" s="135">
        <v>642.0</v>
      </c>
      <c r="B646" s="135">
        <v>25045.0</v>
      </c>
      <c r="C646" s="135"/>
      <c r="D646" s="135">
        <v>27.0</v>
      </c>
      <c r="E646" s="135" t="s">
        <v>3346</v>
      </c>
      <c r="F646" s="135" t="s">
        <v>499</v>
      </c>
      <c r="G646" s="135" t="s">
        <v>149</v>
      </c>
      <c r="H646" s="135" t="s">
        <v>2853</v>
      </c>
      <c r="I646" s="135" t="s">
        <v>155</v>
      </c>
      <c r="J646" s="135">
        <v>1.0</v>
      </c>
      <c r="K646" s="135"/>
      <c r="L646" s="135">
        <v>4716.0</v>
      </c>
      <c r="M646" s="135">
        <v>2940.0</v>
      </c>
      <c r="N646" s="135">
        <v>120.0</v>
      </c>
      <c r="O646" s="135">
        <v>1.953</v>
      </c>
      <c r="P646" s="136">
        <v>0.0</v>
      </c>
      <c r="Q646" s="137">
        <v>4.8825</v>
      </c>
      <c r="R646" s="136">
        <v>46109.0</v>
      </c>
      <c r="S646" s="135" t="s">
        <v>3319</v>
      </c>
      <c r="T646" s="136"/>
      <c r="U646" s="135" t="s">
        <v>2855</v>
      </c>
      <c r="V646" s="135" t="s">
        <v>2876</v>
      </c>
      <c r="W646" s="135" t="s">
        <v>3348</v>
      </c>
      <c r="X646" s="135"/>
      <c r="Y646" s="135"/>
      <c r="Z646" s="135" t="s">
        <v>2858</v>
      </c>
      <c r="AA646" s="135"/>
      <c r="AB646" s="135"/>
      <c r="AC646" s="135"/>
      <c r="AD646" s="135">
        <v>46132.0</v>
      </c>
      <c r="AE646" s="135"/>
      <c r="AF646" s="135"/>
      <c r="AG646" s="135"/>
    </row>
    <row r="647" ht="21.75" hidden="1" customHeight="1">
      <c r="A647" s="135">
        <v>643.0</v>
      </c>
      <c r="B647" s="135">
        <v>25045.0</v>
      </c>
      <c r="C647" s="135" t="s">
        <v>2817</v>
      </c>
      <c r="D647" s="135">
        <v>27.0</v>
      </c>
      <c r="E647" s="135" t="s">
        <v>3349</v>
      </c>
      <c r="F647" s="135" t="s">
        <v>506</v>
      </c>
      <c r="G647" s="135" t="s">
        <v>149</v>
      </c>
      <c r="H647" s="135" t="s">
        <v>2853</v>
      </c>
      <c r="I647" s="135" t="s">
        <v>156</v>
      </c>
      <c r="J647" s="135">
        <v>1.0</v>
      </c>
      <c r="K647" s="135"/>
      <c r="L647" s="135">
        <v>5687.0</v>
      </c>
      <c r="M647" s="135">
        <v>1350.0</v>
      </c>
      <c r="N647" s="135">
        <v>120.0</v>
      </c>
      <c r="O647" s="135">
        <v>0.97</v>
      </c>
      <c r="P647" s="136">
        <v>0.0</v>
      </c>
      <c r="Q647" s="137">
        <v>2.425</v>
      </c>
      <c r="R647" s="136">
        <v>46109.0</v>
      </c>
      <c r="S647" s="135" t="s">
        <v>3319</v>
      </c>
      <c r="T647" s="136"/>
      <c r="U647" s="135" t="s">
        <v>2855</v>
      </c>
      <c r="V647" s="135" t="s">
        <v>2856</v>
      </c>
      <c r="W647" s="135" t="s">
        <v>3350</v>
      </c>
      <c r="X647" s="135"/>
      <c r="Y647" s="135"/>
      <c r="Z647" s="135" t="s">
        <v>2858</v>
      </c>
      <c r="AA647" s="135"/>
      <c r="AB647" s="135"/>
      <c r="AC647" s="135"/>
      <c r="AD647" s="135" t="e">
        <v>#N/A</v>
      </c>
      <c r="AE647" s="135"/>
      <c r="AF647" s="135"/>
      <c r="AG647" s="135"/>
    </row>
    <row r="648" ht="21.75" hidden="1" customHeight="1">
      <c r="A648" s="135">
        <v>644.0</v>
      </c>
      <c r="B648" s="135">
        <v>25045.0</v>
      </c>
      <c r="C648" s="135"/>
      <c r="D648" s="135">
        <v>27.0</v>
      </c>
      <c r="E648" s="135" t="s">
        <v>3349</v>
      </c>
      <c r="F648" s="135" t="s">
        <v>507</v>
      </c>
      <c r="G648" s="135" t="s">
        <v>149</v>
      </c>
      <c r="H648" s="135" t="s">
        <v>2853</v>
      </c>
      <c r="I648" s="135" t="s">
        <v>156</v>
      </c>
      <c r="J648" s="135">
        <v>1.0</v>
      </c>
      <c r="K648" s="135"/>
      <c r="L648" s="135">
        <v>4460.0</v>
      </c>
      <c r="M648" s="135">
        <v>2890.0</v>
      </c>
      <c r="N648" s="135">
        <v>120.0</v>
      </c>
      <c r="O648" s="135">
        <v>1.8</v>
      </c>
      <c r="P648" s="136">
        <v>0.0</v>
      </c>
      <c r="Q648" s="137">
        <v>4.5</v>
      </c>
      <c r="R648" s="136">
        <v>46109.0</v>
      </c>
      <c r="S648" s="135" t="s">
        <v>3319</v>
      </c>
      <c r="T648" s="136"/>
      <c r="U648" s="135" t="s">
        <v>2855</v>
      </c>
      <c r="V648" s="135" t="s">
        <v>2876</v>
      </c>
      <c r="W648" s="135" t="s">
        <v>3351</v>
      </c>
      <c r="X648" s="135"/>
      <c r="Y648" s="135"/>
      <c r="Z648" s="135" t="s">
        <v>2858</v>
      </c>
      <c r="AA648" s="135"/>
      <c r="AB648" s="135"/>
      <c r="AC648" s="135"/>
      <c r="AD648" s="135">
        <v>46133.0</v>
      </c>
      <c r="AE648" s="135"/>
      <c r="AF648" s="135"/>
      <c r="AG648" s="135"/>
    </row>
    <row r="649" ht="21.75" hidden="1" customHeight="1">
      <c r="A649" s="135">
        <v>645.0</v>
      </c>
      <c r="B649" s="135">
        <v>25045.0</v>
      </c>
      <c r="C649" s="135"/>
      <c r="D649" s="135">
        <v>27.0</v>
      </c>
      <c r="E649" s="135" t="s">
        <v>3349</v>
      </c>
      <c r="F649" s="135" t="s">
        <v>508</v>
      </c>
      <c r="G649" s="135" t="s">
        <v>149</v>
      </c>
      <c r="H649" s="135" t="s">
        <v>2853</v>
      </c>
      <c r="I649" s="135" t="s">
        <v>156</v>
      </c>
      <c r="J649" s="135">
        <v>1.0</v>
      </c>
      <c r="K649" s="135" t="s">
        <v>3134</v>
      </c>
      <c r="L649" s="135">
        <v>4500.0</v>
      </c>
      <c r="M649" s="135">
        <v>2890.0</v>
      </c>
      <c r="N649" s="135">
        <v>120.0</v>
      </c>
      <c r="O649" s="135">
        <v>1.81</v>
      </c>
      <c r="P649" s="136">
        <v>0.0</v>
      </c>
      <c r="Q649" s="137">
        <v>4.525</v>
      </c>
      <c r="R649" s="136">
        <v>46109.0</v>
      </c>
      <c r="S649" s="135" t="s">
        <v>3319</v>
      </c>
      <c r="T649" s="136"/>
      <c r="U649" s="135" t="s">
        <v>2855</v>
      </c>
      <c r="V649" s="135" t="s">
        <v>2876</v>
      </c>
      <c r="W649" s="135" t="s">
        <v>3352</v>
      </c>
      <c r="X649" s="135"/>
      <c r="Y649" s="135"/>
      <c r="Z649" s="135" t="s">
        <v>2858</v>
      </c>
      <c r="AA649" s="135"/>
      <c r="AB649" s="135"/>
      <c r="AC649" s="135"/>
      <c r="AD649" s="135">
        <v>46125.0</v>
      </c>
      <c r="AE649" s="135"/>
      <c r="AF649" s="135"/>
      <c r="AG649" s="135"/>
    </row>
    <row r="650" ht="21.75" hidden="1" customHeight="1">
      <c r="A650" s="135">
        <v>646.0</v>
      </c>
      <c r="B650" s="135">
        <v>25045.0</v>
      </c>
      <c r="C650" s="135"/>
      <c r="D650" s="135">
        <v>27.0</v>
      </c>
      <c r="E650" s="135" t="s">
        <v>3349</v>
      </c>
      <c r="F650" s="135" t="s">
        <v>509</v>
      </c>
      <c r="G650" s="135" t="s">
        <v>149</v>
      </c>
      <c r="H650" s="135" t="s">
        <v>2853</v>
      </c>
      <c r="I650" s="135" t="s">
        <v>156</v>
      </c>
      <c r="J650" s="135">
        <v>1.0</v>
      </c>
      <c r="K650" s="135" t="s">
        <v>3134</v>
      </c>
      <c r="L650" s="135">
        <v>4500.0</v>
      </c>
      <c r="M650" s="135">
        <v>2890.0</v>
      </c>
      <c r="N650" s="135">
        <v>120.0</v>
      </c>
      <c r="O650" s="135">
        <v>1.81</v>
      </c>
      <c r="P650" s="136">
        <v>0.0</v>
      </c>
      <c r="Q650" s="137">
        <v>4.525</v>
      </c>
      <c r="R650" s="136">
        <v>46109.0</v>
      </c>
      <c r="S650" s="135" t="s">
        <v>3319</v>
      </c>
      <c r="T650" s="136"/>
      <c r="U650" s="135" t="s">
        <v>2855</v>
      </c>
      <c r="V650" s="135" t="s">
        <v>2876</v>
      </c>
      <c r="W650" s="135" t="s">
        <v>3352</v>
      </c>
      <c r="X650" s="135"/>
      <c r="Y650" s="135"/>
      <c r="Z650" s="135" t="s">
        <v>2858</v>
      </c>
      <c r="AA650" s="135"/>
      <c r="AB650" s="135"/>
      <c r="AC650" s="135"/>
      <c r="AD650" s="135">
        <v>46126.0</v>
      </c>
      <c r="AE650" s="135"/>
      <c r="AF650" s="135"/>
      <c r="AG650" s="135"/>
    </row>
    <row r="651" ht="21.75" hidden="1" customHeight="1">
      <c r="A651" s="135">
        <v>647.0</v>
      </c>
      <c r="B651" s="135">
        <v>25045.0</v>
      </c>
      <c r="C651" s="135"/>
      <c r="D651" s="135">
        <v>27.0</v>
      </c>
      <c r="E651" s="135" t="s">
        <v>3349</v>
      </c>
      <c r="F651" s="135" t="s">
        <v>510</v>
      </c>
      <c r="G651" s="135" t="s">
        <v>149</v>
      </c>
      <c r="H651" s="135" t="s">
        <v>2853</v>
      </c>
      <c r="I651" s="135" t="s">
        <v>156</v>
      </c>
      <c r="J651" s="135">
        <v>1.0</v>
      </c>
      <c r="K651" s="135" t="s">
        <v>3134</v>
      </c>
      <c r="L651" s="135">
        <v>4500.0</v>
      </c>
      <c r="M651" s="135">
        <v>2890.0</v>
      </c>
      <c r="N651" s="135">
        <v>120.0</v>
      </c>
      <c r="O651" s="135">
        <v>1.81</v>
      </c>
      <c r="P651" s="136">
        <v>0.0</v>
      </c>
      <c r="Q651" s="137">
        <v>4.525</v>
      </c>
      <c r="R651" s="136">
        <v>46109.0</v>
      </c>
      <c r="S651" s="135" t="s">
        <v>3319</v>
      </c>
      <c r="T651" s="136"/>
      <c r="U651" s="135" t="s">
        <v>2855</v>
      </c>
      <c r="V651" s="135" t="s">
        <v>2876</v>
      </c>
      <c r="W651" s="135" t="s">
        <v>3191</v>
      </c>
      <c r="X651" s="135"/>
      <c r="Y651" s="135"/>
      <c r="Z651" s="135" t="s">
        <v>2858</v>
      </c>
      <c r="AA651" s="135"/>
      <c r="AB651" s="135"/>
      <c r="AC651" s="135"/>
      <c r="AD651" s="135">
        <v>46127.0</v>
      </c>
      <c r="AE651" s="135"/>
      <c r="AF651" s="135"/>
      <c r="AG651" s="135"/>
    </row>
    <row r="652" ht="21.75" hidden="1" customHeight="1">
      <c r="A652" s="135">
        <v>648.0</v>
      </c>
      <c r="B652" s="135">
        <v>25045.0</v>
      </c>
      <c r="C652" s="135"/>
      <c r="D652" s="135">
        <v>27.0</v>
      </c>
      <c r="E652" s="135" t="s">
        <v>3349</v>
      </c>
      <c r="F652" s="135" t="s">
        <v>511</v>
      </c>
      <c r="G652" s="135" t="s">
        <v>149</v>
      </c>
      <c r="H652" s="135" t="s">
        <v>2853</v>
      </c>
      <c r="I652" s="135" t="s">
        <v>156</v>
      </c>
      <c r="J652" s="135">
        <v>1.0</v>
      </c>
      <c r="K652" s="135" t="s">
        <v>3134</v>
      </c>
      <c r="L652" s="135">
        <v>4655.0</v>
      </c>
      <c r="M652" s="135">
        <v>2850.0</v>
      </c>
      <c r="N652" s="135">
        <v>120.0</v>
      </c>
      <c r="O652" s="135">
        <v>1.887</v>
      </c>
      <c r="P652" s="136">
        <v>0.0</v>
      </c>
      <c r="Q652" s="137">
        <v>4.7175</v>
      </c>
      <c r="R652" s="136">
        <v>46109.0</v>
      </c>
      <c r="S652" s="135" t="s">
        <v>3319</v>
      </c>
      <c r="T652" s="136"/>
      <c r="U652" s="135" t="s">
        <v>2855</v>
      </c>
      <c r="V652" s="135" t="s">
        <v>2876</v>
      </c>
      <c r="W652" s="135" t="s">
        <v>3353</v>
      </c>
      <c r="X652" s="135"/>
      <c r="Y652" s="135"/>
      <c r="Z652" s="135" t="s">
        <v>2858</v>
      </c>
      <c r="AA652" s="135"/>
      <c r="AB652" s="135"/>
      <c r="AC652" s="135"/>
      <c r="AD652" s="135">
        <v>46128.0</v>
      </c>
      <c r="AE652" s="135"/>
      <c r="AF652" s="135"/>
      <c r="AG652" s="135"/>
    </row>
    <row r="653" ht="21.75" hidden="1" customHeight="1">
      <c r="A653" s="135">
        <v>649.0</v>
      </c>
      <c r="B653" s="135">
        <v>25045.0</v>
      </c>
      <c r="C653" s="135"/>
      <c r="D653" s="135">
        <v>27.0</v>
      </c>
      <c r="E653" s="135" t="s">
        <v>3349</v>
      </c>
      <c r="F653" s="135" t="s">
        <v>512</v>
      </c>
      <c r="G653" s="135" t="s">
        <v>149</v>
      </c>
      <c r="H653" s="135" t="s">
        <v>2853</v>
      </c>
      <c r="I653" s="135" t="s">
        <v>156</v>
      </c>
      <c r="J653" s="135">
        <v>1.0</v>
      </c>
      <c r="K653" s="135" t="s">
        <v>3134</v>
      </c>
      <c r="L653" s="135">
        <v>4655.0</v>
      </c>
      <c r="M653" s="135">
        <v>2850.0</v>
      </c>
      <c r="N653" s="135">
        <v>120.0</v>
      </c>
      <c r="O653" s="135">
        <v>1.887</v>
      </c>
      <c r="P653" s="136">
        <v>0.0</v>
      </c>
      <c r="Q653" s="137">
        <v>4.7175</v>
      </c>
      <c r="R653" s="136">
        <v>46109.0</v>
      </c>
      <c r="S653" s="135" t="s">
        <v>3319</v>
      </c>
      <c r="T653" s="136"/>
      <c r="U653" s="135" t="s">
        <v>2855</v>
      </c>
      <c r="V653" s="135" t="s">
        <v>2876</v>
      </c>
      <c r="W653" s="135" t="s">
        <v>3353</v>
      </c>
      <c r="X653" s="135"/>
      <c r="Y653" s="135"/>
      <c r="Z653" s="135" t="s">
        <v>2858</v>
      </c>
      <c r="AA653" s="135"/>
      <c r="AB653" s="135"/>
      <c r="AC653" s="135"/>
      <c r="AD653" s="135">
        <v>46129.0</v>
      </c>
      <c r="AE653" s="135"/>
      <c r="AF653" s="135"/>
      <c r="AG653" s="135"/>
    </row>
    <row r="654" ht="21.75" hidden="1" customHeight="1">
      <c r="A654" s="135">
        <v>650.0</v>
      </c>
      <c r="B654" s="135">
        <v>25045.0</v>
      </c>
      <c r="C654" s="135"/>
      <c r="D654" s="135">
        <v>27.0</v>
      </c>
      <c r="E654" s="135" t="s">
        <v>3349</v>
      </c>
      <c r="F654" s="135" t="s">
        <v>513</v>
      </c>
      <c r="G654" s="135" t="s">
        <v>149</v>
      </c>
      <c r="H654" s="135" t="s">
        <v>2853</v>
      </c>
      <c r="I654" s="135" t="s">
        <v>156</v>
      </c>
      <c r="J654" s="135">
        <v>1.0</v>
      </c>
      <c r="K654" s="135" t="s">
        <v>3134</v>
      </c>
      <c r="L654" s="135">
        <v>4655.0</v>
      </c>
      <c r="M654" s="135">
        <v>2850.0</v>
      </c>
      <c r="N654" s="135">
        <v>120.0</v>
      </c>
      <c r="O654" s="135">
        <v>1.887</v>
      </c>
      <c r="P654" s="136">
        <v>0.0</v>
      </c>
      <c r="Q654" s="137">
        <v>4.7175</v>
      </c>
      <c r="R654" s="136">
        <v>46109.0</v>
      </c>
      <c r="S654" s="135" t="s">
        <v>3319</v>
      </c>
      <c r="T654" s="136"/>
      <c r="U654" s="135" t="s">
        <v>2855</v>
      </c>
      <c r="V654" s="135" t="s">
        <v>2876</v>
      </c>
      <c r="W654" s="135" t="s">
        <v>3353</v>
      </c>
      <c r="X654" s="135"/>
      <c r="Y654" s="135"/>
      <c r="Z654" s="135" t="s">
        <v>2858</v>
      </c>
      <c r="AA654" s="135"/>
      <c r="AB654" s="135"/>
      <c r="AC654" s="135"/>
      <c r="AD654" s="135">
        <v>46130.0</v>
      </c>
      <c r="AE654" s="135"/>
      <c r="AF654" s="135"/>
      <c r="AG654" s="135"/>
    </row>
    <row r="655" ht="21.75" hidden="1" customHeight="1">
      <c r="A655" s="135">
        <v>651.0</v>
      </c>
      <c r="B655" s="135">
        <v>25045.0</v>
      </c>
      <c r="C655" s="135"/>
      <c r="D655" s="135">
        <v>27.0</v>
      </c>
      <c r="E655" s="135" t="s">
        <v>3349</v>
      </c>
      <c r="F655" s="135" t="s">
        <v>514</v>
      </c>
      <c r="G655" s="135" t="s">
        <v>149</v>
      </c>
      <c r="H655" s="135" t="s">
        <v>2853</v>
      </c>
      <c r="I655" s="135" t="s">
        <v>156</v>
      </c>
      <c r="J655" s="135">
        <v>1.0</v>
      </c>
      <c r="K655" s="135"/>
      <c r="L655" s="135">
        <v>1638.0</v>
      </c>
      <c r="M655" s="135">
        <v>1295.0</v>
      </c>
      <c r="N655" s="135">
        <v>120.0</v>
      </c>
      <c r="O655" s="135">
        <v>0.35</v>
      </c>
      <c r="P655" s="136">
        <v>0.0</v>
      </c>
      <c r="Q655" s="137">
        <v>0.875</v>
      </c>
      <c r="R655" s="136">
        <v>46109.0</v>
      </c>
      <c r="S655" s="135" t="s">
        <v>3319</v>
      </c>
      <c r="T655" s="136"/>
      <c r="U655" s="135" t="s">
        <v>2864</v>
      </c>
      <c r="V655" s="135" t="s">
        <v>2953</v>
      </c>
      <c r="W655" s="135" t="s">
        <v>3354</v>
      </c>
      <c r="X655" s="135"/>
      <c r="Y655" s="135"/>
      <c r="Z655" s="135" t="s">
        <v>2858</v>
      </c>
      <c r="AA655" s="135"/>
      <c r="AB655" s="135"/>
      <c r="AC655" s="135"/>
      <c r="AD655" s="135">
        <v>46136.0</v>
      </c>
      <c r="AE655" s="135"/>
      <c r="AF655" s="135"/>
      <c r="AG655" s="135"/>
    </row>
    <row r="656" ht="21.75" hidden="1" customHeight="1">
      <c r="A656" s="135">
        <v>652.0</v>
      </c>
      <c r="B656" s="135">
        <v>25045.0</v>
      </c>
      <c r="C656" s="135" t="s">
        <v>2817</v>
      </c>
      <c r="D656" s="135">
        <v>27.0</v>
      </c>
      <c r="E656" s="135" t="s">
        <v>3355</v>
      </c>
      <c r="F656" s="135" t="s">
        <v>522</v>
      </c>
      <c r="G656" s="135" t="s">
        <v>149</v>
      </c>
      <c r="H656" s="135" t="s">
        <v>2853</v>
      </c>
      <c r="I656" s="135" t="s">
        <v>157</v>
      </c>
      <c r="J656" s="135">
        <v>1.0</v>
      </c>
      <c r="K656" s="135"/>
      <c r="L656" s="135">
        <v>4456.0</v>
      </c>
      <c r="M656" s="135">
        <v>1730.0</v>
      </c>
      <c r="N656" s="135">
        <v>120.0</v>
      </c>
      <c r="O656" s="135">
        <v>1.088</v>
      </c>
      <c r="P656" s="136">
        <v>0.0</v>
      </c>
      <c r="Q656" s="137">
        <v>2.72</v>
      </c>
      <c r="R656" s="136">
        <v>46109.0</v>
      </c>
      <c r="S656" s="135" t="s">
        <v>3319</v>
      </c>
      <c r="T656" s="136"/>
      <c r="U656" s="135" t="s">
        <v>2855</v>
      </c>
      <c r="V656" s="135" t="s">
        <v>2856</v>
      </c>
      <c r="W656" s="135" t="s">
        <v>3356</v>
      </c>
      <c r="X656" s="135"/>
      <c r="Y656" s="135"/>
      <c r="Z656" s="135" t="s">
        <v>2858</v>
      </c>
      <c r="AA656" s="135"/>
      <c r="AB656" s="135"/>
      <c r="AC656" s="135"/>
      <c r="AD656" s="135" t="e">
        <v>#N/A</v>
      </c>
      <c r="AE656" s="135"/>
      <c r="AF656" s="135"/>
      <c r="AG656" s="135"/>
    </row>
    <row r="657" ht="21.75" hidden="1" customHeight="1">
      <c r="A657" s="135">
        <v>653.0</v>
      </c>
      <c r="B657" s="135">
        <v>25045.0</v>
      </c>
      <c r="C657" s="135"/>
      <c r="D657" s="135">
        <v>27.0</v>
      </c>
      <c r="E657" s="135" t="s">
        <v>3355</v>
      </c>
      <c r="F657" s="135" t="s">
        <v>523</v>
      </c>
      <c r="G657" s="135" t="s">
        <v>149</v>
      </c>
      <c r="H657" s="135" t="s">
        <v>2853</v>
      </c>
      <c r="I657" s="135" t="s">
        <v>157</v>
      </c>
      <c r="J657" s="135">
        <v>1.0</v>
      </c>
      <c r="K657" s="135"/>
      <c r="L657" s="135">
        <v>4090.0</v>
      </c>
      <c r="M657" s="135">
        <v>3200.0</v>
      </c>
      <c r="N657" s="135">
        <v>120.0</v>
      </c>
      <c r="O657" s="135">
        <v>1.731</v>
      </c>
      <c r="P657" s="136">
        <v>0.0</v>
      </c>
      <c r="Q657" s="137">
        <v>4.327500000000001</v>
      </c>
      <c r="R657" s="136">
        <v>46109.0</v>
      </c>
      <c r="S657" s="135" t="s">
        <v>3319</v>
      </c>
      <c r="T657" s="136"/>
      <c r="U657" s="135" t="s">
        <v>2855</v>
      </c>
      <c r="V657" s="135" t="s">
        <v>2865</v>
      </c>
      <c r="W657" s="135" t="s">
        <v>2971</v>
      </c>
      <c r="X657" s="135" t="s">
        <v>2872</v>
      </c>
      <c r="Y657" s="135"/>
      <c r="Z657" s="135" t="s">
        <v>2858</v>
      </c>
      <c r="AA657" s="135"/>
      <c r="AB657" s="135"/>
      <c r="AC657" s="135"/>
      <c r="AD657" s="135">
        <v>0.0</v>
      </c>
      <c r="AE657" s="135"/>
      <c r="AF657" s="135"/>
      <c r="AG657" s="135"/>
    </row>
    <row r="658" ht="21.75" hidden="1" customHeight="1">
      <c r="A658" s="135">
        <v>654.0</v>
      </c>
      <c r="B658" s="135">
        <v>25045.0</v>
      </c>
      <c r="C658" s="135"/>
      <c r="D658" s="135">
        <v>27.0</v>
      </c>
      <c r="E658" s="135" t="s">
        <v>3355</v>
      </c>
      <c r="F658" s="135" t="s">
        <v>524</v>
      </c>
      <c r="G658" s="135" t="s">
        <v>149</v>
      </c>
      <c r="H658" s="135" t="s">
        <v>2853</v>
      </c>
      <c r="I658" s="135" t="s">
        <v>157</v>
      </c>
      <c r="J658" s="135">
        <v>1.0</v>
      </c>
      <c r="K658" s="135"/>
      <c r="L658" s="135">
        <v>4350.0</v>
      </c>
      <c r="M658" s="135">
        <v>3200.0</v>
      </c>
      <c r="N658" s="135">
        <v>120.0</v>
      </c>
      <c r="O658" s="135">
        <v>1.799</v>
      </c>
      <c r="P658" s="136">
        <v>0.0</v>
      </c>
      <c r="Q658" s="137">
        <v>4.4975</v>
      </c>
      <c r="R658" s="136">
        <v>46109.0</v>
      </c>
      <c r="S658" s="135" t="s">
        <v>3319</v>
      </c>
      <c r="T658" s="136"/>
      <c r="U658" s="135" t="s">
        <v>2864</v>
      </c>
      <c r="V658" s="135" t="s">
        <v>2865</v>
      </c>
      <c r="W658" s="135" t="s">
        <v>3307</v>
      </c>
      <c r="X658" s="135" t="s">
        <v>3357</v>
      </c>
      <c r="Y658" s="135"/>
      <c r="Z658" s="135" t="s">
        <v>2858</v>
      </c>
      <c r="AA658" s="135"/>
      <c r="AB658" s="135"/>
      <c r="AC658" s="135"/>
      <c r="AD658" s="135">
        <v>46127.0</v>
      </c>
      <c r="AE658" s="135"/>
      <c r="AF658" s="135"/>
      <c r="AG658" s="135"/>
    </row>
    <row r="659" ht="21.75" hidden="1" customHeight="1">
      <c r="A659" s="135">
        <v>655.0</v>
      </c>
      <c r="B659" s="135">
        <v>25045.0</v>
      </c>
      <c r="C659" s="135"/>
      <c r="D659" s="135">
        <v>27.0</v>
      </c>
      <c r="E659" s="135" t="s">
        <v>3355</v>
      </c>
      <c r="F659" s="135" t="s">
        <v>525</v>
      </c>
      <c r="G659" s="135" t="s">
        <v>149</v>
      </c>
      <c r="H659" s="135" t="s">
        <v>2853</v>
      </c>
      <c r="I659" s="135" t="s">
        <v>157</v>
      </c>
      <c r="J659" s="135">
        <v>1.0</v>
      </c>
      <c r="K659" s="135"/>
      <c r="L659" s="135">
        <v>5140.0</v>
      </c>
      <c r="M659" s="135">
        <v>3200.0</v>
      </c>
      <c r="N659" s="135">
        <v>120.0</v>
      </c>
      <c r="O659" s="135">
        <v>2.171</v>
      </c>
      <c r="P659" s="136">
        <v>0.0</v>
      </c>
      <c r="Q659" s="137">
        <v>5.427499999999999</v>
      </c>
      <c r="R659" s="136">
        <v>46109.0</v>
      </c>
      <c r="S659" s="135" t="s">
        <v>3319</v>
      </c>
      <c r="T659" s="136"/>
      <c r="U659" s="135" t="s">
        <v>2855</v>
      </c>
      <c r="V659" s="135" t="s">
        <v>2868</v>
      </c>
      <c r="W659" s="135" t="s">
        <v>3308</v>
      </c>
      <c r="X659" s="135" t="s">
        <v>2870</v>
      </c>
      <c r="Y659" s="135"/>
      <c r="Z659" s="135" t="s">
        <v>2858</v>
      </c>
      <c r="AA659" s="135"/>
      <c r="AB659" s="135"/>
      <c r="AC659" s="135"/>
      <c r="AD659" s="135">
        <v>46127.0</v>
      </c>
      <c r="AE659" s="135"/>
      <c r="AF659" s="135"/>
      <c r="AG659" s="135"/>
    </row>
    <row r="660" ht="21.75" hidden="1" customHeight="1">
      <c r="A660" s="135">
        <v>656.0</v>
      </c>
      <c r="B660" s="135">
        <v>25045.0</v>
      </c>
      <c r="C660" s="135"/>
      <c r="D660" s="135">
        <v>27.0</v>
      </c>
      <c r="E660" s="135" t="s">
        <v>3355</v>
      </c>
      <c r="F660" s="135" t="s">
        <v>526</v>
      </c>
      <c r="G660" s="135" t="s">
        <v>149</v>
      </c>
      <c r="H660" s="135" t="s">
        <v>2853</v>
      </c>
      <c r="I660" s="135" t="s">
        <v>157</v>
      </c>
      <c r="J660" s="135">
        <v>1.0</v>
      </c>
      <c r="K660" s="135" t="s">
        <v>3134</v>
      </c>
      <c r="L660" s="135">
        <v>4655.0</v>
      </c>
      <c r="M660" s="135">
        <v>2890.0</v>
      </c>
      <c r="N660" s="135">
        <v>120.0</v>
      </c>
      <c r="O660" s="135">
        <v>1.909</v>
      </c>
      <c r="P660" s="136">
        <v>0.0</v>
      </c>
      <c r="Q660" s="137">
        <v>4.7725</v>
      </c>
      <c r="R660" s="136">
        <v>46109.0</v>
      </c>
      <c r="S660" s="135" t="s">
        <v>3319</v>
      </c>
      <c r="T660" s="136"/>
      <c r="U660" s="135" t="s">
        <v>2855</v>
      </c>
      <c r="V660" s="135" t="s">
        <v>2876</v>
      </c>
      <c r="W660" s="135" t="s">
        <v>3358</v>
      </c>
      <c r="X660" s="135"/>
      <c r="Y660" s="135"/>
      <c r="Z660" s="135" t="s">
        <v>2858</v>
      </c>
      <c r="AA660" s="135"/>
      <c r="AB660" s="135"/>
      <c r="AC660" s="135"/>
      <c r="AD660" s="135">
        <v>46128.0</v>
      </c>
      <c r="AE660" s="135"/>
      <c r="AF660" s="135"/>
      <c r="AG660" s="135"/>
    </row>
    <row r="661" ht="21.75" hidden="1" customHeight="1">
      <c r="A661" s="135">
        <v>657.0</v>
      </c>
      <c r="B661" s="135">
        <v>25045.0</v>
      </c>
      <c r="C661" s="135"/>
      <c r="D661" s="135">
        <v>27.0</v>
      </c>
      <c r="E661" s="135" t="s">
        <v>3355</v>
      </c>
      <c r="F661" s="135" t="s">
        <v>527</v>
      </c>
      <c r="G661" s="135" t="s">
        <v>149</v>
      </c>
      <c r="H661" s="135" t="s">
        <v>2853</v>
      </c>
      <c r="I661" s="135" t="s">
        <v>157</v>
      </c>
      <c r="J661" s="135">
        <v>1.0</v>
      </c>
      <c r="K661" s="135" t="s">
        <v>3134</v>
      </c>
      <c r="L661" s="135">
        <v>4655.0</v>
      </c>
      <c r="M661" s="135">
        <v>2890.0</v>
      </c>
      <c r="N661" s="135">
        <v>120.0</v>
      </c>
      <c r="O661" s="135">
        <v>1.909</v>
      </c>
      <c r="P661" s="136">
        <v>0.0</v>
      </c>
      <c r="Q661" s="137">
        <v>4.7725</v>
      </c>
      <c r="R661" s="136">
        <v>46109.0</v>
      </c>
      <c r="S661" s="135" t="s">
        <v>3319</v>
      </c>
      <c r="T661" s="136"/>
      <c r="U661" s="135" t="s">
        <v>2855</v>
      </c>
      <c r="V661" s="135" t="s">
        <v>2876</v>
      </c>
      <c r="W661" s="135" t="s">
        <v>3358</v>
      </c>
      <c r="X661" s="135"/>
      <c r="Y661" s="135"/>
      <c r="Z661" s="135" t="s">
        <v>2858</v>
      </c>
      <c r="AA661" s="135"/>
      <c r="AB661" s="135"/>
      <c r="AC661" s="135"/>
      <c r="AD661" s="135">
        <v>46129.0</v>
      </c>
      <c r="AE661" s="135"/>
      <c r="AF661" s="135"/>
      <c r="AG661" s="135"/>
    </row>
    <row r="662" ht="21.75" hidden="1" customHeight="1">
      <c r="A662" s="135">
        <v>658.0</v>
      </c>
      <c r="B662" s="135">
        <v>25045.0</v>
      </c>
      <c r="C662" s="135"/>
      <c r="D662" s="135">
        <v>27.0</v>
      </c>
      <c r="E662" s="135" t="s">
        <v>3355</v>
      </c>
      <c r="F662" s="135" t="s">
        <v>528</v>
      </c>
      <c r="G662" s="135" t="s">
        <v>149</v>
      </c>
      <c r="H662" s="135" t="s">
        <v>2853</v>
      </c>
      <c r="I662" s="135" t="s">
        <v>157</v>
      </c>
      <c r="J662" s="135">
        <v>1.0</v>
      </c>
      <c r="K662" s="135" t="s">
        <v>3134</v>
      </c>
      <c r="L662" s="135">
        <v>4655.0</v>
      </c>
      <c r="M662" s="135">
        <v>2890.0</v>
      </c>
      <c r="N662" s="135">
        <v>120.0</v>
      </c>
      <c r="O662" s="135">
        <v>1.909</v>
      </c>
      <c r="P662" s="136">
        <v>0.0</v>
      </c>
      <c r="Q662" s="137">
        <v>4.7725</v>
      </c>
      <c r="R662" s="136">
        <v>46109.0</v>
      </c>
      <c r="S662" s="135" t="s">
        <v>3319</v>
      </c>
      <c r="T662" s="136"/>
      <c r="U662" s="135" t="s">
        <v>2855</v>
      </c>
      <c r="V662" s="135" t="s">
        <v>2876</v>
      </c>
      <c r="W662" s="135" t="s">
        <v>3358</v>
      </c>
      <c r="X662" s="135"/>
      <c r="Y662" s="135"/>
      <c r="Z662" s="135" t="s">
        <v>2858</v>
      </c>
      <c r="AA662" s="135"/>
      <c r="AB662" s="135"/>
      <c r="AC662" s="135"/>
      <c r="AD662" s="135">
        <v>46130.0</v>
      </c>
      <c r="AE662" s="135"/>
      <c r="AF662" s="135"/>
      <c r="AG662" s="135"/>
    </row>
    <row r="663" ht="21.75" hidden="1" customHeight="1">
      <c r="A663" s="135">
        <v>659.0</v>
      </c>
      <c r="B663" s="135">
        <v>25045.0</v>
      </c>
      <c r="C663" s="135"/>
      <c r="D663" s="135">
        <v>27.0</v>
      </c>
      <c r="E663" s="135" t="s">
        <v>3355</v>
      </c>
      <c r="F663" s="135" t="s">
        <v>529</v>
      </c>
      <c r="G663" s="135" t="s">
        <v>149</v>
      </c>
      <c r="H663" s="135" t="s">
        <v>2853</v>
      </c>
      <c r="I663" s="135" t="s">
        <v>157</v>
      </c>
      <c r="J663" s="135">
        <v>1.0</v>
      </c>
      <c r="K663" s="135"/>
      <c r="L663" s="135">
        <v>5015.0</v>
      </c>
      <c r="M663" s="135">
        <v>2890.0</v>
      </c>
      <c r="N663" s="135">
        <v>120.0</v>
      </c>
      <c r="O663" s="135">
        <v>1.99</v>
      </c>
      <c r="P663" s="136">
        <v>0.0</v>
      </c>
      <c r="Q663" s="137">
        <v>4.975</v>
      </c>
      <c r="R663" s="136">
        <v>46109.0</v>
      </c>
      <c r="S663" s="135" t="s">
        <v>3319</v>
      </c>
      <c r="T663" s="136"/>
      <c r="U663" s="135" t="s">
        <v>2855</v>
      </c>
      <c r="V663" s="135" t="s">
        <v>2876</v>
      </c>
      <c r="W663" s="135" t="s">
        <v>3359</v>
      </c>
      <c r="X663" s="135"/>
      <c r="Y663" s="135"/>
      <c r="Z663" s="135" t="s">
        <v>2858</v>
      </c>
      <c r="AA663" s="135"/>
      <c r="AB663" s="135"/>
      <c r="AC663" s="135"/>
      <c r="AD663" s="135">
        <v>46125.0</v>
      </c>
      <c r="AE663" s="135"/>
      <c r="AF663" s="135"/>
      <c r="AG663" s="135"/>
    </row>
    <row r="664" ht="21.75" hidden="1" customHeight="1">
      <c r="A664" s="135">
        <v>660.0</v>
      </c>
      <c r="B664" s="135">
        <v>25045.0</v>
      </c>
      <c r="C664" s="135"/>
      <c r="D664" s="135">
        <v>27.0</v>
      </c>
      <c r="E664" s="135" t="s">
        <v>3355</v>
      </c>
      <c r="F664" s="135" t="s">
        <v>530</v>
      </c>
      <c r="G664" s="135" t="s">
        <v>149</v>
      </c>
      <c r="H664" s="135" t="s">
        <v>2853</v>
      </c>
      <c r="I664" s="135" t="s">
        <v>157</v>
      </c>
      <c r="J664" s="135">
        <v>1.0</v>
      </c>
      <c r="K664" s="135"/>
      <c r="L664" s="135">
        <v>1635.0</v>
      </c>
      <c r="M664" s="135">
        <v>920.0</v>
      </c>
      <c r="N664" s="135">
        <v>120.0</v>
      </c>
      <c r="O664" s="135">
        <v>0.334</v>
      </c>
      <c r="P664" s="136">
        <v>0.0</v>
      </c>
      <c r="Q664" s="137">
        <v>0.8350000000000001</v>
      </c>
      <c r="R664" s="136">
        <v>46109.0</v>
      </c>
      <c r="S664" s="135" t="s">
        <v>3319</v>
      </c>
      <c r="T664" s="136"/>
      <c r="U664" s="135" t="s">
        <v>2864</v>
      </c>
      <c r="V664" s="135" t="s">
        <v>2953</v>
      </c>
      <c r="W664" s="135" t="s">
        <v>3360</v>
      </c>
      <c r="X664" s="135"/>
      <c r="Y664" s="135"/>
      <c r="Z664" s="135" t="s">
        <v>2858</v>
      </c>
      <c r="AA664" s="135"/>
      <c r="AB664" s="135"/>
      <c r="AC664" s="135"/>
      <c r="AD664" s="135">
        <v>46123.0</v>
      </c>
      <c r="AE664" s="135"/>
      <c r="AF664" s="135"/>
      <c r="AG664" s="135"/>
    </row>
    <row r="665" ht="21.75" hidden="1" customHeight="1">
      <c r="A665" s="135">
        <v>661.0</v>
      </c>
      <c r="B665" s="135">
        <v>25045.0</v>
      </c>
      <c r="C665" s="135"/>
      <c r="D665" s="135">
        <v>3.0</v>
      </c>
      <c r="E665" s="135" t="s">
        <v>3277</v>
      </c>
      <c r="F665" s="135" t="s">
        <v>1534</v>
      </c>
      <c r="G665" s="135" t="s">
        <v>44</v>
      </c>
      <c r="H665" s="135" t="s">
        <v>2965</v>
      </c>
      <c r="I665" s="135" t="s">
        <v>45</v>
      </c>
      <c r="J665" s="135">
        <v>1.0</v>
      </c>
      <c r="K665" s="135"/>
      <c r="L665" s="135">
        <v>400.0</v>
      </c>
      <c r="M665" s="135">
        <v>3240.0</v>
      </c>
      <c r="N665" s="135">
        <v>350.0</v>
      </c>
      <c r="O665" s="135">
        <v>0.559</v>
      </c>
      <c r="P665" s="136">
        <v>0.0</v>
      </c>
      <c r="Q665" s="137">
        <v>1.3975000000000002</v>
      </c>
      <c r="R665" s="136">
        <v>46116.0</v>
      </c>
      <c r="S665" s="135" t="s">
        <v>3361</v>
      </c>
      <c r="T665" s="136"/>
      <c r="U665" s="135" t="s">
        <v>2966</v>
      </c>
      <c r="V665" s="135" t="s">
        <v>2967</v>
      </c>
      <c r="W665" s="135"/>
      <c r="X665" s="135" t="s">
        <v>2968</v>
      </c>
      <c r="Y665" s="135"/>
      <c r="Z665" s="135" t="s">
        <v>2858</v>
      </c>
      <c r="AA665" s="135"/>
      <c r="AB665" s="135"/>
      <c r="AC665" s="135"/>
      <c r="AD665" s="135">
        <v>46134.0</v>
      </c>
      <c r="AE665" s="135"/>
      <c r="AF665" s="135"/>
      <c r="AG665" s="135"/>
    </row>
    <row r="666" ht="21.75" hidden="1" customHeight="1">
      <c r="A666" s="135">
        <v>662.0</v>
      </c>
      <c r="B666" s="135">
        <v>25045.0</v>
      </c>
      <c r="C666" s="135"/>
      <c r="D666" s="135">
        <v>3.0</v>
      </c>
      <c r="E666" s="135" t="s">
        <v>3286</v>
      </c>
      <c r="F666" s="135" t="s">
        <v>1562</v>
      </c>
      <c r="G666" s="135" t="s">
        <v>44</v>
      </c>
      <c r="H666" s="135" t="s">
        <v>2965</v>
      </c>
      <c r="I666" s="135" t="s">
        <v>47</v>
      </c>
      <c r="J666" s="135">
        <v>1.0</v>
      </c>
      <c r="K666" s="135"/>
      <c r="L666" s="135">
        <v>400.0</v>
      </c>
      <c r="M666" s="135">
        <v>3240.0</v>
      </c>
      <c r="N666" s="135">
        <v>350.0</v>
      </c>
      <c r="O666" s="135">
        <v>0.517</v>
      </c>
      <c r="P666" s="136">
        <v>0.0</v>
      </c>
      <c r="Q666" s="137">
        <v>1.2925</v>
      </c>
      <c r="R666" s="136">
        <v>46116.0</v>
      </c>
      <c r="S666" s="135" t="s">
        <v>3361</v>
      </c>
      <c r="T666" s="136"/>
      <c r="U666" s="135" t="s">
        <v>2966</v>
      </c>
      <c r="V666" s="135" t="s">
        <v>2967</v>
      </c>
      <c r="W666" s="135"/>
      <c r="X666" s="135" t="s">
        <v>2969</v>
      </c>
      <c r="Y666" s="135"/>
      <c r="Z666" s="135" t="s">
        <v>2858</v>
      </c>
      <c r="AA666" s="135"/>
      <c r="AB666" s="135"/>
      <c r="AC666" s="135"/>
      <c r="AD666" s="135">
        <v>46123.0</v>
      </c>
      <c r="AE666" s="135"/>
      <c r="AF666" s="135"/>
      <c r="AG666" s="135"/>
    </row>
    <row r="667" ht="21.75" hidden="1" customHeight="1">
      <c r="A667" s="135">
        <v>663.0</v>
      </c>
      <c r="B667" s="135">
        <v>25045.0</v>
      </c>
      <c r="C667" s="135"/>
      <c r="D667" s="135">
        <v>3.0</v>
      </c>
      <c r="E667" s="135" t="s">
        <v>3294</v>
      </c>
      <c r="F667" s="135" t="s">
        <v>1587</v>
      </c>
      <c r="G667" s="135" t="s">
        <v>44</v>
      </c>
      <c r="H667" s="135" t="s">
        <v>2965</v>
      </c>
      <c r="I667" s="135" t="s">
        <v>48</v>
      </c>
      <c r="J667" s="135">
        <v>1.0</v>
      </c>
      <c r="K667" s="135"/>
      <c r="L667" s="135">
        <v>400.0</v>
      </c>
      <c r="M667" s="135">
        <v>3050.0</v>
      </c>
      <c r="N667" s="135">
        <v>350.0</v>
      </c>
      <c r="O667" s="135">
        <v>0.53</v>
      </c>
      <c r="P667" s="136">
        <v>0.0</v>
      </c>
      <c r="Q667" s="137">
        <v>1.3250000000000002</v>
      </c>
      <c r="R667" s="136">
        <v>46116.0</v>
      </c>
      <c r="S667" s="135" t="s">
        <v>3361</v>
      </c>
      <c r="T667" s="136"/>
      <c r="U667" s="135" t="s">
        <v>2966</v>
      </c>
      <c r="V667" s="135" t="s">
        <v>2967</v>
      </c>
      <c r="W667" s="135"/>
      <c r="X667" s="135" t="s">
        <v>2968</v>
      </c>
      <c r="Y667" s="135"/>
      <c r="Z667" s="135" t="s">
        <v>2858</v>
      </c>
      <c r="AA667" s="135"/>
      <c r="AB667" s="135"/>
      <c r="AC667" s="135"/>
      <c r="AD667" s="135">
        <v>46150.0</v>
      </c>
      <c r="AE667" s="135"/>
      <c r="AF667" s="135"/>
      <c r="AG667" s="135"/>
    </row>
    <row r="668" ht="21.75" hidden="1" customHeight="1">
      <c r="A668" s="135">
        <v>664.0</v>
      </c>
      <c r="B668" s="135">
        <v>25045.0</v>
      </c>
      <c r="C668" s="135"/>
      <c r="D668" s="135">
        <v>3.0</v>
      </c>
      <c r="E668" s="135" t="s">
        <v>3301</v>
      </c>
      <c r="F668" s="135" t="s">
        <v>1607</v>
      </c>
      <c r="G668" s="135" t="s">
        <v>44</v>
      </c>
      <c r="H668" s="135" t="s">
        <v>2965</v>
      </c>
      <c r="I668" s="135" t="s">
        <v>50</v>
      </c>
      <c r="J668" s="135">
        <v>1.0</v>
      </c>
      <c r="K668" s="135"/>
      <c r="L668" s="135">
        <v>150.0</v>
      </c>
      <c r="M668" s="135">
        <v>3040.0</v>
      </c>
      <c r="N668" s="135">
        <v>350.0</v>
      </c>
      <c r="O668" s="135">
        <v>0.29</v>
      </c>
      <c r="P668" s="136">
        <v>0.0</v>
      </c>
      <c r="Q668" s="137">
        <v>0.725</v>
      </c>
      <c r="R668" s="136">
        <v>46116.0</v>
      </c>
      <c r="S668" s="135" t="s">
        <v>3361</v>
      </c>
      <c r="T668" s="136"/>
      <c r="U668" s="135" t="s">
        <v>2966</v>
      </c>
      <c r="V668" s="135" t="s">
        <v>2967</v>
      </c>
      <c r="W668" s="135"/>
      <c r="X668" s="135" t="s">
        <v>2969</v>
      </c>
      <c r="Y668" s="135"/>
      <c r="Z668" s="135" t="s">
        <v>2858</v>
      </c>
      <c r="AA668" s="135"/>
      <c r="AB668" s="135"/>
      <c r="AC668" s="135"/>
      <c r="AD668" s="135">
        <v>46151.0</v>
      </c>
      <c r="AE668" s="135"/>
      <c r="AF668" s="135"/>
      <c r="AG668" s="135"/>
    </row>
    <row r="669" ht="21.75" hidden="1" customHeight="1">
      <c r="A669" s="135">
        <v>665.0</v>
      </c>
      <c r="B669" s="135">
        <v>25045.0</v>
      </c>
      <c r="C669" s="135"/>
      <c r="D669" s="135">
        <v>3.0</v>
      </c>
      <c r="E669" s="135" t="s">
        <v>3301</v>
      </c>
      <c r="F669" s="135" t="s">
        <v>1608</v>
      </c>
      <c r="G669" s="135" t="s">
        <v>44</v>
      </c>
      <c r="H669" s="135" t="s">
        <v>2965</v>
      </c>
      <c r="I669" s="135" t="s">
        <v>50</v>
      </c>
      <c r="J669" s="135">
        <v>1.0</v>
      </c>
      <c r="K669" s="135"/>
      <c r="L669" s="135">
        <v>400.0</v>
      </c>
      <c r="M669" s="135">
        <v>3170.0</v>
      </c>
      <c r="N669" s="135">
        <v>350.0</v>
      </c>
      <c r="O669" s="135">
        <v>0.549</v>
      </c>
      <c r="P669" s="136">
        <v>0.0</v>
      </c>
      <c r="Q669" s="137">
        <v>1.3725</v>
      </c>
      <c r="R669" s="136">
        <v>46116.0</v>
      </c>
      <c r="S669" s="135" t="s">
        <v>3361</v>
      </c>
      <c r="T669" s="136"/>
      <c r="U669" s="135" t="s">
        <v>2966</v>
      </c>
      <c r="V669" s="135" t="s">
        <v>2967</v>
      </c>
      <c r="W669" s="135"/>
      <c r="X669" s="135" t="s">
        <v>2968</v>
      </c>
      <c r="Y669" s="135"/>
      <c r="Z669" s="135" t="s">
        <v>2858</v>
      </c>
      <c r="AA669" s="135"/>
      <c r="AB669" s="135"/>
      <c r="AC669" s="135"/>
      <c r="AD669" s="135">
        <v>46142.0</v>
      </c>
      <c r="AE669" s="135"/>
      <c r="AF669" s="135"/>
      <c r="AG669" s="135"/>
    </row>
    <row r="670" ht="21.75" hidden="1" customHeight="1">
      <c r="A670" s="135">
        <v>666.0</v>
      </c>
      <c r="B670" s="135">
        <v>25045.0</v>
      </c>
      <c r="C670" s="135"/>
      <c r="D670" s="135">
        <v>3.0</v>
      </c>
      <c r="E670" s="135" t="s">
        <v>3305</v>
      </c>
      <c r="F670" s="135" t="s">
        <v>1634</v>
      </c>
      <c r="G670" s="135" t="s">
        <v>44</v>
      </c>
      <c r="H670" s="135" t="s">
        <v>2965</v>
      </c>
      <c r="I670" s="135" t="s">
        <v>52</v>
      </c>
      <c r="J670" s="135">
        <v>1.0</v>
      </c>
      <c r="K670" s="135"/>
      <c r="L670" s="135">
        <v>400.0</v>
      </c>
      <c r="M670" s="135">
        <v>3170.0</v>
      </c>
      <c r="N670" s="135">
        <v>350.0</v>
      </c>
      <c r="O670" s="135">
        <v>0.507</v>
      </c>
      <c r="P670" s="136">
        <v>0.0</v>
      </c>
      <c r="Q670" s="137">
        <v>1.2675</v>
      </c>
      <c r="R670" s="136">
        <v>46116.0</v>
      </c>
      <c r="S670" s="135" t="s">
        <v>3361</v>
      </c>
      <c r="T670" s="136"/>
      <c r="U670" s="135" t="s">
        <v>2966</v>
      </c>
      <c r="V670" s="135" t="s">
        <v>2967</v>
      </c>
      <c r="W670" s="135"/>
      <c r="X670" s="135" t="s">
        <v>2969</v>
      </c>
      <c r="Y670" s="135"/>
      <c r="Z670" s="135" t="s">
        <v>2858</v>
      </c>
      <c r="AA670" s="135"/>
      <c r="AB670" s="135"/>
      <c r="AC670" s="135"/>
      <c r="AD670" s="135">
        <v>46128.0</v>
      </c>
      <c r="AE670" s="135"/>
      <c r="AF670" s="135"/>
      <c r="AG670" s="135"/>
    </row>
    <row r="671" ht="21.75" hidden="1" customHeight="1">
      <c r="A671" s="135">
        <v>667.0</v>
      </c>
      <c r="B671" s="135">
        <v>25045.0</v>
      </c>
      <c r="C671" s="135" t="s">
        <v>2817</v>
      </c>
      <c r="D671" s="135">
        <v>3.0</v>
      </c>
      <c r="E671" s="135" t="s">
        <v>3305</v>
      </c>
      <c r="F671" s="135" t="s">
        <v>1635</v>
      </c>
      <c r="G671" s="135" t="s">
        <v>44</v>
      </c>
      <c r="H671" s="135" t="s">
        <v>2853</v>
      </c>
      <c r="I671" s="135" t="s">
        <v>52</v>
      </c>
      <c r="J671" s="135">
        <v>1.0</v>
      </c>
      <c r="K671" s="135"/>
      <c r="L671" s="135">
        <v>6067.0</v>
      </c>
      <c r="M671" s="135">
        <v>1490.0</v>
      </c>
      <c r="N671" s="135">
        <v>120.0</v>
      </c>
      <c r="O671" s="135">
        <v>1.1</v>
      </c>
      <c r="P671" s="136">
        <v>0.0</v>
      </c>
      <c r="Q671" s="137">
        <v>2.75</v>
      </c>
      <c r="R671" s="136">
        <v>46121.0</v>
      </c>
      <c r="S671" s="135" t="s">
        <v>3362</v>
      </c>
      <c r="T671" s="136"/>
      <c r="U671" s="135" t="s">
        <v>2864</v>
      </c>
      <c r="V671" s="135" t="s">
        <v>2856</v>
      </c>
      <c r="W671" s="135" t="s">
        <v>3363</v>
      </c>
      <c r="X671" s="135"/>
      <c r="Y671" s="135"/>
      <c r="Z671" s="135" t="s">
        <v>2858</v>
      </c>
      <c r="AA671" s="135"/>
      <c r="AB671" s="135"/>
      <c r="AC671" s="135"/>
      <c r="AD671" s="135" t="e">
        <v>#N/A</v>
      </c>
      <c r="AE671" s="135"/>
      <c r="AF671" s="135"/>
      <c r="AG671" s="135"/>
    </row>
    <row r="672" ht="21.75" hidden="1" customHeight="1">
      <c r="A672" s="135">
        <v>668.0</v>
      </c>
      <c r="B672" s="135">
        <v>25045.0</v>
      </c>
      <c r="C672" s="135"/>
      <c r="D672" s="135">
        <v>3.0</v>
      </c>
      <c r="E672" s="135" t="s">
        <v>3305</v>
      </c>
      <c r="F672" s="135" t="s">
        <v>1636</v>
      </c>
      <c r="G672" s="135" t="s">
        <v>44</v>
      </c>
      <c r="H672" s="135" t="s">
        <v>2853</v>
      </c>
      <c r="I672" s="135" t="s">
        <v>52</v>
      </c>
      <c r="J672" s="135">
        <v>1.0</v>
      </c>
      <c r="K672" s="135"/>
      <c r="L672" s="135">
        <v>4170.0</v>
      </c>
      <c r="M672" s="135">
        <v>1000.0</v>
      </c>
      <c r="N672" s="135">
        <v>120.0</v>
      </c>
      <c r="O672" s="135">
        <v>0.812</v>
      </c>
      <c r="P672" s="136">
        <v>0.0</v>
      </c>
      <c r="Q672" s="137">
        <v>2.0300000000000002</v>
      </c>
      <c r="R672" s="136">
        <v>46116.0</v>
      </c>
      <c r="S672" s="135" t="s">
        <v>3361</v>
      </c>
      <c r="T672" s="136"/>
      <c r="U672" s="135" t="s">
        <v>2950</v>
      </c>
      <c r="V672" s="135" t="s">
        <v>2951</v>
      </c>
      <c r="W672" s="135" t="s">
        <v>3364</v>
      </c>
      <c r="X672" s="135"/>
      <c r="Y672" s="135"/>
      <c r="Z672" s="135" t="s">
        <v>2858</v>
      </c>
      <c r="AA672" s="135"/>
      <c r="AB672" s="135"/>
      <c r="AC672" s="135"/>
      <c r="AD672" s="135">
        <v>46121.0</v>
      </c>
      <c r="AE672" s="135"/>
      <c r="AF672" s="135"/>
      <c r="AG672" s="135"/>
    </row>
    <row r="673" ht="21.75" hidden="1" customHeight="1">
      <c r="A673" s="135">
        <v>669.0</v>
      </c>
      <c r="B673" s="135">
        <v>25045.0</v>
      </c>
      <c r="C673" s="135"/>
      <c r="D673" s="135">
        <v>3.0</v>
      </c>
      <c r="E673" s="135" t="s">
        <v>3277</v>
      </c>
      <c r="F673" s="135" t="s">
        <v>1535</v>
      </c>
      <c r="G673" s="135" t="s">
        <v>44</v>
      </c>
      <c r="H673" s="135" t="s">
        <v>2853</v>
      </c>
      <c r="I673" s="135" t="s">
        <v>45</v>
      </c>
      <c r="J673" s="135">
        <v>1.0</v>
      </c>
      <c r="K673" s="135"/>
      <c r="L673" s="135">
        <v>2880.0</v>
      </c>
      <c r="M673" s="135">
        <v>1250.0</v>
      </c>
      <c r="N673" s="135">
        <v>120.0</v>
      </c>
      <c r="O673" s="135">
        <v>0.43</v>
      </c>
      <c r="P673" s="136">
        <v>0.0</v>
      </c>
      <c r="Q673" s="137">
        <v>1.075</v>
      </c>
      <c r="R673" s="136">
        <v>46121.0</v>
      </c>
      <c r="S673" s="135" t="s">
        <v>3362</v>
      </c>
      <c r="T673" s="136"/>
      <c r="U673" s="135" t="s">
        <v>2864</v>
      </c>
      <c r="V673" s="135" t="s">
        <v>2907</v>
      </c>
      <c r="W673" s="135" t="s">
        <v>3365</v>
      </c>
      <c r="X673" s="135"/>
      <c r="Y673" s="135"/>
      <c r="Z673" s="135" t="s">
        <v>2858</v>
      </c>
      <c r="AA673" s="135"/>
      <c r="AB673" s="135"/>
      <c r="AC673" s="135"/>
      <c r="AD673" s="135">
        <v>46144.0</v>
      </c>
      <c r="AE673" s="135"/>
      <c r="AF673" s="135"/>
      <c r="AG673" s="135"/>
    </row>
    <row r="674" ht="21.75" hidden="1" customHeight="1">
      <c r="A674" s="135">
        <v>670.0</v>
      </c>
      <c r="B674" s="135">
        <v>25045.0</v>
      </c>
      <c r="C674" s="135"/>
      <c r="D674" s="135">
        <v>3.0</v>
      </c>
      <c r="E674" s="135" t="s">
        <v>3301</v>
      </c>
      <c r="F674" s="135" t="s">
        <v>1609</v>
      </c>
      <c r="G674" s="135" t="s">
        <v>44</v>
      </c>
      <c r="H674" s="135" t="s">
        <v>2853</v>
      </c>
      <c r="I674" s="135" t="s">
        <v>50</v>
      </c>
      <c r="J674" s="135">
        <v>1.0</v>
      </c>
      <c r="K674" s="135"/>
      <c r="L674" s="135">
        <v>1780.0</v>
      </c>
      <c r="M674" s="135">
        <v>1370.0</v>
      </c>
      <c r="N674" s="135">
        <v>120.0</v>
      </c>
      <c r="O674" s="135">
        <v>0.38</v>
      </c>
      <c r="P674" s="136">
        <v>0.0</v>
      </c>
      <c r="Q674" s="137">
        <v>0.95</v>
      </c>
      <c r="R674" s="136">
        <v>46116.0</v>
      </c>
      <c r="S674" s="135" t="s">
        <v>3361</v>
      </c>
      <c r="T674" s="136"/>
      <c r="U674" s="135" t="s">
        <v>2864</v>
      </c>
      <c r="V674" s="135" t="s">
        <v>2953</v>
      </c>
      <c r="W674" s="135" t="s">
        <v>3366</v>
      </c>
      <c r="X674" s="135"/>
      <c r="Y674" s="135"/>
      <c r="Z674" s="135" t="s">
        <v>2858</v>
      </c>
      <c r="AA674" s="135"/>
      <c r="AB674" s="135"/>
      <c r="AC674" s="135"/>
      <c r="AD674" s="135">
        <v>46142.0</v>
      </c>
      <c r="AE674" s="135"/>
      <c r="AF674" s="135"/>
      <c r="AG674" s="135"/>
    </row>
    <row r="675" ht="21.75" hidden="1" customHeight="1">
      <c r="A675" s="135">
        <v>671.0</v>
      </c>
      <c r="B675" s="135">
        <v>25045.0</v>
      </c>
      <c r="C675" s="135"/>
      <c r="D675" s="135">
        <v>3.0</v>
      </c>
      <c r="E675" s="135" t="s">
        <v>3294</v>
      </c>
      <c r="F675" s="135" t="s">
        <v>1596</v>
      </c>
      <c r="G675" s="135" t="s">
        <v>44</v>
      </c>
      <c r="H675" s="135" t="s">
        <v>2853</v>
      </c>
      <c r="I675" s="135" t="s">
        <v>48</v>
      </c>
      <c r="J675" s="135">
        <v>1.0</v>
      </c>
      <c r="K675" s="135"/>
      <c r="L675" s="135">
        <v>1780.0</v>
      </c>
      <c r="M675" s="135">
        <v>1380.0</v>
      </c>
      <c r="N675" s="135">
        <v>120.0</v>
      </c>
      <c r="O675" s="135">
        <v>0.37</v>
      </c>
      <c r="P675" s="136">
        <v>0.0</v>
      </c>
      <c r="Q675" s="137">
        <v>0.925</v>
      </c>
      <c r="R675" s="136">
        <v>46129.0</v>
      </c>
      <c r="S675" s="135" t="s">
        <v>3367</v>
      </c>
      <c r="T675" s="136"/>
      <c r="U675" s="135" t="s">
        <v>2864</v>
      </c>
      <c r="V675" s="135" t="s">
        <v>2953</v>
      </c>
      <c r="W675" s="135" t="s">
        <v>3368</v>
      </c>
      <c r="X675" s="135"/>
      <c r="Y675" s="135"/>
      <c r="Z675" s="135" t="s">
        <v>2858</v>
      </c>
      <c r="AA675" s="135"/>
      <c r="AB675" s="135"/>
      <c r="AC675" s="135"/>
      <c r="AD675" s="135">
        <v>46148.0</v>
      </c>
      <c r="AE675" s="135"/>
      <c r="AF675" s="135"/>
      <c r="AG675" s="135"/>
    </row>
    <row r="676" ht="21.75" hidden="1" customHeight="1">
      <c r="A676" s="135">
        <v>672.0</v>
      </c>
      <c r="B676" s="135">
        <v>25045.0</v>
      </c>
      <c r="C676" s="135"/>
      <c r="D676" s="135">
        <v>3.0</v>
      </c>
      <c r="E676" s="135" t="s">
        <v>3294</v>
      </c>
      <c r="F676" s="135" t="s">
        <v>1588</v>
      </c>
      <c r="G676" s="135" t="s">
        <v>44</v>
      </c>
      <c r="H676" s="135" t="s">
        <v>2853</v>
      </c>
      <c r="I676" s="135" t="s">
        <v>48</v>
      </c>
      <c r="J676" s="135">
        <v>1.0</v>
      </c>
      <c r="K676" s="135"/>
      <c r="L676" s="135">
        <v>2140.0</v>
      </c>
      <c r="M676" s="135">
        <v>1340.0</v>
      </c>
      <c r="N676" s="135">
        <v>120.0</v>
      </c>
      <c r="O676" s="135">
        <v>0.4</v>
      </c>
      <c r="P676" s="136">
        <v>0.0</v>
      </c>
      <c r="Q676" s="137">
        <v>1.0</v>
      </c>
      <c r="R676" s="136">
        <v>46116.0</v>
      </c>
      <c r="S676" s="135" t="s">
        <v>3361</v>
      </c>
      <c r="T676" s="136"/>
      <c r="U676" s="135" t="s">
        <v>2864</v>
      </c>
      <c r="V676" s="135" t="s">
        <v>2953</v>
      </c>
      <c r="W676" s="135" t="s">
        <v>3369</v>
      </c>
      <c r="X676" s="135"/>
      <c r="Y676" s="135"/>
      <c r="Z676" s="135" t="s">
        <v>2858</v>
      </c>
      <c r="AA676" s="135"/>
      <c r="AB676" s="135"/>
      <c r="AC676" s="135"/>
      <c r="AD676" s="135">
        <v>46139.0</v>
      </c>
      <c r="AE676" s="135"/>
      <c r="AF676" s="135"/>
      <c r="AG676" s="135"/>
    </row>
    <row r="677" ht="21.75" hidden="1" customHeight="1">
      <c r="A677" s="135">
        <v>673.0</v>
      </c>
      <c r="B677" s="135">
        <v>25045.0</v>
      </c>
      <c r="C677" s="135"/>
      <c r="D677" s="135">
        <v>3.0</v>
      </c>
      <c r="E677" s="135" t="s">
        <v>3286</v>
      </c>
      <c r="F677" s="135" t="s">
        <v>1563</v>
      </c>
      <c r="G677" s="135" t="s">
        <v>44</v>
      </c>
      <c r="H677" s="135" t="s">
        <v>2853</v>
      </c>
      <c r="I677" s="135" t="s">
        <v>47</v>
      </c>
      <c r="J677" s="135">
        <v>1.0</v>
      </c>
      <c r="K677" s="135"/>
      <c r="L677" s="135">
        <v>2140.0</v>
      </c>
      <c r="M677" s="135">
        <v>1340.0</v>
      </c>
      <c r="N677" s="135">
        <v>120.0</v>
      </c>
      <c r="O677" s="135">
        <v>0.4</v>
      </c>
      <c r="P677" s="136">
        <v>0.0</v>
      </c>
      <c r="Q677" s="137">
        <v>1.0</v>
      </c>
      <c r="R677" s="136">
        <v>46116.0</v>
      </c>
      <c r="S677" s="135" t="s">
        <v>3361</v>
      </c>
      <c r="T677" s="136"/>
      <c r="U677" s="135" t="s">
        <v>2864</v>
      </c>
      <c r="V677" s="135" t="s">
        <v>2953</v>
      </c>
      <c r="W677" s="135" t="s">
        <v>3369</v>
      </c>
      <c r="X677" s="135"/>
      <c r="Y677" s="135"/>
      <c r="Z677" s="135" t="s">
        <v>2858</v>
      </c>
      <c r="AA677" s="135"/>
      <c r="AB677" s="135"/>
      <c r="AC677" s="135"/>
      <c r="AD677" s="135">
        <v>46141.0</v>
      </c>
      <c r="AE677" s="135"/>
      <c r="AF677" s="135"/>
      <c r="AG677" s="135"/>
    </row>
    <row r="678" ht="21.75" hidden="1" customHeight="1">
      <c r="A678" s="135">
        <v>674.0</v>
      </c>
      <c r="B678" s="135">
        <v>25045.0</v>
      </c>
      <c r="C678" s="135"/>
      <c r="D678" s="135">
        <v>3.0</v>
      </c>
      <c r="E678" s="135" t="s">
        <v>3305</v>
      </c>
      <c r="F678" s="135" t="s">
        <v>1637</v>
      </c>
      <c r="G678" s="135" t="s">
        <v>44</v>
      </c>
      <c r="H678" s="135" t="s">
        <v>2853</v>
      </c>
      <c r="I678" s="135" t="s">
        <v>52</v>
      </c>
      <c r="J678" s="135">
        <v>1.0</v>
      </c>
      <c r="K678" s="135"/>
      <c r="L678" s="135">
        <v>5170.0</v>
      </c>
      <c r="M678" s="135">
        <v>3220.0</v>
      </c>
      <c r="N678" s="135">
        <v>120.0</v>
      </c>
      <c r="O678" s="135">
        <v>1.983</v>
      </c>
      <c r="P678" s="136">
        <v>0.0</v>
      </c>
      <c r="Q678" s="137">
        <v>4.9575000000000005</v>
      </c>
      <c r="R678" s="136">
        <v>46116.0</v>
      </c>
      <c r="S678" s="135" t="s">
        <v>3361</v>
      </c>
      <c r="T678" s="136"/>
      <c r="U678" s="135" t="s">
        <v>2864</v>
      </c>
      <c r="V678" s="135" t="s">
        <v>2890</v>
      </c>
      <c r="W678" s="135" t="s">
        <v>3370</v>
      </c>
      <c r="X678" s="135" t="s">
        <v>2895</v>
      </c>
      <c r="Y678" s="135"/>
      <c r="Z678" s="135" t="s">
        <v>2858</v>
      </c>
      <c r="AA678" s="135"/>
      <c r="AB678" s="135"/>
      <c r="AC678" s="135"/>
      <c r="AD678" s="135">
        <v>46127.0</v>
      </c>
      <c r="AE678" s="135"/>
      <c r="AF678" s="135"/>
      <c r="AG678" s="135"/>
    </row>
    <row r="679" ht="21.75" hidden="1" customHeight="1">
      <c r="A679" s="135">
        <v>675.0</v>
      </c>
      <c r="B679" s="135">
        <v>25045.0</v>
      </c>
      <c r="C679" s="135"/>
      <c r="D679" s="135">
        <v>3.0</v>
      </c>
      <c r="E679" s="135" t="s">
        <v>3301</v>
      </c>
      <c r="F679" s="135" t="s">
        <v>1610</v>
      </c>
      <c r="G679" s="135" t="s">
        <v>44</v>
      </c>
      <c r="H679" s="135" t="s">
        <v>2853</v>
      </c>
      <c r="I679" s="135" t="s">
        <v>50</v>
      </c>
      <c r="J679" s="135">
        <v>1.0</v>
      </c>
      <c r="K679" s="135"/>
      <c r="L679" s="135">
        <v>5170.0</v>
      </c>
      <c r="M679" s="135">
        <v>3220.0</v>
      </c>
      <c r="N679" s="135">
        <v>120.0</v>
      </c>
      <c r="O679" s="135">
        <v>1.983</v>
      </c>
      <c r="P679" s="136">
        <v>0.0</v>
      </c>
      <c r="Q679" s="137">
        <v>4.9575000000000005</v>
      </c>
      <c r="R679" s="136">
        <v>46116.0</v>
      </c>
      <c r="S679" s="135" t="s">
        <v>3361</v>
      </c>
      <c r="T679" s="136"/>
      <c r="U679" s="135" t="s">
        <v>2864</v>
      </c>
      <c r="V679" s="135" t="s">
        <v>2890</v>
      </c>
      <c r="W679" s="135" t="s">
        <v>3371</v>
      </c>
      <c r="X679" s="135" t="s">
        <v>2892</v>
      </c>
      <c r="Y679" s="135"/>
      <c r="Z679" s="135" t="s">
        <v>2858</v>
      </c>
      <c r="AA679" s="135"/>
      <c r="AB679" s="135"/>
      <c r="AC679" s="135"/>
      <c r="AD679" s="135">
        <v>46129.0</v>
      </c>
      <c r="AE679" s="135"/>
      <c r="AF679" s="135"/>
      <c r="AG679" s="135"/>
    </row>
    <row r="680" ht="21.75" hidden="1" customHeight="1">
      <c r="A680" s="135">
        <v>676.0</v>
      </c>
      <c r="B680" s="135">
        <v>25045.0</v>
      </c>
      <c r="C680" s="135"/>
      <c r="D680" s="135">
        <v>3.0</v>
      </c>
      <c r="E680" s="135" t="s">
        <v>3305</v>
      </c>
      <c r="F680" s="135" t="s">
        <v>1638</v>
      </c>
      <c r="G680" s="135" t="s">
        <v>44</v>
      </c>
      <c r="H680" s="135" t="s">
        <v>2853</v>
      </c>
      <c r="I680" s="135" t="s">
        <v>52</v>
      </c>
      <c r="J680" s="135">
        <v>1.0</v>
      </c>
      <c r="K680" s="135"/>
      <c r="L680" s="135">
        <v>3795.0</v>
      </c>
      <c r="M680" s="135">
        <v>3470.0</v>
      </c>
      <c r="N680" s="135">
        <v>300.0</v>
      </c>
      <c r="O680" s="135">
        <v>2.646</v>
      </c>
      <c r="P680" s="136">
        <v>0.0</v>
      </c>
      <c r="Q680" s="137">
        <v>6.615</v>
      </c>
      <c r="R680" s="136">
        <v>46126.0</v>
      </c>
      <c r="S680" s="135" t="s">
        <v>3372</v>
      </c>
      <c r="T680" s="136"/>
      <c r="U680" s="135" t="s">
        <v>2864</v>
      </c>
      <c r="V680" s="135" t="s">
        <v>2899</v>
      </c>
      <c r="W680" s="135"/>
      <c r="X680" s="135"/>
      <c r="Y680" s="135" t="s">
        <v>2886</v>
      </c>
      <c r="Z680" s="135" t="s">
        <v>2858</v>
      </c>
      <c r="AA680" s="135"/>
      <c r="AB680" s="135"/>
      <c r="AC680" s="135"/>
      <c r="AD680" s="135">
        <v>46129.0</v>
      </c>
      <c r="AE680" s="135"/>
      <c r="AF680" s="135"/>
      <c r="AG680" s="135"/>
    </row>
    <row r="681" ht="21.75" hidden="1" customHeight="1">
      <c r="A681" s="135">
        <v>677.0</v>
      </c>
      <c r="B681" s="135">
        <v>25045.0</v>
      </c>
      <c r="C681" s="135"/>
      <c r="D681" s="135">
        <v>3.0</v>
      </c>
      <c r="E681" s="135" t="s">
        <v>3301</v>
      </c>
      <c r="F681" s="135" t="s">
        <v>1611</v>
      </c>
      <c r="G681" s="135" t="s">
        <v>44</v>
      </c>
      <c r="H681" s="135" t="s">
        <v>2853</v>
      </c>
      <c r="I681" s="135" t="s">
        <v>50</v>
      </c>
      <c r="J681" s="135">
        <v>1.0</v>
      </c>
      <c r="K681" s="135"/>
      <c r="L681" s="135">
        <v>3795.0</v>
      </c>
      <c r="M681" s="135">
        <v>3470.0</v>
      </c>
      <c r="N681" s="135">
        <v>300.0</v>
      </c>
      <c r="O681" s="135">
        <v>2.63</v>
      </c>
      <c r="P681" s="136">
        <v>0.0</v>
      </c>
      <c r="Q681" s="137">
        <v>6.574999999999999</v>
      </c>
      <c r="R681" s="136">
        <v>46126.0</v>
      </c>
      <c r="S681" s="135" t="s">
        <v>3372</v>
      </c>
      <c r="T681" s="136"/>
      <c r="U681" s="135" t="s">
        <v>2864</v>
      </c>
      <c r="V681" s="135" t="s">
        <v>2899</v>
      </c>
      <c r="W681" s="135"/>
      <c r="X681" s="135"/>
      <c r="Y681" s="135" t="s">
        <v>2886</v>
      </c>
      <c r="Z681" s="135" t="s">
        <v>2858</v>
      </c>
      <c r="AA681" s="135"/>
      <c r="AB681" s="135"/>
      <c r="AC681" s="135"/>
      <c r="AD681" s="135">
        <v>46130.0</v>
      </c>
      <c r="AE681" s="135"/>
      <c r="AF681" s="135"/>
      <c r="AG681" s="135"/>
    </row>
    <row r="682" ht="21.75" hidden="1" customHeight="1">
      <c r="A682" s="135">
        <v>678.0</v>
      </c>
      <c r="B682" s="135">
        <v>25045.0</v>
      </c>
      <c r="C682" s="135"/>
      <c r="D682" s="135">
        <v>3.0</v>
      </c>
      <c r="E682" s="135" t="s">
        <v>3301</v>
      </c>
      <c r="F682" s="135" t="s">
        <v>1612</v>
      </c>
      <c r="G682" s="135" t="s">
        <v>44</v>
      </c>
      <c r="H682" s="135" t="s">
        <v>2853</v>
      </c>
      <c r="I682" s="135" t="s">
        <v>50</v>
      </c>
      <c r="J682" s="135">
        <v>1.0</v>
      </c>
      <c r="K682" s="135"/>
      <c r="L682" s="135">
        <v>4612.0</v>
      </c>
      <c r="M682" s="135">
        <v>3250.0</v>
      </c>
      <c r="N682" s="135">
        <v>120.0</v>
      </c>
      <c r="O682" s="135">
        <v>2.04</v>
      </c>
      <c r="P682" s="136">
        <v>0.0</v>
      </c>
      <c r="Q682" s="137">
        <v>5.1</v>
      </c>
      <c r="R682" s="136">
        <v>46116.0</v>
      </c>
      <c r="S682" s="135" t="s">
        <v>3361</v>
      </c>
      <c r="T682" s="136"/>
      <c r="U682" s="135" t="s">
        <v>2855</v>
      </c>
      <c r="V682" s="135" t="s">
        <v>2876</v>
      </c>
      <c r="W682" s="135" t="s">
        <v>3290</v>
      </c>
      <c r="X682" s="135"/>
      <c r="Y682" s="135"/>
      <c r="Z682" s="135" t="s">
        <v>2858</v>
      </c>
      <c r="AA682" s="135"/>
      <c r="AB682" s="135"/>
      <c r="AC682" s="135"/>
      <c r="AD682" s="135">
        <v>46122.0</v>
      </c>
      <c r="AE682" s="135"/>
      <c r="AF682" s="135"/>
      <c r="AG682" s="135"/>
    </row>
    <row r="683" ht="21.75" hidden="1" customHeight="1">
      <c r="A683" s="135">
        <v>679.0</v>
      </c>
      <c r="B683" s="135">
        <v>25045.0</v>
      </c>
      <c r="C683" s="135"/>
      <c r="D683" s="135">
        <v>3.0</v>
      </c>
      <c r="E683" s="135" t="s">
        <v>3301</v>
      </c>
      <c r="F683" s="135" t="s">
        <v>1613</v>
      </c>
      <c r="G683" s="135" t="s">
        <v>44</v>
      </c>
      <c r="H683" s="135" t="s">
        <v>2853</v>
      </c>
      <c r="I683" s="135" t="s">
        <v>50</v>
      </c>
      <c r="J683" s="135">
        <v>1.0</v>
      </c>
      <c r="K683" s="135"/>
      <c r="L683" s="135">
        <v>4612.0</v>
      </c>
      <c r="M683" s="135">
        <v>3000.0</v>
      </c>
      <c r="N683" s="135">
        <v>120.0</v>
      </c>
      <c r="O683" s="135">
        <v>1.58</v>
      </c>
      <c r="P683" s="136">
        <v>0.0</v>
      </c>
      <c r="Q683" s="137">
        <v>3.95</v>
      </c>
      <c r="R683" s="136">
        <v>46116.0</v>
      </c>
      <c r="S683" s="135" t="s">
        <v>3361</v>
      </c>
      <c r="T683" s="136"/>
      <c r="U683" s="135" t="s">
        <v>2864</v>
      </c>
      <c r="V683" s="135" t="s">
        <v>2985</v>
      </c>
      <c r="W683" s="135" t="s">
        <v>3373</v>
      </c>
      <c r="X683" s="135" t="s">
        <v>2895</v>
      </c>
      <c r="Y683" s="135"/>
      <c r="Z683" s="135" t="s">
        <v>2858</v>
      </c>
      <c r="AA683" s="135"/>
      <c r="AB683" s="135"/>
      <c r="AC683" s="135"/>
      <c r="AD683" s="135">
        <v>46129.0</v>
      </c>
      <c r="AE683" s="135"/>
      <c r="AF683" s="135"/>
      <c r="AG683" s="135"/>
    </row>
    <row r="684" ht="21.75" hidden="1" customHeight="1">
      <c r="A684" s="135">
        <v>680.0</v>
      </c>
      <c r="B684" s="135">
        <v>25045.0</v>
      </c>
      <c r="C684" s="135"/>
      <c r="D684" s="135">
        <v>3.0</v>
      </c>
      <c r="E684" s="135" t="s">
        <v>3294</v>
      </c>
      <c r="F684" s="135" t="s">
        <v>1589</v>
      </c>
      <c r="G684" s="135" t="s">
        <v>44</v>
      </c>
      <c r="H684" s="135" t="s">
        <v>2853</v>
      </c>
      <c r="I684" s="135" t="s">
        <v>48</v>
      </c>
      <c r="J684" s="135">
        <v>1.0</v>
      </c>
      <c r="K684" s="135"/>
      <c r="L684" s="135">
        <v>5046.0</v>
      </c>
      <c r="M684" s="135">
        <v>3000.0</v>
      </c>
      <c r="N684" s="135">
        <v>120.0</v>
      </c>
      <c r="O684" s="135">
        <v>1.7</v>
      </c>
      <c r="P684" s="136">
        <v>0.0</v>
      </c>
      <c r="Q684" s="137">
        <v>4.25</v>
      </c>
      <c r="R684" s="136">
        <v>46116.0</v>
      </c>
      <c r="S684" s="135" t="s">
        <v>3361</v>
      </c>
      <c r="T684" s="136"/>
      <c r="U684" s="135" t="s">
        <v>2864</v>
      </c>
      <c r="V684" s="135" t="s">
        <v>2985</v>
      </c>
      <c r="W684" s="135" t="s">
        <v>3374</v>
      </c>
      <c r="X684" s="135" t="s">
        <v>2892</v>
      </c>
      <c r="Y684" s="135"/>
      <c r="Z684" s="135" t="s">
        <v>2858</v>
      </c>
      <c r="AA684" s="135"/>
      <c r="AB684" s="135"/>
      <c r="AC684" s="135"/>
      <c r="AD684" s="135">
        <v>46125.0</v>
      </c>
      <c r="AE684" s="135"/>
      <c r="AF684" s="135"/>
      <c r="AG684" s="135"/>
    </row>
    <row r="685" ht="21.75" hidden="1" customHeight="1">
      <c r="A685" s="135">
        <v>681.0</v>
      </c>
      <c r="B685" s="135">
        <v>25045.0</v>
      </c>
      <c r="C685" s="135"/>
      <c r="D685" s="135">
        <v>3.0</v>
      </c>
      <c r="E685" s="135" t="s">
        <v>3294</v>
      </c>
      <c r="F685" s="135" t="s">
        <v>1590</v>
      </c>
      <c r="G685" s="135" t="s">
        <v>44</v>
      </c>
      <c r="H685" s="135" t="s">
        <v>2853</v>
      </c>
      <c r="I685" s="135" t="s">
        <v>48</v>
      </c>
      <c r="J685" s="135">
        <v>1.0</v>
      </c>
      <c r="K685" s="135"/>
      <c r="L685" s="135">
        <v>5061.0</v>
      </c>
      <c r="M685" s="135">
        <v>3000.0</v>
      </c>
      <c r="N685" s="135">
        <v>120.0</v>
      </c>
      <c r="O685" s="135">
        <v>2.02</v>
      </c>
      <c r="P685" s="136">
        <v>0.0</v>
      </c>
      <c r="Q685" s="137">
        <v>5.05</v>
      </c>
      <c r="R685" s="136">
        <v>46116.0</v>
      </c>
      <c r="S685" s="135" t="s">
        <v>3361</v>
      </c>
      <c r="T685" s="136"/>
      <c r="U685" s="135" t="s">
        <v>2855</v>
      </c>
      <c r="V685" s="135" t="s">
        <v>2876</v>
      </c>
      <c r="W685" s="135" t="s">
        <v>3375</v>
      </c>
      <c r="X685" s="135"/>
      <c r="Y685" s="135"/>
      <c r="Z685" s="135" t="s">
        <v>2858</v>
      </c>
      <c r="AA685" s="135"/>
      <c r="AB685" s="135"/>
      <c r="AC685" s="135"/>
      <c r="AD685" s="135">
        <v>46133.0</v>
      </c>
      <c r="AE685" s="135"/>
      <c r="AF685" s="135"/>
      <c r="AG685" s="135"/>
    </row>
    <row r="686" ht="21.75" hidden="1" customHeight="1">
      <c r="A686" s="135">
        <v>682.0</v>
      </c>
      <c r="B686" s="135">
        <v>25045.0</v>
      </c>
      <c r="C686" s="135"/>
      <c r="D686" s="135">
        <v>3.0</v>
      </c>
      <c r="E686" s="135" t="s">
        <v>3294</v>
      </c>
      <c r="F686" s="135" t="s">
        <v>1591</v>
      </c>
      <c r="G686" s="135" t="s">
        <v>44</v>
      </c>
      <c r="H686" s="135" t="s">
        <v>2853</v>
      </c>
      <c r="I686" s="135" t="s">
        <v>48</v>
      </c>
      <c r="J686" s="135">
        <v>1.0</v>
      </c>
      <c r="K686" s="135"/>
      <c r="L686" s="135">
        <v>4292.0</v>
      </c>
      <c r="M686" s="135">
        <v>3250.0</v>
      </c>
      <c r="N686" s="135">
        <v>300.0</v>
      </c>
      <c r="O686" s="135">
        <v>2.981</v>
      </c>
      <c r="P686" s="136">
        <v>0.0</v>
      </c>
      <c r="Q686" s="137">
        <v>7.4525</v>
      </c>
      <c r="R686" s="136">
        <v>46127.0</v>
      </c>
      <c r="S686" s="135" t="s">
        <v>3376</v>
      </c>
      <c r="T686" s="136"/>
      <c r="U686" s="135" t="s">
        <v>2864</v>
      </c>
      <c r="V686" s="135" t="s">
        <v>2890</v>
      </c>
      <c r="W686" s="135" t="s">
        <v>3377</v>
      </c>
      <c r="X686" s="135"/>
      <c r="Y686" s="135" t="s">
        <v>2886</v>
      </c>
      <c r="Z686" s="135" t="s">
        <v>2858</v>
      </c>
      <c r="AA686" s="135"/>
      <c r="AB686" s="135"/>
      <c r="AC686" s="135"/>
      <c r="AD686" s="135">
        <v>46137.0</v>
      </c>
      <c r="AE686" s="135"/>
      <c r="AF686" s="135"/>
      <c r="AG686" s="135"/>
    </row>
    <row r="687" ht="21.75" hidden="1" customHeight="1">
      <c r="A687" s="135">
        <v>683.0</v>
      </c>
      <c r="B687" s="135">
        <v>25045.0</v>
      </c>
      <c r="C687" s="135"/>
      <c r="D687" s="135">
        <v>3.0</v>
      </c>
      <c r="E687" s="135" t="s">
        <v>3294</v>
      </c>
      <c r="F687" s="135" t="s">
        <v>1592</v>
      </c>
      <c r="G687" s="135" t="s">
        <v>44</v>
      </c>
      <c r="H687" s="135" t="s">
        <v>2853</v>
      </c>
      <c r="I687" s="135" t="s">
        <v>48</v>
      </c>
      <c r="J687" s="135">
        <v>1.0</v>
      </c>
      <c r="K687" s="135"/>
      <c r="L687" s="135">
        <v>4612.0</v>
      </c>
      <c r="M687" s="135">
        <v>3200.0</v>
      </c>
      <c r="N687" s="135">
        <v>120.0</v>
      </c>
      <c r="O687" s="135">
        <v>2.01</v>
      </c>
      <c r="P687" s="136">
        <v>0.0</v>
      </c>
      <c r="Q687" s="137">
        <v>5.0249999999999995</v>
      </c>
      <c r="R687" s="136">
        <v>46116.0</v>
      </c>
      <c r="S687" s="135" t="s">
        <v>3361</v>
      </c>
      <c r="T687" s="136"/>
      <c r="U687" s="135" t="s">
        <v>2855</v>
      </c>
      <c r="V687" s="135" t="s">
        <v>2876</v>
      </c>
      <c r="W687" s="135" t="s">
        <v>3290</v>
      </c>
      <c r="X687" s="135"/>
      <c r="Y687" s="135"/>
      <c r="Z687" s="135" t="s">
        <v>2858</v>
      </c>
      <c r="AA687" s="135"/>
      <c r="AB687" s="135"/>
      <c r="AC687" s="135"/>
      <c r="AD687" s="135">
        <v>46125.0</v>
      </c>
      <c r="AE687" s="135"/>
      <c r="AF687" s="135"/>
      <c r="AG687" s="135"/>
    </row>
    <row r="688" ht="21.75" hidden="1" customHeight="1">
      <c r="A688" s="135">
        <v>684.0</v>
      </c>
      <c r="B688" s="135">
        <v>25045.0</v>
      </c>
      <c r="C688" s="135"/>
      <c r="D688" s="135">
        <v>3.0</v>
      </c>
      <c r="E688" s="135" t="s">
        <v>3294</v>
      </c>
      <c r="F688" s="135" t="s">
        <v>1593</v>
      </c>
      <c r="G688" s="135" t="s">
        <v>44</v>
      </c>
      <c r="H688" s="135" t="s">
        <v>2853</v>
      </c>
      <c r="I688" s="135" t="s">
        <v>48</v>
      </c>
      <c r="J688" s="135">
        <v>1.0</v>
      </c>
      <c r="K688" s="135"/>
      <c r="L688" s="135">
        <v>4612.0</v>
      </c>
      <c r="M688" s="135">
        <v>2950.0</v>
      </c>
      <c r="N688" s="135">
        <v>120.0</v>
      </c>
      <c r="O688" s="135">
        <v>1.57</v>
      </c>
      <c r="P688" s="136">
        <v>0.0</v>
      </c>
      <c r="Q688" s="137">
        <v>3.9250000000000003</v>
      </c>
      <c r="R688" s="136">
        <v>46116.0</v>
      </c>
      <c r="S688" s="135" t="s">
        <v>3361</v>
      </c>
      <c r="T688" s="136"/>
      <c r="U688" s="135" t="s">
        <v>2864</v>
      </c>
      <c r="V688" s="135" t="s">
        <v>2985</v>
      </c>
      <c r="W688" s="135" t="s">
        <v>3378</v>
      </c>
      <c r="X688" s="135" t="s">
        <v>2895</v>
      </c>
      <c r="Y688" s="135"/>
      <c r="Z688" s="135" t="s">
        <v>2858</v>
      </c>
      <c r="AA688" s="135"/>
      <c r="AB688" s="135"/>
      <c r="AC688" s="135"/>
      <c r="AD688" s="135">
        <v>46133.0</v>
      </c>
      <c r="AE688" s="135"/>
      <c r="AF688" s="135"/>
      <c r="AG688" s="135"/>
    </row>
    <row r="689" ht="21.75" hidden="1" customHeight="1">
      <c r="A689" s="135">
        <v>685.0</v>
      </c>
      <c r="B689" s="135">
        <v>25045.0</v>
      </c>
      <c r="C689" s="135"/>
      <c r="D689" s="135">
        <v>3.0</v>
      </c>
      <c r="E689" s="135" t="s">
        <v>3286</v>
      </c>
      <c r="F689" s="135" t="s">
        <v>1564</v>
      </c>
      <c r="G689" s="135" t="s">
        <v>44</v>
      </c>
      <c r="H689" s="135" t="s">
        <v>2853</v>
      </c>
      <c r="I689" s="135" t="s">
        <v>47</v>
      </c>
      <c r="J689" s="135">
        <v>1.0</v>
      </c>
      <c r="K689" s="135"/>
      <c r="L689" s="135">
        <v>4612.0</v>
      </c>
      <c r="M689" s="135">
        <v>2950.0</v>
      </c>
      <c r="N689" s="135">
        <v>120.0</v>
      </c>
      <c r="O689" s="135">
        <v>1.57</v>
      </c>
      <c r="P689" s="136">
        <v>0.0</v>
      </c>
      <c r="Q689" s="137">
        <v>3.9250000000000003</v>
      </c>
      <c r="R689" s="136">
        <v>46116.0</v>
      </c>
      <c r="S689" s="135" t="s">
        <v>3361</v>
      </c>
      <c r="T689" s="136"/>
      <c r="U689" s="135" t="s">
        <v>2864</v>
      </c>
      <c r="V689" s="135" t="s">
        <v>2985</v>
      </c>
      <c r="W689" s="135" t="s">
        <v>3379</v>
      </c>
      <c r="X689" s="135" t="s">
        <v>2892</v>
      </c>
      <c r="Y689" s="135"/>
      <c r="Z689" s="135" t="s">
        <v>2858</v>
      </c>
      <c r="AA689" s="135"/>
      <c r="AB689" s="135"/>
      <c r="AC689" s="135"/>
      <c r="AD689" s="135">
        <v>46128.0</v>
      </c>
      <c r="AE689" s="135"/>
      <c r="AF689" s="135"/>
      <c r="AG689" s="135"/>
    </row>
    <row r="690" ht="21.75" hidden="1" customHeight="1">
      <c r="A690" s="135">
        <v>686.0</v>
      </c>
      <c r="B690" s="135">
        <v>25045.0</v>
      </c>
      <c r="C690" s="135"/>
      <c r="D690" s="135">
        <v>3.0</v>
      </c>
      <c r="E690" s="135" t="s">
        <v>3286</v>
      </c>
      <c r="F690" s="135" t="s">
        <v>1565</v>
      </c>
      <c r="G690" s="135" t="s">
        <v>44</v>
      </c>
      <c r="H690" s="135" t="s">
        <v>2853</v>
      </c>
      <c r="I690" s="135" t="s">
        <v>47</v>
      </c>
      <c r="J690" s="135">
        <v>1.0</v>
      </c>
      <c r="K690" s="135"/>
      <c r="L690" s="135">
        <v>3795.0</v>
      </c>
      <c r="M690" s="135">
        <v>3540.0</v>
      </c>
      <c r="N690" s="135">
        <v>300.0</v>
      </c>
      <c r="O690" s="135">
        <v>2.696</v>
      </c>
      <c r="P690" s="136">
        <v>0.0</v>
      </c>
      <c r="Q690" s="137">
        <v>6.74</v>
      </c>
      <c r="R690" s="136">
        <v>46126.0</v>
      </c>
      <c r="S690" s="135" t="s">
        <v>3372</v>
      </c>
      <c r="T690" s="136"/>
      <c r="U690" s="135" t="s">
        <v>2864</v>
      </c>
      <c r="V690" s="135" t="s">
        <v>2899</v>
      </c>
      <c r="W690" s="135"/>
      <c r="X690" s="135"/>
      <c r="Y690" s="135" t="s">
        <v>2886</v>
      </c>
      <c r="Z690" s="135" t="s">
        <v>2858</v>
      </c>
      <c r="AA690" s="135"/>
      <c r="AB690" s="135"/>
      <c r="AC690" s="135"/>
      <c r="AD690" s="135">
        <v>46127.0</v>
      </c>
      <c r="AE690" s="135"/>
      <c r="AF690" s="135"/>
      <c r="AG690" s="135"/>
    </row>
    <row r="691" ht="21.75" hidden="1" customHeight="1">
      <c r="A691" s="135">
        <v>687.0</v>
      </c>
      <c r="B691" s="135">
        <v>25045.0</v>
      </c>
      <c r="C691" s="135"/>
      <c r="D691" s="135">
        <v>3.0</v>
      </c>
      <c r="E691" s="135" t="s">
        <v>3286</v>
      </c>
      <c r="F691" s="135" t="s">
        <v>1566</v>
      </c>
      <c r="G691" s="135" t="s">
        <v>44</v>
      </c>
      <c r="H691" s="135" t="s">
        <v>2853</v>
      </c>
      <c r="I691" s="135" t="s">
        <v>47</v>
      </c>
      <c r="J691" s="135">
        <v>1.0</v>
      </c>
      <c r="K691" s="135"/>
      <c r="L691" s="135">
        <v>5170.0</v>
      </c>
      <c r="M691" s="135">
        <v>3290.0</v>
      </c>
      <c r="N691" s="135">
        <v>120.0</v>
      </c>
      <c r="O691" s="135">
        <v>2.03</v>
      </c>
      <c r="P691" s="136">
        <v>0.0</v>
      </c>
      <c r="Q691" s="137">
        <v>5.074999999999999</v>
      </c>
      <c r="R691" s="136">
        <v>46116.0</v>
      </c>
      <c r="S691" s="135" t="s">
        <v>3361</v>
      </c>
      <c r="T691" s="136"/>
      <c r="U691" s="135" t="s">
        <v>2864</v>
      </c>
      <c r="V691" s="135" t="s">
        <v>2890</v>
      </c>
      <c r="W691" s="135" t="s">
        <v>3380</v>
      </c>
      <c r="X691" s="135" t="s">
        <v>2895</v>
      </c>
      <c r="Y691" s="135"/>
      <c r="Z691" s="135" t="s">
        <v>2858</v>
      </c>
      <c r="AA691" s="135"/>
      <c r="AB691" s="135"/>
      <c r="AC691" s="135"/>
      <c r="AD691" s="135">
        <v>46128.0</v>
      </c>
      <c r="AE691" s="135"/>
      <c r="AF691" s="135"/>
      <c r="AG691" s="135"/>
    </row>
    <row r="692" ht="21.75" hidden="1" customHeight="1">
      <c r="A692" s="135">
        <v>688.0</v>
      </c>
      <c r="B692" s="135">
        <v>25045.0</v>
      </c>
      <c r="C692" s="135"/>
      <c r="D692" s="135">
        <v>3.0</v>
      </c>
      <c r="E692" s="135" t="s">
        <v>3277</v>
      </c>
      <c r="F692" s="135" t="s">
        <v>1536</v>
      </c>
      <c r="G692" s="135" t="s">
        <v>44</v>
      </c>
      <c r="H692" s="135" t="s">
        <v>2853</v>
      </c>
      <c r="I692" s="135" t="s">
        <v>45</v>
      </c>
      <c r="J692" s="135">
        <v>1.0</v>
      </c>
      <c r="K692" s="135"/>
      <c r="L692" s="135">
        <v>3825.0</v>
      </c>
      <c r="M692" s="135">
        <v>3540.0</v>
      </c>
      <c r="N692" s="135">
        <v>300.0</v>
      </c>
      <c r="O692" s="135">
        <v>2.715</v>
      </c>
      <c r="P692" s="136">
        <v>0.0</v>
      </c>
      <c r="Q692" s="137">
        <v>6.7875</v>
      </c>
      <c r="R692" s="136">
        <v>46126.0</v>
      </c>
      <c r="S692" s="135" t="s">
        <v>3372</v>
      </c>
      <c r="T692" s="136"/>
      <c r="U692" s="135" t="s">
        <v>2864</v>
      </c>
      <c r="V692" s="135" t="s">
        <v>2899</v>
      </c>
      <c r="W692" s="135"/>
      <c r="X692" s="135"/>
      <c r="Y692" s="135" t="s">
        <v>2886</v>
      </c>
      <c r="Z692" s="135" t="s">
        <v>2858</v>
      </c>
      <c r="AA692" s="135"/>
      <c r="AB692" s="135"/>
      <c r="AC692" s="135"/>
      <c r="AD692" s="135">
        <v>46128.0</v>
      </c>
      <c r="AE692" s="135"/>
      <c r="AF692" s="135"/>
      <c r="AG692" s="135"/>
    </row>
    <row r="693" ht="21.75" hidden="1" customHeight="1">
      <c r="A693" s="135">
        <v>689.0</v>
      </c>
      <c r="B693" s="135">
        <v>25045.0</v>
      </c>
      <c r="C693" s="135"/>
      <c r="D693" s="135">
        <v>3.0</v>
      </c>
      <c r="E693" s="135" t="s">
        <v>3277</v>
      </c>
      <c r="F693" s="135" t="s">
        <v>1537</v>
      </c>
      <c r="G693" s="135" t="s">
        <v>44</v>
      </c>
      <c r="H693" s="135" t="s">
        <v>2853</v>
      </c>
      <c r="I693" s="135" t="s">
        <v>45</v>
      </c>
      <c r="J693" s="135">
        <v>1.0</v>
      </c>
      <c r="K693" s="135"/>
      <c r="L693" s="135">
        <v>5170.0</v>
      </c>
      <c r="M693" s="135">
        <v>3290.0</v>
      </c>
      <c r="N693" s="135">
        <v>120.0</v>
      </c>
      <c r="O693" s="135">
        <v>2.03</v>
      </c>
      <c r="P693" s="136">
        <v>0.0</v>
      </c>
      <c r="Q693" s="137">
        <v>5.074999999999999</v>
      </c>
      <c r="R693" s="136">
        <v>46116.0</v>
      </c>
      <c r="S693" s="135" t="s">
        <v>3361</v>
      </c>
      <c r="T693" s="136"/>
      <c r="U693" s="135" t="s">
        <v>2864</v>
      </c>
      <c r="V693" s="135" t="s">
        <v>2890</v>
      </c>
      <c r="W693" s="135" t="s">
        <v>3381</v>
      </c>
      <c r="X693" s="135" t="s">
        <v>2892</v>
      </c>
      <c r="Y693" s="135"/>
      <c r="Z693" s="135" t="s">
        <v>2858</v>
      </c>
      <c r="AA693" s="135"/>
      <c r="AB693" s="135"/>
      <c r="AC693" s="135"/>
      <c r="AD693" s="135">
        <v>46132.0</v>
      </c>
      <c r="AE693" s="135"/>
      <c r="AF693" s="135"/>
      <c r="AG693" s="135"/>
    </row>
    <row r="694" ht="21.75" hidden="1" customHeight="1">
      <c r="A694" s="135">
        <v>690.0</v>
      </c>
      <c r="B694" s="135">
        <v>25045.0</v>
      </c>
      <c r="C694" s="135"/>
      <c r="D694" s="135">
        <v>3.0</v>
      </c>
      <c r="E694" s="135" t="s">
        <v>3305</v>
      </c>
      <c r="F694" s="135" t="s">
        <v>1639</v>
      </c>
      <c r="G694" s="135" t="s">
        <v>44</v>
      </c>
      <c r="H694" s="135" t="s">
        <v>2853</v>
      </c>
      <c r="I694" s="135" t="s">
        <v>52</v>
      </c>
      <c r="J694" s="135">
        <v>1.0</v>
      </c>
      <c r="K694" s="135"/>
      <c r="L694" s="135">
        <v>4480.0</v>
      </c>
      <c r="M694" s="135">
        <v>3100.0</v>
      </c>
      <c r="N694" s="135">
        <v>120.0</v>
      </c>
      <c r="O694" s="135">
        <v>1.41</v>
      </c>
      <c r="P694" s="136">
        <v>0.0</v>
      </c>
      <c r="Q694" s="137">
        <v>3.525</v>
      </c>
      <c r="R694" s="136">
        <v>46121.0</v>
      </c>
      <c r="S694" s="135" t="s">
        <v>3362</v>
      </c>
      <c r="T694" s="136"/>
      <c r="U694" s="135" t="s">
        <v>2864</v>
      </c>
      <c r="V694" s="135" t="s">
        <v>2865</v>
      </c>
      <c r="W694" s="135" t="s">
        <v>3382</v>
      </c>
      <c r="X694" s="135" t="s">
        <v>2895</v>
      </c>
      <c r="Y694" s="135"/>
      <c r="Z694" s="135" t="s">
        <v>2858</v>
      </c>
      <c r="AA694" s="135"/>
      <c r="AB694" s="135"/>
      <c r="AC694" s="135"/>
      <c r="AD694" s="135">
        <v>46125.0</v>
      </c>
      <c r="AE694" s="135"/>
      <c r="AF694" s="135"/>
      <c r="AG694" s="135"/>
    </row>
    <row r="695" ht="21.75" hidden="1" customHeight="1">
      <c r="A695" s="135">
        <v>691.0</v>
      </c>
      <c r="B695" s="135">
        <v>25045.0</v>
      </c>
      <c r="C695" s="135"/>
      <c r="D695" s="135">
        <v>3.0</v>
      </c>
      <c r="E695" s="135" t="s">
        <v>3277</v>
      </c>
      <c r="F695" s="135" t="s">
        <v>1538</v>
      </c>
      <c r="G695" s="135" t="s">
        <v>44</v>
      </c>
      <c r="H695" s="135" t="s">
        <v>2853</v>
      </c>
      <c r="I695" s="135" t="s">
        <v>45</v>
      </c>
      <c r="J695" s="135">
        <v>1.0</v>
      </c>
      <c r="K695" s="135"/>
      <c r="L695" s="135">
        <v>4460.0</v>
      </c>
      <c r="M695" s="135">
        <v>3500.0</v>
      </c>
      <c r="N695" s="135">
        <v>120.0</v>
      </c>
      <c r="O695" s="135">
        <v>1.643</v>
      </c>
      <c r="P695" s="136">
        <v>0.0</v>
      </c>
      <c r="Q695" s="137">
        <v>4.1075</v>
      </c>
      <c r="R695" s="136">
        <v>46121.0</v>
      </c>
      <c r="S695" s="135" t="s">
        <v>3362</v>
      </c>
      <c r="T695" s="136"/>
      <c r="U695" s="135" t="s">
        <v>2864</v>
      </c>
      <c r="V695" s="135" t="s">
        <v>3264</v>
      </c>
      <c r="W695" s="135" t="s">
        <v>3383</v>
      </c>
      <c r="X695" s="135" t="s">
        <v>3384</v>
      </c>
      <c r="Y695" s="135"/>
      <c r="Z695" s="135" t="s">
        <v>2858</v>
      </c>
      <c r="AA695" s="135"/>
      <c r="AB695" s="135"/>
      <c r="AC695" s="135"/>
      <c r="AD695" s="135">
        <v>46139.0</v>
      </c>
      <c r="AE695" s="135"/>
      <c r="AF695" s="135"/>
      <c r="AG695" s="135"/>
    </row>
    <row r="696" ht="21.75" hidden="1" customHeight="1">
      <c r="A696" s="135">
        <v>692.0</v>
      </c>
      <c r="B696" s="135">
        <v>25045.0</v>
      </c>
      <c r="C696" s="135"/>
      <c r="D696" s="135">
        <v>3.0</v>
      </c>
      <c r="E696" s="135" t="s">
        <v>3277</v>
      </c>
      <c r="F696" s="135" t="s">
        <v>1539</v>
      </c>
      <c r="G696" s="135" t="s">
        <v>44</v>
      </c>
      <c r="H696" s="135" t="s">
        <v>2853</v>
      </c>
      <c r="I696" s="135" t="s">
        <v>45</v>
      </c>
      <c r="J696" s="135">
        <v>1.0</v>
      </c>
      <c r="K696" s="135"/>
      <c r="L696" s="135">
        <v>3590.0</v>
      </c>
      <c r="M696" s="135">
        <v>3500.0</v>
      </c>
      <c r="N696" s="135">
        <v>120.0</v>
      </c>
      <c r="O696" s="135">
        <v>1.59</v>
      </c>
      <c r="P696" s="136">
        <v>0.0</v>
      </c>
      <c r="Q696" s="137">
        <v>3.975</v>
      </c>
      <c r="R696" s="136">
        <v>46121.0</v>
      </c>
      <c r="S696" s="135" t="s">
        <v>3362</v>
      </c>
      <c r="T696" s="136"/>
      <c r="U696" s="135" t="s">
        <v>2864</v>
      </c>
      <c r="V696" s="135" t="s">
        <v>3041</v>
      </c>
      <c r="W696" s="135" t="s">
        <v>3385</v>
      </c>
      <c r="X696" s="135" t="s">
        <v>3214</v>
      </c>
      <c r="Y696" s="135"/>
      <c r="Z696" s="135" t="s">
        <v>2858</v>
      </c>
      <c r="AA696" s="135"/>
      <c r="AB696" s="135"/>
      <c r="AC696" s="135"/>
      <c r="AD696" s="135">
        <v>46137.0</v>
      </c>
      <c r="AE696" s="135"/>
      <c r="AF696" s="135"/>
      <c r="AG696" s="135"/>
    </row>
    <row r="697" ht="21.75" hidden="1" customHeight="1">
      <c r="A697" s="135">
        <v>693.0</v>
      </c>
      <c r="B697" s="135">
        <v>25045.0</v>
      </c>
      <c r="C697" s="135" t="s">
        <v>2817</v>
      </c>
      <c r="D697" s="135">
        <v>3.0</v>
      </c>
      <c r="E697" s="135" t="s">
        <v>3305</v>
      </c>
      <c r="F697" s="135" t="s">
        <v>1640</v>
      </c>
      <c r="G697" s="135" t="s">
        <v>44</v>
      </c>
      <c r="H697" s="135" t="s">
        <v>2853</v>
      </c>
      <c r="I697" s="135" t="s">
        <v>52</v>
      </c>
      <c r="J697" s="135">
        <v>1.0</v>
      </c>
      <c r="K697" s="135"/>
      <c r="L697" s="135">
        <v>2595.0</v>
      </c>
      <c r="M697" s="135">
        <v>3270.0</v>
      </c>
      <c r="N697" s="135">
        <v>120.0</v>
      </c>
      <c r="O697" s="135">
        <v>0.93</v>
      </c>
      <c r="P697" s="136">
        <v>0.0</v>
      </c>
      <c r="Q697" s="137">
        <v>2.325</v>
      </c>
      <c r="R697" s="136">
        <v>46116.0</v>
      </c>
      <c r="S697" s="135" t="s">
        <v>3361</v>
      </c>
      <c r="T697" s="136"/>
      <c r="U697" s="135" t="s">
        <v>2864</v>
      </c>
      <c r="V697" s="135" t="s">
        <v>2878</v>
      </c>
      <c r="W697" s="135" t="s">
        <v>3386</v>
      </c>
      <c r="X697" s="135" t="s">
        <v>3387</v>
      </c>
      <c r="Y697" s="135"/>
      <c r="Z697" s="135" t="s">
        <v>2858</v>
      </c>
      <c r="AA697" s="135"/>
      <c r="AB697" s="135"/>
      <c r="AC697" s="135"/>
      <c r="AD697" s="135">
        <v>0.0</v>
      </c>
      <c r="AE697" s="135"/>
      <c r="AF697" s="135"/>
      <c r="AG697" s="135"/>
    </row>
    <row r="698" ht="21.75" hidden="1" customHeight="1">
      <c r="A698" s="135">
        <v>694.0</v>
      </c>
      <c r="B698" s="135">
        <v>25045.0</v>
      </c>
      <c r="C698" s="135" t="s">
        <v>2817</v>
      </c>
      <c r="D698" s="135">
        <v>3.0</v>
      </c>
      <c r="E698" s="135" t="s">
        <v>3301</v>
      </c>
      <c r="F698" s="135" t="s">
        <v>1614</v>
      </c>
      <c r="G698" s="135" t="s">
        <v>44</v>
      </c>
      <c r="H698" s="135" t="s">
        <v>2853</v>
      </c>
      <c r="I698" s="135" t="s">
        <v>50</v>
      </c>
      <c r="J698" s="135">
        <v>1.0</v>
      </c>
      <c r="K698" s="135"/>
      <c r="L698" s="135">
        <v>4105.0</v>
      </c>
      <c r="M698" s="135">
        <v>2850.0</v>
      </c>
      <c r="N698" s="135">
        <v>120.0</v>
      </c>
      <c r="O698" s="135">
        <v>1.05</v>
      </c>
      <c r="P698" s="136">
        <v>0.0</v>
      </c>
      <c r="Q698" s="137">
        <v>2.625</v>
      </c>
      <c r="R698" s="136">
        <v>46116.0</v>
      </c>
      <c r="S698" s="135" t="s">
        <v>3361</v>
      </c>
      <c r="T698" s="136"/>
      <c r="U698" s="135" t="s">
        <v>2864</v>
      </c>
      <c r="V698" s="135" t="s">
        <v>2865</v>
      </c>
      <c r="W698" s="135" t="s">
        <v>3388</v>
      </c>
      <c r="X698" s="135" t="s">
        <v>3389</v>
      </c>
      <c r="Y698" s="135"/>
      <c r="Z698" s="135" t="s">
        <v>2858</v>
      </c>
      <c r="AA698" s="135"/>
      <c r="AB698" s="135"/>
      <c r="AC698" s="135"/>
      <c r="AD698" s="135" t="e">
        <v>#N/A</v>
      </c>
      <c r="AE698" s="135"/>
      <c r="AF698" s="135"/>
      <c r="AG698" s="135"/>
    </row>
    <row r="699" ht="21.75" hidden="1" customHeight="1">
      <c r="A699" s="135">
        <v>695.0</v>
      </c>
      <c r="B699" s="135">
        <v>25045.0</v>
      </c>
      <c r="C699" s="135" t="s">
        <v>2817</v>
      </c>
      <c r="D699" s="135">
        <v>3.0</v>
      </c>
      <c r="E699" s="135" t="s">
        <v>3301</v>
      </c>
      <c r="F699" s="135" t="s">
        <v>1615</v>
      </c>
      <c r="G699" s="135" t="s">
        <v>44</v>
      </c>
      <c r="H699" s="135" t="s">
        <v>2853</v>
      </c>
      <c r="I699" s="135" t="s">
        <v>50</v>
      </c>
      <c r="J699" s="135">
        <v>1.0</v>
      </c>
      <c r="K699" s="135" t="s">
        <v>3134</v>
      </c>
      <c r="L699" s="135">
        <v>3000.0</v>
      </c>
      <c r="M699" s="135">
        <v>1350.0</v>
      </c>
      <c r="N699" s="135">
        <v>120.0</v>
      </c>
      <c r="O699" s="135">
        <v>0.5</v>
      </c>
      <c r="P699" s="136">
        <v>0.0</v>
      </c>
      <c r="Q699" s="137">
        <v>1.25</v>
      </c>
      <c r="R699" s="136">
        <v>46116.0</v>
      </c>
      <c r="S699" s="135" t="s">
        <v>3361</v>
      </c>
      <c r="T699" s="136"/>
      <c r="U699" s="135" t="s">
        <v>2864</v>
      </c>
      <c r="V699" s="135" t="s">
        <v>2856</v>
      </c>
      <c r="W699" s="135" t="s">
        <v>2923</v>
      </c>
      <c r="X699" s="135"/>
      <c r="Y699" s="135"/>
      <c r="Z699" s="135" t="s">
        <v>2858</v>
      </c>
      <c r="AA699" s="135"/>
      <c r="AB699" s="135"/>
      <c r="AC699" s="135"/>
      <c r="AD699" s="135" t="e">
        <v>#N/A</v>
      </c>
      <c r="AE699" s="135"/>
      <c r="AF699" s="135"/>
      <c r="AG699" s="135"/>
    </row>
    <row r="700" ht="21.75" hidden="1" customHeight="1">
      <c r="A700" s="135">
        <v>696.0</v>
      </c>
      <c r="B700" s="135">
        <v>25045.0</v>
      </c>
      <c r="C700" s="135" t="s">
        <v>2817</v>
      </c>
      <c r="D700" s="135">
        <v>3.0</v>
      </c>
      <c r="E700" s="135" t="s">
        <v>3301</v>
      </c>
      <c r="F700" s="135" t="s">
        <v>1616</v>
      </c>
      <c r="G700" s="135" t="s">
        <v>44</v>
      </c>
      <c r="H700" s="135" t="s">
        <v>2853</v>
      </c>
      <c r="I700" s="135" t="s">
        <v>50</v>
      </c>
      <c r="J700" s="135">
        <v>1.0</v>
      </c>
      <c r="K700" s="135" t="s">
        <v>3134</v>
      </c>
      <c r="L700" s="135">
        <v>3000.0</v>
      </c>
      <c r="M700" s="135">
        <v>1350.0</v>
      </c>
      <c r="N700" s="135">
        <v>120.0</v>
      </c>
      <c r="O700" s="135">
        <v>0.5</v>
      </c>
      <c r="P700" s="136">
        <v>0.0</v>
      </c>
      <c r="Q700" s="137">
        <v>1.25</v>
      </c>
      <c r="R700" s="136">
        <v>46116.0</v>
      </c>
      <c r="S700" s="135" t="s">
        <v>3361</v>
      </c>
      <c r="T700" s="136"/>
      <c r="U700" s="135" t="s">
        <v>2864</v>
      </c>
      <c r="V700" s="135" t="s">
        <v>2856</v>
      </c>
      <c r="W700" s="135" t="s">
        <v>2923</v>
      </c>
      <c r="X700" s="135"/>
      <c r="Y700" s="135"/>
      <c r="Z700" s="135" t="s">
        <v>2858</v>
      </c>
      <c r="AA700" s="135"/>
      <c r="AB700" s="135"/>
      <c r="AC700" s="135"/>
      <c r="AD700" s="135" t="e">
        <v>#N/A</v>
      </c>
      <c r="AE700" s="135"/>
      <c r="AF700" s="135"/>
      <c r="AG700" s="135"/>
    </row>
    <row r="701" ht="21.75" hidden="1" customHeight="1">
      <c r="A701" s="135">
        <v>697.0</v>
      </c>
      <c r="B701" s="135">
        <v>25045.0</v>
      </c>
      <c r="C701" s="135" t="s">
        <v>2817</v>
      </c>
      <c r="D701" s="135">
        <v>3.0</v>
      </c>
      <c r="E701" s="135" t="s">
        <v>3301</v>
      </c>
      <c r="F701" s="135" t="s">
        <v>1617</v>
      </c>
      <c r="G701" s="135" t="s">
        <v>44</v>
      </c>
      <c r="H701" s="135" t="s">
        <v>2853</v>
      </c>
      <c r="I701" s="135" t="s">
        <v>50</v>
      </c>
      <c r="J701" s="135">
        <v>1.0</v>
      </c>
      <c r="K701" s="135" t="s">
        <v>3134</v>
      </c>
      <c r="L701" s="135">
        <v>3000.0</v>
      </c>
      <c r="M701" s="135">
        <v>1350.0</v>
      </c>
      <c r="N701" s="135">
        <v>120.0</v>
      </c>
      <c r="O701" s="135">
        <v>0.5</v>
      </c>
      <c r="P701" s="136">
        <v>0.0</v>
      </c>
      <c r="Q701" s="137">
        <v>1.25</v>
      </c>
      <c r="R701" s="136">
        <v>46116.0</v>
      </c>
      <c r="S701" s="135" t="s">
        <v>3361</v>
      </c>
      <c r="T701" s="136"/>
      <c r="U701" s="135" t="s">
        <v>2864</v>
      </c>
      <c r="V701" s="135" t="s">
        <v>2856</v>
      </c>
      <c r="W701" s="135" t="s">
        <v>2923</v>
      </c>
      <c r="X701" s="135"/>
      <c r="Y701" s="135"/>
      <c r="Z701" s="135" t="s">
        <v>2858</v>
      </c>
      <c r="AA701" s="135"/>
      <c r="AB701" s="135"/>
      <c r="AC701" s="135"/>
      <c r="AD701" s="135" t="e">
        <v>#N/A</v>
      </c>
      <c r="AE701" s="135"/>
      <c r="AF701" s="135"/>
      <c r="AG701" s="135"/>
    </row>
    <row r="702" ht="21.75" hidden="1" customHeight="1">
      <c r="A702" s="135">
        <v>698.0</v>
      </c>
      <c r="B702" s="135">
        <v>25045.0</v>
      </c>
      <c r="C702" s="135" t="s">
        <v>2817</v>
      </c>
      <c r="D702" s="135">
        <v>3.0</v>
      </c>
      <c r="E702" s="135" t="s">
        <v>3301</v>
      </c>
      <c r="F702" s="135" t="s">
        <v>1618</v>
      </c>
      <c r="G702" s="135" t="s">
        <v>44</v>
      </c>
      <c r="H702" s="135" t="s">
        <v>2853</v>
      </c>
      <c r="I702" s="135" t="s">
        <v>50</v>
      </c>
      <c r="J702" s="135">
        <v>1.0</v>
      </c>
      <c r="K702" s="135" t="s">
        <v>3134</v>
      </c>
      <c r="L702" s="135">
        <v>3000.0</v>
      </c>
      <c r="M702" s="135">
        <v>1350.0</v>
      </c>
      <c r="N702" s="135">
        <v>120.0</v>
      </c>
      <c r="O702" s="135">
        <v>0.5</v>
      </c>
      <c r="P702" s="136">
        <v>0.0</v>
      </c>
      <c r="Q702" s="137">
        <v>1.25</v>
      </c>
      <c r="R702" s="136">
        <v>46116.0</v>
      </c>
      <c r="S702" s="135" t="s">
        <v>3361</v>
      </c>
      <c r="T702" s="136"/>
      <c r="U702" s="135" t="s">
        <v>2864</v>
      </c>
      <c r="V702" s="135" t="s">
        <v>2856</v>
      </c>
      <c r="W702" s="135" t="s">
        <v>2923</v>
      </c>
      <c r="X702" s="135"/>
      <c r="Y702" s="135"/>
      <c r="Z702" s="135" t="s">
        <v>2858</v>
      </c>
      <c r="AA702" s="135"/>
      <c r="AB702" s="135"/>
      <c r="AC702" s="135"/>
      <c r="AD702" s="135" t="e">
        <v>#N/A</v>
      </c>
      <c r="AE702" s="135"/>
      <c r="AF702" s="135"/>
      <c r="AG702" s="135"/>
    </row>
    <row r="703" ht="21.75" hidden="1" customHeight="1">
      <c r="A703" s="135">
        <v>699.0</v>
      </c>
      <c r="B703" s="135">
        <v>25045.0</v>
      </c>
      <c r="C703" s="135" t="s">
        <v>2817</v>
      </c>
      <c r="D703" s="135">
        <v>3.0</v>
      </c>
      <c r="E703" s="135" t="s">
        <v>3301</v>
      </c>
      <c r="F703" s="135" t="s">
        <v>1619</v>
      </c>
      <c r="G703" s="135" t="s">
        <v>44</v>
      </c>
      <c r="H703" s="135" t="s">
        <v>2853</v>
      </c>
      <c r="I703" s="135" t="s">
        <v>50</v>
      </c>
      <c r="J703" s="135">
        <v>1.0</v>
      </c>
      <c r="K703" s="135" t="s">
        <v>3134</v>
      </c>
      <c r="L703" s="135">
        <v>3000.0</v>
      </c>
      <c r="M703" s="135">
        <v>1350.0</v>
      </c>
      <c r="N703" s="135">
        <v>120.0</v>
      </c>
      <c r="O703" s="135">
        <v>0.5</v>
      </c>
      <c r="P703" s="136">
        <v>0.0</v>
      </c>
      <c r="Q703" s="137">
        <v>1.25</v>
      </c>
      <c r="R703" s="136">
        <v>46116.0</v>
      </c>
      <c r="S703" s="135" t="s">
        <v>3361</v>
      </c>
      <c r="T703" s="136"/>
      <c r="U703" s="135" t="s">
        <v>2864</v>
      </c>
      <c r="V703" s="135" t="s">
        <v>2856</v>
      </c>
      <c r="W703" s="135" t="s">
        <v>2923</v>
      </c>
      <c r="X703" s="135"/>
      <c r="Y703" s="135"/>
      <c r="Z703" s="135" t="s">
        <v>2858</v>
      </c>
      <c r="AA703" s="135"/>
      <c r="AB703" s="135"/>
      <c r="AC703" s="135"/>
      <c r="AD703" s="135" t="e">
        <v>#N/A</v>
      </c>
      <c r="AE703" s="135"/>
      <c r="AF703" s="135"/>
      <c r="AG703" s="135"/>
    </row>
    <row r="704" ht="21.75" hidden="1" customHeight="1">
      <c r="A704" s="135">
        <v>700.0</v>
      </c>
      <c r="B704" s="135">
        <v>25045.0</v>
      </c>
      <c r="C704" s="135" t="s">
        <v>2817</v>
      </c>
      <c r="D704" s="135">
        <v>3.0</v>
      </c>
      <c r="E704" s="135" t="s">
        <v>3301</v>
      </c>
      <c r="F704" s="135" t="s">
        <v>1620</v>
      </c>
      <c r="G704" s="135" t="s">
        <v>44</v>
      </c>
      <c r="H704" s="135" t="s">
        <v>2853</v>
      </c>
      <c r="I704" s="135" t="s">
        <v>50</v>
      </c>
      <c r="J704" s="135">
        <v>1.0</v>
      </c>
      <c r="K704" s="135" t="s">
        <v>3134</v>
      </c>
      <c r="L704" s="135">
        <v>3000.0</v>
      </c>
      <c r="M704" s="135">
        <v>1350.0</v>
      </c>
      <c r="N704" s="135">
        <v>120.0</v>
      </c>
      <c r="O704" s="135">
        <v>0.5</v>
      </c>
      <c r="P704" s="136">
        <v>0.0</v>
      </c>
      <c r="Q704" s="137">
        <v>1.25</v>
      </c>
      <c r="R704" s="136">
        <v>46116.0</v>
      </c>
      <c r="S704" s="135" t="s">
        <v>3361</v>
      </c>
      <c r="T704" s="136"/>
      <c r="U704" s="135" t="s">
        <v>2864</v>
      </c>
      <c r="V704" s="135" t="s">
        <v>2856</v>
      </c>
      <c r="W704" s="135" t="s">
        <v>2923</v>
      </c>
      <c r="X704" s="135"/>
      <c r="Y704" s="135"/>
      <c r="Z704" s="135" t="s">
        <v>2858</v>
      </c>
      <c r="AA704" s="135"/>
      <c r="AB704" s="135"/>
      <c r="AC704" s="135"/>
      <c r="AD704" s="135" t="e">
        <v>#N/A</v>
      </c>
      <c r="AE704" s="135"/>
      <c r="AF704" s="135"/>
      <c r="AG704" s="135"/>
    </row>
    <row r="705" ht="21.75" hidden="1" customHeight="1">
      <c r="A705" s="135">
        <v>701.0</v>
      </c>
      <c r="B705" s="135">
        <v>25045.0</v>
      </c>
      <c r="C705" s="135" t="s">
        <v>2817</v>
      </c>
      <c r="D705" s="135">
        <v>3.0</v>
      </c>
      <c r="E705" s="135" t="s">
        <v>3301</v>
      </c>
      <c r="F705" s="135" t="s">
        <v>1621</v>
      </c>
      <c r="G705" s="135" t="s">
        <v>44</v>
      </c>
      <c r="H705" s="135" t="s">
        <v>2853</v>
      </c>
      <c r="I705" s="135" t="s">
        <v>50</v>
      </c>
      <c r="J705" s="135">
        <v>1.0</v>
      </c>
      <c r="K705" s="135"/>
      <c r="L705" s="135">
        <v>2537.0</v>
      </c>
      <c r="M705" s="135">
        <v>3050.0</v>
      </c>
      <c r="N705" s="135">
        <v>120.0</v>
      </c>
      <c r="O705" s="135">
        <v>0.65</v>
      </c>
      <c r="P705" s="136">
        <v>0.0</v>
      </c>
      <c r="Q705" s="137">
        <v>1.625</v>
      </c>
      <c r="R705" s="136">
        <v>46116.0</v>
      </c>
      <c r="S705" s="135" t="s">
        <v>3361</v>
      </c>
      <c r="T705" s="136"/>
      <c r="U705" s="135" t="s">
        <v>2864</v>
      </c>
      <c r="V705" s="135" t="s">
        <v>2856</v>
      </c>
      <c r="W705" s="135" t="s">
        <v>3390</v>
      </c>
      <c r="X705" s="135" t="s">
        <v>3391</v>
      </c>
      <c r="Y705" s="135"/>
      <c r="Z705" s="135" t="s">
        <v>2858</v>
      </c>
      <c r="AA705" s="135"/>
      <c r="AB705" s="135"/>
      <c r="AC705" s="135"/>
      <c r="AD705" s="135" t="e">
        <v>#N/A</v>
      </c>
      <c r="AE705" s="135"/>
      <c r="AF705" s="135"/>
      <c r="AG705" s="135"/>
    </row>
    <row r="706" ht="21.75" hidden="1" customHeight="1">
      <c r="A706" s="135">
        <v>702.0</v>
      </c>
      <c r="B706" s="135">
        <v>25045.0</v>
      </c>
      <c r="C706" s="135" t="s">
        <v>2817</v>
      </c>
      <c r="D706" s="135">
        <v>3.0</v>
      </c>
      <c r="E706" s="135" t="s">
        <v>3294</v>
      </c>
      <c r="F706" s="135" t="s">
        <v>1594</v>
      </c>
      <c r="G706" s="135" t="s">
        <v>44</v>
      </c>
      <c r="H706" s="135" t="s">
        <v>2853</v>
      </c>
      <c r="I706" s="135" t="s">
        <v>48</v>
      </c>
      <c r="J706" s="135">
        <v>1.0</v>
      </c>
      <c r="K706" s="135"/>
      <c r="L706" s="135">
        <v>2195.0</v>
      </c>
      <c r="M706" s="135">
        <v>2850.0</v>
      </c>
      <c r="N706" s="135">
        <v>120.0</v>
      </c>
      <c r="O706" s="135">
        <v>0.77</v>
      </c>
      <c r="P706" s="136">
        <v>0.0</v>
      </c>
      <c r="Q706" s="137">
        <v>1.925</v>
      </c>
      <c r="R706" s="136">
        <v>46116.0</v>
      </c>
      <c r="S706" s="135" t="s">
        <v>3361</v>
      </c>
      <c r="T706" s="136"/>
      <c r="U706" s="135" t="s">
        <v>2864</v>
      </c>
      <c r="V706" s="135" t="s">
        <v>2878</v>
      </c>
      <c r="W706" s="135" t="s">
        <v>3392</v>
      </c>
      <c r="X706" s="135" t="s">
        <v>2947</v>
      </c>
      <c r="Y706" s="135"/>
      <c r="Z706" s="135" t="s">
        <v>2858</v>
      </c>
      <c r="AA706" s="135"/>
      <c r="AB706" s="135"/>
      <c r="AC706" s="135"/>
      <c r="AD706" s="135">
        <v>0.0</v>
      </c>
      <c r="AE706" s="135"/>
      <c r="AF706" s="135"/>
      <c r="AG706" s="135"/>
    </row>
    <row r="707" ht="21.75" hidden="1" customHeight="1">
      <c r="A707" s="135">
        <v>703.0</v>
      </c>
      <c r="B707" s="135">
        <v>25045.0</v>
      </c>
      <c r="C707" s="135" t="s">
        <v>2817</v>
      </c>
      <c r="D707" s="135">
        <v>3.0</v>
      </c>
      <c r="E707" s="135" t="s">
        <v>3294</v>
      </c>
      <c r="F707" s="135" t="s">
        <v>1595</v>
      </c>
      <c r="G707" s="135" t="s">
        <v>44</v>
      </c>
      <c r="H707" s="135" t="s">
        <v>2853</v>
      </c>
      <c r="I707" s="135" t="s">
        <v>48</v>
      </c>
      <c r="J707" s="135">
        <v>1.0</v>
      </c>
      <c r="K707" s="135"/>
      <c r="L707" s="135">
        <v>3112.0</v>
      </c>
      <c r="M707" s="135">
        <v>1350.0</v>
      </c>
      <c r="N707" s="135">
        <v>120.0</v>
      </c>
      <c r="O707" s="135">
        <v>0.51</v>
      </c>
      <c r="P707" s="136">
        <v>0.0</v>
      </c>
      <c r="Q707" s="137">
        <v>1.275</v>
      </c>
      <c r="R707" s="136">
        <v>46116.0</v>
      </c>
      <c r="S707" s="135" t="s">
        <v>3361</v>
      </c>
      <c r="T707" s="136"/>
      <c r="U707" s="135" t="s">
        <v>2864</v>
      </c>
      <c r="V707" s="135" t="s">
        <v>2856</v>
      </c>
      <c r="W707" s="135" t="s">
        <v>3297</v>
      </c>
      <c r="X707" s="135"/>
      <c r="Y707" s="135"/>
      <c r="Z707" s="135" t="s">
        <v>2858</v>
      </c>
      <c r="AA707" s="135"/>
      <c r="AB707" s="135"/>
      <c r="AC707" s="135"/>
      <c r="AD707" s="135" t="e">
        <v>#N/A</v>
      </c>
      <c r="AE707" s="135"/>
      <c r="AF707" s="135"/>
      <c r="AG707" s="135"/>
    </row>
    <row r="708" ht="21.75" hidden="1" customHeight="1">
      <c r="A708" s="135">
        <v>704.0</v>
      </c>
      <c r="B708" s="135">
        <v>25045.0</v>
      </c>
      <c r="C708" s="135" t="s">
        <v>2817</v>
      </c>
      <c r="D708" s="135">
        <v>3.0</v>
      </c>
      <c r="E708" s="135" t="s">
        <v>3286</v>
      </c>
      <c r="F708" s="135" t="s">
        <v>1567</v>
      </c>
      <c r="G708" s="135" t="s">
        <v>44</v>
      </c>
      <c r="H708" s="135" t="s">
        <v>2853</v>
      </c>
      <c r="I708" s="135" t="s">
        <v>47</v>
      </c>
      <c r="J708" s="135">
        <v>1.0</v>
      </c>
      <c r="K708" s="135"/>
      <c r="L708" s="135">
        <v>2595.0</v>
      </c>
      <c r="M708" s="135">
        <v>3420.0</v>
      </c>
      <c r="N708" s="135">
        <v>120.0</v>
      </c>
      <c r="O708" s="135">
        <v>0.963</v>
      </c>
      <c r="P708" s="136">
        <v>0.0</v>
      </c>
      <c r="Q708" s="137">
        <v>2.4074999999999998</v>
      </c>
      <c r="R708" s="136">
        <v>46116.0</v>
      </c>
      <c r="S708" s="135" t="s">
        <v>3361</v>
      </c>
      <c r="T708" s="136"/>
      <c r="U708" s="135" t="s">
        <v>2864</v>
      </c>
      <c r="V708" s="135" t="s">
        <v>2878</v>
      </c>
      <c r="W708" s="135" t="s">
        <v>3393</v>
      </c>
      <c r="X708" s="135" t="s">
        <v>3394</v>
      </c>
      <c r="Y708" s="135"/>
      <c r="Z708" s="135" t="s">
        <v>2858</v>
      </c>
      <c r="AA708" s="135"/>
      <c r="AB708" s="135"/>
      <c r="AC708" s="135"/>
      <c r="AD708" s="135">
        <v>0.0</v>
      </c>
      <c r="AE708" s="135"/>
      <c r="AF708" s="135"/>
      <c r="AG708" s="135"/>
    </row>
    <row r="709" ht="21.75" hidden="1" customHeight="1">
      <c r="A709" s="135">
        <v>705.0</v>
      </c>
      <c r="B709" s="135">
        <v>25045.0</v>
      </c>
      <c r="C709" s="135" t="s">
        <v>2817</v>
      </c>
      <c r="D709" s="135">
        <v>3.0</v>
      </c>
      <c r="E709" s="135" t="s">
        <v>3277</v>
      </c>
      <c r="F709" s="135" t="s">
        <v>1540</v>
      </c>
      <c r="G709" s="135" t="s">
        <v>44</v>
      </c>
      <c r="H709" s="135" t="s">
        <v>2853</v>
      </c>
      <c r="I709" s="135" t="s">
        <v>45</v>
      </c>
      <c r="J709" s="135">
        <v>1.0</v>
      </c>
      <c r="K709" s="135"/>
      <c r="L709" s="135">
        <v>2195.0</v>
      </c>
      <c r="M709" s="135">
        <v>2850.0</v>
      </c>
      <c r="N709" s="135">
        <v>120.0</v>
      </c>
      <c r="O709" s="135">
        <v>0.79</v>
      </c>
      <c r="P709" s="136">
        <v>0.0</v>
      </c>
      <c r="Q709" s="137">
        <v>1.975</v>
      </c>
      <c r="R709" s="136">
        <v>46116.0</v>
      </c>
      <c r="S709" s="135" t="s">
        <v>3361</v>
      </c>
      <c r="T709" s="136"/>
      <c r="U709" s="135" t="s">
        <v>2864</v>
      </c>
      <c r="V709" s="135" t="s">
        <v>2878</v>
      </c>
      <c r="W709" s="135" t="s">
        <v>3395</v>
      </c>
      <c r="X709" s="135" t="s">
        <v>2947</v>
      </c>
      <c r="Y709" s="135"/>
      <c r="Z709" s="135" t="s">
        <v>2858</v>
      </c>
      <c r="AA709" s="135"/>
      <c r="AB709" s="135"/>
      <c r="AC709" s="135"/>
      <c r="AD709" s="135">
        <v>0.0</v>
      </c>
      <c r="AE709" s="135"/>
      <c r="AF709" s="135"/>
      <c r="AG709" s="135"/>
    </row>
    <row r="710" ht="21.75" hidden="1" customHeight="1">
      <c r="A710" s="135">
        <v>706.0</v>
      </c>
      <c r="B710" s="135">
        <v>25045.0</v>
      </c>
      <c r="C710" s="135"/>
      <c r="D710" s="135">
        <v>27.0</v>
      </c>
      <c r="E710" s="135" t="s">
        <v>3355</v>
      </c>
      <c r="F710" s="135" t="s">
        <v>531</v>
      </c>
      <c r="G710" s="135" t="s">
        <v>149</v>
      </c>
      <c r="H710" s="135" t="s">
        <v>2853</v>
      </c>
      <c r="I710" s="135" t="s">
        <v>157</v>
      </c>
      <c r="J710" s="135">
        <v>1.0</v>
      </c>
      <c r="K710" s="135"/>
      <c r="L710" s="135">
        <v>5590.0</v>
      </c>
      <c r="M710" s="135">
        <v>3300.0</v>
      </c>
      <c r="N710" s="135">
        <v>120.0</v>
      </c>
      <c r="O710" s="135">
        <v>2.366</v>
      </c>
      <c r="P710" s="136">
        <v>0.0</v>
      </c>
      <c r="Q710" s="137">
        <v>5.915</v>
      </c>
      <c r="R710" s="136">
        <v>46114.0</v>
      </c>
      <c r="S710" s="135" t="s">
        <v>3396</v>
      </c>
      <c r="T710" s="136"/>
      <c r="U710" s="135" t="s">
        <v>2855</v>
      </c>
      <c r="V710" s="135" t="s">
        <v>2876</v>
      </c>
      <c r="W710" s="135" t="s">
        <v>2871</v>
      </c>
      <c r="X710" s="135"/>
      <c r="Y710" s="135"/>
      <c r="Z710" s="135" t="s">
        <v>2858</v>
      </c>
      <c r="AA710" s="135"/>
      <c r="AB710" s="135"/>
      <c r="AC710" s="135"/>
      <c r="AD710" s="135">
        <v>46141.0</v>
      </c>
      <c r="AE710" s="135"/>
      <c r="AF710" s="135"/>
      <c r="AG710" s="135"/>
    </row>
    <row r="711" ht="21.75" hidden="1" customHeight="1">
      <c r="A711" s="135">
        <v>707.0</v>
      </c>
      <c r="B711" s="135">
        <v>25045.0</v>
      </c>
      <c r="C711" s="135"/>
      <c r="D711" s="135">
        <v>27.0</v>
      </c>
      <c r="E711" s="135" t="s">
        <v>3355</v>
      </c>
      <c r="F711" s="135" t="s">
        <v>536</v>
      </c>
      <c r="G711" s="135" t="s">
        <v>149</v>
      </c>
      <c r="H711" s="135"/>
      <c r="I711" s="135" t="s">
        <v>157</v>
      </c>
      <c r="J711" s="135"/>
      <c r="K711" s="135"/>
      <c r="L711" s="135"/>
      <c r="M711" s="135"/>
      <c r="N711" s="135"/>
      <c r="O711" s="135"/>
      <c r="P711" s="136"/>
      <c r="Q711" s="137">
        <v>0.0</v>
      </c>
      <c r="R711" s="136"/>
      <c r="S711" s="135"/>
      <c r="T711" s="136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 t="e">
        <v>#N/A</v>
      </c>
      <c r="AE711" s="135"/>
      <c r="AF711" s="135"/>
      <c r="AG711" s="135"/>
    </row>
    <row r="712" ht="21.75" hidden="1" customHeight="1">
      <c r="A712" s="135">
        <v>708.0</v>
      </c>
      <c r="B712" s="135">
        <v>25045.0</v>
      </c>
      <c r="C712" s="135"/>
      <c r="D712" s="135">
        <v>27.0</v>
      </c>
      <c r="E712" s="135" t="s">
        <v>3318</v>
      </c>
      <c r="F712" s="135" t="s">
        <v>397</v>
      </c>
      <c r="G712" s="135" t="s">
        <v>149</v>
      </c>
      <c r="H712" s="135"/>
      <c r="I712" s="135" t="s">
        <v>150</v>
      </c>
      <c r="J712" s="135"/>
      <c r="K712" s="135"/>
      <c r="L712" s="135"/>
      <c r="M712" s="135"/>
      <c r="N712" s="135"/>
      <c r="O712" s="135"/>
      <c r="P712" s="136"/>
      <c r="Q712" s="137">
        <v>0.0</v>
      </c>
      <c r="R712" s="136"/>
      <c r="S712" s="135"/>
      <c r="T712" s="136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 t="e">
        <v>#N/A</v>
      </c>
      <c r="AE712" s="135"/>
      <c r="AF712" s="135"/>
      <c r="AG712" s="135"/>
    </row>
    <row r="713" ht="21.75" hidden="1" customHeight="1">
      <c r="A713" s="135">
        <v>709.0</v>
      </c>
      <c r="B713" s="135">
        <v>25045.0</v>
      </c>
      <c r="C713" s="135"/>
      <c r="D713" s="135">
        <v>27.0</v>
      </c>
      <c r="E713" s="135" t="s">
        <v>3318</v>
      </c>
      <c r="F713" s="135" t="s">
        <v>398</v>
      </c>
      <c r="G713" s="135" t="s">
        <v>149</v>
      </c>
      <c r="H713" s="135"/>
      <c r="I713" s="135" t="s">
        <v>150</v>
      </c>
      <c r="J713" s="135"/>
      <c r="K713" s="135"/>
      <c r="L713" s="135"/>
      <c r="M713" s="135"/>
      <c r="N713" s="135"/>
      <c r="O713" s="135"/>
      <c r="P713" s="136"/>
      <c r="Q713" s="137">
        <v>0.0</v>
      </c>
      <c r="R713" s="136"/>
      <c r="S713" s="135"/>
      <c r="T713" s="136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 t="e">
        <v>#N/A</v>
      </c>
      <c r="AE713" s="135"/>
      <c r="AF713" s="135"/>
      <c r="AG713" s="135"/>
    </row>
    <row r="714" ht="21.75" hidden="1" customHeight="1">
      <c r="A714" s="135">
        <v>710.0</v>
      </c>
      <c r="B714" s="135">
        <v>25045.0</v>
      </c>
      <c r="C714" s="135"/>
      <c r="D714" s="135">
        <v>27.0</v>
      </c>
      <c r="E714" s="135" t="s">
        <v>3318</v>
      </c>
      <c r="F714" s="135" t="s">
        <v>399</v>
      </c>
      <c r="G714" s="135" t="s">
        <v>149</v>
      </c>
      <c r="H714" s="135"/>
      <c r="I714" s="135" t="s">
        <v>150</v>
      </c>
      <c r="J714" s="135"/>
      <c r="K714" s="135"/>
      <c r="L714" s="135"/>
      <c r="M714" s="135"/>
      <c r="N714" s="135"/>
      <c r="O714" s="135"/>
      <c r="P714" s="136"/>
      <c r="Q714" s="137">
        <v>0.0</v>
      </c>
      <c r="R714" s="136"/>
      <c r="S714" s="135"/>
      <c r="T714" s="136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 t="e">
        <v>#N/A</v>
      </c>
      <c r="AE714" s="135"/>
      <c r="AF714" s="135"/>
      <c r="AG714" s="135"/>
    </row>
    <row r="715" ht="21.75" hidden="1" customHeight="1">
      <c r="A715" s="135">
        <v>711.0</v>
      </c>
      <c r="B715" s="135">
        <v>25045.0</v>
      </c>
      <c r="C715" s="135"/>
      <c r="D715" s="135">
        <v>27.0</v>
      </c>
      <c r="E715" s="135" t="s">
        <v>3318</v>
      </c>
      <c r="F715" s="135" t="s">
        <v>400</v>
      </c>
      <c r="G715" s="135" t="s">
        <v>149</v>
      </c>
      <c r="H715" s="135"/>
      <c r="I715" s="135" t="s">
        <v>150</v>
      </c>
      <c r="J715" s="135"/>
      <c r="K715" s="135"/>
      <c r="L715" s="135"/>
      <c r="M715" s="135"/>
      <c r="N715" s="135"/>
      <c r="O715" s="135"/>
      <c r="P715" s="136"/>
      <c r="Q715" s="137">
        <v>0.0</v>
      </c>
      <c r="R715" s="136"/>
      <c r="S715" s="135"/>
      <c r="T715" s="136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 t="e">
        <v>#N/A</v>
      </c>
      <c r="AE715" s="135"/>
      <c r="AF715" s="135"/>
      <c r="AG715" s="135"/>
    </row>
    <row r="716" ht="21.75" hidden="1" customHeight="1">
      <c r="A716" s="135">
        <v>712.0</v>
      </c>
      <c r="B716" s="135">
        <v>25045.0</v>
      </c>
      <c r="C716" s="135"/>
      <c r="D716" s="135">
        <v>27.0</v>
      </c>
      <c r="E716" s="135" t="s">
        <v>3318</v>
      </c>
      <c r="F716" s="135" t="s">
        <v>401</v>
      </c>
      <c r="G716" s="135" t="s">
        <v>149</v>
      </c>
      <c r="H716" s="135"/>
      <c r="I716" s="135" t="s">
        <v>150</v>
      </c>
      <c r="J716" s="135"/>
      <c r="K716" s="135"/>
      <c r="L716" s="135"/>
      <c r="M716" s="135"/>
      <c r="N716" s="135"/>
      <c r="O716" s="135"/>
      <c r="P716" s="136"/>
      <c r="Q716" s="137">
        <v>0.0</v>
      </c>
      <c r="R716" s="136"/>
      <c r="S716" s="135"/>
      <c r="T716" s="136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 t="e">
        <v>#N/A</v>
      </c>
      <c r="AE716" s="135"/>
      <c r="AF716" s="135"/>
      <c r="AG716" s="135"/>
    </row>
    <row r="717" ht="21.75" hidden="1" customHeight="1">
      <c r="A717" s="135">
        <v>713.0</v>
      </c>
      <c r="B717" s="135">
        <v>25045.0</v>
      </c>
      <c r="C717" s="135"/>
      <c r="D717" s="135">
        <v>27.0</v>
      </c>
      <c r="E717" s="135" t="s">
        <v>3318</v>
      </c>
      <c r="F717" s="135" t="s">
        <v>402</v>
      </c>
      <c r="G717" s="135" t="s">
        <v>149</v>
      </c>
      <c r="H717" s="135"/>
      <c r="I717" s="135" t="s">
        <v>150</v>
      </c>
      <c r="J717" s="135"/>
      <c r="K717" s="135"/>
      <c r="L717" s="135"/>
      <c r="M717" s="135"/>
      <c r="N717" s="135"/>
      <c r="O717" s="135"/>
      <c r="P717" s="136"/>
      <c r="Q717" s="137">
        <v>0.0</v>
      </c>
      <c r="R717" s="136"/>
      <c r="S717" s="135"/>
      <c r="T717" s="136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 t="e">
        <v>#N/A</v>
      </c>
      <c r="AE717" s="135"/>
      <c r="AF717" s="135"/>
      <c r="AG717" s="135"/>
    </row>
    <row r="718" ht="21.75" hidden="1" customHeight="1">
      <c r="A718" s="135">
        <v>714.0</v>
      </c>
      <c r="B718" s="135">
        <v>25045.0</v>
      </c>
      <c r="C718" s="135"/>
      <c r="D718" s="135">
        <v>27.0</v>
      </c>
      <c r="E718" s="135" t="s">
        <v>3335</v>
      </c>
      <c r="F718" s="135" t="s">
        <v>465</v>
      </c>
      <c r="G718" s="135" t="s">
        <v>149</v>
      </c>
      <c r="H718" s="135" t="s">
        <v>2853</v>
      </c>
      <c r="I718" s="135" t="s">
        <v>153</v>
      </c>
      <c r="J718" s="135">
        <v>1.0</v>
      </c>
      <c r="K718" s="135"/>
      <c r="L718" s="135">
        <v>6098.0</v>
      </c>
      <c r="M718" s="135">
        <v>1000.0</v>
      </c>
      <c r="N718" s="135">
        <v>120.0</v>
      </c>
      <c r="O718" s="135">
        <v>1.013</v>
      </c>
      <c r="P718" s="136">
        <v>0.0</v>
      </c>
      <c r="Q718" s="137">
        <v>2.5324999999999998</v>
      </c>
      <c r="R718" s="136">
        <v>46114.0</v>
      </c>
      <c r="S718" s="135" t="s">
        <v>3396</v>
      </c>
      <c r="T718" s="136"/>
      <c r="U718" s="135" t="s">
        <v>2972</v>
      </c>
      <c r="V718" s="135" t="s">
        <v>2951</v>
      </c>
      <c r="W718" s="135" t="s">
        <v>3397</v>
      </c>
      <c r="X718" s="135"/>
      <c r="Y718" s="135"/>
      <c r="Z718" s="135" t="s">
        <v>2858</v>
      </c>
      <c r="AA718" s="135"/>
      <c r="AB718" s="135"/>
      <c r="AC718" s="135"/>
      <c r="AD718" s="135">
        <v>46120.0</v>
      </c>
      <c r="AE718" s="135"/>
      <c r="AF718" s="135"/>
      <c r="AG718" s="135"/>
    </row>
    <row r="719" ht="21.75" hidden="1" customHeight="1">
      <c r="A719" s="135">
        <v>715.0</v>
      </c>
      <c r="B719" s="135">
        <v>25045.0</v>
      </c>
      <c r="C719" s="135"/>
      <c r="D719" s="135">
        <v>27.0</v>
      </c>
      <c r="E719" s="135" t="s">
        <v>3349</v>
      </c>
      <c r="F719" s="135" t="s">
        <v>515</v>
      </c>
      <c r="G719" s="135" t="s">
        <v>149</v>
      </c>
      <c r="H719" s="135" t="s">
        <v>2853</v>
      </c>
      <c r="I719" s="135" t="s">
        <v>156</v>
      </c>
      <c r="J719" s="135">
        <v>1.0</v>
      </c>
      <c r="K719" s="135"/>
      <c r="L719" s="135">
        <v>2836.0</v>
      </c>
      <c r="M719" s="135">
        <v>1000.0</v>
      </c>
      <c r="N719" s="135">
        <v>120.0</v>
      </c>
      <c r="O719" s="135">
        <v>0.437</v>
      </c>
      <c r="P719" s="136">
        <v>0.0</v>
      </c>
      <c r="Q719" s="137">
        <v>1.0925</v>
      </c>
      <c r="R719" s="136">
        <v>46116.0</v>
      </c>
      <c r="S719" s="135" t="s">
        <v>3398</v>
      </c>
      <c r="T719" s="136"/>
      <c r="U719" s="135" t="s">
        <v>2864</v>
      </c>
      <c r="V719" s="135" t="s">
        <v>2951</v>
      </c>
      <c r="W719" s="135" t="s">
        <v>3399</v>
      </c>
      <c r="X719" s="135"/>
      <c r="Y719" s="135"/>
      <c r="Z719" s="135" t="s">
        <v>2858</v>
      </c>
      <c r="AA719" s="135"/>
      <c r="AB719" s="135"/>
      <c r="AC719" s="135"/>
      <c r="AD719" s="135">
        <v>0.0</v>
      </c>
      <c r="AE719" s="135"/>
      <c r="AF719" s="135"/>
      <c r="AG719" s="135"/>
    </row>
    <row r="720" ht="21.75" hidden="1" customHeight="1">
      <c r="A720" s="135">
        <v>716.0</v>
      </c>
      <c r="B720" s="135">
        <v>25045.0</v>
      </c>
      <c r="C720" s="135"/>
      <c r="D720" s="135">
        <v>27.0</v>
      </c>
      <c r="E720" s="135" t="s">
        <v>3349</v>
      </c>
      <c r="F720" s="135" t="s">
        <v>516</v>
      </c>
      <c r="G720" s="135" t="s">
        <v>149</v>
      </c>
      <c r="H720" s="135" t="s">
        <v>2853</v>
      </c>
      <c r="I720" s="135" t="s">
        <v>156</v>
      </c>
      <c r="J720" s="135">
        <v>1.0</v>
      </c>
      <c r="K720" s="135"/>
      <c r="L720" s="135">
        <v>5015.0</v>
      </c>
      <c r="M720" s="135">
        <v>2850.0</v>
      </c>
      <c r="N720" s="135">
        <v>120.0</v>
      </c>
      <c r="O720" s="135">
        <v>1.915</v>
      </c>
      <c r="P720" s="136">
        <v>0.0</v>
      </c>
      <c r="Q720" s="137">
        <v>4.7875</v>
      </c>
      <c r="R720" s="136">
        <v>46114.0</v>
      </c>
      <c r="S720" s="135" t="s">
        <v>3396</v>
      </c>
      <c r="T720" s="136"/>
      <c r="U720" s="135" t="s">
        <v>2864</v>
      </c>
      <c r="V720" s="135" t="s">
        <v>2876</v>
      </c>
      <c r="W720" s="135" t="s">
        <v>3400</v>
      </c>
      <c r="X720" s="135"/>
      <c r="Y720" s="135"/>
      <c r="Z720" s="135" t="s">
        <v>2858</v>
      </c>
      <c r="AA720" s="135"/>
      <c r="AB720" s="135"/>
      <c r="AC720" s="135"/>
      <c r="AD720" s="135">
        <v>46127.0</v>
      </c>
      <c r="AE720" s="135"/>
      <c r="AF720" s="135"/>
      <c r="AG720" s="135"/>
    </row>
    <row r="721" ht="21.75" hidden="1" customHeight="1">
      <c r="A721" s="135">
        <v>717.0</v>
      </c>
      <c r="B721" s="135">
        <v>25045.0</v>
      </c>
      <c r="C721" s="135"/>
      <c r="D721" s="135">
        <v>27.0</v>
      </c>
      <c r="E721" s="135" t="s">
        <v>3335</v>
      </c>
      <c r="F721" s="135" t="s">
        <v>466</v>
      </c>
      <c r="G721" s="135" t="s">
        <v>149</v>
      </c>
      <c r="H721" s="135" t="s">
        <v>2853</v>
      </c>
      <c r="I721" s="135" t="s">
        <v>153</v>
      </c>
      <c r="J721" s="135">
        <v>1.0</v>
      </c>
      <c r="K721" s="135"/>
      <c r="L721" s="135">
        <v>5015.0</v>
      </c>
      <c r="M721" s="135">
        <v>2970.0</v>
      </c>
      <c r="N721" s="135">
        <v>120.0</v>
      </c>
      <c r="O721" s="135">
        <v>2.047</v>
      </c>
      <c r="P721" s="136">
        <v>0.0</v>
      </c>
      <c r="Q721" s="137">
        <v>5.117500000000001</v>
      </c>
      <c r="R721" s="136">
        <v>46114.0</v>
      </c>
      <c r="S721" s="135" t="s">
        <v>3396</v>
      </c>
      <c r="T721" s="136"/>
      <c r="U721" s="135" t="s">
        <v>2855</v>
      </c>
      <c r="V721" s="135" t="s">
        <v>2876</v>
      </c>
      <c r="W721" s="135" t="s">
        <v>3004</v>
      </c>
      <c r="X721" s="135"/>
      <c r="Y721" s="135"/>
      <c r="Z721" s="135" t="s">
        <v>2858</v>
      </c>
      <c r="AA721" s="135"/>
      <c r="AB721" s="135"/>
      <c r="AC721" s="135"/>
      <c r="AD721" s="135">
        <v>46126.0</v>
      </c>
      <c r="AE721" s="135"/>
      <c r="AF721" s="135"/>
      <c r="AG721" s="135"/>
    </row>
    <row r="722" ht="21.75" hidden="1" customHeight="1">
      <c r="A722" s="135">
        <v>718.0</v>
      </c>
      <c r="B722" s="135">
        <v>25045.0</v>
      </c>
      <c r="C722" s="135"/>
      <c r="D722" s="135">
        <v>27.0</v>
      </c>
      <c r="E722" s="135" t="s">
        <v>3335</v>
      </c>
      <c r="F722" s="135" t="s">
        <v>467</v>
      </c>
      <c r="G722" s="135" t="s">
        <v>149</v>
      </c>
      <c r="H722" s="135" t="s">
        <v>2853</v>
      </c>
      <c r="I722" s="135" t="s">
        <v>153</v>
      </c>
      <c r="J722" s="135">
        <v>1.0</v>
      </c>
      <c r="K722" s="135"/>
      <c r="L722" s="135">
        <v>4414.0</v>
      </c>
      <c r="M722" s="135">
        <v>3030.0</v>
      </c>
      <c r="N722" s="135">
        <v>120.0</v>
      </c>
      <c r="O722" s="135">
        <v>1.923</v>
      </c>
      <c r="P722" s="136">
        <v>0.0</v>
      </c>
      <c r="Q722" s="137">
        <v>4.8075</v>
      </c>
      <c r="R722" s="136">
        <v>46114.0</v>
      </c>
      <c r="S722" s="135" t="s">
        <v>3396</v>
      </c>
      <c r="T722" s="136"/>
      <c r="U722" s="135" t="s">
        <v>2855</v>
      </c>
      <c r="V722" s="135" t="s">
        <v>2876</v>
      </c>
      <c r="W722" s="135" t="s">
        <v>3330</v>
      </c>
      <c r="X722" s="135"/>
      <c r="Y722" s="135"/>
      <c r="Z722" s="135" t="s">
        <v>2858</v>
      </c>
      <c r="AA722" s="135"/>
      <c r="AB722" s="135"/>
      <c r="AC722" s="135"/>
      <c r="AD722" s="135">
        <v>46144.0</v>
      </c>
      <c r="AE722" s="135"/>
      <c r="AF722" s="135"/>
      <c r="AG722" s="135"/>
    </row>
    <row r="723" ht="21.75" hidden="1" customHeight="1">
      <c r="A723" s="135">
        <v>719.0</v>
      </c>
      <c r="B723" s="135">
        <v>25045.0</v>
      </c>
      <c r="C723" s="135"/>
      <c r="D723" s="135">
        <v>27.0</v>
      </c>
      <c r="E723" s="135" t="s">
        <v>3318</v>
      </c>
      <c r="F723" s="135" t="s">
        <v>391</v>
      </c>
      <c r="G723" s="135" t="s">
        <v>149</v>
      </c>
      <c r="H723" s="135" t="s">
        <v>2853</v>
      </c>
      <c r="I723" s="135" t="s">
        <v>150</v>
      </c>
      <c r="J723" s="135">
        <v>1.0</v>
      </c>
      <c r="K723" s="135" t="s">
        <v>3134</v>
      </c>
      <c r="L723" s="135">
        <v>4515.0</v>
      </c>
      <c r="M723" s="135">
        <v>3160.0</v>
      </c>
      <c r="N723" s="135">
        <v>120.0</v>
      </c>
      <c r="O723" s="135">
        <v>2.097</v>
      </c>
      <c r="P723" s="136">
        <v>0.0</v>
      </c>
      <c r="Q723" s="137">
        <v>5.2425</v>
      </c>
      <c r="R723" s="136">
        <v>46114.0</v>
      </c>
      <c r="S723" s="135" t="s">
        <v>3396</v>
      </c>
      <c r="T723" s="136"/>
      <c r="U723" s="135" t="s">
        <v>2855</v>
      </c>
      <c r="V723" s="135" t="s">
        <v>2878</v>
      </c>
      <c r="W723" s="135" t="s">
        <v>3401</v>
      </c>
      <c r="X723" s="135"/>
      <c r="Y723" s="135"/>
      <c r="Z723" s="135" t="s">
        <v>2858</v>
      </c>
      <c r="AA723" s="135"/>
      <c r="AB723" s="135"/>
      <c r="AC723" s="135"/>
      <c r="AD723" s="135">
        <v>46140.0</v>
      </c>
      <c r="AE723" s="135"/>
      <c r="AF723" s="135"/>
      <c r="AG723" s="135"/>
    </row>
    <row r="724" ht="21.75" hidden="1" customHeight="1">
      <c r="A724" s="135">
        <v>720.0</v>
      </c>
      <c r="B724" s="135">
        <v>25045.0</v>
      </c>
      <c r="C724" s="135"/>
      <c r="D724" s="135">
        <v>27.0</v>
      </c>
      <c r="E724" s="135" t="s">
        <v>3318</v>
      </c>
      <c r="F724" s="135" t="s">
        <v>392</v>
      </c>
      <c r="G724" s="135" t="s">
        <v>149</v>
      </c>
      <c r="H724" s="135" t="s">
        <v>2853</v>
      </c>
      <c r="I724" s="135" t="s">
        <v>150</v>
      </c>
      <c r="J724" s="135">
        <v>1.0</v>
      </c>
      <c r="K724" s="135" t="s">
        <v>3134</v>
      </c>
      <c r="L724" s="135">
        <v>4515.0</v>
      </c>
      <c r="M724" s="135">
        <v>3160.0</v>
      </c>
      <c r="N724" s="135">
        <v>120.0</v>
      </c>
      <c r="O724" s="135">
        <v>2.097</v>
      </c>
      <c r="P724" s="136">
        <v>0.0</v>
      </c>
      <c r="Q724" s="137">
        <v>5.2425</v>
      </c>
      <c r="R724" s="136">
        <v>46114.0</v>
      </c>
      <c r="S724" s="135" t="s">
        <v>3396</v>
      </c>
      <c r="T724" s="136"/>
      <c r="U724" s="135" t="s">
        <v>2855</v>
      </c>
      <c r="V724" s="135" t="s">
        <v>2878</v>
      </c>
      <c r="W724" s="135" t="s">
        <v>3401</v>
      </c>
      <c r="X724" s="135"/>
      <c r="Y724" s="135"/>
      <c r="Z724" s="135" t="s">
        <v>2858</v>
      </c>
      <c r="AA724" s="135"/>
      <c r="AB724" s="135"/>
      <c r="AC724" s="135"/>
      <c r="AD724" s="135">
        <v>46139.0</v>
      </c>
      <c r="AE724" s="135"/>
      <c r="AF724" s="135"/>
      <c r="AG724" s="135"/>
    </row>
    <row r="725" ht="21.75" hidden="1" customHeight="1">
      <c r="A725" s="135">
        <v>721.0</v>
      </c>
      <c r="B725" s="135">
        <v>25045.0</v>
      </c>
      <c r="C725" s="135"/>
      <c r="D725" s="135">
        <v>27.0</v>
      </c>
      <c r="E725" s="135" t="s">
        <v>3318</v>
      </c>
      <c r="F725" s="135" t="s">
        <v>393</v>
      </c>
      <c r="G725" s="135" t="s">
        <v>149</v>
      </c>
      <c r="H725" s="135" t="s">
        <v>2853</v>
      </c>
      <c r="I725" s="135" t="s">
        <v>150</v>
      </c>
      <c r="J725" s="135">
        <v>1.0</v>
      </c>
      <c r="K725" s="135" t="s">
        <v>3134</v>
      </c>
      <c r="L725" s="135">
        <v>4515.0</v>
      </c>
      <c r="M725" s="135">
        <v>3160.0</v>
      </c>
      <c r="N725" s="135">
        <v>120.0</v>
      </c>
      <c r="O725" s="135">
        <v>2.097</v>
      </c>
      <c r="P725" s="136">
        <v>0.0</v>
      </c>
      <c r="Q725" s="137">
        <v>5.2425</v>
      </c>
      <c r="R725" s="136">
        <v>46114.0</v>
      </c>
      <c r="S725" s="135" t="s">
        <v>3396</v>
      </c>
      <c r="T725" s="136"/>
      <c r="U725" s="135" t="s">
        <v>2855</v>
      </c>
      <c r="V725" s="135" t="s">
        <v>2878</v>
      </c>
      <c r="W725" s="135" t="s">
        <v>3401</v>
      </c>
      <c r="X725" s="135"/>
      <c r="Y725" s="135"/>
      <c r="Z725" s="135" t="s">
        <v>2858</v>
      </c>
      <c r="AA725" s="135"/>
      <c r="AB725" s="135"/>
      <c r="AC725" s="135"/>
      <c r="AD725" s="135">
        <v>46137.0</v>
      </c>
      <c r="AE725" s="135"/>
      <c r="AF725" s="135"/>
      <c r="AG725" s="135"/>
    </row>
    <row r="726" ht="21.75" hidden="1" customHeight="1">
      <c r="A726" s="135">
        <v>722.0</v>
      </c>
      <c r="B726" s="135">
        <v>25045.0</v>
      </c>
      <c r="C726" s="135"/>
      <c r="D726" s="135">
        <v>27.0</v>
      </c>
      <c r="E726" s="135" t="s">
        <v>3355</v>
      </c>
      <c r="F726" s="135" t="s">
        <v>532</v>
      </c>
      <c r="G726" s="135" t="s">
        <v>149</v>
      </c>
      <c r="H726" s="135" t="s">
        <v>2853</v>
      </c>
      <c r="I726" s="135" t="s">
        <v>157</v>
      </c>
      <c r="J726" s="135">
        <v>1.0</v>
      </c>
      <c r="K726" s="135"/>
      <c r="L726" s="135">
        <v>4655.0</v>
      </c>
      <c r="M726" s="135">
        <v>2890.0</v>
      </c>
      <c r="N726" s="135">
        <v>120.0</v>
      </c>
      <c r="O726" s="135">
        <v>1.617</v>
      </c>
      <c r="P726" s="136">
        <v>0.0</v>
      </c>
      <c r="Q726" s="137">
        <v>4.0425</v>
      </c>
      <c r="R726" s="136">
        <v>46116.0</v>
      </c>
      <c r="S726" s="135" t="s">
        <v>3398</v>
      </c>
      <c r="T726" s="136"/>
      <c r="U726" s="135" t="s">
        <v>2864</v>
      </c>
      <c r="V726" s="135" t="s">
        <v>2985</v>
      </c>
      <c r="W726" s="135" t="s">
        <v>3402</v>
      </c>
      <c r="X726" s="135" t="s">
        <v>2895</v>
      </c>
      <c r="Y726" s="135"/>
      <c r="Z726" s="135" t="s">
        <v>2858</v>
      </c>
      <c r="AA726" s="135"/>
      <c r="AB726" s="135"/>
      <c r="AC726" s="135"/>
      <c r="AD726" s="135">
        <v>46134.0</v>
      </c>
      <c r="AE726" s="135"/>
      <c r="AF726" s="135"/>
      <c r="AG726" s="135"/>
    </row>
    <row r="727" ht="21.75" hidden="1" customHeight="1">
      <c r="A727" s="135">
        <v>723.0</v>
      </c>
      <c r="B727" s="135">
        <v>25045.0</v>
      </c>
      <c r="C727" s="135"/>
      <c r="D727" s="135">
        <v>27.0</v>
      </c>
      <c r="E727" s="135" t="s">
        <v>3349</v>
      </c>
      <c r="F727" s="135" t="s">
        <v>517</v>
      </c>
      <c r="G727" s="135" t="s">
        <v>149</v>
      </c>
      <c r="H727" s="135" t="s">
        <v>2853</v>
      </c>
      <c r="I727" s="135" t="s">
        <v>156</v>
      </c>
      <c r="J727" s="135">
        <v>1.0</v>
      </c>
      <c r="K727" s="135"/>
      <c r="L727" s="135">
        <v>4500.0</v>
      </c>
      <c r="M727" s="135">
        <v>2890.0</v>
      </c>
      <c r="N727" s="135">
        <v>120.0</v>
      </c>
      <c r="O727" s="135">
        <v>1.576</v>
      </c>
      <c r="P727" s="136">
        <v>0.0</v>
      </c>
      <c r="Q727" s="137">
        <v>3.9400000000000004</v>
      </c>
      <c r="R727" s="136">
        <v>46116.0</v>
      </c>
      <c r="S727" s="135" t="s">
        <v>3398</v>
      </c>
      <c r="T727" s="136"/>
      <c r="U727" s="135" t="s">
        <v>2864</v>
      </c>
      <c r="V727" s="135" t="s">
        <v>2985</v>
      </c>
      <c r="W727" s="135" t="s">
        <v>3403</v>
      </c>
      <c r="X727" s="135" t="s">
        <v>2892</v>
      </c>
      <c r="Y727" s="135"/>
      <c r="Z727" s="135" t="s">
        <v>2858</v>
      </c>
      <c r="AA727" s="135"/>
      <c r="AB727" s="135"/>
      <c r="AC727" s="135"/>
      <c r="AD727" s="135">
        <v>46146.0</v>
      </c>
      <c r="AE727" s="135"/>
      <c r="AF727" s="135"/>
      <c r="AG727" s="135"/>
    </row>
    <row r="728" ht="21.75" hidden="1" customHeight="1">
      <c r="A728" s="135">
        <v>724.0</v>
      </c>
      <c r="B728" s="135">
        <v>25045.0</v>
      </c>
      <c r="C728" s="135"/>
      <c r="D728" s="135">
        <v>27.0</v>
      </c>
      <c r="E728" s="135" t="s">
        <v>3349</v>
      </c>
      <c r="F728" s="135" t="s">
        <v>521</v>
      </c>
      <c r="G728" s="135" t="s">
        <v>149</v>
      </c>
      <c r="H728" s="135"/>
      <c r="I728" s="135" t="s">
        <v>156</v>
      </c>
      <c r="J728" s="135"/>
      <c r="K728" s="135"/>
      <c r="L728" s="135"/>
      <c r="M728" s="135"/>
      <c r="N728" s="135"/>
      <c r="O728" s="135"/>
      <c r="P728" s="136"/>
      <c r="Q728" s="137">
        <v>0.0</v>
      </c>
      <c r="R728" s="136"/>
      <c r="S728" s="135"/>
      <c r="T728" s="136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 t="e">
        <v>#N/A</v>
      </c>
      <c r="AE728" s="135"/>
      <c r="AF728" s="135"/>
      <c r="AG728" s="135"/>
    </row>
    <row r="729" ht="21.75" hidden="1" customHeight="1">
      <c r="A729" s="135">
        <v>725.0</v>
      </c>
      <c r="B729" s="135">
        <v>25045.0</v>
      </c>
      <c r="C729" s="135"/>
      <c r="D729" s="135">
        <v>27.0</v>
      </c>
      <c r="E729" s="135" t="s">
        <v>3346</v>
      </c>
      <c r="F729" s="135" t="s">
        <v>500</v>
      </c>
      <c r="G729" s="135" t="s">
        <v>149</v>
      </c>
      <c r="H729" s="135" t="s">
        <v>2853</v>
      </c>
      <c r="I729" s="135" t="s">
        <v>155</v>
      </c>
      <c r="J729" s="135">
        <v>1.0</v>
      </c>
      <c r="K729" s="135"/>
      <c r="L729" s="135">
        <v>4597.0</v>
      </c>
      <c r="M729" s="135">
        <v>2850.0</v>
      </c>
      <c r="N729" s="135">
        <v>120.0</v>
      </c>
      <c r="O729" s="135">
        <v>1.589</v>
      </c>
      <c r="P729" s="136">
        <v>0.0</v>
      </c>
      <c r="Q729" s="137">
        <v>3.9725</v>
      </c>
      <c r="R729" s="136">
        <v>46116.0</v>
      </c>
      <c r="S729" s="135" t="s">
        <v>3398</v>
      </c>
      <c r="T729" s="136"/>
      <c r="U729" s="135" t="s">
        <v>2864</v>
      </c>
      <c r="V729" s="135" t="s">
        <v>2985</v>
      </c>
      <c r="W729" s="135" t="s">
        <v>3404</v>
      </c>
      <c r="X729" s="135" t="s">
        <v>2892</v>
      </c>
      <c r="Y729" s="135"/>
      <c r="Z729" s="135" t="s">
        <v>2858</v>
      </c>
      <c r="AA729" s="135"/>
      <c r="AB729" s="135"/>
      <c r="AC729" s="135"/>
      <c r="AD729" s="135">
        <v>46136.0</v>
      </c>
      <c r="AE729" s="135"/>
      <c r="AF729" s="135"/>
      <c r="AG729" s="135"/>
    </row>
    <row r="730" ht="21.75" hidden="1" customHeight="1">
      <c r="A730" s="135">
        <v>726.0</v>
      </c>
      <c r="B730" s="135">
        <v>25045.0</v>
      </c>
      <c r="C730" s="135"/>
      <c r="D730" s="135">
        <v>27.0</v>
      </c>
      <c r="E730" s="135" t="s">
        <v>3346</v>
      </c>
      <c r="F730" s="135" t="s">
        <v>501</v>
      </c>
      <c r="G730" s="135" t="s">
        <v>149</v>
      </c>
      <c r="H730" s="135" t="s">
        <v>2853</v>
      </c>
      <c r="I730" s="135" t="s">
        <v>155</v>
      </c>
      <c r="J730" s="135">
        <v>1.0</v>
      </c>
      <c r="K730" s="135"/>
      <c r="L730" s="135">
        <v>4716.0</v>
      </c>
      <c r="M730" s="135">
        <v>2940.0</v>
      </c>
      <c r="N730" s="135">
        <v>120.0</v>
      </c>
      <c r="O730" s="135">
        <v>1.651</v>
      </c>
      <c r="P730" s="136">
        <v>0.0</v>
      </c>
      <c r="Q730" s="137">
        <v>4.1275</v>
      </c>
      <c r="R730" s="136">
        <v>46116.0</v>
      </c>
      <c r="S730" s="135" t="s">
        <v>3398</v>
      </c>
      <c r="T730" s="136"/>
      <c r="U730" s="135" t="s">
        <v>2864</v>
      </c>
      <c r="V730" s="135" t="s">
        <v>2985</v>
      </c>
      <c r="W730" s="135" t="s">
        <v>3405</v>
      </c>
      <c r="X730" s="135" t="s">
        <v>2895</v>
      </c>
      <c r="Y730" s="135"/>
      <c r="Z730" s="135" t="s">
        <v>2858</v>
      </c>
      <c r="AA730" s="135"/>
      <c r="AB730" s="135"/>
      <c r="AC730" s="135"/>
      <c r="AD730" s="135">
        <v>46133.0</v>
      </c>
      <c r="AE730" s="135"/>
      <c r="AF730" s="135"/>
      <c r="AG730" s="135"/>
    </row>
    <row r="731" ht="21.75" hidden="1" customHeight="1">
      <c r="A731" s="135">
        <v>727.0</v>
      </c>
      <c r="B731" s="135">
        <v>25045.0</v>
      </c>
      <c r="C731" s="135"/>
      <c r="D731" s="135">
        <v>27.0</v>
      </c>
      <c r="E731" s="135" t="s">
        <v>3338</v>
      </c>
      <c r="F731" s="135" t="s">
        <v>485</v>
      </c>
      <c r="G731" s="135" t="s">
        <v>149</v>
      </c>
      <c r="H731" s="135" t="s">
        <v>2853</v>
      </c>
      <c r="I731" s="135" t="s">
        <v>154</v>
      </c>
      <c r="J731" s="135">
        <v>1.0</v>
      </c>
      <c r="K731" s="135"/>
      <c r="L731" s="135">
        <v>4597.0</v>
      </c>
      <c r="M731" s="135">
        <v>2940.0</v>
      </c>
      <c r="N731" s="135">
        <v>120.0</v>
      </c>
      <c r="O731" s="135">
        <v>1.619</v>
      </c>
      <c r="P731" s="136">
        <v>0.0</v>
      </c>
      <c r="Q731" s="137">
        <v>4.0475</v>
      </c>
      <c r="R731" s="136">
        <v>46116.0</v>
      </c>
      <c r="S731" s="135" t="s">
        <v>3398</v>
      </c>
      <c r="T731" s="136"/>
      <c r="U731" s="135" t="s">
        <v>2864</v>
      </c>
      <c r="V731" s="135" t="s">
        <v>2985</v>
      </c>
      <c r="W731" s="135" t="s">
        <v>3406</v>
      </c>
      <c r="X731" s="135" t="s">
        <v>2892</v>
      </c>
      <c r="Y731" s="135"/>
      <c r="Z731" s="135" t="s">
        <v>2858</v>
      </c>
      <c r="AA731" s="135"/>
      <c r="AB731" s="135"/>
      <c r="AC731" s="135"/>
      <c r="AD731" s="135">
        <v>46135.0</v>
      </c>
      <c r="AE731" s="135"/>
      <c r="AF731" s="135"/>
      <c r="AG731" s="135"/>
    </row>
    <row r="732" ht="21.75" hidden="1" customHeight="1">
      <c r="A732" s="135">
        <v>728.0</v>
      </c>
      <c r="B732" s="135">
        <v>25045.0</v>
      </c>
      <c r="C732" s="135"/>
      <c r="D732" s="135">
        <v>27.0</v>
      </c>
      <c r="E732" s="135" t="s">
        <v>3338</v>
      </c>
      <c r="F732" s="135" t="s">
        <v>486</v>
      </c>
      <c r="G732" s="135" t="s">
        <v>149</v>
      </c>
      <c r="H732" s="135" t="s">
        <v>2853</v>
      </c>
      <c r="I732" s="135" t="s">
        <v>154</v>
      </c>
      <c r="J732" s="135">
        <v>1.0</v>
      </c>
      <c r="K732" s="135"/>
      <c r="L732" s="135">
        <v>4717.0</v>
      </c>
      <c r="M732" s="135">
        <v>2970.0</v>
      </c>
      <c r="N732" s="135">
        <v>120.0</v>
      </c>
      <c r="O732" s="135">
        <v>1.662</v>
      </c>
      <c r="P732" s="136">
        <v>0.0</v>
      </c>
      <c r="Q732" s="137">
        <v>4.154999999999999</v>
      </c>
      <c r="R732" s="136">
        <v>46116.0</v>
      </c>
      <c r="S732" s="135" t="s">
        <v>3398</v>
      </c>
      <c r="T732" s="136"/>
      <c r="U732" s="135" t="s">
        <v>2864</v>
      </c>
      <c r="V732" s="135" t="s">
        <v>2985</v>
      </c>
      <c r="W732" s="135" t="s">
        <v>3407</v>
      </c>
      <c r="X732" s="135" t="s">
        <v>2895</v>
      </c>
      <c r="Y732" s="135"/>
      <c r="Z732" s="135" t="s">
        <v>2858</v>
      </c>
      <c r="AA732" s="135"/>
      <c r="AB732" s="135"/>
      <c r="AC732" s="135"/>
      <c r="AD732" s="135">
        <v>46132.0</v>
      </c>
      <c r="AE732" s="135"/>
      <c r="AF732" s="135"/>
      <c r="AG732" s="135"/>
    </row>
    <row r="733" ht="21.75" hidden="1" customHeight="1">
      <c r="A733" s="135">
        <v>729.0</v>
      </c>
      <c r="B733" s="135">
        <v>25045.0</v>
      </c>
      <c r="C733" s="135"/>
      <c r="D733" s="135">
        <v>27.0</v>
      </c>
      <c r="E733" s="135" t="s">
        <v>3335</v>
      </c>
      <c r="F733" s="135" t="s">
        <v>468</v>
      </c>
      <c r="G733" s="135" t="s">
        <v>149</v>
      </c>
      <c r="H733" s="135" t="s">
        <v>2853</v>
      </c>
      <c r="I733" s="135" t="s">
        <v>153</v>
      </c>
      <c r="J733" s="135">
        <v>1.0</v>
      </c>
      <c r="K733" s="135"/>
      <c r="L733" s="135">
        <v>4623.0</v>
      </c>
      <c r="M733" s="135">
        <v>2970.0</v>
      </c>
      <c r="N733" s="135">
        <v>120.0</v>
      </c>
      <c r="O733" s="135">
        <v>1.636</v>
      </c>
      <c r="P733" s="136">
        <v>0.0</v>
      </c>
      <c r="Q733" s="137">
        <v>4.09</v>
      </c>
      <c r="R733" s="136">
        <v>46116.0</v>
      </c>
      <c r="S733" s="135" t="s">
        <v>3398</v>
      </c>
      <c r="T733" s="136"/>
      <c r="U733" s="135" t="s">
        <v>2864</v>
      </c>
      <c r="V733" s="135" t="s">
        <v>2985</v>
      </c>
      <c r="W733" s="135" t="s">
        <v>3408</v>
      </c>
      <c r="X733" s="135" t="s">
        <v>3409</v>
      </c>
      <c r="Y733" s="135"/>
      <c r="Z733" s="135" t="s">
        <v>2858</v>
      </c>
      <c r="AA733" s="135"/>
      <c r="AB733" s="135"/>
      <c r="AC733" s="135"/>
      <c r="AD733" s="135">
        <v>46127.0</v>
      </c>
      <c r="AE733" s="135"/>
      <c r="AF733" s="135"/>
      <c r="AG733" s="135"/>
    </row>
    <row r="734" ht="21.75" hidden="1" customHeight="1">
      <c r="A734" s="135">
        <v>730.0</v>
      </c>
      <c r="B734" s="135">
        <v>25045.0</v>
      </c>
      <c r="C734" s="135"/>
      <c r="D734" s="135">
        <v>27.0</v>
      </c>
      <c r="E734" s="135" t="s">
        <v>3335</v>
      </c>
      <c r="F734" s="135" t="s">
        <v>469</v>
      </c>
      <c r="G734" s="135" t="s">
        <v>149</v>
      </c>
      <c r="H734" s="135" t="s">
        <v>2853</v>
      </c>
      <c r="I734" s="135" t="s">
        <v>153</v>
      </c>
      <c r="J734" s="135">
        <v>1.0</v>
      </c>
      <c r="K734" s="135"/>
      <c r="L734" s="135">
        <v>4414.0</v>
      </c>
      <c r="M734" s="135">
        <v>2880.0</v>
      </c>
      <c r="N734" s="135">
        <v>120.0</v>
      </c>
      <c r="O734" s="135">
        <v>1.548</v>
      </c>
      <c r="P734" s="136">
        <v>0.0</v>
      </c>
      <c r="Q734" s="137">
        <v>3.87</v>
      </c>
      <c r="R734" s="136">
        <v>46116.0</v>
      </c>
      <c r="S734" s="135" t="s">
        <v>3398</v>
      </c>
      <c r="T734" s="136"/>
      <c r="U734" s="135" t="s">
        <v>2864</v>
      </c>
      <c r="V734" s="135" t="s">
        <v>2985</v>
      </c>
      <c r="W734" s="135" t="s">
        <v>3410</v>
      </c>
      <c r="X734" s="135" t="s">
        <v>3411</v>
      </c>
      <c r="Y734" s="135"/>
      <c r="Z734" s="135" t="s">
        <v>2858</v>
      </c>
      <c r="AA734" s="135"/>
      <c r="AB734" s="135"/>
      <c r="AC734" s="135"/>
      <c r="AD734" s="135">
        <v>46142.0</v>
      </c>
      <c r="AE734" s="135"/>
      <c r="AF734" s="135"/>
      <c r="AG734" s="135"/>
    </row>
    <row r="735" ht="21.75" hidden="1" customHeight="1">
      <c r="A735" s="135">
        <v>731.0</v>
      </c>
      <c r="B735" s="135">
        <v>25045.0</v>
      </c>
      <c r="C735" s="135"/>
      <c r="D735" s="135">
        <v>27.0</v>
      </c>
      <c r="E735" s="135" t="s">
        <v>3329</v>
      </c>
      <c r="F735" s="135" t="s">
        <v>435</v>
      </c>
      <c r="G735" s="135" t="s">
        <v>149</v>
      </c>
      <c r="H735" s="135" t="s">
        <v>2853</v>
      </c>
      <c r="I735" s="135" t="s">
        <v>152</v>
      </c>
      <c r="J735" s="135">
        <v>1.0</v>
      </c>
      <c r="K735" s="135"/>
      <c r="L735" s="135">
        <v>4413.0</v>
      </c>
      <c r="M735" s="135">
        <v>2880.0</v>
      </c>
      <c r="N735" s="135">
        <v>120.0</v>
      </c>
      <c r="O735" s="135">
        <v>1.55</v>
      </c>
      <c r="P735" s="136">
        <v>0.0</v>
      </c>
      <c r="Q735" s="137">
        <v>3.875</v>
      </c>
      <c r="R735" s="136">
        <v>46116.0</v>
      </c>
      <c r="S735" s="135" t="s">
        <v>3398</v>
      </c>
      <c r="T735" s="136"/>
      <c r="U735" s="135" t="s">
        <v>2864</v>
      </c>
      <c r="V735" s="135" t="s">
        <v>2985</v>
      </c>
      <c r="W735" s="135" t="s">
        <v>3412</v>
      </c>
      <c r="X735" s="135" t="s">
        <v>2892</v>
      </c>
      <c r="Y735" s="135"/>
      <c r="Z735" s="135" t="s">
        <v>2858</v>
      </c>
      <c r="AA735" s="135"/>
      <c r="AB735" s="135"/>
      <c r="AC735" s="135"/>
      <c r="AD735" s="135">
        <v>0.0</v>
      </c>
      <c r="AE735" s="135"/>
      <c r="AF735" s="135"/>
      <c r="AG735" s="135"/>
    </row>
    <row r="736" ht="21.75" hidden="1" customHeight="1">
      <c r="A736" s="135">
        <v>732.0</v>
      </c>
      <c r="B736" s="135">
        <v>25045.0</v>
      </c>
      <c r="C736" s="135"/>
      <c r="D736" s="135">
        <v>27.0</v>
      </c>
      <c r="E736" s="135" t="s">
        <v>3329</v>
      </c>
      <c r="F736" s="135" t="s">
        <v>436</v>
      </c>
      <c r="G736" s="135" t="s">
        <v>149</v>
      </c>
      <c r="H736" s="135" t="s">
        <v>2853</v>
      </c>
      <c r="I736" s="135" t="s">
        <v>152</v>
      </c>
      <c r="J736" s="135">
        <v>1.0</v>
      </c>
      <c r="K736" s="135"/>
      <c r="L736" s="135">
        <v>4394.0</v>
      </c>
      <c r="M736" s="135">
        <v>3070.0</v>
      </c>
      <c r="N736" s="135">
        <v>120.0</v>
      </c>
      <c r="O736" s="135">
        <v>1.608</v>
      </c>
      <c r="P736" s="136">
        <v>0.0</v>
      </c>
      <c r="Q736" s="137">
        <v>4.0200000000000005</v>
      </c>
      <c r="R736" s="136">
        <v>46116.0</v>
      </c>
      <c r="S736" s="135" t="s">
        <v>3398</v>
      </c>
      <c r="T736" s="136"/>
      <c r="U736" s="135" t="s">
        <v>2864</v>
      </c>
      <c r="V736" s="135" t="s">
        <v>2985</v>
      </c>
      <c r="W736" s="135" t="s">
        <v>3413</v>
      </c>
      <c r="X736" s="135" t="s">
        <v>2895</v>
      </c>
      <c r="Y736" s="135"/>
      <c r="Z736" s="135" t="s">
        <v>2858</v>
      </c>
      <c r="AA736" s="135"/>
      <c r="AB736" s="135"/>
      <c r="AC736" s="135"/>
      <c r="AD736" s="135">
        <v>46143.0</v>
      </c>
      <c r="AE736" s="135"/>
      <c r="AF736" s="135"/>
      <c r="AG736" s="135"/>
    </row>
    <row r="737" ht="21.75" hidden="1" customHeight="1">
      <c r="A737" s="135">
        <v>733.0</v>
      </c>
      <c r="B737" s="135">
        <v>25045.0</v>
      </c>
      <c r="C737" s="135"/>
      <c r="D737" s="135">
        <v>27.0</v>
      </c>
      <c r="E737" s="135" t="s">
        <v>3323</v>
      </c>
      <c r="F737" s="135" t="s">
        <v>416</v>
      </c>
      <c r="G737" s="135" t="s">
        <v>149</v>
      </c>
      <c r="H737" s="135" t="s">
        <v>2853</v>
      </c>
      <c r="I737" s="135" t="s">
        <v>151</v>
      </c>
      <c r="J737" s="135">
        <v>1.0</v>
      </c>
      <c r="K737" s="135"/>
      <c r="L737" s="135">
        <v>4512.0</v>
      </c>
      <c r="M737" s="135">
        <v>3070.0</v>
      </c>
      <c r="N737" s="135">
        <v>120.0</v>
      </c>
      <c r="O737" s="135">
        <v>1.641</v>
      </c>
      <c r="P737" s="136">
        <v>0.0</v>
      </c>
      <c r="Q737" s="137">
        <v>4.1025</v>
      </c>
      <c r="R737" s="136">
        <v>46116.0</v>
      </c>
      <c r="S737" s="135" t="s">
        <v>3398</v>
      </c>
      <c r="T737" s="136"/>
      <c r="U737" s="135" t="s">
        <v>2864</v>
      </c>
      <c r="V737" s="135" t="s">
        <v>2985</v>
      </c>
      <c r="W737" s="135" t="s">
        <v>3414</v>
      </c>
      <c r="X737" s="135" t="s">
        <v>2892</v>
      </c>
      <c r="Y737" s="135"/>
      <c r="Z737" s="135" t="s">
        <v>2858</v>
      </c>
      <c r="AA737" s="135"/>
      <c r="AB737" s="135"/>
      <c r="AC737" s="135"/>
      <c r="AD737" s="135">
        <v>46143.0</v>
      </c>
      <c r="AE737" s="135"/>
      <c r="AF737" s="135"/>
      <c r="AG737" s="135"/>
    </row>
    <row r="738" ht="21.75" hidden="1" customHeight="1">
      <c r="A738" s="135">
        <v>734.0</v>
      </c>
      <c r="B738" s="135">
        <v>25045.0</v>
      </c>
      <c r="C738" s="135"/>
      <c r="D738" s="135">
        <v>27.0</v>
      </c>
      <c r="E738" s="135" t="s">
        <v>3323</v>
      </c>
      <c r="F738" s="135" t="s">
        <v>417</v>
      </c>
      <c r="G738" s="135" t="s">
        <v>149</v>
      </c>
      <c r="H738" s="135" t="s">
        <v>2853</v>
      </c>
      <c r="I738" s="135" t="s">
        <v>151</v>
      </c>
      <c r="J738" s="135">
        <v>1.0</v>
      </c>
      <c r="K738" s="135"/>
      <c r="L738" s="135">
        <v>4347.0</v>
      </c>
      <c r="M738" s="135">
        <v>3160.0</v>
      </c>
      <c r="N738" s="135">
        <v>120.0</v>
      </c>
      <c r="O738" s="135">
        <v>1.712</v>
      </c>
      <c r="P738" s="136">
        <v>0.0</v>
      </c>
      <c r="Q738" s="137">
        <v>4.28</v>
      </c>
      <c r="R738" s="136">
        <v>46114.0</v>
      </c>
      <c r="S738" s="135" t="s">
        <v>3396</v>
      </c>
      <c r="T738" s="136"/>
      <c r="U738" s="135" t="s">
        <v>2864</v>
      </c>
      <c r="V738" s="135" t="s">
        <v>2890</v>
      </c>
      <c r="W738" s="135" t="s">
        <v>3415</v>
      </c>
      <c r="X738" s="135" t="s">
        <v>2895</v>
      </c>
      <c r="Y738" s="135"/>
      <c r="Z738" s="135" t="s">
        <v>2858</v>
      </c>
      <c r="AA738" s="135"/>
      <c r="AB738" s="135"/>
      <c r="AC738" s="135"/>
      <c r="AD738" s="135">
        <v>46151.0</v>
      </c>
      <c r="AE738" s="135"/>
      <c r="AF738" s="135"/>
      <c r="AG738" s="135"/>
    </row>
    <row r="739" ht="21.75" hidden="1" customHeight="1">
      <c r="A739" s="135">
        <v>735.0</v>
      </c>
      <c r="B739" s="135">
        <v>25045.0</v>
      </c>
      <c r="C739" s="135"/>
      <c r="D739" s="135">
        <v>27.0</v>
      </c>
      <c r="E739" s="135" t="s">
        <v>3318</v>
      </c>
      <c r="F739" s="135" t="s">
        <v>394</v>
      </c>
      <c r="G739" s="135" t="s">
        <v>149</v>
      </c>
      <c r="H739" s="135" t="s">
        <v>2853</v>
      </c>
      <c r="I739" s="135" t="s">
        <v>150</v>
      </c>
      <c r="J739" s="135">
        <v>1.0</v>
      </c>
      <c r="K739" s="135"/>
      <c r="L739" s="135">
        <v>4515.0</v>
      </c>
      <c r="M739" s="135">
        <v>3160.0</v>
      </c>
      <c r="N739" s="135">
        <v>120.0</v>
      </c>
      <c r="O739" s="135">
        <v>1.832</v>
      </c>
      <c r="P739" s="136">
        <v>0.0</v>
      </c>
      <c r="Q739" s="137">
        <v>4.58</v>
      </c>
      <c r="R739" s="136">
        <v>46116.0</v>
      </c>
      <c r="S739" s="135" t="s">
        <v>3398</v>
      </c>
      <c r="T739" s="136"/>
      <c r="U739" s="135" t="s">
        <v>2864</v>
      </c>
      <c r="V739" s="135" t="s">
        <v>2890</v>
      </c>
      <c r="W739" s="135" t="s">
        <v>3416</v>
      </c>
      <c r="X739" s="135" t="s">
        <v>2892</v>
      </c>
      <c r="Y739" s="135"/>
      <c r="Z739" s="135" t="s">
        <v>2858</v>
      </c>
      <c r="AA739" s="135"/>
      <c r="AB739" s="135"/>
      <c r="AC739" s="135"/>
      <c r="AD739" s="135">
        <v>46137.0</v>
      </c>
      <c r="AE739" s="135"/>
      <c r="AF739" s="135"/>
      <c r="AG739" s="135"/>
    </row>
    <row r="740" ht="21.75" hidden="1" customHeight="1">
      <c r="A740" s="135">
        <v>736.0</v>
      </c>
      <c r="B740" s="135">
        <v>25045.0</v>
      </c>
      <c r="C740" s="135"/>
      <c r="D740" s="135">
        <v>27.0</v>
      </c>
      <c r="E740" s="135" t="s">
        <v>3355</v>
      </c>
      <c r="F740" s="135" t="s">
        <v>533</v>
      </c>
      <c r="G740" s="135" t="s">
        <v>149</v>
      </c>
      <c r="H740" s="135" t="s">
        <v>2965</v>
      </c>
      <c r="I740" s="135" t="s">
        <v>157</v>
      </c>
      <c r="J740" s="135">
        <v>1.0</v>
      </c>
      <c r="K740" s="135"/>
      <c r="L740" s="135">
        <v>400.0</v>
      </c>
      <c r="M740" s="135">
        <v>2550.0</v>
      </c>
      <c r="N740" s="135">
        <v>350.0</v>
      </c>
      <c r="O740" s="135">
        <v>0.42</v>
      </c>
      <c r="P740" s="136">
        <v>0.0</v>
      </c>
      <c r="Q740" s="137">
        <v>1.05</v>
      </c>
      <c r="R740" s="136">
        <v>46114.0</v>
      </c>
      <c r="S740" s="135" t="s">
        <v>3396</v>
      </c>
      <c r="T740" s="136"/>
      <c r="U740" s="135" t="s">
        <v>2966</v>
      </c>
      <c r="V740" s="135" t="s">
        <v>2967</v>
      </c>
      <c r="W740" s="135"/>
      <c r="X740" s="135" t="s">
        <v>2969</v>
      </c>
      <c r="Y740" s="135"/>
      <c r="Z740" s="135" t="s">
        <v>2858</v>
      </c>
      <c r="AA740" s="135"/>
      <c r="AB740" s="135"/>
      <c r="AC740" s="135"/>
      <c r="AD740" s="135">
        <v>46120.0</v>
      </c>
      <c r="AE740" s="135"/>
      <c r="AF740" s="135"/>
      <c r="AG740" s="135"/>
    </row>
    <row r="741" ht="21.75" hidden="1" customHeight="1">
      <c r="A741" s="135">
        <v>737.0</v>
      </c>
      <c r="B741" s="135">
        <v>25045.0</v>
      </c>
      <c r="C741" s="135"/>
      <c r="D741" s="135">
        <v>27.0</v>
      </c>
      <c r="E741" s="135" t="s">
        <v>3349</v>
      </c>
      <c r="F741" s="135" t="s">
        <v>518</v>
      </c>
      <c r="G741" s="135" t="s">
        <v>149</v>
      </c>
      <c r="H741" s="135" t="s">
        <v>2965</v>
      </c>
      <c r="I741" s="135" t="s">
        <v>156</v>
      </c>
      <c r="J741" s="135">
        <v>1.0</v>
      </c>
      <c r="K741" s="135"/>
      <c r="L741" s="135">
        <v>400.0</v>
      </c>
      <c r="M741" s="135">
        <v>2920.0</v>
      </c>
      <c r="N741" s="135">
        <v>350.0</v>
      </c>
      <c r="O741" s="135">
        <v>0.421</v>
      </c>
      <c r="P741" s="136">
        <v>0.0</v>
      </c>
      <c r="Q741" s="137">
        <v>1.0525</v>
      </c>
      <c r="R741" s="136">
        <v>46114.0</v>
      </c>
      <c r="S741" s="135" t="s">
        <v>3396</v>
      </c>
      <c r="T741" s="136"/>
      <c r="U741" s="135" t="s">
        <v>2966</v>
      </c>
      <c r="V741" s="135" t="s">
        <v>2967</v>
      </c>
      <c r="W741" s="135"/>
      <c r="X741" s="135" t="s">
        <v>2969</v>
      </c>
      <c r="Y741" s="135"/>
      <c r="Z741" s="135" t="s">
        <v>2858</v>
      </c>
      <c r="AA741" s="135"/>
      <c r="AB741" s="135"/>
      <c r="AC741" s="135"/>
      <c r="AD741" s="135">
        <v>46121.0</v>
      </c>
      <c r="AE741" s="135"/>
      <c r="AF741" s="135"/>
      <c r="AG741" s="135"/>
    </row>
    <row r="742" ht="21.75" hidden="1" customHeight="1">
      <c r="A742" s="135">
        <v>738.0</v>
      </c>
      <c r="B742" s="135">
        <v>25045.0</v>
      </c>
      <c r="C742" s="135"/>
      <c r="D742" s="135">
        <v>27.0</v>
      </c>
      <c r="E742" s="135" t="s">
        <v>3338</v>
      </c>
      <c r="F742" s="135" t="s">
        <v>487</v>
      </c>
      <c r="G742" s="135" t="s">
        <v>149</v>
      </c>
      <c r="H742" s="135" t="s">
        <v>2965</v>
      </c>
      <c r="I742" s="135" t="s">
        <v>154</v>
      </c>
      <c r="J742" s="135">
        <v>1.0</v>
      </c>
      <c r="K742" s="135"/>
      <c r="L742" s="135">
        <v>400.0</v>
      </c>
      <c r="M742" s="135">
        <v>2530.0</v>
      </c>
      <c r="N742" s="135">
        <v>350.0</v>
      </c>
      <c r="O742" s="135">
        <v>0.456</v>
      </c>
      <c r="P742" s="136">
        <v>0.0</v>
      </c>
      <c r="Q742" s="137">
        <v>1.1400000000000001</v>
      </c>
      <c r="R742" s="136">
        <v>46116.0</v>
      </c>
      <c r="S742" s="135" t="s">
        <v>3398</v>
      </c>
      <c r="T742" s="136"/>
      <c r="U742" s="135" t="s">
        <v>2966</v>
      </c>
      <c r="V742" s="135" t="s">
        <v>2967</v>
      </c>
      <c r="W742" s="135"/>
      <c r="X742" s="135" t="s">
        <v>2968</v>
      </c>
      <c r="Y742" s="135"/>
      <c r="Z742" s="135" t="s">
        <v>2858</v>
      </c>
      <c r="AA742" s="135"/>
      <c r="AB742" s="135"/>
      <c r="AC742" s="135"/>
      <c r="AD742" s="135">
        <v>46135.0</v>
      </c>
      <c r="AE742" s="135"/>
      <c r="AF742" s="135"/>
      <c r="AG742" s="135"/>
    </row>
    <row r="743" ht="21.75" hidden="1" customHeight="1">
      <c r="A743" s="135">
        <v>739.0</v>
      </c>
      <c r="B743" s="135">
        <v>25045.0</v>
      </c>
      <c r="C743" s="135"/>
      <c r="D743" s="135">
        <v>27.0</v>
      </c>
      <c r="E743" s="135" t="s">
        <v>3346</v>
      </c>
      <c r="F743" s="135" t="s">
        <v>502</v>
      </c>
      <c r="G743" s="135" t="s">
        <v>149</v>
      </c>
      <c r="H743" s="135" t="s">
        <v>2965</v>
      </c>
      <c r="I743" s="135" t="s">
        <v>155</v>
      </c>
      <c r="J743" s="135">
        <v>1.0</v>
      </c>
      <c r="K743" s="135"/>
      <c r="L743" s="135">
        <v>400.0</v>
      </c>
      <c r="M743" s="135">
        <v>2920.0</v>
      </c>
      <c r="N743" s="135">
        <v>350.0</v>
      </c>
      <c r="O743" s="135">
        <v>0.507</v>
      </c>
      <c r="P743" s="136">
        <v>0.0</v>
      </c>
      <c r="Q743" s="137">
        <v>1.2675</v>
      </c>
      <c r="R743" s="136">
        <v>46116.0</v>
      </c>
      <c r="S743" s="135" t="s">
        <v>3398</v>
      </c>
      <c r="T743" s="136"/>
      <c r="U743" s="135" t="s">
        <v>2966</v>
      </c>
      <c r="V743" s="135" t="s">
        <v>2967</v>
      </c>
      <c r="W743" s="135"/>
      <c r="X743" s="135" t="s">
        <v>2968</v>
      </c>
      <c r="Y743" s="135"/>
      <c r="Z743" s="135" t="s">
        <v>2858</v>
      </c>
      <c r="AA743" s="135"/>
      <c r="AB743" s="135"/>
      <c r="AC743" s="135"/>
      <c r="AD743" s="135">
        <v>46156.0</v>
      </c>
      <c r="AE743" s="135"/>
      <c r="AF743" s="135"/>
      <c r="AG743" s="135"/>
    </row>
    <row r="744" ht="21.75" hidden="1" customHeight="1">
      <c r="A744" s="135">
        <v>740.0</v>
      </c>
      <c r="B744" s="135">
        <v>25045.0</v>
      </c>
      <c r="C744" s="135"/>
      <c r="D744" s="135">
        <v>27.0</v>
      </c>
      <c r="E744" s="135" t="s">
        <v>3335</v>
      </c>
      <c r="F744" s="135" t="s">
        <v>470</v>
      </c>
      <c r="G744" s="135" t="s">
        <v>149</v>
      </c>
      <c r="H744" s="135" t="s">
        <v>2965</v>
      </c>
      <c r="I744" s="135" t="s">
        <v>153</v>
      </c>
      <c r="J744" s="135">
        <v>1.0</v>
      </c>
      <c r="K744" s="135"/>
      <c r="L744" s="135">
        <v>400.0</v>
      </c>
      <c r="M744" s="135">
        <v>2550.0</v>
      </c>
      <c r="N744" s="135">
        <v>350.0</v>
      </c>
      <c r="O744" s="135">
        <v>0.456</v>
      </c>
      <c r="P744" s="136">
        <v>0.0</v>
      </c>
      <c r="Q744" s="137">
        <v>1.1400000000000001</v>
      </c>
      <c r="R744" s="136">
        <v>46116.0</v>
      </c>
      <c r="S744" s="135" t="s">
        <v>3398</v>
      </c>
      <c r="T744" s="136"/>
      <c r="U744" s="135" t="s">
        <v>2966</v>
      </c>
      <c r="V744" s="135" t="s">
        <v>2967</v>
      </c>
      <c r="W744" s="135"/>
      <c r="X744" s="135" t="s">
        <v>2968</v>
      </c>
      <c r="Y744" s="135"/>
      <c r="Z744" s="135" t="s">
        <v>2858</v>
      </c>
      <c r="AA744" s="135"/>
      <c r="AB744" s="135"/>
      <c r="AC744" s="135"/>
      <c r="AD744" s="135">
        <v>46134.0</v>
      </c>
      <c r="AE744" s="135"/>
      <c r="AF744" s="135"/>
      <c r="AG744" s="135"/>
    </row>
    <row r="745" ht="21.75" hidden="1" customHeight="1">
      <c r="A745" s="135">
        <v>741.0</v>
      </c>
      <c r="B745" s="135">
        <v>25045.0</v>
      </c>
      <c r="C745" s="135"/>
      <c r="D745" s="135">
        <v>27.0</v>
      </c>
      <c r="E745" s="135" t="s">
        <v>3329</v>
      </c>
      <c r="F745" s="135" t="s">
        <v>437</v>
      </c>
      <c r="G745" s="135" t="s">
        <v>149</v>
      </c>
      <c r="H745" s="135" t="s">
        <v>2965</v>
      </c>
      <c r="I745" s="135" t="s">
        <v>152</v>
      </c>
      <c r="J745" s="135">
        <v>1.0</v>
      </c>
      <c r="K745" s="135"/>
      <c r="L745" s="135">
        <v>400.0</v>
      </c>
      <c r="M745" s="135">
        <v>2820.0</v>
      </c>
      <c r="N745" s="135">
        <v>350.0</v>
      </c>
      <c r="O745" s="135">
        <v>0.421</v>
      </c>
      <c r="P745" s="136">
        <v>0.0</v>
      </c>
      <c r="Q745" s="137">
        <v>1.0525</v>
      </c>
      <c r="R745" s="136">
        <v>46114.0</v>
      </c>
      <c r="S745" s="135" t="s">
        <v>3396</v>
      </c>
      <c r="T745" s="136"/>
      <c r="U745" s="135" t="s">
        <v>2966</v>
      </c>
      <c r="V745" s="135" t="s">
        <v>2967</v>
      </c>
      <c r="W745" s="135"/>
      <c r="X745" s="135" t="s">
        <v>2969</v>
      </c>
      <c r="Y745" s="135"/>
      <c r="Z745" s="135" t="s">
        <v>2858</v>
      </c>
      <c r="AA745" s="135"/>
      <c r="AB745" s="135"/>
      <c r="AC745" s="135"/>
      <c r="AD745" s="135">
        <v>46122.0</v>
      </c>
      <c r="AE745" s="135"/>
      <c r="AF745" s="135"/>
      <c r="AG745" s="135"/>
    </row>
    <row r="746" ht="21.75" hidden="1" customHeight="1">
      <c r="A746" s="135">
        <v>742.0</v>
      </c>
      <c r="B746" s="135">
        <v>25045.0</v>
      </c>
      <c r="C746" s="135"/>
      <c r="D746" s="135">
        <v>27.0</v>
      </c>
      <c r="E746" s="135" t="s">
        <v>3318</v>
      </c>
      <c r="F746" s="135" t="s">
        <v>403</v>
      </c>
      <c r="G746" s="135" t="s">
        <v>149</v>
      </c>
      <c r="H746" s="135"/>
      <c r="I746" s="135" t="s">
        <v>150</v>
      </c>
      <c r="J746" s="135"/>
      <c r="K746" s="135"/>
      <c r="L746" s="135"/>
      <c r="M746" s="135"/>
      <c r="N746" s="135"/>
      <c r="O746" s="135"/>
      <c r="P746" s="136"/>
      <c r="Q746" s="137">
        <v>0.0</v>
      </c>
      <c r="R746" s="136"/>
      <c r="S746" s="135"/>
      <c r="T746" s="136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 t="e">
        <v>#N/A</v>
      </c>
      <c r="AE746" s="135"/>
      <c r="AF746" s="135"/>
      <c r="AG746" s="135"/>
    </row>
    <row r="747" ht="21.75" hidden="1" customHeight="1">
      <c r="A747" s="135">
        <v>743.0</v>
      </c>
      <c r="B747" s="135">
        <v>25045.0</v>
      </c>
      <c r="C747" s="135"/>
      <c r="D747" s="135">
        <v>27.0</v>
      </c>
      <c r="E747" s="135" t="s">
        <v>3323</v>
      </c>
      <c r="F747" s="135" t="s">
        <v>418</v>
      </c>
      <c r="G747" s="135" t="s">
        <v>149</v>
      </c>
      <c r="H747" s="135" t="s">
        <v>2965</v>
      </c>
      <c r="I747" s="135" t="s">
        <v>151</v>
      </c>
      <c r="J747" s="135">
        <v>1.0</v>
      </c>
      <c r="K747" s="135"/>
      <c r="L747" s="135">
        <v>400.0</v>
      </c>
      <c r="M747" s="135">
        <v>2910.0</v>
      </c>
      <c r="N747" s="135">
        <v>350.0</v>
      </c>
      <c r="O747" s="135">
        <v>0.42</v>
      </c>
      <c r="P747" s="136">
        <v>0.0</v>
      </c>
      <c r="Q747" s="137">
        <v>1.05</v>
      </c>
      <c r="R747" s="136">
        <v>46114.0</v>
      </c>
      <c r="S747" s="135" t="s">
        <v>3396</v>
      </c>
      <c r="T747" s="136"/>
      <c r="U747" s="135" t="s">
        <v>2966</v>
      </c>
      <c r="V747" s="135" t="s">
        <v>2967</v>
      </c>
      <c r="W747" s="135"/>
      <c r="X747" s="135" t="s">
        <v>2969</v>
      </c>
      <c r="Y747" s="135"/>
      <c r="Z747" s="135" t="s">
        <v>2858</v>
      </c>
      <c r="AA747" s="135"/>
      <c r="AB747" s="135"/>
      <c r="AC747" s="135"/>
      <c r="AD747" s="135">
        <v>46136.0</v>
      </c>
      <c r="AE747" s="135"/>
      <c r="AF747" s="135"/>
      <c r="AG747" s="135"/>
    </row>
    <row r="748" ht="21.75" hidden="1" customHeight="1">
      <c r="A748" s="135">
        <v>744.0</v>
      </c>
      <c r="B748" s="135">
        <v>25045.0</v>
      </c>
      <c r="C748" s="135"/>
      <c r="D748" s="135">
        <v>27.0</v>
      </c>
      <c r="E748" s="135" t="s">
        <v>3318</v>
      </c>
      <c r="F748" s="135" t="s">
        <v>404</v>
      </c>
      <c r="G748" s="135" t="s">
        <v>149</v>
      </c>
      <c r="H748" s="135"/>
      <c r="I748" s="135" t="s">
        <v>150</v>
      </c>
      <c r="J748" s="135"/>
      <c r="K748" s="135"/>
      <c r="L748" s="135"/>
      <c r="M748" s="135"/>
      <c r="N748" s="135"/>
      <c r="O748" s="135"/>
      <c r="P748" s="136"/>
      <c r="Q748" s="137">
        <v>0.0</v>
      </c>
      <c r="R748" s="136"/>
      <c r="S748" s="135"/>
      <c r="T748" s="136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 t="e">
        <v>#N/A</v>
      </c>
      <c r="AE748" s="135"/>
      <c r="AF748" s="135"/>
      <c r="AG748" s="135"/>
    </row>
    <row r="749" ht="21.75" hidden="1" customHeight="1">
      <c r="A749" s="135">
        <v>745.0</v>
      </c>
      <c r="B749" s="135">
        <v>25045.0</v>
      </c>
      <c r="C749" s="135" t="s">
        <v>2817</v>
      </c>
      <c r="D749" s="135">
        <v>27.0</v>
      </c>
      <c r="E749" s="135" t="s">
        <v>3318</v>
      </c>
      <c r="F749" s="135" t="s">
        <v>405</v>
      </c>
      <c r="G749" s="135" t="s">
        <v>149</v>
      </c>
      <c r="H749" s="135"/>
      <c r="I749" s="135" t="s">
        <v>150</v>
      </c>
      <c r="J749" s="135"/>
      <c r="K749" s="135"/>
      <c r="L749" s="135"/>
      <c r="M749" s="135"/>
      <c r="N749" s="135"/>
      <c r="O749" s="135"/>
      <c r="P749" s="136"/>
      <c r="Q749" s="137">
        <v>0.0</v>
      </c>
      <c r="R749" s="136"/>
      <c r="S749" s="135"/>
      <c r="T749" s="136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 t="e">
        <v>#N/A</v>
      </c>
      <c r="AE749" s="135"/>
      <c r="AF749" s="135"/>
      <c r="AG749" s="135"/>
    </row>
    <row r="750" ht="21.75" hidden="1" customHeight="1">
      <c r="A750" s="135">
        <v>746.0</v>
      </c>
      <c r="B750" s="135">
        <v>25045.0</v>
      </c>
      <c r="C750" s="135" t="s">
        <v>2817</v>
      </c>
      <c r="D750" s="135">
        <v>27.0</v>
      </c>
      <c r="E750" s="135" t="s">
        <v>3318</v>
      </c>
      <c r="F750" s="135" t="s">
        <v>406</v>
      </c>
      <c r="G750" s="135" t="s">
        <v>149</v>
      </c>
      <c r="H750" s="135"/>
      <c r="I750" s="135" t="s">
        <v>150</v>
      </c>
      <c r="J750" s="135"/>
      <c r="K750" s="135"/>
      <c r="L750" s="135"/>
      <c r="M750" s="135"/>
      <c r="N750" s="135"/>
      <c r="O750" s="135"/>
      <c r="P750" s="136"/>
      <c r="Q750" s="137">
        <v>0.0</v>
      </c>
      <c r="R750" s="136"/>
      <c r="S750" s="135"/>
      <c r="T750" s="136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 t="e">
        <v>#N/A</v>
      </c>
      <c r="AE750" s="135"/>
      <c r="AF750" s="135"/>
      <c r="AG750" s="135"/>
    </row>
    <row r="751" ht="21.75" hidden="1" customHeight="1">
      <c r="A751" s="135">
        <v>747.0</v>
      </c>
      <c r="B751" s="135">
        <v>25045.0</v>
      </c>
      <c r="C751" s="135" t="s">
        <v>2817</v>
      </c>
      <c r="D751" s="135">
        <v>27.0</v>
      </c>
      <c r="E751" s="135" t="s">
        <v>3323</v>
      </c>
      <c r="F751" s="135" t="s">
        <v>419</v>
      </c>
      <c r="G751" s="135" t="s">
        <v>149</v>
      </c>
      <c r="H751" s="135" t="s">
        <v>2853</v>
      </c>
      <c r="I751" s="135" t="s">
        <v>151</v>
      </c>
      <c r="J751" s="135">
        <v>1.0</v>
      </c>
      <c r="K751" s="135"/>
      <c r="L751" s="135">
        <v>3590.0</v>
      </c>
      <c r="M751" s="135">
        <v>2850.0</v>
      </c>
      <c r="N751" s="135">
        <v>120.0</v>
      </c>
      <c r="O751" s="135">
        <v>1.314</v>
      </c>
      <c r="P751" s="136">
        <v>0.0</v>
      </c>
      <c r="Q751" s="137">
        <v>3.285</v>
      </c>
      <c r="R751" s="136">
        <v>46116.0</v>
      </c>
      <c r="S751" s="135" t="s">
        <v>3398</v>
      </c>
      <c r="T751" s="136"/>
      <c r="U751" s="135" t="s">
        <v>2864</v>
      </c>
      <c r="V751" s="135" t="s">
        <v>2865</v>
      </c>
      <c r="W751" s="135" t="s">
        <v>2937</v>
      </c>
      <c r="X751" s="135" t="s">
        <v>2935</v>
      </c>
      <c r="Y751" s="135"/>
      <c r="Z751" s="135" t="s">
        <v>2858</v>
      </c>
      <c r="AA751" s="135"/>
      <c r="AB751" s="135"/>
      <c r="AC751" s="135"/>
      <c r="AD751" s="135" t="e">
        <v>#N/A</v>
      </c>
      <c r="AE751" s="135"/>
      <c r="AF751" s="135"/>
      <c r="AG751" s="135"/>
    </row>
    <row r="752" ht="21.75" hidden="1" customHeight="1">
      <c r="A752" s="135">
        <v>748.0</v>
      </c>
      <c r="B752" s="135">
        <v>25045.0</v>
      </c>
      <c r="C752" s="135" t="s">
        <v>2817</v>
      </c>
      <c r="D752" s="135">
        <v>27.0</v>
      </c>
      <c r="E752" s="135" t="s">
        <v>3323</v>
      </c>
      <c r="F752" s="135" t="s">
        <v>420</v>
      </c>
      <c r="G752" s="135" t="s">
        <v>149</v>
      </c>
      <c r="H752" s="135" t="s">
        <v>2853</v>
      </c>
      <c r="I752" s="135" t="s">
        <v>151</v>
      </c>
      <c r="J752" s="135">
        <v>1.0</v>
      </c>
      <c r="K752" s="135"/>
      <c r="L752" s="135">
        <v>4920.0</v>
      </c>
      <c r="M752" s="135">
        <v>2850.0</v>
      </c>
      <c r="N752" s="135">
        <v>120.0</v>
      </c>
      <c r="O752" s="135">
        <v>1.831</v>
      </c>
      <c r="P752" s="136">
        <v>0.0</v>
      </c>
      <c r="Q752" s="137">
        <v>4.5775</v>
      </c>
      <c r="R752" s="136">
        <v>46116.0</v>
      </c>
      <c r="S752" s="135" t="s">
        <v>3398</v>
      </c>
      <c r="T752" s="136"/>
      <c r="U752" s="135" t="s">
        <v>2855</v>
      </c>
      <c r="V752" s="135" t="s">
        <v>2868</v>
      </c>
      <c r="W752" s="135" t="s">
        <v>3206</v>
      </c>
      <c r="X752" s="135" t="s">
        <v>2933</v>
      </c>
      <c r="Y752" s="135"/>
      <c r="Z752" s="135" t="s">
        <v>2858</v>
      </c>
      <c r="AA752" s="135"/>
      <c r="AB752" s="135"/>
      <c r="AC752" s="135"/>
      <c r="AD752" s="135" t="e">
        <v>#N/A</v>
      </c>
      <c r="AE752" s="135"/>
      <c r="AF752" s="135"/>
      <c r="AG752" s="135"/>
    </row>
    <row r="753" ht="21.75" hidden="1" customHeight="1">
      <c r="A753" s="135">
        <v>749.0</v>
      </c>
      <c r="B753" s="135">
        <v>25045.0</v>
      </c>
      <c r="C753" s="135" t="s">
        <v>2817</v>
      </c>
      <c r="D753" s="135">
        <v>27.0</v>
      </c>
      <c r="E753" s="135" t="s">
        <v>3329</v>
      </c>
      <c r="F753" s="135" t="s">
        <v>438</v>
      </c>
      <c r="G753" s="135" t="s">
        <v>149</v>
      </c>
      <c r="H753" s="135" t="s">
        <v>2853</v>
      </c>
      <c r="I753" s="135" t="s">
        <v>152</v>
      </c>
      <c r="J753" s="135">
        <v>1.0</v>
      </c>
      <c r="K753" s="135"/>
      <c r="L753" s="135">
        <v>2395.0</v>
      </c>
      <c r="M753" s="135">
        <v>2850.0</v>
      </c>
      <c r="N753" s="135">
        <v>120.0</v>
      </c>
      <c r="O753" s="135">
        <v>0.885</v>
      </c>
      <c r="P753" s="136">
        <v>1.0</v>
      </c>
      <c r="Q753" s="137">
        <v>2.2125</v>
      </c>
      <c r="R753" s="136">
        <v>46116.0</v>
      </c>
      <c r="S753" s="135" t="s">
        <v>3398</v>
      </c>
      <c r="T753" s="136">
        <v>46123.0</v>
      </c>
      <c r="U753" s="135" t="s">
        <v>2864</v>
      </c>
      <c r="V753" s="135" t="s">
        <v>2878</v>
      </c>
      <c r="W753" s="135" t="s">
        <v>3417</v>
      </c>
      <c r="X753" s="135" t="s">
        <v>2963</v>
      </c>
      <c r="Y753" s="135"/>
      <c r="Z753" s="135" t="s">
        <v>2858</v>
      </c>
      <c r="AA753" s="135" t="s">
        <v>3418</v>
      </c>
      <c r="AB753" s="135"/>
      <c r="AC753" s="135"/>
      <c r="AD753" s="135">
        <v>0.0</v>
      </c>
      <c r="AE753" s="135"/>
      <c r="AF753" s="135"/>
      <c r="AG753" s="135"/>
    </row>
    <row r="754" ht="21.75" hidden="1" customHeight="1">
      <c r="A754" s="135">
        <v>750.0</v>
      </c>
      <c r="B754" s="135">
        <v>25045.0</v>
      </c>
      <c r="C754" s="135" t="s">
        <v>2817</v>
      </c>
      <c r="D754" s="135">
        <v>27.0</v>
      </c>
      <c r="E754" s="135" t="s">
        <v>3329</v>
      </c>
      <c r="F754" s="135" t="s">
        <v>439</v>
      </c>
      <c r="G754" s="135" t="s">
        <v>149</v>
      </c>
      <c r="H754" s="135" t="s">
        <v>2853</v>
      </c>
      <c r="I754" s="135" t="s">
        <v>152</v>
      </c>
      <c r="J754" s="135">
        <v>1.0</v>
      </c>
      <c r="K754" s="135"/>
      <c r="L754" s="135">
        <v>3340.0</v>
      </c>
      <c r="M754" s="135">
        <v>2850.0</v>
      </c>
      <c r="N754" s="135">
        <v>120.0</v>
      </c>
      <c r="O754" s="135">
        <v>1.262</v>
      </c>
      <c r="P754" s="136">
        <v>1.0</v>
      </c>
      <c r="Q754" s="137">
        <v>3.1550000000000002</v>
      </c>
      <c r="R754" s="136">
        <v>46114.0</v>
      </c>
      <c r="S754" s="135" t="s">
        <v>3396</v>
      </c>
      <c r="T754" s="136">
        <v>46123.0</v>
      </c>
      <c r="U754" s="135" t="s">
        <v>2864</v>
      </c>
      <c r="V754" s="135" t="s">
        <v>2878</v>
      </c>
      <c r="W754" s="135" t="s">
        <v>3419</v>
      </c>
      <c r="X754" s="135" t="s">
        <v>2870</v>
      </c>
      <c r="Y754" s="135"/>
      <c r="Z754" s="135" t="s">
        <v>2858</v>
      </c>
      <c r="AA754" s="135" t="s">
        <v>3418</v>
      </c>
      <c r="AB754" s="135"/>
      <c r="AC754" s="135"/>
      <c r="AD754" s="135">
        <v>46120.0</v>
      </c>
      <c r="AE754" s="135"/>
      <c r="AF754" s="135"/>
      <c r="AG754" s="135"/>
    </row>
    <row r="755" ht="21.75" hidden="1" customHeight="1">
      <c r="A755" s="135">
        <v>751.0</v>
      </c>
      <c r="B755" s="135">
        <v>25045.0</v>
      </c>
      <c r="C755" s="135" t="s">
        <v>2817</v>
      </c>
      <c r="D755" s="135">
        <v>27.0</v>
      </c>
      <c r="E755" s="135" t="s">
        <v>3329</v>
      </c>
      <c r="F755" s="135" t="s">
        <v>440</v>
      </c>
      <c r="G755" s="135" t="s">
        <v>149</v>
      </c>
      <c r="H755" s="135" t="s">
        <v>2853</v>
      </c>
      <c r="I755" s="135" t="s">
        <v>152</v>
      </c>
      <c r="J755" s="135">
        <v>1.0</v>
      </c>
      <c r="K755" s="135"/>
      <c r="L755" s="135">
        <v>4090.0</v>
      </c>
      <c r="M755" s="135">
        <v>2850.0</v>
      </c>
      <c r="N755" s="135">
        <v>120.0</v>
      </c>
      <c r="O755" s="135">
        <v>1.55</v>
      </c>
      <c r="P755" s="136">
        <v>1.0</v>
      </c>
      <c r="Q755" s="137">
        <v>3.875</v>
      </c>
      <c r="R755" s="136">
        <v>46114.0</v>
      </c>
      <c r="S755" s="135" t="s">
        <v>3396</v>
      </c>
      <c r="T755" s="136">
        <v>46123.0</v>
      </c>
      <c r="U755" s="135" t="s">
        <v>2864</v>
      </c>
      <c r="V755" s="135" t="s">
        <v>2865</v>
      </c>
      <c r="W755" s="135" t="s">
        <v>2971</v>
      </c>
      <c r="X755" s="135" t="s">
        <v>2872</v>
      </c>
      <c r="Y755" s="135"/>
      <c r="Z755" s="135" t="s">
        <v>2858</v>
      </c>
      <c r="AA755" s="135" t="s">
        <v>3418</v>
      </c>
      <c r="AB755" s="135"/>
      <c r="AC755" s="135"/>
      <c r="AD755" s="135">
        <v>46119.0</v>
      </c>
      <c r="AE755" s="135"/>
      <c r="AF755" s="135"/>
      <c r="AG755" s="135"/>
    </row>
    <row r="756" ht="21.75" hidden="1" customHeight="1">
      <c r="A756" s="135">
        <v>752.0</v>
      </c>
      <c r="B756" s="135">
        <v>25045.0</v>
      </c>
      <c r="C756" s="135" t="s">
        <v>2817</v>
      </c>
      <c r="D756" s="135">
        <v>27.0</v>
      </c>
      <c r="E756" s="135" t="s">
        <v>3329</v>
      </c>
      <c r="F756" s="135" t="s">
        <v>441</v>
      </c>
      <c r="G756" s="135" t="s">
        <v>149</v>
      </c>
      <c r="H756" s="135" t="s">
        <v>2853</v>
      </c>
      <c r="I756" s="135" t="s">
        <v>152</v>
      </c>
      <c r="J756" s="135">
        <v>1.0</v>
      </c>
      <c r="K756" s="135"/>
      <c r="L756" s="135">
        <v>3090.0</v>
      </c>
      <c r="M756" s="135">
        <v>2850.0</v>
      </c>
      <c r="N756" s="135">
        <v>120.0</v>
      </c>
      <c r="O756" s="135">
        <v>1.193</v>
      </c>
      <c r="P756" s="136">
        <v>1.0</v>
      </c>
      <c r="Q756" s="137">
        <v>2.9825</v>
      </c>
      <c r="R756" s="136">
        <v>46114.0</v>
      </c>
      <c r="S756" s="135" t="s">
        <v>3396</v>
      </c>
      <c r="T756" s="136">
        <v>46123.0</v>
      </c>
      <c r="U756" s="135" t="s">
        <v>2864</v>
      </c>
      <c r="V756" s="135" t="s">
        <v>2878</v>
      </c>
      <c r="W756" s="135" t="s">
        <v>3420</v>
      </c>
      <c r="X756" s="135" t="s">
        <v>2872</v>
      </c>
      <c r="Y756" s="135"/>
      <c r="Z756" s="135" t="s">
        <v>2858</v>
      </c>
      <c r="AA756" s="135" t="s">
        <v>3418</v>
      </c>
      <c r="AB756" s="135"/>
      <c r="AC756" s="135"/>
      <c r="AD756" s="135">
        <v>0.0</v>
      </c>
      <c r="AE756" s="135"/>
      <c r="AF756" s="135"/>
      <c r="AG756" s="135"/>
    </row>
    <row r="757" ht="21.75" hidden="1" customHeight="1">
      <c r="A757" s="135">
        <v>753.0</v>
      </c>
      <c r="B757" s="135">
        <v>25045.0</v>
      </c>
      <c r="C757" s="135" t="s">
        <v>2817</v>
      </c>
      <c r="D757" s="135">
        <v>27.0</v>
      </c>
      <c r="E757" s="135" t="s">
        <v>3329</v>
      </c>
      <c r="F757" s="135" t="s">
        <v>442</v>
      </c>
      <c r="G757" s="135" t="s">
        <v>149</v>
      </c>
      <c r="H757" s="135" t="s">
        <v>2853</v>
      </c>
      <c r="I757" s="135" t="s">
        <v>152</v>
      </c>
      <c r="J757" s="135">
        <v>1.0</v>
      </c>
      <c r="K757" s="135" t="s">
        <v>3134</v>
      </c>
      <c r="L757" s="135">
        <v>2040.0</v>
      </c>
      <c r="M757" s="135">
        <v>2850.0</v>
      </c>
      <c r="N757" s="135">
        <v>120.0</v>
      </c>
      <c r="O757" s="135">
        <v>0.937</v>
      </c>
      <c r="P757" s="136">
        <v>1.0</v>
      </c>
      <c r="Q757" s="137">
        <v>2.3425000000000002</v>
      </c>
      <c r="R757" s="136">
        <v>46114.0</v>
      </c>
      <c r="S757" s="135" t="s">
        <v>3396</v>
      </c>
      <c r="T757" s="136">
        <v>46123.0</v>
      </c>
      <c r="U757" s="135" t="s">
        <v>2864</v>
      </c>
      <c r="V757" s="135" t="s">
        <v>2878</v>
      </c>
      <c r="W757" s="135" t="s">
        <v>3016</v>
      </c>
      <c r="X757" s="135"/>
      <c r="Y757" s="135"/>
      <c r="Z757" s="135" t="s">
        <v>2858</v>
      </c>
      <c r="AA757" s="135" t="s">
        <v>3418</v>
      </c>
      <c r="AB757" s="135"/>
      <c r="AC757" s="135"/>
      <c r="AD757" s="135">
        <v>0.0</v>
      </c>
      <c r="AE757" s="135"/>
      <c r="AF757" s="135"/>
      <c r="AG757" s="135"/>
    </row>
    <row r="758" ht="21.75" hidden="1" customHeight="1">
      <c r="A758" s="135">
        <v>754.0</v>
      </c>
      <c r="B758" s="135">
        <v>25045.0</v>
      </c>
      <c r="C758" s="135" t="s">
        <v>2817</v>
      </c>
      <c r="D758" s="135">
        <v>27.0</v>
      </c>
      <c r="E758" s="135" t="s">
        <v>3329</v>
      </c>
      <c r="F758" s="135" t="s">
        <v>443</v>
      </c>
      <c r="G758" s="135" t="s">
        <v>149</v>
      </c>
      <c r="H758" s="135" t="s">
        <v>2853</v>
      </c>
      <c r="I758" s="135" t="s">
        <v>152</v>
      </c>
      <c r="J758" s="135">
        <v>1.0</v>
      </c>
      <c r="K758" s="135" t="s">
        <v>3134</v>
      </c>
      <c r="L758" s="135">
        <v>2040.0</v>
      </c>
      <c r="M758" s="135">
        <v>2850.0</v>
      </c>
      <c r="N758" s="135">
        <v>120.0</v>
      </c>
      <c r="O758" s="135">
        <v>0.937</v>
      </c>
      <c r="P758" s="136">
        <v>1.0</v>
      </c>
      <c r="Q758" s="137">
        <v>2.3425000000000002</v>
      </c>
      <c r="R758" s="136">
        <v>46114.0</v>
      </c>
      <c r="S758" s="135" t="s">
        <v>3396</v>
      </c>
      <c r="T758" s="136">
        <v>46123.0</v>
      </c>
      <c r="U758" s="135" t="s">
        <v>2864</v>
      </c>
      <c r="V758" s="135" t="s">
        <v>2878</v>
      </c>
      <c r="W758" s="135" t="s">
        <v>3016</v>
      </c>
      <c r="X758" s="135"/>
      <c r="Y758" s="135"/>
      <c r="Z758" s="135" t="s">
        <v>2858</v>
      </c>
      <c r="AA758" s="135" t="s">
        <v>3418</v>
      </c>
      <c r="AB758" s="135"/>
      <c r="AC758" s="135"/>
      <c r="AD758" s="135">
        <v>0.0</v>
      </c>
      <c r="AE758" s="135"/>
      <c r="AF758" s="135"/>
      <c r="AG758" s="135"/>
    </row>
    <row r="759" ht="21.75" hidden="1" customHeight="1">
      <c r="A759" s="135">
        <v>755.0</v>
      </c>
      <c r="B759" s="135">
        <v>25045.0</v>
      </c>
      <c r="C759" s="135" t="s">
        <v>2817</v>
      </c>
      <c r="D759" s="135">
        <v>27.0</v>
      </c>
      <c r="E759" s="135" t="s">
        <v>3329</v>
      </c>
      <c r="F759" s="135" t="s">
        <v>444</v>
      </c>
      <c r="G759" s="135" t="s">
        <v>149</v>
      </c>
      <c r="H759" s="135" t="s">
        <v>2853</v>
      </c>
      <c r="I759" s="135" t="s">
        <v>152</v>
      </c>
      <c r="J759" s="135">
        <v>1.0</v>
      </c>
      <c r="K759" s="135"/>
      <c r="L759" s="135">
        <v>3040.0</v>
      </c>
      <c r="M759" s="135">
        <v>2850.0</v>
      </c>
      <c r="N759" s="135">
        <v>120.0</v>
      </c>
      <c r="O759" s="135">
        <v>1.183</v>
      </c>
      <c r="P759" s="136">
        <v>1.0</v>
      </c>
      <c r="Q759" s="137">
        <v>2.9575</v>
      </c>
      <c r="R759" s="136">
        <v>46114.0</v>
      </c>
      <c r="S759" s="135" t="s">
        <v>3396</v>
      </c>
      <c r="T759" s="136">
        <v>46123.0</v>
      </c>
      <c r="U759" s="135" t="s">
        <v>2864</v>
      </c>
      <c r="V759" s="135" t="s">
        <v>2878</v>
      </c>
      <c r="W759" s="135" t="s">
        <v>3018</v>
      </c>
      <c r="X759" s="135"/>
      <c r="Y759" s="135"/>
      <c r="Z759" s="135" t="s">
        <v>2858</v>
      </c>
      <c r="AA759" s="135" t="s">
        <v>3418</v>
      </c>
      <c r="AB759" s="135"/>
      <c r="AC759" s="135"/>
      <c r="AD759" s="135">
        <v>0.0</v>
      </c>
      <c r="AE759" s="135"/>
      <c r="AF759" s="135"/>
      <c r="AG759" s="135"/>
    </row>
    <row r="760" ht="21.75" hidden="1" customHeight="1">
      <c r="A760" s="135">
        <v>756.0</v>
      </c>
      <c r="B760" s="135">
        <v>25045.0</v>
      </c>
      <c r="C760" s="135" t="s">
        <v>2817</v>
      </c>
      <c r="D760" s="135">
        <v>27.0</v>
      </c>
      <c r="E760" s="135" t="s">
        <v>3329</v>
      </c>
      <c r="F760" s="135" t="s">
        <v>445</v>
      </c>
      <c r="G760" s="135" t="s">
        <v>149</v>
      </c>
      <c r="H760" s="135" t="s">
        <v>2853</v>
      </c>
      <c r="I760" s="135" t="s">
        <v>152</v>
      </c>
      <c r="J760" s="135">
        <v>1.0</v>
      </c>
      <c r="K760" s="135"/>
      <c r="L760" s="135">
        <v>2540.0</v>
      </c>
      <c r="M760" s="135">
        <v>2850.0</v>
      </c>
      <c r="N760" s="135">
        <v>120.0</v>
      </c>
      <c r="O760" s="135">
        <v>1.06</v>
      </c>
      <c r="P760" s="136">
        <v>1.0</v>
      </c>
      <c r="Q760" s="137">
        <v>2.6500000000000004</v>
      </c>
      <c r="R760" s="136">
        <v>46114.0</v>
      </c>
      <c r="S760" s="135" t="s">
        <v>3396</v>
      </c>
      <c r="T760" s="136">
        <v>46123.0</v>
      </c>
      <c r="U760" s="135" t="s">
        <v>2864</v>
      </c>
      <c r="V760" s="135" t="s">
        <v>2878</v>
      </c>
      <c r="W760" s="135" t="s">
        <v>3017</v>
      </c>
      <c r="X760" s="135"/>
      <c r="Y760" s="135"/>
      <c r="Z760" s="135" t="s">
        <v>2858</v>
      </c>
      <c r="AA760" s="135" t="s">
        <v>3418</v>
      </c>
      <c r="AB760" s="135"/>
      <c r="AC760" s="135"/>
      <c r="AD760" s="135">
        <v>0.0</v>
      </c>
      <c r="AE760" s="135"/>
      <c r="AF760" s="135"/>
      <c r="AG760" s="135"/>
    </row>
    <row r="761" ht="21.75" hidden="1" customHeight="1">
      <c r="A761" s="135">
        <v>757.0</v>
      </c>
      <c r="B761" s="135">
        <v>25045.0</v>
      </c>
      <c r="C761" s="135" t="s">
        <v>2817</v>
      </c>
      <c r="D761" s="135">
        <v>27.0</v>
      </c>
      <c r="E761" s="135" t="s">
        <v>3329</v>
      </c>
      <c r="F761" s="135" t="s">
        <v>446</v>
      </c>
      <c r="G761" s="135" t="s">
        <v>149</v>
      </c>
      <c r="H761" s="135" t="s">
        <v>2853</v>
      </c>
      <c r="I761" s="135" t="s">
        <v>152</v>
      </c>
      <c r="J761" s="135">
        <v>1.0</v>
      </c>
      <c r="K761" s="135"/>
      <c r="L761" s="135">
        <v>2090.0</v>
      </c>
      <c r="M761" s="135">
        <v>2850.0</v>
      </c>
      <c r="N761" s="135">
        <v>120.0</v>
      </c>
      <c r="O761" s="135">
        <v>0.947</v>
      </c>
      <c r="P761" s="136">
        <v>1.0</v>
      </c>
      <c r="Q761" s="137">
        <v>2.3674999999999997</v>
      </c>
      <c r="R761" s="136">
        <v>46114.0</v>
      </c>
      <c r="S761" s="135" t="s">
        <v>3396</v>
      </c>
      <c r="T761" s="136">
        <v>46123.0</v>
      </c>
      <c r="U761" s="135" t="s">
        <v>2864</v>
      </c>
      <c r="V761" s="135" t="s">
        <v>2878</v>
      </c>
      <c r="W761" s="135" t="s">
        <v>3421</v>
      </c>
      <c r="X761" s="135"/>
      <c r="Y761" s="135"/>
      <c r="Z761" s="135" t="s">
        <v>2858</v>
      </c>
      <c r="AA761" s="135" t="s">
        <v>3418</v>
      </c>
      <c r="AB761" s="135"/>
      <c r="AC761" s="135"/>
      <c r="AD761" s="135">
        <v>0.0</v>
      </c>
      <c r="AE761" s="135"/>
      <c r="AF761" s="135"/>
      <c r="AG761" s="135"/>
    </row>
    <row r="762" ht="21.75" hidden="1" customHeight="1">
      <c r="A762" s="135">
        <v>758.0</v>
      </c>
      <c r="B762" s="135">
        <v>25045.0</v>
      </c>
      <c r="C762" s="135" t="s">
        <v>2817</v>
      </c>
      <c r="D762" s="135">
        <v>27.0</v>
      </c>
      <c r="E762" s="135" t="s">
        <v>3318</v>
      </c>
      <c r="F762" s="135" t="s">
        <v>395</v>
      </c>
      <c r="G762" s="135" t="s">
        <v>149</v>
      </c>
      <c r="H762" s="135" t="s">
        <v>2853</v>
      </c>
      <c r="I762" s="135" t="s">
        <v>150</v>
      </c>
      <c r="J762" s="135">
        <v>1.0</v>
      </c>
      <c r="K762" s="135"/>
      <c r="L762" s="135">
        <v>1635.0</v>
      </c>
      <c r="M762" s="135">
        <v>3360.0</v>
      </c>
      <c r="N762" s="135">
        <v>120.0</v>
      </c>
      <c r="O762" s="135">
        <v>0.911</v>
      </c>
      <c r="P762" s="136">
        <v>0.0</v>
      </c>
      <c r="Q762" s="137">
        <v>2.2775</v>
      </c>
      <c r="R762" s="136">
        <v>46114.0</v>
      </c>
      <c r="S762" s="135" t="s">
        <v>3396</v>
      </c>
      <c r="T762" s="136"/>
      <c r="U762" s="135" t="s">
        <v>2864</v>
      </c>
      <c r="V762" s="135" t="s">
        <v>2878</v>
      </c>
      <c r="W762" s="135" t="s">
        <v>3422</v>
      </c>
      <c r="X762" s="135"/>
      <c r="Y762" s="135"/>
      <c r="Z762" s="135" t="s">
        <v>2858</v>
      </c>
      <c r="AA762" s="135"/>
      <c r="AB762" s="135"/>
      <c r="AC762" s="135"/>
      <c r="AD762" s="135">
        <v>0.0</v>
      </c>
      <c r="AE762" s="135"/>
      <c r="AF762" s="135"/>
      <c r="AG762" s="135"/>
    </row>
    <row r="763" ht="21.75" hidden="1" customHeight="1">
      <c r="A763" s="135">
        <v>759.0</v>
      </c>
      <c r="B763" s="135">
        <v>25045.0</v>
      </c>
      <c r="C763" s="135" t="s">
        <v>2817</v>
      </c>
      <c r="D763" s="135">
        <v>27.0</v>
      </c>
      <c r="E763" s="135" t="s">
        <v>3323</v>
      </c>
      <c r="F763" s="135" t="s">
        <v>423</v>
      </c>
      <c r="G763" s="135" t="s">
        <v>149</v>
      </c>
      <c r="H763" s="135"/>
      <c r="I763" s="135" t="s">
        <v>151</v>
      </c>
      <c r="J763" s="135"/>
      <c r="K763" s="135"/>
      <c r="L763" s="135"/>
      <c r="M763" s="135"/>
      <c r="N763" s="135"/>
      <c r="O763" s="135"/>
      <c r="P763" s="136"/>
      <c r="Q763" s="137">
        <v>0.0</v>
      </c>
      <c r="R763" s="136"/>
      <c r="S763" s="135"/>
      <c r="T763" s="136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 t="e">
        <v>#N/A</v>
      </c>
      <c r="AE763" s="135"/>
      <c r="AF763" s="135"/>
      <c r="AG763" s="135"/>
    </row>
    <row r="764" ht="21.75" hidden="1" customHeight="1">
      <c r="A764" s="135">
        <v>760.0</v>
      </c>
      <c r="B764" s="135">
        <v>25045.0</v>
      </c>
      <c r="C764" s="135" t="s">
        <v>2817</v>
      </c>
      <c r="D764" s="135">
        <v>27.0</v>
      </c>
      <c r="E764" s="135" t="s">
        <v>3329</v>
      </c>
      <c r="F764" s="135" t="s">
        <v>447</v>
      </c>
      <c r="G764" s="135" t="s">
        <v>149</v>
      </c>
      <c r="H764" s="135" t="s">
        <v>2853</v>
      </c>
      <c r="I764" s="135" t="s">
        <v>152</v>
      </c>
      <c r="J764" s="135">
        <v>1.0</v>
      </c>
      <c r="K764" s="135"/>
      <c r="L764" s="135">
        <v>3392.0</v>
      </c>
      <c r="M764" s="135">
        <v>2850.0</v>
      </c>
      <c r="N764" s="135">
        <v>120.0</v>
      </c>
      <c r="O764" s="135">
        <v>1.274</v>
      </c>
      <c r="P764" s="136">
        <v>1.0</v>
      </c>
      <c r="Q764" s="137">
        <v>3.185</v>
      </c>
      <c r="R764" s="136">
        <v>46114.0</v>
      </c>
      <c r="S764" s="135" t="s">
        <v>3396</v>
      </c>
      <c r="T764" s="136">
        <v>46123.0</v>
      </c>
      <c r="U764" s="135" t="s">
        <v>2864</v>
      </c>
      <c r="V764" s="135" t="s">
        <v>2878</v>
      </c>
      <c r="W764" s="135" t="s">
        <v>3423</v>
      </c>
      <c r="X764" s="135"/>
      <c r="Y764" s="135"/>
      <c r="Z764" s="135" t="s">
        <v>2858</v>
      </c>
      <c r="AA764" s="135" t="s">
        <v>3418</v>
      </c>
      <c r="AB764" s="135"/>
      <c r="AC764" s="135"/>
      <c r="AD764" s="135">
        <v>0.0</v>
      </c>
      <c r="AE764" s="135"/>
      <c r="AF764" s="135"/>
      <c r="AG764" s="135"/>
    </row>
    <row r="765" ht="21.75" hidden="1" customHeight="1">
      <c r="A765" s="135">
        <v>761.0</v>
      </c>
      <c r="B765" s="135">
        <v>25045.0</v>
      </c>
      <c r="C765" s="135" t="s">
        <v>2817</v>
      </c>
      <c r="D765" s="135">
        <v>27.0</v>
      </c>
      <c r="E765" s="135" t="s">
        <v>3355</v>
      </c>
      <c r="F765" s="135" t="s">
        <v>537</v>
      </c>
      <c r="G765" s="135" t="s">
        <v>149</v>
      </c>
      <c r="H765" s="135"/>
      <c r="I765" s="135" t="s">
        <v>157</v>
      </c>
      <c r="J765" s="135"/>
      <c r="K765" s="135"/>
      <c r="L765" s="135"/>
      <c r="M765" s="135"/>
      <c r="N765" s="135"/>
      <c r="O765" s="135"/>
      <c r="P765" s="136"/>
      <c r="Q765" s="137">
        <v>0.0</v>
      </c>
      <c r="R765" s="136"/>
      <c r="S765" s="135"/>
      <c r="T765" s="136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 t="e">
        <v>#N/A</v>
      </c>
      <c r="AE765" s="135"/>
      <c r="AF765" s="135"/>
      <c r="AG765" s="135"/>
    </row>
    <row r="766" ht="21.75" hidden="1" customHeight="1">
      <c r="A766" s="135">
        <v>762.0</v>
      </c>
      <c r="B766" s="135">
        <v>25045.0</v>
      </c>
      <c r="C766" s="135" t="s">
        <v>2817</v>
      </c>
      <c r="D766" s="135">
        <v>27.0</v>
      </c>
      <c r="E766" s="135" t="s">
        <v>3349</v>
      </c>
      <c r="F766" s="135" t="s">
        <v>519</v>
      </c>
      <c r="G766" s="135" t="s">
        <v>149</v>
      </c>
      <c r="H766" s="135" t="s">
        <v>2853</v>
      </c>
      <c r="I766" s="135" t="s">
        <v>156</v>
      </c>
      <c r="J766" s="135">
        <v>1.0</v>
      </c>
      <c r="K766" s="135"/>
      <c r="L766" s="135">
        <v>2595.0</v>
      </c>
      <c r="M766" s="135">
        <v>2850.0</v>
      </c>
      <c r="N766" s="135">
        <v>120.0</v>
      </c>
      <c r="O766" s="135">
        <v>0.951</v>
      </c>
      <c r="P766" s="136">
        <v>0.0</v>
      </c>
      <c r="Q766" s="137">
        <v>2.3775</v>
      </c>
      <c r="R766" s="136">
        <v>46114.0</v>
      </c>
      <c r="S766" s="135" t="s">
        <v>3396</v>
      </c>
      <c r="T766" s="136"/>
      <c r="U766" s="135" t="s">
        <v>2864</v>
      </c>
      <c r="V766" s="135" t="s">
        <v>2878</v>
      </c>
      <c r="W766" s="135" t="s">
        <v>2962</v>
      </c>
      <c r="X766" s="135" t="s">
        <v>2895</v>
      </c>
      <c r="Y766" s="135"/>
      <c r="Z766" s="135" t="s">
        <v>2858</v>
      </c>
      <c r="AA766" s="135"/>
      <c r="AB766" s="135"/>
      <c r="AC766" s="135"/>
      <c r="AD766" s="135">
        <v>0.0</v>
      </c>
      <c r="AE766" s="135"/>
      <c r="AF766" s="135"/>
      <c r="AG766" s="135"/>
    </row>
    <row r="767" ht="21.75" hidden="1" customHeight="1">
      <c r="A767" s="135">
        <v>763.0</v>
      </c>
      <c r="B767" s="135">
        <v>25045.0</v>
      </c>
      <c r="C767" s="135" t="s">
        <v>2817</v>
      </c>
      <c r="D767" s="135">
        <v>27.0</v>
      </c>
      <c r="E767" s="135" t="s">
        <v>3335</v>
      </c>
      <c r="F767" s="135" t="s">
        <v>473</v>
      </c>
      <c r="G767" s="135" t="s">
        <v>149</v>
      </c>
      <c r="H767" s="135"/>
      <c r="I767" s="135" t="s">
        <v>153</v>
      </c>
      <c r="J767" s="135"/>
      <c r="K767" s="135"/>
      <c r="L767" s="135"/>
      <c r="M767" s="135"/>
      <c r="N767" s="135"/>
      <c r="O767" s="135"/>
      <c r="P767" s="136"/>
      <c r="Q767" s="137">
        <v>0.0</v>
      </c>
      <c r="R767" s="136"/>
      <c r="S767" s="135"/>
      <c r="T767" s="136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 t="e">
        <v>#N/A</v>
      </c>
      <c r="AE767" s="135"/>
      <c r="AF767" s="135"/>
      <c r="AG767" s="135"/>
    </row>
    <row r="768" ht="21.75" hidden="1" customHeight="1">
      <c r="A768" s="135">
        <v>764.0</v>
      </c>
      <c r="B768" s="135">
        <v>25045.0</v>
      </c>
      <c r="C768" s="135" t="s">
        <v>2817</v>
      </c>
      <c r="D768" s="135">
        <v>27.0</v>
      </c>
      <c r="E768" s="135" t="s">
        <v>3355</v>
      </c>
      <c r="F768" s="135" t="s">
        <v>534</v>
      </c>
      <c r="G768" s="135" t="s">
        <v>149</v>
      </c>
      <c r="H768" s="135" t="s">
        <v>2853</v>
      </c>
      <c r="I768" s="135" t="s">
        <v>157</v>
      </c>
      <c r="J768" s="135">
        <v>1.0</v>
      </c>
      <c r="K768" s="135"/>
      <c r="L768" s="135">
        <v>4456.0</v>
      </c>
      <c r="M768" s="135">
        <v>1730.0</v>
      </c>
      <c r="N768" s="135">
        <v>120.0</v>
      </c>
      <c r="O768" s="135">
        <v>0.992</v>
      </c>
      <c r="P768" s="136">
        <v>0.0</v>
      </c>
      <c r="Q768" s="137">
        <v>2.48</v>
      </c>
      <c r="R768" s="136">
        <v>46114.0</v>
      </c>
      <c r="S768" s="135" t="s">
        <v>3396</v>
      </c>
      <c r="T768" s="136"/>
      <c r="U768" s="135" t="s">
        <v>2864</v>
      </c>
      <c r="V768" s="135" t="s">
        <v>2856</v>
      </c>
      <c r="W768" s="135" t="s">
        <v>3424</v>
      </c>
      <c r="X768" s="135"/>
      <c r="Y768" s="135"/>
      <c r="Z768" s="135" t="s">
        <v>2858</v>
      </c>
      <c r="AA768" s="135"/>
      <c r="AB768" s="135"/>
      <c r="AC768" s="135"/>
      <c r="AD768" s="135" t="e">
        <v>#N/A</v>
      </c>
      <c r="AE768" s="135"/>
      <c r="AF768" s="135"/>
      <c r="AG768" s="135"/>
    </row>
    <row r="769" ht="21.75" hidden="1" customHeight="1">
      <c r="A769" s="135">
        <v>765.0</v>
      </c>
      <c r="B769" s="135">
        <v>25045.0</v>
      </c>
      <c r="C769" s="135" t="s">
        <v>2817</v>
      </c>
      <c r="D769" s="135">
        <v>27.0</v>
      </c>
      <c r="E769" s="135" t="s">
        <v>3355</v>
      </c>
      <c r="F769" s="135" t="s">
        <v>535</v>
      </c>
      <c r="G769" s="135" t="s">
        <v>149</v>
      </c>
      <c r="H769" s="135" t="s">
        <v>2853</v>
      </c>
      <c r="I769" s="135" t="s">
        <v>157</v>
      </c>
      <c r="J769" s="135">
        <v>1.0</v>
      </c>
      <c r="K769" s="135"/>
      <c r="L769" s="135">
        <v>4456.0</v>
      </c>
      <c r="M769" s="135">
        <v>1550.0</v>
      </c>
      <c r="N769" s="135">
        <v>120.0</v>
      </c>
      <c r="O769" s="135">
        <v>0.932</v>
      </c>
      <c r="P769" s="136">
        <v>0.0</v>
      </c>
      <c r="Q769" s="137">
        <v>2.33</v>
      </c>
      <c r="R769" s="136">
        <v>46114.0</v>
      </c>
      <c r="S769" s="135" t="s">
        <v>3396</v>
      </c>
      <c r="T769" s="136"/>
      <c r="U769" s="135" t="s">
        <v>2855</v>
      </c>
      <c r="V769" s="135" t="s">
        <v>2856</v>
      </c>
      <c r="W769" s="135" t="s">
        <v>3356</v>
      </c>
      <c r="X769" s="135"/>
      <c r="Y769" s="135"/>
      <c r="Z769" s="135" t="s">
        <v>2858</v>
      </c>
      <c r="AA769" s="135"/>
      <c r="AB769" s="135"/>
      <c r="AC769" s="135"/>
      <c r="AD769" s="135" t="e">
        <v>#N/A</v>
      </c>
      <c r="AE769" s="135"/>
      <c r="AF769" s="135"/>
      <c r="AG769" s="135"/>
    </row>
    <row r="770" ht="21.75" hidden="1" customHeight="1">
      <c r="A770" s="135">
        <v>766.0</v>
      </c>
      <c r="B770" s="135">
        <v>25045.0</v>
      </c>
      <c r="C770" s="135" t="s">
        <v>2817</v>
      </c>
      <c r="D770" s="135">
        <v>27.0</v>
      </c>
      <c r="E770" s="135" t="s">
        <v>3349</v>
      </c>
      <c r="F770" s="135" t="s">
        <v>520</v>
      </c>
      <c r="G770" s="135" t="s">
        <v>149</v>
      </c>
      <c r="H770" s="135" t="s">
        <v>2853</v>
      </c>
      <c r="I770" s="135" t="s">
        <v>156</v>
      </c>
      <c r="J770" s="135">
        <v>1.0</v>
      </c>
      <c r="K770" s="135"/>
      <c r="L770" s="135">
        <v>5687.0</v>
      </c>
      <c r="M770" s="135">
        <v>2850.0</v>
      </c>
      <c r="N770" s="135">
        <v>120.0</v>
      </c>
      <c r="O770" s="135">
        <v>1.104</v>
      </c>
      <c r="P770" s="136">
        <v>0.0</v>
      </c>
      <c r="Q770" s="137">
        <v>2.7600000000000002</v>
      </c>
      <c r="R770" s="136">
        <v>46116.0</v>
      </c>
      <c r="S770" s="135" t="s">
        <v>3398</v>
      </c>
      <c r="T770" s="136"/>
      <c r="U770" s="135" t="s">
        <v>2855</v>
      </c>
      <c r="V770" s="135" t="s">
        <v>2856</v>
      </c>
      <c r="W770" s="135" t="s">
        <v>3425</v>
      </c>
      <c r="X770" s="135" t="s">
        <v>3426</v>
      </c>
      <c r="Y770" s="135"/>
      <c r="Z770" s="135" t="s">
        <v>2858</v>
      </c>
      <c r="AA770" s="135"/>
      <c r="AB770" s="135"/>
      <c r="AC770" s="135"/>
      <c r="AD770" s="135">
        <v>0.0</v>
      </c>
      <c r="AE770" s="135"/>
      <c r="AF770" s="135"/>
      <c r="AG770" s="135"/>
    </row>
    <row r="771" ht="21.75" hidden="1" customHeight="1">
      <c r="A771" s="135">
        <v>767.0</v>
      </c>
      <c r="B771" s="135">
        <v>25045.0</v>
      </c>
      <c r="C771" s="135" t="s">
        <v>2817</v>
      </c>
      <c r="D771" s="135">
        <v>27.0</v>
      </c>
      <c r="E771" s="135" t="s">
        <v>3346</v>
      </c>
      <c r="F771" s="135" t="s">
        <v>503</v>
      </c>
      <c r="G771" s="135" t="s">
        <v>149</v>
      </c>
      <c r="H771" s="135" t="s">
        <v>2853</v>
      </c>
      <c r="I771" s="135" t="s">
        <v>155</v>
      </c>
      <c r="J771" s="135">
        <v>1.0</v>
      </c>
      <c r="K771" s="135"/>
      <c r="L771" s="135">
        <v>5887.0</v>
      </c>
      <c r="M771" s="135">
        <v>2850.0</v>
      </c>
      <c r="N771" s="135">
        <v>120.0</v>
      </c>
      <c r="O771" s="135">
        <v>1.193</v>
      </c>
      <c r="P771" s="136">
        <v>0.0</v>
      </c>
      <c r="Q771" s="137">
        <v>2.9825</v>
      </c>
      <c r="R771" s="136">
        <v>46116.0</v>
      </c>
      <c r="S771" s="135" t="s">
        <v>3398</v>
      </c>
      <c r="T771" s="136"/>
      <c r="U771" s="135" t="s">
        <v>2855</v>
      </c>
      <c r="V771" s="135" t="s">
        <v>2856</v>
      </c>
      <c r="W771" s="135" t="s">
        <v>3339</v>
      </c>
      <c r="X771" s="135" t="s">
        <v>3427</v>
      </c>
      <c r="Y771" s="135"/>
      <c r="Z771" s="135" t="s">
        <v>2858</v>
      </c>
      <c r="AA771" s="135"/>
      <c r="AB771" s="135"/>
      <c r="AC771" s="135"/>
      <c r="AD771" s="135">
        <v>0.0</v>
      </c>
      <c r="AE771" s="135"/>
      <c r="AF771" s="135"/>
      <c r="AG771" s="135"/>
    </row>
    <row r="772" ht="21.75" hidden="1" customHeight="1">
      <c r="A772" s="135">
        <v>768.0</v>
      </c>
      <c r="B772" s="135">
        <v>25045.0</v>
      </c>
      <c r="C772" s="135"/>
      <c r="D772" s="135">
        <v>27.0</v>
      </c>
      <c r="E772" s="135" t="s">
        <v>3329</v>
      </c>
      <c r="F772" s="135" t="s">
        <v>448</v>
      </c>
      <c r="G772" s="135" t="s">
        <v>149</v>
      </c>
      <c r="H772" s="135" t="s">
        <v>2853</v>
      </c>
      <c r="I772" s="135" t="s">
        <v>152</v>
      </c>
      <c r="J772" s="135">
        <v>1.0</v>
      </c>
      <c r="K772" s="135"/>
      <c r="L772" s="135">
        <v>1990.0</v>
      </c>
      <c r="M772" s="135">
        <v>1170.0</v>
      </c>
      <c r="N772" s="135">
        <v>120.0</v>
      </c>
      <c r="O772" s="135">
        <v>0.392</v>
      </c>
      <c r="P772" s="136">
        <v>0.0</v>
      </c>
      <c r="Q772" s="137">
        <v>0.98</v>
      </c>
      <c r="R772" s="136">
        <v>46116.0</v>
      </c>
      <c r="S772" s="135" t="s">
        <v>3398</v>
      </c>
      <c r="T772" s="136"/>
      <c r="U772" s="135" t="s">
        <v>2864</v>
      </c>
      <c r="V772" s="135" t="s">
        <v>2953</v>
      </c>
      <c r="W772" s="135" t="s">
        <v>3428</v>
      </c>
      <c r="X772" s="135"/>
      <c r="Y772" s="135"/>
      <c r="Z772" s="135" t="s">
        <v>2858</v>
      </c>
      <c r="AA772" s="135"/>
      <c r="AB772" s="135"/>
      <c r="AC772" s="135"/>
      <c r="AD772" s="135">
        <v>46155.0</v>
      </c>
      <c r="AE772" s="135"/>
      <c r="AF772" s="135"/>
      <c r="AG772" s="135"/>
    </row>
    <row r="773" ht="21.75" hidden="1" customHeight="1">
      <c r="A773" s="135">
        <v>769.0</v>
      </c>
      <c r="B773" s="135">
        <v>25045.0</v>
      </c>
      <c r="C773" s="135"/>
      <c r="D773" s="135">
        <v>27.0</v>
      </c>
      <c r="E773" s="135" t="s">
        <v>3346</v>
      </c>
      <c r="F773" s="135" t="s">
        <v>504</v>
      </c>
      <c r="G773" s="135" t="s">
        <v>149</v>
      </c>
      <c r="H773" s="135" t="s">
        <v>2853</v>
      </c>
      <c r="I773" s="135" t="s">
        <v>155</v>
      </c>
      <c r="J773" s="135">
        <v>1.0</v>
      </c>
      <c r="K773" s="135"/>
      <c r="L773" s="135">
        <v>1635.0</v>
      </c>
      <c r="M773" s="135">
        <v>1295.0</v>
      </c>
      <c r="N773" s="135">
        <v>120.0</v>
      </c>
      <c r="O773" s="135">
        <v>0.374</v>
      </c>
      <c r="P773" s="136">
        <v>0.0</v>
      </c>
      <c r="Q773" s="137">
        <v>0.935</v>
      </c>
      <c r="R773" s="136">
        <v>46114.0</v>
      </c>
      <c r="S773" s="135" t="s">
        <v>3396</v>
      </c>
      <c r="T773" s="136"/>
      <c r="U773" s="135" t="s">
        <v>2864</v>
      </c>
      <c r="V773" s="135" t="s">
        <v>2953</v>
      </c>
      <c r="W773" s="135" t="s">
        <v>3429</v>
      </c>
      <c r="X773" s="135"/>
      <c r="Y773" s="135"/>
      <c r="Z773" s="135" t="s">
        <v>2858</v>
      </c>
      <c r="AA773" s="135"/>
      <c r="AB773" s="135"/>
      <c r="AC773" s="135"/>
      <c r="AD773" s="135">
        <v>46144.0</v>
      </c>
      <c r="AE773" s="135"/>
      <c r="AF773" s="135"/>
      <c r="AG773" s="135"/>
    </row>
    <row r="774" ht="21.75" hidden="1" customHeight="1">
      <c r="A774" s="135">
        <v>770.0</v>
      </c>
      <c r="B774" s="135">
        <v>25045.0</v>
      </c>
      <c r="C774" s="135"/>
      <c r="D774" s="135">
        <v>27.0</v>
      </c>
      <c r="E774" s="135" t="s">
        <v>3338</v>
      </c>
      <c r="F774" s="135" t="s">
        <v>488</v>
      </c>
      <c r="G774" s="135" t="s">
        <v>149</v>
      </c>
      <c r="H774" s="135" t="s">
        <v>2853</v>
      </c>
      <c r="I774" s="135" t="s">
        <v>154</v>
      </c>
      <c r="J774" s="135">
        <v>1.0</v>
      </c>
      <c r="K774" s="135"/>
      <c r="L774" s="135">
        <v>1635.0</v>
      </c>
      <c r="M774" s="135">
        <v>900.0</v>
      </c>
      <c r="N774" s="135">
        <v>120.0</v>
      </c>
      <c r="O774" s="135">
        <v>0.33</v>
      </c>
      <c r="P774" s="136">
        <v>0.0</v>
      </c>
      <c r="Q774" s="137">
        <v>0.8250000000000001</v>
      </c>
      <c r="R774" s="136">
        <v>46116.0</v>
      </c>
      <c r="S774" s="135" t="s">
        <v>3398</v>
      </c>
      <c r="T774" s="136"/>
      <c r="U774" s="135" t="s">
        <v>2864</v>
      </c>
      <c r="V774" s="135" t="s">
        <v>2953</v>
      </c>
      <c r="W774" s="135" t="s">
        <v>3430</v>
      </c>
      <c r="X774" s="135"/>
      <c r="Y774" s="135"/>
      <c r="Z774" s="135" t="s">
        <v>2858</v>
      </c>
      <c r="AA774" s="135"/>
      <c r="AB774" s="135"/>
      <c r="AC774" s="135"/>
      <c r="AD774" s="135">
        <v>46157.0</v>
      </c>
      <c r="AE774" s="135"/>
      <c r="AF774" s="135"/>
      <c r="AG774" s="135"/>
    </row>
    <row r="775" ht="21.75" hidden="1" customHeight="1">
      <c r="A775" s="135">
        <v>771.0</v>
      </c>
      <c r="B775" s="135">
        <v>25045.0</v>
      </c>
      <c r="C775" s="135"/>
      <c r="D775" s="135">
        <v>27.0</v>
      </c>
      <c r="E775" s="135" t="s">
        <v>3335</v>
      </c>
      <c r="F775" s="135" t="s">
        <v>471</v>
      </c>
      <c r="G775" s="135" t="s">
        <v>149</v>
      </c>
      <c r="H775" s="135" t="s">
        <v>2853</v>
      </c>
      <c r="I775" s="135" t="s">
        <v>153</v>
      </c>
      <c r="J775" s="135">
        <v>1.0</v>
      </c>
      <c r="K775" s="135"/>
      <c r="L775" s="135">
        <v>1768.0</v>
      </c>
      <c r="M775" s="135">
        <v>905.0</v>
      </c>
      <c r="N775" s="135">
        <v>120.0</v>
      </c>
      <c r="O775" s="135">
        <v>0.341</v>
      </c>
      <c r="P775" s="136">
        <v>0.0</v>
      </c>
      <c r="Q775" s="137">
        <v>0.8525</v>
      </c>
      <c r="R775" s="136">
        <v>46116.0</v>
      </c>
      <c r="S775" s="135" t="s">
        <v>3398</v>
      </c>
      <c r="T775" s="136"/>
      <c r="U775" s="135" t="s">
        <v>2864</v>
      </c>
      <c r="V775" s="135" t="s">
        <v>2953</v>
      </c>
      <c r="W775" s="135" t="s">
        <v>3431</v>
      </c>
      <c r="X775" s="135"/>
      <c r="Y775" s="135"/>
      <c r="Z775" s="135" t="s">
        <v>2858</v>
      </c>
      <c r="AA775" s="135"/>
      <c r="AB775" s="135"/>
      <c r="AC775" s="135"/>
      <c r="AD775" s="135">
        <v>46156.0</v>
      </c>
      <c r="AE775" s="135"/>
      <c r="AF775" s="135"/>
      <c r="AG775" s="135"/>
    </row>
    <row r="776" ht="21.75" hidden="1" customHeight="1">
      <c r="A776" s="135">
        <v>772.0</v>
      </c>
      <c r="B776" s="135">
        <v>25045.0</v>
      </c>
      <c r="C776" s="135"/>
      <c r="D776" s="135">
        <v>27.0</v>
      </c>
      <c r="E776" s="135" t="s">
        <v>3335</v>
      </c>
      <c r="F776" s="135" t="s">
        <v>472</v>
      </c>
      <c r="G776" s="135" t="s">
        <v>149</v>
      </c>
      <c r="H776" s="135" t="s">
        <v>2853</v>
      </c>
      <c r="I776" s="135" t="s">
        <v>153</v>
      </c>
      <c r="J776" s="135">
        <v>1.0</v>
      </c>
      <c r="K776" s="135"/>
      <c r="L776" s="135">
        <v>1990.0</v>
      </c>
      <c r="M776" s="135">
        <v>1170.0</v>
      </c>
      <c r="N776" s="135">
        <v>120.0</v>
      </c>
      <c r="O776" s="135">
        <v>0.392</v>
      </c>
      <c r="P776" s="136">
        <v>0.0</v>
      </c>
      <c r="Q776" s="137">
        <v>0.98</v>
      </c>
      <c r="R776" s="136">
        <v>46114.0</v>
      </c>
      <c r="S776" s="135" t="s">
        <v>3396</v>
      </c>
      <c r="T776" s="136"/>
      <c r="U776" s="135" t="s">
        <v>2864</v>
      </c>
      <c r="V776" s="135" t="s">
        <v>2953</v>
      </c>
      <c r="W776" s="135" t="s">
        <v>3432</v>
      </c>
      <c r="X776" s="135"/>
      <c r="Y776" s="135"/>
      <c r="Z776" s="135" t="s">
        <v>2858</v>
      </c>
      <c r="AA776" s="135"/>
      <c r="AB776" s="135"/>
      <c r="AC776" s="135"/>
      <c r="AD776" s="135">
        <v>46157.0</v>
      </c>
      <c r="AE776" s="135"/>
      <c r="AF776" s="135"/>
      <c r="AG776" s="135"/>
    </row>
    <row r="777" ht="21.75" hidden="1" customHeight="1">
      <c r="A777" s="135">
        <v>773.0</v>
      </c>
      <c r="B777" s="135">
        <v>25045.0</v>
      </c>
      <c r="C777" s="135"/>
      <c r="D777" s="135">
        <v>27.0</v>
      </c>
      <c r="E777" s="135" t="s">
        <v>3323</v>
      </c>
      <c r="F777" s="135" t="s">
        <v>421</v>
      </c>
      <c r="G777" s="135" t="s">
        <v>149</v>
      </c>
      <c r="H777" s="135" t="s">
        <v>2853</v>
      </c>
      <c r="I777" s="135" t="s">
        <v>151</v>
      </c>
      <c r="J777" s="135">
        <v>1.0</v>
      </c>
      <c r="K777" s="135"/>
      <c r="L777" s="135">
        <v>1617.0</v>
      </c>
      <c r="M777" s="135">
        <v>1255.0</v>
      </c>
      <c r="N777" s="135">
        <v>120.0</v>
      </c>
      <c r="O777" s="135">
        <v>0.408</v>
      </c>
      <c r="P777" s="136">
        <v>0.0</v>
      </c>
      <c r="Q777" s="137">
        <v>1.02</v>
      </c>
      <c r="R777" s="136">
        <v>46116.0</v>
      </c>
      <c r="S777" s="135" t="s">
        <v>3398</v>
      </c>
      <c r="T777" s="136"/>
      <c r="U777" s="135" t="s">
        <v>2864</v>
      </c>
      <c r="V777" s="135" t="s">
        <v>2873</v>
      </c>
      <c r="W777" s="135" t="s">
        <v>3433</v>
      </c>
      <c r="X777" s="135"/>
      <c r="Y777" s="135"/>
      <c r="Z777" s="135" t="s">
        <v>2858</v>
      </c>
      <c r="AA777" s="135"/>
      <c r="AB777" s="135"/>
      <c r="AC777" s="135"/>
      <c r="AD777" s="135">
        <v>46128.0</v>
      </c>
      <c r="AE777" s="135"/>
      <c r="AF777" s="135"/>
      <c r="AG777" s="135"/>
    </row>
    <row r="778" ht="21.75" hidden="1" customHeight="1">
      <c r="A778" s="135">
        <v>774.0</v>
      </c>
      <c r="B778" s="135">
        <v>25045.0</v>
      </c>
      <c r="C778" s="135"/>
      <c r="D778" s="135">
        <v>27.0</v>
      </c>
      <c r="E778" s="135" t="s">
        <v>3346</v>
      </c>
      <c r="F778" s="135" t="s">
        <v>505</v>
      </c>
      <c r="G778" s="135" t="s">
        <v>149</v>
      </c>
      <c r="H778" s="135" t="s">
        <v>2853</v>
      </c>
      <c r="I778" s="135" t="s">
        <v>155</v>
      </c>
      <c r="J778" s="135">
        <v>1.0</v>
      </c>
      <c r="K778" s="135"/>
      <c r="L778" s="135">
        <v>2875.0</v>
      </c>
      <c r="M778" s="135">
        <v>1000.0</v>
      </c>
      <c r="N778" s="135">
        <v>120.0</v>
      </c>
      <c r="O778" s="135">
        <v>0.502</v>
      </c>
      <c r="P778" s="136">
        <v>0.0</v>
      </c>
      <c r="Q778" s="137">
        <v>1.255</v>
      </c>
      <c r="R778" s="136">
        <v>46114.0</v>
      </c>
      <c r="S778" s="135" t="s">
        <v>3396</v>
      </c>
      <c r="T778" s="136"/>
      <c r="U778" s="135" t="s">
        <v>2950</v>
      </c>
      <c r="V778" s="135" t="s">
        <v>2951</v>
      </c>
      <c r="W778" s="135" t="s">
        <v>3434</v>
      </c>
      <c r="X778" s="135"/>
      <c r="Y778" s="135"/>
      <c r="Z778" s="135" t="s">
        <v>2858</v>
      </c>
      <c r="AA778" s="135"/>
      <c r="AB778" s="135"/>
      <c r="AC778" s="135"/>
      <c r="AD778" s="135">
        <v>46119.0</v>
      </c>
      <c r="AE778" s="135"/>
      <c r="AF778" s="135"/>
      <c r="AG778" s="135"/>
    </row>
    <row r="779" ht="21.75" hidden="1" customHeight="1">
      <c r="A779" s="135">
        <v>775.0</v>
      </c>
      <c r="B779" s="135">
        <v>25045.0</v>
      </c>
      <c r="C779" s="135"/>
      <c r="D779" s="135">
        <v>27.0</v>
      </c>
      <c r="E779" s="135" t="s">
        <v>3338</v>
      </c>
      <c r="F779" s="135" t="s">
        <v>489</v>
      </c>
      <c r="G779" s="135" t="s">
        <v>149</v>
      </c>
      <c r="H779" s="135" t="s">
        <v>2853</v>
      </c>
      <c r="I779" s="135" t="s">
        <v>154</v>
      </c>
      <c r="J779" s="135">
        <v>1.0</v>
      </c>
      <c r="K779" s="135"/>
      <c r="L779" s="135">
        <v>2875.0</v>
      </c>
      <c r="M779" s="135">
        <v>1000.0</v>
      </c>
      <c r="N779" s="135">
        <v>120.0</v>
      </c>
      <c r="O779" s="135">
        <v>0.502</v>
      </c>
      <c r="P779" s="136">
        <v>0.0</v>
      </c>
      <c r="Q779" s="137">
        <v>1.255</v>
      </c>
      <c r="R779" s="136">
        <v>46114.0</v>
      </c>
      <c r="S779" s="135" t="s">
        <v>3396</v>
      </c>
      <c r="T779" s="136"/>
      <c r="U779" s="135" t="s">
        <v>2950</v>
      </c>
      <c r="V779" s="135" t="s">
        <v>2951</v>
      </c>
      <c r="W779" s="135" t="s">
        <v>3434</v>
      </c>
      <c r="X779" s="135"/>
      <c r="Y779" s="135"/>
      <c r="Z779" s="135" t="s">
        <v>2858</v>
      </c>
      <c r="AA779" s="135"/>
      <c r="AB779" s="135"/>
      <c r="AC779" s="135"/>
      <c r="AD779" s="135">
        <v>46121.0</v>
      </c>
      <c r="AE779" s="135"/>
      <c r="AF779" s="135"/>
      <c r="AG779" s="135"/>
    </row>
    <row r="780" ht="21.75" hidden="1" customHeight="1">
      <c r="A780" s="135">
        <v>776.0</v>
      </c>
      <c r="B780" s="135">
        <v>25045.0</v>
      </c>
      <c r="C780" s="135"/>
      <c r="D780" s="135">
        <v>27.0</v>
      </c>
      <c r="E780" s="135" t="s">
        <v>3329</v>
      </c>
      <c r="F780" s="135" t="s">
        <v>449</v>
      </c>
      <c r="G780" s="135" t="s">
        <v>149</v>
      </c>
      <c r="H780" s="135" t="s">
        <v>2853</v>
      </c>
      <c r="I780" s="135" t="s">
        <v>152</v>
      </c>
      <c r="J780" s="135">
        <v>1.0</v>
      </c>
      <c r="K780" s="135"/>
      <c r="L780" s="135">
        <v>3417.0</v>
      </c>
      <c r="M780" s="135">
        <v>1000.0</v>
      </c>
      <c r="N780" s="135">
        <v>120.0</v>
      </c>
      <c r="O780" s="135">
        <v>0.548</v>
      </c>
      <c r="P780" s="136">
        <v>0.0</v>
      </c>
      <c r="Q780" s="137">
        <v>1.37</v>
      </c>
      <c r="R780" s="136">
        <v>46116.0</v>
      </c>
      <c r="S780" s="135" t="s">
        <v>3398</v>
      </c>
      <c r="T780" s="136"/>
      <c r="U780" s="135" t="s">
        <v>2950</v>
      </c>
      <c r="V780" s="135" t="s">
        <v>2951</v>
      </c>
      <c r="W780" s="135" t="s">
        <v>3435</v>
      </c>
      <c r="X780" s="135"/>
      <c r="Y780" s="135"/>
      <c r="Z780" s="135" t="s">
        <v>2858</v>
      </c>
      <c r="AA780" s="135"/>
      <c r="AB780" s="135"/>
      <c r="AC780" s="135"/>
      <c r="AD780" s="135">
        <v>46134.0</v>
      </c>
      <c r="AE780" s="135"/>
      <c r="AF780" s="135"/>
      <c r="AG780" s="135"/>
    </row>
    <row r="781" ht="21.75" hidden="1" customHeight="1">
      <c r="A781" s="135">
        <v>777.0</v>
      </c>
      <c r="B781" s="135">
        <v>25045.0</v>
      </c>
      <c r="C781" s="135"/>
      <c r="D781" s="135">
        <v>27.0</v>
      </c>
      <c r="E781" s="135" t="s">
        <v>3323</v>
      </c>
      <c r="F781" s="135" t="s">
        <v>422</v>
      </c>
      <c r="G781" s="135" t="s">
        <v>149</v>
      </c>
      <c r="H781" s="135" t="s">
        <v>2853</v>
      </c>
      <c r="I781" s="135" t="s">
        <v>151</v>
      </c>
      <c r="J781" s="135">
        <v>1.0</v>
      </c>
      <c r="K781" s="135"/>
      <c r="L781" s="135">
        <v>3670.0</v>
      </c>
      <c r="M781" s="135">
        <v>1000.0</v>
      </c>
      <c r="N781" s="135">
        <v>120.0</v>
      </c>
      <c r="O781" s="135">
        <v>0.569</v>
      </c>
      <c r="P781" s="136">
        <v>0.0</v>
      </c>
      <c r="Q781" s="137">
        <v>1.4224999999999999</v>
      </c>
      <c r="R781" s="136">
        <v>46116.0</v>
      </c>
      <c r="S781" s="135" t="s">
        <v>3398</v>
      </c>
      <c r="T781" s="136"/>
      <c r="U781" s="135" t="s">
        <v>2950</v>
      </c>
      <c r="V781" s="135" t="s">
        <v>2951</v>
      </c>
      <c r="W781" s="135" t="s">
        <v>3436</v>
      </c>
      <c r="X781" s="135"/>
      <c r="Y781" s="135"/>
      <c r="Z781" s="135" t="s">
        <v>2858</v>
      </c>
      <c r="AA781" s="135"/>
      <c r="AB781" s="135"/>
      <c r="AC781" s="135"/>
      <c r="AD781" s="135">
        <v>46135.0</v>
      </c>
      <c r="AE781" s="135"/>
      <c r="AF781" s="135"/>
      <c r="AG781" s="135"/>
    </row>
    <row r="782" ht="21.75" hidden="1" customHeight="1">
      <c r="A782" s="135">
        <v>778.0</v>
      </c>
      <c r="B782" s="135">
        <v>25045.0</v>
      </c>
      <c r="C782" s="135"/>
      <c r="D782" s="135">
        <v>27.0</v>
      </c>
      <c r="E782" s="135" t="s">
        <v>3318</v>
      </c>
      <c r="F782" s="135" t="s">
        <v>396</v>
      </c>
      <c r="G782" s="135" t="s">
        <v>149</v>
      </c>
      <c r="H782" s="135" t="s">
        <v>2853</v>
      </c>
      <c r="I782" s="135" t="s">
        <v>150</v>
      </c>
      <c r="J782" s="135">
        <v>1.0</v>
      </c>
      <c r="K782" s="135"/>
      <c r="L782" s="135">
        <v>2876.0</v>
      </c>
      <c r="M782" s="135">
        <v>1000.0</v>
      </c>
      <c r="N782" s="135">
        <v>120.0</v>
      </c>
      <c r="O782" s="135">
        <v>0.502</v>
      </c>
      <c r="P782" s="136">
        <v>0.0</v>
      </c>
      <c r="Q782" s="137">
        <v>1.255</v>
      </c>
      <c r="R782" s="136">
        <v>46116.0</v>
      </c>
      <c r="S782" s="135" t="s">
        <v>3398</v>
      </c>
      <c r="T782" s="136"/>
      <c r="U782" s="135" t="s">
        <v>2950</v>
      </c>
      <c r="V782" s="135" t="s">
        <v>2951</v>
      </c>
      <c r="W782" s="135" t="s">
        <v>3437</v>
      </c>
      <c r="X782" s="135"/>
      <c r="Y782" s="135"/>
      <c r="Z782" s="135" t="s">
        <v>2858</v>
      </c>
      <c r="AA782" s="135"/>
      <c r="AB782" s="135"/>
      <c r="AC782" s="135"/>
      <c r="AD782" s="135">
        <v>46123.0</v>
      </c>
      <c r="AE782" s="135"/>
      <c r="AF782" s="135"/>
      <c r="AG782" s="135"/>
    </row>
    <row r="783" ht="21.75" hidden="1" customHeight="1">
      <c r="A783" s="135">
        <v>779.0</v>
      </c>
      <c r="B783" s="135">
        <v>25045.0</v>
      </c>
      <c r="C783" s="135" t="s">
        <v>2817</v>
      </c>
      <c r="D783" s="135">
        <v>5.0</v>
      </c>
      <c r="E783" s="135" t="s">
        <v>3438</v>
      </c>
      <c r="F783" s="135" t="s">
        <v>1907</v>
      </c>
      <c r="G783" s="135" t="s">
        <v>83</v>
      </c>
      <c r="H783" s="135" t="s">
        <v>2853</v>
      </c>
      <c r="I783" s="135" t="s">
        <v>84</v>
      </c>
      <c r="J783" s="135">
        <v>1.0</v>
      </c>
      <c r="K783" s="135"/>
      <c r="L783" s="135">
        <v>4707.0</v>
      </c>
      <c r="M783" s="135">
        <v>1750.0</v>
      </c>
      <c r="N783" s="135">
        <v>120.0</v>
      </c>
      <c r="O783" s="135">
        <v>1.068</v>
      </c>
      <c r="P783" s="136">
        <v>0.0</v>
      </c>
      <c r="Q783" s="137">
        <v>2.67</v>
      </c>
      <c r="R783" s="136">
        <v>46114.0</v>
      </c>
      <c r="S783" s="135" t="s">
        <v>3439</v>
      </c>
      <c r="T783" s="136"/>
      <c r="U783" s="135" t="s">
        <v>2855</v>
      </c>
      <c r="V783" s="135" t="s">
        <v>2856</v>
      </c>
      <c r="W783" s="135" t="s">
        <v>3440</v>
      </c>
      <c r="X783" s="135"/>
      <c r="Y783" s="135"/>
      <c r="Z783" s="135" t="s">
        <v>2858</v>
      </c>
      <c r="AA783" s="135"/>
      <c r="AB783" s="135"/>
      <c r="AC783" s="135"/>
      <c r="AD783" s="135" t="e">
        <v>#N/A</v>
      </c>
      <c r="AE783" s="135"/>
      <c r="AF783" s="135"/>
      <c r="AG783" s="135"/>
    </row>
    <row r="784" ht="21.75" hidden="1" customHeight="1">
      <c r="A784" s="135">
        <v>780.0</v>
      </c>
      <c r="B784" s="135">
        <v>25045.0</v>
      </c>
      <c r="C784" s="135" t="s">
        <v>2817</v>
      </c>
      <c r="D784" s="135">
        <v>5.0</v>
      </c>
      <c r="E784" s="135" t="s">
        <v>3438</v>
      </c>
      <c r="F784" s="135" t="s">
        <v>1908</v>
      </c>
      <c r="G784" s="135" t="s">
        <v>83</v>
      </c>
      <c r="H784" s="135" t="s">
        <v>2853</v>
      </c>
      <c r="I784" s="135" t="s">
        <v>84</v>
      </c>
      <c r="J784" s="135">
        <v>1.0</v>
      </c>
      <c r="K784" s="135"/>
      <c r="L784" s="135">
        <v>4707.0</v>
      </c>
      <c r="M784" s="135">
        <v>1750.0</v>
      </c>
      <c r="N784" s="135">
        <v>120.0</v>
      </c>
      <c r="O784" s="135">
        <v>1.068</v>
      </c>
      <c r="P784" s="136">
        <v>0.0</v>
      </c>
      <c r="Q784" s="137">
        <v>2.67</v>
      </c>
      <c r="R784" s="136">
        <v>46114.0</v>
      </c>
      <c r="S784" s="135" t="s">
        <v>3439</v>
      </c>
      <c r="T784" s="136"/>
      <c r="U784" s="135" t="s">
        <v>2855</v>
      </c>
      <c r="V784" s="135" t="s">
        <v>2856</v>
      </c>
      <c r="W784" s="135" t="s">
        <v>3440</v>
      </c>
      <c r="X784" s="135"/>
      <c r="Y784" s="135"/>
      <c r="Z784" s="135" t="s">
        <v>2858</v>
      </c>
      <c r="AA784" s="135"/>
      <c r="AB784" s="135"/>
      <c r="AC784" s="135"/>
      <c r="AD784" s="135" t="e">
        <v>#N/A</v>
      </c>
      <c r="AE784" s="135"/>
      <c r="AF784" s="135"/>
      <c r="AG784" s="135"/>
    </row>
    <row r="785" ht="21.75" hidden="1" customHeight="1">
      <c r="A785" s="135">
        <v>781.0</v>
      </c>
      <c r="B785" s="135">
        <v>25045.0</v>
      </c>
      <c r="C785" s="135" t="s">
        <v>2817</v>
      </c>
      <c r="D785" s="135">
        <v>5.0</v>
      </c>
      <c r="E785" s="135" t="s">
        <v>3438</v>
      </c>
      <c r="F785" s="135" t="s">
        <v>1909</v>
      </c>
      <c r="G785" s="135" t="s">
        <v>83</v>
      </c>
      <c r="H785" s="135" t="s">
        <v>2853</v>
      </c>
      <c r="I785" s="135" t="s">
        <v>84</v>
      </c>
      <c r="J785" s="135">
        <v>1.0</v>
      </c>
      <c r="K785" s="135"/>
      <c r="L785" s="135">
        <v>4707.0</v>
      </c>
      <c r="M785" s="135">
        <v>2100.0</v>
      </c>
      <c r="N785" s="135">
        <v>120.0</v>
      </c>
      <c r="O785" s="135">
        <v>1.266</v>
      </c>
      <c r="P785" s="136">
        <v>0.0</v>
      </c>
      <c r="Q785" s="137">
        <v>3.165</v>
      </c>
      <c r="R785" s="136">
        <v>46114.0</v>
      </c>
      <c r="S785" s="135" t="s">
        <v>3439</v>
      </c>
      <c r="T785" s="136"/>
      <c r="U785" s="135" t="s">
        <v>2855</v>
      </c>
      <c r="V785" s="135" t="s">
        <v>2856</v>
      </c>
      <c r="W785" s="135" t="s">
        <v>3440</v>
      </c>
      <c r="X785" s="135"/>
      <c r="Y785" s="135"/>
      <c r="Z785" s="135" t="s">
        <v>2858</v>
      </c>
      <c r="AA785" s="135"/>
      <c r="AB785" s="135"/>
      <c r="AC785" s="135"/>
      <c r="AD785" s="135" t="e">
        <v>#N/A</v>
      </c>
      <c r="AE785" s="135"/>
      <c r="AF785" s="135"/>
      <c r="AG785" s="135"/>
    </row>
    <row r="786" ht="21.75" hidden="1" customHeight="1">
      <c r="A786" s="135">
        <v>782.0</v>
      </c>
      <c r="B786" s="135">
        <v>25045.0</v>
      </c>
      <c r="C786" s="135" t="s">
        <v>2817</v>
      </c>
      <c r="D786" s="135">
        <v>5.0</v>
      </c>
      <c r="E786" s="135" t="s">
        <v>3438</v>
      </c>
      <c r="F786" s="135" t="s">
        <v>1910</v>
      </c>
      <c r="G786" s="135" t="s">
        <v>83</v>
      </c>
      <c r="H786" s="135" t="s">
        <v>2853</v>
      </c>
      <c r="I786" s="135" t="s">
        <v>84</v>
      </c>
      <c r="J786" s="135">
        <v>1.0</v>
      </c>
      <c r="K786" s="135"/>
      <c r="L786" s="135">
        <v>4707.0</v>
      </c>
      <c r="M786" s="135">
        <v>2100.0</v>
      </c>
      <c r="N786" s="135">
        <v>120.0</v>
      </c>
      <c r="O786" s="135">
        <v>1.441</v>
      </c>
      <c r="P786" s="136">
        <v>0.0</v>
      </c>
      <c r="Q786" s="137">
        <v>3.6025</v>
      </c>
      <c r="R786" s="136">
        <v>46114.0</v>
      </c>
      <c r="S786" s="135" t="s">
        <v>3439</v>
      </c>
      <c r="T786" s="136"/>
      <c r="U786" s="135" t="s">
        <v>2855</v>
      </c>
      <c r="V786" s="135" t="s">
        <v>2856</v>
      </c>
      <c r="W786" s="135" t="s">
        <v>3440</v>
      </c>
      <c r="X786" s="135"/>
      <c r="Y786" s="135"/>
      <c r="Z786" s="135" t="s">
        <v>2858</v>
      </c>
      <c r="AA786" s="135"/>
      <c r="AB786" s="135"/>
      <c r="AC786" s="135"/>
      <c r="AD786" s="135" t="e">
        <v>#N/A</v>
      </c>
      <c r="AE786" s="135"/>
      <c r="AF786" s="135"/>
      <c r="AG786" s="135"/>
    </row>
    <row r="787" ht="21.75" hidden="1" customHeight="1">
      <c r="A787" s="135">
        <v>783.0</v>
      </c>
      <c r="B787" s="135">
        <v>25045.0</v>
      </c>
      <c r="C787" s="135" t="s">
        <v>2817</v>
      </c>
      <c r="D787" s="135">
        <v>5.0</v>
      </c>
      <c r="E787" s="135" t="s">
        <v>3438</v>
      </c>
      <c r="F787" s="135" t="s">
        <v>1911</v>
      </c>
      <c r="G787" s="135" t="s">
        <v>83</v>
      </c>
      <c r="H787" s="135" t="s">
        <v>2853</v>
      </c>
      <c r="I787" s="135" t="s">
        <v>84</v>
      </c>
      <c r="J787" s="135">
        <v>1.0</v>
      </c>
      <c r="K787" s="135"/>
      <c r="L787" s="135">
        <v>2195.0</v>
      </c>
      <c r="M787" s="135">
        <v>2850.0</v>
      </c>
      <c r="N787" s="135">
        <v>120.0</v>
      </c>
      <c r="O787" s="135">
        <v>0.791</v>
      </c>
      <c r="P787" s="136">
        <v>0.0</v>
      </c>
      <c r="Q787" s="137">
        <v>1.9775</v>
      </c>
      <c r="R787" s="136">
        <v>46114.0</v>
      </c>
      <c r="S787" s="135" t="s">
        <v>3439</v>
      </c>
      <c r="T787" s="136"/>
      <c r="U787" s="135" t="s">
        <v>2864</v>
      </c>
      <c r="V787" s="135" t="s">
        <v>2878</v>
      </c>
      <c r="W787" s="135" t="s">
        <v>3157</v>
      </c>
      <c r="X787" s="135" t="s">
        <v>3441</v>
      </c>
      <c r="Y787" s="135"/>
      <c r="Z787" s="135" t="s">
        <v>2858</v>
      </c>
      <c r="AA787" s="135"/>
      <c r="AB787" s="135"/>
      <c r="AC787" s="135"/>
      <c r="AD787" s="135">
        <v>46127.0</v>
      </c>
      <c r="AE787" s="135"/>
      <c r="AF787" s="135"/>
      <c r="AG787" s="135"/>
    </row>
    <row r="788" ht="21.75" hidden="1" customHeight="1">
      <c r="A788" s="135">
        <v>784.0</v>
      </c>
      <c r="B788" s="135">
        <v>25045.0</v>
      </c>
      <c r="C788" s="135"/>
      <c r="D788" s="135">
        <v>5.0</v>
      </c>
      <c r="E788" s="135" t="s">
        <v>3438</v>
      </c>
      <c r="F788" s="135" t="s">
        <v>1912</v>
      </c>
      <c r="G788" s="135" t="s">
        <v>83</v>
      </c>
      <c r="H788" s="135" t="s">
        <v>2853</v>
      </c>
      <c r="I788" s="135" t="s">
        <v>84</v>
      </c>
      <c r="J788" s="135">
        <v>1.0</v>
      </c>
      <c r="K788" s="135"/>
      <c r="L788" s="135">
        <v>4458.0</v>
      </c>
      <c r="M788" s="135">
        <v>3500.0</v>
      </c>
      <c r="N788" s="135">
        <v>120.0</v>
      </c>
      <c r="O788" s="135">
        <v>1.969</v>
      </c>
      <c r="P788" s="136">
        <v>1.0</v>
      </c>
      <c r="Q788" s="137">
        <v>4.9225</v>
      </c>
      <c r="R788" s="136">
        <v>46114.0</v>
      </c>
      <c r="S788" s="135" t="s">
        <v>3439</v>
      </c>
      <c r="T788" s="136">
        <v>46122.0</v>
      </c>
      <c r="U788" s="135" t="s">
        <v>2864</v>
      </c>
      <c r="V788" s="135" t="s">
        <v>3041</v>
      </c>
      <c r="W788" s="135" t="s">
        <v>3442</v>
      </c>
      <c r="X788" s="135" t="s">
        <v>2867</v>
      </c>
      <c r="Y788" s="135"/>
      <c r="Z788" s="135" t="s">
        <v>2858</v>
      </c>
      <c r="AA788" s="135" t="s">
        <v>3443</v>
      </c>
      <c r="AB788" s="135"/>
      <c r="AC788" s="135"/>
      <c r="AD788" s="135">
        <v>46146.0</v>
      </c>
      <c r="AE788" s="135"/>
      <c r="AF788" s="135"/>
      <c r="AG788" s="135"/>
    </row>
    <row r="789" ht="21.75" hidden="1" customHeight="1">
      <c r="A789" s="135">
        <v>785.0</v>
      </c>
      <c r="B789" s="135">
        <v>25045.0</v>
      </c>
      <c r="C789" s="135"/>
      <c r="D789" s="135">
        <v>5.0</v>
      </c>
      <c r="E789" s="135" t="s">
        <v>3438</v>
      </c>
      <c r="F789" s="135" t="s">
        <v>1913</v>
      </c>
      <c r="G789" s="135" t="s">
        <v>83</v>
      </c>
      <c r="H789" s="135" t="s">
        <v>2853</v>
      </c>
      <c r="I789" s="135" t="s">
        <v>84</v>
      </c>
      <c r="J789" s="135">
        <v>1.0</v>
      </c>
      <c r="K789" s="135"/>
      <c r="L789" s="135">
        <v>4090.0</v>
      </c>
      <c r="M789" s="135">
        <v>3500.0</v>
      </c>
      <c r="N789" s="135">
        <v>120.0</v>
      </c>
      <c r="O789" s="135">
        <v>1.861</v>
      </c>
      <c r="P789" s="136">
        <v>1.0</v>
      </c>
      <c r="Q789" s="137">
        <v>4.6525</v>
      </c>
      <c r="R789" s="136">
        <v>46114.0</v>
      </c>
      <c r="S789" s="135" t="s">
        <v>3439</v>
      </c>
      <c r="T789" s="136">
        <v>46122.0</v>
      </c>
      <c r="U789" s="135" t="s">
        <v>2864</v>
      </c>
      <c r="V789" s="135" t="s">
        <v>3041</v>
      </c>
      <c r="W789" s="135" t="s">
        <v>2971</v>
      </c>
      <c r="X789" s="135" t="s">
        <v>2872</v>
      </c>
      <c r="Y789" s="135"/>
      <c r="Z789" s="135" t="s">
        <v>2858</v>
      </c>
      <c r="AA789" s="135" t="s">
        <v>3443</v>
      </c>
      <c r="AB789" s="135"/>
      <c r="AC789" s="135"/>
      <c r="AD789" s="135">
        <v>46147.0</v>
      </c>
      <c r="AE789" s="135"/>
      <c r="AF789" s="135"/>
      <c r="AG789" s="135"/>
    </row>
    <row r="790" ht="21.75" hidden="1" customHeight="1">
      <c r="A790" s="135">
        <v>786.0</v>
      </c>
      <c r="B790" s="135">
        <v>25045.0</v>
      </c>
      <c r="C790" s="135"/>
      <c r="D790" s="135">
        <v>5.0</v>
      </c>
      <c r="E790" s="135" t="s">
        <v>3438</v>
      </c>
      <c r="F790" s="135" t="s">
        <v>1914</v>
      </c>
      <c r="G790" s="135" t="s">
        <v>83</v>
      </c>
      <c r="H790" s="135" t="s">
        <v>2853</v>
      </c>
      <c r="I790" s="135" t="s">
        <v>84</v>
      </c>
      <c r="J790" s="135">
        <v>1.0</v>
      </c>
      <c r="K790" s="135"/>
      <c r="L790" s="135">
        <v>4160.0</v>
      </c>
      <c r="M790" s="135">
        <v>3600.0</v>
      </c>
      <c r="N790" s="135">
        <v>120.0</v>
      </c>
      <c r="O790" s="135">
        <v>1.826</v>
      </c>
      <c r="P790" s="136">
        <v>1.0</v>
      </c>
      <c r="Q790" s="137">
        <v>4.565</v>
      </c>
      <c r="R790" s="136">
        <v>46114.0</v>
      </c>
      <c r="S790" s="135" t="s">
        <v>3439</v>
      </c>
      <c r="T790" s="136">
        <v>46122.0</v>
      </c>
      <c r="U790" s="135" t="s">
        <v>2864</v>
      </c>
      <c r="V790" s="135" t="s">
        <v>3264</v>
      </c>
      <c r="W790" s="135" t="s">
        <v>3444</v>
      </c>
      <c r="X790" s="135" t="s">
        <v>3445</v>
      </c>
      <c r="Y790" s="135"/>
      <c r="Z790" s="135" t="s">
        <v>2858</v>
      </c>
      <c r="AA790" s="135" t="s">
        <v>3443</v>
      </c>
      <c r="AB790" s="135"/>
      <c r="AC790" s="135"/>
      <c r="AD790" s="135">
        <v>46143.0</v>
      </c>
      <c r="AE790" s="135"/>
      <c r="AF790" s="135"/>
      <c r="AG790" s="135"/>
    </row>
    <row r="791" ht="21.75" hidden="1" customHeight="1">
      <c r="A791" s="135">
        <v>787.0</v>
      </c>
      <c r="B791" s="135">
        <v>25045.0</v>
      </c>
      <c r="C791" s="135"/>
      <c r="D791" s="135">
        <v>5.0</v>
      </c>
      <c r="E791" s="135" t="s">
        <v>3438</v>
      </c>
      <c r="F791" s="135" t="s">
        <v>1915</v>
      </c>
      <c r="G791" s="135" t="s">
        <v>83</v>
      </c>
      <c r="H791" s="135" t="s">
        <v>2853</v>
      </c>
      <c r="I791" s="135" t="s">
        <v>84</v>
      </c>
      <c r="J791" s="135">
        <v>1.0</v>
      </c>
      <c r="K791" s="135"/>
      <c r="L791" s="135">
        <v>5140.0</v>
      </c>
      <c r="M791" s="135">
        <v>3500.0</v>
      </c>
      <c r="N791" s="135">
        <v>120.0</v>
      </c>
      <c r="O791" s="135">
        <v>2.334</v>
      </c>
      <c r="P791" s="136">
        <v>1.0</v>
      </c>
      <c r="Q791" s="137">
        <v>5.835</v>
      </c>
      <c r="R791" s="136">
        <v>46114.0</v>
      </c>
      <c r="S791" s="135" t="s">
        <v>3439</v>
      </c>
      <c r="T791" s="136">
        <v>46122.0</v>
      </c>
      <c r="U791" s="135" t="s">
        <v>2855</v>
      </c>
      <c r="V791" s="135" t="s">
        <v>2876</v>
      </c>
      <c r="W791" s="135" t="s">
        <v>3308</v>
      </c>
      <c r="X791" s="135" t="s">
        <v>2870</v>
      </c>
      <c r="Y791" s="135"/>
      <c r="Z791" s="135" t="s">
        <v>2858</v>
      </c>
      <c r="AA791" s="135" t="s">
        <v>3443</v>
      </c>
      <c r="AB791" s="135"/>
      <c r="AC791" s="135"/>
      <c r="AD791" s="135">
        <v>46146.0</v>
      </c>
      <c r="AE791" s="135"/>
      <c r="AF791" s="135"/>
      <c r="AG791" s="135"/>
    </row>
    <row r="792" ht="21.75" hidden="1" customHeight="1">
      <c r="A792" s="135">
        <v>788.0</v>
      </c>
      <c r="B792" s="135">
        <v>25045.0</v>
      </c>
      <c r="C792" s="135"/>
      <c r="D792" s="135">
        <v>5.0</v>
      </c>
      <c r="E792" s="135" t="s">
        <v>3438</v>
      </c>
      <c r="F792" s="135" t="s">
        <v>1916</v>
      </c>
      <c r="G792" s="135" t="s">
        <v>83</v>
      </c>
      <c r="H792" s="135" t="s">
        <v>2853</v>
      </c>
      <c r="I792" s="135" t="s">
        <v>84</v>
      </c>
      <c r="J792" s="135">
        <v>1.0</v>
      </c>
      <c r="K792" s="135"/>
      <c r="L792" s="135">
        <v>5590.0</v>
      </c>
      <c r="M792" s="135">
        <v>3600.0</v>
      </c>
      <c r="N792" s="135">
        <v>120.0</v>
      </c>
      <c r="O792" s="135">
        <v>2.743</v>
      </c>
      <c r="P792" s="136">
        <v>1.0</v>
      </c>
      <c r="Q792" s="137">
        <v>6.8575</v>
      </c>
      <c r="R792" s="136">
        <v>46114.0</v>
      </c>
      <c r="S792" s="135" t="s">
        <v>3439</v>
      </c>
      <c r="T792" s="136">
        <v>46122.0</v>
      </c>
      <c r="U792" s="135" t="s">
        <v>2855</v>
      </c>
      <c r="V792" s="135" t="s">
        <v>3266</v>
      </c>
      <c r="W792" s="135" t="s">
        <v>3446</v>
      </c>
      <c r="X792" s="135" t="s">
        <v>2872</v>
      </c>
      <c r="Y792" s="135"/>
      <c r="Z792" s="135" t="s">
        <v>2858</v>
      </c>
      <c r="AA792" s="135" t="s">
        <v>3443</v>
      </c>
      <c r="AB792" s="135"/>
      <c r="AC792" s="135"/>
      <c r="AD792" s="135">
        <v>46129.0</v>
      </c>
      <c r="AE792" s="135"/>
      <c r="AF792" s="135"/>
      <c r="AG792" s="135"/>
    </row>
    <row r="793" ht="21.75" hidden="1" customHeight="1">
      <c r="A793" s="135">
        <v>789.0</v>
      </c>
      <c r="B793" s="135">
        <v>25045.0</v>
      </c>
      <c r="C793" s="135"/>
      <c r="D793" s="135">
        <v>5.0</v>
      </c>
      <c r="E793" s="135" t="s">
        <v>3438</v>
      </c>
      <c r="F793" s="135" t="s">
        <v>1917</v>
      </c>
      <c r="G793" s="135" t="s">
        <v>83</v>
      </c>
      <c r="H793" s="135" t="s">
        <v>2853</v>
      </c>
      <c r="I793" s="135" t="s">
        <v>84</v>
      </c>
      <c r="J793" s="135">
        <v>1.0</v>
      </c>
      <c r="K793" s="135"/>
      <c r="L793" s="135">
        <v>5000.0</v>
      </c>
      <c r="M793" s="135">
        <v>2800.0</v>
      </c>
      <c r="N793" s="135">
        <v>120.0</v>
      </c>
      <c r="O793" s="135">
        <v>1.882</v>
      </c>
      <c r="P793" s="136">
        <v>0.0</v>
      </c>
      <c r="Q793" s="137">
        <v>4.705</v>
      </c>
      <c r="R793" s="136">
        <v>46114.0</v>
      </c>
      <c r="S793" s="135" t="s">
        <v>3439</v>
      </c>
      <c r="T793" s="136"/>
      <c r="U793" s="135" t="s">
        <v>2855</v>
      </c>
      <c r="V793" s="135" t="s">
        <v>2876</v>
      </c>
      <c r="W793" s="135" t="s">
        <v>3106</v>
      </c>
      <c r="X793" s="135"/>
      <c r="Y793" s="135"/>
      <c r="Z793" s="135" t="s">
        <v>2858</v>
      </c>
      <c r="AA793" s="135"/>
      <c r="AB793" s="135"/>
      <c r="AC793" s="135"/>
      <c r="AD793" s="135">
        <v>46141.0</v>
      </c>
      <c r="AE793" s="135"/>
      <c r="AF793" s="135"/>
      <c r="AG793" s="135"/>
    </row>
    <row r="794" ht="21.75" hidden="1" customHeight="1">
      <c r="A794" s="135">
        <v>790.0</v>
      </c>
      <c r="B794" s="135">
        <v>25045.0</v>
      </c>
      <c r="C794" s="135"/>
      <c r="D794" s="135">
        <v>5.0</v>
      </c>
      <c r="E794" s="135" t="s">
        <v>3438</v>
      </c>
      <c r="F794" s="135" t="s">
        <v>1918</v>
      </c>
      <c r="G794" s="135" t="s">
        <v>83</v>
      </c>
      <c r="H794" s="135" t="s">
        <v>2853</v>
      </c>
      <c r="I794" s="135" t="s">
        <v>84</v>
      </c>
      <c r="J794" s="135">
        <v>1.0</v>
      </c>
      <c r="K794" s="135" t="s">
        <v>3134</v>
      </c>
      <c r="L794" s="135">
        <v>4534.0</v>
      </c>
      <c r="M794" s="135">
        <v>2800.0</v>
      </c>
      <c r="N794" s="135">
        <v>120.0</v>
      </c>
      <c r="O794" s="135">
        <v>1.77</v>
      </c>
      <c r="P794" s="136">
        <v>0.0</v>
      </c>
      <c r="Q794" s="137">
        <v>4.425</v>
      </c>
      <c r="R794" s="136">
        <v>46114.0</v>
      </c>
      <c r="S794" s="135" t="s">
        <v>3439</v>
      </c>
      <c r="T794" s="136"/>
      <c r="U794" s="135" t="s">
        <v>2855</v>
      </c>
      <c r="V794" s="135" t="s">
        <v>2876</v>
      </c>
      <c r="W794" s="135" t="s">
        <v>3447</v>
      </c>
      <c r="X794" s="135"/>
      <c r="Y794" s="135"/>
      <c r="Z794" s="135" t="s">
        <v>2858</v>
      </c>
      <c r="AA794" s="135"/>
      <c r="AB794" s="135"/>
      <c r="AC794" s="135"/>
      <c r="AD794" s="135">
        <v>46121.0</v>
      </c>
      <c r="AE794" s="135"/>
      <c r="AF794" s="135"/>
      <c r="AG794" s="135"/>
    </row>
    <row r="795" ht="21.75" hidden="1" customHeight="1">
      <c r="A795" s="135">
        <v>791.0</v>
      </c>
      <c r="B795" s="135">
        <v>25045.0</v>
      </c>
      <c r="C795" s="135"/>
      <c r="D795" s="135">
        <v>5.0</v>
      </c>
      <c r="E795" s="135" t="s">
        <v>3438</v>
      </c>
      <c r="F795" s="135" t="s">
        <v>1919</v>
      </c>
      <c r="G795" s="135" t="s">
        <v>83</v>
      </c>
      <c r="H795" s="135" t="s">
        <v>2853</v>
      </c>
      <c r="I795" s="135" t="s">
        <v>84</v>
      </c>
      <c r="J795" s="135">
        <v>1.0</v>
      </c>
      <c r="K795" s="135" t="s">
        <v>3134</v>
      </c>
      <c r="L795" s="135">
        <v>4534.0</v>
      </c>
      <c r="M795" s="135">
        <v>2800.0</v>
      </c>
      <c r="N795" s="135">
        <v>120.0</v>
      </c>
      <c r="O795" s="135">
        <v>1.77</v>
      </c>
      <c r="P795" s="136">
        <v>0.0</v>
      </c>
      <c r="Q795" s="137">
        <v>4.425</v>
      </c>
      <c r="R795" s="136">
        <v>46114.0</v>
      </c>
      <c r="S795" s="135" t="s">
        <v>3439</v>
      </c>
      <c r="T795" s="136"/>
      <c r="U795" s="135" t="s">
        <v>2855</v>
      </c>
      <c r="V795" s="135" t="s">
        <v>2876</v>
      </c>
      <c r="W795" s="135" t="s">
        <v>3447</v>
      </c>
      <c r="X795" s="135"/>
      <c r="Y795" s="135"/>
      <c r="Z795" s="135" t="s">
        <v>2858</v>
      </c>
      <c r="AA795" s="135"/>
      <c r="AB795" s="135"/>
      <c r="AC795" s="135"/>
      <c r="AD795" s="135">
        <v>46122.0</v>
      </c>
      <c r="AE795" s="135"/>
      <c r="AF795" s="135"/>
      <c r="AG795" s="135"/>
    </row>
    <row r="796" ht="21.75" hidden="1" customHeight="1">
      <c r="A796" s="135">
        <v>792.0</v>
      </c>
      <c r="B796" s="135">
        <v>25045.0</v>
      </c>
      <c r="C796" s="135"/>
      <c r="D796" s="135">
        <v>5.0</v>
      </c>
      <c r="E796" s="135" t="s">
        <v>3438</v>
      </c>
      <c r="F796" s="135" t="s">
        <v>1920</v>
      </c>
      <c r="G796" s="135" t="s">
        <v>83</v>
      </c>
      <c r="H796" s="135" t="s">
        <v>2853</v>
      </c>
      <c r="I796" s="135" t="s">
        <v>84</v>
      </c>
      <c r="J796" s="135">
        <v>1.0</v>
      </c>
      <c r="K796" s="135" t="s">
        <v>3134</v>
      </c>
      <c r="L796" s="135">
        <v>4534.0</v>
      </c>
      <c r="M796" s="135">
        <v>2800.0</v>
      </c>
      <c r="N796" s="135">
        <v>120.0</v>
      </c>
      <c r="O796" s="135">
        <v>1.77</v>
      </c>
      <c r="P796" s="136">
        <v>0.0</v>
      </c>
      <c r="Q796" s="137">
        <v>4.425</v>
      </c>
      <c r="R796" s="136">
        <v>46114.0</v>
      </c>
      <c r="S796" s="135" t="s">
        <v>3439</v>
      </c>
      <c r="T796" s="136"/>
      <c r="U796" s="135" t="s">
        <v>2855</v>
      </c>
      <c r="V796" s="135" t="s">
        <v>2876</v>
      </c>
      <c r="W796" s="135" t="s">
        <v>3447</v>
      </c>
      <c r="X796" s="135"/>
      <c r="Y796" s="135"/>
      <c r="Z796" s="135" t="s">
        <v>2858</v>
      </c>
      <c r="AA796" s="135"/>
      <c r="AB796" s="135"/>
      <c r="AC796" s="135"/>
      <c r="AD796" s="135">
        <v>46123.0</v>
      </c>
      <c r="AE796" s="135"/>
      <c r="AF796" s="135"/>
      <c r="AG796" s="135"/>
    </row>
    <row r="797" ht="21.75" hidden="1" customHeight="1">
      <c r="A797" s="135">
        <v>793.0</v>
      </c>
      <c r="B797" s="135">
        <v>25045.0</v>
      </c>
      <c r="C797" s="135"/>
      <c r="D797" s="135">
        <v>5.0</v>
      </c>
      <c r="E797" s="135" t="s">
        <v>3438</v>
      </c>
      <c r="F797" s="135" t="s">
        <v>1921</v>
      </c>
      <c r="G797" s="135" t="s">
        <v>83</v>
      </c>
      <c r="H797" s="135" t="s">
        <v>2853</v>
      </c>
      <c r="I797" s="135" t="s">
        <v>84</v>
      </c>
      <c r="J797" s="135">
        <v>1.0</v>
      </c>
      <c r="K797" s="135"/>
      <c r="L797" s="135">
        <v>3521.0</v>
      </c>
      <c r="M797" s="135">
        <v>1540.0</v>
      </c>
      <c r="N797" s="135">
        <v>120.0</v>
      </c>
      <c r="O797" s="135">
        <v>0.735</v>
      </c>
      <c r="P797" s="136">
        <v>0.0</v>
      </c>
      <c r="Q797" s="137">
        <v>1.8375</v>
      </c>
      <c r="R797" s="136">
        <v>46114.0</v>
      </c>
      <c r="S797" s="135" t="s">
        <v>3439</v>
      </c>
      <c r="T797" s="136"/>
      <c r="U797" s="135" t="s">
        <v>2864</v>
      </c>
      <c r="V797" s="135" t="s">
        <v>3007</v>
      </c>
      <c r="W797" s="135" t="s">
        <v>3448</v>
      </c>
      <c r="X797" s="135"/>
      <c r="Y797" s="135"/>
      <c r="Z797" s="135" t="s">
        <v>2858</v>
      </c>
      <c r="AA797" s="135"/>
      <c r="AB797" s="135"/>
      <c r="AC797" s="135"/>
      <c r="AD797" s="135">
        <v>46123.0</v>
      </c>
      <c r="AE797" s="135"/>
      <c r="AF797" s="135"/>
      <c r="AG797" s="135"/>
    </row>
    <row r="798" ht="21.75" hidden="1" customHeight="1">
      <c r="A798" s="135">
        <v>794.0</v>
      </c>
      <c r="B798" s="135">
        <v>25045.0</v>
      </c>
      <c r="C798" s="135"/>
      <c r="D798" s="135">
        <v>5.0</v>
      </c>
      <c r="E798" s="135" t="s">
        <v>3438</v>
      </c>
      <c r="F798" s="135" t="s">
        <v>1922</v>
      </c>
      <c r="G798" s="135" t="s">
        <v>83</v>
      </c>
      <c r="H798" s="135" t="s">
        <v>2853</v>
      </c>
      <c r="I798" s="135" t="s">
        <v>84</v>
      </c>
      <c r="J798" s="135">
        <v>1.0</v>
      </c>
      <c r="K798" s="135"/>
      <c r="L798" s="135">
        <v>3524.0</v>
      </c>
      <c r="M798" s="135">
        <v>1540.0</v>
      </c>
      <c r="N798" s="135">
        <v>120.0</v>
      </c>
      <c r="O798" s="135">
        <v>0.682</v>
      </c>
      <c r="P798" s="136">
        <v>0.0</v>
      </c>
      <c r="Q798" s="137">
        <v>1.705</v>
      </c>
      <c r="R798" s="136">
        <v>46114.0</v>
      </c>
      <c r="S798" s="135" t="s">
        <v>3439</v>
      </c>
      <c r="T798" s="136"/>
      <c r="U798" s="135" t="s">
        <v>2864</v>
      </c>
      <c r="V798" s="135" t="s">
        <v>3007</v>
      </c>
      <c r="W798" s="135" t="s">
        <v>3449</v>
      </c>
      <c r="X798" s="135"/>
      <c r="Y798" s="135"/>
      <c r="Z798" s="135" t="s">
        <v>2858</v>
      </c>
      <c r="AA798" s="135"/>
      <c r="AB798" s="135"/>
      <c r="AC798" s="135"/>
      <c r="AD798" s="135">
        <v>46125.0</v>
      </c>
      <c r="AE798" s="135"/>
      <c r="AF798" s="135"/>
      <c r="AG798" s="135"/>
    </row>
    <row r="799" ht="21.75" hidden="1" customHeight="1">
      <c r="A799" s="135">
        <v>795.0</v>
      </c>
      <c r="B799" s="135">
        <v>25045.0</v>
      </c>
      <c r="C799" s="135"/>
      <c r="D799" s="135">
        <v>5.0</v>
      </c>
      <c r="E799" s="135" t="s">
        <v>3438</v>
      </c>
      <c r="F799" s="135" t="s">
        <v>1923</v>
      </c>
      <c r="G799" s="135" t="s">
        <v>83</v>
      </c>
      <c r="H799" s="135" t="s">
        <v>2853</v>
      </c>
      <c r="I799" s="135" t="s">
        <v>84</v>
      </c>
      <c r="J799" s="135">
        <v>1.0</v>
      </c>
      <c r="K799" s="135"/>
      <c r="L799" s="135">
        <v>1635.0</v>
      </c>
      <c r="M799" s="135">
        <v>1340.0</v>
      </c>
      <c r="N799" s="135">
        <v>120.0</v>
      </c>
      <c r="O799" s="135">
        <v>0.354</v>
      </c>
      <c r="P799" s="136">
        <v>0.0</v>
      </c>
      <c r="Q799" s="137">
        <v>0.885</v>
      </c>
      <c r="R799" s="136">
        <v>46114.0</v>
      </c>
      <c r="S799" s="135" t="s">
        <v>3439</v>
      </c>
      <c r="T799" s="136"/>
      <c r="U799" s="135" t="s">
        <v>2864</v>
      </c>
      <c r="V799" s="135" t="s">
        <v>2953</v>
      </c>
      <c r="W799" s="135" t="s">
        <v>3450</v>
      </c>
      <c r="X799" s="135"/>
      <c r="Y799" s="135"/>
      <c r="Z799" s="135" t="s">
        <v>2858</v>
      </c>
      <c r="AA799" s="135"/>
      <c r="AB799" s="135"/>
      <c r="AC799" s="135"/>
      <c r="AD799" s="135">
        <v>46128.0</v>
      </c>
      <c r="AE799" s="135"/>
      <c r="AF799" s="135"/>
      <c r="AG799" s="135"/>
    </row>
    <row r="800" ht="21.75" hidden="1" customHeight="1">
      <c r="A800" s="135">
        <v>796.0</v>
      </c>
      <c r="B800" s="135">
        <v>25045.0</v>
      </c>
      <c r="C800" s="135"/>
      <c r="D800" s="135">
        <v>5.0</v>
      </c>
      <c r="E800" s="135" t="s">
        <v>3438</v>
      </c>
      <c r="F800" s="135" t="s">
        <v>1924</v>
      </c>
      <c r="G800" s="135" t="s">
        <v>83</v>
      </c>
      <c r="H800" s="135" t="s">
        <v>2853</v>
      </c>
      <c r="I800" s="135" t="s">
        <v>84</v>
      </c>
      <c r="J800" s="135">
        <v>1.0</v>
      </c>
      <c r="K800" s="135"/>
      <c r="L800" s="135">
        <v>4940.0</v>
      </c>
      <c r="M800" s="135">
        <v>1000.0</v>
      </c>
      <c r="N800" s="135">
        <v>120.0</v>
      </c>
      <c r="O800" s="135">
        <v>0.876</v>
      </c>
      <c r="P800" s="136">
        <v>0.0</v>
      </c>
      <c r="Q800" s="137">
        <v>2.19</v>
      </c>
      <c r="R800" s="136">
        <v>46114.0</v>
      </c>
      <c r="S800" s="135" t="s">
        <v>3439</v>
      </c>
      <c r="T800" s="136"/>
      <c r="U800" s="135" t="s">
        <v>2950</v>
      </c>
      <c r="V800" s="135" t="s">
        <v>2980</v>
      </c>
      <c r="W800" s="135" t="s">
        <v>3451</v>
      </c>
      <c r="X800" s="135"/>
      <c r="Y800" s="135"/>
      <c r="Z800" s="135" t="s">
        <v>2858</v>
      </c>
      <c r="AA800" s="135"/>
      <c r="AB800" s="135"/>
      <c r="AC800" s="135"/>
      <c r="AD800" s="135">
        <v>46139.0</v>
      </c>
      <c r="AE800" s="135"/>
      <c r="AF800" s="135"/>
      <c r="AG800" s="135"/>
    </row>
    <row r="801" ht="21.75" hidden="1" customHeight="1">
      <c r="A801" s="135">
        <v>797.0</v>
      </c>
      <c r="B801" s="135">
        <v>25045.0</v>
      </c>
      <c r="C801" s="135"/>
      <c r="D801" s="135">
        <v>5.0</v>
      </c>
      <c r="E801" s="135" t="s">
        <v>3438</v>
      </c>
      <c r="F801" s="135" t="s">
        <v>1925</v>
      </c>
      <c r="G801" s="135" t="s">
        <v>83</v>
      </c>
      <c r="H801" s="135" t="s">
        <v>2965</v>
      </c>
      <c r="I801" s="135" t="s">
        <v>84</v>
      </c>
      <c r="J801" s="135">
        <v>1.0</v>
      </c>
      <c r="K801" s="135"/>
      <c r="L801" s="135">
        <v>400.0</v>
      </c>
      <c r="M801" s="135">
        <v>2960.0</v>
      </c>
      <c r="N801" s="135">
        <v>350.0</v>
      </c>
      <c r="O801" s="135">
        <v>0.479</v>
      </c>
      <c r="P801" s="136">
        <v>0.0</v>
      </c>
      <c r="Q801" s="137">
        <v>1.1975</v>
      </c>
      <c r="R801" s="136">
        <v>46114.0</v>
      </c>
      <c r="S801" s="135" t="s">
        <v>3439</v>
      </c>
      <c r="T801" s="136"/>
      <c r="U801" s="135" t="s">
        <v>2966</v>
      </c>
      <c r="V801" s="135" t="s">
        <v>2967</v>
      </c>
      <c r="W801" s="135"/>
      <c r="X801" s="135" t="s">
        <v>2968</v>
      </c>
      <c r="Y801" s="135"/>
      <c r="Z801" s="135" t="s">
        <v>2858</v>
      </c>
      <c r="AA801" s="135"/>
      <c r="AB801" s="135"/>
      <c r="AC801" s="135"/>
      <c r="AD801" s="135">
        <v>46151.0</v>
      </c>
      <c r="AE801" s="135"/>
      <c r="AF801" s="135"/>
      <c r="AG801" s="135"/>
    </row>
    <row r="802" ht="21.75" hidden="1" customHeight="1">
      <c r="A802" s="135">
        <v>798.0</v>
      </c>
      <c r="B802" s="135">
        <v>25045.0</v>
      </c>
      <c r="C802" s="135" t="s">
        <v>2817</v>
      </c>
      <c r="D802" s="135">
        <v>5.0</v>
      </c>
      <c r="E802" s="135" t="s">
        <v>3452</v>
      </c>
      <c r="F802" s="135" t="s">
        <v>1927</v>
      </c>
      <c r="G802" s="135" t="s">
        <v>83</v>
      </c>
      <c r="H802" s="135" t="s">
        <v>2853</v>
      </c>
      <c r="I802" s="135" t="s">
        <v>85</v>
      </c>
      <c r="J802" s="135">
        <v>1.0</v>
      </c>
      <c r="K802" s="135" t="s">
        <v>3134</v>
      </c>
      <c r="L802" s="135">
        <v>5687.0</v>
      </c>
      <c r="M802" s="135">
        <v>1350.0</v>
      </c>
      <c r="N802" s="135">
        <v>120.0</v>
      </c>
      <c r="O802" s="135">
        <v>0.973</v>
      </c>
      <c r="P802" s="136">
        <v>0.0</v>
      </c>
      <c r="Q802" s="137">
        <v>2.4325</v>
      </c>
      <c r="R802" s="136">
        <v>46114.0</v>
      </c>
      <c r="S802" s="135" t="s">
        <v>3439</v>
      </c>
      <c r="T802" s="136"/>
      <c r="U802" s="135" t="s">
        <v>2855</v>
      </c>
      <c r="V802" s="135" t="s">
        <v>2856</v>
      </c>
      <c r="W802" s="135" t="s">
        <v>3453</v>
      </c>
      <c r="X802" s="135"/>
      <c r="Y802" s="135"/>
      <c r="Z802" s="135" t="s">
        <v>2858</v>
      </c>
      <c r="AA802" s="135"/>
      <c r="AB802" s="135"/>
      <c r="AC802" s="135"/>
      <c r="AD802" s="135">
        <v>46120.0</v>
      </c>
      <c r="AE802" s="135"/>
      <c r="AF802" s="135"/>
      <c r="AG802" s="135"/>
    </row>
    <row r="803" ht="21.75" hidden="1" customHeight="1">
      <c r="A803" s="135">
        <v>799.0</v>
      </c>
      <c r="B803" s="135">
        <v>25045.0</v>
      </c>
      <c r="C803" s="135" t="s">
        <v>2817</v>
      </c>
      <c r="D803" s="135">
        <v>5.0</v>
      </c>
      <c r="E803" s="135" t="s">
        <v>3454</v>
      </c>
      <c r="F803" s="135" t="s">
        <v>1943</v>
      </c>
      <c r="G803" s="135" t="s">
        <v>83</v>
      </c>
      <c r="H803" s="135" t="s">
        <v>2853</v>
      </c>
      <c r="I803" s="135" t="s">
        <v>86</v>
      </c>
      <c r="J803" s="135">
        <v>1.0</v>
      </c>
      <c r="K803" s="135" t="s">
        <v>3134</v>
      </c>
      <c r="L803" s="135">
        <v>5687.0</v>
      </c>
      <c r="M803" s="135">
        <v>1350.0</v>
      </c>
      <c r="N803" s="135">
        <v>120.0</v>
      </c>
      <c r="O803" s="135">
        <v>0.973</v>
      </c>
      <c r="P803" s="136">
        <v>0.0</v>
      </c>
      <c r="Q803" s="137">
        <v>2.4325</v>
      </c>
      <c r="R803" s="136">
        <v>46114.0</v>
      </c>
      <c r="S803" s="135" t="s">
        <v>3439</v>
      </c>
      <c r="T803" s="136"/>
      <c r="U803" s="135" t="s">
        <v>2855</v>
      </c>
      <c r="V803" s="135" t="s">
        <v>2856</v>
      </c>
      <c r="W803" s="135" t="s">
        <v>3453</v>
      </c>
      <c r="X803" s="135"/>
      <c r="Y803" s="135"/>
      <c r="Z803" s="135" t="s">
        <v>2858</v>
      </c>
      <c r="AA803" s="135"/>
      <c r="AB803" s="135"/>
      <c r="AC803" s="135"/>
      <c r="AD803" s="135">
        <v>46121.0</v>
      </c>
      <c r="AE803" s="135"/>
      <c r="AF803" s="135"/>
      <c r="AG803" s="135"/>
    </row>
    <row r="804" ht="21.75" hidden="1" customHeight="1">
      <c r="A804" s="135">
        <v>800.0</v>
      </c>
      <c r="B804" s="135">
        <v>25045.0</v>
      </c>
      <c r="C804" s="135" t="s">
        <v>2817</v>
      </c>
      <c r="D804" s="135">
        <v>5.0</v>
      </c>
      <c r="E804" s="135" t="s">
        <v>3455</v>
      </c>
      <c r="F804" s="135" t="s">
        <v>1959</v>
      </c>
      <c r="G804" s="135" t="s">
        <v>83</v>
      </c>
      <c r="H804" s="135" t="s">
        <v>2853</v>
      </c>
      <c r="I804" s="135" t="s">
        <v>87</v>
      </c>
      <c r="J804" s="135">
        <v>1.0</v>
      </c>
      <c r="K804" s="135" t="s">
        <v>3134</v>
      </c>
      <c r="L804" s="135">
        <v>5687.0</v>
      </c>
      <c r="M804" s="135">
        <v>1350.0</v>
      </c>
      <c r="N804" s="135">
        <v>120.0</v>
      </c>
      <c r="O804" s="135">
        <v>0.973</v>
      </c>
      <c r="P804" s="136">
        <v>0.0</v>
      </c>
      <c r="Q804" s="137">
        <v>2.4325</v>
      </c>
      <c r="R804" s="136">
        <v>46114.0</v>
      </c>
      <c r="S804" s="135" t="s">
        <v>3439</v>
      </c>
      <c r="T804" s="136"/>
      <c r="U804" s="135" t="s">
        <v>2855</v>
      </c>
      <c r="V804" s="135" t="s">
        <v>2856</v>
      </c>
      <c r="W804" s="135" t="s">
        <v>3453</v>
      </c>
      <c r="X804" s="135"/>
      <c r="Y804" s="135"/>
      <c r="Z804" s="135" t="s">
        <v>2858</v>
      </c>
      <c r="AA804" s="135"/>
      <c r="AB804" s="135"/>
      <c r="AC804" s="135"/>
      <c r="AD804" s="135">
        <v>46122.0</v>
      </c>
      <c r="AE804" s="135"/>
      <c r="AF804" s="135"/>
      <c r="AG804" s="135"/>
    </row>
    <row r="805" ht="21.75" hidden="1" customHeight="1">
      <c r="A805" s="135">
        <v>801.0</v>
      </c>
      <c r="B805" s="135">
        <v>25045.0</v>
      </c>
      <c r="C805" s="135" t="s">
        <v>2817</v>
      </c>
      <c r="D805" s="135">
        <v>5.0</v>
      </c>
      <c r="E805" s="135" t="s">
        <v>3452</v>
      </c>
      <c r="F805" s="135" t="s">
        <v>1928</v>
      </c>
      <c r="G805" s="135" t="s">
        <v>83</v>
      </c>
      <c r="H805" s="135" t="s">
        <v>2853</v>
      </c>
      <c r="I805" s="135" t="s">
        <v>85</v>
      </c>
      <c r="J805" s="135">
        <v>1.0</v>
      </c>
      <c r="K805" s="135" t="s">
        <v>3134</v>
      </c>
      <c r="L805" s="135">
        <v>5687.0</v>
      </c>
      <c r="M805" s="135">
        <v>2850.0</v>
      </c>
      <c r="N805" s="135">
        <v>120.0</v>
      </c>
      <c r="O805" s="135">
        <v>1.044</v>
      </c>
      <c r="P805" s="136">
        <v>0.0</v>
      </c>
      <c r="Q805" s="137">
        <v>2.6100000000000003</v>
      </c>
      <c r="R805" s="136">
        <v>46114.0</v>
      </c>
      <c r="S805" s="135" t="s">
        <v>3439</v>
      </c>
      <c r="T805" s="136"/>
      <c r="U805" s="135" t="s">
        <v>2855</v>
      </c>
      <c r="V805" s="135" t="s">
        <v>2856</v>
      </c>
      <c r="W805" s="135" t="s">
        <v>3425</v>
      </c>
      <c r="X805" s="135" t="s">
        <v>3426</v>
      </c>
      <c r="Y805" s="135"/>
      <c r="Z805" s="135" t="s">
        <v>2858</v>
      </c>
      <c r="AA805" s="135"/>
      <c r="AB805" s="135"/>
      <c r="AC805" s="135"/>
      <c r="AD805" s="135">
        <v>0.0</v>
      </c>
      <c r="AE805" s="135"/>
      <c r="AF805" s="135"/>
      <c r="AG805" s="135"/>
    </row>
    <row r="806" ht="21.75" hidden="1" customHeight="1">
      <c r="A806" s="135">
        <v>802.0</v>
      </c>
      <c r="B806" s="135">
        <v>25045.0</v>
      </c>
      <c r="C806" s="135" t="s">
        <v>2817</v>
      </c>
      <c r="D806" s="135">
        <v>5.0</v>
      </c>
      <c r="E806" s="135" t="s">
        <v>3454</v>
      </c>
      <c r="F806" s="135" t="s">
        <v>1944</v>
      </c>
      <c r="G806" s="135" t="s">
        <v>83</v>
      </c>
      <c r="H806" s="135" t="s">
        <v>2853</v>
      </c>
      <c r="I806" s="135" t="s">
        <v>86</v>
      </c>
      <c r="J806" s="135">
        <v>1.0</v>
      </c>
      <c r="K806" s="135" t="s">
        <v>3134</v>
      </c>
      <c r="L806" s="135">
        <v>5687.0</v>
      </c>
      <c r="M806" s="135">
        <v>2850.0</v>
      </c>
      <c r="N806" s="135">
        <v>120.0</v>
      </c>
      <c r="O806" s="135">
        <v>1.044</v>
      </c>
      <c r="P806" s="136">
        <v>0.0</v>
      </c>
      <c r="Q806" s="137">
        <v>2.6100000000000003</v>
      </c>
      <c r="R806" s="136">
        <v>46114.0</v>
      </c>
      <c r="S806" s="135" t="s">
        <v>3439</v>
      </c>
      <c r="T806" s="136"/>
      <c r="U806" s="135" t="s">
        <v>2855</v>
      </c>
      <c r="V806" s="135" t="s">
        <v>2856</v>
      </c>
      <c r="W806" s="135" t="s">
        <v>3425</v>
      </c>
      <c r="X806" s="135" t="s">
        <v>3426</v>
      </c>
      <c r="Y806" s="135"/>
      <c r="Z806" s="135" t="s">
        <v>2858</v>
      </c>
      <c r="AA806" s="135"/>
      <c r="AB806" s="135"/>
      <c r="AC806" s="135"/>
      <c r="AD806" s="135">
        <v>0.0</v>
      </c>
      <c r="AE806" s="135"/>
      <c r="AF806" s="135"/>
      <c r="AG806" s="135"/>
    </row>
    <row r="807" ht="21.75" hidden="1" customHeight="1">
      <c r="A807" s="135">
        <v>803.0</v>
      </c>
      <c r="B807" s="135">
        <v>25045.0</v>
      </c>
      <c r="C807" s="135" t="s">
        <v>2817</v>
      </c>
      <c r="D807" s="135">
        <v>5.0</v>
      </c>
      <c r="E807" s="135" t="s">
        <v>3455</v>
      </c>
      <c r="F807" s="135" t="s">
        <v>1960</v>
      </c>
      <c r="G807" s="135" t="s">
        <v>83</v>
      </c>
      <c r="H807" s="135" t="s">
        <v>2853</v>
      </c>
      <c r="I807" s="135" t="s">
        <v>87</v>
      </c>
      <c r="J807" s="135">
        <v>1.0</v>
      </c>
      <c r="K807" s="135" t="s">
        <v>3134</v>
      </c>
      <c r="L807" s="135">
        <v>5687.0</v>
      </c>
      <c r="M807" s="135">
        <v>2850.0</v>
      </c>
      <c r="N807" s="135">
        <v>120.0</v>
      </c>
      <c r="O807" s="135">
        <v>1.044</v>
      </c>
      <c r="P807" s="136">
        <v>0.0</v>
      </c>
      <c r="Q807" s="137">
        <v>2.6100000000000003</v>
      </c>
      <c r="R807" s="136">
        <v>46114.0</v>
      </c>
      <c r="S807" s="135" t="s">
        <v>3439</v>
      </c>
      <c r="T807" s="136"/>
      <c r="U807" s="135" t="s">
        <v>2855</v>
      </c>
      <c r="V807" s="135" t="s">
        <v>2856</v>
      </c>
      <c r="W807" s="135" t="s">
        <v>3425</v>
      </c>
      <c r="X807" s="135" t="s">
        <v>3426</v>
      </c>
      <c r="Y807" s="135"/>
      <c r="Z807" s="135" t="s">
        <v>2858</v>
      </c>
      <c r="AA807" s="135"/>
      <c r="AB807" s="135"/>
      <c r="AC807" s="135"/>
      <c r="AD807" s="135">
        <v>0.0</v>
      </c>
      <c r="AE807" s="135"/>
      <c r="AF807" s="135"/>
      <c r="AG807" s="135"/>
    </row>
    <row r="808" ht="21.75" hidden="1" customHeight="1">
      <c r="A808" s="135">
        <v>804.0</v>
      </c>
      <c r="B808" s="135">
        <v>25045.0</v>
      </c>
      <c r="C808" s="135" t="s">
        <v>2817</v>
      </c>
      <c r="D808" s="135">
        <v>5.0</v>
      </c>
      <c r="E808" s="135" t="s">
        <v>3452</v>
      </c>
      <c r="F808" s="135" t="s">
        <v>1929</v>
      </c>
      <c r="G808" s="135" t="s">
        <v>83</v>
      </c>
      <c r="H808" s="135" t="s">
        <v>2853</v>
      </c>
      <c r="I808" s="135" t="s">
        <v>85</v>
      </c>
      <c r="J808" s="135">
        <v>1.0</v>
      </c>
      <c r="K808" s="135"/>
      <c r="L808" s="135">
        <v>2595.0</v>
      </c>
      <c r="M808" s="135">
        <v>2850.0</v>
      </c>
      <c r="N808" s="135">
        <v>120.0</v>
      </c>
      <c r="O808" s="135">
        <v>0.915</v>
      </c>
      <c r="P808" s="136">
        <v>0.0</v>
      </c>
      <c r="Q808" s="137">
        <v>2.2875</v>
      </c>
      <c r="R808" s="136">
        <v>46114.0</v>
      </c>
      <c r="S808" s="135" t="s">
        <v>3439</v>
      </c>
      <c r="T808" s="136"/>
      <c r="U808" s="135" t="s">
        <v>2864</v>
      </c>
      <c r="V808" s="135" t="s">
        <v>2878</v>
      </c>
      <c r="W808" s="135" t="s">
        <v>2962</v>
      </c>
      <c r="X808" s="135" t="s">
        <v>3456</v>
      </c>
      <c r="Y808" s="135"/>
      <c r="Z808" s="135" t="s">
        <v>2858</v>
      </c>
      <c r="AA808" s="135"/>
      <c r="AB808" s="135"/>
      <c r="AC808" s="135"/>
      <c r="AD808" s="135">
        <v>46130.0</v>
      </c>
      <c r="AE808" s="135"/>
      <c r="AF808" s="135"/>
      <c r="AG808" s="135"/>
    </row>
    <row r="809" ht="21.75" hidden="1" customHeight="1">
      <c r="A809" s="135">
        <v>805.0</v>
      </c>
      <c r="B809" s="135">
        <v>25045.0</v>
      </c>
      <c r="C809" s="135"/>
      <c r="D809" s="135">
        <v>5.0</v>
      </c>
      <c r="E809" s="135" t="s">
        <v>3452</v>
      </c>
      <c r="F809" s="135" t="s">
        <v>1930</v>
      </c>
      <c r="G809" s="135" t="s">
        <v>83</v>
      </c>
      <c r="H809" s="135" t="s">
        <v>2853</v>
      </c>
      <c r="I809" s="135" t="s">
        <v>85</v>
      </c>
      <c r="J809" s="135">
        <v>1.0</v>
      </c>
      <c r="K809" s="135"/>
      <c r="L809" s="135">
        <v>3863.0</v>
      </c>
      <c r="M809" s="135">
        <v>2900.0</v>
      </c>
      <c r="N809" s="135">
        <v>120.0</v>
      </c>
      <c r="O809" s="135">
        <v>1.503</v>
      </c>
      <c r="P809" s="136">
        <v>0.0</v>
      </c>
      <c r="Q809" s="137">
        <v>3.7575</v>
      </c>
      <c r="R809" s="136">
        <v>46114.0</v>
      </c>
      <c r="S809" s="135" t="s">
        <v>3439</v>
      </c>
      <c r="T809" s="136"/>
      <c r="U809" s="135" t="s">
        <v>2864</v>
      </c>
      <c r="V809" s="135" t="s">
        <v>3100</v>
      </c>
      <c r="W809" s="135" t="s">
        <v>3457</v>
      </c>
      <c r="X809" s="135"/>
      <c r="Y809" s="135"/>
      <c r="Z809" s="135" t="s">
        <v>2858</v>
      </c>
      <c r="AA809" s="135"/>
      <c r="AB809" s="135"/>
      <c r="AC809" s="135"/>
      <c r="AD809" s="135">
        <v>46118.0</v>
      </c>
      <c r="AE809" s="135"/>
      <c r="AF809" s="135"/>
      <c r="AG809" s="135"/>
    </row>
    <row r="810" ht="21.75" hidden="1" customHeight="1">
      <c r="A810" s="135">
        <v>806.0</v>
      </c>
      <c r="B810" s="135">
        <v>25045.0</v>
      </c>
      <c r="C810" s="135"/>
      <c r="D810" s="135">
        <v>5.0</v>
      </c>
      <c r="E810" s="135" t="s">
        <v>3452</v>
      </c>
      <c r="F810" s="135" t="s">
        <v>1931</v>
      </c>
      <c r="G810" s="135" t="s">
        <v>83</v>
      </c>
      <c r="H810" s="135" t="s">
        <v>2853</v>
      </c>
      <c r="I810" s="135" t="s">
        <v>85</v>
      </c>
      <c r="J810" s="135">
        <v>1.0</v>
      </c>
      <c r="K810" s="135" t="s">
        <v>3134</v>
      </c>
      <c r="L810" s="135">
        <v>4534.0</v>
      </c>
      <c r="M810" s="135">
        <v>2900.0</v>
      </c>
      <c r="N810" s="135">
        <v>120.0</v>
      </c>
      <c r="O810" s="135">
        <v>1.824</v>
      </c>
      <c r="P810" s="136">
        <v>0.0</v>
      </c>
      <c r="Q810" s="137">
        <v>4.5600000000000005</v>
      </c>
      <c r="R810" s="136">
        <v>46114.0</v>
      </c>
      <c r="S810" s="135" t="s">
        <v>3439</v>
      </c>
      <c r="T810" s="136"/>
      <c r="U810" s="135" t="s">
        <v>2855</v>
      </c>
      <c r="V810" s="135" t="s">
        <v>2876</v>
      </c>
      <c r="W810" s="135" t="s">
        <v>3447</v>
      </c>
      <c r="X810" s="135"/>
      <c r="Y810" s="135"/>
      <c r="Z810" s="135" t="s">
        <v>2858</v>
      </c>
      <c r="AA810" s="135"/>
      <c r="AB810" s="135"/>
      <c r="AC810" s="135"/>
      <c r="AD810" s="135">
        <v>46133.0</v>
      </c>
      <c r="AE810" s="135"/>
      <c r="AF810" s="135"/>
      <c r="AG810" s="135"/>
    </row>
    <row r="811" ht="21.75" hidden="1" customHeight="1">
      <c r="A811" s="135">
        <v>807.0</v>
      </c>
      <c r="B811" s="135">
        <v>25045.0</v>
      </c>
      <c r="C811" s="135"/>
      <c r="D811" s="135">
        <v>5.0</v>
      </c>
      <c r="E811" s="135" t="s">
        <v>3452</v>
      </c>
      <c r="F811" s="135" t="s">
        <v>1932</v>
      </c>
      <c r="G811" s="135" t="s">
        <v>83</v>
      </c>
      <c r="H811" s="135" t="s">
        <v>2853</v>
      </c>
      <c r="I811" s="135" t="s">
        <v>85</v>
      </c>
      <c r="J811" s="135">
        <v>1.0</v>
      </c>
      <c r="K811" s="135" t="s">
        <v>3134</v>
      </c>
      <c r="L811" s="135">
        <v>4534.0</v>
      </c>
      <c r="M811" s="135">
        <v>2900.0</v>
      </c>
      <c r="N811" s="135">
        <v>120.0</v>
      </c>
      <c r="O811" s="135">
        <v>1.824</v>
      </c>
      <c r="P811" s="136">
        <v>0.0</v>
      </c>
      <c r="Q811" s="137">
        <v>4.5600000000000005</v>
      </c>
      <c r="R811" s="136">
        <v>46114.0</v>
      </c>
      <c r="S811" s="135" t="s">
        <v>3439</v>
      </c>
      <c r="T811" s="136"/>
      <c r="U811" s="135" t="s">
        <v>2855</v>
      </c>
      <c r="V811" s="135" t="s">
        <v>2876</v>
      </c>
      <c r="W811" s="135" t="s">
        <v>3447</v>
      </c>
      <c r="X811" s="135"/>
      <c r="Y811" s="135"/>
      <c r="Z811" s="135" t="s">
        <v>2858</v>
      </c>
      <c r="AA811" s="135"/>
      <c r="AB811" s="135"/>
      <c r="AC811" s="135"/>
      <c r="AD811" s="135">
        <v>46122.0</v>
      </c>
      <c r="AE811" s="135"/>
      <c r="AF811" s="135"/>
      <c r="AG811" s="135"/>
    </row>
    <row r="812" ht="21.75" hidden="1" customHeight="1">
      <c r="A812" s="135">
        <v>808.0</v>
      </c>
      <c r="B812" s="135">
        <v>25045.0</v>
      </c>
      <c r="C812" s="135"/>
      <c r="D812" s="135">
        <v>5.0</v>
      </c>
      <c r="E812" s="135" t="s">
        <v>3452</v>
      </c>
      <c r="F812" s="135" t="s">
        <v>1933</v>
      </c>
      <c r="G812" s="135" t="s">
        <v>83</v>
      </c>
      <c r="H812" s="135" t="s">
        <v>2853</v>
      </c>
      <c r="I812" s="135" t="s">
        <v>85</v>
      </c>
      <c r="J812" s="135">
        <v>1.0</v>
      </c>
      <c r="K812" s="135" t="s">
        <v>3134</v>
      </c>
      <c r="L812" s="135">
        <v>4534.0</v>
      </c>
      <c r="M812" s="135">
        <v>2900.0</v>
      </c>
      <c r="N812" s="135">
        <v>120.0</v>
      </c>
      <c r="O812" s="135">
        <v>1.824</v>
      </c>
      <c r="P812" s="136">
        <v>0.0</v>
      </c>
      <c r="Q812" s="137">
        <v>4.5600000000000005</v>
      </c>
      <c r="R812" s="136">
        <v>46114.0</v>
      </c>
      <c r="S812" s="135" t="s">
        <v>3439</v>
      </c>
      <c r="T812" s="136"/>
      <c r="U812" s="135" t="s">
        <v>2855</v>
      </c>
      <c r="V812" s="135" t="s">
        <v>2876</v>
      </c>
      <c r="W812" s="135" t="s">
        <v>3447</v>
      </c>
      <c r="X812" s="135"/>
      <c r="Y812" s="135"/>
      <c r="Z812" s="135" t="s">
        <v>2858</v>
      </c>
      <c r="AA812" s="135"/>
      <c r="AB812" s="135"/>
      <c r="AC812" s="135"/>
      <c r="AD812" s="135">
        <v>46125.0</v>
      </c>
      <c r="AE812" s="135"/>
      <c r="AF812" s="135"/>
      <c r="AG812" s="135"/>
    </row>
    <row r="813" ht="21.75" hidden="1" customHeight="1">
      <c r="A813" s="135">
        <v>809.0</v>
      </c>
      <c r="B813" s="135">
        <v>25045.0</v>
      </c>
      <c r="C813" s="135"/>
      <c r="D813" s="135">
        <v>5.0</v>
      </c>
      <c r="E813" s="135" t="s">
        <v>3452</v>
      </c>
      <c r="F813" s="135" t="s">
        <v>1934</v>
      </c>
      <c r="G813" s="135" t="s">
        <v>83</v>
      </c>
      <c r="H813" s="135" t="s">
        <v>2853</v>
      </c>
      <c r="I813" s="135" t="s">
        <v>85</v>
      </c>
      <c r="J813" s="135">
        <v>1.0</v>
      </c>
      <c r="K813" s="135"/>
      <c r="L813" s="135">
        <v>4534.0</v>
      </c>
      <c r="M813" s="135">
        <v>2900.0</v>
      </c>
      <c r="N813" s="135">
        <v>120.0</v>
      </c>
      <c r="O813" s="135">
        <v>1.522</v>
      </c>
      <c r="P813" s="136">
        <v>0.0</v>
      </c>
      <c r="Q813" s="137">
        <v>3.805</v>
      </c>
      <c r="R813" s="136">
        <v>46114.0</v>
      </c>
      <c r="S813" s="135" t="s">
        <v>3439</v>
      </c>
      <c r="T813" s="136"/>
      <c r="U813" s="135" t="s">
        <v>2864</v>
      </c>
      <c r="V813" s="135" t="s">
        <v>2985</v>
      </c>
      <c r="W813" s="135" t="s">
        <v>3458</v>
      </c>
      <c r="X813" s="135" t="s">
        <v>2892</v>
      </c>
      <c r="Y813" s="135"/>
      <c r="Z813" s="135" t="s">
        <v>2858</v>
      </c>
      <c r="AA813" s="135"/>
      <c r="AB813" s="135"/>
      <c r="AC813" s="135"/>
      <c r="AD813" s="135">
        <v>46142.0</v>
      </c>
      <c r="AE813" s="135"/>
      <c r="AF813" s="135"/>
      <c r="AG813" s="135"/>
    </row>
    <row r="814" ht="21.75" hidden="1" customHeight="1">
      <c r="A814" s="135">
        <v>810.0</v>
      </c>
      <c r="B814" s="135">
        <v>25045.0</v>
      </c>
      <c r="C814" s="135"/>
      <c r="D814" s="135">
        <v>5.0</v>
      </c>
      <c r="E814" s="135" t="s">
        <v>3452</v>
      </c>
      <c r="F814" s="135" t="s">
        <v>1935</v>
      </c>
      <c r="G814" s="135" t="s">
        <v>83</v>
      </c>
      <c r="H814" s="135" t="s">
        <v>2853</v>
      </c>
      <c r="I814" s="135" t="s">
        <v>85</v>
      </c>
      <c r="J814" s="135">
        <v>1.0</v>
      </c>
      <c r="K814" s="135"/>
      <c r="L814" s="135">
        <v>4534.0</v>
      </c>
      <c r="M814" s="135">
        <v>2800.0</v>
      </c>
      <c r="N814" s="135">
        <v>120.0</v>
      </c>
      <c r="O814" s="135">
        <v>1.484</v>
      </c>
      <c r="P814" s="136">
        <v>0.0</v>
      </c>
      <c r="Q814" s="137">
        <v>3.71</v>
      </c>
      <c r="R814" s="136">
        <v>46114.0</v>
      </c>
      <c r="S814" s="135" t="s">
        <v>3439</v>
      </c>
      <c r="T814" s="136"/>
      <c r="U814" s="135" t="s">
        <v>2864</v>
      </c>
      <c r="V814" s="135" t="s">
        <v>2985</v>
      </c>
      <c r="W814" s="135" t="s">
        <v>3459</v>
      </c>
      <c r="X814" s="135" t="s">
        <v>2895</v>
      </c>
      <c r="Y814" s="135"/>
      <c r="Z814" s="135" t="s">
        <v>2858</v>
      </c>
      <c r="AA814" s="135"/>
      <c r="AB814" s="135"/>
      <c r="AC814" s="135"/>
      <c r="AD814" s="135">
        <v>46141.0</v>
      </c>
      <c r="AE814" s="135"/>
      <c r="AF814" s="135"/>
      <c r="AG814" s="135"/>
    </row>
    <row r="815" ht="21.75" hidden="1" customHeight="1">
      <c r="A815" s="135">
        <v>811.0</v>
      </c>
      <c r="B815" s="135">
        <v>25045.0</v>
      </c>
      <c r="C815" s="135"/>
      <c r="D815" s="135">
        <v>5.0</v>
      </c>
      <c r="E815" s="135" t="s">
        <v>3452</v>
      </c>
      <c r="F815" s="135" t="s">
        <v>1936</v>
      </c>
      <c r="G815" s="135" t="s">
        <v>83</v>
      </c>
      <c r="H815" s="135" t="s">
        <v>2853</v>
      </c>
      <c r="I815" s="135" t="s">
        <v>85</v>
      </c>
      <c r="J815" s="135">
        <v>1.0</v>
      </c>
      <c r="K815" s="135" t="s">
        <v>3134</v>
      </c>
      <c r="L815" s="135">
        <v>4534.0</v>
      </c>
      <c r="M815" s="135">
        <v>2800.0</v>
      </c>
      <c r="N815" s="135">
        <v>120.0</v>
      </c>
      <c r="O815" s="135">
        <v>1.77</v>
      </c>
      <c r="P815" s="136">
        <v>0.0</v>
      </c>
      <c r="Q815" s="137">
        <v>4.425</v>
      </c>
      <c r="R815" s="136">
        <v>46114.0</v>
      </c>
      <c r="S815" s="135" t="s">
        <v>3439</v>
      </c>
      <c r="T815" s="136"/>
      <c r="U815" s="135" t="s">
        <v>2855</v>
      </c>
      <c r="V815" s="135" t="s">
        <v>2876</v>
      </c>
      <c r="W815" s="135" t="s">
        <v>3447</v>
      </c>
      <c r="X815" s="135"/>
      <c r="Y815" s="135"/>
      <c r="Z815" s="135" t="s">
        <v>2858</v>
      </c>
      <c r="AA815" s="135"/>
      <c r="AB815" s="135"/>
      <c r="AC815" s="135"/>
      <c r="AD815" s="135">
        <v>46134.0</v>
      </c>
      <c r="AE815" s="135"/>
      <c r="AF815" s="135"/>
      <c r="AG815" s="135"/>
    </row>
    <row r="816" ht="21.75" hidden="1" customHeight="1">
      <c r="A816" s="135">
        <v>812.0</v>
      </c>
      <c r="B816" s="135">
        <v>25045.0</v>
      </c>
      <c r="C816" s="135"/>
      <c r="D816" s="135">
        <v>5.0</v>
      </c>
      <c r="E816" s="135" t="s">
        <v>3452</v>
      </c>
      <c r="F816" s="135" t="s">
        <v>1937</v>
      </c>
      <c r="G816" s="135" t="s">
        <v>83</v>
      </c>
      <c r="H816" s="135" t="s">
        <v>2853</v>
      </c>
      <c r="I816" s="135" t="s">
        <v>85</v>
      </c>
      <c r="J816" s="135">
        <v>1.0</v>
      </c>
      <c r="K816" s="135" t="s">
        <v>3134</v>
      </c>
      <c r="L816" s="135">
        <v>4534.0</v>
      </c>
      <c r="M816" s="135">
        <v>2800.0</v>
      </c>
      <c r="N816" s="135">
        <v>120.0</v>
      </c>
      <c r="O816" s="135">
        <v>1.77</v>
      </c>
      <c r="P816" s="136">
        <v>0.0</v>
      </c>
      <c r="Q816" s="137">
        <v>4.425</v>
      </c>
      <c r="R816" s="136">
        <v>46114.0</v>
      </c>
      <c r="S816" s="135" t="s">
        <v>3439</v>
      </c>
      <c r="T816" s="136"/>
      <c r="U816" s="135" t="s">
        <v>2855</v>
      </c>
      <c r="V816" s="135" t="s">
        <v>2876</v>
      </c>
      <c r="W816" s="135" t="s">
        <v>3447</v>
      </c>
      <c r="X816" s="135"/>
      <c r="Y816" s="135"/>
      <c r="Z816" s="135" t="s">
        <v>2858</v>
      </c>
      <c r="AA816" s="135"/>
      <c r="AB816" s="135"/>
      <c r="AC816" s="135"/>
      <c r="AD816" s="135">
        <v>46127.0</v>
      </c>
      <c r="AE816" s="135"/>
      <c r="AF816" s="135"/>
      <c r="AG816" s="135"/>
    </row>
    <row r="817" ht="21.75" hidden="1" customHeight="1">
      <c r="A817" s="135">
        <v>813.0</v>
      </c>
      <c r="B817" s="135">
        <v>25045.0</v>
      </c>
      <c r="C817" s="135"/>
      <c r="D817" s="135">
        <v>5.0</v>
      </c>
      <c r="E817" s="135" t="s">
        <v>3452</v>
      </c>
      <c r="F817" s="135" t="s">
        <v>1938</v>
      </c>
      <c r="G817" s="135" t="s">
        <v>83</v>
      </c>
      <c r="H817" s="135" t="s">
        <v>2853</v>
      </c>
      <c r="I817" s="135" t="s">
        <v>85</v>
      </c>
      <c r="J817" s="135">
        <v>1.0</v>
      </c>
      <c r="K817" s="135" t="s">
        <v>3134</v>
      </c>
      <c r="L817" s="135">
        <v>4534.0</v>
      </c>
      <c r="M817" s="135">
        <v>2800.0</v>
      </c>
      <c r="N817" s="135">
        <v>120.0</v>
      </c>
      <c r="O817" s="135">
        <v>1.77</v>
      </c>
      <c r="P817" s="136">
        <v>0.0</v>
      </c>
      <c r="Q817" s="137">
        <v>4.425</v>
      </c>
      <c r="R817" s="136">
        <v>46114.0</v>
      </c>
      <c r="S817" s="135" t="s">
        <v>3439</v>
      </c>
      <c r="T817" s="136"/>
      <c r="U817" s="135" t="s">
        <v>2855</v>
      </c>
      <c r="V817" s="135" t="s">
        <v>2876</v>
      </c>
      <c r="W817" s="135" t="s">
        <v>3447</v>
      </c>
      <c r="X817" s="135"/>
      <c r="Y817" s="135"/>
      <c r="Z817" s="135" t="s">
        <v>2858</v>
      </c>
      <c r="AA817" s="135"/>
      <c r="AB817" s="135"/>
      <c r="AC817" s="135"/>
      <c r="AD817" s="135">
        <v>46128.0</v>
      </c>
      <c r="AE817" s="135"/>
      <c r="AF817" s="135"/>
      <c r="AG817" s="135"/>
    </row>
    <row r="818" ht="21.75" hidden="1" customHeight="1">
      <c r="A818" s="135">
        <v>814.0</v>
      </c>
      <c r="B818" s="135">
        <v>25045.0</v>
      </c>
      <c r="C818" s="135"/>
      <c r="D818" s="135">
        <v>5.0</v>
      </c>
      <c r="E818" s="135" t="s">
        <v>3452</v>
      </c>
      <c r="F818" s="135" t="s">
        <v>1939</v>
      </c>
      <c r="G818" s="135" t="s">
        <v>83</v>
      </c>
      <c r="H818" s="135" t="s">
        <v>2853</v>
      </c>
      <c r="I818" s="135" t="s">
        <v>85</v>
      </c>
      <c r="J818" s="135">
        <v>1.0</v>
      </c>
      <c r="K818" s="135"/>
      <c r="L818" s="135">
        <v>5000.0</v>
      </c>
      <c r="M818" s="135">
        <v>2800.0</v>
      </c>
      <c r="N818" s="135">
        <v>120.0</v>
      </c>
      <c r="O818" s="135">
        <v>1.822</v>
      </c>
      <c r="P818" s="136">
        <v>0.0</v>
      </c>
      <c r="Q818" s="137">
        <v>4.555</v>
      </c>
      <c r="R818" s="136">
        <v>46114.0</v>
      </c>
      <c r="S818" s="135" t="s">
        <v>3439</v>
      </c>
      <c r="T818" s="136"/>
      <c r="U818" s="135" t="s">
        <v>2855</v>
      </c>
      <c r="V818" s="135" t="s">
        <v>2876</v>
      </c>
      <c r="W818" s="135" t="s">
        <v>3106</v>
      </c>
      <c r="X818" s="135"/>
      <c r="Y818" s="135"/>
      <c r="Z818" s="135" t="s">
        <v>2858</v>
      </c>
      <c r="AA818" s="135"/>
      <c r="AB818" s="135"/>
      <c r="AC818" s="135"/>
      <c r="AD818" s="135">
        <v>46142.0</v>
      </c>
      <c r="AE818" s="135"/>
      <c r="AF818" s="135"/>
      <c r="AG818" s="135"/>
    </row>
    <row r="819" ht="21.75" hidden="1" customHeight="1">
      <c r="A819" s="135">
        <v>815.0</v>
      </c>
      <c r="B819" s="135">
        <v>25045.0</v>
      </c>
      <c r="C819" s="135"/>
      <c r="D819" s="135">
        <v>5.0</v>
      </c>
      <c r="E819" s="135" t="s">
        <v>3452</v>
      </c>
      <c r="F819" s="135" t="s">
        <v>1940</v>
      </c>
      <c r="G819" s="135" t="s">
        <v>83</v>
      </c>
      <c r="H819" s="135" t="s">
        <v>2853</v>
      </c>
      <c r="I819" s="135" t="s">
        <v>85</v>
      </c>
      <c r="J819" s="135">
        <v>1.0</v>
      </c>
      <c r="K819" s="135" t="s">
        <v>3134</v>
      </c>
      <c r="L819" s="135">
        <v>2855.0</v>
      </c>
      <c r="M819" s="135">
        <v>1000.0</v>
      </c>
      <c r="N819" s="135">
        <v>120.0</v>
      </c>
      <c r="O819" s="135">
        <v>0.427</v>
      </c>
      <c r="P819" s="136">
        <v>0.0</v>
      </c>
      <c r="Q819" s="137">
        <v>1.0675</v>
      </c>
      <c r="R819" s="136">
        <v>46114.0</v>
      </c>
      <c r="S819" s="135" t="s">
        <v>3439</v>
      </c>
      <c r="T819" s="136"/>
      <c r="U819" s="135" t="s">
        <v>2864</v>
      </c>
      <c r="V819" s="135" t="s">
        <v>2856</v>
      </c>
      <c r="W819" s="135" t="s">
        <v>3460</v>
      </c>
      <c r="X819" s="135"/>
      <c r="Y819" s="135"/>
      <c r="Z819" s="135" t="s">
        <v>2858</v>
      </c>
      <c r="AA819" s="135"/>
      <c r="AB819" s="135"/>
      <c r="AC819" s="135"/>
      <c r="AD819" s="135">
        <v>46121.0</v>
      </c>
      <c r="AE819" s="135"/>
      <c r="AF819" s="135"/>
      <c r="AG819" s="135"/>
    </row>
    <row r="820" ht="21.75" hidden="1" customHeight="1">
      <c r="A820" s="135">
        <v>816.0</v>
      </c>
      <c r="B820" s="135">
        <v>25045.0</v>
      </c>
      <c r="C820" s="135"/>
      <c r="D820" s="135">
        <v>5.0</v>
      </c>
      <c r="E820" s="135" t="s">
        <v>3454</v>
      </c>
      <c r="F820" s="135" t="s">
        <v>1945</v>
      </c>
      <c r="G820" s="135" t="s">
        <v>83</v>
      </c>
      <c r="H820" s="135" t="s">
        <v>2853</v>
      </c>
      <c r="I820" s="135" t="s">
        <v>86</v>
      </c>
      <c r="J820" s="135">
        <v>1.0</v>
      </c>
      <c r="K820" s="135" t="s">
        <v>3134</v>
      </c>
      <c r="L820" s="135">
        <v>2855.0</v>
      </c>
      <c r="M820" s="135">
        <v>1000.0</v>
      </c>
      <c r="N820" s="135">
        <v>120.0</v>
      </c>
      <c r="O820" s="135">
        <v>0.427</v>
      </c>
      <c r="P820" s="136">
        <v>0.0</v>
      </c>
      <c r="Q820" s="137">
        <v>1.0675</v>
      </c>
      <c r="R820" s="136">
        <v>46114.0</v>
      </c>
      <c r="S820" s="135" t="s">
        <v>3439</v>
      </c>
      <c r="T820" s="136"/>
      <c r="U820" s="135" t="s">
        <v>2864</v>
      </c>
      <c r="V820" s="135" t="s">
        <v>2856</v>
      </c>
      <c r="W820" s="135" t="s">
        <v>3460</v>
      </c>
      <c r="X820" s="135"/>
      <c r="Y820" s="135"/>
      <c r="Z820" s="135" t="s">
        <v>2858</v>
      </c>
      <c r="AA820" s="135"/>
      <c r="AB820" s="135"/>
      <c r="AC820" s="135"/>
      <c r="AD820" s="135">
        <v>46122.0</v>
      </c>
      <c r="AE820" s="135"/>
      <c r="AF820" s="135"/>
      <c r="AG820" s="135"/>
    </row>
    <row r="821" ht="21.75" hidden="1" customHeight="1">
      <c r="A821" s="135">
        <v>817.0</v>
      </c>
      <c r="B821" s="135">
        <v>25045.0</v>
      </c>
      <c r="C821" s="135"/>
      <c r="D821" s="135">
        <v>5.0</v>
      </c>
      <c r="E821" s="135" t="s">
        <v>3455</v>
      </c>
      <c r="F821" s="135" t="s">
        <v>1961</v>
      </c>
      <c r="G821" s="135" t="s">
        <v>83</v>
      </c>
      <c r="H821" s="135" t="s">
        <v>2853</v>
      </c>
      <c r="I821" s="135" t="s">
        <v>87</v>
      </c>
      <c r="J821" s="135">
        <v>1.0</v>
      </c>
      <c r="K821" s="135" t="s">
        <v>3134</v>
      </c>
      <c r="L821" s="135">
        <v>2855.0</v>
      </c>
      <c r="M821" s="135">
        <v>1000.0</v>
      </c>
      <c r="N821" s="135">
        <v>120.0</v>
      </c>
      <c r="O821" s="135">
        <v>0.427</v>
      </c>
      <c r="P821" s="136">
        <v>0.0</v>
      </c>
      <c r="Q821" s="137">
        <v>1.0675</v>
      </c>
      <c r="R821" s="136">
        <v>46114.0</v>
      </c>
      <c r="S821" s="135" t="s">
        <v>3439</v>
      </c>
      <c r="T821" s="136"/>
      <c r="U821" s="135" t="s">
        <v>2864</v>
      </c>
      <c r="V821" s="135" t="s">
        <v>2856</v>
      </c>
      <c r="W821" s="135" t="s">
        <v>3460</v>
      </c>
      <c r="X821" s="135"/>
      <c r="Y821" s="135"/>
      <c r="Z821" s="135" t="s">
        <v>2858</v>
      </c>
      <c r="AA821" s="135"/>
      <c r="AB821" s="135"/>
      <c r="AC821" s="135"/>
      <c r="AD821" s="135">
        <v>46123.0</v>
      </c>
      <c r="AE821" s="135"/>
      <c r="AF821" s="135"/>
      <c r="AG821" s="135"/>
    </row>
    <row r="822" ht="21.75" hidden="1" customHeight="1">
      <c r="A822" s="135">
        <v>818.0</v>
      </c>
      <c r="B822" s="135">
        <v>25045.0</v>
      </c>
      <c r="C822" s="135"/>
      <c r="D822" s="135">
        <v>5.0</v>
      </c>
      <c r="E822" s="135" t="s">
        <v>3452</v>
      </c>
      <c r="F822" s="135" t="s">
        <v>1941</v>
      </c>
      <c r="G822" s="135" t="s">
        <v>83</v>
      </c>
      <c r="H822" s="135" t="s">
        <v>2853</v>
      </c>
      <c r="I822" s="135" t="s">
        <v>85</v>
      </c>
      <c r="J822" s="135">
        <v>1.0</v>
      </c>
      <c r="K822" s="135"/>
      <c r="L822" s="135">
        <v>1635.0</v>
      </c>
      <c r="M822" s="135">
        <v>1340.0</v>
      </c>
      <c r="N822" s="135">
        <v>120.0</v>
      </c>
      <c r="O822" s="135">
        <v>0.354</v>
      </c>
      <c r="P822" s="136">
        <v>0.0</v>
      </c>
      <c r="Q822" s="137">
        <v>0.885</v>
      </c>
      <c r="R822" s="136">
        <v>46114.0</v>
      </c>
      <c r="S822" s="135" t="s">
        <v>3439</v>
      </c>
      <c r="T822" s="136"/>
      <c r="U822" s="135" t="s">
        <v>2864</v>
      </c>
      <c r="V822" s="135" t="s">
        <v>2953</v>
      </c>
      <c r="W822" s="135" t="s">
        <v>3461</v>
      </c>
      <c r="X822" s="135"/>
      <c r="Y822" s="135"/>
      <c r="Z822" s="135" t="s">
        <v>2858</v>
      </c>
      <c r="AA822" s="135"/>
      <c r="AB822" s="135"/>
      <c r="AC822" s="135"/>
      <c r="AD822" s="135">
        <v>46130.0</v>
      </c>
      <c r="AE822" s="135"/>
      <c r="AF822" s="135"/>
      <c r="AG822" s="135"/>
    </row>
    <row r="823" ht="21.75" hidden="1" customHeight="1">
      <c r="A823" s="135">
        <v>819.0</v>
      </c>
      <c r="B823" s="135">
        <v>25045.0</v>
      </c>
      <c r="C823" s="135"/>
      <c r="D823" s="135">
        <v>5.0</v>
      </c>
      <c r="E823" s="135" t="s">
        <v>3452</v>
      </c>
      <c r="F823" s="135" t="s">
        <v>1942</v>
      </c>
      <c r="G823" s="135" t="s">
        <v>83</v>
      </c>
      <c r="H823" s="135" t="s">
        <v>2965</v>
      </c>
      <c r="I823" s="135" t="s">
        <v>85</v>
      </c>
      <c r="J823" s="135">
        <v>1.0</v>
      </c>
      <c r="K823" s="135"/>
      <c r="L823" s="135">
        <v>400.0</v>
      </c>
      <c r="M823" s="135">
        <v>2960.0</v>
      </c>
      <c r="N823" s="135">
        <v>350.0</v>
      </c>
      <c r="O823" s="135">
        <v>0.479</v>
      </c>
      <c r="P823" s="136">
        <v>0.0</v>
      </c>
      <c r="Q823" s="137">
        <v>1.1975</v>
      </c>
      <c r="R823" s="136">
        <v>46114.0</v>
      </c>
      <c r="S823" s="135" t="s">
        <v>3439</v>
      </c>
      <c r="T823" s="136"/>
      <c r="U823" s="135" t="s">
        <v>2966</v>
      </c>
      <c r="V823" s="135" t="s">
        <v>2967</v>
      </c>
      <c r="W823" s="135"/>
      <c r="X823" s="135" t="s">
        <v>2969</v>
      </c>
      <c r="Y823" s="135"/>
      <c r="Z823" s="135" t="s">
        <v>2858</v>
      </c>
      <c r="AA823" s="135"/>
      <c r="AB823" s="135"/>
      <c r="AC823" s="135"/>
      <c r="AD823" s="135">
        <v>46133.0</v>
      </c>
      <c r="AE823" s="135"/>
      <c r="AF823" s="135"/>
      <c r="AG823" s="135"/>
    </row>
    <row r="824" ht="21.75" hidden="1" customHeight="1">
      <c r="A824" s="135">
        <v>820.0</v>
      </c>
      <c r="B824" s="135">
        <v>25045.0</v>
      </c>
      <c r="C824" s="135" t="s">
        <v>2817</v>
      </c>
      <c r="D824" s="135">
        <v>5.0</v>
      </c>
      <c r="E824" s="135" t="s">
        <v>3454</v>
      </c>
      <c r="F824" s="135" t="s">
        <v>1946</v>
      </c>
      <c r="G824" s="135" t="s">
        <v>83</v>
      </c>
      <c r="H824" s="135" t="s">
        <v>2853</v>
      </c>
      <c r="I824" s="135" t="s">
        <v>86</v>
      </c>
      <c r="J824" s="135">
        <v>1.0</v>
      </c>
      <c r="K824" s="135"/>
      <c r="L824" s="135">
        <v>2595.0</v>
      </c>
      <c r="M824" s="135">
        <v>2850.0</v>
      </c>
      <c r="N824" s="135">
        <v>120.0</v>
      </c>
      <c r="O824" s="135">
        <v>0.919</v>
      </c>
      <c r="P824" s="136">
        <v>0.0</v>
      </c>
      <c r="Q824" s="137">
        <v>2.2975000000000003</v>
      </c>
      <c r="R824" s="136">
        <v>46114.0</v>
      </c>
      <c r="S824" s="135" t="s">
        <v>3439</v>
      </c>
      <c r="T824" s="136"/>
      <c r="U824" s="135" t="s">
        <v>2864</v>
      </c>
      <c r="V824" s="135" t="s">
        <v>2878</v>
      </c>
      <c r="W824" s="135" t="s">
        <v>3462</v>
      </c>
      <c r="X824" s="135" t="s">
        <v>3463</v>
      </c>
      <c r="Y824" s="135"/>
      <c r="Z824" s="135" t="s">
        <v>2858</v>
      </c>
      <c r="AA824" s="135"/>
      <c r="AB824" s="135"/>
      <c r="AC824" s="135"/>
      <c r="AD824" s="135">
        <v>46120.0</v>
      </c>
      <c r="AE824" s="135"/>
      <c r="AF824" s="135"/>
      <c r="AG824" s="135"/>
    </row>
    <row r="825" ht="21.75" hidden="1" customHeight="1">
      <c r="A825" s="135">
        <v>821.0</v>
      </c>
      <c r="B825" s="135">
        <v>25045.0</v>
      </c>
      <c r="C825" s="135"/>
      <c r="D825" s="135">
        <v>5.0</v>
      </c>
      <c r="E825" s="135" t="s">
        <v>3454</v>
      </c>
      <c r="F825" s="135" t="s">
        <v>1947</v>
      </c>
      <c r="G825" s="135" t="s">
        <v>83</v>
      </c>
      <c r="H825" s="135" t="s">
        <v>2853</v>
      </c>
      <c r="I825" s="135" t="s">
        <v>86</v>
      </c>
      <c r="J825" s="135">
        <v>1.0</v>
      </c>
      <c r="K825" s="135"/>
      <c r="L825" s="135">
        <v>3863.0</v>
      </c>
      <c r="M825" s="135">
        <v>2950.0</v>
      </c>
      <c r="N825" s="135">
        <v>120.0</v>
      </c>
      <c r="O825" s="135">
        <v>1.526</v>
      </c>
      <c r="P825" s="136">
        <v>0.0</v>
      </c>
      <c r="Q825" s="137">
        <v>3.815</v>
      </c>
      <c r="R825" s="136">
        <v>46114.0</v>
      </c>
      <c r="S825" s="135" t="s">
        <v>3439</v>
      </c>
      <c r="T825" s="136"/>
      <c r="U825" s="135" t="s">
        <v>2864</v>
      </c>
      <c r="V825" s="135" t="s">
        <v>3100</v>
      </c>
      <c r="W825" s="135" t="s">
        <v>3457</v>
      </c>
      <c r="X825" s="135"/>
      <c r="Y825" s="135"/>
      <c r="Z825" s="135" t="s">
        <v>2858</v>
      </c>
      <c r="AA825" s="135"/>
      <c r="AB825" s="135"/>
      <c r="AC825" s="135"/>
      <c r="AD825" s="135">
        <v>46119.0</v>
      </c>
      <c r="AE825" s="135"/>
      <c r="AF825" s="135"/>
      <c r="AG825" s="135"/>
    </row>
    <row r="826" ht="21.75" hidden="1" customHeight="1">
      <c r="A826" s="135">
        <v>822.0</v>
      </c>
      <c r="B826" s="135">
        <v>25045.0</v>
      </c>
      <c r="C826" s="135"/>
      <c r="D826" s="135">
        <v>5.0</v>
      </c>
      <c r="E826" s="135" t="s">
        <v>3454</v>
      </c>
      <c r="F826" s="135" t="s">
        <v>1948</v>
      </c>
      <c r="G826" s="135" t="s">
        <v>83</v>
      </c>
      <c r="H826" s="135" t="s">
        <v>2853</v>
      </c>
      <c r="I826" s="135" t="s">
        <v>86</v>
      </c>
      <c r="J826" s="135">
        <v>1.0</v>
      </c>
      <c r="K826" s="135" t="s">
        <v>3134</v>
      </c>
      <c r="L826" s="135">
        <v>4534.0</v>
      </c>
      <c r="M826" s="135">
        <v>2950.0</v>
      </c>
      <c r="N826" s="135">
        <v>120.0</v>
      </c>
      <c r="O826" s="135">
        <v>1.851</v>
      </c>
      <c r="P826" s="136">
        <v>0.0</v>
      </c>
      <c r="Q826" s="137">
        <v>4.6274999999999995</v>
      </c>
      <c r="R826" s="136">
        <v>46114.0</v>
      </c>
      <c r="S826" s="135" t="s">
        <v>3439</v>
      </c>
      <c r="T826" s="136"/>
      <c r="U826" s="135" t="s">
        <v>2855</v>
      </c>
      <c r="V826" s="135" t="s">
        <v>2876</v>
      </c>
      <c r="W826" s="135" t="s">
        <v>3447</v>
      </c>
      <c r="X826" s="135"/>
      <c r="Y826" s="135"/>
      <c r="Z826" s="135" t="s">
        <v>2858</v>
      </c>
      <c r="AA826" s="135"/>
      <c r="AB826" s="135"/>
      <c r="AC826" s="135"/>
      <c r="AD826" s="135">
        <v>46134.0</v>
      </c>
      <c r="AE826" s="135"/>
      <c r="AF826" s="135"/>
      <c r="AG826" s="135"/>
    </row>
    <row r="827" ht="21.75" hidden="1" customHeight="1">
      <c r="A827" s="135">
        <v>823.0</v>
      </c>
      <c r="B827" s="135">
        <v>25045.0</v>
      </c>
      <c r="C827" s="135"/>
      <c r="D827" s="135">
        <v>5.0</v>
      </c>
      <c r="E827" s="135" t="s">
        <v>3454</v>
      </c>
      <c r="F827" s="135" t="s">
        <v>1949</v>
      </c>
      <c r="G827" s="135" t="s">
        <v>83</v>
      </c>
      <c r="H827" s="135" t="s">
        <v>2853</v>
      </c>
      <c r="I827" s="135" t="s">
        <v>86</v>
      </c>
      <c r="J827" s="135">
        <v>1.0</v>
      </c>
      <c r="K827" s="135" t="s">
        <v>3134</v>
      </c>
      <c r="L827" s="135">
        <v>4534.0</v>
      </c>
      <c r="M827" s="135">
        <v>2950.0</v>
      </c>
      <c r="N827" s="135">
        <v>120.0</v>
      </c>
      <c r="O827" s="135">
        <v>1.851</v>
      </c>
      <c r="P827" s="136">
        <v>0.0</v>
      </c>
      <c r="Q827" s="137">
        <v>4.6274999999999995</v>
      </c>
      <c r="R827" s="136">
        <v>46114.0</v>
      </c>
      <c r="S827" s="135" t="s">
        <v>3439</v>
      </c>
      <c r="T827" s="136"/>
      <c r="U827" s="135" t="s">
        <v>2855</v>
      </c>
      <c r="V827" s="135" t="s">
        <v>2876</v>
      </c>
      <c r="W827" s="135" t="s">
        <v>3447</v>
      </c>
      <c r="X827" s="135"/>
      <c r="Y827" s="135"/>
      <c r="Z827" s="135" t="s">
        <v>2858</v>
      </c>
      <c r="AA827" s="135"/>
      <c r="AB827" s="135"/>
      <c r="AC827" s="135"/>
      <c r="AD827" s="135">
        <v>46135.0</v>
      </c>
      <c r="AE827" s="135"/>
      <c r="AF827" s="135"/>
      <c r="AG827" s="135"/>
    </row>
    <row r="828" ht="21.75" hidden="1" customHeight="1">
      <c r="A828" s="135">
        <v>824.0</v>
      </c>
      <c r="B828" s="135">
        <v>25045.0</v>
      </c>
      <c r="C828" s="135"/>
      <c r="D828" s="135">
        <v>5.0</v>
      </c>
      <c r="E828" s="135" t="s">
        <v>3454</v>
      </c>
      <c r="F828" s="135" t="s">
        <v>1950</v>
      </c>
      <c r="G828" s="135" t="s">
        <v>83</v>
      </c>
      <c r="H828" s="135" t="s">
        <v>2853</v>
      </c>
      <c r="I828" s="135" t="s">
        <v>86</v>
      </c>
      <c r="J828" s="135">
        <v>1.0</v>
      </c>
      <c r="K828" s="135" t="s">
        <v>3134</v>
      </c>
      <c r="L828" s="135">
        <v>4534.0</v>
      </c>
      <c r="M828" s="135">
        <v>2950.0</v>
      </c>
      <c r="N828" s="135">
        <v>120.0</v>
      </c>
      <c r="O828" s="135">
        <v>1.851</v>
      </c>
      <c r="P828" s="136">
        <v>0.0</v>
      </c>
      <c r="Q828" s="137">
        <v>4.6274999999999995</v>
      </c>
      <c r="R828" s="136">
        <v>46114.0</v>
      </c>
      <c r="S828" s="135" t="s">
        <v>3439</v>
      </c>
      <c r="T828" s="136"/>
      <c r="U828" s="135" t="s">
        <v>2855</v>
      </c>
      <c r="V828" s="135" t="s">
        <v>2876</v>
      </c>
      <c r="W828" s="135" t="s">
        <v>3447</v>
      </c>
      <c r="X828" s="135"/>
      <c r="Y828" s="135"/>
      <c r="Z828" s="135" t="s">
        <v>2858</v>
      </c>
      <c r="AA828" s="135"/>
      <c r="AB828" s="135"/>
      <c r="AC828" s="135"/>
      <c r="AD828" s="135">
        <v>46136.0</v>
      </c>
      <c r="AE828" s="135"/>
      <c r="AF828" s="135"/>
      <c r="AG828" s="135"/>
    </row>
    <row r="829" ht="21.75" hidden="1" customHeight="1">
      <c r="A829" s="135">
        <v>825.0</v>
      </c>
      <c r="B829" s="135">
        <v>25045.0</v>
      </c>
      <c r="C829" s="135"/>
      <c r="D829" s="135">
        <v>5.0</v>
      </c>
      <c r="E829" s="135" t="s">
        <v>3454</v>
      </c>
      <c r="F829" s="135" t="s">
        <v>1951</v>
      </c>
      <c r="G829" s="135" t="s">
        <v>83</v>
      </c>
      <c r="H829" s="135" t="s">
        <v>2853</v>
      </c>
      <c r="I829" s="135" t="s">
        <v>86</v>
      </c>
      <c r="J829" s="135">
        <v>1.0</v>
      </c>
      <c r="K829" s="135"/>
      <c r="L829" s="135">
        <v>4534.0</v>
      </c>
      <c r="M829" s="135">
        <v>2950.0</v>
      </c>
      <c r="N829" s="135">
        <v>120.0</v>
      </c>
      <c r="O829" s="135">
        <v>1.54</v>
      </c>
      <c r="P829" s="136">
        <v>0.0</v>
      </c>
      <c r="Q829" s="137">
        <v>3.85</v>
      </c>
      <c r="R829" s="136">
        <v>46114.0</v>
      </c>
      <c r="S829" s="135" t="s">
        <v>3439</v>
      </c>
      <c r="T829" s="136"/>
      <c r="U829" s="135" t="s">
        <v>2864</v>
      </c>
      <c r="V829" s="135" t="s">
        <v>2985</v>
      </c>
      <c r="W829" s="135" t="s">
        <v>3464</v>
      </c>
      <c r="X829" s="135" t="s">
        <v>2892</v>
      </c>
      <c r="Y829" s="135"/>
      <c r="Z829" s="135" t="s">
        <v>2858</v>
      </c>
      <c r="AA829" s="135"/>
      <c r="AB829" s="135"/>
      <c r="AC829" s="135"/>
      <c r="AD829" s="135">
        <v>46141.0</v>
      </c>
      <c r="AE829" s="135"/>
      <c r="AF829" s="135"/>
      <c r="AG829" s="135"/>
    </row>
    <row r="830" ht="21.75" hidden="1" customHeight="1">
      <c r="A830" s="135">
        <v>826.0</v>
      </c>
      <c r="B830" s="135">
        <v>25045.0</v>
      </c>
      <c r="C830" s="135"/>
      <c r="D830" s="135">
        <v>5.0</v>
      </c>
      <c r="E830" s="135" t="s">
        <v>3454</v>
      </c>
      <c r="F830" s="135" t="s">
        <v>1952</v>
      </c>
      <c r="G830" s="135" t="s">
        <v>83</v>
      </c>
      <c r="H830" s="135" t="s">
        <v>2853</v>
      </c>
      <c r="I830" s="135" t="s">
        <v>86</v>
      </c>
      <c r="J830" s="135">
        <v>1.0</v>
      </c>
      <c r="K830" s="135"/>
      <c r="L830" s="135">
        <v>4534.0</v>
      </c>
      <c r="M830" s="135">
        <v>2900.0</v>
      </c>
      <c r="N830" s="135">
        <v>120.0</v>
      </c>
      <c r="O830" s="135">
        <v>1.522</v>
      </c>
      <c r="P830" s="136">
        <v>0.0</v>
      </c>
      <c r="Q830" s="137">
        <v>3.805</v>
      </c>
      <c r="R830" s="136">
        <v>46114.0</v>
      </c>
      <c r="S830" s="135" t="s">
        <v>3439</v>
      </c>
      <c r="T830" s="136"/>
      <c r="U830" s="135" t="s">
        <v>2864</v>
      </c>
      <c r="V830" s="135" t="s">
        <v>2985</v>
      </c>
      <c r="W830" s="135" t="s">
        <v>3465</v>
      </c>
      <c r="X830" s="135" t="s">
        <v>2895</v>
      </c>
      <c r="Y830" s="135"/>
      <c r="Z830" s="135" t="s">
        <v>2858</v>
      </c>
      <c r="AA830" s="135"/>
      <c r="AB830" s="135"/>
      <c r="AC830" s="135"/>
      <c r="AD830" s="135">
        <v>46140.0</v>
      </c>
      <c r="AE830" s="135"/>
      <c r="AF830" s="135"/>
      <c r="AG830" s="135"/>
    </row>
    <row r="831" ht="21.75" hidden="1" customHeight="1">
      <c r="A831" s="135">
        <v>827.0</v>
      </c>
      <c r="B831" s="135">
        <v>25045.0</v>
      </c>
      <c r="C831" s="135"/>
      <c r="D831" s="135">
        <v>5.0</v>
      </c>
      <c r="E831" s="135" t="s">
        <v>3454</v>
      </c>
      <c r="F831" s="135" t="s">
        <v>1953</v>
      </c>
      <c r="G831" s="135" t="s">
        <v>83</v>
      </c>
      <c r="H831" s="135" t="s">
        <v>2853</v>
      </c>
      <c r="I831" s="135" t="s">
        <v>86</v>
      </c>
      <c r="J831" s="135">
        <v>1.0</v>
      </c>
      <c r="K831" s="135" t="s">
        <v>3134</v>
      </c>
      <c r="L831" s="135">
        <v>4534.0</v>
      </c>
      <c r="M831" s="135">
        <v>2900.0</v>
      </c>
      <c r="N831" s="135">
        <v>120.0</v>
      </c>
      <c r="O831" s="135">
        <v>1.824</v>
      </c>
      <c r="P831" s="136">
        <v>0.0</v>
      </c>
      <c r="Q831" s="137">
        <v>4.5600000000000005</v>
      </c>
      <c r="R831" s="136">
        <v>46114.0</v>
      </c>
      <c r="S831" s="135" t="s">
        <v>3439</v>
      </c>
      <c r="T831" s="136"/>
      <c r="U831" s="135" t="s">
        <v>2855</v>
      </c>
      <c r="V831" s="135" t="s">
        <v>2876</v>
      </c>
      <c r="W831" s="135" t="s">
        <v>3447</v>
      </c>
      <c r="X831" s="135"/>
      <c r="Y831" s="135"/>
      <c r="Z831" s="135" t="s">
        <v>2858</v>
      </c>
      <c r="AA831" s="135"/>
      <c r="AB831" s="135"/>
      <c r="AC831" s="135"/>
      <c r="AD831" s="135">
        <v>46135.0</v>
      </c>
      <c r="AE831" s="135"/>
      <c r="AF831" s="135"/>
      <c r="AG831" s="135"/>
    </row>
    <row r="832" ht="21.75" hidden="1" customHeight="1">
      <c r="A832" s="135">
        <v>828.0</v>
      </c>
      <c r="B832" s="135">
        <v>25045.0</v>
      </c>
      <c r="C832" s="135"/>
      <c r="D832" s="135">
        <v>5.0</v>
      </c>
      <c r="E832" s="135" t="s">
        <v>3454</v>
      </c>
      <c r="F832" s="135" t="s">
        <v>1954</v>
      </c>
      <c r="G832" s="135" t="s">
        <v>83</v>
      </c>
      <c r="H832" s="135" t="s">
        <v>2853</v>
      </c>
      <c r="I832" s="135" t="s">
        <v>86</v>
      </c>
      <c r="J832" s="135">
        <v>1.0</v>
      </c>
      <c r="K832" s="135" t="s">
        <v>3134</v>
      </c>
      <c r="L832" s="135">
        <v>4534.0</v>
      </c>
      <c r="M832" s="135">
        <v>2900.0</v>
      </c>
      <c r="N832" s="135">
        <v>120.0</v>
      </c>
      <c r="O832" s="135">
        <v>1.824</v>
      </c>
      <c r="P832" s="136">
        <v>0.0</v>
      </c>
      <c r="Q832" s="137">
        <v>4.5600000000000005</v>
      </c>
      <c r="R832" s="136">
        <v>46114.0</v>
      </c>
      <c r="S832" s="135" t="s">
        <v>3439</v>
      </c>
      <c r="T832" s="136"/>
      <c r="U832" s="135" t="s">
        <v>2855</v>
      </c>
      <c r="V832" s="135" t="s">
        <v>2876</v>
      </c>
      <c r="W832" s="135" t="s">
        <v>3447</v>
      </c>
      <c r="X832" s="135"/>
      <c r="Y832" s="135"/>
      <c r="Z832" s="135" t="s">
        <v>2858</v>
      </c>
      <c r="AA832" s="135"/>
      <c r="AB832" s="135"/>
      <c r="AC832" s="135"/>
      <c r="AD832" s="135">
        <v>46136.0</v>
      </c>
      <c r="AE832" s="135"/>
      <c r="AF832" s="135"/>
      <c r="AG832" s="135"/>
    </row>
    <row r="833" ht="21.75" hidden="1" customHeight="1">
      <c r="A833" s="135">
        <v>829.0</v>
      </c>
      <c r="B833" s="135">
        <v>25045.0</v>
      </c>
      <c r="C833" s="135"/>
      <c r="D833" s="135">
        <v>5.0</v>
      </c>
      <c r="E833" s="135" t="s">
        <v>3454</v>
      </c>
      <c r="F833" s="135" t="s">
        <v>1955</v>
      </c>
      <c r="G833" s="135" t="s">
        <v>83</v>
      </c>
      <c r="H833" s="135" t="s">
        <v>2853</v>
      </c>
      <c r="I833" s="135" t="s">
        <v>86</v>
      </c>
      <c r="J833" s="135">
        <v>1.0</v>
      </c>
      <c r="K833" s="135" t="s">
        <v>3134</v>
      </c>
      <c r="L833" s="135">
        <v>4534.0</v>
      </c>
      <c r="M833" s="135">
        <v>2900.0</v>
      </c>
      <c r="N833" s="135">
        <v>120.0</v>
      </c>
      <c r="O833" s="135">
        <v>1.824</v>
      </c>
      <c r="P833" s="136">
        <v>0.0</v>
      </c>
      <c r="Q833" s="137">
        <v>4.5600000000000005</v>
      </c>
      <c r="R833" s="136">
        <v>46114.0</v>
      </c>
      <c r="S833" s="135" t="s">
        <v>3439</v>
      </c>
      <c r="T833" s="136"/>
      <c r="U833" s="135" t="s">
        <v>2855</v>
      </c>
      <c r="V833" s="135" t="s">
        <v>2876</v>
      </c>
      <c r="W833" s="135" t="s">
        <v>3447</v>
      </c>
      <c r="X833" s="135"/>
      <c r="Y833" s="135"/>
      <c r="Z833" s="135" t="s">
        <v>2858</v>
      </c>
      <c r="AA833" s="135"/>
      <c r="AB833" s="135"/>
      <c r="AC833" s="135"/>
      <c r="AD833" s="135">
        <v>46137.0</v>
      </c>
      <c r="AE833" s="135"/>
      <c r="AF833" s="135"/>
      <c r="AG833" s="135"/>
    </row>
    <row r="834" ht="21.75" hidden="1" customHeight="1">
      <c r="A834" s="135">
        <v>830.0</v>
      </c>
      <c r="B834" s="135">
        <v>25045.0</v>
      </c>
      <c r="C834" s="135"/>
      <c r="D834" s="135">
        <v>5.0</v>
      </c>
      <c r="E834" s="135" t="s">
        <v>3454</v>
      </c>
      <c r="F834" s="135" t="s">
        <v>1956</v>
      </c>
      <c r="G834" s="135" t="s">
        <v>83</v>
      </c>
      <c r="H834" s="135" t="s">
        <v>2853</v>
      </c>
      <c r="I834" s="135" t="s">
        <v>86</v>
      </c>
      <c r="J834" s="135">
        <v>1.0</v>
      </c>
      <c r="K834" s="135"/>
      <c r="L834" s="135">
        <v>5000.0</v>
      </c>
      <c r="M834" s="135">
        <v>2900.0</v>
      </c>
      <c r="N834" s="135">
        <v>120.0</v>
      </c>
      <c r="O834" s="135">
        <v>1.942</v>
      </c>
      <c r="P834" s="136">
        <v>0.0</v>
      </c>
      <c r="Q834" s="137">
        <v>4.8549999999999995</v>
      </c>
      <c r="R834" s="136">
        <v>46114.0</v>
      </c>
      <c r="S834" s="135" t="s">
        <v>3439</v>
      </c>
      <c r="T834" s="136"/>
      <c r="U834" s="135" t="s">
        <v>2855</v>
      </c>
      <c r="V834" s="135" t="s">
        <v>2876</v>
      </c>
      <c r="W834" s="135" t="s">
        <v>3106</v>
      </c>
      <c r="X834" s="135"/>
      <c r="Y834" s="135"/>
      <c r="Z834" s="135" t="s">
        <v>2858</v>
      </c>
      <c r="AA834" s="135"/>
      <c r="AB834" s="135"/>
      <c r="AC834" s="135"/>
      <c r="AD834" s="135">
        <v>46140.0</v>
      </c>
      <c r="AE834" s="135"/>
      <c r="AF834" s="135"/>
      <c r="AG834" s="135"/>
    </row>
    <row r="835" ht="21.75" hidden="1" customHeight="1">
      <c r="A835" s="135">
        <v>831.0</v>
      </c>
      <c r="B835" s="135">
        <v>25045.0</v>
      </c>
      <c r="C835" s="135"/>
      <c r="D835" s="135">
        <v>5.0</v>
      </c>
      <c r="E835" s="135" t="s">
        <v>3454</v>
      </c>
      <c r="F835" s="135" t="s">
        <v>1957</v>
      </c>
      <c r="G835" s="135" t="s">
        <v>83</v>
      </c>
      <c r="H835" s="135" t="s">
        <v>2853</v>
      </c>
      <c r="I835" s="135" t="s">
        <v>86</v>
      </c>
      <c r="J835" s="135">
        <v>1.0</v>
      </c>
      <c r="K835" s="135"/>
      <c r="L835" s="135">
        <v>1635.0</v>
      </c>
      <c r="M835" s="135">
        <v>920.0</v>
      </c>
      <c r="N835" s="135">
        <v>120.0</v>
      </c>
      <c r="O835" s="135">
        <v>0.31</v>
      </c>
      <c r="P835" s="136">
        <v>0.0</v>
      </c>
      <c r="Q835" s="137">
        <v>0.775</v>
      </c>
      <c r="R835" s="136">
        <v>46114.0</v>
      </c>
      <c r="S835" s="135" t="s">
        <v>3439</v>
      </c>
      <c r="T835" s="136"/>
      <c r="U835" s="135" t="s">
        <v>2864</v>
      </c>
      <c r="V835" s="135" t="s">
        <v>2953</v>
      </c>
      <c r="W835" s="135" t="s">
        <v>3196</v>
      </c>
      <c r="X835" s="135"/>
      <c r="Y835" s="135"/>
      <c r="Z835" s="135" t="s">
        <v>2858</v>
      </c>
      <c r="AA835" s="135"/>
      <c r="AB835" s="135"/>
      <c r="AC835" s="135"/>
      <c r="AD835" s="135">
        <v>46125.0</v>
      </c>
      <c r="AE835" s="135"/>
      <c r="AF835" s="135"/>
      <c r="AG835" s="135"/>
    </row>
    <row r="836" ht="21.75" hidden="1" customHeight="1">
      <c r="A836" s="135">
        <v>832.0</v>
      </c>
      <c r="B836" s="135">
        <v>25045.0</v>
      </c>
      <c r="C836" s="135"/>
      <c r="D836" s="135">
        <v>5.0</v>
      </c>
      <c r="E836" s="135" t="s">
        <v>3454</v>
      </c>
      <c r="F836" s="135" t="s">
        <v>1958</v>
      </c>
      <c r="G836" s="135" t="s">
        <v>83</v>
      </c>
      <c r="H836" s="135" t="s">
        <v>2965</v>
      </c>
      <c r="I836" s="135" t="s">
        <v>86</v>
      </c>
      <c r="J836" s="135">
        <v>1.0</v>
      </c>
      <c r="K836" s="135"/>
      <c r="L836" s="135">
        <v>400.0</v>
      </c>
      <c r="M836" s="135">
        <v>2550.0</v>
      </c>
      <c r="N836" s="135">
        <v>350.0</v>
      </c>
      <c r="O836" s="135">
        <v>0.421</v>
      </c>
      <c r="P836" s="136">
        <v>0.0</v>
      </c>
      <c r="Q836" s="137">
        <v>1.0525</v>
      </c>
      <c r="R836" s="136">
        <v>46114.0</v>
      </c>
      <c r="S836" s="135" t="s">
        <v>3439</v>
      </c>
      <c r="T836" s="136"/>
      <c r="U836" s="135" t="s">
        <v>2966</v>
      </c>
      <c r="V836" s="135" t="s">
        <v>2967</v>
      </c>
      <c r="W836" s="135"/>
      <c r="X836" s="135" t="s">
        <v>2969</v>
      </c>
      <c r="Y836" s="135"/>
      <c r="Z836" s="135" t="s">
        <v>2858</v>
      </c>
      <c r="AA836" s="135"/>
      <c r="AB836" s="135"/>
      <c r="AC836" s="135"/>
      <c r="AD836" s="135">
        <v>46133.0</v>
      </c>
      <c r="AE836" s="135"/>
      <c r="AF836" s="135"/>
      <c r="AG836" s="135"/>
    </row>
    <row r="837" ht="21.75" hidden="1" customHeight="1">
      <c r="A837" s="135">
        <v>833.0</v>
      </c>
      <c r="B837" s="135">
        <v>25045.0</v>
      </c>
      <c r="C837" s="135" t="s">
        <v>2817</v>
      </c>
      <c r="D837" s="135">
        <v>5.0</v>
      </c>
      <c r="E837" s="135" t="s">
        <v>3455</v>
      </c>
      <c r="F837" s="135" t="s">
        <v>1962</v>
      </c>
      <c r="G837" s="135" t="s">
        <v>83</v>
      </c>
      <c r="H837" s="135" t="s">
        <v>2853</v>
      </c>
      <c r="I837" s="135" t="s">
        <v>87</v>
      </c>
      <c r="J837" s="135">
        <v>1.0</v>
      </c>
      <c r="K837" s="135"/>
      <c r="L837" s="135">
        <v>2595.0</v>
      </c>
      <c r="M837" s="135">
        <v>2990.0</v>
      </c>
      <c r="N837" s="135">
        <v>120.0</v>
      </c>
      <c r="O837" s="135">
        <v>0.922</v>
      </c>
      <c r="P837" s="136">
        <v>0.0</v>
      </c>
      <c r="Q837" s="137">
        <v>2.305</v>
      </c>
      <c r="R837" s="136">
        <v>46114.0</v>
      </c>
      <c r="S837" s="135" t="s">
        <v>3439</v>
      </c>
      <c r="T837" s="136"/>
      <c r="U837" s="135" t="s">
        <v>2864</v>
      </c>
      <c r="V837" s="135" t="s">
        <v>2878</v>
      </c>
      <c r="W837" s="135" t="s">
        <v>3462</v>
      </c>
      <c r="X837" s="135" t="s">
        <v>3466</v>
      </c>
      <c r="Y837" s="135"/>
      <c r="Z837" s="135" t="s">
        <v>2858</v>
      </c>
      <c r="AA837" s="135"/>
      <c r="AB837" s="135"/>
      <c r="AC837" s="135"/>
      <c r="AD837" s="135">
        <v>46121.0</v>
      </c>
      <c r="AE837" s="135"/>
      <c r="AF837" s="135"/>
      <c r="AG837" s="135"/>
    </row>
    <row r="838" ht="21.75" hidden="1" customHeight="1">
      <c r="A838" s="135">
        <v>834.0</v>
      </c>
      <c r="B838" s="135">
        <v>25045.0</v>
      </c>
      <c r="C838" s="135"/>
      <c r="D838" s="135">
        <v>5.0</v>
      </c>
      <c r="E838" s="135" t="s">
        <v>3455</v>
      </c>
      <c r="F838" s="135" t="s">
        <v>1963</v>
      </c>
      <c r="G838" s="135" t="s">
        <v>83</v>
      </c>
      <c r="H838" s="135" t="s">
        <v>2853</v>
      </c>
      <c r="I838" s="135" t="s">
        <v>87</v>
      </c>
      <c r="J838" s="135">
        <v>1.0</v>
      </c>
      <c r="K838" s="135"/>
      <c r="L838" s="135">
        <v>3863.0</v>
      </c>
      <c r="M838" s="135">
        <v>3050.0</v>
      </c>
      <c r="N838" s="135">
        <v>120.0</v>
      </c>
      <c r="O838" s="135">
        <v>1.573</v>
      </c>
      <c r="P838" s="136">
        <v>0.0</v>
      </c>
      <c r="Q838" s="137">
        <v>3.9325</v>
      </c>
      <c r="R838" s="136">
        <v>46114.0</v>
      </c>
      <c r="S838" s="135" t="s">
        <v>3439</v>
      </c>
      <c r="T838" s="136"/>
      <c r="U838" s="135" t="s">
        <v>2864</v>
      </c>
      <c r="V838" s="135" t="s">
        <v>3100</v>
      </c>
      <c r="W838" s="135" t="s">
        <v>3457</v>
      </c>
      <c r="X838" s="135"/>
      <c r="Y838" s="135"/>
      <c r="Z838" s="135" t="s">
        <v>2858</v>
      </c>
      <c r="AA838" s="135"/>
      <c r="AB838" s="135"/>
      <c r="AC838" s="135"/>
      <c r="AD838" s="135">
        <v>46120.0</v>
      </c>
      <c r="AE838" s="135"/>
      <c r="AF838" s="135"/>
      <c r="AG838" s="135"/>
    </row>
    <row r="839" ht="21.75" hidden="1" customHeight="1">
      <c r="A839" s="135">
        <v>835.0</v>
      </c>
      <c r="B839" s="135">
        <v>25045.0</v>
      </c>
      <c r="C839" s="135"/>
      <c r="D839" s="135">
        <v>5.0</v>
      </c>
      <c r="E839" s="135" t="s">
        <v>3455</v>
      </c>
      <c r="F839" s="135" t="s">
        <v>1964</v>
      </c>
      <c r="G839" s="135" t="s">
        <v>83</v>
      </c>
      <c r="H839" s="135" t="s">
        <v>2853</v>
      </c>
      <c r="I839" s="135" t="s">
        <v>87</v>
      </c>
      <c r="J839" s="135">
        <v>1.0</v>
      </c>
      <c r="K839" s="135" t="s">
        <v>3134</v>
      </c>
      <c r="L839" s="135">
        <v>4534.0</v>
      </c>
      <c r="M839" s="135">
        <v>3050.0</v>
      </c>
      <c r="N839" s="135">
        <v>120.0</v>
      </c>
      <c r="O839" s="135">
        <v>1.906</v>
      </c>
      <c r="P839" s="136">
        <v>0.0</v>
      </c>
      <c r="Q839" s="137">
        <v>4.765</v>
      </c>
      <c r="R839" s="136">
        <v>46114.0</v>
      </c>
      <c r="S839" s="135" t="s">
        <v>3439</v>
      </c>
      <c r="T839" s="136"/>
      <c r="U839" s="135" t="s">
        <v>2855</v>
      </c>
      <c r="V839" s="135" t="s">
        <v>2876</v>
      </c>
      <c r="W839" s="135" t="s">
        <v>3447</v>
      </c>
      <c r="X839" s="135"/>
      <c r="Y839" s="135"/>
      <c r="Z839" s="135" t="s">
        <v>2858</v>
      </c>
      <c r="AA839" s="135"/>
      <c r="AB839" s="135"/>
      <c r="AC839" s="135"/>
      <c r="AD839" s="135">
        <v>46119.0</v>
      </c>
      <c r="AE839" s="135"/>
      <c r="AF839" s="135"/>
      <c r="AG839" s="135"/>
    </row>
    <row r="840" ht="21.75" hidden="1" customHeight="1">
      <c r="A840" s="135">
        <v>836.0</v>
      </c>
      <c r="B840" s="135">
        <v>25045.0</v>
      </c>
      <c r="C840" s="135"/>
      <c r="D840" s="135">
        <v>5.0</v>
      </c>
      <c r="E840" s="135" t="s">
        <v>3455</v>
      </c>
      <c r="F840" s="135" t="s">
        <v>1965</v>
      </c>
      <c r="G840" s="135" t="s">
        <v>83</v>
      </c>
      <c r="H840" s="135" t="s">
        <v>2853</v>
      </c>
      <c r="I840" s="135" t="s">
        <v>87</v>
      </c>
      <c r="J840" s="135">
        <v>1.0</v>
      </c>
      <c r="K840" s="135" t="s">
        <v>3134</v>
      </c>
      <c r="L840" s="135">
        <v>4534.0</v>
      </c>
      <c r="M840" s="135">
        <v>3050.0</v>
      </c>
      <c r="N840" s="135">
        <v>120.0</v>
      </c>
      <c r="O840" s="135">
        <v>1.906</v>
      </c>
      <c r="P840" s="136">
        <v>0.0</v>
      </c>
      <c r="Q840" s="137">
        <v>4.765</v>
      </c>
      <c r="R840" s="136">
        <v>46114.0</v>
      </c>
      <c r="S840" s="135" t="s">
        <v>3439</v>
      </c>
      <c r="T840" s="136"/>
      <c r="U840" s="135" t="s">
        <v>2855</v>
      </c>
      <c r="V840" s="135" t="s">
        <v>2876</v>
      </c>
      <c r="W840" s="135" t="s">
        <v>3447</v>
      </c>
      <c r="X840" s="135"/>
      <c r="Y840" s="135"/>
      <c r="Z840" s="135" t="s">
        <v>2858</v>
      </c>
      <c r="AA840" s="135"/>
      <c r="AB840" s="135"/>
      <c r="AC840" s="135"/>
      <c r="AD840" s="135">
        <v>46121.0</v>
      </c>
      <c r="AE840" s="135"/>
      <c r="AF840" s="135"/>
      <c r="AG840" s="135"/>
    </row>
    <row r="841" ht="21.75" hidden="1" customHeight="1">
      <c r="A841" s="135">
        <v>837.0</v>
      </c>
      <c r="B841" s="135">
        <v>25045.0</v>
      </c>
      <c r="C841" s="135"/>
      <c r="D841" s="135">
        <v>5.0</v>
      </c>
      <c r="E841" s="135" t="s">
        <v>3455</v>
      </c>
      <c r="F841" s="135" t="s">
        <v>1966</v>
      </c>
      <c r="G841" s="135" t="s">
        <v>83</v>
      </c>
      <c r="H841" s="135" t="s">
        <v>2853</v>
      </c>
      <c r="I841" s="135" t="s">
        <v>87</v>
      </c>
      <c r="J841" s="135">
        <v>1.0</v>
      </c>
      <c r="K841" s="135" t="s">
        <v>3134</v>
      </c>
      <c r="L841" s="135">
        <v>4534.0</v>
      </c>
      <c r="M841" s="135">
        <v>3050.0</v>
      </c>
      <c r="N841" s="135">
        <v>120.0</v>
      </c>
      <c r="O841" s="135">
        <v>1.906</v>
      </c>
      <c r="P841" s="136">
        <v>0.0</v>
      </c>
      <c r="Q841" s="137">
        <v>4.765</v>
      </c>
      <c r="R841" s="136">
        <v>46114.0</v>
      </c>
      <c r="S841" s="135" t="s">
        <v>3439</v>
      </c>
      <c r="T841" s="136"/>
      <c r="U841" s="135" t="s">
        <v>2855</v>
      </c>
      <c r="V841" s="135" t="s">
        <v>2876</v>
      </c>
      <c r="W841" s="135" t="s">
        <v>3447</v>
      </c>
      <c r="X841" s="135"/>
      <c r="Y841" s="135"/>
      <c r="Z841" s="135" t="s">
        <v>2858</v>
      </c>
      <c r="AA841" s="135"/>
      <c r="AB841" s="135"/>
      <c r="AC841" s="135"/>
      <c r="AD841" s="135">
        <v>46122.0</v>
      </c>
      <c r="AE841" s="135"/>
      <c r="AF841" s="135"/>
      <c r="AG841" s="135"/>
    </row>
    <row r="842" ht="21.75" hidden="1" customHeight="1">
      <c r="A842" s="135">
        <v>838.0</v>
      </c>
      <c r="B842" s="135">
        <v>25045.0</v>
      </c>
      <c r="C842" s="135"/>
      <c r="D842" s="135">
        <v>5.0</v>
      </c>
      <c r="E842" s="135" t="s">
        <v>3455</v>
      </c>
      <c r="F842" s="135" t="s">
        <v>1967</v>
      </c>
      <c r="G842" s="135" t="s">
        <v>83</v>
      </c>
      <c r="H842" s="135" t="s">
        <v>2853</v>
      </c>
      <c r="I842" s="135" t="s">
        <v>87</v>
      </c>
      <c r="J842" s="135">
        <v>1.0</v>
      </c>
      <c r="K842" s="135"/>
      <c r="L842" s="135">
        <v>4534.0</v>
      </c>
      <c r="M842" s="135">
        <v>3050.0</v>
      </c>
      <c r="N842" s="135">
        <v>120.0</v>
      </c>
      <c r="O842" s="135">
        <v>1.58</v>
      </c>
      <c r="P842" s="136">
        <v>0.0</v>
      </c>
      <c r="Q842" s="137">
        <v>3.95</v>
      </c>
      <c r="R842" s="136">
        <v>46114.0</v>
      </c>
      <c r="S842" s="135" t="s">
        <v>3439</v>
      </c>
      <c r="T842" s="136"/>
      <c r="U842" s="135" t="s">
        <v>2864</v>
      </c>
      <c r="V842" s="135" t="s">
        <v>2985</v>
      </c>
      <c r="W842" s="135" t="s">
        <v>3467</v>
      </c>
      <c r="X842" s="135" t="s">
        <v>2892</v>
      </c>
      <c r="Y842" s="135"/>
      <c r="Z842" s="135" t="s">
        <v>2858</v>
      </c>
      <c r="AA842" s="135"/>
      <c r="AB842" s="135"/>
      <c r="AC842" s="135"/>
      <c r="AD842" s="135">
        <v>46140.0</v>
      </c>
      <c r="AE842" s="135"/>
      <c r="AF842" s="135"/>
      <c r="AG842" s="135"/>
    </row>
    <row r="843" ht="21.75" hidden="1" customHeight="1">
      <c r="A843" s="135">
        <v>839.0</v>
      </c>
      <c r="B843" s="135">
        <v>25045.0</v>
      </c>
      <c r="C843" s="135"/>
      <c r="D843" s="135">
        <v>5.0</v>
      </c>
      <c r="E843" s="135" t="s">
        <v>3455</v>
      </c>
      <c r="F843" s="135" t="s">
        <v>1968</v>
      </c>
      <c r="G843" s="135" t="s">
        <v>83</v>
      </c>
      <c r="H843" s="135" t="s">
        <v>2853</v>
      </c>
      <c r="I843" s="135" t="s">
        <v>87</v>
      </c>
      <c r="J843" s="135">
        <v>1.0</v>
      </c>
      <c r="K843" s="135"/>
      <c r="L843" s="135">
        <v>4534.0</v>
      </c>
      <c r="M843" s="135">
        <v>2950.0</v>
      </c>
      <c r="N843" s="135">
        <v>120.0</v>
      </c>
      <c r="O843" s="135">
        <v>1.54</v>
      </c>
      <c r="P843" s="136">
        <v>0.0</v>
      </c>
      <c r="Q843" s="137">
        <v>3.85</v>
      </c>
      <c r="R843" s="136">
        <v>46114.0</v>
      </c>
      <c r="S843" s="135" t="s">
        <v>3439</v>
      </c>
      <c r="T843" s="136"/>
      <c r="U843" s="135" t="s">
        <v>2864</v>
      </c>
      <c r="V843" s="135" t="s">
        <v>2985</v>
      </c>
      <c r="W843" s="135" t="s">
        <v>3468</v>
      </c>
      <c r="X843" s="135" t="s">
        <v>2895</v>
      </c>
      <c r="Y843" s="135"/>
      <c r="Z843" s="135" t="s">
        <v>2858</v>
      </c>
      <c r="AA843" s="135"/>
      <c r="AB843" s="135"/>
      <c r="AC843" s="135"/>
      <c r="AD843" s="135">
        <v>46139.0</v>
      </c>
      <c r="AE843" s="135"/>
      <c r="AF843" s="135"/>
      <c r="AG843" s="135"/>
    </row>
    <row r="844" ht="21.75" hidden="1" customHeight="1">
      <c r="A844" s="135">
        <v>840.0</v>
      </c>
      <c r="B844" s="135">
        <v>25045.0</v>
      </c>
      <c r="C844" s="135"/>
      <c r="D844" s="135">
        <v>5.0</v>
      </c>
      <c r="E844" s="135" t="s">
        <v>3455</v>
      </c>
      <c r="F844" s="135" t="s">
        <v>1969</v>
      </c>
      <c r="G844" s="135" t="s">
        <v>83</v>
      </c>
      <c r="H844" s="135" t="s">
        <v>2853</v>
      </c>
      <c r="I844" s="135" t="s">
        <v>87</v>
      </c>
      <c r="J844" s="135">
        <v>1.0</v>
      </c>
      <c r="K844" s="135" t="s">
        <v>3134</v>
      </c>
      <c r="L844" s="135">
        <v>4534.0</v>
      </c>
      <c r="M844" s="135">
        <v>2950.0</v>
      </c>
      <c r="N844" s="135">
        <v>120.0</v>
      </c>
      <c r="O844" s="135">
        <v>1.851</v>
      </c>
      <c r="P844" s="136">
        <v>0.0</v>
      </c>
      <c r="Q844" s="137">
        <v>4.6274999999999995</v>
      </c>
      <c r="R844" s="136">
        <v>46114.0</v>
      </c>
      <c r="S844" s="135" t="s">
        <v>3439</v>
      </c>
      <c r="T844" s="136"/>
      <c r="U844" s="135" t="s">
        <v>2855</v>
      </c>
      <c r="V844" s="135" t="s">
        <v>2876</v>
      </c>
      <c r="W844" s="135" t="s">
        <v>3447</v>
      </c>
      <c r="X844" s="135"/>
      <c r="Y844" s="135"/>
      <c r="Z844" s="135" t="s">
        <v>2858</v>
      </c>
      <c r="AA844" s="135"/>
      <c r="AB844" s="135"/>
      <c r="AC844" s="135"/>
      <c r="AD844" s="135">
        <v>46119.0</v>
      </c>
      <c r="AE844" s="135"/>
      <c r="AF844" s="135"/>
      <c r="AG844" s="135"/>
    </row>
    <row r="845" ht="21.75" hidden="1" customHeight="1">
      <c r="A845" s="135">
        <v>841.0</v>
      </c>
      <c r="B845" s="135">
        <v>25045.0</v>
      </c>
      <c r="C845" s="135"/>
      <c r="D845" s="135">
        <v>5.0</v>
      </c>
      <c r="E845" s="135" t="s">
        <v>3455</v>
      </c>
      <c r="F845" s="135" t="s">
        <v>1970</v>
      </c>
      <c r="G845" s="135" t="s">
        <v>83</v>
      </c>
      <c r="H845" s="135" t="s">
        <v>2853</v>
      </c>
      <c r="I845" s="135" t="s">
        <v>87</v>
      </c>
      <c r="J845" s="135">
        <v>1.0</v>
      </c>
      <c r="K845" s="135" t="s">
        <v>3134</v>
      </c>
      <c r="L845" s="135">
        <v>4534.0</v>
      </c>
      <c r="M845" s="135">
        <v>2950.0</v>
      </c>
      <c r="N845" s="135">
        <v>120.0</v>
      </c>
      <c r="O845" s="135">
        <v>1.851</v>
      </c>
      <c r="P845" s="136">
        <v>0.0</v>
      </c>
      <c r="Q845" s="137">
        <v>4.6274999999999995</v>
      </c>
      <c r="R845" s="136">
        <v>46114.0</v>
      </c>
      <c r="S845" s="135" t="s">
        <v>3439</v>
      </c>
      <c r="T845" s="136"/>
      <c r="U845" s="135" t="s">
        <v>2855</v>
      </c>
      <c r="V845" s="135" t="s">
        <v>2876</v>
      </c>
      <c r="W845" s="135" t="s">
        <v>3447</v>
      </c>
      <c r="X845" s="135"/>
      <c r="Y845" s="135"/>
      <c r="Z845" s="135" t="s">
        <v>2858</v>
      </c>
      <c r="AA845" s="135"/>
      <c r="AB845" s="135"/>
      <c r="AC845" s="135"/>
      <c r="AD845" s="135">
        <v>46127.0</v>
      </c>
      <c r="AE845" s="135"/>
      <c r="AF845" s="135"/>
      <c r="AG845" s="135"/>
    </row>
    <row r="846" ht="21.75" hidden="1" customHeight="1">
      <c r="A846" s="135">
        <v>842.0</v>
      </c>
      <c r="B846" s="135">
        <v>25045.0</v>
      </c>
      <c r="C846" s="135"/>
      <c r="D846" s="135">
        <v>5.0</v>
      </c>
      <c r="E846" s="135" t="s">
        <v>3455</v>
      </c>
      <c r="F846" s="135" t="s">
        <v>1971</v>
      </c>
      <c r="G846" s="135" t="s">
        <v>83</v>
      </c>
      <c r="H846" s="135" t="s">
        <v>2853</v>
      </c>
      <c r="I846" s="135" t="s">
        <v>87</v>
      </c>
      <c r="J846" s="135">
        <v>1.0</v>
      </c>
      <c r="K846" s="135" t="s">
        <v>3134</v>
      </c>
      <c r="L846" s="135">
        <v>4534.0</v>
      </c>
      <c r="M846" s="135">
        <v>2950.0</v>
      </c>
      <c r="N846" s="135">
        <v>120.0</v>
      </c>
      <c r="O846" s="135">
        <v>1.851</v>
      </c>
      <c r="P846" s="136">
        <v>0.0</v>
      </c>
      <c r="Q846" s="137">
        <v>4.6274999999999995</v>
      </c>
      <c r="R846" s="136">
        <v>46114.0</v>
      </c>
      <c r="S846" s="135" t="s">
        <v>3439</v>
      </c>
      <c r="T846" s="136"/>
      <c r="U846" s="135" t="s">
        <v>2855</v>
      </c>
      <c r="V846" s="135" t="s">
        <v>2876</v>
      </c>
      <c r="W846" s="135" t="s">
        <v>3447</v>
      </c>
      <c r="X846" s="135"/>
      <c r="Y846" s="135"/>
      <c r="Z846" s="135" t="s">
        <v>2858</v>
      </c>
      <c r="AA846" s="135"/>
      <c r="AB846" s="135"/>
      <c r="AC846" s="135"/>
      <c r="AD846" s="135">
        <v>46128.0</v>
      </c>
      <c r="AE846" s="135"/>
      <c r="AF846" s="135"/>
      <c r="AG846" s="135"/>
    </row>
    <row r="847" ht="21.75" hidden="1" customHeight="1">
      <c r="A847" s="135">
        <v>843.0</v>
      </c>
      <c r="B847" s="135">
        <v>25045.0</v>
      </c>
      <c r="C847" s="135"/>
      <c r="D847" s="135">
        <v>5.0</v>
      </c>
      <c r="E847" s="135" t="s">
        <v>3455</v>
      </c>
      <c r="F847" s="135" t="s">
        <v>1972</v>
      </c>
      <c r="G847" s="135" t="s">
        <v>83</v>
      </c>
      <c r="H847" s="135" t="s">
        <v>2853</v>
      </c>
      <c r="I847" s="135" t="s">
        <v>87</v>
      </c>
      <c r="J847" s="135">
        <v>1.0</v>
      </c>
      <c r="K847" s="135"/>
      <c r="L847" s="135">
        <v>5000.0</v>
      </c>
      <c r="M847" s="135">
        <v>2950.0</v>
      </c>
      <c r="N847" s="135">
        <v>120.0</v>
      </c>
      <c r="O847" s="135">
        <v>1.972</v>
      </c>
      <c r="P847" s="136">
        <v>0.0</v>
      </c>
      <c r="Q847" s="137">
        <v>4.93</v>
      </c>
      <c r="R847" s="136">
        <v>46114.0</v>
      </c>
      <c r="S847" s="135" t="s">
        <v>3439</v>
      </c>
      <c r="T847" s="136"/>
      <c r="U847" s="135" t="s">
        <v>2855</v>
      </c>
      <c r="V847" s="135" t="s">
        <v>2876</v>
      </c>
      <c r="W847" s="135" t="s">
        <v>3106</v>
      </c>
      <c r="X847" s="135"/>
      <c r="Y847" s="135"/>
      <c r="Z847" s="135" t="s">
        <v>2858</v>
      </c>
      <c r="AA847" s="135"/>
      <c r="AB847" s="135"/>
      <c r="AC847" s="135"/>
      <c r="AD847" s="135">
        <v>46136.0</v>
      </c>
      <c r="AE847" s="135"/>
      <c r="AF847" s="135"/>
      <c r="AG847" s="135"/>
    </row>
    <row r="848" ht="21.75" hidden="1" customHeight="1">
      <c r="A848" s="135">
        <v>844.0</v>
      </c>
      <c r="B848" s="135">
        <v>25045.0</v>
      </c>
      <c r="C848" s="135"/>
      <c r="D848" s="135">
        <v>5.0</v>
      </c>
      <c r="E848" s="135" t="s">
        <v>3455</v>
      </c>
      <c r="F848" s="135" t="s">
        <v>1973</v>
      </c>
      <c r="G848" s="135" t="s">
        <v>83</v>
      </c>
      <c r="H848" s="135" t="s">
        <v>2853</v>
      </c>
      <c r="I848" s="135" t="s">
        <v>87</v>
      </c>
      <c r="J848" s="135">
        <v>1.0</v>
      </c>
      <c r="K848" s="135"/>
      <c r="L848" s="135">
        <v>1635.0</v>
      </c>
      <c r="M848" s="135">
        <v>910.0</v>
      </c>
      <c r="N848" s="135">
        <v>120.0</v>
      </c>
      <c r="O848" s="135">
        <v>0.308</v>
      </c>
      <c r="P848" s="136">
        <v>0.0</v>
      </c>
      <c r="Q848" s="137">
        <v>0.77</v>
      </c>
      <c r="R848" s="136">
        <v>46114.0</v>
      </c>
      <c r="S848" s="135" t="s">
        <v>3439</v>
      </c>
      <c r="T848" s="136"/>
      <c r="U848" s="135" t="s">
        <v>2864</v>
      </c>
      <c r="V848" s="135" t="s">
        <v>2953</v>
      </c>
      <c r="W848" s="135" t="s">
        <v>3360</v>
      </c>
      <c r="X848" s="135"/>
      <c r="Y848" s="135"/>
      <c r="Z848" s="135" t="s">
        <v>2858</v>
      </c>
      <c r="AA848" s="135"/>
      <c r="AB848" s="135"/>
      <c r="AC848" s="135"/>
      <c r="AD848" s="135">
        <v>46126.0</v>
      </c>
      <c r="AE848" s="135"/>
      <c r="AF848" s="135"/>
      <c r="AG848" s="135"/>
    </row>
    <row r="849" ht="21.75" hidden="1" customHeight="1">
      <c r="A849" s="135">
        <v>845.0</v>
      </c>
      <c r="B849" s="135">
        <v>25045.0</v>
      </c>
      <c r="C849" s="135"/>
      <c r="D849" s="135">
        <v>5.0</v>
      </c>
      <c r="E849" s="135" t="s">
        <v>3455</v>
      </c>
      <c r="F849" s="135" t="s">
        <v>1974</v>
      </c>
      <c r="G849" s="135" t="s">
        <v>83</v>
      </c>
      <c r="H849" s="135" t="s">
        <v>2965</v>
      </c>
      <c r="I849" s="135" t="s">
        <v>87</v>
      </c>
      <c r="J849" s="135">
        <v>1.0</v>
      </c>
      <c r="K849" s="135"/>
      <c r="L849" s="135">
        <v>400.0</v>
      </c>
      <c r="M849" s="135">
        <v>2550.0</v>
      </c>
      <c r="N849" s="135">
        <v>350.0</v>
      </c>
      <c r="O849" s="135">
        <v>0.421</v>
      </c>
      <c r="P849" s="136">
        <v>0.0</v>
      </c>
      <c r="Q849" s="137">
        <v>1.0525</v>
      </c>
      <c r="R849" s="136">
        <v>46114.0</v>
      </c>
      <c r="S849" s="135" t="s">
        <v>3439</v>
      </c>
      <c r="T849" s="136"/>
      <c r="U849" s="135" t="s">
        <v>2966</v>
      </c>
      <c r="V849" s="135" t="s">
        <v>2967</v>
      </c>
      <c r="W849" s="135"/>
      <c r="X849" s="135" t="s">
        <v>2969</v>
      </c>
      <c r="Y849" s="135"/>
      <c r="Z849" s="135" t="s">
        <v>2858</v>
      </c>
      <c r="AA849" s="135"/>
      <c r="AB849" s="135"/>
      <c r="AC849" s="135"/>
      <c r="AD849" s="135">
        <v>46134.0</v>
      </c>
      <c r="AE849" s="135"/>
      <c r="AF849" s="135"/>
      <c r="AG849" s="135"/>
    </row>
    <row r="850" ht="21.75" hidden="1" customHeight="1">
      <c r="A850" s="135">
        <v>846.0</v>
      </c>
      <c r="B850" s="135">
        <v>25045.0</v>
      </c>
      <c r="C850" s="135"/>
      <c r="D850" s="135">
        <v>5.0</v>
      </c>
      <c r="E850" s="135" t="s">
        <v>3469</v>
      </c>
      <c r="F850" s="135" t="s">
        <v>1975</v>
      </c>
      <c r="G850" s="135" t="s">
        <v>83</v>
      </c>
      <c r="H850" s="135" t="s">
        <v>2853</v>
      </c>
      <c r="I850" s="135" t="s">
        <v>88</v>
      </c>
      <c r="J850" s="135">
        <v>1.0</v>
      </c>
      <c r="K850" s="135"/>
      <c r="L850" s="135">
        <v>4534.0</v>
      </c>
      <c r="M850" s="135">
        <v>3050.0</v>
      </c>
      <c r="N850" s="135">
        <v>120.0</v>
      </c>
      <c r="O850" s="135">
        <v>1.58</v>
      </c>
      <c r="P850" s="136">
        <v>0.0</v>
      </c>
      <c r="Q850" s="137">
        <v>3.95</v>
      </c>
      <c r="R850" s="136">
        <v>46114.0</v>
      </c>
      <c r="S850" s="135" t="s">
        <v>3439</v>
      </c>
      <c r="T850" s="136"/>
      <c r="U850" s="135" t="s">
        <v>2864</v>
      </c>
      <c r="V850" s="135" t="s">
        <v>2985</v>
      </c>
      <c r="W850" s="135" t="s">
        <v>3470</v>
      </c>
      <c r="X850" s="135" t="s">
        <v>2895</v>
      </c>
      <c r="Y850" s="135"/>
      <c r="Z850" s="135" t="s">
        <v>2858</v>
      </c>
      <c r="AA850" s="135"/>
      <c r="AB850" s="135"/>
      <c r="AC850" s="135"/>
      <c r="AD850" s="135">
        <v>46137.0</v>
      </c>
      <c r="AE850" s="135"/>
      <c r="AF850" s="135"/>
      <c r="AG850" s="135"/>
    </row>
    <row r="851" ht="21.75" hidden="1" customHeight="1">
      <c r="A851" s="135">
        <v>847.0</v>
      </c>
      <c r="B851" s="135">
        <v>25045.0</v>
      </c>
      <c r="C851" s="135"/>
      <c r="D851" s="135">
        <v>5.0</v>
      </c>
      <c r="E851" s="135" t="s">
        <v>3469</v>
      </c>
      <c r="F851" s="135" t="s">
        <v>1976</v>
      </c>
      <c r="G851" s="135" t="s">
        <v>83</v>
      </c>
      <c r="H851" s="135" t="s">
        <v>2853</v>
      </c>
      <c r="I851" s="135" t="s">
        <v>88</v>
      </c>
      <c r="J851" s="135">
        <v>1.0</v>
      </c>
      <c r="K851" s="135" t="s">
        <v>3134</v>
      </c>
      <c r="L851" s="135">
        <v>4534.0</v>
      </c>
      <c r="M851" s="135">
        <v>3050.0</v>
      </c>
      <c r="N851" s="135">
        <v>120.0</v>
      </c>
      <c r="O851" s="135">
        <v>1.906</v>
      </c>
      <c r="P851" s="136">
        <v>0.0</v>
      </c>
      <c r="Q851" s="137">
        <v>4.765</v>
      </c>
      <c r="R851" s="136">
        <v>46114.0</v>
      </c>
      <c r="S851" s="135" t="s">
        <v>3439</v>
      </c>
      <c r="T851" s="136"/>
      <c r="U851" s="135" t="s">
        <v>2855</v>
      </c>
      <c r="V851" s="135" t="s">
        <v>2876</v>
      </c>
      <c r="W851" s="135" t="s">
        <v>3447</v>
      </c>
      <c r="X851" s="135"/>
      <c r="Y851" s="135"/>
      <c r="Z851" s="135" t="s">
        <v>2858</v>
      </c>
      <c r="AA851" s="135"/>
      <c r="AB851" s="135"/>
      <c r="AC851" s="135"/>
      <c r="AD851" s="135">
        <v>46135.0</v>
      </c>
      <c r="AE851" s="135"/>
      <c r="AF851" s="135"/>
      <c r="AG851" s="135"/>
    </row>
    <row r="852" ht="21.75" hidden="1" customHeight="1">
      <c r="A852" s="135">
        <v>848.0</v>
      </c>
      <c r="B852" s="135">
        <v>25045.0</v>
      </c>
      <c r="C852" s="135"/>
      <c r="D852" s="135">
        <v>5.0</v>
      </c>
      <c r="E852" s="135" t="s">
        <v>3469</v>
      </c>
      <c r="F852" s="135" t="s">
        <v>1977</v>
      </c>
      <c r="G852" s="135" t="s">
        <v>83</v>
      </c>
      <c r="H852" s="135" t="s">
        <v>2853</v>
      </c>
      <c r="I852" s="135" t="s">
        <v>88</v>
      </c>
      <c r="J852" s="135">
        <v>1.0</v>
      </c>
      <c r="K852" s="135" t="s">
        <v>3134</v>
      </c>
      <c r="L852" s="135">
        <v>4534.0</v>
      </c>
      <c r="M852" s="135">
        <v>3050.0</v>
      </c>
      <c r="N852" s="135">
        <v>120.0</v>
      </c>
      <c r="O852" s="135">
        <v>1.906</v>
      </c>
      <c r="P852" s="136">
        <v>0.0</v>
      </c>
      <c r="Q852" s="137">
        <v>4.765</v>
      </c>
      <c r="R852" s="136">
        <v>46114.0</v>
      </c>
      <c r="S852" s="135" t="s">
        <v>3439</v>
      </c>
      <c r="T852" s="136"/>
      <c r="U852" s="135" t="s">
        <v>2855</v>
      </c>
      <c r="V852" s="135" t="s">
        <v>2876</v>
      </c>
      <c r="W852" s="135" t="s">
        <v>3447</v>
      </c>
      <c r="X852" s="135"/>
      <c r="Y852" s="135"/>
      <c r="Z852" s="135" t="s">
        <v>2858</v>
      </c>
      <c r="AA852" s="135"/>
      <c r="AB852" s="135"/>
      <c r="AC852" s="135"/>
      <c r="AD852" s="135">
        <v>46136.0</v>
      </c>
      <c r="AE852" s="135"/>
      <c r="AF852" s="135"/>
      <c r="AG852" s="135"/>
    </row>
    <row r="853" ht="21.75" hidden="1" customHeight="1">
      <c r="A853" s="135">
        <v>849.0</v>
      </c>
      <c r="B853" s="135">
        <v>25045.0</v>
      </c>
      <c r="C853" s="135"/>
      <c r="D853" s="135">
        <v>5.0</v>
      </c>
      <c r="E853" s="135" t="s">
        <v>3469</v>
      </c>
      <c r="F853" s="135" t="s">
        <v>1978</v>
      </c>
      <c r="G853" s="135" t="s">
        <v>83</v>
      </c>
      <c r="H853" s="135" t="s">
        <v>2853</v>
      </c>
      <c r="I853" s="135" t="s">
        <v>88</v>
      </c>
      <c r="J853" s="135">
        <v>1.0</v>
      </c>
      <c r="K853" s="135" t="s">
        <v>3134</v>
      </c>
      <c r="L853" s="135">
        <v>4534.0</v>
      </c>
      <c r="M853" s="135">
        <v>3050.0</v>
      </c>
      <c r="N853" s="135">
        <v>120.0</v>
      </c>
      <c r="O853" s="135">
        <v>1.906</v>
      </c>
      <c r="P853" s="136">
        <v>0.0</v>
      </c>
      <c r="Q853" s="137">
        <v>4.765</v>
      </c>
      <c r="R853" s="136">
        <v>46114.0</v>
      </c>
      <c r="S853" s="135" t="s">
        <v>3439</v>
      </c>
      <c r="T853" s="136"/>
      <c r="U853" s="135" t="s">
        <v>2855</v>
      </c>
      <c r="V853" s="135" t="s">
        <v>2876</v>
      </c>
      <c r="W853" s="135" t="s">
        <v>3447</v>
      </c>
      <c r="X853" s="135"/>
      <c r="Y853" s="135"/>
      <c r="Z853" s="135" t="s">
        <v>2858</v>
      </c>
      <c r="AA853" s="135"/>
      <c r="AB853" s="135"/>
      <c r="AC853" s="135"/>
      <c r="AD853" s="135">
        <v>46137.0</v>
      </c>
      <c r="AE853" s="135"/>
      <c r="AF853" s="135"/>
      <c r="AG853" s="135"/>
    </row>
    <row r="854" ht="21.75" hidden="1" customHeight="1">
      <c r="A854" s="135">
        <v>850.0</v>
      </c>
      <c r="B854" s="135">
        <v>25045.0</v>
      </c>
      <c r="C854" s="135"/>
      <c r="D854" s="135">
        <v>5.0</v>
      </c>
      <c r="E854" s="135" t="s">
        <v>3469</v>
      </c>
      <c r="F854" s="135" t="s">
        <v>1979</v>
      </c>
      <c r="G854" s="135" t="s">
        <v>83</v>
      </c>
      <c r="H854" s="135" t="s">
        <v>2853</v>
      </c>
      <c r="I854" s="135" t="s">
        <v>88</v>
      </c>
      <c r="J854" s="135">
        <v>1.0</v>
      </c>
      <c r="K854" s="135"/>
      <c r="L854" s="135">
        <v>5000.0</v>
      </c>
      <c r="M854" s="135">
        <v>3050.0</v>
      </c>
      <c r="N854" s="135">
        <v>120.0</v>
      </c>
      <c r="O854" s="135">
        <v>2.032</v>
      </c>
      <c r="P854" s="136">
        <v>0.0</v>
      </c>
      <c r="Q854" s="137">
        <v>5.08</v>
      </c>
      <c r="R854" s="136">
        <v>46114.0</v>
      </c>
      <c r="S854" s="135" t="s">
        <v>3439</v>
      </c>
      <c r="T854" s="136"/>
      <c r="U854" s="135" t="s">
        <v>2855</v>
      </c>
      <c r="V854" s="135" t="s">
        <v>2876</v>
      </c>
      <c r="W854" s="135" t="s">
        <v>3106</v>
      </c>
      <c r="X854" s="135"/>
      <c r="Y854" s="135"/>
      <c r="Z854" s="135" t="s">
        <v>2858</v>
      </c>
      <c r="AA854" s="135"/>
      <c r="AB854" s="135"/>
      <c r="AC854" s="135"/>
      <c r="AD854" s="135">
        <v>46135.0</v>
      </c>
      <c r="AE854" s="135"/>
      <c r="AF854" s="135"/>
      <c r="AG854" s="135"/>
    </row>
    <row r="855" ht="21.75" hidden="1" customHeight="1">
      <c r="A855" s="135">
        <v>851.0</v>
      </c>
      <c r="B855" s="135">
        <v>25045.0</v>
      </c>
      <c r="C855" s="135"/>
      <c r="D855" s="135">
        <v>5.0</v>
      </c>
      <c r="E855" s="135" t="s">
        <v>3469</v>
      </c>
      <c r="F855" s="135" t="s">
        <v>1980</v>
      </c>
      <c r="G855" s="135" t="s">
        <v>83</v>
      </c>
      <c r="H855" s="135" t="s">
        <v>2853</v>
      </c>
      <c r="I855" s="135" t="s">
        <v>88</v>
      </c>
      <c r="J855" s="135">
        <v>1.0</v>
      </c>
      <c r="K855" s="135"/>
      <c r="L855" s="135">
        <v>1635.0</v>
      </c>
      <c r="M855" s="135">
        <v>1090.0</v>
      </c>
      <c r="N855" s="135">
        <v>120.0</v>
      </c>
      <c r="O855" s="135">
        <v>0.33</v>
      </c>
      <c r="P855" s="136">
        <v>0.0</v>
      </c>
      <c r="Q855" s="137">
        <v>0.8250000000000001</v>
      </c>
      <c r="R855" s="136">
        <v>46114.0</v>
      </c>
      <c r="S855" s="135" t="s">
        <v>3439</v>
      </c>
      <c r="T855" s="136"/>
      <c r="U855" s="135" t="s">
        <v>2864</v>
      </c>
      <c r="V855" s="135" t="s">
        <v>2953</v>
      </c>
      <c r="W855" s="135" t="s">
        <v>3471</v>
      </c>
      <c r="X855" s="135"/>
      <c r="Y855" s="135"/>
      <c r="Z855" s="135" t="s">
        <v>2858</v>
      </c>
      <c r="AA855" s="135"/>
      <c r="AB855" s="135"/>
      <c r="AC855" s="135"/>
      <c r="AD855" s="135">
        <v>46132.0</v>
      </c>
      <c r="AE855" s="135"/>
      <c r="AF855" s="135"/>
      <c r="AG855" s="135"/>
    </row>
    <row r="856" ht="21.75" hidden="1" customHeight="1">
      <c r="A856" s="135">
        <v>852.0</v>
      </c>
      <c r="B856" s="135">
        <v>25045.0</v>
      </c>
      <c r="C856" s="135"/>
      <c r="D856" s="135">
        <v>5.0</v>
      </c>
      <c r="E856" s="135" t="s">
        <v>3469</v>
      </c>
      <c r="F856" s="135" t="s">
        <v>1981</v>
      </c>
      <c r="G856" s="135" t="s">
        <v>83</v>
      </c>
      <c r="H856" s="135" t="s">
        <v>2965</v>
      </c>
      <c r="I856" s="135" t="s">
        <v>88</v>
      </c>
      <c r="J856" s="135">
        <v>1.0</v>
      </c>
      <c r="K856" s="135"/>
      <c r="L856" s="135">
        <v>400.0</v>
      </c>
      <c r="M856" s="135">
        <v>2770.0</v>
      </c>
      <c r="N856" s="135">
        <v>350.0</v>
      </c>
      <c r="O856" s="135">
        <v>0.452</v>
      </c>
      <c r="P856" s="136">
        <v>0.0</v>
      </c>
      <c r="Q856" s="137">
        <v>1.1300000000000001</v>
      </c>
      <c r="R856" s="136">
        <v>46114.0</v>
      </c>
      <c r="S856" s="135" t="s">
        <v>3439</v>
      </c>
      <c r="T856" s="136"/>
      <c r="U856" s="135" t="s">
        <v>2966</v>
      </c>
      <c r="V856" s="135" t="s">
        <v>2967</v>
      </c>
      <c r="W856" s="135"/>
      <c r="X856" s="135" t="s">
        <v>2969</v>
      </c>
      <c r="Y856" s="135"/>
      <c r="Z856" s="135" t="s">
        <v>2858</v>
      </c>
      <c r="AA856" s="135"/>
      <c r="AB856" s="135"/>
      <c r="AC856" s="135"/>
      <c r="AD856" s="135">
        <v>46126.0</v>
      </c>
      <c r="AE856" s="135"/>
      <c r="AF856" s="135"/>
      <c r="AG856" s="135"/>
    </row>
    <row r="857" ht="21.75" hidden="1" customHeight="1">
      <c r="A857" s="135">
        <v>853.0</v>
      </c>
      <c r="B857" s="135">
        <v>25045.0</v>
      </c>
      <c r="C857" s="135" t="s">
        <v>2817</v>
      </c>
      <c r="D857" s="135">
        <v>5.0</v>
      </c>
      <c r="E857" s="135" t="s">
        <v>3472</v>
      </c>
      <c r="F857" s="135" t="s">
        <v>1992</v>
      </c>
      <c r="G857" s="135" t="s">
        <v>83</v>
      </c>
      <c r="H857" s="135" t="s">
        <v>2853</v>
      </c>
      <c r="I857" s="135" t="s">
        <v>89</v>
      </c>
      <c r="J857" s="135">
        <v>1.0</v>
      </c>
      <c r="K857" s="135" t="s">
        <v>3134</v>
      </c>
      <c r="L857" s="135">
        <v>2195.0</v>
      </c>
      <c r="M857" s="135">
        <v>2850.0</v>
      </c>
      <c r="N857" s="135">
        <v>120.0</v>
      </c>
      <c r="O857" s="135">
        <v>0.79</v>
      </c>
      <c r="P857" s="136">
        <v>0.0</v>
      </c>
      <c r="Q857" s="137">
        <v>1.975</v>
      </c>
      <c r="R857" s="136">
        <v>46114.0</v>
      </c>
      <c r="S857" s="135" t="s">
        <v>3439</v>
      </c>
      <c r="T857" s="136"/>
      <c r="U857" s="135" t="s">
        <v>2864</v>
      </c>
      <c r="V857" s="135" t="s">
        <v>2878</v>
      </c>
      <c r="W857" s="135" t="s">
        <v>3473</v>
      </c>
      <c r="X857" s="135" t="s">
        <v>3474</v>
      </c>
      <c r="Y857" s="135"/>
      <c r="Z857" s="135" t="s">
        <v>2858</v>
      </c>
      <c r="AA857" s="135"/>
      <c r="AB857" s="135"/>
      <c r="AC857" s="135"/>
      <c r="AD857" s="135">
        <v>46118.0</v>
      </c>
      <c r="AE857" s="135"/>
      <c r="AF857" s="135"/>
      <c r="AG857" s="135"/>
    </row>
    <row r="858" ht="21.75" hidden="1" customHeight="1">
      <c r="A858" s="135">
        <v>854.0</v>
      </c>
      <c r="B858" s="135">
        <v>25045.0</v>
      </c>
      <c r="C858" s="135" t="s">
        <v>2817</v>
      </c>
      <c r="D858" s="135">
        <v>5.0</v>
      </c>
      <c r="E858" s="135" t="s">
        <v>3475</v>
      </c>
      <c r="F858" s="135" t="s">
        <v>2009</v>
      </c>
      <c r="G858" s="135" t="s">
        <v>83</v>
      </c>
      <c r="H858" s="135" t="s">
        <v>2853</v>
      </c>
      <c r="I858" s="135" t="s">
        <v>90</v>
      </c>
      <c r="J858" s="135">
        <v>1.0</v>
      </c>
      <c r="K858" s="135" t="s">
        <v>3134</v>
      </c>
      <c r="L858" s="135">
        <v>2195.0</v>
      </c>
      <c r="M858" s="135">
        <v>2850.0</v>
      </c>
      <c r="N858" s="135">
        <v>120.0</v>
      </c>
      <c r="O858" s="135">
        <v>0.79</v>
      </c>
      <c r="P858" s="136">
        <v>0.0</v>
      </c>
      <c r="Q858" s="137">
        <v>1.975</v>
      </c>
      <c r="R858" s="136">
        <v>46114.0</v>
      </c>
      <c r="S858" s="135" t="s">
        <v>3439</v>
      </c>
      <c r="T858" s="136"/>
      <c r="U858" s="135" t="s">
        <v>2864</v>
      </c>
      <c r="V858" s="135" t="s">
        <v>2878</v>
      </c>
      <c r="W858" s="135" t="s">
        <v>3473</v>
      </c>
      <c r="X858" s="135" t="s">
        <v>3474</v>
      </c>
      <c r="Y858" s="135"/>
      <c r="Z858" s="135" t="s">
        <v>2858</v>
      </c>
      <c r="AA858" s="135"/>
      <c r="AB858" s="135"/>
      <c r="AC858" s="135"/>
      <c r="AD858" s="135">
        <v>46121.0</v>
      </c>
      <c r="AE858" s="135"/>
      <c r="AF858" s="135"/>
      <c r="AG858" s="135"/>
    </row>
    <row r="859" ht="21.75" hidden="1" customHeight="1">
      <c r="A859" s="135">
        <v>855.0</v>
      </c>
      <c r="B859" s="135">
        <v>25045.0</v>
      </c>
      <c r="C859" s="135" t="s">
        <v>2817</v>
      </c>
      <c r="D859" s="135">
        <v>5.0</v>
      </c>
      <c r="E859" s="135" t="s">
        <v>3476</v>
      </c>
      <c r="F859" s="135" t="s">
        <v>2025</v>
      </c>
      <c r="G859" s="135" t="s">
        <v>83</v>
      </c>
      <c r="H859" s="135" t="s">
        <v>2853</v>
      </c>
      <c r="I859" s="135" t="s">
        <v>91</v>
      </c>
      <c r="J859" s="135">
        <v>1.0</v>
      </c>
      <c r="K859" s="135" t="s">
        <v>3134</v>
      </c>
      <c r="L859" s="135">
        <v>2195.0</v>
      </c>
      <c r="M859" s="135">
        <v>2850.0</v>
      </c>
      <c r="N859" s="135">
        <v>120.0</v>
      </c>
      <c r="O859" s="135">
        <v>0.79</v>
      </c>
      <c r="P859" s="136">
        <v>0.0</v>
      </c>
      <c r="Q859" s="137">
        <v>1.975</v>
      </c>
      <c r="R859" s="136">
        <v>46114.0</v>
      </c>
      <c r="S859" s="135" t="s">
        <v>3439</v>
      </c>
      <c r="T859" s="136"/>
      <c r="U859" s="135" t="s">
        <v>2864</v>
      </c>
      <c r="V859" s="135" t="s">
        <v>2878</v>
      </c>
      <c r="W859" s="135" t="s">
        <v>3473</v>
      </c>
      <c r="X859" s="135" t="s">
        <v>3474</v>
      </c>
      <c r="Y859" s="135"/>
      <c r="Z859" s="135" t="s">
        <v>2858</v>
      </c>
      <c r="AA859" s="135"/>
      <c r="AB859" s="135"/>
      <c r="AC859" s="135"/>
      <c r="AD859" s="135">
        <v>46122.0</v>
      </c>
      <c r="AE859" s="135"/>
      <c r="AF859" s="135"/>
      <c r="AG859" s="135"/>
    </row>
    <row r="860" ht="21.75" hidden="1" customHeight="1">
      <c r="A860" s="135">
        <v>856.0</v>
      </c>
      <c r="B860" s="135">
        <v>25045.0</v>
      </c>
      <c r="C860" s="135" t="s">
        <v>2817</v>
      </c>
      <c r="D860" s="135">
        <v>5.0</v>
      </c>
      <c r="E860" s="135" t="s">
        <v>3477</v>
      </c>
      <c r="F860" s="135" t="s">
        <v>2041</v>
      </c>
      <c r="G860" s="135" t="s">
        <v>83</v>
      </c>
      <c r="H860" s="135" t="s">
        <v>2853</v>
      </c>
      <c r="I860" s="135" t="s">
        <v>92</v>
      </c>
      <c r="J860" s="135">
        <v>1.0</v>
      </c>
      <c r="K860" s="135" t="s">
        <v>3134</v>
      </c>
      <c r="L860" s="135">
        <v>2195.0</v>
      </c>
      <c r="M860" s="135">
        <v>2850.0</v>
      </c>
      <c r="N860" s="135">
        <v>120.0</v>
      </c>
      <c r="O860" s="135">
        <v>0.79</v>
      </c>
      <c r="P860" s="136">
        <v>0.0</v>
      </c>
      <c r="Q860" s="137">
        <v>1.975</v>
      </c>
      <c r="R860" s="136">
        <v>46114.0</v>
      </c>
      <c r="S860" s="135" t="s">
        <v>3439</v>
      </c>
      <c r="T860" s="136"/>
      <c r="U860" s="135" t="s">
        <v>2864</v>
      </c>
      <c r="V860" s="135" t="s">
        <v>2878</v>
      </c>
      <c r="W860" s="135" t="s">
        <v>3473</v>
      </c>
      <c r="X860" s="135" t="s">
        <v>3474</v>
      </c>
      <c r="Y860" s="135"/>
      <c r="Z860" s="135" t="s">
        <v>2858</v>
      </c>
      <c r="AA860" s="135"/>
      <c r="AB860" s="135"/>
      <c r="AC860" s="135"/>
      <c r="AD860" s="135">
        <v>46125.0</v>
      </c>
      <c r="AE860" s="135"/>
      <c r="AF860" s="135"/>
      <c r="AG860" s="135"/>
    </row>
    <row r="861" ht="21.75" hidden="1" customHeight="1">
      <c r="A861" s="135">
        <v>857.0</v>
      </c>
      <c r="B861" s="135">
        <v>25045.0</v>
      </c>
      <c r="C861" s="135" t="s">
        <v>2817</v>
      </c>
      <c r="D861" s="135">
        <v>5.0</v>
      </c>
      <c r="E861" s="135" t="s">
        <v>3478</v>
      </c>
      <c r="F861" s="135" t="s">
        <v>2057</v>
      </c>
      <c r="G861" s="135" t="s">
        <v>83</v>
      </c>
      <c r="H861" s="135" t="s">
        <v>2853</v>
      </c>
      <c r="I861" s="135" t="s">
        <v>93</v>
      </c>
      <c r="J861" s="135">
        <v>1.0</v>
      </c>
      <c r="K861" s="135" t="s">
        <v>3134</v>
      </c>
      <c r="L861" s="135">
        <v>2195.0</v>
      </c>
      <c r="M861" s="135">
        <v>2850.0</v>
      </c>
      <c r="N861" s="135">
        <v>120.0</v>
      </c>
      <c r="O861" s="135">
        <v>0.79</v>
      </c>
      <c r="P861" s="136">
        <v>0.0</v>
      </c>
      <c r="Q861" s="137">
        <v>1.975</v>
      </c>
      <c r="R861" s="136">
        <v>46114.0</v>
      </c>
      <c r="S861" s="135" t="s">
        <v>3439</v>
      </c>
      <c r="T861" s="136"/>
      <c r="U861" s="135" t="s">
        <v>2864</v>
      </c>
      <c r="V861" s="135" t="s">
        <v>2878</v>
      </c>
      <c r="W861" s="135" t="s">
        <v>3473</v>
      </c>
      <c r="X861" s="135" t="s">
        <v>3474</v>
      </c>
      <c r="Y861" s="135"/>
      <c r="Z861" s="135" t="s">
        <v>2858</v>
      </c>
      <c r="AA861" s="135"/>
      <c r="AB861" s="135"/>
      <c r="AC861" s="135"/>
      <c r="AD861" s="135">
        <v>46127.0</v>
      </c>
      <c r="AE861" s="135"/>
      <c r="AF861" s="135"/>
      <c r="AG861" s="135"/>
    </row>
    <row r="862" ht="21.75" hidden="1" customHeight="1">
      <c r="A862" s="135">
        <v>858.0</v>
      </c>
      <c r="B862" s="135">
        <v>25045.0</v>
      </c>
      <c r="C862" s="135" t="s">
        <v>2817</v>
      </c>
      <c r="D862" s="135">
        <v>5.0</v>
      </c>
      <c r="E862" s="135" t="s">
        <v>3479</v>
      </c>
      <c r="F862" s="135" t="s">
        <v>2073</v>
      </c>
      <c r="G862" s="135" t="s">
        <v>83</v>
      </c>
      <c r="H862" s="135" t="s">
        <v>2853</v>
      </c>
      <c r="I862" s="135" t="s">
        <v>94</v>
      </c>
      <c r="J862" s="135">
        <v>1.0</v>
      </c>
      <c r="K862" s="135" t="s">
        <v>3134</v>
      </c>
      <c r="L862" s="135">
        <v>2195.0</v>
      </c>
      <c r="M862" s="135">
        <v>2850.0</v>
      </c>
      <c r="N862" s="135">
        <v>120.0</v>
      </c>
      <c r="O862" s="135">
        <v>0.79</v>
      </c>
      <c r="P862" s="136">
        <v>0.0</v>
      </c>
      <c r="Q862" s="137">
        <v>1.975</v>
      </c>
      <c r="R862" s="136">
        <v>46114.0</v>
      </c>
      <c r="S862" s="135" t="s">
        <v>3439</v>
      </c>
      <c r="T862" s="136"/>
      <c r="U862" s="135" t="s">
        <v>2864</v>
      </c>
      <c r="V862" s="135" t="s">
        <v>2878</v>
      </c>
      <c r="W862" s="135" t="s">
        <v>3473</v>
      </c>
      <c r="X862" s="135" t="s">
        <v>3474</v>
      </c>
      <c r="Y862" s="135"/>
      <c r="Z862" s="135" t="s">
        <v>2858</v>
      </c>
      <c r="AA862" s="135"/>
      <c r="AB862" s="135"/>
      <c r="AC862" s="135"/>
      <c r="AD862" s="135">
        <v>46129.0</v>
      </c>
      <c r="AE862" s="135"/>
      <c r="AF862" s="135"/>
      <c r="AG862" s="135"/>
    </row>
    <row r="863" ht="21.75" hidden="1" customHeight="1">
      <c r="A863" s="135">
        <v>859.0</v>
      </c>
      <c r="B863" s="135">
        <v>25045.0</v>
      </c>
      <c r="C863" s="135"/>
      <c r="D863" s="135">
        <v>5.0</v>
      </c>
      <c r="E863" s="135" t="s">
        <v>3472</v>
      </c>
      <c r="F863" s="135" t="s">
        <v>1993</v>
      </c>
      <c r="G863" s="135" t="s">
        <v>83</v>
      </c>
      <c r="H863" s="135" t="s">
        <v>2853</v>
      </c>
      <c r="I863" s="135" t="s">
        <v>89</v>
      </c>
      <c r="J863" s="135">
        <v>1.0</v>
      </c>
      <c r="K863" s="135"/>
      <c r="L863" s="135">
        <v>5000.0</v>
      </c>
      <c r="M863" s="135">
        <v>3200.0</v>
      </c>
      <c r="N863" s="135">
        <v>120.0</v>
      </c>
      <c r="O863" s="135">
        <v>2.122</v>
      </c>
      <c r="P863" s="136">
        <v>0.0</v>
      </c>
      <c r="Q863" s="137">
        <v>5.305</v>
      </c>
      <c r="R863" s="136">
        <v>46114.0</v>
      </c>
      <c r="S863" s="135" t="s">
        <v>3439</v>
      </c>
      <c r="T863" s="136"/>
      <c r="U863" s="135" t="s">
        <v>2855</v>
      </c>
      <c r="V863" s="135" t="s">
        <v>2876</v>
      </c>
      <c r="W863" s="135" t="s">
        <v>3106</v>
      </c>
      <c r="X863" s="135"/>
      <c r="Y863" s="135"/>
      <c r="Z863" s="135" t="s">
        <v>2858</v>
      </c>
      <c r="AA863" s="135"/>
      <c r="AB863" s="135"/>
      <c r="AC863" s="135"/>
      <c r="AD863" s="135">
        <v>46128.0</v>
      </c>
      <c r="AE863" s="135"/>
      <c r="AF863" s="135"/>
      <c r="AG863" s="135"/>
    </row>
    <row r="864" ht="21.75" hidden="1" customHeight="1">
      <c r="A864" s="135">
        <v>860.0</v>
      </c>
      <c r="B864" s="135">
        <v>25045.0</v>
      </c>
      <c r="C864" s="135"/>
      <c r="D864" s="135">
        <v>5.0</v>
      </c>
      <c r="E864" s="135" t="s">
        <v>3472</v>
      </c>
      <c r="F864" s="135" t="s">
        <v>1994</v>
      </c>
      <c r="G864" s="135" t="s">
        <v>83</v>
      </c>
      <c r="H864" s="135" t="s">
        <v>2853</v>
      </c>
      <c r="I864" s="135" t="s">
        <v>89</v>
      </c>
      <c r="J864" s="135">
        <v>1.0</v>
      </c>
      <c r="K864" s="135" t="s">
        <v>3134</v>
      </c>
      <c r="L864" s="135">
        <v>4534.0</v>
      </c>
      <c r="M864" s="135">
        <v>3200.0</v>
      </c>
      <c r="N864" s="135">
        <v>120.0</v>
      </c>
      <c r="O864" s="135">
        <v>1.987</v>
      </c>
      <c r="P864" s="136">
        <v>0.0</v>
      </c>
      <c r="Q864" s="137">
        <v>4.9675</v>
      </c>
      <c r="R864" s="136">
        <v>46114.0</v>
      </c>
      <c r="S864" s="135" t="s">
        <v>3439</v>
      </c>
      <c r="T864" s="136"/>
      <c r="U864" s="135" t="s">
        <v>2855</v>
      </c>
      <c r="V864" s="135" t="s">
        <v>2876</v>
      </c>
      <c r="W864" s="135" t="s">
        <v>3447</v>
      </c>
      <c r="X864" s="135"/>
      <c r="Y864" s="135"/>
      <c r="Z864" s="135" t="s">
        <v>2858</v>
      </c>
      <c r="AA864" s="135"/>
      <c r="AB864" s="135"/>
      <c r="AC864" s="135"/>
      <c r="AD864" s="135">
        <v>46129.0</v>
      </c>
      <c r="AE864" s="135"/>
      <c r="AF864" s="135"/>
      <c r="AG864" s="135"/>
    </row>
    <row r="865" ht="21.75" hidden="1" customHeight="1">
      <c r="A865" s="135">
        <v>861.0</v>
      </c>
      <c r="B865" s="135">
        <v>25045.0</v>
      </c>
      <c r="C865" s="135"/>
      <c r="D865" s="135">
        <v>5.0</v>
      </c>
      <c r="E865" s="135" t="s">
        <v>3472</v>
      </c>
      <c r="F865" s="135" t="s">
        <v>1995</v>
      </c>
      <c r="G865" s="135" t="s">
        <v>83</v>
      </c>
      <c r="H865" s="135" t="s">
        <v>2853</v>
      </c>
      <c r="I865" s="135" t="s">
        <v>89</v>
      </c>
      <c r="J865" s="135">
        <v>1.0</v>
      </c>
      <c r="K865" s="135" t="s">
        <v>3134</v>
      </c>
      <c r="L865" s="135">
        <v>4534.0</v>
      </c>
      <c r="M865" s="135">
        <v>3200.0</v>
      </c>
      <c r="N865" s="135">
        <v>120.0</v>
      </c>
      <c r="O865" s="135">
        <v>1.987</v>
      </c>
      <c r="P865" s="136">
        <v>0.0</v>
      </c>
      <c r="Q865" s="137">
        <v>4.9675</v>
      </c>
      <c r="R865" s="136">
        <v>46114.0</v>
      </c>
      <c r="S865" s="135" t="s">
        <v>3439</v>
      </c>
      <c r="T865" s="136"/>
      <c r="U865" s="135" t="s">
        <v>2855</v>
      </c>
      <c r="V865" s="135" t="s">
        <v>2876</v>
      </c>
      <c r="W865" s="135" t="s">
        <v>3447</v>
      </c>
      <c r="X865" s="135"/>
      <c r="Y865" s="135"/>
      <c r="Z865" s="135" t="s">
        <v>2858</v>
      </c>
      <c r="AA865" s="135"/>
      <c r="AB865" s="135"/>
      <c r="AC865" s="135"/>
      <c r="AD865" s="135">
        <v>46130.0</v>
      </c>
      <c r="AE865" s="135"/>
      <c r="AF865" s="135"/>
      <c r="AG865" s="135"/>
    </row>
    <row r="866" ht="21.75" hidden="1" customHeight="1">
      <c r="A866" s="135">
        <v>862.0</v>
      </c>
      <c r="B866" s="135">
        <v>25045.0</v>
      </c>
      <c r="C866" s="135"/>
      <c r="D866" s="135">
        <v>5.0</v>
      </c>
      <c r="E866" s="135" t="s">
        <v>3472</v>
      </c>
      <c r="F866" s="135" t="s">
        <v>1996</v>
      </c>
      <c r="G866" s="135" t="s">
        <v>83</v>
      </c>
      <c r="H866" s="135" t="s">
        <v>2853</v>
      </c>
      <c r="I866" s="135" t="s">
        <v>89</v>
      </c>
      <c r="J866" s="135">
        <v>1.0</v>
      </c>
      <c r="K866" s="135" t="s">
        <v>3134</v>
      </c>
      <c r="L866" s="135">
        <v>4534.0</v>
      </c>
      <c r="M866" s="135">
        <v>3200.0</v>
      </c>
      <c r="N866" s="135">
        <v>120.0</v>
      </c>
      <c r="O866" s="135">
        <v>1.987</v>
      </c>
      <c r="P866" s="136">
        <v>0.0</v>
      </c>
      <c r="Q866" s="137">
        <v>4.9675</v>
      </c>
      <c r="R866" s="136">
        <v>46114.0</v>
      </c>
      <c r="S866" s="135" t="s">
        <v>3439</v>
      </c>
      <c r="T866" s="136"/>
      <c r="U866" s="135" t="s">
        <v>2855</v>
      </c>
      <c r="V866" s="135" t="s">
        <v>2876</v>
      </c>
      <c r="W866" s="135" t="s">
        <v>3447</v>
      </c>
      <c r="X866" s="135"/>
      <c r="Y866" s="135"/>
      <c r="Z866" s="135" t="s">
        <v>2858</v>
      </c>
      <c r="AA866" s="135"/>
      <c r="AB866" s="135"/>
      <c r="AC866" s="135"/>
      <c r="AD866" s="135">
        <v>46132.0</v>
      </c>
      <c r="AE866" s="135"/>
      <c r="AF866" s="135"/>
      <c r="AG866" s="135"/>
    </row>
    <row r="867" ht="21.75" hidden="1" customHeight="1">
      <c r="A867" s="135">
        <v>863.0</v>
      </c>
      <c r="B867" s="135">
        <v>25045.0</v>
      </c>
      <c r="C867" s="135"/>
      <c r="D867" s="135">
        <v>5.0</v>
      </c>
      <c r="E867" s="135" t="s">
        <v>3472</v>
      </c>
      <c r="F867" s="135" t="s">
        <v>1997</v>
      </c>
      <c r="G867" s="135" t="s">
        <v>83</v>
      </c>
      <c r="H867" s="135" t="s">
        <v>2853</v>
      </c>
      <c r="I867" s="135" t="s">
        <v>89</v>
      </c>
      <c r="J867" s="135">
        <v>1.0</v>
      </c>
      <c r="K867" s="135"/>
      <c r="L867" s="135">
        <v>4534.0</v>
      </c>
      <c r="M867" s="135">
        <v>3200.0</v>
      </c>
      <c r="N867" s="135">
        <v>120.0</v>
      </c>
      <c r="O867" s="135">
        <v>1.651</v>
      </c>
      <c r="P867" s="136">
        <v>0.0</v>
      </c>
      <c r="Q867" s="137">
        <v>4.1275</v>
      </c>
      <c r="R867" s="136">
        <v>46114.0</v>
      </c>
      <c r="S867" s="135" t="s">
        <v>3439</v>
      </c>
      <c r="T867" s="136"/>
      <c r="U867" s="135" t="s">
        <v>2864</v>
      </c>
      <c r="V867" s="135" t="s">
        <v>2985</v>
      </c>
      <c r="W867" s="135" t="s">
        <v>3480</v>
      </c>
      <c r="X867" s="135" t="s">
        <v>2892</v>
      </c>
      <c r="Y867" s="135"/>
      <c r="Z867" s="135" t="s">
        <v>2858</v>
      </c>
      <c r="AA867" s="135"/>
      <c r="AB867" s="135"/>
      <c r="AC867" s="135"/>
      <c r="AD867" s="135">
        <v>46137.0</v>
      </c>
      <c r="AE867" s="135"/>
      <c r="AF867" s="135"/>
      <c r="AG867" s="135"/>
    </row>
    <row r="868" ht="21.75" hidden="1" customHeight="1">
      <c r="A868" s="135">
        <v>864.0</v>
      </c>
      <c r="B868" s="135">
        <v>25045.0</v>
      </c>
      <c r="C868" s="135"/>
      <c r="D868" s="135">
        <v>5.0</v>
      </c>
      <c r="E868" s="135" t="s">
        <v>3472</v>
      </c>
      <c r="F868" s="135" t="s">
        <v>1998</v>
      </c>
      <c r="G868" s="135" t="s">
        <v>83</v>
      </c>
      <c r="H868" s="135" t="s">
        <v>2853</v>
      </c>
      <c r="I868" s="135" t="s">
        <v>89</v>
      </c>
      <c r="J868" s="135">
        <v>1.0</v>
      </c>
      <c r="K868" s="135"/>
      <c r="L868" s="135">
        <v>1635.0</v>
      </c>
      <c r="M868" s="135">
        <v>1275.0</v>
      </c>
      <c r="N868" s="135">
        <v>120.0</v>
      </c>
      <c r="O868" s="135">
        <v>0.348</v>
      </c>
      <c r="P868" s="136">
        <v>0.0</v>
      </c>
      <c r="Q868" s="137">
        <v>0.8699999999999999</v>
      </c>
      <c r="R868" s="136">
        <v>46114.0</v>
      </c>
      <c r="S868" s="135" t="s">
        <v>3439</v>
      </c>
      <c r="T868" s="136"/>
      <c r="U868" s="135" t="s">
        <v>2864</v>
      </c>
      <c r="V868" s="135" t="s">
        <v>2953</v>
      </c>
      <c r="W868" s="135" t="s">
        <v>3481</v>
      </c>
      <c r="X868" s="135"/>
      <c r="Y868" s="135"/>
      <c r="Z868" s="135" t="s">
        <v>2858</v>
      </c>
      <c r="AA868" s="135"/>
      <c r="AB868" s="135"/>
      <c r="AC868" s="135"/>
      <c r="AD868" s="135">
        <v>46134.0</v>
      </c>
      <c r="AE868" s="135"/>
      <c r="AF868" s="135"/>
      <c r="AG868" s="135"/>
    </row>
    <row r="869" ht="21.75" hidden="1" customHeight="1">
      <c r="A869" s="135">
        <v>865.0</v>
      </c>
      <c r="B869" s="135">
        <v>25045.0</v>
      </c>
      <c r="C869" s="135"/>
      <c r="D869" s="135">
        <v>5.0</v>
      </c>
      <c r="E869" s="135" t="s">
        <v>3472</v>
      </c>
      <c r="F869" s="135" t="s">
        <v>1999</v>
      </c>
      <c r="G869" s="135" t="s">
        <v>83</v>
      </c>
      <c r="H869" s="135" t="s">
        <v>2965</v>
      </c>
      <c r="I869" s="135" t="s">
        <v>89</v>
      </c>
      <c r="J869" s="135">
        <v>1.0</v>
      </c>
      <c r="K869" s="135"/>
      <c r="L869" s="135">
        <v>400.0</v>
      </c>
      <c r="M869" s="135">
        <v>2900.0</v>
      </c>
      <c r="N869" s="135">
        <v>350.0</v>
      </c>
      <c r="O869" s="135">
        <v>0.47</v>
      </c>
      <c r="P869" s="136">
        <v>0.0</v>
      </c>
      <c r="Q869" s="137">
        <v>1.1749999999999998</v>
      </c>
      <c r="R869" s="136">
        <v>46114.0</v>
      </c>
      <c r="S869" s="135" t="s">
        <v>3439</v>
      </c>
      <c r="T869" s="136"/>
      <c r="U869" s="135" t="s">
        <v>2966</v>
      </c>
      <c r="V869" s="135" t="s">
        <v>2967</v>
      </c>
      <c r="W869" s="135"/>
      <c r="X869" s="135" t="s">
        <v>2895</v>
      </c>
      <c r="Y869" s="135"/>
      <c r="Z869" s="135" t="s">
        <v>2858</v>
      </c>
      <c r="AA869" s="135"/>
      <c r="AB869" s="135"/>
      <c r="AC869" s="135"/>
      <c r="AD869" s="135">
        <v>46129.0</v>
      </c>
      <c r="AE869" s="135"/>
      <c r="AF869" s="135"/>
      <c r="AG869" s="135"/>
    </row>
    <row r="870" ht="21.75" hidden="1" customHeight="1">
      <c r="A870" s="135">
        <v>866.0</v>
      </c>
      <c r="B870" s="135">
        <v>25045.0</v>
      </c>
      <c r="C870" s="135" t="s">
        <v>2817</v>
      </c>
      <c r="D870" s="135">
        <v>5.0</v>
      </c>
      <c r="E870" s="135" t="s">
        <v>3475</v>
      </c>
      <c r="F870" s="135" t="s">
        <v>2010</v>
      </c>
      <c r="G870" s="135" t="s">
        <v>83</v>
      </c>
      <c r="H870" s="135" t="s">
        <v>2853</v>
      </c>
      <c r="I870" s="135" t="s">
        <v>90</v>
      </c>
      <c r="J870" s="135">
        <v>1.0</v>
      </c>
      <c r="K870" s="135" t="s">
        <v>3134</v>
      </c>
      <c r="L870" s="135">
        <v>5887.0</v>
      </c>
      <c r="M870" s="135">
        <v>3200.0</v>
      </c>
      <c r="N870" s="135">
        <v>120.0</v>
      </c>
      <c r="O870" s="135">
        <v>1.167</v>
      </c>
      <c r="P870" s="136">
        <v>0.0</v>
      </c>
      <c r="Q870" s="137">
        <v>2.9175</v>
      </c>
      <c r="R870" s="136">
        <v>46114.0</v>
      </c>
      <c r="S870" s="135" t="s">
        <v>3439</v>
      </c>
      <c r="T870" s="136"/>
      <c r="U870" s="135" t="s">
        <v>2855</v>
      </c>
      <c r="V870" s="135" t="s">
        <v>2856</v>
      </c>
      <c r="W870" s="135" t="s">
        <v>3339</v>
      </c>
      <c r="X870" s="135" t="s">
        <v>3427</v>
      </c>
      <c r="Y870" s="135"/>
      <c r="Z870" s="135" t="s">
        <v>2858</v>
      </c>
      <c r="AA870" s="135"/>
      <c r="AB870" s="135"/>
      <c r="AC870" s="135"/>
      <c r="AD870" s="135">
        <v>0.0</v>
      </c>
      <c r="AE870" s="135"/>
      <c r="AF870" s="135"/>
      <c r="AG870" s="135"/>
    </row>
    <row r="871" ht="21.75" hidden="1" customHeight="1">
      <c r="A871" s="135">
        <v>867.0</v>
      </c>
      <c r="B871" s="135">
        <v>25045.0</v>
      </c>
      <c r="C871" s="135" t="s">
        <v>2817</v>
      </c>
      <c r="D871" s="135">
        <v>5.0</v>
      </c>
      <c r="E871" s="135" t="s">
        <v>3478</v>
      </c>
      <c r="F871" s="135" t="s">
        <v>2058</v>
      </c>
      <c r="G871" s="135" t="s">
        <v>83</v>
      </c>
      <c r="H871" s="135" t="s">
        <v>2853</v>
      </c>
      <c r="I871" s="135" t="s">
        <v>93</v>
      </c>
      <c r="J871" s="135">
        <v>1.0</v>
      </c>
      <c r="K871" s="135" t="s">
        <v>3134</v>
      </c>
      <c r="L871" s="135">
        <v>5887.0</v>
      </c>
      <c r="M871" s="135">
        <v>3200.0</v>
      </c>
      <c r="N871" s="135">
        <v>120.0</v>
      </c>
      <c r="O871" s="135">
        <v>1.167</v>
      </c>
      <c r="P871" s="136">
        <v>0.0</v>
      </c>
      <c r="Q871" s="137">
        <v>2.9175</v>
      </c>
      <c r="R871" s="136">
        <v>46114.0</v>
      </c>
      <c r="S871" s="135" t="s">
        <v>3439</v>
      </c>
      <c r="T871" s="136"/>
      <c r="U871" s="135" t="s">
        <v>2855</v>
      </c>
      <c r="V871" s="135" t="s">
        <v>2856</v>
      </c>
      <c r="W871" s="135" t="s">
        <v>3339</v>
      </c>
      <c r="X871" s="135" t="s">
        <v>3427</v>
      </c>
      <c r="Y871" s="135"/>
      <c r="Z871" s="135" t="s">
        <v>2858</v>
      </c>
      <c r="AA871" s="135"/>
      <c r="AB871" s="135"/>
      <c r="AC871" s="135"/>
      <c r="AD871" s="135">
        <v>0.0</v>
      </c>
      <c r="AE871" s="135"/>
      <c r="AF871" s="135"/>
      <c r="AG871" s="135"/>
    </row>
    <row r="872" ht="21.75" hidden="1" customHeight="1">
      <c r="A872" s="135">
        <v>868.0</v>
      </c>
      <c r="B872" s="135">
        <v>25045.0</v>
      </c>
      <c r="C872" s="135" t="s">
        <v>2817</v>
      </c>
      <c r="D872" s="135">
        <v>5.0</v>
      </c>
      <c r="E872" s="135" t="s">
        <v>3475</v>
      </c>
      <c r="F872" s="135" t="s">
        <v>2011</v>
      </c>
      <c r="G872" s="135" t="s">
        <v>83</v>
      </c>
      <c r="H872" s="135" t="s">
        <v>2853</v>
      </c>
      <c r="I872" s="135" t="s">
        <v>90</v>
      </c>
      <c r="J872" s="135">
        <v>1.0</v>
      </c>
      <c r="K872" s="135" t="s">
        <v>3134</v>
      </c>
      <c r="L872" s="135">
        <v>5888.0</v>
      </c>
      <c r="M872" s="135">
        <v>1350.0</v>
      </c>
      <c r="N872" s="135">
        <v>120.0</v>
      </c>
      <c r="O872" s="135">
        <v>0.99</v>
      </c>
      <c r="P872" s="136">
        <v>0.0</v>
      </c>
      <c r="Q872" s="137">
        <v>2.475</v>
      </c>
      <c r="R872" s="136">
        <v>46114.0</v>
      </c>
      <c r="S872" s="135" t="s">
        <v>3439</v>
      </c>
      <c r="T872" s="136"/>
      <c r="U872" s="135" t="s">
        <v>2855</v>
      </c>
      <c r="V872" s="135" t="s">
        <v>2856</v>
      </c>
      <c r="W872" s="135" t="s">
        <v>3482</v>
      </c>
      <c r="X872" s="135"/>
      <c r="Y872" s="135"/>
      <c r="Z872" s="135" t="s">
        <v>2858</v>
      </c>
      <c r="AA872" s="135"/>
      <c r="AB872" s="135"/>
      <c r="AC872" s="135"/>
      <c r="AD872" s="135">
        <v>46125.0</v>
      </c>
      <c r="AE872" s="135"/>
      <c r="AF872" s="135"/>
      <c r="AG872" s="135"/>
    </row>
    <row r="873" ht="21.75" hidden="1" customHeight="1">
      <c r="A873" s="135">
        <v>869.0</v>
      </c>
      <c r="B873" s="135">
        <v>25045.0</v>
      </c>
      <c r="C873" s="135" t="s">
        <v>2817</v>
      </c>
      <c r="D873" s="135">
        <v>5.0</v>
      </c>
      <c r="E873" s="135" t="s">
        <v>3476</v>
      </c>
      <c r="F873" s="135" t="s">
        <v>2026</v>
      </c>
      <c r="G873" s="135" t="s">
        <v>83</v>
      </c>
      <c r="H873" s="135" t="s">
        <v>2853</v>
      </c>
      <c r="I873" s="135" t="s">
        <v>91</v>
      </c>
      <c r="J873" s="135">
        <v>1.0</v>
      </c>
      <c r="K873" s="135" t="s">
        <v>3134</v>
      </c>
      <c r="L873" s="135">
        <v>5888.0</v>
      </c>
      <c r="M873" s="135">
        <v>1350.0</v>
      </c>
      <c r="N873" s="135">
        <v>120.0</v>
      </c>
      <c r="O873" s="135">
        <v>0.99</v>
      </c>
      <c r="P873" s="136">
        <v>0.0</v>
      </c>
      <c r="Q873" s="137">
        <v>2.475</v>
      </c>
      <c r="R873" s="136">
        <v>46114.0</v>
      </c>
      <c r="S873" s="135" t="s">
        <v>3439</v>
      </c>
      <c r="T873" s="136"/>
      <c r="U873" s="135" t="s">
        <v>2855</v>
      </c>
      <c r="V873" s="135" t="s">
        <v>2856</v>
      </c>
      <c r="W873" s="135" t="s">
        <v>3482</v>
      </c>
      <c r="X873" s="135"/>
      <c r="Y873" s="135"/>
      <c r="Z873" s="135" t="s">
        <v>2858</v>
      </c>
      <c r="AA873" s="135"/>
      <c r="AB873" s="135"/>
      <c r="AC873" s="135"/>
      <c r="AD873" s="135">
        <v>46126.0</v>
      </c>
      <c r="AE873" s="135"/>
      <c r="AF873" s="135"/>
      <c r="AG873" s="135"/>
    </row>
    <row r="874" ht="21.75" hidden="1" customHeight="1">
      <c r="A874" s="135">
        <v>870.0</v>
      </c>
      <c r="B874" s="135">
        <v>25045.0</v>
      </c>
      <c r="C874" s="135" t="s">
        <v>2817</v>
      </c>
      <c r="D874" s="135">
        <v>5.0</v>
      </c>
      <c r="E874" s="135" t="s">
        <v>3477</v>
      </c>
      <c r="F874" s="135" t="s">
        <v>2042</v>
      </c>
      <c r="G874" s="135" t="s">
        <v>83</v>
      </c>
      <c r="H874" s="135" t="s">
        <v>2853</v>
      </c>
      <c r="I874" s="135" t="s">
        <v>92</v>
      </c>
      <c r="J874" s="135">
        <v>1.0</v>
      </c>
      <c r="K874" s="135" t="s">
        <v>3134</v>
      </c>
      <c r="L874" s="135">
        <v>5888.0</v>
      </c>
      <c r="M874" s="135">
        <v>1350.0</v>
      </c>
      <c r="N874" s="135">
        <v>120.0</v>
      </c>
      <c r="O874" s="135">
        <v>0.99</v>
      </c>
      <c r="P874" s="136">
        <v>0.0</v>
      </c>
      <c r="Q874" s="137">
        <v>2.475</v>
      </c>
      <c r="R874" s="136">
        <v>46114.0</v>
      </c>
      <c r="S874" s="135" t="s">
        <v>3439</v>
      </c>
      <c r="T874" s="136"/>
      <c r="U874" s="135" t="s">
        <v>2855</v>
      </c>
      <c r="V874" s="135" t="s">
        <v>2856</v>
      </c>
      <c r="W874" s="135" t="s">
        <v>3482</v>
      </c>
      <c r="X874" s="135"/>
      <c r="Y874" s="135"/>
      <c r="Z874" s="135" t="s">
        <v>2858</v>
      </c>
      <c r="AA874" s="135"/>
      <c r="AB874" s="135"/>
      <c r="AC874" s="135"/>
      <c r="AD874" s="135">
        <v>46127.0</v>
      </c>
      <c r="AE874" s="135"/>
      <c r="AF874" s="135"/>
      <c r="AG874" s="135"/>
    </row>
    <row r="875" ht="21.75" hidden="1" customHeight="1">
      <c r="A875" s="135">
        <v>871.0</v>
      </c>
      <c r="B875" s="135">
        <v>25045.0</v>
      </c>
      <c r="C875" s="135" t="s">
        <v>2817</v>
      </c>
      <c r="D875" s="135">
        <v>5.0</v>
      </c>
      <c r="E875" s="135" t="s">
        <v>3478</v>
      </c>
      <c r="F875" s="135" t="s">
        <v>2059</v>
      </c>
      <c r="G875" s="135" t="s">
        <v>83</v>
      </c>
      <c r="H875" s="135" t="s">
        <v>2853</v>
      </c>
      <c r="I875" s="135" t="s">
        <v>93</v>
      </c>
      <c r="J875" s="135">
        <v>1.0</v>
      </c>
      <c r="K875" s="135" t="s">
        <v>3134</v>
      </c>
      <c r="L875" s="135">
        <v>5888.0</v>
      </c>
      <c r="M875" s="135">
        <v>1350.0</v>
      </c>
      <c r="N875" s="135">
        <v>120.0</v>
      </c>
      <c r="O875" s="135">
        <v>0.99</v>
      </c>
      <c r="P875" s="136">
        <v>0.0</v>
      </c>
      <c r="Q875" s="137">
        <v>2.475</v>
      </c>
      <c r="R875" s="136">
        <v>46114.0</v>
      </c>
      <c r="S875" s="135" t="s">
        <v>3439</v>
      </c>
      <c r="T875" s="136"/>
      <c r="U875" s="135" t="s">
        <v>2855</v>
      </c>
      <c r="V875" s="135" t="s">
        <v>2856</v>
      </c>
      <c r="W875" s="135" t="s">
        <v>3482</v>
      </c>
      <c r="X875" s="135"/>
      <c r="Y875" s="135"/>
      <c r="Z875" s="135" t="s">
        <v>2858</v>
      </c>
      <c r="AA875" s="135"/>
      <c r="AB875" s="135"/>
      <c r="AC875" s="135"/>
      <c r="AD875" s="135">
        <v>46128.0</v>
      </c>
      <c r="AE875" s="135"/>
      <c r="AF875" s="135"/>
      <c r="AG875" s="135"/>
    </row>
    <row r="876" ht="21.75" hidden="1" customHeight="1">
      <c r="A876" s="135">
        <v>872.0</v>
      </c>
      <c r="B876" s="135">
        <v>25045.0</v>
      </c>
      <c r="C876" s="135" t="s">
        <v>2817</v>
      </c>
      <c r="D876" s="135">
        <v>5.0</v>
      </c>
      <c r="E876" s="135" t="s">
        <v>3479</v>
      </c>
      <c r="F876" s="135" t="s">
        <v>2074</v>
      </c>
      <c r="G876" s="135" t="s">
        <v>83</v>
      </c>
      <c r="H876" s="135" t="s">
        <v>2853</v>
      </c>
      <c r="I876" s="135" t="s">
        <v>94</v>
      </c>
      <c r="J876" s="135">
        <v>1.0</v>
      </c>
      <c r="K876" s="135" t="s">
        <v>3134</v>
      </c>
      <c r="L876" s="135">
        <v>5888.0</v>
      </c>
      <c r="M876" s="135">
        <v>1350.0</v>
      </c>
      <c r="N876" s="135">
        <v>120.0</v>
      </c>
      <c r="O876" s="135">
        <v>0.99</v>
      </c>
      <c r="P876" s="136">
        <v>0.0</v>
      </c>
      <c r="Q876" s="137">
        <v>2.475</v>
      </c>
      <c r="R876" s="136">
        <v>46114.0</v>
      </c>
      <c r="S876" s="135" t="s">
        <v>3439</v>
      </c>
      <c r="T876" s="136"/>
      <c r="U876" s="135" t="s">
        <v>2855</v>
      </c>
      <c r="V876" s="135" t="s">
        <v>2856</v>
      </c>
      <c r="W876" s="135" t="s">
        <v>3482</v>
      </c>
      <c r="X876" s="135"/>
      <c r="Y876" s="135"/>
      <c r="Z876" s="135" t="s">
        <v>2858</v>
      </c>
      <c r="AA876" s="135"/>
      <c r="AB876" s="135"/>
      <c r="AC876" s="135"/>
      <c r="AD876" s="135">
        <v>46130.0</v>
      </c>
      <c r="AE876" s="135"/>
      <c r="AF876" s="135"/>
      <c r="AG876" s="135"/>
    </row>
    <row r="877" ht="21.75" hidden="1" customHeight="1">
      <c r="A877" s="135">
        <v>873.0</v>
      </c>
      <c r="B877" s="135">
        <v>25045.0</v>
      </c>
      <c r="C877" s="135"/>
      <c r="D877" s="135">
        <v>5.0</v>
      </c>
      <c r="E877" s="135" t="s">
        <v>3475</v>
      </c>
      <c r="F877" s="135" t="s">
        <v>2012</v>
      </c>
      <c r="G877" s="135" t="s">
        <v>83</v>
      </c>
      <c r="H877" s="135" t="s">
        <v>2853</v>
      </c>
      <c r="I877" s="135" t="s">
        <v>90</v>
      </c>
      <c r="J877" s="135">
        <v>1.0</v>
      </c>
      <c r="K877" s="135"/>
      <c r="L877" s="135">
        <v>4534.0</v>
      </c>
      <c r="M877" s="135">
        <v>3200.0</v>
      </c>
      <c r="N877" s="135">
        <v>120.0</v>
      </c>
      <c r="O877" s="135">
        <v>1.651</v>
      </c>
      <c r="P877" s="136">
        <v>0.0</v>
      </c>
      <c r="Q877" s="137">
        <v>4.1275</v>
      </c>
      <c r="R877" s="136">
        <v>46114.0</v>
      </c>
      <c r="S877" s="135" t="s">
        <v>3439</v>
      </c>
      <c r="T877" s="136"/>
      <c r="U877" s="135" t="s">
        <v>2864</v>
      </c>
      <c r="V877" s="135" t="s">
        <v>2985</v>
      </c>
      <c r="W877" s="135" t="s">
        <v>3483</v>
      </c>
      <c r="X877" s="135" t="s">
        <v>2895</v>
      </c>
      <c r="Y877" s="135"/>
      <c r="Z877" s="135" t="s">
        <v>2858</v>
      </c>
      <c r="AA877" s="135"/>
      <c r="AB877" s="135"/>
      <c r="AC877" s="135"/>
      <c r="AD877" s="135">
        <v>46135.0</v>
      </c>
      <c r="AE877" s="135"/>
      <c r="AF877" s="135"/>
      <c r="AG877" s="135"/>
    </row>
    <row r="878" ht="21.75" hidden="1" customHeight="1">
      <c r="A878" s="135">
        <v>874.0</v>
      </c>
      <c r="B878" s="135">
        <v>25045.0</v>
      </c>
      <c r="C878" s="135"/>
      <c r="D878" s="135">
        <v>5.0</v>
      </c>
      <c r="E878" s="135" t="s">
        <v>3475</v>
      </c>
      <c r="F878" s="135" t="s">
        <v>2013</v>
      </c>
      <c r="G878" s="135" t="s">
        <v>83</v>
      </c>
      <c r="H878" s="135" t="s">
        <v>2853</v>
      </c>
      <c r="I878" s="135" t="s">
        <v>90</v>
      </c>
      <c r="J878" s="135">
        <v>1.0</v>
      </c>
      <c r="K878" s="135" t="s">
        <v>3134</v>
      </c>
      <c r="L878" s="135">
        <v>4534.0</v>
      </c>
      <c r="M878" s="135">
        <v>3200.0</v>
      </c>
      <c r="N878" s="135">
        <v>120.0</v>
      </c>
      <c r="O878" s="135">
        <v>1.987</v>
      </c>
      <c r="P878" s="136">
        <v>0.0</v>
      </c>
      <c r="Q878" s="137">
        <v>4.9675</v>
      </c>
      <c r="R878" s="136">
        <v>46114.0</v>
      </c>
      <c r="S878" s="135" t="s">
        <v>3439</v>
      </c>
      <c r="T878" s="136"/>
      <c r="U878" s="135" t="s">
        <v>2855</v>
      </c>
      <c r="V878" s="135" t="s">
        <v>2876</v>
      </c>
      <c r="W878" s="135" t="s">
        <v>3447</v>
      </c>
      <c r="X878" s="135"/>
      <c r="Y878" s="135"/>
      <c r="Z878" s="135" t="s">
        <v>2858</v>
      </c>
      <c r="AA878" s="135"/>
      <c r="AB878" s="135"/>
      <c r="AC878" s="135"/>
      <c r="AD878" s="135">
        <v>46119.0</v>
      </c>
      <c r="AE878" s="135"/>
      <c r="AF878" s="135"/>
      <c r="AG878" s="135"/>
    </row>
    <row r="879" ht="21.75" hidden="1" customHeight="1">
      <c r="A879" s="135">
        <v>875.0</v>
      </c>
      <c r="B879" s="135">
        <v>25045.0</v>
      </c>
      <c r="C879" s="135"/>
      <c r="D879" s="135">
        <v>5.0</v>
      </c>
      <c r="E879" s="135" t="s">
        <v>3475</v>
      </c>
      <c r="F879" s="135" t="s">
        <v>2014</v>
      </c>
      <c r="G879" s="135" t="s">
        <v>83</v>
      </c>
      <c r="H879" s="135" t="s">
        <v>2853</v>
      </c>
      <c r="I879" s="135" t="s">
        <v>90</v>
      </c>
      <c r="J879" s="135">
        <v>1.0</v>
      </c>
      <c r="K879" s="135" t="s">
        <v>3134</v>
      </c>
      <c r="L879" s="135">
        <v>4534.0</v>
      </c>
      <c r="M879" s="135">
        <v>3200.0</v>
      </c>
      <c r="N879" s="135">
        <v>120.0</v>
      </c>
      <c r="O879" s="135">
        <v>1.987</v>
      </c>
      <c r="P879" s="136">
        <v>0.0</v>
      </c>
      <c r="Q879" s="137">
        <v>4.9675</v>
      </c>
      <c r="R879" s="136">
        <v>46114.0</v>
      </c>
      <c r="S879" s="135" t="s">
        <v>3439</v>
      </c>
      <c r="T879" s="136"/>
      <c r="U879" s="135" t="s">
        <v>2855</v>
      </c>
      <c r="V879" s="135" t="s">
        <v>2876</v>
      </c>
      <c r="W879" s="135" t="s">
        <v>3447</v>
      </c>
      <c r="X879" s="135"/>
      <c r="Y879" s="135"/>
      <c r="Z879" s="135" t="s">
        <v>2858</v>
      </c>
      <c r="AA879" s="135"/>
      <c r="AB879" s="135"/>
      <c r="AC879" s="135"/>
      <c r="AD879" s="135">
        <v>46121.0</v>
      </c>
      <c r="AE879" s="135"/>
      <c r="AF879" s="135"/>
      <c r="AG879" s="135"/>
    </row>
    <row r="880" ht="21.75" hidden="1" customHeight="1">
      <c r="A880" s="135">
        <v>876.0</v>
      </c>
      <c r="B880" s="135">
        <v>25045.0</v>
      </c>
      <c r="C880" s="135"/>
      <c r="D880" s="135">
        <v>5.0</v>
      </c>
      <c r="E880" s="135" t="s">
        <v>3475</v>
      </c>
      <c r="F880" s="135" t="s">
        <v>2015</v>
      </c>
      <c r="G880" s="135" t="s">
        <v>83</v>
      </c>
      <c r="H880" s="135" t="s">
        <v>2853</v>
      </c>
      <c r="I880" s="135" t="s">
        <v>90</v>
      </c>
      <c r="J880" s="135">
        <v>1.0</v>
      </c>
      <c r="K880" s="135" t="s">
        <v>3134</v>
      </c>
      <c r="L880" s="135">
        <v>4534.0</v>
      </c>
      <c r="M880" s="135">
        <v>3200.0</v>
      </c>
      <c r="N880" s="135">
        <v>120.0</v>
      </c>
      <c r="O880" s="135">
        <v>1.987</v>
      </c>
      <c r="P880" s="136">
        <v>0.0</v>
      </c>
      <c r="Q880" s="137">
        <v>4.9675</v>
      </c>
      <c r="R880" s="136">
        <v>46114.0</v>
      </c>
      <c r="S880" s="135" t="s">
        <v>3439</v>
      </c>
      <c r="T880" s="136"/>
      <c r="U880" s="135" t="s">
        <v>2855</v>
      </c>
      <c r="V880" s="135" t="s">
        <v>2876</v>
      </c>
      <c r="W880" s="135" t="s">
        <v>3447</v>
      </c>
      <c r="X880" s="135"/>
      <c r="Y880" s="135"/>
      <c r="Z880" s="135" t="s">
        <v>2858</v>
      </c>
      <c r="AA880" s="135"/>
      <c r="AB880" s="135"/>
      <c r="AC880" s="135"/>
      <c r="AD880" s="135">
        <v>46122.0</v>
      </c>
      <c r="AE880" s="135"/>
      <c r="AF880" s="135"/>
      <c r="AG880" s="135"/>
    </row>
    <row r="881" ht="21.75" hidden="1" customHeight="1">
      <c r="A881" s="135">
        <v>877.0</v>
      </c>
      <c r="B881" s="135">
        <v>25045.0</v>
      </c>
      <c r="C881" s="135"/>
      <c r="D881" s="135">
        <v>5.0</v>
      </c>
      <c r="E881" s="135" t="s">
        <v>3475</v>
      </c>
      <c r="F881" s="135" t="s">
        <v>2016</v>
      </c>
      <c r="G881" s="135" t="s">
        <v>83</v>
      </c>
      <c r="H881" s="135" t="s">
        <v>2853</v>
      </c>
      <c r="I881" s="135" t="s">
        <v>90</v>
      </c>
      <c r="J881" s="135">
        <v>1.0</v>
      </c>
      <c r="K881" s="135"/>
      <c r="L881" s="135">
        <v>5000.0</v>
      </c>
      <c r="M881" s="135">
        <v>3200.0</v>
      </c>
      <c r="N881" s="135">
        <v>120.0</v>
      </c>
      <c r="O881" s="135">
        <v>2.258</v>
      </c>
      <c r="P881" s="136">
        <v>0.0</v>
      </c>
      <c r="Q881" s="137">
        <v>5.645</v>
      </c>
      <c r="R881" s="136">
        <v>46114.0</v>
      </c>
      <c r="S881" s="135" t="s">
        <v>3439</v>
      </c>
      <c r="T881" s="136"/>
      <c r="U881" s="135" t="s">
        <v>2855</v>
      </c>
      <c r="V881" s="135" t="s">
        <v>2878</v>
      </c>
      <c r="W881" s="135" t="s">
        <v>3484</v>
      </c>
      <c r="X881" s="135"/>
      <c r="Y881" s="135"/>
      <c r="Z881" s="135" t="s">
        <v>2858</v>
      </c>
      <c r="AA881" s="135"/>
      <c r="AB881" s="135"/>
      <c r="AC881" s="135"/>
      <c r="AD881" s="135">
        <v>46129.0</v>
      </c>
      <c r="AE881" s="135"/>
      <c r="AF881" s="135"/>
      <c r="AG881" s="135"/>
    </row>
    <row r="882" ht="21.75" hidden="1" customHeight="1">
      <c r="A882" s="135">
        <v>878.0</v>
      </c>
      <c r="B882" s="135">
        <v>25045.0</v>
      </c>
      <c r="C882" s="135"/>
      <c r="D882" s="135">
        <v>5.0</v>
      </c>
      <c r="E882" s="135" t="s">
        <v>3475</v>
      </c>
      <c r="F882" s="135" t="s">
        <v>2017</v>
      </c>
      <c r="G882" s="135" t="s">
        <v>83</v>
      </c>
      <c r="H882" s="135" t="s">
        <v>2853</v>
      </c>
      <c r="I882" s="135" t="s">
        <v>90</v>
      </c>
      <c r="J882" s="135">
        <v>1.0</v>
      </c>
      <c r="K882" s="135" t="s">
        <v>3134</v>
      </c>
      <c r="L882" s="135">
        <v>4472.0</v>
      </c>
      <c r="M882" s="135">
        <v>3200.0</v>
      </c>
      <c r="N882" s="135">
        <v>120.0</v>
      </c>
      <c r="O882" s="135">
        <v>2.106</v>
      </c>
      <c r="P882" s="136">
        <v>0.0</v>
      </c>
      <c r="Q882" s="137">
        <v>5.265</v>
      </c>
      <c r="R882" s="136">
        <v>46114.0</v>
      </c>
      <c r="S882" s="135" t="s">
        <v>3439</v>
      </c>
      <c r="T882" s="136"/>
      <c r="U882" s="135" t="s">
        <v>2855</v>
      </c>
      <c r="V882" s="135" t="s">
        <v>2878</v>
      </c>
      <c r="W882" s="135" t="s">
        <v>3485</v>
      </c>
      <c r="X882" s="135"/>
      <c r="Y882" s="135"/>
      <c r="Z882" s="135" t="s">
        <v>2858</v>
      </c>
      <c r="AA882" s="135"/>
      <c r="AB882" s="135"/>
      <c r="AC882" s="135"/>
      <c r="AD882" s="135">
        <v>46125.0</v>
      </c>
      <c r="AE882" s="135"/>
      <c r="AF882" s="135"/>
      <c r="AG882" s="135"/>
    </row>
    <row r="883" ht="21.75" hidden="1" customHeight="1">
      <c r="A883" s="135">
        <v>879.0</v>
      </c>
      <c r="B883" s="135">
        <v>25045.0</v>
      </c>
      <c r="C883" s="135"/>
      <c r="D883" s="135">
        <v>5.0</v>
      </c>
      <c r="E883" s="135" t="s">
        <v>3475</v>
      </c>
      <c r="F883" s="135" t="s">
        <v>2018</v>
      </c>
      <c r="G883" s="135" t="s">
        <v>83</v>
      </c>
      <c r="H883" s="135" t="s">
        <v>2853</v>
      </c>
      <c r="I883" s="135" t="s">
        <v>90</v>
      </c>
      <c r="J883" s="135">
        <v>1.0</v>
      </c>
      <c r="K883" s="135" t="s">
        <v>3134</v>
      </c>
      <c r="L883" s="135">
        <v>4472.0</v>
      </c>
      <c r="M883" s="135">
        <v>3200.0</v>
      </c>
      <c r="N883" s="135">
        <v>120.0</v>
      </c>
      <c r="O883" s="135">
        <v>2.106</v>
      </c>
      <c r="P883" s="136">
        <v>0.0</v>
      </c>
      <c r="Q883" s="137">
        <v>5.265</v>
      </c>
      <c r="R883" s="136">
        <v>46114.0</v>
      </c>
      <c r="S883" s="135" t="s">
        <v>3439</v>
      </c>
      <c r="T883" s="136"/>
      <c r="U883" s="135" t="s">
        <v>2855</v>
      </c>
      <c r="V883" s="135" t="s">
        <v>2878</v>
      </c>
      <c r="W883" s="135" t="s">
        <v>3485</v>
      </c>
      <c r="X883" s="135"/>
      <c r="Y883" s="135"/>
      <c r="Z883" s="135" t="s">
        <v>2858</v>
      </c>
      <c r="AA883" s="135"/>
      <c r="AB883" s="135"/>
      <c r="AC883" s="135"/>
      <c r="AD883" s="135">
        <v>46126.0</v>
      </c>
      <c r="AE883" s="135"/>
      <c r="AF883" s="135"/>
      <c r="AG883" s="135"/>
    </row>
    <row r="884" ht="21.75" hidden="1" customHeight="1">
      <c r="A884" s="135">
        <v>880.0</v>
      </c>
      <c r="B884" s="135">
        <v>25045.0</v>
      </c>
      <c r="C884" s="135"/>
      <c r="D884" s="135">
        <v>5.0</v>
      </c>
      <c r="E884" s="135" t="s">
        <v>3475</v>
      </c>
      <c r="F884" s="135" t="s">
        <v>2019</v>
      </c>
      <c r="G884" s="135" t="s">
        <v>83</v>
      </c>
      <c r="H884" s="135" t="s">
        <v>2853</v>
      </c>
      <c r="I884" s="135" t="s">
        <v>90</v>
      </c>
      <c r="J884" s="135">
        <v>1.0</v>
      </c>
      <c r="K884" s="135" t="s">
        <v>3134</v>
      </c>
      <c r="L884" s="135">
        <v>4472.0</v>
      </c>
      <c r="M884" s="135">
        <v>3200.0</v>
      </c>
      <c r="N884" s="135">
        <v>120.0</v>
      </c>
      <c r="O884" s="135">
        <v>2.106</v>
      </c>
      <c r="P884" s="136">
        <v>0.0</v>
      </c>
      <c r="Q884" s="137">
        <v>5.265</v>
      </c>
      <c r="R884" s="136">
        <v>46114.0</v>
      </c>
      <c r="S884" s="135" t="s">
        <v>3439</v>
      </c>
      <c r="T884" s="136"/>
      <c r="U884" s="135" t="s">
        <v>2855</v>
      </c>
      <c r="V884" s="135" t="s">
        <v>2878</v>
      </c>
      <c r="W884" s="135" t="s">
        <v>3485</v>
      </c>
      <c r="X884" s="135"/>
      <c r="Y884" s="135"/>
      <c r="Z884" s="135" t="s">
        <v>2858</v>
      </c>
      <c r="AA884" s="135"/>
      <c r="AB884" s="135"/>
      <c r="AC884" s="135"/>
      <c r="AD884" s="135">
        <v>46127.0</v>
      </c>
      <c r="AE884" s="135"/>
      <c r="AF884" s="135"/>
      <c r="AG884" s="135"/>
    </row>
    <row r="885" ht="21.75" hidden="1" customHeight="1">
      <c r="A885" s="135">
        <v>881.0</v>
      </c>
      <c r="B885" s="135">
        <v>25045.0</v>
      </c>
      <c r="C885" s="135"/>
      <c r="D885" s="135">
        <v>5.0</v>
      </c>
      <c r="E885" s="135" t="s">
        <v>3475</v>
      </c>
      <c r="F885" s="135" t="s">
        <v>2020</v>
      </c>
      <c r="G885" s="135" t="s">
        <v>83</v>
      </c>
      <c r="H885" s="135" t="s">
        <v>2853</v>
      </c>
      <c r="I885" s="135" t="s">
        <v>90</v>
      </c>
      <c r="J885" s="135">
        <v>1.0</v>
      </c>
      <c r="K885" s="135"/>
      <c r="L885" s="135">
        <v>1635.0</v>
      </c>
      <c r="M885" s="135">
        <v>1265.0</v>
      </c>
      <c r="N885" s="135">
        <v>120.0</v>
      </c>
      <c r="O885" s="135">
        <v>0.366</v>
      </c>
      <c r="P885" s="136">
        <v>0.0</v>
      </c>
      <c r="Q885" s="137">
        <v>0.915</v>
      </c>
      <c r="R885" s="136">
        <v>46114.0</v>
      </c>
      <c r="S885" s="135" t="s">
        <v>3439</v>
      </c>
      <c r="T885" s="136"/>
      <c r="U885" s="135" t="s">
        <v>2864</v>
      </c>
      <c r="V885" s="135" t="s">
        <v>2873</v>
      </c>
      <c r="W885" s="135" t="s">
        <v>3481</v>
      </c>
      <c r="X885" s="135"/>
      <c r="Y885" s="135"/>
      <c r="Z885" s="135" t="s">
        <v>2858</v>
      </c>
      <c r="AA885" s="135"/>
      <c r="AB885" s="135"/>
      <c r="AC885" s="135"/>
      <c r="AD885" s="135">
        <v>46127.0</v>
      </c>
      <c r="AE885" s="135"/>
      <c r="AF885" s="135"/>
      <c r="AG885" s="135"/>
    </row>
    <row r="886" ht="21.75" hidden="1" customHeight="1">
      <c r="A886" s="135">
        <v>882.0</v>
      </c>
      <c r="B886" s="135">
        <v>25045.0</v>
      </c>
      <c r="C886" s="135"/>
      <c r="D886" s="135">
        <v>5.0</v>
      </c>
      <c r="E886" s="135" t="s">
        <v>3475</v>
      </c>
      <c r="F886" s="135" t="s">
        <v>2021</v>
      </c>
      <c r="G886" s="135" t="s">
        <v>83</v>
      </c>
      <c r="H886" s="135" t="s">
        <v>2965</v>
      </c>
      <c r="I886" s="135" t="s">
        <v>90</v>
      </c>
      <c r="J886" s="135">
        <v>1.0</v>
      </c>
      <c r="K886" s="135"/>
      <c r="L886" s="135">
        <v>400.0</v>
      </c>
      <c r="M886" s="135">
        <v>2920.0</v>
      </c>
      <c r="N886" s="135">
        <v>350.0</v>
      </c>
      <c r="O886" s="135">
        <v>0.473</v>
      </c>
      <c r="P886" s="136">
        <v>0.0</v>
      </c>
      <c r="Q886" s="137">
        <v>1.1824999999999999</v>
      </c>
      <c r="R886" s="136">
        <v>46114.0</v>
      </c>
      <c r="S886" s="135" t="s">
        <v>3439</v>
      </c>
      <c r="T886" s="136"/>
      <c r="U886" s="135" t="s">
        <v>2966</v>
      </c>
      <c r="V886" s="135" t="s">
        <v>2967</v>
      </c>
      <c r="W886" s="135"/>
      <c r="X886" s="135" t="s">
        <v>2968</v>
      </c>
      <c r="Y886" s="135"/>
      <c r="Z886" s="135" t="s">
        <v>2858</v>
      </c>
      <c r="AA886" s="135"/>
      <c r="AB886" s="135"/>
      <c r="AC886" s="135"/>
      <c r="AD886" s="135">
        <v>46153.0</v>
      </c>
      <c r="AE886" s="135"/>
      <c r="AF886" s="135"/>
      <c r="AG886" s="135"/>
    </row>
    <row r="887" ht="21.75" hidden="1" customHeight="1">
      <c r="A887" s="135">
        <v>883.0</v>
      </c>
      <c r="B887" s="135">
        <v>25045.0</v>
      </c>
      <c r="C887" s="135" t="s">
        <v>2817</v>
      </c>
      <c r="D887" s="135">
        <v>5.0</v>
      </c>
      <c r="E887" s="135" t="s">
        <v>3476</v>
      </c>
      <c r="F887" s="135" t="s">
        <v>2027</v>
      </c>
      <c r="G887" s="135" t="s">
        <v>83</v>
      </c>
      <c r="H887" s="135" t="s">
        <v>2853</v>
      </c>
      <c r="I887" s="135" t="s">
        <v>91</v>
      </c>
      <c r="J887" s="135">
        <v>1.0</v>
      </c>
      <c r="K887" s="135"/>
      <c r="L887" s="135">
        <v>5887.0</v>
      </c>
      <c r="M887" s="135">
        <v>3220.0</v>
      </c>
      <c r="N887" s="135">
        <v>120.0</v>
      </c>
      <c r="O887" s="135">
        <v>1.168</v>
      </c>
      <c r="P887" s="136">
        <v>0.0</v>
      </c>
      <c r="Q887" s="137">
        <v>2.92</v>
      </c>
      <c r="R887" s="136">
        <v>46114.0</v>
      </c>
      <c r="S887" s="135" t="s">
        <v>3439</v>
      </c>
      <c r="T887" s="136"/>
      <c r="U887" s="135" t="s">
        <v>2855</v>
      </c>
      <c r="V887" s="135" t="s">
        <v>2856</v>
      </c>
      <c r="W887" s="135" t="s">
        <v>3339</v>
      </c>
      <c r="X887" s="135" t="s">
        <v>3427</v>
      </c>
      <c r="Y887" s="135"/>
      <c r="Z887" s="135" t="s">
        <v>2858</v>
      </c>
      <c r="AA887" s="135"/>
      <c r="AB887" s="135"/>
      <c r="AC887" s="135"/>
      <c r="AD887" s="135">
        <v>0.0</v>
      </c>
      <c r="AE887" s="135"/>
      <c r="AF887" s="135"/>
      <c r="AG887" s="135"/>
    </row>
    <row r="888" ht="21.75" hidden="1" customHeight="1">
      <c r="A888" s="135">
        <v>884.0</v>
      </c>
      <c r="B888" s="135">
        <v>25045.0</v>
      </c>
      <c r="C888" s="135"/>
      <c r="D888" s="135">
        <v>5.0</v>
      </c>
      <c r="E888" s="135" t="s">
        <v>3476</v>
      </c>
      <c r="F888" s="135" t="s">
        <v>2028</v>
      </c>
      <c r="G888" s="135" t="s">
        <v>83</v>
      </c>
      <c r="H888" s="135" t="s">
        <v>2853</v>
      </c>
      <c r="I888" s="135" t="s">
        <v>91</v>
      </c>
      <c r="J888" s="135">
        <v>1.0</v>
      </c>
      <c r="K888" s="135"/>
      <c r="L888" s="135">
        <v>5000.0</v>
      </c>
      <c r="M888" s="135">
        <v>3150.0</v>
      </c>
      <c r="N888" s="135">
        <v>120.0</v>
      </c>
      <c r="O888" s="135">
        <v>2.091</v>
      </c>
      <c r="P888" s="136">
        <v>0.0</v>
      </c>
      <c r="Q888" s="137">
        <v>5.227500000000001</v>
      </c>
      <c r="R888" s="136">
        <v>46114.0</v>
      </c>
      <c r="S888" s="135" t="s">
        <v>3439</v>
      </c>
      <c r="T888" s="136"/>
      <c r="U888" s="135" t="s">
        <v>2855</v>
      </c>
      <c r="V888" s="135" t="s">
        <v>2876</v>
      </c>
      <c r="W888" s="135" t="s">
        <v>3106</v>
      </c>
      <c r="X888" s="135"/>
      <c r="Y888" s="135"/>
      <c r="Z888" s="135" t="s">
        <v>2858</v>
      </c>
      <c r="AA888" s="135"/>
      <c r="AB888" s="135"/>
      <c r="AC888" s="135"/>
      <c r="AD888" s="135">
        <v>46134.0</v>
      </c>
      <c r="AE888" s="135"/>
      <c r="AF888" s="135"/>
      <c r="AG888" s="135"/>
    </row>
    <row r="889" ht="21.75" hidden="1" customHeight="1">
      <c r="A889" s="135">
        <v>885.0</v>
      </c>
      <c r="B889" s="135">
        <v>25045.0</v>
      </c>
      <c r="C889" s="135"/>
      <c r="D889" s="135">
        <v>5.0</v>
      </c>
      <c r="E889" s="135" t="s">
        <v>3476</v>
      </c>
      <c r="F889" s="135" t="s">
        <v>2029</v>
      </c>
      <c r="G889" s="135" t="s">
        <v>83</v>
      </c>
      <c r="H889" s="135" t="s">
        <v>2853</v>
      </c>
      <c r="I889" s="135" t="s">
        <v>91</v>
      </c>
      <c r="J889" s="135">
        <v>1.0</v>
      </c>
      <c r="K889" s="135"/>
      <c r="L889" s="135">
        <v>4472.0</v>
      </c>
      <c r="M889" s="135">
        <v>3150.0</v>
      </c>
      <c r="N889" s="135">
        <v>120.0</v>
      </c>
      <c r="O889" s="135">
        <v>1.606</v>
      </c>
      <c r="P889" s="136">
        <v>0.0</v>
      </c>
      <c r="Q889" s="137">
        <v>4.015000000000001</v>
      </c>
      <c r="R889" s="136">
        <v>46114.0</v>
      </c>
      <c r="S889" s="135" t="s">
        <v>3439</v>
      </c>
      <c r="T889" s="136"/>
      <c r="U889" s="135" t="s">
        <v>2864</v>
      </c>
      <c r="V889" s="135" t="s">
        <v>2985</v>
      </c>
      <c r="W889" s="135" t="s">
        <v>3486</v>
      </c>
      <c r="X889" s="135"/>
      <c r="Y889" s="135"/>
      <c r="Z889" s="135" t="s">
        <v>2858</v>
      </c>
      <c r="AA889" s="135"/>
      <c r="AB889" s="135"/>
      <c r="AC889" s="135"/>
      <c r="AD889" s="135">
        <v>46148.0</v>
      </c>
      <c r="AE889" s="135"/>
      <c r="AF889" s="135"/>
      <c r="AG889" s="135"/>
    </row>
    <row r="890" ht="21.75" hidden="1" customHeight="1">
      <c r="A890" s="135">
        <v>886.0</v>
      </c>
      <c r="B890" s="135">
        <v>25045.0</v>
      </c>
      <c r="C890" s="135"/>
      <c r="D890" s="135">
        <v>5.0</v>
      </c>
      <c r="E890" s="135" t="s">
        <v>3476</v>
      </c>
      <c r="F890" s="135" t="s">
        <v>2030</v>
      </c>
      <c r="G890" s="135" t="s">
        <v>83</v>
      </c>
      <c r="H890" s="135" t="s">
        <v>2853</v>
      </c>
      <c r="I890" s="135" t="s">
        <v>91</v>
      </c>
      <c r="J890" s="135">
        <v>1.0</v>
      </c>
      <c r="K890" s="135"/>
      <c r="L890" s="135">
        <v>4472.0</v>
      </c>
      <c r="M890" s="135">
        <v>3200.0</v>
      </c>
      <c r="N890" s="135">
        <v>120.0</v>
      </c>
      <c r="O890" s="135">
        <v>1.769</v>
      </c>
      <c r="P890" s="136">
        <v>0.0</v>
      </c>
      <c r="Q890" s="137">
        <v>4.422499999999999</v>
      </c>
      <c r="R890" s="136">
        <v>46114.0</v>
      </c>
      <c r="S890" s="135" t="s">
        <v>3439</v>
      </c>
      <c r="T890" s="136"/>
      <c r="U890" s="135" t="s">
        <v>2864</v>
      </c>
      <c r="V890" s="135" t="s">
        <v>2890</v>
      </c>
      <c r="W890" s="135" t="s">
        <v>3487</v>
      </c>
      <c r="X890" s="135" t="s">
        <v>2895</v>
      </c>
      <c r="Y890" s="135"/>
      <c r="Z890" s="135" t="s">
        <v>2858</v>
      </c>
      <c r="AA890" s="135"/>
      <c r="AB890" s="135"/>
      <c r="AC890" s="135"/>
      <c r="AD890" s="135">
        <v>46126.0</v>
      </c>
      <c r="AE890" s="135"/>
      <c r="AF890" s="135"/>
      <c r="AG890" s="135"/>
    </row>
    <row r="891" ht="21.75" hidden="1" customHeight="1">
      <c r="A891" s="135">
        <v>887.0</v>
      </c>
      <c r="B891" s="135">
        <v>25045.0</v>
      </c>
      <c r="C891" s="135"/>
      <c r="D891" s="135">
        <v>5.0</v>
      </c>
      <c r="E891" s="135" t="s">
        <v>3476</v>
      </c>
      <c r="F891" s="135" t="s">
        <v>2031</v>
      </c>
      <c r="G891" s="135" t="s">
        <v>83</v>
      </c>
      <c r="H891" s="135" t="s">
        <v>2853</v>
      </c>
      <c r="I891" s="135" t="s">
        <v>91</v>
      </c>
      <c r="J891" s="135">
        <v>1.0</v>
      </c>
      <c r="K891" s="135" t="s">
        <v>3134</v>
      </c>
      <c r="L891" s="135">
        <v>4472.0</v>
      </c>
      <c r="M891" s="135">
        <v>3200.0</v>
      </c>
      <c r="N891" s="135">
        <v>120.0</v>
      </c>
      <c r="O891" s="135">
        <v>2.106</v>
      </c>
      <c r="P891" s="136">
        <v>0.0</v>
      </c>
      <c r="Q891" s="137">
        <v>5.265</v>
      </c>
      <c r="R891" s="136">
        <v>46114.0</v>
      </c>
      <c r="S891" s="135" t="s">
        <v>3439</v>
      </c>
      <c r="T891" s="136"/>
      <c r="U891" s="135" t="s">
        <v>2855</v>
      </c>
      <c r="V891" s="135" t="s">
        <v>2878</v>
      </c>
      <c r="W891" s="135" t="s">
        <v>3485</v>
      </c>
      <c r="X891" s="135"/>
      <c r="Y891" s="135"/>
      <c r="Z891" s="135" t="s">
        <v>2858</v>
      </c>
      <c r="AA891" s="135"/>
      <c r="AB891" s="135"/>
      <c r="AC891" s="135"/>
      <c r="AD891" s="135">
        <v>46128.0</v>
      </c>
      <c r="AE891" s="135"/>
      <c r="AF891" s="135"/>
      <c r="AG891" s="135"/>
    </row>
    <row r="892" ht="21.75" hidden="1" customHeight="1">
      <c r="A892" s="135">
        <v>888.0</v>
      </c>
      <c r="B892" s="135">
        <v>25045.0</v>
      </c>
      <c r="C892" s="135"/>
      <c r="D892" s="135">
        <v>5.0</v>
      </c>
      <c r="E892" s="135" t="s">
        <v>3476</v>
      </c>
      <c r="F892" s="135" t="s">
        <v>2032</v>
      </c>
      <c r="G892" s="135" t="s">
        <v>83</v>
      </c>
      <c r="H892" s="135" t="s">
        <v>2853</v>
      </c>
      <c r="I892" s="135" t="s">
        <v>91</v>
      </c>
      <c r="J892" s="135">
        <v>1.0</v>
      </c>
      <c r="K892" s="135" t="s">
        <v>3134</v>
      </c>
      <c r="L892" s="135">
        <v>4472.0</v>
      </c>
      <c r="M892" s="135">
        <v>3200.0</v>
      </c>
      <c r="N892" s="135">
        <v>120.0</v>
      </c>
      <c r="O892" s="135">
        <v>2.106</v>
      </c>
      <c r="P892" s="136">
        <v>0.0</v>
      </c>
      <c r="Q892" s="137">
        <v>5.265</v>
      </c>
      <c r="R892" s="136">
        <v>46114.0</v>
      </c>
      <c r="S892" s="135" t="s">
        <v>3439</v>
      </c>
      <c r="T892" s="136"/>
      <c r="U892" s="135" t="s">
        <v>2855</v>
      </c>
      <c r="V892" s="135" t="s">
        <v>2878</v>
      </c>
      <c r="W892" s="135" t="s">
        <v>3485</v>
      </c>
      <c r="X892" s="135"/>
      <c r="Y892" s="135"/>
      <c r="Z892" s="135" t="s">
        <v>2858</v>
      </c>
      <c r="AA892" s="135"/>
      <c r="AB892" s="135"/>
      <c r="AC892" s="135"/>
      <c r="AD892" s="135">
        <v>46129.0</v>
      </c>
      <c r="AE892" s="135"/>
      <c r="AF892" s="135"/>
      <c r="AG892" s="135"/>
    </row>
    <row r="893" ht="21.75" hidden="1" customHeight="1">
      <c r="A893" s="135">
        <v>889.0</v>
      </c>
      <c r="B893" s="135">
        <v>25045.0</v>
      </c>
      <c r="C893" s="135"/>
      <c r="D893" s="135">
        <v>5.0</v>
      </c>
      <c r="E893" s="135" t="s">
        <v>3476</v>
      </c>
      <c r="F893" s="135" t="s">
        <v>2033</v>
      </c>
      <c r="G893" s="135" t="s">
        <v>83</v>
      </c>
      <c r="H893" s="135" t="s">
        <v>2853</v>
      </c>
      <c r="I893" s="135" t="s">
        <v>91</v>
      </c>
      <c r="J893" s="135">
        <v>1.0</v>
      </c>
      <c r="K893" s="135" t="s">
        <v>3134</v>
      </c>
      <c r="L893" s="135">
        <v>4472.0</v>
      </c>
      <c r="M893" s="135">
        <v>3200.0</v>
      </c>
      <c r="N893" s="135">
        <v>120.0</v>
      </c>
      <c r="O893" s="135">
        <v>2.106</v>
      </c>
      <c r="P893" s="136">
        <v>0.0</v>
      </c>
      <c r="Q893" s="137">
        <v>5.265</v>
      </c>
      <c r="R893" s="136">
        <v>46114.0</v>
      </c>
      <c r="S893" s="135" t="s">
        <v>3439</v>
      </c>
      <c r="T893" s="136"/>
      <c r="U893" s="135" t="s">
        <v>2855</v>
      </c>
      <c r="V893" s="135" t="s">
        <v>2878</v>
      </c>
      <c r="W893" s="135" t="s">
        <v>3485</v>
      </c>
      <c r="X893" s="135"/>
      <c r="Y893" s="135"/>
      <c r="Z893" s="135" t="s">
        <v>2858</v>
      </c>
      <c r="AA893" s="135"/>
      <c r="AB893" s="135"/>
      <c r="AC893" s="135"/>
      <c r="AD893" s="135">
        <v>46130.0</v>
      </c>
      <c r="AE893" s="135"/>
      <c r="AF893" s="135"/>
      <c r="AG893" s="135"/>
    </row>
    <row r="894" ht="21.75" hidden="1" customHeight="1">
      <c r="A894" s="135">
        <v>890.0</v>
      </c>
      <c r="B894" s="135">
        <v>25045.0</v>
      </c>
      <c r="C894" s="135"/>
      <c r="D894" s="135">
        <v>5.0</v>
      </c>
      <c r="E894" s="135" t="s">
        <v>3476</v>
      </c>
      <c r="F894" s="135" t="s">
        <v>2034</v>
      </c>
      <c r="G894" s="135" t="s">
        <v>83</v>
      </c>
      <c r="H894" s="135" t="s">
        <v>2853</v>
      </c>
      <c r="I894" s="135" t="s">
        <v>91</v>
      </c>
      <c r="J894" s="135">
        <v>1.0</v>
      </c>
      <c r="K894" s="135"/>
      <c r="L894" s="135">
        <v>5190.0</v>
      </c>
      <c r="M894" s="135">
        <v>3200.0</v>
      </c>
      <c r="N894" s="135">
        <v>120.0</v>
      </c>
      <c r="O894" s="135">
        <v>2.313</v>
      </c>
      <c r="P894" s="136">
        <v>0.0</v>
      </c>
      <c r="Q894" s="137">
        <v>5.782500000000001</v>
      </c>
      <c r="R894" s="136">
        <v>46114.0</v>
      </c>
      <c r="S894" s="135" t="s">
        <v>3439</v>
      </c>
      <c r="T894" s="136"/>
      <c r="U894" s="135" t="s">
        <v>2855</v>
      </c>
      <c r="V894" s="135" t="s">
        <v>2878</v>
      </c>
      <c r="W894" s="135" t="s">
        <v>3488</v>
      </c>
      <c r="X894" s="135"/>
      <c r="Y894" s="135"/>
      <c r="Z894" s="135" t="s">
        <v>2858</v>
      </c>
      <c r="AA894" s="135"/>
      <c r="AB894" s="135"/>
      <c r="AC894" s="135"/>
      <c r="AD894" s="135">
        <v>46128.0</v>
      </c>
      <c r="AE894" s="135"/>
      <c r="AF894" s="135"/>
      <c r="AG894" s="135"/>
    </row>
    <row r="895" ht="21.75" hidden="1" customHeight="1">
      <c r="A895" s="135">
        <v>891.0</v>
      </c>
      <c r="B895" s="135">
        <v>25045.0</v>
      </c>
      <c r="C895" s="135"/>
      <c r="D895" s="135">
        <v>5.0</v>
      </c>
      <c r="E895" s="135" t="s">
        <v>3476</v>
      </c>
      <c r="F895" s="135" t="s">
        <v>2035</v>
      </c>
      <c r="G895" s="135" t="s">
        <v>83</v>
      </c>
      <c r="H895" s="135" t="s">
        <v>2853</v>
      </c>
      <c r="I895" s="135" t="s">
        <v>91</v>
      </c>
      <c r="J895" s="135">
        <v>1.0</v>
      </c>
      <c r="K895" s="135"/>
      <c r="L895" s="135">
        <v>1635.0</v>
      </c>
      <c r="M895" s="135">
        <v>1225.0</v>
      </c>
      <c r="N895" s="135">
        <v>120.0</v>
      </c>
      <c r="O895" s="135">
        <v>0.358</v>
      </c>
      <c r="P895" s="136">
        <v>0.0</v>
      </c>
      <c r="Q895" s="137">
        <v>0.895</v>
      </c>
      <c r="R895" s="136">
        <v>46114.0</v>
      </c>
      <c r="S895" s="135" t="s">
        <v>3439</v>
      </c>
      <c r="T895" s="136"/>
      <c r="U895" s="135" t="s">
        <v>2864</v>
      </c>
      <c r="V895" s="135" t="s">
        <v>2873</v>
      </c>
      <c r="W895" s="135" t="s">
        <v>3481</v>
      </c>
      <c r="X895" s="135"/>
      <c r="Y895" s="135"/>
      <c r="Z895" s="135" t="s">
        <v>2858</v>
      </c>
      <c r="AA895" s="135"/>
      <c r="AB895" s="135"/>
      <c r="AC895" s="135"/>
      <c r="AD895" s="135">
        <v>46130.0</v>
      </c>
      <c r="AE895" s="135"/>
      <c r="AF895" s="135"/>
      <c r="AG895" s="135"/>
    </row>
    <row r="896" ht="21.75" hidden="1" customHeight="1">
      <c r="A896" s="135">
        <v>892.0</v>
      </c>
      <c r="B896" s="135">
        <v>25045.0</v>
      </c>
      <c r="C896" s="135"/>
      <c r="D896" s="135">
        <v>5.0</v>
      </c>
      <c r="E896" s="135" t="s">
        <v>3476</v>
      </c>
      <c r="F896" s="135" t="s">
        <v>2036</v>
      </c>
      <c r="G896" s="135" t="s">
        <v>83</v>
      </c>
      <c r="H896" s="135" t="s">
        <v>2853</v>
      </c>
      <c r="I896" s="135" t="s">
        <v>91</v>
      </c>
      <c r="J896" s="135">
        <v>1.0</v>
      </c>
      <c r="K896" s="135" t="s">
        <v>3134</v>
      </c>
      <c r="L896" s="135">
        <v>2875.0</v>
      </c>
      <c r="M896" s="135">
        <v>1000.0</v>
      </c>
      <c r="N896" s="135">
        <v>120.0</v>
      </c>
      <c r="O896" s="135">
        <v>0.46</v>
      </c>
      <c r="P896" s="136">
        <v>0.0</v>
      </c>
      <c r="Q896" s="137">
        <v>1.1500000000000001</v>
      </c>
      <c r="R896" s="136">
        <v>46114.0</v>
      </c>
      <c r="S896" s="135" t="s">
        <v>3439</v>
      </c>
      <c r="T896" s="136"/>
      <c r="U896" s="135" t="s">
        <v>2950</v>
      </c>
      <c r="V896" s="135" t="s">
        <v>2951</v>
      </c>
      <c r="W896" s="135" t="s">
        <v>3434</v>
      </c>
      <c r="X896" s="135"/>
      <c r="Y896" s="135"/>
      <c r="Z896" s="135" t="s">
        <v>2858</v>
      </c>
      <c r="AA896" s="135"/>
      <c r="AB896" s="135"/>
      <c r="AC896" s="135"/>
      <c r="AD896" s="135">
        <v>46118.0</v>
      </c>
      <c r="AE896" s="135"/>
      <c r="AF896" s="135"/>
      <c r="AG896" s="135"/>
    </row>
    <row r="897" ht="21.75" hidden="1" customHeight="1">
      <c r="A897" s="135">
        <v>893.0</v>
      </c>
      <c r="B897" s="135">
        <v>25045.0</v>
      </c>
      <c r="C897" s="135"/>
      <c r="D897" s="135">
        <v>5.0</v>
      </c>
      <c r="E897" s="135" t="s">
        <v>3475</v>
      </c>
      <c r="F897" s="135" t="s">
        <v>2022</v>
      </c>
      <c r="G897" s="135" t="s">
        <v>83</v>
      </c>
      <c r="H897" s="135" t="s">
        <v>2853</v>
      </c>
      <c r="I897" s="135" t="s">
        <v>90</v>
      </c>
      <c r="J897" s="135">
        <v>1.0</v>
      </c>
      <c r="K897" s="135" t="s">
        <v>3134</v>
      </c>
      <c r="L897" s="135">
        <v>2875.0</v>
      </c>
      <c r="M897" s="135">
        <v>1000.0</v>
      </c>
      <c r="N897" s="135">
        <v>120.0</v>
      </c>
      <c r="O897" s="135">
        <v>0.46</v>
      </c>
      <c r="P897" s="136">
        <v>0.0</v>
      </c>
      <c r="Q897" s="137">
        <v>1.1500000000000001</v>
      </c>
      <c r="R897" s="136">
        <v>46114.0</v>
      </c>
      <c r="S897" s="135" t="s">
        <v>3439</v>
      </c>
      <c r="T897" s="136"/>
      <c r="U897" s="135" t="s">
        <v>2950</v>
      </c>
      <c r="V897" s="135" t="s">
        <v>2951</v>
      </c>
      <c r="W897" s="135" t="s">
        <v>3434</v>
      </c>
      <c r="X897" s="135"/>
      <c r="Y897" s="135"/>
      <c r="Z897" s="135" t="s">
        <v>2858</v>
      </c>
      <c r="AA897" s="135"/>
      <c r="AB897" s="135"/>
      <c r="AC897" s="135"/>
      <c r="AD897" s="135">
        <v>46120.0</v>
      </c>
      <c r="AE897" s="135"/>
      <c r="AF897" s="135"/>
      <c r="AG897" s="135"/>
    </row>
    <row r="898" ht="21.75" hidden="1" customHeight="1">
      <c r="A898" s="135">
        <v>894.0</v>
      </c>
      <c r="B898" s="135">
        <v>25045.0</v>
      </c>
      <c r="C898" s="135"/>
      <c r="D898" s="135">
        <v>5.0</v>
      </c>
      <c r="E898" s="135" t="s">
        <v>3476</v>
      </c>
      <c r="F898" s="135" t="s">
        <v>2037</v>
      </c>
      <c r="G898" s="135" t="s">
        <v>83</v>
      </c>
      <c r="H898" s="135" t="s">
        <v>2965</v>
      </c>
      <c r="I898" s="135" t="s">
        <v>91</v>
      </c>
      <c r="J898" s="135">
        <v>1.0</v>
      </c>
      <c r="K898" s="135"/>
      <c r="L898" s="135">
        <v>400.0</v>
      </c>
      <c r="M898" s="135">
        <v>2880.0</v>
      </c>
      <c r="N898" s="135">
        <v>350.0</v>
      </c>
      <c r="O898" s="135">
        <v>0.468</v>
      </c>
      <c r="P898" s="136">
        <v>0.0</v>
      </c>
      <c r="Q898" s="137">
        <v>1.1700000000000002</v>
      </c>
      <c r="R898" s="136">
        <v>46114.0</v>
      </c>
      <c r="S898" s="135" t="s">
        <v>3439</v>
      </c>
      <c r="T898" s="136"/>
      <c r="U898" s="135" t="s">
        <v>2966</v>
      </c>
      <c r="V898" s="135" t="s">
        <v>2967</v>
      </c>
      <c r="W898" s="135"/>
      <c r="X898" s="135" t="s">
        <v>2895</v>
      </c>
      <c r="Y898" s="135"/>
      <c r="Z898" s="135" t="s">
        <v>2858</v>
      </c>
      <c r="AA898" s="135"/>
      <c r="AB898" s="135"/>
      <c r="AC898" s="135"/>
      <c r="AD898" s="135">
        <v>46133.0</v>
      </c>
      <c r="AE898" s="135"/>
      <c r="AF898" s="135"/>
      <c r="AG898" s="135"/>
    </row>
    <row r="899" ht="21.75" hidden="1" customHeight="1">
      <c r="A899" s="135">
        <v>895.0</v>
      </c>
      <c r="B899" s="135">
        <v>25045.0</v>
      </c>
      <c r="C899" s="135" t="s">
        <v>2817</v>
      </c>
      <c r="D899" s="135">
        <v>5.0</v>
      </c>
      <c r="E899" s="135" t="s">
        <v>3477</v>
      </c>
      <c r="F899" s="135" t="s">
        <v>2043</v>
      </c>
      <c r="G899" s="135" t="s">
        <v>83</v>
      </c>
      <c r="H899" s="135" t="s">
        <v>2853</v>
      </c>
      <c r="I899" s="135" t="s">
        <v>92</v>
      </c>
      <c r="J899" s="135">
        <v>1.0</v>
      </c>
      <c r="K899" s="135"/>
      <c r="L899" s="135">
        <v>5887.0</v>
      </c>
      <c r="M899" s="135">
        <v>3180.0</v>
      </c>
      <c r="N899" s="135">
        <v>120.0</v>
      </c>
      <c r="O899" s="135">
        <v>1.165</v>
      </c>
      <c r="P899" s="136">
        <v>0.0</v>
      </c>
      <c r="Q899" s="137">
        <v>2.9125</v>
      </c>
      <c r="R899" s="136">
        <v>46114.0</v>
      </c>
      <c r="S899" s="135" t="s">
        <v>3439</v>
      </c>
      <c r="T899" s="136"/>
      <c r="U899" s="135" t="s">
        <v>2855</v>
      </c>
      <c r="V899" s="135" t="s">
        <v>2856</v>
      </c>
      <c r="W899" s="135" t="s">
        <v>3339</v>
      </c>
      <c r="X899" s="135" t="s">
        <v>3427</v>
      </c>
      <c r="Y899" s="135"/>
      <c r="Z899" s="135" t="s">
        <v>2858</v>
      </c>
      <c r="AA899" s="135"/>
      <c r="AB899" s="135"/>
      <c r="AC899" s="135"/>
      <c r="AD899" s="135">
        <v>0.0</v>
      </c>
      <c r="AE899" s="135"/>
      <c r="AF899" s="135"/>
      <c r="AG899" s="135"/>
    </row>
    <row r="900" ht="21.75" hidden="1" customHeight="1">
      <c r="A900" s="135">
        <v>896.0</v>
      </c>
      <c r="B900" s="135">
        <v>25045.0</v>
      </c>
      <c r="C900" s="135"/>
      <c r="D900" s="135">
        <v>5.0</v>
      </c>
      <c r="E900" s="135" t="s">
        <v>3477</v>
      </c>
      <c r="F900" s="135" t="s">
        <v>2044</v>
      </c>
      <c r="G900" s="135" t="s">
        <v>83</v>
      </c>
      <c r="H900" s="135" t="s">
        <v>2853</v>
      </c>
      <c r="I900" s="135" t="s">
        <v>92</v>
      </c>
      <c r="J900" s="135">
        <v>1.0</v>
      </c>
      <c r="K900" s="135"/>
      <c r="L900" s="135">
        <v>5000.0</v>
      </c>
      <c r="M900" s="135">
        <v>3200.0</v>
      </c>
      <c r="N900" s="135">
        <v>120.0</v>
      </c>
      <c r="O900" s="135">
        <v>2.122</v>
      </c>
      <c r="P900" s="136">
        <v>0.0</v>
      </c>
      <c r="Q900" s="137">
        <v>5.305</v>
      </c>
      <c r="R900" s="136">
        <v>46114.0</v>
      </c>
      <c r="S900" s="135" t="s">
        <v>3439</v>
      </c>
      <c r="T900" s="136"/>
      <c r="U900" s="135" t="s">
        <v>2855</v>
      </c>
      <c r="V900" s="135" t="s">
        <v>2876</v>
      </c>
      <c r="W900" s="135" t="s">
        <v>3106</v>
      </c>
      <c r="X900" s="135"/>
      <c r="Y900" s="135"/>
      <c r="Z900" s="135" t="s">
        <v>2858</v>
      </c>
      <c r="AA900" s="135"/>
      <c r="AB900" s="135"/>
      <c r="AC900" s="135"/>
      <c r="AD900" s="135">
        <v>46144.0</v>
      </c>
      <c r="AE900" s="135"/>
      <c r="AF900" s="135"/>
      <c r="AG900" s="135"/>
    </row>
    <row r="901" ht="21.75" hidden="1" customHeight="1">
      <c r="A901" s="135">
        <v>897.0</v>
      </c>
      <c r="B901" s="135">
        <v>25045.0</v>
      </c>
      <c r="C901" s="135"/>
      <c r="D901" s="135">
        <v>5.0</v>
      </c>
      <c r="E901" s="135" t="s">
        <v>3477</v>
      </c>
      <c r="F901" s="135" t="s">
        <v>2045</v>
      </c>
      <c r="G901" s="135" t="s">
        <v>83</v>
      </c>
      <c r="H901" s="135" t="s">
        <v>2853</v>
      </c>
      <c r="I901" s="135" t="s">
        <v>92</v>
      </c>
      <c r="J901" s="135">
        <v>1.0</v>
      </c>
      <c r="K901" s="135" t="s">
        <v>3134</v>
      </c>
      <c r="L901" s="135">
        <v>4534.0</v>
      </c>
      <c r="M901" s="135">
        <v>3200.0</v>
      </c>
      <c r="N901" s="135">
        <v>120.0</v>
      </c>
      <c r="O901" s="135">
        <v>1.987</v>
      </c>
      <c r="P901" s="136">
        <v>0.0</v>
      </c>
      <c r="Q901" s="137">
        <v>4.9675</v>
      </c>
      <c r="R901" s="136">
        <v>46114.0</v>
      </c>
      <c r="S901" s="135" t="s">
        <v>3439</v>
      </c>
      <c r="T901" s="136"/>
      <c r="U901" s="135" t="s">
        <v>2855</v>
      </c>
      <c r="V901" s="135" t="s">
        <v>2876</v>
      </c>
      <c r="W901" s="135" t="s">
        <v>3447</v>
      </c>
      <c r="X901" s="135"/>
      <c r="Y901" s="135"/>
      <c r="Z901" s="135" t="s">
        <v>2858</v>
      </c>
      <c r="AA901" s="135"/>
      <c r="AB901" s="135"/>
      <c r="AC901" s="135"/>
      <c r="AD901" s="135">
        <v>46139.0</v>
      </c>
      <c r="AE901" s="135"/>
      <c r="AF901" s="135"/>
      <c r="AG901" s="135"/>
    </row>
    <row r="902" ht="21.75" hidden="1" customHeight="1">
      <c r="A902" s="135">
        <v>898.0</v>
      </c>
      <c r="B902" s="135">
        <v>25045.0</v>
      </c>
      <c r="C902" s="135"/>
      <c r="D902" s="135">
        <v>5.0</v>
      </c>
      <c r="E902" s="135" t="s">
        <v>3477</v>
      </c>
      <c r="F902" s="135" t="s">
        <v>2046</v>
      </c>
      <c r="G902" s="135" t="s">
        <v>83</v>
      </c>
      <c r="H902" s="135" t="s">
        <v>2853</v>
      </c>
      <c r="I902" s="135" t="s">
        <v>92</v>
      </c>
      <c r="J902" s="135">
        <v>1.0</v>
      </c>
      <c r="K902" s="135" t="s">
        <v>3134</v>
      </c>
      <c r="L902" s="135">
        <v>4534.0</v>
      </c>
      <c r="M902" s="135">
        <v>3200.0</v>
      </c>
      <c r="N902" s="135">
        <v>120.0</v>
      </c>
      <c r="O902" s="135">
        <v>1.987</v>
      </c>
      <c r="P902" s="136">
        <v>0.0</v>
      </c>
      <c r="Q902" s="137">
        <v>4.9675</v>
      </c>
      <c r="R902" s="136">
        <v>46114.0</v>
      </c>
      <c r="S902" s="135" t="s">
        <v>3439</v>
      </c>
      <c r="T902" s="136"/>
      <c r="U902" s="135" t="s">
        <v>2855</v>
      </c>
      <c r="V902" s="135" t="s">
        <v>2876</v>
      </c>
      <c r="W902" s="135" t="s">
        <v>3447</v>
      </c>
      <c r="X902" s="135"/>
      <c r="Y902" s="135"/>
      <c r="Z902" s="135" t="s">
        <v>2858</v>
      </c>
      <c r="AA902" s="135"/>
      <c r="AB902" s="135"/>
      <c r="AC902" s="135"/>
      <c r="AD902" s="135">
        <v>46140.0</v>
      </c>
      <c r="AE902" s="135"/>
      <c r="AF902" s="135"/>
      <c r="AG902" s="135"/>
    </row>
    <row r="903" ht="21.75" hidden="1" customHeight="1">
      <c r="A903" s="135">
        <v>899.0</v>
      </c>
      <c r="B903" s="135">
        <v>25045.0</v>
      </c>
      <c r="C903" s="135"/>
      <c r="D903" s="135">
        <v>5.0</v>
      </c>
      <c r="E903" s="135" t="s">
        <v>3477</v>
      </c>
      <c r="F903" s="135" t="s">
        <v>2047</v>
      </c>
      <c r="G903" s="135" t="s">
        <v>83</v>
      </c>
      <c r="H903" s="135" t="s">
        <v>2853</v>
      </c>
      <c r="I903" s="135" t="s">
        <v>92</v>
      </c>
      <c r="J903" s="135">
        <v>1.0</v>
      </c>
      <c r="K903" s="135" t="s">
        <v>3134</v>
      </c>
      <c r="L903" s="135">
        <v>4534.0</v>
      </c>
      <c r="M903" s="135">
        <v>3200.0</v>
      </c>
      <c r="N903" s="135">
        <v>120.0</v>
      </c>
      <c r="O903" s="135">
        <v>1.987</v>
      </c>
      <c r="P903" s="136">
        <v>0.0</v>
      </c>
      <c r="Q903" s="137">
        <v>4.9675</v>
      </c>
      <c r="R903" s="136">
        <v>46114.0</v>
      </c>
      <c r="S903" s="135" t="s">
        <v>3439</v>
      </c>
      <c r="T903" s="136"/>
      <c r="U903" s="135" t="s">
        <v>2855</v>
      </c>
      <c r="V903" s="135" t="s">
        <v>2876</v>
      </c>
      <c r="W903" s="135" t="s">
        <v>3447</v>
      </c>
      <c r="X903" s="135"/>
      <c r="Y903" s="135"/>
      <c r="Z903" s="135" t="s">
        <v>2858</v>
      </c>
      <c r="AA903" s="135"/>
      <c r="AB903" s="135"/>
      <c r="AC903" s="135"/>
      <c r="AD903" s="135">
        <v>46141.0</v>
      </c>
      <c r="AE903" s="135"/>
      <c r="AF903" s="135"/>
      <c r="AG903" s="135"/>
    </row>
    <row r="904" ht="21.75" hidden="1" customHeight="1">
      <c r="A904" s="135">
        <v>900.0</v>
      </c>
      <c r="B904" s="135">
        <v>25045.0</v>
      </c>
      <c r="C904" s="135"/>
      <c r="D904" s="135">
        <v>5.0</v>
      </c>
      <c r="E904" s="135" t="s">
        <v>3477</v>
      </c>
      <c r="F904" s="135" t="s">
        <v>2048</v>
      </c>
      <c r="G904" s="135" t="s">
        <v>83</v>
      </c>
      <c r="H904" s="135" t="s">
        <v>2853</v>
      </c>
      <c r="I904" s="135" t="s">
        <v>92</v>
      </c>
      <c r="J904" s="135">
        <v>1.0</v>
      </c>
      <c r="K904" s="135"/>
      <c r="L904" s="135">
        <v>4534.0</v>
      </c>
      <c r="M904" s="135">
        <v>3200.0</v>
      </c>
      <c r="N904" s="135">
        <v>120.0</v>
      </c>
      <c r="O904" s="135">
        <v>1.651</v>
      </c>
      <c r="P904" s="136">
        <v>0.0</v>
      </c>
      <c r="Q904" s="137">
        <v>4.1275</v>
      </c>
      <c r="R904" s="136">
        <v>46114.0</v>
      </c>
      <c r="S904" s="135" t="s">
        <v>3439</v>
      </c>
      <c r="T904" s="136"/>
      <c r="U904" s="135" t="s">
        <v>2864</v>
      </c>
      <c r="V904" s="135" t="s">
        <v>2985</v>
      </c>
      <c r="W904" s="135" t="s">
        <v>3480</v>
      </c>
      <c r="X904" s="135" t="s">
        <v>2892</v>
      </c>
      <c r="Y904" s="135"/>
      <c r="Z904" s="135" t="s">
        <v>2858</v>
      </c>
      <c r="AA904" s="135"/>
      <c r="AB904" s="135"/>
      <c r="AC904" s="135"/>
      <c r="AD904" s="135">
        <v>46139.0</v>
      </c>
      <c r="AE904" s="135"/>
      <c r="AF904" s="135"/>
      <c r="AG904" s="135"/>
    </row>
    <row r="905" ht="21.75" hidden="1" customHeight="1">
      <c r="A905" s="135">
        <v>901.0</v>
      </c>
      <c r="B905" s="135">
        <v>25045.0</v>
      </c>
      <c r="C905" s="135"/>
      <c r="D905" s="135">
        <v>5.0</v>
      </c>
      <c r="E905" s="135" t="s">
        <v>3477</v>
      </c>
      <c r="F905" s="135" t="s">
        <v>2049</v>
      </c>
      <c r="G905" s="135" t="s">
        <v>83</v>
      </c>
      <c r="H905" s="135" t="s">
        <v>2853</v>
      </c>
      <c r="I905" s="135" t="s">
        <v>92</v>
      </c>
      <c r="J905" s="135">
        <v>1.0</v>
      </c>
      <c r="K905" s="135"/>
      <c r="L905" s="135">
        <v>4472.0</v>
      </c>
      <c r="M905" s="135">
        <v>3150.0</v>
      </c>
      <c r="N905" s="135">
        <v>120.0</v>
      </c>
      <c r="O905" s="135">
        <v>1.606</v>
      </c>
      <c r="P905" s="136">
        <v>0.0</v>
      </c>
      <c r="Q905" s="137">
        <v>4.015000000000001</v>
      </c>
      <c r="R905" s="136">
        <v>46114.0</v>
      </c>
      <c r="S905" s="135" t="s">
        <v>3439</v>
      </c>
      <c r="T905" s="136"/>
      <c r="U905" s="135" t="s">
        <v>2864</v>
      </c>
      <c r="V905" s="135" t="s">
        <v>2985</v>
      </c>
      <c r="W905" s="135" t="s">
        <v>3489</v>
      </c>
      <c r="X905" s="135" t="s">
        <v>2895</v>
      </c>
      <c r="Y905" s="135"/>
      <c r="Z905" s="135" t="s">
        <v>2858</v>
      </c>
      <c r="AA905" s="135"/>
      <c r="AB905" s="135"/>
      <c r="AC905" s="135"/>
      <c r="AD905" s="135">
        <v>46144.0</v>
      </c>
      <c r="AE905" s="135"/>
      <c r="AF905" s="135"/>
      <c r="AG905" s="135"/>
    </row>
    <row r="906" ht="21.75" hidden="1" customHeight="1">
      <c r="A906" s="135">
        <v>902.0</v>
      </c>
      <c r="B906" s="135">
        <v>25045.0</v>
      </c>
      <c r="C906" s="135"/>
      <c r="D906" s="135">
        <v>5.0</v>
      </c>
      <c r="E906" s="135" t="s">
        <v>3477</v>
      </c>
      <c r="F906" s="135" t="s">
        <v>2050</v>
      </c>
      <c r="G906" s="135" t="s">
        <v>83</v>
      </c>
      <c r="H906" s="135" t="s">
        <v>2853</v>
      </c>
      <c r="I906" s="135" t="s">
        <v>92</v>
      </c>
      <c r="J906" s="135">
        <v>1.0</v>
      </c>
      <c r="K906" s="135" t="s">
        <v>3134</v>
      </c>
      <c r="L906" s="135">
        <v>4472.0</v>
      </c>
      <c r="M906" s="135">
        <v>3200.0</v>
      </c>
      <c r="N906" s="135">
        <v>120.0</v>
      </c>
      <c r="O906" s="135">
        <v>1.943</v>
      </c>
      <c r="P906" s="136">
        <v>1.0</v>
      </c>
      <c r="Q906" s="137">
        <v>4.8575</v>
      </c>
      <c r="R906" s="136">
        <v>46114.0</v>
      </c>
      <c r="S906" s="135" t="s">
        <v>3439</v>
      </c>
      <c r="T906" s="136">
        <v>46122.0</v>
      </c>
      <c r="U906" s="135" t="s">
        <v>2855</v>
      </c>
      <c r="V906" s="135" t="s">
        <v>2876</v>
      </c>
      <c r="W906" s="135" t="s">
        <v>3490</v>
      </c>
      <c r="X906" s="135"/>
      <c r="Y906" s="135"/>
      <c r="Z906" s="135" t="s">
        <v>2858</v>
      </c>
      <c r="AA906" s="135" t="s">
        <v>3443</v>
      </c>
      <c r="AB906" s="135"/>
      <c r="AC906" s="135"/>
      <c r="AD906" s="135">
        <v>46126.0</v>
      </c>
      <c r="AE906" s="135"/>
      <c r="AF906" s="135"/>
      <c r="AG906" s="135"/>
    </row>
    <row r="907" ht="21.75" hidden="1" customHeight="1">
      <c r="A907" s="135">
        <v>903.0</v>
      </c>
      <c r="B907" s="135">
        <v>25045.0</v>
      </c>
      <c r="C907" s="135"/>
      <c r="D907" s="135">
        <v>5.0</v>
      </c>
      <c r="E907" s="135" t="s">
        <v>3477</v>
      </c>
      <c r="F907" s="135" t="s">
        <v>2051</v>
      </c>
      <c r="G907" s="135" t="s">
        <v>83</v>
      </c>
      <c r="H907" s="135" t="s">
        <v>2853</v>
      </c>
      <c r="I907" s="135" t="s">
        <v>92</v>
      </c>
      <c r="J907" s="135">
        <v>1.0</v>
      </c>
      <c r="K907" s="135" t="s">
        <v>3134</v>
      </c>
      <c r="L907" s="135">
        <v>4472.0</v>
      </c>
      <c r="M907" s="135">
        <v>3200.0</v>
      </c>
      <c r="N907" s="135">
        <v>120.0</v>
      </c>
      <c r="O907" s="135">
        <v>1.943</v>
      </c>
      <c r="P907" s="136">
        <v>1.0</v>
      </c>
      <c r="Q907" s="137">
        <v>4.8575</v>
      </c>
      <c r="R907" s="136">
        <v>46114.0</v>
      </c>
      <c r="S907" s="135" t="s">
        <v>3439</v>
      </c>
      <c r="T907" s="136">
        <v>46122.0</v>
      </c>
      <c r="U907" s="135" t="s">
        <v>2855</v>
      </c>
      <c r="V907" s="135" t="s">
        <v>2876</v>
      </c>
      <c r="W907" s="135" t="s">
        <v>3490</v>
      </c>
      <c r="X907" s="135"/>
      <c r="Y907" s="135"/>
      <c r="Z907" s="135" t="s">
        <v>2858</v>
      </c>
      <c r="AA907" s="135" t="s">
        <v>3443</v>
      </c>
      <c r="AB907" s="135"/>
      <c r="AC907" s="135"/>
      <c r="AD907" s="135">
        <v>46127.0</v>
      </c>
      <c r="AE907" s="135"/>
      <c r="AF907" s="135"/>
      <c r="AG907" s="135"/>
    </row>
    <row r="908" ht="21.75" hidden="1" customHeight="1">
      <c r="A908" s="135">
        <v>904.0</v>
      </c>
      <c r="B908" s="135">
        <v>25045.0</v>
      </c>
      <c r="C908" s="135"/>
      <c r="D908" s="135">
        <v>5.0</v>
      </c>
      <c r="E908" s="135" t="s">
        <v>3477</v>
      </c>
      <c r="F908" s="135" t="s">
        <v>2052</v>
      </c>
      <c r="G908" s="135" t="s">
        <v>83</v>
      </c>
      <c r="H908" s="135" t="s">
        <v>2853</v>
      </c>
      <c r="I908" s="135" t="s">
        <v>92</v>
      </c>
      <c r="J908" s="135">
        <v>1.0</v>
      </c>
      <c r="K908" s="135" t="s">
        <v>3134</v>
      </c>
      <c r="L908" s="135">
        <v>4472.0</v>
      </c>
      <c r="M908" s="135">
        <v>3200.0</v>
      </c>
      <c r="N908" s="135">
        <v>120.0</v>
      </c>
      <c r="O908" s="135">
        <v>1.943</v>
      </c>
      <c r="P908" s="136">
        <v>1.0</v>
      </c>
      <c r="Q908" s="137">
        <v>4.8575</v>
      </c>
      <c r="R908" s="136">
        <v>46114.0</v>
      </c>
      <c r="S908" s="135" t="s">
        <v>3439</v>
      </c>
      <c r="T908" s="136">
        <v>46122.0</v>
      </c>
      <c r="U908" s="135" t="s">
        <v>2855</v>
      </c>
      <c r="V908" s="135" t="s">
        <v>2876</v>
      </c>
      <c r="W908" s="135" t="s">
        <v>3490</v>
      </c>
      <c r="X908" s="135"/>
      <c r="Y908" s="135"/>
      <c r="Z908" s="135" t="s">
        <v>2858</v>
      </c>
      <c r="AA908" s="135" t="s">
        <v>3443</v>
      </c>
      <c r="AB908" s="135"/>
      <c r="AC908" s="135"/>
      <c r="AD908" s="135">
        <v>46128.0</v>
      </c>
      <c r="AE908" s="135"/>
      <c r="AF908" s="135"/>
      <c r="AG908" s="135"/>
    </row>
    <row r="909" ht="21.75" hidden="1" customHeight="1">
      <c r="A909" s="135">
        <v>905.0</v>
      </c>
      <c r="B909" s="135">
        <v>25045.0</v>
      </c>
      <c r="C909" s="135"/>
      <c r="D909" s="135">
        <v>5.0</v>
      </c>
      <c r="E909" s="135" t="s">
        <v>3477</v>
      </c>
      <c r="F909" s="135" t="s">
        <v>2053</v>
      </c>
      <c r="G909" s="135" t="s">
        <v>83</v>
      </c>
      <c r="H909" s="135" t="s">
        <v>2853</v>
      </c>
      <c r="I909" s="135" t="s">
        <v>92</v>
      </c>
      <c r="J909" s="135">
        <v>1.0</v>
      </c>
      <c r="K909" s="135"/>
      <c r="L909" s="135">
        <v>4107.0</v>
      </c>
      <c r="M909" s="135">
        <v>3150.0</v>
      </c>
      <c r="N909" s="135">
        <v>120.0</v>
      </c>
      <c r="O909" s="135">
        <v>1.84</v>
      </c>
      <c r="P909" s="136">
        <v>0.0</v>
      </c>
      <c r="Q909" s="137">
        <v>4.6000000000000005</v>
      </c>
      <c r="R909" s="136">
        <v>46114.0</v>
      </c>
      <c r="S909" s="135" t="s">
        <v>3439</v>
      </c>
      <c r="T909" s="136"/>
      <c r="U909" s="135" t="s">
        <v>2864</v>
      </c>
      <c r="V909" s="135" t="s">
        <v>2985</v>
      </c>
      <c r="W909" s="135" t="s">
        <v>3491</v>
      </c>
      <c r="X909" s="135"/>
      <c r="Y909" s="135"/>
      <c r="Z909" s="135" t="s">
        <v>2858</v>
      </c>
      <c r="AA909" s="135"/>
      <c r="AB909" s="135"/>
      <c r="AC909" s="135"/>
      <c r="AD909" s="135">
        <v>46147.0</v>
      </c>
      <c r="AE909" s="135"/>
      <c r="AF909" s="135"/>
      <c r="AG909" s="135"/>
    </row>
    <row r="910" ht="21.75" hidden="1" customHeight="1">
      <c r="A910" s="135">
        <v>906.0</v>
      </c>
      <c r="B910" s="135">
        <v>25045.0</v>
      </c>
      <c r="C910" s="135"/>
      <c r="D910" s="135">
        <v>5.0</v>
      </c>
      <c r="E910" s="135" t="s">
        <v>3477</v>
      </c>
      <c r="F910" s="135" t="s">
        <v>2054</v>
      </c>
      <c r="G910" s="135" t="s">
        <v>83</v>
      </c>
      <c r="H910" s="135" t="s">
        <v>2853</v>
      </c>
      <c r="I910" s="135" t="s">
        <v>92</v>
      </c>
      <c r="J910" s="135">
        <v>1.0</v>
      </c>
      <c r="K910" s="135"/>
      <c r="L910" s="135">
        <v>2855.0</v>
      </c>
      <c r="M910" s="135">
        <v>1000.0</v>
      </c>
      <c r="N910" s="135">
        <v>120.0</v>
      </c>
      <c r="O910" s="135">
        <v>0.413</v>
      </c>
      <c r="P910" s="136">
        <v>0.0</v>
      </c>
      <c r="Q910" s="137">
        <v>1.0325</v>
      </c>
      <c r="R910" s="136">
        <v>46114.0</v>
      </c>
      <c r="S910" s="135" t="s">
        <v>3439</v>
      </c>
      <c r="T910" s="136"/>
      <c r="U910" s="135" t="s">
        <v>2864</v>
      </c>
      <c r="V910" s="135" t="s">
        <v>2856</v>
      </c>
      <c r="W910" s="135" t="s">
        <v>3492</v>
      </c>
      <c r="X910" s="135"/>
      <c r="Y910" s="135"/>
      <c r="Z910" s="135" t="s">
        <v>2858</v>
      </c>
      <c r="AA910" s="135"/>
      <c r="AB910" s="135"/>
      <c r="AC910" s="135"/>
      <c r="AD910" s="135">
        <v>46121.0</v>
      </c>
      <c r="AE910" s="135"/>
      <c r="AF910" s="135"/>
      <c r="AG910" s="135"/>
    </row>
    <row r="911" ht="21.75" hidden="1" customHeight="1">
      <c r="A911" s="135">
        <v>907.0</v>
      </c>
      <c r="B911" s="135">
        <v>25045.0</v>
      </c>
      <c r="C911" s="135"/>
      <c r="D911" s="135">
        <v>5.0</v>
      </c>
      <c r="E911" s="135" t="s">
        <v>3477</v>
      </c>
      <c r="F911" s="135" t="s">
        <v>2055</v>
      </c>
      <c r="G911" s="135" t="s">
        <v>83</v>
      </c>
      <c r="H911" s="135" t="s">
        <v>2853</v>
      </c>
      <c r="I911" s="135" t="s">
        <v>92</v>
      </c>
      <c r="J911" s="135">
        <v>1.0</v>
      </c>
      <c r="K911" s="135"/>
      <c r="L911" s="135">
        <v>1635.0</v>
      </c>
      <c r="M911" s="135">
        <v>1275.0</v>
      </c>
      <c r="N911" s="135">
        <v>120.0</v>
      </c>
      <c r="O911" s="135">
        <v>0.368</v>
      </c>
      <c r="P911" s="136">
        <v>0.0</v>
      </c>
      <c r="Q911" s="137">
        <v>0.9199999999999999</v>
      </c>
      <c r="R911" s="136">
        <v>46114.0</v>
      </c>
      <c r="S911" s="135" t="s">
        <v>3439</v>
      </c>
      <c r="T911" s="136"/>
      <c r="U911" s="135" t="s">
        <v>2864</v>
      </c>
      <c r="V911" s="135" t="s">
        <v>2953</v>
      </c>
      <c r="W911" s="135" t="s">
        <v>3481</v>
      </c>
      <c r="X911" s="135"/>
      <c r="Y911" s="135"/>
      <c r="Z911" s="135" t="s">
        <v>2858</v>
      </c>
      <c r="AA911" s="135"/>
      <c r="AB911" s="135"/>
      <c r="AC911" s="135"/>
      <c r="AD911" s="135">
        <v>46135.0</v>
      </c>
      <c r="AE911" s="135"/>
      <c r="AF911" s="135"/>
      <c r="AG911" s="135"/>
    </row>
    <row r="912" ht="21.75" hidden="1" customHeight="1">
      <c r="A912" s="135">
        <v>908.0</v>
      </c>
      <c r="B912" s="135">
        <v>25045.0</v>
      </c>
      <c r="C912" s="135"/>
      <c r="D912" s="135">
        <v>5.0</v>
      </c>
      <c r="E912" s="135" t="s">
        <v>3477</v>
      </c>
      <c r="F912" s="135" t="s">
        <v>2056</v>
      </c>
      <c r="G912" s="135" t="s">
        <v>83</v>
      </c>
      <c r="H912" s="135" t="s">
        <v>2965</v>
      </c>
      <c r="I912" s="135" t="s">
        <v>92</v>
      </c>
      <c r="J912" s="135">
        <v>1.0</v>
      </c>
      <c r="K912" s="135"/>
      <c r="L912" s="135">
        <v>400.0</v>
      </c>
      <c r="M912" s="135">
        <v>2900.0</v>
      </c>
      <c r="N912" s="135">
        <v>350.0</v>
      </c>
      <c r="O912" s="135">
        <v>0.47</v>
      </c>
      <c r="P912" s="136">
        <v>0.0</v>
      </c>
      <c r="Q912" s="137">
        <v>1.1749999999999998</v>
      </c>
      <c r="R912" s="136">
        <v>46114.0</v>
      </c>
      <c r="S912" s="135" t="s">
        <v>3439</v>
      </c>
      <c r="T912" s="136"/>
      <c r="U912" s="135" t="s">
        <v>2966</v>
      </c>
      <c r="V912" s="135" t="s">
        <v>2967</v>
      </c>
      <c r="W912" s="135"/>
      <c r="X912" s="135" t="s">
        <v>2968</v>
      </c>
      <c r="Y912" s="135"/>
      <c r="Z912" s="135" t="s">
        <v>2858</v>
      </c>
      <c r="AA912" s="135"/>
      <c r="AB912" s="135"/>
      <c r="AC912" s="135"/>
      <c r="AD912" s="135">
        <v>46126.0</v>
      </c>
      <c r="AE912" s="135"/>
      <c r="AF912" s="135"/>
      <c r="AG912" s="135"/>
    </row>
    <row r="913" ht="21.75" hidden="1" customHeight="1">
      <c r="A913" s="135">
        <v>909.0</v>
      </c>
      <c r="B913" s="135">
        <v>25045.0</v>
      </c>
      <c r="C913" s="135"/>
      <c r="D913" s="135">
        <v>5.0</v>
      </c>
      <c r="E913" s="135" t="s">
        <v>3478</v>
      </c>
      <c r="F913" s="135" t="s">
        <v>2060</v>
      </c>
      <c r="G913" s="135" t="s">
        <v>83</v>
      </c>
      <c r="H913" s="135" t="s">
        <v>2853</v>
      </c>
      <c r="I913" s="135" t="s">
        <v>93</v>
      </c>
      <c r="J913" s="135">
        <v>1.0</v>
      </c>
      <c r="K913" s="135"/>
      <c r="L913" s="135">
        <v>3863.0</v>
      </c>
      <c r="M913" s="135">
        <v>3200.0</v>
      </c>
      <c r="N913" s="135">
        <v>120.0</v>
      </c>
      <c r="O913" s="135">
        <v>1.642</v>
      </c>
      <c r="P913" s="136">
        <v>0.0</v>
      </c>
      <c r="Q913" s="137">
        <v>4.1049999999999995</v>
      </c>
      <c r="R913" s="136">
        <v>46114.0</v>
      </c>
      <c r="S913" s="135" t="s">
        <v>3439</v>
      </c>
      <c r="T913" s="136"/>
      <c r="U913" s="135" t="s">
        <v>2864</v>
      </c>
      <c r="V913" s="135" t="s">
        <v>3100</v>
      </c>
      <c r="W913" s="135" t="s">
        <v>3493</v>
      </c>
      <c r="X913" s="135"/>
      <c r="Y913" s="135"/>
      <c r="Z913" s="135" t="s">
        <v>2858</v>
      </c>
      <c r="AA913" s="135"/>
      <c r="AB913" s="135"/>
      <c r="AC913" s="135"/>
      <c r="AD913" s="135">
        <v>46121.0</v>
      </c>
      <c r="AE913" s="135"/>
      <c r="AF913" s="135"/>
      <c r="AG913" s="135"/>
    </row>
    <row r="914" ht="21.75" hidden="1" customHeight="1">
      <c r="A914" s="135">
        <v>910.0</v>
      </c>
      <c r="B914" s="135">
        <v>25045.0</v>
      </c>
      <c r="C914" s="135"/>
      <c r="D914" s="135">
        <v>5.0</v>
      </c>
      <c r="E914" s="135" t="s">
        <v>3478</v>
      </c>
      <c r="F914" s="135" t="s">
        <v>2061</v>
      </c>
      <c r="G914" s="135" t="s">
        <v>83</v>
      </c>
      <c r="H914" s="135" t="s">
        <v>2853</v>
      </c>
      <c r="I914" s="135" t="s">
        <v>93</v>
      </c>
      <c r="J914" s="135">
        <v>1.0</v>
      </c>
      <c r="K914" s="135"/>
      <c r="L914" s="135">
        <v>4534.0</v>
      </c>
      <c r="M914" s="135">
        <v>3200.0</v>
      </c>
      <c r="N914" s="135">
        <v>120.0</v>
      </c>
      <c r="O914" s="135">
        <v>1.651</v>
      </c>
      <c r="P914" s="136">
        <v>0.0</v>
      </c>
      <c r="Q914" s="137">
        <v>4.1275</v>
      </c>
      <c r="R914" s="136">
        <v>46114.0</v>
      </c>
      <c r="S914" s="135" t="s">
        <v>3439</v>
      </c>
      <c r="T914" s="136"/>
      <c r="U914" s="135" t="s">
        <v>2864</v>
      </c>
      <c r="V914" s="135" t="s">
        <v>2985</v>
      </c>
      <c r="W914" s="135" t="s">
        <v>3483</v>
      </c>
      <c r="X914" s="135" t="s">
        <v>2895</v>
      </c>
      <c r="Y914" s="135"/>
      <c r="Z914" s="135" t="s">
        <v>2858</v>
      </c>
      <c r="AA914" s="135"/>
      <c r="AB914" s="135"/>
      <c r="AC914" s="135"/>
      <c r="AD914" s="135">
        <v>46136.0</v>
      </c>
      <c r="AE914" s="135"/>
      <c r="AF914" s="135"/>
      <c r="AG914" s="135"/>
    </row>
    <row r="915" ht="21.75" hidden="1" customHeight="1">
      <c r="A915" s="135">
        <v>911.0</v>
      </c>
      <c r="B915" s="135">
        <v>25045.0</v>
      </c>
      <c r="C915" s="135"/>
      <c r="D915" s="135">
        <v>5.0</v>
      </c>
      <c r="E915" s="135" t="s">
        <v>3478</v>
      </c>
      <c r="F915" s="135" t="s">
        <v>2062</v>
      </c>
      <c r="G915" s="135" t="s">
        <v>83</v>
      </c>
      <c r="H915" s="135" t="s">
        <v>2853</v>
      </c>
      <c r="I915" s="135" t="s">
        <v>93</v>
      </c>
      <c r="J915" s="135">
        <v>1.0</v>
      </c>
      <c r="K915" s="135" t="s">
        <v>3134</v>
      </c>
      <c r="L915" s="135">
        <v>4534.0</v>
      </c>
      <c r="M915" s="135">
        <v>3200.0</v>
      </c>
      <c r="N915" s="135">
        <v>120.0</v>
      </c>
      <c r="O915" s="135">
        <v>1.987</v>
      </c>
      <c r="P915" s="136">
        <v>0.0</v>
      </c>
      <c r="Q915" s="137">
        <v>4.9675</v>
      </c>
      <c r="R915" s="136">
        <v>46114.0</v>
      </c>
      <c r="S915" s="135" t="s">
        <v>3439</v>
      </c>
      <c r="T915" s="136"/>
      <c r="U915" s="135" t="s">
        <v>2855</v>
      </c>
      <c r="V915" s="135" t="s">
        <v>2876</v>
      </c>
      <c r="W915" s="135" t="s">
        <v>3447</v>
      </c>
      <c r="X915" s="135"/>
      <c r="Y915" s="135"/>
      <c r="Z915" s="135" t="s">
        <v>2858</v>
      </c>
      <c r="AA915" s="135"/>
      <c r="AB915" s="135"/>
      <c r="AC915" s="135"/>
      <c r="AD915" s="135">
        <v>46125.0</v>
      </c>
      <c r="AE915" s="135"/>
      <c r="AF915" s="135"/>
      <c r="AG915" s="135"/>
    </row>
    <row r="916" ht="21.75" hidden="1" customHeight="1">
      <c r="A916" s="135">
        <v>912.0</v>
      </c>
      <c r="B916" s="135">
        <v>25045.0</v>
      </c>
      <c r="C916" s="135"/>
      <c r="D916" s="135">
        <v>5.0</v>
      </c>
      <c r="E916" s="135" t="s">
        <v>3478</v>
      </c>
      <c r="F916" s="135" t="s">
        <v>2063</v>
      </c>
      <c r="G916" s="135" t="s">
        <v>83</v>
      </c>
      <c r="H916" s="135" t="s">
        <v>2853</v>
      </c>
      <c r="I916" s="135" t="s">
        <v>93</v>
      </c>
      <c r="J916" s="135">
        <v>1.0</v>
      </c>
      <c r="K916" s="135" t="s">
        <v>3134</v>
      </c>
      <c r="L916" s="135">
        <v>4534.0</v>
      </c>
      <c r="M916" s="135">
        <v>3200.0</v>
      </c>
      <c r="N916" s="135">
        <v>120.0</v>
      </c>
      <c r="O916" s="135">
        <v>1.987</v>
      </c>
      <c r="P916" s="136">
        <v>0.0</v>
      </c>
      <c r="Q916" s="137">
        <v>4.9675</v>
      </c>
      <c r="R916" s="136">
        <v>46114.0</v>
      </c>
      <c r="S916" s="135" t="s">
        <v>3439</v>
      </c>
      <c r="T916" s="136"/>
      <c r="U916" s="135" t="s">
        <v>2855</v>
      </c>
      <c r="V916" s="135" t="s">
        <v>2876</v>
      </c>
      <c r="W916" s="135" t="s">
        <v>3447</v>
      </c>
      <c r="X916" s="135"/>
      <c r="Y916" s="135"/>
      <c r="Z916" s="135" t="s">
        <v>2858</v>
      </c>
      <c r="AA916" s="135"/>
      <c r="AB916" s="135"/>
      <c r="AC916" s="135"/>
      <c r="AD916" s="135">
        <v>46126.0</v>
      </c>
      <c r="AE916" s="135"/>
      <c r="AF916" s="135"/>
      <c r="AG916" s="135"/>
    </row>
    <row r="917" ht="21.75" hidden="1" customHeight="1">
      <c r="A917" s="135">
        <v>913.0</v>
      </c>
      <c r="B917" s="135">
        <v>25045.0</v>
      </c>
      <c r="C917" s="135"/>
      <c r="D917" s="135">
        <v>5.0</v>
      </c>
      <c r="E917" s="135" t="s">
        <v>3478</v>
      </c>
      <c r="F917" s="135" t="s">
        <v>2064</v>
      </c>
      <c r="G917" s="135" t="s">
        <v>83</v>
      </c>
      <c r="H917" s="135" t="s">
        <v>2853</v>
      </c>
      <c r="I917" s="135" t="s">
        <v>93</v>
      </c>
      <c r="J917" s="135">
        <v>1.0</v>
      </c>
      <c r="K917" s="135" t="s">
        <v>3134</v>
      </c>
      <c r="L917" s="135">
        <v>4534.0</v>
      </c>
      <c r="M917" s="135">
        <v>3200.0</v>
      </c>
      <c r="N917" s="135">
        <v>120.0</v>
      </c>
      <c r="O917" s="135">
        <v>1.987</v>
      </c>
      <c r="P917" s="136">
        <v>0.0</v>
      </c>
      <c r="Q917" s="137">
        <v>4.9675</v>
      </c>
      <c r="R917" s="136">
        <v>46114.0</v>
      </c>
      <c r="S917" s="135" t="s">
        <v>3439</v>
      </c>
      <c r="T917" s="136"/>
      <c r="U917" s="135" t="s">
        <v>2855</v>
      </c>
      <c r="V917" s="135" t="s">
        <v>2876</v>
      </c>
      <c r="W917" s="135" t="s">
        <v>3447</v>
      </c>
      <c r="X917" s="135"/>
      <c r="Y917" s="135"/>
      <c r="Z917" s="135" t="s">
        <v>2858</v>
      </c>
      <c r="AA917" s="135"/>
      <c r="AB917" s="135"/>
      <c r="AC917" s="135"/>
      <c r="AD917" s="135">
        <v>46127.0</v>
      </c>
      <c r="AE917" s="135"/>
      <c r="AF917" s="135"/>
      <c r="AG917" s="135"/>
    </row>
    <row r="918" ht="21.75" hidden="1" customHeight="1">
      <c r="A918" s="135">
        <v>914.0</v>
      </c>
      <c r="B918" s="135">
        <v>25045.0</v>
      </c>
      <c r="C918" s="135"/>
      <c r="D918" s="135">
        <v>5.0</v>
      </c>
      <c r="E918" s="135" t="s">
        <v>3478</v>
      </c>
      <c r="F918" s="135" t="s">
        <v>2065</v>
      </c>
      <c r="G918" s="135" t="s">
        <v>83</v>
      </c>
      <c r="H918" s="135" t="s">
        <v>2853</v>
      </c>
      <c r="I918" s="135" t="s">
        <v>93</v>
      </c>
      <c r="J918" s="135">
        <v>1.0</v>
      </c>
      <c r="K918" s="135"/>
      <c r="L918" s="135">
        <v>4534.0</v>
      </c>
      <c r="M918" s="135">
        <v>3200.0</v>
      </c>
      <c r="N918" s="135">
        <v>120.0</v>
      </c>
      <c r="O918" s="135">
        <v>1.787</v>
      </c>
      <c r="P918" s="136">
        <v>0.0</v>
      </c>
      <c r="Q918" s="137">
        <v>4.467499999999999</v>
      </c>
      <c r="R918" s="136">
        <v>46114.0</v>
      </c>
      <c r="S918" s="135" t="s">
        <v>3439</v>
      </c>
      <c r="T918" s="136"/>
      <c r="U918" s="135" t="s">
        <v>2864</v>
      </c>
      <c r="V918" s="135" t="s">
        <v>2890</v>
      </c>
      <c r="W918" s="135" t="s">
        <v>3494</v>
      </c>
      <c r="X918" s="135" t="s">
        <v>2892</v>
      </c>
      <c r="Y918" s="135"/>
      <c r="Z918" s="135" t="s">
        <v>2858</v>
      </c>
      <c r="AA918" s="135"/>
      <c r="AB918" s="135"/>
      <c r="AC918" s="135"/>
      <c r="AD918" s="135">
        <v>46135.0</v>
      </c>
      <c r="AE918" s="135"/>
      <c r="AF918" s="135"/>
      <c r="AG918" s="135"/>
    </row>
    <row r="919" ht="21.75" hidden="1" customHeight="1">
      <c r="A919" s="135">
        <v>915.0</v>
      </c>
      <c r="B919" s="135">
        <v>25045.0</v>
      </c>
      <c r="C919" s="135"/>
      <c r="D919" s="135">
        <v>5.0</v>
      </c>
      <c r="E919" s="135" t="s">
        <v>3478</v>
      </c>
      <c r="F919" s="135" t="s">
        <v>2066</v>
      </c>
      <c r="G919" s="135" t="s">
        <v>83</v>
      </c>
      <c r="H919" s="135" t="s">
        <v>2853</v>
      </c>
      <c r="I919" s="135" t="s">
        <v>93</v>
      </c>
      <c r="J919" s="135">
        <v>1.0</v>
      </c>
      <c r="K919" s="135" t="s">
        <v>3134</v>
      </c>
      <c r="L919" s="135">
        <v>4534.0</v>
      </c>
      <c r="M919" s="135">
        <v>3200.0</v>
      </c>
      <c r="N919" s="135">
        <v>120.0</v>
      </c>
      <c r="O919" s="135">
        <v>2.124</v>
      </c>
      <c r="P919" s="136">
        <v>0.0</v>
      </c>
      <c r="Q919" s="137">
        <v>5.3100000000000005</v>
      </c>
      <c r="R919" s="136">
        <v>46114.0</v>
      </c>
      <c r="S919" s="135" t="s">
        <v>3439</v>
      </c>
      <c r="T919" s="136"/>
      <c r="U919" s="135" t="s">
        <v>2855</v>
      </c>
      <c r="V919" s="135" t="s">
        <v>2878</v>
      </c>
      <c r="W919" s="135" t="s">
        <v>3495</v>
      </c>
      <c r="X919" s="135"/>
      <c r="Y919" s="135"/>
      <c r="Z919" s="135" t="s">
        <v>2858</v>
      </c>
      <c r="AA919" s="135"/>
      <c r="AB919" s="135"/>
      <c r="AC919" s="135"/>
      <c r="AD919" s="135">
        <v>46127.0</v>
      </c>
      <c r="AE919" s="135"/>
      <c r="AF919" s="135"/>
      <c r="AG919" s="135"/>
    </row>
    <row r="920" ht="21.75" hidden="1" customHeight="1">
      <c r="A920" s="135">
        <v>916.0</v>
      </c>
      <c r="B920" s="135">
        <v>25045.0</v>
      </c>
      <c r="C920" s="135"/>
      <c r="D920" s="135">
        <v>5.0</v>
      </c>
      <c r="E920" s="135" t="s">
        <v>3478</v>
      </c>
      <c r="F920" s="135" t="s">
        <v>2067</v>
      </c>
      <c r="G920" s="135" t="s">
        <v>83</v>
      </c>
      <c r="H920" s="135" t="s">
        <v>2853</v>
      </c>
      <c r="I920" s="135" t="s">
        <v>93</v>
      </c>
      <c r="J920" s="135">
        <v>1.0</v>
      </c>
      <c r="K920" s="135" t="s">
        <v>3134</v>
      </c>
      <c r="L920" s="135">
        <v>4534.0</v>
      </c>
      <c r="M920" s="135">
        <v>3200.0</v>
      </c>
      <c r="N920" s="135">
        <v>120.0</v>
      </c>
      <c r="O920" s="135">
        <v>2.124</v>
      </c>
      <c r="P920" s="136">
        <v>0.0</v>
      </c>
      <c r="Q920" s="137">
        <v>5.3100000000000005</v>
      </c>
      <c r="R920" s="136">
        <v>46114.0</v>
      </c>
      <c r="S920" s="135" t="s">
        <v>3439</v>
      </c>
      <c r="T920" s="136"/>
      <c r="U920" s="135" t="s">
        <v>2855</v>
      </c>
      <c r="V920" s="135" t="s">
        <v>2878</v>
      </c>
      <c r="W920" s="135" t="s">
        <v>3495</v>
      </c>
      <c r="X920" s="135"/>
      <c r="Y920" s="135"/>
      <c r="Z920" s="135" t="s">
        <v>2858</v>
      </c>
      <c r="AA920" s="135"/>
      <c r="AB920" s="135"/>
      <c r="AC920" s="135"/>
      <c r="AD920" s="135">
        <v>46128.0</v>
      </c>
      <c r="AE920" s="135"/>
      <c r="AF920" s="135"/>
      <c r="AG920" s="135"/>
    </row>
    <row r="921" ht="21.75" hidden="1" customHeight="1">
      <c r="A921" s="135">
        <v>917.0</v>
      </c>
      <c r="B921" s="135">
        <v>25045.0</v>
      </c>
      <c r="C921" s="135"/>
      <c r="D921" s="135">
        <v>5.0</v>
      </c>
      <c r="E921" s="135" t="s">
        <v>3478</v>
      </c>
      <c r="F921" s="135" t="s">
        <v>2068</v>
      </c>
      <c r="G921" s="135" t="s">
        <v>83</v>
      </c>
      <c r="H921" s="135" t="s">
        <v>2853</v>
      </c>
      <c r="I921" s="135" t="s">
        <v>93</v>
      </c>
      <c r="J921" s="135">
        <v>1.0</v>
      </c>
      <c r="K921" s="135" t="s">
        <v>3134</v>
      </c>
      <c r="L921" s="135">
        <v>4534.0</v>
      </c>
      <c r="M921" s="135">
        <v>3200.0</v>
      </c>
      <c r="N921" s="135">
        <v>120.0</v>
      </c>
      <c r="O921" s="135">
        <v>2.124</v>
      </c>
      <c r="P921" s="136">
        <v>0.0</v>
      </c>
      <c r="Q921" s="137">
        <v>5.3100000000000005</v>
      </c>
      <c r="R921" s="136">
        <v>46114.0</v>
      </c>
      <c r="S921" s="135" t="s">
        <v>3439</v>
      </c>
      <c r="T921" s="136"/>
      <c r="U921" s="135" t="s">
        <v>2855</v>
      </c>
      <c r="V921" s="135" t="s">
        <v>2878</v>
      </c>
      <c r="W921" s="135" t="s">
        <v>3495</v>
      </c>
      <c r="X921" s="135"/>
      <c r="Y921" s="135"/>
      <c r="Z921" s="135" t="s">
        <v>2858</v>
      </c>
      <c r="AA921" s="135"/>
      <c r="AB921" s="135"/>
      <c r="AC921" s="135"/>
      <c r="AD921" s="135">
        <v>46129.0</v>
      </c>
      <c r="AE921" s="135"/>
      <c r="AF921" s="135"/>
      <c r="AG921" s="135"/>
    </row>
    <row r="922" ht="21.75" hidden="1" customHeight="1">
      <c r="A922" s="135">
        <v>918.0</v>
      </c>
      <c r="B922" s="135">
        <v>25045.0</v>
      </c>
      <c r="C922" s="135"/>
      <c r="D922" s="135">
        <v>5.0</v>
      </c>
      <c r="E922" s="135" t="s">
        <v>3478</v>
      </c>
      <c r="F922" s="135" t="s">
        <v>2069</v>
      </c>
      <c r="G922" s="135" t="s">
        <v>83</v>
      </c>
      <c r="H922" s="135" t="s">
        <v>2853</v>
      </c>
      <c r="I922" s="135" t="s">
        <v>93</v>
      </c>
      <c r="J922" s="135">
        <v>1.0</v>
      </c>
      <c r="K922" s="135"/>
      <c r="L922" s="135">
        <v>5000.0</v>
      </c>
      <c r="M922" s="135">
        <v>3200.0</v>
      </c>
      <c r="N922" s="135">
        <v>120.0</v>
      </c>
      <c r="O922" s="135">
        <v>2.258</v>
      </c>
      <c r="P922" s="136">
        <v>0.0</v>
      </c>
      <c r="Q922" s="137">
        <v>5.645</v>
      </c>
      <c r="R922" s="136">
        <v>46114.0</v>
      </c>
      <c r="S922" s="135" t="s">
        <v>3439</v>
      </c>
      <c r="T922" s="136"/>
      <c r="U922" s="135" t="s">
        <v>2855</v>
      </c>
      <c r="V922" s="135" t="s">
        <v>2878</v>
      </c>
      <c r="W922" s="135" t="s">
        <v>3496</v>
      </c>
      <c r="X922" s="135"/>
      <c r="Y922" s="135"/>
      <c r="Z922" s="135" t="s">
        <v>2858</v>
      </c>
      <c r="AA922" s="135"/>
      <c r="AB922" s="135"/>
      <c r="AC922" s="135"/>
      <c r="AD922" s="135">
        <v>46132.0</v>
      </c>
      <c r="AE922" s="135"/>
      <c r="AF922" s="135"/>
      <c r="AG922" s="135"/>
    </row>
    <row r="923" ht="21.75" hidden="1" customHeight="1">
      <c r="A923" s="135">
        <v>919.0</v>
      </c>
      <c r="B923" s="135">
        <v>25045.0</v>
      </c>
      <c r="C923" s="135"/>
      <c r="D923" s="135">
        <v>5.0</v>
      </c>
      <c r="E923" s="135" t="s">
        <v>3478</v>
      </c>
      <c r="F923" s="135" t="s">
        <v>2070</v>
      </c>
      <c r="G923" s="135" t="s">
        <v>83</v>
      </c>
      <c r="H923" s="135" t="s">
        <v>2853</v>
      </c>
      <c r="I923" s="135" t="s">
        <v>93</v>
      </c>
      <c r="J923" s="135">
        <v>1.0</v>
      </c>
      <c r="K923" s="135"/>
      <c r="L923" s="135">
        <v>2855.0</v>
      </c>
      <c r="M923" s="135">
        <v>1000.0</v>
      </c>
      <c r="N923" s="135">
        <v>120.0</v>
      </c>
      <c r="O923" s="135">
        <v>0.42</v>
      </c>
      <c r="P923" s="136">
        <v>0.0</v>
      </c>
      <c r="Q923" s="137">
        <v>1.05</v>
      </c>
      <c r="R923" s="136">
        <v>46114.0</v>
      </c>
      <c r="S923" s="135" t="s">
        <v>3439</v>
      </c>
      <c r="T923" s="136"/>
      <c r="U923" s="135" t="s">
        <v>2864</v>
      </c>
      <c r="V923" s="135" t="s">
        <v>2856</v>
      </c>
      <c r="W923" s="135" t="s">
        <v>3497</v>
      </c>
      <c r="X923" s="135"/>
      <c r="Y923" s="135"/>
      <c r="Z923" s="135" t="s">
        <v>2858</v>
      </c>
      <c r="AA923" s="135"/>
      <c r="AB923" s="135"/>
      <c r="AC923" s="135"/>
      <c r="AD923" s="135">
        <v>46122.0</v>
      </c>
      <c r="AE923" s="135"/>
      <c r="AF923" s="135"/>
      <c r="AG923" s="135"/>
    </row>
    <row r="924" ht="21.75" hidden="1" customHeight="1">
      <c r="A924" s="135">
        <v>920.0</v>
      </c>
      <c r="B924" s="135">
        <v>25045.0</v>
      </c>
      <c r="C924" s="135"/>
      <c r="D924" s="135">
        <v>5.0</v>
      </c>
      <c r="E924" s="135" t="s">
        <v>3478</v>
      </c>
      <c r="F924" s="135" t="s">
        <v>2071</v>
      </c>
      <c r="G924" s="135" t="s">
        <v>83</v>
      </c>
      <c r="H924" s="135" t="s">
        <v>2853</v>
      </c>
      <c r="I924" s="135" t="s">
        <v>93</v>
      </c>
      <c r="J924" s="135">
        <v>1.0</v>
      </c>
      <c r="K924" s="135"/>
      <c r="L924" s="135">
        <v>1635.0</v>
      </c>
      <c r="M924" s="135">
        <v>1285.0</v>
      </c>
      <c r="N924" s="135">
        <v>120.0</v>
      </c>
      <c r="O924" s="135">
        <v>0.369</v>
      </c>
      <c r="P924" s="136">
        <v>0.0</v>
      </c>
      <c r="Q924" s="137">
        <v>0.9225</v>
      </c>
      <c r="R924" s="136">
        <v>46114.0</v>
      </c>
      <c r="S924" s="135" t="s">
        <v>3439</v>
      </c>
      <c r="T924" s="136"/>
      <c r="U924" s="135" t="s">
        <v>2864</v>
      </c>
      <c r="V924" s="135" t="s">
        <v>2873</v>
      </c>
      <c r="W924" s="135" t="s">
        <v>3498</v>
      </c>
      <c r="X924" s="135"/>
      <c r="Y924" s="135"/>
      <c r="Z924" s="135" t="s">
        <v>2858</v>
      </c>
      <c r="AA924" s="135"/>
      <c r="AB924" s="135"/>
      <c r="AC924" s="135"/>
      <c r="AD924" s="135">
        <v>46125.0</v>
      </c>
      <c r="AE924" s="135"/>
      <c r="AF924" s="135"/>
      <c r="AG924" s="135"/>
    </row>
    <row r="925" ht="21.75" hidden="1" customHeight="1">
      <c r="A925" s="135">
        <v>921.0</v>
      </c>
      <c r="B925" s="135">
        <v>25045.0</v>
      </c>
      <c r="C925" s="135"/>
      <c r="D925" s="135">
        <v>5.0</v>
      </c>
      <c r="E925" s="135" t="s">
        <v>3478</v>
      </c>
      <c r="F925" s="135" t="s">
        <v>2072</v>
      </c>
      <c r="G925" s="135" t="s">
        <v>83</v>
      </c>
      <c r="H925" s="135" t="s">
        <v>2965</v>
      </c>
      <c r="I925" s="135" t="s">
        <v>93</v>
      </c>
      <c r="J925" s="135">
        <v>1.0</v>
      </c>
      <c r="K925" s="135"/>
      <c r="L925" s="135">
        <v>400.0</v>
      </c>
      <c r="M925" s="135">
        <v>2910.0</v>
      </c>
      <c r="N925" s="135">
        <v>350.0</v>
      </c>
      <c r="O925" s="135">
        <v>0.472</v>
      </c>
      <c r="P925" s="136">
        <v>0.0</v>
      </c>
      <c r="Q925" s="137">
        <v>1.18</v>
      </c>
      <c r="R925" s="136">
        <v>46114.0</v>
      </c>
      <c r="S925" s="135" t="s">
        <v>3439</v>
      </c>
      <c r="T925" s="136"/>
      <c r="U925" s="135" t="s">
        <v>2966</v>
      </c>
      <c r="V925" s="135" t="s">
        <v>2967</v>
      </c>
      <c r="W925" s="135"/>
      <c r="X925" s="135" t="s">
        <v>2968</v>
      </c>
      <c r="Y925" s="135"/>
      <c r="Z925" s="135" t="s">
        <v>2858</v>
      </c>
      <c r="AA925" s="135"/>
      <c r="AB925" s="135"/>
      <c r="AC925" s="135"/>
      <c r="AD925" s="135">
        <v>46154.0</v>
      </c>
      <c r="AE925" s="135"/>
      <c r="AF925" s="135"/>
      <c r="AG925" s="135"/>
    </row>
    <row r="926" ht="21.75" hidden="1" customHeight="1">
      <c r="A926" s="135">
        <v>922.0</v>
      </c>
      <c r="B926" s="135">
        <v>25045.0</v>
      </c>
      <c r="C926" s="135" t="s">
        <v>2817</v>
      </c>
      <c r="D926" s="135">
        <v>5.0</v>
      </c>
      <c r="E926" s="135" t="s">
        <v>3479</v>
      </c>
      <c r="F926" s="135" t="s">
        <v>2075</v>
      </c>
      <c r="G926" s="135" t="s">
        <v>83</v>
      </c>
      <c r="H926" s="135" t="s">
        <v>2853</v>
      </c>
      <c r="I926" s="135" t="s">
        <v>94</v>
      </c>
      <c r="J926" s="135">
        <v>1.0</v>
      </c>
      <c r="K926" s="135"/>
      <c r="L926" s="135">
        <v>5887.0</v>
      </c>
      <c r="M926" s="135">
        <v>3210.0</v>
      </c>
      <c r="N926" s="135">
        <v>120.0</v>
      </c>
      <c r="O926" s="135">
        <v>1.167</v>
      </c>
      <c r="P926" s="136">
        <v>0.0</v>
      </c>
      <c r="Q926" s="137">
        <v>2.9175</v>
      </c>
      <c r="R926" s="136">
        <v>46114.0</v>
      </c>
      <c r="S926" s="135" t="s">
        <v>3439</v>
      </c>
      <c r="T926" s="136"/>
      <c r="U926" s="135" t="s">
        <v>2855</v>
      </c>
      <c r="V926" s="135" t="s">
        <v>2856</v>
      </c>
      <c r="W926" s="135" t="s">
        <v>3339</v>
      </c>
      <c r="X926" s="135" t="s">
        <v>3427</v>
      </c>
      <c r="Y926" s="135"/>
      <c r="Z926" s="135" t="s">
        <v>2858</v>
      </c>
      <c r="AA926" s="135"/>
      <c r="AB926" s="135"/>
      <c r="AC926" s="135"/>
      <c r="AD926" s="135" t="e">
        <v>#N/A</v>
      </c>
      <c r="AE926" s="135"/>
      <c r="AF926" s="135"/>
      <c r="AG926" s="135"/>
    </row>
    <row r="927" ht="21.75" hidden="1" customHeight="1">
      <c r="A927" s="135">
        <v>923.0</v>
      </c>
      <c r="B927" s="135">
        <v>25045.0</v>
      </c>
      <c r="C927" s="135"/>
      <c r="D927" s="135">
        <v>5.0</v>
      </c>
      <c r="E927" s="135" t="s">
        <v>3479</v>
      </c>
      <c r="F927" s="135" t="s">
        <v>2076</v>
      </c>
      <c r="G927" s="135" t="s">
        <v>83</v>
      </c>
      <c r="H927" s="135" t="s">
        <v>2853</v>
      </c>
      <c r="I927" s="135" t="s">
        <v>94</v>
      </c>
      <c r="J927" s="135">
        <v>1.0</v>
      </c>
      <c r="K927" s="135"/>
      <c r="L927" s="135">
        <v>3863.0</v>
      </c>
      <c r="M927" s="135">
        <v>3200.0</v>
      </c>
      <c r="N927" s="135">
        <v>120.0</v>
      </c>
      <c r="O927" s="135">
        <v>1.573</v>
      </c>
      <c r="P927" s="136">
        <v>0.0</v>
      </c>
      <c r="Q927" s="137">
        <v>3.9325</v>
      </c>
      <c r="R927" s="136">
        <v>46114.0</v>
      </c>
      <c r="S927" s="135" t="s">
        <v>3439</v>
      </c>
      <c r="T927" s="136"/>
      <c r="U927" s="135" t="s">
        <v>2864</v>
      </c>
      <c r="V927" s="135" t="s">
        <v>2982</v>
      </c>
      <c r="W927" s="135" t="s">
        <v>3493</v>
      </c>
      <c r="X927" s="135"/>
      <c r="Y927" s="135"/>
      <c r="Z927" s="135" t="s">
        <v>2858</v>
      </c>
      <c r="AA927" s="135"/>
      <c r="AB927" s="135"/>
      <c r="AC927" s="135"/>
      <c r="AD927" s="135">
        <v>46144.0</v>
      </c>
      <c r="AE927" s="135"/>
      <c r="AF927" s="135"/>
      <c r="AG927" s="135"/>
    </row>
    <row r="928" ht="21.75" hidden="1" customHeight="1">
      <c r="A928" s="135">
        <v>924.0</v>
      </c>
      <c r="B928" s="135">
        <v>25045.0</v>
      </c>
      <c r="C928" s="135"/>
      <c r="D928" s="135">
        <v>5.0</v>
      </c>
      <c r="E928" s="135" t="s">
        <v>3479</v>
      </c>
      <c r="F928" s="135" t="s">
        <v>2077</v>
      </c>
      <c r="G928" s="135" t="s">
        <v>83</v>
      </c>
      <c r="H928" s="135" t="s">
        <v>2853</v>
      </c>
      <c r="I928" s="135" t="s">
        <v>94</v>
      </c>
      <c r="J928" s="135">
        <v>1.0</v>
      </c>
      <c r="K928" s="135"/>
      <c r="L928" s="135">
        <v>5000.0</v>
      </c>
      <c r="M928" s="135">
        <v>3400.0</v>
      </c>
      <c r="N928" s="135">
        <v>120.0</v>
      </c>
      <c r="O928" s="135">
        <v>2.378</v>
      </c>
      <c r="P928" s="136">
        <v>0.0</v>
      </c>
      <c r="Q928" s="137">
        <v>5.945</v>
      </c>
      <c r="R928" s="136">
        <v>46114.0</v>
      </c>
      <c r="S928" s="135" t="s">
        <v>3439</v>
      </c>
      <c r="T928" s="136"/>
      <c r="U928" s="135" t="s">
        <v>2855</v>
      </c>
      <c r="V928" s="135" t="s">
        <v>2878</v>
      </c>
      <c r="W928" s="135" t="s">
        <v>3484</v>
      </c>
      <c r="X928" s="135"/>
      <c r="Y928" s="135"/>
      <c r="Z928" s="135" t="s">
        <v>2858</v>
      </c>
      <c r="AA928" s="135"/>
      <c r="AB928" s="135"/>
      <c r="AC928" s="135"/>
      <c r="AD928" s="135">
        <v>46128.0</v>
      </c>
      <c r="AE928" s="135"/>
      <c r="AF928" s="135"/>
      <c r="AG928" s="135"/>
    </row>
    <row r="929" ht="21.75" hidden="1" customHeight="1">
      <c r="A929" s="135">
        <v>925.0</v>
      </c>
      <c r="B929" s="135">
        <v>25045.0</v>
      </c>
      <c r="C929" s="135"/>
      <c r="D929" s="135">
        <v>5.0</v>
      </c>
      <c r="E929" s="135" t="s">
        <v>3479</v>
      </c>
      <c r="F929" s="135" t="s">
        <v>2078</v>
      </c>
      <c r="G929" s="135" t="s">
        <v>83</v>
      </c>
      <c r="H929" s="135" t="s">
        <v>2853</v>
      </c>
      <c r="I929" s="135" t="s">
        <v>94</v>
      </c>
      <c r="J929" s="135">
        <v>1.0</v>
      </c>
      <c r="K929" s="135"/>
      <c r="L929" s="135">
        <v>4534.0</v>
      </c>
      <c r="M929" s="135">
        <v>3400.0</v>
      </c>
      <c r="N929" s="135">
        <v>120.0</v>
      </c>
      <c r="O929" s="135">
        <v>1.896</v>
      </c>
      <c r="P929" s="136">
        <v>0.0</v>
      </c>
      <c r="Q929" s="137">
        <v>4.74</v>
      </c>
      <c r="R929" s="136">
        <v>46114.0</v>
      </c>
      <c r="S929" s="135" t="s">
        <v>3439</v>
      </c>
      <c r="T929" s="136"/>
      <c r="U929" s="135" t="s">
        <v>2864</v>
      </c>
      <c r="V929" s="135" t="s">
        <v>2890</v>
      </c>
      <c r="W929" s="135" t="s">
        <v>3499</v>
      </c>
      <c r="X929" s="135" t="s">
        <v>2892</v>
      </c>
      <c r="Y929" s="135"/>
      <c r="Z929" s="135" t="s">
        <v>2858</v>
      </c>
      <c r="AA929" s="135"/>
      <c r="AB929" s="135"/>
      <c r="AC929" s="135"/>
      <c r="AD929" s="135">
        <v>46136.0</v>
      </c>
      <c r="AE929" s="135"/>
      <c r="AF929" s="135"/>
      <c r="AG929" s="135"/>
    </row>
    <row r="930" ht="21.75" hidden="1" customHeight="1">
      <c r="A930" s="135">
        <v>926.0</v>
      </c>
      <c r="B930" s="135">
        <v>25045.0</v>
      </c>
      <c r="C930" s="135"/>
      <c r="D930" s="135">
        <v>5.0</v>
      </c>
      <c r="E930" s="135" t="s">
        <v>3479</v>
      </c>
      <c r="F930" s="135" t="s">
        <v>2079</v>
      </c>
      <c r="G930" s="135" t="s">
        <v>83</v>
      </c>
      <c r="H930" s="135" t="s">
        <v>2853</v>
      </c>
      <c r="I930" s="135" t="s">
        <v>94</v>
      </c>
      <c r="J930" s="135">
        <v>1.0</v>
      </c>
      <c r="K930" s="135"/>
      <c r="L930" s="135">
        <v>4534.0</v>
      </c>
      <c r="M930" s="135">
        <v>3200.0</v>
      </c>
      <c r="N930" s="135">
        <v>120.0</v>
      </c>
      <c r="O930" s="135">
        <v>1.787</v>
      </c>
      <c r="P930" s="136">
        <v>0.0</v>
      </c>
      <c r="Q930" s="137">
        <v>4.467499999999999</v>
      </c>
      <c r="R930" s="136">
        <v>46114.0</v>
      </c>
      <c r="S930" s="135" t="s">
        <v>3439</v>
      </c>
      <c r="T930" s="136"/>
      <c r="U930" s="135" t="s">
        <v>2864</v>
      </c>
      <c r="V930" s="135" t="s">
        <v>2890</v>
      </c>
      <c r="W930" s="135" t="s">
        <v>3500</v>
      </c>
      <c r="X930" s="135" t="s">
        <v>2895</v>
      </c>
      <c r="Y930" s="135"/>
      <c r="Z930" s="135" t="s">
        <v>2858</v>
      </c>
      <c r="AA930" s="135"/>
      <c r="AB930" s="135"/>
      <c r="AC930" s="135"/>
      <c r="AD930" s="135">
        <v>46123.0</v>
      </c>
      <c r="AE930" s="135"/>
      <c r="AF930" s="135"/>
      <c r="AG930" s="135"/>
    </row>
    <row r="931" ht="21.75" hidden="1" customHeight="1">
      <c r="A931" s="135">
        <v>927.0</v>
      </c>
      <c r="B931" s="135">
        <v>25045.0</v>
      </c>
      <c r="C931" s="135"/>
      <c r="D931" s="135">
        <v>5.0</v>
      </c>
      <c r="E931" s="135" t="s">
        <v>3479</v>
      </c>
      <c r="F931" s="135" t="s">
        <v>2080</v>
      </c>
      <c r="G931" s="135" t="s">
        <v>83</v>
      </c>
      <c r="H931" s="135" t="s">
        <v>2853</v>
      </c>
      <c r="I931" s="135" t="s">
        <v>94</v>
      </c>
      <c r="J931" s="135">
        <v>1.0</v>
      </c>
      <c r="K931" s="135" t="s">
        <v>3134</v>
      </c>
      <c r="L931" s="135">
        <v>4534.0</v>
      </c>
      <c r="M931" s="135">
        <v>3200.0</v>
      </c>
      <c r="N931" s="135">
        <v>120.0</v>
      </c>
      <c r="O931" s="135">
        <v>2.124</v>
      </c>
      <c r="P931" s="136">
        <v>0.0</v>
      </c>
      <c r="Q931" s="137">
        <v>5.3100000000000005</v>
      </c>
      <c r="R931" s="136">
        <v>46114.0</v>
      </c>
      <c r="S931" s="135" t="s">
        <v>3439</v>
      </c>
      <c r="T931" s="136"/>
      <c r="U931" s="135" t="s">
        <v>2855</v>
      </c>
      <c r="V931" s="135" t="s">
        <v>2878</v>
      </c>
      <c r="W931" s="135" t="s">
        <v>3501</v>
      </c>
      <c r="X931" s="135"/>
      <c r="Y931" s="135"/>
      <c r="Z931" s="135" t="s">
        <v>2858</v>
      </c>
      <c r="AA931" s="135"/>
      <c r="AB931" s="135"/>
      <c r="AC931" s="135"/>
      <c r="AD931" s="135">
        <v>46130.0</v>
      </c>
      <c r="AE931" s="135"/>
      <c r="AF931" s="135"/>
      <c r="AG931" s="135"/>
    </row>
    <row r="932" ht="21.75" hidden="1" customHeight="1">
      <c r="A932" s="135">
        <v>928.0</v>
      </c>
      <c r="B932" s="135">
        <v>25045.0</v>
      </c>
      <c r="C932" s="135"/>
      <c r="D932" s="135">
        <v>5.0</v>
      </c>
      <c r="E932" s="135" t="s">
        <v>3479</v>
      </c>
      <c r="F932" s="135" t="s">
        <v>2081</v>
      </c>
      <c r="G932" s="135" t="s">
        <v>83</v>
      </c>
      <c r="H932" s="135" t="s">
        <v>2853</v>
      </c>
      <c r="I932" s="135" t="s">
        <v>94</v>
      </c>
      <c r="J932" s="135">
        <v>1.0</v>
      </c>
      <c r="K932" s="135" t="s">
        <v>3134</v>
      </c>
      <c r="L932" s="135">
        <v>4534.0</v>
      </c>
      <c r="M932" s="135">
        <v>3200.0</v>
      </c>
      <c r="N932" s="135">
        <v>120.0</v>
      </c>
      <c r="O932" s="135">
        <v>2.124</v>
      </c>
      <c r="P932" s="136">
        <v>0.0</v>
      </c>
      <c r="Q932" s="137">
        <v>5.3100000000000005</v>
      </c>
      <c r="R932" s="136">
        <v>46114.0</v>
      </c>
      <c r="S932" s="135" t="s">
        <v>3439</v>
      </c>
      <c r="T932" s="136"/>
      <c r="U932" s="135" t="s">
        <v>2855</v>
      </c>
      <c r="V932" s="135" t="s">
        <v>2878</v>
      </c>
      <c r="W932" s="135" t="s">
        <v>3501</v>
      </c>
      <c r="X932" s="135"/>
      <c r="Y932" s="135"/>
      <c r="Z932" s="135" t="s">
        <v>2858</v>
      </c>
      <c r="AA932" s="135"/>
      <c r="AB932" s="135"/>
      <c r="AC932" s="135"/>
      <c r="AD932" s="135">
        <v>46132.0</v>
      </c>
      <c r="AE932" s="135"/>
      <c r="AF932" s="135"/>
      <c r="AG932" s="135"/>
    </row>
    <row r="933" ht="21.75" hidden="1" customHeight="1">
      <c r="A933" s="135">
        <v>929.0</v>
      </c>
      <c r="B933" s="135">
        <v>25045.0</v>
      </c>
      <c r="C933" s="135"/>
      <c r="D933" s="135">
        <v>5.0</v>
      </c>
      <c r="E933" s="135" t="s">
        <v>3479</v>
      </c>
      <c r="F933" s="135" t="s">
        <v>2082</v>
      </c>
      <c r="G933" s="135" t="s">
        <v>83</v>
      </c>
      <c r="H933" s="135" t="s">
        <v>2853</v>
      </c>
      <c r="I933" s="135" t="s">
        <v>94</v>
      </c>
      <c r="J933" s="135">
        <v>1.0</v>
      </c>
      <c r="K933" s="135" t="s">
        <v>3134</v>
      </c>
      <c r="L933" s="135">
        <v>4534.0</v>
      </c>
      <c r="M933" s="135">
        <v>3200.0</v>
      </c>
      <c r="N933" s="135">
        <v>120.0</v>
      </c>
      <c r="O933" s="135">
        <v>2.124</v>
      </c>
      <c r="P933" s="136">
        <v>0.0</v>
      </c>
      <c r="Q933" s="137">
        <v>5.3100000000000005</v>
      </c>
      <c r="R933" s="136">
        <v>46114.0</v>
      </c>
      <c r="S933" s="135" t="s">
        <v>3439</v>
      </c>
      <c r="T933" s="136"/>
      <c r="U933" s="135" t="s">
        <v>2855</v>
      </c>
      <c r="V933" s="135" t="s">
        <v>2878</v>
      </c>
      <c r="W933" s="135" t="s">
        <v>3501</v>
      </c>
      <c r="X933" s="135"/>
      <c r="Y933" s="135"/>
      <c r="Z933" s="135" t="s">
        <v>2858</v>
      </c>
      <c r="AA933" s="135"/>
      <c r="AB933" s="135"/>
      <c r="AC933" s="135"/>
      <c r="AD933" s="135">
        <v>46133.0</v>
      </c>
      <c r="AE933" s="135"/>
      <c r="AF933" s="135"/>
      <c r="AG933" s="135"/>
    </row>
    <row r="934" ht="21.75" hidden="1" customHeight="1">
      <c r="A934" s="135">
        <v>930.0</v>
      </c>
      <c r="B934" s="135">
        <v>25045.0</v>
      </c>
      <c r="C934" s="135"/>
      <c r="D934" s="135">
        <v>5.0</v>
      </c>
      <c r="E934" s="135" t="s">
        <v>3479</v>
      </c>
      <c r="F934" s="135" t="s">
        <v>2083</v>
      </c>
      <c r="G934" s="135" t="s">
        <v>83</v>
      </c>
      <c r="H934" s="135" t="s">
        <v>2853</v>
      </c>
      <c r="I934" s="135" t="s">
        <v>94</v>
      </c>
      <c r="J934" s="135">
        <v>1.0</v>
      </c>
      <c r="K934" s="135"/>
      <c r="L934" s="135">
        <v>2855.0</v>
      </c>
      <c r="M934" s="135">
        <v>1000.0</v>
      </c>
      <c r="N934" s="135">
        <v>120.0</v>
      </c>
      <c r="O934" s="135">
        <v>0.416</v>
      </c>
      <c r="P934" s="136">
        <v>0.0</v>
      </c>
      <c r="Q934" s="137">
        <v>1.04</v>
      </c>
      <c r="R934" s="136">
        <v>46114.0</v>
      </c>
      <c r="S934" s="135" t="s">
        <v>3439</v>
      </c>
      <c r="T934" s="136"/>
      <c r="U934" s="135" t="s">
        <v>2864</v>
      </c>
      <c r="V934" s="135" t="s">
        <v>2856</v>
      </c>
      <c r="W934" s="135" t="s">
        <v>3502</v>
      </c>
      <c r="X934" s="135"/>
      <c r="Y934" s="135"/>
      <c r="Z934" s="135" t="s">
        <v>2858</v>
      </c>
      <c r="AA934" s="135"/>
      <c r="AB934" s="135"/>
      <c r="AC934" s="135"/>
      <c r="AD934" s="135">
        <v>46125.0</v>
      </c>
      <c r="AE934" s="135"/>
      <c r="AF934" s="135"/>
      <c r="AG934" s="135"/>
    </row>
    <row r="935" ht="21.75" hidden="1" customHeight="1">
      <c r="A935" s="135">
        <v>931.0</v>
      </c>
      <c r="B935" s="135">
        <v>25045.0</v>
      </c>
      <c r="C935" s="135"/>
      <c r="D935" s="135">
        <v>5.0</v>
      </c>
      <c r="E935" s="135" t="s">
        <v>3479</v>
      </c>
      <c r="F935" s="135" t="s">
        <v>2084</v>
      </c>
      <c r="G935" s="135" t="s">
        <v>83</v>
      </c>
      <c r="H935" s="135" t="s">
        <v>2853</v>
      </c>
      <c r="I935" s="135" t="s">
        <v>94</v>
      </c>
      <c r="J935" s="135">
        <v>1.0</v>
      </c>
      <c r="K935" s="135"/>
      <c r="L935" s="135">
        <v>1635.0</v>
      </c>
      <c r="M935" s="135">
        <v>1725.0</v>
      </c>
      <c r="N935" s="135">
        <v>120.0</v>
      </c>
      <c r="O935" s="135">
        <v>0.434</v>
      </c>
      <c r="P935" s="136">
        <v>0.0</v>
      </c>
      <c r="Q935" s="137">
        <v>1.085</v>
      </c>
      <c r="R935" s="136">
        <v>46114.0</v>
      </c>
      <c r="S935" s="135" t="s">
        <v>3439</v>
      </c>
      <c r="T935" s="136"/>
      <c r="U935" s="135" t="s">
        <v>2864</v>
      </c>
      <c r="V935" s="135" t="s">
        <v>2856</v>
      </c>
      <c r="W935" s="135" t="s">
        <v>3168</v>
      </c>
      <c r="X935" s="135"/>
      <c r="Y935" s="135"/>
      <c r="Z935" s="135" t="s">
        <v>2858</v>
      </c>
      <c r="AA935" s="135"/>
      <c r="AB935" s="135"/>
      <c r="AC935" s="135"/>
      <c r="AD935" s="135">
        <v>46127.0</v>
      </c>
      <c r="AE935" s="135"/>
      <c r="AF935" s="135"/>
      <c r="AG935" s="135"/>
    </row>
    <row r="936" ht="21.75" hidden="1" customHeight="1">
      <c r="A936" s="135">
        <v>932.0</v>
      </c>
      <c r="B936" s="135">
        <v>25045.0</v>
      </c>
      <c r="C936" s="135"/>
      <c r="D936" s="135">
        <v>5.0</v>
      </c>
      <c r="E936" s="135" t="s">
        <v>3479</v>
      </c>
      <c r="F936" s="135" t="s">
        <v>2085</v>
      </c>
      <c r="G936" s="135" t="s">
        <v>83</v>
      </c>
      <c r="H936" s="135" t="s">
        <v>2965</v>
      </c>
      <c r="I936" s="135" t="s">
        <v>94</v>
      </c>
      <c r="J936" s="135">
        <v>1.0</v>
      </c>
      <c r="K936" s="135"/>
      <c r="L936" s="135">
        <v>400.0</v>
      </c>
      <c r="M936" s="135">
        <v>3350.0</v>
      </c>
      <c r="N936" s="135">
        <v>350.0</v>
      </c>
      <c r="O936" s="135">
        <v>0.533</v>
      </c>
      <c r="P936" s="136">
        <v>0.0</v>
      </c>
      <c r="Q936" s="137">
        <v>1.3325</v>
      </c>
      <c r="R936" s="136">
        <v>46114.0</v>
      </c>
      <c r="S936" s="135" t="s">
        <v>3439</v>
      </c>
      <c r="T936" s="136"/>
      <c r="U936" s="135" t="s">
        <v>2966</v>
      </c>
      <c r="V936" s="135" t="s">
        <v>2967</v>
      </c>
      <c r="W936" s="135"/>
      <c r="X936" s="135" t="s">
        <v>2968</v>
      </c>
      <c r="Y936" s="135"/>
      <c r="Z936" s="135" t="s">
        <v>2858</v>
      </c>
      <c r="AA936" s="135"/>
      <c r="AB936" s="135"/>
      <c r="AC936" s="135"/>
      <c r="AD936" s="135">
        <v>46137.0</v>
      </c>
      <c r="AE936" s="135"/>
      <c r="AF936" s="135"/>
      <c r="AG936" s="135"/>
    </row>
    <row r="937" ht="21.75" hidden="1" customHeight="1">
      <c r="A937" s="135">
        <v>933.0</v>
      </c>
      <c r="B937" s="135">
        <v>25045.0</v>
      </c>
      <c r="C937" s="135" t="s">
        <v>2817</v>
      </c>
      <c r="D937" s="135">
        <v>5.0</v>
      </c>
      <c r="E937" s="135" t="s">
        <v>3503</v>
      </c>
      <c r="F937" s="135" t="s">
        <v>2089</v>
      </c>
      <c r="G937" s="135" t="s">
        <v>83</v>
      </c>
      <c r="H937" s="135" t="s">
        <v>2853</v>
      </c>
      <c r="I937" s="135" t="s">
        <v>95</v>
      </c>
      <c r="J937" s="135">
        <v>1.0</v>
      </c>
      <c r="K937" s="135"/>
      <c r="L937" s="135">
        <v>4457.0</v>
      </c>
      <c r="M937" s="135">
        <v>1350.0</v>
      </c>
      <c r="N937" s="135">
        <v>120.0</v>
      </c>
      <c r="O937" s="135">
        <v>0.87</v>
      </c>
      <c r="P937" s="136">
        <v>0.0</v>
      </c>
      <c r="Q937" s="137">
        <v>2.175</v>
      </c>
      <c r="R937" s="136">
        <v>46114.0</v>
      </c>
      <c r="S937" s="135" t="s">
        <v>3439</v>
      </c>
      <c r="T937" s="136"/>
      <c r="U937" s="135" t="s">
        <v>2855</v>
      </c>
      <c r="V937" s="135" t="s">
        <v>2856</v>
      </c>
      <c r="W937" s="135" t="s">
        <v>3504</v>
      </c>
      <c r="X937" s="135"/>
      <c r="Y937" s="135"/>
      <c r="Z937" s="135" t="s">
        <v>2858</v>
      </c>
      <c r="AA937" s="135"/>
      <c r="AB937" s="135"/>
      <c r="AC937" s="135"/>
      <c r="AD937" s="135" t="e">
        <v>#N/A</v>
      </c>
      <c r="AE937" s="135"/>
      <c r="AF937" s="135"/>
      <c r="AG937" s="135"/>
    </row>
    <row r="938" ht="21.75" hidden="1" customHeight="1">
      <c r="A938" s="135">
        <v>934.0</v>
      </c>
      <c r="B938" s="135">
        <v>25045.0</v>
      </c>
      <c r="C938" s="135" t="s">
        <v>2817</v>
      </c>
      <c r="D938" s="135">
        <v>5.0</v>
      </c>
      <c r="E938" s="135" t="s">
        <v>3503</v>
      </c>
      <c r="F938" s="135" t="s">
        <v>2090</v>
      </c>
      <c r="G938" s="135" t="s">
        <v>83</v>
      </c>
      <c r="H938" s="135" t="s">
        <v>2853</v>
      </c>
      <c r="I938" s="135" t="s">
        <v>95</v>
      </c>
      <c r="J938" s="135">
        <v>1.0</v>
      </c>
      <c r="K938" s="135"/>
      <c r="L938" s="135">
        <v>4456.0</v>
      </c>
      <c r="M938" s="135">
        <v>1350.0</v>
      </c>
      <c r="N938" s="135">
        <v>120.0</v>
      </c>
      <c r="O938" s="135">
        <v>0.87</v>
      </c>
      <c r="P938" s="136">
        <v>0.0</v>
      </c>
      <c r="Q938" s="137">
        <v>2.175</v>
      </c>
      <c r="R938" s="136">
        <v>46114.0</v>
      </c>
      <c r="S938" s="135" t="s">
        <v>3439</v>
      </c>
      <c r="T938" s="136"/>
      <c r="U938" s="135" t="s">
        <v>2855</v>
      </c>
      <c r="V938" s="135" t="s">
        <v>2856</v>
      </c>
      <c r="W938" s="135" t="s">
        <v>3504</v>
      </c>
      <c r="X938" s="135"/>
      <c r="Y938" s="135"/>
      <c r="Z938" s="135" t="s">
        <v>2858</v>
      </c>
      <c r="AA938" s="135"/>
      <c r="AB938" s="135"/>
      <c r="AC938" s="135"/>
      <c r="AD938" s="135" t="e">
        <v>#N/A</v>
      </c>
      <c r="AE938" s="135"/>
      <c r="AF938" s="135"/>
      <c r="AG938" s="135"/>
    </row>
    <row r="939" ht="21.75" hidden="1" customHeight="1">
      <c r="A939" s="135">
        <v>935.0</v>
      </c>
      <c r="B939" s="135">
        <v>25045.0</v>
      </c>
      <c r="C939" s="135"/>
      <c r="D939" s="135">
        <v>5.0</v>
      </c>
      <c r="E939" s="135" t="s">
        <v>3503</v>
      </c>
      <c r="F939" s="135" t="s">
        <v>2091</v>
      </c>
      <c r="G939" s="135" t="s">
        <v>83</v>
      </c>
      <c r="H939" s="135" t="s">
        <v>2853</v>
      </c>
      <c r="I939" s="135" t="s">
        <v>95</v>
      </c>
      <c r="J939" s="135">
        <v>1.0</v>
      </c>
      <c r="K939" s="135"/>
      <c r="L939" s="135">
        <v>3420.0</v>
      </c>
      <c r="M939" s="135">
        <v>3100.0</v>
      </c>
      <c r="N939" s="135">
        <v>120.0</v>
      </c>
      <c r="O939" s="135">
        <v>1.263</v>
      </c>
      <c r="P939" s="136">
        <v>0.0</v>
      </c>
      <c r="Q939" s="137">
        <v>3.1574999999999998</v>
      </c>
      <c r="R939" s="136">
        <v>46114.0</v>
      </c>
      <c r="S939" s="135" t="s">
        <v>3439</v>
      </c>
      <c r="T939" s="136"/>
      <c r="U939" s="135" t="s">
        <v>2864</v>
      </c>
      <c r="V939" s="135" t="s">
        <v>2878</v>
      </c>
      <c r="W939" s="135" t="s">
        <v>2932</v>
      </c>
      <c r="X939" s="135" t="s">
        <v>3505</v>
      </c>
      <c r="Y939" s="135"/>
      <c r="Z939" s="135" t="s">
        <v>2858</v>
      </c>
      <c r="AA939" s="135"/>
      <c r="AB939" s="135"/>
      <c r="AC939" s="135"/>
      <c r="AD939" s="135">
        <v>46122.0</v>
      </c>
      <c r="AE939" s="135"/>
      <c r="AF939" s="135"/>
      <c r="AG939" s="135"/>
    </row>
    <row r="940" ht="21.75" hidden="1" customHeight="1">
      <c r="A940" s="135">
        <v>936.0</v>
      </c>
      <c r="B940" s="135">
        <v>25045.0</v>
      </c>
      <c r="C940" s="135"/>
      <c r="D940" s="135">
        <v>5.0</v>
      </c>
      <c r="E940" s="135" t="s">
        <v>3503</v>
      </c>
      <c r="F940" s="135" t="s">
        <v>2092</v>
      </c>
      <c r="G940" s="135" t="s">
        <v>83</v>
      </c>
      <c r="H940" s="135" t="s">
        <v>2853</v>
      </c>
      <c r="I940" s="135" t="s">
        <v>95</v>
      </c>
      <c r="J940" s="135">
        <v>1.0</v>
      </c>
      <c r="K940" s="135"/>
      <c r="L940" s="135">
        <v>3090.0</v>
      </c>
      <c r="M940" s="135">
        <v>3100.0</v>
      </c>
      <c r="N940" s="135">
        <v>120.0</v>
      </c>
      <c r="O940" s="135">
        <v>1.136</v>
      </c>
      <c r="P940" s="136">
        <v>0.0</v>
      </c>
      <c r="Q940" s="137">
        <v>2.84</v>
      </c>
      <c r="R940" s="136">
        <v>46114.0</v>
      </c>
      <c r="S940" s="135" t="s">
        <v>3439</v>
      </c>
      <c r="T940" s="136"/>
      <c r="U940" s="135" t="s">
        <v>2864</v>
      </c>
      <c r="V940" s="135" t="s">
        <v>2878</v>
      </c>
      <c r="W940" s="135" t="s">
        <v>2934</v>
      </c>
      <c r="X940" s="135" t="s">
        <v>2935</v>
      </c>
      <c r="Y940" s="135"/>
      <c r="Z940" s="135" t="s">
        <v>2858</v>
      </c>
      <c r="AA940" s="135"/>
      <c r="AB940" s="135"/>
      <c r="AC940" s="135"/>
      <c r="AD940" s="135">
        <v>46123.0</v>
      </c>
      <c r="AE940" s="135"/>
      <c r="AF940" s="135"/>
      <c r="AG940" s="135"/>
    </row>
    <row r="941" ht="21.75" hidden="1" customHeight="1">
      <c r="A941" s="135">
        <v>937.0</v>
      </c>
      <c r="B941" s="135">
        <v>25045.0</v>
      </c>
      <c r="C941" s="135"/>
      <c r="D941" s="135">
        <v>5.0</v>
      </c>
      <c r="E941" s="135" t="s">
        <v>3503</v>
      </c>
      <c r="F941" s="135" t="s">
        <v>2093</v>
      </c>
      <c r="G941" s="135" t="s">
        <v>83</v>
      </c>
      <c r="H941" s="135" t="s">
        <v>2853</v>
      </c>
      <c r="I941" s="135" t="s">
        <v>95</v>
      </c>
      <c r="J941" s="135">
        <v>1.0</v>
      </c>
      <c r="K941" s="135"/>
      <c r="L941" s="135">
        <v>2810.0</v>
      </c>
      <c r="M941" s="135">
        <v>3100.0</v>
      </c>
      <c r="N941" s="135">
        <v>120.0</v>
      </c>
      <c r="O941" s="135">
        <v>1.184</v>
      </c>
      <c r="P941" s="136">
        <v>0.0</v>
      </c>
      <c r="Q941" s="137">
        <v>2.96</v>
      </c>
      <c r="R941" s="136">
        <v>46114.0</v>
      </c>
      <c r="S941" s="135" t="s">
        <v>3439</v>
      </c>
      <c r="T941" s="136"/>
      <c r="U941" s="135" t="s">
        <v>2864</v>
      </c>
      <c r="V941" s="135" t="s">
        <v>2878</v>
      </c>
      <c r="W941" s="135" t="s">
        <v>3506</v>
      </c>
      <c r="X941" s="135"/>
      <c r="Y941" s="135"/>
      <c r="Z941" s="135" t="s">
        <v>2858</v>
      </c>
      <c r="AA941" s="135"/>
      <c r="AB941" s="135"/>
      <c r="AC941" s="135"/>
      <c r="AD941" s="135">
        <v>46125.0</v>
      </c>
      <c r="AE941" s="135"/>
      <c r="AF941" s="135"/>
      <c r="AG941" s="135"/>
    </row>
    <row r="942" ht="21.75" hidden="1" customHeight="1">
      <c r="A942" s="135">
        <v>938.0</v>
      </c>
      <c r="B942" s="135">
        <v>25045.0</v>
      </c>
      <c r="C942" s="135"/>
      <c r="D942" s="135">
        <v>5.0</v>
      </c>
      <c r="E942" s="135" t="s">
        <v>3503</v>
      </c>
      <c r="F942" s="135" t="s">
        <v>2094</v>
      </c>
      <c r="G942" s="135" t="s">
        <v>83</v>
      </c>
      <c r="H942" s="135" t="s">
        <v>2853</v>
      </c>
      <c r="I942" s="135" t="s">
        <v>95</v>
      </c>
      <c r="J942" s="135">
        <v>1.0</v>
      </c>
      <c r="K942" s="135"/>
      <c r="L942" s="135">
        <v>4460.0</v>
      </c>
      <c r="M942" s="135">
        <v>3000.0</v>
      </c>
      <c r="N942" s="135">
        <v>120.0</v>
      </c>
      <c r="O942" s="135">
        <v>1.301</v>
      </c>
      <c r="P942" s="136">
        <v>0.0</v>
      </c>
      <c r="Q942" s="137">
        <v>3.2525</v>
      </c>
      <c r="R942" s="136">
        <v>46114.0</v>
      </c>
      <c r="S942" s="135" t="s">
        <v>3439</v>
      </c>
      <c r="T942" s="136"/>
      <c r="U942" s="135" t="s">
        <v>2864</v>
      </c>
      <c r="V942" s="135" t="s">
        <v>2865</v>
      </c>
      <c r="W942" s="135" t="s">
        <v>3507</v>
      </c>
      <c r="X942" s="135" t="s">
        <v>2895</v>
      </c>
      <c r="Y942" s="135"/>
      <c r="Z942" s="135" t="s">
        <v>2858</v>
      </c>
      <c r="AA942" s="135"/>
      <c r="AB942" s="135"/>
      <c r="AC942" s="135"/>
      <c r="AD942" s="135">
        <v>46122.0</v>
      </c>
      <c r="AE942" s="135"/>
      <c r="AF942" s="135"/>
      <c r="AG942" s="135"/>
    </row>
    <row r="943" ht="21.75" hidden="1" customHeight="1">
      <c r="A943" s="135">
        <v>939.0</v>
      </c>
      <c r="B943" s="135">
        <v>25045.0</v>
      </c>
      <c r="C943" s="135"/>
      <c r="D943" s="135">
        <v>5.0</v>
      </c>
      <c r="E943" s="135" t="s">
        <v>3503</v>
      </c>
      <c r="F943" s="135" t="s">
        <v>2095</v>
      </c>
      <c r="G943" s="135" t="s">
        <v>83</v>
      </c>
      <c r="H943" s="135" t="s">
        <v>2853</v>
      </c>
      <c r="I943" s="135" t="s">
        <v>95</v>
      </c>
      <c r="J943" s="135">
        <v>1.0</v>
      </c>
      <c r="K943" s="135"/>
      <c r="L943" s="135">
        <v>3590.0</v>
      </c>
      <c r="M943" s="135">
        <v>3000.0</v>
      </c>
      <c r="N943" s="135">
        <v>120.0</v>
      </c>
      <c r="O943" s="135">
        <v>1.333</v>
      </c>
      <c r="P943" s="136">
        <v>0.0</v>
      </c>
      <c r="Q943" s="137">
        <v>3.3325</v>
      </c>
      <c r="R943" s="136">
        <v>46114.0</v>
      </c>
      <c r="S943" s="135" t="s">
        <v>3439</v>
      </c>
      <c r="T943" s="136"/>
      <c r="U943" s="135" t="s">
        <v>2864</v>
      </c>
      <c r="V943" s="135" t="s">
        <v>2865</v>
      </c>
      <c r="W943" s="135" t="s">
        <v>2937</v>
      </c>
      <c r="X943" s="135" t="s">
        <v>2935</v>
      </c>
      <c r="Y943" s="135"/>
      <c r="Z943" s="135" t="s">
        <v>2858</v>
      </c>
      <c r="AA943" s="135"/>
      <c r="AB943" s="135"/>
      <c r="AC943" s="135"/>
      <c r="AD943" s="135">
        <v>46121.0</v>
      </c>
      <c r="AE943" s="135"/>
      <c r="AF943" s="135"/>
      <c r="AG943" s="135"/>
    </row>
    <row r="944" ht="21.75" hidden="1" customHeight="1">
      <c r="A944" s="135">
        <v>940.0</v>
      </c>
      <c r="B944" s="135">
        <v>25045.0</v>
      </c>
      <c r="C944" s="135"/>
      <c r="D944" s="135">
        <v>5.0</v>
      </c>
      <c r="E944" s="135" t="s">
        <v>3503</v>
      </c>
      <c r="F944" s="135" t="s">
        <v>2096</v>
      </c>
      <c r="G944" s="135" t="s">
        <v>83</v>
      </c>
      <c r="H944" s="135" t="s">
        <v>2853</v>
      </c>
      <c r="I944" s="135" t="s">
        <v>95</v>
      </c>
      <c r="J944" s="135">
        <v>1.0</v>
      </c>
      <c r="K944" s="135"/>
      <c r="L944" s="135">
        <v>4920.0</v>
      </c>
      <c r="M944" s="135">
        <v>3000.0</v>
      </c>
      <c r="N944" s="135">
        <v>120.0</v>
      </c>
      <c r="O944" s="135">
        <v>1.841</v>
      </c>
      <c r="P944" s="136">
        <v>0.0</v>
      </c>
      <c r="Q944" s="137">
        <v>4.6025</v>
      </c>
      <c r="R944" s="136">
        <v>46114.0</v>
      </c>
      <c r="S944" s="135" t="s">
        <v>3439</v>
      </c>
      <c r="T944" s="136"/>
      <c r="U944" s="135" t="s">
        <v>2855</v>
      </c>
      <c r="V944" s="135" t="s">
        <v>2868</v>
      </c>
      <c r="W944" s="135" t="s">
        <v>3508</v>
      </c>
      <c r="X944" s="135" t="s">
        <v>3216</v>
      </c>
      <c r="Y944" s="135"/>
      <c r="Z944" s="135" t="s">
        <v>2858</v>
      </c>
      <c r="AA944" s="135"/>
      <c r="AB944" s="135"/>
      <c r="AC944" s="135"/>
      <c r="AD944" s="135">
        <v>46128.0</v>
      </c>
      <c r="AE944" s="135"/>
      <c r="AF944" s="135"/>
      <c r="AG944" s="135"/>
    </row>
    <row r="945" ht="21.75" hidden="1" customHeight="1">
      <c r="A945" s="135">
        <v>941.0</v>
      </c>
      <c r="B945" s="135">
        <v>25045.0</v>
      </c>
      <c r="C945" s="135"/>
      <c r="D945" s="135">
        <v>5.0</v>
      </c>
      <c r="E945" s="135" t="s">
        <v>3503</v>
      </c>
      <c r="F945" s="135" t="s">
        <v>2097</v>
      </c>
      <c r="G945" s="135" t="s">
        <v>83</v>
      </c>
      <c r="H945" s="135" t="s">
        <v>2853</v>
      </c>
      <c r="I945" s="135" t="s">
        <v>95</v>
      </c>
      <c r="J945" s="135">
        <v>1.0</v>
      </c>
      <c r="K945" s="135"/>
      <c r="L945" s="135">
        <v>4534.0</v>
      </c>
      <c r="M945" s="135">
        <v>3400.0</v>
      </c>
      <c r="N945" s="135">
        <v>120.0</v>
      </c>
      <c r="O945" s="135">
        <v>1.896</v>
      </c>
      <c r="P945" s="136">
        <v>0.0</v>
      </c>
      <c r="Q945" s="137">
        <v>4.74</v>
      </c>
      <c r="R945" s="136">
        <v>46114.0</v>
      </c>
      <c r="S945" s="135" t="s">
        <v>3439</v>
      </c>
      <c r="T945" s="136"/>
      <c r="U945" s="135" t="s">
        <v>2864</v>
      </c>
      <c r="V945" s="135" t="s">
        <v>2890</v>
      </c>
      <c r="W945" s="135" t="s">
        <v>3509</v>
      </c>
      <c r="X945" s="135" t="s">
        <v>2895</v>
      </c>
      <c r="Y945" s="135"/>
      <c r="Z945" s="135" t="s">
        <v>2858</v>
      </c>
      <c r="AA945" s="135"/>
      <c r="AB945" s="135"/>
      <c r="AC945" s="135"/>
      <c r="AD945" s="135">
        <v>46125.0</v>
      </c>
      <c r="AE945" s="135"/>
      <c r="AF945" s="135"/>
      <c r="AG945" s="135"/>
    </row>
    <row r="946" ht="21.75" hidden="1" customHeight="1">
      <c r="A946" s="135">
        <v>942.0</v>
      </c>
      <c r="B946" s="135">
        <v>25045.0</v>
      </c>
      <c r="C946" s="135"/>
      <c r="D946" s="135">
        <v>5.0</v>
      </c>
      <c r="E946" s="135" t="s">
        <v>3503</v>
      </c>
      <c r="F946" s="135" t="s">
        <v>2098</v>
      </c>
      <c r="G946" s="135" t="s">
        <v>83</v>
      </c>
      <c r="H946" s="135" t="s">
        <v>2853</v>
      </c>
      <c r="I946" s="135" t="s">
        <v>95</v>
      </c>
      <c r="J946" s="135">
        <v>1.0</v>
      </c>
      <c r="K946" s="135" t="s">
        <v>3134</v>
      </c>
      <c r="L946" s="135">
        <v>4534.0</v>
      </c>
      <c r="M946" s="135">
        <v>3400.0</v>
      </c>
      <c r="N946" s="135">
        <v>120.0</v>
      </c>
      <c r="O946" s="135">
        <v>2.233</v>
      </c>
      <c r="P946" s="136">
        <v>0.0</v>
      </c>
      <c r="Q946" s="137">
        <v>5.5825000000000005</v>
      </c>
      <c r="R946" s="136">
        <v>46114.0</v>
      </c>
      <c r="S946" s="135" t="s">
        <v>3439</v>
      </c>
      <c r="T946" s="136"/>
      <c r="U946" s="135" t="s">
        <v>2855</v>
      </c>
      <c r="V946" s="135" t="s">
        <v>2878</v>
      </c>
      <c r="W946" s="135" t="s">
        <v>3510</v>
      </c>
      <c r="X946" s="135"/>
      <c r="Y946" s="135"/>
      <c r="Z946" s="135" t="s">
        <v>2858</v>
      </c>
      <c r="AA946" s="135"/>
      <c r="AB946" s="135"/>
      <c r="AC946" s="135"/>
      <c r="AD946" s="135">
        <v>46134.0</v>
      </c>
      <c r="AE946" s="135"/>
      <c r="AF946" s="135"/>
      <c r="AG946" s="135"/>
    </row>
    <row r="947" ht="21.75" hidden="1" customHeight="1">
      <c r="A947" s="135">
        <v>943.0</v>
      </c>
      <c r="B947" s="135">
        <v>25045.0</v>
      </c>
      <c r="C947" s="135"/>
      <c r="D947" s="135">
        <v>5.0</v>
      </c>
      <c r="E947" s="135" t="s">
        <v>3503</v>
      </c>
      <c r="F947" s="135" t="s">
        <v>2099</v>
      </c>
      <c r="G947" s="135" t="s">
        <v>83</v>
      </c>
      <c r="H947" s="135" t="s">
        <v>2853</v>
      </c>
      <c r="I947" s="135" t="s">
        <v>95</v>
      </c>
      <c r="J947" s="135">
        <v>1.0</v>
      </c>
      <c r="K947" s="135" t="s">
        <v>3134</v>
      </c>
      <c r="L947" s="135">
        <v>4534.0</v>
      </c>
      <c r="M947" s="135">
        <v>3400.0</v>
      </c>
      <c r="N947" s="135">
        <v>120.0</v>
      </c>
      <c r="O947" s="135">
        <v>2.233</v>
      </c>
      <c r="P947" s="136">
        <v>0.0</v>
      </c>
      <c r="Q947" s="137">
        <v>5.5825000000000005</v>
      </c>
      <c r="R947" s="136">
        <v>46114.0</v>
      </c>
      <c r="S947" s="135" t="s">
        <v>3439</v>
      </c>
      <c r="T947" s="136"/>
      <c r="U947" s="135" t="s">
        <v>2855</v>
      </c>
      <c r="V947" s="135" t="s">
        <v>2878</v>
      </c>
      <c r="W947" s="135" t="s">
        <v>3510</v>
      </c>
      <c r="X947" s="135"/>
      <c r="Y947" s="135"/>
      <c r="Z947" s="135" t="s">
        <v>2858</v>
      </c>
      <c r="AA947" s="135"/>
      <c r="AB947" s="135"/>
      <c r="AC947" s="135"/>
      <c r="AD947" s="135">
        <v>46135.0</v>
      </c>
      <c r="AE947" s="135"/>
      <c r="AF947" s="135"/>
      <c r="AG947" s="135"/>
    </row>
    <row r="948" ht="21.75" hidden="1" customHeight="1">
      <c r="A948" s="135">
        <v>944.0</v>
      </c>
      <c r="B948" s="135">
        <v>25045.0</v>
      </c>
      <c r="C948" s="135"/>
      <c r="D948" s="135">
        <v>5.0</v>
      </c>
      <c r="E948" s="135" t="s">
        <v>3503</v>
      </c>
      <c r="F948" s="135" t="s">
        <v>2100</v>
      </c>
      <c r="G948" s="135" t="s">
        <v>83</v>
      </c>
      <c r="H948" s="135" t="s">
        <v>2853</v>
      </c>
      <c r="I948" s="135" t="s">
        <v>95</v>
      </c>
      <c r="J948" s="135">
        <v>1.0</v>
      </c>
      <c r="K948" s="135" t="s">
        <v>3134</v>
      </c>
      <c r="L948" s="135">
        <v>4534.0</v>
      </c>
      <c r="M948" s="135">
        <v>3400.0</v>
      </c>
      <c r="N948" s="135">
        <v>120.0</v>
      </c>
      <c r="O948" s="135">
        <v>2.233</v>
      </c>
      <c r="P948" s="136">
        <v>0.0</v>
      </c>
      <c r="Q948" s="137">
        <v>5.5825000000000005</v>
      </c>
      <c r="R948" s="136">
        <v>46114.0</v>
      </c>
      <c r="S948" s="135" t="s">
        <v>3439</v>
      </c>
      <c r="T948" s="136"/>
      <c r="U948" s="135" t="s">
        <v>2855</v>
      </c>
      <c r="V948" s="135" t="s">
        <v>2878</v>
      </c>
      <c r="W948" s="135" t="s">
        <v>3510</v>
      </c>
      <c r="X948" s="135"/>
      <c r="Y948" s="135"/>
      <c r="Z948" s="135" t="s">
        <v>2858</v>
      </c>
      <c r="AA948" s="135"/>
      <c r="AB948" s="135"/>
      <c r="AC948" s="135"/>
      <c r="AD948" s="135">
        <v>46136.0</v>
      </c>
      <c r="AE948" s="135"/>
      <c r="AF948" s="135"/>
      <c r="AG948" s="135"/>
    </row>
    <row r="949" ht="21.75" hidden="1" customHeight="1">
      <c r="A949" s="135">
        <v>945.0</v>
      </c>
      <c r="B949" s="135">
        <v>25045.0</v>
      </c>
      <c r="C949" s="135"/>
      <c r="D949" s="135">
        <v>5.0</v>
      </c>
      <c r="E949" s="135" t="s">
        <v>3479</v>
      </c>
      <c r="F949" s="135" t="s">
        <v>2086</v>
      </c>
      <c r="G949" s="135" t="s">
        <v>83</v>
      </c>
      <c r="H949" s="135" t="s">
        <v>2853</v>
      </c>
      <c r="I949" s="135" t="s">
        <v>94</v>
      </c>
      <c r="J949" s="135">
        <v>1.0</v>
      </c>
      <c r="K949" s="135" t="s">
        <v>3134</v>
      </c>
      <c r="L949" s="135">
        <v>4534.0</v>
      </c>
      <c r="M949" s="135">
        <v>3400.0</v>
      </c>
      <c r="N949" s="135">
        <v>120.0</v>
      </c>
      <c r="O949" s="135">
        <v>2.233</v>
      </c>
      <c r="P949" s="136">
        <v>0.0</v>
      </c>
      <c r="Q949" s="137">
        <v>5.5825000000000005</v>
      </c>
      <c r="R949" s="136">
        <v>46114.0</v>
      </c>
      <c r="S949" s="135" t="s">
        <v>3439</v>
      </c>
      <c r="T949" s="136"/>
      <c r="U949" s="135" t="s">
        <v>2855</v>
      </c>
      <c r="V949" s="135" t="s">
        <v>2878</v>
      </c>
      <c r="W949" s="135" t="s">
        <v>3510</v>
      </c>
      <c r="X949" s="135"/>
      <c r="Y949" s="135"/>
      <c r="Z949" s="135" t="s">
        <v>2858</v>
      </c>
      <c r="AA949" s="135"/>
      <c r="AB949" s="135"/>
      <c r="AC949" s="135"/>
      <c r="AD949" s="135">
        <v>46139.0</v>
      </c>
      <c r="AE949" s="135"/>
      <c r="AF949" s="135"/>
      <c r="AG949" s="135"/>
    </row>
    <row r="950" ht="21.75" hidden="1" customHeight="1">
      <c r="A950" s="135">
        <v>946.0</v>
      </c>
      <c r="B950" s="135">
        <v>25045.0</v>
      </c>
      <c r="C950" s="135"/>
      <c r="D950" s="135">
        <v>5.0</v>
      </c>
      <c r="E950" s="135" t="s">
        <v>3479</v>
      </c>
      <c r="F950" s="135" t="s">
        <v>2087</v>
      </c>
      <c r="G950" s="135" t="s">
        <v>83</v>
      </c>
      <c r="H950" s="135" t="s">
        <v>2853</v>
      </c>
      <c r="I950" s="135" t="s">
        <v>94</v>
      </c>
      <c r="J950" s="135">
        <v>1.0</v>
      </c>
      <c r="K950" s="135" t="s">
        <v>3134</v>
      </c>
      <c r="L950" s="135">
        <v>4534.0</v>
      </c>
      <c r="M950" s="135">
        <v>3400.0</v>
      </c>
      <c r="N950" s="135">
        <v>120.0</v>
      </c>
      <c r="O950" s="135">
        <v>2.233</v>
      </c>
      <c r="P950" s="136">
        <v>0.0</v>
      </c>
      <c r="Q950" s="137">
        <v>5.5825000000000005</v>
      </c>
      <c r="R950" s="136">
        <v>46114.0</v>
      </c>
      <c r="S950" s="135" t="s">
        <v>3439</v>
      </c>
      <c r="T950" s="136"/>
      <c r="U950" s="135" t="s">
        <v>2855</v>
      </c>
      <c r="V950" s="135" t="s">
        <v>2878</v>
      </c>
      <c r="W950" s="135" t="s">
        <v>3510</v>
      </c>
      <c r="X950" s="135"/>
      <c r="Y950" s="135"/>
      <c r="Z950" s="135" t="s">
        <v>2858</v>
      </c>
      <c r="AA950" s="135"/>
      <c r="AB950" s="135"/>
      <c r="AC950" s="135"/>
      <c r="AD950" s="135">
        <v>46140.0</v>
      </c>
      <c r="AE950" s="135"/>
      <c r="AF950" s="135"/>
      <c r="AG950" s="135"/>
    </row>
    <row r="951" ht="21.75" hidden="1" customHeight="1">
      <c r="A951" s="135">
        <v>947.0</v>
      </c>
      <c r="B951" s="135">
        <v>25045.0</v>
      </c>
      <c r="C951" s="135"/>
      <c r="D951" s="135">
        <v>5.0</v>
      </c>
      <c r="E951" s="135" t="s">
        <v>3479</v>
      </c>
      <c r="F951" s="135" t="s">
        <v>2088</v>
      </c>
      <c r="G951" s="135" t="s">
        <v>83</v>
      </c>
      <c r="H951" s="135" t="s">
        <v>2853</v>
      </c>
      <c r="I951" s="135" t="s">
        <v>94</v>
      </c>
      <c r="J951" s="135">
        <v>1.0</v>
      </c>
      <c r="K951" s="135" t="s">
        <v>3134</v>
      </c>
      <c r="L951" s="135">
        <v>4534.0</v>
      </c>
      <c r="M951" s="135">
        <v>3400.0</v>
      </c>
      <c r="N951" s="135">
        <v>120.0</v>
      </c>
      <c r="O951" s="135">
        <v>2.233</v>
      </c>
      <c r="P951" s="136">
        <v>0.0</v>
      </c>
      <c r="Q951" s="137">
        <v>5.5825000000000005</v>
      </c>
      <c r="R951" s="136">
        <v>46114.0</v>
      </c>
      <c r="S951" s="135" t="s">
        <v>3439</v>
      </c>
      <c r="T951" s="136"/>
      <c r="U951" s="135" t="s">
        <v>2855</v>
      </c>
      <c r="V951" s="135" t="s">
        <v>2878</v>
      </c>
      <c r="W951" s="135" t="s">
        <v>3510</v>
      </c>
      <c r="X951" s="135"/>
      <c r="Y951" s="135"/>
      <c r="Z951" s="135" t="s">
        <v>2858</v>
      </c>
      <c r="AA951" s="135"/>
      <c r="AB951" s="135"/>
      <c r="AC951" s="135"/>
      <c r="AD951" s="135">
        <v>46141.0</v>
      </c>
      <c r="AE951" s="135"/>
      <c r="AF951" s="135"/>
      <c r="AG951" s="135"/>
    </row>
    <row r="952" ht="21.75" hidden="1" customHeight="1">
      <c r="A952" s="135">
        <v>948.0</v>
      </c>
      <c r="B952" s="135">
        <v>25045.0</v>
      </c>
      <c r="C952" s="135"/>
      <c r="D952" s="135">
        <v>5.0</v>
      </c>
      <c r="E952" s="135" t="s">
        <v>3503</v>
      </c>
      <c r="F952" s="135" t="s">
        <v>2101</v>
      </c>
      <c r="G952" s="135" t="s">
        <v>83</v>
      </c>
      <c r="H952" s="135" t="s">
        <v>2853</v>
      </c>
      <c r="I952" s="135" t="s">
        <v>95</v>
      </c>
      <c r="J952" s="135">
        <v>1.0</v>
      </c>
      <c r="K952" s="135"/>
      <c r="L952" s="135">
        <v>5000.0</v>
      </c>
      <c r="M952" s="135">
        <v>3400.0</v>
      </c>
      <c r="N952" s="135">
        <v>120.0</v>
      </c>
      <c r="O952" s="135">
        <v>2.378</v>
      </c>
      <c r="P952" s="136">
        <v>0.0</v>
      </c>
      <c r="Q952" s="137">
        <v>5.945</v>
      </c>
      <c r="R952" s="136">
        <v>46114.0</v>
      </c>
      <c r="S952" s="135" t="s">
        <v>3439</v>
      </c>
      <c r="T952" s="136"/>
      <c r="U952" s="135" t="s">
        <v>2855</v>
      </c>
      <c r="V952" s="135" t="s">
        <v>2878</v>
      </c>
      <c r="W952" s="135" t="s">
        <v>3511</v>
      </c>
      <c r="X952" s="135"/>
      <c r="Y952" s="135"/>
      <c r="Z952" s="135" t="s">
        <v>2858</v>
      </c>
      <c r="AA952" s="135"/>
      <c r="AB952" s="135"/>
      <c r="AC952" s="135"/>
      <c r="AD952" s="135">
        <v>46129.0</v>
      </c>
      <c r="AE952" s="135"/>
      <c r="AF952" s="135"/>
      <c r="AG952" s="135"/>
    </row>
    <row r="953" ht="21.75" hidden="1" customHeight="1">
      <c r="A953" s="135">
        <v>949.0</v>
      </c>
      <c r="B953" s="135">
        <v>25045.0</v>
      </c>
      <c r="C953" s="135"/>
      <c r="D953" s="135">
        <v>5.0</v>
      </c>
      <c r="E953" s="135" t="s">
        <v>3503</v>
      </c>
      <c r="F953" s="135" t="s">
        <v>2102</v>
      </c>
      <c r="G953" s="135" t="s">
        <v>83</v>
      </c>
      <c r="H953" s="135" t="s">
        <v>2853</v>
      </c>
      <c r="I953" s="135" t="s">
        <v>95</v>
      </c>
      <c r="J953" s="135">
        <v>1.0</v>
      </c>
      <c r="K953" s="135"/>
      <c r="L953" s="135">
        <v>1635.0</v>
      </c>
      <c r="M953" s="135">
        <v>1725.0</v>
      </c>
      <c r="N953" s="135">
        <v>120.0</v>
      </c>
      <c r="O953" s="135">
        <v>0.434</v>
      </c>
      <c r="P953" s="136">
        <v>0.0</v>
      </c>
      <c r="Q953" s="137">
        <v>1.085</v>
      </c>
      <c r="R953" s="136">
        <v>46114.0</v>
      </c>
      <c r="S953" s="135" t="s">
        <v>3439</v>
      </c>
      <c r="T953" s="136"/>
      <c r="U953" s="135" t="s">
        <v>2864</v>
      </c>
      <c r="V953" s="135" t="s">
        <v>2873</v>
      </c>
      <c r="W953" s="135" t="s">
        <v>3512</v>
      </c>
      <c r="X953" s="135"/>
      <c r="Y953" s="135"/>
      <c r="Z953" s="135" t="s">
        <v>2858</v>
      </c>
      <c r="AA953" s="135"/>
      <c r="AB953" s="135"/>
      <c r="AC953" s="135"/>
      <c r="AD953" s="135">
        <v>46123.0</v>
      </c>
      <c r="AE953" s="135"/>
      <c r="AF953" s="135"/>
      <c r="AG953" s="135"/>
    </row>
    <row r="954" ht="21.75" hidden="1" customHeight="1">
      <c r="A954" s="135">
        <v>950.0</v>
      </c>
      <c r="B954" s="135">
        <v>25045.0</v>
      </c>
      <c r="C954" s="135"/>
      <c r="D954" s="135">
        <v>5.0</v>
      </c>
      <c r="E954" s="135" t="s">
        <v>3503</v>
      </c>
      <c r="F954" s="135" t="s">
        <v>2103</v>
      </c>
      <c r="G954" s="135" t="s">
        <v>83</v>
      </c>
      <c r="H954" s="135" t="s">
        <v>2965</v>
      </c>
      <c r="I954" s="135" t="s">
        <v>95</v>
      </c>
      <c r="J954" s="135">
        <v>1.0</v>
      </c>
      <c r="K954" s="135"/>
      <c r="L954" s="135">
        <v>400.0</v>
      </c>
      <c r="M954" s="135">
        <v>3350.0</v>
      </c>
      <c r="N954" s="135">
        <v>350.0</v>
      </c>
      <c r="O954" s="135">
        <v>0.533</v>
      </c>
      <c r="P954" s="136">
        <v>0.0</v>
      </c>
      <c r="Q954" s="137">
        <v>1.3325</v>
      </c>
      <c r="R954" s="136">
        <v>46114.0</v>
      </c>
      <c r="S954" s="135" t="s">
        <v>3439</v>
      </c>
      <c r="T954" s="136"/>
      <c r="U954" s="135" t="s">
        <v>2966</v>
      </c>
      <c r="V954" s="135" t="s">
        <v>2967</v>
      </c>
      <c r="W954" s="135"/>
      <c r="X954" s="135" t="s">
        <v>2969</v>
      </c>
      <c r="Y954" s="135"/>
      <c r="Z954" s="135" t="s">
        <v>2858</v>
      </c>
      <c r="AA954" s="135"/>
      <c r="AB954" s="135"/>
      <c r="AC954" s="135"/>
      <c r="AD954" s="135">
        <v>46135.0</v>
      </c>
      <c r="AE954" s="135"/>
      <c r="AF954" s="135"/>
      <c r="AG954" s="135"/>
    </row>
    <row r="955" ht="21.75" hidden="1" customHeight="1">
      <c r="A955" s="135">
        <v>951.0</v>
      </c>
      <c r="B955" s="135">
        <v>25045.0</v>
      </c>
      <c r="C955" s="135" t="s">
        <v>2817</v>
      </c>
      <c r="D955" s="135">
        <v>29.0</v>
      </c>
      <c r="E955" s="135" t="s">
        <v>3513</v>
      </c>
      <c r="F955" s="135" t="s">
        <v>947</v>
      </c>
      <c r="G955" s="135" t="s">
        <v>158</v>
      </c>
      <c r="H955" s="135" t="s">
        <v>2853</v>
      </c>
      <c r="I955" s="135" t="s">
        <v>172</v>
      </c>
      <c r="J955" s="135">
        <v>1.0</v>
      </c>
      <c r="K955" s="135"/>
      <c r="L955" s="135">
        <v>3093.0</v>
      </c>
      <c r="M955" s="135">
        <v>3410.0</v>
      </c>
      <c r="N955" s="135">
        <v>120.0</v>
      </c>
      <c r="O955" s="135">
        <v>1.168</v>
      </c>
      <c r="P955" s="136">
        <v>0.0</v>
      </c>
      <c r="Q955" s="137">
        <v>2.92</v>
      </c>
      <c r="R955" s="136">
        <v>46127.0</v>
      </c>
      <c r="S955" s="135" t="s">
        <v>3514</v>
      </c>
      <c r="T955" s="136"/>
      <c r="U955" s="135" t="s">
        <v>2864</v>
      </c>
      <c r="V955" s="135" t="s">
        <v>3014</v>
      </c>
      <c r="W955" s="135" t="s">
        <v>3515</v>
      </c>
      <c r="X955" s="135" t="s">
        <v>2963</v>
      </c>
      <c r="Y955" s="135"/>
      <c r="Z955" s="135" t="s">
        <v>2858</v>
      </c>
      <c r="AA955" s="135"/>
      <c r="AB955" s="135"/>
      <c r="AC955" s="135"/>
      <c r="AD955" s="135" t="e">
        <v>#N/A</v>
      </c>
      <c r="AE955" s="135"/>
      <c r="AF955" s="135"/>
      <c r="AG955" s="135"/>
    </row>
    <row r="956" ht="21.75" hidden="1" customHeight="1">
      <c r="A956" s="135">
        <v>952.0</v>
      </c>
      <c r="B956" s="135">
        <v>25045.0</v>
      </c>
      <c r="C956" s="135" t="s">
        <v>2817</v>
      </c>
      <c r="D956" s="135">
        <v>29.0</v>
      </c>
      <c r="E956" s="135" t="s">
        <v>3513</v>
      </c>
      <c r="F956" s="135" t="s">
        <v>948</v>
      </c>
      <c r="G956" s="135" t="s">
        <v>158</v>
      </c>
      <c r="H956" s="135" t="s">
        <v>2853</v>
      </c>
      <c r="I956" s="135" t="s">
        <v>172</v>
      </c>
      <c r="J956" s="135">
        <v>1.0</v>
      </c>
      <c r="K956" s="135"/>
      <c r="L956" s="135">
        <v>2558.0</v>
      </c>
      <c r="M956" s="135">
        <v>1350.0</v>
      </c>
      <c r="N956" s="135">
        <v>120.0</v>
      </c>
      <c r="O956" s="135">
        <v>0.462</v>
      </c>
      <c r="P956" s="136">
        <v>0.0</v>
      </c>
      <c r="Q956" s="137">
        <v>1.155</v>
      </c>
      <c r="R956" s="136">
        <v>46127.0</v>
      </c>
      <c r="S956" s="135" t="s">
        <v>3514</v>
      </c>
      <c r="T956" s="136"/>
      <c r="U956" s="135" t="s">
        <v>2864</v>
      </c>
      <c r="V956" s="135" t="s">
        <v>2856</v>
      </c>
      <c r="W956" s="135" t="s">
        <v>3516</v>
      </c>
      <c r="X956" s="135"/>
      <c r="Y956" s="135"/>
      <c r="Z956" s="135" t="s">
        <v>2858</v>
      </c>
      <c r="AA956" s="135"/>
      <c r="AB956" s="135"/>
      <c r="AC956" s="135"/>
      <c r="AD956" s="135" t="e">
        <v>#N/A</v>
      </c>
      <c r="AE956" s="135"/>
      <c r="AF956" s="135"/>
      <c r="AG956" s="135"/>
    </row>
    <row r="957" ht="21.75" hidden="1" customHeight="1">
      <c r="A957" s="135">
        <v>953.0</v>
      </c>
      <c r="B957" s="135">
        <v>25045.0</v>
      </c>
      <c r="C957" s="135"/>
      <c r="D957" s="135">
        <v>29.0</v>
      </c>
      <c r="E957" s="135" t="s">
        <v>3517</v>
      </c>
      <c r="F957" s="135" t="s">
        <v>899</v>
      </c>
      <c r="G957" s="135" t="s">
        <v>158</v>
      </c>
      <c r="H957" s="135" t="s">
        <v>2853</v>
      </c>
      <c r="I957" s="135" t="s">
        <v>169</v>
      </c>
      <c r="J957" s="135">
        <v>1.0</v>
      </c>
      <c r="K957" s="135"/>
      <c r="L957" s="135">
        <v>1630.0</v>
      </c>
      <c r="M957" s="135">
        <v>970.0</v>
      </c>
      <c r="N957" s="135">
        <v>120.0</v>
      </c>
      <c r="O957" s="135">
        <v>0.318</v>
      </c>
      <c r="P957" s="136">
        <v>0.0</v>
      </c>
      <c r="Q957" s="137">
        <v>0.795</v>
      </c>
      <c r="R957" s="136">
        <v>46114.0</v>
      </c>
      <c r="S957" s="135" t="s">
        <v>3439</v>
      </c>
      <c r="T957" s="136"/>
      <c r="U957" s="135" t="s">
        <v>2864</v>
      </c>
      <c r="V957" s="135" t="s">
        <v>2953</v>
      </c>
      <c r="W957" s="135" t="s">
        <v>3518</v>
      </c>
      <c r="X957" s="135"/>
      <c r="Y957" s="135"/>
      <c r="Z957" s="135" t="s">
        <v>2858</v>
      </c>
      <c r="AA957" s="135"/>
      <c r="AB957" s="135"/>
      <c r="AC957" s="135" t="s">
        <v>2863</v>
      </c>
      <c r="AD957" s="135">
        <v>0.0</v>
      </c>
      <c r="AE957" s="135"/>
      <c r="AF957" s="135"/>
      <c r="AG957" s="135"/>
    </row>
    <row r="958" ht="21.75" hidden="1" customHeight="1">
      <c r="A958" s="135">
        <v>954.0</v>
      </c>
      <c r="B958" s="135">
        <v>25045.0</v>
      </c>
      <c r="C958" s="135"/>
      <c r="D958" s="135">
        <v>29.0</v>
      </c>
      <c r="E958" s="135" t="s">
        <v>3519</v>
      </c>
      <c r="F958" s="135" t="s">
        <v>758</v>
      </c>
      <c r="G958" s="135" t="s">
        <v>158</v>
      </c>
      <c r="H958" s="135" t="s">
        <v>2853</v>
      </c>
      <c r="I958" s="135" t="s">
        <v>162</v>
      </c>
      <c r="J958" s="135">
        <v>1.0</v>
      </c>
      <c r="K958" s="135"/>
      <c r="L958" s="135">
        <v>6150.0</v>
      </c>
      <c r="M958" s="135">
        <v>1000.0</v>
      </c>
      <c r="N958" s="135">
        <v>120.0</v>
      </c>
      <c r="O958" s="135">
        <v>0.973</v>
      </c>
      <c r="P958" s="136">
        <v>0.0</v>
      </c>
      <c r="Q958" s="137">
        <v>2.4325</v>
      </c>
      <c r="R958" s="136">
        <v>46114.0</v>
      </c>
      <c r="S958" s="135" t="s">
        <v>3439</v>
      </c>
      <c r="T958" s="136"/>
      <c r="U958" s="135"/>
      <c r="V958" s="135"/>
      <c r="W958" s="135"/>
      <c r="X958" s="135"/>
      <c r="Y958" s="135"/>
      <c r="Z958" s="135" t="s">
        <v>2858</v>
      </c>
      <c r="AA958" s="135"/>
      <c r="AB958" s="135"/>
      <c r="AC958" s="135"/>
      <c r="AD958" s="135">
        <v>46122.0</v>
      </c>
      <c r="AE958" s="135"/>
      <c r="AF958" s="135"/>
      <c r="AG958" s="135"/>
    </row>
    <row r="959" ht="21.75" hidden="1" customHeight="1">
      <c r="A959" s="135">
        <v>955.0</v>
      </c>
      <c r="B959" s="135">
        <v>25045.0</v>
      </c>
      <c r="C959" s="135"/>
      <c r="D959" s="135">
        <v>29.0</v>
      </c>
      <c r="E959" s="135" t="s">
        <v>3520</v>
      </c>
      <c r="F959" s="135" t="s">
        <v>790</v>
      </c>
      <c r="G959" s="135" t="s">
        <v>158</v>
      </c>
      <c r="H959" s="135" t="s">
        <v>2853</v>
      </c>
      <c r="I959" s="135" t="s">
        <v>163</v>
      </c>
      <c r="J959" s="135">
        <v>1.0</v>
      </c>
      <c r="K959" s="135"/>
      <c r="L959" s="135">
        <v>3340.0</v>
      </c>
      <c r="M959" s="135">
        <v>1000.0</v>
      </c>
      <c r="N959" s="135">
        <v>120.0</v>
      </c>
      <c r="O959" s="135">
        <v>0.511</v>
      </c>
      <c r="P959" s="136">
        <v>0.0</v>
      </c>
      <c r="Q959" s="137">
        <v>1.2775</v>
      </c>
      <c r="R959" s="136">
        <v>46114.0</v>
      </c>
      <c r="S959" s="135" t="s">
        <v>3439</v>
      </c>
      <c r="T959" s="136"/>
      <c r="U959" s="135" t="s">
        <v>2950</v>
      </c>
      <c r="V959" s="135" t="s">
        <v>2951</v>
      </c>
      <c r="W959" s="135" t="s">
        <v>3521</v>
      </c>
      <c r="X959" s="135"/>
      <c r="Y959" s="135"/>
      <c r="Z959" s="135" t="s">
        <v>2858</v>
      </c>
      <c r="AA959" s="135"/>
      <c r="AB959" s="135"/>
      <c r="AC959" s="135"/>
      <c r="AD959" s="135">
        <v>46136.0</v>
      </c>
      <c r="AE959" s="135"/>
      <c r="AF959" s="135"/>
      <c r="AG959" s="135"/>
    </row>
    <row r="960" ht="21.75" hidden="1" customHeight="1">
      <c r="A960" s="135">
        <v>956.0</v>
      </c>
      <c r="B960" s="135">
        <v>25045.0</v>
      </c>
      <c r="C960" s="135"/>
      <c r="D960" s="135">
        <v>29.0</v>
      </c>
      <c r="E960" s="135" t="s">
        <v>3520</v>
      </c>
      <c r="F960" s="135" t="s">
        <v>791</v>
      </c>
      <c r="G960" s="135" t="s">
        <v>158</v>
      </c>
      <c r="H960" s="135" t="s">
        <v>2853</v>
      </c>
      <c r="I960" s="135" t="s">
        <v>163</v>
      </c>
      <c r="J960" s="135">
        <v>1.0</v>
      </c>
      <c r="K960" s="135"/>
      <c r="L960" s="135">
        <v>2745.0</v>
      </c>
      <c r="M960" s="135">
        <v>1000.0</v>
      </c>
      <c r="N960" s="135">
        <v>120.0</v>
      </c>
      <c r="O960" s="135">
        <v>0.461</v>
      </c>
      <c r="P960" s="136">
        <v>0.0</v>
      </c>
      <c r="Q960" s="137">
        <v>1.1525</v>
      </c>
      <c r="R960" s="136">
        <v>46114.0</v>
      </c>
      <c r="S960" s="135" t="s">
        <v>3439</v>
      </c>
      <c r="T960" s="136"/>
      <c r="U960" s="135" t="s">
        <v>2950</v>
      </c>
      <c r="V960" s="135" t="s">
        <v>2951</v>
      </c>
      <c r="W960" s="135" t="s">
        <v>3522</v>
      </c>
      <c r="X960" s="135"/>
      <c r="Y960" s="135"/>
      <c r="Z960" s="135" t="s">
        <v>2858</v>
      </c>
      <c r="AA960" s="135"/>
      <c r="AB960" s="135"/>
      <c r="AC960" s="135"/>
      <c r="AD960" s="135">
        <v>46137.0</v>
      </c>
      <c r="AE960" s="135"/>
      <c r="AF960" s="135"/>
      <c r="AG960" s="135"/>
    </row>
    <row r="961" ht="21.75" hidden="1" customHeight="1">
      <c r="A961" s="135">
        <v>957.0</v>
      </c>
      <c r="B961" s="135">
        <v>25045.0</v>
      </c>
      <c r="C961" s="135"/>
      <c r="D961" s="135">
        <v>29.0</v>
      </c>
      <c r="E961" s="135" t="s">
        <v>3523</v>
      </c>
      <c r="F961" s="135" t="s">
        <v>814</v>
      </c>
      <c r="G961" s="135" t="s">
        <v>158</v>
      </c>
      <c r="H961" s="135" t="s">
        <v>2853</v>
      </c>
      <c r="I961" s="135" t="s">
        <v>164</v>
      </c>
      <c r="J961" s="135">
        <v>1.0</v>
      </c>
      <c r="K961" s="135"/>
      <c r="L961" s="135">
        <v>2840.0</v>
      </c>
      <c r="M961" s="135">
        <v>1000.0</v>
      </c>
      <c r="N961" s="135">
        <v>120.0</v>
      </c>
      <c r="O961" s="135">
        <v>0.469</v>
      </c>
      <c r="P961" s="136">
        <v>0.0</v>
      </c>
      <c r="Q961" s="137">
        <v>1.1724999999999999</v>
      </c>
      <c r="R961" s="136">
        <v>46114.0</v>
      </c>
      <c r="S961" s="135" t="s">
        <v>3439</v>
      </c>
      <c r="T961" s="136"/>
      <c r="U961" s="135" t="s">
        <v>2950</v>
      </c>
      <c r="V961" s="135" t="s">
        <v>2951</v>
      </c>
      <c r="W961" s="135" t="s">
        <v>3524</v>
      </c>
      <c r="X961" s="135"/>
      <c r="Y961" s="135"/>
      <c r="Z961" s="135" t="s">
        <v>2858</v>
      </c>
      <c r="AA961" s="135"/>
      <c r="AB961" s="135"/>
      <c r="AC961" s="135"/>
      <c r="AD961" s="135">
        <v>46128.0</v>
      </c>
      <c r="AE961" s="135"/>
      <c r="AF961" s="135"/>
      <c r="AG961" s="135"/>
    </row>
    <row r="962" ht="21.75" hidden="1" customHeight="1">
      <c r="A962" s="135">
        <v>958.0</v>
      </c>
      <c r="B962" s="135">
        <v>25045.0</v>
      </c>
      <c r="C962" s="135"/>
      <c r="D962" s="135">
        <v>29.0</v>
      </c>
      <c r="E962" s="135" t="s">
        <v>3525</v>
      </c>
      <c r="F962" s="135" t="s">
        <v>964</v>
      </c>
      <c r="G962" s="135" t="s">
        <v>158</v>
      </c>
      <c r="H962" s="135" t="s">
        <v>2853</v>
      </c>
      <c r="I962" s="135" t="s">
        <v>173</v>
      </c>
      <c r="J962" s="135">
        <v>1.0</v>
      </c>
      <c r="K962" s="135"/>
      <c r="L962" s="135">
        <v>2030.0</v>
      </c>
      <c r="M962" s="135">
        <v>1000.0</v>
      </c>
      <c r="N962" s="135">
        <v>120.0</v>
      </c>
      <c r="O962" s="135">
        <v>0.401</v>
      </c>
      <c r="P962" s="136">
        <v>0.0</v>
      </c>
      <c r="Q962" s="137">
        <v>1.0025</v>
      </c>
      <c r="R962" s="136">
        <v>46114.0</v>
      </c>
      <c r="S962" s="135" t="s">
        <v>3439</v>
      </c>
      <c r="T962" s="136"/>
      <c r="U962" s="135" t="s">
        <v>2950</v>
      </c>
      <c r="V962" s="135" t="s">
        <v>2951</v>
      </c>
      <c r="W962" s="135" t="s">
        <v>3526</v>
      </c>
      <c r="X962" s="135"/>
      <c r="Y962" s="135"/>
      <c r="Z962" s="135" t="s">
        <v>2858</v>
      </c>
      <c r="AA962" s="135"/>
      <c r="AB962" s="135"/>
      <c r="AC962" s="135"/>
      <c r="AD962" s="135">
        <v>46130.0</v>
      </c>
      <c r="AE962" s="135"/>
      <c r="AF962" s="135"/>
      <c r="AG962" s="135"/>
    </row>
    <row r="963" ht="21.75" hidden="1" customHeight="1">
      <c r="A963" s="135">
        <v>959.0</v>
      </c>
      <c r="B963" s="135">
        <v>25045.0</v>
      </c>
      <c r="C963" s="135"/>
      <c r="D963" s="135">
        <v>29.0</v>
      </c>
      <c r="E963" s="135" t="s">
        <v>3527</v>
      </c>
      <c r="F963" s="135" t="s">
        <v>723</v>
      </c>
      <c r="G963" s="135" t="s">
        <v>158</v>
      </c>
      <c r="H963" s="135" t="s">
        <v>2853</v>
      </c>
      <c r="I963" s="135" t="s">
        <v>161</v>
      </c>
      <c r="J963" s="135">
        <v>1.0</v>
      </c>
      <c r="K963" s="135"/>
      <c r="L963" s="135">
        <v>3990.0</v>
      </c>
      <c r="M963" s="135">
        <v>1000.0</v>
      </c>
      <c r="N963" s="135">
        <v>120.0</v>
      </c>
      <c r="O963" s="135">
        <v>0.797</v>
      </c>
      <c r="P963" s="136">
        <v>0.0</v>
      </c>
      <c r="Q963" s="137">
        <v>1.9925000000000002</v>
      </c>
      <c r="R963" s="136">
        <v>46120.0</v>
      </c>
      <c r="S963" s="135" t="s">
        <v>3528</v>
      </c>
      <c r="T963" s="136"/>
      <c r="U963" s="135" t="s">
        <v>2972</v>
      </c>
      <c r="V963" s="135" t="s">
        <v>2951</v>
      </c>
      <c r="W963" s="135" t="s">
        <v>3529</v>
      </c>
      <c r="X963" s="135"/>
      <c r="Y963" s="135"/>
      <c r="Z963" s="135" t="s">
        <v>2858</v>
      </c>
      <c r="AA963" s="135"/>
      <c r="AB963" s="135"/>
      <c r="AC963" s="135"/>
      <c r="AD963" s="135">
        <v>46127.0</v>
      </c>
      <c r="AE963" s="135"/>
      <c r="AF963" s="135"/>
      <c r="AG963" s="135"/>
    </row>
    <row r="964" ht="21.75" hidden="1" customHeight="1">
      <c r="A964" s="135">
        <v>960.0</v>
      </c>
      <c r="B964" s="135">
        <v>25045.0</v>
      </c>
      <c r="C964" s="135"/>
      <c r="D964" s="135">
        <v>29.0</v>
      </c>
      <c r="E964" s="135" t="s">
        <v>3527</v>
      </c>
      <c r="F964" s="135" t="s">
        <v>724</v>
      </c>
      <c r="G964" s="135" t="s">
        <v>158</v>
      </c>
      <c r="H964" s="135" t="s">
        <v>2853</v>
      </c>
      <c r="I964" s="135" t="s">
        <v>161</v>
      </c>
      <c r="J964" s="135">
        <v>1.0</v>
      </c>
      <c r="K964" s="135"/>
      <c r="L964" s="135">
        <v>4730.0</v>
      </c>
      <c r="M964" s="135">
        <v>1000.0</v>
      </c>
      <c r="N964" s="135">
        <v>120.0</v>
      </c>
      <c r="O964" s="135">
        <v>0.856</v>
      </c>
      <c r="P964" s="136">
        <v>0.0</v>
      </c>
      <c r="Q964" s="137">
        <v>2.14</v>
      </c>
      <c r="R964" s="136">
        <v>46120.0</v>
      </c>
      <c r="S964" s="135" t="s">
        <v>3528</v>
      </c>
      <c r="T964" s="136"/>
      <c r="U964" s="135" t="s">
        <v>2972</v>
      </c>
      <c r="V964" s="135" t="s">
        <v>2951</v>
      </c>
      <c r="W964" s="135" t="s">
        <v>3530</v>
      </c>
      <c r="X964" s="135"/>
      <c r="Y964" s="135"/>
      <c r="Z964" s="135" t="s">
        <v>2858</v>
      </c>
      <c r="AA964" s="135"/>
      <c r="AB964" s="135"/>
      <c r="AC964" s="135"/>
      <c r="AD964" s="135">
        <v>46123.0</v>
      </c>
      <c r="AE964" s="135"/>
      <c r="AF964" s="135"/>
      <c r="AG964" s="135"/>
    </row>
    <row r="965" ht="21.75" hidden="1" customHeight="1">
      <c r="A965" s="135">
        <v>961.0</v>
      </c>
      <c r="B965" s="135">
        <v>25045.0</v>
      </c>
      <c r="C965" s="135"/>
      <c r="D965" s="135">
        <v>29.0</v>
      </c>
      <c r="E965" s="135" t="s">
        <v>3531</v>
      </c>
      <c r="F965" s="135" t="s">
        <v>698</v>
      </c>
      <c r="G965" s="135" t="s">
        <v>158</v>
      </c>
      <c r="H965" s="135" t="s">
        <v>2853</v>
      </c>
      <c r="I965" s="135" t="s">
        <v>160</v>
      </c>
      <c r="J965" s="135">
        <v>1.0</v>
      </c>
      <c r="K965" s="135"/>
      <c r="L965" s="135">
        <v>5540.0</v>
      </c>
      <c r="M965" s="135">
        <v>1000.0</v>
      </c>
      <c r="N965" s="135">
        <v>120.0</v>
      </c>
      <c r="O965" s="135">
        <v>0.927</v>
      </c>
      <c r="P965" s="136">
        <v>0.0</v>
      </c>
      <c r="Q965" s="137">
        <v>2.3175</v>
      </c>
      <c r="R965" s="136">
        <v>46120.0</v>
      </c>
      <c r="S965" s="135" t="s">
        <v>3528</v>
      </c>
      <c r="T965" s="136"/>
      <c r="U965" s="135" t="s">
        <v>2972</v>
      </c>
      <c r="V965" s="135" t="s">
        <v>2951</v>
      </c>
      <c r="W965" s="135" t="s">
        <v>3532</v>
      </c>
      <c r="X965" s="135"/>
      <c r="Y965" s="135"/>
      <c r="Z965" s="135" t="s">
        <v>2858</v>
      </c>
      <c r="AA965" s="135"/>
      <c r="AB965" s="135"/>
      <c r="AC965" s="135"/>
      <c r="AD965" s="135">
        <v>46125.0</v>
      </c>
      <c r="AE965" s="135"/>
      <c r="AF965" s="135"/>
      <c r="AG965" s="135"/>
    </row>
    <row r="966" ht="21.75" hidden="1" customHeight="1">
      <c r="A966" s="135">
        <v>962.0</v>
      </c>
      <c r="B966" s="135">
        <v>25045.0</v>
      </c>
      <c r="C966" s="135"/>
      <c r="D966" s="135">
        <v>29.0</v>
      </c>
      <c r="E966" s="135" t="s">
        <v>3533</v>
      </c>
      <c r="F966" s="135" t="s">
        <v>678</v>
      </c>
      <c r="G966" s="135" t="s">
        <v>158</v>
      </c>
      <c r="H966" s="135" t="s">
        <v>2853</v>
      </c>
      <c r="I966" s="135" t="s">
        <v>159</v>
      </c>
      <c r="J966" s="135">
        <v>1.0</v>
      </c>
      <c r="K966" s="135"/>
      <c r="L966" s="135">
        <v>2855.0</v>
      </c>
      <c r="M966" s="135">
        <v>1000.0</v>
      </c>
      <c r="N966" s="135">
        <v>120.0</v>
      </c>
      <c r="O966" s="135">
        <v>0.47</v>
      </c>
      <c r="P966" s="136">
        <v>0.0</v>
      </c>
      <c r="Q966" s="137">
        <v>1.1749999999999998</v>
      </c>
      <c r="R966" s="136">
        <v>46120.0</v>
      </c>
      <c r="S966" s="135" t="s">
        <v>3528</v>
      </c>
      <c r="T966" s="136"/>
      <c r="U966" s="135" t="s">
        <v>2950</v>
      </c>
      <c r="V966" s="135" t="s">
        <v>2951</v>
      </c>
      <c r="W966" s="135" t="s">
        <v>3534</v>
      </c>
      <c r="X966" s="135"/>
      <c r="Y966" s="135"/>
      <c r="Z966" s="135" t="s">
        <v>2858</v>
      </c>
      <c r="AA966" s="135"/>
      <c r="AB966" s="135"/>
      <c r="AC966" s="135"/>
      <c r="AD966" s="135">
        <v>46126.0</v>
      </c>
      <c r="AE966" s="135"/>
      <c r="AF966" s="135"/>
      <c r="AG966" s="135"/>
    </row>
    <row r="967" ht="21.75" hidden="1" customHeight="1">
      <c r="A967" s="135">
        <v>963.0</v>
      </c>
      <c r="B967" s="135">
        <v>25045.0</v>
      </c>
      <c r="C967" s="135"/>
      <c r="D967" s="135">
        <v>29.0</v>
      </c>
      <c r="E967" s="135" t="s">
        <v>3533</v>
      </c>
      <c r="F967" s="135" t="s">
        <v>679</v>
      </c>
      <c r="G967" s="135" t="s">
        <v>158</v>
      </c>
      <c r="H967" s="135" t="s">
        <v>2853</v>
      </c>
      <c r="I967" s="135" t="s">
        <v>159</v>
      </c>
      <c r="J967" s="135">
        <v>1.0</v>
      </c>
      <c r="K967" s="135"/>
      <c r="L967" s="135">
        <v>6045.0</v>
      </c>
      <c r="M967" s="135">
        <v>1400.0</v>
      </c>
      <c r="N967" s="135">
        <v>120.0</v>
      </c>
      <c r="O967" s="135">
        <v>1.015</v>
      </c>
      <c r="P967" s="136">
        <v>0.0</v>
      </c>
      <c r="Q967" s="137">
        <v>2.5374999999999996</v>
      </c>
      <c r="R967" s="136">
        <v>46120.0</v>
      </c>
      <c r="S967" s="135" t="s">
        <v>3528</v>
      </c>
      <c r="T967" s="136"/>
      <c r="U967" s="135" t="s">
        <v>2855</v>
      </c>
      <c r="V967" s="135" t="s">
        <v>2856</v>
      </c>
      <c r="W967" s="135" t="s">
        <v>3535</v>
      </c>
      <c r="X967" s="135"/>
      <c r="Y967" s="135"/>
      <c r="Z967" s="135" t="s">
        <v>2858</v>
      </c>
      <c r="AA967" s="135"/>
      <c r="AB967" s="135"/>
      <c r="AC967" s="135"/>
      <c r="AD967" s="135">
        <v>46134.0</v>
      </c>
      <c r="AE967" s="135"/>
      <c r="AF967" s="135"/>
      <c r="AG967" s="135"/>
    </row>
    <row r="968" ht="21.75" hidden="1" customHeight="1">
      <c r="A968" s="135">
        <v>964.0</v>
      </c>
      <c r="B968" s="135">
        <v>25045.0</v>
      </c>
      <c r="C968" s="135"/>
      <c r="D968" s="135">
        <v>29.0</v>
      </c>
      <c r="E968" s="135" t="s">
        <v>3533</v>
      </c>
      <c r="F968" s="135" t="s">
        <v>680</v>
      </c>
      <c r="G968" s="135" t="s">
        <v>158</v>
      </c>
      <c r="H968" s="135" t="s">
        <v>2853</v>
      </c>
      <c r="I968" s="135" t="s">
        <v>159</v>
      </c>
      <c r="J968" s="135">
        <v>1.0</v>
      </c>
      <c r="K968" s="135"/>
      <c r="L968" s="135">
        <v>3420.0</v>
      </c>
      <c r="M968" s="135">
        <v>3300.0</v>
      </c>
      <c r="N968" s="135">
        <v>120.0</v>
      </c>
      <c r="O968" s="135">
        <v>1.361</v>
      </c>
      <c r="P968" s="136">
        <v>0.0</v>
      </c>
      <c r="Q968" s="137">
        <v>3.4025</v>
      </c>
      <c r="R968" s="136">
        <v>46120.0</v>
      </c>
      <c r="S968" s="135" t="s">
        <v>3528</v>
      </c>
      <c r="T968" s="136"/>
      <c r="U968" s="135" t="s">
        <v>2864</v>
      </c>
      <c r="V968" s="135" t="s">
        <v>3014</v>
      </c>
      <c r="W968" s="135" t="s">
        <v>3215</v>
      </c>
      <c r="X968" s="135" t="s">
        <v>3536</v>
      </c>
      <c r="Y968" s="135"/>
      <c r="Z968" s="135" t="s">
        <v>2858</v>
      </c>
      <c r="AA968" s="135"/>
      <c r="AB968" s="135"/>
      <c r="AC968" s="135"/>
      <c r="AD968" s="135">
        <v>46146.0</v>
      </c>
      <c r="AE968" s="135"/>
      <c r="AF968" s="135"/>
      <c r="AG968" s="135"/>
    </row>
    <row r="969" ht="21.75" hidden="1" customHeight="1">
      <c r="A969" s="135">
        <v>965.0</v>
      </c>
      <c r="B969" s="135">
        <v>25045.0</v>
      </c>
      <c r="C969" s="135"/>
      <c r="D969" s="135">
        <v>29.0</v>
      </c>
      <c r="E969" s="135" t="s">
        <v>3533</v>
      </c>
      <c r="F969" s="135" t="s">
        <v>681</v>
      </c>
      <c r="G969" s="135" t="s">
        <v>158</v>
      </c>
      <c r="H969" s="135" t="s">
        <v>2853</v>
      </c>
      <c r="I969" s="135" t="s">
        <v>159</v>
      </c>
      <c r="J969" s="135">
        <v>1.0</v>
      </c>
      <c r="K969" s="135"/>
      <c r="L969" s="135">
        <v>3090.0</v>
      </c>
      <c r="M969" s="135">
        <v>3300.0</v>
      </c>
      <c r="N969" s="135">
        <v>120.0</v>
      </c>
      <c r="O969" s="135">
        <v>1.226</v>
      </c>
      <c r="P969" s="136">
        <v>0.0</v>
      </c>
      <c r="Q969" s="137">
        <v>3.065</v>
      </c>
      <c r="R969" s="136">
        <v>46120.0</v>
      </c>
      <c r="S969" s="135" t="s">
        <v>3528</v>
      </c>
      <c r="T969" s="136"/>
      <c r="U969" s="135" t="s">
        <v>2864</v>
      </c>
      <c r="V969" s="135" t="s">
        <v>3014</v>
      </c>
      <c r="W969" s="135" t="s">
        <v>3213</v>
      </c>
      <c r="X969" s="135" t="s">
        <v>3537</v>
      </c>
      <c r="Y969" s="135"/>
      <c r="Z969" s="135" t="s">
        <v>2858</v>
      </c>
      <c r="AA969" s="135"/>
      <c r="AB969" s="135"/>
      <c r="AC969" s="135"/>
      <c r="AD969" s="135">
        <v>46147.0</v>
      </c>
      <c r="AE969" s="135"/>
      <c r="AF969" s="135"/>
      <c r="AG969" s="135"/>
    </row>
    <row r="970" ht="21.75" hidden="1" customHeight="1">
      <c r="A970" s="135">
        <v>966.0</v>
      </c>
      <c r="B970" s="135">
        <v>25045.0</v>
      </c>
      <c r="C970" s="135"/>
      <c r="D970" s="135">
        <v>29.0</v>
      </c>
      <c r="E970" s="135" t="s">
        <v>3533</v>
      </c>
      <c r="F970" s="135" t="s">
        <v>682</v>
      </c>
      <c r="G970" s="135" t="s">
        <v>158</v>
      </c>
      <c r="H970" s="135" t="s">
        <v>2853</v>
      </c>
      <c r="I970" s="135" t="s">
        <v>159</v>
      </c>
      <c r="J970" s="135">
        <v>1.0</v>
      </c>
      <c r="K970" s="135"/>
      <c r="L970" s="135">
        <v>4920.0</v>
      </c>
      <c r="M970" s="135">
        <v>3400.0</v>
      </c>
      <c r="N970" s="135">
        <v>120.0</v>
      </c>
      <c r="O970" s="135">
        <v>2.127</v>
      </c>
      <c r="P970" s="136">
        <v>0.0</v>
      </c>
      <c r="Q970" s="137">
        <v>5.317499999999999</v>
      </c>
      <c r="R970" s="136">
        <v>46120.0</v>
      </c>
      <c r="S970" s="135" t="s">
        <v>3528</v>
      </c>
      <c r="T970" s="136"/>
      <c r="U970" s="135" t="s">
        <v>2855</v>
      </c>
      <c r="V970" s="135" t="s">
        <v>2876</v>
      </c>
      <c r="W970" s="135" t="s">
        <v>3538</v>
      </c>
      <c r="X970" s="135" t="s">
        <v>3536</v>
      </c>
      <c r="Y970" s="135"/>
      <c r="Z970" s="135" t="s">
        <v>2858</v>
      </c>
      <c r="AA970" s="135"/>
      <c r="AB970" s="135"/>
      <c r="AC970" s="135"/>
      <c r="AD970" s="135">
        <v>46128.0</v>
      </c>
      <c r="AE970" s="135"/>
      <c r="AF970" s="135"/>
      <c r="AG970" s="135"/>
    </row>
    <row r="971" ht="21.75" hidden="1" customHeight="1">
      <c r="A971" s="135">
        <v>967.0</v>
      </c>
      <c r="B971" s="135">
        <v>25045.0</v>
      </c>
      <c r="C971" s="135"/>
      <c r="D971" s="135">
        <v>29.0</v>
      </c>
      <c r="E971" s="135" t="s">
        <v>3533</v>
      </c>
      <c r="F971" s="135" t="s">
        <v>683</v>
      </c>
      <c r="G971" s="135" t="s">
        <v>158</v>
      </c>
      <c r="H971" s="135" t="s">
        <v>2853</v>
      </c>
      <c r="I971" s="135" t="s">
        <v>159</v>
      </c>
      <c r="J971" s="135">
        <v>1.0</v>
      </c>
      <c r="K971" s="135"/>
      <c r="L971" s="135">
        <v>4285.0</v>
      </c>
      <c r="M971" s="135">
        <v>3200.0</v>
      </c>
      <c r="N971" s="135">
        <v>120.0</v>
      </c>
      <c r="O971" s="135">
        <v>1.745</v>
      </c>
      <c r="P971" s="136">
        <v>0.0</v>
      </c>
      <c r="Q971" s="137">
        <v>4.362500000000001</v>
      </c>
      <c r="R971" s="136">
        <v>46120.0</v>
      </c>
      <c r="S971" s="135" t="s">
        <v>3528</v>
      </c>
      <c r="T971" s="136"/>
      <c r="U971" s="135" t="s">
        <v>2864</v>
      </c>
      <c r="V971" s="135" t="s">
        <v>3041</v>
      </c>
      <c r="W971" s="135" t="s">
        <v>3539</v>
      </c>
      <c r="X971" s="135"/>
      <c r="Y971" s="135"/>
      <c r="Z971" s="135" t="s">
        <v>2858</v>
      </c>
      <c r="AA971" s="135"/>
      <c r="AB971" s="135"/>
      <c r="AC971" s="135"/>
      <c r="AD971" s="135">
        <v>46144.0</v>
      </c>
      <c r="AE971" s="135"/>
      <c r="AF971" s="135"/>
      <c r="AG971" s="135"/>
    </row>
    <row r="972" ht="21.75" hidden="1" customHeight="1">
      <c r="A972" s="135">
        <v>968.0</v>
      </c>
      <c r="B972" s="135">
        <v>25045.0</v>
      </c>
      <c r="C972" s="135"/>
      <c r="D972" s="135">
        <v>29.0</v>
      </c>
      <c r="E972" s="135" t="s">
        <v>3533</v>
      </c>
      <c r="F972" s="135" t="s">
        <v>684</v>
      </c>
      <c r="G972" s="135" t="s">
        <v>158</v>
      </c>
      <c r="H972" s="135" t="s">
        <v>2853</v>
      </c>
      <c r="I972" s="135" t="s">
        <v>159</v>
      </c>
      <c r="J972" s="135">
        <v>1.0</v>
      </c>
      <c r="K972" s="135"/>
      <c r="L972" s="135">
        <v>3590.0</v>
      </c>
      <c r="M972" s="135">
        <v>3400.0</v>
      </c>
      <c r="N972" s="135">
        <v>120.0</v>
      </c>
      <c r="O972" s="135">
        <v>1.543</v>
      </c>
      <c r="P972" s="136">
        <v>0.0</v>
      </c>
      <c r="Q972" s="137">
        <v>3.8575</v>
      </c>
      <c r="R972" s="136">
        <v>46120.0</v>
      </c>
      <c r="S972" s="135" t="s">
        <v>3528</v>
      </c>
      <c r="T972" s="136"/>
      <c r="U972" s="135" t="s">
        <v>2864</v>
      </c>
      <c r="V972" s="135" t="s">
        <v>3041</v>
      </c>
      <c r="W972" s="135" t="s">
        <v>3540</v>
      </c>
      <c r="X972" s="135" t="s">
        <v>3537</v>
      </c>
      <c r="Y972" s="135"/>
      <c r="Z972" s="135" t="s">
        <v>2858</v>
      </c>
      <c r="AA972" s="135"/>
      <c r="AB972" s="135"/>
      <c r="AC972" s="135"/>
      <c r="AD972" s="135">
        <v>46143.0</v>
      </c>
      <c r="AE972" s="135"/>
      <c r="AF972" s="135"/>
      <c r="AG972" s="135"/>
    </row>
    <row r="973" ht="21.75" hidden="1" customHeight="1">
      <c r="A973" s="135">
        <v>969.0</v>
      </c>
      <c r="B973" s="135">
        <v>25045.0</v>
      </c>
      <c r="C973" s="135"/>
      <c r="D973" s="135">
        <v>29.0</v>
      </c>
      <c r="E973" s="135" t="s">
        <v>3533</v>
      </c>
      <c r="F973" s="135" t="s">
        <v>685</v>
      </c>
      <c r="G973" s="135" t="s">
        <v>158</v>
      </c>
      <c r="H973" s="135" t="s">
        <v>2853</v>
      </c>
      <c r="I973" s="135" t="s">
        <v>159</v>
      </c>
      <c r="J973" s="135">
        <v>1.0</v>
      </c>
      <c r="K973" s="135"/>
      <c r="L973" s="135">
        <v>4460.0</v>
      </c>
      <c r="M973" s="135">
        <v>3500.0</v>
      </c>
      <c r="N973" s="135">
        <v>120.0</v>
      </c>
      <c r="O973" s="135">
        <v>1.568</v>
      </c>
      <c r="P973" s="136">
        <v>0.0</v>
      </c>
      <c r="Q973" s="137">
        <v>3.92</v>
      </c>
      <c r="R973" s="136">
        <v>46120.0</v>
      </c>
      <c r="S973" s="135" t="s">
        <v>3528</v>
      </c>
      <c r="T973" s="136"/>
      <c r="U973" s="135" t="s">
        <v>2864</v>
      </c>
      <c r="V973" s="135" t="s">
        <v>3041</v>
      </c>
      <c r="W973" s="135" t="s">
        <v>3541</v>
      </c>
      <c r="X973" s="135" t="s">
        <v>3542</v>
      </c>
      <c r="Y973" s="135"/>
      <c r="Z973" s="135" t="s">
        <v>2858</v>
      </c>
      <c r="AA973" s="135"/>
      <c r="AB973" s="135"/>
      <c r="AC973" s="135"/>
      <c r="AD973" s="135">
        <v>46142.0</v>
      </c>
      <c r="AE973" s="135"/>
      <c r="AF973" s="135"/>
      <c r="AG973" s="135"/>
    </row>
    <row r="974" ht="21.75" hidden="1" customHeight="1">
      <c r="A974" s="135">
        <v>970.0</v>
      </c>
      <c r="B974" s="135">
        <v>25045.0</v>
      </c>
      <c r="C974" s="135"/>
      <c r="D974" s="135">
        <v>29.0</v>
      </c>
      <c r="E974" s="135" t="s">
        <v>3525</v>
      </c>
      <c r="F974" s="135" t="s">
        <v>965</v>
      </c>
      <c r="G974" s="135" t="s">
        <v>158</v>
      </c>
      <c r="H974" s="135" t="s">
        <v>2853</v>
      </c>
      <c r="I974" s="135" t="s">
        <v>173</v>
      </c>
      <c r="J974" s="135">
        <v>1.0</v>
      </c>
      <c r="K974" s="135"/>
      <c r="L974" s="135">
        <v>6051.0</v>
      </c>
      <c r="M974" s="135">
        <v>1500.0</v>
      </c>
      <c r="N974" s="135">
        <v>120.0</v>
      </c>
      <c r="O974" s="135">
        <v>1.089</v>
      </c>
      <c r="P974" s="136">
        <v>0.0</v>
      </c>
      <c r="Q974" s="137">
        <v>2.7225</v>
      </c>
      <c r="R974" s="136">
        <v>46120.0</v>
      </c>
      <c r="S974" s="135" t="s">
        <v>3528</v>
      </c>
      <c r="T974" s="136"/>
      <c r="U974" s="135" t="s">
        <v>2855</v>
      </c>
      <c r="V974" s="135" t="s">
        <v>2951</v>
      </c>
      <c r="W974" s="135" t="s">
        <v>3543</v>
      </c>
      <c r="X974" s="135"/>
      <c r="Y974" s="135"/>
      <c r="Z974" s="135" t="s">
        <v>2858</v>
      </c>
      <c r="AA974" s="135"/>
      <c r="AB974" s="135"/>
      <c r="AC974" s="135"/>
      <c r="AD974" s="135">
        <v>0.0</v>
      </c>
      <c r="AE974" s="135"/>
      <c r="AF974" s="135"/>
      <c r="AG974" s="135"/>
    </row>
    <row r="975" ht="21.75" hidden="1" customHeight="1">
      <c r="A975" s="135">
        <v>971.0</v>
      </c>
      <c r="B975" s="135">
        <v>25045.0</v>
      </c>
      <c r="C975" s="135"/>
      <c r="D975" s="135">
        <v>29.0</v>
      </c>
      <c r="E975" s="135" t="s">
        <v>3533</v>
      </c>
      <c r="F975" s="135" t="s">
        <v>686</v>
      </c>
      <c r="G975" s="135" t="s">
        <v>158</v>
      </c>
      <c r="H975" s="135" t="s">
        <v>2853</v>
      </c>
      <c r="I975" s="135" t="s">
        <v>159</v>
      </c>
      <c r="J975" s="135">
        <v>1.0</v>
      </c>
      <c r="K975" s="135"/>
      <c r="L975" s="135">
        <v>1630.0</v>
      </c>
      <c r="M975" s="135">
        <v>1350.0</v>
      </c>
      <c r="N975" s="135">
        <v>120.0</v>
      </c>
      <c r="O975" s="135">
        <v>0.355</v>
      </c>
      <c r="P975" s="136">
        <v>0.0</v>
      </c>
      <c r="Q975" s="137">
        <v>0.8875</v>
      </c>
      <c r="R975" s="136">
        <v>46120.0</v>
      </c>
      <c r="S975" s="135" t="s">
        <v>3528</v>
      </c>
      <c r="T975" s="136"/>
      <c r="U975" s="135" t="s">
        <v>2864</v>
      </c>
      <c r="V975" s="135" t="s">
        <v>2953</v>
      </c>
      <c r="W975" s="135" t="s">
        <v>3544</v>
      </c>
      <c r="X975" s="135"/>
      <c r="Y975" s="135"/>
      <c r="Z975" s="135" t="s">
        <v>2858</v>
      </c>
      <c r="AA975" s="135"/>
      <c r="AB975" s="135"/>
      <c r="AC975" s="135"/>
      <c r="AD975" s="135">
        <v>46143.0</v>
      </c>
      <c r="AE975" s="135"/>
      <c r="AF975" s="135"/>
      <c r="AG975" s="135"/>
    </row>
    <row r="976" ht="21.75" hidden="1" customHeight="1">
      <c r="A976" s="135">
        <v>972.0</v>
      </c>
      <c r="B976" s="135">
        <v>25045.0</v>
      </c>
      <c r="C976" s="135"/>
      <c r="D976" s="135">
        <v>29.0</v>
      </c>
      <c r="E976" s="135" t="s">
        <v>3531</v>
      </c>
      <c r="F976" s="135" t="s">
        <v>699</v>
      </c>
      <c r="G976" s="135" t="s">
        <v>158</v>
      </c>
      <c r="H976" s="135" t="s">
        <v>2853</v>
      </c>
      <c r="I976" s="135" t="s">
        <v>160</v>
      </c>
      <c r="J976" s="135">
        <v>1.0</v>
      </c>
      <c r="K976" s="135"/>
      <c r="L976" s="135">
        <v>1630.0</v>
      </c>
      <c r="M976" s="135">
        <v>1350.0</v>
      </c>
      <c r="N976" s="135">
        <v>120.0</v>
      </c>
      <c r="O976" s="135">
        <v>0.355</v>
      </c>
      <c r="P976" s="136">
        <v>0.0</v>
      </c>
      <c r="Q976" s="137">
        <v>0.8875</v>
      </c>
      <c r="R976" s="136">
        <v>46120.0</v>
      </c>
      <c r="S976" s="135" t="s">
        <v>3528</v>
      </c>
      <c r="T976" s="136"/>
      <c r="U976" s="135" t="s">
        <v>2864</v>
      </c>
      <c r="V976" s="135" t="s">
        <v>2953</v>
      </c>
      <c r="W976" s="135" t="s">
        <v>3545</v>
      </c>
      <c r="X976" s="135"/>
      <c r="Y976" s="135"/>
      <c r="Z976" s="135" t="s">
        <v>2858</v>
      </c>
      <c r="AA976" s="135"/>
      <c r="AB976" s="135"/>
      <c r="AC976" s="135"/>
      <c r="AD976" s="135">
        <v>46142.0</v>
      </c>
      <c r="AE976" s="135"/>
      <c r="AF976" s="135"/>
      <c r="AG976" s="135"/>
    </row>
    <row r="977" ht="21.75" hidden="1" customHeight="1">
      <c r="A977" s="135">
        <v>973.0</v>
      </c>
      <c r="B977" s="135">
        <v>25045.0</v>
      </c>
      <c r="C977" s="135"/>
      <c r="D977" s="135">
        <v>29.0</v>
      </c>
      <c r="E977" s="135" t="s">
        <v>3531</v>
      </c>
      <c r="F977" s="135" t="s">
        <v>700</v>
      </c>
      <c r="G977" s="135" t="s">
        <v>158</v>
      </c>
      <c r="H977" s="135" t="s">
        <v>2853</v>
      </c>
      <c r="I977" s="135" t="s">
        <v>160</v>
      </c>
      <c r="J977" s="135">
        <v>1.0</v>
      </c>
      <c r="K977" s="135"/>
      <c r="L977" s="135">
        <v>1990.0</v>
      </c>
      <c r="M977" s="135">
        <v>1160.0</v>
      </c>
      <c r="N977" s="135">
        <v>120.0</v>
      </c>
      <c r="O977" s="135">
        <v>0.367</v>
      </c>
      <c r="P977" s="136">
        <v>0.0</v>
      </c>
      <c r="Q977" s="137">
        <v>0.9175</v>
      </c>
      <c r="R977" s="136">
        <v>46120.0</v>
      </c>
      <c r="S977" s="135" t="s">
        <v>3528</v>
      </c>
      <c r="T977" s="136"/>
      <c r="U977" s="135" t="s">
        <v>2864</v>
      </c>
      <c r="V977" s="135" t="s">
        <v>2953</v>
      </c>
      <c r="W977" s="135" t="s">
        <v>3546</v>
      </c>
      <c r="X977" s="135"/>
      <c r="Y977" s="135"/>
      <c r="Z977" s="135" t="s">
        <v>2858</v>
      </c>
      <c r="AA977" s="135"/>
      <c r="AB977" s="135"/>
      <c r="AC977" s="135"/>
      <c r="AD977" s="135">
        <v>46137.0</v>
      </c>
      <c r="AE977" s="135"/>
      <c r="AF977" s="135"/>
      <c r="AG977" s="135"/>
    </row>
    <row r="978" ht="21.75" hidden="1" customHeight="1">
      <c r="A978" s="135">
        <v>974.0</v>
      </c>
      <c r="B978" s="135">
        <v>25045.0</v>
      </c>
      <c r="C978" s="135"/>
      <c r="D978" s="135">
        <v>29.0</v>
      </c>
      <c r="E978" s="135" t="s">
        <v>3527</v>
      </c>
      <c r="F978" s="135" t="s">
        <v>725</v>
      </c>
      <c r="G978" s="135" t="s">
        <v>158</v>
      </c>
      <c r="H978" s="135" t="s">
        <v>2853</v>
      </c>
      <c r="I978" s="135" t="s">
        <v>161</v>
      </c>
      <c r="J978" s="135">
        <v>1.0</v>
      </c>
      <c r="K978" s="135"/>
      <c r="L978" s="135">
        <v>1990.0</v>
      </c>
      <c r="M978" s="135">
        <v>1160.0</v>
      </c>
      <c r="N978" s="135">
        <v>120.0</v>
      </c>
      <c r="O978" s="135">
        <v>0.367</v>
      </c>
      <c r="P978" s="136">
        <v>0.0</v>
      </c>
      <c r="Q978" s="137">
        <v>0.9175</v>
      </c>
      <c r="R978" s="136">
        <v>46120.0</v>
      </c>
      <c r="S978" s="135" t="s">
        <v>3528</v>
      </c>
      <c r="T978" s="136"/>
      <c r="U978" s="135" t="s">
        <v>2864</v>
      </c>
      <c r="V978" s="135" t="s">
        <v>2953</v>
      </c>
      <c r="W978" s="135" t="s">
        <v>3546</v>
      </c>
      <c r="X978" s="135"/>
      <c r="Y978" s="135"/>
      <c r="Z978" s="135" t="s">
        <v>2858</v>
      </c>
      <c r="AA978" s="135"/>
      <c r="AB978" s="135"/>
      <c r="AC978" s="135"/>
      <c r="AD978" s="135">
        <v>46139.0</v>
      </c>
      <c r="AE978" s="135"/>
      <c r="AF978" s="135"/>
      <c r="AG978" s="135"/>
    </row>
    <row r="979" ht="21.75" hidden="1" customHeight="1">
      <c r="A979" s="135">
        <v>975.0</v>
      </c>
      <c r="B979" s="135">
        <v>25045.0</v>
      </c>
      <c r="C979" s="135"/>
      <c r="D979" s="135">
        <v>29.0</v>
      </c>
      <c r="E979" s="135" t="s">
        <v>3527</v>
      </c>
      <c r="F979" s="135" t="s">
        <v>726</v>
      </c>
      <c r="G979" s="135" t="s">
        <v>158</v>
      </c>
      <c r="H979" s="135" t="s">
        <v>2853</v>
      </c>
      <c r="I979" s="135" t="s">
        <v>161</v>
      </c>
      <c r="J979" s="135">
        <v>1.0</v>
      </c>
      <c r="K979" s="135"/>
      <c r="L979" s="135">
        <v>1630.0</v>
      </c>
      <c r="M979" s="135">
        <v>1340.0</v>
      </c>
      <c r="N979" s="135">
        <v>120.0</v>
      </c>
      <c r="O979" s="135">
        <v>0.354</v>
      </c>
      <c r="P979" s="136">
        <v>0.0</v>
      </c>
      <c r="Q979" s="137">
        <v>0.885</v>
      </c>
      <c r="R979" s="136">
        <v>46120.0</v>
      </c>
      <c r="S979" s="135" t="s">
        <v>3528</v>
      </c>
      <c r="T979" s="136"/>
      <c r="U979" s="135" t="s">
        <v>2864</v>
      </c>
      <c r="V979" s="135" t="s">
        <v>2953</v>
      </c>
      <c r="W979" s="135" t="s">
        <v>3547</v>
      </c>
      <c r="X979" s="135"/>
      <c r="Y979" s="135"/>
      <c r="Z979" s="135" t="s">
        <v>2858</v>
      </c>
      <c r="AA979" s="135"/>
      <c r="AB979" s="135"/>
      <c r="AC979" s="135"/>
      <c r="AD979" s="135">
        <v>46141.0</v>
      </c>
      <c r="AE979" s="135"/>
      <c r="AF979" s="135"/>
      <c r="AG979" s="135"/>
    </row>
    <row r="980" ht="21.75" hidden="1" customHeight="1">
      <c r="A980" s="135">
        <v>976.0</v>
      </c>
      <c r="B980" s="135">
        <v>25045.0</v>
      </c>
      <c r="C980" s="135"/>
      <c r="D980" s="135">
        <v>29.0</v>
      </c>
      <c r="E980" s="135" t="s">
        <v>3519</v>
      </c>
      <c r="F980" s="135" t="s">
        <v>759</v>
      </c>
      <c r="G980" s="135" t="s">
        <v>158</v>
      </c>
      <c r="H980" s="135" t="s">
        <v>2853</v>
      </c>
      <c r="I980" s="135" t="s">
        <v>162</v>
      </c>
      <c r="J980" s="135">
        <v>1.0</v>
      </c>
      <c r="K980" s="135"/>
      <c r="L980" s="135">
        <v>1630.0</v>
      </c>
      <c r="M980" s="135">
        <v>1340.0</v>
      </c>
      <c r="N980" s="135">
        <v>120.0</v>
      </c>
      <c r="O980" s="135">
        <v>0.354</v>
      </c>
      <c r="P980" s="136">
        <v>0.0</v>
      </c>
      <c r="Q980" s="137">
        <v>0.885</v>
      </c>
      <c r="R980" s="136">
        <v>46120.0</v>
      </c>
      <c r="S980" s="135" t="s">
        <v>3528</v>
      </c>
      <c r="T980" s="136"/>
      <c r="U980" s="135" t="s">
        <v>2864</v>
      </c>
      <c r="V980" s="135" t="s">
        <v>2953</v>
      </c>
      <c r="W980" s="135" t="s">
        <v>3548</v>
      </c>
      <c r="X980" s="135"/>
      <c r="Y980" s="135"/>
      <c r="Z980" s="135" t="s">
        <v>2858</v>
      </c>
      <c r="AA980" s="135"/>
      <c r="AB980" s="135"/>
      <c r="AC980" s="135"/>
      <c r="AD980" s="135">
        <v>46158.0</v>
      </c>
      <c r="AE980" s="135"/>
      <c r="AF980" s="135"/>
      <c r="AG980" s="135"/>
    </row>
    <row r="981" ht="21.75" hidden="1" customHeight="1">
      <c r="A981" s="135">
        <v>977.0</v>
      </c>
      <c r="B981" s="135">
        <v>25045.0</v>
      </c>
      <c r="C981" s="135"/>
      <c r="D981" s="135">
        <v>29.0</v>
      </c>
      <c r="E981" s="135" t="s">
        <v>3519</v>
      </c>
      <c r="F981" s="135" t="s">
        <v>760</v>
      </c>
      <c r="G981" s="135" t="s">
        <v>158</v>
      </c>
      <c r="H981" s="135" t="s">
        <v>2853</v>
      </c>
      <c r="I981" s="135" t="s">
        <v>162</v>
      </c>
      <c r="J981" s="135">
        <v>1.0</v>
      </c>
      <c r="K981" s="135"/>
      <c r="L981" s="135">
        <v>1630.0</v>
      </c>
      <c r="M981" s="135">
        <v>1330.0</v>
      </c>
      <c r="N981" s="135">
        <v>120.0</v>
      </c>
      <c r="O981" s="135">
        <v>0.353</v>
      </c>
      <c r="P981" s="136">
        <v>0.0</v>
      </c>
      <c r="Q981" s="137">
        <v>0.8825</v>
      </c>
      <c r="R981" s="136">
        <v>46120.0</v>
      </c>
      <c r="S981" s="135" t="s">
        <v>3528</v>
      </c>
      <c r="T981" s="136"/>
      <c r="U981" s="135" t="s">
        <v>2864</v>
      </c>
      <c r="V981" s="135" t="s">
        <v>2953</v>
      </c>
      <c r="W981" s="135" t="s">
        <v>3549</v>
      </c>
      <c r="X981" s="135"/>
      <c r="Y981" s="135"/>
      <c r="Z981" s="135" t="s">
        <v>2858</v>
      </c>
      <c r="AA981" s="135"/>
      <c r="AB981" s="135"/>
      <c r="AC981" s="135"/>
      <c r="AD981" s="135">
        <v>46160.0</v>
      </c>
      <c r="AE981" s="135"/>
      <c r="AF981" s="135"/>
      <c r="AG981" s="135"/>
    </row>
    <row r="982" ht="21.75" hidden="1" customHeight="1">
      <c r="A982" s="135">
        <v>978.0</v>
      </c>
      <c r="B982" s="135">
        <v>25045.0</v>
      </c>
      <c r="C982" s="135"/>
      <c r="D982" s="135">
        <v>29.0</v>
      </c>
      <c r="E982" s="135" t="s">
        <v>3520</v>
      </c>
      <c r="F982" s="135" t="s">
        <v>792</v>
      </c>
      <c r="G982" s="135" t="s">
        <v>158</v>
      </c>
      <c r="H982" s="135" t="s">
        <v>2853</v>
      </c>
      <c r="I982" s="135" t="s">
        <v>163</v>
      </c>
      <c r="J982" s="135">
        <v>1.0</v>
      </c>
      <c r="K982" s="135"/>
      <c r="L982" s="135">
        <v>1630.0</v>
      </c>
      <c r="M982" s="135">
        <v>1330.0</v>
      </c>
      <c r="N982" s="135">
        <v>120.0</v>
      </c>
      <c r="O982" s="135">
        <v>0.353</v>
      </c>
      <c r="P982" s="136">
        <v>0.0</v>
      </c>
      <c r="Q982" s="137">
        <v>0.8825</v>
      </c>
      <c r="R982" s="136">
        <v>46120.0</v>
      </c>
      <c r="S982" s="135" t="s">
        <v>3528</v>
      </c>
      <c r="T982" s="136"/>
      <c r="U982" s="135" t="s">
        <v>2864</v>
      </c>
      <c r="V982" s="135" t="s">
        <v>2953</v>
      </c>
      <c r="W982" s="135" t="s">
        <v>3548</v>
      </c>
      <c r="X982" s="135"/>
      <c r="Y982" s="135"/>
      <c r="Z982" s="135" t="s">
        <v>2858</v>
      </c>
      <c r="AA982" s="135"/>
      <c r="AB982" s="135"/>
      <c r="AC982" s="135"/>
      <c r="AD982" s="135">
        <v>46161.0</v>
      </c>
      <c r="AE982" s="135"/>
      <c r="AF982" s="135"/>
      <c r="AG982" s="135"/>
    </row>
    <row r="983" ht="21.75" hidden="1" customHeight="1">
      <c r="A983" s="135">
        <v>979.0</v>
      </c>
      <c r="B983" s="135">
        <v>25045.0</v>
      </c>
      <c r="C983" s="135"/>
      <c r="D983" s="135">
        <v>29.0</v>
      </c>
      <c r="E983" s="135" t="s">
        <v>3520</v>
      </c>
      <c r="F983" s="135" t="s">
        <v>793</v>
      </c>
      <c r="G983" s="135" t="s">
        <v>158</v>
      </c>
      <c r="H983" s="135" t="s">
        <v>2853</v>
      </c>
      <c r="I983" s="135" t="s">
        <v>163</v>
      </c>
      <c r="J983" s="135">
        <v>1.0</v>
      </c>
      <c r="K983" s="135"/>
      <c r="L983" s="135">
        <v>4921.0</v>
      </c>
      <c r="M983" s="135">
        <v>3250.0</v>
      </c>
      <c r="N983" s="135">
        <v>120.0</v>
      </c>
      <c r="O983" s="135">
        <v>2.128</v>
      </c>
      <c r="P983" s="136">
        <v>0.0</v>
      </c>
      <c r="Q983" s="137">
        <v>5.32</v>
      </c>
      <c r="R983" s="136">
        <v>46120.0</v>
      </c>
      <c r="S983" s="135" t="s">
        <v>3528</v>
      </c>
      <c r="T983" s="136"/>
      <c r="U983" s="135" t="s">
        <v>2855</v>
      </c>
      <c r="V983" s="135" t="s">
        <v>2876</v>
      </c>
      <c r="W983" s="135" t="s">
        <v>3550</v>
      </c>
      <c r="X983" s="135"/>
      <c r="Y983" s="135"/>
      <c r="Z983" s="135" t="s">
        <v>2858</v>
      </c>
      <c r="AA983" s="135"/>
      <c r="AB983" s="135"/>
      <c r="AC983" s="135"/>
      <c r="AD983" s="135">
        <v>46132.0</v>
      </c>
      <c r="AE983" s="135"/>
      <c r="AF983" s="135"/>
      <c r="AG983" s="135"/>
    </row>
    <row r="984" ht="21.75" hidden="1" customHeight="1">
      <c r="A984" s="135">
        <v>980.0</v>
      </c>
      <c r="B984" s="135">
        <v>25045.0</v>
      </c>
      <c r="C984" s="135"/>
      <c r="D984" s="135">
        <v>29.0</v>
      </c>
      <c r="E984" s="135" t="s">
        <v>3520</v>
      </c>
      <c r="F984" s="135" t="s">
        <v>794</v>
      </c>
      <c r="G984" s="135" t="s">
        <v>158</v>
      </c>
      <c r="H984" s="135" t="s">
        <v>2853</v>
      </c>
      <c r="I984" s="135" t="s">
        <v>163</v>
      </c>
      <c r="J984" s="135">
        <v>1.0</v>
      </c>
      <c r="K984" s="135"/>
      <c r="L984" s="135">
        <v>1630.0</v>
      </c>
      <c r="M984" s="135">
        <v>1180.0</v>
      </c>
      <c r="N984" s="135">
        <v>120.0</v>
      </c>
      <c r="O984" s="135">
        <v>0.339</v>
      </c>
      <c r="P984" s="136">
        <v>0.0</v>
      </c>
      <c r="Q984" s="137">
        <v>0.8475</v>
      </c>
      <c r="R984" s="136">
        <v>46120.0</v>
      </c>
      <c r="S984" s="135" t="s">
        <v>3528</v>
      </c>
      <c r="T984" s="136"/>
      <c r="U984" s="135" t="s">
        <v>2864</v>
      </c>
      <c r="V984" s="135" t="s">
        <v>2953</v>
      </c>
      <c r="W984" s="135" t="s">
        <v>3551</v>
      </c>
      <c r="X984" s="135"/>
      <c r="Y984" s="135"/>
      <c r="Z984" s="135" t="s">
        <v>2858</v>
      </c>
      <c r="AA984" s="135"/>
      <c r="AB984" s="135"/>
      <c r="AC984" s="135"/>
      <c r="AD984" s="135">
        <v>46162.0</v>
      </c>
      <c r="AE984" s="135"/>
      <c r="AF984" s="135"/>
      <c r="AG984" s="135"/>
    </row>
    <row r="985" ht="21.75" hidden="1" customHeight="1">
      <c r="A985" s="135">
        <v>981.0</v>
      </c>
      <c r="B985" s="135">
        <v>25045.0</v>
      </c>
      <c r="C985" s="135"/>
      <c r="D985" s="135">
        <v>29.0</v>
      </c>
      <c r="E985" s="135" t="s">
        <v>3523</v>
      </c>
      <c r="F985" s="135" t="s">
        <v>815</v>
      </c>
      <c r="G985" s="135" t="s">
        <v>158</v>
      </c>
      <c r="H985" s="135" t="s">
        <v>2853</v>
      </c>
      <c r="I985" s="135" t="s">
        <v>164</v>
      </c>
      <c r="J985" s="135">
        <v>1.0</v>
      </c>
      <c r="K985" s="135"/>
      <c r="L985" s="135">
        <v>4637.0</v>
      </c>
      <c r="M985" s="135">
        <v>3100.0</v>
      </c>
      <c r="N985" s="135">
        <v>120.0</v>
      </c>
      <c r="O985" s="135">
        <v>1.955</v>
      </c>
      <c r="P985" s="136">
        <v>0.0</v>
      </c>
      <c r="Q985" s="137">
        <v>4.8875</v>
      </c>
      <c r="R985" s="136">
        <v>46120.0</v>
      </c>
      <c r="S985" s="135" t="s">
        <v>3528</v>
      </c>
      <c r="T985" s="136"/>
      <c r="U985" s="135" t="s">
        <v>2855</v>
      </c>
      <c r="V985" s="135" t="s">
        <v>2876</v>
      </c>
      <c r="W985" s="135" t="s">
        <v>3552</v>
      </c>
      <c r="X985" s="135"/>
      <c r="Y985" s="135"/>
      <c r="Z985" s="135" t="s">
        <v>2858</v>
      </c>
      <c r="AA985" s="135"/>
      <c r="AB985" s="135"/>
      <c r="AC985" s="135"/>
      <c r="AD985" s="135">
        <v>46133.0</v>
      </c>
      <c r="AE985" s="135"/>
      <c r="AF985" s="135"/>
      <c r="AG985" s="135"/>
    </row>
    <row r="986" ht="21.75" hidden="1" customHeight="1">
      <c r="A986" s="135">
        <v>982.0</v>
      </c>
      <c r="B986" s="135">
        <v>25045.0</v>
      </c>
      <c r="C986" s="135"/>
      <c r="D986" s="135">
        <v>29.0</v>
      </c>
      <c r="E986" s="135" t="s">
        <v>3523</v>
      </c>
      <c r="F986" s="135" t="s">
        <v>816</v>
      </c>
      <c r="G986" s="135" t="s">
        <v>158</v>
      </c>
      <c r="H986" s="135" t="s">
        <v>2853</v>
      </c>
      <c r="I986" s="135" t="s">
        <v>164</v>
      </c>
      <c r="J986" s="135">
        <v>1.0</v>
      </c>
      <c r="K986" s="135"/>
      <c r="L986" s="135">
        <v>1630.0</v>
      </c>
      <c r="M986" s="135">
        <v>1180.0</v>
      </c>
      <c r="N986" s="135">
        <v>120.0</v>
      </c>
      <c r="O986" s="135">
        <v>0.339</v>
      </c>
      <c r="P986" s="136">
        <v>0.0</v>
      </c>
      <c r="Q986" s="137">
        <v>0.8475</v>
      </c>
      <c r="R986" s="136">
        <v>46120.0</v>
      </c>
      <c r="S986" s="135" t="s">
        <v>3528</v>
      </c>
      <c r="T986" s="136"/>
      <c r="U986" s="135" t="s">
        <v>2864</v>
      </c>
      <c r="V986" s="135" t="s">
        <v>2953</v>
      </c>
      <c r="W986" s="135" t="s">
        <v>3553</v>
      </c>
      <c r="X986" s="135"/>
      <c r="Y986" s="135"/>
      <c r="Z986" s="135" t="s">
        <v>2858</v>
      </c>
      <c r="AA986" s="135"/>
      <c r="AB986" s="135"/>
      <c r="AC986" s="135"/>
      <c r="AD986" s="135">
        <v>46163.0</v>
      </c>
      <c r="AE986" s="135"/>
      <c r="AF986" s="135"/>
      <c r="AG986" s="135"/>
    </row>
    <row r="987" ht="21.75" hidden="1" customHeight="1">
      <c r="A987" s="135">
        <v>983.0</v>
      </c>
      <c r="B987" s="135">
        <v>25045.0</v>
      </c>
      <c r="C987" s="135"/>
      <c r="D987" s="135">
        <v>29.0</v>
      </c>
      <c r="E987" s="135" t="s">
        <v>3523</v>
      </c>
      <c r="F987" s="135" t="s">
        <v>817</v>
      </c>
      <c r="G987" s="135" t="s">
        <v>158</v>
      </c>
      <c r="H987" s="135" t="s">
        <v>2853</v>
      </c>
      <c r="I987" s="135" t="s">
        <v>164</v>
      </c>
      <c r="J987" s="135">
        <v>1.0</v>
      </c>
      <c r="K987" s="135"/>
      <c r="L987" s="135">
        <v>1645.0</v>
      </c>
      <c r="M987" s="135">
        <v>1324.0</v>
      </c>
      <c r="N987" s="135">
        <v>120.0</v>
      </c>
      <c r="O987" s="135">
        <v>0.361</v>
      </c>
      <c r="P987" s="136">
        <v>0.0</v>
      </c>
      <c r="Q987" s="137">
        <v>0.9025</v>
      </c>
      <c r="R987" s="136">
        <v>46120.0</v>
      </c>
      <c r="S987" s="135" t="s">
        <v>3528</v>
      </c>
      <c r="T987" s="136"/>
      <c r="U987" s="135" t="s">
        <v>2864</v>
      </c>
      <c r="V987" s="135" t="s">
        <v>2953</v>
      </c>
      <c r="W987" s="135" t="s">
        <v>3554</v>
      </c>
      <c r="X987" s="135"/>
      <c r="Y987" s="135"/>
      <c r="Z987" s="135" t="s">
        <v>2858</v>
      </c>
      <c r="AA987" s="135"/>
      <c r="AB987" s="135"/>
      <c r="AC987" s="135"/>
      <c r="AD987" s="135">
        <v>46164.0</v>
      </c>
      <c r="AE987" s="135"/>
      <c r="AF987" s="135"/>
      <c r="AG987" s="135"/>
    </row>
    <row r="988" ht="21.75" hidden="1" customHeight="1">
      <c r="A988" s="135">
        <v>984.0</v>
      </c>
      <c r="B988" s="135">
        <v>25045.0</v>
      </c>
      <c r="C988" s="135"/>
      <c r="D988" s="135">
        <v>29.0</v>
      </c>
      <c r="E988" s="135" t="s">
        <v>3555</v>
      </c>
      <c r="F988" s="135" t="s">
        <v>835</v>
      </c>
      <c r="G988" s="135" t="s">
        <v>158</v>
      </c>
      <c r="H988" s="135" t="s">
        <v>2853</v>
      </c>
      <c r="I988" s="135" t="s">
        <v>165</v>
      </c>
      <c r="J988" s="135">
        <v>1.0</v>
      </c>
      <c r="K988" s="135"/>
      <c r="L988" s="135">
        <v>1635.0</v>
      </c>
      <c r="M988" s="135">
        <v>324.0</v>
      </c>
      <c r="N988" s="135">
        <v>120.0</v>
      </c>
      <c r="O988" s="135">
        <v>0.36</v>
      </c>
      <c r="P988" s="136">
        <v>0.0</v>
      </c>
      <c r="Q988" s="137">
        <v>0.8999999999999999</v>
      </c>
      <c r="R988" s="136">
        <v>46120.0</v>
      </c>
      <c r="S988" s="135" t="s">
        <v>3528</v>
      </c>
      <c r="T988" s="136"/>
      <c r="U988" s="135" t="s">
        <v>2864</v>
      </c>
      <c r="V988" s="135" t="s">
        <v>2953</v>
      </c>
      <c r="W988" s="135" t="s">
        <v>3556</v>
      </c>
      <c r="X988" s="135"/>
      <c r="Y988" s="135"/>
      <c r="Z988" s="135" t="s">
        <v>2858</v>
      </c>
      <c r="AA988" s="135"/>
      <c r="AB988" s="135"/>
      <c r="AC988" s="135"/>
      <c r="AD988" s="135">
        <v>46165.0</v>
      </c>
      <c r="AE988" s="135"/>
      <c r="AF988" s="135"/>
      <c r="AG988" s="135"/>
    </row>
    <row r="989" ht="21.75" hidden="1" customHeight="1">
      <c r="A989" s="135">
        <v>985.0</v>
      </c>
      <c r="B989" s="135">
        <v>25045.0</v>
      </c>
      <c r="C989" s="135"/>
      <c r="D989" s="135">
        <v>29.0</v>
      </c>
      <c r="E989" s="135" t="s">
        <v>3557</v>
      </c>
      <c r="F989" s="135" t="s">
        <v>851</v>
      </c>
      <c r="G989" s="135" t="s">
        <v>158</v>
      </c>
      <c r="H989" s="135" t="s">
        <v>2853</v>
      </c>
      <c r="I989" s="135" t="s">
        <v>166</v>
      </c>
      <c r="J989" s="135">
        <v>1.0</v>
      </c>
      <c r="K989" s="135"/>
      <c r="L989" s="135">
        <v>1635.0</v>
      </c>
      <c r="M989" s="135">
        <v>965.0</v>
      </c>
      <c r="N989" s="135">
        <v>120.0</v>
      </c>
      <c r="O989" s="135">
        <v>0.318</v>
      </c>
      <c r="P989" s="136">
        <v>0.0</v>
      </c>
      <c r="Q989" s="137">
        <v>0.795</v>
      </c>
      <c r="R989" s="136">
        <v>46120.0</v>
      </c>
      <c r="S989" s="135" t="s">
        <v>3528</v>
      </c>
      <c r="T989" s="136"/>
      <c r="U989" s="135" t="s">
        <v>2864</v>
      </c>
      <c r="V989" s="135" t="s">
        <v>2953</v>
      </c>
      <c r="W989" s="135"/>
      <c r="X989" s="135"/>
      <c r="Y989" s="135"/>
      <c r="Z989" s="135" t="s">
        <v>2858</v>
      </c>
      <c r="AA989" s="135"/>
      <c r="AB989" s="135"/>
      <c r="AC989" s="135"/>
      <c r="AD989" s="135">
        <v>46167.0</v>
      </c>
      <c r="AE989" s="135"/>
      <c r="AF989" s="135"/>
      <c r="AG989" s="135"/>
    </row>
    <row r="990" ht="21.75" hidden="1" customHeight="1">
      <c r="A990" s="135">
        <v>986.0</v>
      </c>
      <c r="B990" s="135">
        <v>25045.0</v>
      </c>
      <c r="C990" s="135"/>
      <c r="D990" s="135">
        <v>29.0</v>
      </c>
      <c r="E990" s="135" t="s">
        <v>3558</v>
      </c>
      <c r="F990" s="135" t="s">
        <v>883</v>
      </c>
      <c r="G990" s="135" t="s">
        <v>158</v>
      </c>
      <c r="H990" s="135" t="s">
        <v>2853</v>
      </c>
      <c r="I990" s="135" t="s">
        <v>168</v>
      </c>
      <c r="J990" s="135">
        <v>1.0</v>
      </c>
      <c r="K990" s="135" t="s">
        <v>3134</v>
      </c>
      <c r="L990" s="135">
        <v>1635.0</v>
      </c>
      <c r="M990" s="135">
        <v>955.0</v>
      </c>
      <c r="N990" s="135">
        <v>120.0</v>
      </c>
      <c r="O990" s="135">
        <v>0.316</v>
      </c>
      <c r="P990" s="136">
        <v>0.0</v>
      </c>
      <c r="Q990" s="137">
        <v>0.79</v>
      </c>
      <c r="R990" s="136">
        <v>46120.0</v>
      </c>
      <c r="S990" s="135" t="s">
        <v>3528</v>
      </c>
      <c r="T990" s="136"/>
      <c r="U990" s="135" t="s">
        <v>2864</v>
      </c>
      <c r="V990" s="135" t="s">
        <v>2953</v>
      </c>
      <c r="W990" s="135"/>
      <c r="X990" s="135"/>
      <c r="Y990" s="135"/>
      <c r="Z990" s="135" t="s">
        <v>2858</v>
      </c>
      <c r="AA990" s="135"/>
      <c r="AB990" s="135"/>
      <c r="AC990" s="135"/>
      <c r="AD990" s="135">
        <v>46168.0</v>
      </c>
      <c r="AE990" s="135"/>
      <c r="AF990" s="135"/>
      <c r="AG990" s="135"/>
    </row>
    <row r="991" ht="21.75" hidden="1" customHeight="1">
      <c r="A991" s="135">
        <v>987.0</v>
      </c>
      <c r="B991" s="135">
        <v>25045.0</v>
      </c>
      <c r="C991" s="135"/>
      <c r="D991" s="135">
        <v>29.0</v>
      </c>
      <c r="E991" s="135" t="s">
        <v>3559</v>
      </c>
      <c r="F991" s="135" t="s">
        <v>867</v>
      </c>
      <c r="G991" s="135" t="s">
        <v>158</v>
      </c>
      <c r="H991" s="135" t="s">
        <v>2853</v>
      </c>
      <c r="I991" s="135" t="s">
        <v>167</v>
      </c>
      <c r="J991" s="135">
        <v>1.0</v>
      </c>
      <c r="K991" s="135" t="s">
        <v>3134</v>
      </c>
      <c r="L991" s="135">
        <v>1635.0</v>
      </c>
      <c r="M991" s="135">
        <v>955.0</v>
      </c>
      <c r="N991" s="135">
        <v>120.0</v>
      </c>
      <c r="O991" s="135">
        <v>0.316</v>
      </c>
      <c r="P991" s="136">
        <v>0.0</v>
      </c>
      <c r="Q991" s="137">
        <v>0.79</v>
      </c>
      <c r="R991" s="136">
        <v>46120.0</v>
      </c>
      <c r="S991" s="135" t="s">
        <v>3528</v>
      </c>
      <c r="T991" s="136"/>
      <c r="U991" s="135" t="s">
        <v>2864</v>
      </c>
      <c r="V991" s="135" t="s">
        <v>2953</v>
      </c>
      <c r="W991" s="135"/>
      <c r="X991" s="135"/>
      <c r="Y991" s="135"/>
      <c r="Z991" s="135" t="s">
        <v>2858</v>
      </c>
      <c r="AA991" s="135"/>
      <c r="AB991" s="135"/>
      <c r="AC991" s="135" t="s">
        <v>2863</v>
      </c>
      <c r="AD991" s="135">
        <v>0.0</v>
      </c>
      <c r="AE991" s="135"/>
      <c r="AF991" s="135"/>
      <c r="AG991" s="135"/>
    </row>
    <row r="992" ht="21.75" hidden="1" customHeight="1">
      <c r="A992" s="135">
        <v>988.0</v>
      </c>
      <c r="B992" s="135">
        <v>25045.0</v>
      </c>
      <c r="C992" s="135"/>
      <c r="D992" s="135">
        <v>29.0</v>
      </c>
      <c r="E992" s="135" t="s">
        <v>3533</v>
      </c>
      <c r="F992" s="135" t="s">
        <v>687</v>
      </c>
      <c r="G992" s="135" t="s">
        <v>158</v>
      </c>
      <c r="H992" s="135" t="s">
        <v>2965</v>
      </c>
      <c r="I992" s="135" t="s">
        <v>159</v>
      </c>
      <c r="J992" s="135">
        <v>1.0</v>
      </c>
      <c r="K992" s="135"/>
      <c r="L992" s="135">
        <v>400.0</v>
      </c>
      <c r="M992" s="135">
        <v>3000.0</v>
      </c>
      <c r="N992" s="135">
        <v>350.0</v>
      </c>
      <c r="O992" s="135">
        <v>0.484</v>
      </c>
      <c r="P992" s="136">
        <v>0.0</v>
      </c>
      <c r="Q992" s="137">
        <v>1.21</v>
      </c>
      <c r="R992" s="136">
        <v>46120.0</v>
      </c>
      <c r="S992" s="135" t="s">
        <v>3528</v>
      </c>
      <c r="T992" s="136"/>
      <c r="U992" s="135" t="s">
        <v>2966</v>
      </c>
      <c r="V992" s="135" t="s">
        <v>2967</v>
      </c>
      <c r="W992" s="135"/>
      <c r="X992" s="135" t="s">
        <v>2968</v>
      </c>
      <c r="Y992" s="135"/>
      <c r="Z992" s="135" t="s">
        <v>2858</v>
      </c>
      <c r="AA992" s="135"/>
      <c r="AB992" s="135"/>
      <c r="AC992" s="135"/>
      <c r="AD992" s="135">
        <v>46139.0</v>
      </c>
      <c r="AE992" s="135"/>
      <c r="AF992" s="135"/>
      <c r="AG992" s="135"/>
    </row>
    <row r="993" ht="21.75" hidden="1" customHeight="1">
      <c r="A993" s="135">
        <v>989.0</v>
      </c>
      <c r="B993" s="135">
        <v>25045.0</v>
      </c>
      <c r="C993" s="135"/>
      <c r="D993" s="135">
        <v>29.0</v>
      </c>
      <c r="E993" s="135" t="s">
        <v>3531</v>
      </c>
      <c r="F993" s="135" t="s">
        <v>701</v>
      </c>
      <c r="G993" s="135" t="s">
        <v>158</v>
      </c>
      <c r="H993" s="135" t="s">
        <v>2965</v>
      </c>
      <c r="I993" s="135" t="s">
        <v>160</v>
      </c>
      <c r="J993" s="135">
        <v>1.0</v>
      </c>
      <c r="K993" s="135"/>
      <c r="L993" s="135">
        <v>400.0</v>
      </c>
      <c r="M993" s="135">
        <v>3000.0</v>
      </c>
      <c r="N993" s="135">
        <v>350.0</v>
      </c>
      <c r="O993" s="135">
        <v>0.484</v>
      </c>
      <c r="P993" s="136">
        <v>0.0</v>
      </c>
      <c r="Q993" s="137">
        <v>1.21</v>
      </c>
      <c r="R993" s="136">
        <v>46120.0</v>
      </c>
      <c r="S993" s="135" t="s">
        <v>3528</v>
      </c>
      <c r="T993" s="136"/>
      <c r="U993" s="135" t="s">
        <v>2966</v>
      </c>
      <c r="V993" s="135" t="s">
        <v>2967</v>
      </c>
      <c r="W993" s="135"/>
      <c r="X993" s="135" t="s">
        <v>2969</v>
      </c>
      <c r="Y993" s="135"/>
      <c r="Z993" s="135" t="s">
        <v>2858</v>
      </c>
      <c r="AA993" s="135"/>
      <c r="AB993" s="135"/>
      <c r="AC993" s="135"/>
      <c r="AD993" s="135">
        <v>46136.0</v>
      </c>
      <c r="AE993" s="135"/>
      <c r="AF993" s="135"/>
      <c r="AG993" s="135"/>
    </row>
    <row r="994" ht="21.75" hidden="1" customHeight="1">
      <c r="A994" s="135">
        <v>990.0</v>
      </c>
      <c r="B994" s="135">
        <v>25045.0</v>
      </c>
      <c r="C994" s="135"/>
      <c r="D994" s="135">
        <v>29.0</v>
      </c>
      <c r="E994" s="135" t="s">
        <v>3527</v>
      </c>
      <c r="F994" s="135" t="s">
        <v>727</v>
      </c>
      <c r="G994" s="135" t="s">
        <v>158</v>
      </c>
      <c r="H994" s="135" t="s">
        <v>2965</v>
      </c>
      <c r="I994" s="135" t="s">
        <v>161</v>
      </c>
      <c r="J994" s="135">
        <v>1.0</v>
      </c>
      <c r="K994" s="135"/>
      <c r="L994" s="135">
        <v>400.0</v>
      </c>
      <c r="M994" s="135">
        <v>2950.0</v>
      </c>
      <c r="N994" s="135">
        <v>350.0</v>
      </c>
      <c r="O994" s="135">
        <v>0.477</v>
      </c>
      <c r="P994" s="136">
        <v>0.0</v>
      </c>
      <c r="Q994" s="137">
        <v>1.1925</v>
      </c>
      <c r="R994" s="136">
        <v>46120.0</v>
      </c>
      <c r="S994" s="135" t="s">
        <v>3528</v>
      </c>
      <c r="T994" s="136"/>
      <c r="U994" s="135" t="s">
        <v>2966</v>
      </c>
      <c r="V994" s="135" t="s">
        <v>2967</v>
      </c>
      <c r="W994" s="135"/>
      <c r="X994" s="135" t="s">
        <v>2968</v>
      </c>
      <c r="Y994" s="135"/>
      <c r="Z994" s="135" t="s">
        <v>2858</v>
      </c>
      <c r="AA994" s="135"/>
      <c r="AB994" s="135"/>
      <c r="AC994" s="135"/>
      <c r="AD994" s="135">
        <v>46136.0</v>
      </c>
      <c r="AE994" s="135"/>
      <c r="AF994" s="135"/>
      <c r="AG994" s="135"/>
    </row>
    <row r="995" ht="21.75" hidden="1" customHeight="1">
      <c r="A995" s="135">
        <v>991.0</v>
      </c>
      <c r="B995" s="135">
        <v>25045.0</v>
      </c>
      <c r="C995" s="135"/>
      <c r="D995" s="135">
        <v>29.0</v>
      </c>
      <c r="E995" s="135" t="s">
        <v>3519</v>
      </c>
      <c r="F995" s="135" t="s">
        <v>788</v>
      </c>
      <c r="G995" s="135" t="s">
        <v>158</v>
      </c>
      <c r="H995" s="135"/>
      <c r="I995" s="135" t="s">
        <v>162</v>
      </c>
      <c r="J995" s="135">
        <v>1.0</v>
      </c>
      <c r="K995" s="135"/>
      <c r="L995" s="135">
        <v>400.0</v>
      </c>
      <c r="M995" s="135">
        <v>2950.0</v>
      </c>
      <c r="N995" s="135">
        <v>350.0</v>
      </c>
      <c r="O995" s="135">
        <v>0.477</v>
      </c>
      <c r="P995" s="136">
        <v>0.0</v>
      </c>
      <c r="Q995" s="137">
        <v>1.1925</v>
      </c>
      <c r="R995" s="136">
        <v>46120.0</v>
      </c>
      <c r="S995" s="135" t="s">
        <v>3528</v>
      </c>
      <c r="T995" s="136"/>
      <c r="U995" s="135" t="s">
        <v>2966</v>
      </c>
      <c r="V995" s="135" t="s">
        <v>2967</v>
      </c>
      <c r="W995" s="135"/>
      <c r="X995" s="135"/>
      <c r="Y995" s="135"/>
      <c r="Z995" s="135" t="s">
        <v>2858</v>
      </c>
      <c r="AA995" s="135"/>
      <c r="AB995" s="135"/>
      <c r="AC995" s="135"/>
      <c r="AD995" s="135">
        <v>0.0</v>
      </c>
      <c r="AE995" s="135"/>
      <c r="AF995" s="135"/>
      <c r="AG995" s="135"/>
    </row>
    <row r="996" ht="21.75" hidden="1" customHeight="1">
      <c r="A996" s="135">
        <v>992.0</v>
      </c>
      <c r="B996" s="135">
        <v>25045.0</v>
      </c>
      <c r="C996" s="135"/>
      <c r="D996" s="135">
        <v>29.0</v>
      </c>
      <c r="E996" s="135" t="s">
        <v>3519</v>
      </c>
      <c r="F996" s="135" t="s">
        <v>789</v>
      </c>
      <c r="G996" s="135" t="s">
        <v>158</v>
      </c>
      <c r="H996" s="135"/>
      <c r="I996" s="135" t="s">
        <v>162</v>
      </c>
      <c r="J996" s="135">
        <v>1.0</v>
      </c>
      <c r="K996" s="135"/>
      <c r="L996" s="135">
        <v>400.0</v>
      </c>
      <c r="M996" s="135">
        <v>2950.0</v>
      </c>
      <c r="N996" s="135">
        <v>350.0</v>
      </c>
      <c r="O996" s="135">
        <v>0.477</v>
      </c>
      <c r="P996" s="136">
        <v>0.0</v>
      </c>
      <c r="Q996" s="137">
        <v>1.1925</v>
      </c>
      <c r="R996" s="136">
        <v>46120.0</v>
      </c>
      <c r="S996" s="135" t="s">
        <v>3528</v>
      </c>
      <c r="T996" s="136"/>
      <c r="U996" s="135" t="s">
        <v>2966</v>
      </c>
      <c r="V996" s="135" t="s">
        <v>2967</v>
      </c>
      <c r="W996" s="135"/>
      <c r="X996" s="135"/>
      <c r="Y996" s="135"/>
      <c r="Z996" s="135" t="s">
        <v>2858</v>
      </c>
      <c r="AA996" s="135"/>
      <c r="AB996" s="135"/>
      <c r="AC996" s="135"/>
      <c r="AD996" s="135">
        <v>0.0</v>
      </c>
      <c r="AE996" s="135"/>
      <c r="AF996" s="135"/>
      <c r="AG996" s="135"/>
    </row>
    <row r="997" ht="21.75" hidden="1" customHeight="1">
      <c r="A997" s="135">
        <v>993.0</v>
      </c>
      <c r="B997" s="135">
        <v>25045.0</v>
      </c>
      <c r="C997" s="135"/>
      <c r="D997" s="135">
        <v>29.0</v>
      </c>
      <c r="E997" s="135" t="s">
        <v>3520</v>
      </c>
      <c r="F997" s="135" t="s">
        <v>795</v>
      </c>
      <c r="G997" s="135" t="s">
        <v>158</v>
      </c>
      <c r="H997" s="135" t="s">
        <v>2965</v>
      </c>
      <c r="I997" s="135" t="s">
        <v>163</v>
      </c>
      <c r="J997" s="135">
        <v>1.0</v>
      </c>
      <c r="K997" s="135"/>
      <c r="L997" s="135">
        <v>400.0</v>
      </c>
      <c r="M997" s="135">
        <v>2950.0</v>
      </c>
      <c r="N997" s="135">
        <v>350.0</v>
      </c>
      <c r="O997" s="135">
        <v>0.477</v>
      </c>
      <c r="P997" s="136">
        <v>0.0</v>
      </c>
      <c r="Q997" s="137">
        <v>1.1925</v>
      </c>
      <c r="R997" s="136">
        <v>46120.0</v>
      </c>
      <c r="S997" s="135" t="s">
        <v>3528</v>
      </c>
      <c r="T997" s="136"/>
      <c r="U997" s="135" t="s">
        <v>2966</v>
      </c>
      <c r="V997" s="135" t="s">
        <v>2967</v>
      </c>
      <c r="W997" s="135"/>
      <c r="X997" s="135" t="s">
        <v>2969</v>
      </c>
      <c r="Y997" s="135"/>
      <c r="Z997" s="135" t="s">
        <v>2858</v>
      </c>
      <c r="AA997" s="135"/>
      <c r="AB997" s="135"/>
      <c r="AC997" s="135"/>
      <c r="AD997" s="135">
        <v>46139.0</v>
      </c>
      <c r="AE997" s="135"/>
      <c r="AF997" s="135"/>
      <c r="AG997" s="135"/>
    </row>
    <row r="998" ht="21.75" hidden="1" customHeight="1">
      <c r="A998" s="135">
        <v>994.0</v>
      </c>
      <c r="B998" s="135">
        <v>25045.0</v>
      </c>
      <c r="C998" s="135"/>
      <c r="D998" s="135">
        <v>29.0</v>
      </c>
      <c r="E998" s="135" t="s">
        <v>3520</v>
      </c>
      <c r="F998" s="135" t="s">
        <v>796</v>
      </c>
      <c r="G998" s="135" t="s">
        <v>158</v>
      </c>
      <c r="H998" s="135" t="s">
        <v>2965</v>
      </c>
      <c r="I998" s="135" t="s">
        <v>163</v>
      </c>
      <c r="J998" s="135">
        <v>1.0</v>
      </c>
      <c r="K998" s="135"/>
      <c r="L998" s="135">
        <v>400.0</v>
      </c>
      <c r="M998" s="135">
        <v>2800.0</v>
      </c>
      <c r="N998" s="135">
        <v>350.0</v>
      </c>
      <c r="O998" s="135">
        <v>0.477</v>
      </c>
      <c r="P998" s="136">
        <v>0.0</v>
      </c>
      <c r="Q998" s="137">
        <v>1.1925</v>
      </c>
      <c r="R998" s="136">
        <v>46120.0</v>
      </c>
      <c r="S998" s="135" t="s">
        <v>3528</v>
      </c>
      <c r="T998" s="136"/>
      <c r="U998" s="135" t="s">
        <v>2966</v>
      </c>
      <c r="V998" s="135" t="s">
        <v>2967</v>
      </c>
      <c r="W998" s="135"/>
      <c r="X998" s="135" t="s">
        <v>2968</v>
      </c>
      <c r="Y998" s="135"/>
      <c r="Z998" s="135" t="s">
        <v>2858</v>
      </c>
      <c r="AA998" s="135"/>
      <c r="AB998" s="135"/>
      <c r="AC998" s="135"/>
      <c r="AD998" s="135">
        <v>46141.0</v>
      </c>
      <c r="AE998" s="135"/>
      <c r="AF998" s="135"/>
      <c r="AG998" s="135"/>
    </row>
    <row r="999" ht="21.75" hidden="1" customHeight="1">
      <c r="A999" s="135">
        <v>995.0</v>
      </c>
      <c r="B999" s="135">
        <v>25045.0</v>
      </c>
      <c r="C999" s="135"/>
      <c r="D999" s="135">
        <v>29.0</v>
      </c>
      <c r="E999" s="135" t="s">
        <v>3523</v>
      </c>
      <c r="F999" s="135" t="s">
        <v>818</v>
      </c>
      <c r="G999" s="135" t="s">
        <v>158</v>
      </c>
      <c r="H999" s="135" t="s">
        <v>2965</v>
      </c>
      <c r="I999" s="135" t="s">
        <v>164</v>
      </c>
      <c r="J999" s="135">
        <v>1.0</v>
      </c>
      <c r="K999" s="135"/>
      <c r="L999" s="135">
        <v>400.0</v>
      </c>
      <c r="M999" s="135">
        <v>2800.0</v>
      </c>
      <c r="N999" s="135">
        <v>350.0</v>
      </c>
      <c r="O999" s="135">
        <v>0.456</v>
      </c>
      <c r="P999" s="136">
        <v>0.0</v>
      </c>
      <c r="Q999" s="137">
        <v>1.1400000000000001</v>
      </c>
      <c r="R999" s="136">
        <v>46120.0</v>
      </c>
      <c r="S999" s="135" t="s">
        <v>3528</v>
      </c>
      <c r="T999" s="136"/>
      <c r="U999" s="135" t="s">
        <v>2966</v>
      </c>
      <c r="V999" s="135" t="s">
        <v>2967</v>
      </c>
      <c r="W999" s="135"/>
      <c r="X999" s="135" t="s">
        <v>2969</v>
      </c>
      <c r="Y999" s="135"/>
      <c r="Z999" s="135" t="s">
        <v>2858</v>
      </c>
      <c r="AA999" s="135"/>
      <c r="AB999" s="135"/>
      <c r="AC999" s="135"/>
      <c r="AD999" s="135">
        <v>46141.0</v>
      </c>
      <c r="AE999" s="135"/>
      <c r="AF999" s="135"/>
      <c r="AG999" s="135"/>
    </row>
    <row r="1000" ht="21.75" hidden="1" customHeight="1">
      <c r="A1000" s="135">
        <v>996.0</v>
      </c>
      <c r="B1000" s="135">
        <v>25045.0</v>
      </c>
      <c r="C1000" s="135"/>
      <c r="D1000" s="135">
        <v>29.0</v>
      </c>
      <c r="E1000" s="135" t="s">
        <v>3523</v>
      </c>
      <c r="F1000" s="135" t="s">
        <v>819</v>
      </c>
      <c r="G1000" s="135" t="s">
        <v>158</v>
      </c>
      <c r="H1000" s="135" t="s">
        <v>2965</v>
      </c>
      <c r="I1000" s="135" t="s">
        <v>164</v>
      </c>
      <c r="J1000" s="135">
        <v>1.0</v>
      </c>
      <c r="K1000" s="135"/>
      <c r="L1000" s="135">
        <v>400.0</v>
      </c>
      <c r="M1000" s="135">
        <v>2950.0</v>
      </c>
      <c r="N1000" s="135">
        <v>350.0</v>
      </c>
      <c r="O1000" s="135">
        <v>0.477</v>
      </c>
      <c r="P1000" s="136">
        <v>0.0</v>
      </c>
      <c r="Q1000" s="137">
        <v>1.1925</v>
      </c>
      <c r="R1000" s="136">
        <v>46120.0</v>
      </c>
      <c r="S1000" s="135" t="s">
        <v>3528</v>
      </c>
      <c r="T1000" s="136"/>
      <c r="U1000" s="135" t="s">
        <v>2966</v>
      </c>
      <c r="V1000" s="135" t="s">
        <v>2967</v>
      </c>
      <c r="W1000" s="135"/>
      <c r="X1000" s="135" t="s">
        <v>2968</v>
      </c>
      <c r="Y1000" s="135"/>
      <c r="Z1000" s="135" t="s">
        <v>2858</v>
      </c>
      <c r="AA1000" s="135"/>
      <c r="AB1000" s="135"/>
      <c r="AC1000" s="135"/>
      <c r="AD1000" s="135">
        <v>46143.0</v>
      </c>
      <c r="AE1000" s="135"/>
      <c r="AF1000" s="135"/>
      <c r="AG1000" s="135"/>
    </row>
    <row r="1001" ht="21.75" hidden="1" customHeight="1">
      <c r="A1001" s="135">
        <v>997.0</v>
      </c>
      <c r="B1001" s="135">
        <v>25045.0</v>
      </c>
      <c r="C1001" s="135"/>
      <c r="D1001" s="135">
        <v>29.0</v>
      </c>
      <c r="E1001" s="135" t="s">
        <v>3555</v>
      </c>
      <c r="F1001" s="135" t="s">
        <v>836</v>
      </c>
      <c r="G1001" s="135" t="s">
        <v>158</v>
      </c>
      <c r="H1001" s="135" t="s">
        <v>2965</v>
      </c>
      <c r="I1001" s="135" t="s">
        <v>165</v>
      </c>
      <c r="J1001" s="135">
        <v>1.0</v>
      </c>
      <c r="K1001" s="135"/>
      <c r="L1001" s="135">
        <v>400.0</v>
      </c>
      <c r="M1001" s="135">
        <v>2950.0</v>
      </c>
      <c r="N1001" s="135">
        <v>350.0</v>
      </c>
      <c r="O1001" s="135">
        <v>0.477</v>
      </c>
      <c r="P1001" s="136">
        <v>0.0</v>
      </c>
      <c r="Q1001" s="137">
        <v>1.1925</v>
      </c>
      <c r="R1001" s="136">
        <v>46120.0</v>
      </c>
      <c r="S1001" s="135" t="s">
        <v>3528</v>
      </c>
      <c r="T1001" s="136"/>
      <c r="U1001" s="135" t="s">
        <v>2966</v>
      </c>
      <c r="V1001" s="135" t="s">
        <v>2967</v>
      </c>
      <c r="W1001" s="135"/>
      <c r="X1001" s="135" t="s">
        <v>2969</v>
      </c>
      <c r="Y1001" s="135"/>
      <c r="Z1001" s="135" t="s">
        <v>2858</v>
      </c>
      <c r="AA1001" s="135"/>
      <c r="AB1001" s="135"/>
      <c r="AC1001" s="135"/>
      <c r="AD1001" s="135">
        <v>46143.0</v>
      </c>
      <c r="AE1001" s="135"/>
      <c r="AF1001" s="135"/>
      <c r="AG1001" s="135"/>
    </row>
    <row r="1002" ht="21.75" hidden="1" customHeight="1">
      <c r="A1002" s="135">
        <v>998.0</v>
      </c>
      <c r="B1002" s="135">
        <v>25045.0</v>
      </c>
      <c r="C1002" s="135"/>
      <c r="D1002" s="135">
        <v>29.0</v>
      </c>
      <c r="E1002" s="135" t="s">
        <v>3557</v>
      </c>
      <c r="F1002" s="135" t="s">
        <v>852</v>
      </c>
      <c r="G1002" s="135" t="s">
        <v>158</v>
      </c>
      <c r="H1002" s="135" t="s">
        <v>2965</v>
      </c>
      <c r="I1002" s="135" t="s">
        <v>166</v>
      </c>
      <c r="J1002" s="135">
        <v>1.0</v>
      </c>
      <c r="K1002" s="135"/>
      <c r="L1002" s="135">
        <v>400.0</v>
      </c>
      <c r="M1002" s="135">
        <v>2590.0</v>
      </c>
      <c r="N1002" s="135">
        <v>350.0</v>
      </c>
      <c r="O1002" s="135">
        <v>0.427</v>
      </c>
      <c r="P1002" s="136">
        <v>0.0</v>
      </c>
      <c r="Q1002" s="137">
        <v>1.0675</v>
      </c>
      <c r="R1002" s="136">
        <v>46120.0</v>
      </c>
      <c r="S1002" s="135" t="s">
        <v>3528</v>
      </c>
      <c r="T1002" s="136"/>
      <c r="U1002" s="135" t="s">
        <v>2966</v>
      </c>
      <c r="V1002" s="135" t="s">
        <v>2967</v>
      </c>
      <c r="W1002" s="135"/>
      <c r="X1002" s="135" t="s">
        <v>2969</v>
      </c>
      <c r="Y1002" s="135"/>
      <c r="Z1002" s="135" t="s">
        <v>2858</v>
      </c>
      <c r="AA1002" s="135"/>
      <c r="AB1002" s="135"/>
      <c r="AC1002" s="135"/>
      <c r="AD1002" s="135">
        <v>46146.0</v>
      </c>
      <c r="AE1002" s="135"/>
      <c r="AF1002" s="135"/>
      <c r="AG1002" s="135"/>
    </row>
    <row r="1003" ht="21.75" hidden="1" customHeight="1">
      <c r="A1003" s="135">
        <v>999.0</v>
      </c>
      <c r="B1003" s="135">
        <v>25045.0</v>
      </c>
      <c r="C1003" s="135"/>
      <c r="D1003" s="135">
        <v>29.0</v>
      </c>
      <c r="E1003" s="135" t="s">
        <v>3559</v>
      </c>
      <c r="F1003" s="135" t="s">
        <v>868</v>
      </c>
      <c r="G1003" s="135" t="s">
        <v>158</v>
      </c>
      <c r="H1003" s="135" t="s">
        <v>2965</v>
      </c>
      <c r="I1003" s="135" t="s">
        <v>167</v>
      </c>
      <c r="J1003" s="135">
        <v>1.0</v>
      </c>
      <c r="K1003" s="135"/>
      <c r="L1003" s="135">
        <v>400.0</v>
      </c>
      <c r="M1003" s="135">
        <v>2580.0</v>
      </c>
      <c r="N1003" s="135">
        <v>350.0</v>
      </c>
      <c r="O1003" s="135">
        <v>0.425</v>
      </c>
      <c r="P1003" s="136">
        <v>0.0</v>
      </c>
      <c r="Q1003" s="137">
        <v>1.0625</v>
      </c>
      <c r="R1003" s="136">
        <v>46120.0</v>
      </c>
      <c r="S1003" s="135" t="s">
        <v>3528</v>
      </c>
      <c r="T1003" s="136"/>
      <c r="U1003" s="135" t="s">
        <v>2966</v>
      </c>
      <c r="V1003" s="135" t="s">
        <v>2967</v>
      </c>
      <c r="W1003" s="135"/>
      <c r="X1003" s="135" t="s">
        <v>2969</v>
      </c>
      <c r="Y1003" s="135"/>
      <c r="Z1003" s="135" t="s">
        <v>2858</v>
      </c>
      <c r="AA1003" s="135"/>
      <c r="AB1003" s="135"/>
      <c r="AC1003" s="135" t="s">
        <v>2863</v>
      </c>
      <c r="AD1003" s="135">
        <v>0.0</v>
      </c>
      <c r="AE1003" s="135"/>
      <c r="AF1003" s="135"/>
      <c r="AG1003" s="135"/>
    </row>
    <row r="1004" ht="21.75" hidden="1" customHeight="1">
      <c r="A1004" s="135">
        <v>1000.0</v>
      </c>
      <c r="B1004" s="135">
        <v>25045.0</v>
      </c>
      <c r="C1004" s="135"/>
      <c r="D1004" s="135">
        <v>29.0</v>
      </c>
      <c r="E1004" s="135" t="s">
        <v>3558</v>
      </c>
      <c r="F1004" s="135" t="s">
        <v>884</v>
      </c>
      <c r="G1004" s="135" t="s">
        <v>158</v>
      </c>
      <c r="H1004" s="135" t="s">
        <v>2965</v>
      </c>
      <c r="I1004" s="135" t="s">
        <v>168</v>
      </c>
      <c r="J1004" s="135">
        <v>1.0</v>
      </c>
      <c r="K1004" s="135"/>
      <c r="L1004" s="135">
        <v>400.0</v>
      </c>
      <c r="M1004" s="135">
        <v>2580.0</v>
      </c>
      <c r="N1004" s="135">
        <v>350.0</v>
      </c>
      <c r="O1004" s="135">
        <v>0.425</v>
      </c>
      <c r="P1004" s="136">
        <v>0.0</v>
      </c>
      <c r="Q1004" s="137">
        <v>1.0625</v>
      </c>
      <c r="R1004" s="136">
        <v>46120.0</v>
      </c>
      <c r="S1004" s="135" t="s">
        <v>3528</v>
      </c>
      <c r="T1004" s="136"/>
      <c r="U1004" s="135" t="s">
        <v>2966</v>
      </c>
      <c r="V1004" s="135" t="s">
        <v>2967</v>
      </c>
      <c r="W1004" s="135"/>
      <c r="X1004" s="135" t="s">
        <v>2969</v>
      </c>
      <c r="Y1004" s="135"/>
      <c r="Z1004" s="135" t="s">
        <v>2858</v>
      </c>
      <c r="AA1004" s="135"/>
      <c r="AB1004" s="135"/>
      <c r="AC1004" s="135"/>
      <c r="AD1004" s="135">
        <v>46158.0</v>
      </c>
      <c r="AE1004" s="135"/>
      <c r="AF1004" s="135"/>
      <c r="AG1004" s="135"/>
    </row>
    <row r="1005" ht="21.75" hidden="1" customHeight="1">
      <c r="A1005" s="135">
        <v>1001.0</v>
      </c>
      <c r="B1005" s="135">
        <v>25045.0</v>
      </c>
      <c r="C1005" s="135"/>
      <c r="D1005" s="135">
        <v>29.0</v>
      </c>
      <c r="E1005" s="135" t="s">
        <v>3517</v>
      </c>
      <c r="F1005" s="135" t="s">
        <v>900</v>
      </c>
      <c r="G1005" s="135" t="s">
        <v>158</v>
      </c>
      <c r="H1005" s="135" t="s">
        <v>2965</v>
      </c>
      <c r="I1005" s="135" t="s">
        <v>169</v>
      </c>
      <c r="J1005" s="135">
        <v>1.0</v>
      </c>
      <c r="K1005" s="135"/>
      <c r="L1005" s="135">
        <v>400.0</v>
      </c>
      <c r="M1005" s="135">
        <v>2590.0</v>
      </c>
      <c r="N1005" s="135">
        <v>350.0</v>
      </c>
      <c r="O1005" s="135">
        <v>0.427</v>
      </c>
      <c r="P1005" s="136">
        <v>0.0</v>
      </c>
      <c r="Q1005" s="137">
        <v>1.0675</v>
      </c>
      <c r="R1005" s="136">
        <v>46120.0</v>
      </c>
      <c r="S1005" s="135" t="s">
        <v>3528</v>
      </c>
      <c r="T1005" s="136"/>
      <c r="U1005" s="135" t="s">
        <v>2966</v>
      </c>
      <c r="V1005" s="135" t="s">
        <v>2967</v>
      </c>
      <c r="W1005" s="135"/>
      <c r="X1005" s="135" t="s">
        <v>2969</v>
      </c>
      <c r="Y1005" s="135"/>
      <c r="Z1005" s="135" t="s">
        <v>2858</v>
      </c>
      <c r="AA1005" s="135"/>
      <c r="AB1005" s="135"/>
      <c r="AC1005" s="135" t="s">
        <v>2863</v>
      </c>
      <c r="AD1005" s="135">
        <v>0.0</v>
      </c>
      <c r="AE1005" s="135"/>
      <c r="AF1005" s="135"/>
      <c r="AG1005" s="135"/>
    </row>
    <row r="1006" ht="21.75" hidden="1" customHeight="1">
      <c r="A1006" s="135">
        <v>1002.0</v>
      </c>
      <c r="B1006" s="135">
        <v>25045.0</v>
      </c>
      <c r="C1006" s="135"/>
      <c r="D1006" s="135">
        <v>29.0</v>
      </c>
      <c r="E1006" s="135" t="s">
        <v>3560</v>
      </c>
      <c r="F1006" s="135" t="s">
        <v>915</v>
      </c>
      <c r="G1006" s="135" t="s">
        <v>158</v>
      </c>
      <c r="H1006" s="135" t="s">
        <v>2853</v>
      </c>
      <c r="I1006" s="135" t="s">
        <v>170</v>
      </c>
      <c r="J1006" s="135">
        <v>1.0</v>
      </c>
      <c r="K1006" s="135"/>
      <c r="L1006" s="135">
        <v>1635.0</v>
      </c>
      <c r="M1006" s="135">
        <v>1025.0</v>
      </c>
      <c r="N1006" s="135">
        <v>120.0</v>
      </c>
      <c r="O1006" s="135">
        <v>0.324</v>
      </c>
      <c r="P1006" s="136">
        <v>0.0</v>
      </c>
      <c r="Q1006" s="137">
        <v>0.81</v>
      </c>
      <c r="R1006" s="136">
        <v>46120.0</v>
      </c>
      <c r="S1006" s="135" t="s">
        <v>3528</v>
      </c>
      <c r="T1006" s="136"/>
      <c r="U1006" s="135" t="s">
        <v>2864</v>
      </c>
      <c r="V1006" s="135" t="s">
        <v>2953</v>
      </c>
      <c r="W1006" s="135" t="s">
        <v>3561</v>
      </c>
      <c r="X1006" s="135"/>
      <c r="Y1006" s="135"/>
      <c r="Z1006" s="135" t="s">
        <v>2858</v>
      </c>
      <c r="AA1006" s="135"/>
      <c r="AB1006" s="135"/>
      <c r="AC1006" s="135" t="s">
        <v>2863</v>
      </c>
      <c r="AD1006" s="135">
        <v>0.0</v>
      </c>
      <c r="AE1006" s="135"/>
      <c r="AF1006" s="135"/>
      <c r="AG1006" s="135"/>
    </row>
    <row r="1007" ht="21.75" hidden="1" customHeight="1">
      <c r="A1007" s="135">
        <v>1003.0</v>
      </c>
      <c r="B1007" s="135">
        <v>25045.0</v>
      </c>
      <c r="C1007" s="135"/>
      <c r="D1007" s="135">
        <v>29.0</v>
      </c>
      <c r="E1007" s="135" t="s">
        <v>3560</v>
      </c>
      <c r="F1007" s="135" t="s">
        <v>916</v>
      </c>
      <c r="G1007" s="135" t="s">
        <v>158</v>
      </c>
      <c r="H1007" s="135" t="s">
        <v>2965</v>
      </c>
      <c r="I1007" s="135" t="s">
        <v>170</v>
      </c>
      <c r="J1007" s="135">
        <v>1.0</v>
      </c>
      <c r="K1007" s="135"/>
      <c r="L1007" s="135">
        <v>400.0</v>
      </c>
      <c r="M1007" s="135">
        <v>2650.0</v>
      </c>
      <c r="N1007" s="135">
        <v>350.0</v>
      </c>
      <c r="O1007" s="135">
        <v>0.435</v>
      </c>
      <c r="P1007" s="136">
        <v>0.0</v>
      </c>
      <c r="Q1007" s="137">
        <v>1.0875</v>
      </c>
      <c r="R1007" s="136">
        <v>46120.0</v>
      </c>
      <c r="S1007" s="135" t="s">
        <v>3528</v>
      </c>
      <c r="T1007" s="136"/>
      <c r="U1007" s="135" t="s">
        <v>2966</v>
      </c>
      <c r="V1007" s="135" t="s">
        <v>2967</v>
      </c>
      <c r="W1007" s="135"/>
      <c r="X1007" s="135" t="s">
        <v>2968</v>
      </c>
      <c r="Y1007" s="135"/>
      <c r="Z1007" s="135" t="s">
        <v>2858</v>
      </c>
      <c r="AA1007" s="135"/>
      <c r="AB1007" s="135"/>
      <c r="AC1007" s="135" t="s">
        <v>2863</v>
      </c>
      <c r="AD1007" s="135">
        <v>0.0</v>
      </c>
      <c r="AE1007" s="135"/>
      <c r="AF1007" s="135"/>
      <c r="AG1007" s="135"/>
    </row>
    <row r="1008" ht="21.75" hidden="1" customHeight="1">
      <c r="A1008" s="135">
        <v>1004.0</v>
      </c>
      <c r="B1008" s="135">
        <v>25045.0</v>
      </c>
      <c r="C1008" s="135"/>
      <c r="D1008" s="135">
        <v>29.0</v>
      </c>
      <c r="E1008" s="135" t="s">
        <v>3562</v>
      </c>
      <c r="F1008" s="135" t="s">
        <v>931</v>
      </c>
      <c r="G1008" s="135" t="s">
        <v>158</v>
      </c>
      <c r="H1008" s="135" t="s">
        <v>2853</v>
      </c>
      <c r="I1008" s="135" t="s">
        <v>171</v>
      </c>
      <c r="J1008" s="135">
        <v>1.0</v>
      </c>
      <c r="K1008" s="135"/>
      <c r="L1008" s="135">
        <v>1710.0</v>
      </c>
      <c r="M1008" s="135">
        <v>1180.0</v>
      </c>
      <c r="N1008" s="135">
        <v>120.0</v>
      </c>
      <c r="O1008" s="135">
        <v>0.345</v>
      </c>
      <c r="P1008" s="136">
        <v>0.0</v>
      </c>
      <c r="Q1008" s="137">
        <v>0.8624999999999999</v>
      </c>
      <c r="R1008" s="136">
        <v>46120.0</v>
      </c>
      <c r="S1008" s="135" t="s">
        <v>3528</v>
      </c>
      <c r="T1008" s="136"/>
      <c r="U1008" s="135" t="s">
        <v>2864</v>
      </c>
      <c r="V1008" s="135" t="s">
        <v>2953</v>
      </c>
      <c r="W1008" s="135" t="s">
        <v>3563</v>
      </c>
      <c r="X1008" s="135"/>
      <c r="Y1008" s="135"/>
      <c r="Z1008" s="135" t="s">
        <v>2858</v>
      </c>
      <c r="AA1008" s="135"/>
      <c r="AB1008" s="135"/>
      <c r="AC1008" s="135" t="s">
        <v>2863</v>
      </c>
      <c r="AD1008" s="135">
        <v>0.0</v>
      </c>
      <c r="AE1008" s="135"/>
      <c r="AF1008" s="135"/>
      <c r="AG1008" s="135"/>
    </row>
    <row r="1009" ht="21.75" hidden="1" customHeight="1">
      <c r="A1009" s="135">
        <v>1005.0</v>
      </c>
      <c r="B1009" s="135">
        <v>25045.0</v>
      </c>
      <c r="C1009" s="135"/>
      <c r="D1009" s="135">
        <v>29.0</v>
      </c>
      <c r="E1009" s="135" t="s">
        <v>3562</v>
      </c>
      <c r="F1009" s="135" t="s">
        <v>932</v>
      </c>
      <c r="G1009" s="135" t="s">
        <v>158</v>
      </c>
      <c r="H1009" s="135" t="s">
        <v>2965</v>
      </c>
      <c r="I1009" s="135" t="s">
        <v>171</v>
      </c>
      <c r="J1009" s="135">
        <v>1.0</v>
      </c>
      <c r="K1009" s="135"/>
      <c r="L1009" s="135">
        <v>400.0</v>
      </c>
      <c r="M1009" s="135">
        <v>2800.0</v>
      </c>
      <c r="N1009" s="135">
        <v>350.0</v>
      </c>
      <c r="O1009" s="135">
        <v>0.456</v>
      </c>
      <c r="P1009" s="136">
        <v>0.0</v>
      </c>
      <c r="Q1009" s="137">
        <v>1.1400000000000001</v>
      </c>
      <c r="R1009" s="136">
        <v>46120.0</v>
      </c>
      <c r="S1009" s="135" t="s">
        <v>3528</v>
      </c>
      <c r="T1009" s="136"/>
      <c r="U1009" s="135" t="s">
        <v>2966</v>
      </c>
      <c r="V1009" s="135" t="s">
        <v>2967</v>
      </c>
      <c r="W1009" s="135"/>
      <c r="X1009" s="135" t="s">
        <v>2968</v>
      </c>
      <c r="Y1009" s="135"/>
      <c r="Z1009" s="135" t="s">
        <v>2858</v>
      </c>
      <c r="AA1009" s="135"/>
      <c r="AB1009" s="135"/>
      <c r="AC1009" s="135" t="s">
        <v>2863</v>
      </c>
      <c r="AD1009" s="135">
        <v>0.0</v>
      </c>
      <c r="AE1009" s="135"/>
      <c r="AF1009" s="135"/>
      <c r="AG1009" s="135"/>
    </row>
    <row r="1010" ht="21.75" hidden="1" customHeight="1">
      <c r="A1010" s="135">
        <v>1006.0</v>
      </c>
      <c r="B1010" s="135">
        <v>25045.0</v>
      </c>
      <c r="C1010" s="135"/>
      <c r="D1010" s="135">
        <v>29.0</v>
      </c>
      <c r="E1010" s="135" t="s">
        <v>3513</v>
      </c>
      <c r="F1010" s="135" t="s">
        <v>949</v>
      </c>
      <c r="G1010" s="135" t="s">
        <v>158</v>
      </c>
      <c r="H1010" s="135" t="s">
        <v>2965</v>
      </c>
      <c r="I1010" s="135" t="s">
        <v>172</v>
      </c>
      <c r="J1010" s="135">
        <v>1.0</v>
      </c>
      <c r="K1010" s="135"/>
      <c r="L1010" s="135">
        <v>400.0</v>
      </c>
      <c r="M1010" s="135">
        <v>3300.0</v>
      </c>
      <c r="N1010" s="135">
        <v>350.0</v>
      </c>
      <c r="O1010" s="135">
        <v>0.526</v>
      </c>
      <c r="P1010" s="136">
        <v>0.0</v>
      </c>
      <c r="Q1010" s="137">
        <v>1.315</v>
      </c>
      <c r="R1010" s="136">
        <v>46120.0</v>
      </c>
      <c r="S1010" s="135" t="s">
        <v>3528</v>
      </c>
      <c r="T1010" s="136"/>
      <c r="U1010" s="135" t="s">
        <v>2966</v>
      </c>
      <c r="V1010" s="135" t="s">
        <v>2967</v>
      </c>
      <c r="W1010" s="135"/>
      <c r="X1010" s="135" t="s">
        <v>2968</v>
      </c>
      <c r="Y1010" s="135"/>
      <c r="Z1010" s="135" t="s">
        <v>2858</v>
      </c>
      <c r="AA1010" s="135"/>
      <c r="AB1010" s="135"/>
      <c r="AC1010" s="135"/>
      <c r="AD1010" s="135">
        <v>46146.0</v>
      </c>
      <c r="AE1010" s="135"/>
      <c r="AF1010" s="135"/>
      <c r="AG1010" s="135"/>
    </row>
    <row r="1011" ht="21.75" hidden="1" customHeight="1">
      <c r="A1011" s="135">
        <v>1007.0</v>
      </c>
      <c r="B1011" s="135">
        <v>25045.0</v>
      </c>
      <c r="C1011" s="135"/>
      <c r="D1011" s="135">
        <v>29.0</v>
      </c>
      <c r="E1011" s="135" t="s">
        <v>3525</v>
      </c>
      <c r="F1011" s="135" t="s">
        <v>966</v>
      </c>
      <c r="G1011" s="135" t="s">
        <v>158</v>
      </c>
      <c r="H1011" s="135" t="s">
        <v>2965</v>
      </c>
      <c r="I1011" s="135" t="s">
        <v>173</v>
      </c>
      <c r="J1011" s="135">
        <v>1.0</v>
      </c>
      <c r="K1011" s="135"/>
      <c r="L1011" s="135">
        <v>400.0</v>
      </c>
      <c r="M1011" s="135">
        <v>3300.0</v>
      </c>
      <c r="N1011" s="135">
        <v>350.0</v>
      </c>
      <c r="O1011" s="135">
        <v>0.526</v>
      </c>
      <c r="P1011" s="136">
        <v>0.0</v>
      </c>
      <c r="Q1011" s="137">
        <v>1.315</v>
      </c>
      <c r="R1011" s="136">
        <v>46120.0</v>
      </c>
      <c r="S1011" s="135" t="s">
        <v>3528</v>
      </c>
      <c r="T1011" s="136"/>
      <c r="U1011" s="135" t="s">
        <v>2966</v>
      </c>
      <c r="V1011" s="135" t="s">
        <v>2967</v>
      </c>
      <c r="W1011" s="135"/>
      <c r="X1011" s="135" t="s">
        <v>2969</v>
      </c>
      <c r="Y1011" s="135"/>
      <c r="Z1011" s="135" t="s">
        <v>2858</v>
      </c>
      <c r="AA1011" s="135"/>
      <c r="AB1011" s="135"/>
      <c r="AC1011" s="135"/>
      <c r="AD1011" s="135">
        <v>46157.0</v>
      </c>
      <c r="AE1011" s="135"/>
      <c r="AF1011" s="135"/>
      <c r="AG1011" s="135"/>
    </row>
    <row r="1012" ht="21.75" hidden="1" customHeight="1">
      <c r="A1012" s="135">
        <v>1008.0</v>
      </c>
      <c r="B1012" s="135">
        <v>25045.0</v>
      </c>
      <c r="C1012" s="135"/>
      <c r="D1012" s="135">
        <v>29.0</v>
      </c>
      <c r="E1012" s="135" t="s">
        <v>3513</v>
      </c>
      <c r="F1012" s="135" t="s">
        <v>950</v>
      </c>
      <c r="G1012" s="135" t="s">
        <v>158</v>
      </c>
      <c r="H1012" s="135" t="s">
        <v>2853</v>
      </c>
      <c r="I1012" s="135" t="s">
        <v>172</v>
      </c>
      <c r="J1012" s="135">
        <v>1.0</v>
      </c>
      <c r="K1012" s="135"/>
      <c r="L1012" s="135">
        <v>1690.0</v>
      </c>
      <c r="M1012" s="135">
        <v>1680.0</v>
      </c>
      <c r="N1012" s="135">
        <v>120.0</v>
      </c>
      <c r="O1012" s="135">
        <v>0.431</v>
      </c>
      <c r="P1012" s="136">
        <v>0.0</v>
      </c>
      <c r="Q1012" s="137">
        <v>1.0775</v>
      </c>
      <c r="R1012" s="136">
        <v>46120.0</v>
      </c>
      <c r="S1012" s="135" t="s">
        <v>3528</v>
      </c>
      <c r="T1012" s="136"/>
      <c r="U1012" s="135" t="s">
        <v>2864</v>
      </c>
      <c r="V1012" s="135" t="s">
        <v>2873</v>
      </c>
      <c r="W1012" s="135" t="s">
        <v>3564</v>
      </c>
      <c r="X1012" s="135"/>
      <c r="Y1012" s="135"/>
      <c r="Z1012" s="135" t="s">
        <v>2858</v>
      </c>
      <c r="AA1012" s="135"/>
      <c r="AB1012" s="135"/>
      <c r="AC1012" s="135"/>
      <c r="AD1012" s="135">
        <v>46142.0</v>
      </c>
      <c r="AE1012" s="135"/>
      <c r="AF1012" s="135"/>
      <c r="AG1012" s="135"/>
    </row>
    <row r="1013" ht="21.75" hidden="1" customHeight="1">
      <c r="A1013" s="135">
        <v>1009.0</v>
      </c>
      <c r="B1013" s="135">
        <v>25045.0</v>
      </c>
      <c r="C1013" s="135"/>
      <c r="D1013" s="135">
        <v>29.0</v>
      </c>
      <c r="E1013" s="135" t="s">
        <v>3525</v>
      </c>
      <c r="F1013" s="135" t="s">
        <v>967</v>
      </c>
      <c r="G1013" s="135" t="s">
        <v>158</v>
      </c>
      <c r="H1013" s="135" t="s">
        <v>2853</v>
      </c>
      <c r="I1013" s="135" t="s">
        <v>173</v>
      </c>
      <c r="J1013" s="135">
        <v>1.0</v>
      </c>
      <c r="K1013" s="135"/>
      <c r="L1013" s="135">
        <v>2335.0</v>
      </c>
      <c r="M1013" s="135">
        <v>3600.0</v>
      </c>
      <c r="N1013" s="135">
        <v>120.0</v>
      </c>
      <c r="O1013" s="135">
        <v>0.685</v>
      </c>
      <c r="P1013" s="136">
        <v>0.0</v>
      </c>
      <c r="Q1013" s="137">
        <v>1.7125000000000001</v>
      </c>
      <c r="R1013" s="136">
        <v>46120.0</v>
      </c>
      <c r="S1013" s="135" t="s">
        <v>3528</v>
      </c>
      <c r="T1013" s="136"/>
      <c r="U1013" s="135" t="s">
        <v>2864</v>
      </c>
      <c r="V1013" s="135" t="s">
        <v>2951</v>
      </c>
      <c r="W1013" s="135" t="s">
        <v>3565</v>
      </c>
      <c r="X1013" s="135" t="s">
        <v>3566</v>
      </c>
      <c r="Y1013" s="135"/>
      <c r="Z1013" s="135" t="s">
        <v>2858</v>
      </c>
      <c r="AA1013" s="135"/>
      <c r="AB1013" s="135"/>
      <c r="AC1013" s="135"/>
      <c r="AD1013" s="135">
        <v>0.0</v>
      </c>
      <c r="AE1013" s="135"/>
      <c r="AF1013" s="135"/>
      <c r="AG1013" s="135"/>
    </row>
    <row r="1014" ht="21.75" hidden="1" customHeight="1">
      <c r="A1014" s="135">
        <v>1010.0</v>
      </c>
      <c r="B1014" s="135">
        <v>25045.0</v>
      </c>
      <c r="C1014" s="135" t="s">
        <v>2817</v>
      </c>
      <c r="D1014" s="135">
        <v>29.0</v>
      </c>
      <c r="E1014" s="135" t="s">
        <v>3525</v>
      </c>
      <c r="F1014" s="135" t="s">
        <v>968</v>
      </c>
      <c r="G1014" s="135" t="s">
        <v>158</v>
      </c>
      <c r="H1014" s="135" t="s">
        <v>2853</v>
      </c>
      <c r="I1014" s="135" t="s">
        <v>173</v>
      </c>
      <c r="J1014" s="135">
        <v>1.0</v>
      </c>
      <c r="K1014" s="135"/>
      <c r="L1014" s="135">
        <v>2595.0</v>
      </c>
      <c r="M1014" s="135">
        <v>3410.0</v>
      </c>
      <c r="N1014" s="135">
        <v>120.0</v>
      </c>
      <c r="O1014" s="135">
        <v>0.941</v>
      </c>
      <c r="P1014" s="136">
        <v>0.0</v>
      </c>
      <c r="Q1014" s="137">
        <v>2.3525</v>
      </c>
      <c r="R1014" s="136">
        <v>46120.0</v>
      </c>
      <c r="S1014" s="135" t="s">
        <v>3528</v>
      </c>
      <c r="T1014" s="136"/>
      <c r="U1014" s="135" t="s">
        <v>2864</v>
      </c>
      <c r="V1014" s="135" t="s">
        <v>2878</v>
      </c>
      <c r="W1014" s="135" t="s">
        <v>3386</v>
      </c>
      <c r="X1014" s="135" t="s">
        <v>3456</v>
      </c>
      <c r="Y1014" s="135"/>
      <c r="Z1014" s="135" t="s">
        <v>2858</v>
      </c>
      <c r="AA1014" s="135"/>
      <c r="AB1014" s="135"/>
      <c r="AC1014" s="135"/>
      <c r="AD1014" s="135">
        <v>0.0</v>
      </c>
      <c r="AE1014" s="135"/>
      <c r="AF1014" s="135"/>
      <c r="AG1014" s="135"/>
    </row>
    <row r="1015" ht="21.75" hidden="1" customHeight="1">
      <c r="A1015" s="135">
        <v>1011.0</v>
      </c>
      <c r="B1015" s="135">
        <v>25045.0</v>
      </c>
      <c r="C1015" s="135" t="s">
        <v>2817</v>
      </c>
      <c r="D1015" s="135">
        <v>29.0</v>
      </c>
      <c r="E1015" s="135" t="s">
        <v>3525</v>
      </c>
      <c r="F1015" s="135" t="s">
        <v>969</v>
      </c>
      <c r="G1015" s="135" t="s">
        <v>158</v>
      </c>
      <c r="H1015" s="135" t="s">
        <v>2853</v>
      </c>
      <c r="I1015" s="135" t="s">
        <v>173</v>
      </c>
      <c r="J1015" s="135">
        <v>1.0</v>
      </c>
      <c r="K1015" s="135"/>
      <c r="L1015" s="135">
        <v>4975.0</v>
      </c>
      <c r="M1015" s="135">
        <v>1350.0</v>
      </c>
      <c r="N1015" s="135">
        <v>120.0</v>
      </c>
      <c r="O1015" s="135">
        <v>0.913</v>
      </c>
      <c r="P1015" s="136">
        <v>0.0</v>
      </c>
      <c r="Q1015" s="137">
        <v>2.2825</v>
      </c>
      <c r="R1015" s="136">
        <v>46120.0</v>
      </c>
      <c r="S1015" s="135" t="s">
        <v>3528</v>
      </c>
      <c r="T1015" s="136"/>
      <c r="U1015" s="135" t="s">
        <v>2855</v>
      </c>
      <c r="V1015" s="135" t="s">
        <v>2856</v>
      </c>
      <c r="W1015" s="135" t="s">
        <v>3567</v>
      </c>
      <c r="X1015" s="135"/>
      <c r="Y1015" s="135"/>
      <c r="Z1015" s="135" t="s">
        <v>2858</v>
      </c>
      <c r="AA1015" s="135"/>
      <c r="AB1015" s="135"/>
      <c r="AC1015" s="135"/>
      <c r="AD1015" s="135" t="e">
        <v>#N/A</v>
      </c>
      <c r="AE1015" s="135"/>
      <c r="AF1015" s="135"/>
      <c r="AG1015" s="135"/>
    </row>
    <row r="1016" ht="21.75" hidden="1" customHeight="1">
      <c r="A1016" s="135">
        <v>1012.0</v>
      </c>
      <c r="B1016" s="135">
        <v>25045.0</v>
      </c>
      <c r="C1016" s="135" t="s">
        <v>2817</v>
      </c>
      <c r="D1016" s="135">
        <v>29.0</v>
      </c>
      <c r="E1016" s="135" t="s">
        <v>3525</v>
      </c>
      <c r="F1016" s="135" t="s">
        <v>970</v>
      </c>
      <c r="G1016" s="135" t="s">
        <v>158</v>
      </c>
      <c r="H1016" s="135" t="s">
        <v>2853</v>
      </c>
      <c r="I1016" s="135" t="s">
        <v>173</v>
      </c>
      <c r="J1016" s="135">
        <v>1.0</v>
      </c>
      <c r="K1016" s="135"/>
      <c r="L1016" s="135">
        <v>4975.0</v>
      </c>
      <c r="M1016" s="135">
        <v>1350.0</v>
      </c>
      <c r="N1016" s="135">
        <v>120.0</v>
      </c>
      <c r="O1016" s="135">
        <v>0.913</v>
      </c>
      <c r="P1016" s="136">
        <v>0.0</v>
      </c>
      <c r="Q1016" s="137">
        <v>2.2825</v>
      </c>
      <c r="R1016" s="136">
        <v>46120.0</v>
      </c>
      <c r="S1016" s="135" t="s">
        <v>3528</v>
      </c>
      <c r="T1016" s="136"/>
      <c r="U1016" s="135" t="s">
        <v>2855</v>
      </c>
      <c r="V1016" s="135" t="s">
        <v>2856</v>
      </c>
      <c r="W1016" s="135" t="s">
        <v>3568</v>
      </c>
      <c r="X1016" s="135"/>
      <c r="Y1016" s="135"/>
      <c r="Z1016" s="135" t="s">
        <v>2858</v>
      </c>
      <c r="AA1016" s="135"/>
      <c r="AB1016" s="135"/>
      <c r="AC1016" s="135"/>
      <c r="AD1016" s="135" t="e">
        <v>#N/A</v>
      </c>
      <c r="AE1016" s="135"/>
      <c r="AF1016" s="135"/>
      <c r="AG1016" s="135"/>
    </row>
    <row r="1017" ht="21.75" hidden="1" customHeight="1">
      <c r="A1017" s="135">
        <v>1013.0</v>
      </c>
      <c r="B1017" s="135">
        <v>25045.0</v>
      </c>
      <c r="C1017" s="135" t="s">
        <v>2817</v>
      </c>
      <c r="D1017" s="135">
        <v>29.0</v>
      </c>
      <c r="E1017" s="135" t="s">
        <v>3525</v>
      </c>
      <c r="F1017" s="135" t="s">
        <v>971</v>
      </c>
      <c r="G1017" s="135" t="s">
        <v>158</v>
      </c>
      <c r="H1017" s="135" t="s">
        <v>2853</v>
      </c>
      <c r="I1017" s="135" t="s">
        <v>173</v>
      </c>
      <c r="J1017" s="135">
        <v>1.0</v>
      </c>
      <c r="K1017" s="135"/>
      <c r="L1017" s="135">
        <v>3320.0</v>
      </c>
      <c r="M1017" s="135">
        <v>1350.0</v>
      </c>
      <c r="N1017" s="135">
        <v>120.0</v>
      </c>
      <c r="O1017" s="135">
        <v>0.526</v>
      </c>
      <c r="P1017" s="136">
        <v>0.0</v>
      </c>
      <c r="Q1017" s="137">
        <v>1.315</v>
      </c>
      <c r="R1017" s="136">
        <v>46120.0</v>
      </c>
      <c r="S1017" s="135" t="s">
        <v>3528</v>
      </c>
      <c r="T1017" s="136"/>
      <c r="U1017" s="135" t="s">
        <v>2864</v>
      </c>
      <c r="V1017" s="135" t="s">
        <v>2856</v>
      </c>
      <c r="W1017" s="135" t="s">
        <v>3569</v>
      </c>
      <c r="X1017" s="135"/>
      <c r="Y1017" s="135"/>
      <c r="Z1017" s="135" t="s">
        <v>2858</v>
      </c>
      <c r="AA1017" s="135"/>
      <c r="AB1017" s="135"/>
      <c r="AC1017" s="135"/>
      <c r="AD1017" s="135" t="e">
        <v>#N/A</v>
      </c>
      <c r="AE1017" s="135"/>
      <c r="AF1017" s="135"/>
      <c r="AG1017" s="135"/>
    </row>
    <row r="1018" ht="21.75" hidden="1" customHeight="1">
      <c r="A1018" s="135">
        <v>1014.0</v>
      </c>
      <c r="B1018" s="135">
        <v>25045.0</v>
      </c>
      <c r="C1018" s="135" t="s">
        <v>2817</v>
      </c>
      <c r="D1018" s="135">
        <v>29.0</v>
      </c>
      <c r="E1018" s="135" t="s">
        <v>3513</v>
      </c>
      <c r="F1018" s="135" t="s">
        <v>951</v>
      </c>
      <c r="G1018" s="135" t="s">
        <v>158</v>
      </c>
      <c r="H1018" s="135" t="s">
        <v>2853</v>
      </c>
      <c r="I1018" s="135" t="s">
        <v>172</v>
      </c>
      <c r="J1018" s="135">
        <v>1.0</v>
      </c>
      <c r="K1018" s="135"/>
      <c r="L1018" s="135">
        <v>3093.0</v>
      </c>
      <c r="M1018" s="135">
        <v>3410.0</v>
      </c>
      <c r="N1018" s="135">
        <v>120.0</v>
      </c>
      <c r="O1018" s="135">
        <v>1.392</v>
      </c>
      <c r="P1018" s="136">
        <v>0.0</v>
      </c>
      <c r="Q1018" s="137">
        <v>3.4799999999999995</v>
      </c>
      <c r="R1018" s="136">
        <v>46127.0</v>
      </c>
      <c r="S1018" s="135" t="s">
        <v>3514</v>
      </c>
      <c r="T1018" s="136"/>
      <c r="U1018" s="135" t="s">
        <v>2864</v>
      </c>
      <c r="V1018" s="135" t="s">
        <v>3014</v>
      </c>
      <c r="W1018" s="135" t="s">
        <v>3570</v>
      </c>
      <c r="X1018" s="135"/>
      <c r="Y1018" s="135"/>
      <c r="Z1018" s="135" t="s">
        <v>2858</v>
      </c>
      <c r="AA1018" s="135"/>
      <c r="AB1018" s="135"/>
      <c r="AC1018" s="135"/>
      <c r="AD1018" s="135" t="e">
        <v>#N/A</v>
      </c>
      <c r="AE1018" s="135"/>
      <c r="AF1018" s="135"/>
      <c r="AG1018" s="135"/>
    </row>
    <row r="1019" ht="21.75" hidden="1" customHeight="1">
      <c r="A1019" s="135">
        <v>1015.0</v>
      </c>
      <c r="B1019" s="135">
        <v>25045.0</v>
      </c>
      <c r="C1019" s="135" t="s">
        <v>2817</v>
      </c>
      <c r="D1019" s="135">
        <v>29.0</v>
      </c>
      <c r="E1019" s="135" t="s">
        <v>3513</v>
      </c>
      <c r="F1019" s="135" t="s">
        <v>952</v>
      </c>
      <c r="G1019" s="135" t="s">
        <v>158</v>
      </c>
      <c r="H1019" s="135" t="s">
        <v>2853</v>
      </c>
      <c r="I1019" s="135" t="s">
        <v>172</v>
      </c>
      <c r="J1019" s="135">
        <v>1.0</v>
      </c>
      <c r="K1019" s="135"/>
      <c r="L1019" s="135">
        <v>2558.0</v>
      </c>
      <c r="M1019" s="135">
        <v>1350.0</v>
      </c>
      <c r="N1019" s="135">
        <v>120.0</v>
      </c>
      <c r="O1019" s="135">
        <v>0.462</v>
      </c>
      <c r="P1019" s="136">
        <v>0.0</v>
      </c>
      <c r="Q1019" s="137">
        <v>1.155</v>
      </c>
      <c r="R1019" s="136">
        <v>46127.0</v>
      </c>
      <c r="S1019" s="135" t="s">
        <v>3514</v>
      </c>
      <c r="T1019" s="136"/>
      <c r="U1019" s="135" t="s">
        <v>2864</v>
      </c>
      <c r="V1019" s="135" t="s">
        <v>2856</v>
      </c>
      <c r="W1019" s="135" t="s">
        <v>3516</v>
      </c>
      <c r="X1019" s="135"/>
      <c r="Y1019" s="135"/>
      <c r="Z1019" s="135" t="s">
        <v>2858</v>
      </c>
      <c r="AA1019" s="135"/>
      <c r="AB1019" s="135"/>
      <c r="AC1019" s="135"/>
      <c r="AD1019" s="135" t="e">
        <v>#N/A</v>
      </c>
      <c r="AE1019" s="135"/>
      <c r="AF1019" s="135"/>
      <c r="AG1019" s="135"/>
    </row>
    <row r="1020" ht="21.75" hidden="1" customHeight="1">
      <c r="A1020" s="135">
        <v>1016.0</v>
      </c>
      <c r="B1020" s="135">
        <v>25045.0</v>
      </c>
      <c r="C1020" s="135" t="s">
        <v>2817</v>
      </c>
      <c r="D1020" s="135">
        <v>29.0</v>
      </c>
      <c r="E1020" s="135" t="s">
        <v>3513</v>
      </c>
      <c r="F1020" s="135" t="s">
        <v>953</v>
      </c>
      <c r="G1020" s="135" t="s">
        <v>158</v>
      </c>
      <c r="H1020" s="135" t="s">
        <v>2853</v>
      </c>
      <c r="I1020" s="135" t="s">
        <v>172</v>
      </c>
      <c r="J1020" s="135">
        <v>1.0</v>
      </c>
      <c r="K1020" s="135"/>
      <c r="L1020" s="135">
        <v>4558.0</v>
      </c>
      <c r="M1020" s="135">
        <v>3100.0</v>
      </c>
      <c r="N1020" s="135">
        <v>120.0</v>
      </c>
      <c r="O1020" s="135">
        <v>1.045</v>
      </c>
      <c r="P1020" s="136">
        <v>0.0</v>
      </c>
      <c r="Q1020" s="137">
        <v>2.6125</v>
      </c>
      <c r="R1020" s="136">
        <v>46127.0</v>
      </c>
      <c r="S1020" s="135" t="s">
        <v>3514</v>
      </c>
      <c r="T1020" s="136"/>
      <c r="U1020" s="135" t="s">
        <v>2855</v>
      </c>
      <c r="V1020" s="135" t="s">
        <v>2856</v>
      </c>
      <c r="W1020" s="135" t="s">
        <v>3571</v>
      </c>
      <c r="X1020" s="135" t="s">
        <v>3572</v>
      </c>
      <c r="Y1020" s="135"/>
      <c r="Z1020" s="135" t="s">
        <v>2858</v>
      </c>
      <c r="AA1020" s="135"/>
      <c r="AB1020" s="135"/>
      <c r="AC1020" s="135"/>
      <c r="AD1020" s="135" t="e">
        <v>#N/A</v>
      </c>
      <c r="AE1020" s="135"/>
      <c r="AF1020" s="135"/>
      <c r="AG1020" s="135"/>
    </row>
    <row r="1021" ht="21.75" hidden="1" customHeight="1">
      <c r="A1021" s="135">
        <v>1017.0</v>
      </c>
      <c r="B1021" s="135">
        <v>25045.0</v>
      </c>
      <c r="C1021" s="135" t="s">
        <v>2817</v>
      </c>
      <c r="D1021" s="135">
        <v>29.0</v>
      </c>
      <c r="E1021" s="135" t="s">
        <v>3562</v>
      </c>
      <c r="F1021" s="135" t="s">
        <v>933</v>
      </c>
      <c r="G1021" s="135" t="s">
        <v>158</v>
      </c>
      <c r="H1021" s="135" t="s">
        <v>2853</v>
      </c>
      <c r="I1021" s="135" t="s">
        <v>171</v>
      </c>
      <c r="J1021" s="135">
        <v>1.0</v>
      </c>
      <c r="K1021" s="135"/>
      <c r="L1021" s="135">
        <v>2195.0</v>
      </c>
      <c r="M1021" s="135">
        <v>2850.0</v>
      </c>
      <c r="N1021" s="135">
        <v>120.0</v>
      </c>
      <c r="O1021" s="135">
        <v>0.79</v>
      </c>
      <c r="P1021" s="136">
        <v>0.0</v>
      </c>
      <c r="Q1021" s="137">
        <v>1.975</v>
      </c>
      <c r="R1021" s="136">
        <v>46120.0</v>
      </c>
      <c r="S1021" s="135" t="s">
        <v>3528</v>
      </c>
      <c r="T1021" s="136"/>
      <c r="U1021" s="135" t="s">
        <v>2864</v>
      </c>
      <c r="V1021" s="135" t="s">
        <v>2878</v>
      </c>
      <c r="W1021" s="135" t="s">
        <v>3573</v>
      </c>
      <c r="X1021" s="135" t="s">
        <v>2947</v>
      </c>
      <c r="Y1021" s="135"/>
      <c r="Z1021" s="135" t="s">
        <v>2858</v>
      </c>
      <c r="AA1021" s="135"/>
      <c r="AB1021" s="135"/>
      <c r="AC1021" s="135"/>
      <c r="AD1021" s="135">
        <v>46128.0</v>
      </c>
      <c r="AE1021" s="135"/>
      <c r="AF1021" s="135"/>
      <c r="AG1021" s="135"/>
    </row>
    <row r="1022" ht="21.75" hidden="1" customHeight="1">
      <c r="A1022" s="135">
        <v>1018.0</v>
      </c>
      <c r="B1022" s="135">
        <v>25045.0</v>
      </c>
      <c r="C1022" s="135" t="s">
        <v>2817</v>
      </c>
      <c r="D1022" s="135">
        <v>29.0</v>
      </c>
      <c r="E1022" s="135" t="s">
        <v>3562</v>
      </c>
      <c r="F1022" s="135" t="s">
        <v>934</v>
      </c>
      <c r="G1022" s="135" t="s">
        <v>158</v>
      </c>
      <c r="H1022" s="135" t="s">
        <v>2853</v>
      </c>
      <c r="I1022" s="135" t="s">
        <v>171</v>
      </c>
      <c r="J1022" s="135">
        <v>1.0</v>
      </c>
      <c r="K1022" s="135"/>
      <c r="L1022" s="135">
        <v>4572.0</v>
      </c>
      <c r="M1022" s="135">
        <v>1350.0</v>
      </c>
      <c r="N1022" s="135">
        <v>120.0</v>
      </c>
      <c r="O1022" s="135">
        <v>0.88</v>
      </c>
      <c r="P1022" s="136">
        <v>0.0</v>
      </c>
      <c r="Q1022" s="137">
        <v>2.2</v>
      </c>
      <c r="R1022" s="136">
        <v>46120.0</v>
      </c>
      <c r="S1022" s="135" t="s">
        <v>3528</v>
      </c>
      <c r="T1022" s="136"/>
      <c r="U1022" s="135" t="s">
        <v>2855</v>
      </c>
      <c r="V1022" s="135" t="s">
        <v>2856</v>
      </c>
      <c r="W1022" s="135" t="s">
        <v>3574</v>
      </c>
      <c r="X1022" s="135"/>
      <c r="Y1022" s="135"/>
      <c r="Z1022" s="135" t="s">
        <v>2858</v>
      </c>
      <c r="AA1022" s="135"/>
      <c r="AB1022" s="135"/>
      <c r="AC1022" s="135"/>
      <c r="AD1022" s="135" t="e">
        <v>#N/A</v>
      </c>
      <c r="AE1022" s="135"/>
      <c r="AF1022" s="135"/>
      <c r="AG1022" s="135"/>
    </row>
    <row r="1023" ht="21.75" hidden="1" customHeight="1">
      <c r="A1023" s="135">
        <v>1019.0</v>
      </c>
      <c r="B1023" s="135">
        <v>25045.0</v>
      </c>
      <c r="C1023" s="135" t="s">
        <v>2817</v>
      </c>
      <c r="D1023" s="135">
        <v>29.0</v>
      </c>
      <c r="E1023" s="135" t="s">
        <v>3562</v>
      </c>
      <c r="F1023" s="135" t="s">
        <v>935</v>
      </c>
      <c r="G1023" s="135" t="s">
        <v>158</v>
      </c>
      <c r="H1023" s="135" t="s">
        <v>2853</v>
      </c>
      <c r="I1023" s="135" t="s">
        <v>171</v>
      </c>
      <c r="J1023" s="135">
        <v>1.0</v>
      </c>
      <c r="K1023" s="135"/>
      <c r="L1023" s="135">
        <v>4572.0</v>
      </c>
      <c r="M1023" s="135">
        <v>1350.0</v>
      </c>
      <c r="N1023" s="135">
        <v>120.0</v>
      </c>
      <c r="O1023" s="135">
        <v>0.88</v>
      </c>
      <c r="P1023" s="136">
        <v>0.0</v>
      </c>
      <c r="Q1023" s="137">
        <v>2.2</v>
      </c>
      <c r="R1023" s="136">
        <v>46120.0</v>
      </c>
      <c r="S1023" s="135" t="s">
        <v>3528</v>
      </c>
      <c r="T1023" s="136"/>
      <c r="U1023" s="135" t="s">
        <v>2855</v>
      </c>
      <c r="V1023" s="135" t="s">
        <v>2856</v>
      </c>
      <c r="W1023" s="135" t="s">
        <v>3574</v>
      </c>
      <c r="X1023" s="135"/>
      <c r="Y1023" s="135"/>
      <c r="Z1023" s="135" t="s">
        <v>2858</v>
      </c>
      <c r="AA1023" s="135"/>
      <c r="AB1023" s="135"/>
      <c r="AC1023" s="135"/>
      <c r="AD1023" s="135" t="e">
        <v>#N/A</v>
      </c>
      <c r="AE1023" s="135"/>
      <c r="AF1023" s="135"/>
      <c r="AG1023" s="135"/>
    </row>
    <row r="1024" ht="21.75" hidden="1" customHeight="1">
      <c r="A1024" s="135">
        <v>1020.0</v>
      </c>
      <c r="B1024" s="135">
        <v>25045.0</v>
      </c>
      <c r="C1024" s="135" t="s">
        <v>2817</v>
      </c>
      <c r="D1024" s="135">
        <v>29.0</v>
      </c>
      <c r="E1024" s="135" t="s">
        <v>3562</v>
      </c>
      <c r="F1024" s="135" t="s">
        <v>936</v>
      </c>
      <c r="G1024" s="135" t="s">
        <v>158</v>
      </c>
      <c r="H1024" s="135" t="s">
        <v>2853</v>
      </c>
      <c r="I1024" s="135" t="s">
        <v>171</v>
      </c>
      <c r="J1024" s="135">
        <v>1.0</v>
      </c>
      <c r="K1024" s="135"/>
      <c r="L1024" s="135">
        <v>4572.0</v>
      </c>
      <c r="M1024" s="135">
        <v>2950.0</v>
      </c>
      <c r="N1024" s="135">
        <v>120.0</v>
      </c>
      <c r="O1024" s="135">
        <v>1.032</v>
      </c>
      <c r="P1024" s="136">
        <v>0.0</v>
      </c>
      <c r="Q1024" s="137">
        <v>2.58</v>
      </c>
      <c r="R1024" s="136">
        <v>46120.0</v>
      </c>
      <c r="S1024" s="135" t="s">
        <v>3528</v>
      </c>
      <c r="T1024" s="136"/>
      <c r="U1024" s="135" t="s">
        <v>2855</v>
      </c>
      <c r="V1024" s="135" t="s">
        <v>2856</v>
      </c>
      <c r="W1024" s="135" t="s">
        <v>3575</v>
      </c>
      <c r="X1024" s="135" t="s">
        <v>3576</v>
      </c>
      <c r="Y1024" s="135"/>
      <c r="Z1024" s="135" t="s">
        <v>2858</v>
      </c>
      <c r="AA1024" s="135"/>
      <c r="AB1024" s="135"/>
      <c r="AC1024" s="135"/>
      <c r="AD1024" s="135" t="e">
        <v>#N/A</v>
      </c>
      <c r="AE1024" s="135"/>
      <c r="AF1024" s="135"/>
      <c r="AG1024" s="135"/>
    </row>
    <row r="1025" ht="21.75" hidden="1" customHeight="1">
      <c r="A1025" s="135">
        <v>1021.0</v>
      </c>
      <c r="B1025" s="135">
        <v>25045.0</v>
      </c>
      <c r="C1025" s="135" t="s">
        <v>2817</v>
      </c>
      <c r="D1025" s="135">
        <v>29.0</v>
      </c>
      <c r="E1025" s="135" t="s">
        <v>3560</v>
      </c>
      <c r="F1025" s="135" t="s">
        <v>917</v>
      </c>
      <c r="G1025" s="135" t="s">
        <v>158</v>
      </c>
      <c r="H1025" s="135" t="s">
        <v>2853</v>
      </c>
      <c r="I1025" s="135" t="s">
        <v>170</v>
      </c>
      <c r="J1025" s="135">
        <v>1.0</v>
      </c>
      <c r="K1025" s="135"/>
      <c r="L1025" s="135">
        <v>2195.0</v>
      </c>
      <c r="M1025" s="135">
        <v>2950.0</v>
      </c>
      <c r="N1025" s="135">
        <v>120.0</v>
      </c>
      <c r="O1025" s="135">
        <v>0.816</v>
      </c>
      <c r="P1025" s="136">
        <v>0.0</v>
      </c>
      <c r="Q1025" s="137">
        <v>2.04</v>
      </c>
      <c r="R1025" s="136">
        <v>46127.0</v>
      </c>
      <c r="S1025" s="135" t="s">
        <v>3514</v>
      </c>
      <c r="T1025" s="136"/>
      <c r="U1025" s="135" t="s">
        <v>2864</v>
      </c>
      <c r="V1025" s="135" t="s">
        <v>2878</v>
      </c>
      <c r="W1025" s="135" t="s">
        <v>3157</v>
      </c>
      <c r="X1025" s="135" t="s">
        <v>2947</v>
      </c>
      <c r="Y1025" s="135"/>
      <c r="Z1025" s="135" t="s">
        <v>2858</v>
      </c>
      <c r="AA1025" s="135"/>
      <c r="AB1025" s="135"/>
      <c r="AC1025" s="135"/>
      <c r="AD1025" s="135">
        <v>0.0</v>
      </c>
      <c r="AE1025" s="135"/>
      <c r="AF1025" s="135"/>
      <c r="AG1025" s="135"/>
    </row>
    <row r="1026" ht="21.75" hidden="1" customHeight="1">
      <c r="A1026" s="135">
        <v>1022.0</v>
      </c>
      <c r="B1026" s="135">
        <v>25045.0</v>
      </c>
      <c r="C1026" s="135" t="s">
        <v>2817</v>
      </c>
      <c r="D1026" s="135">
        <v>29.0</v>
      </c>
      <c r="E1026" s="135" t="s">
        <v>3560</v>
      </c>
      <c r="F1026" s="135" t="s">
        <v>918</v>
      </c>
      <c r="G1026" s="135" t="s">
        <v>158</v>
      </c>
      <c r="H1026" s="135" t="s">
        <v>2853</v>
      </c>
      <c r="I1026" s="135" t="s">
        <v>170</v>
      </c>
      <c r="J1026" s="135">
        <v>1.0</v>
      </c>
      <c r="K1026" s="135"/>
      <c r="L1026" s="135">
        <v>4590.0</v>
      </c>
      <c r="M1026" s="135">
        <v>1800.0</v>
      </c>
      <c r="N1026" s="135">
        <v>120.0</v>
      </c>
      <c r="O1026" s="135">
        <v>1.082</v>
      </c>
      <c r="P1026" s="136">
        <v>0.0</v>
      </c>
      <c r="Q1026" s="137">
        <v>2.705</v>
      </c>
      <c r="R1026" s="136">
        <v>46127.0</v>
      </c>
      <c r="S1026" s="135" t="s">
        <v>3514</v>
      </c>
      <c r="T1026" s="136"/>
      <c r="U1026" s="135" t="s">
        <v>2855</v>
      </c>
      <c r="V1026" s="135" t="s">
        <v>2856</v>
      </c>
      <c r="W1026" s="135" t="s">
        <v>3577</v>
      </c>
      <c r="X1026" s="135"/>
      <c r="Y1026" s="135"/>
      <c r="Z1026" s="135" t="s">
        <v>2858</v>
      </c>
      <c r="AA1026" s="135"/>
      <c r="AB1026" s="135"/>
      <c r="AC1026" s="135"/>
      <c r="AD1026" s="135" t="e">
        <v>#N/A</v>
      </c>
      <c r="AE1026" s="135"/>
      <c r="AF1026" s="135"/>
      <c r="AG1026" s="135"/>
    </row>
    <row r="1027" ht="21.75" hidden="1" customHeight="1">
      <c r="A1027" s="135">
        <v>1023.0</v>
      </c>
      <c r="B1027" s="135">
        <v>25045.0</v>
      </c>
      <c r="C1027" s="135" t="s">
        <v>2817</v>
      </c>
      <c r="D1027" s="135">
        <v>29.0</v>
      </c>
      <c r="E1027" s="135" t="s">
        <v>3560</v>
      </c>
      <c r="F1027" s="135" t="s">
        <v>919</v>
      </c>
      <c r="G1027" s="135" t="s">
        <v>158</v>
      </c>
      <c r="H1027" s="135" t="s">
        <v>2853</v>
      </c>
      <c r="I1027" s="135" t="s">
        <v>170</v>
      </c>
      <c r="J1027" s="135">
        <v>1.0</v>
      </c>
      <c r="K1027" s="135"/>
      <c r="L1027" s="135">
        <v>4590.0</v>
      </c>
      <c r="M1027" s="135">
        <v>2150.0</v>
      </c>
      <c r="N1027" s="135">
        <v>120.0</v>
      </c>
      <c r="O1027" s="135">
        <v>1.45</v>
      </c>
      <c r="P1027" s="136">
        <v>0.0</v>
      </c>
      <c r="Q1027" s="137">
        <v>3.625</v>
      </c>
      <c r="R1027" s="136">
        <v>46127.0</v>
      </c>
      <c r="S1027" s="135" t="s">
        <v>3514</v>
      </c>
      <c r="T1027" s="136"/>
      <c r="U1027" s="135" t="s">
        <v>2855</v>
      </c>
      <c r="V1027" s="135" t="s">
        <v>3257</v>
      </c>
      <c r="W1027" s="135" t="s">
        <v>3578</v>
      </c>
      <c r="X1027" s="135"/>
      <c r="Y1027" s="135"/>
      <c r="Z1027" s="135" t="s">
        <v>2858</v>
      </c>
      <c r="AA1027" s="135"/>
      <c r="AB1027" s="135"/>
      <c r="AC1027" s="135"/>
      <c r="AD1027" s="135" t="e">
        <v>#N/A</v>
      </c>
      <c r="AE1027" s="135"/>
      <c r="AF1027" s="135"/>
      <c r="AG1027" s="135"/>
    </row>
    <row r="1028" ht="21.75" hidden="1" customHeight="1">
      <c r="A1028" s="135">
        <v>1024.0</v>
      </c>
      <c r="B1028" s="135">
        <v>25045.0</v>
      </c>
      <c r="C1028" s="135" t="s">
        <v>2817</v>
      </c>
      <c r="D1028" s="135">
        <v>29.0</v>
      </c>
      <c r="E1028" s="135" t="s">
        <v>3560</v>
      </c>
      <c r="F1028" s="135" t="s">
        <v>920</v>
      </c>
      <c r="G1028" s="135" t="s">
        <v>158</v>
      </c>
      <c r="H1028" s="135" t="s">
        <v>2853</v>
      </c>
      <c r="I1028" s="135" t="s">
        <v>170</v>
      </c>
      <c r="J1028" s="135">
        <v>1.0</v>
      </c>
      <c r="K1028" s="135"/>
      <c r="L1028" s="135">
        <v>4590.0</v>
      </c>
      <c r="M1028" s="135">
        <v>2500.0</v>
      </c>
      <c r="N1028" s="135">
        <v>120.0</v>
      </c>
      <c r="O1028" s="135">
        <v>1.875</v>
      </c>
      <c r="P1028" s="136">
        <v>0.0</v>
      </c>
      <c r="Q1028" s="137">
        <v>4.6875</v>
      </c>
      <c r="R1028" s="136">
        <v>46127.0</v>
      </c>
      <c r="S1028" s="135" t="s">
        <v>3514</v>
      </c>
      <c r="T1028" s="136"/>
      <c r="U1028" s="135" t="s">
        <v>2913</v>
      </c>
      <c r="V1028" s="135" t="s">
        <v>3579</v>
      </c>
      <c r="W1028" s="135" t="s">
        <v>3580</v>
      </c>
      <c r="X1028" s="135"/>
      <c r="Y1028" s="135"/>
      <c r="Z1028" s="135" t="s">
        <v>2858</v>
      </c>
      <c r="AA1028" s="135"/>
      <c r="AB1028" s="135"/>
      <c r="AC1028" s="135"/>
      <c r="AD1028" s="135" t="e">
        <v>#N/A</v>
      </c>
      <c r="AE1028" s="135"/>
      <c r="AF1028" s="135"/>
      <c r="AG1028" s="135"/>
    </row>
    <row r="1029" ht="21.75" hidden="1" customHeight="1">
      <c r="A1029" s="135">
        <v>1025.0</v>
      </c>
      <c r="B1029" s="135">
        <v>25045.0</v>
      </c>
      <c r="C1029" s="135" t="s">
        <v>2817</v>
      </c>
      <c r="D1029" s="135">
        <v>29.0</v>
      </c>
      <c r="E1029" s="135" t="s">
        <v>3517</v>
      </c>
      <c r="F1029" s="135" t="s">
        <v>901</v>
      </c>
      <c r="G1029" s="135" t="s">
        <v>158</v>
      </c>
      <c r="H1029" s="135" t="s">
        <v>2853</v>
      </c>
      <c r="I1029" s="135" t="s">
        <v>169</v>
      </c>
      <c r="J1029" s="135">
        <v>1.0</v>
      </c>
      <c r="K1029" s="135"/>
      <c r="L1029" s="135">
        <v>4489.0</v>
      </c>
      <c r="M1029" s="135">
        <v>2500.0</v>
      </c>
      <c r="N1029" s="135">
        <v>120.0</v>
      </c>
      <c r="O1029" s="135">
        <v>2.022</v>
      </c>
      <c r="P1029" s="136">
        <v>0.0</v>
      </c>
      <c r="Q1029" s="137">
        <v>5.055</v>
      </c>
      <c r="R1029" s="136">
        <v>46127.0</v>
      </c>
      <c r="S1029" s="135" t="s">
        <v>3514</v>
      </c>
      <c r="T1029" s="136"/>
      <c r="U1029" s="135" t="s">
        <v>2913</v>
      </c>
      <c r="V1029" s="135" t="s">
        <v>3579</v>
      </c>
      <c r="W1029" s="135" t="s">
        <v>3581</v>
      </c>
      <c r="X1029" s="135"/>
      <c r="Y1029" s="135"/>
      <c r="Z1029" s="135" t="s">
        <v>2858</v>
      </c>
      <c r="AA1029" s="135"/>
      <c r="AB1029" s="135"/>
      <c r="AC1029" s="135"/>
      <c r="AD1029" s="135" t="e">
        <v>#N/A</v>
      </c>
      <c r="AE1029" s="135"/>
      <c r="AF1029" s="135"/>
      <c r="AG1029" s="135"/>
    </row>
    <row r="1030" ht="21.75" hidden="1" customHeight="1">
      <c r="A1030" s="135">
        <v>1026.0</v>
      </c>
      <c r="B1030" s="135">
        <v>25045.0</v>
      </c>
      <c r="C1030" s="135" t="s">
        <v>2817</v>
      </c>
      <c r="D1030" s="135">
        <v>29.0</v>
      </c>
      <c r="E1030" s="135" t="s">
        <v>3517</v>
      </c>
      <c r="F1030" s="135" t="s">
        <v>902</v>
      </c>
      <c r="G1030" s="135" t="s">
        <v>158</v>
      </c>
      <c r="H1030" s="135" t="s">
        <v>2853</v>
      </c>
      <c r="I1030" s="135" t="s">
        <v>169</v>
      </c>
      <c r="J1030" s="135">
        <v>1.0</v>
      </c>
      <c r="K1030" s="135"/>
      <c r="L1030" s="135">
        <v>4489.0</v>
      </c>
      <c r="M1030" s="135">
        <v>2150.0</v>
      </c>
      <c r="N1030" s="135">
        <v>120.0</v>
      </c>
      <c r="O1030" s="135">
        <v>1.434</v>
      </c>
      <c r="P1030" s="136">
        <v>0.0</v>
      </c>
      <c r="Q1030" s="137">
        <v>3.585</v>
      </c>
      <c r="R1030" s="136">
        <v>46127.0</v>
      </c>
      <c r="S1030" s="135" t="s">
        <v>3514</v>
      </c>
      <c r="T1030" s="136"/>
      <c r="U1030" s="135" t="s">
        <v>2855</v>
      </c>
      <c r="V1030" s="135" t="s">
        <v>3257</v>
      </c>
      <c r="W1030" s="135" t="s">
        <v>3582</v>
      </c>
      <c r="X1030" s="135"/>
      <c r="Y1030" s="135"/>
      <c r="Z1030" s="135" t="s">
        <v>2858</v>
      </c>
      <c r="AA1030" s="135"/>
      <c r="AB1030" s="135"/>
      <c r="AC1030" s="135"/>
      <c r="AD1030" s="135" t="e">
        <v>#N/A</v>
      </c>
      <c r="AE1030" s="135"/>
      <c r="AF1030" s="135"/>
      <c r="AG1030" s="135"/>
    </row>
    <row r="1031" ht="21.75" hidden="1" customHeight="1">
      <c r="A1031" s="135">
        <v>1027.0</v>
      </c>
      <c r="B1031" s="135">
        <v>25045.0</v>
      </c>
      <c r="C1031" s="135" t="s">
        <v>2817</v>
      </c>
      <c r="D1031" s="135">
        <v>29.0</v>
      </c>
      <c r="E1031" s="135" t="s">
        <v>3517</v>
      </c>
      <c r="F1031" s="135" t="s">
        <v>903</v>
      </c>
      <c r="G1031" s="135" t="s">
        <v>158</v>
      </c>
      <c r="H1031" s="135" t="s">
        <v>2853</v>
      </c>
      <c r="I1031" s="135" t="s">
        <v>169</v>
      </c>
      <c r="J1031" s="135">
        <v>1.0</v>
      </c>
      <c r="K1031" s="135"/>
      <c r="L1031" s="135">
        <v>4489.0</v>
      </c>
      <c r="M1031" s="135">
        <v>1800.0</v>
      </c>
      <c r="N1031" s="135">
        <v>120.0</v>
      </c>
      <c r="O1031" s="135">
        <v>1.07</v>
      </c>
      <c r="P1031" s="136">
        <v>0.0</v>
      </c>
      <c r="Q1031" s="137">
        <v>2.6750000000000003</v>
      </c>
      <c r="R1031" s="136">
        <v>46127.0</v>
      </c>
      <c r="S1031" s="135" t="s">
        <v>3514</v>
      </c>
      <c r="T1031" s="136"/>
      <c r="U1031" s="135" t="s">
        <v>2855</v>
      </c>
      <c r="V1031" s="135" t="s">
        <v>2856</v>
      </c>
      <c r="W1031" s="135" t="s">
        <v>3582</v>
      </c>
      <c r="X1031" s="135"/>
      <c r="Y1031" s="135"/>
      <c r="Z1031" s="135" t="s">
        <v>2858</v>
      </c>
      <c r="AA1031" s="135"/>
      <c r="AB1031" s="135"/>
      <c r="AC1031" s="135"/>
      <c r="AD1031" s="135" t="e">
        <v>#N/A</v>
      </c>
      <c r="AE1031" s="135"/>
      <c r="AF1031" s="135"/>
      <c r="AG1031" s="135"/>
    </row>
    <row r="1032" ht="21.75" hidden="1" customHeight="1">
      <c r="A1032" s="135">
        <v>1028.0</v>
      </c>
      <c r="B1032" s="135">
        <v>25045.0</v>
      </c>
      <c r="C1032" s="135" t="s">
        <v>2817</v>
      </c>
      <c r="D1032" s="135">
        <v>29.0</v>
      </c>
      <c r="E1032" s="135" t="s">
        <v>3517</v>
      </c>
      <c r="F1032" s="135" t="s">
        <v>904</v>
      </c>
      <c r="G1032" s="135" t="s">
        <v>158</v>
      </c>
      <c r="H1032" s="135" t="s">
        <v>2853</v>
      </c>
      <c r="I1032" s="135" t="s">
        <v>169</v>
      </c>
      <c r="J1032" s="135">
        <v>1.0</v>
      </c>
      <c r="K1032" s="135"/>
      <c r="L1032" s="135">
        <v>2595.0</v>
      </c>
      <c r="M1032" s="135">
        <v>2890.0</v>
      </c>
      <c r="N1032" s="135">
        <v>120.0</v>
      </c>
      <c r="O1032" s="135">
        <v>0.927</v>
      </c>
      <c r="P1032" s="136">
        <v>0.0</v>
      </c>
      <c r="Q1032" s="137">
        <v>2.3175</v>
      </c>
      <c r="R1032" s="136">
        <v>46127.0</v>
      </c>
      <c r="S1032" s="135" t="s">
        <v>3514</v>
      </c>
      <c r="T1032" s="136"/>
      <c r="U1032" s="135" t="s">
        <v>2864</v>
      </c>
      <c r="V1032" s="135" t="s">
        <v>2878</v>
      </c>
      <c r="W1032" s="135" t="s">
        <v>2962</v>
      </c>
      <c r="X1032" s="135" t="s">
        <v>2963</v>
      </c>
      <c r="Y1032" s="135"/>
      <c r="Z1032" s="135" t="s">
        <v>2858</v>
      </c>
      <c r="AA1032" s="135"/>
      <c r="AB1032" s="135"/>
      <c r="AC1032" s="135"/>
      <c r="AD1032" s="135">
        <v>0.0</v>
      </c>
      <c r="AE1032" s="135"/>
      <c r="AF1032" s="135"/>
      <c r="AG1032" s="135"/>
    </row>
    <row r="1033" ht="21.75" hidden="1" customHeight="1">
      <c r="A1033" s="135">
        <v>1029.0</v>
      </c>
      <c r="B1033" s="135">
        <v>25045.0</v>
      </c>
      <c r="C1033" s="135" t="s">
        <v>2817</v>
      </c>
      <c r="D1033" s="135">
        <v>29.0</v>
      </c>
      <c r="E1033" s="135" t="s">
        <v>3558</v>
      </c>
      <c r="F1033" s="135" t="s">
        <v>885</v>
      </c>
      <c r="G1033" s="135" t="s">
        <v>158</v>
      </c>
      <c r="H1033" s="135" t="s">
        <v>2853</v>
      </c>
      <c r="I1033" s="135" t="s">
        <v>168</v>
      </c>
      <c r="J1033" s="135">
        <v>1.0</v>
      </c>
      <c r="K1033" s="135"/>
      <c r="L1033" s="135">
        <v>4758.0</v>
      </c>
      <c r="M1033" s="135">
        <v>2890.0</v>
      </c>
      <c r="N1033" s="135">
        <v>120.0</v>
      </c>
      <c r="O1033" s="135">
        <v>0.968</v>
      </c>
      <c r="P1033" s="136">
        <v>0.0</v>
      </c>
      <c r="Q1033" s="137">
        <v>2.42</v>
      </c>
      <c r="R1033" s="136">
        <v>46120.0</v>
      </c>
      <c r="S1033" s="135" t="s">
        <v>3528</v>
      </c>
      <c r="T1033" s="136"/>
      <c r="U1033" s="135" t="s">
        <v>2855</v>
      </c>
      <c r="V1033" s="135" t="s">
        <v>2856</v>
      </c>
      <c r="W1033" s="135" t="s">
        <v>3583</v>
      </c>
      <c r="X1033" s="135" t="s">
        <v>3584</v>
      </c>
      <c r="Y1033" s="135"/>
      <c r="Z1033" s="135" t="s">
        <v>2858</v>
      </c>
      <c r="AA1033" s="135"/>
      <c r="AB1033" s="135"/>
      <c r="AC1033" s="135"/>
      <c r="AD1033" s="135" t="e">
        <v>#N/A</v>
      </c>
      <c r="AE1033" s="135"/>
      <c r="AF1033" s="135"/>
      <c r="AG1033" s="135"/>
    </row>
    <row r="1034" ht="21.75" hidden="1" customHeight="1">
      <c r="A1034" s="135">
        <v>1030.0</v>
      </c>
      <c r="B1034" s="135">
        <v>25045.0</v>
      </c>
      <c r="C1034" s="135" t="s">
        <v>2817</v>
      </c>
      <c r="D1034" s="135">
        <v>29.0</v>
      </c>
      <c r="E1034" s="135" t="s">
        <v>3558</v>
      </c>
      <c r="F1034" s="135" t="s">
        <v>886</v>
      </c>
      <c r="G1034" s="135" t="s">
        <v>158</v>
      </c>
      <c r="H1034" s="135" t="s">
        <v>2853</v>
      </c>
      <c r="I1034" s="135" t="s">
        <v>168</v>
      </c>
      <c r="J1034" s="135">
        <v>1.0</v>
      </c>
      <c r="K1034" s="135" t="s">
        <v>3134</v>
      </c>
      <c r="L1034" s="135">
        <v>4758.0</v>
      </c>
      <c r="M1034" s="135">
        <v>1350.0</v>
      </c>
      <c r="N1034" s="135">
        <v>120.0</v>
      </c>
      <c r="O1034" s="135">
        <v>0.895</v>
      </c>
      <c r="P1034" s="136">
        <v>0.0</v>
      </c>
      <c r="Q1034" s="137">
        <v>2.2375</v>
      </c>
      <c r="R1034" s="136">
        <v>46120.0</v>
      </c>
      <c r="S1034" s="135" t="s">
        <v>3528</v>
      </c>
      <c r="T1034" s="136"/>
      <c r="U1034" s="135" t="s">
        <v>2855</v>
      </c>
      <c r="V1034" s="135" t="s">
        <v>2856</v>
      </c>
      <c r="W1034" s="135" t="s">
        <v>3585</v>
      </c>
      <c r="X1034" s="135"/>
      <c r="Y1034" s="135"/>
      <c r="Z1034" s="135" t="s">
        <v>2858</v>
      </c>
      <c r="AA1034" s="135"/>
      <c r="AB1034" s="135"/>
      <c r="AC1034" s="135"/>
      <c r="AD1034" s="135" t="e">
        <v>#N/A</v>
      </c>
      <c r="AE1034" s="135"/>
      <c r="AF1034" s="135"/>
      <c r="AG1034" s="135"/>
    </row>
    <row r="1035" ht="21.75" hidden="1" customHeight="1">
      <c r="A1035" s="135">
        <v>1031.0</v>
      </c>
      <c r="B1035" s="135">
        <v>25045.0</v>
      </c>
      <c r="C1035" s="135" t="s">
        <v>2817</v>
      </c>
      <c r="D1035" s="135">
        <v>29.0</v>
      </c>
      <c r="E1035" s="135" t="s">
        <v>3558</v>
      </c>
      <c r="F1035" s="135" t="s">
        <v>898</v>
      </c>
      <c r="G1035" s="135" t="s">
        <v>158</v>
      </c>
      <c r="H1035" s="135" t="s">
        <v>2853</v>
      </c>
      <c r="I1035" s="135" t="s">
        <v>168</v>
      </c>
      <c r="J1035" s="135">
        <v>1.0</v>
      </c>
      <c r="K1035" s="135" t="s">
        <v>3134</v>
      </c>
      <c r="L1035" s="135">
        <v>4758.0</v>
      </c>
      <c r="M1035" s="135">
        <v>1350.0</v>
      </c>
      <c r="N1035" s="135">
        <v>120.0</v>
      </c>
      <c r="O1035" s="135">
        <v>0.895</v>
      </c>
      <c r="P1035" s="136">
        <v>0.0</v>
      </c>
      <c r="Q1035" s="137">
        <v>2.2375</v>
      </c>
      <c r="R1035" s="136">
        <v>46120.0</v>
      </c>
      <c r="S1035" s="135" t="s">
        <v>3528</v>
      </c>
      <c r="T1035" s="136"/>
      <c r="U1035" s="135" t="s">
        <v>2855</v>
      </c>
      <c r="V1035" s="135" t="s">
        <v>2856</v>
      </c>
      <c r="W1035" s="135" t="s">
        <v>3585</v>
      </c>
      <c r="X1035" s="135"/>
      <c r="Y1035" s="135"/>
      <c r="Z1035" s="135" t="s">
        <v>2858</v>
      </c>
      <c r="AA1035" s="135"/>
      <c r="AB1035" s="135"/>
      <c r="AC1035" s="135"/>
      <c r="AD1035" s="135" t="e">
        <v>#N/A</v>
      </c>
      <c r="AE1035" s="135"/>
      <c r="AF1035" s="135"/>
      <c r="AG1035" s="135"/>
    </row>
    <row r="1036" ht="21.75" hidden="1" customHeight="1">
      <c r="A1036" s="135">
        <v>1032.0</v>
      </c>
      <c r="B1036" s="135">
        <v>25045.0</v>
      </c>
      <c r="C1036" s="135" t="s">
        <v>2817</v>
      </c>
      <c r="D1036" s="135">
        <v>29.0</v>
      </c>
      <c r="E1036" s="135" t="s">
        <v>3558</v>
      </c>
      <c r="F1036" s="135" t="s">
        <v>887</v>
      </c>
      <c r="G1036" s="135" t="s">
        <v>158</v>
      </c>
      <c r="H1036" s="135" t="s">
        <v>2853</v>
      </c>
      <c r="I1036" s="135" t="s">
        <v>168</v>
      </c>
      <c r="J1036" s="135">
        <v>1.0</v>
      </c>
      <c r="K1036" s="135" t="s">
        <v>3134</v>
      </c>
      <c r="L1036" s="135">
        <v>2595.0</v>
      </c>
      <c r="M1036" s="135">
        <v>2850.0</v>
      </c>
      <c r="N1036" s="135">
        <v>120.0</v>
      </c>
      <c r="O1036" s="135">
        <v>0.915</v>
      </c>
      <c r="P1036" s="136">
        <v>0.0</v>
      </c>
      <c r="Q1036" s="137">
        <v>2.2875</v>
      </c>
      <c r="R1036" s="136">
        <v>46120.0</v>
      </c>
      <c r="S1036" s="135" t="s">
        <v>3528</v>
      </c>
      <c r="T1036" s="136"/>
      <c r="U1036" s="135" t="s">
        <v>2864</v>
      </c>
      <c r="V1036" s="135" t="s">
        <v>2878</v>
      </c>
      <c r="W1036" s="135" t="s">
        <v>2962</v>
      </c>
      <c r="X1036" s="135" t="s">
        <v>3586</v>
      </c>
      <c r="Y1036" s="135"/>
      <c r="Z1036" s="135" t="s">
        <v>2858</v>
      </c>
      <c r="AA1036" s="135"/>
      <c r="AB1036" s="135"/>
      <c r="AC1036" s="135"/>
      <c r="AD1036" s="135"/>
      <c r="AE1036" s="135"/>
      <c r="AF1036" s="135"/>
      <c r="AG1036" s="135"/>
    </row>
    <row r="1037" ht="21.75" hidden="1" customHeight="1">
      <c r="A1037" s="135">
        <v>1033.0</v>
      </c>
      <c r="B1037" s="135">
        <v>25045.0</v>
      </c>
      <c r="C1037" s="135" t="s">
        <v>2817</v>
      </c>
      <c r="D1037" s="135">
        <v>29.0</v>
      </c>
      <c r="E1037" s="135" t="s">
        <v>3559</v>
      </c>
      <c r="F1037" s="135" t="s">
        <v>869</v>
      </c>
      <c r="G1037" s="135" t="s">
        <v>158</v>
      </c>
      <c r="H1037" s="135" t="s">
        <v>2853</v>
      </c>
      <c r="I1037" s="135" t="s">
        <v>167</v>
      </c>
      <c r="J1037" s="135">
        <v>1.0</v>
      </c>
      <c r="K1037" s="135" t="s">
        <v>3134</v>
      </c>
      <c r="L1037" s="135">
        <v>2595.0</v>
      </c>
      <c r="M1037" s="135">
        <v>2850.0</v>
      </c>
      <c r="N1037" s="135">
        <v>120.0</v>
      </c>
      <c r="O1037" s="135">
        <v>0.915</v>
      </c>
      <c r="P1037" s="136">
        <v>0.0</v>
      </c>
      <c r="Q1037" s="137">
        <v>2.2875</v>
      </c>
      <c r="R1037" s="136">
        <v>46120.0</v>
      </c>
      <c r="S1037" s="135" t="s">
        <v>3528</v>
      </c>
      <c r="T1037" s="136"/>
      <c r="U1037" s="135" t="s">
        <v>2864</v>
      </c>
      <c r="V1037" s="135" t="s">
        <v>2878</v>
      </c>
      <c r="W1037" s="135" t="s">
        <v>2962</v>
      </c>
      <c r="X1037" s="135" t="s">
        <v>3586</v>
      </c>
      <c r="Y1037" s="135"/>
      <c r="Z1037" s="135" t="s">
        <v>2858</v>
      </c>
      <c r="AA1037" s="135"/>
      <c r="AB1037" s="135"/>
      <c r="AC1037" s="135"/>
      <c r="AD1037" s="135" t="e">
        <v>#N/A</v>
      </c>
      <c r="AE1037" s="135"/>
      <c r="AF1037" s="135"/>
      <c r="AG1037" s="135"/>
    </row>
    <row r="1038" ht="21.75" hidden="1" customHeight="1">
      <c r="A1038" s="135">
        <v>1034.0</v>
      </c>
      <c r="B1038" s="135">
        <v>25045.0</v>
      </c>
      <c r="C1038" s="135" t="s">
        <v>2817</v>
      </c>
      <c r="D1038" s="135">
        <v>29.0</v>
      </c>
      <c r="E1038" s="135" t="s">
        <v>3555</v>
      </c>
      <c r="F1038" s="135" t="s">
        <v>837</v>
      </c>
      <c r="G1038" s="135" t="s">
        <v>158</v>
      </c>
      <c r="H1038" s="135" t="s">
        <v>2853</v>
      </c>
      <c r="I1038" s="135" t="s">
        <v>165</v>
      </c>
      <c r="J1038" s="135">
        <v>1.0</v>
      </c>
      <c r="K1038" s="135" t="s">
        <v>3134</v>
      </c>
      <c r="L1038" s="135">
        <v>2595.0</v>
      </c>
      <c r="M1038" s="135">
        <v>2850.0</v>
      </c>
      <c r="N1038" s="135">
        <v>120.0</v>
      </c>
      <c r="O1038" s="135">
        <v>0.915</v>
      </c>
      <c r="P1038" s="136">
        <v>0.0</v>
      </c>
      <c r="Q1038" s="137">
        <v>2.2875</v>
      </c>
      <c r="R1038" s="136">
        <v>46120.0</v>
      </c>
      <c r="S1038" s="135" t="s">
        <v>3528</v>
      </c>
      <c r="T1038" s="136"/>
      <c r="U1038" s="135" t="s">
        <v>2864</v>
      </c>
      <c r="V1038" s="135" t="s">
        <v>2878</v>
      </c>
      <c r="W1038" s="135" t="s">
        <v>2962</v>
      </c>
      <c r="X1038" s="135" t="s">
        <v>3586</v>
      </c>
      <c r="Y1038" s="135"/>
      <c r="Z1038" s="135" t="s">
        <v>2858</v>
      </c>
      <c r="AA1038" s="135"/>
      <c r="AB1038" s="135"/>
      <c r="AC1038" s="135"/>
      <c r="AD1038" s="135" t="e">
        <v>#N/A</v>
      </c>
      <c r="AE1038" s="135"/>
      <c r="AF1038" s="135"/>
      <c r="AG1038" s="135"/>
    </row>
    <row r="1039" ht="21.75" hidden="1" customHeight="1">
      <c r="A1039" s="135">
        <v>1035.0</v>
      </c>
      <c r="B1039" s="135">
        <v>25045.0</v>
      </c>
      <c r="C1039" s="135" t="s">
        <v>2817</v>
      </c>
      <c r="D1039" s="135">
        <v>29.0</v>
      </c>
      <c r="E1039" s="135" t="s">
        <v>3559</v>
      </c>
      <c r="F1039" s="135" t="s">
        <v>870</v>
      </c>
      <c r="G1039" s="135" t="s">
        <v>158</v>
      </c>
      <c r="H1039" s="135" t="s">
        <v>2853</v>
      </c>
      <c r="I1039" s="135" t="s">
        <v>167</v>
      </c>
      <c r="J1039" s="135">
        <v>1.0</v>
      </c>
      <c r="K1039" s="135"/>
      <c r="L1039" s="135">
        <v>4714.0</v>
      </c>
      <c r="M1039" s="135">
        <v>2880.0</v>
      </c>
      <c r="N1039" s="135">
        <v>120.0</v>
      </c>
      <c r="O1039" s="135">
        <v>0.964</v>
      </c>
      <c r="P1039" s="136"/>
      <c r="Q1039" s="137">
        <v>2.41</v>
      </c>
      <c r="R1039" s="136">
        <v>46120.0</v>
      </c>
      <c r="S1039" s="135" t="s">
        <v>3528</v>
      </c>
      <c r="T1039" s="136"/>
      <c r="U1039" s="135" t="s">
        <v>2855</v>
      </c>
      <c r="V1039" s="135" t="s">
        <v>2856</v>
      </c>
      <c r="W1039" s="135" t="s">
        <v>3587</v>
      </c>
      <c r="X1039" s="135" t="s">
        <v>3588</v>
      </c>
      <c r="Y1039" s="135"/>
      <c r="Z1039" s="135" t="s">
        <v>2858</v>
      </c>
      <c r="AA1039" s="135"/>
      <c r="AB1039" s="135"/>
      <c r="AC1039" s="135"/>
      <c r="AD1039" s="135" t="e">
        <v>#N/A</v>
      </c>
      <c r="AE1039" s="135"/>
      <c r="AF1039" s="135"/>
      <c r="AG1039" s="135"/>
    </row>
    <row r="1040" ht="21.75" hidden="1" customHeight="1">
      <c r="A1040" s="135">
        <v>1036.0</v>
      </c>
      <c r="B1040" s="135">
        <v>25045.0</v>
      </c>
      <c r="C1040" s="135" t="s">
        <v>2817</v>
      </c>
      <c r="D1040" s="135">
        <v>29.0</v>
      </c>
      <c r="E1040" s="135" t="s">
        <v>3559</v>
      </c>
      <c r="F1040" s="135" t="s">
        <v>871</v>
      </c>
      <c r="G1040" s="135" t="s">
        <v>158</v>
      </c>
      <c r="H1040" s="135" t="s">
        <v>2853</v>
      </c>
      <c r="I1040" s="135" t="s">
        <v>167</v>
      </c>
      <c r="J1040" s="135">
        <v>1.0</v>
      </c>
      <c r="K1040" s="135" t="s">
        <v>3134</v>
      </c>
      <c r="L1040" s="135">
        <v>4714.0</v>
      </c>
      <c r="M1040" s="135">
        <v>1350.0</v>
      </c>
      <c r="N1040" s="135">
        <v>120.0</v>
      </c>
      <c r="O1040" s="135">
        <v>0.892</v>
      </c>
      <c r="P1040" s="136">
        <v>0.0</v>
      </c>
      <c r="Q1040" s="137">
        <v>2.23</v>
      </c>
      <c r="R1040" s="136">
        <v>46120.0</v>
      </c>
      <c r="S1040" s="135" t="s">
        <v>3528</v>
      </c>
      <c r="T1040" s="136"/>
      <c r="U1040" s="135" t="s">
        <v>2855</v>
      </c>
      <c r="V1040" s="135" t="s">
        <v>2856</v>
      </c>
      <c r="W1040" s="135" t="s">
        <v>3589</v>
      </c>
      <c r="X1040" s="135"/>
      <c r="Y1040" s="135"/>
      <c r="Z1040" s="135" t="s">
        <v>2858</v>
      </c>
      <c r="AA1040" s="135"/>
      <c r="AB1040" s="135"/>
      <c r="AC1040" s="135"/>
      <c r="AD1040" s="135" t="e">
        <v>#N/A</v>
      </c>
      <c r="AE1040" s="135"/>
      <c r="AF1040" s="135"/>
      <c r="AG1040" s="135"/>
    </row>
    <row r="1041" ht="21.75" hidden="1" customHeight="1">
      <c r="A1041" s="135">
        <v>1037.0</v>
      </c>
      <c r="B1041" s="135">
        <v>25045.0</v>
      </c>
      <c r="C1041" s="135" t="s">
        <v>2817</v>
      </c>
      <c r="D1041" s="135">
        <v>29.0</v>
      </c>
      <c r="E1041" s="135" t="s">
        <v>3559</v>
      </c>
      <c r="F1041" s="135" t="s">
        <v>872</v>
      </c>
      <c r="G1041" s="135" t="s">
        <v>158</v>
      </c>
      <c r="H1041" s="135" t="s">
        <v>2853</v>
      </c>
      <c r="I1041" s="135" t="s">
        <v>167</v>
      </c>
      <c r="J1041" s="135">
        <v>1.0</v>
      </c>
      <c r="K1041" s="135" t="s">
        <v>3134</v>
      </c>
      <c r="L1041" s="135">
        <v>4714.0</v>
      </c>
      <c r="M1041" s="135">
        <v>1350.0</v>
      </c>
      <c r="N1041" s="135">
        <v>120.0</v>
      </c>
      <c r="O1041" s="135">
        <v>0.892</v>
      </c>
      <c r="P1041" s="136"/>
      <c r="Q1041" s="137">
        <v>2.23</v>
      </c>
      <c r="R1041" s="136">
        <v>46120.0</v>
      </c>
      <c r="S1041" s="135" t="s">
        <v>3528</v>
      </c>
      <c r="T1041" s="136"/>
      <c r="U1041" s="135" t="s">
        <v>2855</v>
      </c>
      <c r="V1041" s="135" t="s">
        <v>2856</v>
      </c>
      <c r="W1041" s="135" t="s">
        <v>3589</v>
      </c>
      <c r="X1041" s="135"/>
      <c r="Y1041" s="135"/>
      <c r="Z1041" s="135" t="s">
        <v>2858</v>
      </c>
      <c r="AA1041" s="135"/>
      <c r="AB1041" s="135"/>
      <c r="AC1041" s="135"/>
      <c r="AD1041" s="135" t="e">
        <v>#N/A</v>
      </c>
      <c r="AE1041" s="135"/>
      <c r="AF1041" s="135"/>
      <c r="AG1041" s="135"/>
    </row>
    <row r="1042" ht="21.75" hidden="1" customHeight="1">
      <c r="A1042" s="135">
        <v>1038.0</v>
      </c>
      <c r="B1042" s="135">
        <v>25045.0</v>
      </c>
      <c r="C1042" s="135" t="s">
        <v>2817</v>
      </c>
      <c r="D1042" s="135">
        <v>29.0</v>
      </c>
      <c r="E1042" s="135" t="s">
        <v>3557</v>
      </c>
      <c r="F1042" s="135" t="s">
        <v>853</v>
      </c>
      <c r="G1042" s="135" t="s">
        <v>158</v>
      </c>
      <c r="H1042" s="135" t="s">
        <v>2853</v>
      </c>
      <c r="I1042" s="135" t="s">
        <v>166</v>
      </c>
      <c r="J1042" s="135">
        <v>1.0</v>
      </c>
      <c r="K1042" s="135"/>
      <c r="L1042" s="135">
        <v>4455.0</v>
      </c>
      <c r="M1042" s="135">
        <v>2880.0</v>
      </c>
      <c r="N1042" s="135">
        <v>120.0</v>
      </c>
      <c r="O1042" s="135">
        <v>0.942</v>
      </c>
      <c r="P1042" s="136">
        <v>0.0</v>
      </c>
      <c r="Q1042" s="137">
        <v>2.355</v>
      </c>
      <c r="R1042" s="136">
        <v>46120.0</v>
      </c>
      <c r="S1042" s="135" t="s">
        <v>3528</v>
      </c>
      <c r="T1042" s="136"/>
      <c r="U1042" s="135" t="s">
        <v>2855</v>
      </c>
      <c r="V1042" s="135" t="s">
        <v>2856</v>
      </c>
      <c r="W1042" s="135" t="s">
        <v>3590</v>
      </c>
      <c r="X1042" s="135" t="s">
        <v>3591</v>
      </c>
      <c r="Y1042" s="135"/>
      <c r="Z1042" s="135" t="s">
        <v>2858</v>
      </c>
      <c r="AA1042" s="135"/>
      <c r="AB1042" s="135"/>
      <c r="AC1042" s="135"/>
      <c r="AD1042" s="135" t="e">
        <v>#N/A</v>
      </c>
      <c r="AE1042" s="135"/>
      <c r="AF1042" s="135"/>
      <c r="AG1042" s="135"/>
    </row>
    <row r="1043" ht="21.75" hidden="1" customHeight="1">
      <c r="A1043" s="135">
        <v>1039.0</v>
      </c>
      <c r="B1043" s="135">
        <v>25045.0</v>
      </c>
      <c r="C1043" s="135" t="s">
        <v>2817</v>
      </c>
      <c r="D1043" s="135">
        <v>29.0</v>
      </c>
      <c r="E1043" s="135" t="s">
        <v>3557</v>
      </c>
      <c r="F1043" s="135" t="s">
        <v>854</v>
      </c>
      <c r="G1043" s="135" t="s">
        <v>158</v>
      </c>
      <c r="H1043" s="135" t="s">
        <v>2853</v>
      </c>
      <c r="I1043" s="135" t="s">
        <v>166</v>
      </c>
      <c r="J1043" s="135">
        <v>1.0</v>
      </c>
      <c r="K1043" s="135"/>
      <c r="L1043" s="135">
        <v>4455.0</v>
      </c>
      <c r="M1043" s="135">
        <v>1350.0</v>
      </c>
      <c r="N1043" s="135">
        <v>120.0</v>
      </c>
      <c r="O1043" s="135">
        <v>0.87</v>
      </c>
      <c r="P1043" s="136">
        <v>0.0</v>
      </c>
      <c r="Q1043" s="137">
        <v>2.175</v>
      </c>
      <c r="R1043" s="136">
        <v>46120.0</v>
      </c>
      <c r="S1043" s="135" t="s">
        <v>3528</v>
      </c>
      <c r="T1043" s="136"/>
      <c r="U1043" s="135" t="s">
        <v>2855</v>
      </c>
      <c r="V1043" s="135" t="s">
        <v>2856</v>
      </c>
      <c r="W1043" s="135" t="s">
        <v>3592</v>
      </c>
      <c r="X1043" s="135"/>
      <c r="Y1043" s="135"/>
      <c r="Z1043" s="135" t="s">
        <v>2858</v>
      </c>
      <c r="AA1043" s="135"/>
      <c r="AB1043" s="135"/>
      <c r="AC1043" s="135"/>
      <c r="AD1043" s="135" t="e">
        <v>#N/A</v>
      </c>
      <c r="AE1043" s="135"/>
      <c r="AF1043" s="135"/>
      <c r="AG1043" s="135"/>
    </row>
    <row r="1044" ht="21.75" hidden="1" customHeight="1">
      <c r="A1044" s="135">
        <v>1040.0</v>
      </c>
      <c r="B1044" s="135">
        <v>25045.0</v>
      </c>
      <c r="C1044" s="135" t="s">
        <v>2817</v>
      </c>
      <c r="D1044" s="135">
        <v>29.0</v>
      </c>
      <c r="E1044" s="135" t="s">
        <v>3557</v>
      </c>
      <c r="F1044" s="135" t="s">
        <v>855</v>
      </c>
      <c r="G1044" s="135" t="s">
        <v>158</v>
      </c>
      <c r="H1044" s="135" t="s">
        <v>2853</v>
      </c>
      <c r="I1044" s="135" t="s">
        <v>166</v>
      </c>
      <c r="J1044" s="135">
        <v>1.0</v>
      </c>
      <c r="K1044" s="135"/>
      <c r="L1044" s="135">
        <v>4455.0</v>
      </c>
      <c r="M1044" s="135">
        <v>1350.0</v>
      </c>
      <c r="N1044" s="135">
        <v>120.0</v>
      </c>
      <c r="O1044" s="135">
        <v>0.87</v>
      </c>
      <c r="P1044" s="136">
        <v>0.0</v>
      </c>
      <c r="Q1044" s="137">
        <v>2.175</v>
      </c>
      <c r="R1044" s="136">
        <v>46120.0</v>
      </c>
      <c r="S1044" s="135" t="s">
        <v>3528</v>
      </c>
      <c r="T1044" s="136"/>
      <c r="U1044" s="135" t="s">
        <v>2855</v>
      </c>
      <c r="V1044" s="135" t="s">
        <v>2856</v>
      </c>
      <c r="W1044" s="135" t="s">
        <v>3592</v>
      </c>
      <c r="X1044" s="135"/>
      <c r="Y1044" s="135"/>
      <c r="Z1044" s="135" t="s">
        <v>2858</v>
      </c>
      <c r="AA1044" s="135"/>
      <c r="AB1044" s="135"/>
      <c r="AC1044" s="135"/>
      <c r="AD1044" s="135" t="e">
        <v>#N/A</v>
      </c>
      <c r="AE1044" s="135"/>
      <c r="AF1044" s="135"/>
      <c r="AG1044" s="135"/>
    </row>
    <row r="1045" ht="21.75" hidden="1" customHeight="1">
      <c r="A1045" s="135">
        <v>1041.0</v>
      </c>
      <c r="B1045" s="135">
        <v>25045.0</v>
      </c>
      <c r="C1045" s="135" t="s">
        <v>2817</v>
      </c>
      <c r="D1045" s="135">
        <v>29.0</v>
      </c>
      <c r="E1045" s="135" t="s">
        <v>3557</v>
      </c>
      <c r="F1045" s="135" t="s">
        <v>856</v>
      </c>
      <c r="G1045" s="135" t="s">
        <v>158</v>
      </c>
      <c r="H1045" s="135" t="s">
        <v>2853</v>
      </c>
      <c r="I1045" s="135" t="s">
        <v>166</v>
      </c>
      <c r="J1045" s="135">
        <v>1.0</v>
      </c>
      <c r="K1045" s="135"/>
      <c r="L1045" s="135">
        <v>2605.0</v>
      </c>
      <c r="M1045" s="135">
        <v>2850.0</v>
      </c>
      <c r="N1045" s="135">
        <v>120.0</v>
      </c>
      <c r="O1045" s="135">
        <v>0.918</v>
      </c>
      <c r="P1045" s="136">
        <v>0.0</v>
      </c>
      <c r="Q1045" s="137">
        <v>2.295</v>
      </c>
      <c r="R1045" s="136">
        <v>46120.0</v>
      </c>
      <c r="S1045" s="135" t="s">
        <v>3528</v>
      </c>
      <c r="T1045" s="136"/>
      <c r="U1045" s="135" t="s">
        <v>2864</v>
      </c>
      <c r="V1045" s="135" t="s">
        <v>2878</v>
      </c>
      <c r="W1045" s="135" t="s">
        <v>3593</v>
      </c>
      <c r="X1045" s="135" t="s">
        <v>3456</v>
      </c>
      <c r="Y1045" s="135"/>
      <c r="Z1045" s="135" t="s">
        <v>2858</v>
      </c>
      <c r="AA1045" s="135"/>
      <c r="AB1045" s="135"/>
      <c r="AC1045" s="135"/>
      <c r="AD1045" s="135">
        <v>0.0</v>
      </c>
      <c r="AE1045" s="135"/>
      <c r="AF1045" s="135"/>
      <c r="AG1045" s="135"/>
    </row>
    <row r="1046" ht="21.75" hidden="1" customHeight="1">
      <c r="A1046" s="135">
        <v>1042.0</v>
      </c>
      <c r="B1046" s="135">
        <v>25045.0</v>
      </c>
      <c r="C1046" s="135" t="s">
        <v>2817</v>
      </c>
      <c r="D1046" s="135">
        <v>29.0</v>
      </c>
      <c r="E1046" s="135" t="s">
        <v>3555</v>
      </c>
      <c r="F1046" s="135" t="s">
        <v>838</v>
      </c>
      <c r="G1046" s="135" t="s">
        <v>158</v>
      </c>
      <c r="H1046" s="135" t="s">
        <v>2853</v>
      </c>
      <c r="I1046" s="135" t="s">
        <v>165</v>
      </c>
      <c r="J1046" s="135">
        <v>1.0</v>
      </c>
      <c r="K1046" s="135"/>
      <c r="L1046" s="135">
        <v>4458.0</v>
      </c>
      <c r="M1046" s="135">
        <v>2880.0</v>
      </c>
      <c r="N1046" s="135">
        <v>120.0</v>
      </c>
      <c r="O1046" s="135">
        <v>0.941</v>
      </c>
      <c r="P1046" s="136">
        <v>0.0</v>
      </c>
      <c r="Q1046" s="137">
        <v>2.3525</v>
      </c>
      <c r="R1046" s="136">
        <v>46120.0</v>
      </c>
      <c r="S1046" s="135" t="s">
        <v>3528</v>
      </c>
      <c r="T1046" s="136"/>
      <c r="U1046" s="135" t="s">
        <v>2855</v>
      </c>
      <c r="V1046" s="135" t="s">
        <v>2856</v>
      </c>
      <c r="W1046" s="135" t="s">
        <v>3594</v>
      </c>
      <c r="X1046" s="135" t="s">
        <v>3595</v>
      </c>
      <c r="Y1046" s="135"/>
      <c r="Z1046" s="135" t="s">
        <v>2858</v>
      </c>
      <c r="AA1046" s="135"/>
      <c r="AB1046" s="135"/>
      <c r="AC1046" s="135"/>
      <c r="AD1046" s="135" t="e">
        <v>#N/A</v>
      </c>
      <c r="AE1046" s="135"/>
      <c r="AF1046" s="135"/>
      <c r="AG1046" s="135"/>
    </row>
    <row r="1047" ht="21.75" hidden="1" customHeight="1">
      <c r="A1047" s="135">
        <v>1043.0</v>
      </c>
      <c r="B1047" s="135">
        <v>25045.0</v>
      </c>
      <c r="C1047" s="135" t="s">
        <v>2817</v>
      </c>
      <c r="D1047" s="135">
        <v>29.0</v>
      </c>
      <c r="E1047" s="135" t="s">
        <v>3555</v>
      </c>
      <c r="F1047" s="135" t="s">
        <v>839</v>
      </c>
      <c r="G1047" s="135" t="s">
        <v>158</v>
      </c>
      <c r="H1047" s="135" t="s">
        <v>2853</v>
      </c>
      <c r="I1047" s="135" t="s">
        <v>165</v>
      </c>
      <c r="J1047" s="135">
        <v>1.0</v>
      </c>
      <c r="K1047" s="135" t="s">
        <v>3134</v>
      </c>
      <c r="L1047" s="135">
        <v>4458.0</v>
      </c>
      <c r="M1047" s="135">
        <v>1350.0</v>
      </c>
      <c r="N1047" s="135">
        <v>120.0</v>
      </c>
      <c r="O1047" s="135">
        <v>0.87</v>
      </c>
      <c r="P1047" s="136">
        <v>0.0</v>
      </c>
      <c r="Q1047" s="137">
        <v>2.175</v>
      </c>
      <c r="R1047" s="136">
        <v>46120.0</v>
      </c>
      <c r="S1047" s="135" t="s">
        <v>3528</v>
      </c>
      <c r="T1047" s="136"/>
      <c r="U1047" s="135" t="s">
        <v>2855</v>
      </c>
      <c r="V1047" s="135" t="s">
        <v>2856</v>
      </c>
      <c r="W1047" s="135" t="s">
        <v>3596</v>
      </c>
      <c r="X1047" s="135"/>
      <c r="Y1047" s="135"/>
      <c r="Z1047" s="135" t="s">
        <v>2858</v>
      </c>
      <c r="AA1047" s="135"/>
      <c r="AB1047" s="135"/>
      <c r="AC1047" s="135"/>
      <c r="AD1047" s="135" t="e">
        <v>#N/A</v>
      </c>
      <c r="AE1047" s="135"/>
      <c r="AF1047" s="135"/>
      <c r="AG1047" s="135"/>
    </row>
    <row r="1048" ht="21.75" hidden="1" customHeight="1">
      <c r="A1048" s="135">
        <v>1044.0</v>
      </c>
      <c r="B1048" s="135">
        <v>25045.0</v>
      </c>
      <c r="C1048" s="135" t="s">
        <v>2817</v>
      </c>
      <c r="D1048" s="135">
        <v>29.0</v>
      </c>
      <c r="E1048" s="135" t="s">
        <v>3555</v>
      </c>
      <c r="F1048" s="135" t="s">
        <v>840</v>
      </c>
      <c r="G1048" s="135" t="s">
        <v>158</v>
      </c>
      <c r="H1048" s="135" t="s">
        <v>2853</v>
      </c>
      <c r="I1048" s="135" t="s">
        <v>165</v>
      </c>
      <c r="J1048" s="135">
        <v>1.0</v>
      </c>
      <c r="K1048" s="135" t="s">
        <v>3134</v>
      </c>
      <c r="L1048" s="135">
        <v>4458.0</v>
      </c>
      <c r="M1048" s="135">
        <v>1350.0</v>
      </c>
      <c r="N1048" s="135">
        <v>120.0</v>
      </c>
      <c r="O1048" s="135">
        <v>0.87</v>
      </c>
      <c r="P1048" s="136">
        <v>0.0</v>
      </c>
      <c r="Q1048" s="137">
        <v>2.175</v>
      </c>
      <c r="R1048" s="136">
        <v>46120.0</v>
      </c>
      <c r="S1048" s="135" t="s">
        <v>3528</v>
      </c>
      <c r="T1048" s="136"/>
      <c r="U1048" s="135" t="s">
        <v>2855</v>
      </c>
      <c r="V1048" s="135" t="s">
        <v>2856</v>
      </c>
      <c r="W1048" s="135" t="s">
        <v>3596</v>
      </c>
      <c r="X1048" s="135"/>
      <c r="Y1048" s="135"/>
      <c r="Z1048" s="135" t="s">
        <v>2858</v>
      </c>
      <c r="AA1048" s="135"/>
      <c r="AB1048" s="135"/>
      <c r="AC1048" s="135"/>
      <c r="AD1048" s="135" t="e">
        <v>#N/A</v>
      </c>
      <c r="AE1048" s="135"/>
      <c r="AF1048" s="135"/>
      <c r="AG1048" s="135"/>
    </row>
    <row r="1049" ht="21.75" hidden="1" customHeight="1">
      <c r="A1049" s="135">
        <v>1045.0</v>
      </c>
      <c r="B1049" s="135">
        <v>25045.0</v>
      </c>
      <c r="C1049" s="135" t="s">
        <v>2817</v>
      </c>
      <c r="D1049" s="135">
        <v>29.0</v>
      </c>
      <c r="E1049" s="135" t="s">
        <v>3523</v>
      </c>
      <c r="F1049" s="135" t="s">
        <v>820</v>
      </c>
      <c r="G1049" s="135" t="s">
        <v>158</v>
      </c>
      <c r="H1049" s="135" t="s">
        <v>2853</v>
      </c>
      <c r="I1049" s="135" t="s">
        <v>164</v>
      </c>
      <c r="J1049" s="135">
        <v>1.0</v>
      </c>
      <c r="K1049" s="135"/>
      <c r="L1049" s="135">
        <v>2195.0</v>
      </c>
      <c r="M1049" s="135">
        <v>2850.0</v>
      </c>
      <c r="N1049" s="135">
        <v>120.0</v>
      </c>
      <c r="O1049" s="135">
        <v>0.793</v>
      </c>
      <c r="P1049" s="136">
        <v>0.0</v>
      </c>
      <c r="Q1049" s="137">
        <v>1.9825000000000002</v>
      </c>
      <c r="R1049" s="136">
        <v>46120.0</v>
      </c>
      <c r="S1049" s="135" t="s">
        <v>3528</v>
      </c>
      <c r="T1049" s="136"/>
      <c r="U1049" s="135" t="s">
        <v>2864</v>
      </c>
      <c r="V1049" s="135" t="s">
        <v>2878</v>
      </c>
      <c r="W1049" s="135" t="s">
        <v>3157</v>
      </c>
      <c r="X1049" s="135" t="s">
        <v>2947</v>
      </c>
      <c r="Y1049" s="135"/>
      <c r="Z1049" s="135" t="s">
        <v>2858</v>
      </c>
      <c r="AA1049" s="135"/>
      <c r="AB1049" s="135"/>
      <c r="AC1049" s="135"/>
      <c r="AD1049" s="135">
        <v>0.0</v>
      </c>
      <c r="AE1049" s="135"/>
      <c r="AF1049" s="135"/>
      <c r="AG1049" s="135"/>
    </row>
    <row r="1050" ht="21.75" hidden="1" customHeight="1">
      <c r="A1050" s="135">
        <v>1046.0</v>
      </c>
      <c r="B1050" s="135">
        <v>25045.0</v>
      </c>
      <c r="C1050" s="135" t="s">
        <v>2817</v>
      </c>
      <c r="D1050" s="135">
        <v>29.0</v>
      </c>
      <c r="E1050" s="135" t="s">
        <v>3523</v>
      </c>
      <c r="F1050" s="135" t="s">
        <v>821</v>
      </c>
      <c r="G1050" s="135" t="s">
        <v>158</v>
      </c>
      <c r="H1050" s="135" t="s">
        <v>2853</v>
      </c>
      <c r="I1050" s="135" t="s">
        <v>164</v>
      </c>
      <c r="J1050" s="135">
        <v>1.0</v>
      </c>
      <c r="K1050" s="135"/>
      <c r="L1050" s="135">
        <v>5755.0</v>
      </c>
      <c r="M1050" s="135">
        <v>1350.0</v>
      </c>
      <c r="N1050" s="135">
        <v>120.0</v>
      </c>
      <c r="O1050" s="135">
        <v>0.87</v>
      </c>
      <c r="P1050" s="136">
        <v>0.0</v>
      </c>
      <c r="Q1050" s="137">
        <v>2.175</v>
      </c>
      <c r="R1050" s="136">
        <v>46120.0</v>
      </c>
      <c r="S1050" s="135" t="s">
        <v>3528</v>
      </c>
      <c r="T1050" s="136"/>
      <c r="U1050" s="135" t="s">
        <v>2855</v>
      </c>
      <c r="V1050" s="135" t="s">
        <v>2856</v>
      </c>
      <c r="W1050" s="135" t="s">
        <v>3597</v>
      </c>
      <c r="X1050" s="135"/>
      <c r="Y1050" s="135"/>
      <c r="Z1050" s="135" t="s">
        <v>2858</v>
      </c>
      <c r="AA1050" s="135"/>
      <c r="AB1050" s="135"/>
      <c r="AC1050" s="135"/>
      <c r="AD1050" s="135" t="e">
        <v>#N/A</v>
      </c>
      <c r="AE1050" s="135"/>
      <c r="AF1050" s="135"/>
      <c r="AG1050" s="135"/>
    </row>
    <row r="1051" ht="21.75" hidden="1" customHeight="1">
      <c r="A1051" s="135">
        <v>1047.0</v>
      </c>
      <c r="B1051" s="135">
        <v>25045.0</v>
      </c>
      <c r="C1051" s="135" t="s">
        <v>2817</v>
      </c>
      <c r="D1051" s="135">
        <v>29.0</v>
      </c>
      <c r="E1051" s="135" t="s">
        <v>3523</v>
      </c>
      <c r="F1051" s="135" t="s">
        <v>822</v>
      </c>
      <c r="G1051" s="135" t="s">
        <v>158</v>
      </c>
      <c r="H1051" s="135" t="s">
        <v>2853</v>
      </c>
      <c r="I1051" s="135" t="s">
        <v>164</v>
      </c>
      <c r="J1051" s="135">
        <v>1.0</v>
      </c>
      <c r="K1051" s="135"/>
      <c r="L1051" s="135">
        <v>5755.0</v>
      </c>
      <c r="M1051" s="135">
        <v>1350.0</v>
      </c>
      <c r="N1051" s="135">
        <v>120.0</v>
      </c>
      <c r="O1051" s="135">
        <v>0.87</v>
      </c>
      <c r="P1051" s="136">
        <v>0.0</v>
      </c>
      <c r="Q1051" s="137">
        <v>2.175</v>
      </c>
      <c r="R1051" s="136">
        <v>46120.0</v>
      </c>
      <c r="S1051" s="135" t="s">
        <v>3528</v>
      </c>
      <c r="T1051" s="136"/>
      <c r="U1051" s="135" t="s">
        <v>2855</v>
      </c>
      <c r="V1051" s="135" t="s">
        <v>2856</v>
      </c>
      <c r="W1051" s="135" t="s">
        <v>3598</v>
      </c>
      <c r="X1051" s="135"/>
      <c r="Y1051" s="135"/>
      <c r="Z1051" s="135" t="s">
        <v>2858</v>
      </c>
      <c r="AA1051" s="135"/>
      <c r="AB1051" s="135"/>
      <c r="AC1051" s="135"/>
      <c r="AD1051" s="135" t="e">
        <v>#N/A</v>
      </c>
      <c r="AE1051" s="135"/>
      <c r="AF1051" s="135"/>
      <c r="AG1051" s="135"/>
    </row>
    <row r="1052" ht="21.75" hidden="1" customHeight="1">
      <c r="A1052" s="135">
        <v>1048.0</v>
      </c>
      <c r="B1052" s="135">
        <v>25045.0</v>
      </c>
      <c r="C1052" s="135" t="s">
        <v>2817</v>
      </c>
      <c r="D1052" s="135">
        <v>29.0</v>
      </c>
      <c r="E1052" s="135" t="s">
        <v>3523</v>
      </c>
      <c r="F1052" s="135" t="s">
        <v>823</v>
      </c>
      <c r="G1052" s="135" t="s">
        <v>158</v>
      </c>
      <c r="H1052" s="135" t="s">
        <v>2853</v>
      </c>
      <c r="I1052" s="135" t="s">
        <v>164</v>
      </c>
      <c r="J1052" s="135">
        <v>1.0</v>
      </c>
      <c r="K1052" s="135"/>
      <c r="L1052" s="135">
        <v>5755.0</v>
      </c>
      <c r="M1052" s="135">
        <v>2850.0</v>
      </c>
      <c r="N1052" s="135">
        <v>120.0</v>
      </c>
      <c r="O1052" s="135">
        <v>1.122</v>
      </c>
      <c r="P1052" s="136">
        <v>0.0</v>
      </c>
      <c r="Q1052" s="137">
        <v>2.805</v>
      </c>
      <c r="R1052" s="136">
        <v>46120.0</v>
      </c>
      <c r="S1052" s="135" t="s">
        <v>3528</v>
      </c>
      <c r="T1052" s="136"/>
      <c r="U1052" s="135" t="s">
        <v>2855</v>
      </c>
      <c r="V1052" s="135" t="s">
        <v>2856</v>
      </c>
      <c r="W1052" s="135" t="s">
        <v>3599</v>
      </c>
      <c r="X1052" s="135" t="s">
        <v>3600</v>
      </c>
      <c r="Y1052" s="135"/>
      <c r="Z1052" s="135" t="s">
        <v>2858</v>
      </c>
      <c r="AA1052" s="135"/>
      <c r="AB1052" s="135"/>
      <c r="AC1052" s="135"/>
      <c r="AD1052" s="135">
        <v>0.0</v>
      </c>
      <c r="AE1052" s="135"/>
      <c r="AF1052" s="135"/>
      <c r="AG1052" s="135"/>
    </row>
    <row r="1053" ht="21.75" hidden="1" customHeight="1">
      <c r="A1053" s="135">
        <v>1049.0</v>
      </c>
      <c r="B1053" s="135">
        <v>25045.0</v>
      </c>
      <c r="C1053" s="135" t="s">
        <v>2817</v>
      </c>
      <c r="D1053" s="135">
        <v>29.0</v>
      </c>
      <c r="E1053" s="135" t="s">
        <v>3520</v>
      </c>
      <c r="F1053" s="135" t="s">
        <v>797</v>
      </c>
      <c r="G1053" s="135" t="s">
        <v>158</v>
      </c>
      <c r="H1053" s="135" t="s">
        <v>2853</v>
      </c>
      <c r="I1053" s="135" t="s">
        <v>163</v>
      </c>
      <c r="J1053" s="135">
        <v>1.0</v>
      </c>
      <c r="K1053" s="135"/>
      <c r="L1053" s="135">
        <v>2195.0</v>
      </c>
      <c r="M1053" s="135">
        <v>2850.0</v>
      </c>
      <c r="N1053" s="135">
        <v>120.0</v>
      </c>
      <c r="O1053" s="135">
        <v>0.794</v>
      </c>
      <c r="P1053" s="136">
        <v>0.0</v>
      </c>
      <c r="Q1053" s="137">
        <v>1.985</v>
      </c>
      <c r="R1053" s="136">
        <v>46120.0</v>
      </c>
      <c r="S1053" s="135" t="s">
        <v>3528</v>
      </c>
      <c r="T1053" s="136"/>
      <c r="U1053" s="135" t="s">
        <v>2864</v>
      </c>
      <c r="V1053" s="135" t="s">
        <v>2878</v>
      </c>
      <c r="W1053" s="135" t="s">
        <v>3157</v>
      </c>
      <c r="X1053" s="135" t="s">
        <v>2947</v>
      </c>
      <c r="Y1053" s="135"/>
      <c r="Z1053" s="135" t="s">
        <v>2858</v>
      </c>
      <c r="AA1053" s="135"/>
      <c r="AB1053" s="135"/>
      <c r="AC1053" s="135"/>
      <c r="AD1053" s="135">
        <v>0.0</v>
      </c>
      <c r="AE1053" s="135"/>
      <c r="AF1053" s="135"/>
      <c r="AG1053" s="135"/>
    </row>
    <row r="1054" ht="21.75" hidden="1" customHeight="1">
      <c r="A1054" s="135">
        <v>1050.0</v>
      </c>
      <c r="B1054" s="135">
        <v>25045.0</v>
      </c>
      <c r="C1054" s="135" t="s">
        <v>2817</v>
      </c>
      <c r="D1054" s="135">
        <v>29.0</v>
      </c>
      <c r="E1054" s="135" t="s">
        <v>3520</v>
      </c>
      <c r="F1054" s="135" t="s">
        <v>798</v>
      </c>
      <c r="G1054" s="135" t="s">
        <v>158</v>
      </c>
      <c r="H1054" s="135" t="s">
        <v>2853</v>
      </c>
      <c r="I1054" s="135" t="s">
        <v>163</v>
      </c>
      <c r="J1054" s="135">
        <v>1.0</v>
      </c>
      <c r="K1054" s="135"/>
      <c r="L1054" s="135">
        <v>5284.0</v>
      </c>
      <c r="M1054" s="135">
        <v>1350.0</v>
      </c>
      <c r="N1054" s="135">
        <v>120.0</v>
      </c>
      <c r="O1054" s="135">
        <v>0.87</v>
      </c>
      <c r="P1054" s="136">
        <v>0.0</v>
      </c>
      <c r="Q1054" s="137">
        <v>2.175</v>
      </c>
      <c r="R1054" s="136">
        <v>46120.0</v>
      </c>
      <c r="S1054" s="135" t="s">
        <v>3528</v>
      </c>
      <c r="T1054" s="136"/>
      <c r="U1054" s="135" t="s">
        <v>2855</v>
      </c>
      <c r="V1054" s="135" t="s">
        <v>2856</v>
      </c>
      <c r="W1054" s="135" t="s">
        <v>3601</v>
      </c>
      <c r="X1054" s="135"/>
      <c r="Y1054" s="135"/>
      <c r="Z1054" s="135" t="s">
        <v>2858</v>
      </c>
      <c r="AA1054" s="135"/>
      <c r="AB1054" s="135"/>
      <c r="AC1054" s="135"/>
      <c r="AD1054" s="135" t="e">
        <v>#N/A</v>
      </c>
      <c r="AE1054" s="135"/>
      <c r="AF1054" s="135"/>
      <c r="AG1054" s="135"/>
    </row>
    <row r="1055" ht="21.75" hidden="1" customHeight="1">
      <c r="A1055" s="135">
        <v>1051.0</v>
      </c>
      <c r="B1055" s="135">
        <v>25045.0</v>
      </c>
      <c r="C1055" s="135" t="s">
        <v>2817</v>
      </c>
      <c r="D1055" s="135">
        <v>29.0</v>
      </c>
      <c r="E1055" s="135" t="s">
        <v>3520</v>
      </c>
      <c r="F1055" s="135" t="s">
        <v>799</v>
      </c>
      <c r="G1055" s="135" t="s">
        <v>158</v>
      </c>
      <c r="H1055" s="135" t="s">
        <v>2853</v>
      </c>
      <c r="I1055" s="135" t="s">
        <v>163</v>
      </c>
      <c r="J1055" s="135">
        <v>1.0</v>
      </c>
      <c r="K1055" s="135" t="s">
        <v>3134</v>
      </c>
      <c r="L1055" s="135">
        <v>5284.0</v>
      </c>
      <c r="M1055" s="135">
        <v>1350.0</v>
      </c>
      <c r="N1055" s="135">
        <v>120.0</v>
      </c>
      <c r="O1055" s="135">
        <v>0.87</v>
      </c>
      <c r="P1055" s="136">
        <v>0.0</v>
      </c>
      <c r="Q1055" s="137">
        <v>2.175</v>
      </c>
      <c r="R1055" s="136">
        <v>46120.0</v>
      </c>
      <c r="S1055" s="135" t="s">
        <v>3528</v>
      </c>
      <c r="T1055" s="136"/>
      <c r="U1055" s="135" t="s">
        <v>2855</v>
      </c>
      <c r="V1055" s="135" t="s">
        <v>2856</v>
      </c>
      <c r="W1055" s="135" t="s">
        <v>3602</v>
      </c>
      <c r="X1055" s="135"/>
      <c r="Y1055" s="135"/>
      <c r="Z1055" s="135" t="s">
        <v>2858</v>
      </c>
      <c r="AA1055" s="135"/>
      <c r="AB1055" s="135"/>
      <c r="AC1055" s="135"/>
      <c r="AD1055" s="135" t="e">
        <v>#N/A</v>
      </c>
      <c r="AE1055" s="135"/>
      <c r="AF1055" s="135"/>
      <c r="AG1055" s="135"/>
    </row>
    <row r="1056" ht="21.75" hidden="1" customHeight="1">
      <c r="A1056" s="135">
        <v>1052.0</v>
      </c>
      <c r="B1056" s="135">
        <v>25045.0</v>
      </c>
      <c r="C1056" s="135" t="s">
        <v>2817</v>
      </c>
      <c r="D1056" s="135">
        <v>29.0</v>
      </c>
      <c r="E1056" s="135" t="s">
        <v>3520</v>
      </c>
      <c r="F1056" s="135" t="s">
        <v>800</v>
      </c>
      <c r="G1056" s="135" t="s">
        <v>158</v>
      </c>
      <c r="H1056" s="135" t="s">
        <v>2853</v>
      </c>
      <c r="I1056" s="135" t="s">
        <v>163</v>
      </c>
      <c r="J1056" s="135">
        <v>1.0</v>
      </c>
      <c r="K1056" s="135" t="s">
        <v>3134</v>
      </c>
      <c r="L1056" s="135">
        <v>5284.0</v>
      </c>
      <c r="M1056" s="135">
        <v>1350.0</v>
      </c>
      <c r="N1056" s="135">
        <v>120.0</v>
      </c>
      <c r="O1056" s="135">
        <v>0.87</v>
      </c>
      <c r="P1056" s="136">
        <v>0.0</v>
      </c>
      <c r="Q1056" s="137">
        <v>2.175</v>
      </c>
      <c r="R1056" s="136">
        <v>46120.0</v>
      </c>
      <c r="S1056" s="135" t="s">
        <v>3528</v>
      </c>
      <c r="T1056" s="136"/>
      <c r="U1056" s="135" t="s">
        <v>2855</v>
      </c>
      <c r="V1056" s="135" t="s">
        <v>2856</v>
      </c>
      <c r="W1056" s="135" t="s">
        <v>3602</v>
      </c>
      <c r="X1056" s="135"/>
      <c r="Y1056" s="135"/>
      <c r="Z1056" s="135" t="s">
        <v>2858</v>
      </c>
      <c r="AA1056" s="135"/>
      <c r="AB1056" s="135"/>
      <c r="AC1056" s="135"/>
      <c r="AD1056" s="135" t="e">
        <v>#N/A</v>
      </c>
      <c r="AE1056" s="135"/>
      <c r="AF1056" s="135"/>
      <c r="AG1056" s="135"/>
    </row>
    <row r="1057" ht="21.75" hidden="1" customHeight="1">
      <c r="A1057" s="135">
        <v>1053.0</v>
      </c>
      <c r="B1057" s="135">
        <v>25045.0</v>
      </c>
      <c r="C1057" s="135" t="s">
        <v>2817</v>
      </c>
      <c r="D1057" s="135">
        <v>29.0</v>
      </c>
      <c r="E1057" s="135" t="s">
        <v>3520</v>
      </c>
      <c r="F1057" s="135" t="s">
        <v>801</v>
      </c>
      <c r="G1057" s="135" t="s">
        <v>158</v>
      </c>
      <c r="H1057" s="135" t="s">
        <v>2853</v>
      </c>
      <c r="I1057" s="135" t="s">
        <v>163</v>
      </c>
      <c r="J1057" s="135">
        <v>1.0</v>
      </c>
      <c r="K1057" s="135" t="s">
        <v>3134</v>
      </c>
      <c r="L1057" s="135">
        <v>5284.0</v>
      </c>
      <c r="M1057" s="135">
        <v>1350.0</v>
      </c>
      <c r="N1057" s="135">
        <v>120.0</v>
      </c>
      <c r="O1057" s="135">
        <v>0.87</v>
      </c>
      <c r="P1057" s="136">
        <v>0.0</v>
      </c>
      <c r="Q1057" s="137">
        <v>2.175</v>
      </c>
      <c r="R1057" s="136">
        <v>46120.0</v>
      </c>
      <c r="S1057" s="135" t="s">
        <v>3528</v>
      </c>
      <c r="T1057" s="136"/>
      <c r="U1057" s="135" t="s">
        <v>2855</v>
      </c>
      <c r="V1057" s="135" t="s">
        <v>2856</v>
      </c>
      <c r="W1057" s="135" t="s">
        <v>3602</v>
      </c>
      <c r="X1057" s="135"/>
      <c r="Y1057" s="135"/>
      <c r="Z1057" s="135" t="s">
        <v>2858</v>
      </c>
      <c r="AA1057" s="135"/>
      <c r="AB1057" s="135"/>
      <c r="AC1057" s="135"/>
      <c r="AD1057" s="135" t="e">
        <v>#N/A</v>
      </c>
      <c r="AE1057" s="135"/>
      <c r="AF1057" s="135"/>
      <c r="AG1057" s="135"/>
    </row>
    <row r="1058" ht="21.75" hidden="1" customHeight="1">
      <c r="A1058" s="135">
        <v>1054.0</v>
      </c>
      <c r="B1058" s="135">
        <v>25045.0</v>
      </c>
      <c r="C1058" s="135" t="s">
        <v>2817</v>
      </c>
      <c r="D1058" s="135">
        <v>29.0</v>
      </c>
      <c r="E1058" s="135" t="s">
        <v>3520</v>
      </c>
      <c r="F1058" s="135" t="s">
        <v>802</v>
      </c>
      <c r="G1058" s="135" t="s">
        <v>158</v>
      </c>
      <c r="H1058" s="135" t="s">
        <v>2853</v>
      </c>
      <c r="I1058" s="135" t="s">
        <v>163</v>
      </c>
      <c r="J1058" s="135">
        <v>1.0</v>
      </c>
      <c r="K1058" s="135"/>
      <c r="L1058" s="135">
        <v>5284.0</v>
      </c>
      <c r="M1058" s="135">
        <v>2860.0</v>
      </c>
      <c r="N1058" s="135">
        <v>120.0</v>
      </c>
      <c r="O1058" s="135">
        <v>1.032</v>
      </c>
      <c r="P1058" s="136">
        <v>0.0</v>
      </c>
      <c r="Q1058" s="137">
        <v>2.58</v>
      </c>
      <c r="R1058" s="136">
        <v>46120.0</v>
      </c>
      <c r="S1058" s="135" t="s">
        <v>3528</v>
      </c>
      <c r="T1058" s="136"/>
      <c r="U1058" s="135" t="s">
        <v>2855</v>
      </c>
      <c r="V1058" s="135" t="s">
        <v>2856</v>
      </c>
      <c r="W1058" s="135" t="s">
        <v>3603</v>
      </c>
      <c r="X1058" s="135" t="s">
        <v>3604</v>
      </c>
      <c r="Y1058" s="135"/>
      <c r="Z1058" s="135" t="s">
        <v>2858</v>
      </c>
      <c r="AA1058" s="135"/>
      <c r="AB1058" s="135"/>
      <c r="AC1058" s="135"/>
      <c r="AD1058" s="135">
        <v>0.0</v>
      </c>
      <c r="AE1058" s="135"/>
      <c r="AF1058" s="135"/>
      <c r="AG1058" s="135"/>
    </row>
    <row r="1059" ht="21.75" hidden="1" customHeight="1">
      <c r="A1059" s="135">
        <v>1055.0</v>
      </c>
      <c r="B1059" s="135">
        <v>25045.0</v>
      </c>
      <c r="C1059" s="135" t="s">
        <v>2817</v>
      </c>
      <c r="D1059" s="135">
        <v>29.0</v>
      </c>
      <c r="E1059" s="135" t="s">
        <v>3519</v>
      </c>
      <c r="F1059" s="135" t="s">
        <v>761</v>
      </c>
      <c r="G1059" s="135" t="s">
        <v>158</v>
      </c>
      <c r="H1059" s="135" t="s">
        <v>2853</v>
      </c>
      <c r="I1059" s="135" t="s">
        <v>162</v>
      </c>
      <c r="J1059" s="135">
        <v>1.0</v>
      </c>
      <c r="K1059" s="135"/>
      <c r="L1059" s="135">
        <v>2222.0</v>
      </c>
      <c r="M1059" s="135">
        <v>2850.0</v>
      </c>
      <c r="N1059" s="135">
        <v>120.0</v>
      </c>
      <c r="O1059" s="135">
        <v>0.794</v>
      </c>
      <c r="P1059" s="136">
        <v>0.0</v>
      </c>
      <c r="Q1059" s="137">
        <v>1.985</v>
      </c>
      <c r="R1059" s="136">
        <v>46120.0</v>
      </c>
      <c r="S1059" s="135" t="s">
        <v>3528</v>
      </c>
      <c r="T1059" s="136"/>
      <c r="U1059" s="135" t="s">
        <v>2864</v>
      </c>
      <c r="V1059" s="135" t="s">
        <v>2878</v>
      </c>
      <c r="W1059" s="135" t="s">
        <v>3605</v>
      </c>
      <c r="X1059" s="135" t="s">
        <v>2947</v>
      </c>
      <c r="Y1059" s="135"/>
      <c r="Z1059" s="135" t="s">
        <v>2858</v>
      </c>
      <c r="AA1059" s="135"/>
      <c r="AB1059" s="135"/>
      <c r="AC1059" s="135"/>
      <c r="AD1059" s="135">
        <v>0.0</v>
      </c>
      <c r="AE1059" s="135"/>
      <c r="AF1059" s="135"/>
      <c r="AG1059" s="135"/>
    </row>
    <row r="1060" ht="21.75" hidden="1" customHeight="1">
      <c r="A1060" s="135">
        <v>1056.0</v>
      </c>
      <c r="B1060" s="135">
        <v>25045.0</v>
      </c>
      <c r="C1060" s="135" t="s">
        <v>2817</v>
      </c>
      <c r="D1060" s="135">
        <v>29.0</v>
      </c>
      <c r="E1060" s="135" t="s">
        <v>3519</v>
      </c>
      <c r="F1060" s="135" t="s">
        <v>762</v>
      </c>
      <c r="G1060" s="135" t="s">
        <v>158</v>
      </c>
      <c r="H1060" s="135" t="s">
        <v>2853</v>
      </c>
      <c r="I1060" s="135" t="s">
        <v>162</v>
      </c>
      <c r="J1060" s="135">
        <v>1.0</v>
      </c>
      <c r="K1060" s="135"/>
      <c r="L1060" s="135">
        <v>2459.0</v>
      </c>
      <c r="M1060" s="135">
        <v>1350.0</v>
      </c>
      <c r="N1060" s="135">
        <v>120.0</v>
      </c>
      <c r="O1060" s="135">
        <v>0.454</v>
      </c>
      <c r="P1060" s="136">
        <v>0.0</v>
      </c>
      <c r="Q1060" s="137">
        <v>1.135</v>
      </c>
      <c r="R1060" s="136">
        <v>46120.0</v>
      </c>
      <c r="S1060" s="135" t="s">
        <v>3528</v>
      </c>
      <c r="T1060" s="136"/>
      <c r="U1060" s="135" t="s">
        <v>2864</v>
      </c>
      <c r="V1060" s="135" t="s">
        <v>2856</v>
      </c>
      <c r="W1060" s="135" t="s">
        <v>3606</v>
      </c>
      <c r="X1060" s="135"/>
      <c r="Y1060" s="135"/>
      <c r="Z1060" s="135" t="s">
        <v>2858</v>
      </c>
      <c r="AA1060" s="135"/>
      <c r="AB1060" s="135"/>
      <c r="AC1060" s="135"/>
      <c r="AD1060" s="135" t="e">
        <v>#N/A</v>
      </c>
      <c r="AE1060" s="135"/>
      <c r="AF1060" s="135"/>
      <c r="AG1060" s="135"/>
    </row>
    <row r="1061" ht="21.75" hidden="1" customHeight="1">
      <c r="A1061" s="135">
        <v>1057.0</v>
      </c>
      <c r="B1061" s="135">
        <v>25045.0</v>
      </c>
      <c r="C1061" s="135" t="s">
        <v>2817</v>
      </c>
      <c r="D1061" s="135">
        <v>29.0</v>
      </c>
      <c r="E1061" s="135" t="s">
        <v>3519</v>
      </c>
      <c r="F1061" s="135" t="s">
        <v>763</v>
      </c>
      <c r="G1061" s="135" t="s">
        <v>158</v>
      </c>
      <c r="H1061" s="135" t="s">
        <v>2853</v>
      </c>
      <c r="I1061" s="135" t="s">
        <v>162</v>
      </c>
      <c r="J1061" s="135">
        <v>1.0</v>
      </c>
      <c r="K1061" s="135" t="s">
        <v>3134</v>
      </c>
      <c r="L1061" s="135">
        <v>3000.0</v>
      </c>
      <c r="M1061" s="135">
        <v>1350.0</v>
      </c>
      <c r="N1061" s="135">
        <v>120.0</v>
      </c>
      <c r="O1061" s="135">
        <v>0.5</v>
      </c>
      <c r="P1061" s="136">
        <v>0.0</v>
      </c>
      <c r="Q1061" s="137">
        <v>1.25</v>
      </c>
      <c r="R1061" s="136">
        <v>46120.0</v>
      </c>
      <c r="S1061" s="135" t="s">
        <v>3528</v>
      </c>
      <c r="T1061" s="136"/>
      <c r="U1061" s="135" t="s">
        <v>2864</v>
      </c>
      <c r="V1061" s="135" t="s">
        <v>2856</v>
      </c>
      <c r="W1061" s="135" t="s">
        <v>2923</v>
      </c>
      <c r="X1061" s="135"/>
      <c r="Y1061" s="135"/>
      <c r="Z1061" s="135" t="s">
        <v>2858</v>
      </c>
      <c r="AA1061" s="135"/>
      <c r="AB1061" s="135"/>
      <c r="AC1061" s="135"/>
      <c r="AD1061" s="135" t="e">
        <v>#N/A</v>
      </c>
      <c r="AE1061" s="135"/>
      <c r="AF1061" s="135"/>
      <c r="AG1061" s="135"/>
    </row>
    <row r="1062" ht="21.75" hidden="1" customHeight="1">
      <c r="A1062" s="135">
        <v>1058.0</v>
      </c>
      <c r="B1062" s="135">
        <v>25045.0</v>
      </c>
      <c r="C1062" s="135" t="s">
        <v>2817</v>
      </c>
      <c r="D1062" s="135">
        <v>29.0</v>
      </c>
      <c r="E1062" s="135" t="s">
        <v>3519</v>
      </c>
      <c r="F1062" s="135" t="s">
        <v>764</v>
      </c>
      <c r="G1062" s="135" t="s">
        <v>158</v>
      </c>
      <c r="H1062" s="135" t="s">
        <v>2853</v>
      </c>
      <c r="I1062" s="135" t="s">
        <v>162</v>
      </c>
      <c r="J1062" s="135">
        <v>1.0</v>
      </c>
      <c r="K1062" s="135" t="s">
        <v>3134</v>
      </c>
      <c r="L1062" s="135">
        <v>3000.0</v>
      </c>
      <c r="M1062" s="135">
        <v>1350.0</v>
      </c>
      <c r="N1062" s="135">
        <v>120.0</v>
      </c>
      <c r="O1062" s="135">
        <v>0.5</v>
      </c>
      <c r="P1062" s="136">
        <v>0.0</v>
      </c>
      <c r="Q1062" s="137">
        <v>1.25</v>
      </c>
      <c r="R1062" s="136">
        <v>46120.0</v>
      </c>
      <c r="S1062" s="135" t="s">
        <v>3528</v>
      </c>
      <c r="T1062" s="136"/>
      <c r="U1062" s="135" t="s">
        <v>2864</v>
      </c>
      <c r="V1062" s="135" t="s">
        <v>2856</v>
      </c>
      <c r="W1062" s="135" t="s">
        <v>2923</v>
      </c>
      <c r="X1062" s="135"/>
      <c r="Y1062" s="135"/>
      <c r="Z1062" s="135" t="s">
        <v>2858</v>
      </c>
      <c r="AA1062" s="135"/>
      <c r="AB1062" s="135"/>
      <c r="AC1062" s="135"/>
      <c r="AD1062" s="135" t="e">
        <v>#N/A</v>
      </c>
      <c r="AE1062" s="135"/>
      <c r="AF1062" s="135"/>
      <c r="AG1062" s="135"/>
    </row>
    <row r="1063" ht="21.75" hidden="1" customHeight="1">
      <c r="A1063" s="135">
        <v>1059.0</v>
      </c>
      <c r="B1063" s="135">
        <v>25045.0</v>
      </c>
      <c r="C1063" s="135" t="s">
        <v>2817</v>
      </c>
      <c r="D1063" s="135">
        <v>29.0</v>
      </c>
      <c r="E1063" s="135" t="s">
        <v>3519</v>
      </c>
      <c r="F1063" s="135" t="s">
        <v>765</v>
      </c>
      <c r="G1063" s="135" t="s">
        <v>158</v>
      </c>
      <c r="H1063" s="135" t="s">
        <v>2853</v>
      </c>
      <c r="I1063" s="135" t="s">
        <v>162</v>
      </c>
      <c r="J1063" s="135">
        <v>1.0</v>
      </c>
      <c r="K1063" s="135" t="s">
        <v>3134</v>
      </c>
      <c r="L1063" s="135">
        <v>3000.0</v>
      </c>
      <c r="M1063" s="135">
        <v>1350.0</v>
      </c>
      <c r="N1063" s="135">
        <v>120.0</v>
      </c>
      <c r="O1063" s="135">
        <v>0.5</v>
      </c>
      <c r="P1063" s="136">
        <v>0.0</v>
      </c>
      <c r="Q1063" s="137">
        <v>1.25</v>
      </c>
      <c r="R1063" s="136">
        <v>46120.0</v>
      </c>
      <c r="S1063" s="135" t="s">
        <v>3528</v>
      </c>
      <c r="T1063" s="136"/>
      <c r="U1063" s="135" t="s">
        <v>2864</v>
      </c>
      <c r="V1063" s="135" t="s">
        <v>2856</v>
      </c>
      <c r="W1063" s="135" t="s">
        <v>2923</v>
      </c>
      <c r="X1063" s="135"/>
      <c r="Y1063" s="135"/>
      <c r="Z1063" s="135" t="s">
        <v>2858</v>
      </c>
      <c r="AA1063" s="135"/>
      <c r="AB1063" s="135"/>
      <c r="AC1063" s="135"/>
      <c r="AD1063" s="135" t="e">
        <v>#N/A</v>
      </c>
      <c r="AE1063" s="135"/>
      <c r="AF1063" s="135"/>
      <c r="AG1063" s="135"/>
    </row>
    <row r="1064" ht="21.75" hidden="1" customHeight="1">
      <c r="A1064" s="135">
        <v>1060.0</v>
      </c>
      <c r="B1064" s="135">
        <v>25045.0</v>
      </c>
      <c r="C1064" s="135" t="s">
        <v>2817</v>
      </c>
      <c r="D1064" s="135">
        <v>29.0</v>
      </c>
      <c r="E1064" s="135" t="s">
        <v>3519</v>
      </c>
      <c r="F1064" s="135" t="s">
        <v>766</v>
      </c>
      <c r="G1064" s="135" t="s">
        <v>158</v>
      </c>
      <c r="H1064" s="135" t="s">
        <v>2853</v>
      </c>
      <c r="I1064" s="135" t="s">
        <v>162</v>
      </c>
      <c r="J1064" s="135">
        <v>1.0</v>
      </c>
      <c r="K1064" s="135" t="s">
        <v>3134</v>
      </c>
      <c r="L1064" s="135">
        <v>3000.0</v>
      </c>
      <c r="M1064" s="135">
        <v>1350.0</v>
      </c>
      <c r="N1064" s="135">
        <v>120.0</v>
      </c>
      <c r="O1064" s="135">
        <v>0.5</v>
      </c>
      <c r="P1064" s="136">
        <v>0.0</v>
      </c>
      <c r="Q1064" s="137">
        <v>1.25</v>
      </c>
      <c r="R1064" s="136">
        <v>46120.0</v>
      </c>
      <c r="S1064" s="135" t="s">
        <v>3528</v>
      </c>
      <c r="T1064" s="136"/>
      <c r="U1064" s="135" t="s">
        <v>2864</v>
      </c>
      <c r="V1064" s="135" t="s">
        <v>2856</v>
      </c>
      <c r="W1064" s="135" t="s">
        <v>2923</v>
      </c>
      <c r="X1064" s="135"/>
      <c r="Y1064" s="135"/>
      <c r="Z1064" s="135" t="s">
        <v>2858</v>
      </c>
      <c r="AA1064" s="135"/>
      <c r="AB1064" s="135"/>
      <c r="AC1064" s="135"/>
      <c r="AD1064" s="135" t="e">
        <v>#N/A</v>
      </c>
      <c r="AE1064" s="135"/>
      <c r="AF1064" s="135"/>
      <c r="AG1064" s="135"/>
    </row>
    <row r="1065" ht="21.75" hidden="1" customHeight="1">
      <c r="A1065" s="135">
        <v>1061.0</v>
      </c>
      <c r="B1065" s="135">
        <v>25045.0</v>
      </c>
      <c r="C1065" s="135" t="s">
        <v>2817</v>
      </c>
      <c r="D1065" s="135">
        <v>29.0</v>
      </c>
      <c r="E1065" s="135" t="s">
        <v>3519</v>
      </c>
      <c r="F1065" s="135" t="s">
        <v>767</v>
      </c>
      <c r="G1065" s="135" t="s">
        <v>158</v>
      </c>
      <c r="H1065" s="135" t="s">
        <v>2853</v>
      </c>
      <c r="I1065" s="135" t="s">
        <v>162</v>
      </c>
      <c r="J1065" s="135">
        <v>1.0</v>
      </c>
      <c r="K1065" s="135" t="s">
        <v>3134</v>
      </c>
      <c r="L1065" s="135">
        <v>3000.0</v>
      </c>
      <c r="M1065" s="135">
        <v>1350.0</v>
      </c>
      <c r="N1065" s="135">
        <v>120.0</v>
      </c>
      <c r="O1065" s="135">
        <v>0.5</v>
      </c>
      <c r="P1065" s="136">
        <v>0.0</v>
      </c>
      <c r="Q1065" s="137">
        <v>1.25</v>
      </c>
      <c r="R1065" s="136">
        <v>46120.0</v>
      </c>
      <c r="S1065" s="135" t="s">
        <v>3528</v>
      </c>
      <c r="T1065" s="136"/>
      <c r="U1065" s="135" t="s">
        <v>2864</v>
      </c>
      <c r="V1065" s="135" t="s">
        <v>2856</v>
      </c>
      <c r="W1065" s="135" t="s">
        <v>2923</v>
      </c>
      <c r="X1065" s="135"/>
      <c r="Y1065" s="135"/>
      <c r="Z1065" s="135" t="s">
        <v>2858</v>
      </c>
      <c r="AA1065" s="135"/>
      <c r="AB1065" s="135"/>
      <c r="AC1065" s="135"/>
      <c r="AD1065" s="135" t="e">
        <v>#N/A</v>
      </c>
      <c r="AE1065" s="135"/>
      <c r="AF1065" s="135"/>
      <c r="AG1065" s="135"/>
    </row>
    <row r="1066" ht="21.75" hidden="1" customHeight="1">
      <c r="A1066" s="135">
        <v>1062.0</v>
      </c>
      <c r="B1066" s="135">
        <v>25045.0</v>
      </c>
      <c r="C1066" s="135" t="s">
        <v>2817</v>
      </c>
      <c r="D1066" s="135">
        <v>29.0</v>
      </c>
      <c r="E1066" s="135" t="s">
        <v>3519</v>
      </c>
      <c r="F1066" s="135" t="s">
        <v>768</v>
      </c>
      <c r="G1066" s="135" t="s">
        <v>158</v>
      </c>
      <c r="H1066" s="135" t="s">
        <v>2853</v>
      </c>
      <c r="I1066" s="135" t="s">
        <v>162</v>
      </c>
      <c r="J1066" s="135">
        <v>1.0</v>
      </c>
      <c r="K1066" s="135" t="s">
        <v>3134</v>
      </c>
      <c r="L1066" s="135">
        <v>3000.0</v>
      </c>
      <c r="M1066" s="135">
        <v>1350.0</v>
      </c>
      <c r="N1066" s="135">
        <v>120.0</v>
      </c>
      <c r="O1066" s="135">
        <v>0.5</v>
      </c>
      <c r="P1066" s="136">
        <v>0.0</v>
      </c>
      <c r="Q1066" s="137">
        <v>1.25</v>
      </c>
      <c r="R1066" s="136">
        <v>46120.0</v>
      </c>
      <c r="S1066" s="135" t="s">
        <v>3528</v>
      </c>
      <c r="T1066" s="136"/>
      <c r="U1066" s="135" t="s">
        <v>2864</v>
      </c>
      <c r="V1066" s="135" t="s">
        <v>2856</v>
      </c>
      <c r="W1066" s="135" t="s">
        <v>2923</v>
      </c>
      <c r="X1066" s="135"/>
      <c r="Y1066" s="135"/>
      <c r="Z1066" s="135" t="s">
        <v>2858</v>
      </c>
      <c r="AA1066" s="135"/>
      <c r="AB1066" s="135"/>
      <c r="AC1066" s="135"/>
      <c r="AD1066" s="135" t="e">
        <v>#N/A</v>
      </c>
      <c r="AE1066" s="135"/>
      <c r="AF1066" s="135"/>
      <c r="AG1066" s="135"/>
    </row>
    <row r="1067" ht="21.75" hidden="1" customHeight="1">
      <c r="A1067" s="135">
        <v>1063.0</v>
      </c>
      <c r="B1067" s="135">
        <v>25045.0</v>
      </c>
      <c r="C1067" s="135" t="s">
        <v>2817</v>
      </c>
      <c r="D1067" s="135">
        <v>29.0</v>
      </c>
      <c r="E1067" s="135" t="s">
        <v>3519</v>
      </c>
      <c r="F1067" s="135" t="s">
        <v>769</v>
      </c>
      <c r="G1067" s="135" t="s">
        <v>158</v>
      </c>
      <c r="H1067" s="135" t="s">
        <v>2853</v>
      </c>
      <c r="I1067" s="135" t="s">
        <v>162</v>
      </c>
      <c r="J1067" s="135">
        <v>1.0</v>
      </c>
      <c r="K1067" s="135" t="s">
        <v>3134</v>
      </c>
      <c r="L1067" s="135">
        <v>3000.0</v>
      </c>
      <c r="M1067" s="135">
        <v>1350.0</v>
      </c>
      <c r="N1067" s="135">
        <v>120.0</v>
      </c>
      <c r="O1067" s="135">
        <v>0.5</v>
      </c>
      <c r="P1067" s="136">
        <v>0.0</v>
      </c>
      <c r="Q1067" s="137">
        <v>1.25</v>
      </c>
      <c r="R1067" s="136">
        <v>46120.0</v>
      </c>
      <c r="S1067" s="135" t="s">
        <v>3528</v>
      </c>
      <c r="T1067" s="136"/>
      <c r="U1067" s="135" t="s">
        <v>2864</v>
      </c>
      <c r="V1067" s="135" t="s">
        <v>2856</v>
      </c>
      <c r="W1067" s="135" t="s">
        <v>2923</v>
      </c>
      <c r="X1067" s="135"/>
      <c r="Y1067" s="135"/>
      <c r="Z1067" s="135" t="s">
        <v>2858</v>
      </c>
      <c r="AA1067" s="135"/>
      <c r="AB1067" s="135"/>
      <c r="AC1067" s="135"/>
      <c r="AD1067" s="135" t="e">
        <v>#N/A</v>
      </c>
      <c r="AE1067" s="135"/>
      <c r="AF1067" s="135"/>
      <c r="AG1067" s="135"/>
    </row>
    <row r="1068" ht="21.75" hidden="1" customHeight="1">
      <c r="A1068" s="135">
        <v>1064.0</v>
      </c>
      <c r="B1068" s="135">
        <v>25045.0</v>
      </c>
      <c r="C1068" s="135" t="s">
        <v>2817</v>
      </c>
      <c r="D1068" s="135">
        <v>29.0</v>
      </c>
      <c r="E1068" s="135" t="s">
        <v>3519</v>
      </c>
      <c r="F1068" s="135" t="s">
        <v>770</v>
      </c>
      <c r="G1068" s="135" t="s">
        <v>158</v>
      </c>
      <c r="H1068" s="135" t="s">
        <v>2853</v>
      </c>
      <c r="I1068" s="135" t="s">
        <v>162</v>
      </c>
      <c r="J1068" s="135">
        <v>1.0</v>
      </c>
      <c r="K1068" s="135" t="s">
        <v>3134</v>
      </c>
      <c r="L1068" s="135">
        <v>3000.0</v>
      </c>
      <c r="M1068" s="135">
        <v>1350.0</v>
      </c>
      <c r="N1068" s="135">
        <v>120.0</v>
      </c>
      <c r="O1068" s="135">
        <v>0.5</v>
      </c>
      <c r="P1068" s="136">
        <v>0.0</v>
      </c>
      <c r="Q1068" s="137">
        <v>1.25</v>
      </c>
      <c r="R1068" s="136">
        <v>46120.0</v>
      </c>
      <c r="S1068" s="135" t="s">
        <v>3528</v>
      </c>
      <c r="T1068" s="136"/>
      <c r="U1068" s="135" t="s">
        <v>2864</v>
      </c>
      <c r="V1068" s="135" t="s">
        <v>2856</v>
      </c>
      <c r="W1068" s="135" t="s">
        <v>2923</v>
      </c>
      <c r="X1068" s="135"/>
      <c r="Y1068" s="135"/>
      <c r="Z1068" s="135" t="s">
        <v>2858</v>
      </c>
      <c r="AA1068" s="135"/>
      <c r="AB1068" s="135"/>
      <c r="AC1068" s="135"/>
      <c r="AD1068" s="135" t="e">
        <v>#N/A</v>
      </c>
      <c r="AE1068" s="135"/>
      <c r="AF1068" s="135"/>
      <c r="AG1068" s="135"/>
    </row>
    <row r="1069" ht="21.75" hidden="1" customHeight="1">
      <c r="A1069" s="135">
        <v>1065.0</v>
      </c>
      <c r="B1069" s="135">
        <v>25045.0</v>
      </c>
      <c r="C1069" s="135" t="s">
        <v>2817</v>
      </c>
      <c r="D1069" s="135">
        <v>29.0</v>
      </c>
      <c r="E1069" s="135" t="s">
        <v>3519</v>
      </c>
      <c r="F1069" s="135" t="s">
        <v>771</v>
      </c>
      <c r="G1069" s="135" t="s">
        <v>158</v>
      </c>
      <c r="H1069" s="135" t="s">
        <v>2853</v>
      </c>
      <c r="I1069" s="135" t="s">
        <v>162</v>
      </c>
      <c r="J1069" s="135">
        <v>1.0</v>
      </c>
      <c r="K1069" s="135" t="s">
        <v>3134</v>
      </c>
      <c r="L1069" s="135">
        <v>3000.0</v>
      </c>
      <c r="M1069" s="135">
        <v>1350.0</v>
      </c>
      <c r="N1069" s="135">
        <v>120.0</v>
      </c>
      <c r="O1069" s="135">
        <v>0.5</v>
      </c>
      <c r="P1069" s="136">
        <v>0.0</v>
      </c>
      <c r="Q1069" s="137">
        <v>1.25</v>
      </c>
      <c r="R1069" s="136">
        <v>46120.0</v>
      </c>
      <c r="S1069" s="135" t="s">
        <v>3528</v>
      </c>
      <c r="T1069" s="136"/>
      <c r="U1069" s="135" t="s">
        <v>2864</v>
      </c>
      <c r="V1069" s="135" t="s">
        <v>2856</v>
      </c>
      <c r="W1069" s="135" t="s">
        <v>2923</v>
      </c>
      <c r="X1069" s="135"/>
      <c r="Y1069" s="135"/>
      <c r="Z1069" s="135" t="s">
        <v>2858</v>
      </c>
      <c r="AA1069" s="135"/>
      <c r="AB1069" s="135"/>
      <c r="AC1069" s="135"/>
      <c r="AD1069" s="135" t="e">
        <v>#N/A</v>
      </c>
      <c r="AE1069" s="135"/>
      <c r="AF1069" s="135"/>
      <c r="AG1069" s="135"/>
    </row>
    <row r="1070" ht="21.75" hidden="1" customHeight="1">
      <c r="A1070" s="135">
        <v>1066.0</v>
      </c>
      <c r="B1070" s="135">
        <v>25045.0</v>
      </c>
      <c r="C1070" s="135" t="s">
        <v>2817</v>
      </c>
      <c r="D1070" s="135">
        <v>29.0</v>
      </c>
      <c r="E1070" s="135" t="s">
        <v>3519</v>
      </c>
      <c r="F1070" s="135" t="s">
        <v>772</v>
      </c>
      <c r="G1070" s="135" t="s">
        <v>158</v>
      </c>
      <c r="H1070" s="135" t="s">
        <v>2853</v>
      </c>
      <c r="I1070" s="135" t="s">
        <v>162</v>
      </c>
      <c r="J1070" s="135">
        <v>1.0</v>
      </c>
      <c r="K1070" s="135" t="s">
        <v>3134</v>
      </c>
      <c r="L1070" s="135">
        <v>3000.0</v>
      </c>
      <c r="M1070" s="135">
        <v>1350.0</v>
      </c>
      <c r="N1070" s="135">
        <v>120.0</v>
      </c>
      <c r="O1070" s="135">
        <v>0.5</v>
      </c>
      <c r="P1070" s="136">
        <v>0.0</v>
      </c>
      <c r="Q1070" s="137">
        <v>1.25</v>
      </c>
      <c r="R1070" s="136">
        <v>46120.0</v>
      </c>
      <c r="S1070" s="135" t="s">
        <v>3528</v>
      </c>
      <c r="T1070" s="136"/>
      <c r="U1070" s="135" t="s">
        <v>2864</v>
      </c>
      <c r="V1070" s="135" t="s">
        <v>2856</v>
      </c>
      <c r="W1070" s="135" t="s">
        <v>2923</v>
      </c>
      <c r="X1070" s="135"/>
      <c r="Y1070" s="135"/>
      <c r="Z1070" s="135" t="s">
        <v>2858</v>
      </c>
      <c r="AA1070" s="135"/>
      <c r="AB1070" s="135"/>
      <c r="AC1070" s="135"/>
      <c r="AD1070" s="135" t="e">
        <v>#N/A</v>
      </c>
      <c r="AE1070" s="135"/>
      <c r="AF1070" s="135"/>
      <c r="AG1070" s="135"/>
    </row>
    <row r="1071" ht="21.75" hidden="1" customHeight="1">
      <c r="A1071" s="135">
        <v>1067.0</v>
      </c>
      <c r="B1071" s="135">
        <v>25045.0</v>
      </c>
      <c r="C1071" s="135" t="s">
        <v>2817</v>
      </c>
      <c r="D1071" s="135">
        <v>29.0</v>
      </c>
      <c r="E1071" s="135" t="s">
        <v>3519</v>
      </c>
      <c r="F1071" s="135" t="s">
        <v>773</v>
      </c>
      <c r="G1071" s="135" t="s">
        <v>158</v>
      </c>
      <c r="H1071" s="135" t="s">
        <v>2853</v>
      </c>
      <c r="I1071" s="135" t="s">
        <v>162</v>
      </c>
      <c r="J1071" s="135">
        <v>1.0</v>
      </c>
      <c r="K1071" s="135" t="s">
        <v>3134</v>
      </c>
      <c r="L1071" s="135">
        <v>3000.0</v>
      </c>
      <c r="M1071" s="135">
        <v>1350.0</v>
      </c>
      <c r="N1071" s="135">
        <v>120.0</v>
      </c>
      <c r="O1071" s="135">
        <v>0.5</v>
      </c>
      <c r="P1071" s="136">
        <v>0.0</v>
      </c>
      <c r="Q1071" s="137">
        <v>1.25</v>
      </c>
      <c r="R1071" s="136">
        <v>46120.0</v>
      </c>
      <c r="S1071" s="135" t="s">
        <v>3528</v>
      </c>
      <c r="T1071" s="136"/>
      <c r="U1071" s="135" t="s">
        <v>2864</v>
      </c>
      <c r="V1071" s="135" t="s">
        <v>2856</v>
      </c>
      <c r="W1071" s="135" t="s">
        <v>2923</v>
      </c>
      <c r="X1071" s="135"/>
      <c r="Y1071" s="135"/>
      <c r="Z1071" s="135" t="s">
        <v>2858</v>
      </c>
      <c r="AA1071" s="135"/>
      <c r="AB1071" s="135"/>
      <c r="AC1071" s="135"/>
      <c r="AD1071" s="135" t="e">
        <v>#N/A</v>
      </c>
      <c r="AE1071" s="135"/>
      <c r="AF1071" s="135"/>
      <c r="AG1071" s="135"/>
    </row>
    <row r="1072" ht="21.75" hidden="1" customHeight="1">
      <c r="A1072" s="135">
        <v>1068.0</v>
      </c>
      <c r="B1072" s="135">
        <v>25045.0</v>
      </c>
      <c r="C1072" s="135" t="s">
        <v>2817</v>
      </c>
      <c r="D1072" s="135">
        <v>29.0</v>
      </c>
      <c r="E1072" s="135" t="s">
        <v>3519</v>
      </c>
      <c r="F1072" s="135" t="s">
        <v>774</v>
      </c>
      <c r="G1072" s="135" t="s">
        <v>158</v>
      </c>
      <c r="H1072" s="135" t="s">
        <v>2853</v>
      </c>
      <c r="I1072" s="135" t="s">
        <v>162</v>
      </c>
      <c r="J1072" s="135">
        <v>1.0</v>
      </c>
      <c r="K1072" s="135"/>
      <c r="L1072" s="135">
        <v>3000.0</v>
      </c>
      <c r="M1072" s="135">
        <v>2850.0</v>
      </c>
      <c r="N1072" s="135">
        <v>120.0</v>
      </c>
      <c r="O1072" s="135">
        <v>0.643</v>
      </c>
      <c r="P1072" s="136">
        <v>0.0</v>
      </c>
      <c r="Q1072" s="137">
        <v>1.6075</v>
      </c>
      <c r="R1072" s="136">
        <v>46120.0</v>
      </c>
      <c r="S1072" s="135" t="s">
        <v>3528</v>
      </c>
      <c r="T1072" s="136"/>
      <c r="U1072" s="135" t="s">
        <v>2864</v>
      </c>
      <c r="V1072" s="135" t="s">
        <v>2856</v>
      </c>
      <c r="W1072" s="135" t="s">
        <v>3607</v>
      </c>
      <c r="X1072" s="135" t="s">
        <v>3608</v>
      </c>
      <c r="Y1072" s="135"/>
      <c r="Z1072" s="135" t="s">
        <v>2858</v>
      </c>
      <c r="AA1072" s="135"/>
      <c r="AB1072" s="135"/>
      <c r="AC1072" s="135"/>
      <c r="AD1072" s="135" t="e">
        <v>#N/A</v>
      </c>
      <c r="AE1072" s="135"/>
      <c r="AF1072" s="135"/>
      <c r="AG1072" s="135"/>
    </row>
    <row r="1073" ht="21.75" hidden="1" customHeight="1">
      <c r="A1073" s="135">
        <v>1069.0</v>
      </c>
      <c r="B1073" s="135">
        <v>25045.0</v>
      </c>
      <c r="C1073" s="135" t="s">
        <v>2817</v>
      </c>
      <c r="D1073" s="135">
        <v>29.0</v>
      </c>
      <c r="E1073" s="135" t="s">
        <v>3527</v>
      </c>
      <c r="F1073" s="135" t="s">
        <v>728</v>
      </c>
      <c r="G1073" s="135" t="s">
        <v>158</v>
      </c>
      <c r="H1073" s="135" t="s">
        <v>2853</v>
      </c>
      <c r="I1073" s="135" t="s">
        <v>161</v>
      </c>
      <c r="J1073" s="135">
        <v>1.0</v>
      </c>
      <c r="K1073" s="135"/>
      <c r="L1073" s="135">
        <v>2195.0</v>
      </c>
      <c r="M1073" s="135">
        <v>2870.0</v>
      </c>
      <c r="N1073" s="135">
        <v>120.0</v>
      </c>
      <c r="O1073" s="135">
        <v>0.789</v>
      </c>
      <c r="P1073" s="136">
        <v>0.0</v>
      </c>
      <c r="Q1073" s="137">
        <v>1.9725000000000001</v>
      </c>
      <c r="R1073" s="136">
        <v>46120.0</v>
      </c>
      <c r="S1073" s="135" t="s">
        <v>3528</v>
      </c>
      <c r="T1073" s="136"/>
      <c r="U1073" s="135" t="s">
        <v>2864</v>
      </c>
      <c r="V1073" s="135" t="s">
        <v>2878</v>
      </c>
      <c r="W1073" s="135" t="s">
        <v>3609</v>
      </c>
      <c r="X1073" s="135" t="s">
        <v>2947</v>
      </c>
      <c r="Y1073" s="135"/>
      <c r="Z1073" s="135" t="s">
        <v>2858</v>
      </c>
      <c r="AA1073" s="135"/>
      <c r="AB1073" s="135"/>
      <c r="AC1073" s="135"/>
      <c r="AD1073" s="135">
        <v>46127.0</v>
      </c>
      <c r="AE1073" s="135"/>
      <c r="AF1073" s="135"/>
      <c r="AG1073" s="135"/>
    </row>
    <row r="1074" ht="21.75" hidden="1" customHeight="1">
      <c r="A1074" s="135">
        <v>1070.0</v>
      </c>
      <c r="B1074" s="135">
        <v>25045.0</v>
      </c>
      <c r="C1074" s="135" t="s">
        <v>2817</v>
      </c>
      <c r="D1074" s="135">
        <v>29.0</v>
      </c>
      <c r="E1074" s="135" t="s">
        <v>3527</v>
      </c>
      <c r="F1074" s="135" t="s">
        <v>729</v>
      </c>
      <c r="G1074" s="135" t="s">
        <v>158</v>
      </c>
      <c r="H1074" s="135" t="s">
        <v>2853</v>
      </c>
      <c r="I1074" s="135" t="s">
        <v>161</v>
      </c>
      <c r="J1074" s="135">
        <v>1.0</v>
      </c>
      <c r="K1074" s="135" t="s">
        <v>3134</v>
      </c>
      <c r="L1074" s="135">
        <v>3000.0</v>
      </c>
      <c r="M1074" s="135">
        <v>1350.0</v>
      </c>
      <c r="N1074" s="135">
        <v>120.0</v>
      </c>
      <c r="O1074" s="135">
        <v>0.5</v>
      </c>
      <c r="P1074" s="136">
        <v>0.0</v>
      </c>
      <c r="Q1074" s="137">
        <v>1.25</v>
      </c>
      <c r="R1074" s="136">
        <v>46120.0</v>
      </c>
      <c r="S1074" s="135" t="s">
        <v>3528</v>
      </c>
      <c r="T1074" s="136"/>
      <c r="U1074" s="135" t="s">
        <v>2864</v>
      </c>
      <c r="V1074" s="135" t="s">
        <v>2856</v>
      </c>
      <c r="W1074" s="135" t="s">
        <v>2923</v>
      </c>
      <c r="X1074" s="135"/>
      <c r="Y1074" s="135"/>
      <c r="Z1074" s="135" t="s">
        <v>2858</v>
      </c>
      <c r="AA1074" s="135"/>
      <c r="AB1074" s="135"/>
      <c r="AC1074" s="135"/>
      <c r="AD1074" s="135">
        <v>0.0</v>
      </c>
      <c r="AE1074" s="135"/>
      <c r="AF1074" s="135"/>
      <c r="AG1074" s="135"/>
    </row>
    <row r="1075" ht="21.75" hidden="1" customHeight="1">
      <c r="A1075" s="135">
        <v>1071.0</v>
      </c>
      <c r="B1075" s="135">
        <v>25045.0</v>
      </c>
      <c r="C1075" s="135" t="s">
        <v>2817</v>
      </c>
      <c r="D1075" s="135">
        <v>29.0</v>
      </c>
      <c r="E1075" s="135" t="s">
        <v>3527</v>
      </c>
      <c r="F1075" s="135" t="s">
        <v>730</v>
      </c>
      <c r="G1075" s="135" t="s">
        <v>158</v>
      </c>
      <c r="H1075" s="135" t="s">
        <v>2853</v>
      </c>
      <c r="I1075" s="135" t="s">
        <v>161</v>
      </c>
      <c r="J1075" s="135">
        <v>1.0</v>
      </c>
      <c r="K1075" s="135" t="s">
        <v>3134</v>
      </c>
      <c r="L1075" s="135">
        <v>3000.0</v>
      </c>
      <c r="M1075" s="135">
        <v>1350.0</v>
      </c>
      <c r="N1075" s="135">
        <v>120.0</v>
      </c>
      <c r="O1075" s="135">
        <v>0.5</v>
      </c>
      <c r="P1075" s="136">
        <v>0.0</v>
      </c>
      <c r="Q1075" s="137">
        <v>1.25</v>
      </c>
      <c r="R1075" s="136">
        <v>46120.0</v>
      </c>
      <c r="S1075" s="135" t="s">
        <v>3528</v>
      </c>
      <c r="T1075" s="136"/>
      <c r="U1075" s="135" t="s">
        <v>2864</v>
      </c>
      <c r="V1075" s="135" t="s">
        <v>2856</v>
      </c>
      <c r="W1075" s="135" t="s">
        <v>2923</v>
      </c>
      <c r="X1075" s="135"/>
      <c r="Y1075" s="135"/>
      <c r="Z1075" s="135" t="s">
        <v>2858</v>
      </c>
      <c r="AA1075" s="135"/>
      <c r="AB1075" s="135"/>
      <c r="AC1075" s="135"/>
      <c r="AD1075" s="135">
        <v>0.0</v>
      </c>
      <c r="AE1075" s="135"/>
      <c r="AF1075" s="135"/>
      <c r="AG1075" s="135"/>
    </row>
    <row r="1076" ht="21.75" hidden="1" customHeight="1">
      <c r="A1076" s="135">
        <v>1072.0</v>
      </c>
      <c r="B1076" s="135">
        <v>25045.0</v>
      </c>
      <c r="C1076" s="135" t="s">
        <v>2817</v>
      </c>
      <c r="D1076" s="135">
        <v>29.0</v>
      </c>
      <c r="E1076" s="135" t="s">
        <v>3527</v>
      </c>
      <c r="F1076" s="135" t="s">
        <v>731</v>
      </c>
      <c r="G1076" s="135" t="s">
        <v>158</v>
      </c>
      <c r="H1076" s="135" t="s">
        <v>2853</v>
      </c>
      <c r="I1076" s="135" t="s">
        <v>161</v>
      </c>
      <c r="J1076" s="135">
        <v>1.0</v>
      </c>
      <c r="K1076" s="135" t="s">
        <v>3134</v>
      </c>
      <c r="L1076" s="135">
        <v>3000.0</v>
      </c>
      <c r="M1076" s="135">
        <v>1350.0</v>
      </c>
      <c r="N1076" s="135">
        <v>120.0</v>
      </c>
      <c r="O1076" s="135">
        <v>0.5</v>
      </c>
      <c r="P1076" s="136">
        <v>0.0</v>
      </c>
      <c r="Q1076" s="137">
        <v>1.25</v>
      </c>
      <c r="R1076" s="136">
        <v>46120.0</v>
      </c>
      <c r="S1076" s="135" t="s">
        <v>3528</v>
      </c>
      <c r="T1076" s="136"/>
      <c r="U1076" s="135" t="s">
        <v>2864</v>
      </c>
      <c r="V1076" s="135" t="s">
        <v>2856</v>
      </c>
      <c r="W1076" s="135" t="s">
        <v>2923</v>
      </c>
      <c r="X1076" s="135"/>
      <c r="Y1076" s="135"/>
      <c r="Z1076" s="135" t="s">
        <v>2858</v>
      </c>
      <c r="AA1076" s="135"/>
      <c r="AB1076" s="135"/>
      <c r="AC1076" s="135"/>
      <c r="AD1076" s="135">
        <v>0.0</v>
      </c>
      <c r="AE1076" s="135"/>
      <c r="AF1076" s="135"/>
      <c r="AG1076" s="135"/>
    </row>
    <row r="1077" ht="21.75" hidden="1" customHeight="1">
      <c r="A1077" s="135">
        <v>1073.0</v>
      </c>
      <c r="B1077" s="135">
        <v>25045.0</v>
      </c>
      <c r="C1077" s="135" t="s">
        <v>2817</v>
      </c>
      <c r="D1077" s="135">
        <v>29.0</v>
      </c>
      <c r="E1077" s="135" t="s">
        <v>3527</v>
      </c>
      <c r="F1077" s="135" t="s">
        <v>732</v>
      </c>
      <c r="G1077" s="135" t="s">
        <v>158</v>
      </c>
      <c r="H1077" s="135" t="s">
        <v>2853</v>
      </c>
      <c r="I1077" s="135" t="s">
        <v>161</v>
      </c>
      <c r="J1077" s="135">
        <v>1.0</v>
      </c>
      <c r="K1077" s="135" t="s">
        <v>3134</v>
      </c>
      <c r="L1077" s="135">
        <v>3000.0</v>
      </c>
      <c r="M1077" s="135">
        <v>1350.0</v>
      </c>
      <c r="N1077" s="135">
        <v>120.0</v>
      </c>
      <c r="O1077" s="135">
        <v>0.5</v>
      </c>
      <c r="P1077" s="136">
        <v>0.0</v>
      </c>
      <c r="Q1077" s="137">
        <v>1.25</v>
      </c>
      <c r="R1077" s="136">
        <v>46120.0</v>
      </c>
      <c r="S1077" s="135" t="s">
        <v>3528</v>
      </c>
      <c r="T1077" s="136"/>
      <c r="U1077" s="135" t="s">
        <v>2864</v>
      </c>
      <c r="V1077" s="135" t="s">
        <v>2856</v>
      </c>
      <c r="W1077" s="135" t="s">
        <v>2923</v>
      </c>
      <c r="X1077" s="135"/>
      <c r="Y1077" s="135"/>
      <c r="Z1077" s="135" t="s">
        <v>2858</v>
      </c>
      <c r="AA1077" s="135"/>
      <c r="AB1077" s="135"/>
      <c r="AC1077" s="135"/>
      <c r="AD1077" s="135">
        <v>0.0</v>
      </c>
      <c r="AE1077" s="135"/>
      <c r="AF1077" s="135"/>
      <c r="AG1077" s="135"/>
    </row>
    <row r="1078" ht="21.75" hidden="1" customHeight="1">
      <c r="A1078" s="135">
        <v>1074.0</v>
      </c>
      <c r="B1078" s="135">
        <v>25045.0</v>
      </c>
      <c r="C1078" s="135" t="s">
        <v>2817</v>
      </c>
      <c r="D1078" s="135">
        <v>29.0</v>
      </c>
      <c r="E1078" s="135" t="s">
        <v>3527</v>
      </c>
      <c r="F1078" s="135" t="s">
        <v>733</v>
      </c>
      <c r="G1078" s="135" t="s">
        <v>158</v>
      </c>
      <c r="H1078" s="135" t="s">
        <v>2853</v>
      </c>
      <c r="I1078" s="135" t="s">
        <v>161</v>
      </c>
      <c r="J1078" s="135">
        <v>1.0</v>
      </c>
      <c r="K1078" s="135" t="s">
        <v>3134</v>
      </c>
      <c r="L1078" s="135">
        <v>3000.0</v>
      </c>
      <c r="M1078" s="135">
        <v>1350.0</v>
      </c>
      <c r="N1078" s="135">
        <v>120.0</v>
      </c>
      <c r="O1078" s="135">
        <v>0.5</v>
      </c>
      <c r="P1078" s="136">
        <v>0.0</v>
      </c>
      <c r="Q1078" s="137">
        <v>1.25</v>
      </c>
      <c r="R1078" s="136">
        <v>46120.0</v>
      </c>
      <c r="S1078" s="135" t="s">
        <v>3528</v>
      </c>
      <c r="T1078" s="136"/>
      <c r="U1078" s="135" t="s">
        <v>2864</v>
      </c>
      <c r="V1078" s="135" t="s">
        <v>2856</v>
      </c>
      <c r="W1078" s="135" t="s">
        <v>2923</v>
      </c>
      <c r="X1078" s="135"/>
      <c r="Y1078" s="135"/>
      <c r="Z1078" s="135" t="s">
        <v>2858</v>
      </c>
      <c r="AA1078" s="135"/>
      <c r="AB1078" s="135"/>
      <c r="AC1078" s="135"/>
      <c r="AD1078" s="135">
        <v>0.0</v>
      </c>
      <c r="AE1078" s="135"/>
      <c r="AF1078" s="135"/>
      <c r="AG1078" s="135"/>
    </row>
    <row r="1079" ht="21.75" hidden="1" customHeight="1">
      <c r="A1079" s="135">
        <v>1075.0</v>
      </c>
      <c r="B1079" s="135">
        <v>25045.0</v>
      </c>
      <c r="C1079" s="135" t="s">
        <v>2817</v>
      </c>
      <c r="D1079" s="135">
        <v>29.0</v>
      </c>
      <c r="E1079" s="135" t="s">
        <v>3527</v>
      </c>
      <c r="F1079" s="135" t="s">
        <v>734</v>
      </c>
      <c r="G1079" s="135" t="s">
        <v>158</v>
      </c>
      <c r="H1079" s="135" t="s">
        <v>2853</v>
      </c>
      <c r="I1079" s="135" t="s">
        <v>161</v>
      </c>
      <c r="J1079" s="135">
        <v>1.0</v>
      </c>
      <c r="K1079" s="135" t="s">
        <v>3134</v>
      </c>
      <c r="L1079" s="135">
        <v>3000.0</v>
      </c>
      <c r="M1079" s="135">
        <v>1350.0</v>
      </c>
      <c r="N1079" s="135">
        <v>120.0</v>
      </c>
      <c r="O1079" s="135">
        <v>0.5</v>
      </c>
      <c r="P1079" s="136">
        <v>0.0</v>
      </c>
      <c r="Q1079" s="137">
        <v>1.25</v>
      </c>
      <c r="R1079" s="136">
        <v>46120.0</v>
      </c>
      <c r="S1079" s="135" t="s">
        <v>3528</v>
      </c>
      <c r="T1079" s="136"/>
      <c r="U1079" s="135" t="s">
        <v>2864</v>
      </c>
      <c r="V1079" s="135" t="s">
        <v>2856</v>
      </c>
      <c r="W1079" s="135" t="s">
        <v>2923</v>
      </c>
      <c r="X1079" s="135"/>
      <c r="Y1079" s="135"/>
      <c r="Z1079" s="135" t="s">
        <v>2858</v>
      </c>
      <c r="AA1079" s="135"/>
      <c r="AB1079" s="135"/>
      <c r="AC1079" s="135"/>
      <c r="AD1079" s="135">
        <v>0.0</v>
      </c>
      <c r="AE1079" s="135"/>
      <c r="AF1079" s="135"/>
      <c r="AG1079" s="135"/>
    </row>
    <row r="1080" ht="21.75" hidden="1" customHeight="1">
      <c r="A1080" s="135">
        <v>1076.0</v>
      </c>
      <c r="B1080" s="135">
        <v>25045.0</v>
      </c>
      <c r="C1080" s="135" t="s">
        <v>2817</v>
      </c>
      <c r="D1080" s="135">
        <v>29.0</v>
      </c>
      <c r="E1080" s="135" t="s">
        <v>3527</v>
      </c>
      <c r="F1080" s="135" t="s">
        <v>735</v>
      </c>
      <c r="G1080" s="135" t="s">
        <v>158</v>
      </c>
      <c r="H1080" s="135" t="s">
        <v>2853</v>
      </c>
      <c r="I1080" s="135" t="s">
        <v>161</v>
      </c>
      <c r="J1080" s="135">
        <v>1.0</v>
      </c>
      <c r="K1080" s="135" t="s">
        <v>3134</v>
      </c>
      <c r="L1080" s="135">
        <v>3000.0</v>
      </c>
      <c r="M1080" s="135">
        <v>1350.0</v>
      </c>
      <c r="N1080" s="135">
        <v>120.0</v>
      </c>
      <c r="O1080" s="135">
        <v>0.5</v>
      </c>
      <c r="P1080" s="136">
        <v>0.0</v>
      </c>
      <c r="Q1080" s="137">
        <v>1.25</v>
      </c>
      <c r="R1080" s="136">
        <v>46120.0</v>
      </c>
      <c r="S1080" s="135" t="s">
        <v>3528</v>
      </c>
      <c r="T1080" s="136"/>
      <c r="U1080" s="135" t="s">
        <v>2864</v>
      </c>
      <c r="V1080" s="135" t="s">
        <v>2856</v>
      </c>
      <c r="W1080" s="135" t="s">
        <v>2923</v>
      </c>
      <c r="X1080" s="135"/>
      <c r="Y1080" s="135"/>
      <c r="Z1080" s="135" t="s">
        <v>2858</v>
      </c>
      <c r="AA1080" s="135"/>
      <c r="AB1080" s="135"/>
      <c r="AC1080" s="135"/>
      <c r="AD1080" s="135">
        <v>0.0</v>
      </c>
      <c r="AE1080" s="135"/>
      <c r="AF1080" s="135"/>
      <c r="AG1080" s="135"/>
    </row>
    <row r="1081" ht="21.75" hidden="1" customHeight="1">
      <c r="A1081" s="135">
        <v>1077.0</v>
      </c>
      <c r="B1081" s="135">
        <v>25045.0</v>
      </c>
      <c r="C1081" s="135" t="s">
        <v>2817</v>
      </c>
      <c r="D1081" s="135">
        <v>29.0</v>
      </c>
      <c r="E1081" s="135" t="s">
        <v>3527</v>
      </c>
      <c r="F1081" s="135" t="s">
        <v>736</v>
      </c>
      <c r="G1081" s="135" t="s">
        <v>158</v>
      </c>
      <c r="H1081" s="135" t="s">
        <v>2853</v>
      </c>
      <c r="I1081" s="135" t="s">
        <v>161</v>
      </c>
      <c r="J1081" s="135">
        <v>1.0</v>
      </c>
      <c r="K1081" s="135" t="s">
        <v>3134</v>
      </c>
      <c r="L1081" s="135">
        <v>3000.0</v>
      </c>
      <c r="M1081" s="135">
        <v>1350.0</v>
      </c>
      <c r="N1081" s="135">
        <v>120.0</v>
      </c>
      <c r="O1081" s="135">
        <v>0.5</v>
      </c>
      <c r="P1081" s="136">
        <v>0.0</v>
      </c>
      <c r="Q1081" s="137">
        <v>1.25</v>
      </c>
      <c r="R1081" s="136">
        <v>46120.0</v>
      </c>
      <c r="S1081" s="135" t="s">
        <v>3528</v>
      </c>
      <c r="T1081" s="136"/>
      <c r="U1081" s="135" t="s">
        <v>2864</v>
      </c>
      <c r="V1081" s="135" t="s">
        <v>2856</v>
      </c>
      <c r="W1081" s="135" t="s">
        <v>2923</v>
      </c>
      <c r="X1081" s="135"/>
      <c r="Y1081" s="135"/>
      <c r="Z1081" s="135" t="s">
        <v>2858</v>
      </c>
      <c r="AA1081" s="135"/>
      <c r="AB1081" s="135"/>
      <c r="AC1081" s="135"/>
      <c r="AD1081" s="135">
        <v>0.0</v>
      </c>
      <c r="AE1081" s="135"/>
      <c r="AF1081" s="135"/>
      <c r="AG1081" s="135"/>
    </row>
    <row r="1082" ht="21.75" hidden="1" customHeight="1">
      <c r="A1082" s="135">
        <v>1078.0</v>
      </c>
      <c r="B1082" s="135">
        <v>25045.0</v>
      </c>
      <c r="C1082" s="135" t="s">
        <v>2817</v>
      </c>
      <c r="D1082" s="135">
        <v>29.0</v>
      </c>
      <c r="E1082" s="135" t="s">
        <v>3527</v>
      </c>
      <c r="F1082" s="135" t="s">
        <v>737</v>
      </c>
      <c r="G1082" s="135" t="s">
        <v>158</v>
      </c>
      <c r="H1082" s="135" t="s">
        <v>2853</v>
      </c>
      <c r="I1082" s="135" t="s">
        <v>161</v>
      </c>
      <c r="J1082" s="135">
        <v>1.0</v>
      </c>
      <c r="K1082" s="135" t="s">
        <v>3134</v>
      </c>
      <c r="L1082" s="135">
        <v>3000.0</v>
      </c>
      <c r="M1082" s="135">
        <v>1350.0</v>
      </c>
      <c r="N1082" s="135">
        <v>120.0</v>
      </c>
      <c r="O1082" s="135">
        <v>0.5</v>
      </c>
      <c r="P1082" s="136">
        <v>0.0</v>
      </c>
      <c r="Q1082" s="137">
        <v>1.25</v>
      </c>
      <c r="R1082" s="136">
        <v>46120.0</v>
      </c>
      <c r="S1082" s="135" t="s">
        <v>3528</v>
      </c>
      <c r="T1082" s="136"/>
      <c r="U1082" s="135" t="s">
        <v>2864</v>
      </c>
      <c r="V1082" s="135" t="s">
        <v>2856</v>
      </c>
      <c r="W1082" s="135" t="s">
        <v>2923</v>
      </c>
      <c r="X1082" s="135"/>
      <c r="Y1082" s="135"/>
      <c r="Z1082" s="135" t="s">
        <v>2858</v>
      </c>
      <c r="AA1082" s="135"/>
      <c r="AB1082" s="135"/>
      <c r="AC1082" s="135"/>
      <c r="AD1082" s="135">
        <v>0.0</v>
      </c>
      <c r="AE1082" s="135"/>
      <c r="AF1082" s="135"/>
      <c r="AG1082" s="135"/>
    </row>
    <row r="1083" ht="21.75" hidden="1" customHeight="1">
      <c r="A1083" s="135">
        <v>1079.0</v>
      </c>
      <c r="B1083" s="135">
        <v>25045.0</v>
      </c>
      <c r="C1083" s="135" t="s">
        <v>2817</v>
      </c>
      <c r="D1083" s="135">
        <v>29.0</v>
      </c>
      <c r="E1083" s="135" t="s">
        <v>3527</v>
      </c>
      <c r="F1083" s="135" t="s">
        <v>738</v>
      </c>
      <c r="G1083" s="135" t="s">
        <v>158</v>
      </c>
      <c r="H1083" s="135" t="s">
        <v>2853</v>
      </c>
      <c r="I1083" s="135" t="s">
        <v>161</v>
      </c>
      <c r="J1083" s="135">
        <v>1.0</v>
      </c>
      <c r="K1083" s="135" t="s">
        <v>3134</v>
      </c>
      <c r="L1083" s="135">
        <v>3000.0</v>
      </c>
      <c r="M1083" s="135">
        <v>1350.0</v>
      </c>
      <c r="N1083" s="135">
        <v>120.0</v>
      </c>
      <c r="O1083" s="135">
        <v>0.5</v>
      </c>
      <c r="P1083" s="136">
        <v>0.0</v>
      </c>
      <c r="Q1083" s="137">
        <v>1.25</v>
      </c>
      <c r="R1083" s="136">
        <v>46120.0</v>
      </c>
      <c r="S1083" s="135" t="s">
        <v>3528</v>
      </c>
      <c r="T1083" s="136"/>
      <c r="U1083" s="135" t="s">
        <v>2864</v>
      </c>
      <c r="V1083" s="135" t="s">
        <v>2856</v>
      </c>
      <c r="W1083" s="135" t="s">
        <v>2923</v>
      </c>
      <c r="X1083" s="135"/>
      <c r="Y1083" s="135"/>
      <c r="Z1083" s="135" t="s">
        <v>2858</v>
      </c>
      <c r="AA1083" s="135"/>
      <c r="AB1083" s="135"/>
      <c r="AC1083" s="135"/>
      <c r="AD1083" s="135">
        <v>0.0</v>
      </c>
      <c r="AE1083" s="135"/>
      <c r="AF1083" s="135"/>
      <c r="AG1083" s="135"/>
    </row>
    <row r="1084" ht="21.75" hidden="1" customHeight="1">
      <c r="A1084" s="135">
        <v>1080.0</v>
      </c>
      <c r="B1084" s="135">
        <v>25045.0</v>
      </c>
      <c r="C1084" s="135" t="s">
        <v>2817</v>
      </c>
      <c r="D1084" s="135">
        <v>29.0</v>
      </c>
      <c r="E1084" s="135" t="s">
        <v>3527</v>
      </c>
      <c r="F1084" s="135" t="s">
        <v>739</v>
      </c>
      <c r="G1084" s="135" t="s">
        <v>158</v>
      </c>
      <c r="H1084" s="135" t="s">
        <v>2853</v>
      </c>
      <c r="I1084" s="135" t="s">
        <v>161</v>
      </c>
      <c r="J1084" s="135">
        <v>1.0</v>
      </c>
      <c r="K1084" s="135" t="s">
        <v>3134</v>
      </c>
      <c r="L1084" s="135">
        <v>3000.0</v>
      </c>
      <c r="M1084" s="135">
        <v>1350.0</v>
      </c>
      <c r="N1084" s="135">
        <v>120.0</v>
      </c>
      <c r="O1084" s="135">
        <v>0.5</v>
      </c>
      <c r="P1084" s="136">
        <v>0.0</v>
      </c>
      <c r="Q1084" s="137">
        <v>1.25</v>
      </c>
      <c r="R1084" s="136">
        <v>46120.0</v>
      </c>
      <c r="S1084" s="135" t="s">
        <v>3528</v>
      </c>
      <c r="T1084" s="136"/>
      <c r="U1084" s="135" t="s">
        <v>2864</v>
      </c>
      <c r="V1084" s="135" t="s">
        <v>2856</v>
      </c>
      <c r="W1084" s="135" t="s">
        <v>2923</v>
      </c>
      <c r="X1084" s="135"/>
      <c r="Y1084" s="135"/>
      <c r="Z1084" s="135" t="s">
        <v>2858</v>
      </c>
      <c r="AA1084" s="135"/>
      <c r="AB1084" s="135"/>
      <c r="AC1084" s="135"/>
      <c r="AD1084" s="135">
        <v>0.0</v>
      </c>
      <c r="AE1084" s="135"/>
      <c r="AF1084" s="135"/>
      <c r="AG1084" s="135"/>
    </row>
    <row r="1085" ht="21.75" hidden="1" customHeight="1">
      <c r="A1085" s="135">
        <v>1081.0</v>
      </c>
      <c r="B1085" s="135">
        <v>25045.0</v>
      </c>
      <c r="C1085" s="135" t="s">
        <v>2817</v>
      </c>
      <c r="D1085" s="135">
        <v>29.0</v>
      </c>
      <c r="E1085" s="135" t="s">
        <v>3527</v>
      </c>
      <c r="F1085" s="135" t="s">
        <v>740</v>
      </c>
      <c r="G1085" s="135" t="s">
        <v>158</v>
      </c>
      <c r="H1085" s="135" t="s">
        <v>2853</v>
      </c>
      <c r="I1085" s="135" t="s">
        <v>161</v>
      </c>
      <c r="J1085" s="135">
        <v>1.0</v>
      </c>
      <c r="K1085" s="135" t="s">
        <v>3134</v>
      </c>
      <c r="L1085" s="135">
        <v>3000.0</v>
      </c>
      <c r="M1085" s="135">
        <v>1350.0</v>
      </c>
      <c r="N1085" s="135">
        <v>120.0</v>
      </c>
      <c r="O1085" s="135">
        <v>0.5</v>
      </c>
      <c r="P1085" s="136">
        <v>0.0</v>
      </c>
      <c r="Q1085" s="137">
        <v>1.25</v>
      </c>
      <c r="R1085" s="136">
        <v>46120.0</v>
      </c>
      <c r="S1085" s="135" t="s">
        <v>3528</v>
      </c>
      <c r="T1085" s="136"/>
      <c r="U1085" s="135" t="s">
        <v>2864</v>
      </c>
      <c r="V1085" s="135" t="s">
        <v>2856</v>
      </c>
      <c r="W1085" s="135" t="s">
        <v>2923</v>
      </c>
      <c r="X1085" s="135"/>
      <c r="Y1085" s="135"/>
      <c r="Z1085" s="135" t="s">
        <v>2858</v>
      </c>
      <c r="AA1085" s="135"/>
      <c r="AB1085" s="135"/>
      <c r="AC1085" s="135"/>
      <c r="AD1085" s="135">
        <v>0.0</v>
      </c>
      <c r="AE1085" s="135"/>
      <c r="AF1085" s="135"/>
      <c r="AG1085" s="135"/>
    </row>
    <row r="1086" ht="21.75" hidden="1" customHeight="1">
      <c r="A1086" s="135">
        <v>1082.0</v>
      </c>
      <c r="B1086" s="135">
        <v>25045.0</v>
      </c>
      <c r="C1086" s="135" t="s">
        <v>2817</v>
      </c>
      <c r="D1086" s="135">
        <v>29.0</v>
      </c>
      <c r="E1086" s="135" t="s">
        <v>3527</v>
      </c>
      <c r="F1086" s="135" t="s">
        <v>741</v>
      </c>
      <c r="G1086" s="135" t="s">
        <v>158</v>
      </c>
      <c r="H1086" s="135" t="s">
        <v>2853</v>
      </c>
      <c r="I1086" s="135" t="s">
        <v>161</v>
      </c>
      <c r="J1086" s="135">
        <v>1.0</v>
      </c>
      <c r="K1086" s="135" t="s">
        <v>3134</v>
      </c>
      <c r="L1086" s="135">
        <v>3000.0</v>
      </c>
      <c r="M1086" s="135">
        <v>1350.0</v>
      </c>
      <c r="N1086" s="135">
        <v>120.0</v>
      </c>
      <c r="O1086" s="135">
        <v>0.5</v>
      </c>
      <c r="P1086" s="136">
        <v>0.0</v>
      </c>
      <c r="Q1086" s="137">
        <v>1.25</v>
      </c>
      <c r="R1086" s="136">
        <v>46120.0</v>
      </c>
      <c r="S1086" s="135" t="s">
        <v>3528</v>
      </c>
      <c r="T1086" s="136"/>
      <c r="U1086" s="135" t="s">
        <v>2864</v>
      </c>
      <c r="V1086" s="135" t="s">
        <v>2856</v>
      </c>
      <c r="W1086" s="135" t="s">
        <v>2923</v>
      </c>
      <c r="X1086" s="135"/>
      <c r="Y1086" s="135"/>
      <c r="Z1086" s="135" t="s">
        <v>2858</v>
      </c>
      <c r="AA1086" s="135"/>
      <c r="AB1086" s="135"/>
      <c r="AC1086" s="135"/>
      <c r="AD1086" s="135">
        <v>0.0</v>
      </c>
      <c r="AE1086" s="135"/>
      <c r="AF1086" s="135"/>
      <c r="AG1086" s="135"/>
    </row>
    <row r="1087" ht="21.75" hidden="1" customHeight="1">
      <c r="A1087" s="135">
        <v>1083.0</v>
      </c>
      <c r="B1087" s="135">
        <v>25045.0</v>
      </c>
      <c r="C1087" s="135" t="s">
        <v>2817</v>
      </c>
      <c r="D1087" s="135">
        <v>29.0</v>
      </c>
      <c r="E1087" s="135" t="s">
        <v>3527</v>
      </c>
      <c r="F1087" s="135" t="s">
        <v>742</v>
      </c>
      <c r="G1087" s="135" t="s">
        <v>158</v>
      </c>
      <c r="H1087" s="135" t="s">
        <v>2853</v>
      </c>
      <c r="I1087" s="135" t="s">
        <v>161</v>
      </c>
      <c r="J1087" s="135">
        <v>1.0</v>
      </c>
      <c r="K1087" s="135" t="s">
        <v>3134</v>
      </c>
      <c r="L1087" s="135">
        <v>3000.0</v>
      </c>
      <c r="M1087" s="135">
        <v>1350.0</v>
      </c>
      <c r="N1087" s="135">
        <v>120.0</v>
      </c>
      <c r="O1087" s="135">
        <v>0.5</v>
      </c>
      <c r="P1087" s="136">
        <v>0.0</v>
      </c>
      <c r="Q1087" s="137">
        <v>1.25</v>
      </c>
      <c r="R1087" s="136">
        <v>46120.0</v>
      </c>
      <c r="S1087" s="135" t="s">
        <v>3528</v>
      </c>
      <c r="T1087" s="136"/>
      <c r="U1087" s="135" t="s">
        <v>2864</v>
      </c>
      <c r="V1087" s="135" t="s">
        <v>2856</v>
      </c>
      <c r="W1087" s="135" t="s">
        <v>2923</v>
      </c>
      <c r="X1087" s="135"/>
      <c r="Y1087" s="135"/>
      <c r="Z1087" s="135" t="s">
        <v>2858</v>
      </c>
      <c r="AA1087" s="135"/>
      <c r="AB1087" s="135"/>
      <c r="AC1087" s="135"/>
      <c r="AD1087" s="135">
        <v>0.0</v>
      </c>
      <c r="AE1087" s="135"/>
      <c r="AF1087" s="135"/>
      <c r="AG1087" s="135"/>
    </row>
    <row r="1088" ht="21.75" hidden="1" customHeight="1">
      <c r="A1088" s="135">
        <v>1084.0</v>
      </c>
      <c r="B1088" s="135">
        <v>25045.0</v>
      </c>
      <c r="C1088" s="135" t="s">
        <v>2817</v>
      </c>
      <c r="D1088" s="135">
        <v>29.0</v>
      </c>
      <c r="E1088" s="135" t="s">
        <v>3527</v>
      </c>
      <c r="F1088" s="135" t="s">
        <v>743</v>
      </c>
      <c r="G1088" s="135" t="s">
        <v>158</v>
      </c>
      <c r="H1088" s="135" t="s">
        <v>2853</v>
      </c>
      <c r="I1088" s="135" t="s">
        <v>161</v>
      </c>
      <c r="J1088" s="135">
        <v>1.0</v>
      </c>
      <c r="K1088" s="135"/>
      <c r="L1088" s="135">
        <v>3000.0</v>
      </c>
      <c r="M1088" s="135">
        <v>1350.0</v>
      </c>
      <c r="N1088" s="135">
        <v>120.0</v>
      </c>
      <c r="O1088" s="135">
        <v>0.5</v>
      </c>
      <c r="P1088" s="136">
        <v>0.0</v>
      </c>
      <c r="Q1088" s="137">
        <v>1.25</v>
      </c>
      <c r="R1088" s="136">
        <v>46120.0</v>
      </c>
      <c r="S1088" s="135" t="s">
        <v>3528</v>
      </c>
      <c r="T1088" s="136"/>
      <c r="U1088" s="135" t="s">
        <v>2864</v>
      </c>
      <c r="V1088" s="135" t="s">
        <v>2856</v>
      </c>
      <c r="W1088" s="135" t="s">
        <v>3610</v>
      </c>
      <c r="X1088" s="135"/>
      <c r="Y1088" s="135"/>
      <c r="Z1088" s="135" t="s">
        <v>2858</v>
      </c>
      <c r="AA1088" s="135"/>
      <c r="AB1088" s="135"/>
      <c r="AC1088" s="135"/>
      <c r="AD1088" s="135">
        <v>46128.0</v>
      </c>
      <c r="AE1088" s="135"/>
      <c r="AF1088" s="135"/>
      <c r="AG1088" s="135"/>
    </row>
    <row r="1089" ht="21.75" hidden="1" customHeight="1">
      <c r="A1089" s="135">
        <v>1085.0</v>
      </c>
      <c r="B1089" s="135">
        <v>25045.0</v>
      </c>
      <c r="C1089" s="135" t="s">
        <v>2817</v>
      </c>
      <c r="D1089" s="135">
        <v>29.0</v>
      </c>
      <c r="E1089" s="135" t="s">
        <v>3531</v>
      </c>
      <c r="F1089" s="135" t="s">
        <v>702</v>
      </c>
      <c r="G1089" s="135" t="s">
        <v>158</v>
      </c>
      <c r="H1089" s="135" t="s">
        <v>2853</v>
      </c>
      <c r="I1089" s="135" t="s">
        <v>160</v>
      </c>
      <c r="J1089" s="135">
        <v>1.0</v>
      </c>
      <c r="K1089" s="135"/>
      <c r="L1089" s="135">
        <v>2802.0</v>
      </c>
      <c r="M1089" s="135">
        <v>1350.0</v>
      </c>
      <c r="N1089" s="135">
        <v>120.0</v>
      </c>
      <c r="O1089" s="135">
        <v>0.484</v>
      </c>
      <c r="P1089" s="136">
        <v>0.0</v>
      </c>
      <c r="Q1089" s="137">
        <v>1.21</v>
      </c>
      <c r="R1089" s="136">
        <v>46120.0</v>
      </c>
      <c r="S1089" s="135" t="s">
        <v>3528</v>
      </c>
      <c r="T1089" s="136"/>
      <c r="U1089" s="135" t="s">
        <v>2864</v>
      </c>
      <c r="V1089" s="135" t="s">
        <v>2856</v>
      </c>
      <c r="W1089" s="135" t="s">
        <v>3611</v>
      </c>
      <c r="X1089" s="135"/>
      <c r="Y1089" s="135"/>
      <c r="Z1089" s="135" t="s">
        <v>2858</v>
      </c>
      <c r="AA1089" s="135"/>
      <c r="AB1089" s="135"/>
      <c r="AC1089" s="135"/>
      <c r="AD1089" s="135">
        <v>46129.0</v>
      </c>
      <c r="AE1089" s="135"/>
      <c r="AF1089" s="135"/>
      <c r="AG1089" s="135"/>
    </row>
    <row r="1090" ht="21.75" hidden="1" customHeight="1">
      <c r="A1090" s="135">
        <v>1086.0</v>
      </c>
      <c r="B1090" s="135">
        <v>25045.0</v>
      </c>
      <c r="C1090" s="135" t="s">
        <v>2817</v>
      </c>
      <c r="D1090" s="135">
        <v>29.0</v>
      </c>
      <c r="E1090" s="135" t="s">
        <v>3531</v>
      </c>
      <c r="F1090" s="135" t="s">
        <v>703</v>
      </c>
      <c r="G1090" s="135" t="s">
        <v>158</v>
      </c>
      <c r="H1090" s="135" t="s">
        <v>2853</v>
      </c>
      <c r="I1090" s="135" t="s">
        <v>160</v>
      </c>
      <c r="J1090" s="135">
        <v>1.0</v>
      </c>
      <c r="K1090" s="135"/>
      <c r="L1090" s="135">
        <v>2802.0</v>
      </c>
      <c r="M1090" s="135">
        <v>1350.0</v>
      </c>
      <c r="N1090" s="135">
        <v>120.0</v>
      </c>
      <c r="O1090" s="135">
        <v>0.483</v>
      </c>
      <c r="P1090" s="136">
        <v>0.0</v>
      </c>
      <c r="Q1090" s="137">
        <v>1.2075</v>
      </c>
      <c r="R1090" s="136">
        <v>46120.0</v>
      </c>
      <c r="S1090" s="135" t="s">
        <v>3528</v>
      </c>
      <c r="T1090" s="136"/>
      <c r="U1090" s="135" t="s">
        <v>2864</v>
      </c>
      <c r="V1090" s="135" t="s">
        <v>2856</v>
      </c>
      <c r="W1090" s="135" t="s">
        <v>3611</v>
      </c>
      <c r="X1090" s="135"/>
      <c r="Y1090" s="135"/>
      <c r="Z1090" s="135" t="s">
        <v>2858</v>
      </c>
      <c r="AA1090" s="135"/>
      <c r="AB1090" s="135"/>
      <c r="AC1090" s="135"/>
      <c r="AD1090" s="135">
        <v>46132.0</v>
      </c>
      <c r="AE1090" s="135"/>
      <c r="AF1090" s="135"/>
      <c r="AG1090" s="135"/>
    </row>
    <row r="1091" ht="21.75" hidden="1" customHeight="1">
      <c r="A1091" s="135">
        <v>1087.0</v>
      </c>
      <c r="B1091" s="135">
        <v>25045.0</v>
      </c>
      <c r="C1091" s="135" t="s">
        <v>2817</v>
      </c>
      <c r="D1091" s="135">
        <v>29.0</v>
      </c>
      <c r="E1091" s="135" t="s">
        <v>3531</v>
      </c>
      <c r="F1091" s="135" t="s">
        <v>704</v>
      </c>
      <c r="G1091" s="135" t="s">
        <v>158</v>
      </c>
      <c r="H1091" s="135" t="s">
        <v>2853</v>
      </c>
      <c r="I1091" s="135" t="s">
        <v>160</v>
      </c>
      <c r="J1091" s="135">
        <v>1.0</v>
      </c>
      <c r="K1091" s="135"/>
      <c r="L1091" s="135">
        <v>2802.0</v>
      </c>
      <c r="M1091" s="135">
        <v>1350.0</v>
      </c>
      <c r="N1091" s="135">
        <v>120.0</v>
      </c>
      <c r="O1091" s="135">
        <v>0.483</v>
      </c>
      <c r="P1091" s="136">
        <v>0.0</v>
      </c>
      <c r="Q1091" s="137">
        <v>1.2075</v>
      </c>
      <c r="R1091" s="136">
        <v>46120.0</v>
      </c>
      <c r="S1091" s="135" t="s">
        <v>3528</v>
      </c>
      <c r="T1091" s="136"/>
      <c r="U1091" s="135" t="s">
        <v>2864</v>
      </c>
      <c r="V1091" s="135" t="s">
        <v>2856</v>
      </c>
      <c r="W1091" s="135" t="s">
        <v>3611</v>
      </c>
      <c r="X1091" s="135"/>
      <c r="Y1091" s="135"/>
      <c r="Z1091" s="135" t="s">
        <v>2858</v>
      </c>
      <c r="AA1091" s="135"/>
      <c r="AB1091" s="135"/>
      <c r="AC1091" s="135"/>
      <c r="AD1091" s="135">
        <v>46133.0</v>
      </c>
      <c r="AE1091" s="135"/>
      <c r="AF1091" s="135"/>
      <c r="AG1091" s="135"/>
    </row>
    <row r="1092" ht="21.75" hidden="1" customHeight="1">
      <c r="A1092" s="135">
        <v>1088.0</v>
      </c>
      <c r="B1092" s="135">
        <v>25045.0</v>
      </c>
      <c r="C1092" s="135" t="s">
        <v>2817</v>
      </c>
      <c r="D1092" s="135">
        <v>29.0</v>
      </c>
      <c r="E1092" s="135" t="s">
        <v>3531</v>
      </c>
      <c r="F1092" s="135" t="s">
        <v>705</v>
      </c>
      <c r="G1092" s="135" t="s">
        <v>158</v>
      </c>
      <c r="H1092" s="135" t="s">
        <v>2853</v>
      </c>
      <c r="I1092" s="135" t="s">
        <v>160</v>
      </c>
      <c r="J1092" s="135">
        <v>1.0</v>
      </c>
      <c r="K1092" s="135"/>
      <c r="L1092" s="135">
        <v>2802.0</v>
      </c>
      <c r="M1092" s="135">
        <v>1350.0</v>
      </c>
      <c r="N1092" s="135">
        <v>120.0</v>
      </c>
      <c r="O1092" s="135">
        <v>0.483</v>
      </c>
      <c r="P1092" s="136">
        <v>0.0</v>
      </c>
      <c r="Q1092" s="137">
        <v>1.2075</v>
      </c>
      <c r="R1092" s="136">
        <v>46120.0</v>
      </c>
      <c r="S1092" s="135" t="s">
        <v>3528</v>
      </c>
      <c r="T1092" s="136"/>
      <c r="U1092" s="135" t="s">
        <v>2864</v>
      </c>
      <c r="V1092" s="135" t="s">
        <v>2856</v>
      </c>
      <c r="W1092" s="135" t="s">
        <v>3611</v>
      </c>
      <c r="X1092" s="135"/>
      <c r="Y1092" s="135"/>
      <c r="Z1092" s="135" t="s">
        <v>2858</v>
      </c>
      <c r="AA1092" s="135"/>
      <c r="AB1092" s="135"/>
      <c r="AC1092" s="135"/>
      <c r="AD1092" s="135">
        <v>46134.0</v>
      </c>
      <c r="AE1092" s="135"/>
      <c r="AF1092" s="135"/>
      <c r="AG1092" s="135"/>
    </row>
    <row r="1093" ht="21.75" hidden="1" customHeight="1">
      <c r="A1093" s="135">
        <v>1089.0</v>
      </c>
      <c r="B1093" s="135">
        <v>25045.0</v>
      </c>
      <c r="C1093" s="135" t="s">
        <v>2817</v>
      </c>
      <c r="D1093" s="135">
        <v>29.0</v>
      </c>
      <c r="E1093" s="135" t="s">
        <v>3531</v>
      </c>
      <c r="F1093" s="135" t="s">
        <v>706</v>
      </c>
      <c r="G1093" s="135" t="s">
        <v>158</v>
      </c>
      <c r="H1093" s="135" t="s">
        <v>2853</v>
      </c>
      <c r="I1093" s="135" t="s">
        <v>160</v>
      </c>
      <c r="J1093" s="135">
        <v>1.0</v>
      </c>
      <c r="K1093" s="135"/>
      <c r="L1093" s="135">
        <v>6000.0</v>
      </c>
      <c r="M1093" s="135">
        <v>1350.0</v>
      </c>
      <c r="N1093" s="135">
        <v>120.0</v>
      </c>
      <c r="O1093" s="135">
        <v>1.0</v>
      </c>
      <c r="P1093" s="136">
        <v>0.0</v>
      </c>
      <c r="Q1093" s="137">
        <v>2.5</v>
      </c>
      <c r="R1093" s="136">
        <v>46120.0</v>
      </c>
      <c r="S1093" s="135" t="s">
        <v>3528</v>
      </c>
      <c r="T1093" s="136"/>
      <c r="U1093" s="135" t="s">
        <v>2855</v>
      </c>
      <c r="V1093" s="135" t="s">
        <v>2856</v>
      </c>
      <c r="W1093" s="135" t="s">
        <v>3612</v>
      </c>
      <c r="X1093" s="135"/>
      <c r="Y1093" s="135"/>
      <c r="Z1093" s="135" t="s">
        <v>2858</v>
      </c>
      <c r="AA1093" s="135"/>
      <c r="AB1093" s="135"/>
      <c r="AC1093" s="135"/>
      <c r="AD1093" s="135">
        <v>46135.0</v>
      </c>
      <c r="AE1093" s="135"/>
      <c r="AF1093" s="135"/>
      <c r="AG1093" s="135"/>
    </row>
    <row r="1094" ht="21.75" hidden="1" customHeight="1">
      <c r="A1094" s="135">
        <v>1090.0</v>
      </c>
      <c r="B1094" s="135">
        <v>25045.0</v>
      </c>
      <c r="C1094" s="135" t="s">
        <v>2817</v>
      </c>
      <c r="D1094" s="135">
        <v>29.0</v>
      </c>
      <c r="E1094" s="135" t="s">
        <v>3531</v>
      </c>
      <c r="F1094" s="135" t="s">
        <v>707</v>
      </c>
      <c r="G1094" s="135" t="s">
        <v>158</v>
      </c>
      <c r="H1094" s="135" t="s">
        <v>2853</v>
      </c>
      <c r="I1094" s="135" t="s">
        <v>160</v>
      </c>
      <c r="J1094" s="135">
        <v>1.0</v>
      </c>
      <c r="K1094" s="135"/>
      <c r="L1094" s="135">
        <v>6000.0</v>
      </c>
      <c r="M1094" s="135">
        <v>1350.0</v>
      </c>
      <c r="N1094" s="135">
        <v>120.0</v>
      </c>
      <c r="O1094" s="135">
        <v>1.0</v>
      </c>
      <c r="P1094" s="136">
        <v>0.0</v>
      </c>
      <c r="Q1094" s="137">
        <v>2.5</v>
      </c>
      <c r="R1094" s="136">
        <v>46120.0</v>
      </c>
      <c r="S1094" s="135" t="s">
        <v>3528</v>
      </c>
      <c r="T1094" s="136"/>
      <c r="U1094" s="135" t="s">
        <v>2855</v>
      </c>
      <c r="V1094" s="135" t="s">
        <v>2856</v>
      </c>
      <c r="W1094" s="135" t="s">
        <v>3612</v>
      </c>
      <c r="X1094" s="135"/>
      <c r="Y1094" s="135"/>
      <c r="Z1094" s="135" t="s">
        <v>2858</v>
      </c>
      <c r="AA1094" s="135"/>
      <c r="AB1094" s="135"/>
      <c r="AC1094" s="135"/>
      <c r="AD1094" s="135">
        <v>46137.0</v>
      </c>
      <c r="AE1094" s="135"/>
      <c r="AF1094" s="135"/>
      <c r="AG1094" s="135"/>
    </row>
    <row r="1095" ht="21.75" hidden="1" customHeight="1">
      <c r="A1095" s="135">
        <v>1091.0</v>
      </c>
      <c r="B1095" s="135">
        <v>25045.0</v>
      </c>
      <c r="C1095" s="135" t="s">
        <v>2817</v>
      </c>
      <c r="D1095" s="135">
        <v>29.0</v>
      </c>
      <c r="E1095" s="135" t="s">
        <v>3531</v>
      </c>
      <c r="F1095" s="135" t="s">
        <v>708</v>
      </c>
      <c r="G1095" s="135" t="s">
        <v>158</v>
      </c>
      <c r="H1095" s="135" t="s">
        <v>2853</v>
      </c>
      <c r="I1095" s="135" t="s">
        <v>160</v>
      </c>
      <c r="J1095" s="135">
        <v>1.0</v>
      </c>
      <c r="K1095" s="135"/>
      <c r="L1095" s="135">
        <v>6000.0</v>
      </c>
      <c r="M1095" s="135">
        <v>1350.0</v>
      </c>
      <c r="N1095" s="135">
        <v>120.0</v>
      </c>
      <c r="O1095" s="135">
        <v>1.0</v>
      </c>
      <c r="P1095" s="136">
        <v>0.0</v>
      </c>
      <c r="Q1095" s="137">
        <v>2.5</v>
      </c>
      <c r="R1095" s="136">
        <v>46120.0</v>
      </c>
      <c r="S1095" s="135" t="s">
        <v>3528</v>
      </c>
      <c r="T1095" s="136"/>
      <c r="U1095" s="135" t="s">
        <v>2855</v>
      </c>
      <c r="V1095" s="135" t="s">
        <v>2856</v>
      </c>
      <c r="W1095" s="135" t="s">
        <v>3612</v>
      </c>
      <c r="X1095" s="135"/>
      <c r="Y1095" s="135"/>
      <c r="Z1095" s="135" t="s">
        <v>2858</v>
      </c>
      <c r="AA1095" s="135"/>
      <c r="AB1095" s="135"/>
      <c r="AC1095" s="135"/>
      <c r="AD1095" s="135">
        <v>46139.0</v>
      </c>
      <c r="AE1095" s="135"/>
      <c r="AF1095" s="135"/>
      <c r="AG1095" s="135"/>
    </row>
    <row r="1096" ht="21.75" hidden="1" customHeight="1">
      <c r="A1096" s="135">
        <v>1092.0</v>
      </c>
      <c r="B1096" s="135">
        <v>25045.0</v>
      </c>
      <c r="C1096" s="135" t="s">
        <v>2817</v>
      </c>
      <c r="D1096" s="135">
        <v>29.0</v>
      </c>
      <c r="E1096" s="135" t="s">
        <v>3531</v>
      </c>
      <c r="F1096" s="135" t="s">
        <v>709</v>
      </c>
      <c r="G1096" s="135" t="s">
        <v>158</v>
      </c>
      <c r="H1096" s="135" t="s">
        <v>2853</v>
      </c>
      <c r="I1096" s="135" t="s">
        <v>160</v>
      </c>
      <c r="J1096" s="135">
        <v>1.0</v>
      </c>
      <c r="K1096" s="135"/>
      <c r="L1096" s="135">
        <v>2595.0</v>
      </c>
      <c r="M1096" s="135">
        <v>2850.0</v>
      </c>
      <c r="N1096" s="135">
        <v>120.0</v>
      </c>
      <c r="O1096" s="135">
        <v>0.915</v>
      </c>
      <c r="P1096" s="136">
        <v>0.0</v>
      </c>
      <c r="Q1096" s="137">
        <v>2.2875</v>
      </c>
      <c r="R1096" s="136">
        <v>46120.0</v>
      </c>
      <c r="S1096" s="135" t="s">
        <v>3528</v>
      </c>
      <c r="T1096" s="136"/>
      <c r="U1096" s="135" t="s">
        <v>2864</v>
      </c>
      <c r="V1096" s="135" t="s">
        <v>2878</v>
      </c>
      <c r="W1096" s="135" t="s">
        <v>2963</v>
      </c>
      <c r="X1096" s="135"/>
      <c r="Y1096" s="135"/>
      <c r="Z1096" s="135" t="s">
        <v>2858</v>
      </c>
      <c r="AA1096" s="135"/>
      <c r="AB1096" s="135"/>
      <c r="AC1096" s="135"/>
      <c r="AD1096" s="135">
        <v>46128.0</v>
      </c>
      <c r="AE1096" s="135"/>
      <c r="AF1096" s="135"/>
      <c r="AG1096" s="135"/>
    </row>
    <row r="1097" ht="21.75" hidden="1" customHeight="1">
      <c r="A1097" s="135">
        <v>1093.0</v>
      </c>
      <c r="B1097" s="135">
        <v>25045.0</v>
      </c>
      <c r="C1097" s="135" t="s">
        <v>2817</v>
      </c>
      <c r="D1097" s="135">
        <v>29.0</v>
      </c>
      <c r="E1097" s="135" t="s">
        <v>3533</v>
      </c>
      <c r="F1097" s="135" t="s">
        <v>688</v>
      </c>
      <c r="G1097" s="135" t="s">
        <v>158</v>
      </c>
      <c r="H1097" s="135" t="s">
        <v>2853</v>
      </c>
      <c r="I1097" s="135" t="s">
        <v>159</v>
      </c>
      <c r="J1097" s="135">
        <v>1.0</v>
      </c>
      <c r="K1097" s="135"/>
      <c r="L1097" s="135">
        <v>2195.0</v>
      </c>
      <c r="M1097" s="135">
        <v>2850.0</v>
      </c>
      <c r="N1097" s="135">
        <v>120.0</v>
      </c>
      <c r="O1097" s="135">
        <v>0.794</v>
      </c>
      <c r="P1097" s="136">
        <v>0.0</v>
      </c>
      <c r="Q1097" s="137">
        <v>1.985</v>
      </c>
      <c r="R1097" s="136">
        <v>46120.0</v>
      </c>
      <c r="S1097" s="135" t="s">
        <v>3528</v>
      </c>
      <c r="T1097" s="136"/>
      <c r="U1097" s="135" t="s">
        <v>2855</v>
      </c>
      <c r="V1097" s="135" t="s">
        <v>2878</v>
      </c>
      <c r="W1097" s="135" t="s">
        <v>3157</v>
      </c>
      <c r="X1097" s="135" t="s">
        <v>2947</v>
      </c>
      <c r="Y1097" s="135"/>
      <c r="Z1097" s="135" t="s">
        <v>2858</v>
      </c>
      <c r="AA1097" s="135"/>
      <c r="AB1097" s="135"/>
      <c r="AC1097" s="135"/>
      <c r="AD1097" s="135">
        <v>0.0</v>
      </c>
      <c r="AE1097" s="135"/>
      <c r="AF1097" s="135"/>
      <c r="AG1097" s="135"/>
    </row>
    <row r="1098" ht="21.75" hidden="1" customHeight="1">
      <c r="A1098" s="135">
        <v>1094.0</v>
      </c>
      <c r="B1098" s="135">
        <v>25045.0</v>
      </c>
      <c r="C1098" s="135" t="s">
        <v>2817</v>
      </c>
      <c r="D1098" s="135">
        <v>29.0</v>
      </c>
      <c r="E1098" s="135" t="s">
        <v>3533</v>
      </c>
      <c r="F1098" s="135" t="s">
        <v>689</v>
      </c>
      <c r="G1098" s="135" t="s">
        <v>158</v>
      </c>
      <c r="H1098" s="135" t="s">
        <v>2853</v>
      </c>
      <c r="I1098" s="135" t="s">
        <v>159</v>
      </c>
      <c r="J1098" s="135">
        <v>1.0</v>
      </c>
      <c r="K1098" s="135"/>
      <c r="L1098" s="135">
        <v>5757.0</v>
      </c>
      <c r="M1098" s="135">
        <v>1600.0</v>
      </c>
      <c r="N1098" s="135">
        <v>120.0</v>
      </c>
      <c r="O1098" s="135">
        <v>1.084</v>
      </c>
      <c r="P1098" s="136">
        <v>0.0</v>
      </c>
      <c r="Q1098" s="137">
        <v>2.71</v>
      </c>
      <c r="R1098" s="136">
        <v>46120.0</v>
      </c>
      <c r="S1098" s="135" t="s">
        <v>3528</v>
      </c>
      <c r="T1098" s="136"/>
      <c r="U1098" s="135" t="s">
        <v>2855</v>
      </c>
      <c r="V1098" s="135" t="s">
        <v>2856</v>
      </c>
      <c r="W1098" s="135" t="s">
        <v>3613</v>
      </c>
      <c r="X1098" s="135"/>
      <c r="Y1098" s="135"/>
      <c r="Z1098" s="135" t="s">
        <v>2858</v>
      </c>
      <c r="AA1098" s="135"/>
      <c r="AB1098" s="135"/>
      <c r="AC1098" s="135"/>
      <c r="AD1098" s="135">
        <v>46140.0</v>
      </c>
      <c r="AE1098" s="135"/>
      <c r="AF1098" s="135"/>
      <c r="AG1098" s="135"/>
    </row>
    <row r="1099" ht="21.75" hidden="1" customHeight="1">
      <c r="A1099" s="135">
        <v>1095.0</v>
      </c>
      <c r="B1099" s="135">
        <v>25045.0</v>
      </c>
      <c r="C1099" s="135" t="s">
        <v>2817</v>
      </c>
      <c r="D1099" s="135">
        <v>29.0</v>
      </c>
      <c r="E1099" s="135" t="s">
        <v>3533</v>
      </c>
      <c r="F1099" s="135" t="s">
        <v>690</v>
      </c>
      <c r="G1099" s="135" t="s">
        <v>158</v>
      </c>
      <c r="H1099" s="135" t="s">
        <v>2853</v>
      </c>
      <c r="I1099" s="135" t="s">
        <v>159</v>
      </c>
      <c r="J1099" s="135">
        <v>1.0</v>
      </c>
      <c r="K1099" s="135"/>
      <c r="L1099" s="135">
        <v>5757.0</v>
      </c>
      <c r="M1099" s="135">
        <v>1850.0</v>
      </c>
      <c r="N1099" s="135">
        <v>120.0</v>
      </c>
      <c r="O1099" s="135">
        <v>1.257</v>
      </c>
      <c r="P1099" s="136">
        <v>0.0</v>
      </c>
      <c r="Q1099" s="137">
        <v>3.1424999999999996</v>
      </c>
      <c r="R1099" s="136">
        <v>46120.0</v>
      </c>
      <c r="S1099" s="135" t="s">
        <v>3528</v>
      </c>
      <c r="T1099" s="136"/>
      <c r="U1099" s="135" t="s">
        <v>2855</v>
      </c>
      <c r="V1099" s="135" t="s">
        <v>2856</v>
      </c>
      <c r="W1099" s="135" t="s">
        <v>3613</v>
      </c>
      <c r="X1099" s="135"/>
      <c r="Y1099" s="135"/>
      <c r="Z1099" s="135" t="s">
        <v>2858</v>
      </c>
      <c r="AA1099" s="135"/>
      <c r="AB1099" s="135"/>
      <c r="AC1099" s="135"/>
      <c r="AD1099" s="135">
        <v>46141.0</v>
      </c>
      <c r="AE1099" s="135"/>
      <c r="AF1099" s="135"/>
      <c r="AG1099" s="135"/>
    </row>
    <row r="1100" ht="21.75" hidden="1" customHeight="1">
      <c r="A1100" s="135">
        <v>1096.0</v>
      </c>
      <c r="B1100" s="135">
        <v>25045.0</v>
      </c>
      <c r="C1100" s="135" t="s">
        <v>2817</v>
      </c>
      <c r="D1100" s="135">
        <v>29.0</v>
      </c>
      <c r="E1100" s="135" t="s">
        <v>3533</v>
      </c>
      <c r="F1100" s="135" t="s">
        <v>691</v>
      </c>
      <c r="G1100" s="135" t="s">
        <v>158</v>
      </c>
      <c r="H1100" s="135" t="s">
        <v>2853</v>
      </c>
      <c r="I1100" s="135" t="s">
        <v>159</v>
      </c>
      <c r="J1100" s="135">
        <v>1.0</v>
      </c>
      <c r="K1100" s="135"/>
      <c r="L1100" s="135">
        <v>5757.0</v>
      </c>
      <c r="M1100" s="135">
        <v>1950.0</v>
      </c>
      <c r="N1100" s="135">
        <v>120.0</v>
      </c>
      <c r="O1100" s="135">
        <v>1.326</v>
      </c>
      <c r="P1100" s="136">
        <v>0.0</v>
      </c>
      <c r="Q1100" s="137">
        <v>3.3150000000000004</v>
      </c>
      <c r="R1100" s="136">
        <v>46120.0</v>
      </c>
      <c r="S1100" s="135" t="s">
        <v>3528</v>
      </c>
      <c r="T1100" s="136"/>
      <c r="U1100" s="135" t="s">
        <v>2855</v>
      </c>
      <c r="V1100" s="135" t="s">
        <v>2856</v>
      </c>
      <c r="W1100" s="135" t="s">
        <v>3613</v>
      </c>
      <c r="X1100" s="135"/>
      <c r="Y1100" s="135"/>
      <c r="Z1100" s="135" t="s">
        <v>2858</v>
      </c>
      <c r="AA1100" s="135"/>
      <c r="AB1100" s="135"/>
      <c r="AC1100" s="135"/>
      <c r="AD1100" s="135">
        <v>46142.0</v>
      </c>
      <c r="AE1100" s="135"/>
      <c r="AF1100" s="135"/>
      <c r="AG1100" s="135"/>
    </row>
    <row r="1101" ht="21.75" hidden="1" customHeight="1">
      <c r="A1101" s="135">
        <v>1097.0</v>
      </c>
      <c r="B1101" s="135">
        <v>25045.0</v>
      </c>
      <c r="C1101" s="135"/>
      <c r="D1101" s="135">
        <v>29.0</v>
      </c>
      <c r="E1101" s="135" t="s">
        <v>3523</v>
      </c>
      <c r="F1101" s="135" t="s">
        <v>824</v>
      </c>
      <c r="G1101" s="135" t="s">
        <v>158</v>
      </c>
      <c r="H1101" s="135" t="s">
        <v>2853</v>
      </c>
      <c r="I1101" s="135" t="s">
        <v>164</v>
      </c>
      <c r="J1101" s="135">
        <v>1.0</v>
      </c>
      <c r="K1101" s="135"/>
      <c r="L1101" s="135">
        <v>3960.0</v>
      </c>
      <c r="M1101" s="135">
        <v>3250.0</v>
      </c>
      <c r="N1101" s="135">
        <v>300.0</v>
      </c>
      <c r="O1101" s="135">
        <v>2.37</v>
      </c>
      <c r="P1101" s="136">
        <v>0.0</v>
      </c>
      <c r="Q1101" s="137">
        <v>5.925000000000001</v>
      </c>
      <c r="R1101" s="136">
        <v>46127.0</v>
      </c>
      <c r="S1101" s="135" t="s">
        <v>3514</v>
      </c>
      <c r="T1101" s="136"/>
      <c r="U1101" s="135" t="s">
        <v>2864</v>
      </c>
      <c r="V1101" s="135" t="s">
        <v>3270</v>
      </c>
      <c r="W1101" s="135"/>
      <c r="X1101" s="135"/>
      <c r="Y1101" s="135" t="s">
        <v>2886</v>
      </c>
      <c r="Z1101" s="135" t="s">
        <v>2858</v>
      </c>
      <c r="AA1101" s="135"/>
      <c r="AB1101" s="135"/>
      <c r="AC1101" s="135"/>
      <c r="AD1101" s="135">
        <v>46132.0</v>
      </c>
      <c r="AE1101" s="135"/>
      <c r="AF1101" s="135"/>
      <c r="AG1101" s="135"/>
    </row>
    <row r="1102" ht="21.75" hidden="1" customHeight="1">
      <c r="A1102" s="135">
        <v>1098.0</v>
      </c>
      <c r="B1102" s="135">
        <v>25045.0</v>
      </c>
      <c r="C1102" s="135"/>
      <c r="D1102" s="135">
        <v>29.0</v>
      </c>
      <c r="E1102" s="135" t="s">
        <v>3520</v>
      </c>
      <c r="F1102" s="135" t="s">
        <v>803</v>
      </c>
      <c r="G1102" s="135" t="s">
        <v>158</v>
      </c>
      <c r="H1102" s="135" t="s">
        <v>2853</v>
      </c>
      <c r="I1102" s="135" t="s">
        <v>163</v>
      </c>
      <c r="J1102" s="135">
        <v>1.0</v>
      </c>
      <c r="K1102" s="135"/>
      <c r="L1102" s="135">
        <v>3945.0</v>
      </c>
      <c r="M1102" s="135">
        <v>3100.0</v>
      </c>
      <c r="N1102" s="135">
        <v>300.0</v>
      </c>
      <c r="O1102" s="135">
        <v>2.274</v>
      </c>
      <c r="P1102" s="136">
        <v>0.0</v>
      </c>
      <c r="Q1102" s="137">
        <v>5.6850000000000005</v>
      </c>
      <c r="R1102" s="136">
        <v>46127.0</v>
      </c>
      <c r="S1102" s="135" t="s">
        <v>3514</v>
      </c>
      <c r="T1102" s="136"/>
      <c r="U1102" s="135" t="s">
        <v>2864</v>
      </c>
      <c r="V1102" s="135" t="s">
        <v>3270</v>
      </c>
      <c r="W1102" s="135"/>
      <c r="X1102" s="135"/>
      <c r="Y1102" s="135" t="s">
        <v>2886</v>
      </c>
      <c r="Z1102" s="135" t="s">
        <v>2858</v>
      </c>
      <c r="AA1102" s="135"/>
      <c r="AB1102" s="135"/>
      <c r="AC1102" s="135"/>
      <c r="AD1102" s="135">
        <v>46133.0</v>
      </c>
      <c r="AE1102" s="135"/>
      <c r="AF1102" s="135"/>
      <c r="AG1102" s="135"/>
    </row>
    <row r="1103" ht="21.75" hidden="1" customHeight="1">
      <c r="A1103" s="135">
        <v>1099.0</v>
      </c>
      <c r="B1103" s="135">
        <v>25045.0</v>
      </c>
      <c r="C1103" s="135"/>
      <c r="D1103" s="135">
        <v>29.0</v>
      </c>
      <c r="E1103" s="135" t="s">
        <v>3560</v>
      </c>
      <c r="F1103" s="135" t="s">
        <v>921</v>
      </c>
      <c r="G1103" s="135" t="s">
        <v>158</v>
      </c>
      <c r="H1103" s="135" t="s">
        <v>2853</v>
      </c>
      <c r="I1103" s="135" t="s">
        <v>170</v>
      </c>
      <c r="J1103" s="135">
        <v>1.0</v>
      </c>
      <c r="K1103" s="135"/>
      <c r="L1103" s="135">
        <v>3325.0</v>
      </c>
      <c r="M1103" s="135">
        <v>4000.0</v>
      </c>
      <c r="N1103" s="135">
        <v>120.0</v>
      </c>
      <c r="O1103" s="135">
        <v>1.68</v>
      </c>
      <c r="P1103" s="136">
        <v>0.0</v>
      </c>
      <c r="Q1103" s="137">
        <v>4.2</v>
      </c>
      <c r="R1103" s="136">
        <v>46120.0</v>
      </c>
      <c r="S1103" s="135" t="s">
        <v>3528</v>
      </c>
      <c r="T1103" s="136"/>
      <c r="U1103" s="135" t="s">
        <v>2864</v>
      </c>
      <c r="V1103" s="135" t="s">
        <v>2899</v>
      </c>
      <c r="W1103" s="135" t="s">
        <v>3614</v>
      </c>
      <c r="X1103" s="135" t="s">
        <v>2892</v>
      </c>
      <c r="Y1103" s="135"/>
      <c r="Z1103" s="135" t="s">
        <v>2858</v>
      </c>
      <c r="AA1103" s="135"/>
      <c r="AB1103" s="135"/>
      <c r="AC1103" s="135"/>
      <c r="AD1103" s="135">
        <v>46146.0</v>
      </c>
      <c r="AE1103" s="135"/>
      <c r="AF1103" s="135"/>
      <c r="AG1103" s="135"/>
    </row>
    <row r="1104" ht="21.75" hidden="1" customHeight="1">
      <c r="A1104" s="135">
        <v>1100.0</v>
      </c>
      <c r="B1104" s="135">
        <v>25045.0</v>
      </c>
      <c r="C1104" s="135"/>
      <c r="D1104" s="135">
        <v>29.0</v>
      </c>
      <c r="E1104" s="135" t="s">
        <v>3560</v>
      </c>
      <c r="F1104" s="135" t="s">
        <v>922</v>
      </c>
      <c r="G1104" s="135" t="s">
        <v>158</v>
      </c>
      <c r="H1104" s="135" t="s">
        <v>2853</v>
      </c>
      <c r="I1104" s="135" t="s">
        <v>170</v>
      </c>
      <c r="J1104" s="135">
        <v>1.0</v>
      </c>
      <c r="K1104" s="135"/>
      <c r="L1104" s="135">
        <v>5590.0</v>
      </c>
      <c r="M1104" s="135">
        <v>4000.0</v>
      </c>
      <c r="N1104" s="135">
        <v>120.0</v>
      </c>
      <c r="O1104" s="135">
        <v>3.297</v>
      </c>
      <c r="P1104" s="136">
        <v>1.0</v>
      </c>
      <c r="Q1104" s="137">
        <v>8.2425</v>
      </c>
      <c r="R1104" s="136">
        <v>46120.0</v>
      </c>
      <c r="S1104" s="135" t="s">
        <v>3528</v>
      </c>
      <c r="T1104" s="136">
        <v>46127.0</v>
      </c>
      <c r="U1104" s="135" t="s">
        <v>2913</v>
      </c>
      <c r="V1104" s="135" t="s">
        <v>3098</v>
      </c>
      <c r="W1104" s="135" t="s">
        <v>3615</v>
      </c>
      <c r="X1104" s="135" t="s">
        <v>2872</v>
      </c>
      <c r="Y1104" s="135"/>
      <c r="Z1104" s="135" t="s">
        <v>2858</v>
      </c>
      <c r="AA1104" s="135" t="s">
        <v>3514</v>
      </c>
      <c r="AB1104" s="135"/>
      <c r="AC1104" s="135"/>
      <c r="AD1104" s="135">
        <v>0.0</v>
      </c>
      <c r="AE1104" s="135"/>
      <c r="AF1104" s="135"/>
      <c r="AG1104" s="135"/>
    </row>
    <row r="1105" ht="21.75" hidden="1" customHeight="1">
      <c r="A1105" s="135">
        <v>1101.0</v>
      </c>
      <c r="B1105" s="135">
        <v>25045.0</v>
      </c>
      <c r="C1105" s="135"/>
      <c r="D1105" s="135">
        <v>29.0</v>
      </c>
      <c r="E1105" s="135" t="s">
        <v>3560</v>
      </c>
      <c r="F1105" s="135" t="s">
        <v>923</v>
      </c>
      <c r="G1105" s="135" t="s">
        <v>158</v>
      </c>
      <c r="H1105" s="135" t="s">
        <v>2853</v>
      </c>
      <c r="I1105" s="135" t="s">
        <v>170</v>
      </c>
      <c r="J1105" s="135">
        <v>1.0</v>
      </c>
      <c r="K1105" s="135"/>
      <c r="L1105" s="135">
        <v>5140.0</v>
      </c>
      <c r="M1105" s="135">
        <v>3800.0</v>
      </c>
      <c r="N1105" s="135">
        <v>120.0</v>
      </c>
      <c r="O1105" s="135">
        <v>2.713</v>
      </c>
      <c r="P1105" s="136">
        <v>0.0</v>
      </c>
      <c r="Q1105" s="137">
        <v>6.782500000000001</v>
      </c>
      <c r="R1105" s="136">
        <v>46120.0</v>
      </c>
      <c r="S1105" s="135" t="s">
        <v>3528</v>
      </c>
      <c r="T1105" s="136"/>
      <c r="U1105" s="135" t="s">
        <v>2855</v>
      </c>
      <c r="V1105" s="135" t="s">
        <v>3266</v>
      </c>
      <c r="W1105" s="135" t="s">
        <v>3616</v>
      </c>
      <c r="X1105" s="135" t="s">
        <v>2870</v>
      </c>
      <c r="Y1105" s="135"/>
      <c r="Z1105" s="135" t="s">
        <v>2858</v>
      </c>
      <c r="AA1105" s="135"/>
      <c r="AB1105" s="135"/>
      <c r="AC1105" s="135"/>
      <c r="AD1105" s="135">
        <v>46150.0</v>
      </c>
      <c r="AE1105" s="135"/>
      <c r="AF1105" s="135"/>
      <c r="AG1105" s="135"/>
    </row>
    <row r="1106" ht="21.75" hidden="1" customHeight="1">
      <c r="A1106" s="135">
        <v>1102.0</v>
      </c>
      <c r="B1106" s="135">
        <v>25045.0</v>
      </c>
      <c r="C1106" s="135"/>
      <c r="D1106" s="135">
        <v>29.0</v>
      </c>
      <c r="E1106" s="135" t="s">
        <v>3560</v>
      </c>
      <c r="F1106" s="135" t="s">
        <v>924</v>
      </c>
      <c r="G1106" s="135" t="s">
        <v>158</v>
      </c>
      <c r="H1106" s="135" t="s">
        <v>2853</v>
      </c>
      <c r="I1106" s="135" t="s">
        <v>170</v>
      </c>
      <c r="J1106" s="135">
        <v>1.0</v>
      </c>
      <c r="K1106" s="135"/>
      <c r="L1106" s="135">
        <v>4350.0</v>
      </c>
      <c r="M1106" s="135">
        <v>3600.0</v>
      </c>
      <c r="N1106" s="135">
        <v>120.0</v>
      </c>
      <c r="O1106" s="135">
        <v>2.002</v>
      </c>
      <c r="P1106" s="136">
        <v>0.0</v>
      </c>
      <c r="Q1106" s="137">
        <v>5.004999999999999</v>
      </c>
      <c r="R1106" s="136">
        <v>46120.0</v>
      </c>
      <c r="S1106" s="135" t="s">
        <v>3528</v>
      </c>
      <c r="T1106" s="136"/>
      <c r="U1106" s="135" t="s">
        <v>2864</v>
      </c>
      <c r="V1106" s="135" t="s">
        <v>3041</v>
      </c>
      <c r="W1106" s="135" t="s">
        <v>3307</v>
      </c>
      <c r="X1106" s="135" t="s">
        <v>2867</v>
      </c>
      <c r="Y1106" s="135"/>
      <c r="Z1106" s="135" t="s">
        <v>2858</v>
      </c>
      <c r="AA1106" s="135"/>
      <c r="AB1106" s="135"/>
      <c r="AC1106" s="135"/>
      <c r="AD1106" s="135">
        <v>46140.0</v>
      </c>
      <c r="AE1106" s="135"/>
      <c r="AF1106" s="135"/>
      <c r="AG1106" s="135"/>
    </row>
    <row r="1107" ht="21.75" hidden="1" customHeight="1">
      <c r="A1107" s="135">
        <v>1103.0</v>
      </c>
      <c r="B1107" s="135">
        <v>25045.0</v>
      </c>
      <c r="C1107" s="135"/>
      <c r="D1107" s="135">
        <v>29.0</v>
      </c>
      <c r="E1107" s="135" t="s">
        <v>3517</v>
      </c>
      <c r="F1107" s="135" t="s">
        <v>905</v>
      </c>
      <c r="G1107" s="135" t="s">
        <v>158</v>
      </c>
      <c r="H1107" s="135" t="s">
        <v>2853</v>
      </c>
      <c r="I1107" s="135" t="s">
        <v>169</v>
      </c>
      <c r="J1107" s="135">
        <v>1.0</v>
      </c>
      <c r="K1107" s="135"/>
      <c r="L1107" s="135">
        <v>3280.0</v>
      </c>
      <c r="M1107" s="135">
        <v>4000.0</v>
      </c>
      <c r="N1107" s="135">
        <v>120.0</v>
      </c>
      <c r="O1107" s="135">
        <v>1.662</v>
      </c>
      <c r="P1107" s="136">
        <v>0.0</v>
      </c>
      <c r="Q1107" s="137">
        <v>4.154999999999999</v>
      </c>
      <c r="R1107" s="136">
        <v>46120.0</v>
      </c>
      <c r="S1107" s="135" t="s">
        <v>3528</v>
      </c>
      <c r="T1107" s="136"/>
      <c r="U1107" s="135" t="s">
        <v>2917</v>
      </c>
      <c r="V1107" s="135" t="s">
        <v>2899</v>
      </c>
      <c r="W1107" s="135" t="s">
        <v>3617</v>
      </c>
      <c r="X1107" s="135" t="s">
        <v>2895</v>
      </c>
      <c r="Y1107" s="135"/>
      <c r="Z1107" s="135" t="s">
        <v>2858</v>
      </c>
      <c r="AA1107" s="135"/>
      <c r="AB1107" s="135"/>
      <c r="AC1107" s="135"/>
      <c r="AD1107" s="135">
        <v>46142.0</v>
      </c>
      <c r="AE1107" s="135"/>
      <c r="AF1107" s="135"/>
      <c r="AG1107" s="135"/>
    </row>
    <row r="1108" ht="21.75" hidden="1" customHeight="1">
      <c r="A1108" s="135">
        <v>1104.0</v>
      </c>
      <c r="B1108" s="135">
        <v>25045.0</v>
      </c>
      <c r="C1108" s="135"/>
      <c r="D1108" s="135">
        <v>29.0</v>
      </c>
      <c r="E1108" s="135" t="s">
        <v>3517</v>
      </c>
      <c r="F1108" s="135" t="s">
        <v>906</v>
      </c>
      <c r="G1108" s="135" t="s">
        <v>158</v>
      </c>
      <c r="H1108" s="135" t="s">
        <v>2853</v>
      </c>
      <c r="I1108" s="135" t="s">
        <v>169</v>
      </c>
      <c r="J1108" s="135">
        <v>1.0</v>
      </c>
      <c r="K1108" s="135"/>
      <c r="L1108" s="135">
        <v>5590.0</v>
      </c>
      <c r="M1108" s="135">
        <v>4000.0</v>
      </c>
      <c r="N1108" s="135">
        <v>120.0</v>
      </c>
      <c r="O1108" s="135">
        <v>3.297</v>
      </c>
      <c r="P1108" s="136">
        <v>0.0</v>
      </c>
      <c r="Q1108" s="137">
        <v>8.2425</v>
      </c>
      <c r="R1108" s="136">
        <v>46120.0</v>
      </c>
      <c r="S1108" s="135" t="s">
        <v>3528</v>
      </c>
      <c r="T1108" s="136"/>
      <c r="U1108" s="135" t="s">
        <v>2864</v>
      </c>
      <c r="V1108" s="135" t="s">
        <v>3098</v>
      </c>
      <c r="W1108" s="135" t="s">
        <v>3615</v>
      </c>
      <c r="X1108" s="135" t="s">
        <v>2872</v>
      </c>
      <c r="Y1108" s="135"/>
      <c r="Z1108" s="135" t="s">
        <v>2858</v>
      </c>
      <c r="AA1108" s="135"/>
      <c r="AB1108" s="135"/>
      <c r="AC1108" s="135"/>
      <c r="AD1108" s="135">
        <v>0.0</v>
      </c>
      <c r="AE1108" s="135"/>
      <c r="AF1108" s="135"/>
      <c r="AG1108" s="135"/>
    </row>
    <row r="1109" ht="21.75" hidden="1" customHeight="1">
      <c r="A1109" s="135">
        <v>1105.0</v>
      </c>
      <c r="B1109" s="135">
        <v>25045.0</v>
      </c>
      <c r="C1109" s="135"/>
      <c r="D1109" s="135">
        <v>29.0</v>
      </c>
      <c r="E1109" s="135" t="s">
        <v>3517</v>
      </c>
      <c r="F1109" s="135" t="s">
        <v>907</v>
      </c>
      <c r="G1109" s="135" t="s">
        <v>158</v>
      </c>
      <c r="H1109" s="135" t="s">
        <v>2853</v>
      </c>
      <c r="I1109" s="135" t="s">
        <v>169</v>
      </c>
      <c r="J1109" s="135">
        <v>1.0</v>
      </c>
      <c r="K1109" s="135"/>
      <c r="L1109" s="135">
        <v>5140.0</v>
      </c>
      <c r="M1109" s="135">
        <v>3800.0</v>
      </c>
      <c r="N1109" s="135">
        <v>120.0</v>
      </c>
      <c r="O1109" s="135">
        <v>2.713</v>
      </c>
      <c r="P1109" s="136">
        <v>0.0</v>
      </c>
      <c r="Q1109" s="137">
        <v>6.782500000000001</v>
      </c>
      <c r="R1109" s="136">
        <v>46120.0</v>
      </c>
      <c r="S1109" s="135" t="s">
        <v>3528</v>
      </c>
      <c r="T1109" s="136"/>
      <c r="U1109" s="135" t="s">
        <v>2855</v>
      </c>
      <c r="V1109" s="135" t="s">
        <v>3266</v>
      </c>
      <c r="W1109" s="135" t="s">
        <v>3616</v>
      </c>
      <c r="X1109" s="135" t="s">
        <v>2870</v>
      </c>
      <c r="Y1109" s="135"/>
      <c r="Z1109" s="135" t="s">
        <v>2858</v>
      </c>
      <c r="AA1109" s="135"/>
      <c r="AB1109" s="135"/>
      <c r="AC1109" s="135"/>
      <c r="AD1109" s="135">
        <v>46151.0</v>
      </c>
      <c r="AE1109" s="135"/>
      <c r="AF1109" s="135"/>
      <c r="AG1109" s="135"/>
    </row>
    <row r="1110" ht="21.75" hidden="1" customHeight="1">
      <c r="A1110" s="135">
        <v>1106.0</v>
      </c>
      <c r="B1110" s="135">
        <v>25045.0</v>
      </c>
      <c r="C1110" s="135"/>
      <c r="D1110" s="135">
        <v>29.0</v>
      </c>
      <c r="E1110" s="135" t="s">
        <v>3517</v>
      </c>
      <c r="F1110" s="135" t="s">
        <v>908</v>
      </c>
      <c r="G1110" s="135" t="s">
        <v>158</v>
      </c>
      <c r="H1110" s="135" t="s">
        <v>2853</v>
      </c>
      <c r="I1110" s="135" t="s">
        <v>169</v>
      </c>
      <c r="J1110" s="135">
        <v>1.0</v>
      </c>
      <c r="K1110" s="135" t="s">
        <v>3134</v>
      </c>
      <c r="L1110" s="135">
        <v>4090.0</v>
      </c>
      <c r="M1110" s="135">
        <v>3600.0</v>
      </c>
      <c r="N1110" s="135">
        <v>120.0</v>
      </c>
      <c r="O1110" s="135">
        <v>2.074</v>
      </c>
      <c r="P1110" s="136">
        <v>0.0</v>
      </c>
      <c r="Q1110" s="137">
        <v>5.185</v>
      </c>
      <c r="R1110" s="136">
        <v>46120.0</v>
      </c>
      <c r="S1110" s="135" t="s">
        <v>3528</v>
      </c>
      <c r="T1110" s="136"/>
      <c r="U1110" s="135" t="s">
        <v>2917</v>
      </c>
      <c r="V1110" s="135" t="s">
        <v>3264</v>
      </c>
      <c r="W1110" s="135" t="s">
        <v>2971</v>
      </c>
      <c r="X1110" s="135" t="s">
        <v>2872</v>
      </c>
      <c r="Y1110" s="135"/>
      <c r="Z1110" s="135" t="s">
        <v>2858</v>
      </c>
      <c r="AA1110" s="135"/>
      <c r="AB1110" s="135"/>
      <c r="AC1110" s="135"/>
      <c r="AD1110" s="135">
        <v>46147.0</v>
      </c>
      <c r="AE1110" s="135"/>
      <c r="AF1110" s="135"/>
      <c r="AG1110" s="135"/>
    </row>
    <row r="1111" ht="21.75" hidden="1" customHeight="1">
      <c r="A1111" s="135">
        <v>1107.0</v>
      </c>
      <c r="B1111" s="135">
        <v>25045.0</v>
      </c>
      <c r="C1111" s="135"/>
      <c r="D1111" s="135">
        <v>29.0</v>
      </c>
      <c r="E1111" s="135" t="s">
        <v>3560</v>
      </c>
      <c r="F1111" s="135" t="s">
        <v>925</v>
      </c>
      <c r="G1111" s="135" t="s">
        <v>158</v>
      </c>
      <c r="H1111" s="135" t="s">
        <v>2853</v>
      </c>
      <c r="I1111" s="135" t="s">
        <v>170</v>
      </c>
      <c r="J1111" s="135">
        <v>1.0</v>
      </c>
      <c r="K1111" s="135" t="s">
        <v>3134</v>
      </c>
      <c r="L1111" s="135">
        <v>4090.0</v>
      </c>
      <c r="M1111" s="135">
        <v>3600.0</v>
      </c>
      <c r="N1111" s="135">
        <v>120.0</v>
      </c>
      <c r="O1111" s="135">
        <v>2.074</v>
      </c>
      <c r="P1111" s="136">
        <v>0.0</v>
      </c>
      <c r="Q1111" s="137">
        <v>5.185</v>
      </c>
      <c r="R1111" s="136">
        <v>46120.0</v>
      </c>
      <c r="S1111" s="135" t="s">
        <v>3528</v>
      </c>
      <c r="T1111" s="136"/>
      <c r="U1111" s="135" t="s">
        <v>2917</v>
      </c>
      <c r="V1111" s="135" t="s">
        <v>3264</v>
      </c>
      <c r="W1111" s="135" t="s">
        <v>2971</v>
      </c>
      <c r="X1111" s="135" t="s">
        <v>2872</v>
      </c>
      <c r="Y1111" s="135"/>
      <c r="Z1111" s="135" t="s">
        <v>2858</v>
      </c>
      <c r="AA1111" s="135"/>
      <c r="AB1111" s="135"/>
      <c r="AC1111" s="135"/>
      <c r="AD1111" s="135">
        <v>46148.0</v>
      </c>
      <c r="AE1111" s="135"/>
      <c r="AF1111" s="135"/>
      <c r="AG1111" s="135"/>
    </row>
    <row r="1112" ht="21.75" hidden="1" customHeight="1">
      <c r="A1112" s="135">
        <v>1108.0</v>
      </c>
      <c r="B1112" s="135">
        <v>25045.0</v>
      </c>
      <c r="C1112" s="135"/>
      <c r="D1112" s="135">
        <v>29.0</v>
      </c>
      <c r="E1112" s="135" t="s">
        <v>3517</v>
      </c>
      <c r="F1112" s="135" t="s">
        <v>909</v>
      </c>
      <c r="G1112" s="135" t="s">
        <v>158</v>
      </c>
      <c r="H1112" s="135" t="s">
        <v>2853</v>
      </c>
      <c r="I1112" s="135" t="s">
        <v>169</v>
      </c>
      <c r="J1112" s="135">
        <v>1.0</v>
      </c>
      <c r="K1112" s="135"/>
      <c r="L1112" s="135">
        <v>4350.0</v>
      </c>
      <c r="M1112" s="135">
        <v>3600.0</v>
      </c>
      <c r="N1112" s="135">
        <v>120.0</v>
      </c>
      <c r="O1112" s="135">
        <v>2.002</v>
      </c>
      <c r="P1112" s="136">
        <v>0.0</v>
      </c>
      <c r="Q1112" s="137">
        <v>5.004999999999999</v>
      </c>
      <c r="R1112" s="136">
        <v>46120.0</v>
      </c>
      <c r="S1112" s="135" t="s">
        <v>3528</v>
      </c>
      <c r="T1112" s="136"/>
      <c r="U1112" s="135" t="s">
        <v>2864</v>
      </c>
      <c r="V1112" s="135" t="s">
        <v>3041</v>
      </c>
      <c r="W1112" s="135" t="s">
        <v>3307</v>
      </c>
      <c r="X1112" s="135" t="s">
        <v>2867</v>
      </c>
      <c r="Y1112" s="135"/>
      <c r="Z1112" s="135" t="s">
        <v>2858</v>
      </c>
      <c r="AA1112" s="135"/>
      <c r="AB1112" s="135"/>
      <c r="AC1112" s="135"/>
      <c r="AD1112" s="135">
        <v>46141.0</v>
      </c>
      <c r="AE1112" s="135"/>
      <c r="AF1112" s="135"/>
      <c r="AG1112" s="135"/>
    </row>
    <row r="1113" ht="21.75" hidden="1" customHeight="1">
      <c r="A1113" s="135">
        <v>1109.0</v>
      </c>
      <c r="B1113" s="135">
        <v>25045.0</v>
      </c>
      <c r="C1113" s="135"/>
      <c r="D1113" s="135">
        <v>29.0</v>
      </c>
      <c r="E1113" s="135" t="s">
        <v>3519</v>
      </c>
      <c r="F1113" s="135" t="s">
        <v>775</v>
      </c>
      <c r="G1113" s="135" t="s">
        <v>158</v>
      </c>
      <c r="H1113" s="135" t="s">
        <v>2853</v>
      </c>
      <c r="I1113" s="135" t="s">
        <v>162</v>
      </c>
      <c r="J1113" s="135">
        <v>1.0</v>
      </c>
      <c r="K1113" s="135" t="s">
        <v>3134</v>
      </c>
      <c r="L1113" s="135">
        <v>4340.0</v>
      </c>
      <c r="M1113" s="135">
        <v>2800.0</v>
      </c>
      <c r="N1113" s="135">
        <v>120.0</v>
      </c>
      <c r="O1113" s="135">
        <v>1.723</v>
      </c>
      <c r="P1113" s="136">
        <v>0.0</v>
      </c>
      <c r="Q1113" s="137">
        <v>4.3075</v>
      </c>
      <c r="R1113" s="136">
        <v>46120.0</v>
      </c>
      <c r="S1113" s="135" t="s">
        <v>3528</v>
      </c>
      <c r="T1113" s="136"/>
      <c r="U1113" s="135" t="s">
        <v>2855</v>
      </c>
      <c r="V1113" s="135" t="s">
        <v>2876</v>
      </c>
      <c r="W1113" s="135" t="s">
        <v>3618</v>
      </c>
      <c r="X1113" s="135"/>
      <c r="Y1113" s="135"/>
      <c r="Z1113" s="135" t="s">
        <v>2858</v>
      </c>
      <c r="AA1113" s="135"/>
      <c r="AB1113" s="135"/>
      <c r="AC1113" s="135"/>
      <c r="AD1113" s="135">
        <v>46137.0</v>
      </c>
      <c r="AE1113" s="135"/>
      <c r="AF1113" s="135"/>
      <c r="AG1113" s="135"/>
    </row>
    <row r="1114" ht="21.75" hidden="1" customHeight="1">
      <c r="A1114" s="135">
        <v>1110.0</v>
      </c>
      <c r="B1114" s="135">
        <v>25045.0</v>
      </c>
      <c r="C1114" s="135"/>
      <c r="D1114" s="135">
        <v>29.0</v>
      </c>
      <c r="E1114" s="135" t="s">
        <v>3519</v>
      </c>
      <c r="F1114" s="135" t="s">
        <v>776</v>
      </c>
      <c r="G1114" s="135" t="s">
        <v>158</v>
      </c>
      <c r="H1114" s="135" t="s">
        <v>2853</v>
      </c>
      <c r="I1114" s="135" t="s">
        <v>162</v>
      </c>
      <c r="J1114" s="135">
        <v>1.0</v>
      </c>
      <c r="K1114" s="135" t="s">
        <v>3134</v>
      </c>
      <c r="L1114" s="135">
        <v>4340.0</v>
      </c>
      <c r="M1114" s="135">
        <v>2800.0</v>
      </c>
      <c r="N1114" s="135">
        <v>120.0</v>
      </c>
      <c r="O1114" s="135">
        <v>1.723</v>
      </c>
      <c r="P1114" s="136">
        <v>0.0</v>
      </c>
      <c r="Q1114" s="137">
        <v>4.3075</v>
      </c>
      <c r="R1114" s="136">
        <v>46120.0</v>
      </c>
      <c r="S1114" s="135" t="s">
        <v>3528</v>
      </c>
      <c r="T1114" s="136"/>
      <c r="U1114" s="135" t="s">
        <v>2855</v>
      </c>
      <c r="V1114" s="135" t="s">
        <v>2876</v>
      </c>
      <c r="W1114" s="135" t="s">
        <v>3618</v>
      </c>
      <c r="X1114" s="135"/>
      <c r="Y1114" s="135"/>
      <c r="Z1114" s="135" t="s">
        <v>2858</v>
      </c>
      <c r="AA1114" s="135"/>
      <c r="AB1114" s="135"/>
      <c r="AC1114" s="135"/>
      <c r="AD1114" s="135">
        <v>46139.0</v>
      </c>
      <c r="AE1114" s="135"/>
      <c r="AF1114" s="135"/>
      <c r="AG1114" s="135"/>
    </row>
    <row r="1115" ht="21.75" hidden="1" customHeight="1">
      <c r="A1115" s="135">
        <v>1111.0</v>
      </c>
      <c r="B1115" s="135">
        <v>25045.0</v>
      </c>
      <c r="C1115" s="135"/>
      <c r="D1115" s="135">
        <v>29.0</v>
      </c>
      <c r="E1115" s="135" t="s">
        <v>3519</v>
      </c>
      <c r="F1115" s="135" t="s">
        <v>777</v>
      </c>
      <c r="G1115" s="135" t="s">
        <v>158</v>
      </c>
      <c r="H1115" s="135" t="s">
        <v>2853</v>
      </c>
      <c r="I1115" s="135" t="s">
        <v>162</v>
      </c>
      <c r="J1115" s="135">
        <v>1.0</v>
      </c>
      <c r="K1115" s="135" t="s">
        <v>3134</v>
      </c>
      <c r="L1115" s="135">
        <v>4340.0</v>
      </c>
      <c r="M1115" s="135">
        <v>2800.0</v>
      </c>
      <c r="N1115" s="135">
        <v>120.0</v>
      </c>
      <c r="O1115" s="135">
        <v>1.723</v>
      </c>
      <c r="P1115" s="136">
        <v>0.0</v>
      </c>
      <c r="Q1115" s="137">
        <v>4.3075</v>
      </c>
      <c r="R1115" s="136">
        <v>46120.0</v>
      </c>
      <c r="S1115" s="135" t="s">
        <v>3528</v>
      </c>
      <c r="T1115" s="136"/>
      <c r="U1115" s="135" t="s">
        <v>2855</v>
      </c>
      <c r="V1115" s="135" t="s">
        <v>2876</v>
      </c>
      <c r="W1115" s="135" t="s">
        <v>3618</v>
      </c>
      <c r="X1115" s="135"/>
      <c r="Y1115" s="135"/>
      <c r="Z1115" s="135" t="s">
        <v>2858</v>
      </c>
      <c r="AA1115" s="135"/>
      <c r="AB1115" s="135"/>
      <c r="AC1115" s="135"/>
      <c r="AD1115" s="135">
        <v>46140.0</v>
      </c>
      <c r="AE1115" s="135"/>
      <c r="AF1115" s="135"/>
      <c r="AG1115" s="135"/>
    </row>
    <row r="1116" ht="21.75" hidden="1" customHeight="1">
      <c r="A1116" s="135">
        <v>1112.0</v>
      </c>
      <c r="B1116" s="135">
        <v>25045.0</v>
      </c>
      <c r="C1116" s="135"/>
      <c r="D1116" s="135">
        <v>29.0</v>
      </c>
      <c r="E1116" s="135" t="s">
        <v>3519</v>
      </c>
      <c r="F1116" s="135" t="s">
        <v>778</v>
      </c>
      <c r="G1116" s="135" t="s">
        <v>158</v>
      </c>
      <c r="H1116" s="135" t="s">
        <v>2853</v>
      </c>
      <c r="I1116" s="135" t="s">
        <v>162</v>
      </c>
      <c r="J1116" s="135">
        <v>1.0</v>
      </c>
      <c r="K1116" s="135"/>
      <c r="L1116" s="135">
        <v>4358.0</v>
      </c>
      <c r="M1116" s="135">
        <v>2800.0</v>
      </c>
      <c r="N1116" s="135">
        <v>120.0</v>
      </c>
      <c r="O1116" s="135">
        <v>1.438</v>
      </c>
      <c r="P1116" s="136">
        <v>0.0</v>
      </c>
      <c r="Q1116" s="137">
        <v>3.5949999999999998</v>
      </c>
      <c r="R1116" s="136">
        <v>46120.0</v>
      </c>
      <c r="S1116" s="135" t="s">
        <v>3528</v>
      </c>
      <c r="T1116" s="136"/>
      <c r="U1116" s="135" t="s">
        <v>2864</v>
      </c>
      <c r="V1116" s="135" t="s">
        <v>2985</v>
      </c>
      <c r="W1116" s="135" t="s">
        <v>3619</v>
      </c>
      <c r="X1116" s="135" t="s">
        <v>3620</v>
      </c>
      <c r="Y1116" s="135"/>
      <c r="Z1116" s="135" t="s">
        <v>2858</v>
      </c>
      <c r="AA1116" s="135"/>
      <c r="AB1116" s="135"/>
      <c r="AC1116" s="135"/>
      <c r="AD1116" s="135">
        <v>0.0</v>
      </c>
      <c r="AE1116" s="135"/>
      <c r="AF1116" s="135"/>
      <c r="AG1116" s="135"/>
    </row>
    <row r="1117" ht="21.75" hidden="1" customHeight="1">
      <c r="A1117" s="135">
        <v>1113.0</v>
      </c>
      <c r="B1117" s="135">
        <v>25045.0</v>
      </c>
      <c r="C1117" s="135"/>
      <c r="D1117" s="135">
        <v>29.0</v>
      </c>
      <c r="E1117" s="135" t="s">
        <v>3520</v>
      </c>
      <c r="F1117" s="135" t="s">
        <v>804</v>
      </c>
      <c r="G1117" s="135" t="s">
        <v>158</v>
      </c>
      <c r="H1117" s="135" t="s">
        <v>2853</v>
      </c>
      <c r="I1117" s="135" t="s">
        <v>163</v>
      </c>
      <c r="J1117" s="135">
        <v>1.0</v>
      </c>
      <c r="K1117" s="135"/>
      <c r="L1117" s="135">
        <v>3919.0</v>
      </c>
      <c r="M1117" s="135">
        <v>2900.0</v>
      </c>
      <c r="N1117" s="135">
        <v>120.0</v>
      </c>
      <c r="O1117" s="135">
        <v>1.22</v>
      </c>
      <c r="P1117" s="136">
        <v>0.0</v>
      </c>
      <c r="Q1117" s="137">
        <v>3.05</v>
      </c>
      <c r="R1117" s="136">
        <v>46120.0</v>
      </c>
      <c r="S1117" s="135" t="s">
        <v>3528</v>
      </c>
      <c r="T1117" s="136"/>
      <c r="U1117" s="135" t="s">
        <v>2864</v>
      </c>
      <c r="V1117" s="135" t="s">
        <v>3100</v>
      </c>
      <c r="W1117" s="135" t="s">
        <v>3621</v>
      </c>
      <c r="X1117" s="135" t="s">
        <v>3622</v>
      </c>
      <c r="Y1117" s="135"/>
      <c r="Z1117" s="135" t="s">
        <v>2858</v>
      </c>
      <c r="AA1117" s="135"/>
      <c r="AB1117" s="135"/>
      <c r="AC1117" s="135"/>
      <c r="AD1117" s="135">
        <v>46143.0</v>
      </c>
      <c r="AE1117" s="135"/>
      <c r="AF1117" s="135"/>
      <c r="AG1117" s="135"/>
    </row>
    <row r="1118" ht="21.75" hidden="1" customHeight="1">
      <c r="A1118" s="135">
        <v>1114.0</v>
      </c>
      <c r="B1118" s="135">
        <v>25045.0</v>
      </c>
      <c r="C1118" s="135"/>
      <c r="D1118" s="135">
        <v>29.0</v>
      </c>
      <c r="E1118" s="135" t="s">
        <v>3523</v>
      </c>
      <c r="F1118" s="135" t="s">
        <v>825</v>
      </c>
      <c r="G1118" s="135" t="s">
        <v>158</v>
      </c>
      <c r="H1118" s="135" t="s">
        <v>2853</v>
      </c>
      <c r="I1118" s="135" t="s">
        <v>164</v>
      </c>
      <c r="J1118" s="135">
        <v>1.0</v>
      </c>
      <c r="K1118" s="135" t="s">
        <v>3134</v>
      </c>
      <c r="L1118" s="135">
        <v>5015.0</v>
      </c>
      <c r="M1118" s="135">
        <v>2900.0</v>
      </c>
      <c r="N1118" s="135">
        <v>120.0</v>
      </c>
      <c r="O1118" s="135">
        <v>1.945</v>
      </c>
      <c r="P1118" s="136">
        <v>1.0</v>
      </c>
      <c r="Q1118" s="137">
        <v>4.8625</v>
      </c>
      <c r="R1118" s="136">
        <v>46120.0</v>
      </c>
      <c r="S1118" s="135" t="s">
        <v>3528</v>
      </c>
      <c r="T1118" s="136">
        <v>46143.0</v>
      </c>
      <c r="U1118" s="135" t="s">
        <v>2855</v>
      </c>
      <c r="V1118" s="135" t="s">
        <v>2876</v>
      </c>
      <c r="W1118" s="135" t="s">
        <v>3004</v>
      </c>
      <c r="X1118" s="135"/>
      <c r="Y1118" s="135"/>
      <c r="Z1118" s="135" t="s">
        <v>2858</v>
      </c>
      <c r="AA1118" s="135" t="s">
        <v>3623</v>
      </c>
      <c r="AB1118" s="135"/>
      <c r="AC1118" s="135"/>
      <c r="AD1118" s="135">
        <v>46143.0</v>
      </c>
      <c r="AE1118" s="135"/>
      <c r="AF1118" s="135"/>
      <c r="AG1118" s="135"/>
    </row>
    <row r="1119" ht="21.75" hidden="1" customHeight="1">
      <c r="A1119" s="135">
        <v>1115.0</v>
      </c>
      <c r="B1119" s="135">
        <v>25045.0</v>
      </c>
      <c r="C1119" s="135"/>
      <c r="D1119" s="135">
        <v>29.0</v>
      </c>
      <c r="E1119" s="135" t="s">
        <v>3520</v>
      </c>
      <c r="F1119" s="135" t="s">
        <v>805</v>
      </c>
      <c r="G1119" s="135" t="s">
        <v>158</v>
      </c>
      <c r="H1119" s="135" t="s">
        <v>2853</v>
      </c>
      <c r="I1119" s="135" t="s">
        <v>163</v>
      </c>
      <c r="J1119" s="135">
        <v>1.0</v>
      </c>
      <c r="K1119" s="135" t="s">
        <v>3134</v>
      </c>
      <c r="L1119" s="135">
        <v>5015.0</v>
      </c>
      <c r="M1119" s="135">
        <v>2900.0</v>
      </c>
      <c r="N1119" s="135">
        <v>120.0</v>
      </c>
      <c r="O1119" s="135">
        <v>1.945</v>
      </c>
      <c r="P1119" s="136">
        <v>1.0</v>
      </c>
      <c r="Q1119" s="137">
        <v>4.8625</v>
      </c>
      <c r="R1119" s="136">
        <v>46120.0</v>
      </c>
      <c r="S1119" s="135" t="s">
        <v>3528</v>
      </c>
      <c r="T1119" s="136">
        <v>46143.0</v>
      </c>
      <c r="U1119" s="135" t="s">
        <v>2855</v>
      </c>
      <c r="V1119" s="135" t="s">
        <v>2876</v>
      </c>
      <c r="W1119" s="135" t="s">
        <v>3004</v>
      </c>
      <c r="X1119" s="135"/>
      <c r="Y1119" s="135"/>
      <c r="Z1119" s="135" t="s">
        <v>2858</v>
      </c>
      <c r="AA1119" s="135" t="s">
        <v>3623</v>
      </c>
      <c r="AB1119" s="135"/>
      <c r="AC1119" s="135"/>
      <c r="AD1119" s="135">
        <v>46144.0</v>
      </c>
      <c r="AE1119" s="135"/>
      <c r="AF1119" s="135"/>
      <c r="AG1119" s="135"/>
    </row>
    <row r="1120" ht="21.75" hidden="1" customHeight="1">
      <c r="A1120" s="135">
        <v>1116.0</v>
      </c>
      <c r="B1120" s="135">
        <v>25045.0</v>
      </c>
      <c r="C1120" s="135"/>
      <c r="D1120" s="135">
        <v>29.0</v>
      </c>
      <c r="E1120" s="135" t="s">
        <v>3523</v>
      </c>
      <c r="F1120" s="135" t="s">
        <v>826</v>
      </c>
      <c r="G1120" s="135" t="s">
        <v>158</v>
      </c>
      <c r="H1120" s="135" t="s">
        <v>2853</v>
      </c>
      <c r="I1120" s="135" t="s">
        <v>164</v>
      </c>
      <c r="J1120" s="135">
        <v>1.0</v>
      </c>
      <c r="K1120" s="135"/>
      <c r="L1120" s="135">
        <v>3910.0</v>
      </c>
      <c r="M1120" s="135">
        <v>2900.0</v>
      </c>
      <c r="N1120" s="135">
        <v>120.0</v>
      </c>
      <c r="O1120" s="135">
        <v>1.218</v>
      </c>
      <c r="P1120" s="136">
        <v>0.0</v>
      </c>
      <c r="Q1120" s="137">
        <v>3.045</v>
      </c>
      <c r="R1120" s="136">
        <v>46120.0</v>
      </c>
      <c r="S1120" s="135" t="s">
        <v>3528</v>
      </c>
      <c r="T1120" s="136"/>
      <c r="U1120" s="135" t="s">
        <v>2864</v>
      </c>
      <c r="V1120" s="135" t="s">
        <v>3100</v>
      </c>
      <c r="W1120" s="135" t="s">
        <v>3624</v>
      </c>
      <c r="X1120" s="135" t="s">
        <v>2892</v>
      </c>
      <c r="Y1120" s="135"/>
      <c r="Z1120" s="135" t="s">
        <v>2858</v>
      </c>
      <c r="AA1120" s="135"/>
      <c r="AB1120" s="135"/>
      <c r="AC1120" s="135"/>
      <c r="AD1120" s="135">
        <v>46146.0</v>
      </c>
      <c r="AE1120" s="135"/>
      <c r="AF1120" s="135"/>
      <c r="AG1120" s="135"/>
    </row>
    <row r="1121" ht="21.75" hidden="1" customHeight="1">
      <c r="A1121" s="135">
        <v>1117.0</v>
      </c>
      <c r="B1121" s="135">
        <v>25045.0</v>
      </c>
      <c r="C1121" s="135"/>
      <c r="D1121" s="135">
        <v>29.0</v>
      </c>
      <c r="E1121" s="135" t="s">
        <v>3555</v>
      </c>
      <c r="F1121" s="135" t="s">
        <v>841</v>
      </c>
      <c r="G1121" s="135" t="s">
        <v>158</v>
      </c>
      <c r="H1121" s="135" t="s">
        <v>2853</v>
      </c>
      <c r="I1121" s="135" t="s">
        <v>165</v>
      </c>
      <c r="J1121" s="135">
        <v>1.0</v>
      </c>
      <c r="K1121" s="135"/>
      <c r="L1121" s="135">
        <v>4600.0</v>
      </c>
      <c r="M1121" s="135">
        <v>2900.0</v>
      </c>
      <c r="N1121" s="135">
        <v>120.0</v>
      </c>
      <c r="O1121" s="135">
        <v>1.84</v>
      </c>
      <c r="P1121" s="136">
        <v>0.0</v>
      </c>
      <c r="Q1121" s="137">
        <v>4.6000000000000005</v>
      </c>
      <c r="R1121" s="136">
        <v>46120.0</v>
      </c>
      <c r="S1121" s="135" t="s">
        <v>3528</v>
      </c>
      <c r="T1121" s="136"/>
      <c r="U1121" s="135" t="s">
        <v>2855</v>
      </c>
      <c r="V1121" s="135" t="s">
        <v>2876</v>
      </c>
      <c r="W1121" s="135" t="s">
        <v>3625</v>
      </c>
      <c r="X1121" s="135"/>
      <c r="Y1121" s="135"/>
      <c r="Z1121" s="135" t="s">
        <v>2858</v>
      </c>
      <c r="AA1121" s="135"/>
      <c r="AB1121" s="135"/>
      <c r="AC1121" s="135"/>
      <c r="AD1121" s="135">
        <v>46134.0</v>
      </c>
      <c r="AE1121" s="135"/>
      <c r="AF1121" s="135"/>
      <c r="AG1121" s="135"/>
    </row>
    <row r="1122" ht="21.75" hidden="1" customHeight="1">
      <c r="A1122" s="135">
        <v>1118.0</v>
      </c>
      <c r="B1122" s="135">
        <v>25045.0</v>
      </c>
      <c r="C1122" s="135"/>
      <c r="D1122" s="135">
        <v>29.0</v>
      </c>
      <c r="E1122" s="135" t="s">
        <v>3555</v>
      </c>
      <c r="F1122" s="135" t="s">
        <v>842</v>
      </c>
      <c r="G1122" s="135" t="s">
        <v>158</v>
      </c>
      <c r="H1122" s="135" t="s">
        <v>2853</v>
      </c>
      <c r="I1122" s="135" t="s">
        <v>165</v>
      </c>
      <c r="J1122" s="135">
        <v>1.0</v>
      </c>
      <c r="K1122" s="135" t="s">
        <v>3134</v>
      </c>
      <c r="L1122" s="135">
        <v>4600.0</v>
      </c>
      <c r="M1122" s="135">
        <v>2900.0</v>
      </c>
      <c r="N1122" s="135">
        <v>120.0</v>
      </c>
      <c r="O1122" s="135">
        <v>1.841</v>
      </c>
      <c r="P1122" s="136">
        <v>0.0</v>
      </c>
      <c r="Q1122" s="137">
        <v>4.6025</v>
      </c>
      <c r="R1122" s="136">
        <v>46120.0</v>
      </c>
      <c r="S1122" s="135" t="s">
        <v>3528</v>
      </c>
      <c r="T1122" s="136"/>
      <c r="U1122" s="135" t="s">
        <v>2855</v>
      </c>
      <c r="V1122" s="135" t="s">
        <v>2876</v>
      </c>
      <c r="W1122" s="135" t="s">
        <v>3626</v>
      </c>
      <c r="X1122" s="135"/>
      <c r="Y1122" s="135"/>
      <c r="Z1122" s="135" t="s">
        <v>2858</v>
      </c>
      <c r="AA1122" s="135"/>
      <c r="AB1122" s="135"/>
      <c r="AC1122" s="135"/>
      <c r="AD1122" s="135">
        <v>46128.0</v>
      </c>
      <c r="AE1122" s="135"/>
      <c r="AF1122" s="135"/>
      <c r="AG1122" s="135"/>
    </row>
    <row r="1123" ht="21.75" hidden="1" customHeight="1">
      <c r="A1123" s="135">
        <v>1119.0</v>
      </c>
      <c r="B1123" s="135">
        <v>25045.0</v>
      </c>
      <c r="C1123" s="135"/>
      <c r="D1123" s="135">
        <v>29.0</v>
      </c>
      <c r="E1123" s="135" t="s">
        <v>3555</v>
      </c>
      <c r="F1123" s="135" t="s">
        <v>843</v>
      </c>
      <c r="G1123" s="135" t="s">
        <v>158</v>
      </c>
      <c r="H1123" s="135" t="s">
        <v>2853</v>
      </c>
      <c r="I1123" s="135" t="s">
        <v>165</v>
      </c>
      <c r="J1123" s="135">
        <v>1.0</v>
      </c>
      <c r="K1123" s="135" t="s">
        <v>3134</v>
      </c>
      <c r="L1123" s="135">
        <v>4600.0</v>
      </c>
      <c r="M1123" s="135">
        <v>2900.0</v>
      </c>
      <c r="N1123" s="135">
        <v>120.0</v>
      </c>
      <c r="O1123" s="135">
        <v>1.841</v>
      </c>
      <c r="P1123" s="136">
        <v>0.0</v>
      </c>
      <c r="Q1123" s="137">
        <v>4.6025</v>
      </c>
      <c r="R1123" s="136">
        <v>46120.0</v>
      </c>
      <c r="S1123" s="135" t="s">
        <v>3528</v>
      </c>
      <c r="T1123" s="136"/>
      <c r="U1123" s="135" t="s">
        <v>2855</v>
      </c>
      <c r="V1123" s="135" t="s">
        <v>2876</v>
      </c>
      <c r="W1123" s="135" t="s">
        <v>3626</v>
      </c>
      <c r="X1123" s="135"/>
      <c r="Y1123" s="135"/>
      <c r="Z1123" s="135" t="s">
        <v>2858</v>
      </c>
      <c r="AA1123" s="135"/>
      <c r="AB1123" s="135"/>
      <c r="AC1123" s="135"/>
      <c r="AD1123" s="135">
        <v>46129.0</v>
      </c>
      <c r="AE1123" s="135"/>
      <c r="AF1123" s="135"/>
      <c r="AG1123" s="135"/>
    </row>
    <row r="1124" ht="21.75" hidden="1" customHeight="1">
      <c r="A1124" s="135">
        <v>1120.0</v>
      </c>
      <c r="B1124" s="135">
        <v>25045.0</v>
      </c>
      <c r="C1124" s="135"/>
      <c r="D1124" s="135">
        <v>29.0</v>
      </c>
      <c r="E1124" s="135" t="s">
        <v>3555</v>
      </c>
      <c r="F1124" s="135" t="s">
        <v>844</v>
      </c>
      <c r="G1124" s="135" t="s">
        <v>158</v>
      </c>
      <c r="H1124" s="135" t="s">
        <v>2853</v>
      </c>
      <c r="I1124" s="135" t="s">
        <v>165</v>
      </c>
      <c r="J1124" s="135">
        <v>1.0</v>
      </c>
      <c r="K1124" s="135" t="s">
        <v>3134</v>
      </c>
      <c r="L1124" s="135">
        <v>4600.0</v>
      </c>
      <c r="M1124" s="135">
        <v>2900.0</v>
      </c>
      <c r="N1124" s="135">
        <v>120.0</v>
      </c>
      <c r="O1124" s="135">
        <v>1.841</v>
      </c>
      <c r="P1124" s="136">
        <v>0.0</v>
      </c>
      <c r="Q1124" s="137">
        <v>4.6025</v>
      </c>
      <c r="R1124" s="136">
        <v>46120.0</v>
      </c>
      <c r="S1124" s="135" t="s">
        <v>3528</v>
      </c>
      <c r="T1124" s="136"/>
      <c r="U1124" s="135" t="s">
        <v>2855</v>
      </c>
      <c r="V1124" s="135" t="s">
        <v>2876</v>
      </c>
      <c r="W1124" s="135" t="s">
        <v>3626</v>
      </c>
      <c r="X1124" s="135"/>
      <c r="Y1124" s="135"/>
      <c r="Z1124" s="135" t="s">
        <v>2858</v>
      </c>
      <c r="AA1124" s="135"/>
      <c r="AB1124" s="135"/>
      <c r="AC1124" s="135"/>
      <c r="AD1124" s="135">
        <v>46130.0</v>
      </c>
      <c r="AE1124" s="135"/>
      <c r="AF1124" s="135"/>
      <c r="AG1124" s="135"/>
    </row>
    <row r="1125" ht="21.75" hidden="1" customHeight="1">
      <c r="A1125" s="135">
        <v>1121.0</v>
      </c>
      <c r="B1125" s="135">
        <v>25045.0</v>
      </c>
      <c r="C1125" s="135"/>
      <c r="D1125" s="135">
        <v>29.0</v>
      </c>
      <c r="E1125" s="135" t="s">
        <v>3555</v>
      </c>
      <c r="F1125" s="135" t="s">
        <v>845</v>
      </c>
      <c r="G1125" s="135" t="s">
        <v>158</v>
      </c>
      <c r="H1125" s="135" t="s">
        <v>2853</v>
      </c>
      <c r="I1125" s="135" t="s">
        <v>165</v>
      </c>
      <c r="J1125" s="135">
        <v>1.0</v>
      </c>
      <c r="K1125" s="135"/>
      <c r="L1125" s="135">
        <v>4600.0</v>
      </c>
      <c r="M1125" s="135">
        <v>2900.0</v>
      </c>
      <c r="N1125" s="135">
        <v>120.0</v>
      </c>
      <c r="O1125" s="135">
        <v>1.546</v>
      </c>
      <c r="P1125" s="136">
        <v>0.0</v>
      </c>
      <c r="Q1125" s="137">
        <v>3.865</v>
      </c>
      <c r="R1125" s="136">
        <v>46120.0</v>
      </c>
      <c r="S1125" s="135" t="s">
        <v>3528</v>
      </c>
      <c r="T1125" s="136"/>
      <c r="U1125" s="135" t="s">
        <v>2864</v>
      </c>
      <c r="V1125" s="135" t="s">
        <v>2985</v>
      </c>
      <c r="W1125" s="135" t="s">
        <v>3627</v>
      </c>
      <c r="X1125" s="135" t="s">
        <v>3628</v>
      </c>
      <c r="Y1125" s="135"/>
      <c r="Z1125" s="135" t="s">
        <v>2858</v>
      </c>
      <c r="AA1125" s="135"/>
      <c r="AB1125" s="135"/>
      <c r="AC1125" s="135"/>
      <c r="AD1125" s="135">
        <v>0.0</v>
      </c>
      <c r="AE1125" s="135"/>
      <c r="AF1125" s="135"/>
      <c r="AG1125" s="135"/>
    </row>
    <row r="1126" ht="21.75" hidden="1" customHeight="1">
      <c r="A1126" s="135">
        <v>1122.0</v>
      </c>
      <c r="B1126" s="135">
        <v>25045.0</v>
      </c>
      <c r="C1126" s="135"/>
      <c r="D1126" s="135">
        <v>29.0</v>
      </c>
      <c r="E1126" s="135" t="s">
        <v>3559</v>
      </c>
      <c r="F1126" s="135" t="s">
        <v>873</v>
      </c>
      <c r="G1126" s="135" t="s">
        <v>158</v>
      </c>
      <c r="H1126" s="135" t="s">
        <v>2853</v>
      </c>
      <c r="I1126" s="135" t="s">
        <v>167</v>
      </c>
      <c r="J1126" s="135">
        <v>1.0</v>
      </c>
      <c r="K1126" s="135"/>
      <c r="L1126" s="135">
        <v>4505.0</v>
      </c>
      <c r="M1126" s="135">
        <v>2900.0</v>
      </c>
      <c r="N1126" s="135">
        <v>120.0</v>
      </c>
      <c r="O1126" s="135">
        <v>1.817</v>
      </c>
      <c r="P1126" s="136">
        <v>0.0</v>
      </c>
      <c r="Q1126" s="137">
        <v>4.5424999999999995</v>
      </c>
      <c r="R1126" s="136">
        <v>46120.0</v>
      </c>
      <c r="S1126" s="135" t="s">
        <v>3528</v>
      </c>
      <c r="T1126" s="136"/>
      <c r="U1126" s="135" t="s">
        <v>2855</v>
      </c>
      <c r="V1126" s="135" t="s">
        <v>2876</v>
      </c>
      <c r="W1126" s="135" t="s">
        <v>3629</v>
      </c>
      <c r="X1126" s="135"/>
      <c r="Y1126" s="135"/>
      <c r="Z1126" s="135" t="s">
        <v>2858</v>
      </c>
      <c r="AA1126" s="135"/>
      <c r="AB1126" s="135"/>
      <c r="AC1126" s="135"/>
      <c r="AD1126" s="135">
        <v>46130.0</v>
      </c>
      <c r="AE1126" s="135"/>
      <c r="AF1126" s="135"/>
      <c r="AG1126" s="135"/>
    </row>
    <row r="1127" ht="21.75" hidden="1" customHeight="1">
      <c r="A1127" s="135">
        <v>1123.0</v>
      </c>
      <c r="B1127" s="135">
        <v>25045.0</v>
      </c>
      <c r="C1127" s="135"/>
      <c r="D1127" s="135">
        <v>29.0</v>
      </c>
      <c r="E1127" s="135" t="s">
        <v>3559</v>
      </c>
      <c r="F1127" s="135" t="s">
        <v>874</v>
      </c>
      <c r="G1127" s="135" t="s">
        <v>158</v>
      </c>
      <c r="H1127" s="135" t="s">
        <v>2853</v>
      </c>
      <c r="I1127" s="135" t="s">
        <v>167</v>
      </c>
      <c r="J1127" s="135">
        <v>1.0</v>
      </c>
      <c r="K1127" s="135" t="s">
        <v>3134</v>
      </c>
      <c r="L1127" s="135">
        <v>4500.0</v>
      </c>
      <c r="M1127" s="135">
        <v>2900.0</v>
      </c>
      <c r="N1127" s="135">
        <v>120.0</v>
      </c>
      <c r="O1127" s="135">
        <v>1.815</v>
      </c>
      <c r="P1127" s="136">
        <v>0.0</v>
      </c>
      <c r="Q1127" s="137">
        <v>4.5375</v>
      </c>
      <c r="R1127" s="136">
        <v>46120.0</v>
      </c>
      <c r="S1127" s="135" t="s">
        <v>3528</v>
      </c>
      <c r="T1127" s="136"/>
      <c r="U1127" s="135" t="s">
        <v>2855</v>
      </c>
      <c r="V1127" s="135" t="s">
        <v>2876</v>
      </c>
      <c r="W1127" s="135" t="s">
        <v>3191</v>
      </c>
      <c r="X1127" s="135"/>
      <c r="Y1127" s="135"/>
      <c r="Z1127" s="135" t="s">
        <v>2858</v>
      </c>
      <c r="AA1127" s="135"/>
      <c r="AB1127" s="135"/>
      <c r="AC1127" s="135"/>
      <c r="AD1127" s="135">
        <v>46127.0</v>
      </c>
      <c r="AE1127" s="135"/>
      <c r="AF1127" s="135"/>
      <c r="AG1127" s="135"/>
    </row>
    <row r="1128" ht="21.75" hidden="1" customHeight="1">
      <c r="A1128" s="135">
        <v>1124.0</v>
      </c>
      <c r="B1128" s="135">
        <v>25045.0</v>
      </c>
      <c r="C1128" s="135"/>
      <c r="D1128" s="135">
        <v>29.0</v>
      </c>
      <c r="E1128" s="135" t="s">
        <v>3559</v>
      </c>
      <c r="F1128" s="135" t="s">
        <v>875</v>
      </c>
      <c r="G1128" s="135" t="s">
        <v>158</v>
      </c>
      <c r="H1128" s="135" t="s">
        <v>2853</v>
      </c>
      <c r="I1128" s="135" t="s">
        <v>167</v>
      </c>
      <c r="J1128" s="135">
        <v>1.0</v>
      </c>
      <c r="K1128" s="135" t="s">
        <v>3134</v>
      </c>
      <c r="L1128" s="135">
        <v>4500.0</v>
      </c>
      <c r="M1128" s="135">
        <v>2900.0</v>
      </c>
      <c r="N1128" s="135">
        <v>120.0</v>
      </c>
      <c r="O1128" s="135">
        <v>1.815</v>
      </c>
      <c r="P1128" s="136">
        <v>0.0</v>
      </c>
      <c r="Q1128" s="137">
        <v>4.5375</v>
      </c>
      <c r="R1128" s="136">
        <v>46120.0</v>
      </c>
      <c r="S1128" s="135" t="s">
        <v>3528</v>
      </c>
      <c r="T1128" s="136"/>
      <c r="U1128" s="135" t="s">
        <v>2855</v>
      </c>
      <c r="V1128" s="135" t="s">
        <v>2876</v>
      </c>
      <c r="W1128" s="135" t="s">
        <v>3191</v>
      </c>
      <c r="X1128" s="135"/>
      <c r="Y1128" s="135"/>
      <c r="Z1128" s="135" t="s">
        <v>2858</v>
      </c>
      <c r="AA1128" s="135"/>
      <c r="AB1128" s="135"/>
      <c r="AC1128" s="135"/>
      <c r="AD1128" s="135">
        <v>46128.0</v>
      </c>
      <c r="AE1128" s="135"/>
      <c r="AF1128" s="135"/>
      <c r="AG1128" s="135"/>
    </row>
    <row r="1129" ht="21.75" hidden="1" customHeight="1">
      <c r="A1129" s="135">
        <v>1125.0</v>
      </c>
      <c r="B1129" s="135">
        <v>25045.0</v>
      </c>
      <c r="C1129" s="135"/>
      <c r="D1129" s="135">
        <v>29.0</v>
      </c>
      <c r="E1129" s="135" t="s">
        <v>3559</v>
      </c>
      <c r="F1129" s="135" t="s">
        <v>876</v>
      </c>
      <c r="G1129" s="135" t="s">
        <v>158</v>
      </c>
      <c r="H1129" s="135" t="s">
        <v>2853</v>
      </c>
      <c r="I1129" s="135" t="s">
        <v>167</v>
      </c>
      <c r="J1129" s="135">
        <v>1.0</v>
      </c>
      <c r="K1129" s="135" t="s">
        <v>3134</v>
      </c>
      <c r="L1129" s="135">
        <v>4500.0</v>
      </c>
      <c r="M1129" s="135">
        <v>2900.0</v>
      </c>
      <c r="N1129" s="135">
        <v>120.0</v>
      </c>
      <c r="O1129" s="135">
        <v>1.815</v>
      </c>
      <c r="P1129" s="136">
        <v>0.0</v>
      </c>
      <c r="Q1129" s="137">
        <v>4.5375</v>
      </c>
      <c r="R1129" s="136">
        <v>46120.0</v>
      </c>
      <c r="S1129" s="135" t="s">
        <v>3528</v>
      </c>
      <c r="T1129" s="136"/>
      <c r="U1129" s="135" t="s">
        <v>2855</v>
      </c>
      <c r="V1129" s="135" t="s">
        <v>2876</v>
      </c>
      <c r="W1129" s="135" t="s">
        <v>3191</v>
      </c>
      <c r="X1129" s="135"/>
      <c r="Y1129" s="135"/>
      <c r="Z1129" s="135" t="s">
        <v>2858</v>
      </c>
      <c r="AA1129" s="135"/>
      <c r="AB1129" s="135"/>
      <c r="AC1129" s="135"/>
      <c r="AD1129" s="135">
        <v>46129.0</v>
      </c>
      <c r="AE1129" s="135"/>
      <c r="AF1129" s="135"/>
      <c r="AG1129" s="135"/>
    </row>
    <row r="1130" ht="21.75" hidden="1" customHeight="1">
      <c r="A1130" s="135">
        <v>1126.0</v>
      </c>
      <c r="B1130" s="135">
        <v>25045.0</v>
      </c>
      <c r="C1130" s="135"/>
      <c r="D1130" s="135">
        <v>29.0</v>
      </c>
      <c r="E1130" s="135" t="s">
        <v>3559</v>
      </c>
      <c r="F1130" s="135" t="s">
        <v>877</v>
      </c>
      <c r="G1130" s="135" t="s">
        <v>158</v>
      </c>
      <c r="H1130" s="135" t="s">
        <v>2853</v>
      </c>
      <c r="I1130" s="135" t="s">
        <v>167</v>
      </c>
      <c r="J1130" s="135">
        <v>1.0</v>
      </c>
      <c r="K1130" s="135"/>
      <c r="L1130" s="135">
        <v>4500.0</v>
      </c>
      <c r="M1130" s="135">
        <v>2900.0</v>
      </c>
      <c r="N1130" s="135">
        <v>120.0</v>
      </c>
      <c r="O1130" s="135">
        <v>1.52</v>
      </c>
      <c r="P1130" s="136">
        <v>0.0</v>
      </c>
      <c r="Q1130" s="137">
        <v>3.8</v>
      </c>
      <c r="R1130" s="136">
        <v>46120.0</v>
      </c>
      <c r="S1130" s="135" t="s">
        <v>3528</v>
      </c>
      <c r="T1130" s="136"/>
      <c r="U1130" s="135" t="s">
        <v>2864</v>
      </c>
      <c r="V1130" s="135" t="s">
        <v>2985</v>
      </c>
      <c r="W1130" s="135" t="s">
        <v>3630</v>
      </c>
      <c r="X1130" s="135" t="s">
        <v>2892</v>
      </c>
      <c r="Y1130" s="135"/>
      <c r="Z1130" s="135" t="s">
        <v>2858</v>
      </c>
      <c r="AA1130" s="135"/>
      <c r="AB1130" s="135"/>
      <c r="AC1130" s="135"/>
      <c r="AD1130" s="135">
        <v>0.0</v>
      </c>
      <c r="AE1130" s="135"/>
      <c r="AF1130" s="135"/>
      <c r="AG1130" s="135"/>
    </row>
    <row r="1131" ht="21.75" hidden="1" customHeight="1">
      <c r="A1131" s="135">
        <v>1127.0</v>
      </c>
      <c r="B1131" s="135">
        <v>25045.0</v>
      </c>
      <c r="C1131" s="135"/>
      <c r="D1131" s="135">
        <v>29.0</v>
      </c>
      <c r="E1131" s="135" t="s">
        <v>3558</v>
      </c>
      <c r="F1131" s="135" t="s">
        <v>888</v>
      </c>
      <c r="G1131" s="135" t="s">
        <v>158</v>
      </c>
      <c r="H1131" s="135" t="s">
        <v>2853</v>
      </c>
      <c r="I1131" s="135" t="s">
        <v>168</v>
      </c>
      <c r="J1131" s="135">
        <v>1.0</v>
      </c>
      <c r="K1131" s="135" t="s">
        <v>3134</v>
      </c>
      <c r="L1131" s="135">
        <v>4440.0</v>
      </c>
      <c r="M1131" s="135">
        <v>2900.0</v>
      </c>
      <c r="N1131" s="135">
        <v>120.0</v>
      </c>
      <c r="O1131" s="135">
        <v>1.82</v>
      </c>
      <c r="P1131" s="136">
        <v>0.0</v>
      </c>
      <c r="Q1131" s="137">
        <v>4.55</v>
      </c>
      <c r="R1131" s="136">
        <v>46120.0</v>
      </c>
      <c r="S1131" s="135" t="s">
        <v>3528</v>
      </c>
      <c r="T1131" s="136"/>
      <c r="U1131" s="135" t="s">
        <v>2855</v>
      </c>
      <c r="V1131" s="135" t="s">
        <v>2876</v>
      </c>
      <c r="W1131" s="135" t="s">
        <v>3631</v>
      </c>
      <c r="X1131" s="135"/>
      <c r="Y1131" s="135"/>
      <c r="Z1131" s="135" t="s">
        <v>2858</v>
      </c>
      <c r="AA1131" s="135"/>
      <c r="AB1131" s="135"/>
      <c r="AC1131" s="135"/>
      <c r="AD1131" s="135">
        <v>46132.0</v>
      </c>
      <c r="AE1131" s="135"/>
      <c r="AF1131" s="135"/>
      <c r="AG1131" s="135"/>
    </row>
    <row r="1132" ht="21.75" hidden="1" customHeight="1">
      <c r="A1132" s="135">
        <v>1128.0</v>
      </c>
      <c r="B1132" s="135">
        <v>25045.0</v>
      </c>
      <c r="C1132" s="135"/>
      <c r="D1132" s="135">
        <v>29.0</v>
      </c>
      <c r="E1132" s="135" t="s">
        <v>3557</v>
      </c>
      <c r="F1132" s="135" t="s">
        <v>857</v>
      </c>
      <c r="G1132" s="135" t="s">
        <v>158</v>
      </c>
      <c r="H1132" s="135" t="s">
        <v>2853</v>
      </c>
      <c r="I1132" s="135" t="s">
        <v>166</v>
      </c>
      <c r="J1132" s="135">
        <v>1.0</v>
      </c>
      <c r="K1132" s="135" t="s">
        <v>3134</v>
      </c>
      <c r="L1132" s="135">
        <v>4440.0</v>
      </c>
      <c r="M1132" s="135">
        <v>2900.0</v>
      </c>
      <c r="N1132" s="135">
        <v>120.0</v>
      </c>
      <c r="O1132" s="135">
        <v>1.82</v>
      </c>
      <c r="P1132" s="136">
        <v>0.0</v>
      </c>
      <c r="Q1132" s="137">
        <v>4.55</v>
      </c>
      <c r="R1132" s="136">
        <v>46120.0</v>
      </c>
      <c r="S1132" s="135" t="s">
        <v>3528</v>
      </c>
      <c r="T1132" s="136"/>
      <c r="U1132" s="135" t="s">
        <v>2855</v>
      </c>
      <c r="V1132" s="135" t="s">
        <v>2876</v>
      </c>
      <c r="W1132" s="135" t="s">
        <v>3631</v>
      </c>
      <c r="X1132" s="135"/>
      <c r="Y1132" s="135"/>
      <c r="Z1132" s="135" t="s">
        <v>2858</v>
      </c>
      <c r="AA1132" s="135"/>
      <c r="AB1132" s="135"/>
      <c r="AC1132" s="135"/>
      <c r="AD1132" s="135">
        <v>46133.0</v>
      </c>
      <c r="AE1132" s="135"/>
      <c r="AF1132" s="135"/>
      <c r="AG1132" s="135"/>
    </row>
    <row r="1133" ht="21.75" hidden="1" customHeight="1">
      <c r="A1133" s="135">
        <v>1129.0</v>
      </c>
      <c r="B1133" s="135">
        <v>25045.0</v>
      </c>
      <c r="C1133" s="135"/>
      <c r="D1133" s="135">
        <v>29.0</v>
      </c>
      <c r="E1133" s="135" t="s">
        <v>3558</v>
      </c>
      <c r="F1133" s="135" t="s">
        <v>889</v>
      </c>
      <c r="G1133" s="135" t="s">
        <v>158</v>
      </c>
      <c r="H1133" s="135" t="s">
        <v>2853</v>
      </c>
      <c r="I1133" s="135" t="s">
        <v>168</v>
      </c>
      <c r="J1133" s="135">
        <v>1.0</v>
      </c>
      <c r="K1133" s="135" t="s">
        <v>3134</v>
      </c>
      <c r="L1133" s="135">
        <v>4590.0</v>
      </c>
      <c r="M1133" s="135">
        <v>2900.0</v>
      </c>
      <c r="N1133" s="135">
        <v>120.0</v>
      </c>
      <c r="O1133" s="135">
        <v>1.843</v>
      </c>
      <c r="P1133" s="136">
        <v>0.0</v>
      </c>
      <c r="Q1133" s="137">
        <v>4.6075</v>
      </c>
      <c r="R1133" s="136">
        <v>46120.0</v>
      </c>
      <c r="S1133" s="135" t="s">
        <v>3528</v>
      </c>
      <c r="T1133" s="136"/>
      <c r="U1133" s="135" t="s">
        <v>2855</v>
      </c>
      <c r="V1133" s="135" t="s">
        <v>2876</v>
      </c>
      <c r="W1133" s="135" t="s">
        <v>3632</v>
      </c>
      <c r="X1133" s="135"/>
      <c r="Y1133" s="135"/>
      <c r="Z1133" s="135" t="s">
        <v>2858</v>
      </c>
      <c r="AA1133" s="135"/>
      <c r="AB1133" s="135"/>
      <c r="AC1133" s="135"/>
      <c r="AD1133" s="135">
        <v>46134.0</v>
      </c>
      <c r="AE1133" s="135"/>
      <c r="AF1133" s="135"/>
      <c r="AG1133" s="135"/>
    </row>
    <row r="1134" ht="21.75" hidden="1" customHeight="1">
      <c r="A1134" s="135">
        <v>1130.0</v>
      </c>
      <c r="B1134" s="135">
        <v>25045.0</v>
      </c>
      <c r="C1134" s="135"/>
      <c r="D1134" s="135">
        <v>29.0</v>
      </c>
      <c r="E1134" s="135" t="s">
        <v>3558</v>
      </c>
      <c r="F1134" s="135" t="s">
        <v>890</v>
      </c>
      <c r="G1134" s="135" t="s">
        <v>158</v>
      </c>
      <c r="H1134" s="135" t="s">
        <v>2853</v>
      </c>
      <c r="I1134" s="135" t="s">
        <v>168</v>
      </c>
      <c r="J1134" s="135">
        <v>1.0</v>
      </c>
      <c r="K1134" s="135" t="s">
        <v>3134</v>
      </c>
      <c r="L1134" s="135">
        <v>4590.0</v>
      </c>
      <c r="M1134" s="135">
        <v>2900.0</v>
      </c>
      <c r="N1134" s="135">
        <v>120.0</v>
      </c>
      <c r="O1134" s="135">
        <v>1.843</v>
      </c>
      <c r="P1134" s="136">
        <v>0.0</v>
      </c>
      <c r="Q1134" s="137">
        <v>4.6075</v>
      </c>
      <c r="R1134" s="136">
        <v>46120.0</v>
      </c>
      <c r="S1134" s="135" t="s">
        <v>3528</v>
      </c>
      <c r="T1134" s="136"/>
      <c r="U1134" s="135" t="s">
        <v>2855</v>
      </c>
      <c r="V1134" s="135" t="s">
        <v>2876</v>
      </c>
      <c r="W1134" s="135" t="s">
        <v>3632</v>
      </c>
      <c r="X1134" s="135"/>
      <c r="Y1134" s="135"/>
      <c r="Z1134" s="135" t="s">
        <v>2858</v>
      </c>
      <c r="AA1134" s="135"/>
      <c r="AB1134" s="135"/>
      <c r="AC1134" s="135"/>
      <c r="AD1134" s="135">
        <v>46135.0</v>
      </c>
      <c r="AE1134" s="135"/>
      <c r="AF1134" s="135"/>
      <c r="AG1134" s="135"/>
    </row>
    <row r="1135" ht="21.75" hidden="1" customHeight="1">
      <c r="A1135" s="135">
        <v>1131.0</v>
      </c>
      <c r="B1135" s="135">
        <v>25045.0</v>
      </c>
      <c r="C1135" s="135"/>
      <c r="D1135" s="135">
        <v>29.0</v>
      </c>
      <c r="E1135" s="135" t="s">
        <v>3558</v>
      </c>
      <c r="F1135" s="135" t="s">
        <v>891</v>
      </c>
      <c r="G1135" s="135" t="s">
        <v>158</v>
      </c>
      <c r="H1135" s="135" t="s">
        <v>2853</v>
      </c>
      <c r="I1135" s="135" t="s">
        <v>168</v>
      </c>
      <c r="J1135" s="135">
        <v>1.0</v>
      </c>
      <c r="K1135" s="135" t="s">
        <v>3134</v>
      </c>
      <c r="L1135" s="135">
        <v>4590.0</v>
      </c>
      <c r="M1135" s="135">
        <v>2900.0</v>
      </c>
      <c r="N1135" s="135">
        <v>120.0</v>
      </c>
      <c r="O1135" s="135">
        <v>1.843</v>
      </c>
      <c r="P1135" s="136">
        <v>0.0</v>
      </c>
      <c r="Q1135" s="137">
        <v>4.6075</v>
      </c>
      <c r="R1135" s="136">
        <v>46120.0</v>
      </c>
      <c r="S1135" s="135" t="s">
        <v>3528</v>
      </c>
      <c r="T1135" s="136"/>
      <c r="U1135" s="135" t="s">
        <v>2855</v>
      </c>
      <c r="V1135" s="135" t="s">
        <v>2876</v>
      </c>
      <c r="W1135" s="135" t="s">
        <v>3632</v>
      </c>
      <c r="X1135" s="135"/>
      <c r="Y1135" s="135"/>
      <c r="Z1135" s="135" t="s">
        <v>2858</v>
      </c>
      <c r="AA1135" s="135"/>
      <c r="AB1135" s="135"/>
      <c r="AC1135" s="135"/>
      <c r="AD1135" s="135">
        <v>46136.0</v>
      </c>
      <c r="AE1135" s="135"/>
      <c r="AF1135" s="135"/>
      <c r="AG1135" s="135"/>
    </row>
    <row r="1136" ht="21.75" hidden="1" customHeight="1">
      <c r="A1136" s="135">
        <v>1132.0</v>
      </c>
      <c r="B1136" s="135">
        <v>25045.0</v>
      </c>
      <c r="C1136" s="135"/>
      <c r="D1136" s="135">
        <v>29.0</v>
      </c>
      <c r="E1136" s="135" t="s">
        <v>3557</v>
      </c>
      <c r="F1136" s="135" t="s">
        <v>858</v>
      </c>
      <c r="G1136" s="135" t="s">
        <v>158</v>
      </c>
      <c r="H1136" s="135" t="s">
        <v>2853</v>
      </c>
      <c r="I1136" s="135" t="s">
        <v>166</v>
      </c>
      <c r="J1136" s="135">
        <v>1.0</v>
      </c>
      <c r="K1136" s="135" t="s">
        <v>3134</v>
      </c>
      <c r="L1136" s="135">
        <v>4590.0</v>
      </c>
      <c r="M1136" s="135">
        <v>2900.0</v>
      </c>
      <c r="N1136" s="135">
        <v>120.0</v>
      </c>
      <c r="O1136" s="135">
        <v>1.843</v>
      </c>
      <c r="P1136" s="136">
        <v>0.0</v>
      </c>
      <c r="Q1136" s="137">
        <v>4.6075</v>
      </c>
      <c r="R1136" s="136">
        <v>46120.0</v>
      </c>
      <c r="S1136" s="135" t="s">
        <v>3528</v>
      </c>
      <c r="T1136" s="136"/>
      <c r="U1136" s="135" t="s">
        <v>2855</v>
      </c>
      <c r="V1136" s="135" t="s">
        <v>2876</v>
      </c>
      <c r="W1136" s="135" t="s">
        <v>3632</v>
      </c>
      <c r="X1136" s="135"/>
      <c r="Y1136" s="135"/>
      <c r="Z1136" s="135" t="s">
        <v>2858</v>
      </c>
      <c r="AA1136" s="135"/>
      <c r="AB1136" s="135"/>
      <c r="AC1136" s="135"/>
      <c r="AD1136" s="135">
        <v>46137.0</v>
      </c>
      <c r="AE1136" s="135"/>
      <c r="AF1136" s="135"/>
      <c r="AG1136" s="135"/>
    </row>
    <row r="1137" ht="21.75" hidden="1" customHeight="1">
      <c r="A1137" s="135">
        <v>1133.0</v>
      </c>
      <c r="B1137" s="135">
        <v>25045.0</v>
      </c>
      <c r="C1137" s="135"/>
      <c r="D1137" s="135">
        <v>29.0</v>
      </c>
      <c r="E1137" s="135" t="s">
        <v>3557</v>
      </c>
      <c r="F1137" s="135" t="s">
        <v>859</v>
      </c>
      <c r="G1137" s="135" t="s">
        <v>158</v>
      </c>
      <c r="H1137" s="135" t="s">
        <v>2853</v>
      </c>
      <c r="I1137" s="135" t="s">
        <v>166</v>
      </c>
      <c r="J1137" s="135">
        <v>1.0</v>
      </c>
      <c r="K1137" s="135" t="s">
        <v>3134</v>
      </c>
      <c r="L1137" s="135">
        <v>4590.0</v>
      </c>
      <c r="M1137" s="135">
        <v>2900.0</v>
      </c>
      <c r="N1137" s="135">
        <v>120.0</v>
      </c>
      <c r="O1137" s="135">
        <v>1.843</v>
      </c>
      <c r="P1137" s="136">
        <v>0.0</v>
      </c>
      <c r="Q1137" s="137">
        <v>4.6075</v>
      </c>
      <c r="R1137" s="136">
        <v>46120.0</v>
      </c>
      <c r="S1137" s="135" t="s">
        <v>3528</v>
      </c>
      <c r="T1137" s="136"/>
      <c r="U1137" s="135" t="s">
        <v>2855</v>
      </c>
      <c r="V1137" s="135" t="s">
        <v>2876</v>
      </c>
      <c r="W1137" s="135" t="s">
        <v>3632</v>
      </c>
      <c r="X1137" s="135"/>
      <c r="Y1137" s="135"/>
      <c r="Z1137" s="135" t="s">
        <v>2858</v>
      </c>
      <c r="AA1137" s="135"/>
      <c r="AB1137" s="135"/>
      <c r="AC1137" s="135"/>
      <c r="AD1137" s="135">
        <v>46139.0</v>
      </c>
      <c r="AE1137" s="135"/>
      <c r="AF1137" s="135"/>
      <c r="AG1137" s="135"/>
    </row>
    <row r="1138" ht="21.75" hidden="1" customHeight="1">
      <c r="A1138" s="135">
        <v>1134.0</v>
      </c>
      <c r="B1138" s="135">
        <v>25045.0</v>
      </c>
      <c r="C1138" s="135"/>
      <c r="D1138" s="135">
        <v>29.0</v>
      </c>
      <c r="E1138" s="135" t="s">
        <v>3557</v>
      </c>
      <c r="F1138" s="135" t="s">
        <v>860</v>
      </c>
      <c r="G1138" s="135" t="s">
        <v>158</v>
      </c>
      <c r="H1138" s="135" t="s">
        <v>2853</v>
      </c>
      <c r="I1138" s="135" t="s">
        <v>166</v>
      </c>
      <c r="J1138" s="135">
        <v>1.0</v>
      </c>
      <c r="K1138" s="135" t="s">
        <v>3134</v>
      </c>
      <c r="L1138" s="135">
        <v>4590.0</v>
      </c>
      <c r="M1138" s="135">
        <v>2900.0</v>
      </c>
      <c r="N1138" s="135">
        <v>120.0</v>
      </c>
      <c r="O1138" s="135">
        <v>1.843</v>
      </c>
      <c r="P1138" s="136">
        <v>0.0</v>
      </c>
      <c r="Q1138" s="137">
        <v>4.6075</v>
      </c>
      <c r="R1138" s="136">
        <v>46120.0</v>
      </c>
      <c r="S1138" s="135" t="s">
        <v>3528</v>
      </c>
      <c r="T1138" s="136"/>
      <c r="U1138" s="135" t="s">
        <v>2855</v>
      </c>
      <c r="V1138" s="135" t="s">
        <v>2876</v>
      </c>
      <c r="W1138" s="135" t="s">
        <v>3632</v>
      </c>
      <c r="X1138" s="135"/>
      <c r="Y1138" s="135"/>
      <c r="Z1138" s="135" t="s">
        <v>2858</v>
      </c>
      <c r="AA1138" s="135"/>
      <c r="AB1138" s="135"/>
      <c r="AC1138" s="135"/>
      <c r="AD1138" s="135">
        <v>46140.0</v>
      </c>
      <c r="AE1138" s="135"/>
      <c r="AF1138" s="135"/>
      <c r="AG1138" s="135"/>
    </row>
    <row r="1139" ht="21.75" hidden="1" customHeight="1">
      <c r="A1139" s="135">
        <v>1135.0</v>
      </c>
      <c r="B1139" s="135">
        <v>25045.0</v>
      </c>
      <c r="C1139" s="135"/>
      <c r="D1139" s="135">
        <v>29.0</v>
      </c>
      <c r="E1139" s="135" t="s">
        <v>3558</v>
      </c>
      <c r="F1139" s="135" t="s">
        <v>892</v>
      </c>
      <c r="G1139" s="135" t="s">
        <v>158</v>
      </c>
      <c r="H1139" s="135" t="s">
        <v>2853</v>
      </c>
      <c r="I1139" s="135" t="s">
        <v>168</v>
      </c>
      <c r="J1139" s="135">
        <v>1.0</v>
      </c>
      <c r="K1139" s="135" t="s">
        <v>3134</v>
      </c>
      <c r="L1139" s="135">
        <v>4590.0</v>
      </c>
      <c r="M1139" s="135">
        <v>2900.0</v>
      </c>
      <c r="N1139" s="135">
        <v>120.0</v>
      </c>
      <c r="O1139" s="135">
        <v>1.545</v>
      </c>
      <c r="P1139" s="136">
        <v>0.0</v>
      </c>
      <c r="Q1139" s="137">
        <v>3.8625</v>
      </c>
      <c r="R1139" s="136">
        <v>46120.0</v>
      </c>
      <c r="S1139" s="135" t="s">
        <v>3528</v>
      </c>
      <c r="T1139" s="136"/>
      <c r="U1139" s="135" t="s">
        <v>2864</v>
      </c>
      <c r="V1139" s="135" t="s">
        <v>2985</v>
      </c>
      <c r="W1139" s="135" t="s">
        <v>3633</v>
      </c>
      <c r="X1139" s="135" t="s">
        <v>3634</v>
      </c>
      <c r="Y1139" s="135"/>
      <c r="Z1139" s="135" t="s">
        <v>2858</v>
      </c>
      <c r="AA1139" s="135"/>
      <c r="AB1139" s="135"/>
      <c r="AC1139" s="135"/>
      <c r="AD1139" s="135">
        <v>0.0</v>
      </c>
      <c r="AE1139" s="135"/>
      <c r="AF1139" s="135"/>
      <c r="AG1139" s="135"/>
    </row>
    <row r="1140" ht="21.75" hidden="1" customHeight="1">
      <c r="A1140" s="135">
        <v>1136.0</v>
      </c>
      <c r="B1140" s="135">
        <v>25045.0</v>
      </c>
      <c r="C1140" s="135"/>
      <c r="D1140" s="135">
        <v>29.0</v>
      </c>
      <c r="E1140" s="135" t="s">
        <v>3557</v>
      </c>
      <c r="F1140" s="135" t="s">
        <v>861</v>
      </c>
      <c r="G1140" s="135" t="s">
        <v>158</v>
      </c>
      <c r="H1140" s="135" t="s">
        <v>2853</v>
      </c>
      <c r="I1140" s="135" t="s">
        <v>166</v>
      </c>
      <c r="J1140" s="135">
        <v>1.0</v>
      </c>
      <c r="K1140" s="135" t="s">
        <v>3134</v>
      </c>
      <c r="L1140" s="135">
        <v>4590.0</v>
      </c>
      <c r="M1140" s="135">
        <v>2900.0</v>
      </c>
      <c r="N1140" s="135">
        <v>120.0</v>
      </c>
      <c r="O1140" s="135">
        <v>1.545</v>
      </c>
      <c r="P1140" s="136">
        <v>0.0</v>
      </c>
      <c r="Q1140" s="137">
        <v>3.8625</v>
      </c>
      <c r="R1140" s="136">
        <v>46120.0</v>
      </c>
      <c r="S1140" s="135" t="s">
        <v>3528</v>
      </c>
      <c r="T1140" s="136"/>
      <c r="U1140" s="135" t="s">
        <v>2864</v>
      </c>
      <c r="V1140" s="135" t="s">
        <v>2985</v>
      </c>
      <c r="W1140" s="135" t="s">
        <v>3633</v>
      </c>
      <c r="X1140" s="135" t="s">
        <v>3634</v>
      </c>
      <c r="Y1140" s="135"/>
      <c r="Z1140" s="135" t="s">
        <v>2858</v>
      </c>
      <c r="AA1140" s="135"/>
      <c r="AB1140" s="135"/>
      <c r="AC1140" s="135"/>
      <c r="AD1140" s="135">
        <v>0.0</v>
      </c>
      <c r="AE1140" s="135"/>
      <c r="AF1140" s="135"/>
      <c r="AG1140" s="135"/>
    </row>
    <row r="1141" ht="21.75" hidden="1" customHeight="1">
      <c r="A1141" s="135">
        <v>1137.0</v>
      </c>
      <c r="B1141" s="135">
        <v>25045.0</v>
      </c>
      <c r="C1141" s="135"/>
      <c r="D1141" s="135">
        <v>29.0</v>
      </c>
      <c r="E1141" s="135" t="s">
        <v>3560</v>
      </c>
      <c r="F1141" s="135" t="s">
        <v>926</v>
      </c>
      <c r="G1141" s="135" t="s">
        <v>158</v>
      </c>
      <c r="H1141" s="135" t="s">
        <v>2853</v>
      </c>
      <c r="I1141" s="135" t="s">
        <v>170</v>
      </c>
      <c r="J1141" s="135">
        <v>1.0</v>
      </c>
      <c r="K1141" s="135"/>
      <c r="L1141" s="135">
        <v>5015.0</v>
      </c>
      <c r="M1141" s="135">
        <v>2900.0</v>
      </c>
      <c r="N1141" s="135">
        <v>120.0</v>
      </c>
      <c r="O1141" s="135">
        <v>1.945</v>
      </c>
      <c r="P1141" s="136">
        <v>0.0</v>
      </c>
      <c r="Q1141" s="137">
        <v>4.8625</v>
      </c>
      <c r="R1141" s="136">
        <v>46120.0</v>
      </c>
      <c r="S1141" s="135" t="s">
        <v>3528</v>
      </c>
      <c r="T1141" s="136"/>
      <c r="U1141" s="135" t="s">
        <v>2855</v>
      </c>
      <c r="V1141" s="135" t="s">
        <v>2876</v>
      </c>
      <c r="W1141" s="135" t="s">
        <v>3004</v>
      </c>
      <c r="X1141" s="135"/>
      <c r="Y1141" s="135"/>
      <c r="Z1141" s="135" t="s">
        <v>2858</v>
      </c>
      <c r="AA1141" s="135"/>
      <c r="AB1141" s="135"/>
      <c r="AC1141" s="135"/>
      <c r="AD1141" s="135">
        <v>46146.0</v>
      </c>
      <c r="AE1141" s="135"/>
      <c r="AF1141" s="135"/>
      <c r="AG1141" s="135"/>
    </row>
    <row r="1142" ht="21.75" hidden="1" customHeight="1">
      <c r="A1142" s="135">
        <v>1138.0</v>
      </c>
      <c r="B1142" s="135">
        <v>25045.0</v>
      </c>
      <c r="C1142" s="135"/>
      <c r="D1142" s="135">
        <v>29.0</v>
      </c>
      <c r="E1142" s="135" t="s">
        <v>3560</v>
      </c>
      <c r="F1142" s="135" t="s">
        <v>927</v>
      </c>
      <c r="G1142" s="135" t="s">
        <v>158</v>
      </c>
      <c r="H1142" s="135" t="s">
        <v>2853</v>
      </c>
      <c r="I1142" s="135" t="s">
        <v>170</v>
      </c>
      <c r="J1142" s="135">
        <v>1.0</v>
      </c>
      <c r="K1142" s="135"/>
      <c r="L1142" s="135">
        <v>4656.0</v>
      </c>
      <c r="M1142" s="135">
        <v>2900.0</v>
      </c>
      <c r="N1142" s="135">
        <v>120.0</v>
      </c>
      <c r="O1142" s="135">
        <v>1.562</v>
      </c>
      <c r="P1142" s="136">
        <v>0.0</v>
      </c>
      <c r="Q1142" s="137">
        <v>3.9050000000000002</v>
      </c>
      <c r="R1142" s="136">
        <v>46120.0</v>
      </c>
      <c r="S1142" s="135" t="s">
        <v>3528</v>
      </c>
      <c r="T1142" s="136"/>
      <c r="U1142" s="135" t="s">
        <v>2864</v>
      </c>
      <c r="V1142" s="135" t="s">
        <v>2985</v>
      </c>
      <c r="W1142" s="135" t="s">
        <v>3635</v>
      </c>
      <c r="X1142" s="135" t="s">
        <v>2892</v>
      </c>
      <c r="Y1142" s="135"/>
      <c r="Z1142" s="135" t="s">
        <v>2858</v>
      </c>
      <c r="AA1142" s="135"/>
      <c r="AB1142" s="135"/>
      <c r="AC1142" s="135"/>
      <c r="AD1142" s="135">
        <v>0.0</v>
      </c>
      <c r="AE1142" s="135"/>
      <c r="AF1142" s="135"/>
      <c r="AG1142" s="135"/>
    </row>
    <row r="1143" ht="21.75" hidden="1" customHeight="1">
      <c r="A1143" s="135">
        <v>1139.0</v>
      </c>
      <c r="B1143" s="135">
        <v>25045.0</v>
      </c>
      <c r="C1143" s="135"/>
      <c r="D1143" s="135">
        <v>29.0</v>
      </c>
      <c r="E1143" s="135" t="s">
        <v>3560</v>
      </c>
      <c r="F1143" s="135" t="s">
        <v>928</v>
      </c>
      <c r="G1143" s="135" t="s">
        <v>158</v>
      </c>
      <c r="H1143" s="135" t="s">
        <v>2853</v>
      </c>
      <c r="I1143" s="135" t="s">
        <v>170</v>
      </c>
      <c r="J1143" s="135">
        <v>1.0</v>
      </c>
      <c r="K1143" s="135"/>
      <c r="L1143" s="135">
        <v>4656.0</v>
      </c>
      <c r="M1143" s="135">
        <v>2900.0</v>
      </c>
      <c r="N1143" s="135">
        <v>120.0</v>
      </c>
      <c r="O1143" s="135">
        <v>1.855</v>
      </c>
      <c r="P1143" s="136">
        <v>0.0</v>
      </c>
      <c r="Q1143" s="137">
        <v>4.6375</v>
      </c>
      <c r="R1143" s="136">
        <v>46120.0</v>
      </c>
      <c r="S1143" s="135" t="s">
        <v>3528</v>
      </c>
      <c r="T1143" s="136"/>
      <c r="U1143" s="135" t="s">
        <v>2855</v>
      </c>
      <c r="V1143" s="135" t="s">
        <v>2876</v>
      </c>
      <c r="W1143" s="135" t="s">
        <v>3636</v>
      </c>
      <c r="X1143" s="135"/>
      <c r="Y1143" s="135"/>
      <c r="Z1143" s="135" t="s">
        <v>2858</v>
      </c>
      <c r="AA1143" s="135"/>
      <c r="AB1143" s="135"/>
      <c r="AC1143" s="135"/>
      <c r="AD1143" s="135">
        <v>46132.0</v>
      </c>
      <c r="AE1143" s="135"/>
      <c r="AF1143" s="135"/>
      <c r="AG1143" s="135"/>
    </row>
    <row r="1144" ht="21.75" hidden="1" customHeight="1">
      <c r="A1144" s="135">
        <v>1140.0</v>
      </c>
      <c r="B1144" s="135">
        <v>25045.0</v>
      </c>
      <c r="C1144" s="135"/>
      <c r="D1144" s="135">
        <v>29.0</v>
      </c>
      <c r="E1144" s="135" t="s">
        <v>3560</v>
      </c>
      <c r="F1144" s="135" t="s">
        <v>929</v>
      </c>
      <c r="G1144" s="135" t="s">
        <v>158</v>
      </c>
      <c r="H1144" s="135" t="s">
        <v>2853</v>
      </c>
      <c r="I1144" s="135" t="s">
        <v>170</v>
      </c>
      <c r="J1144" s="135">
        <v>1.0</v>
      </c>
      <c r="K1144" s="135"/>
      <c r="L1144" s="135">
        <v>4656.0</v>
      </c>
      <c r="M1144" s="135">
        <v>2900.0</v>
      </c>
      <c r="N1144" s="135">
        <v>120.0</v>
      </c>
      <c r="O1144" s="135">
        <v>1.855</v>
      </c>
      <c r="P1144" s="136">
        <v>0.0</v>
      </c>
      <c r="Q1144" s="137">
        <v>4.6375</v>
      </c>
      <c r="R1144" s="136">
        <v>46120.0</v>
      </c>
      <c r="S1144" s="135" t="s">
        <v>3528</v>
      </c>
      <c r="T1144" s="136"/>
      <c r="U1144" s="135" t="s">
        <v>2855</v>
      </c>
      <c r="V1144" s="135" t="s">
        <v>2876</v>
      </c>
      <c r="W1144" s="135" t="s">
        <v>3636</v>
      </c>
      <c r="X1144" s="135"/>
      <c r="Y1144" s="135"/>
      <c r="Z1144" s="135" t="s">
        <v>2858</v>
      </c>
      <c r="AA1144" s="135"/>
      <c r="AB1144" s="135"/>
      <c r="AC1144" s="135"/>
      <c r="AD1144" s="135">
        <v>46133.0</v>
      </c>
      <c r="AE1144" s="135"/>
      <c r="AF1144" s="135"/>
      <c r="AG1144" s="135"/>
    </row>
    <row r="1145" ht="21.75" hidden="1" customHeight="1">
      <c r="A1145" s="135">
        <v>1141.0</v>
      </c>
      <c r="B1145" s="135">
        <v>25045.0</v>
      </c>
      <c r="C1145" s="135"/>
      <c r="D1145" s="135">
        <v>29.0</v>
      </c>
      <c r="E1145" s="135" t="s">
        <v>3560</v>
      </c>
      <c r="F1145" s="135" t="s">
        <v>930</v>
      </c>
      <c r="G1145" s="135" t="s">
        <v>158</v>
      </c>
      <c r="H1145" s="135" t="s">
        <v>2853</v>
      </c>
      <c r="I1145" s="135" t="s">
        <v>170</v>
      </c>
      <c r="J1145" s="135">
        <v>1.0</v>
      </c>
      <c r="K1145" s="135"/>
      <c r="L1145" s="135">
        <v>4656.0</v>
      </c>
      <c r="M1145" s="135">
        <v>2900.0</v>
      </c>
      <c r="N1145" s="135">
        <v>120.0</v>
      </c>
      <c r="O1145" s="135">
        <v>1.855</v>
      </c>
      <c r="P1145" s="136">
        <v>0.0</v>
      </c>
      <c r="Q1145" s="137">
        <v>4.6375</v>
      </c>
      <c r="R1145" s="136">
        <v>46120.0</v>
      </c>
      <c r="S1145" s="135" t="s">
        <v>3528</v>
      </c>
      <c r="T1145" s="136"/>
      <c r="U1145" s="135" t="s">
        <v>2855</v>
      </c>
      <c r="V1145" s="135" t="s">
        <v>2876</v>
      </c>
      <c r="W1145" s="135" t="s">
        <v>3636</v>
      </c>
      <c r="X1145" s="135"/>
      <c r="Y1145" s="135"/>
      <c r="Z1145" s="135" t="s">
        <v>2858</v>
      </c>
      <c r="AA1145" s="135"/>
      <c r="AB1145" s="135"/>
      <c r="AC1145" s="135"/>
      <c r="AD1145" s="135">
        <v>46134.0</v>
      </c>
      <c r="AE1145" s="135"/>
      <c r="AF1145" s="135"/>
      <c r="AG1145" s="135"/>
    </row>
    <row r="1146" ht="21.75" hidden="1" customHeight="1">
      <c r="A1146" s="135">
        <v>1142.0</v>
      </c>
      <c r="B1146" s="135">
        <v>25045.0</v>
      </c>
      <c r="C1146" s="135"/>
      <c r="D1146" s="135">
        <v>29.0</v>
      </c>
      <c r="E1146" s="135" t="s">
        <v>3562</v>
      </c>
      <c r="F1146" s="135" t="s">
        <v>937</v>
      </c>
      <c r="G1146" s="135" t="s">
        <v>158</v>
      </c>
      <c r="H1146" s="135" t="s">
        <v>2853</v>
      </c>
      <c r="I1146" s="135" t="s">
        <v>171</v>
      </c>
      <c r="J1146" s="135">
        <v>1.0</v>
      </c>
      <c r="K1146" s="135"/>
      <c r="L1146" s="135">
        <v>5015.0</v>
      </c>
      <c r="M1146" s="135">
        <v>3100.0</v>
      </c>
      <c r="N1146" s="135">
        <v>120.0</v>
      </c>
      <c r="O1146" s="135">
        <v>2.066</v>
      </c>
      <c r="P1146" s="136">
        <v>0.0</v>
      </c>
      <c r="Q1146" s="137">
        <v>5.164999999999999</v>
      </c>
      <c r="R1146" s="136">
        <v>46120.0</v>
      </c>
      <c r="S1146" s="135" t="s">
        <v>3528</v>
      </c>
      <c r="T1146" s="136"/>
      <c r="U1146" s="135" t="s">
        <v>2855</v>
      </c>
      <c r="V1146" s="135" t="s">
        <v>2876</v>
      </c>
      <c r="W1146" s="135" t="s">
        <v>3004</v>
      </c>
      <c r="X1146" s="135"/>
      <c r="Y1146" s="135"/>
      <c r="Z1146" s="135" t="s">
        <v>2858</v>
      </c>
      <c r="AA1146" s="135"/>
      <c r="AB1146" s="135"/>
      <c r="AC1146" s="135"/>
      <c r="AD1146" s="135">
        <v>46157.0</v>
      </c>
      <c r="AE1146" s="135"/>
      <c r="AF1146" s="135"/>
      <c r="AG1146" s="135"/>
    </row>
    <row r="1147" ht="21.75" hidden="1" customHeight="1">
      <c r="A1147" s="135">
        <v>1143.0</v>
      </c>
      <c r="B1147" s="135">
        <v>25045.0</v>
      </c>
      <c r="C1147" s="135"/>
      <c r="D1147" s="135">
        <v>29.0</v>
      </c>
      <c r="E1147" s="135" t="s">
        <v>3562</v>
      </c>
      <c r="F1147" s="135" t="s">
        <v>938</v>
      </c>
      <c r="G1147" s="135" t="s">
        <v>158</v>
      </c>
      <c r="H1147" s="135" t="s">
        <v>2853</v>
      </c>
      <c r="I1147" s="135" t="s">
        <v>171</v>
      </c>
      <c r="J1147" s="135">
        <v>1.0</v>
      </c>
      <c r="K1147" s="135"/>
      <c r="L1147" s="135">
        <v>4639.0</v>
      </c>
      <c r="M1147" s="135">
        <v>3100.0</v>
      </c>
      <c r="N1147" s="135">
        <v>120.0</v>
      </c>
      <c r="O1147" s="135">
        <v>1.627</v>
      </c>
      <c r="P1147" s="136">
        <v>0.0</v>
      </c>
      <c r="Q1147" s="137">
        <v>4.0675</v>
      </c>
      <c r="R1147" s="136">
        <v>46120.0</v>
      </c>
      <c r="S1147" s="135" t="s">
        <v>3528</v>
      </c>
      <c r="T1147" s="136"/>
      <c r="U1147" s="135" t="s">
        <v>2864</v>
      </c>
      <c r="V1147" s="135" t="s">
        <v>2985</v>
      </c>
      <c r="W1147" s="135" t="s">
        <v>3637</v>
      </c>
      <c r="X1147" s="135" t="s">
        <v>3638</v>
      </c>
      <c r="Y1147" s="135"/>
      <c r="Z1147" s="135" t="s">
        <v>2858</v>
      </c>
      <c r="AA1147" s="135"/>
      <c r="AB1147" s="135"/>
      <c r="AC1147" s="135"/>
      <c r="AD1147" s="135">
        <v>0.0</v>
      </c>
      <c r="AE1147" s="135"/>
      <c r="AF1147" s="135"/>
      <c r="AG1147" s="135"/>
    </row>
    <row r="1148" ht="21.75" hidden="1" customHeight="1">
      <c r="A1148" s="135">
        <v>1144.0</v>
      </c>
      <c r="B1148" s="135">
        <v>25045.0</v>
      </c>
      <c r="C1148" s="135"/>
      <c r="D1148" s="135">
        <v>29.0</v>
      </c>
      <c r="E1148" s="135" t="s">
        <v>3562</v>
      </c>
      <c r="F1148" s="135" t="s">
        <v>939</v>
      </c>
      <c r="G1148" s="135" t="s">
        <v>158</v>
      </c>
      <c r="H1148" s="135" t="s">
        <v>2853</v>
      </c>
      <c r="I1148" s="135" t="s">
        <v>171</v>
      </c>
      <c r="J1148" s="135">
        <v>1.0</v>
      </c>
      <c r="K1148" s="135"/>
      <c r="L1148" s="135">
        <v>4639.0</v>
      </c>
      <c r="M1148" s="135">
        <v>3100.0</v>
      </c>
      <c r="N1148" s="135">
        <v>120.0</v>
      </c>
      <c r="O1148" s="135">
        <v>1.962</v>
      </c>
      <c r="P1148" s="136">
        <v>0.0</v>
      </c>
      <c r="Q1148" s="137">
        <v>4.905</v>
      </c>
      <c r="R1148" s="136">
        <v>46120.0</v>
      </c>
      <c r="S1148" s="135" t="s">
        <v>3528</v>
      </c>
      <c r="T1148" s="136"/>
      <c r="U1148" s="135" t="s">
        <v>2855</v>
      </c>
      <c r="V1148" s="135" t="s">
        <v>2876</v>
      </c>
      <c r="W1148" s="135" t="s">
        <v>3639</v>
      </c>
      <c r="X1148" s="135"/>
      <c r="Y1148" s="135"/>
      <c r="Z1148" s="135" t="s">
        <v>2858</v>
      </c>
      <c r="AA1148" s="135"/>
      <c r="AB1148" s="135"/>
      <c r="AC1148" s="135"/>
      <c r="AD1148" s="135">
        <v>46137.0</v>
      </c>
      <c r="AE1148" s="135"/>
      <c r="AF1148" s="135"/>
      <c r="AG1148" s="135"/>
    </row>
    <row r="1149" ht="21.75" hidden="1" customHeight="1">
      <c r="A1149" s="135">
        <v>1145.0</v>
      </c>
      <c r="B1149" s="135">
        <v>25045.0</v>
      </c>
      <c r="C1149" s="135"/>
      <c r="D1149" s="135">
        <v>29.0</v>
      </c>
      <c r="E1149" s="135" t="s">
        <v>3562</v>
      </c>
      <c r="F1149" s="135" t="s">
        <v>940</v>
      </c>
      <c r="G1149" s="135" t="s">
        <v>158</v>
      </c>
      <c r="H1149" s="135" t="s">
        <v>2853</v>
      </c>
      <c r="I1149" s="135" t="s">
        <v>171</v>
      </c>
      <c r="J1149" s="135">
        <v>1.0</v>
      </c>
      <c r="K1149" s="135"/>
      <c r="L1149" s="135">
        <v>4639.0</v>
      </c>
      <c r="M1149" s="135">
        <v>3100.0</v>
      </c>
      <c r="N1149" s="135">
        <v>120.0</v>
      </c>
      <c r="O1149" s="135">
        <v>1.962</v>
      </c>
      <c r="P1149" s="136">
        <v>0.0</v>
      </c>
      <c r="Q1149" s="137">
        <v>4.905</v>
      </c>
      <c r="R1149" s="136">
        <v>46120.0</v>
      </c>
      <c r="S1149" s="135" t="s">
        <v>3528</v>
      </c>
      <c r="T1149" s="136"/>
      <c r="U1149" s="135" t="s">
        <v>2855</v>
      </c>
      <c r="V1149" s="135" t="s">
        <v>2876</v>
      </c>
      <c r="W1149" s="135" t="s">
        <v>3639</v>
      </c>
      <c r="X1149" s="135"/>
      <c r="Y1149" s="135"/>
      <c r="Z1149" s="135" t="s">
        <v>2858</v>
      </c>
      <c r="AA1149" s="135"/>
      <c r="AB1149" s="135"/>
      <c r="AC1149" s="135"/>
      <c r="AD1149" s="135">
        <v>46139.0</v>
      </c>
      <c r="AE1149" s="135"/>
      <c r="AF1149" s="135"/>
      <c r="AG1149" s="135"/>
    </row>
    <row r="1150" ht="21.75" hidden="1" customHeight="1">
      <c r="A1150" s="135">
        <v>1146.0</v>
      </c>
      <c r="B1150" s="135">
        <v>25045.0</v>
      </c>
      <c r="C1150" s="135"/>
      <c r="D1150" s="135">
        <v>29.0</v>
      </c>
      <c r="E1150" s="135" t="s">
        <v>3562</v>
      </c>
      <c r="F1150" s="135" t="s">
        <v>941</v>
      </c>
      <c r="G1150" s="135" t="s">
        <v>158</v>
      </c>
      <c r="H1150" s="135" t="s">
        <v>2853</v>
      </c>
      <c r="I1150" s="135" t="s">
        <v>171</v>
      </c>
      <c r="J1150" s="135">
        <v>1.0</v>
      </c>
      <c r="K1150" s="135"/>
      <c r="L1150" s="135">
        <v>4639.0</v>
      </c>
      <c r="M1150" s="135">
        <v>3100.0</v>
      </c>
      <c r="N1150" s="135">
        <v>120.0</v>
      </c>
      <c r="O1150" s="135">
        <v>1.962</v>
      </c>
      <c r="P1150" s="136">
        <v>0.0</v>
      </c>
      <c r="Q1150" s="137">
        <v>4.905</v>
      </c>
      <c r="R1150" s="136">
        <v>46120.0</v>
      </c>
      <c r="S1150" s="135" t="s">
        <v>3528</v>
      </c>
      <c r="T1150" s="136"/>
      <c r="U1150" s="135" t="s">
        <v>2855</v>
      </c>
      <c r="V1150" s="135" t="s">
        <v>2876</v>
      </c>
      <c r="W1150" s="135" t="s">
        <v>3639</v>
      </c>
      <c r="X1150" s="135"/>
      <c r="Y1150" s="135"/>
      <c r="Z1150" s="135" t="s">
        <v>2858</v>
      </c>
      <c r="AA1150" s="135"/>
      <c r="AB1150" s="135"/>
      <c r="AC1150" s="135"/>
      <c r="AD1150" s="135">
        <v>46140.0</v>
      </c>
      <c r="AE1150" s="135"/>
      <c r="AF1150" s="135"/>
      <c r="AG1150" s="135"/>
    </row>
    <row r="1151" ht="21.75" hidden="1" customHeight="1">
      <c r="A1151" s="135">
        <v>1147.0</v>
      </c>
      <c r="B1151" s="135">
        <v>25045.0</v>
      </c>
      <c r="C1151" s="135"/>
      <c r="D1151" s="135">
        <v>29.0</v>
      </c>
      <c r="E1151" s="135" t="s">
        <v>3513</v>
      </c>
      <c r="F1151" s="135" t="s">
        <v>954</v>
      </c>
      <c r="G1151" s="135" t="s">
        <v>158</v>
      </c>
      <c r="H1151" s="135" t="s">
        <v>2853</v>
      </c>
      <c r="I1151" s="135" t="s">
        <v>172</v>
      </c>
      <c r="J1151" s="135">
        <v>1.0</v>
      </c>
      <c r="K1151" s="135"/>
      <c r="L1151" s="135">
        <v>4642.0</v>
      </c>
      <c r="M1151" s="135">
        <v>3400.0</v>
      </c>
      <c r="N1151" s="135">
        <v>120.0</v>
      </c>
      <c r="O1151" s="135">
        <v>1.93</v>
      </c>
      <c r="P1151" s="136">
        <v>0.0</v>
      </c>
      <c r="Q1151" s="137">
        <v>4.825</v>
      </c>
      <c r="R1151" s="136">
        <v>46120.0</v>
      </c>
      <c r="S1151" s="135" t="s">
        <v>3528</v>
      </c>
      <c r="T1151" s="136"/>
      <c r="U1151" s="135" t="s">
        <v>2864</v>
      </c>
      <c r="V1151" s="135" t="s">
        <v>2890</v>
      </c>
      <c r="W1151" s="135" t="s">
        <v>3640</v>
      </c>
      <c r="X1151" s="135" t="s">
        <v>3090</v>
      </c>
      <c r="Y1151" s="135"/>
      <c r="Z1151" s="135" t="s">
        <v>2858</v>
      </c>
      <c r="AA1151" s="135"/>
      <c r="AB1151" s="135"/>
      <c r="AC1151" s="135"/>
      <c r="AD1151" s="135">
        <v>46149.0</v>
      </c>
      <c r="AE1151" s="135"/>
      <c r="AF1151" s="135"/>
      <c r="AG1151" s="135"/>
    </row>
    <row r="1152" ht="21.75" hidden="1" customHeight="1">
      <c r="A1152" s="135">
        <v>1148.0</v>
      </c>
      <c r="B1152" s="135">
        <v>25045.0</v>
      </c>
      <c r="C1152" s="135"/>
      <c r="D1152" s="135">
        <v>29.0</v>
      </c>
      <c r="E1152" s="135" t="s">
        <v>3531</v>
      </c>
      <c r="F1152" s="135" t="s">
        <v>710</v>
      </c>
      <c r="G1152" s="135" t="s">
        <v>158</v>
      </c>
      <c r="H1152" s="135" t="s">
        <v>2853</v>
      </c>
      <c r="I1152" s="135" t="s">
        <v>160</v>
      </c>
      <c r="J1152" s="135">
        <v>1.0</v>
      </c>
      <c r="K1152" s="135"/>
      <c r="L1152" s="135">
        <v>3918.0</v>
      </c>
      <c r="M1152" s="135">
        <v>2900.0</v>
      </c>
      <c r="N1152" s="135">
        <v>120.0</v>
      </c>
      <c r="O1152" s="135">
        <v>1.226</v>
      </c>
      <c r="P1152" s="136">
        <v>0.0</v>
      </c>
      <c r="Q1152" s="137">
        <v>3.065</v>
      </c>
      <c r="R1152" s="136">
        <v>46120.0</v>
      </c>
      <c r="S1152" s="135" t="s">
        <v>3528</v>
      </c>
      <c r="T1152" s="136"/>
      <c r="U1152" s="135" t="s">
        <v>2864</v>
      </c>
      <c r="V1152" s="135" t="s">
        <v>3100</v>
      </c>
      <c r="W1152" s="135" t="s">
        <v>3641</v>
      </c>
      <c r="X1152" s="135" t="s">
        <v>3642</v>
      </c>
      <c r="Y1152" s="135"/>
      <c r="Z1152" s="135" t="s">
        <v>2858</v>
      </c>
      <c r="AA1152" s="135"/>
      <c r="AB1152" s="135"/>
      <c r="AC1152" s="135"/>
      <c r="AD1152" s="135">
        <v>46147.0</v>
      </c>
      <c r="AE1152" s="135"/>
      <c r="AF1152" s="135"/>
      <c r="AG1152" s="135"/>
    </row>
    <row r="1153" ht="21.75" hidden="1" customHeight="1">
      <c r="A1153" s="135">
        <v>1149.0</v>
      </c>
      <c r="B1153" s="135">
        <v>25045.0</v>
      </c>
      <c r="C1153" s="135"/>
      <c r="D1153" s="135">
        <v>29.0</v>
      </c>
      <c r="E1153" s="135" t="s">
        <v>3531</v>
      </c>
      <c r="F1153" s="135" t="s">
        <v>711</v>
      </c>
      <c r="G1153" s="135" t="s">
        <v>158</v>
      </c>
      <c r="H1153" s="135" t="s">
        <v>2853</v>
      </c>
      <c r="I1153" s="135" t="s">
        <v>160</v>
      </c>
      <c r="J1153" s="135">
        <v>1.0</v>
      </c>
      <c r="K1153" s="135"/>
      <c r="L1153" s="135">
        <v>5015.0</v>
      </c>
      <c r="M1153" s="135">
        <v>2900.0</v>
      </c>
      <c r="N1153" s="135">
        <v>120.0</v>
      </c>
      <c r="O1153" s="135">
        <v>1.945</v>
      </c>
      <c r="P1153" s="136">
        <v>0.0</v>
      </c>
      <c r="Q1153" s="137">
        <v>4.8625</v>
      </c>
      <c r="R1153" s="136">
        <v>46120.0</v>
      </c>
      <c r="S1153" s="135" t="s">
        <v>3528</v>
      </c>
      <c r="T1153" s="136"/>
      <c r="U1153" s="135" t="s">
        <v>2855</v>
      </c>
      <c r="V1153" s="135" t="s">
        <v>2876</v>
      </c>
      <c r="W1153" s="135" t="s">
        <v>3643</v>
      </c>
      <c r="X1153" s="135"/>
      <c r="Y1153" s="135"/>
      <c r="Z1153" s="135" t="s">
        <v>2858</v>
      </c>
      <c r="AA1153" s="135"/>
      <c r="AB1153" s="135"/>
      <c r="AC1153" s="135"/>
      <c r="AD1153" s="135">
        <v>46125.0</v>
      </c>
      <c r="AE1153" s="135"/>
      <c r="AF1153" s="135"/>
      <c r="AG1153" s="135"/>
    </row>
    <row r="1154" ht="21.75" hidden="1" customHeight="1">
      <c r="A1154" s="135">
        <v>1150.0</v>
      </c>
      <c r="B1154" s="135">
        <v>25045.0</v>
      </c>
      <c r="C1154" s="135"/>
      <c r="D1154" s="135">
        <v>29.0</v>
      </c>
      <c r="E1154" s="135" t="s">
        <v>3531</v>
      </c>
      <c r="F1154" s="135" t="s">
        <v>712</v>
      </c>
      <c r="G1154" s="135" t="s">
        <v>158</v>
      </c>
      <c r="H1154" s="135" t="s">
        <v>2853</v>
      </c>
      <c r="I1154" s="135" t="s">
        <v>160</v>
      </c>
      <c r="J1154" s="135">
        <v>1.0</v>
      </c>
      <c r="K1154" s="135" t="s">
        <v>3134</v>
      </c>
      <c r="L1154" s="135">
        <v>3918.0</v>
      </c>
      <c r="M1154" s="135">
        <v>2900.0</v>
      </c>
      <c r="N1154" s="135">
        <v>120.0</v>
      </c>
      <c r="O1154" s="135">
        <v>1.517</v>
      </c>
      <c r="P1154" s="136">
        <v>0.0</v>
      </c>
      <c r="Q1154" s="137">
        <v>3.7924999999999995</v>
      </c>
      <c r="R1154" s="136">
        <v>46120.0</v>
      </c>
      <c r="S1154" s="135" t="s">
        <v>3528</v>
      </c>
      <c r="T1154" s="136"/>
      <c r="U1154" s="135" t="s">
        <v>2864</v>
      </c>
      <c r="V1154" s="135" t="s">
        <v>3100</v>
      </c>
      <c r="W1154" s="135" t="s">
        <v>3644</v>
      </c>
      <c r="X1154" s="135"/>
      <c r="Y1154" s="135"/>
      <c r="Z1154" s="135" t="s">
        <v>2858</v>
      </c>
      <c r="AA1154" s="135"/>
      <c r="AB1154" s="135"/>
      <c r="AC1154" s="135"/>
      <c r="AD1154" s="135">
        <v>46130.0</v>
      </c>
      <c r="AE1154" s="135"/>
      <c r="AF1154" s="135"/>
      <c r="AG1154" s="135"/>
    </row>
    <row r="1155" ht="21.75" hidden="1" customHeight="1">
      <c r="A1155" s="135">
        <v>1151.0</v>
      </c>
      <c r="B1155" s="135">
        <v>25045.0</v>
      </c>
      <c r="C1155" s="135"/>
      <c r="D1155" s="135">
        <v>29.0</v>
      </c>
      <c r="E1155" s="135" t="s">
        <v>3531</v>
      </c>
      <c r="F1155" s="135" t="s">
        <v>713</v>
      </c>
      <c r="G1155" s="135" t="s">
        <v>158</v>
      </c>
      <c r="H1155" s="135" t="s">
        <v>2853</v>
      </c>
      <c r="I1155" s="135" t="s">
        <v>160</v>
      </c>
      <c r="J1155" s="135">
        <v>1.0</v>
      </c>
      <c r="K1155" s="135" t="s">
        <v>3134</v>
      </c>
      <c r="L1155" s="135">
        <v>3918.0</v>
      </c>
      <c r="M1155" s="135">
        <v>2900.0</v>
      </c>
      <c r="N1155" s="135">
        <v>120.0</v>
      </c>
      <c r="O1155" s="135">
        <v>1.517</v>
      </c>
      <c r="P1155" s="136">
        <v>0.0</v>
      </c>
      <c r="Q1155" s="137">
        <v>3.7924999999999995</v>
      </c>
      <c r="R1155" s="136">
        <v>46120.0</v>
      </c>
      <c r="S1155" s="135" t="s">
        <v>3528</v>
      </c>
      <c r="T1155" s="136"/>
      <c r="U1155" s="135" t="s">
        <v>2864</v>
      </c>
      <c r="V1155" s="135" t="s">
        <v>3100</v>
      </c>
      <c r="W1155" s="135" t="s">
        <v>3644</v>
      </c>
      <c r="X1155" s="135"/>
      <c r="Y1155" s="135"/>
      <c r="Z1155" s="135" t="s">
        <v>2858</v>
      </c>
      <c r="AA1155" s="135"/>
      <c r="AB1155" s="135"/>
      <c r="AC1155" s="135"/>
      <c r="AD1155" s="135">
        <v>46132.0</v>
      </c>
      <c r="AE1155" s="135"/>
      <c r="AF1155" s="135"/>
      <c r="AG1155" s="135"/>
    </row>
    <row r="1156" ht="21.75" hidden="1" customHeight="1">
      <c r="A1156" s="135">
        <v>1152.0</v>
      </c>
      <c r="B1156" s="135">
        <v>25045.0</v>
      </c>
      <c r="C1156" s="135"/>
      <c r="D1156" s="135">
        <v>29.0</v>
      </c>
      <c r="E1156" s="135" t="s">
        <v>3531</v>
      </c>
      <c r="F1156" s="135" t="s">
        <v>714</v>
      </c>
      <c r="G1156" s="135" t="s">
        <v>158</v>
      </c>
      <c r="H1156" s="135" t="s">
        <v>2853</v>
      </c>
      <c r="I1156" s="135" t="s">
        <v>160</v>
      </c>
      <c r="J1156" s="135">
        <v>1.0</v>
      </c>
      <c r="K1156" s="135" t="s">
        <v>3134</v>
      </c>
      <c r="L1156" s="135">
        <v>3918.0</v>
      </c>
      <c r="M1156" s="135">
        <v>2900.0</v>
      </c>
      <c r="N1156" s="135">
        <v>120.0</v>
      </c>
      <c r="O1156" s="135">
        <v>1.517</v>
      </c>
      <c r="P1156" s="136">
        <v>0.0</v>
      </c>
      <c r="Q1156" s="137">
        <v>3.7924999999999995</v>
      </c>
      <c r="R1156" s="136">
        <v>46120.0</v>
      </c>
      <c r="S1156" s="135" t="s">
        <v>3528</v>
      </c>
      <c r="T1156" s="136"/>
      <c r="U1156" s="135" t="s">
        <v>2864</v>
      </c>
      <c r="V1156" s="135" t="s">
        <v>3100</v>
      </c>
      <c r="W1156" s="135" t="s">
        <v>3644</v>
      </c>
      <c r="X1156" s="135"/>
      <c r="Y1156" s="135"/>
      <c r="Z1156" s="135" t="s">
        <v>2858</v>
      </c>
      <c r="AA1156" s="135"/>
      <c r="AB1156" s="135"/>
      <c r="AC1156" s="135"/>
      <c r="AD1156" s="135">
        <v>46133.0</v>
      </c>
      <c r="AE1156" s="135"/>
      <c r="AF1156" s="135"/>
      <c r="AG1156" s="135"/>
    </row>
    <row r="1157" ht="21.75" hidden="1" customHeight="1">
      <c r="A1157" s="135">
        <v>1153.0</v>
      </c>
      <c r="B1157" s="135">
        <v>25045.0</v>
      </c>
      <c r="C1157" s="135"/>
      <c r="D1157" s="135">
        <v>29.0</v>
      </c>
      <c r="E1157" s="135" t="s">
        <v>3520</v>
      </c>
      <c r="F1157" s="135" t="s">
        <v>806</v>
      </c>
      <c r="G1157" s="135" t="s">
        <v>158</v>
      </c>
      <c r="H1157" s="135" t="s">
        <v>2853</v>
      </c>
      <c r="I1157" s="135" t="s">
        <v>163</v>
      </c>
      <c r="J1157" s="135">
        <v>1.0</v>
      </c>
      <c r="K1157" s="135" t="s">
        <v>3134</v>
      </c>
      <c r="L1157" s="135">
        <v>3918.0</v>
      </c>
      <c r="M1157" s="135">
        <v>2900.0</v>
      </c>
      <c r="N1157" s="135">
        <v>120.0</v>
      </c>
      <c r="O1157" s="135">
        <v>1.517</v>
      </c>
      <c r="P1157" s="136">
        <v>0.0</v>
      </c>
      <c r="Q1157" s="137">
        <v>3.7924999999999995</v>
      </c>
      <c r="R1157" s="136">
        <v>46120.0</v>
      </c>
      <c r="S1157" s="135" t="s">
        <v>3528</v>
      </c>
      <c r="T1157" s="136"/>
      <c r="U1157" s="135" t="s">
        <v>2864</v>
      </c>
      <c r="V1157" s="135" t="s">
        <v>3100</v>
      </c>
      <c r="W1157" s="135" t="s">
        <v>3644</v>
      </c>
      <c r="X1157" s="135"/>
      <c r="Y1157" s="135"/>
      <c r="Z1157" s="135" t="s">
        <v>2858</v>
      </c>
      <c r="AA1157" s="135"/>
      <c r="AB1157" s="135"/>
      <c r="AC1157" s="135"/>
      <c r="AD1157" s="135">
        <v>46134.0</v>
      </c>
      <c r="AE1157" s="135"/>
      <c r="AF1157" s="135"/>
      <c r="AG1157" s="135"/>
    </row>
    <row r="1158" ht="21.75" hidden="1" customHeight="1">
      <c r="A1158" s="135">
        <v>1154.0</v>
      </c>
      <c r="B1158" s="135">
        <v>25045.0</v>
      </c>
      <c r="C1158" s="135"/>
      <c r="D1158" s="135">
        <v>29.0</v>
      </c>
      <c r="E1158" s="135" t="s">
        <v>3520</v>
      </c>
      <c r="F1158" s="135" t="s">
        <v>807</v>
      </c>
      <c r="G1158" s="135" t="s">
        <v>158</v>
      </c>
      <c r="H1158" s="135" t="s">
        <v>2853</v>
      </c>
      <c r="I1158" s="135" t="s">
        <v>163</v>
      </c>
      <c r="J1158" s="135">
        <v>1.0</v>
      </c>
      <c r="K1158" s="135" t="s">
        <v>3134</v>
      </c>
      <c r="L1158" s="135">
        <v>3918.0</v>
      </c>
      <c r="M1158" s="135">
        <v>2900.0</v>
      </c>
      <c r="N1158" s="135">
        <v>120.0</v>
      </c>
      <c r="O1158" s="135">
        <v>1.517</v>
      </c>
      <c r="P1158" s="136">
        <v>0.0</v>
      </c>
      <c r="Q1158" s="137">
        <v>3.7924999999999995</v>
      </c>
      <c r="R1158" s="136">
        <v>46120.0</v>
      </c>
      <c r="S1158" s="135" t="s">
        <v>3528</v>
      </c>
      <c r="T1158" s="136"/>
      <c r="U1158" s="135" t="s">
        <v>2864</v>
      </c>
      <c r="V1158" s="135" t="s">
        <v>3100</v>
      </c>
      <c r="W1158" s="135" t="s">
        <v>3644</v>
      </c>
      <c r="X1158" s="135"/>
      <c r="Y1158" s="135"/>
      <c r="Z1158" s="135" t="s">
        <v>2858</v>
      </c>
      <c r="AA1158" s="135"/>
      <c r="AB1158" s="135"/>
      <c r="AC1158" s="135"/>
      <c r="AD1158" s="135">
        <v>46135.0</v>
      </c>
      <c r="AE1158" s="135"/>
      <c r="AF1158" s="135"/>
      <c r="AG1158" s="135"/>
    </row>
    <row r="1159" ht="21.75" hidden="1" customHeight="1">
      <c r="A1159" s="135">
        <v>1155.0</v>
      </c>
      <c r="B1159" s="135">
        <v>25045.0</v>
      </c>
      <c r="C1159" s="135"/>
      <c r="D1159" s="135">
        <v>29.0</v>
      </c>
      <c r="E1159" s="135" t="s">
        <v>3520</v>
      </c>
      <c r="F1159" s="135" t="s">
        <v>808</v>
      </c>
      <c r="G1159" s="135" t="s">
        <v>158</v>
      </c>
      <c r="H1159" s="135" t="s">
        <v>2853</v>
      </c>
      <c r="I1159" s="135" t="s">
        <v>163</v>
      </c>
      <c r="J1159" s="135">
        <v>1.0</v>
      </c>
      <c r="K1159" s="135" t="s">
        <v>3134</v>
      </c>
      <c r="L1159" s="135">
        <v>3918.0</v>
      </c>
      <c r="M1159" s="135">
        <v>2900.0</v>
      </c>
      <c r="N1159" s="135">
        <v>120.0</v>
      </c>
      <c r="O1159" s="135">
        <v>1.517</v>
      </c>
      <c r="P1159" s="136">
        <v>0.0</v>
      </c>
      <c r="Q1159" s="137">
        <v>3.7924999999999995</v>
      </c>
      <c r="R1159" s="136">
        <v>46120.0</v>
      </c>
      <c r="S1159" s="135" t="s">
        <v>3528</v>
      </c>
      <c r="T1159" s="136"/>
      <c r="U1159" s="135" t="s">
        <v>2864</v>
      </c>
      <c r="V1159" s="135" t="s">
        <v>3100</v>
      </c>
      <c r="W1159" s="135" t="s">
        <v>3644</v>
      </c>
      <c r="X1159" s="135"/>
      <c r="Y1159" s="135"/>
      <c r="Z1159" s="135" t="s">
        <v>2858</v>
      </c>
      <c r="AA1159" s="135"/>
      <c r="AB1159" s="135"/>
      <c r="AC1159" s="135"/>
      <c r="AD1159" s="135">
        <v>46136.0</v>
      </c>
      <c r="AE1159" s="135"/>
      <c r="AF1159" s="135"/>
      <c r="AG1159" s="135"/>
    </row>
    <row r="1160" ht="21.75" hidden="1" customHeight="1">
      <c r="A1160" s="135">
        <v>1156.0</v>
      </c>
      <c r="B1160" s="135">
        <v>25045.0</v>
      </c>
      <c r="C1160" s="135"/>
      <c r="D1160" s="135">
        <v>29.0</v>
      </c>
      <c r="E1160" s="135" t="s">
        <v>3533</v>
      </c>
      <c r="F1160" s="135" t="s">
        <v>692</v>
      </c>
      <c r="G1160" s="135" t="s">
        <v>158</v>
      </c>
      <c r="H1160" s="135" t="s">
        <v>2853</v>
      </c>
      <c r="I1160" s="135" t="s">
        <v>159</v>
      </c>
      <c r="J1160" s="135">
        <v>1.0</v>
      </c>
      <c r="K1160" s="135"/>
      <c r="L1160" s="135">
        <v>3910.0</v>
      </c>
      <c r="M1160" s="135">
        <v>2900.0</v>
      </c>
      <c r="N1160" s="135">
        <v>120.0</v>
      </c>
      <c r="O1160" s="135">
        <v>1.218</v>
      </c>
      <c r="P1160" s="136">
        <v>0.0</v>
      </c>
      <c r="Q1160" s="137">
        <v>3.045</v>
      </c>
      <c r="R1160" s="136">
        <v>46120.0</v>
      </c>
      <c r="S1160" s="135" t="s">
        <v>3528</v>
      </c>
      <c r="T1160" s="136"/>
      <c r="U1160" s="135" t="s">
        <v>2864</v>
      </c>
      <c r="V1160" s="135" t="s">
        <v>3100</v>
      </c>
      <c r="W1160" s="135" t="s">
        <v>3645</v>
      </c>
      <c r="X1160" s="135" t="s">
        <v>3090</v>
      </c>
      <c r="Y1160" s="135"/>
      <c r="Z1160" s="135" t="s">
        <v>2858</v>
      </c>
      <c r="AA1160" s="135"/>
      <c r="AB1160" s="135"/>
      <c r="AC1160" s="135"/>
      <c r="AD1160" s="135">
        <v>46142.0</v>
      </c>
      <c r="AE1160" s="135"/>
      <c r="AF1160" s="135"/>
      <c r="AG1160" s="135"/>
    </row>
    <row r="1161" ht="21.75" hidden="1" customHeight="1">
      <c r="A1161" s="135">
        <v>1157.0</v>
      </c>
      <c r="B1161" s="135">
        <v>25045.0</v>
      </c>
      <c r="C1161" s="135"/>
      <c r="D1161" s="135">
        <v>29.0</v>
      </c>
      <c r="E1161" s="135" t="s">
        <v>3533</v>
      </c>
      <c r="F1161" s="135" t="s">
        <v>693</v>
      </c>
      <c r="G1161" s="135" t="s">
        <v>158</v>
      </c>
      <c r="H1161" s="135" t="s">
        <v>2853</v>
      </c>
      <c r="I1161" s="135" t="s">
        <v>159</v>
      </c>
      <c r="J1161" s="135">
        <v>1.0</v>
      </c>
      <c r="K1161" s="135" t="s">
        <v>3134</v>
      </c>
      <c r="L1161" s="135">
        <v>3910.0</v>
      </c>
      <c r="M1161" s="135">
        <v>2900.0</v>
      </c>
      <c r="N1161" s="135">
        <v>120.0</v>
      </c>
      <c r="O1161" s="135">
        <v>1.515</v>
      </c>
      <c r="P1161" s="136">
        <v>0.0</v>
      </c>
      <c r="Q1161" s="137">
        <v>3.7874999999999996</v>
      </c>
      <c r="R1161" s="136">
        <v>46120.0</v>
      </c>
      <c r="S1161" s="135" t="s">
        <v>3528</v>
      </c>
      <c r="T1161" s="136"/>
      <c r="U1161" s="135" t="s">
        <v>2864</v>
      </c>
      <c r="V1161" s="135" t="s">
        <v>3100</v>
      </c>
      <c r="W1161" s="135" t="s">
        <v>3646</v>
      </c>
      <c r="X1161" s="135"/>
      <c r="Y1161" s="135"/>
      <c r="Z1161" s="135" t="s">
        <v>2858</v>
      </c>
      <c r="AA1161" s="135"/>
      <c r="AB1161" s="135"/>
      <c r="AC1161" s="135"/>
      <c r="AD1161" s="135">
        <v>46122.0</v>
      </c>
      <c r="AE1161" s="135"/>
      <c r="AF1161" s="135"/>
      <c r="AG1161" s="135"/>
    </row>
    <row r="1162" ht="21.75" hidden="1" customHeight="1">
      <c r="A1162" s="135">
        <v>1158.0</v>
      </c>
      <c r="B1162" s="135">
        <v>25045.0</v>
      </c>
      <c r="C1162" s="135"/>
      <c r="D1162" s="135">
        <v>29.0</v>
      </c>
      <c r="E1162" s="135" t="s">
        <v>3533</v>
      </c>
      <c r="F1162" s="135" t="s">
        <v>694</v>
      </c>
      <c r="G1162" s="135" t="s">
        <v>158</v>
      </c>
      <c r="H1162" s="135" t="s">
        <v>2853</v>
      </c>
      <c r="I1162" s="135" t="s">
        <v>159</v>
      </c>
      <c r="J1162" s="135">
        <v>1.0</v>
      </c>
      <c r="K1162" s="135" t="s">
        <v>3134</v>
      </c>
      <c r="L1162" s="135">
        <v>3910.0</v>
      </c>
      <c r="M1162" s="135">
        <v>2900.0</v>
      </c>
      <c r="N1162" s="135">
        <v>120.0</v>
      </c>
      <c r="O1162" s="135">
        <v>1.515</v>
      </c>
      <c r="P1162" s="136">
        <v>0.0</v>
      </c>
      <c r="Q1162" s="137">
        <v>3.7874999999999996</v>
      </c>
      <c r="R1162" s="136">
        <v>46120.0</v>
      </c>
      <c r="S1162" s="135" t="s">
        <v>3528</v>
      </c>
      <c r="T1162" s="136"/>
      <c r="U1162" s="135" t="s">
        <v>2864</v>
      </c>
      <c r="V1162" s="135" t="s">
        <v>3100</v>
      </c>
      <c r="W1162" s="135" t="s">
        <v>3646</v>
      </c>
      <c r="X1162" s="135"/>
      <c r="Y1162" s="135"/>
      <c r="Z1162" s="135" t="s">
        <v>2858</v>
      </c>
      <c r="AA1162" s="135"/>
      <c r="AB1162" s="135"/>
      <c r="AC1162" s="135"/>
      <c r="AD1162" s="135">
        <v>46123.0</v>
      </c>
      <c r="AE1162" s="135"/>
      <c r="AF1162" s="135"/>
      <c r="AG1162" s="135"/>
    </row>
    <row r="1163" ht="21.75" hidden="1" customHeight="1">
      <c r="A1163" s="135">
        <v>1159.0</v>
      </c>
      <c r="B1163" s="135">
        <v>25045.0</v>
      </c>
      <c r="C1163" s="135"/>
      <c r="D1163" s="135">
        <v>29.0</v>
      </c>
      <c r="E1163" s="135" t="s">
        <v>3533</v>
      </c>
      <c r="F1163" s="135" t="s">
        <v>695</v>
      </c>
      <c r="G1163" s="135" t="s">
        <v>158</v>
      </c>
      <c r="H1163" s="135" t="s">
        <v>2853</v>
      </c>
      <c r="I1163" s="135" t="s">
        <v>159</v>
      </c>
      <c r="J1163" s="135">
        <v>1.0</v>
      </c>
      <c r="K1163" s="135" t="s">
        <v>3134</v>
      </c>
      <c r="L1163" s="135">
        <v>3910.0</v>
      </c>
      <c r="M1163" s="135">
        <v>2900.0</v>
      </c>
      <c r="N1163" s="135">
        <v>120.0</v>
      </c>
      <c r="O1163" s="135">
        <v>1.515</v>
      </c>
      <c r="P1163" s="136">
        <v>0.0</v>
      </c>
      <c r="Q1163" s="137">
        <v>3.7874999999999996</v>
      </c>
      <c r="R1163" s="136">
        <v>46120.0</v>
      </c>
      <c r="S1163" s="135" t="s">
        <v>3528</v>
      </c>
      <c r="T1163" s="136"/>
      <c r="U1163" s="135" t="s">
        <v>2864</v>
      </c>
      <c r="V1163" s="135" t="s">
        <v>3100</v>
      </c>
      <c r="W1163" s="135" t="s">
        <v>3646</v>
      </c>
      <c r="X1163" s="135"/>
      <c r="Y1163" s="135"/>
      <c r="Z1163" s="135" t="s">
        <v>2858</v>
      </c>
      <c r="AA1163" s="135"/>
      <c r="AB1163" s="135"/>
      <c r="AC1163" s="135"/>
      <c r="AD1163" s="135">
        <v>46125.0</v>
      </c>
      <c r="AE1163" s="135"/>
      <c r="AF1163" s="135"/>
      <c r="AG1163" s="135"/>
    </row>
    <row r="1164" ht="21.75" hidden="1" customHeight="1">
      <c r="A1164" s="135">
        <v>1160.0</v>
      </c>
      <c r="B1164" s="135">
        <v>25045.0</v>
      </c>
      <c r="C1164" s="135"/>
      <c r="D1164" s="135">
        <v>29.0</v>
      </c>
      <c r="E1164" s="135" t="s">
        <v>3523</v>
      </c>
      <c r="F1164" s="135" t="s">
        <v>827</v>
      </c>
      <c r="G1164" s="135" t="s">
        <v>158</v>
      </c>
      <c r="H1164" s="135" t="s">
        <v>2853</v>
      </c>
      <c r="I1164" s="135" t="s">
        <v>164</v>
      </c>
      <c r="J1164" s="135">
        <v>1.0</v>
      </c>
      <c r="K1164" s="135" t="s">
        <v>3134</v>
      </c>
      <c r="L1164" s="135">
        <v>3910.0</v>
      </c>
      <c r="M1164" s="135">
        <v>2900.0</v>
      </c>
      <c r="N1164" s="135">
        <v>120.0</v>
      </c>
      <c r="O1164" s="135">
        <v>1.515</v>
      </c>
      <c r="P1164" s="136">
        <v>0.0</v>
      </c>
      <c r="Q1164" s="137">
        <v>3.7874999999999996</v>
      </c>
      <c r="R1164" s="136">
        <v>46120.0</v>
      </c>
      <c r="S1164" s="135" t="s">
        <v>3528</v>
      </c>
      <c r="T1164" s="136"/>
      <c r="U1164" s="135" t="s">
        <v>2864</v>
      </c>
      <c r="V1164" s="135" t="s">
        <v>3100</v>
      </c>
      <c r="W1164" s="135" t="s">
        <v>3646</v>
      </c>
      <c r="X1164" s="135"/>
      <c r="Y1164" s="135"/>
      <c r="Z1164" s="135" t="s">
        <v>2858</v>
      </c>
      <c r="AA1164" s="135"/>
      <c r="AB1164" s="135"/>
      <c r="AC1164" s="135"/>
      <c r="AD1164" s="135">
        <v>46126.0</v>
      </c>
      <c r="AE1164" s="135"/>
      <c r="AF1164" s="135"/>
      <c r="AG1164" s="135"/>
    </row>
    <row r="1165" ht="21.75" hidden="1" customHeight="1">
      <c r="A1165" s="135">
        <v>1161.0</v>
      </c>
      <c r="B1165" s="135">
        <v>25045.0</v>
      </c>
      <c r="C1165" s="135"/>
      <c r="D1165" s="135">
        <v>29.0</v>
      </c>
      <c r="E1165" s="135" t="s">
        <v>3523</v>
      </c>
      <c r="F1165" s="135" t="s">
        <v>828</v>
      </c>
      <c r="G1165" s="135" t="s">
        <v>158</v>
      </c>
      <c r="H1165" s="135" t="s">
        <v>2853</v>
      </c>
      <c r="I1165" s="135" t="s">
        <v>164</v>
      </c>
      <c r="J1165" s="135">
        <v>1.0</v>
      </c>
      <c r="K1165" s="135" t="s">
        <v>3134</v>
      </c>
      <c r="L1165" s="135">
        <v>3910.0</v>
      </c>
      <c r="M1165" s="135">
        <v>2900.0</v>
      </c>
      <c r="N1165" s="135">
        <v>120.0</v>
      </c>
      <c r="O1165" s="135">
        <v>1.515</v>
      </c>
      <c r="P1165" s="136">
        <v>0.0</v>
      </c>
      <c r="Q1165" s="137">
        <v>3.7874999999999996</v>
      </c>
      <c r="R1165" s="136">
        <v>46120.0</v>
      </c>
      <c r="S1165" s="135" t="s">
        <v>3528</v>
      </c>
      <c r="T1165" s="136"/>
      <c r="U1165" s="135" t="s">
        <v>2864</v>
      </c>
      <c r="V1165" s="135" t="s">
        <v>3100</v>
      </c>
      <c r="W1165" s="135" t="s">
        <v>3646</v>
      </c>
      <c r="X1165" s="135"/>
      <c r="Y1165" s="135"/>
      <c r="Z1165" s="135" t="s">
        <v>2858</v>
      </c>
      <c r="AA1165" s="135"/>
      <c r="AB1165" s="135"/>
      <c r="AC1165" s="135"/>
      <c r="AD1165" s="135">
        <v>46128.0</v>
      </c>
      <c r="AE1165" s="135"/>
      <c r="AF1165" s="135"/>
      <c r="AG1165" s="135"/>
    </row>
    <row r="1166" ht="21.75" hidden="1" customHeight="1">
      <c r="A1166" s="135">
        <v>1162.0</v>
      </c>
      <c r="B1166" s="135">
        <v>25045.0</v>
      </c>
      <c r="C1166" s="135"/>
      <c r="D1166" s="135">
        <v>29.0</v>
      </c>
      <c r="E1166" s="135" t="s">
        <v>3523</v>
      </c>
      <c r="F1166" s="135" t="s">
        <v>829</v>
      </c>
      <c r="G1166" s="135" t="s">
        <v>158</v>
      </c>
      <c r="H1166" s="135" t="s">
        <v>2853</v>
      </c>
      <c r="I1166" s="135" t="s">
        <v>164</v>
      </c>
      <c r="J1166" s="135">
        <v>1.0</v>
      </c>
      <c r="K1166" s="135" t="s">
        <v>3134</v>
      </c>
      <c r="L1166" s="135">
        <v>3910.0</v>
      </c>
      <c r="M1166" s="135">
        <v>2900.0</v>
      </c>
      <c r="N1166" s="135">
        <v>120.0</v>
      </c>
      <c r="O1166" s="135">
        <v>1.515</v>
      </c>
      <c r="P1166" s="136">
        <v>0.0</v>
      </c>
      <c r="Q1166" s="137">
        <v>3.7874999999999996</v>
      </c>
      <c r="R1166" s="136">
        <v>46120.0</v>
      </c>
      <c r="S1166" s="135" t="s">
        <v>3528</v>
      </c>
      <c r="T1166" s="136"/>
      <c r="U1166" s="135" t="s">
        <v>2864</v>
      </c>
      <c r="V1166" s="135" t="s">
        <v>3100</v>
      </c>
      <c r="W1166" s="135" t="s">
        <v>3646</v>
      </c>
      <c r="X1166" s="135"/>
      <c r="Y1166" s="135"/>
      <c r="Z1166" s="135" t="s">
        <v>2858</v>
      </c>
      <c r="AA1166" s="135"/>
      <c r="AB1166" s="135"/>
      <c r="AC1166" s="135"/>
      <c r="AD1166" s="135">
        <v>46129.0</v>
      </c>
      <c r="AE1166" s="135"/>
      <c r="AF1166" s="135"/>
      <c r="AG1166" s="135"/>
    </row>
    <row r="1167" ht="21.75" hidden="1" customHeight="1">
      <c r="A1167" s="135">
        <v>1163.0</v>
      </c>
      <c r="B1167" s="135">
        <v>25045.0</v>
      </c>
      <c r="C1167" s="135"/>
      <c r="D1167" s="135">
        <v>29.0</v>
      </c>
      <c r="E1167" s="135" t="s">
        <v>3533</v>
      </c>
      <c r="F1167" s="135" t="s">
        <v>696</v>
      </c>
      <c r="G1167" s="135" t="s">
        <v>158</v>
      </c>
      <c r="H1167" s="135" t="s">
        <v>2853</v>
      </c>
      <c r="I1167" s="135" t="s">
        <v>159</v>
      </c>
      <c r="J1167" s="135">
        <v>1.0</v>
      </c>
      <c r="K1167" s="135"/>
      <c r="L1167" s="135">
        <v>5015.0</v>
      </c>
      <c r="M1167" s="135">
        <v>2900.0</v>
      </c>
      <c r="N1167" s="135">
        <v>120.0</v>
      </c>
      <c r="O1167" s="135">
        <v>1.945</v>
      </c>
      <c r="P1167" s="136">
        <v>0.0</v>
      </c>
      <c r="Q1167" s="137">
        <v>4.8625</v>
      </c>
      <c r="R1167" s="136">
        <v>46120.0</v>
      </c>
      <c r="S1167" s="135" t="s">
        <v>3528</v>
      </c>
      <c r="T1167" s="136"/>
      <c r="U1167" s="135" t="s">
        <v>2855</v>
      </c>
      <c r="V1167" s="135" t="s">
        <v>2876</v>
      </c>
      <c r="W1167" s="135" t="s">
        <v>3004</v>
      </c>
      <c r="X1167" s="135"/>
      <c r="Y1167" s="135"/>
      <c r="Z1167" s="135" t="s">
        <v>2858</v>
      </c>
      <c r="AA1167" s="135"/>
      <c r="AB1167" s="135"/>
      <c r="AC1167" s="135"/>
      <c r="AD1167" s="135">
        <v>46139.0</v>
      </c>
      <c r="AE1167" s="135"/>
      <c r="AF1167" s="135"/>
      <c r="AG1167" s="135"/>
    </row>
    <row r="1168" ht="21.75" hidden="1" customHeight="1">
      <c r="A1168" s="135">
        <v>1164.0</v>
      </c>
      <c r="B1168" s="135">
        <v>25045.0</v>
      </c>
      <c r="C1168" s="135"/>
      <c r="D1168" s="135">
        <v>29.0</v>
      </c>
      <c r="E1168" s="135" t="s">
        <v>3531</v>
      </c>
      <c r="F1168" s="135" t="s">
        <v>715</v>
      </c>
      <c r="G1168" s="135" t="s">
        <v>158</v>
      </c>
      <c r="H1168" s="135" t="s">
        <v>2853</v>
      </c>
      <c r="I1168" s="135" t="s">
        <v>160</v>
      </c>
      <c r="J1168" s="135">
        <v>1.0</v>
      </c>
      <c r="K1168" s="135"/>
      <c r="L1168" s="135">
        <v>3945.0</v>
      </c>
      <c r="M1168" s="135">
        <v>3300.0</v>
      </c>
      <c r="N1168" s="135">
        <v>300.0</v>
      </c>
      <c r="O1168" s="135">
        <v>2.394</v>
      </c>
      <c r="P1168" s="136">
        <v>0.0</v>
      </c>
      <c r="Q1168" s="137">
        <v>5.985</v>
      </c>
      <c r="R1168" s="136">
        <v>46127.0</v>
      </c>
      <c r="S1168" s="135" t="s">
        <v>3514</v>
      </c>
      <c r="T1168" s="136"/>
      <c r="U1168" s="135" t="s">
        <v>2864</v>
      </c>
      <c r="V1168" s="135" t="s">
        <v>3270</v>
      </c>
      <c r="W1168" s="135"/>
      <c r="X1168" s="135"/>
      <c r="Y1168" s="135" t="s">
        <v>2886</v>
      </c>
      <c r="Z1168" s="135" t="s">
        <v>2858</v>
      </c>
      <c r="AA1168" s="135"/>
      <c r="AB1168" s="135"/>
      <c r="AC1168" s="135"/>
      <c r="AD1168" s="135">
        <v>46134.0</v>
      </c>
      <c r="AE1168" s="135"/>
      <c r="AF1168" s="135"/>
      <c r="AG1168" s="135"/>
    </row>
    <row r="1169" ht="21.75" hidden="1" customHeight="1">
      <c r="A1169" s="135">
        <v>1165.0</v>
      </c>
      <c r="B1169" s="135">
        <v>25045.0</v>
      </c>
      <c r="C1169" s="135"/>
      <c r="D1169" s="135">
        <v>29.0</v>
      </c>
      <c r="E1169" s="135" t="s">
        <v>3533</v>
      </c>
      <c r="F1169" s="135" t="s">
        <v>697</v>
      </c>
      <c r="G1169" s="135" t="s">
        <v>158</v>
      </c>
      <c r="H1169" s="135" t="s">
        <v>2853</v>
      </c>
      <c r="I1169" s="135" t="s">
        <v>159</v>
      </c>
      <c r="J1169" s="135">
        <v>1.0</v>
      </c>
      <c r="K1169" s="135"/>
      <c r="L1169" s="135">
        <v>3975.0</v>
      </c>
      <c r="M1169" s="135">
        <v>3300.0</v>
      </c>
      <c r="N1169" s="135">
        <v>300.0</v>
      </c>
      <c r="O1169" s="135">
        <v>2.409</v>
      </c>
      <c r="P1169" s="136">
        <v>0.0</v>
      </c>
      <c r="Q1169" s="137">
        <v>6.022499999999999</v>
      </c>
      <c r="R1169" s="136">
        <v>46127.0</v>
      </c>
      <c r="S1169" s="135" t="s">
        <v>3514</v>
      </c>
      <c r="T1169" s="136"/>
      <c r="U1169" s="135" t="s">
        <v>2864</v>
      </c>
      <c r="V1169" s="135" t="s">
        <v>3270</v>
      </c>
      <c r="W1169" s="135"/>
      <c r="X1169" s="135"/>
      <c r="Y1169" s="135" t="s">
        <v>2886</v>
      </c>
      <c r="Z1169" s="135" t="s">
        <v>2858</v>
      </c>
      <c r="AA1169" s="135"/>
      <c r="AB1169" s="135"/>
      <c r="AC1169" s="135"/>
      <c r="AD1169" s="135">
        <v>46135.0</v>
      </c>
      <c r="AE1169" s="135"/>
      <c r="AF1169" s="135"/>
      <c r="AG1169" s="135"/>
    </row>
    <row r="1170" ht="21.75" hidden="1" customHeight="1">
      <c r="A1170" s="135">
        <v>1166.0</v>
      </c>
      <c r="B1170" s="135">
        <v>25045.0</v>
      </c>
      <c r="C1170" s="135"/>
      <c r="D1170" s="135">
        <v>29.0</v>
      </c>
      <c r="E1170" s="135" t="s">
        <v>3527</v>
      </c>
      <c r="F1170" s="135" t="s">
        <v>744</v>
      </c>
      <c r="G1170" s="135" t="s">
        <v>158</v>
      </c>
      <c r="H1170" s="135" t="s">
        <v>2853</v>
      </c>
      <c r="I1170" s="135" t="s">
        <v>161</v>
      </c>
      <c r="J1170" s="135">
        <v>1.0</v>
      </c>
      <c r="K1170" s="135"/>
      <c r="L1170" s="135">
        <v>4520.0</v>
      </c>
      <c r="M1170" s="135">
        <v>2900.0</v>
      </c>
      <c r="N1170" s="135">
        <v>120.0</v>
      </c>
      <c r="O1170" s="135">
        <v>1.523</v>
      </c>
      <c r="P1170" s="136">
        <v>0.0</v>
      </c>
      <c r="Q1170" s="137">
        <v>3.8074999999999997</v>
      </c>
      <c r="R1170" s="136">
        <v>46120.0</v>
      </c>
      <c r="S1170" s="135" t="s">
        <v>3528</v>
      </c>
      <c r="T1170" s="136"/>
      <c r="U1170" s="135" t="s">
        <v>2864</v>
      </c>
      <c r="V1170" s="135" t="s">
        <v>2985</v>
      </c>
      <c r="W1170" s="135" t="s">
        <v>3647</v>
      </c>
      <c r="X1170" s="135" t="s">
        <v>3648</v>
      </c>
      <c r="Y1170" s="135"/>
      <c r="Z1170" s="135" t="s">
        <v>2858</v>
      </c>
      <c r="AA1170" s="135"/>
      <c r="AB1170" s="135"/>
      <c r="AC1170" s="135"/>
      <c r="AD1170" s="135">
        <v>46146.0</v>
      </c>
      <c r="AE1170" s="135"/>
      <c r="AF1170" s="135"/>
      <c r="AG1170" s="135"/>
    </row>
    <row r="1171" ht="21.75" hidden="1" customHeight="1">
      <c r="A1171" s="135">
        <v>1167.0</v>
      </c>
      <c r="B1171" s="135">
        <v>25045.0</v>
      </c>
      <c r="C1171" s="135"/>
      <c r="D1171" s="135">
        <v>29.0</v>
      </c>
      <c r="E1171" s="135" t="s">
        <v>3527</v>
      </c>
      <c r="F1171" s="135" t="s">
        <v>745</v>
      </c>
      <c r="G1171" s="135" t="s">
        <v>158</v>
      </c>
      <c r="H1171" s="135" t="s">
        <v>2853</v>
      </c>
      <c r="I1171" s="135" t="s">
        <v>161</v>
      </c>
      <c r="J1171" s="135">
        <v>1.0</v>
      </c>
      <c r="K1171" s="135"/>
      <c r="L1171" s="135">
        <v>4504.0</v>
      </c>
      <c r="M1171" s="135">
        <v>3100.0</v>
      </c>
      <c r="N1171" s="135">
        <v>120.0</v>
      </c>
      <c r="O1171" s="135">
        <v>1.921</v>
      </c>
      <c r="P1171" s="136">
        <v>0.0</v>
      </c>
      <c r="Q1171" s="137">
        <v>4.8025</v>
      </c>
      <c r="R1171" s="136">
        <v>46120.0</v>
      </c>
      <c r="S1171" s="135" t="s">
        <v>3528</v>
      </c>
      <c r="T1171" s="136"/>
      <c r="U1171" s="135" t="s">
        <v>2855</v>
      </c>
      <c r="V1171" s="135" t="s">
        <v>2876</v>
      </c>
      <c r="W1171" s="135" t="s">
        <v>3649</v>
      </c>
      <c r="X1171" s="135"/>
      <c r="Y1171" s="135"/>
      <c r="Z1171" s="135" t="s">
        <v>2858</v>
      </c>
      <c r="AA1171" s="135"/>
      <c r="AB1171" s="135"/>
      <c r="AC1171" s="135"/>
      <c r="AD1171" s="135">
        <v>46129.0</v>
      </c>
      <c r="AE1171" s="135"/>
      <c r="AF1171" s="135"/>
      <c r="AG1171" s="135"/>
    </row>
    <row r="1172" ht="21.75" hidden="1" customHeight="1">
      <c r="A1172" s="135">
        <v>1168.0</v>
      </c>
      <c r="B1172" s="135">
        <v>25045.0</v>
      </c>
      <c r="C1172" s="135"/>
      <c r="D1172" s="135">
        <v>29.0</v>
      </c>
      <c r="E1172" s="135" t="s">
        <v>3527</v>
      </c>
      <c r="F1172" s="135" t="s">
        <v>746</v>
      </c>
      <c r="G1172" s="135" t="s">
        <v>158</v>
      </c>
      <c r="H1172" s="135" t="s">
        <v>2853</v>
      </c>
      <c r="I1172" s="135" t="s">
        <v>161</v>
      </c>
      <c r="J1172" s="135">
        <v>1.0</v>
      </c>
      <c r="K1172" s="135" t="s">
        <v>3134</v>
      </c>
      <c r="L1172" s="135">
        <v>4504.0</v>
      </c>
      <c r="M1172" s="135">
        <v>2900.0</v>
      </c>
      <c r="N1172" s="135">
        <v>120.0</v>
      </c>
      <c r="O1172" s="135">
        <v>1.816</v>
      </c>
      <c r="P1172" s="136">
        <v>0.0</v>
      </c>
      <c r="Q1172" s="137">
        <v>4.54</v>
      </c>
      <c r="R1172" s="136">
        <v>46120.0</v>
      </c>
      <c r="S1172" s="135" t="s">
        <v>3528</v>
      </c>
      <c r="T1172" s="136"/>
      <c r="U1172" s="135" t="s">
        <v>2855</v>
      </c>
      <c r="V1172" s="135" t="s">
        <v>2876</v>
      </c>
      <c r="W1172" s="135" t="s">
        <v>3650</v>
      </c>
      <c r="X1172" s="135"/>
      <c r="Y1172" s="135"/>
      <c r="Z1172" s="135" t="s">
        <v>2858</v>
      </c>
      <c r="AA1172" s="135"/>
      <c r="AB1172" s="135"/>
      <c r="AC1172" s="135"/>
      <c r="AD1172" s="135">
        <v>46133.0</v>
      </c>
      <c r="AE1172" s="135"/>
      <c r="AF1172" s="135"/>
      <c r="AG1172" s="135"/>
    </row>
    <row r="1173" ht="21.75" hidden="1" customHeight="1">
      <c r="A1173" s="135">
        <v>1169.0</v>
      </c>
      <c r="B1173" s="135">
        <v>25045.0</v>
      </c>
      <c r="C1173" s="135"/>
      <c r="D1173" s="135">
        <v>29.0</v>
      </c>
      <c r="E1173" s="135" t="s">
        <v>3527</v>
      </c>
      <c r="F1173" s="135" t="s">
        <v>747</v>
      </c>
      <c r="G1173" s="135" t="s">
        <v>158</v>
      </c>
      <c r="H1173" s="135" t="s">
        <v>2853</v>
      </c>
      <c r="I1173" s="135" t="s">
        <v>161</v>
      </c>
      <c r="J1173" s="135">
        <v>1.0</v>
      </c>
      <c r="K1173" s="135" t="s">
        <v>3134</v>
      </c>
      <c r="L1173" s="135">
        <v>4504.0</v>
      </c>
      <c r="M1173" s="135">
        <v>2900.0</v>
      </c>
      <c r="N1173" s="135">
        <v>120.0</v>
      </c>
      <c r="O1173" s="135">
        <v>1.816</v>
      </c>
      <c r="P1173" s="136">
        <v>0.0</v>
      </c>
      <c r="Q1173" s="137">
        <v>4.54</v>
      </c>
      <c r="R1173" s="136">
        <v>46120.0</v>
      </c>
      <c r="S1173" s="135" t="s">
        <v>3528</v>
      </c>
      <c r="T1173" s="136"/>
      <c r="U1173" s="135" t="s">
        <v>2855</v>
      </c>
      <c r="V1173" s="135" t="s">
        <v>2876</v>
      </c>
      <c r="W1173" s="135" t="s">
        <v>3650</v>
      </c>
      <c r="X1173" s="135"/>
      <c r="Y1173" s="135"/>
      <c r="Z1173" s="135" t="s">
        <v>2858</v>
      </c>
      <c r="AA1173" s="135"/>
      <c r="AB1173" s="135"/>
      <c r="AC1173" s="135"/>
      <c r="AD1173" s="135">
        <v>46134.0</v>
      </c>
      <c r="AE1173" s="135"/>
      <c r="AF1173" s="135"/>
      <c r="AG1173" s="135"/>
    </row>
    <row r="1174" ht="21.75" hidden="1" customHeight="1">
      <c r="A1174" s="135">
        <v>1170.0</v>
      </c>
      <c r="B1174" s="135">
        <v>25045.0</v>
      </c>
      <c r="C1174" s="135"/>
      <c r="D1174" s="135">
        <v>29.0</v>
      </c>
      <c r="E1174" s="135" t="s">
        <v>3527</v>
      </c>
      <c r="F1174" s="135" t="s">
        <v>748</v>
      </c>
      <c r="G1174" s="135" t="s">
        <v>158</v>
      </c>
      <c r="H1174" s="135" t="s">
        <v>2853</v>
      </c>
      <c r="I1174" s="135" t="s">
        <v>161</v>
      </c>
      <c r="J1174" s="135">
        <v>1.0</v>
      </c>
      <c r="K1174" s="135" t="s">
        <v>3134</v>
      </c>
      <c r="L1174" s="135">
        <v>4504.0</v>
      </c>
      <c r="M1174" s="135">
        <v>2900.0</v>
      </c>
      <c r="N1174" s="135">
        <v>120.0</v>
      </c>
      <c r="O1174" s="135">
        <v>1.816</v>
      </c>
      <c r="P1174" s="136">
        <v>0.0</v>
      </c>
      <c r="Q1174" s="137">
        <v>4.54</v>
      </c>
      <c r="R1174" s="136">
        <v>46120.0</v>
      </c>
      <c r="S1174" s="135" t="s">
        <v>3528</v>
      </c>
      <c r="T1174" s="136"/>
      <c r="U1174" s="135" t="s">
        <v>2855</v>
      </c>
      <c r="V1174" s="135" t="s">
        <v>2876</v>
      </c>
      <c r="W1174" s="135" t="s">
        <v>3650</v>
      </c>
      <c r="X1174" s="135"/>
      <c r="Y1174" s="135"/>
      <c r="Z1174" s="135" t="s">
        <v>2858</v>
      </c>
      <c r="AA1174" s="135"/>
      <c r="AB1174" s="135"/>
      <c r="AC1174" s="135"/>
      <c r="AD1174" s="135">
        <v>46135.0</v>
      </c>
      <c r="AE1174" s="135"/>
      <c r="AF1174" s="135"/>
      <c r="AG1174" s="135"/>
    </row>
    <row r="1175" ht="21.75" hidden="1" customHeight="1">
      <c r="A1175" s="135">
        <v>1171.0</v>
      </c>
      <c r="B1175" s="135">
        <v>25045.0</v>
      </c>
      <c r="C1175" s="135"/>
      <c r="D1175" s="135">
        <v>29.0</v>
      </c>
      <c r="E1175" s="135" t="s">
        <v>3527</v>
      </c>
      <c r="F1175" s="135" t="s">
        <v>749</v>
      </c>
      <c r="G1175" s="135" t="s">
        <v>158</v>
      </c>
      <c r="H1175" s="135" t="s">
        <v>2853</v>
      </c>
      <c r="I1175" s="135" t="s">
        <v>161</v>
      </c>
      <c r="J1175" s="135">
        <v>1.0</v>
      </c>
      <c r="K1175" s="135" t="s">
        <v>3134</v>
      </c>
      <c r="L1175" s="135">
        <v>4504.0</v>
      </c>
      <c r="M1175" s="135">
        <v>2900.0</v>
      </c>
      <c r="N1175" s="135">
        <v>120.0</v>
      </c>
      <c r="O1175" s="135">
        <v>1.816</v>
      </c>
      <c r="P1175" s="136">
        <v>0.0</v>
      </c>
      <c r="Q1175" s="137">
        <v>4.54</v>
      </c>
      <c r="R1175" s="136">
        <v>46120.0</v>
      </c>
      <c r="S1175" s="135" t="s">
        <v>3528</v>
      </c>
      <c r="T1175" s="136"/>
      <c r="U1175" s="135" t="s">
        <v>2855</v>
      </c>
      <c r="V1175" s="135" t="s">
        <v>2876</v>
      </c>
      <c r="W1175" s="135" t="s">
        <v>3650</v>
      </c>
      <c r="X1175" s="135"/>
      <c r="Y1175" s="135"/>
      <c r="Z1175" s="135" t="s">
        <v>2858</v>
      </c>
      <c r="AA1175" s="135"/>
      <c r="AB1175" s="135"/>
      <c r="AC1175" s="135"/>
      <c r="AD1175" s="135">
        <v>46136.0</v>
      </c>
      <c r="AE1175" s="135"/>
      <c r="AF1175" s="135"/>
      <c r="AG1175" s="135"/>
    </row>
    <row r="1176" ht="21.75" hidden="1" customHeight="1">
      <c r="A1176" s="135">
        <v>1172.0</v>
      </c>
      <c r="B1176" s="135">
        <v>25045.0</v>
      </c>
      <c r="C1176" s="135"/>
      <c r="D1176" s="135">
        <v>29.0</v>
      </c>
      <c r="E1176" s="135" t="s">
        <v>3527</v>
      </c>
      <c r="F1176" s="135" t="s">
        <v>750</v>
      </c>
      <c r="G1176" s="135" t="s">
        <v>158</v>
      </c>
      <c r="H1176" s="135" t="s">
        <v>2853</v>
      </c>
      <c r="I1176" s="135" t="s">
        <v>161</v>
      </c>
      <c r="J1176" s="135">
        <v>1.0</v>
      </c>
      <c r="K1176" s="135" t="s">
        <v>3134</v>
      </c>
      <c r="L1176" s="135">
        <v>4504.0</v>
      </c>
      <c r="M1176" s="135">
        <v>2900.0</v>
      </c>
      <c r="N1176" s="135">
        <v>120.0</v>
      </c>
      <c r="O1176" s="135">
        <v>1.816</v>
      </c>
      <c r="P1176" s="136">
        <v>0.0</v>
      </c>
      <c r="Q1176" s="137">
        <v>4.54</v>
      </c>
      <c r="R1176" s="136">
        <v>46120.0</v>
      </c>
      <c r="S1176" s="135" t="s">
        <v>3528</v>
      </c>
      <c r="T1176" s="136"/>
      <c r="U1176" s="135" t="s">
        <v>2855</v>
      </c>
      <c r="V1176" s="135" t="s">
        <v>2876</v>
      </c>
      <c r="W1176" s="135" t="s">
        <v>3650</v>
      </c>
      <c r="X1176" s="135"/>
      <c r="Y1176" s="135"/>
      <c r="Z1176" s="135" t="s">
        <v>2858</v>
      </c>
      <c r="AA1176" s="135"/>
      <c r="AB1176" s="135"/>
      <c r="AC1176" s="135"/>
      <c r="AD1176" s="135">
        <v>46137.0</v>
      </c>
      <c r="AE1176" s="135"/>
      <c r="AF1176" s="135"/>
      <c r="AG1176" s="135"/>
    </row>
    <row r="1177" ht="21.75" hidden="1" customHeight="1">
      <c r="A1177" s="135">
        <v>1173.0</v>
      </c>
      <c r="B1177" s="135">
        <v>25045.0</v>
      </c>
      <c r="C1177" s="135"/>
      <c r="D1177" s="135">
        <v>29.0</v>
      </c>
      <c r="E1177" s="135" t="s">
        <v>3531</v>
      </c>
      <c r="F1177" s="135" t="s">
        <v>716</v>
      </c>
      <c r="G1177" s="135" t="s">
        <v>158</v>
      </c>
      <c r="H1177" s="135" t="s">
        <v>2853</v>
      </c>
      <c r="I1177" s="135" t="s">
        <v>160</v>
      </c>
      <c r="J1177" s="135">
        <v>1.0</v>
      </c>
      <c r="K1177" s="135"/>
      <c r="L1177" s="135">
        <v>4475.0</v>
      </c>
      <c r="M1177" s="135">
        <v>2900.0</v>
      </c>
      <c r="N1177" s="135">
        <v>120.0</v>
      </c>
      <c r="O1177" s="135">
        <v>1.518</v>
      </c>
      <c r="P1177" s="136">
        <v>0.0</v>
      </c>
      <c r="Q1177" s="137">
        <v>3.795</v>
      </c>
      <c r="R1177" s="136">
        <v>46120.0</v>
      </c>
      <c r="S1177" s="135" t="s">
        <v>3528</v>
      </c>
      <c r="T1177" s="136"/>
      <c r="U1177" s="135" t="s">
        <v>2864</v>
      </c>
      <c r="V1177" s="135" t="s">
        <v>2985</v>
      </c>
      <c r="W1177" s="135" t="s">
        <v>3651</v>
      </c>
      <c r="X1177" s="135" t="s">
        <v>3638</v>
      </c>
      <c r="Y1177" s="135"/>
      <c r="Z1177" s="135" t="s">
        <v>2858</v>
      </c>
      <c r="AA1177" s="135"/>
      <c r="AB1177" s="135"/>
      <c r="AC1177" s="135"/>
      <c r="AD1177" s="135">
        <v>0.0</v>
      </c>
      <c r="AE1177" s="135"/>
      <c r="AF1177" s="135"/>
      <c r="AG1177" s="135"/>
    </row>
    <row r="1178" ht="21.75" hidden="1" customHeight="1">
      <c r="A1178" s="135">
        <v>1174.0</v>
      </c>
      <c r="B1178" s="135">
        <v>25045.0</v>
      </c>
      <c r="C1178" s="135"/>
      <c r="D1178" s="135">
        <v>29.0</v>
      </c>
      <c r="E1178" s="135" t="s">
        <v>3531</v>
      </c>
      <c r="F1178" s="135" t="s">
        <v>717</v>
      </c>
      <c r="G1178" s="135" t="s">
        <v>158</v>
      </c>
      <c r="H1178" s="135" t="s">
        <v>2853</v>
      </c>
      <c r="I1178" s="135" t="s">
        <v>160</v>
      </c>
      <c r="J1178" s="135">
        <v>1.0</v>
      </c>
      <c r="K1178" s="135" t="s">
        <v>3134</v>
      </c>
      <c r="L1178" s="135">
        <v>4503.0</v>
      </c>
      <c r="M1178" s="135">
        <v>2900.0</v>
      </c>
      <c r="N1178" s="135">
        <v>120.0</v>
      </c>
      <c r="O1178" s="135">
        <v>1.801</v>
      </c>
      <c r="P1178" s="136">
        <v>0.0</v>
      </c>
      <c r="Q1178" s="137">
        <v>4.5024999999999995</v>
      </c>
      <c r="R1178" s="136">
        <v>46120.0</v>
      </c>
      <c r="S1178" s="135" t="s">
        <v>3528</v>
      </c>
      <c r="T1178" s="136"/>
      <c r="U1178" s="135" t="s">
        <v>2855</v>
      </c>
      <c r="V1178" s="135" t="s">
        <v>2876</v>
      </c>
      <c r="W1178" s="135" t="s">
        <v>3652</v>
      </c>
      <c r="X1178" s="135"/>
      <c r="Y1178" s="135"/>
      <c r="Z1178" s="135" t="s">
        <v>2858</v>
      </c>
      <c r="AA1178" s="135"/>
      <c r="AB1178" s="135"/>
      <c r="AC1178" s="135"/>
      <c r="AD1178" s="135">
        <v>46121.0</v>
      </c>
      <c r="AE1178" s="135"/>
      <c r="AF1178" s="135"/>
      <c r="AG1178" s="135"/>
    </row>
    <row r="1179" ht="21.75" hidden="1" customHeight="1">
      <c r="A1179" s="135">
        <v>1175.0</v>
      </c>
      <c r="B1179" s="135">
        <v>25045.0</v>
      </c>
      <c r="C1179" s="135"/>
      <c r="D1179" s="135">
        <v>29.0</v>
      </c>
      <c r="E1179" s="135" t="s">
        <v>3531</v>
      </c>
      <c r="F1179" s="135" t="s">
        <v>718</v>
      </c>
      <c r="G1179" s="135" t="s">
        <v>158</v>
      </c>
      <c r="H1179" s="135" t="s">
        <v>2853</v>
      </c>
      <c r="I1179" s="135" t="s">
        <v>160</v>
      </c>
      <c r="J1179" s="135">
        <v>1.0</v>
      </c>
      <c r="K1179" s="135" t="s">
        <v>3134</v>
      </c>
      <c r="L1179" s="135">
        <v>4503.0</v>
      </c>
      <c r="M1179" s="135">
        <v>2900.0</v>
      </c>
      <c r="N1179" s="135">
        <v>120.0</v>
      </c>
      <c r="O1179" s="135">
        <v>1.801</v>
      </c>
      <c r="P1179" s="136">
        <v>0.0</v>
      </c>
      <c r="Q1179" s="137">
        <v>4.5024999999999995</v>
      </c>
      <c r="R1179" s="136">
        <v>46120.0</v>
      </c>
      <c r="S1179" s="135" t="s">
        <v>3528</v>
      </c>
      <c r="T1179" s="136"/>
      <c r="U1179" s="135" t="s">
        <v>2855</v>
      </c>
      <c r="V1179" s="135" t="s">
        <v>2876</v>
      </c>
      <c r="W1179" s="135" t="s">
        <v>3652</v>
      </c>
      <c r="X1179" s="135"/>
      <c r="Y1179" s="135"/>
      <c r="Z1179" s="135" t="s">
        <v>2858</v>
      </c>
      <c r="AA1179" s="135"/>
      <c r="AB1179" s="135"/>
      <c r="AC1179" s="135"/>
      <c r="AD1179" s="135">
        <v>46122.0</v>
      </c>
      <c r="AE1179" s="135"/>
      <c r="AF1179" s="135"/>
      <c r="AG1179" s="135"/>
    </row>
    <row r="1180" ht="21.75" hidden="1" customHeight="1">
      <c r="A1180" s="135">
        <v>1176.0</v>
      </c>
      <c r="B1180" s="135">
        <v>25045.0</v>
      </c>
      <c r="C1180" s="135"/>
      <c r="D1180" s="135">
        <v>29.0</v>
      </c>
      <c r="E1180" s="135" t="s">
        <v>3531</v>
      </c>
      <c r="F1180" s="135" t="s">
        <v>719</v>
      </c>
      <c r="G1180" s="135" t="s">
        <v>158</v>
      </c>
      <c r="H1180" s="135" t="s">
        <v>2853</v>
      </c>
      <c r="I1180" s="135" t="s">
        <v>160</v>
      </c>
      <c r="J1180" s="135">
        <v>1.0</v>
      </c>
      <c r="K1180" s="135" t="s">
        <v>3134</v>
      </c>
      <c r="L1180" s="135">
        <v>4503.0</v>
      </c>
      <c r="M1180" s="135">
        <v>2900.0</v>
      </c>
      <c r="N1180" s="135">
        <v>120.0</v>
      </c>
      <c r="O1180" s="135">
        <v>1.801</v>
      </c>
      <c r="P1180" s="136">
        <v>0.0</v>
      </c>
      <c r="Q1180" s="137">
        <v>4.5024999999999995</v>
      </c>
      <c r="R1180" s="136">
        <v>46120.0</v>
      </c>
      <c r="S1180" s="135" t="s">
        <v>3528</v>
      </c>
      <c r="T1180" s="136"/>
      <c r="U1180" s="135" t="s">
        <v>2855</v>
      </c>
      <c r="V1180" s="135" t="s">
        <v>2876</v>
      </c>
      <c r="W1180" s="135" t="s">
        <v>3652</v>
      </c>
      <c r="X1180" s="135"/>
      <c r="Y1180" s="135"/>
      <c r="Z1180" s="135" t="s">
        <v>2858</v>
      </c>
      <c r="AA1180" s="135"/>
      <c r="AB1180" s="135"/>
      <c r="AC1180" s="135"/>
      <c r="AD1180" s="135">
        <v>46123.0</v>
      </c>
      <c r="AE1180" s="135"/>
      <c r="AF1180" s="135"/>
      <c r="AG1180" s="135"/>
    </row>
    <row r="1181" ht="21.75" hidden="1" customHeight="1">
      <c r="A1181" s="135">
        <v>1177.0</v>
      </c>
      <c r="B1181" s="135">
        <v>25045.0</v>
      </c>
      <c r="C1181" s="135"/>
      <c r="D1181" s="135">
        <v>29.0</v>
      </c>
      <c r="E1181" s="135" t="s">
        <v>3531</v>
      </c>
      <c r="F1181" s="135" t="s">
        <v>720</v>
      </c>
      <c r="G1181" s="135" t="s">
        <v>158</v>
      </c>
      <c r="H1181" s="135" t="s">
        <v>2853</v>
      </c>
      <c r="I1181" s="135" t="s">
        <v>160</v>
      </c>
      <c r="J1181" s="135">
        <v>1.0</v>
      </c>
      <c r="K1181" s="135" t="s">
        <v>3134</v>
      </c>
      <c r="L1181" s="135">
        <v>4503.0</v>
      </c>
      <c r="M1181" s="135">
        <v>2900.0</v>
      </c>
      <c r="N1181" s="135">
        <v>120.0</v>
      </c>
      <c r="O1181" s="135">
        <v>1.801</v>
      </c>
      <c r="P1181" s="136">
        <v>0.0</v>
      </c>
      <c r="Q1181" s="137">
        <v>4.5024999999999995</v>
      </c>
      <c r="R1181" s="136">
        <v>46120.0</v>
      </c>
      <c r="S1181" s="135" t="s">
        <v>3528</v>
      </c>
      <c r="T1181" s="136"/>
      <c r="U1181" s="135" t="s">
        <v>2855</v>
      </c>
      <c r="V1181" s="135" t="s">
        <v>2876</v>
      </c>
      <c r="W1181" s="135" t="s">
        <v>3652</v>
      </c>
      <c r="X1181" s="135"/>
      <c r="Y1181" s="135"/>
      <c r="Z1181" s="135" t="s">
        <v>2858</v>
      </c>
      <c r="AA1181" s="135"/>
      <c r="AB1181" s="135"/>
      <c r="AC1181" s="135"/>
      <c r="AD1181" s="135">
        <v>46125.0</v>
      </c>
      <c r="AE1181" s="135"/>
      <c r="AF1181" s="135"/>
      <c r="AG1181" s="135"/>
    </row>
    <row r="1182" ht="21.75" hidden="1" customHeight="1">
      <c r="A1182" s="135">
        <v>1178.0</v>
      </c>
      <c r="B1182" s="135">
        <v>25045.0</v>
      </c>
      <c r="C1182" s="135"/>
      <c r="D1182" s="135">
        <v>29.0</v>
      </c>
      <c r="E1182" s="135" t="s">
        <v>3531</v>
      </c>
      <c r="F1182" s="135" t="s">
        <v>721</v>
      </c>
      <c r="G1182" s="135" t="s">
        <v>158</v>
      </c>
      <c r="H1182" s="135" t="s">
        <v>2853</v>
      </c>
      <c r="I1182" s="135" t="s">
        <v>160</v>
      </c>
      <c r="J1182" s="135">
        <v>1.0</v>
      </c>
      <c r="K1182" s="135" t="s">
        <v>3134</v>
      </c>
      <c r="L1182" s="135">
        <v>4503.0</v>
      </c>
      <c r="M1182" s="135">
        <v>2900.0</v>
      </c>
      <c r="N1182" s="135">
        <v>120.0</v>
      </c>
      <c r="O1182" s="135">
        <v>1.801</v>
      </c>
      <c r="P1182" s="136">
        <v>0.0</v>
      </c>
      <c r="Q1182" s="137">
        <v>4.5024999999999995</v>
      </c>
      <c r="R1182" s="136">
        <v>46120.0</v>
      </c>
      <c r="S1182" s="135" t="s">
        <v>3528</v>
      </c>
      <c r="T1182" s="136"/>
      <c r="U1182" s="135" t="s">
        <v>2855</v>
      </c>
      <c r="V1182" s="135" t="s">
        <v>2876</v>
      </c>
      <c r="W1182" s="135" t="s">
        <v>3652</v>
      </c>
      <c r="X1182" s="135"/>
      <c r="Y1182" s="135"/>
      <c r="Z1182" s="135" t="s">
        <v>2858</v>
      </c>
      <c r="AA1182" s="135"/>
      <c r="AB1182" s="135"/>
      <c r="AC1182" s="135"/>
      <c r="AD1182" s="135">
        <v>46126.0</v>
      </c>
      <c r="AE1182" s="135"/>
      <c r="AF1182" s="135"/>
      <c r="AG1182" s="135"/>
    </row>
    <row r="1183" ht="21.75" hidden="1" customHeight="1">
      <c r="A1183" s="135">
        <v>1179.0</v>
      </c>
      <c r="B1183" s="135">
        <v>25045.0</v>
      </c>
      <c r="C1183" s="135"/>
      <c r="D1183" s="135">
        <v>29.0</v>
      </c>
      <c r="E1183" s="135" t="s">
        <v>3531</v>
      </c>
      <c r="F1183" s="135" t="s">
        <v>722</v>
      </c>
      <c r="G1183" s="135" t="s">
        <v>158</v>
      </c>
      <c r="H1183" s="135" t="s">
        <v>2853</v>
      </c>
      <c r="I1183" s="135" t="s">
        <v>160</v>
      </c>
      <c r="J1183" s="135">
        <v>1.0</v>
      </c>
      <c r="K1183" s="135"/>
      <c r="L1183" s="135">
        <v>4503.0</v>
      </c>
      <c r="M1183" s="135">
        <v>3100.0</v>
      </c>
      <c r="N1183" s="135">
        <v>120.0</v>
      </c>
      <c r="O1183" s="135">
        <v>1.849</v>
      </c>
      <c r="P1183" s="136">
        <v>0.0</v>
      </c>
      <c r="Q1183" s="137">
        <v>4.6225</v>
      </c>
      <c r="R1183" s="136">
        <v>46120.0</v>
      </c>
      <c r="S1183" s="135" t="s">
        <v>3528</v>
      </c>
      <c r="T1183" s="136"/>
      <c r="U1183" s="135" t="s">
        <v>2855</v>
      </c>
      <c r="V1183" s="135" t="s">
        <v>2876</v>
      </c>
      <c r="W1183" s="135" t="s">
        <v>3653</v>
      </c>
      <c r="X1183" s="135"/>
      <c r="Y1183" s="135"/>
      <c r="Z1183" s="135" t="s">
        <v>2858</v>
      </c>
      <c r="AA1183" s="135"/>
      <c r="AB1183" s="135"/>
      <c r="AC1183" s="135"/>
      <c r="AD1183" s="135">
        <v>46137.0</v>
      </c>
      <c r="AE1183" s="135"/>
      <c r="AF1183" s="135"/>
      <c r="AG1183" s="135"/>
    </row>
    <row r="1184" ht="21.75" hidden="1" customHeight="1">
      <c r="A1184" s="135">
        <v>1180.0</v>
      </c>
      <c r="B1184" s="135">
        <v>25045.0</v>
      </c>
      <c r="C1184" s="135"/>
      <c r="D1184" s="135">
        <v>29.0</v>
      </c>
      <c r="E1184" s="135" t="s">
        <v>3562</v>
      </c>
      <c r="F1184" s="135" t="s">
        <v>942</v>
      </c>
      <c r="G1184" s="135" t="s">
        <v>158</v>
      </c>
      <c r="H1184" s="135" t="s">
        <v>2853</v>
      </c>
      <c r="I1184" s="135" t="s">
        <v>171</v>
      </c>
      <c r="J1184" s="135">
        <v>1.0</v>
      </c>
      <c r="K1184" s="135"/>
      <c r="L1184" s="135">
        <v>4440.0</v>
      </c>
      <c r="M1184" s="135">
        <v>2900.0</v>
      </c>
      <c r="N1184" s="135">
        <v>120.0</v>
      </c>
      <c r="O1184" s="135">
        <v>1.801</v>
      </c>
      <c r="P1184" s="136">
        <v>0.0</v>
      </c>
      <c r="Q1184" s="137">
        <v>4.5024999999999995</v>
      </c>
      <c r="R1184" s="136">
        <v>46120.0</v>
      </c>
      <c r="S1184" s="135" t="s">
        <v>3528</v>
      </c>
      <c r="T1184" s="136"/>
      <c r="U1184" s="135" t="s">
        <v>2855</v>
      </c>
      <c r="V1184" s="135" t="s">
        <v>2876</v>
      </c>
      <c r="W1184" s="135" t="s">
        <v>3654</v>
      </c>
      <c r="X1184" s="135"/>
      <c r="Y1184" s="135"/>
      <c r="Z1184" s="135" t="s">
        <v>2858</v>
      </c>
      <c r="AA1184" s="135"/>
      <c r="AB1184" s="135"/>
      <c r="AC1184" s="135"/>
      <c r="AD1184" s="135">
        <v>46141.0</v>
      </c>
      <c r="AE1184" s="135"/>
      <c r="AF1184" s="135"/>
      <c r="AG1184" s="135"/>
    </row>
    <row r="1185" ht="21.75" hidden="1" customHeight="1">
      <c r="A1185" s="135">
        <v>1181.0</v>
      </c>
      <c r="B1185" s="135">
        <v>25045.0</v>
      </c>
      <c r="C1185" s="135"/>
      <c r="D1185" s="135">
        <v>29.0</v>
      </c>
      <c r="E1185" s="135" t="s">
        <v>3562</v>
      </c>
      <c r="F1185" s="135" t="s">
        <v>943</v>
      </c>
      <c r="G1185" s="135" t="s">
        <v>158</v>
      </c>
      <c r="H1185" s="135" t="s">
        <v>2853</v>
      </c>
      <c r="I1185" s="135" t="s">
        <v>171</v>
      </c>
      <c r="J1185" s="135">
        <v>1.0</v>
      </c>
      <c r="K1185" s="135" t="s">
        <v>3134</v>
      </c>
      <c r="L1185" s="135">
        <v>4590.0</v>
      </c>
      <c r="M1185" s="135">
        <v>2900.0</v>
      </c>
      <c r="N1185" s="135">
        <v>120.0</v>
      </c>
      <c r="O1185" s="135">
        <v>1.843</v>
      </c>
      <c r="P1185" s="136">
        <v>0.0</v>
      </c>
      <c r="Q1185" s="137">
        <v>4.6075</v>
      </c>
      <c r="R1185" s="136">
        <v>46120.0</v>
      </c>
      <c r="S1185" s="135" t="s">
        <v>3528</v>
      </c>
      <c r="T1185" s="136"/>
      <c r="U1185" s="135" t="s">
        <v>2855</v>
      </c>
      <c r="V1185" s="135" t="s">
        <v>2876</v>
      </c>
      <c r="W1185" s="135" t="s">
        <v>3655</v>
      </c>
      <c r="X1185" s="135"/>
      <c r="Y1185" s="135"/>
      <c r="Z1185" s="135" t="s">
        <v>2858</v>
      </c>
      <c r="AA1185" s="135"/>
      <c r="AB1185" s="135"/>
      <c r="AC1185" s="135"/>
      <c r="AD1185" s="135">
        <v>46132.0</v>
      </c>
      <c r="AE1185" s="135"/>
      <c r="AF1185" s="135"/>
      <c r="AG1185" s="135"/>
    </row>
    <row r="1186" ht="21.75" hidden="1" customHeight="1">
      <c r="A1186" s="135">
        <v>1182.0</v>
      </c>
      <c r="B1186" s="135">
        <v>25045.0</v>
      </c>
      <c r="C1186" s="135"/>
      <c r="D1186" s="135">
        <v>29.0</v>
      </c>
      <c r="E1186" s="135" t="s">
        <v>3562</v>
      </c>
      <c r="F1186" s="135" t="s">
        <v>944</v>
      </c>
      <c r="G1186" s="135" t="s">
        <v>158</v>
      </c>
      <c r="H1186" s="135" t="s">
        <v>2853</v>
      </c>
      <c r="I1186" s="135" t="s">
        <v>171</v>
      </c>
      <c r="J1186" s="135">
        <v>1.0</v>
      </c>
      <c r="K1186" s="135" t="s">
        <v>3134</v>
      </c>
      <c r="L1186" s="135">
        <v>4590.0</v>
      </c>
      <c r="M1186" s="135">
        <v>2900.0</v>
      </c>
      <c r="N1186" s="135">
        <v>120.0</v>
      </c>
      <c r="O1186" s="135">
        <v>1.843</v>
      </c>
      <c r="P1186" s="136">
        <v>0.0</v>
      </c>
      <c r="Q1186" s="137">
        <v>4.6075</v>
      </c>
      <c r="R1186" s="136">
        <v>46120.0</v>
      </c>
      <c r="S1186" s="135" t="s">
        <v>3528</v>
      </c>
      <c r="T1186" s="136"/>
      <c r="U1186" s="135" t="s">
        <v>2855</v>
      </c>
      <c r="V1186" s="135" t="s">
        <v>2876</v>
      </c>
      <c r="W1186" s="135" t="s">
        <v>3655</v>
      </c>
      <c r="X1186" s="135"/>
      <c r="Y1186" s="135"/>
      <c r="Z1186" s="135" t="s">
        <v>2858</v>
      </c>
      <c r="AA1186" s="135"/>
      <c r="AB1186" s="135"/>
      <c r="AC1186" s="135"/>
      <c r="AD1186" s="135">
        <v>46134.0</v>
      </c>
      <c r="AE1186" s="135"/>
      <c r="AF1186" s="135"/>
      <c r="AG1186" s="135"/>
    </row>
    <row r="1187" ht="21.75" hidden="1" customHeight="1">
      <c r="A1187" s="135">
        <v>1183.0</v>
      </c>
      <c r="B1187" s="135">
        <v>25045.0</v>
      </c>
      <c r="C1187" s="135"/>
      <c r="D1187" s="135">
        <v>29.0</v>
      </c>
      <c r="E1187" s="135" t="s">
        <v>3562</v>
      </c>
      <c r="F1187" s="135" t="s">
        <v>945</v>
      </c>
      <c r="G1187" s="135" t="s">
        <v>158</v>
      </c>
      <c r="H1187" s="135" t="s">
        <v>2853</v>
      </c>
      <c r="I1187" s="135" t="s">
        <v>171</v>
      </c>
      <c r="J1187" s="135">
        <v>1.0</v>
      </c>
      <c r="K1187" s="135" t="s">
        <v>3134</v>
      </c>
      <c r="L1187" s="135">
        <v>4590.0</v>
      </c>
      <c r="M1187" s="135">
        <v>2900.0</v>
      </c>
      <c r="N1187" s="135">
        <v>120.0</v>
      </c>
      <c r="O1187" s="135">
        <v>1.843</v>
      </c>
      <c r="P1187" s="136">
        <v>0.0</v>
      </c>
      <c r="Q1187" s="137">
        <v>4.6075</v>
      </c>
      <c r="R1187" s="136">
        <v>46120.0</v>
      </c>
      <c r="S1187" s="135" t="s">
        <v>3528</v>
      </c>
      <c r="T1187" s="136"/>
      <c r="U1187" s="135" t="s">
        <v>2855</v>
      </c>
      <c r="V1187" s="135" t="s">
        <v>2876</v>
      </c>
      <c r="W1187" s="135" t="s">
        <v>3655</v>
      </c>
      <c r="X1187" s="135"/>
      <c r="Y1187" s="135"/>
      <c r="Z1187" s="135" t="s">
        <v>2858</v>
      </c>
      <c r="AA1187" s="135"/>
      <c r="AB1187" s="135"/>
      <c r="AC1187" s="135"/>
      <c r="AD1187" s="135">
        <v>46135.0</v>
      </c>
      <c r="AE1187" s="135"/>
      <c r="AF1187" s="135"/>
      <c r="AG1187" s="135"/>
    </row>
    <row r="1188" ht="21.75" hidden="1" customHeight="1">
      <c r="A1188" s="135">
        <v>1184.0</v>
      </c>
      <c r="B1188" s="135">
        <v>25045.0</v>
      </c>
      <c r="C1188" s="135"/>
      <c r="D1188" s="135">
        <v>29.0</v>
      </c>
      <c r="E1188" s="135" t="s">
        <v>3562</v>
      </c>
      <c r="F1188" s="135" t="s">
        <v>946</v>
      </c>
      <c r="G1188" s="135" t="s">
        <v>158</v>
      </c>
      <c r="H1188" s="135" t="s">
        <v>2853</v>
      </c>
      <c r="I1188" s="135" t="s">
        <v>171</v>
      </c>
      <c r="J1188" s="135">
        <v>1.0</v>
      </c>
      <c r="K1188" s="135"/>
      <c r="L1188" s="135">
        <v>4590.0</v>
      </c>
      <c r="M1188" s="135">
        <v>2900.0</v>
      </c>
      <c r="N1188" s="135">
        <v>120.0</v>
      </c>
      <c r="O1188" s="135">
        <v>1.543</v>
      </c>
      <c r="P1188" s="136">
        <v>0.0</v>
      </c>
      <c r="Q1188" s="137">
        <v>3.8575</v>
      </c>
      <c r="R1188" s="136">
        <v>46120.0</v>
      </c>
      <c r="S1188" s="135" t="s">
        <v>3528</v>
      </c>
      <c r="T1188" s="136"/>
      <c r="U1188" s="135" t="s">
        <v>2864</v>
      </c>
      <c r="V1188" s="135" t="s">
        <v>2985</v>
      </c>
      <c r="W1188" s="135" t="s">
        <v>3656</v>
      </c>
      <c r="X1188" s="135" t="s">
        <v>2895</v>
      </c>
      <c r="Y1188" s="135"/>
      <c r="Z1188" s="135" t="s">
        <v>2858</v>
      </c>
      <c r="AA1188" s="135"/>
      <c r="AB1188" s="135"/>
      <c r="AC1188" s="135"/>
      <c r="AD1188" s="135">
        <v>0.0</v>
      </c>
      <c r="AE1188" s="135"/>
      <c r="AF1188" s="135"/>
      <c r="AG1188" s="135"/>
    </row>
    <row r="1189" ht="21.75" hidden="1" customHeight="1">
      <c r="A1189" s="135">
        <v>1185.0</v>
      </c>
      <c r="B1189" s="135">
        <v>25045.0</v>
      </c>
      <c r="C1189" s="135"/>
      <c r="D1189" s="135">
        <v>29.0</v>
      </c>
      <c r="E1189" s="135" t="s">
        <v>3513</v>
      </c>
      <c r="F1189" s="135" t="s">
        <v>955</v>
      </c>
      <c r="G1189" s="135" t="s">
        <v>158</v>
      </c>
      <c r="H1189" s="135" t="s">
        <v>2853</v>
      </c>
      <c r="I1189" s="135" t="s">
        <v>172</v>
      </c>
      <c r="J1189" s="135">
        <v>1.0</v>
      </c>
      <c r="K1189" s="135"/>
      <c r="L1189" s="135">
        <v>4450.0</v>
      </c>
      <c r="M1189" s="135">
        <v>3100.0</v>
      </c>
      <c r="N1189" s="135">
        <v>120.0</v>
      </c>
      <c r="O1189" s="135">
        <v>1.91</v>
      </c>
      <c r="P1189" s="136">
        <v>0.0</v>
      </c>
      <c r="Q1189" s="137">
        <v>4.7749999999999995</v>
      </c>
      <c r="R1189" s="136">
        <v>46120.0</v>
      </c>
      <c r="S1189" s="135" t="s">
        <v>3528</v>
      </c>
      <c r="T1189" s="136"/>
      <c r="U1189" s="135" t="s">
        <v>2855</v>
      </c>
      <c r="V1189" s="135" t="s">
        <v>2876</v>
      </c>
      <c r="W1189" s="135" t="s">
        <v>3657</v>
      </c>
      <c r="X1189" s="135"/>
      <c r="Y1189" s="135"/>
      <c r="Z1189" s="135" t="s">
        <v>2858</v>
      </c>
      <c r="AA1189" s="135"/>
      <c r="AB1189" s="135"/>
      <c r="AC1189" s="135"/>
      <c r="AD1189" s="135">
        <v>46140.0</v>
      </c>
      <c r="AE1189" s="135"/>
      <c r="AF1189" s="135"/>
      <c r="AG1189" s="135"/>
    </row>
    <row r="1190" ht="21.75" hidden="1" customHeight="1">
      <c r="A1190" s="135">
        <v>1186.0</v>
      </c>
      <c r="B1190" s="135">
        <v>25045.0</v>
      </c>
      <c r="C1190" s="135"/>
      <c r="D1190" s="135">
        <v>29.0</v>
      </c>
      <c r="E1190" s="135" t="s">
        <v>3513</v>
      </c>
      <c r="F1190" s="135" t="s">
        <v>956</v>
      </c>
      <c r="G1190" s="135" t="s">
        <v>158</v>
      </c>
      <c r="H1190" s="135" t="s">
        <v>2853</v>
      </c>
      <c r="I1190" s="135" t="s">
        <v>172</v>
      </c>
      <c r="J1190" s="135">
        <v>1.0</v>
      </c>
      <c r="K1190" s="135" t="s">
        <v>3134</v>
      </c>
      <c r="L1190" s="135">
        <v>4596.0</v>
      </c>
      <c r="M1190" s="135">
        <v>3100.0</v>
      </c>
      <c r="N1190" s="135">
        <v>120.0</v>
      </c>
      <c r="O1190" s="135">
        <v>1.951</v>
      </c>
      <c r="P1190" s="136">
        <v>0.0</v>
      </c>
      <c r="Q1190" s="137">
        <v>4.8775</v>
      </c>
      <c r="R1190" s="136">
        <v>46120.0</v>
      </c>
      <c r="S1190" s="135" t="s">
        <v>3528</v>
      </c>
      <c r="T1190" s="136"/>
      <c r="U1190" s="135" t="s">
        <v>2855</v>
      </c>
      <c r="V1190" s="135" t="s">
        <v>2876</v>
      </c>
      <c r="W1190" s="135" t="s">
        <v>3658</v>
      </c>
      <c r="X1190" s="135"/>
      <c r="Y1190" s="135"/>
      <c r="Z1190" s="135" t="s">
        <v>2858</v>
      </c>
      <c r="AA1190" s="135"/>
      <c r="AB1190" s="135"/>
      <c r="AC1190" s="135"/>
      <c r="AD1190" s="135">
        <v>46135.0</v>
      </c>
      <c r="AE1190" s="135"/>
      <c r="AF1190" s="135"/>
      <c r="AG1190" s="135"/>
    </row>
    <row r="1191" ht="21.75" hidden="1" customHeight="1">
      <c r="A1191" s="135">
        <v>1187.0</v>
      </c>
      <c r="B1191" s="135">
        <v>25045.0</v>
      </c>
      <c r="C1191" s="135"/>
      <c r="D1191" s="135">
        <v>29.0</v>
      </c>
      <c r="E1191" s="135" t="s">
        <v>3513</v>
      </c>
      <c r="F1191" s="135" t="s">
        <v>957</v>
      </c>
      <c r="G1191" s="135" t="s">
        <v>158</v>
      </c>
      <c r="H1191" s="135" t="s">
        <v>2853</v>
      </c>
      <c r="I1191" s="135" t="s">
        <v>172</v>
      </c>
      <c r="J1191" s="135">
        <v>1.0</v>
      </c>
      <c r="K1191" s="135" t="s">
        <v>3134</v>
      </c>
      <c r="L1191" s="135">
        <v>4596.0</v>
      </c>
      <c r="M1191" s="135">
        <v>3100.0</v>
      </c>
      <c r="N1191" s="135">
        <v>120.0</v>
      </c>
      <c r="O1191" s="135">
        <v>1.951</v>
      </c>
      <c r="P1191" s="136">
        <v>0.0</v>
      </c>
      <c r="Q1191" s="137">
        <v>4.8775</v>
      </c>
      <c r="R1191" s="136">
        <v>46120.0</v>
      </c>
      <c r="S1191" s="135" t="s">
        <v>3528</v>
      </c>
      <c r="T1191" s="136"/>
      <c r="U1191" s="135" t="s">
        <v>2855</v>
      </c>
      <c r="V1191" s="135" t="s">
        <v>2876</v>
      </c>
      <c r="W1191" s="135" t="s">
        <v>3658</v>
      </c>
      <c r="X1191" s="135"/>
      <c r="Y1191" s="135"/>
      <c r="Z1191" s="135" t="s">
        <v>2858</v>
      </c>
      <c r="AA1191" s="135"/>
      <c r="AB1191" s="135"/>
      <c r="AC1191" s="135"/>
      <c r="AD1191" s="135">
        <v>46136.0</v>
      </c>
      <c r="AE1191" s="135"/>
      <c r="AF1191" s="135"/>
      <c r="AG1191" s="135"/>
    </row>
    <row r="1192" ht="21.75" hidden="1" customHeight="1">
      <c r="A1192" s="135">
        <v>1188.0</v>
      </c>
      <c r="B1192" s="135">
        <v>25045.0</v>
      </c>
      <c r="C1192" s="135"/>
      <c r="D1192" s="135">
        <v>29.0</v>
      </c>
      <c r="E1192" s="135" t="s">
        <v>3513</v>
      </c>
      <c r="F1192" s="135" t="s">
        <v>958</v>
      </c>
      <c r="G1192" s="135" t="s">
        <v>158</v>
      </c>
      <c r="H1192" s="135" t="s">
        <v>2853</v>
      </c>
      <c r="I1192" s="135" t="s">
        <v>172</v>
      </c>
      <c r="J1192" s="135">
        <v>1.0</v>
      </c>
      <c r="K1192" s="135" t="s">
        <v>3134</v>
      </c>
      <c r="L1192" s="135">
        <v>4596.0</v>
      </c>
      <c r="M1192" s="135">
        <v>3100.0</v>
      </c>
      <c r="N1192" s="135">
        <v>120.0</v>
      </c>
      <c r="O1192" s="135">
        <v>1.951</v>
      </c>
      <c r="P1192" s="136">
        <v>0.0</v>
      </c>
      <c r="Q1192" s="137">
        <v>4.8775</v>
      </c>
      <c r="R1192" s="136">
        <v>46120.0</v>
      </c>
      <c r="S1192" s="135" t="s">
        <v>3528</v>
      </c>
      <c r="T1192" s="136"/>
      <c r="U1192" s="135" t="s">
        <v>2855</v>
      </c>
      <c r="V1192" s="135" t="s">
        <v>2876</v>
      </c>
      <c r="W1192" s="135" t="s">
        <v>3658</v>
      </c>
      <c r="X1192" s="135"/>
      <c r="Y1192" s="135"/>
      <c r="Z1192" s="135" t="s">
        <v>2858</v>
      </c>
      <c r="AA1192" s="135"/>
      <c r="AB1192" s="135"/>
      <c r="AC1192" s="135"/>
      <c r="AD1192" s="135">
        <v>46137.0</v>
      </c>
      <c r="AE1192" s="135"/>
      <c r="AF1192" s="135"/>
      <c r="AG1192" s="135"/>
    </row>
    <row r="1193" ht="21.75" hidden="1" customHeight="1">
      <c r="A1193" s="135">
        <v>1189.0</v>
      </c>
      <c r="B1193" s="135">
        <v>25045.0</v>
      </c>
      <c r="C1193" s="135"/>
      <c r="D1193" s="135">
        <v>29.0</v>
      </c>
      <c r="E1193" s="135" t="s">
        <v>3513</v>
      </c>
      <c r="F1193" s="135" t="s">
        <v>959</v>
      </c>
      <c r="G1193" s="135" t="s">
        <v>158</v>
      </c>
      <c r="H1193" s="135" t="s">
        <v>2853</v>
      </c>
      <c r="I1193" s="135" t="s">
        <v>172</v>
      </c>
      <c r="J1193" s="135">
        <v>1.0</v>
      </c>
      <c r="K1193" s="135"/>
      <c r="L1193" s="135">
        <v>4598.0</v>
      </c>
      <c r="M1193" s="135">
        <v>3100.0</v>
      </c>
      <c r="N1193" s="135">
        <v>120.0</v>
      </c>
      <c r="O1193" s="135">
        <v>1.613</v>
      </c>
      <c r="P1193" s="136">
        <v>0.0</v>
      </c>
      <c r="Q1193" s="137">
        <v>4.0325</v>
      </c>
      <c r="R1193" s="136">
        <v>46120.0</v>
      </c>
      <c r="S1193" s="135" t="s">
        <v>3528</v>
      </c>
      <c r="T1193" s="136"/>
      <c r="U1193" s="135" t="s">
        <v>2864</v>
      </c>
      <c r="V1193" s="135" t="s">
        <v>2985</v>
      </c>
      <c r="W1193" s="135" t="s">
        <v>3659</v>
      </c>
      <c r="X1193" s="135" t="s">
        <v>2895</v>
      </c>
      <c r="Y1193" s="135"/>
      <c r="Z1193" s="135" t="s">
        <v>2858</v>
      </c>
      <c r="AA1193" s="135"/>
      <c r="AB1193" s="135"/>
      <c r="AC1193" s="135"/>
      <c r="AD1193" s="135">
        <v>0.0</v>
      </c>
      <c r="AE1193" s="135"/>
      <c r="AF1193" s="135"/>
      <c r="AG1193" s="135"/>
    </row>
    <row r="1194" ht="21.75" hidden="1" customHeight="1">
      <c r="A1194" s="135">
        <v>1190.0</v>
      </c>
      <c r="B1194" s="135">
        <v>25045.0</v>
      </c>
      <c r="C1194" s="135"/>
      <c r="D1194" s="135">
        <v>29.0</v>
      </c>
      <c r="E1194" s="135" t="s">
        <v>3519</v>
      </c>
      <c r="F1194" s="135" t="s">
        <v>779</v>
      </c>
      <c r="G1194" s="135" t="s">
        <v>158</v>
      </c>
      <c r="H1194" s="135" t="s">
        <v>2853</v>
      </c>
      <c r="I1194" s="135" t="s">
        <v>162</v>
      </c>
      <c r="J1194" s="135">
        <v>1.0</v>
      </c>
      <c r="K1194" s="135"/>
      <c r="L1194" s="135">
        <v>3980.0</v>
      </c>
      <c r="M1194" s="135">
        <v>3250.0</v>
      </c>
      <c r="N1194" s="135">
        <v>300.0</v>
      </c>
      <c r="O1194" s="135">
        <v>2.374</v>
      </c>
      <c r="P1194" s="136">
        <v>0.0</v>
      </c>
      <c r="Q1194" s="137">
        <v>5.9350000000000005</v>
      </c>
      <c r="R1194" s="136">
        <v>46127.0</v>
      </c>
      <c r="S1194" s="135" t="s">
        <v>3514</v>
      </c>
      <c r="T1194" s="136"/>
      <c r="U1194" s="135" t="s">
        <v>2864</v>
      </c>
      <c r="V1194" s="135" t="s">
        <v>3270</v>
      </c>
      <c r="W1194" s="135"/>
      <c r="X1194" s="135"/>
      <c r="Y1194" s="135" t="s">
        <v>2886</v>
      </c>
      <c r="Z1194" s="135" t="s">
        <v>2858</v>
      </c>
      <c r="AA1194" s="135"/>
      <c r="AB1194" s="135"/>
      <c r="AC1194" s="135"/>
      <c r="AD1194" s="135">
        <v>46136.0</v>
      </c>
      <c r="AE1194" s="135"/>
      <c r="AF1194" s="135"/>
      <c r="AG1194" s="135"/>
    </row>
    <row r="1195" ht="21.75" hidden="1" customHeight="1">
      <c r="A1195" s="135">
        <v>1191.0</v>
      </c>
      <c r="B1195" s="135">
        <v>25045.0</v>
      </c>
      <c r="C1195" s="135"/>
      <c r="D1195" s="135">
        <v>29.0</v>
      </c>
      <c r="E1195" s="135" t="s">
        <v>3527</v>
      </c>
      <c r="F1195" s="135" t="s">
        <v>751</v>
      </c>
      <c r="G1195" s="135" t="s">
        <v>158</v>
      </c>
      <c r="H1195" s="135" t="s">
        <v>2853</v>
      </c>
      <c r="I1195" s="135" t="s">
        <v>161</v>
      </c>
      <c r="J1195" s="135">
        <v>1.0</v>
      </c>
      <c r="K1195" s="135"/>
      <c r="L1195" s="135">
        <v>4505.0</v>
      </c>
      <c r="M1195" s="135">
        <v>3250.0</v>
      </c>
      <c r="N1195" s="135">
        <v>300.0</v>
      </c>
      <c r="O1195" s="135">
        <v>2.928</v>
      </c>
      <c r="P1195" s="136">
        <v>0.0</v>
      </c>
      <c r="Q1195" s="137">
        <v>7.32</v>
      </c>
      <c r="R1195" s="136">
        <v>46127.0</v>
      </c>
      <c r="S1195" s="135" t="s">
        <v>3514</v>
      </c>
      <c r="T1195" s="136"/>
      <c r="U1195" s="135" t="s">
        <v>2864</v>
      </c>
      <c r="V1195" s="135" t="s">
        <v>2890</v>
      </c>
      <c r="W1195" s="135"/>
      <c r="X1195" s="135"/>
      <c r="Y1195" s="135" t="s">
        <v>2886</v>
      </c>
      <c r="Z1195" s="135" t="s">
        <v>2858</v>
      </c>
      <c r="AA1195" s="135"/>
      <c r="AB1195" s="135"/>
      <c r="AC1195" s="135"/>
      <c r="AD1195" s="135">
        <v>46139.0</v>
      </c>
      <c r="AE1195" s="135"/>
      <c r="AF1195" s="135"/>
      <c r="AG1195" s="135"/>
    </row>
    <row r="1196" ht="21.75" hidden="1" customHeight="1">
      <c r="A1196" s="135">
        <v>1192.0</v>
      </c>
      <c r="B1196" s="135">
        <v>25045.0</v>
      </c>
      <c r="C1196" s="135"/>
      <c r="D1196" s="135">
        <v>29.0</v>
      </c>
      <c r="E1196" s="135" t="s">
        <v>3527</v>
      </c>
      <c r="F1196" s="135" t="s">
        <v>752</v>
      </c>
      <c r="G1196" s="135" t="s">
        <v>158</v>
      </c>
      <c r="H1196" s="135" t="s">
        <v>2853</v>
      </c>
      <c r="I1196" s="135" t="s">
        <v>161</v>
      </c>
      <c r="J1196" s="135">
        <v>1.0</v>
      </c>
      <c r="K1196" s="135" t="s">
        <v>3134</v>
      </c>
      <c r="L1196" s="135">
        <v>5015.0</v>
      </c>
      <c r="M1196" s="135">
        <v>2800.0</v>
      </c>
      <c r="N1196" s="135">
        <v>120.0</v>
      </c>
      <c r="O1196" s="135">
        <v>1.885</v>
      </c>
      <c r="P1196" s="136">
        <v>0.0</v>
      </c>
      <c r="Q1196" s="137">
        <v>4.7125</v>
      </c>
      <c r="R1196" s="136">
        <v>46120.0</v>
      </c>
      <c r="S1196" s="135" t="s">
        <v>3528</v>
      </c>
      <c r="T1196" s="136"/>
      <c r="U1196" s="135" t="s">
        <v>2855</v>
      </c>
      <c r="V1196" s="135" t="s">
        <v>2876</v>
      </c>
      <c r="W1196" s="135" t="s">
        <v>3004</v>
      </c>
      <c r="X1196" s="135"/>
      <c r="Y1196" s="135"/>
      <c r="Z1196" s="135" t="s">
        <v>2858</v>
      </c>
      <c r="AA1196" s="135"/>
      <c r="AB1196" s="135"/>
      <c r="AC1196" s="135"/>
      <c r="AD1196" s="135">
        <v>46141.0</v>
      </c>
      <c r="AE1196" s="135"/>
      <c r="AF1196" s="135"/>
      <c r="AG1196" s="135"/>
    </row>
    <row r="1197" ht="21.75" hidden="1" customHeight="1">
      <c r="A1197" s="135">
        <v>1193.0</v>
      </c>
      <c r="B1197" s="135">
        <v>25045.0</v>
      </c>
      <c r="C1197" s="135"/>
      <c r="D1197" s="135">
        <v>29.0</v>
      </c>
      <c r="E1197" s="135" t="s">
        <v>3519</v>
      </c>
      <c r="F1197" s="135" t="s">
        <v>780</v>
      </c>
      <c r="G1197" s="135" t="s">
        <v>158</v>
      </c>
      <c r="H1197" s="135" t="s">
        <v>2853</v>
      </c>
      <c r="I1197" s="135" t="s">
        <v>162</v>
      </c>
      <c r="J1197" s="135">
        <v>1.0</v>
      </c>
      <c r="K1197" s="135" t="s">
        <v>3134</v>
      </c>
      <c r="L1197" s="135">
        <v>5015.0</v>
      </c>
      <c r="M1197" s="135">
        <v>2800.0</v>
      </c>
      <c r="N1197" s="135">
        <v>120.0</v>
      </c>
      <c r="O1197" s="135">
        <v>1.885</v>
      </c>
      <c r="P1197" s="136">
        <v>0.0</v>
      </c>
      <c r="Q1197" s="137">
        <v>4.7125</v>
      </c>
      <c r="R1197" s="136">
        <v>46120.0</v>
      </c>
      <c r="S1197" s="135" t="s">
        <v>3528</v>
      </c>
      <c r="T1197" s="136"/>
      <c r="U1197" s="135" t="s">
        <v>2855</v>
      </c>
      <c r="V1197" s="135" t="s">
        <v>2876</v>
      </c>
      <c r="W1197" s="135" t="s">
        <v>3004</v>
      </c>
      <c r="X1197" s="135"/>
      <c r="Y1197" s="135"/>
      <c r="Z1197" s="135" t="s">
        <v>2858</v>
      </c>
      <c r="AA1197" s="135"/>
      <c r="AB1197" s="135"/>
      <c r="AC1197" s="135"/>
      <c r="AD1197" s="135">
        <v>46156.0</v>
      </c>
      <c r="AE1197" s="135"/>
      <c r="AF1197" s="135"/>
      <c r="AG1197" s="135"/>
    </row>
    <row r="1198" ht="21.75" hidden="1" customHeight="1">
      <c r="A1198" s="135">
        <v>1194.0</v>
      </c>
      <c r="B1198" s="135">
        <v>25045.0</v>
      </c>
      <c r="C1198" s="135"/>
      <c r="D1198" s="135">
        <v>29.0</v>
      </c>
      <c r="E1198" s="135" t="s">
        <v>3527</v>
      </c>
      <c r="F1198" s="135" t="s">
        <v>753</v>
      </c>
      <c r="G1198" s="135" t="s">
        <v>158</v>
      </c>
      <c r="H1198" s="135" t="s">
        <v>2853</v>
      </c>
      <c r="I1198" s="135" t="s">
        <v>161</v>
      </c>
      <c r="J1198" s="135">
        <v>1.0</v>
      </c>
      <c r="K1198" s="135" t="s">
        <v>3134</v>
      </c>
      <c r="L1198" s="135">
        <v>4449.0</v>
      </c>
      <c r="M1198" s="135">
        <v>2800.0</v>
      </c>
      <c r="N1198" s="135">
        <v>120.0</v>
      </c>
      <c r="O1198" s="135">
        <v>1.75</v>
      </c>
      <c r="P1198" s="136">
        <v>0.0</v>
      </c>
      <c r="Q1198" s="137">
        <v>4.375</v>
      </c>
      <c r="R1198" s="136">
        <v>46120.0</v>
      </c>
      <c r="S1198" s="135" t="s">
        <v>3528</v>
      </c>
      <c r="T1198" s="136"/>
      <c r="U1198" s="135" t="s">
        <v>2855</v>
      </c>
      <c r="V1198" s="135" t="s">
        <v>2876</v>
      </c>
      <c r="W1198" s="135" t="s">
        <v>3660</v>
      </c>
      <c r="X1198" s="135"/>
      <c r="Y1198" s="135"/>
      <c r="Z1198" s="135" t="s">
        <v>2858</v>
      </c>
      <c r="AA1198" s="135"/>
      <c r="AB1198" s="135"/>
      <c r="AC1198" s="135"/>
      <c r="AD1198" s="135">
        <v>46130.0</v>
      </c>
      <c r="AE1198" s="135"/>
      <c r="AF1198" s="135"/>
      <c r="AG1198" s="135"/>
    </row>
    <row r="1199" ht="21.75" hidden="1" customHeight="1">
      <c r="A1199" s="135">
        <v>1195.0</v>
      </c>
      <c r="B1199" s="135">
        <v>25045.0</v>
      </c>
      <c r="C1199" s="135"/>
      <c r="D1199" s="135">
        <v>29.0</v>
      </c>
      <c r="E1199" s="135" t="s">
        <v>3527</v>
      </c>
      <c r="F1199" s="135" t="s">
        <v>754</v>
      </c>
      <c r="G1199" s="135" t="s">
        <v>158</v>
      </c>
      <c r="H1199" s="135" t="s">
        <v>2853</v>
      </c>
      <c r="I1199" s="135" t="s">
        <v>161</v>
      </c>
      <c r="J1199" s="135">
        <v>1.0</v>
      </c>
      <c r="K1199" s="135" t="s">
        <v>3134</v>
      </c>
      <c r="L1199" s="135">
        <v>4449.0</v>
      </c>
      <c r="M1199" s="135">
        <v>2800.0</v>
      </c>
      <c r="N1199" s="135">
        <v>120.0</v>
      </c>
      <c r="O1199" s="135">
        <v>1.75</v>
      </c>
      <c r="P1199" s="136">
        <v>0.0</v>
      </c>
      <c r="Q1199" s="137">
        <v>4.375</v>
      </c>
      <c r="R1199" s="136">
        <v>46120.0</v>
      </c>
      <c r="S1199" s="135" t="s">
        <v>3528</v>
      </c>
      <c r="T1199" s="136"/>
      <c r="U1199" s="135" t="s">
        <v>2855</v>
      </c>
      <c r="V1199" s="135" t="s">
        <v>2876</v>
      </c>
      <c r="W1199" s="135" t="s">
        <v>3660</v>
      </c>
      <c r="X1199" s="135"/>
      <c r="Y1199" s="135"/>
      <c r="Z1199" s="135" t="s">
        <v>2858</v>
      </c>
      <c r="AA1199" s="135"/>
      <c r="AB1199" s="135"/>
      <c r="AC1199" s="135"/>
      <c r="AD1199" s="135">
        <v>46132.0</v>
      </c>
      <c r="AE1199" s="135"/>
      <c r="AF1199" s="135"/>
      <c r="AG1199" s="135"/>
    </row>
    <row r="1200" ht="21.75" hidden="1" customHeight="1">
      <c r="A1200" s="135">
        <v>1196.0</v>
      </c>
      <c r="B1200" s="135">
        <v>25045.0</v>
      </c>
      <c r="C1200" s="135"/>
      <c r="D1200" s="135">
        <v>29.0</v>
      </c>
      <c r="E1200" s="135" t="s">
        <v>3527</v>
      </c>
      <c r="F1200" s="135" t="s">
        <v>755</v>
      </c>
      <c r="G1200" s="135" t="s">
        <v>158</v>
      </c>
      <c r="H1200" s="135" t="s">
        <v>2853</v>
      </c>
      <c r="I1200" s="135" t="s">
        <v>161</v>
      </c>
      <c r="J1200" s="135">
        <v>1.0</v>
      </c>
      <c r="K1200" s="135" t="s">
        <v>3134</v>
      </c>
      <c r="L1200" s="135">
        <v>4449.0</v>
      </c>
      <c r="M1200" s="135">
        <v>2800.0</v>
      </c>
      <c r="N1200" s="135">
        <v>120.0</v>
      </c>
      <c r="O1200" s="135">
        <v>1.75</v>
      </c>
      <c r="P1200" s="136">
        <v>0.0</v>
      </c>
      <c r="Q1200" s="137">
        <v>4.375</v>
      </c>
      <c r="R1200" s="136">
        <v>46120.0</v>
      </c>
      <c r="S1200" s="135" t="s">
        <v>3528</v>
      </c>
      <c r="T1200" s="136"/>
      <c r="U1200" s="135" t="s">
        <v>2855</v>
      </c>
      <c r="V1200" s="135" t="s">
        <v>2876</v>
      </c>
      <c r="W1200" s="135" t="s">
        <v>3660</v>
      </c>
      <c r="X1200" s="135"/>
      <c r="Y1200" s="135"/>
      <c r="Z1200" s="135" t="s">
        <v>2858</v>
      </c>
      <c r="AA1200" s="135"/>
      <c r="AB1200" s="135"/>
      <c r="AC1200" s="135"/>
      <c r="AD1200" s="135">
        <v>46133.0</v>
      </c>
      <c r="AE1200" s="135"/>
      <c r="AF1200" s="135"/>
      <c r="AG1200" s="135"/>
    </row>
    <row r="1201" ht="21.75" hidden="1" customHeight="1">
      <c r="A1201" s="135">
        <v>1197.0</v>
      </c>
      <c r="B1201" s="135">
        <v>25045.0</v>
      </c>
      <c r="C1201" s="135"/>
      <c r="D1201" s="135">
        <v>29.0</v>
      </c>
      <c r="E1201" s="135" t="s">
        <v>3527</v>
      </c>
      <c r="F1201" s="135" t="s">
        <v>756</v>
      </c>
      <c r="G1201" s="135" t="s">
        <v>158</v>
      </c>
      <c r="H1201" s="135" t="s">
        <v>2853</v>
      </c>
      <c r="I1201" s="135" t="s">
        <v>161</v>
      </c>
      <c r="J1201" s="135">
        <v>1.0</v>
      </c>
      <c r="K1201" s="135" t="s">
        <v>3134</v>
      </c>
      <c r="L1201" s="135">
        <v>4449.0</v>
      </c>
      <c r="M1201" s="135">
        <v>2800.0</v>
      </c>
      <c r="N1201" s="135">
        <v>120.0</v>
      </c>
      <c r="O1201" s="135">
        <v>1.75</v>
      </c>
      <c r="P1201" s="136">
        <v>0.0</v>
      </c>
      <c r="Q1201" s="137">
        <v>4.375</v>
      </c>
      <c r="R1201" s="136">
        <v>46120.0</v>
      </c>
      <c r="S1201" s="135" t="s">
        <v>3528</v>
      </c>
      <c r="T1201" s="136"/>
      <c r="U1201" s="135" t="s">
        <v>2855</v>
      </c>
      <c r="V1201" s="135" t="s">
        <v>2876</v>
      </c>
      <c r="W1201" s="135" t="s">
        <v>3660</v>
      </c>
      <c r="X1201" s="135"/>
      <c r="Y1201" s="135"/>
      <c r="Z1201" s="135" t="s">
        <v>2858</v>
      </c>
      <c r="AA1201" s="135"/>
      <c r="AB1201" s="135"/>
      <c r="AC1201" s="135"/>
      <c r="AD1201" s="135">
        <v>46134.0</v>
      </c>
      <c r="AE1201" s="135"/>
      <c r="AF1201" s="135"/>
      <c r="AG1201" s="135"/>
    </row>
    <row r="1202" ht="21.75" hidden="1" customHeight="1">
      <c r="A1202" s="135">
        <v>1198.0</v>
      </c>
      <c r="B1202" s="135">
        <v>25045.0</v>
      </c>
      <c r="C1202" s="135"/>
      <c r="D1202" s="135">
        <v>29.0</v>
      </c>
      <c r="E1202" s="135" t="s">
        <v>3527</v>
      </c>
      <c r="F1202" s="135" t="s">
        <v>757</v>
      </c>
      <c r="G1202" s="135" t="s">
        <v>158</v>
      </c>
      <c r="H1202" s="135" t="s">
        <v>2853</v>
      </c>
      <c r="I1202" s="135" t="s">
        <v>161</v>
      </c>
      <c r="J1202" s="135">
        <v>1.0</v>
      </c>
      <c r="K1202" s="135"/>
      <c r="L1202" s="135">
        <v>4449.0</v>
      </c>
      <c r="M1202" s="135">
        <v>2800.0</v>
      </c>
      <c r="N1202" s="135">
        <v>120.0</v>
      </c>
      <c r="O1202" s="135">
        <v>1.471</v>
      </c>
      <c r="P1202" s="136">
        <v>0.0</v>
      </c>
      <c r="Q1202" s="137">
        <v>3.6775</v>
      </c>
      <c r="R1202" s="136">
        <v>46120.0</v>
      </c>
      <c r="S1202" s="135" t="s">
        <v>3528</v>
      </c>
      <c r="T1202" s="136"/>
      <c r="U1202" s="135" t="s">
        <v>2864</v>
      </c>
      <c r="V1202" s="135" t="s">
        <v>2985</v>
      </c>
      <c r="W1202" s="135" t="s">
        <v>3661</v>
      </c>
      <c r="X1202" s="135" t="s">
        <v>3662</v>
      </c>
      <c r="Y1202" s="135"/>
      <c r="Z1202" s="135" t="s">
        <v>2858</v>
      </c>
      <c r="AA1202" s="135"/>
      <c r="AB1202" s="135"/>
      <c r="AC1202" s="135"/>
      <c r="AD1202" s="135">
        <v>0.0</v>
      </c>
      <c r="AE1202" s="135"/>
      <c r="AF1202" s="135"/>
      <c r="AG1202" s="135"/>
    </row>
    <row r="1203" ht="21.75" hidden="1" customHeight="1">
      <c r="A1203" s="135">
        <v>1199.0</v>
      </c>
      <c r="B1203" s="135">
        <v>25045.0</v>
      </c>
      <c r="C1203" s="135"/>
      <c r="D1203" s="135">
        <v>29.0</v>
      </c>
      <c r="E1203" s="135" t="s">
        <v>3519</v>
      </c>
      <c r="F1203" s="135" t="s">
        <v>781</v>
      </c>
      <c r="G1203" s="135" t="s">
        <v>158</v>
      </c>
      <c r="H1203" s="135" t="s">
        <v>2853</v>
      </c>
      <c r="I1203" s="135" t="s">
        <v>162</v>
      </c>
      <c r="J1203" s="135">
        <v>1.0</v>
      </c>
      <c r="K1203" s="135"/>
      <c r="L1203" s="135">
        <v>4992.0</v>
      </c>
      <c r="M1203" s="135">
        <v>3250.0</v>
      </c>
      <c r="N1203" s="135">
        <v>120.0</v>
      </c>
      <c r="O1203" s="135">
        <v>2.149</v>
      </c>
      <c r="P1203" s="136">
        <v>0.0</v>
      </c>
      <c r="Q1203" s="137">
        <v>5.3725000000000005</v>
      </c>
      <c r="R1203" s="136">
        <v>46120.0</v>
      </c>
      <c r="S1203" s="135" t="s">
        <v>3528</v>
      </c>
      <c r="T1203" s="136"/>
      <c r="U1203" s="135" t="s">
        <v>2855</v>
      </c>
      <c r="V1203" s="135" t="s">
        <v>2876</v>
      </c>
      <c r="W1203" s="135" t="s">
        <v>3663</v>
      </c>
      <c r="X1203" s="135"/>
      <c r="Y1203" s="135"/>
      <c r="Z1203" s="135" t="s">
        <v>2858</v>
      </c>
      <c r="AA1203" s="135"/>
      <c r="AB1203" s="135"/>
      <c r="AC1203" s="135"/>
      <c r="AD1203" s="135">
        <v>46136.0</v>
      </c>
      <c r="AE1203" s="135"/>
      <c r="AF1203" s="135"/>
      <c r="AG1203" s="135"/>
    </row>
    <row r="1204" ht="21.75" hidden="1" customHeight="1">
      <c r="A1204" s="135">
        <v>1200.0</v>
      </c>
      <c r="B1204" s="135">
        <v>25045.0</v>
      </c>
      <c r="C1204" s="135"/>
      <c r="D1204" s="135">
        <v>29.0</v>
      </c>
      <c r="E1204" s="135" t="s">
        <v>3519</v>
      </c>
      <c r="F1204" s="135" t="s">
        <v>782</v>
      </c>
      <c r="G1204" s="135" t="s">
        <v>158</v>
      </c>
      <c r="H1204" s="135" t="s">
        <v>2853</v>
      </c>
      <c r="I1204" s="135" t="s">
        <v>162</v>
      </c>
      <c r="J1204" s="135">
        <v>1.0</v>
      </c>
      <c r="K1204" s="135" t="s">
        <v>3134</v>
      </c>
      <c r="L1204" s="135">
        <v>4992.0</v>
      </c>
      <c r="M1204" s="135">
        <v>2800.0</v>
      </c>
      <c r="N1204" s="135">
        <v>120.0</v>
      </c>
      <c r="O1204" s="135">
        <v>1.88</v>
      </c>
      <c r="P1204" s="136">
        <v>0.0</v>
      </c>
      <c r="Q1204" s="137">
        <v>4.699999999999999</v>
      </c>
      <c r="R1204" s="136">
        <v>46120.0</v>
      </c>
      <c r="S1204" s="135" t="s">
        <v>3528</v>
      </c>
      <c r="T1204" s="136"/>
      <c r="U1204" s="135" t="s">
        <v>2855</v>
      </c>
      <c r="V1204" s="135" t="s">
        <v>2876</v>
      </c>
      <c r="W1204" s="135" t="s">
        <v>3663</v>
      </c>
      <c r="X1204" s="135"/>
      <c r="Y1204" s="135"/>
      <c r="Z1204" s="135" t="s">
        <v>2858</v>
      </c>
      <c r="AA1204" s="135"/>
      <c r="AB1204" s="135"/>
      <c r="AC1204" s="135"/>
      <c r="AD1204" s="135">
        <v>46129.0</v>
      </c>
      <c r="AE1204" s="135"/>
      <c r="AF1204" s="135"/>
      <c r="AG1204" s="135"/>
    </row>
    <row r="1205" ht="21.75" hidden="1" customHeight="1">
      <c r="A1205" s="135">
        <v>1201.0</v>
      </c>
      <c r="B1205" s="135">
        <v>25045.0</v>
      </c>
      <c r="C1205" s="135"/>
      <c r="D1205" s="135">
        <v>29.0</v>
      </c>
      <c r="E1205" s="135" t="s">
        <v>3519</v>
      </c>
      <c r="F1205" s="135" t="s">
        <v>783</v>
      </c>
      <c r="G1205" s="135" t="s">
        <v>158</v>
      </c>
      <c r="H1205" s="135" t="s">
        <v>2853</v>
      </c>
      <c r="I1205" s="135" t="s">
        <v>162</v>
      </c>
      <c r="J1205" s="135">
        <v>1.0</v>
      </c>
      <c r="K1205" s="135" t="s">
        <v>3134</v>
      </c>
      <c r="L1205" s="135">
        <v>4992.0</v>
      </c>
      <c r="M1205" s="135">
        <v>2800.0</v>
      </c>
      <c r="N1205" s="135">
        <v>120.0</v>
      </c>
      <c r="O1205" s="135">
        <v>1.88</v>
      </c>
      <c r="P1205" s="136">
        <v>0.0</v>
      </c>
      <c r="Q1205" s="137">
        <v>4.699999999999999</v>
      </c>
      <c r="R1205" s="136">
        <v>46120.0</v>
      </c>
      <c r="S1205" s="135" t="s">
        <v>3528</v>
      </c>
      <c r="T1205" s="136"/>
      <c r="U1205" s="135" t="s">
        <v>2855</v>
      </c>
      <c r="V1205" s="135" t="s">
        <v>2876</v>
      </c>
      <c r="W1205" s="135" t="s">
        <v>3663</v>
      </c>
      <c r="X1205" s="135"/>
      <c r="Y1205" s="135"/>
      <c r="Z1205" s="135" t="s">
        <v>2858</v>
      </c>
      <c r="AA1205" s="135"/>
      <c r="AB1205" s="135"/>
      <c r="AC1205" s="135"/>
      <c r="AD1205" s="135">
        <v>46130.0</v>
      </c>
      <c r="AE1205" s="135"/>
      <c r="AF1205" s="135"/>
      <c r="AG1205" s="135"/>
    </row>
    <row r="1206" ht="21.75" hidden="1" customHeight="1">
      <c r="A1206" s="135">
        <v>1202.0</v>
      </c>
      <c r="B1206" s="135">
        <v>25045.0</v>
      </c>
      <c r="C1206" s="135"/>
      <c r="D1206" s="135">
        <v>29.0</v>
      </c>
      <c r="E1206" s="135" t="s">
        <v>3519</v>
      </c>
      <c r="F1206" s="135" t="s">
        <v>784</v>
      </c>
      <c r="G1206" s="135" t="s">
        <v>158</v>
      </c>
      <c r="H1206" s="135" t="s">
        <v>2853</v>
      </c>
      <c r="I1206" s="135" t="s">
        <v>162</v>
      </c>
      <c r="J1206" s="135">
        <v>1.0</v>
      </c>
      <c r="K1206" s="135" t="s">
        <v>3134</v>
      </c>
      <c r="L1206" s="135">
        <v>4992.0</v>
      </c>
      <c r="M1206" s="135">
        <v>2800.0</v>
      </c>
      <c r="N1206" s="135">
        <v>120.0</v>
      </c>
      <c r="O1206" s="135">
        <v>1.88</v>
      </c>
      <c r="P1206" s="136">
        <v>0.0</v>
      </c>
      <c r="Q1206" s="137">
        <v>4.699999999999999</v>
      </c>
      <c r="R1206" s="136">
        <v>46120.0</v>
      </c>
      <c r="S1206" s="135" t="s">
        <v>3528</v>
      </c>
      <c r="T1206" s="136"/>
      <c r="U1206" s="135" t="s">
        <v>2855</v>
      </c>
      <c r="V1206" s="135" t="s">
        <v>2876</v>
      </c>
      <c r="W1206" s="135" t="s">
        <v>3663</v>
      </c>
      <c r="X1206" s="135"/>
      <c r="Y1206" s="135"/>
      <c r="Z1206" s="135" t="s">
        <v>2858</v>
      </c>
      <c r="AA1206" s="135"/>
      <c r="AB1206" s="135"/>
      <c r="AC1206" s="135"/>
      <c r="AD1206" s="135">
        <v>46132.0</v>
      </c>
      <c r="AE1206" s="135"/>
      <c r="AF1206" s="135"/>
      <c r="AG1206" s="135"/>
    </row>
    <row r="1207" ht="21.75" hidden="1" customHeight="1">
      <c r="A1207" s="135">
        <v>1203.0</v>
      </c>
      <c r="B1207" s="135">
        <v>25045.0</v>
      </c>
      <c r="C1207" s="135"/>
      <c r="D1207" s="135">
        <v>29.0</v>
      </c>
      <c r="E1207" s="135" t="s">
        <v>3519</v>
      </c>
      <c r="F1207" s="135" t="s">
        <v>785</v>
      </c>
      <c r="G1207" s="135" t="s">
        <v>158</v>
      </c>
      <c r="H1207" s="135" t="s">
        <v>2853</v>
      </c>
      <c r="I1207" s="135" t="s">
        <v>162</v>
      </c>
      <c r="J1207" s="135">
        <v>1.0</v>
      </c>
      <c r="K1207" s="135" t="s">
        <v>3134</v>
      </c>
      <c r="L1207" s="135">
        <v>4992.0</v>
      </c>
      <c r="M1207" s="135">
        <v>2800.0</v>
      </c>
      <c r="N1207" s="135">
        <v>120.0</v>
      </c>
      <c r="O1207" s="135">
        <v>1.88</v>
      </c>
      <c r="P1207" s="136">
        <v>0.0</v>
      </c>
      <c r="Q1207" s="137">
        <v>4.699999999999999</v>
      </c>
      <c r="R1207" s="136">
        <v>46120.0</v>
      </c>
      <c r="S1207" s="135" t="s">
        <v>3528</v>
      </c>
      <c r="T1207" s="136"/>
      <c r="U1207" s="135" t="s">
        <v>2855</v>
      </c>
      <c r="V1207" s="135" t="s">
        <v>2876</v>
      </c>
      <c r="W1207" s="135" t="s">
        <v>3663</v>
      </c>
      <c r="X1207" s="135"/>
      <c r="Y1207" s="135"/>
      <c r="Z1207" s="135" t="s">
        <v>2858</v>
      </c>
      <c r="AA1207" s="135"/>
      <c r="AB1207" s="135"/>
      <c r="AC1207" s="135"/>
      <c r="AD1207" s="135">
        <v>46133.0</v>
      </c>
      <c r="AE1207" s="135"/>
      <c r="AF1207" s="135"/>
      <c r="AG1207" s="135"/>
    </row>
    <row r="1208" ht="21.75" hidden="1" customHeight="1">
      <c r="A1208" s="135">
        <v>1204.0</v>
      </c>
      <c r="B1208" s="135">
        <v>25045.0</v>
      </c>
      <c r="C1208" s="135"/>
      <c r="D1208" s="135">
        <v>29.0</v>
      </c>
      <c r="E1208" s="135" t="s">
        <v>3519</v>
      </c>
      <c r="F1208" s="135" t="s">
        <v>786</v>
      </c>
      <c r="G1208" s="135" t="s">
        <v>158</v>
      </c>
      <c r="H1208" s="135" t="s">
        <v>2853</v>
      </c>
      <c r="I1208" s="135" t="s">
        <v>162</v>
      </c>
      <c r="J1208" s="135">
        <v>1.0</v>
      </c>
      <c r="K1208" s="135" t="s">
        <v>3134</v>
      </c>
      <c r="L1208" s="135">
        <v>4992.0</v>
      </c>
      <c r="M1208" s="135">
        <v>2800.0</v>
      </c>
      <c r="N1208" s="135">
        <v>120.0</v>
      </c>
      <c r="O1208" s="135">
        <v>1.88</v>
      </c>
      <c r="P1208" s="136">
        <v>0.0</v>
      </c>
      <c r="Q1208" s="137">
        <v>4.699999999999999</v>
      </c>
      <c r="R1208" s="136">
        <v>46120.0</v>
      </c>
      <c r="S1208" s="135" t="s">
        <v>3528</v>
      </c>
      <c r="T1208" s="136"/>
      <c r="U1208" s="135" t="s">
        <v>2855</v>
      </c>
      <c r="V1208" s="135" t="s">
        <v>2876</v>
      </c>
      <c r="W1208" s="135" t="s">
        <v>3663</v>
      </c>
      <c r="X1208" s="135"/>
      <c r="Y1208" s="135"/>
      <c r="Z1208" s="135" t="s">
        <v>2858</v>
      </c>
      <c r="AA1208" s="135"/>
      <c r="AB1208" s="135"/>
      <c r="AC1208" s="135"/>
      <c r="AD1208" s="135">
        <v>46134.0</v>
      </c>
      <c r="AE1208" s="135"/>
      <c r="AF1208" s="135"/>
      <c r="AG1208" s="135"/>
    </row>
    <row r="1209" ht="21.75" hidden="1" customHeight="1">
      <c r="A1209" s="135">
        <v>1205.0</v>
      </c>
      <c r="B1209" s="135">
        <v>25045.0</v>
      </c>
      <c r="C1209" s="135"/>
      <c r="D1209" s="135">
        <v>29.0</v>
      </c>
      <c r="E1209" s="135" t="s">
        <v>3519</v>
      </c>
      <c r="F1209" s="135" t="s">
        <v>787</v>
      </c>
      <c r="G1209" s="135" t="s">
        <v>158</v>
      </c>
      <c r="H1209" s="135" t="s">
        <v>2853</v>
      </c>
      <c r="I1209" s="135" t="s">
        <v>162</v>
      </c>
      <c r="J1209" s="135">
        <v>1.0</v>
      </c>
      <c r="K1209" s="135"/>
      <c r="L1209" s="135">
        <v>4992.0</v>
      </c>
      <c r="M1209" s="135">
        <v>2800.0</v>
      </c>
      <c r="N1209" s="135">
        <v>120.0</v>
      </c>
      <c r="O1209" s="135">
        <v>1.611</v>
      </c>
      <c r="P1209" s="136">
        <v>0.0</v>
      </c>
      <c r="Q1209" s="137">
        <v>4.0275</v>
      </c>
      <c r="R1209" s="136">
        <v>46120.0</v>
      </c>
      <c r="S1209" s="135" t="s">
        <v>3528</v>
      </c>
      <c r="T1209" s="136"/>
      <c r="U1209" s="135" t="s">
        <v>2864</v>
      </c>
      <c r="V1209" s="135" t="s">
        <v>2985</v>
      </c>
      <c r="W1209" s="135" t="s">
        <v>3664</v>
      </c>
      <c r="X1209" s="135" t="s">
        <v>2895</v>
      </c>
      <c r="Y1209" s="135"/>
      <c r="Z1209" s="135" t="s">
        <v>2858</v>
      </c>
      <c r="AA1209" s="135"/>
      <c r="AB1209" s="135"/>
      <c r="AC1209" s="135"/>
      <c r="AD1209" s="135">
        <v>0.0</v>
      </c>
      <c r="AE1209" s="135"/>
      <c r="AF1209" s="135"/>
      <c r="AG1209" s="135"/>
    </row>
    <row r="1210" ht="21.75" hidden="1" customHeight="1">
      <c r="A1210" s="135">
        <v>1206.0</v>
      </c>
      <c r="B1210" s="135">
        <v>25045.0</v>
      </c>
      <c r="C1210" s="135"/>
      <c r="D1210" s="135">
        <v>29.0</v>
      </c>
      <c r="E1210" s="135" t="s">
        <v>3520</v>
      </c>
      <c r="F1210" s="135" t="s">
        <v>809</v>
      </c>
      <c r="G1210" s="135" t="s">
        <v>158</v>
      </c>
      <c r="H1210" s="135" t="s">
        <v>2853</v>
      </c>
      <c r="I1210" s="135" t="s">
        <v>163</v>
      </c>
      <c r="J1210" s="135">
        <v>1.0</v>
      </c>
      <c r="K1210" s="135" t="s">
        <v>3134</v>
      </c>
      <c r="L1210" s="135">
        <v>4921.0</v>
      </c>
      <c r="M1210" s="135">
        <v>2800.0</v>
      </c>
      <c r="N1210" s="135">
        <v>120.0</v>
      </c>
      <c r="O1210" s="135">
        <v>1.863</v>
      </c>
      <c r="P1210" s="136">
        <v>0.0</v>
      </c>
      <c r="Q1210" s="137">
        <v>4.6575</v>
      </c>
      <c r="R1210" s="136">
        <v>46120.0</v>
      </c>
      <c r="S1210" s="135" t="s">
        <v>3528</v>
      </c>
      <c r="T1210" s="136"/>
      <c r="U1210" s="135" t="s">
        <v>2855</v>
      </c>
      <c r="V1210" s="135" t="s">
        <v>2876</v>
      </c>
      <c r="W1210" s="135" t="s">
        <v>3550</v>
      </c>
      <c r="X1210" s="135"/>
      <c r="Y1210" s="135"/>
      <c r="Z1210" s="135" t="s">
        <v>2858</v>
      </c>
      <c r="AA1210" s="135"/>
      <c r="AB1210" s="135"/>
      <c r="AC1210" s="135"/>
      <c r="AD1210" s="135">
        <v>46129.0</v>
      </c>
      <c r="AE1210" s="135"/>
      <c r="AF1210" s="135"/>
      <c r="AG1210" s="135"/>
    </row>
    <row r="1211" ht="21.75" hidden="1" customHeight="1">
      <c r="A1211" s="135">
        <v>1207.0</v>
      </c>
      <c r="B1211" s="135">
        <v>25045.0</v>
      </c>
      <c r="C1211" s="135"/>
      <c r="D1211" s="135">
        <v>29.0</v>
      </c>
      <c r="E1211" s="135" t="s">
        <v>3520</v>
      </c>
      <c r="F1211" s="135" t="s">
        <v>810</v>
      </c>
      <c r="G1211" s="135" t="s">
        <v>158</v>
      </c>
      <c r="H1211" s="135" t="s">
        <v>2853</v>
      </c>
      <c r="I1211" s="135" t="s">
        <v>163</v>
      </c>
      <c r="J1211" s="135">
        <v>1.0</v>
      </c>
      <c r="K1211" s="135" t="s">
        <v>3134</v>
      </c>
      <c r="L1211" s="135">
        <v>4921.0</v>
      </c>
      <c r="M1211" s="135">
        <v>2800.0</v>
      </c>
      <c r="N1211" s="135">
        <v>120.0</v>
      </c>
      <c r="O1211" s="135">
        <v>1.863</v>
      </c>
      <c r="P1211" s="136">
        <v>0.0</v>
      </c>
      <c r="Q1211" s="137">
        <v>4.6575</v>
      </c>
      <c r="R1211" s="136">
        <v>46120.0</v>
      </c>
      <c r="S1211" s="135" t="s">
        <v>3528</v>
      </c>
      <c r="T1211" s="136"/>
      <c r="U1211" s="135" t="s">
        <v>2855</v>
      </c>
      <c r="V1211" s="135" t="s">
        <v>2876</v>
      </c>
      <c r="W1211" s="135" t="s">
        <v>3550</v>
      </c>
      <c r="X1211" s="135"/>
      <c r="Y1211" s="135"/>
      <c r="Z1211" s="135" t="s">
        <v>2858</v>
      </c>
      <c r="AA1211" s="135"/>
      <c r="AB1211" s="135"/>
      <c r="AC1211" s="135"/>
      <c r="AD1211" s="135">
        <v>46130.0</v>
      </c>
      <c r="AE1211" s="135"/>
      <c r="AF1211" s="135"/>
      <c r="AG1211" s="135"/>
    </row>
    <row r="1212" ht="21.75" hidden="1" customHeight="1">
      <c r="A1212" s="135">
        <v>1208.0</v>
      </c>
      <c r="B1212" s="135">
        <v>25045.0</v>
      </c>
      <c r="C1212" s="135"/>
      <c r="D1212" s="135">
        <v>29.0</v>
      </c>
      <c r="E1212" s="135" t="s">
        <v>3520</v>
      </c>
      <c r="F1212" s="135" t="s">
        <v>811</v>
      </c>
      <c r="G1212" s="135" t="s">
        <v>158</v>
      </c>
      <c r="H1212" s="135" t="s">
        <v>2853</v>
      </c>
      <c r="I1212" s="135" t="s">
        <v>163</v>
      </c>
      <c r="J1212" s="135">
        <v>1.0</v>
      </c>
      <c r="K1212" s="135" t="s">
        <v>3134</v>
      </c>
      <c r="L1212" s="135">
        <v>4921.0</v>
      </c>
      <c r="M1212" s="135">
        <v>2800.0</v>
      </c>
      <c r="N1212" s="135">
        <v>120.0</v>
      </c>
      <c r="O1212" s="135">
        <v>1.863</v>
      </c>
      <c r="P1212" s="136">
        <v>0.0</v>
      </c>
      <c r="Q1212" s="137">
        <v>4.6575</v>
      </c>
      <c r="R1212" s="136">
        <v>46120.0</v>
      </c>
      <c r="S1212" s="135" t="s">
        <v>3528</v>
      </c>
      <c r="T1212" s="136"/>
      <c r="U1212" s="135" t="s">
        <v>2855</v>
      </c>
      <c r="V1212" s="135" t="s">
        <v>2876</v>
      </c>
      <c r="W1212" s="135" t="s">
        <v>3550</v>
      </c>
      <c r="X1212" s="135"/>
      <c r="Y1212" s="135"/>
      <c r="Z1212" s="135" t="s">
        <v>2858</v>
      </c>
      <c r="AA1212" s="135"/>
      <c r="AB1212" s="135"/>
      <c r="AC1212" s="135"/>
      <c r="AD1212" s="135">
        <v>46133.0</v>
      </c>
      <c r="AE1212" s="135"/>
      <c r="AF1212" s="135"/>
      <c r="AG1212" s="135"/>
    </row>
    <row r="1213" ht="21.75" hidden="1" customHeight="1">
      <c r="A1213" s="135">
        <v>1209.0</v>
      </c>
      <c r="B1213" s="135">
        <v>25045.0</v>
      </c>
      <c r="C1213" s="135"/>
      <c r="D1213" s="135">
        <v>29.0</v>
      </c>
      <c r="E1213" s="135" t="s">
        <v>3520</v>
      </c>
      <c r="F1213" s="135" t="s">
        <v>812</v>
      </c>
      <c r="G1213" s="135" t="s">
        <v>158</v>
      </c>
      <c r="H1213" s="135" t="s">
        <v>2853</v>
      </c>
      <c r="I1213" s="135" t="s">
        <v>163</v>
      </c>
      <c r="J1213" s="135">
        <v>1.0</v>
      </c>
      <c r="K1213" s="135" t="s">
        <v>3134</v>
      </c>
      <c r="L1213" s="135">
        <v>4921.0</v>
      </c>
      <c r="M1213" s="135">
        <v>2800.0</v>
      </c>
      <c r="N1213" s="135">
        <v>120.0</v>
      </c>
      <c r="O1213" s="135">
        <v>1.863</v>
      </c>
      <c r="P1213" s="136">
        <v>0.0</v>
      </c>
      <c r="Q1213" s="137">
        <v>4.6575</v>
      </c>
      <c r="R1213" s="136">
        <v>46120.0</v>
      </c>
      <c r="S1213" s="135" t="s">
        <v>3528</v>
      </c>
      <c r="T1213" s="136"/>
      <c r="U1213" s="135" t="s">
        <v>2855</v>
      </c>
      <c r="V1213" s="135" t="s">
        <v>2876</v>
      </c>
      <c r="W1213" s="135" t="s">
        <v>3550</v>
      </c>
      <c r="X1213" s="135"/>
      <c r="Y1213" s="135"/>
      <c r="Z1213" s="135" t="s">
        <v>2858</v>
      </c>
      <c r="AA1213" s="135"/>
      <c r="AB1213" s="135"/>
      <c r="AC1213" s="135"/>
      <c r="AD1213" s="135">
        <v>46134.0</v>
      </c>
      <c r="AE1213" s="135"/>
      <c r="AF1213" s="135"/>
      <c r="AG1213" s="135"/>
    </row>
    <row r="1214" ht="21.75" hidden="1" customHeight="1">
      <c r="A1214" s="135">
        <v>1210.0</v>
      </c>
      <c r="B1214" s="135">
        <v>25045.0</v>
      </c>
      <c r="C1214" s="135"/>
      <c r="D1214" s="135">
        <v>29.0</v>
      </c>
      <c r="E1214" s="135" t="s">
        <v>3520</v>
      </c>
      <c r="F1214" s="135" t="s">
        <v>813</v>
      </c>
      <c r="G1214" s="135" t="s">
        <v>158</v>
      </c>
      <c r="H1214" s="135" t="s">
        <v>2853</v>
      </c>
      <c r="I1214" s="135" t="s">
        <v>163</v>
      </c>
      <c r="J1214" s="135">
        <v>1.0</v>
      </c>
      <c r="K1214" s="135"/>
      <c r="L1214" s="135">
        <v>4921.0</v>
      </c>
      <c r="M1214" s="135">
        <v>2800.0</v>
      </c>
      <c r="N1214" s="135">
        <v>120.0</v>
      </c>
      <c r="O1214" s="135">
        <v>1.587</v>
      </c>
      <c r="P1214" s="136">
        <v>0.0</v>
      </c>
      <c r="Q1214" s="137">
        <v>3.9675</v>
      </c>
      <c r="R1214" s="136">
        <v>46120.0</v>
      </c>
      <c r="S1214" s="135" t="s">
        <v>3528</v>
      </c>
      <c r="T1214" s="136"/>
      <c r="U1214" s="135" t="s">
        <v>2864</v>
      </c>
      <c r="V1214" s="135" t="s">
        <v>2985</v>
      </c>
      <c r="W1214" s="135" t="s">
        <v>3665</v>
      </c>
      <c r="X1214" s="135"/>
      <c r="Y1214" s="135"/>
      <c r="Z1214" s="135" t="s">
        <v>2858</v>
      </c>
      <c r="AA1214" s="135"/>
      <c r="AB1214" s="135"/>
      <c r="AC1214" s="135"/>
      <c r="AD1214" s="135">
        <v>0.0</v>
      </c>
      <c r="AE1214" s="135"/>
      <c r="AF1214" s="135"/>
      <c r="AG1214" s="135"/>
    </row>
    <row r="1215" ht="21.75" hidden="1" customHeight="1">
      <c r="A1215" s="135">
        <v>1211.0</v>
      </c>
      <c r="B1215" s="135">
        <v>25045.0</v>
      </c>
      <c r="C1215" s="135"/>
      <c r="D1215" s="135">
        <v>29.0</v>
      </c>
      <c r="E1215" s="135" t="s">
        <v>3523</v>
      </c>
      <c r="F1215" s="135" t="s">
        <v>830</v>
      </c>
      <c r="G1215" s="135" t="s">
        <v>158</v>
      </c>
      <c r="H1215" s="135" t="s">
        <v>2853</v>
      </c>
      <c r="I1215" s="135" t="s">
        <v>164</v>
      </c>
      <c r="J1215" s="135">
        <v>1.0</v>
      </c>
      <c r="K1215" s="135" t="s">
        <v>3134</v>
      </c>
      <c r="L1215" s="135">
        <v>4637.0</v>
      </c>
      <c r="M1215" s="135">
        <v>2900.0</v>
      </c>
      <c r="N1215" s="135">
        <v>120.0</v>
      </c>
      <c r="O1215" s="135">
        <v>1.828</v>
      </c>
      <c r="P1215" s="136">
        <v>0.0</v>
      </c>
      <c r="Q1215" s="137">
        <v>4.57</v>
      </c>
      <c r="R1215" s="136">
        <v>46120.0</v>
      </c>
      <c r="S1215" s="135" t="s">
        <v>3528</v>
      </c>
      <c r="T1215" s="136"/>
      <c r="U1215" s="135" t="s">
        <v>2855</v>
      </c>
      <c r="V1215" s="135" t="s">
        <v>2876</v>
      </c>
      <c r="W1215" s="135" t="s">
        <v>3666</v>
      </c>
      <c r="X1215" s="135"/>
      <c r="Y1215" s="135"/>
      <c r="Z1215" s="135" t="s">
        <v>2858</v>
      </c>
      <c r="AA1215" s="135"/>
      <c r="AB1215" s="135"/>
      <c r="AC1215" s="135"/>
      <c r="AD1215" s="135">
        <v>46135.0</v>
      </c>
      <c r="AE1215" s="135"/>
      <c r="AF1215" s="135"/>
      <c r="AG1215" s="135"/>
    </row>
    <row r="1216" ht="21.75" hidden="1" customHeight="1">
      <c r="A1216" s="135">
        <v>1212.0</v>
      </c>
      <c r="B1216" s="135">
        <v>25045.0</v>
      </c>
      <c r="C1216" s="135"/>
      <c r="D1216" s="135">
        <v>29.0</v>
      </c>
      <c r="E1216" s="135" t="s">
        <v>3523</v>
      </c>
      <c r="F1216" s="135" t="s">
        <v>831</v>
      </c>
      <c r="G1216" s="135" t="s">
        <v>158</v>
      </c>
      <c r="H1216" s="135" t="s">
        <v>2853</v>
      </c>
      <c r="I1216" s="135" t="s">
        <v>164</v>
      </c>
      <c r="J1216" s="135">
        <v>1.0</v>
      </c>
      <c r="K1216" s="135" t="s">
        <v>3134</v>
      </c>
      <c r="L1216" s="135">
        <v>4637.0</v>
      </c>
      <c r="M1216" s="135">
        <v>2900.0</v>
      </c>
      <c r="N1216" s="135">
        <v>120.0</v>
      </c>
      <c r="O1216" s="135">
        <v>1.828</v>
      </c>
      <c r="P1216" s="136">
        <v>0.0</v>
      </c>
      <c r="Q1216" s="137">
        <v>4.57</v>
      </c>
      <c r="R1216" s="136">
        <v>46120.0</v>
      </c>
      <c r="S1216" s="135" t="s">
        <v>3528</v>
      </c>
      <c r="T1216" s="136"/>
      <c r="U1216" s="135" t="s">
        <v>2855</v>
      </c>
      <c r="V1216" s="135" t="s">
        <v>2876</v>
      </c>
      <c r="W1216" s="135" t="s">
        <v>3666</v>
      </c>
      <c r="X1216" s="135"/>
      <c r="Y1216" s="135"/>
      <c r="Z1216" s="135" t="s">
        <v>2858</v>
      </c>
      <c r="AA1216" s="135"/>
      <c r="AB1216" s="135"/>
      <c r="AC1216" s="135"/>
      <c r="AD1216" s="135">
        <v>46136.0</v>
      </c>
      <c r="AE1216" s="135"/>
      <c r="AF1216" s="135"/>
      <c r="AG1216" s="135"/>
    </row>
    <row r="1217" ht="21.75" hidden="1" customHeight="1">
      <c r="A1217" s="135">
        <v>1213.0</v>
      </c>
      <c r="B1217" s="135">
        <v>25045.0</v>
      </c>
      <c r="C1217" s="135"/>
      <c r="D1217" s="135">
        <v>29.0</v>
      </c>
      <c r="E1217" s="135" t="s">
        <v>3523</v>
      </c>
      <c r="F1217" s="135" t="s">
        <v>832</v>
      </c>
      <c r="G1217" s="135" t="s">
        <v>158</v>
      </c>
      <c r="H1217" s="135" t="s">
        <v>2853</v>
      </c>
      <c r="I1217" s="135" t="s">
        <v>164</v>
      </c>
      <c r="J1217" s="135">
        <v>1.0</v>
      </c>
      <c r="K1217" s="135" t="s">
        <v>3134</v>
      </c>
      <c r="L1217" s="135">
        <v>4637.0</v>
      </c>
      <c r="M1217" s="135">
        <v>2900.0</v>
      </c>
      <c r="N1217" s="135">
        <v>120.0</v>
      </c>
      <c r="O1217" s="135">
        <v>1.828</v>
      </c>
      <c r="P1217" s="136">
        <v>0.0</v>
      </c>
      <c r="Q1217" s="137">
        <v>4.57</v>
      </c>
      <c r="R1217" s="136">
        <v>46120.0</v>
      </c>
      <c r="S1217" s="135" t="s">
        <v>3528</v>
      </c>
      <c r="T1217" s="136"/>
      <c r="U1217" s="135" t="s">
        <v>2855</v>
      </c>
      <c r="V1217" s="135" t="s">
        <v>2876</v>
      </c>
      <c r="W1217" s="135" t="s">
        <v>3666</v>
      </c>
      <c r="X1217" s="135"/>
      <c r="Y1217" s="135"/>
      <c r="Z1217" s="135" t="s">
        <v>2858</v>
      </c>
      <c r="AA1217" s="135"/>
      <c r="AB1217" s="135"/>
      <c r="AC1217" s="135"/>
      <c r="AD1217" s="135">
        <v>46137.0</v>
      </c>
      <c r="AE1217" s="135"/>
      <c r="AF1217" s="135"/>
      <c r="AG1217" s="135"/>
    </row>
    <row r="1218" ht="21.75" hidden="1" customHeight="1">
      <c r="A1218" s="135">
        <v>1214.0</v>
      </c>
      <c r="B1218" s="135">
        <v>25045.0</v>
      </c>
      <c r="C1218" s="135"/>
      <c r="D1218" s="135">
        <v>29.0</v>
      </c>
      <c r="E1218" s="135" t="s">
        <v>3523</v>
      </c>
      <c r="F1218" s="135" t="s">
        <v>833</v>
      </c>
      <c r="G1218" s="135" t="s">
        <v>158</v>
      </c>
      <c r="H1218" s="135" t="s">
        <v>2853</v>
      </c>
      <c r="I1218" s="135" t="s">
        <v>164</v>
      </c>
      <c r="J1218" s="135">
        <v>1.0</v>
      </c>
      <c r="K1218" s="135" t="s">
        <v>3134</v>
      </c>
      <c r="L1218" s="135">
        <v>4637.0</v>
      </c>
      <c r="M1218" s="135">
        <v>2900.0</v>
      </c>
      <c r="N1218" s="135">
        <v>120.0</v>
      </c>
      <c r="O1218" s="135">
        <v>1.828</v>
      </c>
      <c r="P1218" s="136">
        <v>0.0</v>
      </c>
      <c r="Q1218" s="137">
        <v>4.57</v>
      </c>
      <c r="R1218" s="136">
        <v>46120.0</v>
      </c>
      <c r="S1218" s="135" t="s">
        <v>3528</v>
      </c>
      <c r="T1218" s="136"/>
      <c r="U1218" s="135" t="s">
        <v>2855</v>
      </c>
      <c r="V1218" s="135" t="s">
        <v>2876</v>
      </c>
      <c r="W1218" s="135" t="s">
        <v>3666</v>
      </c>
      <c r="X1218" s="135"/>
      <c r="Y1218" s="135"/>
      <c r="Z1218" s="135" t="s">
        <v>2858</v>
      </c>
      <c r="AA1218" s="135"/>
      <c r="AB1218" s="135"/>
      <c r="AC1218" s="135"/>
      <c r="AD1218" s="135">
        <v>46139.0</v>
      </c>
      <c r="AE1218" s="135"/>
      <c r="AF1218" s="135"/>
      <c r="AG1218" s="135"/>
    </row>
    <row r="1219" ht="21.75" hidden="1" customHeight="1">
      <c r="A1219" s="135">
        <v>1215.0</v>
      </c>
      <c r="B1219" s="135">
        <v>25045.0</v>
      </c>
      <c r="C1219" s="135"/>
      <c r="D1219" s="135">
        <v>29.0</v>
      </c>
      <c r="E1219" s="135" t="s">
        <v>3523</v>
      </c>
      <c r="F1219" s="135" t="s">
        <v>834</v>
      </c>
      <c r="G1219" s="135" t="s">
        <v>158</v>
      </c>
      <c r="H1219" s="135" t="s">
        <v>2853</v>
      </c>
      <c r="I1219" s="135" t="s">
        <v>164</v>
      </c>
      <c r="J1219" s="135">
        <v>1.0</v>
      </c>
      <c r="K1219" s="135"/>
      <c r="L1219" s="135">
        <v>4637.0</v>
      </c>
      <c r="M1219" s="135">
        <v>2900.0</v>
      </c>
      <c r="N1219" s="135">
        <v>120.0</v>
      </c>
      <c r="O1219" s="135">
        <v>1.549</v>
      </c>
      <c r="P1219" s="136">
        <v>0.0</v>
      </c>
      <c r="Q1219" s="137">
        <v>3.8724999999999996</v>
      </c>
      <c r="R1219" s="136">
        <v>46120.0</v>
      </c>
      <c r="S1219" s="135" t="s">
        <v>3528</v>
      </c>
      <c r="T1219" s="136"/>
      <c r="U1219" s="135" t="s">
        <v>2864</v>
      </c>
      <c r="V1219" s="135" t="s">
        <v>2985</v>
      </c>
      <c r="W1219" s="135" t="s">
        <v>3667</v>
      </c>
      <c r="X1219" s="135" t="s">
        <v>2895</v>
      </c>
      <c r="Y1219" s="135"/>
      <c r="Z1219" s="135" t="s">
        <v>2858</v>
      </c>
      <c r="AA1219" s="135"/>
      <c r="AB1219" s="135"/>
      <c r="AC1219" s="135"/>
      <c r="AD1219" s="135">
        <v>0.0</v>
      </c>
      <c r="AE1219" s="135"/>
      <c r="AF1219" s="135"/>
      <c r="AG1219" s="135"/>
    </row>
    <row r="1220" ht="21.75" hidden="1" customHeight="1">
      <c r="A1220" s="135">
        <v>1216.0</v>
      </c>
      <c r="B1220" s="135">
        <v>25045.0</v>
      </c>
      <c r="C1220" s="135"/>
      <c r="D1220" s="135">
        <v>29.0</v>
      </c>
      <c r="E1220" s="135" t="s">
        <v>3555</v>
      </c>
      <c r="F1220" s="135" t="s">
        <v>846</v>
      </c>
      <c r="G1220" s="135" t="s">
        <v>158</v>
      </c>
      <c r="H1220" s="135" t="s">
        <v>2853</v>
      </c>
      <c r="I1220" s="135" t="s">
        <v>165</v>
      </c>
      <c r="J1220" s="135">
        <v>1.0</v>
      </c>
      <c r="K1220" s="135" t="s">
        <v>3134</v>
      </c>
      <c r="L1220" s="135">
        <v>4905.0</v>
      </c>
      <c r="M1220" s="135">
        <v>2900.0</v>
      </c>
      <c r="N1220" s="135">
        <v>120.0</v>
      </c>
      <c r="O1220" s="135">
        <v>1.918</v>
      </c>
      <c r="P1220" s="136">
        <v>0.0</v>
      </c>
      <c r="Q1220" s="137">
        <v>4.795</v>
      </c>
      <c r="R1220" s="136">
        <v>46120.0</v>
      </c>
      <c r="S1220" s="135" t="s">
        <v>3528</v>
      </c>
      <c r="T1220" s="136"/>
      <c r="U1220" s="135" t="s">
        <v>2855</v>
      </c>
      <c r="V1220" s="135" t="s">
        <v>2876</v>
      </c>
      <c r="W1220" s="135" t="s">
        <v>3668</v>
      </c>
      <c r="X1220" s="135"/>
      <c r="Y1220" s="135"/>
      <c r="Z1220" s="135" t="s">
        <v>2858</v>
      </c>
      <c r="AA1220" s="135"/>
      <c r="AB1220" s="135"/>
      <c r="AC1220" s="135"/>
      <c r="AD1220" s="135">
        <v>46135.0</v>
      </c>
      <c r="AE1220" s="135"/>
      <c r="AF1220" s="135"/>
      <c r="AG1220" s="135"/>
    </row>
    <row r="1221" ht="21.75" hidden="1" customHeight="1">
      <c r="A1221" s="135">
        <v>1217.0</v>
      </c>
      <c r="B1221" s="135">
        <v>25045.0</v>
      </c>
      <c r="C1221" s="135"/>
      <c r="D1221" s="135">
        <v>29.0</v>
      </c>
      <c r="E1221" s="135" t="s">
        <v>3555</v>
      </c>
      <c r="F1221" s="135" t="s">
        <v>847</v>
      </c>
      <c r="G1221" s="135" t="s">
        <v>158</v>
      </c>
      <c r="H1221" s="135" t="s">
        <v>2853</v>
      </c>
      <c r="I1221" s="135" t="s">
        <v>165</v>
      </c>
      <c r="J1221" s="135">
        <v>1.0</v>
      </c>
      <c r="K1221" s="135" t="s">
        <v>3134</v>
      </c>
      <c r="L1221" s="135">
        <v>4905.0</v>
      </c>
      <c r="M1221" s="135">
        <v>2900.0</v>
      </c>
      <c r="N1221" s="135">
        <v>120.0</v>
      </c>
      <c r="O1221" s="135">
        <v>1.918</v>
      </c>
      <c r="P1221" s="136">
        <v>0.0</v>
      </c>
      <c r="Q1221" s="137">
        <v>4.795</v>
      </c>
      <c r="R1221" s="136">
        <v>46120.0</v>
      </c>
      <c r="S1221" s="135" t="s">
        <v>3528</v>
      </c>
      <c r="T1221" s="136"/>
      <c r="U1221" s="135" t="s">
        <v>2855</v>
      </c>
      <c r="V1221" s="135" t="s">
        <v>2876</v>
      </c>
      <c r="W1221" s="135" t="s">
        <v>3668</v>
      </c>
      <c r="X1221" s="135"/>
      <c r="Y1221" s="135"/>
      <c r="Z1221" s="135" t="s">
        <v>2858</v>
      </c>
      <c r="AA1221" s="135"/>
      <c r="AB1221" s="135"/>
      <c r="AC1221" s="135"/>
      <c r="AD1221" s="135">
        <v>46136.0</v>
      </c>
      <c r="AE1221" s="135"/>
      <c r="AF1221" s="135"/>
      <c r="AG1221" s="135"/>
    </row>
    <row r="1222" ht="21.75" hidden="1" customHeight="1">
      <c r="A1222" s="135">
        <v>1218.0</v>
      </c>
      <c r="B1222" s="135">
        <v>25045.0</v>
      </c>
      <c r="C1222" s="135"/>
      <c r="D1222" s="135">
        <v>29.0</v>
      </c>
      <c r="E1222" s="135" t="s">
        <v>3555</v>
      </c>
      <c r="F1222" s="135" t="s">
        <v>848</v>
      </c>
      <c r="G1222" s="135" t="s">
        <v>158</v>
      </c>
      <c r="H1222" s="135" t="s">
        <v>2853</v>
      </c>
      <c r="I1222" s="135" t="s">
        <v>165</v>
      </c>
      <c r="J1222" s="135">
        <v>1.0</v>
      </c>
      <c r="K1222" s="135" t="s">
        <v>3134</v>
      </c>
      <c r="L1222" s="135">
        <v>4905.0</v>
      </c>
      <c r="M1222" s="135">
        <v>2900.0</v>
      </c>
      <c r="N1222" s="135">
        <v>120.0</v>
      </c>
      <c r="O1222" s="135">
        <v>1.918</v>
      </c>
      <c r="P1222" s="136">
        <v>0.0</v>
      </c>
      <c r="Q1222" s="137">
        <v>4.795</v>
      </c>
      <c r="R1222" s="136">
        <v>46120.0</v>
      </c>
      <c r="S1222" s="135" t="s">
        <v>3528</v>
      </c>
      <c r="T1222" s="136"/>
      <c r="U1222" s="135" t="s">
        <v>2855</v>
      </c>
      <c r="V1222" s="135" t="s">
        <v>2876</v>
      </c>
      <c r="W1222" s="135" t="s">
        <v>3668</v>
      </c>
      <c r="X1222" s="135"/>
      <c r="Y1222" s="135"/>
      <c r="Z1222" s="135" t="s">
        <v>2858</v>
      </c>
      <c r="AA1222" s="135"/>
      <c r="AB1222" s="135"/>
      <c r="AC1222" s="135"/>
      <c r="AD1222" s="135">
        <v>46137.0</v>
      </c>
      <c r="AE1222" s="135"/>
      <c r="AF1222" s="135"/>
      <c r="AG1222" s="135"/>
    </row>
    <row r="1223" ht="21.75" hidden="1" customHeight="1">
      <c r="A1223" s="135">
        <v>1219.0</v>
      </c>
      <c r="B1223" s="135">
        <v>25045.0</v>
      </c>
      <c r="C1223" s="135"/>
      <c r="D1223" s="135">
        <v>29.0</v>
      </c>
      <c r="E1223" s="135" t="s">
        <v>3555</v>
      </c>
      <c r="F1223" s="135" t="s">
        <v>849</v>
      </c>
      <c r="G1223" s="135" t="s">
        <v>158</v>
      </c>
      <c r="H1223" s="135" t="s">
        <v>2853</v>
      </c>
      <c r="I1223" s="135" t="s">
        <v>165</v>
      </c>
      <c r="J1223" s="135">
        <v>1.0</v>
      </c>
      <c r="K1223" s="135"/>
      <c r="L1223" s="135">
        <v>4905.0</v>
      </c>
      <c r="M1223" s="135">
        <v>2900.0</v>
      </c>
      <c r="N1223" s="135">
        <v>120.0</v>
      </c>
      <c r="O1223" s="135">
        <v>1.639</v>
      </c>
      <c r="P1223" s="136">
        <v>0.0</v>
      </c>
      <c r="Q1223" s="137">
        <v>4.0975</v>
      </c>
      <c r="R1223" s="136">
        <v>46120.0</v>
      </c>
      <c r="S1223" s="135" t="s">
        <v>3528</v>
      </c>
      <c r="T1223" s="136"/>
      <c r="U1223" s="135" t="s">
        <v>2864</v>
      </c>
      <c r="V1223" s="135" t="s">
        <v>2985</v>
      </c>
      <c r="W1223" s="135" t="s">
        <v>3669</v>
      </c>
      <c r="X1223" s="135" t="s">
        <v>2895</v>
      </c>
      <c r="Y1223" s="135"/>
      <c r="Z1223" s="135" t="s">
        <v>2858</v>
      </c>
      <c r="AA1223" s="135"/>
      <c r="AB1223" s="135"/>
      <c r="AC1223" s="135"/>
      <c r="AD1223" s="135">
        <v>0.0</v>
      </c>
      <c r="AE1223" s="135"/>
      <c r="AF1223" s="135"/>
      <c r="AG1223" s="135"/>
    </row>
    <row r="1224" ht="21.75" hidden="1" customHeight="1">
      <c r="A1224" s="135">
        <v>1220.0</v>
      </c>
      <c r="B1224" s="135">
        <v>25045.0</v>
      </c>
      <c r="C1224" s="135"/>
      <c r="D1224" s="135">
        <v>29.0</v>
      </c>
      <c r="E1224" s="135" t="s">
        <v>3557</v>
      </c>
      <c r="F1224" s="135" t="s">
        <v>862</v>
      </c>
      <c r="G1224" s="135" t="s">
        <v>158</v>
      </c>
      <c r="H1224" s="135" t="s">
        <v>2853</v>
      </c>
      <c r="I1224" s="135" t="s">
        <v>166</v>
      </c>
      <c r="J1224" s="135">
        <v>1.0</v>
      </c>
      <c r="K1224" s="135"/>
      <c r="L1224" s="135">
        <v>5015.0</v>
      </c>
      <c r="M1224" s="135">
        <v>2900.0</v>
      </c>
      <c r="N1224" s="135">
        <v>120.0</v>
      </c>
      <c r="O1224" s="135">
        <v>1.945</v>
      </c>
      <c r="P1224" s="136">
        <v>0.0</v>
      </c>
      <c r="Q1224" s="137">
        <v>4.8625</v>
      </c>
      <c r="R1224" s="136">
        <v>46127.0</v>
      </c>
      <c r="S1224" s="135" t="s">
        <v>3514</v>
      </c>
      <c r="T1224" s="136"/>
      <c r="U1224" s="135" t="s">
        <v>2855</v>
      </c>
      <c r="V1224" s="135" t="s">
        <v>2876</v>
      </c>
      <c r="W1224" s="135" t="s">
        <v>3058</v>
      </c>
      <c r="X1224" s="135"/>
      <c r="Y1224" s="135"/>
      <c r="Z1224" s="135" t="s">
        <v>2858</v>
      </c>
      <c r="AA1224" s="135"/>
      <c r="AB1224" s="135"/>
      <c r="AC1224" s="135"/>
      <c r="AD1224" s="135">
        <v>46140.0</v>
      </c>
      <c r="AE1224" s="135"/>
      <c r="AF1224" s="135"/>
      <c r="AG1224" s="135"/>
    </row>
    <row r="1225" ht="21.75" hidden="1" customHeight="1">
      <c r="A1225" s="135">
        <v>1221.0</v>
      </c>
      <c r="B1225" s="135">
        <v>25045.0</v>
      </c>
      <c r="C1225" s="135"/>
      <c r="D1225" s="135">
        <v>29.0</v>
      </c>
      <c r="E1225" s="135" t="s">
        <v>3557</v>
      </c>
      <c r="F1225" s="135" t="s">
        <v>863</v>
      </c>
      <c r="G1225" s="135" t="s">
        <v>158</v>
      </c>
      <c r="H1225" s="135" t="s">
        <v>2853</v>
      </c>
      <c r="I1225" s="135" t="s">
        <v>166</v>
      </c>
      <c r="J1225" s="135">
        <v>1.0</v>
      </c>
      <c r="K1225" s="135" t="s">
        <v>3134</v>
      </c>
      <c r="L1225" s="135">
        <v>4778.0</v>
      </c>
      <c r="M1225" s="135">
        <v>2900.0</v>
      </c>
      <c r="N1225" s="135">
        <v>120.0</v>
      </c>
      <c r="O1225" s="135">
        <v>1.896</v>
      </c>
      <c r="P1225" s="136">
        <v>0.0</v>
      </c>
      <c r="Q1225" s="137">
        <v>4.74</v>
      </c>
      <c r="R1225" s="136">
        <v>46120.0</v>
      </c>
      <c r="S1225" s="135" t="s">
        <v>3528</v>
      </c>
      <c r="T1225" s="136"/>
      <c r="U1225" s="135" t="s">
        <v>2855</v>
      </c>
      <c r="V1225" s="135" t="s">
        <v>2876</v>
      </c>
      <c r="W1225" s="135" t="s">
        <v>3670</v>
      </c>
      <c r="X1225" s="135"/>
      <c r="Y1225" s="135"/>
      <c r="Z1225" s="135" t="s">
        <v>2858</v>
      </c>
      <c r="AA1225" s="135"/>
      <c r="AB1225" s="135"/>
      <c r="AC1225" s="135"/>
      <c r="AD1225" s="135">
        <v>46139.0</v>
      </c>
      <c r="AE1225" s="135"/>
      <c r="AF1225" s="135"/>
      <c r="AG1225" s="135"/>
    </row>
    <row r="1226" ht="21.75" hidden="1" customHeight="1">
      <c r="A1226" s="135">
        <v>1222.0</v>
      </c>
      <c r="B1226" s="135">
        <v>25045.0</v>
      </c>
      <c r="C1226" s="135"/>
      <c r="D1226" s="135">
        <v>29.0</v>
      </c>
      <c r="E1226" s="135" t="s">
        <v>3557</v>
      </c>
      <c r="F1226" s="135" t="s">
        <v>864</v>
      </c>
      <c r="G1226" s="135" t="s">
        <v>158</v>
      </c>
      <c r="H1226" s="135" t="s">
        <v>2853</v>
      </c>
      <c r="I1226" s="135" t="s">
        <v>166</v>
      </c>
      <c r="J1226" s="135">
        <v>1.0</v>
      </c>
      <c r="K1226" s="135" t="s">
        <v>3134</v>
      </c>
      <c r="L1226" s="135">
        <v>4778.0</v>
      </c>
      <c r="M1226" s="135">
        <v>2900.0</v>
      </c>
      <c r="N1226" s="135">
        <v>120.0</v>
      </c>
      <c r="O1226" s="135">
        <v>1.896</v>
      </c>
      <c r="P1226" s="136">
        <v>0.0</v>
      </c>
      <c r="Q1226" s="137">
        <v>4.74</v>
      </c>
      <c r="R1226" s="136">
        <v>46120.0</v>
      </c>
      <c r="S1226" s="135" t="s">
        <v>3528</v>
      </c>
      <c r="T1226" s="136"/>
      <c r="U1226" s="135" t="s">
        <v>2855</v>
      </c>
      <c r="V1226" s="135" t="s">
        <v>2876</v>
      </c>
      <c r="W1226" s="135" t="s">
        <v>3670</v>
      </c>
      <c r="X1226" s="135"/>
      <c r="Y1226" s="135"/>
      <c r="Z1226" s="135" t="s">
        <v>2858</v>
      </c>
      <c r="AA1226" s="135"/>
      <c r="AB1226" s="135"/>
      <c r="AC1226" s="135"/>
      <c r="AD1226" s="135">
        <v>46140.0</v>
      </c>
      <c r="AE1226" s="135"/>
      <c r="AF1226" s="135"/>
      <c r="AG1226" s="135"/>
    </row>
    <row r="1227" ht="21.75" hidden="1" customHeight="1">
      <c r="A1227" s="135">
        <v>1223.0</v>
      </c>
      <c r="B1227" s="135">
        <v>25045.0</v>
      </c>
      <c r="C1227" s="135"/>
      <c r="D1227" s="135">
        <v>29.0</v>
      </c>
      <c r="E1227" s="135" t="s">
        <v>3557</v>
      </c>
      <c r="F1227" s="135" t="s">
        <v>865</v>
      </c>
      <c r="G1227" s="135" t="s">
        <v>158</v>
      </c>
      <c r="H1227" s="135" t="s">
        <v>2853</v>
      </c>
      <c r="I1227" s="135" t="s">
        <v>166</v>
      </c>
      <c r="J1227" s="135">
        <v>1.0</v>
      </c>
      <c r="K1227" s="135" t="s">
        <v>3134</v>
      </c>
      <c r="L1227" s="135">
        <v>4778.0</v>
      </c>
      <c r="M1227" s="135">
        <v>2900.0</v>
      </c>
      <c r="N1227" s="135">
        <v>120.0</v>
      </c>
      <c r="O1227" s="135">
        <v>1.896</v>
      </c>
      <c r="P1227" s="136">
        <v>0.0</v>
      </c>
      <c r="Q1227" s="137">
        <v>4.74</v>
      </c>
      <c r="R1227" s="136">
        <v>46120.0</v>
      </c>
      <c r="S1227" s="135" t="s">
        <v>3528</v>
      </c>
      <c r="T1227" s="136"/>
      <c r="U1227" s="135" t="s">
        <v>2855</v>
      </c>
      <c r="V1227" s="135" t="s">
        <v>2876</v>
      </c>
      <c r="W1227" s="135" t="s">
        <v>3670</v>
      </c>
      <c r="X1227" s="135"/>
      <c r="Y1227" s="135"/>
      <c r="Z1227" s="135" t="s">
        <v>2858</v>
      </c>
      <c r="AA1227" s="135"/>
      <c r="AB1227" s="135"/>
      <c r="AC1227" s="135"/>
      <c r="AD1227" s="135">
        <v>46141.0</v>
      </c>
      <c r="AE1227" s="135"/>
      <c r="AF1227" s="135"/>
      <c r="AG1227" s="135"/>
    </row>
    <row r="1228" ht="21.75" hidden="1" customHeight="1">
      <c r="A1228" s="135">
        <v>1224.0</v>
      </c>
      <c r="B1228" s="135">
        <v>25045.0</v>
      </c>
      <c r="C1228" s="135"/>
      <c r="D1228" s="135">
        <v>29.0</v>
      </c>
      <c r="E1228" s="135" t="s">
        <v>3557</v>
      </c>
      <c r="F1228" s="135" t="s">
        <v>866</v>
      </c>
      <c r="G1228" s="135" t="s">
        <v>158</v>
      </c>
      <c r="H1228" s="135" t="s">
        <v>2853</v>
      </c>
      <c r="I1228" s="135" t="s">
        <v>166</v>
      </c>
      <c r="J1228" s="135">
        <v>1.0</v>
      </c>
      <c r="K1228" s="135"/>
      <c r="L1228" s="135">
        <v>4778.0</v>
      </c>
      <c r="M1228" s="135">
        <v>2900.0</v>
      </c>
      <c r="N1228" s="135">
        <v>120.0</v>
      </c>
      <c r="O1228" s="135">
        <v>1.595</v>
      </c>
      <c r="P1228" s="136">
        <v>0.0</v>
      </c>
      <c r="Q1228" s="137">
        <v>3.9875</v>
      </c>
      <c r="R1228" s="136">
        <v>46120.0</v>
      </c>
      <c r="S1228" s="135" t="s">
        <v>3528</v>
      </c>
      <c r="T1228" s="136"/>
      <c r="U1228" s="135" t="s">
        <v>2864</v>
      </c>
      <c r="V1228" s="135" t="s">
        <v>2985</v>
      </c>
      <c r="W1228" s="135" t="s">
        <v>3671</v>
      </c>
      <c r="X1228" s="135" t="s">
        <v>3672</v>
      </c>
      <c r="Y1228" s="135"/>
      <c r="Z1228" s="135" t="s">
        <v>2858</v>
      </c>
      <c r="AA1228" s="135"/>
      <c r="AB1228" s="135"/>
      <c r="AC1228" s="135"/>
      <c r="AD1228" s="135">
        <v>0.0</v>
      </c>
      <c r="AE1228" s="135"/>
      <c r="AF1228" s="135"/>
      <c r="AG1228" s="135"/>
    </row>
    <row r="1229" ht="21.75" hidden="1" customHeight="1">
      <c r="A1229" s="135">
        <v>1225.0</v>
      </c>
      <c r="B1229" s="135">
        <v>25045.0</v>
      </c>
      <c r="C1229" s="135"/>
      <c r="D1229" s="135">
        <v>29.0</v>
      </c>
      <c r="E1229" s="135" t="s">
        <v>3559</v>
      </c>
      <c r="F1229" s="135" t="s">
        <v>878</v>
      </c>
      <c r="G1229" s="135" t="s">
        <v>158</v>
      </c>
      <c r="H1229" s="135" t="s">
        <v>2853</v>
      </c>
      <c r="I1229" s="135" t="s">
        <v>167</v>
      </c>
      <c r="J1229" s="135">
        <v>1.0</v>
      </c>
      <c r="K1229" s="135" t="s">
        <v>3134</v>
      </c>
      <c r="L1229" s="135">
        <v>5015.0</v>
      </c>
      <c r="M1229" s="135">
        <v>2900.0</v>
      </c>
      <c r="N1229" s="135">
        <v>120.0</v>
      </c>
      <c r="O1229" s="135">
        <v>1.945</v>
      </c>
      <c r="P1229" s="136">
        <v>0.0</v>
      </c>
      <c r="Q1229" s="137">
        <v>4.8625</v>
      </c>
      <c r="R1229" s="136">
        <v>46120.0</v>
      </c>
      <c r="S1229" s="135" t="s">
        <v>3528</v>
      </c>
      <c r="T1229" s="136"/>
      <c r="U1229" s="135" t="s">
        <v>2855</v>
      </c>
      <c r="V1229" s="135" t="s">
        <v>2876</v>
      </c>
      <c r="W1229" s="135" t="s">
        <v>3058</v>
      </c>
      <c r="X1229" s="135"/>
      <c r="Y1229" s="135"/>
      <c r="Z1229" s="135" t="s">
        <v>2858</v>
      </c>
      <c r="AA1229" s="135"/>
      <c r="AB1229" s="135"/>
      <c r="AC1229" s="135"/>
      <c r="AD1229" s="135">
        <v>46147.0</v>
      </c>
      <c r="AE1229" s="135"/>
      <c r="AF1229" s="135"/>
      <c r="AG1229" s="135"/>
    </row>
    <row r="1230" ht="21.75" hidden="1" customHeight="1">
      <c r="A1230" s="135">
        <v>1226.0</v>
      </c>
      <c r="B1230" s="135">
        <v>25045.0</v>
      </c>
      <c r="C1230" s="135"/>
      <c r="D1230" s="135">
        <v>29.0</v>
      </c>
      <c r="E1230" s="135" t="s">
        <v>3558</v>
      </c>
      <c r="F1230" s="135" t="s">
        <v>893</v>
      </c>
      <c r="G1230" s="135" t="s">
        <v>158</v>
      </c>
      <c r="H1230" s="135" t="s">
        <v>2853</v>
      </c>
      <c r="I1230" s="135" t="s">
        <v>168</v>
      </c>
      <c r="J1230" s="135">
        <v>1.0</v>
      </c>
      <c r="K1230" s="135" t="s">
        <v>3134</v>
      </c>
      <c r="L1230" s="135">
        <v>5015.0</v>
      </c>
      <c r="M1230" s="135">
        <v>2900.0</v>
      </c>
      <c r="N1230" s="135">
        <v>120.0</v>
      </c>
      <c r="O1230" s="135">
        <v>1.945</v>
      </c>
      <c r="P1230" s="136">
        <v>0.0</v>
      </c>
      <c r="Q1230" s="137">
        <v>4.8625</v>
      </c>
      <c r="R1230" s="136">
        <v>46120.0</v>
      </c>
      <c r="S1230" s="135" t="s">
        <v>3528</v>
      </c>
      <c r="T1230" s="136"/>
      <c r="U1230" s="135" t="s">
        <v>2855</v>
      </c>
      <c r="V1230" s="135" t="s">
        <v>2876</v>
      </c>
      <c r="W1230" s="135" t="s">
        <v>3058</v>
      </c>
      <c r="X1230" s="135"/>
      <c r="Y1230" s="135"/>
      <c r="Z1230" s="135" t="s">
        <v>2858</v>
      </c>
      <c r="AA1230" s="135"/>
      <c r="AB1230" s="135"/>
      <c r="AC1230" s="135"/>
      <c r="AD1230" s="135">
        <v>46148.0</v>
      </c>
      <c r="AE1230" s="135"/>
      <c r="AF1230" s="135"/>
      <c r="AG1230" s="135"/>
    </row>
    <row r="1231" ht="21.75" hidden="1" customHeight="1">
      <c r="A1231" s="135">
        <v>1227.0</v>
      </c>
      <c r="B1231" s="135">
        <v>25045.0</v>
      </c>
      <c r="C1231" s="135"/>
      <c r="D1231" s="135">
        <v>29.0</v>
      </c>
      <c r="E1231" s="135" t="s">
        <v>3555</v>
      </c>
      <c r="F1231" s="135" t="s">
        <v>850</v>
      </c>
      <c r="G1231" s="135" t="s">
        <v>158</v>
      </c>
      <c r="H1231" s="135" t="s">
        <v>2853</v>
      </c>
      <c r="I1231" s="135" t="s">
        <v>165</v>
      </c>
      <c r="J1231" s="135">
        <v>1.0</v>
      </c>
      <c r="K1231" s="135" t="s">
        <v>3134</v>
      </c>
      <c r="L1231" s="135">
        <v>5015.0</v>
      </c>
      <c r="M1231" s="135">
        <v>2900.0</v>
      </c>
      <c r="N1231" s="135">
        <v>120.0</v>
      </c>
      <c r="O1231" s="135">
        <v>1.945</v>
      </c>
      <c r="P1231" s="136">
        <v>0.0</v>
      </c>
      <c r="Q1231" s="137">
        <v>4.8625</v>
      </c>
      <c r="R1231" s="136">
        <v>46120.0</v>
      </c>
      <c r="S1231" s="135" t="s">
        <v>3528</v>
      </c>
      <c r="T1231" s="136"/>
      <c r="U1231" s="135" t="s">
        <v>2855</v>
      </c>
      <c r="V1231" s="135" t="s">
        <v>2876</v>
      </c>
      <c r="W1231" s="135" t="s">
        <v>3058</v>
      </c>
      <c r="X1231" s="135"/>
      <c r="Y1231" s="135"/>
      <c r="Z1231" s="135" t="s">
        <v>2858</v>
      </c>
      <c r="AA1231" s="135"/>
      <c r="AB1231" s="135"/>
      <c r="AC1231" s="135"/>
      <c r="AD1231" s="135">
        <v>46150.0</v>
      </c>
      <c r="AE1231" s="135"/>
      <c r="AF1231" s="135"/>
      <c r="AG1231" s="135"/>
    </row>
    <row r="1232" ht="21.75" hidden="1" customHeight="1">
      <c r="A1232" s="135">
        <v>1228.0</v>
      </c>
      <c r="B1232" s="135">
        <v>25045.0</v>
      </c>
      <c r="C1232" s="135"/>
      <c r="D1232" s="135">
        <v>29.0</v>
      </c>
      <c r="E1232" s="135" t="s">
        <v>3558</v>
      </c>
      <c r="F1232" s="135" t="s">
        <v>894</v>
      </c>
      <c r="G1232" s="135" t="s">
        <v>158</v>
      </c>
      <c r="H1232" s="135" t="s">
        <v>2853</v>
      </c>
      <c r="I1232" s="135" t="s">
        <v>168</v>
      </c>
      <c r="J1232" s="135">
        <v>1.0</v>
      </c>
      <c r="K1232" s="135" t="s">
        <v>3134</v>
      </c>
      <c r="L1232" s="135">
        <v>4656.0</v>
      </c>
      <c r="M1232" s="135">
        <v>2900.0</v>
      </c>
      <c r="N1232" s="135">
        <v>120.0</v>
      </c>
      <c r="O1232" s="135">
        <v>1.855</v>
      </c>
      <c r="P1232" s="136">
        <v>0.0</v>
      </c>
      <c r="Q1232" s="137">
        <v>4.6375</v>
      </c>
      <c r="R1232" s="136">
        <v>46120.0</v>
      </c>
      <c r="S1232" s="135" t="s">
        <v>3528</v>
      </c>
      <c r="T1232" s="136"/>
      <c r="U1232" s="135" t="s">
        <v>2855</v>
      </c>
      <c r="V1232" s="135" t="s">
        <v>2876</v>
      </c>
      <c r="W1232" s="135" t="s">
        <v>3673</v>
      </c>
      <c r="X1232" s="135"/>
      <c r="Y1232" s="135"/>
      <c r="Z1232" s="135" t="s">
        <v>2858</v>
      </c>
      <c r="AA1232" s="135"/>
      <c r="AB1232" s="135"/>
      <c r="AC1232" s="135"/>
      <c r="AD1232" s="135">
        <v>46135.0</v>
      </c>
      <c r="AE1232" s="135"/>
      <c r="AF1232" s="135"/>
      <c r="AG1232" s="135"/>
    </row>
    <row r="1233" ht="21.75" hidden="1" customHeight="1">
      <c r="A1233" s="135">
        <v>1229.0</v>
      </c>
      <c r="B1233" s="135">
        <v>25045.0</v>
      </c>
      <c r="C1233" s="135"/>
      <c r="D1233" s="135">
        <v>29.0</v>
      </c>
      <c r="E1233" s="135" t="s">
        <v>3558</v>
      </c>
      <c r="F1233" s="135" t="s">
        <v>895</v>
      </c>
      <c r="G1233" s="135" t="s">
        <v>158</v>
      </c>
      <c r="H1233" s="135" t="s">
        <v>2853</v>
      </c>
      <c r="I1233" s="135" t="s">
        <v>168</v>
      </c>
      <c r="J1233" s="135">
        <v>1.0</v>
      </c>
      <c r="K1233" s="135" t="s">
        <v>3134</v>
      </c>
      <c r="L1233" s="135">
        <v>4656.0</v>
      </c>
      <c r="M1233" s="135">
        <v>2900.0</v>
      </c>
      <c r="N1233" s="135">
        <v>120.0</v>
      </c>
      <c r="O1233" s="135">
        <v>1.855</v>
      </c>
      <c r="P1233" s="136">
        <v>0.0</v>
      </c>
      <c r="Q1233" s="137">
        <v>4.6375</v>
      </c>
      <c r="R1233" s="136">
        <v>46120.0</v>
      </c>
      <c r="S1233" s="135" t="s">
        <v>3528</v>
      </c>
      <c r="T1233" s="136"/>
      <c r="U1233" s="135" t="s">
        <v>2855</v>
      </c>
      <c r="V1233" s="135" t="s">
        <v>2876</v>
      </c>
      <c r="W1233" s="135" t="s">
        <v>3673</v>
      </c>
      <c r="X1233" s="135"/>
      <c r="Y1233" s="135"/>
      <c r="Z1233" s="135" t="s">
        <v>2858</v>
      </c>
      <c r="AA1233" s="135"/>
      <c r="AB1233" s="135"/>
      <c r="AC1233" s="135"/>
      <c r="AD1233" s="135">
        <v>46136.0</v>
      </c>
      <c r="AE1233" s="135"/>
      <c r="AF1233" s="135"/>
      <c r="AG1233" s="135"/>
    </row>
    <row r="1234" ht="21.75" hidden="1" customHeight="1">
      <c r="A1234" s="135">
        <v>1230.0</v>
      </c>
      <c r="B1234" s="135">
        <v>25045.0</v>
      </c>
      <c r="C1234" s="135"/>
      <c r="D1234" s="135">
        <v>29.0</v>
      </c>
      <c r="E1234" s="135" t="s">
        <v>3558</v>
      </c>
      <c r="F1234" s="135" t="s">
        <v>896</v>
      </c>
      <c r="G1234" s="135" t="s">
        <v>158</v>
      </c>
      <c r="H1234" s="135" t="s">
        <v>2853</v>
      </c>
      <c r="I1234" s="135" t="s">
        <v>168</v>
      </c>
      <c r="J1234" s="135">
        <v>1.0</v>
      </c>
      <c r="K1234" s="135" t="s">
        <v>3134</v>
      </c>
      <c r="L1234" s="135">
        <v>4656.0</v>
      </c>
      <c r="M1234" s="135">
        <v>2900.0</v>
      </c>
      <c r="N1234" s="135">
        <v>120.0</v>
      </c>
      <c r="O1234" s="135">
        <v>1.855</v>
      </c>
      <c r="P1234" s="136">
        <v>0.0</v>
      </c>
      <c r="Q1234" s="137">
        <v>4.6375</v>
      </c>
      <c r="R1234" s="136">
        <v>46120.0</v>
      </c>
      <c r="S1234" s="135" t="s">
        <v>3528</v>
      </c>
      <c r="T1234" s="136"/>
      <c r="U1234" s="135" t="s">
        <v>2855</v>
      </c>
      <c r="V1234" s="135" t="s">
        <v>2876</v>
      </c>
      <c r="W1234" s="135" t="s">
        <v>3673</v>
      </c>
      <c r="X1234" s="135"/>
      <c r="Y1234" s="135"/>
      <c r="Z1234" s="135" t="s">
        <v>2858</v>
      </c>
      <c r="AA1234" s="135"/>
      <c r="AB1234" s="135"/>
      <c r="AC1234" s="135"/>
      <c r="AD1234" s="135">
        <v>46137.0</v>
      </c>
      <c r="AE1234" s="135"/>
      <c r="AF1234" s="135"/>
      <c r="AG1234" s="135"/>
    </row>
    <row r="1235" ht="21.75" hidden="1" customHeight="1">
      <c r="A1235" s="135">
        <v>1231.0</v>
      </c>
      <c r="B1235" s="135">
        <v>25045.0</v>
      </c>
      <c r="C1235" s="135"/>
      <c r="D1235" s="135">
        <v>29.0</v>
      </c>
      <c r="E1235" s="135" t="s">
        <v>3559</v>
      </c>
      <c r="F1235" s="135" t="s">
        <v>879</v>
      </c>
      <c r="G1235" s="135" t="s">
        <v>158</v>
      </c>
      <c r="H1235" s="135" t="s">
        <v>2853</v>
      </c>
      <c r="I1235" s="135" t="s">
        <v>167</v>
      </c>
      <c r="J1235" s="135">
        <v>1.0</v>
      </c>
      <c r="K1235" s="135" t="s">
        <v>3134</v>
      </c>
      <c r="L1235" s="135">
        <v>4656.0</v>
      </c>
      <c r="M1235" s="135">
        <v>2900.0</v>
      </c>
      <c r="N1235" s="135">
        <v>120.0</v>
      </c>
      <c r="O1235" s="135">
        <v>1.855</v>
      </c>
      <c r="P1235" s="136">
        <v>0.0</v>
      </c>
      <c r="Q1235" s="137">
        <v>4.6375</v>
      </c>
      <c r="R1235" s="136">
        <v>46120.0</v>
      </c>
      <c r="S1235" s="135" t="s">
        <v>3528</v>
      </c>
      <c r="T1235" s="136"/>
      <c r="U1235" s="135" t="s">
        <v>2855</v>
      </c>
      <c r="V1235" s="135" t="s">
        <v>2876</v>
      </c>
      <c r="W1235" s="135" t="s">
        <v>3673</v>
      </c>
      <c r="X1235" s="135"/>
      <c r="Y1235" s="135"/>
      <c r="Z1235" s="135" t="s">
        <v>2858</v>
      </c>
      <c r="AA1235" s="135"/>
      <c r="AB1235" s="135"/>
      <c r="AC1235" s="135"/>
      <c r="AD1235" s="135">
        <v>46139.0</v>
      </c>
      <c r="AE1235" s="135"/>
      <c r="AF1235" s="135"/>
      <c r="AG1235" s="135"/>
    </row>
    <row r="1236" ht="21.75" hidden="1" customHeight="1">
      <c r="A1236" s="135">
        <v>1232.0</v>
      </c>
      <c r="B1236" s="135">
        <v>25045.0</v>
      </c>
      <c r="C1236" s="135"/>
      <c r="D1236" s="135">
        <v>29.0</v>
      </c>
      <c r="E1236" s="135" t="s">
        <v>3559</v>
      </c>
      <c r="F1236" s="135" t="s">
        <v>880</v>
      </c>
      <c r="G1236" s="135" t="s">
        <v>158</v>
      </c>
      <c r="H1236" s="135" t="s">
        <v>2853</v>
      </c>
      <c r="I1236" s="135" t="s">
        <v>167</v>
      </c>
      <c r="J1236" s="135">
        <v>1.0</v>
      </c>
      <c r="K1236" s="135" t="s">
        <v>3134</v>
      </c>
      <c r="L1236" s="135">
        <v>4656.0</v>
      </c>
      <c r="M1236" s="135">
        <v>2900.0</v>
      </c>
      <c r="N1236" s="135">
        <v>120.0</v>
      </c>
      <c r="O1236" s="135">
        <v>1.855</v>
      </c>
      <c r="P1236" s="136">
        <v>0.0</v>
      </c>
      <c r="Q1236" s="137">
        <v>4.6375</v>
      </c>
      <c r="R1236" s="136">
        <v>46120.0</v>
      </c>
      <c r="S1236" s="135" t="s">
        <v>3528</v>
      </c>
      <c r="T1236" s="136"/>
      <c r="U1236" s="135" t="s">
        <v>2855</v>
      </c>
      <c r="V1236" s="135" t="s">
        <v>2876</v>
      </c>
      <c r="W1236" s="135" t="s">
        <v>3673</v>
      </c>
      <c r="X1236" s="135"/>
      <c r="Y1236" s="135"/>
      <c r="Z1236" s="135" t="s">
        <v>2858</v>
      </c>
      <c r="AA1236" s="135"/>
      <c r="AB1236" s="135"/>
      <c r="AC1236" s="135"/>
      <c r="AD1236" s="135">
        <v>46140.0</v>
      </c>
      <c r="AE1236" s="135"/>
      <c r="AF1236" s="135"/>
      <c r="AG1236" s="135"/>
    </row>
    <row r="1237" ht="21.75" hidden="1" customHeight="1">
      <c r="A1237" s="135">
        <v>1233.0</v>
      </c>
      <c r="B1237" s="135">
        <v>25045.0</v>
      </c>
      <c r="C1237" s="135"/>
      <c r="D1237" s="135">
        <v>29.0</v>
      </c>
      <c r="E1237" s="135" t="s">
        <v>3559</v>
      </c>
      <c r="F1237" s="135" t="s">
        <v>881</v>
      </c>
      <c r="G1237" s="135" t="s">
        <v>158</v>
      </c>
      <c r="H1237" s="135" t="s">
        <v>2853</v>
      </c>
      <c r="I1237" s="135" t="s">
        <v>167</v>
      </c>
      <c r="J1237" s="135">
        <v>1.0</v>
      </c>
      <c r="K1237" s="135" t="s">
        <v>3134</v>
      </c>
      <c r="L1237" s="135">
        <v>4656.0</v>
      </c>
      <c r="M1237" s="135">
        <v>2900.0</v>
      </c>
      <c r="N1237" s="135">
        <v>120.0</v>
      </c>
      <c r="O1237" s="135">
        <v>1.855</v>
      </c>
      <c r="P1237" s="136">
        <v>0.0</v>
      </c>
      <c r="Q1237" s="137">
        <v>4.6375</v>
      </c>
      <c r="R1237" s="136">
        <v>46120.0</v>
      </c>
      <c r="S1237" s="135" t="s">
        <v>3528</v>
      </c>
      <c r="T1237" s="136"/>
      <c r="U1237" s="135" t="s">
        <v>2855</v>
      </c>
      <c r="V1237" s="135" t="s">
        <v>2876</v>
      </c>
      <c r="W1237" s="135" t="s">
        <v>3673</v>
      </c>
      <c r="X1237" s="135"/>
      <c r="Y1237" s="135"/>
      <c r="Z1237" s="135" t="s">
        <v>2858</v>
      </c>
      <c r="AA1237" s="135"/>
      <c r="AB1237" s="135"/>
      <c r="AC1237" s="135"/>
      <c r="AD1237" s="135">
        <v>46141.0</v>
      </c>
      <c r="AE1237" s="135"/>
      <c r="AF1237" s="135"/>
      <c r="AG1237" s="135"/>
    </row>
    <row r="1238" ht="21.75" hidden="1" customHeight="1">
      <c r="A1238" s="135">
        <v>1234.0</v>
      </c>
      <c r="B1238" s="135">
        <v>25045.0</v>
      </c>
      <c r="C1238" s="135"/>
      <c r="D1238" s="135">
        <v>29.0</v>
      </c>
      <c r="E1238" s="135" t="s">
        <v>3558</v>
      </c>
      <c r="F1238" s="135" t="s">
        <v>897</v>
      </c>
      <c r="G1238" s="135" t="s">
        <v>158</v>
      </c>
      <c r="H1238" s="135" t="s">
        <v>2853</v>
      </c>
      <c r="I1238" s="135" t="s">
        <v>168</v>
      </c>
      <c r="J1238" s="135">
        <v>1.0</v>
      </c>
      <c r="K1238" s="135" t="s">
        <v>3134</v>
      </c>
      <c r="L1238" s="135">
        <v>4656.0</v>
      </c>
      <c r="M1238" s="135">
        <v>2900.0</v>
      </c>
      <c r="N1238" s="135">
        <v>120.0</v>
      </c>
      <c r="O1238" s="135">
        <v>1.561</v>
      </c>
      <c r="P1238" s="136">
        <v>0.0</v>
      </c>
      <c r="Q1238" s="137">
        <v>3.9025</v>
      </c>
      <c r="R1238" s="136">
        <v>46120.0</v>
      </c>
      <c r="S1238" s="135" t="s">
        <v>3528</v>
      </c>
      <c r="T1238" s="136"/>
      <c r="U1238" s="135" t="s">
        <v>2864</v>
      </c>
      <c r="V1238" s="135" t="s">
        <v>2985</v>
      </c>
      <c r="W1238" s="135" t="s">
        <v>3674</v>
      </c>
      <c r="X1238" s="135" t="s">
        <v>3675</v>
      </c>
      <c r="Y1238" s="135"/>
      <c r="Z1238" s="135" t="s">
        <v>2858</v>
      </c>
      <c r="AA1238" s="135"/>
      <c r="AB1238" s="135"/>
      <c r="AC1238" s="135"/>
      <c r="AD1238" s="135">
        <v>0.0</v>
      </c>
      <c r="AE1238" s="135"/>
      <c r="AF1238" s="135"/>
      <c r="AG1238" s="135"/>
    </row>
    <row r="1239" ht="21.75" hidden="1" customHeight="1">
      <c r="A1239" s="135">
        <v>1235.0</v>
      </c>
      <c r="B1239" s="135">
        <v>25045.0</v>
      </c>
      <c r="C1239" s="135"/>
      <c r="D1239" s="135">
        <v>29.0</v>
      </c>
      <c r="E1239" s="135" t="s">
        <v>3559</v>
      </c>
      <c r="F1239" s="135" t="s">
        <v>882</v>
      </c>
      <c r="G1239" s="135" t="s">
        <v>158</v>
      </c>
      <c r="H1239" s="135" t="s">
        <v>2853</v>
      </c>
      <c r="I1239" s="135" t="s">
        <v>167</v>
      </c>
      <c r="J1239" s="135">
        <v>1.0</v>
      </c>
      <c r="K1239" s="135" t="s">
        <v>3134</v>
      </c>
      <c r="L1239" s="135">
        <v>4656.0</v>
      </c>
      <c r="M1239" s="135">
        <v>2900.0</v>
      </c>
      <c r="N1239" s="135">
        <v>120.0</v>
      </c>
      <c r="O1239" s="135">
        <v>1.561</v>
      </c>
      <c r="P1239" s="136">
        <v>0.0</v>
      </c>
      <c r="Q1239" s="137">
        <v>3.9025</v>
      </c>
      <c r="R1239" s="136">
        <v>46120.0</v>
      </c>
      <c r="S1239" s="135" t="s">
        <v>3528</v>
      </c>
      <c r="T1239" s="136"/>
      <c r="U1239" s="135" t="s">
        <v>2864</v>
      </c>
      <c r="V1239" s="135" t="s">
        <v>2985</v>
      </c>
      <c r="W1239" s="135" t="s">
        <v>3674</v>
      </c>
      <c r="X1239" s="135" t="s">
        <v>3675</v>
      </c>
      <c r="Y1239" s="135"/>
      <c r="Z1239" s="135" t="s">
        <v>2858</v>
      </c>
      <c r="AA1239" s="135"/>
      <c r="AB1239" s="135"/>
      <c r="AC1239" s="135"/>
      <c r="AD1239" s="135">
        <v>0.0</v>
      </c>
      <c r="AE1239" s="135"/>
      <c r="AF1239" s="135"/>
      <c r="AG1239" s="135"/>
    </row>
    <row r="1240" ht="21.75" hidden="1" customHeight="1">
      <c r="A1240" s="135">
        <v>1236.0</v>
      </c>
      <c r="B1240" s="135">
        <v>25045.0</v>
      </c>
      <c r="C1240" s="135"/>
      <c r="D1240" s="135">
        <v>29.0</v>
      </c>
      <c r="E1240" s="135" t="s">
        <v>3517</v>
      </c>
      <c r="F1240" s="135" t="s">
        <v>910</v>
      </c>
      <c r="G1240" s="135" t="s">
        <v>158</v>
      </c>
      <c r="H1240" s="135" t="s">
        <v>2853</v>
      </c>
      <c r="I1240" s="135" t="s">
        <v>169</v>
      </c>
      <c r="J1240" s="135">
        <v>1.0</v>
      </c>
      <c r="K1240" s="135"/>
      <c r="L1240" s="135">
        <v>5015.0</v>
      </c>
      <c r="M1240" s="135">
        <v>2900.0</v>
      </c>
      <c r="N1240" s="135">
        <v>120.0</v>
      </c>
      <c r="O1240" s="135">
        <v>1.923</v>
      </c>
      <c r="P1240" s="136">
        <v>0.0</v>
      </c>
      <c r="Q1240" s="137">
        <v>4.8075</v>
      </c>
      <c r="R1240" s="136">
        <v>46120.0</v>
      </c>
      <c r="S1240" s="135" t="s">
        <v>3528</v>
      </c>
      <c r="T1240" s="136"/>
      <c r="U1240" s="135" t="s">
        <v>2855</v>
      </c>
      <c r="V1240" s="135" t="s">
        <v>2876</v>
      </c>
      <c r="W1240" s="135" t="s">
        <v>3676</v>
      </c>
      <c r="X1240" s="135"/>
      <c r="Y1240" s="135"/>
      <c r="Z1240" s="135" t="s">
        <v>2858</v>
      </c>
      <c r="AA1240" s="135"/>
      <c r="AB1240" s="135"/>
      <c r="AC1240" s="135"/>
      <c r="AD1240" s="135">
        <v>46155.0</v>
      </c>
      <c r="AE1240" s="135"/>
      <c r="AF1240" s="135"/>
      <c r="AG1240" s="135"/>
    </row>
    <row r="1241" ht="21.75" hidden="1" customHeight="1">
      <c r="A1241" s="135">
        <v>1237.0</v>
      </c>
      <c r="B1241" s="135">
        <v>25045.0</v>
      </c>
      <c r="C1241" s="135"/>
      <c r="D1241" s="135">
        <v>29.0</v>
      </c>
      <c r="E1241" s="135" t="s">
        <v>3517</v>
      </c>
      <c r="F1241" s="135" t="s">
        <v>911</v>
      </c>
      <c r="G1241" s="135" t="s">
        <v>158</v>
      </c>
      <c r="H1241" s="135" t="s">
        <v>2853</v>
      </c>
      <c r="I1241" s="135" t="s">
        <v>169</v>
      </c>
      <c r="J1241" s="135">
        <v>1.0</v>
      </c>
      <c r="K1241" s="135" t="s">
        <v>3134</v>
      </c>
      <c r="L1241" s="135">
        <v>4656.0</v>
      </c>
      <c r="M1241" s="135">
        <v>2900.0</v>
      </c>
      <c r="N1241" s="135">
        <v>120.0</v>
      </c>
      <c r="O1241" s="135">
        <v>1.836</v>
      </c>
      <c r="P1241" s="136">
        <v>0.0</v>
      </c>
      <c r="Q1241" s="137">
        <v>4.59</v>
      </c>
      <c r="R1241" s="136">
        <v>46120.0</v>
      </c>
      <c r="S1241" s="135" t="s">
        <v>3528</v>
      </c>
      <c r="T1241" s="136"/>
      <c r="U1241" s="135" t="s">
        <v>2855</v>
      </c>
      <c r="V1241" s="135" t="s">
        <v>2876</v>
      </c>
      <c r="W1241" s="135" t="s">
        <v>3677</v>
      </c>
      <c r="X1241" s="135"/>
      <c r="Y1241" s="135"/>
      <c r="Z1241" s="135" t="s">
        <v>2858</v>
      </c>
      <c r="AA1241" s="135"/>
      <c r="AB1241" s="135"/>
      <c r="AC1241" s="135"/>
      <c r="AD1241" s="135">
        <v>46142.0</v>
      </c>
      <c r="AE1241" s="135"/>
      <c r="AF1241" s="135"/>
      <c r="AG1241" s="135"/>
    </row>
    <row r="1242" ht="21.75" hidden="1" customHeight="1">
      <c r="A1242" s="135">
        <v>1238.0</v>
      </c>
      <c r="B1242" s="135">
        <v>25045.0</v>
      </c>
      <c r="C1242" s="135"/>
      <c r="D1242" s="135">
        <v>29.0</v>
      </c>
      <c r="E1242" s="135" t="s">
        <v>3517</v>
      </c>
      <c r="F1242" s="135" t="s">
        <v>912</v>
      </c>
      <c r="G1242" s="135" t="s">
        <v>158</v>
      </c>
      <c r="H1242" s="135" t="s">
        <v>2853</v>
      </c>
      <c r="I1242" s="135" t="s">
        <v>169</v>
      </c>
      <c r="J1242" s="135">
        <v>1.0</v>
      </c>
      <c r="K1242" s="135" t="s">
        <v>3134</v>
      </c>
      <c r="L1242" s="135">
        <v>4656.0</v>
      </c>
      <c r="M1242" s="135">
        <v>2900.0</v>
      </c>
      <c r="N1242" s="135">
        <v>120.0</v>
      </c>
      <c r="O1242" s="135">
        <v>1.836</v>
      </c>
      <c r="P1242" s="136">
        <v>0.0</v>
      </c>
      <c r="Q1242" s="137">
        <v>4.59</v>
      </c>
      <c r="R1242" s="136">
        <v>46120.0</v>
      </c>
      <c r="S1242" s="135" t="s">
        <v>3528</v>
      </c>
      <c r="T1242" s="136"/>
      <c r="U1242" s="135" t="s">
        <v>2855</v>
      </c>
      <c r="V1242" s="135" t="s">
        <v>2876</v>
      </c>
      <c r="W1242" s="135" t="s">
        <v>3677</v>
      </c>
      <c r="X1242" s="135"/>
      <c r="Y1242" s="135"/>
      <c r="Z1242" s="135" t="s">
        <v>2858</v>
      </c>
      <c r="AA1242" s="135"/>
      <c r="AB1242" s="135"/>
      <c r="AC1242" s="135"/>
      <c r="AD1242" s="135">
        <v>46143.0</v>
      </c>
      <c r="AE1242" s="135"/>
      <c r="AF1242" s="135"/>
      <c r="AG1242" s="135"/>
    </row>
    <row r="1243" ht="21.75" hidden="1" customHeight="1">
      <c r="A1243" s="135">
        <v>1239.0</v>
      </c>
      <c r="B1243" s="135">
        <v>25045.0</v>
      </c>
      <c r="C1243" s="135"/>
      <c r="D1243" s="135">
        <v>29.0</v>
      </c>
      <c r="E1243" s="135" t="s">
        <v>3517</v>
      </c>
      <c r="F1243" s="135" t="s">
        <v>913</v>
      </c>
      <c r="G1243" s="135" t="s">
        <v>158</v>
      </c>
      <c r="H1243" s="135" t="s">
        <v>2853</v>
      </c>
      <c r="I1243" s="135" t="s">
        <v>169</v>
      </c>
      <c r="J1243" s="135">
        <v>1.0</v>
      </c>
      <c r="K1243" s="135" t="s">
        <v>3134</v>
      </c>
      <c r="L1243" s="135">
        <v>4656.0</v>
      </c>
      <c r="M1243" s="135">
        <v>2900.0</v>
      </c>
      <c r="N1243" s="135">
        <v>120.0</v>
      </c>
      <c r="O1243" s="135">
        <v>1.836</v>
      </c>
      <c r="P1243" s="136">
        <v>0.0</v>
      </c>
      <c r="Q1243" s="137">
        <v>4.59</v>
      </c>
      <c r="R1243" s="136">
        <v>46120.0</v>
      </c>
      <c r="S1243" s="135" t="s">
        <v>3528</v>
      </c>
      <c r="T1243" s="136"/>
      <c r="U1243" s="135" t="s">
        <v>2855</v>
      </c>
      <c r="V1243" s="135" t="s">
        <v>2876</v>
      </c>
      <c r="W1243" s="135" t="s">
        <v>3677</v>
      </c>
      <c r="X1243" s="135"/>
      <c r="Y1243" s="135"/>
      <c r="Z1243" s="135" t="s">
        <v>2858</v>
      </c>
      <c r="AA1243" s="135"/>
      <c r="AB1243" s="135"/>
      <c r="AC1243" s="135"/>
      <c r="AD1243" s="135">
        <v>46144.0</v>
      </c>
      <c r="AE1243" s="135"/>
      <c r="AF1243" s="135"/>
      <c r="AG1243" s="135"/>
    </row>
    <row r="1244" ht="21.75" hidden="1" customHeight="1">
      <c r="A1244" s="135">
        <v>1240.0</v>
      </c>
      <c r="B1244" s="135">
        <v>25045.0</v>
      </c>
      <c r="C1244" s="135"/>
      <c r="D1244" s="135">
        <v>29.0</v>
      </c>
      <c r="E1244" s="135" t="s">
        <v>3517</v>
      </c>
      <c r="F1244" s="135" t="s">
        <v>914</v>
      </c>
      <c r="G1244" s="135" t="s">
        <v>158</v>
      </c>
      <c r="H1244" s="135" t="s">
        <v>2853</v>
      </c>
      <c r="I1244" s="135" t="s">
        <v>169</v>
      </c>
      <c r="J1244" s="135">
        <v>1.0</v>
      </c>
      <c r="K1244" s="135"/>
      <c r="L1244" s="135">
        <v>4656.0</v>
      </c>
      <c r="M1244" s="135">
        <v>2900.0</v>
      </c>
      <c r="N1244" s="135">
        <v>120.0</v>
      </c>
      <c r="O1244" s="135">
        <v>1.554</v>
      </c>
      <c r="P1244" s="136">
        <v>0.0</v>
      </c>
      <c r="Q1244" s="137">
        <v>3.8850000000000002</v>
      </c>
      <c r="R1244" s="136">
        <v>46127.0</v>
      </c>
      <c r="S1244" s="135" t="s">
        <v>3514</v>
      </c>
      <c r="T1244" s="136"/>
      <c r="U1244" s="135" t="s">
        <v>2864</v>
      </c>
      <c r="V1244" s="135" t="s">
        <v>2985</v>
      </c>
      <c r="W1244" s="135" t="s">
        <v>3678</v>
      </c>
      <c r="X1244" s="135" t="s">
        <v>3679</v>
      </c>
      <c r="Y1244" s="135"/>
      <c r="Z1244" s="135" t="s">
        <v>2858</v>
      </c>
      <c r="AA1244" s="135"/>
      <c r="AB1244" s="135"/>
      <c r="AC1244" s="135"/>
      <c r="AD1244" s="135">
        <v>0.0</v>
      </c>
      <c r="AE1244" s="135"/>
      <c r="AF1244" s="135"/>
      <c r="AG1244" s="135"/>
    </row>
    <row r="1245" ht="21.75" hidden="1" customHeight="1">
      <c r="A1245" s="135">
        <v>1241.0</v>
      </c>
      <c r="B1245" s="135">
        <v>25045.0</v>
      </c>
      <c r="C1245" s="135"/>
      <c r="D1245" s="135">
        <v>29.0</v>
      </c>
      <c r="E1245" s="135" t="s">
        <v>3513</v>
      </c>
      <c r="F1245" s="135" t="s">
        <v>960</v>
      </c>
      <c r="G1245" s="135" t="s">
        <v>158</v>
      </c>
      <c r="H1245" s="135" t="s">
        <v>2853</v>
      </c>
      <c r="I1245" s="135" t="s">
        <v>172</v>
      </c>
      <c r="J1245" s="135">
        <v>1.0</v>
      </c>
      <c r="K1245" s="135" t="s">
        <v>3134</v>
      </c>
      <c r="L1245" s="135">
        <v>4642.0</v>
      </c>
      <c r="M1245" s="135">
        <v>3400.0</v>
      </c>
      <c r="N1245" s="135">
        <v>120.0</v>
      </c>
      <c r="O1245" s="135">
        <v>2.266</v>
      </c>
      <c r="P1245" s="136">
        <v>0.0</v>
      </c>
      <c r="Q1245" s="137">
        <v>5.665</v>
      </c>
      <c r="R1245" s="136">
        <v>46120.0</v>
      </c>
      <c r="S1245" s="135" t="s">
        <v>3528</v>
      </c>
      <c r="T1245" s="136"/>
      <c r="U1245" s="135" t="s">
        <v>2855</v>
      </c>
      <c r="V1245" s="135" t="s">
        <v>2878</v>
      </c>
      <c r="W1245" s="135" t="s">
        <v>3680</v>
      </c>
      <c r="X1245" s="135"/>
      <c r="Y1245" s="135"/>
      <c r="Z1245" s="135" t="s">
        <v>2858</v>
      </c>
      <c r="AA1245" s="135"/>
      <c r="AB1245" s="135"/>
      <c r="AC1245" s="135"/>
      <c r="AD1245" s="135">
        <v>46129.0</v>
      </c>
      <c r="AE1245" s="135"/>
      <c r="AF1245" s="135"/>
      <c r="AG1245" s="135"/>
    </row>
    <row r="1246" ht="21.75" hidden="1" customHeight="1">
      <c r="A1246" s="135">
        <v>1242.0</v>
      </c>
      <c r="B1246" s="135">
        <v>25045.0</v>
      </c>
      <c r="C1246" s="135"/>
      <c r="D1246" s="135">
        <v>29.0</v>
      </c>
      <c r="E1246" s="135" t="s">
        <v>3513</v>
      </c>
      <c r="F1246" s="135" t="s">
        <v>961</v>
      </c>
      <c r="G1246" s="135" t="s">
        <v>158</v>
      </c>
      <c r="H1246" s="135" t="s">
        <v>2853</v>
      </c>
      <c r="I1246" s="135" t="s">
        <v>172</v>
      </c>
      <c r="J1246" s="135">
        <v>1.0</v>
      </c>
      <c r="K1246" s="135" t="s">
        <v>3134</v>
      </c>
      <c r="L1246" s="135">
        <v>4642.0</v>
      </c>
      <c r="M1246" s="135">
        <v>3400.0</v>
      </c>
      <c r="N1246" s="135">
        <v>120.0</v>
      </c>
      <c r="O1246" s="135">
        <v>2.266</v>
      </c>
      <c r="P1246" s="136">
        <v>0.0</v>
      </c>
      <c r="Q1246" s="137">
        <v>5.665</v>
      </c>
      <c r="R1246" s="136">
        <v>46120.0</v>
      </c>
      <c r="S1246" s="135" t="s">
        <v>3528</v>
      </c>
      <c r="T1246" s="136"/>
      <c r="U1246" s="135" t="s">
        <v>2855</v>
      </c>
      <c r="V1246" s="135" t="s">
        <v>2878</v>
      </c>
      <c r="W1246" s="135" t="s">
        <v>3680</v>
      </c>
      <c r="X1246" s="135"/>
      <c r="Y1246" s="135"/>
      <c r="Z1246" s="135" t="s">
        <v>2858</v>
      </c>
      <c r="AA1246" s="135"/>
      <c r="AB1246" s="135"/>
      <c r="AC1246" s="135"/>
      <c r="AD1246" s="135">
        <v>46130.0</v>
      </c>
      <c r="AE1246" s="135"/>
      <c r="AF1246" s="135"/>
      <c r="AG1246" s="135"/>
    </row>
    <row r="1247" ht="21.75" hidden="1" customHeight="1">
      <c r="A1247" s="135">
        <v>1243.0</v>
      </c>
      <c r="B1247" s="135">
        <v>25045.0</v>
      </c>
      <c r="C1247" s="135"/>
      <c r="D1247" s="135">
        <v>29.0</v>
      </c>
      <c r="E1247" s="135" t="s">
        <v>3513</v>
      </c>
      <c r="F1247" s="135" t="s">
        <v>962</v>
      </c>
      <c r="G1247" s="135" t="s">
        <v>158</v>
      </c>
      <c r="H1247" s="135" t="s">
        <v>2853</v>
      </c>
      <c r="I1247" s="135" t="s">
        <v>172</v>
      </c>
      <c r="J1247" s="135">
        <v>1.0</v>
      </c>
      <c r="K1247" s="135" t="s">
        <v>3134</v>
      </c>
      <c r="L1247" s="135">
        <v>4642.0</v>
      </c>
      <c r="M1247" s="135">
        <v>3400.0</v>
      </c>
      <c r="N1247" s="135">
        <v>120.0</v>
      </c>
      <c r="O1247" s="135">
        <v>2.266</v>
      </c>
      <c r="P1247" s="136">
        <v>0.0</v>
      </c>
      <c r="Q1247" s="137">
        <v>5.665</v>
      </c>
      <c r="R1247" s="136">
        <v>46120.0</v>
      </c>
      <c r="S1247" s="135" t="s">
        <v>3528</v>
      </c>
      <c r="T1247" s="136"/>
      <c r="U1247" s="135" t="s">
        <v>2855</v>
      </c>
      <c r="V1247" s="135" t="s">
        <v>2878</v>
      </c>
      <c r="W1247" s="135" t="s">
        <v>3680</v>
      </c>
      <c r="X1247" s="135"/>
      <c r="Y1247" s="135"/>
      <c r="Z1247" s="135" t="s">
        <v>2858</v>
      </c>
      <c r="AA1247" s="135"/>
      <c r="AB1247" s="135"/>
      <c r="AC1247" s="135"/>
      <c r="AD1247" s="135">
        <v>46132.0</v>
      </c>
      <c r="AE1247" s="135"/>
      <c r="AF1247" s="135"/>
      <c r="AG1247" s="135"/>
    </row>
    <row r="1248" ht="21.75" hidden="1" customHeight="1">
      <c r="A1248" s="135">
        <v>1244.0</v>
      </c>
      <c r="B1248" s="135">
        <v>25045.0</v>
      </c>
      <c r="C1248" s="135"/>
      <c r="D1248" s="135">
        <v>29.0</v>
      </c>
      <c r="E1248" s="135" t="s">
        <v>3513</v>
      </c>
      <c r="F1248" s="135" t="s">
        <v>963</v>
      </c>
      <c r="G1248" s="135" t="s">
        <v>158</v>
      </c>
      <c r="H1248" s="135" t="s">
        <v>2853</v>
      </c>
      <c r="I1248" s="135" t="s">
        <v>172</v>
      </c>
      <c r="J1248" s="135">
        <v>1.0</v>
      </c>
      <c r="K1248" s="135"/>
      <c r="L1248" s="135">
        <v>5015.0</v>
      </c>
      <c r="M1248" s="135">
        <v>3400.0</v>
      </c>
      <c r="N1248" s="135">
        <v>120.0</v>
      </c>
      <c r="O1248" s="135">
        <v>2.383</v>
      </c>
      <c r="P1248" s="136">
        <v>0.0</v>
      </c>
      <c r="Q1248" s="137">
        <v>5.9575</v>
      </c>
      <c r="R1248" s="136">
        <v>46120.0</v>
      </c>
      <c r="S1248" s="135" t="s">
        <v>3528</v>
      </c>
      <c r="T1248" s="136"/>
      <c r="U1248" s="135" t="s">
        <v>2855</v>
      </c>
      <c r="V1248" s="135" t="s">
        <v>2878</v>
      </c>
      <c r="W1248" s="135" t="s">
        <v>2915</v>
      </c>
      <c r="X1248" s="135"/>
      <c r="Y1248" s="135"/>
      <c r="Z1248" s="135" t="s">
        <v>2858</v>
      </c>
      <c r="AA1248" s="135"/>
      <c r="AB1248" s="135"/>
      <c r="AC1248" s="135"/>
      <c r="AD1248" s="135">
        <v>46127.0</v>
      </c>
      <c r="AE1248" s="135"/>
      <c r="AF1248" s="135"/>
      <c r="AG1248" s="135"/>
    </row>
    <row r="1249" ht="21.75" hidden="1" customHeight="1">
      <c r="A1249" s="135">
        <v>1245.0</v>
      </c>
      <c r="B1249" s="135">
        <v>25045.0</v>
      </c>
      <c r="C1249" s="135"/>
      <c r="D1249" s="135">
        <v>29.0</v>
      </c>
      <c r="E1249" s="135" t="s">
        <v>3525</v>
      </c>
      <c r="F1249" s="135" t="s">
        <v>972</v>
      </c>
      <c r="G1249" s="135" t="s">
        <v>158</v>
      </c>
      <c r="H1249" s="135" t="s">
        <v>2853</v>
      </c>
      <c r="I1249" s="135" t="s">
        <v>173</v>
      </c>
      <c r="J1249" s="135">
        <v>1.0</v>
      </c>
      <c r="K1249" s="135"/>
      <c r="L1249" s="135">
        <v>5015.0</v>
      </c>
      <c r="M1249" s="135">
        <v>3400.0</v>
      </c>
      <c r="N1249" s="135">
        <v>120.0</v>
      </c>
      <c r="O1249" s="135">
        <v>2.383</v>
      </c>
      <c r="P1249" s="136">
        <v>0.0</v>
      </c>
      <c r="Q1249" s="137">
        <v>5.9575</v>
      </c>
      <c r="R1249" s="136">
        <v>46120.0</v>
      </c>
      <c r="S1249" s="135" t="s">
        <v>3528</v>
      </c>
      <c r="T1249" s="136"/>
      <c r="U1249" s="135" t="s">
        <v>2855</v>
      </c>
      <c r="V1249" s="135" t="s">
        <v>2878</v>
      </c>
      <c r="W1249" s="135" t="s">
        <v>3056</v>
      </c>
      <c r="X1249" s="135"/>
      <c r="Y1249" s="135"/>
      <c r="Z1249" s="135" t="s">
        <v>2858</v>
      </c>
      <c r="AA1249" s="135"/>
      <c r="AB1249" s="135"/>
      <c r="AC1249" s="135"/>
      <c r="AD1249" s="135">
        <v>46156.0</v>
      </c>
      <c r="AE1249" s="135"/>
      <c r="AF1249" s="135"/>
      <c r="AG1249" s="135"/>
    </row>
    <row r="1250" ht="21.75" hidden="1" customHeight="1">
      <c r="A1250" s="135">
        <v>1246.0</v>
      </c>
      <c r="B1250" s="135">
        <v>25045.0</v>
      </c>
      <c r="C1250" s="135"/>
      <c r="D1250" s="135">
        <v>29.0</v>
      </c>
      <c r="E1250" s="135" t="s">
        <v>3525</v>
      </c>
      <c r="F1250" s="135" t="s">
        <v>973</v>
      </c>
      <c r="G1250" s="135" t="s">
        <v>158</v>
      </c>
      <c r="H1250" s="135" t="s">
        <v>2853</v>
      </c>
      <c r="I1250" s="135" t="s">
        <v>173</v>
      </c>
      <c r="J1250" s="135">
        <v>1.0</v>
      </c>
      <c r="K1250" s="135" t="s">
        <v>3134</v>
      </c>
      <c r="L1250" s="135">
        <v>4480.0</v>
      </c>
      <c r="M1250" s="135">
        <v>3400.0</v>
      </c>
      <c r="N1250" s="135">
        <v>120.0</v>
      </c>
      <c r="O1250" s="135">
        <v>2.216</v>
      </c>
      <c r="P1250" s="136">
        <v>0.0</v>
      </c>
      <c r="Q1250" s="137">
        <v>5.540000000000001</v>
      </c>
      <c r="R1250" s="136">
        <v>46120.0</v>
      </c>
      <c r="S1250" s="135" t="s">
        <v>3528</v>
      </c>
      <c r="T1250" s="136"/>
      <c r="U1250" s="135" t="s">
        <v>2855</v>
      </c>
      <c r="V1250" s="135" t="s">
        <v>2878</v>
      </c>
      <c r="W1250" s="135" t="s">
        <v>3681</v>
      </c>
      <c r="X1250" s="135"/>
      <c r="Y1250" s="135"/>
      <c r="Z1250" s="135" t="s">
        <v>2858</v>
      </c>
      <c r="AA1250" s="135"/>
      <c r="AB1250" s="135"/>
      <c r="AC1250" s="135"/>
      <c r="AD1250" s="135">
        <v>46133.0</v>
      </c>
      <c r="AE1250" s="135"/>
      <c r="AF1250" s="135"/>
      <c r="AG1250" s="135"/>
    </row>
    <row r="1251" ht="21.75" hidden="1" customHeight="1">
      <c r="A1251" s="135">
        <v>1247.0</v>
      </c>
      <c r="B1251" s="135">
        <v>25045.0</v>
      </c>
      <c r="C1251" s="135"/>
      <c r="D1251" s="135">
        <v>29.0</v>
      </c>
      <c r="E1251" s="135" t="s">
        <v>3525</v>
      </c>
      <c r="F1251" s="135" t="s">
        <v>974</v>
      </c>
      <c r="G1251" s="135" t="s">
        <v>158</v>
      </c>
      <c r="H1251" s="135" t="s">
        <v>2853</v>
      </c>
      <c r="I1251" s="135" t="s">
        <v>173</v>
      </c>
      <c r="J1251" s="135">
        <v>1.0</v>
      </c>
      <c r="K1251" s="135" t="s">
        <v>3134</v>
      </c>
      <c r="L1251" s="135">
        <v>4480.0</v>
      </c>
      <c r="M1251" s="135">
        <v>3400.0</v>
      </c>
      <c r="N1251" s="135">
        <v>120.0</v>
      </c>
      <c r="O1251" s="135">
        <v>2.216</v>
      </c>
      <c r="P1251" s="136">
        <v>0.0</v>
      </c>
      <c r="Q1251" s="137">
        <v>5.540000000000001</v>
      </c>
      <c r="R1251" s="136">
        <v>46120.0</v>
      </c>
      <c r="S1251" s="135" t="s">
        <v>3528</v>
      </c>
      <c r="T1251" s="136"/>
      <c r="U1251" s="135" t="s">
        <v>2855</v>
      </c>
      <c r="V1251" s="135" t="s">
        <v>2878</v>
      </c>
      <c r="W1251" s="135" t="s">
        <v>3681</v>
      </c>
      <c r="X1251" s="135"/>
      <c r="Y1251" s="135"/>
      <c r="Z1251" s="135" t="s">
        <v>2858</v>
      </c>
      <c r="AA1251" s="135"/>
      <c r="AB1251" s="135"/>
      <c r="AC1251" s="135"/>
      <c r="AD1251" s="135">
        <v>46134.0</v>
      </c>
      <c r="AE1251" s="135"/>
      <c r="AF1251" s="135"/>
      <c r="AG1251" s="135"/>
    </row>
    <row r="1252" ht="21.75" hidden="1" customHeight="1">
      <c r="A1252" s="135">
        <v>1248.0</v>
      </c>
      <c r="B1252" s="135">
        <v>25045.0</v>
      </c>
      <c r="C1252" s="135"/>
      <c r="D1252" s="135">
        <v>29.0</v>
      </c>
      <c r="E1252" s="135" t="s">
        <v>3525</v>
      </c>
      <c r="F1252" s="135" t="s">
        <v>975</v>
      </c>
      <c r="G1252" s="135" t="s">
        <v>158</v>
      </c>
      <c r="H1252" s="135" t="s">
        <v>2853</v>
      </c>
      <c r="I1252" s="135" t="s">
        <v>173</v>
      </c>
      <c r="J1252" s="135">
        <v>1.0</v>
      </c>
      <c r="K1252" s="135" t="s">
        <v>3134</v>
      </c>
      <c r="L1252" s="135">
        <v>4480.0</v>
      </c>
      <c r="M1252" s="135">
        <v>3400.0</v>
      </c>
      <c r="N1252" s="135">
        <v>120.0</v>
      </c>
      <c r="O1252" s="135">
        <v>2.216</v>
      </c>
      <c r="P1252" s="136">
        <v>0.0</v>
      </c>
      <c r="Q1252" s="137">
        <v>5.540000000000001</v>
      </c>
      <c r="R1252" s="136">
        <v>46120.0</v>
      </c>
      <c r="S1252" s="135" t="s">
        <v>3528</v>
      </c>
      <c r="T1252" s="136"/>
      <c r="U1252" s="135" t="s">
        <v>2855</v>
      </c>
      <c r="V1252" s="135" t="s">
        <v>2878</v>
      </c>
      <c r="W1252" s="135" t="s">
        <v>3681</v>
      </c>
      <c r="X1252" s="135"/>
      <c r="Y1252" s="135"/>
      <c r="Z1252" s="135" t="s">
        <v>2858</v>
      </c>
      <c r="AA1252" s="135"/>
      <c r="AB1252" s="135"/>
      <c r="AC1252" s="135"/>
      <c r="AD1252" s="135">
        <v>46135.0</v>
      </c>
      <c r="AE1252" s="135"/>
      <c r="AF1252" s="135"/>
      <c r="AG1252" s="135"/>
    </row>
    <row r="1253" ht="21.75" hidden="1" customHeight="1">
      <c r="A1253" s="135">
        <v>1249.0</v>
      </c>
      <c r="B1253" s="135">
        <v>25045.0</v>
      </c>
      <c r="C1253" s="135"/>
      <c r="D1253" s="135">
        <v>29.0</v>
      </c>
      <c r="E1253" s="135" t="s">
        <v>3525</v>
      </c>
      <c r="F1253" s="135" t="s">
        <v>976</v>
      </c>
      <c r="G1253" s="135" t="s">
        <v>158</v>
      </c>
      <c r="H1253" s="135" t="s">
        <v>2853</v>
      </c>
      <c r="I1253" s="135" t="s">
        <v>173</v>
      </c>
      <c r="J1253" s="135">
        <v>1.0</v>
      </c>
      <c r="K1253" s="135"/>
      <c r="L1253" s="135">
        <v>4480.0</v>
      </c>
      <c r="M1253" s="135">
        <v>3400.0</v>
      </c>
      <c r="N1253" s="135">
        <v>120.0</v>
      </c>
      <c r="O1253" s="135">
        <v>1.879</v>
      </c>
      <c r="P1253" s="136">
        <v>0.0</v>
      </c>
      <c r="Q1253" s="137">
        <v>4.6975</v>
      </c>
      <c r="R1253" s="136">
        <v>46120.0</v>
      </c>
      <c r="S1253" s="135" t="s">
        <v>3528</v>
      </c>
      <c r="T1253" s="136"/>
      <c r="U1253" s="135" t="s">
        <v>2864</v>
      </c>
      <c r="V1253" s="135" t="s">
        <v>2890</v>
      </c>
      <c r="W1253" s="135" t="s">
        <v>3682</v>
      </c>
      <c r="X1253" s="135" t="s">
        <v>2895</v>
      </c>
      <c r="Y1253" s="135"/>
      <c r="Z1253" s="135" t="s">
        <v>2858</v>
      </c>
      <c r="AA1253" s="135"/>
      <c r="AB1253" s="135"/>
      <c r="AC1253" s="135"/>
      <c r="AD1253" s="135">
        <v>46150.0</v>
      </c>
      <c r="AE1253" s="135"/>
      <c r="AF1253" s="135"/>
      <c r="AG1253" s="135"/>
    </row>
    <row r="1254" ht="21.75" hidden="1" customHeight="1">
      <c r="A1254" s="135">
        <v>1250.0</v>
      </c>
      <c r="B1254" s="135">
        <v>25045.0</v>
      </c>
      <c r="C1254" s="135"/>
      <c r="D1254" s="135">
        <v>29.0</v>
      </c>
      <c r="E1254" s="135" t="s">
        <v>3525</v>
      </c>
      <c r="F1254" s="135" t="s">
        <v>977</v>
      </c>
      <c r="G1254" s="135" t="s">
        <v>158</v>
      </c>
      <c r="H1254" s="135" t="s">
        <v>2853</v>
      </c>
      <c r="I1254" s="135" t="s">
        <v>173</v>
      </c>
      <c r="J1254" s="135">
        <v>1.0</v>
      </c>
      <c r="K1254" s="135"/>
      <c r="L1254" s="135">
        <v>3612.0</v>
      </c>
      <c r="M1254" s="135">
        <v>3000.0</v>
      </c>
      <c r="N1254" s="135">
        <v>120.0</v>
      </c>
      <c r="O1254" s="135">
        <v>1.141</v>
      </c>
      <c r="P1254" s="136">
        <v>0.0</v>
      </c>
      <c r="Q1254" s="137">
        <v>2.8525</v>
      </c>
      <c r="R1254" s="136">
        <v>46120.0</v>
      </c>
      <c r="S1254" s="135" t="s">
        <v>3528</v>
      </c>
      <c r="T1254" s="136"/>
      <c r="U1254" s="135" t="s">
        <v>2864</v>
      </c>
      <c r="V1254" s="135" t="s">
        <v>2865</v>
      </c>
      <c r="W1254" s="135" t="s">
        <v>3683</v>
      </c>
      <c r="X1254" s="135" t="s">
        <v>2895</v>
      </c>
      <c r="Y1254" s="135"/>
      <c r="Z1254" s="135" t="s">
        <v>2858</v>
      </c>
      <c r="AA1254" s="135"/>
      <c r="AB1254" s="135"/>
      <c r="AC1254" s="135"/>
      <c r="AD1254" s="135">
        <v>46129.0</v>
      </c>
      <c r="AE1254" s="135"/>
      <c r="AF1254" s="135"/>
      <c r="AG1254" s="135"/>
    </row>
    <row r="1255" ht="21.75" hidden="1" customHeight="1">
      <c r="A1255" s="135">
        <v>1251.0</v>
      </c>
      <c r="B1255" s="135">
        <v>25045.0</v>
      </c>
      <c r="C1255" s="135"/>
      <c r="D1255" s="135">
        <v>29.0</v>
      </c>
      <c r="E1255" s="135" t="s">
        <v>3525</v>
      </c>
      <c r="F1255" s="135" t="s">
        <v>978</v>
      </c>
      <c r="G1255" s="135" t="s">
        <v>158</v>
      </c>
      <c r="H1255" s="135" t="s">
        <v>2853</v>
      </c>
      <c r="I1255" s="135" t="s">
        <v>173</v>
      </c>
      <c r="J1255" s="135">
        <v>1.0</v>
      </c>
      <c r="K1255" s="135"/>
      <c r="L1255" s="135">
        <v>5590.0</v>
      </c>
      <c r="M1255" s="135">
        <v>3000.0</v>
      </c>
      <c r="N1255" s="135">
        <v>120.0</v>
      </c>
      <c r="O1255" s="135">
        <v>2.096</v>
      </c>
      <c r="P1255" s="136">
        <v>0.0</v>
      </c>
      <c r="Q1255" s="137">
        <v>5.24</v>
      </c>
      <c r="R1255" s="136">
        <v>46120.0</v>
      </c>
      <c r="S1255" s="135" t="s">
        <v>3528</v>
      </c>
      <c r="T1255" s="136"/>
      <c r="U1255" s="135" t="s">
        <v>2855</v>
      </c>
      <c r="V1255" s="135" t="s">
        <v>2868</v>
      </c>
      <c r="W1255" s="135" t="s">
        <v>3684</v>
      </c>
      <c r="X1255" s="135" t="s">
        <v>2872</v>
      </c>
      <c r="Y1255" s="135"/>
      <c r="Z1255" s="135" t="s">
        <v>2858</v>
      </c>
      <c r="AA1255" s="135"/>
      <c r="AB1255" s="135"/>
      <c r="AC1255" s="135"/>
      <c r="AD1255" s="135">
        <v>46129.0</v>
      </c>
      <c r="AE1255" s="135"/>
      <c r="AF1255" s="135"/>
      <c r="AG1255" s="135"/>
    </row>
    <row r="1256" ht="21.75" hidden="1" customHeight="1">
      <c r="A1256" s="135">
        <v>1252.0</v>
      </c>
      <c r="B1256" s="135">
        <v>25045.0</v>
      </c>
      <c r="C1256" s="135"/>
      <c r="D1256" s="135">
        <v>29.0</v>
      </c>
      <c r="E1256" s="135" t="s">
        <v>3525</v>
      </c>
      <c r="F1256" s="135" t="s">
        <v>979</v>
      </c>
      <c r="G1256" s="135" t="s">
        <v>158</v>
      </c>
      <c r="H1256" s="135" t="s">
        <v>2853</v>
      </c>
      <c r="I1256" s="135" t="s">
        <v>173</v>
      </c>
      <c r="J1256" s="135">
        <v>1.0</v>
      </c>
      <c r="K1256" s="135"/>
      <c r="L1256" s="135">
        <v>5140.0</v>
      </c>
      <c r="M1256" s="135">
        <v>3200.0</v>
      </c>
      <c r="N1256" s="135">
        <v>120.0</v>
      </c>
      <c r="O1256" s="135">
        <v>2.054</v>
      </c>
      <c r="P1256" s="136">
        <v>0.0</v>
      </c>
      <c r="Q1256" s="137">
        <v>5.135</v>
      </c>
      <c r="R1256" s="136">
        <v>46120.0</v>
      </c>
      <c r="S1256" s="135" t="s">
        <v>3528</v>
      </c>
      <c r="T1256" s="136"/>
      <c r="U1256" s="135" t="s">
        <v>2855</v>
      </c>
      <c r="V1256" s="135" t="s">
        <v>2868</v>
      </c>
      <c r="W1256" s="135" t="s">
        <v>3685</v>
      </c>
      <c r="X1256" s="135" t="s">
        <v>2870</v>
      </c>
      <c r="Y1256" s="135"/>
      <c r="Z1256" s="135" t="s">
        <v>2858</v>
      </c>
      <c r="AA1256" s="135"/>
      <c r="AB1256" s="135"/>
      <c r="AC1256" s="135"/>
      <c r="AD1256" s="135">
        <v>46133.0</v>
      </c>
      <c r="AE1256" s="135"/>
      <c r="AF1256" s="135"/>
      <c r="AG1256" s="135"/>
    </row>
    <row r="1257" ht="21.75" hidden="1" customHeight="1">
      <c r="A1257" s="135">
        <v>1253.0</v>
      </c>
      <c r="B1257" s="135">
        <v>25045.0</v>
      </c>
      <c r="C1257" s="135"/>
      <c r="D1257" s="135">
        <v>29.0</v>
      </c>
      <c r="E1257" s="135" t="s">
        <v>3525</v>
      </c>
      <c r="F1257" s="135" t="s">
        <v>980</v>
      </c>
      <c r="G1257" s="135" t="s">
        <v>158</v>
      </c>
      <c r="H1257" s="135" t="s">
        <v>2853</v>
      </c>
      <c r="I1257" s="135" t="s">
        <v>173</v>
      </c>
      <c r="J1257" s="135">
        <v>1.0</v>
      </c>
      <c r="K1257" s="135"/>
      <c r="L1257" s="135">
        <v>4090.0</v>
      </c>
      <c r="M1257" s="135">
        <v>3200.0</v>
      </c>
      <c r="N1257" s="135">
        <v>120.0</v>
      </c>
      <c r="O1257" s="135">
        <v>1.677</v>
      </c>
      <c r="P1257" s="136">
        <v>0.0</v>
      </c>
      <c r="Q1257" s="137">
        <v>4.1925</v>
      </c>
      <c r="R1257" s="136">
        <v>46120.0</v>
      </c>
      <c r="S1257" s="135" t="s">
        <v>3528</v>
      </c>
      <c r="T1257" s="136"/>
      <c r="U1257" s="135" t="s">
        <v>2864</v>
      </c>
      <c r="V1257" s="135" t="s">
        <v>2865</v>
      </c>
      <c r="W1257" s="135" t="s">
        <v>2971</v>
      </c>
      <c r="X1257" s="135" t="s">
        <v>2872</v>
      </c>
      <c r="Y1257" s="135"/>
      <c r="Z1257" s="135" t="s">
        <v>2858</v>
      </c>
      <c r="AA1257" s="135"/>
      <c r="AB1257" s="135"/>
      <c r="AC1257" s="135"/>
      <c r="AD1257" s="135">
        <v>46127.0</v>
      </c>
      <c r="AE1257" s="135"/>
      <c r="AF1257" s="135"/>
      <c r="AG1257" s="135"/>
    </row>
    <row r="1258" ht="21.75" hidden="1" customHeight="1">
      <c r="A1258" s="135">
        <v>1254.0</v>
      </c>
      <c r="B1258" s="135">
        <v>25045.0</v>
      </c>
      <c r="C1258" s="135"/>
      <c r="D1258" s="135">
        <v>29.0</v>
      </c>
      <c r="E1258" s="135" t="s">
        <v>3686</v>
      </c>
      <c r="F1258" s="135" t="s">
        <v>981</v>
      </c>
      <c r="G1258" s="135" t="s">
        <v>158</v>
      </c>
      <c r="H1258" s="135" t="s">
        <v>2853</v>
      </c>
      <c r="I1258" s="135" t="s">
        <v>173</v>
      </c>
      <c r="J1258" s="135">
        <v>1.0</v>
      </c>
      <c r="K1258" s="135"/>
      <c r="L1258" s="135">
        <v>4350.0</v>
      </c>
      <c r="M1258" s="135">
        <v>3300.0</v>
      </c>
      <c r="N1258" s="135">
        <v>120.0</v>
      </c>
      <c r="O1258" s="135">
        <v>1.846</v>
      </c>
      <c r="P1258" s="136">
        <v>0.0</v>
      </c>
      <c r="Q1258" s="137">
        <v>4.615</v>
      </c>
      <c r="R1258" s="136">
        <v>46120.0</v>
      </c>
      <c r="S1258" s="135" t="s">
        <v>3528</v>
      </c>
      <c r="T1258" s="136"/>
      <c r="U1258" s="135" t="s">
        <v>2864</v>
      </c>
      <c r="V1258" s="135" t="s">
        <v>3041</v>
      </c>
      <c r="W1258" s="135" t="s">
        <v>3687</v>
      </c>
      <c r="X1258" s="135" t="s">
        <v>2867</v>
      </c>
      <c r="Y1258" s="135"/>
      <c r="Z1258" s="135" t="s">
        <v>2858</v>
      </c>
      <c r="AA1258" s="135"/>
      <c r="AB1258" s="135"/>
      <c r="AC1258" s="135"/>
      <c r="AD1258" s="135">
        <v>0.0</v>
      </c>
      <c r="AE1258" s="135"/>
      <c r="AF1258" s="135"/>
      <c r="AG1258" s="135"/>
    </row>
    <row r="1259" ht="21.75" hidden="1" customHeight="1">
      <c r="A1259" s="135">
        <v>1255.0</v>
      </c>
      <c r="B1259" s="135">
        <v>25045.0</v>
      </c>
      <c r="C1259" s="135" t="s">
        <v>2817</v>
      </c>
      <c r="D1259" s="135">
        <v>7.0</v>
      </c>
      <c r="E1259" s="135" t="s">
        <v>3688</v>
      </c>
      <c r="F1259" s="135" t="s">
        <v>2333</v>
      </c>
      <c r="G1259" s="135" t="s">
        <v>96</v>
      </c>
      <c r="H1259" s="135" t="s">
        <v>2853</v>
      </c>
      <c r="I1259" s="135" t="s">
        <v>97</v>
      </c>
      <c r="J1259" s="135">
        <v>1.0</v>
      </c>
      <c r="K1259" s="135"/>
      <c r="L1259" s="135">
        <v>5756.0</v>
      </c>
      <c r="M1259" s="135">
        <v>1350.0</v>
      </c>
      <c r="N1259" s="135">
        <v>120.0</v>
      </c>
      <c r="O1259" s="135">
        <v>0.98</v>
      </c>
      <c r="P1259" s="136">
        <v>0.0</v>
      </c>
      <c r="Q1259" s="137">
        <v>2.45</v>
      </c>
      <c r="R1259" s="136">
        <v>46122.0</v>
      </c>
      <c r="S1259" s="135" t="s">
        <v>3689</v>
      </c>
      <c r="T1259" s="136"/>
      <c r="U1259" s="135" t="s">
        <v>2855</v>
      </c>
      <c r="V1259" s="135" t="s">
        <v>2856</v>
      </c>
      <c r="W1259" s="135" t="s">
        <v>3690</v>
      </c>
      <c r="X1259" s="135"/>
      <c r="Y1259" s="135"/>
      <c r="Z1259" s="135" t="s">
        <v>2858</v>
      </c>
      <c r="AA1259" s="135"/>
      <c r="AB1259" s="135"/>
      <c r="AC1259" s="135"/>
      <c r="AD1259" s="135">
        <v>46134.0</v>
      </c>
      <c r="AE1259" s="135"/>
      <c r="AF1259" s="135"/>
      <c r="AG1259" s="135"/>
    </row>
    <row r="1260" ht="21.75" hidden="1" customHeight="1">
      <c r="A1260" s="135">
        <v>1256.0</v>
      </c>
      <c r="B1260" s="135">
        <v>25045.0</v>
      </c>
      <c r="C1260" s="135" t="s">
        <v>2817</v>
      </c>
      <c r="D1260" s="135">
        <v>7.0</v>
      </c>
      <c r="E1260" s="135" t="s">
        <v>3688</v>
      </c>
      <c r="F1260" s="135" t="s">
        <v>2334</v>
      </c>
      <c r="G1260" s="135" t="s">
        <v>96</v>
      </c>
      <c r="H1260" s="135" t="s">
        <v>2853</v>
      </c>
      <c r="I1260" s="135" t="s">
        <v>97</v>
      </c>
      <c r="J1260" s="135">
        <v>1.0</v>
      </c>
      <c r="K1260" s="135" t="s">
        <v>3134</v>
      </c>
      <c r="L1260" s="135">
        <v>5756.0</v>
      </c>
      <c r="M1260" s="135">
        <v>1350.0</v>
      </c>
      <c r="N1260" s="135">
        <v>120.0</v>
      </c>
      <c r="O1260" s="135">
        <v>0.98</v>
      </c>
      <c r="P1260" s="136">
        <v>0.0</v>
      </c>
      <c r="Q1260" s="137">
        <v>2.45</v>
      </c>
      <c r="R1260" s="136">
        <v>46122.0</v>
      </c>
      <c r="S1260" s="135" t="s">
        <v>3689</v>
      </c>
      <c r="T1260" s="136"/>
      <c r="U1260" s="135" t="s">
        <v>2855</v>
      </c>
      <c r="V1260" s="135" t="s">
        <v>2856</v>
      </c>
      <c r="W1260" s="135" t="s">
        <v>3690</v>
      </c>
      <c r="X1260" s="135"/>
      <c r="Y1260" s="135"/>
      <c r="Z1260" s="135" t="s">
        <v>2858</v>
      </c>
      <c r="AA1260" s="135"/>
      <c r="AB1260" s="135"/>
      <c r="AC1260" s="135"/>
      <c r="AD1260" s="135">
        <v>46135.0</v>
      </c>
      <c r="AE1260" s="135"/>
      <c r="AF1260" s="135"/>
      <c r="AG1260" s="135"/>
    </row>
    <row r="1261" ht="21.75" hidden="1" customHeight="1">
      <c r="A1261" s="135">
        <v>1257.0</v>
      </c>
      <c r="B1261" s="135">
        <v>25045.0</v>
      </c>
      <c r="C1261" s="135" t="s">
        <v>2817</v>
      </c>
      <c r="D1261" s="135">
        <v>7.0</v>
      </c>
      <c r="E1261" s="135" t="s">
        <v>3688</v>
      </c>
      <c r="F1261" s="135" t="s">
        <v>2335</v>
      </c>
      <c r="G1261" s="135" t="s">
        <v>96</v>
      </c>
      <c r="H1261" s="135" t="s">
        <v>2853</v>
      </c>
      <c r="I1261" s="135" t="s">
        <v>97</v>
      </c>
      <c r="J1261" s="135">
        <v>1.0</v>
      </c>
      <c r="K1261" s="135" t="s">
        <v>3134</v>
      </c>
      <c r="L1261" s="135">
        <v>5756.0</v>
      </c>
      <c r="M1261" s="135">
        <v>1350.0</v>
      </c>
      <c r="N1261" s="135">
        <v>120.0</v>
      </c>
      <c r="O1261" s="135">
        <v>0.98</v>
      </c>
      <c r="P1261" s="136">
        <v>0.0</v>
      </c>
      <c r="Q1261" s="137">
        <v>2.45</v>
      </c>
      <c r="R1261" s="136">
        <v>46122.0</v>
      </c>
      <c r="S1261" s="135" t="s">
        <v>3689</v>
      </c>
      <c r="T1261" s="136"/>
      <c r="U1261" s="135" t="s">
        <v>2855</v>
      </c>
      <c r="V1261" s="135" t="s">
        <v>2856</v>
      </c>
      <c r="W1261" s="135" t="s">
        <v>3690</v>
      </c>
      <c r="X1261" s="135"/>
      <c r="Y1261" s="135"/>
      <c r="Z1261" s="135" t="s">
        <v>2858</v>
      </c>
      <c r="AA1261" s="135"/>
      <c r="AB1261" s="135"/>
      <c r="AC1261" s="135"/>
      <c r="AD1261" s="135">
        <v>46136.0</v>
      </c>
      <c r="AE1261" s="135"/>
      <c r="AF1261" s="135"/>
      <c r="AG1261" s="135"/>
    </row>
    <row r="1262" ht="21.75" hidden="1" customHeight="1">
      <c r="A1262" s="135">
        <v>1258.0</v>
      </c>
      <c r="B1262" s="135">
        <v>25045.0</v>
      </c>
      <c r="C1262" s="135"/>
      <c r="D1262" s="135">
        <v>7.0</v>
      </c>
      <c r="E1262" s="135" t="s">
        <v>3688</v>
      </c>
      <c r="F1262" s="135" t="s">
        <v>2336</v>
      </c>
      <c r="G1262" s="135" t="s">
        <v>96</v>
      </c>
      <c r="H1262" s="135" t="s">
        <v>2853</v>
      </c>
      <c r="I1262" s="135" t="s">
        <v>97</v>
      </c>
      <c r="J1262" s="135">
        <v>1.0</v>
      </c>
      <c r="K1262" s="135"/>
      <c r="L1262" s="135">
        <v>4655.0</v>
      </c>
      <c r="M1262" s="135">
        <v>3100.0</v>
      </c>
      <c r="N1262" s="135">
        <v>120.0</v>
      </c>
      <c r="O1262" s="135">
        <v>1.84</v>
      </c>
      <c r="P1262" s="136">
        <v>0.0</v>
      </c>
      <c r="Q1262" s="137">
        <v>4.6000000000000005</v>
      </c>
      <c r="R1262" s="136">
        <v>46122.0</v>
      </c>
      <c r="S1262" s="135" t="s">
        <v>3689</v>
      </c>
      <c r="T1262" s="136"/>
      <c r="U1262" s="135" t="s">
        <v>2864</v>
      </c>
      <c r="V1262" s="135" t="s">
        <v>3041</v>
      </c>
      <c r="W1262" s="135" t="s">
        <v>3691</v>
      </c>
      <c r="X1262" s="135"/>
      <c r="Y1262" s="135"/>
      <c r="Z1262" s="135" t="s">
        <v>2858</v>
      </c>
      <c r="AA1262" s="135"/>
      <c r="AB1262" s="135"/>
      <c r="AC1262" s="135"/>
      <c r="AD1262" s="135">
        <v>46150.0</v>
      </c>
      <c r="AE1262" s="135"/>
      <c r="AF1262" s="135"/>
      <c r="AG1262" s="135"/>
    </row>
    <row r="1263" ht="21.75" hidden="1" customHeight="1">
      <c r="A1263" s="135">
        <v>1259.0</v>
      </c>
      <c r="B1263" s="135">
        <v>25045.0</v>
      </c>
      <c r="C1263" s="135"/>
      <c r="D1263" s="135">
        <v>7.0</v>
      </c>
      <c r="E1263" s="135" t="s">
        <v>3688</v>
      </c>
      <c r="F1263" s="135" t="s">
        <v>2337</v>
      </c>
      <c r="G1263" s="135" t="s">
        <v>96</v>
      </c>
      <c r="H1263" s="135" t="s">
        <v>2853</v>
      </c>
      <c r="I1263" s="135" t="s">
        <v>97</v>
      </c>
      <c r="J1263" s="135">
        <v>1.0</v>
      </c>
      <c r="K1263" s="135" t="s">
        <v>3134</v>
      </c>
      <c r="L1263" s="135">
        <v>3914.0</v>
      </c>
      <c r="M1263" s="135">
        <v>2850.0</v>
      </c>
      <c r="N1263" s="135">
        <v>120.0</v>
      </c>
      <c r="O1263" s="135">
        <v>1.5</v>
      </c>
      <c r="P1263" s="136">
        <v>0.0</v>
      </c>
      <c r="Q1263" s="137">
        <v>3.75</v>
      </c>
      <c r="R1263" s="136">
        <v>46122.0</v>
      </c>
      <c r="S1263" s="135" t="s">
        <v>3689</v>
      </c>
      <c r="T1263" s="136"/>
      <c r="U1263" s="135" t="s">
        <v>2864</v>
      </c>
      <c r="V1263" s="135" t="s">
        <v>3100</v>
      </c>
      <c r="W1263" s="135" t="s">
        <v>3692</v>
      </c>
      <c r="X1263" s="135"/>
      <c r="Y1263" s="135"/>
      <c r="Z1263" s="135" t="s">
        <v>2858</v>
      </c>
      <c r="AA1263" s="135"/>
      <c r="AB1263" s="135"/>
      <c r="AC1263" s="135"/>
      <c r="AD1263" s="135">
        <v>46137.0</v>
      </c>
      <c r="AE1263" s="135"/>
      <c r="AF1263" s="135"/>
      <c r="AG1263" s="135"/>
    </row>
    <row r="1264" ht="21.75" hidden="1" customHeight="1">
      <c r="A1264" s="135">
        <v>1260.0</v>
      </c>
      <c r="B1264" s="135">
        <v>25045.0</v>
      </c>
      <c r="C1264" s="135"/>
      <c r="D1264" s="135">
        <v>7.0</v>
      </c>
      <c r="E1264" s="135" t="s">
        <v>3688</v>
      </c>
      <c r="F1264" s="135" t="s">
        <v>2338</v>
      </c>
      <c r="G1264" s="135" t="s">
        <v>96</v>
      </c>
      <c r="H1264" s="135" t="s">
        <v>2853</v>
      </c>
      <c r="I1264" s="135" t="s">
        <v>97</v>
      </c>
      <c r="J1264" s="135">
        <v>1.0</v>
      </c>
      <c r="K1264" s="135" t="s">
        <v>3134</v>
      </c>
      <c r="L1264" s="135">
        <v>3914.0</v>
      </c>
      <c r="M1264" s="135">
        <v>2850.0</v>
      </c>
      <c r="N1264" s="135">
        <v>120.0</v>
      </c>
      <c r="O1264" s="135">
        <v>1.5</v>
      </c>
      <c r="P1264" s="136">
        <v>0.0</v>
      </c>
      <c r="Q1264" s="137">
        <v>3.75</v>
      </c>
      <c r="R1264" s="136">
        <v>46122.0</v>
      </c>
      <c r="S1264" s="135" t="s">
        <v>3689</v>
      </c>
      <c r="T1264" s="136"/>
      <c r="U1264" s="135" t="s">
        <v>2864</v>
      </c>
      <c r="V1264" s="135" t="s">
        <v>3100</v>
      </c>
      <c r="W1264" s="135" t="s">
        <v>3692</v>
      </c>
      <c r="X1264" s="135"/>
      <c r="Y1264" s="135"/>
      <c r="Z1264" s="135" t="s">
        <v>2858</v>
      </c>
      <c r="AA1264" s="135"/>
      <c r="AB1264" s="135"/>
      <c r="AC1264" s="135"/>
      <c r="AD1264" s="135">
        <v>46139.0</v>
      </c>
      <c r="AE1264" s="135"/>
      <c r="AF1264" s="135"/>
      <c r="AG1264" s="135"/>
    </row>
    <row r="1265" ht="21.75" hidden="1" customHeight="1">
      <c r="A1265" s="135">
        <v>1261.0</v>
      </c>
      <c r="B1265" s="135">
        <v>25045.0</v>
      </c>
      <c r="C1265" s="135"/>
      <c r="D1265" s="135">
        <v>7.0</v>
      </c>
      <c r="E1265" s="135" t="s">
        <v>3688</v>
      </c>
      <c r="F1265" s="135" t="s">
        <v>2339</v>
      </c>
      <c r="G1265" s="135" t="s">
        <v>96</v>
      </c>
      <c r="H1265" s="135" t="s">
        <v>2853</v>
      </c>
      <c r="I1265" s="135" t="s">
        <v>97</v>
      </c>
      <c r="J1265" s="135">
        <v>1.0</v>
      </c>
      <c r="K1265" s="135" t="s">
        <v>3134</v>
      </c>
      <c r="L1265" s="135">
        <v>3914.0</v>
      </c>
      <c r="M1265" s="135">
        <v>2850.0</v>
      </c>
      <c r="N1265" s="135">
        <v>120.0</v>
      </c>
      <c r="O1265" s="135">
        <v>1.5</v>
      </c>
      <c r="P1265" s="136">
        <v>0.0</v>
      </c>
      <c r="Q1265" s="137">
        <v>3.75</v>
      </c>
      <c r="R1265" s="136">
        <v>46122.0</v>
      </c>
      <c r="S1265" s="135" t="s">
        <v>3689</v>
      </c>
      <c r="T1265" s="136"/>
      <c r="U1265" s="135" t="s">
        <v>2864</v>
      </c>
      <c r="V1265" s="135" t="s">
        <v>3100</v>
      </c>
      <c r="W1265" s="135" t="s">
        <v>3692</v>
      </c>
      <c r="X1265" s="135"/>
      <c r="Y1265" s="135"/>
      <c r="Z1265" s="135" t="s">
        <v>2858</v>
      </c>
      <c r="AA1265" s="135"/>
      <c r="AB1265" s="135"/>
      <c r="AC1265" s="135"/>
      <c r="AD1265" s="135">
        <v>46140.0</v>
      </c>
      <c r="AE1265" s="135"/>
      <c r="AF1265" s="135"/>
      <c r="AG1265" s="135"/>
    </row>
    <row r="1266" ht="21.75" hidden="1" customHeight="1">
      <c r="A1266" s="135">
        <v>1262.0</v>
      </c>
      <c r="B1266" s="135">
        <v>25045.0</v>
      </c>
      <c r="C1266" s="135"/>
      <c r="D1266" s="135">
        <v>7.0</v>
      </c>
      <c r="E1266" s="135" t="s">
        <v>3688</v>
      </c>
      <c r="F1266" s="135" t="s">
        <v>2340</v>
      </c>
      <c r="G1266" s="135" t="s">
        <v>96</v>
      </c>
      <c r="H1266" s="135" t="s">
        <v>2853</v>
      </c>
      <c r="I1266" s="135" t="s">
        <v>97</v>
      </c>
      <c r="J1266" s="135">
        <v>1.0</v>
      </c>
      <c r="K1266" s="135"/>
      <c r="L1266" s="135">
        <v>5000.0</v>
      </c>
      <c r="M1266" s="135">
        <v>2850.0</v>
      </c>
      <c r="N1266" s="135">
        <v>120.0</v>
      </c>
      <c r="O1266" s="135">
        <v>1.91</v>
      </c>
      <c r="P1266" s="136">
        <v>0.0</v>
      </c>
      <c r="Q1266" s="137">
        <v>4.7749999999999995</v>
      </c>
      <c r="R1266" s="136">
        <v>46122.0</v>
      </c>
      <c r="S1266" s="135" t="s">
        <v>3689</v>
      </c>
      <c r="T1266" s="136"/>
      <c r="U1266" s="135" t="s">
        <v>2855</v>
      </c>
      <c r="V1266" s="135" t="s">
        <v>2876</v>
      </c>
      <c r="W1266" s="135" t="s">
        <v>3106</v>
      </c>
      <c r="X1266" s="135"/>
      <c r="Y1266" s="135"/>
      <c r="Z1266" s="135" t="s">
        <v>2858</v>
      </c>
      <c r="AA1266" s="135"/>
      <c r="AB1266" s="135"/>
      <c r="AC1266" s="135"/>
      <c r="AD1266" s="135">
        <v>46146.0</v>
      </c>
      <c r="AE1266" s="135"/>
      <c r="AF1266" s="135"/>
      <c r="AG1266" s="135"/>
    </row>
    <row r="1267" ht="21.75" hidden="1" customHeight="1">
      <c r="A1267" s="135">
        <v>1263.0</v>
      </c>
      <c r="B1267" s="135">
        <v>25045.0</v>
      </c>
      <c r="C1267" s="135"/>
      <c r="D1267" s="135">
        <v>7.0</v>
      </c>
      <c r="E1267" s="135" t="s">
        <v>3688</v>
      </c>
      <c r="F1267" s="135" t="s">
        <v>2341</v>
      </c>
      <c r="G1267" s="135" t="s">
        <v>96</v>
      </c>
      <c r="H1267" s="135" t="s">
        <v>2853</v>
      </c>
      <c r="I1267" s="135" t="s">
        <v>97</v>
      </c>
      <c r="J1267" s="135">
        <v>1.0</v>
      </c>
      <c r="K1267" s="135"/>
      <c r="L1267" s="135">
        <v>2860.0</v>
      </c>
      <c r="M1267" s="135">
        <v>1000.0</v>
      </c>
      <c r="N1267" s="135">
        <v>120.0</v>
      </c>
      <c r="O1267" s="135">
        <v>0.48</v>
      </c>
      <c r="P1267" s="136">
        <v>0.0</v>
      </c>
      <c r="Q1267" s="137">
        <v>1.2</v>
      </c>
      <c r="R1267" s="136">
        <v>46122.0</v>
      </c>
      <c r="S1267" s="135" t="s">
        <v>3689</v>
      </c>
      <c r="T1267" s="136"/>
      <c r="U1267" s="135" t="s">
        <v>2950</v>
      </c>
      <c r="V1267" s="135" t="s">
        <v>2951</v>
      </c>
      <c r="W1267" s="135" t="s">
        <v>3693</v>
      </c>
      <c r="X1267" s="135"/>
      <c r="Y1267" s="135"/>
      <c r="Z1267" s="135" t="s">
        <v>2858</v>
      </c>
      <c r="AA1267" s="135"/>
      <c r="AB1267" s="135"/>
      <c r="AC1267" s="135"/>
      <c r="AD1267" s="135">
        <v>46133.0</v>
      </c>
      <c r="AE1267" s="135"/>
      <c r="AF1267" s="135"/>
      <c r="AG1267" s="135"/>
    </row>
    <row r="1268" ht="21.75" hidden="1" customHeight="1">
      <c r="A1268" s="135">
        <v>1264.0</v>
      </c>
      <c r="B1268" s="135">
        <v>25045.0</v>
      </c>
      <c r="C1268" s="135" t="s">
        <v>2817</v>
      </c>
      <c r="D1268" s="135">
        <v>7.0</v>
      </c>
      <c r="E1268" s="135" t="s">
        <v>3694</v>
      </c>
      <c r="F1268" s="135" t="s">
        <v>2353</v>
      </c>
      <c r="G1268" s="135" t="s">
        <v>96</v>
      </c>
      <c r="H1268" s="135" t="s">
        <v>2853</v>
      </c>
      <c r="I1268" s="135" t="s">
        <v>98</v>
      </c>
      <c r="J1268" s="135">
        <v>1.0</v>
      </c>
      <c r="K1268" s="135" t="s">
        <v>3134</v>
      </c>
      <c r="L1268" s="135">
        <v>4588.0</v>
      </c>
      <c r="M1268" s="135">
        <v>1350.0</v>
      </c>
      <c r="N1268" s="135">
        <v>120.0</v>
      </c>
      <c r="O1268" s="135">
        <v>0.88</v>
      </c>
      <c r="P1268" s="136">
        <v>0.0</v>
      </c>
      <c r="Q1268" s="137">
        <v>2.2</v>
      </c>
      <c r="R1268" s="136">
        <v>46122.0</v>
      </c>
      <c r="S1268" s="135" t="s">
        <v>3689</v>
      </c>
      <c r="T1268" s="136"/>
      <c r="U1268" s="135" t="s">
        <v>2855</v>
      </c>
      <c r="V1268" s="135" t="s">
        <v>2856</v>
      </c>
      <c r="W1268" s="135" t="s">
        <v>3695</v>
      </c>
      <c r="X1268" s="135"/>
      <c r="Y1268" s="135"/>
      <c r="Z1268" s="135" t="s">
        <v>2858</v>
      </c>
      <c r="AA1268" s="135"/>
      <c r="AB1268" s="135"/>
      <c r="AC1268" s="135"/>
      <c r="AD1268" s="135">
        <v>46142.0</v>
      </c>
      <c r="AE1268" s="135"/>
      <c r="AF1268" s="135"/>
      <c r="AG1268" s="135"/>
    </row>
    <row r="1269" ht="21.75" hidden="1" customHeight="1">
      <c r="A1269" s="135">
        <v>1265.0</v>
      </c>
      <c r="B1269" s="135">
        <v>25045.0</v>
      </c>
      <c r="C1269" s="135" t="s">
        <v>2817</v>
      </c>
      <c r="D1269" s="135">
        <v>7.0</v>
      </c>
      <c r="E1269" s="135" t="s">
        <v>3694</v>
      </c>
      <c r="F1269" s="135" t="s">
        <v>2354</v>
      </c>
      <c r="G1269" s="135" t="s">
        <v>96</v>
      </c>
      <c r="H1269" s="135" t="s">
        <v>2853</v>
      </c>
      <c r="I1269" s="135" t="s">
        <v>98</v>
      </c>
      <c r="J1269" s="135">
        <v>1.0</v>
      </c>
      <c r="K1269" s="135" t="s">
        <v>3134</v>
      </c>
      <c r="L1269" s="135">
        <v>4588.0</v>
      </c>
      <c r="M1269" s="135">
        <v>1350.0</v>
      </c>
      <c r="N1269" s="135">
        <v>120.0</v>
      </c>
      <c r="O1269" s="135">
        <v>0.88</v>
      </c>
      <c r="P1269" s="136">
        <v>0.0</v>
      </c>
      <c r="Q1269" s="137">
        <v>2.2</v>
      </c>
      <c r="R1269" s="136">
        <v>46122.0</v>
      </c>
      <c r="S1269" s="135" t="s">
        <v>3689</v>
      </c>
      <c r="T1269" s="136"/>
      <c r="U1269" s="135" t="s">
        <v>2855</v>
      </c>
      <c r="V1269" s="135" t="s">
        <v>2856</v>
      </c>
      <c r="W1269" s="135" t="s">
        <v>3695</v>
      </c>
      <c r="X1269" s="135"/>
      <c r="Y1269" s="135"/>
      <c r="Z1269" s="135" t="s">
        <v>2858</v>
      </c>
      <c r="AA1269" s="135"/>
      <c r="AB1269" s="135"/>
      <c r="AC1269" s="135"/>
      <c r="AD1269" s="135">
        <v>46144.0</v>
      </c>
      <c r="AE1269" s="135"/>
      <c r="AF1269" s="135"/>
      <c r="AG1269" s="135"/>
    </row>
    <row r="1270" ht="21.75" hidden="1" customHeight="1">
      <c r="A1270" s="135">
        <v>1266.0</v>
      </c>
      <c r="B1270" s="135">
        <v>25045.0</v>
      </c>
      <c r="C1270" s="135" t="s">
        <v>2817</v>
      </c>
      <c r="D1270" s="135">
        <v>7.0</v>
      </c>
      <c r="E1270" s="135" t="s">
        <v>3696</v>
      </c>
      <c r="F1270" s="135" t="s">
        <v>2370</v>
      </c>
      <c r="G1270" s="135" t="s">
        <v>96</v>
      </c>
      <c r="H1270" s="135" t="s">
        <v>2853</v>
      </c>
      <c r="I1270" s="135" t="s">
        <v>99</v>
      </c>
      <c r="J1270" s="135">
        <v>1.0</v>
      </c>
      <c r="K1270" s="135" t="s">
        <v>3134</v>
      </c>
      <c r="L1270" s="135">
        <v>4588.0</v>
      </c>
      <c r="M1270" s="135">
        <v>1350.0</v>
      </c>
      <c r="N1270" s="135">
        <v>120.0</v>
      </c>
      <c r="O1270" s="135">
        <v>0.88</v>
      </c>
      <c r="P1270" s="136">
        <v>0.0</v>
      </c>
      <c r="Q1270" s="137">
        <v>2.2</v>
      </c>
      <c r="R1270" s="136">
        <v>46122.0</v>
      </c>
      <c r="S1270" s="135" t="s">
        <v>3689</v>
      </c>
      <c r="T1270" s="136"/>
      <c r="U1270" s="135" t="s">
        <v>2855</v>
      </c>
      <c r="V1270" s="135" t="s">
        <v>2856</v>
      </c>
      <c r="W1270" s="135" t="s">
        <v>3695</v>
      </c>
      <c r="X1270" s="135"/>
      <c r="Y1270" s="135"/>
      <c r="Z1270" s="135" t="s">
        <v>2858</v>
      </c>
      <c r="AA1270" s="135"/>
      <c r="AB1270" s="135"/>
      <c r="AC1270" s="135"/>
      <c r="AD1270" s="135">
        <v>46146.0</v>
      </c>
      <c r="AE1270" s="135"/>
      <c r="AF1270" s="135"/>
      <c r="AG1270" s="135"/>
    </row>
    <row r="1271" ht="21.75" hidden="1" customHeight="1">
      <c r="A1271" s="135">
        <v>1267.0</v>
      </c>
      <c r="B1271" s="135">
        <v>25045.0</v>
      </c>
      <c r="C1271" s="135" t="s">
        <v>2817</v>
      </c>
      <c r="D1271" s="135">
        <v>7.0</v>
      </c>
      <c r="E1271" s="135" t="s">
        <v>3696</v>
      </c>
      <c r="F1271" s="135" t="s">
        <v>2371</v>
      </c>
      <c r="G1271" s="135" t="s">
        <v>96</v>
      </c>
      <c r="H1271" s="135" t="s">
        <v>2853</v>
      </c>
      <c r="I1271" s="135" t="s">
        <v>99</v>
      </c>
      <c r="J1271" s="135">
        <v>1.0</v>
      </c>
      <c r="K1271" s="135" t="s">
        <v>3134</v>
      </c>
      <c r="L1271" s="135">
        <v>4588.0</v>
      </c>
      <c r="M1271" s="135">
        <v>1350.0</v>
      </c>
      <c r="N1271" s="135">
        <v>120.0</v>
      </c>
      <c r="O1271" s="135">
        <v>0.88</v>
      </c>
      <c r="P1271" s="136">
        <v>0.0</v>
      </c>
      <c r="Q1271" s="137">
        <v>2.2</v>
      </c>
      <c r="R1271" s="136">
        <v>46122.0</v>
      </c>
      <c r="S1271" s="135" t="s">
        <v>3689</v>
      </c>
      <c r="T1271" s="136"/>
      <c r="U1271" s="135" t="s">
        <v>2855</v>
      </c>
      <c r="V1271" s="135" t="s">
        <v>2856</v>
      </c>
      <c r="W1271" s="135" t="s">
        <v>3695</v>
      </c>
      <c r="X1271" s="135"/>
      <c r="Y1271" s="135"/>
      <c r="Z1271" s="135" t="s">
        <v>2858</v>
      </c>
      <c r="AA1271" s="135"/>
      <c r="AB1271" s="135"/>
      <c r="AC1271" s="135"/>
      <c r="AD1271" s="135">
        <v>46147.0</v>
      </c>
      <c r="AE1271" s="135"/>
      <c r="AF1271" s="135"/>
      <c r="AG1271" s="135"/>
    </row>
    <row r="1272" ht="21.75" hidden="1" customHeight="1">
      <c r="A1272" s="135">
        <v>1268.0</v>
      </c>
      <c r="B1272" s="135">
        <v>25045.0</v>
      </c>
      <c r="C1272" s="135"/>
      <c r="D1272" s="135">
        <v>7.0</v>
      </c>
      <c r="E1272" s="135" t="s">
        <v>3694</v>
      </c>
      <c r="F1272" s="135" t="s">
        <v>2355</v>
      </c>
      <c r="G1272" s="135" t="s">
        <v>96</v>
      </c>
      <c r="H1272" s="135" t="s">
        <v>2853</v>
      </c>
      <c r="I1272" s="135" t="s">
        <v>98</v>
      </c>
      <c r="J1272" s="135">
        <v>1.0</v>
      </c>
      <c r="K1272" s="135" t="s">
        <v>3134</v>
      </c>
      <c r="L1272" s="135">
        <v>3914.0</v>
      </c>
      <c r="M1272" s="135">
        <v>2850.0</v>
      </c>
      <c r="N1272" s="135">
        <v>120.0</v>
      </c>
      <c r="O1272" s="135">
        <v>1.5</v>
      </c>
      <c r="P1272" s="136">
        <v>0.0</v>
      </c>
      <c r="Q1272" s="137">
        <v>3.75</v>
      </c>
      <c r="R1272" s="136">
        <v>46122.0</v>
      </c>
      <c r="S1272" s="135" t="s">
        <v>3689</v>
      </c>
      <c r="T1272" s="136"/>
      <c r="U1272" s="135" t="s">
        <v>2864</v>
      </c>
      <c r="V1272" s="135" t="s">
        <v>3100</v>
      </c>
      <c r="W1272" s="135" t="s">
        <v>3692</v>
      </c>
      <c r="X1272" s="135"/>
      <c r="Y1272" s="135"/>
      <c r="Z1272" s="135" t="s">
        <v>2858</v>
      </c>
      <c r="AA1272" s="135"/>
      <c r="AB1272" s="135"/>
      <c r="AC1272" s="135"/>
      <c r="AD1272" s="135">
        <v>46141.0</v>
      </c>
      <c r="AE1272" s="135"/>
      <c r="AF1272" s="135"/>
      <c r="AG1272" s="135"/>
    </row>
    <row r="1273" ht="21.75" hidden="1" customHeight="1">
      <c r="A1273" s="135">
        <v>1269.0</v>
      </c>
      <c r="B1273" s="135">
        <v>25045.0</v>
      </c>
      <c r="C1273" s="135"/>
      <c r="D1273" s="135">
        <v>7.0</v>
      </c>
      <c r="E1273" s="135" t="s">
        <v>3694</v>
      </c>
      <c r="F1273" s="135" t="s">
        <v>2356</v>
      </c>
      <c r="G1273" s="135" t="s">
        <v>96</v>
      </c>
      <c r="H1273" s="135" t="s">
        <v>2853</v>
      </c>
      <c r="I1273" s="135" t="s">
        <v>98</v>
      </c>
      <c r="J1273" s="135">
        <v>1.0</v>
      </c>
      <c r="K1273" s="135" t="s">
        <v>3134</v>
      </c>
      <c r="L1273" s="135">
        <v>3914.0</v>
      </c>
      <c r="M1273" s="135">
        <v>2850.0</v>
      </c>
      <c r="N1273" s="135">
        <v>120.0</v>
      </c>
      <c r="O1273" s="135">
        <v>1.5</v>
      </c>
      <c r="P1273" s="136">
        <v>0.0</v>
      </c>
      <c r="Q1273" s="137">
        <v>3.75</v>
      </c>
      <c r="R1273" s="136">
        <v>46122.0</v>
      </c>
      <c r="S1273" s="135" t="s">
        <v>3689</v>
      </c>
      <c r="T1273" s="136"/>
      <c r="U1273" s="135" t="s">
        <v>2864</v>
      </c>
      <c r="V1273" s="135" t="s">
        <v>3100</v>
      </c>
      <c r="W1273" s="135" t="s">
        <v>3692</v>
      </c>
      <c r="X1273" s="135"/>
      <c r="Y1273" s="135"/>
      <c r="Z1273" s="135" t="s">
        <v>2858</v>
      </c>
      <c r="AA1273" s="135"/>
      <c r="AB1273" s="135"/>
      <c r="AC1273" s="135"/>
      <c r="AD1273" s="135">
        <v>46142.0</v>
      </c>
      <c r="AE1273" s="135"/>
      <c r="AF1273" s="135"/>
      <c r="AG1273" s="135"/>
    </row>
    <row r="1274" ht="21.75" hidden="1" customHeight="1">
      <c r="A1274" s="135">
        <v>1270.0</v>
      </c>
      <c r="B1274" s="135">
        <v>25045.0</v>
      </c>
      <c r="C1274" s="135"/>
      <c r="D1274" s="135">
        <v>7.0</v>
      </c>
      <c r="E1274" s="135" t="s">
        <v>3694</v>
      </c>
      <c r="F1274" s="135" t="s">
        <v>2357</v>
      </c>
      <c r="G1274" s="135" t="s">
        <v>96</v>
      </c>
      <c r="H1274" s="135" t="s">
        <v>2853</v>
      </c>
      <c r="I1274" s="135" t="s">
        <v>98</v>
      </c>
      <c r="J1274" s="135">
        <v>1.0</v>
      </c>
      <c r="K1274" s="135" t="s">
        <v>3134</v>
      </c>
      <c r="L1274" s="135">
        <v>3914.0</v>
      </c>
      <c r="M1274" s="135">
        <v>2850.0</v>
      </c>
      <c r="N1274" s="135">
        <v>120.0</v>
      </c>
      <c r="O1274" s="135">
        <v>1.5</v>
      </c>
      <c r="P1274" s="136">
        <v>0.0</v>
      </c>
      <c r="Q1274" s="137">
        <v>3.75</v>
      </c>
      <c r="R1274" s="136">
        <v>46122.0</v>
      </c>
      <c r="S1274" s="135" t="s">
        <v>3689</v>
      </c>
      <c r="T1274" s="136"/>
      <c r="U1274" s="135" t="s">
        <v>2864</v>
      </c>
      <c r="V1274" s="135" t="s">
        <v>3100</v>
      </c>
      <c r="W1274" s="135" t="s">
        <v>3692</v>
      </c>
      <c r="X1274" s="135"/>
      <c r="Y1274" s="135"/>
      <c r="Z1274" s="135" t="s">
        <v>2858</v>
      </c>
      <c r="AA1274" s="135"/>
      <c r="AB1274" s="135"/>
      <c r="AC1274" s="135"/>
      <c r="AD1274" s="135">
        <v>46143.0</v>
      </c>
      <c r="AE1274" s="135"/>
      <c r="AF1274" s="135"/>
      <c r="AG1274" s="135"/>
    </row>
    <row r="1275" ht="21.75" hidden="1" customHeight="1">
      <c r="A1275" s="135">
        <v>1271.0</v>
      </c>
      <c r="B1275" s="135">
        <v>25045.0</v>
      </c>
      <c r="C1275" s="135"/>
      <c r="D1275" s="135">
        <v>7.0</v>
      </c>
      <c r="E1275" s="135" t="s">
        <v>3694</v>
      </c>
      <c r="F1275" s="135" t="s">
        <v>2358</v>
      </c>
      <c r="G1275" s="135" t="s">
        <v>96</v>
      </c>
      <c r="H1275" s="135" t="s">
        <v>2853</v>
      </c>
      <c r="I1275" s="135" t="s">
        <v>98</v>
      </c>
      <c r="J1275" s="135">
        <v>1.0</v>
      </c>
      <c r="K1275" s="135" t="s">
        <v>3134</v>
      </c>
      <c r="L1275" s="135">
        <v>3914.0</v>
      </c>
      <c r="M1275" s="135">
        <v>2850.0</v>
      </c>
      <c r="N1275" s="135">
        <v>120.0</v>
      </c>
      <c r="O1275" s="135">
        <v>1.5</v>
      </c>
      <c r="P1275" s="136">
        <v>0.0</v>
      </c>
      <c r="Q1275" s="137">
        <v>3.75</v>
      </c>
      <c r="R1275" s="136">
        <v>46122.0</v>
      </c>
      <c r="S1275" s="135" t="s">
        <v>3689</v>
      </c>
      <c r="T1275" s="136"/>
      <c r="U1275" s="135" t="s">
        <v>2864</v>
      </c>
      <c r="V1275" s="135" t="s">
        <v>3100</v>
      </c>
      <c r="W1275" s="135" t="s">
        <v>3692</v>
      </c>
      <c r="X1275" s="135"/>
      <c r="Y1275" s="135"/>
      <c r="Z1275" s="135" t="s">
        <v>2858</v>
      </c>
      <c r="AA1275" s="135"/>
      <c r="AB1275" s="135"/>
      <c r="AC1275" s="135"/>
      <c r="AD1275" s="135">
        <v>46144.0</v>
      </c>
      <c r="AE1275" s="135"/>
      <c r="AF1275" s="135"/>
      <c r="AG1275" s="135"/>
    </row>
    <row r="1276" ht="21.75" hidden="1" customHeight="1">
      <c r="A1276" s="135">
        <v>1272.0</v>
      </c>
      <c r="B1276" s="135">
        <v>25045.0</v>
      </c>
      <c r="C1276" s="135"/>
      <c r="D1276" s="135">
        <v>7.0</v>
      </c>
      <c r="E1276" s="135" t="s">
        <v>3696</v>
      </c>
      <c r="F1276" s="135" t="s">
        <v>2372</v>
      </c>
      <c r="G1276" s="135" t="s">
        <v>96</v>
      </c>
      <c r="H1276" s="135" t="s">
        <v>2853</v>
      </c>
      <c r="I1276" s="135" t="s">
        <v>99</v>
      </c>
      <c r="J1276" s="135">
        <v>1.0</v>
      </c>
      <c r="K1276" s="135"/>
      <c r="L1276" s="135">
        <v>3965.0</v>
      </c>
      <c r="M1276" s="135">
        <v>2850.0</v>
      </c>
      <c r="N1276" s="135">
        <v>120.0</v>
      </c>
      <c r="O1276" s="135">
        <v>1.51</v>
      </c>
      <c r="P1276" s="136">
        <v>0.0</v>
      </c>
      <c r="Q1276" s="137">
        <v>3.775</v>
      </c>
      <c r="R1276" s="136">
        <v>46122.0</v>
      </c>
      <c r="S1276" s="135" t="s">
        <v>3689</v>
      </c>
      <c r="T1276" s="136"/>
      <c r="U1276" s="135" t="s">
        <v>2864</v>
      </c>
      <c r="V1276" s="135" t="s">
        <v>3100</v>
      </c>
      <c r="W1276" s="135" t="s">
        <v>3697</v>
      </c>
      <c r="X1276" s="135"/>
      <c r="Y1276" s="135"/>
      <c r="Z1276" s="135" t="s">
        <v>2858</v>
      </c>
      <c r="AA1276" s="135"/>
      <c r="AB1276" s="135"/>
      <c r="AC1276" s="135"/>
      <c r="AD1276" s="135">
        <v>46142.0</v>
      </c>
      <c r="AE1276" s="135"/>
      <c r="AF1276" s="135"/>
      <c r="AG1276" s="135"/>
    </row>
    <row r="1277" ht="21.75" hidden="1" customHeight="1">
      <c r="A1277" s="135">
        <v>1273.0</v>
      </c>
      <c r="B1277" s="135">
        <v>25045.0</v>
      </c>
      <c r="C1277" s="135"/>
      <c r="D1277" s="135">
        <v>7.0</v>
      </c>
      <c r="E1277" s="135" t="s">
        <v>3696</v>
      </c>
      <c r="F1277" s="135" t="s">
        <v>2373</v>
      </c>
      <c r="G1277" s="135" t="s">
        <v>96</v>
      </c>
      <c r="H1277" s="135" t="s">
        <v>2853</v>
      </c>
      <c r="I1277" s="135" t="s">
        <v>99</v>
      </c>
      <c r="J1277" s="135">
        <v>1.0</v>
      </c>
      <c r="K1277" s="135" t="s">
        <v>3134</v>
      </c>
      <c r="L1277" s="135">
        <v>3914.0</v>
      </c>
      <c r="M1277" s="135">
        <v>2850.0</v>
      </c>
      <c r="N1277" s="135">
        <v>120.0</v>
      </c>
      <c r="O1277" s="135">
        <v>1.5</v>
      </c>
      <c r="P1277" s="136">
        <v>0.0</v>
      </c>
      <c r="Q1277" s="137">
        <v>3.75</v>
      </c>
      <c r="R1277" s="136">
        <v>46122.0</v>
      </c>
      <c r="S1277" s="135" t="s">
        <v>3689</v>
      </c>
      <c r="T1277" s="136"/>
      <c r="U1277" s="135" t="s">
        <v>2864</v>
      </c>
      <c r="V1277" s="135" t="s">
        <v>3100</v>
      </c>
      <c r="W1277" s="135" t="s">
        <v>3692</v>
      </c>
      <c r="X1277" s="135"/>
      <c r="Y1277" s="135"/>
      <c r="Z1277" s="135" t="s">
        <v>2858</v>
      </c>
      <c r="AA1277" s="135"/>
      <c r="AB1277" s="135"/>
      <c r="AC1277" s="135"/>
      <c r="AD1277" s="135">
        <v>46143.0</v>
      </c>
      <c r="AE1277" s="135"/>
      <c r="AF1277" s="135"/>
      <c r="AG1277" s="135"/>
    </row>
    <row r="1278" ht="21.75" hidden="1" customHeight="1">
      <c r="A1278" s="135">
        <v>1274.0</v>
      </c>
      <c r="B1278" s="135">
        <v>25045.0</v>
      </c>
      <c r="C1278" s="135"/>
      <c r="D1278" s="135">
        <v>7.0</v>
      </c>
      <c r="E1278" s="135" t="s">
        <v>3696</v>
      </c>
      <c r="F1278" s="135" t="s">
        <v>2374</v>
      </c>
      <c r="G1278" s="135" t="s">
        <v>96</v>
      </c>
      <c r="H1278" s="135" t="s">
        <v>2853</v>
      </c>
      <c r="I1278" s="135" t="s">
        <v>99</v>
      </c>
      <c r="J1278" s="135">
        <v>1.0</v>
      </c>
      <c r="K1278" s="135" t="s">
        <v>3134</v>
      </c>
      <c r="L1278" s="135">
        <v>3914.0</v>
      </c>
      <c r="M1278" s="135">
        <v>2850.0</v>
      </c>
      <c r="N1278" s="135">
        <v>120.0</v>
      </c>
      <c r="O1278" s="135">
        <v>1.5</v>
      </c>
      <c r="P1278" s="136">
        <v>0.0</v>
      </c>
      <c r="Q1278" s="137">
        <v>3.75</v>
      </c>
      <c r="R1278" s="136">
        <v>46122.0</v>
      </c>
      <c r="S1278" s="135" t="s">
        <v>3689</v>
      </c>
      <c r="T1278" s="136"/>
      <c r="U1278" s="135" t="s">
        <v>2864</v>
      </c>
      <c r="V1278" s="135" t="s">
        <v>3100</v>
      </c>
      <c r="W1278" s="135" t="s">
        <v>3692</v>
      </c>
      <c r="X1278" s="135"/>
      <c r="Y1278" s="135"/>
      <c r="Z1278" s="135" t="s">
        <v>2858</v>
      </c>
      <c r="AA1278" s="135"/>
      <c r="AB1278" s="135"/>
      <c r="AC1278" s="135"/>
      <c r="AD1278" s="135">
        <v>46144.0</v>
      </c>
      <c r="AE1278" s="135"/>
      <c r="AF1278" s="135"/>
      <c r="AG1278" s="135"/>
    </row>
    <row r="1279" ht="21.75" hidden="1" customHeight="1">
      <c r="A1279" s="135">
        <v>1275.0</v>
      </c>
      <c r="B1279" s="135">
        <v>25045.0</v>
      </c>
      <c r="C1279" s="135"/>
      <c r="D1279" s="135">
        <v>7.0</v>
      </c>
      <c r="E1279" s="135" t="s">
        <v>3696</v>
      </c>
      <c r="F1279" s="135" t="s">
        <v>2375</v>
      </c>
      <c r="G1279" s="135" t="s">
        <v>96</v>
      </c>
      <c r="H1279" s="135" t="s">
        <v>2853</v>
      </c>
      <c r="I1279" s="135" t="s">
        <v>99</v>
      </c>
      <c r="J1279" s="135">
        <v>1.0</v>
      </c>
      <c r="K1279" s="135" t="s">
        <v>3134</v>
      </c>
      <c r="L1279" s="135">
        <v>3914.0</v>
      </c>
      <c r="M1279" s="135">
        <v>2850.0</v>
      </c>
      <c r="N1279" s="135">
        <v>120.0</v>
      </c>
      <c r="O1279" s="135">
        <v>1.5</v>
      </c>
      <c r="P1279" s="136">
        <v>0.0</v>
      </c>
      <c r="Q1279" s="137">
        <v>3.75</v>
      </c>
      <c r="R1279" s="136">
        <v>46122.0</v>
      </c>
      <c r="S1279" s="135" t="s">
        <v>3689</v>
      </c>
      <c r="T1279" s="136"/>
      <c r="U1279" s="135" t="s">
        <v>2864</v>
      </c>
      <c r="V1279" s="135" t="s">
        <v>3100</v>
      </c>
      <c r="W1279" s="135" t="s">
        <v>3692</v>
      </c>
      <c r="X1279" s="135"/>
      <c r="Y1279" s="135"/>
      <c r="Z1279" s="135" t="s">
        <v>2858</v>
      </c>
      <c r="AA1279" s="135"/>
      <c r="AB1279" s="135"/>
      <c r="AC1279" s="135"/>
      <c r="AD1279" s="135">
        <v>46146.0</v>
      </c>
      <c r="AE1279" s="135"/>
      <c r="AF1279" s="135"/>
      <c r="AG1279" s="135"/>
    </row>
    <row r="1280" ht="21.75" hidden="1" customHeight="1">
      <c r="A1280" s="135">
        <v>1276.0</v>
      </c>
      <c r="B1280" s="135">
        <v>25045.0</v>
      </c>
      <c r="C1280" s="135"/>
      <c r="D1280" s="135">
        <v>7.0</v>
      </c>
      <c r="E1280" s="135" t="s">
        <v>3696</v>
      </c>
      <c r="F1280" s="135" t="s">
        <v>2376</v>
      </c>
      <c r="G1280" s="135" t="s">
        <v>96</v>
      </c>
      <c r="H1280" s="135" t="s">
        <v>2853</v>
      </c>
      <c r="I1280" s="135" t="s">
        <v>99</v>
      </c>
      <c r="J1280" s="135">
        <v>1.0</v>
      </c>
      <c r="K1280" s="135" t="s">
        <v>3134</v>
      </c>
      <c r="L1280" s="135">
        <v>4909.0</v>
      </c>
      <c r="M1280" s="135">
        <v>2850.0</v>
      </c>
      <c r="N1280" s="135">
        <v>120.0</v>
      </c>
      <c r="O1280" s="135">
        <v>1.89</v>
      </c>
      <c r="P1280" s="136">
        <v>0.0</v>
      </c>
      <c r="Q1280" s="137">
        <v>4.725</v>
      </c>
      <c r="R1280" s="136">
        <v>46122.0</v>
      </c>
      <c r="S1280" s="135" t="s">
        <v>3689</v>
      </c>
      <c r="T1280" s="136"/>
      <c r="U1280" s="135" t="s">
        <v>2855</v>
      </c>
      <c r="V1280" s="135" t="s">
        <v>2876</v>
      </c>
      <c r="W1280" s="135" t="s">
        <v>3698</v>
      </c>
      <c r="X1280" s="135"/>
      <c r="Y1280" s="135"/>
      <c r="Z1280" s="135" t="s">
        <v>2858</v>
      </c>
      <c r="AA1280" s="135"/>
      <c r="AB1280" s="135"/>
      <c r="AC1280" s="135"/>
      <c r="AD1280" s="135">
        <v>46133.0</v>
      </c>
      <c r="AE1280" s="135"/>
      <c r="AF1280" s="135"/>
      <c r="AG1280" s="135"/>
    </row>
    <row r="1281" ht="21.75" hidden="1" customHeight="1">
      <c r="A1281" s="135">
        <v>1277.0</v>
      </c>
      <c r="B1281" s="135">
        <v>25045.0</v>
      </c>
      <c r="C1281" s="135"/>
      <c r="D1281" s="135">
        <v>7.0</v>
      </c>
      <c r="E1281" s="135" t="s">
        <v>3696</v>
      </c>
      <c r="F1281" s="135" t="s">
        <v>2377</v>
      </c>
      <c r="G1281" s="135" t="s">
        <v>96</v>
      </c>
      <c r="H1281" s="135" t="s">
        <v>2853</v>
      </c>
      <c r="I1281" s="135" t="s">
        <v>99</v>
      </c>
      <c r="J1281" s="135">
        <v>1.0</v>
      </c>
      <c r="K1281" s="135" t="s">
        <v>3134</v>
      </c>
      <c r="L1281" s="135">
        <v>4909.0</v>
      </c>
      <c r="M1281" s="135">
        <v>2850.0</v>
      </c>
      <c r="N1281" s="135">
        <v>120.0</v>
      </c>
      <c r="O1281" s="135">
        <v>1.89</v>
      </c>
      <c r="P1281" s="136">
        <v>0.0</v>
      </c>
      <c r="Q1281" s="137">
        <v>4.725</v>
      </c>
      <c r="R1281" s="136">
        <v>46122.0</v>
      </c>
      <c r="S1281" s="135" t="s">
        <v>3689</v>
      </c>
      <c r="T1281" s="136"/>
      <c r="U1281" s="135" t="s">
        <v>2855</v>
      </c>
      <c r="V1281" s="135" t="s">
        <v>2876</v>
      </c>
      <c r="W1281" s="135" t="s">
        <v>3698</v>
      </c>
      <c r="X1281" s="135"/>
      <c r="Y1281" s="135"/>
      <c r="Z1281" s="135" t="s">
        <v>2858</v>
      </c>
      <c r="AA1281" s="135"/>
      <c r="AB1281" s="135"/>
      <c r="AC1281" s="135"/>
      <c r="AD1281" s="135">
        <v>46134.0</v>
      </c>
      <c r="AE1281" s="135"/>
      <c r="AF1281" s="135"/>
      <c r="AG1281" s="135"/>
    </row>
    <row r="1282" ht="21.75" hidden="1" customHeight="1">
      <c r="A1282" s="135">
        <v>1278.0</v>
      </c>
      <c r="B1282" s="135">
        <v>25045.0</v>
      </c>
      <c r="C1282" s="135"/>
      <c r="D1282" s="135">
        <v>7.0</v>
      </c>
      <c r="E1282" s="135" t="s">
        <v>3696</v>
      </c>
      <c r="F1282" s="135" t="s">
        <v>2378</v>
      </c>
      <c r="G1282" s="135" t="s">
        <v>96</v>
      </c>
      <c r="H1282" s="135" t="s">
        <v>2853</v>
      </c>
      <c r="I1282" s="135" t="s">
        <v>99</v>
      </c>
      <c r="J1282" s="135">
        <v>1.0</v>
      </c>
      <c r="K1282" s="135" t="s">
        <v>3134</v>
      </c>
      <c r="L1282" s="135">
        <v>4909.0</v>
      </c>
      <c r="M1282" s="135">
        <v>2850.0</v>
      </c>
      <c r="N1282" s="135">
        <v>120.0</v>
      </c>
      <c r="O1282" s="135">
        <v>1.89</v>
      </c>
      <c r="P1282" s="136">
        <v>0.0</v>
      </c>
      <c r="Q1282" s="137">
        <v>4.725</v>
      </c>
      <c r="R1282" s="136">
        <v>46122.0</v>
      </c>
      <c r="S1282" s="135" t="s">
        <v>3689</v>
      </c>
      <c r="T1282" s="136"/>
      <c r="U1282" s="135" t="s">
        <v>2855</v>
      </c>
      <c r="V1282" s="135" t="s">
        <v>2876</v>
      </c>
      <c r="W1282" s="135" t="s">
        <v>3698</v>
      </c>
      <c r="X1282" s="135"/>
      <c r="Y1282" s="135"/>
      <c r="Z1282" s="135" t="s">
        <v>2858</v>
      </c>
      <c r="AA1282" s="135"/>
      <c r="AB1282" s="135"/>
      <c r="AC1282" s="135"/>
      <c r="AD1282" s="135">
        <v>46135.0</v>
      </c>
      <c r="AE1282" s="135"/>
      <c r="AF1282" s="135"/>
      <c r="AG1282" s="135"/>
    </row>
    <row r="1283" ht="21.75" hidden="1" customHeight="1">
      <c r="A1283" s="135">
        <v>1279.0</v>
      </c>
      <c r="B1283" s="135">
        <v>25045.0</v>
      </c>
      <c r="C1283" s="135"/>
      <c r="D1283" s="135">
        <v>7.0</v>
      </c>
      <c r="E1283" s="135" t="s">
        <v>3696</v>
      </c>
      <c r="F1283" s="135" t="s">
        <v>2379</v>
      </c>
      <c r="G1283" s="135" t="s">
        <v>96</v>
      </c>
      <c r="H1283" s="135" t="s">
        <v>2853</v>
      </c>
      <c r="I1283" s="135" t="s">
        <v>99</v>
      </c>
      <c r="J1283" s="135">
        <v>1.0</v>
      </c>
      <c r="K1283" s="135"/>
      <c r="L1283" s="135">
        <v>4909.0</v>
      </c>
      <c r="M1283" s="135">
        <v>2850.0</v>
      </c>
      <c r="N1283" s="135">
        <v>120.0</v>
      </c>
      <c r="O1283" s="135">
        <v>1.61</v>
      </c>
      <c r="P1283" s="136">
        <v>0.0</v>
      </c>
      <c r="Q1283" s="137">
        <v>4.025</v>
      </c>
      <c r="R1283" s="136">
        <v>46122.0</v>
      </c>
      <c r="S1283" s="135" t="s">
        <v>3689</v>
      </c>
      <c r="T1283" s="136"/>
      <c r="U1283" s="135" t="s">
        <v>2864</v>
      </c>
      <c r="V1283" s="135" t="s">
        <v>2985</v>
      </c>
      <c r="W1283" s="135" t="s">
        <v>3699</v>
      </c>
      <c r="X1283" s="135" t="s">
        <v>2895</v>
      </c>
      <c r="Y1283" s="135"/>
      <c r="Z1283" s="135" t="s">
        <v>2858</v>
      </c>
      <c r="AA1283" s="135"/>
      <c r="AB1283" s="135"/>
      <c r="AC1283" s="135"/>
      <c r="AD1283" s="135">
        <v>46148.0</v>
      </c>
      <c r="AE1283" s="135"/>
      <c r="AF1283" s="135"/>
      <c r="AG1283" s="135"/>
    </row>
    <row r="1284" ht="21.75" hidden="1" customHeight="1">
      <c r="A1284" s="135">
        <v>1280.0</v>
      </c>
      <c r="B1284" s="135">
        <v>25045.0</v>
      </c>
      <c r="C1284" s="135"/>
      <c r="D1284" s="135">
        <v>7.0</v>
      </c>
      <c r="E1284" s="135" t="s">
        <v>3696</v>
      </c>
      <c r="F1284" s="135" t="s">
        <v>2380</v>
      </c>
      <c r="G1284" s="135" t="s">
        <v>96</v>
      </c>
      <c r="H1284" s="135" t="s">
        <v>2853</v>
      </c>
      <c r="I1284" s="135" t="s">
        <v>99</v>
      </c>
      <c r="J1284" s="135">
        <v>1.0</v>
      </c>
      <c r="K1284" s="135"/>
      <c r="L1284" s="135">
        <v>5000.0</v>
      </c>
      <c r="M1284" s="135">
        <v>2850.0</v>
      </c>
      <c r="N1284" s="135">
        <v>120.0</v>
      </c>
      <c r="O1284" s="135">
        <v>1.91</v>
      </c>
      <c r="P1284" s="136">
        <v>0.0</v>
      </c>
      <c r="Q1284" s="137">
        <v>4.7749999999999995</v>
      </c>
      <c r="R1284" s="136">
        <v>46122.0</v>
      </c>
      <c r="S1284" s="135" t="s">
        <v>3689</v>
      </c>
      <c r="T1284" s="136"/>
      <c r="U1284" s="135" t="s">
        <v>2855</v>
      </c>
      <c r="V1284" s="135" t="s">
        <v>2876</v>
      </c>
      <c r="W1284" s="135" t="s">
        <v>3106</v>
      </c>
      <c r="X1284" s="135"/>
      <c r="Y1284" s="135"/>
      <c r="Z1284" s="135" t="s">
        <v>2858</v>
      </c>
      <c r="AA1284" s="135"/>
      <c r="AB1284" s="135"/>
      <c r="AC1284" s="135"/>
      <c r="AD1284" s="135">
        <v>46147.0</v>
      </c>
      <c r="AE1284" s="135"/>
      <c r="AF1284" s="135"/>
      <c r="AG1284" s="135"/>
    </row>
    <row r="1285" ht="21.75" hidden="1" customHeight="1">
      <c r="A1285" s="135">
        <v>1281.0</v>
      </c>
      <c r="B1285" s="135">
        <v>25045.0</v>
      </c>
      <c r="C1285" s="135" t="s">
        <v>2817</v>
      </c>
      <c r="D1285" s="135">
        <v>7.0</v>
      </c>
      <c r="E1285" s="135" t="s">
        <v>3700</v>
      </c>
      <c r="F1285" s="135" t="s">
        <v>2387</v>
      </c>
      <c r="G1285" s="135" t="s">
        <v>96</v>
      </c>
      <c r="H1285" s="135" t="s">
        <v>2853</v>
      </c>
      <c r="I1285" s="135" t="s">
        <v>100</v>
      </c>
      <c r="J1285" s="135">
        <v>1.0</v>
      </c>
      <c r="K1285" s="135"/>
      <c r="L1285" s="135">
        <v>5623.0</v>
      </c>
      <c r="M1285" s="135">
        <v>1350.0</v>
      </c>
      <c r="N1285" s="135">
        <v>120.0</v>
      </c>
      <c r="O1285" s="135">
        <v>0.97</v>
      </c>
      <c r="P1285" s="136">
        <v>0.0</v>
      </c>
      <c r="Q1285" s="137">
        <v>2.425</v>
      </c>
      <c r="R1285" s="136">
        <v>46122.0</v>
      </c>
      <c r="S1285" s="135" t="s">
        <v>3689</v>
      </c>
      <c r="T1285" s="136"/>
      <c r="U1285" s="135" t="s">
        <v>2855</v>
      </c>
      <c r="V1285" s="135" t="s">
        <v>2856</v>
      </c>
      <c r="W1285" s="135" t="s">
        <v>3701</v>
      </c>
      <c r="X1285" s="135"/>
      <c r="Y1285" s="135"/>
      <c r="Z1285" s="135" t="s">
        <v>2858</v>
      </c>
      <c r="AA1285" s="135"/>
      <c r="AB1285" s="135"/>
      <c r="AC1285" s="135"/>
      <c r="AD1285" s="135" t="e">
        <v>#N/A</v>
      </c>
      <c r="AE1285" s="135"/>
      <c r="AF1285" s="135"/>
      <c r="AG1285" s="135"/>
    </row>
    <row r="1286" ht="21.75" hidden="1" customHeight="1">
      <c r="A1286" s="135">
        <v>1282.0</v>
      </c>
      <c r="B1286" s="135">
        <v>25045.0</v>
      </c>
      <c r="C1286" s="135" t="s">
        <v>2817</v>
      </c>
      <c r="D1286" s="135">
        <v>7.0</v>
      </c>
      <c r="E1286" s="135" t="s">
        <v>3700</v>
      </c>
      <c r="F1286" s="135" t="s">
        <v>2388</v>
      </c>
      <c r="G1286" s="135" t="s">
        <v>96</v>
      </c>
      <c r="H1286" s="135" t="s">
        <v>2853</v>
      </c>
      <c r="I1286" s="135" t="s">
        <v>100</v>
      </c>
      <c r="J1286" s="135">
        <v>1.0</v>
      </c>
      <c r="K1286" s="135"/>
      <c r="L1286" s="135">
        <v>5623.0</v>
      </c>
      <c r="M1286" s="135">
        <v>1540.0</v>
      </c>
      <c r="N1286" s="135">
        <v>120.0</v>
      </c>
      <c r="O1286" s="135">
        <v>1.03</v>
      </c>
      <c r="P1286" s="136">
        <v>0.0</v>
      </c>
      <c r="Q1286" s="137">
        <v>2.575</v>
      </c>
      <c r="R1286" s="136">
        <v>46122.0</v>
      </c>
      <c r="S1286" s="135" t="s">
        <v>3689</v>
      </c>
      <c r="T1286" s="136"/>
      <c r="U1286" s="135" t="s">
        <v>2855</v>
      </c>
      <c r="V1286" s="135" t="s">
        <v>2856</v>
      </c>
      <c r="W1286" s="135" t="s">
        <v>3702</v>
      </c>
      <c r="X1286" s="135"/>
      <c r="Y1286" s="135"/>
      <c r="Z1286" s="135" t="s">
        <v>2858</v>
      </c>
      <c r="AA1286" s="135"/>
      <c r="AB1286" s="135"/>
      <c r="AC1286" s="135"/>
      <c r="AD1286" s="135" t="e">
        <v>#N/A</v>
      </c>
      <c r="AE1286" s="135"/>
      <c r="AF1286" s="135"/>
      <c r="AG1286" s="135"/>
    </row>
    <row r="1287" ht="21.75" hidden="1" customHeight="1">
      <c r="A1287" s="135">
        <v>1283.0</v>
      </c>
      <c r="B1287" s="135">
        <v>25045.0</v>
      </c>
      <c r="C1287" s="135" t="s">
        <v>2817</v>
      </c>
      <c r="D1287" s="135">
        <v>7.0</v>
      </c>
      <c r="E1287" s="135" t="s">
        <v>3700</v>
      </c>
      <c r="F1287" s="135" t="s">
        <v>2389</v>
      </c>
      <c r="G1287" s="135" t="s">
        <v>96</v>
      </c>
      <c r="H1287" s="135" t="s">
        <v>2853</v>
      </c>
      <c r="I1287" s="135" t="s">
        <v>100</v>
      </c>
      <c r="J1287" s="135">
        <v>1.0</v>
      </c>
      <c r="K1287" s="135"/>
      <c r="L1287" s="135">
        <v>5623.0</v>
      </c>
      <c r="M1287" s="135">
        <v>1540.0</v>
      </c>
      <c r="N1287" s="135">
        <v>120.0</v>
      </c>
      <c r="O1287" s="135">
        <v>1.03</v>
      </c>
      <c r="P1287" s="136">
        <v>0.0</v>
      </c>
      <c r="Q1287" s="137">
        <v>2.575</v>
      </c>
      <c r="R1287" s="136">
        <v>46122.0</v>
      </c>
      <c r="S1287" s="135" t="s">
        <v>3689</v>
      </c>
      <c r="T1287" s="136"/>
      <c r="U1287" s="135" t="s">
        <v>2855</v>
      </c>
      <c r="V1287" s="135" t="s">
        <v>2856</v>
      </c>
      <c r="W1287" s="135" t="s">
        <v>3702</v>
      </c>
      <c r="X1287" s="135"/>
      <c r="Y1287" s="135"/>
      <c r="Z1287" s="135" t="s">
        <v>2858</v>
      </c>
      <c r="AA1287" s="135"/>
      <c r="AB1287" s="135"/>
      <c r="AC1287" s="135"/>
      <c r="AD1287" s="135" t="e">
        <v>#N/A</v>
      </c>
      <c r="AE1287" s="135"/>
      <c r="AF1287" s="135"/>
      <c r="AG1287" s="135"/>
    </row>
    <row r="1288" ht="21.75" hidden="1" customHeight="1">
      <c r="A1288" s="135">
        <v>1284.0</v>
      </c>
      <c r="B1288" s="135">
        <v>25045.0</v>
      </c>
      <c r="C1288" s="135"/>
      <c r="D1288" s="135">
        <v>7.0</v>
      </c>
      <c r="E1288" s="135" t="s">
        <v>3700</v>
      </c>
      <c r="F1288" s="135" t="s">
        <v>2390</v>
      </c>
      <c r="G1288" s="135" t="s">
        <v>96</v>
      </c>
      <c r="H1288" s="135" t="s">
        <v>2853</v>
      </c>
      <c r="I1288" s="135" t="s">
        <v>100</v>
      </c>
      <c r="J1288" s="135">
        <v>1.0</v>
      </c>
      <c r="K1288" s="135"/>
      <c r="L1288" s="135">
        <v>4460.0</v>
      </c>
      <c r="M1288" s="135">
        <v>3100.0</v>
      </c>
      <c r="N1288" s="135">
        <v>120.0</v>
      </c>
      <c r="O1288" s="135">
        <v>1.32</v>
      </c>
      <c r="P1288" s="136">
        <v>0.0</v>
      </c>
      <c r="Q1288" s="137">
        <v>3.3000000000000003</v>
      </c>
      <c r="R1288" s="136">
        <v>46122.0</v>
      </c>
      <c r="S1288" s="135" t="s">
        <v>3689</v>
      </c>
      <c r="T1288" s="136"/>
      <c r="U1288" s="135" t="s">
        <v>2864</v>
      </c>
      <c r="V1288" s="135" t="s">
        <v>2865</v>
      </c>
      <c r="W1288" s="135" t="s">
        <v>3703</v>
      </c>
      <c r="X1288" s="135" t="s">
        <v>2895</v>
      </c>
      <c r="Y1288" s="135"/>
      <c r="Z1288" s="135" t="s">
        <v>2858</v>
      </c>
      <c r="AA1288" s="135"/>
      <c r="AB1288" s="135"/>
      <c r="AC1288" s="135"/>
      <c r="AD1288" s="135">
        <v>46130.0</v>
      </c>
      <c r="AE1288" s="135"/>
      <c r="AF1288" s="135"/>
      <c r="AG1288" s="135"/>
    </row>
    <row r="1289" ht="21.75" hidden="1" customHeight="1">
      <c r="A1289" s="135">
        <v>1285.0</v>
      </c>
      <c r="B1289" s="135">
        <v>25045.0</v>
      </c>
      <c r="C1289" s="135"/>
      <c r="D1289" s="135">
        <v>7.0</v>
      </c>
      <c r="E1289" s="135" t="s">
        <v>3700</v>
      </c>
      <c r="F1289" s="135" t="s">
        <v>2391</v>
      </c>
      <c r="G1289" s="135" t="s">
        <v>96</v>
      </c>
      <c r="H1289" s="135" t="s">
        <v>2853</v>
      </c>
      <c r="I1289" s="135" t="s">
        <v>100</v>
      </c>
      <c r="J1289" s="135">
        <v>1.0</v>
      </c>
      <c r="K1289" s="135"/>
      <c r="L1289" s="135">
        <v>4055.0</v>
      </c>
      <c r="M1289" s="135">
        <v>3100.0</v>
      </c>
      <c r="N1289" s="135">
        <v>120.0</v>
      </c>
      <c r="O1289" s="135">
        <v>1.63</v>
      </c>
      <c r="P1289" s="136">
        <v>0.0</v>
      </c>
      <c r="Q1289" s="137">
        <v>4.074999999999999</v>
      </c>
      <c r="R1289" s="136">
        <v>46122.0</v>
      </c>
      <c r="S1289" s="135" t="s">
        <v>3689</v>
      </c>
      <c r="T1289" s="136"/>
      <c r="U1289" s="135" t="s">
        <v>2864</v>
      </c>
      <c r="V1289" s="135" t="s">
        <v>2865</v>
      </c>
      <c r="W1289" s="135" t="s">
        <v>3704</v>
      </c>
      <c r="X1289" s="135"/>
      <c r="Y1289" s="135"/>
      <c r="Z1289" s="135" t="s">
        <v>2858</v>
      </c>
      <c r="AA1289" s="135"/>
      <c r="AB1289" s="135"/>
      <c r="AC1289" s="135"/>
      <c r="AD1289" s="135">
        <v>46132.0</v>
      </c>
      <c r="AE1289" s="135"/>
      <c r="AF1289" s="135"/>
      <c r="AG1289" s="135"/>
    </row>
    <row r="1290" ht="21.75" hidden="1" customHeight="1">
      <c r="A1290" s="135">
        <v>1286.0</v>
      </c>
      <c r="B1290" s="135">
        <v>25045.0</v>
      </c>
      <c r="C1290" s="135"/>
      <c r="D1290" s="135">
        <v>7.0</v>
      </c>
      <c r="E1290" s="135" t="s">
        <v>3700</v>
      </c>
      <c r="F1290" s="135" t="s">
        <v>2392</v>
      </c>
      <c r="G1290" s="135" t="s">
        <v>96</v>
      </c>
      <c r="H1290" s="135" t="s">
        <v>2853</v>
      </c>
      <c r="I1290" s="135" t="s">
        <v>100</v>
      </c>
      <c r="J1290" s="135">
        <v>1.0</v>
      </c>
      <c r="K1290" s="135" t="s">
        <v>3134</v>
      </c>
      <c r="L1290" s="135">
        <v>3914.0</v>
      </c>
      <c r="M1290" s="135">
        <v>2850.0</v>
      </c>
      <c r="N1290" s="135">
        <v>120.0</v>
      </c>
      <c r="O1290" s="135">
        <v>1.5</v>
      </c>
      <c r="P1290" s="136">
        <v>0.0</v>
      </c>
      <c r="Q1290" s="137">
        <v>3.75</v>
      </c>
      <c r="R1290" s="136">
        <v>46122.0</v>
      </c>
      <c r="S1290" s="135" t="s">
        <v>3689</v>
      </c>
      <c r="T1290" s="136"/>
      <c r="U1290" s="135" t="s">
        <v>2864</v>
      </c>
      <c r="V1290" s="135" t="s">
        <v>3100</v>
      </c>
      <c r="W1290" s="135" t="s">
        <v>3692</v>
      </c>
      <c r="X1290" s="135"/>
      <c r="Y1290" s="135"/>
      <c r="Z1290" s="135" t="s">
        <v>2858</v>
      </c>
      <c r="AA1290" s="135"/>
      <c r="AB1290" s="135"/>
      <c r="AC1290" s="135"/>
      <c r="AD1290" s="135">
        <v>46147.0</v>
      </c>
      <c r="AE1290" s="135"/>
      <c r="AF1290" s="135"/>
      <c r="AG1290" s="135"/>
    </row>
    <row r="1291" ht="21.75" hidden="1" customHeight="1">
      <c r="A1291" s="135">
        <v>1287.0</v>
      </c>
      <c r="B1291" s="135">
        <v>25045.0</v>
      </c>
      <c r="C1291" s="135"/>
      <c r="D1291" s="135">
        <v>7.0</v>
      </c>
      <c r="E1291" s="135" t="s">
        <v>3700</v>
      </c>
      <c r="F1291" s="135" t="s">
        <v>2393</v>
      </c>
      <c r="G1291" s="135" t="s">
        <v>96</v>
      </c>
      <c r="H1291" s="135" t="s">
        <v>2853</v>
      </c>
      <c r="I1291" s="135" t="s">
        <v>100</v>
      </c>
      <c r="J1291" s="135">
        <v>1.0</v>
      </c>
      <c r="K1291" s="135" t="s">
        <v>3134</v>
      </c>
      <c r="L1291" s="135">
        <v>3914.0</v>
      </c>
      <c r="M1291" s="135">
        <v>2850.0</v>
      </c>
      <c r="N1291" s="135">
        <v>120.0</v>
      </c>
      <c r="O1291" s="135">
        <v>1.5</v>
      </c>
      <c r="P1291" s="136">
        <v>0.0</v>
      </c>
      <c r="Q1291" s="137">
        <v>3.75</v>
      </c>
      <c r="R1291" s="136">
        <v>46122.0</v>
      </c>
      <c r="S1291" s="135" t="s">
        <v>3689</v>
      </c>
      <c r="T1291" s="136"/>
      <c r="U1291" s="135" t="s">
        <v>2864</v>
      </c>
      <c r="V1291" s="135" t="s">
        <v>3100</v>
      </c>
      <c r="W1291" s="135" t="s">
        <v>3692</v>
      </c>
      <c r="X1291" s="135"/>
      <c r="Y1291" s="135"/>
      <c r="Z1291" s="135" t="s">
        <v>2858</v>
      </c>
      <c r="AA1291" s="135"/>
      <c r="AB1291" s="135"/>
      <c r="AC1291" s="135"/>
      <c r="AD1291" s="135">
        <v>46148.0</v>
      </c>
      <c r="AE1291" s="135"/>
      <c r="AF1291" s="135"/>
      <c r="AG1291" s="135"/>
    </row>
    <row r="1292" ht="21.75" hidden="1" customHeight="1">
      <c r="A1292" s="135">
        <v>1288.0</v>
      </c>
      <c r="B1292" s="135">
        <v>25045.0</v>
      </c>
      <c r="C1292" s="135"/>
      <c r="D1292" s="135">
        <v>7.0</v>
      </c>
      <c r="E1292" s="135" t="s">
        <v>3700</v>
      </c>
      <c r="F1292" s="135" t="s">
        <v>2394</v>
      </c>
      <c r="G1292" s="135" t="s">
        <v>96</v>
      </c>
      <c r="H1292" s="135" t="s">
        <v>2853</v>
      </c>
      <c r="I1292" s="135" t="s">
        <v>100</v>
      </c>
      <c r="J1292" s="135">
        <v>1.0</v>
      </c>
      <c r="K1292" s="135" t="s">
        <v>3134</v>
      </c>
      <c r="L1292" s="135">
        <v>3914.0</v>
      </c>
      <c r="M1292" s="135">
        <v>2850.0</v>
      </c>
      <c r="N1292" s="135">
        <v>120.0</v>
      </c>
      <c r="O1292" s="135">
        <v>1.5</v>
      </c>
      <c r="P1292" s="136">
        <v>0.0</v>
      </c>
      <c r="Q1292" s="137">
        <v>3.75</v>
      </c>
      <c r="R1292" s="136">
        <v>46122.0</v>
      </c>
      <c r="S1292" s="135" t="s">
        <v>3689</v>
      </c>
      <c r="T1292" s="136"/>
      <c r="U1292" s="135" t="s">
        <v>2864</v>
      </c>
      <c r="V1292" s="135" t="s">
        <v>3100</v>
      </c>
      <c r="W1292" s="135" t="s">
        <v>3692</v>
      </c>
      <c r="X1292" s="135"/>
      <c r="Y1292" s="135"/>
      <c r="Z1292" s="135" t="s">
        <v>2858</v>
      </c>
      <c r="AA1292" s="135"/>
      <c r="AB1292" s="135"/>
      <c r="AC1292" s="135"/>
      <c r="AD1292" s="135">
        <v>46149.0</v>
      </c>
      <c r="AE1292" s="135"/>
      <c r="AF1292" s="135"/>
      <c r="AG1292" s="135"/>
    </row>
    <row r="1293" ht="21.75" hidden="1" customHeight="1">
      <c r="A1293" s="135">
        <v>1289.0</v>
      </c>
      <c r="B1293" s="135">
        <v>25045.0</v>
      </c>
      <c r="C1293" s="135"/>
      <c r="D1293" s="135">
        <v>7.0</v>
      </c>
      <c r="E1293" s="135" t="s">
        <v>3700</v>
      </c>
      <c r="F1293" s="135" t="s">
        <v>2395</v>
      </c>
      <c r="G1293" s="135" t="s">
        <v>96</v>
      </c>
      <c r="H1293" s="135" t="s">
        <v>2853</v>
      </c>
      <c r="I1293" s="135" t="s">
        <v>100</v>
      </c>
      <c r="J1293" s="135">
        <v>1.0</v>
      </c>
      <c r="K1293" s="135"/>
      <c r="L1293" s="135">
        <v>6275.0</v>
      </c>
      <c r="M1293" s="135">
        <v>1300.0</v>
      </c>
      <c r="N1293" s="135">
        <v>120.0</v>
      </c>
      <c r="O1293" s="135">
        <v>1.06</v>
      </c>
      <c r="P1293" s="136">
        <v>0.0</v>
      </c>
      <c r="Q1293" s="137">
        <v>2.6500000000000004</v>
      </c>
      <c r="R1293" s="136">
        <v>46122.0</v>
      </c>
      <c r="S1293" s="135" t="s">
        <v>3689</v>
      </c>
      <c r="T1293" s="136"/>
      <c r="U1293" s="135" t="s">
        <v>2855</v>
      </c>
      <c r="V1293" s="135" t="s">
        <v>2856</v>
      </c>
      <c r="W1293" s="135" t="s">
        <v>3705</v>
      </c>
      <c r="X1293" s="135"/>
      <c r="Y1293" s="135"/>
      <c r="Z1293" s="135" t="s">
        <v>2858</v>
      </c>
      <c r="AA1293" s="135"/>
      <c r="AB1293" s="135"/>
      <c r="AC1293" s="135"/>
      <c r="AD1293" s="135">
        <v>46151.0</v>
      </c>
      <c r="AE1293" s="135"/>
      <c r="AF1293" s="135"/>
      <c r="AG1293" s="135"/>
    </row>
    <row r="1294" ht="21.75" hidden="1" customHeight="1">
      <c r="A1294" s="135">
        <v>1290.0</v>
      </c>
      <c r="B1294" s="135">
        <v>25045.0</v>
      </c>
      <c r="C1294" s="135"/>
      <c r="D1294" s="135">
        <v>7.0</v>
      </c>
      <c r="E1294" s="135" t="s">
        <v>3700</v>
      </c>
      <c r="F1294" s="135" t="s">
        <v>2396</v>
      </c>
      <c r="G1294" s="135" t="s">
        <v>96</v>
      </c>
      <c r="H1294" s="135" t="s">
        <v>2853</v>
      </c>
      <c r="I1294" s="135" t="s">
        <v>100</v>
      </c>
      <c r="J1294" s="135">
        <v>1.0</v>
      </c>
      <c r="K1294" s="135"/>
      <c r="L1294" s="135">
        <v>2860.0</v>
      </c>
      <c r="M1294" s="135">
        <v>1000.0</v>
      </c>
      <c r="N1294" s="135">
        <v>120.0</v>
      </c>
      <c r="O1294" s="135">
        <v>0.48</v>
      </c>
      <c r="P1294" s="136">
        <v>0.0</v>
      </c>
      <c r="Q1294" s="137">
        <v>1.2</v>
      </c>
      <c r="R1294" s="136">
        <v>46122.0</v>
      </c>
      <c r="S1294" s="135" t="s">
        <v>3689</v>
      </c>
      <c r="T1294" s="136"/>
      <c r="U1294" s="135" t="s">
        <v>2950</v>
      </c>
      <c r="V1294" s="135" t="s">
        <v>2951</v>
      </c>
      <c r="W1294" s="135" t="s">
        <v>3693</v>
      </c>
      <c r="X1294" s="135"/>
      <c r="Y1294" s="135"/>
      <c r="Z1294" s="135" t="s">
        <v>2858</v>
      </c>
      <c r="AA1294" s="135"/>
      <c r="AB1294" s="135"/>
      <c r="AC1294" s="135"/>
      <c r="AD1294" s="135">
        <v>46134.0</v>
      </c>
      <c r="AE1294" s="135"/>
      <c r="AF1294" s="135"/>
      <c r="AG1294" s="135"/>
    </row>
    <row r="1295" ht="21.75" hidden="1" customHeight="1">
      <c r="A1295" s="135">
        <v>1291.0</v>
      </c>
      <c r="B1295" s="135">
        <v>25045.0</v>
      </c>
      <c r="C1295" s="135" t="s">
        <v>2817</v>
      </c>
      <c r="D1295" s="135">
        <v>7.0</v>
      </c>
      <c r="E1295" s="135" t="s">
        <v>3706</v>
      </c>
      <c r="F1295" s="135" t="s">
        <v>2407</v>
      </c>
      <c r="G1295" s="135" t="s">
        <v>96</v>
      </c>
      <c r="H1295" s="135" t="s">
        <v>2853</v>
      </c>
      <c r="I1295" s="135" t="s">
        <v>101</v>
      </c>
      <c r="J1295" s="135">
        <v>1.0</v>
      </c>
      <c r="K1295" s="135"/>
      <c r="L1295" s="135">
        <v>3184.0</v>
      </c>
      <c r="M1295" s="135">
        <v>1350.0</v>
      </c>
      <c r="N1295" s="135">
        <v>120.0</v>
      </c>
      <c r="O1295" s="135">
        <v>0.515</v>
      </c>
      <c r="P1295" s="136">
        <v>0.0</v>
      </c>
      <c r="Q1295" s="137">
        <v>1.2875</v>
      </c>
      <c r="R1295" s="136">
        <v>46122.0</v>
      </c>
      <c r="S1295" s="135" t="s">
        <v>3689</v>
      </c>
      <c r="T1295" s="136"/>
      <c r="U1295" s="135" t="s">
        <v>2950</v>
      </c>
      <c r="V1295" s="135" t="s">
        <v>2856</v>
      </c>
      <c r="W1295" s="135" t="s">
        <v>3707</v>
      </c>
      <c r="X1295" s="135"/>
      <c r="Y1295" s="135"/>
      <c r="Z1295" s="135" t="s">
        <v>2858</v>
      </c>
      <c r="AA1295" s="135"/>
      <c r="AB1295" s="135"/>
      <c r="AC1295" s="135"/>
      <c r="AD1295" s="135">
        <v>46140.0</v>
      </c>
      <c r="AE1295" s="135"/>
      <c r="AF1295" s="135"/>
      <c r="AG1295" s="135"/>
    </row>
    <row r="1296" ht="21.75" hidden="1" customHeight="1">
      <c r="A1296" s="135">
        <v>1292.0</v>
      </c>
      <c r="B1296" s="135">
        <v>25045.0</v>
      </c>
      <c r="C1296" s="135" t="s">
        <v>2817</v>
      </c>
      <c r="D1296" s="135">
        <v>7.0</v>
      </c>
      <c r="E1296" s="135" t="s">
        <v>3706</v>
      </c>
      <c r="F1296" s="135" t="s">
        <v>2408</v>
      </c>
      <c r="G1296" s="135" t="s">
        <v>96</v>
      </c>
      <c r="H1296" s="135" t="s">
        <v>2853</v>
      </c>
      <c r="I1296" s="135" t="s">
        <v>101</v>
      </c>
      <c r="J1296" s="135">
        <v>1.0</v>
      </c>
      <c r="K1296" s="135"/>
      <c r="L1296" s="135">
        <v>3184.0</v>
      </c>
      <c r="M1296" s="135">
        <v>1350.0</v>
      </c>
      <c r="N1296" s="135">
        <v>120.0</v>
      </c>
      <c r="O1296" s="135">
        <v>0.515</v>
      </c>
      <c r="P1296" s="136">
        <v>0.0</v>
      </c>
      <c r="Q1296" s="137">
        <v>1.2875</v>
      </c>
      <c r="R1296" s="136">
        <v>46122.0</v>
      </c>
      <c r="S1296" s="135" t="s">
        <v>3689</v>
      </c>
      <c r="T1296" s="136"/>
      <c r="U1296" s="135" t="s">
        <v>2864</v>
      </c>
      <c r="V1296" s="135" t="s">
        <v>2856</v>
      </c>
      <c r="W1296" s="135" t="s">
        <v>3707</v>
      </c>
      <c r="X1296" s="135"/>
      <c r="Y1296" s="135"/>
      <c r="Z1296" s="135" t="s">
        <v>2858</v>
      </c>
      <c r="AA1296" s="135"/>
      <c r="AB1296" s="135"/>
      <c r="AC1296" s="135"/>
      <c r="AD1296" s="135">
        <v>46141.0</v>
      </c>
      <c r="AE1296" s="135"/>
      <c r="AF1296" s="135"/>
      <c r="AG1296" s="135"/>
    </row>
    <row r="1297" ht="21.75" hidden="1" customHeight="1">
      <c r="A1297" s="135">
        <v>1293.0</v>
      </c>
      <c r="B1297" s="135">
        <v>25045.0</v>
      </c>
      <c r="C1297" s="135" t="s">
        <v>2817</v>
      </c>
      <c r="D1297" s="135">
        <v>7.0</v>
      </c>
      <c r="E1297" s="135" t="s">
        <v>3706</v>
      </c>
      <c r="F1297" s="135" t="s">
        <v>2409</v>
      </c>
      <c r="G1297" s="135" t="s">
        <v>96</v>
      </c>
      <c r="H1297" s="135" t="s">
        <v>2853</v>
      </c>
      <c r="I1297" s="135" t="s">
        <v>101</v>
      </c>
      <c r="J1297" s="135">
        <v>1.0</v>
      </c>
      <c r="K1297" s="135"/>
      <c r="L1297" s="135">
        <v>1900.0</v>
      </c>
      <c r="M1297" s="135">
        <v>1350.0</v>
      </c>
      <c r="N1297" s="135">
        <v>120.0</v>
      </c>
      <c r="O1297" s="135">
        <v>0.41</v>
      </c>
      <c r="P1297" s="136">
        <v>0.0</v>
      </c>
      <c r="Q1297" s="137">
        <v>1.025</v>
      </c>
      <c r="R1297" s="136">
        <v>46122.0</v>
      </c>
      <c r="S1297" s="135" t="s">
        <v>3689</v>
      </c>
      <c r="T1297" s="136"/>
      <c r="U1297" s="135" t="s">
        <v>2864</v>
      </c>
      <c r="V1297" s="135" t="s">
        <v>2856</v>
      </c>
      <c r="W1297" s="135" t="s">
        <v>3708</v>
      </c>
      <c r="X1297" s="135"/>
      <c r="Y1297" s="135"/>
      <c r="Z1297" s="135" t="s">
        <v>2858</v>
      </c>
      <c r="AA1297" s="135"/>
      <c r="AB1297" s="135"/>
      <c r="AC1297" s="135"/>
      <c r="AD1297" s="135">
        <v>46130.0</v>
      </c>
      <c r="AE1297" s="135"/>
      <c r="AF1297" s="135"/>
      <c r="AG1297" s="135"/>
    </row>
    <row r="1298" ht="21.75" hidden="1" customHeight="1">
      <c r="A1298" s="135">
        <v>1294.0</v>
      </c>
      <c r="B1298" s="135">
        <v>25045.0</v>
      </c>
      <c r="C1298" s="135" t="s">
        <v>2817</v>
      </c>
      <c r="D1298" s="135">
        <v>7.0</v>
      </c>
      <c r="E1298" s="135" t="s">
        <v>3706</v>
      </c>
      <c r="F1298" s="135" t="s">
        <v>2410</v>
      </c>
      <c r="G1298" s="135" t="s">
        <v>96</v>
      </c>
      <c r="H1298" s="135" t="s">
        <v>2853</v>
      </c>
      <c r="I1298" s="135" t="s">
        <v>101</v>
      </c>
      <c r="J1298" s="135">
        <v>1.0</v>
      </c>
      <c r="K1298" s="135"/>
      <c r="L1298" s="135">
        <v>1900.0</v>
      </c>
      <c r="M1298" s="135">
        <v>1350.0</v>
      </c>
      <c r="N1298" s="135">
        <v>120.0</v>
      </c>
      <c r="O1298" s="135">
        <v>0.41</v>
      </c>
      <c r="P1298" s="136">
        <v>0.0</v>
      </c>
      <c r="Q1298" s="137">
        <v>1.025</v>
      </c>
      <c r="R1298" s="136">
        <v>46122.0</v>
      </c>
      <c r="S1298" s="135" t="s">
        <v>3689</v>
      </c>
      <c r="T1298" s="136"/>
      <c r="U1298" s="135" t="s">
        <v>2864</v>
      </c>
      <c r="V1298" s="135" t="s">
        <v>2856</v>
      </c>
      <c r="W1298" s="135" t="s">
        <v>3708</v>
      </c>
      <c r="X1298" s="135"/>
      <c r="Y1298" s="135"/>
      <c r="Z1298" s="135" t="s">
        <v>2858</v>
      </c>
      <c r="AA1298" s="135"/>
      <c r="AB1298" s="135"/>
      <c r="AC1298" s="135"/>
      <c r="AD1298" s="135">
        <v>46132.0</v>
      </c>
      <c r="AE1298" s="135"/>
      <c r="AF1298" s="135"/>
      <c r="AG1298" s="135"/>
    </row>
    <row r="1299" ht="21.75" hidden="1" customHeight="1">
      <c r="A1299" s="135">
        <v>1295.0</v>
      </c>
      <c r="B1299" s="135">
        <v>25045.0</v>
      </c>
      <c r="C1299" s="135" t="s">
        <v>2817</v>
      </c>
      <c r="D1299" s="135">
        <v>7.0</v>
      </c>
      <c r="E1299" s="135" t="s">
        <v>3706</v>
      </c>
      <c r="F1299" s="135" t="s">
        <v>2411</v>
      </c>
      <c r="G1299" s="135" t="s">
        <v>96</v>
      </c>
      <c r="H1299" s="135" t="s">
        <v>2853</v>
      </c>
      <c r="I1299" s="135" t="s">
        <v>101</v>
      </c>
      <c r="J1299" s="135">
        <v>1.0</v>
      </c>
      <c r="K1299" s="135"/>
      <c r="L1299" s="135">
        <v>1900.0</v>
      </c>
      <c r="M1299" s="135">
        <v>1350.0</v>
      </c>
      <c r="N1299" s="135">
        <v>120.0</v>
      </c>
      <c r="O1299" s="135">
        <v>0.41</v>
      </c>
      <c r="P1299" s="136">
        <v>0.0</v>
      </c>
      <c r="Q1299" s="137">
        <v>1.025</v>
      </c>
      <c r="R1299" s="136">
        <v>46122.0</v>
      </c>
      <c r="S1299" s="135" t="s">
        <v>3689</v>
      </c>
      <c r="T1299" s="136"/>
      <c r="U1299" s="135" t="s">
        <v>2864</v>
      </c>
      <c r="V1299" s="135" t="s">
        <v>2856</v>
      </c>
      <c r="W1299" s="135" t="s">
        <v>3708</v>
      </c>
      <c r="X1299" s="135"/>
      <c r="Y1299" s="135"/>
      <c r="Z1299" s="135" t="s">
        <v>2858</v>
      </c>
      <c r="AA1299" s="135"/>
      <c r="AB1299" s="135"/>
      <c r="AC1299" s="135"/>
      <c r="AD1299" s="135">
        <v>46133.0</v>
      </c>
      <c r="AE1299" s="135"/>
      <c r="AF1299" s="135"/>
      <c r="AG1299" s="135"/>
    </row>
    <row r="1300" ht="21.75" hidden="1" customHeight="1">
      <c r="A1300" s="135">
        <v>1296.0</v>
      </c>
      <c r="B1300" s="135">
        <v>25045.0</v>
      </c>
      <c r="C1300" s="135" t="s">
        <v>2817</v>
      </c>
      <c r="D1300" s="135">
        <v>7.0</v>
      </c>
      <c r="E1300" s="135" t="s">
        <v>3706</v>
      </c>
      <c r="F1300" s="135" t="s">
        <v>2412</v>
      </c>
      <c r="G1300" s="135" t="s">
        <v>96</v>
      </c>
      <c r="H1300" s="135" t="s">
        <v>2853</v>
      </c>
      <c r="I1300" s="135" t="s">
        <v>101</v>
      </c>
      <c r="J1300" s="135">
        <v>1.0</v>
      </c>
      <c r="K1300" s="135"/>
      <c r="L1300" s="135">
        <v>1900.0</v>
      </c>
      <c r="M1300" s="135">
        <v>1350.0</v>
      </c>
      <c r="N1300" s="135">
        <v>120.0</v>
      </c>
      <c r="O1300" s="135">
        <v>0.41</v>
      </c>
      <c r="P1300" s="136">
        <v>0.0</v>
      </c>
      <c r="Q1300" s="137">
        <v>1.025</v>
      </c>
      <c r="R1300" s="136">
        <v>46122.0</v>
      </c>
      <c r="S1300" s="135" t="s">
        <v>3689</v>
      </c>
      <c r="T1300" s="136"/>
      <c r="U1300" s="135" t="s">
        <v>2864</v>
      </c>
      <c r="V1300" s="135" t="s">
        <v>2856</v>
      </c>
      <c r="W1300" s="135" t="s">
        <v>3708</v>
      </c>
      <c r="X1300" s="135"/>
      <c r="Y1300" s="135"/>
      <c r="Z1300" s="135" t="s">
        <v>2858</v>
      </c>
      <c r="AA1300" s="135"/>
      <c r="AB1300" s="135"/>
      <c r="AC1300" s="135"/>
      <c r="AD1300" s="135">
        <v>46134.0</v>
      </c>
      <c r="AE1300" s="135"/>
      <c r="AF1300" s="135"/>
      <c r="AG1300" s="135"/>
    </row>
    <row r="1301" ht="21.75" hidden="1" customHeight="1">
      <c r="A1301" s="135">
        <v>1297.0</v>
      </c>
      <c r="B1301" s="135">
        <v>25045.0</v>
      </c>
      <c r="C1301" s="135" t="s">
        <v>2817</v>
      </c>
      <c r="D1301" s="135">
        <v>7.0</v>
      </c>
      <c r="E1301" s="135" t="s">
        <v>3706</v>
      </c>
      <c r="F1301" s="135" t="s">
        <v>2413</v>
      </c>
      <c r="G1301" s="135" t="s">
        <v>96</v>
      </c>
      <c r="H1301" s="135" t="s">
        <v>2853</v>
      </c>
      <c r="I1301" s="135" t="s">
        <v>101</v>
      </c>
      <c r="J1301" s="135">
        <v>1.0</v>
      </c>
      <c r="K1301" s="135"/>
      <c r="L1301" s="135">
        <v>1900.0</v>
      </c>
      <c r="M1301" s="135">
        <v>1350.0</v>
      </c>
      <c r="N1301" s="135">
        <v>120.0</v>
      </c>
      <c r="O1301" s="135">
        <v>0.41</v>
      </c>
      <c r="P1301" s="136">
        <v>0.0</v>
      </c>
      <c r="Q1301" s="137">
        <v>1.025</v>
      </c>
      <c r="R1301" s="136">
        <v>46122.0</v>
      </c>
      <c r="S1301" s="135" t="s">
        <v>3689</v>
      </c>
      <c r="T1301" s="136"/>
      <c r="U1301" s="135" t="s">
        <v>2864</v>
      </c>
      <c r="V1301" s="135" t="s">
        <v>2856</v>
      </c>
      <c r="W1301" s="135" t="s">
        <v>3708</v>
      </c>
      <c r="X1301" s="135"/>
      <c r="Y1301" s="135"/>
      <c r="Z1301" s="135" t="s">
        <v>2858</v>
      </c>
      <c r="AA1301" s="135"/>
      <c r="AB1301" s="135"/>
      <c r="AC1301" s="135"/>
      <c r="AD1301" s="135">
        <v>46136.0</v>
      </c>
      <c r="AE1301" s="135"/>
      <c r="AF1301" s="135"/>
      <c r="AG1301" s="135"/>
    </row>
    <row r="1302" ht="21.75" hidden="1" customHeight="1">
      <c r="A1302" s="135">
        <v>1298.0</v>
      </c>
      <c r="B1302" s="135">
        <v>25045.0</v>
      </c>
      <c r="C1302" s="135" t="s">
        <v>2817</v>
      </c>
      <c r="D1302" s="135">
        <v>7.0</v>
      </c>
      <c r="E1302" s="135" t="s">
        <v>3709</v>
      </c>
      <c r="F1302" s="135" t="s">
        <v>2432</v>
      </c>
      <c r="G1302" s="135" t="s">
        <v>96</v>
      </c>
      <c r="H1302" s="135" t="s">
        <v>2853</v>
      </c>
      <c r="I1302" s="135" t="s">
        <v>103</v>
      </c>
      <c r="J1302" s="135">
        <v>1.0</v>
      </c>
      <c r="K1302" s="135"/>
      <c r="L1302" s="135">
        <v>1900.0</v>
      </c>
      <c r="M1302" s="135">
        <v>1350.0</v>
      </c>
      <c r="N1302" s="135">
        <v>120.0</v>
      </c>
      <c r="O1302" s="135">
        <v>0.41</v>
      </c>
      <c r="P1302" s="136">
        <v>0.0</v>
      </c>
      <c r="Q1302" s="137">
        <v>1.025</v>
      </c>
      <c r="R1302" s="136">
        <v>46122.0</v>
      </c>
      <c r="S1302" s="135" t="s">
        <v>3689</v>
      </c>
      <c r="T1302" s="136"/>
      <c r="U1302" s="135" t="s">
        <v>2864</v>
      </c>
      <c r="V1302" s="135" t="s">
        <v>2856</v>
      </c>
      <c r="W1302" s="135" t="s">
        <v>3708</v>
      </c>
      <c r="X1302" s="135"/>
      <c r="Y1302" s="135"/>
      <c r="Z1302" s="135" t="s">
        <v>2858</v>
      </c>
      <c r="AA1302" s="135"/>
      <c r="AB1302" s="135"/>
      <c r="AC1302" s="135"/>
      <c r="AD1302" s="135">
        <v>46139.0</v>
      </c>
      <c r="AE1302" s="135"/>
      <c r="AF1302" s="135"/>
      <c r="AG1302" s="135"/>
    </row>
    <row r="1303" ht="21.75" hidden="1" customHeight="1">
      <c r="A1303" s="135">
        <v>1299.0</v>
      </c>
      <c r="B1303" s="135">
        <v>25045.0</v>
      </c>
      <c r="C1303" s="135" t="s">
        <v>2817</v>
      </c>
      <c r="D1303" s="135">
        <v>7.0</v>
      </c>
      <c r="E1303" s="135" t="s">
        <v>3709</v>
      </c>
      <c r="F1303" s="135" t="s">
        <v>2433</v>
      </c>
      <c r="G1303" s="135" t="s">
        <v>96</v>
      </c>
      <c r="H1303" s="135" t="s">
        <v>2853</v>
      </c>
      <c r="I1303" s="135" t="s">
        <v>103</v>
      </c>
      <c r="J1303" s="135">
        <v>1.0</v>
      </c>
      <c r="K1303" s="135"/>
      <c r="L1303" s="135">
        <v>1900.0</v>
      </c>
      <c r="M1303" s="135">
        <v>1350.0</v>
      </c>
      <c r="N1303" s="135">
        <v>120.0</v>
      </c>
      <c r="O1303" s="135">
        <v>0.41</v>
      </c>
      <c r="P1303" s="136">
        <v>0.0</v>
      </c>
      <c r="Q1303" s="137">
        <v>1.025</v>
      </c>
      <c r="R1303" s="136">
        <v>46122.0</v>
      </c>
      <c r="S1303" s="135" t="s">
        <v>3689</v>
      </c>
      <c r="T1303" s="136"/>
      <c r="U1303" s="135" t="s">
        <v>2864</v>
      </c>
      <c r="V1303" s="135" t="s">
        <v>2856</v>
      </c>
      <c r="W1303" s="135" t="s">
        <v>3708</v>
      </c>
      <c r="X1303" s="135"/>
      <c r="Y1303" s="135"/>
      <c r="Z1303" s="135" t="s">
        <v>2858</v>
      </c>
      <c r="AA1303" s="135"/>
      <c r="AB1303" s="135"/>
      <c r="AC1303" s="135"/>
      <c r="AD1303" s="135">
        <v>46140.0</v>
      </c>
      <c r="AE1303" s="135"/>
      <c r="AF1303" s="135"/>
      <c r="AG1303" s="135"/>
    </row>
    <row r="1304" ht="21.75" hidden="1" customHeight="1">
      <c r="A1304" s="135">
        <v>1300.0</v>
      </c>
      <c r="B1304" s="135">
        <v>25045.0</v>
      </c>
      <c r="C1304" s="135" t="s">
        <v>2817</v>
      </c>
      <c r="D1304" s="135">
        <v>7.0</v>
      </c>
      <c r="E1304" s="135" t="s">
        <v>3709</v>
      </c>
      <c r="F1304" s="135" t="s">
        <v>2434</v>
      </c>
      <c r="G1304" s="135" t="s">
        <v>96</v>
      </c>
      <c r="H1304" s="135" t="s">
        <v>2853</v>
      </c>
      <c r="I1304" s="135" t="s">
        <v>103</v>
      </c>
      <c r="J1304" s="135">
        <v>1.0</v>
      </c>
      <c r="K1304" s="135"/>
      <c r="L1304" s="135">
        <v>1900.0</v>
      </c>
      <c r="M1304" s="135">
        <v>1350.0</v>
      </c>
      <c r="N1304" s="135">
        <v>120.0</v>
      </c>
      <c r="O1304" s="135">
        <v>0.41</v>
      </c>
      <c r="P1304" s="136">
        <v>0.0</v>
      </c>
      <c r="Q1304" s="137">
        <v>1.025</v>
      </c>
      <c r="R1304" s="136">
        <v>46122.0</v>
      </c>
      <c r="S1304" s="135" t="s">
        <v>3689</v>
      </c>
      <c r="T1304" s="136"/>
      <c r="U1304" s="135" t="s">
        <v>2864</v>
      </c>
      <c r="V1304" s="135" t="s">
        <v>2856</v>
      </c>
      <c r="W1304" s="135" t="s">
        <v>3708</v>
      </c>
      <c r="X1304" s="135"/>
      <c r="Y1304" s="135"/>
      <c r="Z1304" s="135" t="s">
        <v>2858</v>
      </c>
      <c r="AA1304" s="135"/>
      <c r="AB1304" s="135"/>
      <c r="AC1304" s="135"/>
      <c r="AD1304" s="135">
        <v>46142.0</v>
      </c>
      <c r="AE1304" s="135"/>
      <c r="AF1304" s="135"/>
      <c r="AG1304" s="135"/>
    </row>
    <row r="1305" ht="21.75" hidden="1" customHeight="1">
      <c r="A1305" s="135">
        <v>1301.0</v>
      </c>
      <c r="B1305" s="135">
        <v>25045.0</v>
      </c>
      <c r="C1305" s="135"/>
      <c r="D1305" s="135">
        <v>7.0</v>
      </c>
      <c r="E1305" s="135" t="s">
        <v>3706</v>
      </c>
      <c r="F1305" s="135" t="s">
        <v>2414</v>
      </c>
      <c r="G1305" s="135" t="s">
        <v>96</v>
      </c>
      <c r="H1305" s="135" t="s">
        <v>2853</v>
      </c>
      <c r="I1305" s="135" t="s">
        <v>101</v>
      </c>
      <c r="J1305" s="135">
        <v>1.0</v>
      </c>
      <c r="K1305" s="135"/>
      <c r="L1305" s="135">
        <v>1590.0</v>
      </c>
      <c r="M1305" s="135">
        <v>3100.0</v>
      </c>
      <c r="N1305" s="135">
        <v>120.0</v>
      </c>
      <c r="O1305" s="135">
        <v>0.69</v>
      </c>
      <c r="P1305" s="136">
        <v>0.0</v>
      </c>
      <c r="Q1305" s="137">
        <v>1.7249999999999999</v>
      </c>
      <c r="R1305" s="136">
        <v>46122.0</v>
      </c>
      <c r="S1305" s="135" t="s">
        <v>3689</v>
      </c>
      <c r="T1305" s="136"/>
      <c r="U1305" s="135" t="s">
        <v>2864</v>
      </c>
      <c r="V1305" s="135" t="s">
        <v>2873</v>
      </c>
      <c r="W1305" s="135" t="s">
        <v>3710</v>
      </c>
      <c r="X1305" s="135"/>
      <c r="Y1305" s="135"/>
      <c r="Z1305" s="135" t="s">
        <v>2858</v>
      </c>
      <c r="AA1305" s="135"/>
      <c r="AB1305" s="135"/>
      <c r="AC1305" s="135"/>
      <c r="AD1305" s="135">
        <v>46151.0</v>
      </c>
      <c r="AE1305" s="135"/>
      <c r="AF1305" s="135"/>
      <c r="AG1305" s="135"/>
    </row>
    <row r="1306" ht="21.75" hidden="1" customHeight="1">
      <c r="A1306" s="135">
        <v>1302.0</v>
      </c>
      <c r="B1306" s="135">
        <v>25045.0</v>
      </c>
      <c r="C1306" s="135"/>
      <c r="D1306" s="135">
        <v>7.0</v>
      </c>
      <c r="E1306" s="135" t="s">
        <v>3706</v>
      </c>
      <c r="F1306" s="135" t="s">
        <v>2415</v>
      </c>
      <c r="G1306" s="135" t="s">
        <v>96</v>
      </c>
      <c r="H1306" s="135" t="s">
        <v>2853</v>
      </c>
      <c r="I1306" s="135" t="s">
        <v>101</v>
      </c>
      <c r="J1306" s="135">
        <v>1.0</v>
      </c>
      <c r="K1306" s="135"/>
      <c r="L1306" s="135">
        <v>4800.0</v>
      </c>
      <c r="M1306" s="135">
        <v>3100.0</v>
      </c>
      <c r="N1306" s="135">
        <v>120.0</v>
      </c>
      <c r="O1306" s="135">
        <v>1.99</v>
      </c>
      <c r="P1306" s="136">
        <v>0.0</v>
      </c>
      <c r="Q1306" s="137">
        <v>4.975</v>
      </c>
      <c r="R1306" s="136">
        <v>46122.0</v>
      </c>
      <c r="S1306" s="135" t="s">
        <v>3689</v>
      </c>
      <c r="T1306" s="136"/>
      <c r="U1306" s="135" t="s">
        <v>2855</v>
      </c>
      <c r="V1306" s="135" t="s">
        <v>2868</v>
      </c>
      <c r="W1306" s="135" t="s">
        <v>3711</v>
      </c>
      <c r="X1306" s="135" t="s">
        <v>2867</v>
      </c>
      <c r="Y1306" s="135"/>
      <c r="Z1306" s="135" t="s">
        <v>2858</v>
      </c>
      <c r="AA1306" s="135"/>
      <c r="AB1306" s="135"/>
      <c r="AC1306" s="135"/>
      <c r="AD1306" s="135">
        <v>46137.0</v>
      </c>
      <c r="AE1306" s="135"/>
      <c r="AF1306" s="135"/>
      <c r="AG1306" s="135"/>
    </row>
    <row r="1307" ht="21.75" hidden="1" customHeight="1">
      <c r="A1307" s="135">
        <v>1303.0</v>
      </c>
      <c r="B1307" s="135">
        <v>25045.0</v>
      </c>
      <c r="C1307" s="135"/>
      <c r="D1307" s="135">
        <v>7.0</v>
      </c>
      <c r="E1307" s="135" t="s">
        <v>3706</v>
      </c>
      <c r="F1307" s="135" t="s">
        <v>2416</v>
      </c>
      <c r="G1307" s="135" t="s">
        <v>96</v>
      </c>
      <c r="H1307" s="135" t="s">
        <v>2853</v>
      </c>
      <c r="I1307" s="135" t="s">
        <v>101</v>
      </c>
      <c r="J1307" s="135">
        <v>1.0</v>
      </c>
      <c r="K1307" s="135"/>
      <c r="L1307" s="135">
        <v>5140.0</v>
      </c>
      <c r="M1307" s="135">
        <v>3100.0</v>
      </c>
      <c r="N1307" s="135">
        <v>120.0</v>
      </c>
      <c r="O1307" s="135">
        <v>2.04</v>
      </c>
      <c r="P1307" s="136">
        <v>0.0</v>
      </c>
      <c r="Q1307" s="137">
        <v>5.1</v>
      </c>
      <c r="R1307" s="136">
        <v>46122.0</v>
      </c>
      <c r="S1307" s="135" t="s">
        <v>3689</v>
      </c>
      <c r="T1307" s="136"/>
      <c r="U1307" s="135" t="s">
        <v>2855</v>
      </c>
      <c r="V1307" s="135" t="s">
        <v>2868</v>
      </c>
      <c r="W1307" s="135" t="s">
        <v>3308</v>
      </c>
      <c r="X1307" s="135" t="s">
        <v>2870</v>
      </c>
      <c r="Y1307" s="135"/>
      <c r="Z1307" s="135" t="s">
        <v>2858</v>
      </c>
      <c r="AA1307" s="135"/>
      <c r="AB1307" s="135"/>
      <c r="AC1307" s="135"/>
      <c r="AD1307" s="135">
        <v>46134.0</v>
      </c>
      <c r="AE1307" s="135"/>
      <c r="AF1307" s="135"/>
      <c r="AG1307" s="135"/>
    </row>
    <row r="1308" ht="21.75" hidden="1" customHeight="1">
      <c r="A1308" s="135">
        <v>1304.0</v>
      </c>
      <c r="B1308" s="135">
        <v>25045.0</v>
      </c>
      <c r="C1308" s="135"/>
      <c r="D1308" s="135">
        <v>7.0</v>
      </c>
      <c r="E1308" s="135" t="s">
        <v>3706</v>
      </c>
      <c r="F1308" s="135" t="s">
        <v>2417</v>
      </c>
      <c r="G1308" s="135" t="s">
        <v>96</v>
      </c>
      <c r="H1308" s="135" t="s">
        <v>2853</v>
      </c>
      <c r="I1308" s="135" t="s">
        <v>101</v>
      </c>
      <c r="J1308" s="135">
        <v>1.0</v>
      </c>
      <c r="K1308" s="135"/>
      <c r="L1308" s="135">
        <v>5090.0</v>
      </c>
      <c r="M1308" s="135">
        <v>3100.0</v>
      </c>
      <c r="N1308" s="135">
        <v>120.0</v>
      </c>
      <c r="O1308" s="135">
        <v>2.03</v>
      </c>
      <c r="P1308" s="136">
        <v>0.0</v>
      </c>
      <c r="Q1308" s="137">
        <v>5.074999999999999</v>
      </c>
      <c r="R1308" s="136">
        <v>46122.0</v>
      </c>
      <c r="S1308" s="135" t="s">
        <v>3689</v>
      </c>
      <c r="T1308" s="136"/>
      <c r="U1308" s="135" t="s">
        <v>2855</v>
      </c>
      <c r="V1308" s="135" t="s">
        <v>2868</v>
      </c>
      <c r="W1308" s="135" t="s">
        <v>3712</v>
      </c>
      <c r="X1308" s="135" t="s">
        <v>2872</v>
      </c>
      <c r="Y1308" s="135"/>
      <c r="Z1308" s="135" t="s">
        <v>2858</v>
      </c>
      <c r="AA1308" s="135"/>
      <c r="AB1308" s="135"/>
      <c r="AC1308" s="135"/>
      <c r="AD1308" s="135">
        <v>46135.0</v>
      </c>
      <c r="AE1308" s="135"/>
      <c r="AF1308" s="135"/>
      <c r="AG1308" s="135"/>
    </row>
    <row r="1309" ht="21.75" hidden="1" customHeight="1">
      <c r="A1309" s="135">
        <v>1305.0</v>
      </c>
      <c r="B1309" s="135">
        <v>25045.0</v>
      </c>
      <c r="C1309" s="135"/>
      <c r="D1309" s="135">
        <v>7.0</v>
      </c>
      <c r="E1309" s="135" t="s">
        <v>3706</v>
      </c>
      <c r="F1309" s="135" t="s">
        <v>2418</v>
      </c>
      <c r="G1309" s="135" t="s">
        <v>96</v>
      </c>
      <c r="H1309" s="135" t="s">
        <v>2853</v>
      </c>
      <c r="I1309" s="135" t="s">
        <v>101</v>
      </c>
      <c r="J1309" s="135">
        <v>1.0</v>
      </c>
      <c r="K1309" s="135" t="s">
        <v>3134</v>
      </c>
      <c r="L1309" s="135">
        <v>4611.0</v>
      </c>
      <c r="M1309" s="135">
        <v>2850.0</v>
      </c>
      <c r="N1309" s="135">
        <v>120.0</v>
      </c>
      <c r="O1309" s="135">
        <v>1.82</v>
      </c>
      <c r="P1309" s="136">
        <v>0.0</v>
      </c>
      <c r="Q1309" s="137">
        <v>4.55</v>
      </c>
      <c r="R1309" s="136">
        <v>46122.0</v>
      </c>
      <c r="S1309" s="135" t="s">
        <v>3689</v>
      </c>
      <c r="T1309" s="136"/>
      <c r="U1309" s="135" t="s">
        <v>2855</v>
      </c>
      <c r="V1309" s="135" t="s">
        <v>2876</v>
      </c>
      <c r="W1309" s="135" t="s">
        <v>3713</v>
      </c>
      <c r="X1309" s="135"/>
      <c r="Y1309" s="135"/>
      <c r="Z1309" s="135" t="s">
        <v>2858</v>
      </c>
      <c r="AA1309" s="135"/>
      <c r="AB1309" s="135"/>
      <c r="AC1309" s="135"/>
      <c r="AD1309" s="135">
        <v>46143.0</v>
      </c>
      <c r="AE1309" s="135"/>
      <c r="AF1309" s="135"/>
      <c r="AG1309" s="135"/>
    </row>
    <row r="1310" ht="21.75" hidden="1" customHeight="1">
      <c r="A1310" s="135">
        <v>1306.0</v>
      </c>
      <c r="B1310" s="135">
        <v>25045.0</v>
      </c>
      <c r="C1310" s="135"/>
      <c r="D1310" s="135">
        <v>7.0</v>
      </c>
      <c r="E1310" s="135" t="s">
        <v>3706</v>
      </c>
      <c r="F1310" s="135" t="s">
        <v>2419</v>
      </c>
      <c r="G1310" s="135" t="s">
        <v>96</v>
      </c>
      <c r="H1310" s="135" t="s">
        <v>2853</v>
      </c>
      <c r="I1310" s="135" t="s">
        <v>101</v>
      </c>
      <c r="J1310" s="135">
        <v>1.0</v>
      </c>
      <c r="K1310" s="135" t="s">
        <v>3134</v>
      </c>
      <c r="L1310" s="135">
        <v>4611.0</v>
      </c>
      <c r="M1310" s="135">
        <v>2850.0</v>
      </c>
      <c r="N1310" s="135">
        <v>120.0</v>
      </c>
      <c r="O1310" s="135">
        <v>1.82</v>
      </c>
      <c r="P1310" s="136">
        <v>0.0</v>
      </c>
      <c r="Q1310" s="137">
        <v>4.55</v>
      </c>
      <c r="R1310" s="136">
        <v>46122.0</v>
      </c>
      <c r="S1310" s="135" t="s">
        <v>3689</v>
      </c>
      <c r="T1310" s="136"/>
      <c r="U1310" s="135" t="s">
        <v>2855</v>
      </c>
      <c r="V1310" s="135" t="s">
        <v>2876</v>
      </c>
      <c r="W1310" s="135" t="s">
        <v>3713</v>
      </c>
      <c r="X1310" s="135"/>
      <c r="Y1310" s="135"/>
      <c r="Z1310" s="135" t="s">
        <v>2858</v>
      </c>
      <c r="AA1310" s="135"/>
      <c r="AB1310" s="135"/>
      <c r="AC1310" s="135"/>
      <c r="AD1310" s="135">
        <v>46144.0</v>
      </c>
      <c r="AE1310" s="135"/>
      <c r="AF1310" s="135"/>
      <c r="AG1310" s="135"/>
    </row>
    <row r="1311" ht="21.75" hidden="1" customHeight="1">
      <c r="A1311" s="135">
        <v>1307.0</v>
      </c>
      <c r="B1311" s="135">
        <v>25045.0</v>
      </c>
      <c r="C1311" s="135"/>
      <c r="D1311" s="135">
        <v>7.0</v>
      </c>
      <c r="E1311" s="135" t="s">
        <v>3706</v>
      </c>
      <c r="F1311" s="135" t="s">
        <v>2420</v>
      </c>
      <c r="G1311" s="135" t="s">
        <v>96</v>
      </c>
      <c r="H1311" s="135" t="s">
        <v>2853</v>
      </c>
      <c r="I1311" s="135" t="s">
        <v>101</v>
      </c>
      <c r="J1311" s="135">
        <v>1.0</v>
      </c>
      <c r="K1311" s="135" t="s">
        <v>3134</v>
      </c>
      <c r="L1311" s="135">
        <v>4611.0</v>
      </c>
      <c r="M1311" s="135">
        <v>2850.0</v>
      </c>
      <c r="N1311" s="135">
        <v>120.0</v>
      </c>
      <c r="O1311" s="135">
        <v>1.82</v>
      </c>
      <c r="P1311" s="136">
        <v>0.0</v>
      </c>
      <c r="Q1311" s="137">
        <v>4.55</v>
      </c>
      <c r="R1311" s="136">
        <v>46122.0</v>
      </c>
      <c r="S1311" s="135" t="s">
        <v>3689</v>
      </c>
      <c r="T1311" s="136"/>
      <c r="U1311" s="135" t="s">
        <v>2855</v>
      </c>
      <c r="V1311" s="135" t="s">
        <v>2876</v>
      </c>
      <c r="W1311" s="135" t="s">
        <v>3713</v>
      </c>
      <c r="X1311" s="135"/>
      <c r="Y1311" s="135"/>
      <c r="Z1311" s="135" t="s">
        <v>2858</v>
      </c>
      <c r="AA1311" s="135"/>
      <c r="AB1311" s="135"/>
      <c r="AC1311" s="135"/>
      <c r="AD1311" s="135">
        <v>46146.0</v>
      </c>
      <c r="AE1311" s="135"/>
      <c r="AF1311" s="135"/>
      <c r="AG1311" s="135"/>
    </row>
    <row r="1312" ht="21.75" hidden="1" customHeight="1">
      <c r="A1312" s="135">
        <v>1308.0</v>
      </c>
      <c r="B1312" s="135">
        <v>25045.0</v>
      </c>
      <c r="C1312" s="135"/>
      <c r="D1312" s="135">
        <v>7.0</v>
      </c>
      <c r="E1312" s="135" t="s">
        <v>3706</v>
      </c>
      <c r="F1312" s="135" t="s">
        <v>2421</v>
      </c>
      <c r="G1312" s="135" t="s">
        <v>96</v>
      </c>
      <c r="H1312" s="135" t="s">
        <v>2853</v>
      </c>
      <c r="I1312" s="135" t="s">
        <v>101</v>
      </c>
      <c r="J1312" s="135">
        <v>1.0</v>
      </c>
      <c r="K1312" s="135" t="s">
        <v>3134</v>
      </c>
      <c r="L1312" s="135">
        <v>4611.0</v>
      </c>
      <c r="M1312" s="135">
        <v>2850.0</v>
      </c>
      <c r="N1312" s="135">
        <v>120.0</v>
      </c>
      <c r="O1312" s="135">
        <v>1.82</v>
      </c>
      <c r="P1312" s="136">
        <v>0.0</v>
      </c>
      <c r="Q1312" s="137">
        <v>4.55</v>
      </c>
      <c r="R1312" s="136">
        <v>46122.0</v>
      </c>
      <c r="S1312" s="135" t="s">
        <v>3689</v>
      </c>
      <c r="T1312" s="136"/>
      <c r="U1312" s="135" t="s">
        <v>2855</v>
      </c>
      <c r="V1312" s="135" t="s">
        <v>2876</v>
      </c>
      <c r="W1312" s="135" t="s">
        <v>3713</v>
      </c>
      <c r="X1312" s="135"/>
      <c r="Y1312" s="135"/>
      <c r="Z1312" s="135" t="s">
        <v>2858</v>
      </c>
      <c r="AA1312" s="135"/>
      <c r="AB1312" s="135"/>
      <c r="AC1312" s="135"/>
      <c r="AD1312" s="135">
        <v>46147.0</v>
      </c>
      <c r="AE1312" s="135"/>
      <c r="AF1312" s="135"/>
      <c r="AG1312" s="135"/>
    </row>
    <row r="1313" ht="21.75" hidden="1" customHeight="1">
      <c r="A1313" s="135">
        <v>1309.0</v>
      </c>
      <c r="B1313" s="135">
        <v>25045.0</v>
      </c>
      <c r="C1313" s="135"/>
      <c r="D1313" s="135">
        <v>7.0</v>
      </c>
      <c r="E1313" s="135" t="s">
        <v>3706</v>
      </c>
      <c r="F1313" s="135" t="s">
        <v>2422</v>
      </c>
      <c r="G1313" s="135" t="s">
        <v>96</v>
      </c>
      <c r="H1313" s="135" t="s">
        <v>2853</v>
      </c>
      <c r="I1313" s="135" t="s">
        <v>101</v>
      </c>
      <c r="J1313" s="135">
        <v>1.0</v>
      </c>
      <c r="K1313" s="135"/>
      <c r="L1313" s="135">
        <v>4611.0</v>
      </c>
      <c r="M1313" s="135">
        <v>2850.0</v>
      </c>
      <c r="N1313" s="135">
        <v>120.0</v>
      </c>
      <c r="O1313" s="135">
        <v>1.82</v>
      </c>
      <c r="P1313" s="136">
        <v>0.0</v>
      </c>
      <c r="Q1313" s="137">
        <v>4.55</v>
      </c>
      <c r="R1313" s="136">
        <v>46122.0</v>
      </c>
      <c r="S1313" s="135" t="s">
        <v>3689</v>
      </c>
      <c r="T1313" s="136"/>
      <c r="U1313" s="135" t="s">
        <v>2855</v>
      </c>
      <c r="V1313" s="135" t="s">
        <v>2876</v>
      </c>
      <c r="W1313" s="135" t="s">
        <v>3714</v>
      </c>
      <c r="X1313" s="135" t="s">
        <v>2892</v>
      </c>
      <c r="Y1313" s="135"/>
      <c r="Z1313" s="135" t="s">
        <v>2858</v>
      </c>
      <c r="AA1313" s="135"/>
      <c r="AB1313" s="135"/>
      <c r="AC1313" s="135"/>
      <c r="AD1313" s="135">
        <v>46150.0</v>
      </c>
      <c r="AE1313" s="135"/>
      <c r="AF1313" s="135"/>
      <c r="AG1313" s="135"/>
    </row>
    <row r="1314" ht="21.75" hidden="1" customHeight="1">
      <c r="A1314" s="135">
        <v>1310.0</v>
      </c>
      <c r="B1314" s="135">
        <v>25045.0</v>
      </c>
      <c r="C1314" s="135"/>
      <c r="D1314" s="135">
        <v>7.0</v>
      </c>
      <c r="E1314" s="135" t="s">
        <v>3706</v>
      </c>
      <c r="F1314" s="135" t="s">
        <v>2423</v>
      </c>
      <c r="G1314" s="135" t="s">
        <v>96</v>
      </c>
      <c r="H1314" s="135" t="s">
        <v>2853</v>
      </c>
      <c r="I1314" s="135" t="s">
        <v>101</v>
      </c>
      <c r="J1314" s="135">
        <v>1.0</v>
      </c>
      <c r="K1314" s="135"/>
      <c r="L1314" s="135">
        <v>5271.0</v>
      </c>
      <c r="M1314" s="135">
        <v>1000.0</v>
      </c>
      <c r="N1314" s="135">
        <v>120.0</v>
      </c>
      <c r="O1314" s="135">
        <v>0.91</v>
      </c>
      <c r="P1314" s="136">
        <v>0.0</v>
      </c>
      <c r="Q1314" s="137">
        <v>2.275</v>
      </c>
      <c r="R1314" s="136">
        <v>46122.0</v>
      </c>
      <c r="S1314" s="135" t="s">
        <v>3689</v>
      </c>
      <c r="T1314" s="136"/>
      <c r="U1314" s="135" t="s">
        <v>2972</v>
      </c>
      <c r="V1314" s="135" t="s">
        <v>2951</v>
      </c>
      <c r="W1314" s="135"/>
      <c r="X1314" s="135"/>
      <c r="Y1314" s="135"/>
      <c r="Z1314" s="135" t="s">
        <v>2858</v>
      </c>
      <c r="AA1314" s="135"/>
      <c r="AB1314" s="135"/>
      <c r="AC1314" s="135"/>
      <c r="AD1314" s="135">
        <v>46128.0</v>
      </c>
      <c r="AE1314" s="135"/>
      <c r="AF1314" s="135"/>
      <c r="AG1314" s="135"/>
    </row>
    <row r="1315" ht="21.75" hidden="1" customHeight="1">
      <c r="A1315" s="135">
        <v>1311.0</v>
      </c>
      <c r="B1315" s="135">
        <v>25045.0</v>
      </c>
      <c r="C1315" s="135"/>
      <c r="D1315" s="135">
        <v>7.0</v>
      </c>
      <c r="E1315" s="135" t="s">
        <v>3706</v>
      </c>
      <c r="F1315" s="135" t="s">
        <v>2424</v>
      </c>
      <c r="G1315" s="135" t="s">
        <v>96</v>
      </c>
      <c r="H1315" s="135" t="s">
        <v>2853</v>
      </c>
      <c r="I1315" s="135" t="s">
        <v>101</v>
      </c>
      <c r="J1315" s="135">
        <v>1.0</v>
      </c>
      <c r="K1315" s="135"/>
      <c r="L1315" s="135">
        <v>5271.0</v>
      </c>
      <c r="M1315" s="135">
        <v>1000.0</v>
      </c>
      <c r="N1315" s="135">
        <v>120.0</v>
      </c>
      <c r="O1315" s="135">
        <v>0.91</v>
      </c>
      <c r="P1315" s="136">
        <v>0.0</v>
      </c>
      <c r="Q1315" s="137">
        <v>2.275</v>
      </c>
      <c r="R1315" s="136">
        <v>46122.0</v>
      </c>
      <c r="S1315" s="135" t="s">
        <v>3689</v>
      </c>
      <c r="T1315" s="136"/>
      <c r="U1315" s="135" t="s">
        <v>2972</v>
      </c>
      <c r="V1315" s="135" t="s">
        <v>2951</v>
      </c>
      <c r="W1315" s="135"/>
      <c r="X1315" s="135"/>
      <c r="Y1315" s="135"/>
      <c r="Z1315" s="135" t="s">
        <v>2858</v>
      </c>
      <c r="AA1315" s="135"/>
      <c r="AB1315" s="135"/>
      <c r="AC1315" s="135"/>
      <c r="AD1315" s="135">
        <v>46130.0</v>
      </c>
      <c r="AE1315" s="135"/>
      <c r="AF1315" s="135"/>
      <c r="AG1315" s="135"/>
    </row>
    <row r="1316" ht="21.75" hidden="1" customHeight="1">
      <c r="A1316" s="135">
        <v>1312.0</v>
      </c>
      <c r="B1316" s="135">
        <v>25045.0</v>
      </c>
      <c r="C1316" s="135" t="s">
        <v>2817</v>
      </c>
      <c r="D1316" s="135">
        <v>7.0</v>
      </c>
      <c r="E1316" s="135" t="s">
        <v>3709</v>
      </c>
      <c r="F1316" s="135" t="s">
        <v>2435</v>
      </c>
      <c r="G1316" s="135" t="s">
        <v>96</v>
      </c>
      <c r="H1316" s="135" t="s">
        <v>2853</v>
      </c>
      <c r="I1316" s="135" t="s">
        <v>103</v>
      </c>
      <c r="J1316" s="135">
        <v>1.0</v>
      </c>
      <c r="K1316" s="135" t="s">
        <v>3134</v>
      </c>
      <c r="L1316" s="135">
        <v>5623.0</v>
      </c>
      <c r="M1316" s="135">
        <v>1350.0</v>
      </c>
      <c r="N1316" s="135">
        <v>120.0</v>
      </c>
      <c r="O1316" s="135">
        <v>0.97</v>
      </c>
      <c r="P1316" s="136">
        <v>0.0</v>
      </c>
      <c r="Q1316" s="137">
        <v>2.425</v>
      </c>
      <c r="R1316" s="136">
        <v>46122.0</v>
      </c>
      <c r="S1316" s="135" t="s">
        <v>3689</v>
      </c>
      <c r="T1316" s="136"/>
      <c r="U1316" s="135" t="s">
        <v>2855</v>
      </c>
      <c r="V1316" s="135" t="s">
        <v>2856</v>
      </c>
      <c r="W1316" s="135" t="s">
        <v>3715</v>
      </c>
      <c r="X1316" s="135"/>
      <c r="Y1316" s="135"/>
      <c r="Z1316" s="135" t="s">
        <v>2858</v>
      </c>
      <c r="AA1316" s="135"/>
      <c r="AB1316" s="135"/>
      <c r="AC1316" s="135"/>
      <c r="AD1316" s="135" t="e">
        <v>#N/A</v>
      </c>
      <c r="AE1316" s="135"/>
      <c r="AF1316" s="135"/>
      <c r="AG1316" s="135"/>
    </row>
    <row r="1317" ht="21.75" hidden="1" customHeight="1">
      <c r="A1317" s="135">
        <v>1313.0</v>
      </c>
      <c r="B1317" s="135">
        <v>25045.0</v>
      </c>
      <c r="C1317" s="135" t="s">
        <v>2817</v>
      </c>
      <c r="D1317" s="135">
        <v>7.0</v>
      </c>
      <c r="E1317" s="135" t="s">
        <v>3709</v>
      </c>
      <c r="F1317" s="135" t="s">
        <v>2436</v>
      </c>
      <c r="G1317" s="135" t="s">
        <v>96</v>
      </c>
      <c r="H1317" s="135" t="s">
        <v>2853</v>
      </c>
      <c r="I1317" s="135" t="s">
        <v>103</v>
      </c>
      <c r="J1317" s="135">
        <v>1.0</v>
      </c>
      <c r="K1317" s="135" t="s">
        <v>3134</v>
      </c>
      <c r="L1317" s="135">
        <v>5623.0</v>
      </c>
      <c r="M1317" s="135">
        <v>1350.0</v>
      </c>
      <c r="N1317" s="135">
        <v>120.0</v>
      </c>
      <c r="O1317" s="135">
        <v>0.97</v>
      </c>
      <c r="P1317" s="136">
        <v>0.0</v>
      </c>
      <c r="Q1317" s="137">
        <v>2.425</v>
      </c>
      <c r="R1317" s="136">
        <v>46122.0</v>
      </c>
      <c r="S1317" s="135" t="s">
        <v>3689</v>
      </c>
      <c r="T1317" s="136"/>
      <c r="U1317" s="135" t="s">
        <v>2855</v>
      </c>
      <c r="V1317" s="135" t="s">
        <v>2856</v>
      </c>
      <c r="W1317" s="135" t="s">
        <v>3715</v>
      </c>
      <c r="X1317" s="135"/>
      <c r="Y1317" s="135"/>
      <c r="Z1317" s="135" t="s">
        <v>2858</v>
      </c>
      <c r="AA1317" s="135"/>
      <c r="AB1317" s="135"/>
      <c r="AC1317" s="135"/>
      <c r="AD1317" s="135" t="e">
        <v>#N/A</v>
      </c>
      <c r="AE1317" s="135"/>
      <c r="AF1317" s="135"/>
      <c r="AG1317" s="135"/>
    </row>
    <row r="1318" ht="21.75" hidden="1" customHeight="1">
      <c r="A1318" s="135">
        <v>1314.0</v>
      </c>
      <c r="B1318" s="135">
        <v>25045.0</v>
      </c>
      <c r="C1318" s="135" t="s">
        <v>2817</v>
      </c>
      <c r="D1318" s="135">
        <v>7.0</v>
      </c>
      <c r="E1318" s="135" t="s">
        <v>3716</v>
      </c>
      <c r="F1318" s="135" t="s">
        <v>2455</v>
      </c>
      <c r="G1318" s="135" t="s">
        <v>96</v>
      </c>
      <c r="H1318" s="135" t="s">
        <v>2853</v>
      </c>
      <c r="I1318" s="135" t="s">
        <v>104</v>
      </c>
      <c r="J1318" s="135">
        <v>1.0</v>
      </c>
      <c r="K1318" s="135" t="s">
        <v>3134</v>
      </c>
      <c r="L1318" s="135">
        <v>5623.0</v>
      </c>
      <c r="M1318" s="135">
        <v>1350.0</v>
      </c>
      <c r="N1318" s="135">
        <v>120.0</v>
      </c>
      <c r="O1318" s="135">
        <v>0.97</v>
      </c>
      <c r="P1318" s="136">
        <v>0.0</v>
      </c>
      <c r="Q1318" s="137">
        <v>2.425</v>
      </c>
      <c r="R1318" s="136">
        <v>46122.0</v>
      </c>
      <c r="S1318" s="135" t="s">
        <v>3689</v>
      </c>
      <c r="T1318" s="136"/>
      <c r="U1318" s="135" t="s">
        <v>2855</v>
      </c>
      <c r="V1318" s="135" t="s">
        <v>2856</v>
      </c>
      <c r="W1318" s="135" t="s">
        <v>3715</v>
      </c>
      <c r="X1318" s="135"/>
      <c r="Y1318" s="135"/>
      <c r="Z1318" s="135" t="s">
        <v>2858</v>
      </c>
      <c r="AA1318" s="135"/>
      <c r="AB1318" s="135"/>
      <c r="AC1318" s="135"/>
      <c r="AD1318" s="135" t="e">
        <v>#N/A</v>
      </c>
      <c r="AE1318" s="135"/>
      <c r="AF1318" s="135"/>
      <c r="AG1318" s="135"/>
    </row>
    <row r="1319" ht="21.75" hidden="1" customHeight="1">
      <c r="A1319" s="135">
        <v>1315.0</v>
      </c>
      <c r="B1319" s="135">
        <v>25045.0</v>
      </c>
      <c r="C1319" s="135"/>
      <c r="D1319" s="135">
        <v>7.0</v>
      </c>
      <c r="E1319" s="135" t="s">
        <v>3709</v>
      </c>
      <c r="F1319" s="135" t="s">
        <v>2437</v>
      </c>
      <c r="G1319" s="135" t="s">
        <v>96</v>
      </c>
      <c r="H1319" s="135" t="s">
        <v>2853</v>
      </c>
      <c r="I1319" s="135" t="s">
        <v>103</v>
      </c>
      <c r="J1319" s="135">
        <v>1.0</v>
      </c>
      <c r="K1319" s="135" t="s">
        <v>3134</v>
      </c>
      <c r="L1319" s="135">
        <v>3921.0</v>
      </c>
      <c r="M1319" s="135">
        <v>2850.0</v>
      </c>
      <c r="N1319" s="135">
        <v>120.0</v>
      </c>
      <c r="O1319" s="135">
        <v>1.5</v>
      </c>
      <c r="P1319" s="136">
        <v>0.0</v>
      </c>
      <c r="Q1319" s="137">
        <v>3.75</v>
      </c>
      <c r="R1319" s="136">
        <v>46122.0</v>
      </c>
      <c r="S1319" s="135" t="s">
        <v>3689</v>
      </c>
      <c r="T1319" s="136"/>
      <c r="U1319" s="135" t="s">
        <v>2864</v>
      </c>
      <c r="V1319" s="135" t="s">
        <v>3100</v>
      </c>
      <c r="W1319" s="135" t="s">
        <v>3268</v>
      </c>
      <c r="X1319" s="135"/>
      <c r="Y1319" s="135"/>
      <c r="Z1319" s="135" t="s">
        <v>2858</v>
      </c>
      <c r="AA1319" s="135"/>
      <c r="AB1319" s="135"/>
      <c r="AC1319" s="135"/>
      <c r="AD1319" s="135">
        <v>46134.0</v>
      </c>
      <c r="AE1319" s="135"/>
      <c r="AF1319" s="135"/>
      <c r="AG1319" s="135"/>
    </row>
    <row r="1320" ht="21.75" hidden="1" customHeight="1">
      <c r="A1320" s="135">
        <v>1316.0</v>
      </c>
      <c r="B1320" s="135">
        <v>25045.0</v>
      </c>
      <c r="C1320" s="135"/>
      <c r="D1320" s="135">
        <v>7.0</v>
      </c>
      <c r="E1320" s="135" t="s">
        <v>3709</v>
      </c>
      <c r="F1320" s="135" t="s">
        <v>2438</v>
      </c>
      <c r="G1320" s="135" t="s">
        <v>96</v>
      </c>
      <c r="H1320" s="135" t="s">
        <v>2853</v>
      </c>
      <c r="I1320" s="135" t="s">
        <v>103</v>
      </c>
      <c r="J1320" s="135">
        <v>1.0</v>
      </c>
      <c r="K1320" s="135" t="s">
        <v>3134</v>
      </c>
      <c r="L1320" s="135">
        <v>3921.0</v>
      </c>
      <c r="M1320" s="135">
        <v>2850.0</v>
      </c>
      <c r="N1320" s="135">
        <v>120.0</v>
      </c>
      <c r="O1320" s="135">
        <v>1.5</v>
      </c>
      <c r="P1320" s="136">
        <v>0.0</v>
      </c>
      <c r="Q1320" s="137">
        <v>3.75</v>
      </c>
      <c r="R1320" s="136">
        <v>46122.0</v>
      </c>
      <c r="S1320" s="135" t="s">
        <v>3689</v>
      </c>
      <c r="T1320" s="136"/>
      <c r="U1320" s="135" t="s">
        <v>2864</v>
      </c>
      <c r="V1320" s="135" t="s">
        <v>3100</v>
      </c>
      <c r="W1320" s="135" t="s">
        <v>3268</v>
      </c>
      <c r="X1320" s="135"/>
      <c r="Y1320" s="135"/>
      <c r="Z1320" s="135" t="s">
        <v>2858</v>
      </c>
      <c r="AA1320" s="135"/>
      <c r="AB1320" s="135"/>
      <c r="AC1320" s="135"/>
      <c r="AD1320" s="135">
        <v>46135.0</v>
      </c>
      <c r="AE1320" s="135"/>
      <c r="AF1320" s="135"/>
      <c r="AG1320" s="135"/>
    </row>
    <row r="1321" ht="21.75" hidden="1" customHeight="1">
      <c r="A1321" s="135">
        <v>1317.0</v>
      </c>
      <c r="B1321" s="135">
        <v>25045.0</v>
      </c>
      <c r="C1321" s="135"/>
      <c r="D1321" s="135">
        <v>7.0</v>
      </c>
      <c r="E1321" s="135" t="s">
        <v>3709</v>
      </c>
      <c r="F1321" s="135" t="s">
        <v>2439</v>
      </c>
      <c r="G1321" s="135" t="s">
        <v>96</v>
      </c>
      <c r="H1321" s="135" t="s">
        <v>2853</v>
      </c>
      <c r="I1321" s="135" t="s">
        <v>103</v>
      </c>
      <c r="J1321" s="135">
        <v>1.0</v>
      </c>
      <c r="K1321" s="135" t="s">
        <v>3134</v>
      </c>
      <c r="L1321" s="135">
        <v>3921.0</v>
      </c>
      <c r="M1321" s="135">
        <v>2850.0</v>
      </c>
      <c r="N1321" s="135">
        <v>120.0</v>
      </c>
      <c r="O1321" s="135">
        <v>1.5</v>
      </c>
      <c r="P1321" s="136">
        <v>0.0</v>
      </c>
      <c r="Q1321" s="137">
        <v>3.75</v>
      </c>
      <c r="R1321" s="136">
        <v>46122.0</v>
      </c>
      <c r="S1321" s="135" t="s">
        <v>3689</v>
      </c>
      <c r="T1321" s="136"/>
      <c r="U1321" s="135" t="s">
        <v>2864</v>
      </c>
      <c r="V1321" s="135" t="s">
        <v>3100</v>
      </c>
      <c r="W1321" s="135" t="s">
        <v>3268</v>
      </c>
      <c r="X1321" s="135"/>
      <c r="Y1321" s="135"/>
      <c r="Z1321" s="135" t="s">
        <v>2858</v>
      </c>
      <c r="AA1321" s="135"/>
      <c r="AB1321" s="135"/>
      <c r="AC1321" s="135"/>
      <c r="AD1321" s="135">
        <v>46136.0</v>
      </c>
      <c r="AE1321" s="135"/>
      <c r="AF1321" s="135"/>
      <c r="AG1321" s="135"/>
    </row>
    <row r="1322" ht="21.75" hidden="1" customHeight="1">
      <c r="A1322" s="135">
        <v>1318.0</v>
      </c>
      <c r="B1322" s="135">
        <v>25045.0</v>
      </c>
      <c r="C1322" s="135"/>
      <c r="D1322" s="135">
        <v>7.0</v>
      </c>
      <c r="E1322" s="135" t="s">
        <v>3709</v>
      </c>
      <c r="F1322" s="135" t="s">
        <v>2440</v>
      </c>
      <c r="G1322" s="135" t="s">
        <v>96</v>
      </c>
      <c r="H1322" s="135" t="s">
        <v>2853</v>
      </c>
      <c r="I1322" s="135" t="s">
        <v>103</v>
      </c>
      <c r="J1322" s="135">
        <v>1.0</v>
      </c>
      <c r="K1322" s="135"/>
      <c r="L1322" s="135">
        <v>3921.0</v>
      </c>
      <c r="M1322" s="135">
        <v>2850.0</v>
      </c>
      <c r="N1322" s="135">
        <v>120.0</v>
      </c>
      <c r="O1322" s="135">
        <v>1.21</v>
      </c>
      <c r="P1322" s="136">
        <v>0.0</v>
      </c>
      <c r="Q1322" s="137">
        <v>3.025</v>
      </c>
      <c r="R1322" s="136">
        <v>46122.0</v>
      </c>
      <c r="S1322" s="135" t="s">
        <v>3689</v>
      </c>
      <c r="T1322" s="136"/>
      <c r="U1322" s="135" t="s">
        <v>2864</v>
      </c>
      <c r="V1322" s="135" t="s">
        <v>3100</v>
      </c>
      <c r="W1322" s="135" t="s">
        <v>3717</v>
      </c>
      <c r="X1322" s="135" t="s">
        <v>2892</v>
      </c>
      <c r="Y1322" s="135"/>
      <c r="Z1322" s="135" t="s">
        <v>2858</v>
      </c>
      <c r="AA1322" s="135"/>
      <c r="AB1322" s="135"/>
      <c r="AC1322" s="135"/>
      <c r="AD1322" s="135">
        <v>46141.0</v>
      </c>
      <c r="AE1322" s="135"/>
      <c r="AF1322" s="135"/>
      <c r="AG1322" s="135"/>
    </row>
    <row r="1323" ht="21.75" hidden="1" customHeight="1">
      <c r="A1323" s="135">
        <v>1319.0</v>
      </c>
      <c r="B1323" s="135">
        <v>25045.0</v>
      </c>
      <c r="C1323" s="135"/>
      <c r="D1323" s="135">
        <v>7.0</v>
      </c>
      <c r="E1323" s="135" t="s">
        <v>3709</v>
      </c>
      <c r="F1323" s="135" t="s">
        <v>2441</v>
      </c>
      <c r="G1323" s="135" t="s">
        <v>96</v>
      </c>
      <c r="H1323" s="135" t="s">
        <v>2853</v>
      </c>
      <c r="I1323" s="135" t="s">
        <v>103</v>
      </c>
      <c r="J1323" s="135">
        <v>1.0</v>
      </c>
      <c r="K1323" s="135"/>
      <c r="L1323" s="135">
        <v>4611.0</v>
      </c>
      <c r="M1323" s="135">
        <v>2850.0</v>
      </c>
      <c r="N1323" s="135">
        <v>120.0</v>
      </c>
      <c r="O1323" s="135">
        <v>1.82</v>
      </c>
      <c r="P1323" s="136">
        <v>0.0</v>
      </c>
      <c r="Q1323" s="137">
        <v>4.55</v>
      </c>
      <c r="R1323" s="136">
        <v>46122.0</v>
      </c>
      <c r="S1323" s="135" t="s">
        <v>3689</v>
      </c>
      <c r="T1323" s="136"/>
      <c r="U1323" s="135" t="s">
        <v>2855</v>
      </c>
      <c r="V1323" s="135" t="s">
        <v>2876</v>
      </c>
      <c r="W1323" s="135" t="s">
        <v>3718</v>
      </c>
      <c r="X1323" s="135" t="s">
        <v>2895</v>
      </c>
      <c r="Y1323" s="135"/>
      <c r="Z1323" s="135" t="s">
        <v>2858</v>
      </c>
      <c r="AA1323" s="135"/>
      <c r="AB1323" s="135"/>
      <c r="AC1323" s="135"/>
      <c r="AD1323" s="135">
        <v>46148.0</v>
      </c>
      <c r="AE1323" s="135"/>
      <c r="AF1323" s="135"/>
      <c r="AG1323" s="135"/>
    </row>
    <row r="1324" ht="21.75" hidden="1" customHeight="1">
      <c r="A1324" s="135">
        <v>1320.0</v>
      </c>
      <c r="B1324" s="135">
        <v>25045.0</v>
      </c>
      <c r="C1324" s="135"/>
      <c r="D1324" s="135">
        <v>7.0</v>
      </c>
      <c r="E1324" s="135" t="s">
        <v>3709</v>
      </c>
      <c r="F1324" s="135" t="s">
        <v>2442</v>
      </c>
      <c r="G1324" s="135" t="s">
        <v>96</v>
      </c>
      <c r="H1324" s="135" t="s">
        <v>2853</v>
      </c>
      <c r="I1324" s="135" t="s">
        <v>103</v>
      </c>
      <c r="J1324" s="135">
        <v>1.0</v>
      </c>
      <c r="K1324" s="135" t="s">
        <v>3134</v>
      </c>
      <c r="L1324" s="135">
        <v>4611.0</v>
      </c>
      <c r="M1324" s="135">
        <v>2850.0</v>
      </c>
      <c r="N1324" s="135">
        <v>120.0</v>
      </c>
      <c r="O1324" s="135">
        <v>1.82</v>
      </c>
      <c r="P1324" s="136">
        <v>0.0</v>
      </c>
      <c r="Q1324" s="137">
        <v>4.55</v>
      </c>
      <c r="R1324" s="136">
        <v>46122.0</v>
      </c>
      <c r="S1324" s="135" t="s">
        <v>3689</v>
      </c>
      <c r="T1324" s="136"/>
      <c r="U1324" s="135" t="s">
        <v>2855</v>
      </c>
      <c r="V1324" s="135" t="s">
        <v>2876</v>
      </c>
      <c r="W1324" s="135" t="s">
        <v>3713</v>
      </c>
      <c r="X1324" s="135"/>
      <c r="Y1324" s="135"/>
      <c r="Z1324" s="135" t="s">
        <v>2858</v>
      </c>
      <c r="AA1324" s="135"/>
      <c r="AB1324" s="135"/>
      <c r="AC1324" s="135"/>
      <c r="AD1324" s="135">
        <v>46139.0</v>
      </c>
      <c r="AE1324" s="135"/>
      <c r="AF1324" s="135"/>
      <c r="AG1324" s="135"/>
    </row>
    <row r="1325" ht="21.75" hidden="1" customHeight="1">
      <c r="A1325" s="135">
        <v>1321.0</v>
      </c>
      <c r="B1325" s="135">
        <v>25045.0</v>
      </c>
      <c r="C1325" s="135"/>
      <c r="D1325" s="135">
        <v>7.0</v>
      </c>
      <c r="E1325" s="135" t="s">
        <v>3709</v>
      </c>
      <c r="F1325" s="135" t="s">
        <v>2443</v>
      </c>
      <c r="G1325" s="135" t="s">
        <v>96</v>
      </c>
      <c r="H1325" s="135" t="s">
        <v>2853</v>
      </c>
      <c r="I1325" s="135" t="s">
        <v>103</v>
      </c>
      <c r="J1325" s="135">
        <v>1.0</v>
      </c>
      <c r="K1325" s="135" t="s">
        <v>3134</v>
      </c>
      <c r="L1325" s="135">
        <v>4611.0</v>
      </c>
      <c r="M1325" s="135">
        <v>2850.0</v>
      </c>
      <c r="N1325" s="135">
        <v>120.0</v>
      </c>
      <c r="O1325" s="135">
        <v>1.82</v>
      </c>
      <c r="P1325" s="136">
        <v>0.0</v>
      </c>
      <c r="Q1325" s="137">
        <v>4.55</v>
      </c>
      <c r="R1325" s="136">
        <v>46122.0</v>
      </c>
      <c r="S1325" s="135" t="s">
        <v>3689</v>
      </c>
      <c r="T1325" s="136"/>
      <c r="U1325" s="135" t="s">
        <v>2855</v>
      </c>
      <c r="V1325" s="135" t="s">
        <v>2876</v>
      </c>
      <c r="W1325" s="135" t="s">
        <v>3713</v>
      </c>
      <c r="X1325" s="135"/>
      <c r="Y1325" s="135"/>
      <c r="Z1325" s="135" t="s">
        <v>2858</v>
      </c>
      <c r="AA1325" s="135"/>
      <c r="AB1325" s="135"/>
      <c r="AC1325" s="135"/>
      <c r="AD1325" s="135">
        <v>46140.0</v>
      </c>
      <c r="AE1325" s="135"/>
      <c r="AF1325" s="135"/>
      <c r="AG1325" s="135"/>
    </row>
    <row r="1326" ht="21.75" hidden="1" customHeight="1">
      <c r="A1326" s="135">
        <v>1322.0</v>
      </c>
      <c r="B1326" s="135">
        <v>25045.0</v>
      </c>
      <c r="C1326" s="135"/>
      <c r="D1326" s="135">
        <v>7.0</v>
      </c>
      <c r="E1326" s="135" t="s">
        <v>3709</v>
      </c>
      <c r="F1326" s="135" t="s">
        <v>2444</v>
      </c>
      <c r="G1326" s="135" t="s">
        <v>96</v>
      </c>
      <c r="H1326" s="135" t="s">
        <v>2853</v>
      </c>
      <c r="I1326" s="135" t="s">
        <v>103</v>
      </c>
      <c r="J1326" s="135">
        <v>1.0</v>
      </c>
      <c r="K1326" s="135" t="s">
        <v>3134</v>
      </c>
      <c r="L1326" s="135">
        <v>4611.0</v>
      </c>
      <c r="M1326" s="135">
        <v>2850.0</v>
      </c>
      <c r="N1326" s="135">
        <v>120.0</v>
      </c>
      <c r="O1326" s="135">
        <v>1.82</v>
      </c>
      <c r="P1326" s="136">
        <v>0.0</v>
      </c>
      <c r="Q1326" s="137">
        <v>4.55</v>
      </c>
      <c r="R1326" s="136">
        <v>46122.0</v>
      </c>
      <c r="S1326" s="135" t="s">
        <v>3689</v>
      </c>
      <c r="T1326" s="136"/>
      <c r="U1326" s="135" t="s">
        <v>2855</v>
      </c>
      <c r="V1326" s="135" t="s">
        <v>2876</v>
      </c>
      <c r="W1326" s="135" t="s">
        <v>3713</v>
      </c>
      <c r="X1326" s="135"/>
      <c r="Y1326" s="135"/>
      <c r="Z1326" s="135" t="s">
        <v>2858</v>
      </c>
      <c r="AA1326" s="135"/>
      <c r="AB1326" s="135"/>
      <c r="AC1326" s="135"/>
      <c r="AD1326" s="135">
        <v>46141.0</v>
      </c>
      <c r="AE1326" s="135"/>
      <c r="AF1326" s="135"/>
      <c r="AG1326" s="135"/>
    </row>
    <row r="1327" ht="21.75" hidden="1" customHeight="1">
      <c r="A1327" s="135">
        <v>1323.0</v>
      </c>
      <c r="B1327" s="135">
        <v>25045.0</v>
      </c>
      <c r="C1327" s="135"/>
      <c r="D1327" s="135">
        <v>7.0</v>
      </c>
      <c r="E1327" s="135" t="s">
        <v>3709</v>
      </c>
      <c r="F1327" s="135" t="s">
        <v>2445</v>
      </c>
      <c r="G1327" s="135" t="s">
        <v>96</v>
      </c>
      <c r="H1327" s="135" t="s">
        <v>2853</v>
      </c>
      <c r="I1327" s="135" t="s">
        <v>103</v>
      </c>
      <c r="J1327" s="135">
        <v>1.0</v>
      </c>
      <c r="K1327" s="135" t="s">
        <v>3134</v>
      </c>
      <c r="L1327" s="135">
        <v>4611.0</v>
      </c>
      <c r="M1327" s="135">
        <v>2850.0</v>
      </c>
      <c r="N1327" s="135">
        <v>120.0</v>
      </c>
      <c r="O1327" s="135">
        <v>1.82</v>
      </c>
      <c r="P1327" s="136">
        <v>0.0</v>
      </c>
      <c r="Q1327" s="137">
        <v>4.55</v>
      </c>
      <c r="R1327" s="136">
        <v>46122.0</v>
      </c>
      <c r="S1327" s="135" t="s">
        <v>3689</v>
      </c>
      <c r="T1327" s="136"/>
      <c r="U1327" s="135" t="s">
        <v>2855</v>
      </c>
      <c r="V1327" s="135" t="s">
        <v>2876</v>
      </c>
      <c r="W1327" s="135" t="s">
        <v>3713</v>
      </c>
      <c r="X1327" s="135"/>
      <c r="Y1327" s="135"/>
      <c r="Z1327" s="135" t="s">
        <v>2858</v>
      </c>
      <c r="AA1327" s="135"/>
      <c r="AB1327" s="135"/>
      <c r="AC1327" s="135"/>
      <c r="AD1327" s="135">
        <v>46142.0</v>
      </c>
      <c r="AE1327" s="135"/>
      <c r="AF1327" s="135"/>
      <c r="AG1327" s="135"/>
    </row>
    <row r="1328" ht="21.75" hidden="1" customHeight="1">
      <c r="A1328" s="135">
        <v>1324.0</v>
      </c>
      <c r="B1328" s="135">
        <v>25045.0</v>
      </c>
      <c r="C1328" s="135"/>
      <c r="D1328" s="135">
        <v>7.0</v>
      </c>
      <c r="E1328" s="135" t="s">
        <v>3709</v>
      </c>
      <c r="F1328" s="135" t="s">
        <v>2446</v>
      </c>
      <c r="G1328" s="135" t="s">
        <v>96</v>
      </c>
      <c r="H1328" s="135" t="s">
        <v>2853</v>
      </c>
      <c r="I1328" s="135" t="s">
        <v>103</v>
      </c>
      <c r="J1328" s="135">
        <v>1.0</v>
      </c>
      <c r="K1328" s="135"/>
      <c r="L1328" s="135">
        <v>3226.0</v>
      </c>
      <c r="M1328" s="135">
        <v>1000.0</v>
      </c>
      <c r="N1328" s="135">
        <v>120.0</v>
      </c>
      <c r="O1328" s="135">
        <v>0.51</v>
      </c>
      <c r="P1328" s="136">
        <v>0.0</v>
      </c>
      <c r="Q1328" s="137">
        <v>1.275</v>
      </c>
      <c r="R1328" s="136">
        <v>46122.0</v>
      </c>
      <c r="S1328" s="135" t="s">
        <v>3689</v>
      </c>
      <c r="T1328" s="136"/>
      <c r="U1328" s="135" t="s">
        <v>2950</v>
      </c>
      <c r="V1328" s="135" t="s">
        <v>2951</v>
      </c>
      <c r="W1328" s="135"/>
      <c r="X1328" s="135"/>
      <c r="Y1328" s="135"/>
      <c r="Z1328" s="135" t="s">
        <v>2858</v>
      </c>
      <c r="AA1328" s="135"/>
      <c r="AB1328" s="135"/>
      <c r="AC1328" s="135"/>
      <c r="AD1328" s="135">
        <v>46141.0</v>
      </c>
      <c r="AE1328" s="135"/>
      <c r="AF1328" s="135"/>
      <c r="AG1328" s="135"/>
    </row>
    <row r="1329" ht="21.75" hidden="1" customHeight="1">
      <c r="A1329" s="135">
        <v>1325.0</v>
      </c>
      <c r="B1329" s="135">
        <v>25045.0</v>
      </c>
      <c r="C1329" s="135"/>
      <c r="D1329" s="135">
        <v>7.0</v>
      </c>
      <c r="E1329" s="135" t="s">
        <v>3709</v>
      </c>
      <c r="F1329" s="135" t="s">
        <v>2447</v>
      </c>
      <c r="G1329" s="135" t="s">
        <v>96</v>
      </c>
      <c r="H1329" s="135" t="s">
        <v>2853</v>
      </c>
      <c r="I1329" s="135" t="s">
        <v>103</v>
      </c>
      <c r="J1329" s="135">
        <v>1.0</v>
      </c>
      <c r="K1329" s="135"/>
      <c r="L1329" s="135">
        <v>3226.0</v>
      </c>
      <c r="M1329" s="135">
        <v>1000.0</v>
      </c>
      <c r="N1329" s="135">
        <v>120.0</v>
      </c>
      <c r="O1329" s="135">
        <v>0.51</v>
      </c>
      <c r="P1329" s="136">
        <v>0.0</v>
      </c>
      <c r="Q1329" s="137">
        <v>1.275</v>
      </c>
      <c r="R1329" s="136">
        <v>46122.0</v>
      </c>
      <c r="S1329" s="135" t="s">
        <v>3689</v>
      </c>
      <c r="T1329" s="136"/>
      <c r="U1329" s="135" t="s">
        <v>2950</v>
      </c>
      <c r="V1329" s="135" t="s">
        <v>2951</v>
      </c>
      <c r="W1329" s="135"/>
      <c r="X1329" s="135"/>
      <c r="Y1329" s="135"/>
      <c r="Z1329" s="135" t="s">
        <v>2858</v>
      </c>
      <c r="AA1329" s="135"/>
      <c r="AB1329" s="135"/>
      <c r="AC1329" s="135"/>
      <c r="AD1329" s="135">
        <v>46142.0</v>
      </c>
      <c r="AE1329" s="135"/>
      <c r="AF1329" s="135"/>
      <c r="AG1329" s="135"/>
    </row>
    <row r="1330" ht="21.75" hidden="1" customHeight="1">
      <c r="A1330" s="135">
        <v>1326.0</v>
      </c>
      <c r="B1330" s="135">
        <v>25045.0</v>
      </c>
      <c r="C1330" s="135" t="s">
        <v>2817</v>
      </c>
      <c r="D1330" s="135">
        <v>7.0</v>
      </c>
      <c r="E1330" s="135" t="s">
        <v>3716</v>
      </c>
      <c r="F1330" s="135" t="s">
        <v>2456</v>
      </c>
      <c r="G1330" s="135" t="s">
        <v>96</v>
      </c>
      <c r="H1330" s="135" t="s">
        <v>2853</v>
      </c>
      <c r="I1330" s="135" t="s">
        <v>104</v>
      </c>
      <c r="J1330" s="135">
        <v>1.0</v>
      </c>
      <c r="K1330" s="135"/>
      <c r="L1330" s="135">
        <v>5623.0</v>
      </c>
      <c r="M1330" s="135">
        <v>1650.0</v>
      </c>
      <c r="N1330" s="135">
        <v>120.0</v>
      </c>
      <c r="O1330" s="135">
        <v>1.11</v>
      </c>
      <c r="P1330" s="136">
        <v>0.0</v>
      </c>
      <c r="Q1330" s="137">
        <v>2.7750000000000004</v>
      </c>
      <c r="R1330" s="136">
        <v>46122.0</v>
      </c>
      <c r="S1330" s="135" t="s">
        <v>3689</v>
      </c>
      <c r="T1330" s="136"/>
      <c r="U1330" s="135" t="s">
        <v>2855</v>
      </c>
      <c r="V1330" s="135" t="s">
        <v>2856</v>
      </c>
      <c r="W1330" s="135">
        <v>1800.0</v>
      </c>
      <c r="X1330" s="135"/>
      <c r="Y1330" s="135"/>
      <c r="Z1330" s="135" t="s">
        <v>2858</v>
      </c>
      <c r="AA1330" s="135"/>
      <c r="AB1330" s="135"/>
      <c r="AC1330" s="135"/>
      <c r="AD1330" s="135" t="e">
        <v>#N/A</v>
      </c>
      <c r="AE1330" s="135"/>
      <c r="AF1330" s="135"/>
      <c r="AG1330" s="135"/>
    </row>
    <row r="1331" ht="21.75" hidden="1" customHeight="1">
      <c r="A1331" s="135">
        <v>1327.0</v>
      </c>
      <c r="B1331" s="135">
        <v>25045.0</v>
      </c>
      <c r="C1331" s="135" t="s">
        <v>2817</v>
      </c>
      <c r="D1331" s="135">
        <v>7.0</v>
      </c>
      <c r="E1331" s="135" t="s">
        <v>3716</v>
      </c>
      <c r="F1331" s="135" t="s">
        <v>2457</v>
      </c>
      <c r="G1331" s="135" t="s">
        <v>96</v>
      </c>
      <c r="H1331" s="135" t="s">
        <v>2853</v>
      </c>
      <c r="I1331" s="135" t="s">
        <v>104</v>
      </c>
      <c r="J1331" s="135">
        <v>1.0</v>
      </c>
      <c r="K1331" s="135"/>
      <c r="L1331" s="135">
        <v>5623.0</v>
      </c>
      <c r="M1331" s="135">
        <v>1760.0</v>
      </c>
      <c r="N1331" s="135">
        <v>120.0</v>
      </c>
      <c r="O1331" s="135">
        <v>1.55</v>
      </c>
      <c r="P1331" s="136">
        <v>0.0</v>
      </c>
      <c r="Q1331" s="137">
        <v>3.875</v>
      </c>
      <c r="R1331" s="136">
        <v>46122.0</v>
      </c>
      <c r="S1331" s="135" t="s">
        <v>3689</v>
      </c>
      <c r="T1331" s="136"/>
      <c r="U1331" s="135" t="s">
        <v>2855</v>
      </c>
      <c r="V1331" s="135" t="s">
        <v>2856</v>
      </c>
      <c r="W1331" s="135">
        <v>1800.0</v>
      </c>
      <c r="X1331" s="135"/>
      <c r="Y1331" s="135"/>
      <c r="Z1331" s="135" t="s">
        <v>2858</v>
      </c>
      <c r="AA1331" s="135"/>
      <c r="AB1331" s="135"/>
      <c r="AC1331" s="135"/>
      <c r="AD1331" s="135" t="e">
        <v>#N/A</v>
      </c>
      <c r="AE1331" s="135"/>
      <c r="AF1331" s="135"/>
      <c r="AG1331" s="135"/>
    </row>
    <row r="1332" ht="21.75" hidden="1" customHeight="1">
      <c r="A1332" s="135">
        <v>1328.0</v>
      </c>
      <c r="B1332" s="135">
        <v>25045.0</v>
      </c>
      <c r="C1332" s="135"/>
      <c r="D1332" s="135">
        <v>7.0</v>
      </c>
      <c r="E1332" s="135" t="s">
        <v>3716</v>
      </c>
      <c r="F1332" s="135" t="s">
        <v>2458</v>
      </c>
      <c r="G1332" s="135" t="s">
        <v>96</v>
      </c>
      <c r="H1332" s="135" t="s">
        <v>2853</v>
      </c>
      <c r="I1332" s="135" t="s">
        <v>104</v>
      </c>
      <c r="J1332" s="135">
        <v>1.0</v>
      </c>
      <c r="K1332" s="135"/>
      <c r="L1332" s="135">
        <v>4350.0</v>
      </c>
      <c r="M1332" s="135">
        <v>3200.0</v>
      </c>
      <c r="N1332" s="135">
        <v>120.0</v>
      </c>
      <c r="O1332" s="135">
        <v>1.76</v>
      </c>
      <c r="P1332" s="136">
        <v>0.0</v>
      </c>
      <c r="Q1332" s="137">
        <v>4.4</v>
      </c>
      <c r="R1332" s="136">
        <v>46122.0</v>
      </c>
      <c r="S1332" s="135" t="s">
        <v>3689</v>
      </c>
      <c r="T1332" s="136"/>
      <c r="U1332" s="135" t="s">
        <v>2864</v>
      </c>
      <c r="V1332" s="135" t="s">
        <v>2865</v>
      </c>
      <c r="W1332" s="135"/>
      <c r="X1332" s="135" t="s">
        <v>2867</v>
      </c>
      <c r="Y1332" s="135"/>
      <c r="Z1332" s="135" t="s">
        <v>2858</v>
      </c>
      <c r="AA1332" s="135"/>
      <c r="AB1332" s="135"/>
      <c r="AC1332" s="135"/>
      <c r="AD1332" s="135">
        <v>46133.0</v>
      </c>
      <c r="AE1332" s="135"/>
      <c r="AF1332" s="135"/>
      <c r="AG1332" s="135"/>
    </row>
    <row r="1333" ht="21.75" hidden="1" customHeight="1">
      <c r="A1333" s="135">
        <v>1329.0</v>
      </c>
      <c r="B1333" s="135">
        <v>25045.0</v>
      </c>
      <c r="C1333" s="135"/>
      <c r="D1333" s="135">
        <v>7.0</v>
      </c>
      <c r="E1333" s="135" t="s">
        <v>3716</v>
      </c>
      <c r="F1333" s="135" t="s">
        <v>2459</v>
      </c>
      <c r="G1333" s="135" t="s">
        <v>96</v>
      </c>
      <c r="H1333" s="135" t="s">
        <v>2853</v>
      </c>
      <c r="I1333" s="135" t="s">
        <v>104</v>
      </c>
      <c r="J1333" s="135">
        <v>1.0</v>
      </c>
      <c r="K1333" s="135"/>
      <c r="L1333" s="135">
        <v>4960.0</v>
      </c>
      <c r="M1333" s="135">
        <v>3300.0</v>
      </c>
      <c r="N1333" s="135">
        <v>120.0</v>
      </c>
      <c r="O1333" s="135">
        <v>1.83</v>
      </c>
      <c r="P1333" s="136">
        <v>0.0</v>
      </c>
      <c r="Q1333" s="137">
        <v>4.575</v>
      </c>
      <c r="R1333" s="136">
        <v>46122.0</v>
      </c>
      <c r="S1333" s="135" t="s">
        <v>3689</v>
      </c>
      <c r="T1333" s="136"/>
      <c r="U1333" s="135" t="s">
        <v>2855</v>
      </c>
      <c r="V1333" s="135" t="s">
        <v>2876</v>
      </c>
      <c r="W1333" s="135">
        <v>1800.0</v>
      </c>
      <c r="X1333" s="135" t="s">
        <v>2895</v>
      </c>
      <c r="Y1333" s="135"/>
      <c r="Z1333" s="135" t="s">
        <v>2858</v>
      </c>
      <c r="AA1333" s="135"/>
      <c r="AB1333" s="135"/>
      <c r="AC1333" s="135"/>
      <c r="AD1333" s="135">
        <v>46149.0</v>
      </c>
      <c r="AE1333" s="135"/>
      <c r="AF1333" s="135"/>
      <c r="AG1333" s="135"/>
    </row>
    <row r="1334" ht="21.75" hidden="1" customHeight="1">
      <c r="A1334" s="135">
        <v>1330.0</v>
      </c>
      <c r="B1334" s="135">
        <v>25045.0</v>
      </c>
      <c r="C1334" s="135"/>
      <c r="D1334" s="135">
        <v>7.0</v>
      </c>
      <c r="E1334" s="135" t="s">
        <v>3716</v>
      </c>
      <c r="F1334" s="135" t="s">
        <v>2460</v>
      </c>
      <c r="G1334" s="135" t="s">
        <v>96</v>
      </c>
      <c r="H1334" s="135" t="s">
        <v>2853</v>
      </c>
      <c r="I1334" s="135" t="s">
        <v>104</v>
      </c>
      <c r="J1334" s="135">
        <v>1.0</v>
      </c>
      <c r="K1334" s="135"/>
      <c r="L1334" s="135">
        <v>5590.0</v>
      </c>
      <c r="M1334" s="135">
        <v>3300.0</v>
      </c>
      <c r="N1334" s="135">
        <v>120.0</v>
      </c>
      <c r="O1334" s="135">
        <v>2.35</v>
      </c>
      <c r="P1334" s="136">
        <v>0.0</v>
      </c>
      <c r="Q1334" s="137">
        <v>5.875</v>
      </c>
      <c r="R1334" s="136">
        <v>46122.0</v>
      </c>
      <c r="S1334" s="135" t="s">
        <v>3689</v>
      </c>
      <c r="T1334" s="136"/>
      <c r="U1334" s="135" t="s">
        <v>2855</v>
      </c>
      <c r="V1334" s="135" t="s">
        <v>2876</v>
      </c>
      <c r="W1334" s="135">
        <v>1800.0</v>
      </c>
      <c r="X1334" s="135" t="s">
        <v>2872</v>
      </c>
      <c r="Y1334" s="135"/>
      <c r="Z1334" s="135" t="s">
        <v>2858</v>
      </c>
      <c r="AA1334" s="135"/>
      <c r="AB1334" s="135"/>
      <c r="AC1334" s="135"/>
      <c r="AD1334" s="135">
        <v>46150.0</v>
      </c>
      <c r="AE1334" s="135"/>
      <c r="AF1334" s="135"/>
      <c r="AG1334" s="135"/>
    </row>
    <row r="1335" ht="21.75" hidden="1" customHeight="1">
      <c r="A1335" s="135">
        <v>1331.0</v>
      </c>
      <c r="B1335" s="135">
        <v>25045.0</v>
      </c>
      <c r="C1335" s="135"/>
      <c r="D1335" s="135">
        <v>7.0</v>
      </c>
      <c r="E1335" s="135" t="s">
        <v>3716</v>
      </c>
      <c r="F1335" s="135" t="s">
        <v>2461</v>
      </c>
      <c r="G1335" s="135" t="s">
        <v>96</v>
      </c>
      <c r="H1335" s="135" t="s">
        <v>2853</v>
      </c>
      <c r="I1335" s="135" t="s">
        <v>104</v>
      </c>
      <c r="J1335" s="135">
        <v>1.0</v>
      </c>
      <c r="K1335" s="135"/>
      <c r="L1335" s="135">
        <v>5140.0</v>
      </c>
      <c r="M1335" s="135">
        <v>3200.0</v>
      </c>
      <c r="N1335" s="135">
        <v>120.0</v>
      </c>
      <c r="O1335" s="135">
        <v>2.15</v>
      </c>
      <c r="P1335" s="136">
        <v>0.0</v>
      </c>
      <c r="Q1335" s="137">
        <v>5.375</v>
      </c>
      <c r="R1335" s="136">
        <v>46122.0</v>
      </c>
      <c r="S1335" s="135" t="s">
        <v>3689</v>
      </c>
      <c r="T1335" s="136"/>
      <c r="U1335" s="135" t="s">
        <v>2855</v>
      </c>
      <c r="V1335" s="135" t="s">
        <v>2876</v>
      </c>
      <c r="W1335" s="135">
        <v>1800.0</v>
      </c>
      <c r="X1335" s="135" t="s">
        <v>2870</v>
      </c>
      <c r="Y1335" s="135"/>
      <c r="Z1335" s="135" t="s">
        <v>2858</v>
      </c>
      <c r="AA1335" s="135"/>
      <c r="AB1335" s="135"/>
      <c r="AC1335" s="135"/>
      <c r="AD1335" s="135">
        <v>46151.0</v>
      </c>
      <c r="AE1335" s="135"/>
      <c r="AF1335" s="135"/>
      <c r="AG1335" s="135"/>
    </row>
    <row r="1336" ht="21.75" hidden="1" customHeight="1">
      <c r="A1336" s="135">
        <v>1332.0</v>
      </c>
      <c r="B1336" s="135">
        <v>25045.0</v>
      </c>
      <c r="C1336" s="135"/>
      <c r="D1336" s="135">
        <v>7.0</v>
      </c>
      <c r="E1336" s="135" t="s">
        <v>3716</v>
      </c>
      <c r="F1336" s="135" t="s">
        <v>2462</v>
      </c>
      <c r="G1336" s="135" t="s">
        <v>96</v>
      </c>
      <c r="H1336" s="135" t="s">
        <v>2853</v>
      </c>
      <c r="I1336" s="135" t="s">
        <v>104</v>
      </c>
      <c r="J1336" s="135">
        <v>1.0</v>
      </c>
      <c r="K1336" s="135"/>
      <c r="L1336" s="135">
        <v>3921.0</v>
      </c>
      <c r="M1336" s="135">
        <v>2850.0</v>
      </c>
      <c r="N1336" s="135">
        <v>120.0</v>
      </c>
      <c r="O1336" s="135">
        <v>1.5</v>
      </c>
      <c r="P1336" s="136">
        <v>0.0</v>
      </c>
      <c r="Q1336" s="137">
        <v>3.75</v>
      </c>
      <c r="R1336" s="136">
        <v>46122.0</v>
      </c>
      <c r="S1336" s="135" t="s">
        <v>3689</v>
      </c>
      <c r="T1336" s="136"/>
      <c r="U1336" s="135" t="s">
        <v>2864</v>
      </c>
      <c r="V1336" s="135" t="s">
        <v>3100</v>
      </c>
      <c r="W1336" s="135"/>
      <c r="X1336" s="135"/>
      <c r="Y1336" s="135"/>
      <c r="Z1336" s="135" t="s">
        <v>2858</v>
      </c>
      <c r="AA1336" s="135"/>
      <c r="AB1336" s="135"/>
      <c r="AC1336" s="135"/>
      <c r="AD1336" s="135">
        <v>46133.0</v>
      </c>
      <c r="AE1336" s="135"/>
      <c r="AF1336" s="135"/>
      <c r="AG1336" s="135"/>
    </row>
    <row r="1337" ht="21.75" hidden="1" customHeight="1">
      <c r="A1337" s="135">
        <v>1333.0</v>
      </c>
      <c r="B1337" s="135">
        <v>25045.0</v>
      </c>
      <c r="C1337" s="135"/>
      <c r="D1337" s="135">
        <v>7.0</v>
      </c>
      <c r="E1337" s="135" t="s">
        <v>3716</v>
      </c>
      <c r="F1337" s="135" t="s">
        <v>2463</v>
      </c>
      <c r="G1337" s="135" t="s">
        <v>96</v>
      </c>
      <c r="H1337" s="135" t="s">
        <v>2853</v>
      </c>
      <c r="I1337" s="135" t="s">
        <v>104</v>
      </c>
      <c r="J1337" s="135">
        <v>1.0</v>
      </c>
      <c r="K1337" s="135"/>
      <c r="L1337" s="135">
        <v>3921.0</v>
      </c>
      <c r="M1337" s="135">
        <v>2850.0</v>
      </c>
      <c r="N1337" s="135">
        <v>120.0</v>
      </c>
      <c r="O1337" s="135">
        <v>1.5</v>
      </c>
      <c r="P1337" s="136">
        <v>0.0</v>
      </c>
      <c r="Q1337" s="137">
        <v>3.75</v>
      </c>
      <c r="R1337" s="136">
        <v>46122.0</v>
      </c>
      <c r="S1337" s="135" t="s">
        <v>3689</v>
      </c>
      <c r="T1337" s="136"/>
      <c r="U1337" s="135" t="s">
        <v>2864</v>
      </c>
      <c r="V1337" s="135" t="s">
        <v>3100</v>
      </c>
      <c r="W1337" s="135"/>
      <c r="X1337" s="135"/>
      <c r="Y1337" s="135"/>
      <c r="Z1337" s="135" t="s">
        <v>2858</v>
      </c>
      <c r="AA1337" s="135"/>
      <c r="AB1337" s="135"/>
      <c r="AC1337" s="135"/>
      <c r="AD1337" s="135">
        <v>46134.0</v>
      </c>
      <c r="AE1337" s="135"/>
      <c r="AF1337" s="135"/>
      <c r="AG1337" s="135"/>
    </row>
    <row r="1338" ht="21.75" hidden="1" customHeight="1">
      <c r="A1338" s="135">
        <v>1334.0</v>
      </c>
      <c r="B1338" s="135">
        <v>25045.0</v>
      </c>
      <c r="C1338" s="135"/>
      <c r="D1338" s="135">
        <v>7.0</v>
      </c>
      <c r="E1338" s="135" t="s">
        <v>3716</v>
      </c>
      <c r="F1338" s="135" t="s">
        <v>2464</v>
      </c>
      <c r="G1338" s="135" t="s">
        <v>96</v>
      </c>
      <c r="H1338" s="135" t="s">
        <v>2853</v>
      </c>
      <c r="I1338" s="135" t="s">
        <v>104</v>
      </c>
      <c r="J1338" s="135">
        <v>1.0</v>
      </c>
      <c r="K1338" s="135"/>
      <c r="L1338" s="135">
        <v>3921.0</v>
      </c>
      <c r="M1338" s="135">
        <v>2850.0</v>
      </c>
      <c r="N1338" s="135">
        <v>120.0</v>
      </c>
      <c r="O1338" s="135">
        <v>1.5</v>
      </c>
      <c r="P1338" s="136">
        <v>0.0</v>
      </c>
      <c r="Q1338" s="137">
        <v>3.75</v>
      </c>
      <c r="R1338" s="136">
        <v>46122.0</v>
      </c>
      <c r="S1338" s="135" t="s">
        <v>3689</v>
      </c>
      <c r="T1338" s="136"/>
      <c r="U1338" s="135" t="s">
        <v>2864</v>
      </c>
      <c r="V1338" s="135" t="s">
        <v>3100</v>
      </c>
      <c r="W1338" s="135"/>
      <c r="X1338" s="135"/>
      <c r="Y1338" s="135"/>
      <c r="Z1338" s="135" t="s">
        <v>2858</v>
      </c>
      <c r="AA1338" s="135"/>
      <c r="AB1338" s="135"/>
      <c r="AC1338" s="135"/>
      <c r="AD1338" s="135">
        <v>46135.0</v>
      </c>
      <c r="AE1338" s="135"/>
      <c r="AF1338" s="135"/>
      <c r="AG1338" s="135"/>
    </row>
    <row r="1339" ht="21.75" hidden="1" customHeight="1">
      <c r="A1339" s="135">
        <v>1335.0</v>
      </c>
      <c r="B1339" s="135">
        <v>25045.0</v>
      </c>
      <c r="C1339" s="135"/>
      <c r="D1339" s="135">
        <v>7.0</v>
      </c>
      <c r="E1339" s="135" t="s">
        <v>3716</v>
      </c>
      <c r="F1339" s="135" t="s">
        <v>2465</v>
      </c>
      <c r="G1339" s="135" t="s">
        <v>96</v>
      </c>
      <c r="H1339" s="135" t="s">
        <v>2853</v>
      </c>
      <c r="I1339" s="135" t="s">
        <v>104</v>
      </c>
      <c r="J1339" s="135">
        <v>1.0</v>
      </c>
      <c r="K1339" s="135"/>
      <c r="L1339" s="135">
        <v>5000.0</v>
      </c>
      <c r="M1339" s="135">
        <v>2850.0</v>
      </c>
      <c r="N1339" s="135">
        <v>120.0</v>
      </c>
      <c r="O1339" s="135">
        <v>1.91</v>
      </c>
      <c r="P1339" s="136">
        <v>0.0</v>
      </c>
      <c r="Q1339" s="137">
        <v>4.7749999999999995</v>
      </c>
      <c r="R1339" s="136">
        <v>46122.0</v>
      </c>
      <c r="S1339" s="135" t="s">
        <v>3689</v>
      </c>
      <c r="T1339" s="136"/>
      <c r="U1339" s="135" t="s">
        <v>2855</v>
      </c>
      <c r="V1339" s="135" t="s">
        <v>2876</v>
      </c>
      <c r="W1339" s="135"/>
      <c r="X1339" s="135">
        <v>2500.0</v>
      </c>
      <c r="Y1339" s="135"/>
      <c r="Z1339" s="135" t="s">
        <v>2858</v>
      </c>
      <c r="AA1339" s="135"/>
      <c r="AB1339" s="135"/>
      <c r="AC1339" s="135"/>
      <c r="AD1339" s="135">
        <v>46151.0</v>
      </c>
      <c r="AE1339" s="135"/>
      <c r="AF1339" s="135"/>
      <c r="AG1339" s="135"/>
    </row>
    <row r="1340" ht="21.75" hidden="1" customHeight="1">
      <c r="A1340" s="135">
        <v>1336.0</v>
      </c>
      <c r="B1340" s="135">
        <v>25045.0</v>
      </c>
      <c r="C1340" s="135"/>
      <c r="D1340" s="135">
        <v>7.0</v>
      </c>
      <c r="E1340" s="135" t="s">
        <v>3716</v>
      </c>
      <c r="F1340" s="135" t="s">
        <v>2466</v>
      </c>
      <c r="G1340" s="135" t="s">
        <v>96</v>
      </c>
      <c r="H1340" s="135" t="s">
        <v>2853</v>
      </c>
      <c r="I1340" s="135" t="s">
        <v>104</v>
      </c>
      <c r="J1340" s="135">
        <v>1.0</v>
      </c>
      <c r="K1340" s="135"/>
      <c r="L1340" s="135">
        <v>5692.0</v>
      </c>
      <c r="M1340" s="135">
        <v>1390.0</v>
      </c>
      <c r="N1340" s="135">
        <v>120.0</v>
      </c>
      <c r="O1340" s="135">
        <v>0.98</v>
      </c>
      <c r="P1340" s="136">
        <v>0.0</v>
      </c>
      <c r="Q1340" s="137">
        <v>2.45</v>
      </c>
      <c r="R1340" s="136">
        <v>46122.0</v>
      </c>
      <c r="S1340" s="135" t="s">
        <v>3689</v>
      </c>
      <c r="T1340" s="136"/>
      <c r="U1340" s="135" t="s">
        <v>2855</v>
      </c>
      <c r="V1340" s="135" t="s">
        <v>2856</v>
      </c>
      <c r="W1340" s="135"/>
      <c r="X1340" s="135">
        <v>1800.0</v>
      </c>
      <c r="Y1340" s="135"/>
      <c r="Z1340" s="135" t="s">
        <v>2858</v>
      </c>
      <c r="AA1340" s="135"/>
      <c r="AB1340" s="135"/>
      <c r="AC1340" s="135"/>
      <c r="AD1340" s="135">
        <v>46153.0</v>
      </c>
      <c r="AE1340" s="135"/>
      <c r="AF1340" s="135"/>
      <c r="AG1340" s="135"/>
    </row>
    <row r="1341" ht="21.75" hidden="1" customHeight="1">
      <c r="A1341" s="135">
        <v>1337.0</v>
      </c>
      <c r="B1341" s="135">
        <v>25045.0</v>
      </c>
      <c r="C1341" s="135"/>
      <c r="D1341" s="135">
        <v>7.0</v>
      </c>
      <c r="E1341" s="135" t="s">
        <v>3716</v>
      </c>
      <c r="F1341" s="135" t="s">
        <v>2467</v>
      </c>
      <c r="G1341" s="135" t="s">
        <v>96</v>
      </c>
      <c r="H1341" s="135" t="s">
        <v>2853</v>
      </c>
      <c r="I1341" s="135" t="s">
        <v>104</v>
      </c>
      <c r="J1341" s="135">
        <v>1.0</v>
      </c>
      <c r="K1341" s="135"/>
      <c r="L1341" s="135">
        <v>2855.0</v>
      </c>
      <c r="M1341" s="135">
        <v>1000.0</v>
      </c>
      <c r="N1341" s="135">
        <v>120.0</v>
      </c>
      <c r="O1341" s="135">
        <v>0.48</v>
      </c>
      <c r="P1341" s="136">
        <v>0.0</v>
      </c>
      <c r="Q1341" s="137">
        <v>1.2</v>
      </c>
      <c r="R1341" s="136">
        <v>46122.0</v>
      </c>
      <c r="S1341" s="135" t="s">
        <v>3689</v>
      </c>
      <c r="T1341" s="136"/>
      <c r="U1341" s="135" t="s">
        <v>2950</v>
      </c>
      <c r="V1341" s="135" t="s">
        <v>2951</v>
      </c>
      <c r="W1341" s="135"/>
      <c r="X1341" s="135"/>
      <c r="Y1341" s="135"/>
      <c r="Z1341" s="135" t="s">
        <v>2858</v>
      </c>
      <c r="AA1341" s="135"/>
      <c r="AB1341" s="135"/>
      <c r="AC1341" s="135"/>
      <c r="AD1341" s="135">
        <v>46137.0</v>
      </c>
      <c r="AE1341" s="135"/>
      <c r="AF1341" s="135"/>
      <c r="AG1341" s="135"/>
    </row>
    <row r="1342" ht="21.75" hidden="1" customHeight="1">
      <c r="A1342" s="135">
        <v>1338.0</v>
      </c>
      <c r="B1342" s="135">
        <v>25045.0</v>
      </c>
      <c r="C1342" s="135"/>
      <c r="D1342" s="135">
        <v>5.0</v>
      </c>
      <c r="E1342" s="135" t="s">
        <v>3438</v>
      </c>
      <c r="F1342" s="135" t="s">
        <v>1926</v>
      </c>
      <c r="G1342" s="135" t="s">
        <v>83</v>
      </c>
      <c r="H1342" s="135" t="s">
        <v>2853</v>
      </c>
      <c r="I1342" s="135" t="s">
        <v>84</v>
      </c>
      <c r="J1342" s="135">
        <v>1.0</v>
      </c>
      <c r="K1342" s="135"/>
      <c r="L1342" s="135">
        <v>4534.0</v>
      </c>
      <c r="M1342" s="135">
        <v>2800.0</v>
      </c>
      <c r="N1342" s="135">
        <v>120.0</v>
      </c>
      <c r="O1342" s="135">
        <v>1.484</v>
      </c>
      <c r="P1342" s="136">
        <v>0.0</v>
      </c>
      <c r="Q1342" s="137">
        <v>3.71</v>
      </c>
      <c r="R1342" s="136">
        <v>46123.0</v>
      </c>
      <c r="S1342" s="135" t="s">
        <v>3719</v>
      </c>
      <c r="T1342" s="136"/>
      <c r="U1342" s="135" t="s">
        <v>2864</v>
      </c>
      <c r="V1342" s="135" t="s">
        <v>2985</v>
      </c>
      <c r="W1342" s="135" t="s">
        <v>3720</v>
      </c>
      <c r="X1342" s="135" t="s">
        <v>2892</v>
      </c>
      <c r="Y1342" s="135"/>
      <c r="Z1342" s="135" t="s">
        <v>2858</v>
      </c>
      <c r="AA1342" s="135"/>
      <c r="AB1342" s="135"/>
      <c r="AC1342" s="135"/>
      <c r="AD1342" s="135">
        <v>46144.0</v>
      </c>
      <c r="AE1342" s="135"/>
      <c r="AF1342" s="135"/>
      <c r="AG1342" s="135"/>
    </row>
    <row r="1343" ht="21.75" hidden="1" customHeight="1">
      <c r="A1343" s="135">
        <v>1339.0</v>
      </c>
      <c r="B1343" s="135">
        <v>25045.0</v>
      </c>
      <c r="C1343" s="135" t="s">
        <v>2817</v>
      </c>
      <c r="D1343" s="135">
        <v>5.0</v>
      </c>
      <c r="E1343" s="135" t="s">
        <v>3469</v>
      </c>
      <c r="F1343" s="135" t="s">
        <v>1982</v>
      </c>
      <c r="G1343" s="135" t="s">
        <v>83</v>
      </c>
      <c r="H1343" s="135" t="s">
        <v>2853</v>
      </c>
      <c r="I1343" s="135" t="s">
        <v>88</v>
      </c>
      <c r="J1343" s="135">
        <v>1.0</v>
      </c>
      <c r="K1343" s="135"/>
      <c r="L1343" s="135">
        <v>4485.0</v>
      </c>
      <c r="M1343" s="135">
        <v>1534.0</v>
      </c>
      <c r="N1343" s="135">
        <v>120.0</v>
      </c>
      <c r="O1343" s="135">
        <v>0.927</v>
      </c>
      <c r="P1343" s="136">
        <v>0.0</v>
      </c>
      <c r="Q1343" s="137">
        <v>2.3175</v>
      </c>
      <c r="R1343" s="136">
        <v>46123.0</v>
      </c>
      <c r="S1343" s="135" t="s">
        <v>3719</v>
      </c>
      <c r="T1343" s="136"/>
      <c r="U1343" s="135" t="s">
        <v>2855</v>
      </c>
      <c r="V1343" s="135" t="s">
        <v>2856</v>
      </c>
      <c r="W1343" s="135" t="s">
        <v>3721</v>
      </c>
      <c r="X1343" s="135"/>
      <c r="Y1343" s="135"/>
      <c r="Z1343" s="135" t="s">
        <v>2858</v>
      </c>
      <c r="AA1343" s="135"/>
      <c r="AB1343" s="135"/>
      <c r="AC1343" s="135"/>
      <c r="AD1343" s="135">
        <v>46143.0</v>
      </c>
      <c r="AE1343" s="135"/>
      <c r="AF1343" s="135"/>
      <c r="AG1343" s="135"/>
    </row>
    <row r="1344" ht="21.75" hidden="1" customHeight="1">
      <c r="A1344" s="135">
        <v>1340.0</v>
      </c>
      <c r="B1344" s="135">
        <v>25045.0</v>
      </c>
      <c r="C1344" s="135" t="s">
        <v>2817</v>
      </c>
      <c r="D1344" s="135">
        <v>5.0</v>
      </c>
      <c r="E1344" s="135" t="s">
        <v>3469</v>
      </c>
      <c r="F1344" s="135" t="s">
        <v>1983</v>
      </c>
      <c r="G1344" s="135" t="s">
        <v>83</v>
      </c>
      <c r="H1344" s="135" t="s">
        <v>2853</v>
      </c>
      <c r="I1344" s="135" t="s">
        <v>88</v>
      </c>
      <c r="J1344" s="135">
        <v>1.0</v>
      </c>
      <c r="K1344" s="135"/>
      <c r="L1344" s="135">
        <v>4485.0</v>
      </c>
      <c r="M1344" s="135">
        <v>1700.0</v>
      </c>
      <c r="N1344" s="135">
        <v>120.0</v>
      </c>
      <c r="O1344" s="135">
        <v>1.016</v>
      </c>
      <c r="P1344" s="136">
        <v>0.0</v>
      </c>
      <c r="Q1344" s="137">
        <v>2.54</v>
      </c>
      <c r="R1344" s="136">
        <v>46123.0</v>
      </c>
      <c r="S1344" s="135" t="s">
        <v>3719</v>
      </c>
      <c r="T1344" s="136"/>
      <c r="U1344" s="135" t="s">
        <v>2855</v>
      </c>
      <c r="V1344" s="135" t="s">
        <v>2856</v>
      </c>
      <c r="W1344" s="135" t="s">
        <v>3721</v>
      </c>
      <c r="X1344" s="135"/>
      <c r="Y1344" s="135"/>
      <c r="Z1344" s="135" t="s">
        <v>2858</v>
      </c>
      <c r="AA1344" s="135"/>
      <c r="AB1344" s="135"/>
      <c r="AC1344" s="135"/>
      <c r="AD1344" s="135">
        <v>46144.0</v>
      </c>
      <c r="AE1344" s="135"/>
      <c r="AF1344" s="135"/>
      <c r="AG1344" s="135"/>
    </row>
    <row r="1345" ht="21.75" hidden="1" customHeight="1">
      <c r="A1345" s="135">
        <v>1341.0</v>
      </c>
      <c r="B1345" s="135">
        <v>25045.0</v>
      </c>
      <c r="C1345" s="135" t="s">
        <v>2817</v>
      </c>
      <c r="D1345" s="135">
        <v>5.0</v>
      </c>
      <c r="E1345" s="135" t="s">
        <v>3469</v>
      </c>
      <c r="F1345" s="135" t="s">
        <v>1984</v>
      </c>
      <c r="G1345" s="135" t="s">
        <v>83</v>
      </c>
      <c r="H1345" s="135" t="s">
        <v>2853</v>
      </c>
      <c r="I1345" s="135" t="s">
        <v>88</v>
      </c>
      <c r="J1345" s="135">
        <v>1.0</v>
      </c>
      <c r="K1345" s="135"/>
      <c r="L1345" s="135">
        <v>4485.0</v>
      </c>
      <c r="M1345" s="135">
        <v>1830.0</v>
      </c>
      <c r="N1345" s="135">
        <v>120.0</v>
      </c>
      <c r="O1345" s="135">
        <v>1.088</v>
      </c>
      <c r="P1345" s="136">
        <v>0.0</v>
      </c>
      <c r="Q1345" s="137">
        <v>2.72</v>
      </c>
      <c r="R1345" s="136">
        <v>46123.0</v>
      </c>
      <c r="S1345" s="135" t="s">
        <v>3719</v>
      </c>
      <c r="T1345" s="136"/>
      <c r="U1345" s="135" t="s">
        <v>2855</v>
      </c>
      <c r="V1345" s="135" t="s">
        <v>2856</v>
      </c>
      <c r="W1345" s="135" t="s">
        <v>3721</v>
      </c>
      <c r="X1345" s="135"/>
      <c r="Y1345" s="135"/>
      <c r="Z1345" s="135" t="s">
        <v>2858</v>
      </c>
      <c r="AA1345" s="135"/>
      <c r="AB1345" s="135"/>
      <c r="AC1345" s="135"/>
      <c r="AD1345" s="135">
        <v>46146.0</v>
      </c>
      <c r="AE1345" s="135"/>
      <c r="AF1345" s="135"/>
      <c r="AG1345" s="135"/>
    </row>
    <row r="1346" ht="21.75" hidden="1" customHeight="1">
      <c r="A1346" s="135">
        <v>1342.0</v>
      </c>
      <c r="B1346" s="135">
        <v>25045.0</v>
      </c>
      <c r="C1346" s="135" t="s">
        <v>2817</v>
      </c>
      <c r="D1346" s="135">
        <v>5.0</v>
      </c>
      <c r="E1346" s="135" t="s">
        <v>3469</v>
      </c>
      <c r="F1346" s="135" t="s">
        <v>1985</v>
      </c>
      <c r="G1346" s="135" t="s">
        <v>83</v>
      </c>
      <c r="H1346" s="135" t="s">
        <v>2853</v>
      </c>
      <c r="I1346" s="135" t="s">
        <v>88</v>
      </c>
      <c r="J1346" s="135">
        <v>1.0</v>
      </c>
      <c r="K1346" s="135"/>
      <c r="L1346" s="135">
        <v>2510.0</v>
      </c>
      <c r="M1346" s="135">
        <v>3070.0</v>
      </c>
      <c r="N1346" s="135">
        <v>120.0</v>
      </c>
      <c r="O1346" s="135">
        <v>0.899</v>
      </c>
      <c r="P1346" s="136">
        <v>0.0</v>
      </c>
      <c r="Q1346" s="137">
        <v>2.2475</v>
      </c>
      <c r="R1346" s="136">
        <v>46123.0</v>
      </c>
      <c r="S1346" s="135" t="s">
        <v>3719</v>
      </c>
      <c r="T1346" s="136"/>
      <c r="U1346" s="135" t="s">
        <v>2864</v>
      </c>
      <c r="V1346" s="135" t="s">
        <v>2878</v>
      </c>
      <c r="W1346" s="135" t="s">
        <v>3722</v>
      </c>
      <c r="X1346" s="135"/>
      <c r="Y1346" s="135"/>
      <c r="Z1346" s="135" t="s">
        <v>2858</v>
      </c>
      <c r="AA1346" s="135"/>
      <c r="AB1346" s="135"/>
      <c r="AC1346" s="135"/>
      <c r="AD1346" s="135">
        <v>46134.0</v>
      </c>
      <c r="AE1346" s="135"/>
      <c r="AF1346" s="135"/>
      <c r="AG1346" s="135"/>
    </row>
    <row r="1347" ht="21.75" hidden="1" customHeight="1">
      <c r="A1347" s="135">
        <v>1343.0</v>
      </c>
      <c r="B1347" s="135">
        <v>25045.0</v>
      </c>
      <c r="C1347" s="135"/>
      <c r="D1347" s="135">
        <v>5.0</v>
      </c>
      <c r="E1347" s="135" t="s">
        <v>3469</v>
      </c>
      <c r="F1347" s="135" t="s">
        <v>1986</v>
      </c>
      <c r="G1347" s="135" t="s">
        <v>83</v>
      </c>
      <c r="H1347" s="135" t="s">
        <v>2853</v>
      </c>
      <c r="I1347" s="135" t="s">
        <v>88</v>
      </c>
      <c r="J1347" s="135">
        <v>1.0</v>
      </c>
      <c r="K1347" s="135"/>
      <c r="L1347" s="135">
        <v>3420.0</v>
      </c>
      <c r="M1347" s="135">
        <v>3300.0</v>
      </c>
      <c r="N1347" s="135">
        <v>120.0</v>
      </c>
      <c r="O1347" s="135">
        <v>1.361</v>
      </c>
      <c r="P1347" s="136">
        <v>0.0</v>
      </c>
      <c r="Q1347" s="137">
        <v>3.4025</v>
      </c>
      <c r="R1347" s="136">
        <v>46123.0</v>
      </c>
      <c r="S1347" s="135" t="s">
        <v>3719</v>
      </c>
      <c r="T1347" s="136"/>
      <c r="U1347" s="135" t="s">
        <v>2864</v>
      </c>
      <c r="V1347" s="135" t="s">
        <v>3014</v>
      </c>
      <c r="W1347" s="135" t="s">
        <v>2932</v>
      </c>
      <c r="X1347" s="135" t="s">
        <v>2933</v>
      </c>
      <c r="Y1347" s="135"/>
      <c r="Z1347" s="135" t="s">
        <v>2858</v>
      </c>
      <c r="AA1347" s="135"/>
      <c r="AB1347" s="135"/>
      <c r="AC1347" s="135"/>
      <c r="AD1347" s="135">
        <v>46143.0</v>
      </c>
      <c r="AE1347" s="135"/>
      <c r="AF1347" s="135"/>
      <c r="AG1347" s="135"/>
    </row>
    <row r="1348" ht="21.75" hidden="1" customHeight="1">
      <c r="A1348" s="135">
        <v>1344.0</v>
      </c>
      <c r="B1348" s="135">
        <v>25045.0</v>
      </c>
      <c r="C1348" s="135"/>
      <c r="D1348" s="135">
        <v>5.0</v>
      </c>
      <c r="E1348" s="135" t="s">
        <v>3469</v>
      </c>
      <c r="F1348" s="135" t="s">
        <v>1987</v>
      </c>
      <c r="G1348" s="135" t="s">
        <v>83</v>
      </c>
      <c r="H1348" s="135" t="s">
        <v>2853</v>
      </c>
      <c r="I1348" s="135" t="s">
        <v>88</v>
      </c>
      <c r="J1348" s="135">
        <v>1.0</v>
      </c>
      <c r="K1348" s="135"/>
      <c r="L1348" s="135">
        <v>3090.0</v>
      </c>
      <c r="M1348" s="135">
        <v>3300.0</v>
      </c>
      <c r="N1348" s="135">
        <v>120.0</v>
      </c>
      <c r="O1348" s="135">
        <v>1.225</v>
      </c>
      <c r="P1348" s="136">
        <v>0.0</v>
      </c>
      <c r="Q1348" s="137">
        <v>3.0625</v>
      </c>
      <c r="R1348" s="136">
        <v>46123.0</v>
      </c>
      <c r="S1348" s="135" t="s">
        <v>3719</v>
      </c>
      <c r="T1348" s="136"/>
      <c r="U1348" s="135" t="s">
        <v>2864</v>
      </c>
      <c r="V1348" s="135" t="s">
        <v>3014</v>
      </c>
      <c r="W1348" s="135" t="s">
        <v>2934</v>
      </c>
      <c r="X1348" s="135" t="s">
        <v>2935</v>
      </c>
      <c r="Y1348" s="135"/>
      <c r="Z1348" s="135" t="s">
        <v>2858</v>
      </c>
      <c r="AA1348" s="135"/>
      <c r="AB1348" s="135"/>
      <c r="AC1348" s="135"/>
      <c r="AD1348" s="135">
        <v>46144.0</v>
      </c>
      <c r="AE1348" s="135"/>
      <c r="AF1348" s="135"/>
      <c r="AG1348" s="135"/>
    </row>
    <row r="1349" ht="21.75" hidden="1" customHeight="1">
      <c r="A1349" s="135">
        <v>1345.0</v>
      </c>
      <c r="B1349" s="135">
        <v>25045.0</v>
      </c>
      <c r="C1349" s="135"/>
      <c r="D1349" s="135">
        <v>5.0</v>
      </c>
      <c r="E1349" s="135" t="s">
        <v>3469</v>
      </c>
      <c r="F1349" s="135" t="s">
        <v>1988</v>
      </c>
      <c r="G1349" s="135" t="s">
        <v>83</v>
      </c>
      <c r="H1349" s="135" t="s">
        <v>2853</v>
      </c>
      <c r="I1349" s="135" t="s">
        <v>88</v>
      </c>
      <c r="J1349" s="135">
        <v>1.0</v>
      </c>
      <c r="K1349" s="135"/>
      <c r="L1349" s="135">
        <v>2810.0</v>
      </c>
      <c r="M1349" s="135">
        <v>3300.0</v>
      </c>
      <c r="N1349" s="135">
        <v>120.0</v>
      </c>
      <c r="O1349" s="135">
        <v>1.267</v>
      </c>
      <c r="P1349" s="136">
        <v>0.0</v>
      </c>
      <c r="Q1349" s="137">
        <v>3.1674999999999995</v>
      </c>
      <c r="R1349" s="136">
        <v>46123.0</v>
      </c>
      <c r="S1349" s="135" t="s">
        <v>3719</v>
      </c>
      <c r="T1349" s="136"/>
      <c r="U1349" s="135" t="s">
        <v>2864</v>
      </c>
      <c r="V1349" s="135" t="s">
        <v>3014</v>
      </c>
      <c r="W1349" s="135" t="s">
        <v>3506</v>
      </c>
      <c r="X1349" s="135"/>
      <c r="Y1349" s="135"/>
      <c r="Z1349" s="135" t="s">
        <v>2858</v>
      </c>
      <c r="AA1349" s="135"/>
      <c r="AB1349" s="135"/>
      <c r="AC1349" s="135"/>
      <c r="AD1349" s="135">
        <v>46148.0</v>
      </c>
      <c r="AE1349" s="135"/>
      <c r="AF1349" s="135"/>
      <c r="AG1349" s="135"/>
    </row>
    <row r="1350" ht="21.75" hidden="1" customHeight="1">
      <c r="A1350" s="135">
        <v>1346.0</v>
      </c>
      <c r="B1350" s="135">
        <v>25045.0</v>
      </c>
      <c r="C1350" s="135"/>
      <c r="D1350" s="135">
        <v>5.0</v>
      </c>
      <c r="E1350" s="135" t="s">
        <v>3469</v>
      </c>
      <c r="F1350" s="135" t="s">
        <v>1989</v>
      </c>
      <c r="G1350" s="135" t="s">
        <v>83</v>
      </c>
      <c r="H1350" s="135" t="s">
        <v>2853</v>
      </c>
      <c r="I1350" s="135" t="s">
        <v>88</v>
      </c>
      <c r="J1350" s="135">
        <v>1.0</v>
      </c>
      <c r="K1350" s="135"/>
      <c r="L1350" s="135">
        <v>4460.0</v>
      </c>
      <c r="M1350" s="135">
        <v>3400.0</v>
      </c>
      <c r="N1350" s="135">
        <v>120.0</v>
      </c>
      <c r="O1350" s="135">
        <v>1.514</v>
      </c>
      <c r="P1350" s="136">
        <v>0.0</v>
      </c>
      <c r="Q1350" s="137">
        <v>3.785</v>
      </c>
      <c r="R1350" s="136">
        <v>46123.0</v>
      </c>
      <c r="S1350" s="135" t="s">
        <v>3719</v>
      </c>
      <c r="T1350" s="136"/>
      <c r="U1350" s="135" t="s">
        <v>2864</v>
      </c>
      <c r="V1350" s="135" t="s">
        <v>3041</v>
      </c>
      <c r="W1350" s="135" t="s">
        <v>3723</v>
      </c>
      <c r="X1350" s="135" t="s">
        <v>3724</v>
      </c>
      <c r="Y1350" s="135"/>
      <c r="Z1350" s="135" t="s">
        <v>2858</v>
      </c>
      <c r="AA1350" s="135"/>
      <c r="AB1350" s="135"/>
      <c r="AC1350" s="135"/>
      <c r="AD1350" s="135">
        <v>46148.0</v>
      </c>
      <c r="AE1350" s="135"/>
      <c r="AF1350" s="135"/>
      <c r="AG1350" s="135"/>
    </row>
    <row r="1351" ht="21.75" hidden="1" customHeight="1">
      <c r="A1351" s="135">
        <v>1347.0</v>
      </c>
      <c r="B1351" s="135">
        <v>25045.0</v>
      </c>
      <c r="C1351" s="135"/>
      <c r="D1351" s="135">
        <v>5.0</v>
      </c>
      <c r="E1351" s="135" t="s">
        <v>3469</v>
      </c>
      <c r="F1351" s="135" t="s">
        <v>1990</v>
      </c>
      <c r="G1351" s="135" t="s">
        <v>83</v>
      </c>
      <c r="H1351" s="135" t="s">
        <v>2853</v>
      </c>
      <c r="I1351" s="135" t="s">
        <v>88</v>
      </c>
      <c r="J1351" s="135">
        <v>1.0</v>
      </c>
      <c r="K1351" s="135"/>
      <c r="L1351" s="135">
        <v>3590.0</v>
      </c>
      <c r="M1351" s="135">
        <v>3300.0</v>
      </c>
      <c r="N1351" s="135">
        <v>120.0</v>
      </c>
      <c r="O1351" s="135">
        <v>1.5</v>
      </c>
      <c r="P1351" s="136">
        <v>0.0</v>
      </c>
      <c r="Q1351" s="137">
        <v>3.75</v>
      </c>
      <c r="R1351" s="136">
        <v>46123.0</v>
      </c>
      <c r="S1351" s="135" t="s">
        <v>3719</v>
      </c>
      <c r="T1351" s="136"/>
      <c r="U1351" s="135" t="s">
        <v>2864</v>
      </c>
      <c r="V1351" s="135" t="s">
        <v>3041</v>
      </c>
      <c r="W1351" s="135" t="s">
        <v>2937</v>
      </c>
      <c r="X1351" s="135" t="s">
        <v>2935</v>
      </c>
      <c r="Y1351" s="135"/>
      <c r="Z1351" s="135" t="s">
        <v>2858</v>
      </c>
      <c r="AA1351" s="135"/>
      <c r="AB1351" s="135"/>
      <c r="AC1351" s="135"/>
      <c r="AD1351" s="135">
        <v>46149.0</v>
      </c>
      <c r="AE1351" s="135"/>
      <c r="AF1351" s="135"/>
      <c r="AG1351" s="135"/>
    </row>
    <row r="1352" ht="21.75" hidden="1" customHeight="1">
      <c r="A1352" s="135">
        <v>1348.0</v>
      </c>
      <c r="B1352" s="135">
        <v>25045.0</v>
      </c>
      <c r="C1352" s="135"/>
      <c r="D1352" s="135">
        <v>5.0</v>
      </c>
      <c r="E1352" s="135" t="s">
        <v>3469</v>
      </c>
      <c r="F1352" s="135" t="s">
        <v>1991</v>
      </c>
      <c r="G1352" s="135" t="s">
        <v>83</v>
      </c>
      <c r="H1352" s="135" t="s">
        <v>2853</v>
      </c>
      <c r="I1352" s="135" t="s">
        <v>88</v>
      </c>
      <c r="J1352" s="135">
        <v>1.0</v>
      </c>
      <c r="K1352" s="135"/>
      <c r="L1352" s="135">
        <v>4920.0</v>
      </c>
      <c r="M1352" s="135">
        <v>3300.0</v>
      </c>
      <c r="N1352" s="135">
        <v>120.0</v>
      </c>
      <c r="O1352" s="135">
        <v>2.068</v>
      </c>
      <c r="P1352" s="136">
        <v>0.0</v>
      </c>
      <c r="Q1352" s="137">
        <v>5.17</v>
      </c>
      <c r="R1352" s="136">
        <v>46123.0</v>
      </c>
      <c r="S1352" s="135" t="s">
        <v>3719</v>
      </c>
      <c r="T1352" s="136"/>
      <c r="U1352" s="135" t="s">
        <v>2855</v>
      </c>
      <c r="V1352" s="135" t="s">
        <v>2876</v>
      </c>
      <c r="W1352" s="135" t="s">
        <v>3508</v>
      </c>
      <c r="X1352" s="135" t="s">
        <v>2933</v>
      </c>
      <c r="Y1352" s="135"/>
      <c r="Z1352" s="135" t="s">
        <v>2858</v>
      </c>
      <c r="AA1352" s="135"/>
      <c r="AB1352" s="135"/>
      <c r="AC1352" s="135"/>
      <c r="AD1352" s="135">
        <v>46146.0</v>
      </c>
      <c r="AE1352" s="135"/>
      <c r="AF1352" s="135"/>
      <c r="AG1352" s="135"/>
    </row>
    <row r="1353" ht="21.75" hidden="1" customHeight="1">
      <c r="A1353" s="135">
        <v>1349.0</v>
      </c>
      <c r="B1353" s="135">
        <v>25045.0</v>
      </c>
      <c r="C1353" s="135" t="s">
        <v>2817</v>
      </c>
      <c r="D1353" s="135">
        <v>5.0</v>
      </c>
      <c r="E1353" s="135" t="s">
        <v>3472</v>
      </c>
      <c r="F1353" s="135" t="s">
        <v>2000</v>
      </c>
      <c r="G1353" s="135" t="s">
        <v>83</v>
      </c>
      <c r="H1353" s="135" t="s">
        <v>2853</v>
      </c>
      <c r="I1353" s="135" t="s">
        <v>89</v>
      </c>
      <c r="J1353" s="135">
        <v>1.0</v>
      </c>
      <c r="K1353" s="135"/>
      <c r="L1353" s="135">
        <v>4590.0</v>
      </c>
      <c r="M1353" s="135">
        <v>1640.0</v>
      </c>
      <c r="N1353" s="135">
        <v>120.0</v>
      </c>
      <c r="O1353" s="135">
        <v>0.994</v>
      </c>
      <c r="P1353" s="136">
        <v>0.0</v>
      </c>
      <c r="Q1353" s="137">
        <v>2.485</v>
      </c>
      <c r="R1353" s="136">
        <v>46123.0</v>
      </c>
      <c r="S1353" s="135" t="s">
        <v>3719</v>
      </c>
      <c r="T1353" s="136"/>
      <c r="U1353" s="135" t="s">
        <v>2855</v>
      </c>
      <c r="V1353" s="135" t="s">
        <v>2856</v>
      </c>
      <c r="W1353" s="135" t="s">
        <v>3632</v>
      </c>
      <c r="X1353" s="135"/>
      <c r="Y1353" s="135"/>
      <c r="Z1353" s="135" t="s">
        <v>2858</v>
      </c>
      <c r="AA1353" s="135"/>
      <c r="AB1353" s="135"/>
      <c r="AC1353" s="135"/>
      <c r="AD1353" s="135">
        <v>46147.0</v>
      </c>
      <c r="AE1353" s="135"/>
      <c r="AF1353" s="135"/>
      <c r="AG1353" s="135"/>
    </row>
    <row r="1354" ht="21.75" hidden="1" customHeight="1">
      <c r="A1354" s="135">
        <v>1350.0</v>
      </c>
      <c r="B1354" s="135">
        <v>25045.0</v>
      </c>
      <c r="C1354" s="135" t="s">
        <v>2817</v>
      </c>
      <c r="D1354" s="135">
        <v>5.0</v>
      </c>
      <c r="E1354" s="135" t="s">
        <v>3472</v>
      </c>
      <c r="F1354" s="135" t="s">
        <v>2001</v>
      </c>
      <c r="G1354" s="135" t="s">
        <v>83</v>
      </c>
      <c r="H1354" s="135" t="s">
        <v>2853</v>
      </c>
      <c r="I1354" s="135" t="s">
        <v>89</v>
      </c>
      <c r="J1354" s="135">
        <v>1.0</v>
      </c>
      <c r="K1354" s="135"/>
      <c r="L1354" s="135">
        <v>4590.0</v>
      </c>
      <c r="M1354" s="135">
        <v>1640.0</v>
      </c>
      <c r="N1354" s="135">
        <v>120.0</v>
      </c>
      <c r="O1354" s="135">
        <v>0.994</v>
      </c>
      <c r="P1354" s="136">
        <v>0.0</v>
      </c>
      <c r="Q1354" s="137">
        <v>2.485</v>
      </c>
      <c r="R1354" s="136">
        <v>46123.0</v>
      </c>
      <c r="S1354" s="135" t="s">
        <v>3719</v>
      </c>
      <c r="T1354" s="136"/>
      <c r="U1354" s="135" t="s">
        <v>2855</v>
      </c>
      <c r="V1354" s="135" t="s">
        <v>2856</v>
      </c>
      <c r="W1354" s="135" t="s">
        <v>3632</v>
      </c>
      <c r="X1354" s="135"/>
      <c r="Y1354" s="135"/>
      <c r="Z1354" s="135" t="s">
        <v>2858</v>
      </c>
      <c r="AA1354" s="135"/>
      <c r="AB1354" s="135"/>
      <c r="AC1354" s="135"/>
      <c r="AD1354" s="135">
        <v>46148.0</v>
      </c>
      <c r="AE1354" s="135"/>
      <c r="AF1354" s="135"/>
      <c r="AG1354" s="135"/>
    </row>
    <row r="1355" ht="21.75" hidden="1" customHeight="1">
      <c r="A1355" s="135">
        <v>1351.0</v>
      </c>
      <c r="B1355" s="135">
        <v>25045.0</v>
      </c>
      <c r="C1355" s="135" t="s">
        <v>2817</v>
      </c>
      <c r="D1355" s="135">
        <v>5.0</v>
      </c>
      <c r="E1355" s="135" t="s">
        <v>3472</v>
      </c>
      <c r="F1355" s="135" t="s">
        <v>2002</v>
      </c>
      <c r="G1355" s="135" t="s">
        <v>83</v>
      </c>
      <c r="H1355" s="135" t="s">
        <v>2853</v>
      </c>
      <c r="I1355" s="135" t="s">
        <v>89</v>
      </c>
      <c r="J1355" s="135">
        <v>1.0</v>
      </c>
      <c r="K1355" s="135"/>
      <c r="L1355" s="135">
        <v>4590.0</v>
      </c>
      <c r="M1355" s="135">
        <v>1350.0</v>
      </c>
      <c r="N1355" s="135">
        <v>120.0</v>
      </c>
      <c r="O1355" s="135">
        <v>0.881</v>
      </c>
      <c r="P1355" s="136">
        <v>0.0</v>
      </c>
      <c r="Q1355" s="137">
        <v>2.2025</v>
      </c>
      <c r="R1355" s="136">
        <v>46123.0</v>
      </c>
      <c r="S1355" s="135" t="s">
        <v>3719</v>
      </c>
      <c r="T1355" s="136"/>
      <c r="U1355" s="135" t="s">
        <v>2855</v>
      </c>
      <c r="V1355" s="135" t="s">
        <v>2856</v>
      </c>
      <c r="W1355" s="135" t="s">
        <v>3211</v>
      </c>
      <c r="X1355" s="135"/>
      <c r="Y1355" s="135"/>
      <c r="Z1355" s="135" t="s">
        <v>2858</v>
      </c>
      <c r="AA1355" s="135"/>
      <c r="AB1355" s="135"/>
      <c r="AC1355" s="135"/>
      <c r="AD1355" s="135">
        <v>46149.0</v>
      </c>
      <c r="AE1355" s="135"/>
      <c r="AF1355" s="135"/>
      <c r="AG1355" s="135"/>
    </row>
    <row r="1356" ht="21.75" hidden="1" customHeight="1">
      <c r="A1356" s="135">
        <v>1352.0</v>
      </c>
      <c r="B1356" s="135">
        <v>25045.0</v>
      </c>
      <c r="C1356" s="135"/>
      <c r="D1356" s="135">
        <v>5.0</v>
      </c>
      <c r="E1356" s="135" t="s">
        <v>3472</v>
      </c>
      <c r="F1356" s="135" t="s">
        <v>2003</v>
      </c>
      <c r="G1356" s="135" t="s">
        <v>83</v>
      </c>
      <c r="H1356" s="135" t="s">
        <v>2853</v>
      </c>
      <c r="I1356" s="135" t="s">
        <v>89</v>
      </c>
      <c r="J1356" s="135">
        <v>1.0</v>
      </c>
      <c r="K1356" s="135"/>
      <c r="L1356" s="135">
        <v>2810.0</v>
      </c>
      <c r="M1356" s="135">
        <v>3100.0</v>
      </c>
      <c r="N1356" s="135">
        <v>120.0</v>
      </c>
      <c r="O1356" s="135">
        <v>1.184</v>
      </c>
      <c r="P1356" s="136">
        <v>0.0</v>
      </c>
      <c r="Q1356" s="137">
        <v>2.96</v>
      </c>
      <c r="R1356" s="136">
        <v>46123.0</v>
      </c>
      <c r="S1356" s="135" t="s">
        <v>3719</v>
      </c>
      <c r="T1356" s="136"/>
      <c r="U1356" s="135" t="s">
        <v>2864</v>
      </c>
      <c r="V1356" s="135" t="s">
        <v>2878</v>
      </c>
      <c r="W1356" s="135" t="s">
        <v>3506</v>
      </c>
      <c r="X1356" s="135"/>
      <c r="Y1356" s="135"/>
      <c r="Z1356" s="135" t="s">
        <v>2858</v>
      </c>
      <c r="AA1356" s="135"/>
      <c r="AB1356" s="135"/>
      <c r="AC1356" s="135"/>
      <c r="AD1356" s="135">
        <v>46133.0</v>
      </c>
      <c r="AE1356" s="135"/>
      <c r="AF1356" s="135"/>
      <c r="AG1356" s="135"/>
    </row>
    <row r="1357" ht="21.75" hidden="1" customHeight="1">
      <c r="A1357" s="135">
        <v>1353.0</v>
      </c>
      <c r="B1357" s="135">
        <v>25045.0</v>
      </c>
      <c r="C1357" s="135"/>
      <c r="D1357" s="135">
        <v>5.0</v>
      </c>
      <c r="E1357" s="135" t="s">
        <v>3472</v>
      </c>
      <c r="F1357" s="135" t="s">
        <v>2004</v>
      </c>
      <c r="G1357" s="135" t="s">
        <v>83</v>
      </c>
      <c r="H1357" s="135" t="s">
        <v>2853</v>
      </c>
      <c r="I1357" s="135" t="s">
        <v>89</v>
      </c>
      <c r="J1357" s="135">
        <v>1.0</v>
      </c>
      <c r="K1357" s="135"/>
      <c r="L1357" s="135">
        <v>3090.0</v>
      </c>
      <c r="M1357" s="135">
        <v>3100.0</v>
      </c>
      <c r="N1357" s="135">
        <v>120.0</v>
      </c>
      <c r="O1357" s="135">
        <v>1.121</v>
      </c>
      <c r="P1357" s="136">
        <v>0.0</v>
      </c>
      <c r="Q1357" s="137">
        <v>2.8025</v>
      </c>
      <c r="R1357" s="136">
        <v>46123.0</v>
      </c>
      <c r="S1357" s="135" t="s">
        <v>3719</v>
      </c>
      <c r="T1357" s="136"/>
      <c r="U1357" s="135" t="s">
        <v>2864</v>
      </c>
      <c r="V1357" s="135" t="s">
        <v>2878</v>
      </c>
      <c r="W1357" s="135" t="s">
        <v>3213</v>
      </c>
      <c r="X1357" s="135" t="s">
        <v>3214</v>
      </c>
      <c r="Y1357" s="135"/>
      <c r="Z1357" s="135" t="s">
        <v>2858</v>
      </c>
      <c r="AA1357" s="135"/>
      <c r="AB1357" s="135"/>
      <c r="AC1357" s="135"/>
      <c r="AD1357" s="135">
        <v>46132.0</v>
      </c>
      <c r="AE1357" s="135"/>
      <c r="AF1357" s="135"/>
      <c r="AG1357" s="135"/>
    </row>
    <row r="1358" ht="21.75" hidden="1" customHeight="1">
      <c r="A1358" s="135">
        <v>1354.0</v>
      </c>
      <c r="B1358" s="135">
        <v>25045.0</v>
      </c>
      <c r="C1358" s="135"/>
      <c r="D1358" s="135">
        <v>5.0</v>
      </c>
      <c r="E1358" s="135" t="s">
        <v>3472</v>
      </c>
      <c r="F1358" s="135" t="s">
        <v>2005</v>
      </c>
      <c r="G1358" s="135" t="s">
        <v>83</v>
      </c>
      <c r="H1358" s="135" t="s">
        <v>2853</v>
      </c>
      <c r="I1358" s="135" t="s">
        <v>89</v>
      </c>
      <c r="J1358" s="135">
        <v>1.0</v>
      </c>
      <c r="K1358" s="135"/>
      <c r="L1358" s="135">
        <v>3420.0</v>
      </c>
      <c r="M1358" s="135">
        <v>3100.0</v>
      </c>
      <c r="N1358" s="135">
        <v>120.0</v>
      </c>
      <c r="O1358" s="135">
        <v>1.263</v>
      </c>
      <c r="P1358" s="136">
        <v>0.0</v>
      </c>
      <c r="Q1358" s="137">
        <v>3.1574999999999998</v>
      </c>
      <c r="R1358" s="136">
        <v>46123.0</v>
      </c>
      <c r="S1358" s="135" t="s">
        <v>3719</v>
      </c>
      <c r="T1358" s="136"/>
      <c r="U1358" s="135" t="s">
        <v>2864</v>
      </c>
      <c r="V1358" s="135" t="s">
        <v>2878</v>
      </c>
      <c r="W1358" s="135" t="s">
        <v>3215</v>
      </c>
      <c r="X1358" s="135" t="s">
        <v>3216</v>
      </c>
      <c r="Y1358" s="135"/>
      <c r="Z1358" s="135" t="s">
        <v>2858</v>
      </c>
      <c r="AA1358" s="135"/>
      <c r="AB1358" s="135"/>
      <c r="AC1358" s="135"/>
      <c r="AD1358" s="135">
        <v>46129.0</v>
      </c>
      <c r="AE1358" s="135"/>
      <c r="AF1358" s="135"/>
      <c r="AG1358" s="135"/>
    </row>
    <row r="1359" ht="21.75" hidden="1" customHeight="1">
      <c r="A1359" s="135">
        <v>1355.0</v>
      </c>
      <c r="B1359" s="135">
        <v>25045.0</v>
      </c>
      <c r="C1359" s="135"/>
      <c r="D1359" s="135">
        <v>5.0</v>
      </c>
      <c r="E1359" s="135" t="s">
        <v>3472</v>
      </c>
      <c r="F1359" s="135" t="s">
        <v>2006</v>
      </c>
      <c r="G1359" s="135" t="s">
        <v>83</v>
      </c>
      <c r="H1359" s="135" t="s">
        <v>2853</v>
      </c>
      <c r="I1359" s="135" t="s">
        <v>89</v>
      </c>
      <c r="J1359" s="135">
        <v>1.0</v>
      </c>
      <c r="K1359" s="135"/>
      <c r="L1359" s="135">
        <v>3590.0</v>
      </c>
      <c r="M1359" s="135">
        <v>3300.0</v>
      </c>
      <c r="N1359" s="135">
        <v>120.0</v>
      </c>
      <c r="O1359" s="135">
        <v>1.463</v>
      </c>
      <c r="P1359" s="136">
        <v>0.0</v>
      </c>
      <c r="Q1359" s="137">
        <v>3.6575</v>
      </c>
      <c r="R1359" s="136">
        <v>46123.0</v>
      </c>
      <c r="S1359" s="135" t="s">
        <v>3719</v>
      </c>
      <c r="T1359" s="136"/>
      <c r="U1359" s="135" t="s">
        <v>2864</v>
      </c>
      <c r="V1359" s="135" t="s">
        <v>2865</v>
      </c>
      <c r="W1359" s="135" t="s">
        <v>3725</v>
      </c>
      <c r="X1359" s="135" t="s">
        <v>3214</v>
      </c>
      <c r="Y1359" s="135"/>
      <c r="Z1359" s="135" t="s">
        <v>2858</v>
      </c>
      <c r="AA1359" s="135"/>
      <c r="AB1359" s="135"/>
      <c r="AC1359" s="135"/>
      <c r="AD1359" s="135">
        <v>46128.0</v>
      </c>
      <c r="AE1359" s="135"/>
      <c r="AF1359" s="135"/>
      <c r="AG1359" s="135"/>
    </row>
    <row r="1360" ht="21.75" hidden="1" customHeight="1">
      <c r="A1360" s="135">
        <v>1356.0</v>
      </c>
      <c r="B1360" s="135">
        <v>25045.0</v>
      </c>
      <c r="C1360" s="135"/>
      <c r="D1360" s="135">
        <v>5.0</v>
      </c>
      <c r="E1360" s="135" t="s">
        <v>3472</v>
      </c>
      <c r="F1360" s="135" t="s">
        <v>2007</v>
      </c>
      <c r="G1360" s="135" t="s">
        <v>83</v>
      </c>
      <c r="H1360" s="135" t="s">
        <v>2853</v>
      </c>
      <c r="I1360" s="135" t="s">
        <v>89</v>
      </c>
      <c r="J1360" s="135">
        <v>1.0</v>
      </c>
      <c r="K1360" s="135"/>
      <c r="L1360" s="135">
        <v>4460.0</v>
      </c>
      <c r="M1360" s="135">
        <v>3200.0</v>
      </c>
      <c r="N1360" s="135">
        <v>120.0</v>
      </c>
      <c r="O1360" s="135">
        <v>1.37</v>
      </c>
      <c r="P1360" s="136">
        <v>0.0</v>
      </c>
      <c r="Q1360" s="137">
        <v>3.4250000000000003</v>
      </c>
      <c r="R1360" s="136">
        <v>46123.0</v>
      </c>
      <c r="S1360" s="135" t="s">
        <v>3719</v>
      </c>
      <c r="T1360" s="136"/>
      <c r="U1360" s="135" t="s">
        <v>2864</v>
      </c>
      <c r="V1360" s="135" t="s">
        <v>2865</v>
      </c>
      <c r="W1360" s="135" t="s">
        <v>3726</v>
      </c>
      <c r="X1360" s="135" t="s">
        <v>3727</v>
      </c>
      <c r="Y1360" s="135"/>
      <c r="Z1360" s="135" t="s">
        <v>2858</v>
      </c>
      <c r="AA1360" s="135"/>
      <c r="AB1360" s="135"/>
      <c r="AC1360" s="135"/>
      <c r="AD1360" s="135">
        <v>46132.0</v>
      </c>
      <c r="AE1360" s="135"/>
      <c r="AF1360" s="135"/>
      <c r="AG1360" s="135"/>
    </row>
    <row r="1361" ht="21.75" hidden="1" customHeight="1">
      <c r="A1361" s="135">
        <v>1357.0</v>
      </c>
      <c r="B1361" s="135">
        <v>25045.0</v>
      </c>
      <c r="C1361" s="135"/>
      <c r="D1361" s="135">
        <v>5.0</v>
      </c>
      <c r="E1361" s="135" t="s">
        <v>3472</v>
      </c>
      <c r="F1361" s="135" t="s">
        <v>2008</v>
      </c>
      <c r="G1361" s="135" t="s">
        <v>83</v>
      </c>
      <c r="H1361" s="135" t="s">
        <v>2853</v>
      </c>
      <c r="I1361" s="135" t="s">
        <v>89</v>
      </c>
      <c r="J1361" s="135">
        <v>1.0</v>
      </c>
      <c r="K1361" s="135"/>
      <c r="L1361" s="135">
        <v>4920.0</v>
      </c>
      <c r="M1361" s="135">
        <v>3100.0</v>
      </c>
      <c r="N1361" s="135">
        <v>120.0</v>
      </c>
      <c r="O1361" s="135">
        <v>1.9</v>
      </c>
      <c r="P1361" s="136">
        <v>0.0</v>
      </c>
      <c r="Q1361" s="137">
        <v>4.75</v>
      </c>
      <c r="R1361" s="136">
        <v>46123.0</v>
      </c>
      <c r="S1361" s="135" t="s">
        <v>3719</v>
      </c>
      <c r="T1361" s="136"/>
      <c r="U1361" s="135" t="s">
        <v>2855</v>
      </c>
      <c r="V1361" s="135" t="s">
        <v>2868</v>
      </c>
      <c r="W1361" s="135" t="s">
        <v>3220</v>
      </c>
      <c r="X1361" s="135" t="s">
        <v>3216</v>
      </c>
      <c r="Y1361" s="135"/>
      <c r="Z1361" s="135" t="s">
        <v>2858</v>
      </c>
      <c r="AA1361" s="135"/>
      <c r="AB1361" s="135"/>
      <c r="AC1361" s="135"/>
      <c r="AD1361" s="135">
        <v>46142.0</v>
      </c>
      <c r="AE1361" s="135"/>
      <c r="AF1361" s="135"/>
      <c r="AG1361" s="135"/>
    </row>
    <row r="1362" ht="21.75" hidden="1" customHeight="1">
      <c r="A1362" s="135">
        <v>1358.0</v>
      </c>
      <c r="B1362" s="135">
        <v>25045.0</v>
      </c>
      <c r="C1362" s="135"/>
      <c r="D1362" s="135">
        <v>5.0</v>
      </c>
      <c r="E1362" s="135" t="s">
        <v>3475</v>
      </c>
      <c r="F1362" s="135" t="s">
        <v>2023</v>
      </c>
      <c r="G1362" s="135" t="s">
        <v>83</v>
      </c>
      <c r="H1362" s="135" t="s">
        <v>2853</v>
      </c>
      <c r="I1362" s="135" t="s">
        <v>90</v>
      </c>
      <c r="J1362" s="135">
        <v>1.0</v>
      </c>
      <c r="K1362" s="135"/>
      <c r="L1362" s="135">
        <v>4945.0</v>
      </c>
      <c r="M1362" s="135">
        <v>3200.0</v>
      </c>
      <c r="N1362" s="135">
        <v>120.0</v>
      </c>
      <c r="O1362" s="135">
        <v>2.106</v>
      </c>
      <c r="P1362" s="136">
        <v>0.0</v>
      </c>
      <c r="Q1362" s="137">
        <v>5.265</v>
      </c>
      <c r="R1362" s="136">
        <v>46123.0</v>
      </c>
      <c r="S1362" s="135" t="s">
        <v>3719</v>
      </c>
      <c r="T1362" s="136"/>
      <c r="U1362" s="135" t="s">
        <v>2855</v>
      </c>
      <c r="V1362" s="135" t="s">
        <v>2876</v>
      </c>
      <c r="W1362" s="135" t="s">
        <v>3728</v>
      </c>
      <c r="X1362" s="135"/>
      <c r="Y1362" s="135"/>
      <c r="Z1362" s="135" t="s">
        <v>2858</v>
      </c>
      <c r="AA1362" s="135"/>
      <c r="AB1362" s="135"/>
      <c r="AC1362" s="135"/>
      <c r="AD1362" s="135">
        <v>46147.0</v>
      </c>
      <c r="AE1362" s="135"/>
      <c r="AF1362" s="135"/>
      <c r="AG1362" s="135"/>
    </row>
    <row r="1363" ht="21.75" hidden="1" customHeight="1">
      <c r="A1363" s="135">
        <v>1359.0</v>
      </c>
      <c r="B1363" s="135">
        <v>25045.0</v>
      </c>
      <c r="C1363" s="135"/>
      <c r="D1363" s="135">
        <v>5.0</v>
      </c>
      <c r="E1363" s="135" t="s">
        <v>3475</v>
      </c>
      <c r="F1363" s="135" t="s">
        <v>2024</v>
      </c>
      <c r="G1363" s="135" t="s">
        <v>83</v>
      </c>
      <c r="H1363" s="135" t="s">
        <v>2853</v>
      </c>
      <c r="I1363" s="135" t="s">
        <v>90</v>
      </c>
      <c r="J1363" s="135">
        <v>1.0</v>
      </c>
      <c r="K1363" s="135"/>
      <c r="L1363" s="135">
        <v>4472.0</v>
      </c>
      <c r="M1363" s="135">
        <v>3200.0</v>
      </c>
      <c r="N1363" s="135">
        <v>120.0</v>
      </c>
      <c r="O1363" s="135">
        <v>1.769</v>
      </c>
      <c r="P1363" s="136">
        <v>0.0</v>
      </c>
      <c r="Q1363" s="137">
        <v>4.422499999999999</v>
      </c>
      <c r="R1363" s="136">
        <v>46123.0</v>
      </c>
      <c r="S1363" s="135" t="s">
        <v>3719</v>
      </c>
      <c r="T1363" s="136"/>
      <c r="U1363" s="135" t="s">
        <v>2864</v>
      </c>
      <c r="V1363" s="135" t="s">
        <v>2890</v>
      </c>
      <c r="W1363" s="135" t="s">
        <v>3729</v>
      </c>
      <c r="X1363" s="135" t="s">
        <v>2892</v>
      </c>
      <c r="Y1363" s="135"/>
      <c r="Z1363" s="135" t="s">
        <v>2858</v>
      </c>
      <c r="AA1363" s="135"/>
      <c r="AB1363" s="135"/>
      <c r="AC1363" s="135"/>
      <c r="AD1363" s="135">
        <v>46146.0</v>
      </c>
      <c r="AE1363" s="135"/>
      <c r="AF1363" s="135"/>
      <c r="AG1363" s="135"/>
    </row>
    <row r="1364" ht="21.75" hidden="1" customHeight="1">
      <c r="A1364" s="135">
        <v>1360.0</v>
      </c>
      <c r="B1364" s="135">
        <v>25045.0</v>
      </c>
      <c r="C1364" s="135"/>
      <c r="D1364" s="135">
        <v>5.0</v>
      </c>
      <c r="E1364" s="135" t="s">
        <v>3476</v>
      </c>
      <c r="F1364" s="135" t="s">
        <v>2038</v>
      </c>
      <c r="G1364" s="135" t="s">
        <v>83</v>
      </c>
      <c r="H1364" s="135" t="s">
        <v>2853</v>
      </c>
      <c r="I1364" s="135" t="s">
        <v>91</v>
      </c>
      <c r="J1364" s="135">
        <v>1.0</v>
      </c>
      <c r="K1364" s="135" t="s">
        <v>3134</v>
      </c>
      <c r="L1364" s="135">
        <v>4472.0</v>
      </c>
      <c r="M1364" s="135">
        <v>3200.0</v>
      </c>
      <c r="N1364" s="135">
        <v>120.0</v>
      </c>
      <c r="O1364" s="135">
        <v>1.943</v>
      </c>
      <c r="P1364" s="136">
        <v>0.0</v>
      </c>
      <c r="Q1364" s="137">
        <v>4.8575</v>
      </c>
      <c r="R1364" s="136">
        <v>46123.0</v>
      </c>
      <c r="S1364" s="135" t="s">
        <v>3719</v>
      </c>
      <c r="T1364" s="136"/>
      <c r="U1364" s="135" t="s">
        <v>2855</v>
      </c>
      <c r="V1364" s="135" t="s">
        <v>2876</v>
      </c>
      <c r="W1364" s="135" t="s">
        <v>3490</v>
      </c>
      <c r="X1364" s="135"/>
      <c r="Y1364" s="135"/>
      <c r="Z1364" s="135" t="s">
        <v>2858</v>
      </c>
      <c r="AA1364" s="135"/>
      <c r="AB1364" s="135"/>
      <c r="AC1364" s="135"/>
      <c r="AD1364" s="135">
        <v>46129.0</v>
      </c>
      <c r="AE1364" s="135"/>
      <c r="AF1364" s="135"/>
      <c r="AG1364" s="135"/>
    </row>
    <row r="1365" ht="21.75" hidden="1" customHeight="1">
      <c r="A1365" s="135">
        <v>1361.0</v>
      </c>
      <c r="B1365" s="135">
        <v>25045.0</v>
      </c>
      <c r="C1365" s="135"/>
      <c r="D1365" s="135">
        <v>5.0</v>
      </c>
      <c r="E1365" s="135" t="s">
        <v>3476</v>
      </c>
      <c r="F1365" s="135" t="s">
        <v>2039</v>
      </c>
      <c r="G1365" s="135" t="s">
        <v>83</v>
      </c>
      <c r="H1365" s="135" t="s">
        <v>2853</v>
      </c>
      <c r="I1365" s="135" t="s">
        <v>91</v>
      </c>
      <c r="J1365" s="135">
        <v>1.0</v>
      </c>
      <c r="K1365" s="135" t="s">
        <v>3134</v>
      </c>
      <c r="L1365" s="135">
        <v>4472.0</v>
      </c>
      <c r="M1365" s="135">
        <v>3200.0</v>
      </c>
      <c r="N1365" s="135">
        <v>120.0</v>
      </c>
      <c r="O1365" s="135">
        <v>1.943</v>
      </c>
      <c r="P1365" s="136">
        <v>0.0</v>
      </c>
      <c r="Q1365" s="137">
        <v>4.8575</v>
      </c>
      <c r="R1365" s="136">
        <v>46123.0</v>
      </c>
      <c r="S1365" s="135" t="s">
        <v>3719</v>
      </c>
      <c r="T1365" s="136"/>
      <c r="U1365" s="135" t="s">
        <v>2855</v>
      </c>
      <c r="V1365" s="135" t="s">
        <v>2876</v>
      </c>
      <c r="W1365" s="135" t="s">
        <v>3490</v>
      </c>
      <c r="X1365" s="135"/>
      <c r="Y1365" s="135"/>
      <c r="Z1365" s="135" t="s">
        <v>2858</v>
      </c>
      <c r="AA1365" s="135"/>
      <c r="AB1365" s="135"/>
      <c r="AC1365" s="135"/>
      <c r="AD1365" s="135">
        <v>46130.0</v>
      </c>
      <c r="AE1365" s="135"/>
      <c r="AF1365" s="135"/>
      <c r="AG1365" s="135"/>
    </row>
    <row r="1366" ht="21.75" hidden="1" customHeight="1">
      <c r="A1366" s="135">
        <v>1362.0</v>
      </c>
      <c r="B1366" s="135">
        <v>25045.0</v>
      </c>
      <c r="C1366" s="135"/>
      <c r="D1366" s="135">
        <v>5.0</v>
      </c>
      <c r="E1366" s="135" t="s">
        <v>3476</v>
      </c>
      <c r="F1366" s="135" t="s">
        <v>2040</v>
      </c>
      <c r="G1366" s="135" t="s">
        <v>83</v>
      </c>
      <c r="H1366" s="135" t="s">
        <v>2853</v>
      </c>
      <c r="I1366" s="135" t="s">
        <v>91</v>
      </c>
      <c r="J1366" s="135">
        <v>1.0</v>
      </c>
      <c r="K1366" s="135" t="s">
        <v>3134</v>
      </c>
      <c r="L1366" s="135">
        <v>4472.0</v>
      </c>
      <c r="M1366" s="135">
        <v>3200.0</v>
      </c>
      <c r="N1366" s="135">
        <v>120.0</v>
      </c>
      <c r="O1366" s="135">
        <v>1.943</v>
      </c>
      <c r="P1366" s="136">
        <v>0.0</v>
      </c>
      <c r="Q1366" s="137">
        <v>4.8575</v>
      </c>
      <c r="R1366" s="136">
        <v>46123.0</v>
      </c>
      <c r="S1366" s="135" t="s">
        <v>3719</v>
      </c>
      <c r="T1366" s="136"/>
      <c r="U1366" s="135" t="s">
        <v>2855</v>
      </c>
      <c r="V1366" s="135" t="s">
        <v>2876</v>
      </c>
      <c r="W1366" s="135" t="s">
        <v>3490</v>
      </c>
      <c r="X1366" s="135"/>
      <c r="Y1366" s="135"/>
      <c r="Z1366" s="135" t="s">
        <v>2858</v>
      </c>
      <c r="AA1366" s="135"/>
      <c r="AB1366" s="135"/>
      <c r="AC1366" s="135"/>
      <c r="AD1366" s="135">
        <v>46132.0</v>
      </c>
      <c r="AE1366" s="135"/>
      <c r="AF1366" s="135"/>
      <c r="AG1366" s="135"/>
    </row>
    <row r="1367" ht="21.75" hidden="1" customHeight="1">
      <c r="A1367" s="135">
        <v>1363.0</v>
      </c>
      <c r="B1367" s="135">
        <v>25045.0</v>
      </c>
      <c r="C1367" s="135" t="s">
        <v>2817</v>
      </c>
      <c r="D1367" s="135">
        <v>5.0</v>
      </c>
      <c r="E1367" s="135" t="s">
        <v>3503</v>
      </c>
      <c r="F1367" s="135" t="s">
        <v>2104</v>
      </c>
      <c r="G1367" s="135" t="s">
        <v>83</v>
      </c>
      <c r="H1367" s="135" t="s">
        <v>2853</v>
      </c>
      <c r="I1367" s="135" t="s">
        <v>95</v>
      </c>
      <c r="J1367" s="135">
        <v>1.0</v>
      </c>
      <c r="K1367" s="135"/>
      <c r="L1367" s="135">
        <v>2423.0</v>
      </c>
      <c r="M1367" s="135">
        <v>1350.0</v>
      </c>
      <c r="N1367" s="135">
        <v>120.0</v>
      </c>
      <c r="O1367" s="135">
        <v>0.451</v>
      </c>
      <c r="P1367" s="136">
        <v>0.0</v>
      </c>
      <c r="Q1367" s="137">
        <v>1.1275</v>
      </c>
      <c r="R1367" s="136">
        <v>46123.0</v>
      </c>
      <c r="S1367" s="135" t="s">
        <v>3719</v>
      </c>
      <c r="T1367" s="136"/>
      <c r="U1367" s="135" t="s">
        <v>2864</v>
      </c>
      <c r="V1367" s="135" t="s">
        <v>2856</v>
      </c>
      <c r="W1367" s="135" t="s">
        <v>3730</v>
      </c>
      <c r="X1367" s="135"/>
      <c r="Y1367" s="135"/>
      <c r="Z1367" s="135" t="s">
        <v>2858</v>
      </c>
      <c r="AA1367" s="135"/>
      <c r="AB1367" s="135"/>
      <c r="AC1367" s="135"/>
      <c r="AD1367" s="135">
        <v>46151.0</v>
      </c>
      <c r="AE1367" s="135"/>
      <c r="AF1367" s="135"/>
      <c r="AG1367" s="135"/>
    </row>
    <row r="1368" ht="21.75" hidden="1" customHeight="1">
      <c r="A1368" s="135">
        <v>1364.0</v>
      </c>
      <c r="B1368" s="135">
        <v>25045.0</v>
      </c>
      <c r="C1368" s="135" t="s">
        <v>2817</v>
      </c>
      <c r="D1368" s="135">
        <v>5.0</v>
      </c>
      <c r="E1368" s="135" t="s">
        <v>3503</v>
      </c>
      <c r="F1368" s="135" t="s">
        <v>2105</v>
      </c>
      <c r="G1368" s="135" t="s">
        <v>83</v>
      </c>
      <c r="H1368" s="135" t="s">
        <v>2853</v>
      </c>
      <c r="I1368" s="135" t="s">
        <v>95</v>
      </c>
      <c r="J1368" s="135">
        <v>1.0</v>
      </c>
      <c r="K1368" s="135"/>
      <c r="L1368" s="135">
        <v>4623.0</v>
      </c>
      <c r="M1368" s="135">
        <v>3200.0</v>
      </c>
      <c r="N1368" s="135">
        <v>120.0</v>
      </c>
      <c r="O1368" s="135">
        <v>1.798</v>
      </c>
      <c r="P1368" s="136">
        <v>0.0</v>
      </c>
      <c r="Q1368" s="137">
        <v>4.495</v>
      </c>
      <c r="R1368" s="136">
        <v>46123.0</v>
      </c>
      <c r="S1368" s="135" t="s">
        <v>3719</v>
      </c>
      <c r="T1368" s="136"/>
      <c r="U1368" s="135" t="s">
        <v>2855</v>
      </c>
      <c r="V1368" s="135" t="s">
        <v>2876</v>
      </c>
      <c r="W1368" s="135" t="s">
        <v>3731</v>
      </c>
      <c r="X1368" s="135" t="s">
        <v>3732</v>
      </c>
      <c r="Y1368" s="135"/>
      <c r="Z1368" s="135" t="s">
        <v>2858</v>
      </c>
      <c r="AA1368" s="135"/>
      <c r="AB1368" s="135"/>
      <c r="AC1368" s="135"/>
      <c r="AD1368" s="135" t="e">
        <v>#N/A</v>
      </c>
      <c r="AE1368" s="135"/>
      <c r="AF1368" s="135"/>
      <c r="AG1368" s="135"/>
    </row>
    <row r="1369" ht="21.75" hidden="1" customHeight="1">
      <c r="A1369" s="135">
        <v>1365.0</v>
      </c>
      <c r="B1369" s="135">
        <v>25045.0</v>
      </c>
      <c r="C1369" s="135"/>
      <c r="D1369" s="135">
        <v>2.0</v>
      </c>
      <c r="E1369" s="135" t="s">
        <v>3057</v>
      </c>
      <c r="F1369" s="135" t="s">
        <v>1242</v>
      </c>
      <c r="G1369" s="135" t="s">
        <v>18</v>
      </c>
      <c r="H1369" s="135" t="s">
        <v>2853</v>
      </c>
      <c r="I1369" s="135" t="s">
        <v>25</v>
      </c>
      <c r="J1369" s="135">
        <v>1.0</v>
      </c>
      <c r="K1369" s="135"/>
      <c r="L1369" s="135">
        <v>4300.0</v>
      </c>
      <c r="M1369" s="135">
        <v>2900.0</v>
      </c>
      <c r="N1369" s="135">
        <v>120.0</v>
      </c>
      <c r="O1369" s="135">
        <v>1.467</v>
      </c>
      <c r="P1369" s="136">
        <v>0.0</v>
      </c>
      <c r="Q1369" s="137">
        <v>3.6675000000000004</v>
      </c>
      <c r="R1369" s="136">
        <v>46125.0</v>
      </c>
      <c r="S1369" s="135" t="s">
        <v>3733</v>
      </c>
      <c r="T1369" s="136"/>
      <c r="U1369" s="135" t="s">
        <v>2864</v>
      </c>
      <c r="V1369" s="135" t="s">
        <v>2985</v>
      </c>
      <c r="W1369" s="135" t="s">
        <v>3734</v>
      </c>
      <c r="X1369" s="135" t="s">
        <v>2892</v>
      </c>
      <c r="Y1369" s="135"/>
      <c r="Z1369" s="135" t="s">
        <v>2858</v>
      </c>
      <c r="AA1369" s="135"/>
      <c r="AB1369" s="135"/>
      <c r="AC1369" s="135"/>
      <c r="AD1369" s="135">
        <v>46134.0</v>
      </c>
      <c r="AE1369" s="135"/>
      <c r="AF1369" s="135"/>
      <c r="AG1369" s="135"/>
    </row>
    <row r="1370" ht="21.75" hidden="1" customHeight="1">
      <c r="A1370" s="135">
        <v>1366.0</v>
      </c>
      <c r="B1370" s="135">
        <v>25045.0</v>
      </c>
      <c r="C1370" s="135"/>
      <c r="D1370" s="135">
        <v>2.0</v>
      </c>
      <c r="E1370" s="135" t="s">
        <v>3057</v>
      </c>
      <c r="F1370" s="135" t="s">
        <v>1243</v>
      </c>
      <c r="G1370" s="135" t="s">
        <v>18</v>
      </c>
      <c r="H1370" s="135" t="s">
        <v>2853</v>
      </c>
      <c r="I1370" s="135" t="s">
        <v>25</v>
      </c>
      <c r="J1370" s="135">
        <v>1.0</v>
      </c>
      <c r="K1370" s="135"/>
      <c r="L1370" s="135">
        <v>4405.0</v>
      </c>
      <c r="M1370" s="135">
        <v>2970.0</v>
      </c>
      <c r="N1370" s="135">
        <v>120.0</v>
      </c>
      <c r="O1370" s="135">
        <v>1.467</v>
      </c>
      <c r="P1370" s="136">
        <v>0.0</v>
      </c>
      <c r="Q1370" s="137">
        <v>3.6675000000000004</v>
      </c>
      <c r="R1370" s="136">
        <v>46125.0</v>
      </c>
      <c r="S1370" s="135" t="s">
        <v>3733</v>
      </c>
      <c r="T1370" s="136"/>
      <c r="U1370" s="135" t="s">
        <v>2864</v>
      </c>
      <c r="V1370" s="135" t="s">
        <v>2985</v>
      </c>
      <c r="W1370" s="135" t="s">
        <v>3735</v>
      </c>
      <c r="X1370" s="135" t="s">
        <v>2895</v>
      </c>
      <c r="Y1370" s="135"/>
      <c r="Z1370" s="135" t="s">
        <v>2858</v>
      </c>
      <c r="AA1370" s="135"/>
      <c r="AB1370" s="135"/>
      <c r="AC1370" s="135"/>
      <c r="AD1370" s="135">
        <v>46130.0</v>
      </c>
      <c r="AE1370" s="135"/>
      <c r="AF1370" s="135"/>
      <c r="AG1370" s="135"/>
    </row>
    <row r="1371" ht="21.75" hidden="1" customHeight="1">
      <c r="A1371" s="135">
        <v>1367.0</v>
      </c>
      <c r="B1371" s="135">
        <v>25045.0</v>
      </c>
      <c r="C1371" s="135"/>
      <c r="D1371" s="135">
        <v>2.0</v>
      </c>
      <c r="E1371" s="135" t="s">
        <v>3076</v>
      </c>
      <c r="F1371" s="135" t="s">
        <v>1251</v>
      </c>
      <c r="G1371" s="135" t="s">
        <v>18</v>
      </c>
      <c r="H1371" s="135" t="s">
        <v>2853</v>
      </c>
      <c r="I1371" s="135" t="s">
        <v>26</v>
      </c>
      <c r="J1371" s="135">
        <v>1.0</v>
      </c>
      <c r="K1371" s="135"/>
      <c r="L1371" s="135">
        <v>2320.0</v>
      </c>
      <c r="M1371" s="135">
        <v>3300.0</v>
      </c>
      <c r="N1371" s="135">
        <v>120.0</v>
      </c>
      <c r="O1371" s="135">
        <v>1.12</v>
      </c>
      <c r="P1371" s="136">
        <v>0.0</v>
      </c>
      <c r="Q1371" s="137">
        <v>2.8000000000000003</v>
      </c>
      <c r="R1371" s="136">
        <v>46125.0</v>
      </c>
      <c r="S1371" s="135" t="s">
        <v>3733</v>
      </c>
      <c r="T1371" s="136"/>
      <c r="U1371" s="135" t="s">
        <v>2864</v>
      </c>
      <c r="V1371" s="135" t="s">
        <v>3014</v>
      </c>
      <c r="W1371" s="135" t="s">
        <v>3736</v>
      </c>
      <c r="X1371" s="135"/>
      <c r="Y1371" s="135"/>
      <c r="Z1371" s="135" t="s">
        <v>2858</v>
      </c>
      <c r="AA1371" s="135"/>
      <c r="AB1371" s="135"/>
      <c r="AC1371" s="135"/>
      <c r="AD1371" s="135">
        <v>46128.0</v>
      </c>
      <c r="AE1371" s="135"/>
      <c r="AF1371" s="135"/>
      <c r="AG1371" s="135"/>
    </row>
    <row r="1372" ht="21.75" hidden="1" customHeight="1">
      <c r="A1372" s="135">
        <v>1368.0</v>
      </c>
      <c r="B1372" s="135">
        <v>25045.0</v>
      </c>
      <c r="C1372" s="135"/>
      <c r="D1372" s="135">
        <v>2.0</v>
      </c>
      <c r="E1372" s="135" t="s">
        <v>3076</v>
      </c>
      <c r="F1372" s="135" t="s">
        <v>1252</v>
      </c>
      <c r="G1372" s="135" t="s">
        <v>18</v>
      </c>
      <c r="H1372" s="135" t="s">
        <v>2853</v>
      </c>
      <c r="I1372" s="135" t="s">
        <v>26</v>
      </c>
      <c r="J1372" s="135">
        <v>1.0</v>
      </c>
      <c r="K1372" s="135"/>
      <c r="L1372" s="135">
        <v>3090.0</v>
      </c>
      <c r="M1372" s="135">
        <v>3400.0</v>
      </c>
      <c r="N1372" s="135">
        <v>120.0</v>
      </c>
      <c r="O1372" s="135">
        <v>1.262</v>
      </c>
      <c r="P1372" s="136">
        <v>0.0</v>
      </c>
      <c r="Q1372" s="137">
        <v>3.1550000000000002</v>
      </c>
      <c r="R1372" s="136">
        <v>46125.0</v>
      </c>
      <c r="S1372" s="135" t="s">
        <v>3733</v>
      </c>
      <c r="T1372" s="136"/>
      <c r="U1372" s="135" t="s">
        <v>2864</v>
      </c>
      <c r="V1372" s="135" t="s">
        <v>3014</v>
      </c>
      <c r="W1372" s="135" t="s">
        <v>3737</v>
      </c>
      <c r="X1372" s="135" t="s">
        <v>2935</v>
      </c>
      <c r="Y1372" s="135"/>
      <c r="Z1372" s="135" t="s">
        <v>2858</v>
      </c>
      <c r="AA1372" s="135"/>
      <c r="AB1372" s="135"/>
      <c r="AC1372" s="135"/>
      <c r="AD1372" s="135">
        <v>46134.0</v>
      </c>
      <c r="AE1372" s="135"/>
      <c r="AF1372" s="135"/>
      <c r="AG1372" s="135"/>
    </row>
    <row r="1373" ht="21.75" hidden="1" customHeight="1">
      <c r="A1373" s="135">
        <v>1369.0</v>
      </c>
      <c r="B1373" s="135">
        <v>25045.0</v>
      </c>
      <c r="C1373" s="135"/>
      <c r="D1373" s="135">
        <v>2.0</v>
      </c>
      <c r="E1373" s="135" t="s">
        <v>3076</v>
      </c>
      <c r="F1373" s="135" t="s">
        <v>1253</v>
      </c>
      <c r="G1373" s="135" t="s">
        <v>18</v>
      </c>
      <c r="H1373" s="135" t="s">
        <v>2853</v>
      </c>
      <c r="I1373" s="135" t="s">
        <v>26</v>
      </c>
      <c r="J1373" s="135">
        <v>1.0</v>
      </c>
      <c r="K1373" s="135"/>
      <c r="L1373" s="135">
        <v>3420.0</v>
      </c>
      <c r="M1373" s="135">
        <v>3400.0</v>
      </c>
      <c r="N1373" s="135">
        <v>120.0</v>
      </c>
      <c r="O1373" s="135">
        <v>1.387</v>
      </c>
      <c r="P1373" s="136">
        <v>0.0</v>
      </c>
      <c r="Q1373" s="137">
        <v>3.4675000000000002</v>
      </c>
      <c r="R1373" s="136">
        <v>46125.0</v>
      </c>
      <c r="S1373" s="135" t="s">
        <v>3733</v>
      </c>
      <c r="T1373" s="136"/>
      <c r="U1373" s="135" t="s">
        <v>2864</v>
      </c>
      <c r="V1373" s="135" t="s">
        <v>2878</v>
      </c>
      <c r="W1373" s="135" t="s">
        <v>3738</v>
      </c>
      <c r="X1373" s="135" t="s">
        <v>2933</v>
      </c>
      <c r="Y1373" s="135"/>
      <c r="Z1373" s="135" t="s">
        <v>2858</v>
      </c>
      <c r="AA1373" s="135"/>
      <c r="AB1373" s="135"/>
      <c r="AC1373" s="135"/>
      <c r="AD1373" s="135">
        <v>46129.0</v>
      </c>
      <c r="AE1373" s="135"/>
      <c r="AF1373" s="135"/>
      <c r="AG1373" s="135"/>
    </row>
    <row r="1374" ht="21.75" hidden="1" customHeight="1">
      <c r="A1374" s="135">
        <v>1370.0</v>
      </c>
      <c r="B1374" s="135">
        <v>25045.0</v>
      </c>
      <c r="C1374" s="135" t="s">
        <v>2817</v>
      </c>
      <c r="D1374" s="135">
        <v>2.0</v>
      </c>
      <c r="E1374" s="135" t="s">
        <v>3076</v>
      </c>
      <c r="F1374" s="135" t="s">
        <v>1254</v>
      </c>
      <c r="G1374" s="135" t="s">
        <v>18</v>
      </c>
      <c r="H1374" s="135" t="s">
        <v>2853</v>
      </c>
      <c r="I1374" s="135" t="s">
        <v>26</v>
      </c>
      <c r="J1374" s="135">
        <v>1.0</v>
      </c>
      <c r="K1374" s="135"/>
      <c r="L1374" s="135">
        <v>2995.0</v>
      </c>
      <c r="M1374" s="135">
        <v>3700.0</v>
      </c>
      <c r="N1374" s="135">
        <v>120.0</v>
      </c>
      <c r="O1374" s="135">
        <v>1.591</v>
      </c>
      <c r="P1374" s="136">
        <v>0.0</v>
      </c>
      <c r="Q1374" s="137">
        <v>3.9775</v>
      </c>
      <c r="R1374" s="136">
        <v>46125.0</v>
      </c>
      <c r="S1374" s="135" t="s">
        <v>3733</v>
      </c>
      <c r="T1374" s="136"/>
      <c r="U1374" s="135" t="s">
        <v>2864</v>
      </c>
      <c r="V1374" s="135" t="s">
        <v>3041</v>
      </c>
      <c r="W1374" s="135" t="s">
        <v>3739</v>
      </c>
      <c r="X1374" s="135"/>
      <c r="Y1374" s="135"/>
      <c r="Z1374" s="135" t="s">
        <v>2858</v>
      </c>
      <c r="AA1374" s="135"/>
      <c r="AB1374" s="135"/>
      <c r="AC1374" s="135"/>
      <c r="AD1374" s="135">
        <v>46137.0</v>
      </c>
      <c r="AE1374" s="135"/>
      <c r="AF1374" s="135"/>
      <c r="AG1374" s="135"/>
    </row>
    <row r="1375" ht="21.75" hidden="1" customHeight="1">
      <c r="A1375" s="135">
        <v>1371.0</v>
      </c>
      <c r="B1375" s="135">
        <v>25045.0</v>
      </c>
      <c r="C1375" s="135" t="s">
        <v>2817</v>
      </c>
      <c r="D1375" s="135">
        <v>2.0</v>
      </c>
      <c r="E1375" s="135" t="s">
        <v>3076</v>
      </c>
      <c r="F1375" s="135" t="s">
        <v>1255</v>
      </c>
      <c r="G1375" s="135" t="s">
        <v>18</v>
      </c>
      <c r="H1375" s="135" t="s">
        <v>2853</v>
      </c>
      <c r="I1375" s="135" t="s">
        <v>26</v>
      </c>
      <c r="J1375" s="135">
        <v>1.0</v>
      </c>
      <c r="K1375" s="135"/>
      <c r="L1375" s="135">
        <v>4460.0</v>
      </c>
      <c r="M1375" s="135">
        <v>3000.0</v>
      </c>
      <c r="N1375" s="135">
        <v>120.0</v>
      </c>
      <c r="O1375" s="135">
        <v>1.47</v>
      </c>
      <c r="P1375" s="136">
        <v>0.0</v>
      </c>
      <c r="Q1375" s="137">
        <v>3.675</v>
      </c>
      <c r="R1375" s="136">
        <v>46125.0</v>
      </c>
      <c r="S1375" s="135" t="s">
        <v>3733</v>
      </c>
      <c r="T1375" s="136"/>
      <c r="U1375" s="135" t="s">
        <v>2864</v>
      </c>
      <c r="V1375" s="135" t="s">
        <v>2865</v>
      </c>
      <c r="W1375" s="135" t="s">
        <v>3740</v>
      </c>
      <c r="X1375" s="135" t="s">
        <v>2963</v>
      </c>
      <c r="Y1375" s="135"/>
      <c r="Z1375" s="135" t="s">
        <v>2858</v>
      </c>
      <c r="AA1375" s="135"/>
      <c r="AB1375" s="135"/>
      <c r="AC1375" s="135"/>
      <c r="AD1375" s="135">
        <v>46136.0</v>
      </c>
      <c r="AE1375" s="135"/>
      <c r="AF1375" s="135"/>
      <c r="AG1375" s="135"/>
    </row>
    <row r="1376" ht="21.75" hidden="1" customHeight="1">
      <c r="A1376" s="135">
        <v>1372.0</v>
      </c>
      <c r="B1376" s="135">
        <v>25045.0</v>
      </c>
      <c r="C1376" s="135" t="s">
        <v>2817</v>
      </c>
      <c r="D1376" s="135">
        <v>2.0</v>
      </c>
      <c r="E1376" s="135" t="s">
        <v>3076</v>
      </c>
      <c r="F1376" s="135" t="s">
        <v>1256</v>
      </c>
      <c r="G1376" s="135" t="s">
        <v>18</v>
      </c>
      <c r="H1376" s="135" t="s">
        <v>2853</v>
      </c>
      <c r="I1376" s="135" t="s">
        <v>26</v>
      </c>
      <c r="J1376" s="135">
        <v>1.0</v>
      </c>
      <c r="K1376" s="135"/>
      <c r="L1376" s="135">
        <v>3590.0</v>
      </c>
      <c r="M1376" s="135">
        <v>3200.0</v>
      </c>
      <c r="N1376" s="135">
        <v>120.0</v>
      </c>
      <c r="O1376" s="135">
        <v>1.42</v>
      </c>
      <c r="P1376" s="136">
        <v>0.0</v>
      </c>
      <c r="Q1376" s="137">
        <v>3.55</v>
      </c>
      <c r="R1376" s="136">
        <v>46125.0</v>
      </c>
      <c r="S1376" s="135" t="s">
        <v>3733</v>
      </c>
      <c r="T1376" s="136"/>
      <c r="U1376" s="135" t="s">
        <v>2864</v>
      </c>
      <c r="V1376" s="135" t="s">
        <v>2865</v>
      </c>
      <c r="W1376" s="135" t="s">
        <v>3741</v>
      </c>
      <c r="X1376" s="135" t="s">
        <v>3742</v>
      </c>
      <c r="Y1376" s="135"/>
      <c r="Z1376" s="135" t="s">
        <v>2858</v>
      </c>
      <c r="AA1376" s="135"/>
      <c r="AB1376" s="135"/>
      <c r="AC1376" s="135"/>
      <c r="AD1376" s="135">
        <v>46137.0</v>
      </c>
      <c r="AE1376" s="135"/>
      <c r="AF1376" s="135"/>
      <c r="AG1376" s="135"/>
    </row>
    <row r="1377" ht="21.75" hidden="1" customHeight="1">
      <c r="A1377" s="135">
        <v>1373.0</v>
      </c>
      <c r="B1377" s="135">
        <v>25045.0</v>
      </c>
      <c r="C1377" s="135"/>
      <c r="D1377" s="135">
        <v>2.0</v>
      </c>
      <c r="E1377" s="135" t="s">
        <v>3076</v>
      </c>
      <c r="F1377" s="135" t="s">
        <v>1257</v>
      </c>
      <c r="G1377" s="135" t="s">
        <v>18</v>
      </c>
      <c r="H1377" s="135" t="s">
        <v>2853</v>
      </c>
      <c r="I1377" s="135" t="s">
        <v>26</v>
      </c>
      <c r="J1377" s="135">
        <v>1.0</v>
      </c>
      <c r="K1377" s="135"/>
      <c r="L1377" s="135">
        <v>3590.0</v>
      </c>
      <c r="M1377" s="135">
        <v>3600.0</v>
      </c>
      <c r="N1377" s="135">
        <v>120.0</v>
      </c>
      <c r="O1377" s="135">
        <v>1.794</v>
      </c>
      <c r="P1377" s="136">
        <v>0.0</v>
      </c>
      <c r="Q1377" s="137">
        <v>4.485</v>
      </c>
      <c r="R1377" s="136">
        <v>46125.0</v>
      </c>
      <c r="S1377" s="135" t="s">
        <v>3733</v>
      </c>
      <c r="T1377" s="136"/>
      <c r="U1377" s="135" t="s">
        <v>2917</v>
      </c>
      <c r="V1377" s="135" t="s">
        <v>3264</v>
      </c>
      <c r="W1377" s="135" t="s">
        <v>3743</v>
      </c>
      <c r="X1377" s="135" t="s">
        <v>3742</v>
      </c>
      <c r="Y1377" s="135"/>
      <c r="Z1377" s="135" t="s">
        <v>2858</v>
      </c>
      <c r="AA1377" s="135"/>
      <c r="AB1377" s="135"/>
      <c r="AC1377" s="135"/>
      <c r="AD1377" s="135">
        <v>46135.0</v>
      </c>
      <c r="AE1377" s="135"/>
      <c r="AF1377" s="135"/>
      <c r="AG1377" s="135"/>
    </row>
    <row r="1378" ht="21.75" hidden="1" customHeight="1">
      <c r="A1378" s="135">
        <v>1374.0</v>
      </c>
      <c r="B1378" s="135">
        <v>25045.0</v>
      </c>
      <c r="C1378" s="135"/>
      <c r="D1378" s="135">
        <v>2.0</v>
      </c>
      <c r="E1378" s="135" t="s">
        <v>3076</v>
      </c>
      <c r="F1378" s="135" t="s">
        <v>1258</v>
      </c>
      <c r="G1378" s="135" t="s">
        <v>18</v>
      </c>
      <c r="H1378" s="135" t="s">
        <v>2853</v>
      </c>
      <c r="I1378" s="135" t="s">
        <v>26</v>
      </c>
      <c r="J1378" s="135">
        <v>1.0</v>
      </c>
      <c r="K1378" s="135"/>
      <c r="L1378" s="135">
        <v>4460.0</v>
      </c>
      <c r="M1378" s="135">
        <v>3700.0</v>
      </c>
      <c r="N1378" s="135">
        <v>120.0</v>
      </c>
      <c r="O1378" s="135">
        <v>1.84</v>
      </c>
      <c r="P1378" s="136">
        <v>0.0</v>
      </c>
      <c r="Q1378" s="137">
        <v>4.6000000000000005</v>
      </c>
      <c r="R1378" s="136">
        <v>46125.0</v>
      </c>
      <c r="S1378" s="135" t="s">
        <v>3733</v>
      </c>
      <c r="T1378" s="136"/>
      <c r="U1378" s="135" t="s">
        <v>2917</v>
      </c>
      <c r="V1378" s="135" t="s">
        <v>3264</v>
      </c>
      <c r="W1378" s="135" t="s">
        <v>3263</v>
      </c>
      <c r="X1378" s="135" t="s">
        <v>2895</v>
      </c>
      <c r="Y1378" s="135"/>
      <c r="Z1378" s="135" t="s">
        <v>2858</v>
      </c>
      <c r="AA1378" s="135"/>
      <c r="AB1378" s="135"/>
      <c r="AC1378" s="135"/>
      <c r="AD1378" s="135">
        <v>46132.0</v>
      </c>
      <c r="AE1378" s="135"/>
      <c r="AF1378" s="135"/>
      <c r="AG1378" s="135"/>
    </row>
    <row r="1379" ht="21.75" hidden="1" customHeight="1">
      <c r="A1379" s="135">
        <v>1375.0</v>
      </c>
      <c r="B1379" s="135">
        <v>25045.0</v>
      </c>
      <c r="C1379" s="135" t="s">
        <v>2817</v>
      </c>
      <c r="D1379" s="135">
        <v>2.0</v>
      </c>
      <c r="E1379" s="135" t="s">
        <v>3076</v>
      </c>
      <c r="F1379" s="135" t="s">
        <v>1259</v>
      </c>
      <c r="G1379" s="135" t="s">
        <v>18</v>
      </c>
      <c r="H1379" s="135" t="s">
        <v>2853</v>
      </c>
      <c r="I1379" s="135" t="s">
        <v>26</v>
      </c>
      <c r="J1379" s="135">
        <v>1.0</v>
      </c>
      <c r="K1379" s="135"/>
      <c r="L1379" s="135">
        <v>4920.0</v>
      </c>
      <c r="M1379" s="135">
        <v>3700.0</v>
      </c>
      <c r="N1379" s="135">
        <v>120.0</v>
      </c>
      <c r="O1379" s="135">
        <v>2.305</v>
      </c>
      <c r="P1379" s="136">
        <v>0.0</v>
      </c>
      <c r="Q1379" s="137">
        <v>5.7625</v>
      </c>
      <c r="R1379" s="136">
        <v>46125.0</v>
      </c>
      <c r="S1379" s="135" t="s">
        <v>3733</v>
      </c>
      <c r="T1379" s="136"/>
      <c r="U1379" s="135" t="s">
        <v>2855</v>
      </c>
      <c r="V1379" s="135" t="s">
        <v>2876</v>
      </c>
      <c r="W1379" s="135" t="s">
        <v>3744</v>
      </c>
      <c r="X1379" s="135" t="s">
        <v>3745</v>
      </c>
      <c r="Y1379" s="135"/>
      <c r="Z1379" s="135" t="s">
        <v>2858</v>
      </c>
      <c r="AA1379" s="135"/>
      <c r="AB1379" s="135"/>
      <c r="AC1379" s="135"/>
      <c r="AD1379" s="135">
        <v>46136.0</v>
      </c>
      <c r="AE1379" s="135"/>
      <c r="AF1379" s="135"/>
      <c r="AG1379" s="135"/>
    </row>
    <row r="1380" ht="21.75" hidden="1" customHeight="1">
      <c r="A1380" s="135">
        <v>1376.0</v>
      </c>
      <c r="B1380" s="135">
        <v>25045.0</v>
      </c>
      <c r="C1380" s="135"/>
      <c r="D1380" s="135">
        <v>2.0</v>
      </c>
      <c r="E1380" s="135" t="s">
        <v>3076</v>
      </c>
      <c r="F1380" s="135" t="s">
        <v>1260</v>
      </c>
      <c r="G1380" s="135" t="s">
        <v>18</v>
      </c>
      <c r="H1380" s="135" t="s">
        <v>2853</v>
      </c>
      <c r="I1380" s="135" t="s">
        <v>26</v>
      </c>
      <c r="J1380" s="135">
        <v>1.0</v>
      </c>
      <c r="K1380" s="135"/>
      <c r="L1380" s="135">
        <v>4920.0</v>
      </c>
      <c r="M1380" s="135">
        <v>3600.0</v>
      </c>
      <c r="N1380" s="135">
        <v>120.0</v>
      </c>
      <c r="O1380" s="135">
        <v>2.442</v>
      </c>
      <c r="P1380" s="136">
        <v>0.0</v>
      </c>
      <c r="Q1380" s="137">
        <v>6.105</v>
      </c>
      <c r="R1380" s="136">
        <v>46125.0</v>
      </c>
      <c r="S1380" s="135" t="s">
        <v>3733</v>
      </c>
      <c r="T1380" s="136"/>
      <c r="U1380" s="135" t="s">
        <v>2855</v>
      </c>
      <c r="V1380" s="135" t="s">
        <v>3266</v>
      </c>
      <c r="W1380" s="135" t="s">
        <v>3746</v>
      </c>
      <c r="X1380" s="135" t="s">
        <v>3745</v>
      </c>
      <c r="Y1380" s="135"/>
      <c r="Z1380" s="135" t="s">
        <v>2858</v>
      </c>
      <c r="AA1380" s="135"/>
      <c r="AB1380" s="135"/>
      <c r="AC1380" s="135"/>
      <c r="AD1380" s="135">
        <v>46130.0</v>
      </c>
      <c r="AE1380" s="135"/>
      <c r="AF1380" s="135"/>
      <c r="AG1380" s="135"/>
    </row>
    <row r="1381" ht="21.75" hidden="1" customHeight="1">
      <c r="A1381" s="135">
        <v>1377.0</v>
      </c>
      <c r="B1381" s="135">
        <v>25045.0</v>
      </c>
      <c r="C1381" s="135"/>
      <c r="D1381" s="135">
        <v>2.0</v>
      </c>
      <c r="E1381" s="135" t="s">
        <v>3079</v>
      </c>
      <c r="F1381" s="135" t="s">
        <v>1268</v>
      </c>
      <c r="G1381" s="135" t="s">
        <v>18</v>
      </c>
      <c r="H1381" s="135" t="s">
        <v>2853</v>
      </c>
      <c r="I1381" s="135" t="s">
        <v>28</v>
      </c>
      <c r="J1381" s="135">
        <v>1.0</v>
      </c>
      <c r="K1381" s="135"/>
      <c r="L1381" s="135">
        <v>2320.0</v>
      </c>
      <c r="M1381" s="135">
        <v>3300.0</v>
      </c>
      <c r="N1381" s="135">
        <v>120.0</v>
      </c>
      <c r="O1381" s="135">
        <v>1.12</v>
      </c>
      <c r="P1381" s="136">
        <v>0.0</v>
      </c>
      <c r="Q1381" s="137">
        <v>2.8000000000000003</v>
      </c>
      <c r="R1381" s="136">
        <v>46125.0</v>
      </c>
      <c r="S1381" s="135" t="s">
        <v>3733</v>
      </c>
      <c r="T1381" s="136"/>
      <c r="U1381" s="135" t="s">
        <v>2864</v>
      </c>
      <c r="V1381" s="135" t="s">
        <v>3014</v>
      </c>
      <c r="W1381" s="135" t="s">
        <v>3747</v>
      </c>
      <c r="X1381" s="135"/>
      <c r="Y1381" s="135"/>
      <c r="Z1381" s="135" t="s">
        <v>2858</v>
      </c>
      <c r="AA1381" s="135"/>
      <c r="AB1381" s="135"/>
      <c r="AC1381" s="135"/>
      <c r="AD1381" s="135">
        <v>46129.0</v>
      </c>
      <c r="AE1381" s="135"/>
      <c r="AF1381" s="135"/>
      <c r="AG1381" s="135"/>
    </row>
    <row r="1382" ht="21.75" hidden="1" customHeight="1">
      <c r="A1382" s="135">
        <v>1378.0</v>
      </c>
      <c r="B1382" s="135">
        <v>25045.0</v>
      </c>
      <c r="C1382" s="135"/>
      <c r="D1382" s="135">
        <v>2.0</v>
      </c>
      <c r="E1382" s="135" t="s">
        <v>3079</v>
      </c>
      <c r="F1382" s="135" t="s">
        <v>1269</v>
      </c>
      <c r="G1382" s="135" t="s">
        <v>18</v>
      </c>
      <c r="H1382" s="135" t="s">
        <v>2853</v>
      </c>
      <c r="I1382" s="135" t="s">
        <v>28</v>
      </c>
      <c r="J1382" s="135">
        <v>1.0</v>
      </c>
      <c r="K1382" s="135"/>
      <c r="L1382" s="135">
        <v>3090.0</v>
      </c>
      <c r="M1382" s="135">
        <v>3400.0</v>
      </c>
      <c r="N1382" s="135">
        <v>120.0</v>
      </c>
      <c r="O1382" s="135">
        <v>1.26</v>
      </c>
      <c r="P1382" s="136">
        <v>0.0</v>
      </c>
      <c r="Q1382" s="137">
        <v>3.15</v>
      </c>
      <c r="R1382" s="136">
        <v>46125.0</v>
      </c>
      <c r="S1382" s="135" t="s">
        <v>3733</v>
      </c>
      <c r="T1382" s="136"/>
      <c r="U1382" s="135" t="s">
        <v>2864</v>
      </c>
      <c r="V1382" s="135" t="s">
        <v>3014</v>
      </c>
      <c r="W1382" s="135" t="s">
        <v>3748</v>
      </c>
      <c r="X1382" s="135" t="s">
        <v>3537</v>
      </c>
      <c r="Y1382" s="135"/>
      <c r="Z1382" s="135" t="s">
        <v>2858</v>
      </c>
      <c r="AA1382" s="135"/>
      <c r="AB1382" s="135"/>
      <c r="AC1382" s="135"/>
      <c r="AD1382" s="135">
        <v>46135.0</v>
      </c>
      <c r="AE1382" s="135"/>
      <c r="AF1382" s="135"/>
      <c r="AG1382" s="135"/>
    </row>
    <row r="1383" ht="21.75" hidden="1" customHeight="1">
      <c r="A1383" s="135">
        <v>1379.0</v>
      </c>
      <c r="B1383" s="135">
        <v>25045.0</v>
      </c>
      <c r="C1383" s="135"/>
      <c r="D1383" s="135">
        <v>2.0</v>
      </c>
      <c r="E1383" s="135" t="s">
        <v>3079</v>
      </c>
      <c r="F1383" s="135" t="s">
        <v>1270</v>
      </c>
      <c r="G1383" s="135" t="s">
        <v>18</v>
      </c>
      <c r="H1383" s="135" t="s">
        <v>2853</v>
      </c>
      <c r="I1383" s="135" t="s">
        <v>28</v>
      </c>
      <c r="J1383" s="135">
        <v>1.0</v>
      </c>
      <c r="K1383" s="135"/>
      <c r="L1383" s="135">
        <v>3420.0</v>
      </c>
      <c r="M1383" s="135">
        <v>3400.0</v>
      </c>
      <c r="N1383" s="135">
        <v>120.0</v>
      </c>
      <c r="O1383" s="135">
        <v>1.405</v>
      </c>
      <c r="P1383" s="136">
        <v>0.0</v>
      </c>
      <c r="Q1383" s="137">
        <v>3.5125</v>
      </c>
      <c r="R1383" s="136">
        <v>46125.0</v>
      </c>
      <c r="S1383" s="135" t="s">
        <v>3733</v>
      </c>
      <c r="T1383" s="136"/>
      <c r="U1383" s="135" t="s">
        <v>2864</v>
      </c>
      <c r="V1383" s="135" t="s">
        <v>3014</v>
      </c>
      <c r="W1383" s="135" t="s">
        <v>3749</v>
      </c>
      <c r="X1383" s="135" t="s">
        <v>3536</v>
      </c>
      <c r="Y1383" s="135"/>
      <c r="Z1383" s="135" t="s">
        <v>2858</v>
      </c>
      <c r="AA1383" s="135"/>
      <c r="AB1383" s="135"/>
      <c r="AC1383" s="135"/>
      <c r="AD1383" s="135">
        <v>46133.0</v>
      </c>
      <c r="AE1383" s="135"/>
      <c r="AF1383" s="135"/>
      <c r="AG1383" s="135"/>
    </row>
    <row r="1384" ht="21.75" hidden="1" customHeight="1">
      <c r="A1384" s="135">
        <v>1380.0</v>
      </c>
      <c r="B1384" s="135">
        <v>25045.0</v>
      </c>
      <c r="C1384" s="135" t="s">
        <v>2817</v>
      </c>
      <c r="D1384" s="135">
        <v>2.0</v>
      </c>
      <c r="E1384" s="135" t="s">
        <v>3079</v>
      </c>
      <c r="F1384" s="135" t="s">
        <v>1271</v>
      </c>
      <c r="G1384" s="135" t="s">
        <v>18</v>
      </c>
      <c r="H1384" s="135" t="s">
        <v>2853</v>
      </c>
      <c r="I1384" s="135" t="s">
        <v>28</v>
      </c>
      <c r="J1384" s="135">
        <v>1.0</v>
      </c>
      <c r="K1384" s="135"/>
      <c r="L1384" s="135">
        <v>3420.0</v>
      </c>
      <c r="M1384" s="135">
        <v>3400.0</v>
      </c>
      <c r="N1384" s="135">
        <v>120.0</v>
      </c>
      <c r="O1384" s="135">
        <v>1.405</v>
      </c>
      <c r="P1384" s="136">
        <v>0.0</v>
      </c>
      <c r="Q1384" s="137">
        <v>3.5125</v>
      </c>
      <c r="R1384" s="136">
        <v>46125.0</v>
      </c>
      <c r="S1384" s="135" t="s">
        <v>3733</v>
      </c>
      <c r="T1384" s="136"/>
      <c r="U1384" s="135" t="s">
        <v>2864</v>
      </c>
      <c r="V1384" s="135" t="s">
        <v>3014</v>
      </c>
      <c r="W1384" s="135" t="s">
        <v>3749</v>
      </c>
      <c r="X1384" s="135" t="s">
        <v>3536</v>
      </c>
      <c r="Y1384" s="135"/>
      <c r="Z1384" s="135" t="s">
        <v>2858</v>
      </c>
      <c r="AA1384" s="135"/>
      <c r="AB1384" s="135"/>
      <c r="AC1384" s="135"/>
      <c r="AD1384" s="135" t="e">
        <v>#N/A</v>
      </c>
      <c r="AE1384" s="135"/>
      <c r="AF1384" s="135"/>
      <c r="AG1384" s="135"/>
    </row>
    <row r="1385" ht="21.75" hidden="1" customHeight="1">
      <c r="A1385" s="135">
        <v>1381.0</v>
      </c>
      <c r="B1385" s="135">
        <v>25045.0</v>
      </c>
      <c r="C1385" s="135"/>
      <c r="D1385" s="135">
        <v>2.0</v>
      </c>
      <c r="E1385" s="135" t="s">
        <v>3079</v>
      </c>
      <c r="F1385" s="135" t="s">
        <v>1272</v>
      </c>
      <c r="G1385" s="135" t="s">
        <v>18</v>
      </c>
      <c r="H1385" s="135" t="s">
        <v>2853</v>
      </c>
      <c r="I1385" s="135" t="s">
        <v>28</v>
      </c>
      <c r="J1385" s="135">
        <v>1.0</v>
      </c>
      <c r="K1385" s="135"/>
      <c r="L1385" s="135">
        <v>3590.0</v>
      </c>
      <c r="M1385" s="135">
        <v>3600.0</v>
      </c>
      <c r="N1385" s="135">
        <v>120.0</v>
      </c>
      <c r="O1385" s="135">
        <v>1.794</v>
      </c>
      <c r="P1385" s="136">
        <v>0.0</v>
      </c>
      <c r="Q1385" s="137">
        <v>4.485</v>
      </c>
      <c r="R1385" s="136">
        <v>46125.0</v>
      </c>
      <c r="S1385" s="135" t="s">
        <v>3733</v>
      </c>
      <c r="T1385" s="136"/>
      <c r="U1385" s="135" t="s">
        <v>2864</v>
      </c>
      <c r="V1385" s="135" t="s">
        <v>3264</v>
      </c>
      <c r="W1385" s="135" t="s">
        <v>3750</v>
      </c>
      <c r="X1385" s="135" t="s">
        <v>3537</v>
      </c>
      <c r="Y1385" s="135"/>
      <c r="Z1385" s="135" t="s">
        <v>2858</v>
      </c>
      <c r="AA1385" s="135"/>
      <c r="AB1385" s="135"/>
      <c r="AC1385" s="135"/>
      <c r="AD1385" s="135">
        <v>46134.0</v>
      </c>
      <c r="AE1385" s="135"/>
      <c r="AF1385" s="135"/>
      <c r="AG1385" s="135"/>
    </row>
    <row r="1386" ht="21.75" hidden="1" customHeight="1">
      <c r="A1386" s="135">
        <v>1382.0</v>
      </c>
      <c r="B1386" s="135">
        <v>25045.0</v>
      </c>
      <c r="C1386" s="135"/>
      <c r="D1386" s="135">
        <v>2.0</v>
      </c>
      <c r="E1386" s="135" t="s">
        <v>3079</v>
      </c>
      <c r="F1386" s="135" t="s">
        <v>1273</v>
      </c>
      <c r="G1386" s="135" t="s">
        <v>18</v>
      </c>
      <c r="H1386" s="135" t="s">
        <v>2853</v>
      </c>
      <c r="I1386" s="135" t="s">
        <v>28</v>
      </c>
      <c r="J1386" s="135">
        <v>1.0</v>
      </c>
      <c r="K1386" s="135"/>
      <c r="L1386" s="135">
        <v>4460.0</v>
      </c>
      <c r="M1386" s="135">
        <v>3700.0</v>
      </c>
      <c r="N1386" s="135">
        <v>120.0</v>
      </c>
      <c r="O1386" s="135">
        <v>1.84</v>
      </c>
      <c r="P1386" s="136">
        <v>0.0</v>
      </c>
      <c r="Q1386" s="137">
        <v>4.6000000000000005</v>
      </c>
      <c r="R1386" s="136">
        <v>46125.0</v>
      </c>
      <c r="S1386" s="135" t="s">
        <v>3733</v>
      </c>
      <c r="T1386" s="136"/>
      <c r="U1386" s="135" t="s">
        <v>2864</v>
      </c>
      <c r="V1386" s="135" t="s">
        <v>3264</v>
      </c>
      <c r="W1386" s="135" t="s">
        <v>3751</v>
      </c>
      <c r="X1386" s="135" t="s">
        <v>2892</v>
      </c>
      <c r="Y1386" s="135"/>
      <c r="Z1386" s="135" t="s">
        <v>2858</v>
      </c>
      <c r="AA1386" s="135"/>
      <c r="AB1386" s="135"/>
      <c r="AC1386" s="135"/>
      <c r="AD1386" s="135">
        <v>46133.0</v>
      </c>
      <c r="AE1386" s="135"/>
      <c r="AF1386" s="135"/>
      <c r="AG1386" s="135"/>
    </row>
    <row r="1387" ht="21.75" hidden="1" customHeight="1">
      <c r="A1387" s="135">
        <v>1383.0</v>
      </c>
      <c r="B1387" s="135">
        <v>25045.0</v>
      </c>
      <c r="C1387" s="135" t="s">
        <v>2817</v>
      </c>
      <c r="D1387" s="135">
        <v>2.0</v>
      </c>
      <c r="E1387" s="135" t="s">
        <v>3079</v>
      </c>
      <c r="F1387" s="135" t="s">
        <v>1274</v>
      </c>
      <c r="G1387" s="135" t="s">
        <v>18</v>
      </c>
      <c r="H1387" s="135" t="s">
        <v>2853</v>
      </c>
      <c r="I1387" s="135" t="s">
        <v>28</v>
      </c>
      <c r="J1387" s="135">
        <v>1.0</v>
      </c>
      <c r="K1387" s="135"/>
      <c r="L1387" s="135">
        <v>3590.0</v>
      </c>
      <c r="M1387" s="135">
        <v>3900.0</v>
      </c>
      <c r="N1387" s="135">
        <v>120.0</v>
      </c>
      <c r="O1387" s="135">
        <v>2.329</v>
      </c>
      <c r="P1387" s="136">
        <v>0.0</v>
      </c>
      <c r="Q1387" s="137">
        <v>5.822500000000001</v>
      </c>
      <c r="R1387" s="136">
        <v>46125.0</v>
      </c>
      <c r="S1387" s="135" t="s">
        <v>3733</v>
      </c>
      <c r="T1387" s="136"/>
      <c r="U1387" s="135" t="s">
        <v>2913</v>
      </c>
      <c r="V1387" s="135" t="s">
        <v>3086</v>
      </c>
      <c r="W1387" s="135" t="s">
        <v>3752</v>
      </c>
      <c r="X1387" s="135" t="s">
        <v>3537</v>
      </c>
      <c r="Y1387" s="135"/>
      <c r="Z1387" s="135" t="s">
        <v>2858</v>
      </c>
      <c r="AA1387" s="135"/>
      <c r="AB1387" s="135"/>
      <c r="AC1387" s="135"/>
      <c r="AD1387" s="135" t="e">
        <v>#N/A</v>
      </c>
      <c r="AE1387" s="135"/>
      <c r="AF1387" s="135"/>
      <c r="AG1387" s="135"/>
    </row>
    <row r="1388" ht="21.75" hidden="1" customHeight="1">
      <c r="A1388" s="135">
        <v>1384.0</v>
      </c>
      <c r="B1388" s="135">
        <v>25045.0</v>
      </c>
      <c r="C1388" s="135" t="s">
        <v>2817</v>
      </c>
      <c r="D1388" s="135">
        <v>2.0</v>
      </c>
      <c r="E1388" s="135" t="s">
        <v>3079</v>
      </c>
      <c r="F1388" s="135" t="s">
        <v>1275</v>
      </c>
      <c r="G1388" s="135" t="s">
        <v>18</v>
      </c>
      <c r="H1388" s="135" t="s">
        <v>2853</v>
      </c>
      <c r="I1388" s="135" t="s">
        <v>28</v>
      </c>
      <c r="J1388" s="135">
        <v>1.0</v>
      </c>
      <c r="K1388" s="135"/>
      <c r="L1388" s="135">
        <v>4460.0</v>
      </c>
      <c r="M1388" s="135">
        <v>4009.0</v>
      </c>
      <c r="N1388" s="135">
        <v>120.0</v>
      </c>
      <c r="O1388" s="135">
        <v>2.173</v>
      </c>
      <c r="P1388" s="136">
        <v>0.0</v>
      </c>
      <c r="Q1388" s="137">
        <v>5.4325</v>
      </c>
      <c r="R1388" s="136">
        <v>46125.0</v>
      </c>
      <c r="S1388" s="135" t="s">
        <v>3733</v>
      </c>
      <c r="T1388" s="136"/>
      <c r="U1388" s="135" t="s">
        <v>2917</v>
      </c>
      <c r="V1388" s="135" t="s">
        <v>3086</v>
      </c>
      <c r="W1388" s="135" t="s">
        <v>3753</v>
      </c>
      <c r="X1388" s="135" t="s">
        <v>3474</v>
      </c>
      <c r="Y1388" s="135"/>
      <c r="Z1388" s="135" t="s">
        <v>2858</v>
      </c>
      <c r="AA1388" s="135"/>
      <c r="AB1388" s="135"/>
      <c r="AC1388" s="135"/>
      <c r="AD1388" s="135" t="e">
        <v>#N/A</v>
      </c>
      <c r="AE1388" s="135"/>
      <c r="AF1388" s="135"/>
      <c r="AG1388" s="135"/>
    </row>
    <row r="1389" ht="21.75" hidden="1" customHeight="1">
      <c r="A1389" s="135">
        <v>1385.0</v>
      </c>
      <c r="B1389" s="135">
        <v>25045.0</v>
      </c>
      <c r="C1389" s="135"/>
      <c r="D1389" s="135">
        <v>2.0</v>
      </c>
      <c r="E1389" s="135" t="s">
        <v>3079</v>
      </c>
      <c r="F1389" s="135" t="s">
        <v>1276</v>
      </c>
      <c r="G1389" s="135" t="s">
        <v>18</v>
      </c>
      <c r="H1389" s="135" t="s">
        <v>2853</v>
      </c>
      <c r="I1389" s="135" t="s">
        <v>28</v>
      </c>
      <c r="J1389" s="135">
        <v>1.0</v>
      </c>
      <c r="K1389" s="135"/>
      <c r="L1389" s="135">
        <v>4920.0</v>
      </c>
      <c r="M1389" s="135">
        <v>3600.0</v>
      </c>
      <c r="N1389" s="135">
        <v>120.0</v>
      </c>
      <c r="O1389" s="135">
        <v>2.442</v>
      </c>
      <c r="P1389" s="136">
        <v>0.0</v>
      </c>
      <c r="Q1389" s="137">
        <v>6.105</v>
      </c>
      <c r="R1389" s="136">
        <v>46125.0</v>
      </c>
      <c r="S1389" s="135" t="s">
        <v>3733</v>
      </c>
      <c r="T1389" s="136"/>
      <c r="U1389" s="135" t="s">
        <v>2855</v>
      </c>
      <c r="V1389" s="135" t="s">
        <v>3266</v>
      </c>
      <c r="W1389" s="135" t="s">
        <v>3754</v>
      </c>
      <c r="X1389" s="135" t="s">
        <v>3536</v>
      </c>
      <c r="Y1389" s="135"/>
      <c r="Z1389" s="135" t="s">
        <v>2858</v>
      </c>
      <c r="AA1389" s="135"/>
      <c r="AB1389" s="135"/>
      <c r="AC1389" s="135"/>
      <c r="AD1389" s="135">
        <v>46132.0</v>
      </c>
      <c r="AE1389" s="135"/>
      <c r="AF1389" s="135"/>
      <c r="AG1389" s="135"/>
    </row>
    <row r="1390" ht="21.75" hidden="1" customHeight="1">
      <c r="A1390" s="135">
        <v>1386.0</v>
      </c>
      <c r="B1390" s="135">
        <v>25045.0</v>
      </c>
      <c r="C1390" s="135" t="s">
        <v>2817</v>
      </c>
      <c r="D1390" s="135">
        <v>2.0</v>
      </c>
      <c r="E1390" s="135" t="s">
        <v>3079</v>
      </c>
      <c r="F1390" s="135" t="s">
        <v>1277</v>
      </c>
      <c r="G1390" s="135" t="s">
        <v>18</v>
      </c>
      <c r="H1390" s="135" t="s">
        <v>2853</v>
      </c>
      <c r="I1390" s="135" t="s">
        <v>28</v>
      </c>
      <c r="J1390" s="135">
        <v>1.0</v>
      </c>
      <c r="K1390" s="135"/>
      <c r="L1390" s="135">
        <v>4920.0</v>
      </c>
      <c r="M1390" s="135">
        <v>3900.0</v>
      </c>
      <c r="N1390" s="135">
        <v>120.0</v>
      </c>
      <c r="O1390" s="135">
        <v>2.906</v>
      </c>
      <c r="P1390" s="136">
        <v>0.0</v>
      </c>
      <c r="Q1390" s="137">
        <v>7.265000000000001</v>
      </c>
      <c r="R1390" s="136">
        <v>46125.0</v>
      </c>
      <c r="S1390" s="135" t="s">
        <v>3733</v>
      </c>
      <c r="T1390" s="136"/>
      <c r="U1390" s="135" t="s">
        <v>2913</v>
      </c>
      <c r="V1390" s="135" t="s">
        <v>3098</v>
      </c>
      <c r="W1390" s="135" t="s">
        <v>3754</v>
      </c>
      <c r="X1390" s="135" t="s">
        <v>3536</v>
      </c>
      <c r="Y1390" s="135"/>
      <c r="Z1390" s="135" t="s">
        <v>2858</v>
      </c>
      <c r="AA1390" s="135"/>
      <c r="AB1390" s="135"/>
      <c r="AC1390" s="135"/>
      <c r="AD1390" s="135" t="e">
        <v>#N/A</v>
      </c>
      <c r="AE1390" s="135"/>
      <c r="AF1390" s="135"/>
      <c r="AG1390" s="135"/>
    </row>
    <row r="1391" ht="21.75" hidden="1" customHeight="1">
      <c r="A1391" s="135">
        <v>1387.0</v>
      </c>
      <c r="B1391" s="135">
        <v>25045.0</v>
      </c>
      <c r="C1391" s="135" t="s">
        <v>2817</v>
      </c>
      <c r="D1391" s="135">
        <v>2.0</v>
      </c>
      <c r="E1391" s="135" t="s">
        <v>3109</v>
      </c>
      <c r="F1391" s="135" t="s">
        <v>1326</v>
      </c>
      <c r="G1391" s="135" t="s">
        <v>18</v>
      </c>
      <c r="H1391" s="135" t="s">
        <v>2853</v>
      </c>
      <c r="I1391" s="135" t="s">
        <v>31</v>
      </c>
      <c r="J1391" s="135">
        <v>1.0</v>
      </c>
      <c r="K1391" s="135"/>
      <c r="L1391" s="135">
        <v>2004.0</v>
      </c>
      <c r="M1391" s="135">
        <v>2920.0</v>
      </c>
      <c r="N1391" s="135">
        <v>120.0</v>
      </c>
      <c r="O1391" s="135">
        <v>0.914</v>
      </c>
      <c r="P1391" s="136">
        <v>0.0</v>
      </c>
      <c r="Q1391" s="137">
        <v>2.285</v>
      </c>
      <c r="R1391" s="136">
        <v>46125.0</v>
      </c>
      <c r="S1391" s="135" t="s">
        <v>3733</v>
      </c>
      <c r="T1391" s="136"/>
      <c r="U1391" s="135" t="s">
        <v>2864</v>
      </c>
      <c r="V1391" s="135" t="s">
        <v>2878</v>
      </c>
      <c r="W1391" s="135" t="s">
        <v>3755</v>
      </c>
      <c r="X1391" s="135"/>
      <c r="Y1391" s="135"/>
      <c r="Z1391" s="135" t="s">
        <v>2858</v>
      </c>
      <c r="AA1391" s="135"/>
      <c r="AB1391" s="135"/>
      <c r="AC1391" s="135"/>
      <c r="AD1391" s="135" t="e">
        <v>#N/A</v>
      </c>
      <c r="AE1391" s="135"/>
      <c r="AF1391" s="135"/>
      <c r="AG1391" s="135"/>
    </row>
    <row r="1392" ht="21.75" hidden="1" customHeight="1">
      <c r="A1392" s="135">
        <v>1388.0</v>
      </c>
      <c r="B1392" s="135">
        <v>25045.0</v>
      </c>
      <c r="C1392" s="135" t="s">
        <v>2817</v>
      </c>
      <c r="D1392" s="135">
        <v>2.0</v>
      </c>
      <c r="E1392" s="135" t="s">
        <v>3109</v>
      </c>
      <c r="F1392" s="135" t="s">
        <v>1327</v>
      </c>
      <c r="G1392" s="135" t="s">
        <v>18</v>
      </c>
      <c r="H1392" s="135" t="s">
        <v>2853</v>
      </c>
      <c r="I1392" s="135" t="s">
        <v>31</v>
      </c>
      <c r="J1392" s="135">
        <v>1.0</v>
      </c>
      <c r="K1392" s="135"/>
      <c r="L1392" s="135">
        <v>3190.0</v>
      </c>
      <c r="M1392" s="135">
        <v>4020.0</v>
      </c>
      <c r="N1392" s="135">
        <v>120.0</v>
      </c>
      <c r="O1392" s="135">
        <v>1.971</v>
      </c>
      <c r="P1392" s="136">
        <v>0.0</v>
      </c>
      <c r="Q1392" s="137">
        <v>4.9275</v>
      </c>
      <c r="R1392" s="136">
        <v>46125.0</v>
      </c>
      <c r="S1392" s="135" t="s">
        <v>3733</v>
      </c>
      <c r="T1392" s="136"/>
      <c r="U1392" s="135" t="s">
        <v>2917</v>
      </c>
      <c r="V1392" s="135" t="s">
        <v>2899</v>
      </c>
      <c r="W1392" s="135" t="s">
        <v>3756</v>
      </c>
      <c r="X1392" s="135"/>
      <c r="Y1392" s="135"/>
      <c r="Z1392" s="135" t="s">
        <v>2858</v>
      </c>
      <c r="AA1392" s="135"/>
      <c r="AB1392" s="135"/>
      <c r="AC1392" s="135"/>
      <c r="AD1392" s="135" t="e">
        <v>#N/A</v>
      </c>
      <c r="AE1392" s="135"/>
      <c r="AF1392" s="135"/>
      <c r="AG1392" s="135"/>
    </row>
    <row r="1393" ht="21.75" hidden="1" customHeight="1">
      <c r="A1393" s="135">
        <v>1389.0</v>
      </c>
      <c r="B1393" s="135">
        <v>25045.0</v>
      </c>
      <c r="C1393" s="135" t="s">
        <v>2817</v>
      </c>
      <c r="D1393" s="135">
        <v>2.0</v>
      </c>
      <c r="E1393" s="135" t="s">
        <v>3109</v>
      </c>
      <c r="F1393" s="135" t="s">
        <v>1328</v>
      </c>
      <c r="G1393" s="135" t="s">
        <v>18</v>
      </c>
      <c r="H1393" s="135" t="s">
        <v>2853</v>
      </c>
      <c r="I1393" s="135" t="s">
        <v>31</v>
      </c>
      <c r="J1393" s="135">
        <v>1.0</v>
      </c>
      <c r="K1393" s="135"/>
      <c r="L1393" s="135">
        <v>2090.0</v>
      </c>
      <c r="M1393" s="135">
        <v>4020.0</v>
      </c>
      <c r="N1393" s="135">
        <v>120.0</v>
      </c>
      <c r="O1393" s="135">
        <v>1.539</v>
      </c>
      <c r="P1393" s="136">
        <v>0.0</v>
      </c>
      <c r="Q1393" s="137">
        <v>3.8474999999999997</v>
      </c>
      <c r="R1393" s="136">
        <v>46125.0</v>
      </c>
      <c r="S1393" s="135" t="s">
        <v>3733</v>
      </c>
      <c r="T1393" s="136"/>
      <c r="U1393" s="135" t="s">
        <v>2917</v>
      </c>
      <c r="V1393" s="135" t="s">
        <v>2899</v>
      </c>
      <c r="W1393" s="135" t="s">
        <v>3757</v>
      </c>
      <c r="X1393" s="135" t="s">
        <v>2872</v>
      </c>
      <c r="Y1393" s="135"/>
      <c r="Z1393" s="135" t="s">
        <v>2858</v>
      </c>
      <c r="AA1393" s="135"/>
      <c r="AB1393" s="135"/>
      <c r="AC1393" s="135"/>
      <c r="AD1393" s="135" t="e">
        <v>#N/A</v>
      </c>
      <c r="AE1393" s="135"/>
      <c r="AF1393" s="135"/>
      <c r="AG1393" s="135"/>
    </row>
    <row r="1394" ht="21.75" hidden="1" customHeight="1">
      <c r="A1394" s="135">
        <v>1390.0</v>
      </c>
      <c r="B1394" s="135">
        <v>25045.0</v>
      </c>
      <c r="C1394" s="135" t="s">
        <v>2817</v>
      </c>
      <c r="D1394" s="135">
        <v>2.0</v>
      </c>
      <c r="E1394" s="135" t="s">
        <v>3109</v>
      </c>
      <c r="F1394" s="135" t="s">
        <v>1329</v>
      </c>
      <c r="G1394" s="135" t="s">
        <v>18</v>
      </c>
      <c r="H1394" s="135" t="s">
        <v>2853</v>
      </c>
      <c r="I1394" s="135" t="s">
        <v>31</v>
      </c>
      <c r="J1394" s="135">
        <v>1.0</v>
      </c>
      <c r="K1394" s="135"/>
      <c r="L1394" s="135">
        <v>3090.0</v>
      </c>
      <c r="M1394" s="135">
        <v>4020.0</v>
      </c>
      <c r="N1394" s="135">
        <v>120.0</v>
      </c>
      <c r="O1394" s="135">
        <v>1.925</v>
      </c>
      <c r="P1394" s="136">
        <v>0.0</v>
      </c>
      <c r="Q1394" s="137">
        <v>4.8125</v>
      </c>
      <c r="R1394" s="136">
        <v>46125.0</v>
      </c>
      <c r="S1394" s="135" t="s">
        <v>3733</v>
      </c>
      <c r="T1394" s="136"/>
      <c r="U1394" s="135" t="s">
        <v>2917</v>
      </c>
      <c r="V1394" s="135" t="s">
        <v>2899</v>
      </c>
      <c r="W1394" s="135" t="s">
        <v>3758</v>
      </c>
      <c r="X1394" s="135" t="s">
        <v>2872</v>
      </c>
      <c r="Y1394" s="135"/>
      <c r="Z1394" s="135" t="s">
        <v>2858</v>
      </c>
      <c r="AA1394" s="135"/>
      <c r="AB1394" s="135"/>
      <c r="AC1394" s="135"/>
      <c r="AD1394" s="135" t="e">
        <v>#N/A</v>
      </c>
      <c r="AE1394" s="135"/>
      <c r="AF1394" s="135"/>
      <c r="AG1394" s="135"/>
    </row>
    <row r="1395" ht="21.75" hidden="1" customHeight="1">
      <c r="A1395" s="135">
        <v>1391.0</v>
      </c>
      <c r="B1395" s="135">
        <v>25045.0</v>
      </c>
      <c r="C1395" s="135" t="s">
        <v>2817</v>
      </c>
      <c r="D1395" s="135">
        <v>2.0</v>
      </c>
      <c r="E1395" s="135" t="s">
        <v>3109</v>
      </c>
      <c r="F1395" s="135" t="s">
        <v>1330</v>
      </c>
      <c r="G1395" s="135" t="s">
        <v>18</v>
      </c>
      <c r="H1395" s="135" t="s">
        <v>2853</v>
      </c>
      <c r="I1395" s="135" t="s">
        <v>31</v>
      </c>
      <c r="J1395" s="135">
        <v>1.0</v>
      </c>
      <c r="K1395" s="135"/>
      <c r="L1395" s="135">
        <v>3340.0</v>
      </c>
      <c r="M1395" s="135">
        <v>4020.0</v>
      </c>
      <c r="N1395" s="135">
        <v>120.0</v>
      </c>
      <c r="O1395" s="135">
        <v>2.022</v>
      </c>
      <c r="P1395" s="136">
        <v>0.0</v>
      </c>
      <c r="Q1395" s="137">
        <v>5.055</v>
      </c>
      <c r="R1395" s="136">
        <v>46125.0</v>
      </c>
      <c r="S1395" s="135" t="s">
        <v>3733</v>
      </c>
      <c r="T1395" s="136"/>
      <c r="U1395" s="135" t="s">
        <v>2917</v>
      </c>
      <c r="V1395" s="135" t="s">
        <v>2899</v>
      </c>
      <c r="W1395" s="135" t="s">
        <v>3085</v>
      </c>
      <c r="X1395" s="135" t="s">
        <v>2870</v>
      </c>
      <c r="Y1395" s="135"/>
      <c r="Z1395" s="135" t="s">
        <v>2858</v>
      </c>
      <c r="AA1395" s="135"/>
      <c r="AB1395" s="135"/>
      <c r="AC1395" s="135"/>
      <c r="AD1395" s="135" t="e">
        <v>#N/A</v>
      </c>
      <c r="AE1395" s="135"/>
      <c r="AF1395" s="135"/>
      <c r="AG1395" s="135"/>
    </row>
    <row r="1396" ht="21.75" hidden="1" customHeight="1">
      <c r="A1396" s="135">
        <v>1392.0</v>
      </c>
      <c r="B1396" s="135">
        <v>25045.0</v>
      </c>
      <c r="C1396" s="135" t="s">
        <v>2817</v>
      </c>
      <c r="D1396" s="135">
        <v>2.0</v>
      </c>
      <c r="E1396" s="135" t="s">
        <v>3109</v>
      </c>
      <c r="F1396" s="135" t="s">
        <v>1331</v>
      </c>
      <c r="G1396" s="135" t="s">
        <v>18</v>
      </c>
      <c r="H1396" s="135" t="s">
        <v>2853</v>
      </c>
      <c r="I1396" s="135" t="s">
        <v>31</v>
      </c>
      <c r="J1396" s="135">
        <v>1.0</v>
      </c>
      <c r="K1396" s="135"/>
      <c r="L1396" s="135">
        <v>2450.0</v>
      </c>
      <c r="M1396" s="135">
        <v>4020.0</v>
      </c>
      <c r="N1396" s="135">
        <v>120.0</v>
      </c>
      <c r="O1396" s="135">
        <v>1.445</v>
      </c>
      <c r="P1396" s="136">
        <v>0.0</v>
      </c>
      <c r="Q1396" s="137">
        <v>3.6125000000000003</v>
      </c>
      <c r="R1396" s="136">
        <v>46125.0</v>
      </c>
      <c r="S1396" s="135" t="s">
        <v>3733</v>
      </c>
      <c r="T1396" s="136"/>
      <c r="U1396" s="135" t="s">
        <v>2864</v>
      </c>
      <c r="V1396" s="135" t="s">
        <v>2899</v>
      </c>
      <c r="W1396" s="135" t="s">
        <v>3759</v>
      </c>
      <c r="X1396" s="135" t="s">
        <v>3760</v>
      </c>
      <c r="Y1396" s="135"/>
      <c r="Z1396" s="135" t="s">
        <v>2858</v>
      </c>
      <c r="AA1396" s="135"/>
      <c r="AB1396" s="135"/>
      <c r="AC1396" s="135"/>
      <c r="AD1396" s="135" t="e">
        <v>#N/A</v>
      </c>
      <c r="AE1396" s="135"/>
      <c r="AF1396" s="135"/>
      <c r="AG1396" s="135"/>
    </row>
    <row r="1397" ht="21.75" hidden="1" customHeight="1">
      <c r="A1397" s="135">
        <v>1393.0</v>
      </c>
      <c r="B1397" s="135">
        <v>25045.0</v>
      </c>
      <c r="C1397" s="135" t="s">
        <v>2817</v>
      </c>
      <c r="D1397" s="135">
        <v>2.0</v>
      </c>
      <c r="E1397" s="135" t="s">
        <v>3109</v>
      </c>
      <c r="F1397" s="135" t="s">
        <v>1332</v>
      </c>
      <c r="G1397" s="135" t="s">
        <v>18</v>
      </c>
      <c r="H1397" s="135" t="s">
        <v>2853</v>
      </c>
      <c r="I1397" s="135" t="s">
        <v>31</v>
      </c>
      <c r="J1397" s="135">
        <v>1.0</v>
      </c>
      <c r="K1397" s="135"/>
      <c r="L1397" s="135">
        <v>3890.0</v>
      </c>
      <c r="M1397" s="135">
        <v>2920.0</v>
      </c>
      <c r="N1397" s="135">
        <v>120.0</v>
      </c>
      <c r="O1397" s="135">
        <v>1.489</v>
      </c>
      <c r="P1397" s="136">
        <v>0.0</v>
      </c>
      <c r="Q1397" s="137">
        <v>3.7225</v>
      </c>
      <c r="R1397" s="136">
        <v>46125.0</v>
      </c>
      <c r="S1397" s="135" t="s">
        <v>3733</v>
      </c>
      <c r="T1397" s="136"/>
      <c r="U1397" s="135" t="s">
        <v>2864</v>
      </c>
      <c r="V1397" s="135" t="s">
        <v>2865</v>
      </c>
      <c r="W1397" s="135" t="s">
        <v>3761</v>
      </c>
      <c r="X1397" s="135" t="s">
        <v>3357</v>
      </c>
      <c r="Y1397" s="135"/>
      <c r="Z1397" s="135" t="s">
        <v>2858</v>
      </c>
      <c r="AA1397" s="135"/>
      <c r="AB1397" s="135"/>
      <c r="AC1397" s="135"/>
      <c r="AD1397" s="135" t="e">
        <v>#N/A</v>
      </c>
      <c r="AE1397" s="135"/>
      <c r="AF1397" s="135"/>
      <c r="AG1397" s="135"/>
    </row>
    <row r="1398" ht="21.75" hidden="1" customHeight="1">
      <c r="A1398" s="135">
        <v>1394.0</v>
      </c>
      <c r="B1398" s="135">
        <v>25045.0</v>
      </c>
      <c r="C1398" s="135" t="s">
        <v>2817</v>
      </c>
      <c r="D1398" s="135">
        <v>2.0</v>
      </c>
      <c r="E1398" s="135" t="s">
        <v>3109</v>
      </c>
      <c r="F1398" s="135" t="s">
        <v>1333</v>
      </c>
      <c r="G1398" s="135" t="s">
        <v>18</v>
      </c>
      <c r="H1398" s="135" t="s">
        <v>2853</v>
      </c>
      <c r="I1398" s="135" t="s">
        <v>31</v>
      </c>
      <c r="J1398" s="135">
        <v>1.0</v>
      </c>
      <c r="K1398" s="135"/>
      <c r="L1398" s="135">
        <v>4090.0</v>
      </c>
      <c r="M1398" s="135">
        <v>4020.0</v>
      </c>
      <c r="N1398" s="135">
        <v>120.0</v>
      </c>
      <c r="O1398" s="135">
        <v>2.387</v>
      </c>
      <c r="P1398" s="136">
        <v>0.0</v>
      </c>
      <c r="Q1398" s="137">
        <v>5.9675</v>
      </c>
      <c r="R1398" s="136">
        <v>46125.0</v>
      </c>
      <c r="S1398" s="135" t="s">
        <v>3733</v>
      </c>
      <c r="T1398" s="136"/>
      <c r="U1398" s="135" t="s">
        <v>2917</v>
      </c>
      <c r="V1398" s="135" t="s">
        <v>3086</v>
      </c>
      <c r="W1398" s="135" t="s">
        <v>2971</v>
      </c>
      <c r="X1398" s="135" t="s">
        <v>2872</v>
      </c>
      <c r="Y1398" s="135"/>
      <c r="Z1398" s="135" t="s">
        <v>2858</v>
      </c>
      <c r="AA1398" s="135"/>
      <c r="AB1398" s="135"/>
      <c r="AC1398" s="135"/>
      <c r="AD1398" s="135" t="e">
        <v>#N/A</v>
      </c>
      <c r="AE1398" s="135"/>
      <c r="AF1398" s="135"/>
      <c r="AG1398" s="135"/>
    </row>
    <row r="1399" ht="21.75" hidden="1" customHeight="1">
      <c r="A1399" s="135">
        <v>1395.0</v>
      </c>
      <c r="B1399" s="135">
        <v>25045.0</v>
      </c>
      <c r="C1399" s="135"/>
      <c r="D1399" s="135">
        <v>7.0</v>
      </c>
      <c r="E1399" s="135" t="s">
        <v>3688</v>
      </c>
      <c r="F1399" s="135" t="s">
        <v>2342</v>
      </c>
      <c r="G1399" s="135" t="s">
        <v>96</v>
      </c>
      <c r="H1399" s="135" t="s">
        <v>2853</v>
      </c>
      <c r="I1399" s="135" t="s">
        <v>97</v>
      </c>
      <c r="J1399" s="135">
        <v>1.0</v>
      </c>
      <c r="K1399" s="135"/>
      <c r="L1399" s="135">
        <v>3420.0</v>
      </c>
      <c r="M1399" s="135">
        <v>3000.0</v>
      </c>
      <c r="N1399" s="135">
        <v>120.0</v>
      </c>
      <c r="O1399" s="135">
        <v>1.22</v>
      </c>
      <c r="P1399" s="136">
        <v>0.0</v>
      </c>
      <c r="Q1399" s="137">
        <v>3.05</v>
      </c>
      <c r="R1399" s="136">
        <v>46135.0</v>
      </c>
      <c r="S1399" s="135" t="s">
        <v>3762</v>
      </c>
      <c r="T1399" s="136"/>
      <c r="U1399" s="135" t="s">
        <v>2864</v>
      </c>
      <c r="V1399" s="135" t="s">
        <v>2878</v>
      </c>
      <c r="W1399" s="135" t="s">
        <v>3215</v>
      </c>
      <c r="X1399" s="135" t="s">
        <v>3216</v>
      </c>
      <c r="Y1399" s="135"/>
      <c r="Z1399" s="135" t="s">
        <v>2858</v>
      </c>
      <c r="AA1399" s="135"/>
      <c r="AB1399" s="135"/>
      <c r="AC1399" s="135"/>
      <c r="AD1399" s="135">
        <v>46142.0</v>
      </c>
      <c r="AE1399" s="135"/>
      <c r="AF1399" s="135"/>
      <c r="AG1399" s="135"/>
    </row>
    <row r="1400" ht="21.75" hidden="1" customHeight="1">
      <c r="A1400" s="135">
        <v>1396.0</v>
      </c>
      <c r="B1400" s="135">
        <v>25045.0</v>
      </c>
      <c r="C1400" s="135"/>
      <c r="D1400" s="135">
        <v>7.0</v>
      </c>
      <c r="E1400" s="135" t="s">
        <v>3688</v>
      </c>
      <c r="F1400" s="135" t="s">
        <v>2343</v>
      </c>
      <c r="G1400" s="135" t="s">
        <v>96</v>
      </c>
      <c r="H1400" s="135" t="s">
        <v>2853</v>
      </c>
      <c r="I1400" s="135" t="s">
        <v>97</v>
      </c>
      <c r="J1400" s="135">
        <v>1.0</v>
      </c>
      <c r="K1400" s="135"/>
      <c r="L1400" s="135">
        <v>3090.0</v>
      </c>
      <c r="M1400" s="135">
        <v>3000.0</v>
      </c>
      <c r="N1400" s="135">
        <v>120.0</v>
      </c>
      <c r="O1400" s="135">
        <v>1.1</v>
      </c>
      <c r="P1400" s="136">
        <v>0.0</v>
      </c>
      <c r="Q1400" s="137">
        <v>2.75</v>
      </c>
      <c r="R1400" s="136">
        <v>46135.0</v>
      </c>
      <c r="S1400" s="135" t="s">
        <v>3762</v>
      </c>
      <c r="T1400" s="136"/>
      <c r="U1400" s="135" t="s">
        <v>2864</v>
      </c>
      <c r="V1400" s="135" t="s">
        <v>2878</v>
      </c>
      <c r="W1400" s="135" t="s">
        <v>3213</v>
      </c>
      <c r="X1400" s="135" t="s">
        <v>3214</v>
      </c>
      <c r="Y1400" s="135"/>
      <c r="Z1400" s="135" t="s">
        <v>2858</v>
      </c>
      <c r="AA1400" s="135"/>
      <c r="AB1400" s="135"/>
      <c r="AC1400" s="135"/>
      <c r="AD1400" s="135">
        <v>46143.0</v>
      </c>
      <c r="AE1400" s="135"/>
      <c r="AF1400" s="135"/>
      <c r="AG1400" s="135"/>
    </row>
    <row r="1401" ht="21.75" hidden="1" customHeight="1">
      <c r="A1401" s="135">
        <v>1397.0</v>
      </c>
      <c r="B1401" s="135">
        <v>25045.0</v>
      </c>
      <c r="C1401" s="135" t="s">
        <v>2817</v>
      </c>
      <c r="D1401" s="135">
        <v>7.0</v>
      </c>
      <c r="E1401" s="135" t="s">
        <v>3688</v>
      </c>
      <c r="F1401" s="135" t="s">
        <v>2344</v>
      </c>
      <c r="G1401" s="135" t="s">
        <v>96</v>
      </c>
      <c r="H1401" s="135" t="s">
        <v>2853</v>
      </c>
      <c r="I1401" s="135" t="s">
        <v>97</v>
      </c>
      <c r="J1401" s="135">
        <v>1.0</v>
      </c>
      <c r="K1401" s="135" t="s">
        <v>3134</v>
      </c>
      <c r="L1401" s="135">
        <v>2195.0</v>
      </c>
      <c r="M1401" s="135">
        <v>2880.0</v>
      </c>
      <c r="N1401" s="135">
        <v>120.0</v>
      </c>
      <c r="O1401" s="135">
        <v>0.79</v>
      </c>
      <c r="P1401" s="136">
        <v>0.0</v>
      </c>
      <c r="Q1401" s="137">
        <v>1.975</v>
      </c>
      <c r="R1401" s="136">
        <v>46135.0</v>
      </c>
      <c r="S1401" s="135" t="s">
        <v>3762</v>
      </c>
      <c r="T1401" s="136"/>
      <c r="U1401" s="135" t="s">
        <v>2864</v>
      </c>
      <c r="V1401" s="135" t="s">
        <v>2878</v>
      </c>
      <c r="W1401" s="135" t="s">
        <v>3763</v>
      </c>
      <c r="X1401" s="135" t="s">
        <v>3764</v>
      </c>
      <c r="Y1401" s="135"/>
      <c r="Z1401" s="135" t="s">
        <v>2858</v>
      </c>
      <c r="AA1401" s="135"/>
      <c r="AB1401" s="135"/>
      <c r="AC1401" s="135"/>
      <c r="AD1401" s="135" t="e">
        <v>#N/A</v>
      </c>
      <c r="AE1401" s="135"/>
      <c r="AF1401" s="135"/>
      <c r="AG1401" s="135"/>
    </row>
    <row r="1402" ht="21.75" hidden="1" customHeight="1">
      <c r="A1402" s="135">
        <v>1398.0</v>
      </c>
      <c r="B1402" s="135">
        <v>25045.0</v>
      </c>
      <c r="C1402" s="135" t="s">
        <v>2817</v>
      </c>
      <c r="D1402" s="135">
        <v>7.0</v>
      </c>
      <c r="E1402" s="135" t="s">
        <v>3694</v>
      </c>
      <c r="F1402" s="135" t="s">
        <v>2359</v>
      </c>
      <c r="G1402" s="135" t="s">
        <v>96</v>
      </c>
      <c r="H1402" s="135" t="s">
        <v>2853</v>
      </c>
      <c r="I1402" s="135" t="s">
        <v>98</v>
      </c>
      <c r="J1402" s="135">
        <v>1.0</v>
      </c>
      <c r="K1402" s="135" t="s">
        <v>3134</v>
      </c>
      <c r="L1402" s="135">
        <v>2195.0</v>
      </c>
      <c r="M1402" s="135">
        <v>2880.0</v>
      </c>
      <c r="N1402" s="135">
        <v>120.0</v>
      </c>
      <c r="O1402" s="135">
        <v>0.79</v>
      </c>
      <c r="P1402" s="136">
        <v>0.0</v>
      </c>
      <c r="Q1402" s="137">
        <v>1.975</v>
      </c>
      <c r="R1402" s="136">
        <v>46135.0</v>
      </c>
      <c r="S1402" s="135" t="s">
        <v>3762</v>
      </c>
      <c r="T1402" s="136"/>
      <c r="U1402" s="135" t="s">
        <v>2864</v>
      </c>
      <c r="V1402" s="135" t="s">
        <v>2878</v>
      </c>
      <c r="W1402" s="135" t="s">
        <v>3763</v>
      </c>
      <c r="X1402" s="135" t="s">
        <v>3764</v>
      </c>
      <c r="Y1402" s="135"/>
      <c r="Z1402" s="135" t="s">
        <v>2858</v>
      </c>
      <c r="AA1402" s="135"/>
      <c r="AB1402" s="135"/>
      <c r="AC1402" s="135"/>
      <c r="AD1402" s="135" t="e">
        <v>#N/A</v>
      </c>
      <c r="AE1402" s="135"/>
      <c r="AF1402" s="135"/>
      <c r="AG1402" s="135"/>
    </row>
    <row r="1403" ht="21.75" hidden="1" customHeight="1">
      <c r="A1403" s="135">
        <v>1399.0</v>
      </c>
      <c r="B1403" s="135">
        <v>25045.0</v>
      </c>
      <c r="C1403" s="135"/>
      <c r="D1403" s="135">
        <v>7.0</v>
      </c>
      <c r="E1403" s="135" t="s">
        <v>3688</v>
      </c>
      <c r="F1403" s="135" t="s">
        <v>2345</v>
      </c>
      <c r="G1403" s="135" t="s">
        <v>96</v>
      </c>
      <c r="H1403" s="135" t="s">
        <v>2853</v>
      </c>
      <c r="I1403" s="135" t="s">
        <v>97</v>
      </c>
      <c r="J1403" s="135">
        <v>1.0</v>
      </c>
      <c r="K1403" s="135"/>
      <c r="L1403" s="135">
        <v>4460.0</v>
      </c>
      <c r="M1403" s="135">
        <v>2900.0</v>
      </c>
      <c r="N1403" s="135">
        <v>120.0</v>
      </c>
      <c r="O1403" s="135">
        <v>1.25</v>
      </c>
      <c r="P1403" s="136">
        <v>0.0</v>
      </c>
      <c r="Q1403" s="137">
        <v>3.125</v>
      </c>
      <c r="R1403" s="136">
        <v>46135.0</v>
      </c>
      <c r="S1403" s="135" t="s">
        <v>3762</v>
      </c>
      <c r="T1403" s="136"/>
      <c r="U1403" s="135" t="s">
        <v>2864</v>
      </c>
      <c r="V1403" s="135" t="s">
        <v>2865</v>
      </c>
      <c r="W1403" s="135" t="s">
        <v>3765</v>
      </c>
      <c r="X1403" s="135" t="s">
        <v>3766</v>
      </c>
      <c r="Y1403" s="135"/>
      <c r="Z1403" s="135" t="s">
        <v>2858</v>
      </c>
      <c r="AA1403" s="135"/>
      <c r="AB1403" s="135"/>
      <c r="AC1403" s="135"/>
      <c r="AD1403" s="135">
        <v>46153.0</v>
      </c>
      <c r="AE1403" s="135"/>
      <c r="AF1403" s="135"/>
      <c r="AG1403" s="135"/>
    </row>
    <row r="1404" ht="21.75" hidden="1" customHeight="1">
      <c r="A1404" s="135">
        <v>1400.0</v>
      </c>
      <c r="B1404" s="135">
        <v>25045.0</v>
      </c>
      <c r="C1404" s="135"/>
      <c r="D1404" s="135">
        <v>7.0</v>
      </c>
      <c r="E1404" s="135" t="s">
        <v>3688</v>
      </c>
      <c r="F1404" s="135" t="s">
        <v>2346</v>
      </c>
      <c r="G1404" s="135" t="s">
        <v>96</v>
      </c>
      <c r="H1404" s="135" t="s">
        <v>2853</v>
      </c>
      <c r="I1404" s="135" t="s">
        <v>97</v>
      </c>
      <c r="J1404" s="135">
        <v>1.0</v>
      </c>
      <c r="K1404" s="135"/>
      <c r="L1404" s="135">
        <v>3590.0</v>
      </c>
      <c r="M1404" s="135">
        <v>2900.0</v>
      </c>
      <c r="N1404" s="135">
        <v>120.0</v>
      </c>
      <c r="O1404" s="135">
        <v>1.29</v>
      </c>
      <c r="P1404" s="136">
        <v>0.0</v>
      </c>
      <c r="Q1404" s="137">
        <v>3.225</v>
      </c>
      <c r="R1404" s="136">
        <v>46135.0</v>
      </c>
      <c r="S1404" s="135" t="s">
        <v>3762</v>
      </c>
      <c r="T1404" s="136"/>
      <c r="U1404" s="135" t="s">
        <v>2864</v>
      </c>
      <c r="V1404" s="135" t="s">
        <v>2865</v>
      </c>
      <c r="W1404" s="135" t="s">
        <v>3725</v>
      </c>
      <c r="X1404" s="135" t="s">
        <v>2968</v>
      </c>
      <c r="Y1404" s="135"/>
      <c r="Z1404" s="135" t="s">
        <v>2858</v>
      </c>
      <c r="AA1404" s="135"/>
      <c r="AB1404" s="135"/>
      <c r="AC1404" s="135"/>
      <c r="AD1404" s="135">
        <v>46154.0</v>
      </c>
      <c r="AE1404" s="135"/>
      <c r="AF1404" s="135"/>
      <c r="AG1404" s="135"/>
    </row>
    <row r="1405" ht="21.75" hidden="1" customHeight="1">
      <c r="A1405" s="135">
        <v>1401.0</v>
      </c>
      <c r="B1405" s="135">
        <v>25045.0</v>
      </c>
      <c r="C1405" s="135"/>
      <c r="D1405" s="135">
        <v>7.0</v>
      </c>
      <c r="E1405" s="135" t="s">
        <v>3688</v>
      </c>
      <c r="F1405" s="135" t="s">
        <v>2347</v>
      </c>
      <c r="G1405" s="135" t="s">
        <v>96</v>
      </c>
      <c r="H1405" s="135" t="s">
        <v>2853</v>
      </c>
      <c r="I1405" s="135" t="s">
        <v>97</v>
      </c>
      <c r="J1405" s="135">
        <v>1.0</v>
      </c>
      <c r="K1405" s="135"/>
      <c r="L1405" s="135">
        <v>4920.0</v>
      </c>
      <c r="M1405" s="135">
        <v>3000.0</v>
      </c>
      <c r="N1405" s="135">
        <v>120.0</v>
      </c>
      <c r="O1405" s="135">
        <v>1.84</v>
      </c>
      <c r="P1405" s="136">
        <v>0.0</v>
      </c>
      <c r="Q1405" s="137">
        <v>4.6000000000000005</v>
      </c>
      <c r="R1405" s="136">
        <v>46135.0</v>
      </c>
      <c r="S1405" s="135" t="s">
        <v>3762</v>
      </c>
      <c r="T1405" s="136"/>
      <c r="U1405" s="135" t="s">
        <v>2855</v>
      </c>
      <c r="V1405" s="135" t="s">
        <v>2868</v>
      </c>
      <c r="W1405" s="135" t="s">
        <v>3220</v>
      </c>
      <c r="X1405" s="135" t="s">
        <v>2968</v>
      </c>
      <c r="Y1405" s="135"/>
      <c r="Z1405" s="135" t="s">
        <v>2858</v>
      </c>
      <c r="AA1405" s="135"/>
      <c r="AB1405" s="135"/>
      <c r="AC1405" s="135"/>
      <c r="AD1405" s="135">
        <v>46143.0</v>
      </c>
      <c r="AE1405" s="135"/>
      <c r="AF1405" s="135"/>
      <c r="AG1405" s="135"/>
    </row>
    <row r="1406" ht="21.75" hidden="1" customHeight="1">
      <c r="A1406" s="135">
        <v>1402.0</v>
      </c>
      <c r="B1406" s="135">
        <v>25045.0</v>
      </c>
      <c r="C1406" s="135"/>
      <c r="D1406" s="135">
        <v>7.0</v>
      </c>
      <c r="E1406" s="135" t="s">
        <v>3688</v>
      </c>
      <c r="F1406" s="135" t="s">
        <v>2348</v>
      </c>
      <c r="G1406" s="135" t="s">
        <v>96</v>
      </c>
      <c r="H1406" s="135" t="s">
        <v>2853</v>
      </c>
      <c r="I1406" s="135" t="s">
        <v>97</v>
      </c>
      <c r="J1406" s="135">
        <v>1.0</v>
      </c>
      <c r="K1406" s="135"/>
      <c r="L1406" s="135">
        <v>3914.0</v>
      </c>
      <c r="M1406" s="135">
        <v>2850.0</v>
      </c>
      <c r="N1406" s="135">
        <v>120.0</v>
      </c>
      <c r="O1406" s="135">
        <v>1.21</v>
      </c>
      <c r="P1406" s="136">
        <v>0.0</v>
      </c>
      <c r="Q1406" s="137">
        <v>3.025</v>
      </c>
      <c r="R1406" s="136">
        <v>46135.0</v>
      </c>
      <c r="S1406" s="135" t="s">
        <v>3762</v>
      </c>
      <c r="T1406" s="136"/>
      <c r="U1406" s="135" t="s">
        <v>2864</v>
      </c>
      <c r="V1406" s="135" t="s">
        <v>3100</v>
      </c>
      <c r="W1406" s="135" t="s">
        <v>3767</v>
      </c>
      <c r="X1406" s="135" t="s">
        <v>2969</v>
      </c>
      <c r="Y1406" s="135"/>
      <c r="Z1406" s="135" t="s">
        <v>2858</v>
      </c>
      <c r="AA1406" s="135"/>
      <c r="AB1406" s="135"/>
      <c r="AC1406" s="135"/>
      <c r="AD1406" s="135">
        <v>46151.0</v>
      </c>
      <c r="AE1406" s="135"/>
      <c r="AF1406" s="135"/>
      <c r="AG1406" s="135"/>
    </row>
    <row r="1407" ht="21.75" hidden="1" customHeight="1">
      <c r="A1407" s="135">
        <v>1403.0</v>
      </c>
      <c r="B1407" s="135">
        <v>25045.0</v>
      </c>
      <c r="C1407" s="135"/>
      <c r="D1407" s="135">
        <v>7.0</v>
      </c>
      <c r="E1407" s="135" t="s">
        <v>3688</v>
      </c>
      <c r="F1407" s="135" t="s">
        <v>2349</v>
      </c>
      <c r="G1407" s="135" t="s">
        <v>96</v>
      </c>
      <c r="H1407" s="135" t="s">
        <v>2853</v>
      </c>
      <c r="I1407" s="135" t="s">
        <v>97</v>
      </c>
      <c r="J1407" s="135">
        <v>1.0</v>
      </c>
      <c r="K1407" s="135"/>
      <c r="L1407" s="135">
        <v>3825.0</v>
      </c>
      <c r="M1407" s="135">
        <v>2950.0</v>
      </c>
      <c r="N1407" s="135">
        <v>300.0</v>
      </c>
      <c r="O1407" s="135">
        <v>2.14</v>
      </c>
      <c r="P1407" s="136">
        <v>0.0</v>
      </c>
      <c r="Q1407" s="137">
        <v>5.3500000000000005</v>
      </c>
      <c r="R1407" s="136">
        <v>46135.0</v>
      </c>
      <c r="S1407" s="135" t="s">
        <v>3762</v>
      </c>
      <c r="T1407" s="136"/>
      <c r="U1407" s="135" t="s">
        <v>2864</v>
      </c>
      <c r="V1407" s="135" t="s">
        <v>3270</v>
      </c>
      <c r="W1407" s="135"/>
      <c r="X1407" s="135"/>
      <c r="Y1407" s="135" t="s">
        <v>2886</v>
      </c>
      <c r="Z1407" s="135" t="s">
        <v>2858</v>
      </c>
      <c r="AA1407" s="135"/>
      <c r="AB1407" s="135"/>
      <c r="AC1407" s="135"/>
      <c r="AD1407" s="135">
        <v>46141.0</v>
      </c>
      <c r="AE1407" s="135"/>
      <c r="AF1407" s="135"/>
      <c r="AG1407" s="135"/>
    </row>
    <row r="1408" ht="21.75" hidden="1" customHeight="1">
      <c r="A1408" s="135">
        <v>1404.0</v>
      </c>
      <c r="B1408" s="135">
        <v>25045.0</v>
      </c>
      <c r="C1408" s="135"/>
      <c r="D1408" s="135">
        <v>7.0</v>
      </c>
      <c r="E1408" s="135" t="s">
        <v>3688</v>
      </c>
      <c r="F1408" s="135" t="s">
        <v>2350</v>
      </c>
      <c r="G1408" s="135" t="s">
        <v>96</v>
      </c>
      <c r="H1408" s="135" t="s">
        <v>2853</v>
      </c>
      <c r="I1408" s="135" t="s">
        <v>97</v>
      </c>
      <c r="J1408" s="135">
        <v>1.0</v>
      </c>
      <c r="K1408" s="135"/>
      <c r="L1408" s="135">
        <v>5675.0</v>
      </c>
      <c r="M1408" s="135">
        <v>1285.0</v>
      </c>
      <c r="N1408" s="135">
        <v>120.0</v>
      </c>
      <c r="O1408" s="135">
        <v>1.0</v>
      </c>
      <c r="P1408" s="136">
        <v>0.0</v>
      </c>
      <c r="Q1408" s="137">
        <v>2.5</v>
      </c>
      <c r="R1408" s="136">
        <v>46135.0</v>
      </c>
      <c r="S1408" s="135" t="s">
        <v>3762</v>
      </c>
      <c r="T1408" s="136"/>
      <c r="U1408" s="135" t="s">
        <v>2855</v>
      </c>
      <c r="V1408" s="135" t="s">
        <v>2856</v>
      </c>
      <c r="W1408" s="135" t="s">
        <v>3768</v>
      </c>
      <c r="X1408" s="135"/>
      <c r="Y1408" s="135"/>
      <c r="Z1408" s="135" t="s">
        <v>2858</v>
      </c>
      <c r="AA1408" s="135"/>
      <c r="AB1408" s="135"/>
      <c r="AC1408" s="135"/>
      <c r="AD1408" s="135">
        <v>46149.0</v>
      </c>
      <c r="AE1408" s="135"/>
      <c r="AF1408" s="135"/>
      <c r="AG1408" s="135"/>
    </row>
    <row r="1409" ht="21.75" hidden="1" customHeight="1">
      <c r="A1409" s="135">
        <v>1405.0</v>
      </c>
      <c r="B1409" s="135">
        <v>25045.0</v>
      </c>
      <c r="C1409" s="135"/>
      <c r="D1409" s="135">
        <v>7.0</v>
      </c>
      <c r="E1409" s="135" t="s">
        <v>3688</v>
      </c>
      <c r="F1409" s="135" t="s">
        <v>2351</v>
      </c>
      <c r="G1409" s="135" t="s">
        <v>96</v>
      </c>
      <c r="H1409" s="135" t="s">
        <v>2853</v>
      </c>
      <c r="I1409" s="135" t="s">
        <v>97</v>
      </c>
      <c r="J1409" s="135">
        <v>1.0</v>
      </c>
      <c r="K1409" s="135"/>
      <c r="L1409" s="135">
        <v>1780.0</v>
      </c>
      <c r="M1409" s="135">
        <v>940.0</v>
      </c>
      <c r="N1409" s="135">
        <v>120.0</v>
      </c>
      <c r="O1409" s="135">
        <v>0.33</v>
      </c>
      <c r="P1409" s="136">
        <v>0.0</v>
      </c>
      <c r="Q1409" s="137">
        <v>0.8250000000000001</v>
      </c>
      <c r="R1409" s="136">
        <v>46135.0</v>
      </c>
      <c r="S1409" s="135" t="s">
        <v>3762</v>
      </c>
      <c r="T1409" s="136"/>
      <c r="U1409" s="135" t="s">
        <v>2864</v>
      </c>
      <c r="V1409" s="135" t="s">
        <v>2953</v>
      </c>
      <c r="W1409" s="135" t="s">
        <v>3769</v>
      </c>
      <c r="X1409" s="135"/>
      <c r="Y1409" s="135"/>
      <c r="Z1409" s="135" t="s">
        <v>2858</v>
      </c>
      <c r="AA1409" s="135"/>
      <c r="AB1409" s="135"/>
      <c r="AC1409" s="135" t="s">
        <v>2863</v>
      </c>
      <c r="AD1409" s="135">
        <v>0.0</v>
      </c>
      <c r="AE1409" s="135"/>
      <c r="AF1409" s="135"/>
      <c r="AG1409" s="135"/>
    </row>
    <row r="1410" ht="21.75" hidden="1" customHeight="1">
      <c r="A1410" s="135">
        <v>1406.0</v>
      </c>
      <c r="B1410" s="135">
        <v>25045.0</v>
      </c>
      <c r="C1410" s="135"/>
      <c r="D1410" s="135">
        <v>7.0</v>
      </c>
      <c r="E1410" s="135" t="s">
        <v>3688</v>
      </c>
      <c r="F1410" s="135" t="s">
        <v>2352</v>
      </c>
      <c r="G1410" s="135" t="s">
        <v>96</v>
      </c>
      <c r="H1410" s="135" t="s">
        <v>2965</v>
      </c>
      <c r="I1410" s="135" t="s">
        <v>97</v>
      </c>
      <c r="J1410" s="135">
        <v>1.0</v>
      </c>
      <c r="K1410" s="135"/>
      <c r="L1410" s="135">
        <v>400.0</v>
      </c>
      <c r="M1410" s="135">
        <v>2550.0</v>
      </c>
      <c r="N1410" s="135">
        <v>350.0</v>
      </c>
      <c r="O1410" s="135">
        <v>0.42</v>
      </c>
      <c r="P1410" s="136">
        <v>0.0</v>
      </c>
      <c r="Q1410" s="137">
        <v>1.05</v>
      </c>
      <c r="R1410" s="136">
        <v>46135.0</v>
      </c>
      <c r="S1410" s="135" t="s">
        <v>3762</v>
      </c>
      <c r="T1410" s="136"/>
      <c r="U1410" s="135" t="s">
        <v>2966</v>
      </c>
      <c r="V1410" s="135" t="s">
        <v>2967</v>
      </c>
      <c r="W1410" s="135"/>
      <c r="X1410" s="135" t="s">
        <v>2968</v>
      </c>
      <c r="Y1410" s="135"/>
      <c r="Z1410" s="135" t="s">
        <v>2858</v>
      </c>
      <c r="AA1410" s="135"/>
      <c r="AB1410" s="135"/>
      <c r="AC1410" s="135" t="s">
        <v>2863</v>
      </c>
      <c r="AD1410" s="135">
        <v>0.0</v>
      </c>
      <c r="AE1410" s="135"/>
      <c r="AF1410" s="135"/>
      <c r="AG1410" s="135"/>
    </row>
    <row r="1411" ht="21.75" hidden="1" customHeight="1">
      <c r="A1411" s="135">
        <v>1407.0</v>
      </c>
      <c r="B1411" s="135">
        <v>25045.0</v>
      </c>
      <c r="C1411" s="135" t="s">
        <v>2817</v>
      </c>
      <c r="D1411" s="135">
        <v>7.0</v>
      </c>
      <c r="E1411" s="135" t="s">
        <v>3694</v>
      </c>
      <c r="F1411" s="135" t="s">
        <v>2360</v>
      </c>
      <c r="G1411" s="135" t="s">
        <v>96</v>
      </c>
      <c r="H1411" s="135" t="s">
        <v>2853</v>
      </c>
      <c r="I1411" s="135" t="s">
        <v>98</v>
      </c>
      <c r="J1411" s="135">
        <v>1.0</v>
      </c>
      <c r="K1411" s="135" t="s">
        <v>3770</v>
      </c>
      <c r="L1411" s="135">
        <v>4588.0</v>
      </c>
      <c r="M1411" s="135">
        <v>2850.0</v>
      </c>
      <c r="N1411" s="135">
        <v>120.0</v>
      </c>
      <c r="O1411" s="135">
        <v>1.03</v>
      </c>
      <c r="P1411" s="136">
        <v>0.0</v>
      </c>
      <c r="Q1411" s="137">
        <v>2.575</v>
      </c>
      <c r="R1411" s="136">
        <v>46135.0</v>
      </c>
      <c r="S1411" s="135" t="s">
        <v>3762</v>
      </c>
      <c r="T1411" s="136"/>
      <c r="U1411" s="135" t="s">
        <v>2855</v>
      </c>
      <c r="V1411" s="135" t="s">
        <v>2856</v>
      </c>
      <c r="W1411" s="135" t="s">
        <v>3224</v>
      </c>
      <c r="X1411" s="135" t="s">
        <v>3771</v>
      </c>
      <c r="Y1411" s="135"/>
      <c r="Z1411" s="135" t="s">
        <v>2858</v>
      </c>
      <c r="AA1411" s="135"/>
      <c r="AB1411" s="135"/>
      <c r="AC1411" s="135"/>
      <c r="AD1411" s="135" t="e">
        <v>#N/A</v>
      </c>
      <c r="AE1411" s="135"/>
      <c r="AF1411" s="135"/>
      <c r="AG1411" s="135"/>
    </row>
    <row r="1412" ht="21.75" hidden="1" customHeight="1">
      <c r="A1412" s="135">
        <v>1408.0</v>
      </c>
      <c r="B1412" s="135">
        <v>25045.0</v>
      </c>
      <c r="C1412" s="135" t="s">
        <v>2817</v>
      </c>
      <c r="D1412" s="135">
        <v>7.0</v>
      </c>
      <c r="E1412" s="135" t="s">
        <v>3696</v>
      </c>
      <c r="F1412" s="135" t="s">
        <v>2381</v>
      </c>
      <c r="G1412" s="135" t="s">
        <v>96</v>
      </c>
      <c r="H1412" s="135" t="s">
        <v>2853</v>
      </c>
      <c r="I1412" s="135" t="s">
        <v>99</v>
      </c>
      <c r="J1412" s="135">
        <v>1.0</v>
      </c>
      <c r="K1412" s="135" t="s">
        <v>3770</v>
      </c>
      <c r="L1412" s="135">
        <v>4588.0</v>
      </c>
      <c r="M1412" s="135">
        <v>2850.0</v>
      </c>
      <c r="N1412" s="135">
        <v>120.0</v>
      </c>
      <c r="O1412" s="135">
        <v>1.03</v>
      </c>
      <c r="P1412" s="136">
        <v>0.0</v>
      </c>
      <c r="Q1412" s="137">
        <v>2.575</v>
      </c>
      <c r="R1412" s="136">
        <v>46135.0</v>
      </c>
      <c r="S1412" s="135" t="s">
        <v>3762</v>
      </c>
      <c r="T1412" s="136"/>
      <c r="U1412" s="135" t="s">
        <v>2855</v>
      </c>
      <c r="V1412" s="135" t="s">
        <v>2856</v>
      </c>
      <c r="W1412" s="135" t="s">
        <v>3224</v>
      </c>
      <c r="X1412" s="135" t="s">
        <v>3771</v>
      </c>
      <c r="Y1412" s="135"/>
      <c r="Z1412" s="135" t="s">
        <v>2858</v>
      </c>
      <c r="AA1412" s="135"/>
      <c r="AB1412" s="135"/>
      <c r="AC1412" s="135"/>
      <c r="AD1412" s="135" t="e">
        <v>#N/A</v>
      </c>
      <c r="AE1412" s="135"/>
      <c r="AF1412" s="135"/>
      <c r="AG1412" s="135"/>
    </row>
    <row r="1413" ht="21.75" hidden="1" customHeight="1">
      <c r="A1413" s="135">
        <v>1409.0</v>
      </c>
      <c r="B1413" s="135">
        <v>25045.0</v>
      </c>
      <c r="C1413" s="135"/>
      <c r="D1413" s="135">
        <v>7.0</v>
      </c>
      <c r="E1413" s="135" t="s">
        <v>3694</v>
      </c>
      <c r="F1413" s="135" t="s">
        <v>2361</v>
      </c>
      <c r="G1413" s="135" t="s">
        <v>96</v>
      </c>
      <c r="H1413" s="135" t="s">
        <v>2853</v>
      </c>
      <c r="I1413" s="135" t="s">
        <v>98</v>
      </c>
      <c r="J1413" s="135">
        <v>1.0</v>
      </c>
      <c r="K1413" s="135"/>
      <c r="L1413" s="135">
        <v>3914.0</v>
      </c>
      <c r="M1413" s="135">
        <v>2850.0</v>
      </c>
      <c r="N1413" s="135">
        <v>120.0</v>
      </c>
      <c r="O1413" s="135">
        <v>1.205</v>
      </c>
      <c r="P1413" s="136">
        <v>0.0</v>
      </c>
      <c r="Q1413" s="137">
        <v>3.0125</v>
      </c>
      <c r="R1413" s="136">
        <v>46135.0</v>
      </c>
      <c r="S1413" s="135" t="s">
        <v>3762</v>
      </c>
      <c r="T1413" s="136"/>
      <c r="U1413" s="135" t="s">
        <v>2864</v>
      </c>
      <c r="V1413" s="135" t="s">
        <v>3100</v>
      </c>
      <c r="W1413" s="135" t="s">
        <v>3772</v>
      </c>
      <c r="X1413" s="135" t="s">
        <v>2895</v>
      </c>
      <c r="Y1413" s="135"/>
      <c r="Z1413" s="135" t="s">
        <v>2858</v>
      </c>
      <c r="AA1413" s="135"/>
      <c r="AB1413" s="135"/>
      <c r="AC1413" s="135"/>
      <c r="AD1413" s="135">
        <v>46150.0</v>
      </c>
      <c r="AE1413" s="135"/>
      <c r="AF1413" s="135"/>
      <c r="AG1413" s="135"/>
    </row>
    <row r="1414" ht="21.75" hidden="1" customHeight="1">
      <c r="A1414" s="135">
        <v>1410.0</v>
      </c>
      <c r="B1414" s="135">
        <v>25045.0</v>
      </c>
      <c r="C1414" s="135"/>
      <c r="D1414" s="135">
        <v>7.0</v>
      </c>
      <c r="E1414" s="135" t="s">
        <v>3694</v>
      </c>
      <c r="F1414" s="135" t="s">
        <v>2362</v>
      </c>
      <c r="G1414" s="135" t="s">
        <v>96</v>
      </c>
      <c r="H1414" s="135" t="s">
        <v>2853</v>
      </c>
      <c r="I1414" s="135" t="s">
        <v>98</v>
      </c>
      <c r="J1414" s="135">
        <v>1.0</v>
      </c>
      <c r="K1414" s="135"/>
      <c r="L1414" s="135">
        <v>5000.0</v>
      </c>
      <c r="M1414" s="135">
        <v>2850.0</v>
      </c>
      <c r="N1414" s="135">
        <v>120.0</v>
      </c>
      <c r="O1414" s="135">
        <v>1.91</v>
      </c>
      <c r="P1414" s="136">
        <v>0.0</v>
      </c>
      <c r="Q1414" s="137">
        <v>4.7749999999999995</v>
      </c>
      <c r="R1414" s="136">
        <v>46135.0</v>
      </c>
      <c r="S1414" s="135" t="s">
        <v>3762</v>
      </c>
      <c r="T1414" s="136"/>
      <c r="U1414" s="135" t="s">
        <v>2855</v>
      </c>
      <c r="V1414" s="135" t="s">
        <v>2876</v>
      </c>
      <c r="W1414" s="135" t="s">
        <v>3106</v>
      </c>
      <c r="X1414" s="135"/>
      <c r="Y1414" s="135"/>
      <c r="Z1414" s="135" t="s">
        <v>2858</v>
      </c>
      <c r="AA1414" s="135"/>
      <c r="AB1414" s="135"/>
      <c r="AC1414" s="135"/>
      <c r="AD1414" s="135">
        <v>46150.0</v>
      </c>
      <c r="AE1414" s="135"/>
      <c r="AF1414" s="135"/>
      <c r="AG1414" s="135"/>
    </row>
    <row r="1415" ht="21.75" hidden="1" customHeight="1">
      <c r="A1415" s="135">
        <v>1411.0</v>
      </c>
      <c r="B1415" s="135">
        <v>25045.0</v>
      </c>
      <c r="C1415" s="135"/>
      <c r="D1415" s="135">
        <v>7.0</v>
      </c>
      <c r="E1415" s="135" t="s">
        <v>3694</v>
      </c>
      <c r="F1415" s="135" t="s">
        <v>2363</v>
      </c>
      <c r="G1415" s="135" t="s">
        <v>96</v>
      </c>
      <c r="H1415" s="135" t="s">
        <v>2853</v>
      </c>
      <c r="I1415" s="135" t="s">
        <v>98</v>
      </c>
      <c r="J1415" s="135">
        <v>1.0</v>
      </c>
      <c r="K1415" s="135" t="s">
        <v>3134</v>
      </c>
      <c r="L1415" s="135">
        <v>4909.0</v>
      </c>
      <c r="M1415" s="135">
        <v>2850.0</v>
      </c>
      <c r="N1415" s="135">
        <v>120.0</v>
      </c>
      <c r="O1415" s="135">
        <v>1.89</v>
      </c>
      <c r="P1415" s="136">
        <v>0.0</v>
      </c>
      <c r="Q1415" s="137">
        <v>4.725</v>
      </c>
      <c r="R1415" s="136">
        <v>46135.0</v>
      </c>
      <c r="S1415" s="135" t="s">
        <v>3762</v>
      </c>
      <c r="T1415" s="136"/>
      <c r="U1415" s="135" t="s">
        <v>2855</v>
      </c>
      <c r="V1415" s="135" t="s">
        <v>2876</v>
      </c>
      <c r="W1415" s="135" t="s">
        <v>3698</v>
      </c>
      <c r="X1415" s="135"/>
      <c r="Y1415" s="135"/>
      <c r="Z1415" s="135" t="s">
        <v>2858</v>
      </c>
      <c r="AA1415" s="135"/>
      <c r="AB1415" s="135"/>
      <c r="AC1415" s="135"/>
      <c r="AD1415" s="135">
        <v>46142.0</v>
      </c>
      <c r="AE1415" s="135"/>
      <c r="AF1415" s="135"/>
      <c r="AG1415" s="135"/>
    </row>
    <row r="1416" ht="21.75" hidden="1" customHeight="1">
      <c r="A1416" s="135">
        <v>1412.0</v>
      </c>
      <c r="B1416" s="135">
        <v>25045.0</v>
      </c>
      <c r="C1416" s="135"/>
      <c r="D1416" s="135">
        <v>7.0</v>
      </c>
      <c r="E1416" s="135" t="s">
        <v>3694</v>
      </c>
      <c r="F1416" s="135" t="s">
        <v>2364</v>
      </c>
      <c r="G1416" s="135" t="s">
        <v>96</v>
      </c>
      <c r="H1416" s="135" t="s">
        <v>2853</v>
      </c>
      <c r="I1416" s="135" t="s">
        <v>98</v>
      </c>
      <c r="J1416" s="135">
        <v>1.0</v>
      </c>
      <c r="K1416" s="135" t="s">
        <v>3134</v>
      </c>
      <c r="L1416" s="135">
        <v>4909.0</v>
      </c>
      <c r="M1416" s="135">
        <v>2850.0</v>
      </c>
      <c r="N1416" s="135">
        <v>120.0</v>
      </c>
      <c r="O1416" s="135">
        <v>1.89</v>
      </c>
      <c r="P1416" s="136">
        <v>0.0</v>
      </c>
      <c r="Q1416" s="137">
        <v>4.725</v>
      </c>
      <c r="R1416" s="136">
        <v>46135.0</v>
      </c>
      <c r="S1416" s="135" t="s">
        <v>3762</v>
      </c>
      <c r="T1416" s="136"/>
      <c r="U1416" s="135" t="s">
        <v>2855</v>
      </c>
      <c r="V1416" s="135" t="s">
        <v>2876</v>
      </c>
      <c r="W1416" s="135" t="s">
        <v>3698</v>
      </c>
      <c r="X1416" s="135"/>
      <c r="Y1416" s="135"/>
      <c r="Z1416" s="135" t="s">
        <v>2858</v>
      </c>
      <c r="AA1416" s="135"/>
      <c r="AB1416" s="135"/>
      <c r="AC1416" s="135"/>
      <c r="AD1416" s="135">
        <v>46143.0</v>
      </c>
      <c r="AE1416" s="135"/>
      <c r="AF1416" s="135"/>
      <c r="AG1416" s="135"/>
    </row>
    <row r="1417" ht="21.75" hidden="1" customHeight="1">
      <c r="A1417" s="135">
        <v>1413.0</v>
      </c>
      <c r="B1417" s="135">
        <v>25045.0</v>
      </c>
      <c r="C1417" s="135"/>
      <c r="D1417" s="135">
        <v>7.0</v>
      </c>
      <c r="E1417" s="135" t="s">
        <v>3694</v>
      </c>
      <c r="F1417" s="135" t="s">
        <v>2365</v>
      </c>
      <c r="G1417" s="135" t="s">
        <v>96</v>
      </c>
      <c r="H1417" s="135" t="s">
        <v>2853</v>
      </c>
      <c r="I1417" s="135" t="s">
        <v>98</v>
      </c>
      <c r="J1417" s="135">
        <v>1.0</v>
      </c>
      <c r="K1417" s="135" t="s">
        <v>3134</v>
      </c>
      <c r="L1417" s="135">
        <v>4909.0</v>
      </c>
      <c r="M1417" s="135">
        <v>2850.0</v>
      </c>
      <c r="N1417" s="135">
        <v>120.0</v>
      </c>
      <c r="O1417" s="135">
        <v>1.89</v>
      </c>
      <c r="P1417" s="136">
        <v>0.0</v>
      </c>
      <c r="Q1417" s="137">
        <v>4.725</v>
      </c>
      <c r="R1417" s="136">
        <v>46135.0</v>
      </c>
      <c r="S1417" s="135" t="s">
        <v>3762</v>
      </c>
      <c r="T1417" s="136"/>
      <c r="U1417" s="135" t="s">
        <v>2855</v>
      </c>
      <c r="V1417" s="135" t="s">
        <v>2876</v>
      </c>
      <c r="W1417" s="135" t="s">
        <v>3698</v>
      </c>
      <c r="X1417" s="135"/>
      <c r="Y1417" s="135"/>
      <c r="Z1417" s="135" t="s">
        <v>2858</v>
      </c>
      <c r="AA1417" s="135"/>
      <c r="AB1417" s="135"/>
      <c r="AC1417" s="135"/>
      <c r="AD1417" s="135">
        <v>46144.0</v>
      </c>
      <c r="AE1417" s="135"/>
      <c r="AF1417" s="135"/>
      <c r="AG1417" s="135"/>
    </row>
    <row r="1418" ht="21.75" hidden="1" customHeight="1">
      <c r="A1418" s="135">
        <v>1414.0</v>
      </c>
      <c r="B1418" s="135">
        <v>25045.0</v>
      </c>
      <c r="C1418" s="135"/>
      <c r="D1418" s="135">
        <v>7.0</v>
      </c>
      <c r="E1418" s="135" t="s">
        <v>3694</v>
      </c>
      <c r="F1418" s="135" t="s">
        <v>2366</v>
      </c>
      <c r="G1418" s="135" t="s">
        <v>96</v>
      </c>
      <c r="H1418" s="135" t="s">
        <v>2853</v>
      </c>
      <c r="I1418" s="135" t="s">
        <v>98</v>
      </c>
      <c r="J1418" s="135">
        <v>1.0</v>
      </c>
      <c r="K1418" s="135"/>
      <c r="L1418" s="135">
        <v>4909.0</v>
      </c>
      <c r="M1418" s="135">
        <v>2850.0</v>
      </c>
      <c r="N1418" s="135">
        <v>120.0</v>
      </c>
      <c r="O1418" s="135">
        <v>1.61</v>
      </c>
      <c r="P1418" s="136">
        <v>0.0</v>
      </c>
      <c r="Q1418" s="137">
        <v>4.025</v>
      </c>
      <c r="R1418" s="136">
        <v>46135.0</v>
      </c>
      <c r="S1418" s="135" t="s">
        <v>3762</v>
      </c>
      <c r="T1418" s="136"/>
      <c r="U1418" s="135" t="s">
        <v>2864</v>
      </c>
      <c r="V1418" s="135" t="s">
        <v>2985</v>
      </c>
      <c r="W1418" s="135" t="s">
        <v>3773</v>
      </c>
      <c r="X1418" s="135" t="s">
        <v>2892</v>
      </c>
      <c r="Y1418" s="135"/>
      <c r="Z1418" s="135" t="s">
        <v>2858</v>
      </c>
      <c r="AA1418" s="135"/>
      <c r="AB1418" s="135"/>
      <c r="AC1418" s="135"/>
      <c r="AD1418" s="135">
        <v>46151.0</v>
      </c>
      <c r="AE1418" s="135"/>
      <c r="AF1418" s="135"/>
      <c r="AG1418" s="135"/>
    </row>
    <row r="1419" ht="21.75" hidden="1" customHeight="1">
      <c r="A1419" s="135">
        <v>1415.0</v>
      </c>
      <c r="B1419" s="135">
        <v>25045.0</v>
      </c>
      <c r="C1419" s="135"/>
      <c r="D1419" s="135">
        <v>7.0</v>
      </c>
      <c r="E1419" s="135" t="s">
        <v>3694</v>
      </c>
      <c r="F1419" s="135" t="s">
        <v>2367</v>
      </c>
      <c r="G1419" s="135" t="s">
        <v>96</v>
      </c>
      <c r="H1419" s="135" t="s">
        <v>2853</v>
      </c>
      <c r="I1419" s="135" t="s">
        <v>98</v>
      </c>
      <c r="J1419" s="135">
        <v>1.0</v>
      </c>
      <c r="K1419" s="135"/>
      <c r="L1419" s="135">
        <v>4221.0</v>
      </c>
      <c r="M1419" s="135">
        <v>2850.0</v>
      </c>
      <c r="N1419" s="135">
        <v>120.0</v>
      </c>
      <c r="O1419" s="135">
        <v>1.72</v>
      </c>
      <c r="P1419" s="136">
        <v>0.0</v>
      </c>
      <c r="Q1419" s="137">
        <v>4.3</v>
      </c>
      <c r="R1419" s="136">
        <v>46135.0</v>
      </c>
      <c r="S1419" s="135" t="s">
        <v>3762</v>
      </c>
      <c r="T1419" s="136"/>
      <c r="U1419" s="135" t="s">
        <v>2864</v>
      </c>
      <c r="V1419" s="135" t="s">
        <v>2985</v>
      </c>
      <c r="W1419" s="135" t="s">
        <v>3774</v>
      </c>
      <c r="X1419" s="135"/>
      <c r="Y1419" s="135"/>
      <c r="Z1419" s="135" t="s">
        <v>2858</v>
      </c>
      <c r="AA1419" s="135"/>
      <c r="AB1419" s="135"/>
      <c r="AC1419" s="135"/>
      <c r="AD1419" s="135">
        <v>46150.0</v>
      </c>
      <c r="AE1419" s="135"/>
      <c r="AF1419" s="135"/>
      <c r="AG1419" s="135"/>
    </row>
    <row r="1420" ht="21.75" hidden="1" customHeight="1">
      <c r="A1420" s="135">
        <v>1416.0</v>
      </c>
      <c r="B1420" s="135">
        <v>25045.0</v>
      </c>
      <c r="C1420" s="135"/>
      <c r="D1420" s="135">
        <v>7.0</v>
      </c>
      <c r="E1420" s="135" t="s">
        <v>3694</v>
      </c>
      <c r="F1420" s="135" t="s">
        <v>2368</v>
      </c>
      <c r="G1420" s="135" t="s">
        <v>96</v>
      </c>
      <c r="H1420" s="135" t="s">
        <v>2853</v>
      </c>
      <c r="I1420" s="135" t="s">
        <v>98</v>
      </c>
      <c r="J1420" s="135">
        <v>1.0</v>
      </c>
      <c r="K1420" s="135"/>
      <c r="L1420" s="135">
        <v>1645.0</v>
      </c>
      <c r="M1420" s="135">
        <v>940.0</v>
      </c>
      <c r="N1420" s="135">
        <v>120.0</v>
      </c>
      <c r="O1420" s="135">
        <v>0.32</v>
      </c>
      <c r="P1420" s="136">
        <v>0.0</v>
      </c>
      <c r="Q1420" s="137">
        <v>0.8</v>
      </c>
      <c r="R1420" s="136">
        <v>46135.0</v>
      </c>
      <c r="S1420" s="135" t="s">
        <v>3762</v>
      </c>
      <c r="T1420" s="136"/>
      <c r="U1420" s="135" t="s">
        <v>2864</v>
      </c>
      <c r="V1420" s="135" t="s">
        <v>2953</v>
      </c>
      <c r="W1420" s="135" t="s">
        <v>3775</v>
      </c>
      <c r="X1420" s="135"/>
      <c r="Y1420" s="135"/>
      <c r="Z1420" s="135" t="s">
        <v>2858</v>
      </c>
      <c r="AA1420" s="135"/>
      <c r="AB1420" s="135"/>
      <c r="AC1420" s="135" t="s">
        <v>2863</v>
      </c>
      <c r="AD1420" s="135">
        <v>0.0</v>
      </c>
      <c r="AE1420" s="135"/>
      <c r="AF1420" s="135"/>
      <c r="AG1420" s="135"/>
    </row>
    <row r="1421" ht="21.75" hidden="1" customHeight="1">
      <c r="A1421" s="135">
        <v>1417.0</v>
      </c>
      <c r="B1421" s="135">
        <v>25045.0</v>
      </c>
      <c r="C1421" s="135"/>
      <c r="D1421" s="135">
        <v>7.0</v>
      </c>
      <c r="E1421" s="135" t="s">
        <v>3694</v>
      </c>
      <c r="F1421" s="135" t="s">
        <v>2369</v>
      </c>
      <c r="G1421" s="135" t="s">
        <v>96</v>
      </c>
      <c r="H1421" s="135" t="s">
        <v>2965</v>
      </c>
      <c r="I1421" s="135" t="s">
        <v>98</v>
      </c>
      <c r="J1421" s="135">
        <v>1.0</v>
      </c>
      <c r="K1421" s="135"/>
      <c r="L1421" s="135">
        <v>400.0</v>
      </c>
      <c r="M1421" s="135">
        <v>2550.0</v>
      </c>
      <c r="N1421" s="135">
        <v>350.0</v>
      </c>
      <c r="O1421" s="135">
        <v>0.42</v>
      </c>
      <c r="P1421" s="136">
        <v>0.0</v>
      </c>
      <c r="Q1421" s="137">
        <v>1.05</v>
      </c>
      <c r="R1421" s="136">
        <v>46135.0</v>
      </c>
      <c r="S1421" s="135" t="s">
        <v>3762</v>
      </c>
      <c r="T1421" s="136"/>
      <c r="U1421" s="135" t="s">
        <v>2966</v>
      </c>
      <c r="V1421" s="135" t="s">
        <v>2967</v>
      </c>
      <c r="W1421" s="135"/>
      <c r="X1421" s="135" t="s">
        <v>2968</v>
      </c>
      <c r="Y1421" s="135"/>
      <c r="Z1421" s="135" t="s">
        <v>2858</v>
      </c>
      <c r="AA1421" s="135"/>
      <c r="AB1421" s="135"/>
      <c r="AC1421" s="135" t="s">
        <v>2863</v>
      </c>
      <c r="AD1421" s="135">
        <v>0.0</v>
      </c>
      <c r="AE1421" s="135"/>
      <c r="AF1421" s="135"/>
      <c r="AG1421" s="135"/>
    </row>
    <row r="1422" ht="21.75" hidden="1" customHeight="1">
      <c r="A1422" s="135">
        <v>1418.0</v>
      </c>
      <c r="B1422" s="135">
        <v>25045.0</v>
      </c>
      <c r="C1422" s="135" t="s">
        <v>2817</v>
      </c>
      <c r="D1422" s="135">
        <v>7.0</v>
      </c>
      <c r="E1422" s="135" t="s">
        <v>3696</v>
      </c>
      <c r="F1422" s="135" t="s">
        <v>2382</v>
      </c>
      <c r="G1422" s="135" t="s">
        <v>96</v>
      </c>
      <c r="H1422" s="135" t="s">
        <v>2853</v>
      </c>
      <c r="I1422" s="135" t="s">
        <v>99</v>
      </c>
      <c r="J1422" s="135">
        <v>1.0</v>
      </c>
      <c r="K1422" s="135" t="s">
        <v>3134</v>
      </c>
      <c r="L1422" s="135">
        <v>2195.0</v>
      </c>
      <c r="M1422" s="135">
        <v>2900.0</v>
      </c>
      <c r="N1422" s="135">
        <v>120.0</v>
      </c>
      <c r="O1422" s="135">
        <v>0.79</v>
      </c>
      <c r="P1422" s="136">
        <v>0.0</v>
      </c>
      <c r="Q1422" s="137">
        <v>1.975</v>
      </c>
      <c r="R1422" s="136">
        <v>46135.0</v>
      </c>
      <c r="S1422" s="135" t="s">
        <v>3762</v>
      </c>
      <c r="T1422" s="136"/>
      <c r="U1422" s="135" t="s">
        <v>2864</v>
      </c>
      <c r="V1422" s="135" t="s">
        <v>2878</v>
      </c>
      <c r="W1422" s="135" t="s">
        <v>3763</v>
      </c>
      <c r="X1422" s="135" t="s">
        <v>3764</v>
      </c>
      <c r="Y1422" s="135"/>
      <c r="Z1422" s="135" t="s">
        <v>2858</v>
      </c>
      <c r="AA1422" s="135"/>
      <c r="AB1422" s="135"/>
      <c r="AC1422" s="135"/>
      <c r="AD1422" s="135" t="e">
        <v>#N/A</v>
      </c>
      <c r="AE1422" s="135"/>
      <c r="AF1422" s="135"/>
      <c r="AG1422" s="135"/>
    </row>
    <row r="1423" ht="21.75" hidden="1" customHeight="1">
      <c r="A1423" s="135">
        <v>1419.0</v>
      </c>
      <c r="B1423" s="135">
        <v>25045.0</v>
      </c>
      <c r="C1423" s="135" t="s">
        <v>2817</v>
      </c>
      <c r="D1423" s="135">
        <v>7.0</v>
      </c>
      <c r="E1423" s="135" t="s">
        <v>3709</v>
      </c>
      <c r="F1423" s="135" t="s">
        <v>2448</v>
      </c>
      <c r="G1423" s="135" t="s">
        <v>96</v>
      </c>
      <c r="H1423" s="135" t="s">
        <v>2853</v>
      </c>
      <c r="I1423" s="135" t="s">
        <v>103</v>
      </c>
      <c r="J1423" s="135">
        <v>1.0</v>
      </c>
      <c r="K1423" s="135" t="s">
        <v>3134</v>
      </c>
      <c r="L1423" s="135">
        <v>2195.0</v>
      </c>
      <c r="M1423" s="135">
        <v>2900.0</v>
      </c>
      <c r="N1423" s="135">
        <v>120.0</v>
      </c>
      <c r="O1423" s="135">
        <v>0.79</v>
      </c>
      <c r="P1423" s="136">
        <v>0.0</v>
      </c>
      <c r="Q1423" s="137">
        <v>1.975</v>
      </c>
      <c r="R1423" s="136">
        <v>46135.0</v>
      </c>
      <c r="S1423" s="135" t="s">
        <v>3762</v>
      </c>
      <c r="T1423" s="136"/>
      <c r="U1423" s="135" t="s">
        <v>2864</v>
      </c>
      <c r="V1423" s="135" t="s">
        <v>2878</v>
      </c>
      <c r="W1423" s="135" t="s">
        <v>3763</v>
      </c>
      <c r="X1423" s="135" t="s">
        <v>3764</v>
      </c>
      <c r="Y1423" s="135"/>
      <c r="Z1423" s="135" t="s">
        <v>2858</v>
      </c>
      <c r="AA1423" s="135"/>
      <c r="AB1423" s="135"/>
      <c r="AC1423" s="135"/>
      <c r="AD1423" s="135" t="e">
        <v>#N/A</v>
      </c>
      <c r="AE1423" s="135"/>
      <c r="AF1423" s="135"/>
      <c r="AG1423" s="135"/>
    </row>
    <row r="1424" ht="21.75" hidden="1" customHeight="1">
      <c r="A1424" s="135">
        <v>1420.0</v>
      </c>
      <c r="B1424" s="135">
        <v>25045.0</v>
      </c>
      <c r="C1424" s="135"/>
      <c r="D1424" s="135">
        <v>7.0</v>
      </c>
      <c r="E1424" s="135" t="s">
        <v>3696</v>
      </c>
      <c r="F1424" s="135" t="s">
        <v>2383</v>
      </c>
      <c r="G1424" s="135" t="s">
        <v>96</v>
      </c>
      <c r="H1424" s="135" t="s">
        <v>2853</v>
      </c>
      <c r="I1424" s="135" t="s">
        <v>99</v>
      </c>
      <c r="J1424" s="135">
        <v>1.0</v>
      </c>
      <c r="K1424" s="135"/>
      <c r="L1424" s="135">
        <v>3914.0</v>
      </c>
      <c r="M1424" s="135">
        <v>2850.0</v>
      </c>
      <c r="N1424" s="135">
        <v>120.0</v>
      </c>
      <c r="O1424" s="135">
        <v>1.205</v>
      </c>
      <c r="P1424" s="136">
        <v>0.0</v>
      </c>
      <c r="Q1424" s="137">
        <v>3.0125</v>
      </c>
      <c r="R1424" s="136">
        <v>46135.0</v>
      </c>
      <c r="S1424" s="135" t="s">
        <v>3762</v>
      </c>
      <c r="T1424" s="136"/>
      <c r="U1424" s="135" t="s">
        <v>2864</v>
      </c>
      <c r="V1424" s="135" t="s">
        <v>3100</v>
      </c>
      <c r="W1424" s="135" t="s">
        <v>3776</v>
      </c>
      <c r="X1424" s="135" t="s">
        <v>2892</v>
      </c>
      <c r="Y1424" s="135"/>
      <c r="Z1424" s="135" t="s">
        <v>2858</v>
      </c>
      <c r="AA1424" s="135"/>
      <c r="AB1424" s="135"/>
      <c r="AC1424" s="135"/>
      <c r="AD1424" s="135">
        <v>46150.0</v>
      </c>
      <c r="AE1424" s="135"/>
      <c r="AF1424" s="135"/>
      <c r="AG1424" s="135"/>
    </row>
    <row r="1425" ht="21.75" hidden="1" customHeight="1">
      <c r="A1425" s="135">
        <v>1421.0</v>
      </c>
      <c r="B1425" s="135">
        <v>25045.0</v>
      </c>
      <c r="C1425" s="135"/>
      <c r="D1425" s="135">
        <v>7.0</v>
      </c>
      <c r="E1425" s="135" t="s">
        <v>3696</v>
      </c>
      <c r="F1425" s="135" t="s">
        <v>2384</v>
      </c>
      <c r="G1425" s="135" t="s">
        <v>96</v>
      </c>
      <c r="H1425" s="135" t="s">
        <v>2853</v>
      </c>
      <c r="I1425" s="135" t="s">
        <v>99</v>
      </c>
      <c r="J1425" s="135">
        <v>1.0</v>
      </c>
      <c r="K1425" s="135"/>
      <c r="L1425" s="135">
        <v>4165.0</v>
      </c>
      <c r="M1425" s="135">
        <v>2850.0</v>
      </c>
      <c r="N1425" s="135">
        <v>120.0</v>
      </c>
      <c r="O1425" s="135">
        <v>1.71</v>
      </c>
      <c r="P1425" s="136">
        <v>0.0</v>
      </c>
      <c r="Q1425" s="137">
        <v>4.275</v>
      </c>
      <c r="R1425" s="136">
        <v>46135.0</v>
      </c>
      <c r="S1425" s="135" t="s">
        <v>3762</v>
      </c>
      <c r="T1425" s="136"/>
      <c r="U1425" s="135" t="s">
        <v>2864</v>
      </c>
      <c r="V1425" s="135" t="s">
        <v>2985</v>
      </c>
      <c r="W1425" s="135" t="s">
        <v>3777</v>
      </c>
      <c r="X1425" s="135"/>
      <c r="Y1425" s="135"/>
      <c r="Z1425" s="135" t="s">
        <v>2858</v>
      </c>
      <c r="AA1425" s="135"/>
      <c r="AB1425" s="135"/>
      <c r="AC1425" s="135"/>
      <c r="AD1425" s="135">
        <v>46149.0</v>
      </c>
      <c r="AE1425" s="135"/>
      <c r="AF1425" s="135"/>
      <c r="AG1425" s="135"/>
    </row>
    <row r="1426" ht="21.75" hidden="1" customHeight="1">
      <c r="A1426" s="135">
        <v>1422.0</v>
      </c>
      <c r="B1426" s="135">
        <v>25045.0</v>
      </c>
      <c r="C1426" s="135"/>
      <c r="D1426" s="135">
        <v>7.0</v>
      </c>
      <c r="E1426" s="135" t="s">
        <v>3696</v>
      </c>
      <c r="F1426" s="135" t="s">
        <v>2385</v>
      </c>
      <c r="G1426" s="135" t="s">
        <v>96</v>
      </c>
      <c r="H1426" s="135" t="s">
        <v>2853</v>
      </c>
      <c r="I1426" s="135" t="s">
        <v>99</v>
      </c>
      <c r="J1426" s="135">
        <v>1.0</v>
      </c>
      <c r="K1426" s="135"/>
      <c r="L1426" s="135">
        <v>1635.0</v>
      </c>
      <c r="M1426" s="135">
        <v>1310.0</v>
      </c>
      <c r="N1426" s="135">
        <v>120.0</v>
      </c>
      <c r="O1426" s="135">
        <v>0.36</v>
      </c>
      <c r="P1426" s="136">
        <v>0.0</v>
      </c>
      <c r="Q1426" s="137">
        <v>0.8999999999999999</v>
      </c>
      <c r="R1426" s="136">
        <v>46135.0</v>
      </c>
      <c r="S1426" s="135" t="s">
        <v>3762</v>
      </c>
      <c r="T1426" s="136"/>
      <c r="U1426" s="135" t="s">
        <v>2864</v>
      </c>
      <c r="V1426" s="135" t="s">
        <v>2953</v>
      </c>
      <c r="W1426" s="135" t="s">
        <v>3778</v>
      </c>
      <c r="X1426" s="135"/>
      <c r="Y1426" s="135"/>
      <c r="Z1426" s="135" t="s">
        <v>2858</v>
      </c>
      <c r="AA1426" s="135"/>
      <c r="AB1426" s="135"/>
      <c r="AC1426" s="135"/>
      <c r="AD1426" s="135">
        <v>46146.0</v>
      </c>
      <c r="AE1426" s="135"/>
      <c r="AF1426" s="135"/>
      <c r="AG1426" s="135"/>
    </row>
    <row r="1427" ht="21.75" hidden="1" customHeight="1">
      <c r="A1427" s="135">
        <v>1423.0</v>
      </c>
      <c r="B1427" s="135">
        <v>25045.0</v>
      </c>
      <c r="C1427" s="135"/>
      <c r="D1427" s="135">
        <v>7.0</v>
      </c>
      <c r="E1427" s="135" t="s">
        <v>3696</v>
      </c>
      <c r="F1427" s="135" t="s">
        <v>2386</v>
      </c>
      <c r="G1427" s="135" t="s">
        <v>96</v>
      </c>
      <c r="H1427" s="135" t="s">
        <v>2965</v>
      </c>
      <c r="I1427" s="135" t="s">
        <v>99</v>
      </c>
      <c r="J1427" s="135">
        <v>1.0</v>
      </c>
      <c r="K1427" s="135"/>
      <c r="L1427" s="135">
        <v>400.0</v>
      </c>
      <c r="M1427" s="135">
        <v>2930.0</v>
      </c>
      <c r="N1427" s="135">
        <v>350.0</v>
      </c>
      <c r="O1427" s="135">
        <v>0.48</v>
      </c>
      <c r="P1427" s="136">
        <v>0.0</v>
      </c>
      <c r="Q1427" s="137">
        <v>1.2</v>
      </c>
      <c r="R1427" s="136">
        <v>46135.0</v>
      </c>
      <c r="S1427" s="135" t="s">
        <v>3762</v>
      </c>
      <c r="T1427" s="136"/>
      <c r="U1427" s="135" t="s">
        <v>2966</v>
      </c>
      <c r="V1427" s="135" t="s">
        <v>2967</v>
      </c>
      <c r="W1427" s="135"/>
      <c r="X1427" s="135" t="s">
        <v>2968</v>
      </c>
      <c r="Y1427" s="135"/>
      <c r="Z1427" s="135" t="s">
        <v>2858</v>
      </c>
      <c r="AA1427" s="135"/>
      <c r="AB1427" s="135"/>
      <c r="AC1427" s="135"/>
      <c r="AD1427" s="135">
        <v>46150.0</v>
      </c>
      <c r="AE1427" s="135"/>
      <c r="AF1427" s="135"/>
      <c r="AG1427" s="135"/>
    </row>
    <row r="1428" ht="21.75" hidden="1" customHeight="1">
      <c r="A1428" s="135">
        <v>1424.0</v>
      </c>
      <c r="B1428" s="135">
        <v>25045.0</v>
      </c>
      <c r="C1428" s="135"/>
      <c r="D1428" s="135">
        <v>7.0</v>
      </c>
      <c r="E1428" s="135" t="s">
        <v>3700</v>
      </c>
      <c r="F1428" s="135" t="s">
        <v>2397</v>
      </c>
      <c r="G1428" s="135" t="s">
        <v>96</v>
      </c>
      <c r="H1428" s="135" t="s">
        <v>2853</v>
      </c>
      <c r="I1428" s="135" t="s">
        <v>100</v>
      </c>
      <c r="J1428" s="135">
        <v>1.0</v>
      </c>
      <c r="K1428" s="135"/>
      <c r="L1428" s="135">
        <v>3420.0</v>
      </c>
      <c r="M1428" s="135">
        <v>3100.0</v>
      </c>
      <c r="N1428" s="135">
        <v>120.0</v>
      </c>
      <c r="O1428" s="135">
        <v>1.26</v>
      </c>
      <c r="P1428" s="136">
        <v>0.0</v>
      </c>
      <c r="Q1428" s="137">
        <v>3.15</v>
      </c>
      <c r="R1428" s="136">
        <v>46135.0</v>
      </c>
      <c r="S1428" s="135" t="s">
        <v>3762</v>
      </c>
      <c r="T1428" s="136"/>
      <c r="U1428" s="135" t="s">
        <v>2864</v>
      </c>
      <c r="V1428" s="135" t="s">
        <v>2878</v>
      </c>
      <c r="W1428" s="135" t="s">
        <v>2932</v>
      </c>
      <c r="X1428" s="135" t="s">
        <v>2933</v>
      </c>
      <c r="Y1428" s="135"/>
      <c r="Z1428" s="135" t="s">
        <v>2858</v>
      </c>
      <c r="AA1428" s="135"/>
      <c r="AB1428" s="135"/>
      <c r="AC1428" s="135"/>
      <c r="AD1428" s="135">
        <v>46140.0</v>
      </c>
      <c r="AE1428" s="135"/>
      <c r="AF1428" s="135"/>
      <c r="AG1428" s="135"/>
    </row>
    <row r="1429" ht="21.75" hidden="1" customHeight="1">
      <c r="A1429" s="135">
        <v>1425.0</v>
      </c>
      <c r="B1429" s="135">
        <v>25045.0</v>
      </c>
      <c r="C1429" s="135"/>
      <c r="D1429" s="135">
        <v>7.0</v>
      </c>
      <c r="E1429" s="135" t="s">
        <v>3700</v>
      </c>
      <c r="F1429" s="135" t="s">
        <v>2398</v>
      </c>
      <c r="G1429" s="135" t="s">
        <v>96</v>
      </c>
      <c r="H1429" s="135" t="s">
        <v>2853</v>
      </c>
      <c r="I1429" s="135" t="s">
        <v>100</v>
      </c>
      <c r="J1429" s="135">
        <v>1.0</v>
      </c>
      <c r="K1429" s="135"/>
      <c r="L1429" s="135">
        <v>3090.0</v>
      </c>
      <c r="M1429" s="135">
        <v>3100.0</v>
      </c>
      <c r="N1429" s="135">
        <v>120.0</v>
      </c>
      <c r="O1429" s="135">
        <v>1.13</v>
      </c>
      <c r="P1429" s="136">
        <v>0.0</v>
      </c>
      <c r="Q1429" s="137">
        <v>2.8249999999999997</v>
      </c>
      <c r="R1429" s="136">
        <v>46135.0</v>
      </c>
      <c r="S1429" s="135" t="s">
        <v>3762</v>
      </c>
      <c r="T1429" s="136"/>
      <c r="U1429" s="135" t="s">
        <v>2864</v>
      </c>
      <c r="V1429" s="135" t="s">
        <v>2878</v>
      </c>
      <c r="W1429" s="135" t="s">
        <v>2934</v>
      </c>
      <c r="X1429" s="135" t="s">
        <v>2935</v>
      </c>
      <c r="Y1429" s="135"/>
      <c r="Z1429" s="135" t="s">
        <v>2858</v>
      </c>
      <c r="AA1429" s="135"/>
      <c r="AB1429" s="135"/>
      <c r="AC1429" s="135"/>
      <c r="AD1429" s="135">
        <v>46141.0</v>
      </c>
      <c r="AE1429" s="135"/>
      <c r="AF1429" s="135"/>
      <c r="AG1429" s="135"/>
    </row>
    <row r="1430" ht="21.75" hidden="1" customHeight="1">
      <c r="A1430" s="135">
        <v>1426.0</v>
      </c>
      <c r="B1430" s="135">
        <v>25045.0</v>
      </c>
      <c r="C1430" s="135" t="s">
        <v>2817</v>
      </c>
      <c r="D1430" s="135">
        <v>7.0</v>
      </c>
      <c r="E1430" s="135" t="s">
        <v>3700</v>
      </c>
      <c r="F1430" s="135" t="s">
        <v>2399</v>
      </c>
      <c r="G1430" s="135" t="s">
        <v>96</v>
      </c>
      <c r="H1430" s="135" t="s">
        <v>2853</v>
      </c>
      <c r="I1430" s="135" t="s">
        <v>100</v>
      </c>
      <c r="J1430" s="135">
        <v>1.0</v>
      </c>
      <c r="K1430" s="135" t="s">
        <v>3134</v>
      </c>
      <c r="L1430" s="135">
        <v>2595.0</v>
      </c>
      <c r="M1430" s="135">
        <v>2850.0</v>
      </c>
      <c r="N1430" s="135">
        <v>120.0</v>
      </c>
      <c r="O1430" s="135">
        <v>0.91</v>
      </c>
      <c r="P1430" s="136">
        <v>0.0</v>
      </c>
      <c r="Q1430" s="137">
        <v>2.275</v>
      </c>
      <c r="R1430" s="136">
        <v>46135.0</v>
      </c>
      <c r="S1430" s="135" t="s">
        <v>3762</v>
      </c>
      <c r="T1430" s="136"/>
      <c r="U1430" s="135" t="s">
        <v>2864</v>
      </c>
      <c r="V1430" s="135" t="s">
        <v>2878</v>
      </c>
      <c r="W1430" s="135" t="s">
        <v>3779</v>
      </c>
      <c r="X1430" s="135" t="s">
        <v>3586</v>
      </c>
      <c r="Y1430" s="135"/>
      <c r="Z1430" s="135" t="s">
        <v>2858</v>
      </c>
      <c r="AA1430" s="135"/>
      <c r="AB1430" s="135"/>
      <c r="AC1430" s="135"/>
      <c r="AD1430" s="135" t="e">
        <v>#N/A</v>
      </c>
      <c r="AE1430" s="135"/>
      <c r="AF1430" s="135"/>
      <c r="AG1430" s="135"/>
    </row>
    <row r="1431" ht="21.75" hidden="1" customHeight="1">
      <c r="A1431" s="135">
        <v>1427.0</v>
      </c>
      <c r="B1431" s="135">
        <v>25045.0</v>
      </c>
      <c r="C1431" s="135" t="s">
        <v>2817</v>
      </c>
      <c r="D1431" s="135">
        <v>7.0</v>
      </c>
      <c r="E1431" s="135" t="s">
        <v>3716</v>
      </c>
      <c r="F1431" s="135" t="s">
        <v>2468</v>
      </c>
      <c r="G1431" s="135" t="s">
        <v>96</v>
      </c>
      <c r="H1431" s="135" t="s">
        <v>2853</v>
      </c>
      <c r="I1431" s="135" t="s">
        <v>104</v>
      </c>
      <c r="J1431" s="135">
        <v>1.0</v>
      </c>
      <c r="K1431" s="135" t="s">
        <v>3134</v>
      </c>
      <c r="L1431" s="135">
        <v>2595.0</v>
      </c>
      <c r="M1431" s="135">
        <v>2850.0</v>
      </c>
      <c r="N1431" s="135">
        <v>120.0</v>
      </c>
      <c r="O1431" s="135">
        <v>0.91</v>
      </c>
      <c r="P1431" s="136">
        <v>0.0</v>
      </c>
      <c r="Q1431" s="137">
        <v>2.275</v>
      </c>
      <c r="R1431" s="136">
        <v>46135.0</v>
      </c>
      <c r="S1431" s="135" t="s">
        <v>3762</v>
      </c>
      <c r="T1431" s="136"/>
      <c r="U1431" s="135" t="s">
        <v>2864</v>
      </c>
      <c r="V1431" s="135" t="s">
        <v>2878</v>
      </c>
      <c r="W1431" s="135" t="s">
        <v>3779</v>
      </c>
      <c r="X1431" s="135" t="s">
        <v>3586</v>
      </c>
      <c r="Y1431" s="135"/>
      <c r="Z1431" s="135" t="s">
        <v>2858</v>
      </c>
      <c r="AA1431" s="135"/>
      <c r="AB1431" s="135"/>
      <c r="AC1431" s="135"/>
      <c r="AD1431" s="135" t="e">
        <v>#N/A</v>
      </c>
      <c r="AE1431" s="135"/>
      <c r="AF1431" s="135"/>
      <c r="AG1431" s="135"/>
    </row>
    <row r="1432" ht="21.75" hidden="1" customHeight="1">
      <c r="A1432" s="135">
        <v>1428.0</v>
      </c>
      <c r="B1432" s="135">
        <v>25045.0</v>
      </c>
      <c r="C1432" s="135"/>
      <c r="D1432" s="135">
        <v>7.0</v>
      </c>
      <c r="E1432" s="135" t="s">
        <v>3700</v>
      </c>
      <c r="F1432" s="135" t="s">
        <v>2400</v>
      </c>
      <c r="G1432" s="135" t="s">
        <v>96</v>
      </c>
      <c r="H1432" s="135" t="s">
        <v>2853</v>
      </c>
      <c r="I1432" s="135" t="s">
        <v>100</v>
      </c>
      <c r="J1432" s="135">
        <v>1.0</v>
      </c>
      <c r="K1432" s="135"/>
      <c r="L1432" s="135">
        <v>3590.0</v>
      </c>
      <c r="M1432" s="135">
        <v>3100.0</v>
      </c>
      <c r="N1432" s="135">
        <v>120.0</v>
      </c>
      <c r="O1432" s="135">
        <v>1.38</v>
      </c>
      <c r="P1432" s="136">
        <v>0.0</v>
      </c>
      <c r="Q1432" s="137">
        <v>3.4499999999999997</v>
      </c>
      <c r="R1432" s="136">
        <v>46135.0</v>
      </c>
      <c r="S1432" s="135" t="s">
        <v>3762</v>
      </c>
      <c r="T1432" s="136"/>
      <c r="U1432" s="135" t="s">
        <v>2864</v>
      </c>
      <c r="V1432" s="135" t="s">
        <v>2865</v>
      </c>
      <c r="W1432" s="135" t="s">
        <v>2937</v>
      </c>
      <c r="X1432" s="135" t="s">
        <v>2935</v>
      </c>
      <c r="Y1432" s="135"/>
      <c r="Z1432" s="135" t="s">
        <v>2858</v>
      </c>
      <c r="AA1432" s="135"/>
      <c r="AB1432" s="135"/>
      <c r="AC1432" s="135"/>
      <c r="AD1432" s="135">
        <v>46153.0</v>
      </c>
      <c r="AE1432" s="135"/>
      <c r="AF1432" s="135"/>
      <c r="AG1432" s="135"/>
    </row>
    <row r="1433" ht="21.75" hidden="1" customHeight="1">
      <c r="A1433" s="135">
        <v>1429.0</v>
      </c>
      <c r="B1433" s="135">
        <v>25045.0</v>
      </c>
      <c r="C1433" s="135"/>
      <c r="D1433" s="135">
        <v>7.0</v>
      </c>
      <c r="E1433" s="135" t="s">
        <v>3700</v>
      </c>
      <c r="F1433" s="135" t="s">
        <v>2401</v>
      </c>
      <c r="G1433" s="135" t="s">
        <v>96</v>
      </c>
      <c r="H1433" s="135" t="s">
        <v>2853</v>
      </c>
      <c r="I1433" s="135" t="s">
        <v>100</v>
      </c>
      <c r="J1433" s="135">
        <v>1.0</v>
      </c>
      <c r="K1433" s="135"/>
      <c r="L1433" s="135">
        <v>4920.0</v>
      </c>
      <c r="M1433" s="135">
        <v>3100.0</v>
      </c>
      <c r="N1433" s="135">
        <v>120.0</v>
      </c>
      <c r="O1433" s="135">
        <v>1.9</v>
      </c>
      <c r="P1433" s="136">
        <v>0.0</v>
      </c>
      <c r="Q1433" s="137">
        <v>4.75</v>
      </c>
      <c r="R1433" s="136">
        <v>46135.0</v>
      </c>
      <c r="S1433" s="135" t="s">
        <v>3762</v>
      </c>
      <c r="T1433" s="136"/>
      <c r="U1433" s="135" t="s">
        <v>2855</v>
      </c>
      <c r="V1433" s="135" t="s">
        <v>2876</v>
      </c>
      <c r="W1433" s="135" t="s">
        <v>3508</v>
      </c>
      <c r="X1433" s="135" t="s">
        <v>2933</v>
      </c>
      <c r="Y1433" s="135"/>
      <c r="Z1433" s="135" t="s">
        <v>2858</v>
      </c>
      <c r="AA1433" s="135"/>
      <c r="AB1433" s="135"/>
      <c r="AC1433" s="135"/>
      <c r="AD1433" s="135">
        <v>46151.0</v>
      </c>
      <c r="AE1433" s="135"/>
      <c r="AF1433" s="135"/>
      <c r="AG1433" s="135"/>
    </row>
    <row r="1434" ht="21.75" hidden="1" customHeight="1">
      <c r="A1434" s="135">
        <v>1430.0</v>
      </c>
      <c r="B1434" s="135">
        <v>25045.0</v>
      </c>
      <c r="C1434" s="135"/>
      <c r="D1434" s="135">
        <v>7.0</v>
      </c>
      <c r="E1434" s="135" t="s">
        <v>3700</v>
      </c>
      <c r="F1434" s="135" t="s">
        <v>2402</v>
      </c>
      <c r="G1434" s="135" t="s">
        <v>96</v>
      </c>
      <c r="H1434" s="135" t="s">
        <v>2853</v>
      </c>
      <c r="I1434" s="135" t="s">
        <v>100</v>
      </c>
      <c r="J1434" s="135">
        <v>1.0</v>
      </c>
      <c r="K1434" s="135"/>
      <c r="L1434" s="135">
        <v>3914.0</v>
      </c>
      <c r="M1434" s="135">
        <v>2850.0</v>
      </c>
      <c r="N1434" s="135">
        <v>120.0</v>
      </c>
      <c r="O1434" s="135">
        <v>1.21</v>
      </c>
      <c r="P1434" s="136">
        <v>0.0</v>
      </c>
      <c r="Q1434" s="137">
        <v>3.025</v>
      </c>
      <c r="R1434" s="136">
        <v>46135.0</v>
      </c>
      <c r="S1434" s="135" t="s">
        <v>3762</v>
      </c>
      <c r="T1434" s="136"/>
      <c r="U1434" s="135" t="s">
        <v>2864</v>
      </c>
      <c r="V1434" s="135" t="s">
        <v>3100</v>
      </c>
      <c r="W1434" s="135" t="s">
        <v>3772</v>
      </c>
      <c r="X1434" s="135" t="s">
        <v>2895</v>
      </c>
      <c r="Y1434" s="135"/>
      <c r="Z1434" s="135" t="s">
        <v>2858</v>
      </c>
      <c r="AA1434" s="135"/>
      <c r="AB1434" s="135"/>
      <c r="AC1434" s="135"/>
      <c r="AD1434" s="135">
        <v>46148.0</v>
      </c>
      <c r="AE1434" s="135"/>
      <c r="AF1434" s="135"/>
      <c r="AG1434" s="135"/>
    </row>
    <row r="1435" ht="21.75" hidden="1" customHeight="1">
      <c r="A1435" s="135">
        <v>1431.0</v>
      </c>
      <c r="B1435" s="135">
        <v>25045.0</v>
      </c>
      <c r="C1435" s="135"/>
      <c r="D1435" s="135">
        <v>7.0</v>
      </c>
      <c r="E1435" s="135" t="s">
        <v>3700</v>
      </c>
      <c r="F1435" s="135" t="s">
        <v>2403</v>
      </c>
      <c r="G1435" s="135" t="s">
        <v>96</v>
      </c>
      <c r="H1435" s="135" t="s">
        <v>2853</v>
      </c>
      <c r="I1435" s="135" t="s">
        <v>100</v>
      </c>
      <c r="J1435" s="135">
        <v>1.0</v>
      </c>
      <c r="K1435" s="135"/>
      <c r="L1435" s="135">
        <v>5000.0</v>
      </c>
      <c r="M1435" s="135">
        <v>2850.0</v>
      </c>
      <c r="N1435" s="135">
        <v>120.0</v>
      </c>
      <c r="O1435" s="135">
        <v>1.91</v>
      </c>
      <c r="P1435" s="136">
        <v>0.0</v>
      </c>
      <c r="Q1435" s="137">
        <v>4.7749999999999995</v>
      </c>
      <c r="R1435" s="136">
        <v>46135.0</v>
      </c>
      <c r="S1435" s="135" t="s">
        <v>3762</v>
      </c>
      <c r="T1435" s="136"/>
      <c r="U1435" s="135" t="s">
        <v>2855</v>
      </c>
      <c r="V1435" s="135" t="s">
        <v>2876</v>
      </c>
      <c r="W1435" s="135" t="s">
        <v>3106</v>
      </c>
      <c r="X1435" s="135"/>
      <c r="Y1435" s="135"/>
      <c r="Z1435" s="135" t="s">
        <v>2858</v>
      </c>
      <c r="AA1435" s="135"/>
      <c r="AB1435" s="135"/>
      <c r="AC1435" s="135"/>
      <c r="AD1435" s="135">
        <v>46148.0</v>
      </c>
      <c r="AE1435" s="135"/>
      <c r="AF1435" s="135"/>
      <c r="AG1435" s="135"/>
    </row>
    <row r="1436" ht="21.75" hidden="1" customHeight="1">
      <c r="A1436" s="135">
        <v>1432.0</v>
      </c>
      <c r="B1436" s="135">
        <v>25045.0</v>
      </c>
      <c r="C1436" s="135"/>
      <c r="D1436" s="135">
        <v>7.0</v>
      </c>
      <c r="E1436" s="135" t="s">
        <v>3700</v>
      </c>
      <c r="F1436" s="135" t="s">
        <v>2404</v>
      </c>
      <c r="G1436" s="135" t="s">
        <v>96</v>
      </c>
      <c r="H1436" s="135" t="s">
        <v>2853</v>
      </c>
      <c r="I1436" s="135" t="s">
        <v>100</v>
      </c>
      <c r="J1436" s="135">
        <v>1.0</v>
      </c>
      <c r="K1436" s="135"/>
      <c r="L1436" s="135">
        <v>3960.0</v>
      </c>
      <c r="M1436" s="135">
        <v>2950.0</v>
      </c>
      <c r="N1436" s="135">
        <v>300.0</v>
      </c>
      <c r="O1436" s="135">
        <v>2.192</v>
      </c>
      <c r="P1436" s="136">
        <v>0.0</v>
      </c>
      <c r="Q1436" s="137">
        <v>5.48</v>
      </c>
      <c r="R1436" s="136">
        <v>46135.0</v>
      </c>
      <c r="S1436" s="135" t="s">
        <v>3762</v>
      </c>
      <c r="T1436" s="136"/>
      <c r="U1436" s="135" t="s">
        <v>2864</v>
      </c>
      <c r="V1436" s="135" t="s">
        <v>3270</v>
      </c>
      <c r="W1436" s="135"/>
      <c r="X1436" s="135"/>
      <c r="Y1436" s="135" t="s">
        <v>2886</v>
      </c>
      <c r="Z1436" s="135" t="s">
        <v>2858</v>
      </c>
      <c r="AA1436" s="135"/>
      <c r="AB1436" s="135"/>
      <c r="AC1436" s="135"/>
      <c r="AD1436" s="135">
        <v>46142.0</v>
      </c>
      <c r="AE1436" s="135"/>
      <c r="AF1436" s="135"/>
      <c r="AG1436" s="135"/>
    </row>
    <row r="1437" ht="21.75" hidden="1" customHeight="1">
      <c r="A1437" s="135">
        <v>1433.0</v>
      </c>
      <c r="B1437" s="135">
        <v>25045.0</v>
      </c>
      <c r="C1437" s="135"/>
      <c r="D1437" s="135">
        <v>7.0</v>
      </c>
      <c r="E1437" s="135" t="s">
        <v>3700</v>
      </c>
      <c r="F1437" s="135" t="s">
        <v>2405</v>
      </c>
      <c r="G1437" s="135" t="s">
        <v>96</v>
      </c>
      <c r="H1437" s="135" t="s">
        <v>2853</v>
      </c>
      <c r="I1437" s="135" t="s">
        <v>100</v>
      </c>
      <c r="J1437" s="135">
        <v>1.0</v>
      </c>
      <c r="K1437" s="135"/>
      <c r="L1437" s="135">
        <v>1635.0</v>
      </c>
      <c r="M1437" s="135">
        <v>1310.0</v>
      </c>
      <c r="N1437" s="135">
        <v>120.0</v>
      </c>
      <c r="O1437" s="135">
        <v>0.36</v>
      </c>
      <c r="P1437" s="136">
        <v>0.0</v>
      </c>
      <c r="Q1437" s="137">
        <v>0.8999999999999999</v>
      </c>
      <c r="R1437" s="136">
        <v>46135.0</v>
      </c>
      <c r="S1437" s="135" t="s">
        <v>3762</v>
      </c>
      <c r="T1437" s="136"/>
      <c r="U1437" s="135" t="s">
        <v>2864</v>
      </c>
      <c r="V1437" s="135" t="s">
        <v>2953</v>
      </c>
      <c r="W1437" s="135" t="s">
        <v>3780</v>
      </c>
      <c r="X1437" s="135"/>
      <c r="Y1437" s="135"/>
      <c r="Z1437" s="135" t="s">
        <v>2858</v>
      </c>
      <c r="AA1437" s="135"/>
      <c r="AB1437" s="135"/>
      <c r="AC1437" s="135"/>
      <c r="AD1437" s="135">
        <v>46148.0</v>
      </c>
      <c r="AE1437" s="135"/>
      <c r="AF1437" s="135"/>
      <c r="AG1437" s="135"/>
    </row>
    <row r="1438" ht="21.75" hidden="1" customHeight="1">
      <c r="A1438" s="135">
        <v>1434.0</v>
      </c>
      <c r="B1438" s="135">
        <v>25045.0</v>
      </c>
      <c r="C1438" s="135"/>
      <c r="D1438" s="135">
        <v>7.0</v>
      </c>
      <c r="E1438" s="135" t="s">
        <v>3700</v>
      </c>
      <c r="F1438" s="135" t="s">
        <v>2406</v>
      </c>
      <c r="G1438" s="135" t="s">
        <v>96</v>
      </c>
      <c r="H1438" s="135" t="s">
        <v>2965</v>
      </c>
      <c r="I1438" s="135" t="s">
        <v>100</v>
      </c>
      <c r="J1438" s="135">
        <v>1.0</v>
      </c>
      <c r="K1438" s="135"/>
      <c r="L1438" s="135">
        <v>400.0</v>
      </c>
      <c r="M1438" s="135">
        <v>2930.0</v>
      </c>
      <c r="N1438" s="135">
        <v>350.0</v>
      </c>
      <c r="O1438" s="135">
        <v>0.48</v>
      </c>
      <c r="P1438" s="136">
        <v>0.0</v>
      </c>
      <c r="Q1438" s="137">
        <v>1.2</v>
      </c>
      <c r="R1438" s="136">
        <v>46135.0</v>
      </c>
      <c r="S1438" s="135" t="s">
        <v>3762</v>
      </c>
      <c r="T1438" s="136"/>
      <c r="U1438" s="135" t="s">
        <v>2966</v>
      </c>
      <c r="V1438" s="135" t="s">
        <v>2967</v>
      </c>
      <c r="W1438" s="135"/>
      <c r="X1438" s="135" t="s">
        <v>2969</v>
      </c>
      <c r="Y1438" s="135"/>
      <c r="Z1438" s="135" t="s">
        <v>2858</v>
      </c>
      <c r="AA1438" s="135"/>
      <c r="AB1438" s="135"/>
      <c r="AC1438" s="135"/>
      <c r="AD1438" s="135">
        <v>46147.0</v>
      </c>
      <c r="AE1438" s="135"/>
      <c r="AF1438" s="135"/>
      <c r="AG1438" s="135"/>
    </row>
    <row r="1439" ht="21.75" hidden="1" customHeight="1">
      <c r="A1439" s="135">
        <v>1435.0</v>
      </c>
      <c r="B1439" s="135">
        <v>25045.0</v>
      </c>
      <c r="C1439" s="135" t="s">
        <v>2817</v>
      </c>
      <c r="D1439" s="135">
        <v>7.0</v>
      </c>
      <c r="E1439" s="135" t="s">
        <v>3706</v>
      </c>
      <c r="F1439" s="135" t="s">
        <v>2425</v>
      </c>
      <c r="G1439" s="135" t="s">
        <v>96</v>
      </c>
      <c r="H1439" s="135" t="s">
        <v>2853</v>
      </c>
      <c r="I1439" s="135" t="s">
        <v>101</v>
      </c>
      <c r="J1439" s="135">
        <v>1.0</v>
      </c>
      <c r="K1439" s="135"/>
      <c r="L1439" s="135">
        <v>3000.0</v>
      </c>
      <c r="M1439" s="135">
        <v>2850.0</v>
      </c>
      <c r="N1439" s="135">
        <v>120.0</v>
      </c>
      <c r="O1439" s="135">
        <v>1.04</v>
      </c>
      <c r="P1439" s="136">
        <v>0.0</v>
      </c>
      <c r="Q1439" s="137">
        <v>2.6</v>
      </c>
      <c r="R1439" s="136">
        <v>46135.0</v>
      </c>
      <c r="S1439" s="135" t="s">
        <v>3762</v>
      </c>
      <c r="T1439" s="136"/>
      <c r="U1439" s="135" t="s">
        <v>2864</v>
      </c>
      <c r="V1439" s="135" t="s">
        <v>2878</v>
      </c>
      <c r="W1439" s="135" t="s">
        <v>3781</v>
      </c>
      <c r="X1439" s="135" t="s">
        <v>3586</v>
      </c>
      <c r="Y1439" s="135"/>
      <c r="Z1439" s="135" t="s">
        <v>2858</v>
      </c>
      <c r="AA1439" s="135"/>
      <c r="AB1439" s="135"/>
      <c r="AC1439" s="135"/>
      <c r="AD1439" s="135" t="e">
        <v>#N/A</v>
      </c>
      <c r="AE1439" s="135"/>
      <c r="AF1439" s="135"/>
      <c r="AG1439" s="135"/>
    </row>
    <row r="1440" ht="21.75" hidden="1" customHeight="1">
      <c r="A1440" s="135">
        <v>1436.0</v>
      </c>
      <c r="B1440" s="135">
        <v>25045.0</v>
      </c>
      <c r="C1440" s="135"/>
      <c r="D1440" s="135">
        <v>7.0</v>
      </c>
      <c r="E1440" s="135" t="s">
        <v>3706</v>
      </c>
      <c r="F1440" s="135" t="s">
        <v>2426</v>
      </c>
      <c r="G1440" s="135" t="s">
        <v>96</v>
      </c>
      <c r="H1440" s="135" t="s">
        <v>2853</v>
      </c>
      <c r="I1440" s="135" t="s">
        <v>101</v>
      </c>
      <c r="J1440" s="135">
        <v>1.0</v>
      </c>
      <c r="K1440" s="135"/>
      <c r="L1440" s="135">
        <v>3896.0</v>
      </c>
      <c r="M1440" s="135">
        <v>3100.0</v>
      </c>
      <c r="N1440" s="135">
        <v>120.0</v>
      </c>
      <c r="O1440" s="135">
        <v>1.25</v>
      </c>
      <c r="P1440" s="136">
        <v>0.0</v>
      </c>
      <c r="Q1440" s="137">
        <v>3.125</v>
      </c>
      <c r="R1440" s="136">
        <v>46135.0</v>
      </c>
      <c r="S1440" s="135" t="s">
        <v>3762</v>
      </c>
      <c r="T1440" s="136"/>
      <c r="U1440" s="135" t="s">
        <v>2864</v>
      </c>
      <c r="V1440" s="135" t="s">
        <v>2865</v>
      </c>
      <c r="W1440" s="135" t="s">
        <v>3782</v>
      </c>
      <c r="X1440" s="135" t="s">
        <v>2892</v>
      </c>
      <c r="Y1440" s="135"/>
      <c r="Z1440" s="135" t="s">
        <v>2858</v>
      </c>
      <c r="AA1440" s="135"/>
      <c r="AB1440" s="135"/>
      <c r="AC1440" s="135"/>
      <c r="AD1440" s="135">
        <v>46154.0</v>
      </c>
      <c r="AE1440" s="135"/>
      <c r="AF1440" s="135"/>
      <c r="AG1440" s="135"/>
    </row>
    <row r="1441" ht="21.75" hidden="1" customHeight="1">
      <c r="A1441" s="135">
        <v>1437.0</v>
      </c>
      <c r="B1441" s="135">
        <v>25045.0</v>
      </c>
      <c r="C1441" s="135"/>
      <c r="D1441" s="135">
        <v>7.0</v>
      </c>
      <c r="E1441" s="135" t="s">
        <v>3706</v>
      </c>
      <c r="F1441" s="135" t="s">
        <v>2427</v>
      </c>
      <c r="G1441" s="135" t="s">
        <v>96</v>
      </c>
      <c r="H1441" s="135" t="s">
        <v>2853</v>
      </c>
      <c r="I1441" s="135" t="s">
        <v>101</v>
      </c>
      <c r="J1441" s="135">
        <v>1.0</v>
      </c>
      <c r="K1441" s="135"/>
      <c r="L1441" s="135">
        <v>4611.0</v>
      </c>
      <c r="M1441" s="135">
        <v>2950.0</v>
      </c>
      <c r="N1441" s="135">
        <v>120.0</v>
      </c>
      <c r="O1441" s="135">
        <v>1.87</v>
      </c>
      <c r="P1441" s="136">
        <v>0.0</v>
      </c>
      <c r="Q1441" s="137">
        <v>4.675000000000001</v>
      </c>
      <c r="R1441" s="136">
        <v>46135.0</v>
      </c>
      <c r="S1441" s="135" t="s">
        <v>3762</v>
      </c>
      <c r="T1441" s="136"/>
      <c r="U1441" s="135" t="s">
        <v>2855</v>
      </c>
      <c r="V1441" s="135" t="s">
        <v>2876</v>
      </c>
      <c r="W1441" s="135" t="s">
        <v>3713</v>
      </c>
      <c r="X1441" s="135"/>
      <c r="Y1441" s="135"/>
      <c r="Z1441" s="135" t="s">
        <v>2858</v>
      </c>
      <c r="AA1441" s="135"/>
      <c r="AB1441" s="135"/>
      <c r="AC1441" s="135"/>
      <c r="AD1441" s="135">
        <v>46148.0</v>
      </c>
      <c r="AE1441" s="135"/>
      <c r="AF1441" s="135"/>
      <c r="AG1441" s="135"/>
    </row>
    <row r="1442" ht="21.75" hidden="1" customHeight="1">
      <c r="A1442" s="135">
        <v>1438.0</v>
      </c>
      <c r="B1442" s="135">
        <v>25045.0</v>
      </c>
      <c r="C1442" s="135"/>
      <c r="D1442" s="135">
        <v>7.0</v>
      </c>
      <c r="E1442" s="135" t="s">
        <v>3706</v>
      </c>
      <c r="F1442" s="135" t="s">
        <v>2428</v>
      </c>
      <c r="G1442" s="135" t="s">
        <v>96</v>
      </c>
      <c r="H1442" s="135" t="s">
        <v>2853</v>
      </c>
      <c r="I1442" s="135" t="s">
        <v>101</v>
      </c>
      <c r="J1442" s="135">
        <v>1.0</v>
      </c>
      <c r="K1442" s="135"/>
      <c r="L1442" s="135">
        <v>3964.0</v>
      </c>
      <c r="M1442" s="135">
        <v>3100.0</v>
      </c>
      <c r="N1442" s="135">
        <v>300.0</v>
      </c>
      <c r="O1442" s="135">
        <v>2.292</v>
      </c>
      <c r="P1442" s="136">
        <v>0.0</v>
      </c>
      <c r="Q1442" s="137">
        <v>5.7299999999999995</v>
      </c>
      <c r="R1442" s="136">
        <v>46135.0</v>
      </c>
      <c r="S1442" s="135" t="s">
        <v>3762</v>
      </c>
      <c r="T1442" s="136"/>
      <c r="U1442" s="135" t="s">
        <v>2864</v>
      </c>
      <c r="V1442" s="135" t="s">
        <v>3270</v>
      </c>
      <c r="W1442" s="135"/>
      <c r="X1442" s="135"/>
      <c r="Y1442" s="135" t="s">
        <v>2886</v>
      </c>
      <c r="Z1442" s="135" t="s">
        <v>2858</v>
      </c>
      <c r="AA1442" s="135"/>
      <c r="AB1442" s="135"/>
      <c r="AC1442" s="135"/>
      <c r="AD1442" s="135">
        <v>46143.0</v>
      </c>
      <c r="AE1442" s="135"/>
      <c r="AF1442" s="135"/>
      <c r="AG1442" s="135"/>
    </row>
    <row r="1443" ht="21.75" hidden="1" customHeight="1">
      <c r="A1443" s="135">
        <v>1439.0</v>
      </c>
      <c r="B1443" s="135">
        <v>25045.0</v>
      </c>
      <c r="C1443" s="135"/>
      <c r="D1443" s="135">
        <v>7.0</v>
      </c>
      <c r="E1443" s="135" t="s">
        <v>3706</v>
      </c>
      <c r="F1443" s="135" t="s">
        <v>2429</v>
      </c>
      <c r="G1443" s="135" t="s">
        <v>96</v>
      </c>
      <c r="H1443" s="135" t="s">
        <v>2853</v>
      </c>
      <c r="I1443" s="135" t="s">
        <v>101</v>
      </c>
      <c r="J1443" s="135">
        <v>1.0</v>
      </c>
      <c r="K1443" s="135"/>
      <c r="L1443" s="135">
        <v>1780.0</v>
      </c>
      <c r="M1443" s="135">
        <v>1140.0</v>
      </c>
      <c r="N1443" s="135">
        <v>120.0</v>
      </c>
      <c r="O1443" s="135">
        <v>0.33</v>
      </c>
      <c r="P1443" s="136">
        <v>0.0</v>
      </c>
      <c r="Q1443" s="137">
        <v>0.8250000000000001</v>
      </c>
      <c r="R1443" s="136">
        <v>46135.0</v>
      </c>
      <c r="S1443" s="135" t="s">
        <v>3762</v>
      </c>
      <c r="T1443" s="136"/>
      <c r="U1443" s="135" t="s">
        <v>2864</v>
      </c>
      <c r="V1443" s="135" t="s">
        <v>2907</v>
      </c>
      <c r="W1443" s="135" t="s">
        <v>3783</v>
      </c>
      <c r="X1443" s="135"/>
      <c r="Y1443" s="135"/>
      <c r="Z1443" s="135" t="s">
        <v>2858</v>
      </c>
      <c r="AA1443" s="135"/>
      <c r="AB1443" s="135"/>
      <c r="AC1443" s="135"/>
      <c r="AD1443" s="135">
        <v>46153.0</v>
      </c>
      <c r="AE1443" s="135"/>
      <c r="AF1443" s="135"/>
      <c r="AG1443" s="135"/>
    </row>
    <row r="1444" ht="21.75" hidden="1" customHeight="1">
      <c r="A1444" s="135">
        <v>1440.0</v>
      </c>
      <c r="B1444" s="135">
        <v>25045.0</v>
      </c>
      <c r="C1444" s="135"/>
      <c r="D1444" s="135">
        <v>7.0</v>
      </c>
      <c r="E1444" s="135" t="s">
        <v>3706</v>
      </c>
      <c r="F1444" s="135" t="s">
        <v>2430</v>
      </c>
      <c r="G1444" s="135" t="s">
        <v>96</v>
      </c>
      <c r="H1444" s="135" t="s">
        <v>2853</v>
      </c>
      <c r="I1444" s="135" t="s">
        <v>101</v>
      </c>
      <c r="J1444" s="135">
        <v>1.0</v>
      </c>
      <c r="K1444" s="135"/>
      <c r="L1444" s="135">
        <v>2130.0</v>
      </c>
      <c r="M1444" s="135">
        <v>1180.0</v>
      </c>
      <c r="N1444" s="135">
        <v>120.0</v>
      </c>
      <c r="O1444" s="135">
        <v>0.41</v>
      </c>
      <c r="P1444" s="136">
        <v>0.0</v>
      </c>
      <c r="Q1444" s="137">
        <v>1.025</v>
      </c>
      <c r="R1444" s="136">
        <v>46135.0</v>
      </c>
      <c r="S1444" s="135" t="s">
        <v>3762</v>
      </c>
      <c r="T1444" s="136"/>
      <c r="U1444" s="135" t="s">
        <v>2864</v>
      </c>
      <c r="V1444" s="135" t="s">
        <v>2856</v>
      </c>
      <c r="W1444" s="135" t="s">
        <v>3784</v>
      </c>
      <c r="X1444" s="135"/>
      <c r="Y1444" s="135"/>
      <c r="Z1444" s="135" t="s">
        <v>2858</v>
      </c>
      <c r="AA1444" s="135"/>
      <c r="AB1444" s="135"/>
      <c r="AC1444" s="135"/>
      <c r="AD1444" s="135">
        <v>46144.0</v>
      </c>
      <c r="AE1444" s="135"/>
      <c r="AF1444" s="135"/>
      <c r="AG1444" s="135"/>
    </row>
    <row r="1445" ht="21.75" hidden="1" customHeight="1">
      <c r="A1445" s="135">
        <v>1441.0</v>
      </c>
      <c r="B1445" s="135">
        <v>25045.0</v>
      </c>
      <c r="C1445" s="135"/>
      <c r="D1445" s="135">
        <v>7.0</v>
      </c>
      <c r="E1445" s="135" t="s">
        <v>3706</v>
      </c>
      <c r="F1445" s="135" t="s">
        <v>2431</v>
      </c>
      <c r="G1445" s="135" t="s">
        <v>96</v>
      </c>
      <c r="H1445" s="135" t="s">
        <v>2965</v>
      </c>
      <c r="I1445" s="135" t="s">
        <v>101</v>
      </c>
      <c r="J1445" s="135">
        <v>1.0</v>
      </c>
      <c r="K1445" s="135"/>
      <c r="L1445" s="135">
        <v>400.0</v>
      </c>
      <c r="M1445" s="135">
        <v>2800.0</v>
      </c>
      <c r="N1445" s="135">
        <v>350.0</v>
      </c>
      <c r="O1445" s="135">
        <v>0.5</v>
      </c>
      <c r="P1445" s="136">
        <v>0.0</v>
      </c>
      <c r="Q1445" s="137">
        <v>1.25</v>
      </c>
      <c r="R1445" s="136">
        <v>46135.0</v>
      </c>
      <c r="S1445" s="135" t="s">
        <v>3762</v>
      </c>
      <c r="T1445" s="136"/>
      <c r="U1445" s="135" t="s">
        <v>2966</v>
      </c>
      <c r="V1445" s="135" t="s">
        <v>2967</v>
      </c>
      <c r="W1445" s="135"/>
      <c r="X1445" s="135" t="s">
        <v>3785</v>
      </c>
      <c r="Y1445" s="135"/>
      <c r="Z1445" s="135" t="s">
        <v>2858</v>
      </c>
      <c r="AA1445" s="135"/>
      <c r="AB1445" s="135"/>
      <c r="AC1445" s="135"/>
      <c r="AD1445" s="135">
        <v>46155.0</v>
      </c>
      <c r="AE1445" s="135"/>
      <c r="AF1445" s="135"/>
      <c r="AG1445" s="135"/>
    </row>
    <row r="1446" ht="21.75" hidden="1" customHeight="1">
      <c r="A1446" s="135">
        <v>1442.0</v>
      </c>
      <c r="B1446" s="135">
        <v>25045.0</v>
      </c>
      <c r="C1446" s="135"/>
      <c r="D1446" s="135">
        <v>7.0</v>
      </c>
      <c r="E1446" s="135" t="s">
        <v>3709</v>
      </c>
      <c r="F1446" s="135" t="s">
        <v>2449</v>
      </c>
      <c r="G1446" s="135" t="s">
        <v>96</v>
      </c>
      <c r="H1446" s="135" t="s">
        <v>2853</v>
      </c>
      <c r="I1446" s="135" t="s">
        <v>103</v>
      </c>
      <c r="J1446" s="135">
        <v>1.0</v>
      </c>
      <c r="K1446" s="135"/>
      <c r="L1446" s="135">
        <v>4611.0</v>
      </c>
      <c r="M1446" s="135">
        <v>2950.0</v>
      </c>
      <c r="N1446" s="135">
        <v>120.0</v>
      </c>
      <c r="O1446" s="135">
        <v>1.87</v>
      </c>
      <c r="P1446" s="136">
        <v>0.0</v>
      </c>
      <c r="Q1446" s="137">
        <v>4.675000000000001</v>
      </c>
      <c r="R1446" s="136">
        <v>46135.0</v>
      </c>
      <c r="S1446" s="135" t="s">
        <v>3762</v>
      </c>
      <c r="T1446" s="136"/>
      <c r="U1446" s="135" t="s">
        <v>2855</v>
      </c>
      <c r="V1446" s="135" t="s">
        <v>2876</v>
      </c>
      <c r="W1446" s="135" t="s">
        <v>3786</v>
      </c>
      <c r="X1446" s="135"/>
      <c r="Y1446" s="135"/>
      <c r="Z1446" s="135" t="s">
        <v>2858</v>
      </c>
      <c r="AA1446" s="135"/>
      <c r="AB1446" s="135"/>
      <c r="AC1446" s="135"/>
      <c r="AD1446" s="135">
        <v>46149.0</v>
      </c>
      <c r="AE1446" s="135"/>
      <c r="AF1446" s="135"/>
      <c r="AG1446" s="135"/>
    </row>
    <row r="1447" ht="21.75" hidden="1" customHeight="1">
      <c r="A1447" s="135">
        <v>1443.0</v>
      </c>
      <c r="B1447" s="135">
        <v>25045.0</v>
      </c>
      <c r="C1447" s="135"/>
      <c r="D1447" s="135">
        <v>7.0</v>
      </c>
      <c r="E1447" s="135" t="s">
        <v>3709</v>
      </c>
      <c r="F1447" s="135" t="s">
        <v>2450</v>
      </c>
      <c r="G1447" s="135" t="s">
        <v>96</v>
      </c>
      <c r="H1447" s="135" t="s">
        <v>2853</v>
      </c>
      <c r="I1447" s="135" t="s">
        <v>103</v>
      </c>
      <c r="J1447" s="135">
        <v>1.0</v>
      </c>
      <c r="K1447" s="135"/>
      <c r="L1447" s="135">
        <v>5000.0</v>
      </c>
      <c r="M1447" s="135">
        <v>2850.0</v>
      </c>
      <c r="N1447" s="135">
        <v>120.0</v>
      </c>
      <c r="O1447" s="135">
        <v>1.91</v>
      </c>
      <c r="P1447" s="136">
        <v>0.0</v>
      </c>
      <c r="Q1447" s="137">
        <v>4.7749999999999995</v>
      </c>
      <c r="R1447" s="136">
        <v>46135.0</v>
      </c>
      <c r="S1447" s="135" t="s">
        <v>3762</v>
      </c>
      <c r="T1447" s="136"/>
      <c r="U1447" s="135" t="s">
        <v>2855</v>
      </c>
      <c r="V1447" s="135" t="s">
        <v>2876</v>
      </c>
      <c r="W1447" s="135" t="s">
        <v>3106</v>
      </c>
      <c r="X1447" s="135"/>
      <c r="Y1447" s="135"/>
      <c r="Z1447" s="135" t="s">
        <v>2858</v>
      </c>
      <c r="AA1447" s="135"/>
      <c r="AB1447" s="135"/>
      <c r="AC1447" s="135"/>
      <c r="AD1447" s="135">
        <v>46142.0</v>
      </c>
      <c r="AE1447" s="135"/>
      <c r="AF1447" s="135"/>
      <c r="AG1447" s="135"/>
    </row>
    <row r="1448" ht="21.75" hidden="1" customHeight="1">
      <c r="A1448" s="135">
        <v>1444.0</v>
      </c>
      <c r="B1448" s="135">
        <v>25045.0</v>
      </c>
      <c r="C1448" s="135"/>
      <c r="D1448" s="135">
        <v>7.0</v>
      </c>
      <c r="E1448" s="135" t="s">
        <v>3709</v>
      </c>
      <c r="F1448" s="135" t="s">
        <v>2451</v>
      </c>
      <c r="G1448" s="135" t="s">
        <v>96</v>
      </c>
      <c r="H1448" s="135" t="s">
        <v>2853</v>
      </c>
      <c r="I1448" s="135" t="s">
        <v>103</v>
      </c>
      <c r="J1448" s="135">
        <v>1.0</v>
      </c>
      <c r="K1448" s="135"/>
      <c r="L1448" s="135">
        <v>3794.0</v>
      </c>
      <c r="M1448" s="135">
        <v>2950.0</v>
      </c>
      <c r="N1448" s="135">
        <v>300.0</v>
      </c>
      <c r="O1448" s="135">
        <v>2.13</v>
      </c>
      <c r="P1448" s="136">
        <v>0.0</v>
      </c>
      <c r="Q1448" s="137">
        <v>5.324999999999999</v>
      </c>
      <c r="R1448" s="136">
        <v>46135.0</v>
      </c>
      <c r="S1448" s="135" t="s">
        <v>3762</v>
      </c>
      <c r="T1448" s="136"/>
      <c r="U1448" s="135" t="s">
        <v>2864</v>
      </c>
      <c r="V1448" s="135" t="s">
        <v>3270</v>
      </c>
      <c r="W1448" s="135"/>
      <c r="X1448" s="135"/>
      <c r="Y1448" s="135" t="s">
        <v>2886</v>
      </c>
      <c r="Z1448" s="135" t="s">
        <v>2858</v>
      </c>
      <c r="AA1448" s="135"/>
      <c r="AB1448" s="135"/>
      <c r="AC1448" s="135"/>
      <c r="AD1448" s="135">
        <v>46144.0</v>
      </c>
      <c r="AE1448" s="135"/>
      <c r="AF1448" s="135"/>
      <c r="AG1448" s="135"/>
    </row>
    <row r="1449" ht="21.75" hidden="1" customHeight="1">
      <c r="A1449" s="135">
        <v>1445.0</v>
      </c>
      <c r="B1449" s="135">
        <v>25045.0</v>
      </c>
      <c r="C1449" s="135"/>
      <c r="D1449" s="135">
        <v>7.0</v>
      </c>
      <c r="E1449" s="135" t="s">
        <v>3709</v>
      </c>
      <c r="F1449" s="135" t="s">
        <v>2452</v>
      </c>
      <c r="G1449" s="135" t="s">
        <v>96</v>
      </c>
      <c r="H1449" s="135" t="s">
        <v>2853</v>
      </c>
      <c r="I1449" s="135" t="s">
        <v>103</v>
      </c>
      <c r="J1449" s="135">
        <v>1.0</v>
      </c>
      <c r="K1449" s="135"/>
      <c r="L1449" s="135">
        <v>2130.0</v>
      </c>
      <c r="M1449" s="135">
        <v>1180.0</v>
      </c>
      <c r="N1449" s="135">
        <v>120.0</v>
      </c>
      <c r="O1449" s="135">
        <v>0.41</v>
      </c>
      <c r="P1449" s="136">
        <v>0.0</v>
      </c>
      <c r="Q1449" s="137">
        <v>1.025</v>
      </c>
      <c r="R1449" s="136">
        <v>46135.0</v>
      </c>
      <c r="S1449" s="135" t="s">
        <v>3762</v>
      </c>
      <c r="T1449" s="136"/>
      <c r="U1449" s="135" t="s">
        <v>2864</v>
      </c>
      <c r="V1449" s="135" t="s">
        <v>2856</v>
      </c>
      <c r="W1449" s="135" t="s">
        <v>3784</v>
      </c>
      <c r="X1449" s="135"/>
      <c r="Y1449" s="135"/>
      <c r="Z1449" s="135" t="s">
        <v>2858</v>
      </c>
      <c r="AA1449" s="135"/>
      <c r="AB1449" s="135"/>
      <c r="AC1449" s="135"/>
      <c r="AD1449" s="135">
        <v>46148.0</v>
      </c>
      <c r="AE1449" s="135"/>
      <c r="AF1449" s="135"/>
      <c r="AG1449" s="135"/>
    </row>
    <row r="1450" ht="21.75" hidden="1" customHeight="1">
      <c r="A1450" s="135">
        <v>1446.0</v>
      </c>
      <c r="B1450" s="135">
        <v>25045.0</v>
      </c>
      <c r="C1450" s="135"/>
      <c r="D1450" s="135">
        <v>7.0</v>
      </c>
      <c r="E1450" s="135" t="s">
        <v>3709</v>
      </c>
      <c r="F1450" s="135" t="s">
        <v>2453</v>
      </c>
      <c r="G1450" s="135" t="s">
        <v>96</v>
      </c>
      <c r="H1450" s="135" t="s">
        <v>2853</v>
      </c>
      <c r="I1450" s="135" t="s">
        <v>103</v>
      </c>
      <c r="J1450" s="135">
        <v>1.0</v>
      </c>
      <c r="K1450" s="135"/>
      <c r="L1450" s="135">
        <v>1781.0</v>
      </c>
      <c r="M1450" s="135">
        <v>1310.0</v>
      </c>
      <c r="N1450" s="135">
        <v>120.0</v>
      </c>
      <c r="O1450" s="135">
        <v>0.37</v>
      </c>
      <c r="P1450" s="136">
        <v>0.0</v>
      </c>
      <c r="Q1450" s="137">
        <v>0.925</v>
      </c>
      <c r="R1450" s="136">
        <v>46135.0</v>
      </c>
      <c r="S1450" s="135" t="s">
        <v>3762</v>
      </c>
      <c r="T1450" s="136"/>
      <c r="U1450" s="135" t="s">
        <v>2864</v>
      </c>
      <c r="V1450" s="135" t="s">
        <v>2953</v>
      </c>
      <c r="W1450" s="135" t="s">
        <v>3787</v>
      </c>
      <c r="X1450" s="135"/>
      <c r="Y1450" s="135"/>
      <c r="Z1450" s="135" t="s">
        <v>2858</v>
      </c>
      <c r="AA1450" s="135"/>
      <c r="AB1450" s="135"/>
      <c r="AC1450" s="135"/>
      <c r="AD1450" s="135">
        <v>46150.0</v>
      </c>
      <c r="AE1450" s="135"/>
      <c r="AF1450" s="135"/>
      <c r="AG1450" s="135"/>
    </row>
    <row r="1451" ht="21.75" hidden="1" customHeight="1">
      <c r="A1451" s="135">
        <v>1447.0</v>
      </c>
      <c r="B1451" s="135">
        <v>25045.0</v>
      </c>
      <c r="C1451" s="135"/>
      <c r="D1451" s="135">
        <v>7.0</v>
      </c>
      <c r="E1451" s="135" t="s">
        <v>3709</v>
      </c>
      <c r="F1451" s="135" t="s">
        <v>2454</v>
      </c>
      <c r="G1451" s="135" t="s">
        <v>96</v>
      </c>
      <c r="H1451" s="135" t="s">
        <v>2965</v>
      </c>
      <c r="I1451" s="135" t="s">
        <v>103</v>
      </c>
      <c r="J1451" s="135">
        <v>1.0</v>
      </c>
      <c r="K1451" s="135"/>
      <c r="L1451" s="135">
        <v>400.0</v>
      </c>
      <c r="M1451" s="135">
        <v>2930.0</v>
      </c>
      <c r="N1451" s="135">
        <v>350.0</v>
      </c>
      <c r="O1451" s="135">
        <v>0.47</v>
      </c>
      <c r="P1451" s="136">
        <v>0.0</v>
      </c>
      <c r="Q1451" s="137">
        <v>1.1749999999999998</v>
      </c>
      <c r="R1451" s="136">
        <v>46135.0</v>
      </c>
      <c r="S1451" s="135" t="s">
        <v>3762</v>
      </c>
      <c r="T1451" s="136"/>
      <c r="U1451" s="135" t="s">
        <v>2966</v>
      </c>
      <c r="V1451" s="135" t="s">
        <v>2967</v>
      </c>
      <c r="W1451" s="135"/>
      <c r="X1451" s="135" t="s">
        <v>2968</v>
      </c>
      <c r="Y1451" s="135"/>
      <c r="Z1451" s="135" t="s">
        <v>2858</v>
      </c>
      <c r="AA1451" s="135"/>
      <c r="AB1451" s="135"/>
      <c r="AC1451" s="135"/>
      <c r="AD1451" s="135">
        <v>46151.0</v>
      </c>
      <c r="AE1451" s="135"/>
      <c r="AF1451" s="135"/>
      <c r="AG1451" s="135"/>
    </row>
    <row r="1452" ht="21.75" hidden="1" customHeight="1">
      <c r="A1452" s="135">
        <v>1448.0</v>
      </c>
      <c r="B1452" s="135">
        <v>25045.0</v>
      </c>
      <c r="C1452" s="135"/>
      <c r="D1452" s="135">
        <v>7.0</v>
      </c>
      <c r="E1452" s="135" t="s">
        <v>3716</v>
      </c>
      <c r="F1452" s="135" t="s">
        <v>2469</v>
      </c>
      <c r="G1452" s="135" t="s">
        <v>96</v>
      </c>
      <c r="H1452" s="135" t="s">
        <v>2853</v>
      </c>
      <c r="I1452" s="135" t="s">
        <v>104</v>
      </c>
      <c r="J1452" s="135">
        <v>1.0</v>
      </c>
      <c r="K1452" s="135"/>
      <c r="L1452" s="135">
        <v>4090.0</v>
      </c>
      <c r="M1452" s="135">
        <v>3200.0</v>
      </c>
      <c r="N1452" s="135">
        <v>120.0</v>
      </c>
      <c r="O1452" s="135">
        <v>1.68</v>
      </c>
      <c r="P1452" s="136">
        <v>0.0</v>
      </c>
      <c r="Q1452" s="137">
        <v>4.2</v>
      </c>
      <c r="R1452" s="136">
        <v>46135.0</v>
      </c>
      <c r="S1452" s="135" t="s">
        <v>3762</v>
      </c>
      <c r="T1452" s="136"/>
      <c r="U1452" s="135" t="s">
        <v>2864</v>
      </c>
      <c r="V1452" s="135" t="s">
        <v>2865</v>
      </c>
      <c r="W1452" s="135" t="s">
        <v>2971</v>
      </c>
      <c r="X1452" s="135"/>
      <c r="Y1452" s="135"/>
      <c r="Z1452" s="135" t="s">
        <v>2858</v>
      </c>
      <c r="AA1452" s="135"/>
      <c r="AB1452" s="135"/>
      <c r="AC1452" s="135"/>
      <c r="AD1452" s="135">
        <v>46151.0</v>
      </c>
      <c r="AE1452" s="135"/>
      <c r="AF1452" s="135"/>
      <c r="AG1452" s="135"/>
    </row>
    <row r="1453" ht="21.75" hidden="1" customHeight="1">
      <c r="A1453" s="135">
        <v>1449.0</v>
      </c>
      <c r="B1453" s="135">
        <v>25045.0</v>
      </c>
      <c r="C1453" s="135"/>
      <c r="D1453" s="135">
        <v>7.0</v>
      </c>
      <c r="E1453" s="135" t="s">
        <v>3716</v>
      </c>
      <c r="F1453" s="135" t="s">
        <v>2470</v>
      </c>
      <c r="G1453" s="135" t="s">
        <v>96</v>
      </c>
      <c r="H1453" s="135" t="s">
        <v>2853</v>
      </c>
      <c r="I1453" s="135" t="s">
        <v>104</v>
      </c>
      <c r="J1453" s="135">
        <v>1.0</v>
      </c>
      <c r="K1453" s="135"/>
      <c r="L1453" s="135">
        <v>3921.0</v>
      </c>
      <c r="M1453" s="135">
        <v>2850.0</v>
      </c>
      <c r="N1453" s="135">
        <v>120.0</v>
      </c>
      <c r="O1453" s="135">
        <v>1.21</v>
      </c>
      <c r="P1453" s="136">
        <v>0.0</v>
      </c>
      <c r="Q1453" s="137">
        <v>3.025</v>
      </c>
      <c r="R1453" s="136">
        <v>46135.0</v>
      </c>
      <c r="S1453" s="135" t="s">
        <v>3762</v>
      </c>
      <c r="T1453" s="136"/>
      <c r="U1453" s="135" t="s">
        <v>2864</v>
      </c>
      <c r="V1453" s="135" t="s">
        <v>3100</v>
      </c>
      <c r="W1453" s="135" t="s">
        <v>3788</v>
      </c>
      <c r="X1453" s="135" t="s">
        <v>2895</v>
      </c>
      <c r="Y1453" s="135"/>
      <c r="Z1453" s="135" t="s">
        <v>2858</v>
      </c>
      <c r="AA1453" s="135"/>
      <c r="AB1453" s="135"/>
      <c r="AC1453" s="135"/>
      <c r="AD1453" s="135">
        <v>46149.0</v>
      </c>
      <c r="AE1453" s="135"/>
      <c r="AF1453" s="135"/>
      <c r="AG1453" s="135"/>
    </row>
    <row r="1454" ht="21.75" hidden="1" customHeight="1">
      <c r="A1454" s="135">
        <v>1450.0</v>
      </c>
      <c r="B1454" s="135">
        <v>25045.0</v>
      </c>
      <c r="C1454" s="135"/>
      <c r="D1454" s="135">
        <v>7.0</v>
      </c>
      <c r="E1454" s="135" t="s">
        <v>3716</v>
      </c>
      <c r="F1454" s="135" t="s">
        <v>2471</v>
      </c>
      <c r="G1454" s="135" t="s">
        <v>96</v>
      </c>
      <c r="H1454" s="135" t="s">
        <v>2853</v>
      </c>
      <c r="I1454" s="135" t="s">
        <v>104</v>
      </c>
      <c r="J1454" s="135">
        <v>1.0</v>
      </c>
      <c r="K1454" s="135"/>
      <c r="L1454" s="135">
        <v>3794.0</v>
      </c>
      <c r="M1454" s="135">
        <v>2950.0</v>
      </c>
      <c r="N1454" s="135">
        <v>300.0</v>
      </c>
      <c r="O1454" s="135">
        <v>2.128</v>
      </c>
      <c r="P1454" s="136">
        <v>0.0</v>
      </c>
      <c r="Q1454" s="137">
        <v>5.32</v>
      </c>
      <c r="R1454" s="136">
        <v>46135.0</v>
      </c>
      <c r="S1454" s="135" t="s">
        <v>3762</v>
      </c>
      <c r="T1454" s="136"/>
      <c r="U1454" s="135" t="s">
        <v>2864</v>
      </c>
      <c r="V1454" s="135" t="s">
        <v>3270</v>
      </c>
      <c r="W1454" s="135"/>
      <c r="X1454" s="135"/>
      <c r="Y1454" s="135" t="s">
        <v>2886</v>
      </c>
      <c r="Z1454" s="135" t="s">
        <v>2858</v>
      </c>
      <c r="AA1454" s="135"/>
      <c r="AB1454" s="135"/>
      <c r="AC1454" s="135"/>
      <c r="AD1454" s="135">
        <v>46146.0</v>
      </c>
      <c r="AE1454" s="135"/>
      <c r="AF1454" s="135"/>
      <c r="AG1454" s="135"/>
    </row>
    <row r="1455" ht="21.75" hidden="1" customHeight="1">
      <c r="A1455" s="135">
        <v>1451.0</v>
      </c>
      <c r="B1455" s="135">
        <v>25045.0</v>
      </c>
      <c r="C1455" s="135"/>
      <c r="D1455" s="135">
        <v>7.0</v>
      </c>
      <c r="E1455" s="135" t="s">
        <v>3716</v>
      </c>
      <c r="F1455" s="135" t="s">
        <v>2472</v>
      </c>
      <c r="G1455" s="135" t="s">
        <v>96</v>
      </c>
      <c r="H1455" s="135" t="s">
        <v>2853</v>
      </c>
      <c r="I1455" s="135" t="s">
        <v>104</v>
      </c>
      <c r="J1455" s="135">
        <v>1.0</v>
      </c>
      <c r="K1455" s="135"/>
      <c r="L1455" s="135">
        <v>1781.0</v>
      </c>
      <c r="M1455" s="135">
        <v>1310.0</v>
      </c>
      <c r="N1455" s="135">
        <v>120.0</v>
      </c>
      <c r="O1455" s="135">
        <v>0.37</v>
      </c>
      <c r="P1455" s="136">
        <v>0.0</v>
      </c>
      <c r="Q1455" s="137">
        <v>0.925</v>
      </c>
      <c r="R1455" s="136">
        <v>46135.0</v>
      </c>
      <c r="S1455" s="135" t="s">
        <v>3762</v>
      </c>
      <c r="T1455" s="136"/>
      <c r="U1455" s="135" t="s">
        <v>2864</v>
      </c>
      <c r="V1455" s="135" t="s">
        <v>2953</v>
      </c>
      <c r="W1455" s="135"/>
      <c r="X1455" s="135"/>
      <c r="Y1455" s="135"/>
      <c r="Z1455" s="135" t="s">
        <v>2858</v>
      </c>
      <c r="AA1455" s="135"/>
      <c r="AB1455" s="135"/>
      <c r="AC1455" s="135"/>
      <c r="AD1455" s="135">
        <v>46151.0</v>
      </c>
      <c r="AE1455" s="135"/>
      <c r="AF1455" s="135"/>
      <c r="AG1455" s="135"/>
    </row>
    <row r="1456" ht="21.75" hidden="1" customHeight="1">
      <c r="A1456" s="135">
        <v>1452.0</v>
      </c>
      <c r="B1456" s="135">
        <v>25045.0</v>
      </c>
      <c r="C1456" s="135"/>
      <c r="D1456" s="135">
        <v>7.0</v>
      </c>
      <c r="E1456" s="135" t="s">
        <v>3716</v>
      </c>
      <c r="F1456" s="135" t="s">
        <v>2473</v>
      </c>
      <c r="G1456" s="135" t="s">
        <v>96</v>
      </c>
      <c r="H1456" s="135" t="s">
        <v>2965</v>
      </c>
      <c r="I1456" s="135" t="s">
        <v>104</v>
      </c>
      <c r="J1456" s="135">
        <v>1.0</v>
      </c>
      <c r="K1456" s="135"/>
      <c r="L1456" s="135">
        <v>400.0</v>
      </c>
      <c r="M1456" s="135">
        <v>2930.0</v>
      </c>
      <c r="N1456" s="135">
        <v>350.0</v>
      </c>
      <c r="O1456" s="135">
        <v>0.47</v>
      </c>
      <c r="P1456" s="136">
        <v>0.0</v>
      </c>
      <c r="Q1456" s="137">
        <v>1.1749999999999998</v>
      </c>
      <c r="R1456" s="136">
        <v>46135.0</v>
      </c>
      <c r="S1456" s="135" t="s">
        <v>3762</v>
      </c>
      <c r="T1456" s="136"/>
      <c r="U1456" s="135" t="s">
        <v>2966</v>
      </c>
      <c r="V1456" s="135" t="s">
        <v>2967</v>
      </c>
      <c r="W1456" s="135"/>
      <c r="X1456" s="135" t="s">
        <v>2969</v>
      </c>
      <c r="Y1456" s="135"/>
      <c r="Z1456" s="135" t="s">
        <v>2858</v>
      </c>
      <c r="AA1456" s="135"/>
      <c r="AB1456" s="135"/>
      <c r="AC1456" s="135"/>
      <c r="AD1456" s="135">
        <v>46149.0</v>
      </c>
      <c r="AE1456" s="135"/>
      <c r="AF1456" s="135"/>
      <c r="AG1456" s="135"/>
    </row>
    <row r="1457" ht="21.75" hidden="1" customHeight="1">
      <c r="A1457" s="135">
        <v>1453.0</v>
      </c>
      <c r="B1457" s="135">
        <v>25045.0</v>
      </c>
      <c r="C1457" s="135" t="s">
        <v>2817</v>
      </c>
      <c r="D1457" s="135">
        <v>26.0</v>
      </c>
      <c r="E1457" s="135" t="s">
        <v>3789</v>
      </c>
      <c r="F1457" s="135" t="s">
        <v>247</v>
      </c>
      <c r="G1457" s="135" t="s">
        <v>140</v>
      </c>
      <c r="H1457" s="135" t="s">
        <v>2853</v>
      </c>
      <c r="I1457" s="135" t="s">
        <v>141</v>
      </c>
      <c r="J1457" s="135">
        <v>1.0</v>
      </c>
      <c r="K1457" s="135"/>
      <c r="L1457" s="135">
        <v>5315.0</v>
      </c>
      <c r="M1457" s="135">
        <v>1750.0</v>
      </c>
      <c r="N1457" s="135">
        <v>120.0</v>
      </c>
      <c r="O1457" s="135">
        <v>1.197</v>
      </c>
      <c r="P1457" s="136">
        <v>0.0</v>
      </c>
      <c r="Q1457" s="137">
        <v>2.9925</v>
      </c>
      <c r="R1457" s="136">
        <v>46127.0</v>
      </c>
      <c r="S1457" s="135" t="s">
        <v>3790</v>
      </c>
      <c r="T1457" s="136"/>
      <c r="U1457" s="135" t="s">
        <v>2855</v>
      </c>
      <c r="V1457" s="135" t="s">
        <v>2856</v>
      </c>
      <c r="W1457" s="135" t="s">
        <v>3791</v>
      </c>
      <c r="X1457" s="135"/>
      <c r="Y1457" s="135"/>
      <c r="Z1457" s="135" t="s">
        <v>2858</v>
      </c>
      <c r="AA1457" s="135"/>
      <c r="AB1457" s="135"/>
      <c r="AC1457" s="135"/>
      <c r="AD1457" s="135" t="e">
        <v>#N/A</v>
      </c>
      <c r="AE1457" s="135"/>
      <c r="AF1457" s="135"/>
      <c r="AG1457" s="135"/>
    </row>
    <row r="1458" ht="21.75" hidden="1" customHeight="1">
      <c r="A1458" s="135">
        <v>1454.0</v>
      </c>
      <c r="B1458" s="135">
        <v>25045.0</v>
      </c>
      <c r="C1458" s="135" t="s">
        <v>2817</v>
      </c>
      <c r="D1458" s="135">
        <v>26.0</v>
      </c>
      <c r="E1458" s="135" t="s">
        <v>3789</v>
      </c>
      <c r="F1458" s="135" t="s">
        <v>248</v>
      </c>
      <c r="G1458" s="135" t="s">
        <v>140</v>
      </c>
      <c r="H1458" s="135" t="s">
        <v>2853</v>
      </c>
      <c r="I1458" s="135" t="s">
        <v>141</v>
      </c>
      <c r="J1458" s="135">
        <v>1.0</v>
      </c>
      <c r="K1458" s="135"/>
      <c r="L1458" s="135">
        <v>4657.0</v>
      </c>
      <c r="M1458" s="135">
        <v>2350.0</v>
      </c>
      <c r="N1458" s="135">
        <v>120.0</v>
      </c>
      <c r="O1458" s="135">
        <v>1.635</v>
      </c>
      <c r="P1458" s="136">
        <v>0.0</v>
      </c>
      <c r="Q1458" s="137">
        <v>4.0875</v>
      </c>
      <c r="R1458" s="136">
        <v>46127.0</v>
      </c>
      <c r="S1458" s="135" t="s">
        <v>3790</v>
      </c>
      <c r="T1458" s="136"/>
      <c r="U1458" s="135" t="s">
        <v>2855</v>
      </c>
      <c r="V1458" s="135" t="s">
        <v>3257</v>
      </c>
      <c r="W1458" s="135" t="s">
        <v>3792</v>
      </c>
      <c r="X1458" s="135"/>
      <c r="Y1458" s="135"/>
      <c r="Z1458" s="135" t="s">
        <v>2858</v>
      </c>
      <c r="AA1458" s="135"/>
      <c r="AB1458" s="135"/>
      <c r="AC1458" s="135"/>
      <c r="AD1458" s="135" t="e">
        <v>#N/A</v>
      </c>
      <c r="AE1458" s="135"/>
      <c r="AF1458" s="135"/>
      <c r="AG1458" s="135"/>
    </row>
    <row r="1459" ht="21.75" hidden="1" customHeight="1">
      <c r="A1459" s="135">
        <v>1455.0</v>
      </c>
      <c r="B1459" s="135">
        <v>25045.0</v>
      </c>
      <c r="C1459" s="135" t="s">
        <v>2817</v>
      </c>
      <c r="D1459" s="135">
        <v>26.0</v>
      </c>
      <c r="E1459" s="135" t="s">
        <v>3789</v>
      </c>
      <c r="F1459" s="135" t="s">
        <v>249</v>
      </c>
      <c r="G1459" s="135" t="s">
        <v>140</v>
      </c>
      <c r="H1459" s="135" t="s">
        <v>2853</v>
      </c>
      <c r="I1459" s="135" t="s">
        <v>141</v>
      </c>
      <c r="J1459" s="135">
        <v>1.0</v>
      </c>
      <c r="K1459" s="135"/>
      <c r="L1459" s="135">
        <v>4657.0</v>
      </c>
      <c r="M1459" s="135">
        <v>2050.0</v>
      </c>
      <c r="N1459" s="135">
        <v>120.0</v>
      </c>
      <c r="O1459" s="135">
        <v>1.465</v>
      </c>
      <c r="P1459" s="136">
        <v>0.0</v>
      </c>
      <c r="Q1459" s="137">
        <v>3.6625</v>
      </c>
      <c r="R1459" s="136">
        <v>46127.0</v>
      </c>
      <c r="S1459" s="135" t="s">
        <v>3790</v>
      </c>
      <c r="T1459" s="136"/>
      <c r="U1459" s="135" t="s">
        <v>2855</v>
      </c>
      <c r="V1459" s="135" t="s">
        <v>3257</v>
      </c>
      <c r="W1459" s="135" t="s">
        <v>3793</v>
      </c>
      <c r="X1459" s="135"/>
      <c r="Y1459" s="135"/>
      <c r="Z1459" s="135" t="s">
        <v>2858</v>
      </c>
      <c r="AA1459" s="135"/>
      <c r="AB1459" s="135"/>
      <c r="AC1459" s="135"/>
      <c r="AD1459" s="135" t="e">
        <v>#N/A</v>
      </c>
      <c r="AE1459" s="135"/>
      <c r="AF1459" s="135"/>
      <c r="AG1459" s="135"/>
    </row>
    <row r="1460" ht="21.75" hidden="1" customHeight="1">
      <c r="A1460" s="135">
        <v>1456.0</v>
      </c>
      <c r="B1460" s="135">
        <v>25045.0</v>
      </c>
      <c r="C1460" s="135" t="s">
        <v>2817</v>
      </c>
      <c r="D1460" s="135">
        <v>26.0</v>
      </c>
      <c r="E1460" s="135" t="s">
        <v>3789</v>
      </c>
      <c r="F1460" s="135" t="s">
        <v>250</v>
      </c>
      <c r="G1460" s="135" t="s">
        <v>140</v>
      </c>
      <c r="H1460" s="135" t="s">
        <v>2853</v>
      </c>
      <c r="I1460" s="135" t="s">
        <v>141</v>
      </c>
      <c r="J1460" s="135">
        <v>1.0</v>
      </c>
      <c r="K1460" s="135"/>
      <c r="L1460" s="135">
        <v>3097.0</v>
      </c>
      <c r="M1460" s="135">
        <v>2850.0</v>
      </c>
      <c r="N1460" s="135">
        <v>120.0</v>
      </c>
      <c r="O1460" s="135">
        <v>1.107</v>
      </c>
      <c r="P1460" s="136">
        <v>0.0</v>
      </c>
      <c r="Q1460" s="137">
        <v>2.7675</v>
      </c>
      <c r="R1460" s="136">
        <v>46127.0</v>
      </c>
      <c r="S1460" s="135" t="s">
        <v>3790</v>
      </c>
      <c r="T1460" s="136"/>
      <c r="U1460" s="135" t="s">
        <v>2864</v>
      </c>
      <c r="V1460" s="135" t="s">
        <v>2878</v>
      </c>
      <c r="W1460" s="135" t="s">
        <v>3794</v>
      </c>
      <c r="X1460" s="135" t="s">
        <v>3586</v>
      </c>
      <c r="Y1460" s="135"/>
      <c r="Z1460" s="135" t="s">
        <v>2858</v>
      </c>
      <c r="AA1460" s="135"/>
      <c r="AB1460" s="135"/>
      <c r="AC1460" s="135"/>
      <c r="AD1460" s="135">
        <v>46136.0</v>
      </c>
      <c r="AE1460" s="135"/>
      <c r="AF1460" s="135"/>
      <c r="AG1460" s="135"/>
    </row>
    <row r="1461" ht="21.75" hidden="1" customHeight="1">
      <c r="A1461" s="135">
        <v>1457.0</v>
      </c>
      <c r="B1461" s="135">
        <v>25045.0</v>
      </c>
      <c r="C1461" s="135" t="s">
        <v>2817</v>
      </c>
      <c r="D1461" s="135">
        <v>26.0</v>
      </c>
      <c r="E1461" s="135" t="s">
        <v>3789</v>
      </c>
      <c r="F1461" s="135" t="s">
        <v>251</v>
      </c>
      <c r="G1461" s="135" t="s">
        <v>140</v>
      </c>
      <c r="H1461" s="135" t="s">
        <v>2853</v>
      </c>
      <c r="I1461" s="135" t="s">
        <v>141</v>
      </c>
      <c r="J1461" s="135">
        <v>1.0</v>
      </c>
      <c r="K1461" s="135"/>
      <c r="L1461" s="135">
        <v>3098.0</v>
      </c>
      <c r="M1461" s="135">
        <v>3480.0</v>
      </c>
      <c r="N1461" s="135">
        <v>120.0</v>
      </c>
      <c r="O1461" s="135">
        <v>1.236</v>
      </c>
      <c r="P1461" s="136">
        <v>0.0</v>
      </c>
      <c r="Q1461" s="137">
        <v>3.09</v>
      </c>
      <c r="R1461" s="136">
        <v>46127.0</v>
      </c>
      <c r="S1461" s="135" t="s">
        <v>3790</v>
      </c>
      <c r="T1461" s="136"/>
      <c r="U1461" s="135" t="s">
        <v>2864</v>
      </c>
      <c r="V1461" s="135" t="s">
        <v>2878</v>
      </c>
      <c r="W1461" s="135" t="s">
        <v>3795</v>
      </c>
      <c r="X1461" s="135" t="s">
        <v>3141</v>
      </c>
      <c r="Y1461" s="135"/>
      <c r="Z1461" s="135" t="s">
        <v>2858</v>
      </c>
      <c r="AA1461" s="135"/>
      <c r="AB1461" s="135"/>
      <c r="AC1461" s="135"/>
      <c r="AD1461" s="135">
        <v>0.0</v>
      </c>
      <c r="AE1461" s="135"/>
      <c r="AF1461" s="135"/>
      <c r="AG1461" s="135"/>
    </row>
    <row r="1462" ht="21.75" hidden="1" customHeight="1">
      <c r="A1462" s="135">
        <v>1458.0</v>
      </c>
      <c r="B1462" s="135">
        <v>25045.0</v>
      </c>
      <c r="C1462" s="135"/>
      <c r="D1462" s="135">
        <v>26.0</v>
      </c>
      <c r="E1462" s="135" t="s">
        <v>3789</v>
      </c>
      <c r="F1462" s="135" t="s">
        <v>252</v>
      </c>
      <c r="G1462" s="135" t="s">
        <v>140</v>
      </c>
      <c r="H1462" s="135" t="s">
        <v>2853</v>
      </c>
      <c r="I1462" s="135" t="s">
        <v>141</v>
      </c>
      <c r="J1462" s="135">
        <v>1.0</v>
      </c>
      <c r="K1462" s="135"/>
      <c r="L1462" s="135">
        <v>5140.0</v>
      </c>
      <c r="M1462" s="135">
        <v>3765.0</v>
      </c>
      <c r="N1462" s="135">
        <v>120.0</v>
      </c>
      <c r="O1462" s="135">
        <v>2.773</v>
      </c>
      <c r="P1462" s="136">
        <v>0.0</v>
      </c>
      <c r="Q1462" s="137">
        <v>6.9325</v>
      </c>
      <c r="R1462" s="136">
        <v>46127.0</v>
      </c>
      <c r="S1462" s="135" t="s">
        <v>3790</v>
      </c>
      <c r="T1462" s="136"/>
      <c r="U1462" s="135" t="s">
        <v>2855</v>
      </c>
      <c r="V1462" s="135" t="s">
        <v>3266</v>
      </c>
      <c r="W1462" s="135" t="s">
        <v>3796</v>
      </c>
      <c r="X1462" s="135" t="s">
        <v>2870</v>
      </c>
      <c r="Y1462" s="135"/>
      <c r="Z1462" s="135" t="s">
        <v>2858</v>
      </c>
      <c r="AA1462" s="135"/>
      <c r="AB1462" s="135"/>
      <c r="AC1462" s="135"/>
      <c r="AD1462" s="135">
        <v>0.0</v>
      </c>
      <c r="AE1462" s="135"/>
      <c r="AF1462" s="135"/>
      <c r="AG1462" s="135"/>
    </row>
    <row r="1463" ht="21.75" hidden="1" customHeight="1">
      <c r="A1463" s="135">
        <v>1459.0</v>
      </c>
      <c r="B1463" s="135">
        <v>25045.0</v>
      </c>
      <c r="C1463" s="135"/>
      <c r="D1463" s="135">
        <v>26.0</v>
      </c>
      <c r="E1463" s="135" t="s">
        <v>3789</v>
      </c>
      <c r="F1463" s="135" t="s">
        <v>253</v>
      </c>
      <c r="G1463" s="135" t="s">
        <v>140</v>
      </c>
      <c r="H1463" s="135" t="s">
        <v>2853</v>
      </c>
      <c r="I1463" s="135" t="s">
        <v>141</v>
      </c>
      <c r="J1463" s="135">
        <v>1.0</v>
      </c>
      <c r="K1463" s="135"/>
      <c r="L1463" s="135">
        <v>5590.0</v>
      </c>
      <c r="M1463" s="135">
        <v>3850.0</v>
      </c>
      <c r="N1463" s="135">
        <v>120.0</v>
      </c>
      <c r="O1463" s="135">
        <v>3.266</v>
      </c>
      <c r="P1463" s="136">
        <v>0.0</v>
      </c>
      <c r="Q1463" s="137">
        <v>8.165</v>
      </c>
      <c r="R1463" s="136">
        <v>46127.0</v>
      </c>
      <c r="S1463" s="135" t="s">
        <v>3790</v>
      </c>
      <c r="T1463" s="136"/>
      <c r="U1463" s="135" t="s">
        <v>2855</v>
      </c>
      <c r="V1463" s="135" t="s">
        <v>3098</v>
      </c>
      <c r="W1463" s="135" t="s">
        <v>3615</v>
      </c>
      <c r="X1463" s="135" t="s">
        <v>2872</v>
      </c>
      <c r="Y1463" s="135"/>
      <c r="Z1463" s="135" t="s">
        <v>2858</v>
      </c>
      <c r="AA1463" s="135"/>
      <c r="AB1463" s="135"/>
      <c r="AC1463" s="135"/>
      <c r="AD1463" s="135">
        <v>0.0</v>
      </c>
      <c r="AE1463" s="135"/>
      <c r="AF1463" s="135"/>
      <c r="AG1463" s="135"/>
    </row>
    <row r="1464" ht="21.75" hidden="1" customHeight="1">
      <c r="A1464" s="135">
        <v>1460.0</v>
      </c>
      <c r="B1464" s="135">
        <v>25045.0</v>
      </c>
      <c r="C1464" s="135"/>
      <c r="D1464" s="135">
        <v>26.0</v>
      </c>
      <c r="E1464" s="135" t="s">
        <v>3789</v>
      </c>
      <c r="F1464" s="135" t="s">
        <v>254</v>
      </c>
      <c r="G1464" s="135" t="s">
        <v>140</v>
      </c>
      <c r="H1464" s="135" t="s">
        <v>2853</v>
      </c>
      <c r="I1464" s="135" t="s">
        <v>141</v>
      </c>
      <c r="J1464" s="135">
        <v>1.0</v>
      </c>
      <c r="K1464" s="135"/>
      <c r="L1464" s="135">
        <v>4350.0</v>
      </c>
      <c r="M1464" s="135">
        <v>3765.0</v>
      </c>
      <c r="N1464" s="135">
        <v>120.0</v>
      </c>
      <c r="O1464" s="135">
        <v>2.204</v>
      </c>
      <c r="P1464" s="136">
        <v>0.0</v>
      </c>
      <c r="Q1464" s="137">
        <v>5.510000000000001</v>
      </c>
      <c r="R1464" s="136">
        <v>46127.0</v>
      </c>
      <c r="S1464" s="135" t="s">
        <v>3790</v>
      </c>
      <c r="T1464" s="136"/>
      <c r="U1464" s="135" t="s">
        <v>2864</v>
      </c>
      <c r="V1464" s="135" t="s">
        <v>3264</v>
      </c>
      <c r="W1464" s="135" t="s">
        <v>3307</v>
      </c>
      <c r="X1464" s="135" t="s">
        <v>3797</v>
      </c>
      <c r="Y1464" s="135"/>
      <c r="Z1464" s="135" t="s">
        <v>2858</v>
      </c>
      <c r="AA1464" s="135"/>
      <c r="AB1464" s="135"/>
      <c r="AC1464" s="135"/>
      <c r="AD1464" s="135">
        <v>46150.0</v>
      </c>
      <c r="AE1464" s="135"/>
      <c r="AF1464" s="135"/>
      <c r="AG1464" s="135"/>
    </row>
    <row r="1465" ht="21.75" hidden="1" customHeight="1">
      <c r="A1465" s="135">
        <v>1461.0</v>
      </c>
      <c r="B1465" s="135">
        <v>25045.0</v>
      </c>
      <c r="C1465" s="135"/>
      <c r="D1465" s="135">
        <v>26.0</v>
      </c>
      <c r="E1465" s="135" t="s">
        <v>3789</v>
      </c>
      <c r="F1465" s="135" t="s">
        <v>255</v>
      </c>
      <c r="G1465" s="135" t="s">
        <v>140</v>
      </c>
      <c r="H1465" s="135" t="s">
        <v>2853</v>
      </c>
      <c r="I1465" s="135" t="s">
        <v>141</v>
      </c>
      <c r="J1465" s="135">
        <v>1.0</v>
      </c>
      <c r="K1465" s="135"/>
      <c r="L1465" s="135">
        <v>4090.0</v>
      </c>
      <c r="M1465" s="135">
        <v>3765.0</v>
      </c>
      <c r="N1465" s="135">
        <v>120.0</v>
      </c>
      <c r="O1465" s="135">
        <v>2.211</v>
      </c>
      <c r="P1465" s="136">
        <v>0.0</v>
      </c>
      <c r="Q1465" s="137">
        <v>5.5275</v>
      </c>
      <c r="R1465" s="136">
        <v>46127.0</v>
      </c>
      <c r="S1465" s="135" t="s">
        <v>3790</v>
      </c>
      <c r="T1465" s="136"/>
      <c r="U1465" s="135" t="s">
        <v>2917</v>
      </c>
      <c r="V1465" s="135" t="s">
        <v>3264</v>
      </c>
      <c r="W1465" s="135" t="s">
        <v>3798</v>
      </c>
      <c r="X1465" s="135" t="s">
        <v>2872</v>
      </c>
      <c r="Y1465" s="135"/>
      <c r="Z1465" s="135" t="s">
        <v>2858</v>
      </c>
      <c r="AA1465" s="135"/>
      <c r="AB1465" s="135"/>
      <c r="AC1465" s="135"/>
      <c r="AD1465" s="135">
        <v>46149.0</v>
      </c>
      <c r="AE1465" s="135"/>
      <c r="AF1465" s="135"/>
      <c r="AG1465" s="135"/>
    </row>
    <row r="1466" ht="21.75" hidden="1" customHeight="1">
      <c r="A1466" s="135">
        <v>1462.0</v>
      </c>
      <c r="B1466" s="135">
        <v>25045.0</v>
      </c>
      <c r="C1466" s="135"/>
      <c r="D1466" s="135">
        <v>26.0</v>
      </c>
      <c r="E1466" s="135" t="s">
        <v>3789</v>
      </c>
      <c r="F1466" s="135" t="s">
        <v>256</v>
      </c>
      <c r="G1466" s="135" t="s">
        <v>140</v>
      </c>
      <c r="H1466" s="135" t="s">
        <v>2853</v>
      </c>
      <c r="I1466" s="135" t="s">
        <v>141</v>
      </c>
      <c r="J1466" s="135">
        <v>1.0</v>
      </c>
      <c r="K1466" s="135"/>
      <c r="L1466" s="135">
        <v>4290.0</v>
      </c>
      <c r="M1466" s="135">
        <v>3850.0</v>
      </c>
      <c r="N1466" s="135">
        <v>120.0</v>
      </c>
      <c r="O1466" s="135">
        <v>2.41</v>
      </c>
      <c r="P1466" s="136">
        <v>0.0</v>
      </c>
      <c r="Q1466" s="137">
        <v>6.025</v>
      </c>
      <c r="R1466" s="136">
        <v>46127.0</v>
      </c>
      <c r="S1466" s="135" t="s">
        <v>3790</v>
      </c>
      <c r="T1466" s="136"/>
      <c r="U1466" s="135" t="s">
        <v>2917</v>
      </c>
      <c r="V1466" s="135" t="s">
        <v>3086</v>
      </c>
      <c r="W1466" s="135" t="s">
        <v>3799</v>
      </c>
      <c r="X1466" s="135" t="s">
        <v>2870</v>
      </c>
      <c r="Y1466" s="135"/>
      <c r="Z1466" s="135" t="s">
        <v>2858</v>
      </c>
      <c r="AA1466" s="135"/>
      <c r="AB1466" s="135"/>
      <c r="AC1466" s="135"/>
      <c r="AD1466" s="135">
        <v>0.0</v>
      </c>
      <c r="AE1466" s="135"/>
      <c r="AF1466" s="135"/>
      <c r="AG1466" s="135"/>
    </row>
    <row r="1467" ht="21.75" hidden="1" customHeight="1">
      <c r="A1467" s="135">
        <v>1463.0</v>
      </c>
      <c r="B1467" s="135">
        <v>25045.0</v>
      </c>
      <c r="C1467" s="135"/>
      <c r="D1467" s="135">
        <v>26.0</v>
      </c>
      <c r="E1467" s="135" t="s">
        <v>3789</v>
      </c>
      <c r="F1467" s="135" t="s">
        <v>257</v>
      </c>
      <c r="G1467" s="135" t="s">
        <v>140</v>
      </c>
      <c r="H1467" s="135" t="s">
        <v>2853</v>
      </c>
      <c r="I1467" s="135" t="s">
        <v>141</v>
      </c>
      <c r="J1467" s="135">
        <v>1.0</v>
      </c>
      <c r="K1467" s="135"/>
      <c r="L1467" s="135">
        <v>5015.0</v>
      </c>
      <c r="M1467" s="135">
        <v>3450.0</v>
      </c>
      <c r="N1467" s="135">
        <v>120.0</v>
      </c>
      <c r="O1467" s="135">
        <v>2.485</v>
      </c>
      <c r="P1467" s="136">
        <v>0.0</v>
      </c>
      <c r="Q1467" s="137">
        <v>6.2124999999999995</v>
      </c>
      <c r="R1467" s="136">
        <v>46127.0</v>
      </c>
      <c r="S1467" s="135" t="s">
        <v>3790</v>
      </c>
      <c r="T1467" s="136"/>
      <c r="U1467" s="135" t="s">
        <v>2855</v>
      </c>
      <c r="V1467" s="135" t="s">
        <v>2878</v>
      </c>
      <c r="W1467" s="135" t="s">
        <v>2915</v>
      </c>
      <c r="X1467" s="135"/>
      <c r="Y1467" s="135"/>
      <c r="Z1467" s="135" t="s">
        <v>2858</v>
      </c>
      <c r="AA1467" s="135"/>
      <c r="AB1467" s="135"/>
      <c r="AC1467" s="135"/>
      <c r="AD1467" s="135">
        <v>46139.0</v>
      </c>
      <c r="AE1467" s="135"/>
      <c r="AF1467" s="135"/>
      <c r="AG1467" s="135"/>
    </row>
    <row r="1468" ht="21.75" hidden="1" customHeight="1">
      <c r="A1468" s="135">
        <v>1464.0</v>
      </c>
      <c r="B1468" s="135">
        <v>25045.0</v>
      </c>
      <c r="C1468" s="135"/>
      <c r="D1468" s="135">
        <v>26.0</v>
      </c>
      <c r="E1468" s="135" t="s">
        <v>3789</v>
      </c>
      <c r="F1468" s="135" t="s">
        <v>258</v>
      </c>
      <c r="G1468" s="135" t="s">
        <v>140</v>
      </c>
      <c r="H1468" s="135" t="s">
        <v>2853</v>
      </c>
      <c r="I1468" s="135" t="s">
        <v>141</v>
      </c>
      <c r="J1468" s="135">
        <v>1.0</v>
      </c>
      <c r="K1468" s="135" t="s">
        <v>3134</v>
      </c>
      <c r="L1468" s="135">
        <v>4530.0</v>
      </c>
      <c r="M1468" s="135">
        <v>3450.0</v>
      </c>
      <c r="N1468" s="135">
        <v>120.0</v>
      </c>
      <c r="O1468" s="135">
        <v>2.33</v>
      </c>
      <c r="P1468" s="136">
        <v>0.0</v>
      </c>
      <c r="Q1468" s="137">
        <v>5.825</v>
      </c>
      <c r="R1468" s="136">
        <v>46127.0</v>
      </c>
      <c r="S1468" s="135" t="s">
        <v>3790</v>
      </c>
      <c r="T1468" s="136"/>
      <c r="U1468" s="135" t="s">
        <v>2855</v>
      </c>
      <c r="V1468" s="135" t="s">
        <v>2878</v>
      </c>
      <c r="W1468" s="135" t="s">
        <v>3800</v>
      </c>
      <c r="X1468" s="135"/>
      <c r="Y1468" s="135"/>
      <c r="Z1468" s="135" t="s">
        <v>2858</v>
      </c>
      <c r="AA1468" s="135"/>
      <c r="AB1468" s="135"/>
      <c r="AC1468" s="135"/>
      <c r="AD1468" s="135">
        <v>46144.0</v>
      </c>
      <c r="AE1468" s="135"/>
      <c r="AF1468" s="135"/>
      <c r="AG1468" s="135"/>
    </row>
    <row r="1469" ht="21.75" hidden="1" customHeight="1">
      <c r="A1469" s="135">
        <v>1465.0</v>
      </c>
      <c r="B1469" s="135">
        <v>25045.0</v>
      </c>
      <c r="C1469" s="135"/>
      <c r="D1469" s="135">
        <v>26.0</v>
      </c>
      <c r="E1469" s="135" t="s">
        <v>3789</v>
      </c>
      <c r="F1469" s="135" t="s">
        <v>259</v>
      </c>
      <c r="G1469" s="135" t="s">
        <v>140</v>
      </c>
      <c r="H1469" s="135" t="s">
        <v>2853</v>
      </c>
      <c r="I1469" s="135" t="s">
        <v>141</v>
      </c>
      <c r="J1469" s="135">
        <v>1.0</v>
      </c>
      <c r="K1469" s="135" t="s">
        <v>3134</v>
      </c>
      <c r="L1469" s="135">
        <v>4530.0</v>
      </c>
      <c r="M1469" s="135">
        <v>3450.0</v>
      </c>
      <c r="N1469" s="135">
        <v>120.0</v>
      </c>
      <c r="O1469" s="135">
        <v>2.33</v>
      </c>
      <c r="P1469" s="136">
        <v>0.0</v>
      </c>
      <c r="Q1469" s="137">
        <v>5.825</v>
      </c>
      <c r="R1469" s="136">
        <v>46127.0</v>
      </c>
      <c r="S1469" s="135" t="s">
        <v>3790</v>
      </c>
      <c r="T1469" s="136"/>
      <c r="U1469" s="135" t="s">
        <v>2855</v>
      </c>
      <c r="V1469" s="135" t="s">
        <v>2878</v>
      </c>
      <c r="W1469" s="135" t="s">
        <v>3800</v>
      </c>
      <c r="X1469" s="135"/>
      <c r="Y1469" s="135"/>
      <c r="Z1469" s="135" t="s">
        <v>2858</v>
      </c>
      <c r="AA1469" s="135"/>
      <c r="AB1469" s="135"/>
      <c r="AC1469" s="135"/>
      <c r="AD1469" s="135">
        <v>46146.0</v>
      </c>
      <c r="AE1469" s="135"/>
      <c r="AF1469" s="135"/>
      <c r="AG1469" s="135"/>
    </row>
    <row r="1470" ht="21.75" hidden="1" customHeight="1">
      <c r="A1470" s="135">
        <v>1466.0</v>
      </c>
      <c r="B1470" s="135">
        <v>25045.0</v>
      </c>
      <c r="C1470" s="135"/>
      <c r="D1470" s="135">
        <v>26.0</v>
      </c>
      <c r="E1470" s="135" t="s">
        <v>3789</v>
      </c>
      <c r="F1470" s="135" t="s">
        <v>260</v>
      </c>
      <c r="G1470" s="135" t="s">
        <v>140</v>
      </c>
      <c r="H1470" s="135" t="s">
        <v>2853</v>
      </c>
      <c r="I1470" s="135" t="s">
        <v>141</v>
      </c>
      <c r="J1470" s="135">
        <v>1.0</v>
      </c>
      <c r="K1470" s="135" t="s">
        <v>3134</v>
      </c>
      <c r="L1470" s="135">
        <v>4530.0</v>
      </c>
      <c r="M1470" s="135">
        <v>3450.0</v>
      </c>
      <c r="N1470" s="135">
        <v>120.0</v>
      </c>
      <c r="O1470" s="135">
        <v>2.33</v>
      </c>
      <c r="P1470" s="136">
        <v>0.0</v>
      </c>
      <c r="Q1470" s="137">
        <v>5.825</v>
      </c>
      <c r="R1470" s="136">
        <v>46127.0</v>
      </c>
      <c r="S1470" s="135" t="s">
        <v>3790</v>
      </c>
      <c r="T1470" s="136"/>
      <c r="U1470" s="135" t="s">
        <v>2855</v>
      </c>
      <c r="V1470" s="135" t="s">
        <v>2878</v>
      </c>
      <c r="W1470" s="135" t="s">
        <v>3800</v>
      </c>
      <c r="X1470" s="135"/>
      <c r="Y1470" s="135"/>
      <c r="Z1470" s="135" t="s">
        <v>2858</v>
      </c>
      <c r="AA1470" s="135"/>
      <c r="AB1470" s="135"/>
      <c r="AC1470" s="135"/>
      <c r="AD1470" s="135">
        <v>46146.0</v>
      </c>
      <c r="AE1470" s="135"/>
      <c r="AF1470" s="135"/>
      <c r="AG1470" s="135"/>
    </row>
    <row r="1471" ht="21.75" hidden="1" customHeight="1">
      <c r="A1471" s="135">
        <v>1467.0</v>
      </c>
      <c r="B1471" s="135">
        <v>25045.0</v>
      </c>
      <c r="C1471" s="135"/>
      <c r="D1471" s="135">
        <v>26.0</v>
      </c>
      <c r="E1471" s="135" t="s">
        <v>3789</v>
      </c>
      <c r="F1471" s="135" t="s">
        <v>261</v>
      </c>
      <c r="G1471" s="135" t="s">
        <v>140</v>
      </c>
      <c r="H1471" s="135" t="s">
        <v>2853</v>
      </c>
      <c r="I1471" s="135" t="s">
        <v>141</v>
      </c>
      <c r="J1471" s="135">
        <v>1.0</v>
      </c>
      <c r="K1471" s="135"/>
      <c r="L1471" s="135">
        <v>4530.0</v>
      </c>
      <c r="M1471" s="135">
        <v>3450.0</v>
      </c>
      <c r="N1471" s="135">
        <v>120.0</v>
      </c>
      <c r="O1471" s="135">
        <v>1.994</v>
      </c>
      <c r="P1471" s="136">
        <v>0.0</v>
      </c>
      <c r="Q1471" s="137">
        <v>4.985</v>
      </c>
      <c r="R1471" s="136">
        <v>46127.0</v>
      </c>
      <c r="S1471" s="135" t="s">
        <v>3790</v>
      </c>
      <c r="T1471" s="136"/>
      <c r="U1471" s="135" t="s">
        <v>2864</v>
      </c>
      <c r="V1471" s="135" t="s">
        <v>2890</v>
      </c>
      <c r="W1471" s="135" t="s">
        <v>3801</v>
      </c>
      <c r="X1471" s="135" t="s">
        <v>3802</v>
      </c>
      <c r="Y1471" s="135"/>
      <c r="Z1471" s="135" t="s">
        <v>2858</v>
      </c>
      <c r="AA1471" s="135"/>
      <c r="AB1471" s="135"/>
      <c r="AC1471" s="135"/>
      <c r="AD1471" s="135">
        <v>46139.0</v>
      </c>
      <c r="AE1471" s="135"/>
      <c r="AF1471" s="135"/>
      <c r="AG1471" s="135"/>
    </row>
    <row r="1472" ht="21.75" hidden="1" customHeight="1">
      <c r="A1472" s="135">
        <v>1468.0</v>
      </c>
      <c r="B1472" s="135">
        <v>25045.0</v>
      </c>
      <c r="C1472" s="135"/>
      <c r="D1472" s="135">
        <v>26.0</v>
      </c>
      <c r="E1472" s="135" t="s">
        <v>3789</v>
      </c>
      <c r="F1472" s="135" t="s">
        <v>262</v>
      </c>
      <c r="G1472" s="135" t="s">
        <v>140</v>
      </c>
      <c r="H1472" s="135" t="s">
        <v>2853</v>
      </c>
      <c r="I1472" s="135" t="s">
        <v>141</v>
      </c>
      <c r="J1472" s="135">
        <v>1.0</v>
      </c>
      <c r="K1472" s="135"/>
      <c r="L1472" s="135">
        <v>3492.0</v>
      </c>
      <c r="M1472" s="135">
        <v>1600.0</v>
      </c>
      <c r="N1472" s="135">
        <v>120.0</v>
      </c>
      <c r="O1472" s="135">
        <v>0.806</v>
      </c>
      <c r="P1472" s="136">
        <v>0.0</v>
      </c>
      <c r="Q1472" s="137">
        <v>2.015</v>
      </c>
      <c r="R1472" s="136">
        <v>46127.0</v>
      </c>
      <c r="S1472" s="135" t="s">
        <v>3790</v>
      </c>
      <c r="T1472" s="136"/>
      <c r="U1472" s="135" t="s">
        <v>2864</v>
      </c>
      <c r="V1472" s="135" t="s">
        <v>3007</v>
      </c>
      <c r="W1472" s="135" t="s">
        <v>3803</v>
      </c>
      <c r="X1472" s="135"/>
      <c r="Y1472" s="135"/>
      <c r="Z1472" s="135" t="s">
        <v>2858</v>
      </c>
      <c r="AA1472" s="135"/>
      <c r="AB1472" s="135"/>
      <c r="AC1472" s="135"/>
      <c r="AD1472" s="135">
        <v>0.0</v>
      </c>
      <c r="AE1472" s="135"/>
      <c r="AF1472" s="135"/>
      <c r="AG1472" s="135"/>
    </row>
    <row r="1473" ht="21.75" hidden="1" customHeight="1">
      <c r="A1473" s="135">
        <v>1469.0</v>
      </c>
      <c r="B1473" s="135">
        <v>25045.0</v>
      </c>
      <c r="C1473" s="135"/>
      <c r="D1473" s="135">
        <v>26.0</v>
      </c>
      <c r="E1473" s="135" t="s">
        <v>3789</v>
      </c>
      <c r="F1473" s="135" t="s">
        <v>263</v>
      </c>
      <c r="G1473" s="135" t="s">
        <v>140</v>
      </c>
      <c r="H1473" s="135" t="s">
        <v>2853</v>
      </c>
      <c r="I1473" s="135" t="s">
        <v>141</v>
      </c>
      <c r="J1473" s="135">
        <v>1.0</v>
      </c>
      <c r="K1473" s="135"/>
      <c r="L1473" s="135">
        <v>3492.0</v>
      </c>
      <c r="M1473" s="135">
        <v>1860.0</v>
      </c>
      <c r="N1473" s="135">
        <v>120.0</v>
      </c>
      <c r="O1473" s="135">
        <v>0.99</v>
      </c>
      <c r="P1473" s="136">
        <v>0.0</v>
      </c>
      <c r="Q1473" s="137">
        <v>2.475</v>
      </c>
      <c r="R1473" s="136">
        <v>46127.0</v>
      </c>
      <c r="S1473" s="135" t="s">
        <v>3790</v>
      </c>
      <c r="T1473" s="136"/>
      <c r="U1473" s="135" t="s">
        <v>2864</v>
      </c>
      <c r="V1473" s="135" t="s">
        <v>3804</v>
      </c>
      <c r="W1473" s="135" t="s">
        <v>3805</v>
      </c>
      <c r="X1473" s="135"/>
      <c r="Y1473" s="135"/>
      <c r="Z1473" s="135" t="s">
        <v>2858</v>
      </c>
      <c r="AA1473" s="135"/>
      <c r="AB1473" s="135"/>
      <c r="AC1473" s="135"/>
      <c r="AD1473" s="135">
        <v>0.0</v>
      </c>
      <c r="AE1473" s="135"/>
      <c r="AF1473" s="135"/>
      <c r="AG1473" s="135"/>
    </row>
    <row r="1474" ht="21.75" hidden="1" customHeight="1">
      <c r="A1474" s="135">
        <v>1470.0</v>
      </c>
      <c r="B1474" s="135">
        <v>25045.0</v>
      </c>
      <c r="C1474" s="135"/>
      <c r="D1474" s="135">
        <v>26.0</v>
      </c>
      <c r="E1474" s="135" t="s">
        <v>3789</v>
      </c>
      <c r="F1474" s="135" t="s">
        <v>264</v>
      </c>
      <c r="G1474" s="135" t="s">
        <v>140</v>
      </c>
      <c r="H1474" s="135" t="s">
        <v>2853</v>
      </c>
      <c r="I1474" s="135" t="s">
        <v>141</v>
      </c>
      <c r="J1474" s="135">
        <v>1.0</v>
      </c>
      <c r="K1474" s="135"/>
      <c r="L1474" s="135">
        <v>1635.0</v>
      </c>
      <c r="M1474" s="135">
        <v>1740.0</v>
      </c>
      <c r="N1474" s="135">
        <v>120.0</v>
      </c>
      <c r="O1474" s="135">
        <v>0.461</v>
      </c>
      <c r="P1474" s="136">
        <v>0.0</v>
      </c>
      <c r="Q1474" s="137">
        <v>1.1525</v>
      </c>
      <c r="R1474" s="136">
        <v>46127.0</v>
      </c>
      <c r="S1474" s="135" t="s">
        <v>3790</v>
      </c>
      <c r="T1474" s="136"/>
      <c r="U1474" s="135" t="s">
        <v>2864</v>
      </c>
      <c r="V1474" s="135" t="s">
        <v>2873</v>
      </c>
      <c r="W1474" s="135" t="s">
        <v>3168</v>
      </c>
      <c r="X1474" s="135"/>
      <c r="Y1474" s="135"/>
      <c r="Z1474" s="135" t="s">
        <v>2858</v>
      </c>
      <c r="AA1474" s="135"/>
      <c r="AB1474" s="135"/>
      <c r="AC1474" s="135"/>
      <c r="AD1474" s="135">
        <v>46146.0</v>
      </c>
      <c r="AE1474" s="135"/>
      <c r="AF1474" s="135"/>
      <c r="AG1474" s="135"/>
    </row>
    <row r="1475" ht="21.75" hidden="1" customHeight="1">
      <c r="A1475" s="135">
        <v>1471.0</v>
      </c>
      <c r="B1475" s="135">
        <v>25045.0</v>
      </c>
      <c r="C1475" s="135"/>
      <c r="D1475" s="135">
        <v>26.0</v>
      </c>
      <c r="E1475" s="135" t="s">
        <v>3789</v>
      </c>
      <c r="F1475" s="135" t="s">
        <v>265</v>
      </c>
      <c r="G1475" s="135" t="s">
        <v>140</v>
      </c>
      <c r="H1475" s="135" t="s">
        <v>2853</v>
      </c>
      <c r="I1475" s="135" t="s">
        <v>141</v>
      </c>
      <c r="J1475" s="135">
        <v>1.0</v>
      </c>
      <c r="K1475" s="135"/>
      <c r="L1475" s="135">
        <v>4874.0</v>
      </c>
      <c r="M1475" s="135">
        <v>1000.0</v>
      </c>
      <c r="N1475" s="135">
        <v>120.0</v>
      </c>
      <c r="O1475" s="135">
        <v>0.931</v>
      </c>
      <c r="P1475" s="136">
        <v>0.0</v>
      </c>
      <c r="Q1475" s="137">
        <v>2.3275</v>
      </c>
      <c r="R1475" s="136">
        <v>46127.0</v>
      </c>
      <c r="S1475" s="135" t="s">
        <v>3790</v>
      </c>
      <c r="T1475" s="136"/>
      <c r="U1475" s="135" t="s">
        <v>2950</v>
      </c>
      <c r="V1475" s="135" t="s">
        <v>2980</v>
      </c>
      <c r="W1475" s="135" t="s">
        <v>3806</v>
      </c>
      <c r="X1475" s="135"/>
      <c r="Y1475" s="135"/>
      <c r="Z1475" s="135" t="s">
        <v>2858</v>
      </c>
      <c r="AA1475" s="135"/>
      <c r="AB1475" s="135"/>
      <c r="AC1475" s="135"/>
      <c r="AD1475" s="135">
        <v>46142.0</v>
      </c>
      <c r="AE1475" s="135"/>
      <c r="AF1475" s="135"/>
      <c r="AG1475" s="135"/>
    </row>
    <row r="1476" ht="21.75" hidden="1" customHeight="1">
      <c r="A1476" s="135">
        <v>1472.0</v>
      </c>
      <c r="B1476" s="135">
        <v>25045.0</v>
      </c>
      <c r="C1476" s="135"/>
      <c r="D1476" s="135">
        <v>26.0</v>
      </c>
      <c r="E1476" s="135" t="s">
        <v>3789</v>
      </c>
      <c r="F1476" s="135" t="s">
        <v>266</v>
      </c>
      <c r="G1476" s="135" t="s">
        <v>140</v>
      </c>
      <c r="H1476" s="135" t="s">
        <v>2965</v>
      </c>
      <c r="I1476" s="135" t="s">
        <v>141</v>
      </c>
      <c r="J1476" s="135">
        <v>1.0</v>
      </c>
      <c r="K1476" s="135"/>
      <c r="L1476" s="135">
        <v>400.0</v>
      </c>
      <c r="M1476" s="135">
        <v>3380.0</v>
      </c>
      <c r="N1476" s="135">
        <v>350.0</v>
      </c>
      <c r="O1476" s="135">
        <v>0.537</v>
      </c>
      <c r="P1476" s="136">
        <v>0.0</v>
      </c>
      <c r="Q1476" s="137">
        <v>1.3425</v>
      </c>
      <c r="R1476" s="136">
        <v>46127.0</v>
      </c>
      <c r="S1476" s="135" t="s">
        <v>3790</v>
      </c>
      <c r="T1476" s="136"/>
      <c r="U1476" s="135" t="s">
        <v>2966</v>
      </c>
      <c r="V1476" s="135" t="s">
        <v>2967</v>
      </c>
      <c r="W1476" s="135"/>
      <c r="X1476" s="135" t="s">
        <v>2969</v>
      </c>
      <c r="Y1476" s="135"/>
      <c r="Z1476" s="135" t="s">
        <v>2858</v>
      </c>
      <c r="AA1476" s="135"/>
      <c r="AB1476" s="135"/>
      <c r="AC1476" s="135"/>
      <c r="AD1476" s="135">
        <v>46153.0</v>
      </c>
      <c r="AE1476" s="135"/>
      <c r="AF1476" s="135"/>
      <c r="AG1476" s="135"/>
    </row>
    <row r="1477" ht="21.75" hidden="1" customHeight="1">
      <c r="A1477" s="135">
        <v>1473.0</v>
      </c>
      <c r="B1477" s="135">
        <v>25045.0</v>
      </c>
      <c r="C1477" s="135" t="s">
        <v>2817</v>
      </c>
      <c r="D1477" s="135">
        <v>26.0</v>
      </c>
      <c r="E1477" s="135" t="s">
        <v>3807</v>
      </c>
      <c r="F1477" s="135" t="s">
        <v>267</v>
      </c>
      <c r="G1477" s="135" t="s">
        <v>140</v>
      </c>
      <c r="H1477" s="135" t="s">
        <v>2853</v>
      </c>
      <c r="I1477" s="135" t="s">
        <v>142</v>
      </c>
      <c r="J1477" s="135">
        <v>1.0</v>
      </c>
      <c r="K1477" s="135"/>
      <c r="L1477" s="135">
        <v>5687.0</v>
      </c>
      <c r="M1477" s="135">
        <v>1350.0</v>
      </c>
      <c r="N1477" s="135">
        <v>120.0</v>
      </c>
      <c r="O1477" s="135">
        <v>1.033</v>
      </c>
      <c r="P1477" s="136">
        <v>0.0</v>
      </c>
      <c r="Q1477" s="137">
        <v>2.5824999999999996</v>
      </c>
      <c r="R1477" s="136">
        <v>46127.0</v>
      </c>
      <c r="S1477" s="135" t="s">
        <v>3790</v>
      </c>
      <c r="T1477" s="136"/>
      <c r="U1477" s="135" t="s">
        <v>2855</v>
      </c>
      <c r="V1477" s="135" t="s">
        <v>2856</v>
      </c>
      <c r="W1477" s="135" t="s">
        <v>3808</v>
      </c>
      <c r="X1477" s="135"/>
      <c r="Y1477" s="135"/>
      <c r="Z1477" s="135" t="s">
        <v>2858</v>
      </c>
      <c r="AA1477" s="135"/>
      <c r="AB1477" s="135"/>
      <c r="AC1477" s="135"/>
      <c r="AD1477" s="135" t="e">
        <v>#N/A</v>
      </c>
      <c r="AE1477" s="135"/>
      <c r="AF1477" s="135"/>
      <c r="AG1477" s="135"/>
    </row>
    <row r="1478" ht="21.75" hidden="1" customHeight="1">
      <c r="A1478" s="135">
        <v>1474.0</v>
      </c>
      <c r="B1478" s="135">
        <v>25045.0</v>
      </c>
      <c r="C1478" s="135" t="s">
        <v>2817</v>
      </c>
      <c r="D1478" s="135">
        <v>26.0</v>
      </c>
      <c r="E1478" s="135" t="s">
        <v>3807</v>
      </c>
      <c r="F1478" s="135" t="s">
        <v>268</v>
      </c>
      <c r="G1478" s="135" t="s">
        <v>140</v>
      </c>
      <c r="H1478" s="135" t="s">
        <v>2853</v>
      </c>
      <c r="I1478" s="135" t="s">
        <v>142</v>
      </c>
      <c r="J1478" s="135">
        <v>1.0</v>
      </c>
      <c r="K1478" s="135"/>
      <c r="L1478" s="135">
        <v>5687.0</v>
      </c>
      <c r="M1478" s="135">
        <v>3170.0</v>
      </c>
      <c r="N1478" s="135">
        <v>120.0</v>
      </c>
      <c r="O1478" s="135">
        <v>1.12</v>
      </c>
      <c r="P1478" s="136">
        <v>0.0</v>
      </c>
      <c r="Q1478" s="137">
        <v>2.8000000000000003</v>
      </c>
      <c r="R1478" s="136">
        <v>46127.0</v>
      </c>
      <c r="S1478" s="135" t="s">
        <v>3790</v>
      </c>
      <c r="T1478" s="136"/>
      <c r="U1478" s="135" t="s">
        <v>2855</v>
      </c>
      <c r="V1478" s="135" t="s">
        <v>2856</v>
      </c>
      <c r="W1478" s="135" t="s">
        <v>3425</v>
      </c>
      <c r="X1478" s="135" t="s">
        <v>3141</v>
      </c>
      <c r="Y1478" s="135"/>
      <c r="Z1478" s="135" t="s">
        <v>2858</v>
      </c>
      <c r="AA1478" s="135"/>
      <c r="AB1478" s="135"/>
      <c r="AC1478" s="135"/>
      <c r="AD1478" s="135" t="e">
        <v>#N/A</v>
      </c>
      <c r="AE1478" s="135"/>
      <c r="AF1478" s="135"/>
      <c r="AG1478" s="135"/>
    </row>
    <row r="1479" ht="21.75" hidden="1" customHeight="1">
      <c r="A1479" s="135">
        <v>1475.0</v>
      </c>
      <c r="B1479" s="135">
        <v>25045.0</v>
      </c>
      <c r="C1479" s="135" t="s">
        <v>2817</v>
      </c>
      <c r="D1479" s="135">
        <v>26.0</v>
      </c>
      <c r="E1479" s="135" t="s">
        <v>3807</v>
      </c>
      <c r="F1479" s="135" t="s">
        <v>269</v>
      </c>
      <c r="G1479" s="135" t="s">
        <v>140</v>
      </c>
      <c r="H1479" s="135" t="s">
        <v>2853</v>
      </c>
      <c r="I1479" s="135" t="s">
        <v>142</v>
      </c>
      <c r="J1479" s="135">
        <v>1.0</v>
      </c>
      <c r="K1479" s="135"/>
      <c r="L1479" s="135">
        <v>2595.0</v>
      </c>
      <c r="M1479" s="135">
        <v>2850.0</v>
      </c>
      <c r="N1479" s="135">
        <v>120.0</v>
      </c>
      <c r="O1479" s="135">
        <v>0.951</v>
      </c>
      <c r="P1479" s="136">
        <v>0.0</v>
      </c>
      <c r="Q1479" s="137">
        <v>2.3775</v>
      </c>
      <c r="R1479" s="136">
        <v>46127.0</v>
      </c>
      <c r="S1479" s="135" t="s">
        <v>3790</v>
      </c>
      <c r="T1479" s="136"/>
      <c r="U1479" s="135" t="s">
        <v>2864</v>
      </c>
      <c r="V1479" s="135" t="s">
        <v>2878</v>
      </c>
      <c r="W1479" s="135" t="s">
        <v>2962</v>
      </c>
      <c r="X1479" s="135" t="s">
        <v>3586</v>
      </c>
      <c r="Y1479" s="135"/>
      <c r="Z1479" s="135" t="s">
        <v>2858</v>
      </c>
      <c r="AA1479" s="135"/>
      <c r="AB1479" s="135"/>
      <c r="AC1479" s="135"/>
      <c r="AD1479" s="135">
        <v>46139.0</v>
      </c>
      <c r="AE1479" s="135"/>
      <c r="AF1479" s="135"/>
      <c r="AG1479" s="135"/>
    </row>
    <row r="1480" ht="21.75" hidden="1" customHeight="1">
      <c r="A1480" s="135">
        <v>1476.0</v>
      </c>
      <c r="B1480" s="135">
        <v>25045.0</v>
      </c>
      <c r="C1480" s="135"/>
      <c r="D1480" s="135">
        <v>26.0</v>
      </c>
      <c r="E1480" s="135" t="s">
        <v>3807</v>
      </c>
      <c r="F1480" s="135" t="s">
        <v>270</v>
      </c>
      <c r="G1480" s="135" t="s">
        <v>140</v>
      </c>
      <c r="H1480" s="135" t="s">
        <v>2853</v>
      </c>
      <c r="I1480" s="135" t="s">
        <v>142</v>
      </c>
      <c r="J1480" s="135">
        <v>1.0</v>
      </c>
      <c r="K1480" s="135"/>
      <c r="L1480" s="135">
        <v>4400.0</v>
      </c>
      <c r="M1480" s="135">
        <v>3150.0</v>
      </c>
      <c r="N1480" s="135">
        <v>120.0</v>
      </c>
      <c r="O1480" s="135">
        <v>1.923</v>
      </c>
      <c r="P1480" s="136">
        <v>1.0</v>
      </c>
      <c r="Q1480" s="137">
        <v>4.8075</v>
      </c>
      <c r="R1480" s="136">
        <v>46127.0</v>
      </c>
      <c r="S1480" s="135" t="s">
        <v>3790</v>
      </c>
      <c r="T1480" s="136">
        <v>46150.0</v>
      </c>
      <c r="U1480" s="135" t="s">
        <v>2855</v>
      </c>
      <c r="V1480" s="135" t="s">
        <v>2876</v>
      </c>
      <c r="W1480" s="135">
        <v>1800.0</v>
      </c>
      <c r="X1480" s="135"/>
      <c r="Y1480" s="135"/>
      <c r="Z1480" s="135" t="s">
        <v>2858</v>
      </c>
      <c r="AA1480" s="135"/>
      <c r="AB1480" s="135"/>
      <c r="AC1480" s="135"/>
      <c r="AD1480" s="135">
        <v>0.0</v>
      </c>
      <c r="AE1480" s="135"/>
      <c r="AF1480" s="135"/>
      <c r="AG1480" s="135"/>
    </row>
    <row r="1481" ht="21.75" hidden="1" customHeight="1">
      <c r="A1481" s="135">
        <v>1477.0</v>
      </c>
      <c r="B1481" s="135">
        <v>25045.0</v>
      </c>
      <c r="C1481" s="135"/>
      <c r="D1481" s="135">
        <v>26.0</v>
      </c>
      <c r="E1481" s="135" t="s">
        <v>3807</v>
      </c>
      <c r="F1481" s="135" t="s">
        <v>271</v>
      </c>
      <c r="G1481" s="135" t="s">
        <v>140</v>
      </c>
      <c r="H1481" s="135" t="s">
        <v>2853</v>
      </c>
      <c r="I1481" s="135" t="s">
        <v>142</v>
      </c>
      <c r="J1481" s="135">
        <v>1.0</v>
      </c>
      <c r="K1481" s="135" t="s">
        <v>3134</v>
      </c>
      <c r="L1481" s="135">
        <v>4400.0</v>
      </c>
      <c r="M1481" s="135">
        <v>3150.0</v>
      </c>
      <c r="N1481" s="135">
        <v>120.0</v>
      </c>
      <c r="O1481" s="135">
        <v>1.982</v>
      </c>
      <c r="P1481" s="136">
        <v>0.0</v>
      </c>
      <c r="Q1481" s="137">
        <v>4.955</v>
      </c>
      <c r="R1481" s="136">
        <v>46127.0</v>
      </c>
      <c r="S1481" s="135" t="s">
        <v>3790</v>
      </c>
      <c r="T1481" s="136"/>
      <c r="U1481" s="135" t="s">
        <v>2855</v>
      </c>
      <c r="V1481" s="135" t="s">
        <v>2876</v>
      </c>
      <c r="W1481" s="135" t="s">
        <v>3809</v>
      </c>
      <c r="X1481" s="135"/>
      <c r="Y1481" s="135"/>
      <c r="Z1481" s="135" t="s">
        <v>2858</v>
      </c>
      <c r="AA1481" s="135"/>
      <c r="AB1481" s="135"/>
      <c r="AC1481" s="135"/>
      <c r="AD1481" s="135">
        <v>46142.0</v>
      </c>
      <c r="AE1481" s="135"/>
      <c r="AF1481" s="135"/>
      <c r="AG1481" s="135"/>
    </row>
    <row r="1482" ht="21.75" hidden="1" customHeight="1">
      <c r="A1482" s="135">
        <v>1478.0</v>
      </c>
      <c r="B1482" s="135">
        <v>25045.0</v>
      </c>
      <c r="C1482" s="135"/>
      <c r="D1482" s="135">
        <v>26.0</v>
      </c>
      <c r="E1482" s="135" t="s">
        <v>3807</v>
      </c>
      <c r="F1482" s="135" t="s">
        <v>272</v>
      </c>
      <c r="G1482" s="135" t="s">
        <v>140</v>
      </c>
      <c r="H1482" s="135" t="s">
        <v>2853</v>
      </c>
      <c r="I1482" s="135" t="s">
        <v>142</v>
      </c>
      <c r="J1482" s="135">
        <v>1.0</v>
      </c>
      <c r="K1482" s="135" t="s">
        <v>3134</v>
      </c>
      <c r="L1482" s="135">
        <v>4400.0</v>
      </c>
      <c r="M1482" s="135">
        <v>3150.0</v>
      </c>
      <c r="N1482" s="135">
        <v>120.0</v>
      </c>
      <c r="O1482" s="135">
        <v>1.982</v>
      </c>
      <c r="P1482" s="136">
        <v>0.0</v>
      </c>
      <c r="Q1482" s="137">
        <v>4.955</v>
      </c>
      <c r="R1482" s="136">
        <v>46127.0</v>
      </c>
      <c r="S1482" s="135" t="s">
        <v>3790</v>
      </c>
      <c r="T1482" s="136"/>
      <c r="U1482" s="135" t="s">
        <v>2855</v>
      </c>
      <c r="V1482" s="135" t="s">
        <v>2876</v>
      </c>
      <c r="W1482" s="135" t="s">
        <v>3809</v>
      </c>
      <c r="X1482" s="135"/>
      <c r="Y1482" s="135"/>
      <c r="Z1482" s="135" t="s">
        <v>2858</v>
      </c>
      <c r="AA1482" s="135"/>
      <c r="AB1482" s="135"/>
      <c r="AC1482" s="135"/>
      <c r="AD1482" s="135">
        <v>46143.0</v>
      </c>
      <c r="AE1482" s="135"/>
      <c r="AF1482" s="135"/>
      <c r="AG1482" s="135"/>
    </row>
    <row r="1483" ht="21.75" hidden="1" customHeight="1">
      <c r="A1483" s="135">
        <v>1479.0</v>
      </c>
      <c r="B1483" s="135">
        <v>25045.0</v>
      </c>
      <c r="C1483" s="135"/>
      <c r="D1483" s="135">
        <v>26.0</v>
      </c>
      <c r="E1483" s="135" t="s">
        <v>3807</v>
      </c>
      <c r="F1483" s="135" t="s">
        <v>273</v>
      </c>
      <c r="G1483" s="135" t="s">
        <v>140</v>
      </c>
      <c r="H1483" s="135" t="s">
        <v>2853</v>
      </c>
      <c r="I1483" s="135" t="s">
        <v>142</v>
      </c>
      <c r="J1483" s="135">
        <v>1.0</v>
      </c>
      <c r="K1483" s="135" t="s">
        <v>3134</v>
      </c>
      <c r="L1483" s="135">
        <v>4400.0</v>
      </c>
      <c r="M1483" s="135">
        <v>3150.0</v>
      </c>
      <c r="N1483" s="135">
        <v>120.0</v>
      </c>
      <c r="O1483" s="135">
        <v>1.982</v>
      </c>
      <c r="P1483" s="136">
        <v>0.0</v>
      </c>
      <c r="Q1483" s="137">
        <v>4.955</v>
      </c>
      <c r="R1483" s="136">
        <v>46127.0</v>
      </c>
      <c r="S1483" s="135" t="s">
        <v>3790</v>
      </c>
      <c r="T1483" s="136"/>
      <c r="U1483" s="135" t="s">
        <v>2855</v>
      </c>
      <c r="V1483" s="135" t="s">
        <v>2876</v>
      </c>
      <c r="W1483" s="135" t="s">
        <v>3809</v>
      </c>
      <c r="X1483" s="135"/>
      <c r="Y1483" s="135"/>
      <c r="Z1483" s="135" t="s">
        <v>2858</v>
      </c>
      <c r="AA1483" s="135"/>
      <c r="AB1483" s="135"/>
      <c r="AC1483" s="135"/>
      <c r="AD1483" s="135">
        <v>46144.0</v>
      </c>
      <c r="AE1483" s="135"/>
      <c r="AF1483" s="135"/>
      <c r="AG1483" s="135"/>
    </row>
    <row r="1484" ht="21.75" hidden="1" customHeight="1">
      <c r="A1484" s="135">
        <v>1480.0</v>
      </c>
      <c r="B1484" s="135">
        <v>25045.0</v>
      </c>
      <c r="C1484" s="135"/>
      <c r="D1484" s="135">
        <v>26.0</v>
      </c>
      <c r="E1484" s="135" t="s">
        <v>3807</v>
      </c>
      <c r="F1484" s="135" t="s">
        <v>274</v>
      </c>
      <c r="G1484" s="135" t="s">
        <v>140</v>
      </c>
      <c r="H1484" s="135" t="s">
        <v>2853</v>
      </c>
      <c r="I1484" s="135" t="s">
        <v>142</v>
      </c>
      <c r="J1484" s="135">
        <v>1.0</v>
      </c>
      <c r="K1484" s="135"/>
      <c r="L1484" s="135">
        <v>4398.0</v>
      </c>
      <c r="M1484" s="135">
        <v>3150.0</v>
      </c>
      <c r="N1484" s="135">
        <v>120.0</v>
      </c>
      <c r="O1484" s="135">
        <v>1.645</v>
      </c>
      <c r="P1484" s="136">
        <v>0.0</v>
      </c>
      <c r="Q1484" s="137">
        <v>4.1125</v>
      </c>
      <c r="R1484" s="136">
        <v>46127.0</v>
      </c>
      <c r="S1484" s="135" t="s">
        <v>3790</v>
      </c>
      <c r="T1484" s="136"/>
      <c r="U1484" s="135" t="s">
        <v>2864</v>
      </c>
      <c r="V1484" s="135" t="s">
        <v>2985</v>
      </c>
      <c r="W1484" s="135" t="s">
        <v>3810</v>
      </c>
      <c r="X1484" s="135" t="s">
        <v>3802</v>
      </c>
      <c r="Y1484" s="135"/>
      <c r="Z1484" s="135" t="s">
        <v>2858</v>
      </c>
      <c r="AA1484" s="135"/>
      <c r="AB1484" s="135"/>
      <c r="AC1484" s="135"/>
      <c r="AD1484" s="135">
        <v>46143.0</v>
      </c>
      <c r="AE1484" s="135"/>
      <c r="AF1484" s="135"/>
      <c r="AG1484" s="135"/>
    </row>
    <row r="1485" ht="21.75" hidden="1" customHeight="1">
      <c r="A1485" s="135">
        <v>1481.0</v>
      </c>
      <c r="B1485" s="135">
        <v>25045.0</v>
      </c>
      <c r="C1485" s="135"/>
      <c r="D1485" s="135">
        <v>26.0</v>
      </c>
      <c r="E1485" s="135" t="s">
        <v>3807</v>
      </c>
      <c r="F1485" s="135" t="s">
        <v>275</v>
      </c>
      <c r="G1485" s="135" t="s">
        <v>140</v>
      </c>
      <c r="H1485" s="135" t="s">
        <v>2853</v>
      </c>
      <c r="I1485" s="135" t="s">
        <v>142</v>
      </c>
      <c r="J1485" s="135">
        <v>1.0</v>
      </c>
      <c r="K1485" s="135"/>
      <c r="L1485" s="135">
        <v>5015.0</v>
      </c>
      <c r="M1485" s="135">
        <v>3450.0</v>
      </c>
      <c r="N1485" s="135">
        <v>120.0</v>
      </c>
      <c r="O1485" s="135">
        <v>2.484</v>
      </c>
      <c r="P1485" s="136">
        <v>0.0</v>
      </c>
      <c r="Q1485" s="137">
        <v>6.21</v>
      </c>
      <c r="R1485" s="136">
        <v>46127.0</v>
      </c>
      <c r="S1485" s="135" t="s">
        <v>3790</v>
      </c>
      <c r="T1485" s="136"/>
      <c r="U1485" s="135" t="s">
        <v>2855</v>
      </c>
      <c r="V1485" s="135" t="s">
        <v>2878</v>
      </c>
      <c r="W1485" s="135" t="s">
        <v>3056</v>
      </c>
      <c r="X1485" s="135"/>
      <c r="Y1485" s="135"/>
      <c r="Z1485" s="135" t="s">
        <v>2858</v>
      </c>
      <c r="AA1485" s="135"/>
      <c r="AB1485" s="135"/>
      <c r="AC1485" s="135"/>
      <c r="AD1485" s="135">
        <v>46135.0</v>
      </c>
      <c r="AE1485" s="135"/>
      <c r="AF1485" s="135"/>
      <c r="AG1485" s="135"/>
    </row>
    <row r="1486" ht="21.75" hidden="1" customHeight="1">
      <c r="A1486" s="135">
        <v>1482.0</v>
      </c>
      <c r="B1486" s="135">
        <v>25045.0</v>
      </c>
      <c r="C1486" s="135"/>
      <c r="D1486" s="135">
        <v>26.0</v>
      </c>
      <c r="E1486" s="135" t="s">
        <v>3807</v>
      </c>
      <c r="F1486" s="135" t="s">
        <v>276</v>
      </c>
      <c r="G1486" s="135" t="s">
        <v>140</v>
      </c>
      <c r="H1486" s="135" t="s">
        <v>2853</v>
      </c>
      <c r="I1486" s="135" t="s">
        <v>142</v>
      </c>
      <c r="J1486" s="135">
        <v>1.0</v>
      </c>
      <c r="K1486" s="135" t="s">
        <v>3134</v>
      </c>
      <c r="L1486" s="135">
        <v>4530.0</v>
      </c>
      <c r="M1486" s="135">
        <v>3450.0</v>
      </c>
      <c r="N1486" s="135">
        <v>120.0</v>
      </c>
      <c r="O1486" s="135">
        <v>2.331</v>
      </c>
      <c r="P1486" s="136">
        <v>0.0</v>
      </c>
      <c r="Q1486" s="137">
        <v>5.8275</v>
      </c>
      <c r="R1486" s="136">
        <v>46127.0</v>
      </c>
      <c r="S1486" s="135" t="s">
        <v>3790</v>
      </c>
      <c r="T1486" s="136"/>
      <c r="U1486" s="135" t="s">
        <v>2855</v>
      </c>
      <c r="V1486" s="135" t="s">
        <v>2878</v>
      </c>
      <c r="W1486" s="135" t="s">
        <v>3800</v>
      </c>
      <c r="X1486" s="135"/>
      <c r="Y1486" s="135"/>
      <c r="Z1486" s="135" t="s">
        <v>2858</v>
      </c>
      <c r="AA1486" s="135"/>
      <c r="AB1486" s="135"/>
      <c r="AC1486" s="135"/>
      <c r="AD1486" s="135">
        <v>46139.0</v>
      </c>
      <c r="AE1486" s="135"/>
      <c r="AF1486" s="135"/>
      <c r="AG1486" s="135"/>
    </row>
    <row r="1487" ht="21.75" hidden="1" customHeight="1">
      <c r="A1487" s="135">
        <v>1483.0</v>
      </c>
      <c r="B1487" s="135">
        <v>25045.0</v>
      </c>
      <c r="C1487" s="135"/>
      <c r="D1487" s="135">
        <v>26.0</v>
      </c>
      <c r="E1487" s="135" t="s">
        <v>3807</v>
      </c>
      <c r="F1487" s="135" t="s">
        <v>277</v>
      </c>
      <c r="G1487" s="135" t="s">
        <v>140</v>
      </c>
      <c r="H1487" s="135" t="s">
        <v>2853</v>
      </c>
      <c r="I1487" s="135" t="s">
        <v>142</v>
      </c>
      <c r="J1487" s="135">
        <v>1.0</v>
      </c>
      <c r="K1487" s="135" t="s">
        <v>3134</v>
      </c>
      <c r="L1487" s="135">
        <v>4530.0</v>
      </c>
      <c r="M1487" s="135">
        <v>3450.0</v>
      </c>
      <c r="N1487" s="135">
        <v>120.0</v>
      </c>
      <c r="O1487" s="135">
        <v>2.331</v>
      </c>
      <c r="P1487" s="136">
        <v>0.0</v>
      </c>
      <c r="Q1487" s="137">
        <v>5.8275</v>
      </c>
      <c r="R1487" s="136">
        <v>46127.0</v>
      </c>
      <c r="S1487" s="135" t="s">
        <v>3790</v>
      </c>
      <c r="T1487" s="136"/>
      <c r="U1487" s="135" t="s">
        <v>2855</v>
      </c>
      <c r="V1487" s="135" t="s">
        <v>2878</v>
      </c>
      <c r="W1487" s="135" t="s">
        <v>3800</v>
      </c>
      <c r="X1487" s="135"/>
      <c r="Y1487" s="135"/>
      <c r="Z1487" s="135" t="s">
        <v>2858</v>
      </c>
      <c r="AA1487" s="135"/>
      <c r="AB1487" s="135"/>
      <c r="AC1487" s="135"/>
      <c r="AD1487" s="135">
        <v>46140.0</v>
      </c>
      <c r="AE1487" s="135"/>
      <c r="AF1487" s="135"/>
      <c r="AG1487" s="135"/>
    </row>
    <row r="1488" ht="21.75" hidden="1" customHeight="1">
      <c r="A1488" s="135">
        <v>1484.0</v>
      </c>
      <c r="B1488" s="135">
        <v>25045.0</v>
      </c>
      <c r="C1488" s="135"/>
      <c r="D1488" s="135">
        <v>26.0</v>
      </c>
      <c r="E1488" s="135" t="s">
        <v>3807</v>
      </c>
      <c r="F1488" s="135" t="s">
        <v>278</v>
      </c>
      <c r="G1488" s="135" t="s">
        <v>140</v>
      </c>
      <c r="H1488" s="135" t="s">
        <v>2853</v>
      </c>
      <c r="I1488" s="135" t="s">
        <v>142</v>
      </c>
      <c r="J1488" s="135">
        <v>1.0</v>
      </c>
      <c r="K1488" s="135" t="s">
        <v>3134</v>
      </c>
      <c r="L1488" s="135">
        <v>4530.0</v>
      </c>
      <c r="M1488" s="135">
        <v>3450.0</v>
      </c>
      <c r="N1488" s="135">
        <v>120.0</v>
      </c>
      <c r="O1488" s="135">
        <v>2.331</v>
      </c>
      <c r="P1488" s="136">
        <v>0.0</v>
      </c>
      <c r="Q1488" s="137">
        <v>5.8275</v>
      </c>
      <c r="R1488" s="136">
        <v>46127.0</v>
      </c>
      <c r="S1488" s="135" t="s">
        <v>3790</v>
      </c>
      <c r="T1488" s="136"/>
      <c r="U1488" s="135" t="s">
        <v>2855</v>
      </c>
      <c r="V1488" s="135" t="s">
        <v>2878</v>
      </c>
      <c r="W1488" s="135" t="s">
        <v>3800</v>
      </c>
      <c r="X1488" s="135"/>
      <c r="Y1488" s="135"/>
      <c r="Z1488" s="135" t="s">
        <v>2858</v>
      </c>
      <c r="AA1488" s="135"/>
      <c r="AB1488" s="135"/>
      <c r="AC1488" s="135"/>
      <c r="AD1488" s="135">
        <v>46141.0</v>
      </c>
      <c r="AE1488" s="135"/>
      <c r="AF1488" s="135"/>
      <c r="AG1488" s="135"/>
    </row>
    <row r="1489" ht="21.75" hidden="1" customHeight="1">
      <c r="A1489" s="135">
        <v>1485.0</v>
      </c>
      <c r="B1489" s="135">
        <v>25045.0</v>
      </c>
      <c r="C1489" s="135"/>
      <c r="D1489" s="135">
        <v>26.0</v>
      </c>
      <c r="E1489" s="135" t="s">
        <v>3807</v>
      </c>
      <c r="F1489" s="135" t="s">
        <v>279</v>
      </c>
      <c r="G1489" s="135" t="s">
        <v>140</v>
      </c>
      <c r="H1489" s="135" t="s">
        <v>2853</v>
      </c>
      <c r="I1489" s="135" t="s">
        <v>142</v>
      </c>
      <c r="J1489" s="135">
        <v>1.0</v>
      </c>
      <c r="K1489" s="135"/>
      <c r="L1489" s="135">
        <v>4530.0</v>
      </c>
      <c r="M1489" s="135">
        <v>3450.0</v>
      </c>
      <c r="N1489" s="135">
        <v>120.0</v>
      </c>
      <c r="O1489" s="135">
        <v>1.993</v>
      </c>
      <c r="P1489" s="136">
        <v>0.0</v>
      </c>
      <c r="Q1489" s="137">
        <v>4.9825</v>
      </c>
      <c r="R1489" s="136">
        <v>46127.0</v>
      </c>
      <c r="S1489" s="135" t="s">
        <v>3790</v>
      </c>
      <c r="T1489" s="136"/>
      <c r="U1489" s="135" t="s">
        <v>2864</v>
      </c>
      <c r="V1489" s="135" t="s">
        <v>2890</v>
      </c>
      <c r="W1489" s="135" t="s">
        <v>3811</v>
      </c>
      <c r="X1489" s="135" t="s">
        <v>3141</v>
      </c>
      <c r="Y1489" s="135"/>
      <c r="Z1489" s="135" t="s">
        <v>2858</v>
      </c>
      <c r="AA1489" s="135"/>
      <c r="AB1489" s="135"/>
      <c r="AC1489" s="135"/>
      <c r="AD1489" s="135">
        <v>46141.0</v>
      </c>
      <c r="AE1489" s="135"/>
      <c r="AF1489" s="135"/>
      <c r="AG1489" s="135"/>
    </row>
    <row r="1490" ht="21.75" hidden="1" customHeight="1">
      <c r="A1490" s="135">
        <v>1486.0</v>
      </c>
      <c r="B1490" s="135">
        <v>25045.0</v>
      </c>
      <c r="C1490" s="135"/>
      <c r="D1490" s="135">
        <v>26.0</v>
      </c>
      <c r="E1490" s="135" t="s">
        <v>3807</v>
      </c>
      <c r="F1490" s="135" t="s">
        <v>280</v>
      </c>
      <c r="G1490" s="135" t="s">
        <v>140</v>
      </c>
      <c r="H1490" s="135" t="s">
        <v>2853</v>
      </c>
      <c r="I1490" s="135" t="s">
        <v>142</v>
      </c>
      <c r="J1490" s="135">
        <v>1.0</v>
      </c>
      <c r="K1490" s="135"/>
      <c r="L1490" s="135">
        <v>2855.0</v>
      </c>
      <c r="M1490" s="135">
        <v>600.0</v>
      </c>
      <c r="N1490" s="135">
        <v>120.0</v>
      </c>
      <c r="O1490" s="135">
        <v>0.443</v>
      </c>
      <c r="P1490" s="136">
        <v>0.0</v>
      </c>
      <c r="Q1490" s="137">
        <v>1.1075</v>
      </c>
      <c r="R1490" s="136">
        <v>46127.0</v>
      </c>
      <c r="S1490" s="135" t="s">
        <v>3790</v>
      </c>
      <c r="T1490" s="136"/>
      <c r="U1490" s="135" t="s">
        <v>2864</v>
      </c>
      <c r="V1490" s="135" t="s">
        <v>2856</v>
      </c>
      <c r="W1490" s="135" t="s">
        <v>3812</v>
      </c>
      <c r="X1490" s="135"/>
      <c r="Y1490" s="135"/>
      <c r="Z1490" s="135" t="s">
        <v>2858</v>
      </c>
      <c r="AA1490" s="135"/>
      <c r="AB1490" s="135"/>
      <c r="AC1490" s="135"/>
      <c r="AD1490" s="135">
        <v>46155.0</v>
      </c>
      <c r="AE1490" s="135"/>
      <c r="AF1490" s="135"/>
      <c r="AG1490" s="135"/>
    </row>
    <row r="1491" ht="21.75" hidden="1" customHeight="1">
      <c r="A1491" s="135">
        <v>1487.0</v>
      </c>
      <c r="B1491" s="135">
        <v>25045.0</v>
      </c>
      <c r="C1491" s="135"/>
      <c r="D1491" s="135">
        <v>26.0</v>
      </c>
      <c r="E1491" s="135" t="s">
        <v>3807</v>
      </c>
      <c r="F1491" s="135" t="s">
        <v>281</v>
      </c>
      <c r="G1491" s="135" t="s">
        <v>140</v>
      </c>
      <c r="H1491" s="135" t="s">
        <v>2853</v>
      </c>
      <c r="I1491" s="135" t="s">
        <v>142</v>
      </c>
      <c r="J1491" s="135">
        <v>1.0</v>
      </c>
      <c r="K1491" s="135"/>
      <c r="L1491" s="135">
        <v>1635.0</v>
      </c>
      <c r="M1491" s="135">
        <v>950.0</v>
      </c>
      <c r="N1491" s="135">
        <v>120.0</v>
      </c>
      <c r="O1491" s="135">
        <v>0.463</v>
      </c>
      <c r="P1491" s="136">
        <v>0.0</v>
      </c>
      <c r="Q1491" s="137">
        <v>1.1575</v>
      </c>
      <c r="R1491" s="136">
        <v>46127.0</v>
      </c>
      <c r="S1491" s="135" t="s">
        <v>3790</v>
      </c>
      <c r="T1491" s="136"/>
      <c r="U1491" s="135" t="s">
        <v>2864</v>
      </c>
      <c r="V1491" s="135" t="s">
        <v>2873</v>
      </c>
      <c r="W1491" s="135" t="s">
        <v>3813</v>
      </c>
      <c r="X1491" s="135"/>
      <c r="Y1491" s="135"/>
      <c r="Z1491" s="135" t="s">
        <v>2858</v>
      </c>
      <c r="AA1491" s="135"/>
      <c r="AB1491" s="135"/>
      <c r="AC1491" s="135"/>
      <c r="AD1491" s="135">
        <v>46148.0</v>
      </c>
      <c r="AE1491" s="135"/>
      <c r="AF1491" s="135"/>
      <c r="AG1491" s="135"/>
    </row>
    <row r="1492" ht="21.75" hidden="1" customHeight="1">
      <c r="A1492" s="135">
        <v>1488.0</v>
      </c>
      <c r="B1492" s="135">
        <v>25045.0</v>
      </c>
      <c r="C1492" s="135"/>
      <c r="D1492" s="135">
        <v>26.0</v>
      </c>
      <c r="E1492" s="135" t="s">
        <v>3807</v>
      </c>
      <c r="F1492" s="135" t="s">
        <v>282</v>
      </c>
      <c r="G1492" s="135" t="s">
        <v>140</v>
      </c>
      <c r="H1492" s="135" t="s">
        <v>2965</v>
      </c>
      <c r="I1492" s="135" t="s">
        <v>142</v>
      </c>
      <c r="J1492" s="135">
        <v>1.0</v>
      </c>
      <c r="K1492" s="135"/>
      <c r="L1492" s="135">
        <v>400.0</v>
      </c>
      <c r="M1492" s="135">
        <v>3380.0</v>
      </c>
      <c r="N1492" s="135">
        <v>350.0</v>
      </c>
      <c r="O1492" s="135">
        <v>0.537</v>
      </c>
      <c r="P1492" s="136">
        <v>0.0</v>
      </c>
      <c r="Q1492" s="137">
        <v>1.3425</v>
      </c>
      <c r="R1492" s="136">
        <v>46127.0</v>
      </c>
      <c r="S1492" s="135" t="s">
        <v>3790</v>
      </c>
      <c r="T1492" s="136"/>
      <c r="U1492" s="135" t="s">
        <v>2966</v>
      </c>
      <c r="V1492" s="135" t="s">
        <v>2967</v>
      </c>
      <c r="W1492" s="135"/>
      <c r="X1492" s="135" t="s">
        <v>2969</v>
      </c>
      <c r="Y1492" s="135"/>
      <c r="Z1492" s="135" t="s">
        <v>2858</v>
      </c>
      <c r="AA1492" s="135"/>
      <c r="AB1492" s="135"/>
      <c r="AC1492" s="135"/>
      <c r="AD1492" s="135">
        <v>46156.0</v>
      </c>
      <c r="AE1492" s="135"/>
      <c r="AF1492" s="135"/>
      <c r="AG1492" s="135"/>
    </row>
    <row r="1493" ht="21.75" hidden="1" customHeight="1">
      <c r="A1493" s="135">
        <v>1489.0</v>
      </c>
      <c r="B1493" s="135">
        <v>25045.0</v>
      </c>
      <c r="C1493" s="135" t="s">
        <v>2817</v>
      </c>
      <c r="D1493" s="135">
        <v>26.0</v>
      </c>
      <c r="E1493" s="135" t="s">
        <v>3814</v>
      </c>
      <c r="F1493" s="135" t="s">
        <v>283</v>
      </c>
      <c r="G1493" s="135" t="s">
        <v>140</v>
      </c>
      <c r="H1493" s="135" t="s">
        <v>2853</v>
      </c>
      <c r="I1493" s="135" t="s">
        <v>143</v>
      </c>
      <c r="J1493" s="135">
        <v>1.0</v>
      </c>
      <c r="K1493" s="135"/>
      <c r="L1493" s="135">
        <v>5687.0</v>
      </c>
      <c r="M1493" s="135">
        <v>1350.0</v>
      </c>
      <c r="N1493" s="135">
        <v>120.0</v>
      </c>
      <c r="O1493" s="135">
        <v>1.033</v>
      </c>
      <c r="P1493" s="136">
        <v>0.0</v>
      </c>
      <c r="Q1493" s="137">
        <v>2.5824999999999996</v>
      </c>
      <c r="R1493" s="136">
        <v>46127.0</v>
      </c>
      <c r="S1493" s="135" t="s">
        <v>3790</v>
      </c>
      <c r="T1493" s="136"/>
      <c r="U1493" s="135" t="s">
        <v>2855</v>
      </c>
      <c r="V1493" s="135" t="s">
        <v>2856</v>
      </c>
      <c r="W1493" s="135" t="s">
        <v>3815</v>
      </c>
      <c r="X1493" s="135"/>
      <c r="Y1493" s="135"/>
      <c r="Z1493" s="135" t="s">
        <v>2858</v>
      </c>
      <c r="AA1493" s="135"/>
      <c r="AB1493" s="135"/>
      <c r="AC1493" s="135"/>
      <c r="AD1493" s="135" t="e">
        <v>#N/A</v>
      </c>
      <c r="AE1493" s="135"/>
      <c r="AF1493" s="135"/>
      <c r="AG1493" s="135"/>
    </row>
    <row r="1494" ht="21.75" hidden="1" customHeight="1">
      <c r="A1494" s="135">
        <v>1490.0</v>
      </c>
      <c r="B1494" s="135">
        <v>25045.0</v>
      </c>
      <c r="C1494" s="135" t="s">
        <v>2817</v>
      </c>
      <c r="D1494" s="135">
        <v>26.0</v>
      </c>
      <c r="E1494" s="135" t="s">
        <v>3814</v>
      </c>
      <c r="F1494" s="135" t="s">
        <v>284</v>
      </c>
      <c r="G1494" s="135" t="s">
        <v>140</v>
      </c>
      <c r="H1494" s="135" t="s">
        <v>2853</v>
      </c>
      <c r="I1494" s="135" t="s">
        <v>143</v>
      </c>
      <c r="J1494" s="135">
        <v>1.0</v>
      </c>
      <c r="K1494" s="135"/>
      <c r="L1494" s="135">
        <v>5687.0</v>
      </c>
      <c r="M1494" s="135">
        <v>3220.0</v>
      </c>
      <c r="N1494" s="135">
        <v>120.0</v>
      </c>
      <c r="O1494" s="135">
        <v>1.122</v>
      </c>
      <c r="P1494" s="136">
        <v>0.0</v>
      </c>
      <c r="Q1494" s="137">
        <v>2.805</v>
      </c>
      <c r="R1494" s="136">
        <v>46127.0</v>
      </c>
      <c r="S1494" s="135" t="s">
        <v>3790</v>
      </c>
      <c r="T1494" s="136"/>
      <c r="U1494" s="135" t="s">
        <v>2855</v>
      </c>
      <c r="V1494" s="135" t="s">
        <v>2856</v>
      </c>
      <c r="W1494" s="135" t="s">
        <v>3425</v>
      </c>
      <c r="X1494" s="135" t="s">
        <v>3141</v>
      </c>
      <c r="Y1494" s="135"/>
      <c r="Z1494" s="135" t="s">
        <v>2858</v>
      </c>
      <c r="AA1494" s="135"/>
      <c r="AB1494" s="135"/>
      <c r="AC1494" s="135"/>
      <c r="AD1494" s="135" t="e">
        <v>#N/A</v>
      </c>
      <c r="AE1494" s="135"/>
      <c r="AF1494" s="135"/>
      <c r="AG1494" s="135"/>
    </row>
    <row r="1495" ht="21.75" hidden="1" customHeight="1">
      <c r="A1495" s="135">
        <v>1491.0</v>
      </c>
      <c r="B1495" s="135">
        <v>25045.0</v>
      </c>
      <c r="C1495" s="135" t="s">
        <v>2817</v>
      </c>
      <c r="D1495" s="135">
        <v>26.0</v>
      </c>
      <c r="E1495" s="135" t="s">
        <v>3814</v>
      </c>
      <c r="F1495" s="135" t="s">
        <v>285</v>
      </c>
      <c r="G1495" s="135" t="s">
        <v>140</v>
      </c>
      <c r="H1495" s="135" t="s">
        <v>2853</v>
      </c>
      <c r="I1495" s="135" t="s">
        <v>143</v>
      </c>
      <c r="J1495" s="135">
        <v>1.0</v>
      </c>
      <c r="K1495" s="135"/>
      <c r="L1495" s="135">
        <v>2595.0</v>
      </c>
      <c r="M1495" s="135">
        <v>2850.0</v>
      </c>
      <c r="N1495" s="135">
        <v>120.0</v>
      </c>
      <c r="O1495" s="135">
        <v>0.951</v>
      </c>
      <c r="P1495" s="136">
        <v>0.0</v>
      </c>
      <c r="Q1495" s="137">
        <v>2.3775</v>
      </c>
      <c r="R1495" s="136">
        <v>46127.0</v>
      </c>
      <c r="S1495" s="135" t="s">
        <v>3790</v>
      </c>
      <c r="T1495" s="136"/>
      <c r="U1495" s="135" t="s">
        <v>2864</v>
      </c>
      <c r="V1495" s="135" t="s">
        <v>2878</v>
      </c>
      <c r="W1495" s="135" t="s">
        <v>2962</v>
      </c>
      <c r="X1495" s="135" t="s">
        <v>3586</v>
      </c>
      <c r="Y1495" s="135"/>
      <c r="Z1495" s="135" t="s">
        <v>2858</v>
      </c>
      <c r="AA1495" s="135"/>
      <c r="AB1495" s="135"/>
      <c r="AC1495" s="135"/>
      <c r="AD1495" s="135">
        <v>46140.0</v>
      </c>
      <c r="AE1495" s="135"/>
      <c r="AF1495" s="135"/>
      <c r="AG1495" s="135"/>
    </row>
    <row r="1496" ht="21.75" hidden="1" customHeight="1">
      <c r="A1496" s="135">
        <v>1492.0</v>
      </c>
      <c r="B1496" s="135">
        <v>25045.0</v>
      </c>
      <c r="C1496" s="135"/>
      <c r="D1496" s="135">
        <v>26.0</v>
      </c>
      <c r="E1496" s="135" t="s">
        <v>3814</v>
      </c>
      <c r="F1496" s="135" t="s">
        <v>286</v>
      </c>
      <c r="G1496" s="135" t="s">
        <v>140</v>
      </c>
      <c r="H1496" s="135" t="s">
        <v>2853</v>
      </c>
      <c r="I1496" s="135" t="s">
        <v>143</v>
      </c>
      <c r="J1496" s="135">
        <v>1.0</v>
      </c>
      <c r="K1496" s="135"/>
      <c r="L1496" s="135">
        <v>5000.0</v>
      </c>
      <c r="M1496" s="135">
        <v>3150.0</v>
      </c>
      <c r="N1496" s="135">
        <v>120.0</v>
      </c>
      <c r="O1496" s="135">
        <v>2.152</v>
      </c>
      <c r="P1496" s="136">
        <v>0.0</v>
      </c>
      <c r="Q1496" s="137">
        <v>5.380000000000001</v>
      </c>
      <c r="R1496" s="136">
        <v>46127.0</v>
      </c>
      <c r="S1496" s="135" t="s">
        <v>3790</v>
      </c>
      <c r="T1496" s="136"/>
      <c r="U1496" s="135" t="s">
        <v>2855</v>
      </c>
      <c r="V1496" s="135" t="s">
        <v>2876</v>
      </c>
      <c r="W1496" s="135" t="s">
        <v>3816</v>
      </c>
      <c r="X1496" s="135"/>
      <c r="Y1496" s="135"/>
      <c r="Z1496" s="135" t="s">
        <v>2858</v>
      </c>
      <c r="AA1496" s="135"/>
      <c r="AB1496" s="135"/>
      <c r="AC1496" s="135"/>
      <c r="AD1496" s="135">
        <v>46142.0</v>
      </c>
      <c r="AE1496" s="135"/>
      <c r="AF1496" s="135"/>
      <c r="AG1496" s="135"/>
    </row>
    <row r="1497" ht="21.75" hidden="1" customHeight="1">
      <c r="A1497" s="135">
        <v>1493.0</v>
      </c>
      <c r="B1497" s="135">
        <v>25045.0</v>
      </c>
      <c r="C1497" s="135"/>
      <c r="D1497" s="135">
        <v>26.0</v>
      </c>
      <c r="E1497" s="135" t="s">
        <v>3814</v>
      </c>
      <c r="F1497" s="135" t="s">
        <v>287</v>
      </c>
      <c r="G1497" s="135" t="s">
        <v>140</v>
      </c>
      <c r="H1497" s="135" t="s">
        <v>2853</v>
      </c>
      <c r="I1497" s="135" t="s">
        <v>143</v>
      </c>
      <c r="J1497" s="135">
        <v>1.0</v>
      </c>
      <c r="K1497" s="135" t="s">
        <v>3134</v>
      </c>
      <c r="L1497" s="135">
        <v>4472.0</v>
      </c>
      <c r="M1497" s="135">
        <v>3150.0</v>
      </c>
      <c r="N1497" s="135">
        <v>120.0</v>
      </c>
      <c r="O1497" s="135">
        <v>2.003</v>
      </c>
      <c r="P1497" s="136">
        <v>0.0</v>
      </c>
      <c r="Q1497" s="137">
        <v>5.0075</v>
      </c>
      <c r="R1497" s="136">
        <v>46127.0</v>
      </c>
      <c r="S1497" s="135" t="s">
        <v>3790</v>
      </c>
      <c r="T1497" s="136"/>
      <c r="U1497" s="135" t="s">
        <v>2855</v>
      </c>
      <c r="V1497" s="135" t="s">
        <v>2876</v>
      </c>
      <c r="W1497" s="135" t="s">
        <v>3490</v>
      </c>
      <c r="X1497" s="135"/>
      <c r="Y1497" s="135"/>
      <c r="Z1497" s="135" t="s">
        <v>2858</v>
      </c>
      <c r="AA1497" s="135"/>
      <c r="AB1497" s="135"/>
      <c r="AC1497" s="135"/>
      <c r="AD1497" s="135">
        <v>46141.0</v>
      </c>
      <c r="AE1497" s="135"/>
      <c r="AF1497" s="135"/>
      <c r="AG1497" s="135"/>
    </row>
    <row r="1498" ht="21.75" hidden="1" customHeight="1">
      <c r="A1498" s="135">
        <v>1494.0</v>
      </c>
      <c r="B1498" s="135">
        <v>25045.0</v>
      </c>
      <c r="C1498" s="135"/>
      <c r="D1498" s="135">
        <v>26.0</v>
      </c>
      <c r="E1498" s="135" t="s">
        <v>3814</v>
      </c>
      <c r="F1498" s="135" t="s">
        <v>288</v>
      </c>
      <c r="G1498" s="135" t="s">
        <v>140</v>
      </c>
      <c r="H1498" s="135" t="s">
        <v>2853</v>
      </c>
      <c r="I1498" s="135" t="s">
        <v>143</v>
      </c>
      <c r="J1498" s="135">
        <v>1.0</v>
      </c>
      <c r="K1498" s="135" t="s">
        <v>3134</v>
      </c>
      <c r="L1498" s="135">
        <v>4472.0</v>
      </c>
      <c r="M1498" s="135">
        <v>3150.0</v>
      </c>
      <c r="N1498" s="135">
        <v>120.0</v>
      </c>
      <c r="O1498" s="135">
        <v>2.003</v>
      </c>
      <c r="P1498" s="136">
        <v>0.0</v>
      </c>
      <c r="Q1498" s="137">
        <v>5.0075</v>
      </c>
      <c r="R1498" s="136">
        <v>46127.0</v>
      </c>
      <c r="S1498" s="135" t="s">
        <v>3790</v>
      </c>
      <c r="T1498" s="136"/>
      <c r="U1498" s="135" t="s">
        <v>2855</v>
      </c>
      <c r="V1498" s="135" t="s">
        <v>2876</v>
      </c>
      <c r="W1498" s="135" t="s">
        <v>3490</v>
      </c>
      <c r="X1498" s="135"/>
      <c r="Y1498" s="135"/>
      <c r="Z1498" s="135" t="s">
        <v>2858</v>
      </c>
      <c r="AA1498" s="135"/>
      <c r="AB1498" s="135"/>
      <c r="AC1498" s="135"/>
      <c r="AD1498" s="135">
        <v>46142.0</v>
      </c>
      <c r="AE1498" s="135"/>
      <c r="AF1498" s="135"/>
      <c r="AG1498" s="135"/>
    </row>
    <row r="1499" ht="21.75" hidden="1" customHeight="1">
      <c r="A1499" s="135">
        <v>1495.0</v>
      </c>
      <c r="B1499" s="135">
        <v>25045.0</v>
      </c>
      <c r="C1499" s="135"/>
      <c r="D1499" s="135">
        <v>26.0</v>
      </c>
      <c r="E1499" s="135" t="s">
        <v>3814</v>
      </c>
      <c r="F1499" s="135" t="s">
        <v>289</v>
      </c>
      <c r="G1499" s="135" t="s">
        <v>140</v>
      </c>
      <c r="H1499" s="135" t="s">
        <v>2853</v>
      </c>
      <c r="I1499" s="135" t="s">
        <v>143</v>
      </c>
      <c r="J1499" s="135">
        <v>1.0</v>
      </c>
      <c r="K1499" s="135" t="s">
        <v>3134</v>
      </c>
      <c r="L1499" s="135">
        <v>4472.0</v>
      </c>
      <c r="M1499" s="135">
        <v>3150.0</v>
      </c>
      <c r="N1499" s="135">
        <v>120.0</v>
      </c>
      <c r="O1499" s="135">
        <v>2.003</v>
      </c>
      <c r="P1499" s="136">
        <v>0.0</v>
      </c>
      <c r="Q1499" s="137">
        <v>5.0075</v>
      </c>
      <c r="R1499" s="136">
        <v>46127.0</v>
      </c>
      <c r="S1499" s="135" t="s">
        <v>3790</v>
      </c>
      <c r="T1499" s="136"/>
      <c r="U1499" s="135" t="s">
        <v>2855</v>
      </c>
      <c r="V1499" s="135" t="s">
        <v>2876</v>
      </c>
      <c r="W1499" s="135" t="s">
        <v>3490</v>
      </c>
      <c r="X1499" s="135"/>
      <c r="Y1499" s="135"/>
      <c r="Z1499" s="135" t="s">
        <v>2858</v>
      </c>
      <c r="AA1499" s="135"/>
      <c r="AB1499" s="135"/>
      <c r="AC1499" s="135"/>
      <c r="AD1499" s="135">
        <v>46143.0</v>
      </c>
      <c r="AE1499" s="135"/>
      <c r="AF1499" s="135"/>
      <c r="AG1499" s="135"/>
    </row>
    <row r="1500" ht="21.75" hidden="1" customHeight="1">
      <c r="A1500" s="135">
        <v>1496.0</v>
      </c>
      <c r="B1500" s="135">
        <v>25045.0</v>
      </c>
      <c r="C1500" s="135"/>
      <c r="D1500" s="135">
        <v>26.0</v>
      </c>
      <c r="E1500" s="135" t="s">
        <v>3814</v>
      </c>
      <c r="F1500" s="135" t="s">
        <v>290</v>
      </c>
      <c r="G1500" s="135" t="s">
        <v>140</v>
      </c>
      <c r="H1500" s="135" t="s">
        <v>2853</v>
      </c>
      <c r="I1500" s="135" t="s">
        <v>143</v>
      </c>
      <c r="J1500" s="135">
        <v>1.0</v>
      </c>
      <c r="K1500" s="135"/>
      <c r="L1500" s="135">
        <v>4473.0</v>
      </c>
      <c r="M1500" s="135">
        <v>3150.0</v>
      </c>
      <c r="N1500" s="135">
        <v>120.0</v>
      </c>
      <c r="O1500" s="135">
        <v>1.666</v>
      </c>
      <c r="P1500" s="136">
        <v>0.0</v>
      </c>
      <c r="Q1500" s="137">
        <v>4.165</v>
      </c>
      <c r="R1500" s="136">
        <v>46127.0</v>
      </c>
      <c r="S1500" s="135" t="s">
        <v>3790</v>
      </c>
      <c r="T1500" s="136"/>
      <c r="U1500" s="135" t="s">
        <v>2864</v>
      </c>
      <c r="V1500" s="135" t="s">
        <v>2985</v>
      </c>
      <c r="W1500" s="135" t="s">
        <v>3817</v>
      </c>
      <c r="X1500" s="135" t="s">
        <v>3141</v>
      </c>
      <c r="Y1500" s="135"/>
      <c r="Z1500" s="135" t="s">
        <v>2858</v>
      </c>
      <c r="AA1500" s="135"/>
      <c r="AB1500" s="135"/>
      <c r="AC1500" s="135"/>
      <c r="AD1500" s="135">
        <v>0.0</v>
      </c>
      <c r="AE1500" s="135"/>
      <c r="AF1500" s="135"/>
      <c r="AG1500" s="135"/>
    </row>
    <row r="1501" ht="21.75" hidden="1" customHeight="1">
      <c r="A1501" s="135">
        <v>1497.0</v>
      </c>
      <c r="B1501" s="135">
        <v>25045.0</v>
      </c>
      <c r="C1501" s="135"/>
      <c r="D1501" s="135">
        <v>26.0</v>
      </c>
      <c r="E1501" s="135" t="s">
        <v>3814</v>
      </c>
      <c r="F1501" s="135" t="s">
        <v>291</v>
      </c>
      <c r="G1501" s="135" t="s">
        <v>140</v>
      </c>
      <c r="H1501" s="135" t="s">
        <v>2853</v>
      </c>
      <c r="I1501" s="135" t="s">
        <v>143</v>
      </c>
      <c r="J1501" s="135">
        <v>1.0</v>
      </c>
      <c r="K1501" s="135"/>
      <c r="L1501" s="135">
        <v>4616.0</v>
      </c>
      <c r="M1501" s="135">
        <v>3200.0</v>
      </c>
      <c r="N1501" s="135">
        <v>120.0</v>
      </c>
      <c r="O1501" s="135">
        <v>2.218</v>
      </c>
      <c r="P1501" s="136">
        <v>0.0</v>
      </c>
      <c r="Q1501" s="137">
        <v>5.545</v>
      </c>
      <c r="R1501" s="136">
        <v>46127.0</v>
      </c>
      <c r="S1501" s="135" t="s">
        <v>3790</v>
      </c>
      <c r="T1501" s="136"/>
      <c r="U1501" s="135" t="s">
        <v>2855</v>
      </c>
      <c r="V1501" s="135" t="s">
        <v>2878</v>
      </c>
      <c r="W1501" s="135" t="s">
        <v>3818</v>
      </c>
      <c r="X1501" s="135"/>
      <c r="Y1501" s="135"/>
      <c r="Z1501" s="135" t="s">
        <v>2858</v>
      </c>
      <c r="AA1501" s="135"/>
      <c r="AB1501" s="135"/>
      <c r="AC1501" s="135"/>
      <c r="AD1501" s="135">
        <v>46142.0</v>
      </c>
      <c r="AE1501" s="135"/>
      <c r="AF1501" s="135"/>
      <c r="AG1501" s="135"/>
    </row>
    <row r="1502" ht="21.75" hidden="1" customHeight="1">
      <c r="A1502" s="135">
        <v>1498.0</v>
      </c>
      <c r="B1502" s="135">
        <v>25045.0</v>
      </c>
      <c r="C1502" s="135"/>
      <c r="D1502" s="135">
        <v>26.0</v>
      </c>
      <c r="E1502" s="135" t="s">
        <v>3814</v>
      </c>
      <c r="F1502" s="135" t="s">
        <v>292</v>
      </c>
      <c r="G1502" s="135" t="s">
        <v>140</v>
      </c>
      <c r="H1502" s="135" t="s">
        <v>2853</v>
      </c>
      <c r="I1502" s="135" t="s">
        <v>143</v>
      </c>
      <c r="J1502" s="135">
        <v>1.0</v>
      </c>
      <c r="K1502" s="135" t="s">
        <v>3134</v>
      </c>
      <c r="L1502" s="135">
        <v>4616.0</v>
      </c>
      <c r="M1502" s="135">
        <v>3200.0</v>
      </c>
      <c r="N1502" s="135">
        <v>120.0</v>
      </c>
      <c r="O1502" s="135">
        <v>2.219</v>
      </c>
      <c r="P1502" s="136">
        <v>0.0</v>
      </c>
      <c r="Q1502" s="137">
        <v>5.547499999999999</v>
      </c>
      <c r="R1502" s="136">
        <v>46127.0</v>
      </c>
      <c r="S1502" s="135" t="s">
        <v>3790</v>
      </c>
      <c r="T1502" s="136"/>
      <c r="U1502" s="135" t="s">
        <v>2855</v>
      </c>
      <c r="V1502" s="135" t="s">
        <v>2878</v>
      </c>
      <c r="W1502" s="135" t="s">
        <v>3819</v>
      </c>
      <c r="X1502" s="135"/>
      <c r="Y1502" s="135"/>
      <c r="Z1502" s="135" t="s">
        <v>2858</v>
      </c>
      <c r="AA1502" s="135"/>
      <c r="AB1502" s="135"/>
      <c r="AC1502" s="135"/>
      <c r="AD1502" s="135">
        <v>46143.0</v>
      </c>
      <c r="AE1502" s="135"/>
      <c r="AF1502" s="135"/>
      <c r="AG1502" s="135"/>
    </row>
    <row r="1503" ht="21.75" hidden="1" customHeight="1">
      <c r="A1503" s="135">
        <v>1499.0</v>
      </c>
      <c r="B1503" s="135">
        <v>25045.0</v>
      </c>
      <c r="C1503" s="135"/>
      <c r="D1503" s="135">
        <v>26.0</v>
      </c>
      <c r="E1503" s="135" t="s">
        <v>3814</v>
      </c>
      <c r="F1503" s="135" t="s">
        <v>293</v>
      </c>
      <c r="G1503" s="135" t="s">
        <v>140</v>
      </c>
      <c r="H1503" s="135" t="s">
        <v>2853</v>
      </c>
      <c r="I1503" s="135" t="s">
        <v>143</v>
      </c>
      <c r="J1503" s="135">
        <v>1.0</v>
      </c>
      <c r="K1503" s="135" t="s">
        <v>3134</v>
      </c>
      <c r="L1503" s="135">
        <v>4616.0</v>
      </c>
      <c r="M1503" s="135">
        <v>3200.0</v>
      </c>
      <c r="N1503" s="135">
        <v>120.0</v>
      </c>
      <c r="O1503" s="135">
        <v>2.219</v>
      </c>
      <c r="P1503" s="136">
        <v>0.0</v>
      </c>
      <c r="Q1503" s="137">
        <v>5.547499999999999</v>
      </c>
      <c r="R1503" s="136">
        <v>46127.0</v>
      </c>
      <c r="S1503" s="135" t="s">
        <v>3790</v>
      </c>
      <c r="T1503" s="136"/>
      <c r="U1503" s="135" t="s">
        <v>2855</v>
      </c>
      <c r="V1503" s="135" t="s">
        <v>2878</v>
      </c>
      <c r="W1503" s="135" t="s">
        <v>3819</v>
      </c>
      <c r="X1503" s="135"/>
      <c r="Y1503" s="135"/>
      <c r="Z1503" s="135" t="s">
        <v>2858</v>
      </c>
      <c r="AA1503" s="135"/>
      <c r="AB1503" s="135"/>
      <c r="AC1503" s="135"/>
      <c r="AD1503" s="135">
        <v>46144.0</v>
      </c>
      <c r="AE1503" s="135"/>
      <c r="AF1503" s="135"/>
      <c r="AG1503" s="135"/>
    </row>
    <row r="1504" ht="21.75" hidden="1" customHeight="1">
      <c r="A1504" s="135">
        <v>1500.0</v>
      </c>
      <c r="B1504" s="135">
        <v>25045.0</v>
      </c>
      <c r="C1504" s="135"/>
      <c r="D1504" s="135">
        <v>26.0</v>
      </c>
      <c r="E1504" s="135" t="s">
        <v>3814</v>
      </c>
      <c r="F1504" s="135" t="s">
        <v>294</v>
      </c>
      <c r="G1504" s="135" t="s">
        <v>140</v>
      </c>
      <c r="H1504" s="135" t="s">
        <v>2853</v>
      </c>
      <c r="I1504" s="135" t="s">
        <v>143</v>
      </c>
      <c r="J1504" s="135">
        <v>1.0</v>
      </c>
      <c r="K1504" s="135" t="s">
        <v>3134</v>
      </c>
      <c r="L1504" s="135">
        <v>4616.0</v>
      </c>
      <c r="M1504" s="135">
        <v>3200.0</v>
      </c>
      <c r="N1504" s="135">
        <v>120.0</v>
      </c>
      <c r="O1504" s="135">
        <v>2.219</v>
      </c>
      <c r="P1504" s="136">
        <v>0.0</v>
      </c>
      <c r="Q1504" s="137">
        <v>5.547499999999999</v>
      </c>
      <c r="R1504" s="136">
        <v>46127.0</v>
      </c>
      <c r="S1504" s="135" t="s">
        <v>3790</v>
      </c>
      <c r="T1504" s="136"/>
      <c r="U1504" s="135" t="s">
        <v>2855</v>
      </c>
      <c r="V1504" s="135" t="s">
        <v>2878</v>
      </c>
      <c r="W1504" s="135" t="s">
        <v>3819</v>
      </c>
      <c r="X1504" s="135"/>
      <c r="Y1504" s="135"/>
      <c r="Z1504" s="135" t="s">
        <v>2858</v>
      </c>
      <c r="AA1504" s="135"/>
      <c r="AB1504" s="135"/>
      <c r="AC1504" s="135"/>
      <c r="AD1504" s="135">
        <v>46146.0</v>
      </c>
      <c r="AE1504" s="135"/>
      <c r="AF1504" s="135"/>
      <c r="AG1504" s="135"/>
    </row>
    <row r="1505" ht="21.75" hidden="1" customHeight="1">
      <c r="A1505" s="135">
        <v>1501.0</v>
      </c>
      <c r="B1505" s="135">
        <v>25045.0</v>
      </c>
      <c r="C1505" s="135"/>
      <c r="D1505" s="135">
        <v>26.0</v>
      </c>
      <c r="E1505" s="135" t="s">
        <v>3814</v>
      </c>
      <c r="F1505" s="135" t="s">
        <v>295</v>
      </c>
      <c r="G1505" s="135" t="s">
        <v>140</v>
      </c>
      <c r="H1505" s="135" t="s">
        <v>2853</v>
      </c>
      <c r="I1505" s="135" t="s">
        <v>143</v>
      </c>
      <c r="J1505" s="135">
        <v>1.0</v>
      </c>
      <c r="K1505" s="135"/>
      <c r="L1505" s="135">
        <v>4616.0</v>
      </c>
      <c r="M1505" s="135">
        <v>3200.0</v>
      </c>
      <c r="N1505" s="135">
        <v>120.0</v>
      </c>
      <c r="O1505" s="135">
        <v>1.883</v>
      </c>
      <c r="P1505" s="136">
        <v>0.0</v>
      </c>
      <c r="Q1505" s="137">
        <v>4.7075</v>
      </c>
      <c r="R1505" s="136">
        <v>46127.0</v>
      </c>
      <c r="S1505" s="135" t="s">
        <v>3790</v>
      </c>
      <c r="T1505" s="136"/>
      <c r="U1505" s="135" t="s">
        <v>2864</v>
      </c>
      <c r="V1505" s="135" t="s">
        <v>2890</v>
      </c>
      <c r="W1505" s="135" t="s">
        <v>3820</v>
      </c>
      <c r="X1505" s="135" t="s">
        <v>3802</v>
      </c>
      <c r="Y1505" s="135"/>
      <c r="Z1505" s="135" t="s">
        <v>2858</v>
      </c>
      <c r="AA1505" s="135"/>
      <c r="AB1505" s="135"/>
      <c r="AC1505" s="135"/>
      <c r="AD1505" s="135">
        <v>46142.0</v>
      </c>
      <c r="AE1505" s="135"/>
      <c r="AF1505" s="135"/>
      <c r="AG1505" s="135"/>
    </row>
    <row r="1506" ht="21.75" hidden="1" customHeight="1">
      <c r="A1506" s="135">
        <v>1502.0</v>
      </c>
      <c r="B1506" s="135">
        <v>25045.0</v>
      </c>
      <c r="C1506" s="135"/>
      <c r="D1506" s="135">
        <v>26.0</v>
      </c>
      <c r="E1506" s="135" t="s">
        <v>3814</v>
      </c>
      <c r="F1506" s="135" t="s">
        <v>296</v>
      </c>
      <c r="G1506" s="135" t="s">
        <v>140</v>
      </c>
      <c r="H1506" s="135" t="s">
        <v>2853</v>
      </c>
      <c r="I1506" s="135" t="s">
        <v>143</v>
      </c>
      <c r="J1506" s="135">
        <v>1.0</v>
      </c>
      <c r="K1506" s="135"/>
      <c r="L1506" s="135">
        <v>1635.0</v>
      </c>
      <c r="M1506" s="135">
        <v>1315.0</v>
      </c>
      <c r="N1506" s="135">
        <v>120.0</v>
      </c>
      <c r="O1506" s="135">
        <v>0.396</v>
      </c>
      <c r="P1506" s="136">
        <v>0.0</v>
      </c>
      <c r="Q1506" s="137">
        <v>0.99</v>
      </c>
      <c r="R1506" s="136">
        <v>46127.0</v>
      </c>
      <c r="S1506" s="135" t="s">
        <v>3790</v>
      </c>
      <c r="T1506" s="136"/>
      <c r="U1506" s="135" t="s">
        <v>2864</v>
      </c>
      <c r="V1506" s="135" t="s">
        <v>2873</v>
      </c>
      <c r="W1506" s="135" t="s">
        <v>3821</v>
      </c>
      <c r="X1506" s="135"/>
      <c r="Y1506" s="135"/>
      <c r="Z1506" s="135" t="s">
        <v>2858</v>
      </c>
      <c r="AA1506" s="135"/>
      <c r="AB1506" s="135"/>
      <c r="AC1506" s="135"/>
      <c r="AD1506" s="135">
        <v>46149.0</v>
      </c>
      <c r="AE1506" s="135"/>
      <c r="AF1506" s="135"/>
      <c r="AG1506" s="135"/>
    </row>
    <row r="1507" ht="21.75" hidden="1" customHeight="1">
      <c r="A1507" s="135">
        <v>1503.0</v>
      </c>
      <c r="B1507" s="135">
        <v>25045.0</v>
      </c>
      <c r="C1507" s="135"/>
      <c r="D1507" s="135">
        <v>26.0</v>
      </c>
      <c r="E1507" s="135" t="s">
        <v>3814</v>
      </c>
      <c r="F1507" s="135" t="s">
        <v>297</v>
      </c>
      <c r="G1507" s="135" t="s">
        <v>140</v>
      </c>
      <c r="H1507" s="135" t="s">
        <v>2853</v>
      </c>
      <c r="I1507" s="135" t="s">
        <v>143</v>
      </c>
      <c r="J1507" s="135">
        <v>1.0</v>
      </c>
      <c r="K1507" s="135"/>
      <c r="L1507" s="135">
        <v>2875.0</v>
      </c>
      <c r="M1507" s="135">
        <v>1000.0</v>
      </c>
      <c r="N1507" s="135">
        <v>120.0</v>
      </c>
      <c r="O1507" s="135">
        <v>0.49</v>
      </c>
      <c r="P1507" s="136">
        <v>0.0</v>
      </c>
      <c r="Q1507" s="137">
        <v>1.225</v>
      </c>
      <c r="R1507" s="136">
        <v>46127.0</v>
      </c>
      <c r="S1507" s="135" t="s">
        <v>3790</v>
      </c>
      <c r="T1507" s="136"/>
      <c r="U1507" s="135" t="s">
        <v>2950</v>
      </c>
      <c r="V1507" s="135" t="s">
        <v>2951</v>
      </c>
      <c r="W1507" s="135" t="s">
        <v>3822</v>
      </c>
      <c r="X1507" s="135"/>
      <c r="Y1507" s="135"/>
      <c r="Z1507" s="135" t="s">
        <v>2858</v>
      </c>
      <c r="AA1507" s="135"/>
      <c r="AB1507" s="135"/>
      <c r="AC1507" s="135"/>
      <c r="AD1507" s="135">
        <v>46132.0</v>
      </c>
      <c r="AE1507" s="135"/>
      <c r="AF1507" s="135"/>
      <c r="AG1507" s="135"/>
    </row>
    <row r="1508" ht="21.75" hidden="1" customHeight="1">
      <c r="A1508" s="135">
        <v>1504.0</v>
      </c>
      <c r="B1508" s="135">
        <v>25045.0</v>
      </c>
      <c r="C1508" s="135"/>
      <c r="D1508" s="135">
        <v>26.0</v>
      </c>
      <c r="E1508" s="135" t="s">
        <v>3814</v>
      </c>
      <c r="F1508" s="135" t="s">
        <v>298</v>
      </c>
      <c r="G1508" s="135" t="s">
        <v>140</v>
      </c>
      <c r="H1508" s="135" t="s">
        <v>2965</v>
      </c>
      <c r="I1508" s="135" t="s">
        <v>143</v>
      </c>
      <c r="J1508" s="135">
        <v>1.0</v>
      </c>
      <c r="K1508" s="135"/>
      <c r="L1508" s="135">
        <v>400.0</v>
      </c>
      <c r="M1508" s="135">
        <v>2870.0</v>
      </c>
      <c r="N1508" s="135">
        <v>350.0</v>
      </c>
      <c r="O1508" s="135">
        <v>0.43</v>
      </c>
      <c r="P1508" s="136">
        <v>0.0</v>
      </c>
      <c r="Q1508" s="137">
        <v>1.075</v>
      </c>
      <c r="R1508" s="136">
        <v>46127.0</v>
      </c>
      <c r="S1508" s="135" t="s">
        <v>3790</v>
      </c>
      <c r="T1508" s="136"/>
      <c r="U1508" s="135" t="s">
        <v>2966</v>
      </c>
      <c r="V1508" s="135" t="s">
        <v>2967</v>
      </c>
      <c r="W1508" s="135"/>
      <c r="X1508" s="135" t="s">
        <v>2969</v>
      </c>
      <c r="Y1508" s="135"/>
      <c r="Z1508" s="135" t="s">
        <v>2858</v>
      </c>
      <c r="AA1508" s="135"/>
      <c r="AB1508" s="135"/>
      <c r="AC1508" s="135"/>
      <c r="AD1508" s="135">
        <v>46151.0</v>
      </c>
      <c r="AE1508" s="135"/>
      <c r="AF1508" s="135"/>
      <c r="AG1508" s="135"/>
    </row>
    <row r="1509" ht="21.75" hidden="1" customHeight="1">
      <c r="A1509" s="135">
        <v>1505.0</v>
      </c>
      <c r="B1509" s="135">
        <v>25045.0</v>
      </c>
      <c r="C1509" s="135" t="s">
        <v>2817</v>
      </c>
      <c r="D1509" s="135">
        <v>26.0</v>
      </c>
      <c r="E1509" s="135" t="s">
        <v>3823</v>
      </c>
      <c r="F1509" s="135" t="s">
        <v>299</v>
      </c>
      <c r="G1509" s="135" t="s">
        <v>140</v>
      </c>
      <c r="H1509" s="135" t="s">
        <v>2853</v>
      </c>
      <c r="I1509" s="135" t="s">
        <v>144</v>
      </c>
      <c r="J1509" s="135">
        <v>1.0</v>
      </c>
      <c r="K1509" s="135"/>
      <c r="L1509" s="135">
        <v>3238.0</v>
      </c>
      <c r="M1509" s="135">
        <v>1350.0</v>
      </c>
      <c r="N1509" s="135">
        <v>120.0</v>
      </c>
      <c r="O1509" s="135">
        <v>0.549</v>
      </c>
      <c r="P1509" s="136">
        <v>0.0</v>
      </c>
      <c r="Q1509" s="137">
        <v>1.3725</v>
      </c>
      <c r="R1509" s="136">
        <v>46127.0</v>
      </c>
      <c r="S1509" s="135" t="s">
        <v>3790</v>
      </c>
      <c r="T1509" s="136"/>
      <c r="U1509" s="135" t="s">
        <v>2864</v>
      </c>
      <c r="V1509" s="135" t="s">
        <v>2856</v>
      </c>
      <c r="W1509" s="135" t="s">
        <v>3824</v>
      </c>
      <c r="X1509" s="135"/>
      <c r="Y1509" s="135"/>
      <c r="Z1509" s="135" t="s">
        <v>2858</v>
      </c>
      <c r="AA1509" s="135"/>
      <c r="AB1509" s="135"/>
      <c r="AC1509" s="135"/>
      <c r="AD1509" s="135" t="e">
        <v>#N/A</v>
      </c>
      <c r="AE1509" s="135"/>
      <c r="AF1509" s="135"/>
      <c r="AG1509" s="135"/>
    </row>
    <row r="1510" ht="21.75" hidden="1" customHeight="1">
      <c r="A1510" s="135">
        <v>1506.0</v>
      </c>
      <c r="B1510" s="135">
        <v>25045.0</v>
      </c>
      <c r="C1510" s="135" t="s">
        <v>2817</v>
      </c>
      <c r="D1510" s="135">
        <v>26.0</v>
      </c>
      <c r="E1510" s="135" t="s">
        <v>3823</v>
      </c>
      <c r="F1510" s="135" t="s">
        <v>300</v>
      </c>
      <c r="G1510" s="135" t="s">
        <v>140</v>
      </c>
      <c r="H1510" s="135" t="s">
        <v>2853</v>
      </c>
      <c r="I1510" s="135" t="s">
        <v>144</v>
      </c>
      <c r="J1510" s="135">
        <v>1.0</v>
      </c>
      <c r="K1510" s="135" t="s">
        <v>3134</v>
      </c>
      <c r="L1510" s="135">
        <v>3238.0</v>
      </c>
      <c r="M1510" s="135">
        <v>1350.0</v>
      </c>
      <c r="N1510" s="135">
        <v>120.0</v>
      </c>
      <c r="O1510" s="135">
        <v>0.549</v>
      </c>
      <c r="P1510" s="136">
        <v>0.0</v>
      </c>
      <c r="Q1510" s="137">
        <v>1.3725</v>
      </c>
      <c r="R1510" s="136">
        <v>46127.0</v>
      </c>
      <c r="S1510" s="135" t="s">
        <v>3790</v>
      </c>
      <c r="T1510" s="136"/>
      <c r="U1510" s="135" t="s">
        <v>2864</v>
      </c>
      <c r="V1510" s="135" t="s">
        <v>2856</v>
      </c>
      <c r="W1510" s="135" t="s">
        <v>3825</v>
      </c>
      <c r="X1510" s="135"/>
      <c r="Y1510" s="135"/>
      <c r="Z1510" s="135" t="s">
        <v>2858</v>
      </c>
      <c r="AA1510" s="135"/>
      <c r="AB1510" s="135"/>
      <c r="AC1510" s="135"/>
      <c r="AD1510" s="135" t="e">
        <v>#N/A</v>
      </c>
      <c r="AE1510" s="135"/>
      <c r="AF1510" s="135"/>
      <c r="AG1510" s="135"/>
    </row>
    <row r="1511" ht="21.75" hidden="1" customHeight="1">
      <c r="A1511" s="135">
        <v>1507.0</v>
      </c>
      <c r="B1511" s="135">
        <v>25045.0</v>
      </c>
      <c r="C1511" s="135" t="s">
        <v>2817</v>
      </c>
      <c r="D1511" s="135">
        <v>26.0</v>
      </c>
      <c r="E1511" s="135" t="s">
        <v>3823</v>
      </c>
      <c r="F1511" s="135" t="s">
        <v>301</v>
      </c>
      <c r="G1511" s="135" t="s">
        <v>140</v>
      </c>
      <c r="H1511" s="135" t="s">
        <v>2853</v>
      </c>
      <c r="I1511" s="135" t="s">
        <v>144</v>
      </c>
      <c r="J1511" s="135">
        <v>1.0</v>
      </c>
      <c r="K1511" s="135" t="s">
        <v>3134</v>
      </c>
      <c r="L1511" s="135">
        <v>3238.0</v>
      </c>
      <c r="M1511" s="135">
        <v>1350.0</v>
      </c>
      <c r="N1511" s="135">
        <v>120.0</v>
      </c>
      <c r="O1511" s="135">
        <v>0.549</v>
      </c>
      <c r="P1511" s="136">
        <v>0.0</v>
      </c>
      <c r="Q1511" s="137">
        <v>1.3725</v>
      </c>
      <c r="R1511" s="136">
        <v>46127.0</v>
      </c>
      <c r="S1511" s="135" t="s">
        <v>3790</v>
      </c>
      <c r="T1511" s="136"/>
      <c r="U1511" s="135" t="s">
        <v>2864</v>
      </c>
      <c r="V1511" s="135" t="s">
        <v>2856</v>
      </c>
      <c r="W1511" s="135" t="s">
        <v>3825</v>
      </c>
      <c r="X1511" s="135"/>
      <c r="Y1511" s="135"/>
      <c r="Z1511" s="135" t="s">
        <v>2858</v>
      </c>
      <c r="AA1511" s="135"/>
      <c r="AB1511" s="135"/>
      <c r="AC1511" s="135"/>
      <c r="AD1511" s="135" t="e">
        <v>#N/A</v>
      </c>
      <c r="AE1511" s="135"/>
      <c r="AF1511" s="135"/>
      <c r="AG1511" s="135"/>
    </row>
    <row r="1512" ht="21.75" hidden="1" customHeight="1">
      <c r="A1512" s="135">
        <v>1508.0</v>
      </c>
      <c r="B1512" s="135">
        <v>25045.0</v>
      </c>
      <c r="C1512" s="135" t="s">
        <v>2817</v>
      </c>
      <c r="D1512" s="135">
        <v>26.0</v>
      </c>
      <c r="E1512" s="135" t="s">
        <v>3823</v>
      </c>
      <c r="F1512" s="135" t="s">
        <v>302</v>
      </c>
      <c r="G1512" s="135" t="s">
        <v>140</v>
      </c>
      <c r="H1512" s="135" t="s">
        <v>2853</v>
      </c>
      <c r="I1512" s="135" t="s">
        <v>144</v>
      </c>
      <c r="J1512" s="135">
        <v>1.0</v>
      </c>
      <c r="K1512" s="135" t="s">
        <v>3134</v>
      </c>
      <c r="L1512" s="135">
        <v>3238.0</v>
      </c>
      <c r="M1512" s="135">
        <v>1350.0</v>
      </c>
      <c r="N1512" s="135">
        <v>120.0</v>
      </c>
      <c r="O1512" s="135">
        <v>0.549</v>
      </c>
      <c r="P1512" s="136">
        <v>0.0</v>
      </c>
      <c r="Q1512" s="137">
        <v>1.3725</v>
      </c>
      <c r="R1512" s="136">
        <v>46127.0</v>
      </c>
      <c r="S1512" s="135" t="s">
        <v>3790</v>
      </c>
      <c r="T1512" s="136"/>
      <c r="U1512" s="135" t="s">
        <v>2864</v>
      </c>
      <c r="V1512" s="135" t="s">
        <v>2856</v>
      </c>
      <c r="W1512" s="135" t="s">
        <v>3825</v>
      </c>
      <c r="X1512" s="135"/>
      <c r="Y1512" s="135"/>
      <c r="Z1512" s="135" t="s">
        <v>2858</v>
      </c>
      <c r="AA1512" s="135"/>
      <c r="AB1512" s="135"/>
      <c r="AC1512" s="135"/>
      <c r="AD1512" s="135" t="e">
        <v>#N/A</v>
      </c>
      <c r="AE1512" s="135"/>
      <c r="AF1512" s="135"/>
      <c r="AG1512" s="135"/>
    </row>
    <row r="1513" ht="21.75" hidden="1" customHeight="1">
      <c r="A1513" s="135">
        <v>1509.0</v>
      </c>
      <c r="B1513" s="135">
        <v>25045.0</v>
      </c>
      <c r="C1513" s="135" t="s">
        <v>2817</v>
      </c>
      <c r="D1513" s="135">
        <v>26.0</v>
      </c>
      <c r="E1513" s="135" t="s">
        <v>3823</v>
      </c>
      <c r="F1513" s="135" t="s">
        <v>303</v>
      </c>
      <c r="G1513" s="135" t="s">
        <v>140</v>
      </c>
      <c r="H1513" s="135" t="s">
        <v>2853</v>
      </c>
      <c r="I1513" s="135" t="s">
        <v>144</v>
      </c>
      <c r="J1513" s="135">
        <v>1.0</v>
      </c>
      <c r="K1513" s="135"/>
      <c r="L1513" s="135">
        <v>3238.0</v>
      </c>
      <c r="M1513" s="135">
        <v>3170.0</v>
      </c>
      <c r="N1513" s="135">
        <v>120.0</v>
      </c>
      <c r="O1513" s="135">
        <v>0.636</v>
      </c>
      <c r="P1513" s="136">
        <v>0.0</v>
      </c>
      <c r="Q1513" s="137">
        <v>1.59</v>
      </c>
      <c r="R1513" s="136">
        <v>46127.0</v>
      </c>
      <c r="S1513" s="135" t="s">
        <v>3790</v>
      </c>
      <c r="T1513" s="136"/>
      <c r="U1513" s="135" t="s">
        <v>2864</v>
      </c>
      <c r="V1513" s="135" t="s">
        <v>2856</v>
      </c>
      <c r="W1513" s="135" t="s">
        <v>3826</v>
      </c>
      <c r="X1513" s="135" t="s">
        <v>3141</v>
      </c>
      <c r="Y1513" s="135"/>
      <c r="Z1513" s="135" t="s">
        <v>2858</v>
      </c>
      <c r="AA1513" s="135"/>
      <c r="AB1513" s="135"/>
      <c r="AC1513" s="135"/>
      <c r="AD1513" s="135" t="e">
        <v>#N/A</v>
      </c>
      <c r="AE1513" s="135"/>
      <c r="AF1513" s="135"/>
      <c r="AG1513" s="135"/>
    </row>
    <row r="1514" ht="21.75" hidden="1" customHeight="1">
      <c r="A1514" s="135">
        <v>1510.0</v>
      </c>
      <c r="B1514" s="135">
        <v>25045.0</v>
      </c>
      <c r="C1514" s="135" t="s">
        <v>2817</v>
      </c>
      <c r="D1514" s="135">
        <v>26.0</v>
      </c>
      <c r="E1514" s="135" t="s">
        <v>3823</v>
      </c>
      <c r="F1514" s="135" t="s">
        <v>304</v>
      </c>
      <c r="G1514" s="135" t="s">
        <v>140</v>
      </c>
      <c r="H1514" s="135" t="s">
        <v>2853</v>
      </c>
      <c r="I1514" s="135" t="s">
        <v>144</v>
      </c>
      <c r="J1514" s="135">
        <v>1.0</v>
      </c>
      <c r="K1514" s="135"/>
      <c r="L1514" s="135">
        <v>2595.0</v>
      </c>
      <c r="M1514" s="135">
        <v>2850.0</v>
      </c>
      <c r="N1514" s="135">
        <v>120.0</v>
      </c>
      <c r="O1514" s="135">
        <v>0.951</v>
      </c>
      <c r="P1514" s="136">
        <v>0.0</v>
      </c>
      <c r="Q1514" s="137">
        <v>2.3775</v>
      </c>
      <c r="R1514" s="136">
        <v>46127.0</v>
      </c>
      <c r="S1514" s="135" t="s">
        <v>3790</v>
      </c>
      <c r="T1514" s="136"/>
      <c r="U1514" s="135" t="s">
        <v>2864</v>
      </c>
      <c r="V1514" s="135" t="s">
        <v>2878</v>
      </c>
      <c r="W1514" s="135" t="s">
        <v>2962</v>
      </c>
      <c r="X1514" s="135" t="s">
        <v>3586</v>
      </c>
      <c r="Y1514" s="135"/>
      <c r="Z1514" s="135" t="s">
        <v>2858</v>
      </c>
      <c r="AA1514" s="135"/>
      <c r="AB1514" s="135"/>
      <c r="AC1514" s="135"/>
      <c r="AD1514" s="135">
        <v>46141.0</v>
      </c>
      <c r="AE1514" s="135"/>
      <c r="AF1514" s="135"/>
      <c r="AG1514" s="135"/>
    </row>
    <row r="1515" ht="21.75" hidden="1" customHeight="1">
      <c r="A1515" s="135">
        <v>1511.0</v>
      </c>
      <c r="B1515" s="135">
        <v>25045.0</v>
      </c>
      <c r="C1515" s="135"/>
      <c r="D1515" s="135">
        <v>26.0</v>
      </c>
      <c r="E1515" s="135" t="s">
        <v>3823</v>
      </c>
      <c r="F1515" s="135" t="s">
        <v>305</v>
      </c>
      <c r="G1515" s="135" t="s">
        <v>140</v>
      </c>
      <c r="H1515" s="135" t="s">
        <v>2853</v>
      </c>
      <c r="I1515" s="135" t="s">
        <v>144</v>
      </c>
      <c r="J1515" s="135">
        <v>1.0</v>
      </c>
      <c r="K1515" s="135"/>
      <c r="L1515" s="135">
        <v>5120.0</v>
      </c>
      <c r="M1515" s="135">
        <v>3150.0</v>
      </c>
      <c r="N1515" s="135">
        <v>120.0</v>
      </c>
      <c r="O1515" s="135">
        <v>2.126</v>
      </c>
      <c r="P1515" s="136">
        <v>1.0</v>
      </c>
      <c r="Q1515" s="137">
        <v>5.3149999999999995</v>
      </c>
      <c r="R1515" s="136">
        <v>46127.0</v>
      </c>
      <c r="S1515" s="135" t="s">
        <v>3790</v>
      </c>
      <c r="T1515" s="136">
        <v>46150.0</v>
      </c>
      <c r="U1515" s="135" t="s">
        <v>2864</v>
      </c>
      <c r="V1515" s="135" t="s">
        <v>2985</v>
      </c>
      <c r="W1515" s="135"/>
      <c r="X1515" s="135"/>
      <c r="Y1515" s="135"/>
      <c r="Z1515" s="135" t="s">
        <v>2858</v>
      </c>
      <c r="AA1515" s="135"/>
      <c r="AB1515" s="135"/>
      <c r="AC1515" s="135" t="s">
        <v>2863</v>
      </c>
      <c r="AD1515" s="135">
        <v>0.0</v>
      </c>
      <c r="AE1515" s="135"/>
      <c r="AF1515" s="135"/>
      <c r="AG1515" s="135"/>
    </row>
    <row r="1516" ht="21.75" hidden="1" customHeight="1">
      <c r="A1516" s="135">
        <v>1512.0</v>
      </c>
      <c r="B1516" s="135">
        <v>25045.0</v>
      </c>
      <c r="C1516" s="135"/>
      <c r="D1516" s="135">
        <v>26.0</v>
      </c>
      <c r="E1516" s="135" t="s">
        <v>3823</v>
      </c>
      <c r="F1516" s="135" t="s">
        <v>306</v>
      </c>
      <c r="G1516" s="135" t="s">
        <v>140</v>
      </c>
      <c r="H1516" s="135" t="s">
        <v>2853</v>
      </c>
      <c r="I1516" s="135" t="s">
        <v>144</v>
      </c>
      <c r="J1516" s="135">
        <v>1.0</v>
      </c>
      <c r="K1516" s="135" t="s">
        <v>3134</v>
      </c>
      <c r="L1516" s="135">
        <v>4311.0</v>
      </c>
      <c r="M1516" s="135">
        <v>3150.0</v>
      </c>
      <c r="N1516" s="135">
        <v>120.0</v>
      </c>
      <c r="O1516" s="135">
        <v>1.957</v>
      </c>
      <c r="P1516" s="136">
        <v>0.0</v>
      </c>
      <c r="Q1516" s="137">
        <v>4.8925</v>
      </c>
      <c r="R1516" s="136">
        <v>46127.0</v>
      </c>
      <c r="S1516" s="135" t="s">
        <v>3790</v>
      </c>
      <c r="T1516" s="136"/>
      <c r="U1516" s="135" t="s">
        <v>2855</v>
      </c>
      <c r="V1516" s="135" t="s">
        <v>2876</v>
      </c>
      <c r="W1516" s="135" t="s">
        <v>3827</v>
      </c>
      <c r="X1516" s="135"/>
      <c r="Y1516" s="135"/>
      <c r="Z1516" s="135" t="s">
        <v>2858</v>
      </c>
      <c r="AA1516" s="135"/>
      <c r="AB1516" s="135"/>
      <c r="AC1516" s="135"/>
      <c r="AD1516" s="135">
        <v>46144.0</v>
      </c>
      <c r="AE1516" s="135"/>
      <c r="AF1516" s="135"/>
      <c r="AG1516" s="135"/>
    </row>
    <row r="1517" ht="21.75" hidden="1" customHeight="1">
      <c r="A1517" s="135">
        <v>1513.0</v>
      </c>
      <c r="B1517" s="135">
        <v>25045.0</v>
      </c>
      <c r="C1517" s="135"/>
      <c r="D1517" s="135">
        <v>26.0</v>
      </c>
      <c r="E1517" s="135" t="s">
        <v>3823</v>
      </c>
      <c r="F1517" s="135" t="s">
        <v>307</v>
      </c>
      <c r="G1517" s="135" t="s">
        <v>140</v>
      </c>
      <c r="H1517" s="135" t="s">
        <v>2853</v>
      </c>
      <c r="I1517" s="135" t="s">
        <v>144</v>
      </c>
      <c r="J1517" s="135">
        <v>1.0</v>
      </c>
      <c r="K1517" s="135" t="s">
        <v>3134</v>
      </c>
      <c r="L1517" s="135">
        <v>4311.0</v>
      </c>
      <c r="M1517" s="135">
        <v>3150.0</v>
      </c>
      <c r="N1517" s="135">
        <v>120.0</v>
      </c>
      <c r="O1517" s="135">
        <v>1.957</v>
      </c>
      <c r="P1517" s="136">
        <v>0.0</v>
      </c>
      <c r="Q1517" s="137">
        <v>4.8925</v>
      </c>
      <c r="R1517" s="136">
        <v>46127.0</v>
      </c>
      <c r="S1517" s="135" t="s">
        <v>3790</v>
      </c>
      <c r="T1517" s="136"/>
      <c r="U1517" s="135" t="s">
        <v>2855</v>
      </c>
      <c r="V1517" s="135" t="s">
        <v>2876</v>
      </c>
      <c r="W1517" s="135" t="s">
        <v>3827</v>
      </c>
      <c r="X1517" s="135"/>
      <c r="Y1517" s="135"/>
      <c r="Z1517" s="135" t="s">
        <v>2858</v>
      </c>
      <c r="AA1517" s="135"/>
      <c r="AB1517" s="135"/>
      <c r="AC1517" s="135"/>
      <c r="AD1517" s="135">
        <v>46146.0</v>
      </c>
      <c r="AE1517" s="135"/>
      <c r="AF1517" s="135"/>
      <c r="AG1517" s="135"/>
    </row>
    <row r="1518" ht="21.75" hidden="1" customHeight="1">
      <c r="A1518" s="135">
        <v>1514.0</v>
      </c>
      <c r="B1518" s="135">
        <v>25045.0</v>
      </c>
      <c r="C1518" s="135"/>
      <c r="D1518" s="135">
        <v>26.0</v>
      </c>
      <c r="E1518" s="135" t="s">
        <v>3823</v>
      </c>
      <c r="F1518" s="135" t="s">
        <v>308</v>
      </c>
      <c r="G1518" s="135" t="s">
        <v>140</v>
      </c>
      <c r="H1518" s="135" t="s">
        <v>2853</v>
      </c>
      <c r="I1518" s="135" t="s">
        <v>144</v>
      </c>
      <c r="J1518" s="135">
        <v>1.0</v>
      </c>
      <c r="K1518" s="135" t="s">
        <v>3134</v>
      </c>
      <c r="L1518" s="135">
        <v>4311.0</v>
      </c>
      <c r="M1518" s="135">
        <v>3150.0</v>
      </c>
      <c r="N1518" s="135">
        <v>120.0</v>
      </c>
      <c r="O1518" s="135">
        <v>1.957</v>
      </c>
      <c r="P1518" s="136">
        <v>0.0</v>
      </c>
      <c r="Q1518" s="137">
        <v>4.8925</v>
      </c>
      <c r="R1518" s="136">
        <v>46127.0</v>
      </c>
      <c r="S1518" s="135" t="s">
        <v>3790</v>
      </c>
      <c r="T1518" s="136"/>
      <c r="U1518" s="135" t="s">
        <v>2855</v>
      </c>
      <c r="V1518" s="135" t="s">
        <v>2876</v>
      </c>
      <c r="W1518" s="135" t="s">
        <v>3827</v>
      </c>
      <c r="X1518" s="135"/>
      <c r="Y1518" s="135"/>
      <c r="Z1518" s="135" t="s">
        <v>2858</v>
      </c>
      <c r="AA1518" s="135"/>
      <c r="AB1518" s="135"/>
      <c r="AC1518" s="135"/>
      <c r="AD1518" s="135">
        <v>46147.0</v>
      </c>
      <c r="AE1518" s="135"/>
      <c r="AF1518" s="135"/>
      <c r="AG1518" s="135"/>
    </row>
    <row r="1519" ht="21.75" hidden="1" customHeight="1">
      <c r="A1519" s="135">
        <v>1515.0</v>
      </c>
      <c r="B1519" s="135">
        <v>25045.0</v>
      </c>
      <c r="C1519" s="135"/>
      <c r="D1519" s="135">
        <v>26.0</v>
      </c>
      <c r="E1519" s="135" t="s">
        <v>3823</v>
      </c>
      <c r="F1519" s="135" t="s">
        <v>309</v>
      </c>
      <c r="G1519" s="135" t="s">
        <v>140</v>
      </c>
      <c r="H1519" s="135" t="s">
        <v>2853</v>
      </c>
      <c r="I1519" s="135" t="s">
        <v>144</v>
      </c>
      <c r="J1519" s="135">
        <v>1.0</v>
      </c>
      <c r="K1519" s="135"/>
      <c r="L1519" s="135">
        <v>4311.0</v>
      </c>
      <c r="M1519" s="135">
        <v>3150.0</v>
      </c>
      <c r="N1519" s="135">
        <v>120.0</v>
      </c>
      <c r="O1519" s="135">
        <v>1.621</v>
      </c>
      <c r="P1519" s="136">
        <v>0.0</v>
      </c>
      <c r="Q1519" s="137">
        <v>4.0525</v>
      </c>
      <c r="R1519" s="136">
        <v>46127.0</v>
      </c>
      <c r="S1519" s="135" t="s">
        <v>3790</v>
      </c>
      <c r="T1519" s="136"/>
      <c r="U1519" s="135" t="s">
        <v>2864</v>
      </c>
      <c r="V1519" s="135" t="s">
        <v>2985</v>
      </c>
      <c r="W1519" s="135" t="s">
        <v>3828</v>
      </c>
      <c r="X1519" s="135" t="s">
        <v>3802</v>
      </c>
      <c r="Y1519" s="135"/>
      <c r="Z1519" s="135" t="s">
        <v>2858</v>
      </c>
      <c r="AA1519" s="135"/>
      <c r="AB1519" s="135"/>
      <c r="AC1519" s="135"/>
      <c r="AD1519" s="135">
        <v>46144.0</v>
      </c>
      <c r="AE1519" s="135"/>
      <c r="AF1519" s="135"/>
      <c r="AG1519" s="135"/>
    </row>
    <row r="1520" ht="21.75" hidden="1" customHeight="1">
      <c r="A1520" s="135">
        <v>1516.0</v>
      </c>
      <c r="B1520" s="135">
        <v>25045.0</v>
      </c>
      <c r="C1520" s="135"/>
      <c r="D1520" s="135">
        <v>26.0</v>
      </c>
      <c r="E1520" s="135" t="s">
        <v>3823</v>
      </c>
      <c r="F1520" s="135" t="s">
        <v>310</v>
      </c>
      <c r="G1520" s="135" t="s">
        <v>140</v>
      </c>
      <c r="H1520" s="135" t="s">
        <v>2853</v>
      </c>
      <c r="I1520" s="135" t="s">
        <v>144</v>
      </c>
      <c r="J1520" s="135">
        <v>1.0</v>
      </c>
      <c r="K1520" s="135"/>
      <c r="L1520" s="135">
        <v>5015.0</v>
      </c>
      <c r="M1520" s="135">
        <v>3200.0</v>
      </c>
      <c r="N1520" s="135">
        <v>120.0</v>
      </c>
      <c r="O1520" s="135">
        <v>2.333</v>
      </c>
      <c r="P1520" s="136">
        <v>0.0</v>
      </c>
      <c r="Q1520" s="137">
        <v>5.8325000000000005</v>
      </c>
      <c r="R1520" s="136">
        <v>46127.0</v>
      </c>
      <c r="S1520" s="135" t="s">
        <v>3790</v>
      </c>
      <c r="T1520" s="136"/>
      <c r="U1520" s="135" t="s">
        <v>2855</v>
      </c>
      <c r="V1520" s="135" t="s">
        <v>2878</v>
      </c>
      <c r="W1520" s="135" t="s">
        <v>3056</v>
      </c>
      <c r="X1520" s="135"/>
      <c r="Y1520" s="135"/>
      <c r="Z1520" s="135" t="s">
        <v>2858</v>
      </c>
      <c r="AA1520" s="135"/>
      <c r="AB1520" s="135"/>
      <c r="AC1520" s="135"/>
      <c r="AD1520" s="135">
        <v>46136.0</v>
      </c>
      <c r="AE1520" s="135"/>
      <c r="AF1520" s="135"/>
      <c r="AG1520" s="135"/>
    </row>
    <row r="1521" ht="21.75" hidden="1" customHeight="1">
      <c r="A1521" s="135">
        <v>1517.0</v>
      </c>
      <c r="B1521" s="135">
        <v>25045.0</v>
      </c>
      <c r="C1521" s="135"/>
      <c r="D1521" s="135">
        <v>26.0</v>
      </c>
      <c r="E1521" s="135" t="s">
        <v>3823</v>
      </c>
      <c r="F1521" s="135" t="s">
        <v>311</v>
      </c>
      <c r="G1521" s="135" t="s">
        <v>140</v>
      </c>
      <c r="H1521" s="135" t="s">
        <v>2853</v>
      </c>
      <c r="I1521" s="135" t="s">
        <v>144</v>
      </c>
      <c r="J1521" s="135">
        <v>1.0</v>
      </c>
      <c r="K1521" s="135" t="s">
        <v>3134</v>
      </c>
      <c r="L1521" s="135">
        <v>4412.0</v>
      </c>
      <c r="M1521" s="135">
        <v>3200.0</v>
      </c>
      <c r="N1521" s="135">
        <v>120.0</v>
      </c>
      <c r="O1521" s="135">
        <v>2.161</v>
      </c>
      <c r="P1521" s="136">
        <v>0.0</v>
      </c>
      <c r="Q1521" s="137">
        <v>5.4025</v>
      </c>
      <c r="R1521" s="136">
        <v>46127.0</v>
      </c>
      <c r="S1521" s="135" t="s">
        <v>3790</v>
      </c>
      <c r="T1521" s="136"/>
      <c r="U1521" s="135" t="s">
        <v>2855</v>
      </c>
      <c r="V1521" s="135" t="s">
        <v>2878</v>
      </c>
      <c r="W1521" s="135" t="s">
        <v>3829</v>
      </c>
      <c r="X1521" s="135"/>
      <c r="Y1521" s="135"/>
      <c r="Z1521" s="135" t="s">
        <v>2858</v>
      </c>
      <c r="AA1521" s="135"/>
      <c r="AB1521" s="135"/>
      <c r="AC1521" s="135"/>
      <c r="AD1521" s="135">
        <v>46142.0</v>
      </c>
      <c r="AE1521" s="135"/>
      <c r="AF1521" s="135"/>
      <c r="AG1521" s="135"/>
    </row>
    <row r="1522" ht="21.75" hidden="1" customHeight="1">
      <c r="A1522" s="135">
        <v>1518.0</v>
      </c>
      <c r="B1522" s="135">
        <v>25045.0</v>
      </c>
      <c r="C1522" s="135"/>
      <c r="D1522" s="135">
        <v>26.0</v>
      </c>
      <c r="E1522" s="135" t="s">
        <v>3823</v>
      </c>
      <c r="F1522" s="135" t="s">
        <v>312</v>
      </c>
      <c r="G1522" s="135" t="s">
        <v>140</v>
      </c>
      <c r="H1522" s="135" t="s">
        <v>2853</v>
      </c>
      <c r="I1522" s="135" t="s">
        <v>144</v>
      </c>
      <c r="J1522" s="135">
        <v>1.0</v>
      </c>
      <c r="K1522" s="135" t="s">
        <v>3134</v>
      </c>
      <c r="L1522" s="135">
        <v>4412.0</v>
      </c>
      <c r="M1522" s="135">
        <v>3200.0</v>
      </c>
      <c r="N1522" s="135">
        <v>120.0</v>
      </c>
      <c r="O1522" s="135">
        <v>2.161</v>
      </c>
      <c r="P1522" s="136">
        <v>0.0</v>
      </c>
      <c r="Q1522" s="137">
        <v>5.4025</v>
      </c>
      <c r="R1522" s="136">
        <v>46127.0</v>
      </c>
      <c r="S1522" s="135" t="s">
        <v>3790</v>
      </c>
      <c r="T1522" s="136"/>
      <c r="U1522" s="135" t="s">
        <v>2855</v>
      </c>
      <c r="V1522" s="135" t="s">
        <v>2878</v>
      </c>
      <c r="W1522" s="135" t="s">
        <v>3829</v>
      </c>
      <c r="X1522" s="135"/>
      <c r="Y1522" s="135"/>
      <c r="Z1522" s="135" t="s">
        <v>2858</v>
      </c>
      <c r="AA1522" s="135"/>
      <c r="AB1522" s="135"/>
      <c r="AC1522" s="135"/>
      <c r="AD1522" s="135">
        <v>46143.0</v>
      </c>
      <c r="AE1522" s="135"/>
      <c r="AF1522" s="135"/>
      <c r="AG1522" s="135"/>
    </row>
    <row r="1523" ht="21.75" hidden="1" customHeight="1">
      <c r="A1523" s="135">
        <v>1519.0</v>
      </c>
      <c r="B1523" s="135">
        <v>25045.0</v>
      </c>
      <c r="C1523" s="135"/>
      <c r="D1523" s="135">
        <v>26.0</v>
      </c>
      <c r="E1523" s="135" t="s">
        <v>3823</v>
      </c>
      <c r="F1523" s="135" t="s">
        <v>313</v>
      </c>
      <c r="G1523" s="135" t="s">
        <v>140</v>
      </c>
      <c r="H1523" s="135" t="s">
        <v>2853</v>
      </c>
      <c r="I1523" s="135" t="s">
        <v>144</v>
      </c>
      <c r="J1523" s="135">
        <v>1.0</v>
      </c>
      <c r="K1523" s="135" t="s">
        <v>3134</v>
      </c>
      <c r="L1523" s="135">
        <v>4412.0</v>
      </c>
      <c r="M1523" s="135">
        <v>3200.0</v>
      </c>
      <c r="N1523" s="135">
        <v>120.0</v>
      </c>
      <c r="O1523" s="135">
        <v>2.161</v>
      </c>
      <c r="P1523" s="136">
        <v>0.0</v>
      </c>
      <c r="Q1523" s="137">
        <v>5.4025</v>
      </c>
      <c r="R1523" s="136">
        <v>46127.0</v>
      </c>
      <c r="S1523" s="135" t="s">
        <v>3790</v>
      </c>
      <c r="T1523" s="136"/>
      <c r="U1523" s="135" t="s">
        <v>2855</v>
      </c>
      <c r="V1523" s="135" t="s">
        <v>2878</v>
      </c>
      <c r="W1523" s="135" t="s">
        <v>3829</v>
      </c>
      <c r="X1523" s="135"/>
      <c r="Y1523" s="135"/>
      <c r="Z1523" s="135" t="s">
        <v>2858</v>
      </c>
      <c r="AA1523" s="135"/>
      <c r="AB1523" s="135"/>
      <c r="AC1523" s="135"/>
      <c r="AD1523" s="135">
        <v>46144.0</v>
      </c>
      <c r="AE1523" s="135"/>
      <c r="AF1523" s="135"/>
      <c r="AG1523" s="135"/>
    </row>
    <row r="1524" ht="21.75" hidden="1" customHeight="1">
      <c r="A1524" s="135">
        <v>1520.0</v>
      </c>
      <c r="B1524" s="135">
        <v>25045.0</v>
      </c>
      <c r="C1524" s="135"/>
      <c r="D1524" s="135">
        <v>26.0</v>
      </c>
      <c r="E1524" s="135" t="s">
        <v>3823</v>
      </c>
      <c r="F1524" s="135" t="s">
        <v>314</v>
      </c>
      <c r="G1524" s="135" t="s">
        <v>140</v>
      </c>
      <c r="H1524" s="135" t="s">
        <v>2853</v>
      </c>
      <c r="I1524" s="135" t="s">
        <v>144</v>
      </c>
      <c r="J1524" s="135">
        <v>1.0</v>
      </c>
      <c r="K1524" s="135"/>
      <c r="L1524" s="135">
        <v>4410.0</v>
      </c>
      <c r="M1524" s="135">
        <v>3200.0</v>
      </c>
      <c r="N1524" s="135">
        <v>120.0</v>
      </c>
      <c r="O1524" s="135">
        <v>1.824</v>
      </c>
      <c r="P1524" s="136">
        <v>0.0</v>
      </c>
      <c r="Q1524" s="137">
        <v>4.5600000000000005</v>
      </c>
      <c r="R1524" s="136">
        <v>46127.0</v>
      </c>
      <c r="S1524" s="135" t="s">
        <v>3790</v>
      </c>
      <c r="T1524" s="136"/>
      <c r="U1524" s="135" t="s">
        <v>2864</v>
      </c>
      <c r="V1524" s="135" t="s">
        <v>2890</v>
      </c>
      <c r="W1524" s="135" t="s">
        <v>3830</v>
      </c>
      <c r="X1524" s="135" t="s">
        <v>3141</v>
      </c>
      <c r="Y1524" s="135"/>
      <c r="Z1524" s="135" t="s">
        <v>2858</v>
      </c>
      <c r="AA1524" s="135"/>
      <c r="AB1524" s="135"/>
      <c r="AC1524" s="135"/>
      <c r="AD1524" s="135">
        <v>46143.0</v>
      </c>
      <c r="AE1524" s="135"/>
      <c r="AF1524" s="135"/>
      <c r="AG1524" s="135"/>
    </row>
    <row r="1525" ht="21.75" hidden="1" customHeight="1">
      <c r="A1525" s="135">
        <v>1521.0</v>
      </c>
      <c r="B1525" s="135">
        <v>25045.0</v>
      </c>
      <c r="C1525" s="135"/>
      <c r="D1525" s="135">
        <v>26.0</v>
      </c>
      <c r="E1525" s="135" t="s">
        <v>3823</v>
      </c>
      <c r="F1525" s="135" t="s">
        <v>315</v>
      </c>
      <c r="G1525" s="135" t="s">
        <v>140</v>
      </c>
      <c r="H1525" s="135" t="s">
        <v>2853</v>
      </c>
      <c r="I1525" s="135" t="s">
        <v>144</v>
      </c>
      <c r="J1525" s="135">
        <v>1.0</v>
      </c>
      <c r="K1525" s="135"/>
      <c r="L1525" s="135">
        <v>3570.0</v>
      </c>
      <c r="M1525" s="135">
        <v>1000.0</v>
      </c>
      <c r="N1525" s="135">
        <v>120.0</v>
      </c>
      <c r="O1525" s="135">
        <v>0.643</v>
      </c>
      <c r="P1525" s="136">
        <v>0.0</v>
      </c>
      <c r="Q1525" s="137">
        <v>1.6075</v>
      </c>
      <c r="R1525" s="136">
        <v>46127.0</v>
      </c>
      <c r="S1525" s="135" t="s">
        <v>3790</v>
      </c>
      <c r="T1525" s="136"/>
      <c r="U1525" s="135" t="s">
        <v>2864</v>
      </c>
      <c r="V1525" s="135" t="s">
        <v>3007</v>
      </c>
      <c r="W1525" s="135" t="s">
        <v>3831</v>
      </c>
      <c r="X1525" s="135"/>
      <c r="Y1525" s="135"/>
      <c r="Z1525" s="135" t="s">
        <v>2858</v>
      </c>
      <c r="AA1525" s="135"/>
      <c r="AB1525" s="135"/>
      <c r="AC1525" s="135"/>
      <c r="AD1525" s="135">
        <v>0.0</v>
      </c>
      <c r="AE1525" s="135"/>
      <c r="AF1525" s="135"/>
      <c r="AG1525" s="135"/>
    </row>
    <row r="1526" ht="21.75" hidden="1" customHeight="1">
      <c r="A1526" s="135">
        <v>1522.0</v>
      </c>
      <c r="B1526" s="135">
        <v>25045.0</v>
      </c>
      <c r="C1526" s="135"/>
      <c r="D1526" s="135">
        <v>26.0</v>
      </c>
      <c r="E1526" s="135" t="s">
        <v>3823</v>
      </c>
      <c r="F1526" s="135" t="s">
        <v>316</v>
      </c>
      <c r="G1526" s="135" t="s">
        <v>140</v>
      </c>
      <c r="H1526" s="135" t="s">
        <v>2853</v>
      </c>
      <c r="I1526" s="135" t="s">
        <v>144</v>
      </c>
      <c r="J1526" s="135">
        <v>1.0</v>
      </c>
      <c r="K1526" s="135"/>
      <c r="L1526" s="135">
        <v>2106.0</v>
      </c>
      <c r="M1526" s="135">
        <v>3220.0</v>
      </c>
      <c r="N1526" s="135">
        <v>120.0</v>
      </c>
      <c r="O1526" s="135">
        <v>0.58</v>
      </c>
      <c r="P1526" s="136">
        <v>0.0</v>
      </c>
      <c r="Q1526" s="137">
        <v>1.45</v>
      </c>
      <c r="R1526" s="136">
        <v>46127.0</v>
      </c>
      <c r="S1526" s="135" t="s">
        <v>3790</v>
      </c>
      <c r="T1526" s="136"/>
      <c r="U1526" s="135" t="s">
        <v>2864</v>
      </c>
      <c r="V1526" s="135" t="s">
        <v>2951</v>
      </c>
      <c r="W1526" s="135" t="s">
        <v>3832</v>
      </c>
      <c r="X1526" s="135" t="s">
        <v>3802</v>
      </c>
      <c r="Y1526" s="135"/>
      <c r="Z1526" s="135" t="s">
        <v>2858</v>
      </c>
      <c r="AA1526" s="135"/>
      <c r="AB1526" s="135"/>
      <c r="AC1526" s="135" t="s">
        <v>2863</v>
      </c>
      <c r="AD1526" s="135">
        <v>0.0</v>
      </c>
      <c r="AE1526" s="135"/>
      <c r="AF1526" s="135"/>
      <c r="AG1526" s="135"/>
    </row>
    <row r="1527" ht="21.75" hidden="1" customHeight="1">
      <c r="A1527" s="135">
        <v>1523.0</v>
      </c>
      <c r="B1527" s="135">
        <v>25045.0</v>
      </c>
      <c r="C1527" s="135"/>
      <c r="D1527" s="135">
        <v>26.0</v>
      </c>
      <c r="E1527" s="135" t="s">
        <v>3823</v>
      </c>
      <c r="F1527" s="135" t="s">
        <v>317</v>
      </c>
      <c r="G1527" s="135" t="s">
        <v>140</v>
      </c>
      <c r="H1527" s="135" t="s">
        <v>2965</v>
      </c>
      <c r="I1527" s="135" t="s">
        <v>144</v>
      </c>
      <c r="J1527" s="135">
        <v>1.0</v>
      </c>
      <c r="K1527" s="135"/>
      <c r="L1527" s="135">
        <v>400.0</v>
      </c>
      <c r="M1527" s="135">
        <v>2920.0</v>
      </c>
      <c r="N1527" s="135">
        <v>350.0</v>
      </c>
      <c r="O1527" s="135">
        <v>0.472</v>
      </c>
      <c r="P1527" s="136">
        <v>0.0</v>
      </c>
      <c r="Q1527" s="137">
        <v>1.18</v>
      </c>
      <c r="R1527" s="136">
        <v>46127.0</v>
      </c>
      <c r="S1527" s="135" t="s">
        <v>3790</v>
      </c>
      <c r="T1527" s="136"/>
      <c r="U1527" s="135" t="s">
        <v>2966</v>
      </c>
      <c r="V1527" s="135" t="s">
        <v>2967</v>
      </c>
      <c r="W1527" s="135"/>
      <c r="X1527" s="135" t="s">
        <v>2969</v>
      </c>
      <c r="Y1527" s="135"/>
      <c r="Z1527" s="135" t="s">
        <v>2858</v>
      </c>
      <c r="AA1527" s="135"/>
      <c r="AB1527" s="135"/>
      <c r="AC1527" s="135" t="s">
        <v>2863</v>
      </c>
      <c r="AD1527" s="135">
        <v>0.0</v>
      </c>
      <c r="AE1527" s="135"/>
      <c r="AF1527" s="135"/>
      <c r="AG1527" s="135"/>
    </row>
    <row r="1528" ht="21.75" hidden="1" customHeight="1">
      <c r="A1528" s="135">
        <v>1524.0</v>
      </c>
      <c r="B1528" s="135">
        <v>25045.0</v>
      </c>
      <c r="C1528" s="135" t="s">
        <v>2817</v>
      </c>
      <c r="D1528" s="135">
        <v>26.0</v>
      </c>
      <c r="E1528" s="135" t="s">
        <v>3833</v>
      </c>
      <c r="F1528" s="135" t="s">
        <v>318</v>
      </c>
      <c r="G1528" s="135" t="s">
        <v>140</v>
      </c>
      <c r="H1528" s="135" t="s">
        <v>2853</v>
      </c>
      <c r="I1528" s="135" t="s">
        <v>145</v>
      </c>
      <c r="J1528" s="135">
        <v>1.0</v>
      </c>
      <c r="K1528" s="135"/>
      <c r="L1528" s="135">
        <v>2395.0</v>
      </c>
      <c r="M1528" s="135">
        <v>2850.0</v>
      </c>
      <c r="N1528" s="135">
        <v>120.0</v>
      </c>
      <c r="O1528" s="135">
        <v>0.888</v>
      </c>
      <c r="P1528" s="136">
        <v>0.0</v>
      </c>
      <c r="Q1528" s="137">
        <v>2.22</v>
      </c>
      <c r="R1528" s="136">
        <v>46127.0</v>
      </c>
      <c r="S1528" s="135" t="s">
        <v>3790</v>
      </c>
      <c r="T1528" s="136"/>
      <c r="U1528" s="135" t="s">
        <v>2864</v>
      </c>
      <c r="V1528" s="135" t="s">
        <v>2878</v>
      </c>
      <c r="W1528" s="135" t="s">
        <v>3834</v>
      </c>
      <c r="X1528" s="135" t="s">
        <v>3586</v>
      </c>
      <c r="Y1528" s="135"/>
      <c r="Z1528" s="135" t="s">
        <v>2858</v>
      </c>
      <c r="AA1528" s="135"/>
      <c r="AB1528" s="135"/>
      <c r="AC1528" s="135"/>
      <c r="AD1528" s="135">
        <v>46142.0</v>
      </c>
      <c r="AE1528" s="135"/>
      <c r="AF1528" s="135"/>
      <c r="AG1528" s="135"/>
    </row>
    <row r="1529" ht="21.75" hidden="1" customHeight="1">
      <c r="A1529" s="135">
        <v>1525.0</v>
      </c>
      <c r="B1529" s="135">
        <v>25045.0</v>
      </c>
      <c r="C1529" s="135" t="s">
        <v>2817</v>
      </c>
      <c r="D1529" s="135">
        <v>26.0</v>
      </c>
      <c r="E1529" s="135" t="s">
        <v>3833</v>
      </c>
      <c r="F1529" s="135" t="s">
        <v>319</v>
      </c>
      <c r="G1529" s="135" t="s">
        <v>140</v>
      </c>
      <c r="H1529" s="135" t="s">
        <v>2853</v>
      </c>
      <c r="I1529" s="135" t="s">
        <v>145</v>
      </c>
      <c r="J1529" s="135">
        <v>1.0</v>
      </c>
      <c r="K1529" s="135"/>
      <c r="L1529" s="135">
        <v>3340.0</v>
      </c>
      <c r="M1529" s="135">
        <v>2850.0</v>
      </c>
      <c r="N1529" s="135">
        <v>120.0</v>
      </c>
      <c r="O1529" s="135">
        <v>1.262</v>
      </c>
      <c r="P1529" s="136">
        <v>0.0</v>
      </c>
      <c r="Q1529" s="137">
        <v>3.1550000000000002</v>
      </c>
      <c r="R1529" s="136">
        <v>46127.0</v>
      </c>
      <c r="S1529" s="135" t="s">
        <v>3790</v>
      </c>
      <c r="T1529" s="136"/>
      <c r="U1529" s="135" t="s">
        <v>2864</v>
      </c>
      <c r="V1529" s="135" t="s">
        <v>2878</v>
      </c>
      <c r="W1529" s="135" t="s">
        <v>3028</v>
      </c>
      <c r="X1529" s="135" t="s">
        <v>2870</v>
      </c>
      <c r="Y1529" s="135"/>
      <c r="Z1529" s="135" t="s">
        <v>2858</v>
      </c>
      <c r="AA1529" s="135"/>
      <c r="AB1529" s="135"/>
      <c r="AC1529" s="135"/>
      <c r="AD1529" s="135">
        <v>46134.0</v>
      </c>
      <c r="AE1529" s="135"/>
      <c r="AF1529" s="135"/>
      <c r="AG1529" s="135"/>
    </row>
    <row r="1530" ht="21.75" hidden="1" customHeight="1">
      <c r="A1530" s="135">
        <v>1526.0</v>
      </c>
      <c r="B1530" s="135">
        <v>25045.0</v>
      </c>
      <c r="C1530" s="135" t="s">
        <v>2817</v>
      </c>
      <c r="D1530" s="135">
        <v>26.0</v>
      </c>
      <c r="E1530" s="135" t="s">
        <v>3833</v>
      </c>
      <c r="F1530" s="135" t="s">
        <v>320</v>
      </c>
      <c r="G1530" s="135" t="s">
        <v>140</v>
      </c>
      <c r="H1530" s="135" t="s">
        <v>2853</v>
      </c>
      <c r="I1530" s="135" t="s">
        <v>145</v>
      </c>
      <c r="J1530" s="135">
        <v>1.0</v>
      </c>
      <c r="K1530" s="135"/>
      <c r="L1530" s="135">
        <v>3089.0</v>
      </c>
      <c r="M1530" s="135">
        <v>2850.0</v>
      </c>
      <c r="N1530" s="135">
        <v>120.0</v>
      </c>
      <c r="O1530" s="135">
        <v>1.202</v>
      </c>
      <c r="P1530" s="136">
        <v>0.0</v>
      </c>
      <c r="Q1530" s="137">
        <v>3.005</v>
      </c>
      <c r="R1530" s="136">
        <v>46127.0</v>
      </c>
      <c r="S1530" s="135" t="s">
        <v>3790</v>
      </c>
      <c r="T1530" s="136"/>
      <c r="U1530" s="135" t="s">
        <v>2864</v>
      </c>
      <c r="V1530" s="135" t="s">
        <v>2878</v>
      </c>
      <c r="W1530" s="135" t="s">
        <v>3835</v>
      </c>
      <c r="X1530" s="135" t="s">
        <v>2872</v>
      </c>
      <c r="Y1530" s="135"/>
      <c r="Z1530" s="135" t="s">
        <v>2858</v>
      </c>
      <c r="AA1530" s="135"/>
      <c r="AB1530" s="135"/>
      <c r="AC1530" s="135"/>
      <c r="AD1530" s="135">
        <v>46135.0</v>
      </c>
      <c r="AE1530" s="135"/>
      <c r="AF1530" s="135"/>
      <c r="AG1530" s="135"/>
    </row>
    <row r="1531" ht="21.75" hidden="1" customHeight="1">
      <c r="A1531" s="135">
        <v>1527.0</v>
      </c>
      <c r="B1531" s="135">
        <v>25045.0</v>
      </c>
      <c r="C1531" s="135" t="s">
        <v>2817</v>
      </c>
      <c r="D1531" s="135">
        <v>26.0</v>
      </c>
      <c r="E1531" s="135" t="s">
        <v>3833</v>
      </c>
      <c r="F1531" s="135" t="s">
        <v>321</v>
      </c>
      <c r="G1531" s="135" t="s">
        <v>140</v>
      </c>
      <c r="H1531" s="135" t="s">
        <v>2853</v>
      </c>
      <c r="I1531" s="135" t="s">
        <v>145</v>
      </c>
      <c r="J1531" s="135">
        <v>1.0</v>
      </c>
      <c r="K1531" s="135"/>
      <c r="L1531" s="135">
        <v>2040.0</v>
      </c>
      <c r="M1531" s="135">
        <v>2850.0</v>
      </c>
      <c r="N1531" s="135">
        <v>120.0</v>
      </c>
      <c r="O1531" s="135">
        <v>0.946</v>
      </c>
      <c r="P1531" s="136">
        <v>0.0</v>
      </c>
      <c r="Q1531" s="137">
        <v>2.3649999999999998</v>
      </c>
      <c r="R1531" s="136">
        <v>46127.0</v>
      </c>
      <c r="S1531" s="135" t="s">
        <v>3790</v>
      </c>
      <c r="T1531" s="136"/>
      <c r="U1531" s="135" t="s">
        <v>2864</v>
      </c>
      <c r="V1531" s="135" t="s">
        <v>2878</v>
      </c>
      <c r="W1531" s="135" t="s">
        <v>3016</v>
      </c>
      <c r="X1531" s="135"/>
      <c r="Y1531" s="135"/>
      <c r="Z1531" s="135" t="s">
        <v>2858</v>
      </c>
      <c r="AA1531" s="135"/>
      <c r="AB1531" s="135"/>
      <c r="AC1531" s="135"/>
      <c r="AD1531" s="135">
        <v>46132.0</v>
      </c>
      <c r="AE1531" s="135"/>
      <c r="AF1531" s="135"/>
      <c r="AG1531" s="135"/>
    </row>
    <row r="1532" ht="21.75" hidden="1" customHeight="1">
      <c r="A1532" s="135">
        <v>1528.0</v>
      </c>
      <c r="B1532" s="135">
        <v>25045.0</v>
      </c>
      <c r="C1532" s="135" t="s">
        <v>2817</v>
      </c>
      <c r="D1532" s="135">
        <v>26.0</v>
      </c>
      <c r="E1532" s="135" t="s">
        <v>3833</v>
      </c>
      <c r="F1532" s="135" t="s">
        <v>322</v>
      </c>
      <c r="G1532" s="135" t="s">
        <v>140</v>
      </c>
      <c r="H1532" s="135" t="s">
        <v>2853</v>
      </c>
      <c r="I1532" s="135" t="s">
        <v>145</v>
      </c>
      <c r="J1532" s="135">
        <v>1.0</v>
      </c>
      <c r="K1532" s="135"/>
      <c r="L1532" s="135">
        <v>4090.0</v>
      </c>
      <c r="M1532" s="135">
        <v>2850.0</v>
      </c>
      <c r="N1532" s="135">
        <v>120.0</v>
      </c>
      <c r="O1532" s="135">
        <v>1.56</v>
      </c>
      <c r="P1532" s="136">
        <v>0.0</v>
      </c>
      <c r="Q1532" s="137">
        <v>3.9000000000000004</v>
      </c>
      <c r="R1532" s="136">
        <v>46127.0</v>
      </c>
      <c r="S1532" s="135" t="s">
        <v>3790</v>
      </c>
      <c r="T1532" s="136"/>
      <c r="U1532" s="135" t="s">
        <v>2864</v>
      </c>
      <c r="V1532" s="135" t="s">
        <v>2865</v>
      </c>
      <c r="W1532" s="135" t="s">
        <v>2971</v>
      </c>
      <c r="X1532" s="135" t="s">
        <v>2872</v>
      </c>
      <c r="Y1532" s="135"/>
      <c r="Z1532" s="135" t="s">
        <v>2858</v>
      </c>
      <c r="AA1532" s="135"/>
      <c r="AB1532" s="135"/>
      <c r="AC1532" s="135"/>
      <c r="AD1532" s="135" t="e">
        <v>#N/A</v>
      </c>
      <c r="AE1532" s="135"/>
      <c r="AF1532" s="135"/>
      <c r="AG1532" s="135"/>
    </row>
    <row r="1533" ht="21.75" hidden="1" customHeight="1">
      <c r="A1533" s="135">
        <v>1529.0</v>
      </c>
      <c r="B1533" s="135">
        <v>25045.0</v>
      </c>
      <c r="C1533" s="135" t="s">
        <v>2817</v>
      </c>
      <c r="D1533" s="135">
        <v>26.0</v>
      </c>
      <c r="E1533" s="135" t="s">
        <v>3833</v>
      </c>
      <c r="F1533" s="135" t="s">
        <v>323</v>
      </c>
      <c r="G1533" s="135" t="s">
        <v>140</v>
      </c>
      <c r="H1533" s="135" t="s">
        <v>2853</v>
      </c>
      <c r="I1533" s="135" t="s">
        <v>145</v>
      </c>
      <c r="J1533" s="135">
        <v>1.0</v>
      </c>
      <c r="K1533" s="135"/>
      <c r="L1533" s="135">
        <v>4347.0</v>
      </c>
      <c r="M1533" s="135">
        <v>3160.0</v>
      </c>
      <c r="N1533" s="135">
        <v>120.0</v>
      </c>
      <c r="O1533" s="135">
        <v>1.638</v>
      </c>
      <c r="P1533" s="136">
        <v>0.0</v>
      </c>
      <c r="Q1533" s="137">
        <v>4.095</v>
      </c>
      <c r="R1533" s="136">
        <v>46127.0</v>
      </c>
      <c r="S1533" s="135" t="s">
        <v>3790</v>
      </c>
      <c r="T1533" s="136"/>
      <c r="U1533" s="135" t="s">
        <v>2864</v>
      </c>
      <c r="V1533" s="135" t="s">
        <v>2865</v>
      </c>
      <c r="W1533" s="135" t="s">
        <v>3836</v>
      </c>
      <c r="X1533" s="135" t="s">
        <v>3837</v>
      </c>
      <c r="Y1533" s="135"/>
      <c r="Z1533" s="135" t="s">
        <v>2858</v>
      </c>
      <c r="AA1533" s="135"/>
      <c r="AB1533" s="135"/>
      <c r="AC1533" s="135"/>
      <c r="AD1533" s="135" t="e">
        <v>#N/A</v>
      </c>
      <c r="AE1533" s="135"/>
      <c r="AF1533" s="135"/>
      <c r="AG1533" s="135"/>
    </row>
    <row r="1534" ht="21.75" hidden="1" customHeight="1">
      <c r="A1534" s="135">
        <v>1530.0</v>
      </c>
      <c r="B1534" s="135">
        <v>25045.0</v>
      </c>
      <c r="C1534" s="135"/>
      <c r="D1534" s="135">
        <v>26.0</v>
      </c>
      <c r="E1534" s="135" t="s">
        <v>3833</v>
      </c>
      <c r="F1534" s="135" t="s">
        <v>324</v>
      </c>
      <c r="G1534" s="135" t="s">
        <v>140</v>
      </c>
      <c r="H1534" s="135" t="s">
        <v>2853</v>
      </c>
      <c r="I1534" s="135" t="s">
        <v>145</v>
      </c>
      <c r="J1534" s="135">
        <v>1.0</v>
      </c>
      <c r="K1534" s="135"/>
      <c r="L1534" s="135">
        <v>5015.0</v>
      </c>
      <c r="M1534" s="135">
        <v>3150.0</v>
      </c>
      <c r="N1534" s="135">
        <v>120.0</v>
      </c>
      <c r="O1534" s="135">
        <v>2.154</v>
      </c>
      <c r="P1534" s="136">
        <v>0.0</v>
      </c>
      <c r="Q1534" s="137">
        <v>5.385</v>
      </c>
      <c r="R1534" s="136">
        <v>46127.0</v>
      </c>
      <c r="S1534" s="135" t="s">
        <v>3790</v>
      </c>
      <c r="T1534" s="136"/>
      <c r="U1534" s="135" t="s">
        <v>2855</v>
      </c>
      <c r="V1534" s="135" t="s">
        <v>2876</v>
      </c>
      <c r="W1534" s="135" t="s">
        <v>3058</v>
      </c>
      <c r="X1534" s="135"/>
      <c r="Y1534" s="135"/>
      <c r="Z1534" s="135" t="s">
        <v>2858</v>
      </c>
      <c r="AA1534" s="135"/>
      <c r="AB1534" s="135"/>
      <c r="AC1534" s="135"/>
      <c r="AD1534" s="135">
        <v>46140.0</v>
      </c>
      <c r="AE1534" s="135"/>
      <c r="AF1534" s="135"/>
      <c r="AG1534" s="135"/>
    </row>
    <row r="1535" ht="21.75" hidden="1" customHeight="1">
      <c r="A1535" s="135">
        <v>1531.0</v>
      </c>
      <c r="B1535" s="135">
        <v>25045.0</v>
      </c>
      <c r="C1535" s="135"/>
      <c r="D1535" s="135">
        <v>26.0</v>
      </c>
      <c r="E1535" s="135" t="s">
        <v>3833</v>
      </c>
      <c r="F1535" s="135" t="s">
        <v>325</v>
      </c>
      <c r="G1535" s="135" t="s">
        <v>140</v>
      </c>
      <c r="H1535" s="135" t="s">
        <v>2853</v>
      </c>
      <c r="I1535" s="135" t="s">
        <v>145</v>
      </c>
      <c r="J1535" s="135">
        <v>1.0</v>
      </c>
      <c r="K1535" s="135" t="s">
        <v>3134</v>
      </c>
      <c r="L1535" s="135">
        <v>4337.0</v>
      </c>
      <c r="M1535" s="135">
        <v>3150.0</v>
      </c>
      <c r="N1535" s="135">
        <v>120.0</v>
      </c>
      <c r="O1535" s="135">
        <v>1.965</v>
      </c>
      <c r="P1535" s="136">
        <v>0.0</v>
      </c>
      <c r="Q1535" s="137">
        <v>4.9125000000000005</v>
      </c>
      <c r="R1535" s="136">
        <v>46127.0</v>
      </c>
      <c r="S1535" s="135" t="s">
        <v>3790</v>
      </c>
      <c r="T1535" s="136"/>
      <c r="U1535" s="135" t="s">
        <v>2855</v>
      </c>
      <c r="V1535" s="135" t="s">
        <v>2876</v>
      </c>
      <c r="W1535" s="135" t="s">
        <v>3838</v>
      </c>
      <c r="X1535" s="135"/>
      <c r="Y1535" s="135"/>
      <c r="Z1535" s="135" t="s">
        <v>2858</v>
      </c>
      <c r="AA1535" s="135"/>
      <c r="AB1535" s="135"/>
      <c r="AC1535" s="135"/>
      <c r="AD1535" s="135">
        <v>46141.0</v>
      </c>
      <c r="AE1535" s="135"/>
      <c r="AF1535" s="135"/>
      <c r="AG1535" s="135"/>
    </row>
    <row r="1536" ht="21.75" hidden="1" customHeight="1">
      <c r="A1536" s="135">
        <v>1532.0</v>
      </c>
      <c r="B1536" s="135">
        <v>25045.0</v>
      </c>
      <c r="C1536" s="135"/>
      <c r="D1536" s="135">
        <v>26.0</v>
      </c>
      <c r="E1536" s="135" t="s">
        <v>3833</v>
      </c>
      <c r="F1536" s="135" t="s">
        <v>326</v>
      </c>
      <c r="G1536" s="135" t="s">
        <v>140</v>
      </c>
      <c r="H1536" s="135" t="s">
        <v>2853</v>
      </c>
      <c r="I1536" s="135" t="s">
        <v>145</v>
      </c>
      <c r="J1536" s="135">
        <v>1.0</v>
      </c>
      <c r="K1536" s="135" t="s">
        <v>3134</v>
      </c>
      <c r="L1536" s="135">
        <v>4337.0</v>
      </c>
      <c r="M1536" s="135">
        <v>3150.0</v>
      </c>
      <c r="N1536" s="135">
        <v>120.0</v>
      </c>
      <c r="O1536" s="135">
        <v>1.965</v>
      </c>
      <c r="P1536" s="136">
        <v>0.0</v>
      </c>
      <c r="Q1536" s="137">
        <v>4.9125000000000005</v>
      </c>
      <c r="R1536" s="136">
        <v>46127.0</v>
      </c>
      <c r="S1536" s="135" t="s">
        <v>3790</v>
      </c>
      <c r="T1536" s="136"/>
      <c r="U1536" s="135" t="s">
        <v>2855</v>
      </c>
      <c r="V1536" s="135" t="s">
        <v>2876</v>
      </c>
      <c r="W1536" s="135" t="s">
        <v>3838</v>
      </c>
      <c r="X1536" s="135"/>
      <c r="Y1536" s="135"/>
      <c r="Z1536" s="135" t="s">
        <v>2858</v>
      </c>
      <c r="AA1536" s="135"/>
      <c r="AB1536" s="135"/>
      <c r="AC1536" s="135"/>
      <c r="AD1536" s="135">
        <v>46142.0</v>
      </c>
      <c r="AE1536" s="135"/>
      <c r="AF1536" s="135"/>
      <c r="AG1536" s="135"/>
    </row>
    <row r="1537" ht="21.75" hidden="1" customHeight="1">
      <c r="A1537" s="135">
        <v>1533.0</v>
      </c>
      <c r="B1537" s="135">
        <v>25045.0</v>
      </c>
      <c r="C1537" s="135"/>
      <c r="D1537" s="135">
        <v>26.0</v>
      </c>
      <c r="E1537" s="135" t="s">
        <v>3833</v>
      </c>
      <c r="F1537" s="135" t="s">
        <v>327</v>
      </c>
      <c r="G1537" s="135" t="s">
        <v>140</v>
      </c>
      <c r="H1537" s="135" t="s">
        <v>2853</v>
      </c>
      <c r="I1537" s="135" t="s">
        <v>145</v>
      </c>
      <c r="J1537" s="135">
        <v>1.0</v>
      </c>
      <c r="K1537" s="135" t="s">
        <v>3134</v>
      </c>
      <c r="L1537" s="135">
        <v>4337.0</v>
      </c>
      <c r="M1537" s="135">
        <v>3150.0</v>
      </c>
      <c r="N1537" s="135">
        <v>120.0</v>
      </c>
      <c r="O1537" s="135">
        <v>1.965</v>
      </c>
      <c r="P1537" s="136">
        <v>0.0</v>
      </c>
      <c r="Q1537" s="137">
        <v>4.9125000000000005</v>
      </c>
      <c r="R1537" s="136">
        <v>46127.0</v>
      </c>
      <c r="S1537" s="135" t="s">
        <v>3790</v>
      </c>
      <c r="T1537" s="136"/>
      <c r="U1537" s="135" t="s">
        <v>2855</v>
      </c>
      <c r="V1537" s="135" t="s">
        <v>2876</v>
      </c>
      <c r="W1537" s="135" t="s">
        <v>3838</v>
      </c>
      <c r="X1537" s="135"/>
      <c r="Y1537" s="135"/>
      <c r="Z1537" s="135" t="s">
        <v>2858</v>
      </c>
      <c r="AA1537" s="135"/>
      <c r="AB1537" s="135"/>
      <c r="AC1537" s="135"/>
      <c r="AD1537" s="135">
        <v>46143.0</v>
      </c>
      <c r="AE1537" s="135"/>
      <c r="AF1537" s="135"/>
      <c r="AG1537" s="135"/>
    </row>
    <row r="1538" ht="21.75" hidden="1" customHeight="1">
      <c r="A1538" s="135">
        <v>1534.0</v>
      </c>
      <c r="B1538" s="135">
        <v>25045.0</v>
      </c>
      <c r="C1538" s="135"/>
      <c r="D1538" s="135">
        <v>26.0</v>
      </c>
      <c r="E1538" s="135" t="s">
        <v>3833</v>
      </c>
      <c r="F1538" s="135" t="s">
        <v>328</v>
      </c>
      <c r="G1538" s="135" t="s">
        <v>140</v>
      </c>
      <c r="H1538" s="135" t="s">
        <v>2853</v>
      </c>
      <c r="I1538" s="135" t="s">
        <v>145</v>
      </c>
      <c r="J1538" s="135">
        <v>1.0</v>
      </c>
      <c r="K1538" s="135"/>
      <c r="L1538" s="135">
        <v>4337.0</v>
      </c>
      <c r="M1538" s="135">
        <v>3150.0</v>
      </c>
      <c r="N1538" s="135">
        <v>120.0</v>
      </c>
      <c r="O1538" s="135">
        <v>1.627</v>
      </c>
      <c r="P1538" s="136">
        <v>0.0</v>
      </c>
      <c r="Q1538" s="137">
        <v>4.0675</v>
      </c>
      <c r="R1538" s="136">
        <v>46127.0</v>
      </c>
      <c r="S1538" s="135" t="s">
        <v>3790</v>
      </c>
      <c r="T1538" s="136"/>
      <c r="U1538" s="135" t="s">
        <v>2864</v>
      </c>
      <c r="V1538" s="135" t="s">
        <v>2985</v>
      </c>
      <c r="W1538" s="135" t="s">
        <v>3839</v>
      </c>
      <c r="X1538" s="135" t="s">
        <v>3141</v>
      </c>
      <c r="Y1538" s="135"/>
      <c r="Z1538" s="135" t="s">
        <v>2858</v>
      </c>
      <c r="AA1538" s="135"/>
      <c r="AB1538" s="135"/>
      <c r="AC1538" s="135"/>
      <c r="AD1538" s="135">
        <v>0.0</v>
      </c>
      <c r="AE1538" s="135"/>
      <c r="AF1538" s="135"/>
      <c r="AG1538" s="135"/>
    </row>
    <row r="1539" ht="21.75" hidden="1" customHeight="1">
      <c r="A1539" s="135">
        <v>1535.0</v>
      </c>
      <c r="B1539" s="135">
        <v>25045.0</v>
      </c>
      <c r="C1539" s="135"/>
      <c r="D1539" s="135">
        <v>26.0</v>
      </c>
      <c r="E1539" s="135" t="s">
        <v>3833</v>
      </c>
      <c r="F1539" s="135" t="s">
        <v>329</v>
      </c>
      <c r="G1539" s="135" t="s">
        <v>140</v>
      </c>
      <c r="H1539" s="135" t="s">
        <v>2853</v>
      </c>
      <c r="I1539" s="135" t="s">
        <v>145</v>
      </c>
      <c r="J1539" s="135">
        <v>1.0</v>
      </c>
      <c r="K1539" s="135"/>
      <c r="L1539" s="135">
        <v>4113.0</v>
      </c>
      <c r="M1539" s="135">
        <v>3100.0</v>
      </c>
      <c r="N1539" s="135">
        <v>120.0</v>
      </c>
      <c r="O1539" s="135">
        <v>1.876</v>
      </c>
      <c r="P1539" s="136">
        <v>0.0</v>
      </c>
      <c r="Q1539" s="137">
        <v>4.6899999999999995</v>
      </c>
      <c r="R1539" s="136">
        <v>46127.0</v>
      </c>
      <c r="S1539" s="135" t="s">
        <v>3790</v>
      </c>
      <c r="T1539" s="136"/>
      <c r="U1539" s="135" t="s">
        <v>2855</v>
      </c>
      <c r="V1539" s="135" t="s">
        <v>2876</v>
      </c>
      <c r="W1539" s="135" t="s">
        <v>3840</v>
      </c>
      <c r="X1539" s="135"/>
      <c r="Y1539" s="135"/>
      <c r="Z1539" s="135" t="s">
        <v>2858</v>
      </c>
      <c r="AA1539" s="135"/>
      <c r="AB1539" s="135"/>
      <c r="AC1539" s="135"/>
      <c r="AD1539" s="135">
        <v>46142.0</v>
      </c>
      <c r="AE1539" s="135"/>
      <c r="AF1539" s="135"/>
      <c r="AG1539" s="135"/>
    </row>
    <row r="1540" ht="21.75" hidden="1" customHeight="1">
      <c r="A1540" s="135">
        <v>1536.0</v>
      </c>
      <c r="B1540" s="135">
        <v>25045.0</v>
      </c>
      <c r="C1540" s="135"/>
      <c r="D1540" s="135">
        <v>26.0</v>
      </c>
      <c r="E1540" s="135" t="s">
        <v>3833</v>
      </c>
      <c r="F1540" s="135" t="s">
        <v>330</v>
      </c>
      <c r="G1540" s="135" t="s">
        <v>140</v>
      </c>
      <c r="H1540" s="135" t="s">
        <v>2853</v>
      </c>
      <c r="I1540" s="135" t="s">
        <v>145</v>
      </c>
      <c r="J1540" s="135">
        <v>1.0</v>
      </c>
      <c r="K1540" s="135" t="s">
        <v>3134</v>
      </c>
      <c r="L1540" s="135">
        <v>4320.0</v>
      </c>
      <c r="M1540" s="135">
        <v>3100.0</v>
      </c>
      <c r="N1540" s="135">
        <v>120.0</v>
      </c>
      <c r="O1540" s="135">
        <v>1.934</v>
      </c>
      <c r="P1540" s="136">
        <v>0.0</v>
      </c>
      <c r="Q1540" s="137">
        <v>4.835</v>
      </c>
      <c r="R1540" s="136">
        <v>46127.0</v>
      </c>
      <c r="S1540" s="135" t="s">
        <v>3790</v>
      </c>
      <c r="T1540" s="136"/>
      <c r="U1540" s="135" t="s">
        <v>2855</v>
      </c>
      <c r="V1540" s="135" t="s">
        <v>2876</v>
      </c>
      <c r="W1540" s="135" t="s">
        <v>3841</v>
      </c>
      <c r="X1540" s="135"/>
      <c r="Y1540" s="135"/>
      <c r="Z1540" s="135" t="s">
        <v>2858</v>
      </c>
      <c r="AA1540" s="135"/>
      <c r="AB1540" s="135"/>
      <c r="AC1540" s="135"/>
      <c r="AD1540" s="135">
        <v>46144.0</v>
      </c>
      <c r="AE1540" s="135"/>
      <c r="AF1540" s="135"/>
      <c r="AG1540" s="135"/>
    </row>
    <row r="1541" ht="21.75" hidden="1" customHeight="1">
      <c r="A1541" s="135">
        <v>1537.0</v>
      </c>
      <c r="B1541" s="135">
        <v>25045.0</v>
      </c>
      <c r="C1541" s="135"/>
      <c r="D1541" s="135">
        <v>26.0</v>
      </c>
      <c r="E1541" s="135" t="s">
        <v>3833</v>
      </c>
      <c r="F1541" s="135" t="s">
        <v>331</v>
      </c>
      <c r="G1541" s="135" t="s">
        <v>140</v>
      </c>
      <c r="H1541" s="135" t="s">
        <v>2853</v>
      </c>
      <c r="I1541" s="135" t="s">
        <v>145</v>
      </c>
      <c r="J1541" s="135">
        <v>1.0</v>
      </c>
      <c r="K1541" s="135" t="s">
        <v>3134</v>
      </c>
      <c r="L1541" s="135">
        <v>4320.0</v>
      </c>
      <c r="M1541" s="135">
        <v>3100.0</v>
      </c>
      <c r="N1541" s="135">
        <v>120.0</v>
      </c>
      <c r="O1541" s="135">
        <v>1.934</v>
      </c>
      <c r="P1541" s="136">
        <v>0.0</v>
      </c>
      <c r="Q1541" s="137">
        <v>4.835</v>
      </c>
      <c r="R1541" s="136">
        <v>46127.0</v>
      </c>
      <c r="S1541" s="135" t="s">
        <v>3790</v>
      </c>
      <c r="T1541" s="136"/>
      <c r="U1541" s="135" t="s">
        <v>2855</v>
      </c>
      <c r="V1541" s="135" t="s">
        <v>2876</v>
      </c>
      <c r="W1541" s="135" t="s">
        <v>3841</v>
      </c>
      <c r="X1541" s="135"/>
      <c r="Y1541" s="135"/>
      <c r="Z1541" s="135" t="s">
        <v>2858</v>
      </c>
      <c r="AA1541" s="135"/>
      <c r="AB1541" s="135"/>
      <c r="AC1541" s="135"/>
      <c r="AD1541" s="135">
        <v>46146.0</v>
      </c>
      <c r="AE1541" s="135"/>
      <c r="AF1541" s="135"/>
      <c r="AG1541" s="135"/>
    </row>
    <row r="1542" ht="21.75" hidden="1" customHeight="1">
      <c r="A1542" s="135">
        <v>1538.0</v>
      </c>
      <c r="B1542" s="135">
        <v>25045.0</v>
      </c>
      <c r="C1542" s="135"/>
      <c r="D1542" s="135">
        <v>26.0</v>
      </c>
      <c r="E1542" s="135" t="s">
        <v>3833</v>
      </c>
      <c r="F1542" s="135" t="s">
        <v>332</v>
      </c>
      <c r="G1542" s="135" t="s">
        <v>140</v>
      </c>
      <c r="H1542" s="135" t="s">
        <v>2853</v>
      </c>
      <c r="I1542" s="135" t="s">
        <v>145</v>
      </c>
      <c r="J1542" s="135">
        <v>1.0</v>
      </c>
      <c r="K1542" s="135" t="s">
        <v>3134</v>
      </c>
      <c r="L1542" s="135">
        <v>4320.0</v>
      </c>
      <c r="M1542" s="135">
        <v>3100.0</v>
      </c>
      <c r="N1542" s="135">
        <v>120.0</v>
      </c>
      <c r="O1542" s="135">
        <v>1.934</v>
      </c>
      <c r="P1542" s="136">
        <v>0.0</v>
      </c>
      <c r="Q1542" s="137">
        <v>4.835</v>
      </c>
      <c r="R1542" s="136">
        <v>46127.0</v>
      </c>
      <c r="S1542" s="135" t="s">
        <v>3790</v>
      </c>
      <c r="T1542" s="136"/>
      <c r="U1542" s="135" t="s">
        <v>2855</v>
      </c>
      <c r="V1542" s="135" t="s">
        <v>2876</v>
      </c>
      <c r="W1542" s="135" t="s">
        <v>3841</v>
      </c>
      <c r="X1542" s="135"/>
      <c r="Y1542" s="135"/>
      <c r="Z1542" s="135" t="s">
        <v>2858</v>
      </c>
      <c r="AA1542" s="135"/>
      <c r="AB1542" s="135"/>
      <c r="AC1542" s="135"/>
      <c r="AD1542" s="135">
        <v>46147.0</v>
      </c>
      <c r="AE1542" s="135"/>
      <c r="AF1542" s="135"/>
      <c r="AG1542" s="135"/>
    </row>
    <row r="1543" ht="21.75" hidden="1" customHeight="1">
      <c r="A1543" s="135">
        <v>1539.0</v>
      </c>
      <c r="B1543" s="135">
        <v>25045.0</v>
      </c>
      <c r="C1543" s="135"/>
      <c r="D1543" s="135">
        <v>26.0</v>
      </c>
      <c r="E1543" s="135" t="s">
        <v>3833</v>
      </c>
      <c r="F1543" s="135" t="s">
        <v>333</v>
      </c>
      <c r="G1543" s="135" t="s">
        <v>140</v>
      </c>
      <c r="H1543" s="135" t="s">
        <v>2853</v>
      </c>
      <c r="I1543" s="135" t="s">
        <v>145</v>
      </c>
      <c r="J1543" s="135">
        <v>1.0</v>
      </c>
      <c r="K1543" s="135"/>
      <c r="L1543" s="135">
        <v>4320.0</v>
      </c>
      <c r="M1543" s="135">
        <v>3100.0</v>
      </c>
      <c r="N1543" s="135">
        <v>120.0</v>
      </c>
      <c r="O1543" s="135">
        <v>1.597</v>
      </c>
      <c r="P1543" s="136">
        <v>0.0</v>
      </c>
      <c r="Q1543" s="137">
        <v>3.9924999999999997</v>
      </c>
      <c r="R1543" s="136">
        <v>46127.0</v>
      </c>
      <c r="S1543" s="135" t="s">
        <v>3790</v>
      </c>
      <c r="T1543" s="136"/>
      <c r="U1543" s="135" t="s">
        <v>2864</v>
      </c>
      <c r="V1543" s="135" t="s">
        <v>2985</v>
      </c>
      <c r="W1543" s="135" t="s">
        <v>3842</v>
      </c>
      <c r="X1543" s="135" t="s">
        <v>3802</v>
      </c>
      <c r="Y1543" s="135"/>
      <c r="Z1543" s="135" t="s">
        <v>2858</v>
      </c>
      <c r="AA1543" s="135"/>
      <c r="AB1543" s="135"/>
      <c r="AC1543" s="135"/>
      <c r="AD1543" s="135">
        <v>46146.0</v>
      </c>
      <c r="AE1543" s="135"/>
      <c r="AF1543" s="135"/>
      <c r="AG1543" s="135"/>
    </row>
    <row r="1544" ht="21.75" hidden="1" customHeight="1">
      <c r="A1544" s="135">
        <v>1540.0</v>
      </c>
      <c r="B1544" s="135">
        <v>25045.0</v>
      </c>
      <c r="C1544" s="135"/>
      <c r="D1544" s="135">
        <v>26.0</v>
      </c>
      <c r="E1544" s="135" t="s">
        <v>3833</v>
      </c>
      <c r="F1544" s="135" t="s">
        <v>334</v>
      </c>
      <c r="G1544" s="135" t="s">
        <v>140</v>
      </c>
      <c r="H1544" s="135" t="s">
        <v>2853</v>
      </c>
      <c r="I1544" s="135" t="s">
        <v>145</v>
      </c>
      <c r="J1544" s="135">
        <v>1.0</v>
      </c>
      <c r="K1544" s="135"/>
      <c r="L1544" s="135">
        <v>3650.0</v>
      </c>
      <c r="M1544" s="135">
        <v>1000.0</v>
      </c>
      <c r="N1544" s="135">
        <v>120.0</v>
      </c>
      <c r="O1544" s="135">
        <v>0.647</v>
      </c>
      <c r="P1544" s="136">
        <v>0.0</v>
      </c>
      <c r="Q1544" s="137">
        <v>1.6175000000000002</v>
      </c>
      <c r="R1544" s="136">
        <v>46127.0</v>
      </c>
      <c r="S1544" s="135" t="s">
        <v>3790</v>
      </c>
      <c r="T1544" s="136"/>
      <c r="U1544" s="135" t="s">
        <v>2864</v>
      </c>
      <c r="V1544" s="135" t="s">
        <v>3007</v>
      </c>
      <c r="W1544" s="135" t="s">
        <v>3843</v>
      </c>
      <c r="X1544" s="135"/>
      <c r="Y1544" s="135"/>
      <c r="Z1544" s="135" t="s">
        <v>2858</v>
      </c>
      <c r="AA1544" s="135"/>
      <c r="AB1544" s="135"/>
      <c r="AC1544" s="135"/>
      <c r="AD1544" s="135">
        <v>0.0</v>
      </c>
      <c r="AE1544" s="135"/>
      <c r="AF1544" s="135"/>
      <c r="AG1544" s="135"/>
    </row>
    <row r="1545" ht="21.75" hidden="1" customHeight="1">
      <c r="A1545" s="135">
        <v>1541.0</v>
      </c>
      <c r="B1545" s="135">
        <v>25045.0</v>
      </c>
      <c r="C1545" s="135"/>
      <c r="D1545" s="135">
        <v>26.0</v>
      </c>
      <c r="E1545" s="135" t="s">
        <v>3833</v>
      </c>
      <c r="F1545" s="135" t="s">
        <v>335</v>
      </c>
      <c r="G1545" s="135" t="s">
        <v>140</v>
      </c>
      <c r="H1545" s="135" t="s">
        <v>2853</v>
      </c>
      <c r="I1545" s="135" t="s">
        <v>145</v>
      </c>
      <c r="J1545" s="135">
        <v>1.0</v>
      </c>
      <c r="K1545" s="135"/>
      <c r="L1545" s="135">
        <v>2260.0</v>
      </c>
      <c r="M1545" s="135">
        <v>3170.0</v>
      </c>
      <c r="N1545" s="135">
        <v>120.0</v>
      </c>
      <c r="O1545" s="135">
        <v>0.596</v>
      </c>
      <c r="P1545" s="136">
        <v>0.0</v>
      </c>
      <c r="Q1545" s="137">
        <v>1.49</v>
      </c>
      <c r="R1545" s="136">
        <v>46127.0</v>
      </c>
      <c r="S1545" s="135" t="s">
        <v>3790</v>
      </c>
      <c r="T1545" s="136"/>
      <c r="U1545" s="135" t="s">
        <v>2864</v>
      </c>
      <c r="V1545" s="135" t="s">
        <v>2856</v>
      </c>
      <c r="W1545" s="135" t="s">
        <v>3844</v>
      </c>
      <c r="X1545" s="135" t="s">
        <v>3802</v>
      </c>
      <c r="Y1545" s="135"/>
      <c r="Z1545" s="135" t="s">
        <v>2858</v>
      </c>
      <c r="AA1545" s="135"/>
      <c r="AB1545" s="135"/>
      <c r="AC1545" s="135"/>
      <c r="AD1545" s="135">
        <v>46143.0</v>
      </c>
      <c r="AE1545" s="135"/>
      <c r="AF1545" s="135"/>
      <c r="AG1545" s="135"/>
    </row>
    <row r="1546" ht="21.75" hidden="1" customHeight="1">
      <c r="A1546" s="135">
        <v>1542.0</v>
      </c>
      <c r="B1546" s="135">
        <v>25045.0</v>
      </c>
      <c r="C1546" s="135"/>
      <c r="D1546" s="135">
        <v>26.0</v>
      </c>
      <c r="E1546" s="135" t="s">
        <v>3833</v>
      </c>
      <c r="F1546" s="135" t="s">
        <v>336</v>
      </c>
      <c r="G1546" s="135" t="s">
        <v>140</v>
      </c>
      <c r="H1546" s="135" t="s">
        <v>2965</v>
      </c>
      <c r="I1546" s="135" t="s">
        <v>145</v>
      </c>
      <c r="J1546" s="135">
        <v>1.0</v>
      </c>
      <c r="K1546" s="135"/>
      <c r="L1546" s="135">
        <v>400.0</v>
      </c>
      <c r="M1546" s="135">
        <v>2870.0</v>
      </c>
      <c r="N1546" s="135">
        <v>350.0</v>
      </c>
      <c r="O1546" s="135">
        <v>0.465</v>
      </c>
      <c r="P1546" s="136">
        <v>0.0</v>
      </c>
      <c r="Q1546" s="137">
        <v>1.1625</v>
      </c>
      <c r="R1546" s="136">
        <v>46127.0</v>
      </c>
      <c r="S1546" s="135" t="s">
        <v>3790</v>
      </c>
      <c r="T1546" s="136"/>
      <c r="U1546" s="135" t="s">
        <v>2966</v>
      </c>
      <c r="V1546" s="135" t="s">
        <v>2967</v>
      </c>
      <c r="W1546" s="135"/>
      <c r="X1546" s="135" t="s">
        <v>2969</v>
      </c>
      <c r="Y1546" s="135"/>
      <c r="Z1546" s="135" t="s">
        <v>2858</v>
      </c>
      <c r="AA1546" s="135"/>
      <c r="AB1546" s="135"/>
      <c r="AC1546" s="135"/>
      <c r="AD1546" s="135">
        <v>46153.0</v>
      </c>
      <c r="AE1546" s="135"/>
      <c r="AF1546" s="135"/>
      <c r="AG1546" s="135"/>
    </row>
    <row r="1547" ht="21.75" hidden="1" customHeight="1">
      <c r="A1547" s="135">
        <v>1543.0</v>
      </c>
      <c r="B1547" s="135">
        <v>25045.0</v>
      </c>
      <c r="C1547" s="135" t="s">
        <v>2817</v>
      </c>
      <c r="D1547" s="135">
        <v>26.0</v>
      </c>
      <c r="E1547" s="135" t="s">
        <v>3845</v>
      </c>
      <c r="F1547" s="135" t="s">
        <v>337</v>
      </c>
      <c r="G1547" s="135" t="s">
        <v>140</v>
      </c>
      <c r="H1547" s="135" t="s">
        <v>2853</v>
      </c>
      <c r="I1547" s="135" t="s">
        <v>146</v>
      </c>
      <c r="J1547" s="135">
        <v>1.0</v>
      </c>
      <c r="K1547" s="135"/>
      <c r="L1547" s="135">
        <v>3420.0</v>
      </c>
      <c r="M1547" s="135">
        <v>2850.0</v>
      </c>
      <c r="N1547" s="135">
        <v>120.0</v>
      </c>
      <c r="O1547" s="135">
        <v>1.197</v>
      </c>
      <c r="P1547" s="136">
        <v>0.0</v>
      </c>
      <c r="Q1547" s="137">
        <v>2.9925</v>
      </c>
      <c r="R1547" s="136">
        <v>46127.0</v>
      </c>
      <c r="S1547" s="135" t="s">
        <v>3790</v>
      </c>
      <c r="T1547" s="136"/>
      <c r="U1547" s="135" t="s">
        <v>2864</v>
      </c>
      <c r="V1547" s="135" t="s">
        <v>2878</v>
      </c>
      <c r="W1547" s="135" t="s">
        <v>3846</v>
      </c>
      <c r="X1547" s="135" t="s">
        <v>3802</v>
      </c>
      <c r="Y1547" s="135"/>
      <c r="Z1547" s="135" t="s">
        <v>2858</v>
      </c>
      <c r="AA1547" s="135"/>
      <c r="AB1547" s="135"/>
      <c r="AC1547" s="135"/>
      <c r="AD1547" s="135">
        <v>0.0</v>
      </c>
      <c r="AE1547" s="135"/>
      <c r="AF1547" s="135"/>
      <c r="AG1547" s="135"/>
    </row>
    <row r="1548" ht="21.75" hidden="1" customHeight="1">
      <c r="A1548" s="135">
        <v>1544.0</v>
      </c>
      <c r="B1548" s="135">
        <v>25045.0</v>
      </c>
      <c r="C1548" s="135" t="s">
        <v>2817</v>
      </c>
      <c r="D1548" s="135">
        <v>26.0</v>
      </c>
      <c r="E1548" s="135" t="s">
        <v>3845</v>
      </c>
      <c r="F1548" s="135" t="s">
        <v>338</v>
      </c>
      <c r="G1548" s="135" t="s">
        <v>140</v>
      </c>
      <c r="H1548" s="135" t="s">
        <v>2853</v>
      </c>
      <c r="I1548" s="135" t="s">
        <v>146</v>
      </c>
      <c r="J1548" s="135">
        <v>1.0</v>
      </c>
      <c r="K1548" s="135"/>
      <c r="L1548" s="135">
        <v>2889.0</v>
      </c>
      <c r="M1548" s="135">
        <v>3180.0</v>
      </c>
      <c r="N1548" s="135">
        <v>120.0</v>
      </c>
      <c r="O1548" s="135">
        <v>1.71</v>
      </c>
      <c r="P1548" s="136">
        <v>0.0</v>
      </c>
      <c r="Q1548" s="137">
        <v>4.275</v>
      </c>
      <c r="R1548" s="136">
        <v>46127.0</v>
      </c>
      <c r="S1548" s="135" t="s">
        <v>3790</v>
      </c>
      <c r="T1548" s="136"/>
      <c r="U1548" s="135" t="s">
        <v>2864</v>
      </c>
      <c r="V1548" s="135" t="s">
        <v>2878</v>
      </c>
      <c r="W1548" s="135" t="s">
        <v>3847</v>
      </c>
      <c r="X1548" s="135" t="s">
        <v>3141</v>
      </c>
      <c r="Y1548" s="135"/>
      <c r="Z1548" s="135" t="s">
        <v>2858</v>
      </c>
      <c r="AA1548" s="135"/>
      <c r="AB1548" s="135"/>
      <c r="AC1548" s="135"/>
      <c r="AD1548" s="135">
        <v>0.0</v>
      </c>
      <c r="AE1548" s="135"/>
      <c r="AF1548" s="135"/>
      <c r="AG1548" s="135"/>
    </row>
    <row r="1549" ht="21.75" hidden="1" customHeight="1">
      <c r="A1549" s="135">
        <v>1545.0</v>
      </c>
      <c r="B1549" s="135">
        <v>25045.0</v>
      </c>
      <c r="C1549" s="135" t="s">
        <v>2817</v>
      </c>
      <c r="D1549" s="135">
        <v>26.0</v>
      </c>
      <c r="E1549" s="135" t="s">
        <v>3845</v>
      </c>
      <c r="F1549" s="135" t="s">
        <v>339</v>
      </c>
      <c r="G1549" s="135" t="s">
        <v>140</v>
      </c>
      <c r="H1549" s="135" t="s">
        <v>2853</v>
      </c>
      <c r="I1549" s="135" t="s">
        <v>146</v>
      </c>
      <c r="J1549" s="135">
        <v>1.0</v>
      </c>
      <c r="K1549" s="135"/>
      <c r="L1549" s="135">
        <v>4461.0</v>
      </c>
      <c r="M1549" s="135">
        <v>2850.0</v>
      </c>
      <c r="N1549" s="135">
        <v>120.0</v>
      </c>
      <c r="O1549" s="135">
        <v>1.435</v>
      </c>
      <c r="P1549" s="136">
        <v>0.0</v>
      </c>
      <c r="Q1549" s="137">
        <v>3.5875000000000004</v>
      </c>
      <c r="R1549" s="136">
        <v>46127.0</v>
      </c>
      <c r="S1549" s="135" t="s">
        <v>3790</v>
      </c>
      <c r="T1549" s="136"/>
      <c r="U1549" s="135" t="s">
        <v>2864</v>
      </c>
      <c r="V1549" s="135" t="s">
        <v>2865</v>
      </c>
      <c r="W1549" s="135" t="s">
        <v>3848</v>
      </c>
      <c r="X1549" s="135" t="s">
        <v>3849</v>
      </c>
      <c r="Y1549" s="135"/>
      <c r="Z1549" s="135" t="s">
        <v>2858</v>
      </c>
      <c r="AA1549" s="135"/>
      <c r="AB1549" s="135"/>
      <c r="AC1549" s="135"/>
      <c r="AD1549" s="135" t="e">
        <v>#N/A</v>
      </c>
      <c r="AE1549" s="135"/>
      <c r="AF1549" s="135"/>
      <c r="AG1549" s="135"/>
    </row>
    <row r="1550" ht="21.75" hidden="1" customHeight="1">
      <c r="A1550" s="135">
        <v>1546.0</v>
      </c>
      <c r="B1550" s="135">
        <v>25045.0</v>
      </c>
      <c r="C1550" s="135" t="s">
        <v>2817</v>
      </c>
      <c r="D1550" s="135">
        <v>26.0</v>
      </c>
      <c r="E1550" s="135" t="s">
        <v>3845</v>
      </c>
      <c r="F1550" s="135" t="s">
        <v>340</v>
      </c>
      <c r="G1550" s="135" t="s">
        <v>140</v>
      </c>
      <c r="H1550" s="135" t="s">
        <v>2853</v>
      </c>
      <c r="I1550" s="135" t="s">
        <v>146</v>
      </c>
      <c r="J1550" s="135">
        <v>1.0</v>
      </c>
      <c r="K1550" s="135"/>
      <c r="L1550" s="135">
        <v>3590.0</v>
      </c>
      <c r="M1550" s="135">
        <v>2850.0</v>
      </c>
      <c r="N1550" s="135">
        <v>120.0</v>
      </c>
      <c r="O1550" s="135">
        <v>1.314</v>
      </c>
      <c r="P1550" s="136">
        <v>0.0</v>
      </c>
      <c r="Q1550" s="137">
        <v>3.285</v>
      </c>
      <c r="R1550" s="136">
        <v>46127.0</v>
      </c>
      <c r="S1550" s="135" t="s">
        <v>3790</v>
      </c>
      <c r="T1550" s="136"/>
      <c r="U1550" s="135" t="s">
        <v>2864</v>
      </c>
      <c r="V1550" s="135" t="s">
        <v>2865</v>
      </c>
      <c r="W1550" s="135" t="s">
        <v>3850</v>
      </c>
      <c r="X1550" s="135" t="s">
        <v>3802</v>
      </c>
      <c r="Y1550" s="135"/>
      <c r="Z1550" s="135" t="s">
        <v>2858</v>
      </c>
      <c r="AA1550" s="135"/>
      <c r="AB1550" s="135"/>
      <c r="AC1550" s="135"/>
      <c r="AD1550" s="135" t="e">
        <v>#N/A</v>
      </c>
      <c r="AE1550" s="135"/>
      <c r="AF1550" s="135"/>
      <c r="AG1550" s="135"/>
    </row>
    <row r="1551" ht="21.75" hidden="1" customHeight="1">
      <c r="A1551" s="135">
        <v>1547.0</v>
      </c>
      <c r="B1551" s="135">
        <v>25045.0</v>
      </c>
      <c r="C1551" s="135" t="s">
        <v>2817</v>
      </c>
      <c r="D1551" s="135">
        <v>26.0</v>
      </c>
      <c r="E1551" s="135" t="s">
        <v>3845</v>
      </c>
      <c r="F1551" s="135" t="s">
        <v>341</v>
      </c>
      <c r="G1551" s="135" t="s">
        <v>140</v>
      </c>
      <c r="H1551" s="135" t="s">
        <v>2853</v>
      </c>
      <c r="I1551" s="135" t="s">
        <v>146</v>
      </c>
      <c r="J1551" s="135">
        <v>1.0</v>
      </c>
      <c r="K1551" s="135"/>
      <c r="L1551" s="135">
        <v>4920.0</v>
      </c>
      <c r="M1551" s="135">
        <v>2850.0</v>
      </c>
      <c r="N1551" s="135">
        <v>120.0</v>
      </c>
      <c r="O1551" s="135">
        <v>1.812</v>
      </c>
      <c r="P1551" s="136">
        <v>0.0</v>
      </c>
      <c r="Q1551" s="137">
        <v>4.53</v>
      </c>
      <c r="R1551" s="136">
        <v>46127.0</v>
      </c>
      <c r="S1551" s="135" t="s">
        <v>3790</v>
      </c>
      <c r="T1551" s="136"/>
      <c r="U1551" s="135" t="s">
        <v>2855</v>
      </c>
      <c r="V1551" s="135" t="s">
        <v>2876</v>
      </c>
      <c r="W1551" s="135" t="s">
        <v>3206</v>
      </c>
      <c r="X1551" s="135" t="s">
        <v>3802</v>
      </c>
      <c r="Y1551" s="135"/>
      <c r="Z1551" s="135" t="s">
        <v>2858</v>
      </c>
      <c r="AA1551" s="135"/>
      <c r="AB1551" s="135"/>
      <c r="AC1551" s="135"/>
      <c r="AD1551" s="135" t="e">
        <v>#N/A</v>
      </c>
      <c r="AE1551" s="135"/>
      <c r="AF1551" s="135"/>
      <c r="AG1551" s="135"/>
    </row>
    <row r="1552" ht="21.75" hidden="1" customHeight="1">
      <c r="A1552" s="135">
        <v>1548.0</v>
      </c>
      <c r="B1552" s="135">
        <v>25045.0</v>
      </c>
      <c r="C1552" s="135"/>
      <c r="D1552" s="135">
        <v>26.0</v>
      </c>
      <c r="E1552" s="135" t="s">
        <v>3845</v>
      </c>
      <c r="F1552" s="135" t="s">
        <v>342</v>
      </c>
      <c r="G1552" s="135" t="s">
        <v>140</v>
      </c>
      <c r="H1552" s="135" t="s">
        <v>2853</v>
      </c>
      <c r="I1552" s="135" t="s">
        <v>146</v>
      </c>
      <c r="J1552" s="135">
        <v>1.0</v>
      </c>
      <c r="K1552" s="135"/>
      <c r="L1552" s="135">
        <v>5000.0</v>
      </c>
      <c r="M1552" s="135">
        <v>3150.0</v>
      </c>
      <c r="N1552" s="135">
        <v>120.0</v>
      </c>
      <c r="O1552" s="135">
        <v>2.152</v>
      </c>
      <c r="P1552" s="136">
        <v>0.0</v>
      </c>
      <c r="Q1552" s="137">
        <v>5.380000000000001</v>
      </c>
      <c r="R1552" s="136">
        <v>46127.0</v>
      </c>
      <c r="S1552" s="135" t="s">
        <v>3790</v>
      </c>
      <c r="T1552" s="136"/>
      <c r="U1552" s="135" t="s">
        <v>2855</v>
      </c>
      <c r="V1552" s="135" t="s">
        <v>2876</v>
      </c>
      <c r="W1552" s="135" t="s">
        <v>3106</v>
      </c>
      <c r="X1552" s="135"/>
      <c r="Y1552" s="135"/>
      <c r="Z1552" s="135" t="s">
        <v>2858</v>
      </c>
      <c r="AA1552" s="135"/>
      <c r="AB1552" s="135"/>
      <c r="AC1552" s="135"/>
      <c r="AD1552" s="135">
        <v>46143.0</v>
      </c>
      <c r="AE1552" s="135"/>
      <c r="AF1552" s="135"/>
      <c r="AG1552" s="135"/>
    </row>
    <row r="1553" ht="21.75" hidden="1" customHeight="1">
      <c r="A1553" s="135">
        <v>1549.0</v>
      </c>
      <c r="B1553" s="135">
        <v>25045.0</v>
      </c>
      <c r="C1553" s="135"/>
      <c r="D1553" s="135">
        <v>26.0</v>
      </c>
      <c r="E1553" s="135" t="s">
        <v>3845</v>
      </c>
      <c r="F1553" s="135" t="s">
        <v>343</v>
      </c>
      <c r="G1553" s="135" t="s">
        <v>140</v>
      </c>
      <c r="H1553" s="135" t="s">
        <v>2853</v>
      </c>
      <c r="I1553" s="135" t="s">
        <v>146</v>
      </c>
      <c r="J1553" s="135">
        <v>1.0</v>
      </c>
      <c r="K1553" s="135" t="s">
        <v>3134</v>
      </c>
      <c r="L1553" s="135">
        <v>4098.0</v>
      </c>
      <c r="M1553" s="135">
        <v>3100.0</v>
      </c>
      <c r="N1553" s="135">
        <v>120.0</v>
      </c>
      <c r="O1553" s="135">
        <v>1.873</v>
      </c>
      <c r="P1553" s="136">
        <v>0.0</v>
      </c>
      <c r="Q1553" s="137">
        <v>4.6825</v>
      </c>
      <c r="R1553" s="136">
        <v>46127.0</v>
      </c>
      <c r="S1553" s="135" t="s">
        <v>3790</v>
      </c>
      <c r="T1553" s="136"/>
      <c r="U1553" s="135" t="s">
        <v>2855</v>
      </c>
      <c r="V1553" s="135" t="s">
        <v>2876</v>
      </c>
      <c r="W1553" s="135" t="s">
        <v>3851</v>
      </c>
      <c r="X1553" s="135"/>
      <c r="Y1553" s="135"/>
      <c r="Z1553" s="135" t="s">
        <v>2858</v>
      </c>
      <c r="AA1553" s="135"/>
      <c r="AB1553" s="135"/>
      <c r="AC1553" s="135"/>
      <c r="AD1553" s="135">
        <v>46139.0</v>
      </c>
      <c r="AE1553" s="135"/>
      <c r="AF1553" s="135"/>
      <c r="AG1553" s="135"/>
    </row>
    <row r="1554" ht="21.75" hidden="1" customHeight="1">
      <c r="A1554" s="135">
        <v>1550.0</v>
      </c>
      <c r="B1554" s="135">
        <v>25045.0</v>
      </c>
      <c r="C1554" s="135"/>
      <c r="D1554" s="135">
        <v>26.0</v>
      </c>
      <c r="E1554" s="135" t="s">
        <v>3845</v>
      </c>
      <c r="F1554" s="135" t="s">
        <v>344</v>
      </c>
      <c r="G1554" s="135" t="s">
        <v>140</v>
      </c>
      <c r="H1554" s="135" t="s">
        <v>2853</v>
      </c>
      <c r="I1554" s="135" t="s">
        <v>146</v>
      </c>
      <c r="J1554" s="135">
        <v>1.0</v>
      </c>
      <c r="K1554" s="135" t="s">
        <v>3134</v>
      </c>
      <c r="L1554" s="135">
        <v>4098.0</v>
      </c>
      <c r="M1554" s="135">
        <v>3100.0</v>
      </c>
      <c r="N1554" s="135">
        <v>120.0</v>
      </c>
      <c r="O1554" s="135">
        <v>1.873</v>
      </c>
      <c r="P1554" s="136">
        <v>0.0</v>
      </c>
      <c r="Q1554" s="137">
        <v>4.6825</v>
      </c>
      <c r="R1554" s="136">
        <v>46127.0</v>
      </c>
      <c r="S1554" s="135" t="s">
        <v>3790</v>
      </c>
      <c r="T1554" s="136"/>
      <c r="U1554" s="135" t="s">
        <v>2855</v>
      </c>
      <c r="V1554" s="135" t="s">
        <v>2876</v>
      </c>
      <c r="W1554" s="135" t="s">
        <v>3851</v>
      </c>
      <c r="X1554" s="135"/>
      <c r="Y1554" s="135"/>
      <c r="Z1554" s="135" t="s">
        <v>2858</v>
      </c>
      <c r="AA1554" s="135"/>
      <c r="AB1554" s="135"/>
      <c r="AC1554" s="135"/>
      <c r="AD1554" s="135">
        <v>46141.0</v>
      </c>
      <c r="AE1554" s="135"/>
      <c r="AF1554" s="135"/>
      <c r="AG1554" s="135"/>
    </row>
    <row r="1555" ht="21.75" hidden="1" customHeight="1">
      <c r="A1555" s="135">
        <v>1551.0</v>
      </c>
      <c r="B1555" s="135">
        <v>25045.0</v>
      </c>
      <c r="C1555" s="135"/>
      <c r="D1555" s="135">
        <v>26.0</v>
      </c>
      <c r="E1555" s="135" t="s">
        <v>3845</v>
      </c>
      <c r="F1555" s="135" t="s">
        <v>345</v>
      </c>
      <c r="G1555" s="135" t="s">
        <v>140</v>
      </c>
      <c r="H1555" s="135" t="s">
        <v>2853</v>
      </c>
      <c r="I1555" s="135" t="s">
        <v>146</v>
      </c>
      <c r="J1555" s="135">
        <v>1.0</v>
      </c>
      <c r="K1555" s="135" t="s">
        <v>3134</v>
      </c>
      <c r="L1555" s="135">
        <v>4098.0</v>
      </c>
      <c r="M1555" s="135">
        <v>3100.0</v>
      </c>
      <c r="N1555" s="135">
        <v>120.0</v>
      </c>
      <c r="O1555" s="135">
        <v>1.873</v>
      </c>
      <c r="P1555" s="136">
        <v>0.0</v>
      </c>
      <c r="Q1555" s="137">
        <v>4.6825</v>
      </c>
      <c r="R1555" s="136">
        <v>46127.0</v>
      </c>
      <c r="S1555" s="135" t="s">
        <v>3790</v>
      </c>
      <c r="T1555" s="136"/>
      <c r="U1555" s="135" t="s">
        <v>2855</v>
      </c>
      <c r="V1555" s="135" t="s">
        <v>2876</v>
      </c>
      <c r="W1555" s="135" t="s">
        <v>3851</v>
      </c>
      <c r="X1555" s="135"/>
      <c r="Y1555" s="135"/>
      <c r="Z1555" s="135" t="s">
        <v>2858</v>
      </c>
      <c r="AA1555" s="135"/>
      <c r="AB1555" s="135"/>
      <c r="AC1555" s="135"/>
      <c r="AD1555" s="135">
        <v>46142.0</v>
      </c>
      <c r="AE1555" s="135"/>
      <c r="AF1555" s="135"/>
      <c r="AG1555" s="135"/>
    </row>
    <row r="1556" ht="21.75" hidden="1" customHeight="1">
      <c r="A1556" s="135">
        <v>1552.0</v>
      </c>
      <c r="B1556" s="135">
        <v>25045.0</v>
      </c>
      <c r="C1556" s="135"/>
      <c r="D1556" s="135">
        <v>26.0</v>
      </c>
      <c r="E1556" s="135" t="s">
        <v>3845</v>
      </c>
      <c r="F1556" s="135" t="s">
        <v>346</v>
      </c>
      <c r="G1556" s="135" t="s">
        <v>140</v>
      </c>
      <c r="H1556" s="135" t="s">
        <v>2853</v>
      </c>
      <c r="I1556" s="135" t="s">
        <v>146</v>
      </c>
      <c r="J1556" s="135">
        <v>1.0</v>
      </c>
      <c r="K1556" s="135"/>
      <c r="L1556" s="135">
        <v>4098.0</v>
      </c>
      <c r="M1556" s="135">
        <v>3100.0</v>
      </c>
      <c r="N1556" s="135">
        <v>120.0</v>
      </c>
      <c r="O1556" s="135">
        <v>1.536</v>
      </c>
      <c r="P1556" s="136">
        <v>0.0</v>
      </c>
      <c r="Q1556" s="137">
        <v>3.84</v>
      </c>
      <c r="R1556" s="136">
        <v>46127.0</v>
      </c>
      <c r="S1556" s="135" t="s">
        <v>3790</v>
      </c>
      <c r="T1556" s="136"/>
      <c r="U1556" s="135" t="s">
        <v>2864</v>
      </c>
      <c r="V1556" s="135" t="s">
        <v>2985</v>
      </c>
      <c r="W1556" s="135" t="s">
        <v>3852</v>
      </c>
      <c r="X1556" s="135" t="s">
        <v>3141</v>
      </c>
      <c r="Y1556" s="135"/>
      <c r="Z1556" s="135" t="s">
        <v>2858</v>
      </c>
      <c r="AA1556" s="135"/>
      <c r="AB1556" s="135"/>
      <c r="AC1556" s="135"/>
      <c r="AD1556" s="135">
        <v>0.0</v>
      </c>
      <c r="AE1556" s="135"/>
      <c r="AF1556" s="135"/>
      <c r="AG1556" s="135"/>
    </row>
    <row r="1557" ht="21.75" hidden="1" customHeight="1">
      <c r="A1557" s="135">
        <v>1553.0</v>
      </c>
      <c r="B1557" s="135">
        <v>25045.0</v>
      </c>
      <c r="C1557" s="135"/>
      <c r="D1557" s="135">
        <v>26.0</v>
      </c>
      <c r="E1557" s="135" t="s">
        <v>3845</v>
      </c>
      <c r="F1557" s="135" t="s">
        <v>347</v>
      </c>
      <c r="G1557" s="135" t="s">
        <v>140</v>
      </c>
      <c r="H1557" s="135" t="s">
        <v>2853</v>
      </c>
      <c r="I1557" s="135" t="s">
        <v>146</v>
      </c>
      <c r="J1557" s="135">
        <v>1.0</v>
      </c>
      <c r="K1557" s="135"/>
      <c r="L1557" s="135">
        <v>4514.0</v>
      </c>
      <c r="M1557" s="135">
        <v>3150.0</v>
      </c>
      <c r="N1557" s="135">
        <v>120.0</v>
      </c>
      <c r="O1557" s="135">
        <v>2.014</v>
      </c>
      <c r="P1557" s="136">
        <v>0.0</v>
      </c>
      <c r="Q1557" s="137">
        <v>5.034999999999999</v>
      </c>
      <c r="R1557" s="136">
        <v>46127.0</v>
      </c>
      <c r="S1557" s="135" t="s">
        <v>3790</v>
      </c>
      <c r="T1557" s="136"/>
      <c r="U1557" s="135" t="s">
        <v>2855</v>
      </c>
      <c r="V1557" s="135" t="s">
        <v>2876</v>
      </c>
      <c r="W1557" s="135" t="s">
        <v>3853</v>
      </c>
      <c r="X1557" s="135"/>
      <c r="Y1557" s="135"/>
      <c r="Z1557" s="135" t="s">
        <v>2858</v>
      </c>
      <c r="AA1557" s="135"/>
      <c r="AB1557" s="135"/>
      <c r="AC1557" s="135"/>
      <c r="AD1557" s="135">
        <v>46143.0</v>
      </c>
      <c r="AE1557" s="135"/>
      <c r="AF1557" s="135"/>
      <c r="AG1557" s="135"/>
    </row>
    <row r="1558" ht="21.75" hidden="1" customHeight="1">
      <c r="A1558" s="135">
        <v>1554.0</v>
      </c>
      <c r="B1558" s="135">
        <v>25045.0</v>
      </c>
      <c r="C1558" s="135"/>
      <c r="D1558" s="135">
        <v>26.0</v>
      </c>
      <c r="E1558" s="135" t="s">
        <v>3845</v>
      </c>
      <c r="F1558" s="135" t="s">
        <v>348</v>
      </c>
      <c r="G1558" s="135" t="s">
        <v>140</v>
      </c>
      <c r="H1558" s="135" t="s">
        <v>2853</v>
      </c>
      <c r="I1558" s="135" t="s">
        <v>146</v>
      </c>
      <c r="J1558" s="135">
        <v>1.0</v>
      </c>
      <c r="K1558" s="135" t="s">
        <v>3134</v>
      </c>
      <c r="L1558" s="135">
        <v>4514.0</v>
      </c>
      <c r="M1558" s="135">
        <v>3150.0</v>
      </c>
      <c r="N1558" s="135">
        <v>120.0</v>
      </c>
      <c r="O1558" s="135">
        <v>2.014</v>
      </c>
      <c r="P1558" s="136">
        <v>0.0</v>
      </c>
      <c r="Q1558" s="137">
        <v>5.034999999999999</v>
      </c>
      <c r="R1558" s="136">
        <v>46127.0</v>
      </c>
      <c r="S1558" s="135" t="s">
        <v>3790</v>
      </c>
      <c r="T1558" s="136"/>
      <c r="U1558" s="135" t="s">
        <v>2855</v>
      </c>
      <c r="V1558" s="135" t="s">
        <v>2876</v>
      </c>
      <c r="W1558" s="135" t="s">
        <v>3853</v>
      </c>
      <c r="X1558" s="135"/>
      <c r="Y1558" s="135"/>
      <c r="Z1558" s="135" t="s">
        <v>2858</v>
      </c>
      <c r="AA1558" s="135"/>
      <c r="AB1558" s="135"/>
      <c r="AC1558" s="135"/>
      <c r="AD1558" s="135">
        <v>46142.0</v>
      </c>
      <c r="AE1558" s="135"/>
      <c r="AF1558" s="135"/>
      <c r="AG1558" s="135"/>
    </row>
    <row r="1559" ht="21.75" hidden="1" customHeight="1">
      <c r="A1559" s="135">
        <v>1555.0</v>
      </c>
      <c r="B1559" s="135">
        <v>25045.0</v>
      </c>
      <c r="C1559" s="135"/>
      <c r="D1559" s="135">
        <v>26.0</v>
      </c>
      <c r="E1559" s="135" t="s">
        <v>3845</v>
      </c>
      <c r="F1559" s="135" t="s">
        <v>349</v>
      </c>
      <c r="G1559" s="135" t="s">
        <v>140</v>
      </c>
      <c r="H1559" s="135" t="s">
        <v>2853</v>
      </c>
      <c r="I1559" s="135" t="s">
        <v>146</v>
      </c>
      <c r="J1559" s="135">
        <v>1.0</v>
      </c>
      <c r="K1559" s="135" t="s">
        <v>3134</v>
      </c>
      <c r="L1559" s="135">
        <v>4514.0</v>
      </c>
      <c r="M1559" s="135">
        <v>3150.0</v>
      </c>
      <c r="N1559" s="135">
        <v>120.0</v>
      </c>
      <c r="O1559" s="135">
        <v>2.014</v>
      </c>
      <c r="P1559" s="136">
        <v>0.0</v>
      </c>
      <c r="Q1559" s="137">
        <v>5.034999999999999</v>
      </c>
      <c r="R1559" s="136">
        <v>46127.0</v>
      </c>
      <c r="S1559" s="135" t="s">
        <v>3790</v>
      </c>
      <c r="T1559" s="136"/>
      <c r="U1559" s="135" t="s">
        <v>2855</v>
      </c>
      <c r="V1559" s="135" t="s">
        <v>2876</v>
      </c>
      <c r="W1559" s="135" t="s">
        <v>3853</v>
      </c>
      <c r="X1559" s="135"/>
      <c r="Y1559" s="135"/>
      <c r="Z1559" s="135" t="s">
        <v>2858</v>
      </c>
      <c r="AA1559" s="135"/>
      <c r="AB1559" s="135"/>
      <c r="AC1559" s="135"/>
      <c r="AD1559" s="135">
        <v>46143.0</v>
      </c>
      <c r="AE1559" s="135"/>
      <c r="AF1559" s="135"/>
      <c r="AG1559" s="135"/>
    </row>
    <row r="1560" ht="21.75" hidden="1" customHeight="1">
      <c r="A1560" s="135">
        <v>1556.0</v>
      </c>
      <c r="B1560" s="135">
        <v>25045.0</v>
      </c>
      <c r="C1560" s="135"/>
      <c r="D1560" s="135">
        <v>26.0</v>
      </c>
      <c r="E1560" s="135" t="s">
        <v>3845</v>
      </c>
      <c r="F1560" s="135" t="s">
        <v>350</v>
      </c>
      <c r="G1560" s="135" t="s">
        <v>140</v>
      </c>
      <c r="H1560" s="135" t="s">
        <v>2853</v>
      </c>
      <c r="I1560" s="135" t="s">
        <v>146</v>
      </c>
      <c r="J1560" s="135">
        <v>1.0</v>
      </c>
      <c r="K1560" s="135" t="s">
        <v>3134</v>
      </c>
      <c r="L1560" s="135">
        <v>4514.0</v>
      </c>
      <c r="M1560" s="135">
        <v>3150.0</v>
      </c>
      <c r="N1560" s="135">
        <v>120.0</v>
      </c>
      <c r="O1560" s="135">
        <v>2.014</v>
      </c>
      <c r="P1560" s="136">
        <v>0.0</v>
      </c>
      <c r="Q1560" s="137">
        <v>5.034999999999999</v>
      </c>
      <c r="R1560" s="136">
        <v>46127.0</v>
      </c>
      <c r="S1560" s="135" t="s">
        <v>3790</v>
      </c>
      <c r="T1560" s="136"/>
      <c r="U1560" s="135" t="s">
        <v>2855</v>
      </c>
      <c r="V1560" s="135" t="s">
        <v>2876</v>
      </c>
      <c r="W1560" s="135" t="s">
        <v>3853</v>
      </c>
      <c r="X1560" s="135"/>
      <c r="Y1560" s="135"/>
      <c r="Z1560" s="135" t="s">
        <v>2858</v>
      </c>
      <c r="AA1560" s="135"/>
      <c r="AB1560" s="135"/>
      <c r="AC1560" s="135"/>
      <c r="AD1560" s="135">
        <v>46144.0</v>
      </c>
      <c r="AE1560" s="135"/>
      <c r="AF1560" s="135"/>
      <c r="AG1560" s="135"/>
    </row>
    <row r="1561" ht="21.75" hidden="1" customHeight="1">
      <c r="A1561" s="135">
        <v>1557.0</v>
      </c>
      <c r="B1561" s="135">
        <v>25045.0</v>
      </c>
      <c r="C1561" s="135"/>
      <c r="D1561" s="135">
        <v>26.0</v>
      </c>
      <c r="E1561" s="135" t="s">
        <v>3845</v>
      </c>
      <c r="F1561" s="135" t="s">
        <v>351</v>
      </c>
      <c r="G1561" s="135" t="s">
        <v>140</v>
      </c>
      <c r="H1561" s="135" t="s">
        <v>2853</v>
      </c>
      <c r="I1561" s="135" t="s">
        <v>146</v>
      </c>
      <c r="J1561" s="135">
        <v>1.0</v>
      </c>
      <c r="K1561" s="135"/>
      <c r="L1561" s="135">
        <v>4514.0</v>
      </c>
      <c r="M1561" s="135">
        <v>3150.0</v>
      </c>
      <c r="N1561" s="135">
        <v>120.0</v>
      </c>
      <c r="O1561" s="135">
        <v>1.678</v>
      </c>
      <c r="P1561" s="136">
        <v>0.0</v>
      </c>
      <c r="Q1561" s="137">
        <v>4.195</v>
      </c>
      <c r="R1561" s="136">
        <v>46127.0</v>
      </c>
      <c r="S1561" s="135" t="s">
        <v>3790</v>
      </c>
      <c r="T1561" s="136"/>
      <c r="U1561" s="135" t="s">
        <v>2864</v>
      </c>
      <c r="V1561" s="135" t="s">
        <v>2985</v>
      </c>
      <c r="W1561" s="135" t="s">
        <v>3854</v>
      </c>
      <c r="X1561" s="135" t="s">
        <v>3802</v>
      </c>
      <c r="Y1561" s="135"/>
      <c r="Z1561" s="135" t="s">
        <v>2858</v>
      </c>
      <c r="AA1561" s="135"/>
      <c r="AB1561" s="135"/>
      <c r="AC1561" s="135"/>
      <c r="AD1561" s="135">
        <v>0.0</v>
      </c>
      <c r="AE1561" s="135"/>
      <c r="AF1561" s="135"/>
      <c r="AG1561" s="135"/>
    </row>
    <row r="1562" ht="21.75" hidden="1" customHeight="1">
      <c r="A1562" s="135">
        <v>1558.0</v>
      </c>
      <c r="B1562" s="135">
        <v>25045.0</v>
      </c>
      <c r="C1562" s="135"/>
      <c r="D1562" s="135">
        <v>26.0</v>
      </c>
      <c r="E1562" s="135" t="s">
        <v>3845</v>
      </c>
      <c r="F1562" s="135" t="s">
        <v>352</v>
      </c>
      <c r="G1562" s="135" t="s">
        <v>140</v>
      </c>
      <c r="H1562" s="135" t="s">
        <v>2853</v>
      </c>
      <c r="I1562" s="135" t="s">
        <v>146</v>
      </c>
      <c r="J1562" s="135">
        <v>1.0</v>
      </c>
      <c r="K1562" s="135"/>
      <c r="L1562" s="135">
        <v>2805.0</v>
      </c>
      <c r="M1562" s="135">
        <v>1534.0</v>
      </c>
      <c r="N1562" s="135">
        <v>120.0</v>
      </c>
      <c r="O1562" s="135">
        <v>0.535</v>
      </c>
      <c r="P1562" s="136">
        <v>0.0</v>
      </c>
      <c r="Q1562" s="137">
        <v>1.3375000000000001</v>
      </c>
      <c r="R1562" s="136">
        <v>46127.0</v>
      </c>
      <c r="S1562" s="135" t="s">
        <v>3790</v>
      </c>
      <c r="T1562" s="136"/>
      <c r="U1562" s="135" t="s">
        <v>2864</v>
      </c>
      <c r="V1562" s="135" t="s">
        <v>2856</v>
      </c>
      <c r="W1562" s="135" t="s">
        <v>3855</v>
      </c>
      <c r="X1562" s="135"/>
      <c r="Y1562" s="135"/>
      <c r="Z1562" s="135" t="s">
        <v>2858</v>
      </c>
      <c r="AA1562" s="135"/>
      <c r="AB1562" s="135"/>
      <c r="AC1562" s="135"/>
      <c r="AD1562" s="135">
        <v>46134.0</v>
      </c>
      <c r="AE1562" s="135"/>
      <c r="AF1562" s="135"/>
      <c r="AG1562" s="135"/>
    </row>
    <row r="1563" ht="21.75" hidden="1" customHeight="1">
      <c r="A1563" s="135">
        <v>1559.0</v>
      </c>
      <c r="B1563" s="135">
        <v>25045.0</v>
      </c>
      <c r="C1563" s="135"/>
      <c r="D1563" s="135">
        <v>26.0</v>
      </c>
      <c r="E1563" s="135" t="s">
        <v>3845</v>
      </c>
      <c r="F1563" s="135" t="s">
        <v>353</v>
      </c>
      <c r="G1563" s="135" t="s">
        <v>140</v>
      </c>
      <c r="H1563" s="135" t="s">
        <v>2853</v>
      </c>
      <c r="I1563" s="135" t="s">
        <v>146</v>
      </c>
      <c r="J1563" s="135">
        <v>1.0</v>
      </c>
      <c r="K1563" s="135"/>
      <c r="L1563" s="135">
        <v>2875.0</v>
      </c>
      <c r="M1563" s="135">
        <v>1000.0</v>
      </c>
      <c r="N1563" s="135">
        <v>120.0</v>
      </c>
      <c r="O1563" s="135">
        <v>0.491</v>
      </c>
      <c r="P1563" s="136">
        <v>0.0</v>
      </c>
      <c r="Q1563" s="137">
        <v>1.2275</v>
      </c>
      <c r="R1563" s="136">
        <v>46127.0</v>
      </c>
      <c r="S1563" s="135" t="s">
        <v>3790</v>
      </c>
      <c r="T1563" s="136"/>
      <c r="U1563" s="135" t="s">
        <v>2950</v>
      </c>
      <c r="V1563" s="135" t="s">
        <v>2951</v>
      </c>
      <c r="W1563" s="135" t="s">
        <v>3856</v>
      </c>
      <c r="X1563" s="135"/>
      <c r="Y1563" s="135"/>
      <c r="Z1563" s="135" t="s">
        <v>2858</v>
      </c>
      <c r="AA1563" s="135"/>
      <c r="AB1563" s="135"/>
      <c r="AC1563" s="135"/>
      <c r="AD1563" s="135">
        <v>46142.0</v>
      </c>
      <c r="AE1563" s="135"/>
      <c r="AF1563" s="135"/>
      <c r="AG1563" s="135"/>
    </row>
    <row r="1564" ht="21.75" hidden="1" customHeight="1">
      <c r="A1564" s="135">
        <v>1560.0</v>
      </c>
      <c r="B1564" s="135">
        <v>25045.0</v>
      </c>
      <c r="C1564" s="135"/>
      <c r="D1564" s="135">
        <v>26.0</v>
      </c>
      <c r="E1564" s="135" t="s">
        <v>3845</v>
      </c>
      <c r="F1564" s="135" t="s">
        <v>354</v>
      </c>
      <c r="G1564" s="135" t="s">
        <v>140</v>
      </c>
      <c r="H1564" s="135" t="s">
        <v>2965</v>
      </c>
      <c r="I1564" s="135" t="s">
        <v>146</v>
      </c>
      <c r="J1564" s="135">
        <v>1.0</v>
      </c>
      <c r="K1564" s="135"/>
      <c r="L1564" s="135">
        <v>400.0</v>
      </c>
      <c r="M1564" s="135">
        <v>3160.0</v>
      </c>
      <c r="N1564" s="135">
        <v>350.0</v>
      </c>
      <c r="O1564" s="135">
        <v>0.506</v>
      </c>
      <c r="P1564" s="136">
        <v>0.0</v>
      </c>
      <c r="Q1564" s="137">
        <v>1.2650000000000001</v>
      </c>
      <c r="R1564" s="136">
        <v>46127.0</v>
      </c>
      <c r="S1564" s="135" t="s">
        <v>3790</v>
      </c>
      <c r="T1564" s="136"/>
      <c r="U1564" s="135" t="s">
        <v>2966</v>
      </c>
      <c r="V1564" s="135" t="s">
        <v>2967</v>
      </c>
      <c r="W1564" s="135"/>
      <c r="X1564" s="135" t="s">
        <v>2969</v>
      </c>
      <c r="Y1564" s="135"/>
      <c r="Z1564" s="135" t="s">
        <v>2858</v>
      </c>
      <c r="AA1564" s="135"/>
      <c r="AB1564" s="135"/>
      <c r="AC1564" s="135"/>
      <c r="AD1564" s="135">
        <v>46154.0</v>
      </c>
      <c r="AE1564" s="135"/>
      <c r="AF1564" s="135"/>
      <c r="AG1564" s="135"/>
    </row>
    <row r="1565" ht="21.75" hidden="1" customHeight="1">
      <c r="A1565" s="135">
        <v>1561.0</v>
      </c>
      <c r="B1565" s="135">
        <v>25045.0</v>
      </c>
      <c r="C1565" s="135" t="s">
        <v>2817</v>
      </c>
      <c r="D1565" s="135">
        <v>26.0</v>
      </c>
      <c r="E1565" s="135" t="s">
        <v>3857</v>
      </c>
      <c r="F1565" s="135" t="s">
        <v>355</v>
      </c>
      <c r="G1565" s="135" t="s">
        <v>140</v>
      </c>
      <c r="H1565" s="135" t="s">
        <v>2853</v>
      </c>
      <c r="I1565" s="135" t="s">
        <v>147</v>
      </c>
      <c r="J1565" s="135">
        <v>1.0</v>
      </c>
      <c r="K1565" s="135"/>
      <c r="L1565" s="135">
        <v>1660.0</v>
      </c>
      <c r="M1565" s="135">
        <v>3240.0</v>
      </c>
      <c r="N1565" s="135">
        <v>120.0</v>
      </c>
      <c r="O1565" s="135">
        <v>0.872</v>
      </c>
      <c r="P1565" s="136">
        <v>0.0</v>
      </c>
      <c r="Q1565" s="137">
        <v>2.18</v>
      </c>
      <c r="R1565" s="136">
        <v>46127.0</v>
      </c>
      <c r="S1565" s="135" t="s">
        <v>3790</v>
      </c>
      <c r="T1565" s="136"/>
      <c r="U1565" s="135" t="s">
        <v>2864</v>
      </c>
      <c r="V1565" s="135" t="s">
        <v>2878</v>
      </c>
      <c r="W1565" s="135" t="s">
        <v>3858</v>
      </c>
      <c r="X1565" s="135" t="s">
        <v>3141</v>
      </c>
      <c r="Y1565" s="135"/>
      <c r="Z1565" s="135" t="s">
        <v>2858</v>
      </c>
      <c r="AA1565" s="135"/>
      <c r="AB1565" s="135"/>
      <c r="AC1565" s="135"/>
      <c r="AD1565" s="135">
        <v>0.0</v>
      </c>
      <c r="AE1565" s="135"/>
      <c r="AF1565" s="135"/>
      <c r="AG1565" s="135"/>
    </row>
    <row r="1566" ht="21.75" hidden="1" customHeight="1">
      <c r="A1566" s="135">
        <v>1562.0</v>
      </c>
      <c r="B1566" s="135">
        <v>25045.0</v>
      </c>
      <c r="C1566" s="135" t="s">
        <v>2817</v>
      </c>
      <c r="D1566" s="135">
        <v>26.0</v>
      </c>
      <c r="E1566" s="135" t="s">
        <v>3857</v>
      </c>
      <c r="F1566" s="135" t="s">
        <v>356</v>
      </c>
      <c r="G1566" s="135" t="s">
        <v>140</v>
      </c>
      <c r="H1566" s="135" t="s">
        <v>2853</v>
      </c>
      <c r="I1566" s="135" t="s">
        <v>147</v>
      </c>
      <c r="J1566" s="135">
        <v>1.0</v>
      </c>
      <c r="K1566" s="135"/>
      <c r="L1566" s="135">
        <v>4460.0</v>
      </c>
      <c r="M1566" s="135">
        <v>2850.0</v>
      </c>
      <c r="N1566" s="135">
        <v>120.0</v>
      </c>
      <c r="O1566" s="135">
        <v>1.435</v>
      </c>
      <c r="P1566" s="136">
        <v>0.0</v>
      </c>
      <c r="Q1566" s="137">
        <v>3.5875000000000004</v>
      </c>
      <c r="R1566" s="136">
        <v>46127.0</v>
      </c>
      <c r="S1566" s="135" t="s">
        <v>3790</v>
      </c>
      <c r="T1566" s="136"/>
      <c r="U1566" s="135" t="s">
        <v>2864</v>
      </c>
      <c r="V1566" s="135" t="s">
        <v>2865</v>
      </c>
      <c r="W1566" s="135" t="s">
        <v>3859</v>
      </c>
      <c r="X1566" s="135" t="s">
        <v>3849</v>
      </c>
      <c r="Y1566" s="135"/>
      <c r="Z1566" s="135" t="s">
        <v>2858</v>
      </c>
      <c r="AA1566" s="135"/>
      <c r="AB1566" s="135"/>
      <c r="AC1566" s="135"/>
      <c r="AD1566" s="135" t="e">
        <v>#N/A</v>
      </c>
      <c r="AE1566" s="135"/>
      <c r="AF1566" s="135"/>
      <c r="AG1566" s="135"/>
    </row>
    <row r="1567" ht="21.75" hidden="1" customHeight="1">
      <c r="A1567" s="135">
        <v>1563.0</v>
      </c>
      <c r="B1567" s="135">
        <v>25045.0</v>
      </c>
      <c r="C1567" s="135" t="s">
        <v>2817</v>
      </c>
      <c r="D1567" s="135">
        <v>26.0</v>
      </c>
      <c r="E1567" s="135" t="s">
        <v>3857</v>
      </c>
      <c r="F1567" s="135" t="s">
        <v>357</v>
      </c>
      <c r="G1567" s="135" t="s">
        <v>140</v>
      </c>
      <c r="H1567" s="135" t="s">
        <v>2853</v>
      </c>
      <c r="I1567" s="135" t="s">
        <v>147</v>
      </c>
      <c r="J1567" s="135">
        <v>1.0</v>
      </c>
      <c r="K1567" s="135"/>
      <c r="L1567" s="135">
        <v>3590.0</v>
      </c>
      <c r="M1567" s="135">
        <v>2850.0</v>
      </c>
      <c r="N1567" s="135">
        <v>120.0</v>
      </c>
      <c r="O1567" s="135">
        <v>1.314</v>
      </c>
      <c r="P1567" s="136">
        <v>0.0</v>
      </c>
      <c r="Q1567" s="137">
        <v>3.285</v>
      </c>
      <c r="R1567" s="136">
        <v>46127.0</v>
      </c>
      <c r="S1567" s="135" t="s">
        <v>3790</v>
      </c>
      <c r="T1567" s="136"/>
      <c r="U1567" s="135" t="s">
        <v>2864</v>
      </c>
      <c r="V1567" s="135" t="s">
        <v>2865</v>
      </c>
      <c r="W1567" s="135" t="s">
        <v>2937</v>
      </c>
      <c r="X1567" s="135" t="s">
        <v>3802</v>
      </c>
      <c r="Y1567" s="135"/>
      <c r="Z1567" s="135" t="s">
        <v>2858</v>
      </c>
      <c r="AA1567" s="135"/>
      <c r="AB1567" s="135"/>
      <c r="AC1567" s="135"/>
      <c r="AD1567" s="135" t="e">
        <v>#N/A</v>
      </c>
      <c r="AE1567" s="135"/>
      <c r="AF1567" s="135"/>
      <c r="AG1567" s="135"/>
    </row>
    <row r="1568" ht="21.75" hidden="1" customHeight="1">
      <c r="A1568" s="135">
        <v>1564.0</v>
      </c>
      <c r="B1568" s="135">
        <v>25045.0</v>
      </c>
      <c r="C1568" s="135" t="s">
        <v>2817</v>
      </c>
      <c r="D1568" s="135">
        <v>26.0</v>
      </c>
      <c r="E1568" s="135" t="s">
        <v>3857</v>
      </c>
      <c r="F1568" s="135" t="s">
        <v>358</v>
      </c>
      <c r="G1568" s="135" t="s">
        <v>140</v>
      </c>
      <c r="H1568" s="135" t="s">
        <v>2853</v>
      </c>
      <c r="I1568" s="135" t="s">
        <v>147</v>
      </c>
      <c r="J1568" s="135">
        <v>1.0</v>
      </c>
      <c r="K1568" s="135"/>
      <c r="L1568" s="135">
        <v>4920.0</v>
      </c>
      <c r="M1568" s="135">
        <v>2850.0</v>
      </c>
      <c r="N1568" s="135">
        <v>120.0</v>
      </c>
      <c r="O1568" s="135">
        <v>1.812</v>
      </c>
      <c r="P1568" s="136">
        <v>0.0</v>
      </c>
      <c r="Q1568" s="137">
        <v>4.53</v>
      </c>
      <c r="R1568" s="136">
        <v>46127.0</v>
      </c>
      <c r="S1568" s="135" t="s">
        <v>3790</v>
      </c>
      <c r="T1568" s="136"/>
      <c r="U1568" s="135" t="s">
        <v>2855</v>
      </c>
      <c r="V1568" s="135" t="s">
        <v>2868</v>
      </c>
      <c r="W1568" s="135" t="s">
        <v>3206</v>
      </c>
      <c r="X1568" s="135" t="s">
        <v>3802</v>
      </c>
      <c r="Y1568" s="135"/>
      <c r="Z1568" s="135" t="s">
        <v>2858</v>
      </c>
      <c r="AA1568" s="135"/>
      <c r="AB1568" s="135"/>
      <c r="AC1568" s="135"/>
      <c r="AD1568" s="135">
        <v>46141.0</v>
      </c>
      <c r="AE1568" s="135"/>
      <c r="AF1568" s="135"/>
      <c r="AG1568" s="135"/>
    </row>
    <row r="1569" ht="21.75" hidden="1" customHeight="1">
      <c r="A1569" s="135">
        <v>1565.0</v>
      </c>
      <c r="B1569" s="135">
        <v>25045.0</v>
      </c>
      <c r="C1569" s="135"/>
      <c r="D1569" s="135">
        <v>26.0</v>
      </c>
      <c r="E1569" s="135" t="s">
        <v>3857</v>
      </c>
      <c r="F1569" s="135" t="s">
        <v>359</v>
      </c>
      <c r="G1569" s="135" t="s">
        <v>140</v>
      </c>
      <c r="H1569" s="135" t="s">
        <v>2853</v>
      </c>
      <c r="I1569" s="135" t="s">
        <v>147</v>
      </c>
      <c r="J1569" s="135">
        <v>1.0</v>
      </c>
      <c r="K1569" s="135"/>
      <c r="L1569" s="135">
        <v>5000.0</v>
      </c>
      <c r="M1569" s="135">
        <v>3150.0</v>
      </c>
      <c r="N1569" s="135">
        <v>120.0</v>
      </c>
      <c r="O1569" s="135">
        <v>2.152</v>
      </c>
      <c r="P1569" s="136">
        <v>0.0</v>
      </c>
      <c r="Q1569" s="137">
        <v>5.380000000000001</v>
      </c>
      <c r="R1569" s="136">
        <v>46127.0</v>
      </c>
      <c r="S1569" s="135" t="s">
        <v>3790</v>
      </c>
      <c r="T1569" s="136"/>
      <c r="U1569" s="135" t="s">
        <v>2855</v>
      </c>
      <c r="V1569" s="135" t="s">
        <v>2876</v>
      </c>
      <c r="W1569" s="135" t="s">
        <v>3106</v>
      </c>
      <c r="X1569" s="135"/>
      <c r="Y1569" s="135"/>
      <c r="Z1569" s="135" t="s">
        <v>2858</v>
      </c>
      <c r="AA1569" s="135"/>
      <c r="AB1569" s="135"/>
      <c r="AC1569" s="135"/>
      <c r="AD1569" s="135">
        <v>46158.0</v>
      </c>
      <c r="AE1569" s="135"/>
      <c r="AF1569" s="135"/>
      <c r="AG1569" s="135"/>
    </row>
    <row r="1570" ht="21.75" hidden="1" customHeight="1">
      <c r="A1570" s="135">
        <v>1566.0</v>
      </c>
      <c r="B1570" s="135">
        <v>25045.0</v>
      </c>
      <c r="C1570" s="135"/>
      <c r="D1570" s="135">
        <v>26.0</v>
      </c>
      <c r="E1570" s="135" t="s">
        <v>3857</v>
      </c>
      <c r="F1570" s="135" t="s">
        <v>360</v>
      </c>
      <c r="G1570" s="135" t="s">
        <v>140</v>
      </c>
      <c r="H1570" s="135" t="s">
        <v>2853</v>
      </c>
      <c r="I1570" s="135" t="s">
        <v>147</v>
      </c>
      <c r="J1570" s="135">
        <v>1.0</v>
      </c>
      <c r="K1570" s="135" t="s">
        <v>3134</v>
      </c>
      <c r="L1570" s="135">
        <v>4321.0</v>
      </c>
      <c r="M1570" s="135">
        <v>3150.0</v>
      </c>
      <c r="N1570" s="135">
        <v>120.0</v>
      </c>
      <c r="O1570" s="135">
        <v>1.96</v>
      </c>
      <c r="P1570" s="136">
        <v>0.0</v>
      </c>
      <c r="Q1570" s="137">
        <v>4.9</v>
      </c>
      <c r="R1570" s="136">
        <v>46127.0</v>
      </c>
      <c r="S1570" s="135" t="s">
        <v>3790</v>
      </c>
      <c r="T1570" s="136"/>
      <c r="U1570" s="135" t="s">
        <v>2855</v>
      </c>
      <c r="V1570" s="135" t="s">
        <v>2876</v>
      </c>
      <c r="W1570" s="135" t="s">
        <v>3860</v>
      </c>
      <c r="X1570" s="135"/>
      <c r="Y1570" s="135"/>
      <c r="Z1570" s="135" t="s">
        <v>2858</v>
      </c>
      <c r="AA1570" s="135"/>
      <c r="AB1570" s="135"/>
      <c r="AC1570" s="135"/>
      <c r="AD1570" s="135">
        <v>46139.0</v>
      </c>
      <c r="AE1570" s="135"/>
      <c r="AF1570" s="135"/>
      <c r="AG1570" s="135"/>
    </row>
    <row r="1571" ht="21.75" hidden="1" customHeight="1">
      <c r="A1571" s="135">
        <v>1567.0</v>
      </c>
      <c r="B1571" s="135">
        <v>25045.0</v>
      </c>
      <c r="C1571" s="135"/>
      <c r="D1571" s="135">
        <v>26.0</v>
      </c>
      <c r="E1571" s="135" t="s">
        <v>3857</v>
      </c>
      <c r="F1571" s="135" t="s">
        <v>361</v>
      </c>
      <c r="G1571" s="135" t="s">
        <v>140</v>
      </c>
      <c r="H1571" s="135" t="s">
        <v>2853</v>
      </c>
      <c r="I1571" s="135" t="s">
        <v>147</v>
      </c>
      <c r="J1571" s="135">
        <v>1.0</v>
      </c>
      <c r="K1571" s="135" t="s">
        <v>3134</v>
      </c>
      <c r="L1571" s="135">
        <v>4321.0</v>
      </c>
      <c r="M1571" s="135">
        <v>3150.0</v>
      </c>
      <c r="N1571" s="135">
        <v>120.0</v>
      </c>
      <c r="O1571" s="135">
        <v>1.96</v>
      </c>
      <c r="P1571" s="136">
        <v>0.0</v>
      </c>
      <c r="Q1571" s="137">
        <v>4.9</v>
      </c>
      <c r="R1571" s="136">
        <v>46127.0</v>
      </c>
      <c r="S1571" s="135" t="s">
        <v>3790</v>
      </c>
      <c r="T1571" s="136"/>
      <c r="U1571" s="135" t="s">
        <v>2855</v>
      </c>
      <c r="V1571" s="135" t="s">
        <v>2876</v>
      </c>
      <c r="W1571" s="135" t="s">
        <v>3860</v>
      </c>
      <c r="X1571" s="135"/>
      <c r="Y1571" s="135"/>
      <c r="Z1571" s="135" t="s">
        <v>2858</v>
      </c>
      <c r="AA1571" s="135"/>
      <c r="AB1571" s="135"/>
      <c r="AC1571" s="135"/>
      <c r="AD1571" s="135">
        <v>46140.0</v>
      </c>
      <c r="AE1571" s="135"/>
      <c r="AF1571" s="135"/>
      <c r="AG1571" s="135"/>
    </row>
    <row r="1572" ht="21.75" hidden="1" customHeight="1">
      <c r="A1572" s="135">
        <v>1568.0</v>
      </c>
      <c r="B1572" s="135">
        <v>25045.0</v>
      </c>
      <c r="C1572" s="135"/>
      <c r="D1572" s="135">
        <v>26.0</v>
      </c>
      <c r="E1572" s="135" t="s">
        <v>3857</v>
      </c>
      <c r="F1572" s="135" t="s">
        <v>362</v>
      </c>
      <c r="G1572" s="135" t="s">
        <v>140</v>
      </c>
      <c r="H1572" s="135" t="s">
        <v>2853</v>
      </c>
      <c r="I1572" s="135" t="s">
        <v>147</v>
      </c>
      <c r="J1572" s="135">
        <v>1.0</v>
      </c>
      <c r="K1572" s="135" t="s">
        <v>3134</v>
      </c>
      <c r="L1572" s="135">
        <v>4321.0</v>
      </c>
      <c r="M1572" s="135">
        <v>3150.0</v>
      </c>
      <c r="N1572" s="135">
        <v>120.0</v>
      </c>
      <c r="O1572" s="135">
        <v>1.96</v>
      </c>
      <c r="P1572" s="136">
        <v>0.0</v>
      </c>
      <c r="Q1572" s="137">
        <v>4.9</v>
      </c>
      <c r="R1572" s="136">
        <v>46127.0</v>
      </c>
      <c r="S1572" s="135" t="s">
        <v>3790</v>
      </c>
      <c r="T1572" s="136"/>
      <c r="U1572" s="135" t="s">
        <v>2855</v>
      </c>
      <c r="V1572" s="135" t="s">
        <v>2876</v>
      </c>
      <c r="W1572" s="135" t="s">
        <v>3860</v>
      </c>
      <c r="X1572" s="135"/>
      <c r="Y1572" s="135"/>
      <c r="Z1572" s="135" t="s">
        <v>2858</v>
      </c>
      <c r="AA1572" s="135"/>
      <c r="AB1572" s="135"/>
      <c r="AC1572" s="135"/>
      <c r="AD1572" s="135">
        <v>46141.0</v>
      </c>
      <c r="AE1572" s="135"/>
      <c r="AF1572" s="135"/>
      <c r="AG1572" s="135"/>
    </row>
    <row r="1573" ht="21.75" hidden="1" customHeight="1">
      <c r="A1573" s="135">
        <v>1569.0</v>
      </c>
      <c r="B1573" s="135">
        <v>25045.0</v>
      </c>
      <c r="C1573" s="135"/>
      <c r="D1573" s="135">
        <v>26.0</v>
      </c>
      <c r="E1573" s="135" t="s">
        <v>3857</v>
      </c>
      <c r="F1573" s="135" t="s">
        <v>363</v>
      </c>
      <c r="G1573" s="135" t="s">
        <v>140</v>
      </c>
      <c r="H1573" s="135" t="s">
        <v>2853</v>
      </c>
      <c r="I1573" s="135" t="s">
        <v>147</v>
      </c>
      <c r="J1573" s="135">
        <v>1.0</v>
      </c>
      <c r="K1573" s="135"/>
      <c r="L1573" s="135">
        <v>4321.0</v>
      </c>
      <c r="M1573" s="135">
        <v>3150.0</v>
      </c>
      <c r="N1573" s="135">
        <v>120.0</v>
      </c>
      <c r="O1573" s="135">
        <v>1.623</v>
      </c>
      <c r="P1573" s="136">
        <v>0.0</v>
      </c>
      <c r="Q1573" s="137">
        <v>4.0575</v>
      </c>
      <c r="R1573" s="136">
        <v>46127.0</v>
      </c>
      <c r="S1573" s="135" t="s">
        <v>3790</v>
      </c>
      <c r="T1573" s="136"/>
      <c r="U1573" s="135" t="s">
        <v>2864</v>
      </c>
      <c r="V1573" s="135" t="s">
        <v>2985</v>
      </c>
      <c r="W1573" s="135" t="s">
        <v>3861</v>
      </c>
      <c r="X1573" s="135" t="s">
        <v>3141</v>
      </c>
      <c r="Y1573" s="135"/>
      <c r="Z1573" s="135" t="s">
        <v>2858</v>
      </c>
      <c r="AA1573" s="135"/>
      <c r="AB1573" s="135"/>
      <c r="AC1573" s="135"/>
      <c r="AD1573" s="135">
        <v>0.0</v>
      </c>
      <c r="AE1573" s="135"/>
      <c r="AF1573" s="135"/>
      <c r="AG1573" s="135"/>
    </row>
    <row r="1574" ht="21.75" hidden="1" customHeight="1">
      <c r="A1574" s="135">
        <v>1570.0</v>
      </c>
      <c r="B1574" s="135">
        <v>25045.0</v>
      </c>
      <c r="C1574" s="135"/>
      <c r="D1574" s="135">
        <v>26.0</v>
      </c>
      <c r="E1574" s="135" t="s">
        <v>3857</v>
      </c>
      <c r="F1574" s="135" t="s">
        <v>364</v>
      </c>
      <c r="G1574" s="135" t="s">
        <v>140</v>
      </c>
      <c r="H1574" s="135" t="s">
        <v>2853</v>
      </c>
      <c r="I1574" s="135" t="s">
        <v>147</v>
      </c>
      <c r="J1574" s="135">
        <v>1.0</v>
      </c>
      <c r="K1574" s="135"/>
      <c r="L1574" s="135">
        <v>4512.0</v>
      </c>
      <c r="M1574" s="135">
        <v>3200.0</v>
      </c>
      <c r="N1574" s="135">
        <v>120.0</v>
      </c>
      <c r="O1574" s="135">
        <v>2.189</v>
      </c>
      <c r="P1574" s="136">
        <v>0.0</v>
      </c>
      <c r="Q1574" s="137">
        <v>5.4725</v>
      </c>
      <c r="R1574" s="136">
        <v>46127.0</v>
      </c>
      <c r="S1574" s="135" t="s">
        <v>3790</v>
      </c>
      <c r="T1574" s="136"/>
      <c r="U1574" s="135" t="s">
        <v>2855</v>
      </c>
      <c r="V1574" s="135" t="s">
        <v>2878</v>
      </c>
      <c r="W1574" s="135" t="s">
        <v>3862</v>
      </c>
      <c r="X1574" s="135"/>
      <c r="Y1574" s="135"/>
      <c r="Z1574" s="135" t="s">
        <v>2858</v>
      </c>
      <c r="AA1574" s="135"/>
      <c r="AB1574" s="135"/>
      <c r="AC1574" s="135"/>
      <c r="AD1574" s="135">
        <v>46139.0</v>
      </c>
      <c r="AE1574" s="135"/>
      <c r="AF1574" s="135"/>
      <c r="AG1574" s="135"/>
    </row>
    <row r="1575" ht="21.75" hidden="1" customHeight="1">
      <c r="A1575" s="135">
        <v>1571.0</v>
      </c>
      <c r="B1575" s="135">
        <v>25045.0</v>
      </c>
      <c r="C1575" s="135"/>
      <c r="D1575" s="135">
        <v>26.0</v>
      </c>
      <c r="E1575" s="135" t="s">
        <v>3857</v>
      </c>
      <c r="F1575" s="135" t="s">
        <v>365</v>
      </c>
      <c r="G1575" s="135" t="s">
        <v>140</v>
      </c>
      <c r="H1575" s="135" t="s">
        <v>2853</v>
      </c>
      <c r="I1575" s="135" t="s">
        <v>147</v>
      </c>
      <c r="J1575" s="135">
        <v>1.0</v>
      </c>
      <c r="K1575" s="135" t="s">
        <v>3134</v>
      </c>
      <c r="L1575" s="135">
        <v>4512.0</v>
      </c>
      <c r="M1575" s="135">
        <v>3200.0</v>
      </c>
      <c r="N1575" s="135">
        <v>120.0</v>
      </c>
      <c r="O1575" s="135">
        <v>2.189</v>
      </c>
      <c r="P1575" s="136">
        <v>0.0</v>
      </c>
      <c r="Q1575" s="137">
        <v>5.4725</v>
      </c>
      <c r="R1575" s="136">
        <v>46127.0</v>
      </c>
      <c r="S1575" s="135" t="s">
        <v>3790</v>
      </c>
      <c r="T1575" s="136"/>
      <c r="U1575" s="135" t="s">
        <v>2855</v>
      </c>
      <c r="V1575" s="135" t="s">
        <v>2878</v>
      </c>
      <c r="W1575" s="135" t="s">
        <v>3863</v>
      </c>
      <c r="X1575" s="135"/>
      <c r="Y1575" s="135"/>
      <c r="Z1575" s="135" t="s">
        <v>2858</v>
      </c>
      <c r="AA1575" s="135"/>
      <c r="AB1575" s="135"/>
      <c r="AC1575" s="135"/>
      <c r="AD1575" s="135">
        <v>46140.0</v>
      </c>
      <c r="AE1575" s="135"/>
      <c r="AF1575" s="135"/>
      <c r="AG1575" s="135"/>
    </row>
    <row r="1576" ht="21.75" hidden="1" customHeight="1">
      <c r="A1576" s="135">
        <v>1572.0</v>
      </c>
      <c r="B1576" s="135">
        <v>25045.0</v>
      </c>
      <c r="C1576" s="135"/>
      <c r="D1576" s="135">
        <v>26.0</v>
      </c>
      <c r="E1576" s="135" t="s">
        <v>3857</v>
      </c>
      <c r="F1576" s="135" t="s">
        <v>366</v>
      </c>
      <c r="G1576" s="135" t="s">
        <v>140</v>
      </c>
      <c r="H1576" s="135" t="s">
        <v>2853</v>
      </c>
      <c r="I1576" s="135" t="s">
        <v>147</v>
      </c>
      <c r="J1576" s="135">
        <v>1.0</v>
      </c>
      <c r="K1576" s="135" t="s">
        <v>3134</v>
      </c>
      <c r="L1576" s="135">
        <v>4512.0</v>
      </c>
      <c r="M1576" s="135">
        <v>3200.0</v>
      </c>
      <c r="N1576" s="135">
        <v>120.0</v>
      </c>
      <c r="O1576" s="135">
        <v>2.189</v>
      </c>
      <c r="P1576" s="136">
        <v>0.0</v>
      </c>
      <c r="Q1576" s="137">
        <v>5.4725</v>
      </c>
      <c r="R1576" s="136">
        <v>46127.0</v>
      </c>
      <c r="S1576" s="135" t="s">
        <v>3790</v>
      </c>
      <c r="T1576" s="136"/>
      <c r="U1576" s="135" t="s">
        <v>2855</v>
      </c>
      <c r="V1576" s="135" t="s">
        <v>2878</v>
      </c>
      <c r="W1576" s="135" t="s">
        <v>3863</v>
      </c>
      <c r="X1576" s="135"/>
      <c r="Y1576" s="135"/>
      <c r="Z1576" s="135" t="s">
        <v>2858</v>
      </c>
      <c r="AA1576" s="135"/>
      <c r="AB1576" s="135"/>
      <c r="AC1576" s="135"/>
      <c r="AD1576" s="135">
        <v>46141.0</v>
      </c>
      <c r="AE1576" s="135"/>
      <c r="AF1576" s="135"/>
      <c r="AG1576" s="135"/>
    </row>
    <row r="1577" ht="21.75" hidden="1" customHeight="1">
      <c r="A1577" s="135">
        <v>1573.0</v>
      </c>
      <c r="B1577" s="135">
        <v>25045.0</v>
      </c>
      <c r="C1577" s="135"/>
      <c r="D1577" s="135">
        <v>26.0</v>
      </c>
      <c r="E1577" s="135" t="s">
        <v>3857</v>
      </c>
      <c r="F1577" s="135" t="s">
        <v>367</v>
      </c>
      <c r="G1577" s="135" t="s">
        <v>140</v>
      </c>
      <c r="H1577" s="135" t="s">
        <v>2853</v>
      </c>
      <c r="I1577" s="135" t="s">
        <v>147</v>
      </c>
      <c r="J1577" s="135">
        <v>1.0</v>
      </c>
      <c r="K1577" s="135" t="s">
        <v>3134</v>
      </c>
      <c r="L1577" s="135">
        <v>4512.0</v>
      </c>
      <c r="M1577" s="135">
        <v>3200.0</v>
      </c>
      <c r="N1577" s="135">
        <v>120.0</v>
      </c>
      <c r="O1577" s="135">
        <v>2.189</v>
      </c>
      <c r="P1577" s="136">
        <v>0.0</v>
      </c>
      <c r="Q1577" s="137">
        <v>5.4725</v>
      </c>
      <c r="R1577" s="136">
        <v>46127.0</v>
      </c>
      <c r="S1577" s="135" t="s">
        <v>3790</v>
      </c>
      <c r="T1577" s="136"/>
      <c r="U1577" s="135" t="s">
        <v>2855</v>
      </c>
      <c r="V1577" s="135" t="s">
        <v>2878</v>
      </c>
      <c r="W1577" s="135" t="s">
        <v>3863</v>
      </c>
      <c r="X1577" s="135"/>
      <c r="Y1577" s="135"/>
      <c r="Z1577" s="135" t="s">
        <v>2858</v>
      </c>
      <c r="AA1577" s="135"/>
      <c r="AB1577" s="135"/>
      <c r="AC1577" s="135"/>
      <c r="AD1577" s="135">
        <v>46142.0</v>
      </c>
      <c r="AE1577" s="135"/>
      <c r="AF1577" s="135"/>
      <c r="AG1577" s="135"/>
    </row>
    <row r="1578" ht="21.75" hidden="1" customHeight="1">
      <c r="A1578" s="135">
        <v>1574.0</v>
      </c>
      <c r="B1578" s="135">
        <v>25045.0</v>
      </c>
      <c r="C1578" s="135"/>
      <c r="D1578" s="135">
        <v>26.0</v>
      </c>
      <c r="E1578" s="135" t="s">
        <v>3857</v>
      </c>
      <c r="F1578" s="135" t="s">
        <v>368</v>
      </c>
      <c r="G1578" s="135" t="s">
        <v>140</v>
      </c>
      <c r="H1578" s="135" t="s">
        <v>2853</v>
      </c>
      <c r="I1578" s="135" t="s">
        <v>147</v>
      </c>
      <c r="J1578" s="135">
        <v>1.0</v>
      </c>
      <c r="K1578" s="135"/>
      <c r="L1578" s="135">
        <v>4512.0</v>
      </c>
      <c r="M1578" s="135">
        <v>3200.0</v>
      </c>
      <c r="N1578" s="135">
        <v>120.0</v>
      </c>
      <c r="O1578" s="135">
        <v>1.853</v>
      </c>
      <c r="P1578" s="136">
        <v>0.0</v>
      </c>
      <c r="Q1578" s="137">
        <v>4.6325</v>
      </c>
      <c r="R1578" s="136">
        <v>46127.0</v>
      </c>
      <c r="S1578" s="135" t="s">
        <v>3790</v>
      </c>
      <c r="T1578" s="136"/>
      <c r="U1578" s="135" t="s">
        <v>2864</v>
      </c>
      <c r="V1578" s="135" t="s">
        <v>2890</v>
      </c>
      <c r="W1578" s="135" t="s">
        <v>3864</v>
      </c>
      <c r="X1578" s="135" t="s">
        <v>3802</v>
      </c>
      <c r="Y1578" s="135"/>
      <c r="Z1578" s="135" t="s">
        <v>2858</v>
      </c>
      <c r="AA1578" s="135"/>
      <c r="AB1578" s="135"/>
      <c r="AC1578" s="135"/>
      <c r="AD1578" s="135">
        <v>46148.0</v>
      </c>
      <c r="AE1578" s="135"/>
      <c r="AF1578" s="135"/>
      <c r="AG1578" s="135"/>
    </row>
    <row r="1579" ht="21.75" hidden="1" customHeight="1">
      <c r="A1579" s="135">
        <v>1575.0</v>
      </c>
      <c r="B1579" s="135">
        <v>25045.0</v>
      </c>
      <c r="C1579" s="135"/>
      <c r="D1579" s="135">
        <v>26.0</v>
      </c>
      <c r="E1579" s="135" t="s">
        <v>3857</v>
      </c>
      <c r="F1579" s="135" t="s">
        <v>369</v>
      </c>
      <c r="G1579" s="135" t="s">
        <v>140</v>
      </c>
      <c r="H1579" s="135" t="s">
        <v>2853</v>
      </c>
      <c r="I1579" s="135" t="s">
        <v>147</v>
      </c>
      <c r="J1579" s="135">
        <v>1.0</v>
      </c>
      <c r="K1579" s="135"/>
      <c r="L1579" s="135">
        <v>1735.0</v>
      </c>
      <c r="M1579" s="135">
        <v>1230.0</v>
      </c>
      <c r="N1579" s="135">
        <v>120.0</v>
      </c>
      <c r="O1579" s="135">
        <v>0.375</v>
      </c>
      <c r="P1579" s="136">
        <v>0.0</v>
      </c>
      <c r="Q1579" s="137">
        <v>0.9375</v>
      </c>
      <c r="R1579" s="136">
        <v>46127.0</v>
      </c>
      <c r="S1579" s="135" t="s">
        <v>3790</v>
      </c>
      <c r="T1579" s="136"/>
      <c r="U1579" s="135" t="s">
        <v>2864</v>
      </c>
      <c r="V1579" s="135" t="s">
        <v>2953</v>
      </c>
      <c r="W1579" s="135" t="s">
        <v>3865</v>
      </c>
      <c r="X1579" s="135"/>
      <c r="Y1579" s="135"/>
      <c r="Z1579" s="135" t="s">
        <v>2858</v>
      </c>
      <c r="AA1579" s="135"/>
      <c r="AB1579" s="135"/>
      <c r="AC1579" s="135" t="s">
        <v>2863</v>
      </c>
      <c r="AD1579" s="135">
        <v>0.0</v>
      </c>
      <c r="AE1579" s="135"/>
      <c r="AF1579" s="135"/>
      <c r="AG1579" s="135"/>
    </row>
    <row r="1580" ht="21.75" hidden="1" customHeight="1">
      <c r="A1580" s="135">
        <v>1576.0</v>
      </c>
      <c r="B1580" s="135">
        <v>25045.0</v>
      </c>
      <c r="C1580" s="135"/>
      <c r="D1580" s="135">
        <v>26.0</v>
      </c>
      <c r="E1580" s="135" t="s">
        <v>3857</v>
      </c>
      <c r="F1580" s="135" t="s">
        <v>370</v>
      </c>
      <c r="G1580" s="135" t="s">
        <v>140</v>
      </c>
      <c r="H1580" s="135" t="s">
        <v>2853</v>
      </c>
      <c r="I1580" s="135" t="s">
        <v>147</v>
      </c>
      <c r="J1580" s="135">
        <v>1.0</v>
      </c>
      <c r="K1580" s="135"/>
      <c r="L1580" s="135">
        <v>2875.0</v>
      </c>
      <c r="M1580" s="135">
        <v>1000.0</v>
      </c>
      <c r="N1580" s="135">
        <v>120.0</v>
      </c>
      <c r="O1580" s="135">
        <v>0.49</v>
      </c>
      <c r="P1580" s="136">
        <v>0.0</v>
      </c>
      <c r="Q1580" s="137">
        <v>1.225</v>
      </c>
      <c r="R1580" s="136">
        <v>46127.0</v>
      </c>
      <c r="S1580" s="135" t="s">
        <v>3790</v>
      </c>
      <c r="T1580" s="136"/>
      <c r="U1580" s="135" t="s">
        <v>2950</v>
      </c>
      <c r="V1580" s="135" t="s">
        <v>2951</v>
      </c>
      <c r="W1580" s="135" t="s">
        <v>3822</v>
      </c>
      <c r="X1580" s="135"/>
      <c r="Y1580" s="135"/>
      <c r="Z1580" s="135" t="s">
        <v>2858</v>
      </c>
      <c r="AA1580" s="135"/>
      <c r="AB1580" s="135"/>
      <c r="AC1580" s="135"/>
      <c r="AD1580" s="135">
        <v>46143.0</v>
      </c>
      <c r="AE1580" s="135"/>
      <c r="AF1580" s="135"/>
      <c r="AG1580" s="135"/>
    </row>
    <row r="1581" ht="21.75" hidden="1" customHeight="1">
      <c r="A1581" s="135">
        <v>1577.0</v>
      </c>
      <c r="B1581" s="135">
        <v>25045.0</v>
      </c>
      <c r="C1581" s="135"/>
      <c r="D1581" s="135">
        <v>26.0</v>
      </c>
      <c r="E1581" s="135" t="s">
        <v>3857</v>
      </c>
      <c r="F1581" s="135" t="s">
        <v>371</v>
      </c>
      <c r="G1581" s="135" t="s">
        <v>140</v>
      </c>
      <c r="H1581" s="135" t="s">
        <v>2965</v>
      </c>
      <c r="I1581" s="135" t="s">
        <v>147</v>
      </c>
      <c r="J1581" s="135">
        <v>1.0</v>
      </c>
      <c r="K1581" s="135"/>
      <c r="L1581" s="135">
        <v>400.0</v>
      </c>
      <c r="M1581" s="135">
        <v>2880.0</v>
      </c>
      <c r="N1581" s="135">
        <v>350.0</v>
      </c>
      <c r="O1581" s="135">
        <v>0.467</v>
      </c>
      <c r="P1581" s="136">
        <v>0.0</v>
      </c>
      <c r="Q1581" s="137">
        <v>1.1675</v>
      </c>
      <c r="R1581" s="136">
        <v>46127.0</v>
      </c>
      <c r="S1581" s="135" t="s">
        <v>3790</v>
      </c>
      <c r="T1581" s="136"/>
      <c r="U1581" s="135" t="s">
        <v>2966</v>
      </c>
      <c r="V1581" s="135" t="s">
        <v>2967</v>
      </c>
      <c r="W1581" s="135"/>
      <c r="X1581" s="135" t="s">
        <v>2969</v>
      </c>
      <c r="Y1581" s="135"/>
      <c r="Z1581" s="135" t="s">
        <v>2858</v>
      </c>
      <c r="AA1581" s="135"/>
      <c r="AB1581" s="135"/>
      <c r="AC1581" s="135" t="s">
        <v>2863</v>
      </c>
      <c r="AD1581" s="135">
        <v>0.0</v>
      </c>
      <c r="AE1581" s="135"/>
      <c r="AF1581" s="135"/>
      <c r="AG1581" s="135"/>
    </row>
    <row r="1582" ht="21.75" hidden="1" customHeight="1">
      <c r="A1582" s="135">
        <v>1578.0</v>
      </c>
      <c r="B1582" s="135">
        <v>25045.0</v>
      </c>
      <c r="C1582" s="135" t="s">
        <v>2817</v>
      </c>
      <c r="D1582" s="135">
        <v>26.0</v>
      </c>
      <c r="E1582" s="135" t="s">
        <v>3866</v>
      </c>
      <c r="F1582" s="135" t="s">
        <v>372</v>
      </c>
      <c r="G1582" s="135" t="s">
        <v>140</v>
      </c>
      <c r="H1582" s="135" t="s">
        <v>2853</v>
      </c>
      <c r="I1582" s="135" t="s">
        <v>148</v>
      </c>
      <c r="J1582" s="135">
        <v>1.0</v>
      </c>
      <c r="K1582" s="135"/>
      <c r="L1582" s="135">
        <v>2395.0</v>
      </c>
      <c r="M1582" s="135">
        <v>3100.0</v>
      </c>
      <c r="N1582" s="135">
        <v>120.0</v>
      </c>
      <c r="O1582" s="135">
        <v>0.92</v>
      </c>
      <c r="P1582" s="136">
        <v>0.0</v>
      </c>
      <c r="Q1582" s="137">
        <v>2.3000000000000003</v>
      </c>
      <c r="R1582" s="136">
        <v>46127.0</v>
      </c>
      <c r="S1582" s="135" t="s">
        <v>3790</v>
      </c>
      <c r="T1582" s="136"/>
      <c r="U1582" s="135" t="s">
        <v>2864</v>
      </c>
      <c r="V1582" s="135" t="s">
        <v>2878</v>
      </c>
      <c r="W1582" s="135" t="s">
        <v>3834</v>
      </c>
      <c r="X1582" s="135" t="s">
        <v>3867</v>
      </c>
      <c r="Y1582" s="135"/>
      <c r="Z1582" s="135" t="s">
        <v>2858</v>
      </c>
      <c r="AA1582" s="135"/>
      <c r="AB1582" s="135"/>
      <c r="AC1582" s="135"/>
      <c r="AD1582" s="135">
        <v>46133.0</v>
      </c>
      <c r="AE1582" s="135"/>
      <c r="AF1582" s="135"/>
      <c r="AG1582" s="135"/>
    </row>
    <row r="1583" ht="21.75" hidden="1" customHeight="1">
      <c r="A1583" s="135">
        <v>1579.0</v>
      </c>
      <c r="B1583" s="135">
        <v>25045.0</v>
      </c>
      <c r="C1583" s="135" t="s">
        <v>2817</v>
      </c>
      <c r="D1583" s="135">
        <v>26.0</v>
      </c>
      <c r="E1583" s="135" t="s">
        <v>3866</v>
      </c>
      <c r="F1583" s="135" t="s">
        <v>373</v>
      </c>
      <c r="G1583" s="135" t="s">
        <v>140</v>
      </c>
      <c r="H1583" s="135" t="s">
        <v>2853</v>
      </c>
      <c r="I1583" s="135" t="s">
        <v>148</v>
      </c>
      <c r="J1583" s="135">
        <v>1.0</v>
      </c>
      <c r="K1583" s="135"/>
      <c r="L1583" s="135">
        <v>3340.0</v>
      </c>
      <c r="M1583" s="135">
        <v>3100.0</v>
      </c>
      <c r="N1583" s="135">
        <v>120.0</v>
      </c>
      <c r="O1583" s="135">
        <v>1.361</v>
      </c>
      <c r="P1583" s="136">
        <v>0.0</v>
      </c>
      <c r="Q1583" s="137">
        <v>3.4025</v>
      </c>
      <c r="R1583" s="136">
        <v>46127.0</v>
      </c>
      <c r="S1583" s="135" t="s">
        <v>3790</v>
      </c>
      <c r="T1583" s="136"/>
      <c r="U1583" s="135" t="s">
        <v>2864</v>
      </c>
      <c r="V1583" s="135" t="s">
        <v>2878</v>
      </c>
      <c r="W1583" s="135" t="s">
        <v>3028</v>
      </c>
      <c r="X1583" s="135" t="s">
        <v>2870</v>
      </c>
      <c r="Y1583" s="135"/>
      <c r="Z1583" s="135" t="s">
        <v>2858</v>
      </c>
      <c r="AA1583" s="135"/>
      <c r="AB1583" s="135"/>
      <c r="AC1583" s="135"/>
      <c r="AD1583" s="135">
        <v>46133.0</v>
      </c>
      <c r="AE1583" s="135"/>
      <c r="AF1583" s="135"/>
      <c r="AG1583" s="135"/>
    </row>
    <row r="1584" ht="21.75" hidden="1" customHeight="1">
      <c r="A1584" s="135">
        <v>1580.0</v>
      </c>
      <c r="B1584" s="135">
        <v>25045.0</v>
      </c>
      <c r="C1584" s="135"/>
      <c r="D1584" s="135">
        <v>26.0</v>
      </c>
      <c r="E1584" s="135" t="s">
        <v>3866</v>
      </c>
      <c r="F1584" s="135" t="s">
        <v>374</v>
      </c>
      <c r="G1584" s="135" t="s">
        <v>140</v>
      </c>
      <c r="H1584" s="135" t="s">
        <v>2853</v>
      </c>
      <c r="I1584" s="135" t="s">
        <v>148</v>
      </c>
      <c r="J1584" s="135">
        <v>1.0</v>
      </c>
      <c r="K1584" s="135"/>
      <c r="L1584" s="135">
        <v>2315.0</v>
      </c>
      <c r="M1584" s="135">
        <v>2986.0</v>
      </c>
      <c r="N1584" s="135">
        <v>120.0</v>
      </c>
      <c r="O1584" s="135">
        <v>0.762</v>
      </c>
      <c r="P1584" s="136">
        <v>0.0</v>
      </c>
      <c r="Q1584" s="137">
        <v>1.905</v>
      </c>
      <c r="R1584" s="136">
        <v>46127.0</v>
      </c>
      <c r="S1584" s="135" t="s">
        <v>3790</v>
      </c>
      <c r="T1584" s="136"/>
      <c r="U1584" s="135" t="s">
        <v>2864</v>
      </c>
      <c r="V1584" s="135" t="s">
        <v>2878</v>
      </c>
      <c r="W1584" s="135" t="s">
        <v>3868</v>
      </c>
      <c r="X1584" s="135" t="s">
        <v>3586</v>
      </c>
      <c r="Y1584" s="135"/>
      <c r="Z1584" s="135" t="s">
        <v>2858</v>
      </c>
      <c r="AA1584" s="135"/>
      <c r="AB1584" s="135"/>
      <c r="AC1584" s="135"/>
      <c r="AD1584" s="135">
        <v>46134.0</v>
      </c>
      <c r="AE1584" s="135"/>
      <c r="AF1584" s="135"/>
      <c r="AG1584" s="135"/>
    </row>
    <row r="1585" ht="21.75" hidden="1" customHeight="1">
      <c r="A1585" s="135">
        <v>1581.0</v>
      </c>
      <c r="B1585" s="135">
        <v>25045.0</v>
      </c>
      <c r="C1585" s="135" t="s">
        <v>2817</v>
      </c>
      <c r="D1585" s="135">
        <v>26.0</v>
      </c>
      <c r="E1585" s="135" t="s">
        <v>3866</v>
      </c>
      <c r="F1585" s="135" t="s">
        <v>375</v>
      </c>
      <c r="G1585" s="135" t="s">
        <v>140</v>
      </c>
      <c r="H1585" s="135" t="s">
        <v>2853</v>
      </c>
      <c r="I1585" s="135" t="s">
        <v>148</v>
      </c>
      <c r="J1585" s="135">
        <v>1.0</v>
      </c>
      <c r="K1585" s="135"/>
      <c r="L1585" s="135">
        <v>4069.0</v>
      </c>
      <c r="M1585" s="135">
        <v>3100.0</v>
      </c>
      <c r="N1585" s="135">
        <v>120.0</v>
      </c>
      <c r="O1585" s="135">
        <v>1.681</v>
      </c>
      <c r="P1585" s="136">
        <v>0.0</v>
      </c>
      <c r="Q1585" s="137">
        <v>4.202500000000001</v>
      </c>
      <c r="R1585" s="136">
        <v>46127.0</v>
      </c>
      <c r="S1585" s="135" t="s">
        <v>3790</v>
      </c>
      <c r="T1585" s="136"/>
      <c r="U1585" s="135" t="s">
        <v>2864</v>
      </c>
      <c r="V1585" s="135" t="s">
        <v>2865</v>
      </c>
      <c r="W1585" s="135" t="s">
        <v>3869</v>
      </c>
      <c r="X1585" s="135" t="s">
        <v>2872</v>
      </c>
      <c r="Y1585" s="135"/>
      <c r="Z1585" s="135" t="s">
        <v>2858</v>
      </c>
      <c r="AA1585" s="135"/>
      <c r="AB1585" s="135"/>
      <c r="AC1585" s="135"/>
      <c r="AD1585" s="135" t="e">
        <v>#N/A</v>
      </c>
      <c r="AE1585" s="135"/>
      <c r="AF1585" s="135"/>
      <c r="AG1585" s="135"/>
    </row>
    <row r="1586" ht="21.75" hidden="1" customHeight="1">
      <c r="A1586" s="135">
        <v>1582.0</v>
      </c>
      <c r="B1586" s="135">
        <v>25045.0</v>
      </c>
      <c r="C1586" s="135" t="s">
        <v>2817</v>
      </c>
      <c r="D1586" s="135">
        <v>26.0</v>
      </c>
      <c r="E1586" s="135" t="s">
        <v>3866</v>
      </c>
      <c r="F1586" s="135" t="s">
        <v>376</v>
      </c>
      <c r="G1586" s="135" t="s">
        <v>140</v>
      </c>
      <c r="H1586" s="135" t="s">
        <v>2853</v>
      </c>
      <c r="I1586" s="135" t="s">
        <v>148</v>
      </c>
      <c r="J1586" s="135">
        <v>1.0</v>
      </c>
      <c r="K1586" s="135"/>
      <c r="L1586" s="135">
        <v>4142.0</v>
      </c>
      <c r="M1586" s="135">
        <v>3100.0</v>
      </c>
      <c r="N1586" s="135">
        <v>120.0</v>
      </c>
      <c r="O1586" s="135">
        <v>1.692</v>
      </c>
      <c r="P1586" s="136">
        <v>0.0</v>
      </c>
      <c r="Q1586" s="137">
        <v>4.2299999999999995</v>
      </c>
      <c r="R1586" s="136">
        <v>46127.0</v>
      </c>
      <c r="S1586" s="135" t="s">
        <v>3790</v>
      </c>
      <c r="T1586" s="136"/>
      <c r="U1586" s="135" t="s">
        <v>2864</v>
      </c>
      <c r="V1586" s="135" t="s">
        <v>2865</v>
      </c>
      <c r="W1586" s="135" t="s">
        <v>3870</v>
      </c>
      <c r="X1586" s="135" t="s">
        <v>2870</v>
      </c>
      <c r="Y1586" s="135"/>
      <c r="Z1586" s="135" t="s">
        <v>2858</v>
      </c>
      <c r="AA1586" s="135"/>
      <c r="AB1586" s="135"/>
      <c r="AC1586" s="135"/>
      <c r="AD1586" s="135" t="e">
        <v>#N/A</v>
      </c>
      <c r="AE1586" s="135"/>
      <c r="AF1586" s="135"/>
      <c r="AG1586" s="135"/>
    </row>
    <row r="1587" ht="21.75" hidden="1" customHeight="1">
      <c r="A1587" s="135">
        <v>1583.0</v>
      </c>
      <c r="B1587" s="135">
        <v>25045.0</v>
      </c>
      <c r="C1587" s="135"/>
      <c r="D1587" s="135">
        <v>26.0</v>
      </c>
      <c r="E1587" s="135" t="s">
        <v>3866</v>
      </c>
      <c r="F1587" s="135" t="s">
        <v>377</v>
      </c>
      <c r="G1587" s="135" t="s">
        <v>140</v>
      </c>
      <c r="H1587" s="135" t="s">
        <v>2853</v>
      </c>
      <c r="I1587" s="135" t="s">
        <v>148</v>
      </c>
      <c r="J1587" s="135">
        <v>1.0</v>
      </c>
      <c r="K1587" s="135"/>
      <c r="L1587" s="135">
        <v>4090.0</v>
      </c>
      <c r="M1587" s="135">
        <v>2986.0</v>
      </c>
      <c r="N1587" s="135">
        <v>120.0</v>
      </c>
      <c r="O1587" s="135">
        <v>1.626</v>
      </c>
      <c r="P1587" s="136">
        <v>0.0</v>
      </c>
      <c r="Q1587" s="137">
        <v>4.0649999999999995</v>
      </c>
      <c r="R1587" s="136">
        <v>46127.0</v>
      </c>
      <c r="S1587" s="135" t="s">
        <v>3790</v>
      </c>
      <c r="T1587" s="136"/>
      <c r="U1587" s="135" t="s">
        <v>2864</v>
      </c>
      <c r="V1587" s="135" t="s">
        <v>2865</v>
      </c>
      <c r="W1587" s="135" t="s">
        <v>2971</v>
      </c>
      <c r="X1587" s="135" t="s">
        <v>2872</v>
      </c>
      <c r="Y1587" s="135"/>
      <c r="Z1587" s="135" t="s">
        <v>2858</v>
      </c>
      <c r="AA1587" s="135"/>
      <c r="AB1587" s="135"/>
      <c r="AC1587" s="135"/>
      <c r="AD1587" s="135">
        <v>46140.0</v>
      </c>
      <c r="AE1587" s="135"/>
      <c r="AF1587" s="135"/>
      <c r="AG1587" s="135"/>
    </row>
    <row r="1588" ht="21.75" hidden="1" customHeight="1">
      <c r="A1588" s="135">
        <v>1584.0</v>
      </c>
      <c r="B1588" s="135">
        <v>25045.0</v>
      </c>
      <c r="C1588" s="135"/>
      <c r="D1588" s="135">
        <v>26.0</v>
      </c>
      <c r="E1588" s="135" t="s">
        <v>3866</v>
      </c>
      <c r="F1588" s="135" t="s">
        <v>378</v>
      </c>
      <c r="G1588" s="135" t="s">
        <v>140</v>
      </c>
      <c r="H1588" s="135" t="s">
        <v>2853</v>
      </c>
      <c r="I1588" s="135" t="s">
        <v>148</v>
      </c>
      <c r="J1588" s="135">
        <v>1.0</v>
      </c>
      <c r="K1588" s="135"/>
      <c r="L1588" s="135">
        <v>4350.0</v>
      </c>
      <c r="M1588" s="135">
        <v>3086.0</v>
      </c>
      <c r="N1588" s="135">
        <v>120.0</v>
      </c>
      <c r="O1588" s="135">
        <v>1.74</v>
      </c>
      <c r="P1588" s="136">
        <v>0.0</v>
      </c>
      <c r="Q1588" s="137">
        <v>4.35</v>
      </c>
      <c r="R1588" s="136">
        <v>46127.0</v>
      </c>
      <c r="S1588" s="135" t="s">
        <v>3790</v>
      </c>
      <c r="T1588" s="136"/>
      <c r="U1588" s="135" t="s">
        <v>2864</v>
      </c>
      <c r="V1588" s="135" t="s">
        <v>2865</v>
      </c>
      <c r="W1588" s="135" t="s">
        <v>3307</v>
      </c>
      <c r="X1588" s="135" t="s">
        <v>2867</v>
      </c>
      <c r="Y1588" s="135"/>
      <c r="Z1588" s="135" t="s">
        <v>2858</v>
      </c>
      <c r="AA1588" s="135"/>
      <c r="AB1588" s="135"/>
      <c r="AC1588" s="135"/>
      <c r="AD1588" s="135">
        <v>46141.0</v>
      </c>
      <c r="AE1588" s="135"/>
      <c r="AF1588" s="135"/>
      <c r="AG1588" s="135"/>
    </row>
    <row r="1589" ht="21.75" hidden="1" customHeight="1">
      <c r="A1589" s="135">
        <v>1585.0</v>
      </c>
      <c r="B1589" s="135">
        <v>25045.0</v>
      </c>
      <c r="C1589" s="135"/>
      <c r="D1589" s="135">
        <v>26.0</v>
      </c>
      <c r="E1589" s="135" t="s">
        <v>3866</v>
      </c>
      <c r="F1589" s="135" t="s">
        <v>379</v>
      </c>
      <c r="G1589" s="135" t="s">
        <v>140</v>
      </c>
      <c r="H1589" s="135" t="s">
        <v>2853</v>
      </c>
      <c r="I1589" s="135" t="s">
        <v>148</v>
      </c>
      <c r="J1589" s="135">
        <v>1.0</v>
      </c>
      <c r="K1589" s="135"/>
      <c r="L1589" s="135">
        <v>5590.0</v>
      </c>
      <c r="M1589" s="135">
        <v>2986.0</v>
      </c>
      <c r="N1589" s="135">
        <v>120.0</v>
      </c>
      <c r="O1589" s="135">
        <v>2.155</v>
      </c>
      <c r="P1589" s="136">
        <v>0.0</v>
      </c>
      <c r="Q1589" s="137">
        <v>5.387499999999999</v>
      </c>
      <c r="R1589" s="136">
        <v>46127.0</v>
      </c>
      <c r="S1589" s="135" t="s">
        <v>3790</v>
      </c>
      <c r="T1589" s="136"/>
      <c r="U1589" s="135" t="s">
        <v>2855</v>
      </c>
      <c r="V1589" s="135" t="s">
        <v>2868</v>
      </c>
      <c r="W1589" s="135" t="s">
        <v>3871</v>
      </c>
      <c r="X1589" s="135" t="s">
        <v>2872</v>
      </c>
      <c r="Y1589" s="135"/>
      <c r="Z1589" s="135" t="s">
        <v>2858</v>
      </c>
      <c r="AA1589" s="135"/>
      <c r="AB1589" s="135"/>
      <c r="AC1589" s="135"/>
      <c r="AD1589" s="135">
        <v>46139.0</v>
      </c>
      <c r="AE1589" s="135"/>
      <c r="AF1589" s="135"/>
      <c r="AG1589" s="135"/>
    </row>
    <row r="1590" ht="21.75" hidden="1" customHeight="1">
      <c r="A1590" s="135">
        <v>1586.0</v>
      </c>
      <c r="B1590" s="135">
        <v>25045.0</v>
      </c>
      <c r="C1590" s="135"/>
      <c r="D1590" s="135">
        <v>26.0</v>
      </c>
      <c r="E1590" s="135" t="s">
        <v>3866</v>
      </c>
      <c r="F1590" s="135" t="s">
        <v>380</v>
      </c>
      <c r="G1590" s="135" t="s">
        <v>140</v>
      </c>
      <c r="H1590" s="135" t="s">
        <v>2853</v>
      </c>
      <c r="I1590" s="135" t="s">
        <v>148</v>
      </c>
      <c r="J1590" s="135">
        <v>1.0</v>
      </c>
      <c r="K1590" s="135"/>
      <c r="L1590" s="135">
        <v>5140.0</v>
      </c>
      <c r="M1590" s="135">
        <v>2986.0</v>
      </c>
      <c r="N1590" s="135">
        <v>120.0</v>
      </c>
      <c r="O1590" s="135">
        <v>2.035</v>
      </c>
      <c r="P1590" s="136">
        <v>0.0</v>
      </c>
      <c r="Q1590" s="137">
        <v>5.0875</v>
      </c>
      <c r="R1590" s="136">
        <v>46127.0</v>
      </c>
      <c r="S1590" s="135" t="s">
        <v>3790</v>
      </c>
      <c r="T1590" s="136"/>
      <c r="U1590" s="135" t="s">
        <v>2855</v>
      </c>
      <c r="V1590" s="135" t="s">
        <v>2868</v>
      </c>
      <c r="W1590" s="135" t="s">
        <v>3308</v>
      </c>
      <c r="X1590" s="135" t="s">
        <v>2870</v>
      </c>
      <c r="Y1590" s="135"/>
      <c r="Z1590" s="135" t="s">
        <v>2858</v>
      </c>
      <c r="AA1590" s="135"/>
      <c r="AB1590" s="135"/>
      <c r="AC1590" s="135"/>
      <c r="AD1590" s="135">
        <v>46140.0</v>
      </c>
      <c r="AE1590" s="135"/>
      <c r="AF1590" s="135"/>
      <c r="AG1590" s="135"/>
    </row>
    <row r="1591" ht="21.75" hidden="1" customHeight="1">
      <c r="A1591" s="135">
        <v>1587.0</v>
      </c>
      <c r="B1591" s="135">
        <v>25045.0</v>
      </c>
      <c r="C1591" s="135"/>
      <c r="D1591" s="135">
        <v>26.0</v>
      </c>
      <c r="E1591" s="135" t="s">
        <v>3866</v>
      </c>
      <c r="F1591" s="135" t="s">
        <v>381</v>
      </c>
      <c r="G1591" s="135" t="s">
        <v>140</v>
      </c>
      <c r="H1591" s="135" t="s">
        <v>2853</v>
      </c>
      <c r="I1591" s="135" t="s">
        <v>148</v>
      </c>
      <c r="J1591" s="135">
        <v>1.0</v>
      </c>
      <c r="K1591" s="135"/>
      <c r="L1591" s="135">
        <v>5015.0</v>
      </c>
      <c r="M1591" s="135">
        <v>3200.0</v>
      </c>
      <c r="N1591" s="135">
        <v>120.0</v>
      </c>
      <c r="O1591" s="135">
        <v>2.334</v>
      </c>
      <c r="P1591" s="136">
        <v>0.0</v>
      </c>
      <c r="Q1591" s="137">
        <v>5.835</v>
      </c>
      <c r="R1591" s="136">
        <v>46127.0</v>
      </c>
      <c r="S1591" s="135" t="s">
        <v>3790</v>
      </c>
      <c r="T1591" s="136"/>
      <c r="U1591" s="135" t="s">
        <v>2855</v>
      </c>
      <c r="V1591" s="135" t="s">
        <v>2878</v>
      </c>
      <c r="W1591" s="135" t="s">
        <v>3056</v>
      </c>
      <c r="X1591" s="135"/>
      <c r="Y1591" s="135"/>
      <c r="Z1591" s="135" t="s">
        <v>2858</v>
      </c>
      <c r="AA1591" s="135"/>
      <c r="AB1591" s="135"/>
      <c r="AC1591" s="135"/>
      <c r="AD1591" s="135">
        <v>46137.0</v>
      </c>
      <c r="AE1591" s="135"/>
      <c r="AF1591" s="135"/>
      <c r="AG1591" s="135"/>
    </row>
    <row r="1592" ht="21.75" hidden="1" customHeight="1">
      <c r="A1592" s="135">
        <v>1588.0</v>
      </c>
      <c r="B1592" s="135">
        <v>25045.0</v>
      </c>
      <c r="C1592" s="135"/>
      <c r="D1592" s="135">
        <v>26.0</v>
      </c>
      <c r="E1592" s="135" t="s">
        <v>3866</v>
      </c>
      <c r="F1592" s="135" t="s">
        <v>382</v>
      </c>
      <c r="G1592" s="135" t="s">
        <v>140</v>
      </c>
      <c r="H1592" s="135" t="s">
        <v>2853</v>
      </c>
      <c r="I1592" s="135" t="s">
        <v>148</v>
      </c>
      <c r="J1592" s="135">
        <v>1.0</v>
      </c>
      <c r="K1592" s="135" t="s">
        <v>3134</v>
      </c>
      <c r="L1592" s="135">
        <v>4400.0</v>
      </c>
      <c r="M1592" s="135">
        <v>3200.0</v>
      </c>
      <c r="N1592" s="135">
        <v>120.0</v>
      </c>
      <c r="O1592" s="135">
        <v>2.157</v>
      </c>
      <c r="P1592" s="136">
        <v>0.0</v>
      </c>
      <c r="Q1592" s="137">
        <v>5.3925</v>
      </c>
      <c r="R1592" s="136">
        <v>46127.0</v>
      </c>
      <c r="S1592" s="135" t="s">
        <v>3790</v>
      </c>
      <c r="T1592" s="136"/>
      <c r="U1592" s="135" t="s">
        <v>2855</v>
      </c>
      <c r="V1592" s="135" t="s">
        <v>2878</v>
      </c>
      <c r="W1592" s="135" t="s">
        <v>3872</v>
      </c>
      <c r="X1592" s="135"/>
      <c r="Y1592" s="135"/>
      <c r="Z1592" s="135" t="s">
        <v>2858</v>
      </c>
      <c r="AA1592" s="135"/>
      <c r="AB1592" s="135"/>
      <c r="AC1592" s="135"/>
      <c r="AD1592" s="135">
        <v>46143.0</v>
      </c>
      <c r="AE1592" s="135"/>
      <c r="AF1592" s="135"/>
      <c r="AG1592" s="135"/>
    </row>
    <row r="1593" ht="21.75" hidden="1" customHeight="1">
      <c r="A1593" s="135">
        <v>1589.0</v>
      </c>
      <c r="B1593" s="135">
        <v>25045.0</v>
      </c>
      <c r="C1593" s="135"/>
      <c r="D1593" s="135">
        <v>26.0</v>
      </c>
      <c r="E1593" s="135" t="s">
        <v>3866</v>
      </c>
      <c r="F1593" s="135" t="s">
        <v>383</v>
      </c>
      <c r="G1593" s="135" t="s">
        <v>140</v>
      </c>
      <c r="H1593" s="135" t="s">
        <v>2853</v>
      </c>
      <c r="I1593" s="135" t="s">
        <v>148</v>
      </c>
      <c r="J1593" s="135">
        <v>1.0</v>
      </c>
      <c r="K1593" s="135" t="s">
        <v>3134</v>
      </c>
      <c r="L1593" s="135">
        <v>4400.0</v>
      </c>
      <c r="M1593" s="135">
        <v>3200.0</v>
      </c>
      <c r="N1593" s="135">
        <v>120.0</v>
      </c>
      <c r="O1593" s="135">
        <v>2.157</v>
      </c>
      <c r="P1593" s="136">
        <v>0.0</v>
      </c>
      <c r="Q1593" s="137">
        <v>5.3925</v>
      </c>
      <c r="R1593" s="136">
        <v>46127.0</v>
      </c>
      <c r="S1593" s="135" t="s">
        <v>3790</v>
      </c>
      <c r="T1593" s="136"/>
      <c r="U1593" s="135" t="s">
        <v>2855</v>
      </c>
      <c r="V1593" s="135" t="s">
        <v>2878</v>
      </c>
      <c r="W1593" s="135" t="s">
        <v>3872</v>
      </c>
      <c r="X1593" s="135"/>
      <c r="Y1593" s="135"/>
      <c r="Z1593" s="135" t="s">
        <v>2858</v>
      </c>
      <c r="AA1593" s="135"/>
      <c r="AB1593" s="135"/>
      <c r="AC1593" s="135"/>
      <c r="AD1593" s="135">
        <v>46144.0</v>
      </c>
      <c r="AE1593" s="135"/>
      <c r="AF1593" s="135"/>
      <c r="AG1593" s="135"/>
    </row>
    <row r="1594" ht="21.75" hidden="1" customHeight="1">
      <c r="A1594" s="135">
        <v>1590.0</v>
      </c>
      <c r="B1594" s="135">
        <v>25045.0</v>
      </c>
      <c r="C1594" s="135"/>
      <c r="D1594" s="135">
        <v>26.0</v>
      </c>
      <c r="E1594" s="135" t="s">
        <v>3866</v>
      </c>
      <c r="F1594" s="135" t="s">
        <v>384</v>
      </c>
      <c r="G1594" s="135" t="s">
        <v>140</v>
      </c>
      <c r="H1594" s="135" t="s">
        <v>2853</v>
      </c>
      <c r="I1594" s="135" t="s">
        <v>148</v>
      </c>
      <c r="J1594" s="135">
        <v>1.0</v>
      </c>
      <c r="K1594" s="135" t="s">
        <v>3134</v>
      </c>
      <c r="L1594" s="135">
        <v>4400.0</v>
      </c>
      <c r="M1594" s="135">
        <v>3200.0</v>
      </c>
      <c r="N1594" s="135">
        <v>120.0</v>
      </c>
      <c r="O1594" s="135">
        <v>2.157</v>
      </c>
      <c r="P1594" s="136">
        <v>0.0</v>
      </c>
      <c r="Q1594" s="137">
        <v>5.3925</v>
      </c>
      <c r="R1594" s="136">
        <v>46127.0</v>
      </c>
      <c r="S1594" s="135" t="s">
        <v>3790</v>
      </c>
      <c r="T1594" s="136"/>
      <c r="U1594" s="135" t="s">
        <v>2855</v>
      </c>
      <c r="V1594" s="135" t="s">
        <v>2878</v>
      </c>
      <c r="W1594" s="135" t="s">
        <v>3872</v>
      </c>
      <c r="X1594" s="135"/>
      <c r="Y1594" s="135"/>
      <c r="Z1594" s="135" t="s">
        <v>2858</v>
      </c>
      <c r="AA1594" s="135"/>
      <c r="AB1594" s="135"/>
      <c r="AC1594" s="135"/>
      <c r="AD1594" s="135">
        <v>46146.0</v>
      </c>
      <c r="AE1594" s="135"/>
      <c r="AF1594" s="135"/>
      <c r="AG1594" s="135"/>
    </row>
    <row r="1595" ht="21.75" hidden="1" customHeight="1">
      <c r="A1595" s="135">
        <v>1591.0</v>
      </c>
      <c r="B1595" s="135">
        <v>25045.0</v>
      </c>
      <c r="C1595" s="135"/>
      <c r="D1595" s="135">
        <v>26.0</v>
      </c>
      <c r="E1595" s="135" t="s">
        <v>3866</v>
      </c>
      <c r="F1595" s="135" t="s">
        <v>385</v>
      </c>
      <c r="G1595" s="135" t="s">
        <v>140</v>
      </c>
      <c r="H1595" s="135" t="s">
        <v>2853</v>
      </c>
      <c r="I1595" s="135" t="s">
        <v>148</v>
      </c>
      <c r="J1595" s="135">
        <v>1.0</v>
      </c>
      <c r="K1595" s="135"/>
      <c r="L1595" s="135">
        <v>4400.0</v>
      </c>
      <c r="M1595" s="135">
        <v>3200.0</v>
      </c>
      <c r="N1595" s="135">
        <v>120.0</v>
      </c>
      <c r="O1595" s="135">
        <v>1.821</v>
      </c>
      <c r="P1595" s="136">
        <v>0.0</v>
      </c>
      <c r="Q1595" s="137">
        <v>4.5525</v>
      </c>
      <c r="R1595" s="136">
        <v>46127.0</v>
      </c>
      <c r="S1595" s="135" t="s">
        <v>3790</v>
      </c>
      <c r="T1595" s="136"/>
      <c r="U1595" s="135" t="s">
        <v>2864</v>
      </c>
      <c r="V1595" s="135" t="s">
        <v>2890</v>
      </c>
      <c r="W1595" s="135" t="s">
        <v>3873</v>
      </c>
      <c r="X1595" s="135" t="s">
        <v>3586</v>
      </c>
      <c r="Y1595" s="135"/>
      <c r="Z1595" s="135" t="s">
        <v>2858</v>
      </c>
      <c r="AA1595" s="135"/>
      <c r="AB1595" s="135"/>
      <c r="AC1595" s="135"/>
      <c r="AD1595" s="135">
        <v>46144.0</v>
      </c>
      <c r="AE1595" s="135"/>
      <c r="AF1595" s="135"/>
      <c r="AG1595" s="135"/>
    </row>
    <row r="1596" ht="21.75" hidden="1" customHeight="1">
      <c r="A1596" s="135">
        <v>1592.0</v>
      </c>
      <c r="B1596" s="135">
        <v>25045.0</v>
      </c>
      <c r="C1596" s="135"/>
      <c r="D1596" s="135">
        <v>26.0</v>
      </c>
      <c r="E1596" s="135" t="s">
        <v>3866</v>
      </c>
      <c r="F1596" s="135" t="s">
        <v>386</v>
      </c>
      <c r="G1596" s="135" t="s">
        <v>140</v>
      </c>
      <c r="H1596" s="135" t="s">
        <v>2853</v>
      </c>
      <c r="I1596" s="135" t="s">
        <v>148</v>
      </c>
      <c r="J1596" s="135">
        <v>1.0</v>
      </c>
      <c r="K1596" s="135"/>
      <c r="L1596" s="135">
        <v>2875.0</v>
      </c>
      <c r="M1596" s="135">
        <v>1000.0</v>
      </c>
      <c r="N1596" s="135">
        <v>120.0</v>
      </c>
      <c r="O1596" s="135">
        <v>0.444</v>
      </c>
      <c r="P1596" s="136">
        <v>0.0</v>
      </c>
      <c r="Q1596" s="137">
        <v>1.11</v>
      </c>
      <c r="R1596" s="136">
        <v>46127.0</v>
      </c>
      <c r="S1596" s="135" t="s">
        <v>3790</v>
      </c>
      <c r="T1596" s="136"/>
      <c r="U1596" s="135" t="s">
        <v>2864</v>
      </c>
      <c r="V1596" s="135" t="s">
        <v>2856</v>
      </c>
      <c r="W1596" s="135" t="s">
        <v>3874</v>
      </c>
      <c r="X1596" s="135"/>
      <c r="Y1596" s="135"/>
      <c r="Z1596" s="135" t="s">
        <v>2858</v>
      </c>
      <c r="AA1596" s="135"/>
      <c r="AB1596" s="135"/>
      <c r="AC1596" s="135"/>
      <c r="AD1596" s="135">
        <v>46136.0</v>
      </c>
      <c r="AE1596" s="135"/>
      <c r="AF1596" s="135"/>
      <c r="AG1596" s="135"/>
    </row>
    <row r="1597" ht="21.75" hidden="1" customHeight="1">
      <c r="A1597" s="135">
        <v>1593.0</v>
      </c>
      <c r="B1597" s="135">
        <v>25045.0</v>
      </c>
      <c r="C1597" s="135"/>
      <c r="D1597" s="135">
        <v>26.0</v>
      </c>
      <c r="E1597" s="135" t="s">
        <v>3866</v>
      </c>
      <c r="F1597" s="135" t="s">
        <v>387</v>
      </c>
      <c r="G1597" s="135" t="s">
        <v>140</v>
      </c>
      <c r="H1597" s="135" t="s">
        <v>2853</v>
      </c>
      <c r="I1597" s="135" t="s">
        <v>148</v>
      </c>
      <c r="J1597" s="135">
        <v>1.0</v>
      </c>
      <c r="K1597" s="135"/>
      <c r="L1597" s="135">
        <v>1635.0</v>
      </c>
      <c r="M1597" s="135">
        <v>1315.0</v>
      </c>
      <c r="N1597" s="135">
        <v>120.0</v>
      </c>
      <c r="O1597" s="135">
        <v>0.396</v>
      </c>
      <c r="P1597" s="136">
        <v>0.0</v>
      </c>
      <c r="Q1597" s="137">
        <v>0.99</v>
      </c>
      <c r="R1597" s="136">
        <v>46127.0</v>
      </c>
      <c r="S1597" s="135" t="s">
        <v>3790</v>
      </c>
      <c r="T1597" s="136"/>
      <c r="U1597" s="135" t="s">
        <v>2864</v>
      </c>
      <c r="V1597" s="135" t="s">
        <v>2873</v>
      </c>
      <c r="W1597" s="135" t="s">
        <v>3875</v>
      </c>
      <c r="X1597" s="135"/>
      <c r="Y1597" s="135"/>
      <c r="Z1597" s="135" t="s">
        <v>2858</v>
      </c>
      <c r="AA1597" s="135"/>
      <c r="AB1597" s="135"/>
      <c r="AC1597" s="135" t="s">
        <v>2863</v>
      </c>
      <c r="AD1597" s="135">
        <v>0.0</v>
      </c>
      <c r="AE1597" s="135"/>
      <c r="AF1597" s="135"/>
      <c r="AG1597" s="135"/>
    </row>
    <row r="1598" ht="21.75" hidden="1" customHeight="1">
      <c r="A1598" s="135">
        <v>1594.0</v>
      </c>
      <c r="B1598" s="135">
        <v>25045.0</v>
      </c>
      <c r="C1598" s="135"/>
      <c r="D1598" s="135">
        <v>26.0</v>
      </c>
      <c r="E1598" s="135" t="s">
        <v>3866</v>
      </c>
      <c r="F1598" s="135" t="s">
        <v>388</v>
      </c>
      <c r="G1598" s="135" t="s">
        <v>140</v>
      </c>
      <c r="H1598" s="135" t="s">
        <v>2965</v>
      </c>
      <c r="I1598" s="135" t="s">
        <v>148</v>
      </c>
      <c r="J1598" s="135">
        <v>1.0</v>
      </c>
      <c r="K1598" s="135"/>
      <c r="L1598" s="135">
        <v>400.0</v>
      </c>
      <c r="M1598" s="135">
        <v>2940.0</v>
      </c>
      <c r="N1598" s="135">
        <v>350.0</v>
      </c>
      <c r="O1598" s="135">
        <v>0.475</v>
      </c>
      <c r="P1598" s="136">
        <v>0.0</v>
      </c>
      <c r="Q1598" s="137">
        <v>1.1875</v>
      </c>
      <c r="R1598" s="136">
        <v>46127.0</v>
      </c>
      <c r="S1598" s="135" t="s">
        <v>3790</v>
      </c>
      <c r="T1598" s="136"/>
      <c r="U1598" s="135" t="s">
        <v>2966</v>
      </c>
      <c r="V1598" s="135" t="s">
        <v>2967</v>
      </c>
      <c r="W1598" s="135"/>
      <c r="X1598" s="135" t="s">
        <v>2969</v>
      </c>
      <c r="Y1598" s="135"/>
      <c r="Z1598" s="135" t="s">
        <v>2858</v>
      </c>
      <c r="AA1598" s="135"/>
      <c r="AB1598" s="135"/>
      <c r="AC1598" s="135" t="s">
        <v>2863</v>
      </c>
      <c r="AD1598" s="135">
        <v>0.0</v>
      </c>
      <c r="AE1598" s="135"/>
      <c r="AF1598" s="135"/>
      <c r="AG1598" s="135"/>
    </row>
    <row r="1599" ht="21.75" hidden="1" customHeight="1">
      <c r="A1599" s="135">
        <v>1595.0</v>
      </c>
      <c r="B1599" s="135">
        <v>25045.0</v>
      </c>
      <c r="C1599" s="135"/>
      <c r="D1599" s="135">
        <v>34.0</v>
      </c>
      <c r="E1599" s="135" t="s">
        <v>3876</v>
      </c>
      <c r="F1599" s="135" t="s">
        <v>1888</v>
      </c>
      <c r="G1599" s="135" t="s">
        <v>66</v>
      </c>
      <c r="H1599" s="135" t="s">
        <v>2853</v>
      </c>
      <c r="I1599" s="135" t="s">
        <v>75</v>
      </c>
      <c r="J1599" s="135">
        <v>1.0</v>
      </c>
      <c r="K1599" s="135"/>
      <c r="L1599" s="135">
        <v>4870.0</v>
      </c>
      <c r="M1599" s="135">
        <v>1000.0</v>
      </c>
      <c r="N1599" s="135">
        <v>120.0</v>
      </c>
      <c r="O1599" s="135">
        <v>0.872</v>
      </c>
      <c r="P1599" s="136"/>
      <c r="Q1599" s="137">
        <v>2.18</v>
      </c>
      <c r="R1599" s="136">
        <v>46128.0</v>
      </c>
      <c r="S1599" s="135" t="s">
        <v>3877</v>
      </c>
      <c r="T1599" s="136"/>
      <c r="U1599" s="135" t="s">
        <v>2855</v>
      </c>
      <c r="V1599" s="135" t="s">
        <v>2951</v>
      </c>
      <c r="W1599" s="135">
        <v>1800.0</v>
      </c>
      <c r="X1599" s="135">
        <v>0.0</v>
      </c>
      <c r="Y1599" s="135"/>
      <c r="Z1599" s="135" t="s">
        <v>2858</v>
      </c>
      <c r="AA1599" s="135"/>
      <c r="AB1599" s="135"/>
      <c r="AC1599" s="135"/>
      <c r="AD1599" s="135">
        <v>46133.0</v>
      </c>
      <c r="AE1599" s="135"/>
      <c r="AF1599" s="135"/>
      <c r="AG1599" s="135"/>
    </row>
    <row r="1600" ht="21.75" hidden="1" customHeight="1">
      <c r="A1600" s="135">
        <v>1596.0</v>
      </c>
      <c r="B1600" s="135">
        <v>25045.0</v>
      </c>
      <c r="C1600" s="135" t="s">
        <v>2817</v>
      </c>
      <c r="D1600" s="135">
        <v>8.0</v>
      </c>
      <c r="E1600" s="135" t="s">
        <v>3878</v>
      </c>
      <c r="F1600" s="135" t="s">
        <v>2474</v>
      </c>
      <c r="G1600" s="135" t="s">
        <v>116</v>
      </c>
      <c r="H1600" s="135" t="s">
        <v>2853</v>
      </c>
      <c r="I1600" s="135" t="s">
        <v>117</v>
      </c>
      <c r="J1600" s="135">
        <v>1.0</v>
      </c>
      <c r="K1600" s="135" t="s">
        <v>3134</v>
      </c>
      <c r="L1600" s="135">
        <v>3102.0</v>
      </c>
      <c r="M1600" s="135">
        <v>1650.0</v>
      </c>
      <c r="N1600" s="135">
        <v>120.0</v>
      </c>
      <c r="O1600" s="135">
        <v>0.682</v>
      </c>
      <c r="P1600" s="136"/>
      <c r="Q1600" s="137">
        <v>1.705</v>
      </c>
      <c r="R1600" s="136">
        <v>46132.0</v>
      </c>
      <c r="S1600" s="135" t="s">
        <v>3879</v>
      </c>
      <c r="T1600" s="136"/>
      <c r="U1600" s="135" t="s">
        <v>2864</v>
      </c>
      <c r="V1600" s="135" t="s">
        <v>2856</v>
      </c>
      <c r="W1600" s="135"/>
      <c r="X1600" s="135"/>
      <c r="Y1600" s="135"/>
      <c r="Z1600" s="135" t="s">
        <v>2858</v>
      </c>
      <c r="AA1600" s="135"/>
      <c r="AB1600" s="135"/>
      <c r="AC1600" s="135"/>
      <c r="AD1600" s="135" t="e">
        <v>#N/A</v>
      </c>
      <c r="AE1600" s="135"/>
      <c r="AF1600" s="135"/>
      <c r="AG1600" s="135"/>
    </row>
    <row r="1601" ht="21.75" hidden="1" customHeight="1">
      <c r="A1601" s="135">
        <v>1597.0</v>
      </c>
      <c r="B1601" s="135">
        <v>25045.0</v>
      </c>
      <c r="C1601" s="135" t="s">
        <v>2817</v>
      </c>
      <c r="D1601" s="135">
        <v>8.0</v>
      </c>
      <c r="E1601" s="135" t="s">
        <v>3878</v>
      </c>
      <c r="F1601" s="135" t="s">
        <v>2475</v>
      </c>
      <c r="G1601" s="135" t="s">
        <v>116</v>
      </c>
      <c r="H1601" s="135" t="s">
        <v>2853</v>
      </c>
      <c r="I1601" s="135" t="s">
        <v>117</v>
      </c>
      <c r="J1601" s="135">
        <v>1.0</v>
      </c>
      <c r="K1601" s="135" t="s">
        <v>3134</v>
      </c>
      <c r="L1601" s="135">
        <v>3102.0</v>
      </c>
      <c r="M1601" s="135">
        <v>1650.0</v>
      </c>
      <c r="N1601" s="135">
        <v>120.0</v>
      </c>
      <c r="O1601" s="135">
        <v>0.682</v>
      </c>
      <c r="P1601" s="136"/>
      <c r="Q1601" s="137">
        <v>1.705</v>
      </c>
      <c r="R1601" s="136">
        <v>46132.0</v>
      </c>
      <c r="S1601" s="135" t="s">
        <v>3879</v>
      </c>
      <c r="T1601" s="136"/>
      <c r="U1601" s="135" t="s">
        <v>2864</v>
      </c>
      <c r="V1601" s="135" t="s">
        <v>2856</v>
      </c>
      <c r="W1601" s="135"/>
      <c r="X1601" s="135"/>
      <c r="Y1601" s="135"/>
      <c r="Z1601" s="135" t="s">
        <v>2858</v>
      </c>
      <c r="AA1601" s="135"/>
      <c r="AB1601" s="135"/>
      <c r="AC1601" s="135"/>
      <c r="AD1601" s="135" t="e">
        <v>#N/A</v>
      </c>
      <c r="AE1601" s="135"/>
      <c r="AF1601" s="135"/>
      <c r="AG1601" s="135"/>
    </row>
    <row r="1602" ht="21.75" hidden="1" customHeight="1">
      <c r="A1602" s="135">
        <v>1598.0</v>
      </c>
      <c r="B1602" s="135">
        <v>25045.0</v>
      </c>
      <c r="C1602" s="135" t="s">
        <v>2817</v>
      </c>
      <c r="D1602" s="135">
        <v>8.0</v>
      </c>
      <c r="E1602" s="135" t="s">
        <v>3878</v>
      </c>
      <c r="F1602" s="135" t="s">
        <v>2476</v>
      </c>
      <c r="G1602" s="135" t="s">
        <v>116</v>
      </c>
      <c r="H1602" s="135" t="s">
        <v>2853</v>
      </c>
      <c r="I1602" s="135" t="s">
        <v>117</v>
      </c>
      <c r="J1602" s="135">
        <v>1.0</v>
      </c>
      <c r="K1602" s="135"/>
      <c r="L1602" s="135">
        <v>3102.0</v>
      </c>
      <c r="M1602" s="135">
        <v>1480.0</v>
      </c>
      <c r="N1602" s="135">
        <v>120.0</v>
      </c>
      <c r="O1602" s="135">
        <v>0.559</v>
      </c>
      <c r="P1602" s="136"/>
      <c r="Q1602" s="137">
        <v>1.3975000000000002</v>
      </c>
      <c r="R1602" s="136">
        <v>46132.0</v>
      </c>
      <c r="S1602" s="135" t="s">
        <v>3879</v>
      </c>
      <c r="T1602" s="136"/>
      <c r="U1602" s="135" t="s">
        <v>2864</v>
      </c>
      <c r="V1602" s="135" t="s">
        <v>2856</v>
      </c>
      <c r="W1602" s="135"/>
      <c r="X1602" s="135"/>
      <c r="Y1602" s="135"/>
      <c r="Z1602" s="135" t="s">
        <v>2858</v>
      </c>
      <c r="AA1602" s="135"/>
      <c r="AB1602" s="135"/>
      <c r="AC1602" s="135"/>
      <c r="AD1602" s="135" t="e">
        <v>#N/A</v>
      </c>
      <c r="AE1602" s="135"/>
      <c r="AF1602" s="135"/>
      <c r="AG1602" s="135"/>
    </row>
    <row r="1603" ht="21.75" hidden="1" customHeight="1">
      <c r="A1603" s="135">
        <v>1599.0</v>
      </c>
      <c r="B1603" s="135">
        <v>25045.0</v>
      </c>
      <c r="C1603" s="135" t="s">
        <v>2817</v>
      </c>
      <c r="D1603" s="135">
        <v>8.0</v>
      </c>
      <c r="E1603" s="135" t="s">
        <v>3878</v>
      </c>
      <c r="F1603" s="135" t="s">
        <v>2477</v>
      </c>
      <c r="G1603" s="135" t="s">
        <v>116</v>
      </c>
      <c r="H1603" s="135" t="s">
        <v>2853</v>
      </c>
      <c r="I1603" s="135" t="s">
        <v>117</v>
      </c>
      <c r="J1603" s="135">
        <v>1.0</v>
      </c>
      <c r="K1603" s="135"/>
      <c r="L1603" s="135">
        <v>3102.0</v>
      </c>
      <c r="M1603" s="135">
        <v>1480.0</v>
      </c>
      <c r="N1603" s="135">
        <v>120.0</v>
      </c>
      <c r="O1603" s="135">
        <v>0.559</v>
      </c>
      <c r="P1603" s="136"/>
      <c r="Q1603" s="137">
        <v>1.3975000000000002</v>
      </c>
      <c r="R1603" s="136">
        <v>46132.0</v>
      </c>
      <c r="S1603" s="135" t="s">
        <v>3879</v>
      </c>
      <c r="T1603" s="136"/>
      <c r="U1603" s="135" t="s">
        <v>2864</v>
      </c>
      <c r="V1603" s="135" t="s">
        <v>2856</v>
      </c>
      <c r="W1603" s="135"/>
      <c r="X1603" s="135"/>
      <c r="Y1603" s="135"/>
      <c r="Z1603" s="135" t="s">
        <v>2858</v>
      </c>
      <c r="AA1603" s="135"/>
      <c r="AB1603" s="135"/>
      <c r="AC1603" s="135"/>
      <c r="AD1603" s="135" t="e">
        <v>#N/A</v>
      </c>
      <c r="AE1603" s="135"/>
      <c r="AF1603" s="135"/>
      <c r="AG1603" s="135"/>
    </row>
    <row r="1604" ht="21.75" hidden="1" customHeight="1">
      <c r="A1604" s="135">
        <v>1600.0</v>
      </c>
      <c r="B1604" s="135">
        <v>25045.0</v>
      </c>
      <c r="C1604" s="135" t="s">
        <v>2817</v>
      </c>
      <c r="D1604" s="135">
        <v>8.0</v>
      </c>
      <c r="E1604" s="135" t="s">
        <v>3878</v>
      </c>
      <c r="F1604" s="135" t="s">
        <v>2478</v>
      </c>
      <c r="G1604" s="135" t="s">
        <v>116</v>
      </c>
      <c r="H1604" s="135" t="s">
        <v>2853</v>
      </c>
      <c r="I1604" s="135" t="s">
        <v>117</v>
      </c>
      <c r="J1604" s="135">
        <v>1.0</v>
      </c>
      <c r="K1604" s="135"/>
      <c r="L1604" s="135">
        <v>3102.0</v>
      </c>
      <c r="M1604" s="135">
        <v>2000.0</v>
      </c>
      <c r="N1604" s="135">
        <v>120.0</v>
      </c>
      <c r="O1604" s="135">
        <v>0.712</v>
      </c>
      <c r="P1604" s="136"/>
      <c r="Q1604" s="137">
        <v>1.7799999999999998</v>
      </c>
      <c r="R1604" s="136">
        <v>46132.0</v>
      </c>
      <c r="S1604" s="135" t="s">
        <v>3879</v>
      </c>
      <c r="T1604" s="136"/>
      <c r="U1604" s="135" t="s">
        <v>2864</v>
      </c>
      <c r="V1604" s="135" t="s">
        <v>2856</v>
      </c>
      <c r="W1604" s="135"/>
      <c r="X1604" s="135"/>
      <c r="Y1604" s="135"/>
      <c r="Z1604" s="135" t="s">
        <v>2858</v>
      </c>
      <c r="AA1604" s="135"/>
      <c r="AB1604" s="135"/>
      <c r="AC1604" s="135"/>
      <c r="AD1604" s="135" t="e">
        <v>#N/A</v>
      </c>
      <c r="AE1604" s="135"/>
      <c r="AF1604" s="135"/>
      <c r="AG1604" s="135"/>
    </row>
    <row r="1605" ht="21.75" hidden="1" customHeight="1">
      <c r="A1605" s="135">
        <v>1601.0</v>
      </c>
      <c r="B1605" s="135">
        <v>25045.0</v>
      </c>
      <c r="C1605" s="135" t="s">
        <v>2817</v>
      </c>
      <c r="D1605" s="135">
        <v>8.0</v>
      </c>
      <c r="E1605" s="135" t="s">
        <v>3878</v>
      </c>
      <c r="F1605" s="135" t="s">
        <v>2479</v>
      </c>
      <c r="G1605" s="135" t="s">
        <v>116</v>
      </c>
      <c r="H1605" s="135" t="s">
        <v>2853</v>
      </c>
      <c r="I1605" s="135" t="s">
        <v>117</v>
      </c>
      <c r="J1605" s="135">
        <v>1.0</v>
      </c>
      <c r="K1605" s="135" t="s">
        <v>3134</v>
      </c>
      <c r="L1605" s="135">
        <v>3102.0</v>
      </c>
      <c r="M1605" s="135">
        <v>1830.0</v>
      </c>
      <c r="N1605" s="135">
        <v>120.0</v>
      </c>
      <c r="O1605" s="135">
        <v>0.649</v>
      </c>
      <c r="P1605" s="136"/>
      <c r="Q1605" s="137">
        <v>1.6225</v>
      </c>
      <c r="R1605" s="136">
        <v>46132.0</v>
      </c>
      <c r="S1605" s="135" t="s">
        <v>3879</v>
      </c>
      <c r="T1605" s="136"/>
      <c r="U1605" s="135" t="s">
        <v>2864</v>
      </c>
      <c r="V1605" s="135" t="s">
        <v>2856</v>
      </c>
      <c r="W1605" s="135"/>
      <c r="X1605" s="135"/>
      <c r="Y1605" s="135"/>
      <c r="Z1605" s="135" t="s">
        <v>2858</v>
      </c>
      <c r="AA1605" s="135"/>
      <c r="AB1605" s="135"/>
      <c r="AC1605" s="135"/>
      <c r="AD1605" s="135" t="e">
        <v>#N/A</v>
      </c>
      <c r="AE1605" s="135"/>
      <c r="AF1605" s="135"/>
      <c r="AG1605" s="135"/>
    </row>
    <row r="1606" ht="21.75" hidden="1" customHeight="1">
      <c r="A1606" s="135">
        <v>1602.0</v>
      </c>
      <c r="B1606" s="135">
        <v>25045.0</v>
      </c>
      <c r="C1606" s="135" t="s">
        <v>2817</v>
      </c>
      <c r="D1606" s="135">
        <v>8.0</v>
      </c>
      <c r="E1606" s="135" t="s">
        <v>3878</v>
      </c>
      <c r="F1606" s="135" t="s">
        <v>2480</v>
      </c>
      <c r="G1606" s="135" t="s">
        <v>116</v>
      </c>
      <c r="H1606" s="135" t="s">
        <v>2853</v>
      </c>
      <c r="I1606" s="135" t="s">
        <v>117</v>
      </c>
      <c r="J1606" s="135">
        <v>1.0</v>
      </c>
      <c r="K1606" s="135" t="s">
        <v>3134</v>
      </c>
      <c r="L1606" s="135">
        <v>3102.0</v>
      </c>
      <c r="M1606" s="135">
        <v>1830.0</v>
      </c>
      <c r="N1606" s="135">
        <v>120.0</v>
      </c>
      <c r="O1606" s="135">
        <v>0.649</v>
      </c>
      <c r="P1606" s="136"/>
      <c r="Q1606" s="137">
        <v>1.6225</v>
      </c>
      <c r="R1606" s="136">
        <v>46132.0</v>
      </c>
      <c r="S1606" s="135" t="s">
        <v>3879</v>
      </c>
      <c r="T1606" s="136"/>
      <c r="U1606" s="135" t="s">
        <v>2864</v>
      </c>
      <c r="V1606" s="135" t="s">
        <v>2856</v>
      </c>
      <c r="W1606" s="135"/>
      <c r="X1606" s="135"/>
      <c r="Y1606" s="135"/>
      <c r="Z1606" s="135" t="s">
        <v>2858</v>
      </c>
      <c r="AA1606" s="135"/>
      <c r="AB1606" s="135"/>
      <c r="AC1606" s="135"/>
      <c r="AD1606" s="135" t="e">
        <v>#N/A</v>
      </c>
      <c r="AE1606" s="135"/>
      <c r="AF1606" s="135"/>
      <c r="AG1606" s="135"/>
    </row>
    <row r="1607" ht="21.75" hidden="1" customHeight="1">
      <c r="A1607" s="135">
        <v>1603.0</v>
      </c>
      <c r="B1607" s="135">
        <v>25045.0</v>
      </c>
      <c r="C1607" s="135" t="s">
        <v>2817</v>
      </c>
      <c r="D1607" s="135">
        <v>8.0</v>
      </c>
      <c r="E1607" s="135" t="s">
        <v>3878</v>
      </c>
      <c r="F1607" s="135" t="s">
        <v>2481</v>
      </c>
      <c r="G1607" s="135" t="s">
        <v>116</v>
      </c>
      <c r="H1607" s="135" t="s">
        <v>2853</v>
      </c>
      <c r="I1607" s="135" t="s">
        <v>117</v>
      </c>
      <c r="J1607" s="135">
        <v>1.0</v>
      </c>
      <c r="K1607" s="135" t="s">
        <v>3134</v>
      </c>
      <c r="L1607" s="135">
        <v>3102.0</v>
      </c>
      <c r="M1607" s="135">
        <v>1830.0</v>
      </c>
      <c r="N1607" s="135">
        <v>120.0</v>
      </c>
      <c r="O1607" s="135">
        <v>0.649</v>
      </c>
      <c r="P1607" s="136"/>
      <c r="Q1607" s="137">
        <v>1.6225</v>
      </c>
      <c r="R1607" s="136">
        <v>46132.0</v>
      </c>
      <c r="S1607" s="135" t="s">
        <v>3879</v>
      </c>
      <c r="T1607" s="136"/>
      <c r="U1607" s="135" t="s">
        <v>2864</v>
      </c>
      <c r="V1607" s="135" t="s">
        <v>2856</v>
      </c>
      <c r="W1607" s="135"/>
      <c r="X1607" s="135"/>
      <c r="Y1607" s="135"/>
      <c r="Z1607" s="135" t="s">
        <v>2858</v>
      </c>
      <c r="AA1607" s="135"/>
      <c r="AB1607" s="135"/>
      <c r="AC1607" s="135"/>
      <c r="AD1607" s="135" t="e">
        <v>#N/A</v>
      </c>
      <c r="AE1607" s="135"/>
      <c r="AF1607" s="135"/>
      <c r="AG1607" s="135"/>
    </row>
    <row r="1608" ht="21.75" hidden="1" customHeight="1">
      <c r="A1608" s="135">
        <v>1604.0</v>
      </c>
      <c r="B1608" s="135">
        <v>25045.0</v>
      </c>
      <c r="C1608" s="135" t="s">
        <v>2817</v>
      </c>
      <c r="D1608" s="135">
        <v>8.0</v>
      </c>
      <c r="E1608" s="135" t="s">
        <v>3878</v>
      </c>
      <c r="F1608" s="135" t="s">
        <v>2482</v>
      </c>
      <c r="G1608" s="135" t="s">
        <v>116</v>
      </c>
      <c r="H1608" s="135" t="s">
        <v>2853</v>
      </c>
      <c r="I1608" s="135" t="s">
        <v>117</v>
      </c>
      <c r="J1608" s="135">
        <v>1.0</v>
      </c>
      <c r="K1608" s="135"/>
      <c r="L1608" s="135">
        <v>3102.0</v>
      </c>
      <c r="M1608" s="135">
        <v>1650.0</v>
      </c>
      <c r="N1608" s="135">
        <v>120.0</v>
      </c>
      <c r="O1608" s="135">
        <v>0.582</v>
      </c>
      <c r="P1608" s="136"/>
      <c r="Q1608" s="137">
        <v>1.4549999999999998</v>
      </c>
      <c r="R1608" s="136">
        <v>46132.0</v>
      </c>
      <c r="S1608" s="135" t="s">
        <v>3879</v>
      </c>
      <c r="T1608" s="136"/>
      <c r="U1608" s="135" t="s">
        <v>2864</v>
      </c>
      <c r="V1608" s="135" t="s">
        <v>2856</v>
      </c>
      <c r="W1608" s="135"/>
      <c r="X1608" s="135"/>
      <c r="Y1608" s="135"/>
      <c r="Z1608" s="135" t="s">
        <v>2858</v>
      </c>
      <c r="AA1608" s="135"/>
      <c r="AB1608" s="135"/>
      <c r="AC1608" s="135"/>
      <c r="AD1608" s="135" t="e">
        <v>#N/A</v>
      </c>
      <c r="AE1608" s="135"/>
      <c r="AF1608" s="135"/>
      <c r="AG1608" s="135"/>
    </row>
    <row r="1609" ht="21.75" hidden="1" customHeight="1">
      <c r="A1609" s="135">
        <v>1605.0</v>
      </c>
      <c r="B1609" s="135">
        <v>25045.0</v>
      </c>
      <c r="C1609" s="135" t="s">
        <v>2817</v>
      </c>
      <c r="D1609" s="135">
        <v>8.0</v>
      </c>
      <c r="E1609" s="135" t="s">
        <v>3878</v>
      </c>
      <c r="F1609" s="135" t="s">
        <v>2483</v>
      </c>
      <c r="G1609" s="135" t="s">
        <v>116</v>
      </c>
      <c r="H1609" s="135" t="s">
        <v>2853</v>
      </c>
      <c r="I1609" s="135" t="s">
        <v>117</v>
      </c>
      <c r="J1609" s="135">
        <v>1.0</v>
      </c>
      <c r="K1609" s="135"/>
      <c r="L1609" s="135">
        <v>3102.0</v>
      </c>
      <c r="M1609" s="135">
        <v>2000.0</v>
      </c>
      <c r="N1609" s="135">
        <v>120.0</v>
      </c>
      <c r="O1609" s="135">
        <v>0.8</v>
      </c>
      <c r="P1609" s="136"/>
      <c r="Q1609" s="137">
        <v>2.0</v>
      </c>
      <c r="R1609" s="136">
        <v>46132.0</v>
      </c>
      <c r="S1609" s="135" t="s">
        <v>3879</v>
      </c>
      <c r="T1609" s="136"/>
      <c r="U1609" s="135" t="s">
        <v>2864</v>
      </c>
      <c r="V1609" s="135" t="s">
        <v>3257</v>
      </c>
      <c r="W1609" s="135"/>
      <c r="X1609" s="135"/>
      <c r="Y1609" s="135"/>
      <c r="Z1609" s="135" t="s">
        <v>2858</v>
      </c>
      <c r="AA1609" s="135"/>
      <c r="AB1609" s="135"/>
      <c r="AC1609" s="135"/>
      <c r="AD1609" s="135" t="e">
        <v>#N/A</v>
      </c>
      <c r="AE1609" s="135"/>
      <c r="AF1609" s="135"/>
      <c r="AG1609" s="135"/>
    </row>
    <row r="1610" ht="21.75" hidden="1" customHeight="1">
      <c r="A1610" s="135">
        <v>1606.0</v>
      </c>
      <c r="B1610" s="135">
        <v>25045.0</v>
      </c>
      <c r="C1610" s="135" t="s">
        <v>2817</v>
      </c>
      <c r="D1610" s="135">
        <v>8.0</v>
      </c>
      <c r="E1610" s="135" t="s">
        <v>3878</v>
      </c>
      <c r="F1610" s="135" t="s">
        <v>2484</v>
      </c>
      <c r="G1610" s="135" t="s">
        <v>116</v>
      </c>
      <c r="H1610" s="135" t="s">
        <v>2853</v>
      </c>
      <c r="I1610" s="135" t="s">
        <v>117</v>
      </c>
      <c r="J1610" s="135">
        <v>1.0</v>
      </c>
      <c r="K1610" s="135"/>
      <c r="L1610" s="135">
        <v>3102.0</v>
      </c>
      <c r="M1610" s="135">
        <v>2000.0</v>
      </c>
      <c r="N1610" s="135">
        <v>120.0</v>
      </c>
      <c r="O1610" s="135">
        <v>0.8</v>
      </c>
      <c r="P1610" s="136"/>
      <c r="Q1610" s="137">
        <v>2.0</v>
      </c>
      <c r="R1610" s="136">
        <v>46132.0</v>
      </c>
      <c r="S1610" s="135" t="s">
        <v>3879</v>
      </c>
      <c r="T1610" s="136"/>
      <c r="U1610" s="135" t="s">
        <v>2864</v>
      </c>
      <c r="V1610" s="135" t="s">
        <v>3257</v>
      </c>
      <c r="W1610" s="135"/>
      <c r="X1610" s="135"/>
      <c r="Y1610" s="135"/>
      <c r="Z1610" s="135" t="s">
        <v>2858</v>
      </c>
      <c r="AA1610" s="135"/>
      <c r="AB1610" s="135"/>
      <c r="AC1610" s="135"/>
      <c r="AD1610" s="135" t="e">
        <v>#N/A</v>
      </c>
      <c r="AE1610" s="135"/>
      <c r="AF1610" s="135"/>
      <c r="AG1610" s="135"/>
    </row>
    <row r="1611" ht="21.75" hidden="1" customHeight="1">
      <c r="A1611" s="135">
        <v>1607.0</v>
      </c>
      <c r="B1611" s="135">
        <v>25045.0</v>
      </c>
      <c r="C1611" s="135"/>
      <c r="D1611" s="135">
        <v>8.0</v>
      </c>
      <c r="E1611" s="135" t="s">
        <v>3878</v>
      </c>
      <c r="F1611" s="135" t="s">
        <v>2485</v>
      </c>
      <c r="G1611" s="135" t="s">
        <v>116</v>
      </c>
      <c r="H1611" s="135" t="s">
        <v>2853</v>
      </c>
      <c r="I1611" s="135" t="s">
        <v>117</v>
      </c>
      <c r="J1611" s="135">
        <v>1.0</v>
      </c>
      <c r="K1611" s="135"/>
      <c r="L1611" s="135">
        <v>5140.0</v>
      </c>
      <c r="M1611" s="135">
        <v>3500.0</v>
      </c>
      <c r="N1611" s="135">
        <v>120.0</v>
      </c>
      <c r="O1611" s="135">
        <v>2.334</v>
      </c>
      <c r="P1611" s="136"/>
      <c r="Q1611" s="137">
        <v>5.835</v>
      </c>
      <c r="R1611" s="136">
        <v>46132.0</v>
      </c>
      <c r="S1611" s="135" t="s">
        <v>3879</v>
      </c>
      <c r="T1611" s="136"/>
      <c r="U1611" s="135" t="s">
        <v>2855</v>
      </c>
      <c r="V1611" s="135" t="s">
        <v>2876</v>
      </c>
      <c r="W1611" s="135" t="s">
        <v>3308</v>
      </c>
      <c r="X1611" s="135" t="s">
        <v>2870</v>
      </c>
      <c r="Y1611" s="135"/>
      <c r="Z1611" s="135" t="s">
        <v>2858</v>
      </c>
      <c r="AA1611" s="135"/>
      <c r="AB1611" s="135"/>
      <c r="AC1611" s="135"/>
      <c r="AD1611" s="135">
        <v>46151.0</v>
      </c>
      <c r="AE1611" s="135"/>
      <c r="AF1611" s="135"/>
      <c r="AG1611" s="135"/>
    </row>
    <row r="1612" ht="21.75" hidden="1" customHeight="1">
      <c r="A1612" s="135">
        <v>1608.0</v>
      </c>
      <c r="B1612" s="135">
        <v>25045.0</v>
      </c>
      <c r="C1612" s="135"/>
      <c r="D1612" s="135">
        <v>8.0</v>
      </c>
      <c r="E1612" s="135" t="s">
        <v>3878</v>
      </c>
      <c r="F1612" s="135" t="s">
        <v>2486</v>
      </c>
      <c r="G1612" s="135" t="s">
        <v>116</v>
      </c>
      <c r="H1612" s="135" t="s">
        <v>2853</v>
      </c>
      <c r="I1612" s="135" t="s">
        <v>117</v>
      </c>
      <c r="J1612" s="135">
        <v>1.0</v>
      </c>
      <c r="K1612" s="135"/>
      <c r="L1612" s="135">
        <v>5590.0</v>
      </c>
      <c r="M1612" s="135">
        <v>3500.0</v>
      </c>
      <c r="N1612" s="135">
        <v>120.0</v>
      </c>
      <c r="O1612" s="135">
        <v>2.49</v>
      </c>
      <c r="P1612" s="136"/>
      <c r="Q1612" s="137">
        <v>6.2250000000000005</v>
      </c>
      <c r="R1612" s="136">
        <v>46132.0</v>
      </c>
      <c r="S1612" s="135" t="s">
        <v>3879</v>
      </c>
      <c r="T1612" s="136"/>
      <c r="U1612" s="135" t="s">
        <v>2855</v>
      </c>
      <c r="V1612" s="135" t="s">
        <v>2876</v>
      </c>
      <c r="W1612" s="135" t="s">
        <v>2871</v>
      </c>
      <c r="X1612" s="135" t="s">
        <v>2872</v>
      </c>
      <c r="Y1612" s="135"/>
      <c r="Z1612" s="135" t="s">
        <v>2858</v>
      </c>
      <c r="AA1612" s="135"/>
      <c r="AB1612" s="135"/>
      <c r="AC1612" s="135"/>
      <c r="AD1612" s="135">
        <v>46153.0</v>
      </c>
      <c r="AE1612" s="135"/>
      <c r="AF1612" s="135"/>
      <c r="AG1612" s="135"/>
    </row>
    <row r="1613" ht="21.75" hidden="1" customHeight="1">
      <c r="A1613" s="135">
        <v>1609.0</v>
      </c>
      <c r="B1613" s="135">
        <v>25045.0</v>
      </c>
      <c r="C1613" s="135" t="s">
        <v>2817</v>
      </c>
      <c r="D1613" s="135">
        <v>8.0</v>
      </c>
      <c r="E1613" s="135" t="s">
        <v>3878</v>
      </c>
      <c r="F1613" s="135" t="s">
        <v>2487</v>
      </c>
      <c r="G1613" s="135" t="s">
        <v>116</v>
      </c>
      <c r="H1613" s="135" t="s">
        <v>2853</v>
      </c>
      <c r="I1613" s="135" t="s">
        <v>117</v>
      </c>
      <c r="J1613" s="135">
        <v>1.0</v>
      </c>
      <c r="K1613" s="135"/>
      <c r="L1613" s="135">
        <v>2195.0</v>
      </c>
      <c r="M1613" s="135">
        <v>2850.0</v>
      </c>
      <c r="N1613" s="135">
        <v>120.0</v>
      </c>
      <c r="O1613" s="135">
        <v>0.79</v>
      </c>
      <c r="P1613" s="136"/>
      <c r="Q1613" s="137">
        <v>1.975</v>
      </c>
      <c r="R1613" s="136">
        <v>46132.0</v>
      </c>
      <c r="S1613" s="135" t="s">
        <v>3879</v>
      </c>
      <c r="T1613" s="136"/>
      <c r="U1613" s="135" t="s">
        <v>2864</v>
      </c>
      <c r="V1613" s="135" t="s">
        <v>2878</v>
      </c>
      <c r="W1613" s="135"/>
      <c r="X1613" s="135" t="s">
        <v>3764</v>
      </c>
      <c r="Y1613" s="135"/>
      <c r="Z1613" s="135" t="s">
        <v>2858</v>
      </c>
      <c r="AA1613" s="135"/>
      <c r="AB1613" s="135"/>
      <c r="AC1613" s="135"/>
      <c r="AD1613" s="135" t="e">
        <v>#N/A</v>
      </c>
      <c r="AE1613" s="135"/>
      <c r="AF1613" s="135"/>
      <c r="AG1613" s="135"/>
    </row>
    <row r="1614" ht="21.75" hidden="1" customHeight="1">
      <c r="A1614" s="135">
        <v>1610.0</v>
      </c>
      <c r="B1614" s="135">
        <v>25045.0</v>
      </c>
      <c r="C1614" s="135"/>
      <c r="D1614" s="135">
        <v>8.0</v>
      </c>
      <c r="E1614" s="135" t="s">
        <v>3878</v>
      </c>
      <c r="F1614" s="135" t="s">
        <v>2488</v>
      </c>
      <c r="G1614" s="135" t="s">
        <v>116</v>
      </c>
      <c r="H1614" s="135" t="s">
        <v>2853</v>
      </c>
      <c r="I1614" s="135" t="s">
        <v>117</v>
      </c>
      <c r="J1614" s="135">
        <v>1.0</v>
      </c>
      <c r="K1614" s="135"/>
      <c r="L1614" s="135">
        <v>4350.0</v>
      </c>
      <c r="M1614" s="135">
        <v>3300.0</v>
      </c>
      <c r="N1614" s="135">
        <v>120.0</v>
      </c>
      <c r="O1614" s="135">
        <v>1.85</v>
      </c>
      <c r="P1614" s="136"/>
      <c r="Q1614" s="137">
        <v>4.625</v>
      </c>
      <c r="R1614" s="136">
        <v>46132.0</v>
      </c>
      <c r="S1614" s="135" t="s">
        <v>3879</v>
      </c>
      <c r="T1614" s="136"/>
      <c r="U1614" s="135" t="s">
        <v>2864</v>
      </c>
      <c r="V1614" s="135" t="s">
        <v>3041</v>
      </c>
      <c r="W1614" s="135" t="s">
        <v>3307</v>
      </c>
      <c r="X1614" s="135" t="s">
        <v>2867</v>
      </c>
      <c r="Y1614" s="135"/>
      <c r="Z1614" s="135" t="s">
        <v>2858</v>
      </c>
      <c r="AA1614" s="135"/>
      <c r="AB1614" s="135"/>
      <c r="AC1614" s="135"/>
      <c r="AD1614" s="135">
        <v>46155.0</v>
      </c>
      <c r="AE1614" s="135"/>
      <c r="AF1614" s="135"/>
      <c r="AG1614" s="135"/>
    </row>
    <row r="1615" ht="21.75" hidden="1" customHeight="1">
      <c r="A1615" s="135">
        <v>1611.0</v>
      </c>
      <c r="B1615" s="135">
        <v>25045.0</v>
      </c>
      <c r="C1615" s="135"/>
      <c r="D1615" s="135">
        <v>8.0</v>
      </c>
      <c r="E1615" s="135" t="s">
        <v>3878</v>
      </c>
      <c r="F1615" s="135" t="s">
        <v>2489</v>
      </c>
      <c r="G1615" s="135" t="s">
        <v>116</v>
      </c>
      <c r="H1615" s="135" t="s">
        <v>2853</v>
      </c>
      <c r="I1615" s="135" t="s">
        <v>117</v>
      </c>
      <c r="J1615" s="135">
        <v>1.0</v>
      </c>
      <c r="K1615" s="135"/>
      <c r="L1615" s="135">
        <v>4090.0</v>
      </c>
      <c r="M1615" s="135">
        <v>3300.0</v>
      </c>
      <c r="N1615" s="135">
        <v>120.0</v>
      </c>
      <c r="O1615" s="135">
        <v>1.769</v>
      </c>
      <c r="P1615" s="136"/>
      <c r="Q1615" s="137">
        <v>4.422499999999999</v>
      </c>
      <c r="R1615" s="136">
        <v>46132.0</v>
      </c>
      <c r="S1615" s="135" t="s">
        <v>3879</v>
      </c>
      <c r="T1615" s="136"/>
      <c r="U1615" s="135" t="s">
        <v>2864</v>
      </c>
      <c r="V1615" s="135" t="s">
        <v>3041</v>
      </c>
      <c r="W1615" s="135" t="s">
        <v>3880</v>
      </c>
      <c r="X1615" s="135" t="s">
        <v>2872</v>
      </c>
      <c r="Y1615" s="135"/>
      <c r="Z1615" s="135" t="s">
        <v>2858</v>
      </c>
      <c r="AA1615" s="135"/>
      <c r="AB1615" s="135"/>
      <c r="AC1615" s="135"/>
      <c r="AD1615" s="135">
        <v>46156.0</v>
      </c>
      <c r="AE1615" s="135"/>
      <c r="AF1615" s="135"/>
      <c r="AG1615" s="135"/>
    </row>
    <row r="1616" ht="21.75" hidden="1" customHeight="1">
      <c r="A1616" s="135">
        <v>1612.0</v>
      </c>
      <c r="B1616" s="135">
        <v>25045.0</v>
      </c>
      <c r="C1616" s="135"/>
      <c r="D1616" s="135">
        <v>8.0</v>
      </c>
      <c r="E1616" s="135" t="s">
        <v>3878</v>
      </c>
      <c r="F1616" s="135" t="s">
        <v>2490</v>
      </c>
      <c r="G1616" s="135" t="s">
        <v>116</v>
      </c>
      <c r="H1616" s="135" t="s">
        <v>2853</v>
      </c>
      <c r="I1616" s="135" t="s">
        <v>117</v>
      </c>
      <c r="J1616" s="135">
        <v>1.0</v>
      </c>
      <c r="K1616" s="135"/>
      <c r="L1616" s="135">
        <v>5068.0</v>
      </c>
      <c r="M1616" s="135">
        <v>2850.0</v>
      </c>
      <c r="N1616" s="135">
        <v>120.0</v>
      </c>
      <c r="O1616" s="135">
        <v>1.93</v>
      </c>
      <c r="P1616" s="136"/>
      <c r="Q1616" s="137">
        <v>4.825</v>
      </c>
      <c r="R1616" s="136">
        <v>46132.0</v>
      </c>
      <c r="S1616" s="135" t="s">
        <v>3879</v>
      </c>
      <c r="T1616" s="136"/>
      <c r="U1616" s="135" t="s">
        <v>2855</v>
      </c>
      <c r="V1616" s="135" t="s">
        <v>2876</v>
      </c>
      <c r="W1616" s="135" t="s">
        <v>3881</v>
      </c>
      <c r="X1616" s="135"/>
      <c r="Y1616" s="135"/>
      <c r="Z1616" s="135" t="s">
        <v>2858</v>
      </c>
      <c r="AA1616" s="135"/>
      <c r="AB1616" s="135"/>
      <c r="AC1616" s="135"/>
      <c r="AD1616" s="135">
        <v>46154.0</v>
      </c>
      <c r="AE1616" s="135"/>
      <c r="AF1616" s="135"/>
      <c r="AG1616" s="135"/>
    </row>
    <row r="1617" ht="21.75" hidden="1" customHeight="1">
      <c r="A1617" s="135">
        <v>1613.0</v>
      </c>
      <c r="B1617" s="135">
        <v>25045.0</v>
      </c>
      <c r="C1617" s="135"/>
      <c r="D1617" s="135">
        <v>8.0</v>
      </c>
      <c r="E1617" s="135" t="s">
        <v>3878</v>
      </c>
      <c r="F1617" s="135" t="s">
        <v>2491</v>
      </c>
      <c r="G1617" s="135" t="s">
        <v>116</v>
      </c>
      <c r="H1617" s="135" t="s">
        <v>2853</v>
      </c>
      <c r="I1617" s="135" t="s">
        <v>117</v>
      </c>
      <c r="J1617" s="135">
        <v>1.0</v>
      </c>
      <c r="K1617" s="135" t="s">
        <v>3134</v>
      </c>
      <c r="L1617" s="135">
        <v>4470.0</v>
      </c>
      <c r="M1617" s="135">
        <v>2800.0</v>
      </c>
      <c r="N1617" s="135">
        <v>120.0</v>
      </c>
      <c r="O1617" s="135">
        <v>1.754</v>
      </c>
      <c r="P1617" s="136"/>
      <c r="Q1617" s="137">
        <v>4.385</v>
      </c>
      <c r="R1617" s="136">
        <v>46132.0</v>
      </c>
      <c r="S1617" s="135" t="s">
        <v>3879</v>
      </c>
      <c r="T1617" s="136"/>
      <c r="U1617" s="135" t="s">
        <v>2855</v>
      </c>
      <c r="V1617" s="135" t="s">
        <v>2876</v>
      </c>
      <c r="W1617" s="135" t="s">
        <v>3882</v>
      </c>
      <c r="X1617" s="135"/>
      <c r="Y1617" s="135"/>
      <c r="Z1617" s="135" t="s">
        <v>2858</v>
      </c>
      <c r="AA1617" s="135"/>
      <c r="AB1617" s="135"/>
      <c r="AC1617" s="135"/>
      <c r="AD1617" s="135">
        <v>46143.0</v>
      </c>
      <c r="AE1617" s="135"/>
      <c r="AF1617" s="135"/>
      <c r="AG1617" s="135"/>
    </row>
    <row r="1618" ht="21.75" hidden="1" customHeight="1">
      <c r="A1618" s="135">
        <v>1614.0</v>
      </c>
      <c r="B1618" s="135">
        <v>25045.0</v>
      </c>
      <c r="C1618" s="135"/>
      <c r="D1618" s="135">
        <v>8.0</v>
      </c>
      <c r="E1618" s="135" t="s">
        <v>3878</v>
      </c>
      <c r="F1618" s="135" t="s">
        <v>2492</v>
      </c>
      <c r="G1618" s="135" t="s">
        <v>116</v>
      </c>
      <c r="H1618" s="135" t="s">
        <v>2853</v>
      </c>
      <c r="I1618" s="135" t="s">
        <v>117</v>
      </c>
      <c r="J1618" s="135">
        <v>1.0</v>
      </c>
      <c r="K1618" s="135" t="s">
        <v>3134</v>
      </c>
      <c r="L1618" s="135">
        <v>4470.0</v>
      </c>
      <c r="M1618" s="135">
        <v>2800.0</v>
      </c>
      <c r="N1618" s="135">
        <v>120.0</v>
      </c>
      <c r="O1618" s="135">
        <v>1.754</v>
      </c>
      <c r="P1618" s="136"/>
      <c r="Q1618" s="137">
        <v>4.385</v>
      </c>
      <c r="R1618" s="136">
        <v>46132.0</v>
      </c>
      <c r="S1618" s="135" t="s">
        <v>3879</v>
      </c>
      <c r="T1618" s="136"/>
      <c r="U1618" s="135" t="s">
        <v>2855</v>
      </c>
      <c r="V1618" s="135" t="s">
        <v>2876</v>
      </c>
      <c r="W1618" s="135" t="s">
        <v>3882</v>
      </c>
      <c r="X1618" s="135"/>
      <c r="Y1618" s="135"/>
      <c r="Z1618" s="135" t="s">
        <v>2858</v>
      </c>
      <c r="AA1618" s="135"/>
      <c r="AB1618" s="135"/>
      <c r="AC1618" s="135"/>
      <c r="AD1618" s="135">
        <v>46144.0</v>
      </c>
      <c r="AE1618" s="135"/>
      <c r="AF1618" s="135"/>
      <c r="AG1618" s="135"/>
    </row>
    <row r="1619" ht="21.75" hidden="1" customHeight="1">
      <c r="A1619" s="135">
        <v>1615.0</v>
      </c>
      <c r="B1619" s="135">
        <v>25045.0</v>
      </c>
      <c r="C1619" s="135"/>
      <c r="D1619" s="135">
        <v>8.0</v>
      </c>
      <c r="E1619" s="135" t="s">
        <v>3878</v>
      </c>
      <c r="F1619" s="135" t="s">
        <v>2493</v>
      </c>
      <c r="G1619" s="135" t="s">
        <v>116</v>
      </c>
      <c r="H1619" s="135" t="s">
        <v>2853</v>
      </c>
      <c r="I1619" s="135" t="s">
        <v>117</v>
      </c>
      <c r="J1619" s="135">
        <v>1.0</v>
      </c>
      <c r="K1619" s="135" t="s">
        <v>3134</v>
      </c>
      <c r="L1619" s="135">
        <v>4470.0</v>
      </c>
      <c r="M1619" s="135">
        <v>2800.0</v>
      </c>
      <c r="N1619" s="135">
        <v>120.0</v>
      </c>
      <c r="O1619" s="135">
        <v>1.754</v>
      </c>
      <c r="P1619" s="136"/>
      <c r="Q1619" s="137">
        <v>4.385</v>
      </c>
      <c r="R1619" s="136">
        <v>46132.0</v>
      </c>
      <c r="S1619" s="135" t="s">
        <v>3879</v>
      </c>
      <c r="T1619" s="136"/>
      <c r="U1619" s="135" t="s">
        <v>2855</v>
      </c>
      <c r="V1619" s="135" t="s">
        <v>2876</v>
      </c>
      <c r="W1619" s="135" t="s">
        <v>3882</v>
      </c>
      <c r="X1619" s="135"/>
      <c r="Y1619" s="135"/>
      <c r="Z1619" s="135" t="s">
        <v>2858</v>
      </c>
      <c r="AA1619" s="135"/>
      <c r="AB1619" s="135"/>
      <c r="AC1619" s="135"/>
      <c r="AD1619" s="135">
        <v>46146.0</v>
      </c>
      <c r="AE1619" s="135"/>
      <c r="AF1619" s="135"/>
      <c r="AG1619" s="135"/>
    </row>
    <row r="1620" ht="21.75" hidden="1" customHeight="1">
      <c r="A1620" s="135">
        <v>1616.0</v>
      </c>
      <c r="B1620" s="135">
        <v>25045.0</v>
      </c>
      <c r="C1620" s="135"/>
      <c r="D1620" s="135">
        <v>8.0</v>
      </c>
      <c r="E1620" s="135" t="s">
        <v>3883</v>
      </c>
      <c r="F1620" s="135" t="s">
        <v>2501</v>
      </c>
      <c r="G1620" s="135" t="s">
        <v>116</v>
      </c>
      <c r="H1620" s="135" t="s">
        <v>2853</v>
      </c>
      <c r="I1620" s="135" t="s">
        <v>119</v>
      </c>
      <c r="J1620" s="135">
        <v>1.0</v>
      </c>
      <c r="K1620" s="135" t="s">
        <v>3134</v>
      </c>
      <c r="L1620" s="135">
        <v>4470.0</v>
      </c>
      <c r="M1620" s="135">
        <v>2800.0</v>
      </c>
      <c r="N1620" s="135">
        <v>120.0</v>
      </c>
      <c r="O1620" s="135">
        <v>1.754</v>
      </c>
      <c r="P1620" s="136"/>
      <c r="Q1620" s="137">
        <v>4.385</v>
      </c>
      <c r="R1620" s="136">
        <v>46132.0</v>
      </c>
      <c r="S1620" s="135" t="s">
        <v>3879</v>
      </c>
      <c r="T1620" s="136"/>
      <c r="U1620" s="135" t="s">
        <v>2855</v>
      </c>
      <c r="V1620" s="135" t="s">
        <v>2876</v>
      </c>
      <c r="W1620" s="135" t="s">
        <v>3882</v>
      </c>
      <c r="X1620" s="135"/>
      <c r="Y1620" s="135"/>
      <c r="Z1620" s="135" t="s">
        <v>2858</v>
      </c>
      <c r="AA1620" s="135"/>
      <c r="AB1620" s="135"/>
      <c r="AC1620" s="135"/>
      <c r="AD1620" s="135">
        <v>46147.0</v>
      </c>
      <c r="AE1620" s="135"/>
      <c r="AF1620" s="135"/>
      <c r="AG1620" s="135"/>
    </row>
    <row r="1621" ht="21.75" hidden="1" customHeight="1">
      <c r="A1621" s="135">
        <v>1617.0</v>
      </c>
      <c r="B1621" s="135">
        <v>25045.0</v>
      </c>
      <c r="C1621" s="135"/>
      <c r="D1621" s="135">
        <v>8.0</v>
      </c>
      <c r="E1621" s="135" t="s">
        <v>3883</v>
      </c>
      <c r="F1621" s="135" t="s">
        <v>2502</v>
      </c>
      <c r="G1621" s="135" t="s">
        <v>116</v>
      </c>
      <c r="H1621" s="135" t="s">
        <v>2853</v>
      </c>
      <c r="I1621" s="135" t="s">
        <v>119</v>
      </c>
      <c r="J1621" s="135">
        <v>1.0</v>
      </c>
      <c r="K1621" s="135" t="s">
        <v>3134</v>
      </c>
      <c r="L1621" s="135">
        <v>4470.0</v>
      </c>
      <c r="M1621" s="135">
        <v>2800.0</v>
      </c>
      <c r="N1621" s="135">
        <v>120.0</v>
      </c>
      <c r="O1621" s="135">
        <v>1.754</v>
      </c>
      <c r="P1621" s="136"/>
      <c r="Q1621" s="137">
        <v>4.385</v>
      </c>
      <c r="R1621" s="136">
        <v>46132.0</v>
      </c>
      <c r="S1621" s="135" t="s">
        <v>3879</v>
      </c>
      <c r="T1621" s="136"/>
      <c r="U1621" s="135" t="s">
        <v>2855</v>
      </c>
      <c r="V1621" s="135" t="s">
        <v>2876</v>
      </c>
      <c r="W1621" s="135" t="s">
        <v>3882</v>
      </c>
      <c r="X1621" s="135"/>
      <c r="Y1621" s="135"/>
      <c r="Z1621" s="135" t="s">
        <v>2858</v>
      </c>
      <c r="AA1621" s="135"/>
      <c r="AB1621" s="135"/>
      <c r="AC1621" s="135"/>
      <c r="AD1621" s="135">
        <v>46148.0</v>
      </c>
      <c r="AE1621" s="135"/>
      <c r="AF1621" s="135"/>
      <c r="AG1621" s="135"/>
    </row>
    <row r="1622" ht="21.75" hidden="1" customHeight="1">
      <c r="A1622" s="135">
        <v>1618.0</v>
      </c>
      <c r="B1622" s="135">
        <v>25045.0</v>
      </c>
      <c r="C1622" s="135"/>
      <c r="D1622" s="135">
        <v>8.0</v>
      </c>
      <c r="E1622" s="135" t="s">
        <v>3883</v>
      </c>
      <c r="F1622" s="135" t="s">
        <v>2503</v>
      </c>
      <c r="G1622" s="135" t="s">
        <v>116</v>
      </c>
      <c r="H1622" s="135" t="s">
        <v>2853</v>
      </c>
      <c r="I1622" s="135" t="s">
        <v>119</v>
      </c>
      <c r="J1622" s="135">
        <v>1.0</v>
      </c>
      <c r="K1622" s="135" t="s">
        <v>3134</v>
      </c>
      <c r="L1622" s="135">
        <v>4470.0</v>
      </c>
      <c r="M1622" s="135">
        <v>2800.0</v>
      </c>
      <c r="N1622" s="135">
        <v>120.0</v>
      </c>
      <c r="O1622" s="135">
        <v>1.754</v>
      </c>
      <c r="P1622" s="136"/>
      <c r="Q1622" s="137">
        <v>4.385</v>
      </c>
      <c r="R1622" s="136">
        <v>46132.0</v>
      </c>
      <c r="S1622" s="135" t="s">
        <v>3879</v>
      </c>
      <c r="T1622" s="136"/>
      <c r="U1622" s="135" t="s">
        <v>2855</v>
      </c>
      <c r="V1622" s="135" t="s">
        <v>2876</v>
      </c>
      <c r="W1622" s="135" t="s">
        <v>3882</v>
      </c>
      <c r="X1622" s="135"/>
      <c r="Y1622" s="135"/>
      <c r="Z1622" s="135" t="s">
        <v>2858</v>
      </c>
      <c r="AA1622" s="135"/>
      <c r="AB1622" s="135"/>
      <c r="AC1622" s="135"/>
      <c r="AD1622" s="135">
        <v>46149.0</v>
      </c>
      <c r="AE1622" s="135"/>
      <c r="AF1622" s="135"/>
      <c r="AG1622" s="135"/>
    </row>
    <row r="1623" ht="21.75" hidden="1" customHeight="1">
      <c r="A1623" s="135">
        <v>1619.0</v>
      </c>
      <c r="B1623" s="135">
        <v>25045.0</v>
      </c>
      <c r="C1623" s="135"/>
      <c r="D1623" s="135">
        <v>8.0</v>
      </c>
      <c r="E1623" s="135" t="s">
        <v>3878</v>
      </c>
      <c r="F1623" s="135" t="s">
        <v>2494</v>
      </c>
      <c r="G1623" s="135" t="s">
        <v>116</v>
      </c>
      <c r="H1623" s="135" t="s">
        <v>2853</v>
      </c>
      <c r="I1623" s="135" t="s">
        <v>117</v>
      </c>
      <c r="J1623" s="135">
        <v>1.0</v>
      </c>
      <c r="K1623" s="135"/>
      <c r="L1623" s="135">
        <v>4470.0</v>
      </c>
      <c r="M1623" s="135">
        <v>2800.0</v>
      </c>
      <c r="N1623" s="135">
        <v>120.0</v>
      </c>
      <c r="O1623" s="135">
        <v>1.48</v>
      </c>
      <c r="P1623" s="136"/>
      <c r="Q1623" s="137">
        <v>3.7</v>
      </c>
      <c r="R1623" s="136">
        <v>46132.0</v>
      </c>
      <c r="S1623" s="135" t="s">
        <v>3879</v>
      </c>
      <c r="T1623" s="136"/>
      <c r="U1623" s="135" t="s">
        <v>2864</v>
      </c>
      <c r="V1623" s="135" t="s">
        <v>2985</v>
      </c>
      <c r="W1623" s="135" t="s">
        <v>3884</v>
      </c>
      <c r="X1623" s="135" t="s">
        <v>2892</v>
      </c>
      <c r="Y1623" s="135"/>
      <c r="Z1623" s="135" t="s">
        <v>2858</v>
      </c>
      <c r="AA1623" s="135"/>
      <c r="AB1623" s="135"/>
      <c r="AC1623" s="135"/>
      <c r="AD1623" s="135">
        <v>46156.0</v>
      </c>
      <c r="AE1623" s="135"/>
      <c r="AF1623" s="135"/>
      <c r="AG1623" s="135"/>
    </row>
    <row r="1624" ht="21.75" hidden="1" customHeight="1">
      <c r="A1624" s="135">
        <v>1620.0</v>
      </c>
      <c r="B1624" s="135">
        <v>25045.0</v>
      </c>
      <c r="C1624" s="135"/>
      <c r="D1624" s="135">
        <v>8.0</v>
      </c>
      <c r="E1624" s="135" t="s">
        <v>3878</v>
      </c>
      <c r="F1624" s="135" t="s">
        <v>2495</v>
      </c>
      <c r="G1624" s="135" t="s">
        <v>116</v>
      </c>
      <c r="H1624" s="135" t="s">
        <v>2853</v>
      </c>
      <c r="I1624" s="135" t="s">
        <v>117</v>
      </c>
      <c r="J1624" s="135">
        <v>1.0</v>
      </c>
      <c r="K1624" s="135"/>
      <c r="L1624" s="135">
        <v>3662.0</v>
      </c>
      <c r="M1624" s="135">
        <v>1240.0</v>
      </c>
      <c r="N1624" s="135">
        <v>120.0</v>
      </c>
      <c r="O1624" s="135">
        <v>0.682</v>
      </c>
      <c r="P1624" s="136"/>
      <c r="Q1624" s="137">
        <v>1.705</v>
      </c>
      <c r="R1624" s="136">
        <v>46132.0</v>
      </c>
      <c r="S1624" s="135" t="s">
        <v>3879</v>
      </c>
      <c r="T1624" s="136"/>
      <c r="U1624" s="135" t="s">
        <v>2855</v>
      </c>
      <c r="V1624" s="135" t="s">
        <v>2907</v>
      </c>
      <c r="W1624" s="135" t="s">
        <v>3885</v>
      </c>
      <c r="X1624" s="135"/>
      <c r="Y1624" s="135"/>
      <c r="Z1624" s="135" t="s">
        <v>2858</v>
      </c>
      <c r="AA1624" s="135"/>
      <c r="AB1624" s="135"/>
      <c r="AC1624" s="135"/>
      <c r="AD1624" s="135">
        <v>46154.0</v>
      </c>
      <c r="AE1624" s="135"/>
      <c r="AF1624" s="135"/>
      <c r="AG1624" s="135"/>
    </row>
    <row r="1625" ht="21.75" hidden="1" customHeight="1">
      <c r="A1625" s="135">
        <v>1621.0</v>
      </c>
      <c r="B1625" s="135">
        <v>25045.0</v>
      </c>
      <c r="C1625" s="135"/>
      <c r="D1625" s="135">
        <v>8.0</v>
      </c>
      <c r="E1625" s="135" t="s">
        <v>3878</v>
      </c>
      <c r="F1625" s="135" t="s">
        <v>2496</v>
      </c>
      <c r="G1625" s="135" t="s">
        <v>116</v>
      </c>
      <c r="H1625" s="135" t="s">
        <v>2853</v>
      </c>
      <c r="I1625" s="135" t="s">
        <v>117</v>
      </c>
      <c r="J1625" s="135">
        <v>1.0</v>
      </c>
      <c r="K1625" s="135"/>
      <c r="L1625" s="135">
        <v>3663.0</v>
      </c>
      <c r="M1625" s="135">
        <v>1240.0</v>
      </c>
      <c r="N1625" s="135">
        <v>120.0</v>
      </c>
      <c r="O1625" s="135">
        <v>0.682</v>
      </c>
      <c r="P1625" s="136"/>
      <c r="Q1625" s="137">
        <v>1.705</v>
      </c>
      <c r="R1625" s="136">
        <v>46132.0</v>
      </c>
      <c r="S1625" s="135" t="s">
        <v>3879</v>
      </c>
      <c r="T1625" s="136"/>
      <c r="U1625" s="135" t="s">
        <v>2855</v>
      </c>
      <c r="V1625" s="135" t="s">
        <v>2907</v>
      </c>
      <c r="W1625" s="135" t="s">
        <v>3886</v>
      </c>
      <c r="X1625" s="135"/>
      <c r="Y1625" s="135"/>
      <c r="Z1625" s="135" t="s">
        <v>2858</v>
      </c>
      <c r="AA1625" s="135"/>
      <c r="AB1625" s="135"/>
      <c r="AC1625" s="135"/>
      <c r="AD1625" s="135">
        <v>46155.0</v>
      </c>
      <c r="AE1625" s="135"/>
      <c r="AF1625" s="135"/>
      <c r="AG1625" s="135"/>
    </row>
    <row r="1626" ht="21.75" hidden="1" customHeight="1">
      <c r="A1626" s="135">
        <v>1622.0</v>
      </c>
      <c r="B1626" s="135">
        <v>25045.0</v>
      </c>
      <c r="C1626" s="135"/>
      <c r="D1626" s="135">
        <v>8.0</v>
      </c>
      <c r="E1626" s="135" t="s">
        <v>3878</v>
      </c>
      <c r="F1626" s="135" t="s">
        <v>2497</v>
      </c>
      <c r="G1626" s="135" t="s">
        <v>116</v>
      </c>
      <c r="H1626" s="135" t="s">
        <v>2853</v>
      </c>
      <c r="I1626" s="135" t="s">
        <v>117</v>
      </c>
      <c r="J1626" s="135">
        <v>1.0</v>
      </c>
      <c r="K1626" s="135"/>
      <c r="L1626" s="135">
        <v>1860.0</v>
      </c>
      <c r="M1626" s="135">
        <v>2000.0</v>
      </c>
      <c r="N1626" s="135">
        <v>120.0</v>
      </c>
      <c r="O1626" s="135">
        <v>0.521</v>
      </c>
      <c r="P1626" s="136"/>
      <c r="Q1626" s="137">
        <v>1.3025</v>
      </c>
      <c r="R1626" s="136">
        <v>46132.0</v>
      </c>
      <c r="S1626" s="135" t="s">
        <v>3879</v>
      </c>
      <c r="T1626" s="136"/>
      <c r="U1626" s="135" t="s">
        <v>2864</v>
      </c>
      <c r="V1626" s="135" t="s">
        <v>2873</v>
      </c>
      <c r="W1626" s="135" t="s">
        <v>3887</v>
      </c>
      <c r="X1626" s="135"/>
      <c r="Y1626" s="135"/>
      <c r="Z1626" s="135" t="s">
        <v>2858</v>
      </c>
      <c r="AA1626" s="135"/>
      <c r="AB1626" s="135"/>
      <c r="AC1626" s="135"/>
      <c r="AD1626" s="135">
        <v>46150.0</v>
      </c>
      <c r="AE1626" s="135"/>
      <c r="AF1626" s="135"/>
      <c r="AG1626" s="135"/>
    </row>
    <row r="1627" ht="21.75" hidden="1" customHeight="1">
      <c r="A1627" s="135">
        <v>1623.0</v>
      </c>
      <c r="B1627" s="135">
        <v>25045.0</v>
      </c>
      <c r="C1627" s="135"/>
      <c r="D1627" s="135">
        <v>8.0</v>
      </c>
      <c r="E1627" s="135" t="s">
        <v>3878</v>
      </c>
      <c r="F1627" s="135" t="s">
        <v>2498</v>
      </c>
      <c r="G1627" s="135" t="s">
        <v>116</v>
      </c>
      <c r="H1627" s="135" t="s">
        <v>2853</v>
      </c>
      <c r="I1627" s="135" t="s">
        <v>117</v>
      </c>
      <c r="J1627" s="135">
        <v>1.0</v>
      </c>
      <c r="K1627" s="135"/>
      <c r="L1627" s="135">
        <v>1820.0</v>
      </c>
      <c r="M1627" s="135">
        <v>940.0</v>
      </c>
      <c r="N1627" s="135">
        <v>120.0</v>
      </c>
      <c r="O1627" s="135">
        <v>0.34</v>
      </c>
      <c r="P1627" s="136"/>
      <c r="Q1627" s="137">
        <v>0.8500000000000001</v>
      </c>
      <c r="R1627" s="136">
        <v>46132.0</v>
      </c>
      <c r="S1627" s="135" t="s">
        <v>3879</v>
      </c>
      <c r="T1627" s="136"/>
      <c r="U1627" s="135" t="s">
        <v>2864</v>
      </c>
      <c r="V1627" s="135" t="s">
        <v>2953</v>
      </c>
      <c r="W1627" s="135" t="s">
        <v>3888</v>
      </c>
      <c r="X1627" s="135"/>
      <c r="Y1627" s="135"/>
      <c r="Z1627" s="135" t="s">
        <v>2858</v>
      </c>
      <c r="AA1627" s="135"/>
      <c r="AB1627" s="135"/>
      <c r="AC1627" s="135" t="s">
        <v>2863</v>
      </c>
      <c r="AD1627" s="135" t="e">
        <v>#N/A</v>
      </c>
      <c r="AE1627" s="135"/>
      <c r="AF1627" s="135"/>
      <c r="AG1627" s="135"/>
    </row>
    <row r="1628" ht="21.75" hidden="1" customHeight="1">
      <c r="A1628" s="135">
        <v>1624.0</v>
      </c>
      <c r="B1628" s="135">
        <v>25045.0</v>
      </c>
      <c r="C1628" s="135"/>
      <c r="D1628" s="135">
        <v>8.0</v>
      </c>
      <c r="E1628" s="135" t="s">
        <v>3878</v>
      </c>
      <c r="F1628" s="135" t="s">
        <v>2499</v>
      </c>
      <c r="G1628" s="135" t="s">
        <v>116</v>
      </c>
      <c r="H1628" s="135" t="s">
        <v>2853</v>
      </c>
      <c r="I1628" s="135" t="s">
        <v>117</v>
      </c>
      <c r="J1628" s="135">
        <v>1.0</v>
      </c>
      <c r="K1628" s="135"/>
      <c r="L1628" s="135">
        <v>5145.0</v>
      </c>
      <c r="M1628" s="135">
        <v>1000.0</v>
      </c>
      <c r="N1628" s="135">
        <v>120.0</v>
      </c>
      <c r="O1628" s="135">
        <v>0.905</v>
      </c>
      <c r="P1628" s="136"/>
      <c r="Q1628" s="137">
        <v>2.2625</v>
      </c>
      <c r="R1628" s="136">
        <v>46132.0</v>
      </c>
      <c r="S1628" s="135" t="s">
        <v>3879</v>
      </c>
      <c r="T1628" s="136"/>
      <c r="U1628" s="135" t="s">
        <v>2972</v>
      </c>
      <c r="V1628" s="135" t="s">
        <v>2951</v>
      </c>
      <c r="W1628" s="135" t="s">
        <v>3889</v>
      </c>
      <c r="X1628" s="135" t="s">
        <v>3890</v>
      </c>
      <c r="Y1628" s="135"/>
      <c r="Z1628" s="135" t="s">
        <v>2858</v>
      </c>
      <c r="AA1628" s="135"/>
      <c r="AB1628" s="135"/>
      <c r="AC1628" s="135"/>
      <c r="AD1628" s="135">
        <v>0.0</v>
      </c>
      <c r="AE1628" s="135"/>
      <c r="AF1628" s="135"/>
      <c r="AG1628" s="135"/>
    </row>
    <row r="1629" ht="21.75" hidden="1" customHeight="1">
      <c r="A1629" s="135">
        <v>1625.0</v>
      </c>
      <c r="B1629" s="135">
        <v>25045.0</v>
      </c>
      <c r="C1629" s="135"/>
      <c r="D1629" s="135">
        <v>8.0</v>
      </c>
      <c r="E1629" s="135" t="s">
        <v>3878</v>
      </c>
      <c r="F1629" s="135" t="s">
        <v>2500</v>
      </c>
      <c r="G1629" s="135" t="s">
        <v>116</v>
      </c>
      <c r="H1629" s="135" t="s">
        <v>2965</v>
      </c>
      <c r="I1629" s="135" t="s">
        <v>117</v>
      </c>
      <c r="J1629" s="135">
        <v>1.0</v>
      </c>
      <c r="K1629" s="135" t="s">
        <v>3134</v>
      </c>
      <c r="L1629" s="135">
        <v>400.0</v>
      </c>
      <c r="M1629" s="135">
        <v>2550.0</v>
      </c>
      <c r="N1629" s="135">
        <v>350.0</v>
      </c>
      <c r="O1629" s="135">
        <v>0.462</v>
      </c>
      <c r="P1629" s="136"/>
      <c r="Q1629" s="137">
        <v>1.155</v>
      </c>
      <c r="R1629" s="136">
        <v>46132.0</v>
      </c>
      <c r="S1629" s="135" t="s">
        <v>3879</v>
      </c>
      <c r="T1629" s="136"/>
      <c r="U1629" s="135" t="s">
        <v>2966</v>
      </c>
      <c r="V1629" s="135" t="s">
        <v>2967</v>
      </c>
      <c r="W1629" s="135"/>
      <c r="X1629" s="135" t="s">
        <v>2968</v>
      </c>
      <c r="Y1629" s="135"/>
      <c r="Z1629" s="135" t="s">
        <v>2858</v>
      </c>
      <c r="AA1629" s="135"/>
      <c r="AB1629" s="135"/>
      <c r="AC1629" s="135" t="s">
        <v>2863</v>
      </c>
      <c r="AD1629" s="135" t="e">
        <v>#N/A</v>
      </c>
      <c r="AE1629" s="135"/>
      <c r="AF1629" s="135"/>
      <c r="AG1629" s="135"/>
    </row>
    <row r="1630" ht="21.75" hidden="1" customHeight="1">
      <c r="A1630" s="135">
        <v>1626.0</v>
      </c>
      <c r="B1630" s="135">
        <v>25045.0</v>
      </c>
      <c r="C1630" s="135"/>
      <c r="D1630" s="135">
        <v>8.0</v>
      </c>
      <c r="E1630" s="135" t="s">
        <v>3883</v>
      </c>
      <c r="F1630" s="135" t="s">
        <v>2504</v>
      </c>
      <c r="G1630" s="135" t="s">
        <v>116</v>
      </c>
      <c r="H1630" s="135" t="s">
        <v>2965</v>
      </c>
      <c r="I1630" s="135" t="s">
        <v>119</v>
      </c>
      <c r="J1630" s="135">
        <v>1.0</v>
      </c>
      <c r="K1630" s="135" t="s">
        <v>3134</v>
      </c>
      <c r="L1630" s="135">
        <v>400.0</v>
      </c>
      <c r="M1630" s="135">
        <v>2550.0</v>
      </c>
      <c r="N1630" s="135">
        <v>350.0</v>
      </c>
      <c r="O1630" s="135">
        <v>0.462</v>
      </c>
      <c r="P1630" s="136"/>
      <c r="Q1630" s="137">
        <v>1.155</v>
      </c>
      <c r="R1630" s="136">
        <v>46132.0</v>
      </c>
      <c r="S1630" s="135" t="s">
        <v>3879</v>
      </c>
      <c r="T1630" s="136"/>
      <c r="U1630" s="135" t="s">
        <v>2966</v>
      </c>
      <c r="V1630" s="135" t="s">
        <v>2967</v>
      </c>
      <c r="W1630" s="135"/>
      <c r="X1630" s="135" t="s">
        <v>2968</v>
      </c>
      <c r="Y1630" s="135"/>
      <c r="Z1630" s="135" t="s">
        <v>2858</v>
      </c>
      <c r="AA1630" s="135"/>
      <c r="AB1630" s="135"/>
      <c r="AC1630" s="135" t="s">
        <v>2863</v>
      </c>
      <c r="AD1630" s="135" t="e">
        <v>#N/A</v>
      </c>
      <c r="AE1630" s="135"/>
      <c r="AF1630" s="135"/>
      <c r="AG1630" s="135"/>
    </row>
    <row r="1631" ht="21.75" hidden="1" customHeight="1">
      <c r="A1631" s="135">
        <v>1627.0</v>
      </c>
      <c r="B1631" s="135">
        <v>25045.0</v>
      </c>
      <c r="C1631" s="135"/>
      <c r="D1631" s="135">
        <v>8.0</v>
      </c>
      <c r="E1631" s="135" t="s">
        <v>3891</v>
      </c>
      <c r="F1631" s="135" t="s">
        <v>2517</v>
      </c>
      <c r="G1631" s="135" t="s">
        <v>116</v>
      </c>
      <c r="H1631" s="135" t="s">
        <v>2965</v>
      </c>
      <c r="I1631" s="135" t="s">
        <v>120</v>
      </c>
      <c r="J1631" s="135">
        <v>1.0</v>
      </c>
      <c r="K1631" s="135" t="s">
        <v>3134</v>
      </c>
      <c r="L1631" s="135">
        <v>400.0</v>
      </c>
      <c r="M1631" s="135">
        <v>2550.0</v>
      </c>
      <c r="N1631" s="135">
        <v>350.0</v>
      </c>
      <c r="O1631" s="135">
        <v>0.462</v>
      </c>
      <c r="P1631" s="136"/>
      <c r="Q1631" s="137">
        <v>1.155</v>
      </c>
      <c r="R1631" s="136">
        <v>46132.0</v>
      </c>
      <c r="S1631" s="135" t="s">
        <v>3879</v>
      </c>
      <c r="T1631" s="136"/>
      <c r="U1631" s="135" t="s">
        <v>2966</v>
      </c>
      <c r="V1631" s="135" t="s">
        <v>2967</v>
      </c>
      <c r="W1631" s="135"/>
      <c r="X1631" s="135" t="s">
        <v>2968</v>
      </c>
      <c r="Y1631" s="135"/>
      <c r="Z1631" s="135" t="s">
        <v>2858</v>
      </c>
      <c r="AA1631" s="135"/>
      <c r="AB1631" s="135"/>
      <c r="AC1631" s="135"/>
      <c r="AD1631" s="135">
        <v>46147.0</v>
      </c>
      <c r="AE1631" s="135"/>
      <c r="AF1631" s="135"/>
      <c r="AG1631" s="135"/>
    </row>
    <row r="1632" ht="21.75" hidden="1" customHeight="1">
      <c r="A1632" s="135">
        <v>1628.0</v>
      </c>
      <c r="B1632" s="135">
        <v>25045.0</v>
      </c>
      <c r="C1632" s="135"/>
      <c r="D1632" s="135">
        <v>8.0</v>
      </c>
      <c r="E1632" s="135" t="s">
        <v>3892</v>
      </c>
      <c r="F1632" s="135" t="s">
        <v>2533</v>
      </c>
      <c r="G1632" s="135" t="s">
        <v>116</v>
      </c>
      <c r="H1632" s="135" t="s">
        <v>2965</v>
      </c>
      <c r="I1632" s="135" t="s">
        <v>121</v>
      </c>
      <c r="J1632" s="135">
        <v>1.0</v>
      </c>
      <c r="K1632" s="135" t="s">
        <v>3134</v>
      </c>
      <c r="L1632" s="135">
        <v>400.0</v>
      </c>
      <c r="M1632" s="135">
        <v>2550.0</v>
      </c>
      <c r="N1632" s="135">
        <v>350.0</v>
      </c>
      <c r="O1632" s="135">
        <v>0.462</v>
      </c>
      <c r="P1632" s="136"/>
      <c r="Q1632" s="137">
        <v>1.155</v>
      </c>
      <c r="R1632" s="136">
        <v>46132.0</v>
      </c>
      <c r="S1632" s="135" t="s">
        <v>3879</v>
      </c>
      <c r="T1632" s="136"/>
      <c r="U1632" s="135" t="s">
        <v>2966</v>
      </c>
      <c r="V1632" s="135" t="s">
        <v>2967</v>
      </c>
      <c r="W1632" s="135"/>
      <c r="X1632" s="135" t="s">
        <v>2968</v>
      </c>
      <c r="Y1632" s="135"/>
      <c r="Z1632" s="135" t="s">
        <v>2858</v>
      </c>
      <c r="AA1632" s="135"/>
      <c r="AB1632" s="135"/>
      <c r="AC1632" s="135"/>
      <c r="AD1632" s="135">
        <v>46149.0</v>
      </c>
      <c r="AE1632" s="135"/>
      <c r="AF1632" s="135"/>
      <c r="AG1632" s="135"/>
    </row>
    <row r="1633" ht="21.75" hidden="1" customHeight="1">
      <c r="A1633" s="135">
        <v>1629.0</v>
      </c>
      <c r="B1633" s="135">
        <v>25045.0</v>
      </c>
      <c r="C1633" s="135" t="s">
        <v>2817</v>
      </c>
      <c r="D1633" s="135">
        <v>8.0</v>
      </c>
      <c r="E1633" s="135" t="s">
        <v>3883</v>
      </c>
      <c r="F1633" s="135" t="s">
        <v>2505</v>
      </c>
      <c r="G1633" s="135" t="s">
        <v>116</v>
      </c>
      <c r="H1633" s="135" t="s">
        <v>2853</v>
      </c>
      <c r="I1633" s="135" t="s">
        <v>119</v>
      </c>
      <c r="J1633" s="135">
        <v>1.0</v>
      </c>
      <c r="K1633" s="135" t="s">
        <v>3134</v>
      </c>
      <c r="L1633" s="135">
        <v>5887.0</v>
      </c>
      <c r="M1633" s="135">
        <v>2850.0</v>
      </c>
      <c r="N1633" s="135">
        <v>120.0</v>
      </c>
      <c r="O1633" s="135">
        <v>1.133</v>
      </c>
      <c r="P1633" s="136"/>
      <c r="Q1633" s="137">
        <v>2.8325</v>
      </c>
      <c r="R1633" s="136">
        <v>46132.0</v>
      </c>
      <c r="S1633" s="135" t="s">
        <v>3879</v>
      </c>
      <c r="T1633" s="136"/>
      <c r="U1633" s="135" t="s">
        <v>2855</v>
      </c>
      <c r="V1633" s="135" t="s">
        <v>2856</v>
      </c>
      <c r="W1633" s="135">
        <v>2500.0</v>
      </c>
      <c r="X1633" s="135" t="s">
        <v>3893</v>
      </c>
      <c r="Y1633" s="135"/>
      <c r="Z1633" s="135" t="s">
        <v>2858</v>
      </c>
      <c r="AA1633" s="135"/>
      <c r="AB1633" s="135"/>
      <c r="AC1633" s="135"/>
      <c r="AD1633" s="135" t="e">
        <v>#N/A</v>
      </c>
      <c r="AE1633" s="135"/>
      <c r="AF1633" s="135"/>
      <c r="AG1633" s="135"/>
    </row>
    <row r="1634" ht="21.75" hidden="1" customHeight="1">
      <c r="A1634" s="135">
        <v>1630.0</v>
      </c>
      <c r="B1634" s="135">
        <v>25045.0</v>
      </c>
      <c r="C1634" s="135" t="s">
        <v>2817</v>
      </c>
      <c r="D1634" s="135">
        <v>8.0</v>
      </c>
      <c r="E1634" s="135" t="s">
        <v>3891</v>
      </c>
      <c r="F1634" s="135" t="s">
        <v>2518</v>
      </c>
      <c r="G1634" s="135" t="s">
        <v>116</v>
      </c>
      <c r="H1634" s="135" t="s">
        <v>2853</v>
      </c>
      <c r="I1634" s="135" t="s">
        <v>120</v>
      </c>
      <c r="J1634" s="135">
        <v>1.0</v>
      </c>
      <c r="K1634" s="135" t="s">
        <v>3134</v>
      </c>
      <c r="L1634" s="135">
        <v>5887.0</v>
      </c>
      <c r="M1634" s="135">
        <v>2850.0</v>
      </c>
      <c r="N1634" s="135">
        <v>120.0</v>
      </c>
      <c r="O1634" s="135">
        <v>1.133</v>
      </c>
      <c r="P1634" s="136"/>
      <c r="Q1634" s="137">
        <v>2.8325</v>
      </c>
      <c r="R1634" s="136">
        <v>46132.0</v>
      </c>
      <c r="S1634" s="135" t="s">
        <v>3879</v>
      </c>
      <c r="T1634" s="136"/>
      <c r="U1634" s="135" t="s">
        <v>2855</v>
      </c>
      <c r="V1634" s="135" t="s">
        <v>2856</v>
      </c>
      <c r="W1634" s="135">
        <v>2500.0</v>
      </c>
      <c r="X1634" s="135" t="s">
        <v>3893</v>
      </c>
      <c r="Y1634" s="135"/>
      <c r="Z1634" s="135" t="s">
        <v>2858</v>
      </c>
      <c r="AA1634" s="135"/>
      <c r="AB1634" s="135"/>
      <c r="AC1634" s="135"/>
      <c r="AD1634" s="135" t="e">
        <v>#N/A</v>
      </c>
      <c r="AE1634" s="135"/>
      <c r="AF1634" s="135"/>
      <c r="AG1634" s="135"/>
    </row>
    <row r="1635" ht="21.75" hidden="1" customHeight="1">
      <c r="A1635" s="135">
        <v>1631.0</v>
      </c>
      <c r="B1635" s="135">
        <v>25045.0</v>
      </c>
      <c r="C1635" s="135" t="s">
        <v>2817</v>
      </c>
      <c r="D1635" s="135">
        <v>8.0</v>
      </c>
      <c r="E1635" s="135" t="s">
        <v>3892</v>
      </c>
      <c r="F1635" s="135" t="s">
        <v>2534</v>
      </c>
      <c r="G1635" s="135" t="s">
        <v>116</v>
      </c>
      <c r="H1635" s="135" t="s">
        <v>2853</v>
      </c>
      <c r="I1635" s="135" t="s">
        <v>121</v>
      </c>
      <c r="J1635" s="135">
        <v>1.0</v>
      </c>
      <c r="K1635" s="135" t="s">
        <v>3134</v>
      </c>
      <c r="L1635" s="135">
        <v>5887.0</v>
      </c>
      <c r="M1635" s="135">
        <v>2850.0</v>
      </c>
      <c r="N1635" s="135">
        <v>120.0</v>
      </c>
      <c r="O1635" s="135">
        <v>1.133</v>
      </c>
      <c r="P1635" s="136"/>
      <c r="Q1635" s="137">
        <v>2.8325</v>
      </c>
      <c r="R1635" s="136">
        <v>46132.0</v>
      </c>
      <c r="S1635" s="135" t="s">
        <v>3879</v>
      </c>
      <c r="T1635" s="136"/>
      <c r="U1635" s="135" t="s">
        <v>2855</v>
      </c>
      <c r="V1635" s="135" t="s">
        <v>2856</v>
      </c>
      <c r="W1635" s="135">
        <v>2500.0</v>
      </c>
      <c r="X1635" s="135" t="s">
        <v>3893</v>
      </c>
      <c r="Y1635" s="135"/>
      <c r="Z1635" s="135" t="s">
        <v>2858</v>
      </c>
      <c r="AA1635" s="135"/>
      <c r="AB1635" s="135"/>
      <c r="AC1635" s="135"/>
      <c r="AD1635" s="135" t="e">
        <v>#N/A</v>
      </c>
      <c r="AE1635" s="135"/>
      <c r="AF1635" s="135"/>
      <c r="AG1635" s="135"/>
    </row>
    <row r="1636" ht="21.75" hidden="1" customHeight="1">
      <c r="A1636" s="135">
        <v>1632.0</v>
      </c>
      <c r="B1636" s="135">
        <v>25045.0</v>
      </c>
      <c r="C1636" s="135" t="s">
        <v>2817</v>
      </c>
      <c r="D1636" s="135">
        <v>8.0</v>
      </c>
      <c r="E1636" s="135" t="s">
        <v>3894</v>
      </c>
      <c r="F1636" s="135" t="s">
        <v>2549</v>
      </c>
      <c r="G1636" s="135" t="s">
        <v>116</v>
      </c>
      <c r="H1636" s="135" t="s">
        <v>2853</v>
      </c>
      <c r="I1636" s="135" t="s">
        <v>122</v>
      </c>
      <c r="J1636" s="135">
        <v>1.0</v>
      </c>
      <c r="K1636" s="135" t="s">
        <v>3134</v>
      </c>
      <c r="L1636" s="135">
        <v>5887.0</v>
      </c>
      <c r="M1636" s="135">
        <v>2850.0</v>
      </c>
      <c r="N1636" s="135">
        <v>120.0</v>
      </c>
      <c r="O1636" s="135">
        <v>1.133</v>
      </c>
      <c r="P1636" s="136"/>
      <c r="Q1636" s="137">
        <v>2.8325</v>
      </c>
      <c r="R1636" s="136">
        <v>46132.0</v>
      </c>
      <c r="S1636" s="135" t="s">
        <v>3879</v>
      </c>
      <c r="T1636" s="136"/>
      <c r="U1636" s="135" t="s">
        <v>2855</v>
      </c>
      <c r="V1636" s="135" t="s">
        <v>2856</v>
      </c>
      <c r="W1636" s="135">
        <v>2500.0</v>
      </c>
      <c r="X1636" s="135" t="s">
        <v>3893</v>
      </c>
      <c r="Y1636" s="135"/>
      <c r="Z1636" s="135" t="s">
        <v>2858</v>
      </c>
      <c r="AA1636" s="135"/>
      <c r="AB1636" s="135"/>
      <c r="AC1636" s="135"/>
      <c r="AD1636" s="135" t="e">
        <v>#N/A</v>
      </c>
      <c r="AE1636" s="135"/>
      <c r="AF1636" s="135"/>
      <c r="AG1636" s="135"/>
    </row>
    <row r="1637" ht="21.75" hidden="1" customHeight="1">
      <c r="A1637" s="135">
        <v>1633.0</v>
      </c>
      <c r="B1637" s="135">
        <v>25045.0</v>
      </c>
      <c r="C1637" s="135" t="s">
        <v>2817</v>
      </c>
      <c r="D1637" s="135">
        <v>8.0</v>
      </c>
      <c r="E1637" s="135" t="s">
        <v>3883</v>
      </c>
      <c r="F1637" s="135" t="s">
        <v>2506</v>
      </c>
      <c r="G1637" s="135" t="s">
        <v>116</v>
      </c>
      <c r="H1637" s="135" t="s">
        <v>2853</v>
      </c>
      <c r="I1637" s="135" t="s">
        <v>119</v>
      </c>
      <c r="J1637" s="135">
        <v>1.0</v>
      </c>
      <c r="K1637" s="135" t="s">
        <v>3134</v>
      </c>
      <c r="L1637" s="135">
        <v>5887.0</v>
      </c>
      <c r="M1637" s="135">
        <v>1350.0</v>
      </c>
      <c r="N1637" s="135">
        <v>120.0</v>
      </c>
      <c r="O1637" s="135">
        <v>0.99</v>
      </c>
      <c r="P1637" s="136"/>
      <c r="Q1637" s="137">
        <v>2.475</v>
      </c>
      <c r="R1637" s="136">
        <v>46132.0</v>
      </c>
      <c r="S1637" s="135" t="s">
        <v>3879</v>
      </c>
      <c r="T1637" s="136"/>
      <c r="U1637" s="135" t="s">
        <v>2855</v>
      </c>
      <c r="V1637" s="135" t="s">
        <v>2856</v>
      </c>
      <c r="W1637" s="135">
        <v>1800.0</v>
      </c>
      <c r="X1637" s="135"/>
      <c r="Y1637" s="135"/>
      <c r="Z1637" s="135" t="s">
        <v>2858</v>
      </c>
      <c r="AA1637" s="135"/>
      <c r="AB1637" s="135"/>
      <c r="AC1637" s="135"/>
      <c r="AD1637" s="135" t="e">
        <v>#N/A</v>
      </c>
      <c r="AE1637" s="135"/>
      <c r="AF1637" s="135"/>
      <c r="AG1637" s="135"/>
    </row>
    <row r="1638" ht="21.75" hidden="1" customHeight="1">
      <c r="A1638" s="135">
        <v>1634.0</v>
      </c>
      <c r="B1638" s="135">
        <v>25045.0</v>
      </c>
      <c r="C1638" s="135" t="s">
        <v>2817</v>
      </c>
      <c r="D1638" s="135">
        <v>8.0</v>
      </c>
      <c r="E1638" s="135" t="s">
        <v>3891</v>
      </c>
      <c r="F1638" s="135" t="s">
        <v>2519</v>
      </c>
      <c r="G1638" s="135" t="s">
        <v>116</v>
      </c>
      <c r="H1638" s="135" t="s">
        <v>2853</v>
      </c>
      <c r="I1638" s="135" t="s">
        <v>120</v>
      </c>
      <c r="J1638" s="135">
        <v>1.0</v>
      </c>
      <c r="K1638" s="135" t="s">
        <v>3134</v>
      </c>
      <c r="L1638" s="135">
        <v>5887.0</v>
      </c>
      <c r="M1638" s="135">
        <v>1350.0</v>
      </c>
      <c r="N1638" s="135">
        <v>120.0</v>
      </c>
      <c r="O1638" s="135">
        <v>0.99</v>
      </c>
      <c r="P1638" s="136"/>
      <c r="Q1638" s="137">
        <v>2.475</v>
      </c>
      <c r="R1638" s="136">
        <v>46132.0</v>
      </c>
      <c r="S1638" s="135" t="s">
        <v>3879</v>
      </c>
      <c r="T1638" s="136"/>
      <c r="U1638" s="135" t="s">
        <v>2855</v>
      </c>
      <c r="V1638" s="135" t="s">
        <v>2856</v>
      </c>
      <c r="W1638" s="135">
        <v>1800.0</v>
      </c>
      <c r="X1638" s="135"/>
      <c r="Y1638" s="135"/>
      <c r="Z1638" s="135" t="s">
        <v>2858</v>
      </c>
      <c r="AA1638" s="135"/>
      <c r="AB1638" s="135"/>
      <c r="AC1638" s="135"/>
      <c r="AD1638" s="135" t="e">
        <v>#N/A</v>
      </c>
      <c r="AE1638" s="135"/>
      <c r="AF1638" s="135"/>
      <c r="AG1638" s="135"/>
    </row>
    <row r="1639" ht="21.75" hidden="1" customHeight="1">
      <c r="A1639" s="135">
        <v>1635.0</v>
      </c>
      <c r="B1639" s="135">
        <v>25045.0</v>
      </c>
      <c r="C1639" s="135" t="s">
        <v>2817</v>
      </c>
      <c r="D1639" s="135">
        <v>8.0</v>
      </c>
      <c r="E1639" s="135" t="s">
        <v>3892</v>
      </c>
      <c r="F1639" s="135" t="s">
        <v>2535</v>
      </c>
      <c r="G1639" s="135" t="s">
        <v>116</v>
      </c>
      <c r="H1639" s="135" t="s">
        <v>2853</v>
      </c>
      <c r="I1639" s="135" t="s">
        <v>121</v>
      </c>
      <c r="J1639" s="135">
        <v>1.0</v>
      </c>
      <c r="K1639" s="135" t="s">
        <v>3134</v>
      </c>
      <c r="L1639" s="135">
        <v>5887.0</v>
      </c>
      <c r="M1639" s="135">
        <v>1350.0</v>
      </c>
      <c r="N1639" s="135">
        <v>120.0</v>
      </c>
      <c r="O1639" s="135">
        <v>0.99</v>
      </c>
      <c r="P1639" s="136"/>
      <c r="Q1639" s="137">
        <v>2.475</v>
      </c>
      <c r="R1639" s="136">
        <v>46132.0</v>
      </c>
      <c r="S1639" s="135" t="s">
        <v>3879</v>
      </c>
      <c r="T1639" s="136"/>
      <c r="U1639" s="135" t="s">
        <v>2855</v>
      </c>
      <c r="V1639" s="135" t="s">
        <v>2856</v>
      </c>
      <c r="W1639" s="135">
        <v>1800.0</v>
      </c>
      <c r="X1639" s="135"/>
      <c r="Y1639" s="135"/>
      <c r="Z1639" s="135" t="s">
        <v>2858</v>
      </c>
      <c r="AA1639" s="135"/>
      <c r="AB1639" s="135"/>
      <c r="AC1639" s="135"/>
      <c r="AD1639" s="135" t="e">
        <v>#N/A</v>
      </c>
      <c r="AE1639" s="135"/>
      <c r="AF1639" s="135"/>
      <c r="AG1639" s="135"/>
    </row>
    <row r="1640" ht="21.75" hidden="1" customHeight="1">
      <c r="A1640" s="135">
        <v>1636.0</v>
      </c>
      <c r="B1640" s="135">
        <v>25045.0</v>
      </c>
      <c r="C1640" s="135" t="s">
        <v>2817</v>
      </c>
      <c r="D1640" s="135">
        <v>8.0</v>
      </c>
      <c r="E1640" s="135" t="s">
        <v>3894</v>
      </c>
      <c r="F1640" s="135" t="s">
        <v>2550</v>
      </c>
      <c r="G1640" s="135" t="s">
        <v>116</v>
      </c>
      <c r="H1640" s="135" t="s">
        <v>2853</v>
      </c>
      <c r="I1640" s="135" t="s">
        <v>122</v>
      </c>
      <c r="J1640" s="135">
        <v>1.0</v>
      </c>
      <c r="K1640" s="135" t="s">
        <v>3134</v>
      </c>
      <c r="L1640" s="135">
        <v>5887.0</v>
      </c>
      <c r="M1640" s="135">
        <v>1350.0</v>
      </c>
      <c r="N1640" s="135">
        <v>120.0</v>
      </c>
      <c r="O1640" s="135">
        <v>0.99</v>
      </c>
      <c r="P1640" s="136"/>
      <c r="Q1640" s="137">
        <v>2.475</v>
      </c>
      <c r="R1640" s="136">
        <v>46132.0</v>
      </c>
      <c r="S1640" s="135" t="s">
        <v>3879</v>
      </c>
      <c r="T1640" s="136"/>
      <c r="U1640" s="135" t="s">
        <v>2855</v>
      </c>
      <c r="V1640" s="135" t="s">
        <v>2856</v>
      </c>
      <c r="W1640" s="135">
        <v>1800.0</v>
      </c>
      <c r="X1640" s="135"/>
      <c r="Y1640" s="135"/>
      <c r="Z1640" s="135" t="s">
        <v>2858</v>
      </c>
      <c r="AA1640" s="135"/>
      <c r="AB1640" s="135"/>
      <c r="AC1640" s="135"/>
      <c r="AD1640" s="135" t="e">
        <v>#N/A</v>
      </c>
      <c r="AE1640" s="135"/>
      <c r="AF1640" s="135"/>
      <c r="AG1640" s="135"/>
    </row>
    <row r="1641" ht="21.75" hidden="1" customHeight="1">
      <c r="A1641" s="135">
        <v>1637.0</v>
      </c>
      <c r="B1641" s="135">
        <v>25045.0</v>
      </c>
      <c r="C1641" s="135" t="s">
        <v>2817</v>
      </c>
      <c r="D1641" s="135">
        <v>8.0</v>
      </c>
      <c r="E1641" s="135" t="s">
        <v>3883</v>
      </c>
      <c r="F1641" s="135" t="s">
        <v>2507</v>
      </c>
      <c r="G1641" s="135" t="s">
        <v>116</v>
      </c>
      <c r="H1641" s="135" t="s">
        <v>2853</v>
      </c>
      <c r="I1641" s="135" t="s">
        <v>119</v>
      </c>
      <c r="J1641" s="135">
        <v>1.0</v>
      </c>
      <c r="K1641" s="135" t="s">
        <v>3134</v>
      </c>
      <c r="L1641" s="135">
        <v>2195.0</v>
      </c>
      <c r="M1641" s="135">
        <v>2850.0</v>
      </c>
      <c r="N1641" s="135">
        <v>120.0</v>
      </c>
      <c r="O1641" s="135">
        <v>0.79</v>
      </c>
      <c r="P1641" s="136"/>
      <c r="Q1641" s="137">
        <v>1.975</v>
      </c>
      <c r="R1641" s="136">
        <v>46132.0</v>
      </c>
      <c r="S1641" s="135" t="s">
        <v>3879</v>
      </c>
      <c r="T1641" s="136"/>
      <c r="U1641" s="135" t="s">
        <v>2864</v>
      </c>
      <c r="V1641" s="135" t="s">
        <v>2878</v>
      </c>
      <c r="W1641" s="135"/>
      <c r="X1641" s="135" t="s">
        <v>3764</v>
      </c>
      <c r="Y1641" s="135"/>
      <c r="Z1641" s="135" t="s">
        <v>2858</v>
      </c>
      <c r="AA1641" s="135"/>
      <c r="AB1641" s="135"/>
      <c r="AC1641" s="135"/>
      <c r="AD1641" s="135" t="e">
        <v>#N/A</v>
      </c>
      <c r="AE1641" s="135"/>
      <c r="AF1641" s="135"/>
      <c r="AG1641" s="135"/>
    </row>
    <row r="1642" ht="21.75" hidden="1" customHeight="1">
      <c r="A1642" s="135">
        <v>1638.0</v>
      </c>
      <c r="B1642" s="135">
        <v>25045.0</v>
      </c>
      <c r="C1642" s="135" t="s">
        <v>2817</v>
      </c>
      <c r="D1642" s="135">
        <v>8.0</v>
      </c>
      <c r="E1642" s="135" t="s">
        <v>3892</v>
      </c>
      <c r="F1642" s="135" t="s">
        <v>2536</v>
      </c>
      <c r="G1642" s="135" t="s">
        <v>116</v>
      </c>
      <c r="H1642" s="135" t="s">
        <v>2853</v>
      </c>
      <c r="I1642" s="135" t="s">
        <v>121</v>
      </c>
      <c r="J1642" s="135">
        <v>1.0</v>
      </c>
      <c r="K1642" s="135" t="s">
        <v>3134</v>
      </c>
      <c r="L1642" s="135">
        <v>2195.0</v>
      </c>
      <c r="M1642" s="135">
        <v>2850.0</v>
      </c>
      <c r="N1642" s="135">
        <v>120.0</v>
      </c>
      <c r="O1642" s="135">
        <v>0.79</v>
      </c>
      <c r="P1642" s="136"/>
      <c r="Q1642" s="137">
        <v>1.975</v>
      </c>
      <c r="R1642" s="136">
        <v>46132.0</v>
      </c>
      <c r="S1642" s="135" t="s">
        <v>3879</v>
      </c>
      <c r="T1642" s="136"/>
      <c r="U1642" s="135" t="s">
        <v>2864</v>
      </c>
      <c r="V1642" s="135" t="s">
        <v>2878</v>
      </c>
      <c r="W1642" s="135"/>
      <c r="X1642" s="135" t="s">
        <v>3764</v>
      </c>
      <c r="Y1642" s="135"/>
      <c r="Z1642" s="135" t="s">
        <v>2858</v>
      </c>
      <c r="AA1642" s="135"/>
      <c r="AB1642" s="135"/>
      <c r="AC1642" s="135"/>
      <c r="AD1642" s="135" t="e">
        <v>#N/A</v>
      </c>
      <c r="AE1642" s="135"/>
      <c r="AF1642" s="135"/>
      <c r="AG1642" s="135"/>
    </row>
    <row r="1643" ht="21.75" hidden="1" customHeight="1">
      <c r="A1643" s="135">
        <v>1639.0</v>
      </c>
      <c r="B1643" s="135">
        <v>25045.0</v>
      </c>
      <c r="C1643" s="135"/>
      <c r="D1643" s="135">
        <v>8.0</v>
      </c>
      <c r="E1643" s="135" t="s">
        <v>3883</v>
      </c>
      <c r="F1643" s="135" t="s">
        <v>2508</v>
      </c>
      <c r="G1643" s="135" t="s">
        <v>116</v>
      </c>
      <c r="H1643" s="135" t="s">
        <v>2853</v>
      </c>
      <c r="I1643" s="135" t="s">
        <v>119</v>
      </c>
      <c r="J1643" s="135">
        <v>1.0</v>
      </c>
      <c r="K1643" s="135"/>
      <c r="L1643" s="135">
        <v>4470.0</v>
      </c>
      <c r="M1643" s="135">
        <v>2800.0</v>
      </c>
      <c r="N1643" s="135">
        <v>120.0</v>
      </c>
      <c r="O1643" s="135">
        <v>1.48</v>
      </c>
      <c r="P1643" s="136"/>
      <c r="Q1643" s="137">
        <v>3.7</v>
      </c>
      <c r="R1643" s="136">
        <v>46132.0</v>
      </c>
      <c r="S1643" s="135" t="s">
        <v>3879</v>
      </c>
      <c r="T1643" s="136"/>
      <c r="U1643" s="135" t="s">
        <v>2864</v>
      </c>
      <c r="V1643" s="135" t="s">
        <v>2985</v>
      </c>
      <c r="W1643" s="135"/>
      <c r="X1643" s="135" t="s">
        <v>2895</v>
      </c>
      <c r="Y1643" s="135"/>
      <c r="Z1643" s="135" t="s">
        <v>2858</v>
      </c>
      <c r="AA1643" s="135"/>
      <c r="AB1643" s="135"/>
      <c r="AC1643" s="135"/>
      <c r="AD1643" s="135">
        <v>46147.0</v>
      </c>
      <c r="AE1643" s="135"/>
      <c r="AF1643" s="135"/>
      <c r="AG1643" s="135"/>
    </row>
    <row r="1644" ht="21.75" hidden="1" customHeight="1">
      <c r="A1644" s="135">
        <v>1640.0</v>
      </c>
      <c r="B1644" s="135">
        <v>25045.0</v>
      </c>
      <c r="C1644" s="135"/>
      <c r="D1644" s="135">
        <v>8.0</v>
      </c>
      <c r="E1644" s="135" t="s">
        <v>3883</v>
      </c>
      <c r="F1644" s="135" t="s">
        <v>2509</v>
      </c>
      <c r="G1644" s="135" t="s">
        <v>116</v>
      </c>
      <c r="H1644" s="135" t="s">
        <v>2853</v>
      </c>
      <c r="I1644" s="135" t="s">
        <v>119</v>
      </c>
      <c r="J1644" s="135">
        <v>1.0</v>
      </c>
      <c r="K1644" s="135" t="s">
        <v>3134</v>
      </c>
      <c r="L1644" s="135">
        <v>5200.0</v>
      </c>
      <c r="M1644" s="135">
        <v>2850.0</v>
      </c>
      <c r="N1644" s="135">
        <v>120.0</v>
      </c>
      <c r="O1644" s="135">
        <v>1.961</v>
      </c>
      <c r="P1644" s="136"/>
      <c r="Q1644" s="137">
        <v>4.9025</v>
      </c>
      <c r="R1644" s="136">
        <v>46132.0</v>
      </c>
      <c r="S1644" s="135" t="s">
        <v>3879</v>
      </c>
      <c r="T1644" s="136"/>
      <c r="U1644" s="135" t="s">
        <v>2855</v>
      </c>
      <c r="V1644" s="135" t="s">
        <v>2876</v>
      </c>
      <c r="W1644" s="135">
        <v>1800.0</v>
      </c>
      <c r="X1644" s="135"/>
      <c r="Y1644" s="135"/>
      <c r="Z1644" s="135" t="s">
        <v>2858</v>
      </c>
      <c r="AA1644" s="135"/>
      <c r="AB1644" s="135"/>
      <c r="AC1644" s="135"/>
      <c r="AD1644" s="135">
        <v>46142.0</v>
      </c>
      <c r="AE1644" s="135"/>
      <c r="AF1644" s="135"/>
      <c r="AG1644" s="135"/>
    </row>
    <row r="1645" ht="21.75" hidden="1" customHeight="1">
      <c r="A1645" s="135">
        <v>1641.0</v>
      </c>
      <c r="B1645" s="135">
        <v>25045.0</v>
      </c>
      <c r="C1645" s="135"/>
      <c r="D1645" s="135">
        <v>8.0</v>
      </c>
      <c r="E1645" s="135" t="s">
        <v>3891</v>
      </c>
      <c r="F1645" s="135" t="s">
        <v>2520</v>
      </c>
      <c r="G1645" s="135" t="s">
        <v>116</v>
      </c>
      <c r="H1645" s="135" t="s">
        <v>2853</v>
      </c>
      <c r="I1645" s="135" t="s">
        <v>120</v>
      </c>
      <c r="J1645" s="135">
        <v>1.0</v>
      </c>
      <c r="K1645" s="135" t="s">
        <v>3134</v>
      </c>
      <c r="L1645" s="135">
        <v>5200.0</v>
      </c>
      <c r="M1645" s="135">
        <v>2850.0</v>
      </c>
      <c r="N1645" s="135">
        <v>120.0</v>
      </c>
      <c r="O1645" s="135">
        <v>1.961</v>
      </c>
      <c r="P1645" s="136"/>
      <c r="Q1645" s="137">
        <v>4.9025</v>
      </c>
      <c r="R1645" s="136">
        <v>46132.0</v>
      </c>
      <c r="S1645" s="135" t="s">
        <v>3879</v>
      </c>
      <c r="T1645" s="136"/>
      <c r="U1645" s="135" t="s">
        <v>2855</v>
      </c>
      <c r="V1645" s="135" t="s">
        <v>2876</v>
      </c>
      <c r="W1645" s="135">
        <v>1800.0</v>
      </c>
      <c r="X1645" s="135"/>
      <c r="Y1645" s="135"/>
      <c r="Z1645" s="135" t="s">
        <v>2858</v>
      </c>
      <c r="AA1645" s="135"/>
      <c r="AB1645" s="135"/>
      <c r="AC1645" s="135"/>
      <c r="AD1645" s="135">
        <v>46143.0</v>
      </c>
      <c r="AE1645" s="135"/>
      <c r="AF1645" s="135"/>
      <c r="AG1645" s="135"/>
    </row>
    <row r="1646" ht="21.75" hidden="1" customHeight="1">
      <c r="A1646" s="135">
        <v>1642.0</v>
      </c>
      <c r="B1646" s="135">
        <v>25045.0</v>
      </c>
      <c r="C1646" s="135"/>
      <c r="D1646" s="135">
        <v>8.0</v>
      </c>
      <c r="E1646" s="135" t="s">
        <v>3883</v>
      </c>
      <c r="F1646" s="135" t="s">
        <v>2510</v>
      </c>
      <c r="G1646" s="135" t="s">
        <v>116</v>
      </c>
      <c r="H1646" s="135" t="s">
        <v>2853</v>
      </c>
      <c r="I1646" s="135" t="s">
        <v>119</v>
      </c>
      <c r="J1646" s="135">
        <v>1.0</v>
      </c>
      <c r="K1646" s="135" t="s">
        <v>3134</v>
      </c>
      <c r="L1646" s="135">
        <v>5010.0</v>
      </c>
      <c r="M1646" s="135">
        <v>2850.0</v>
      </c>
      <c r="N1646" s="135">
        <v>120.0</v>
      </c>
      <c r="O1646" s="135">
        <v>1.914</v>
      </c>
      <c r="P1646" s="136"/>
      <c r="Q1646" s="137">
        <v>4.785</v>
      </c>
      <c r="R1646" s="136">
        <v>46132.0</v>
      </c>
      <c r="S1646" s="135" t="s">
        <v>3879</v>
      </c>
      <c r="T1646" s="136"/>
      <c r="U1646" s="135" t="s">
        <v>2855</v>
      </c>
      <c r="V1646" s="135" t="s">
        <v>2876</v>
      </c>
      <c r="W1646" s="135">
        <v>2500.0</v>
      </c>
      <c r="X1646" s="135"/>
      <c r="Y1646" s="135"/>
      <c r="Z1646" s="135" t="s">
        <v>2858</v>
      </c>
      <c r="AA1646" s="135"/>
      <c r="AB1646" s="135"/>
      <c r="AC1646" s="135"/>
      <c r="AD1646" s="135">
        <v>46143.0</v>
      </c>
      <c r="AE1646" s="135"/>
      <c r="AF1646" s="135"/>
      <c r="AG1646" s="135"/>
    </row>
    <row r="1647" ht="21.75" hidden="1" customHeight="1">
      <c r="A1647" s="135">
        <v>1643.0</v>
      </c>
      <c r="B1647" s="135">
        <v>25045.0</v>
      </c>
      <c r="C1647" s="135"/>
      <c r="D1647" s="135">
        <v>8.0</v>
      </c>
      <c r="E1647" s="135" t="s">
        <v>3891</v>
      </c>
      <c r="F1647" s="135" t="s">
        <v>2521</v>
      </c>
      <c r="G1647" s="135" t="s">
        <v>116</v>
      </c>
      <c r="H1647" s="135" t="s">
        <v>2853</v>
      </c>
      <c r="I1647" s="135" t="s">
        <v>120</v>
      </c>
      <c r="J1647" s="135">
        <v>1.0</v>
      </c>
      <c r="K1647" s="135" t="s">
        <v>3134</v>
      </c>
      <c r="L1647" s="135">
        <v>5010.0</v>
      </c>
      <c r="M1647" s="135">
        <v>2850.0</v>
      </c>
      <c r="N1647" s="135">
        <v>120.0</v>
      </c>
      <c r="O1647" s="135">
        <v>1.914</v>
      </c>
      <c r="P1647" s="136"/>
      <c r="Q1647" s="137">
        <v>4.785</v>
      </c>
      <c r="R1647" s="136">
        <v>46132.0</v>
      </c>
      <c r="S1647" s="135" t="s">
        <v>3879</v>
      </c>
      <c r="T1647" s="136"/>
      <c r="U1647" s="135" t="s">
        <v>2855</v>
      </c>
      <c r="V1647" s="135" t="s">
        <v>2876</v>
      </c>
      <c r="W1647" s="135">
        <v>2500.0</v>
      </c>
      <c r="X1647" s="135"/>
      <c r="Y1647" s="135"/>
      <c r="Z1647" s="135" t="s">
        <v>2858</v>
      </c>
      <c r="AA1647" s="135"/>
      <c r="AB1647" s="135"/>
      <c r="AC1647" s="135"/>
      <c r="AD1647" s="135">
        <v>46144.0</v>
      </c>
      <c r="AE1647" s="135"/>
      <c r="AF1647" s="135"/>
      <c r="AG1647" s="135"/>
    </row>
    <row r="1648" ht="21.75" hidden="1" customHeight="1">
      <c r="A1648" s="135">
        <v>1644.0</v>
      </c>
      <c r="B1648" s="135">
        <v>25045.0</v>
      </c>
      <c r="C1648" s="135"/>
      <c r="D1648" s="135">
        <v>8.0</v>
      </c>
      <c r="E1648" s="135" t="s">
        <v>3883</v>
      </c>
      <c r="F1648" s="135" t="s">
        <v>2511</v>
      </c>
      <c r="G1648" s="135" t="s">
        <v>116</v>
      </c>
      <c r="H1648" s="135" t="s">
        <v>2853</v>
      </c>
      <c r="I1648" s="135" t="s">
        <v>119</v>
      </c>
      <c r="J1648" s="135">
        <v>1.0</v>
      </c>
      <c r="K1648" s="135" t="s">
        <v>3134</v>
      </c>
      <c r="L1648" s="135">
        <v>4470.0</v>
      </c>
      <c r="M1648" s="135">
        <v>2850.0</v>
      </c>
      <c r="N1648" s="135">
        <v>120.0</v>
      </c>
      <c r="O1648" s="135">
        <v>1.782</v>
      </c>
      <c r="P1648" s="136"/>
      <c r="Q1648" s="137">
        <v>4.455</v>
      </c>
      <c r="R1648" s="136">
        <v>46132.0</v>
      </c>
      <c r="S1648" s="135" t="s">
        <v>3879</v>
      </c>
      <c r="T1648" s="136"/>
      <c r="U1648" s="135" t="s">
        <v>2855</v>
      </c>
      <c r="V1648" s="135" t="s">
        <v>2876</v>
      </c>
      <c r="W1648" s="135">
        <v>1800.0</v>
      </c>
      <c r="X1648" s="135"/>
      <c r="Y1648" s="135"/>
      <c r="Z1648" s="135" t="s">
        <v>2858</v>
      </c>
      <c r="AA1648" s="135"/>
      <c r="AB1648" s="135"/>
      <c r="AC1648" s="135"/>
      <c r="AD1648" s="135">
        <v>46146.0</v>
      </c>
      <c r="AE1648" s="135"/>
      <c r="AF1648" s="135"/>
      <c r="AG1648" s="135"/>
    </row>
    <row r="1649" ht="21.75" hidden="1" customHeight="1">
      <c r="A1649" s="135">
        <v>1645.0</v>
      </c>
      <c r="B1649" s="135">
        <v>25045.0</v>
      </c>
      <c r="C1649" s="135"/>
      <c r="D1649" s="135">
        <v>8.0</v>
      </c>
      <c r="E1649" s="135" t="s">
        <v>3883</v>
      </c>
      <c r="F1649" s="135" t="s">
        <v>2512</v>
      </c>
      <c r="G1649" s="135" t="s">
        <v>116</v>
      </c>
      <c r="H1649" s="135" t="s">
        <v>2853</v>
      </c>
      <c r="I1649" s="135" t="s">
        <v>119</v>
      </c>
      <c r="J1649" s="135">
        <v>1.0</v>
      </c>
      <c r="K1649" s="135" t="s">
        <v>3134</v>
      </c>
      <c r="L1649" s="135">
        <v>4470.0</v>
      </c>
      <c r="M1649" s="135">
        <v>2850.0</v>
      </c>
      <c r="N1649" s="135">
        <v>120.0</v>
      </c>
      <c r="O1649" s="135">
        <v>1.782</v>
      </c>
      <c r="P1649" s="136"/>
      <c r="Q1649" s="137">
        <v>4.455</v>
      </c>
      <c r="R1649" s="136">
        <v>46132.0</v>
      </c>
      <c r="S1649" s="135" t="s">
        <v>3879</v>
      </c>
      <c r="T1649" s="136"/>
      <c r="U1649" s="135" t="s">
        <v>2855</v>
      </c>
      <c r="V1649" s="135" t="s">
        <v>2876</v>
      </c>
      <c r="W1649" s="135">
        <v>1800.0</v>
      </c>
      <c r="X1649" s="135"/>
      <c r="Y1649" s="135"/>
      <c r="Z1649" s="135" t="s">
        <v>2858</v>
      </c>
      <c r="AA1649" s="135"/>
      <c r="AB1649" s="135"/>
      <c r="AC1649" s="135"/>
      <c r="AD1649" s="135">
        <v>46147.0</v>
      </c>
      <c r="AE1649" s="135"/>
      <c r="AF1649" s="135"/>
      <c r="AG1649" s="135"/>
    </row>
    <row r="1650" ht="21.75" hidden="1" customHeight="1">
      <c r="A1650" s="135">
        <v>1646.0</v>
      </c>
      <c r="B1650" s="135">
        <v>25045.0</v>
      </c>
      <c r="C1650" s="135"/>
      <c r="D1650" s="135">
        <v>8.0</v>
      </c>
      <c r="E1650" s="135" t="s">
        <v>3883</v>
      </c>
      <c r="F1650" s="135" t="s">
        <v>2513</v>
      </c>
      <c r="G1650" s="135" t="s">
        <v>116</v>
      </c>
      <c r="H1650" s="135" t="s">
        <v>2853</v>
      </c>
      <c r="I1650" s="135" t="s">
        <v>119</v>
      </c>
      <c r="J1650" s="135">
        <v>1.0</v>
      </c>
      <c r="K1650" s="135" t="s">
        <v>3134</v>
      </c>
      <c r="L1650" s="135">
        <v>4470.0</v>
      </c>
      <c r="M1650" s="135">
        <v>2850.0</v>
      </c>
      <c r="N1650" s="135">
        <v>120.0</v>
      </c>
      <c r="O1650" s="135">
        <v>1.782</v>
      </c>
      <c r="P1650" s="136"/>
      <c r="Q1650" s="137">
        <v>4.455</v>
      </c>
      <c r="R1650" s="136">
        <v>46132.0</v>
      </c>
      <c r="S1650" s="135" t="s">
        <v>3879</v>
      </c>
      <c r="T1650" s="136"/>
      <c r="U1650" s="135" t="s">
        <v>2855</v>
      </c>
      <c r="V1650" s="135" t="s">
        <v>2876</v>
      </c>
      <c r="W1650" s="135">
        <v>1800.0</v>
      </c>
      <c r="X1650" s="135"/>
      <c r="Y1650" s="135"/>
      <c r="Z1650" s="135" t="s">
        <v>2858</v>
      </c>
      <c r="AA1650" s="135"/>
      <c r="AB1650" s="135"/>
      <c r="AC1650" s="135"/>
      <c r="AD1650" s="135">
        <v>46148.0</v>
      </c>
      <c r="AE1650" s="135"/>
      <c r="AF1650" s="135"/>
      <c r="AG1650" s="135"/>
    </row>
    <row r="1651" ht="21.75" hidden="1" customHeight="1">
      <c r="A1651" s="135">
        <v>1647.0</v>
      </c>
      <c r="B1651" s="135">
        <v>25045.0</v>
      </c>
      <c r="C1651" s="135"/>
      <c r="D1651" s="135">
        <v>8.0</v>
      </c>
      <c r="E1651" s="135" t="s">
        <v>3891</v>
      </c>
      <c r="F1651" s="135" t="s">
        <v>2522</v>
      </c>
      <c r="G1651" s="135" t="s">
        <v>116</v>
      </c>
      <c r="H1651" s="135" t="s">
        <v>2853</v>
      </c>
      <c r="I1651" s="135" t="s">
        <v>120</v>
      </c>
      <c r="J1651" s="135">
        <v>1.0</v>
      </c>
      <c r="K1651" s="135" t="s">
        <v>3134</v>
      </c>
      <c r="L1651" s="135">
        <v>4470.0</v>
      </c>
      <c r="M1651" s="135">
        <v>2850.0</v>
      </c>
      <c r="N1651" s="135">
        <v>120.0</v>
      </c>
      <c r="O1651" s="135">
        <v>1.782</v>
      </c>
      <c r="P1651" s="136"/>
      <c r="Q1651" s="137">
        <v>4.455</v>
      </c>
      <c r="R1651" s="136">
        <v>46132.0</v>
      </c>
      <c r="S1651" s="135" t="s">
        <v>3879</v>
      </c>
      <c r="T1651" s="136"/>
      <c r="U1651" s="135" t="s">
        <v>2855</v>
      </c>
      <c r="V1651" s="135" t="s">
        <v>2876</v>
      </c>
      <c r="W1651" s="135">
        <v>1800.0</v>
      </c>
      <c r="X1651" s="135"/>
      <c r="Y1651" s="135"/>
      <c r="Z1651" s="135" t="s">
        <v>2858</v>
      </c>
      <c r="AA1651" s="135"/>
      <c r="AB1651" s="135"/>
      <c r="AC1651" s="135"/>
      <c r="AD1651" s="135">
        <v>46149.0</v>
      </c>
      <c r="AE1651" s="135"/>
      <c r="AF1651" s="135"/>
      <c r="AG1651" s="135"/>
    </row>
    <row r="1652" ht="21.75" hidden="1" customHeight="1">
      <c r="A1652" s="135">
        <v>1648.0</v>
      </c>
      <c r="B1652" s="135">
        <v>25045.0</v>
      </c>
      <c r="C1652" s="135"/>
      <c r="D1652" s="135">
        <v>8.0</v>
      </c>
      <c r="E1652" s="135" t="s">
        <v>3891</v>
      </c>
      <c r="F1652" s="135" t="s">
        <v>2523</v>
      </c>
      <c r="G1652" s="135" t="s">
        <v>116</v>
      </c>
      <c r="H1652" s="135" t="s">
        <v>2853</v>
      </c>
      <c r="I1652" s="135" t="s">
        <v>120</v>
      </c>
      <c r="J1652" s="135">
        <v>1.0</v>
      </c>
      <c r="K1652" s="135" t="s">
        <v>3134</v>
      </c>
      <c r="L1652" s="135">
        <v>4470.0</v>
      </c>
      <c r="M1652" s="135">
        <v>2850.0</v>
      </c>
      <c r="N1652" s="135">
        <v>120.0</v>
      </c>
      <c r="O1652" s="135">
        <v>1.782</v>
      </c>
      <c r="P1652" s="136"/>
      <c r="Q1652" s="137">
        <v>4.455</v>
      </c>
      <c r="R1652" s="136">
        <v>46132.0</v>
      </c>
      <c r="S1652" s="135" t="s">
        <v>3879</v>
      </c>
      <c r="T1652" s="136"/>
      <c r="U1652" s="135" t="s">
        <v>2855</v>
      </c>
      <c r="V1652" s="135" t="s">
        <v>2876</v>
      </c>
      <c r="W1652" s="135">
        <v>1800.0</v>
      </c>
      <c r="X1652" s="135"/>
      <c r="Y1652" s="135"/>
      <c r="Z1652" s="135" t="s">
        <v>2858</v>
      </c>
      <c r="AA1652" s="135"/>
      <c r="AB1652" s="135"/>
      <c r="AC1652" s="135"/>
      <c r="AD1652" s="135">
        <v>46146.0</v>
      </c>
      <c r="AE1652" s="135"/>
      <c r="AF1652" s="135"/>
      <c r="AG1652" s="135"/>
    </row>
    <row r="1653" ht="21.75" hidden="1" customHeight="1">
      <c r="A1653" s="135">
        <v>1649.0</v>
      </c>
      <c r="B1653" s="135">
        <v>25045.0</v>
      </c>
      <c r="C1653" s="135"/>
      <c r="D1653" s="135">
        <v>8.0</v>
      </c>
      <c r="E1653" s="135" t="s">
        <v>3891</v>
      </c>
      <c r="F1653" s="135" t="s">
        <v>2524</v>
      </c>
      <c r="G1653" s="135" t="s">
        <v>116</v>
      </c>
      <c r="H1653" s="135" t="s">
        <v>2853</v>
      </c>
      <c r="I1653" s="135" t="s">
        <v>120</v>
      </c>
      <c r="J1653" s="135">
        <v>1.0</v>
      </c>
      <c r="K1653" s="135" t="s">
        <v>3134</v>
      </c>
      <c r="L1653" s="135">
        <v>4470.0</v>
      </c>
      <c r="M1653" s="135">
        <v>2850.0</v>
      </c>
      <c r="N1653" s="135">
        <v>120.0</v>
      </c>
      <c r="O1653" s="135">
        <v>1.782</v>
      </c>
      <c r="P1653" s="136"/>
      <c r="Q1653" s="137">
        <v>4.455</v>
      </c>
      <c r="R1653" s="136">
        <v>46132.0</v>
      </c>
      <c r="S1653" s="135" t="s">
        <v>3879</v>
      </c>
      <c r="T1653" s="136"/>
      <c r="U1653" s="135" t="s">
        <v>2855</v>
      </c>
      <c r="V1653" s="135" t="s">
        <v>2876</v>
      </c>
      <c r="W1653" s="135">
        <v>1800.0</v>
      </c>
      <c r="X1653" s="135"/>
      <c r="Y1653" s="135"/>
      <c r="Z1653" s="135" t="s">
        <v>2858</v>
      </c>
      <c r="AA1653" s="135"/>
      <c r="AB1653" s="135"/>
      <c r="AC1653" s="135"/>
      <c r="AD1653" s="135">
        <v>46147.0</v>
      </c>
      <c r="AE1653" s="135"/>
      <c r="AF1653" s="135"/>
      <c r="AG1653" s="135"/>
    </row>
    <row r="1654" ht="21.75" hidden="1" customHeight="1">
      <c r="A1654" s="135">
        <v>1650.0</v>
      </c>
      <c r="B1654" s="135">
        <v>25045.0</v>
      </c>
      <c r="C1654" s="135"/>
      <c r="D1654" s="135">
        <v>8.0</v>
      </c>
      <c r="E1654" s="135" t="s">
        <v>3891</v>
      </c>
      <c r="F1654" s="135" t="s">
        <v>2525</v>
      </c>
      <c r="G1654" s="135" t="s">
        <v>116</v>
      </c>
      <c r="H1654" s="135" t="s">
        <v>2853</v>
      </c>
      <c r="I1654" s="135" t="s">
        <v>120</v>
      </c>
      <c r="J1654" s="135">
        <v>1.0</v>
      </c>
      <c r="K1654" s="135" t="s">
        <v>3134</v>
      </c>
      <c r="L1654" s="135">
        <v>4470.0</v>
      </c>
      <c r="M1654" s="135">
        <v>2850.0</v>
      </c>
      <c r="N1654" s="135">
        <v>120.0</v>
      </c>
      <c r="O1654" s="135">
        <v>1.782</v>
      </c>
      <c r="P1654" s="136"/>
      <c r="Q1654" s="137">
        <v>4.455</v>
      </c>
      <c r="R1654" s="136">
        <v>46132.0</v>
      </c>
      <c r="S1654" s="135" t="s">
        <v>3879</v>
      </c>
      <c r="T1654" s="136"/>
      <c r="U1654" s="135" t="s">
        <v>2855</v>
      </c>
      <c r="V1654" s="135" t="s">
        <v>2876</v>
      </c>
      <c r="W1654" s="135">
        <v>1800.0</v>
      </c>
      <c r="X1654" s="135"/>
      <c r="Y1654" s="135"/>
      <c r="Z1654" s="135" t="s">
        <v>2858</v>
      </c>
      <c r="AA1654" s="135"/>
      <c r="AB1654" s="135"/>
      <c r="AC1654" s="135"/>
      <c r="AD1654" s="135">
        <v>46148.0</v>
      </c>
      <c r="AE1654" s="135"/>
      <c r="AF1654" s="135"/>
      <c r="AG1654" s="135"/>
    </row>
    <row r="1655" ht="21.75" hidden="1" customHeight="1">
      <c r="A1655" s="135">
        <v>1651.0</v>
      </c>
      <c r="B1655" s="135">
        <v>25045.0</v>
      </c>
      <c r="C1655" s="135"/>
      <c r="D1655" s="135">
        <v>8.0</v>
      </c>
      <c r="E1655" s="135" t="s">
        <v>3891</v>
      </c>
      <c r="F1655" s="135" t="s">
        <v>2526</v>
      </c>
      <c r="G1655" s="135" t="s">
        <v>116</v>
      </c>
      <c r="H1655" s="135" t="s">
        <v>2853</v>
      </c>
      <c r="I1655" s="135" t="s">
        <v>120</v>
      </c>
      <c r="J1655" s="135">
        <v>1.0</v>
      </c>
      <c r="K1655" s="135" t="s">
        <v>3134</v>
      </c>
      <c r="L1655" s="135">
        <v>4470.0</v>
      </c>
      <c r="M1655" s="135">
        <v>2850.0</v>
      </c>
      <c r="N1655" s="135">
        <v>120.0</v>
      </c>
      <c r="O1655" s="135">
        <v>1.782</v>
      </c>
      <c r="P1655" s="136"/>
      <c r="Q1655" s="137">
        <v>4.455</v>
      </c>
      <c r="R1655" s="136">
        <v>46132.0</v>
      </c>
      <c r="S1655" s="135" t="s">
        <v>3879</v>
      </c>
      <c r="T1655" s="136"/>
      <c r="U1655" s="135" t="s">
        <v>2855</v>
      </c>
      <c r="V1655" s="135" t="s">
        <v>2876</v>
      </c>
      <c r="W1655" s="135">
        <v>1800.0</v>
      </c>
      <c r="X1655" s="135"/>
      <c r="Y1655" s="135"/>
      <c r="Z1655" s="135" t="s">
        <v>2858</v>
      </c>
      <c r="AA1655" s="135"/>
      <c r="AB1655" s="135"/>
      <c r="AC1655" s="135"/>
      <c r="AD1655" s="135">
        <v>46149.0</v>
      </c>
      <c r="AE1655" s="135"/>
      <c r="AF1655" s="135"/>
      <c r="AG1655" s="135"/>
    </row>
    <row r="1656" ht="21.75" hidden="1" customHeight="1">
      <c r="A1656" s="135">
        <v>1652.0</v>
      </c>
      <c r="B1656" s="135">
        <v>25045.0</v>
      </c>
      <c r="C1656" s="135"/>
      <c r="D1656" s="135">
        <v>8.0</v>
      </c>
      <c r="E1656" s="135" t="s">
        <v>3891</v>
      </c>
      <c r="F1656" s="135" t="s">
        <v>2527</v>
      </c>
      <c r="G1656" s="135" t="s">
        <v>116</v>
      </c>
      <c r="H1656" s="135" t="s">
        <v>2853</v>
      </c>
      <c r="I1656" s="135" t="s">
        <v>120</v>
      </c>
      <c r="J1656" s="135">
        <v>1.0</v>
      </c>
      <c r="K1656" s="135" t="s">
        <v>3134</v>
      </c>
      <c r="L1656" s="135">
        <v>4470.0</v>
      </c>
      <c r="M1656" s="135">
        <v>2850.0</v>
      </c>
      <c r="N1656" s="135">
        <v>120.0</v>
      </c>
      <c r="O1656" s="135">
        <v>1.782</v>
      </c>
      <c r="P1656" s="136"/>
      <c r="Q1656" s="137">
        <v>4.455</v>
      </c>
      <c r="R1656" s="136">
        <v>46132.0</v>
      </c>
      <c r="S1656" s="135" t="s">
        <v>3879</v>
      </c>
      <c r="T1656" s="136"/>
      <c r="U1656" s="135" t="s">
        <v>2855</v>
      </c>
      <c r="V1656" s="135" t="s">
        <v>2876</v>
      </c>
      <c r="W1656" s="135">
        <v>1800.0</v>
      </c>
      <c r="X1656" s="135"/>
      <c r="Y1656" s="135"/>
      <c r="Z1656" s="135" t="s">
        <v>2858</v>
      </c>
      <c r="AA1656" s="135"/>
      <c r="AB1656" s="135"/>
      <c r="AC1656" s="135"/>
      <c r="AD1656" s="135">
        <v>46150.0</v>
      </c>
      <c r="AE1656" s="135"/>
      <c r="AF1656" s="135"/>
      <c r="AG1656" s="135"/>
    </row>
    <row r="1657" ht="21.75" hidden="1" customHeight="1">
      <c r="A1657" s="135">
        <v>1653.0</v>
      </c>
      <c r="B1657" s="135">
        <v>25045.0</v>
      </c>
      <c r="C1657" s="135"/>
      <c r="D1657" s="135">
        <v>8.0</v>
      </c>
      <c r="E1657" s="135" t="s">
        <v>3892</v>
      </c>
      <c r="F1657" s="135" t="s">
        <v>2537</v>
      </c>
      <c r="G1657" s="135" t="s">
        <v>116</v>
      </c>
      <c r="H1657" s="135" t="s">
        <v>2853</v>
      </c>
      <c r="I1657" s="135" t="s">
        <v>121</v>
      </c>
      <c r="J1657" s="135">
        <v>1.0</v>
      </c>
      <c r="K1657" s="135" t="s">
        <v>3134</v>
      </c>
      <c r="L1657" s="135">
        <v>4470.0</v>
      </c>
      <c r="M1657" s="135">
        <v>2850.0</v>
      </c>
      <c r="N1657" s="135">
        <v>120.0</v>
      </c>
      <c r="O1657" s="135">
        <v>1.782</v>
      </c>
      <c r="P1657" s="136"/>
      <c r="Q1657" s="137">
        <v>4.455</v>
      </c>
      <c r="R1657" s="136">
        <v>46132.0</v>
      </c>
      <c r="S1657" s="135" t="s">
        <v>3879</v>
      </c>
      <c r="T1657" s="136"/>
      <c r="U1657" s="135" t="s">
        <v>2855</v>
      </c>
      <c r="V1657" s="135" t="s">
        <v>2876</v>
      </c>
      <c r="W1657" s="135">
        <v>1800.0</v>
      </c>
      <c r="X1657" s="135"/>
      <c r="Y1657" s="135"/>
      <c r="Z1657" s="135" t="s">
        <v>2858</v>
      </c>
      <c r="AA1657" s="135"/>
      <c r="AB1657" s="135"/>
      <c r="AC1657" s="135"/>
      <c r="AD1657" s="135">
        <v>46147.0</v>
      </c>
      <c r="AE1657" s="135"/>
      <c r="AF1657" s="135"/>
      <c r="AG1657" s="135"/>
    </row>
    <row r="1658" ht="21.75" hidden="1" customHeight="1">
      <c r="A1658" s="135">
        <v>1654.0</v>
      </c>
      <c r="B1658" s="135">
        <v>25045.0</v>
      </c>
      <c r="C1658" s="135"/>
      <c r="D1658" s="135">
        <v>8.0</v>
      </c>
      <c r="E1658" s="135" t="s">
        <v>3892</v>
      </c>
      <c r="F1658" s="135" t="s">
        <v>2538</v>
      </c>
      <c r="G1658" s="135" t="s">
        <v>116</v>
      </c>
      <c r="H1658" s="135" t="s">
        <v>2853</v>
      </c>
      <c r="I1658" s="135" t="s">
        <v>121</v>
      </c>
      <c r="J1658" s="135">
        <v>1.0</v>
      </c>
      <c r="K1658" s="135" t="s">
        <v>3134</v>
      </c>
      <c r="L1658" s="135">
        <v>4470.0</v>
      </c>
      <c r="M1658" s="135">
        <v>2850.0</v>
      </c>
      <c r="N1658" s="135">
        <v>120.0</v>
      </c>
      <c r="O1658" s="135">
        <v>1.782</v>
      </c>
      <c r="P1658" s="136"/>
      <c r="Q1658" s="137">
        <v>4.455</v>
      </c>
      <c r="R1658" s="136">
        <v>46132.0</v>
      </c>
      <c r="S1658" s="135" t="s">
        <v>3879</v>
      </c>
      <c r="T1658" s="136"/>
      <c r="U1658" s="135" t="s">
        <v>2855</v>
      </c>
      <c r="V1658" s="135" t="s">
        <v>2876</v>
      </c>
      <c r="W1658" s="135">
        <v>1800.0</v>
      </c>
      <c r="X1658" s="135"/>
      <c r="Y1658" s="135"/>
      <c r="Z1658" s="135" t="s">
        <v>2858</v>
      </c>
      <c r="AA1658" s="135"/>
      <c r="AB1658" s="135"/>
      <c r="AC1658" s="135"/>
      <c r="AD1658" s="135">
        <v>46148.0</v>
      </c>
      <c r="AE1658" s="135"/>
      <c r="AF1658" s="135"/>
      <c r="AG1658" s="135"/>
    </row>
    <row r="1659" ht="21.75" hidden="1" customHeight="1">
      <c r="A1659" s="135">
        <v>1655.0</v>
      </c>
      <c r="B1659" s="135">
        <v>25045.0</v>
      </c>
      <c r="C1659" s="135"/>
      <c r="D1659" s="135">
        <v>8.0</v>
      </c>
      <c r="E1659" s="135" t="s">
        <v>3892</v>
      </c>
      <c r="F1659" s="135" t="s">
        <v>2539</v>
      </c>
      <c r="G1659" s="135" t="s">
        <v>116</v>
      </c>
      <c r="H1659" s="135" t="s">
        <v>2853</v>
      </c>
      <c r="I1659" s="135" t="s">
        <v>121</v>
      </c>
      <c r="J1659" s="135">
        <v>1.0</v>
      </c>
      <c r="K1659" s="135" t="s">
        <v>3134</v>
      </c>
      <c r="L1659" s="135">
        <v>4470.0</v>
      </c>
      <c r="M1659" s="135">
        <v>2850.0</v>
      </c>
      <c r="N1659" s="135">
        <v>120.0</v>
      </c>
      <c r="O1659" s="135">
        <v>1.782</v>
      </c>
      <c r="P1659" s="136"/>
      <c r="Q1659" s="137">
        <v>4.455</v>
      </c>
      <c r="R1659" s="136">
        <v>46132.0</v>
      </c>
      <c r="S1659" s="135" t="s">
        <v>3879</v>
      </c>
      <c r="T1659" s="136"/>
      <c r="U1659" s="135" t="s">
        <v>2855</v>
      </c>
      <c r="V1659" s="135" t="s">
        <v>2876</v>
      </c>
      <c r="W1659" s="135">
        <v>1800.0</v>
      </c>
      <c r="X1659" s="135"/>
      <c r="Y1659" s="135"/>
      <c r="Z1659" s="135" t="s">
        <v>2858</v>
      </c>
      <c r="AA1659" s="135"/>
      <c r="AB1659" s="135"/>
      <c r="AC1659" s="135"/>
      <c r="AD1659" s="135">
        <v>46149.0</v>
      </c>
      <c r="AE1659" s="135"/>
      <c r="AF1659" s="135"/>
      <c r="AG1659" s="135"/>
    </row>
    <row r="1660" ht="21.75" hidden="1" customHeight="1">
      <c r="A1660" s="135">
        <v>1656.0</v>
      </c>
      <c r="B1660" s="135">
        <v>25045.0</v>
      </c>
      <c r="C1660" s="135"/>
      <c r="D1660" s="135">
        <v>8.0</v>
      </c>
      <c r="E1660" s="135" t="s">
        <v>3894</v>
      </c>
      <c r="F1660" s="135" t="s">
        <v>2551</v>
      </c>
      <c r="G1660" s="135" t="s">
        <v>116</v>
      </c>
      <c r="H1660" s="135" t="s">
        <v>2853</v>
      </c>
      <c r="I1660" s="135" t="s">
        <v>122</v>
      </c>
      <c r="J1660" s="135">
        <v>1.0</v>
      </c>
      <c r="K1660" s="135" t="s">
        <v>3134</v>
      </c>
      <c r="L1660" s="135">
        <v>4470.0</v>
      </c>
      <c r="M1660" s="135">
        <v>2850.0</v>
      </c>
      <c r="N1660" s="135">
        <v>120.0</v>
      </c>
      <c r="O1660" s="135">
        <v>1.782</v>
      </c>
      <c r="P1660" s="136"/>
      <c r="Q1660" s="137">
        <v>4.455</v>
      </c>
      <c r="R1660" s="136">
        <v>46132.0</v>
      </c>
      <c r="S1660" s="135" t="s">
        <v>3879</v>
      </c>
      <c r="T1660" s="136"/>
      <c r="U1660" s="135" t="s">
        <v>2855</v>
      </c>
      <c r="V1660" s="135" t="s">
        <v>2876</v>
      </c>
      <c r="W1660" s="135">
        <v>1800.0</v>
      </c>
      <c r="X1660" s="135"/>
      <c r="Y1660" s="135"/>
      <c r="Z1660" s="135" t="s">
        <v>2858</v>
      </c>
      <c r="AA1660" s="135"/>
      <c r="AB1660" s="135"/>
      <c r="AC1660" s="135"/>
      <c r="AD1660" s="135">
        <v>46150.0</v>
      </c>
      <c r="AE1660" s="135"/>
      <c r="AF1660" s="135"/>
      <c r="AG1660" s="135"/>
    </row>
    <row r="1661" ht="21.75" hidden="1" customHeight="1">
      <c r="A1661" s="135">
        <v>1657.0</v>
      </c>
      <c r="B1661" s="135">
        <v>25045.0</v>
      </c>
      <c r="C1661" s="135"/>
      <c r="D1661" s="135">
        <v>8.0</v>
      </c>
      <c r="E1661" s="135" t="s">
        <v>3894</v>
      </c>
      <c r="F1661" s="135" t="s">
        <v>2552</v>
      </c>
      <c r="G1661" s="135" t="s">
        <v>116</v>
      </c>
      <c r="H1661" s="135" t="s">
        <v>2853</v>
      </c>
      <c r="I1661" s="135" t="s">
        <v>122</v>
      </c>
      <c r="J1661" s="135">
        <v>1.0</v>
      </c>
      <c r="K1661" s="135" t="s">
        <v>3134</v>
      </c>
      <c r="L1661" s="135">
        <v>4470.0</v>
      </c>
      <c r="M1661" s="135">
        <v>2850.0</v>
      </c>
      <c r="N1661" s="135">
        <v>120.0</v>
      </c>
      <c r="O1661" s="135">
        <v>1.782</v>
      </c>
      <c r="P1661" s="136"/>
      <c r="Q1661" s="137">
        <v>4.455</v>
      </c>
      <c r="R1661" s="136">
        <v>46132.0</v>
      </c>
      <c r="S1661" s="135" t="s">
        <v>3879</v>
      </c>
      <c r="T1661" s="136"/>
      <c r="U1661" s="135" t="s">
        <v>2855</v>
      </c>
      <c r="V1661" s="135" t="s">
        <v>2876</v>
      </c>
      <c r="W1661" s="135">
        <v>1800.0</v>
      </c>
      <c r="X1661" s="135"/>
      <c r="Y1661" s="135"/>
      <c r="Z1661" s="135" t="s">
        <v>2858</v>
      </c>
      <c r="AA1661" s="135"/>
      <c r="AB1661" s="135"/>
      <c r="AC1661" s="135"/>
      <c r="AD1661" s="135">
        <v>46151.0</v>
      </c>
      <c r="AE1661" s="135"/>
      <c r="AF1661" s="135"/>
      <c r="AG1661" s="135"/>
    </row>
    <row r="1662" ht="21.75" hidden="1" customHeight="1">
      <c r="A1662" s="135">
        <v>1658.0</v>
      </c>
      <c r="B1662" s="135">
        <v>25045.0</v>
      </c>
      <c r="C1662" s="135"/>
      <c r="D1662" s="135">
        <v>8.0</v>
      </c>
      <c r="E1662" s="135" t="s">
        <v>3894</v>
      </c>
      <c r="F1662" s="135" t="s">
        <v>2553</v>
      </c>
      <c r="G1662" s="135" t="s">
        <v>116</v>
      </c>
      <c r="H1662" s="135" t="s">
        <v>2853</v>
      </c>
      <c r="I1662" s="135" t="s">
        <v>122</v>
      </c>
      <c r="J1662" s="135">
        <v>1.0</v>
      </c>
      <c r="K1662" s="135" t="s">
        <v>3134</v>
      </c>
      <c r="L1662" s="135">
        <v>4470.0</v>
      </c>
      <c r="M1662" s="135">
        <v>2850.0</v>
      </c>
      <c r="N1662" s="135">
        <v>120.0</v>
      </c>
      <c r="O1662" s="135">
        <v>1.782</v>
      </c>
      <c r="P1662" s="136"/>
      <c r="Q1662" s="137">
        <v>4.455</v>
      </c>
      <c r="R1662" s="136">
        <v>46132.0</v>
      </c>
      <c r="S1662" s="135" t="s">
        <v>3879</v>
      </c>
      <c r="T1662" s="136"/>
      <c r="U1662" s="135" t="s">
        <v>2855</v>
      </c>
      <c r="V1662" s="135" t="s">
        <v>2876</v>
      </c>
      <c r="W1662" s="135">
        <v>1800.0</v>
      </c>
      <c r="X1662" s="135"/>
      <c r="Y1662" s="135"/>
      <c r="Z1662" s="135" t="s">
        <v>2858</v>
      </c>
      <c r="AA1662" s="135"/>
      <c r="AB1662" s="135"/>
      <c r="AC1662" s="135"/>
      <c r="AD1662" s="135">
        <v>46153.0</v>
      </c>
      <c r="AE1662" s="135"/>
      <c r="AF1662" s="135"/>
      <c r="AG1662" s="135"/>
    </row>
    <row r="1663" ht="21.75" hidden="1" customHeight="1">
      <c r="A1663" s="135">
        <v>1659.0</v>
      </c>
      <c r="B1663" s="135">
        <v>25045.0</v>
      </c>
      <c r="C1663" s="135"/>
      <c r="D1663" s="135">
        <v>8.0</v>
      </c>
      <c r="E1663" s="135" t="s">
        <v>3895</v>
      </c>
      <c r="F1663" s="135" t="s">
        <v>2565</v>
      </c>
      <c r="G1663" s="135" t="s">
        <v>116</v>
      </c>
      <c r="H1663" s="135" t="s">
        <v>2853</v>
      </c>
      <c r="I1663" s="135" t="s">
        <v>123</v>
      </c>
      <c r="J1663" s="135">
        <v>1.0</v>
      </c>
      <c r="K1663" s="135" t="s">
        <v>3134</v>
      </c>
      <c r="L1663" s="135">
        <v>4470.0</v>
      </c>
      <c r="M1663" s="135">
        <v>2850.0</v>
      </c>
      <c r="N1663" s="135">
        <v>120.0</v>
      </c>
      <c r="O1663" s="135">
        <v>1.782</v>
      </c>
      <c r="P1663" s="136"/>
      <c r="Q1663" s="137">
        <v>4.455</v>
      </c>
      <c r="R1663" s="136">
        <v>46132.0</v>
      </c>
      <c r="S1663" s="135" t="s">
        <v>3879</v>
      </c>
      <c r="T1663" s="136"/>
      <c r="U1663" s="135" t="s">
        <v>2855</v>
      </c>
      <c r="V1663" s="135" t="s">
        <v>2876</v>
      </c>
      <c r="W1663" s="135">
        <v>1800.0</v>
      </c>
      <c r="X1663" s="135"/>
      <c r="Y1663" s="135"/>
      <c r="Z1663" s="135" t="s">
        <v>2858</v>
      </c>
      <c r="AA1663" s="135"/>
      <c r="AB1663" s="135"/>
      <c r="AC1663" s="135"/>
      <c r="AD1663" s="135">
        <v>46154.0</v>
      </c>
      <c r="AE1663" s="135"/>
      <c r="AF1663" s="135"/>
      <c r="AG1663" s="135"/>
    </row>
    <row r="1664" ht="21.75" hidden="1" customHeight="1">
      <c r="A1664" s="135">
        <v>1660.0</v>
      </c>
      <c r="B1664" s="135">
        <v>25045.0</v>
      </c>
      <c r="C1664" s="135"/>
      <c r="D1664" s="135">
        <v>8.0</v>
      </c>
      <c r="E1664" s="135" t="s">
        <v>3895</v>
      </c>
      <c r="F1664" s="135" t="s">
        <v>2566</v>
      </c>
      <c r="G1664" s="135" t="s">
        <v>116</v>
      </c>
      <c r="H1664" s="135" t="s">
        <v>2853</v>
      </c>
      <c r="I1664" s="135" t="s">
        <v>123</v>
      </c>
      <c r="J1664" s="135">
        <v>1.0</v>
      </c>
      <c r="K1664" s="135" t="s">
        <v>3134</v>
      </c>
      <c r="L1664" s="135">
        <v>4470.0</v>
      </c>
      <c r="M1664" s="135">
        <v>2850.0</v>
      </c>
      <c r="N1664" s="135">
        <v>120.0</v>
      </c>
      <c r="O1664" s="135">
        <v>1.782</v>
      </c>
      <c r="P1664" s="136"/>
      <c r="Q1664" s="137">
        <v>4.455</v>
      </c>
      <c r="R1664" s="136">
        <v>46132.0</v>
      </c>
      <c r="S1664" s="135" t="s">
        <v>3879</v>
      </c>
      <c r="T1664" s="136"/>
      <c r="U1664" s="135" t="s">
        <v>2855</v>
      </c>
      <c r="V1664" s="135" t="s">
        <v>2876</v>
      </c>
      <c r="W1664" s="135">
        <v>1800.0</v>
      </c>
      <c r="X1664" s="135"/>
      <c r="Y1664" s="135"/>
      <c r="Z1664" s="135" t="s">
        <v>2858</v>
      </c>
      <c r="AA1664" s="135"/>
      <c r="AB1664" s="135"/>
      <c r="AC1664" s="135"/>
      <c r="AD1664" s="135">
        <v>46149.0</v>
      </c>
      <c r="AE1664" s="135"/>
      <c r="AF1664" s="135"/>
      <c r="AG1664" s="135"/>
    </row>
    <row r="1665" ht="21.75" hidden="1" customHeight="1">
      <c r="A1665" s="135">
        <v>1661.0</v>
      </c>
      <c r="B1665" s="135">
        <v>25045.0</v>
      </c>
      <c r="C1665" s="135"/>
      <c r="D1665" s="135">
        <v>8.0</v>
      </c>
      <c r="E1665" s="135" t="s">
        <v>3895</v>
      </c>
      <c r="F1665" s="135" t="s">
        <v>2567</v>
      </c>
      <c r="G1665" s="135" t="s">
        <v>116</v>
      </c>
      <c r="H1665" s="135" t="s">
        <v>2853</v>
      </c>
      <c r="I1665" s="135" t="s">
        <v>123</v>
      </c>
      <c r="J1665" s="135">
        <v>1.0</v>
      </c>
      <c r="K1665" s="135" t="s">
        <v>3134</v>
      </c>
      <c r="L1665" s="135">
        <v>4470.0</v>
      </c>
      <c r="M1665" s="135">
        <v>2850.0</v>
      </c>
      <c r="N1665" s="135">
        <v>120.0</v>
      </c>
      <c r="O1665" s="135">
        <v>1.782</v>
      </c>
      <c r="P1665" s="136"/>
      <c r="Q1665" s="137">
        <v>4.455</v>
      </c>
      <c r="R1665" s="136">
        <v>46132.0</v>
      </c>
      <c r="S1665" s="135" t="s">
        <v>3879</v>
      </c>
      <c r="T1665" s="136"/>
      <c r="U1665" s="135" t="s">
        <v>2855</v>
      </c>
      <c r="V1665" s="135" t="s">
        <v>2876</v>
      </c>
      <c r="W1665" s="135">
        <v>1800.0</v>
      </c>
      <c r="X1665" s="135"/>
      <c r="Y1665" s="135"/>
      <c r="Z1665" s="135" t="s">
        <v>2858</v>
      </c>
      <c r="AA1665" s="135"/>
      <c r="AB1665" s="135"/>
      <c r="AC1665" s="135"/>
      <c r="AD1665" s="135">
        <v>46150.0</v>
      </c>
      <c r="AE1665" s="135"/>
      <c r="AF1665" s="135"/>
      <c r="AG1665" s="135"/>
    </row>
    <row r="1666" ht="21.75" hidden="1" customHeight="1">
      <c r="A1666" s="135">
        <v>1662.0</v>
      </c>
      <c r="B1666" s="135">
        <v>25045.0</v>
      </c>
      <c r="C1666" s="135"/>
      <c r="D1666" s="135">
        <v>8.0</v>
      </c>
      <c r="E1666" s="135" t="s">
        <v>3895</v>
      </c>
      <c r="F1666" s="135" t="s">
        <v>2568</v>
      </c>
      <c r="G1666" s="135" t="s">
        <v>116</v>
      </c>
      <c r="H1666" s="135" t="s">
        <v>2853</v>
      </c>
      <c r="I1666" s="135" t="s">
        <v>123</v>
      </c>
      <c r="J1666" s="135">
        <v>1.0</v>
      </c>
      <c r="K1666" s="135" t="s">
        <v>3134</v>
      </c>
      <c r="L1666" s="135">
        <v>4470.0</v>
      </c>
      <c r="M1666" s="135">
        <v>2850.0</v>
      </c>
      <c r="N1666" s="135">
        <v>120.0</v>
      </c>
      <c r="O1666" s="135">
        <v>1.782</v>
      </c>
      <c r="P1666" s="136"/>
      <c r="Q1666" s="137">
        <v>4.455</v>
      </c>
      <c r="R1666" s="136">
        <v>46132.0</v>
      </c>
      <c r="S1666" s="135" t="s">
        <v>3879</v>
      </c>
      <c r="T1666" s="136"/>
      <c r="U1666" s="135" t="s">
        <v>2855</v>
      </c>
      <c r="V1666" s="135" t="s">
        <v>2876</v>
      </c>
      <c r="W1666" s="135">
        <v>1800.0</v>
      </c>
      <c r="X1666" s="135"/>
      <c r="Y1666" s="135"/>
      <c r="Z1666" s="135" t="s">
        <v>2858</v>
      </c>
      <c r="AA1666" s="135"/>
      <c r="AB1666" s="135"/>
      <c r="AC1666" s="135"/>
      <c r="AD1666" s="135">
        <v>46151.0</v>
      </c>
      <c r="AE1666" s="135"/>
      <c r="AF1666" s="135"/>
      <c r="AG1666" s="135"/>
    </row>
    <row r="1667" ht="21.75" hidden="1" customHeight="1">
      <c r="A1667" s="135">
        <v>1663.0</v>
      </c>
      <c r="B1667" s="135">
        <v>25045.0</v>
      </c>
      <c r="C1667" s="135"/>
      <c r="D1667" s="135">
        <v>8.0</v>
      </c>
      <c r="E1667" s="135" t="s">
        <v>3895</v>
      </c>
      <c r="F1667" s="135" t="s">
        <v>2569</v>
      </c>
      <c r="G1667" s="135" t="s">
        <v>116</v>
      </c>
      <c r="H1667" s="135" t="s">
        <v>2853</v>
      </c>
      <c r="I1667" s="135" t="s">
        <v>123</v>
      </c>
      <c r="J1667" s="135">
        <v>1.0</v>
      </c>
      <c r="K1667" s="135" t="s">
        <v>3134</v>
      </c>
      <c r="L1667" s="135">
        <v>4470.0</v>
      </c>
      <c r="M1667" s="135">
        <v>2850.0</v>
      </c>
      <c r="N1667" s="135">
        <v>120.0</v>
      </c>
      <c r="O1667" s="135">
        <v>1.782</v>
      </c>
      <c r="P1667" s="136"/>
      <c r="Q1667" s="137">
        <v>4.455</v>
      </c>
      <c r="R1667" s="136">
        <v>46132.0</v>
      </c>
      <c r="S1667" s="135" t="s">
        <v>3879</v>
      </c>
      <c r="T1667" s="136"/>
      <c r="U1667" s="135" t="s">
        <v>2855</v>
      </c>
      <c r="V1667" s="135" t="s">
        <v>2876</v>
      </c>
      <c r="W1667" s="135">
        <v>1800.0</v>
      </c>
      <c r="X1667" s="135"/>
      <c r="Y1667" s="135"/>
      <c r="Z1667" s="135" t="s">
        <v>2858</v>
      </c>
      <c r="AA1667" s="135"/>
      <c r="AB1667" s="135"/>
      <c r="AC1667" s="135"/>
      <c r="AD1667" s="135">
        <v>46153.0</v>
      </c>
      <c r="AE1667" s="135"/>
      <c r="AF1667" s="135"/>
      <c r="AG1667" s="135"/>
    </row>
    <row r="1668" ht="21.75" hidden="1" customHeight="1">
      <c r="A1668" s="135">
        <v>1664.0</v>
      </c>
      <c r="B1668" s="135">
        <v>25045.0</v>
      </c>
      <c r="C1668" s="135"/>
      <c r="D1668" s="135">
        <v>8.0</v>
      </c>
      <c r="E1668" s="135" t="s">
        <v>3895</v>
      </c>
      <c r="F1668" s="135" t="s">
        <v>2570</v>
      </c>
      <c r="G1668" s="135" t="s">
        <v>116</v>
      </c>
      <c r="H1668" s="135" t="s">
        <v>2853</v>
      </c>
      <c r="I1668" s="135" t="s">
        <v>123</v>
      </c>
      <c r="J1668" s="135">
        <v>1.0</v>
      </c>
      <c r="K1668" s="135" t="s">
        <v>3134</v>
      </c>
      <c r="L1668" s="135">
        <v>4470.0</v>
      </c>
      <c r="M1668" s="135">
        <v>2850.0</v>
      </c>
      <c r="N1668" s="135">
        <v>120.0</v>
      </c>
      <c r="O1668" s="135">
        <v>1.782</v>
      </c>
      <c r="P1668" s="136"/>
      <c r="Q1668" s="137">
        <v>4.455</v>
      </c>
      <c r="R1668" s="136">
        <v>46132.0</v>
      </c>
      <c r="S1668" s="135" t="s">
        <v>3879</v>
      </c>
      <c r="T1668" s="136"/>
      <c r="U1668" s="135" t="s">
        <v>2855</v>
      </c>
      <c r="V1668" s="135" t="s">
        <v>2876</v>
      </c>
      <c r="W1668" s="135">
        <v>1800.0</v>
      </c>
      <c r="X1668" s="135"/>
      <c r="Y1668" s="135"/>
      <c r="Z1668" s="135" t="s">
        <v>2858</v>
      </c>
      <c r="AA1668" s="135"/>
      <c r="AB1668" s="135"/>
      <c r="AC1668" s="135"/>
      <c r="AD1668" s="135">
        <v>46153.0</v>
      </c>
      <c r="AE1668" s="135"/>
      <c r="AF1668" s="135"/>
      <c r="AG1668" s="135"/>
    </row>
    <row r="1669" ht="21.75" hidden="1" customHeight="1">
      <c r="A1669" s="135">
        <v>1665.0</v>
      </c>
      <c r="B1669" s="135">
        <v>25045.0</v>
      </c>
      <c r="C1669" s="135"/>
      <c r="D1669" s="135">
        <v>8.0</v>
      </c>
      <c r="E1669" s="135" t="s">
        <v>3896</v>
      </c>
      <c r="F1669" s="135" t="s">
        <v>2581</v>
      </c>
      <c r="G1669" s="135" t="s">
        <v>116</v>
      </c>
      <c r="H1669" s="135" t="s">
        <v>2853</v>
      </c>
      <c r="I1669" s="135" t="s">
        <v>124</v>
      </c>
      <c r="J1669" s="135">
        <v>1.0</v>
      </c>
      <c r="K1669" s="135" t="s">
        <v>3134</v>
      </c>
      <c r="L1669" s="135">
        <v>4470.0</v>
      </c>
      <c r="M1669" s="135">
        <v>2850.0</v>
      </c>
      <c r="N1669" s="135">
        <v>120.0</v>
      </c>
      <c r="O1669" s="135">
        <v>1.782</v>
      </c>
      <c r="P1669" s="136"/>
      <c r="Q1669" s="137">
        <v>4.455</v>
      </c>
      <c r="R1669" s="136">
        <v>46132.0</v>
      </c>
      <c r="S1669" s="135" t="s">
        <v>3879</v>
      </c>
      <c r="T1669" s="136"/>
      <c r="U1669" s="135" t="s">
        <v>2855</v>
      </c>
      <c r="V1669" s="135" t="s">
        <v>2876</v>
      </c>
      <c r="W1669" s="135">
        <v>1800.0</v>
      </c>
      <c r="X1669" s="135"/>
      <c r="Y1669" s="135"/>
      <c r="Z1669" s="135" t="s">
        <v>2858</v>
      </c>
      <c r="AA1669" s="135"/>
      <c r="AB1669" s="135"/>
      <c r="AC1669" s="135"/>
      <c r="AD1669" s="135">
        <v>46154.0</v>
      </c>
      <c r="AE1669" s="135"/>
      <c r="AF1669" s="135"/>
      <c r="AG1669" s="135"/>
    </row>
    <row r="1670" ht="21.75" hidden="1" customHeight="1">
      <c r="A1670" s="135">
        <v>1666.0</v>
      </c>
      <c r="B1670" s="135">
        <v>25045.0</v>
      </c>
      <c r="C1670" s="135"/>
      <c r="D1670" s="135">
        <v>8.0</v>
      </c>
      <c r="E1670" s="135" t="s">
        <v>3896</v>
      </c>
      <c r="F1670" s="135" t="s">
        <v>2582</v>
      </c>
      <c r="G1670" s="135" t="s">
        <v>116</v>
      </c>
      <c r="H1670" s="135" t="s">
        <v>2853</v>
      </c>
      <c r="I1670" s="135" t="s">
        <v>124</v>
      </c>
      <c r="J1670" s="135">
        <v>1.0</v>
      </c>
      <c r="K1670" s="135" t="s">
        <v>3134</v>
      </c>
      <c r="L1670" s="135">
        <v>4470.0</v>
      </c>
      <c r="M1670" s="135">
        <v>2850.0</v>
      </c>
      <c r="N1670" s="135">
        <v>120.0</v>
      </c>
      <c r="O1670" s="135">
        <v>1.782</v>
      </c>
      <c r="P1670" s="136"/>
      <c r="Q1670" s="137">
        <v>4.455</v>
      </c>
      <c r="R1670" s="136">
        <v>46132.0</v>
      </c>
      <c r="S1670" s="135" t="s">
        <v>3879</v>
      </c>
      <c r="T1670" s="136"/>
      <c r="U1670" s="135" t="s">
        <v>2855</v>
      </c>
      <c r="V1670" s="135" t="s">
        <v>2876</v>
      </c>
      <c r="W1670" s="135">
        <v>1800.0</v>
      </c>
      <c r="X1670" s="135"/>
      <c r="Y1670" s="135"/>
      <c r="Z1670" s="135" t="s">
        <v>2858</v>
      </c>
      <c r="AA1670" s="135"/>
      <c r="AB1670" s="135"/>
      <c r="AC1670" s="135"/>
      <c r="AD1670" s="135">
        <v>46153.0</v>
      </c>
      <c r="AE1670" s="135"/>
      <c r="AF1670" s="135"/>
      <c r="AG1670" s="135"/>
    </row>
    <row r="1671" ht="21.75" hidden="1" customHeight="1">
      <c r="A1671" s="135">
        <v>1667.0</v>
      </c>
      <c r="B1671" s="135">
        <v>25045.0</v>
      </c>
      <c r="C1671" s="135"/>
      <c r="D1671" s="135">
        <v>8.0</v>
      </c>
      <c r="E1671" s="135" t="s">
        <v>3896</v>
      </c>
      <c r="F1671" s="135" t="s">
        <v>2583</v>
      </c>
      <c r="G1671" s="135" t="s">
        <v>116</v>
      </c>
      <c r="H1671" s="135" t="s">
        <v>2853</v>
      </c>
      <c r="I1671" s="135" t="s">
        <v>124</v>
      </c>
      <c r="J1671" s="135">
        <v>1.0</v>
      </c>
      <c r="K1671" s="135" t="s">
        <v>3134</v>
      </c>
      <c r="L1671" s="135">
        <v>4470.0</v>
      </c>
      <c r="M1671" s="135">
        <v>2850.0</v>
      </c>
      <c r="N1671" s="135">
        <v>120.0</v>
      </c>
      <c r="O1671" s="135">
        <v>1.782</v>
      </c>
      <c r="P1671" s="136"/>
      <c r="Q1671" s="137">
        <v>4.455</v>
      </c>
      <c r="R1671" s="136">
        <v>46132.0</v>
      </c>
      <c r="S1671" s="135" t="s">
        <v>3879</v>
      </c>
      <c r="T1671" s="136"/>
      <c r="U1671" s="135" t="s">
        <v>2855</v>
      </c>
      <c r="V1671" s="135" t="s">
        <v>2876</v>
      </c>
      <c r="W1671" s="135">
        <v>1800.0</v>
      </c>
      <c r="X1671" s="135"/>
      <c r="Y1671" s="135"/>
      <c r="Z1671" s="135" t="s">
        <v>2858</v>
      </c>
      <c r="AA1671" s="135"/>
      <c r="AB1671" s="135"/>
      <c r="AC1671" s="135"/>
      <c r="AD1671" s="135">
        <v>46154.0</v>
      </c>
      <c r="AE1671" s="135"/>
      <c r="AF1671" s="135"/>
      <c r="AG1671" s="135"/>
    </row>
    <row r="1672" ht="21.75" hidden="1" customHeight="1">
      <c r="A1672" s="135">
        <v>1668.0</v>
      </c>
      <c r="B1672" s="135">
        <v>25045.0</v>
      </c>
      <c r="C1672" s="135"/>
      <c r="D1672" s="135">
        <v>8.0</v>
      </c>
      <c r="E1672" s="135" t="s">
        <v>3883</v>
      </c>
      <c r="F1672" s="135" t="s">
        <v>2514</v>
      </c>
      <c r="G1672" s="135" t="s">
        <v>116</v>
      </c>
      <c r="H1672" s="135" t="s">
        <v>2853</v>
      </c>
      <c r="I1672" s="135" t="s">
        <v>119</v>
      </c>
      <c r="J1672" s="135">
        <v>1.0</v>
      </c>
      <c r="K1672" s="135" t="s">
        <v>3134</v>
      </c>
      <c r="L1672" s="135">
        <v>4470.0</v>
      </c>
      <c r="M1672" s="135">
        <v>2850.0</v>
      </c>
      <c r="N1672" s="135">
        <v>120.0</v>
      </c>
      <c r="O1672" s="135">
        <v>1.495</v>
      </c>
      <c r="P1672" s="136"/>
      <c r="Q1672" s="137">
        <v>3.7375000000000003</v>
      </c>
      <c r="R1672" s="136">
        <v>46132.0</v>
      </c>
      <c r="S1672" s="135" t="s">
        <v>3879</v>
      </c>
      <c r="T1672" s="136"/>
      <c r="U1672" s="135" t="s">
        <v>2864</v>
      </c>
      <c r="V1672" s="135" t="s">
        <v>2985</v>
      </c>
      <c r="W1672" s="135"/>
      <c r="X1672" s="135" t="s">
        <v>2892</v>
      </c>
      <c r="Y1672" s="135"/>
      <c r="Z1672" s="135" t="s">
        <v>2858</v>
      </c>
      <c r="AA1672" s="135"/>
      <c r="AB1672" s="135"/>
      <c r="AC1672" s="135"/>
      <c r="AD1672" s="135">
        <v>46147.0</v>
      </c>
      <c r="AE1672" s="135"/>
      <c r="AF1672" s="135"/>
      <c r="AG1672" s="135"/>
    </row>
    <row r="1673" ht="21.75" hidden="1" customHeight="1">
      <c r="A1673" s="135">
        <v>1669.0</v>
      </c>
      <c r="B1673" s="135">
        <v>25045.0</v>
      </c>
      <c r="C1673" s="135"/>
      <c r="D1673" s="135">
        <v>8.0</v>
      </c>
      <c r="E1673" s="135" t="s">
        <v>3895</v>
      </c>
      <c r="F1673" s="135" t="s">
        <v>2571</v>
      </c>
      <c r="G1673" s="135" t="s">
        <v>116</v>
      </c>
      <c r="H1673" s="135" t="s">
        <v>2853</v>
      </c>
      <c r="I1673" s="135" t="s">
        <v>123</v>
      </c>
      <c r="J1673" s="135">
        <v>1.0</v>
      </c>
      <c r="K1673" s="135" t="s">
        <v>3134</v>
      </c>
      <c r="L1673" s="135">
        <v>4470.0</v>
      </c>
      <c r="M1673" s="135">
        <v>2850.0</v>
      </c>
      <c r="N1673" s="135">
        <v>120.0</v>
      </c>
      <c r="O1673" s="135">
        <v>1.495</v>
      </c>
      <c r="P1673" s="136"/>
      <c r="Q1673" s="137">
        <v>3.7375000000000003</v>
      </c>
      <c r="R1673" s="136">
        <v>46132.0</v>
      </c>
      <c r="S1673" s="135" t="s">
        <v>3879</v>
      </c>
      <c r="T1673" s="136"/>
      <c r="U1673" s="135" t="s">
        <v>2864</v>
      </c>
      <c r="V1673" s="135" t="s">
        <v>2985</v>
      </c>
      <c r="W1673" s="135"/>
      <c r="X1673" s="135" t="s">
        <v>2892</v>
      </c>
      <c r="Y1673" s="135"/>
      <c r="Z1673" s="135" t="s">
        <v>2858</v>
      </c>
      <c r="AA1673" s="135"/>
      <c r="AB1673" s="135"/>
      <c r="AC1673" s="135"/>
      <c r="AD1673" s="135">
        <v>46148.0</v>
      </c>
      <c r="AE1673" s="135"/>
      <c r="AF1673" s="135"/>
      <c r="AG1673" s="135"/>
    </row>
    <row r="1674" ht="21.75" hidden="1" customHeight="1">
      <c r="A1674" s="135">
        <v>1670.0</v>
      </c>
      <c r="B1674" s="135">
        <v>25045.0</v>
      </c>
      <c r="C1674" s="135"/>
      <c r="D1674" s="135">
        <v>8.0</v>
      </c>
      <c r="E1674" s="135" t="s">
        <v>3891</v>
      </c>
      <c r="F1674" s="135" t="s">
        <v>2528</v>
      </c>
      <c r="G1674" s="135" t="s">
        <v>116</v>
      </c>
      <c r="H1674" s="135" t="s">
        <v>2853</v>
      </c>
      <c r="I1674" s="135" t="s">
        <v>120</v>
      </c>
      <c r="J1674" s="135">
        <v>1.0</v>
      </c>
      <c r="K1674" s="135" t="s">
        <v>3134</v>
      </c>
      <c r="L1674" s="135">
        <v>4470.0</v>
      </c>
      <c r="M1674" s="135">
        <v>2850.0</v>
      </c>
      <c r="N1674" s="135">
        <v>120.0</v>
      </c>
      <c r="O1674" s="135">
        <v>1.495</v>
      </c>
      <c r="P1674" s="136"/>
      <c r="Q1674" s="137">
        <v>3.7375000000000003</v>
      </c>
      <c r="R1674" s="136">
        <v>46132.0</v>
      </c>
      <c r="S1674" s="135" t="s">
        <v>3879</v>
      </c>
      <c r="T1674" s="136"/>
      <c r="U1674" s="135" t="s">
        <v>2864</v>
      </c>
      <c r="V1674" s="135" t="s">
        <v>2985</v>
      </c>
      <c r="W1674" s="135"/>
      <c r="X1674" s="135" t="s">
        <v>2892</v>
      </c>
      <c r="Y1674" s="135"/>
      <c r="Z1674" s="135" t="s">
        <v>2858</v>
      </c>
      <c r="AA1674" s="135"/>
      <c r="AB1674" s="135"/>
      <c r="AC1674" s="135"/>
      <c r="AD1674" s="135">
        <v>46149.0</v>
      </c>
      <c r="AE1674" s="135"/>
      <c r="AF1674" s="135"/>
      <c r="AG1674" s="135"/>
    </row>
    <row r="1675" ht="21.75" hidden="1" customHeight="1">
      <c r="A1675" s="135">
        <v>1671.0</v>
      </c>
      <c r="B1675" s="135">
        <v>25045.0</v>
      </c>
      <c r="C1675" s="135"/>
      <c r="D1675" s="135">
        <v>8.0</v>
      </c>
      <c r="E1675" s="135" t="s">
        <v>3894</v>
      </c>
      <c r="F1675" s="135" t="s">
        <v>2554</v>
      </c>
      <c r="G1675" s="135" t="s">
        <v>116</v>
      </c>
      <c r="H1675" s="135" t="s">
        <v>2853</v>
      </c>
      <c r="I1675" s="135" t="s">
        <v>122</v>
      </c>
      <c r="J1675" s="135">
        <v>1.0</v>
      </c>
      <c r="K1675" s="135" t="s">
        <v>3134</v>
      </c>
      <c r="L1675" s="135">
        <v>4470.0</v>
      </c>
      <c r="M1675" s="135">
        <v>2850.0</v>
      </c>
      <c r="N1675" s="135">
        <v>120.0</v>
      </c>
      <c r="O1675" s="135">
        <v>1.495</v>
      </c>
      <c r="P1675" s="136"/>
      <c r="Q1675" s="137">
        <v>3.7375000000000003</v>
      </c>
      <c r="R1675" s="136">
        <v>46132.0</v>
      </c>
      <c r="S1675" s="135" t="s">
        <v>3879</v>
      </c>
      <c r="T1675" s="136"/>
      <c r="U1675" s="135" t="s">
        <v>2864</v>
      </c>
      <c r="V1675" s="135" t="s">
        <v>2985</v>
      </c>
      <c r="W1675" s="135"/>
      <c r="X1675" s="135" t="s">
        <v>2892</v>
      </c>
      <c r="Y1675" s="135"/>
      <c r="Z1675" s="135" t="s">
        <v>2858</v>
      </c>
      <c r="AA1675" s="135"/>
      <c r="AB1675" s="135"/>
      <c r="AC1675" s="135"/>
      <c r="AD1675" s="135">
        <v>46150.0</v>
      </c>
      <c r="AE1675" s="135"/>
      <c r="AF1675" s="135"/>
      <c r="AG1675" s="135"/>
    </row>
    <row r="1676" ht="21.75" hidden="1" customHeight="1">
      <c r="A1676" s="135">
        <v>1672.0</v>
      </c>
      <c r="B1676" s="135">
        <v>25045.0</v>
      </c>
      <c r="C1676" s="135"/>
      <c r="D1676" s="135">
        <v>8.0</v>
      </c>
      <c r="E1676" s="135" t="s">
        <v>3883</v>
      </c>
      <c r="F1676" s="135" t="s">
        <v>2515</v>
      </c>
      <c r="G1676" s="135" t="s">
        <v>116</v>
      </c>
      <c r="H1676" s="135" t="s">
        <v>2853</v>
      </c>
      <c r="I1676" s="135" t="s">
        <v>119</v>
      </c>
      <c r="J1676" s="135">
        <v>1.0</v>
      </c>
      <c r="K1676" s="135"/>
      <c r="L1676" s="135">
        <v>1635.0</v>
      </c>
      <c r="M1676" s="135">
        <v>930.0</v>
      </c>
      <c r="N1676" s="135">
        <v>120.0</v>
      </c>
      <c r="O1676" s="135">
        <v>0.34</v>
      </c>
      <c r="P1676" s="136"/>
      <c r="Q1676" s="137">
        <v>0.8500000000000001</v>
      </c>
      <c r="R1676" s="136">
        <v>46132.0</v>
      </c>
      <c r="S1676" s="135" t="s">
        <v>3879</v>
      </c>
      <c r="T1676" s="136"/>
      <c r="U1676" s="135" t="s">
        <v>2864</v>
      </c>
      <c r="V1676" s="135" t="s">
        <v>2953</v>
      </c>
      <c r="W1676" s="135"/>
      <c r="X1676" s="135"/>
      <c r="Y1676" s="135"/>
      <c r="Z1676" s="135" t="s">
        <v>2858</v>
      </c>
      <c r="AA1676" s="135"/>
      <c r="AB1676" s="135"/>
      <c r="AC1676" s="135" t="s">
        <v>2863</v>
      </c>
      <c r="AD1676" s="135" t="e">
        <v>#N/A</v>
      </c>
      <c r="AE1676" s="135"/>
      <c r="AF1676" s="135"/>
      <c r="AG1676" s="135"/>
    </row>
    <row r="1677" ht="21.75" hidden="1" customHeight="1">
      <c r="A1677" s="135">
        <v>1673.0</v>
      </c>
      <c r="B1677" s="135">
        <v>25045.0</v>
      </c>
      <c r="C1677" s="135"/>
      <c r="D1677" s="135">
        <v>8.0</v>
      </c>
      <c r="E1677" s="135" t="s">
        <v>3883</v>
      </c>
      <c r="F1677" s="135" t="s">
        <v>2516</v>
      </c>
      <c r="G1677" s="135" t="s">
        <v>116</v>
      </c>
      <c r="H1677" s="135" t="s">
        <v>2853</v>
      </c>
      <c r="I1677" s="135" t="s">
        <v>119</v>
      </c>
      <c r="J1677" s="135">
        <v>1.0</v>
      </c>
      <c r="K1677" s="135" t="s">
        <v>3134</v>
      </c>
      <c r="L1677" s="135">
        <v>2875.0</v>
      </c>
      <c r="M1677" s="135">
        <v>1000.0</v>
      </c>
      <c r="N1677" s="135">
        <v>120.0</v>
      </c>
      <c r="O1677" s="135">
        <v>0.472</v>
      </c>
      <c r="P1677" s="136"/>
      <c r="Q1677" s="137">
        <v>1.18</v>
      </c>
      <c r="R1677" s="136">
        <v>46132.0</v>
      </c>
      <c r="S1677" s="135" t="s">
        <v>3879</v>
      </c>
      <c r="T1677" s="136"/>
      <c r="U1677" s="135" t="s">
        <v>2950</v>
      </c>
      <c r="V1677" s="135" t="s">
        <v>2951</v>
      </c>
      <c r="W1677" s="135"/>
      <c r="X1677" s="135"/>
      <c r="Y1677" s="135"/>
      <c r="Z1677" s="135" t="s">
        <v>2858</v>
      </c>
      <c r="AA1677" s="135"/>
      <c r="AB1677" s="135"/>
      <c r="AC1677" s="135"/>
      <c r="AD1677" s="135">
        <v>46144.0</v>
      </c>
      <c r="AE1677" s="135"/>
      <c r="AF1677" s="135"/>
      <c r="AG1677" s="135"/>
    </row>
    <row r="1678" ht="21.75" hidden="1" customHeight="1">
      <c r="A1678" s="135">
        <v>1674.0</v>
      </c>
      <c r="B1678" s="135">
        <v>25045.0</v>
      </c>
      <c r="C1678" s="135"/>
      <c r="D1678" s="135">
        <v>8.0</v>
      </c>
      <c r="E1678" s="135" t="s">
        <v>3891</v>
      </c>
      <c r="F1678" s="135" t="s">
        <v>2529</v>
      </c>
      <c r="G1678" s="135" t="s">
        <v>116</v>
      </c>
      <c r="H1678" s="135" t="s">
        <v>2853</v>
      </c>
      <c r="I1678" s="135" t="s">
        <v>120</v>
      </c>
      <c r="J1678" s="135">
        <v>1.0</v>
      </c>
      <c r="K1678" s="135" t="s">
        <v>3134</v>
      </c>
      <c r="L1678" s="135">
        <v>2875.0</v>
      </c>
      <c r="M1678" s="135">
        <v>1000.0</v>
      </c>
      <c r="N1678" s="135">
        <v>120.0</v>
      </c>
      <c r="O1678" s="135">
        <v>0.472</v>
      </c>
      <c r="P1678" s="136"/>
      <c r="Q1678" s="137">
        <v>1.18</v>
      </c>
      <c r="R1678" s="136">
        <v>46132.0</v>
      </c>
      <c r="S1678" s="135" t="s">
        <v>3879</v>
      </c>
      <c r="T1678" s="136"/>
      <c r="U1678" s="135" t="s">
        <v>2950</v>
      </c>
      <c r="V1678" s="135" t="s">
        <v>2951</v>
      </c>
      <c r="W1678" s="135"/>
      <c r="X1678" s="135"/>
      <c r="Y1678" s="135"/>
      <c r="Z1678" s="135" t="s">
        <v>2858</v>
      </c>
      <c r="AA1678" s="135"/>
      <c r="AB1678" s="135"/>
      <c r="AC1678" s="135"/>
      <c r="AD1678" s="135">
        <v>46146.0</v>
      </c>
      <c r="AE1678" s="135"/>
      <c r="AF1678" s="135"/>
      <c r="AG1678" s="135"/>
    </row>
    <row r="1679" ht="21.75" hidden="1" customHeight="1">
      <c r="A1679" s="135">
        <v>1675.0</v>
      </c>
      <c r="B1679" s="135">
        <v>25045.0</v>
      </c>
      <c r="C1679" s="135" t="s">
        <v>2817</v>
      </c>
      <c r="D1679" s="135">
        <v>8.0</v>
      </c>
      <c r="E1679" s="135" t="s">
        <v>3891</v>
      </c>
      <c r="F1679" s="135" t="s">
        <v>2530</v>
      </c>
      <c r="G1679" s="135" t="s">
        <v>116</v>
      </c>
      <c r="H1679" s="135" t="s">
        <v>2853</v>
      </c>
      <c r="I1679" s="135" t="s">
        <v>120</v>
      </c>
      <c r="J1679" s="135">
        <v>1.0</v>
      </c>
      <c r="K1679" s="135"/>
      <c r="L1679" s="135">
        <v>2195.0</v>
      </c>
      <c r="M1679" s="135">
        <v>2850.0</v>
      </c>
      <c r="N1679" s="135">
        <v>120.0</v>
      </c>
      <c r="O1679" s="135">
        <v>0.79</v>
      </c>
      <c r="P1679" s="136"/>
      <c r="Q1679" s="137">
        <v>1.975</v>
      </c>
      <c r="R1679" s="136">
        <v>46132.0</v>
      </c>
      <c r="S1679" s="135" t="s">
        <v>3879</v>
      </c>
      <c r="T1679" s="136"/>
      <c r="U1679" s="135" t="s">
        <v>2864</v>
      </c>
      <c r="V1679" s="135" t="s">
        <v>2878</v>
      </c>
      <c r="W1679" s="135"/>
      <c r="X1679" s="135" t="s">
        <v>3764</v>
      </c>
      <c r="Y1679" s="135"/>
      <c r="Z1679" s="135" t="s">
        <v>2858</v>
      </c>
      <c r="AA1679" s="135"/>
      <c r="AB1679" s="135"/>
      <c r="AC1679" s="135"/>
      <c r="AD1679" s="135" t="e">
        <v>#N/A</v>
      </c>
      <c r="AE1679" s="135"/>
      <c r="AF1679" s="135"/>
      <c r="AG1679" s="135"/>
    </row>
    <row r="1680" ht="21.75" hidden="1" customHeight="1">
      <c r="A1680" s="135">
        <v>1676.0</v>
      </c>
      <c r="B1680" s="135">
        <v>25045.0</v>
      </c>
      <c r="C1680" s="135"/>
      <c r="D1680" s="135">
        <v>8.0</v>
      </c>
      <c r="E1680" s="135" t="s">
        <v>3891</v>
      </c>
      <c r="F1680" s="135" t="s">
        <v>2531</v>
      </c>
      <c r="G1680" s="135" t="s">
        <v>116</v>
      </c>
      <c r="H1680" s="135" t="s">
        <v>2853</v>
      </c>
      <c r="I1680" s="135" t="s">
        <v>120</v>
      </c>
      <c r="J1680" s="135">
        <v>1.0</v>
      </c>
      <c r="K1680" s="135" t="s">
        <v>3134</v>
      </c>
      <c r="L1680" s="135">
        <v>4470.0</v>
      </c>
      <c r="M1680" s="135">
        <v>2850.0</v>
      </c>
      <c r="N1680" s="135">
        <v>120.0</v>
      </c>
      <c r="O1680" s="135">
        <v>1.495</v>
      </c>
      <c r="P1680" s="136"/>
      <c r="Q1680" s="137">
        <v>3.7375000000000003</v>
      </c>
      <c r="R1680" s="136">
        <v>46132.0</v>
      </c>
      <c r="S1680" s="135" t="s">
        <v>3879</v>
      </c>
      <c r="T1680" s="136"/>
      <c r="U1680" s="135" t="s">
        <v>2864</v>
      </c>
      <c r="V1680" s="135" t="s">
        <v>2985</v>
      </c>
      <c r="W1680" s="135"/>
      <c r="X1680" s="135" t="s">
        <v>2895</v>
      </c>
      <c r="Y1680" s="135"/>
      <c r="Z1680" s="135" t="s">
        <v>2858</v>
      </c>
      <c r="AA1680" s="135"/>
      <c r="AB1680" s="135"/>
      <c r="AC1680" s="135"/>
      <c r="AD1680" s="135">
        <v>46149.0</v>
      </c>
      <c r="AE1680" s="135"/>
      <c r="AF1680" s="135"/>
      <c r="AG1680" s="135"/>
    </row>
    <row r="1681" ht="21.75" hidden="1" customHeight="1">
      <c r="A1681" s="135">
        <v>1677.0</v>
      </c>
      <c r="B1681" s="135">
        <v>25045.0</v>
      </c>
      <c r="C1681" s="135"/>
      <c r="D1681" s="135">
        <v>8.0</v>
      </c>
      <c r="E1681" s="135" t="s">
        <v>3892</v>
      </c>
      <c r="F1681" s="135" t="s">
        <v>2540</v>
      </c>
      <c r="G1681" s="135" t="s">
        <v>116</v>
      </c>
      <c r="H1681" s="135" t="s">
        <v>2853</v>
      </c>
      <c r="I1681" s="135" t="s">
        <v>121</v>
      </c>
      <c r="J1681" s="135">
        <v>1.0</v>
      </c>
      <c r="K1681" s="135" t="s">
        <v>3134</v>
      </c>
      <c r="L1681" s="135">
        <v>4470.0</v>
      </c>
      <c r="M1681" s="135">
        <v>2850.0</v>
      </c>
      <c r="N1681" s="135">
        <v>120.0</v>
      </c>
      <c r="O1681" s="135">
        <v>1.495</v>
      </c>
      <c r="P1681" s="136"/>
      <c r="Q1681" s="137">
        <v>3.7375000000000003</v>
      </c>
      <c r="R1681" s="136">
        <v>46132.0</v>
      </c>
      <c r="S1681" s="135" t="s">
        <v>3879</v>
      </c>
      <c r="T1681" s="136"/>
      <c r="U1681" s="135" t="s">
        <v>2864</v>
      </c>
      <c r="V1681" s="135" t="s">
        <v>2985</v>
      </c>
      <c r="W1681" s="135"/>
      <c r="X1681" s="135" t="s">
        <v>2895</v>
      </c>
      <c r="Y1681" s="135"/>
      <c r="Z1681" s="135" t="s">
        <v>2858</v>
      </c>
      <c r="AA1681" s="135"/>
      <c r="AB1681" s="135"/>
      <c r="AC1681" s="135"/>
      <c r="AD1681" s="135">
        <v>46150.0</v>
      </c>
      <c r="AE1681" s="135"/>
      <c r="AF1681" s="135"/>
      <c r="AG1681" s="135"/>
    </row>
    <row r="1682" ht="21.75" hidden="1" customHeight="1">
      <c r="A1682" s="135">
        <v>1678.0</v>
      </c>
      <c r="B1682" s="135">
        <v>25045.0</v>
      </c>
      <c r="C1682" s="135"/>
      <c r="D1682" s="135">
        <v>8.0</v>
      </c>
      <c r="E1682" s="135" t="s">
        <v>3895</v>
      </c>
      <c r="F1682" s="135" t="s">
        <v>2572</v>
      </c>
      <c r="G1682" s="135" t="s">
        <v>116</v>
      </c>
      <c r="H1682" s="135" t="s">
        <v>2853</v>
      </c>
      <c r="I1682" s="135" t="s">
        <v>123</v>
      </c>
      <c r="J1682" s="135">
        <v>1.0</v>
      </c>
      <c r="K1682" s="135" t="s">
        <v>3134</v>
      </c>
      <c r="L1682" s="135">
        <v>4470.0</v>
      </c>
      <c r="M1682" s="135">
        <v>2850.0</v>
      </c>
      <c r="N1682" s="135">
        <v>120.0</v>
      </c>
      <c r="O1682" s="135">
        <v>1.495</v>
      </c>
      <c r="P1682" s="136"/>
      <c r="Q1682" s="137">
        <v>3.7375000000000003</v>
      </c>
      <c r="R1682" s="136">
        <v>46132.0</v>
      </c>
      <c r="S1682" s="135" t="s">
        <v>3879</v>
      </c>
      <c r="T1682" s="136"/>
      <c r="U1682" s="135" t="s">
        <v>2864</v>
      </c>
      <c r="V1682" s="135" t="s">
        <v>2985</v>
      </c>
      <c r="W1682" s="135"/>
      <c r="X1682" s="135" t="s">
        <v>2895</v>
      </c>
      <c r="Y1682" s="135"/>
      <c r="Z1682" s="135" t="s">
        <v>2858</v>
      </c>
      <c r="AA1682" s="135"/>
      <c r="AB1682" s="135"/>
      <c r="AC1682" s="135"/>
      <c r="AD1682" s="135">
        <v>46151.0</v>
      </c>
      <c r="AE1682" s="135"/>
      <c r="AF1682" s="135"/>
      <c r="AG1682" s="135"/>
    </row>
    <row r="1683" ht="21.75" hidden="1" customHeight="1">
      <c r="A1683" s="135">
        <v>1679.0</v>
      </c>
      <c r="B1683" s="135">
        <v>25045.0</v>
      </c>
      <c r="C1683" s="135"/>
      <c r="D1683" s="135">
        <v>8.0</v>
      </c>
      <c r="E1683" s="135" t="s">
        <v>3896</v>
      </c>
      <c r="F1683" s="135" t="s">
        <v>2584</v>
      </c>
      <c r="G1683" s="135" t="s">
        <v>116</v>
      </c>
      <c r="H1683" s="135" t="s">
        <v>2853</v>
      </c>
      <c r="I1683" s="135" t="s">
        <v>124</v>
      </c>
      <c r="J1683" s="135">
        <v>1.0</v>
      </c>
      <c r="K1683" s="135" t="s">
        <v>3134</v>
      </c>
      <c r="L1683" s="135">
        <v>4470.0</v>
      </c>
      <c r="M1683" s="135">
        <v>2850.0</v>
      </c>
      <c r="N1683" s="135">
        <v>120.0</v>
      </c>
      <c r="O1683" s="135">
        <v>1.495</v>
      </c>
      <c r="P1683" s="136"/>
      <c r="Q1683" s="137">
        <v>3.7375000000000003</v>
      </c>
      <c r="R1683" s="136">
        <v>46132.0</v>
      </c>
      <c r="S1683" s="135" t="s">
        <v>3879</v>
      </c>
      <c r="T1683" s="136"/>
      <c r="U1683" s="135" t="s">
        <v>2864</v>
      </c>
      <c r="V1683" s="135" t="s">
        <v>2985</v>
      </c>
      <c r="W1683" s="135"/>
      <c r="X1683" s="135" t="s">
        <v>2895</v>
      </c>
      <c r="Y1683" s="135"/>
      <c r="Z1683" s="135" t="s">
        <v>2858</v>
      </c>
      <c r="AA1683" s="135"/>
      <c r="AB1683" s="135"/>
      <c r="AC1683" s="135"/>
      <c r="AD1683" s="135">
        <v>46153.0</v>
      </c>
      <c r="AE1683" s="135"/>
      <c r="AF1683" s="135"/>
      <c r="AG1683" s="135"/>
    </row>
    <row r="1684" ht="21.75" hidden="1" customHeight="1">
      <c r="A1684" s="135">
        <v>1680.0</v>
      </c>
      <c r="B1684" s="135">
        <v>25045.0</v>
      </c>
      <c r="C1684" s="135"/>
      <c r="D1684" s="135">
        <v>8.0</v>
      </c>
      <c r="E1684" s="135" t="s">
        <v>3891</v>
      </c>
      <c r="F1684" s="135" t="s">
        <v>2532</v>
      </c>
      <c r="G1684" s="135" t="s">
        <v>116</v>
      </c>
      <c r="H1684" s="135" t="s">
        <v>2853</v>
      </c>
      <c r="I1684" s="135" t="s">
        <v>120</v>
      </c>
      <c r="J1684" s="135">
        <v>1.0</v>
      </c>
      <c r="K1684" s="135" t="s">
        <v>3134</v>
      </c>
      <c r="L1684" s="135">
        <v>1635.0</v>
      </c>
      <c r="M1684" s="135">
        <v>940.0</v>
      </c>
      <c r="N1684" s="135">
        <v>120.0</v>
      </c>
      <c r="O1684" s="135">
        <v>0.34</v>
      </c>
      <c r="P1684" s="136"/>
      <c r="Q1684" s="137">
        <v>0.8500000000000001</v>
      </c>
      <c r="R1684" s="136">
        <v>46132.0</v>
      </c>
      <c r="S1684" s="135" t="s">
        <v>3879</v>
      </c>
      <c r="T1684" s="136"/>
      <c r="U1684" s="135" t="s">
        <v>2864</v>
      </c>
      <c r="V1684" s="135" t="s">
        <v>2953</v>
      </c>
      <c r="W1684" s="135"/>
      <c r="X1684" s="135"/>
      <c r="Y1684" s="135"/>
      <c r="Z1684" s="135" t="s">
        <v>2858</v>
      </c>
      <c r="AA1684" s="135"/>
      <c r="AB1684" s="135"/>
      <c r="AC1684" s="135"/>
      <c r="AD1684" s="135">
        <v>46154.0</v>
      </c>
      <c r="AE1684" s="135"/>
      <c r="AF1684" s="135"/>
      <c r="AG1684" s="135"/>
    </row>
    <row r="1685" ht="21.75" hidden="1" customHeight="1">
      <c r="A1685" s="135">
        <v>1681.0</v>
      </c>
      <c r="B1685" s="135">
        <v>25045.0</v>
      </c>
      <c r="C1685" s="135"/>
      <c r="D1685" s="135">
        <v>8.0</v>
      </c>
      <c r="E1685" s="135" t="s">
        <v>3892</v>
      </c>
      <c r="F1685" s="135" t="s">
        <v>2541</v>
      </c>
      <c r="G1685" s="135" t="s">
        <v>116</v>
      </c>
      <c r="H1685" s="135" t="s">
        <v>2853</v>
      </c>
      <c r="I1685" s="135" t="s">
        <v>121</v>
      </c>
      <c r="J1685" s="135">
        <v>1.0</v>
      </c>
      <c r="K1685" s="135" t="s">
        <v>3134</v>
      </c>
      <c r="L1685" s="135">
        <v>1635.0</v>
      </c>
      <c r="M1685" s="135">
        <v>940.0</v>
      </c>
      <c r="N1685" s="135">
        <v>120.0</v>
      </c>
      <c r="O1685" s="135">
        <v>0.34</v>
      </c>
      <c r="P1685" s="136"/>
      <c r="Q1685" s="137">
        <v>0.8500000000000001</v>
      </c>
      <c r="R1685" s="136">
        <v>46132.0</v>
      </c>
      <c r="S1685" s="135" t="s">
        <v>3879</v>
      </c>
      <c r="T1685" s="136"/>
      <c r="U1685" s="135" t="s">
        <v>2864</v>
      </c>
      <c r="V1685" s="135" t="s">
        <v>2953</v>
      </c>
      <c r="W1685" s="135"/>
      <c r="X1685" s="135"/>
      <c r="Y1685" s="135"/>
      <c r="Z1685" s="135" t="s">
        <v>2858</v>
      </c>
      <c r="AA1685" s="135"/>
      <c r="AB1685" s="135"/>
      <c r="AC1685" s="135"/>
      <c r="AD1685" s="135">
        <v>46155.0</v>
      </c>
      <c r="AE1685" s="135"/>
      <c r="AF1685" s="135"/>
      <c r="AG1685" s="135"/>
    </row>
    <row r="1686" ht="21.75" hidden="1" customHeight="1">
      <c r="A1686" s="135">
        <v>1682.0</v>
      </c>
      <c r="B1686" s="135">
        <v>25045.0</v>
      </c>
      <c r="C1686" s="135"/>
      <c r="D1686" s="135">
        <v>8.0</v>
      </c>
      <c r="E1686" s="135" t="s">
        <v>3892</v>
      </c>
      <c r="F1686" s="135" t="s">
        <v>2542</v>
      </c>
      <c r="G1686" s="135" t="s">
        <v>116</v>
      </c>
      <c r="H1686" s="135" t="s">
        <v>2853</v>
      </c>
      <c r="I1686" s="135" t="s">
        <v>121</v>
      </c>
      <c r="J1686" s="135">
        <v>1.0</v>
      </c>
      <c r="K1686" s="135"/>
      <c r="L1686" s="135">
        <v>4118.0</v>
      </c>
      <c r="M1686" s="135">
        <v>2850.0</v>
      </c>
      <c r="N1686" s="135">
        <v>120.0</v>
      </c>
      <c r="O1686" s="135">
        <v>1.7</v>
      </c>
      <c r="P1686" s="136"/>
      <c r="Q1686" s="137">
        <v>4.25</v>
      </c>
      <c r="R1686" s="136">
        <v>46132.0</v>
      </c>
      <c r="S1686" s="135" t="s">
        <v>3879</v>
      </c>
      <c r="T1686" s="136"/>
      <c r="U1686" s="135" t="s">
        <v>2864</v>
      </c>
      <c r="V1686" s="135" t="s">
        <v>2985</v>
      </c>
      <c r="W1686" s="135"/>
      <c r="X1686" s="135"/>
      <c r="Y1686" s="135"/>
      <c r="Z1686" s="135" t="s">
        <v>2858</v>
      </c>
      <c r="AA1686" s="135"/>
      <c r="AB1686" s="135"/>
      <c r="AC1686" s="135"/>
      <c r="AD1686" s="135">
        <v>46154.0</v>
      </c>
      <c r="AE1686" s="135"/>
      <c r="AF1686" s="135"/>
      <c r="AG1686" s="135"/>
    </row>
    <row r="1687" ht="21.75" hidden="1" customHeight="1">
      <c r="A1687" s="135">
        <v>1683.0</v>
      </c>
      <c r="B1687" s="135">
        <v>25045.0</v>
      </c>
      <c r="C1687" s="135"/>
      <c r="D1687" s="135">
        <v>8.0</v>
      </c>
      <c r="E1687" s="135" t="s">
        <v>3892</v>
      </c>
      <c r="F1687" s="135" t="s">
        <v>2543</v>
      </c>
      <c r="G1687" s="135" t="s">
        <v>116</v>
      </c>
      <c r="H1687" s="135" t="s">
        <v>2853</v>
      </c>
      <c r="I1687" s="135" t="s">
        <v>121</v>
      </c>
      <c r="J1687" s="135">
        <v>1.0</v>
      </c>
      <c r="K1687" s="135"/>
      <c r="L1687" s="135">
        <v>5000.0</v>
      </c>
      <c r="M1687" s="135">
        <v>2850.0</v>
      </c>
      <c r="N1687" s="135">
        <v>120.0</v>
      </c>
      <c r="O1687" s="135">
        <v>1.914</v>
      </c>
      <c r="P1687" s="136"/>
      <c r="Q1687" s="137">
        <v>4.785</v>
      </c>
      <c r="R1687" s="136">
        <v>46132.0</v>
      </c>
      <c r="S1687" s="135" t="s">
        <v>3879</v>
      </c>
      <c r="T1687" s="136"/>
      <c r="U1687" s="135" t="s">
        <v>2855</v>
      </c>
      <c r="V1687" s="135" t="s">
        <v>2876</v>
      </c>
      <c r="W1687" s="135">
        <v>2500.0</v>
      </c>
      <c r="X1687" s="135"/>
      <c r="Y1687" s="135"/>
      <c r="Z1687" s="135" t="s">
        <v>2858</v>
      </c>
      <c r="AA1687" s="135"/>
      <c r="AB1687" s="135"/>
      <c r="AC1687" s="135"/>
      <c r="AD1687" s="135">
        <v>46153.0</v>
      </c>
      <c r="AE1687" s="135"/>
      <c r="AF1687" s="135"/>
      <c r="AG1687" s="135"/>
    </row>
    <row r="1688" ht="21.75" hidden="1" customHeight="1">
      <c r="A1688" s="135">
        <v>1684.0</v>
      </c>
      <c r="B1688" s="135">
        <v>25045.0</v>
      </c>
      <c r="C1688" s="135"/>
      <c r="D1688" s="135">
        <v>8.0</v>
      </c>
      <c r="E1688" s="135" t="s">
        <v>3892</v>
      </c>
      <c r="F1688" s="135" t="s">
        <v>2544</v>
      </c>
      <c r="G1688" s="135" t="s">
        <v>116</v>
      </c>
      <c r="H1688" s="135" t="s">
        <v>2853</v>
      </c>
      <c r="I1688" s="135" t="s">
        <v>121</v>
      </c>
      <c r="J1688" s="135">
        <v>1.0</v>
      </c>
      <c r="K1688" s="135" t="s">
        <v>3134</v>
      </c>
      <c r="L1688" s="135">
        <v>4534.0</v>
      </c>
      <c r="M1688" s="135">
        <v>2850.0</v>
      </c>
      <c r="N1688" s="135">
        <v>120.0</v>
      </c>
      <c r="O1688" s="135">
        <v>1.782</v>
      </c>
      <c r="P1688" s="136"/>
      <c r="Q1688" s="137">
        <v>4.455</v>
      </c>
      <c r="R1688" s="136">
        <v>46132.0</v>
      </c>
      <c r="S1688" s="135" t="s">
        <v>3879</v>
      </c>
      <c r="T1688" s="136"/>
      <c r="U1688" s="135" t="s">
        <v>2855</v>
      </c>
      <c r="V1688" s="135" t="s">
        <v>2876</v>
      </c>
      <c r="W1688" s="135">
        <v>1800.0</v>
      </c>
      <c r="X1688" s="135"/>
      <c r="Y1688" s="135"/>
      <c r="Z1688" s="135" t="s">
        <v>2858</v>
      </c>
      <c r="AA1688" s="135"/>
      <c r="AB1688" s="135"/>
      <c r="AC1688" s="135"/>
      <c r="AD1688" s="135">
        <v>46148.0</v>
      </c>
      <c r="AE1688" s="135"/>
      <c r="AF1688" s="135"/>
      <c r="AG1688" s="135"/>
    </row>
    <row r="1689" ht="21.75" hidden="1" customHeight="1">
      <c r="A1689" s="135">
        <v>1685.0</v>
      </c>
      <c r="B1689" s="135">
        <v>25045.0</v>
      </c>
      <c r="C1689" s="135"/>
      <c r="D1689" s="135">
        <v>8.0</v>
      </c>
      <c r="E1689" s="135" t="s">
        <v>3892</v>
      </c>
      <c r="F1689" s="135" t="s">
        <v>2545</v>
      </c>
      <c r="G1689" s="135" t="s">
        <v>116</v>
      </c>
      <c r="H1689" s="135" t="s">
        <v>2853</v>
      </c>
      <c r="I1689" s="135" t="s">
        <v>121</v>
      </c>
      <c r="J1689" s="135">
        <v>1.0</v>
      </c>
      <c r="K1689" s="135" t="s">
        <v>3134</v>
      </c>
      <c r="L1689" s="135">
        <v>4534.0</v>
      </c>
      <c r="M1689" s="135">
        <v>2850.0</v>
      </c>
      <c r="N1689" s="135">
        <v>120.0</v>
      </c>
      <c r="O1689" s="135">
        <v>1.782</v>
      </c>
      <c r="P1689" s="136"/>
      <c r="Q1689" s="137">
        <v>4.455</v>
      </c>
      <c r="R1689" s="136">
        <v>46132.0</v>
      </c>
      <c r="S1689" s="135" t="s">
        <v>3879</v>
      </c>
      <c r="T1689" s="136"/>
      <c r="U1689" s="135" t="s">
        <v>2855</v>
      </c>
      <c r="V1689" s="135" t="s">
        <v>2876</v>
      </c>
      <c r="W1689" s="135">
        <v>1800.0</v>
      </c>
      <c r="X1689" s="135"/>
      <c r="Y1689" s="135"/>
      <c r="Z1689" s="135" t="s">
        <v>2858</v>
      </c>
      <c r="AA1689" s="135"/>
      <c r="AB1689" s="135"/>
      <c r="AC1689" s="135"/>
      <c r="AD1689" s="135">
        <v>46149.0</v>
      </c>
      <c r="AE1689" s="135"/>
      <c r="AF1689" s="135"/>
      <c r="AG1689" s="135"/>
    </row>
    <row r="1690" ht="21.75" hidden="1" customHeight="1">
      <c r="A1690" s="135">
        <v>1686.0</v>
      </c>
      <c r="B1690" s="135">
        <v>25045.0</v>
      </c>
      <c r="C1690" s="135"/>
      <c r="D1690" s="135">
        <v>8.0</v>
      </c>
      <c r="E1690" s="135" t="s">
        <v>3892</v>
      </c>
      <c r="F1690" s="135" t="s">
        <v>2546</v>
      </c>
      <c r="G1690" s="135" t="s">
        <v>116</v>
      </c>
      <c r="H1690" s="135" t="s">
        <v>2853</v>
      </c>
      <c r="I1690" s="135" t="s">
        <v>121</v>
      </c>
      <c r="J1690" s="135">
        <v>1.0</v>
      </c>
      <c r="K1690" s="135" t="s">
        <v>3134</v>
      </c>
      <c r="L1690" s="135">
        <v>4534.0</v>
      </c>
      <c r="M1690" s="135">
        <v>2850.0</v>
      </c>
      <c r="N1690" s="135">
        <v>120.0</v>
      </c>
      <c r="O1690" s="135">
        <v>1.782</v>
      </c>
      <c r="P1690" s="136"/>
      <c r="Q1690" s="137">
        <v>4.455</v>
      </c>
      <c r="R1690" s="136">
        <v>46132.0</v>
      </c>
      <c r="S1690" s="135" t="s">
        <v>3879</v>
      </c>
      <c r="T1690" s="136"/>
      <c r="U1690" s="135" t="s">
        <v>2855</v>
      </c>
      <c r="V1690" s="135" t="s">
        <v>2876</v>
      </c>
      <c r="W1690" s="135">
        <v>1800.0</v>
      </c>
      <c r="X1690" s="135"/>
      <c r="Y1690" s="135"/>
      <c r="Z1690" s="135" t="s">
        <v>2858</v>
      </c>
      <c r="AA1690" s="135"/>
      <c r="AB1690" s="135"/>
      <c r="AC1690" s="135"/>
      <c r="AD1690" s="135">
        <v>46150.0</v>
      </c>
      <c r="AE1690" s="135"/>
      <c r="AF1690" s="135"/>
      <c r="AG1690" s="135"/>
    </row>
    <row r="1691" ht="21.75" hidden="1" customHeight="1">
      <c r="A1691" s="135">
        <v>1687.0</v>
      </c>
      <c r="B1691" s="135">
        <v>25045.0</v>
      </c>
      <c r="C1691" s="135"/>
      <c r="D1691" s="135">
        <v>8.0</v>
      </c>
      <c r="E1691" s="135" t="s">
        <v>3894</v>
      </c>
      <c r="F1691" s="135" t="s">
        <v>2555</v>
      </c>
      <c r="G1691" s="135" t="s">
        <v>116</v>
      </c>
      <c r="H1691" s="135" t="s">
        <v>2853</v>
      </c>
      <c r="I1691" s="135" t="s">
        <v>122</v>
      </c>
      <c r="J1691" s="135">
        <v>1.0</v>
      </c>
      <c r="K1691" s="135" t="s">
        <v>3134</v>
      </c>
      <c r="L1691" s="135">
        <v>4534.0</v>
      </c>
      <c r="M1691" s="135">
        <v>2850.0</v>
      </c>
      <c r="N1691" s="135">
        <v>120.0</v>
      </c>
      <c r="O1691" s="135">
        <v>1.782</v>
      </c>
      <c r="P1691" s="136"/>
      <c r="Q1691" s="137">
        <v>4.455</v>
      </c>
      <c r="R1691" s="136">
        <v>46132.0</v>
      </c>
      <c r="S1691" s="135" t="s">
        <v>3879</v>
      </c>
      <c r="T1691" s="136"/>
      <c r="U1691" s="135" t="s">
        <v>2855</v>
      </c>
      <c r="V1691" s="135" t="s">
        <v>2876</v>
      </c>
      <c r="W1691" s="135">
        <v>1800.0</v>
      </c>
      <c r="X1691" s="135"/>
      <c r="Y1691" s="135"/>
      <c r="Z1691" s="135" t="s">
        <v>2858</v>
      </c>
      <c r="AA1691" s="135"/>
      <c r="AB1691" s="135"/>
      <c r="AC1691" s="135"/>
      <c r="AD1691" s="135">
        <v>46151.0</v>
      </c>
      <c r="AE1691" s="135"/>
      <c r="AF1691" s="135"/>
      <c r="AG1691" s="135"/>
    </row>
    <row r="1692" ht="21.75" hidden="1" customHeight="1">
      <c r="A1692" s="135">
        <v>1688.0</v>
      </c>
      <c r="B1692" s="135">
        <v>25045.0</v>
      </c>
      <c r="C1692" s="135"/>
      <c r="D1692" s="135">
        <v>8.0</v>
      </c>
      <c r="E1692" s="135" t="s">
        <v>3894</v>
      </c>
      <c r="F1692" s="135" t="s">
        <v>2556</v>
      </c>
      <c r="G1692" s="135" t="s">
        <v>116</v>
      </c>
      <c r="H1692" s="135" t="s">
        <v>2853</v>
      </c>
      <c r="I1692" s="135" t="s">
        <v>122</v>
      </c>
      <c r="J1692" s="135">
        <v>1.0</v>
      </c>
      <c r="K1692" s="135" t="s">
        <v>3134</v>
      </c>
      <c r="L1692" s="135">
        <v>4534.0</v>
      </c>
      <c r="M1692" s="135">
        <v>2850.0</v>
      </c>
      <c r="N1692" s="135">
        <v>120.0</v>
      </c>
      <c r="O1692" s="135">
        <v>1.782</v>
      </c>
      <c r="P1692" s="136"/>
      <c r="Q1692" s="137">
        <v>4.455</v>
      </c>
      <c r="R1692" s="136">
        <v>46132.0</v>
      </c>
      <c r="S1692" s="135" t="s">
        <v>3879</v>
      </c>
      <c r="T1692" s="136"/>
      <c r="U1692" s="135" t="s">
        <v>2855</v>
      </c>
      <c r="V1692" s="135" t="s">
        <v>2876</v>
      </c>
      <c r="W1692" s="135">
        <v>1800.0</v>
      </c>
      <c r="X1692" s="135"/>
      <c r="Y1692" s="135"/>
      <c r="Z1692" s="135" t="s">
        <v>2858</v>
      </c>
      <c r="AA1692" s="135"/>
      <c r="AB1692" s="135"/>
      <c r="AC1692" s="135"/>
      <c r="AD1692" s="135">
        <v>46153.0</v>
      </c>
      <c r="AE1692" s="135"/>
      <c r="AF1692" s="135"/>
      <c r="AG1692" s="135"/>
    </row>
    <row r="1693" ht="21.75" hidden="1" customHeight="1">
      <c r="A1693" s="135">
        <v>1689.0</v>
      </c>
      <c r="B1693" s="135">
        <v>25045.0</v>
      </c>
      <c r="C1693" s="135"/>
      <c r="D1693" s="135">
        <v>8.0</v>
      </c>
      <c r="E1693" s="135" t="s">
        <v>3894</v>
      </c>
      <c r="F1693" s="135" t="s">
        <v>2557</v>
      </c>
      <c r="G1693" s="135" t="s">
        <v>116</v>
      </c>
      <c r="H1693" s="135" t="s">
        <v>2853</v>
      </c>
      <c r="I1693" s="135" t="s">
        <v>122</v>
      </c>
      <c r="J1693" s="135">
        <v>1.0</v>
      </c>
      <c r="K1693" s="135" t="s">
        <v>3134</v>
      </c>
      <c r="L1693" s="135">
        <v>4534.0</v>
      </c>
      <c r="M1693" s="135">
        <v>2850.0</v>
      </c>
      <c r="N1693" s="135">
        <v>120.0</v>
      </c>
      <c r="O1693" s="135">
        <v>1.782</v>
      </c>
      <c r="P1693" s="136"/>
      <c r="Q1693" s="137">
        <v>4.455</v>
      </c>
      <c r="R1693" s="136">
        <v>46132.0</v>
      </c>
      <c r="S1693" s="135" t="s">
        <v>3879</v>
      </c>
      <c r="T1693" s="136"/>
      <c r="U1693" s="135" t="s">
        <v>2855</v>
      </c>
      <c r="V1693" s="135" t="s">
        <v>2876</v>
      </c>
      <c r="W1693" s="135">
        <v>1800.0</v>
      </c>
      <c r="X1693" s="135"/>
      <c r="Y1693" s="135"/>
      <c r="Z1693" s="135" t="s">
        <v>2858</v>
      </c>
      <c r="AA1693" s="135"/>
      <c r="AB1693" s="135"/>
      <c r="AC1693" s="135"/>
      <c r="AD1693" s="135">
        <v>46154.0</v>
      </c>
      <c r="AE1693" s="135"/>
      <c r="AF1693" s="135"/>
      <c r="AG1693" s="135"/>
    </row>
    <row r="1694" ht="21.75" hidden="1" customHeight="1">
      <c r="A1694" s="135">
        <v>1690.0</v>
      </c>
      <c r="B1694" s="135">
        <v>25045.0</v>
      </c>
      <c r="C1694" s="135"/>
      <c r="D1694" s="135">
        <v>8.0</v>
      </c>
      <c r="E1694" s="135" t="s">
        <v>3892</v>
      </c>
      <c r="F1694" s="135" t="s">
        <v>2547</v>
      </c>
      <c r="G1694" s="135" t="s">
        <v>116</v>
      </c>
      <c r="H1694" s="135" t="s">
        <v>2853</v>
      </c>
      <c r="I1694" s="135" t="s">
        <v>121</v>
      </c>
      <c r="J1694" s="135">
        <v>1.0</v>
      </c>
      <c r="K1694" s="135"/>
      <c r="L1694" s="135">
        <v>4534.0</v>
      </c>
      <c r="M1694" s="135">
        <v>2850.0</v>
      </c>
      <c r="N1694" s="135">
        <v>120.0</v>
      </c>
      <c r="O1694" s="135">
        <v>1.513</v>
      </c>
      <c r="P1694" s="136"/>
      <c r="Q1694" s="137">
        <v>3.7824999999999998</v>
      </c>
      <c r="R1694" s="136">
        <v>46132.0</v>
      </c>
      <c r="S1694" s="135" t="s">
        <v>3879</v>
      </c>
      <c r="T1694" s="136"/>
      <c r="U1694" s="135" t="s">
        <v>2864</v>
      </c>
      <c r="V1694" s="135" t="s">
        <v>2985</v>
      </c>
      <c r="W1694" s="135"/>
      <c r="X1694" s="135" t="s">
        <v>2892</v>
      </c>
      <c r="Y1694" s="135"/>
      <c r="Z1694" s="135" t="s">
        <v>2858</v>
      </c>
      <c r="AA1694" s="135"/>
      <c r="AB1694" s="135"/>
      <c r="AC1694" s="135"/>
      <c r="AD1694" s="135">
        <v>46155.0</v>
      </c>
      <c r="AE1694" s="135"/>
      <c r="AF1694" s="135"/>
      <c r="AG1694" s="135"/>
    </row>
    <row r="1695" ht="21.75" hidden="1" customHeight="1">
      <c r="A1695" s="135">
        <v>1691.0</v>
      </c>
      <c r="B1695" s="135">
        <v>25045.0</v>
      </c>
      <c r="C1695" s="135"/>
      <c r="D1695" s="135">
        <v>8.0</v>
      </c>
      <c r="E1695" s="135" t="s">
        <v>3892</v>
      </c>
      <c r="F1695" s="135" t="s">
        <v>2548</v>
      </c>
      <c r="G1695" s="135" t="s">
        <v>116</v>
      </c>
      <c r="H1695" s="135" t="s">
        <v>2853</v>
      </c>
      <c r="I1695" s="135" t="s">
        <v>121</v>
      </c>
      <c r="J1695" s="135">
        <v>1.0</v>
      </c>
      <c r="K1695" s="135"/>
      <c r="L1695" s="135">
        <v>2855.0</v>
      </c>
      <c r="M1695" s="135">
        <v>1000.0</v>
      </c>
      <c r="N1695" s="135">
        <v>120.0</v>
      </c>
      <c r="O1695" s="135">
        <v>0.426</v>
      </c>
      <c r="P1695" s="136"/>
      <c r="Q1695" s="137">
        <v>1.065</v>
      </c>
      <c r="R1695" s="136">
        <v>46132.0</v>
      </c>
      <c r="S1695" s="135" t="s">
        <v>3879</v>
      </c>
      <c r="T1695" s="136"/>
      <c r="U1695" s="135" t="s">
        <v>2864</v>
      </c>
      <c r="V1695" s="135" t="s">
        <v>2856</v>
      </c>
      <c r="W1695" s="135"/>
      <c r="X1695" s="135"/>
      <c r="Y1695" s="135"/>
      <c r="Z1695" s="135" t="s">
        <v>2858</v>
      </c>
      <c r="AA1695" s="135"/>
      <c r="AB1695" s="135"/>
      <c r="AC1695" s="135"/>
      <c r="AD1695" s="135">
        <v>46135.0</v>
      </c>
      <c r="AE1695" s="135"/>
      <c r="AF1695" s="135"/>
      <c r="AG1695" s="135"/>
    </row>
    <row r="1696" ht="21.75" hidden="1" customHeight="1">
      <c r="A1696" s="135">
        <v>1692.0</v>
      </c>
      <c r="B1696" s="135">
        <v>25045.0</v>
      </c>
      <c r="C1696" s="135" t="s">
        <v>2817</v>
      </c>
      <c r="D1696" s="135">
        <v>8.0</v>
      </c>
      <c r="E1696" s="135" t="s">
        <v>3894</v>
      </c>
      <c r="F1696" s="135" t="s">
        <v>2558</v>
      </c>
      <c r="G1696" s="135" t="s">
        <v>116</v>
      </c>
      <c r="H1696" s="135" t="s">
        <v>2853</v>
      </c>
      <c r="I1696" s="135" t="s">
        <v>122</v>
      </c>
      <c r="J1696" s="135">
        <v>1.0</v>
      </c>
      <c r="K1696" s="135"/>
      <c r="L1696" s="135">
        <v>2195.0</v>
      </c>
      <c r="M1696" s="135">
        <v>2850.0</v>
      </c>
      <c r="N1696" s="135">
        <v>120.0</v>
      </c>
      <c r="O1696" s="135">
        <v>0.79</v>
      </c>
      <c r="P1696" s="136"/>
      <c r="Q1696" s="137">
        <v>1.975</v>
      </c>
      <c r="R1696" s="136">
        <v>46132.0</v>
      </c>
      <c r="S1696" s="135" t="s">
        <v>3879</v>
      </c>
      <c r="T1696" s="136"/>
      <c r="U1696" s="135" t="s">
        <v>2864</v>
      </c>
      <c r="V1696" s="135" t="s">
        <v>2878</v>
      </c>
      <c r="W1696" s="135"/>
      <c r="X1696" s="135" t="s">
        <v>3764</v>
      </c>
      <c r="Y1696" s="135"/>
      <c r="Z1696" s="135" t="s">
        <v>2858</v>
      </c>
      <c r="AA1696" s="135"/>
      <c r="AB1696" s="135"/>
      <c r="AC1696" s="135"/>
      <c r="AD1696" s="135" t="e">
        <v>#N/A</v>
      </c>
      <c r="AE1696" s="135"/>
      <c r="AF1696" s="135"/>
      <c r="AG1696" s="135"/>
    </row>
    <row r="1697" ht="21.75" hidden="1" customHeight="1">
      <c r="A1697" s="135">
        <v>1693.0</v>
      </c>
      <c r="B1697" s="135">
        <v>25045.0</v>
      </c>
      <c r="C1697" s="135"/>
      <c r="D1697" s="135">
        <v>8.0</v>
      </c>
      <c r="E1697" s="135" t="s">
        <v>3894</v>
      </c>
      <c r="F1697" s="135" t="s">
        <v>2559</v>
      </c>
      <c r="G1697" s="135" t="s">
        <v>116</v>
      </c>
      <c r="H1697" s="135" t="s">
        <v>2853</v>
      </c>
      <c r="I1697" s="135" t="s">
        <v>122</v>
      </c>
      <c r="J1697" s="135">
        <v>1.0</v>
      </c>
      <c r="K1697" s="135"/>
      <c r="L1697" s="135">
        <v>3845.0</v>
      </c>
      <c r="M1697" s="135">
        <v>2850.0</v>
      </c>
      <c r="N1697" s="135">
        <v>120.0</v>
      </c>
      <c r="O1697" s="135">
        <v>1.48</v>
      </c>
      <c r="P1697" s="136"/>
      <c r="Q1697" s="137">
        <v>3.7</v>
      </c>
      <c r="R1697" s="136">
        <v>46132.0</v>
      </c>
      <c r="S1697" s="135" t="s">
        <v>3879</v>
      </c>
      <c r="T1697" s="136"/>
      <c r="U1697" s="135" t="s">
        <v>2864</v>
      </c>
      <c r="V1697" s="135" t="s">
        <v>3100</v>
      </c>
      <c r="W1697" s="135"/>
      <c r="X1697" s="135"/>
      <c r="Y1697" s="135"/>
      <c r="Z1697" s="135" t="s">
        <v>2858</v>
      </c>
      <c r="AA1697" s="135"/>
      <c r="AB1697" s="135"/>
      <c r="AC1697" s="135"/>
      <c r="AD1697" s="135">
        <v>46154.0</v>
      </c>
      <c r="AE1697" s="135"/>
      <c r="AF1697" s="135"/>
      <c r="AG1697" s="135"/>
    </row>
    <row r="1698" ht="21.75" hidden="1" customHeight="1">
      <c r="A1698" s="135">
        <v>1694.0</v>
      </c>
      <c r="B1698" s="135">
        <v>25045.0</v>
      </c>
      <c r="C1698" s="135"/>
      <c r="D1698" s="135">
        <v>8.0</v>
      </c>
      <c r="E1698" s="135" t="s">
        <v>3894</v>
      </c>
      <c r="F1698" s="135" t="s">
        <v>2560</v>
      </c>
      <c r="G1698" s="135" t="s">
        <v>116</v>
      </c>
      <c r="H1698" s="135" t="s">
        <v>2853</v>
      </c>
      <c r="I1698" s="135" t="s">
        <v>122</v>
      </c>
      <c r="J1698" s="135">
        <v>1.0</v>
      </c>
      <c r="K1698" s="135"/>
      <c r="L1698" s="135">
        <v>4534.0</v>
      </c>
      <c r="M1698" s="135">
        <v>2850.0</v>
      </c>
      <c r="N1698" s="135">
        <v>120.0</v>
      </c>
      <c r="O1698" s="135">
        <v>1.513</v>
      </c>
      <c r="P1698" s="136"/>
      <c r="Q1698" s="137">
        <v>3.7824999999999998</v>
      </c>
      <c r="R1698" s="136">
        <v>46132.0</v>
      </c>
      <c r="S1698" s="135" t="s">
        <v>3879</v>
      </c>
      <c r="T1698" s="136"/>
      <c r="U1698" s="135" t="s">
        <v>2864</v>
      </c>
      <c r="V1698" s="135" t="s">
        <v>2985</v>
      </c>
      <c r="W1698" s="135"/>
      <c r="X1698" s="135" t="s">
        <v>2895</v>
      </c>
      <c r="Y1698" s="135"/>
      <c r="Z1698" s="135" t="s">
        <v>2858</v>
      </c>
      <c r="AA1698" s="135"/>
      <c r="AB1698" s="135"/>
      <c r="AC1698" s="135"/>
      <c r="AD1698" s="135">
        <v>46153.0</v>
      </c>
      <c r="AE1698" s="135"/>
      <c r="AF1698" s="135"/>
      <c r="AG1698" s="135"/>
    </row>
    <row r="1699" ht="21.75" hidden="1" customHeight="1">
      <c r="A1699" s="135">
        <v>1695.0</v>
      </c>
      <c r="B1699" s="135">
        <v>25045.0</v>
      </c>
      <c r="C1699" s="135"/>
      <c r="D1699" s="135">
        <v>8.0</v>
      </c>
      <c r="E1699" s="135" t="s">
        <v>3894</v>
      </c>
      <c r="F1699" s="135" t="s">
        <v>2561</v>
      </c>
      <c r="G1699" s="135" t="s">
        <v>116</v>
      </c>
      <c r="H1699" s="135" t="s">
        <v>2853</v>
      </c>
      <c r="I1699" s="135" t="s">
        <v>122</v>
      </c>
      <c r="J1699" s="135">
        <v>1.0</v>
      </c>
      <c r="K1699" s="135"/>
      <c r="L1699" s="135">
        <v>5255.0</v>
      </c>
      <c r="M1699" s="135">
        <v>2850.0</v>
      </c>
      <c r="N1699" s="135">
        <v>120.0</v>
      </c>
      <c r="O1699" s="135">
        <v>1.97</v>
      </c>
      <c r="P1699" s="136"/>
      <c r="Q1699" s="137">
        <v>4.925</v>
      </c>
      <c r="R1699" s="136">
        <v>46132.0</v>
      </c>
      <c r="S1699" s="135" t="s">
        <v>3879</v>
      </c>
      <c r="T1699" s="136"/>
      <c r="U1699" s="135" t="s">
        <v>2855</v>
      </c>
      <c r="V1699" s="135" t="s">
        <v>2876</v>
      </c>
      <c r="W1699" s="135">
        <v>1800.0</v>
      </c>
      <c r="X1699" s="135"/>
      <c r="Y1699" s="135"/>
      <c r="Z1699" s="135" t="s">
        <v>2858</v>
      </c>
      <c r="AA1699" s="135"/>
      <c r="AB1699" s="135"/>
      <c r="AC1699" s="135"/>
      <c r="AD1699" s="135">
        <v>46144.0</v>
      </c>
      <c r="AE1699" s="135"/>
      <c r="AF1699" s="135"/>
      <c r="AG1699" s="135"/>
    </row>
    <row r="1700" ht="21.75" hidden="1" customHeight="1">
      <c r="A1700" s="135">
        <v>1696.0</v>
      </c>
      <c r="B1700" s="135">
        <v>25045.0</v>
      </c>
      <c r="C1700" s="135"/>
      <c r="D1700" s="135">
        <v>8.0</v>
      </c>
      <c r="E1700" s="135" t="s">
        <v>3894</v>
      </c>
      <c r="F1700" s="135" t="s">
        <v>2562</v>
      </c>
      <c r="G1700" s="135" t="s">
        <v>116</v>
      </c>
      <c r="H1700" s="135" t="s">
        <v>2853</v>
      </c>
      <c r="I1700" s="135" t="s">
        <v>122</v>
      </c>
      <c r="J1700" s="135">
        <v>1.0</v>
      </c>
      <c r="K1700" s="135"/>
      <c r="L1700" s="135">
        <v>2855.0</v>
      </c>
      <c r="M1700" s="135">
        <v>1000.0</v>
      </c>
      <c r="N1700" s="135">
        <v>120.0</v>
      </c>
      <c r="O1700" s="135">
        <v>0.426</v>
      </c>
      <c r="P1700" s="136"/>
      <c r="Q1700" s="137">
        <v>1.065</v>
      </c>
      <c r="R1700" s="136">
        <v>46132.0</v>
      </c>
      <c r="S1700" s="135" t="s">
        <v>3879</v>
      </c>
      <c r="T1700" s="136"/>
      <c r="U1700" s="135" t="s">
        <v>2864</v>
      </c>
      <c r="V1700" s="135" t="s">
        <v>2856</v>
      </c>
      <c r="W1700" s="135"/>
      <c r="X1700" s="135"/>
      <c r="Y1700" s="135"/>
      <c r="Z1700" s="135" t="s">
        <v>2858</v>
      </c>
      <c r="AA1700" s="135"/>
      <c r="AB1700" s="135"/>
      <c r="AC1700" s="135"/>
      <c r="AD1700" s="135">
        <v>46136.0</v>
      </c>
      <c r="AE1700" s="135"/>
      <c r="AF1700" s="135"/>
      <c r="AG1700" s="135"/>
    </row>
    <row r="1701" ht="21.75" hidden="1" customHeight="1">
      <c r="A1701" s="135">
        <v>1697.0</v>
      </c>
      <c r="B1701" s="135">
        <v>25045.0</v>
      </c>
      <c r="C1701" s="135"/>
      <c r="D1701" s="135">
        <v>8.0</v>
      </c>
      <c r="E1701" s="135" t="s">
        <v>3894</v>
      </c>
      <c r="F1701" s="135" t="s">
        <v>2563</v>
      </c>
      <c r="G1701" s="135" t="s">
        <v>116</v>
      </c>
      <c r="H1701" s="135" t="s">
        <v>2853</v>
      </c>
      <c r="I1701" s="135" t="s">
        <v>122</v>
      </c>
      <c r="J1701" s="135">
        <v>1.0</v>
      </c>
      <c r="K1701" s="135" t="s">
        <v>3134</v>
      </c>
      <c r="L1701" s="135">
        <v>1635.0</v>
      </c>
      <c r="M1701" s="135">
        <v>1310.0</v>
      </c>
      <c r="N1701" s="135">
        <v>120.0</v>
      </c>
      <c r="O1701" s="135">
        <v>0.35</v>
      </c>
      <c r="P1701" s="136"/>
      <c r="Q1701" s="137">
        <v>0.875</v>
      </c>
      <c r="R1701" s="136">
        <v>46132.0</v>
      </c>
      <c r="S1701" s="135" t="s">
        <v>3879</v>
      </c>
      <c r="T1701" s="136"/>
      <c r="U1701" s="135" t="s">
        <v>2864</v>
      </c>
      <c r="V1701" s="135" t="s">
        <v>2953</v>
      </c>
      <c r="W1701" s="135"/>
      <c r="X1701" s="135"/>
      <c r="Y1701" s="135"/>
      <c r="Z1701" s="135" t="s">
        <v>2858</v>
      </c>
      <c r="AA1701" s="135"/>
      <c r="AB1701" s="135"/>
      <c r="AC1701" s="135"/>
      <c r="AD1701" s="135">
        <v>46150.0</v>
      </c>
      <c r="AE1701" s="135"/>
      <c r="AF1701" s="135"/>
      <c r="AG1701" s="135"/>
    </row>
    <row r="1702" ht="21.75" hidden="1" customHeight="1">
      <c r="A1702" s="135">
        <v>1698.0</v>
      </c>
      <c r="B1702" s="135">
        <v>25045.0</v>
      </c>
      <c r="C1702" s="135"/>
      <c r="D1702" s="135">
        <v>8.0</v>
      </c>
      <c r="E1702" s="135" t="s">
        <v>3897</v>
      </c>
      <c r="F1702" s="135" t="s">
        <v>2645</v>
      </c>
      <c r="G1702" s="135" t="s">
        <v>116</v>
      </c>
      <c r="H1702" s="135" t="s">
        <v>2853</v>
      </c>
      <c r="I1702" s="135" t="s">
        <v>128</v>
      </c>
      <c r="J1702" s="135">
        <v>1.0</v>
      </c>
      <c r="K1702" s="135" t="s">
        <v>3134</v>
      </c>
      <c r="L1702" s="135">
        <v>1635.0</v>
      </c>
      <c r="M1702" s="135">
        <v>1310.0</v>
      </c>
      <c r="N1702" s="135">
        <v>120.0</v>
      </c>
      <c r="O1702" s="135">
        <v>0.35</v>
      </c>
      <c r="P1702" s="136"/>
      <c r="Q1702" s="137">
        <v>0.875</v>
      </c>
      <c r="R1702" s="136">
        <v>46132.0</v>
      </c>
      <c r="S1702" s="135" t="s">
        <v>3879</v>
      </c>
      <c r="T1702" s="136"/>
      <c r="U1702" s="135" t="s">
        <v>2864</v>
      </c>
      <c r="V1702" s="135" t="s">
        <v>2953</v>
      </c>
      <c r="W1702" s="135"/>
      <c r="X1702" s="135"/>
      <c r="Y1702" s="135"/>
      <c r="Z1702" s="135" t="s">
        <v>2858</v>
      </c>
      <c r="AA1702" s="135"/>
      <c r="AB1702" s="135"/>
      <c r="AC1702" s="135"/>
      <c r="AD1702" s="135">
        <v>46151.0</v>
      </c>
      <c r="AE1702" s="135"/>
      <c r="AF1702" s="135"/>
      <c r="AG1702" s="135"/>
    </row>
    <row r="1703" ht="21.75" hidden="1" customHeight="1">
      <c r="A1703" s="135">
        <v>1699.0</v>
      </c>
      <c r="B1703" s="135">
        <v>25045.0</v>
      </c>
      <c r="C1703" s="135"/>
      <c r="D1703" s="135">
        <v>8.0</v>
      </c>
      <c r="E1703" s="135" t="s">
        <v>3894</v>
      </c>
      <c r="F1703" s="135" t="s">
        <v>2564</v>
      </c>
      <c r="G1703" s="135" t="s">
        <v>116</v>
      </c>
      <c r="H1703" s="135" t="s">
        <v>2965</v>
      </c>
      <c r="I1703" s="135" t="s">
        <v>122</v>
      </c>
      <c r="J1703" s="135">
        <v>1.0</v>
      </c>
      <c r="K1703" s="135" t="s">
        <v>3134</v>
      </c>
      <c r="L1703" s="135">
        <v>400.0</v>
      </c>
      <c r="M1703" s="135">
        <v>2940.0</v>
      </c>
      <c r="N1703" s="135">
        <v>350.0</v>
      </c>
      <c r="O1703" s="135">
        <v>0.516</v>
      </c>
      <c r="P1703" s="136"/>
      <c r="Q1703" s="137">
        <v>1.29</v>
      </c>
      <c r="R1703" s="136">
        <v>46132.0</v>
      </c>
      <c r="S1703" s="135" t="s">
        <v>3879</v>
      </c>
      <c r="T1703" s="136"/>
      <c r="U1703" s="135" t="s">
        <v>2966</v>
      </c>
      <c r="V1703" s="135" t="s">
        <v>2967</v>
      </c>
      <c r="W1703" s="135"/>
      <c r="X1703" s="135" t="s">
        <v>2968</v>
      </c>
      <c r="Y1703" s="135"/>
      <c r="Z1703" s="135" t="s">
        <v>2858</v>
      </c>
      <c r="AA1703" s="135"/>
      <c r="AB1703" s="135"/>
      <c r="AC1703" s="135"/>
      <c r="AD1703" s="135">
        <v>46153.0</v>
      </c>
      <c r="AE1703" s="135"/>
      <c r="AF1703" s="135"/>
      <c r="AG1703" s="135"/>
    </row>
    <row r="1704" ht="21.75" hidden="1" customHeight="1">
      <c r="A1704" s="135">
        <v>1700.0</v>
      </c>
      <c r="B1704" s="135">
        <v>25045.0</v>
      </c>
      <c r="C1704" s="135"/>
      <c r="D1704" s="135">
        <v>8.0</v>
      </c>
      <c r="E1704" s="135" t="s">
        <v>3897</v>
      </c>
      <c r="F1704" s="135" t="s">
        <v>2646</v>
      </c>
      <c r="G1704" s="135" t="s">
        <v>116</v>
      </c>
      <c r="H1704" s="135" t="s">
        <v>2965</v>
      </c>
      <c r="I1704" s="135" t="s">
        <v>128</v>
      </c>
      <c r="J1704" s="135">
        <v>1.0</v>
      </c>
      <c r="K1704" s="135" t="s">
        <v>3134</v>
      </c>
      <c r="L1704" s="135">
        <v>400.0</v>
      </c>
      <c r="M1704" s="135">
        <v>2940.0</v>
      </c>
      <c r="N1704" s="135">
        <v>350.0</v>
      </c>
      <c r="O1704" s="135">
        <v>0.516</v>
      </c>
      <c r="P1704" s="136"/>
      <c r="Q1704" s="137">
        <v>1.29</v>
      </c>
      <c r="R1704" s="136">
        <v>46132.0</v>
      </c>
      <c r="S1704" s="135" t="s">
        <v>3879</v>
      </c>
      <c r="T1704" s="136"/>
      <c r="U1704" s="135" t="s">
        <v>2966</v>
      </c>
      <c r="V1704" s="135" t="s">
        <v>2967</v>
      </c>
      <c r="W1704" s="135"/>
      <c r="X1704" s="135" t="s">
        <v>2968</v>
      </c>
      <c r="Y1704" s="135"/>
      <c r="Z1704" s="135" t="s">
        <v>2858</v>
      </c>
      <c r="AA1704" s="135"/>
      <c r="AB1704" s="135"/>
      <c r="AC1704" s="135"/>
      <c r="AD1704" s="135">
        <v>46154.0</v>
      </c>
      <c r="AE1704" s="135"/>
      <c r="AF1704" s="135"/>
      <c r="AG1704" s="135"/>
    </row>
    <row r="1705" ht="21.75" hidden="1" customHeight="1">
      <c r="A1705" s="135">
        <v>1701.0</v>
      </c>
      <c r="B1705" s="135">
        <v>25045.0</v>
      </c>
      <c r="C1705" s="135" t="s">
        <v>2817</v>
      </c>
      <c r="D1705" s="135">
        <v>8.0</v>
      </c>
      <c r="E1705" s="135" t="s">
        <v>3895</v>
      </c>
      <c r="F1705" s="135" t="s">
        <v>2573</v>
      </c>
      <c r="G1705" s="135" t="s">
        <v>116</v>
      </c>
      <c r="H1705" s="135" t="s">
        <v>2853</v>
      </c>
      <c r="I1705" s="135" t="s">
        <v>123</v>
      </c>
      <c r="J1705" s="135">
        <v>1.0</v>
      </c>
      <c r="K1705" s="135" t="s">
        <v>3134</v>
      </c>
      <c r="L1705" s="135">
        <v>5687.0</v>
      </c>
      <c r="M1705" s="135">
        <v>1350.0</v>
      </c>
      <c r="N1705" s="135">
        <v>120.0</v>
      </c>
      <c r="O1705" s="135">
        <v>0.974</v>
      </c>
      <c r="P1705" s="136"/>
      <c r="Q1705" s="137">
        <v>2.435</v>
      </c>
      <c r="R1705" s="136">
        <v>46132.0</v>
      </c>
      <c r="S1705" s="135" t="s">
        <v>3879</v>
      </c>
      <c r="T1705" s="136"/>
      <c r="U1705" s="135" t="s">
        <v>2855</v>
      </c>
      <c r="V1705" s="135" t="s">
        <v>2856</v>
      </c>
      <c r="W1705" s="135">
        <v>1800.0</v>
      </c>
      <c r="X1705" s="135"/>
      <c r="Y1705" s="135"/>
      <c r="Z1705" s="135" t="s">
        <v>2858</v>
      </c>
      <c r="AA1705" s="135"/>
      <c r="AB1705" s="135"/>
      <c r="AC1705" s="135"/>
      <c r="AD1705" s="135" t="e">
        <v>#N/A</v>
      </c>
      <c r="AE1705" s="135"/>
      <c r="AF1705" s="135"/>
      <c r="AG1705" s="135"/>
    </row>
    <row r="1706" ht="21.75" hidden="1" customHeight="1">
      <c r="A1706" s="135">
        <v>1702.0</v>
      </c>
      <c r="B1706" s="135">
        <v>25045.0</v>
      </c>
      <c r="C1706" s="135" t="s">
        <v>2817</v>
      </c>
      <c r="D1706" s="135">
        <v>8.0</v>
      </c>
      <c r="E1706" s="135" t="s">
        <v>3896</v>
      </c>
      <c r="F1706" s="135" t="s">
        <v>2585</v>
      </c>
      <c r="G1706" s="135" t="s">
        <v>116</v>
      </c>
      <c r="H1706" s="135" t="s">
        <v>2853</v>
      </c>
      <c r="I1706" s="135" t="s">
        <v>124</v>
      </c>
      <c r="J1706" s="135">
        <v>1.0</v>
      </c>
      <c r="K1706" s="135" t="s">
        <v>3134</v>
      </c>
      <c r="L1706" s="135">
        <v>5687.0</v>
      </c>
      <c r="M1706" s="135">
        <v>1350.0</v>
      </c>
      <c r="N1706" s="135">
        <v>120.0</v>
      </c>
      <c r="O1706" s="135">
        <v>0.974</v>
      </c>
      <c r="P1706" s="136"/>
      <c r="Q1706" s="137">
        <v>2.435</v>
      </c>
      <c r="R1706" s="136">
        <v>46132.0</v>
      </c>
      <c r="S1706" s="135" t="s">
        <v>3879</v>
      </c>
      <c r="T1706" s="136"/>
      <c r="U1706" s="135" t="s">
        <v>2855</v>
      </c>
      <c r="V1706" s="135" t="s">
        <v>2856</v>
      </c>
      <c r="W1706" s="135">
        <v>1800.0</v>
      </c>
      <c r="X1706" s="135"/>
      <c r="Y1706" s="135"/>
      <c r="Z1706" s="135" t="s">
        <v>2858</v>
      </c>
      <c r="AA1706" s="135"/>
      <c r="AB1706" s="135"/>
      <c r="AC1706" s="135"/>
      <c r="AD1706" s="135" t="e">
        <v>#N/A</v>
      </c>
      <c r="AE1706" s="135"/>
      <c r="AF1706" s="135"/>
      <c r="AG1706" s="135"/>
    </row>
    <row r="1707" ht="21.75" hidden="1" customHeight="1">
      <c r="A1707" s="135">
        <v>1703.0</v>
      </c>
      <c r="B1707" s="135">
        <v>25045.0</v>
      </c>
      <c r="C1707" s="135" t="s">
        <v>2817</v>
      </c>
      <c r="D1707" s="135">
        <v>8.0</v>
      </c>
      <c r="E1707" s="135" t="s">
        <v>3895</v>
      </c>
      <c r="F1707" s="135" t="s">
        <v>2574</v>
      </c>
      <c r="G1707" s="135" t="s">
        <v>116</v>
      </c>
      <c r="H1707" s="135" t="s">
        <v>2853</v>
      </c>
      <c r="I1707" s="135" t="s">
        <v>123</v>
      </c>
      <c r="J1707" s="135">
        <v>1.0</v>
      </c>
      <c r="K1707" s="135"/>
      <c r="L1707" s="135">
        <v>5687.0</v>
      </c>
      <c r="M1707" s="135">
        <v>2880.0</v>
      </c>
      <c r="N1707" s="135">
        <v>120.0</v>
      </c>
      <c r="O1707" s="135">
        <v>1.046</v>
      </c>
      <c r="P1707" s="136"/>
      <c r="Q1707" s="137">
        <v>2.615</v>
      </c>
      <c r="R1707" s="136">
        <v>46132.0</v>
      </c>
      <c r="S1707" s="135" t="s">
        <v>3879</v>
      </c>
      <c r="T1707" s="136"/>
      <c r="U1707" s="135" t="s">
        <v>2855</v>
      </c>
      <c r="V1707" s="135" t="s">
        <v>2856</v>
      </c>
      <c r="W1707" s="135">
        <v>2500.0</v>
      </c>
      <c r="X1707" s="135" t="s">
        <v>3898</v>
      </c>
      <c r="Y1707" s="135"/>
      <c r="Z1707" s="135" t="s">
        <v>2858</v>
      </c>
      <c r="AA1707" s="135"/>
      <c r="AB1707" s="135"/>
      <c r="AC1707" s="135"/>
      <c r="AD1707" s="135" t="e">
        <v>#N/A</v>
      </c>
      <c r="AE1707" s="135"/>
      <c r="AF1707" s="135"/>
      <c r="AG1707" s="135"/>
    </row>
    <row r="1708" ht="21.75" hidden="1" customHeight="1">
      <c r="A1708" s="135">
        <v>1704.0</v>
      </c>
      <c r="B1708" s="135">
        <v>25045.0</v>
      </c>
      <c r="C1708" s="135" t="s">
        <v>2817</v>
      </c>
      <c r="D1708" s="135">
        <v>8.0</v>
      </c>
      <c r="E1708" s="135" t="s">
        <v>3895</v>
      </c>
      <c r="F1708" s="135" t="s">
        <v>2575</v>
      </c>
      <c r="G1708" s="135" t="s">
        <v>116</v>
      </c>
      <c r="H1708" s="135" t="s">
        <v>2853</v>
      </c>
      <c r="I1708" s="135" t="s">
        <v>123</v>
      </c>
      <c r="J1708" s="135">
        <v>1.0</v>
      </c>
      <c r="K1708" s="135" t="s">
        <v>3134</v>
      </c>
      <c r="L1708" s="135">
        <v>2595.0</v>
      </c>
      <c r="M1708" s="135">
        <v>2850.0</v>
      </c>
      <c r="N1708" s="135">
        <v>120.0</v>
      </c>
      <c r="O1708" s="135">
        <v>0.915</v>
      </c>
      <c r="P1708" s="136"/>
      <c r="Q1708" s="137">
        <v>2.2875</v>
      </c>
      <c r="R1708" s="136">
        <v>46132.0</v>
      </c>
      <c r="S1708" s="135" t="s">
        <v>3879</v>
      </c>
      <c r="T1708" s="136"/>
      <c r="U1708" s="135" t="s">
        <v>2864</v>
      </c>
      <c r="V1708" s="135" t="s">
        <v>2878</v>
      </c>
      <c r="W1708" s="135"/>
      <c r="X1708" s="135" t="s">
        <v>3586</v>
      </c>
      <c r="Y1708" s="135"/>
      <c r="Z1708" s="135" t="s">
        <v>2858</v>
      </c>
      <c r="AA1708" s="135"/>
      <c r="AB1708" s="135"/>
      <c r="AC1708" s="135"/>
      <c r="AD1708" s="135" t="e">
        <v>#N/A</v>
      </c>
      <c r="AE1708" s="135"/>
      <c r="AF1708" s="135"/>
      <c r="AG1708" s="135"/>
    </row>
    <row r="1709" ht="21.75" hidden="1" customHeight="1">
      <c r="A1709" s="135">
        <v>1705.0</v>
      </c>
      <c r="B1709" s="135">
        <v>25045.0</v>
      </c>
      <c r="C1709" s="135" t="s">
        <v>2817</v>
      </c>
      <c r="D1709" s="135">
        <v>8.0</v>
      </c>
      <c r="E1709" s="135" t="s">
        <v>3899</v>
      </c>
      <c r="F1709" s="135" t="s">
        <v>2597</v>
      </c>
      <c r="G1709" s="135" t="s">
        <v>116</v>
      </c>
      <c r="H1709" s="135" t="s">
        <v>2853</v>
      </c>
      <c r="I1709" s="135" t="s">
        <v>125</v>
      </c>
      <c r="J1709" s="135">
        <v>1.0</v>
      </c>
      <c r="K1709" s="135" t="s">
        <v>3134</v>
      </c>
      <c r="L1709" s="135">
        <v>2595.0</v>
      </c>
      <c r="M1709" s="135">
        <v>2850.0</v>
      </c>
      <c r="N1709" s="135">
        <v>120.0</v>
      </c>
      <c r="O1709" s="135">
        <v>0.915</v>
      </c>
      <c r="P1709" s="136"/>
      <c r="Q1709" s="137">
        <v>2.2875</v>
      </c>
      <c r="R1709" s="136">
        <v>46132.0</v>
      </c>
      <c r="S1709" s="135" t="s">
        <v>3879</v>
      </c>
      <c r="T1709" s="136"/>
      <c r="U1709" s="135" t="s">
        <v>2864</v>
      </c>
      <c r="V1709" s="135" t="s">
        <v>2878</v>
      </c>
      <c r="W1709" s="135"/>
      <c r="X1709" s="135" t="s">
        <v>3586</v>
      </c>
      <c r="Y1709" s="135"/>
      <c r="Z1709" s="135" t="s">
        <v>2858</v>
      </c>
      <c r="AA1709" s="135"/>
      <c r="AB1709" s="135"/>
      <c r="AC1709" s="135"/>
      <c r="AD1709" s="135" t="e">
        <v>#N/A</v>
      </c>
      <c r="AE1709" s="135"/>
      <c r="AF1709" s="135"/>
      <c r="AG1709" s="135"/>
    </row>
    <row r="1710" ht="21.75" hidden="1" customHeight="1">
      <c r="A1710" s="135">
        <v>1706.0</v>
      </c>
      <c r="B1710" s="135">
        <v>25045.0</v>
      </c>
      <c r="C1710" s="135" t="s">
        <v>2817</v>
      </c>
      <c r="D1710" s="135">
        <v>8.0</v>
      </c>
      <c r="E1710" s="135" t="s">
        <v>3896</v>
      </c>
      <c r="F1710" s="135" t="s">
        <v>2586</v>
      </c>
      <c r="G1710" s="135" t="s">
        <v>116</v>
      </c>
      <c r="H1710" s="135" t="s">
        <v>2853</v>
      </c>
      <c r="I1710" s="135" t="s">
        <v>124</v>
      </c>
      <c r="J1710" s="135">
        <v>1.0</v>
      </c>
      <c r="K1710" s="135" t="s">
        <v>3134</v>
      </c>
      <c r="L1710" s="135">
        <v>2595.0</v>
      </c>
      <c r="M1710" s="135">
        <v>2850.0</v>
      </c>
      <c r="N1710" s="135">
        <v>120.0</v>
      </c>
      <c r="O1710" s="135">
        <v>0.915</v>
      </c>
      <c r="P1710" s="136"/>
      <c r="Q1710" s="137">
        <v>2.2875</v>
      </c>
      <c r="R1710" s="136">
        <v>46132.0</v>
      </c>
      <c r="S1710" s="135" t="s">
        <v>3879</v>
      </c>
      <c r="T1710" s="136"/>
      <c r="U1710" s="135" t="s">
        <v>2864</v>
      </c>
      <c r="V1710" s="135" t="s">
        <v>2878</v>
      </c>
      <c r="W1710" s="135"/>
      <c r="X1710" s="135" t="s">
        <v>3586</v>
      </c>
      <c r="Y1710" s="135"/>
      <c r="Z1710" s="135" t="s">
        <v>2858</v>
      </c>
      <c r="AA1710" s="135"/>
      <c r="AB1710" s="135"/>
      <c r="AC1710" s="135"/>
      <c r="AD1710" s="135" t="e">
        <v>#N/A</v>
      </c>
      <c r="AE1710" s="135"/>
      <c r="AF1710" s="135"/>
      <c r="AG1710" s="135"/>
    </row>
    <row r="1711" ht="21.75" hidden="1" customHeight="1">
      <c r="A1711" s="135">
        <v>1707.0</v>
      </c>
      <c r="B1711" s="135">
        <v>25045.0</v>
      </c>
      <c r="C1711" s="135" t="s">
        <v>2817</v>
      </c>
      <c r="D1711" s="135">
        <v>8.0</v>
      </c>
      <c r="E1711" s="135" t="s">
        <v>3900</v>
      </c>
      <c r="F1711" s="135" t="s">
        <v>2615</v>
      </c>
      <c r="G1711" s="135" t="s">
        <v>116</v>
      </c>
      <c r="H1711" s="135" t="s">
        <v>2853</v>
      </c>
      <c r="I1711" s="135" t="s">
        <v>126</v>
      </c>
      <c r="J1711" s="135">
        <v>1.0</v>
      </c>
      <c r="K1711" s="135" t="s">
        <v>3134</v>
      </c>
      <c r="L1711" s="135">
        <v>2595.0</v>
      </c>
      <c r="M1711" s="135">
        <v>2850.0</v>
      </c>
      <c r="N1711" s="135">
        <v>120.0</v>
      </c>
      <c r="O1711" s="135">
        <v>0.915</v>
      </c>
      <c r="P1711" s="136"/>
      <c r="Q1711" s="137">
        <v>2.2875</v>
      </c>
      <c r="R1711" s="136">
        <v>46132.0</v>
      </c>
      <c r="S1711" s="135" t="s">
        <v>3879</v>
      </c>
      <c r="T1711" s="136"/>
      <c r="U1711" s="135" t="s">
        <v>2864</v>
      </c>
      <c r="V1711" s="135" t="s">
        <v>2878</v>
      </c>
      <c r="W1711" s="135"/>
      <c r="X1711" s="135" t="s">
        <v>3586</v>
      </c>
      <c r="Y1711" s="135"/>
      <c r="Z1711" s="135" t="s">
        <v>2858</v>
      </c>
      <c r="AA1711" s="135"/>
      <c r="AB1711" s="135"/>
      <c r="AC1711" s="135"/>
      <c r="AD1711" s="135" t="e">
        <v>#N/A</v>
      </c>
      <c r="AE1711" s="135"/>
      <c r="AF1711" s="135"/>
      <c r="AG1711" s="135"/>
    </row>
    <row r="1712" ht="21.75" hidden="1" customHeight="1">
      <c r="A1712" s="135">
        <v>1708.0</v>
      </c>
      <c r="B1712" s="135">
        <v>25045.0</v>
      </c>
      <c r="C1712" s="135" t="s">
        <v>2817</v>
      </c>
      <c r="D1712" s="135">
        <v>8.0</v>
      </c>
      <c r="E1712" s="135" t="s">
        <v>3901</v>
      </c>
      <c r="F1712" s="135" t="s">
        <v>2671</v>
      </c>
      <c r="G1712" s="135" t="s">
        <v>116</v>
      </c>
      <c r="H1712" s="135" t="s">
        <v>2853</v>
      </c>
      <c r="I1712" s="135" t="s">
        <v>130</v>
      </c>
      <c r="J1712" s="135">
        <v>1.0</v>
      </c>
      <c r="K1712" s="135" t="s">
        <v>3134</v>
      </c>
      <c r="L1712" s="135">
        <v>2595.0</v>
      </c>
      <c r="M1712" s="135">
        <v>2850.0</v>
      </c>
      <c r="N1712" s="135">
        <v>120.0</v>
      </c>
      <c r="O1712" s="135">
        <v>0.915</v>
      </c>
      <c r="P1712" s="136"/>
      <c r="Q1712" s="137">
        <v>2.2875</v>
      </c>
      <c r="R1712" s="136">
        <v>46132.0</v>
      </c>
      <c r="S1712" s="135" t="s">
        <v>3879</v>
      </c>
      <c r="T1712" s="136"/>
      <c r="U1712" s="135" t="s">
        <v>2864</v>
      </c>
      <c r="V1712" s="135" t="s">
        <v>2878</v>
      </c>
      <c r="W1712" s="135"/>
      <c r="X1712" s="135" t="s">
        <v>3586</v>
      </c>
      <c r="Y1712" s="135"/>
      <c r="Z1712" s="135" t="s">
        <v>2858</v>
      </c>
      <c r="AA1712" s="135"/>
      <c r="AB1712" s="135"/>
      <c r="AC1712" s="135"/>
      <c r="AD1712" s="135" t="e">
        <v>#N/A</v>
      </c>
      <c r="AE1712" s="135"/>
      <c r="AF1712" s="135"/>
      <c r="AG1712" s="135"/>
    </row>
    <row r="1713" ht="21.75" hidden="1" customHeight="1">
      <c r="A1713" s="135">
        <v>1709.0</v>
      </c>
      <c r="B1713" s="135">
        <v>25045.0</v>
      </c>
      <c r="C1713" s="135"/>
      <c r="D1713" s="135">
        <v>8.0</v>
      </c>
      <c r="E1713" s="135" t="s">
        <v>3895</v>
      </c>
      <c r="F1713" s="135" t="s">
        <v>2576</v>
      </c>
      <c r="G1713" s="135" t="s">
        <v>116</v>
      </c>
      <c r="H1713" s="135" t="s">
        <v>2853</v>
      </c>
      <c r="I1713" s="135" t="s">
        <v>123</v>
      </c>
      <c r="J1713" s="135">
        <v>1.0</v>
      </c>
      <c r="K1713" s="135" t="s">
        <v>3134</v>
      </c>
      <c r="L1713" s="135">
        <v>5010.0</v>
      </c>
      <c r="M1713" s="135">
        <v>2850.0</v>
      </c>
      <c r="N1713" s="135">
        <v>120.0</v>
      </c>
      <c r="O1713" s="135">
        <v>1.914</v>
      </c>
      <c r="P1713" s="136"/>
      <c r="Q1713" s="137">
        <v>4.785</v>
      </c>
      <c r="R1713" s="136">
        <v>46132.0</v>
      </c>
      <c r="S1713" s="135" t="s">
        <v>3879</v>
      </c>
      <c r="T1713" s="136"/>
      <c r="U1713" s="135" t="s">
        <v>2855</v>
      </c>
      <c r="V1713" s="135" t="s">
        <v>2876</v>
      </c>
      <c r="W1713" s="135">
        <v>2500.0</v>
      </c>
      <c r="X1713" s="135"/>
      <c r="Y1713" s="135"/>
      <c r="Z1713" s="135" t="s">
        <v>2858</v>
      </c>
      <c r="AA1713" s="135"/>
      <c r="AB1713" s="135"/>
      <c r="AC1713" s="135"/>
      <c r="AD1713" s="135">
        <v>46146.0</v>
      </c>
      <c r="AE1713" s="135"/>
      <c r="AF1713" s="135"/>
      <c r="AG1713" s="135"/>
    </row>
    <row r="1714" ht="21.75" hidden="1" customHeight="1">
      <c r="A1714" s="135">
        <v>1710.0</v>
      </c>
      <c r="B1714" s="135">
        <v>25045.0</v>
      </c>
      <c r="C1714" s="135"/>
      <c r="D1714" s="135">
        <v>8.0</v>
      </c>
      <c r="E1714" s="135" t="s">
        <v>3896</v>
      </c>
      <c r="F1714" s="135" t="s">
        <v>2587</v>
      </c>
      <c r="G1714" s="135" t="s">
        <v>116</v>
      </c>
      <c r="H1714" s="135" t="s">
        <v>2853</v>
      </c>
      <c r="I1714" s="135" t="s">
        <v>124</v>
      </c>
      <c r="J1714" s="135">
        <v>1.0</v>
      </c>
      <c r="K1714" s="135" t="s">
        <v>3134</v>
      </c>
      <c r="L1714" s="135">
        <v>5010.0</v>
      </c>
      <c r="M1714" s="135">
        <v>2850.0</v>
      </c>
      <c r="N1714" s="135">
        <v>120.0</v>
      </c>
      <c r="O1714" s="135">
        <v>1.914</v>
      </c>
      <c r="P1714" s="136"/>
      <c r="Q1714" s="137">
        <v>4.785</v>
      </c>
      <c r="R1714" s="136">
        <v>46132.0</v>
      </c>
      <c r="S1714" s="135" t="s">
        <v>3879</v>
      </c>
      <c r="T1714" s="136"/>
      <c r="U1714" s="135" t="s">
        <v>2855</v>
      </c>
      <c r="V1714" s="135" t="s">
        <v>2876</v>
      </c>
      <c r="W1714" s="135">
        <v>2500.0</v>
      </c>
      <c r="X1714" s="135"/>
      <c r="Y1714" s="135"/>
      <c r="Z1714" s="135" t="s">
        <v>2858</v>
      </c>
      <c r="AA1714" s="135"/>
      <c r="AB1714" s="135"/>
      <c r="AC1714" s="135"/>
      <c r="AD1714" s="135">
        <v>46147.0</v>
      </c>
      <c r="AE1714" s="135"/>
      <c r="AF1714" s="135"/>
      <c r="AG1714" s="135"/>
    </row>
    <row r="1715" ht="21.75" hidden="1" customHeight="1">
      <c r="A1715" s="135">
        <v>1711.0</v>
      </c>
      <c r="B1715" s="135">
        <v>25045.0</v>
      </c>
      <c r="C1715" s="135"/>
      <c r="D1715" s="135">
        <v>8.0</v>
      </c>
      <c r="E1715" s="135" t="s">
        <v>3895</v>
      </c>
      <c r="F1715" s="135" t="s">
        <v>2577</v>
      </c>
      <c r="G1715" s="135" t="s">
        <v>116</v>
      </c>
      <c r="H1715" s="135" t="s">
        <v>2853</v>
      </c>
      <c r="I1715" s="135" t="s">
        <v>123</v>
      </c>
      <c r="J1715" s="135">
        <v>1.0</v>
      </c>
      <c r="K1715" s="135"/>
      <c r="L1715" s="135">
        <v>5200.0</v>
      </c>
      <c r="M1715" s="135">
        <v>2850.0</v>
      </c>
      <c r="N1715" s="135">
        <v>120.0</v>
      </c>
      <c r="O1715" s="135">
        <v>1.961</v>
      </c>
      <c r="P1715" s="136"/>
      <c r="Q1715" s="137">
        <v>4.9025</v>
      </c>
      <c r="R1715" s="136">
        <v>46132.0</v>
      </c>
      <c r="S1715" s="135" t="s">
        <v>3879</v>
      </c>
      <c r="T1715" s="136"/>
      <c r="U1715" s="135" t="s">
        <v>2855</v>
      </c>
      <c r="V1715" s="135" t="s">
        <v>2876</v>
      </c>
      <c r="W1715" s="135">
        <v>1800.0</v>
      </c>
      <c r="X1715" s="135"/>
      <c r="Y1715" s="135"/>
      <c r="Z1715" s="135" t="s">
        <v>2858</v>
      </c>
      <c r="AA1715" s="135"/>
      <c r="AB1715" s="135"/>
      <c r="AC1715" s="135"/>
      <c r="AD1715" s="135">
        <v>46147.0</v>
      </c>
      <c r="AE1715" s="135"/>
      <c r="AF1715" s="135"/>
      <c r="AG1715" s="135"/>
    </row>
    <row r="1716" ht="21.75" hidden="1" customHeight="1">
      <c r="A1716" s="135">
        <v>1712.0</v>
      </c>
      <c r="B1716" s="135">
        <v>25045.0</v>
      </c>
      <c r="C1716" s="135"/>
      <c r="D1716" s="135">
        <v>8.0</v>
      </c>
      <c r="E1716" s="135" t="s">
        <v>3895</v>
      </c>
      <c r="F1716" s="135" t="s">
        <v>2578</v>
      </c>
      <c r="G1716" s="135" t="s">
        <v>116</v>
      </c>
      <c r="H1716" s="135" t="s">
        <v>2853</v>
      </c>
      <c r="I1716" s="135" t="s">
        <v>123</v>
      </c>
      <c r="J1716" s="135">
        <v>1.0</v>
      </c>
      <c r="K1716" s="135" t="s">
        <v>3134</v>
      </c>
      <c r="L1716" s="135">
        <v>1635.0</v>
      </c>
      <c r="M1716" s="135">
        <v>1310.0</v>
      </c>
      <c r="N1716" s="135">
        <v>120.0</v>
      </c>
      <c r="O1716" s="135">
        <v>0.35</v>
      </c>
      <c r="P1716" s="136"/>
      <c r="Q1716" s="137">
        <v>0.875</v>
      </c>
      <c r="R1716" s="136">
        <v>46132.0</v>
      </c>
      <c r="S1716" s="135" t="s">
        <v>3879</v>
      </c>
      <c r="T1716" s="136"/>
      <c r="U1716" s="135" t="s">
        <v>2864</v>
      </c>
      <c r="V1716" s="135" t="s">
        <v>2953</v>
      </c>
      <c r="W1716" s="135"/>
      <c r="X1716" s="135"/>
      <c r="Y1716" s="135"/>
      <c r="Z1716" s="135" t="s">
        <v>2858</v>
      </c>
      <c r="AA1716" s="135"/>
      <c r="AB1716" s="135"/>
      <c r="AC1716" s="135"/>
      <c r="AD1716" s="135">
        <v>46153.0</v>
      </c>
      <c r="AE1716" s="135"/>
      <c r="AF1716" s="135"/>
      <c r="AG1716" s="135"/>
    </row>
    <row r="1717" ht="21.75" hidden="1" customHeight="1">
      <c r="A1717" s="135">
        <v>1713.0</v>
      </c>
      <c r="B1717" s="135">
        <v>25045.0</v>
      </c>
      <c r="C1717" s="135"/>
      <c r="D1717" s="135">
        <v>8.0</v>
      </c>
      <c r="E1717" s="135" t="s">
        <v>3901</v>
      </c>
      <c r="F1717" s="135" t="s">
        <v>2672</v>
      </c>
      <c r="G1717" s="135" t="s">
        <v>116</v>
      </c>
      <c r="H1717" s="135" t="s">
        <v>2853</v>
      </c>
      <c r="I1717" s="135" t="s">
        <v>130</v>
      </c>
      <c r="J1717" s="135">
        <v>1.0</v>
      </c>
      <c r="K1717" s="135" t="s">
        <v>3134</v>
      </c>
      <c r="L1717" s="135">
        <v>1635.0</v>
      </c>
      <c r="M1717" s="135">
        <v>1310.0</v>
      </c>
      <c r="N1717" s="135">
        <v>120.0</v>
      </c>
      <c r="O1717" s="135">
        <v>0.35</v>
      </c>
      <c r="P1717" s="136"/>
      <c r="Q1717" s="137">
        <v>0.875</v>
      </c>
      <c r="R1717" s="136">
        <v>46132.0</v>
      </c>
      <c r="S1717" s="135" t="s">
        <v>3879</v>
      </c>
      <c r="T1717" s="136"/>
      <c r="U1717" s="135" t="s">
        <v>2864</v>
      </c>
      <c r="V1717" s="135" t="s">
        <v>2953</v>
      </c>
      <c r="W1717" s="135"/>
      <c r="X1717" s="135"/>
      <c r="Y1717" s="135"/>
      <c r="Z1717" s="135" t="s">
        <v>2858</v>
      </c>
      <c r="AA1717" s="135"/>
      <c r="AB1717" s="135"/>
      <c r="AC1717" s="135"/>
      <c r="AD1717" s="135">
        <v>46154.0</v>
      </c>
      <c r="AE1717" s="135"/>
      <c r="AF1717" s="135"/>
      <c r="AG1717" s="135"/>
    </row>
    <row r="1718" ht="21.75" hidden="1" customHeight="1">
      <c r="A1718" s="135">
        <v>1714.0</v>
      </c>
      <c r="B1718" s="135">
        <v>25045.0</v>
      </c>
      <c r="C1718" s="135"/>
      <c r="D1718" s="135">
        <v>8.0</v>
      </c>
      <c r="E1718" s="135" t="s">
        <v>3895</v>
      </c>
      <c r="F1718" s="135" t="s">
        <v>2579</v>
      </c>
      <c r="G1718" s="135" t="s">
        <v>116</v>
      </c>
      <c r="H1718" s="135" t="s">
        <v>2853</v>
      </c>
      <c r="I1718" s="135" t="s">
        <v>123</v>
      </c>
      <c r="J1718" s="135">
        <v>1.0</v>
      </c>
      <c r="K1718" s="135" t="s">
        <v>3134</v>
      </c>
      <c r="L1718" s="135">
        <v>2875.0</v>
      </c>
      <c r="M1718" s="135">
        <v>1000.0</v>
      </c>
      <c r="N1718" s="135">
        <v>120.0</v>
      </c>
      <c r="O1718" s="135">
        <v>0.472</v>
      </c>
      <c r="P1718" s="136"/>
      <c r="Q1718" s="137">
        <v>1.18</v>
      </c>
      <c r="R1718" s="136">
        <v>46132.0</v>
      </c>
      <c r="S1718" s="135" t="s">
        <v>3879</v>
      </c>
      <c r="T1718" s="136"/>
      <c r="U1718" s="135" t="s">
        <v>2950</v>
      </c>
      <c r="V1718" s="135" t="s">
        <v>2951</v>
      </c>
      <c r="W1718" s="135"/>
      <c r="X1718" s="135"/>
      <c r="Y1718" s="135"/>
      <c r="Z1718" s="135" t="s">
        <v>2858</v>
      </c>
      <c r="AA1718" s="135"/>
      <c r="AB1718" s="135"/>
      <c r="AC1718" s="135"/>
      <c r="AD1718" s="135">
        <v>46143.0</v>
      </c>
      <c r="AE1718" s="135"/>
      <c r="AF1718" s="135"/>
      <c r="AG1718" s="135"/>
    </row>
    <row r="1719" ht="21.75" hidden="1" customHeight="1">
      <c r="A1719" s="135">
        <v>1715.0</v>
      </c>
      <c r="B1719" s="135">
        <v>25045.0</v>
      </c>
      <c r="C1719" s="135"/>
      <c r="D1719" s="135">
        <v>8.0</v>
      </c>
      <c r="E1719" s="135" t="s">
        <v>3896</v>
      </c>
      <c r="F1719" s="135" t="s">
        <v>2588</v>
      </c>
      <c r="G1719" s="135" t="s">
        <v>116</v>
      </c>
      <c r="H1719" s="135" t="s">
        <v>2853</v>
      </c>
      <c r="I1719" s="135" t="s">
        <v>124</v>
      </c>
      <c r="J1719" s="135">
        <v>1.0</v>
      </c>
      <c r="K1719" s="135" t="s">
        <v>3134</v>
      </c>
      <c r="L1719" s="135">
        <v>2875.0</v>
      </c>
      <c r="M1719" s="135">
        <v>1000.0</v>
      </c>
      <c r="N1719" s="135">
        <v>120.0</v>
      </c>
      <c r="O1719" s="135">
        <v>0.472</v>
      </c>
      <c r="P1719" s="136"/>
      <c r="Q1719" s="137">
        <v>1.18</v>
      </c>
      <c r="R1719" s="136">
        <v>46132.0</v>
      </c>
      <c r="S1719" s="135" t="s">
        <v>3879</v>
      </c>
      <c r="T1719" s="136"/>
      <c r="U1719" s="135" t="s">
        <v>2950</v>
      </c>
      <c r="V1719" s="135" t="s">
        <v>2951</v>
      </c>
      <c r="W1719" s="135"/>
      <c r="X1719" s="135"/>
      <c r="Y1719" s="135"/>
      <c r="Z1719" s="135" t="s">
        <v>2858</v>
      </c>
      <c r="AA1719" s="135"/>
      <c r="AB1719" s="135"/>
      <c r="AC1719" s="135"/>
      <c r="AD1719" s="135">
        <v>46144.0</v>
      </c>
      <c r="AE1719" s="135"/>
      <c r="AF1719" s="135"/>
      <c r="AG1719" s="135"/>
    </row>
    <row r="1720" ht="21.75" hidden="1" customHeight="1">
      <c r="A1720" s="135">
        <v>1716.0</v>
      </c>
      <c r="B1720" s="135">
        <v>25045.0</v>
      </c>
      <c r="C1720" s="135"/>
      <c r="D1720" s="135">
        <v>8.0</v>
      </c>
      <c r="E1720" s="135" t="s">
        <v>3895</v>
      </c>
      <c r="F1720" s="135" t="s">
        <v>2580</v>
      </c>
      <c r="G1720" s="135" t="s">
        <v>116</v>
      </c>
      <c r="H1720" s="135" t="s">
        <v>2965</v>
      </c>
      <c r="I1720" s="135" t="s">
        <v>123</v>
      </c>
      <c r="J1720" s="135">
        <v>1.0</v>
      </c>
      <c r="K1720" s="135" t="s">
        <v>3134</v>
      </c>
      <c r="L1720" s="135">
        <v>400.0</v>
      </c>
      <c r="M1720" s="135">
        <v>2940.0</v>
      </c>
      <c r="N1720" s="135">
        <v>350.0</v>
      </c>
      <c r="O1720" s="135">
        <v>0.516</v>
      </c>
      <c r="P1720" s="136"/>
      <c r="Q1720" s="137">
        <v>1.29</v>
      </c>
      <c r="R1720" s="136">
        <v>46132.0</v>
      </c>
      <c r="S1720" s="135" t="s">
        <v>3879</v>
      </c>
      <c r="T1720" s="136"/>
      <c r="U1720" s="135" t="s">
        <v>2966</v>
      </c>
      <c r="V1720" s="135" t="s">
        <v>2967</v>
      </c>
      <c r="W1720" s="135"/>
      <c r="X1720" s="135" t="s">
        <v>2969</v>
      </c>
      <c r="Y1720" s="135"/>
      <c r="Z1720" s="135" t="s">
        <v>2858</v>
      </c>
      <c r="AA1720" s="135"/>
      <c r="AB1720" s="135"/>
      <c r="AC1720" s="135"/>
      <c r="AD1720" s="135">
        <v>46154.0</v>
      </c>
      <c r="AE1720" s="135"/>
      <c r="AF1720" s="135"/>
      <c r="AG1720" s="135"/>
    </row>
    <row r="1721" ht="21.75" hidden="1" customHeight="1">
      <c r="A1721" s="135">
        <v>1717.0</v>
      </c>
      <c r="B1721" s="135">
        <v>25045.0</v>
      </c>
      <c r="C1721" s="135"/>
      <c r="D1721" s="135">
        <v>8.0</v>
      </c>
      <c r="E1721" s="135" t="s">
        <v>3901</v>
      </c>
      <c r="F1721" s="135" t="s">
        <v>2673</v>
      </c>
      <c r="G1721" s="135" t="s">
        <v>116</v>
      </c>
      <c r="H1721" s="135" t="s">
        <v>2965</v>
      </c>
      <c r="I1721" s="135" t="s">
        <v>130</v>
      </c>
      <c r="J1721" s="135">
        <v>1.0</v>
      </c>
      <c r="K1721" s="135" t="s">
        <v>3134</v>
      </c>
      <c r="L1721" s="135">
        <v>400.0</v>
      </c>
      <c r="M1721" s="135">
        <v>2940.0</v>
      </c>
      <c r="N1721" s="135">
        <v>350.0</v>
      </c>
      <c r="O1721" s="135">
        <v>0.516</v>
      </c>
      <c r="P1721" s="136"/>
      <c r="Q1721" s="137">
        <v>1.29</v>
      </c>
      <c r="R1721" s="136">
        <v>46132.0</v>
      </c>
      <c r="S1721" s="135" t="s">
        <v>3879</v>
      </c>
      <c r="T1721" s="136"/>
      <c r="U1721" s="135" t="s">
        <v>2966</v>
      </c>
      <c r="V1721" s="135" t="s">
        <v>2967</v>
      </c>
      <c r="W1721" s="135"/>
      <c r="X1721" s="135" t="s">
        <v>2969</v>
      </c>
      <c r="Y1721" s="135"/>
      <c r="Z1721" s="135" t="s">
        <v>2858</v>
      </c>
      <c r="AA1721" s="135"/>
      <c r="AB1721" s="135"/>
      <c r="AC1721" s="135"/>
      <c r="AD1721" s="135">
        <v>46155.0</v>
      </c>
      <c r="AE1721" s="135"/>
      <c r="AF1721" s="135"/>
      <c r="AG1721" s="135"/>
    </row>
    <row r="1722" ht="21.75" hidden="1" customHeight="1">
      <c r="A1722" s="135">
        <v>1718.0</v>
      </c>
      <c r="B1722" s="135">
        <v>25045.0</v>
      </c>
      <c r="C1722" s="135" t="s">
        <v>2817</v>
      </c>
      <c r="D1722" s="135">
        <v>8.0</v>
      </c>
      <c r="E1722" s="135" t="s">
        <v>3896</v>
      </c>
      <c r="F1722" s="135" t="s">
        <v>2589</v>
      </c>
      <c r="G1722" s="135" t="s">
        <v>116</v>
      </c>
      <c r="H1722" s="135" t="s">
        <v>2853</v>
      </c>
      <c r="I1722" s="135" t="s">
        <v>124</v>
      </c>
      <c r="J1722" s="135">
        <v>1.0</v>
      </c>
      <c r="K1722" s="135"/>
      <c r="L1722" s="135">
        <v>5687.0</v>
      </c>
      <c r="M1722" s="135">
        <v>2890.0</v>
      </c>
      <c r="N1722" s="135">
        <v>120.0</v>
      </c>
      <c r="O1722" s="135">
        <v>1.046</v>
      </c>
      <c r="P1722" s="136"/>
      <c r="Q1722" s="137">
        <v>2.615</v>
      </c>
      <c r="R1722" s="136">
        <v>46132.0</v>
      </c>
      <c r="S1722" s="135" t="s">
        <v>3879</v>
      </c>
      <c r="T1722" s="136"/>
      <c r="U1722" s="135" t="s">
        <v>2855</v>
      </c>
      <c r="V1722" s="135" t="s">
        <v>2856</v>
      </c>
      <c r="W1722" s="135">
        <v>2500.0</v>
      </c>
      <c r="X1722" s="135" t="s">
        <v>3902</v>
      </c>
      <c r="Y1722" s="135"/>
      <c r="Z1722" s="135" t="s">
        <v>2858</v>
      </c>
      <c r="AA1722" s="135"/>
      <c r="AB1722" s="135"/>
      <c r="AC1722" s="135"/>
      <c r="AD1722" s="135" t="e">
        <v>#N/A</v>
      </c>
      <c r="AE1722" s="135"/>
      <c r="AF1722" s="135"/>
      <c r="AG1722" s="135"/>
    </row>
    <row r="1723" ht="21.75" hidden="1" customHeight="1">
      <c r="A1723" s="135">
        <v>1719.0</v>
      </c>
      <c r="B1723" s="135">
        <v>25045.0</v>
      </c>
      <c r="C1723" s="135"/>
      <c r="D1723" s="135">
        <v>8.0</v>
      </c>
      <c r="E1723" s="135" t="s">
        <v>3896</v>
      </c>
      <c r="F1723" s="135" t="s">
        <v>2590</v>
      </c>
      <c r="G1723" s="135" t="s">
        <v>116</v>
      </c>
      <c r="H1723" s="135" t="s">
        <v>2853</v>
      </c>
      <c r="I1723" s="135" t="s">
        <v>124</v>
      </c>
      <c r="J1723" s="135">
        <v>1.0</v>
      </c>
      <c r="K1723" s="135"/>
      <c r="L1723" s="135">
        <v>4930.0</v>
      </c>
      <c r="M1723" s="135">
        <v>2850.0</v>
      </c>
      <c r="N1723" s="135">
        <v>120.0</v>
      </c>
      <c r="O1723" s="135">
        <v>1.894</v>
      </c>
      <c r="P1723" s="136"/>
      <c r="Q1723" s="137">
        <v>4.734999999999999</v>
      </c>
      <c r="R1723" s="136">
        <v>46132.0</v>
      </c>
      <c r="S1723" s="135" t="s">
        <v>3879</v>
      </c>
      <c r="T1723" s="136"/>
      <c r="U1723" s="135" t="s">
        <v>2855</v>
      </c>
      <c r="V1723" s="135" t="s">
        <v>2876</v>
      </c>
      <c r="W1723" s="135">
        <v>1800.0</v>
      </c>
      <c r="X1723" s="135"/>
      <c r="Y1723" s="135"/>
      <c r="Z1723" s="135" t="s">
        <v>2858</v>
      </c>
      <c r="AA1723" s="135"/>
      <c r="AB1723" s="135"/>
      <c r="AC1723" s="135"/>
      <c r="AD1723" s="135">
        <v>46148.0</v>
      </c>
      <c r="AE1723" s="135"/>
      <c r="AF1723" s="135"/>
      <c r="AG1723" s="135"/>
    </row>
    <row r="1724" ht="21.75" hidden="1" customHeight="1">
      <c r="A1724" s="135">
        <v>1720.0</v>
      </c>
      <c r="B1724" s="135">
        <v>25045.0</v>
      </c>
      <c r="C1724" s="135"/>
      <c r="D1724" s="135">
        <v>8.0</v>
      </c>
      <c r="E1724" s="135" t="s">
        <v>3896</v>
      </c>
      <c r="F1724" s="135" t="s">
        <v>2591</v>
      </c>
      <c r="G1724" s="135" t="s">
        <v>116</v>
      </c>
      <c r="H1724" s="135" t="s">
        <v>2853</v>
      </c>
      <c r="I1724" s="135" t="s">
        <v>124</v>
      </c>
      <c r="J1724" s="135">
        <v>1.0</v>
      </c>
      <c r="K1724" s="135" t="s">
        <v>3134</v>
      </c>
      <c r="L1724" s="135">
        <v>4538.0</v>
      </c>
      <c r="M1724" s="135">
        <v>2850.0</v>
      </c>
      <c r="N1724" s="135">
        <v>120.0</v>
      </c>
      <c r="O1724" s="135">
        <v>1.782</v>
      </c>
      <c r="P1724" s="136"/>
      <c r="Q1724" s="137">
        <v>4.455</v>
      </c>
      <c r="R1724" s="136">
        <v>46132.0</v>
      </c>
      <c r="S1724" s="135" t="s">
        <v>3879</v>
      </c>
      <c r="T1724" s="136"/>
      <c r="U1724" s="135" t="s">
        <v>2855</v>
      </c>
      <c r="V1724" s="135" t="s">
        <v>2876</v>
      </c>
      <c r="W1724" s="135">
        <v>1800.0</v>
      </c>
      <c r="X1724" s="135"/>
      <c r="Y1724" s="135"/>
      <c r="Z1724" s="135" t="s">
        <v>2858</v>
      </c>
      <c r="AA1724" s="135"/>
      <c r="AB1724" s="135"/>
      <c r="AC1724" s="135"/>
      <c r="AD1724" s="135">
        <v>46146.0</v>
      </c>
      <c r="AE1724" s="135"/>
      <c r="AF1724" s="135"/>
      <c r="AG1724" s="135"/>
    </row>
    <row r="1725" ht="21.75" hidden="1" customHeight="1">
      <c r="A1725" s="135">
        <v>1721.0</v>
      </c>
      <c r="B1725" s="135">
        <v>25045.0</v>
      </c>
      <c r="C1725" s="135"/>
      <c r="D1725" s="135">
        <v>8.0</v>
      </c>
      <c r="E1725" s="135" t="s">
        <v>3896</v>
      </c>
      <c r="F1725" s="135" t="s">
        <v>2592</v>
      </c>
      <c r="G1725" s="135" t="s">
        <v>116</v>
      </c>
      <c r="H1725" s="135" t="s">
        <v>2853</v>
      </c>
      <c r="I1725" s="135" t="s">
        <v>124</v>
      </c>
      <c r="J1725" s="135">
        <v>1.0</v>
      </c>
      <c r="K1725" s="135" t="s">
        <v>3134</v>
      </c>
      <c r="L1725" s="135">
        <v>4538.0</v>
      </c>
      <c r="M1725" s="135">
        <v>2850.0</v>
      </c>
      <c r="N1725" s="135">
        <v>120.0</v>
      </c>
      <c r="O1725" s="135">
        <v>1.782</v>
      </c>
      <c r="P1725" s="136"/>
      <c r="Q1725" s="137">
        <v>4.455</v>
      </c>
      <c r="R1725" s="136">
        <v>46132.0</v>
      </c>
      <c r="S1725" s="135" t="s">
        <v>3879</v>
      </c>
      <c r="T1725" s="136"/>
      <c r="U1725" s="135" t="s">
        <v>2855</v>
      </c>
      <c r="V1725" s="135" t="s">
        <v>2876</v>
      </c>
      <c r="W1725" s="135">
        <v>1800.0</v>
      </c>
      <c r="X1725" s="135"/>
      <c r="Y1725" s="135"/>
      <c r="Z1725" s="135" t="s">
        <v>2858</v>
      </c>
      <c r="AA1725" s="135"/>
      <c r="AB1725" s="135"/>
      <c r="AC1725" s="135"/>
      <c r="AD1725" s="135">
        <v>46147.0</v>
      </c>
      <c r="AE1725" s="135"/>
      <c r="AF1725" s="135"/>
      <c r="AG1725" s="135"/>
    </row>
    <row r="1726" ht="21.75" hidden="1" customHeight="1">
      <c r="A1726" s="135">
        <v>1722.0</v>
      </c>
      <c r="B1726" s="135">
        <v>25045.0</v>
      </c>
      <c r="C1726" s="135"/>
      <c r="D1726" s="135">
        <v>8.0</v>
      </c>
      <c r="E1726" s="135" t="s">
        <v>3896</v>
      </c>
      <c r="F1726" s="135" t="s">
        <v>2593</v>
      </c>
      <c r="G1726" s="135" t="s">
        <v>116</v>
      </c>
      <c r="H1726" s="135" t="s">
        <v>2853</v>
      </c>
      <c r="I1726" s="135" t="s">
        <v>124</v>
      </c>
      <c r="J1726" s="135">
        <v>1.0</v>
      </c>
      <c r="K1726" s="135" t="s">
        <v>3134</v>
      </c>
      <c r="L1726" s="135">
        <v>4538.0</v>
      </c>
      <c r="M1726" s="135">
        <v>2850.0</v>
      </c>
      <c r="N1726" s="135">
        <v>120.0</v>
      </c>
      <c r="O1726" s="135">
        <v>1.782</v>
      </c>
      <c r="P1726" s="136"/>
      <c r="Q1726" s="137">
        <v>4.455</v>
      </c>
      <c r="R1726" s="136">
        <v>46132.0</v>
      </c>
      <c r="S1726" s="135" t="s">
        <v>3879</v>
      </c>
      <c r="T1726" s="136"/>
      <c r="U1726" s="135" t="s">
        <v>2855</v>
      </c>
      <c r="V1726" s="135" t="s">
        <v>2876</v>
      </c>
      <c r="W1726" s="135">
        <v>1800.0</v>
      </c>
      <c r="X1726" s="135"/>
      <c r="Y1726" s="135"/>
      <c r="Z1726" s="135" t="s">
        <v>2858</v>
      </c>
      <c r="AA1726" s="135"/>
      <c r="AB1726" s="135"/>
      <c r="AC1726" s="135"/>
      <c r="AD1726" s="135">
        <v>46148.0</v>
      </c>
      <c r="AE1726" s="135"/>
      <c r="AF1726" s="135"/>
      <c r="AG1726" s="135"/>
    </row>
    <row r="1727" ht="21.75" hidden="1" customHeight="1">
      <c r="A1727" s="135">
        <v>1723.0</v>
      </c>
      <c r="B1727" s="135">
        <v>25045.0</v>
      </c>
      <c r="C1727" s="135"/>
      <c r="D1727" s="135">
        <v>8.0</v>
      </c>
      <c r="E1727" s="135" t="s">
        <v>3899</v>
      </c>
      <c r="F1727" s="135" t="s">
        <v>2598</v>
      </c>
      <c r="G1727" s="135" t="s">
        <v>116</v>
      </c>
      <c r="H1727" s="135" t="s">
        <v>2853</v>
      </c>
      <c r="I1727" s="135" t="s">
        <v>125</v>
      </c>
      <c r="J1727" s="135">
        <v>1.0</v>
      </c>
      <c r="K1727" s="135" t="s">
        <v>3134</v>
      </c>
      <c r="L1727" s="135">
        <v>4538.0</v>
      </c>
      <c r="M1727" s="135">
        <v>2850.0</v>
      </c>
      <c r="N1727" s="135">
        <v>120.0</v>
      </c>
      <c r="O1727" s="135">
        <v>1.782</v>
      </c>
      <c r="P1727" s="136"/>
      <c r="Q1727" s="137">
        <v>4.455</v>
      </c>
      <c r="R1727" s="136">
        <v>46132.0</v>
      </c>
      <c r="S1727" s="135" t="s">
        <v>3879</v>
      </c>
      <c r="T1727" s="136"/>
      <c r="U1727" s="135" t="s">
        <v>2855</v>
      </c>
      <c r="V1727" s="135" t="s">
        <v>2876</v>
      </c>
      <c r="W1727" s="135">
        <v>1800.0</v>
      </c>
      <c r="X1727" s="135"/>
      <c r="Y1727" s="135"/>
      <c r="Z1727" s="135" t="s">
        <v>2858</v>
      </c>
      <c r="AA1727" s="135"/>
      <c r="AB1727" s="135"/>
      <c r="AC1727" s="135"/>
      <c r="AD1727" s="135">
        <v>46149.0</v>
      </c>
      <c r="AE1727" s="135"/>
      <c r="AF1727" s="135"/>
      <c r="AG1727" s="135"/>
    </row>
    <row r="1728" ht="21.75" hidden="1" customHeight="1">
      <c r="A1728" s="135">
        <v>1724.0</v>
      </c>
      <c r="B1728" s="135">
        <v>25045.0</v>
      </c>
      <c r="C1728" s="135"/>
      <c r="D1728" s="135">
        <v>8.0</v>
      </c>
      <c r="E1728" s="135" t="s">
        <v>3899</v>
      </c>
      <c r="F1728" s="135" t="s">
        <v>2599</v>
      </c>
      <c r="G1728" s="135" t="s">
        <v>116</v>
      </c>
      <c r="H1728" s="135" t="s">
        <v>2853</v>
      </c>
      <c r="I1728" s="135" t="s">
        <v>125</v>
      </c>
      <c r="J1728" s="135">
        <v>1.0</v>
      </c>
      <c r="K1728" s="135" t="s">
        <v>3134</v>
      </c>
      <c r="L1728" s="135">
        <v>4538.0</v>
      </c>
      <c r="M1728" s="135">
        <v>2850.0</v>
      </c>
      <c r="N1728" s="135">
        <v>120.0</v>
      </c>
      <c r="O1728" s="135">
        <v>1.782</v>
      </c>
      <c r="P1728" s="136"/>
      <c r="Q1728" s="137">
        <v>4.455</v>
      </c>
      <c r="R1728" s="136">
        <v>46132.0</v>
      </c>
      <c r="S1728" s="135" t="s">
        <v>3879</v>
      </c>
      <c r="T1728" s="136"/>
      <c r="U1728" s="135" t="s">
        <v>2855</v>
      </c>
      <c r="V1728" s="135" t="s">
        <v>2876</v>
      </c>
      <c r="W1728" s="135">
        <v>1800.0</v>
      </c>
      <c r="X1728" s="135"/>
      <c r="Y1728" s="135"/>
      <c r="Z1728" s="135" t="s">
        <v>2858</v>
      </c>
      <c r="AA1728" s="135"/>
      <c r="AB1728" s="135"/>
      <c r="AC1728" s="135"/>
      <c r="AD1728" s="135">
        <v>46150.0</v>
      </c>
      <c r="AE1728" s="135"/>
      <c r="AF1728" s="135"/>
      <c r="AG1728" s="135"/>
    </row>
    <row r="1729" ht="21.75" hidden="1" customHeight="1">
      <c r="A1729" s="135">
        <v>1725.0</v>
      </c>
      <c r="B1729" s="135">
        <v>25045.0</v>
      </c>
      <c r="C1729" s="135"/>
      <c r="D1729" s="135">
        <v>8.0</v>
      </c>
      <c r="E1729" s="135" t="s">
        <v>3899</v>
      </c>
      <c r="F1729" s="135" t="s">
        <v>2600</v>
      </c>
      <c r="G1729" s="135" t="s">
        <v>116</v>
      </c>
      <c r="H1729" s="135" t="s">
        <v>2853</v>
      </c>
      <c r="I1729" s="135" t="s">
        <v>125</v>
      </c>
      <c r="J1729" s="135">
        <v>1.0</v>
      </c>
      <c r="K1729" s="135" t="s">
        <v>3134</v>
      </c>
      <c r="L1729" s="135">
        <v>4538.0</v>
      </c>
      <c r="M1729" s="135">
        <v>2850.0</v>
      </c>
      <c r="N1729" s="135">
        <v>120.0</v>
      </c>
      <c r="O1729" s="135">
        <v>1.782</v>
      </c>
      <c r="P1729" s="136"/>
      <c r="Q1729" s="137">
        <v>4.455</v>
      </c>
      <c r="R1729" s="136">
        <v>46132.0</v>
      </c>
      <c r="S1729" s="135" t="s">
        <v>3879</v>
      </c>
      <c r="T1729" s="136"/>
      <c r="U1729" s="135" t="s">
        <v>2855</v>
      </c>
      <c r="V1729" s="135" t="s">
        <v>2876</v>
      </c>
      <c r="W1729" s="135">
        <v>1800.0</v>
      </c>
      <c r="X1729" s="135"/>
      <c r="Y1729" s="135"/>
      <c r="Z1729" s="135" t="s">
        <v>2858</v>
      </c>
      <c r="AA1729" s="135"/>
      <c r="AB1729" s="135"/>
      <c r="AC1729" s="135"/>
      <c r="AD1729" s="135">
        <v>46151.0</v>
      </c>
      <c r="AE1729" s="135"/>
      <c r="AF1729" s="135"/>
      <c r="AG1729" s="135"/>
    </row>
    <row r="1730" ht="21.75" hidden="1" customHeight="1">
      <c r="A1730" s="135">
        <v>1726.0</v>
      </c>
      <c r="B1730" s="135">
        <v>25045.0</v>
      </c>
      <c r="C1730" s="135"/>
      <c r="D1730" s="135">
        <v>8.0</v>
      </c>
      <c r="E1730" s="135" t="s">
        <v>3896</v>
      </c>
      <c r="F1730" s="135" t="s">
        <v>2594</v>
      </c>
      <c r="G1730" s="135" t="s">
        <v>116</v>
      </c>
      <c r="H1730" s="135" t="s">
        <v>2853</v>
      </c>
      <c r="I1730" s="135" t="s">
        <v>124</v>
      </c>
      <c r="J1730" s="135">
        <v>1.0</v>
      </c>
      <c r="K1730" s="135"/>
      <c r="L1730" s="135">
        <v>4538.0</v>
      </c>
      <c r="M1730" s="135">
        <v>2850.0</v>
      </c>
      <c r="N1730" s="135">
        <v>120.0</v>
      </c>
      <c r="O1730" s="135">
        <v>1.613</v>
      </c>
      <c r="P1730" s="136"/>
      <c r="Q1730" s="137">
        <v>4.0325</v>
      </c>
      <c r="R1730" s="136">
        <v>46132.0</v>
      </c>
      <c r="S1730" s="135" t="s">
        <v>3879</v>
      </c>
      <c r="T1730" s="136"/>
      <c r="U1730" s="135" t="s">
        <v>2864</v>
      </c>
      <c r="V1730" s="135" t="s">
        <v>2985</v>
      </c>
      <c r="W1730" s="135"/>
      <c r="X1730" s="135" t="s">
        <v>2895</v>
      </c>
      <c r="Y1730" s="135"/>
      <c r="Z1730" s="135" t="s">
        <v>2858</v>
      </c>
      <c r="AA1730" s="135"/>
      <c r="AB1730" s="135"/>
      <c r="AC1730" s="135"/>
      <c r="AD1730" s="135">
        <v>46154.0</v>
      </c>
      <c r="AE1730" s="135"/>
      <c r="AF1730" s="135"/>
      <c r="AG1730" s="135"/>
    </row>
    <row r="1731" ht="21.75" hidden="1" customHeight="1">
      <c r="A1731" s="135">
        <v>1727.0</v>
      </c>
      <c r="B1731" s="135">
        <v>25045.0</v>
      </c>
      <c r="C1731" s="135"/>
      <c r="D1731" s="135">
        <v>8.0</v>
      </c>
      <c r="E1731" s="135" t="s">
        <v>3896</v>
      </c>
      <c r="F1731" s="135" t="s">
        <v>2595</v>
      </c>
      <c r="G1731" s="135" t="s">
        <v>116</v>
      </c>
      <c r="H1731" s="135" t="s">
        <v>2853</v>
      </c>
      <c r="I1731" s="135" t="s">
        <v>124</v>
      </c>
      <c r="J1731" s="135">
        <v>1.0</v>
      </c>
      <c r="K1731" s="135"/>
      <c r="L1731" s="135">
        <v>1635.0</v>
      </c>
      <c r="M1731" s="135">
        <v>950.0</v>
      </c>
      <c r="N1731" s="135">
        <v>120.0</v>
      </c>
      <c r="O1731" s="135">
        <v>0.34</v>
      </c>
      <c r="P1731" s="136"/>
      <c r="Q1731" s="137">
        <v>0.8500000000000001</v>
      </c>
      <c r="R1731" s="136">
        <v>46132.0</v>
      </c>
      <c r="S1731" s="135" t="s">
        <v>3879</v>
      </c>
      <c r="T1731" s="136"/>
      <c r="U1731" s="135" t="s">
        <v>2864</v>
      </c>
      <c r="V1731" s="135" t="s">
        <v>2953</v>
      </c>
      <c r="W1731" s="135"/>
      <c r="X1731" s="135"/>
      <c r="Y1731" s="135"/>
      <c r="Z1731" s="135" t="s">
        <v>2858</v>
      </c>
      <c r="AA1731" s="135"/>
      <c r="AB1731" s="135"/>
      <c r="AC1731" s="135" t="s">
        <v>2863</v>
      </c>
      <c r="AD1731" s="135" t="e">
        <v>#N/A</v>
      </c>
      <c r="AE1731" s="135"/>
      <c r="AF1731" s="135"/>
      <c r="AG1731" s="135"/>
    </row>
    <row r="1732" ht="21.75" hidden="1" customHeight="1">
      <c r="A1732" s="135">
        <v>1728.0</v>
      </c>
      <c r="B1732" s="135">
        <v>25045.0</v>
      </c>
      <c r="C1732" s="135"/>
      <c r="D1732" s="135">
        <v>8.0</v>
      </c>
      <c r="E1732" s="135" t="s">
        <v>3896</v>
      </c>
      <c r="F1732" s="135" t="s">
        <v>2596</v>
      </c>
      <c r="G1732" s="135" t="s">
        <v>116</v>
      </c>
      <c r="H1732" s="135" t="s">
        <v>2965</v>
      </c>
      <c r="I1732" s="135" t="s">
        <v>124</v>
      </c>
      <c r="J1732" s="135">
        <v>1.0</v>
      </c>
      <c r="K1732" s="135"/>
      <c r="L1732" s="135">
        <v>400.0</v>
      </c>
      <c r="M1732" s="135">
        <v>2580.0</v>
      </c>
      <c r="N1732" s="135">
        <v>350.0</v>
      </c>
      <c r="O1732" s="135">
        <v>0.466</v>
      </c>
      <c r="P1732" s="136"/>
      <c r="Q1732" s="137">
        <v>1.165</v>
      </c>
      <c r="R1732" s="136">
        <v>46132.0</v>
      </c>
      <c r="S1732" s="135" t="s">
        <v>3879</v>
      </c>
      <c r="T1732" s="136"/>
      <c r="U1732" s="135" t="s">
        <v>2966</v>
      </c>
      <c r="V1732" s="135" t="s">
        <v>2967</v>
      </c>
      <c r="W1732" s="135"/>
      <c r="X1732" s="135"/>
      <c r="Y1732" s="135"/>
      <c r="Z1732" s="135" t="s">
        <v>2858</v>
      </c>
      <c r="AA1732" s="135"/>
      <c r="AB1732" s="135"/>
      <c r="AC1732" s="135" t="s">
        <v>2863</v>
      </c>
      <c r="AD1732" s="135" t="e">
        <v>#N/A</v>
      </c>
      <c r="AE1732" s="135"/>
      <c r="AF1732" s="135"/>
      <c r="AG1732" s="135"/>
    </row>
    <row r="1733" ht="21.75" hidden="1" customHeight="1">
      <c r="A1733" s="135">
        <v>1729.0</v>
      </c>
      <c r="B1733" s="135">
        <v>25045.0</v>
      </c>
      <c r="C1733" s="135" t="s">
        <v>2817</v>
      </c>
      <c r="D1733" s="135">
        <v>8.0</v>
      </c>
      <c r="E1733" s="135" t="s">
        <v>3899</v>
      </c>
      <c r="F1733" s="135" t="s">
        <v>2601</v>
      </c>
      <c r="G1733" s="135" t="s">
        <v>116</v>
      </c>
      <c r="H1733" s="135" t="s">
        <v>2853</v>
      </c>
      <c r="I1733" s="135" t="s">
        <v>125</v>
      </c>
      <c r="J1733" s="135">
        <v>1.0</v>
      </c>
      <c r="K1733" s="135"/>
      <c r="L1733" s="135">
        <v>5247.0</v>
      </c>
      <c r="M1733" s="135">
        <v>1350.0</v>
      </c>
      <c r="N1733" s="135">
        <v>120.0</v>
      </c>
      <c r="O1733" s="135">
        <v>0.937</v>
      </c>
      <c r="P1733" s="136"/>
      <c r="Q1733" s="137">
        <v>2.3425000000000002</v>
      </c>
      <c r="R1733" s="136">
        <v>46132.0</v>
      </c>
      <c r="S1733" s="135" t="s">
        <v>3879</v>
      </c>
      <c r="T1733" s="136"/>
      <c r="U1733" s="135" t="s">
        <v>2855</v>
      </c>
      <c r="V1733" s="135" t="s">
        <v>2856</v>
      </c>
      <c r="W1733" s="135">
        <v>1800.0</v>
      </c>
      <c r="X1733" s="135"/>
      <c r="Y1733" s="135"/>
      <c r="Z1733" s="135" t="s">
        <v>2858</v>
      </c>
      <c r="AA1733" s="135"/>
      <c r="AB1733" s="135"/>
      <c r="AC1733" s="135"/>
      <c r="AD1733" s="135" t="e">
        <v>#N/A</v>
      </c>
      <c r="AE1733" s="135"/>
      <c r="AF1733" s="135"/>
      <c r="AG1733" s="135"/>
    </row>
    <row r="1734" ht="21.75" hidden="1" customHeight="1">
      <c r="A1734" s="135">
        <v>1730.0</v>
      </c>
      <c r="B1734" s="135">
        <v>25045.0</v>
      </c>
      <c r="C1734" s="135" t="s">
        <v>2817</v>
      </c>
      <c r="D1734" s="135">
        <v>8.0</v>
      </c>
      <c r="E1734" s="135" t="s">
        <v>3899</v>
      </c>
      <c r="F1734" s="135" t="s">
        <v>2602</v>
      </c>
      <c r="G1734" s="135" t="s">
        <v>116</v>
      </c>
      <c r="H1734" s="135" t="s">
        <v>2853</v>
      </c>
      <c r="I1734" s="135" t="s">
        <v>125</v>
      </c>
      <c r="J1734" s="135">
        <v>1.0</v>
      </c>
      <c r="K1734" s="135"/>
      <c r="L1734" s="135">
        <v>5247.0</v>
      </c>
      <c r="M1734" s="135">
        <v>1350.0</v>
      </c>
      <c r="N1734" s="135">
        <v>120.0</v>
      </c>
      <c r="O1734" s="135">
        <v>0.937</v>
      </c>
      <c r="P1734" s="136"/>
      <c r="Q1734" s="137">
        <v>2.3425000000000002</v>
      </c>
      <c r="R1734" s="136">
        <v>46132.0</v>
      </c>
      <c r="S1734" s="135" t="s">
        <v>3879</v>
      </c>
      <c r="T1734" s="136"/>
      <c r="U1734" s="135" t="s">
        <v>2855</v>
      </c>
      <c r="V1734" s="135" t="s">
        <v>2856</v>
      </c>
      <c r="W1734" s="135">
        <v>1800.0</v>
      </c>
      <c r="X1734" s="135"/>
      <c r="Y1734" s="135"/>
      <c r="Z1734" s="135" t="s">
        <v>2858</v>
      </c>
      <c r="AA1734" s="135"/>
      <c r="AB1734" s="135"/>
      <c r="AC1734" s="135"/>
      <c r="AD1734" s="135" t="e">
        <v>#N/A</v>
      </c>
      <c r="AE1734" s="135"/>
      <c r="AF1734" s="135"/>
      <c r="AG1734" s="135"/>
    </row>
    <row r="1735" ht="21.75" hidden="1" customHeight="1">
      <c r="A1735" s="135">
        <v>1731.0</v>
      </c>
      <c r="B1735" s="135">
        <v>25045.0</v>
      </c>
      <c r="C1735" s="135" t="s">
        <v>2817</v>
      </c>
      <c r="D1735" s="135">
        <v>8.0</v>
      </c>
      <c r="E1735" s="135" t="s">
        <v>3899</v>
      </c>
      <c r="F1735" s="135" t="s">
        <v>2603</v>
      </c>
      <c r="G1735" s="135" t="s">
        <v>116</v>
      </c>
      <c r="H1735" s="135" t="s">
        <v>2853</v>
      </c>
      <c r="I1735" s="135" t="s">
        <v>125</v>
      </c>
      <c r="J1735" s="135">
        <v>1.0</v>
      </c>
      <c r="K1735" s="135" t="s">
        <v>3134</v>
      </c>
      <c r="L1735" s="135">
        <v>3205.0</v>
      </c>
      <c r="M1735" s="135">
        <v>1350.0</v>
      </c>
      <c r="N1735" s="135">
        <v>120.0</v>
      </c>
      <c r="O1735" s="135">
        <v>0.518</v>
      </c>
      <c r="P1735" s="136"/>
      <c r="Q1735" s="137">
        <v>1.295</v>
      </c>
      <c r="R1735" s="136">
        <v>46132.0</v>
      </c>
      <c r="S1735" s="135" t="s">
        <v>3879</v>
      </c>
      <c r="T1735" s="136"/>
      <c r="U1735" s="135" t="s">
        <v>2864</v>
      </c>
      <c r="V1735" s="135" t="s">
        <v>2856</v>
      </c>
      <c r="W1735" s="135"/>
      <c r="X1735" s="135"/>
      <c r="Y1735" s="135"/>
      <c r="Z1735" s="135" t="s">
        <v>2858</v>
      </c>
      <c r="AA1735" s="135"/>
      <c r="AB1735" s="135"/>
      <c r="AC1735" s="135"/>
      <c r="AD1735" s="135" t="e">
        <v>#N/A</v>
      </c>
      <c r="AE1735" s="135"/>
      <c r="AF1735" s="135"/>
      <c r="AG1735" s="135"/>
    </row>
    <row r="1736" ht="21.75" hidden="1" customHeight="1">
      <c r="A1736" s="135">
        <v>1732.0</v>
      </c>
      <c r="B1736" s="135">
        <v>25045.0</v>
      </c>
      <c r="C1736" s="135" t="s">
        <v>2817</v>
      </c>
      <c r="D1736" s="135">
        <v>8.0</v>
      </c>
      <c r="E1736" s="135" t="s">
        <v>3899</v>
      </c>
      <c r="F1736" s="135" t="s">
        <v>2604</v>
      </c>
      <c r="G1736" s="135" t="s">
        <v>116</v>
      </c>
      <c r="H1736" s="135" t="s">
        <v>2853</v>
      </c>
      <c r="I1736" s="135" t="s">
        <v>125</v>
      </c>
      <c r="J1736" s="135">
        <v>1.0</v>
      </c>
      <c r="K1736" s="135" t="s">
        <v>3134</v>
      </c>
      <c r="L1736" s="135">
        <v>3205.0</v>
      </c>
      <c r="M1736" s="135">
        <v>1350.0</v>
      </c>
      <c r="N1736" s="135">
        <v>120.0</v>
      </c>
      <c r="O1736" s="135">
        <v>0.518</v>
      </c>
      <c r="P1736" s="136"/>
      <c r="Q1736" s="137">
        <v>1.295</v>
      </c>
      <c r="R1736" s="136">
        <v>46132.0</v>
      </c>
      <c r="S1736" s="135" t="s">
        <v>3879</v>
      </c>
      <c r="T1736" s="136"/>
      <c r="U1736" s="135" t="s">
        <v>2864</v>
      </c>
      <c r="V1736" s="135" t="s">
        <v>2856</v>
      </c>
      <c r="W1736" s="135"/>
      <c r="X1736" s="135"/>
      <c r="Y1736" s="135"/>
      <c r="Z1736" s="135" t="s">
        <v>2858</v>
      </c>
      <c r="AA1736" s="135"/>
      <c r="AB1736" s="135"/>
      <c r="AC1736" s="135"/>
      <c r="AD1736" s="135" t="e">
        <v>#N/A</v>
      </c>
      <c r="AE1736" s="135"/>
      <c r="AF1736" s="135"/>
      <c r="AG1736" s="135"/>
    </row>
    <row r="1737" ht="21.75" hidden="1" customHeight="1">
      <c r="A1737" s="135">
        <v>1733.0</v>
      </c>
      <c r="B1737" s="135">
        <v>25045.0</v>
      </c>
      <c r="C1737" s="135" t="s">
        <v>2817</v>
      </c>
      <c r="D1737" s="135">
        <v>8.0</v>
      </c>
      <c r="E1737" s="135" t="s">
        <v>3899</v>
      </c>
      <c r="F1737" s="135" t="s">
        <v>2605</v>
      </c>
      <c r="G1737" s="135" t="s">
        <v>116</v>
      </c>
      <c r="H1737" s="135" t="s">
        <v>2853</v>
      </c>
      <c r="I1737" s="135" t="s">
        <v>125</v>
      </c>
      <c r="J1737" s="135">
        <v>1.0</v>
      </c>
      <c r="K1737" s="135"/>
      <c r="L1737" s="135">
        <v>3205.0</v>
      </c>
      <c r="M1737" s="135">
        <v>2880.0</v>
      </c>
      <c r="N1737" s="135">
        <v>120.0</v>
      </c>
      <c r="O1737" s="135">
        <v>0.59</v>
      </c>
      <c r="P1737" s="136"/>
      <c r="Q1737" s="137">
        <v>1.4749999999999999</v>
      </c>
      <c r="R1737" s="136">
        <v>46132.0</v>
      </c>
      <c r="S1737" s="135" t="s">
        <v>3879</v>
      </c>
      <c r="T1737" s="136"/>
      <c r="U1737" s="135" t="s">
        <v>2864</v>
      </c>
      <c r="V1737" s="135" t="s">
        <v>2856</v>
      </c>
      <c r="W1737" s="135"/>
      <c r="X1737" s="135" t="s">
        <v>3903</v>
      </c>
      <c r="Y1737" s="135"/>
      <c r="Z1737" s="135" t="s">
        <v>2858</v>
      </c>
      <c r="AA1737" s="135"/>
      <c r="AB1737" s="135"/>
      <c r="AC1737" s="135"/>
      <c r="AD1737" s="135" t="e">
        <v>#N/A</v>
      </c>
      <c r="AE1737" s="135"/>
      <c r="AF1737" s="135"/>
      <c r="AG1737" s="135"/>
    </row>
    <row r="1738" ht="21.75" hidden="1" customHeight="1">
      <c r="A1738" s="135">
        <v>1734.0</v>
      </c>
      <c r="B1738" s="135">
        <v>25045.0</v>
      </c>
      <c r="C1738" s="135"/>
      <c r="D1738" s="135">
        <v>8.0</v>
      </c>
      <c r="E1738" s="135" t="s">
        <v>3899</v>
      </c>
      <c r="F1738" s="135" t="s">
        <v>2606</v>
      </c>
      <c r="G1738" s="135" t="s">
        <v>116</v>
      </c>
      <c r="H1738" s="135" t="s">
        <v>2853</v>
      </c>
      <c r="I1738" s="135" t="s">
        <v>125</v>
      </c>
      <c r="J1738" s="135">
        <v>1.0</v>
      </c>
      <c r="K1738" s="135"/>
      <c r="L1738" s="135">
        <v>4538.0</v>
      </c>
      <c r="M1738" s="135">
        <v>2850.0</v>
      </c>
      <c r="N1738" s="135">
        <v>120.0</v>
      </c>
      <c r="O1738" s="135">
        <v>1.513</v>
      </c>
      <c r="P1738" s="136"/>
      <c r="Q1738" s="137">
        <v>3.7824999999999998</v>
      </c>
      <c r="R1738" s="136">
        <v>46132.0</v>
      </c>
      <c r="S1738" s="135" t="s">
        <v>3879</v>
      </c>
      <c r="T1738" s="136"/>
      <c r="U1738" s="135" t="s">
        <v>2864</v>
      </c>
      <c r="V1738" s="135" t="s">
        <v>2985</v>
      </c>
      <c r="W1738" s="135"/>
      <c r="X1738" s="135" t="s">
        <v>2895</v>
      </c>
      <c r="Y1738" s="135"/>
      <c r="Z1738" s="135" t="s">
        <v>2858</v>
      </c>
      <c r="AA1738" s="135"/>
      <c r="AB1738" s="135"/>
      <c r="AC1738" s="135"/>
      <c r="AD1738" s="135">
        <v>46155.0</v>
      </c>
      <c r="AE1738" s="135"/>
      <c r="AF1738" s="135"/>
      <c r="AG1738" s="135"/>
    </row>
    <row r="1739" ht="21.75" hidden="1" customHeight="1">
      <c r="A1739" s="135">
        <v>1735.0</v>
      </c>
      <c r="B1739" s="135">
        <v>25045.0</v>
      </c>
      <c r="C1739" s="135"/>
      <c r="D1739" s="135">
        <v>8.0</v>
      </c>
      <c r="E1739" s="135" t="s">
        <v>3899</v>
      </c>
      <c r="F1739" s="135" t="s">
        <v>2607</v>
      </c>
      <c r="G1739" s="135" t="s">
        <v>116</v>
      </c>
      <c r="H1739" s="135" t="s">
        <v>2853</v>
      </c>
      <c r="I1739" s="135" t="s">
        <v>125</v>
      </c>
      <c r="J1739" s="135">
        <v>1.0</v>
      </c>
      <c r="K1739" s="135"/>
      <c r="L1739" s="135">
        <v>5000.0</v>
      </c>
      <c r="M1739" s="135">
        <v>2850.0</v>
      </c>
      <c r="N1739" s="135">
        <v>120.0</v>
      </c>
      <c r="O1739" s="135">
        <v>1.914</v>
      </c>
      <c r="P1739" s="136"/>
      <c r="Q1739" s="137">
        <v>4.785</v>
      </c>
      <c r="R1739" s="136">
        <v>46132.0</v>
      </c>
      <c r="S1739" s="135" t="s">
        <v>3879</v>
      </c>
      <c r="T1739" s="136"/>
      <c r="U1739" s="135" t="s">
        <v>2855</v>
      </c>
      <c r="V1739" s="135" t="s">
        <v>2876</v>
      </c>
      <c r="W1739" s="135">
        <v>2500.0</v>
      </c>
      <c r="X1739" s="135"/>
      <c r="Y1739" s="135"/>
      <c r="Z1739" s="135" t="s">
        <v>2858</v>
      </c>
      <c r="AA1739" s="135"/>
      <c r="AB1739" s="135"/>
      <c r="AC1739" s="135"/>
      <c r="AD1739" s="135">
        <v>46148.0</v>
      </c>
      <c r="AE1739" s="135"/>
      <c r="AF1739" s="135"/>
      <c r="AG1739" s="135"/>
    </row>
    <row r="1740" ht="21.75" hidden="1" customHeight="1">
      <c r="A1740" s="135">
        <v>1736.0</v>
      </c>
      <c r="B1740" s="135">
        <v>25045.0</v>
      </c>
      <c r="C1740" s="135"/>
      <c r="D1740" s="135">
        <v>8.0</v>
      </c>
      <c r="E1740" s="135" t="s">
        <v>3899</v>
      </c>
      <c r="F1740" s="135" t="s">
        <v>2608</v>
      </c>
      <c r="G1740" s="135" t="s">
        <v>116</v>
      </c>
      <c r="H1740" s="135" t="s">
        <v>2853</v>
      </c>
      <c r="I1740" s="135" t="s">
        <v>125</v>
      </c>
      <c r="J1740" s="135">
        <v>1.0</v>
      </c>
      <c r="K1740" s="135" t="s">
        <v>3134</v>
      </c>
      <c r="L1740" s="135">
        <v>5000.0</v>
      </c>
      <c r="M1740" s="135">
        <v>2850.0</v>
      </c>
      <c r="N1740" s="135">
        <v>120.0</v>
      </c>
      <c r="O1740" s="135">
        <v>1.914</v>
      </c>
      <c r="P1740" s="136"/>
      <c r="Q1740" s="137">
        <v>4.785</v>
      </c>
      <c r="R1740" s="136">
        <v>46132.0</v>
      </c>
      <c r="S1740" s="135" t="s">
        <v>3879</v>
      </c>
      <c r="T1740" s="136"/>
      <c r="U1740" s="135" t="s">
        <v>2855</v>
      </c>
      <c r="V1740" s="135" t="s">
        <v>2876</v>
      </c>
      <c r="W1740" s="135">
        <v>2500.0</v>
      </c>
      <c r="X1740" s="135"/>
      <c r="Y1740" s="135"/>
      <c r="Z1740" s="135" t="s">
        <v>2858</v>
      </c>
      <c r="AA1740" s="135"/>
      <c r="AB1740" s="135"/>
      <c r="AC1740" s="135"/>
      <c r="AD1740" s="135">
        <v>46151.0</v>
      </c>
      <c r="AE1740" s="135"/>
      <c r="AF1740" s="135"/>
      <c r="AG1740" s="135"/>
    </row>
    <row r="1741" ht="21.75" hidden="1" customHeight="1">
      <c r="A1741" s="135">
        <v>1737.0</v>
      </c>
      <c r="B1741" s="135">
        <v>25045.0</v>
      </c>
      <c r="C1741" s="135"/>
      <c r="D1741" s="135">
        <v>8.0</v>
      </c>
      <c r="E1741" s="135" t="s">
        <v>3897</v>
      </c>
      <c r="F1741" s="135" t="s">
        <v>2647</v>
      </c>
      <c r="G1741" s="135" t="s">
        <v>116</v>
      </c>
      <c r="H1741" s="135" t="s">
        <v>2853</v>
      </c>
      <c r="I1741" s="135" t="s">
        <v>128</v>
      </c>
      <c r="J1741" s="135">
        <v>1.0</v>
      </c>
      <c r="K1741" s="135" t="s">
        <v>3134</v>
      </c>
      <c r="L1741" s="135">
        <v>5000.0</v>
      </c>
      <c r="M1741" s="135">
        <v>2850.0</v>
      </c>
      <c r="N1741" s="135">
        <v>120.0</v>
      </c>
      <c r="O1741" s="135">
        <v>1.914</v>
      </c>
      <c r="P1741" s="136"/>
      <c r="Q1741" s="137">
        <v>4.785</v>
      </c>
      <c r="R1741" s="136">
        <v>46132.0</v>
      </c>
      <c r="S1741" s="135" t="s">
        <v>3879</v>
      </c>
      <c r="T1741" s="136"/>
      <c r="U1741" s="135" t="s">
        <v>2855</v>
      </c>
      <c r="V1741" s="135" t="s">
        <v>2876</v>
      </c>
      <c r="W1741" s="135">
        <v>2500.0</v>
      </c>
      <c r="X1741" s="135"/>
      <c r="Y1741" s="135"/>
      <c r="Z1741" s="135" t="s">
        <v>2858</v>
      </c>
      <c r="AA1741" s="135"/>
      <c r="AB1741" s="135"/>
      <c r="AC1741" s="135"/>
      <c r="AD1741" s="135">
        <v>46153.0</v>
      </c>
      <c r="AE1741" s="135"/>
      <c r="AF1741" s="135"/>
      <c r="AG1741" s="135"/>
    </row>
    <row r="1742" ht="21.75" hidden="1" customHeight="1">
      <c r="A1742" s="135">
        <v>1738.0</v>
      </c>
      <c r="B1742" s="135">
        <v>25045.0</v>
      </c>
      <c r="C1742" s="135"/>
      <c r="D1742" s="135">
        <v>8.0</v>
      </c>
      <c r="E1742" s="135" t="s">
        <v>3899</v>
      </c>
      <c r="F1742" s="135" t="s">
        <v>2609</v>
      </c>
      <c r="G1742" s="135" t="s">
        <v>116</v>
      </c>
      <c r="H1742" s="135" t="s">
        <v>2853</v>
      </c>
      <c r="I1742" s="135" t="s">
        <v>125</v>
      </c>
      <c r="J1742" s="135">
        <v>1.0</v>
      </c>
      <c r="K1742" s="135" t="s">
        <v>3134</v>
      </c>
      <c r="L1742" s="135">
        <v>4587.0</v>
      </c>
      <c r="M1742" s="135">
        <v>2850.0</v>
      </c>
      <c r="N1742" s="135">
        <v>120.0</v>
      </c>
      <c r="O1742" s="135">
        <v>1.81</v>
      </c>
      <c r="P1742" s="136"/>
      <c r="Q1742" s="137">
        <v>4.525</v>
      </c>
      <c r="R1742" s="136">
        <v>46132.0</v>
      </c>
      <c r="S1742" s="135" t="s">
        <v>3879</v>
      </c>
      <c r="T1742" s="136"/>
      <c r="U1742" s="135" t="s">
        <v>2855</v>
      </c>
      <c r="V1742" s="135" t="s">
        <v>2876</v>
      </c>
      <c r="W1742" s="135">
        <v>1800.0</v>
      </c>
      <c r="X1742" s="135"/>
      <c r="Y1742" s="135"/>
      <c r="Z1742" s="135" t="s">
        <v>2858</v>
      </c>
      <c r="AA1742" s="135"/>
      <c r="AB1742" s="135"/>
      <c r="AC1742" s="135"/>
      <c r="AD1742" s="135">
        <v>46146.0</v>
      </c>
      <c r="AE1742" s="135"/>
      <c r="AF1742" s="135"/>
      <c r="AG1742" s="135"/>
    </row>
    <row r="1743" ht="21.75" hidden="1" customHeight="1">
      <c r="A1743" s="135">
        <v>1739.0</v>
      </c>
      <c r="B1743" s="135">
        <v>25045.0</v>
      </c>
      <c r="C1743" s="135"/>
      <c r="D1743" s="135">
        <v>8.0</v>
      </c>
      <c r="E1743" s="135" t="s">
        <v>3899</v>
      </c>
      <c r="F1743" s="135" t="s">
        <v>2610</v>
      </c>
      <c r="G1743" s="135" t="s">
        <v>116</v>
      </c>
      <c r="H1743" s="135" t="s">
        <v>2853</v>
      </c>
      <c r="I1743" s="135" t="s">
        <v>125</v>
      </c>
      <c r="J1743" s="135">
        <v>1.0</v>
      </c>
      <c r="K1743" s="135" t="s">
        <v>3134</v>
      </c>
      <c r="L1743" s="135">
        <v>4587.0</v>
      </c>
      <c r="M1743" s="135">
        <v>2850.0</v>
      </c>
      <c r="N1743" s="135">
        <v>120.0</v>
      </c>
      <c r="O1743" s="135">
        <v>1.81</v>
      </c>
      <c r="P1743" s="136"/>
      <c r="Q1743" s="137">
        <v>4.525</v>
      </c>
      <c r="R1743" s="136">
        <v>46132.0</v>
      </c>
      <c r="S1743" s="135" t="s">
        <v>3879</v>
      </c>
      <c r="T1743" s="136"/>
      <c r="U1743" s="135" t="s">
        <v>2855</v>
      </c>
      <c r="V1743" s="135" t="s">
        <v>2876</v>
      </c>
      <c r="W1743" s="135">
        <v>1800.0</v>
      </c>
      <c r="X1743" s="135"/>
      <c r="Y1743" s="135"/>
      <c r="Z1743" s="135" t="s">
        <v>2858</v>
      </c>
      <c r="AA1743" s="135"/>
      <c r="AB1743" s="135"/>
      <c r="AC1743" s="135"/>
      <c r="AD1743" s="135">
        <v>46147.0</v>
      </c>
      <c r="AE1743" s="135"/>
      <c r="AF1743" s="135"/>
      <c r="AG1743" s="135"/>
    </row>
    <row r="1744" ht="21.75" hidden="1" customHeight="1">
      <c r="A1744" s="135">
        <v>1740.0</v>
      </c>
      <c r="B1744" s="135">
        <v>25045.0</v>
      </c>
      <c r="C1744" s="135"/>
      <c r="D1744" s="135">
        <v>8.0</v>
      </c>
      <c r="E1744" s="135" t="s">
        <v>3899</v>
      </c>
      <c r="F1744" s="135" t="s">
        <v>2611</v>
      </c>
      <c r="G1744" s="135" t="s">
        <v>116</v>
      </c>
      <c r="H1744" s="135" t="s">
        <v>2853</v>
      </c>
      <c r="I1744" s="135" t="s">
        <v>125</v>
      </c>
      <c r="J1744" s="135">
        <v>1.0</v>
      </c>
      <c r="K1744" s="135" t="s">
        <v>3134</v>
      </c>
      <c r="L1744" s="135">
        <v>4587.0</v>
      </c>
      <c r="M1744" s="135">
        <v>2850.0</v>
      </c>
      <c r="N1744" s="135">
        <v>120.0</v>
      </c>
      <c r="O1744" s="135">
        <v>1.81</v>
      </c>
      <c r="P1744" s="136"/>
      <c r="Q1744" s="137">
        <v>4.525</v>
      </c>
      <c r="R1744" s="136">
        <v>46132.0</v>
      </c>
      <c r="S1744" s="135" t="s">
        <v>3879</v>
      </c>
      <c r="T1744" s="136"/>
      <c r="U1744" s="135" t="s">
        <v>2855</v>
      </c>
      <c r="V1744" s="135" t="s">
        <v>2876</v>
      </c>
      <c r="W1744" s="135">
        <v>1800.0</v>
      </c>
      <c r="X1744" s="135"/>
      <c r="Y1744" s="135"/>
      <c r="Z1744" s="135" t="s">
        <v>2858</v>
      </c>
      <c r="AA1744" s="135"/>
      <c r="AB1744" s="135"/>
      <c r="AC1744" s="135"/>
      <c r="AD1744" s="135">
        <v>46148.0</v>
      </c>
      <c r="AE1744" s="135"/>
      <c r="AF1744" s="135"/>
      <c r="AG1744" s="135"/>
    </row>
    <row r="1745" ht="21.75" hidden="1" customHeight="1">
      <c r="A1745" s="135">
        <v>1741.0</v>
      </c>
      <c r="B1745" s="135">
        <v>25045.0</v>
      </c>
      <c r="C1745" s="135"/>
      <c r="D1745" s="135">
        <v>8.0</v>
      </c>
      <c r="E1745" s="135" t="s">
        <v>3900</v>
      </c>
      <c r="F1745" s="135" t="s">
        <v>2616</v>
      </c>
      <c r="G1745" s="135" t="s">
        <v>116</v>
      </c>
      <c r="H1745" s="135" t="s">
        <v>2853</v>
      </c>
      <c r="I1745" s="135" t="s">
        <v>126</v>
      </c>
      <c r="J1745" s="135">
        <v>1.0</v>
      </c>
      <c r="K1745" s="135" t="s">
        <v>3134</v>
      </c>
      <c r="L1745" s="135">
        <v>4587.0</v>
      </c>
      <c r="M1745" s="135">
        <v>2850.0</v>
      </c>
      <c r="N1745" s="135">
        <v>120.0</v>
      </c>
      <c r="O1745" s="135">
        <v>1.81</v>
      </c>
      <c r="P1745" s="136"/>
      <c r="Q1745" s="137">
        <v>4.525</v>
      </c>
      <c r="R1745" s="136">
        <v>46132.0</v>
      </c>
      <c r="S1745" s="135" t="s">
        <v>3879</v>
      </c>
      <c r="T1745" s="136"/>
      <c r="U1745" s="135" t="s">
        <v>2855</v>
      </c>
      <c r="V1745" s="135" t="s">
        <v>2876</v>
      </c>
      <c r="W1745" s="135">
        <v>1800.0</v>
      </c>
      <c r="X1745" s="135"/>
      <c r="Y1745" s="135"/>
      <c r="Z1745" s="135" t="s">
        <v>2858</v>
      </c>
      <c r="AA1745" s="135"/>
      <c r="AB1745" s="135"/>
      <c r="AC1745" s="135"/>
      <c r="AD1745" s="135">
        <v>46149.0</v>
      </c>
      <c r="AE1745" s="135"/>
      <c r="AF1745" s="135"/>
      <c r="AG1745" s="135"/>
    </row>
    <row r="1746" ht="21.75" hidden="1" customHeight="1">
      <c r="A1746" s="135">
        <v>1742.0</v>
      </c>
      <c r="B1746" s="135">
        <v>25045.0</v>
      </c>
      <c r="C1746" s="135"/>
      <c r="D1746" s="135">
        <v>8.0</v>
      </c>
      <c r="E1746" s="135" t="s">
        <v>3900</v>
      </c>
      <c r="F1746" s="135" t="s">
        <v>2617</v>
      </c>
      <c r="G1746" s="135" t="s">
        <v>116</v>
      </c>
      <c r="H1746" s="135" t="s">
        <v>2853</v>
      </c>
      <c r="I1746" s="135" t="s">
        <v>126</v>
      </c>
      <c r="J1746" s="135">
        <v>1.0</v>
      </c>
      <c r="K1746" s="135" t="s">
        <v>3134</v>
      </c>
      <c r="L1746" s="135">
        <v>4587.0</v>
      </c>
      <c r="M1746" s="135">
        <v>2850.0</v>
      </c>
      <c r="N1746" s="135">
        <v>120.0</v>
      </c>
      <c r="O1746" s="135">
        <v>1.81</v>
      </c>
      <c r="P1746" s="136"/>
      <c r="Q1746" s="137">
        <v>4.525</v>
      </c>
      <c r="R1746" s="136">
        <v>46132.0</v>
      </c>
      <c r="S1746" s="135" t="s">
        <v>3879</v>
      </c>
      <c r="T1746" s="136"/>
      <c r="U1746" s="135" t="s">
        <v>2855</v>
      </c>
      <c r="V1746" s="135" t="s">
        <v>2876</v>
      </c>
      <c r="W1746" s="135">
        <v>1800.0</v>
      </c>
      <c r="X1746" s="135"/>
      <c r="Y1746" s="135"/>
      <c r="Z1746" s="135" t="s">
        <v>2858</v>
      </c>
      <c r="AA1746" s="135"/>
      <c r="AB1746" s="135"/>
      <c r="AC1746" s="135"/>
      <c r="AD1746" s="135">
        <v>46150.0</v>
      </c>
      <c r="AE1746" s="135"/>
      <c r="AF1746" s="135"/>
      <c r="AG1746" s="135"/>
    </row>
    <row r="1747" ht="21.75" hidden="1" customHeight="1">
      <c r="A1747" s="135">
        <v>1743.0</v>
      </c>
      <c r="B1747" s="135">
        <v>25045.0</v>
      </c>
      <c r="C1747" s="135"/>
      <c r="D1747" s="135">
        <v>8.0</v>
      </c>
      <c r="E1747" s="135" t="s">
        <v>3900</v>
      </c>
      <c r="F1747" s="135" t="s">
        <v>2618</v>
      </c>
      <c r="G1747" s="135" t="s">
        <v>116</v>
      </c>
      <c r="H1747" s="135" t="s">
        <v>2853</v>
      </c>
      <c r="I1747" s="135" t="s">
        <v>126</v>
      </c>
      <c r="J1747" s="135">
        <v>1.0</v>
      </c>
      <c r="K1747" s="135" t="s">
        <v>3134</v>
      </c>
      <c r="L1747" s="135">
        <v>4587.0</v>
      </c>
      <c r="M1747" s="135">
        <v>2850.0</v>
      </c>
      <c r="N1747" s="135">
        <v>120.0</v>
      </c>
      <c r="O1747" s="135">
        <v>1.81</v>
      </c>
      <c r="P1747" s="136"/>
      <c r="Q1747" s="137">
        <v>4.525</v>
      </c>
      <c r="R1747" s="136">
        <v>46132.0</v>
      </c>
      <c r="S1747" s="135" t="s">
        <v>3879</v>
      </c>
      <c r="T1747" s="136"/>
      <c r="U1747" s="135" t="s">
        <v>2855</v>
      </c>
      <c r="V1747" s="135" t="s">
        <v>2876</v>
      </c>
      <c r="W1747" s="135">
        <v>1800.0</v>
      </c>
      <c r="X1747" s="135"/>
      <c r="Y1747" s="135"/>
      <c r="Z1747" s="135" t="s">
        <v>2858</v>
      </c>
      <c r="AA1747" s="135"/>
      <c r="AB1747" s="135"/>
      <c r="AC1747" s="135"/>
      <c r="AD1747" s="135">
        <v>46151.0</v>
      </c>
      <c r="AE1747" s="135"/>
      <c r="AF1747" s="135"/>
      <c r="AG1747" s="135"/>
    </row>
    <row r="1748" ht="21.75" hidden="1" customHeight="1">
      <c r="A1748" s="135">
        <v>1744.0</v>
      </c>
      <c r="B1748" s="135">
        <v>25045.0</v>
      </c>
      <c r="C1748" s="135"/>
      <c r="D1748" s="135">
        <v>8.0</v>
      </c>
      <c r="E1748" s="135" t="s">
        <v>3899</v>
      </c>
      <c r="F1748" s="135" t="s">
        <v>2612</v>
      </c>
      <c r="G1748" s="135" t="s">
        <v>116</v>
      </c>
      <c r="H1748" s="135" t="s">
        <v>2853</v>
      </c>
      <c r="I1748" s="135" t="s">
        <v>125</v>
      </c>
      <c r="J1748" s="135">
        <v>1.0</v>
      </c>
      <c r="K1748" s="135"/>
      <c r="L1748" s="135">
        <v>4587.0</v>
      </c>
      <c r="M1748" s="135">
        <v>2850.0</v>
      </c>
      <c r="N1748" s="135">
        <v>120.0</v>
      </c>
      <c r="O1748" s="135">
        <v>1.527</v>
      </c>
      <c r="P1748" s="136"/>
      <c r="Q1748" s="137">
        <v>3.8175</v>
      </c>
      <c r="R1748" s="136">
        <v>46132.0</v>
      </c>
      <c r="S1748" s="135" t="s">
        <v>3879</v>
      </c>
      <c r="T1748" s="136"/>
      <c r="U1748" s="135" t="s">
        <v>2864</v>
      </c>
      <c r="V1748" s="135" t="s">
        <v>2985</v>
      </c>
      <c r="W1748" s="135"/>
      <c r="X1748" s="135" t="s">
        <v>2892</v>
      </c>
      <c r="Y1748" s="135"/>
      <c r="Z1748" s="135" t="s">
        <v>2858</v>
      </c>
      <c r="AA1748" s="135"/>
      <c r="AB1748" s="135"/>
      <c r="AC1748" s="135"/>
      <c r="AD1748" s="135">
        <v>46153.0</v>
      </c>
      <c r="AE1748" s="135"/>
      <c r="AF1748" s="135"/>
      <c r="AG1748" s="135"/>
    </row>
    <row r="1749" ht="21.75" hidden="1" customHeight="1">
      <c r="A1749" s="135">
        <v>1745.0</v>
      </c>
      <c r="B1749" s="135">
        <v>25045.0</v>
      </c>
      <c r="C1749" s="135"/>
      <c r="D1749" s="135">
        <v>8.0</v>
      </c>
      <c r="E1749" s="135" t="s">
        <v>3899</v>
      </c>
      <c r="F1749" s="135" t="s">
        <v>2613</v>
      </c>
      <c r="G1749" s="135" t="s">
        <v>116</v>
      </c>
      <c r="H1749" s="135" t="s">
        <v>2853</v>
      </c>
      <c r="I1749" s="135" t="s">
        <v>125</v>
      </c>
      <c r="J1749" s="135">
        <v>1.0</v>
      </c>
      <c r="K1749" s="135"/>
      <c r="L1749" s="135">
        <v>1620.0</v>
      </c>
      <c r="M1749" s="135">
        <v>970.0</v>
      </c>
      <c r="N1749" s="135">
        <v>120.0</v>
      </c>
      <c r="O1749" s="135">
        <v>0.34</v>
      </c>
      <c r="P1749" s="136"/>
      <c r="Q1749" s="137">
        <v>0.8500000000000001</v>
      </c>
      <c r="R1749" s="136">
        <v>46132.0</v>
      </c>
      <c r="S1749" s="135" t="s">
        <v>3879</v>
      </c>
      <c r="T1749" s="136"/>
      <c r="U1749" s="135" t="s">
        <v>2864</v>
      </c>
      <c r="V1749" s="135" t="s">
        <v>2953</v>
      </c>
      <c r="W1749" s="135"/>
      <c r="X1749" s="135"/>
      <c r="Y1749" s="135"/>
      <c r="Z1749" s="135" t="s">
        <v>2858</v>
      </c>
      <c r="AA1749" s="135"/>
      <c r="AB1749" s="135"/>
      <c r="AC1749" s="135" t="s">
        <v>2863</v>
      </c>
      <c r="AD1749" s="135" t="e">
        <v>#N/A</v>
      </c>
      <c r="AE1749" s="135"/>
      <c r="AF1749" s="135"/>
      <c r="AG1749" s="135"/>
    </row>
    <row r="1750" ht="21.75" hidden="1" customHeight="1">
      <c r="A1750" s="135">
        <v>1746.0</v>
      </c>
      <c r="B1750" s="135">
        <v>25045.0</v>
      </c>
      <c r="C1750" s="135"/>
      <c r="D1750" s="135">
        <v>8.0</v>
      </c>
      <c r="E1750" s="135" t="s">
        <v>3899</v>
      </c>
      <c r="F1750" s="135" t="s">
        <v>2614</v>
      </c>
      <c r="G1750" s="135" t="s">
        <v>116</v>
      </c>
      <c r="H1750" s="135" t="s">
        <v>2965</v>
      </c>
      <c r="I1750" s="135" t="s">
        <v>125</v>
      </c>
      <c r="J1750" s="135">
        <v>1.0</v>
      </c>
      <c r="K1750" s="135"/>
      <c r="L1750" s="135">
        <v>400.0</v>
      </c>
      <c r="M1750" s="135">
        <v>2590.0</v>
      </c>
      <c r="N1750" s="135">
        <v>350.0</v>
      </c>
      <c r="O1750" s="135">
        <v>0.466</v>
      </c>
      <c r="P1750" s="136"/>
      <c r="Q1750" s="137">
        <v>1.165</v>
      </c>
      <c r="R1750" s="136">
        <v>46132.0</v>
      </c>
      <c r="S1750" s="135" t="s">
        <v>3879</v>
      </c>
      <c r="T1750" s="136"/>
      <c r="U1750" s="135" t="s">
        <v>2966</v>
      </c>
      <c r="V1750" s="135" t="s">
        <v>2967</v>
      </c>
      <c r="W1750" s="135"/>
      <c r="X1750" s="135" t="s">
        <v>2969</v>
      </c>
      <c r="Y1750" s="135"/>
      <c r="Z1750" s="135" t="s">
        <v>2858</v>
      </c>
      <c r="AA1750" s="135"/>
      <c r="AB1750" s="135"/>
      <c r="AC1750" s="135" t="s">
        <v>2863</v>
      </c>
      <c r="AD1750" s="135" t="e">
        <v>#N/A</v>
      </c>
      <c r="AE1750" s="135"/>
      <c r="AF1750" s="135"/>
      <c r="AG1750" s="135"/>
    </row>
    <row r="1751" ht="21.75" hidden="1" customHeight="1">
      <c r="A1751" s="135">
        <v>1747.0</v>
      </c>
      <c r="B1751" s="135">
        <v>25045.0</v>
      </c>
      <c r="C1751" s="135" t="s">
        <v>2817</v>
      </c>
      <c r="D1751" s="135">
        <v>8.0</v>
      </c>
      <c r="E1751" s="135" t="s">
        <v>3900</v>
      </c>
      <c r="F1751" s="135" t="s">
        <v>2619</v>
      </c>
      <c r="G1751" s="135" t="s">
        <v>116</v>
      </c>
      <c r="H1751" s="135" t="s">
        <v>2853</v>
      </c>
      <c r="I1751" s="135" t="s">
        <v>126</v>
      </c>
      <c r="J1751" s="135">
        <v>1.0</v>
      </c>
      <c r="K1751" s="135" t="s">
        <v>3134</v>
      </c>
      <c r="L1751" s="135">
        <v>2847.0</v>
      </c>
      <c r="M1751" s="135">
        <v>1350.0</v>
      </c>
      <c r="N1751" s="135">
        <v>120.0</v>
      </c>
      <c r="O1751" s="135">
        <v>0.487</v>
      </c>
      <c r="P1751" s="136"/>
      <c r="Q1751" s="137">
        <v>1.2175</v>
      </c>
      <c r="R1751" s="136">
        <v>46132.0</v>
      </c>
      <c r="S1751" s="135" t="s">
        <v>3879</v>
      </c>
      <c r="T1751" s="136"/>
      <c r="U1751" s="135" t="s">
        <v>2864</v>
      </c>
      <c r="V1751" s="135" t="s">
        <v>2856</v>
      </c>
      <c r="W1751" s="135"/>
      <c r="X1751" s="135"/>
      <c r="Y1751" s="135"/>
      <c r="Z1751" s="135" t="s">
        <v>2858</v>
      </c>
      <c r="AA1751" s="135"/>
      <c r="AB1751" s="135"/>
      <c r="AC1751" s="135"/>
      <c r="AD1751" s="135" t="e">
        <v>#N/A</v>
      </c>
      <c r="AE1751" s="135"/>
      <c r="AF1751" s="135"/>
      <c r="AG1751" s="135"/>
    </row>
    <row r="1752" ht="21.75" hidden="1" customHeight="1">
      <c r="A1752" s="135">
        <v>1748.0</v>
      </c>
      <c r="B1752" s="135">
        <v>25045.0</v>
      </c>
      <c r="C1752" s="135" t="s">
        <v>2817</v>
      </c>
      <c r="D1752" s="135">
        <v>8.0</v>
      </c>
      <c r="E1752" s="135" t="s">
        <v>3900</v>
      </c>
      <c r="F1752" s="135" t="s">
        <v>2620</v>
      </c>
      <c r="G1752" s="135" t="s">
        <v>116</v>
      </c>
      <c r="H1752" s="135" t="s">
        <v>2853</v>
      </c>
      <c r="I1752" s="135" t="s">
        <v>126</v>
      </c>
      <c r="J1752" s="135">
        <v>1.0</v>
      </c>
      <c r="K1752" s="135" t="s">
        <v>3134</v>
      </c>
      <c r="L1752" s="135">
        <v>2847.0</v>
      </c>
      <c r="M1752" s="135">
        <v>1350.0</v>
      </c>
      <c r="N1752" s="135">
        <v>120.0</v>
      </c>
      <c r="O1752" s="135">
        <v>0.487</v>
      </c>
      <c r="P1752" s="136"/>
      <c r="Q1752" s="137">
        <v>1.2175</v>
      </c>
      <c r="R1752" s="136">
        <v>46132.0</v>
      </c>
      <c r="S1752" s="135" t="s">
        <v>3879</v>
      </c>
      <c r="T1752" s="136"/>
      <c r="U1752" s="135" t="s">
        <v>2864</v>
      </c>
      <c r="V1752" s="135" t="s">
        <v>2856</v>
      </c>
      <c r="W1752" s="135"/>
      <c r="X1752" s="135"/>
      <c r="Y1752" s="135"/>
      <c r="Z1752" s="135" t="s">
        <v>2858</v>
      </c>
      <c r="AA1752" s="135"/>
      <c r="AB1752" s="135"/>
      <c r="AC1752" s="135"/>
      <c r="AD1752" s="135" t="e">
        <v>#N/A</v>
      </c>
      <c r="AE1752" s="135"/>
      <c r="AF1752" s="135"/>
      <c r="AG1752" s="135"/>
    </row>
    <row r="1753" ht="21.75" hidden="1" customHeight="1">
      <c r="A1753" s="135">
        <v>1749.0</v>
      </c>
      <c r="B1753" s="135">
        <v>25045.0</v>
      </c>
      <c r="C1753" s="135" t="s">
        <v>2817</v>
      </c>
      <c r="D1753" s="135">
        <v>8.0</v>
      </c>
      <c r="E1753" s="135" t="s">
        <v>3900</v>
      </c>
      <c r="F1753" s="135" t="s">
        <v>2621</v>
      </c>
      <c r="G1753" s="135" t="s">
        <v>116</v>
      </c>
      <c r="H1753" s="135" t="s">
        <v>2853</v>
      </c>
      <c r="I1753" s="135" t="s">
        <v>126</v>
      </c>
      <c r="J1753" s="135">
        <v>1.0</v>
      </c>
      <c r="K1753" s="135" t="s">
        <v>3134</v>
      </c>
      <c r="L1753" s="135">
        <v>2847.0</v>
      </c>
      <c r="M1753" s="135">
        <v>1350.0</v>
      </c>
      <c r="N1753" s="135">
        <v>120.0</v>
      </c>
      <c r="O1753" s="135">
        <v>0.487</v>
      </c>
      <c r="P1753" s="136"/>
      <c r="Q1753" s="137">
        <v>1.2175</v>
      </c>
      <c r="R1753" s="136">
        <v>46132.0</v>
      </c>
      <c r="S1753" s="135" t="s">
        <v>3879</v>
      </c>
      <c r="T1753" s="136"/>
      <c r="U1753" s="135" t="s">
        <v>2864</v>
      </c>
      <c r="V1753" s="135" t="s">
        <v>2856</v>
      </c>
      <c r="W1753" s="135"/>
      <c r="X1753" s="135"/>
      <c r="Y1753" s="135"/>
      <c r="Z1753" s="135" t="s">
        <v>2858</v>
      </c>
      <c r="AA1753" s="135"/>
      <c r="AB1753" s="135"/>
      <c r="AC1753" s="135"/>
      <c r="AD1753" s="135" t="e">
        <v>#N/A</v>
      </c>
      <c r="AE1753" s="135"/>
      <c r="AF1753" s="135"/>
      <c r="AG1753" s="135"/>
    </row>
    <row r="1754" ht="21.75" hidden="1" customHeight="1">
      <c r="A1754" s="135">
        <v>1750.0</v>
      </c>
      <c r="B1754" s="135">
        <v>25045.0</v>
      </c>
      <c r="C1754" s="135" t="s">
        <v>2817</v>
      </c>
      <c r="D1754" s="135">
        <v>8.0</v>
      </c>
      <c r="E1754" s="135" t="s">
        <v>3900</v>
      </c>
      <c r="F1754" s="135" t="s">
        <v>2622</v>
      </c>
      <c r="G1754" s="135" t="s">
        <v>116</v>
      </c>
      <c r="H1754" s="135" t="s">
        <v>2853</v>
      </c>
      <c r="I1754" s="135" t="s">
        <v>126</v>
      </c>
      <c r="J1754" s="135">
        <v>1.0</v>
      </c>
      <c r="K1754" s="135" t="s">
        <v>3134</v>
      </c>
      <c r="L1754" s="135">
        <v>2847.0</v>
      </c>
      <c r="M1754" s="135">
        <v>1350.0</v>
      </c>
      <c r="N1754" s="135">
        <v>120.0</v>
      </c>
      <c r="O1754" s="135">
        <v>0.487</v>
      </c>
      <c r="P1754" s="136"/>
      <c r="Q1754" s="137">
        <v>1.2175</v>
      </c>
      <c r="R1754" s="136">
        <v>46132.0</v>
      </c>
      <c r="S1754" s="135" t="s">
        <v>3879</v>
      </c>
      <c r="T1754" s="136"/>
      <c r="U1754" s="135" t="s">
        <v>2864</v>
      </c>
      <c r="V1754" s="135" t="s">
        <v>2856</v>
      </c>
      <c r="W1754" s="135"/>
      <c r="X1754" s="135"/>
      <c r="Y1754" s="135"/>
      <c r="Z1754" s="135" t="s">
        <v>2858</v>
      </c>
      <c r="AA1754" s="135"/>
      <c r="AB1754" s="135"/>
      <c r="AC1754" s="135"/>
      <c r="AD1754" s="135" t="e">
        <v>#N/A</v>
      </c>
      <c r="AE1754" s="135"/>
      <c r="AF1754" s="135"/>
      <c r="AG1754" s="135"/>
    </row>
    <row r="1755" ht="21.75" hidden="1" customHeight="1">
      <c r="A1755" s="135">
        <v>1751.0</v>
      </c>
      <c r="B1755" s="135">
        <v>25045.0</v>
      </c>
      <c r="C1755" s="135" t="s">
        <v>2817</v>
      </c>
      <c r="D1755" s="135">
        <v>8.0</v>
      </c>
      <c r="E1755" s="135" t="s">
        <v>3900</v>
      </c>
      <c r="F1755" s="135" t="s">
        <v>2623</v>
      </c>
      <c r="G1755" s="135" t="s">
        <v>116</v>
      </c>
      <c r="H1755" s="135" t="s">
        <v>2853</v>
      </c>
      <c r="I1755" s="135" t="s">
        <v>126</v>
      </c>
      <c r="J1755" s="135">
        <v>1.0</v>
      </c>
      <c r="K1755" s="135" t="s">
        <v>3134</v>
      </c>
      <c r="L1755" s="135">
        <v>2847.0</v>
      </c>
      <c r="M1755" s="135">
        <v>1350.0</v>
      </c>
      <c r="N1755" s="135">
        <v>120.0</v>
      </c>
      <c r="O1755" s="135">
        <v>0.487</v>
      </c>
      <c r="P1755" s="136"/>
      <c r="Q1755" s="137">
        <v>1.2175</v>
      </c>
      <c r="R1755" s="136">
        <v>46132.0</v>
      </c>
      <c r="S1755" s="135" t="s">
        <v>3879</v>
      </c>
      <c r="T1755" s="136"/>
      <c r="U1755" s="135" t="s">
        <v>2864</v>
      </c>
      <c r="V1755" s="135" t="s">
        <v>2856</v>
      </c>
      <c r="W1755" s="135"/>
      <c r="X1755" s="135"/>
      <c r="Y1755" s="135"/>
      <c r="Z1755" s="135" t="s">
        <v>2858</v>
      </c>
      <c r="AA1755" s="135"/>
      <c r="AB1755" s="135"/>
      <c r="AC1755" s="135"/>
      <c r="AD1755" s="135" t="e">
        <v>#N/A</v>
      </c>
      <c r="AE1755" s="135"/>
      <c r="AF1755" s="135"/>
      <c r="AG1755" s="135"/>
    </row>
    <row r="1756" ht="21.75" hidden="1" customHeight="1">
      <c r="A1756" s="135">
        <v>1752.0</v>
      </c>
      <c r="B1756" s="135">
        <v>25045.0</v>
      </c>
      <c r="C1756" s="135" t="s">
        <v>2817</v>
      </c>
      <c r="D1756" s="135">
        <v>8.0</v>
      </c>
      <c r="E1756" s="135" t="s">
        <v>3900</v>
      </c>
      <c r="F1756" s="135" t="s">
        <v>2624</v>
      </c>
      <c r="G1756" s="135" t="s">
        <v>116</v>
      </c>
      <c r="H1756" s="135" t="s">
        <v>2853</v>
      </c>
      <c r="I1756" s="135" t="s">
        <v>126</v>
      </c>
      <c r="J1756" s="135">
        <v>1.0</v>
      </c>
      <c r="K1756" s="135" t="s">
        <v>3134</v>
      </c>
      <c r="L1756" s="135">
        <v>2847.0</v>
      </c>
      <c r="M1756" s="135">
        <v>1350.0</v>
      </c>
      <c r="N1756" s="135">
        <v>120.0</v>
      </c>
      <c r="O1756" s="135">
        <v>0.487</v>
      </c>
      <c r="P1756" s="136"/>
      <c r="Q1756" s="137">
        <v>1.2175</v>
      </c>
      <c r="R1756" s="136">
        <v>46132.0</v>
      </c>
      <c r="S1756" s="135" t="s">
        <v>3879</v>
      </c>
      <c r="T1756" s="136"/>
      <c r="U1756" s="135" t="s">
        <v>2864</v>
      </c>
      <c r="V1756" s="135" t="s">
        <v>2856</v>
      </c>
      <c r="W1756" s="135"/>
      <c r="X1756" s="135"/>
      <c r="Y1756" s="135"/>
      <c r="Z1756" s="135" t="s">
        <v>2858</v>
      </c>
      <c r="AA1756" s="135"/>
      <c r="AB1756" s="135"/>
      <c r="AC1756" s="135"/>
      <c r="AD1756" s="135" t="e">
        <v>#N/A</v>
      </c>
      <c r="AE1756" s="135"/>
      <c r="AF1756" s="135"/>
      <c r="AG1756" s="135"/>
    </row>
    <row r="1757" ht="21.75" hidden="1" customHeight="1">
      <c r="A1757" s="135">
        <v>1753.0</v>
      </c>
      <c r="B1757" s="135">
        <v>25045.0</v>
      </c>
      <c r="C1757" s="135" t="s">
        <v>2817</v>
      </c>
      <c r="D1757" s="135">
        <v>8.0</v>
      </c>
      <c r="E1757" s="135" t="s">
        <v>3900</v>
      </c>
      <c r="F1757" s="135" t="s">
        <v>2625</v>
      </c>
      <c r="G1757" s="135" t="s">
        <v>116</v>
      </c>
      <c r="H1757" s="135" t="s">
        <v>2853</v>
      </c>
      <c r="I1757" s="135" t="s">
        <v>126</v>
      </c>
      <c r="J1757" s="135">
        <v>1.0</v>
      </c>
      <c r="K1757" s="135" t="s">
        <v>3134</v>
      </c>
      <c r="L1757" s="135">
        <v>2847.0</v>
      </c>
      <c r="M1757" s="135">
        <v>1350.0</v>
      </c>
      <c r="N1757" s="135">
        <v>120.0</v>
      </c>
      <c r="O1757" s="135">
        <v>0.487</v>
      </c>
      <c r="P1757" s="136"/>
      <c r="Q1757" s="137">
        <v>1.2175</v>
      </c>
      <c r="R1757" s="136">
        <v>46132.0</v>
      </c>
      <c r="S1757" s="135" t="s">
        <v>3879</v>
      </c>
      <c r="T1757" s="136"/>
      <c r="U1757" s="135" t="s">
        <v>2864</v>
      </c>
      <c r="V1757" s="135" t="s">
        <v>2856</v>
      </c>
      <c r="W1757" s="135"/>
      <c r="X1757" s="135"/>
      <c r="Y1757" s="135"/>
      <c r="Z1757" s="135" t="s">
        <v>2858</v>
      </c>
      <c r="AA1757" s="135"/>
      <c r="AB1757" s="135"/>
      <c r="AC1757" s="135"/>
      <c r="AD1757" s="135" t="e">
        <v>#N/A</v>
      </c>
      <c r="AE1757" s="135"/>
      <c r="AF1757" s="135"/>
      <c r="AG1757" s="135"/>
    </row>
    <row r="1758" ht="21.75" hidden="1" customHeight="1">
      <c r="A1758" s="135">
        <v>1754.0</v>
      </c>
      <c r="B1758" s="135">
        <v>25045.0</v>
      </c>
      <c r="C1758" s="135" t="s">
        <v>2817</v>
      </c>
      <c r="D1758" s="135">
        <v>8.0</v>
      </c>
      <c r="E1758" s="135" t="s">
        <v>3900</v>
      </c>
      <c r="F1758" s="135" t="s">
        <v>2626</v>
      </c>
      <c r="G1758" s="135" t="s">
        <v>116</v>
      </c>
      <c r="H1758" s="135" t="s">
        <v>2853</v>
      </c>
      <c r="I1758" s="135" t="s">
        <v>126</v>
      </c>
      <c r="J1758" s="135">
        <v>1.0</v>
      </c>
      <c r="K1758" s="135" t="s">
        <v>3134</v>
      </c>
      <c r="L1758" s="135">
        <v>2847.0</v>
      </c>
      <c r="M1758" s="135">
        <v>1350.0</v>
      </c>
      <c r="N1758" s="135">
        <v>120.0</v>
      </c>
      <c r="O1758" s="135">
        <v>0.487</v>
      </c>
      <c r="P1758" s="136"/>
      <c r="Q1758" s="137">
        <v>1.2175</v>
      </c>
      <c r="R1758" s="136">
        <v>46132.0</v>
      </c>
      <c r="S1758" s="135" t="s">
        <v>3879</v>
      </c>
      <c r="T1758" s="136"/>
      <c r="U1758" s="135" t="s">
        <v>2864</v>
      </c>
      <c r="V1758" s="135" t="s">
        <v>2856</v>
      </c>
      <c r="W1758" s="135"/>
      <c r="X1758" s="135"/>
      <c r="Y1758" s="135"/>
      <c r="Z1758" s="135" t="s">
        <v>2858</v>
      </c>
      <c r="AA1758" s="135"/>
      <c r="AB1758" s="135"/>
      <c r="AC1758" s="135"/>
      <c r="AD1758" s="135" t="e">
        <v>#N/A</v>
      </c>
      <c r="AE1758" s="135"/>
      <c r="AF1758" s="135"/>
      <c r="AG1758" s="135"/>
    </row>
    <row r="1759" ht="21.75" hidden="1" customHeight="1">
      <c r="A1759" s="135">
        <v>1755.0</v>
      </c>
      <c r="B1759" s="135">
        <v>25045.0</v>
      </c>
      <c r="C1759" s="135" t="s">
        <v>2817</v>
      </c>
      <c r="D1759" s="135">
        <v>8.0</v>
      </c>
      <c r="E1759" s="135" t="s">
        <v>3900</v>
      </c>
      <c r="F1759" s="135" t="s">
        <v>2627</v>
      </c>
      <c r="G1759" s="135" t="s">
        <v>116</v>
      </c>
      <c r="H1759" s="135" t="s">
        <v>2853</v>
      </c>
      <c r="I1759" s="135" t="s">
        <v>126</v>
      </c>
      <c r="J1759" s="135">
        <v>1.0</v>
      </c>
      <c r="K1759" s="135" t="s">
        <v>3134</v>
      </c>
      <c r="L1759" s="135">
        <v>2847.0</v>
      </c>
      <c r="M1759" s="135">
        <v>1350.0</v>
      </c>
      <c r="N1759" s="135">
        <v>120.0</v>
      </c>
      <c r="O1759" s="135">
        <v>0.487</v>
      </c>
      <c r="P1759" s="136"/>
      <c r="Q1759" s="137">
        <v>1.2175</v>
      </c>
      <c r="R1759" s="136">
        <v>46132.0</v>
      </c>
      <c r="S1759" s="135" t="s">
        <v>3879</v>
      </c>
      <c r="T1759" s="136"/>
      <c r="U1759" s="135" t="s">
        <v>2864</v>
      </c>
      <c r="V1759" s="135" t="s">
        <v>2856</v>
      </c>
      <c r="W1759" s="135"/>
      <c r="X1759" s="135"/>
      <c r="Y1759" s="135"/>
      <c r="Z1759" s="135" t="s">
        <v>2858</v>
      </c>
      <c r="AA1759" s="135"/>
      <c r="AB1759" s="135"/>
      <c r="AC1759" s="135"/>
      <c r="AD1759" s="135" t="e">
        <v>#N/A</v>
      </c>
      <c r="AE1759" s="135"/>
      <c r="AF1759" s="135"/>
      <c r="AG1759" s="135"/>
    </row>
    <row r="1760" ht="21.75" hidden="1" customHeight="1">
      <c r="A1760" s="135">
        <v>1756.0</v>
      </c>
      <c r="B1760" s="135">
        <v>25045.0</v>
      </c>
      <c r="C1760" s="135" t="s">
        <v>2817</v>
      </c>
      <c r="D1760" s="135">
        <v>8.0</v>
      </c>
      <c r="E1760" s="135" t="s">
        <v>3900</v>
      </c>
      <c r="F1760" s="135" t="s">
        <v>2628</v>
      </c>
      <c r="G1760" s="135" t="s">
        <v>116</v>
      </c>
      <c r="H1760" s="135" t="s">
        <v>2853</v>
      </c>
      <c r="I1760" s="135" t="s">
        <v>126</v>
      </c>
      <c r="J1760" s="135">
        <v>1.0</v>
      </c>
      <c r="K1760" s="135" t="s">
        <v>3134</v>
      </c>
      <c r="L1760" s="135">
        <v>2847.0</v>
      </c>
      <c r="M1760" s="135">
        <v>1350.0</v>
      </c>
      <c r="N1760" s="135">
        <v>120.0</v>
      </c>
      <c r="O1760" s="135">
        <v>0.487</v>
      </c>
      <c r="P1760" s="136"/>
      <c r="Q1760" s="137">
        <v>1.2175</v>
      </c>
      <c r="R1760" s="136">
        <v>46132.0</v>
      </c>
      <c r="S1760" s="135" t="s">
        <v>3879</v>
      </c>
      <c r="T1760" s="136"/>
      <c r="U1760" s="135" t="s">
        <v>2864</v>
      </c>
      <c r="V1760" s="135" t="s">
        <v>2856</v>
      </c>
      <c r="W1760" s="135"/>
      <c r="X1760" s="135"/>
      <c r="Y1760" s="135"/>
      <c r="Z1760" s="135" t="s">
        <v>2858</v>
      </c>
      <c r="AA1760" s="135"/>
      <c r="AB1760" s="135"/>
      <c r="AC1760" s="135"/>
      <c r="AD1760" s="135" t="e">
        <v>#N/A</v>
      </c>
      <c r="AE1760" s="135"/>
      <c r="AF1760" s="135"/>
      <c r="AG1760" s="135"/>
    </row>
    <row r="1761" ht="21.75" hidden="1" customHeight="1">
      <c r="A1761" s="135">
        <v>1757.0</v>
      </c>
      <c r="B1761" s="135">
        <v>25045.0</v>
      </c>
      <c r="C1761" s="135" t="s">
        <v>2817</v>
      </c>
      <c r="D1761" s="135">
        <v>8.0</v>
      </c>
      <c r="E1761" s="135" t="s">
        <v>3900</v>
      </c>
      <c r="F1761" s="135" t="s">
        <v>2629</v>
      </c>
      <c r="G1761" s="135" t="s">
        <v>116</v>
      </c>
      <c r="H1761" s="135" t="s">
        <v>2853</v>
      </c>
      <c r="I1761" s="135" t="s">
        <v>126</v>
      </c>
      <c r="J1761" s="135">
        <v>1.0</v>
      </c>
      <c r="K1761" s="135" t="s">
        <v>3134</v>
      </c>
      <c r="L1761" s="135">
        <v>2847.0</v>
      </c>
      <c r="M1761" s="135">
        <v>1350.0</v>
      </c>
      <c r="N1761" s="135">
        <v>120.0</v>
      </c>
      <c r="O1761" s="135">
        <v>0.487</v>
      </c>
      <c r="P1761" s="136"/>
      <c r="Q1761" s="137">
        <v>1.2175</v>
      </c>
      <c r="R1761" s="136">
        <v>46132.0</v>
      </c>
      <c r="S1761" s="135" t="s">
        <v>3879</v>
      </c>
      <c r="T1761" s="136"/>
      <c r="U1761" s="135" t="s">
        <v>2864</v>
      </c>
      <c r="V1761" s="135" t="s">
        <v>2856</v>
      </c>
      <c r="W1761" s="135"/>
      <c r="X1761" s="135"/>
      <c r="Y1761" s="135"/>
      <c r="Z1761" s="135" t="s">
        <v>2858</v>
      </c>
      <c r="AA1761" s="135"/>
      <c r="AB1761" s="135"/>
      <c r="AC1761" s="135"/>
      <c r="AD1761" s="135" t="e">
        <v>#N/A</v>
      </c>
      <c r="AE1761" s="135"/>
      <c r="AF1761" s="135"/>
      <c r="AG1761" s="135"/>
    </row>
    <row r="1762" ht="21.75" hidden="1" customHeight="1">
      <c r="A1762" s="135">
        <v>1758.0</v>
      </c>
      <c r="B1762" s="135">
        <v>25045.0</v>
      </c>
      <c r="C1762" s="135" t="s">
        <v>2817</v>
      </c>
      <c r="D1762" s="135">
        <v>8.0</v>
      </c>
      <c r="E1762" s="135" t="s">
        <v>3900</v>
      </c>
      <c r="F1762" s="135" t="s">
        <v>2630</v>
      </c>
      <c r="G1762" s="135" t="s">
        <v>116</v>
      </c>
      <c r="H1762" s="135" t="s">
        <v>2853</v>
      </c>
      <c r="I1762" s="135" t="s">
        <v>126</v>
      </c>
      <c r="J1762" s="135">
        <v>1.0</v>
      </c>
      <c r="K1762" s="135" t="s">
        <v>3134</v>
      </c>
      <c r="L1762" s="135">
        <v>2847.0</v>
      </c>
      <c r="M1762" s="135">
        <v>1350.0</v>
      </c>
      <c r="N1762" s="135">
        <v>120.0</v>
      </c>
      <c r="O1762" s="135">
        <v>0.487</v>
      </c>
      <c r="P1762" s="136"/>
      <c r="Q1762" s="137">
        <v>1.2175</v>
      </c>
      <c r="R1762" s="136">
        <v>46132.0</v>
      </c>
      <c r="S1762" s="135" t="s">
        <v>3879</v>
      </c>
      <c r="T1762" s="136"/>
      <c r="U1762" s="135" t="s">
        <v>2864</v>
      </c>
      <c r="V1762" s="135" t="s">
        <v>2856</v>
      </c>
      <c r="W1762" s="135"/>
      <c r="X1762" s="135"/>
      <c r="Y1762" s="135"/>
      <c r="Z1762" s="135" t="s">
        <v>2858</v>
      </c>
      <c r="AA1762" s="135"/>
      <c r="AB1762" s="135"/>
      <c r="AC1762" s="135"/>
      <c r="AD1762" s="135" t="e">
        <v>#N/A</v>
      </c>
      <c r="AE1762" s="135"/>
      <c r="AF1762" s="135"/>
      <c r="AG1762" s="135"/>
    </row>
    <row r="1763" ht="21.75" hidden="1" customHeight="1">
      <c r="A1763" s="135">
        <v>1759.0</v>
      </c>
      <c r="B1763" s="135">
        <v>25045.0</v>
      </c>
      <c r="C1763" s="135" t="s">
        <v>2817</v>
      </c>
      <c r="D1763" s="135">
        <v>8.0</v>
      </c>
      <c r="E1763" s="135" t="s">
        <v>3900</v>
      </c>
      <c r="F1763" s="135" t="s">
        <v>2631</v>
      </c>
      <c r="G1763" s="135" t="s">
        <v>116</v>
      </c>
      <c r="H1763" s="135" t="s">
        <v>2853</v>
      </c>
      <c r="I1763" s="135" t="s">
        <v>126</v>
      </c>
      <c r="J1763" s="135">
        <v>1.0</v>
      </c>
      <c r="K1763" s="135"/>
      <c r="L1763" s="135">
        <v>2768.0</v>
      </c>
      <c r="M1763" s="135">
        <v>1350.0</v>
      </c>
      <c r="N1763" s="135">
        <v>120.0</v>
      </c>
      <c r="O1763" s="135">
        <v>0.487</v>
      </c>
      <c r="P1763" s="136"/>
      <c r="Q1763" s="137">
        <v>1.2175</v>
      </c>
      <c r="R1763" s="136">
        <v>46132.0</v>
      </c>
      <c r="S1763" s="135" t="s">
        <v>3879</v>
      </c>
      <c r="T1763" s="136"/>
      <c r="U1763" s="135" t="s">
        <v>2864</v>
      </c>
      <c r="V1763" s="135" t="s">
        <v>2856</v>
      </c>
      <c r="W1763" s="135"/>
      <c r="X1763" s="135"/>
      <c r="Y1763" s="135"/>
      <c r="Z1763" s="135" t="s">
        <v>2858</v>
      </c>
      <c r="AA1763" s="135"/>
      <c r="AB1763" s="135"/>
      <c r="AC1763" s="135"/>
      <c r="AD1763" s="135" t="e">
        <v>#N/A</v>
      </c>
      <c r="AE1763" s="135"/>
      <c r="AF1763" s="135"/>
      <c r="AG1763" s="135"/>
    </row>
    <row r="1764" ht="21.75" hidden="1" customHeight="1">
      <c r="A1764" s="135">
        <v>1760.0</v>
      </c>
      <c r="B1764" s="135">
        <v>25045.0</v>
      </c>
      <c r="C1764" s="135"/>
      <c r="D1764" s="135">
        <v>8.0</v>
      </c>
      <c r="E1764" s="135" t="s">
        <v>3900</v>
      </c>
      <c r="F1764" s="135" t="s">
        <v>2632</v>
      </c>
      <c r="G1764" s="135" t="s">
        <v>116</v>
      </c>
      <c r="H1764" s="135" t="s">
        <v>2853</v>
      </c>
      <c r="I1764" s="135" t="s">
        <v>126</v>
      </c>
      <c r="J1764" s="135">
        <v>1.0</v>
      </c>
      <c r="K1764" s="135"/>
      <c r="L1764" s="135">
        <v>4587.0</v>
      </c>
      <c r="M1764" s="135">
        <v>2850.0</v>
      </c>
      <c r="N1764" s="135">
        <v>120.0</v>
      </c>
      <c r="O1764" s="135">
        <v>1.527</v>
      </c>
      <c r="P1764" s="136"/>
      <c r="Q1764" s="137">
        <v>3.8175</v>
      </c>
      <c r="R1764" s="136">
        <v>46132.0</v>
      </c>
      <c r="S1764" s="135" t="s">
        <v>3879</v>
      </c>
      <c r="T1764" s="136"/>
      <c r="U1764" s="135" t="s">
        <v>2864</v>
      </c>
      <c r="V1764" s="135" t="s">
        <v>2985</v>
      </c>
      <c r="W1764" s="135"/>
      <c r="X1764" s="135" t="s">
        <v>2895</v>
      </c>
      <c r="Y1764" s="135"/>
      <c r="Z1764" s="135" t="s">
        <v>2858</v>
      </c>
      <c r="AA1764" s="135"/>
      <c r="AB1764" s="135"/>
      <c r="AC1764" s="135"/>
      <c r="AD1764" s="135">
        <v>46156.0</v>
      </c>
      <c r="AE1764" s="135"/>
      <c r="AF1764" s="135"/>
      <c r="AG1764" s="135"/>
    </row>
    <row r="1765" ht="21.75" hidden="1" customHeight="1">
      <c r="A1765" s="135">
        <v>1761.0</v>
      </c>
      <c r="B1765" s="135">
        <v>25045.0</v>
      </c>
      <c r="C1765" s="135"/>
      <c r="D1765" s="135">
        <v>8.0</v>
      </c>
      <c r="E1765" s="135" t="s">
        <v>3900</v>
      </c>
      <c r="F1765" s="135" t="s">
        <v>2633</v>
      </c>
      <c r="G1765" s="135" t="s">
        <v>116</v>
      </c>
      <c r="H1765" s="135" t="s">
        <v>2853</v>
      </c>
      <c r="I1765" s="135" t="s">
        <v>126</v>
      </c>
      <c r="J1765" s="135">
        <v>1.0</v>
      </c>
      <c r="K1765" s="135" t="s">
        <v>3134</v>
      </c>
      <c r="L1765" s="135">
        <v>5000.0</v>
      </c>
      <c r="M1765" s="135">
        <v>2850.0</v>
      </c>
      <c r="N1765" s="135">
        <v>120.0</v>
      </c>
      <c r="O1765" s="135">
        <v>1.914</v>
      </c>
      <c r="P1765" s="136"/>
      <c r="Q1765" s="137">
        <v>4.785</v>
      </c>
      <c r="R1765" s="136">
        <v>46132.0</v>
      </c>
      <c r="S1765" s="135" t="s">
        <v>3879</v>
      </c>
      <c r="T1765" s="136"/>
      <c r="U1765" s="135" t="s">
        <v>2855</v>
      </c>
      <c r="V1765" s="135" t="s">
        <v>2876</v>
      </c>
      <c r="W1765" s="135">
        <v>2500.0</v>
      </c>
      <c r="X1765" s="135"/>
      <c r="Y1765" s="135"/>
      <c r="Z1765" s="135" t="s">
        <v>2858</v>
      </c>
      <c r="AA1765" s="135"/>
      <c r="AB1765" s="135"/>
      <c r="AC1765" s="135"/>
      <c r="AD1765" s="135">
        <v>46154.0</v>
      </c>
      <c r="AE1765" s="135"/>
      <c r="AF1765" s="135"/>
      <c r="AG1765" s="135"/>
    </row>
    <row r="1766" ht="21.75" hidden="1" customHeight="1">
      <c r="A1766" s="135">
        <v>1762.0</v>
      </c>
      <c r="B1766" s="135">
        <v>25045.0</v>
      </c>
      <c r="C1766" s="135"/>
      <c r="D1766" s="135">
        <v>8.0</v>
      </c>
      <c r="E1766" s="135" t="s">
        <v>3901</v>
      </c>
      <c r="F1766" s="135" t="s">
        <v>2674</v>
      </c>
      <c r="G1766" s="135" t="s">
        <v>116</v>
      </c>
      <c r="H1766" s="135" t="s">
        <v>2853</v>
      </c>
      <c r="I1766" s="135" t="s">
        <v>130</v>
      </c>
      <c r="J1766" s="135">
        <v>1.0</v>
      </c>
      <c r="K1766" s="135" t="s">
        <v>3134</v>
      </c>
      <c r="L1766" s="135">
        <v>5000.0</v>
      </c>
      <c r="M1766" s="135">
        <v>2850.0</v>
      </c>
      <c r="N1766" s="135">
        <v>120.0</v>
      </c>
      <c r="O1766" s="135">
        <v>1.914</v>
      </c>
      <c r="P1766" s="136"/>
      <c r="Q1766" s="137">
        <v>4.785</v>
      </c>
      <c r="R1766" s="136">
        <v>46132.0</v>
      </c>
      <c r="S1766" s="135" t="s">
        <v>3879</v>
      </c>
      <c r="T1766" s="136"/>
      <c r="U1766" s="135" t="s">
        <v>2855</v>
      </c>
      <c r="V1766" s="135" t="s">
        <v>2876</v>
      </c>
      <c r="W1766" s="135">
        <v>2500.0</v>
      </c>
      <c r="X1766" s="135"/>
      <c r="Y1766" s="135"/>
      <c r="Z1766" s="135" t="s">
        <v>2858</v>
      </c>
      <c r="AA1766" s="135"/>
      <c r="AB1766" s="135"/>
      <c r="AC1766" s="135"/>
      <c r="AD1766" s="135">
        <v>46155.0</v>
      </c>
      <c r="AE1766" s="135"/>
      <c r="AF1766" s="135"/>
      <c r="AG1766" s="135"/>
    </row>
    <row r="1767" ht="21.75" hidden="1" customHeight="1">
      <c r="A1767" s="135">
        <v>1763.0</v>
      </c>
      <c r="B1767" s="135">
        <v>25045.0</v>
      </c>
      <c r="C1767" s="135"/>
      <c r="D1767" s="135">
        <v>8.0</v>
      </c>
      <c r="E1767" s="135" t="s">
        <v>3900</v>
      </c>
      <c r="F1767" s="135" t="s">
        <v>2634</v>
      </c>
      <c r="G1767" s="135" t="s">
        <v>116</v>
      </c>
      <c r="H1767" s="135" t="s">
        <v>2853</v>
      </c>
      <c r="I1767" s="135" t="s">
        <v>126</v>
      </c>
      <c r="J1767" s="135">
        <v>1.0</v>
      </c>
      <c r="K1767" s="135"/>
      <c r="L1767" s="135">
        <v>4552.0</v>
      </c>
      <c r="M1767" s="135">
        <v>3050.0</v>
      </c>
      <c r="N1767" s="135">
        <v>120.0</v>
      </c>
      <c r="O1767" s="135">
        <v>1.914</v>
      </c>
      <c r="P1767" s="136"/>
      <c r="Q1767" s="137">
        <v>4.785</v>
      </c>
      <c r="R1767" s="136">
        <v>46132.0</v>
      </c>
      <c r="S1767" s="135" t="s">
        <v>3879</v>
      </c>
      <c r="T1767" s="136"/>
      <c r="U1767" s="135" t="s">
        <v>2855</v>
      </c>
      <c r="V1767" s="135" t="s">
        <v>2876</v>
      </c>
      <c r="W1767" s="135">
        <v>1800.0</v>
      </c>
      <c r="X1767" s="135"/>
      <c r="Y1767" s="135"/>
      <c r="Z1767" s="135" t="s">
        <v>2858</v>
      </c>
      <c r="AA1767" s="135"/>
      <c r="AB1767" s="135"/>
      <c r="AC1767" s="135"/>
      <c r="AD1767" s="135">
        <v>46153.0</v>
      </c>
      <c r="AE1767" s="135"/>
      <c r="AF1767" s="135"/>
      <c r="AG1767" s="135"/>
    </row>
    <row r="1768" ht="21.75" hidden="1" customHeight="1">
      <c r="A1768" s="135">
        <v>1764.0</v>
      </c>
      <c r="B1768" s="135">
        <v>25045.0</v>
      </c>
      <c r="C1768" s="135"/>
      <c r="D1768" s="135">
        <v>8.0</v>
      </c>
      <c r="E1768" s="135" t="s">
        <v>3900</v>
      </c>
      <c r="F1768" s="135" t="s">
        <v>2635</v>
      </c>
      <c r="G1768" s="135" t="s">
        <v>116</v>
      </c>
      <c r="H1768" s="135" t="s">
        <v>2853</v>
      </c>
      <c r="I1768" s="135" t="s">
        <v>126</v>
      </c>
      <c r="J1768" s="135">
        <v>1.0</v>
      </c>
      <c r="K1768" s="135" t="s">
        <v>3134</v>
      </c>
      <c r="L1768" s="135">
        <v>4552.0</v>
      </c>
      <c r="M1768" s="135">
        <v>2800.0</v>
      </c>
      <c r="N1768" s="135">
        <v>120.0</v>
      </c>
      <c r="O1768" s="135">
        <v>1.774</v>
      </c>
      <c r="P1768" s="136"/>
      <c r="Q1768" s="137">
        <v>4.4350000000000005</v>
      </c>
      <c r="R1768" s="136">
        <v>46132.0</v>
      </c>
      <c r="S1768" s="135" t="s">
        <v>3879</v>
      </c>
      <c r="T1768" s="136"/>
      <c r="U1768" s="135" t="s">
        <v>2855</v>
      </c>
      <c r="V1768" s="135" t="s">
        <v>2876</v>
      </c>
      <c r="W1768" s="135">
        <v>1800.0</v>
      </c>
      <c r="X1768" s="135"/>
      <c r="Y1768" s="135"/>
      <c r="Z1768" s="135" t="s">
        <v>2858</v>
      </c>
      <c r="AA1768" s="135"/>
      <c r="AB1768" s="135"/>
      <c r="AC1768" s="135"/>
      <c r="AD1768" s="135">
        <v>46148.0</v>
      </c>
      <c r="AE1768" s="135"/>
      <c r="AF1768" s="135"/>
      <c r="AG1768" s="135"/>
    </row>
    <row r="1769" ht="21.75" hidden="1" customHeight="1">
      <c r="A1769" s="135">
        <v>1765.0</v>
      </c>
      <c r="B1769" s="135">
        <v>25045.0</v>
      </c>
      <c r="C1769" s="135"/>
      <c r="D1769" s="135">
        <v>8.0</v>
      </c>
      <c r="E1769" s="135" t="s">
        <v>3900</v>
      </c>
      <c r="F1769" s="135" t="s">
        <v>2636</v>
      </c>
      <c r="G1769" s="135" t="s">
        <v>116</v>
      </c>
      <c r="H1769" s="135" t="s">
        <v>2853</v>
      </c>
      <c r="I1769" s="135" t="s">
        <v>126</v>
      </c>
      <c r="J1769" s="135">
        <v>1.0</v>
      </c>
      <c r="K1769" s="135" t="s">
        <v>3134</v>
      </c>
      <c r="L1769" s="135">
        <v>4552.0</v>
      </c>
      <c r="M1769" s="135">
        <v>2800.0</v>
      </c>
      <c r="N1769" s="135">
        <v>120.0</v>
      </c>
      <c r="O1769" s="135">
        <v>1.774</v>
      </c>
      <c r="P1769" s="136"/>
      <c r="Q1769" s="137">
        <v>4.4350000000000005</v>
      </c>
      <c r="R1769" s="136">
        <v>46132.0</v>
      </c>
      <c r="S1769" s="135" t="s">
        <v>3879</v>
      </c>
      <c r="T1769" s="136"/>
      <c r="U1769" s="135" t="s">
        <v>2855</v>
      </c>
      <c r="V1769" s="135" t="s">
        <v>2876</v>
      </c>
      <c r="W1769" s="135">
        <v>1800.0</v>
      </c>
      <c r="X1769" s="135"/>
      <c r="Y1769" s="135"/>
      <c r="Z1769" s="135" t="s">
        <v>2858</v>
      </c>
      <c r="AA1769" s="135"/>
      <c r="AB1769" s="135"/>
      <c r="AC1769" s="135"/>
      <c r="AD1769" s="135">
        <v>46149.0</v>
      </c>
      <c r="AE1769" s="135"/>
      <c r="AF1769" s="135"/>
      <c r="AG1769" s="135"/>
    </row>
    <row r="1770" ht="21.75" hidden="1" customHeight="1">
      <c r="A1770" s="135">
        <v>1766.0</v>
      </c>
      <c r="B1770" s="135">
        <v>25045.0</v>
      </c>
      <c r="C1770" s="135"/>
      <c r="D1770" s="135">
        <v>8.0</v>
      </c>
      <c r="E1770" s="135" t="s">
        <v>3900</v>
      </c>
      <c r="F1770" s="135" t="s">
        <v>2637</v>
      </c>
      <c r="G1770" s="135" t="s">
        <v>116</v>
      </c>
      <c r="H1770" s="135" t="s">
        <v>2853</v>
      </c>
      <c r="I1770" s="135" t="s">
        <v>126</v>
      </c>
      <c r="J1770" s="135">
        <v>1.0</v>
      </c>
      <c r="K1770" s="135" t="s">
        <v>3134</v>
      </c>
      <c r="L1770" s="135">
        <v>4552.0</v>
      </c>
      <c r="M1770" s="135">
        <v>2800.0</v>
      </c>
      <c r="N1770" s="135">
        <v>120.0</v>
      </c>
      <c r="O1770" s="135">
        <v>1.774</v>
      </c>
      <c r="P1770" s="136"/>
      <c r="Q1770" s="137">
        <v>4.4350000000000005</v>
      </c>
      <c r="R1770" s="136">
        <v>46132.0</v>
      </c>
      <c r="S1770" s="135" t="s">
        <v>3879</v>
      </c>
      <c r="T1770" s="136"/>
      <c r="U1770" s="135" t="s">
        <v>2855</v>
      </c>
      <c r="V1770" s="135" t="s">
        <v>2876</v>
      </c>
      <c r="W1770" s="135">
        <v>1800.0</v>
      </c>
      <c r="X1770" s="135"/>
      <c r="Y1770" s="135"/>
      <c r="Z1770" s="135" t="s">
        <v>2858</v>
      </c>
      <c r="AA1770" s="135"/>
      <c r="AB1770" s="135"/>
      <c r="AC1770" s="135"/>
      <c r="AD1770" s="135">
        <v>46150.0</v>
      </c>
      <c r="AE1770" s="135"/>
      <c r="AF1770" s="135"/>
      <c r="AG1770" s="135"/>
    </row>
    <row r="1771" ht="21.75" hidden="1" customHeight="1">
      <c r="A1771" s="135">
        <v>1767.0</v>
      </c>
      <c r="B1771" s="135">
        <v>25045.0</v>
      </c>
      <c r="C1771" s="135"/>
      <c r="D1771" s="135">
        <v>8.0</v>
      </c>
      <c r="E1771" s="135" t="s">
        <v>3900</v>
      </c>
      <c r="F1771" s="135" t="s">
        <v>2638</v>
      </c>
      <c r="G1771" s="135" t="s">
        <v>116</v>
      </c>
      <c r="H1771" s="135" t="s">
        <v>2853</v>
      </c>
      <c r="I1771" s="135" t="s">
        <v>126</v>
      </c>
      <c r="J1771" s="135">
        <v>1.0</v>
      </c>
      <c r="K1771" s="135" t="s">
        <v>3134</v>
      </c>
      <c r="L1771" s="135">
        <v>4552.0</v>
      </c>
      <c r="M1771" s="135">
        <v>2800.0</v>
      </c>
      <c r="N1771" s="135">
        <v>120.0</v>
      </c>
      <c r="O1771" s="135">
        <v>1.774</v>
      </c>
      <c r="P1771" s="136"/>
      <c r="Q1771" s="137">
        <v>4.4350000000000005</v>
      </c>
      <c r="R1771" s="136">
        <v>46132.0</v>
      </c>
      <c r="S1771" s="135" t="s">
        <v>3879</v>
      </c>
      <c r="T1771" s="136"/>
      <c r="U1771" s="135" t="s">
        <v>2855</v>
      </c>
      <c r="V1771" s="135" t="s">
        <v>2876</v>
      </c>
      <c r="W1771" s="135">
        <v>1800.0</v>
      </c>
      <c r="X1771" s="135"/>
      <c r="Y1771" s="135"/>
      <c r="Z1771" s="135" t="s">
        <v>2858</v>
      </c>
      <c r="AA1771" s="135"/>
      <c r="AB1771" s="135"/>
      <c r="AC1771" s="135"/>
      <c r="AD1771" s="135">
        <v>46151.0</v>
      </c>
      <c r="AE1771" s="135"/>
      <c r="AF1771" s="135"/>
      <c r="AG1771" s="135"/>
    </row>
    <row r="1772" ht="21.75" hidden="1" customHeight="1">
      <c r="A1772" s="135">
        <v>1768.0</v>
      </c>
      <c r="B1772" s="135">
        <v>25045.0</v>
      </c>
      <c r="C1772" s="135"/>
      <c r="D1772" s="135">
        <v>8.0</v>
      </c>
      <c r="E1772" s="135" t="s">
        <v>3897</v>
      </c>
      <c r="F1772" s="135" t="s">
        <v>2648</v>
      </c>
      <c r="G1772" s="135" t="s">
        <v>116</v>
      </c>
      <c r="H1772" s="135" t="s">
        <v>2853</v>
      </c>
      <c r="I1772" s="135" t="s">
        <v>128</v>
      </c>
      <c r="J1772" s="135">
        <v>1.0</v>
      </c>
      <c r="K1772" s="135" t="s">
        <v>3134</v>
      </c>
      <c r="L1772" s="135">
        <v>4552.0</v>
      </c>
      <c r="M1772" s="135">
        <v>2800.0</v>
      </c>
      <c r="N1772" s="135">
        <v>120.0</v>
      </c>
      <c r="O1772" s="135">
        <v>1.774</v>
      </c>
      <c r="P1772" s="136"/>
      <c r="Q1772" s="137">
        <v>4.4350000000000005</v>
      </c>
      <c r="R1772" s="136">
        <v>46132.0</v>
      </c>
      <c r="S1772" s="135" t="s">
        <v>3879</v>
      </c>
      <c r="T1772" s="136"/>
      <c r="U1772" s="135" t="s">
        <v>2855</v>
      </c>
      <c r="V1772" s="135" t="s">
        <v>2876</v>
      </c>
      <c r="W1772" s="135">
        <v>1800.0</v>
      </c>
      <c r="X1772" s="135"/>
      <c r="Y1772" s="135"/>
      <c r="Z1772" s="135" t="s">
        <v>2858</v>
      </c>
      <c r="AA1772" s="135"/>
      <c r="AB1772" s="135"/>
      <c r="AC1772" s="135"/>
      <c r="AD1772" s="135">
        <v>46148.0</v>
      </c>
      <c r="AE1772" s="135"/>
      <c r="AF1772" s="135"/>
      <c r="AG1772" s="135"/>
    </row>
    <row r="1773" ht="21.75" hidden="1" customHeight="1">
      <c r="A1773" s="135">
        <v>1769.0</v>
      </c>
      <c r="B1773" s="135">
        <v>25045.0</v>
      </c>
      <c r="C1773" s="135"/>
      <c r="D1773" s="135">
        <v>8.0</v>
      </c>
      <c r="E1773" s="135" t="s">
        <v>3897</v>
      </c>
      <c r="F1773" s="135" t="s">
        <v>2649</v>
      </c>
      <c r="G1773" s="135" t="s">
        <v>116</v>
      </c>
      <c r="H1773" s="135" t="s">
        <v>2853</v>
      </c>
      <c r="I1773" s="135" t="s">
        <v>128</v>
      </c>
      <c r="J1773" s="135">
        <v>1.0</v>
      </c>
      <c r="K1773" s="135" t="s">
        <v>3134</v>
      </c>
      <c r="L1773" s="135">
        <v>4552.0</v>
      </c>
      <c r="M1773" s="135">
        <v>2800.0</v>
      </c>
      <c r="N1773" s="135">
        <v>120.0</v>
      </c>
      <c r="O1773" s="135">
        <v>1.774</v>
      </c>
      <c r="P1773" s="136"/>
      <c r="Q1773" s="137">
        <v>4.4350000000000005</v>
      </c>
      <c r="R1773" s="136">
        <v>46132.0</v>
      </c>
      <c r="S1773" s="135" t="s">
        <v>3879</v>
      </c>
      <c r="T1773" s="136"/>
      <c r="U1773" s="135" t="s">
        <v>2855</v>
      </c>
      <c r="V1773" s="135" t="s">
        <v>2876</v>
      </c>
      <c r="W1773" s="135">
        <v>1800.0</v>
      </c>
      <c r="X1773" s="135"/>
      <c r="Y1773" s="135"/>
      <c r="Z1773" s="135" t="s">
        <v>2858</v>
      </c>
      <c r="AA1773" s="135"/>
      <c r="AB1773" s="135"/>
      <c r="AC1773" s="135"/>
      <c r="AD1773" s="135">
        <v>46149.0</v>
      </c>
      <c r="AE1773" s="135"/>
      <c r="AF1773" s="135"/>
      <c r="AG1773" s="135"/>
    </row>
    <row r="1774" ht="21.75" hidden="1" customHeight="1">
      <c r="A1774" s="135">
        <v>1770.0</v>
      </c>
      <c r="B1774" s="135">
        <v>25045.0</v>
      </c>
      <c r="C1774" s="135"/>
      <c r="D1774" s="135">
        <v>8.0</v>
      </c>
      <c r="E1774" s="135" t="s">
        <v>3897</v>
      </c>
      <c r="F1774" s="135" t="s">
        <v>2650</v>
      </c>
      <c r="G1774" s="135" t="s">
        <v>116</v>
      </c>
      <c r="H1774" s="135" t="s">
        <v>2853</v>
      </c>
      <c r="I1774" s="135" t="s">
        <v>128</v>
      </c>
      <c r="J1774" s="135">
        <v>1.0</v>
      </c>
      <c r="K1774" s="135" t="s">
        <v>3134</v>
      </c>
      <c r="L1774" s="135">
        <v>4552.0</v>
      </c>
      <c r="M1774" s="135">
        <v>2800.0</v>
      </c>
      <c r="N1774" s="135">
        <v>120.0</v>
      </c>
      <c r="O1774" s="135">
        <v>1.774</v>
      </c>
      <c r="P1774" s="136"/>
      <c r="Q1774" s="137">
        <v>4.4350000000000005</v>
      </c>
      <c r="R1774" s="136">
        <v>46132.0</v>
      </c>
      <c r="S1774" s="135" t="s">
        <v>3879</v>
      </c>
      <c r="T1774" s="136"/>
      <c r="U1774" s="135" t="s">
        <v>2855</v>
      </c>
      <c r="V1774" s="135" t="s">
        <v>2876</v>
      </c>
      <c r="W1774" s="135">
        <v>1800.0</v>
      </c>
      <c r="X1774" s="135"/>
      <c r="Y1774" s="135"/>
      <c r="Z1774" s="135" t="s">
        <v>2858</v>
      </c>
      <c r="AA1774" s="135"/>
      <c r="AB1774" s="135"/>
      <c r="AC1774" s="135"/>
      <c r="AD1774" s="135">
        <v>46150.0</v>
      </c>
      <c r="AE1774" s="135"/>
      <c r="AF1774" s="135"/>
      <c r="AG1774" s="135"/>
    </row>
    <row r="1775" ht="21.75" hidden="1" customHeight="1">
      <c r="A1775" s="135">
        <v>1771.0</v>
      </c>
      <c r="B1775" s="135">
        <v>25045.0</v>
      </c>
      <c r="C1775" s="135"/>
      <c r="D1775" s="135">
        <v>8.0</v>
      </c>
      <c r="E1775" s="135" t="s">
        <v>3897</v>
      </c>
      <c r="F1775" s="135" t="s">
        <v>2651</v>
      </c>
      <c r="G1775" s="135" t="s">
        <v>116</v>
      </c>
      <c r="H1775" s="135" t="s">
        <v>2853</v>
      </c>
      <c r="I1775" s="135" t="s">
        <v>128</v>
      </c>
      <c r="J1775" s="135">
        <v>1.0</v>
      </c>
      <c r="K1775" s="135" t="s">
        <v>3134</v>
      </c>
      <c r="L1775" s="135">
        <v>4552.0</v>
      </c>
      <c r="M1775" s="135">
        <v>2800.0</v>
      </c>
      <c r="N1775" s="135">
        <v>120.0</v>
      </c>
      <c r="O1775" s="135">
        <v>1.774</v>
      </c>
      <c r="P1775" s="136"/>
      <c r="Q1775" s="137">
        <v>4.4350000000000005</v>
      </c>
      <c r="R1775" s="136">
        <v>46132.0</v>
      </c>
      <c r="S1775" s="135" t="s">
        <v>3879</v>
      </c>
      <c r="T1775" s="136"/>
      <c r="U1775" s="135" t="s">
        <v>2855</v>
      </c>
      <c r="V1775" s="135" t="s">
        <v>2876</v>
      </c>
      <c r="W1775" s="135">
        <v>1800.0</v>
      </c>
      <c r="X1775" s="135"/>
      <c r="Y1775" s="135"/>
      <c r="Z1775" s="135" t="s">
        <v>2858</v>
      </c>
      <c r="AA1775" s="135"/>
      <c r="AB1775" s="135"/>
      <c r="AC1775" s="135"/>
      <c r="AD1775" s="135">
        <v>46151.0</v>
      </c>
      <c r="AE1775" s="135"/>
      <c r="AF1775" s="135"/>
      <c r="AG1775" s="135"/>
    </row>
    <row r="1776" ht="21.75" hidden="1" customHeight="1">
      <c r="A1776" s="135">
        <v>1772.0</v>
      </c>
      <c r="B1776" s="135">
        <v>25045.0</v>
      </c>
      <c r="C1776" s="135"/>
      <c r="D1776" s="135">
        <v>8.0</v>
      </c>
      <c r="E1776" s="135" t="s">
        <v>3900</v>
      </c>
      <c r="F1776" s="135" t="s">
        <v>2639</v>
      </c>
      <c r="G1776" s="135" t="s">
        <v>116</v>
      </c>
      <c r="H1776" s="135" t="s">
        <v>2853</v>
      </c>
      <c r="I1776" s="135" t="s">
        <v>126</v>
      </c>
      <c r="J1776" s="135">
        <v>1.0</v>
      </c>
      <c r="K1776" s="135"/>
      <c r="L1776" s="135">
        <v>4552.0</v>
      </c>
      <c r="M1776" s="135">
        <v>2800.0</v>
      </c>
      <c r="N1776" s="135">
        <v>120.0</v>
      </c>
      <c r="O1776" s="135">
        <v>1.6</v>
      </c>
      <c r="P1776" s="136"/>
      <c r="Q1776" s="137">
        <v>4.0</v>
      </c>
      <c r="R1776" s="136">
        <v>46132.0</v>
      </c>
      <c r="S1776" s="135" t="s">
        <v>3879</v>
      </c>
      <c r="T1776" s="136"/>
      <c r="U1776" s="135" t="s">
        <v>2864</v>
      </c>
      <c r="V1776" s="135" t="s">
        <v>2985</v>
      </c>
      <c r="W1776" s="135"/>
      <c r="X1776" s="135" t="s">
        <v>2892</v>
      </c>
      <c r="Y1776" s="135"/>
      <c r="Z1776" s="135" t="s">
        <v>2858</v>
      </c>
      <c r="AA1776" s="135"/>
      <c r="AB1776" s="135"/>
      <c r="AC1776" s="135"/>
      <c r="AD1776" s="135">
        <v>46154.0</v>
      </c>
      <c r="AE1776" s="135"/>
      <c r="AF1776" s="135"/>
      <c r="AG1776" s="135"/>
    </row>
    <row r="1777" ht="21.75" hidden="1" customHeight="1">
      <c r="A1777" s="135">
        <v>1773.0</v>
      </c>
      <c r="B1777" s="135">
        <v>25045.0</v>
      </c>
      <c r="C1777" s="135"/>
      <c r="D1777" s="135">
        <v>8.0</v>
      </c>
      <c r="E1777" s="135" t="s">
        <v>3900</v>
      </c>
      <c r="F1777" s="135" t="s">
        <v>2640</v>
      </c>
      <c r="G1777" s="135" t="s">
        <v>116</v>
      </c>
      <c r="H1777" s="135" t="s">
        <v>2853</v>
      </c>
      <c r="I1777" s="135" t="s">
        <v>126</v>
      </c>
      <c r="J1777" s="135">
        <v>1.0</v>
      </c>
      <c r="K1777" s="135"/>
      <c r="L1777" s="135">
        <v>2140.0</v>
      </c>
      <c r="M1777" s="135">
        <v>940.0</v>
      </c>
      <c r="N1777" s="135">
        <v>120.0</v>
      </c>
      <c r="O1777" s="135">
        <v>0.377</v>
      </c>
      <c r="P1777" s="136"/>
      <c r="Q1777" s="137">
        <v>0.9425</v>
      </c>
      <c r="R1777" s="136">
        <v>46132.0</v>
      </c>
      <c r="S1777" s="135" t="s">
        <v>3879</v>
      </c>
      <c r="T1777" s="136"/>
      <c r="U1777" s="135" t="s">
        <v>2864</v>
      </c>
      <c r="V1777" s="135" t="s">
        <v>2856</v>
      </c>
      <c r="W1777" s="135"/>
      <c r="X1777" s="135"/>
      <c r="Y1777" s="135"/>
      <c r="Z1777" s="135" t="s">
        <v>2858</v>
      </c>
      <c r="AA1777" s="135"/>
      <c r="AB1777" s="135"/>
      <c r="AC1777" s="135"/>
      <c r="AD1777" s="135">
        <v>46144.0</v>
      </c>
      <c r="AE1777" s="135"/>
      <c r="AF1777" s="135"/>
      <c r="AG1777" s="135"/>
    </row>
    <row r="1778" ht="21.75" hidden="1" customHeight="1">
      <c r="A1778" s="135">
        <v>1774.0</v>
      </c>
      <c r="B1778" s="135">
        <v>25045.0</v>
      </c>
      <c r="C1778" s="135"/>
      <c r="D1778" s="135">
        <v>8.0</v>
      </c>
      <c r="E1778" s="135" t="s">
        <v>3900</v>
      </c>
      <c r="F1778" s="135" t="s">
        <v>2641</v>
      </c>
      <c r="G1778" s="135" t="s">
        <v>116</v>
      </c>
      <c r="H1778" s="135" t="s">
        <v>2853</v>
      </c>
      <c r="I1778" s="135" t="s">
        <v>126</v>
      </c>
      <c r="J1778" s="135">
        <v>1.0</v>
      </c>
      <c r="K1778" s="135"/>
      <c r="L1778" s="135">
        <v>1670.0</v>
      </c>
      <c r="M1778" s="135">
        <v>1310.0</v>
      </c>
      <c r="N1778" s="135">
        <v>120.0</v>
      </c>
      <c r="O1778" s="135">
        <v>0.355</v>
      </c>
      <c r="P1778" s="136"/>
      <c r="Q1778" s="137">
        <v>0.8875</v>
      </c>
      <c r="R1778" s="136">
        <v>46132.0</v>
      </c>
      <c r="S1778" s="135" t="s">
        <v>3879</v>
      </c>
      <c r="T1778" s="136"/>
      <c r="U1778" s="135" t="s">
        <v>2864</v>
      </c>
      <c r="V1778" s="135" t="s">
        <v>2953</v>
      </c>
      <c r="W1778" s="135"/>
      <c r="X1778" s="135"/>
      <c r="Y1778" s="135"/>
      <c r="Z1778" s="135" t="s">
        <v>2858</v>
      </c>
      <c r="AA1778" s="135"/>
      <c r="AB1778" s="135"/>
      <c r="AC1778" s="135"/>
      <c r="AD1778" s="135">
        <v>46156.0</v>
      </c>
      <c r="AE1778" s="135"/>
      <c r="AF1778" s="135"/>
      <c r="AG1778" s="135"/>
    </row>
    <row r="1779" ht="21.75" hidden="1" customHeight="1">
      <c r="A1779" s="135">
        <v>1775.0</v>
      </c>
      <c r="B1779" s="135">
        <v>25045.0</v>
      </c>
      <c r="C1779" s="135"/>
      <c r="D1779" s="135">
        <v>8.0</v>
      </c>
      <c r="E1779" s="135" t="s">
        <v>3900</v>
      </c>
      <c r="F1779" s="135" t="s">
        <v>2642</v>
      </c>
      <c r="G1779" s="135" t="s">
        <v>116</v>
      </c>
      <c r="H1779" s="135" t="s">
        <v>2853</v>
      </c>
      <c r="I1779" s="135" t="s">
        <v>126</v>
      </c>
      <c r="J1779" s="135">
        <v>1.0</v>
      </c>
      <c r="K1779" s="135"/>
      <c r="L1779" s="135">
        <v>3231.0</v>
      </c>
      <c r="M1779" s="135">
        <v>1000.0</v>
      </c>
      <c r="N1779" s="135">
        <v>120.0</v>
      </c>
      <c r="O1779" s="135">
        <v>0.516</v>
      </c>
      <c r="P1779" s="136"/>
      <c r="Q1779" s="137">
        <v>1.29</v>
      </c>
      <c r="R1779" s="136">
        <v>46132.0</v>
      </c>
      <c r="S1779" s="135" t="s">
        <v>3879</v>
      </c>
      <c r="T1779" s="136"/>
      <c r="U1779" s="135" t="s">
        <v>2950</v>
      </c>
      <c r="V1779" s="135" t="s">
        <v>2951</v>
      </c>
      <c r="W1779" s="135"/>
      <c r="X1779" s="135" t="s">
        <v>3904</v>
      </c>
      <c r="Y1779" s="135"/>
      <c r="Z1779" s="135" t="s">
        <v>2858</v>
      </c>
      <c r="AA1779" s="135"/>
      <c r="AB1779" s="135"/>
      <c r="AC1779" s="135"/>
      <c r="AD1779" s="135">
        <v>0.0</v>
      </c>
      <c r="AE1779" s="135"/>
      <c r="AF1779" s="135"/>
      <c r="AG1779" s="135"/>
    </row>
    <row r="1780" ht="21.75" hidden="1" customHeight="1">
      <c r="A1780" s="135">
        <v>1776.0</v>
      </c>
      <c r="B1780" s="135">
        <v>25045.0</v>
      </c>
      <c r="C1780" s="135"/>
      <c r="D1780" s="135">
        <v>8.0</v>
      </c>
      <c r="E1780" s="135" t="s">
        <v>3900</v>
      </c>
      <c r="F1780" s="135" t="s">
        <v>2643</v>
      </c>
      <c r="G1780" s="135" t="s">
        <v>116</v>
      </c>
      <c r="H1780" s="135" t="s">
        <v>2853</v>
      </c>
      <c r="I1780" s="135" t="s">
        <v>126</v>
      </c>
      <c r="J1780" s="135">
        <v>1.0</v>
      </c>
      <c r="K1780" s="135"/>
      <c r="L1780" s="135">
        <v>2820.0</v>
      </c>
      <c r="M1780" s="135">
        <v>1000.0</v>
      </c>
      <c r="N1780" s="135">
        <v>120.0</v>
      </c>
      <c r="O1780" s="135">
        <v>0.468</v>
      </c>
      <c r="P1780" s="136"/>
      <c r="Q1780" s="137">
        <v>1.1700000000000002</v>
      </c>
      <c r="R1780" s="136">
        <v>46132.0</v>
      </c>
      <c r="S1780" s="135" t="s">
        <v>3879</v>
      </c>
      <c r="T1780" s="136"/>
      <c r="U1780" s="135" t="s">
        <v>2950</v>
      </c>
      <c r="V1780" s="135" t="s">
        <v>2951</v>
      </c>
      <c r="W1780" s="135"/>
      <c r="X1780" s="135"/>
      <c r="Y1780" s="135"/>
      <c r="Z1780" s="135" t="s">
        <v>2858</v>
      </c>
      <c r="AA1780" s="135"/>
      <c r="AB1780" s="135"/>
      <c r="AC1780" s="135"/>
      <c r="AD1780" s="135">
        <v>46148.0</v>
      </c>
      <c r="AE1780" s="135"/>
      <c r="AF1780" s="135"/>
      <c r="AG1780" s="135"/>
    </row>
    <row r="1781" ht="21.75" hidden="1" customHeight="1">
      <c r="A1781" s="135">
        <v>1777.0</v>
      </c>
      <c r="B1781" s="135">
        <v>25045.0</v>
      </c>
      <c r="C1781" s="135"/>
      <c r="D1781" s="135">
        <v>8.0</v>
      </c>
      <c r="E1781" s="135" t="s">
        <v>3900</v>
      </c>
      <c r="F1781" s="135" t="s">
        <v>2644</v>
      </c>
      <c r="G1781" s="135" t="s">
        <v>116</v>
      </c>
      <c r="H1781" s="135" t="s">
        <v>2965</v>
      </c>
      <c r="I1781" s="135" t="s">
        <v>126</v>
      </c>
      <c r="J1781" s="135">
        <v>1.0</v>
      </c>
      <c r="K1781" s="135"/>
      <c r="L1781" s="135">
        <v>400.0</v>
      </c>
      <c r="M1781" s="135">
        <v>2930.0</v>
      </c>
      <c r="N1781" s="135">
        <v>350.0</v>
      </c>
      <c r="O1781" s="135">
        <v>0.515</v>
      </c>
      <c r="P1781" s="136"/>
      <c r="Q1781" s="137">
        <v>1.2875</v>
      </c>
      <c r="R1781" s="136">
        <v>46132.0</v>
      </c>
      <c r="S1781" s="135" t="s">
        <v>3879</v>
      </c>
      <c r="T1781" s="136"/>
      <c r="U1781" s="135" t="s">
        <v>2966</v>
      </c>
      <c r="V1781" s="135" t="s">
        <v>2967</v>
      </c>
      <c r="W1781" s="135"/>
      <c r="X1781" s="135" t="s">
        <v>2969</v>
      </c>
      <c r="Y1781" s="135"/>
      <c r="Z1781" s="135" t="s">
        <v>2858</v>
      </c>
      <c r="AA1781" s="135"/>
      <c r="AB1781" s="135"/>
      <c r="AC1781" s="135"/>
      <c r="AD1781" s="135">
        <v>46150.0</v>
      </c>
      <c r="AE1781" s="135"/>
      <c r="AF1781" s="135"/>
      <c r="AG1781" s="135"/>
    </row>
    <row r="1782" ht="21.75" hidden="1" customHeight="1">
      <c r="A1782" s="135">
        <v>1778.0</v>
      </c>
      <c r="B1782" s="135">
        <v>25045.0</v>
      </c>
      <c r="C1782" s="135" t="s">
        <v>2817</v>
      </c>
      <c r="D1782" s="135">
        <v>8.0</v>
      </c>
      <c r="E1782" s="135" t="s">
        <v>3897</v>
      </c>
      <c r="F1782" s="135" t="s">
        <v>2652</v>
      </c>
      <c r="G1782" s="135" t="s">
        <v>116</v>
      </c>
      <c r="H1782" s="135" t="s">
        <v>2853</v>
      </c>
      <c r="I1782" s="135" t="s">
        <v>128</v>
      </c>
      <c r="J1782" s="135">
        <v>1.0</v>
      </c>
      <c r="K1782" s="135" t="s">
        <v>3134</v>
      </c>
      <c r="L1782" s="135">
        <v>2925.0</v>
      </c>
      <c r="M1782" s="135">
        <v>1350.0</v>
      </c>
      <c r="N1782" s="135">
        <v>120.0</v>
      </c>
      <c r="O1782" s="135">
        <v>0.494</v>
      </c>
      <c r="P1782" s="136"/>
      <c r="Q1782" s="137">
        <v>1.2349999999999999</v>
      </c>
      <c r="R1782" s="136">
        <v>46132.0</v>
      </c>
      <c r="S1782" s="135" t="s">
        <v>3879</v>
      </c>
      <c r="T1782" s="136"/>
      <c r="U1782" s="135" t="s">
        <v>2864</v>
      </c>
      <c r="V1782" s="135" t="s">
        <v>2856</v>
      </c>
      <c r="W1782" s="135"/>
      <c r="X1782" s="135"/>
      <c r="Y1782" s="135"/>
      <c r="Z1782" s="135" t="s">
        <v>2858</v>
      </c>
      <c r="AA1782" s="135"/>
      <c r="AB1782" s="135"/>
      <c r="AC1782" s="135"/>
      <c r="AD1782" s="135" t="e">
        <v>#N/A</v>
      </c>
      <c r="AE1782" s="135"/>
      <c r="AF1782" s="135"/>
      <c r="AG1782" s="135"/>
    </row>
    <row r="1783" ht="21.75" hidden="1" customHeight="1">
      <c r="A1783" s="135">
        <v>1779.0</v>
      </c>
      <c r="B1783" s="135">
        <v>25045.0</v>
      </c>
      <c r="C1783" s="135" t="s">
        <v>2817</v>
      </c>
      <c r="D1783" s="135">
        <v>8.0</v>
      </c>
      <c r="E1783" s="135" t="s">
        <v>3897</v>
      </c>
      <c r="F1783" s="135" t="s">
        <v>2653</v>
      </c>
      <c r="G1783" s="135" t="s">
        <v>116</v>
      </c>
      <c r="H1783" s="135" t="s">
        <v>2853</v>
      </c>
      <c r="I1783" s="135" t="s">
        <v>128</v>
      </c>
      <c r="J1783" s="135">
        <v>1.0</v>
      </c>
      <c r="K1783" s="135" t="s">
        <v>3134</v>
      </c>
      <c r="L1783" s="135">
        <v>2925.0</v>
      </c>
      <c r="M1783" s="135">
        <v>1350.0</v>
      </c>
      <c r="N1783" s="135">
        <v>120.0</v>
      </c>
      <c r="O1783" s="135">
        <v>0.494</v>
      </c>
      <c r="P1783" s="136"/>
      <c r="Q1783" s="137">
        <v>1.2349999999999999</v>
      </c>
      <c r="R1783" s="136">
        <v>46132.0</v>
      </c>
      <c r="S1783" s="135" t="s">
        <v>3879</v>
      </c>
      <c r="T1783" s="136"/>
      <c r="U1783" s="135" t="s">
        <v>2864</v>
      </c>
      <c r="V1783" s="135" t="s">
        <v>2856</v>
      </c>
      <c r="W1783" s="135"/>
      <c r="X1783" s="135"/>
      <c r="Y1783" s="135"/>
      <c r="Z1783" s="135" t="s">
        <v>2858</v>
      </c>
      <c r="AA1783" s="135"/>
      <c r="AB1783" s="135"/>
      <c r="AC1783" s="135"/>
      <c r="AD1783" s="135" t="e">
        <v>#N/A</v>
      </c>
      <c r="AE1783" s="135"/>
      <c r="AF1783" s="135"/>
      <c r="AG1783" s="135"/>
    </row>
    <row r="1784" ht="21.75" hidden="1" customHeight="1">
      <c r="A1784" s="135">
        <v>1780.0</v>
      </c>
      <c r="B1784" s="135">
        <v>25045.0</v>
      </c>
      <c r="C1784" s="135" t="s">
        <v>2817</v>
      </c>
      <c r="D1784" s="135">
        <v>8.0</v>
      </c>
      <c r="E1784" s="135" t="s">
        <v>3897</v>
      </c>
      <c r="F1784" s="135" t="s">
        <v>2654</v>
      </c>
      <c r="G1784" s="135" t="s">
        <v>116</v>
      </c>
      <c r="H1784" s="135" t="s">
        <v>2853</v>
      </c>
      <c r="I1784" s="135" t="s">
        <v>128</v>
      </c>
      <c r="J1784" s="135">
        <v>1.0</v>
      </c>
      <c r="K1784" s="135" t="s">
        <v>3134</v>
      </c>
      <c r="L1784" s="135">
        <v>2925.0</v>
      </c>
      <c r="M1784" s="135">
        <v>1350.0</v>
      </c>
      <c r="N1784" s="135">
        <v>120.0</v>
      </c>
      <c r="O1784" s="135">
        <v>0.494</v>
      </c>
      <c r="P1784" s="136"/>
      <c r="Q1784" s="137">
        <v>1.2349999999999999</v>
      </c>
      <c r="R1784" s="136">
        <v>46132.0</v>
      </c>
      <c r="S1784" s="135" t="s">
        <v>3879</v>
      </c>
      <c r="T1784" s="136"/>
      <c r="U1784" s="135" t="s">
        <v>2864</v>
      </c>
      <c r="V1784" s="135" t="s">
        <v>2856</v>
      </c>
      <c r="W1784" s="135"/>
      <c r="X1784" s="135"/>
      <c r="Y1784" s="135"/>
      <c r="Z1784" s="135" t="s">
        <v>2858</v>
      </c>
      <c r="AA1784" s="135"/>
      <c r="AB1784" s="135"/>
      <c r="AC1784" s="135"/>
      <c r="AD1784" s="135" t="e">
        <v>#N/A</v>
      </c>
      <c r="AE1784" s="135"/>
      <c r="AF1784" s="135"/>
      <c r="AG1784" s="135"/>
    </row>
    <row r="1785" ht="21.75" hidden="1" customHeight="1">
      <c r="A1785" s="135">
        <v>1781.0</v>
      </c>
      <c r="B1785" s="135">
        <v>25045.0</v>
      </c>
      <c r="C1785" s="135" t="s">
        <v>2817</v>
      </c>
      <c r="D1785" s="135">
        <v>8.0</v>
      </c>
      <c r="E1785" s="135" t="s">
        <v>3897</v>
      </c>
      <c r="F1785" s="135" t="s">
        <v>2655</v>
      </c>
      <c r="G1785" s="135" t="s">
        <v>116</v>
      </c>
      <c r="H1785" s="135" t="s">
        <v>2853</v>
      </c>
      <c r="I1785" s="135" t="s">
        <v>128</v>
      </c>
      <c r="J1785" s="135">
        <v>1.0</v>
      </c>
      <c r="K1785" s="135" t="s">
        <v>3134</v>
      </c>
      <c r="L1785" s="135">
        <v>2925.0</v>
      </c>
      <c r="M1785" s="135">
        <v>1350.0</v>
      </c>
      <c r="N1785" s="135">
        <v>120.0</v>
      </c>
      <c r="O1785" s="135">
        <v>0.494</v>
      </c>
      <c r="P1785" s="136"/>
      <c r="Q1785" s="137">
        <v>1.2349999999999999</v>
      </c>
      <c r="R1785" s="136">
        <v>46132.0</v>
      </c>
      <c r="S1785" s="135" t="s">
        <v>3879</v>
      </c>
      <c r="T1785" s="136"/>
      <c r="U1785" s="135" t="s">
        <v>2864</v>
      </c>
      <c r="V1785" s="135" t="s">
        <v>2856</v>
      </c>
      <c r="W1785" s="135"/>
      <c r="X1785" s="135"/>
      <c r="Y1785" s="135"/>
      <c r="Z1785" s="135" t="s">
        <v>2858</v>
      </c>
      <c r="AA1785" s="135"/>
      <c r="AB1785" s="135"/>
      <c r="AC1785" s="135"/>
      <c r="AD1785" s="135" t="e">
        <v>#N/A</v>
      </c>
      <c r="AE1785" s="135"/>
      <c r="AF1785" s="135"/>
      <c r="AG1785" s="135"/>
    </row>
    <row r="1786" ht="21.75" hidden="1" customHeight="1">
      <c r="A1786" s="135">
        <v>1782.0</v>
      </c>
      <c r="B1786" s="135">
        <v>25045.0</v>
      </c>
      <c r="C1786" s="135" t="s">
        <v>2817</v>
      </c>
      <c r="D1786" s="135">
        <v>8.0</v>
      </c>
      <c r="E1786" s="135" t="s">
        <v>3897</v>
      </c>
      <c r="F1786" s="135" t="s">
        <v>2656</v>
      </c>
      <c r="G1786" s="135" t="s">
        <v>116</v>
      </c>
      <c r="H1786" s="135" t="s">
        <v>2853</v>
      </c>
      <c r="I1786" s="135" t="s">
        <v>128</v>
      </c>
      <c r="J1786" s="135">
        <v>1.0</v>
      </c>
      <c r="K1786" s="135" t="s">
        <v>3134</v>
      </c>
      <c r="L1786" s="135">
        <v>2925.0</v>
      </c>
      <c r="M1786" s="135">
        <v>1350.0</v>
      </c>
      <c r="N1786" s="135">
        <v>120.0</v>
      </c>
      <c r="O1786" s="135">
        <v>0.494</v>
      </c>
      <c r="P1786" s="136"/>
      <c r="Q1786" s="137">
        <v>1.2349999999999999</v>
      </c>
      <c r="R1786" s="136">
        <v>46132.0</v>
      </c>
      <c r="S1786" s="135" t="s">
        <v>3879</v>
      </c>
      <c r="T1786" s="136"/>
      <c r="U1786" s="135" t="s">
        <v>2864</v>
      </c>
      <c r="V1786" s="135" t="s">
        <v>2856</v>
      </c>
      <c r="W1786" s="135"/>
      <c r="X1786" s="135"/>
      <c r="Y1786" s="135"/>
      <c r="Z1786" s="135" t="s">
        <v>2858</v>
      </c>
      <c r="AA1786" s="135"/>
      <c r="AB1786" s="135"/>
      <c r="AC1786" s="135"/>
      <c r="AD1786" s="135" t="e">
        <v>#N/A</v>
      </c>
      <c r="AE1786" s="135"/>
      <c r="AF1786" s="135"/>
      <c r="AG1786" s="135"/>
    </row>
    <row r="1787" ht="21.75" hidden="1" customHeight="1">
      <c r="A1787" s="135">
        <v>1783.0</v>
      </c>
      <c r="B1787" s="135">
        <v>25045.0</v>
      </c>
      <c r="C1787" s="135" t="s">
        <v>2817</v>
      </c>
      <c r="D1787" s="135">
        <v>8.0</v>
      </c>
      <c r="E1787" s="135" t="s">
        <v>3897</v>
      </c>
      <c r="F1787" s="135" t="s">
        <v>2657</v>
      </c>
      <c r="G1787" s="135" t="s">
        <v>116</v>
      </c>
      <c r="H1787" s="135" t="s">
        <v>2853</v>
      </c>
      <c r="I1787" s="135" t="s">
        <v>128</v>
      </c>
      <c r="J1787" s="135">
        <v>1.0</v>
      </c>
      <c r="K1787" s="135" t="s">
        <v>3134</v>
      </c>
      <c r="L1787" s="135">
        <v>2925.0</v>
      </c>
      <c r="M1787" s="135">
        <v>1350.0</v>
      </c>
      <c r="N1787" s="135">
        <v>120.0</v>
      </c>
      <c r="O1787" s="135">
        <v>0.494</v>
      </c>
      <c r="P1787" s="136"/>
      <c r="Q1787" s="137">
        <v>1.2349999999999999</v>
      </c>
      <c r="R1787" s="136">
        <v>46132.0</v>
      </c>
      <c r="S1787" s="135" t="s">
        <v>3879</v>
      </c>
      <c r="T1787" s="136"/>
      <c r="U1787" s="135" t="s">
        <v>2864</v>
      </c>
      <c r="V1787" s="135" t="s">
        <v>2856</v>
      </c>
      <c r="W1787" s="135"/>
      <c r="X1787" s="135"/>
      <c r="Y1787" s="135"/>
      <c r="Z1787" s="135" t="s">
        <v>2858</v>
      </c>
      <c r="AA1787" s="135"/>
      <c r="AB1787" s="135"/>
      <c r="AC1787" s="135"/>
      <c r="AD1787" s="135" t="e">
        <v>#N/A</v>
      </c>
      <c r="AE1787" s="135"/>
      <c r="AF1787" s="135"/>
      <c r="AG1787" s="135"/>
    </row>
    <row r="1788" ht="21.75" hidden="1" customHeight="1">
      <c r="A1788" s="135">
        <v>1784.0</v>
      </c>
      <c r="B1788" s="135">
        <v>25045.0</v>
      </c>
      <c r="C1788" s="135" t="s">
        <v>2817</v>
      </c>
      <c r="D1788" s="135">
        <v>8.0</v>
      </c>
      <c r="E1788" s="135" t="s">
        <v>3897</v>
      </c>
      <c r="F1788" s="135" t="s">
        <v>2658</v>
      </c>
      <c r="G1788" s="135" t="s">
        <v>116</v>
      </c>
      <c r="H1788" s="135" t="s">
        <v>2853</v>
      </c>
      <c r="I1788" s="135" t="s">
        <v>128</v>
      </c>
      <c r="J1788" s="135">
        <v>1.0</v>
      </c>
      <c r="K1788" s="135" t="s">
        <v>3134</v>
      </c>
      <c r="L1788" s="135">
        <v>2925.0</v>
      </c>
      <c r="M1788" s="135">
        <v>1350.0</v>
      </c>
      <c r="N1788" s="135">
        <v>120.0</v>
      </c>
      <c r="O1788" s="135">
        <v>0.494</v>
      </c>
      <c r="P1788" s="136"/>
      <c r="Q1788" s="137">
        <v>1.2349999999999999</v>
      </c>
      <c r="R1788" s="136">
        <v>46132.0</v>
      </c>
      <c r="S1788" s="135" t="s">
        <v>3879</v>
      </c>
      <c r="T1788" s="136"/>
      <c r="U1788" s="135" t="s">
        <v>2864</v>
      </c>
      <c r="V1788" s="135" t="s">
        <v>2856</v>
      </c>
      <c r="W1788" s="135"/>
      <c r="X1788" s="135"/>
      <c r="Y1788" s="135"/>
      <c r="Z1788" s="135" t="s">
        <v>2858</v>
      </c>
      <c r="AA1788" s="135"/>
      <c r="AB1788" s="135"/>
      <c r="AC1788" s="135"/>
      <c r="AD1788" s="135" t="e">
        <v>#N/A</v>
      </c>
      <c r="AE1788" s="135"/>
      <c r="AF1788" s="135"/>
      <c r="AG1788" s="135"/>
    </row>
    <row r="1789" ht="21.75" hidden="1" customHeight="1">
      <c r="A1789" s="135">
        <v>1785.0</v>
      </c>
      <c r="B1789" s="135">
        <v>25045.0</v>
      </c>
      <c r="C1789" s="135" t="s">
        <v>2817</v>
      </c>
      <c r="D1789" s="135">
        <v>8.0</v>
      </c>
      <c r="E1789" s="135" t="s">
        <v>3897</v>
      </c>
      <c r="F1789" s="135" t="s">
        <v>2659</v>
      </c>
      <c r="G1789" s="135" t="s">
        <v>116</v>
      </c>
      <c r="H1789" s="135" t="s">
        <v>2853</v>
      </c>
      <c r="I1789" s="135" t="s">
        <v>128</v>
      </c>
      <c r="J1789" s="135">
        <v>1.0</v>
      </c>
      <c r="K1789" s="135" t="s">
        <v>3134</v>
      </c>
      <c r="L1789" s="135">
        <v>2925.0</v>
      </c>
      <c r="M1789" s="135">
        <v>1350.0</v>
      </c>
      <c r="N1789" s="135">
        <v>120.0</v>
      </c>
      <c r="O1789" s="135">
        <v>0.494</v>
      </c>
      <c r="P1789" s="136"/>
      <c r="Q1789" s="137">
        <v>1.2349999999999999</v>
      </c>
      <c r="R1789" s="136">
        <v>46132.0</v>
      </c>
      <c r="S1789" s="135" t="s">
        <v>3879</v>
      </c>
      <c r="T1789" s="136"/>
      <c r="U1789" s="135" t="s">
        <v>2864</v>
      </c>
      <c r="V1789" s="135" t="s">
        <v>2856</v>
      </c>
      <c r="W1789" s="135"/>
      <c r="X1789" s="135"/>
      <c r="Y1789" s="135"/>
      <c r="Z1789" s="135" t="s">
        <v>2858</v>
      </c>
      <c r="AA1789" s="135"/>
      <c r="AB1789" s="135"/>
      <c r="AC1789" s="135"/>
      <c r="AD1789" s="135" t="e">
        <v>#N/A</v>
      </c>
      <c r="AE1789" s="135"/>
      <c r="AF1789" s="135"/>
      <c r="AG1789" s="135"/>
    </row>
    <row r="1790" ht="21.75" hidden="1" customHeight="1">
      <c r="A1790" s="135">
        <v>1786.0</v>
      </c>
      <c r="B1790" s="135">
        <v>25045.0</v>
      </c>
      <c r="C1790" s="135" t="s">
        <v>2817</v>
      </c>
      <c r="D1790" s="135">
        <v>8.0</v>
      </c>
      <c r="E1790" s="135" t="s">
        <v>3897</v>
      </c>
      <c r="F1790" s="135" t="s">
        <v>2660</v>
      </c>
      <c r="G1790" s="135" t="s">
        <v>116</v>
      </c>
      <c r="H1790" s="135" t="s">
        <v>2853</v>
      </c>
      <c r="I1790" s="135" t="s">
        <v>128</v>
      </c>
      <c r="J1790" s="135">
        <v>1.0</v>
      </c>
      <c r="K1790" s="135"/>
      <c r="L1790" s="135">
        <v>2905.0</v>
      </c>
      <c r="M1790" s="135">
        <v>1350.0</v>
      </c>
      <c r="N1790" s="135">
        <v>120.0</v>
      </c>
      <c r="O1790" s="135">
        <v>0.494</v>
      </c>
      <c r="P1790" s="136"/>
      <c r="Q1790" s="137">
        <v>1.2349999999999999</v>
      </c>
      <c r="R1790" s="136">
        <v>46132.0</v>
      </c>
      <c r="S1790" s="135" t="s">
        <v>3879</v>
      </c>
      <c r="T1790" s="136"/>
      <c r="U1790" s="135" t="s">
        <v>2864</v>
      </c>
      <c r="V1790" s="135" t="s">
        <v>2856</v>
      </c>
      <c r="W1790" s="135"/>
      <c r="X1790" s="135"/>
      <c r="Y1790" s="135"/>
      <c r="Z1790" s="135" t="s">
        <v>2858</v>
      </c>
      <c r="AA1790" s="135"/>
      <c r="AB1790" s="135"/>
      <c r="AC1790" s="135"/>
      <c r="AD1790" s="135" t="e">
        <v>#N/A</v>
      </c>
      <c r="AE1790" s="135"/>
      <c r="AF1790" s="135"/>
      <c r="AG1790" s="135"/>
    </row>
    <row r="1791" ht="21.75" hidden="1" customHeight="1">
      <c r="A1791" s="135">
        <v>1787.0</v>
      </c>
      <c r="B1791" s="135">
        <v>25045.0</v>
      </c>
      <c r="C1791" s="135" t="s">
        <v>2817</v>
      </c>
      <c r="D1791" s="135">
        <v>8.0</v>
      </c>
      <c r="E1791" s="135" t="s">
        <v>3897</v>
      </c>
      <c r="F1791" s="135" t="s">
        <v>2661</v>
      </c>
      <c r="G1791" s="135" t="s">
        <v>116</v>
      </c>
      <c r="H1791" s="135" t="s">
        <v>2853</v>
      </c>
      <c r="I1791" s="135" t="s">
        <v>128</v>
      </c>
      <c r="J1791" s="135">
        <v>1.0</v>
      </c>
      <c r="K1791" s="135"/>
      <c r="L1791" s="135">
        <v>2195.0</v>
      </c>
      <c r="M1791" s="135">
        <v>2850.0</v>
      </c>
      <c r="N1791" s="135">
        <v>120.0</v>
      </c>
      <c r="O1791" s="135">
        <v>0.79</v>
      </c>
      <c r="P1791" s="136"/>
      <c r="Q1791" s="137">
        <v>1.975</v>
      </c>
      <c r="R1791" s="136">
        <v>46132.0</v>
      </c>
      <c r="S1791" s="135" t="s">
        <v>3879</v>
      </c>
      <c r="T1791" s="136"/>
      <c r="U1791" s="135" t="s">
        <v>2864</v>
      </c>
      <c r="V1791" s="135" t="s">
        <v>2878</v>
      </c>
      <c r="W1791" s="135"/>
      <c r="X1791" s="135" t="s">
        <v>3764</v>
      </c>
      <c r="Y1791" s="135"/>
      <c r="Z1791" s="135" t="s">
        <v>2858</v>
      </c>
      <c r="AA1791" s="135"/>
      <c r="AB1791" s="135"/>
      <c r="AC1791" s="135"/>
      <c r="AD1791" s="135" t="e">
        <v>#N/A</v>
      </c>
      <c r="AE1791" s="135"/>
      <c r="AF1791" s="135"/>
      <c r="AG1791" s="135"/>
    </row>
    <row r="1792" ht="21.75" hidden="1" customHeight="1">
      <c r="A1792" s="135">
        <v>1788.0</v>
      </c>
      <c r="B1792" s="135">
        <v>25045.0</v>
      </c>
      <c r="C1792" s="135"/>
      <c r="D1792" s="135">
        <v>8.0</v>
      </c>
      <c r="E1792" s="135" t="s">
        <v>3897</v>
      </c>
      <c r="F1792" s="135" t="s">
        <v>2662</v>
      </c>
      <c r="G1792" s="135" t="s">
        <v>116</v>
      </c>
      <c r="H1792" s="135" t="s">
        <v>2853</v>
      </c>
      <c r="I1792" s="135" t="s">
        <v>128</v>
      </c>
      <c r="J1792" s="135">
        <v>1.0</v>
      </c>
      <c r="K1792" s="135"/>
      <c r="L1792" s="135">
        <v>3940.0</v>
      </c>
      <c r="M1792" s="135">
        <v>2850.0</v>
      </c>
      <c r="N1792" s="135">
        <v>120.0</v>
      </c>
      <c r="O1792" s="135">
        <v>1.544</v>
      </c>
      <c r="P1792" s="136"/>
      <c r="Q1792" s="137">
        <v>3.8600000000000003</v>
      </c>
      <c r="R1792" s="136">
        <v>46132.0</v>
      </c>
      <c r="S1792" s="135" t="s">
        <v>3879</v>
      </c>
      <c r="T1792" s="136"/>
      <c r="U1792" s="135" t="s">
        <v>2864</v>
      </c>
      <c r="V1792" s="135" t="s">
        <v>3100</v>
      </c>
      <c r="W1792" s="135"/>
      <c r="X1792" s="135"/>
      <c r="Y1792" s="135"/>
      <c r="Z1792" s="135" t="s">
        <v>2858</v>
      </c>
      <c r="AA1792" s="135"/>
      <c r="AB1792" s="135"/>
      <c r="AC1792" s="135"/>
      <c r="AD1792" s="135">
        <v>46153.0</v>
      </c>
      <c r="AE1792" s="135"/>
      <c r="AF1792" s="135"/>
      <c r="AG1792" s="135"/>
    </row>
    <row r="1793" ht="21.75" hidden="1" customHeight="1">
      <c r="A1793" s="135">
        <v>1789.0</v>
      </c>
      <c r="B1793" s="135">
        <v>25045.0</v>
      </c>
      <c r="C1793" s="135"/>
      <c r="D1793" s="135">
        <v>8.0</v>
      </c>
      <c r="E1793" s="135" t="s">
        <v>3897</v>
      </c>
      <c r="F1793" s="135" t="s">
        <v>2663</v>
      </c>
      <c r="G1793" s="135" t="s">
        <v>116</v>
      </c>
      <c r="H1793" s="135" t="s">
        <v>2853</v>
      </c>
      <c r="I1793" s="135" t="s">
        <v>128</v>
      </c>
      <c r="J1793" s="135">
        <v>1.0</v>
      </c>
      <c r="K1793" s="135" t="s">
        <v>3134</v>
      </c>
      <c r="L1793" s="135">
        <v>3921.0</v>
      </c>
      <c r="M1793" s="135">
        <v>2850.0</v>
      </c>
      <c r="N1793" s="135">
        <v>120.0</v>
      </c>
      <c r="O1793" s="135">
        <v>1.495</v>
      </c>
      <c r="P1793" s="136"/>
      <c r="Q1793" s="137">
        <v>3.7375000000000003</v>
      </c>
      <c r="R1793" s="136">
        <v>46132.0</v>
      </c>
      <c r="S1793" s="135" t="s">
        <v>3879</v>
      </c>
      <c r="T1793" s="136"/>
      <c r="U1793" s="135" t="s">
        <v>2864</v>
      </c>
      <c r="V1793" s="135" t="s">
        <v>3100</v>
      </c>
      <c r="W1793" s="135"/>
      <c r="X1793" s="135"/>
      <c r="Y1793" s="135"/>
      <c r="Z1793" s="135" t="s">
        <v>2858</v>
      </c>
      <c r="AA1793" s="135"/>
      <c r="AB1793" s="135"/>
      <c r="AC1793" s="135"/>
      <c r="AD1793" s="135">
        <v>46146.0</v>
      </c>
      <c r="AE1793" s="135"/>
      <c r="AF1793" s="135"/>
      <c r="AG1793" s="135"/>
    </row>
    <row r="1794" ht="21.75" hidden="1" customHeight="1">
      <c r="A1794" s="135">
        <v>1790.0</v>
      </c>
      <c r="B1794" s="135">
        <v>25045.0</v>
      </c>
      <c r="C1794" s="135"/>
      <c r="D1794" s="135">
        <v>8.0</v>
      </c>
      <c r="E1794" s="135" t="s">
        <v>3897</v>
      </c>
      <c r="F1794" s="135" t="s">
        <v>2664</v>
      </c>
      <c r="G1794" s="135" t="s">
        <v>116</v>
      </c>
      <c r="H1794" s="135" t="s">
        <v>2853</v>
      </c>
      <c r="I1794" s="135" t="s">
        <v>128</v>
      </c>
      <c r="J1794" s="135">
        <v>1.0</v>
      </c>
      <c r="K1794" s="135" t="s">
        <v>3134</v>
      </c>
      <c r="L1794" s="135">
        <v>3921.0</v>
      </c>
      <c r="M1794" s="135">
        <v>2850.0</v>
      </c>
      <c r="N1794" s="135">
        <v>120.0</v>
      </c>
      <c r="O1794" s="135">
        <v>1.495</v>
      </c>
      <c r="P1794" s="136"/>
      <c r="Q1794" s="137">
        <v>3.7375000000000003</v>
      </c>
      <c r="R1794" s="136">
        <v>46132.0</v>
      </c>
      <c r="S1794" s="135" t="s">
        <v>3879</v>
      </c>
      <c r="T1794" s="136"/>
      <c r="U1794" s="135" t="s">
        <v>2864</v>
      </c>
      <c r="V1794" s="135" t="s">
        <v>3100</v>
      </c>
      <c r="W1794" s="135"/>
      <c r="X1794" s="135"/>
      <c r="Y1794" s="135"/>
      <c r="Z1794" s="135" t="s">
        <v>2858</v>
      </c>
      <c r="AA1794" s="135"/>
      <c r="AB1794" s="135"/>
      <c r="AC1794" s="135"/>
      <c r="AD1794" s="135">
        <v>46147.0</v>
      </c>
      <c r="AE1794" s="135"/>
      <c r="AF1794" s="135"/>
      <c r="AG1794" s="135"/>
    </row>
    <row r="1795" ht="21.75" hidden="1" customHeight="1">
      <c r="A1795" s="135">
        <v>1791.0</v>
      </c>
      <c r="B1795" s="135">
        <v>25045.0</v>
      </c>
      <c r="C1795" s="135"/>
      <c r="D1795" s="135">
        <v>8.0</v>
      </c>
      <c r="E1795" s="135" t="s">
        <v>3897</v>
      </c>
      <c r="F1795" s="135" t="s">
        <v>2665</v>
      </c>
      <c r="G1795" s="135" t="s">
        <v>116</v>
      </c>
      <c r="H1795" s="135" t="s">
        <v>2853</v>
      </c>
      <c r="I1795" s="135" t="s">
        <v>128</v>
      </c>
      <c r="J1795" s="135">
        <v>1.0</v>
      </c>
      <c r="K1795" s="135" t="s">
        <v>3134</v>
      </c>
      <c r="L1795" s="135">
        <v>3921.0</v>
      </c>
      <c r="M1795" s="135">
        <v>2850.0</v>
      </c>
      <c r="N1795" s="135">
        <v>120.0</v>
      </c>
      <c r="O1795" s="135">
        <v>1.495</v>
      </c>
      <c r="P1795" s="136"/>
      <c r="Q1795" s="137">
        <v>3.7375000000000003</v>
      </c>
      <c r="R1795" s="136">
        <v>46132.0</v>
      </c>
      <c r="S1795" s="135" t="s">
        <v>3879</v>
      </c>
      <c r="T1795" s="136"/>
      <c r="U1795" s="135" t="s">
        <v>2864</v>
      </c>
      <c r="V1795" s="135" t="s">
        <v>3100</v>
      </c>
      <c r="W1795" s="135"/>
      <c r="X1795" s="135"/>
      <c r="Y1795" s="135"/>
      <c r="Z1795" s="135" t="s">
        <v>2858</v>
      </c>
      <c r="AA1795" s="135"/>
      <c r="AB1795" s="135"/>
      <c r="AC1795" s="135"/>
      <c r="AD1795" s="135">
        <v>46148.0</v>
      </c>
      <c r="AE1795" s="135"/>
      <c r="AF1795" s="135"/>
      <c r="AG1795" s="135"/>
    </row>
    <row r="1796" ht="21.75" hidden="1" customHeight="1">
      <c r="A1796" s="135">
        <v>1792.0</v>
      </c>
      <c r="B1796" s="135">
        <v>25045.0</v>
      </c>
      <c r="C1796" s="135"/>
      <c r="D1796" s="135">
        <v>8.0</v>
      </c>
      <c r="E1796" s="135" t="s">
        <v>3901</v>
      </c>
      <c r="F1796" s="135" t="s">
        <v>2675</v>
      </c>
      <c r="G1796" s="135" t="s">
        <v>116</v>
      </c>
      <c r="H1796" s="135" t="s">
        <v>2853</v>
      </c>
      <c r="I1796" s="135" t="s">
        <v>130</v>
      </c>
      <c r="J1796" s="135">
        <v>1.0</v>
      </c>
      <c r="K1796" s="135" t="s">
        <v>3134</v>
      </c>
      <c r="L1796" s="135">
        <v>3921.0</v>
      </c>
      <c r="M1796" s="135">
        <v>2850.0</v>
      </c>
      <c r="N1796" s="135">
        <v>120.0</v>
      </c>
      <c r="O1796" s="135">
        <v>1.495</v>
      </c>
      <c r="P1796" s="136"/>
      <c r="Q1796" s="137">
        <v>3.7375000000000003</v>
      </c>
      <c r="R1796" s="136">
        <v>46132.0</v>
      </c>
      <c r="S1796" s="135" t="s">
        <v>3879</v>
      </c>
      <c r="T1796" s="136"/>
      <c r="U1796" s="135" t="s">
        <v>2864</v>
      </c>
      <c r="V1796" s="135" t="s">
        <v>3100</v>
      </c>
      <c r="W1796" s="135"/>
      <c r="X1796" s="135"/>
      <c r="Y1796" s="135"/>
      <c r="Z1796" s="135" t="s">
        <v>2858</v>
      </c>
      <c r="AA1796" s="135"/>
      <c r="AB1796" s="135"/>
      <c r="AC1796" s="135"/>
      <c r="AD1796" s="135">
        <v>46149.0</v>
      </c>
      <c r="AE1796" s="135"/>
      <c r="AF1796" s="135"/>
      <c r="AG1796" s="135"/>
    </row>
    <row r="1797" ht="21.75" hidden="1" customHeight="1">
      <c r="A1797" s="135">
        <v>1793.0</v>
      </c>
      <c r="B1797" s="135">
        <v>25045.0</v>
      </c>
      <c r="C1797" s="135"/>
      <c r="D1797" s="135">
        <v>8.0</v>
      </c>
      <c r="E1797" s="135" t="s">
        <v>3901</v>
      </c>
      <c r="F1797" s="135" t="s">
        <v>2676</v>
      </c>
      <c r="G1797" s="135" t="s">
        <v>116</v>
      </c>
      <c r="H1797" s="135" t="s">
        <v>2853</v>
      </c>
      <c r="I1797" s="135" t="s">
        <v>130</v>
      </c>
      <c r="J1797" s="135">
        <v>1.0</v>
      </c>
      <c r="K1797" s="135" t="s">
        <v>3134</v>
      </c>
      <c r="L1797" s="135">
        <v>3921.0</v>
      </c>
      <c r="M1797" s="135">
        <v>2850.0</v>
      </c>
      <c r="N1797" s="135">
        <v>120.0</v>
      </c>
      <c r="O1797" s="135">
        <v>1.495</v>
      </c>
      <c r="P1797" s="136"/>
      <c r="Q1797" s="137">
        <v>3.7375000000000003</v>
      </c>
      <c r="R1797" s="136">
        <v>46132.0</v>
      </c>
      <c r="S1797" s="135" t="s">
        <v>3879</v>
      </c>
      <c r="T1797" s="136"/>
      <c r="U1797" s="135" t="s">
        <v>2864</v>
      </c>
      <c r="V1797" s="135" t="s">
        <v>3100</v>
      </c>
      <c r="W1797" s="135"/>
      <c r="X1797" s="135"/>
      <c r="Y1797" s="135"/>
      <c r="Z1797" s="135" t="s">
        <v>2858</v>
      </c>
      <c r="AA1797" s="135"/>
      <c r="AB1797" s="135"/>
      <c r="AC1797" s="135"/>
      <c r="AD1797" s="135">
        <v>46150.0</v>
      </c>
      <c r="AE1797" s="135"/>
      <c r="AF1797" s="135"/>
      <c r="AG1797" s="135"/>
    </row>
    <row r="1798" ht="21.75" hidden="1" customHeight="1">
      <c r="A1798" s="135">
        <v>1794.0</v>
      </c>
      <c r="B1798" s="135">
        <v>25045.0</v>
      </c>
      <c r="C1798" s="135"/>
      <c r="D1798" s="135">
        <v>8.0</v>
      </c>
      <c r="E1798" s="135" t="s">
        <v>3901</v>
      </c>
      <c r="F1798" s="135" t="s">
        <v>2677</v>
      </c>
      <c r="G1798" s="135" t="s">
        <v>116</v>
      </c>
      <c r="H1798" s="135" t="s">
        <v>2853</v>
      </c>
      <c r="I1798" s="135" t="s">
        <v>130</v>
      </c>
      <c r="J1798" s="135">
        <v>1.0</v>
      </c>
      <c r="K1798" s="135" t="s">
        <v>3134</v>
      </c>
      <c r="L1798" s="135">
        <v>3921.0</v>
      </c>
      <c r="M1798" s="135">
        <v>2850.0</v>
      </c>
      <c r="N1798" s="135">
        <v>120.0</v>
      </c>
      <c r="O1798" s="135">
        <v>1.495</v>
      </c>
      <c r="P1798" s="136"/>
      <c r="Q1798" s="137">
        <v>3.7375000000000003</v>
      </c>
      <c r="R1798" s="136">
        <v>46132.0</v>
      </c>
      <c r="S1798" s="135" t="s">
        <v>3879</v>
      </c>
      <c r="T1798" s="136"/>
      <c r="U1798" s="135" t="s">
        <v>2864</v>
      </c>
      <c r="V1798" s="135" t="s">
        <v>3100</v>
      </c>
      <c r="W1798" s="135"/>
      <c r="X1798" s="135"/>
      <c r="Y1798" s="135"/>
      <c r="Z1798" s="135" t="s">
        <v>2858</v>
      </c>
      <c r="AA1798" s="135"/>
      <c r="AB1798" s="135"/>
      <c r="AC1798" s="135"/>
      <c r="AD1798" s="135">
        <v>46151.0</v>
      </c>
      <c r="AE1798" s="135"/>
      <c r="AF1798" s="135"/>
      <c r="AG1798" s="135"/>
    </row>
    <row r="1799" ht="21.75" hidden="1" customHeight="1">
      <c r="A1799" s="135">
        <v>1795.0</v>
      </c>
      <c r="B1799" s="135">
        <v>25045.0</v>
      </c>
      <c r="C1799" s="135"/>
      <c r="D1799" s="135">
        <v>8.0</v>
      </c>
      <c r="E1799" s="135" t="s">
        <v>3897</v>
      </c>
      <c r="F1799" s="135" t="s">
        <v>2666</v>
      </c>
      <c r="G1799" s="135" t="s">
        <v>116</v>
      </c>
      <c r="H1799" s="135" t="s">
        <v>2853</v>
      </c>
      <c r="I1799" s="135" t="s">
        <v>128</v>
      </c>
      <c r="J1799" s="135">
        <v>1.0</v>
      </c>
      <c r="K1799" s="135"/>
      <c r="L1799" s="135">
        <v>3921.0</v>
      </c>
      <c r="M1799" s="135">
        <v>2850.0</v>
      </c>
      <c r="N1799" s="135">
        <v>120.0</v>
      </c>
      <c r="O1799" s="135">
        <v>1.206</v>
      </c>
      <c r="P1799" s="136"/>
      <c r="Q1799" s="137">
        <v>3.0149999999999997</v>
      </c>
      <c r="R1799" s="136">
        <v>46132.0</v>
      </c>
      <c r="S1799" s="135" t="s">
        <v>3879</v>
      </c>
      <c r="T1799" s="136"/>
      <c r="U1799" s="135" t="s">
        <v>2864</v>
      </c>
      <c r="V1799" s="135" t="s">
        <v>3100</v>
      </c>
      <c r="W1799" s="135"/>
      <c r="X1799" s="135" t="s">
        <v>2892</v>
      </c>
      <c r="Y1799" s="135"/>
      <c r="Z1799" s="135" t="s">
        <v>2858</v>
      </c>
      <c r="AA1799" s="135"/>
      <c r="AB1799" s="135"/>
      <c r="AC1799" s="135"/>
      <c r="AD1799" s="135">
        <v>46151.0</v>
      </c>
      <c r="AE1799" s="135"/>
      <c r="AF1799" s="135"/>
      <c r="AG1799" s="135"/>
    </row>
    <row r="1800" ht="21.75" hidden="1" customHeight="1">
      <c r="A1800" s="135">
        <v>1796.0</v>
      </c>
      <c r="B1800" s="135">
        <v>25045.0</v>
      </c>
      <c r="C1800" s="135"/>
      <c r="D1800" s="135">
        <v>8.0</v>
      </c>
      <c r="E1800" s="135" t="s">
        <v>3897</v>
      </c>
      <c r="F1800" s="135" t="s">
        <v>2667</v>
      </c>
      <c r="G1800" s="135" t="s">
        <v>116</v>
      </c>
      <c r="H1800" s="135" t="s">
        <v>2853</v>
      </c>
      <c r="I1800" s="135" t="s">
        <v>128</v>
      </c>
      <c r="J1800" s="135">
        <v>1.0</v>
      </c>
      <c r="K1800" s="135"/>
      <c r="L1800" s="135">
        <v>4552.0</v>
      </c>
      <c r="M1800" s="135">
        <v>2800.0</v>
      </c>
      <c r="N1800" s="135">
        <v>120.0</v>
      </c>
      <c r="O1800" s="135">
        <v>1.5</v>
      </c>
      <c r="P1800" s="136"/>
      <c r="Q1800" s="137">
        <v>3.75</v>
      </c>
      <c r="R1800" s="136">
        <v>46132.0</v>
      </c>
      <c r="S1800" s="135" t="s">
        <v>3879</v>
      </c>
      <c r="T1800" s="136"/>
      <c r="U1800" s="135" t="s">
        <v>2864</v>
      </c>
      <c r="V1800" s="135" t="s">
        <v>2985</v>
      </c>
      <c r="W1800" s="135"/>
      <c r="X1800" s="135" t="s">
        <v>2895</v>
      </c>
      <c r="Y1800" s="135"/>
      <c r="Z1800" s="135" t="s">
        <v>2858</v>
      </c>
      <c r="AA1800" s="135"/>
      <c r="AB1800" s="135"/>
      <c r="AC1800" s="135"/>
      <c r="AD1800" s="135">
        <v>46157.0</v>
      </c>
      <c r="AE1800" s="135"/>
      <c r="AF1800" s="135"/>
      <c r="AG1800" s="135"/>
    </row>
    <row r="1801" ht="21.75" hidden="1" customHeight="1">
      <c r="A1801" s="135">
        <v>1797.0</v>
      </c>
      <c r="B1801" s="135">
        <v>25045.0</v>
      </c>
      <c r="C1801" s="135"/>
      <c r="D1801" s="135">
        <v>8.0</v>
      </c>
      <c r="E1801" s="135" t="s">
        <v>3897</v>
      </c>
      <c r="F1801" s="135" t="s">
        <v>2668</v>
      </c>
      <c r="G1801" s="135" t="s">
        <v>116</v>
      </c>
      <c r="H1801" s="135" t="s">
        <v>2853</v>
      </c>
      <c r="I1801" s="135" t="s">
        <v>128</v>
      </c>
      <c r="J1801" s="135">
        <v>1.0</v>
      </c>
      <c r="K1801" s="135"/>
      <c r="L1801" s="135">
        <v>4552.0</v>
      </c>
      <c r="M1801" s="135">
        <v>3050.0</v>
      </c>
      <c r="N1801" s="135">
        <v>120.0</v>
      </c>
      <c r="O1801" s="135">
        <v>1.911</v>
      </c>
      <c r="P1801" s="136"/>
      <c r="Q1801" s="137">
        <v>4.7775</v>
      </c>
      <c r="R1801" s="136">
        <v>46132.0</v>
      </c>
      <c r="S1801" s="135" t="s">
        <v>3879</v>
      </c>
      <c r="T1801" s="136"/>
      <c r="U1801" s="135" t="s">
        <v>2864</v>
      </c>
      <c r="V1801" s="135" t="s">
        <v>2985</v>
      </c>
      <c r="W1801" s="135"/>
      <c r="X1801" s="135"/>
      <c r="Y1801" s="135"/>
      <c r="Z1801" s="135" t="s">
        <v>2858</v>
      </c>
      <c r="AA1801" s="135"/>
      <c r="AB1801" s="135"/>
      <c r="AC1801" s="135"/>
      <c r="AD1801" s="135">
        <v>46151.0</v>
      </c>
      <c r="AE1801" s="135"/>
      <c r="AF1801" s="135"/>
      <c r="AG1801" s="135"/>
    </row>
    <row r="1802" ht="21.75" hidden="1" customHeight="1">
      <c r="A1802" s="135">
        <v>1798.0</v>
      </c>
      <c r="B1802" s="135">
        <v>25045.0</v>
      </c>
      <c r="C1802" s="135"/>
      <c r="D1802" s="135">
        <v>8.0</v>
      </c>
      <c r="E1802" s="135" t="s">
        <v>3897</v>
      </c>
      <c r="F1802" s="135" t="s">
        <v>2669</v>
      </c>
      <c r="G1802" s="135" t="s">
        <v>116</v>
      </c>
      <c r="H1802" s="135" t="s">
        <v>2853</v>
      </c>
      <c r="I1802" s="135" t="s">
        <v>128</v>
      </c>
      <c r="J1802" s="135">
        <v>1.0</v>
      </c>
      <c r="K1802" s="135"/>
      <c r="L1802" s="135">
        <v>2140.0</v>
      </c>
      <c r="M1802" s="135">
        <v>940.0</v>
      </c>
      <c r="N1802" s="135">
        <v>120.0</v>
      </c>
      <c r="O1802" s="135">
        <v>0.377</v>
      </c>
      <c r="P1802" s="136"/>
      <c r="Q1802" s="137">
        <v>0.9425</v>
      </c>
      <c r="R1802" s="136">
        <v>46132.0</v>
      </c>
      <c r="S1802" s="135" t="s">
        <v>3879</v>
      </c>
      <c r="T1802" s="136"/>
      <c r="U1802" s="135" t="s">
        <v>2864</v>
      </c>
      <c r="V1802" s="135" t="s">
        <v>2856</v>
      </c>
      <c r="W1802" s="135"/>
      <c r="X1802" s="135"/>
      <c r="Y1802" s="135"/>
      <c r="Z1802" s="135" t="s">
        <v>2858</v>
      </c>
      <c r="AA1802" s="135"/>
      <c r="AB1802" s="135"/>
      <c r="AC1802" s="135"/>
      <c r="AD1802" s="135">
        <v>46150.0</v>
      </c>
      <c r="AE1802" s="135"/>
      <c r="AF1802" s="135"/>
      <c r="AG1802" s="135"/>
    </row>
    <row r="1803" ht="21.75" hidden="1" customHeight="1">
      <c r="A1803" s="135">
        <v>1799.0</v>
      </c>
      <c r="B1803" s="135">
        <v>25045.0</v>
      </c>
      <c r="C1803" s="135"/>
      <c r="D1803" s="135">
        <v>8.0</v>
      </c>
      <c r="E1803" s="135" t="s">
        <v>3897</v>
      </c>
      <c r="F1803" s="135" t="s">
        <v>2670</v>
      </c>
      <c r="G1803" s="135" t="s">
        <v>116</v>
      </c>
      <c r="H1803" s="135" t="s">
        <v>2853</v>
      </c>
      <c r="I1803" s="135" t="s">
        <v>128</v>
      </c>
      <c r="J1803" s="135">
        <v>1.0</v>
      </c>
      <c r="K1803" s="135"/>
      <c r="L1803" s="135">
        <v>3290.0</v>
      </c>
      <c r="M1803" s="135">
        <v>1000.0</v>
      </c>
      <c r="N1803" s="135">
        <v>120.0</v>
      </c>
      <c r="O1803" s="135">
        <v>0.468</v>
      </c>
      <c r="P1803" s="136"/>
      <c r="Q1803" s="137">
        <v>1.1700000000000002</v>
      </c>
      <c r="R1803" s="136">
        <v>46132.0</v>
      </c>
      <c r="S1803" s="135" t="s">
        <v>3879</v>
      </c>
      <c r="T1803" s="136"/>
      <c r="U1803" s="135" t="s">
        <v>2950</v>
      </c>
      <c r="V1803" s="135" t="s">
        <v>2951</v>
      </c>
      <c r="W1803" s="135"/>
      <c r="X1803" s="135"/>
      <c r="Y1803" s="135"/>
      <c r="Z1803" s="135" t="s">
        <v>2858</v>
      </c>
      <c r="AA1803" s="135"/>
      <c r="AB1803" s="135"/>
      <c r="AC1803" s="135"/>
      <c r="AD1803" s="135">
        <v>46151.0</v>
      </c>
      <c r="AE1803" s="135"/>
      <c r="AF1803" s="135"/>
      <c r="AG1803" s="135"/>
    </row>
    <row r="1804" ht="21.75" hidden="1" customHeight="1">
      <c r="A1804" s="135">
        <v>1800.0</v>
      </c>
      <c r="B1804" s="135">
        <v>25045.0</v>
      </c>
      <c r="C1804" s="135" t="s">
        <v>2817</v>
      </c>
      <c r="D1804" s="135">
        <v>8.0</v>
      </c>
      <c r="E1804" s="135" t="s">
        <v>3901</v>
      </c>
      <c r="F1804" s="135" t="s">
        <v>2678</v>
      </c>
      <c r="G1804" s="135" t="s">
        <v>116</v>
      </c>
      <c r="H1804" s="135" t="s">
        <v>2853</v>
      </c>
      <c r="I1804" s="135" t="s">
        <v>130</v>
      </c>
      <c r="J1804" s="135">
        <v>1.0</v>
      </c>
      <c r="K1804" s="135" t="s">
        <v>3134</v>
      </c>
      <c r="L1804" s="135">
        <v>5623.0</v>
      </c>
      <c r="M1804" s="135">
        <v>1350.0</v>
      </c>
      <c r="N1804" s="135">
        <v>120.0</v>
      </c>
      <c r="O1804" s="135">
        <v>0.968</v>
      </c>
      <c r="P1804" s="136"/>
      <c r="Q1804" s="137">
        <v>2.42</v>
      </c>
      <c r="R1804" s="136">
        <v>46132.0</v>
      </c>
      <c r="S1804" s="135" t="s">
        <v>3879</v>
      </c>
      <c r="T1804" s="136"/>
      <c r="U1804" s="135" t="s">
        <v>2855</v>
      </c>
      <c r="V1804" s="135" t="s">
        <v>2856</v>
      </c>
      <c r="W1804" s="135"/>
      <c r="X1804" s="135"/>
      <c r="Y1804" s="135"/>
      <c r="Z1804" s="135" t="s">
        <v>2858</v>
      </c>
      <c r="AA1804" s="135"/>
      <c r="AB1804" s="135"/>
      <c r="AC1804" s="135"/>
      <c r="AD1804" s="135" t="e">
        <v>#N/A</v>
      </c>
      <c r="AE1804" s="135"/>
      <c r="AF1804" s="135"/>
      <c r="AG1804" s="135"/>
    </row>
    <row r="1805" ht="21.75" hidden="1" customHeight="1">
      <c r="A1805" s="135">
        <v>1801.0</v>
      </c>
      <c r="B1805" s="135">
        <v>25045.0</v>
      </c>
      <c r="C1805" s="135" t="s">
        <v>2817</v>
      </c>
      <c r="D1805" s="135">
        <v>8.0</v>
      </c>
      <c r="E1805" s="135" t="s">
        <v>3901</v>
      </c>
      <c r="F1805" s="135" t="s">
        <v>2679</v>
      </c>
      <c r="G1805" s="135" t="s">
        <v>116</v>
      </c>
      <c r="H1805" s="135" t="s">
        <v>2853</v>
      </c>
      <c r="I1805" s="135" t="s">
        <v>130</v>
      </c>
      <c r="J1805" s="135">
        <v>1.0</v>
      </c>
      <c r="K1805" s="135" t="s">
        <v>3134</v>
      </c>
      <c r="L1805" s="135">
        <v>5623.0</v>
      </c>
      <c r="M1805" s="135">
        <v>1350.0</v>
      </c>
      <c r="N1805" s="135">
        <v>120.0</v>
      </c>
      <c r="O1805" s="135">
        <v>0.968</v>
      </c>
      <c r="P1805" s="136"/>
      <c r="Q1805" s="137">
        <v>2.42</v>
      </c>
      <c r="R1805" s="136">
        <v>46132.0</v>
      </c>
      <c r="S1805" s="135" t="s">
        <v>3879</v>
      </c>
      <c r="T1805" s="136"/>
      <c r="U1805" s="135" t="s">
        <v>2855</v>
      </c>
      <c r="V1805" s="135" t="s">
        <v>2856</v>
      </c>
      <c r="W1805" s="135"/>
      <c r="X1805" s="135"/>
      <c r="Y1805" s="135"/>
      <c r="Z1805" s="135" t="s">
        <v>2858</v>
      </c>
      <c r="AA1805" s="135"/>
      <c r="AB1805" s="135"/>
      <c r="AC1805" s="135"/>
      <c r="AD1805" s="135" t="e">
        <v>#N/A</v>
      </c>
      <c r="AE1805" s="135"/>
      <c r="AF1805" s="135"/>
      <c r="AG1805" s="135"/>
    </row>
    <row r="1806" ht="21.75" hidden="1" customHeight="1">
      <c r="A1806" s="135">
        <v>1802.0</v>
      </c>
      <c r="B1806" s="135">
        <v>25045.0</v>
      </c>
      <c r="C1806" s="135" t="s">
        <v>2817</v>
      </c>
      <c r="D1806" s="135">
        <v>8.0</v>
      </c>
      <c r="E1806" s="135" t="s">
        <v>3901</v>
      </c>
      <c r="F1806" s="135" t="s">
        <v>2680</v>
      </c>
      <c r="G1806" s="135" t="s">
        <v>116</v>
      </c>
      <c r="H1806" s="135" t="s">
        <v>2853</v>
      </c>
      <c r="I1806" s="135" t="s">
        <v>130</v>
      </c>
      <c r="J1806" s="135">
        <v>1.0</v>
      </c>
      <c r="K1806" s="135"/>
      <c r="L1806" s="135">
        <v>5625.0</v>
      </c>
      <c r="M1806" s="135">
        <v>1350.0</v>
      </c>
      <c r="N1806" s="135">
        <v>120.0</v>
      </c>
      <c r="O1806" s="135">
        <v>0.968</v>
      </c>
      <c r="P1806" s="136"/>
      <c r="Q1806" s="137">
        <v>2.42</v>
      </c>
      <c r="R1806" s="136">
        <v>46132.0</v>
      </c>
      <c r="S1806" s="135" t="s">
        <v>3879</v>
      </c>
      <c r="T1806" s="136"/>
      <c r="U1806" s="135" t="s">
        <v>2855</v>
      </c>
      <c r="V1806" s="135" t="s">
        <v>2856</v>
      </c>
      <c r="W1806" s="135"/>
      <c r="X1806" s="135"/>
      <c r="Y1806" s="135"/>
      <c r="Z1806" s="135" t="s">
        <v>2858</v>
      </c>
      <c r="AA1806" s="135"/>
      <c r="AB1806" s="135"/>
      <c r="AC1806" s="135"/>
      <c r="AD1806" s="135" t="e">
        <v>#N/A</v>
      </c>
      <c r="AE1806" s="135"/>
      <c r="AF1806" s="135"/>
      <c r="AG1806" s="135"/>
    </row>
    <row r="1807" ht="21.75" hidden="1" customHeight="1">
      <c r="A1807" s="135">
        <v>1803.0</v>
      </c>
      <c r="B1807" s="135">
        <v>25045.0</v>
      </c>
      <c r="C1807" s="135"/>
      <c r="D1807" s="135">
        <v>8.0</v>
      </c>
      <c r="E1807" s="135" t="s">
        <v>3901</v>
      </c>
      <c r="F1807" s="135" t="s">
        <v>2681</v>
      </c>
      <c r="G1807" s="135" t="s">
        <v>116</v>
      </c>
      <c r="H1807" s="135" t="s">
        <v>2853</v>
      </c>
      <c r="I1807" s="135" t="s">
        <v>130</v>
      </c>
      <c r="J1807" s="135">
        <v>1.0</v>
      </c>
      <c r="K1807" s="135"/>
      <c r="L1807" s="135">
        <v>4090.0</v>
      </c>
      <c r="M1807" s="135">
        <v>3010.0</v>
      </c>
      <c r="N1807" s="135">
        <v>120.0</v>
      </c>
      <c r="O1807" s="135">
        <v>1.628</v>
      </c>
      <c r="P1807" s="136"/>
      <c r="Q1807" s="137">
        <v>4.069999999999999</v>
      </c>
      <c r="R1807" s="136">
        <v>46132.0</v>
      </c>
      <c r="S1807" s="135" t="s">
        <v>3879</v>
      </c>
      <c r="T1807" s="136"/>
      <c r="U1807" s="135" t="s">
        <v>2864</v>
      </c>
      <c r="V1807" s="135" t="s">
        <v>2865</v>
      </c>
      <c r="W1807" s="135"/>
      <c r="X1807" s="135" t="s">
        <v>2872</v>
      </c>
      <c r="Y1807" s="135"/>
      <c r="Z1807" s="135" t="s">
        <v>2858</v>
      </c>
      <c r="AA1807" s="135"/>
      <c r="AB1807" s="135"/>
      <c r="AC1807" s="135"/>
      <c r="AD1807" s="135">
        <v>46155.0</v>
      </c>
      <c r="AE1807" s="135"/>
      <c r="AF1807" s="135"/>
      <c r="AG1807" s="135"/>
    </row>
    <row r="1808" ht="21.75" hidden="1" customHeight="1">
      <c r="A1808" s="135">
        <v>1804.0</v>
      </c>
      <c r="B1808" s="135">
        <v>25045.0</v>
      </c>
      <c r="C1808" s="135"/>
      <c r="D1808" s="135">
        <v>8.0</v>
      </c>
      <c r="E1808" s="135" t="s">
        <v>3901</v>
      </c>
      <c r="F1808" s="135" t="s">
        <v>2682</v>
      </c>
      <c r="G1808" s="135" t="s">
        <v>116</v>
      </c>
      <c r="H1808" s="135" t="s">
        <v>2853</v>
      </c>
      <c r="I1808" s="135" t="s">
        <v>130</v>
      </c>
      <c r="J1808" s="135">
        <v>1.0</v>
      </c>
      <c r="K1808" s="135"/>
      <c r="L1808" s="135">
        <v>4350.0</v>
      </c>
      <c r="M1808" s="135">
        <v>3010.0</v>
      </c>
      <c r="N1808" s="135">
        <v>120.0</v>
      </c>
      <c r="O1808" s="135">
        <v>1.859</v>
      </c>
      <c r="P1808" s="136"/>
      <c r="Q1808" s="137">
        <v>4.6475</v>
      </c>
      <c r="R1808" s="136">
        <v>46132.0</v>
      </c>
      <c r="S1808" s="135" t="s">
        <v>3879</v>
      </c>
      <c r="T1808" s="136"/>
      <c r="U1808" s="135" t="s">
        <v>2864</v>
      </c>
      <c r="V1808" s="135" t="s">
        <v>2865</v>
      </c>
      <c r="W1808" s="135"/>
      <c r="X1808" s="135" t="s">
        <v>2867</v>
      </c>
      <c r="Y1808" s="135"/>
      <c r="Z1808" s="135" t="s">
        <v>2858</v>
      </c>
      <c r="AA1808" s="135"/>
      <c r="AB1808" s="135"/>
      <c r="AC1808" s="135"/>
      <c r="AD1808" s="135">
        <v>46156.0</v>
      </c>
      <c r="AE1808" s="135"/>
      <c r="AF1808" s="135"/>
      <c r="AG1808" s="135"/>
    </row>
    <row r="1809" ht="21.75" hidden="1" customHeight="1">
      <c r="A1809" s="135">
        <v>1805.0</v>
      </c>
      <c r="B1809" s="135">
        <v>25045.0</v>
      </c>
      <c r="C1809" s="135"/>
      <c r="D1809" s="135">
        <v>8.0</v>
      </c>
      <c r="E1809" s="135" t="s">
        <v>3901</v>
      </c>
      <c r="F1809" s="135" t="s">
        <v>2683</v>
      </c>
      <c r="G1809" s="135" t="s">
        <v>116</v>
      </c>
      <c r="H1809" s="135" t="s">
        <v>2853</v>
      </c>
      <c r="I1809" s="135" t="s">
        <v>130</v>
      </c>
      <c r="J1809" s="135">
        <v>1.0</v>
      </c>
      <c r="K1809" s="135"/>
      <c r="L1809" s="135">
        <v>4960.0</v>
      </c>
      <c r="M1809" s="135">
        <v>2950.0</v>
      </c>
      <c r="N1809" s="135">
        <v>120.0</v>
      </c>
      <c r="O1809" s="135">
        <v>1.596</v>
      </c>
      <c r="P1809" s="136"/>
      <c r="Q1809" s="137">
        <v>3.99</v>
      </c>
      <c r="R1809" s="136">
        <v>46132.0</v>
      </c>
      <c r="S1809" s="135" t="s">
        <v>3879</v>
      </c>
      <c r="T1809" s="136"/>
      <c r="U1809" s="135" t="s">
        <v>2855</v>
      </c>
      <c r="V1809" s="135" t="s">
        <v>2868</v>
      </c>
      <c r="W1809" s="135">
        <v>1800.0</v>
      </c>
      <c r="X1809" s="135" t="s">
        <v>2895</v>
      </c>
      <c r="Y1809" s="135"/>
      <c r="Z1809" s="135" t="s">
        <v>2858</v>
      </c>
      <c r="AA1809" s="135"/>
      <c r="AB1809" s="135"/>
      <c r="AC1809" s="135"/>
      <c r="AD1809" s="135">
        <v>46144.0</v>
      </c>
      <c r="AE1809" s="135"/>
      <c r="AF1809" s="135"/>
      <c r="AG1809" s="135"/>
    </row>
    <row r="1810" ht="21.75" hidden="1" customHeight="1">
      <c r="A1810" s="135">
        <v>1806.0</v>
      </c>
      <c r="B1810" s="135">
        <v>25045.0</v>
      </c>
      <c r="C1810" s="135"/>
      <c r="D1810" s="135">
        <v>8.0</v>
      </c>
      <c r="E1810" s="135" t="s">
        <v>3901</v>
      </c>
      <c r="F1810" s="135" t="s">
        <v>2684</v>
      </c>
      <c r="G1810" s="135" t="s">
        <v>116</v>
      </c>
      <c r="H1810" s="135" t="s">
        <v>2853</v>
      </c>
      <c r="I1810" s="135" t="s">
        <v>130</v>
      </c>
      <c r="J1810" s="135">
        <v>1.0</v>
      </c>
      <c r="K1810" s="135"/>
      <c r="L1810" s="135">
        <v>5590.0</v>
      </c>
      <c r="M1810" s="135">
        <v>2950.0</v>
      </c>
      <c r="N1810" s="135">
        <v>120.0</v>
      </c>
      <c r="O1810" s="135">
        <v>2.119</v>
      </c>
      <c r="P1810" s="136"/>
      <c r="Q1810" s="137">
        <v>5.2975</v>
      </c>
      <c r="R1810" s="136">
        <v>46132.0</v>
      </c>
      <c r="S1810" s="135" t="s">
        <v>3879</v>
      </c>
      <c r="T1810" s="136"/>
      <c r="U1810" s="135" t="s">
        <v>2855</v>
      </c>
      <c r="V1810" s="135" t="s">
        <v>2868</v>
      </c>
      <c r="W1810" s="135">
        <v>1800.0</v>
      </c>
      <c r="X1810" s="135" t="s">
        <v>2872</v>
      </c>
      <c r="Y1810" s="135"/>
      <c r="Z1810" s="135" t="s">
        <v>2858</v>
      </c>
      <c r="AA1810" s="135"/>
      <c r="AB1810" s="135"/>
      <c r="AC1810" s="135"/>
      <c r="AD1810" s="135">
        <v>46146.0</v>
      </c>
      <c r="AE1810" s="135"/>
      <c r="AF1810" s="135"/>
      <c r="AG1810" s="135"/>
    </row>
    <row r="1811" ht="21.75" hidden="1" customHeight="1">
      <c r="A1811" s="135">
        <v>1807.0</v>
      </c>
      <c r="B1811" s="135">
        <v>25045.0</v>
      </c>
      <c r="C1811" s="135"/>
      <c r="D1811" s="135">
        <v>8.0</v>
      </c>
      <c r="E1811" s="135" t="s">
        <v>3901</v>
      </c>
      <c r="F1811" s="135" t="s">
        <v>2685</v>
      </c>
      <c r="G1811" s="135" t="s">
        <v>116</v>
      </c>
      <c r="H1811" s="135" t="s">
        <v>2853</v>
      </c>
      <c r="I1811" s="135" t="s">
        <v>130</v>
      </c>
      <c r="J1811" s="135">
        <v>1.0</v>
      </c>
      <c r="K1811" s="135"/>
      <c r="L1811" s="135">
        <v>5120.0</v>
      </c>
      <c r="M1811" s="135">
        <v>2950.0</v>
      </c>
      <c r="N1811" s="135">
        <v>120.0</v>
      </c>
      <c r="O1811" s="135">
        <v>1.998</v>
      </c>
      <c r="P1811" s="136"/>
      <c r="Q1811" s="137">
        <v>4.995</v>
      </c>
      <c r="R1811" s="136">
        <v>46132.0</v>
      </c>
      <c r="S1811" s="135" t="s">
        <v>3879</v>
      </c>
      <c r="T1811" s="136"/>
      <c r="U1811" s="135" t="s">
        <v>2855</v>
      </c>
      <c r="V1811" s="135" t="s">
        <v>2868</v>
      </c>
      <c r="W1811" s="135"/>
      <c r="X1811" s="135" t="s">
        <v>2870</v>
      </c>
      <c r="Y1811" s="135"/>
      <c r="Z1811" s="135" t="s">
        <v>2858</v>
      </c>
      <c r="AA1811" s="135"/>
      <c r="AB1811" s="135"/>
      <c r="AC1811" s="135"/>
      <c r="AD1811" s="135">
        <v>46147.0</v>
      </c>
      <c r="AE1811" s="135"/>
      <c r="AF1811" s="135"/>
      <c r="AG1811" s="135"/>
    </row>
    <row r="1812" ht="21.75" hidden="1" customHeight="1">
      <c r="A1812" s="135">
        <v>1808.0</v>
      </c>
      <c r="B1812" s="135">
        <v>25045.0</v>
      </c>
      <c r="C1812" s="135"/>
      <c r="D1812" s="135">
        <v>8.0</v>
      </c>
      <c r="E1812" s="135" t="s">
        <v>3901</v>
      </c>
      <c r="F1812" s="135" t="s">
        <v>2686</v>
      </c>
      <c r="G1812" s="135" t="s">
        <v>116</v>
      </c>
      <c r="H1812" s="135" t="s">
        <v>2853</v>
      </c>
      <c r="I1812" s="135" t="s">
        <v>130</v>
      </c>
      <c r="J1812" s="135">
        <v>1.0</v>
      </c>
      <c r="K1812" s="135"/>
      <c r="L1812" s="135">
        <v>3921.0</v>
      </c>
      <c r="M1812" s="135">
        <v>2850.0</v>
      </c>
      <c r="N1812" s="135">
        <v>120.0</v>
      </c>
      <c r="O1812" s="135">
        <v>1.206</v>
      </c>
      <c r="P1812" s="136"/>
      <c r="Q1812" s="137">
        <v>3.0149999999999997</v>
      </c>
      <c r="R1812" s="136">
        <v>46132.0</v>
      </c>
      <c r="S1812" s="135" t="s">
        <v>3879</v>
      </c>
      <c r="T1812" s="136"/>
      <c r="U1812" s="135" t="s">
        <v>2864</v>
      </c>
      <c r="V1812" s="135" t="s">
        <v>3100</v>
      </c>
      <c r="W1812" s="135"/>
      <c r="X1812" s="135" t="s">
        <v>2895</v>
      </c>
      <c r="Y1812" s="135"/>
      <c r="Z1812" s="135" t="s">
        <v>2858</v>
      </c>
      <c r="AA1812" s="135"/>
      <c r="AB1812" s="135"/>
      <c r="AC1812" s="135"/>
      <c r="AD1812" s="135">
        <v>46153.0</v>
      </c>
      <c r="AE1812" s="135"/>
      <c r="AF1812" s="135"/>
      <c r="AG1812" s="135"/>
    </row>
    <row r="1813" ht="21.75" hidden="1" customHeight="1">
      <c r="A1813" s="135">
        <v>1809.0</v>
      </c>
      <c r="B1813" s="135">
        <v>25045.0</v>
      </c>
      <c r="C1813" s="135"/>
      <c r="D1813" s="135">
        <v>8.0</v>
      </c>
      <c r="E1813" s="135" t="s">
        <v>3901</v>
      </c>
      <c r="F1813" s="135" t="s">
        <v>2687</v>
      </c>
      <c r="G1813" s="135" t="s">
        <v>116</v>
      </c>
      <c r="H1813" s="135" t="s">
        <v>2853</v>
      </c>
      <c r="I1813" s="135" t="s">
        <v>130</v>
      </c>
      <c r="J1813" s="135">
        <v>1.0</v>
      </c>
      <c r="K1813" s="135"/>
      <c r="L1813" s="135">
        <v>3940.0</v>
      </c>
      <c r="M1813" s="135">
        <v>2850.0</v>
      </c>
      <c r="N1813" s="135">
        <v>300.0</v>
      </c>
      <c r="O1813" s="135">
        <v>2.138</v>
      </c>
      <c r="P1813" s="136">
        <v>0.0</v>
      </c>
      <c r="Q1813" s="137">
        <v>5.345</v>
      </c>
      <c r="R1813" s="136">
        <v>46132.0</v>
      </c>
      <c r="S1813" s="135" t="s">
        <v>3879</v>
      </c>
      <c r="T1813" s="136"/>
      <c r="U1813" s="135" t="s">
        <v>2864</v>
      </c>
      <c r="V1813" s="135" t="s">
        <v>3270</v>
      </c>
      <c r="W1813" s="135"/>
      <c r="X1813" s="135"/>
      <c r="Y1813" s="135" t="s">
        <v>2886</v>
      </c>
      <c r="Z1813" s="135" t="s">
        <v>2858</v>
      </c>
      <c r="AA1813" s="135"/>
      <c r="AB1813" s="135"/>
      <c r="AC1813" s="135"/>
      <c r="AD1813" s="135">
        <v>46140.0</v>
      </c>
      <c r="AE1813" s="135"/>
      <c r="AF1813" s="135"/>
      <c r="AG1813" s="135"/>
    </row>
    <row r="1814" ht="21.75" hidden="1" customHeight="1">
      <c r="A1814" s="135">
        <v>1810.0</v>
      </c>
      <c r="B1814" s="135">
        <v>25045.0</v>
      </c>
      <c r="C1814" s="135"/>
      <c r="D1814" s="135">
        <v>8.0</v>
      </c>
      <c r="E1814" s="135" t="s">
        <v>3901</v>
      </c>
      <c r="F1814" s="135" t="s">
        <v>2688</v>
      </c>
      <c r="G1814" s="135" t="s">
        <v>116</v>
      </c>
      <c r="H1814" s="135" t="s">
        <v>2853</v>
      </c>
      <c r="I1814" s="135" t="s">
        <v>130</v>
      </c>
      <c r="J1814" s="135">
        <v>1.0</v>
      </c>
      <c r="K1814" s="135"/>
      <c r="L1814" s="135">
        <v>5690.0</v>
      </c>
      <c r="M1814" s="135">
        <v>1240.0</v>
      </c>
      <c r="N1814" s="135">
        <v>120.0</v>
      </c>
      <c r="O1814" s="135">
        <v>0.948</v>
      </c>
      <c r="P1814" s="136">
        <v>0.0</v>
      </c>
      <c r="Q1814" s="137">
        <v>2.37</v>
      </c>
      <c r="R1814" s="136">
        <v>46132.0</v>
      </c>
      <c r="S1814" s="135" t="s">
        <v>3879</v>
      </c>
      <c r="T1814" s="136"/>
      <c r="U1814" s="135" t="s">
        <v>2855</v>
      </c>
      <c r="V1814" s="135" t="s">
        <v>2856</v>
      </c>
      <c r="W1814" s="135">
        <v>1800.0</v>
      </c>
      <c r="X1814" s="135"/>
      <c r="Y1814" s="135"/>
      <c r="Z1814" s="135" t="s">
        <v>2858</v>
      </c>
      <c r="AA1814" s="135"/>
      <c r="AB1814" s="135"/>
      <c r="AC1814" s="135"/>
      <c r="AD1814" s="135">
        <v>46154.0</v>
      </c>
      <c r="AE1814" s="135"/>
      <c r="AF1814" s="135"/>
      <c r="AG1814" s="135"/>
    </row>
    <row r="1815" ht="21.75" hidden="1" customHeight="1">
      <c r="A1815" s="135">
        <v>1811.0</v>
      </c>
      <c r="B1815" s="135">
        <v>25045.0</v>
      </c>
      <c r="C1815" s="135"/>
      <c r="D1815" s="135">
        <v>8.0</v>
      </c>
      <c r="E1815" s="135" t="s">
        <v>3901</v>
      </c>
      <c r="F1815" s="135" t="s">
        <v>2689</v>
      </c>
      <c r="G1815" s="135" t="s">
        <v>116</v>
      </c>
      <c r="H1815" s="135" t="s">
        <v>2853</v>
      </c>
      <c r="I1815" s="135" t="s">
        <v>130</v>
      </c>
      <c r="J1815" s="135">
        <v>1.0</v>
      </c>
      <c r="K1815" s="135"/>
      <c r="L1815" s="135">
        <v>2860.0</v>
      </c>
      <c r="M1815" s="135">
        <v>1000.0</v>
      </c>
      <c r="N1815" s="135">
        <v>120.0</v>
      </c>
      <c r="O1815" s="135">
        <v>0.472</v>
      </c>
      <c r="P1815" s="136">
        <v>0.0</v>
      </c>
      <c r="Q1815" s="137">
        <v>1.18</v>
      </c>
      <c r="R1815" s="136">
        <v>46132.0</v>
      </c>
      <c r="S1815" s="135" t="s">
        <v>3879</v>
      </c>
      <c r="T1815" s="136"/>
      <c r="U1815" s="135" t="s">
        <v>2950</v>
      </c>
      <c r="V1815" s="135" t="s">
        <v>2951</v>
      </c>
      <c r="W1815" s="135"/>
      <c r="X1815" s="135"/>
      <c r="Y1815" s="135"/>
      <c r="Z1815" s="135" t="s">
        <v>2858</v>
      </c>
      <c r="AA1815" s="135"/>
      <c r="AB1815" s="135"/>
      <c r="AC1815" s="135"/>
      <c r="AD1815" s="135">
        <v>46153.0</v>
      </c>
      <c r="AE1815" s="135"/>
      <c r="AF1815" s="135"/>
      <c r="AG1815" s="135"/>
    </row>
    <row r="1816" ht="21.75" hidden="1" customHeight="1">
      <c r="A1816" s="135">
        <v>1812.0</v>
      </c>
      <c r="B1816" s="135">
        <v>25045.0</v>
      </c>
      <c r="C1816" s="135"/>
      <c r="D1816" s="135">
        <v>28.0</v>
      </c>
      <c r="E1816" s="135" t="s">
        <v>3905</v>
      </c>
      <c r="F1816" s="135" t="s">
        <v>603</v>
      </c>
      <c r="G1816" s="135" t="s">
        <v>174</v>
      </c>
      <c r="H1816" s="135" t="s">
        <v>2853</v>
      </c>
      <c r="I1816" s="135" t="s">
        <v>179</v>
      </c>
      <c r="J1816" s="135">
        <v>1.0</v>
      </c>
      <c r="K1816" s="135"/>
      <c r="L1816" s="135">
        <v>5690.0</v>
      </c>
      <c r="M1816" s="135">
        <v>1000.0</v>
      </c>
      <c r="N1816" s="135">
        <v>120.0</v>
      </c>
      <c r="O1816" s="135">
        <v>1.0</v>
      </c>
      <c r="P1816" s="136">
        <v>0.0</v>
      </c>
      <c r="Q1816" s="137">
        <v>2.5</v>
      </c>
      <c r="R1816" s="136">
        <v>46136.0</v>
      </c>
      <c r="S1816" s="135" t="s">
        <v>3906</v>
      </c>
      <c r="T1816" s="136"/>
      <c r="U1816" s="135" t="s">
        <v>2972</v>
      </c>
      <c r="V1816" s="135" t="s">
        <v>2951</v>
      </c>
      <c r="W1816" s="135"/>
      <c r="X1816" s="135"/>
      <c r="Y1816" s="135"/>
      <c r="Z1816" s="135" t="s">
        <v>2858</v>
      </c>
      <c r="AA1816" s="135"/>
      <c r="AB1816" s="135"/>
      <c r="AC1816" s="135"/>
      <c r="AD1816" s="135">
        <v>46140.0</v>
      </c>
      <c r="AE1816" s="135"/>
      <c r="AF1816" s="135"/>
      <c r="AG1816" s="135"/>
    </row>
    <row r="1817" ht="21.75" hidden="1" customHeight="1">
      <c r="A1817" s="135">
        <v>1813.0</v>
      </c>
      <c r="B1817" s="135">
        <v>25045.0</v>
      </c>
      <c r="C1817" s="135"/>
      <c r="D1817" s="135">
        <v>28.0</v>
      </c>
      <c r="E1817" s="135" t="s">
        <v>3907</v>
      </c>
      <c r="F1817" s="135" t="s">
        <v>657</v>
      </c>
      <c r="G1817" s="135" t="s">
        <v>174</v>
      </c>
      <c r="H1817" s="135" t="s">
        <v>2853</v>
      </c>
      <c r="I1817" s="135" t="s">
        <v>181</v>
      </c>
      <c r="J1817" s="135">
        <v>1.0</v>
      </c>
      <c r="K1817" s="135"/>
      <c r="L1817" s="135">
        <v>4320.0</v>
      </c>
      <c r="M1817" s="135">
        <v>1000.0</v>
      </c>
      <c r="N1817" s="135">
        <v>120.0</v>
      </c>
      <c r="O1817" s="135">
        <v>0.884</v>
      </c>
      <c r="P1817" s="136">
        <v>0.0</v>
      </c>
      <c r="Q1817" s="137">
        <v>2.21</v>
      </c>
      <c r="R1817" s="136">
        <v>46136.0</v>
      </c>
      <c r="S1817" s="135" t="s">
        <v>3906</v>
      </c>
      <c r="T1817" s="136"/>
      <c r="U1817" s="135"/>
      <c r="V1817" s="135"/>
      <c r="W1817" s="135"/>
      <c r="X1817" s="135"/>
      <c r="Y1817" s="135"/>
      <c r="Z1817" s="135" t="s">
        <v>2858</v>
      </c>
      <c r="AA1817" s="135"/>
      <c r="AB1817" s="135"/>
      <c r="AC1817" s="135"/>
      <c r="AD1817" s="135">
        <v>46141.0</v>
      </c>
      <c r="AE1817" s="135"/>
      <c r="AF1817" s="135"/>
      <c r="AG1817" s="135"/>
    </row>
    <row r="1818" ht="21.75" hidden="1" customHeight="1">
      <c r="A1818" s="135">
        <v>1814.0</v>
      </c>
      <c r="B1818" s="135">
        <v>25045.0</v>
      </c>
      <c r="C1818" s="135"/>
      <c r="D1818" s="135">
        <v>28.0</v>
      </c>
      <c r="E1818" s="135"/>
      <c r="F1818" s="135" t="s">
        <v>538</v>
      </c>
      <c r="G1818" s="135" t="s">
        <v>174</v>
      </c>
      <c r="H1818" s="135"/>
      <c r="I1818" s="135" t="s">
        <v>175</v>
      </c>
      <c r="J1818" s="135"/>
      <c r="K1818" s="135"/>
      <c r="L1818" s="135"/>
      <c r="M1818" s="135"/>
      <c r="N1818" s="135"/>
      <c r="O1818" s="135"/>
      <c r="P1818" s="136">
        <v>0.0</v>
      </c>
      <c r="Q1818" s="137">
        <v>0.0</v>
      </c>
      <c r="R1818" s="136">
        <v>46136.0</v>
      </c>
      <c r="S1818" s="135" t="s">
        <v>3906</v>
      </c>
      <c r="T1818" s="136"/>
      <c r="U1818" s="135"/>
      <c r="V1818" s="135"/>
      <c r="W1818" s="135"/>
      <c r="X1818" s="135"/>
      <c r="Y1818" s="135"/>
      <c r="Z1818" s="135"/>
      <c r="AA1818" s="135"/>
      <c r="AB1818" s="135"/>
      <c r="AC1818" s="135"/>
      <c r="AD1818" s="135" t="e">
        <v>#N/A</v>
      </c>
      <c r="AE1818" s="135"/>
      <c r="AF1818" s="135"/>
      <c r="AG1818" s="135"/>
    </row>
    <row r="1819" ht="21.75" hidden="1" customHeight="1">
      <c r="A1819" s="135">
        <v>1815.0</v>
      </c>
      <c r="B1819" s="135">
        <v>25045.0</v>
      </c>
      <c r="C1819" s="135"/>
      <c r="D1819" s="135">
        <v>28.0</v>
      </c>
      <c r="E1819" s="135"/>
      <c r="F1819" s="135" t="s">
        <v>539</v>
      </c>
      <c r="G1819" s="135" t="s">
        <v>174</v>
      </c>
      <c r="H1819" s="135"/>
      <c r="I1819" s="135" t="s">
        <v>175</v>
      </c>
      <c r="J1819" s="135"/>
      <c r="K1819" s="135"/>
      <c r="L1819" s="135"/>
      <c r="M1819" s="135"/>
      <c r="N1819" s="135"/>
      <c r="O1819" s="135"/>
      <c r="P1819" s="136">
        <v>0.0</v>
      </c>
      <c r="Q1819" s="137">
        <v>0.0</v>
      </c>
      <c r="R1819" s="136">
        <v>46136.0</v>
      </c>
      <c r="S1819" s="135" t="s">
        <v>3906</v>
      </c>
      <c r="T1819" s="136"/>
      <c r="U1819" s="135"/>
      <c r="V1819" s="135"/>
      <c r="W1819" s="135"/>
      <c r="X1819" s="135"/>
      <c r="Y1819" s="135"/>
      <c r="Z1819" s="135"/>
      <c r="AA1819" s="135"/>
      <c r="AB1819" s="135"/>
      <c r="AC1819" s="135"/>
      <c r="AD1819" s="135" t="e">
        <v>#N/A</v>
      </c>
      <c r="AE1819" s="135"/>
      <c r="AF1819" s="135"/>
      <c r="AG1819" s="135"/>
    </row>
    <row r="1820" ht="21.75" hidden="1" customHeight="1">
      <c r="A1820" s="135">
        <v>1816.0</v>
      </c>
      <c r="B1820" s="135">
        <v>25045.0</v>
      </c>
      <c r="C1820" s="135"/>
      <c r="D1820" s="135">
        <v>28.0</v>
      </c>
      <c r="E1820" s="135"/>
      <c r="F1820" s="135" t="s">
        <v>540</v>
      </c>
      <c r="G1820" s="135" t="s">
        <v>174</v>
      </c>
      <c r="H1820" s="135"/>
      <c r="I1820" s="135" t="s">
        <v>175</v>
      </c>
      <c r="J1820" s="135"/>
      <c r="K1820" s="135"/>
      <c r="L1820" s="135"/>
      <c r="M1820" s="135"/>
      <c r="N1820" s="135"/>
      <c r="O1820" s="135"/>
      <c r="P1820" s="136">
        <v>0.0</v>
      </c>
      <c r="Q1820" s="137">
        <v>0.0</v>
      </c>
      <c r="R1820" s="136">
        <v>46136.0</v>
      </c>
      <c r="S1820" s="135" t="s">
        <v>3906</v>
      </c>
      <c r="T1820" s="136"/>
      <c r="U1820" s="135"/>
      <c r="V1820" s="135"/>
      <c r="W1820" s="135"/>
      <c r="X1820" s="135"/>
      <c r="Y1820" s="135"/>
      <c r="Z1820" s="135"/>
      <c r="AA1820" s="135"/>
      <c r="AB1820" s="135"/>
      <c r="AC1820" s="135"/>
      <c r="AD1820" s="135" t="e">
        <v>#N/A</v>
      </c>
      <c r="AE1820" s="135"/>
      <c r="AF1820" s="135"/>
      <c r="AG1820" s="135"/>
    </row>
    <row r="1821" ht="21.75" hidden="1" customHeight="1">
      <c r="A1821" s="135">
        <v>1817.0</v>
      </c>
      <c r="B1821" s="135">
        <v>25045.0</v>
      </c>
      <c r="C1821" s="135"/>
      <c r="D1821" s="135">
        <v>28.0</v>
      </c>
      <c r="E1821" s="135"/>
      <c r="F1821" s="135" t="s">
        <v>541</v>
      </c>
      <c r="G1821" s="135" t="s">
        <v>174</v>
      </c>
      <c r="H1821" s="135"/>
      <c r="I1821" s="135" t="s">
        <v>175</v>
      </c>
      <c r="J1821" s="135"/>
      <c r="K1821" s="135"/>
      <c r="L1821" s="135"/>
      <c r="M1821" s="135"/>
      <c r="N1821" s="135"/>
      <c r="O1821" s="135"/>
      <c r="P1821" s="136">
        <v>0.0</v>
      </c>
      <c r="Q1821" s="137">
        <v>0.0</v>
      </c>
      <c r="R1821" s="136">
        <v>46136.0</v>
      </c>
      <c r="S1821" s="135" t="s">
        <v>3906</v>
      </c>
      <c r="T1821" s="136"/>
      <c r="U1821" s="135"/>
      <c r="V1821" s="135"/>
      <c r="W1821" s="135"/>
      <c r="X1821" s="135"/>
      <c r="Y1821" s="135"/>
      <c r="Z1821" s="135"/>
      <c r="AA1821" s="135"/>
      <c r="AB1821" s="135"/>
      <c r="AC1821" s="135"/>
      <c r="AD1821" s="135" t="e">
        <v>#N/A</v>
      </c>
      <c r="AE1821" s="135"/>
      <c r="AF1821" s="135"/>
      <c r="AG1821" s="135"/>
    </row>
    <row r="1822" ht="21.75" hidden="1" customHeight="1">
      <c r="A1822" s="135">
        <v>1818.0</v>
      </c>
      <c r="B1822" s="135">
        <v>25045.0</v>
      </c>
      <c r="C1822" s="135"/>
      <c r="D1822" s="135">
        <v>28.0</v>
      </c>
      <c r="E1822" s="135"/>
      <c r="F1822" s="135" t="s">
        <v>542</v>
      </c>
      <c r="G1822" s="135" t="s">
        <v>174</v>
      </c>
      <c r="H1822" s="135"/>
      <c r="I1822" s="135" t="s">
        <v>175</v>
      </c>
      <c r="J1822" s="135"/>
      <c r="K1822" s="135"/>
      <c r="L1822" s="135"/>
      <c r="M1822" s="135"/>
      <c r="N1822" s="135"/>
      <c r="O1822" s="135"/>
      <c r="P1822" s="136">
        <v>0.0</v>
      </c>
      <c r="Q1822" s="137">
        <v>0.0</v>
      </c>
      <c r="R1822" s="136">
        <v>46136.0</v>
      </c>
      <c r="S1822" s="135" t="s">
        <v>3906</v>
      </c>
      <c r="T1822" s="136"/>
      <c r="U1822" s="135"/>
      <c r="V1822" s="135"/>
      <c r="W1822" s="135"/>
      <c r="X1822" s="135"/>
      <c r="Y1822" s="135"/>
      <c r="Z1822" s="135"/>
      <c r="AA1822" s="135"/>
      <c r="AB1822" s="135"/>
      <c r="AC1822" s="135"/>
      <c r="AD1822" s="135" t="e">
        <v>#N/A</v>
      </c>
      <c r="AE1822" s="135"/>
      <c r="AF1822" s="135"/>
      <c r="AG1822" s="135"/>
    </row>
    <row r="1823" ht="21.75" hidden="1" customHeight="1">
      <c r="A1823" s="135">
        <v>1819.0</v>
      </c>
      <c r="B1823" s="135">
        <v>25045.0</v>
      </c>
      <c r="C1823" s="135"/>
      <c r="D1823" s="135">
        <v>28.0</v>
      </c>
      <c r="E1823" s="135"/>
      <c r="F1823" s="135" t="s">
        <v>543</v>
      </c>
      <c r="G1823" s="135" t="s">
        <v>174</v>
      </c>
      <c r="H1823" s="135"/>
      <c r="I1823" s="135" t="s">
        <v>175</v>
      </c>
      <c r="J1823" s="135"/>
      <c r="K1823" s="135"/>
      <c r="L1823" s="135"/>
      <c r="M1823" s="135"/>
      <c r="N1823" s="135"/>
      <c r="O1823" s="135"/>
      <c r="P1823" s="136">
        <v>0.0</v>
      </c>
      <c r="Q1823" s="137">
        <v>0.0</v>
      </c>
      <c r="R1823" s="136">
        <v>46136.0</v>
      </c>
      <c r="S1823" s="135" t="s">
        <v>3906</v>
      </c>
      <c r="T1823" s="136"/>
      <c r="U1823" s="135"/>
      <c r="V1823" s="135"/>
      <c r="W1823" s="135"/>
      <c r="X1823" s="135"/>
      <c r="Y1823" s="135"/>
      <c r="Z1823" s="135"/>
      <c r="AA1823" s="135"/>
      <c r="AB1823" s="135"/>
      <c r="AC1823" s="135"/>
      <c r="AD1823" s="135" t="e">
        <v>#N/A</v>
      </c>
      <c r="AE1823" s="135"/>
      <c r="AF1823" s="135"/>
      <c r="AG1823" s="135"/>
    </row>
    <row r="1824" ht="21.75" hidden="1" customHeight="1">
      <c r="A1824" s="135">
        <v>1820.0</v>
      </c>
      <c r="B1824" s="135">
        <v>25045.0</v>
      </c>
      <c r="C1824" s="135"/>
      <c r="D1824" s="135">
        <v>28.0</v>
      </c>
      <c r="E1824" s="135"/>
      <c r="F1824" s="135" t="s">
        <v>544</v>
      </c>
      <c r="G1824" s="135" t="s">
        <v>174</v>
      </c>
      <c r="H1824" s="135"/>
      <c r="I1824" s="135" t="s">
        <v>175</v>
      </c>
      <c r="J1824" s="135"/>
      <c r="K1824" s="135"/>
      <c r="L1824" s="135"/>
      <c r="M1824" s="135"/>
      <c r="N1824" s="135"/>
      <c r="O1824" s="135"/>
      <c r="P1824" s="136">
        <v>0.0</v>
      </c>
      <c r="Q1824" s="137">
        <v>0.0</v>
      </c>
      <c r="R1824" s="136">
        <v>46136.0</v>
      </c>
      <c r="S1824" s="135" t="s">
        <v>3906</v>
      </c>
      <c r="T1824" s="136"/>
      <c r="U1824" s="135"/>
      <c r="V1824" s="135"/>
      <c r="W1824" s="135"/>
      <c r="X1824" s="135"/>
      <c r="Y1824" s="135"/>
      <c r="Z1824" s="135"/>
      <c r="AA1824" s="135"/>
      <c r="AB1824" s="135"/>
      <c r="AC1824" s="135"/>
      <c r="AD1824" s="135" t="e">
        <v>#N/A</v>
      </c>
      <c r="AE1824" s="135"/>
      <c r="AF1824" s="135"/>
      <c r="AG1824" s="135"/>
    </row>
    <row r="1825" ht="21.75" hidden="1" customHeight="1">
      <c r="A1825" s="135">
        <v>1821.0</v>
      </c>
      <c r="B1825" s="135">
        <v>25045.0</v>
      </c>
      <c r="C1825" s="135"/>
      <c r="D1825" s="135">
        <v>28.0</v>
      </c>
      <c r="E1825" s="135"/>
      <c r="F1825" s="135" t="s">
        <v>545</v>
      </c>
      <c r="G1825" s="135" t="s">
        <v>174</v>
      </c>
      <c r="H1825" s="135"/>
      <c r="I1825" s="135" t="s">
        <v>175</v>
      </c>
      <c r="J1825" s="135"/>
      <c r="K1825" s="135"/>
      <c r="L1825" s="135"/>
      <c r="M1825" s="135"/>
      <c r="N1825" s="135"/>
      <c r="O1825" s="135"/>
      <c r="P1825" s="136">
        <v>0.0</v>
      </c>
      <c r="Q1825" s="137">
        <v>0.0</v>
      </c>
      <c r="R1825" s="136">
        <v>46136.0</v>
      </c>
      <c r="S1825" s="135" t="s">
        <v>3906</v>
      </c>
      <c r="T1825" s="136"/>
      <c r="U1825" s="135"/>
      <c r="V1825" s="135"/>
      <c r="W1825" s="135"/>
      <c r="X1825" s="135"/>
      <c r="Y1825" s="135"/>
      <c r="Z1825" s="135"/>
      <c r="AA1825" s="135"/>
      <c r="AB1825" s="135"/>
      <c r="AC1825" s="135"/>
      <c r="AD1825" s="135" t="e">
        <v>#N/A</v>
      </c>
      <c r="AE1825" s="135"/>
      <c r="AF1825" s="135"/>
      <c r="AG1825" s="135"/>
    </row>
    <row r="1826" ht="21.75" hidden="1" customHeight="1">
      <c r="A1826" s="135">
        <v>1822.0</v>
      </c>
      <c r="B1826" s="135">
        <v>25045.0</v>
      </c>
      <c r="C1826" s="135"/>
      <c r="D1826" s="135">
        <v>28.0</v>
      </c>
      <c r="E1826" s="135"/>
      <c r="F1826" s="135" t="s">
        <v>546</v>
      </c>
      <c r="G1826" s="135" t="s">
        <v>174</v>
      </c>
      <c r="H1826" s="135"/>
      <c r="I1826" s="135" t="s">
        <v>175</v>
      </c>
      <c r="J1826" s="135"/>
      <c r="K1826" s="135"/>
      <c r="L1826" s="135"/>
      <c r="M1826" s="135"/>
      <c r="N1826" s="135"/>
      <c r="O1826" s="135"/>
      <c r="P1826" s="136">
        <v>0.0</v>
      </c>
      <c r="Q1826" s="137">
        <v>0.0</v>
      </c>
      <c r="R1826" s="136">
        <v>46136.0</v>
      </c>
      <c r="S1826" s="135" t="s">
        <v>3906</v>
      </c>
      <c r="T1826" s="136"/>
      <c r="U1826" s="135"/>
      <c r="V1826" s="135"/>
      <c r="W1826" s="135"/>
      <c r="X1826" s="135"/>
      <c r="Y1826" s="135"/>
      <c r="Z1826" s="135"/>
      <c r="AA1826" s="135"/>
      <c r="AB1826" s="135"/>
      <c r="AC1826" s="135"/>
      <c r="AD1826" s="135" t="e">
        <v>#N/A</v>
      </c>
      <c r="AE1826" s="135"/>
      <c r="AF1826" s="135"/>
      <c r="AG1826" s="135"/>
    </row>
    <row r="1827" ht="21.75" hidden="1" customHeight="1">
      <c r="A1827" s="135">
        <v>1823.0</v>
      </c>
      <c r="B1827" s="135">
        <v>25045.0</v>
      </c>
      <c r="C1827" s="135"/>
      <c r="D1827" s="135">
        <v>28.0</v>
      </c>
      <c r="E1827" s="135"/>
      <c r="F1827" s="135" t="s">
        <v>547</v>
      </c>
      <c r="G1827" s="135" t="s">
        <v>174</v>
      </c>
      <c r="H1827" s="135"/>
      <c r="I1827" s="135" t="s">
        <v>175</v>
      </c>
      <c r="J1827" s="135"/>
      <c r="K1827" s="135"/>
      <c r="L1827" s="135"/>
      <c r="M1827" s="135"/>
      <c r="N1827" s="135"/>
      <c r="O1827" s="135"/>
      <c r="P1827" s="136">
        <v>0.0</v>
      </c>
      <c r="Q1827" s="137">
        <v>0.0</v>
      </c>
      <c r="R1827" s="136">
        <v>46136.0</v>
      </c>
      <c r="S1827" s="135" t="s">
        <v>3906</v>
      </c>
      <c r="T1827" s="136"/>
      <c r="U1827" s="135"/>
      <c r="V1827" s="135"/>
      <c r="W1827" s="135"/>
      <c r="X1827" s="135"/>
      <c r="Y1827" s="135"/>
      <c r="Z1827" s="135"/>
      <c r="AA1827" s="135"/>
      <c r="AB1827" s="135"/>
      <c r="AC1827" s="135"/>
      <c r="AD1827" s="135" t="e">
        <v>#N/A</v>
      </c>
      <c r="AE1827" s="135"/>
      <c r="AF1827" s="135"/>
      <c r="AG1827" s="135"/>
    </row>
    <row r="1828" ht="21.75" hidden="1" customHeight="1">
      <c r="A1828" s="135">
        <v>1824.0</v>
      </c>
      <c r="B1828" s="135">
        <v>25045.0</v>
      </c>
      <c r="C1828" s="135"/>
      <c r="D1828" s="135">
        <v>28.0</v>
      </c>
      <c r="E1828" s="135"/>
      <c r="F1828" s="135" t="s">
        <v>548</v>
      </c>
      <c r="G1828" s="135" t="s">
        <v>174</v>
      </c>
      <c r="H1828" s="135"/>
      <c r="I1828" s="135" t="s">
        <v>175</v>
      </c>
      <c r="J1828" s="135"/>
      <c r="K1828" s="135"/>
      <c r="L1828" s="135"/>
      <c r="M1828" s="135"/>
      <c r="N1828" s="135"/>
      <c r="O1828" s="135"/>
      <c r="P1828" s="136">
        <v>0.0</v>
      </c>
      <c r="Q1828" s="137">
        <v>0.0</v>
      </c>
      <c r="R1828" s="136">
        <v>46136.0</v>
      </c>
      <c r="S1828" s="135" t="s">
        <v>3906</v>
      </c>
      <c r="T1828" s="136"/>
      <c r="U1828" s="135"/>
      <c r="V1828" s="135"/>
      <c r="W1828" s="135"/>
      <c r="X1828" s="135"/>
      <c r="Y1828" s="135"/>
      <c r="Z1828" s="135"/>
      <c r="AA1828" s="135"/>
      <c r="AB1828" s="135"/>
      <c r="AC1828" s="135"/>
      <c r="AD1828" s="135" t="e">
        <v>#N/A</v>
      </c>
      <c r="AE1828" s="135"/>
      <c r="AF1828" s="135"/>
      <c r="AG1828" s="135"/>
    </row>
    <row r="1829" ht="21.75" hidden="1" customHeight="1">
      <c r="A1829" s="135">
        <v>1825.0</v>
      </c>
      <c r="B1829" s="135">
        <v>25045.0</v>
      </c>
      <c r="C1829" s="135"/>
      <c r="D1829" s="135">
        <v>28.0</v>
      </c>
      <c r="E1829" s="135"/>
      <c r="F1829" s="135" t="s">
        <v>549</v>
      </c>
      <c r="G1829" s="135" t="s">
        <v>174</v>
      </c>
      <c r="H1829" s="135" t="s">
        <v>2853</v>
      </c>
      <c r="I1829" s="135" t="s">
        <v>175</v>
      </c>
      <c r="J1829" s="135">
        <v>1.0</v>
      </c>
      <c r="K1829" s="135"/>
      <c r="L1829" s="135"/>
      <c r="M1829" s="135"/>
      <c r="N1829" s="135"/>
      <c r="O1829" s="135">
        <v>2.208</v>
      </c>
      <c r="P1829" s="136">
        <v>0.0</v>
      </c>
      <c r="Q1829" s="137">
        <v>5.5200000000000005</v>
      </c>
      <c r="R1829" s="136">
        <v>46136.0</v>
      </c>
      <c r="S1829" s="135" t="s">
        <v>3906</v>
      </c>
      <c r="T1829" s="136"/>
      <c r="U1829" s="135"/>
      <c r="V1829" s="135"/>
      <c r="W1829" s="135"/>
      <c r="X1829" s="135"/>
      <c r="Y1829" s="135"/>
      <c r="Z1829" s="135"/>
      <c r="AA1829" s="135"/>
      <c r="AB1829" s="135"/>
      <c r="AC1829" s="135"/>
      <c r="AD1829" s="135">
        <v>46149.0</v>
      </c>
      <c r="AE1829" s="135"/>
      <c r="AF1829" s="135"/>
      <c r="AG1829" s="135"/>
    </row>
    <row r="1830" ht="21.75" hidden="1" customHeight="1">
      <c r="A1830" s="135">
        <v>1826.0</v>
      </c>
      <c r="B1830" s="135">
        <v>25045.0</v>
      </c>
      <c r="C1830" s="135"/>
      <c r="D1830" s="135">
        <v>28.0</v>
      </c>
      <c r="E1830" s="135"/>
      <c r="F1830" s="135" t="s">
        <v>550</v>
      </c>
      <c r="G1830" s="135" t="s">
        <v>174</v>
      </c>
      <c r="H1830" s="135" t="s">
        <v>2853</v>
      </c>
      <c r="I1830" s="135" t="s">
        <v>175</v>
      </c>
      <c r="J1830" s="135">
        <v>1.0</v>
      </c>
      <c r="K1830" s="135"/>
      <c r="L1830" s="135"/>
      <c r="M1830" s="135"/>
      <c r="N1830" s="135"/>
      <c r="O1830" s="135">
        <v>2.208</v>
      </c>
      <c r="P1830" s="136">
        <v>0.0</v>
      </c>
      <c r="Q1830" s="137">
        <v>5.5200000000000005</v>
      </c>
      <c r="R1830" s="136">
        <v>46136.0</v>
      </c>
      <c r="S1830" s="135" t="s">
        <v>3906</v>
      </c>
      <c r="T1830" s="136"/>
      <c r="U1830" s="135"/>
      <c r="V1830" s="135"/>
      <c r="W1830" s="135"/>
      <c r="X1830" s="135"/>
      <c r="Y1830" s="135"/>
      <c r="Z1830" s="135"/>
      <c r="AA1830" s="135"/>
      <c r="AB1830" s="135"/>
      <c r="AC1830" s="135"/>
      <c r="AD1830" s="135">
        <v>46150.0</v>
      </c>
      <c r="AE1830" s="135"/>
      <c r="AF1830" s="135"/>
      <c r="AG1830" s="135"/>
    </row>
    <row r="1831" ht="21.75" hidden="1" customHeight="1">
      <c r="A1831" s="135">
        <v>1827.0</v>
      </c>
      <c r="B1831" s="135">
        <v>25045.0</v>
      </c>
      <c r="C1831" s="135"/>
      <c r="D1831" s="135">
        <v>28.0</v>
      </c>
      <c r="E1831" s="135"/>
      <c r="F1831" s="135" t="s">
        <v>551</v>
      </c>
      <c r="G1831" s="135" t="s">
        <v>174</v>
      </c>
      <c r="H1831" s="135" t="s">
        <v>2853</v>
      </c>
      <c r="I1831" s="135" t="s">
        <v>175</v>
      </c>
      <c r="J1831" s="135">
        <v>1.0</v>
      </c>
      <c r="K1831" s="135"/>
      <c r="L1831" s="135"/>
      <c r="M1831" s="135"/>
      <c r="N1831" s="135"/>
      <c r="O1831" s="135">
        <v>2.208</v>
      </c>
      <c r="P1831" s="136">
        <v>0.0</v>
      </c>
      <c r="Q1831" s="137">
        <v>5.5200000000000005</v>
      </c>
      <c r="R1831" s="136">
        <v>46136.0</v>
      </c>
      <c r="S1831" s="135" t="s">
        <v>3906</v>
      </c>
      <c r="T1831" s="136"/>
      <c r="U1831" s="135"/>
      <c r="V1831" s="135"/>
      <c r="W1831" s="135"/>
      <c r="X1831" s="135"/>
      <c r="Y1831" s="135"/>
      <c r="Z1831" s="135"/>
      <c r="AA1831" s="135"/>
      <c r="AB1831" s="135"/>
      <c r="AC1831" s="135"/>
      <c r="AD1831" s="135">
        <v>46151.0</v>
      </c>
      <c r="AE1831" s="135"/>
      <c r="AF1831" s="135"/>
      <c r="AG1831" s="135"/>
    </row>
    <row r="1832" ht="21.75" hidden="1" customHeight="1">
      <c r="A1832" s="135">
        <v>1828.0</v>
      </c>
      <c r="B1832" s="135">
        <v>25045.0</v>
      </c>
      <c r="C1832" s="135"/>
      <c r="D1832" s="135">
        <v>28.0</v>
      </c>
      <c r="E1832" s="135"/>
      <c r="F1832" s="135" t="s">
        <v>552</v>
      </c>
      <c r="G1832" s="135" t="s">
        <v>174</v>
      </c>
      <c r="H1832" s="135"/>
      <c r="I1832" s="135" t="s">
        <v>175</v>
      </c>
      <c r="J1832" s="135"/>
      <c r="K1832" s="135"/>
      <c r="L1832" s="135"/>
      <c r="M1832" s="135"/>
      <c r="N1832" s="135"/>
      <c r="O1832" s="135"/>
      <c r="P1832" s="136">
        <v>0.0</v>
      </c>
      <c r="Q1832" s="137">
        <v>0.0</v>
      </c>
      <c r="R1832" s="136">
        <v>46136.0</v>
      </c>
      <c r="S1832" s="135" t="s">
        <v>3906</v>
      </c>
      <c r="T1832" s="136"/>
      <c r="U1832" s="135"/>
      <c r="V1832" s="135"/>
      <c r="W1832" s="135"/>
      <c r="X1832" s="135"/>
      <c r="Y1832" s="135"/>
      <c r="Z1832" s="135"/>
      <c r="AA1832" s="135"/>
      <c r="AB1832" s="135"/>
      <c r="AC1832" s="135"/>
      <c r="AD1832" s="135" t="e">
        <v>#N/A</v>
      </c>
      <c r="AE1832" s="135"/>
      <c r="AF1832" s="135"/>
      <c r="AG1832" s="135"/>
    </row>
    <row r="1833" ht="21.75" hidden="1" customHeight="1">
      <c r="A1833" s="135">
        <v>1829.0</v>
      </c>
      <c r="B1833" s="135">
        <v>25045.0</v>
      </c>
      <c r="C1833" s="135"/>
      <c r="D1833" s="135">
        <v>28.0</v>
      </c>
      <c r="E1833" s="135"/>
      <c r="F1833" s="135" t="s">
        <v>553</v>
      </c>
      <c r="G1833" s="135" t="s">
        <v>174</v>
      </c>
      <c r="H1833" s="135"/>
      <c r="I1833" s="135" t="s">
        <v>175</v>
      </c>
      <c r="J1833" s="135"/>
      <c r="K1833" s="135"/>
      <c r="L1833" s="135"/>
      <c r="M1833" s="135"/>
      <c r="N1833" s="135"/>
      <c r="O1833" s="135"/>
      <c r="P1833" s="136">
        <v>0.0</v>
      </c>
      <c r="Q1833" s="137">
        <v>0.0</v>
      </c>
      <c r="R1833" s="136">
        <v>46136.0</v>
      </c>
      <c r="S1833" s="135" t="s">
        <v>3906</v>
      </c>
      <c r="T1833" s="136"/>
      <c r="U1833" s="135"/>
      <c r="V1833" s="135"/>
      <c r="W1833" s="135"/>
      <c r="X1833" s="135"/>
      <c r="Y1833" s="135"/>
      <c r="Z1833" s="135"/>
      <c r="AA1833" s="135"/>
      <c r="AB1833" s="135"/>
      <c r="AC1833" s="135"/>
      <c r="AD1833" s="135" t="e">
        <v>#N/A</v>
      </c>
      <c r="AE1833" s="135"/>
      <c r="AF1833" s="135"/>
      <c r="AG1833" s="135"/>
    </row>
    <row r="1834" ht="21.75" hidden="1" customHeight="1">
      <c r="A1834" s="135">
        <v>1830.0</v>
      </c>
      <c r="B1834" s="135">
        <v>25045.0</v>
      </c>
      <c r="C1834" s="135"/>
      <c r="D1834" s="135">
        <v>28.0</v>
      </c>
      <c r="E1834" s="135"/>
      <c r="F1834" s="135" t="s">
        <v>554</v>
      </c>
      <c r="G1834" s="135" t="s">
        <v>174</v>
      </c>
      <c r="H1834" s="135"/>
      <c r="I1834" s="135" t="s">
        <v>175</v>
      </c>
      <c r="J1834" s="135"/>
      <c r="K1834" s="135"/>
      <c r="L1834" s="135"/>
      <c r="M1834" s="135"/>
      <c r="N1834" s="135"/>
      <c r="O1834" s="135"/>
      <c r="P1834" s="136">
        <v>0.0</v>
      </c>
      <c r="Q1834" s="137">
        <v>0.0</v>
      </c>
      <c r="R1834" s="136">
        <v>46136.0</v>
      </c>
      <c r="S1834" s="135" t="s">
        <v>3906</v>
      </c>
      <c r="T1834" s="136"/>
      <c r="U1834" s="135"/>
      <c r="V1834" s="135"/>
      <c r="W1834" s="135"/>
      <c r="X1834" s="135"/>
      <c r="Y1834" s="135"/>
      <c r="Z1834" s="135"/>
      <c r="AA1834" s="135"/>
      <c r="AB1834" s="135"/>
      <c r="AC1834" s="135"/>
      <c r="AD1834" s="135" t="e">
        <v>#N/A</v>
      </c>
      <c r="AE1834" s="135"/>
      <c r="AF1834" s="135"/>
      <c r="AG1834" s="135"/>
    </row>
    <row r="1835" ht="21.75" hidden="1" customHeight="1">
      <c r="A1835" s="135">
        <v>1831.0</v>
      </c>
      <c r="B1835" s="135">
        <v>25045.0</v>
      </c>
      <c r="C1835" s="135"/>
      <c r="D1835" s="135">
        <v>28.0</v>
      </c>
      <c r="E1835" s="135"/>
      <c r="F1835" s="135" t="s">
        <v>555</v>
      </c>
      <c r="G1835" s="135" t="s">
        <v>174</v>
      </c>
      <c r="H1835" s="135"/>
      <c r="I1835" s="135" t="s">
        <v>176</v>
      </c>
      <c r="J1835" s="135"/>
      <c r="K1835" s="135"/>
      <c r="L1835" s="135"/>
      <c r="M1835" s="135"/>
      <c r="N1835" s="135"/>
      <c r="O1835" s="135"/>
      <c r="P1835" s="136">
        <v>0.0</v>
      </c>
      <c r="Q1835" s="137">
        <v>0.0</v>
      </c>
      <c r="R1835" s="136">
        <v>46136.0</v>
      </c>
      <c r="S1835" s="135" t="s">
        <v>3906</v>
      </c>
      <c r="T1835" s="136"/>
      <c r="U1835" s="135"/>
      <c r="V1835" s="135"/>
      <c r="W1835" s="135"/>
      <c r="X1835" s="135"/>
      <c r="Y1835" s="135"/>
      <c r="Z1835" s="135"/>
      <c r="AA1835" s="135"/>
      <c r="AB1835" s="135"/>
      <c r="AC1835" s="135"/>
      <c r="AD1835" s="135" t="e">
        <v>#N/A</v>
      </c>
      <c r="AE1835" s="135"/>
      <c r="AF1835" s="135"/>
      <c r="AG1835" s="135"/>
    </row>
    <row r="1836" ht="21.75" hidden="1" customHeight="1">
      <c r="A1836" s="135">
        <v>1832.0</v>
      </c>
      <c r="B1836" s="135">
        <v>25045.0</v>
      </c>
      <c r="C1836" s="135"/>
      <c r="D1836" s="135">
        <v>28.0</v>
      </c>
      <c r="E1836" s="135"/>
      <c r="F1836" s="135" t="s">
        <v>556</v>
      </c>
      <c r="G1836" s="135" t="s">
        <v>174</v>
      </c>
      <c r="H1836" s="135"/>
      <c r="I1836" s="135" t="s">
        <v>176</v>
      </c>
      <c r="J1836" s="135"/>
      <c r="K1836" s="135"/>
      <c r="L1836" s="135"/>
      <c r="M1836" s="135"/>
      <c r="N1836" s="135"/>
      <c r="O1836" s="135"/>
      <c r="P1836" s="136">
        <v>0.0</v>
      </c>
      <c r="Q1836" s="137">
        <v>0.0</v>
      </c>
      <c r="R1836" s="136">
        <v>46136.0</v>
      </c>
      <c r="S1836" s="135" t="s">
        <v>3906</v>
      </c>
      <c r="T1836" s="136"/>
      <c r="U1836" s="135"/>
      <c r="V1836" s="135"/>
      <c r="W1836" s="135"/>
      <c r="X1836" s="135"/>
      <c r="Y1836" s="135"/>
      <c r="Z1836" s="135"/>
      <c r="AA1836" s="135"/>
      <c r="AB1836" s="135"/>
      <c r="AC1836" s="135"/>
      <c r="AD1836" s="135" t="e">
        <v>#N/A</v>
      </c>
      <c r="AE1836" s="135"/>
      <c r="AF1836" s="135"/>
      <c r="AG1836" s="135"/>
    </row>
    <row r="1837" ht="21.75" hidden="1" customHeight="1">
      <c r="A1837" s="135">
        <v>1833.0</v>
      </c>
      <c r="B1837" s="135">
        <v>25045.0</v>
      </c>
      <c r="C1837" s="135"/>
      <c r="D1837" s="135">
        <v>28.0</v>
      </c>
      <c r="E1837" s="135"/>
      <c r="F1837" s="135" t="s">
        <v>557</v>
      </c>
      <c r="G1837" s="135" t="s">
        <v>174</v>
      </c>
      <c r="H1837" s="135"/>
      <c r="I1837" s="135" t="s">
        <v>176</v>
      </c>
      <c r="J1837" s="135"/>
      <c r="K1837" s="135"/>
      <c r="L1837" s="135"/>
      <c r="M1837" s="135"/>
      <c r="N1837" s="135"/>
      <c r="O1837" s="135"/>
      <c r="P1837" s="136">
        <v>0.0</v>
      </c>
      <c r="Q1837" s="137">
        <v>0.0</v>
      </c>
      <c r="R1837" s="136">
        <v>46136.0</v>
      </c>
      <c r="S1837" s="135" t="s">
        <v>3906</v>
      </c>
      <c r="T1837" s="136"/>
      <c r="U1837" s="135"/>
      <c r="V1837" s="135"/>
      <c r="W1837" s="135"/>
      <c r="X1837" s="135"/>
      <c r="Y1837" s="135"/>
      <c r="Z1837" s="135"/>
      <c r="AA1837" s="135"/>
      <c r="AB1837" s="135"/>
      <c r="AC1837" s="135"/>
      <c r="AD1837" s="135" t="e">
        <v>#N/A</v>
      </c>
      <c r="AE1837" s="135"/>
      <c r="AF1837" s="135"/>
      <c r="AG1837" s="135"/>
    </row>
    <row r="1838" ht="21.75" hidden="1" customHeight="1">
      <c r="A1838" s="135">
        <v>1834.0</v>
      </c>
      <c r="B1838" s="135">
        <v>25045.0</v>
      </c>
      <c r="C1838" s="135"/>
      <c r="D1838" s="135">
        <v>28.0</v>
      </c>
      <c r="E1838" s="135"/>
      <c r="F1838" s="135" t="s">
        <v>558</v>
      </c>
      <c r="G1838" s="135" t="s">
        <v>174</v>
      </c>
      <c r="H1838" s="135"/>
      <c r="I1838" s="135" t="s">
        <v>176</v>
      </c>
      <c r="J1838" s="135"/>
      <c r="K1838" s="135"/>
      <c r="L1838" s="135"/>
      <c r="M1838" s="135"/>
      <c r="N1838" s="135"/>
      <c r="O1838" s="135"/>
      <c r="P1838" s="136">
        <v>0.0</v>
      </c>
      <c r="Q1838" s="137">
        <v>0.0</v>
      </c>
      <c r="R1838" s="136">
        <v>46136.0</v>
      </c>
      <c r="S1838" s="135" t="s">
        <v>3906</v>
      </c>
      <c r="T1838" s="136"/>
      <c r="U1838" s="135"/>
      <c r="V1838" s="135"/>
      <c r="W1838" s="135"/>
      <c r="X1838" s="135"/>
      <c r="Y1838" s="135"/>
      <c r="Z1838" s="135"/>
      <c r="AA1838" s="135"/>
      <c r="AB1838" s="135"/>
      <c r="AC1838" s="135"/>
      <c r="AD1838" s="135" t="e">
        <v>#N/A</v>
      </c>
      <c r="AE1838" s="135"/>
      <c r="AF1838" s="135"/>
      <c r="AG1838" s="135"/>
    </row>
    <row r="1839" ht="21.75" hidden="1" customHeight="1">
      <c r="A1839" s="135">
        <v>1835.0</v>
      </c>
      <c r="B1839" s="135">
        <v>25045.0</v>
      </c>
      <c r="C1839" s="135"/>
      <c r="D1839" s="135">
        <v>28.0</v>
      </c>
      <c r="E1839" s="135"/>
      <c r="F1839" s="135" t="s">
        <v>559</v>
      </c>
      <c r="G1839" s="135" t="s">
        <v>174</v>
      </c>
      <c r="H1839" s="135"/>
      <c r="I1839" s="135" t="s">
        <v>176</v>
      </c>
      <c r="J1839" s="135"/>
      <c r="K1839" s="135"/>
      <c r="L1839" s="135"/>
      <c r="M1839" s="135"/>
      <c r="N1839" s="135"/>
      <c r="O1839" s="135"/>
      <c r="P1839" s="136">
        <v>0.0</v>
      </c>
      <c r="Q1839" s="137">
        <v>0.0</v>
      </c>
      <c r="R1839" s="136">
        <v>46136.0</v>
      </c>
      <c r="S1839" s="135" t="s">
        <v>3906</v>
      </c>
      <c r="T1839" s="136"/>
      <c r="U1839" s="135"/>
      <c r="V1839" s="135"/>
      <c r="W1839" s="135"/>
      <c r="X1839" s="135"/>
      <c r="Y1839" s="135"/>
      <c r="Z1839" s="135"/>
      <c r="AA1839" s="135"/>
      <c r="AB1839" s="135"/>
      <c r="AC1839" s="135"/>
      <c r="AD1839" s="135" t="e">
        <v>#N/A</v>
      </c>
      <c r="AE1839" s="135"/>
      <c r="AF1839" s="135"/>
      <c r="AG1839" s="135"/>
    </row>
    <row r="1840" ht="21.75" hidden="1" customHeight="1">
      <c r="A1840" s="135">
        <v>1836.0</v>
      </c>
      <c r="B1840" s="135">
        <v>25045.0</v>
      </c>
      <c r="C1840" s="135"/>
      <c r="D1840" s="135">
        <v>28.0</v>
      </c>
      <c r="E1840" s="135"/>
      <c r="F1840" s="135" t="s">
        <v>560</v>
      </c>
      <c r="G1840" s="135" t="s">
        <v>174</v>
      </c>
      <c r="H1840" s="135"/>
      <c r="I1840" s="135" t="s">
        <v>176</v>
      </c>
      <c r="J1840" s="135"/>
      <c r="K1840" s="135"/>
      <c r="L1840" s="135"/>
      <c r="M1840" s="135"/>
      <c r="N1840" s="135"/>
      <c r="O1840" s="135"/>
      <c r="P1840" s="136">
        <v>0.0</v>
      </c>
      <c r="Q1840" s="137">
        <v>0.0</v>
      </c>
      <c r="R1840" s="136">
        <v>46136.0</v>
      </c>
      <c r="S1840" s="135" t="s">
        <v>3906</v>
      </c>
      <c r="T1840" s="136"/>
      <c r="U1840" s="135"/>
      <c r="V1840" s="135"/>
      <c r="W1840" s="135"/>
      <c r="X1840" s="135"/>
      <c r="Y1840" s="135"/>
      <c r="Z1840" s="135"/>
      <c r="AA1840" s="135"/>
      <c r="AB1840" s="135"/>
      <c r="AC1840" s="135"/>
      <c r="AD1840" s="135" t="e">
        <v>#N/A</v>
      </c>
      <c r="AE1840" s="135"/>
      <c r="AF1840" s="135"/>
      <c r="AG1840" s="135"/>
    </row>
    <row r="1841" ht="21.75" hidden="1" customHeight="1">
      <c r="A1841" s="135">
        <v>1837.0</v>
      </c>
      <c r="B1841" s="135">
        <v>25045.0</v>
      </c>
      <c r="C1841" s="135"/>
      <c r="D1841" s="135">
        <v>28.0</v>
      </c>
      <c r="E1841" s="135"/>
      <c r="F1841" s="135" t="s">
        <v>561</v>
      </c>
      <c r="G1841" s="135" t="s">
        <v>174</v>
      </c>
      <c r="H1841" s="135"/>
      <c r="I1841" s="135" t="s">
        <v>176</v>
      </c>
      <c r="J1841" s="135"/>
      <c r="K1841" s="135"/>
      <c r="L1841" s="135"/>
      <c r="M1841" s="135"/>
      <c r="N1841" s="135"/>
      <c r="O1841" s="135"/>
      <c r="P1841" s="136">
        <v>0.0</v>
      </c>
      <c r="Q1841" s="137">
        <v>0.0</v>
      </c>
      <c r="R1841" s="136">
        <v>46136.0</v>
      </c>
      <c r="S1841" s="135" t="s">
        <v>3906</v>
      </c>
      <c r="T1841" s="136"/>
      <c r="U1841" s="135"/>
      <c r="V1841" s="135"/>
      <c r="W1841" s="135"/>
      <c r="X1841" s="135"/>
      <c r="Y1841" s="135"/>
      <c r="Z1841" s="135"/>
      <c r="AA1841" s="135"/>
      <c r="AB1841" s="135"/>
      <c r="AC1841" s="135"/>
      <c r="AD1841" s="135" t="e">
        <v>#N/A</v>
      </c>
      <c r="AE1841" s="135"/>
      <c r="AF1841" s="135"/>
      <c r="AG1841" s="135"/>
    </row>
    <row r="1842" ht="21.75" hidden="1" customHeight="1">
      <c r="A1842" s="135">
        <v>1838.0</v>
      </c>
      <c r="B1842" s="135">
        <v>25045.0</v>
      </c>
      <c r="C1842" s="135"/>
      <c r="D1842" s="135">
        <v>28.0</v>
      </c>
      <c r="E1842" s="135"/>
      <c r="F1842" s="135" t="s">
        <v>562</v>
      </c>
      <c r="G1842" s="135" t="s">
        <v>174</v>
      </c>
      <c r="H1842" s="135"/>
      <c r="I1842" s="135" t="s">
        <v>176</v>
      </c>
      <c r="J1842" s="135"/>
      <c r="K1842" s="135"/>
      <c r="L1842" s="135"/>
      <c r="M1842" s="135"/>
      <c r="N1842" s="135"/>
      <c r="O1842" s="135"/>
      <c r="P1842" s="136">
        <v>0.0</v>
      </c>
      <c r="Q1842" s="137">
        <v>0.0</v>
      </c>
      <c r="R1842" s="136">
        <v>46136.0</v>
      </c>
      <c r="S1842" s="135" t="s">
        <v>3906</v>
      </c>
      <c r="T1842" s="136"/>
      <c r="U1842" s="135"/>
      <c r="V1842" s="135"/>
      <c r="W1842" s="135"/>
      <c r="X1842" s="135"/>
      <c r="Y1842" s="135"/>
      <c r="Z1842" s="135"/>
      <c r="AA1842" s="135"/>
      <c r="AB1842" s="135"/>
      <c r="AC1842" s="135"/>
      <c r="AD1842" s="135" t="e">
        <v>#N/A</v>
      </c>
      <c r="AE1842" s="135"/>
      <c r="AF1842" s="135"/>
      <c r="AG1842" s="135"/>
    </row>
    <row r="1843" ht="21.75" hidden="1" customHeight="1">
      <c r="A1843" s="135">
        <v>1839.0</v>
      </c>
      <c r="B1843" s="135">
        <v>25045.0</v>
      </c>
      <c r="C1843" s="135"/>
      <c r="D1843" s="135">
        <v>28.0</v>
      </c>
      <c r="E1843" s="135"/>
      <c r="F1843" s="135" t="s">
        <v>563</v>
      </c>
      <c r="G1843" s="135" t="s">
        <v>174</v>
      </c>
      <c r="H1843" s="135"/>
      <c r="I1843" s="135" t="s">
        <v>176</v>
      </c>
      <c r="J1843" s="135"/>
      <c r="K1843" s="135"/>
      <c r="L1843" s="135"/>
      <c r="M1843" s="135"/>
      <c r="N1843" s="135"/>
      <c r="O1843" s="135"/>
      <c r="P1843" s="136">
        <v>0.0</v>
      </c>
      <c r="Q1843" s="137">
        <v>0.0</v>
      </c>
      <c r="R1843" s="136">
        <v>46136.0</v>
      </c>
      <c r="S1843" s="135" t="s">
        <v>3906</v>
      </c>
      <c r="T1843" s="136"/>
      <c r="U1843" s="135"/>
      <c r="V1843" s="135"/>
      <c r="W1843" s="135"/>
      <c r="X1843" s="135"/>
      <c r="Y1843" s="135"/>
      <c r="Z1843" s="135"/>
      <c r="AA1843" s="135"/>
      <c r="AB1843" s="135"/>
      <c r="AC1843" s="135"/>
      <c r="AD1843" s="135" t="e">
        <v>#N/A</v>
      </c>
      <c r="AE1843" s="135"/>
      <c r="AF1843" s="135"/>
      <c r="AG1843" s="135"/>
    </row>
    <row r="1844" ht="21.75" hidden="1" customHeight="1">
      <c r="A1844" s="135">
        <v>1840.0</v>
      </c>
      <c r="B1844" s="135">
        <v>25045.0</v>
      </c>
      <c r="C1844" s="135"/>
      <c r="D1844" s="135">
        <v>28.0</v>
      </c>
      <c r="E1844" s="135"/>
      <c r="F1844" s="135" t="s">
        <v>564</v>
      </c>
      <c r="G1844" s="135" t="s">
        <v>174</v>
      </c>
      <c r="H1844" s="135"/>
      <c r="I1844" s="135" t="s">
        <v>176</v>
      </c>
      <c r="J1844" s="135"/>
      <c r="K1844" s="135"/>
      <c r="L1844" s="135"/>
      <c r="M1844" s="135"/>
      <c r="N1844" s="135"/>
      <c r="O1844" s="135"/>
      <c r="P1844" s="136">
        <v>0.0</v>
      </c>
      <c r="Q1844" s="137">
        <v>0.0</v>
      </c>
      <c r="R1844" s="136">
        <v>46136.0</v>
      </c>
      <c r="S1844" s="135" t="s">
        <v>3906</v>
      </c>
      <c r="T1844" s="136"/>
      <c r="U1844" s="135"/>
      <c r="V1844" s="135"/>
      <c r="W1844" s="135"/>
      <c r="X1844" s="135"/>
      <c r="Y1844" s="135"/>
      <c r="Z1844" s="135"/>
      <c r="AA1844" s="135"/>
      <c r="AB1844" s="135"/>
      <c r="AC1844" s="135"/>
      <c r="AD1844" s="135" t="e">
        <v>#N/A</v>
      </c>
      <c r="AE1844" s="135"/>
      <c r="AF1844" s="135"/>
      <c r="AG1844" s="135"/>
    </row>
    <row r="1845" ht="21.75" hidden="1" customHeight="1">
      <c r="A1845" s="135">
        <v>1841.0</v>
      </c>
      <c r="B1845" s="135">
        <v>25045.0</v>
      </c>
      <c r="C1845" s="135"/>
      <c r="D1845" s="135">
        <v>28.0</v>
      </c>
      <c r="E1845" s="135"/>
      <c r="F1845" s="135" t="s">
        <v>565</v>
      </c>
      <c r="G1845" s="135" t="s">
        <v>174</v>
      </c>
      <c r="H1845" s="135"/>
      <c r="I1845" s="135" t="s">
        <v>176</v>
      </c>
      <c r="J1845" s="135"/>
      <c r="K1845" s="135"/>
      <c r="L1845" s="135"/>
      <c r="M1845" s="135"/>
      <c r="N1845" s="135"/>
      <c r="O1845" s="135"/>
      <c r="P1845" s="136">
        <v>0.0</v>
      </c>
      <c r="Q1845" s="137">
        <v>0.0</v>
      </c>
      <c r="R1845" s="136">
        <v>46136.0</v>
      </c>
      <c r="S1845" s="135" t="s">
        <v>3906</v>
      </c>
      <c r="T1845" s="136"/>
      <c r="U1845" s="135"/>
      <c r="V1845" s="135"/>
      <c r="W1845" s="135"/>
      <c r="X1845" s="135"/>
      <c r="Y1845" s="135"/>
      <c r="Z1845" s="135"/>
      <c r="AA1845" s="135"/>
      <c r="AB1845" s="135"/>
      <c r="AC1845" s="135"/>
      <c r="AD1845" s="135" t="e">
        <v>#N/A</v>
      </c>
      <c r="AE1845" s="135"/>
      <c r="AF1845" s="135"/>
      <c r="AG1845" s="135"/>
    </row>
    <row r="1846" ht="21.75" hidden="1" customHeight="1">
      <c r="A1846" s="135">
        <v>1842.0</v>
      </c>
      <c r="B1846" s="135">
        <v>25045.0</v>
      </c>
      <c r="C1846" s="135"/>
      <c r="D1846" s="135">
        <v>28.0</v>
      </c>
      <c r="E1846" s="135"/>
      <c r="F1846" s="135" t="s">
        <v>566</v>
      </c>
      <c r="G1846" s="135" t="s">
        <v>174</v>
      </c>
      <c r="H1846" s="135"/>
      <c r="I1846" s="135" t="s">
        <v>176</v>
      </c>
      <c r="J1846" s="135"/>
      <c r="K1846" s="135"/>
      <c r="L1846" s="135"/>
      <c r="M1846" s="135"/>
      <c r="N1846" s="135"/>
      <c r="O1846" s="135"/>
      <c r="P1846" s="136">
        <v>0.0</v>
      </c>
      <c r="Q1846" s="137">
        <v>0.0</v>
      </c>
      <c r="R1846" s="136">
        <v>46136.0</v>
      </c>
      <c r="S1846" s="135" t="s">
        <v>3906</v>
      </c>
      <c r="T1846" s="136"/>
      <c r="U1846" s="135"/>
      <c r="V1846" s="135"/>
      <c r="W1846" s="135"/>
      <c r="X1846" s="135"/>
      <c r="Y1846" s="135"/>
      <c r="Z1846" s="135"/>
      <c r="AA1846" s="135"/>
      <c r="AB1846" s="135"/>
      <c r="AC1846" s="135"/>
      <c r="AD1846" s="135" t="e">
        <v>#N/A</v>
      </c>
      <c r="AE1846" s="135"/>
      <c r="AF1846" s="135"/>
      <c r="AG1846" s="135"/>
    </row>
    <row r="1847" ht="21.75" hidden="1" customHeight="1">
      <c r="A1847" s="135">
        <v>1843.0</v>
      </c>
      <c r="B1847" s="135">
        <v>25045.0</v>
      </c>
      <c r="C1847" s="135"/>
      <c r="D1847" s="135">
        <v>28.0</v>
      </c>
      <c r="E1847" s="135"/>
      <c r="F1847" s="135" t="s">
        <v>567</v>
      </c>
      <c r="G1847" s="135" t="s">
        <v>174</v>
      </c>
      <c r="H1847" s="135"/>
      <c r="I1847" s="135" t="s">
        <v>176</v>
      </c>
      <c r="J1847" s="135"/>
      <c r="K1847" s="135"/>
      <c r="L1847" s="135"/>
      <c r="M1847" s="135"/>
      <c r="N1847" s="135"/>
      <c r="O1847" s="135"/>
      <c r="P1847" s="136">
        <v>0.0</v>
      </c>
      <c r="Q1847" s="137">
        <v>0.0</v>
      </c>
      <c r="R1847" s="136">
        <v>46136.0</v>
      </c>
      <c r="S1847" s="135" t="s">
        <v>3906</v>
      </c>
      <c r="T1847" s="136"/>
      <c r="U1847" s="135"/>
      <c r="V1847" s="135"/>
      <c r="W1847" s="135"/>
      <c r="X1847" s="135"/>
      <c r="Y1847" s="135"/>
      <c r="Z1847" s="135"/>
      <c r="AA1847" s="135"/>
      <c r="AB1847" s="135"/>
      <c r="AC1847" s="135"/>
      <c r="AD1847" s="135" t="e">
        <v>#N/A</v>
      </c>
      <c r="AE1847" s="135"/>
      <c r="AF1847" s="135"/>
      <c r="AG1847" s="135"/>
    </row>
    <row r="1848" ht="21.75" hidden="1" customHeight="1">
      <c r="A1848" s="135">
        <v>1844.0</v>
      </c>
      <c r="B1848" s="135">
        <v>25045.0</v>
      </c>
      <c r="C1848" s="135"/>
      <c r="D1848" s="135">
        <v>28.0</v>
      </c>
      <c r="E1848" s="135"/>
      <c r="F1848" s="135" t="s">
        <v>568</v>
      </c>
      <c r="G1848" s="135" t="s">
        <v>174</v>
      </c>
      <c r="H1848" s="135"/>
      <c r="I1848" s="135" t="s">
        <v>176</v>
      </c>
      <c r="J1848" s="135"/>
      <c r="K1848" s="135"/>
      <c r="L1848" s="135"/>
      <c r="M1848" s="135"/>
      <c r="N1848" s="135"/>
      <c r="O1848" s="135"/>
      <c r="P1848" s="136">
        <v>0.0</v>
      </c>
      <c r="Q1848" s="137">
        <v>0.0</v>
      </c>
      <c r="R1848" s="136">
        <v>46136.0</v>
      </c>
      <c r="S1848" s="135" t="s">
        <v>3906</v>
      </c>
      <c r="T1848" s="136"/>
      <c r="U1848" s="135"/>
      <c r="V1848" s="135"/>
      <c r="W1848" s="135"/>
      <c r="X1848" s="135"/>
      <c r="Y1848" s="135"/>
      <c r="Z1848" s="135"/>
      <c r="AA1848" s="135"/>
      <c r="AB1848" s="135"/>
      <c r="AC1848" s="135"/>
      <c r="AD1848" s="135" t="e">
        <v>#N/A</v>
      </c>
      <c r="AE1848" s="135"/>
      <c r="AF1848" s="135"/>
      <c r="AG1848" s="135"/>
    </row>
    <row r="1849" ht="21.75" hidden="1" customHeight="1">
      <c r="A1849" s="135">
        <v>1845.0</v>
      </c>
      <c r="B1849" s="135">
        <v>25045.0</v>
      </c>
      <c r="C1849" s="135"/>
      <c r="D1849" s="135">
        <v>28.0</v>
      </c>
      <c r="E1849" s="135"/>
      <c r="F1849" s="135" t="s">
        <v>569</v>
      </c>
      <c r="G1849" s="135" t="s">
        <v>174</v>
      </c>
      <c r="H1849" s="135"/>
      <c r="I1849" s="135" t="s">
        <v>176</v>
      </c>
      <c r="J1849" s="135"/>
      <c r="K1849" s="135"/>
      <c r="L1849" s="135"/>
      <c r="M1849" s="135"/>
      <c r="N1849" s="135"/>
      <c r="O1849" s="135"/>
      <c r="P1849" s="136">
        <v>0.0</v>
      </c>
      <c r="Q1849" s="137">
        <v>0.0</v>
      </c>
      <c r="R1849" s="136">
        <v>46136.0</v>
      </c>
      <c r="S1849" s="135" t="s">
        <v>3906</v>
      </c>
      <c r="T1849" s="136"/>
      <c r="U1849" s="135"/>
      <c r="V1849" s="135"/>
      <c r="W1849" s="135"/>
      <c r="X1849" s="135"/>
      <c r="Y1849" s="135"/>
      <c r="Z1849" s="135"/>
      <c r="AA1849" s="135"/>
      <c r="AB1849" s="135"/>
      <c r="AC1849" s="135"/>
      <c r="AD1849" s="135" t="e">
        <v>#N/A</v>
      </c>
      <c r="AE1849" s="135"/>
      <c r="AF1849" s="135"/>
      <c r="AG1849" s="135"/>
    </row>
    <row r="1850" ht="21.75" hidden="1" customHeight="1">
      <c r="A1850" s="135">
        <v>1846.0</v>
      </c>
      <c r="B1850" s="135">
        <v>25045.0</v>
      </c>
      <c r="C1850" s="135"/>
      <c r="D1850" s="135">
        <v>28.0</v>
      </c>
      <c r="E1850" s="135"/>
      <c r="F1850" s="135" t="s">
        <v>570</v>
      </c>
      <c r="G1850" s="135" t="s">
        <v>174</v>
      </c>
      <c r="H1850" s="135"/>
      <c r="I1850" s="135" t="s">
        <v>176</v>
      </c>
      <c r="J1850" s="135"/>
      <c r="K1850" s="135"/>
      <c r="L1850" s="135"/>
      <c r="M1850" s="135"/>
      <c r="N1850" s="135"/>
      <c r="O1850" s="135"/>
      <c r="P1850" s="136">
        <v>0.0</v>
      </c>
      <c r="Q1850" s="137">
        <v>0.0</v>
      </c>
      <c r="R1850" s="136">
        <v>46136.0</v>
      </c>
      <c r="S1850" s="135" t="s">
        <v>3906</v>
      </c>
      <c r="T1850" s="136"/>
      <c r="U1850" s="135"/>
      <c r="V1850" s="135"/>
      <c r="W1850" s="135"/>
      <c r="X1850" s="135"/>
      <c r="Y1850" s="135"/>
      <c r="Z1850" s="135"/>
      <c r="AA1850" s="135"/>
      <c r="AB1850" s="135"/>
      <c r="AC1850" s="135"/>
      <c r="AD1850" s="135" t="e">
        <v>#N/A</v>
      </c>
      <c r="AE1850" s="135"/>
      <c r="AF1850" s="135"/>
      <c r="AG1850" s="135"/>
    </row>
    <row r="1851" ht="21.75" hidden="1" customHeight="1">
      <c r="A1851" s="135">
        <v>1847.0</v>
      </c>
      <c r="B1851" s="135">
        <v>25045.0</v>
      </c>
      <c r="C1851" s="135"/>
      <c r="D1851" s="135">
        <v>28.0</v>
      </c>
      <c r="E1851" s="135"/>
      <c r="F1851" s="135" t="s">
        <v>571</v>
      </c>
      <c r="G1851" s="135" t="s">
        <v>174</v>
      </c>
      <c r="H1851" s="135"/>
      <c r="I1851" s="135" t="s">
        <v>176</v>
      </c>
      <c r="J1851" s="135"/>
      <c r="K1851" s="135"/>
      <c r="L1851" s="135"/>
      <c r="M1851" s="135"/>
      <c r="N1851" s="135"/>
      <c r="O1851" s="135"/>
      <c r="P1851" s="136">
        <v>0.0</v>
      </c>
      <c r="Q1851" s="137">
        <v>0.0</v>
      </c>
      <c r="R1851" s="136">
        <v>46136.0</v>
      </c>
      <c r="S1851" s="135" t="s">
        <v>3906</v>
      </c>
      <c r="T1851" s="136"/>
      <c r="U1851" s="135"/>
      <c r="V1851" s="135"/>
      <c r="W1851" s="135"/>
      <c r="X1851" s="135"/>
      <c r="Y1851" s="135"/>
      <c r="Z1851" s="135"/>
      <c r="AA1851" s="135"/>
      <c r="AB1851" s="135"/>
      <c r="AC1851" s="135"/>
      <c r="AD1851" s="135" t="e">
        <v>#N/A</v>
      </c>
      <c r="AE1851" s="135"/>
      <c r="AF1851" s="135"/>
      <c r="AG1851" s="135"/>
    </row>
    <row r="1852" ht="21.75" hidden="1" customHeight="1">
      <c r="A1852" s="135">
        <v>1848.0</v>
      </c>
      <c r="B1852" s="135">
        <v>25045.0</v>
      </c>
      <c r="C1852" s="135"/>
      <c r="D1852" s="135">
        <v>28.0</v>
      </c>
      <c r="E1852" s="135"/>
      <c r="F1852" s="135" t="s">
        <v>572</v>
      </c>
      <c r="G1852" s="135" t="s">
        <v>174</v>
      </c>
      <c r="H1852" s="135"/>
      <c r="I1852" s="135" t="s">
        <v>177</v>
      </c>
      <c r="J1852" s="135"/>
      <c r="K1852" s="135"/>
      <c r="L1852" s="135"/>
      <c r="M1852" s="135"/>
      <c r="N1852" s="135"/>
      <c r="O1852" s="135"/>
      <c r="P1852" s="136">
        <v>0.0</v>
      </c>
      <c r="Q1852" s="137">
        <v>0.0</v>
      </c>
      <c r="R1852" s="136">
        <v>46136.0</v>
      </c>
      <c r="S1852" s="135" t="s">
        <v>3906</v>
      </c>
      <c r="T1852" s="136"/>
      <c r="U1852" s="135"/>
      <c r="V1852" s="135"/>
      <c r="W1852" s="135"/>
      <c r="X1852" s="135"/>
      <c r="Y1852" s="135"/>
      <c r="Z1852" s="135"/>
      <c r="AA1852" s="135"/>
      <c r="AB1852" s="135"/>
      <c r="AC1852" s="135"/>
      <c r="AD1852" s="135" t="e">
        <v>#N/A</v>
      </c>
      <c r="AE1852" s="135"/>
      <c r="AF1852" s="135"/>
      <c r="AG1852" s="135"/>
    </row>
    <row r="1853" ht="21.75" hidden="1" customHeight="1">
      <c r="A1853" s="135">
        <v>1849.0</v>
      </c>
      <c r="B1853" s="135">
        <v>25045.0</v>
      </c>
      <c r="C1853" s="135"/>
      <c r="D1853" s="135">
        <v>28.0</v>
      </c>
      <c r="E1853" s="135"/>
      <c r="F1853" s="135" t="s">
        <v>573</v>
      </c>
      <c r="G1853" s="135" t="s">
        <v>174</v>
      </c>
      <c r="H1853" s="135"/>
      <c r="I1853" s="135" t="s">
        <v>177</v>
      </c>
      <c r="J1853" s="135"/>
      <c r="K1853" s="135"/>
      <c r="L1853" s="135"/>
      <c r="M1853" s="135"/>
      <c r="N1853" s="135"/>
      <c r="O1853" s="135"/>
      <c r="P1853" s="136">
        <v>0.0</v>
      </c>
      <c r="Q1853" s="137">
        <v>0.0</v>
      </c>
      <c r="R1853" s="136">
        <v>46136.0</v>
      </c>
      <c r="S1853" s="135" t="s">
        <v>3906</v>
      </c>
      <c r="T1853" s="136"/>
      <c r="U1853" s="135"/>
      <c r="V1853" s="135"/>
      <c r="W1853" s="135"/>
      <c r="X1853" s="135"/>
      <c r="Y1853" s="135"/>
      <c r="Z1853" s="135"/>
      <c r="AA1853" s="135"/>
      <c r="AB1853" s="135"/>
      <c r="AC1853" s="135"/>
      <c r="AD1853" s="135" t="e">
        <v>#N/A</v>
      </c>
      <c r="AE1853" s="135"/>
      <c r="AF1853" s="135"/>
      <c r="AG1853" s="135"/>
    </row>
    <row r="1854" ht="21.75" hidden="1" customHeight="1">
      <c r="A1854" s="135">
        <v>1850.0</v>
      </c>
      <c r="B1854" s="135">
        <v>25045.0</v>
      </c>
      <c r="C1854" s="135"/>
      <c r="D1854" s="135">
        <v>28.0</v>
      </c>
      <c r="E1854" s="135"/>
      <c r="F1854" s="135" t="s">
        <v>574</v>
      </c>
      <c r="G1854" s="135" t="s">
        <v>174</v>
      </c>
      <c r="H1854" s="135"/>
      <c r="I1854" s="135" t="s">
        <v>177</v>
      </c>
      <c r="J1854" s="135"/>
      <c r="K1854" s="135"/>
      <c r="L1854" s="135"/>
      <c r="M1854" s="135"/>
      <c r="N1854" s="135"/>
      <c r="O1854" s="135"/>
      <c r="P1854" s="136">
        <v>0.0</v>
      </c>
      <c r="Q1854" s="137">
        <v>0.0</v>
      </c>
      <c r="R1854" s="136">
        <v>46136.0</v>
      </c>
      <c r="S1854" s="135" t="s">
        <v>3906</v>
      </c>
      <c r="T1854" s="136"/>
      <c r="U1854" s="135"/>
      <c r="V1854" s="135"/>
      <c r="W1854" s="135"/>
      <c r="X1854" s="135"/>
      <c r="Y1854" s="135"/>
      <c r="Z1854" s="135"/>
      <c r="AA1854" s="135"/>
      <c r="AB1854" s="135"/>
      <c r="AC1854" s="135"/>
      <c r="AD1854" s="135" t="e">
        <v>#N/A</v>
      </c>
      <c r="AE1854" s="135"/>
      <c r="AF1854" s="135"/>
      <c r="AG1854" s="135"/>
    </row>
    <row r="1855" ht="21.75" hidden="1" customHeight="1">
      <c r="A1855" s="135">
        <v>1851.0</v>
      </c>
      <c r="B1855" s="135">
        <v>25045.0</v>
      </c>
      <c r="C1855" s="135"/>
      <c r="D1855" s="135">
        <v>28.0</v>
      </c>
      <c r="E1855" s="135"/>
      <c r="F1855" s="135" t="s">
        <v>575</v>
      </c>
      <c r="G1855" s="135" t="s">
        <v>174</v>
      </c>
      <c r="H1855" s="135"/>
      <c r="I1855" s="135" t="s">
        <v>177</v>
      </c>
      <c r="J1855" s="135"/>
      <c r="K1855" s="135"/>
      <c r="L1855" s="135"/>
      <c r="M1855" s="135"/>
      <c r="N1855" s="135"/>
      <c r="O1855" s="135"/>
      <c r="P1855" s="136">
        <v>0.0</v>
      </c>
      <c r="Q1855" s="137">
        <v>0.0</v>
      </c>
      <c r="R1855" s="136">
        <v>46136.0</v>
      </c>
      <c r="S1855" s="135" t="s">
        <v>3906</v>
      </c>
      <c r="T1855" s="136"/>
      <c r="U1855" s="135"/>
      <c r="V1855" s="135"/>
      <c r="W1855" s="135"/>
      <c r="X1855" s="135"/>
      <c r="Y1855" s="135"/>
      <c r="Z1855" s="135"/>
      <c r="AA1855" s="135"/>
      <c r="AB1855" s="135"/>
      <c r="AC1855" s="135"/>
      <c r="AD1855" s="135" t="e">
        <v>#N/A</v>
      </c>
      <c r="AE1855" s="135"/>
      <c r="AF1855" s="135"/>
      <c r="AG1855" s="135"/>
    </row>
    <row r="1856" ht="21.75" hidden="1" customHeight="1">
      <c r="A1856" s="135">
        <v>1852.0</v>
      </c>
      <c r="B1856" s="135">
        <v>25045.0</v>
      </c>
      <c r="C1856" s="135"/>
      <c r="D1856" s="135">
        <v>28.0</v>
      </c>
      <c r="E1856" s="135"/>
      <c r="F1856" s="135" t="s">
        <v>576</v>
      </c>
      <c r="G1856" s="135" t="s">
        <v>174</v>
      </c>
      <c r="H1856" s="135"/>
      <c r="I1856" s="135" t="s">
        <v>177</v>
      </c>
      <c r="J1856" s="135"/>
      <c r="K1856" s="135"/>
      <c r="L1856" s="135"/>
      <c r="M1856" s="135"/>
      <c r="N1856" s="135"/>
      <c r="O1856" s="135"/>
      <c r="P1856" s="136">
        <v>0.0</v>
      </c>
      <c r="Q1856" s="137">
        <v>0.0</v>
      </c>
      <c r="R1856" s="136">
        <v>46136.0</v>
      </c>
      <c r="S1856" s="135" t="s">
        <v>3906</v>
      </c>
      <c r="T1856" s="136"/>
      <c r="U1856" s="135"/>
      <c r="V1856" s="135"/>
      <c r="W1856" s="135"/>
      <c r="X1856" s="135"/>
      <c r="Y1856" s="135"/>
      <c r="Z1856" s="135"/>
      <c r="AA1856" s="135"/>
      <c r="AB1856" s="135"/>
      <c r="AC1856" s="135"/>
      <c r="AD1856" s="135" t="e">
        <v>#N/A</v>
      </c>
      <c r="AE1856" s="135"/>
      <c r="AF1856" s="135"/>
      <c r="AG1856" s="135"/>
    </row>
    <row r="1857" ht="21.75" hidden="1" customHeight="1">
      <c r="A1857" s="135">
        <v>1853.0</v>
      </c>
      <c r="B1857" s="135">
        <v>25045.0</v>
      </c>
      <c r="C1857" s="135"/>
      <c r="D1857" s="135">
        <v>28.0</v>
      </c>
      <c r="E1857" s="135"/>
      <c r="F1857" s="135" t="s">
        <v>577</v>
      </c>
      <c r="G1857" s="135" t="s">
        <v>174</v>
      </c>
      <c r="H1857" s="135"/>
      <c r="I1857" s="135" t="s">
        <v>177</v>
      </c>
      <c r="J1857" s="135"/>
      <c r="K1857" s="135"/>
      <c r="L1857" s="135"/>
      <c r="M1857" s="135"/>
      <c r="N1857" s="135"/>
      <c r="O1857" s="135"/>
      <c r="P1857" s="136">
        <v>0.0</v>
      </c>
      <c r="Q1857" s="137">
        <v>0.0</v>
      </c>
      <c r="R1857" s="136">
        <v>46136.0</v>
      </c>
      <c r="S1857" s="135" t="s">
        <v>3906</v>
      </c>
      <c r="T1857" s="136"/>
      <c r="U1857" s="135"/>
      <c r="V1857" s="135"/>
      <c r="W1857" s="135"/>
      <c r="X1857" s="135"/>
      <c r="Y1857" s="135"/>
      <c r="Z1857" s="135"/>
      <c r="AA1857" s="135"/>
      <c r="AB1857" s="135"/>
      <c r="AC1857" s="135"/>
      <c r="AD1857" s="135" t="e">
        <v>#N/A</v>
      </c>
      <c r="AE1857" s="135"/>
      <c r="AF1857" s="135"/>
      <c r="AG1857" s="135"/>
    </row>
    <row r="1858" ht="21.75" hidden="1" customHeight="1">
      <c r="A1858" s="135">
        <v>1854.0</v>
      </c>
      <c r="B1858" s="135">
        <v>25045.0</v>
      </c>
      <c r="C1858" s="135"/>
      <c r="D1858" s="135">
        <v>28.0</v>
      </c>
      <c r="E1858" s="135"/>
      <c r="F1858" s="135" t="s">
        <v>578</v>
      </c>
      <c r="G1858" s="135" t="s">
        <v>174</v>
      </c>
      <c r="H1858" s="135"/>
      <c r="I1858" s="135" t="s">
        <v>177</v>
      </c>
      <c r="J1858" s="135"/>
      <c r="K1858" s="135"/>
      <c r="L1858" s="135"/>
      <c r="M1858" s="135"/>
      <c r="N1858" s="135"/>
      <c r="O1858" s="135"/>
      <c r="P1858" s="136">
        <v>0.0</v>
      </c>
      <c r="Q1858" s="137">
        <v>0.0</v>
      </c>
      <c r="R1858" s="136">
        <v>46136.0</v>
      </c>
      <c r="S1858" s="135" t="s">
        <v>3906</v>
      </c>
      <c r="T1858" s="136"/>
      <c r="U1858" s="135"/>
      <c r="V1858" s="135"/>
      <c r="W1858" s="135"/>
      <c r="X1858" s="135"/>
      <c r="Y1858" s="135"/>
      <c r="Z1858" s="135"/>
      <c r="AA1858" s="135"/>
      <c r="AB1858" s="135"/>
      <c r="AC1858" s="135"/>
      <c r="AD1858" s="135" t="e">
        <v>#N/A</v>
      </c>
      <c r="AE1858" s="135"/>
      <c r="AF1858" s="135"/>
      <c r="AG1858" s="135"/>
    </row>
    <row r="1859" ht="21.75" hidden="1" customHeight="1">
      <c r="A1859" s="135">
        <v>1855.0</v>
      </c>
      <c r="B1859" s="135">
        <v>25045.0</v>
      </c>
      <c r="C1859" s="135"/>
      <c r="D1859" s="135">
        <v>28.0</v>
      </c>
      <c r="E1859" s="135"/>
      <c r="F1859" s="135" t="s">
        <v>579</v>
      </c>
      <c r="G1859" s="135" t="s">
        <v>174</v>
      </c>
      <c r="H1859" s="135"/>
      <c r="I1859" s="135" t="s">
        <v>177</v>
      </c>
      <c r="J1859" s="135"/>
      <c r="K1859" s="135"/>
      <c r="L1859" s="135"/>
      <c r="M1859" s="135"/>
      <c r="N1859" s="135"/>
      <c r="O1859" s="135"/>
      <c r="P1859" s="136">
        <v>0.0</v>
      </c>
      <c r="Q1859" s="137">
        <v>0.0</v>
      </c>
      <c r="R1859" s="136">
        <v>46136.0</v>
      </c>
      <c r="S1859" s="135" t="s">
        <v>3906</v>
      </c>
      <c r="T1859" s="136"/>
      <c r="U1859" s="135"/>
      <c r="V1859" s="135"/>
      <c r="W1859" s="135"/>
      <c r="X1859" s="135"/>
      <c r="Y1859" s="135"/>
      <c r="Z1859" s="135"/>
      <c r="AA1859" s="135"/>
      <c r="AB1859" s="135"/>
      <c r="AC1859" s="135"/>
      <c r="AD1859" s="135" t="e">
        <v>#N/A</v>
      </c>
      <c r="AE1859" s="135"/>
      <c r="AF1859" s="135"/>
      <c r="AG1859" s="135"/>
    </row>
    <row r="1860" ht="21.75" hidden="1" customHeight="1">
      <c r="A1860" s="135">
        <v>1856.0</v>
      </c>
      <c r="B1860" s="135">
        <v>25045.0</v>
      </c>
      <c r="C1860" s="135"/>
      <c r="D1860" s="135">
        <v>28.0</v>
      </c>
      <c r="E1860" s="135"/>
      <c r="F1860" s="135" t="s">
        <v>580</v>
      </c>
      <c r="G1860" s="135" t="s">
        <v>174</v>
      </c>
      <c r="H1860" s="135"/>
      <c r="I1860" s="135" t="s">
        <v>177</v>
      </c>
      <c r="J1860" s="135"/>
      <c r="K1860" s="135"/>
      <c r="L1860" s="135"/>
      <c r="M1860" s="135"/>
      <c r="N1860" s="135"/>
      <c r="O1860" s="135"/>
      <c r="P1860" s="136">
        <v>0.0</v>
      </c>
      <c r="Q1860" s="137">
        <v>0.0</v>
      </c>
      <c r="R1860" s="136">
        <v>46136.0</v>
      </c>
      <c r="S1860" s="135" t="s">
        <v>3906</v>
      </c>
      <c r="T1860" s="136"/>
      <c r="U1860" s="135"/>
      <c r="V1860" s="135"/>
      <c r="W1860" s="135"/>
      <c r="X1860" s="135"/>
      <c r="Y1860" s="135"/>
      <c r="Z1860" s="135"/>
      <c r="AA1860" s="135"/>
      <c r="AB1860" s="135"/>
      <c r="AC1860" s="135"/>
      <c r="AD1860" s="135" t="e">
        <v>#N/A</v>
      </c>
      <c r="AE1860" s="135"/>
      <c r="AF1860" s="135"/>
      <c r="AG1860" s="135"/>
    </row>
    <row r="1861" ht="21.75" hidden="1" customHeight="1">
      <c r="A1861" s="135">
        <v>1857.0</v>
      </c>
      <c r="B1861" s="135">
        <v>25045.0</v>
      </c>
      <c r="C1861" s="135"/>
      <c r="D1861" s="135">
        <v>28.0</v>
      </c>
      <c r="E1861" s="135"/>
      <c r="F1861" s="135" t="s">
        <v>581</v>
      </c>
      <c r="G1861" s="135" t="s">
        <v>174</v>
      </c>
      <c r="H1861" s="135"/>
      <c r="I1861" s="135" t="s">
        <v>177</v>
      </c>
      <c r="J1861" s="135"/>
      <c r="K1861" s="135"/>
      <c r="L1861" s="135"/>
      <c r="M1861" s="135"/>
      <c r="N1861" s="135"/>
      <c r="O1861" s="135"/>
      <c r="P1861" s="136">
        <v>0.0</v>
      </c>
      <c r="Q1861" s="137">
        <v>0.0</v>
      </c>
      <c r="R1861" s="136">
        <v>46136.0</v>
      </c>
      <c r="S1861" s="135" t="s">
        <v>3906</v>
      </c>
      <c r="T1861" s="136"/>
      <c r="U1861" s="135"/>
      <c r="V1861" s="135"/>
      <c r="W1861" s="135"/>
      <c r="X1861" s="135"/>
      <c r="Y1861" s="135"/>
      <c r="Z1861" s="135"/>
      <c r="AA1861" s="135"/>
      <c r="AB1861" s="135"/>
      <c r="AC1861" s="135"/>
      <c r="AD1861" s="135" t="e">
        <v>#N/A</v>
      </c>
      <c r="AE1861" s="135"/>
      <c r="AF1861" s="135"/>
      <c r="AG1861" s="135"/>
    </row>
    <row r="1862" ht="21.75" hidden="1" customHeight="1">
      <c r="A1862" s="135">
        <v>1858.0</v>
      </c>
      <c r="B1862" s="135">
        <v>25045.0</v>
      </c>
      <c r="C1862" s="135"/>
      <c r="D1862" s="135">
        <v>28.0</v>
      </c>
      <c r="E1862" s="135"/>
      <c r="F1862" s="135" t="s">
        <v>582</v>
      </c>
      <c r="G1862" s="135" t="s">
        <v>174</v>
      </c>
      <c r="H1862" s="135"/>
      <c r="I1862" s="135" t="s">
        <v>177</v>
      </c>
      <c r="J1862" s="135"/>
      <c r="K1862" s="135"/>
      <c r="L1862" s="135"/>
      <c r="M1862" s="135"/>
      <c r="N1862" s="135"/>
      <c r="O1862" s="135"/>
      <c r="P1862" s="136">
        <v>0.0</v>
      </c>
      <c r="Q1862" s="137">
        <v>0.0</v>
      </c>
      <c r="R1862" s="136">
        <v>46136.0</v>
      </c>
      <c r="S1862" s="135" t="s">
        <v>3906</v>
      </c>
      <c r="T1862" s="136"/>
      <c r="U1862" s="135"/>
      <c r="V1862" s="135"/>
      <c r="W1862" s="135"/>
      <c r="X1862" s="135"/>
      <c r="Y1862" s="135"/>
      <c r="Z1862" s="135"/>
      <c r="AA1862" s="135"/>
      <c r="AB1862" s="135"/>
      <c r="AC1862" s="135"/>
      <c r="AD1862" s="135" t="e">
        <v>#N/A</v>
      </c>
      <c r="AE1862" s="135"/>
      <c r="AF1862" s="135"/>
      <c r="AG1862" s="135"/>
    </row>
    <row r="1863" ht="21.75" hidden="1" customHeight="1">
      <c r="A1863" s="135">
        <v>1859.0</v>
      </c>
      <c r="B1863" s="135">
        <v>25045.0</v>
      </c>
      <c r="C1863" s="135"/>
      <c r="D1863" s="135">
        <v>28.0</v>
      </c>
      <c r="E1863" s="135"/>
      <c r="F1863" s="135" t="s">
        <v>583</v>
      </c>
      <c r="G1863" s="135" t="s">
        <v>174</v>
      </c>
      <c r="H1863" s="135"/>
      <c r="I1863" s="135" t="s">
        <v>177</v>
      </c>
      <c r="J1863" s="135"/>
      <c r="K1863" s="135"/>
      <c r="L1863" s="135"/>
      <c r="M1863" s="135"/>
      <c r="N1863" s="135"/>
      <c r="O1863" s="135"/>
      <c r="P1863" s="136">
        <v>0.0</v>
      </c>
      <c r="Q1863" s="137">
        <v>0.0</v>
      </c>
      <c r="R1863" s="136">
        <v>46136.0</v>
      </c>
      <c r="S1863" s="135" t="s">
        <v>3906</v>
      </c>
      <c r="T1863" s="136"/>
      <c r="U1863" s="135"/>
      <c r="V1863" s="135"/>
      <c r="W1863" s="135"/>
      <c r="X1863" s="135"/>
      <c r="Y1863" s="135"/>
      <c r="Z1863" s="135"/>
      <c r="AA1863" s="135"/>
      <c r="AB1863" s="135"/>
      <c r="AC1863" s="135"/>
      <c r="AD1863" s="135" t="e">
        <v>#N/A</v>
      </c>
      <c r="AE1863" s="135"/>
      <c r="AF1863" s="135"/>
      <c r="AG1863" s="135"/>
    </row>
    <row r="1864" ht="21.75" hidden="1" customHeight="1">
      <c r="A1864" s="135">
        <v>1860.0</v>
      </c>
      <c r="B1864" s="135">
        <v>25045.0</v>
      </c>
      <c r="C1864" s="135"/>
      <c r="D1864" s="135">
        <v>28.0</v>
      </c>
      <c r="E1864" s="135"/>
      <c r="F1864" s="135" t="s">
        <v>584</v>
      </c>
      <c r="G1864" s="135" t="s">
        <v>174</v>
      </c>
      <c r="H1864" s="135"/>
      <c r="I1864" s="135" t="s">
        <v>177</v>
      </c>
      <c r="J1864" s="135"/>
      <c r="K1864" s="135"/>
      <c r="L1864" s="135"/>
      <c r="M1864" s="135"/>
      <c r="N1864" s="135"/>
      <c r="O1864" s="135"/>
      <c r="P1864" s="136">
        <v>0.0</v>
      </c>
      <c r="Q1864" s="137">
        <v>0.0</v>
      </c>
      <c r="R1864" s="136">
        <v>46136.0</v>
      </c>
      <c r="S1864" s="135" t="s">
        <v>3906</v>
      </c>
      <c r="T1864" s="136"/>
      <c r="U1864" s="135"/>
      <c r="V1864" s="135"/>
      <c r="W1864" s="135"/>
      <c r="X1864" s="135"/>
      <c r="Y1864" s="135"/>
      <c r="Z1864" s="135"/>
      <c r="AA1864" s="135"/>
      <c r="AB1864" s="135"/>
      <c r="AC1864" s="135"/>
      <c r="AD1864" s="135" t="e">
        <v>#N/A</v>
      </c>
      <c r="AE1864" s="135"/>
      <c r="AF1864" s="135"/>
      <c r="AG1864" s="135"/>
    </row>
    <row r="1865" ht="21.75" hidden="1" customHeight="1">
      <c r="A1865" s="135">
        <v>1861.0</v>
      </c>
      <c r="B1865" s="135">
        <v>25045.0</v>
      </c>
      <c r="C1865" s="135"/>
      <c r="D1865" s="135">
        <v>28.0</v>
      </c>
      <c r="E1865" s="135"/>
      <c r="F1865" s="135" t="s">
        <v>585</v>
      </c>
      <c r="G1865" s="135" t="s">
        <v>174</v>
      </c>
      <c r="H1865" s="135"/>
      <c r="I1865" s="135" t="s">
        <v>177</v>
      </c>
      <c r="J1865" s="135"/>
      <c r="K1865" s="135"/>
      <c r="L1865" s="135"/>
      <c r="M1865" s="135"/>
      <c r="N1865" s="135"/>
      <c r="O1865" s="135"/>
      <c r="P1865" s="136">
        <v>0.0</v>
      </c>
      <c r="Q1865" s="137">
        <v>0.0</v>
      </c>
      <c r="R1865" s="136">
        <v>46136.0</v>
      </c>
      <c r="S1865" s="135" t="s">
        <v>3906</v>
      </c>
      <c r="T1865" s="136"/>
      <c r="U1865" s="135"/>
      <c r="V1865" s="135"/>
      <c r="W1865" s="135"/>
      <c r="X1865" s="135"/>
      <c r="Y1865" s="135"/>
      <c r="Z1865" s="135"/>
      <c r="AA1865" s="135"/>
      <c r="AB1865" s="135"/>
      <c r="AC1865" s="135"/>
      <c r="AD1865" s="135" t="e">
        <v>#N/A</v>
      </c>
      <c r="AE1865" s="135"/>
      <c r="AF1865" s="135"/>
      <c r="AG1865" s="135"/>
    </row>
    <row r="1866" ht="21.75" hidden="1" customHeight="1">
      <c r="A1866" s="135">
        <v>1862.0</v>
      </c>
      <c r="B1866" s="135">
        <v>25045.0</v>
      </c>
      <c r="C1866" s="135"/>
      <c r="D1866" s="135">
        <v>28.0</v>
      </c>
      <c r="E1866" s="135"/>
      <c r="F1866" s="135" t="s">
        <v>586</v>
      </c>
      <c r="G1866" s="135" t="s">
        <v>174</v>
      </c>
      <c r="H1866" s="135"/>
      <c r="I1866" s="135" t="s">
        <v>177</v>
      </c>
      <c r="J1866" s="135"/>
      <c r="K1866" s="135"/>
      <c r="L1866" s="135"/>
      <c r="M1866" s="135"/>
      <c r="N1866" s="135"/>
      <c r="O1866" s="135"/>
      <c r="P1866" s="136">
        <v>0.0</v>
      </c>
      <c r="Q1866" s="137">
        <v>0.0</v>
      </c>
      <c r="R1866" s="136">
        <v>46136.0</v>
      </c>
      <c r="S1866" s="135" t="s">
        <v>3906</v>
      </c>
      <c r="T1866" s="136"/>
      <c r="U1866" s="135"/>
      <c r="V1866" s="135"/>
      <c r="W1866" s="135"/>
      <c r="X1866" s="135"/>
      <c r="Y1866" s="135"/>
      <c r="Z1866" s="135"/>
      <c r="AA1866" s="135"/>
      <c r="AB1866" s="135"/>
      <c r="AC1866" s="135"/>
      <c r="AD1866" s="135" t="e">
        <v>#N/A</v>
      </c>
      <c r="AE1866" s="135"/>
      <c r="AF1866" s="135"/>
      <c r="AG1866" s="135"/>
    </row>
    <row r="1867" ht="21.75" hidden="1" customHeight="1">
      <c r="A1867" s="135">
        <v>1863.0</v>
      </c>
      <c r="B1867" s="135">
        <v>25045.0</v>
      </c>
      <c r="C1867" s="135"/>
      <c r="D1867" s="135">
        <v>28.0</v>
      </c>
      <c r="E1867" s="135"/>
      <c r="F1867" s="135" t="s">
        <v>587</v>
      </c>
      <c r="G1867" s="135" t="s">
        <v>174</v>
      </c>
      <c r="H1867" s="135"/>
      <c r="I1867" s="135" t="s">
        <v>178</v>
      </c>
      <c r="J1867" s="135"/>
      <c r="K1867" s="135"/>
      <c r="L1867" s="135"/>
      <c r="M1867" s="135"/>
      <c r="N1867" s="135"/>
      <c r="O1867" s="135"/>
      <c r="P1867" s="136">
        <v>0.0</v>
      </c>
      <c r="Q1867" s="137">
        <v>0.0</v>
      </c>
      <c r="R1867" s="136">
        <v>46136.0</v>
      </c>
      <c r="S1867" s="135" t="s">
        <v>3906</v>
      </c>
      <c r="T1867" s="136"/>
      <c r="U1867" s="135"/>
      <c r="V1867" s="135"/>
      <c r="W1867" s="135"/>
      <c r="X1867" s="135"/>
      <c r="Y1867" s="135"/>
      <c r="Z1867" s="135"/>
      <c r="AA1867" s="135"/>
      <c r="AB1867" s="135"/>
      <c r="AC1867" s="135"/>
      <c r="AD1867" s="135" t="e">
        <v>#N/A</v>
      </c>
      <c r="AE1867" s="135"/>
      <c r="AF1867" s="135"/>
      <c r="AG1867" s="135"/>
    </row>
    <row r="1868" ht="21.75" hidden="1" customHeight="1">
      <c r="A1868" s="135">
        <v>1864.0</v>
      </c>
      <c r="B1868" s="135">
        <v>25045.0</v>
      </c>
      <c r="C1868" s="135"/>
      <c r="D1868" s="135">
        <v>28.0</v>
      </c>
      <c r="E1868" s="135"/>
      <c r="F1868" s="135" t="s">
        <v>588</v>
      </c>
      <c r="G1868" s="135" t="s">
        <v>174</v>
      </c>
      <c r="H1868" s="135"/>
      <c r="I1868" s="135" t="s">
        <v>178</v>
      </c>
      <c r="J1868" s="135"/>
      <c r="K1868" s="135"/>
      <c r="L1868" s="135"/>
      <c r="M1868" s="135"/>
      <c r="N1868" s="135"/>
      <c r="O1868" s="135"/>
      <c r="P1868" s="136">
        <v>0.0</v>
      </c>
      <c r="Q1868" s="137">
        <v>0.0</v>
      </c>
      <c r="R1868" s="136">
        <v>46136.0</v>
      </c>
      <c r="S1868" s="135" t="s">
        <v>3906</v>
      </c>
      <c r="T1868" s="136"/>
      <c r="U1868" s="135"/>
      <c r="V1868" s="135"/>
      <c r="W1868" s="135"/>
      <c r="X1868" s="135"/>
      <c r="Y1868" s="135"/>
      <c r="Z1868" s="135"/>
      <c r="AA1868" s="135"/>
      <c r="AB1868" s="135"/>
      <c r="AC1868" s="135"/>
      <c r="AD1868" s="135" t="e">
        <v>#N/A</v>
      </c>
      <c r="AE1868" s="135"/>
      <c r="AF1868" s="135"/>
      <c r="AG1868" s="135"/>
    </row>
    <row r="1869" ht="21.75" hidden="1" customHeight="1">
      <c r="A1869" s="135">
        <v>1865.0</v>
      </c>
      <c r="B1869" s="135">
        <v>25045.0</v>
      </c>
      <c r="C1869" s="135"/>
      <c r="D1869" s="135">
        <v>28.0</v>
      </c>
      <c r="E1869" s="135"/>
      <c r="F1869" s="135" t="s">
        <v>589</v>
      </c>
      <c r="G1869" s="135" t="s">
        <v>174</v>
      </c>
      <c r="H1869" s="135"/>
      <c r="I1869" s="135" t="s">
        <v>178</v>
      </c>
      <c r="J1869" s="135"/>
      <c r="K1869" s="135"/>
      <c r="L1869" s="135"/>
      <c r="M1869" s="135"/>
      <c r="N1869" s="135"/>
      <c r="O1869" s="135"/>
      <c r="P1869" s="136">
        <v>0.0</v>
      </c>
      <c r="Q1869" s="137">
        <v>0.0</v>
      </c>
      <c r="R1869" s="136">
        <v>46136.0</v>
      </c>
      <c r="S1869" s="135" t="s">
        <v>3906</v>
      </c>
      <c r="T1869" s="136"/>
      <c r="U1869" s="135"/>
      <c r="V1869" s="135"/>
      <c r="W1869" s="135"/>
      <c r="X1869" s="135"/>
      <c r="Y1869" s="135"/>
      <c r="Z1869" s="135"/>
      <c r="AA1869" s="135"/>
      <c r="AB1869" s="135"/>
      <c r="AC1869" s="135"/>
      <c r="AD1869" s="135" t="e">
        <v>#N/A</v>
      </c>
      <c r="AE1869" s="135"/>
      <c r="AF1869" s="135"/>
      <c r="AG1869" s="135"/>
    </row>
    <row r="1870" ht="21.75" hidden="1" customHeight="1">
      <c r="A1870" s="135">
        <v>1866.0</v>
      </c>
      <c r="B1870" s="135">
        <v>25045.0</v>
      </c>
      <c r="C1870" s="135"/>
      <c r="D1870" s="135">
        <v>28.0</v>
      </c>
      <c r="E1870" s="135"/>
      <c r="F1870" s="135" t="s">
        <v>590</v>
      </c>
      <c r="G1870" s="135" t="s">
        <v>174</v>
      </c>
      <c r="H1870" s="135"/>
      <c r="I1870" s="135" t="s">
        <v>178</v>
      </c>
      <c r="J1870" s="135"/>
      <c r="K1870" s="135"/>
      <c r="L1870" s="135"/>
      <c r="M1870" s="135"/>
      <c r="N1870" s="135"/>
      <c r="O1870" s="135"/>
      <c r="P1870" s="136">
        <v>0.0</v>
      </c>
      <c r="Q1870" s="137">
        <v>0.0</v>
      </c>
      <c r="R1870" s="136">
        <v>46136.0</v>
      </c>
      <c r="S1870" s="135" t="s">
        <v>3906</v>
      </c>
      <c r="T1870" s="136"/>
      <c r="U1870" s="135"/>
      <c r="V1870" s="135"/>
      <c r="W1870" s="135"/>
      <c r="X1870" s="135"/>
      <c r="Y1870" s="135"/>
      <c r="Z1870" s="135"/>
      <c r="AA1870" s="135"/>
      <c r="AB1870" s="135"/>
      <c r="AC1870" s="135"/>
      <c r="AD1870" s="135" t="e">
        <v>#N/A</v>
      </c>
      <c r="AE1870" s="135"/>
      <c r="AF1870" s="135"/>
      <c r="AG1870" s="135"/>
    </row>
    <row r="1871" ht="21.75" hidden="1" customHeight="1">
      <c r="A1871" s="135">
        <v>1867.0</v>
      </c>
      <c r="B1871" s="135">
        <v>25045.0</v>
      </c>
      <c r="C1871" s="135"/>
      <c r="D1871" s="135">
        <v>28.0</v>
      </c>
      <c r="E1871" s="135"/>
      <c r="F1871" s="135" t="s">
        <v>591</v>
      </c>
      <c r="G1871" s="135" t="s">
        <v>174</v>
      </c>
      <c r="H1871" s="135"/>
      <c r="I1871" s="135" t="s">
        <v>178</v>
      </c>
      <c r="J1871" s="135"/>
      <c r="K1871" s="135"/>
      <c r="L1871" s="135"/>
      <c r="M1871" s="135"/>
      <c r="N1871" s="135"/>
      <c r="O1871" s="135"/>
      <c r="P1871" s="136">
        <v>0.0</v>
      </c>
      <c r="Q1871" s="137">
        <v>0.0</v>
      </c>
      <c r="R1871" s="136">
        <v>46136.0</v>
      </c>
      <c r="S1871" s="135" t="s">
        <v>3906</v>
      </c>
      <c r="T1871" s="136"/>
      <c r="U1871" s="135"/>
      <c r="V1871" s="135"/>
      <c r="W1871" s="135"/>
      <c r="X1871" s="135"/>
      <c r="Y1871" s="135"/>
      <c r="Z1871" s="135"/>
      <c r="AA1871" s="135"/>
      <c r="AB1871" s="135"/>
      <c r="AC1871" s="135"/>
      <c r="AD1871" s="135" t="e">
        <v>#N/A</v>
      </c>
      <c r="AE1871" s="135"/>
      <c r="AF1871" s="135"/>
      <c r="AG1871" s="135"/>
    </row>
    <row r="1872" ht="21.75" hidden="1" customHeight="1">
      <c r="A1872" s="135">
        <v>1868.0</v>
      </c>
      <c r="B1872" s="135">
        <v>25045.0</v>
      </c>
      <c r="C1872" s="135"/>
      <c r="D1872" s="135">
        <v>28.0</v>
      </c>
      <c r="E1872" s="135"/>
      <c r="F1872" s="135" t="s">
        <v>592</v>
      </c>
      <c r="G1872" s="135" t="s">
        <v>174</v>
      </c>
      <c r="H1872" s="135"/>
      <c r="I1872" s="135" t="s">
        <v>178</v>
      </c>
      <c r="J1872" s="135"/>
      <c r="K1872" s="135"/>
      <c r="L1872" s="135"/>
      <c r="M1872" s="135"/>
      <c r="N1872" s="135"/>
      <c r="O1872" s="135"/>
      <c r="P1872" s="136">
        <v>0.0</v>
      </c>
      <c r="Q1872" s="137">
        <v>0.0</v>
      </c>
      <c r="R1872" s="136">
        <v>46136.0</v>
      </c>
      <c r="S1872" s="135" t="s">
        <v>3906</v>
      </c>
      <c r="T1872" s="136"/>
      <c r="U1872" s="135"/>
      <c r="V1872" s="135"/>
      <c r="W1872" s="135"/>
      <c r="X1872" s="135"/>
      <c r="Y1872" s="135"/>
      <c r="Z1872" s="135"/>
      <c r="AA1872" s="135"/>
      <c r="AB1872" s="135"/>
      <c r="AC1872" s="135"/>
      <c r="AD1872" s="135" t="e">
        <v>#N/A</v>
      </c>
      <c r="AE1872" s="135"/>
      <c r="AF1872" s="135"/>
      <c r="AG1872" s="135"/>
    </row>
    <row r="1873" ht="21.75" hidden="1" customHeight="1">
      <c r="A1873" s="135">
        <v>1869.0</v>
      </c>
      <c r="B1873" s="135">
        <v>25045.0</v>
      </c>
      <c r="C1873" s="135"/>
      <c r="D1873" s="135">
        <v>28.0</v>
      </c>
      <c r="E1873" s="135"/>
      <c r="F1873" s="135" t="s">
        <v>593</v>
      </c>
      <c r="G1873" s="135" t="s">
        <v>174</v>
      </c>
      <c r="H1873" s="135"/>
      <c r="I1873" s="135" t="s">
        <v>178</v>
      </c>
      <c r="J1873" s="135"/>
      <c r="K1873" s="135"/>
      <c r="L1873" s="135"/>
      <c r="M1873" s="135"/>
      <c r="N1873" s="135"/>
      <c r="O1873" s="135"/>
      <c r="P1873" s="136">
        <v>0.0</v>
      </c>
      <c r="Q1873" s="137">
        <v>0.0</v>
      </c>
      <c r="R1873" s="136">
        <v>46136.0</v>
      </c>
      <c r="S1873" s="135" t="s">
        <v>3906</v>
      </c>
      <c r="T1873" s="136"/>
      <c r="U1873" s="135"/>
      <c r="V1873" s="135"/>
      <c r="W1873" s="135"/>
      <c r="X1873" s="135"/>
      <c r="Y1873" s="135"/>
      <c r="Z1873" s="135"/>
      <c r="AA1873" s="135"/>
      <c r="AB1873" s="135"/>
      <c r="AC1873" s="135"/>
      <c r="AD1873" s="135" t="e">
        <v>#N/A</v>
      </c>
      <c r="AE1873" s="135"/>
      <c r="AF1873" s="135"/>
      <c r="AG1873" s="135"/>
    </row>
    <row r="1874" ht="21.75" hidden="1" customHeight="1">
      <c r="A1874" s="135">
        <v>1870.0</v>
      </c>
      <c r="B1874" s="135">
        <v>25045.0</v>
      </c>
      <c r="C1874" s="135"/>
      <c r="D1874" s="135">
        <v>28.0</v>
      </c>
      <c r="E1874" s="135"/>
      <c r="F1874" s="135" t="s">
        <v>594</v>
      </c>
      <c r="G1874" s="135" t="s">
        <v>174</v>
      </c>
      <c r="H1874" s="135"/>
      <c r="I1874" s="135" t="s">
        <v>178</v>
      </c>
      <c r="J1874" s="135"/>
      <c r="K1874" s="135"/>
      <c r="L1874" s="135"/>
      <c r="M1874" s="135"/>
      <c r="N1874" s="135"/>
      <c r="O1874" s="135"/>
      <c r="P1874" s="136">
        <v>0.0</v>
      </c>
      <c r="Q1874" s="137">
        <v>0.0</v>
      </c>
      <c r="R1874" s="136">
        <v>46136.0</v>
      </c>
      <c r="S1874" s="135" t="s">
        <v>3906</v>
      </c>
      <c r="T1874" s="136"/>
      <c r="U1874" s="135"/>
      <c r="V1874" s="135"/>
      <c r="W1874" s="135"/>
      <c r="X1874" s="135"/>
      <c r="Y1874" s="135"/>
      <c r="Z1874" s="135"/>
      <c r="AA1874" s="135"/>
      <c r="AB1874" s="135"/>
      <c r="AC1874" s="135"/>
      <c r="AD1874" s="135" t="e">
        <v>#N/A</v>
      </c>
      <c r="AE1874" s="135"/>
      <c r="AF1874" s="135"/>
      <c r="AG1874" s="135"/>
    </row>
    <row r="1875" ht="21.75" hidden="1" customHeight="1">
      <c r="A1875" s="135">
        <v>1871.0</v>
      </c>
      <c r="B1875" s="135">
        <v>25045.0</v>
      </c>
      <c r="C1875" s="135"/>
      <c r="D1875" s="135">
        <v>28.0</v>
      </c>
      <c r="E1875" s="135"/>
      <c r="F1875" s="135" t="s">
        <v>595</v>
      </c>
      <c r="G1875" s="135" t="s">
        <v>174</v>
      </c>
      <c r="H1875" s="135"/>
      <c r="I1875" s="135" t="s">
        <v>178</v>
      </c>
      <c r="J1875" s="135"/>
      <c r="K1875" s="135"/>
      <c r="L1875" s="135"/>
      <c r="M1875" s="135"/>
      <c r="N1875" s="135"/>
      <c r="O1875" s="135"/>
      <c r="P1875" s="136">
        <v>0.0</v>
      </c>
      <c r="Q1875" s="137">
        <v>0.0</v>
      </c>
      <c r="R1875" s="136">
        <v>46136.0</v>
      </c>
      <c r="S1875" s="135" t="s">
        <v>3906</v>
      </c>
      <c r="T1875" s="136"/>
      <c r="U1875" s="135"/>
      <c r="V1875" s="135"/>
      <c r="W1875" s="135"/>
      <c r="X1875" s="135"/>
      <c r="Y1875" s="135"/>
      <c r="Z1875" s="135"/>
      <c r="AA1875" s="135"/>
      <c r="AB1875" s="135"/>
      <c r="AC1875" s="135"/>
      <c r="AD1875" s="135" t="e">
        <v>#N/A</v>
      </c>
      <c r="AE1875" s="135"/>
      <c r="AF1875" s="135"/>
      <c r="AG1875" s="135"/>
    </row>
    <row r="1876" ht="21.75" hidden="1" customHeight="1">
      <c r="A1876" s="135">
        <v>1872.0</v>
      </c>
      <c r="B1876" s="135">
        <v>25045.0</v>
      </c>
      <c r="C1876" s="135"/>
      <c r="D1876" s="135">
        <v>28.0</v>
      </c>
      <c r="E1876" s="135"/>
      <c r="F1876" s="135" t="s">
        <v>596</v>
      </c>
      <c r="G1876" s="135" t="s">
        <v>174</v>
      </c>
      <c r="H1876" s="135"/>
      <c r="I1876" s="135" t="s">
        <v>178</v>
      </c>
      <c r="J1876" s="135"/>
      <c r="K1876" s="135"/>
      <c r="L1876" s="135"/>
      <c r="M1876" s="135"/>
      <c r="N1876" s="135"/>
      <c r="O1876" s="135"/>
      <c r="P1876" s="136">
        <v>0.0</v>
      </c>
      <c r="Q1876" s="137">
        <v>0.0</v>
      </c>
      <c r="R1876" s="136">
        <v>46136.0</v>
      </c>
      <c r="S1876" s="135" t="s">
        <v>3906</v>
      </c>
      <c r="T1876" s="136"/>
      <c r="U1876" s="135"/>
      <c r="V1876" s="135"/>
      <c r="W1876" s="135"/>
      <c r="X1876" s="135"/>
      <c r="Y1876" s="135"/>
      <c r="Z1876" s="135"/>
      <c r="AA1876" s="135"/>
      <c r="AB1876" s="135"/>
      <c r="AC1876" s="135"/>
      <c r="AD1876" s="135" t="e">
        <v>#N/A</v>
      </c>
      <c r="AE1876" s="135"/>
      <c r="AF1876" s="135"/>
      <c r="AG1876" s="135"/>
    </row>
    <row r="1877" ht="21.75" hidden="1" customHeight="1">
      <c r="A1877" s="135">
        <v>1873.0</v>
      </c>
      <c r="B1877" s="135">
        <v>25045.0</v>
      </c>
      <c r="C1877" s="135"/>
      <c r="D1877" s="135">
        <v>28.0</v>
      </c>
      <c r="E1877" s="135"/>
      <c r="F1877" s="135" t="s">
        <v>597</v>
      </c>
      <c r="G1877" s="135" t="s">
        <v>174</v>
      </c>
      <c r="H1877" s="135"/>
      <c r="I1877" s="135" t="s">
        <v>178</v>
      </c>
      <c r="J1877" s="135"/>
      <c r="K1877" s="135"/>
      <c r="L1877" s="135"/>
      <c r="M1877" s="135"/>
      <c r="N1877" s="135"/>
      <c r="O1877" s="135"/>
      <c r="P1877" s="136">
        <v>0.0</v>
      </c>
      <c r="Q1877" s="137">
        <v>0.0</v>
      </c>
      <c r="R1877" s="136">
        <v>46136.0</v>
      </c>
      <c r="S1877" s="135" t="s">
        <v>3906</v>
      </c>
      <c r="T1877" s="136"/>
      <c r="U1877" s="135"/>
      <c r="V1877" s="135"/>
      <c r="W1877" s="135"/>
      <c r="X1877" s="135"/>
      <c r="Y1877" s="135"/>
      <c r="Z1877" s="135"/>
      <c r="AA1877" s="135"/>
      <c r="AB1877" s="135"/>
      <c r="AC1877" s="135"/>
      <c r="AD1877" s="135" t="e">
        <v>#N/A</v>
      </c>
      <c r="AE1877" s="135"/>
      <c r="AF1877" s="135"/>
      <c r="AG1877" s="135"/>
    </row>
    <row r="1878" ht="21.75" hidden="1" customHeight="1">
      <c r="A1878" s="135">
        <v>1874.0</v>
      </c>
      <c r="B1878" s="135">
        <v>25045.0</v>
      </c>
      <c r="C1878" s="135"/>
      <c r="D1878" s="135">
        <v>28.0</v>
      </c>
      <c r="E1878" s="135"/>
      <c r="F1878" s="135" t="s">
        <v>598</v>
      </c>
      <c r="G1878" s="135" t="s">
        <v>174</v>
      </c>
      <c r="H1878" s="135"/>
      <c r="I1878" s="135" t="s">
        <v>178</v>
      </c>
      <c r="J1878" s="135"/>
      <c r="K1878" s="135"/>
      <c r="L1878" s="135"/>
      <c r="M1878" s="135"/>
      <c r="N1878" s="135"/>
      <c r="O1878" s="135"/>
      <c r="P1878" s="136">
        <v>0.0</v>
      </c>
      <c r="Q1878" s="137">
        <v>0.0</v>
      </c>
      <c r="R1878" s="136">
        <v>46136.0</v>
      </c>
      <c r="S1878" s="135" t="s">
        <v>3906</v>
      </c>
      <c r="T1878" s="136"/>
      <c r="U1878" s="135"/>
      <c r="V1878" s="135"/>
      <c r="W1878" s="135"/>
      <c r="X1878" s="135"/>
      <c r="Y1878" s="135"/>
      <c r="Z1878" s="135"/>
      <c r="AA1878" s="135"/>
      <c r="AB1878" s="135"/>
      <c r="AC1878" s="135"/>
      <c r="AD1878" s="135" t="e">
        <v>#N/A</v>
      </c>
      <c r="AE1878" s="135"/>
      <c r="AF1878" s="135"/>
      <c r="AG1878" s="135"/>
    </row>
    <row r="1879" ht="21.75" hidden="1" customHeight="1">
      <c r="A1879" s="135">
        <v>1875.0</v>
      </c>
      <c r="B1879" s="135">
        <v>25045.0</v>
      </c>
      <c r="C1879" s="135"/>
      <c r="D1879" s="135">
        <v>28.0</v>
      </c>
      <c r="E1879" s="135"/>
      <c r="F1879" s="135" t="s">
        <v>599</v>
      </c>
      <c r="G1879" s="135" t="s">
        <v>174</v>
      </c>
      <c r="H1879" s="135"/>
      <c r="I1879" s="135" t="s">
        <v>178</v>
      </c>
      <c r="J1879" s="135"/>
      <c r="K1879" s="135"/>
      <c r="L1879" s="135"/>
      <c r="M1879" s="135"/>
      <c r="N1879" s="135"/>
      <c r="O1879" s="135"/>
      <c r="P1879" s="136">
        <v>0.0</v>
      </c>
      <c r="Q1879" s="137">
        <v>0.0</v>
      </c>
      <c r="R1879" s="136">
        <v>46136.0</v>
      </c>
      <c r="S1879" s="135" t="s">
        <v>3906</v>
      </c>
      <c r="T1879" s="136"/>
      <c r="U1879" s="135"/>
      <c r="V1879" s="135"/>
      <c r="W1879" s="135"/>
      <c r="X1879" s="135"/>
      <c r="Y1879" s="135"/>
      <c r="Z1879" s="135"/>
      <c r="AA1879" s="135"/>
      <c r="AB1879" s="135"/>
      <c r="AC1879" s="135"/>
      <c r="AD1879" s="135" t="e">
        <v>#N/A</v>
      </c>
      <c r="AE1879" s="135"/>
      <c r="AF1879" s="135"/>
      <c r="AG1879" s="135"/>
    </row>
    <row r="1880" ht="21.75" hidden="1" customHeight="1">
      <c r="A1880" s="135">
        <v>1876.0</v>
      </c>
      <c r="B1880" s="135">
        <v>25045.0</v>
      </c>
      <c r="C1880" s="135"/>
      <c r="D1880" s="135">
        <v>28.0</v>
      </c>
      <c r="E1880" s="135"/>
      <c r="F1880" s="135" t="s">
        <v>600</v>
      </c>
      <c r="G1880" s="135" t="s">
        <v>174</v>
      </c>
      <c r="H1880" s="135"/>
      <c r="I1880" s="135" t="s">
        <v>178</v>
      </c>
      <c r="J1880" s="135"/>
      <c r="K1880" s="135"/>
      <c r="L1880" s="135"/>
      <c r="M1880" s="135"/>
      <c r="N1880" s="135"/>
      <c r="O1880" s="135"/>
      <c r="P1880" s="136">
        <v>0.0</v>
      </c>
      <c r="Q1880" s="137">
        <v>0.0</v>
      </c>
      <c r="R1880" s="136">
        <v>46136.0</v>
      </c>
      <c r="S1880" s="135" t="s">
        <v>3906</v>
      </c>
      <c r="T1880" s="136"/>
      <c r="U1880" s="135"/>
      <c r="V1880" s="135"/>
      <c r="W1880" s="135"/>
      <c r="X1880" s="135"/>
      <c r="Y1880" s="135"/>
      <c r="Z1880" s="135"/>
      <c r="AA1880" s="135"/>
      <c r="AB1880" s="135"/>
      <c r="AC1880" s="135"/>
      <c r="AD1880" s="135" t="e">
        <v>#N/A</v>
      </c>
      <c r="AE1880" s="135"/>
      <c r="AF1880" s="135"/>
      <c r="AG1880" s="135"/>
    </row>
    <row r="1881" ht="21.75" hidden="1" customHeight="1">
      <c r="A1881" s="135">
        <v>1877.0</v>
      </c>
      <c r="B1881" s="135">
        <v>25045.0</v>
      </c>
      <c r="C1881" s="135"/>
      <c r="D1881" s="135">
        <v>28.0</v>
      </c>
      <c r="E1881" s="135"/>
      <c r="F1881" s="135" t="s">
        <v>601</v>
      </c>
      <c r="G1881" s="135" t="s">
        <v>174</v>
      </c>
      <c r="H1881" s="135"/>
      <c r="I1881" s="135" t="s">
        <v>178</v>
      </c>
      <c r="J1881" s="135"/>
      <c r="K1881" s="135"/>
      <c r="L1881" s="135"/>
      <c r="M1881" s="135"/>
      <c r="N1881" s="135"/>
      <c r="O1881" s="135"/>
      <c r="P1881" s="136">
        <v>0.0</v>
      </c>
      <c r="Q1881" s="137">
        <v>0.0</v>
      </c>
      <c r="R1881" s="136">
        <v>46136.0</v>
      </c>
      <c r="S1881" s="135" t="s">
        <v>3906</v>
      </c>
      <c r="T1881" s="136"/>
      <c r="U1881" s="135"/>
      <c r="V1881" s="135"/>
      <c r="W1881" s="135"/>
      <c r="X1881" s="135"/>
      <c r="Y1881" s="135"/>
      <c r="Z1881" s="135"/>
      <c r="AA1881" s="135"/>
      <c r="AB1881" s="135"/>
      <c r="AC1881" s="135"/>
      <c r="AD1881" s="135" t="e">
        <v>#N/A</v>
      </c>
      <c r="AE1881" s="135"/>
      <c r="AF1881" s="135"/>
      <c r="AG1881" s="135"/>
    </row>
    <row r="1882" ht="21.75" hidden="1" customHeight="1">
      <c r="A1882" s="135">
        <v>1878.0</v>
      </c>
      <c r="B1882" s="135">
        <v>25045.0</v>
      </c>
      <c r="C1882" s="135"/>
      <c r="D1882" s="135">
        <v>28.0</v>
      </c>
      <c r="E1882" s="135"/>
      <c r="F1882" s="135" t="s">
        <v>602</v>
      </c>
      <c r="G1882" s="135" t="s">
        <v>174</v>
      </c>
      <c r="H1882" s="135"/>
      <c r="I1882" s="135" t="s">
        <v>178</v>
      </c>
      <c r="J1882" s="135"/>
      <c r="K1882" s="135"/>
      <c r="L1882" s="135"/>
      <c r="M1882" s="135"/>
      <c r="N1882" s="135"/>
      <c r="O1882" s="135"/>
      <c r="P1882" s="136">
        <v>0.0</v>
      </c>
      <c r="Q1882" s="137">
        <v>0.0</v>
      </c>
      <c r="R1882" s="136">
        <v>46136.0</v>
      </c>
      <c r="S1882" s="135" t="s">
        <v>3906</v>
      </c>
      <c r="T1882" s="136"/>
      <c r="U1882" s="135"/>
      <c r="V1882" s="135"/>
      <c r="W1882" s="135"/>
      <c r="X1882" s="135"/>
      <c r="Y1882" s="135"/>
      <c r="Z1882" s="135"/>
      <c r="AA1882" s="135"/>
      <c r="AB1882" s="135"/>
      <c r="AC1882" s="135"/>
      <c r="AD1882" s="135" t="e">
        <v>#N/A</v>
      </c>
      <c r="AE1882" s="135"/>
      <c r="AF1882" s="135"/>
      <c r="AG1882" s="135"/>
    </row>
    <row r="1883" ht="21.75" hidden="1" customHeight="1">
      <c r="A1883" s="135">
        <v>1879.0</v>
      </c>
      <c r="B1883" s="135">
        <v>25045.0</v>
      </c>
      <c r="C1883" s="135"/>
      <c r="D1883" s="135">
        <v>28.0</v>
      </c>
      <c r="E1883" s="135"/>
      <c r="F1883" s="135" t="s">
        <v>604</v>
      </c>
      <c r="G1883" s="135" t="s">
        <v>174</v>
      </c>
      <c r="H1883" s="135"/>
      <c r="I1883" s="135" t="s">
        <v>179</v>
      </c>
      <c r="J1883" s="135"/>
      <c r="K1883" s="135"/>
      <c r="L1883" s="135"/>
      <c r="M1883" s="135"/>
      <c r="N1883" s="135"/>
      <c r="O1883" s="135"/>
      <c r="P1883" s="136">
        <v>0.0</v>
      </c>
      <c r="Q1883" s="137">
        <v>0.0</v>
      </c>
      <c r="R1883" s="136">
        <v>46136.0</v>
      </c>
      <c r="S1883" s="135" t="s">
        <v>3906</v>
      </c>
      <c r="T1883" s="136"/>
      <c r="U1883" s="135"/>
      <c r="V1883" s="135"/>
      <c r="W1883" s="135"/>
      <c r="X1883" s="135"/>
      <c r="Y1883" s="135"/>
      <c r="Z1883" s="135"/>
      <c r="AA1883" s="135"/>
      <c r="AB1883" s="135"/>
      <c r="AC1883" s="135"/>
      <c r="AD1883" s="135" t="e">
        <v>#N/A</v>
      </c>
      <c r="AE1883" s="135"/>
      <c r="AF1883" s="135"/>
      <c r="AG1883" s="135"/>
    </row>
    <row r="1884" ht="21.75" hidden="1" customHeight="1">
      <c r="A1884" s="135">
        <v>1880.0</v>
      </c>
      <c r="B1884" s="135">
        <v>25045.0</v>
      </c>
      <c r="C1884" s="135"/>
      <c r="D1884" s="135">
        <v>28.0</v>
      </c>
      <c r="E1884" s="135"/>
      <c r="F1884" s="135" t="s">
        <v>605</v>
      </c>
      <c r="G1884" s="135" t="s">
        <v>174</v>
      </c>
      <c r="H1884" s="135"/>
      <c r="I1884" s="135" t="s">
        <v>179</v>
      </c>
      <c r="J1884" s="135"/>
      <c r="K1884" s="135"/>
      <c r="L1884" s="135"/>
      <c r="M1884" s="135"/>
      <c r="N1884" s="135"/>
      <c r="O1884" s="135"/>
      <c r="P1884" s="136">
        <v>0.0</v>
      </c>
      <c r="Q1884" s="137">
        <v>0.0</v>
      </c>
      <c r="R1884" s="136">
        <v>46136.0</v>
      </c>
      <c r="S1884" s="135" t="s">
        <v>3906</v>
      </c>
      <c r="T1884" s="136"/>
      <c r="U1884" s="135"/>
      <c r="V1884" s="135"/>
      <c r="W1884" s="135"/>
      <c r="X1884" s="135"/>
      <c r="Y1884" s="135"/>
      <c r="Z1884" s="135"/>
      <c r="AA1884" s="135"/>
      <c r="AB1884" s="135"/>
      <c r="AC1884" s="135"/>
      <c r="AD1884" s="135" t="e">
        <v>#N/A</v>
      </c>
      <c r="AE1884" s="135"/>
      <c r="AF1884" s="135"/>
      <c r="AG1884" s="135"/>
    </row>
    <row r="1885" ht="21.75" hidden="1" customHeight="1">
      <c r="A1885" s="135">
        <v>1881.0</v>
      </c>
      <c r="B1885" s="135">
        <v>25045.0</v>
      </c>
      <c r="C1885" s="135"/>
      <c r="D1885" s="135">
        <v>28.0</v>
      </c>
      <c r="E1885" s="135"/>
      <c r="F1885" s="135" t="s">
        <v>606</v>
      </c>
      <c r="G1885" s="135" t="s">
        <v>174</v>
      </c>
      <c r="H1885" s="135"/>
      <c r="I1885" s="135" t="s">
        <v>179</v>
      </c>
      <c r="J1885" s="135"/>
      <c r="K1885" s="135"/>
      <c r="L1885" s="135"/>
      <c r="M1885" s="135"/>
      <c r="N1885" s="135"/>
      <c r="O1885" s="135"/>
      <c r="P1885" s="136">
        <v>0.0</v>
      </c>
      <c r="Q1885" s="137">
        <v>0.0</v>
      </c>
      <c r="R1885" s="136">
        <v>46136.0</v>
      </c>
      <c r="S1885" s="135" t="s">
        <v>3906</v>
      </c>
      <c r="T1885" s="136"/>
      <c r="U1885" s="135"/>
      <c r="V1885" s="135"/>
      <c r="W1885" s="135"/>
      <c r="X1885" s="135"/>
      <c r="Y1885" s="135"/>
      <c r="Z1885" s="135"/>
      <c r="AA1885" s="135"/>
      <c r="AB1885" s="135"/>
      <c r="AC1885" s="135"/>
      <c r="AD1885" s="135" t="e">
        <v>#N/A</v>
      </c>
      <c r="AE1885" s="135"/>
      <c r="AF1885" s="135"/>
      <c r="AG1885" s="135"/>
    </row>
    <row r="1886" ht="21.75" hidden="1" customHeight="1">
      <c r="A1886" s="135">
        <v>1882.0</v>
      </c>
      <c r="B1886" s="135">
        <v>25045.0</v>
      </c>
      <c r="C1886" s="135"/>
      <c r="D1886" s="135">
        <v>28.0</v>
      </c>
      <c r="E1886" s="135"/>
      <c r="F1886" s="135" t="s">
        <v>607</v>
      </c>
      <c r="G1886" s="135" t="s">
        <v>174</v>
      </c>
      <c r="H1886" s="135"/>
      <c r="I1886" s="135" t="s">
        <v>179</v>
      </c>
      <c r="J1886" s="135"/>
      <c r="K1886" s="135"/>
      <c r="L1886" s="135"/>
      <c r="M1886" s="135"/>
      <c r="N1886" s="135"/>
      <c r="O1886" s="135"/>
      <c r="P1886" s="136">
        <v>0.0</v>
      </c>
      <c r="Q1886" s="137">
        <v>0.0</v>
      </c>
      <c r="R1886" s="136">
        <v>46136.0</v>
      </c>
      <c r="S1886" s="135" t="s">
        <v>3906</v>
      </c>
      <c r="T1886" s="136"/>
      <c r="U1886" s="135"/>
      <c r="V1886" s="135"/>
      <c r="W1886" s="135"/>
      <c r="X1886" s="135"/>
      <c r="Y1886" s="135"/>
      <c r="Z1886" s="135"/>
      <c r="AA1886" s="135"/>
      <c r="AB1886" s="135"/>
      <c r="AC1886" s="135"/>
      <c r="AD1886" s="135" t="e">
        <v>#N/A</v>
      </c>
      <c r="AE1886" s="135"/>
      <c r="AF1886" s="135"/>
      <c r="AG1886" s="135"/>
    </row>
    <row r="1887" ht="21.75" hidden="1" customHeight="1">
      <c r="A1887" s="135">
        <v>1883.0</v>
      </c>
      <c r="B1887" s="135">
        <v>25045.0</v>
      </c>
      <c r="C1887" s="135"/>
      <c r="D1887" s="135">
        <v>28.0</v>
      </c>
      <c r="E1887" s="135"/>
      <c r="F1887" s="135" t="s">
        <v>608</v>
      </c>
      <c r="G1887" s="135" t="s">
        <v>174</v>
      </c>
      <c r="H1887" s="135"/>
      <c r="I1887" s="135" t="s">
        <v>179</v>
      </c>
      <c r="J1887" s="135"/>
      <c r="K1887" s="135"/>
      <c r="L1887" s="135"/>
      <c r="M1887" s="135"/>
      <c r="N1887" s="135"/>
      <c r="O1887" s="135"/>
      <c r="P1887" s="136">
        <v>0.0</v>
      </c>
      <c r="Q1887" s="137">
        <v>0.0</v>
      </c>
      <c r="R1887" s="136">
        <v>46136.0</v>
      </c>
      <c r="S1887" s="135" t="s">
        <v>3906</v>
      </c>
      <c r="T1887" s="136"/>
      <c r="U1887" s="135"/>
      <c r="V1887" s="135"/>
      <c r="W1887" s="135"/>
      <c r="X1887" s="135"/>
      <c r="Y1887" s="135"/>
      <c r="Z1887" s="135"/>
      <c r="AA1887" s="135"/>
      <c r="AB1887" s="135"/>
      <c r="AC1887" s="135"/>
      <c r="AD1887" s="135" t="e">
        <v>#N/A</v>
      </c>
      <c r="AE1887" s="135"/>
      <c r="AF1887" s="135"/>
      <c r="AG1887" s="135"/>
    </row>
    <row r="1888" ht="21.75" hidden="1" customHeight="1">
      <c r="A1888" s="135">
        <v>1884.0</v>
      </c>
      <c r="B1888" s="135">
        <v>25045.0</v>
      </c>
      <c r="C1888" s="135"/>
      <c r="D1888" s="135">
        <v>28.0</v>
      </c>
      <c r="E1888" s="135"/>
      <c r="F1888" s="135" t="s">
        <v>609</v>
      </c>
      <c r="G1888" s="135" t="s">
        <v>174</v>
      </c>
      <c r="H1888" s="135"/>
      <c r="I1888" s="135" t="s">
        <v>179</v>
      </c>
      <c r="J1888" s="135"/>
      <c r="K1888" s="135"/>
      <c r="L1888" s="135"/>
      <c r="M1888" s="135"/>
      <c r="N1888" s="135"/>
      <c r="O1888" s="135"/>
      <c r="P1888" s="136">
        <v>0.0</v>
      </c>
      <c r="Q1888" s="137">
        <v>0.0</v>
      </c>
      <c r="R1888" s="136">
        <v>46136.0</v>
      </c>
      <c r="S1888" s="135" t="s">
        <v>3906</v>
      </c>
      <c r="T1888" s="136"/>
      <c r="U1888" s="135"/>
      <c r="V1888" s="135"/>
      <c r="W1888" s="135"/>
      <c r="X1888" s="135"/>
      <c r="Y1888" s="135"/>
      <c r="Z1888" s="135"/>
      <c r="AA1888" s="135"/>
      <c r="AB1888" s="135"/>
      <c r="AC1888" s="135"/>
      <c r="AD1888" s="135" t="e">
        <v>#N/A</v>
      </c>
      <c r="AE1888" s="135"/>
      <c r="AF1888" s="135"/>
      <c r="AG1888" s="135"/>
    </row>
    <row r="1889" ht="21.75" hidden="1" customHeight="1">
      <c r="A1889" s="135">
        <v>1885.0</v>
      </c>
      <c r="B1889" s="135">
        <v>25045.0</v>
      </c>
      <c r="C1889" s="135"/>
      <c r="D1889" s="135">
        <v>28.0</v>
      </c>
      <c r="E1889" s="135"/>
      <c r="F1889" s="135" t="s">
        <v>610</v>
      </c>
      <c r="G1889" s="135" t="s">
        <v>174</v>
      </c>
      <c r="H1889" s="135"/>
      <c r="I1889" s="135" t="s">
        <v>179</v>
      </c>
      <c r="J1889" s="135"/>
      <c r="K1889" s="135"/>
      <c r="L1889" s="135"/>
      <c r="M1889" s="135"/>
      <c r="N1889" s="135"/>
      <c r="O1889" s="135"/>
      <c r="P1889" s="136">
        <v>0.0</v>
      </c>
      <c r="Q1889" s="137">
        <v>0.0</v>
      </c>
      <c r="R1889" s="136">
        <v>46136.0</v>
      </c>
      <c r="S1889" s="135" t="s">
        <v>3906</v>
      </c>
      <c r="T1889" s="136"/>
      <c r="U1889" s="135"/>
      <c r="V1889" s="135"/>
      <c r="W1889" s="135"/>
      <c r="X1889" s="135"/>
      <c r="Y1889" s="135"/>
      <c r="Z1889" s="135"/>
      <c r="AA1889" s="135"/>
      <c r="AB1889" s="135"/>
      <c r="AC1889" s="135"/>
      <c r="AD1889" s="135" t="e">
        <v>#N/A</v>
      </c>
      <c r="AE1889" s="135"/>
      <c r="AF1889" s="135"/>
      <c r="AG1889" s="135"/>
    </row>
    <row r="1890" ht="21.75" hidden="1" customHeight="1">
      <c r="A1890" s="135">
        <v>1886.0</v>
      </c>
      <c r="B1890" s="135">
        <v>25045.0</v>
      </c>
      <c r="C1890" s="135"/>
      <c r="D1890" s="135">
        <v>28.0</v>
      </c>
      <c r="E1890" s="135"/>
      <c r="F1890" s="135" t="s">
        <v>611</v>
      </c>
      <c r="G1890" s="135" t="s">
        <v>174</v>
      </c>
      <c r="H1890" s="135"/>
      <c r="I1890" s="135" t="s">
        <v>179</v>
      </c>
      <c r="J1890" s="135"/>
      <c r="K1890" s="135"/>
      <c r="L1890" s="135"/>
      <c r="M1890" s="135"/>
      <c r="N1890" s="135"/>
      <c r="O1890" s="135"/>
      <c r="P1890" s="136">
        <v>0.0</v>
      </c>
      <c r="Q1890" s="137">
        <v>0.0</v>
      </c>
      <c r="R1890" s="136">
        <v>46136.0</v>
      </c>
      <c r="S1890" s="135" t="s">
        <v>3906</v>
      </c>
      <c r="T1890" s="136"/>
      <c r="U1890" s="135"/>
      <c r="V1890" s="135"/>
      <c r="W1890" s="135"/>
      <c r="X1890" s="135"/>
      <c r="Y1890" s="135"/>
      <c r="Z1890" s="135"/>
      <c r="AA1890" s="135"/>
      <c r="AB1890" s="135"/>
      <c r="AC1890" s="135"/>
      <c r="AD1890" s="135" t="e">
        <v>#N/A</v>
      </c>
      <c r="AE1890" s="135"/>
      <c r="AF1890" s="135"/>
      <c r="AG1890" s="135"/>
    </row>
    <row r="1891" ht="21.75" hidden="1" customHeight="1">
      <c r="A1891" s="135">
        <v>1887.0</v>
      </c>
      <c r="B1891" s="135">
        <v>25045.0</v>
      </c>
      <c r="C1891" s="135"/>
      <c r="D1891" s="135">
        <v>28.0</v>
      </c>
      <c r="E1891" s="135"/>
      <c r="F1891" s="135" t="s">
        <v>612</v>
      </c>
      <c r="G1891" s="135" t="s">
        <v>174</v>
      </c>
      <c r="H1891" s="135"/>
      <c r="I1891" s="135" t="s">
        <v>179</v>
      </c>
      <c r="J1891" s="135"/>
      <c r="K1891" s="135"/>
      <c r="L1891" s="135"/>
      <c r="M1891" s="135"/>
      <c r="N1891" s="135"/>
      <c r="O1891" s="135"/>
      <c r="P1891" s="136">
        <v>0.0</v>
      </c>
      <c r="Q1891" s="137">
        <v>0.0</v>
      </c>
      <c r="R1891" s="136">
        <v>46136.0</v>
      </c>
      <c r="S1891" s="135" t="s">
        <v>3906</v>
      </c>
      <c r="T1891" s="136"/>
      <c r="U1891" s="135"/>
      <c r="V1891" s="135"/>
      <c r="W1891" s="135"/>
      <c r="X1891" s="135"/>
      <c r="Y1891" s="135"/>
      <c r="Z1891" s="135"/>
      <c r="AA1891" s="135"/>
      <c r="AB1891" s="135"/>
      <c r="AC1891" s="135"/>
      <c r="AD1891" s="135" t="e">
        <v>#N/A</v>
      </c>
      <c r="AE1891" s="135"/>
      <c r="AF1891" s="135"/>
      <c r="AG1891" s="135"/>
    </row>
    <row r="1892" ht="21.75" hidden="1" customHeight="1">
      <c r="A1892" s="135">
        <v>1888.0</v>
      </c>
      <c r="B1892" s="135">
        <v>25045.0</v>
      </c>
      <c r="C1892" s="135"/>
      <c r="D1892" s="135">
        <v>28.0</v>
      </c>
      <c r="E1892" s="135"/>
      <c r="F1892" s="135" t="s">
        <v>613</v>
      </c>
      <c r="G1892" s="135" t="s">
        <v>174</v>
      </c>
      <c r="H1892" s="135"/>
      <c r="I1892" s="135" t="s">
        <v>179</v>
      </c>
      <c r="J1892" s="135"/>
      <c r="K1892" s="135"/>
      <c r="L1892" s="135"/>
      <c r="M1892" s="135"/>
      <c r="N1892" s="135"/>
      <c r="O1892" s="135"/>
      <c r="P1892" s="136">
        <v>0.0</v>
      </c>
      <c r="Q1892" s="137">
        <v>0.0</v>
      </c>
      <c r="R1892" s="136">
        <v>46136.0</v>
      </c>
      <c r="S1892" s="135" t="s">
        <v>3906</v>
      </c>
      <c r="T1892" s="136"/>
      <c r="U1892" s="135"/>
      <c r="V1892" s="135"/>
      <c r="W1892" s="135"/>
      <c r="X1892" s="135"/>
      <c r="Y1892" s="135"/>
      <c r="Z1892" s="135"/>
      <c r="AA1892" s="135"/>
      <c r="AB1892" s="135"/>
      <c r="AC1892" s="135"/>
      <c r="AD1892" s="135" t="e">
        <v>#N/A</v>
      </c>
      <c r="AE1892" s="135"/>
      <c r="AF1892" s="135"/>
      <c r="AG1892" s="135"/>
    </row>
    <row r="1893" ht="21.75" hidden="1" customHeight="1">
      <c r="A1893" s="135">
        <v>1889.0</v>
      </c>
      <c r="B1893" s="135">
        <v>25045.0</v>
      </c>
      <c r="C1893" s="135"/>
      <c r="D1893" s="135">
        <v>28.0</v>
      </c>
      <c r="E1893" s="135"/>
      <c r="F1893" s="135" t="s">
        <v>614</v>
      </c>
      <c r="G1893" s="135" t="s">
        <v>174</v>
      </c>
      <c r="H1893" s="135"/>
      <c r="I1893" s="135" t="s">
        <v>179</v>
      </c>
      <c r="J1893" s="135"/>
      <c r="K1893" s="135"/>
      <c r="L1893" s="135"/>
      <c r="M1893" s="135"/>
      <c r="N1893" s="135"/>
      <c r="O1893" s="135"/>
      <c r="P1893" s="136">
        <v>0.0</v>
      </c>
      <c r="Q1893" s="137">
        <v>0.0</v>
      </c>
      <c r="R1893" s="136">
        <v>46136.0</v>
      </c>
      <c r="S1893" s="135" t="s">
        <v>3906</v>
      </c>
      <c r="T1893" s="136"/>
      <c r="U1893" s="135"/>
      <c r="V1893" s="135"/>
      <c r="W1893" s="135"/>
      <c r="X1893" s="135"/>
      <c r="Y1893" s="135"/>
      <c r="Z1893" s="135"/>
      <c r="AA1893" s="135"/>
      <c r="AB1893" s="135"/>
      <c r="AC1893" s="135"/>
      <c r="AD1893" s="135" t="e">
        <v>#N/A</v>
      </c>
      <c r="AE1893" s="135"/>
      <c r="AF1893" s="135"/>
      <c r="AG1893" s="135"/>
    </row>
    <row r="1894" ht="21.75" hidden="1" customHeight="1">
      <c r="A1894" s="135">
        <v>1890.0</v>
      </c>
      <c r="B1894" s="135">
        <v>25045.0</v>
      </c>
      <c r="C1894" s="135"/>
      <c r="D1894" s="135">
        <v>28.0</v>
      </c>
      <c r="E1894" s="135"/>
      <c r="F1894" s="135" t="s">
        <v>615</v>
      </c>
      <c r="G1894" s="135" t="s">
        <v>174</v>
      </c>
      <c r="H1894" s="135"/>
      <c r="I1894" s="135" t="s">
        <v>179</v>
      </c>
      <c r="J1894" s="135"/>
      <c r="K1894" s="135"/>
      <c r="L1894" s="135"/>
      <c r="M1894" s="135"/>
      <c r="N1894" s="135"/>
      <c r="O1894" s="135"/>
      <c r="P1894" s="136">
        <v>0.0</v>
      </c>
      <c r="Q1894" s="137">
        <v>0.0</v>
      </c>
      <c r="R1894" s="136">
        <v>46136.0</v>
      </c>
      <c r="S1894" s="135" t="s">
        <v>3906</v>
      </c>
      <c r="T1894" s="136"/>
      <c r="U1894" s="135"/>
      <c r="V1894" s="135"/>
      <c r="W1894" s="135"/>
      <c r="X1894" s="135"/>
      <c r="Y1894" s="135"/>
      <c r="Z1894" s="135"/>
      <c r="AA1894" s="135"/>
      <c r="AB1894" s="135"/>
      <c r="AC1894" s="135"/>
      <c r="AD1894" s="135" t="e">
        <v>#N/A</v>
      </c>
      <c r="AE1894" s="135"/>
      <c r="AF1894" s="135"/>
      <c r="AG1894" s="135"/>
    </row>
    <row r="1895" ht="21.75" hidden="1" customHeight="1">
      <c r="A1895" s="135">
        <v>1891.0</v>
      </c>
      <c r="B1895" s="135">
        <v>25045.0</v>
      </c>
      <c r="C1895" s="135"/>
      <c r="D1895" s="135">
        <v>28.0</v>
      </c>
      <c r="E1895" s="135"/>
      <c r="F1895" s="135" t="s">
        <v>616</v>
      </c>
      <c r="G1895" s="135" t="s">
        <v>174</v>
      </c>
      <c r="H1895" s="135"/>
      <c r="I1895" s="135" t="s">
        <v>179</v>
      </c>
      <c r="J1895" s="135"/>
      <c r="K1895" s="135"/>
      <c r="L1895" s="135"/>
      <c r="M1895" s="135"/>
      <c r="N1895" s="135"/>
      <c r="O1895" s="135"/>
      <c r="P1895" s="136">
        <v>0.0</v>
      </c>
      <c r="Q1895" s="137">
        <v>0.0</v>
      </c>
      <c r="R1895" s="136">
        <v>46136.0</v>
      </c>
      <c r="S1895" s="135" t="s">
        <v>3906</v>
      </c>
      <c r="T1895" s="136"/>
      <c r="U1895" s="135"/>
      <c r="V1895" s="135"/>
      <c r="W1895" s="135"/>
      <c r="X1895" s="135"/>
      <c r="Y1895" s="135"/>
      <c r="Z1895" s="135"/>
      <c r="AA1895" s="135"/>
      <c r="AB1895" s="135"/>
      <c r="AC1895" s="135"/>
      <c r="AD1895" s="135" t="e">
        <v>#N/A</v>
      </c>
      <c r="AE1895" s="135"/>
      <c r="AF1895" s="135"/>
      <c r="AG1895" s="135"/>
    </row>
    <row r="1896" ht="21.75" hidden="1" customHeight="1">
      <c r="A1896" s="135">
        <v>1892.0</v>
      </c>
      <c r="B1896" s="135">
        <v>25045.0</v>
      </c>
      <c r="C1896" s="135"/>
      <c r="D1896" s="135">
        <v>28.0</v>
      </c>
      <c r="E1896" s="135"/>
      <c r="F1896" s="135" t="s">
        <v>617</v>
      </c>
      <c r="G1896" s="135" t="s">
        <v>174</v>
      </c>
      <c r="H1896" s="135"/>
      <c r="I1896" s="135" t="s">
        <v>179</v>
      </c>
      <c r="J1896" s="135"/>
      <c r="K1896" s="135"/>
      <c r="L1896" s="135"/>
      <c r="M1896" s="135"/>
      <c r="N1896" s="135"/>
      <c r="O1896" s="135"/>
      <c r="P1896" s="136">
        <v>0.0</v>
      </c>
      <c r="Q1896" s="137">
        <v>0.0</v>
      </c>
      <c r="R1896" s="136">
        <v>46136.0</v>
      </c>
      <c r="S1896" s="135" t="s">
        <v>3906</v>
      </c>
      <c r="T1896" s="136"/>
      <c r="U1896" s="135"/>
      <c r="V1896" s="135"/>
      <c r="W1896" s="135"/>
      <c r="X1896" s="135"/>
      <c r="Y1896" s="135"/>
      <c r="Z1896" s="135"/>
      <c r="AA1896" s="135"/>
      <c r="AB1896" s="135"/>
      <c r="AC1896" s="135"/>
      <c r="AD1896" s="135" t="e">
        <v>#N/A</v>
      </c>
      <c r="AE1896" s="135"/>
      <c r="AF1896" s="135"/>
      <c r="AG1896" s="135"/>
    </row>
    <row r="1897" ht="21.75" hidden="1" customHeight="1">
      <c r="A1897" s="135">
        <v>1893.0</v>
      </c>
      <c r="B1897" s="135">
        <v>25045.0</v>
      </c>
      <c r="C1897" s="135"/>
      <c r="D1897" s="135">
        <v>28.0</v>
      </c>
      <c r="E1897" s="135"/>
      <c r="F1897" s="135" t="s">
        <v>618</v>
      </c>
      <c r="G1897" s="135" t="s">
        <v>174</v>
      </c>
      <c r="H1897" s="135"/>
      <c r="I1897" s="135" t="s">
        <v>179</v>
      </c>
      <c r="J1897" s="135"/>
      <c r="K1897" s="135"/>
      <c r="L1897" s="135"/>
      <c r="M1897" s="135"/>
      <c r="N1897" s="135"/>
      <c r="O1897" s="135"/>
      <c r="P1897" s="136">
        <v>0.0</v>
      </c>
      <c r="Q1897" s="137">
        <v>0.0</v>
      </c>
      <c r="R1897" s="136">
        <v>46136.0</v>
      </c>
      <c r="S1897" s="135" t="s">
        <v>3906</v>
      </c>
      <c r="T1897" s="136"/>
      <c r="U1897" s="135"/>
      <c r="V1897" s="135"/>
      <c r="W1897" s="135"/>
      <c r="X1897" s="135"/>
      <c r="Y1897" s="135"/>
      <c r="Z1897" s="135"/>
      <c r="AA1897" s="135"/>
      <c r="AB1897" s="135"/>
      <c r="AC1897" s="135"/>
      <c r="AD1897" s="135" t="e">
        <v>#N/A</v>
      </c>
      <c r="AE1897" s="135"/>
      <c r="AF1897" s="135"/>
      <c r="AG1897" s="135"/>
    </row>
    <row r="1898" ht="21.75" hidden="1" customHeight="1">
      <c r="A1898" s="135">
        <v>1894.0</v>
      </c>
      <c r="B1898" s="135">
        <v>25045.0</v>
      </c>
      <c r="C1898" s="135"/>
      <c r="D1898" s="135">
        <v>28.0</v>
      </c>
      <c r="E1898" s="135"/>
      <c r="F1898" s="135" t="s">
        <v>619</v>
      </c>
      <c r="G1898" s="135" t="s">
        <v>174</v>
      </c>
      <c r="H1898" s="135"/>
      <c r="I1898" s="135" t="s">
        <v>179</v>
      </c>
      <c r="J1898" s="135"/>
      <c r="K1898" s="135"/>
      <c r="L1898" s="135"/>
      <c r="M1898" s="135"/>
      <c r="N1898" s="135"/>
      <c r="O1898" s="135"/>
      <c r="P1898" s="136">
        <v>0.0</v>
      </c>
      <c r="Q1898" s="137">
        <v>0.0</v>
      </c>
      <c r="R1898" s="136">
        <v>46136.0</v>
      </c>
      <c r="S1898" s="135" t="s">
        <v>3906</v>
      </c>
      <c r="T1898" s="136"/>
      <c r="U1898" s="135"/>
      <c r="V1898" s="135"/>
      <c r="W1898" s="135"/>
      <c r="X1898" s="135"/>
      <c r="Y1898" s="135"/>
      <c r="Z1898" s="135"/>
      <c r="AA1898" s="135"/>
      <c r="AB1898" s="135"/>
      <c r="AC1898" s="135"/>
      <c r="AD1898" s="135" t="e">
        <v>#N/A</v>
      </c>
      <c r="AE1898" s="135"/>
      <c r="AF1898" s="135"/>
      <c r="AG1898" s="135"/>
    </row>
    <row r="1899" ht="21.75" hidden="1" customHeight="1">
      <c r="A1899" s="135">
        <v>1895.0</v>
      </c>
      <c r="B1899" s="135">
        <v>25045.0</v>
      </c>
      <c r="C1899" s="135"/>
      <c r="D1899" s="135">
        <v>28.0</v>
      </c>
      <c r="E1899" s="135"/>
      <c r="F1899" s="135" t="s">
        <v>620</v>
      </c>
      <c r="G1899" s="135" t="s">
        <v>174</v>
      </c>
      <c r="H1899" s="135"/>
      <c r="I1899" s="135" t="s">
        <v>179</v>
      </c>
      <c r="J1899" s="135"/>
      <c r="K1899" s="135"/>
      <c r="L1899" s="135"/>
      <c r="M1899" s="135"/>
      <c r="N1899" s="135"/>
      <c r="O1899" s="135"/>
      <c r="P1899" s="136">
        <v>0.0</v>
      </c>
      <c r="Q1899" s="137">
        <v>0.0</v>
      </c>
      <c r="R1899" s="136">
        <v>46136.0</v>
      </c>
      <c r="S1899" s="135" t="s">
        <v>3906</v>
      </c>
      <c r="T1899" s="136"/>
      <c r="U1899" s="135"/>
      <c r="V1899" s="135"/>
      <c r="W1899" s="135"/>
      <c r="X1899" s="135"/>
      <c r="Y1899" s="135"/>
      <c r="Z1899" s="135"/>
      <c r="AA1899" s="135"/>
      <c r="AB1899" s="135"/>
      <c r="AC1899" s="135"/>
      <c r="AD1899" s="135" t="e">
        <v>#N/A</v>
      </c>
      <c r="AE1899" s="135"/>
      <c r="AF1899" s="135"/>
      <c r="AG1899" s="135"/>
    </row>
    <row r="1900" ht="21.75" hidden="1" customHeight="1">
      <c r="A1900" s="135">
        <v>1896.0</v>
      </c>
      <c r="B1900" s="135">
        <v>25045.0</v>
      </c>
      <c r="C1900" s="135"/>
      <c r="D1900" s="135">
        <v>28.0</v>
      </c>
      <c r="E1900" s="135"/>
      <c r="F1900" s="135" t="s">
        <v>621</v>
      </c>
      <c r="G1900" s="135" t="s">
        <v>174</v>
      </c>
      <c r="H1900" s="135"/>
      <c r="I1900" s="135" t="s">
        <v>179</v>
      </c>
      <c r="J1900" s="135"/>
      <c r="K1900" s="135"/>
      <c r="L1900" s="135"/>
      <c r="M1900" s="135"/>
      <c r="N1900" s="135"/>
      <c r="O1900" s="135"/>
      <c r="P1900" s="136">
        <v>0.0</v>
      </c>
      <c r="Q1900" s="137">
        <v>0.0</v>
      </c>
      <c r="R1900" s="136">
        <v>46136.0</v>
      </c>
      <c r="S1900" s="135" t="s">
        <v>3906</v>
      </c>
      <c r="T1900" s="136"/>
      <c r="U1900" s="135"/>
      <c r="V1900" s="135"/>
      <c r="W1900" s="135"/>
      <c r="X1900" s="135"/>
      <c r="Y1900" s="135"/>
      <c r="Z1900" s="135"/>
      <c r="AA1900" s="135"/>
      <c r="AB1900" s="135"/>
      <c r="AC1900" s="135"/>
      <c r="AD1900" s="135" t="e">
        <v>#N/A</v>
      </c>
      <c r="AE1900" s="135"/>
      <c r="AF1900" s="135"/>
      <c r="AG1900" s="135"/>
    </row>
    <row r="1901" ht="21.75" hidden="1" customHeight="1">
      <c r="A1901" s="135">
        <v>1897.0</v>
      </c>
      <c r="B1901" s="135">
        <v>25045.0</v>
      </c>
      <c r="C1901" s="135"/>
      <c r="D1901" s="135">
        <v>28.0</v>
      </c>
      <c r="E1901" s="135"/>
      <c r="F1901" s="135" t="s">
        <v>622</v>
      </c>
      <c r="G1901" s="135" t="s">
        <v>174</v>
      </c>
      <c r="H1901" s="135"/>
      <c r="I1901" s="135" t="s">
        <v>179</v>
      </c>
      <c r="J1901" s="135"/>
      <c r="K1901" s="135"/>
      <c r="L1901" s="135"/>
      <c r="M1901" s="135"/>
      <c r="N1901" s="135"/>
      <c r="O1901" s="135"/>
      <c r="P1901" s="136">
        <v>0.0</v>
      </c>
      <c r="Q1901" s="137">
        <v>0.0</v>
      </c>
      <c r="R1901" s="136">
        <v>46136.0</v>
      </c>
      <c r="S1901" s="135" t="s">
        <v>3906</v>
      </c>
      <c r="T1901" s="136"/>
      <c r="U1901" s="135"/>
      <c r="V1901" s="135"/>
      <c r="W1901" s="135"/>
      <c r="X1901" s="135"/>
      <c r="Y1901" s="135"/>
      <c r="Z1901" s="135"/>
      <c r="AA1901" s="135"/>
      <c r="AB1901" s="135"/>
      <c r="AC1901" s="135"/>
      <c r="AD1901" s="135" t="e">
        <v>#N/A</v>
      </c>
      <c r="AE1901" s="135"/>
      <c r="AF1901" s="135"/>
      <c r="AG1901" s="135"/>
    </row>
    <row r="1902" ht="21.75" hidden="1" customHeight="1">
      <c r="A1902" s="135">
        <v>1898.0</v>
      </c>
      <c r="B1902" s="135">
        <v>25045.0</v>
      </c>
      <c r="C1902" s="135"/>
      <c r="D1902" s="135">
        <v>28.0</v>
      </c>
      <c r="E1902" s="135"/>
      <c r="F1902" s="135" t="s">
        <v>623</v>
      </c>
      <c r="G1902" s="135" t="s">
        <v>174</v>
      </c>
      <c r="H1902" s="135"/>
      <c r="I1902" s="135" t="s">
        <v>179</v>
      </c>
      <c r="J1902" s="135"/>
      <c r="K1902" s="135"/>
      <c r="L1902" s="135"/>
      <c r="M1902" s="135"/>
      <c r="N1902" s="135"/>
      <c r="O1902" s="135"/>
      <c r="P1902" s="136">
        <v>0.0</v>
      </c>
      <c r="Q1902" s="137">
        <v>0.0</v>
      </c>
      <c r="R1902" s="136">
        <v>46136.0</v>
      </c>
      <c r="S1902" s="135" t="s">
        <v>3906</v>
      </c>
      <c r="T1902" s="136"/>
      <c r="U1902" s="135"/>
      <c r="V1902" s="135"/>
      <c r="W1902" s="135"/>
      <c r="X1902" s="135"/>
      <c r="Y1902" s="135"/>
      <c r="Z1902" s="135"/>
      <c r="AA1902" s="135"/>
      <c r="AB1902" s="135"/>
      <c r="AC1902" s="135"/>
      <c r="AD1902" s="135" t="e">
        <v>#N/A</v>
      </c>
      <c r="AE1902" s="135"/>
      <c r="AF1902" s="135"/>
      <c r="AG1902" s="135"/>
    </row>
    <row r="1903" ht="21.75" hidden="1" customHeight="1">
      <c r="A1903" s="135">
        <v>1899.0</v>
      </c>
      <c r="B1903" s="135">
        <v>25045.0</v>
      </c>
      <c r="C1903" s="135"/>
      <c r="D1903" s="135">
        <v>28.0</v>
      </c>
      <c r="E1903" s="135"/>
      <c r="F1903" s="135" t="s">
        <v>624</v>
      </c>
      <c r="G1903" s="135" t="s">
        <v>174</v>
      </c>
      <c r="H1903" s="135"/>
      <c r="I1903" s="135" t="s">
        <v>179</v>
      </c>
      <c r="J1903" s="135"/>
      <c r="K1903" s="135"/>
      <c r="L1903" s="135"/>
      <c r="M1903" s="135"/>
      <c r="N1903" s="135"/>
      <c r="O1903" s="135"/>
      <c r="P1903" s="136">
        <v>0.0</v>
      </c>
      <c r="Q1903" s="137">
        <v>0.0</v>
      </c>
      <c r="R1903" s="136">
        <v>46136.0</v>
      </c>
      <c r="S1903" s="135" t="s">
        <v>3906</v>
      </c>
      <c r="T1903" s="136"/>
      <c r="U1903" s="135"/>
      <c r="V1903" s="135"/>
      <c r="W1903" s="135"/>
      <c r="X1903" s="135"/>
      <c r="Y1903" s="135"/>
      <c r="Z1903" s="135"/>
      <c r="AA1903" s="135"/>
      <c r="AB1903" s="135"/>
      <c r="AC1903" s="135"/>
      <c r="AD1903" s="135" t="e">
        <v>#N/A</v>
      </c>
      <c r="AE1903" s="135"/>
      <c r="AF1903" s="135"/>
      <c r="AG1903" s="135"/>
    </row>
    <row r="1904" ht="21.75" hidden="1" customHeight="1">
      <c r="A1904" s="135">
        <v>1900.0</v>
      </c>
      <c r="B1904" s="135">
        <v>25045.0</v>
      </c>
      <c r="C1904" s="135"/>
      <c r="D1904" s="135">
        <v>28.0</v>
      </c>
      <c r="E1904" s="135"/>
      <c r="F1904" s="135" t="s">
        <v>625</v>
      </c>
      <c r="G1904" s="135" t="s">
        <v>174</v>
      </c>
      <c r="H1904" s="135"/>
      <c r="I1904" s="135" t="s">
        <v>179</v>
      </c>
      <c r="J1904" s="135"/>
      <c r="K1904" s="135"/>
      <c r="L1904" s="135"/>
      <c r="M1904" s="135"/>
      <c r="N1904" s="135"/>
      <c r="O1904" s="135"/>
      <c r="P1904" s="136">
        <v>0.0</v>
      </c>
      <c r="Q1904" s="137">
        <v>0.0</v>
      </c>
      <c r="R1904" s="136">
        <v>46136.0</v>
      </c>
      <c r="S1904" s="135" t="s">
        <v>3906</v>
      </c>
      <c r="T1904" s="136"/>
      <c r="U1904" s="135"/>
      <c r="V1904" s="135"/>
      <c r="W1904" s="135"/>
      <c r="X1904" s="135"/>
      <c r="Y1904" s="135"/>
      <c r="Z1904" s="135"/>
      <c r="AA1904" s="135"/>
      <c r="AB1904" s="135"/>
      <c r="AC1904" s="135"/>
      <c r="AD1904" s="135" t="e">
        <v>#N/A</v>
      </c>
      <c r="AE1904" s="135"/>
      <c r="AF1904" s="135"/>
      <c r="AG1904" s="135"/>
    </row>
    <row r="1905" ht="21.75" hidden="1" customHeight="1">
      <c r="A1905" s="135">
        <v>1901.0</v>
      </c>
      <c r="B1905" s="135">
        <v>25045.0</v>
      </c>
      <c r="C1905" s="135"/>
      <c r="D1905" s="135">
        <v>28.0</v>
      </c>
      <c r="E1905" s="135"/>
      <c r="F1905" s="135" t="s">
        <v>626</v>
      </c>
      <c r="G1905" s="135" t="s">
        <v>174</v>
      </c>
      <c r="H1905" s="135"/>
      <c r="I1905" s="135" t="s">
        <v>179</v>
      </c>
      <c r="J1905" s="135"/>
      <c r="K1905" s="135"/>
      <c r="L1905" s="135"/>
      <c r="M1905" s="135"/>
      <c r="N1905" s="135"/>
      <c r="O1905" s="135"/>
      <c r="P1905" s="136">
        <v>0.0</v>
      </c>
      <c r="Q1905" s="137">
        <v>0.0</v>
      </c>
      <c r="R1905" s="136">
        <v>46136.0</v>
      </c>
      <c r="S1905" s="135" t="s">
        <v>3906</v>
      </c>
      <c r="T1905" s="136"/>
      <c r="U1905" s="135"/>
      <c r="V1905" s="135"/>
      <c r="W1905" s="135"/>
      <c r="X1905" s="135"/>
      <c r="Y1905" s="135"/>
      <c r="Z1905" s="135"/>
      <c r="AA1905" s="135"/>
      <c r="AB1905" s="135"/>
      <c r="AC1905" s="135"/>
      <c r="AD1905" s="135" t="e">
        <v>#N/A</v>
      </c>
      <c r="AE1905" s="135"/>
      <c r="AF1905" s="135"/>
      <c r="AG1905" s="135"/>
    </row>
    <row r="1906" ht="21.75" hidden="1" customHeight="1">
      <c r="A1906" s="135">
        <v>1902.0</v>
      </c>
      <c r="B1906" s="135">
        <v>25045.0</v>
      </c>
      <c r="C1906" s="135"/>
      <c r="D1906" s="135">
        <v>28.0</v>
      </c>
      <c r="E1906" s="135"/>
      <c r="F1906" s="135" t="s">
        <v>627</v>
      </c>
      <c r="G1906" s="135" t="s">
        <v>174</v>
      </c>
      <c r="H1906" s="135"/>
      <c r="I1906" s="135" t="s">
        <v>179</v>
      </c>
      <c r="J1906" s="135"/>
      <c r="K1906" s="135"/>
      <c r="L1906" s="135"/>
      <c r="M1906" s="135"/>
      <c r="N1906" s="135"/>
      <c r="O1906" s="135"/>
      <c r="P1906" s="136">
        <v>0.0</v>
      </c>
      <c r="Q1906" s="137">
        <v>0.0</v>
      </c>
      <c r="R1906" s="136">
        <v>46136.0</v>
      </c>
      <c r="S1906" s="135" t="s">
        <v>3906</v>
      </c>
      <c r="T1906" s="136"/>
      <c r="U1906" s="135"/>
      <c r="V1906" s="135"/>
      <c r="W1906" s="135"/>
      <c r="X1906" s="135"/>
      <c r="Y1906" s="135"/>
      <c r="Z1906" s="135"/>
      <c r="AA1906" s="135"/>
      <c r="AB1906" s="135"/>
      <c r="AC1906" s="135"/>
      <c r="AD1906" s="135" t="e">
        <v>#N/A</v>
      </c>
      <c r="AE1906" s="135"/>
      <c r="AF1906" s="135"/>
      <c r="AG1906" s="135"/>
    </row>
    <row r="1907" ht="21.75" hidden="1" customHeight="1">
      <c r="A1907" s="135">
        <v>1903.0</v>
      </c>
      <c r="B1907" s="135">
        <v>25045.0</v>
      </c>
      <c r="C1907" s="135"/>
      <c r="D1907" s="135">
        <v>28.0</v>
      </c>
      <c r="E1907" s="135"/>
      <c r="F1907" s="135" t="s">
        <v>628</v>
      </c>
      <c r="G1907" s="135" t="s">
        <v>174</v>
      </c>
      <c r="H1907" s="135"/>
      <c r="I1907" s="135" t="s">
        <v>179</v>
      </c>
      <c r="J1907" s="135"/>
      <c r="K1907" s="135"/>
      <c r="L1907" s="135"/>
      <c r="M1907" s="135"/>
      <c r="N1907" s="135"/>
      <c r="O1907" s="135"/>
      <c r="P1907" s="136">
        <v>0.0</v>
      </c>
      <c r="Q1907" s="137">
        <v>0.0</v>
      </c>
      <c r="R1907" s="136">
        <v>46136.0</v>
      </c>
      <c r="S1907" s="135" t="s">
        <v>3906</v>
      </c>
      <c r="T1907" s="136"/>
      <c r="U1907" s="135"/>
      <c r="V1907" s="135"/>
      <c r="W1907" s="135"/>
      <c r="X1907" s="135"/>
      <c r="Y1907" s="135"/>
      <c r="Z1907" s="135"/>
      <c r="AA1907" s="135"/>
      <c r="AB1907" s="135"/>
      <c r="AC1907" s="135"/>
      <c r="AD1907" s="135" t="e">
        <v>#N/A</v>
      </c>
      <c r="AE1907" s="135"/>
      <c r="AF1907" s="135"/>
      <c r="AG1907" s="135"/>
    </row>
    <row r="1908" ht="21.75" hidden="1" customHeight="1">
      <c r="A1908" s="135">
        <v>1904.0</v>
      </c>
      <c r="B1908" s="135">
        <v>25045.0</v>
      </c>
      <c r="C1908" s="135"/>
      <c r="D1908" s="135">
        <v>28.0</v>
      </c>
      <c r="E1908" s="135"/>
      <c r="F1908" s="135" t="s">
        <v>629</v>
      </c>
      <c r="G1908" s="135" t="s">
        <v>174</v>
      </c>
      <c r="H1908" s="135"/>
      <c r="I1908" s="135" t="s">
        <v>179</v>
      </c>
      <c r="J1908" s="135"/>
      <c r="K1908" s="135"/>
      <c r="L1908" s="135"/>
      <c r="M1908" s="135"/>
      <c r="N1908" s="135"/>
      <c r="O1908" s="135"/>
      <c r="P1908" s="136">
        <v>0.0</v>
      </c>
      <c r="Q1908" s="137">
        <v>0.0</v>
      </c>
      <c r="R1908" s="136">
        <v>46136.0</v>
      </c>
      <c r="S1908" s="135" t="s">
        <v>3906</v>
      </c>
      <c r="T1908" s="136"/>
      <c r="U1908" s="135"/>
      <c r="V1908" s="135"/>
      <c r="W1908" s="135"/>
      <c r="X1908" s="135"/>
      <c r="Y1908" s="135"/>
      <c r="Z1908" s="135"/>
      <c r="AA1908" s="135"/>
      <c r="AB1908" s="135"/>
      <c r="AC1908" s="135"/>
      <c r="AD1908" s="135" t="e">
        <v>#N/A</v>
      </c>
      <c r="AE1908" s="135"/>
      <c r="AF1908" s="135"/>
      <c r="AG1908" s="135"/>
    </row>
    <row r="1909" ht="21.75" hidden="1" customHeight="1">
      <c r="A1909" s="135">
        <v>1905.0</v>
      </c>
      <c r="B1909" s="135">
        <v>25045.0</v>
      </c>
      <c r="C1909" s="135"/>
      <c r="D1909" s="135">
        <v>28.0</v>
      </c>
      <c r="E1909" s="135"/>
      <c r="F1909" s="135" t="s">
        <v>630</v>
      </c>
      <c r="G1909" s="135" t="s">
        <v>174</v>
      </c>
      <c r="H1909" s="135"/>
      <c r="I1909" s="135" t="s">
        <v>179</v>
      </c>
      <c r="J1909" s="135"/>
      <c r="K1909" s="135"/>
      <c r="L1909" s="135"/>
      <c r="M1909" s="135"/>
      <c r="N1909" s="135"/>
      <c r="O1909" s="135"/>
      <c r="P1909" s="136">
        <v>0.0</v>
      </c>
      <c r="Q1909" s="137">
        <v>0.0</v>
      </c>
      <c r="R1909" s="136">
        <v>46136.0</v>
      </c>
      <c r="S1909" s="135" t="s">
        <v>3906</v>
      </c>
      <c r="T1909" s="136"/>
      <c r="U1909" s="135"/>
      <c r="V1909" s="135"/>
      <c r="W1909" s="135"/>
      <c r="X1909" s="135"/>
      <c r="Y1909" s="135"/>
      <c r="Z1909" s="135"/>
      <c r="AA1909" s="135"/>
      <c r="AB1909" s="135"/>
      <c r="AC1909" s="135"/>
      <c r="AD1909" s="135" t="e">
        <v>#N/A</v>
      </c>
      <c r="AE1909" s="135"/>
      <c r="AF1909" s="135"/>
      <c r="AG1909" s="135"/>
    </row>
    <row r="1910" ht="21.75" hidden="1" customHeight="1">
      <c r="A1910" s="135">
        <v>1906.0</v>
      </c>
      <c r="B1910" s="135">
        <v>25045.0</v>
      </c>
      <c r="C1910" s="135"/>
      <c r="D1910" s="135">
        <v>28.0</v>
      </c>
      <c r="E1910" s="135"/>
      <c r="F1910" s="135" t="s">
        <v>631</v>
      </c>
      <c r="G1910" s="135" t="s">
        <v>174</v>
      </c>
      <c r="H1910" s="135"/>
      <c r="I1910" s="135" t="s">
        <v>179</v>
      </c>
      <c r="J1910" s="135"/>
      <c r="K1910" s="135"/>
      <c r="L1910" s="135"/>
      <c r="M1910" s="135"/>
      <c r="N1910" s="135"/>
      <c r="O1910" s="135"/>
      <c r="P1910" s="136">
        <v>0.0</v>
      </c>
      <c r="Q1910" s="137">
        <v>0.0</v>
      </c>
      <c r="R1910" s="136">
        <v>46136.0</v>
      </c>
      <c r="S1910" s="135" t="s">
        <v>3906</v>
      </c>
      <c r="T1910" s="136"/>
      <c r="U1910" s="135"/>
      <c r="V1910" s="135"/>
      <c r="W1910" s="135"/>
      <c r="X1910" s="135"/>
      <c r="Y1910" s="135"/>
      <c r="Z1910" s="135"/>
      <c r="AA1910" s="135"/>
      <c r="AB1910" s="135"/>
      <c r="AC1910" s="135"/>
      <c r="AD1910" s="135" t="e">
        <v>#N/A</v>
      </c>
      <c r="AE1910" s="135"/>
      <c r="AF1910" s="135"/>
      <c r="AG1910" s="135"/>
    </row>
    <row r="1911" ht="21.75" hidden="1" customHeight="1">
      <c r="A1911" s="135">
        <v>1907.0</v>
      </c>
      <c r="B1911" s="135">
        <v>25045.0</v>
      </c>
      <c r="C1911" s="135"/>
      <c r="D1911" s="135">
        <v>28.0</v>
      </c>
      <c r="E1911" s="135"/>
      <c r="F1911" s="135" t="s">
        <v>632</v>
      </c>
      <c r="G1911" s="135" t="s">
        <v>174</v>
      </c>
      <c r="H1911" s="135"/>
      <c r="I1911" s="135" t="s">
        <v>180</v>
      </c>
      <c r="J1911" s="135"/>
      <c r="K1911" s="135"/>
      <c r="L1911" s="135"/>
      <c r="M1911" s="135"/>
      <c r="N1911" s="135"/>
      <c r="O1911" s="135"/>
      <c r="P1911" s="136">
        <v>0.0</v>
      </c>
      <c r="Q1911" s="137">
        <v>0.0</v>
      </c>
      <c r="R1911" s="136">
        <v>46136.0</v>
      </c>
      <c r="S1911" s="135" t="s">
        <v>3906</v>
      </c>
      <c r="T1911" s="136"/>
      <c r="U1911" s="135"/>
      <c r="V1911" s="135"/>
      <c r="W1911" s="135"/>
      <c r="X1911" s="135"/>
      <c r="Y1911" s="135"/>
      <c r="Z1911" s="135"/>
      <c r="AA1911" s="135"/>
      <c r="AB1911" s="135"/>
      <c r="AC1911" s="135"/>
      <c r="AD1911" s="135" t="e">
        <v>#N/A</v>
      </c>
      <c r="AE1911" s="135"/>
      <c r="AF1911" s="135"/>
      <c r="AG1911" s="135"/>
    </row>
    <row r="1912" ht="21.75" hidden="1" customHeight="1">
      <c r="A1912" s="135">
        <v>1908.0</v>
      </c>
      <c r="B1912" s="135">
        <v>25045.0</v>
      </c>
      <c r="C1912" s="135"/>
      <c r="D1912" s="135">
        <v>28.0</v>
      </c>
      <c r="E1912" s="135"/>
      <c r="F1912" s="135" t="s">
        <v>633</v>
      </c>
      <c r="G1912" s="135" t="s">
        <v>174</v>
      </c>
      <c r="H1912" s="135"/>
      <c r="I1912" s="135" t="s">
        <v>180</v>
      </c>
      <c r="J1912" s="135"/>
      <c r="K1912" s="135"/>
      <c r="L1912" s="135"/>
      <c r="M1912" s="135"/>
      <c r="N1912" s="135"/>
      <c r="O1912" s="135"/>
      <c r="P1912" s="136">
        <v>0.0</v>
      </c>
      <c r="Q1912" s="137">
        <v>0.0</v>
      </c>
      <c r="R1912" s="136">
        <v>46136.0</v>
      </c>
      <c r="S1912" s="135" t="s">
        <v>3906</v>
      </c>
      <c r="T1912" s="136"/>
      <c r="U1912" s="135"/>
      <c r="V1912" s="135"/>
      <c r="W1912" s="135"/>
      <c r="X1912" s="135"/>
      <c r="Y1912" s="135"/>
      <c r="Z1912" s="135"/>
      <c r="AA1912" s="135"/>
      <c r="AB1912" s="135"/>
      <c r="AC1912" s="135"/>
      <c r="AD1912" s="135" t="e">
        <v>#N/A</v>
      </c>
      <c r="AE1912" s="135"/>
      <c r="AF1912" s="135"/>
      <c r="AG1912" s="135"/>
    </row>
    <row r="1913" ht="21.75" hidden="1" customHeight="1">
      <c r="A1913" s="135">
        <v>1909.0</v>
      </c>
      <c r="B1913" s="135">
        <v>25045.0</v>
      </c>
      <c r="C1913" s="135"/>
      <c r="D1913" s="135">
        <v>28.0</v>
      </c>
      <c r="E1913" s="135"/>
      <c r="F1913" s="135" t="s">
        <v>634</v>
      </c>
      <c r="G1913" s="135" t="s">
        <v>174</v>
      </c>
      <c r="H1913" s="135"/>
      <c r="I1913" s="135" t="s">
        <v>180</v>
      </c>
      <c r="J1913" s="135"/>
      <c r="K1913" s="135"/>
      <c r="L1913" s="135"/>
      <c r="M1913" s="135"/>
      <c r="N1913" s="135"/>
      <c r="O1913" s="135"/>
      <c r="P1913" s="136">
        <v>0.0</v>
      </c>
      <c r="Q1913" s="137">
        <v>0.0</v>
      </c>
      <c r="R1913" s="136">
        <v>46136.0</v>
      </c>
      <c r="S1913" s="135" t="s">
        <v>3906</v>
      </c>
      <c r="T1913" s="136"/>
      <c r="U1913" s="135"/>
      <c r="V1913" s="135"/>
      <c r="W1913" s="135"/>
      <c r="X1913" s="135"/>
      <c r="Y1913" s="135"/>
      <c r="Z1913" s="135"/>
      <c r="AA1913" s="135"/>
      <c r="AB1913" s="135"/>
      <c r="AC1913" s="135"/>
      <c r="AD1913" s="135" t="e">
        <v>#N/A</v>
      </c>
      <c r="AE1913" s="135"/>
      <c r="AF1913" s="135"/>
      <c r="AG1913" s="135"/>
    </row>
    <row r="1914" ht="21.75" hidden="1" customHeight="1">
      <c r="A1914" s="135">
        <v>1910.0</v>
      </c>
      <c r="B1914" s="135">
        <v>25045.0</v>
      </c>
      <c r="C1914" s="135"/>
      <c r="D1914" s="135">
        <v>28.0</v>
      </c>
      <c r="E1914" s="135"/>
      <c r="F1914" s="135" t="s">
        <v>635</v>
      </c>
      <c r="G1914" s="135" t="s">
        <v>174</v>
      </c>
      <c r="H1914" s="135"/>
      <c r="I1914" s="135" t="s">
        <v>180</v>
      </c>
      <c r="J1914" s="135"/>
      <c r="K1914" s="135"/>
      <c r="L1914" s="135"/>
      <c r="M1914" s="135"/>
      <c r="N1914" s="135"/>
      <c r="O1914" s="135"/>
      <c r="P1914" s="136">
        <v>0.0</v>
      </c>
      <c r="Q1914" s="137">
        <v>0.0</v>
      </c>
      <c r="R1914" s="136">
        <v>46136.0</v>
      </c>
      <c r="S1914" s="135" t="s">
        <v>3906</v>
      </c>
      <c r="T1914" s="136"/>
      <c r="U1914" s="135"/>
      <c r="V1914" s="135"/>
      <c r="W1914" s="135"/>
      <c r="X1914" s="135"/>
      <c r="Y1914" s="135"/>
      <c r="Z1914" s="135"/>
      <c r="AA1914" s="135"/>
      <c r="AB1914" s="135"/>
      <c r="AC1914" s="135"/>
      <c r="AD1914" s="135" t="e">
        <v>#N/A</v>
      </c>
      <c r="AE1914" s="135"/>
      <c r="AF1914" s="135"/>
      <c r="AG1914" s="135"/>
    </row>
    <row r="1915" ht="21.75" hidden="1" customHeight="1">
      <c r="A1915" s="135">
        <v>1911.0</v>
      </c>
      <c r="B1915" s="135">
        <v>25045.0</v>
      </c>
      <c r="C1915" s="135"/>
      <c r="D1915" s="135">
        <v>28.0</v>
      </c>
      <c r="E1915" s="135"/>
      <c r="F1915" s="135" t="s">
        <v>636</v>
      </c>
      <c r="G1915" s="135" t="s">
        <v>174</v>
      </c>
      <c r="H1915" s="135"/>
      <c r="I1915" s="135" t="s">
        <v>180</v>
      </c>
      <c r="J1915" s="135"/>
      <c r="K1915" s="135"/>
      <c r="L1915" s="135"/>
      <c r="M1915" s="135"/>
      <c r="N1915" s="135"/>
      <c r="O1915" s="135"/>
      <c r="P1915" s="136">
        <v>0.0</v>
      </c>
      <c r="Q1915" s="137">
        <v>0.0</v>
      </c>
      <c r="R1915" s="136">
        <v>46136.0</v>
      </c>
      <c r="S1915" s="135" t="s">
        <v>3906</v>
      </c>
      <c r="T1915" s="136"/>
      <c r="U1915" s="135"/>
      <c r="V1915" s="135"/>
      <c r="W1915" s="135"/>
      <c r="X1915" s="135"/>
      <c r="Y1915" s="135"/>
      <c r="Z1915" s="135"/>
      <c r="AA1915" s="135"/>
      <c r="AB1915" s="135"/>
      <c r="AC1915" s="135"/>
      <c r="AD1915" s="135" t="e">
        <v>#N/A</v>
      </c>
      <c r="AE1915" s="135"/>
      <c r="AF1915" s="135"/>
      <c r="AG1915" s="135"/>
    </row>
    <row r="1916" ht="21.75" hidden="1" customHeight="1">
      <c r="A1916" s="135">
        <v>1912.0</v>
      </c>
      <c r="B1916" s="135">
        <v>25045.0</v>
      </c>
      <c r="C1916" s="135"/>
      <c r="D1916" s="135">
        <v>28.0</v>
      </c>
      <c r="E1916" s="135"/>
      <c r="F1916" s="135" t="s">
        <v>637</v>
      </c>
      <c r="G1916" s="135" t="s">
        <v>174</v>
      </c>
      <c r="H1916" s="135"/>
      <c r="I1916" s="135" t="s">
        <v>180</v>
      </c>
      <c r="J1916" s="135"/>
      <c r="K1916" s="135"/>
      <c r="L1916" s="135"/>
      <c r="M1916" s="135"/>
      <c r="N1916" s="135"/>
      <c r="O1916" s="135"/>
      <c r="P1916" s="136">
        <v>0.0</v>
      </c>
      <c r="Q1916" s="137">
        <v>0.0</v>
      </c>
      <c r="R1916" s="136">
        <v>46136.0</v>
      </c>
      <c r="S1916" s="135" t="s">
        <v>3906</v>
      </c>
      <c r="T1916" s="136"/>
      <c r="U1916" s="135"/>
      <c r="V1916" s="135"/>
      <c r="W1916" s="135"/>
      <c r="X1916" s="135"/>
      <c r="Y1916" s="135"/>
      <c r="Z1916" s="135"/>
      <c r="AA1916" s="135"/>
      <c r="AB1916" s="135"/>
      <c r="AC1916" s="135"/>
      <c r="AD1916" s="135" t="e">
        <v>#N/A</v>
      </c>
      <c r="AE1916" s="135"/>
      <c r="AF1916" s="135"/>
      <c r="AG1916" s="135"/>
    </row>
    <row r="1917" ht="21.75" hidden="1" customHeight="1">
      <c r="A1917" s="135">
        <v>1913.0</v>
      </c>
      <c r="B1917" s="135">
        <v>25045.0</v>
      </c>
      <c r="C1917" s="135"/>
      <c r="D1917" s="135">
        <v>28.0</v>
      </c>
      <c r="E1917" s="135"/>
      <c r="F1917" s="135" t="s">
        <v>638</v>
      </c>
      <c r="G1917" s="135" t="s">
        <v>174</v>
      </c>
      <c r="H1917" s="135"/>
      <c r="I1917" s="135" t="s">
        <v>180</v>
      </c>
      <c r="J1917" s="135"/>
      <c r="K1917" s="135"/>
      <c r="L1917" s="135"/>
      <c r="M1917" s="135"/>
      <c r="N1917" s="135"/>
      <c r="O1917" s="135"/>
      <c r="P1917" s="136">
        <v>0.0</v>
      </c>
      <c r="Q1917" s="137">
        <v>0.0</v>
      </c>
      <c r="R1917" s="136">
        <v>46136.0</v>
      </c>
      <c r="S1917" s="135" t="s">
        <v>3906</v>
      </c>
      <c r="T1917" s="136"/>
      <c r="U1917" s="135"/>
      <c r="V1917" s="135"/>
      <c r="W1917" s="135"/>
      <c r="X1917" s="135"/>
      <c r="Y1917" s="135"/>
      <c r="Z1917" s="135"/>
      <c r="AA1917" s="135"/>
      <c r="AB1917" s="135"/>
      <c r="AC1917" s="135"/>
      <c r="AD1917" s="135" t="e">
        <v>#N/A</v>
      </c>
      <c r="AE1917" s="135"/>
      <c r="AF1917" s="135"/>
      <c r="AG1917" s="135"/>
    </row>
    <row r="1918" ht="21.75" hidden="1" customHeight="1">
      <c r="A1918" s="135">
        <v>1914.0</v>
      </c>
      <c r="B1918" s="135">
        <v>25045.0</v>
      </c>
      <c r="C1918" s="135"/>
      <c r="D1918" s="135">
        <v>28.0</v>
      </c>
      <c r="E1918" s="135"/>
      <c r="F1918" s="135" t="s">
        <v>639</v>
      </c>
      <c r="G1918" s="135" t="s">
        <v>174</v>
      </c>
      <c r="H1918" s="135"/>
      <c r="I1918" s="135" t="s">
        <v>180</v>
      </c>
      <c r="J1918" s="135"/>
      <c r="K1918" s="135"/>
      <c r="L1918" s="135"/>
      <c r="M1918" s="135"/>
      <c r="N1918" s="135"/>
      <c r="O1918" s="135"/>
      <c r="P1918" s="136">
        <v>0.0</v>
      </c>
      <c r="Q1918" s="137">
        <v>0.0</v>
      </c>
      <c r="R1918" s="136">
        <v>46136.0</v>
      </c>
      <c r="S1918" s="135" t="s">
        <v>3906</v>
      </c>
      <c r="T1918" s="136"/>
      <c r="U1918" s="135"/>
      <c r="V1918" s="135"/>
      <c r="W1918" s="135"/>
      <c r="X1918" s="135"/>
      <c r="Y1918" s="135"/>
      <c r="Z1918" s="135"/>
      <c r="AA1918" s="135"/>
      <c r="AB1918" s="135"/>
      <c r="AC1918" s="135"/>
      <c r="AD1918" s="135" t="e">
        <v>#N/A</v>
      </c>
      <c r="AE1918" s="135"/>
      <c r="AF1918" s="135"/>
      <c r="AG1918" s="135"/>
    </row>
    <row r="1919" ht="21.75" hidden="1" customHeight="1">
      <c r="A1919" s="135">
        <v>1915.0</v>
      </c>
      <c r="B1919" s="135">
        <v>25045.0</v>
      </c>
      <c r="C1919" s="135"/>
      <c r="D1919" s="135">
        <v>28.0</v>
      </c>
      <c r="E1919" s="135"/>
      <c r="F1919" s="135" t="s">
        <v>640</v>
      </c>
      <c r="G1919" s="135" t="s">
        <v>174</v>
      </c>
      <c r="H1919" s="135"/>
      <c r="I1919" s="135" t="s">
        <v>180</v>
      </c>
      <c r="J1919" s="135"/>
      <c r="K1919" s="135"/>
      <c r="L1919" s="135"/>
      <c r="M1919" s="135"/>
      <c r="N1919" s="135"/>
      <c r="O1919" s="135"/>
      <c r="P1919" s="136">
        <v>0.0</v>
      </c>
      <c r="Q1919" s="137">
        <v>0.0</v>
      </c>
      <c r="R1919" s="136">
        <v>46136.0</v>
      </c>
      <c r="S1919" s="135" t="s">
        <v>3906</v>
      </c>
      <c r="T1919" s="136"/>
      <c r="U1919" s="135"/>
      <c r="V1919" s="135"/>
      <c r="W1919" s="135"/>
      <c r="X1919" s="135"/>
      <c r="Y1919" s="135"/>
      <c r="Z1919" s="135"/>
      <c r="AA1919" s="135"/>
      <c r="AB1919" s="135"/>
      <c r="AC1919" s="135"/>
      <c r="AD1919" s="135" t="e">
        <v>#N/A</v>
      </c>
      <c r="AE1919" s="135"/>
      <c r="AF1919" s="135"/>
      <c r="AG1919" s="135"/>
    </row>
    <row r="1920" ht="21.75" hidden="1" customHeight="1">
      <c r="A1920" s="135">
        <v>1916.0</v>
      </c>
      <c r="B1920" s="135">
        <v>25045.0</v>
      </c>
      <c r="C1920" s="135"/>
      <c r="D1920" s="135">
        <v>28.0</v>
      </c>
      <c r="E1920" s="135"/>
      <c r="F1920" s="135" t="s">
        <v>641</v>
      </c>
      <c r="G1920" s="135" t="s">
        <v>174</v>
      </c>
      <c r="H1920" s="135"/>
      <c r="I1920" s="135" t="s">
        <v>180</v>
      </c>
      <c r="J1920" s="135"/>
      <c r="K1920" s="135"/>
      <c r="L1920" s="135"/>
      <c r="M1920" s="135"/>
      <c r="N1920" s="135"/>
      <c r="O1920" s="135"/>
      <c r="P1920" s="136">
        <v>0.0</v>
      </c>
      <c r="Q1920" s="137">
        <v>0.0</v>
      </c>
      <c r="R1920" s="136">
        <v>46136.0</v>
      </c>
      <c r="S1920" s="135" t="s">
        <v>3906</v>
      </c>
      <c r="T1920" s="136"/>
      <c r="U1920" s="135"/>
      <c r="V1920" s="135"/>
      <c r="W1920" s="135"/>
      <c r="X1920" s="135"/>
      <c r="Y1920" s="135"/>
      <c r="Z1920" s="135"/>
      <c r="AA1920" s="135"/>
      <c r="AB1920" s="135"/>
      <c r="AC1920" s="135"/>
      <c r="AD1920" s="135" t="e">
        <v>#N/A</v>
      </c>
      <c r="AE1920" s="135"/>
      <c r="AF1920" s="135"/>
      <c r="AG1920" s="135"/>
    </row>
    <row r="1921" ht="21.75" hidden="1" customHeight="1">
      <c r="A1921" s="135">
        <v>1917.0</v>
      </c>
      <c r="B1921" s="135">
        <v>25045.0</v>
      </c>
      <c r="C1921" s="135"/>
      <c r="D1921" s="135">
        <v>28.0</v>
      </c>
      <c r="E1921" s="135"/>
      <c r="F1921" s="135" t="s">
        <v>642</v>
      </c>
      <c r="G1921" s="135" t="s">
        <v>174</v>
      </c>
      <c r="H1921" s="135"/>
      <c r="I1921" s="135" t="s">
        <v>180</v>
      </c>
      <c r="J1921" s="135"/>
      <c r="K1921" s="135"/>
      <c r="L1921" s="135"/>
      <c r="M1921" s="135"/>
      <c r="N1921" s="135"/>
      <c r="O1921" s="135"/>
      <c r="P1921" s="136">
        <v>0.0</v>
      </c>
      <c r="Q1921" s="137">
        <v>0.0</v>
      </c>
      <c r="R1921" s="136">
        <v>46136.0</v>
      </c>
      <c r="S1921" s="135" t="s">
        <v>3906</v>
      </c>
      <c r="T1921" s="136"/>
      <c r="U1921" s="135"/>
      <c r="V1921" s="135"/>
      <c r="W1921" s="135"/>
      <c r="X1921" s="135"/>
      <c r="Y1921" s="135"/>
      <c r="Z1921" s="135"/>
      <c r="AA1921" s="135"/>
      <c r="AB1921" s="135"/>
      <c r="AC1921" s="135"/>
      <c r="AD1921" s="135" t="e">
        <v>#N/A</v>
      </c>
      <c r="AE1921" s="135"/>
      <c r="AF1921" s="135"/>
      <c r="AG1921" s="135"/>
    </row>
    <row r="1922" ht="21.75" hidden="1" customHeight="1">
      <c r="A1922" s="135">
        <v>1918.0</v>
      </c>
      <c r="B1922" s="135">
        <v>25045.0</v>
      </c>
      <c r="C1922" s="135"/>
      <c r="D1922" s="135">
        <v>28.0</v>
      </c>
      <c r="E1922" s="135"/>
      <c r="F1922" s="135" t="s">
        <v>643</v>
      </c>
      <c r="G1922" s="135" t="s">
        <v>174</v>
      </c>
      <c r="H1922" s="135"/>
      <c r="I1922" s="135" t="s">
        <v>180</v>
      </c>
      <c r="J1922" s="135"/>
      <c r="K1922" s="135"/>
      <c r="L1922" s="135"/>
      <c r="M1922" s="135"/>
      <c r="N1922" s="135"/>
      <c r="O1922" s="135"/>
      <c r="P1922" s="136">
        <v>0.0</v>
      </c>
      <c r="Q1922" s="137">
        <v>0.0</v>
      </c>
      <c r="R1922" s="136">
        <v>46136.0</v>
      </c>
      <c r="S1922" s="135" t="s">
        <v>3906</v>
      </c>
      <c r="T1922" s="136"/>
      <c r="U1922" s="135"/>
      <c r="V1922" s="135"/>
      <c r="W1922" s="135"/>
      <c r="X1922" s="135"/>
      <c r="Y1922" s="135"/>
      <c r="Z1922" s="135"/>
      <c r="AA1922" s="135"/>
      <c r="AB1922" s="135"/>
      <c r="AC1922" s="135"/>
      <c r="AD1922" s="135" t="e">
        <v>#N/A</v>
      </c>
      <c r="AE1922" s="135"/>
      <c r="AF1922" s="135"/>
      <c r="AG1922" s="135"/>
    </row>
    <row r="1923" ht="21.75" hidden="1" customHeight="1">
      <c r="A1923" s="135">
        <v>1919.0</v>
      </c>
      <c r="B1923" s="135">
        <v>25045.0</v>
      </c>
      <c r="C1923" s="135"/>
      <c r="D1923" s="135">
        <v>28.0</v>
      </c>
      <c r="E1923" s="135"/>
      <c r="F1923" s="135" t="s">
        <v>644</v>
      </c>
      <c r="G1923" s="135" t="s">
        <v>174</v>
      </c>
      <c r="H1923" s="135"/>
      <c r="I1923" s="135" t="s">
        <v>180</v>
      </c>
      <c r="J1923" s="135"/>
      <c r="K1923" s="135"/>
      <c r="L1923" s="135"/>
      <c r="M1923" s="135"/>
      <c r="N1923" s="135"/>
      <c r="O1923" s="135"/>
      <c r="P1923" s="136">
        <v>0.0</v>
      </c>
      <c r="Q1923" s="137">
        <v>0.0</v>
      </c>
      <c r="R1923" s="136">
        <v>46136.0</v>
      </c>
      <c r="S1923" s="135" t="s">
        <v>3906</v>
      </c>
      <c r="T1923" s="136"/>
      <c r="U1923" s="135"/>
      <c r="V1923" s="135"/>
      <c r="W1923" s="135"/>
      <c r="X1923" s="135"/>
      <c r="Y1923" s="135"/>
      <c r="Z1923" s="135"/>
      <c r="AA1923" s="135"/>
      <c r="AB1923" s="135"/>
      <c r="AC1923" s="135"/>
      <c r="AD1923" s="135" t="e">
        <v>#N/A</v>
      </c>
      <c r="AE1923" s="135"/>
      <c r="AF1923" s="135"/>
      <c r="AG1923" s="135"/>
    </row>
    <row r="1924" ht="21.75" hidden="1" customHeight="1">
      <c r="A1924" s="135">
        <v>1920.0</v>
      </c>
      <c r="B1924" s="135">
        <v>25045.0</v>
      </c>
      <c r="C1924" s="135"/>
      <c r="D1924" s="135">
        <v>28.0</v>
      </c>
      <c r="E1924" s="135"/>
      <c r="F1924" s="135" t="s">
        <v>645</v>
      </c>
      <c r="G1924" s="135" t="s">
        <v>174</v>
      </c>
      <c r="H1924" s="135"/>
      <c r="I1924" s="135" t="s">
        <v>180</v>
      </c>
      <c r="J1924" s="135"/>
      <c r="K1924" s="135"/>
      <c r="L1924" s="135"/>
      <c r="M1924" s="135"/>
      <c r="N1924" s="135"/>
      <c r="O1924" s="135"/>
      <c r="P1924" s="136">
        <v>0.0</v>
      </c>
      <c r="Q1924" s="137">
        <v>0.0</v>
      </c>
      <c r="R1924" s="136">
        <v>46136.0</v>
      </c>
      <c r="S1924" s="135" t="s">
        <v>3906</v>
      </c>
      <c r="T1924" s="136"/>
      <c r="U1924" s="135"/>
      <c r="V1924" s="135"/>
      <c r="W1924" s="135"/>
      <c r="X1924" s="135"/>
      <c r="Y1924" s="135"/>
      <c r="Z1924" s="135"/>
      <c r="AA1924" s="135"/>
      <c r="AB1924" s="135"/>
      <c r="AC1924" s="135"/>
      <c r="AD1924" s="135" t="e">
        <v>#N/A</v>
      </c>
      <c r="AE1924" s="135"/>
      <c r="AF1924" s="135"/>
      <c r="AG1924" s="135"/>
    </row>
    <row r="1925" ht="21.75" hidden="1" customHeight="1">
      <c r="A1925" s="135">
        <v>1921.0</v>
      </c>
      <c r="B1925" s="135">
        <v>25045.0</v>
      </c>
      <c r="C1925" s="135"/>
      <c r="D1925" s="135">
        <v>28.0</v>
      </c>
      <c r="E1925" s="135"/>
      <c r="F1925" s="135" t="s">
        <v>646</v>
      </c>
      <c r="G1925" s="135" t="s">
        <v>174</v>
      </c>
      <c r="H1925" s="135"/>
      <c r="I1925" s="135" t="s">
        <v>180</v>
      </c>
      <c r="J1925" s="135"/>
      <c r="K1925" s="135"/>
      <c r="L1925" s="135"/>
      <c r="M1925" s="135"/>
      <c r="N1925" s="135"/>
      <c r="O1925" s="135"/>
      <c r="P1925" s="136">
        <v>0.0</v>
      </c>
      <c r="Q1925" s="137">
        <v>0.0</v>
      </c>
      <c r="R1925" s="136">
        <v>46136.0</v>
      </c>
      <c r="S1925" s="135" t="s">
        <v>3906</v>
      </c>
      <c r="T1925" s="136"/>
      <c r="U1925" s="135"/>
      <c r="V1925" s="135"/>
      <c r="W1925" s="135"/>
      <c r="X1925" s="135"/>
      <c r="Y1925" s="135"/>
      <c r="Z1925" s="135"/>
      <c r="AA1925" s="135"/>
      <c r="AB1925" s="135"/>
      <c r="AC1925" s="135"/>
      <c r="AD1925" s="135" t="e">
        <v>#N/A</v>
      </c>
      <c r="AE1925" s="135"/>
      <c r="AF1925" s="135"/>
      <c r="AG1925" s="135"/>
    </row>
    <row r="1926" ht="21.75" hidden="1" customHeight="1">
      <c r="A1926" s="135">
        <v>1922.0</v>
      </c>
      <c r="B1926" s="135">
        <v>25045.0</v>
      </c>
      <c r="C1926" s="135"/>
      <c r="D1926" s="135">
        <v>28.0</v>
      </c>
      <c r="E1926" s="135"/>
      <c r="F1926" s="135" t="s">
        <v>647</v>
      </c>
      <c r="G1926" s="135" t="s">
        <v>174</v>
      </c>
      <c r="H1926" s="135"/>
      <c r="I1926" s="135" t="s">
        <v>180</v>
      </c>
      <c r="J1926" s="135"/>
      <c r="K1926" s="135"/>
      <c r="L1926" s="135"/>
      <c r="M1926" s="135"/>
      <c r="N1926" s="135"/>
      <c r="O1926" s="135"/>
      <c r="P1926" s="136">
        <v>0.0</v>
      </c>
      <c r="Q1926" s="137">
        <v>0.0</v>
      </c>
      <c r="R1926" s="136">
        <v>46136.0</v>
      </c>
      <c r="S1926" s="135" t="s">
        <v>3906</v>
      </c>
      <c r="T1926" s="136"/>
      <c r="U1926" s="135"/>
      <c r="V1926" s="135"/>
      <c r="W1926" s="135"/>
      <c r="X1926" s="135"/>
      <c r="Y1926" s="135"/>
      <c r="Z1926" s="135"/>
      <c r="AA1926" s="135"/>
      <c r="AB1926" s="135"/>
      <c r="AC1926" s="135"/>
      <c r="AD1926" s="135" t="e">
        <v>#N/A</v>
      </c>
      <c r="AE1926" s="135"/>
      <c r="AF1926" s="135"/>
      <c r="AG1926" s="135"/>
    </row>
    <row r="1927" ht="21.75" hidden="1" customHeight="1">
      <c r="A1927" s="135">
        <v>1923.0</v>
      </c>
      <c r="B1927" s="135">
        <v>25045.0</v>
      </c>
      <c r="C1927" s="135"/>
      <c r="D1927" s="135">
        <v>28.0</v>
      </c>
      <c r="E1927" s="135"/>
      <c r="F1927" s="135" t="s">
        <v>648</v>
      </c>
      <c r="G1927" s="135" t="s">
        <v>174</v>
      </c>
      <c r="H1927" s="135"/>
      <c r="I1927" s="135" t="s">
        <v>180</v>
      </c>
      <c r="J1927" s="135"/>
      <c r="K1927" s="135"/>
      <c r="L1927" s="135"/>
      <c r="M1927" s="135"/>
      <c r="N1927" s="135"/>
      <c r="O1927" s="135"/>
      <c r="P1927" s="136">
        <v>0.0</v>
      </c>
      <c r="Q1927" s="137">
        <v>0.0</v>
      </c>
      <c r="R1927" s="136">
        <v>46136.0</v>
      </c>
      <c r="S1927" s="135" t="s">
        <v>3906</v>
      </c>
      <c r="T1927" s="136"/>
      <c r="U1927" s="135"/>
      <c r="V1927" s="135"/>
      <c r="W1927" s="135"/>
      <c r="X1927" s="135"/>
      <c r="Y1927" s="135"/>
      <c r="Z1927" s="135"/>
      <c r="AA1927" s="135"/>
      <c r="AB1927" s="135"/>
      <c r="AC1927" s="135"/>
      <c r="AD1927" s="135" t="e">
        <v>#N/A</v>
      </c>
      <c r="AE1927" s="135"/>
      <c r="AF1927" s="135"/>
      <c r="AG1927" s="135"/>
    </row>
    <row r="1928" ht="21.75" hidden="1" customHeight="1">
      <c r="A1928" s="135">
        <v>1924.0</v>
      </c>
      <c r="B1928" s="135">
        <v>25045.0</v>
      </c>
      <c r="C1928" s="135"/>
      <c r="D1928" s="135">
        <v>28.0</v>
      </c>
      <c r="E1928" s="135"/>
      <c r="F1928" s="135" t="s">
        <v>649</v>
      </c>
      <c r="G1928" s="135" t="s">
        <v>174</v>
      </c>
      <c r="H1928" s="135"/>
      <c r="I1928" s="135" t="s">
        <v>180</v>
      </c>
      <c r="J1928" s="135"/>
      <c r="K1928" s="135"/>
      <c r="L1928" s="135"/>
      <c r="M1928" s="135"/>
      <c r="N1928" s="135"/>
      <c r="O1928" s="135"/>
      <c r="P1928" s="136">
        <v>0.0</v>
      </c>
      <c r="Q1928" s="137">
        <v>0.0</v>
      </c>
      <c r="R1928" s="136">
        <v>46136.0</v>
      </c>
      <c r="S1928" s="135" t="s">
        <v>3906</v>
      </c>
      <c r="T1928" s="136"/>
      <c r="U1928" s="135"/>
      <c r="V1928" s="135"/>
      <c r="W1928" s="135"/>
      <c r="X1928" s="135"/>
      <c r="Y1928" s="135"/>
      <c r="Z1928" s="135"/>
      <c r="AA1928" s="135"/>
      <c r="AB1928" s="135"/>
      <c r="AC1928" s="135"/>
      <c r="AD1928" s="135" t="e">
        <v>#N/A</v>
      </c>
      <c r="AE1928" s="135"/>
      <c r="AF1928" s="135"/>
      <c r="AG1928" s="135"/>
    </row>
    <row r="1929" ht="21.75" hidden="1" customHeight="1">
      <c r="A1929" s="135">
        <v>1925.0</v>
      </c>
      <c r="B1929" s="135">
        <v>25045.0</v>
      </c>
      <c r="C1929" s="135"/>
      <c r="D1929" s="135">
        <v>28.0</v>
      </c>
      <c r="E1929" s="135"/>
      <c r="F1929" s="135" t="s">
        <v>650</v>
      </c>
      <c r="G1929" s="135" t="s">
        <v>174</v>
      </c>
      <c r="H1929" s="135"/>
      <c r="I1929" s="135" t="s">
        <v>180</v>
      </c>
      <c r="J1929" s="135"/>
      <c r="K1929" s="135"/>
      <c r="L1929" s="135"/>
      <c r="M1929" s="135"/>
      <c r="N1929" s="135"/>
      <c r="O1929" s="135"/>
      <c r="P1929" s="136">
        <v>0.0</v>
      </c>
      <c r="Q1929" s="137">
        <v>0.0</v>
      </c>
      <c r="R1929" s="136">
        <v>46136.0</v>
      </c>
      <c r="S1929" s="135" t="s">
        <v>3906</v>
      </c>
      <c r="T1929" s="136"/>
      <c r="U1929" s="135"/>
      <c r="V1929" s="135"/>
      <c r="W1929" s="135"/>
      <c r="X1929" s="135"/>
      <c r="Y1929" s="135"/>
      <c r="Z1929" s="135"/>
      <c r="AA1929" s="135"/>
      <c r="AB1929" s="135"/>
      <c r="AC1929" s="135"/>
      <c r="AD1929" s="135" t="e">
        <v>#N/A</v>
      </c>
      <c r="AE1929" s="135"/>
      <c r="AF1929" s="135"/>
      <c r="AG1929" s="135"/>
    </row>
    <row r="1930" ht="21.75" hidden="1" customHeight="1">
      <c r="A1930" s="135">
        <v>1926.0</v>
      </c>
      <c r="B1930" s="135">
        <v>25045.0</v>
      </c>
      <c r="C1930" s="135"/>
      <c r="D1930" s="135">
        <v>28.0</v>
      </c>
      <c r="E1930" s="135"/>
      <c r="F1930" s="135" t="s">
        <v>651</v>
      </c>
      <c r="G1930" s="135" t="s">
        <v>174</v>
      </c>
      <c r="H1930" s="135"/>
      <c r="I1930" s="135" t="s">
        <v>180</v>
      </c>
      <c r="J1930" s="135"/>
      <c r="K1930" s="135"/>
      <c r="L1930" s="135"/>
      <c r="M1930" s="135"/>
      <c r="N1930" s="135"/>
      <c r="O1930" s="135"/>
      <c r="P1930" s="136">
        <v>0.0</v>
      </c>
      <c r="Q1930" s="137">
        <v>0.0</v>
      </c>
      <c r="R1930" s="136">
        <v>46136.0</v>
      </c>
      <c r="S1930" s="135" t="s">
        <v>3906</v>
      </c>
      <c r="T1930" s="136"/>
      <c r="U1930" s="135"/>
      <c r="V1930" s="135"/>
      <c r="W1930" s="135"/>
      <c r="X1930" s="135"/>
      <c r="Y1930" s="135"/>
      <c r="Z1930" s="135"/>
      <c r="AA1930" s="135"/>
      <c r="AB1930" s="135"/>
      <c r="AC1930" s="135"/>
      <c r="AD1930" s="135" t="e">
        <v>#N/A</v>
      </c>
      <c r="AE1930" s="135"/>
      <c r="AF1930" s="135"/>
      <c r="AG1930" s="135"/>
    </row>
    <row r="1931" ht="21.75" hidden="1" customHeight="1">
      <c r="A1931" s="135">
        <v>1927.0</v>
      </c>
      <c r="B1931" s="135">
        <v>25045.0</v>
      </c>
      <c r="C1931" s="135"/>
      <c r="D1931" s="135">
        <v>28.0</v>
      </c>
      <c r="E1931" s="135"/>
      <c r="F1931" s="135" t="s">
        <v>652</v>
      </c>
      <c r="G1931" s="135" t="s">
        <v>174</v>
      </c>
      <c r="H1931" s="135"/>
      <c r="I1931" s="135" t="s">
        <v>180</v>
      </c>
      <c r="J1931" s="135"/>
      <c r="K1931" s="135"/>
      <c r="L1931" s="135"/>
      <c r="M1931" s="135"/>
      <c r="N1931" s="135"/>
      <c r="O1931" s="135"/>
      <c r="P1931" s="136">
        <v>0.0</v>
      </c>
      <c r="Q1931" s="137">
        <v>0.0</v>
      </c>
      <c r="R1931" s="136">
        <v>46136.0</v>
      </c>
      <c r="S1931" s="135" t="s">
        <v>3906</v>
      </c>
      <c r="T1931" s="136"/>
      <c r="U1931" s="135"/>
      <c r="V1931" s="135"/>
      <c r="W1931" s="135"/>
      <c r="X1931" s="135"/>
      <c r="Y1931" s="135"/>
      <c r="Z1931" s="135"/>
      <c r="AA1931" s="135"/>
      <c r="AB1931" s="135"/>
      <c r="AC1931" s="135"/>
      <c r="AD1931" s="135" t="e">
        <v>#N/A</v>
      </c>
      <c r="AE1931" s="135"/>
      <c r="AF1931" s="135"/>
      <c r="AG1931" s="135"/>
    </row>
    <row r="1932" ht="21.75" hidden="1" customHeight="1">
      <c r="A1932" s="135">
        <v>1928.0</v>
      </c>
      <c r="B1932" s="135">
        <v>25045.0</v>
      </c>
      <c r="C1932" s="135"/>
      <c r="D1932" s="135">
        <v>28.0</v>
      </c>
      <c r="E1932" s="135"/>
      <c r="F1932" s="135" t="s">
        <v>653</v>
      </c>
      <c r="G1932" s="135" t="s">
        <v>174</v>
      </c>
      <c r="H1932" s="135"/>
      <c r="I1932" s="135" t="s">
        <v>180</v>
      </c>
      <c r="J1932" s="135"/>
      <c r="K1932" s="135"/>
      <c r="L1932" s="135"/>
      <c r="M1932" s="135"/>
      <c r="N1932" s="135"/>
      <c r="O1932" s="135"/>
      <c r="P1932" s="136">
        <v>0.0</v>
      </c>
      <c r="Q1932" s="137">
        <v>0.0</v>
      </c>
      <c r="R1932" s="136">
        <v>46136.0</v>
      </c>
      <c r="S1932" s="135" t="s">
        <v>3906</v>
      </c>
      <c r="T1932" s="136"/>
      <c r="U1932" s="135"/>
      <c r="V1932" s="135"/>
      <c r="W1932" s="135"/>
      <c r="X1932" s="135"/>
      <c r="Y1932" s="135"/>
      <c r="Z1932" s="135"/>
      <c r="AA1932" s="135"/>
      <c r="AB1932" s="135"/>
      <c r="AC1932" s="135"/>
      <c r="AD1932" s="135" t="e">
        <v>#N/A</v>
      </c>
      <c r="AE1932" s="135"/>
      <c r="AF1932" s="135"/>
      <c r="AG1932" s="135"/>
    </row>
    <row r="1933" ht="21.75" hidden="1" customHeight="1">
      <c r="A1933" s="135">
        <v>1929.0</v>
      </c>
      <c r="B1933" s="135">
        <v>25045.0</v>
      </c>
      <c r="C1933" s="135"/>
      <c r="D1933" s="135">
        <v>28.0</v>
      </c>
      <c r="E1933" s="135"/>
      <c r="F1933" s="135" t="s">
        <v>654</v>
      </c>
      <c r="G1933" s="135" t="s">
        <v>174</v>
      </c>
      <c r="H1933" s="135"/>
      <c r="I1933" s="135" t="s">
        <v>180</v>
      </c>
      <c r="J1933" s="135"/>
      <c r="K1933" s="135"/>
      <c r="L1933" s="135"/>
      <c r="M1933" s="135"/>
      <c r="N1933" s="135"/>
      <c r="O1933" s="135"/>
      <c r="P1933" s="136">
        <v>0.0</v>
      </c>
      <c r="Q1933" s="137">
        <v>0.0</v>
      </c>
      <c r="R1933" s="136">
        <v>46136.0</v>
      </c>
      <c r="S1933" s="135" t="s">
        <v>3906</v>
      </c>
      <c r="T1933" s="136"/>
      <c r="U1933" s="135"/>
      <c r="V1933" s="135"/>
      <c r="W1933" s="135"/>
      <c r="X1933" s="135"/>
      <c r="Y1933" s="135"/>
      <c r="Z1933" s="135"/>
      <c r="AA1933" s="135"/>
      <c r="AB1933" s="135"/>
      <c r="AC1933" s="135"/>
      <c r="AD1933" s="135" t="e">
        <v>#N/A</v>
      </c>
      <c r="AE1933" s="135"/>
      <c r="AF1933" s="135"/>
      <c r="AG1933" s="135"/>
    </row>
    <row r="1934" ht="21.75" hidden="1" customHeight="1">
      <c r="A1934" s="135">
        <v>1930.0</v>
      </c>
      <c r="B1934" s="135">
        <v>25045.0</v>
      </c>
      <c r="C1934" s="135"/>
      <c r="D1934" s="135">
        <v>28.0</v>
      </c>
      <c r="E1934" s="135"/>
      <c r="F1934" s="135" t="s">
        <v>655</v>
      </c>
      <c r="G1934" s="135" t="s">
        <v>174</v>
      </c>
      <c r="H1934" s="135"/>
      <c r="I1934" s="135" t="s">
        <v>180</v>
      </c>
      <c r="J1934" s="135"/>
      <c r="K1934" s="135"/>
      <c r="L1934" s="135"/>
      <c r="M1934" s="135"/>
      <c r="N1934" s="135"/>
      <c r="O1934" s="135"/>
      <c r="P1934" s="136">
        <v>0.0</v>
      </c>
      <c r="Q1934" s="137">
        <v>0.0</v>
      </c>
      <c r="R1934" s="136">
        <v>46136.0</v>
      </c>
      <c r="S1934" s="135" t="s">
        <v>3906</v>
      </c>
      <c r="T1934" s="136"/>
      <c r="U1934" s="135"/>
      <c r="V1934" s="135"/>
      <c r="W1934" s="135"/>
      <c r="X1934" s="135"/>
      <c r="Y1934" s="135"/>
      <c r="Z1934" s="135"/>
      <c r="AA1934" s="135"/>
      <c r="AB1934" s="135"/>
      <c r="AC1934" s="135"/>
      <c r="AD1934" s="135" t="e">
        <v>#N/A</v>
      </c>
      <c r="AE1934" s="135"/>
      <c r="AF1934" s="135"/>
      <c r="AG1934" s="135"/>
    </row>
    <row r="1935" ht="21.75" hidden="1" customHeight="1">
      <c r="A1935" s="135">
        <v>1931.0</v>
      </c>
      <c r="B1935" s="135">
        <v>25045.0</v>
      </c>
      <c r="C1935" s="135"/>
      <c r="D1935" s="135">
        <v>28.0</v>
      </c>
      <c r="E1935" s="135"/>
      <c r="F1935" s="135" t="s">
        <v>656</v>
      </c>
      <c r="G1935" s="135" t="s">
        <v>174</v>
      </c>
      <c r="H1935" s="135"/>
      <c r="I1935" s="135" t="s">
        <v>180</v>
      </c>
      <c r="J1935" s="135"/>
      <c r="K1935" s="135"/>
      <c r="L1935" s="135"/>
      <c r="M1935" s="135"/>
      <c r="N1935" s="135"/>
      <c r="O1935" s="135"/>
      <c r="P1935" s="136">
        <v>0.0</v>
      </c>
      <c r="Q1935" s="137">
        <v>0.0</v>
      </c>
      <c r="R1935" s="136">
        <v>46136.0</v>
      </c>
      <c r="S1935" s="135" t="s">
        <v>3906</v>
      </c>
      <c r="T1935" s="136"/>
      <c r="U1935" s="135"/>
      <c r="V1935" s="135"/>
      <c r="W1935" s="135"/>
      <c r="X1935" s="135"/>
      <c r="Y1935" s="135"/>
      <c r="Z1935" s="135"/>
      <c r="AA1935" s="135"/>
      <c r="AB1935" s="135"/>
      <c r="AC1935" s="135"/>
      <c r="AD1935" s="135" t="e">
        <v>#N/A</v>
      </c>
      <c r="AE1935" s="135"/>
      <c r="AF1935" s="135"/>
      <c r="AG1935" s="135"/>
    </row>
    <row r="1936" ht="21.75" hidden="1" customHeight="1">
      <c r="A1936" s="135">
        <v>1932.0</v>
      </c>
      <c r="B1936" s="135">
        <v>25045.0</v>
      </c>
      <c r="C1936" s="135"/>
      <c r="D1936" s="135">
        <v>28.0</v>
      </c>
      <c r="E1936" s="135"/>
      <c r="F1936" s="135" t="s">
        <v>658</v>
      </c>
      <c r="G1936" s="135" t="s">
        <v>174</v>
      </c>
      <c r="H1936" s="135"/>
      <c r="I1936" s="135" t="s">
        <v>181</v>
      </c>
      <c r="J1936" s="135"/>
      <c r="K1936" s="135"/>
      <c r="L1936" s="135"/>
      <c r="M1936" s="135"/>
      <c r="N1936" s="135"/>
      <c r="O1936" s="135"/>
      <c r="P1936" s="136">
        <v>0.0</v>
      </c>
      <c r="Q1936" s="137">
        <v>0.0</v>
      </c>
      <c r="R1936" s="136">
        <v>46136.0</v>
      </c>
      <c r="S1936" s="135" t="s">
        <v>3906</v>
      </c>
      <c r="T1936" s="136"/>
      <c r="U1936" s="135"/>
      <c r="V1936" s="135"/>
      <c r="W1936" s="135"/>
      <c r="X1936" s="135"/>
      <c r="Y1936" s="135"/>
      <c r="Z1936" s="135"/>
      <c r="AA1936" s="135"/>
      <c r="AB1936" s="135"/>
      <c r="AC1936" s="135"/>
      <c r="AD1936" s="135" t="e">
        <v>#N/A</v>
      </c>
      <c r="AE1936" s="135"/>
      <c r="AF1936" s="135"/>
      <c r="AG1936" s="135"/>
    </row>
    <row r="1937" ht="21.75" hidden="1" customHeight="1">
      <c r="A1937" s="135">
        <v>1933.0</v>
      </c>
      <c r="B1937" s="135">
        <v>25045.0</v>
      </c>
      <c r="C1937" s="135"/>
      <c r="D1937" s="135">
        <v>28.0</v>
      </c>
      <c r="E1937" s="135"/>
      <c r="F1937" s="135" t="s">
        <v>659</v>
      </c>
      <c r="G1937" s="135" t="s">
        <v>174</v>
      </c>
      <c r="H1937" s="135"/>
      <c r="I1937" s="135" t="s">
        <v>181</v>
      </c>
      <c r="J1937" s="135"/>
      <c r="K1937" s="135"/>
      <c r="L1937" s="135"/>
      <c r="M1937" s="135"/>
      <c r="N1937" s="135"/>
      <c r="O1937" s="135"/>
      <c r="P1937" s="136">
        <v>0.0</v>
      </c>
      <c r="Q1937" s="137">
        <v>0.0</v>
      </c>
      <c r="R1937" s="136">
        <v>46136.0</v>
      </c>
      <c r="S1937" s="135" t="s">
        <v>3906</v>
      </c>
      <c r="T1937" s="136"/>
      <c r="U1937" s="135"/>
      <c r="V1937" s="135"/>
      <c r="W1937" s="135"/>
      <c r="X1937" s="135"/>
      <c r="Y1937" s="135"/>
      <c r="Z1937" s="135"/>
      <c r="AA1937" s="135"/>
      <c r="AB1937" s="135"/>
      <c r="AC1937" s="135"/>
      <c r="AD1937" s="135" t="e">
        <v>#N/A</v>
      </c>
      <c r="AE1937" s="135"/>
      <c r="AF1937" s="135"/>
      <c r="AG1937" s="135"/>
    </row>
    <row r="1938" ht="21.75" hidden="1" customHeight="1">
      <c r="A1938" s="135">
        <v>1934.0</v>
      </c>
      <c r="B1938" s="135">
        <v>25045.0</v>
      </c>
      <c r="C1938" s="135"/>
      <c r="D1938" s="135">
        <v>28.0</v>
      </c>
      <c r="E1938" s="135"/>
      <c r="F1938" s="135" t="s">
        <v>660</v>
      </c>
      <c r="G1938" s="135" t="s">
        <v>174</v>
      </c>
      <c r="H1938" s="135"/>
      <c r="I1938" s="135" t="s">
        <v>181</v>
      </c>
      <c r="J1938" s="135"/>
      <c r="K1938" s="135"/>
      <c r="L1938" s="135"/>
      <c r="M1938" s="135"/>
      <c r="N1938" s="135"/>
      <c r="O1938" s="135"/>
      <c r="P1938" s="136">
        <v>0.0</v>
      </c>
      <c r="Q1938" s="137">
        <v>0.0</v>
      </c>
      <c r="R1938" s="136">
        <v>46136.0</v>
      </c>
      <c r="S1938" s="135" t="s">
        <v>3906</v>
      </c>
      <c r="T1938" s="136"/>
      <c r="U1938" s="135"/>
      <c r="V1938" s="135"/>
      <c r="W1938" s="135"/>
      <c r="X1938" s="135"/>
      <c r="Y1938" s="135"/>
      <c r="Z1938" s="135"/>
      <c r="AA1938" s="135"/>
      <c r="AB1938" s="135"/>
      <c r="AC1938" s="135"/>
      <c r="AD1938" s="135" t="e">
        <v>#N/A</v>
      </c>
      <c r="AE1938" s="135"/>
      <c r="AF1938" s="135"/>
      <c r="AG1938" s="135"/>
    </row>
    <row r="1939" ht="21.75" hidden="1" customHeight="1">
      <c r="A1939" s="135">
        <v>1935.0</v>
      </c>
      <c r="B1939" s="135">
        <v>25045.0</v>
      </c>
      <c r="C1939" s="135"/>
      <c r="D1939" s="135">
        <v>28.0</v>
      </c>
      <c r="E1939" s="135"/>
      <c r="F1939" s="135" t="s">
        <v>661</v>
      </c>
      <c r="G1939" s="135" t="s">
        <v>174</v>
      </c>
      <c r="H1939" s="135"/>
      <c r="I1939" s="135" t="s">
        <v>181</v>
      </c>
      <c r="J1939" s="135"/>
      <c r="K1939" s="135"/>
      <c r="L1939" s="135"/>
      <c r="M1939" s="135"/>
      <c r="N1939" s="135"/>
      <c r="O1939" s="135"/>
      <c r="P1939" s="136">
        <v>0.0</v>
      </c>
      <c r="Q1939" s="137">
        <v>0.0</v>
      </c>
      <c r="R1939" s="136">
        <v>46136.0</v>
      </c>
      <c r="S1939" s="135" t="s">
        <v>3906</v>
      </c>
      <c r="T1939" s="136"/>
      <c r="U1939" s="135"/>
      <c r="V1939" s="135"/>
      <c r="W1939" s="135"/>
      <c r="X1939" s="135"/>
      <c r="Y1939" s="135"/>
      <c r="Z1939" s="135"/>
      <c r="AA1939" s="135"/>
      <c r="AB1939" s="135"/>
      <c r="AC1939" s="135"/>
      <c r="AD1939" s="135" t="e">
        <v>#N/A</v>
      </c>
      <c r="AE1939" s="135"/>
      <c r="AF1939" s="135"/>
      <c r="AG1939" s="135"/>
    </row>
    <row r="1940" ht="21.75" hidden="1" customHeight="1">
      <c r="A1940" s="135">
        <v>1936.0</v>
      </c>
      <c r="B1940" s="135">
        <v>25045.0</v>
      </c>
      <c r="C1940" s="135"/>
      <c r="D1940" s="135">
        <v>28.0</v>
      </c>
      <c r="E1940" s="135"/>
      <c r="F1940" s="135" t="s">
        <v>662</v>
      </c>
      <c r="G1940" s="135" t="s">
        <v>174</v>
      </c>
      <c r="H1940" s="135"/>
      <c r="I1940" s="135" t="s">
        <v>181</v>
      </c>
      <c r="J1940" s="135"/>
      <c r="K1940" s="135"/>
      <c r="L1940" s="135"/>
      <c r="M1940" s="135"/>
      <c r="N1940" s="135"/>
      <c r="O1940" s="135"/>
      <c r="P1940" s="136">
        <v>0.0</v>
      </c>
      <c r="Q1940" s="137">
        <v>0.0</v>
      </c>
      <c r="R1940" s="136">
        <v>46136.0</v>
      </c>
      <c r="S1940" s="135" t="s">
        <v>3906</v>
      </c>
      <c r="T1940" s="136"/>
      <c r="U1940" s="135"/>
      <c r="V1940" s="135"/>
      <c r="W1940" s="135"/>
      <c r="X1940" s="135"/>
      <c r="Y1940" s="135"/>
      <c r="Z1940" s="135"/>
      <c r="AA1940" s="135"/>
      <c r="AB1940" s="135"/>
      <c r="AC1940" s="135"/>
      <c r="AD1940" s="135" t="e">
        <v>#N/A</v>
      </c>
      <c r="AE1940" s="135"/>
      <c r="AF1940" s="135"/>
      <c r="AG1940" s="135"/>
    </row>
    <row r="1941" ht="21.75" hidden="1" customHeight="1">
      <c r="A1941" s="135">
        <v>1937.0</v>
      </c>
      <c r="B1941" s="135">
        <v>25045.0</v>
      </c>
      <c r="C1941" s="135"/>
      <c r="D1941" s="135">
        <v>28.0</v>
      </c>
      <c r="E1941" s="135"/>
      <c r="F1941" s="135" t="s">
        <v>663</v>
      </c>
      <c r="G1941" s="135" t="s">
        <v>174</v>
      </c>
      <c r="H1941" s="135"/>
      <c r="I1941" s="135" t="s">
        <v>181</v>
      </c>
      <c r="J1941" s="135"/>
      <c r="K1941" s="135"/>
      <c r="L1941" s="135"/>
      <c r="M1941" s="135"/>
      <c r="N1941" s="135"/>
      <c r="O1941" s="135"/>
      <c r="P1941" s="136">
        <v>0.0</v>
      </c>
      <c r="Q1941" s="137">
        <v>0.0</v>
      </c>
      <c r="R1941" s="136">
        <v>46136.0</v>
      </c>
      <c r="S1941" s="135" t="s">
        <v>3906</v>
      </c>
      <c r="T1941" s="136"/>
      <c r="U1941" s="135"/>
      <c r="V1941" s="135"/>
      <c r="W1941" s="135"/>
      <c r="X1941" s="135"/>
      <c r="Y1941" s="135"/>
      <c r="Z1941" s="135"/>
      <c r="AA1941" s="135"/>
      <c r="AB1941" s="135"/>
      <c r="AC1941" s="135"/>
      <c r="AD1941" s="135" t="e">
        <v>#N/A</v>
      </c>
      <c r="AE1941" s="135"/>
      <c r="AF1941" s="135"/>
      <c r="AG1941" s="135"/>
    </row>
    <row r="1942" ht="21.75" hidden="1" customHeight="1">
      <c r="A1942" s="135">
        <v>1938.0</v>
      </c>
      <c r="B1942" s="135">
        <v>25045.0</v>
      </c>
      <c r="C1942" s="135"/>
      <c r="D1942" s="135">
        <v>28.0</v>
      </c>
      <c r="E1942" s="135"/>
      <c r="F1942" s="135" t="s">
        <v>664</v>
      </c>
      <c r="G1942" s="135" t="s">
        <v>174</v>
      </c>
      <c r="H1942" s="135"/>
      <c r="I1942" s="135" t="s">
        <v>181</v>
      </c>
      <c r="J1942" s="135"/>
      <c r="K1942" s="135"/>
      <c r="L1942" s="135"/>
      <c r="M1942" s="135"/>
      <c r="N1942" s="135"/>
      <c r="O1942" s="135"/>
      <c r="P1942" s="136">
        <v>0.0</v>
      </c>
      <c r="Q1942" s="137">
        <v>0.0</v>
      </c>
      <c r="R1942" s="136">
        <v>46136.0</v>
      </c>
      <c r="S1942" s="135" t="s">
        <v>3906</v>
      </c>
      <c r="T1942" s="136"/>
      <c r="U1942" s="135"/>
      <c r="V1942" s="135"/>
      <c r="W1942" s="135"/>
      <c r="X1942" s="135"/>
      <c r="Y1942" s="135"/>
      <c r="Z1942" s="135"/>
      <c r="AA1942" s="135"/>
      <c r="AB1942" s="135"/>
      <c r="AC1942" s="135"/>
      <c r="AD1942" s="135" t="e">
        <v>#N/A</v>
      </c>
      <c r="AE1942" s="135"/>
      <c r="AF1942" s="135"/>
      <c r="AG1942" s="135"/>
    </row>
    <row r="1943" ht="21.75" hidden="1" customHeight="1">
      <c r="A1943" s="135">
        <v>1939.0</v>
      </c>
      <c r="B1943" s="135">
        <v>25045.0</v>
      </c>
      <c r="C1943" s="135"/>
      <c r="D1943" s="135">
        <v>28.0</v>
      </c>
      <c r="E1943" s="135"/>
      <c r="F1943" s="135" t="s">
        <v>665</v>
      </c>
      <c r="G1943" s="135" t="s">
        <v>174</v>
      </c>
      <c r="H1943" s="135"/>
      <c r="I1943" s="135" t="s">
        <v>181</v>
      </c>
      <c r="J1943" s="135"/>
      <c r="K1943" s="135"/>
      <c r="L1943" s="135"/>
      <c r="M1943" s="135"/>
      <c r="N1943" s="135"/>
      <c r="O1943" s="135"/>
      <c r="P1943" s="136">
        <v>0.0</v>
      </c>
      <c r="Q1943" s="137">
        <v>0.0</v>
      </c>
      <c r="R1943" s="136">
        <v>46136.0</v>
      </c>
      <c r="S1943" s="135" t="s">
        <v>3906</v>
      </c>
      <c r="T1943" s="136"/>
      <c r="U1943" s="135"/>
      <c r="V1943" s="135"/>
      <c r="W1943" s="135"/>
      <c r="X1943" s="135"/>
      <c r="Y1943" s="135"/>
      <c r="Z1943" s="135"/>
      <c r="AA1943" s="135"/>
      <c r="AB1943" s="135"/>
      <c r="AC1943" s="135"/>
      <c r="AD1943" s="135" t="e">
        <v>#N/A</v>
      </c>
      <c r="AE1943" s="135"/>
      <c r="AF1943" s="135"/>
      <c r="AG1943" s="135"/>
    </row>
    <row r="1944" ht="21.75" hidden="1" customHeight="1">
      <c r="A1944" s="135">
        <v>1940.0</v>
      </c>
      <c r="B1944" s="135">
        <v>25045.0</v>
      </c>
      <c r="C1944" s="135"/>
      <c r="D1944" s="135">
        <v>28.0</v>
      </c>
      <c r="E1944" s="135"/>
      <c r="F1944" s="135" t="s">
        <v>666</v>
      </c>
      <c r="G1944" s="135" t="s">
        <v>174</v>
      </c>
      <c r="H1944" s="135"/>
      <c r="I1944" s="135" t="s">
        <v>181</v>
      </c>
      <c r="J1944" s="135"/>
      <c r="K1944" s="135"/>
      <c r="L1944" s="135"/>
      <c r="M1944" s="135"/>
      <c r="N1944" s="135"/>
      <c r="O1944" s="135"/>
      <c r="P1944" s="136">
        <v>0.0</v>
      </c>
      <c r="Q1944" s="137">
        <v>0.0</v>
      </c>
      <c r="R1944" s="136">
        <v>46136.0</v>
      </c>
      <c r="S1944" s="135" t="s">
        <v>3906</v>
      </c>
      <c r="T1944" s="136"/>
      <c r="U1944" s="135"/>
      <c r="V1944" s="135"/>
      <c r="W1944" s="135"/>
      <c r="X1944" s="135"/>
      <c r="Y1944" s="135"/>
      <c r="Z1944" s="135"/>
      <c r="AA1944" s="135"/>
      <c r="AB1944" s="135"/>
      <c r="AC1944" s="135"/>
      <c r="AD1944" s="135" t="e">
        <v>#N/A</v>
      </c>
      <c r="AE1944" s="135"/>
      <c r="AF1944" s="135"/>
      <c r="AG1944" s="135"/>
    </row>
    <row r="1945" ht="21.75" hidden="1" customHeight="1">
      <c r="A1945" s="135">
        <v>1941.0</v>
      </c>
      <c r="B1945" s="135">
        <v>25045.0</v>
      </c>
      <c r="C1945" s="135"/>
      <c r="D1945" s="135">
        <v>28.0</v>
      </c>
      <c r="E1945" s="135"/>
      <c r="F1945" s="135" t="s">
        <v>667</v>
      </c>
      <c r="G1945" s="135" t="s">
        <v>174</v>
      </c>
      <c r="H1945" s="135"/>
      <c r="I1945" s="135" t="s">
        <v>181</v>
      </c>
      <c r="J1945" s="135"/>
      <c r="K1945" s="135"/>
      <c r="L1945" s="135"/>
      <c r="M1945" s="135"/>
      <c r="N1945" s="135"/>
      <c r="O1945" s="135"/>
      <c r="P1945" s="136">
        <v>0.0</v>
      </c>
      <c r="Q1945" s="137">
        <v>0.0</v>
      </c>
      <c r="R1945" s="136">
        <v>46136.0</v>
      </c>
      <c r="S1945" s="135" t="s">
        <v>3906</v>
      </c>
      <c r="T1945" s="136"/>
      <c r="U1945" s="135"/>
      <c r="V1945" s="135"/>
      <c r="W1945" s="135"/>
      <c r="X1945" s="135"/>
      <c r="Y1945" s="135"/>
      <c r="Z1945" s="135"/>
      <c r="AA1945" s="135"/>
      <c r="AB1945" s="135"/>
      <c r="AC1945" s="135"/>
      <c r="AD1945" s="135" t="e">
        <v>#N/A</v>
      </c>
      <c r="AE1945" s="135"/>
      <c r="AF1945" s="135"/>
      <c r="AG1945" s="135"/>
    </row>
    <row r="1946" ht="21.75" hidden="1" customHeight="1">
      <c r="A1946" s="135">
        <v>1942.0</v>
      </c>
      <c r="B1946" s="135">
        <v>25045.0</v>
      </c>
      <c r="C1946" s="135"/>
      <c r="D1946" s="135">
        <v>28.0</v>
      </c>
      <c r="E1946" s="135"/>
      <c r="F1946" s="135" t="s">
        <v>668</v>
      </c>
      <c r="G1946" s="135" t="s">
        <v>174</v>
      </c>
      <c r="H1946" s="135"/>
      <c r="I1946" s="135" t="s">
        <v>181</v>
      </c>
      <c r="J1946" s="135"/>
      <c r="K1946" s="135"/>
      <c r="L1946" s="135"/>
      <c r="M1946" s="135"/>
      <c r="N1946" s="135"/>
      <c r="O1946" s="135"/>
      <c r="P1946" s="136">
        <v>0.0</v>
      </c>
      <c r="Q1946" s="137">
        <v>0.0</v>
      </c>
      <c r="R1946" s="136">
        <v>46136.0</v>
      </c>
      <c r="S1946" s="135" t="s">
        <v>3906</v>
      </c>
      <c r="T1946" s="136"/>
      <c r="U1946" s="135"/>
      <c r="V1946" s="135"/>
      <c r="W1946" s="135"/>
      <c r="X1946" s="135"/>
      <c r="Y1946" s="135"/>
      <c r="Z1946" s="135"/>
      <c r="AA1946" s="135"/>
      <c r="AB1946" s="135"/>
      <c r="AC1946" s="135"/>
      <c r="AD1946" s="135" t="e">
        <v>#N/A</v>
      </c>
      <c r="AE1946" s="135"/>
      <c r="AF1946" s="135"/>
      <c r="AG1946" s="135"/>
    </row>
    <row r="1947" ht="21.75" hidden="1" customHeight="1">
      <c r="A1947" s="135">
        <v>1943.0</v>
      </c>
      <c r="B1947" s="135">
        <v>25045.0</v>
      </c>
      <c r="C1947" s="135"/>
      <c r="D1947" s="135">
        <v>28.0</v>
      </c>
      <c r="E1947" s="135"/>
      <c r="F1947" s="135" t="s">
        <v>669</v>
      </c>
      <c r="G1947" s="135" t="s">
        <v>174</v>
      </c>
      <c r="H1947" s="135"/>
      <c r="I1947" s="135" t="s">
        <v>181</v>
      </c>
      <c r="J1947" s="135"/>
      <c r="K1947" s="135"/>
      <c r="L1947" s="135"/>
      <c r="M1947" s="135"/>
      <c r="N1947" s="135"/>
      <c r="O1947" s="135"/>
      <c r="P1947" s="136">
        <v>0.0</v>
      </c>
      <c r="Q1947" s="137">
        <v>0.0</v>
      </c>
      <c r="R1947" s="136">
        <v>46136.0</v>
      </c>
      <c r="S1947" s="135" t="s">
        <v>3906</v>
      </c>
      <c r="T1947" s="136"/>
      <c r="U1947" s="135"/>
      <c r="V1947" s="135"/>
      <c r="W1947" s="135"/>
      <c r="X1947" s="135"/>
      <c r="Y1947" s="135"/>
      <c r="Z1947" s="135"/>
      <c r="AA1947" s="135"/>
      <c r="AB1947" s="135"/>
      <c r="AC1947" s="135"/>
      <c r="AD1947" s="135" t="e">
        <v>#N/A</v>
      </c>
      <c r="AE1947" s="135"/>
      <c r="AF1947" s="135"/>
      <c r="AG1947" s="135"/>
    </row>
    <row r="1948" ht="21.75" hidden="1" customHeight="1">
      <c r="A1948" s="135">
        <v>1944.0</v>
      </c>
      <c r="B1948" s="135">
        <v>25045.0</v>
      </c>
      <c r="C1948" s="135"/>
      <c r="D1948" s="135">
        <v>28.0</v>
      </c>
      <c r="E1948" s="135"/>
      <c r="F1948" s="135" t="s">
        <v>670</v>
      </c>
      <c r="G1948" s="135" t="s">
        <v>174</v>
      </c>
      <c r="H1948" s="135"/>
      <c r="I1948" s="135" t="s">
        <v>181</v>
      </c>
      <c r="J1948" s="135"/>
      <c r="K1948" s="135"/>
      <c r="L1948" s="135"/>
      <c r="M1948" s="135"/>
      <c r="N1948" s="135"/>
      <c r="O1948" s="135"/>
      <c r="P1948" s="136">
        <v>0.0</v>
      </c>
      <c r="Q1948" s="137">
        <v>0.0</v>
      </c>
      <c r="R1948" s="136">
        <v>46136.0</v>
      </c>
      <c r="S1948" s="135" t="s">
        <v>3906</v>
      </c>
      <c r="T1948" s="136"/>
      <c r="U1948" s="135"/>
      <c r="V1948" s="135"/>
      <c r="W1948" s="135"/>
      <c r="X1948" s="135"/>
      <c r="Y1948" s="135"/>
      <c r="Z1948" s="135"/>
      <c r="AA1948" s="135"/>
      <c r="AB1948" s="135"/>
      <c r="AC1948" s="135"/>
      <c r="AD1948" s="135" t="e">
        <v>#N/A</v>
      </c>
      <c r="AE1948" s="135"/>
      <c r="AF1948" s="135"/>
      <c r="AG1948" s="135"/>
    </row>
    <row r="1949" ht="21.75" hidden="1" customHeight="1">
      <c r="A1949" s="135">
        <v>1945.0</v>
      </c>
      <c r="B1949" s="135">
        <v>25045.0</v>
      </c>
      <c r="C1949" s="135"/>
      <c r="D1949" s="135">
        <v>28.0</v>
      </c>
      <c r="E1949" s="135"/>
      <c r="F1949" s="135" t="s">
        <v>671</v>
      </c>
      <c r="G1949" s="135" t="s">
        <v>174</v>
      </c>
      <c r="H1949" s="135"/>
      <c r="I1949" s="135" t="s">
        <v>181</v>
      </c>
      <c r="J1949" s="135"/>
      <c r="K1949" s="135"/>
      <c r="L1949" s="135"/>
      <c r="M1949" s="135"/>
      <c r="N1949" s="135"/>
      <c r="O1949" s="135"/>
      <c r="P1949" s="136">
        <v>0.0</v>
      </c>
      <c r="Q1949" s="137">
        <v>0.0</v>
      </c>
      <c r="R1949" s="136">
        <v>46136.0</v>
      </c>
      <c r="S1949" s="135" t="s">
        <v>3906</v>
      </c>
      <c r="T1949" s="136"/>
      <c r="U1949" s="135"/>
      <c r="V1949" s="135"/>
      <c r="W1949" s="135"/>
      <c r="X1949" s="135"/>
      <c r="Y1949" s="135"/>
      <c r="Z1949" s="135"/>
      <c r="AA1949" s="135"/>
      <c r="AB1949" s="135"/>
      <c r="AC1949" s="135"/>
      <c r="AD1949" s="135" t="e">
        <v>#N/A</v>
      </c>
      <c r="AE1949" s="135"/>
      <c r="AF1949" s="135"/>
      <c r="AG1949" s="135"/>
    </row>
    <row r="1950" ht="21.75" hidden="1" customHeight="1">
      <c r="A1950" s="135">
        <v>1946.0</v>
      </c>
      <c r="B1950" s="135">
        <v>25045.0</v>
      </c>
      <c r="C1950" s="135"/>
      <c r="D1950" s="135">
        <v>28.0</v>
      </c>
      <c r="E1950" s="135"/>
      <c r="F1950" s="135" t="s">
        <v>672</v>
      </c>
      <c r="G1950" s="135" t="s">
        <v>174</v>
      </c>
      <c r="H1950" s="135"/>
      <c r="I1950" s="135" t="s">
        <v>181</v>
      </c>
      <c r="J1950" s="135"/>
      <c r="K1950" s="135"/>
      <c r="L1950" s="135"/>
      <c r="M1950" s="135"/>
      <c r="N1950" s="135"/>
      <c r="O1950" s="135"/>
      <c r="P1950" s="136">
        <v>0.0</v>
      </c>
      <c r="Q1950" s="137">
        <v>0.0</v>
      </c>
      <c r="R1950" s="136">
        <v>46136.0</v>
      </c>
      <c r="S1950" s="135" t="s">
        <v>3906</v>
      </c>
      <c r="T1950" s="136"/>
      <c r="U1950" s="135"/>
      <c r="V1950" s="135"/>
      <c r="W1950" s="135"/>
      <c r="X1950" s="135"/>
      <c r="Y1950" s="135"/>
      <c r="Z1950" s="135"/>
      <c r="AA1950" s="135"/>
      <c r="AB1950" s="135"/>
      <c r="AC1950" s="135"/>
      <c r="AD1950" s="135" t="e">
        <v>#N/A</v>
      </c>
      <c r="AE1950" s="135"/>
      <c r="AF1950" s="135"/>
      <c r="AG1950" s="135"/>
    </row>
    <row r="1951" ht="21.75" hidden="1" customHeight="1">
      <c r="A1951" s="135">
        <v>1947.0</v>
      </c>
      <c r="B1951" s="135">
        <v>25045.0</v>
      </c>
      <c r="C1951" s="135"/>
      <c r="D1951" s="135">
        <v>28.0</v>
      </c>
      <c r="E1951" s="135"/>
      <c r="F1951" s="135" t="s">
        <v>673</v>
      </c>
      <c r="G1951" s="135" t="s">
        <v>174</v>
      </c>
      <c r="H1951" s="135"/>
      <c r="I1951" s="135" t="s">
        <v>181</v>
      </c>
      <c r="J1951" s="135"/>
      <c r="K1951" s="135"/>
      <c r="L1951" s="135"/>
      <c r="M1951" s="135"/>
      <c r="N1951" s="135"/>
      <c r="O1951" s="135"/>
      <c r="P1951" s="136">
        <v>0.0</v>
      </c>
      <c r="Q1951" s="137">
        <v>0.0</v>
      </c>
      <c r="R1951" s="136">
        <v>46136.0</v>
      </c>
      <c r="S1951" s="135" t="s">
        <v>3906</v>
      </c>
      <c r="T1951" s="136"/>
      <c r="U1951" s="135"/>
      <c r="V1951" s="135"/>
      <c r="W1951" s="135"/>
      <c r="X1951" s="135"/>
      <c r="Y1951" s="135"/>
      <c r="Z1951" s="135"/>
      <c r="AA1951" s="135"/>
      <c r="AB1951" s="135"/>
      <c r="AC1951" s="135"/>
      <c r="AD1951" s="135" t="e">
        <v>#N/A</v>
      </c>
      <c r="AE1951" s="135"/>
      <c r="AF1951" s="135"/>
      <c r="AG1951" s="135"/>
    </row>
    <row r="1952" ht="21.75" hidden="1" customHeight="1">
      <c r="A1952" s="135">
        <v>1948.0</v>
      </c>
      <c r="B1952" s="135">
        <v>25045.0</v>
      </c>
      <c r="C1952" s="135"/>
      <c r="D1952" s="135">
        <v>28.0</v>
      </c>
      <c r="E1952" s="135"/>
      <c r="F1952" s="135" t="s">
        <v>674</v>
      </c>
      <c r="G1952" s="135" t="s">
        <v>174</v>
      </c>
      <c r="H1952" s="135"/>
      <c r="I1952" s="135" t="s">
        <v>181</v>
      </c>
      <c r="J1952" s="135"/>
      <c r="K1952" s="135"/>
      <c r="L1952" s="135"/>
      <c r="M1952" s="135"/>
      <c r="N1952" s="135"/>
      <c r="O1952" s="135"/>
      <c r="P1952" s="136">
        <v>0.0</v>
      </c>
      <c r="Q1952" s="137">
        <v>0.0</v>
      </c>
      <c r="R1952" s="136">
        <v>46136.0</v>
      </c>
      <c r="S1952" s="135" t="s">
        <v>3906</v>
      </c>
      <c r="T1952" s="136"/>
      <c r="U1952" s="135"/>
      <c r="V1952" s="135"/>
      <c r="W1952" s="135"/>
      <c r="X1952" s="135"/>
      <c r="Y1952" s="135"/>
      <c r="Z1952" s="135"/>
      <c r="AA1952" s="135"/>
      <c r="AB1952" s="135"/>
      <c r="AC1952" s="135"/>
      <c r="AD1952" s="135" t="e">
        <v>#N/A</v>
      </c>
      <c r="AE1952" s="135"/>
      <c r="AF1952" s="135"/>
      <c r="AG1952" s="135"/>
    </row>
    <row r="1953" ht="21.75" hidden="1" customHeight="1">
      <c r="A1953" s="135">
        <v>1949.0</v>
      </c>
      <c r="B1953" s="135">
        <v>25045.0</v>
      </c>
      <c r="C1953" s="135"/>
      <c r="D1953" s="135">
        <v>28.0</v>
      </c>
      <c r="E1953" s="135"/>
      <c r="F1953" s="135" t="s">
        <v>675</v>
      </c>
      <c r="G1953" s="135" t="s">
        <v>174</v>
      </c>
      <c r="H1953" s="135"/>
      <c r="I1953" s="135" t="s">
        <v>181</v>
      </c>
      <c r="J1953" s="135"/>
      <c r="K1953" s="135"/>
      <c r="L1953" s="135"/>
      <c r="M1953" s="135"/>
      <c r="N1953" s="135"/>
      <c r="O1953" s="135"/>
      <c r="P1953" s="136">
        <v>0.0</v>
      </c>
      <c r="Q1953" s="137">
        <v>0.0</v>
      </c>
      <c r="R1953" s="136">
        <v>46136.0</v>
      </c>
      <c r="S1953" s="135" t="s">
        <v>3906</v>
      </c>
      <c r="T1953" s="136"/>
      <c r="U1953" s="135"/>
      <c r="V1953" s="135"/>
      <c r="W1953" s="135"/>
      <c r="X1953" s="135"/>
      <c r="Y1953" s="135"/>
      <c r="Z1953" s="135"/>
      <c r="AA1953" s="135"/>
      <c r="AB1953" s="135"/>
      <c r="AC1953" s="135"/>
      <c r="AD1953" s="135" t="e">
        <v>#N/A</v>
      </c>
      <c r="AE1953" s="135"/>
      <c r="AF1953" s="135"/>
      <c r="AG1953" s="135"/>
    </row>
    <row r="1954" ht="21.75" hidden="1" customHeight="1">
      <c r="A1954" s="135">
        <v>1950.0</v>
      </c>
      <c r="B1954" s="135">
        <v>25045.0</v>
      </c>
      <c r="C1954" s="135"/>
      <c r="D1954" s="135">
        <v>28.0</v>
      </c>
      <c r="E1954" s="135"/>
      <c r="F1954" s="135" t="s">
        <v>676</v>
      </c>
      <c r="G1954" s="135" t="s">
        <v>174</v>
      </c>
      <c r="H1954" s="135"/>
      <c r="I1954" s="135" t="s">
        <v>181</v>
      </c>
      <c r="J1954" s="135"/>
      <c r="K1954" s="135"/>
      <c r="L1954" s="135"/>
      <c r="M1954" s="135"/>
      <c r="N1954" s="135"/>
      <c r="O1954" s="135"/>
      <c r="P1954" s="136">
        <v>0.0</v>
      </c>
      <c r="Q1954" s="137">
        <v>0.0</v>
      </c>
      <c r="R1954" s="136">
        <v>46136.0</v>
      </c>
      <c r="S1954" s="135" t="s">
        <v>3906</v>
      </c>
      <c r="T1954" s="136"/>
      <c r="U1954" s="135"/>
      <c r="V1954" s="135"/>
      <c r="W1954" s="135"/>
      <c r="X1954" s="135"/>
      <c r="Y1954" s="135"/>
      <c r="Z1954" s="135"/>
      <c r="AA1954" s="135"/>
      <c r="AB1954" s="135"/>
      <c r="AC1954" s="135"/>
      <c r="AD1954" s="135" t="e">
        <v>#N/A</v>
      </c>
      <c r="AE1954" s="135"/>
      <c r="AF1954" s="135"/>
      <c r="AG1954" s="135"/>
    </row>
    <row r="1955" ht="21.75" hidden="1" customHeight="1">
      <c r="A1955" s="135">
        <v>1951.0</v>
      </c>
      <c r="B1955" s="135">
        <v>25045.0</v>
      </c>
      <c r="C1955" s="135"/>
      <c r="D1955" s="135">
        <v>28.0</v>
      </c>
      <c r="E1955" s="135"/>
      <c r="F1955" s="135" t="s">
        <v>677</v>
      </c>
      <c r="G1955" s="135" t="s">
        <v>174</v>
      </c>
      <c r="H1955" s="135"/>
      <c r="I1955" s="135" t="s">
        <v>181</v>
      </c>
      <c r="J1955" s="135"/>
      <c r="K1955" s="135"/>
      <c r="L1955" s="135"/>
      <c r="M1955" s="135"/>
      <c r="N1955" s="135"/>
      <c r="O1955" s="135"/>
      <c r="P1955" s="136">
        <v>0.0</v>
      </c>
      <c r="Q1955" s="137">
        <v>0.0</v>
      </c>
      <c r="R1955" s="136">
        <v>46136.0</v>
      </c>
      <c r="S1955" s="135" t="s">
        <v>3906</v>
      </c>
      <c r="T1955" s="136"/>
      <c r="U1955" s="135"/>
      <c r="V1955" s="135"/>
      <c r="W1955" s="135"/>
      <c r="X1955" s="135"/>
      <c r="Y1955" s="135"/>
      <c r="Z1955" s="135"/>
      <c r="AA1955" s="135"/>
      <c r="AB1955" s="135"/>
      <c r="AC1955" s="135"/>
      <c r="AD1955" s="135" t="e">
        <v>#N/A</v>
      </c>
      <c r="AE1955" s="135"/>
      <c r="AF1955" s="135"/>
      <c r="AG1955" s="135"/>
    </row>
    <row r="1956" ht="21.75" hidden="1" customHeight="1">
      <c r="A1956" s="135">
        <v>1952.0</v>
      </c>
      <c r="B1956" s="135">
        <v>25045.0</v>
      </c>
      <c r="C1956" s="135" t="s">
        <v>2817</v>
      </c>
      <c r="D1956" s="135">
        <v>34.0</v>
      </c>
      <c r="E1956" s="135" t="s">
        <v>3908</v>
      </c>
      <c r="F1956" s="135" t="s">
        <v>1747</v>
      </c>
      <c r="G1956" s="135" t="s">
        <v>66</v>
      </c>
      <c r="H1956" s="135"/>
      <c r="I1956" s="135" t="s">
        <v>67</v>
      </c>
      <c r="J1956" s="135">
        <v>1.0</v>
      </c>
      <c r="K1956" s="135"/>
      <c r="L1956" s="135">
        <v>5757.0</v>
      </c>
      <c r="M1956" s="135">
        <v>1685.0</v>
      </c>
      <c r="N1956" s="135">
        <v>120.0</v>
      </c>
      <c r="O1956" s="135">
        <v>1.144</v>
      </c>
      <c r="P1956" s="136">
        <v>0.0</v>
      </c>
      <c r="Q1956" s="137">
        <v>2.86</v>
      </c>
      <c r="R1956" s="136">
        <v>46128.0</v>
      </c>
      <c r="S1956" s="135" t="s">
        <v>3877</v>
      </c>
      <c r="T1956" s="136"/>
      <c r="U1956" s="135" t="s">
        <v>2855</v>
      </c>
      <c r="V1956" s="135" t="s">
        <v>2856</v>
      </c>
      <c r="W1956" s="135">
        <v>1800.0</v>
      </c>
      <c r="X1956" s="135"/>
      <c r="Y1956" s="135"/>
      <c r="Z1956" s="135" t="s">
        <v>2858</v>
      </c>
      <c r="AA1956" s="135"/>
      <c r="AB1956" s="135"/>
      <c r="AC1956" s="135"/>
      <c r="AD1956" s="135" t="e">
        <v>#N/A</v>
      </c>
      <c r="AE1956" s="135"/>
      <c r="AF1956" s="135"/>
      <c r="AG1956" s="135"/>
    </row>
    <row r="1957" ht="21.75" hidden="1" customHeight="1">
      <c r="A1957" s="135">
        <v>1953.0</v>
      </c>
      <c r="B1957" s="135">
        <v>25045.0</v>
      </c>
      <c r="C1957" s="135" t="s">
        <v>2817</v>
      </c>
      <c r="D1957" s="135">
        <v>34.0</v>
      </c>
      <c r="E1957" s="135" t="s">
        <v>3908</v>
      </c>
      <c r="F1957" s="135" t="s">
        <v>1748</v>
      </c>
      <c r="G1957" s="135" t="s">
        <v>66</v>
      </c>
      <c r="H1957" s="135"/>
      <c r="I1957" s="135" t="s">
        <v>67</v>
      </c>
      <c r="J1957" s="135">
        <v>1.0</v>
      </c>
      <c r="K1957" s="135"/>
      <c r="L1957" s="135">
        <v>5757.0</v>
      </c>
      <c r="M1957" s="135">
        <v>1980.0</v>
      </c>
      <c r="N1957" s="135">
        <v>120.0</v>
      </c>
      <c r="O1957" s="135">
        <v>1.347</v>
      </c>
      <c r="P1957" s="136">
        <v>0.0</v>
      </c>
      <c r="Q1957" s="137">
        <v>3.3674999999999997</v>
      </c>
      <c r="R1957" s="136">
        <v>46128.0</v>
      </c>
      <c r="S1957" s="135" t="s">
        <v>3877</v>
      </c>
      <c r="T1957" s="136"/>
      <c r="U1957" s="135" t="s">
        <v>2855</v>
      </c>
      <c r="V1957" s="135" t="s">
        <v>2856</v>
      </c>
      <c r="W1957" s="135">
        <v>1800.0</v>
      </c>
      <c r="X1957" s="135"/>
      <c r="Y1957" s="135"/>
      <c r="Z1957" s="135" t="s">
        <v>2858</v>
      </c>
      <c r="AA1957" s="135"/>
      <c r="AB1957" s="135"/>
      <c r="AC1957" s="135"/>
      <c r="AD1957" s="135" t="e">
        <v>#N/A</v>
      </c>
      <c r="AE1957" s="135"/>
      <c r="AF1957" s="135"/>
      <c r="AG1957" s="135"/>
    </row>
    <row r="1958" ht="21.75" hidden="1" customHeight="1">
      <c r="A1958" s="135">
        <v>1954.0</v>
      </c>
      <c r="B1958" s="135">
        <v>25045.0</v>
      </c>
      <c r="C1958" s="135" t="s">
        <v>2817</v>
      </c>
      <c r="D1958" s="135">
        <v>34.0</v>
      </c>
      <c r="E1958" s="135" t="s">
        <v>3908</v>
      </c>
      <c r="F1958" s="135" t="s">
        <v>1749</v>
      </c>
      <c r="G1958" s="135" t="s">
        <v>66</v>
      </c>
      <c r="H1958" s="135"/>
      <c r="I1958" s="135" t="s">
        <v>67</v>
      </c>
      <c r="J1958" s="135">
        <v>1.0</v>
      </c>
      <c r="K1958" s="135"/>
      <c r="L1958" s="135">
        <v>5757.0</v>
      </c>
      <c r="M1958" s="135">
        <v>2320.0</v>
      </c>
      <c r="N1958" s="135">
        <v>120.0</v>
      </c>
      <c r="O1958" s="135">
        <v>1.757</v>
      </c>
      <c r="P1958" s="136">
        <v>0.0</v>
      </c>
      <c r="Q1958" s="137">
        <v>4.3925</v>
      </c>
      <c r="R1958" s="136">
        <v>46128.0</v>
      </c>
      <c r="S1958" s="135" t="s">
        <v>3877</v>
      </c>
      <c r="T1958" s="136"/>
      <c r="U1958" s="135" t="s">
        <v>2855</v>
      </c>
      <c r="V1958" s="135" t="s">
        <v>3257</v>
      </c>
      <c r="W1958" s="135">
        <v>1800.0</v>
      </c>
      <c r="X1958" s="135"/>
      <c r="Y1958" s="135"/>
      <c r="Z1958" s="135" t="s">
        <v>2858</v>
      </c>
      <c r="AA1958" s="135"/>
      <c r="AB1958" s="135"/>
      <c r="AC1958" s="135"/>
      <c r="AD1958" s="135" t="e">
        <v>#N/A</v>
      </c>
      <c r="AE1958" s="135"/>
      <c r="AF1958" s="135"/>
      <c r="AG1958" s="135"/>
    </row>
    <row r="1959" ht="21.75" hidden="1" customHeight="1">
      <c r="A1959" s="135">
        <v>1955.0</v>
      </c>
      <c r="B1959" s="135">
        <v>25045.0</v>
      </c>
      <c r="C1959" s="135" t="s">
        <v>2817</v>
      </c>
      <c r="D1959" s="135">
        <v>34.0</v>
      </c>
      <c r="E1959" s="135" t="s">
        <v>3908</v>
      </c>
      <c r="F1959" s="135" t="s">
        <v>1750</v>
      </c>
      <c r="G1959" s="135" t="s">
        <v>66</v>
      </c>
      <c r="H1959" s="135"/>
      <c r="I1959" s="135" t="s">
        <v>67</v>
      </c>
      <c r="J1959" s="135">
        <v>1.0</v>
      </c>
      <c r="K1959" s="135"/>
      <c r="L1959" s="135">
        <v>2195.0</v>
      </c>
      <c r="M1959" s="135">
        <v>3370.0</v>
      </c>
      <c r="N1959" s="135">
        <v>120.0</v>
      </c>
      <c r="O1959" s="135">
        <v>2.038</v>
      </c>
      <c r="P1959" s="136">
        <v>0.0</v>
      </c>
      <c r="Q1959" s="137">
        <v>5.095</v>
      </c>
      <c r="R1959" s="136">
        <v>46128.0</v>
      </c>
      <c r="S1959" s="135" t="s">
        <v>3877</v>
      </c>
      <c r="T1959" s="136"/>
      <c r="U1959" s="135" t="s">
        <v>2864</v>
      </c>
      <c r="V1959" s="135" t="s">
        <v>2878</v>
      </c>
      <c r="W1959" s="135"/>
      <c r="X1959" s="135" t="s">
        <v>3764</v>
      </c>
      <c r="Y1959" s="135"/>
      <c r="Z1959" s="135" t="s">
        <v>2858</v>
      </c>
      <c r="AA1959" s="135"/>
      <c r="AB1959" s="135"/>
      <c r="AC1959" s="135"/>
      <c r="AD1959" s="135" t="e">
        <v>#N/A</v>
      </c>
      <c r="AE1959" s="135"/>
      <c r="AF1959" s="135"/>
      <c r="AG1959" s="135"/>
    </row>
    <row r="1960" ht="21.75" hidden="1" customHeight="1">
      <c r="A1960" s="135">
        <v>1956.0</v>
      </c>
      <c r="B1960" s="135">
        <v>25045.0</v>
      </c>
      <c r="C1960" s="135"/>
      <c r="D1960" s="135">
        <v>34.0</v>
      </c>
      <c r="E1960" s="135" t="s">
        <v>3908</v>
      </c>
      <c r="F1960" s="135" t="s">
        <v>1751</v>
      </c>
      <c r="G1960" s="135" t="s">
        <v>66</v>
      </c>
      <c r="H1960" s="135"/>
      <c r="I1960" s="135" t="s">
        <v>67</v>
      </c>
      <c r="J1960" s="135">
        <v>1.0</v>
      </c>
      <c r="K1960" s="135"/>
      <c r="L1960" s="135">
        <v>4685.0</v>
      </c>
      <c r="M1960" s="135">
        <v>3555.0</v>
      </c>
      <c r="N1960" s="135">
        <v>120.0</v>
      </c>
      <c r="O1960" s="135">
        <v>2.427</v>
      </c>
      <c r="P1960" s="136">
        <v>0.0</v>
      </c>
      <c r="Q1960" s="137">
        <v>6.0675</v>
      </c>
      <c r="R1960" s="136">
        <v>46128.0</v>
      </c>
      <c r="S1960" s="135" t="s">
        <v>3877</v>
      </c>
      <c r="T1960" s="136"/>
      <c r="U1960" s="135" t="s">
        <v>2855</v>
      </c>
      <c r="V1960" s="135" t="s">
        <v>3266</v>
      </c>
      <c r="W1960" s="135">
        <v>1800.0</v>
      </c>
      <c r="X1960" s="135"/>
      <c r="Y1960" s="135"/>
      <c r="Z1960" s="135" t="s">
        <v>2858</v>
      </c>
      <c r="AA1960" s="135"/>
      <c r="AB1960" s="135"/>
      <c r="AC1960" s="135"/>
      <c r="AD1960" s="135" t="e">
        <v>#N/A</v>
      </c>
      <c r="AE1960" s="135"/>
      <c r="AF1960" s="135"/>
      <c r="AG1960" s="135"/>
    </row>
    <row r="1961" ht="21.75" hidden="1" customHeight="1">
      <c r="A1961" s="135">
        <v>1957.0</v>
      </c>
      <c r="B1961" s="135">
        <v>25045.0</v>
      </c>
      <c r="C1961" s="135"/>
      <c r="D1961" s="135">
        <v>34.0</v>
      </c>
      <c r="E1961" s="135" t="s">
        <v>3908</v>
      </c>
      <c r="F1961" s="135" t="s">
        <v>1752</v>
      </c>
      <c r="G1961" s="135" t="s">
        <v>66</v>
      </c>
      <c r="H1961" s="135"/>
      <c r="I1961" s="135" t="s">
        <v>67</v>
      </c>
      <c r="J1961" s="135">
        <v>1.0</v>
      </c>
      <c r="K1961" s="135"/>
      <c r="L1961" s="135">
        <v>4920.0</v>
      </c>
      <c r="M1961" s="135">
        <v>3820.0</v>
      </c>
      <c r="N1961" s="135">
        <v>120.0</v>
      </c>
      <c r="O1961" s="135">
        <v>2.572</v>
      </c>
      <c r="P1961" s="136">
        <v>0.0</v>
      </c>
      <c r="Q1961" s="137">
        <v>6.43</v>
      </c>
      <c r="R1961" s="136">
        <v>46128.0</v>
      </c>
      <c r="S1961" s="135" t="s">
        <v>3877</v>
      </c>
      <c r="T1961" s="136"/>
      <c r="U1961" s="135" t="s">
        <v>2855</v>
      </c>
      <c r="V1961" s="135" t="s">
        <v>3266</v>
      </c>
      <c r="W1961" s="135">
        <v>1800.0</v>
      </c>
      <c r="X1961" s="135" t="s">
        <v>3536</v>
      </c>
      <c r="Y1961" s="135"/>
      <c r="Z1961" s="135" t="s">
        <v>2858</v>
      </c>
      <c r="AA1961" s="135"/>
      <c r="AB1961" s="135"/>
      <c r="AC1961" s="135"/>
      <c r="AD1961" s="135" t="e">
        <v>#N/A</v>
      </c>
      <c r="AE1961" s="135"/>
      <c r="AF1961" s="135"/>
      <c r="AG1961" s="135"/>
    </row>
    <row r="1962" ht="21.75" hidden="1" customHeight="1">
      <c r="A1962" s="135">
        <v>1958.0</v>
      </c>
      <c r="B1962" s="135">
        <v>25045.0</v>
      </c>
      <c r="C1962" s="135"/>
      <c r="D1962" s="135">
        <v>34.0</v>
      </c>
      <c r="E1962" s="135" t="s">
        <v>3908</v>
      </c>
      <c r="F1962" s="135" t="s">
        <v>1753</v>
      </c>
      <c r="G1962" s="135" t="s">
        <v>66</v>
      </c>
      <c r="H1962" s="135"/>
      <c r="I1962" s="135" t="s">
        <v>67</v>
      </c>
      <c r="J1962" s="135">
        <v>1.0</v>
      </c>
      <c r="K1962" s="135"/>
      <c r="L1962" s="135">
        <v>3090.0</v>
      </c>
      <c r="M1962" s="135">
        <v>3695.0</v>
      </c>
      <c r="N1962" s="135">
        <v>120.0</v>
      </c>
      <c r="O1962" s="135">
        <v>1.497</v>
      </c>
      <c r="P1962" s="136">
        <v>0.0</v>
      </c>
      <c r="Q1962" s="137">
        <v>3.7425</v>
      </c>
      <c r="R1962" s="136">
        <v>46128.0</v>
      </c>
      <c r="S1962" s="135" t="s">
        <v>3877</v>
      </c>
      <c r="T1962" s="136"/>
      <c r="U1962" s="135" t="s">
        <v>2864</v>
      </c>
      <c r="V1962" s="135" t="s">
        <v>3041</v>
      </c>
      <c r="W1962" s="135"/>
      <c r="X1962" s="135" t="s">
        <v>3537</v>
      </c>
      <c r="Y1962" s="135"/>
      <c r="Z1962" s="135" t="s">
        <v>2858</v>
      </c>
      <c r="AA1962" s="135"/>
      <c r="AB1962" s="135"/>
      <c r="AC1962" s="135"/>
      <c r="AD1962" s="135" t="e">
        <v>#N/A</v>
      </c>
      <c r="AE1962" s="135"/>
      <c r="AF1962" s="135"/>
      <c r="AG1962" s="135"/>
    </row>
    <row r="1963" ht="21.75" hidden="1" customHeight="1">
      <c r="A1963" s="135">
        <v>1959.0</v>
      </c>
      <c r="B1963" s="135">
        <v>25045.0</v>
      </c>
      <c r="C1963" s="135"/>
      <c r="D1963" s="135">
        <v>34.0</v>
      </c>
      <c r="E1963" s="135" t="s">
        <v>3908</v>
      </c>
      <c r="F1963" s="135" t="s">
        <v>1754</v>
      </c>
      <c r="G1963" s="135" t="s">
        <v>66</v>
      </c>
      <c r="H1963" s="135"/>
      <c r="I1963" s="135" t="s">
        <v>67</v>
      </c>
      <c r="J1963" s="135">
        <v>1.0</v>
      </c>
      <c r="K1963" s="135"/>
      <c r="L1963" s="135">
        <v>3420.0</v>
      </c>
      <c r="M1963" s="135">
        <v>3695.0</v>
      </c>
      <c r="N1963" s="135">
        <v>120.0</v>
      </c>
      <c r="O1963" s="135">
        <v>1.648</v>
      </c>
      <c r="P1963" s="136">
        <v>0.0</v>
      </c>
      <c r="Q1963" s="137">
        <v>4.12</v>
      </c>
      <c r="R1963" s="136">
        <v>46128.0</v>
      </c>
      <c r="S1963" s="135" t="s">
        <v>3877</v>
      </c>
      <c r="T1963" s="136"/>
      <c r="U1963" s="135" t="s">
        <v>2864</v>
      </c>
      <c r="V1963" s="135" t="s">
        <v>3041</v>
      </c>
      <c r="W1963" s="135"/>
      <c r="X1963" s="135" t="s">
        <v>3536</v>
      </c>
      <c r="Y1963" s="135"/>
      <c r="Z1963" s="135" t="s">
        <v>2858</v>
      </c>
      <c r="AA1963" s="135"/>
      <c r="AB1963" s="135"/>
      <c r="AC1963" s="135"/>
      <c r="AD1963" s="135" t="e">
        <v>#N/A</v>
      </c>
      <c r="AE1963" s="135"/>
      <c r="AF1963" s="135"/>
      <c r="AG1963" s="135"/>
    </row>
    <row r="1964" ht="21.75" hidden="1" customHeight="1">
      <c r="A1964" s="135">
        <v>1960.0</v>
      </c>
      <c r="B1964" s="135">
        <v>25045.0</v>
      </c>
      <c r="C1964" s="135"/>
      <c r="D1964" s="135">
        <v>34.0</v>
      </c>
      <c r="E1964" s="135" t="s">
        <v>3908</v>
      </c>
      <c r="F1964" s="135" t="s">
        <v>1755</v>
      </c>
      <c r="G1964" s="135" t="s">
        <v>66</v>
      </c>
      <c r="H1964" s="135"/>
      <c r="I1964" s="135" t="s">
        <v>67</v>
      </c>
      <c r="J1964" s="135">
        <v>1.0</v>
      </c>
      <c r="K1964" s="135"/>
      <c r="L1964" s="135">
        <v>3590.0</v>
      </c>
      <c r="M1964" s="135">
        <v>3820.0</v>
      </c>
      <c r="N1964" s="135">
        <v>120.0</v>
      </c>
      <c r="O1964" s="135">
        <v>1.998</v>
      </c>
      <c r="P1964" s="136">
        <v>0.0</v>
      </c>
      <c r="Q1964" s="137">
        <v>4.995</v>
      </c>
      <c r="R1964" s="136">
        <v>46128.0</v>
      </c>
      <c r="S1964" s="135" t="s">
        <v>3877</v>
      </c>
      <c r="T1964" s="136"/>
      <c r="U1964" s="135" t="s">
        <v>2917</v>
      </c>
      <c r="V1964" s="135" t="s">
        <v>3086</v>
      </c>
      <c r="W1964" s="135"/>
      <c r="X1964" s="135" t="s">
        <v>3537</v>
      </c>
      <c r="Y1964" s="135"/>
      <c r="Z1964" s="135" t="s">
        <v>2858</v>
      </c>
      <c r="AA1964" s="135"/>
      <c r="AB1964" s="135"/>
      <c r="AC1964" s="135"/>
      <c r="AD1964" s="135" t="e">
        <v>#N/A</v>
      </c>
      <c r="AE1964" s="135"/>
      <c r="AF1964" s="135"/>
      <c r="AG1964" s="135"/>
    </row>
    <row r="1965" ht="21.75" hidden="1" customHeight="1">
      <c r="A1965" s="135">
        <v>1961.0</v>
      </c>
      <c r="B1965" s="135">
        <v>25045.0</v>
      </c>
      <c r="C1965" s="135"/>
      <c r="D1965" s="135">
        <v>34.0</v>
      </c>
      <c r="E1965" s="135" t="s">
        <v>3908</v>
      </c>
      <c r="F1965" s="135" t="s">
        <v>1756</v>
      </c>
      <c r="G1965" s="135" t="s">
        <v>66</v>
      </c>
      <c r="H1965" s="135"/>
      <c r="I1965" s="135" t="s">
        <v>67</v>
      </c>
      <c r="J1965" s="135">
        <v>1.0</v>
      </c>
      <c r="K1965" s="135"/>
      <c r="L1965" s="135">
        <v>4460.0</v>
      </c>
      <c r="M1965" s="135">
        <v>3820.0</v>
      </c>
      <c r="N1965" s="135">
        <v>120.0</v>
      </c>
      <c r="O1965" s="135">
        <v>2.014</v>
      </c>
      <c r="P1965" s="136">
        <v>0.0</v>
      </c>
      <c r="Q1965" s="137">
        <v>5.034999999999999</v>
      </c>
      <c r="R1965" s="136">
        <v>46128.0</v>
      </c>
      <c r="S1965" s="135" t="s">
        <v>3877</v>
      </c>
      <c r="T1965" s="136"/>
      <c r="U1965" s="135" t="s">
        <v>2917</v>
      </c>
      <c r="V1965" s="135" t="s">
        <v>3086</v>
      </c>
      <c r="W1965" s="135"/>
      <c r="X1965" s="135" t="s">
        <v>3909</v>
      </c>
      <c r="Y1965" s="135"/>
      <c r="Z1965" s="135" t="s">
        <v>2858</v>
      </c>
      <c r="AA1965" s="135"/>
      <c r="AB1965" s="135"/>
      <c r="AC1965" s="135"/>
      <c r="AD1965" s="135" t="e">
        <v>#N/A</v>
      </c>
      <c r="AE1965" s="135"/>
      <c r="AF1965" s="135"/>
      <c r="AG1965" s="135"/>
    </row>
    <row r="1966" ht="21.75" hidden="1" customHeight="1">
      <c r="A1966" s="135">
        <v>1962.0</v>
      </c>
      <c r="B1966" s="135">
        <v>25045.0</v>
      </c>
      <c r="C1966" s="135"/>
      <c r="D1966" s="135">
        <v>34.0</v>
      </c>
      <c r="E1966" s="135" t="s">
        <v>3908</v>
      </c>
      <c r="F1966" s="135" t="s">
        <v>1757</v>
      </c>
      <c r="G1966" s="135" t="s">
        <v>66</v>
      </c>
      <c r="H1966" s="135"/>
      <c r="I1966" s="135" t="s">
        <v>67</v>
      </c>
      <c r="J1966" s="135">
        <v>1.0</v>
      </c>
      <c r="K1966" s="135"/>
      <c r="L1966" s="135">
        <v>5177.0</v>
      </c>
      <c r="M1966" s="135">
        <v>3330.0</v>
      </c>
      <c r="N1966" s="135">
        <v>120.0</v>
      </c>
      <c r="O1966" s="135">
        <v>2.384</v>
      </c>
      <c r="P1966" s="136">
        <v>0.0</v>
      </c>
      <c r="Q1966" s="137">
        <v>5.96</v>
      </c>
      <c r="R1966" s="136">
        <v>46128.0</v>
      </c>
      <c r="S1966" s="135" t="s">
        <v>3877</v>
      </c>
      <c r="T1966" s="136"/>
      <c r="U1966" s="135" t="s">
        <v>2855</v>
      </c>
      <c r="V1966" s="135" t="s">
        <v>2878</v>
      </c>
      <c r="W1966" s="135">
        <v>2500.0</v>
      </c>
      <c r="X1966" s="135">
        <v>0.0</v>
      </c>
      <c r="Y1966" s="135"/>
      <c r="Z1966" s="135" t="s">
        <v>2858</v>
      </c>
      <c r="AA1966" s="135"/>
      <c r="AB1966" s="135"/>
      <c r="AC1966" s="135"/>
      <c r="AD1966" s="135">
        <v>46149.0</v>
      </c>
      <c r="AE1966" s="135"/>
      <c r="AF1966" s="135"/>
      <c r="AG1966" s="135"/>
    </row>
    <row r="1967" ht="21.75" hidden="1" customHeight="1">
      <c r="A1967" s="135">
        <v>1963.0</v>
      </c>
      <c r="B1967" s="135">
        <v>25045.0</v>
      </c>
      <c r="C1967" s="135"/>
      <c r="D1967" s="135">
        <v>34.0</v>
      </c>
      <c r="E1967" s="135" t="s">
        <v>3908</v>
      </c>
      <c r="F1967" s="135" t="s">
        <v>1758</v>
      </c>
      <c r="G1967" s="135" t="s">
        <v>66</v>
      </c>
      <c r="H1967" s="135"/>
      <c r="I1967" s="135" t="s">
        <v>67</v>
      </c>
      <c r="J1967" s="135">
        <v>1.0</v>
      </c>
      <c r="K1967" s="135" t="s">
        <v>3134</v>
      </c>
      <c r="L1967" s="135">
        <v>5162.0</v>
      </c>
      <c r="M1967" s="135">
        <v>3320.0</v>
      </c>
      <c r="N1967" s="135">
        <v>120.0</v>
      </c>
      <c r="O1967" s="135">
        <v>2.38</v>
      </c>
      <c r="P1967" s="136">
        <v>0.0</v>
      </c>
      <c r="Q1967" s="137">
        <v>5.949999999999999</v>
      </c>
      <c r="R1967" s="136">
        <v>46128.0</v>
      </c>
      <c r="S1967" s="135" t="s">
        <v>3877</v>
      </c>
      <c r="T1967" s="136"/>
      <c r="U1967" s="135" t="s">
        <v>2855</v>
      </c>
      <c r="V1967" s="135" t="s">
        <v>2878</v>
      </c>
      <c r="W1967" s="135">
        <v>1800.0</v>
      </c>
      <c r="X1967" s="135">
        <v>0.0</v>
      </c>
      <c r="Y1967" s="135"/>
      <c r="Z1967" s="135" t="s">
        <v>2858</v>
      </c>
      <c r="AA1967" s="135"/>
      <c r="AB1967" s="135"/>
      <c r="AC1967" s="135"/>
      <c r="AD1967" s="135">
        <v>46147.0</v>
      </c>
      <c r="AE1967" s="135"/>
      <c r="AF1967" s="135"/>
      <c r="AG1967" s="135"/>
    </row>
    <row r="1968" ht="21.75" hidden="1" customHeight="1">
      <c r="A1968" s="135">
        <v>1964.0</v>
      </c>
      <c r="B1968" s="135">
        <v>25045.0</v>
      </c>
      <c r="C1968" s="135"/>
      <c r="D1968" s="135">
        <v>34.0</v>
      </c>
      <c r="E1968" s="135" t="s">
        <v>3908</v>
      </c>
      <c r="F1968" s="135" t="s">
        <v>1759</v>
      </c>
      <c r="G1968" s="135" t="s">
        <v>66</v>
      </c>
      <c r="H1968" s="135"/>
      <c r="I1968" s="135" t="s">
        <v>67</v>
      </c>
      <c r="J1968" s="135">
        <v>1.0</v>
      </c>
      <c r="K1968" s="135" t="s">
        <v>3134</v>
      </c>
      <c r="L1968" s="135">
        <v>5162.0</v>
      </c>
      <c r="M1968" s="135">
        <v>3320.0</v>
      </c>
      <c r="N1968" s="135">
        <v>120.0</v>
      </c>
      <c r="O1968" s="135">
        <v>2.38</v>
      </c>
      <c r="P1968" s="136">
        <v>0.0</v>
      </c>
      <c r="Q1968" s="137">
        <v>5.949999999999999</v>
      </c>
      <c r="R1968" s="136">
        <v>46128.0</v>
      </c>
      <c r="S1968" s="135" t="s">
        <v>3877</v>
      </c>
      <c r="T1968" s="136"/>
      <c r="U1968" s="135" t="s">
        <v>2855</v>
      </c>
      <c r="V1968" s="135" t="s">
        <v>2878</v>
      </c>
      <c r="W1968" s="135">
        <v>1800.0</v>
      </c>
      <c r="X1968" s="135">
        <v>0.0</v>
      </c>
      <c r="Y1968" s="135"/>
      <c r="Z1968" s="135" t="s">
        <v>2858</v>
      </c>
      <c r="AA1968" s="135"/>
      <c r="AB1968" s="135"/>
      <c r="AC1968" s="135"/>
      <c r="AD1968" s="135">
        <v>46148.0</v>
      </c>
      <c r="AE1968" s="135"/>
      <c r="AF1968" s="135"/>
      <c r="AG1968" s="135"/>
    </row>
    <row r="1969" ht="21.75" hidden="1" customHeight="1">
      <c r="A1969" s="135">
        <v>1965.0</v>
      </c>
      <c r="B1969" s="135">
        <v>25045.0</v>
      </c>
      <c r="C1969" s="135"/>
      <c r="D1969" s="135">
        <v>34.0</v>
      </c>
      <c r="E1969" s="135" t="s">
        <v>3908</v>
      </c>
      <c r="F1969" s="135" t="s">
        <v>1760</v>
      </c>
      <c r="G1969" s="135" t="s">
        <v>66</v>
      </c>
      <c r="H1969" s="135"/>
      <c r="I1969" s="135" t="s">
        <v>67</v>
      </c>
      <c r="J1969" s="135">
        <v>1.0</v>
      </c>
      <c r="K1969" s="135"/>
      <c r="L1969" s="135">
        <v>5162.0</v>
      </c>
      <c r="M1969" s="135">
        <v>3320.0</v>
      </c>
      <c r="N1969" s="135">
        <v>120.0</v>
      </c>
      <c r="O1969" s="135">
        <v>2.042</v>
      </c>
      <c r="P1969" s="136">
        <v>0.0</v>
      </c>
      <c r="Q1969" s="137">
        <v>5.1049999999999995</v>
      </c>
      <c r="R1969" s="136">
        <v>46128.0</v>
      </c>
      <c r="S1969" s="135" t="s">
        <v>3877</v>
      </c>
      <c r="T1969" s="136"/>
      <c r="U1969" s="135" t="s">
        <v>2864</v>
      </c>
      <c r="V1969" s="135" t="s">
        <v>2890</v>
      </c>
      <c r="W1969" s="135">
        <v>0.0</v>
      </c>
      <c r="X1969" s="135" t="s">
        <v>3764</v>
      </c>
      <c r="Y1969" s="135"/>
      <c r="Z1969" s="135" t="s">
        <v>2858</v>
      </c>
      <c r="AA1969" s="135"/>
      <c r="AB1969" s="135"/>
      <c r="AC1969" s="135"/>
      <c r="AD1969" s="135">
        <v>46155.0</v>
      </c>
      <c r="AE1969" s="135"/>
      <c r="AF1969" s="135"/>
      <c r="AG1969" s="135"/>
    </row>
    <row r="1970" ht="21.75" hidden="1" customHeight="1">
      <c r="A1970" s="135">
        <v>1966.0</v>
      </c>
      <c r="B1970" s="135">
        <v>25045.0</v>
      </c>
      <c r="C1970" s="135"/>
      <c r="D1970" s="135">
        <v>34.0</v>
      </c>
      <c r="E1970" s="135" t="s">
        <v>3908</v>
      </c>
      <c r="F1970" s="135" t="s">
        <v>1761</v>
      </c>
      <c r="G1970" s="135" t="s">
        <v>66</v>
      </c>
      <c r="H1970" s="135" t="s">
        <v>2853</v>
      </c>
      <c r="I1970" s="135" t="s">
        <v>67</v>
      </c>
      <c r="J1970" s="135">
        <v>1.0</v>
      </c>
      <c r="K1970" s="135"/>
      <c r="L1970" s="135">
        <v>2826.0</v>
      </c>
      <c r="M1970" s="135">
        <v>3570.0</v>
      </c>
      <c r="N1970" s="135">
        <v>300.0</v>
      </c>
      <c r="O1970" s="135">
        <v>2.158</v>
      </c>
      <c r="P1970" s="136">
        <v>0.0</v>
      </c>
      <c r="Q1970" s="137">
        <v>5.395</v>
      </c>
      <c r="R1970" s="136">
        <v>46128.0</v>
      </c>
      <c r="S1970" s="135" t="s">
        <v>3877</v>
      </c>
      <c r="T1970" s="136"/>
      <c r="U1970" s="135" t="s">
        <v>2864</v>
      </c>
      <c r="V1970" s="135" t="s">
        <v>2899</v>
      </c>
      <c r="W1970" s="135"/>
      <c r="X1970" s="135"/>
      <c r="Y1970" s="135" t="s">
        <v>2886</v>
      </c>
      <c r="Z1970" s="135" t="s">
        <v>2858</v>
      </c>
      <c r="AA1970" s="135"/>
      <c r="AB1970" s="135"/>
      <c r="AC1970" s="135"/>
      <c r="AD1970" s="135">
        <v>46147.0</v>
      </c>
      <c r="AE1970" s="135"/>
      <c r="AF1970" s="135"/>
      <c r="AG1970" s="135"/>
    </row>
    <row r="1971" ht="21.75" hidden="1" customHeight="1">
      <c r="A1971" s="135">
        <v>1967.0</v>
      </c>
      <c r="B1971" s="135">
        <v>25045.0</v>
      </c>
      <c r="C1971" s="135"/>
      <c r="D1971" s="135">
        <v>34.0</v>
      </c>
      <c r="E1971" s="135" t="s">
        <v>3908</v>
      </c>
      <c r="F1971" s="135" t="s">
        <v>1762</v>
      </c>
      <c r="G1971" s="135" t="s">
        <v>66</v>
      </c>
      <c r="H1971" s="135"/>
      <c r="I1971" s="135" t="s">
        <v>67</v>
      </c>
      <c r="J1971" s="135">
        <v>1.0</v>
      </c>
      <c r="K1971" s="135"/>
      <c r="L1971" s="135">
        <v>5500.0</v>
      </c>
      <c r="M1971" s="135">
        <v>1585.0</v>
      </c>
      <c r="N1971" s="135">
        <v>120.0</v>
      </c>
      <c r="O1971" s="135">
        <v>0.87</v>
      </c>
      <c r="P1971" s="136">
        <v>0.0</v>
      </c>
      <c r="Q1971" s="137">
        <v>2.175</v>
      </c>
      <c r="R1971" s="136">
        <v>46128.0</v>
      </c>
      <c r="S1971" s="135" t="s">
        <v>3877</v>
      </c>
      <c r="T1971" s="136"/>
      <c r="U1971" s="135" t="s">
        <v>2855</v>
      </c>
      <c r="V1971" s="135" t="s">
        <v>2951</v>
      </c>
      <c r="W1971" s="135">
        <v>1800.0</v>
      </c>
      <c r="X1971" s="135">
        <v>0.0</v>
      </c>
      <c r="Y1971" s="135"/>
      <c r="Z1971" s="135" t="s">
        <v>2858</v>
      </c>
      <c r="AA1971" s="135"/>
      <c r="AB1971" s="135"/>
      <c r="AC1971" s="135"/>
      <c r="AD1971" s="135">
        <v>0.0</v>
      </c>
      <c r="AE1971" s="135"/>
      <c r="AF1971" s="135"/>
      <c r="AG1971" s="135"/>
    </row>
    <row r="1972" ht="21.75" hidden="1" customHeight="1">
      <c r="A1972" s="135">
        <v>1968.0</v>
      </c>
      <c r="B1972" s="135">
        <v>25045.0</v>
      </c>
      <c r="C1972" s="135"/>
      <c r="D1972" s="135">
        <v>34.0</v>
      </c>
      <c r="E1972" s="135" t="s">
        <v>3908</v>
      </c>
      <c r="F1972" s="135" t="s">
        <v>1763</v>
      </c>
      <c r="G1972" s="135" t="s">
        <v>66</v>
      </c>
      <c r="H1972" s="135"/>
      <c r="I1972" s="135" t="s">
        <v>67</v>
      </c>
      <c r="J1972" s="135">
        <v>1.0</v>
      </c>
      <c r="K1972" s="135"/>
      <c r="L1972" s="135">
        <v>2780.0</v>
      </c>
      <c r="M1972" s="135">
        <v>1670.0</v>
      </c>
      <c r="N1972" s="135">
        <v>120.0</v>
      </c>
      <c r="O1972" s="135">
        <v>0.551</v>
      </c>
      <c r="P1972" s="136">
        <v>0.0</v>
      </c>
      <c r="Q1972" s="137">
        <v>1.3775000000000002</v>
      </c>
      <c r="R1972" s="136">
        <v>46128.0</v>
      </c>
      <c r="S1972" s="135" t="s">
        <v>3877</v>
      </c>
      <c r="T1972" s="136"/>
      <c r="U1972" s="135" t="s">
        <v>2864</v>
      </c>
      <c r="V1972" s="135" t="s">
        <v>2951</v>
      </c>
      <c r="W1972" s="135">
        <v>0.0</v>
      </c>
      <c r="X1972" s="135">
        <v>0.0</v>
      </c>
      <c r="Y1972" s="135"/>
      <c r="Z1972" s="135" t="s">
        <v>2858</v>
      </c>
      <c r="AA1972" s="135"/>
      <c r="AB1972" s="135"/>
      <c r="AC1972" s="135"/>
      <c r="AD1972" s="135">
        <v>0.0</v>
      </c>
      <c r="AE1972" s="135"/>
      <c r="AF1972" s="135"/>
      <c r="AG1972" s="135"/>
    </row>
    <row r="1973" ht="21.75" hidden="1" customHeight="1">
      <c r="A1973" s="135">
        <v>1969.0</v>
      </c>
      <c r="B1973" s="135">
        <v>25045.0</v>
      </c>
      <c r="C1973" s="135"/>
      <c r="D1973" s="135">
        <v>34.0</v>
      </c>
      <c r="E1973" s="135" t="s">
        <v>3908</v>
      </c>
      <c r="F1973" s="135" t="s">
        <v>1764</v>
      </c>
      <c r="G1973" s="135" t="s">
        <v>66</v>
      </c>
      <c r="H1973" s="135"/>
      <c r="I1973" s="135" t="s">
        <v>67</v>
      </c>
      <c r="J1973" s="135">
        <v>1.0</v>
      </c>
      <c r="K1973" s="135"/>
      <c r="L1973" s="135">
        <v>2855.0</v>
      </c>
      <c r="M1973" s="135">
        <v>1000.0</v>
      </c>
      <c r="N1973" s="135">
        <v>120.0</v>
      </c>
      <c r="O1973" s="135">
        <v>0.472</v>
      </c>
      <c r="P1973" s="136">
        <v>0.0</v>
      </c>
      <c r="Q1973" s="137">
        <v>1.18</v>
      </c>
      <c r="R1973" s="136">
        <v>46128.0</v>
      </c>
      <c r="S1973" s="135" t="s">
        <v>3877</v>
      </c>
      <c r="T1973" s="136"/>
      <c r="U1973" s="135" t="s">
        <v>2950</v>
      </c>
      <c r="V1973" s="135" t="s">
        <v>2951</v>
      </c>
      <c r="W1973" s="135">
        <v>0.0</v>
      </c>
      <c r="X1973" s="135">
        <v>0.0</v>
      </c>
      <c r="Y1973" s="135"/>
      <c r="Z1973" s="135" t="s">
        <v>2858</v>
      </c>
      <c r="AA1973" s="135"/>
      <c r="AB1973" s="135"/>
      <c r="AC1973" s="135"/>
      <c r="AD1973" s="135">
        <v>46147.0</v>
      </c>
      <c r="AE1973" s="135"/>
      <c r="AF1973" s="135"/>
      <c r="AG1973" s="135"/>
    </row>
    <row r="1974" ht="21.75" hidden="1" customHeight="1">
      <c r="A1974" s="135">
        <v>1970.0</v>
      </c>
      <c r="B1974" s="135">
        <v>25045.0</v>
      </c>
      <c r="C1974" s="135"/>
      <c r="D1974" s="135">
        <v>34.0</v>
      </c>
      <c r="E1974" s="135" t="s">
        <v>3908</v>
      </c>
      <c r="F1974" s="135" t="s">
        <v>1765</v>
      </c>
      <c r="G1974" s="135" t="s">
        <v>66</v>
      </c>
      <c r="H1974" s="135"/>
      <c r="I1974" s="135" t="s">
        <v>67</v>
      </c>
      <c r="J1974" s="135">
        <v>1.0</v>
      </c>
      <c r="K1974" s="135"/>
      <c r="L1974" s="135">
        <v>750.0</v>
      </c>
      <c r="M1974" s="135">
        <v>3270.0</v>
      </c>
      <c r="N1974" s="135">
        <v>350.0</v>
      </c>
      <c r="O1974" s="135">
        <v>0.583</v>
      </c>
      <c r="P1974" s="136">
        <v>0.0</v>
      </c>
      <c r="Q1974" s="137">
        <v>1.4575</v>
      </c>
      <c r="R1974" s="136">
        <v>46128.0</v>
      </c>
      <c r="S1974" s="135" t="s">
        <v>3877</v>
      </c>
      <c r="T1974" s="136"/>
      <c r="U1974" s="135" t="s">
        <v>2966</v>
      </c>
      <c r="V1974" s="135" t="s">
        <v>2967</v>
      </c>
      <c r="W1974" s="135">
        <v>0.0</v>
      </c>
      <c r="X1974" s="135">
        <v>0.0</v>
      </c>
      <c r="Y1974" s="135"/>
      <c r="Z1974" s="135" t="s">
        <v>2858</v>
      </c>
      <c r="AA1974" s="135"/>
      <c r="AB1974" s="135"/>
      <c r="AC1974" s="135"/>
      <c r="AD1974" s="135">
        <v>0.0</v>
      </c>
      <c r="AE1974" s="135"/>
      <c r="AF1974" s="135"/>
      <c r="AG1974" s="135"/>
    </row>
    <row r="1975" ht="21.75" hidden="1" customHeight="1">
      <c r="A1975" s="135">
        <v>1971.0</v>
      </c>
      <c r="B1975" s="135">
        <v>25045.0</v>
      </c>
      <c r="C1975" s="135"/>
      <c r="D1975" s="135">
        <v>34.0</v>
      </c>
      <c r="E1975" s="135" t="s">
        <v>3910</v>
      </c>
      <c r="F1975" s="135" t="s">
        <v>1766</v>
      </c>
      <c r="G1975" s="135" t="s">
        <v>66</v>
      </c>
      <c r="H1975" s="135"/>
      <c r="I1975" s="135" t="s">
        <v>68</v>
      </c>
      <c r="J1975" s="135">
        <v>1.0</v>
      </c>
      <c r="K1975" s="135"/>
      <c r="L1975" s="135">
        <v>2100.0</v>
      </c>
      <c r="M1975" s="135">
        <v>1350.0</v>
      </c>
      <c r="N1975" s="135">
        <v>120.0</v>
      </c>
      <c r="O1975" s="135">
        <v>0.434</v>
      </c>
      <c r="P1975" s="136">
        <v>0.0</v>
      </c>
      <c r="Q1975" s="137">
        <v>1.085</v>
      </c>
      <c r="R1975" s="136">
        <v>46128.0</v>
      </c>
      <c r="S1975" s="135" t="s">
        <v>3877</v>
      </c>
      <c r="T1975" s="136"/>
      <c r="U1975" s="135" t="s">
        <v>2864</v>
      </c>
      <c r="V1975" s="135" t="s">
        <v>2856</v>
      </c>
      <c r="W1975" s="135">
        <v>0.0</v>
      </c>
      <c r="X1975" s="135">
        <v>0.0</v>
      </c>
      <c r="Y1975" s="135"/>
      <c r="Z1975" s="135" t="s">
        <v>2858</v>
      </c>
      <c r="AA1975" s="135"/>
      <c r="AB1975" s="135"/>
      <c r="AC1975" s="135"/>
      <c r="AD1975" s="135">
        <v>46151.0</v>
      </c>
      <c r="AE1975" s="135"/>
      <c r="AF1975" s="135"/>
      <c r="AG1975" s="135"/>
    </row>
    <row r="1976" ht="21.75" hidden="1" customHeight="1">
      <c r="A1976" s="135">
        <v>1972.0</v>
      </c>
      <c r="B1976" s="135">
        <v>25045.0</v>
      </c>
      <c r="C1976" s="135"/>
      <c r="D1976" s="135">
        <v>34.0</v>
      </c>
      <c r="E1976" s="135" t="s">
        <v>3910</v>
      </c>
      <c r="F1976" s="135" t="s">
        <v>1767</v>
      </c>
      <c r="G1976" s="135" t="s">
        <v>66</v>
      </c>
      <c r="H1976" s="135"/>
      <c r="I1976" s="135" t="s">
        <v>68</v>
      </c>
      <c r="J1976" s="135">
        <v>1.0</v>
      </c>
      <c r="K1976" s="135"/>
      <c r="L1976" s="135">
        <v>3000.0</v>
      </c>
      <c r="M1976" s="135">
        <v>1350.0</v>
      </c>
      <c r="N1976" s="135">
        <v>120.0</v>
      </c>
      <c r="O1976" s="135">
        <v>0.53</v>
      </c>
      <c r="P1976" s="136">
        <v>0.0</v>
      </c>
      <c r="Q1976" s="137">
        <v>1.3250000000000002</v>
      </c>
      <c r="R1976" s="136">
        <v>46128.0</v>
      </c>
      <c r="S1976" s="135" t="s">
        <v>3877</v>
      </c>
      <c r="T1976" s="136"/>
      <c r="U1976" s="135" t="s">
        <v>2864</v>
      </c>
      <c r="V1976" s="135" t="s">
        <v>2856</v>
      </c>
      <c r="W1976" s="135">
        <v>0.0</v>
      </c>
      <c r="X1976" s="135">
        <v>0.0</v>
      </c>
      <c r="Y1976" s="135"/>
      <c r="Z1976" s="135" t="s">
        <v>2858</v>
      </c>
      <c r="AA1976" s="135"/>
      <c r="AB1976" s="135"/>
      <c r="AC1976" s="135"/>
      <c r="AD1976" s="135">
        <v>46153.0</v>
      </c>
      <c r="AE1976" s="135"/>
      <c r="AF1976" s="135"/>
      <c r="AG1976" s="135"/>
    </row>
    <row r="1977" ht="21.75" hidden="1" customHeight="1">
      <c r="A1977" s="135">
        <v>1973.0</v>
      </c>
      <c r="B1977" s="135">
        <v>25045.0</v>
      </c>
      <c r="C1977" s="135"/>
      <c r="D1977" s="135">
        <v>34.0</v>
      </c>
      <c r="E1977" s="135" t="s">
        <v>3910</v>
      </c>
      <c r="F1977" s="135" t="s">
        <v>1768</v>
      </c>
      <c r="G1977" s="135" t="s">
        <v>66</v>
      </c>
      <c r="H1977" s="135"/>
      <c r="I1977" s="135" t="s">
        <v>68</v>
      </c>
      <c r="J1977" s="135">
        <v>1.0</v>
      </c>
      <c r="K1977" s="135"/>
      <c r="L1977" s="135">
        <v>3000.0</v>
      </c>
      <c r="M1977" s="135">
        <v>1350.0</v>
      </c>
      <c r="N1977" s="135">
        <v>120.0</v>
      </c>
      <c r="O1977" s="135">
        <v>0.53</v>
      </c>
      <c r="P1977" s="136">
        <v>0.0</v>
      </c>
      <c r="Q1977" s="137">
        <v>1.3250000000000002</v>
      </c>
      <c r="R1977" s="136">
        <v>46128.0</v>
      </c>
      <c r="S1977" s="135" t="s">
        <v>3877</v>
      </c>
      <c r="T1977" s="136"/>
      <c r="U1977" s="135" t="s">
        <v>2864</v>
      </c>
      <c r="V1977" s="135" t="s">
        <v>2856</v>
      </c>
      <c r="W1977" s="135">
        <v>0.0</v>
      </c>
      <c r="X1977" s="135">
        <v>0.0</v>
      </c>
      <c r="Y1977" s="135"/>
      <c r="Z1977" s="135" t="s">
        <v>2858</v>
      </c>
      <c r="AA1977" s="135"/>
      <c r="AB1977" s="135"/>
      <c r="AC1977" s="135"/>
      <c r="AD1977" s="135">
        <v>46154.0</v>
      </c>
      <c r="AE1977" s="135"/>
      <c r="AF1977" s="135"/>
      <c r="AG1977" s="135"/>
    </row>
    <row r="1978" ht="21.75" hidden="1" customHeight="1">
      <c r="A1978" s="135">
        <v>1974.0</v>
      </c>
      <c r="B1978" s="135">
        <v>25045.0</v>
      </c>
      <c r="C1978" s="135"/>
      <c r="D1978" s="135">
        <v>34.0</v>
      </c>
      <c r="E1978" s="135" t="s">
        <v>3910</v>
      </c>
      <c r="F1978" s="135" t="s">
        <v>1769</v>
      </c>
      <c r="G1978" s="135" t="s">
        <v>66</v>
      </c>
      <c r="H1978" s="135"/>
      <c r="I1978" s="135" t="s">
        <v>68</v>
      </c>
      <c r="J1978" s="135">
        <v>1.0</v>
      </c>
      <c r="K1978" s="135"/>
      <c r="L1978" s="135">
        <v>3000.0</v>
      </c>
      <c r="M1978" s="135">
        <v>1350.0</v>
      </c>
      <c r="N1978" s="135">
        <v>120.0</v>
      </c>
      <c r="O1978" s="135">
        <v>0.503</v>
      </c>
      <c r="P1978" s="136">
        <v>0.0</v>
      </c>
      <c r="Q1978" s="137">
        <v>1.2575</v>
      </c>
      <c r="R1978" s="136">
        <v>46128.0</v>
      </c>
      <c r="S1978" s="135" t="s">
        <v>3877</v>
      </c>
      <c r="T1978" s="136"/>
      <c r="U1978" s="135" t="s">
        <v>2864</v>
      </c>
      <c r="V1978" s="135" t="s">
        <v>2856</v>
      </c>
      <c r="W1978" s="135">
        <v>0.0</v>
      </c>
      <c r="X1978" s="135">
        <v>0.0</v>
      </c>
      <c r="Y1978" s="135"/>
      <c r="Z1978" s="135" t="s">
        <v>2858</v>
      </c>
      <c r="AA1978" s="135"/>
      <c r="AB1978" s="135"/>
      <c r="AC1978" s="135"/>
      <c r="AD1978" s="135">
        <v>46155.0</v>
      </c>
      <c r="AE1978" s="135"/>
      <c r="AF1978" s="135"/>
      <c r="AG1978" s="135"/>
    </row>
    <row r="1979" ht="21.75" hidden="1" customHeight="1">
      <c r="A1979" s="135">
        <v>1975.0</v>
      </c>
      <c r="B1979" s="135">
        <v>25045.0</v>
      </c>
      <c r="C1979" s="135"/>
      <c r="D1979" s="135">
        <v>34.0</v>
      </c>
      <c r="E1979" s="135" t="s">
        <v>3910</v>
      </c>
      <c r="F1979" s="135" t="s">
        <v>1770</v>
      </c>
      <c r="G1979" s="135" t="s">
        <v>66</v>
      </c>
      <c r="H1979" s="135"/>
      <c r="I1979" s="135" t="s">
        <v>68</v>
      </c>
      <c r="J1979" s="135">
        <v>1.0</v>
      </c>
      <c r="K1979" s="135"/>
      <c r="L1979" s="135">
        <v>4564.0</v>
      </c>
      <c r="M1979" s="135">
        <v>3370.0</v>
      </c>
      <c r="N1979" s="135">
        <v>120.0</v>
      </c>
      <c r="O1979" s="135">
        <v>1.86</v>
      </c>
      <c r="P1979" s="136">
        <v>0.0</v>
      </c>
      <c r="Q1979" s="137">
        <v>4.65</v>
      </c>
      <c r="R1979" s="136">
        <v>46128.0</v>
      </c>
      <c r="S1979" s="135" t="s">
        <v>3877</v>
      </c>
      <c r="T1979" s="136"/>
      <c r="U1979" s="135" t="s">
        <v>2855</v>
      </c>
      <c r="V1979" s="135" t="s">
        <v>2876</v>
      </c>
      <c r="W1979" s="135">
        <v>1800.0</v>
      </c>
      <c r="X1979" s="135">
        <v>0.0</v>
      </c>
      <c r="Y1979" s="135"/>
      <c r="Z1979" s="135" t="s">
        <v>2858</v>
      </c>
      <c r="AA1979" s="135"/>
      <c r="AB1979" s="135"/>
      <c r="AC1979" s="135"/>
      <c r="AD1979" s="135">
        <v>46150.0</v>
      </c>
      <c r="AE1979" s="135"/>
      <c r="AF1979" s="135"/>
      <c r="AG1979" s="135"/>
    </row>
    <row r="1980" ht="21.75" hidden="1" customHeight="1">
      <c r="A1980" s="135">
        <v>1976.0</v>
      </c>
      <c r="B1980" s="135">
        <v>25045.0</v>
      </c>
      <c r="C1980" s="135"/>
      <c r="D1980" s="135">
        <v>34.0</v>
      </c>
      <c r="E1980" s="135" t="s">
        <v>3910</v>
      </c>
      <c r="F1980" s="135" t="s">
        <v>1771</v>
      </c>
      <c r="G1980" s="135" t="s">
        <v>66</v>
      </c>
      <c r="H1980" s="135"/>
      <c r="I1980" s="135" t="s">
        <v>68</v>
      </c>
      <c r="J1980" s="135">
        <v>1.0</v>
      </c>
      <c r="K1980" s="135"/>
      <c r="L1980" s="135">
        <v>4785.0</v>
      </c>
      <c r="M1980" s="135">
        <v>3135.0</v>
      </c>
      <c r="N1980" s="135">
        <v>120.0</v>
      </c>
      <c r="O1980" s="135">
        <v>2.019</v>
      </c>
      <c r="P1980" s="136">
        <v>0.0</v>
      </c>
      <c r="Q1980" s="137">
        <v>5.0475</v>
      </c>
      <c r="R1980" s="136">
        <v>46128.0</v>
      </c>
      <c r="S1980" s="135" t="s">
        <v>3877</v>
      </c>
      <c r="T1980" s="136"/>
      <c r="U1980" s="135" t="s">
        <v>2855</v>
      </c>
      <c r="V1980" s="135" t="s">
        <v>2876</v>
      </c>
      <c r="W1980" s="135">
        <v>1800.0</v>
      </c>
      <c r="X1980" s="135">
        <v>0.0</v>
      </c>
      <c r="Y1980" s="135"/>
      <c r="Z1980" s="135" t="s">
        <v>2858</v>
      </c>
      <c r="AA1980" s="135"/>
      <c r="AB1980" s="135"/>
      <c r="AC1980" s="135"/>
      <c r="AD1980" s="135">
        <v>46151.0</v>
      </c>
      <c r="AE1980" s="135"/>
      <c r="AF1980" s="135"/>
      <c r="AG1980" s="135"/>
    </row>
    <row r="1981" ht="21.75" hidden="1" customHeight="1">
      <c r="A1981" s="135">
        <v>1977.0</v>
      </c>
      <c r="B1981" s="135">
        <v>25045.0</v>
      </c>
      <c r="C1981" s="135"/>
      <c r="D1981" s="135">
        <v>34.0</v>
      </c>
      <c r="E1981" s="135" t="s">
        <v>3910</v>
      </c>
      <c r="F1981" s="135" t="s">
        <v>1772</v>
      </c>
      <c r="G1981" s="135" t="s">
        <v>66</v>
      </c>
      <c r="H1981" s="135"/>
      <c r="I1981" s="135" t="s">
        <v>68</v>
      </c>
      <c r="J1981" s="135">
        <v>1.0</v>
      </c>
      <c r="K1981" s="135"/>
      <c r="L1981" s="135">
        <v>4785.0</v>
      </c>
      <c r="M1981" s="135">
        <v>3135.0</v>
      </c>
      <c r="N1981" s="135">
        <v>120.0</v>
      </c>
      <c r="O1981" s="135">
        <v>2.02</v>
      </c>
      <c r="P1981" s="136">
        <v>0.0</v>
      </c>
      <c r="Q1981" s="137">
        <v>5.05</v>
      </c>
      <c r="R1981" s="136">
        <v>46128.0</v>
      </c>
      <c r="S1981" s="135" t="s">
        <v>3877</v>
      </c>
      <c r="T1981" s="136"/>
      <c r="U1981" s="135" t="s">
        <v>2855</v>
      </c>
      <c r="V1981" s="135" t="s">
        <v>2876</v>
      </c>
      <c r="W1981" s="135">
        <v>1800.0</v>
      </c>
      <c r="X1981" s="135">
        <v>0.0</v>
      </c>
      <c r="Y1981" s="135"/>
      <c r="Z1981" s="135" t="s">
        <v>2858</v>
      </c>
      <c r="AA1981" s="135"/>
      <c r="AB1981" s="135"/>
      <c r="AC1981" s="135"/>
      <c r="AD1981" s="135">
        <v>46153.0</v>
      </c>
      <c r="AE1981" s="135"/>
      <c r="AF1981" s="135"/>
      <c r="AG1981" s="135"/>
    </row>
    <row r="1982" ht="21.75" hidden="1" customHeight="1">
      <c r="A1982" s="135">
        <v>1978.0</v>
      </c>
      <c r="B1982" s="135">
        <v>25045.0</v>
      </c>
      <c r="C1982" s="135"/>
      <c r="D1982" s="135">
        <v>34.0</v>
      </c>
      <c r="E1982" s="135" t="s">
        <v>3910</v>
      </c>
      <c r="F1982" s="135" t="s">
        <v>1773</v>
      </c>
      <c r="G1982" s="135" t="s">
        <v>66</v>
      </c>
      <c r="H1982" s="135"/>
      <c r="I1982" s="135" t="s">
        <v>68</v>
      </c>
      <c r="J1982" s="135">
        <v>1.0</v>
      </c>
      <c r="K1982" s="135"/>
      <c r="L1982" s="135">
        <v>4785.0</v>
      </c>
      <c r="M1982" s="135">
        <v>3135.0</v>
      </c>
      <c r="N1982" s="135">
        <v>120.0</v>
      </c>
      <c r="O1982" s="135">
        <v>2.02</v>
      </c>
      <c r="P1982" s="136">
        <v>0.0</v>
      </c>
      <c r="Q1982" s="137">
        <v>5.05</v>
      </c>
      <c r="R1982" s="136">
        <v>46128.0</v>
      </c>
      <c r="S1982" s="135" t="s">
        <v>3877</v>
      </c>
      <c r="T1982" s="136"/>
      <c r="U1982" s="135" t="s">
        <v>2855</v>
      </c>
      <c r="V1982" s="135" t="s">
        <v>2876</v>
      </c>
      <c r="W1982" s="135">
        <v>1800.0</v>
      </c>
      <c r="X1982" s="135">
        <v>0.0</v>
      </c>
      <c r="Y1982" s="135"/>
      <c r="Z1982" s="135" t="s">
        <v>2858</v>
      </c>
      <c r="AA1982" s="135"/>
      <c r="AB1982" s="135"/>
      <c r="AC1982" s="135"/>
      <c r="AD1982" s="135">
        <v>46150.0</v>
      </c>
      <c r="AE1982" s="135"/>
      <c r="AF1982" s="135"/>
      <c r="AG1982" s="135"/>
    </row>
    <row r="1983" ht="21.75" hidden="1" customHeight="1">
      <c r="A1983" s="135">
        <v>1979.0</v>
      </c>
      <c r="B1983" s="135">
        <v>25045.0</v>
      </c>
      <c r="C1983" s="135"/>
      <c r="D1983" s="135">
        <v>34.0</v>
      </c>
      <c r="E1983" s="135" t="s">
        <v>3910</v>
      </c>
      <c r="F1983" s="135" t="s">
        <v>1774</v>
      </c>
      <c r="G1983" s="135" t="s">
        <v>66</v>
      </c>
      <c r="H1983" s="135"/>
      <c r="I1983" s="135" t="s">
        <v>68</v>
      </c>
      <c r="J1983" s="135">
        <v>1.0</v>
      </c>
      <c r="K1983" s="135"/>
      <c r="L1983" s="135">
        <v>4785.0</v>
      </c>
      <c r="M1983" s="135">
        <v>3135.0</v>
      </c>
      <c r="N1983" s="135">
        <v>120.0</v>
      </c>
      <c r="O1983" s="135">
        <v>2.02</v>
      </c>
      <c r="P1983" s="136">
        <v>0.0</v>
      </c>
      <c r="Q1983" s="137">
        <v>5.05</v>
      </c>
      <c r="R1983" s="136">
        <v>46128.0</v>
      </c>
      <c r="S1983" s="135" t="s">
        <v>3877</v>
      </c>
      <c r="T1983" s="136"/>
      <c r="U1983" s="135" t="s">
        <v>2855</v>
      </c>
      <c r="V1983" s="135" t="s">
        <v>2876</v>
      </c>
      <c r="W1983" s="135">
        <v>1800.0</v>
      </c>
      <c r="X1983" s="135">
        <v>0.0</v>
      </c>
      <c r="Y1983" s="135"/>
      <c r="Z1983" s="135" t="s">
        <v>2858</v>
      </c>
      <c r="AA1983" s="135"/>
      <c r="AB1983" s="135"/>
      <c r="AC1983" s="135"/>
      <c r="AD1983" s="135">
        <v>46151.0</v>
      </c>
      <c r="AE1983" s="135"/>
      <c r="AF1983" s="135"/>
      <c r="AG1983" s="135"/>
    </row>
    <row r="1984" ht="21.75" hidden="1" customHeight="1">
      <c r="A1984" s="135">
        <v>1980.0</v>
      </c>
      <c r="B1984" s="135">
        <v>25045.0</v>
      </c>
      <c r="C1984" s="135"/>
      <c r="D1984" s="135">
        <v>34.0</v>
      </c>
      <c r="E1984" s="135" t="s">
        <v>3910</v>
      </c>
      <c r="F1984" s="135" t="s">
        <v>1775</v>
      </c>
      <c r="G1984" s="135" t="s">
        <v>66</v>
      </c>
      <c r="H1984" s="135"/>
      <c r="I1984" s="135" t="s">
        <v>68</v>
      </c>
      <c r="J1984" s="135">
        <v>1.0</v>
      </c>
      <c r="K1984" s="135"/>
      <c r="L1984" s="135">
        <v>4785.0</v>
      </c>
      <c r="M1984" s="135">
        <v>3130.0</v>
      </c>
      <c r="N1984" s="135">
        <v>120.0</v>
      </c>
      <c r="O1984" s="135">
        <v>1.664</v>
      </c>
      <c r="P1984" s="136">
        <v>0.0</v>
      </c>
      <c r="Q1984" s="137">
        <v>4.16</v>
      </c>
      <c r="R1984" s="136">
        <v>46128.0</v>
      </c>
      <c r="S1984" s="135" t="s">
        <v>3877</v>
      </c>
      <c r="T1984" s="136"/>
      <c r="U1984" s="135" t="s">
        <v>2864</v>
      </c>
      <c r="V1984" s="135" t="s">
        <v>2985</v>
      </c>
      <c r="W1984" s="135">
        <v>0.0</v>
      </c>
      <c r="X1984" s="135" t="s">
        <v>3764</v>
      </c>
      <c r="Y1984" s="135"/>
      <c r="Z1984" s="135" t="s">
        <v>2858</v>
      </c>
      <c r="AA1984" s="135"/>
      <c r="AB1984" s="135"/>
      <c r="AC1984" s="135"/>
      <c r="AD1984" s="135">
        <v>0.0</v>
      </c>
      <c r="AE1984" s="135"/>
      <c r="AF1984" s="135"/>
      <c r="AG1984" s="135"/>
    </row>
    <row r="1985" ht="21.75" hidden="1" customHeight="1">
      <c r="A1985" s="135">
        <v>1981.0</v>
      </c>
      <c r="B1985" s="135">
        <v>25045.0</v>
      </c>
      <c r="C1985" s="135"/>
      <c r="D1985" s="135">
        <v>34.0</v>
      </c>
      <c r="E1985" s="135" t="s">
        <v>3910</v>
      </c>
      <c r="F1985" s="135" t="s">
        <v>1776</v>
      </c>
      <c r="G1985" s="135" t="s">
        <v>66</v>
      </c>
      <c r="H1985" s="135"/>
      <c r="I1985" s="135" t="s">
        <v>68</v>
      </c>
      <c r="J1985" s="135">
        <v>1.0</v>
      </c>
      <c r="K1985" s="135"/>
      <c r="L1985" s="135">
        <v>4621.0</v>
      </c>
      <c r="M1985" s="135">
        <v>3320.0</v>
      </c>
      <c r="N1985" s="135">
        <v>120.0</v>
      </c>
      <c r="O1985" s="135">
        <v>1.879</v>
      </c>
      <c r="P1985" s="136">
        <v>0.0</v>
      </c>
      <c r="Q1985" s="137">
        <v>4.6975</v>
      </c>
      <c r="R1985" s="136">
        <v>46128.0</v>
      </c>
      <c r="S1985" s="135" t="s">
        <v>3877</v>
      </c>
      <c r="T1985" s="136"/>
      <c r="U1985" s="135" t="s">
        <v>2864</v>
      </c>
      <c r="V1985" s="135" t="s">
        <v>2890</v>
      </c>
      <c r="W1985" s="135">
        <v>0.0</v>
      </c>
      <c r="X1985" s="135" t="s">
        <v>3586</v>
      </c>
      <c r="Y1985" s="135"/>
      <c r="Z1985" s="135" t="s">
        <v>2858</v>
      </c>
      <c r="AA1985" s="135"/>
      <c r="AB1985" s="135"/>
      <c r="AC1985" s="135"/>
      <c r="AD1985" s="135">
        <v>46153.0</v>
      </c>
      <c r="AE1985" s="135"/>
      <c r="AF1985" s="135"/>
      <c r="AG1985" s="135"/>
    </row>
    <row r="1986" ht="21.75" hidden="1" customHeight="1">
      <c r="A1986" s="135">
        <v>1982.0</v>
      </c>
      <c r="B1986" s="135">
        <v>25045.0</v>
      </c>
      <c r="C1986" s="135"/>
      <c r="D1986" s="135">
        <v>34.0</v>
      </c>
      <c r="E1986" s="135" t="s">
        <v>3910</v>
      </c>
      <c r="F1986" s="135" t="s">
        <v>1777</v>
      </c>
      <c r="G1986" s="135" t="s">
        <v>66</v>
      </c>
      <c r="H1986" s="135"/>
      <c r="I1986" s="135" t="s">
        <v>68</v>
      </c>
      <c r="J1986" s="135">
        <v>1.0</v>
      </c>
      <c r="K1986" s="135"/>
      <c r="L1986" s="135">
        <v>4621.0</v>
      </c>
      <c r="M1986" s="135">
        <v>3330.0</v>
      </c>
      <c r="N1986" s="135">
        <v>120.0</v>
      </c>
      <c r="O1986" s="135">
        <v>2.218</v>
      </c>
      <c r="P1986" s="136">
        <v>0.0</v>
      </c>
      <c r="Q1986" s="137">
        <v>5.545</v>
      </c>
      <c r="R1986" s="136">
        <v>46128.0</v>
      </c>
      <c r="S1986" s="135" t="s">
        <v>3877</v>
      </c>
      <c r="T1986" s="136"/>
      <c r="U1986" s="135" t="s">
        <v>2855</v>
      </c>
      <c r="V1986" s="135" t="s">
        <v>2878</v>
      </c>
      <c r="W1986" s="135">
        <v>1800.0</v>
      </c>
      <c r="X1986" s="135">
        <v>0.0</v>
      </c>
      <c r="Y1986" s="135"/>
      <c r="Z1986" s="135" t="s">
        <v>2858</v>
      </c>
      <c r="AA1986" s="135"/>
      <c r="AB1986" s="135"/>
      <c r="AC1986" s="135"/>
      <c r="AD1986" s="135">
        <v>46148.0</v>
      </c>
      <c r="AE1986" s="135"/>
      <c r="AF1986" s="135"/>
      <c r="AG1986" s="135"/>
    </row>
    <row r="1987" ht="21.75" hidden="1" customHeight="1">
      <c r="A1987" s="135">
        <v>1983.0</v>
      </c>
      <c r="B1987" s="135">
        <v>25045.0</v>
      </c>
      <c r="C1987" s="135"/>
      <c r="D1987" s="135">
        <v>34.0</v>
      </c>
      <c r="E1987" s="135" t="s">
        <v>3910</v>
      </c>
      <c r="F1987" s="135" t="s">
        <v>1778</v>
      </c>
      <c r="G1987" s="135" t="s">
        <v>66</v>
      </c>
      <c r="H1987" s="135"/>
      <c r="I1987" s="135" t="s">
        <v>68</v>
      </c>
      <c r="J1987" s="135">
        <v>1.0</v>
      </c>
      <c r="K1987" s="135"/>
      <c r="L1987" s="135">
        <v>4621.0</v>
      </c>
      <c r="M1987" s="135">
        <v>3330.0</v>
      </c>
      <c r="N1987" s="135">
        <v>120.0</v>
      </c>
      <c r="O1987" s="135">
        <v>2.218</v>
      </c>
      <c r="P1987" s="136">
        <v>0.0</v>
      </c>
      <c r="Q1987" s="137">
        <v>5.545</v>
      </c>
      <c r="R1987" s="136">
        <v>46128.0</v>
      </c>
      <c r="S1987" s="135" t="s">
        <v>3877</v>
      </c>
      <c r="T1987" s="136"/>
      <c r="U1987" s="135" t="s">
        <v>2855</v>
      </c>
      <c r="V1987" s="135" t="s">
        <v>2878</v>
      </c>
      <c r="W1987" s="135">
        <v>1800.0</v>
      </c>
      <c r="X1987" s="135">
        <v>0.0</v>
      </c>
      <c r="Y1987" s="135"/>
      <c r="Z1987" s="135" t="s">
        <v>2858</v>
      </c>
      <c r="AA1987" s="135"/>
      <c r="AB1987" s="135"/>
      <c r="AC1987" s="135"/>
      <c r="AD1987" s="135">
        <v>46148.0</v>
      </c>
      <c r="AE1987" s="135"/>
      <c r="AF1987" s="135"/>
      <c r="AG1987" s="135"/>
    </row>
    <row r="1988" ht="21.75" hidden="1" customHeight="1">
      <c r="A1988" s="135">
        <v>1984.0</v>
      </c>
      <c r="B1988" s="135">
        <v>25045.0</v>
      </c>
      <c r="C1988" s="135"/>
      <c r="D1988" s="135">
        <v>34.0</v>
      </c>
      <c r="E1988" s="135" t="s">
        <v>3910</v>
      </c>
      <c r="F1988" s="135" t="s">
        <v>1779</v>
      </c>
      <c r="G1988" s="135" t="s">
        <v>66</v>
      </c>
      <c r="H1988" s="135"/>
      <c r="I1988" s="135" t="s">
        <v>68</v>
      </c>
      <c r="J1988" s="135">
        <v>1.0</v>
      </c>
      <c r="K1988" s="135"/>
      <c r="L1988" s="135">
        <v>4621.0</v>
      </c>
      <c r="M1988" s="135">
        <v>3330.0</v>
      </c>
      <c r="N1988" s="135">
        <v>120.0</v>
      </c>
      <c r="O1988" s="135">
        <v>2.218</v>
      </c>
      <c r="P1988" s="136">
        <v>0.0</v>
      </c>
      <c r="Q1988" s="137">
        <v>5.545</v>
      </c>
      <c r="R1988" s="136">
        <v>46128.0</v>
      </c>
      <c r="S1988" s="135" t="s">
        <v>3877</v>
      </c>
      <c r="T1988" s="136"/>
      <c r="U1988" s="135" t="s">
        <v>2855</v>
      </c>
      <c r="V1988" s="135" t="s">
        <v>2878</v>
      </c>
      <c r="W1988" s="135">
        <v>1800.0</v>
      </c>
      <c r="X1988" s="135">
        <v>0.0</v>
      </c>
      <c r="Y1988" s="135"/>
      <c r="Z1988" s="135" t="s">
        <v>2858</v>
      </c>
      <c r="AA1988" s="135"/>
      <c r="AB1988" s="135"/>
      <c r="AC1988" s="135"/>
      <c r="AD1988" s="135">
        <v>46148.0</v>
      </c>
      <c r="AE1988" s="135"/>
      <c r="AF1988" s="135"/>
      <c r="AG1988" s="135"/>
    </row>
    <row r="1989" ht="21.75" hidden="1" customHeight="1">
      <c r="A1989" s="135">
        <v>1985.0</v>
      </c>
      <c r="B1989" s="135">
        <v>25045.0</v>
      </c>
      <c r="C1989" s="135"/>
      <c r="D1989" s="135">
        <v>34.0</v>
      </c>
      <c r="E1989" s="135" t="s">
        <v>3910</v>
      </c>
      <c r="F1989" s="135" t="s">
        <v>1780</v>
      </c>
      <c r="G1989" s="135" t="s">
        <v>66</v>
      </c>
      <c r="H1989" s="135"/>
      <c r="I1989" s="135" t="s">
        <v>68</v>
      </c>
      <c r="J1989" s="135">
        <v>1.0</v>
      </c>
      <c r="K1989" s="135"/>
      <c r="L1989" s="135">
        <v>5015.0</v>
      </c>
      <c r="M1989" s="135">
        <v>3320.0</v>
      </c>
      <c r="N1989" s="135">
        <v>120.0</v>
      </c>
      <c r="O1989" s="135">
        <v>2.334</v>
      </c>
      <c r="P1989" s="136">
        <v>0.0</v>
      </c>
      <c r="Q1989" s="137">
        <v>5.835</v>
      </c>
      <c r="R1989" s="136">
        <v>46128.0</v>
      </c>
      <c r="S1989" s="135" t="s">
        <v>3877</v>
      </c>
      <c r="T1989" s="136"/>
      <c r="U1989" s="135" t="s">
        <v>2855</v>
      </c>
      <c r="V1989" s="135" t="s">
        <v>2878</v>
      </c>
      <c r="W1989" s="135">
        <v>2500.0</v>
      </c>
      <c r="X1989" s="135">
        <v>0.0</v>
      </c>
      <c r="Y1989" s="135"/>
      <c r="Z1989" s="135" t="s">
        <v>2858</v>
      </c>
      <c r="AA1989" s="135"/>
      <c r="AB1989" s="135"/>
      <c r="AC1989" s="135"/>
      <c r="AD1989" s="135">
        <v>46150.0</v>
      </c>
      <c r="AE1989" s="135"/>
      <c r="AF1989" s="135"/>
      <c r="AG1989" s="135"/>
    </row>
    <row r="1990" ht="21.75" hidden="1" customHeight="1">
      <c r="A1990" s="135">
        <v>1986.0</v>
      </c>
      <c r="B1990" s="135">
        <v>25045.0</v>
      </c>
      <c r="C1990" s="135"/>
      <c r="D1990" s="135">
        <v>34.0</v>
      </c>
      <c r="E1990" s="135" t="s">
        <v>3910</v>
      </c>
      <c r="F1990" s="135" t="s">
        <v>1781</v>
      </c>
      <c r="G1990" s="135" t="s">
        <v>66</v>
      </c>
      <c r="H1990" s="135"/>
      <c r="I1990" s="135" t="s">
        <v>68</v>
      </c>
      <c r="J1990" s="135">
        <v>1.0</v>
      </c>
      <c r="K1990" s="135"/>
      <c r="L1990" s="135">
        <v>2770.0</v>
      </c>
      <c r="M1990" s="135">
        <v>1670.0</v>
      </c>
      <c r="N1990" s="135">
        <v>120.0</v>
      </c>
      <c r="O1990" s="135">
        <v>0.58</v>
      </c>
      <c r="P1990" s="136">
        <v>0.0</v>
      </c>
      <c r="Q1990" s="137">
        <v>1.45</v>
      </c>
      <c r="R1990" s="136">
        <v>46128.0</v>
      </c>
      <c r="S1990" s="135" t="s">
        <v>3877</v>
      </c>
      <c r="T1990" s="136"/>
      <c r="U1990" s="135" t="s">
        <v>2864</v>
      </c>
      <c r="V1990" s="135" t="s">
        <v>2951</v>
      </c>
      <c r="W1990" s="135">
        <v>0.0</v>
      </c>
      <c r="X1990" s="135">
        <v>0.0</v>
      </c>
      <c r="Y1990" s="135"/>
      <c r="Z1990" s="135" t="s">
        <v>2858</v>
      </c>
      <c r="AA1990" s="135"/>
      <c r="AB1990" s="135"/>
      <c r="AC1990" s="135"/>
      <c r="AD1990" s="135">
        <v>0.0</v>
      </c>
      <c r="AE1990" s="135"/>
      <c r="AF1990" s="135"/>
      <c r="AG1990" s="135"/>
    </row>
    <row r="1991" ht="21.75" hidden="1" customHeight="1">
      <c r="A1991" s="135">
        <v>1987.0</v>
      </c>
      <c r="B1991" s="135">
        <v>25045.0</v>
      </c>
      <c r="C1991" s="135"/>
      <c r="D1991" s="135">
        <v>34.0</v>
      </c>
      <c r="E1991" s="135" t="s">
        <v>3910</v>
      </c>
      <c r="F1991" s="135" t="s">
        <v>1782</v>
      </c>
      <c r="G1991" s="135" t="s">
        <v>66</v>
      </c>
      <c r="H1991" s="135"/>
      <c r="I1991" s="135" t="s">
        <v>68</v>
      </c>
      <c r="J1991" s="135">
        <v>1.0</v>
      </c>
      <c r="K1991" s="135"/>
      <c r="L1991" s="135">
        <v>2620.0</v>
      </c>
      <c r="M1991" s="135">
        <v>1560.0</v>
      </c>
      <c r="N1991" s="135">
        <v>120.0</v>
      </c>
      <c r="O1991" s="135">
        <v>0.53</v>
      </c>
      <c r="P1991" s="136">
        <v>0.0</v>
      </c>
      <c r="Q1991" s="137">
        <v>1.3250000000000002</v>
      </c>
      <c r="R1991" s="136">
        <v>46128.0</v>
      </c>
      <c r="S1991" s="135" t="s">
        <v>3877</v>
      </c>
      <c r="T1991" s="136"/>
      <c r="U1991" s="135" t="s">
        <v>2864</v>
      </c>
      <c r="V1991" s="135" t="s">
        <v>2951</v>
      </c>
      <c r="W1991" s="135">
        <v>0.0</v>
      </c>
      <c r="X1991" s="135">
        <v>0.0</v>
      </c>
      <c r="Y1991" s="135"/>
      <c r="Z1991" s="135" t="s">
        <v>2858</v>
      </c>
      <c r="AA1991" s="135"/>
      <c r="AB1991" s="135"/>
      <c r="AC1991" s="135"/>
      <c r="AD1991" s="135">
        <v>0.0</v>
      </c>
      <c r="AE1991" s="135"/>
      <c r="AF1991" s="135"/>
      <c r="AG1991" s="135"/>
    </row>
    <row r="1992" ht="21.75" hidden="1" customHeight="1">
      <c r="A1992" s="135">
        <v>1988.0</v>
      </c>
      <c r="B1992" s="135">
        <v>25045.0</v>
      </c>
      <c r="C1992" s="135"/>
      <c r="D1992" s="135">
        <v>34.0</v>
      </c>
      <c r="E1992" s="135" t="s">
        <v>3910</v>
      </c>
      <c r="F1992" s="135" t="s">
        <v>1783</v>
      </c>
      <c r="G1992" s="135" t="s">
        <v>66</v>
      </c>
      <c r="H1992" s="135"/>
      <c r="I1992" s="135" t="s">
        <v>68</v>
      </c>
      <c r="J1992" s="135">
        <v>1.0</v>
      </c>
      <c r="K1992" s="135"/>
      <c r="L1992" s="135">
        <v>2620.0</v>
      </c>
      <c r="M1992" s="135">
        <v>1567.0</v>
      </c>
      <c r="N1992" s="135">
        <v>120.0</v>
      </c>
      <c r="O1992" s="135">
        <v>0.53</v>
      </c>
      <c r="P1992" s="136">
        <v>0.0</v>
      </c>
      <c r="Q1992" s="137">
        <v>1.3250000000000002</v>
      </c>
      <c r="R1992" s="136">
        <v>46128.0</v>
      </c>
      <c r="S1992" s="135" t="s">
        <v>3877</v>
      </c>
      <c r="T1992" s="136"/>
      <c r="U1992" s="135" t="s">
        <v>2864</v>
      </c>
      <c r="V1992" s="135" t="s">
        <v>2951</v>
      </c>
      <c r="W1992" s="135">
        <v>0.0</v>
      </c>
      <c r="X1992" s="135">
        <v>0.0</v>
      </c>
      <c r="Y1992" s="135"/>
      <c r="Z1992" s="135" t="s">
        <v>2858</v>
      </c>
      <c r="AA1992" s="135"/>
      <c r="AB1992" s="135"/>
      <c r="AC1992" s="135"/>
      <c r="AD1992" s="135">
        <v>0.0</v>
      </c>
      <c r="AE1992" s="135"/>
      <c r="AF1992" s="135"/>
      <c r="AG1992" s="135"/>
    </row>
    <row r="1993" ht="21.75" hidden="1" customHeight="1">
      <c r="A1993" s="135">
        <v>1989.0</v>
      </c>
      <c r="B1993" s="135">
        <v>25045.0</v>
      </c>
      <c r="C1993" s="135"/>
      <c r="D1993" s="135">
        <v>34.0</v>
      </c>
      <c r="E1993" s="135" t="s">
        <v>3910</v>
      </c>
      <c r="F1993" s="135" t="s">
        <v>1784</v>
      </c>
      <c r="G1993" s="135" t="s">
        <v>66</v>
      </c>
      <c r="H1993" s="135"/>
      <c r="I1993" s="135" t="s">
        <v>68</v>
      </c>
      <c r="J1993" s="135">
        <v>1.0</v>
      </c>
      <c r="K1993" s="135"/>
      <c r="L1993" s="135">
        <v>4080.0</v>
      </c>
      <c r="M1993" s="135">
        <v>1000.0</v>
      </c>
      <c r="N1993" s="135">
        <v>120.0</v>
      </c>
      <c r="O1993" s="135">
        <v>0.805</v>
      </c>
      <c r="P1993" s="136">
        <v>0.0</v>
      </c>
      <c r="Q1993" s="137">
        <v>2.0125</v>
      </c>
      <c r="R1993" s="136">
        <v>46128.0</v>
      </c>
      <c r="S1993" s="135" t="s">
        <v>3877</v>
      </c>
      <c r="T1993" s="136"/>
      <c r="U1993" s="135" t="s">
        <v>2950</v>
      </c>
      <c r="V1993" s="135" t="s">
        <v>2980</v>
      </c>
      <c r="W1993" s="135">
        <v>0.0</v>
      </c>
      <c r="X1993" s="135">
        <v>0.0</v>
      </c>
      <c r="Y1993" s="135"/>
      <c r="Z1993" s="135" t="s">
        <v>2858</v>
      </c>
      <c r="AA1993" s="135"/>
      <c r="AB1993" s="135"/>
      <c r="AC1993" s="135"/>
      <c r="AD1993" s="135">
        <v>46147.0</v>
      </c>
      <c r="AE1993" s="135"/>
      <c r="AF1993" s="135"/>
      <c r="AG1993" s="135"/>
    </row>
    <row r="1994" ht="21.75" hidden="1" customHeight="1">
      <c r="A1994" s="135">
        <v>1990.0</v>
      </c>
      <c r="B1994" s="135">
        <v>25045.0</v>
      </c>
      <c r="C1994" s="135"/>
      <c r="D1994" s="135">
        <v>34.0</v>
      </c>
      <c r="E1994" s="135" t="s">
        <v>3910</v>
      </c>
      <c r="F1994" s="135" t="s">
        <v>1785</v>
      </c>
      <c r="G1994" s="135" t="s">
        <v>66</v>
      </c>
      <c r="H1994" s="135"/>
      <c r="I1994" s="135" t="s">
        <v>68</v>
      </c>
      <c r="J1994" s="135">
        <v>1.0</v>
      </c>
      <c r="K1994" s="135"/>
      <c r="L1994" s="135">
        <v>750.0</v>
      </c>
      <c r="M1994" s="135">
        <v>3270.0</v>
      </c>
      <c r="N1994" s="135">
        <v>350.0</v>
      </c>
      <c r="O1994" s="135">
        <v>0.563</v>
      </c>
      <c r="P1994" s="136">
        <v>0.0</v>
      </c>
      <c r="Q1994" s="137">
        <v>1.4074999999999998</v>
      </c>
      <c r="R1994" s="136">
        <v>46128.0</v>
      </c>
      <c r="S1994" s="135" t="s">
        <v>3877</v>
      </c>
      <c r="T1994" s="136"/>
      <c r="U1994" s="135" t="s">
        <v>2966</v>
      </c>
      <c r="V1994" s="135" t="s">
        <v>2967</v>
      </c>
      <c r="W1994" s="135">
        <v>0.0</v>
      </c>
      <c r="X1994" s="135">
        <v>0.0</v>
      </c>
      <c r="Y1994" s="135"/>
      <c r="Z1994" s="135" t="s">
        <v>2858</v>
      </c>
      <c r="AA1994" s="135"/>
      <c r="AB1994" s="135"/>
      <c r="AC1994" s="135"/>
      <c r="AD1994" s="135">
        <v>0.0</v>
      </c>
      <c r="AE1994" s="135"/>
      <c r="AF1994" s="135"/>
      <c r="AG1994" s="135"/>
    </row>
    <row r="1995" ht="21.75" hidden="1" customHeight="1">
      <c r="A1995" s="135">
        <v>1991.0</v>
      </c>
      <c r="B1995" s="135">
        <v>25045.0</v>
      </c>
      <c r="C1995" s="135"/>
      <c r="D1995" s="135">
        <v>34.0</v>
      </c>
      <c r="E1995" s="135" t="s">
        <v>3911</v>
      </c>
      <c r="F1995" s="135" t="s">
        <v>1786</v>
      </c>
      <c r="G1995" s="135" t="s">
        <v>66</v>
      </c>
      <c r="H1995" s="135"/>
      <c r="I1995" s="135" t="s">
        <v>69</v>
      </c>
      <c r="J1995" s="135">
        <v>1.0</v>
      </c>
      <c r="K1995" s="135"/>
      <c r="L1995" s="135">
        <v>3000.0</v>
      </c>
      <c r="M1995" s="135">
        <v>1680.0</v>
      </c>
      <c r="N1995" s="135">
        <v>120.0</v>
      </c>
      <c r="O1995" s="135">
        <v>0.582</v>
      </c>
      <c r="P1995" s="136">
        <v>0.0</v>
      </c>
      <c r="Q1995" s="137">
        <v>1.4549999999999998</v>
      </c>
      <c r="R1995" s="136">
        <v>46128.0</v>
      </c>
      <c r="S1995" s="135" t="s">
        <v>3877</v>
      </c>
      <c r="T1995" s="136"/>
      <c r="U1995" s="135" t="s">
        <v>2864</v>
      </c>
      <c r="V1995" s="135" t="s">
        <v>2856</v>
      </c>
      <c r="W1995" s="135">
        <v>0.0</v>
      </c>
      <c r="X1995" s="135">
        <v>0.0</v>
      </c>
      <c r="Y1995" s="135"/>
      <c r="Z1995" s="135" t="s">
        <v>2858</v>
      </c>
      <c r="AA1995" s="135"/>
      <c r="AB1995" s="135"/>
      <c r="AC1995" s="135"/>
      <c r="AD1995" s="135">
        <v>46153.0</v>
      </c>
      <c r="AE1995" s="135"/>
      <c r="AF1995" s="135"/>
      <c r="AG1995" s="135"/>
    </row>
    <row r="1996" ht="21.75" hidden="1" customHeight="1">
      <c r="A1996" s="135">
        <v>1992.0</v>
      </c>
      <c r="B1996" s="135">
        <v>25045.0</v>
      </c>
      <c r="C1996" s="135"/>
      <c r="D1996" s="135">
        <v>34.0</v>
      </c>
      <c r="E1996" s="135" t="s">
        <v>3911</v>
      </c>
      <c r="F1996" s="135" t="s">
        <v>1787</v>
      </c>
      <c r="G1996" s="135" t="s">
        <v>66</v>
      </c>
      <c r="H1996" s="135"/>
      <c r="I1996" s="135" t="s">
        <v>69</v>
      </c>
      <c r="J1996" s="135">
        <v>1.0</v>
      </c>
      <c r="K1996" s="135"/>
      <c r="L1996" s="135">
        <v>3000.0</v>
      </c>
      <c r="M1996" s="135">
        <v>1680.0</v>
      </c>
      <c r="N1996" s="135">
        <v>120.0</v>
      </c>
      <c r="O1996" s="135">
        <v>0.582</v>
      </c>
      <c r="P1996" s="136">
        <v>0.0</v>
      </c>
      <c r="Q1996" s="137">
        <v>1.4549999999999998</v>
      </c>
      <c r="R1996" s="136">
        <v>46128.0</v>
      </c>
      <c r="S1996" s="135" t="s">
        <v>3877</v>
      </c>
      <c r="T1996" s="136"/>
      <c r="U1996" s="135" t="s">
        <v>2864</v>
      </c>
      <c r="V1996" s="135" t="s">
        <v>2856</v>
      </c>
      <c r="W1996" s="135">
        <v>0.0</v>
      </c>
      <c r="X1996" s="135">
        <v>0.0</v>
      </c>
      <c r="Y1996" s="135"/>
      <c r="Z1996" s="135" t="s">
        <v>2858</v>
      </c>
      <c r="AA1996" s="135"/>
      <c r="AB1996" s="135"/>
      <c r="AC1996" s="135"/>
      <c r="AD1996" s="135">
        <v>46154.0</v>
      </c>
      <c r="AE1996" s="135"/>
      <c r="AF1996" s="135"/>
      <c r="AG1996" s="135"/>
    </row>
    <row r="1997" ht="21.75" hidden="1" customHeight="1">
      <c r="A1997" s="135">
        <v>1993.0</v>
      </c>
      <c r="B1997" s="135">
        <v>25045.0</v>
      </c>
      <c r="C1997" s="135"/>
      <c r="D1997" s="135">
        <v>34.0</v>
      </c>
      <c r="E1997" s="135" t="s">
        <v>3911</v>
      </c>
      <c r="F1997" s="135" t="s">
        <v>1788</v>
      </c>
      <c r="G1997" s="135" t="s">
        <v>66</v>
      </c>
      <c r="H1997" s="135"/>
      <c r="I1997" s="135" t="s">
        <v>69</v>
      </c>
      <c r="J1997" s="135">
        <v>1.0</v>
      </c>
      <c r="K1997" s="135"/>
      <c r="L1997" s="135">
        <v>3000.0</v>
      </c>
      <c r="M1997" s="135">
        <v>1680.0</v>
      </c>
      <c r="N1997" s="135">
        <v>120.0</v>
      </c>
      <c r="O1997" s="135">
        <v>0.582</v>
      </c>
      <c r="P1997" s="136">
        <v>0.0</v>
      </c>
      <c r="Q1997" s="137">
        <v>1.4549999999999998</v>
      </c>
      <c r="R1997" s="136">
        <v>46128.0</v>
      </c>
      <c r="S1997" s="135" t="s">
        <v>3877</v>
      </c>
      <c r="T1997" s="136"/>
      <c r="U1997" s="135" t="s">
        <v>2864</v>
      </c>
      <c r="V1997" s="135" t="s">
        <v>2856</v>
      </c>
      <c r="W1997" s="135">
        <v>0.0</v>
      </c>
      <c r="X1997" s="135">
        <v>0.0</v>
      </c>
      <c r="Y1997" s="135"/>
      <c r="Z1997" s="135" t="s">
        <v>2858</v>
      </c>
      <c r="AA1997" s="135"/>
      <c r="AB1997" s="135"/>
      <c r="AC1997" s="135"/>
      <c r="AD1997" s="135">
        <v>0.0</v>
      </c>
      <c r="AE1997" s="135"/>
      <c r="AF1997" s="135"/>
      <c r="AG1997" s="135"/>
    </row>
    <row r="1998" ht="21.75" hidden="1" customHeight="1">
      <c r="A1998" s="135">
        <v>1994.0</v>
      </c>
      <c r="B1998" s="135">
        <v>25045.0</v>
      </c>
      <c r="C1998" s="135"/>
      <c r="D1998" s="135">
        <v>34.0</v>
      </c>
      <c r="E1998" s="135" t="s">
        <v>3911</v>
      </c>
      <c r="F1998" s="135" t="s">
        <v>1789</v>
      </c>
      <c r="G1998" s="135" t="s">
        <v>66</v>
      </c>
      <c r="H1998" s="135"/>
      <c r="I1998" s="135" t="s">
        <v>69</v>
      </c>
      <c r="J1998" s="135">
        <v>1.0</v>
      </c>
      <c r="K1998" s="135"/>
      <c r="L1998" s="135">
        <v>4643.0</v>
      </c>
      <c r="M1998" s="135">
        <v>1680.0</v>
      </c>
      <c r="N1998" s="135">
        <v>120.0</v>
      </c>
      <c r="O1998" s="135">
        <v>1.022</v>
      </c>
      <c r="P1998" s="136">
        <v>0.0</v>
      </c>
      <c r="Q1998" s="137">
        <v>2.555</v>
      </c>
      <c r="R1998" s="136">
        <v>46128.0</v>
      </c>
      <c r="S1998" s="135" t="s">
        <v>3877</v>
      </c>
      <c r="T1998" s="136"/>
      <c r="U1998" s="135" t="s">
        <v>2855</v>
      </c>
      <c r="V1998" s="135" t="s">
        <v>2856</v>
      </c>
      <c r="W1998" s="135">
        <v>1800.0</v>
      </c>
      <c r="X1998" s="135">
        <v>0.0</v>
      </c>
      <c r="Y1998" s="135"/>
      <c r="Z1998" s="135" t="s">
        <v>2858</v>
      </c>
      <c r="AA1998" s="135"/>
      <c r="AB1998" s="135"/>
      <c r="AC1998" s="135"/>
      <c r="AD1998" s="135" t="e">
        <v>#N/A</v>
      </c>
      <c r="AE1998" s="135"/>
      <c r="AF1998" s="135"/>
      <c r="AG1998" s="135"/>
    </row>
    <row r="1999" ht="21.75" hidden="1" customHeight="1">
      <c r="A1999" s="135">
        <v>1995.0</v>
      </c>
      <c r="B1999" s="135">
        <v>25045.0</v>
      </c>
      <c r="C1999" s="135"/>
      <c r="D1999" s="135">
        <v>34.0</v>
      </c>
      <c r="E1999" s="135" t="s">
        <v>3911</v>
      </c>
      <c r="F1999" s="135" t="s">
        <v>1790</v>
      </c>
      <c r="G1999" s="135" t="s">
        <v>66</v>
      </c>
      <c r="H1999" s="135"/>
      <c r="I1999" s="135" t="s">
        <v>69</v>
      </c>
      <c r="J1999" s="135">
        <v>1.0</v>
      </c>
      <c r="K1999" s="135"/>
      <c r="L1999" s="135">
        <v>2195.0</v>
      </c>
      <c r="M1999" s="135">
        <v>3660.0</v>
      </c>
      <c r="N1999" s="135">
        <v>120.0</v>
      </c>
      <c r="O1999" s="135">
        <v>0.889</v>
      </c>
      <c r="P1999" s="136">
        <v>0.0</v>
      </c>
      <c r="Q1999" s="137">
        <v>2.2225</v>
      </c>
      <c r="R1999" s="136">
        <v>46128.0</v>
      </c>
      <c r="S1999" s="135" t="s">
        <v>3877</v>
      </c>
      <c r="T1999" s="136"/>
      <c r="U1999" s="135" t="s">
        <v>2864</v>
      </c>
      <c r="V1999" s="135" t="s">
        <v>2878</v>
      </c>
      <c r="W1999" s="135">
        <v>0.0</v>
      </c>
      <c r="X1999" s="135" t="s">
        <v>3764</v>
      </c>
      <c r="Y1999" s="135"/>
      <c r="Z1999" s="135" t="s">
        <v>2858</v>
      </c>
      <c r="AA1999" s="135"/>
      <c r="AB1999" s="135"/>
      <c r="AC1999" s="135"/>
      <c r="AD1999" s="135">
        <v>46156.0</v>
      </c>
      <c r="AE1999" s="135"/>
      <c r="AF1999" s="135"/>
      <c r="AG1999" s="135"/>
    </row>
    <row r="2000" ht="21.75" hidden="1" customHeight="1">
      <c r="A2000" s="135">
        <v>1996.0</v>
      </c>
      <c r="B2000" s="135">
        <v>25045.0</v>
      </c>
      <c r="C2000" s="135"/>
      <c r="D2000" s="135">
        <v>34.0</v>
      </c>
      <c r="E2000" s="135" t="s">
        <v>3911</v>
      </c>
      <c r="F2000" s="135" t="s">
        <v>1791</v>
      </c>
      <c r="G2000" s="135" t="s">
        <v>66</v>
      </c>
      <c r="H2000" s="135"/>
      <c r="I2000" s="135" t="s">
        <v>69</v>
      </c>
      <c r="J2000" s="135">
        <v>1.0</v>
      </c>
      <c r="K2000" s="135"/>
      <c r="L2000" s="135">
        <v>4785.0</v>
      </c>
      <c r="M2000" s="135">
        <v>3130.0</v>
      </c>
      <c r="N2000" s="135">
        <v>120.0</v>
      </c>
      <c r="O2000" s="135">
        <v>1.604</v>
      </c>
      <c r="P2000" s="136">
        <v>0.0</v>
      </c>
      <c r="Q2000" s="137">
        <v>4.01</v>
      </c>
      <c r="R2000" s="136">
        <v>46128.0</v>
      </c>
      <c r="S2000" s="135" t="s">
        <v>3877</v>
      </c>
      <c r="T2000" s="136"/>
      <c r="U2000" s="135" t="s">
        <v>2864</v>
      </c>
      <c r="V2000" s="135" t="s">
        <v>2985</v>
      </c>
      <c r="W2000" s="135">
        <v>0.0</v>
      </c>
      <c r="X2000" s="135" t="s">
        <v>3586</v>
      </c>
      <c r="Y2000" s="135"/>
      <c r="Z2000" s="135" t="s">
        <v>2858</v>
      </c>
      <c r="AA2000" s="135"/>
      <c r="AB2000" s="135"/>
      <c r="AC2000" s="135"/>
      <c r="AD2000" s="135">
        <v>46151.0</v>
      </c>
      <c r="AE2000" s="135"/>
      <c r="AF2000" s="135"/>
      <c r="AG2000" s="135"/>
    </row>
    <row r="2001" ht="21.75" hidden="1" customHeight="1">
      <c r="A2001" s="135">
        <v>1997.0</v>
      </c>
      <c r="B2001" s="135">
        <v>25045.0</v>
      </c>
      <c r="C2001" s="135"/>
      <c r="D2001" s="135">
        <v>34.0</v>
      </c>
      <c r="E2001" s="135" t="s">
        <v>3911</v>
      </c>
      <c r="F2001" s="135" t="s">
        <v>1792</v>
      </c>
      <c r="G2001" s="135" t="s">
        <v>66</v>
      </c>
      <c r="H2001" s="135"/>
      <c r="I2001" s="135" t="s">
        <v>69</v>
      </c>
      <c r="J2001" s="135">
        <v>1.0</v>
      </c>
      <c r="K2001" s="135"/>
      <c r="L2001" s="135">
        <v>4785.0</v>
      </c>
      <c r="M2001" s="135">
        <v>3135.0</v>
      </c>
      <c r="N2001" s="135">
        <v>120.0</v>
      </c>
      <c r="O2001" s="135">
        <v>2.02</v>
      </c>
      <c r="P2001" s="136">
        <v>0.0</v>
      </c>
      <c r="Q2001" s="137">
        <v>5.05</v>
      </c>
      <c r="R2001" s="136">
        <v>46128.0</v>
      </c>
      <c r="S2001" s="135" t="s">
        <v>3877</v>
      </c>
      <c r="T2001" s="136"/>
      <c r="U2001" s="135" t="s">
        <v>2855</v>
      </c>
      <c r="V2001" s="135" t="s">
        <v>2876</v>
      </c>
      <c r="W2001" s="135">
        <v>1800.0</v>
      </c>
      <c r="X2001" s="135">
        <v>0.0</v>
      </c>
      <c r="Y2001" s="135"/>
      <c r="Z2001" s="135" t="s">
        <v>2858</v>
      </c>
      <c r="AA2001" s="135"/>
      <c r="AB2001" s="135"/>
      <c r="AC2001" s="135"/>
      <c r="AD2001" s="135">
        <v>46153.0</v>
      </c>
      <c r="AE2001" s="135"/>
      <c r="AF2001" s="135"/>
      <c r="AG2001" s="135"/>
    </row>
    <row r="2002" ht="21.75" hidden="1" customHeight="1">
      <c r="A2002" s="135">
        <v>1998.0</v>
      </c>
      <c r="B2002" s="135">
        <v>25045.0</v>
      </c>
      <c r="C2002" s="135" t="s">
        <v>2817</v>
      </c>
      <c r="D2002" s="135">
        <v>34.0</v>
      </c>
      <c r="E2002" s="135" t="s">
        <v>3911</v>
      </c>
      <c r="F2002" s="135" t="s">
        <v>1793</v>
      </c>
      <c r="G2002" s="135" t="s">
        <v>66</v>
      </c>
      <c r="H2002" s="135"/>
      <c r="I2002" s="135" t="s">
        <v>69</v>
      </c>
      <c r="J2002" s="135">
        <v>1.0</v>
      </c>
      <c r="K2002" s="135"/>
      <c r="L2002" s="135">
        <v>4785.0</v>
      </c>
      <c r="M2002" s="135">
        <v>3135.0</v>
      </c>
      <c r="N2002" s="135">
        <v>120.0</v>
      </c>
      <c r="O2002" s="135">
        <v>2.02</v>
      </c>
      <c r="P2002" s="136">
        <v>0.0</v>
      </c>
      <c r="Q2002" s="137">
        <v>5.05</v>
      </c>
      <c r="R2002" s="136">
        <v>46128.0</v>
      </c>
      <c r="S2002" s="135" t="s">
        <v>3877</v>
      </c>
      <c r="T2002" s="136"/>
      <c r="U2002" s="135" t="s">
        <v>2855</v>
      </c>
      <c r="V2002" s="135" t="s">
        <v>2876</v>
      </c>
      <c r="W2002" s="135">
        <v>1800.0</v>
      </c>
      <c r="X2002" s="135">
        <v>0.0</v>
      </c>
      <c r="Y2002" s="135"/>
      <c r="Z2002" s="135" t="s">
        <v>2858</v>
      </c>
      <c r="AA2002" s="135"/>
      <c r="AB2002" s="135"/>
      <c r="AC2002" s="135"/>
      <c r="AD2002" s="135" t="e">
        <v>#N/A</v>
      </c>
      <c r="AE2002" s="135"/>
      <c r="AF2002" s="135"/>
      <c r="AG2002" s="135"/>
    </row>
    <row r="2003" ht="21.75" hidden="1" customHeight="1">
      <c r="A2003" s="135">
        <v>1999.0</v>
      </c>
      <c r="B2003" s="135">
        <v>25045.0</v>
      </c>
      <c r="C2003" s="135" t="s">
        <v>2817</v>
      </c>
      <c r="D2003" s="135">
        <v>34.0</v>
      </c>
      <c r="E2003" s="135" t="s">
        <v>3911</v>
      </c>
      <c r="F2003" s="135" t="s">
        <v>1794</v>
      </c>
      <c r="G2003" s="135" t="s">
        <v>66</v>
      </c>
      <c r="H2003" s="135"/>
      <c r="I2003" s="135" t="s">
        <v>69</v>
      </c>
      <c r="J2003" s="135">
        <v>1.0</v>
      </c>
      <c r="K2003" s="135"/>
      <c r="L2003" s="135">
        <v>4785.0</v>
      </c>
      <c r="M2003" s="135">
        <v>3135.0</v>
      </c>
      <c r="N2003" s="135">
        <v>120.0</v>
      </c>
      <c r="O2003" s="135">
        <v>2.02</v>
      </c>
      <c r="P2003" s="136">
        <v>0.0</v>
      </c>
      <c r="Q2003" s="137">
        <v>5.05</v>
      </c>
      <c r="R2003" s="136">
        <v>46128.0</v>
      </c>
      <c r="S2003" s="135" t="s">
        <v>3877</v>
      </c>
      <c r="T2003" s="136"/>
      <c r="U2003" s="135" t="s">
        <v>2855</v>
      </c>
      <c r="V2003" s="135" t="s">
        <v>2876</v>
      </c>
      <c r="W2003" s="135">
        <v>1800.0</v>
      </c>
      <c r="X2003" s="135">
        <v>0.0</v>
      </c>
      <c r="Y2003" s="135"/>
      <c r="Z2003" s="135" t="s">
        <v>2858</v>
      </c>
      <c r="AA2003" s="135"/>
      <c r="AB2003" s="135"/>
      <c r="AC2003" s="135"/>
      <c r="AD2003" s="135" t="e">
        <v>#N/A</v>
      </c>
      <c r="AE2003" s="135"/>
      <c r="AF2003" s="135"/>
      <c r="AG2003" s="135"/>
    </row>
    <row r="2004" ht="21.75" hidden="1" customHeight="1">
      <c r="A2004" s="135">
        <v>2000.0</v>
      </c>
      <c r="B2004" s="135">
        <v>25045.0</v>
      </c>
      <c r="C2004" s="135" t="s">
        <v>2817</v>
      </c>
      <c r="D2004" s="135">
        <v>34.0</v>
      </c>
      <c r="E2004" s="135" t="s">
        <v>3911</v>
      </c>
      <c r="F2004" s="135" t="s">
        <v>1795</v>
      </c>
      <c r="G2004" s="135" t="s">
        <v>66</v>
      </c>
      <c r="H2004" s="135"/>
      <c r="I2004" s="135" t="s">
        <v>69</v>
      </c>
      <c r="J2004" s="135">
        <v>1.0</v>
      </c>
      <c r="K2004" s="135"/>
      <c r="L2004" s="135">
        <v>4785.0</v>
      </c>
      <c r="M2004" s="135">
        <v>3130.0</v>
      </c>
      <c r="N2004" s="135">
        <v>120.0</v>
      </c>
      <c r="O2004" s="135">
        <v>2.019</v>
      </c>
      <c r="P2004" s="136">
        <v>0.0</v>
      </c>
      <c r="Q2004" s="137">
        <v>5.0475</v>
      </c>
      <c r="R2004" s="136">
        <v>46128.0</v>
      </c>
      <c r="S2004" s="135" t="s">
        <v>3877</v>
      </c>
      <c r="T2004" s="136"/>
      <c r="U2004" s="135" t="s">
        <v>2855</v>
      </c>
      <c r="V2004" s="135" t="s">
        <v>2876</v>
      </c>
      <c r="W2004" s="135">
        <v>1800.0</v>
      </c>
      <c r="X2004" s="135">
        <v>0.0</v>
      </c>
      <c r="Y2004" s="135"/>
      <c r="Z2004" s="135" t="s">
        <v>2858</v>
      </c>
      <c r="AA2004" s="135"/>
      <c r="AB2004" s="135"/>
      <c r="AC2004" s="135"/>
      <c r="AD2004" s="135" t="e">
        <v>#N/A</v>
      </c>
      <c r="AE2004" s="135"/>
      <c r="AF2004" s="135"/>
      <c r="AG2004" s="135"/>
    </row>
    <row r="2005" ht="21.75" hidden="1" customHeight="1">
      <c r="A2005" s="135">
        <v>2001.0</v>
      </c>
      <c r="B2005" s="135">
        <v>25045.0</v>
      </c>
      <c r="C2005" s="135" t="s">
        <v>2817</v>
      </c>
      <c r="D2005" s="135">
        <v>34.0</v>
      </c>
      <c r="E2005" s="135" t="s">
        <v>3911</v>
      </c>
      <c r="F2005" s="135" t="s">
        <v>1796</v>
      </c>
      <c r="G2005" s="135" t="s">
        <v>66</v>
      </c>
      <c r="H2005" s="135"/>
      <c r="I2005" s="135" t="s">
        <v>69</v>
      </c>
      <c r="J2005" s="135">
        <v>1.0</v>
      </c>
      <c r="K2005" s="135"/>
      <c r="L2005" s="135">
        <v>5015.0</v>
      </c>
      <c r="M2005" s="135">
        <v>3280.0</v>
      </c>
      <c r="N2005" s="135">
        <v>120.0</v>
      </c>
      <c r="O2005" s="135">
        <v>2.311</v>
      </c>
      <c r="P2005" s="136">
        <v>0.0</v>
      </c>
      <c r="Q2005" s="137">
        <v>5.7775</v>
      </c>
      <c r="R2005" s="136">
        <v>46128.0</v>
      </c>
      <c r="S2005" s="135" t="s">
        <v>3877</v>
      </c>
      <c r="T2005" s="136"/>
      <c r="U2005" s="135" t="s">
        <v>2855</v>
      </c>
      <c r="V2005" s="135" t="s">
        <v>2878</v>
      </c>
      <c r="W2005" s="135">
        <v>2500.0</v>
      </c>
      <c r="X2005" s="135">
        <v>0.0</v>
      </c>
      <c r="Y2005" s="135"/>
      <c r="Z2005" s="135" t="s">
        <v>2858</v>
      </c>
      <c r="AA2005" s="135"/>
      <c r="AB2005" s="135"/>
      <c r="AC2005" s="135"/>
      <c r="AD2005" s="135" t="e">
        <v>#N/A</v>
      </c>
      <c r="AE2005" s="135"/>
      <c r="AF2005" s="135"/>
      <c r="AG2005" s="135"/>
    </row>
    <row r="2006" ht="21.75" hidden="1" customHeight="1">
      <c r="A2006" s="135">
        <v>2002.0</v>
      </c>
      <c r="B2006" s="135">
        <v>25045.0</v>
      </c>
      <c r="C2006" s="135" t="s">
        <v>2817</v>
      </c>
      <c r="D2006" s="135">
        <v>34.0</v>
      </c>
      <c r="E2006" s="135" t="s">
        <v>3911</v>
      </c>
      <c r="F2006" s="135" t="s">
        <v>1797</v>
      </c>
      <c r="G2006" s="135" t="s">
        <v>66</v>
      </c>
      <c r="H2006" s="135"/>
      <c r="I2006" s="135" t="s">
        <v>69</v>
      </c>
      <c r="J2006" s="135">
        <v>1.0</v>
      </c>
      <c r="K2006" s="135"/>
      <c r="L2006" s="135">
        <v>4566.0</v>
      </c>
      <c r="M2006" s="135">
        <v>3380.0</v>
      </c>
      <c r="N2006" s="135">
        <v>120.0</v>
      </c>
      <c r="O2006" s="135">
        <v>2.177</v>
      </c>
      <c r="P2006" s="136">
        <v>0.0</v>
      </c>
      <c r="Q2006" s="137">
        <v>5.4425</v>
      </c>
      <c r="R2006" s="136">
        <v>46128.0</v>
      </c>
      <c r="S2006" s="135" t="s">
        <v>3877</v>
      </c>
      <c r="T2006" s="136"/>
      <c r="U2006" s="135" t="s">
        <v>2855</v>
      </c>
      <c r="V2006" s="135" t="s">
        <v>2878</v>
      </c>
      <c r="W2006" s="135">
        <v>1800.0</v>
      </c>
      <c r="X2006" s="135">
        <v>0.0</v>
      </c>
      <c r="Y2006" s="135"/>
      <c r="Z2006" s="135" t="s">
        <v>2858</v>
      </c>
      <c r="AA2006" s="135"/>
      <c r="AB2006" s="135"/>
      <c r="AC2006" s="135"/>
      <c r="AD2006" s="135">
        <v>46150.0</v>
      </c>
      <c r="AE2006" s="135"/>
      <c r="AF2006" s="135"/>
      <c r="AG2006" s="135"/>
    </row>
    <row r="2007" ht="21.75" hidden="1" customHeight="1">
      <c r="A2007" s="135">
        <v>2003.0</v>
      </c>
      <c r="B2007" s="135">
        <v>25045.0</v>
      </c>
      <c r="C2007" s="135" t="s">
        <v>2817</v>
      </c>
      <c r="D2007" s="135">
        <v>34.0</v>
      </c>
      <c r="E2007" s="135" t="s">
        <v>3911</v>
      </c>
      <c r="F2007" s="135" t="s">
        <v>1798</v>
      </c>
      <c r="G2007" s="135" t="s">
        <v>66</v>
      </c>
      <c r="H2007" s="135"/>
      <c r="I2007" s="135" t="s">
        <v>69</v>
      </c>
      <c r="J2007" s="135">
        <v>1.0</v>
      </c>
      <c r="K2007" s="135"/>
      <c r="L2007" s="135">
        <v>4566.0</v>
      </c>
      <c r="M2007" s="135">
        <v>3380.0</v>
      </c>
      <c r="N2007" s="135">
        <v>120.0</v>
      </c>
      <c r="O2007" s="135">
        <v>2.177</v>
      </c>
      <c r="P2007" s="136">
        <v>0.0</v>
      </c>
      <c r="Q2007" s="137">
        <v>5.4425</v>
      </c>
      <c r="R2007" s="136">
        <v>46128.0</v>
      </c>
      <c r="S2007" s="135" t="s">
        <v>3877</v>
      </c>
      <c r="T2007" s="136"/>
      <c r="U2007" s="135" t="s">
        <v>2855</v>
      </c>
      <c r="V2007" s="135" t="s">
        <v>2878</v>
      </c>
      <c r="W2007" s="135">
        <v>1800.0</v>
      </c>
      <c r="X2007" s="135">
        <v>0.0</v>
      </c>
      <c r="Y2007" s="135"/>
      <c r="Z2007" s="135" t="s">
        <v>2858</v>
      </c>
      <c r="AA2007" s="135"/>
      <c r="AB2007" s="135"/>
      <c r="AC2007" s="135"/>
      <c r="AD2007" s="135">
        <v>46151.0</v>
      </c>
      <c r="AE2007" s="135"/>
      <c r="AF2007" s="135"/>
      <c r="AG2007" s="135"/>
    </row>
    <row r="2008" ht="21.75" hidden="1" customHeight="1">
      <c r="A2008" s="135">
        <v>2004.0</v>
      </c>
      <c r="B2008" s="135">
        <v>25045.0</v>
      </c>
      <c r="C2008" s="135" t="s">
        <v>2817</v>
      </c>
      <c r="D2008" s="135">
        <v>34.0</v>
      </c>
      <c r="E2008" s="135" t="s">
        <v>3911</v>
      </c>
      <c r="F2008" s="135" t="s">
        <v>1799</v>
      </c>
      <c r="G2008" s="135" t="s">
        <v>66</v>
      </c>
      <c r="H2008" s="135"/>
      <c r="I2008" s="135" t="s">
        <v>69</v>
      </c>
      <c r="J2008" s="135">
        <v>1.0</v>
      </c>
      <c r="K2008" s="135"/>
      <c r="L2008" s="135">
        <v>4566.0</v>
      </c>
      <c r="M2008" s="135">
        <v>3380.0</v>
      </c>
      <c r="N2008" s="135">
        <v>120.0</v>
      </c>
      <c r="O2008" s="135">
        <v>2.177</v>
      </c>
      <c r="P2008" s="136">
        <v>0.0</v>
      </c>
      <c r="Q2008" s="137">
        <v>5.4425</v>
      </c>
      <c r="R2008" s="136">
        <v>46128.0</v>
      </c>
      <c r="S2008" s="135" t="s">
        <v>3877</v>
      </c>
      <c r="T2008" s="136"/>
      <c r="U2008" s="135" t="s">
        <v>2855</v>
      </c>
      <c r="V2008" s="135" t="s">
        <v>2878</v>
      </c>
      <c r="W2008" s="135">
        <v>1800.0</v>
      </c>
      <c r="X2008" s="135">
        <v>0.0</v>
      </c>
      <c r="Y2008" s="135"/>
      <c r="Z2008" s="135" t="s">
        <v>2858</v>
      </c>
      <c r="AA2008" s="135"/>
      <c r="AB2008" s="135"/>
      <c r="AC2008" s="135"/>
      <c r="AD2008" s="135" t="e">
        <v>#N/A</v>
      </c>
      <c r="AE2008" s="135"/>
      <c r="AF2008" s="135"/>
      <c r="AG2008" s="135"/>
    </row>
    <row r="2009" ht="21.75" hidden="1" customHeight="1">
      <c r="A2009" s="135">
        <v>2005.0</v>
      </c>
      <c r="B2009" s="135">
        <v>25045.0</v>
      </c>
      <c r="C2009" s="135" t="s">
        <v>2817</v>
      </c>
      <c r="D2009" s="135">
        <v>34.0</v>
      </c>
      <c r="E2009" s="135" t="s">
        <v>3911</v>
      </c>
      <c r="F2009" s="135" t="s">
        <v>1800</v>
      </c>
      <c r="G2009" s="135" t="s">
        <v>66</v>
      </c>
      <c r="H2009" s="135"/>
      <c r="I2009" s="135" t="s">
        <v>69</v>
      </c>
      <c r="J2009" s="135">
        <v>1.0</v>
      </c>
      <c r="K2009" s="135"/>
      <c r="L2009" s="135">
        <v>4566.0</v>
      </c>
      <c r="M2009" s="135">
        <v>3480.0</v>
      </c>
      <c r="N2009" s="135">
        <v>120.0</v>
      </c>
      <c r="O2009" s="135">
        <v>1.841</v>
      </c>
      <c r="P2009" s="136">
        <v>0.0</v>
      </c>
      <c r="Q2009" s="137">
        <v>4.6025</v>
      </c>
      <c r="R2009" s="136">
        <v>46128.0</v>
      </c>
      <c r="S2009" s="135" t="s">
        <v>3877</v>
      </c>
      <c r="T2009" s="136"/>
      <c r="U2009" s="135" t="s">
        <v>2864</v>
      </c>
      <c r="V2009" s="135" t="s">
        <v>2890</v>
      </c>
      <c r="W2009" s="135">
        <v>0.0</v>
      </c>
      <c r="X2009" s="135">
        <v>0.0</v>
      </c>
      <c r="Y2009" s="135"/>
      <c r="Z2009" s="135" t="s">
        <v>2858</v>
      </c>
      <c r="AA2009" s="135"/>
      <c r="AB2009" s="135"/>
      <c r="AC2009" s="135"/>
      <c r="AD2009" s="135" t="e">
        <v>#N/A</v>
      </c>
      <c r="AE2009" s="135"/>
      <c r="AF2009" s="135"/>
      <c r="AG2009" s="135"/>
    </row>
    <row r="2010" ht="21.75" hidden="1" customHeight="1">
      <c r="A2010" s="135">
        <v>2006.0</v>
      </c>
      <c r="B2010" s="135">
        <v>25045.0</v>
      </c>
      <c r="C2010" s="135" t="s">
        <v>2817</v>
      </c>
      <c r="D2010" s="135">
        <v>34.0</v>
      </c>
      <c r="E2010" s="135" t="s">
        <v>3911</v>
      </c>
      <c r="F2010" s="135" t="s">
        <v>1801</v>
      </c>
      <c r="G2010" s="135" t="s">
        <v>66</v>
      </c>
      <c r="H2010" s="135"/>
      <c r="I2010" s="135" t="s">
        <v>69</v>
      </c>
      <c r="J2010" s="135">
        <v>1.0</v>
      </c>
      <c r="K2010" s="135"/>
      <c r="L2010" s="135">
        <v>2620.0</v>
      </c>
      <c r="M2010" s="135">
        <v>1567.0</v>
      </c>
      <c r="N2010" s="135">
        <v>120.0</v>
      </c>
      <c r="O2010" s="135">
        <v>0.53</v>
      </c>
      <c r="P2010" s="136">
        <v>0.0</v>
      </c>
      <c r="Q2010" s="137">
        <v>1.3250000000000002</v>
      </c>
      <c r="R2010" s="136">
        <v>46128.0</v>
      </c>
      <c r="S2010" s="135" t="s">
        <v>3877</v>
      </c>
      <c r="T2010" s="136"/>
      <c r="U2010" s="135" t="s">
        <v>2864</v>
      </c>
      <c r="V2010" s="135" t="s">
        <v>2951</v>
      </c>
      <c r="W2010" s="135">
        <v>0.0</v>
      </c>
      <c r="X2010" s="135">
        <v>0.0</v>
      </c>
      <c r="Y2010" s="135"/>
      <c r="Z2010" s="135" t="s">
        <v>2858</v>
      </c>
      <c r="AA2010" s="135"/>
      <c r="AB2010" s="135"/>
      <c r="AC2010" s="135"/>
      <c r="AD2010" s="135" t="e">
        <v>#N/A</v>
      </c>
      <c r="AE2010" s="135"/>
      <c r="AF2010" s="135"/>
      <c r="AG2010" s="135"/>
    </row>
    <row r="2011" ht="21.75" hidden="1" customHeight="1">
      <c r="A2011" s="135">
        <v>2007.0</v>
      </c>
      <c r="B2011" s="135">
        <v>25045.0</v>
      </c>
      <c r="C2011" s="135" t="s">
        <v>2817</v>
      </c>
      <c r="D2011" s="135">
        <v>34.0</v>
      </c>
      <c r="E2011" s="135" t="s">
        <v>3911</v>
      </c>
      <c r="F2011" s="135" t="s">
        <v>1802</v>
      </c>
      <c r="G2011" s="135" t="s">
        <v>66</v>
      </c>
      <c r="H2011" s="135"/>
      <c r="I2011" s="135" t="s">
        <v>69</v>
      </c>
      <c r="J2011" s="135">
        <v>1.0</v>
      </c>
      <c r="K2011" s="135"/>
      <c r="L2011" s="135">
        <v>2620.0</v>
      </c>
      <c r="M2011" s="135">
        <v>1560.0</v>
      </c>
      <c r="N2011" s="135">
        <v>120.0</v>
      </c>
      <c r="O2011" s="135">
        <v>0.53</v>
      </c>
      <c r="P2011" s="136">
        <v>0.0</v>
      </c>
      <c r="Q2011" s="137">
        <v>1.3250000000000002</v>
      </c>
      <c r="R2011" s="136">
        <v>46128.0</v>
      </c>
      <c r="S2011" s="135" t="s">
        <v>3877</v>
      </c>
      <c r="T2011" s="136"/>
      <c r="U2011" s="135" t="s">
        <v>2864</v>
      </c>
      <c r="V2011" s="135" t="s">
        <v>2951</v>
      </c>
      <c r="W2011" s="135">
        <v>0.0</v>
      </c>
      <c r="X2011" s="135">
        <v>0.0</v>
      </c>
      <c r="Y2011" s="135"/>
      <c r="Z2011" s="135" t="s">
        <v>2858</v>
      </c>
      <c r="AA2011" s="135"/>
      <c r="AB2011" s="135"/>
      <c r="AC2011" s="135"/>
      <c r="AD2011" s="135" t="e">
        <v>#N/A</v>
      </c>
      <c r="AE2011" s="135"/>
      <c r="AF2011" s="135"/>
      <c r="AG2011" s="135"/>
    </row>
    <row r="2012" ht="21.75" hidden="1" customHeight="1">
      <c r="A2012" s="135">
        <v>2008.0</v>
      </c>
      <c r="B2012" s="135">
        <v>25045.0</v>
      </c>
      <c r="C2012" s="135" t="s">
        <v>2817</v>
      </c>
      <c r="D2012" s="135">
        <v>34.0</v>
      </c>
      <c r="E2012" s="135" t="s">
        <v>3911</v>
      </c>
      <c r="F2012" s="135" t="s">
        <v>1803</v>
      </c>
      <c r="G2012" s="135" t="s">
        <v>66</v>
      </c>
      <c r="H2012" s="135"/>
      <c r="I2012" s="135" t="s">
        <v>69</v>
      </c>
      <c r="J2012" s="135">
        <v>1.0</v>
      </c>
      <c r="K2012" s="135"/>
      <c r="L2012" s="135">
        <v>1990.0</v>
      </c>
      <c r="M2012" s="135">
        <v>1605.0</v>
      </c>
      <c r="N2012" s="135">
        <v>120.0</v>
      </c>
      <c r="O2012" s="135">
        <v>0.526</v>
      </c>
      <c r="P2012" s="136">
        <v>0.0</v>
      </c>
      <c r="Q2012" s="137">
        <v>1.315</v>
      </c>
      <c r="R2012" s="136">
        <v>46128.0</v>
      </c>
      <c r="S2012" s="135" t="s">
        <v>3877</v>
      </c>
      <c r="T2012" s="136"/>
      <c r="U2012" s="135" t="s">
        <v>2864</v>
      </c>
      <c r="V2012" s="135" t="s">
        <v>2873</v>
      </c>
      <c r="W2012" s="135">
        <v>0.0</v>
      </c>
      <c r="X2012" s="135">
        <v>0.0</v>
      </c>
      <c r="Y2012" s="135"/>
      <c r="Z2012" s="135" t="s">
        <v>2858</v>
      </c>
      <c r="AA2012" s="135"/>
      <c r="AB2012" s="135"/>
      <c r="AC2012" s="135"/>
      <c r="AD2012" s="135" t="e">
        <v>#N/A</v>
      </c>
      <c r="AE2012" s="135"/>
      <c r="AF2012" s="135"/>
      <c r="AG2012" s="135"/>
    </row>
    <row r="2013" ht="21.75" hidden="1" customHeight="1">
      <c r="A2013" s="135">
        <v>2009.0</v>
      </c>
      <c r="B2013" s="135">
        <v>25045.0</v>
      </c>
      <c r="C2013" s="135" t="s">
        <v>2817</v>
      </c>
      <c r="D2013" s="135">
        <v>34.0</v>
      </c>
      <c r="E2013" s="135" t="s">
        <v>3911</v>
      </c>
      <c r="F2013" s="135" t="s">
        <v>1804</v>
      </c>
      <c r="G2013" s="135" t="s">
        <v>66</v>
      </c>
      <c r="H2013" s="135"/>
      <c r="I2013" s="135" t="s">
        <v>69</v>
      </c>
      <c r="J2013" s="135">
        <v>1.0</v>
      </c>
      <c r="K2013" s="135"/>
      <c r="L2013" s="135">
        <v>2216.0</v>
      </c>
      <c r="M2013" s="135">
        <v>1060.0</v>
      </c>
      <c r="N2013" s="135">
        <v>120.0</v>
      </c>
      <c r="O2013" s="135">
        <v>0.417</v>
      </c>
      <c r="P2013" s="136">
        <v>0.0</v>
      </c>
      <c r="Q2013" s="137">
        <v>1.0425</v>
      </c>
      <c r="R2013" s="136">
        <v>46128.0</v>
      </c>
      <c r="S2013" s="135" t="s">
        <v>3877</v>
      </c>
      <c r="T2013" s="136"/>
      <c r="U2013" s="135" t="s">
        <v>2950</v>
      </c>
      <c r="V2013" s="135" t="s">
        <v>2951</v>
      </c>
      <c r="W2013" s="135">
        <v>0.0</v>
      </c>
      <c r="X2013" s="135">
        <v>0.0</v>
      </c>
      <c r="Y2013" s="135"/>
      <c r="Z2013" s="135" t="s">
        <v>2858</v>
      </c>
      <c r="AA2013" s="135"/>
      <c r="AB2013" s="135"/>
      <c r="AC2013" s="135"/>
      <c r="AD2013" s="135">
        <v>0.0</v>
      </c>
      <c r="AE2013" s="135"/>
      <c r="AF2013" s="135"/>
      <c r="AG2013" s="135"/>
    </row>
    <row r="2014" ht="21.75" hidden="1" customHeight="1">
      <c r="A2014" s="135">
        <v>2010.0</v>
      </c>
      <c r="B2014" s="135">
        <v>25045.0</v>
      </c>
      <c r="C2014" s="135" t="s">
        <v>2817</v>
      </c>
      <c r="D2014" s="135">
        <v>34.0</v>
      </c>
      <c r="E2014" s="135" t="s">
        <v>3911</v>
      </c>
      <c r="F2014" s="135" t="s">
        <v>1805</v>
      </c>
      <c r="G2014" s="135" t="s">
        <v>66</v>
      </c>
      <c r="H2014" s="135"/>
      <c r="I2014" s="135" t="s">
        <v>69</v>
      </c>
      <c r="J2014" s="135">
        <v>1.0</v>
      </c>
      <c r="K2014" s="135"/>
      <c r="L2014" s="135">
        <v>750.0</v>
      </c>
      <c r="M2014" s="135">
        <v>3270.0</v>
      </c>
      <c r="N2014" s="135">
        <v>350.0</v>
      </c>
      <c r="O2014" s="135">
        <v>0.563</v>
      </c>
      <c r="P2014" s="136">
        <v>0.0</v>
      </c>
      <c r="Q2014" s="137">
        <v>1.4074999999999998</v>
      </c>
      <c r="R2014" s="136">
        <v>46128.0</v>
      </c>
      <c r="S2014" s="135" t="s">
        <v>3877</v>
      </c>
      <c r="T2014" s="136"/>
      <c r="U2014" s="135" t="s">
        <v>2966</v>
      </c>
      <c r="V2014" s="135" t="s">
        <v>2967</v>
      </c>
      <c r="W2014" s="135">
        <v>0.0</v>
      </c>
      <c r="X2014" s="135" t="s">
        <v>2968</v>
      </c>
      <c r="Y2014" s="135"/>
      <c r="Z2014" s="135" t="s">
        <v>2858</v>
      </c>
      <c r="AA2014" s="135"/>
      <c r="AB2014" s="135"/>
      <c r="AC2014" s="135"/>
      <c r="AD2014" s="135" t="e">
        <v>#N/A</v>
      </c>
      <c r="AE2014" s="135"/>
      <c r="AF2014" s="135"/>
      <c r="AG2014" s="135"/>
    </row>
    <row r="2015" ht="21.75" hidden="1" customHeight="1">
      <c r="A2015" s="135">
        <v>2011.0</v>
      </c>
      <c r="B2015" s="135">
        <v>25045.0</v>
      </c>
      <c r="C2015" s="135" t="s">
        <v>2817</v>
      </c>
      <c r="D2015" s="135">
        <v>34.0</v>
      </c>
      <c r="E2015" s="135" t="s">
        <v>3912</v>
      </c>
      <c r="F2015" s="135" t="s">
        <v>1806</v>
      </c>
      <c r="G2015" s="135" t="s">
        <v>66</v>
      </c>
      <c r="H2015" s="135"/>
      <c r="I2015" s="135" t="s">
        <v>70</v>
      </c>
      <c r="J2015" s="135">
        <v>1.0</v>
      </c>
      <c r="K2015" s="135"/>
      <c r="L2015" s="135">
        <v>4455.0</v>
      </c>
      <c r="M2015" s="135">
        <v>1350.0</v>
      </c>
      <c r="N2015" s="135">
        <v>120.0</v>
      </c>
      <c r="O2015" s="135">
        <v>0.87</v>
      </c>
      <c r="P2015" s="136">
        <v>0.0</v>
      </c>
      <c r="Q2015" s="137">
        <v>2.175</v>
      </c>
      <c r="R2015" s="136">
        <v>46128.0</v>
      </c>
      <c r="S2015" s="135" t="s">
        <v>3877</v>
      </c>
      <c r="T2015" s="136"/>
      <c r="U2015" s="135" t="s">
        <v>2855</v>
      </c>
      <c r="V2015" s="135" t="s">
        <v>2856</v>
      </c>
      <c r="W2015" s="135">
        <v>1800.0</v>
      </c>
      <c r="X2015" s="135">
        <v>0.0</v>
      </c>
      <c r="Y2015" s="135"/>
      <c r="Z2015" s="135" t="s">
        <v>2858</v>
      </c>
      <c r="AA2015" s="135"/>
      <c r="AB2015" s="135"/>
      <c r="AC2015" s="135"/>
      <c r="AD2015" s="135" t="e">
        <v>#N/A</v>
      </c>
      <c r="AE2015" s="135"/>
      <c r="AF2015" s="135"/>
      <c r="AG2015" s="135"/>
    </row>
    <row r="2016" ht="21.75" hidden="1" customHeight="1">
      <c r="A2016" s="135">
        <v>2012.0</v>
      </c>
      <c r="B2016" s="135">
        <v>25045.0</v>
      </c>
      <c r="C2016" s="135" t="s">
        <v>2817</v>
      </c>
      <c r="D2016" s="135">
        <v>34.0</v>
      </c>
      <c r="E2016" s="135" t="s">
        <v>3912</v>
      </c>
      <c r="F2016" s="135" t="s">
        <v>1807</v>
      </c>
      <c r="G2016" s="135" t="s">
        <v>66</v>
      </c>
      <c r="H2016" s="135"/>
      <c r="I2016" s="135" t="s">
        <v>70</v>
      </c>
      <c r="J2016" s="135">
        <v>1.0</v>
      </c>
      <c r="K2016" s="135"/>
      <c r="L2016" s="135">
        <v>4455.0</v>
      </c>
      <c r="M2016" s="135">
        <v>1350.0</v>
      </c>
      <c r="N2016" s="135">
        <v>120.0</v>
      </c>
      <c r="O2016" s="135">
        <v>0.87</v>
      </c>
      <c r="P2016" s="136">
        <v>0.0</v>
      </c>
      <c r="Q2016" s="137">
        <v>2.175</v>
      </c>
      <c r="R2016" s="136">
        <v>46128.0</v>
      </c>
      <c r="S2016" s="135" t="s">
        <v>3877</v>
      </c>
      <c r="T2016" s="136"/>
      <c r="U2016" s="135" t="s">
        <v>2855</v>
      </c>
      <c r="V2016" s="135" t="s">
        <v>2856</v>
      </c>
      <c r="W2016" s="135">
        <v>1800.0</v>
      </c>
      <c r="X2016" s="135">
        <v>0.0</v>
      </c>
      <c r="Y2016" s="135"/>
      <c r="Z2016" s="135" t="s">
        <v>2858</v>
      </c>
      <c r="AA2016" s="135"/>
      <c r="AB2016" s="135"/>
      <c r="AC2016" s="135"/>
      <c r="AD2016" s="135" t="e">
        <v>#N/A</v>
      </c>
      <c r="AE2016" s="135"/>
      <c r="AF2016" s="135"/>
      <c r="AG2016" s="135"/>
    </row>
    <row r="2017" ht="21.75" hidden="1" customHeight="1">
      <c r="A2017" s="135">
        <v>2013.0</v>
      </c>
      <c r="B2017" s="135">
        <v>25045.0</v>
      </c>
      <c r="C2017" s="135" t="s">
        <v>2817</v>
      </c>
      <c r="D2017" s="135">
        <v>34.0</v>
      </c>
      <c r="E2017" s="135" t="s">
        <v>3912</v>
      </c>
      <c r="F2017" s="135" t="s">
        <v>1808</v>
      </c>
      <c r="G2017" s="135" t="s">
        <v>66</v>
      </c>
      <c r="H2017" s="135"/>
      <c r="I2017" s="135" t="s">
        <v>70</v>
      </c>
      <c r="J2017" s="135">
        <v>1.0</v>
      </c>
      <c r="K2017" s="135"/>
      <c r="L2017" s="135">
        <v>4455.0</v>
      </c>
      <c r="M2017" s="135">
        <v>1350.0</v>
      </c>
      <c r="N2017" s="135">
        <v>120.0</v>
      </c>
      <c r="O2017" s="135">
        <v>0.953</v>
      </c>
      <c r="P2017" s="136">
        <v>0.0</v>
      </c>
      <c r="Q2017" s="137">
        <v>2.3825</v>
      </c>
      <c r="R2017" s="136">
        <v>46128.0</v>
      </c>
      <c r="S2017" s="135" t="s">
        <v>3877</v>
      </c>
      <c r="T2017" s="136"/>
      <c r="U2017" s="135" t="s">
        <v>2855</v>
      </c>
      <c r="V2017" s="135" t="s">
        <v>2856</v>
      </c>
      <c r="W2017" s="135">
        <v>1800.0</v>
      </c>
      <c r="X2017" s="135" t="s">
        <v>3913</v>
      </c>
      <c r="Y2017" s="135"/>
      <c r="Z2017" s="135" t="s">
        <v>2858</v>
      </c>
      <c r="AA2017" s="135"/>
      <c r="AB2017" s="135"/>
      <c r="AC2017" s="135"/>
      <c r="AD2017" s="135" t="e">
        <v>#N/A</v>
      </c>
      <c r="AE2017" s="135"/>
      <c r="AF2017" s="135"/>
      <c r="AG2017" s="135"/>
    </row>
    <row r="2018" ht="21.75" hidden="1" customHeight="1">
      <c r="A2018" s="135">
        <v>2014.0</v>
      </c>
      <c r="B2018" s="135">
        <v>25045.0</v>
      </c>
      <c r="C2018" s="135" t="s">
        <v>2817</v>
      </c>
      <c r="D2018" s="135">
        <v>34.0</v>
      </c>
      <c r="E2018" s="135" t="s">
        <v>3912</v>
      </c>
      <c r="F2018" s="135" t="s">
        <v>1809</v>
      </c>
      <c r="G2018" s="135" t="s">
        <v>66</v>
      </c>
      <c r="H2018" s="135"/>
      <c r="I2018" s="135" t="s">
        <v>70</v>
      </c>
      <c r="J2018" s="135">
        <v>1.0</v>
      </c>
      <c r="K2018" s="135" t="s">
        <v>3134</v>
      </c>
      <c r="L2018" s="135">
        <v>2595.0</v>
      </c>
      <c r="M2018" s="135">
        <v>2850.0</v>
      </c>
      <c r="N2018" s="135">
        <v>120.0</v>
      </c>
      <c r="O2018" s="135">
        <v>0.915</v>
      </c>
      <c r="P2018" s="136">
        <v>0.0</v>
      </c>
      <c r="Q2018" s="137">
        <v>2.2875</v>
      </c>
      <c r="R2018" s="136">
        <v>46128.0</v>
      </c>
      <c r="S2018" s="135" t="s">
        <v>3877</v>
      </c>
      <c r="T2018" s="136"/>
      <c r="U2018" s="135" t="s">
        <v>2864</v>
      </c>
      <c r="V2018" s="135" t="s">
        <v>2878</v>
      </c>
      <c r="W2018" s="135">
        <v>0.0</v>
      </c>
      <c r="X2018" s="135" t="s">
        <v>3586</v>
      </c>
      <c r="Y2018" s="135"/>
      <c r="Z2018" s="135" t="s">
        <v>2858</v>
      </c>
      <c r="AA2018" s="135"/>
      <c r="AB2018" s="135"/>
      <c r="AC2018" s="135"/>
      <c r="AD2018" s="135" t="e">
        <v>#N/A</v>
      </c>
      <c r="AE2018" s="135"/>
      <c r="AF2018" s="135"/>
      <c r="AG2018" s="135"/>
    </row>
    <row r="2019" ht="21.75" hidden="1" customHeight="1">
      <c r="A2019" s="135">
        <v>2015.0</v>
      </c>
      <c r="B2019" s="135">
        <v>25045.0</v>
      </c>
      <c r="C2019" s="135" t="s">
        <v>2817</v>
      </c>
      <c r="D2019" s="135">
        <v>34.0</v>
      </c>
      <c r="E2019" s="135" t="s">
        <v>3912</v>
      </c>
      <c r="F2019" s="135" t="s">
        <v>1810</v>
      </c>
      <c r="G2019" s="135" t="s">
        <v>66</v>
      </c>
      <c r="H2019" s="135"/>
      <c r="I2019" s="135" t="s">
        <v>70</v>
      </c>
      <c r="J2019" s="135">
        <v>1.0</v>
      </c>
      <c r="K2019" s="135"/>
      <c r="L2019" s="135">
        <v>4562.0</v>
      </c>
      <c r="M2019" s="135">
        <v>3050.0</v>
      </c>
      <c r="N2019" s="135">
        <v>120.0</v>
      </c>
      <c r="O2019" s="135">
        <v>1.914</v>
      </c>
      <c r="P2019" s="136">
        <v>0.0</v>
      </c>
      <c r="Q2019" s="137">
        <v>4.785</v>
      </c>
      <c r="R2019" s="136">
        <v>46128.0</v>
      </c>
      <c r="S2019" s="135" t="s">
        <v>3877</v>
      </c>
      <c r="T2019" s="136"/>
      <c r="U2019" s="135" t="s">
        <v>2855</v>
      </c>
      <c r="V2019" s="135" t="s">
        <v>2878</v>
      </c>
      <c r="W2019" s="135">
        <v>1800.0</v>
      </c>
      <c r="X2019" s="135">
        <v>0.0</v>
      </c>
      <c r="Y2019" s="135"/>
      <c r="Z2019" s="135" t="s">
        <v>2858</v>
      </c>
      <c r="AA2019" s="135"/>
      <c r="AB2019" s="135"/>
      <c r="AC2019" s="135"/>
      <c r="AD2019" s="135" t="e">
        <v>#N/A</v>
      </c>
      <c r="AE2019" s="135"/>
      <c r="AF2019" s="135"/>
      <c r="AG2019" s="135"/>
    </row>
    <row r="2020" ht="21.75" hidden="1" customHeight="1">
      <c r="A2020" s="135">
        <v>2016.0</v>
      </c>
      <c r="B2020" s="135">
        <v>25045.0</v>
      </c>
      <c r="C2020" s="135" t="s">
        <v>2817</v>
      </c>
      <c r="D2020" s="135">
        <v>34.0</v>
      </c>
      <c r="E2020" s="135" t="s">
        <v>3912</v>
      </c>
      <c r="F2020" s="135" t="s">
        <v>1811</v>
      </c>
      <c r="G2020" s="135" t="s">
        <v>66</v>
      </c>
      <c r="H2020" s="135"/>
      <c r="I2020" s="135" t="s">
        <v>70</v>
      </c>
      <c r="J2020" s="135">
        <v>1.0</v>
      </c>
      <c r="K2020" s="135"/>
      <c r="L2020" s="135">
        <v>4562.0</v>
      </c>
      <c r="M2020" s="135">
        <v>3050.0</v>
      </c>
      <c r="N2020" s="135">
        <v>120.0</v>
      </c>
      <c r="O2020" s="135">
        <v>1.914</v>
      </c>
      <c r="P2020" s="136">
        <v>0.0</v>
      </c>
      <c r="Q2020" s="137">
        <v>4.785</v>
      </c>
      <c r="R2020" s="136">
        <v>46128.0</v>
      </c>
      <c r="S2020" s="135" t="s">
        <v>3877</v>
      </c>
      <c r="T2020" s="136"/>
      <c r="U2020" s="135" t="s">
        <v>2855</v>
      </c>
      <c r="V2020" s="135" t="s">
        <v>2878</v>
      </c>
      <c r="W2020" s="135">
        <v>1800.0</v>
      </c>
      <c r="X2020" s="135">
        <v>0.0</v>
      </c>
      <c r="Y2020" s="135"/>
      <c r="Z2020" s="135" t="s">
        <v>2858</v>
      </c>
      <c r="AA2020" s="135"/>
      <c r="AB2020" s="135"/>
      <c r="AC2020" s="135"/>
      <c r="AD2020" s="135" t="e">
        <v>#N/A</v>
      </c>
      <c r="AE2020" s="135"/>
      <c r="AF2020" s="135"/>
      <c r="AG2020" s="135"/>
    </row>
    <row r="2021" ht="21.75" hidden="1" customHeight="1">
      <c r="A2021" s="135">
        <v>2017.0</v>
      </c>
      <c r="B2021" s="135">
        <v>25045.0</v>
      </c>
      <c r="C2021" s="135" t="s">
        <v>2817</v>
      </c>
      <c r="D2021" s="135">
        <v>34.0</v>
      </c>
      <c r="E2021" s="135" t="s">
        <v>3912</v>
      </c>
      <c r="F2021" s="135" t="s">
        <v>1812</v>
      </c>
      <c r="G2021" s="135" t="s">
        <v>66</v>
      </c>
      <c r="H2021" s="135"/>
      <c r="I2021" s="135" t="s">
        <v>70</v>
      </c>
      <c r="J2021" s="135">
        <v>1.0</v>
      </c>
      <c r="K2021" s="135"/>
      <c r="L2021" s="135">
        <v>4562.0</v>
      </c>
      <c r="M2021" s="135">
        <v>3050.0</v>
      </c>
      <c r="N2021" s="135">
        <v>120.0</v>
      </c>
      <c r="O2021" s="135">
        <v>1.914</v>
      </c>
      <c r="P2021" s="136">
        <v>0.0</v>
      </c>
      <c r="Q2021" s="137">
        <v>4.785</v>
      </c>
      <c r="R2021" s="136">
        <v>46128.0</v>
      </c>
      <c r="S2021" s="135" t="s">
        <v>3877</v>
      </c>
      <c r="T2021" s="136"/>
      <c r="U2021" s="135" t="s">
        <v>2855</v>
      </c>
      <c r="V2021" s="135" t="s">
        <v>2878</v>
      </c>
      <c r="W2021" s="135">
        <v>1800.0</v>
      </c>
      <c r="X2021" s="135">
        <v>0.0</v>
      </c>
      <c r="Y2021" s="135"/>
      <c r="Z2021" s="135" t="s">
        <v>2858</v>
      </c>
      <c r="AA2021" s="135"/>
      <c r="AB2021" s="135"/>
      <c r="AC2021" s="135"/>
      <c r="AD2021" s="135" t="e">
        <v>#N/A</v>
      </c>
      <c r="AE2021" s="135"/>
      <c r="AF2021" s="135"/>
      <c r="AG2021" s="135"/>
    </row>
    <row r="2022" ht="21.75" hidden="1" customHeight="1">
      <c r="A2022" s="135">
        <v>2018.0</v>
      </c>
      <c r="B2022" s="135">
        <v>25045.0</v>
      </c>
      <c r="C2022" s="135" t="s">
        <v>2817</v>
      </c>
      <c r="D2022" s="135">
        <v>34.0</v>
      </c>
      <c r="E2022" s="135" t="s">
        <v>3912</v>
      </c>
      <c r="F2022" s="135" t="s">
        <v>1813</v>
      </c>
      <c r="G2022" s="135" t="s">
        <v>66</v>
      </c>
      <c r="H2022" s="135"/>
      <c r="I2022" s="135" t="s">
        <v>70</v>
      </c>
      <c r="J2022" s="135">
        <v>1.0</v>
      </c>
      <c r="K2022" s="135"/>
      <c r="L2022" s="135">
        <v>4562.0</v>
      </c>
      <c r="M2022" s="135">
        <v>3050.0</v>
      </c>
      <c r="N2022" s="135">
        <v>120.0</v>
      </c>
      <c r="O2022" s="135">
        <v>1.914</v>
      </c>
      <c r="P2022" s="136">
        <v>0.0</v>
      </c>
      <c r="Q2022" s="137">
        <v>4.785</v>
      </c>
      <c r="R2022" s="136">
        <v>46128.0</v>
      </c>
      <c r="S2022" s="135" t="s">
        <v>3877</v>
      </c>
      <c r="T2022" s="136"/>
      <c r="U2022" s="135" t="s">
        <v>2855</v>
      </c>
      <c r="V2022" s="135" t="s">
        <v>2878</v>
      </c>
      <c r="W2022" s="135">
        <v>1800.0</v>
      </c>
      <c r="X2022" s="135">
        <v>0.0</v>
      </c>
      <c r="Y2022" s="135"/>
      <c r="Z2022" s="135" t="s">
        <v>2858</v>
      </c>
      <c r="AA2022" s="135"/>
      <c r="AB2022" s="135"/>
      <c r="AC2022" s="135"/>
      <c r="AD2022" s="135" t="e">
        <v>#N/A</v>
      </c>
      <c r="AE2022" s="135"/>
      <c r="AF2022" s="135"/>
      <c r="AG2022" s="135"/>
    </row>
    <row r="2023" ht="21.75" hidden="1" customHeight="1">
      <c r="A2023" s="135">
        <v>2019.0</v>
      </c>
      <c r="B2023" s="135">
        <v>25045.0</v>
      </c>
      <c r="C2023" s="135" t="s">
        <v>2817</v>
      </c>
      <c r="D2023" s="135">
        <v>34.0</v>
      </c>
      <c r="E2023" s="135" t="s">
        <v>3912</v>
      </c>
      <c r="F2023" s="135" t="s">
        <v>1814</v>
      </c>
      <c r="G2023" s="135" t="s">
        <v>66</v>
      </c>
      <c r="H2023" s="135"/>
      <c r="I2023" s="135" t="s">
        <v>70</v>
      </c>
      <c r="J2023" s="135">
        <v>1.0</v>
      </c>
      <c r="K2023" s="135"/>
      <c r="L2023" s="135">
        <v>4562.0</v>
      </c>
      <c r="M2023" s="135">
        <v>3450.0</v>
      </c>
      <c r="N2023" s="135">
        <v>120.0</v>
      </c>
      <c r="O2023" s="135">
        <v>1.558</v>
      </c>
      <c r="P2023" s="136">
        <v>0.0</v>
      </c>
      <c r="Q2023" s="137">
        <v>3.895</v>
      </c>
      <c r="R2023" s="136">
        <v>46128.0</v>
      </c>
      <c r="S2023" s="135" t="s">
        <v>3877</v>
      </c>
      <c r="T2023" s="136"/>
      <c r="U2023" s="135" t="s">
        <v>2864</v>
      </c>
      <c r="V2023" s="135" t="s">
        <v>2985</v>
      </c>
      <c r="W2023" s="135">
        <v>0.0</v>
      </c>
      <c r="X2023" s="135" t="s">
        <v>3764</v>
      </c>
      <c r="Y2023" s="135"/>
      <c r="Z2023" s="135" t="s">
        <v>2858</v>
      </c>
      <c r="AA2023" s="135"/>
      <c r="AB2023" s="135"/>
      <c r="AC2023" s="135"/>
      <c r="AD2023" s="135" t="e">
        <v>#N/A</v>
      </c>
      <c r="AE2023" s="135"/>
      <c r="AF2023" s="135"/>
      <c r="AG2023" s="135"/>
    </row>
    <row r="2024" ht="21.75" hidden="1" customHeight="1">
      <c r="A2024" s="135">
        <v>2020.0</v>
      </c>
      <c r="B2024" s="135">
        <v>25045.0</v>
      </c>
      <c r="C2024" s="135" t="s">
        <v>2817</v>
      </c>
      <c r="D2024" s="135">
        <v>34.0</v>
      </c>
      <c r="E2024" s="135" t="s">
        <v>3912</v>
      </c>
      <c r="F2024" s="135" t="s">
        <v>1815</v>
      </c>
      <c r="G2024" s="135" t="s">
        <v>66</v>
      </c>
      <c r="H2024" s="135"/>
      <c r="I2024" s="135" t="s">
        <v>70</v>
      </c>
      <c r="J2024" s="135">
        <v>1.0</v>
      </c>
      <c r="K2024" s="135"/>
      <c r="L2024" s="135">
        <v>4655.0</v>
      </c>
      <c r="M2024" s="135">
        <v>3280.0</v>
      </c>
      <c r="N2024" s="135">
        <v>120.0</v>
      </c>
      <c r="O2024" s="135">
        <v>1.867</v>
      </c>
      <c r="P2024" s="136">
        <v>0.0</v>
      </c>
      <c r="Q2024" s="137">
        <v>4.6675</v>
      </c>
      <c r="R2024" s="136">
        <v>46128.0</v>
      </c>
      <c r="S2024" s="135" t="s">
        <v>3877</v>
      </c>
      <c r="T2024" s="136"/>
      <c r="U2024" s="135" t="s">
        <v>2864</v>
      </c>
      <c r="V2024" s="135" t="s">
        <v>2890</v>
      </c>
      <c r="W2024" s="135">
        <v>0.0</v>
      </c>
      <c r="X2024" s="135">
        <v>0.0</v>
      </c>
      <c r="Y2024" s="135"/>
      <c r="Z2024" s="135" t="s">
        <v>2858</v>
      </c>
      <c r="AA2024" s="135"/>
      <c r="AB2024" s="135"/>
      <c r="AC2024" s="135"/>
      <c r="AD2024" s="135" t="e">
        <v>#N/A</v>
      </c>
      <c r="AE2024" s="135"/>
      <c r="AF2024" s="135"/>
      <c r="AG2024" s="135"/>
    </row>
    <row r="2025" ht="21.75" hidden="1" customHeight="1">
      <c r="A2025" s="135">
        <v>2021.0</v>
      </c>
      <c r="B2025" s="135">
        <v>25045.0</v>
      </c>
      <c r="C2025" s="135" t="s">
        <v>2817</v>
      </c>
      <c r="D2025" s="135">
        <v>34.0</v>
      </c>
      <c r="E2025" s="135" t="s">
        <v>3912</v>
      </c>
      <c r="F2025" s="135" t="s">
        <v>1816</v>
      </c>
      <c r="G2025" s="135" t="s">
        <v>66</v>
      </c>
      <c r="H2025" s="135"/>
      <c r="I2025" s="135" t="s">
        <v>70</v>
      </c>
      <c r="J2025" s="135">
        <v>1.0</v>
      </c>
      <c r="K2025" s="135"/>
      <c r="L2025" s="135">
        <v>4655.0</v>
      </c>
      <c r="M2025" s="135">
        <v>3280.0</v>
      </c>
      <c r="N2025" s="135">
        <v>120.0</v>
      </c>
      <c r="O2025" s="135">
        <v>2.204</v>
      </c>
      <c r="P2025" s="136">
        <v>0.0</v>
      </c>
      <c r="Q2025" s="137">
        <v>5.510000000000001</v>
      </c>
      <c r="R2025" s="136">
        <v>46128.0</v>
      </c>
      <c r="S2025" s="135" t="s">
        <v>3877</v>
      </c>
      <c r="T2025" s="136"/>
      <c r="U2025" s="135" t="s">
        <v>2855</v>
      </c>
      <c r="V2025" s="135" t="s">
        <v>2878</v>
      </c>
      <c r="W2025" s="135">
        <v>1800.0</v>
      </c>
      <c r="X2025" s="135">
        <v>0.0</v>
      </c>
      <c r="Y2025" s="135"/>
      <c r="Z2025" s="135" t="s">
        <v>2858</v>
      </c>
      <c r="AA2025" s="135"/>
      <c r="AB2025" s="135"/>
      <c r="AC2025" s="135"/>
      <c r="AD2025" s="135" t="e">
        <v>#N/A</v>
      </c>
      <c r="AE2025" s="135"/>
      <c r="AF2025" s="135"/>
      <c r="AG2025" s="135"/>
    </row>
    <row r="2026" ht="21.75" hidden="1" customHeight="1">
      <c r="A2026" s="135">
        <v>2022.0</v>
      </c>
      <c r="B2026" s="135">
        <v>25045.0</v>
      </c>
      <c r="C2026" s="135" t="s">
        <v>2817</v>
      </c>
      <c r="D2026" s="135">
        <v>34.0</v>
      </c>
      <c r="E2026" s="135" t="s">
        <v>3912</v>
      </c>
      <c r="F2026" s="135" t="s">
        <v>1817</v>
      </c>
      <c r="G2026" s="135" t="s">
        <v>66</v>
      </c>
      <c r="H2026" s="135"/>
      <c r="I2026" s="135" t="s">
        <v>70</v>
      </c>
      <c r="J2026" s="135">
        <v>1.0</v>
      </c>
      <c r="K2026" s="135"/>
      <c r="L2026" s="135">
        <v>4655.0</v>
      </c>
      <c r="M2026" s="135">
        <v>3280.0</v>
      </c>
      <c r="N2026" s="135">
        <v>120.0</v>
      </c>
      <c r="O2026" s="135">
        <v>2.204</v>
      </c>
      <c r="P2026" s="136">
        <v>0.0</v>
      </c>
      <c r="Q2026" s="137">
        <v>5.510000000000001</v>
      </c>
      <c r="R2026" s="136">
        <v>46128.0</v>
      </c>
      <c r="S2026" s="135" t="s">
        <v>3877</v>
      </c>
      <c r="T2026" s="136"/>
      <c r="U2026" s="135" t="s">
        <v>2855</v>
      </c>
      <c r="V2026" s="135" t="s">
        <v>2878</v>
      </c>
      <c r="W2026" s="135">
        <v>1800.0</v>
      </c>
      <c r="X2026" s="135">
        <v>0.0</v>
      </c>
      <c r="Y2026" s="135"/>
      <c r="Z2026" s="135" t="s">
        <v>2858</v>
      </c>
      <c r="AA2026" s="135"/>
      <c r="AB2026" s="135"/>
      <c r="AC2026" s="135"/>
      <c r="AD2026" s="135" t="e">
        <v>#N/A</v>
      </c>
      <c r="AE2026" s="135"/>
      <c r="AF2026" s="135"/>
      <c r="AG2026" s="135"/>
    </row>
    <row r="2027" ht="21.75" hidden="1" customHeight="1">
      <c r="A2027" s="135">
        <v>2023.0</v>
      </c>
      <c r="B2027" s="135">
        <v>25045.0</v>
      </c>
      <c r="C2027" s="135" t="s">
        <v>2817</v>
      </c>
      <c r="D2027" s="135">
        <v>34.0</v>
      </c>
      <c r="E2027" s="135" t="s">
        <v>3912</v>
      </c>
      <c r="F2027" s="135" t="s">
        <v>1818</v>
      </c>
      <c r="G2027" s="135" t="s">
        <v>66</v>
      </c>
      <c r="H2027" s="135"/>
      <c r="I2027" s="135" t="s">
        <v>70</v>
      </c>
      <c r="J2027" s="135">
        <v>1.0</v>
      </c>
      <c r="K2027" s="135"/>
      <c r="L2027" s="135">
        <v>4655.0</v>
      </c>
      <c r="M2027" s="135">
        <v>3280.0</v>
      </c>
      <c r="N2027" s="135">
        <v>120.0</v>
      </c>
      <c r="O2027" s="135">
        <v>2.204</v>
      </c>
      <c r="P2027" s="136">
        <v>0.0</v>
      </c>
      <c r="Q2027" s="137">
        <v>5.510000000000001</v>
      </c>
      <c r="R2027" s="136">
        <v>46128.0</v>
      </c>
      <c r="S2027" s="135" t="s">
        <v>3877</v>
      </c>
      <c r="T2027" s="136"/>
      <c r="U2027" s="135" t="s">
        <v>2855</v>
      </c>
      <c r="V2027" s="135" t="s">
        <v>2878</v>
      </c>
      <c r="W2027" s="135">
        <v>1800.0</v>
      </c>
      <c r="X2027" s="135">
        <v>0.0</v>
      </c>
      <c r="Y2027" s="135"/>
      <c r="Z2027" s="135" t="s">
        <v>2858</v>
      </c>
      <c r="AA2027" s="135"/>
      <c r="AB2027" s="135"/>
      <c r="AC2027" s="135"/>
      <c r="AD2027" s="135" t="e">
        <v>#N/A</v>
      </c>
      <c r="AE2027" s="135"/>
      <c r="AF2027" s="135"/>
      <c r="AG2027" s="135"/>
    </row>
    <row r="2028" ht="21.75" hidden="1" customHeight="1">
      <c r="A2028" s="135">
        <v>2024.0</v>
      </c>
      <c r="B2028" s="135">
        <v>25045.0</v>
      </c>
      <c r="C2028" s="135" t="s">
        <v>2817</v>
      </c>
      <c r="D2028" s="135">
        <v>34.0</v>
      </c>
      <c r="E2028" s="135" t="s">
        <v>3912</v>
      </c>
      <c r="F2028" s="135" t="s">
        <v>1819</v>
      </c>
      <c r="G2028" s="135" t="s">
        <v>66</v>
      </c>
      <c r="H2028" s="135"/>
      <c r="I2028" s="135" t="s">
        <v>70</v>
      </c>
      <c r="J2028" s="135">
        <v>1.0</v>
      </c>
      <c r="K2028" s="135"/>
      <c r="L2028" s="135">
        <v>5015.0</v>
      </c>
      <c r="M2028" s="135">
        <v>3380.0</v>
      </c>
      <c r="N2028" s="135">
        <v>120.0</v>
      </c>
      <c r="O2028" s="135">
        <v>2.311</v>
      </c>
      <c r="P2028" s="136">
        <v>0.0</v>
      </c>
      <c r="Q2028" s="137">
        <v>5.7775</v>
      </c>
      <c r="R2028" s="136">
        <v>46128.0</v>
      </c>
      <c r="S2028" s="135" t="s">
        <v>3877</v>
      </c>
      <c r="T2028" s="136"/>
      <c r="U2028" s="135" t="s">
        <v>2855</v>
      </c>
      <c r="V2028" s="135" t="s">
        <v>2878</v>
      </c>
      <c r="W2028" s="135">
        <v>2500.0</v>
      </c>
      <c r="X2028" s="135">
        <v>0.0</v>
      </c>
      <c r="Y2028" s="135"/>
      <c r="Z2028" s="135" t="s">
        <v>2858</v>
      </c>
      <c r="AA2028" s="135"/>
      <c r="AB2028" s="135"/>
      <c r="AC2028" s="135"/>
      <c r="AD2028" s="135" t="e">
        <v>#N/A</v>
      </c>
      <c r="AE2028" s="135"/>
      <c r="AF2028" s="135"/>
      <c r="AG2028" s="135"/>
    </row>
    <row r="2029" ht="21.75" hidden="1" customHeight="1">
      <c r="A2029" s="135">
        <v>2025.0</v>
      </c>
      <c r="B2029" s="135">
        <v>25045.0</v>
      </c>
      <c r="C2029" s="135" t="s">
        <v>2817</v>
      </c>
      <c r="D2029" s="135">
        <v>34.0</v>
      </c>
      <c r="E2029" s="135" t="s">
        <v>3912</v>
      </c>
      <c r="F2029" s="135" t="s">
        <v>1820</v>
      </c>
      <c r="G2029" s="135" t="s">
        <v>66</v>
      </c>
      <c r="H2029" s="135"/>
      <c r="I2029" s="135" t="s">
        <v>70</v>
      </c>
      <c r="J2029" s="135">
        <v>1.0</v>
      </c>
      <c r="K2029" s="135"/>
      <c r="L2029" s="135">
        <v>1635.0</v>
      </c>
      <c r="M2029" s="135">
        <v>1645.0</v>
      </c>
      <c r="N2029" s="135">
        <v>120.0</v>
      </c>
      <c r="O2029" s="135">
        <v>0.411</v>
      </c>
      <c r="P2029" s="136">
        <v>0.0</v>
      </c>
      <c r="Q2029" s="137">
        <v>1.0274999999999999</v>
      </c>
      <c r="R2029" s="136">
        <v>46128.0</v>
      </c>
      <c r="S2029" s="135" t="s">
        <v>3877</v>
      </c>
      <c r="T2029" s="136"/>
      <c r="U2029" s="135" t="s">
        <v>2864</v>
      </c>
      <c r="V2029" s="135" t="s">
        <v>2873</v>
      </c>
      <c r="W2029" s="135">
        <v>0.0</v>
      </c>
      <c r="X2029" s="135">
        <v>0.0</v>
      </c>
      <c r="Y2029" s="135"/>
      <c r="Z2029" s="135" t="s">
        <v>2858</v>
      </c>
      <c r="AA2029" s="135"/>
      <c r="AB2029" s="135"/>
      <c r="AC2029" s="135"/>
      <c r="AD2029" s="135" t="e">
        <v>#N/A</v>
      </c>
      <c r="AE2029" s="135"/>
      <c r="AF2029" s="135"/>
      <c r="AG2029" s="135"/>
    </row>
    <row r="2030" ht="21.75" hidden="1" customHeight="1">
      <c r="A2030" s="135">
        <v>2026.0</v>
      </c>
      <c r="B2030" s="135">
        <v>25045.0</v>
      </c>
      <c r="C2030" s="135" t="s">
        <v>2817</v>
      </c>
      <c r="D2030" s="135">
        <v>34.0</v>
      </c>
      <c r="E2030" s="135" t="s">
        <v>3912</v>
      </c>
      <c r="F2030" s="135" t="s">
        <v>1821</v>
      </c>
      <c r="G2030" s="135" t="s">
        <v>66</v>
      </c>
      <c r="H2030" s="135"/>
      <c r="I2030" s="135" t="s">
        <v>70</v>
      </c>
      <c r="J2030" s="135">
        <v>1.0</v>
      </c>
      <c r="K2030" s="135"/>
      <c r="L2030" s="135">
        <v>750.0</v>
      </c>
      <c r="M2030" s="135">
        <v>3270.0</v>
      </c>
      <c r="N2030" s="135">
        <v>350.0</v>
      </c>
      <c r="O2030" s="135">
        <v>0.553</v>
      </c>
      <c r="P2030" s="136">
        <v>0.0</v>
      </c>
      <c r="Q2030" s="137">
        <v>1.3825</v>
      </c>
      <c r="R2030" s="136">
        <v>46128.0</v>
      </c>
      <c r="S2030" s="135" t="s">
        <v>3877</v>
      </c>
      <c r="T2030" s="136"/>
      <c r="U2030" s="135" t="s">
        <v>2966</v>
      </c>
      <c r="V2030" s="135" t="s">
        <v>2967</v>
      </c>
      <c r="W2030" s="135">
        <v>0.0</v>
      </c>
      <c r="X2030" s="135">
        <v>0.0</v>
      </c>
      <c r="Y2030" s="135"/>
      <c r="Z2030" s="135" t="s">
        <v>2858</v>
      </c>
      <c r="AA2030" s="135"/>
      <c r="AB2030" s="135"/>
      <c r="AC2030" s="135"/>
      <c r="AD2030" s="135" t="e">
        <v>#N/A</v>
      </c>
      <c r="AE2030" s="135"/>
      <c r="AF2030" s="135"/>
      <c r="AG2030" s="135"/>
    </row>
    <row r="2031" ht="21.75" hidden="1" customHeight="1">
      <c r="A2031" s="135">
        <v>2027.0</v>
      </c>
      <c r="B2031" s="135">
        <v>25045.0</v>
      </c>
      <c r="C2031" s="135" t="s">
        <v>2817</v>
      </c>
      <c r="D2031" s="135">
        <v>34.0</v>
      </c>
      <c r="E2031" s="135" t="s">
        <v>3914</v>
      </c>
      <c r="F2031" s="135" t="s">
        <v>1822</v>
      </c>
      <c r="G2031" s="135" t="s">
        <v>66</v>
      </c>
      <c r="H2031" s="135"/>
      <c r="I2031" s="135" t="s">
        <v>71</v>
      </c>
      <c r="J2031" s="135">
        <v>1.0</v>
      </c>
      <c r="K2031" s="135"/>
      <c r="L2031" s="135">
        <v>5688.0</v>
      </c>
      <c r="M2031" s="135">
        <v>1355.0</v>
      </c>
      <c r="N2031" s="135">
        <v>120.0</v>
      </c>
      <c r="O2031" s="135">
        <v>0.974</v>
      </c>
      <c r="P2031" s="136">
        <v>0.0</v>
      </c>
      <c r="Q2031" s="137">
        <v>2.435</v>
      </c>
      <c r="R2031" s="136">
        <v>46128.0</v>
      </c>
      <c r="S2031" s="135" t="s">
        <v>3877</v>
      </c>
      <c r="T2031" s="136"/>
      <c r="U2031" s="135" t="s">
        <v>2855</v>
      </c>
      <c r="V2031" s="135" t="s">
        <v>2856</v>
      </c>
      <c r="W2031" s="135">
        <v>1800.0</v>
      </c>
      <c r="X2031" s="135">
        <v>0.0</v>
      </c>
      <c r="Y2031" s="135"/>
      <c r="Z2031" s="135" t="s">
        <v>2858</v>
      </c>
      <c r="AA2031" s="135"/>
      <c r="AB2031" s="135"/>
      <c r="AC2031" s="135"/>
      <c r="AD2031" s="135" t="e">
        <v>#N/A</v>
      </c>
      <c r="AE2031" s="135"/>
      <c r="AF2031" s="135"/>
      <c r="AG2031" s="135"/>
    </row>
    <row r="2032" ht="21.75" hidden="1" customHeight="1">
      <c r="A2032" s="135">
        <v>2028.0</v>
      </c>
      <c r="B2032" s="135">
        <v>25045.0</v>
      </c>
      <c r="C2032" s="135" t="s">
        <v>2817</v>
      </c>
      <c r="D2032" s="135">
        <v>34.0</v>
      </c>
      <c r="E2032" s="135" t="s">
        <v>3914</v>
      </c>
      <c r="F2032" s="135" t="s">
        <v>1823</v>
      </c>
      <c r="G2032" s="135" t="s">
        <v>66</v>
      </c>
      <c r="H2032" s="135"/>
      <c r="I2032" s="135" t="s">
        <v>71</v>
      </c>
      <c r="J2032" s="135">
        <v>1.0</v>
      </c>
      <c r="K2032" s="135"/>
      <c r="L2032" s="135">
        <v>5688.0</v>
      </c>
      <c r="M2032" s="135">
        <v>1350.0</v>
      </c>
      <c r="N2032" s="135">
        <v>120.0</v>
      </c>
      <c r="O2032" s="135">
        <v>1.068</v>
      </c>
      <c r="P2032" s="136">
        <v>0.0</v>
      </c>
      <c r="Q2032" s="137">
        <v>2.67</v>
      </c>
      <c r="R2032" s="136">
        <v>46128.0</v>
      </c>
      <c r="S2032" s="135" t="s">
        <v>3877</v>
      </c>
      <c r="T2032" s="136"/>
      <c r="U2032" s="135" t="s">
        <v>2855</v>
      </c>
      <c r="V2032" s="135" t="s">
        <v>2856</v>
      </c>
      <c r="W2032" s="135">
        <v>1800.0</v>
      </c>
      <c r="X2032" s="135" t="s">
        <v>3915</v>
      </c>
      <c r="Y2032" s="135"/>
      <c r="Z2032" s="135" t="s">
        <v>2858</v>
      </c>
      <c r="AA2032" s="135"/>
      <c r="AB2032" s="135"/>
      <c r="AC2032" s="135"/>
      <c r="AD2032" s="135" t="e">
        <v>#N/A</v>
      </c>
      <c r="AE2032" s="135"/>
      <c r="AF2032" s="135"/>
      <c r="AG2032" s="135"/>
    </row>
    <row r="2033" ht="21.75" hidden="1" customHeight="1">
      <c r="A2033" s="135">
        <v>2029.0</v>
      </c>
      <c r="B2033" s="135">
        <v>25045.0</v>
      </c>
      <c r="C2033" s="135" t="s">
        <v>2817</v>
      </c>
      <c r="D2033" s="135">
        <v>34.0</v>
      </c>
      <c r="E2033" s="135" t="s">
        <v>3914</v>
      </c>
      <c r="F2033" s="135" t="s">
        <v>1824</v>
      </c>
      <c r="G2033" s="135" t="s">
        <v>66</v>
      </c>
      <c r="H2033" s="135"/>
      <c r="I2033" s="135" t="s">
        <v>71</v>
      </c>
      <c r="J2033" s="135">
        <v>1.0</v>
      </c>
      <c r="K2033" s="135"/>
      <c r="L2033" s="135">
        <v>2595.0</v>
      </c>
      <c r="M2033" s="135">
        <v>2850.0</v>
      </c>
      <c r="N2033" s="135">
        <v>120.0</v>
      </c>
      <c r="O2033" s="135">
        <v>0.915</v>
      </c>
      <c r="P2033" s="136">
        <v>0.0</v>
      </c>
      <c r="Q2033" s="137">
        <v>2.2875</v>
      </c>
      <c r="R2033" s="136">
        <v>46128.0</v>
      </c>
      <c r="S2033" s="135" t="s">
        <v>3877</v>
      </c>
      <c r="T2033" s="136"/>
      <c r="U2033" s="135" t="s">
        <v>2864</v>
      </c>
      <c r="V2033" s="135" t="s">
        <v>2878</v>
      </c>
      <c r="W2033" s="135">
        <v>0.0</v>
      </c>
      <c r="X2033" s="135" t="s">
        <v>3586</v>
      </c>
      <c r="Y2033" s="135"/>
      <c r="Z2033" s="135" t="s">
        <v>2858</v>
      </c>
      <c r="AA2033" s="135"/>
      <c r="AB2033" s="135"/>
      <c r="AC2033" s="135"/>
      <c r="AD2033" s="135" t="e">
        <v>#N/A</v>
      </c>
      <c r="AE2033" s="135"/>
      <c r="AF2033" s="135"/>
      <c r="AG2033" s="135"/>
    </row>
    <row r="2034" ht="21.75" hidden="1" customHeight="1">
      <c r="A2034" s="135">
        <v>2030.0</v>
      </c>
      <c r="B2034" s="135">
        <v>25045.0</v>
      </c>
      <c r="C2034" s="135"/>
      <c r="D2034" s="135">
        <v>34.0</v>
      </c>
      <c r="E2034" s="135" t="s">
        <v>3914</v>
      </c>
      <c r="F2034" s="135" t="s">
        <v>1825</v>
      </c>
      <c r="G2034" s="135" t="s">
        <v>66</v>
      </c>
      <c r="H2034" s="135"/>
      <c r="I2034" s="135" t="s">
        <v>71</v>
      </c>
      <c r="J2034" s="135">
        <v>1.0</v>
      </c>
      <c r="K2034" s="135"/>
      <c r="L2034" s="135">
        <v>4598.0</v>
      </c>
      <c r="M2034" s="135">
        <v>3050.0</v>
      </c>
      <c r="N2034" s="135">
        <v>120.0</v>
      </c>
      <c r="O2034" s="135">
        <v>1.598</v>
      </c>
      <c r="P2034" s="136">
        <v>0.0</v>
      </c>
      <c r="Q2034" s="137">
        <v>3.995</v>
      </c>
      <c r="R2034" s="136">
        <v>46128.0</v>
      </c>
      <c r="S2034" s="135" t="s">
        <v>3877</v>
      </c>
      <c r="T2034" s="136"/>
      <c r="U2034" s="135" t="s">
        <v>2864</v>
      </c>
      <c r="V2034" s="135" t="s">
        <v>2985</v>
      </c>
      <c r="W2034" s="135">
        <v>0.0</v>
      </c>
      <c r="X2034" s="135" t="s">
        <v>3586</v>
      </c>
      <c r="Y2034" s="135"/>
      <c r="Z2034" s="135" t="s">
        <v>2858</v>
      </c>
      <c r="AA2034" s="135"/>
      <c r="AB2034" s="135"/>
      <c r="AC2034" s="135"/>
      <c r="AD2034" s="135">
        <v>46153.0</v>
      </c>
      <c r="AE2034" s="135"/>
      <c r="AF2034" s="135"/>
      <c r="AG2034" s="135"/>
    </row>
    <row r="2035" ht="21.75" hidden="1" customHeight="1">
      <c r="A2035" s="135">
        <v>2031.0</v>
      </c>
      <c r="B2035" s="135">
        <v>25045.0</v>
      </c>
      <c r="C2035" s="135"/>
      <c r="D2035" s="135">
        <v>34.0</v>
      </c>
      <c r="E2035" s="135" t="s">
        <v>3914</v>
      </c>
      <c r="F2035" s="135" t="s">
        <v>1826</v>
      </c>
      <c r="G2035" s="135" t="s">
        <v>66</v>
      </c>
      <c r="H2035" s="135"/>
      <c r="I2035" s="135" t="s">
        <v>71</v>
      </c>
      <c r="J2035" s="135">
        <v>1.0</v>
      </c>
      <c r="K2035" s="135"/>
      <c r="L2035" s="135">
        <v>4598.0</v>
      </c>
      <c r="M2035" s="135">
        <v>3050.0</v>
      </c>
      <c r="N2035" s="135">
        <v>120.0</v>
      </c>
      <c r="O2035" s="135">
        <v>1.923</v>
      </c>
      <c r="P2035" s="136">
        <v>0.0</v>
      </c>
      <c r="Q2035" s="137">
        <v>4.8075</v>
      </c>
      <c r="R2035" s="136">
        <v>46128.0</v>
      </c>
      <c r="S2035" s="135" t="s">
        <v>3877</v>
      </c>
      <c r="T2035" s="136"/>
      <c r="U2035" s="135" t="s">
        <v>2855</v>
      </c>
      <c r="V2035" s="135" t="s">
        <v>2876</v>
      </c>
      <c r="W2035" s="135">
        <v>1800.0</v>
      </c>
      <c r="X2035" s="135">
        <v>0.0</v>
      </c>
      <c r="Y2035" s="135"/>
      <c r="Z2035" s="135" t="s">
        <v>2858</v>
      </c>
      <c r="AA2035" s="135"/>
      <c r="AB2035" s="135"/>
      <c r="AC2035" s="135"/>
      <c r="AD2035" s="135">
        <v>46154.0</v>
      </c>
      <c r="AE2035" s="135"/>
      <c r="AF2035" s="135"/>
      <c r="AG2035" s="135"/>
    </row>
    <row r="2036" ht="21.75" hidden="1" customHeight="1">
      <c r="A2036" s="135">
        <v>2032.0</v>
      </c>
      <c r="B2036" s="135">
        <v>25045.0</v>
      </c>
      <c r="C2036" s="135"/>
      <c r="D2036" s="135">
        <v>34.0</v>
      </c>
      <c r="E2036" s="135" t="s">
        <v>3914</v>
      </c>
      <c r="F2036" s="135" t="s">
        <v>1827</v>
      </c>
      <c r="G2036" s="135" t="s">
        <v>66</v>
      </c>
      <c r="H2036" s="135"/>
      <c r="I2036" s="135" t="s">
        <v>71</v>
      </c>
      <c r="J2036" s="135">
        <v>1.0</v>
      </c>
      <c r="K2036" s="135"/>
      <c r="L2036" s="135">
        <v>4598.0</v>
      </c>
      <c r="M2036" s="135">
        <v>3050.0</v>
      </c>
      <c r="N2036" s="135">
        <v>120.0</v>
      </c>
      <c r="O2036" s="135">
        <v>1.923</v>
      </c>
      <c r="P2036" s="136">
        <v>0.0</v>
      </c>
      <c r="Q2036" s="137">
        <v>4.8075</v>
      </c>
      <c r="R2036" s="136">
        <v>46128.0</v>
      </c>
      <c r="S2036" s="135" t="s">
        <v>3877</v>
      </c>
      <c r="T2036" s="136"/>
      <c r="U2036" s="135" t="s">
        <v>2855</v>
      </c>
      <c r="V2036" s="135" t="s">
        <v>2876</v>
      </c>
      <c r="W2036" s="135">
        <v>1800.0</v>
      </c>
      <c r="X2036" s="135">
        <v>0.0</v>
      </c>
      <c r="Y2036" s="135"/>
      <c r="Z2036" s="135" t="s">
        <v>2858</v>
      </c>
      <c r="AA2036" s="135"/>
      <c r="AB2036" s="135"/>
      <c r="AC2036" s="135"/>
      <c r="AD2036" s="135">
        <v>46154.0</v>
      </c>
      <c r="AE2036" s="135"/>
      <c r="AF2036" s="135"/>
      <c r="AG2036" s="135"/>
    </row>
    <row r="2037" ht="21.75" hidden="1" customHeight="1">
      <c r="A2037" s="135">
        <v>2033.0</v>
      </c>
      <c r="B2037" s="135">
        <v>25045.0</v>
      </c>
      <c r="C2037" s="135"/>
      <c r="D2037" s="135">
        <v>34.0</v>
      </c>
      <c r="E2037" s="135" t="s">
        <v>3914</v>
      </c>
      <c r="F2037" s="135" t="s">
        <v>1828</v>
      </c>
      <c r="G2037" s="135" t="s">
        <v>66</v>
      </c>
      <c r="H2037" s="135"/>
      <c r="I2037" s="135" t="s">
        <v>71</v>
      </c>
      <c r="J2037" s="135">
        <v>1.0</v>
      </c>
      <c r="K2037" s="135"/>
      <c r="L2037" s="135">
        <v>4598.0</v>
      </c>
      <c r="M2037" s="135">
        <v>3050.0</v>
      </c>
      <c r="N2037" s="135">
        <v>120.0</v>
      </c>
      <c r="O2037" s="135">
        <v>1.923</v>
      </c>
      <c r="P2037" s="136">
        <v>0.0</v>
      </c>
      <c r="Q2037" s="137">
        <v>4.8075</v>
      </c>
      <c r="R2037" s="136">
        <v>46128.0</v>
      </c>
      <c r="S2037" s="135" t="s">
        <v>3877</v>
      </c>
      <c r="T2037" s="136"/>
      <c r="U2037" s="135" t="s">
        <v>2855</v>
      </c>
      <c r="V2037" s="135" t="s">
        <v>2876</v>
      </c>
      <c r="W2037" s="135">
        <v>1800.0</v>
      </c>
      <c r="X2037" s="135">
        <v>0.0</v>
      </c>
      <c r="Y2037" s="135"/>
      <c r="Z2037" s="135" t="s">
        <v>2858</v>
      </c>
      <c r="AA2037" s="135"/>
      <c r="AB2037" s="135"/>
      <c r="AC2037" s="135"/>
      <c r="AD2037" s="135">
        <v>46155.0</v>
      </c>
      <c r="AE2037" s="135"/>
      <c r="AF2037" s="135"/>
      <c r="AG2037" s="135"/>
    </row>
    <row r="2038" ht="21.75" hidden="1" customHeight="1">
      <c r="A2038" s="135">
        <v>2034.0</v>
      </c>
      <c r="B2038" s="135">
        <v>25045.0</v>
      </c>
      <c r="C2038" s="135"/>
      <c r="D2038" s="135">
        <v>34.0</v>
      </c>
      <c r="E2038" s="135" t="s">
        <v>3914</v>
      </c>
      <c r="F2038" s="135" t="s">
        <v>1829</v>
      </c>
      <c r="G2038" s="135" t="s">
        <v>66</v>
      </c>
      <c r="H2038" s="135"/>
      <c r="I2038" s="135" t="s">
        <v>71</v>
      </c>
      <c r="J2038" s="135">
        <v>1.0</v>
      </c>
      <c r="K2038" s="135"/>
      <c r="L2038" s="135">
        <v>5000.0</v>
      </c>
      <c r="M2038" s="135">
        <v>3050.0</v>
      </c>
      <c r="N2038" s="135">
        <v>120.0</v>
      </c>
      <c r="O2038" s="135">
        <v>2.032</v>
      </c>
      <c r="P2038" s="136">
        <v>0.0</v>
      </c>
      <c r="Q2038" s="137">
        <v>5.08</v>
      </c>
      <c r="R2038" s="136">
        <v>46128.0</v>
      </c>
      <c r="S2038" s="135" t="s">
        <v>3877</v>
      </c>
      <c r="T2038" s="136"/>
      <c r="U2038" s="135" t="s">
        <v>2855</v>
      </c>
      <c r="V2038" s="135" t="s">
        <v>2876</v>
      </c>
      <c r="W2038" s="135">
        <v>2500.0</v>
      </c>
      <c r="X2038" s="135">
        <v>0.0</v>
      </c>
      <c r="Y2038" s="135"/>
      <c r="Z2038" s="135" t="s">
        <v>2858</v>
      </c>
      <c r="AA2038" s="135"/>
      <c r="AB2038" s="135"/>
      <c r="AC2038" s="135"/>
      <c r="AD2038" s="135">
        <v>46154.0</v>
      </c>
      <c r="AE2038" s="135"/>
      <c r="AF2038" s="135"/>
      <c r="AG2038" s="135"/>
    </row>
    <row r="2039" ht="21.75" hidden="1" customHeight="1">
      <c r="A2039" s="135">
        <v>2035.0</v>
      </c>
      <c r="B2039" s="135">
        <v>25045.0</v>
      </c>
      <c r="C2039" s="135"/>
      <c r="D2039" s="135">
        <v>34.0</v>
      </c>
      <c r="E2039" s="135" t="s">
        <v>3914</v>
      </c>
      <c r="F2039" s="135" t="s">
        <v>1830</v>
      </c>
      <c r="G2039" s="135" t="s">
        <v>66</v>
      </c>
      <c r="H2039" s="135"/>
      <c r="I2039" s="135" t="s">
        <v>71</v>
      </c>
      <c r="J2039" s="135">
        <v>1.0</v>
      </c>
      <c r="K2039" s="135"/>
      <c r="L2039" s="135">
        <v>4716.0</v>
      </c>
      <c r="M2039" s="135">
        <v>3070.0</v>
      </c>
      <c r="N2039" s="135">
        <v>120.0</v>
      </c>
      <c r="O2039" s="135">
        <v>1.95</v>
      </c>
      <c r="P2039" s="136">
        <v>0.0</v>
      </c>
      <c r="Q2039" s="137">
        <v>4.875</v>
      </c>
      <c r="R2039" s="136">
        <v>46128.0</v>
      </c>
      <c r="S2039" s="135" t="s">
        <v>3877</v>
      </c>
      <c r="T2039" s="136"/>
      <c r="U2039" s="135" t="s">
        <v>2855</v>
      </c>
      <c r="V2039" s="135" t="s">
        <v>2876</v>
      </c>
      <c r="W2039" s="135">
        <v>1800.0</v>
      </c>
      <c r="X2039" s="135">
        <v>0.0</v>
      </c>
      <c r="Y2039" s="135"/>
      <c r="Z2039" s="135" t="s">
        <v>2858</v>
      </c>
      <c r="AA2039" s="135"/>
      <c r="AB2039" s="135"/>
      <c r="AC2039" s="135"/>
      <c r="AD2039" s="135">
        <v>46150.0</v>
      </c>
      <c r="AE2039" s="135"/>
      <c r="AF2039" s="135"/>
      <c r="AG2039" s="135"/>
    </row>
    <row r="2040" ht="21.75" hidden="1" customHeight="1">
      <c r="A2040" s="135">
        <v>2036.0</v>
      </c>
      <c r="B2040" s="135">
        <v>25045.0</v>
      </c>
      <c r="C2040" s="135"/>
      <c r="D2040" s="135">
        <v>34.0</v>
      </c>
      <c r="E2040" s="135" t="s">
        <v>3914</v>
      </c>
      <c r="F2040" s="135" t="s">
        <v>1831</v>
      </c>
      <c r="G2040" s="135" t="s">
        <v>66</v>
      </c>
      <c r="H2040" s="135"/>
      <c r="I2040" s="135" t="s">
        <v>71</v>
      </c>
      <c r="J2040" s="135">
        <v>1.0</v>
      </c>
      <c r="K2040" s="135"/>
      <c r="L2040" s="135">
        <v>4716.0</v>
      </c>
      <c r="M2040" s="135">
        <v>3270.0</v>
      </c>
      <c r="N2040" s="135">
        <v>120.0</v>
      </c>
      <c r="O2040" s="135">
        <v>1.985</v>
      </c>
      <c r="P2040" s="136">
        <v>0.0</v>
      </c>
      <c r="Q2040" s="137">
        <v>4.9625</v>
      </c>
      <c r="R2040" s="136">
        <v>46128.0</v>
      </c>
      <c r="S2040" s="135" t="s">
        <v>3877</v>
      </c>
      <c r="T2040" s="136"/>
      <c r="U2040" s="135" t="s">
        <v>2855</v>
      </c>
      <c r="V2040" s="135" t="s">
        <v>2876</v>
      </c>
      <c r="W2040" s="135">
        <v>1800.0</v>
      </c>
      <c r="X2040" s="135">
        <v>0.0</v>
      </c>
      <c r="Y2040" s="135"/>
      <c r="Z2040" s="135" t="s">
        <v>2858</v>
      </c>
      <c r="AA2040" s="135"/>
      <c r="AB2040" s="135"/>
      <c r="AC2040" s="135"/>
      <c r="AD2040" s="135">
        <v>46151.0</v>
      </c>
      <c r="AE2040" s="135"/>
      <c r="AF2040" s="135"/>
      <c r="AG2040" s="135"/>
    </row>
    <row r="2041" ht="21.75" hidden="1" customHeight="1">
      <c r="A2041" s="135">
        <v>2037.0</v>
      </c>
      <c r="B2041" s="135">
        <v>25045.0</v>
      </c>
      <c r="C2041" s="135"/>
      <c r="D2041" s="135">
        <v>34.0</v>
      </c>
      <c r="E2041" s="135" t="s">
        <v>3914</v>
      </c>
      <c r="F2041" s="135" t="s">
        <v>1832</v>
      </c>
      <c r="G2041" s="135" t="s">
        <v>66</v>
      </c>
      <c r="H2041" s="135"/>
      <c r="I2041" s="135" t="s">
        <v>71</v>
      </c>
      <c r="J2041" s="135">
        <v>1.0</v>
      </c>
      <c r="K2041" s="135"/>
      <c r="L2041" s="135">
        <v>4716.0</v>
      </c>
      <c r="M2041" s="135">
        <v>3270.0</v>
      </c>
      <c r="N2041" s="135">
        <v>120.0</v>
      </c>
      <c r="O2041" s="135">
        <v>1.985</v>
      </c>
      <c r="P2041" s="136">
        <v>0.0</v>
      </c>
      <c r="Q2041" s="137">
        <v>4.9625</v>
      </c>
      <c r="R2041" s="136">
        <v>46128.0</v>
      </c>
      <c r="S2041" s="135" t="s">
        <v>3877</v>
      </c>
      <c r="T2041" s="136"/>
      <c r="U2041" s="135" t="s">
        <v>2855</v>
      </c>
      <c r="V2041" s="135" t="s">
        <v>2876</v>
      </c>
      <c r="W2041" s="135">
        <v>1800.0</v>
      </c>
      <c r="X2041" s="135">
        <v>0.0</v>
      </c>
      <c r="Y2041" s="135"/>
      <c r="Z2041" s="135" t="s">
        <v>2858</v>
      </c>
      <c r="AA2041" s="135"/>
      <c r="AB2041" s="135"/>
      <c r="AC2041" s="135"/>
      <c r="AD2041" s="135">
        <v>46150.0</v>
      </c>
      <c r="AE2041" s="135"/>
      <c r="AF2041" s="135"/>
      <c r="AG2041" s="135"/>
    </row>
    <row r="2042" ht="21.75" hidden="1" customHeight="1">
      <c r="A2042" s="135">
        <v>2038.0</v>
      </c>
      <c r="B2042" s="135">
        <v>25045.0</v>
      </c>
      <c r="C2042" s="135"/>
      <c r="D2042" s="135">
        <v>34.0</v>
      </c>
      <c r="E2042" s="135" t="s">
        <v>3914</v>
      </c>
      <c r="F2042" s="135" t="s">
        <v>1833</v>
      </c>
      <c r="G2042" s="135" t="s">
        <v>66</v>
      </c>
      <c r="H2042" s="135"/>
      <c r="I2042" s="135" t="s">
        <v>71</v>
      </c>
      <c r="J2042" s="135">
        <v>1.0</v>
      </c>
      <c r="K2042" s="135"/>
      <c r="L2042" s="135">
        <v>4716.0</v>
      </c>
      <c r="M2042" s="135">
        <v>3270.0</v>
      </c>
      <c r="N2042" s="135">
        <v>120.0</v>
      </c>
      <c r="O2042" s="135">
        <v>1.985</v>
      </c>
      <c r="P2042" s="136">
        <v>0.0</v>
      </c>
      <c r="Q2042" s="137">
        <v>4.9625</v>
      </c>
      <c r="R2042" s="136">
        <v>46128.0</v>
      </c>
      <c r="S2042" s="135" t="s">
        <v>3877</v>
      </c>
      <c r="T2042" s="136"/>
      <c r="U2042" s="135" t="s">
        <v>2855</v>
      </c>
      <c r="V2042" s="135" t="s">
        <v>2876</v>
      </c>
      <c r="W2042" s="135">
        <v>1800.0</v>
      </c>
      <c r="X2042" s="135">
        <v>0.0</v>
      </c>
      <c r="Y2042" s="135"/>
      <c r="Z2042" s="135" t="s">
        <v>2858</v>
      </c>
      <c r="AA2042" s="135"/>
      <c r="AB2042" s="135"/>
      <c r="AC2042" s="135"/>
      <c r="AD2042" s="135">
        <v>46151.0</v>
      </c>
      <c r="AE2042" s="135"/>
      <c r="AF2042" s="135"/>
      <c r="AG2042" s="135"/>
    </row>
    <row r="2043" ht="21.75" hidden="1" customHeight="1">
      <c r="A2043" s="135">
        <v>2039.0</v>
      </c>
      <c r="B2043" s="135">
        <v>25045.0</v>
      </c>
      <c r="C2043" s="135"/>
      <c r="D2043" s="135">
        <v>34.0</v>
      </c>
      <c r="E2043" s="135" t="s">
        <v>3914</v>
      </c>
      <c r="F2043" s="135" t="s">
        <v>1834</v>
      </c>
      <c r="G2043" s="135" t="s">
        <v>66</v>
      </c>
      <c r="H2043" s="135"/>
      <c r="I2043" s="135" t="s">
        <v>71</v>
      </c>
      <c r="J2043" s="135">
        <v>1.0</v>
      </c>
      <c r="K2043" s="135"/>
      <c r="L2043" s="135">
        <v>4716.0</v>
      </c>
      <c r="M2043" s="135">
        <v>3070.0</v>
      </c>
      <c r="N2043" s="135">
        <v>120.0</v>
      </c>
      <c r="O2043" s="135">
        <v>1.636</v>
      </c>
      <c r="P2043" s="136">
        <v>0.0</v>
      </c>
      <c r="Q2043" s="137">
        <v>4.09</v>
      </c>
      <c r="R2043" s="136">
        <v>46128.0</v>
      </c>
      <c r="S2043" s="135" t="s">
        <v>3877</v>
      </c>
      <c r="T2043" s="136"/>
      <c r="U2043" s="135" t="s">
        <v>2864</v>
      </c>
      <c r="V2043" s="135" t="s">
        <v>2985</v>
      </c>
      <c r="W2043" s="135">
        <v>0.0</v>
      </c>
      <c r="X2043" s="135" t="s">
        <v>3764</v>
      </c>
      <c r="Y2043" s="135"/>
      <c r="Z2043" s="135" t="s">
        <v>2858</v>
      </c>
      <c r="AA2043" s="135"/>
      <c r="AB2043" s="135"/>
      <c r="AC2043" s="135"/>
      <c r="AD2043" s="135">
        <v>46151.0</v>
      </c>
      <c r="AE2043" s="135"/>
      <c r="AF2043" s="135"/>
      <c r="AG2043" s="135"/>
    </row>
    <row r="2044" ht="21.75" hidden="1" customHeight="1">
      <c r="A2044" s="135">
        <v>2040.0</v>
      </c>
      <c r="B2044" s="135">
        <v>25045.0</v>
      </c>
      <c r="C2044" s="135"/>
      <c r="D2044" s="135">
        <v>34.0</v>
      </c>
      <c r="E2044" s="135" t="s">
        <v>3914</v>
      </c>
      <c r="F2044" s="135" t="s">
        <v>1835</v>
      </c>
      <c r="G2044" s="135" t="s">
        <v>66</v>
      </c>
      <c r="H2044" s="135"/>
      <c r="I2044" s="135" t="s">
        <v>71</v>
      </c>
      <c r="J2044" s="135">
        <v>1.0</v>
      </c>
      <c r="K2044" s="135"/>
      <c r="L2044" s="135">
        <v>1635.0</v>
      </c>
      <c r="M2044" s="135">
        <v>1435.0</v>
      </c>
      <c r="N2044" s="135">
        <v>120.0</v>
      </c>
      <c r="O2044" s="135">
        <v>0.364</v>
      </c>
      <c r="P2044" s="136">
        <v>0.0</v>
      </c>
      <c r="Q2044" s="137">
        <v>0.9099999999999999</v>
      </c>
      <c r="R2044" s="136">
        <v>46128.0</v>
      </c>
      <c r="S2044" s="135" t="s">
        <v>3877</v>
      </c>
      <c r="T2044" s="136"/>
      <c r="U2044" s="135" t="s">
        <v>2864</v>
      </c>
      <c r="V2044" s="135" t="s">
        <v>2953</v>
      </c>
      <c r="W2044" s="135">
        <v>0.0</v>
      </c>
      <c r="X2044" s="135">
        <v>0.0</v>
      </c>
      <c r="Y2044" s="135"/>
      <c r="Z2044" s="135" t="s">
        <v>2858</v>
      </c>
      <c r="AA2044" s="135"/>
      <c r="AB2044" s="135"/>
      <c r="AC2044" s="135"/>
      <c r="AD2044" s="135">
        <v>0.0</v>
      </c>
      <c r="AE2044" s="135"/>
      <c r="AF2044" s="135"/>
      <c r="AG2044" s="135"/>
    </row>
    <row r="2045" ht="21.75" hidden="1" customHeight="1">
      <c r="A2045" s="135">
        <v>2041.0</v>
      </c>
      <c r="B2045" s="135">
        <v>25045.0</v>
      </c>
      <c r="C2045" s="135"/>
      <c r="D2045" s="135">
        <v>34.0</v>
      </c>
      <c r="E2045" s="135" t="s">
        <v>3914</v>
      </c>
      <c r="F2045" s="135" t="s">
        <v>1836</v>
      </c>
      <c r="G2045" s="135" t="s">
        <v>66</v>
      </c>
      <c r="H2045" s="135"/>
      <c r="I2045" s="135" t="s">
        <v>71</v>
      </c>
      <c r="J2045" s="135">
        <v>1.0</v>
      </c>
      <c r="K2045" s="135"/>
      <c r="L2045" s="135">
        <v>2875.0</v>
      </c>
      <c r="M2045" s="135">
        <v>1000.0</v>
      </c>
      <c r="N2045" s="135">
        <v>120.0</v>
      </c>
      <c r="O2045" s="135">
        <v>0.472</v>
      </c>
      <c r="P2045" s="136">
        <v>0.0</v>
      </c>
      <c r="Q2045" s="137">
        <v>1.18</v>
      </c>
      <c r="R2045" s="136">
        <v>46128.0</v>
      </c>
      <c r="S2045" s="135" t="s">
        <v>3877</v>
      </c>
      <c r="T2045" s="136"/>
      <c r="U2045" s="135" t="s">
        <v>2864</v>
      </c>
      <c r="V2045" s="135" t="s">
        <v>2951</v>
      </c>
      <c r="W2045" s="135">
        <v>0.0</v>
      </c>
      <c r="X2045" s="135">
        <v>0.0</v>
      </c>
      <c r="Y2045" s="135"/>
      <c r="Z2045" s="135" t="s">
        <v>2858</v>
      </c>
      <c r="AA2045" s="135"/>
      <c r="AB2045" s="135"/>
      <c r="AC2045" s="135"/>
      <c r="AD2045" s="135">
        <v>0.0</v>
      </c>
      <c r="AE2045" s="135"/>
      <c r="AF2045" s="135"/>
      <c r="AG2045" s="135"/>
    </row>
    <row r="2046" ht="21.75" hidden="1" customHeight="1">
      <c r="A2046" s="135">
        <v>2042.0</v>
      </c>
      <c r="B2046" s="135">
        <v>25045.0</v>
      </c>
      <c r="C2046" s="135"/>
      <c r="D2046" s="135">
        <v>34.0</v>
      </c>
      <c r="E2046" s="135" t="s">
        <v>3914</v>
      </c>
      <c r="F2046" s="135" t="s">
        <v>1837</v>
      </c>
      <c r="G2046" s="135" t="s">
        <v>66</v>
      </c>
      <c r="H2046" s="135"/>
      <c r="I2046" s="135" t="s">
        <v>71</v>
      </c>
      <c r="J2046" s="135">
        <v>1.0</v>
      </c>
      <c r="K2046" s="135"/>
      <c r="L2046" s="135">
        <v>750.0</v>
      </c>
      <c r="M2046" s="135">
        <v>2840.0</v>
      </c>
      <c r="N2046" s="135">
        <v>350.0</v>
      </c>
      <c r="O2046" s="135">
        <v>0.536</v>
      </c>
      <c r="P2046" s="136">
        <v>0.0</v>
      </c>
      <c r="Q2046" s="137">
        <v>1.34</v>
      </c>
      <c r="R2046" s="136">
        <v>46128.0</v>
      </c>
      <c r="S2046" s="135" t="s">
        <v>3877</v>
      </c>
      <c r="T2046" s="136"/>
      <c r="U2046" s="135" t="s">
        <v>2966</v>
      </c>
      <c r="V2046" s="135" t="s">
        <v>2967</v>
      </c>
      <c r="W2046" s="135">
        <v>0.0</v>
      </c>
      <c r="X2046" s="135">
        <v>0.0</v>
      </c>
      <c r="Y2046" s="135"/>
      <c r="Z2046" s="135" t="s">
        <v>2858</v>
      </c>
      <c r="AA2046" s="135"/>
      <c r="AB2046" s="135"/>
      <c r="AC2046" s="135"/>
      <c r="AD2046" s="135">
        <v>0.0</v>
      </c>
      <c r="AE2046" s="135"/>
      <c r="AF2046" s="135"/>
      <c r="AG2046" s="135"/>
    </row>
    <row r="2047" ht="21.75" hidden="1" customHeight="1">
      <c r="A2047" s="135">
        <v>2043.0</v>
      </c>
      <c r="B2047" s="135">
        <v>25045.0</v>
      </c>
      <c r="C2047" s="135"/>
      <c r="D2047" s="135">
        <v>34.0</v>
      </c>
      <c r="E2047" s="135" t="s">
        <v>3916</v>
      </c>
      <c r="F2047" s="135" t="s">
        <v>1838</v>
      </c>
      <c r="G2047" s="135" t="s">
        <v>66</v>
      </c>
      <c r="H2047" s="135"/>
      <c r="I2047" s="135" t="s">
        <v>72</v>
      </c>
      <c r="J2047" s="135">
        <v>1.0</v>
      </c>
      <c r="K2047" s="135"/>
      <c r="L2047" s="135">
        <v>5688.0</v>
      </c>
      <c r="M2047" s="135">
        <v>1355.0</v>
      </c>
      <c r="N2047" s="135">
        <v>120.0</v>
      </c>
      <c r="O2047" s="135">
        <v>0.974</v>
      </c>
      <c r="P2047" s="136">
        <v>0.0</v>
      </c>
      <c r="Q2047" s="137">
        <v>2.435</v>
      </c>
      <c r="R2047" s="136">
        <v>46128.0</v>
      </c>
      <c r="S2047" s="135" t="s">
        <v>3877</v>
      </c>
      <c r="T2047" s="136"/>
      <c r="U2047" s="135" t="s">
        <v>2855</v>
      </c>
      <c r="V2047" s="135" t="s">
        <v>2856</v>
      </c>
      <c r="W2047" s="135">
        <v>1800.0</v>
      </c>
      <c r="X2047" s="135">
        <v>0.0</v>
      </c>
      <c r="Y2047" s="135"/>
      <c r="Z2047" s="135" t="s">
        <v>2858</v>
      </c>
      <c r="AA2047" s="135"/>
      <c r="AB2047" s="135"/>
      <c r="AC2047" s="135"/>
      <c r="AD2047" s="135">
        <v>46156.0</v>
      </c>
      <c r="AE2047" s="135"/>
      <c r="AF2047" s="135"/>
      <c r="AG2047" s="135"/>
    </row>
    <row r="2048" ht="21.75" hidden="1" customHeight="1">
      <c r="A2048" s="135">
        <v>2044.0</v>
      </c>
      <c r="B2048" s="135">
        <v>25045.0</v>
      </c>
      <c r="C2048" s="135"/>
      <c r="D2048" s="135">
        <v>34.0</v>
      </c>
      <c r="E2048" s="135" t="s">
        <v>3916</v>
      </c>
      <c r="F2048" s="135" t="s">
        <v>1839</v>
      </c>
      <c r="G2048" s="135" t="s">
        <v>66</v>
      </c>
      <c r="H2048" s="135"/>
      <c r="I2048" s="135" t="s">
        <v>72</v>
      </c>
      <c r="J2048" s="135">
        <v>1.0</v>
      </c>
      <c r="K2048" s="135"/>
      <c r="L2048" s="135">
        <v>5688.0</v>
      </c>
      <c r="M2048" s="135">
        <v>3160.0</v>
      </c>
      <c r="N2048" s="135">
        <v>120.0</v>
      </c>
      <c r="O2048" s="135">
        <v>1.0</v>
      </c>
      <c r="P2048" s="136">
        <v>0.0</v>
      </c>
      <c r="Q2048" s="137">
        <v>2.5</v>
      </c>
      <c r="R2048" s="136">
        <v>46128.0</v>
      </c>
      <c r="S2048" s="135" t="s">
        <v>3877</v>
      </c>
      <c r="T2048" s="136"/>
      <c r="U2048" s="135" t="s">
        <v>2855</v>
      </c>
      <c r="V2048" s="135" t="s">
        <v>2856</v>
      </c>
      <c r="W2048" s="135">
        <v>2500.0</v>
      </c>
      <c r="X2048" s="135" t="s">
        <v>3917</v>
      </c>
      <c r="Y2048" s="135"/>
      <c r="Z2048" s="135" t="s">
        <v>2858</v>
      </c>
      <c r="AA2048" s="135"/>
      <c r="AB2048" s="135"/>
      <c r="AC2048" s="135"/>
      <c r="AD2048" s="135">
        <v>0.0</v>
      </c>
      <c r="AE2048" s="135"/>
      <c r="AF2048" s="135"/>
      <c r="AG2048" s="135"/>
    </row>
    <row r="2049" ht="21.75" hidden="1" customHeight="1">
      <c r="A2049" s="135">
        <v>2045.0</v>
      </c>
      <c r="B2049" s="135">
        <v>25045.0</v>
      </c>
      <c r="C2049" s="135"/>
      <c r="D2049" s="135">
        <v>34.0</v>
      </c>
      <c r="E2049" s="135" t="s">
        <v>3916</v>
      </c>
      <c r="F2049" s="135" t="s">
        <v>1840</v>
      </c>
      <c r="G2049" s="135" t="s">
        <v>66</v>
      </c>
      <c r="H2049" s="135"/>
      <c r="I2049" s="135" t="s">
        <v>72</v>
      </c>
      <c r="J2049" s="135">
        <v>1.0</v>
      </c>
      <c r="K2049" s="135"/>
      <c r="L2049" s="135">
        <v>2595.0</v>
      </c>
      <c r="M2049" s="135">
        <v>2850.0</v>
      </c>
      <c r="N2049" s="135">
        <v>120.0</v>
      </c>
      <c r="O2049" s="135">
        <v>0.915</v>
      </c>
      <c r="P2049" s="136">
        <v>0.0</v>
      </c>
      <c r="Q2049" s="137">
        <v>2.2875</v>
      </c>
      <c r="R2049" s="136">
        <v>46128.0</v>
      </c>
      <c r="S2049" s="135" t="s">
        <v>3877</v>
      </c>
      <c r="T2049" s="136"/>
      <c r="U2049" s="135" t="s">
        <v>2864</v>
      </c>
      <c r="V2049" s="135" t="s">
        <v>2878</v>
      </c>
      <c r="W2049" s="135">
        <v>0.0</v>
      </c>
      <c r="X2049" s="135" t="s">
        <v>3586</v>
      </c>
      <c r="Y2049" s="135"/>
      <c r="Z2049" s="135" t="s">
        <v>2858</v>
      </c>
      <c r="AA2049" s="135"/>
      <c r="AB2049" s="135"/>
      <c r="AC2049" s="135"/>
      <c r="AD2049" s="135">
        <v>46154.0</v>
      </c>
      <c r="AE2049" s="135"/>
      <c r="AF2049" s="135"/>
      <c r="AG2049" s="135"/>
    </row>
    <row r="2050" ht="21.75" hidden="1" customHeight="1">
      <c r="A2050" s="135">
        <v>2046.0</v>
      </c>
      <c r="B2050" s="135">
        <v>25045.0</v>
      </c>
      <c r="C2050" s="135"/>
      <c r="D2050" s="135">
        <v>34.0</v>
      </c>
      <c r="E2050" s="135" t="s">
        <v>3916</v>
      </c>
      <c r="F2050" s="135" t="s">
        <v>1841</v>
      </c>
      <c r="G2050" s="135" t="s">
        <v>66</v>
      </c>
      <c r="H2050" s="135"/>
      <c r="I2050" s="135" t="s">
        <v>72</v>
      </c>
      <c r="J2050" s="135">
        <v>1.0</v>
      </c>
      <c r="K2050" s="135"/>
      <c r="L2050" s="135">
        <v>4598.0</v>
      </c>
      <c r="M2050" s="135">
        <v>3080.0</v>
      </c>
      <c r="N2050" s="135">
        <v>120.0</v>
      </c>
      <c r="O2050" s="135">
        <v>1.604</v>
      </c>
      <c r="P2050" s="136">
        <v>0.0</v>
      </c>
      <c r="Q2050" s="137">
        <v>4.01</v>
      </c>
      <c r="R2050" s="136">
        <v>46128.0</v>
      </c>
      <c r="S2050" s="135" t="s">
        <v>3877</v>
      </c>
      <c r="T2050" s="136"/>
      <c r="U2050" s="135" t="s">
        <v>2864</v>
      </c>
      <c r="V2050" s="135" t="s">
        <v>2985</v>
      </c>
      <c r="W2050" s="135">
        <v>0.0</v>
      </c>
      <c r="X2050" s="135">
        <v>0.0</v>
      </c>
      <c r="Y2050" s="135"/>
      <c r="Z2050" s="135" t="s">
        <v>2858</v>
      </c>
      <c r="AA2050" s="135"/>
      <c r="AB2050" s="135"/>
      <c r="AC2050" s="135"/>
      <c r="AD2050" s="135">
        <v>46154.0</v>
      </c>
      <c r="AE2050" s="135"/>
      <c r="AF2050" s="135"/>
      <c r="AG2050" s="135"/>
    </row>
    <row r="2051" ht="21.75" hidden="1" customHeight="1">
      <c r="A2051" s="135">
        <v>2047.0</v>
      </c>
      <c r="B2051" s="135">
        <v>25045.0</v>
      </c>
      <c r="C2051" s="135"/>
      <c r="D2051" s="135">
        <v>34.0</v>
      </c>
      <c r="E2051" s="135" t="s">
        <v>3916</v>
      </c>
      <c r="F2051" s="135" t="s">
        <v>1842</v>
      </c>
      <c r="G2051" s="135" t="s">
        <v>66</v>
      </c>
      <c r="H2051" s="135"/>
      <c r="I2051" s="135" t="s">
        <v>72</v>
      </c>
      <c r="J2051" s="135">
        <v>1.0</v>
      </c>
      <c r="K2051" s="135"/>
      <c r="L2051" s="135">
        <v>4598.0</v>
      </c>
      <c r="M2051" s="135">
        <v>3070.0</v>
      </c>
      <c r="N2051" s="135">
        <v>120.0</v>
      </c>
      <c r="O2051" s="135">
        <v>1.934</v>
      </c>
      <c r="P2051" s="136">
        <v>0.0</v>
      </c>
      <c r="Q2051" s="137">
        <v>4.835</v>
      </c>
      <c r="R2051" s="136">
        <v>46128.0</v>
      </c>
      <c r="S2051" s="135" t="s">
        <v>3877</v>
      </c>
      <c r="T2051" s="136"/>
      <c r="U2051" s="135" t="s">
        <v>2855</v>
      </c>
      <c r="V2051" s="135" t="s">
        <v>2876</v>
      </c>
      <c r="W2051" s="135">
        <v>1800.0</v>
      </c>
      <c r="X2051" s="135">
        <v>0.0</v>
      </c>
      <c r="Y2051" s="135"/>
      <c r="Z2051" s="135" t="s">
        <v>2858</v>
      </c>
      <c r="AA2051" s="135"/>
      <c r="AB2051" s="135"/>
      <c r="AC2051" s="135"/>
      <c r="AD2051" s="135">
        <v>46153.0</v>
      </c>
      <c r="AE2051" s="135"/>
      <c r="AF2051" s="135"/>
      <c r="AG2051" s="135"/>
    </row>
    <row r="2052" ht="21.75" hidden="1" customHeight="1">
      <c r="A2052" s="135">
        <v>2048.0</v>
      </c>
      <c r="B2052" s="135">
        <v>25045.0</v>
      </c>
      <c r="C2052" s="135"/>
      <c r="D2052" s="135">
        <v>34.0</v>
      </c>
      <c r="E2052" s="135" t="s">
        <v>3916</v>
      </c>
      <c r="F2052" s="135" t="s">
        <v>1843</v>
      </c>
      <c r="G2052" s="135" t="s">
        <v>66</v>
      </c>
      <c r="H2052" s="135"/>
      <c r="I2052" s="135" t="s">
        <v>72</v>
      </c>
      <c r="J2052" s="135">
        <v>1.0</v>
      </c>
      <c r="K2052" s="135"/>
      <c r="L2052" s="135">
        <v>4598.0</v>
      </c>
      <c r="M2052" s="135">
        <v>3070.0</v>
      </c>
      <c r="N2052" s="135">
        <v>120.0</v>
      </c>
      <c r="O2052" s="135">
        <v>1.934</v>
      </c>
      <c r="P2052" s="136">
        <v>0.0</v>
      </c>
      <c r="Q2052" s="137">
        <v>4.835</v>
      </c>
      <c r="R2052" s="136">
        <v>46128.0</v>
      </c>
      <c r="S2052" s="135" t="s">
        <v>3877</v>
      </c>
      <c r="T2052" s="136"/>
      <c r="U2052" s="135" t="s">
        <v>2855</v>
      </c>
      <c r="V2052" s="135" t="s">
        <v>2876</v>
      </c>
      <c r="W2052" s="135">
        <v>1800.0</v>
      </c>
      <c r="X2052" s="135">
        <v>0.0</v>
      </c>
      <c r="Y2052" s="135"/>
      <c r="Z2052" s="135" t="s">
        <v>2858</v>
      </c>
      <c r="AA2052" s="135"/>
      <c r="AB2052" s="135"/>
      <c r="AC2052" s="135"/>
      <c r="AD2052" s="135">
        <v>46154.0</v>
      </c>
      <c r="AE2052" s="135"/>
      <c r="AF2052" s="135"/>
      <c r="AG2052" s="135"/>
    </row>
    <row r="2053" ht="21.75" hidden="1" customHeight="1">
      <c r="A2053" s="135">
        <v>2049.0</v>
      </c>
      <c r="B2053" s="135">
        <v>25045.0</v>
      </c>
      <c r="C2053" s="135"/>
      <c r="D2053" s="135">
        <v>34.0</v>
      </c>
      <c r="E2053" s="135" t="s">
        <v>3916</v>
      </c>
      <c r="F2053" s="135" t="s">
        <v>1844</v>
      </c>
      <c r="G2053" s="135" t="s">
        <v>66</v>
      </c>
      <c r="H2053" s="135"/>
      <c r="I2053" s="135" t="s">
        <v>72</v>
      </c>
      <c r="J2053" s="135">
        <v>1.0</v>
      </c>
      <c r="K2053" s="135"/>
      <c r="L2053" s="135">
        <v>4598.0</v>
      </c>
      <c r="M2053" s="135">
        <v>3070.0</v>
      </c>
      <c r="N2053" s="135">
        <v>120.0</v>
      </c>
      <c r="O2053" s="135">
        <v>1.934</v>
      </c>
      <c r="P2053" s="136">
        <v>0.0</v>
      </c>
      <c r="Q2053" s="137">
        <v>4.835</v>
      </c>
      <c r="R2053" s="136">
        <v>46128.0</v>
      </c>
      <c r="S2053" s="135" t="s">
        <v>3877</v>
      </c>
      <c r="T2053" s="136"/>
      <c r="U2053" s="135" t="s">
        <v>2855</v>
      </c>
      <c r="V2053" s="135" t="s">
        <v>2876</v>
      </c>
      <c r="W2053" s="135">
        <v>1800.0</v>
      </c>
      <c r="X2053" s="135">
        <v>0.0</v>
      </c>
      <c r="Y2053" s="135"/>
      <c r="Z2053" s="135" t="s">
        <v>2858</v>
      </c>
      <c r="AA2053" s="135"/>
      <c r="AB2053" s="135"/>
      <c r="AC2053" s="135"/>
      <c r="AD2053" s="135">
        <v>46156.0</v>
      </c>
      <c r="AE2053" s="135"/>
      <c r="AF2053" s="135"/>
      <c r="AG2053" s="135"/>
    </row>
    <row r="2054" ht="21.75" hidden="1" customHeight="1">
      <c r="A2054" s="135">
        <v>2050.0</v>
      </c>
      <c r="B2054" s="135">
        <v>25045.0</v>
      </c>
      <c r="C2054" s="135"/>
      <c r="D2054" s="135">
        <v>34.0</v>
      </c>
      <c r="E2054" s="135" t="s">
        <v>3916</v>
      </c>
      <c r="F2054" s="135" t="s">
        <v>1845</v>
      </c>
      <c r="G2054" s="135" t="s">
        <v>66</v>
      </c>
      <c r="H2054" s="135"/>
      <c r="I2054" s="135" t="s">
        <v>72</v>
      </c>
      <c r="J2054" s="135">
        <v>1.0</v>
      </c>
      <c r="K2054" s="135"/>
      <c r="L2054" s="135">
        <v>5000.0</v>
      </c>
      <c r="M2054" s="135">
        <v>3070.0</v>
      </c>
      <c r="N2054" s="135">
        <v>120.0</v>
      </c>
      <c r="O2054" s="135">
        <v>2.044</v>
      </c>
      <c r="P2054" s="136">
        <v>0.0</v>
      </c>
      <c r="Q2054" s="137">
        <v>5.11</v>
      </c>
      <c r="R2054" s="136">
        <v>46128.0</v>
      </c>
      <c r="S2054" s="135" t="s">
        <v>3877</v>
      </c>
      <c r="T2054" s="136"/>
      <c r="U2054" s="135" t="s">
        <v>2855</v>
      </c>
      <c r="V2054" s="135" t="s">
        <v>2876</v>
      </c>
      <c r="W2054" s="135">
        <v>2500.0</v>
      </c>
      <c r="X2054" s="135">
        <v>0.0</v>
      </c>
      <c r="Y2054" s="135"/>
      <c r="Z2054" s="135" t="s">
        <v>2858</v>
      </c>
      <c r="AA2054" s="135"/>
      <c r="AB2054" s="135"/>
      <c r="AC2054" s="135"/>
      <c r="AD2054" s="135">
        <v>46155.0</v>
      </c>
      <c r="AE2054" s="135"/>
      <c r="AF2054" s="135"/>
      <c r="AG2054" s="135"/>
    </row>
    <row r="2055" ht="21.75" hidden="1" customHeight="1">
      <c r="A2055" s="135">
        <v>2051.0</v>
      </c>
      <c r="B2055" s="135">
        <v>25045.0</v>
      </c>
      <c r="C2055" s="135"/>
      <c r="D2055" s="135">
        <v>34.0</v>
      </c>
      <c r="E2055" s="135" t="s">
        <v>3916</v>
      </c>
      <c r="F2055" s="135" t="s">
        <v>1846</v>
      </c>
      <c r="G2055" s="135" t="s">
        <v>66</v>
      </c>
      <c r="H2055" s="135"/>
      <c r="I2055" s="135" t="s">
        <v>72</v>
      </c>
      <c r="J2055" s="135">
        <v>1.0</v>
      </c>
      <c r="K2055" s="135"/>
      <c r="L2055" s="135">
        <v>4716.0</v>
      </c>
      <c r="M2055" s="135">
        <v>3110.0</v>
      </c>
      <c r="N2055" s="135">
        <v>120.0</v>
      </c>
      <c r="O2055" s="135">
        <v>1.59</v>
      </c>
      <c r="P2055" s="136">
        <v>0.0</v>
      </c>
      <c r="Q2055" s="137">
        <v>3.975</v>
      </c>
      <c r="R2055" s="136">
        <v>46128.0</v>
      </c>
      <c r="S2055" s="135" t="s">
        <v>3877</v>
      </c>
      <c r="T2055" s="136"/>
      <c r="U2055" s="135" t="s">
        <v>2855</v>
      </c>
      <c r="V2055" s="135" t="s">
        <v>2876</v>
      </c>
      <c r="W2055" s="135">
        <v>1800.0</v>
      </c>
      <c r="X2055" s="135">
        <v>0.0</v>
      </c>
      <c r="Y2055" s="135"/>
      <c r="Z2055" s="135" t="s">
        <v>2858</v>
      </c>
      <c r="AA2055" s="135"/>
      <c r="AB2055" s="135"/>
      <c r="AC2055" s="135"/>
      <c r="AD2055" s="135">
        <v>46155.0</v>
      </c>
      <c r="AE2055" s="135"/>
      <c r="AF2055" s="135"/>
      <c r="AG2055" s="135"/>
    </row>
    <row r="2056" ht="21.75" hidden="1" customHeight="1">
      <c r="A2056" s="135">
        <v>2052.0</v>
      </c>
      <c r="B2056" s="135">
        <v>25045.0</v>
      </c>
      <c r="C2056" s="135"/>
      <c r="D2056" s="135">
        <v>34.0</v>
      </c>
      <c r="E2056" s="135" t="s">
        <v>3916</v>
      </c>
      <c r="F2056" s="135" t="s">
        <v>1847</v>
      </c>
      <c r="G2056" s="135" t="s">
        <v>66</v>
      </c>
      <c r="H2056" s="135"/>
      <c r="I2056" s="135" t="s">
        <v>72</v>
      </c>
      <c r="J2056" s="135">
        <v>1.0</v>
      </c>
      <c r="K2056" s="135"/>
      <c r="L2056" s="135">
        <v>4716.0</v>
      </c>
      <c r="M2056" s="135">
        <v>3110.0</v>
      </c>
      <c r="N2056" s="135">
        <v>120.0</v>
      </c>
      <c r="O2056" s="135">
        <v>1.98</v>
      </c>
      <c r="P2056" s="136">
        <v>0.0</v>
      </c>
      <c r="Q2056" s="137">
        <v>4.95</v>
      </c>
      <c r="R2056" s="136">
        <v>46128.0</v>
      </c>
      <c r="S2056" s="135" t="s">
        <v>3877</v>
      </c>
      <c r="T2056" s="136"/>
      <c r="U2056" s="135" t="s">
        <v>2855</v>
      </c>
      <c r="V2056" s="135" t="s">
        <v>2876</v>
      </c>
      <c r="W2056" s="135">
        <v>1800.0</v>
      </c>
      <c r="X2056" s="135">
        <v>0.0</v>
      </c>
      <c r="Y2056" s="135"/>
      <c r="Z2056" s="135" t="s">
        <v>2858</v>
      </c>
      <c r="AA2056" s="135"/>
      <c r="AB2056" s="135"/>
      <c r="AC2056" s="135"/>
      <c r="AD2056" s="135">
        <v>46156.0</v>
      </c>
      <c r="AE2056" s="135"/>
      <c r="AF2056" s="135"/>
      <c r="AG2056" s="135"/>
    </row>
    <row r="2057" ht="21.75" hidden="1" customHeight="1">
      <c r="A2057" s="135">
        <v>2053.0</v>
      </c>
      <c r="B2057" s="135">
        <v>25045.0</v>
      </c>
      <c r="C2057" s="135"/>
      <c r="D2057" s="135">
        <v>34.0</v>
      </c>
      <c r="E2057" s="135" t="s">
        <v>3916</v>
      </c>
      <c r="F2057" s="135" t="s">
        <v>1848</v>
      </c>
      <c r="G2057" s="135" t="s">
        <v>66</v>
      </c>
      <c r="H2057" s="135"/>
      <c r="I2057" s="135" t="s">
        <v>72</v>
      </c>
      <c r="J2057" s="135">
        <v>1.0</v>
      </c>
      <c r="K2057" s="135"/>
      <c r="L2057" s="135">
        <v>4716.0</v>
      </c>
      <c r="M2057" s="135">
        <v>3110.0</v>
      </c>
      <c r="N2057" s="135">
        <v>120.0</v>
      </c>
      <c r="O2057" s="135">
        <v>1.98</v>
      </c>
      <c r="P2057" s="136">
        <v>0.0</v>
      </c>
      <c r="Q2057" s="137">
        <v>4.95</v>
      </c>
      <c r="R2057" s="136">
        <v>46128.0</v>
      </c>
      <c r="S2057" s="135" t="s">
        <v>3877</v>
      </c>
      <c r="T2057" s="136"/>
      <c r="U2057" s="135" t="s">
        <v>2855</v>
      </c>
      <c r="V2057" s="135" t="s">
        <v>2876</v>
      </c>
      <c r="W2057" s="135">
        <v>1800.0</v>
      </c>
      <c r="X2057" s="135">
        <v>0.0</v>
      </c>
      <c r="Y2057" s="135"/>
      <c r="Z2057" s="135" t="s">
        <v>2858</v>
      </c>
      <c r="AA2057" s="135"/>
      <c r="AB2057" s="135"/>
      <c r="AC2057" s="135"/>
      <c r="AD2057" s="135">
        <v>46157.0</v>
      </c>
      <c r="AE2057" s="135"/>
      <c r="AF2057" s="135"/>
      <c r="AG2057" s="135"/>
    </row>
    <row r="2058" ht="21.75" hidden="1" customHeight="1">
      <c r="A2058" s="135">
        <v>2054.0</v>
      </c>
      <c r="B2058" s="135">
        <v>25045.0</v>
      </c>
      <c r="C2058" s="135"/>
      <c r="D2058" s="135">
        <v>34.0</v>
      </c>
      <c r="E2058" s="135" t="s">
        <v>3916</v>
      </c>
      <c r="F2058" s="135" t="s">
        <v>1849</v>
      </c>
      <c r="G2058" s="135" t="s">
        <v>66</v>
      </c>
      <c r="H2058" s="135"/>
      <c r="I2058" s="135" t="s">
        <v>72</v>
      </c>
      <c r="J2058" s="135">
        <v>1.0</v>
      </c>
      <c r="K2058" s="135"/>
      <c r="L2058" s="135">
        <v>4716.0</v>
      </c>
      <c r="M2058" s="135">
        <v>3110.0</v>
      </c>
      <c r="N2058" s="135">
        <v>120.0</v>
      </c>
      <c r="O2058" s="135">
        <v>1.98</v>
      </c>
      <c r="P2058" s="136">
        <v>0.0</v>
      </c>
      <c r="Q2058" s="137">
        <v>4.95</v>
      </c>
      <c r="R2058" s="136">
        <v>46128.0</v>
      </c>
      <c r="S2058" s="135" t="s">
        <v>3877</v>
      </c>
      <c r="T2058" s="136"/>
      <c r="U2058" s="135" t="s">
        <v>2855</v>
      </c>
      <c r="V2058" s="135" t="s">
        <v>2876</v>
      </c>
      <c r="W2058" s="135">
        <v>1800.0</v>
      </c>
      <c r="X2058" s="135">
        <v>0.0</v>
      </c>
      <c r="Y2058" s="135"/>
      <c r="Z2058" s="135" t="s">
        <v>2858</v>
      </c>
      <c r="AA2058" s="135"/>
      <c r="AB2058" s="135"/>
      <c r="AC2058" s="135"/>
      <c r="AD2058" s="135">
        <v>46153.0</v>
      </c>
      <c r="AE2058" s="135"/>
      <c r="AF2058" s="135"/>
      <c r="AG2058" s="135"/>
    </row>
    <row r="2059" ht="21.75" hidden="1" customHeight="1">
      <c r="A2059" s="135">
        <v>2055.0</v>
      </c>
      <c r="B2059" s="135">
        <v>25045.0</v>
      </c>
      <c r="C2059" s="135"/>
      <c r="D2059" s="135">
        <v>34.0</v>
      </c>
      <c r="E2059" s="135" t="s">
        <v>3916</v>
      </c>
      <c r="F2059" s="135" t="s">
        <v>1850</v>
      </c>
      <c r="G2059" s="135" t="s">
        <v>66</v>
      </c>
      <c r="H2059" s="135"/>
      <c r="I2059" s="135" t="s">
        <v>72</v>
      </c>
      <c r="J2059" s="135">
        <v>1.0</v>
      </c>
      <c r="K2059" s="135"/>
      <c r="L2059" s="135">
        <v>4716.0</v>
      </c>
      <c r="M2059" s="135">
        <v>3110.0</v>
      </c>
      <c r="N2059" s="135">
        <v>120.0</v>
      </c>
      <c r="O2059" s="135">
        <v>1.652</v>
      </c>
      <c r="P2059" s="136">
        <v>0.0</v>
      </c>
      <c r="Q2059" s="137">
        <v>4.13</v>
      </c>
      <c r="R2059" s="136">
        <v>46128.0</v>
      </c>
      <c r="S2059" s="135" t="s">
        <v>3877</v>
      </c>
      <c r="T2059" s="136"/>
      <c r="U2059" s="135" t="s">
        <v>2864</v>
      </c>
      <c r="V2059" s="135" t="s">
        <v>2985</v>
      </c>
      <c r="W2059" s="135">
        <v>0.0</v>
      </c>
      <c r="X2059" s="135" t="s">
        <v>3764</v>
      </c>
      <c r="Y2059" s="135"/>
      <c r="Z2059" s="135" t="s">
        <v>2858</v>
      </c>
      <c r="AA2059" s="135"/>
      <c r="AB2059" s="135"/>
      <c r="AC2059" s="135"/>
      <c r="AD2059" s="135">
        <v>46153.0</v>
      </c>
      <c r="AE2059" s="135"/>
      <c r="AF2059" s="135"/>
      <c r="AG2059" s="135"/>
    </row>
    <row r="2060" ht="21.75" hidden="1" customHeight="1">
      <c r="A2060" s="135">
        <v>2056.0</v>
      </c>
      <c r="B2060" s="135">
        <v>25045.0</v>
      </c>
      <c r="C2060" s="135"/>
      <c r="D2060" s="135">
        <v>34.0</v>
      </c>
      <c r="E2060" s="135" t="s">
        <v>3916</v>
      </c>
      <c r="F2060" s="135" t="s">
        <v>1851</v>
      </c>
      <c r="G2060" s="135" t="s">
        <v>66</v>
      </c>
      <c r="H2060" s="135"/>
      <c r="I2060" s="135" t="s">
        <v>72</v>
      </c>
      <c r="J2060" s="135">
        <v>1.0</v>
      </c>
      <c r="K2060" s="135"/>
      <c r="L2060" s="135">
        <v>1635.0</v>
      </c>
      <c r="M2060" s="135">
        <v>1435.0</v>
      </c>
      <c r="N2060" s="135">
        <v>120.0</v>
      </c>
      <c r="O2060" s="135">
        <v>0.364</v>
      </c>
      <c r="P2060" s="136">
        <v>0.0</v>
      </c>
      <c r="Q2060" s="137">
        <v>0.9099999999999999</v>
      </c>
      <c r="R2060" s="136">
        <v>46128.0</v>
      </c>
      <c r="S2060" s="135" t="s">
        <v>3877</v>
      </c>
      <c r="T2060" s="136"/>
      <c r="U2060" s="135" t="s">
        <v>2864</v>
      </c>
      <c r="V2060" s="135" t="s">
        <v>2953</v>
      </c>
      <c r="W2060" s="135">
        <v>0.0</v>
      </c>
      <c r="X2060" s="135">
        <v>0.0</v>
      </c>
      <c r="Y2060" s="135"/>
      <c r="Z2060" s="135" t="s">
        <v>2858</v>
      </c>
      <c r="AA2060" s="135"/>
      <c r="AB2060" s="135"/>
      <c r="AC2060" s="135"/>
      <c r="AD2060" s="135">
        <v>0.0</v>
      </c>
      <c r="AE2060" s="135"/>
      <c r="AF2060" s="135"/>
      <c r="AG2060" s="135"/>
    </row>
    <row r="2061" ht="21.75" hidden="1" customHeight="1">
      <c r="A2061" s="135">
        <v>2057.0</v>
      </c>
      <c r="B2061" s="135">
        <v>25045.0</v>
      </c>
      <c r="C2061" s="135"/>
      <c r="D2061" s="135">
        <v>34.0</v>
      </c>
      <c r="E2061" s="135" t="s">
        <v>3916</v>
      </c>
      <c r="F2061" s="135" t="s">
        <v>1852</v>
      </c>
      <c r="G2061" s="135" t="s">
        <v>66</v>
      </c>
      <c r="H2061" s="135"/>
      <c r="I2061" s="135" t="s">
        <v>72</v>
      </c>
      <c r="J2061" s="135">
        <v>1.0</v>
      </c>
      <c r="K2061" s="135"/>
      <c r="L2061" s="135">
        <v>2875.0</v>
      </c>
      <c r="M2061" s="135">
        <v>1000.0</v>
      </c>
      <c r="N2061" s="135">
        <v>120.0</v>
      </c>
      <c r="O2061" s="135">
        <v>0.472</v>
      </c>
      <c r="P2061" s="136">
        <v>0.0</v>
      </c>
      <c r="Q2061" s="137">
        <v>1.18</v>
      </c>
      <c r="R2061" s="136">
        <v>46128.0</v>
      </c>
      <c r="S2061" s="135" t="s">
        <v>3877</v>
      </c>
      <c r="T2061" s="136"/>
      <c r="U2061" s="135" t="s">
        <v>2864</v>
      </c>
      <c r="V2061" s="135" t="s">
        <v>2951</v>
      </c>
      <c r="W2061" s="135">
        <v>0.0</v>
      </c>
      <c r="X2061" s="135">
        <v>0.0</v>
      </c>
      <c r="Y2061" s="135"/>
      <c r="Z2061" s="135" t="s">
        <v>2858</v>
      </c>
      <c r="AA2061" s="135"/>
      <c r="AB2061" s="135"/>
      <c r="AC2061" s="135"/>
      <c r="AD2061" s="135">
        <v>0.0</v>
      </c>
      <c r="AE2061" s="135"/>
      <c r="AF2061" s="135"/>
      <c r="AG2061" s="135"/>
    </row>
    <row r="2062" ht="21.75" hidden="1" customHeight="1">
      <c r="A2062" s="135">
        <v>2058.0</v>
      </c>
      <c r="B2062" s="135">
        <v>25045.0</v>
      </c>
      <c r="C2062" s="135"/>
      <c r="D2062" s="135">
        <v>34.0</v>
      </c>
      <c r="E2062" s="135" t="s">
        <v>3916</v>
      </c>
      <c r="F2062" s="135" t="s">
        <v>1853</v>
      </c>
      <c r="G2062" s="135" t="s">
        <v>66</v>
      </c>
      <c r="H2062" s="135"/>
      <c r="I2062" s="135" t="s">
        <v>72</v>
      </c>
      <c r="J2062" s="135">
        <v>1.0</v>
      </c>
      <c r="K2062" s="135"/>
      <c r="L2062" s="135">
        <v>750.0</v>
      </c>
      <c r="M2062" s="135">
        <v>2840.0</v>
      </c>
      <c r="N2062" s="135">
        <v>350.0</v>
      </c>
      <c r="O2062" s="135">
        <v>0.536</v>
      </c>
      <c r="P2062" s="136">
        <v>0.0</v>
      </c>
      <c r="Q2062" s="137">
        <v>1.34</v>
      </c>
      <c r="R2062" s="136">
        <v>46128.0</v>
      </c>
      <c r="S2062" s="135" t="s">
        <v>3877</v>
      </c>
      <c r="T2062" s="136"/>
      <c r="U2062" s="135" t="s">
        <v>2966</v>
      </c>
      <c r="V2062" s="135" t="s">
        <v>2967</v>
      </c>
      <c r="W2062" s="135">
        <v>0.0</v>
      </c>
      <c r="X2062" s="135">
        <v>0.0</v>
      </c>
      <c r="Y2062" s="135"/>
      <c r="Z2062" s="135" t="s">
        <v>2858</v>
      </c>
      <c r="AA2062" s="135"/>
      <c r="AB2062" s="135"/>
      <c r="AC2062" s="135"/>
      <c r="AD2062" s="135">
        <v>0.0</v>
      </c>
      <c r="AE2062" s="135"/>
      <c r="AF2062" s="135"/>
      <c r="AG2062" s="135"/>
    </row>
    <row r="2063" ht="21.75" hidden="1" customHeight="1">
      <c r="A2063" s="135">
        <v>2059.0</v>
      </c>
      <c r="B2063" s="135">
        <v>25045.0</v>
      </c>
      <c r="C2063" s="135"/>
      <c r="D2063" s="135">
        <v>34.0</v>
      </c>
      <c r="E2063" s="135" t="s">
        <v>3918</v>
      </c>
      <c r="F2063" s="135" t="s">
        <v>1854</v>
      </c>
      <c r="G2063" s="135" t="s">
        <v>66</v>
      </c>
      <c r="H2063" s="135"/>
      <c r="I2063" s="135" t="s">
        <v>73</v>
      </c>
      <c r="J2063" s="135">
        <v>1.0</v>
      </c>
      <c r="K2063" s="135"/>
      <c r="L2063" s="135">
        <v>4457.0</v>
      </c>
      <c r="M2063" s="135">
        <v>1360.0</v>
      </c>
      <c r="N2063" s="135">
        <v>120.0</v>
      </c>
      <c r="O2063" s="135">
        <v>0.87</v>
      </c>
      <c r="P2063" s="136">
        <v>0.0</v>
      </c>
      <c r="Q2063" s="137">
        <v>2.175</v>
      </c>
      <c r="R2063" s="136">
        <v>46128.0</v>
      </c>
      <c r="S2063" s="135" t="s">
        <v>3877</v>
      </c>
      <c r="T2063" s="136"/>
      <c r="U2063" s="135" t="s">
        <v>2855</v>
      </c>
      <c r="V2063" s="135" t="s">
        <v>2856</v>
      </c>
      <c r="W2063" s="135">
        <v>1800.0</v>
      </c>
      <c r="X2063" s="135">
        <v>0.0</v>
      </c>
      <c r="Y2063" s="135"/>
      <c r="Z2063" s="135" t="s">
        <v>2858</v>
      </c>
      <c r="AA2063" s="135"/>
      <c r="AB2063" s="135"/>
      <c r="AC2063" s="135"/>
      <c r="AD2063" s="135">
        <v>46157.0</v>
      </c>
      <c r="AE2063" s="135"/>
      <c r="AF2063" s="135"/>
      <c r="AG2063" s="135"/>
    </row>
    <row r="2064" ht="21.75" hidden="1" customHeight="1">
      <c r="A2064" s="135">
        <v>2060.0</v>
      </c>
      <c r="B2064" s="135">
        <v>25045.0</v>
      </c>
      <c r="C2064" s="135"/>
      <c r="D2064" s="135">
        <v>34.0</v>
      </c>
      <c r="E2064" s="135" t="s">
        <v>3918</v>
      </c>
      <c r="F2064" s="135" t="s">
        <v>1855</v>
      </c>
      <c r="G2064" s="135" t="s">
        <v>66</v>
      </c>
      <c r="H2064" s="135"/>
      <c r="I2064" s="135" t="s">
        <v>73</v>
      </c>
      <c r="J2064" s="135">
        <v>1.0</v>
      </c>
      <c r="K2064" s="135"/>
      <c r="L2064" s="135">
        <v>4457.0</v>
      </c>
      <c r="M2064" s="135">
        <v>1360.0</v>
      </c>
      <c r="N2064" s="135">
        <v>120.0</v>
      </c>
      <c r="O2064" s="135">
        <v>0.87</v>
      </c>
      <c r="P2064" s="136">
        <v>0.0</v>
      </c>
      <c r="Q2064" s="137">
        <v>2.175</v>
      </c>
      <c r="R2064" s="136">
        <v>46128.0</v>
      </c>
      <c r="S2064" s="135" t="s">
        <v>3877</v>
      </c>
      <c r="T2064" s="136"/>
      <c r="U2064" s="135" t="s">
        <v>2855</v>
      </c>
      <c r="V2064" s="135" t="s">
        <v>2856</v>
      </c>
      <c r="W2064" s="135">
        <v>1800.0</v>
      </c>
      <c r="X2064" s="135">
        <v>0.0</v>
      </c>
      <c r="Y2064" s="135"/>
      <c r="Z2064" s="135" t="s">
        <v>2858</v>
      </c>
      <c r="AA2064" s="135"/>
      <c r="AB2064" s="135"/>
      <c r="AC2064" s="135"/>
      <c r="AD2064" s="135">
        <v>46158.0</v>
      </c>
      <c r="AE2064" s="135"/>
      <c r="AF2064" s="135"/>
      <c r="AG2064" s="135"/>
    </row>
    <row r="2065" ht="21.75" hidden="1" customHeight="1">
      <c r="A2065" s="135">
        <v>2061.0</v>
      </c>
      <c r="B2065" s="135">
        <v>25045.0</v>
      </c>
      <c r="C2065" s="135"/>
      <c r="D2065" s="135">
        <v>34.0</v>
      </c>
      <c r="E2065" s="135" t="s">
        <v>3918</v>
      </c>
      <c r="F2065" s="135" t="s">
        <v>1856</v>
      </c>
      <c r="G2065" s="135" t="s">
        <v>66</v>
      </c>
      <c r="H2065" s="135"/>
      <c r="I2065" s="135" t="s">
        <v>73</v>
      </c>
      <c r="J2065" s="135">
        <v>1.0</v>
      </c>
      <c r="K2065" s="135"/>
      <c r="L2065" s="135">
        <v>4457.0</v>
      </c>
      <c r="M2065" s="135">
        <v>1350.0</v>
      </c>
      <c r="N2065" s="135">
        <v>120.0</v>
      </c>
      <c r="O2065" s="135">
        <v>0.879</v>
      </c>
      <c r="P2065" s="136">
        <v>0.0</v>
      </c>
      <c r="Q2065" s="137">
        <v>2.1975</v>
      </c>
      <c r="R2065" s="136">
        <v>46128.0</v>
      </c>
      <c r="S2065" s="135" t="s">
        <v>3877</v>
      </c>
      <c r="T2065" s="136"/>
      <c r="U2065" s="135" t="s">
        <v>2855</v>
      </c>
      <c r="V2065" s="135" t="s">
        <v>3919</v>
      </c>
      <c r="W2065" s="135">
        <v>1800.0</v>
      </c>
      <c r="X2065" s="135">
        <v>0.0</v>
      </c>
      <c r="Y2065" s="135"/>
      <c r="Z2065" s="135" t="s">
        <v>2858</v>
      </c>
      <c r="AA2065" s="135"/>
      <c r="AB2065" s="135"/>
      <c r="AC2065" s="135"/>
      <c r="AD2065" s="135">
        <v>0.0</v>
      </c>
      <c r="AE2065" s="135"/>
      <c r="AF2065" s="135"/>
      <c r="AG2065" s="135"/>
    </row>
    <row r="2066" ht="21.75" hidden="1" customHeight="1">
      <c r="A2066" s="135">
        <v>2062.0</v>
      </c>
      <c r="B2066" s="135">
        <v>25045.0</v>
      </c>
      <c r="C2066" s="135"/>
      <c r="D2066" s="135">
        <v>34.0</v>
      </c>
      <c r="E2066" s="135" t="s">
        <v>3918</v>
      </c>
      <c r="F2066" s="135" t="s">
        <v>1857</v>
      </c>
      <c r="G2066" s="135" t="s">
        <v>66</v>
      </c>
      <c r="H2066" s="135"/>
      <c r="I2066" s="135" t="s">
        <v>73</v>
      </c>
      <c r="J2066" s="135">
        <v>1.0</v>
      </c>
      <c r="K2066" s="135"/>
      <c r="L2066" s="135">
        <v>2595.0</v>
      </c>
      <c r="M2066" s="135">
        <v>2850.0</v>
      </c>
      <c r="N2066" s="135">
        <v>120.0</v>
      </c>
      <c r="O2066" s="135">
        <v>0.915</v>
      </c>
      <c r="P2066" s="136">
        <v>0.0</v>
      </c>
      <c r="Q2066" s="137">
        <v>2.2875</v>
      </c>
      <c r="R2066" s="136">
        <v>46128.0</v>
      </c>
      <c r="S2066" s="135" t="s">
        <v>3877</v>
      </c>
      <c r="T2066" s="136"/>
      <c r="U2066" s="135" t="s">
        <v>2864</v>
      </c>
      <c r="V2066" s="135" t="s">
        <v>2878</v>
      </c>
      <c r="W2066" s="135">
        <v>0.0</v>
      </c>
      <c r="X2066" s="135" t="s">
        <v>3586</v>
      </c>
      <c r="Y2066" s="135"/>
      <c r="Z2066" s="135" t="s">
        <v>2858</v>
      </c>
      <c r="AA2066" s="135"/>
      <c r="AB2066" s="135"/>
      <c r="AC2066" s="135"/>
      <c r="AD2066" s="135">
        <v>46155.0</v>
      </c>
      <c r="AE2066" s="135"/>
      <c r="AF2066" s="135"/>
      <c r="AG2066" s="135"/>
    </row>
    <row r="2067" ht="21.75" hidden="1" customHeight="1">
      <c r="A2067" s="135">
        <v>2063.0</v>
      </c>
      <c r="B2067" s="135">
        <v>25045.0</v>
      </c>
      <c r="C2067" s="135"/>
      <c r="D2067" s="135">
        <v>34.0</v>
      </c>
      <c r="E2067" s="135" t="s">
        <v>3918</v>
      </c>
      <c r="F2067" s="135" t="s">
        <v>1858</v>
      </c>
      <c r="G2067" s="135" t="s">
        <v>66</v>
      </c>
      <c r="H2067" s="135" t="s">
        <v>2853</v>
      </c>
      <c r="I2067" s="135" t="s">
        <v>73</v>
      </c>
      <c r="J2067" s="135">
        <v>1.0</v>
      </c>
      <c r="K2067" s="135"/>
      <c r="L2067" s="135">
        <v>3420.0</v>
      </c>
      <c r="M2067" s="135">
        <v>2950.0</v>
      </c>
      <c r="N2067" s="135">
        <v>120.0</v>
      </c>
      <c r="O2067" s="135">
        <v>1.202</v>
      </c>
      <c r="P2067" s="136">
        <v>0.0</v>
      </c>
      <c r="Q2067" s="137">
        <v>3.005</v>
      </c>
      <c r="R2067" s="136">
        <v>46128.0</v>
      </c>
      <c r="S2067" s="135" t="s">
        <v>3877</v>
      </c>
      <c r="T2067" s="136"/>
      <c r="U2067" s="135" t="s">
        <v>2864</v>
      </c>
      <c r="V2067" s="135" t="s">
        <v>2878</v>
      </c>
      <c r="W2067" s="135"/>
      <c r="X2067" s="135" t="s">
        <v>3536</v>
      </c>
      <c r="Y2067" s="135"/>
      <c r="Z2067" s="135" t="s">
        <v>2858</v>
      </c>
      <c r="AA2067" s="135"/>
      <c r="AB2067" s="135"/>
      <c r="AC2067" s="135"/>
      <c r="AD2067" s="135">
        <v>46146.0</v>
      </c>
      <c r="AE2067" s="135"/>
      <c r="AF2067" s="135"/>
      <c r="AG2067" s="135"/>
    </row>
    <row r="2068" ht="21.75" hidden="1" customHeight="1">
      <c r="A2068" s="135">
        <v>2064.0</v>
      </c>
      <c r="B2068" s="135">
        <v>25045.0</v>
      </c>
      <c r="C2068" s="135"/>
      <c r="D2068" s="135">
        <v>34.0</v>
      </c>
      <c r="E2068" s="135" t="s">
        <v>3918</v>
      </c>
      <c r="F2068" s="135" t="s">
        <v>1859</v>
      </c>
      <c r="G2068" s="135" t="s">
        <v>66</v>
      </c>
      <c r="H2068" s="135" t="s">
        <v>2853</v>
      </c>
      <c r="I2068" s="135" t="s">
        <v>73</v>
      </c>
      <c r="J2068" s="135">
        <v>1.0</v>
      </c>
      <c r="K2068" s="135"/>
      <c r="L2068" s="135">
        <v>3090.0</v>
      </c>
      <c r="M2068" s="135">
        <v>2950.0</v>
      </c>
      <c r="N2068" s="135">
        <v>120.0</v>
      </c>
      <c r="O2068" s="135">
        <v>1.081</v>
      </c>
      <c r="P2068" s="136">
        <v>0.0</v>
      </c>
      <c r="Q2068" s="137">
        <v>2.7024999999999997</v>
      </c>
      <c r="R2068" s="136">
        <v>46128.0</v>
      </c>
      <c r="S2068" s="135" t="s">
        <v>3877</v>
      </c>
      <c r="T2068" s="136"/>
      <c r="U2068" s="135" t="s">
        <v>2864</v>
      </c>
      <c r="V2068" s="135" t="s">
        <v>2878</v>
      </c>
      <c r="W2068" s="135"/>
      <c r="X2068" s="135" t="s">
        <v>3537</v>
      </c>
      <c r="Y2068" s="135"/>
      <c r="Z2068" s="135" t="s">
        <v>2858</v>
      </c>
      <c r="AA2068" s="135"/>
      <c r="AB2068" s="135"/>
      <c r="AC2068" s="135"/>
      <c r="AD2068" s="135">
        <v>46144.0</v>
      </c>
      <c r="AE2068" s="135"/>
      <c r="AF2068" s="135"/>
      <c r="AG2068" s="135"/>
    </row>
    <row r="2069" ht="21.75" hidden="1" customHeight="1">
      <c r="A2069" s="135">
        <v>2065.0</v>
      </c>
      <c r="B2069" s="135">
        <v>25045.0</v>
      </c>
      <c r="C2069" s="135"/>
      <c r="D2069" s="135">
        <v>34.0</v>
      </c>
      <c r="E2069" s="135" t="s">
        <v>3918</v>
      </c>
      <c r="F2069" s="135" t="s">
        <v>1860</v>
      </c>
      <c r="G2069" s="135" t="s">
        <v>66</v>
      </c>
      <c r="H2069" s="135"/>
      <c r="I2069" s="135" t="s">
        <v>73</v>
      </c>
      <c r="J2069" s="135">
        <v>1.0</v>
      </c>
      <c r="K2069" s="135"/>
      <c r="L2069" s="135">
        <v>3320.0</v>
      </c>
      <c r="M2069" s="135">
        <v>2950.0</v>
      </c>
      <c r="N2069" s="135">
        <v>120.0</v>
      </c>
      <c r="O2069" s="135">
        <v>1.266</v>
      </c>
      <c r="P2069" s="136">
        <v>0.0</v>
      </c>
      <c r="Q2069" s="137">
        <v>3.165</v>
      </c>
      <c r="R2069" s="136">
        <v>46128.0</v>
      </c>
      <c r="S2069" s="135" t="s">
        <v>3877</v>
      </c>
      <c r="T2069" s="136"/>
      <c r="U2069" s="135" t="s">
        <v>2864</v>
      </c>
      <c r="V2069" s="135" t="s">
        <v>2878</v>
      </c>
      <c r="W2069" s="135">
        <v>0.0</v>
      </c>
      <c r="X2069" s="135">
        <v>0.0</v>
      </c>
      <c r="Y2069" s="135"/>
      <c r="Z2069" s="135" t="s">
        <v>2858</v>
      </c>
      <c r="AA2069" s="135"/>
      <c r="AB2069" s="135"/>
      <c r="AC2069" s="135"/>
      <c r="AD2069" s="135">
        <v>46149.0</v>
      </c>
      <c r="AE2069" s="135"/>
      <c r="AF2069" s="135"/>
      <c r="AG2069" s="135"/>
    </row>
    <row r="2070" ht="21.75" hidden="1" customHeight="1">
      <c r="A2070" s="135">
        <v>2066.0</v>
      </c>
      <c r="B2070" s="135">
        <v>25045.0</v>
      </c>
      <c r="C2070" s="135"/>
      <c r="D2070" s="135">
        <v>34.0</v>
      </c>
      <c r="E2070" s="135" t="s">
        <v>3918</v>
      </c>
      <c r="F2070" s="135" t="s">
        <v>1861</v>
      </c>
      <c r="G2070" s="135" t="s">
        <v>66</v>
      </c>
      <c r="H2070" s="135"/>
      <c r="I2070" s="135" t="s">
        <v>73</v>
      </c>
      <c r="J2070" s="135">
        <v>1.0</v>
      </c>
      <c r="K2070" s="135"/>
      <c r="L2070" s="135">
        <v>4460.0</v>
      </c>
      <c r="M2070" s="135">
        <v>2950.0</v>
      </c>
      <c r="N2070" s="135">
        <v>120.0</v>
      </c>
      <c r="O2070" s="135">
        <v>1.268</v>
      </c>
      <c r="P2070" s="136">
        <v>0.0</v>
      </c>
      <c r="Q2070" s="137">
        <v>3.17</v>
      </c>
      <c r="R2070" s="136">
        <v>46128.0</v>
      </c>
      <c r="S2070" s="135" t="s">
        <v>3877</v>
      </c>
      <c r="T2070" s="136"/>
      <c r="U2070" s="135" t="s">
        <v>2864</v>
      </c>
      <c r="V2070" s="135" t="s">
        <v>2865</v>
      </c>
      <c r="W2070" s="135">
        <v>0.0</v>
      </c>
      <c r="X2070" s="135" t="s">
        <v>3920</v>
      </c>
      <c r="Y2070" s="135"/>
      <c r="Z2070" s="135" t="s">
        <v>2858</v>
      </c>
      <c r="AA2070" s="135"/>
      <c r="AB2070" s="135"/>
      <c r="AC2070" s="135"/>
      <c r="AD2070" s="135">
        <v>0.0</v>
      </c>
      <c r="AE2070" s="135"/>
      <c r="AF2070" s="135"/>
      <c r="AG2070" s="135"/>
    </row>
    <row r="2071" ht="21.75" hidden="1" customHeight="1">
      <c r="A2071" s="135">
        <v>2067.0</v>
      </c>
      <c r="B2071" s="135">
        <v>25045.0</v>
      </c>
      <c r="C2071" s="135"/>
      <c r="D2071" s="135">
        <v>34.0</v>
      </c>
      <c r="E2071" s="135" t="s">
        <v>3918</v>
      </c>
      <c r="F2071" s="135" t="s">
        <v>1862</v>
      </c>
      <c r="G2071" s="135" t="s">
        <v>66</v>
      </c>
      <c r="H2071" s="135"/>
      <c r="I2071" s="135" t="s">
        <v>73</v>
      </c>
      <c r="J2071" s="135">
        <v>1.0</v>
      </c>
      <c r="K2071" s="135"/>
      <c r="L2071" s="135">
        <v>3590.0</v>
      </c>
      <c r="M2071" s="135">
        <v>2450.0</v>
      </c>
      <c r="N2071" s="135">
        <v>120.0</v>
      </c>
      <c r="O2071" s="135">
        <v>1.312</v>
      </c>
      <c r="P2071" s="136">
        <v>0.0</v>
      </c>
      <c r="Q2071" s="137">
        <v>3.2800000000000002</v>
      </c>
      <c r="R2071" s="136">
        <v>46128.0</v>
      </c>
      <c r="S2071" s="135" t="s">
        <v>3877</v>
      </c>
      <c r="T2071" s="136"/>
      <c r="U2071" s="135" t="s">
        <v>2864</v>
      </c>
      <c r="V2071" s="135" t="s">
        <v>2865</v>
      </c>
      <c r="W2071" s="135">
        <v>0.0</v>
      </c>
      <c r="X2071" s="135" t="s">
        <v>3764</v>
      </c>
      <c r="Y2071" s="135"/>
      <c r="Z2071" s="135" t="s">
        <v>2858</v>
      </c>
      <c r="AA2071" s="135"/>
      <c r="AB2071" s="135"/>
      <c r="AC2071" s="135"/>
      <c r="AD2071" s="135">
        <v>0.0</v>
      </c>
      <c r="AE2071" s="135"/>
      <c r="AF2071" s="135"/>
      <c r="AG2071" s="135"/>
    </row>
    <row r="2072" ht="21.75" hidden="1" customHeight="1">
      <c r="A2072" s="135">
        <v>2068.0</v>
      </c>
      <c r="B2072" s="135">
        <v>25045.0</v>
      </c>
      <c r="C2072" s="135"/>
      <c r="D2072" s="135">
        <v>34.0</v>
      </c>
      <c r="E2072" s="135" t="s">
        <v>3918</v>
      </c>
      <c r="F2072" s="135" t="s">
        <v>1863</v>
      </c>
      <c r="G2072" s="135" t="s">
        <v>66</v>
      </c>
      <c r="H2072" s="135"/>
      <c r="I2072" s="135" t="s">
        <v>73</v>
      </c>
      <c r="J2072" s="135">
        <v>1.0</v>
      </c>
      <c r="K2072" s="135"/>
      <c r="L2072" s="135">
        <v>4920.0</v>
      </c>
      <c r="M2072" s="135">
        <v>3058.0</v>
      </c>
      <c r="N2072" s="135">
        <v>120.0</v>
      </c>
      <c r="O2072" s="135">
        <v>1.812</v>
      </c>
      <c r="P2072" s="136">
        <v>0.0</v>
      </c>
      <c r="Q2072" s="137">
        <v>4.53</v>
      </c>
      <c r="R2072" s="136">
        <v>46128.0</v>
      </c>
      <c r="S2072" s="135" t="s">
        <v>3877</v>
      </c>
      <c r="T2072" s="136"/>
      <c r="U2072" s="135" t="s">
        <v>2855</v>
      </c>
      <c r="V2072" s="135" t="s">
        <v>2868</v>
      </c>
      <c r="W2072" s="135">
        <v>1800.0</v>
      </c>
      <c r="X2072" s="135" t="s">
        <v>3764</v>
      </c>
      <c r="Y2072" s="135"/>
      <c r="Z2072" s="135" t="s">
        <v>2858</v>
      </c>
      <c r="AA2072" s="135"/>
      <c r="AB2072" s="135"/>
      <c r="AC2072" s="135"/>
      <c r="AD2072" s="135">
        <v>46148.0</v>
      </c>
      <c r="AE2072" s="135"/>
      <c r="AF2072" s="135"/>
      <c r="AG2072" s="135"/>
    </row>
    <row r="2073" ht="21.75" hidden="1" customHeight="1">
      <c r="A2073" s="135">
        <v>2069.0</v>
      </c>
      <c r="B2073" s="135">
        <v>25045.0</v>
      </c>
      <c r="C2073" s="135"/>
      <c r="D2073" s="135">
        <v>34.0</v>
      </c>
      <c r="E2073" s="135" t="s">
        <v>3918</v>
      </c>
      <c r="F2073" s="135" t="s">
        <v>1864</v>
      </c>
      <c r="G2073" s="135" t="s">
        <v>66</v>
      </c>
      <c r="H2073" s="135"/>
      <c r="I2073" s="135" t="s">
        <v>73</v>
      </c>
      <c r="J2073" s="135">
        <v>1.0</v>
      </c>
      <c r="K2073" s="135"/>
      <c r="L2073" s="135">
        <v>4655.0</v>
      </c>
      <c r="M2073" s="135">
        <v>3110.0</v>
      </c>
      <c r="N2073" s="135">
        <v>120.0</v>
      </c>
      <c r="O2073" s="135">
        <v>1.636</v>
      </c>
      <c r="P2073" s="136">
        <v>0.0</v>
      </c>
      <c r="Q2073" s="137">
        <v>4.09</v>
      </c>
      <c r="R2073" s="136">
        <v>46128.0</v>
      </c>
      <c r="S2073" s="135" t="s">
        <v>3877</v>
      </c>
      <c r="T2073" s="136"/>
      <c r="U2073" s="135" t="s">
        <v>2864</v>
      </c>
      <c r="V2073" s="135" t="s">
        <v>2985</v>
      </c>
      <c r="W2073" s="135">
        <v>0.0</v>
      </c>
      <c r="X2073" s="135" t="s">
        <v>3920</v>
      </c>
      <c r="Y2073" s="135"/>
      <c r="Z2073" s="135" t="s">
        <v>2858</v>
      </c>
      <c r="AA2073" s="135"/>
      <c r="AB2073" s="135"/>
      <c r="AC2073" s="135"/>
      <c r="AD2073" s="135">
        <v>46154.0</v>
      </c>
      <c r="AE2073" s="135"/>
      <c r="AF2073" s="135"/>
      <c r="AG2073" s="135"/>
    </row>
    <row r="2074" ht="21.75" hidden="1" customHeight="1">
      <c r="A2074" s="135">
        <v>2070.0</v>
      </c>
      <c r="B2074" s="135">
        <v>25045.0</v>
      </c>
      <c r="C2074" s="135"/>
      <c r="D2074" s="135">
        <v>34.0</v>
      </c>
      <c r="E2074" s="135" t="s">
        <v>3918</v>
      </c>
      <c r="F2074" s="135" t="s">
        <v>1865</v>
      </c>
      <c r="G2074" s="135" t="s">
        <v>66</v>
      </c>
      <c r="H2074" s="135"/>
      <c r="I2074" s="135" t="s">
        <v>73</v>
      </c>
      <c r="J2074" s="135">
        <v>1.0</v>
      </c>
      <c r="K2074" s="135"/>
      <c r="L2074" s="135">
        <v>4655.0</v>
      </c>
      <c r="M2074" s="135">
        <v>3110.0</v>
      </c>
      <c r="N2074" s="135">
        <v>120.0</v>
      </c>
      <c r="O2074" s="135">
        <v>1.972</v>
      </c>
      <c r="P2074" s="136">
        <v>0.0</v>
      </c>
      <c r="Q2074" s="137">
        <v>4.93</v>
      </c>
      <c r="R2074" s="136">
        <v>46128.0</v>
      </c>
      <c r="S2074" s="135" t="s">
        <v>3877</v>
      </c>
      <c r="T2074" s="136"/>
      <c r="U2074" s="135" t="s">
        <v>2855</v>
      </c>
      <c r="V2074" s="135" t="s">
        <v>2876</v>
      </c>
      <c r="W2074" s="135">
        <v>1800.0</v>
      </c>
      <c r="X2074" s="135">
        <v>0.0</v>
      </c>
      <c r="Y2074" s="135"/>
      <c r="Z2074" s="135" t="s">
        <v>2858</v>
      </c>
      <c r="AA2074" s="135"/>
      <c r="AB2074" s="135"/>
      <c r="AC2074" s="135"/>
      <c r="AD2074" s="135">
        <v>46154.0</v>
      </c>
      <c r="AE2074" s="135"/>
      <c r="AF2074" s="135"/>
      <c r="AG2074" s="135"/>
    </row>
    <row r="2075" ht="21.75" hidden="1" customHeight="1">
      <c r="A2075" s="135">
        <v>2071.0</v>
      </c>
      <c r="B2075" s="135">
        <v>25045.0</v>
      </c>
      <c r="C2075" s="135"/>
      <c r="D2075" s="135">
        <v>34.0</v>
      </c>
      <c r="E2075" s="135" t="s">
        <v>3918</v>
      </c>
      <c r="F2075" s="135" t="s">
        <v>1866</v>
      </c>
      <c r="G2075" s="135" t="s">
        <v>66</v>
      </c>
      <c r="H2075" s="135"/>
      <c r="I2075" s="135" t="s">
        <v>73</v>
      </c>
      <c r="J2075" s="135">
        <v>1.0</v>
      </c>
      <c r="K2075" s="135"/>
      <c r="L2075" s="135">
        <v>4655.0</v>
      </c>
      <c r="M2075" s="135">
        <v>3110.0</v>
      </c>
      <c r="N2075" s="135">
        <v>120.0</v>
      </c>
      <c r="O2075" s="135">
        <v>1.972</v>
      </c>
      <c r="P2075" s="136">
        <v>0.0</v>
      </c>
      <c r="Q2075" s="137">
        <v>4.93</v>
      </c>
      <c r="R2075" s="136">
        <v>46128.0</v>
      </c>
      <c r="S2075" s="135" t="s">
        <v>3877</v>
      </c>
      <c r="T2075" s="136"/>
      <c r="U2075" s="135" t="s">
        <v>2855</v>
      </c>
      <c r="V2075" s="135" t="s">
        <v>2876</v>
      </c>
      <c r="W2075" s="135">
        <v>1800.0</v>
      </c>
      <c r="X2075" s="135">
        <v>0.0</v>
      </c>
      <c r="Y2075" s="135"/>
      <c r="Z2075" s="135" t="s">
        <v>2858</v>
      </c>
      <c r="AA2075" s="135"/>
      <c r="AB2075" s="135"/>
      <c r="AC2075" s="135"/>
      <c r="AD2075" s="135">
        <v>46155.0</v>
      </c>
      <c r="AE2075" s="135"/>
      <c r="AF2075" s="135"/>
      <c r="AG2075" s="135"/>
    </row>
    <row r="2076" ht="21.75" hidden="1" customHeight="1">
      <c r="A2076" s="135">
        <v>2072.0</v>
      </c>
      <c r="B2076" s="135">
        <v>25045.0</v>
      </c>
      <c r="C2076" s="135"/>
      <c r="D2076" s="135">
        <v>34.0</v>
      </c>
      <c r="E2076" s="135" t="s">
        <v>3918</v>
      </c>
      <c r="F2076" s="135" t="s">
        <v>1867</v>
      </c>
      <c r="G2076" s="135" t="s">
        <v>66</v>
      </c>
      <c r="H2076" s="135"/>
      <c r="I2076" s="135" t="s">
        <v>73</v>
      </c>
      <c r="J2076" s="135">
        <v>1.0</v>
      </c>
      <c r="K2076" s="135"/>
      <c r="L2076" s="135">
        <v>4655.0</v>
      </c>
      <c r="M2076" s="135">
        <v>3110.0</v>
      </c>
      <c r="N2076" s="135">
        <v>120.0</v>
      </c>
      <c r="O2076" s="135">
        <v>1.972</v>
      </c>
      <c r="P2076" s="136">
        <v>0.0</v>
      </c>
      <c r="Q2076" s="137">
        <v>4.93</v>
      </c>
      <c r="R2076" s="136">
        <v>46128.0</v>
      </c>
      <c r="S2076" s="135" t="s">
        <v>3877</v>
      </c>
      <c r="T2076" s="136"/>
      <c r="U2076" s="135" t="s">
        <v>2855</v>
      </c>
      <c r="V2076" s="135" t="s">
        <v>2876</v>
      </c>
      <c r="W2076" s="135">
        <v>1800.0</v>
      </c>
      <c r="X2076" s="135">
        <v>0.0</v>
      </c>
      <c r="Y2076" s="135"/>
      <c r="Z2076" s="135" t="s">
        <v>2858</v>
      </c>
      <c r="AA2076" s="135"/>
      <c r="AB2076" s="135"/>
      <c r="AC2076" s="135"/>
      <c r="AD2076" s="135">
        <v>0.0</v>
      </c>
      <c r="AE2076" s="135"/>
      <c r="AF2076" s="135"/>
      <c r="AG2076" s="135"/>
    </row>
    <row r="2077" ht="21.75" hidden="1" customHeight="1">
      <c r="A2077" s="135">
        <v>2073.0</v>
      </c>
      <c r="B2077" s="135">
        <v>25045.0</v>
      </c>
      <c r="C2077" s="135"/>
      <c r="D2077" s="135">
        <v>34.0</v>
      </c>
      <c r="E2077" s="135" t="s">
        <v>3918</v>
      </c>
      <c r="F2077" s="135" t="s">
        <v>1868</v>
      </c>
      <c r="G2077" s="135" t="s">
        <v>66</v>
      </c>
      <c r="H2077" s="135"/>
      <c r="I2077" s="135" t="s">
        <v>73</v>
      </c>
      <c r="J2077" s="135">
        <v>1.0</v>
      </c>
      <c r="K2077" s="135"/>
      <c r="L2077" s="135">
        <v>5015.0</v>
      </c>
      <c r="M2077" s="135">
        <v>3110.0</v>
      </c>
      <c r="N2077" s="135">
        <v>120.0</v>
      </c>
      <c r="O2077" s="135">
        <v>2.072</v>
      </c>
      <c r="P2077" s="136">
        <v>0.0</v>
      </c>
      <c r="Q2077" s="137">
        <v>5.18</v>
      </c>
      <c r="R2077" s="136">
        <v>46128.0</v>
      </c>
      <c r="S2077" s="135" t="s">
        <v>3877</v>
      </c>
      <c r="T2077" s="136"/>
      <c r="U2077" s="135" t="s">
        <v>2855</v>
      </c>
      <c r="V2077" s="135" t="s">
        <v>2876</v>
      </c>
      <c r="W2077" s="135">
        <v>2500.0</v>
      </c>
      <c r="X2077" s="135">
        <v>0.0</v>
      </c>
      <c r="Y2077" s="135"/>
      <c r="Z2077" s="135" t="s">
        <v>2858</v>
      </c>
      <c r="AA2077" s="135"/>
      <c r="AB2077" s="135"/>
      <c r="AC2077" s="135"/>
      <c r="AD2077" s="135">
        <v>0.0</v>
      </c>
      <c r="AE2077" s="135"/>
      <c r="AF2077" s="135"/>
      <c r="AG2077" s="135"/>
    </row>
    <row r="2078" ht="21.75" hidden="1" customHeight="1">
      <c r="A2078" s="135">
        <v>2074.0</v>
      </c>
      <c r="B2078" s="135">
        <v>25045.0</v>
      </c>
      <c r="C2078" s="135"/>
      <c r="D2078" s="135">
        <v>34.0</v>
      </c>
      <c r="E2078" s="135" t="s">
        <v>3918</v>
      </c>
      <c r="F2078" s="135" t="s">
        <v>1869</v>
      </c>
      <c r="G2078" s="135" t="s">
        <v>66</v>
      </c>
      <c r="H2078" s="135"/>
      <c r="I2078" s="135" t="s">
        <v>73</v>
      </c>
      <c r="J2078" s="135">
        <v>1.0</v>
      </c>
      <c r="K2078" s="135"/>
      <c r="L2078" s="135">
        <v>1635.0</v>
      </c>
      <c r="M2078" s="135">
        <v>1510.0</v>
      </c>
      <c r="N2078" s="135">
        <v>120.0</v>
      </c>
      <c r="O2078" s="135">
        <v>0.372</v>
      </c>
      <c r="P2078" s="136">
        <v>0.0</v>
      </c>
      <c r="Q2078" s="137">
        <v>0.9299999999999999</v>
      </c>
      <c r="R2078" s="136">
        <v>46128.0</v>
      </c>
      <c r="S2078" s="135" t="s">
        <v>3877</v>
      </c>
      <c r="T2078" s="136"/>
      <c r="U2078" s="135" t="s">
        <v>2864</v>
      </c>
      <c r="V2078" s="135" t="s">
        <v>2953</v>
      </c>
      <c r="W2078" s="135">
        <v>0.0</v>
      </c>
      <c r="X2078" s="135">
        <v>0.0</v>
      </c>
      <c r="Y2078" s="135"/>
      <c r="Z2078" s="135" t="s">
        <v>2858</v>
      </c>
      <c r="AA2078" s="135"/>
      <c r="AB2078" s="135"/>
      <c r="AC2078" s="135"/>
      <c r="AD2078" s="135">
        <v>0.0</v>
      </c>
      <c r="AE2078" s="135"/>
      <c r="AF2078" s="135"/>
      <c r="AG2078" s="135"/>
    </row>
    <row r="2079" ht="21.75" hidden="1" customHeight="1">
      <c r="A2079" s="135">
        <v>2075.0</v>
      </c>
      <c r="B2079" s="135">
        <v>25045.0</v>
      </c>
      <c r="C2079" s="135"/>
      <c r="D2079" s="135">
        <v>34.0</v>
      </c>
      <c r="E2079" s="135" t="s">
        <v>3918</v>
      </c>
      <c r="F2079" s="135" t="s">
        <v>1870</v>
      </c>
      <c r="G2079" s="135" t="s">
        <v>66</v>
      </c>
      <c r="H2079" s="135"/>
      <c r="I2079" s="135" t="s">
        <v>73</v>
      </c>
      <c r="J2079" s="135">
        <v>1.0</v>
      </c>
      <c r="K2079" s="135"/>
      <c r="L2079" s="135">
        <v>750.0</v>
      </c>
      <c r="M2079" s="135">
        <v>2800.0</v>
      </c>
      <c r="N2079" s="135">
        <v>350.0</v>
      </c>
      <c r="O2079" s="135">
        <v>0.545</v>
      </c>
      <c r="P2079" s="136">
        <v>0.0</v>
      </c>
      <c r="Q2079" s="137">
        <v>1.3625</v>
      </c>
      <c r="R2079" s="136">
        <v>46128.0</v>
      </c>
      <c r="S2079" s="135" t="s">
        <v>3877</v>
      </c>
      <c r="T2079" s="136"/>
      <c r="U2079" s="135" t="s">
        <v>2966</v>
      </c>
      <c r="V2079" s="135" t="s">
        <v>2967</v>
      </c>
      <c r="W2079" s="135">
        <v>0.0</v>
      </c>
      <c r="X2079" s="135">
        <v>0.0</v>
      </c>
      <c r="Y2079" s="135"/>
      <c r="Z2079" s="135" t="s">
        <v>2858</v>
      </c>
      <c r="AA2079" s="135"/>
      <c r="AB2079" s="135"/>
      <c r="AC2079" s="135"/>
      <c r="AD2079" s="135">
        <v>0.0</v>
      </c>
      <c r="AE2079" s="135"/>
      <c r="AF2079" s="135"/>
      <c r="AG2079" s="135"/>
    </row>
    <row r="2080" ht="21.75" hidden="1" customHeight="1">
      <c r="A2080" s="135">
        <v>2076.0</v>
      </c>
      <c r="B2080" s="135">
        <v>25045.0</v>
      </c>
      <c r="C2080" s="135"/>
      <c r="D2080" s="135">
        <v>34.0</v>
      </c>
      <c r="E2080" s="135" t="s">
        <v>3921</v>
      </c>
      <c r="F2080" s="135" t="s">
        <v>1871</v>
      </c>
      <c r="G2080" s="135" t="s">
        <v>66</v>
      </c>
      <c r="H2080" s="135"/>
      <c r="I2080" s="135" t="s">
        <v>74</v>
      </c>
      <c r="J2080" s="135">
        <v>1.0</v>
      </c>
      <c r="K2080" s="135"/>
      <c r="L2080" s="135">
        <v>4321.0</v>
      </c>
      <c r="M2080" s="135">
        <v>1350.0</v>
      </c>
      <c r="N2080" s="135">
        <v>120.0</v>
      </c>
      <c r="O2080" s="135">
        <v>0.859</v>
      </c>
      <c r="P2080" s="136">
        <v>0.0</v>
      </c>
      <c r="Q2080" s="137">
        <v>2.1475</v>
      </c>
      <c r="R2080" s="136">
        <v>46128.0</v>
      </c>
      <c r="S2080" s="135" t="s">
        <v>3877</v>
      </c>
      <c r="T2080" s="136"/>
      <c r="U2080" s="135" t="s">
        <v>2855</v>
      </c>
      <c r="V2080" s="135" t="s">
        <v>2856</v>
      </c>
      <c r="W2080" s="135">
        <v>1800.0</v>
      </c>
      <c r="X2080" s="135">
        <v>0.0</v>
      </c>
      <c r="Y2080" s="135"/>
      <c r="Z2080" s="135" t="s">
        <v>2858</v>
      </c>
      <c r="AA2080" s="135"/>
      <c r="AB2080" s="135"/>
      <c r="AC2080" s="135"/>
      <c r="AD2080" s="135">
        <v>46160.0</v>
      </c>
      <c r="AE2080" s="135"/>
      <c r="AF2080" s="135"/>
      <c r="AG2080" s="135"/>
    </row>
    <row r="2081" ht="21.75" hidden="1" customHeight="1">
      <c r="A2081" s="135">
        <v>2077.0</v>
      </c>
      <c r="B2081" s="135">
        <v>25045.0</v>
      </c>
      <c r="C2081" s="135"/>
      <c r="D2081" s="135">
        <v>34.0</v>
      </c>
      <c r="E2081" s="135" t="s">
        <v>3921</v>
      </c>
      <c r="F2081" s="135" t="s">
        <v>1872</v>
      </c>
      <c r="G2081" s="135" t="s">
        <v>66</v>
      </c>
      <c r="H2081" s="135"/>
      <c r="I2081" s="135" t="s">
        <v>74</v>
      </c>
      <c r="J2081" s="135">
        <v>1.0</v>
      </c>
      <c r="K2081" s="135"/>
      <c r="L2081" s="135">
        <v>4321.0</v>
      </c>
      <c r="M2081" s="135">
        <v>1350.0</v>
      </c>
      <c r="N2081" s="135">
        <v>120.0</v>
      </c>
      <c r="O2081" s="135">
        <v>0.859</v>
      </c>
      <c r="P2081" s="136">
        <v>0.0</v>
      </c>
      <c r="Q2081" s="137">
        <v>2.1475</v>
      </c>
      <c r="R2081" s="136">
        <v>46128.0</v>
      </c>
      <c r="S2081" s="135" t="s">
        <v>3877</v>
      </c>
      <c r="T2081" s="136"/>
      <c r="U2081" s="135" t="s">
        <v>2855</v>
      </c>
      <c r="V2081" s="135" t="s">
        <v>2856</v>
      </c>
      <c r="W2081" s="135">
        <v>1800.0</v>
      </c>
      <c r="X2081" s="135">
        <v>0.0</v>
      </c>
      <c r="Y2081" s="135"/>
      <c r="Z2081" s="135" t="s">
        <v>2858</v>
      </c>
      <c r="AA2081" s="135"/>
      <c r="AB2081" s="135"/>
      <c r="AC2081" s="135"/>
      <c r="AD2081" s="135">
        <v>46150.0</v>
      </c>
      <c r="AE2081" s="135"/>
      <c r="AF2081" s="135"/>
      <c r="AG2081" s="135"/>
    </row>
    <row r="2082" ht="21.75" hidden="1" customHeight="1">
      <c r="A2082" s="135">
        <v>2078.0</v>
      </c>
      <c r="B2082" s="135">
        <v>25045.0</v>
      </c>
      <c r="C2082" s="135"/>
      <c r="D2082" s="135">
        <v>34.0</v>
      </c>
      <c r="E2082" s="135" t="s">
        <v>3921</v>
      </c>
      <c r="F2082" s="135" t="s">
        <v>1873</v>
      </c>
      <c r="G2082" s="135" t="s">
        <v>66</v>
      </c>
      <c r="H2082" s="135"/>
      <c r="I2082" s="135" t="s">
        <v>74</v>
      </c>
      <c r="J2082" s="135">
        <v>1.0</v>
      </c>
      <c r="K2082" s="135"/>
      <c r="L2082" s="135">
        <v>4321.0</v>
      </c>
      <c r="M2082" s="135">
        <v>1350.0</v>
      </c>
      <c r="N2082" s="135">
        <v>120.0</v>
      </c>
      <c r="O2082" s="135">
        <v>0.653</v>
      </c>
      <c r="P2082" s="136">
        <v>0.0</v>
      </c>
      <c r="Q2082" s="137">
        <v>1.6325</v>
      </c>
      <c r="R2082" s="136">
        <v>46128.0</v>
      </c>
      <c r="S2082" s="135" t="s">
        <v>3877</v>
      </c>
      <c r="T2082" s="136"/>
      <c r="U2082" s="135" t="s">
        <v>2855</v>
      </c>
      <c r="V2082" s="135" t="s">
        <v>2856</v>
      </c>
      <c r="W2082" s="135">
        <v>1800.0</v>
      </c>
      <c r="X2082" s="135" t="s">
        <v>3922</v>
      </c>
      <c r="Y2082" s="135"/>
      <c r="Z2082" s="135" t="s">
        <v>2858</v>
      </c>
      <c r="AA2082" s="135"/>
      <c r="AB2082" s="135"/>
      <c r="AC2082" s="135"/>
      <c r="AD2082" s="135">
        <v>46157.0</v>
      </c>
      <c r="AE2082" s="135"/>
      <c r="AF2082" s="135"/>
      <c r="AG2082" s="135"/>
    </row>
    <row r="2083" ht="21.75" hidden="1" customHeight="1">
      <c r="A2083" s="135">
        <v>2079.0</v>
      </c>
      <c r="B2083" s="135">
        <v>25045.0</v>
      </c>
      <c r="C2083" s="135"/>
      <c r="D2083" s="135">
        <v>34.0</v>
      </c>
      <c r="E2083" s="135" t="s">
        <v>3921</v>
      </c>
      <c r="F2083" s="135" t="s">
        <v>1874</v>
      </c>
      <c r="G2083" s="135" t="s">
        <v>66</v>
      </c>
      <c r="H2083" s="135"/>
      <c r="I2083" s="135" t="s">
        <v>74</v>
      </c>
      <c r="J2083" s="135">
        <v>1.0</v>
      </c>
      <c r="K2083" s="135"/>
      <c r="L2083" s="135">
        <v>3000.0</v>
      </c>
      <c r="M2083" s="135">
        <v>2850.0</v>
      </c>
      <c r="N2083" s="135">
        <v>120.0</v>
      </c>
      <c r="O2083" s="135">
        <v>1.047</v>
      </c>
      <c r="P2083" s="136">
        <v>0.0</v>
      </c>
      <c r="Q2083" s="137">
        <v>2.6174999999999997</v>
      </c>
      <c r="R2083" s="136">
        <v>46128.0</v>
      </c>
      <c r="S2083" s="135" t="s">
        <v>3877</v>
      </c>
      <c r="T2083" s="136"/>
      <c r="U2083" s="135" t="s">
        <v>2864</v>
      </c>
      <c r="V2083" s="135" t="s">
        <v>2878</v>
      </c>
      <c r="W2083" s="135">
        <v>0.0</v>
      </c>
      <c r="X2083" s="135" t="s">
        <v>3586</v>
      </c>
      <c r="Y2083" s="135"/>
      <c r="Z2083" s="135" t="s">
        <v>2858</v>
      </c>
      <c r="AA2083" s="135"/>
      <c r="AB2083" s="135"/>
      <c r="AC2083" s="135"/>
      <c r="AD2083" s="135">
        <v>46150.0</v>
      </c>
      <c r="AE2083" s="135"/>
      <c r="AF2083" s="135"/>
      <c r="AG2083" s="135"/>
    </row>
    <row r="2084" ht="21.75" hidden="1" customHeight="1">
      <c r="A2084" s="135">
        <v>2080.0</v>
      </c>
      <c r="B2084" s="135">
        <v>25045.0</v>
      </c>
      <c r="C2084" s="135"/>
      <c r="D2084" s="135">
        <v>34.0</v>
      </c>
      <c r="E2084" s="135" t="s">
        <v>3921</v>
      </c>
      <c r="F2084" s="135" t="s">
        <v>1875</v>
      </c>
      <c r="G2084" s="135" t="s">
        <v>66</v>
      </c>
      <c r="H2084" s="135"/>
      <c r="I2084" s="135" t="s">
        <v>74</v>
      </c>
      <c r="J2084" s="135">
        <v>1.0</v>
      </c>
      <c r="K2084" s="135"/>
      <c r="L2084" s="135">
        <v>3320.0</v>
      </c>
      <c r="M2084" s="135">
        <v>3058.0</v>
      </c>
      <c r="N2084" s="135">
        <v>120.0</v>
      </c>
      <c r="O2084" s="135">
        <v>1.31</v>
      </c>
      <c r="P2084" s="136">
        <v>0.0</v>
      </c>
      <c r="Q2084" s="137">
        <v>3.2750000000000004</v>
      </c>
      <c r="R2084" s="136">
        <v>46128.0</v>
      </c>
      <c r="S2084" s="135" t="s">
        <v>3877</v>
      </c>
      <c r="T2084" s="136"/>
      <c r="U2084" s="135" t="s">
        <v>2864</v>
      </c>
      <c r="V2084" s="135" t="s">
        <v>2878</v>
      </c>
      <c r="W2084" s="135">
        <v>0.0</v>
      </c>
      <c r="X2084" s="135">
        <v>0.0</v>
      </c>
      <c r="Y2084" s="135"/>
      <c r="Z2084" s="135" t="s">
        <v>2858</v>
      </c>
      <c r="AA2084" s="135"/>
      <c r="AB2084" s="135"/>
      <c r="AC2084" s="135"/>
      <c r="AD2084" s="135">
        <v>46151.0</v>
      </c>
      <c r="AE2084" s="135"/>
      <c r="AF2084" s="135"/>
      <c r="AG2084" s="135"/>
    </row>
    <row r="2085" ht="21.75" hidden="1" customHeight="1">
      <c r="A2085" s="135">
        <v>2081.0</v>
      </c>
      <c r="B2085" s="135">
        <v>25045.0</v>
      </c>
      <c r="C2085" s="135"/>
      <c r="D2085" s="135">
        <v>34.0</v>
      </c>
      <c r="E2085" s="135" t="s">
        <v>3921</v>
      </c>
      <c r="F2085" s="135" t="s">
        <v>1876</v>
      </c>
      <c r="G2085" s="135" t="s">
        <v>66</v>
      </c>
      <c r="H2085" s="135"/>
      <c r="I2085" s="135" t="s">
        <v>74</v>
      </c>
      <c r="J2085" s="135">
        <v>1.0</v>
      </c>
      <c r="K2085" s="135"/>
      <c r="L2085" s="135">
        <v>3090.0</v>
      </c>
      <c r="M2085" s="135">
        <v>3058.0</v>
      </c>
      <c r="N2085" s="135">
        <v>120.0</v>
      </c>
      <c r="O2085" s="135">
        <v>1.121</v>
      </c>
      <c r="P2085" s="136">
        <v>0.0</v>
      </c>
      <c r="Q2085" s="137">
        <v>2.8025</v>
      </c>
      <c r="R2085" s="136">
        <v>46128.0</v>
      </c>
      <c r="S2085" s="135" t="s">
        <v>3877</v>
      </c>
      <c r="T2085" s="136"/>
      <c r="U2085" s="135" t="s">
        <v>2864</v>
      </c>
      <c r="V2085" s="135" t="s">
        <v>2878</v>
      </c>
      <c r="W2085" s="135">
        <v>0.0</v>
      </c>
      <c r="X2085" s="135" t="s">
        <v>3586</v>
      </c>
      <c r="Y2085" s="135"/>
      <c r="Z2085" s="135" t="s">
        <v>2858</v>
      </c>
      <c r="AA2085" s="135"/>
      <c r="AB2085" s="135"/>
      <c r="AC2085" s="135"/>
      <c r="AD2085" s="135">
        <v>46153.0</v>
      </c>
      <c r="AE2085" s="135"/>
      <c r="AF2085" s="135"/>
      <c r="AG2085" s="135"/>
    </row>
    <row r="2086" ht="21.75" hidden="1" customHeight="1">
      <c r="A2086" s="135">
        <v>2082.0</v>
      </c>
      <c r="B2086" s="135">
        <v>25045.0</v>
      </c>
      <c r="C2086" s="135"/>
      <c r="D2086" s="135">
        <v>34.0</v>
      </c>
      <c r="E2086" s="135" t="s">
        <v>3921</v>
      </c>
      <c r="F2086" s="135" t="s">
        <v>1877</v>
      </c>
      <c r="G2086" s="135" t="s">
        <v>66</v>
      </c>
      <c r="H2086" s="135"/>
      <c r="I2086" s="135" t="s">
        <v>74</v>
      </c>
      <c r="J2086" s="135">
        <v>1.0</v>
      </c>
      <c r="K2086" s="135"/>
      <c r="L2086" s="135">
        <v>3420.0</v>
      </c>
      <c r="M2086" s="135">
        <v>3058.0</v>
      </c>
      <c r="N2086" s="135">
        <v>120.0</v>
      </c>
      <c r="O2086" s="135">
        <v>1.246</v>
      </c>
      <c r="P2086" s="136">
        <v>0.0</v>
      </c>
      <c r="Q2086" s="137">
        <v>3.115</v>
      </c>
      <c r="R2086" s="136">
        <v>46128.0</v>
      </c>
      <c r="S2086" s="135" t="s">
        <v>3877</v>
      </c>
      <c r="T2086" s="136"/>
      <c r="U2086" s="135" t="s">
        <v>2864</v>
      </c>
      <c r="V2086" s="135" t="s">
        <v>2878</v>
      </c>
      <c r="W2086" s="135">
        <v>0.0</v>
      </c>
      <c r="X2086" s="135" t="s">
        <v>3586</v>
      </c>
      <c r="Y2086" s="135"/>
      <c r="Z2086" s="135" t="s">
        <v>2858</v>
      </c>
      <c r="AA2086" s="135"/>
      <c r="AB2086" s="135"/>
      <c r="AC2086" s="135"/>
      <c r="AD2086" s="135">
        <v>46153.0</v>
      </c>
      <c r="AE2086" s="135"/>
      <c r="AF2086" s="135"/>
      <c r="AG2086" s="135"/>
    </row>
    <row r="2087" ht="21.75" hidden="1" customHeight="1">
      <c r="A2087" s="135">
        <v>2083.0</v>
      </c>
      <c r="B2087" s="135">
        <v>25045.0</v>
      </c>
      <c r="C2087" s="135"/>
      <c r="D2087" s="135">
        <v>34.0</v>
      </c>
      <c r="E2087" s="135" t="s">
        <v>3921</v>
      </c>
      <c r="F2087" s="135" t="s">
        <v>1878</v>
      </c>
      <c r="G2087" s="135" t="s">
        <v>66</v>
      </c>
      <c r="H2087" s="135"/>
      <c r="I2087" s="135" t="s">
        <v>74</v>
      </c>
      <c r="J2087" s="135">
        <v>1.0</v>
      </c>
      <c r="K2087" s="135"/>
      <c r="L2087" s="135">
        <v>3590.0</v>
      </c>
      <c r="M2087" s="135">
        <v>2950.0</v>
      </c>
      <c r="N2087" s="135">
        <v>120.0</v>
      </c>
      <c r="O2087" s="135">
        <v>1.312</v>
      </c>
      <c r="P2087" s="136">
        <v>0.0</v>
      </c>
      <c r="Q2087" s="137">
        <v>3.2800000000000002</v>
      </c>
      <c r="R2087" s="136">
        <v>46128.0</v>
      </c>
      <c r="S2087" s="135" t="s">
        <v>3877</v>
      </c>
      <c r="T2087" s="136"/>
      <c r="U2087" s="135" t="s">
        <v>2864</v>
      </c>
      <c r="V2087" s="135" t="s">
        <v>2865</v>
      </c>
      <c r="W2087" s="135">
        <v>0.0</v>
      </c>
      <c r="X2087" s="135" t="s">
        <v>3586</v>
      </c>
      <c r="Y2087" s="135"/>
      <c r="Z2087" s="135" t="s">
        <v>2858</v>
      </c>
      <c r="AA2087" s="135"/>
      <c r="AB2087" s="135"/>
      <c r="AC2087" s="135"/>
      <c r="AD2087" s="135">
        <v>0.0</v>
      </c>
      <c r="AE2087" s="135"/>
      <c r="AF2087" s="135"/>
      <c r="AG2087" s="135"/>
    </row>
    <row r="2088" ht="21.75" hidden="1" customHeight="1">
      <c r="A2088" s="135">
        <v>2084.0</v>
      </c>
      <c r="B2088" s="135">
        <v>25045.0</v>
      </c>
      <c r="C2088" s="135"/>
      <c r="D2088" s="135">
        <v>34.0</v>
      </c>
      <c r="E2088" s="135" t="s">
        <v>3921</v>
      </c>
      <c r="F2088" s="135" t="s">
        <v>1879</v>
      </c>
      <c r="G2088" s="135" t="s">
        <v>66</v>
      </c>
      <c r="H2088" s="135"/>
      <c r="I2088" s="135" t="s">
        <v>74</v>
      </c>
      <c r="J2088" s="135">
        <v>1.0</v>
      </c>
      <c r="K2088" s="135"/>
      <c r="L2088" s="135">
        <v>4460.0</v>
      </c>
      <c r="M2088" s="135">
        <v>2950.0</v>
      </c>
      <c r="N2088" s="135">
        <v>120.0</v>
      </c>
      <c r="O2088" s="135">
        <v>1.268</v>
      </c>
      <c r="P2088" s="136">
        <v>0.0</v>
      </c>
      <c r="Q2088" s="137">
        <v>3.17</v>
      </c>
      <c r="R2088" s="136">
        <v>46128.0</v>
      </c>
      <c r="S2088" s="135" t="s">
        <v>3877</v>
      </c>
      <c r="T2088" s="136"/>
      <c r="U2088" s="135" t="s">
        <v>2864</v>
      </c>
      <c r="V2088" s="135" t="s">
        <v>2865</v>
      </c>
      <c r="W2088" s="135">
        <v>0.0</v>
      </c>
      <c r="X2088" s="135" t="s">
        <v>3764</v>
      </c>
      <c r="Y2088" s="135"/>
      <c r="Z2088" s="135" t="s">
        <v>2858</v>
      </c>
      <c r="AA2088" s="135"/>
      <c r="AB2088" s="135"/>
      <c r="AC2088" s="135"/>
      <c r="AD2088" s="135">
        <v>0.0</v>
      </c>
      <c r="AE2088" s="135"/>
      <c r="AF2088" s="135"/>
      <c r="AG2088" s="135"/>
    </row>
    <row r="2089" ht="21.75" hidden="1" customHeight="1">
      <c r="A2089" s="135">
        <v>2085.0</v>
      </c>
      <c r="B2089" s="135">
        <v>25045.0</v>
      </c>
      <c r="C2089" s="135"/>
      <c r="D2089" s="135">
        <v>34.0</v>
      </c>
      <c r="E2089" s="135" t="s">
        <v>3921</v>
      </c>
      <c r="F2089" s="135" t="s">
        <v>1880</v>
      </c>
      <c r="G2089" s="135" t="s">
        <v>66</v>
      </c>
      <c r="H2089" s="135"/>
      <c r="I2089" s="135" t="s">
        <v>74</v>
      </c>
      <c r="J2089" s="135">
        <v>1.0</v>
      </c>
      <c r="K2089" s="135"/>
      <c r="L2089" s="135">
        <v>4920.0</v>
      </c>
      <c r="M2089" s="135">
        <v>3058.0</v>
      </c>
      <c r="N2089" s="135">
        <v>120.0</v>
      </c>
      <c r="O2089" s="135">
        <v>1.87</v>
      </c>
      <c r="P2089" s="136">
        <v>0.0</v>
      </c>
      <c r="Q2089" s="137">
        <v>4.675000000000001</v>
      </c>
      <c r="R2089" s="136">
        <v>46128.0</v>
      </c>
      <c r="S2089" s="135" t="s">
        <v>3877</v>
      </c>
      <c r="T2089" s="136"/>
      <c r="U2089" s="135" t="s">
        <v>2855</v>
      </c>
      <c r="V2089" s="135" t="s">
        <v>2868</v>
      </c>
      <c r="W2089" s="135">
        <v>1800.0</v>
      </c>
      <c r="X2089" s="135">
        <v>0.0</v>
      </c>
      <c r="Y2089" s="135"/>
      <c r="Z2089" s="135" t="s">
        <v>2858</v>
      </c>
      <c r="AA2089" s="135"/>
      <c r="AB2089" s="135"/>
      <c r="AC2089" s="135"/>
      <c r="AD2089" s="135">
        <v>46149.0</v>
      </c>
      <c r="AE2089" s="135"/>
      <c r="AF2089" s="135"/>
      <c r="AG2089" s="135"/>
    </row>
    <row r="2090" ht="21.75" hidden="1" customHeight="1">
      <c r="A2090" s="135">
        <v>2086.0</v>
      </c>
      <c r="B2090" s="135">
        <v>25045.0</v>
      </c>
      <c r="C2090" s="135"/>
      <c r="D2090" s="135">
        <v>34.0</v>
      </c>
      <c r="E2090" s="135" t="s">
        <v>3921</v>
      </c>
      <c r="F2090" s="135" t="s">
        <v>1881</v>
      </c>
      <c r="G2090" s="135" t="s">
        <v>66</v>
      </c>
      <c r="H2090" s="135"/>
      <c r="I2090" s="135" t="s">
        <v>74</v>
      </c>
      <c r="J2090" s="135">
        <v>1.0</v>
      </c>
      <c r="K2090" s="135"/>
      <c r="L2090" s="135">
        <v>5015.0</v>
      </c>
      <c r="M2090" s="135">
        <v>3290.0</v>
      </c>
      <c r="N2090" s="135">
        <v>120.0</v>
      </c>
      <c r="O2090" s="135">
        <v>2.316</v>
      </c>
      <c r="P2090" s="136">
        <v>0.0</v>
      </c>
      <c r="Q2090" s="137">
        <v>5.789999999999999</v>
      </c>
      <c r="R2090" s="136">
        <v>46128.0</v>
      </c>
      <c r="S2090" s="135" t="s">
        <v>3877</v>
      </c>
      <c r="T2090" s="136"/>
      <c r="U2090" s="135" t="s">
        <v>2855</v>
      </c>
      <c r="V2090" s="135" t="s">
        <v>2878</v>
      </c>
      <c r="W2090" s="135">
        <v>2500.0</v>
      </c>
      <c r="X2090" s="135">
        <v>0.0</v>
      </c>
      <c r="Y2090" s="135"/>
      <c r="Z2090" s="135" t="s">
        <v>2858</v>
      </c>
      <c r="AA2090" s="135"/>
      <c r="AB2090" s="135"/>
      <c r="AC2090" s="135"/>
      <c r="AD2090" s="135">
        <v>46151.0</v>
      </c>
      <c r="AE2090" s="135"/>
      <c r="AF2090" s="135"/>
      <c r="AG2090" s="135"/>
    </row>
    <row r="2091" ht="21.75" hidden="1" customHeight="1">
      <c r="A2091" s="135">
        <v>2087.0</v>
      </c>
      <c r="B2091" s="135">
        <v>25045.0</v>
      </c>
      <c r="C2091" s="135"/>
      <c r="D2091" s="135">
        <v>34.0</v>
      </c>
      <c r="E2091" s="135" t="s">
        <v>3921</v>
      </c>
      <c r="F2091" s="135" t="s">
        <v>1882</v>
      </c>
      <c r="G2091" s="135" t="s">
        <v>66</v>
      </c>
      <c r="H2091" s="135"/>
      <c r="I2091" s="135" t="s">
        <v>74</v>
      </c>
      <c r="J2091" s="135">
        <v>1.0</v>
      </c>
      <c r="K2091" s="135"/>
      <c r="L2091" s="135">
        <v>4655.0</v>
      </c>
      <c r="M2091" s="135">
        <v>3290.0</v>
      </c>
      <c r="N2091" s="135">
        <v>120.0</v>
      </c>
      <c r="O2091" s="135">
        <v>2.209</v>
      </c>
      <c r="P2091" s="136">
        <v>0.0</v>
      </c>
      <c r="Q2091" s="137">
        <v>5.5225</v>
      </c>
      <c r="R2091" s="136">
        <v>46128.0</v>
      </c>
      <c r="S2091" s="135" t="s">
        <v>3877</v>
      </c>
      <c r="T2091" s="136"/>
      <c r="U2091" s="135" t="s">
        <v>2855</v>
      </c>
      <c r="V2091" s="135" t="s">
        <v>2878</v>
      </c>
      <c r="W2091" s="135">
        <v>1800.0</v>
      </c>
      <c r="X2091" s="135">
        <v>0.0</v>
      </c>
      <c r="Y2091" s="135"/>
      <c r="Z2091" s="135" t="s">
        <v>2858</v>
      </c>
      <c r="AA2091" s="135"/>
      <c r="AB2091" s="135"/>
      <c r="AC2091" s="135"/>
      <c r="AD2091" s="135">
        <v>46147.0</v>
      </c>
      <c r="AE2091" s="135"/>
      <c r="AF2091" s="135"/>
      <c r="AG2091" s="135"/>
    </row>
    <row r="2092" ht="21.75" hidden="1" customHeight="1">
      <c r="A2092" s="135">
        <v>2088.0</v>
      </c>
      <c r="B2092" s="135">
        <v>25045.0</v>
      </c>
      <c r="C2092" s="135"/>
      <c r="D2092" s="135">
        <v>34.0</v>
      </c>
      <c r="E2092" s="135" t="s">
        <v>3921</v>
      </c>
      <c r="F2092" s="135" t="s">
        <v>1883</v>
      </c>
      <c r="G2092" s="135" t="s">
        <v>66</v>
      </c>
      <c r="H2092" s="135"/>
      <c r="I2092" s="135" t="s">
        <v>74</v>
      </c>
      <c r="J2092" s="135">
        <v>1.0</v>
      </c>
      <c r="K2092" s="135"/>
      <c r="L2092" s="135">
        <v>4655.0</v>
      </c>
      <c r="M2092" s="135">
        <v>3290.0</v>
      </c>
      <c r="N2092" s="135">
        <v>120.0</v>
      </c>
      <c r="O2092" s="135">
        <v>2.209</v>
      </c>
      <c r="P2092" s="136">
        <v>0.0</v>
      </c>
      <c r="Q2092" s="137">
        <v>5.5225</v>
      </c>
      <c r="R2092" s="136">
        <v>46128.0</v>
      </c>
      <c r="S2092" s="135" t="s">
        <v>3877</v>
      </c>
      <c r="T2092" s="136"/>
      <c r="U2092" s="135" t="s">
        <v>2855</v>
      </c>
      <c r="V2092" s="135" t="s">
        <v>2878</v>
      </c>
      <c r="W2092" s="135">
        <v>1800.0</v>
      </c>
      <c r="X2092" s="135">
        <v>0.0</v>
      </c>
      <c r="Y2092" s="135"/>
      <c r="Z2092" s="135" t="s">
        <v>2858</v>
      </c>
      <c r="AA2092" s="135"/>
      <c r="AB2092" s="135"/>
      <c r="AC2092" s="135"/>
      <c r="AD2092" s="135">
        <v>46147.0</v>
      </c>
      <c r="AE2092" s="135"/>
      <c r="AF2092" s="135"/>
      <c r="AG2092" s="135"/>
    </row>
    <row r="2093" ht="21.75" hidden="1" customHeight="1">
      <c r="A2093" s="135">
        <v>2089.0</v>
      </c>
      <c r="B2093" s="135">
        <v>25045.0</v>
      </c>
      <c r="C2093" s="135"/>
      <c r="D2093" s="135">
        <v>34.0</v>
      </c>
      <c r="E2093" s="135" t="s">
        <v>3921</v>
      </c>
      <c r="F2093" s="135" t="s">
        <v>1884</v>
      </c>
      <c r="G2093" s="135" t="s">
        <v>66</v>
      </c>
      <c r="H2093" s="135"/>
      <c r="I2093" s="135" t="s">
        <v>74</v>
      </c>
      <c r="J2093" s="135">
        <v>1.0</v>
      </c>
      <c r="K2093" s="135"/>
      <c r="L2093" s="135">
        <v>4655.0</v>
      </c>
      <c r="M2093" s="135">
        <v>3290.0</v>
      </c>
      <c r="N2093" s="135">
        <v>120.0</v>
      </c>
      <c r="O2093" s="135">
        <v>2.209</v>
      </c>
      <c r="P2093" s="136">
        <v>0.0</v>
      </c>
      <c r="Q2093" s="137">
        <v>5.5225</v>
      </c>
      <c r="R2093" s="136">
        <v>46128.0</v>
      </c>
      <c r="S2093" s="135" t="s">
        <v>3877</v>
      </c>
      <c r="T2093" s="136"/>
      <c r="U2093" s="135" t="s">
        <v>2855</v>
      </c>
      <c r="V2093" s="135" t="s">
        <v>2878</v>
      </c>
      <c r="W2093" s="135">
        <v>1800.0</v>
      </c>
      <c r="X2093" s="135">
        <v>0.0</v>
      </c>
      <c r="Y2093" s="135"/>
      <c r="Z2093" s="135" t="s">
        <v>2858</v>
      </c>
      <c r="AA2093" s="135"/>
      <c r="AB2093" s="135"/>
      <c r="AC2093" s="135"/>
      <c r="AD2093" s="135">
        <v>46149.0</v>
      </c>
      <c r="AE2093" s="135"/>
      <c r="AF2093" s="135"/>
      <c r="AG2093" s="135"/>
    </row>
    <row r="2094" ht="21.75" hidden="1" customHeight="1">
      <c r="A2094" s="135">
        <v>2090.0</v>
      </c>
      <c r="B2094" s="135">
        <v>25045.0</v>
      </c>
      <c r="C2094" s="135"/>
      <c r="D2094" s="135">
        <v>34.0</v>
      </c>
      <c r="E2094" s="135" t="s">
        <v>3921</v>
      </c>
      <c r="F2094" s="135" t="s">
        <v>1885</v>
      </c>
      <c r="G2094" s="135" t="s">
        <v>66</v>
      </c>
      <c r="H2094" s="135"/>
      <c r="I2094" s="135" t="s">
        <v>74</v>
      </c>
      <c r="J2094" s="135">
        <v>1.0</v>
      </c>
      <c r="K2094" s="135"/>
      <c r="L2094" s="135">
        <v>4655.0</v>
      </c>
      <c r="M2094" s="135">
        <v>3290.0</v>
      </c>
      <c r="N2094" s="135">
        <v>120.0</v>
      </c>
      <c r="O2094" s="135">
        <v>1.872</v>
      </c>
      <c r="P2094" s="136">
        <v>0.0</v>
      </c>
      <c r="Q2094" s="137">
        <v>4.680000000000001</v>
      </c>
      <c r="R2094" s="136">
        <v>46128.0</v>
      </c>
      <c r="S2094" s="135" t="s">
        <v>3877</v>
      </c>
      <c r="T2094" s="136"/>
      <c r="U2094" s="135" t="s">
        <v>2864</v>
      </c>
      <c r="V2094" s="135" t="s">
        <v>2890</v>
      </c>
      <c r="W2094" s="135">
        <v>0.0</v>
      </c>
      <c r="X2094" s="135" t="s">
        <v>3764</v>
      </c>
      <c r="Y2094" s="135"/>
      <c r="Z2094" s="135" t="s">
        <v>2858</v>
      </c>
      <c r="AA2094" s="135"/>
      <c r="AB2094" s="135"/>
      <c r="AC2094" s="135"/>
      <c r="AD2094" s="135">
        <v>46156.0</v>
      </c>
      <c r="AE2094" s="135"/>
      <c r="AF2094" s="135"/>
      <c r="AG2094" s="135"/>
    </row>
    <row r="2095" ht="21.75" hidden="1" customHeight="1">
      <c r="A2095" s="135">
        <v>2091.0</v>
      </c>
      <c r="B2095" s="135">
        <v>25045.0</v>
      </c>
      <c r="C2095" s="135"/>
      <c r="D2095" s="135">
        <v>34.0</v>
      </c>
      <c r="E2095" s="135" t="s">
        <v>3921</v>
      </c>
      <c r="F2095" s="135" t="s">
        <v>1886</v>
      </c>
      <c r="G2095" s="135" t="s">
        <v>66</v>
      </c>
      <c r="H2095" s="135"/>
      <c r="I2095" s="135" t="s">
        <v>74</v>
      </c>
      <c r="J2095" s="135">
        <v>1.0</v>
      </c>
      <c r="K2095" s="135"/>
      <c r="L2095" s="135">
        <v>1635.0</v>
      </c>
      <c r="M2095" s="135">
        <v>1615.0</v>
      </c>
      <c r="N2095" s="135">
        <v>120.0</v>
      </c>
      <c r="O2095" s="135">
        <v>0.411</v>
      </c>
      <c r="P2095" s="136">
        <v>0.0</v>
      </c>
      <c r="Q2095" s="137">
        <v>1.0274999999999999</v>
      </c>
      <c r="R2095" s="136">
        <v>46128.0</v>
      </c>
      <c r="S2095" s="135" t="s">
        <v>3877</v>
      </c>
      <c r="T2095" s="136"/>
      <c r="U2095" s="135" t="s">
        <v>2864</v>
      </c>
      <c r="V2095" s="135" t="s">
        <v>2873</v>
      </c>
      <c r="W2095" s="135">
        <v>0.0</v>
      </c>
      <c r="X2095" s="135">
        <v>0.0</v>
      </c>
      <c r="Y2095" s="135"/>
      <c r="Z2095" s="135" t="s">
        <v>2858</v>
      </c>
      <c r="AA2095" s="135"/>
      <c r="AB2095" s="135"/>
      <c r="AC2095" s="135"/>
      <c r="AD2095" s="135">
        <v>0.0</v>
      </c>
      <c r="AE2095" s="135"/>
      <c r="AF2095" s="135"/>
      <c r="AG2095" s="135"/>
    </row>
    <row r="2096" ht="21.75" hidden="1" customHeight="1">
      <c r="A2096" s="135">
        <v>2092.0</v>
      </c>
      <c r="B2096" s="135">
        <v>25045.0</v>
      </c>
      <c r="C2096" s="135"/>
      <c r="D2096" s="135">
        <v>34.0</v>
      </c>
      <c r="E2096" s="135" t="s">
        <v>3921</v>
      </c>
      <c r="F2096" s="135" t="s">
        <v>1887</v>
      </c>
      <c r="G2096" s="135" t="s">
        <v>66</v>
      </c>
      <c r="H2096" s="135"/>
      <c r="I2096" s="135" t="s">
        <v>74</v>
      </c>
      <c r="J2096" s="135">
        <v>1.0</v>
      </c>
      <c r="K2096" s="135"/>
      <c r="L2096" s="135">
        <v>750.0</v>
      </c>
      <c r="M2096" s="135">
        <v>3240.0</v>
      </c>
      <c r="N2096" s="135">
        <v>350.0</v>
      </c>
      <c r="O2096" s="135">
        <v>0.563</v>
      </c>
      <c r="P2096" s="136">
        <v>0.0</v>
      </c>
      <c r="Q2096" s="137">
        <v>1.4074999999999998</v>
      </c>
      <c r="R2096" s="136">
        <v>46128.0</v>
      </c>
      <c r="S2096" s="135" t="s">
        <v>3877</v>
      </c>
      <c r="T2096" s="136"/>
      <c r="U2096" s="135" t="s">
        <v>2966</v>
      </c>
      <c r="V2096" s="135" t="s">
        <v>2967</v>
      </c>
      <c r="W2096" s="135">
        <v>0.0</v>
      </c>
      <c r="X2096" s="135">
        <v>0.0</v>
      </c>
      <c r="Y2096" s="135"/>
      <c r="Z2096" s="135" t="s">
        <v>2858</v>
      </c>
      <c r="AA2096" s="135"/>
      <c r="AB2096" s="135"/>
      <c r="AC2096" s="135"/>
      <c r="AD2096" s="135">
        <v>0.0</v>
      </c>
      <c r="AE2096" s="135"/>
      <c r="AF2096" s="135"/>
      <c r="AG2096" s="135"/>
    </row>
    <row r="2097" ht="21.75" hidden="1" customHeight="1">
      <c r="A2097" s="135">
        <v>2093.0</v>
      </c>
      <c r="B2097" s="135">
        <v>25045.0</v>
      </c>
      <c r="C2097" s="135"/>
      <c r="D2097" s="135">
        <v>34.0</v>
      </c>
      <c r="E2097" s="135" t="s">
        <v>3876</v>
      </c>
      <c r="F2097" s="135" t="s">
        <v>1889</v>
      </c>
      <c r="G2097" s="135" t="s">
        <v>66</v>
      </c>
      <c r="H2097" s="135"/>
      <c r="I2097" s="135" t="s">
        <v>75</v>
      </c>
      <c r="J2097" s="135">
        <v>1.0</v>
      </c>
      <c r="K2097" s="135"/>
      <c r="L2097" s="135">
        <v>4265.0</v>
      </c>
      <c r="M2097" s="135">
        <v>1350.0</v>
      </c>
      <c r="N2097" s="135">
        <v>120.0</v>
      </c>
      <c r="O2097" s="135">
        <v>0.854</v>
      </c>
      <c r="P2097" s="136">
        <v>0.0</v>
      </c>
      <c r="Q2097" s="137">
        <v>2.135</v>
      </c>
      <c r="R2097" s="136">
        <v>46128.0</v>
      </c>
      <c r="S2097" s="135" t="s">
        <v>3877</v>
      </c>
      <c r="T2097" s="136"/>
      <c r="U2097" s="135" t="s">
        <v>2855</v>
      </c>
      <c r="V2097" s="135" t="s">
        <v>2856</v>
      </c>
      <c r="W2097" s="135">
        <v>1800.0</v>
      </c>
      <c r="X2097" s="135">
        <v>0.0</v>
      </c>
      <c r="Y2097" s="135"/>
      <c r="Z2097" s="135" t="s">
        <v>2858</v>
      </c>
      <c r="AA2097" s="135"/>
      <c r="AB2097" s="135"/>
      <c r="AC2097" s="135"/>
      <c r="AD2097" s="135">
        <v>46151.0</v>
      </c>
      <c r="AE2097" s="135"/>
      <c r="AF2097" s="135"/>
      <c r="AG2097" s="135"/>
    </row>
    <row r="2098" ht="21.75" hidden="1" customHeight="1">
      <c r="A2098" s="135">
        <v>2094.0</v>
      </c>
      <c r="B2098" s="135">
        <v>25045.0</v>
      </c>
      <c r="C2098" s="135"/>
      <c r="D2098" s="135">
        <v>34.0</v>
      </c>
      <c r="E2098" s="135" t="s">
        <v>3876</v>
      </c>
      <c r="F2098" s="135" t="s">
        <v>1890</v>
      </c>
      <c r="G2098" s="135" t="s">
        <v>66</v>
      </c>
      <c r="H2098" s="135"/>
      <c r="I2098" s="135" t="s">
        <v>75</v>
      </c>
      <c r="J2098" s="135">
        <v>1.0</v>
      </c>
      <c r="K2098" s="135"/>
      <c r="L2098" s="135">
        <v>4265.0</v>
      </c>
      <c r="M2098" s="135">
        <v>1350.0</v>
      </c>
      <c r="N2098" s="135">
        <v>120.0</v>
      </c>
      <c r="O2098" s="135">
        <v>0.854</v>
      </c>
      <c r="P2098" s="136">
        <v>0.0</v>
      </c>
      <c r="Q2098" s="137">
        <v>2.135</v>
      </c>
      <c r="R2098" s="136">
        <v>46128.0</v>
      </c>
      <c r="S2098" s="135" t="s">
        <v>3877</v>
      </c>
      <c r="T2098" s="136"/>
      <c r="U2098" s="135" t="s">
        <v>2855</v>
      </c>
      <c r="V2098" s="135" t="s">
        <v>2856</v>
      </c>
      <c r="W2098" s="135">
        <v>1800.0</v>
      </c>
      <c r="X2098" s="135">
        <v>0.0</v>
      </c>
      <c r="Y2098" s="135"/>
      <c r="Z2098" s="135" t="s">
        <v>2858</v>
      </c>
      <c r="AA2098" s="135"/>
      <c r="AB2098" s="135"/>
      <c r="AC2098" s="135"/>
      <c r="AD2098" s="135">
        <v>46156.0</v>
      </c>
      <c r="AE2098" s="135"/>
      <c r="AF2098" s="135"/>
      <c r="AG2098" s="135"/>
    </row>
    <row r="2099" ht="21.75" hidden="1" customHeight="1">
      <c r="A2099" s="135">
        <v>2095.0</v>
      </c>
      <c r="B2099" s="135">
        <v>25045.0</v>
      </c>
      <c r="C2099" s="135"/>
      <c r="D2099" s="135">
        <v>34.0</v>
      </c>
      <c r="E2099" s="135" t="s">
        <v>3876</v>
      </c>
      <c r="F2099" s="135" t="s">
        <v>1891</v>
      </c>
      <c r="G2099" s="135" t="s">
        <v>66</v>
      </c>
      <c r="H2099" s="135"/>
      <c r="I2099" s="135" t="s">
        <v>75</v>
      </c>
      <c r="J2099" s="135">
        <v>1.0</v>
      </c>
      <c r="K2099" s="135"/>
      <c r="L2099" s="135">
        <v>4265.0</v>
      </c>
      <c r="M2099" s="135">
        <v>1360.0</v>
      </c>
      <c r="N2099" s="135">
        <v>120.0</v>
      </c>
      <c r="O2099" s="135">
        <v>0.854</v>
      </c>
      <c r="P2099" s="136">
        <v>0.0</v>
      </c>
      <c r="Q2099" s="137">
        <v>2.135</v>
      </c>
      <c r="R2099" s="136">
        <v>46128.0</v>
      </c>
      <c r="S2099" s="135" t="s">
        <v>3877</v>
      </c>
      <c r="T2099" s="136"/>
      <c r="U2099" s="135" t="s">
        <v>2855</v>
      </c>
      <c r="V2099" s="135" t="s">
        <v>2856</v>
      </c>
      <c r="W2099" s="135">
        <v>1800.0</v>
      </c>
      <c r="X2099" s="135">
        <v>0.0</v>
      </c>
      <c r="Y2099" s="135"/>
      <c r="Z2099" s="135" t="s">
        <v>2858</v>
      </c>
      <c r="AA2099" s="135"/>
      <c r="AB2099" s="135"/>
      <c r="AC2099" s="135"/>
      <c r="AD2099" s="135">
        <v>46155.0</v>
      </c>
      <c r="AE2099" s="135"/>
      <c r="AF2099" s="135"/>
      <c r="AG2099" s="135"/>
    </row>
    <row r="2100" ht="21.75" hidden="1" customHeight="1">
      <c r="A2100" s="135">
        <v>2096.0</v>
      </c>
      <c r="B2100" s="135">
        <v>25045.0</v>
      </c>
      <c r="C2100" s="135"/>
      <c r="D2100" s="135">
        <v>34.0</v>
      </c>
      <c r="E2100" s="135" t="s">
        <v>3876</v>
      </c>
      <c r="F2100" s="135" t="s">
        <v>1892</v>
      </c>
      <c r="G2100" s="135" t="s">
        <v>66</v>
      </c>
      <c r="H2100" s="135"/>
      <c r="I2100" s="135" t="s">
        <v>75</v>
      </c>
      <c r="J2100" s="135">
        <v>1.0</v>
      </c>
      <c r="K2100" s="135"/>
      <c r="L2100" s="135">
        <v>2595.0</v>
      </c>
      <c r="M2100" s="135">
        <v>2850.0</v>
      </c>
      <c r="N2100" s="135">
        <v>120.0</v>
      </c>
      <c r="O2100" s="135">
        <v>0.915</v>
      </c>
      <c r="P2100" s="136">
        <v>0.0</v>
      </c>
      <c r="Q2100" s="137">
        <v>2.2875</v>
      </c>
      <c r="R2100" s="136">
        <v>46128.0</v>
      </c>
      <c r="S2100" s="135" t="s">
        <v>3877</v>
      </c>
      <c r="T2100" s="136"/>
      <c r="U2100" s="135" t="s">
        <v>2864</v>
      </c>
      <c r="V2100" s="135" t="s">
        <v>2878</v>
      </c>
      <c r="W2100" s="135">
        <v>0.0</v>
      </c>
      <c r="X2100" s="135" t="s">
        <v>3586</v>
      </c>
      <c r="Y2100" s="135"/>
      <c r="Z2100" s="135" t="s">
        <v>2858</v>
      </c>
      <c r="AA2100" s="135"/>
      <c r="AB2100" s="135"/>
      <c r="AC2100" s="135"/>
      <c r="AD2100" s="135">
        <v>46154.0</v>
      </c>
      <c r="AE2100" s="135"/>
      <c r="AF2100" s="135"/>
      <c r="AG2100" s="135"/>
    </row>
    <row r="2101" ht="21.75" hidden="1" customHeight="1">
      <c r="A2101" s="135">
        <v>2097.0</v>
      </c>
      <c r="B2101" s="135">
        <v>25045.0</v>
      </c>
      <c r="C2101" s="135"/>
      <c r="D2101" s="135">
        <v>34.0</v>
      </c>
      <c r="E2101" s="135" t="s">
        <v>3876</v>
      </c>
      <c r="F2101" s="135" t="s">
        <v>1893</v>
      </c>
      <c r="G2101" s="135" t="s">
        <v>66</v>
      </c>
      <c r="H2101" s="135"/>
      <c r="I2101" s="135" t="s">
        <v>75</v>
      </c>
      <c r="J2101" s="135">
        <v>1.0</v>
      </c>
      <c r="K2101" s="135"/>
      <c r="L2101" s="135">
        <v>2040.0</v>
      </c>
      <c r="M2101" s="135">
        <v>3050.0</v>
      </c>
      <c r="N2101" s="135">
        <v>120.0</v>
      </c>
      <c r="O2101" s="135">
        <v>0.956</v>
      </c>
      <c r="P2101" s="136">
        <v>0.0</v>
      </c>
      <c r="Q2101" s="137">
        <v>2.3899999999999997</v>
      </c>
      <c r="R2101" s="136">
        <v>46128.0</v>
      </c>
      <c r="S2101" s="135" t="s">
        <v>3877</v>
      </c>
      <c r="T2101" s="136"/>
      <c r="U2101" s="135" t="s">
        <v>2864</v>
      </c>
      <c r="V2101" s="135" t="s">
        <v>2878</v>
      </c>
      <c r="W2101" s="135">
        <v>0.0</v>
      </c>
      <c r="X2101" s="135">
        <v>0.0</v>
      </c>
      <c r="Y2101" s="135"/>
      <c r="Z2101" s="135" t="s">
        <v>2858</v>
      </c>
      <c r="AA2101" s="135"/>
      <c r="AB2101" s="135"/>
      <c r="AC2101" s="135"/>
      <c r="AD2101" s="135">
        <v>46151.0</v>
      </c>
      <c r="AE2101" s="135"/>
      <c r="AF2101" s="135"/>
      <c r="AG2101" s="135"/>
    </row>
    <row r="2102" ht="21.75" hidden="1" customHeight="1">
      <c r="A2102" s="135">
        <v>2098.0</v>
      </c>
      <c r="B2102" s="135">
        <v>25045.0</v>
      </c>
      <c r="C2102" s="135"/>
      <c r="D2102" s="135">
        <v>34.0</v>
      </c>
      <c r="E2102" s="135" t="s">
        <v>3876</v>
      </c>
      <c r="F2102" s="135" t="s">
        <v>1894</v>
      </c>
      <c r="G2102" s="135" t="s">
        <v>66</v>
      </c>
      <c r="H2102" s="135"/>
      <c r="I2102" s="135" t="s">
        <v>75</v>
      </c>
      <c r="J2102" s="135">
        <v>1.0</v>
      </c>
      <c r="K2102" s="135"/>
      <c r="L2102" s="135">
        <v>4350.0</v>
      </c>
      <c r="M2102" s="135">
        <v>3060.0</v>
      </c>
      <c r="N2102" s="135">
        <v>120.0</v>
      </c>
      <c r="O2102" s="135">
        <v>1.68</v>
      </c>
      <c r="P2102" s="136">
        <v>0.0</v>
      </c>
      <c r="Q2102" s="137">
        <v>4.2</v>
      </c>
      <c r="R2102" s="136">
        <v>46128.0</v>
      </c>
      <c r="S2102" s="135" t="s">
        <v>3877</v>
      </c>
      <c r="T2102" s="136"/>
      <c r="U2102" s="135" t="s">
        <v>2864</v>
      </c>
      <c r="V2102" s="135" t="s">
        <v>2865</v>
      </c>
      <c r="W2102" s="135">
        <v>0.0</v>
      </c>
      <c r="X2102" s="135" t="s">
        <v>2867</v>
      </c>
      <c r="Y2102" s="135"/>
      <c r="Z2102" s="135" t="s">
        <v>2858</v>
      </c>
      <c r="AA2102" s="135"/>
      <c r="AB2102" s="135"/>
      <c r="AC2102" s="135"/>
      <c r="AD2102" s="135">
        <v>0.0</v>
      </c>
      <c r="AE2102" s="135"/>
      <c r="AF2102" s="135"/>
      <c r="AG2102" s="135"/>
    </row>
    <row r="2103" ht="21.75" hidden="1" customHeight="1">
      <c r="A2103" s="135">
        <v>2099.0</v>
      </c>
      <c r="B2103" s="135">
        <v>25045.0</v>
      </c>
      <c r="C2103" s="135"/>
      <c r="D2103" s="135">
        <v>34.0</v>
      </c>
      <c r="E2103" s="135" t="s">
        <v>3876</v>
      </c>
      <c r="F2103" s="135" t="s">
        <v>1895</v>
      </c>
      <c r="G2103" s="135" t="s">
        <v>66</v>
      </c>
      <c r="H2103" s="135"/>
      <c r="I2103" s="135" t="s">
        <v>75</v>
      </c>
      <c r="J2103" s="135">
        <v>1.0</v>
      </c>
      <c r="K2103" s="135"/>
      <c r="L2103" s="135">
        <v>3645.0</v>
      </c>
      <c r="M2103" s="135">
        <v>3060.0</v>
      </c>
      <c r="N2103" s="135">
        <v>120.0</v>
      </c>
      <c r="O2103" s="135">
        <v>1.486</v>
      </c>
      <c r="P2103" s="136">
        <v>0.0</v>
      </c>
      <c r="Q2103" s="137">
        <v>3.715</v>
      </c>
      <c r="R2103" s="136">
        <v>46128.0</v>
      </c>
      <c r="S2103" s="135" t="s">
        <v>3877</v>
      </c>
      <c r="T2103" s="136"/>
      <c r="U2103" s="135" t="s">
        <v>2864</v>
      </c>
      <c r="V2103" s="135" t="s">
        <v>2865</v>
      </c>
      <c r="W2103" s="135">
        <v>0.0</v>
      </c>
      <c r="X2103" s="135" t="s">
        <v>2870</v>
      </c>
      <c r="Y2103" s="135"/>
      <c r="Z2103" s="135" t="s">
        <v>2858</v>
      </c>
      <c r="AA2103" s="135"/>
      <c r="AB2103" s="135"/>
      <c r="AC2103" s="135"/>
      <c r="AD2103" s="135">
        <v>0.0</v>
      </c>
      <c r="AE2103" s="135"/>
      <c r="AF2103" s="135"/>
      <c r="AG2103" s="135"/>
    </row>
    <row r="2104" ht="21.75" hidden="1" customHeight="1">
      <c r="A2104" s="135">
        <v>2100.0</v>
      </c>
      <c r="B2104" s="135">
        <v>25045.0</v>
      </c>
      <c r="C2104" s="135"/>
      <c r="D2104" s="135">
        <v>34.0</v>
      </c>
      <c r="E2104" s="135" t="s">
        <v>3876</v>
      </c>
      <c r="F2104" s="135" t="s">
        <v>1896</v>
      </c>
      <c r="G2104" s="135" t="s">
        <v>66</v>
      </c>
      <c r="H2104" s="135"/>
      <c r="I2104" s="135" t="s">
        <v>75</v>
      </c>
      <c r="J2104" s="135">
        <v>1.0</v>
      </c>
      <c r="K2104" s="135"/>
      <c r="L2104" s="135">
        <v>4532.0</v>
      </c>
      <c r="M2104" s="135">
        <v>3050.0</v>
      </c>
      <c r="N2104" s="135">
        <v>120.0</v>
      </c>
      <c r="O2104" s="135">
        <v>0.956</v>
      </c>
      <c r="P2104" s="136">
        <v>0.0</v>
      </c>
      <c r="Q2104" s="137">
        <v>2.3899999999999997</v>
      </c>
      <c r="R2104" s="136">
        <v>46128.0</v>
      </c>
      <c r="S2104" s="135" t="s">
        <v>3877</v>
      </c>
      <c r="T2104" s="136"/>
      <c r="U2104" s="135" t="s">
        <v>2864</v>
      </c>
      <c r="V2104" s="135" t="s">
        <v>2865</v>
      </c>
      <c r="W2104" s="135">
        <v>0.0</v>
      </c>
      <c r="X2104" s="135" t="s">
        <v>2872</v>
      </c>
      <c r="Y2104" s="135"/>
      <c r="Z2104" s="135" t="s">
        <v>2858</v>
      </c>
      <c r="AA2104" s="135"/>
      <c r="AB2104" s="135"/>
      <c r="AC2104" s="135"/>
      <c r="AD2104" s="135">
        <v>0.0</v>
      </c>
      <c r="AE2104" s="135"/>
      <c r="AF2104" s="135"/>
      <c r="AG2104" s="135"/>
    </row>
    <row r="2105" ht="21.75" hidden="1" customHeight="1">
      <c r="A2105" s="135">
        <v>2101.0</v>
      </c>
      <c r="B2105" s="135">
        <v>25045.0</v>
      </c>
      <c r="C2105" s="135"/>
      <c r="D2105" s="135">
        <v>34.0</v>
      </c>
      <c r="E2105" s="135" t="s">
        <v>3876</v>
      </c>
      <c r="F2105" s="135" t="s">
        <v>1897</v>
      </c>
      <c r="G2105" s="135" t="s">
        <v>66</v>
      </c>
      <c r="H2105" s="135"/>
      <c r="I2105" s="135" t="s">
        <v>75</v>
      </c>
      <c r="J2105" s="135">
        <v>1.0</v>
      </c>
      <c r="K2105" s="135"/>
      <c r="L2105" s="135">
        <v>4650.0</v>
      </c>
      <c r="M2105" s="135">
        <v>3050.0</v>
      </c>
      <c r="N2105" s="135">
        <v>120.0</v>
      </c>
      <c r="O2105" s="135">
        <v>1.881</v>
      </c>
      <c r="P2105" s="136">
        <v>0.0</v>
      </c>
      <c r="Q2105" s="137">
        <v>4.7025</v>
      </c>
      <c r="R2105" s="136">
        <v>46128.0</v>
      </c>
      <c r="S2105" s="135" t="s">
        <v>3877</v>
      </c>
      <c r="T2105" s="136"/>
      <c r="U2105" s="135" t="s">
        <v>2855</v>
      </c>
      <c r="V2105" s="135" t="s">
        <v>2868</v>
      </c>
      <c r="W2105" s="135">
        <v>1800.0</v>
      </c>
      <c r="X2105" s="135" t="s">
        <v>2870</v>
      </c>
      <c r="Y2105" s="135"/>
      <c r="Z2105" s="135" t="s">
        <v>2858</v>
      </c>
      <c r="AA2105" s="135"/>
      <c r="AB2105" s="135"/>
      <c r="AC2105" s="135"/>
      <c r="AD2105" s="135">
        <v>46150.0</v>
      </c>
      <c r="AE2105" s="135"/>
      <c r="AF2105" s="135"/>
      <c r="AG2105" s="135"/>
    </row>
    <row r="2106" ht="21.75" hidden="1" customHeight="1">
      <c r="A2106" s="135">
        <v>2102.0</v>
      </c>
      <c r="B2106" s="135">
        <v>25045.0</v>
      </c>
      <c r="C2106" s="135"/>
      <c r="D2106" s="135">
        <v>34.0</v>
      </c>
      <c r="E2106" s="135" t="s">
        <v>3876</v>
      </c>
      <c r="F2106" s="135" t="s">
        <v>1898</v>
      </c>
      <c r="G2106" s="135" t="s">
        <v>66</v>
      </c>
      <c r="H2106" s="135"/>
      <c r="I2106" s="135" t="s">
        <v>75</v>
      </c>
      <c r="J2106" s="135">
        <v>1.0</v>
      </c>
      <c r="K2106" s="135"/>
      <c r="L2106" s="135">
        <v>5640.0</v>
      </c>
      <c r="M2106" s="135">
        <v>3050.0</v>
      </c>
      <c r="N2106" s="135">
        <v>120.0</v>
      </c>
      <c r="O2106" s="135">
        <v>2.145</v>
      </c>
      <c r="P2106" s="136">
        <v>0.0</v>
      </c>
      <c r="Q2106" s="137">
        <v>5.3625</v>
      </c>
      <c r="R2106" s="136">
        <v>46128.0</v>
      </c>
      <c r="S2106" s="135" t="s">
        <v>3877</v>
      </c>
      <c r="T2106" s="136"/>
      <c r="U2106" s="135" t="s">
        <v>2855</v>
      </c>
      <c r="V2106" s="135" t="s">
        <v>2868</v>
      </c>
      <c r="W2106" s="135">
        <v>1800.0</v>
      </c>
      <c r="X2106" s="135" t="s">
        <v>2870</v>
      </c>
      <c r="Y2106" s="135"/>
      <c r="Z2106" s="135" t="s">
        <v>2858</v>
      </c>
      <c r="AA2106" s="135"/>
      <c r="AB2106" s="135"/>
      <c r="AC2106" s="135"/>
      <c r="AD2106" s="135">
        <v>46151.0</v>
      </c>
      <c r="AE2106" s="135"/>
      <c r="AF2106" s="135"/>
      <c r="AG2106" s="135"/>
    </row>
    <row r="2107" ht="21.75" hidden="1" customHeight="1">
      <c r="A2107" s="135">
        <v>2103.0</v>
      </c>
      <c r="B2107" s="135">
        <v>25045.0</v>
      </c>
      <c r="C2107" s="135"/>
      <c r="D2107" s="135">
        <v>34.0</v>
      </c>
      <c r="E2107" s="135" t="s">
        <v>3876</v>
      </c>
      <c r="F2107" s="135" t="s">
        <v>1899</v>
      </c>
      <c r="G2107" s="135" t="s">
        <v>66</v>
      </c>
      <c r="H2107" s="135"/>
      <c r="I2107" s="135" t="s">
        <v>75</v>
      </c>
      <c r="J2107" s="135">
        <v>1.0</v>
      </c>
      <c r="K2107" s="135"/>
      <c r="L2107" s="135">
        <v>4655.0</v>
      </c>
      <c r="M2107" s="135">
        <v>3290.0</v>
      </c>
      <c r="N2107" s="135">
        <v>120.0</v>
      </c>
      <c r="O2107" s="135">
        <v>1.872</v>
      </c>
      <c r="P2107" s="136">
        <v>0.0</v>
      </c>
      <c r="Q2107" s="137">
        <v>4.680000000000001</v>
      </c>
      <c r="R2107" s="136">
        <v>46128.0</v>
      </c>
      <c r="S2107" s="135" t="s">
        <v>3877</v>
      </c>
      <c r="T2107" s="136"/>
      <c r="U2107" s="135" t="s">
        <v>2864</v>
      </c>
      <c r="V2107" s="135" t="s">
        <v>2890</v>
      </c>
      <c r="W2107" s="135">
        <v>0.0</v>
      </c>
      <c r="X2107" s="135" t="s">
        <v>3586</v>
      </c>
      <c r="Y2107" s="135"/>
      <c r="Z2107" s="135" t="s">
        <v>2858</v>
      </c>
      <c r="AA2107" s="135"/>
      <c r="AB2107" s="135"/>
      <c r="AC2107" s="135"/>
      <c r="AD2107" s="135">
        <v>46154.0</v>
      </c>
      <c r="AE2107" s="135"/>
      <c r="AF2107" s="135"/>
      <c r="AG2107" s="135"/>
    </row>
    <row r="2108" ht="21.75" hidden="1" customHeight="1">
      <c r="A2108" s="135">
        <v>2104.0</v>
      </c>
      <c r="B2108" s="135">
        <v>25045.0</v>
      </c>
      <c r="C2108" s="135"/>
      <c r="D2108" s="135">
        <v>34.0</v>
      </c>
      <c r="E2108" s="135" t="s">
        <v>3876</v>
      </c>
      <c r="F2108" s="135" t="s">
        <v>1900</v>
      </c>
      <c r="G2108" s="135" t="s">
        <v>66</v>
      </c>
      <c r="H2108" s="135"/>
      <c r="I2108" s="135" t="s">
        <v>75</v>
      </c>
      <c r="J2108" s="135">
        <v>1.0</v>
      </c>
      <c r="K2108" s="135"/>
      <c r="L2108" s="135">
        <v>4655.0</v>
      </c>
      <c r="M2108" s="135">
        <v>3290.0</v>
      </c>
      <c r="N2108" s="135">
        <v>120.0</v>
      </c>
      <c r="O2108" s="135">
        <v>2.209</v>
      </c>
      <c r="P2108" s="136">
        <v>0.0</v>
      </c>
      <c r="Q2108" s="137">
        <v>5.5225</v>
      </c>
      <c r="R2108" s="136">
        <v>46128.0</v>
      </c>
      <c r="S2108" s="135" t="s">
        <v>3877</v>
      </c>
      <c r="T2108" s="136"/>
      <c r="U2108" s="135" t="s">
        <v>2855</v>
      </c>
      <c r="V2108" s="135" t="s">
        <v>2878</v>
      </c>
      <c r="W2108" s="135">
        <v>1800.0</v>
      </c>
      <c r="X2108" s="135">
        <v>0.0</v>
      </c>
      <c r="Y2108" s="135"/>
      <c r="Z2108" s="135" t="s">
        <v>2858</v>
      </c>
      <c r="AA2108" s="135"/>
      <c r="AB2108" s="135"/>
      <c r="AC2108" s="135"/>
      <c r="AD2108" s="135">
        <v>46147.0</v>
      </c>
      <c r="AE2108" s="135"/>
      <c r="AF2108" s="135"/>
      <c r="AG2108" s="135"/>
    </row>
    <row r="2109" ht="21.75" hidden="1" customHeight="1">
      <c r="A2109" s="135">
        <v>2105.0</v>
      </c>
      <c r="B2109" s="135">
        <v>25045.0</v>
      </c>
      <c r="C2109" s="135"/>
      <c r="D2109" s="135">
        <v>34.0</v>
      </c>
      <c r="E2109" s="135" t="s">
        <v>3876</v>
      </c>
      <c r="F2109" s="135" t="s">
        <v>1901</v>
      </c>
      <c r="G2109" s="135" t="s">
        <v>66</v>
      </c>
      <c r="H2109" s="135"/>
      <c r="I2109" s="135" t="s">
        <v>75</v>
      </c>
      <c r="J2109" s="135">
        <v>1.0</v>
      </c>
      <c r="K2109" s="135"/>
      <c r="L2109" s="135">
        <v>4655.0</v>
      </c>
      <c r="M2109" s="135">
        <v>3290.0</v>
      </c>
      <c r="N2109" s="135">
        <v>120.0</v>
      </c>
      <c r="O2109" s="135">
        <v>2.209</v>
      </c>
      <c r="P2109" s="136">
        <v>0.0</v>
      </c>
      <c r="Q2109" s="137">
        <v>5.5225</v>
      </c>
      <c r="R2109" s="136">
        <v>46128.0</v>
      </c>
      <c r="S2109" s="135" t="s">
        <v>3877</v>
      </c>
      <c r="T2109" s="136"/>
      <c r="U2109" s="135" t="s">
        <v>2855</v>
      </c>
      <c r="V2109" s="135" t="s">
        <v>2878</v>
      </c>
      <c r="W2109" s="135">
        <v>1800.0</v>
      </c>
      <c r="X2109" s="135">
        <v>0.0</v>
      </c>
      <c r="Y2109" s="135"/>
      <c r="Z2109" s="135" t="s">
        <v>2858</v>
      </c>
      <c r="AA2109" s="135"/>
      <c r="AB2109" s="135"/>
      <c r="AC2109" s="135"/>
      <c r="AD2109" s="135">
        <v>46149.0</v>
      </c>
      <c r="AE2109" s="135"/>
      <c r="AF2109" s="135"/>
      <c r="AG2109" s="135"/>
    </row>
    <row r="2110" ht="21.75" hidden="1" customHeight="1">
      <c r="A2110" s="135">
        <v>2106.0</v>
      </c>
      <c r="B2110" s="135">
        <v>25045.0</v>
      </c>
      <c r="C2110" s="135"/>
      <c r="D2110" s="135">
        <v>34.0</v>
      </c>
      <c r="E2110" s="135" t="s">
        <v>3876</v>
      </c>
      <c r="F2110" s="135" t="s">
        <v>1902</v>
      </c>
      <c r="G2110" s="135" t="s">
        <v>66</v>
      </c>
      <c r="H2110" s="135"/>
      <c r="I2110" s="135" t="s">
        <v>75</v>
      </c>
      <c r="J2110" s="135">
        <v>1.0</v>
      </c>
      <c r="K2110" s="135"/>
      <c r="L2110" s="135">
        <v>4655.0</v>
      </c>
      <c r="M2110" s="135">
        <v>3290.0</v>
      </c>
      <c r="N2110" s="135">
        <v>120.0</v>
      </c>
      <c r="O2110" s="135">
        <v>2.209</v>
      </c>
      <c r="P2110" s="136">
        <v>0.0</v>
      </c>
      <c r="Q2110" s="137">
        <v>5.5225</v>
      </c>
      <c r="R2110" s="136">
        <v>46128.0</v>
      </c>
      <c r="S2110" s="135" t="s">
        <v>3877</v>
      </c>
      <c r="T2110" s="136"/>
      <c r="U2110" s="135" t="s">
        <v>2855</v>
      </c>
      <c r="V2110" s="135" t="s">
        <v>2878</v>
      </c>
      <c r="W2110" s="135">
        <v>1800.0</v>
      </c>
      <c r="X2110" s="135">
        <v>0.0</v>
      </c>
      <c r="Y2110" s="135"/>
      <c r="Z2110" s="135" t="s">
        <v>2858</v>
      </c>
      <c r="AA2110" s="135"/>
      <c r="AB2110" s="135"/>
      <c r="AC2110" s="135"/>
      <c r="AD2110" s="135">
        <v>46149.0</v>
      </c>
      <c r="AE2110" s="135"/>
      <c r="AF2110" s="135"/>
      <c r="AG2110" s="135"/>
    </row>
    <row r="2111" ht="21.75" hidden="1" customHeight="1">
      <c r="A2111" s="135">
        <v>2107.0</v>
      </c>
      <c r="B2111" s="135">
        <v>25045.0</v>
      </c>
      <c r="C2111" s="135"/>
      <c r="D2111" s="135">
        <v>34.0</v>
      </c>
      <c r="E2111" s="135" t="s">
        <v>3876</v>
      </c>
      <c r="F2111" s="135" t="s">
        <v>1903</v>
      </c>
      <c r="G2111" s="135" t="s">
        <v>66</v>
      </c>
      <c r="H2111" s="135"/>
      <c r="I2111" s="135" t="s">
        <v>75</v>
      </c>
      <c r="J2111" s="135">
        <v>1.0</v>
      </c>
      <c r="K2111" s="135"/>
      <c r="L2111" s="135">
        <v>5015.0</v>
      </c>
      <c r="M2111" s="135">
        <v>3290.0</v>
      </c>
      <c r="N2111" s="135">
        <v>120.0</v>
      </c>
      <c r="O2111" s="135">
        <v>2.316</v>
      </c>
      <c r="P2111" s="136">
        <v>0.0</v>
      </c>
      <c r="Q2111" s="137">
        <v>5.789999999999999</v>
      </c>
      <c r="R2111" s="136">
        <v>46128.0</v>
      </c>
      <c r="S2111" s="135" t="s">
        <v>3877</v>
      </c>
      <c r="T2111" s="136"/>
      <c r="U2111" s="135" t="s">
        <v>2855</v>
      </c>
      <c r="V2111" s="135" t="s">
        <v>2878</v>
      </c>
      <c r="W2111" s="135">
        <v>2500.0</v>
      </c>
      <c r="X2111" s="135">
        <v>0.0</v>
      </c>
      <c r="Y2111" s="135"/>
      <c r="Z2111" s="135" t="s">
        <v>2858</v>
      </c>
      <c r="AA2111" s="135"/>
      <c r="AB2111" s="135"/>
      <c r="AC2111" s="135"/>
      <c r="AD2111" s="135">
        <v>46153.0</v>
      </c>
      <c r="AE2111" s="135"/>
      <c r="AF2111" s="135"/>
      <c r="AG2111" s="135"/>
    </row>
    <row r="2112" ht="21.75" hidden="1" customHeight="1">
      <c r="A2112" s="135">
        <v>2108.0</v>
      </c>
      <c r="B2112" s="135">
        <v>25045.0</v>
      </c>
      <c r="C2112" s="135"/>
      <c r="D2112" s="135">
        <v>34.0</v>
      </c>
      <c r="E2112" s="135" t="s">
        <v>3876</v>
      </c>
      <c r="F2112" s="135" t="s">
        <v>1904</v>
      </c>
      <c r="G2112" s="135" t="s">
        <v>66</v>
      </c>
      <c r="H2112" s="135"/>
      <c r="I2112" s="135" t="s">
        <v>75</v>
      </c>
      <c r="J2112" s="135">
        <v>1.0</v>
      </c>
      <c r="K2112" s="135"/>
      <c r="L2112" s="135">
        <v>5690.0</v>
      </c>
      <c r="M2112" s="135">
        <v>1270.0</v>
      </c>
      <c r="N2112" s="135">
        <v>120.0</v>
      </c>
      <c r="O2112" s="135">
        <v>0.955</v>
      </c>
      <c r="P2112" s="136">
        <v>0.0</v>
      </c>
      <c r="Q2112" s="137">
        <v>2.3874999999999997</v>
      </c>
      <c r="R2112" s="136">
        <v>46128.0</v>
      </c>
      <c r="S2112" s="135" t="s">
        <v>3877</v>
      </c>
      <c r="T2112" s="136"/>
      <c r="U2112" s="135" t="s">
        <v>2855</v>
      </c>
      <c r="V2112" s="135" t="s">
        <v>2856</v>
      </c>
      <c r="W2112" s="135">
        <v>1800.0</v>
      </c>
      <c r="X2112" s="135">
        <v>0.0</v>
      </c>
      <c r="Y2112" s="135"/>
      <c r="Z2112" s="135" t="s">
        <v>2858</v>
      </c>
      <c r="AA2112" s="135"/>
      <c r="AB2112" s="135"/>
      <c r="AC2112" s="135"/>
      <c r="AD2112" s="135">
        <v>46153.0</v>
      </c>
      <c r="AE2112" s="135"/>
      <c r="AF2112" s="135"/>
      <c r="AG2112" s="135"/>
    </row>
    <row r="2113" ht="21.75" hidden="1" customHeight="1">
      <c r="A2113" s="135">
        <v>2109.0</v>
      </c>
      <c r="B2113" s="135">
        <v>25045.0</v>
      </c>
      <c r="C2113" s="135"/>
      <c r="D2113" s="135">
        <v>34.0</v>
      </c>
      <c r="E2113" s="135" t="s">
        <v>3876</v>
      </c>
      <c r="F2113" s="135" t="s">
        <v>1905</v>
      </c>
      <c r="G2113" s="135" t="s">
        <v>66</v>
      </c>
      <c r="H2113" s="135"/>
      <c r="I2113" s="135" t="s">
        <v>75</v>
      </c>
      <c r="J2113" s="135">
        <v>1.0</v>
      </c>
      <c r="K2113" s="135"/>
      <c r="L2113" s="135">
        <v>1635.0</v>
      </c>
      <c r="M2113" s="135">
        <v>1615.0</v>
      </c>
      <c r="N2113" s="135">
        <v>120.0</v>
      </c>
      <c r="O2113" s="135">
        <v>0.411</v>
      </c>
      <c r="P2113" s="136">
        <v>0.0</v>
      </c>
      <c r="Q2113" s="137">
        <v>1.0274999999999999</v>
      </c>
      <c r="R2113" s="136">
        <v>46128.0</v>
      </c>
      <c r="S2113" s="135" t="s">
        <v>3877</v>
      </c>
      <c r="T2113" s="136"/>
      <c r="U2113" s="135" t="s">
        <v>2864</v>
      </c>
      <c r="V2113" s="135" t="s">
        <v>2873</v>
      </c>
      <c r="W2113" s="135">
        <v>0.0</v>
      </c>
      <c r="X2113" s="135">
        <v>0.0</v>
      </c>
      <c r="Y2113" s="135"/>
      <c r="Z2113" s="135" t="s">
        <v>2858</v>
      </c>
      <c r="AA2113" s="135"/>
      <c r="AB2113" s="135"/>
      <c r="AC2113" s="135"/>
      <c r="AD2113" s="135">
        <v>0.0</v>
      </c>
      <c r="AE2113" s="135"/>
      <c r="AF2113" s="135"/>
      <c r="AG2113" s="135"/>
    </row>
    <row r="2114" ht="21.75" hidden="1" customHeight="1">
      <c r="A2114" s="135">
        <v>2110.0</v>
      </c>
      <c r="B2114" s="135">
        <v>25045.0</v>
      </c>
      <c r="C2114" s="135"/>
      <c r="D2114" s="135">
        <v>34.0</v>
      </c>
      <c r="E2114" s="135" t="s">
        <v>3876</v>
      </c>
      <c r="F2114" s="135" t="s">
        <v>1906</v>
      </c>
      <c r="G2114" s="135" t="s">
        <v>66</v>
      </c>
      <c r="H2114" s="135"/>
      <c r="I2114" s="135" t="s">
        <v>75</v>
      </c>
      <c r="J2114" s="135">
        <v>1.0</v>
      </c>
      <c r="K2114" s="135"/>
      <c r="L2114" s="135">
        <v>750.0</v>
      </c>
      <c r="M2114" s="135">
        <v>3240.0</v>
      </c>
      <c r="N2114" s="135">
        <v>350.0</v>
      </c>
      <c r="O2114" s="135">
        <v>0.558</v>
      </c>
      <c r="P2114" s="136">
        <v>0.0</v>
      </c>
      <c r="Q2114" s="137">
        <v>1.395</v>
      </c>
      <c r="R2114" s="136">
        <v>46128.0</v>
      </c>
      <c r="S2114" s="135" t="s">
        <v>3877</v>
      </c>
      <c r="T2114" s="136"/>
      <c r="U2114" s="135" t="s">
        <v>2966</v>
      </c>
      <c r="V2114" s="135" t="s">
        <v>2967</v>
      </c>
      <c r="W2114" s="135">
        <v>0.0</v>
      </c>
      <c r="X2114" s="135">
        <v>0.0</v>
      </c>
      <c r="Y2114" s="135"/>
      <c r="Z2114" s="135" t="s">
        <v>2858</v>
      </c>
      <c r="AA2114" s="135"/>
      <c r="AB2114" s="135"/>
      <c r="AC2114" s="135"/>
      <c r="AD2114" s="135">
        <v>0.0</v>
      </c>
      <c r="AE2114" s="135"/>
      <c r="AF2114" s="135"/>
      <c r="AG2114" s="135"/>
    </row>
    <row r="2115" ht="21.75" hidden="1" customHeight="1">
      <c r="A2115" s="135">
        <v>2111.0</v>
      </c>
      <c r="B2115" s="135">
        <v>25045.0</v>
      </c>
      <c r="C2115" s="135"/>
      <c r="D2115" s="135">
        <v>34.0</v>
      </c>
      <c r="E2115" s="135" t="s">
        <v>3923</v>
      </c>
      <c r="F2115" s="135" t="s">
        <v>1722</v>
      </c>
      <c r="G2115" s="135" t="s">
        <v>76</v>
      </c>
      <c r="H2115" s="135" t="s">
        <v>2853</v>
      </c>
      <c r="I2115" s="135" t="s">
        <v>82</v>
      </c>
      <c r="J2115" s="135">
        <v>1.0</v>
      </c>
      <c r="K2115" s="135"/>
      <c r="L2115" s="135">
        <v>3890.0</v>
      </c>
      <c r="M2115" s="135">
        <v>1000.0</v>
      </c>
      <c r="N2115" s="135">
        <v>120.0</v>
      </c>
      <c r="O2115" s="135">
        <v>0.78</v>
      </c>
      <c r="P2115" s="136"/>
      <c r="Q2115" s="137">
        <v>1.9500000000000002</v>
      </c>
      <c r="R2115" s="136">
        <v>46141.0</v>
      </c>
      <c r="S2115" s="135" t="s">
        <v>3924</v>
      </c>
      <c r="T2115" s="136"/>
      <c r="U2115" s="135" t="s">
        <v>2972</v>
      </c>
      <c r="V2115" s="135" t="s">
        <v>2951</v>
      </c>
      <c r="W2115" s="135"/>
      <c r="X2115" s="135"/>
      <c r="Y2115" s="135"/>
      <c r="Z2115" s="135"/>
      <c r="AA2115" s="135"/>
      <c r="AB2115" s="135"/>
      <c r="AC2115" s="135"/>
      <c r="AD2115" s="135">
        <v>46149.0</v>
      </c>
      <c r="AE2115" s="135"/>
      <c r="AF2115" s="135"/>
      <c r="AG2115" s="135"/>
    </row>
    <row r="2116" ht="21.75" hidden="1" customHeight="1">
      <c r="A2116" s="135">
        <v>2112.0</v>
      </c>
      <c r="B2116" s="135">
        <v>25045.0</v>
      </c>
      <c r="C2116" s="135" t="s">
        <v>2817</v>
      </c>
      <c r="D2116" s="135">
        <v>34.0</v>
      </c>
      <c r="E2116" s="135" t="s">
        <v>3925</v>
      </c>
      <c r="F2116" s="135" t="s">
        <v>1641</v>
      </c>
      <c r="G2116" s="135" t="s">
        <v>76</v>
      </c>
      <c r="H2116" s="135" t="s">
        <v>2853</v>
      </c>
      <c r="I2116" s="135" t="s">
        <v>77</v>
      </c>
      <c r="J2116" s="135">
        <v>1.0</v>
      </c>
      <c r="K2116" s="135"/>
      <c r="L2116" s="135">
        <v>4590.0</v>
      </c>
      <c r="M2116" s="135">
        <v>1350.0</v>
      </c>
      <c r="N2116" s="135">
        <v>120.0</v>
      </c>
      <c r="O2116" s="135">
        <v>0.94</v>
      </c>
      <c r="P2116" s="136">
        <v>0.0</v>
      </c>
      <c r="Q2116" s="137">
        <v>2.3499999999999996</v>
      </c>
      <c r="R2116" s="136">
        <v>46141.0</v>
      </c>
      <c r="S2116" s="135" t="s">
        <v>3924</v>
      </c>
      <c r="T2116" s="136"/>
      <c r="U2116" s="135" t="s">
        <v>2855</v>
      </c>
      <c r="V2116" s="135" t="s">
        <v>2856</v>
      </c>
      <c r="W2116" s="135">
        <v>1800.0</v>
      </c>
      <c r="X2116" s="135"/>
      <c r="Y2116" s="135"/>
      <c r="Z2116" s="135"/>
      <c r="AA2116" s="135"/>
      <c r="AB2116" s="135"/>
      <c r="AC2116" s="135"/>
      <c r="AD2116" s="135">
        <v>0.0</v>
      </c>
      <c r="AE2116" s="135"/>
      <c r="AF2116" s="135"/>
      <c r="AG2116" s="135"/>
    </row>
    <row r="2117" ht="21.75" hidden="1" customHeight="1">
      <c r="A2117" s="135">
        <v>2113.0</v>
      </c>
      <c r="B2117" s="135">
        <v>25045.0</v>
      </c>
      <c r="C2117" s="135" t="s">
        <v>2817</v>
      </c>
      <c r="D2117" s="135">
        <v>34.0</v>
      </c>
      <c r="E2117" s="135" t="s">
        <v>3925</v>
      </c>
      <c r="F2117" s="135" t="s">
        <v>1642</v>
      </c>
      <c r="G2117" s="135" t="s">
        <v>76</v>
      </c>
      <c r="H2117" s="135" t="s">
        <v>2853</v>
      </c>
      <c r="I2117" s="135" t="s">
        <v>77</v>
      </c>
      <c r="J2117" s="135">
        <v>1.0</v>
      </c>
      <c r="K2117" s="135" t="s">
        <v>3926</v>
      </c>
      <c r="L2117" s="135">
        <v>4590.0</v>
      </c>
      <c r="M2117" s="135">
        <v>1350.0</v>
      </c>
      <c r="N2117" s="135">
        <v>120.0</v>
      </c>
      <c r="O2117" s="135">
        <v>0.94</v>
      </c>
      <c r="P2117" s="136">
        <v>0.0</v>
      </c>
      <c r="Q2117" s="137">
        <v>2.3499999999999996</v>
      </c>
      <c r="R2117" s="136">
        <v>46141.0</v>
      </c>
      <c r="S2117" s="135" t="s">
        <v>3924</v>
      </c>
      <c r="T2117" s="136"/>
      <c r="U2117" s="135" t="s">
        <v>2855</v>
      </c>
      <c r="V2117" s="135" t="s">
        <v>2856</v>
      </c>
      <c r="W2117" s="135">
        <v>1800.0</v>
      </c>
      <c r="X2117" s="135"/>
      <c r="Y2117" s="135"/>
      <c r="Z2117" s="135"/>
      <c r="AA2117" s="135"/>
      <c r="AB2117" s="135"/>
      <c r="AC2117" s="135"/>
      <c r="AD2117" s="135">
        <v>0.0</v>
      </c>
      <c r="AE2117" s="135"/>
      <c r="AF2117" s="135"/>
      <c r="AG2117" s="135"/>
    </row>
    <row r="2118" ht="21.75" hidden="1" customHeight="1">
      <c r="A2118" s="135">
        <v>2114.0</v>
      </c>
      <c r="B2118" s="135">
        <v>25045.0</v>
      </c>
      <c r="C2118" s="135" t="s">
        <v>2817</v>
      </c>
      <c r="D2118" s="135">
        <v>34.0</v>
      </c>
      <c r="E2118" s="135" t="s">
        <v>3925</v>
      </c>
      <c r="F2118" s="135" t="s">
        <v>1643</v>
      </c>
      <c r="G2118" s="135" t="s">
        <v>76</v>
      </c>
      <c r="H2118" s="135" t="s">
        <v>2853</v>
      </c>
      <c r="I2118" s="135" t="s">
        <v>77</v>
      </c>
      <c r="J2118" s="135">
        <v>1.0</v>
      </c>
      <c r="K2118" s="135" t="s">
        <v>3926</v>
      </c>
      <c r="L2118" s="135">
        <v>4590.0</v>
      </c>
      <c r="M2118" s="135">
        <v>1350.0</v>
      </c>
      <c r="N2118" s="135">
        <v>120.0</v>
      </c>
      <c r="O2118" s="135">
        <v>0.94</v>
      </c>
      <c r="P2118" s="136">
        <v>0.0</v>
      </c>
      <c r="Q2118" s="137">
        <v>2.3499999999999996</v>
      </c>
      <c r="R2118" s="136">
        <v>46141.0</v>
      </c>
      <c r="S2118" s="135" t="s">
        <v>3924</v>
      </c>
      <c r="T2118" s="136"/>
      <c r="U2118" s="135" t="s">
        <v>2855</v>
      </c>
      <c r="V2118" s="135" t="s">
        <v>2856</v>
      </c>
      <c r="W2118" s="135">
        <v>1800.0</v>
      </c>
      <c r="X2118" s="135"/>
      <c r="Y2118" s="135"/>
      <c r="Z2118" s="135"/>
      <c r="AA2118" s="135"/>
      <c r="AB2118" s="135"/>
      <c r="AC2118" s="135"/>
      <c r="AD2118" s="135">
        <v>0.0</v>
      </c>
      <c r="AE2118" s="135"/>
      <c r="AF2118" s="135"/>
      <c r="AG2118" s="135"/>
    </row>
    <row r="2119" ht="21.75" hidden="1" customHeight="1">
      <c r="A2119" s="135">
        <v>2115.0</v>
      </c>
      <c r="B2119" s="135">
        <v>25045.0</v>
      </c>
      <c r="C2119" s="135"/>
      <c r="D2119" s="135">
        <v>34.0</v>
      </c>
      <c r="E2119" s="135" t="s">
        <v>3925</v>
      </c>
      <c r="F2119" s="135" t="s">
        <v>1644</v>
      </c>
      <c r="G2119" s="135" t="s">
        <v>76</v>
      </c>
      <c r="H2119" s="135" t="s">
        <v>2853</v>
      </c>
      <c r="I2119" s="135" t="s">
        <v>77</v>
      </c>
      <c r="J2119" s="135">
        <v>1.0</v>
      </c>
      <c r="K2119" s="135"/>
      <c r="L2119" s="135">
        <v>2880.0</v>
      </c>
      <c r="M2119" s="135">
        <v>2850.0</v>
      </c>
      <c r="N2119" s="135">
        <v>120.0</v>
      </c>
      <c r="O2119" s="135">
        <v>0.79</v>
      </c>
      <c r="P2119" s="136">
        <v>0.0</v>
      </c>
      <c r="Q2119" s="137">
        <v>1.975</v>
      </c>
      <c r="R2119" s="136">
        <v>46141.0</v>
      </c>
      <c r="S2119" s="135" t="s">
        <v>3924</v>
      </c>
      <c r="T2119" s="136"/>
      <c r="U2119" s="135" t="s">
        <v>2864</v>
      </c>
      <c r="V2119" s="135" t="s">
        <v>2878</v>
      </c>
      <c r="W2119" s="135"/>
      <c r="X2119" s="135" t="s">
        <v>3927</v>
      </c>
      <c r="Y2119" s="135"/>
      <c r="Z2119" s="135"/>
      <c r="AA2119" s="135"/>
      <c r="AB2119" s="135"/>
      <c r="AC2119" s="135"/>
      <c r="AD2119" s="135">
        <v>0.0</v>
      </c>
      <c r="AE2119" s="135"/>
      <c r="AF2119" s="135"/>
      <c r="AG2119" s="135"/>
    </row>
    <row r="2120" ht="21.75" hidden="1" customHeight="1">
      <c r="A2120" s="135">
        <v>2116.0</v>
      </c>
      <c r="B2120" s="135">
        <v>25045.0</v>
      </c>
      <c r="C2120" s="135" t="s">
        <v>2817</v>
      </c>
      <c r="D2120" s="135">
        <v>34.0</v>
      </c>
      <c r="E2120" s="135" t="s">
        <v>3925</v>
      </c>
      <c r="F2120" s="135" t="s">
        <v>1645</v>
      </c>
      <c r="G2120" s="135" t="s">
        <v>76</v>
      </c>
      <c r="H2120" s="135" t="s">
        <v>2853</v>
      </c>
      <c r="I2120" s="135" t="s">
        <v>77</v>
      </c>
      <c r="J2120" s="135">
        <v>1.0</v>
      </c>
      <c r="K2120" s="135" t="s">
        <v>3928</v>
      </c>
      <c r="L2120" s="135">
        <v>2195.0</v>
      </c>
      <c r="M2120" s="135">
        <v>2850.0</v>
      </c>
      <c r="N2120" s="135">
        <v>120.0</v>
      </c>
      <c r="O2120" s="135">
        <v>0.79</v>
      </c>
      <c r="P2120" s="136">
        <v>0.0</v>
      </c>
      <c r="Q2120" s="137">
        <v>1.975</v>
      </c>
      <c r="R2120" s="136">
        <v>46141.0</v>
      </c>
      <c r="S2120" s="135" t="s">
        <v>3924</v>
      </c>
      <c r="T2120" s="136"/>
      <c r="U2120" s="135" t="s">
        <v>2864</v>
      </c>
      <c r="V2120" s="135" t="s">
        <v>2878</v>
      </c>
      <c r="W2120" s="135"/>
      <c r="X2120" s="135" t="s">
        <v>2947</v>
      </c>
      <c r="Y2120" s="135"/>
      <c r="Z2120" s="135"/>
      <c r="AA2120" s="135"/>
      <c r="AB2120" s="135"/>
      <c r="AC2120" s="135"/>
      <c r="AD2120" s="135">
        <v>0.0</v>
      </c>
      <c r="AE2120" s="135"/>
      <c r="AF2120" s="135"/>
      <c r="AG2120" s="135"/>
    </row>
    <row r="2121" ht="21.75" hidden="1" customHeight="1">
      <c r="A2121" s="135">
        <v>2117.0</v>
      </c>
      <c r="B2121" s="135">
        <v>25045.0</v>
      </c>
      <c r="C2121" s="135" t="s">
        <v>2817</v>
      </c>
      <c r="D2121" s="135">
        <v>34.0</v>
      </c>
      <c r="E2121" s="135" t="s">
        <v>3929</v>
      </c>
      <c r="F2121" s="135" t="s">
        <v>1657</v>
      </c>
      <c r="G2121" s="135" t="s">
        <v>76</v>
      </c>
      <c r="H2121" s="135" t="s">
        <v>2853</v>
      </c>
      <c r="I2121" s="135" t="s">
        <v>78</v>
      </c>
      <c r="J2121" s="135">
        <v>1.0</v>
      </c>
      <c r="K2121" s="135" t="s">
        <v>3928</v>
      </c>
      <c r="L2121" s="135">
        <v>2195.0</v>
      </c>
      <c r="M2121" s="135">
        <v>2850.0</v>
      </c>
      <c r="N2121" s="135">
        <v>120.0</v>
      </c>
      <c r="O2121" s="135">
        <v>0.79</v>
      </c>
      <c r="P2121" s="136">
        <v>0.0</v>
      </c>
      <c r="Q2121" s="137">
        <v>1.975</v>
      </c>
      <c r="R2121" s="136">
        <v>46141.0</v>
      </c>
      <c r="S2121" s="135" t="s">
        <v>3924</v>
      </c>
      <c r="T2121" s="136"/>
      <c r="U2121" s="135" t="s">
        <v>2864</v>
      </c>
      <c r="V2121" s="135" t="s">
        <v>2878</v>
      </c>
      <c r="W2121" s="135"/>
      <c r="X2121" s="135" t="s">
        <v>2947</v>
      </c>
      <c r="Y2121" s="135"/>
      <c r="Z2121" s="135"/>
      <c r="AA2121" s="135"/>
      <c r="AB2121" s="135"/>
      <c r="AC2121" s="135"/>
      <c r="AD2121" s="135">
        <v>0.0</v>
      </c>
      <c r="AE2121" s="135"/>
      <c r="AF2121" s="135"/>
      <c r="AG2121" s="135"/>
    </row>
    <row r="2122" ht="21.75" hidden="1" customHeight="1">
      <c r="A2122" s="135">
        <v>2118.0</v>
      </c>
      <c r="B2122" s="135">
        <v>25045.0</v>
      </c>
      <c r="C2122" s="135" t="s">
        <v>2817</v>
      </c>
      <c r="D2122" s="135">
        <v>34.0</v>
      </c>
      <c r="E2122" s="135" t="s">
        <v>3930</v>
      </c>
      <c r="F2122" s="135" t="s">
        <v>1673</v>
      </c>
      <c r="G2122" s="135" t="s">
        <v>76</v>
      </c>
      <c r="H2122" s="135" t="s">
        <v>2853</v>
      </c>
      <c r="I2122" s="135" t="s">
        <v>79</v>
      </c>
      <c r="J2122" s="135">
        <v>1.0</v>
      </c>
      <c r="K2122" s="135" t="s">
        <v>3928</v>
      </c>
      <c r="L2122" s="135">
        <v>2195.0</v>
      </c>
      <c r="M2122" s="135">
        <v>2850.0</v>
      </c>
      <c r="N2122" s="135">
        <v>120.0</v>
      </c>
      <c r="O2122" s="135">
        <v>0.79</v>
      </c>
      <c r="P2122" s="136">
        <v>0.0</v>
      </c>
      <c r="Q2122" s="137">
        <v>1.975</v>
      </c>
      <c r="R2122" s="136">
        <v>46141.0</v>
      </c>
      <c r="S2122" s="135" t="s">
        <v>3924</v>
      </c>
      <c r="T2122" s="136"/>
      <c r="U2122" s="135" t="s">
        <v>2864</v>
      </c>
      <c r="V2122" s="135" t="s">
        <v>2878</v>
      </c>
      <c r="W2122" s="135"/>
      <c r="X2122" s="135" t="s">
        <v>2947</v>
      </c>
      <c r="Y2122" s="135"/>
      <c r="Z2122" s="135"/>
      <c r="AA2122" s="135"/>
      <c r="AB2122" s="135"/>
      <c r="AC2122" s="135"/>
      <c r="AD2122" s="135">
        <v>0.0</v>
      </c>
      <c r="AE2122" s="135"/>
      <c r="AF2122" s="135"/>
      <c r="AG2122" s="135"/>
    </row>
    <row r="2123" ht="21.75" hidden="1" customHeight="1">
      <c r="A2123" s="135">
        <v>2119.0</v>
      </c>
      <c r="B2123" s="135">
        <v>25045.0</v>
      </c>
      <c r="C2123" s="135" t="s">
        <v>2817</v>
      </c>
      <c r="D2123" s="135">
        <v>34.0</v>
      </c>
      <c r="E2123" s="135" t="s">
        <v>3931</v>
      </c>
      <c r="F2123" s="135" t="s">
        <v>1689</v>
      </c>
      <c r="G2123" s="135" t="s">
        <v>76</v>
      </c>
      <c r="H2123" s="135" t="s">
        <v>2853</v>
      </c>
      <c r="I2123" s="135" t="s">
        <v>80</v>
      </c>
      <c r="J2123" s="135">
        <v>1.0</v>
      </c>
      <c r="K2123" s="135" t="s">
        <v>3928</v>
      </c>
      <c r="L2123" s="135">
        <v>2195.0</v>
      </c>
      <c r="M2123" s="135">
        <v>2850.0</v>
      </c>
      <c r="N2123" s="135">
        <v>120.0</v>
      </c>
      <c r="O2123" s="135">
        <v>0.79</v>
      </c>
      <c r="P2123" s="136">
        <v>0.0</v>
      </c>
      <c r="Q2123" s="137">
        <v>1.975</v>
      </c>
      <c r="R2123" s="136">
        <v>46141.0</v>
      </c>
      <c r="S2123" s="135" t="s">
        <v>3924</v>
      </c>
      <c r="T2123" s="136"/>
      <c r="U2123" s="135" t="s">
        <v>2864</v>
      </c>
      <c r="V2123" s="135" t="s">
        <v>2878</v>
      </c>
      <c r="W2123" s="135"/>
      <c r="X2123" s="135" t="s">
        <v>2947</v>
      </c>
      <c r="Y2123" s="135"/>
      <c r="Z2123" s="135"/>
      <c r="AA2123" s="135"/>
      <c r="AB2123" s="135"/>
      <c r="AC2123" s="135"/>
      <c r="AD2123" s="135">
        <v>0.0</v>
      </c>
      <c r="AE2123" s="135"/>
      <c r="AF2123" s="135"/>
      <c r="AG2123" s="135"/>
    </row>
    <row r="2124" ht="21.75" hidden="1" customHeight="1">
      <c r="A2124" s="135">
        <v>2120.0</v>
      </c>
      <c r="B2124" s="135">
        <v>25045.0</v>
      </c>
      <c r="C2124" s="135"/>
      <c r="D2124" s="135">
        <v>34.0</v>
      </c>
      <c r="E2124" s="135" t="s">
        <v>3925</v>
      </c>
      <c r="F2124" s="135" t="s">
        <v>1646</v>
      </c>
      <c r="G2124" s="135" t="s">
        <v>76</v>
      </c>
      <c r="H2124" s="135" t="s">
        <v>2853</v>
      </c>
      <c r="I2124" s="135" t="s">
        <v>77</v>
      </c>
      <c r="J2124" s="135">
        <v>1.0</v>
      </c>
      <c r="K2124" s="135"/>
      <c r="L2124" s="135">
        <v>4350.0</v>
      </c>
      <c r="M2124" s="135">
        <v>2850.0</v>
      </c>
      <c r="N2124" s="135">
        <v>120.0</v>
      </c>
      <c r="O2124" s="135">
        <v>1.58</v>
      </c>
      <c r="P2124" s="136">
        <v>0.0</v>
      </c>
      <c r="Q2124" s="137">
        <v>3.95</v>
      </c>
      <c r="R2124" s="136">
        <v>46141.0</v>
      </c>
      <c r="S2124" s="135" t="s">
        <v>3924</v>
      </c>
      <c r="T2124" s="136"/>
      <c r="U2124" s="135" t="s">
        <v>2864</v>
      </c>
      <c r="V2124" s="135" t="s">
        <v>2865</v>
      </c>
      <c r="W2124" s="135"/>
      <c r="X2124" s="135" t="s">
        <v>2867</v>
      </c>
      <c r="Y2124" s="135"/>
      <c r="Z2124" s="135"/>
      <c r="AA2124" s="135"/>
      <c r="AB2124" s="135"/>
      <c r="AC2124" s="135"/>
      <c r="AD2124" s="135">
        <v>0.0</v>
      </c>
      <c r="AE2124" s="135"/>
      <c r="AF2124" s="135"/>
      <c r="AG2124" s="135"/>
    </row>
    <row r="2125" ht="21.75" hidden="1" customHeight="1">
      <c r="A2125" s="135">
        <v>2121.0</v>
      </c>
      <c r="B2125" s="135">
        <v>25045.0</v>
      </c>
      <c r="C2125" s="135"/>
      <c r="D2125" s="135">
        <v>34.0</v>
      </c>
      <c r="E2125" s="135" t="s">
        <v>3925</v>
      </c>
      <c r="F2125" s="135" t="s">
        <v>1647</v>
      </c>
      <c r="G2125" s="135" t="s">
        <v>76</v>
      </c>
      <c r="H2125" s="135" t="s">
        <v>2853</v>
      </c>
      <c r="I2125" s="135" t="s">
        <v>77</v>
      </c>
      <c r="J2125" s="135">
        <v>1.0</v>
      </c>
      <c r="K2125" s="135"/>
      <c r="L2125" s="135">
        <v>4090.0</v>
      </c>
      <c r="M2125" s="135">
        <v>2850.0</v>
      </c>
      <c r="N2125" s="135">
        <v>120.0</v>
      </c>
      <c r="O2125" s="135">
        <v>1.51</v>
      </c>
      <c r="P2125" s="136">
        <v>0.0</v>
      </c>
      <c r="Q2125" s="137">
        <v>3.775</v>
      </c>
      <c r="R2125" s="136">
        <v>46141.0</v>
      </c>
      <c r="S2125" s="135" t="s">
        <v>3924</v>
      </c>
      <c r="T2125" s="136"/>
      <c r="U2125" s="135" t="s">
        <v>2864</v>
      </c>
      <c r="V2125" s="135" t="s">
        <v>2865</v>
      </c>
      <c r="W2125" s="135"/>
      <c r="X2125" s="135" t="s">
        <v>2872</v>
      </c>
      <c r="Y2125" s="135"/>
      <c r="Z2125" s="135"/>
      <c r="AA2125" s="135"/>
      <c r="AB2125" s="135"/>
      <c r="AC2125" s="135"/>
      <c r="AD2125" s="135">
        <v>0.0</v>
      </c>
      <c r="AE2125" s="135"/>
      <c r="AF2125" s="135"/>
      <c r="AG2125" s="135"/>
    </row>
    <row r="2126" ht="21.75" hidden="1" customHeight="1">
      <c r="A2126" s="135">
        <v>2122.0</v>
      </c>
      <c r="B2126" s="135">
        <v>25045.0</v>
      </c>
      <c r="C2126" s="135"/>
      <c r="D2126" s="135">
        <v>34.0</v>
      </c>
      <c r="E2126" s="135" t="s">
        <v>3925</v>
      </c>
      <c r="F2126" s="135" t="s">
        <v>1648</v>
      </c>
      <c r="G2126" s="135" t="s">
        <v>76</v>
      </c>
      <c r="H2126" s="135" t="s">
        <v>2853</v>
      </c>
      <c r="I2126" s="135" t="s">
        <v>77</v>
      </c>
      <c r="J2126" s="135">
        <v>1.0</v>
      </c>
      <c r="K2126" s="135"/>
      <c r="L2126" s="135">
        <v>5140.0</v>
      </c>
      <c r="M2126" s="135">
        <v>2850.0</v>
      </c>
      <c r="N2126" s="135">
        <v>120.0</v>
      </c>
      <c r="O2126" s="135">
        <v>1.89</v>
      </c>
      <c r="P2126" s="136">
        <v>0.0</v>
      </c>
      <c r="Q2126" s="137">
        <v>4.725</v>
      </c>
      <c r="R2126" s="136">
        <v>46141.0</v>
      </c>
      <c r="S2126" s="135" t="s">
        <v>3924</v>
      </c>
      <c r="T2126" s="136"/>
      <c r="U2126" s="135" t="s">
        <v>2855</v>
      </c>
      <c r="V2126" s="135" t="s">
        <v>2868</v>
      </c>
      <c r="W2126" s="135">
        <v>1800.0</v>
      </c>
      <c r="X2126" s="135" t="s">
        <v>2870</v>
      </c>
      <c r="Y2126" s="135"/>
      <c r="Z2126" s="135"/>
      <c r="AA2126" s="135"/>
      <c r="AB2126" s="135"/>
      <c r="AC2126" s="135"/>
      <c r="AD2126" s="135">
        <v>46153.0</v>
      </c>
      <c r="AE2126" s="135"/>
      <c r="AF2126" s="135"/>
      <c r="AG2126" s="135"/>
    </row>
    <row r="2127" ht="21.75" hidden="1" customHeight="1">
      <c r="A2127" s="135">
        <v>2123.0</v>
      </c>
      <c r="B2127" s="135">
        <v>25045.0</v>
      </c>
      <c r="C2127" s="135"/>
      <c r="D2127" s="135">
        <v>34.0</v>
      </c>
      <c r="E2127" s="135" t="s">
        <v>3925</v>
      </c>
      <c r="F2127" s="135" t="s">
        <v>1649</v>
      </c>
      <c r="G2127" s="135" t="s">
        <v>76</v>
      </c>
      <c r="H2127" s="135" t="s">
        <v>2853</v>
      </c>
      <c r="I2127" s="135" t="s">
        <v>77</v>
      </c>
      <c r="J2127" s="135">
        <v>1.0</v>
      </c>
      <c r="K2127" s="135"/>
      <c r="L2127" s="135">
        <v>5590.0</v>
      </c>
      <c r="M2127" s="135">
        <v>2851.0</v>
      </c>
      <c r="N2127" s="135">
        <v>120.0</v>
      </c>
      <c r="O2127" s="135">
        <v>2.0</v>
      </c>
      <c r="P2127" s="136">
        <v>0.0</v>
      </c>
      <c r="Q2127" s="137">
        <v>5.0</v>
      </c>
      <c r="R2127" s="136">
        <v>46141.0</v>
      </c>
      <c r="S2127" s="135" t="s">
        <v>3924</v>
      </c>
      <c r="T2127" s="136"/>
      <c r="U2127" s="135" t="s">
        <v>2855</v>
      </c>
      <c r="V2127" s="135" t="s">
        <v>2868</v>
      </c>
      <c r="W2127" s="135">
        <v>1800.0</v>
      </c>
      <c r="X2127" s="135" t="s">
        <v>2872</v>
      </c>
      <c r="Y2127" s="135"/>
      <c r="Z2127" s="135"/>
      <c r="AA2127" s="135"/>
      <c r="AB2127" s="135"/>
      <c r="AC2127" s="135"/>
      <c r="AD2127" s="135">
        <v>46154.0</v>
      </c>
      <c r="AE2127" s="135"/>
      <c r="AF2127" s="135"/>
      <c r="AG2127" s="135"/>
    </row>
    <row r="2128" ht="21.75" hidden="1" customHeight="1">
      <c r="A2128" s="135">
        <v>2124.0</v>
      </c>
      <c r="B2128" s="135">
        <v>25045.0</v>
      </c>
      <c r="C2128" s="135"/>
      <c r="D2128" s="135">
        <v>34.0</v>
      </c>
      <c r="E2128" s="135" t="s">
        <v>3925</v>
      </c>
      <c r="F2128" s="135" t="s">
        <v>1650</v>
      </c>
      <c r="G2128" s="135" t="s">
        <v>76</v>
      </c>
      <c r="H2128" s="135" t="s">
        <v>2853</v>
      </c>
      <c r="I2128" s="135" t="s">
        <v>77</v>
      </c>
      <c r="J2128" s="135">
        <v>1.0</v>
      </c>
      <c r="K2128" s="135"/>
      <c r="L2128" s="135">
        <v>5015.0</v>
      </c>
      <c r="M2128" s="135">
        <v>3160.0</v>
      </c>
      <c r="N2128" s="135">
        <v>120.0</v>
      </c>
      <c r="O2128" s="135">
        <v>2.24</v>
      </c>
      <c r="P2128" s="136">
        <v>0.0</v>
      </c>
      <c r="Q2128" s="137">
        <v>5.6000000000000005</v>
      </c>
      <c r="R2128" s="136">
        <v>46141.0</v>
      </c>
      <c r="S2128" s="135" t="s">
        <v>3924</v>
      </c>
      <c r="T2128" s="136"/>
      <c r="U2128" s="135" t="s">
        <v>2855</v>
      </c>
      <c r="V2128" s="135" t="s">
        <v>2878</v>
      </c>
      <c r="W2128" s="135">
        <v>2500.0</v>
      </c>
      <c r="X2128" s="135"/>
      <c r="Y2128" s="135"/>
      <c r="Z2128" s="135"/>
      <c r="AA2128" s="135"/>
      <c r="AB2128" s="135"/>
      <c r="AC2128" s="135"/>
      <c r="AD2128" s="135">
        <v>46154.0</v>
      </c>
      <c r="AE2128" s="135"/>
      <c r="AF2128" s="135"/>
      <c r="AG2128" s="135"/>
    </row>
    <row r="2129" ht="21.75" hidden="1" customHeight="1">
      <c r="A2129" s="135">
        <v>2125.0</v>
      </c>
      <c r="B2129" s="135">
        <v>25045.0</v>
      </c>
      <c r="C2129" s="135"/>
      <c r="D2129" s="135">
        <v>34.0</v>
      </c>
      <c r="E2129" s="135" t="s">
        <v>3925</v>
      </c>
      <c r="F2129" s="135" t="s">
        <v>1651</v>
      </c>
      <c r="G2129" s="135" t="s">
        <v>76</v>
      </c>
      <c r="H2129" s="135" t="s">
        <v>2853</v>
      </c>
      <c r="I2129" s="135" t="s">
        <v>77</v>
      </c>
      <c r="J2129" s="135">
        <v>1.0</v>
      </c>
      <c r="K2129" s="135" t="s">
        <v>3932</v>
      </c>
      <c r="L2129" s="135">
        <v>4544.0</v>
      </c>
      <c r="M2129" s="135">
        <v>3160.0</v>
      </c>
      <c r="N2129" s="135">
        <v>120.0</v>
      </c>
      <c r="O2129" s="135">
        <v>2.11</v>
      </c>
      <c r="P2129" s="136">
        <v>0.0</v>
      </c>
      <c r="Q2129" s="137">
        <v>5.2749999999999995</v>
      </c>
      <c r="R2129" s="136">
        <v>46141.0</v>
      </c>
      <c r="S2129" s="135" t="s">
        <v>3924</v>
      </c>
      <c r="T2129" s="136"/>
      <c r="U2129" s="135" t="s">
        <v>2855</v>
      </c>
      <c r="V2129" s="135" t="s">
        <v>2878</v>
      </c>
      <c r="W2129" s="135">
        <v>1800.0</v>
      </c>
      <c r="X2129" s="135"/>
      <c r="Y2129" s="135"/>
      <c r="Z2129" s="135"/>
      <c r="AA2129" s="135"/>
      <c r="AB2129" s="135"/>
      <c r="AC2129" s="135"/>
      <c r="AD2129" s="135">
        <v>0.0</v>
      </c>
      <c r="AE2129" s="135"/>
      <c r="AF2129" s="135"/>
      <c r="AG2129" s="135"/>
    </row>
    <row r="2130" ht="21.75" hidden="1" customHeight="1">
      <c r="A2130" s="135">
        <v>2126.0</v>
      </c>
      <c r="B2130" s="135">
        <v>25045.0</v>
      </c>
      <c r="C2130" s="135"/>
      <c r="D2130" s="135">
        <v>34.0</v>
      </c>
      <c r="E2130" s="135" t="s">
        <v>3925</v>
      </c>
      <c r="F2130" s="135" t="s">
        <v>1652</v>
      </c>
      <c r="G2130" s="135" t="s">
        <v>76</v>
      </c>
      <c r="H2130" s="135" t="s">
        <v>2853</v>
      </c>
      <c r="I2130" s="135" t="s">
        <v>77</v>
      </c>
      <c r="J2130" s="135">
        <v>1.0</v>
      </c>
      <c r="K2130" s="135" t="s">
        <v>3932</v>
      </c>
      <c r="L2130" s="135">
        <v>4544.0</v>
      </c>
      <c r="M2130" s="135">
        <v>3160.0</v>
      </c>
      <c r="N2130" s="135">
        <v>120.0</v>
      </c>
      <c r="O2130" s="135">
        <v>2.11</v>
      </c>
      <c r="P2130" s="136">
        <v>0.0</v>
      </c>
      <c r="Q2130" s="137">
        <v>5.2749999999999995</v>
      </c>
      <c r="R2130" s="136">
        <v>46141.0</v>
      </c>
      <c r="S2130" s="135" t="s">
        <v>3924</v>
      </c>
      <c r="T2130" s="136"/>
      <c r="U2130" s="135" t="s">
        <v>2855</v>
      </c>
      <c r="V2130" s="135" t="s">
        <v>2878</v>
      </c>
      <c r="W2130" s="135">
        <v>1800.0</v>
      </c>
      <c r="X2130" s="135"/>
      <c r="Y2130" s="135"/>
      <c r="Z2130" s="135"/>
      <c r="AA2130" s="135"/>
      <c r="AB2130" s="135"/>
      <c r="AC2130" s="135"/>
      <c r="AD2130" s="135">
        <v>0.0</v>
      </c>
      <c r="AE2130" s="135"/>
      <c r="AF2130" s="135"/>
      <c r="AG2130" s="135"/>
    </row>
    <row r="2131" ht="21.75" hidden="1" customHeight="1">
      <c r="A2131" s="135">
        <v>2127.0</v>
      </c>
      <c r="B2131" s="135">
        <v>25045.0</v>
      </c>
      <c r="C2131" s="135"/>
      <c r="D2131" s="135">
        <v>34.0</v>
      </c>
      <c r="E2131" s="135" t="s">
        <v>3925</v>
      </c>
      <c r="F2131" s="135" t="s">
        <v>1653</v>
      </c>
      <c r="G2131" s="135" t="s">
        <v>76</v>
      </c>
      <c r="H2131" s="135" t="s">
        <v>2853</v>
      </c>
      <c r="I2131" s="135" t="s">
        <v>77</v>
      </c>
      <c r="J2131" s="135">
        <v>1.0</v>
      </c>
      <c r="K2131" s="135" t="s">
        <v>3932</v>
      </c>
      <c r="L2131" s="135">
        <v>4544.0</v>
      </c>
      <c r="M2131" s="135">
        <v>3160.0</v>
      </c>
      <c r="N2131" s="135">
        <v>120.0</v>
      </c>
      <c r="O2131" s="135">
        <v>2.11</v>
      </c>
      <c r="P2131" s="136">
        <v>0.0</v>
      </c>
      <c r="Q2131" s="137">
        <v>5.2749999999999995</v>
      </c>
      <c r="R2131" s="136">
        <v>46141.0</v>
      </c>
      <c r="S2131" s="135" t="s">
        <v>3924</v>
      </c>
      <c r="T2131" s="136"/>
      <c r="U2131" s="135" t="s">
        <v>2855</v>
      </c>
      <c r="V2131" s="135" t="s">
        <v>2878</v>
      </c>
      <c r="W2131" s="135">
        <v>1800.0</v>
      </c>
      <c r="X2131" s="135"/>
      <c r="Y2131" s="135"/>
      <c r="Z2131" s="135"/>
      <c r="AA2131" s="135"/>
      <c r="AB2131" s="135"/>
      <c r="AC2131" s="135"/>
      <c r="AD2131" s="135">
        <v>0.0</v>
      </c>
      <c r="AE2131" s="135"/>
      <c r="AF2131" s="135"/>
      <c r="AG2131" s="135"/>
    </row>
    <row r="2132" ht="21.75" hidden="1" customHeight="1">
      <c r="A2132" s="135">
        <v>2128.0</v>
      </c>
      <c r="B2132" s="135">
        <v>25045.0</v>
      </c>
      <c r="C2132" s="135"/>
      <c r="D2132" s="135">
        <v>34.0</v>
      </c>
      <c r="E2132" s="135" t="s">
        <v>3925</v>
      </c>
      <c r="F2132" s="135" t="s">
        <v>1654</v>
      </c>
      <c r="G2132" s="135" t="s">
        <v>76</v>
      </c>
      <c r="H2132" s="135" t="s">
        <v>2853</v>
      </c>
      <c r="I2132" s="135" t="s">
        <v>77</v>
      </c>
      <c r="J2132" s="135">
        <v>1.0</v>
      </c>
      <c r="K2132" s="135"/>
      <c r="L2132" s="135">
        <v>4544.0</v>
      </c>
      <c r="M2132" s="135">
        <v>3160.0</v>
      </c>
      <c r="N2132" s="135">
        <v>120.0</v>
      </c>
      <c r="O2132" s="135">
        <v>1.77</v>
      </c>
      <c r="P2132" s="136">
        <v>0.0</v>
      </c>
      <c r="Q2132" s="137">
        <v>4.425</v>
      </c>
      <c r="R2132" s="136">
        <v>46141.0</v>
      </c>
      <c r="S2132" s="135" t="s">
        <v>3924</v>
      </c>
      <c r="T2132" s="136"/>
      <c r="U2132" s="135" t="s">
        <v>2864</v>
      </c>
      <c r="V2132" s="135" t="s">
        <v>2890</v>
      </c>
      <c r="W2132" s="135"/>
      <c r="X2132" s="135" t="s">
        <v>3927</v>
      </c>
      <c r="Y2132" s="135"/>
      <c r="Z2132" s="135"/>
      <c r="AA2132" s="135"/>
      <c r="AB2132" s="135"/>
      <c r="AC2132" s="135"/>
      <c r="AD2132" s="135">
        <v>0.0</v>
      </c>
      <c r="AE2132" s="135"/>
      <c r="AF2132" s="135"/>
      <c r="AG2132" s="135"/>
    </row>
    <row r="2133" ht="21.75" hidden="1" customHeight="1">
      <c r="A2133" s="135">
        <v>2129.0</v>
      </c>
      <c r="B2133" s="135">
        <v>25045.0</v>
      </c>
      <c r="C2133" s="135"/>
      <c r="D2133" s="135">
        <v>34.0</v>
      </c>
      <c r="E2133" s="135" t="s">
        <v>3925</v>
      </c>
      <c r="F2133" s="135" t="s">
        <v>1655</v>
      </c>
      <c r="G2133" s="135" t="s">
        <v>76</v>
      </c>
      <c r="H2133" s="135" t="s">
        <v>2853</v>
      </c>
      <c r="I2133" s="135" t="s">
        <v>77</v>
      </c>
      <c r="J2133" s="135">
        <v>1.0</v>
      </c>
      <c r="K2133" s="135"/>
      <c r="L2133" s="135">
        <v>2078.0</v>
      </c>
      <c r="M2133" s="135">
        <v>1296.0</v>
      </c>
      <c r="N2133" s="135">
        <v>120.0</v>
      </c>
      <c r="O2133" s="135">
        <v>0.45</v>
      </c>
      <c r="P2133" s="136">
        <v>0.0</v>
      </c>
      <c r="Q2133" s="137">
        <v>1.125</v>
      </c>
      <c r="R2133" s="136">
        <v>46141.0</v>
      </c>
      <c r="S2133" s="135" t="s">
        <v>3924</v>
      </c>
      <c r="T2133" s="136"/>
      <c r="U2133" s="135" t="s">
        <v>2864</v>
      </c>
      <c r="V2133" s="135" t="s">
        <v>2951</v>
      </c>
      <c r="W2133" s="135"/>
      <c r="X2133" s="135"/>
      <c r="Y2133" s="135"/>
      <c r="Z2133" s="135"/>
      <c r="AA2133" s="135"/>
      <c r="AB2133" s="135"/>
      <c r="AC2133" s="135"/>
      <c r="AD2133" s="135">
        <v>0.0</v>
      </c>
      <c r="AE2133" s="135"/>
      <c r="AF2133" s="135"/>
      <c r="AG2133" s="135"/>
    </row>
    <row r="2134" ht="21.75" hidden="1" customHeight="1">
      <c r="A2134" s="135">
        <v>2130.0</v>
      </c>
      <c r="B2134" s="135">
        <v>25045.0</v>
      </c>
      <c r="C2134" s="135"/>
      <c r="D2134" s="135">
        <v>34.0</v>
      </c>
      <c r="E2134" s="135" t="s">
        <v>3925</v>
      </c>
      <c r="F2134" s="135" t="s">
        <v>1656</v>
      </c>
      <c r="G2134" s="135" t="s">
        <v>76</v>
      </c>
      <c r="H2134" s="135" t="s">
        <v>2965</v>
      </c>
      <c r="I2134" s="135" t="s">
        <v>77</v>
      </c>
      <c r="J2134" s="135">
        <v>1.0</v>
      </c>
      <c r="K2134" s="135"/>
      <c r="L2134" s="135">
        <v>400.0</v>
      </c>
      <c r="M2134" s="135">
        <v>2910.0</v>
      </c>
      <c r="N2134" s="135">
        <v>350.0</v>
      </c>
      <c r="O2134" s="135">
        <v>0.51</v>
      </c>
      <c r="P2134" s="136">
        <v>0.0</v>
      </c>
      <c r="Q2134" s="137">
        <v>1.275</v>
      </c>
      <c r="R2134" s="136">
        <v>46141.0</v>
      </c>
      <c r="S2134" s="135" t="s">
        <v>3924</v>
      </c>
      <c r="T2134" s="136"/>
      <c r="U2134" s="135" t="s">
        <v>2966</v>
      </c>
      <c r="V2134" s="135" t="s">
        <v>2967</v>
      </c>
      <c r="W2134" s="135"/>
      <c r="X2134" s="135"/>
      <c r="Y2134" s="135"/>
      <c r="Z2134" s="135"/>
      <c r="AA2134" s="135"/>
      <c r="AB2134" s="135"/>
      <c r="AC2134" s="135"/>
      <c r="AD2134" s="135">
        <v>0.0</v>
      </c>
      <c r="AE2134" s="135"/>
      <c r="AF2134" s="135"/>
      <c r="AG2134" s="135"/>
    </row>
    <row r="2135" ht="21.75" hidden="1" customHeight="1">
      <c r="A2135" s="135">
        <v>2131.0</v>
      </c>
      <c r="B2135" s="135">
        <v>25045.0</v>
      </c>
      <c r="C2135" s="135" t="s">
        <v>2817</v>
      </c>
      <c r="D2135" s="135">
        <v>34.0</v>
      </c>
      <c r="E2135" s="135" t="s">
        <v>3929</v>
      </c>
      <c r="F2135" s="135" t="s">
        <v>1658</v>
      </c>
      <c r="G2135" s="135" t="s">
        <v>76</v>
      </c>
      <c r="H2135" s="135" t="s">
        <v>2853</v>
      </c>
      <c r="I2135" s="135" t="s">
        <v>78</v>
      </c>
      <c r="J2135" s="135">
        <v>1.0</v>
      </c>
      <c r="K2135" s="135"/>
      <c r="L2135" s="135">
        <v>4588.0</v>
      </c>
      <c r="M2135" s="135">
        <v>3210.0</v>
      </c>
      <c r="N2135" s="135">
        <v>120.0</v>
      </c>
      <c r="O2135" s="135">
        <v>1.06</v>
      </c>
      <c r="P2135" s="136">
        <v>0.0</v>
      </c>
      <c r="Q2135" s="137">
        <v>2.6500000000000004</v>
      </c>
      <c r="R2135" s="136">
        <v>46141.0</v>
      </c>
      <c r="S2135" s="135" t="s">
        <v>3924</v>
      </c>
      <c r="T2135" s="136"/>
      <c r="U2135" s="135" t="s">
        <v>2855</v>
      </c>
      <c r="V2135" s="135" t="s">
        <v>2856</v>
      </c>
      <c r="W2135" s="135"/>
      <c r="X2135" s="135" t="s">
        <v>3933</v>
      </c>
      <c r="Y2135" s="135"/>
      <c r="Z2135" s="135"/>
      <c r="AA2135" s="135"/>
      <c r="AB2135" s="135"/>
      <c r="AC2135" s="135"/>
      <c r="AD2135" s="135">
        <v>0.0</v>
      </c>
      <c r="AE2135" s="135"/>
      <c r="AF2135" s="135"/>
      <c r="AG2135" s="135"/>
    </row>
    <row r="2136" ht="21.75" hidden="1" customHeight="1">
      <c r="A2136" s="135">
        <v>2132.0</v>
      </c>
      <c r="B2136" s="135">
        <v>25045.0</v>
      </c>
      <c r="C2136" s="135" t="s">
        <v>2817</v>
      </c>
      <c r="D2136" s="135">
        <v>34.0</v>
      </c>
      <c r="E2136" s="135" t="s">
        <v>3929</v>
      </c>
      <c r="F2136" s="135" t="s">
        <v>1659</v>
      </c>
      <c r="G2136" s="135" t="s">
        <v>76</v>
      </c>
      <c r="H2136" s="135" t="s">
        <v>2853</v>
      </c>
      <c r="I2136" s="135" t="s">
        <v>78</v>
      </c>
      <c r="J2136" s="135">
        <v>1.0</v>
      </c>
      <c r="K2136" s="135" t="s">
        <v>3934</v>
      </c>
      <c r="L2136" s="135">
        <v>4588.0</v>
      </c>
      <c r="M2136" s="135">
        <v>1350.0</v>
      </c>
      <c r="N2136" s="135">
        <v>120.0</v>
      </c>
      <c r="O2136" s="135">
        <v>0.94</v>
      </c>
      <c r="P2136" s="136">
        <v>0.0</v>
      </c>
      <c r="Q2136" s="137">
        <v>2.3499999999999996</v>
      </c>
      <c r="R2136" s="136">
        <v>46141.0</v>
      </c>
      <c r="S2136" s="135" t="s">
        <v>3924</v>
      </c>
      <c r="T2136" s="136"/>
      <c r="U2136" s="135" t="s">
        <v>2855</v>
      </c>
      <c r="V2136" s="135" t="s">
        <v>2856</v>
      </c>
      <c r="W2136" s="135">
        <v>1800.0</v>
      </c>
      <c r="X2136" s="135"/>
      <c r="Y2136" s="135"/>
      <c r="Z2136" s="135"/>
      <c r="AA2136" s="135"/>
      <c r="AB2136" s="135"/>
      <c r="AC2136" s="135"/>
      <c r="AD2136" s="135">
        <v>0.0</v>
      </c>
      <c r="AE2136" s="135"/>
      <c r="AF2136" s="135"/>
      <c r="AG2136" s="135"/>
    </row>
    <row r="2137" ht="21.75" hidden="1" customHeight="1">
      <c r="A2137" s="135">
        <v>2133.0</v>
      </c>
      <c r="B2137" s="135">
        <v>25045.0</v>
      </c>
      <c r="C2137" s="135" t="s">
        <v>2817</v>
      </c>
      <c r="D2137" s="135">
        <v>34.0</v>
      </c>
      <c r="E2137" s="135" t="s">
        <v>3929</v>
      </c>
      <c r="F2137" s="135" t="s">
        <v>1660</v>
      </c>
      <c r="G2137" s="135" t="s">
        <v>76</v>
      </c>
      <c r="H2137" s="135" t="s">
        <v>2853</v>
      </c>
      <c r="I2137" s="135" t="s">
        <v>78</v>
      </c>
      <c r="J2137" s="135">
        <v>1.0</v>
      </c>
      <c r="K2137" s="135" t="s">
        <v>3934</v>
      </c>
      <c r="L2137" s="135">
        <v>4588.0</v>
      </c>
      <c r="M2137" s="135">
        <v>1350.0</v>
      </c>
      <c r="N2137" s="135">
        <v>120.0</v>
      </c>
      <c r="O2137" s="135">
        <v>0.94</v>
      </c>
      <c r="P2137" s="136">
        <v>0.0</v>
      </c>
      <c r="Q2137" s="137">
        <v>2.3499999999999996</v>
      </c>
      <c r="R2137" s="136">
        <v>46141.0</v>
      </c>
      <c r="S2137" s="135" t="s">
        <v>3924</v>
      </c>
      <c r="T2137" s="136"/>
      <c r="U2137" s="135" t="s">
        <v>2855</v>
      </c>
      <c r="V2137" s="135" t="s">
        <v>2856</v>
      </c>
      <c r="W2137" s="135">
        <v>1800.0</v>
      </c>
      <c r="X2137" s="135"/>
      <c r="Y2137" s="135"/>
      <c r="Z2137" s="135"/>
      <c r="AA2137" s="135"/>
      <c r="AB2137" s="135"/>
      <c r="AC2137" s="135"/>
      <c r="AD2137" s="135">
        <v>0.0</v>
      </c>
      <c r="AE2137" s="135"/>
      <c r="AF2137" s="135"/>
      <c r="AG2137" s="135"/>
    </row>
    <row r="2138" ht="21.75" hidden="1" customHeight="1">
      <c r="A2138" s="135">
        <v>2134.0</v>
      </c>
      <c r="B2138" s="135">
        <v>25045.0</v>
      </c>
      <c r="C2138" s="135" t="s">
        <v>2817</v>
      </c>
      <c r="D2138" s="135">
        <v>34.0</v>
      </c>
      <c r="E2138" s="135" t="s">
        <v>3930</v>
      </c>
      <c r="F2138" s="135" t="s">
        <v>1674</v>
      </c>
      <c r="G2138" s="135" t="s">
        <v>76</v>
      </c>
      <c r="H2138" s="135" t="s">
        <v>2853</v>
      </c>
      <c r="I2138" s="135" t="s">
        <v>79</v>
      </c>
      <c r="J2138" s="135">
        <v>1.0</v>
      </c>
      <c r="K2138" s="135" t="s">
        <v>3934</v>
      </c>
      <c r="L2138" s="135">
        <v>4588.0</v>
      </c>
      <c r="M2138" s="135">
        <v>1350.0</v>
      </c>
      <c r="N2138" s="135">
        <v>120.0</v>
      </c>
      <c r="O2138" s="135">
        <v>0.94</v>
      </c>
      <c r="P2138" s="136">
        <v>0.0</v>
      </c>
      <c r="Q2138" s="137">
        <v>2.3499999999999996</v>
      </c>
      <c r="R2138" s="136">
        <v>46141.0</v>
      </c>
      <c r="S2138" s="135" t="s">
        <v>3924</v>
      </c>
      <c r="T2138" s="136"/>
      <c r="U2138" s="135" t="s">
        <v>2855</v>
      </c>
      <c r="V2138" s="135" t="s">
        <v>2856</v>
      </c>
      <c r="W2138" s="135">
        <v>1800.0</v>
      </c>
      <c r="X2138" s="135"/>
      <c r="Y2138" s="135"/>
      <c r="Z2138" s="135"/>
      <c r="AA2138" s="135"/>
      <c r="AB2138" s="135"/>
      <c r="AC2138" s="135"/>
      <c r="AD2138" s="135">
        <v>0.0</v>
      </c>
      <c r="AE2138" s="135"/>
      <c r="AF2138" s="135"/>
      <c r="AG2138" s="135"/>
    </row>
    <row r="2139" ht="21.75" hidden="1" customHeight="1">
      <c r="A2139" s="135">
        <v>2135.0</v>
      </c>
      <c r="B2139" s="135">
        <v>25045.0</v>
      </c>
      <c r="C2139" s="135" t="s">
        <v>2817</v>
      </c>
      <c r="D2139" s="135">
        <v>34.0</v>
      </c>
      <c r="E2139" s="135" t="s">
        <v>3930</v>
      </c>
      <c r="F2139" s="135" t="s">
        <v>1675</v>
      </c>
      <c r="G2139" s="135" t="s">
        <v>76</v>
      </c>
      <c r="H2139" s="135" t="s">
        <v>2853</v>
      </c>
      <c r="I2139" s="135" t="s">
        <v>79</v>
      </c>
      <c r="J2139" s="135">
        <v>1.0</v>
      </c>
      <c r="K2139" s="135" t="s">
        <v>3934</v>
      </c>
      <c r="L2139" s="135">
        <v>4588.0</v>
      </c>
      <c r="M2139" s="135">
        <v>1350.0</v>
      </c>
      <c r="N2139" s="135">
        <v>120.0</v>
      </c>
      <c r="O2139" s="135">
        <v>0.94</v>
      </c>
      <c r="P2139" s="136">
        <v>0.0</v>
      </c>
      <c r="Q2139" s="137">
        <v>2.3499999999999996</v>
      </c>
      <c r="R2139" s="136">
        <v>46141.0</v>
      </c>
      <c r="S2139" s="135" t="s">
        <v>3924</v>
      </c>
      <c r="T2139" s="136"/>
      <c r="U2139" s="135" t="s">
        <v>2855</v>
      </c>
      <c r="V2139" s="135" t="s">
        <v>2856</v>
      </c>
      <c r="W2139" s="135">
        <v>1800.0</v>
      </c>
      <c r="X2139" s="135"/>
      <c r="Y2139" s="135"/>
      <c r="Z2139" s="135"/>
      <c r="AA2139" s="135"/>
      <c r="AB2139" s="135"/>
      <c r="AC2139" s="135"/>
      <c r="AD2139" s="135">
        <v>0.0</v>
      </c>
      <c r="AE2139" s="135"/>
      <c r="AF2139" s="135"/>
      <c r="AG2139" s="135"/>
    </row>
    <row r="2140" ht="21.75" hidden="1" customHeight="1">
      <c r="A2140" s="135">
        <v>2136.0</v>
      </c>
      <c r="B2140" s="135">
        <v>25045.0</v>
      </c>
      <c r="C2140" s="135"/>
      <c r="D2140" s="135">
        <v>34.0</v>
      </c>
      <c r="E2140" s="135" t="s">
        <v>3929</v>
      </c>
      <c r="F2140" s="135" t="s">
        <v>1661</v>
      </c>
      <c r="G2140" s="135" t="s">
        <v>76</v>
      </c>
      <c r="H2140" s="135" t="s">
        <v>2853</v>
      </c>
      <c r="I2140" s="135" t="s">
        <v>78</v>
      </c>
      <c r="J2140" s="135">
        <v>1.0</v>
      </c>
      <c r="K2140" s="135"/>
      <c r="L2140" s="135">
        <v>5015.0</v>
      </c>
      <c r="M2140" s="135">
        <v>3200.0</v>
      </c>
      <c r="N2140" s="135">
        <v>120.0</v>
      </c>
      <c r="O2140" s="135">
        <v>2.26</v>
      </c>
      <c r="P2140" s="136">
        <v>0.0</v>
      </c>
      <c r="Q2140" s="137">
        <v>5.6499999999999995</v>
      </c>
      <c r="R2140" s="136">
        <v>46141.0</v>
      </c>
      <c r="S2140" s="135" t="s">
        <v>3924</v>
      </c>
      <c r="T2140" s="136"/>
      <c r="U2140" s="135" t="s">
        <v>2855</v>
      </c>
      <c r="V2140" s="135" t="s">
        <v>2878</v>
      </c>
      <c r="W2140" s="135">
        <v>2500.0</v>
      </c>
      <c r="X2140" s="135"/>
      <c r="Y2140" s="135"/>
      <c r="Z2140" s="135"/>
      <c r="AA2140" s="135"/>
      <c r="AB2140" s="135"/>
      <c r="AC2140" s="135"/>
      <c r="AD2140" s="135">
        <v>46155.0</v>
      </c>
      <c r="AE2140" s="135"/>
      <c r="AF2140" s="135"/>
      <c r="AG2140" s="135"/>
    </row>
    <row r="2141" ht="21.75" hidden="1" customHeight="1">
      <c r="A2141" s="135">
        <v>2137.0</v>
      </c>
      <c r="B2141" s="135">
        <v>25045.0</v>
      </c>
      <c r="C2141" s="135"/>
      <c r="D2141" s="135">
        <v>34.0</v>
      </c>
      <c r="E2141" s="135" t="s">
        <v>3929</v>
      </c>
      <c r="F2141" s="135" t="s">
        <v>1662</v>
      </c>
      <c r="G2141" s="135" t="s">
        <v>76</v>
      </c>
      <c r="H2141" s="135" t="s">
        <v>2853</v>
      </c>
      <c r="I2141" s="135" t="s">
        <v>78</v>
      </c>
      <c r="J2141" s="135">
        <v>1.0</v>
      </c>
      <c r="K2141" s="135" t="s">
        <v>3935</v>
      </c>
      <c r="L2141" s="135">
        <v>4655.0</v>
      </c>
      <c r="M2141" s="135">
        <v>3200.0</v>
      </c>
      <c r="N2141" s="135">
        <v>120.0</v>
      </c>
      <c r="O2141" s="135">
        <v>2.16</v>
      </c>
      <c r="P2141" s="136">
        <v>0.0</v>
      </c>
      <c r="Q2141" s="137">
        <v>5.4</v>
      </c>
      <c r="R2141" s="136">
        <v>46141.0</v>
      </c>
      <c r="S2141" s="135" t="s">
        <v>3924</v>
      </c>
      <c r="T2141" s="136"/>
      <c r="U2141" s="135" t="s">
        <v>2855</v>
      </c>
      <c r="V2141" s="135" t="s">
        <v>2878</v>
      </c>
      <c r="W2141" s="135">
        <v>1800.0</v>
      </c>
      <c r="X2141" s="135"/>
      <c r="Y2141" s="135"/>
      <c r="Z2141" s="135"/>
      <c r="AA2141" s="135"/>
      <c r="AB2141" s="135"/>
      <c r="AC2141" s="135"/>
      <c r="AD2141" s="135">
        <v>46153.0</v>
      </c>
      <c r="AE2141" s="135"/>
      <c r="AF2141" s="135"/>
      <c r="AG2141" s="135"/>
    </row>
    <row r="2142" ht="21.75" hidden="1" customHeight="1">
      <c r="A2142" s="135">
        <v>2138.0</v>
      </c>
      <c r="B2142" s="135">
        <v>25045.0</v>
      </c>
      <c r="C2142" s="135"/>
      <c r="D2142" s="135">
        <v>34.0</v>
      </c>
      <c r="E2142" s="135" t="s">
        <v>3929</v>
      </c>
      <c r="F2142" s="135" t="s">
        <v>1663</v>
      </c>
      <c r="G2142" s="135" t="s">
        <v>76</v>
      </c>
      <c r="H2142" s="135" t="s">
        <v>2853</v>
      </c>
      <c r="I2142" s="135" t="s">
        <v>78</v>
      </c>
      <c r="J2142" s="135">
        <v>1.0</v>
      </c>
      <c r="K2142" s="135" t="s">
        <v>3935</v>
      </c>
      <c r="L2142" s="135">
        <v>4655.0</v>
      </c>
      <c r="M2142" s="135">
        <v>3200.0</v>
      </c>
      <c r="N2142" s="135">
        <v>120.0</v>
      </c>
      <c r="O2142" s="135">
        <v>2.16</v>
      </c>
      <c r="P2142" s="136">
        <v>0.0</v>
      </c>
      <c r="Q2142" s="137">
        <v>5.4</v>
      </c>
      <c r="R2142" s="136">
        <v>46141.0</v>
      </c>
      <c r="S2142" s="135" t="s">
        <v>3924</v>
      </c>
      <c r="T2142" s="136"/>
      <c r="U2142" s="135" t="s">
        <v>2855</v>
      </c>
      <c r="V2142" s="135" t="s">
        <v>2878</v>
      </c>
      <c r="W2142" s="135">
        <v>1800.0</v>
      </c>
      <c r="X2142" s="135"/>
      <c r="Y2142" s="135"/>
      <c r="Z2142" s="135"/>
      <c r="AA2142" s="135"/>
      <c r="AB2142" s="135"/>
      <c r="AC2142" s="135"/>
      <c r="AD2142" s="135">
        <v>46154.0</v>
      </c>
      <c r="AE2142" s="135"/>
      <c r="AF2142" s="135"/>
      <c r="AG2142" s="135"/>
    </row>
    <row r="2143" ht="21.75" hidden="1" customHeight="1">
      <c r="A2143" s="135">
        <v>2139.0</v>
      </c>
      <c r="B2143" s="135">
        <v>25045.0</v>
      </c>
      <c r="C2143" s="135"/>
      <c r="D2143" s="135">
        <v>34.0</v>
      </c>
      <c r="E2143" s="135" t="s">
        <v>3929</v>
      </c>
      <c r="F2143" s="135" t="s">
        <v>1664</v>
      </c>
      <c r="G2143" s="135" t="s">
        <v>76</v>
      </c>
      <c r="H2143" s="135" t="s">
        <v>2853</v>
      </c>
      <c r="I2143" s="135" t="s">
        <v>78</v>
      </c>
      <c r="J2143" s="135">
        <v>1.0</v>
      </c>
      <c r="K2143" s="135" t="s">
        <v>3935</v>
      </c>
      <c r="L2143" s="135">
        <v>4655.0</v>
      </c>
      <c r="M2143" s="135">
        <v>3200.0</v>
      </c>
      <c r="N2143" s="135">
        <v>120.0</v>
      </c>
      <c r="O2143" s="135">
        <v>2.16</v>
      </c>
      <c r="P2143" s="136">
        <v>0.0</v>
      </c>
      <c r="Q2143" s="137">
        <v>5.4</v>
      </c>
      <c r="R2143" s="136">
        <v>46141.0</v>
      </c>
      <c r="S2143" s="135" t="s">
        <v>3924</v>
      </c>
      <c r="T2143" s="136"/>
      <c r="U2143" s="135" t="s">
        <v>2855</v>
      </c>
      <c r="V2143" s="135" t="s">
        <v>2878</v>
      </c>
      <c r="W2143" s="135">
        <v>1800.0</v>
      </c>
      <c r="X2143" s="135"/>
      <c r="Y2143" s="135"/>
      <c r="Z2143" s="135"/>
      <c r="AA2143" s="135"/>
      <c r="AB2143" s="135"/>
      <c r="AC2143" s="135"/>
      <c r="AD2143" s="135">
        <v>46155.0</v>
      </c>
      <c r="AE2143" s="135"/>
      <c r="AF2143" s="135"/>
      <c r="AG2143" s="135"/>
    </row>
    <row r="2144" ht="21.75" hidden="1" customHeight="1">
      <c r="A2144" s="135">
        <v>2140.0</v>
      </c>
      <c r="B2144" s="135">
        <v>25045.0</v>
      </c>
      <c r="C2144" s="135"/>
      <c r="D2144" s="135">
        <v>34.0</v>
      </c>
      <c r="E2144" s="135" t="s">
        <v>3929</v>
      </c>
      <c r="F2144" s="135" t="s">
        <v>1665</v>
      </c>
      <c r="G2144" s="135" t="s">
        <v>76</v>
      </c>
      <c r="H2144" s="135" t="s">
        <v>2853</v>
      </c>
      <c r="I2144" s="135" t="s">
        <v>78</v>
      </c>
      <c r="J2144" s="135">
        <v>1.0</v>
      </c>
      <c r="K2144" s="135"/>
      <c r="L2144" s="135">
        <v>4655.0</v>
      </c>
      <c r="M2144" s="135">
        <v>3200.0</v>
      </c>
      <c r="N2144" s="135">
        <v>120.0</v>
      </c>
      <c r="O2144" s="135">
        <v>1.83</v>
      </c>
      <c r="P2144" s="136">
        <v>0.0</v>
      </c>
      <c r="Q2144" s="137">
        <v>4.575</v>
      </c>
      <c r="R2144" s="136">
        <v>46141.0</v>
      </c>
      <c r="S2144" s="135" t="s">
        <v>3924</v>
      </c>
      <c r="T2144" s="136"/>
      <c r="U2144" s="135" t="s">
        <v>2864</v>
      </c>
      <c r="V2144" s="135" t="s">
        <v>2890</v>
      </c>
      <c r="W2144" s="135"/>
      <c r="X2144" s="135" t="s">
        <v>3936</v>
      </c>
      <c r="Y2144" s="135"/>
      <c r="Z2144" s="135"/>
      <c r="AA2144" s="135"/>
      <c r="AB2144" s="135"/>
      <c r="AC2144" s="135"/>
      <c r="AD2144" s="135">
        <v>0.0</v>
      </c>
      <c r="AE2144" s="135"/>
      <c r="AF2144" s="135"/>
      <c r="AG2144" s="135"/>
    </row>
    <row r="2145" ht="21.75" hidden="1" customHeight="1">
      <c r="A2145" s="135">
        <v>2141.0</v>
      </c>
      <c r="B2145" s="135">
        <v>25045.0</v>
      </c>
      <c r="C2145" s="135"/>
      <c r="D2145" s="135">
        <v>34.0</v>
      </c>
      <c r="E2145" s="135" t="s">
        <v>3929</v>
      </c>
      <c r="F2145" s="135" t="s">
        <v>1666</v>
      </c>
      <c r="G2145" s="135" t="s">
        <v>76</v>
      </c>
      <c r="H2145" s="135" t="s">
        <v>2853</v>
      </c>
      <c r="I2145" s="135" t="s">
        <v>78</v>
      </c>
      <c r="J2145" s="135">
        <v>1.0</v>
      </c>
      <c r="K2145" s="135"/>
      <c r="L2145" s="135">
        <v>5000.0</v>
      </c>
      <c r="M2145" s="135">
        <v>3160.0</v>
      </c>
      <c r="N2145" s="135">
        <v>120.0</v>
      </c>
      <c r="O2145" s="135">
        <v>2.24</v>
      </c>
      <c r="P2145" s="136">
        <v>0.0</v>
      </c>
      <c r="Q2145" s="137">
        <v>5.6000000000000005</v>
      </c>
      <c r="R2145" s="136">
        <v>46141.0</v>
      </c>
      <c r="S2145" s="135" t="s">
        <v>3924</v>
      </c>
      <c r="T2145" s="136"/>
      <c r="U2145" s="135" t="s">
        <v>2855</v>
      </c>
      <c r="V2145" s="135" t="s">
        <v>2878</v>
      </c>
      <c r="W2145" s="135">
        <v>1800.0</v>
      </c>
      <c r="X2145" s="135"/>
      <c r="Y2145" s="135"/>
      <c r="Z2145" s="135"/>
      <c r="AA2145" s="135"/>
      <c r="AB2145" s="135"/>
      <c r="AC2145" s="135"/>
      <c r="AD2145" s="135">
        <v>0.0</v>
      </c>
      <c r="AE2145" s="135"/>
      <c r="AF2145" s="135"/>
      <c r="AG2145" s="135"/>
    </row>
    <row r="2146" ht="21.75" hidden="1" customHeight="1">
      <c r="A2146" s="135">
        <v>2142.0</v>
      </c>
      <c r="B2146" s="135">
        <v>25045.0</v>
      </c>
      <c r="C2146" s="135"/>
      <c r="D2146" s="135">
        <v>34.0</v>
      </c>
      <c r="E2146" s="135" t="s">
        <v>3929</v>
      </c>
      <c r="F2146" s="135" t="s">
        <v>1667</v>
      </c>
      <c r="G2146" s="135" t="s">
        <v>76</v>
      </c>
      <c r="H2146" s="135" t="s">
        <v>2853</v>
      </c>
      <c r="I2146" s="135" t="s">
        <v>78</v>
      </c>
      <c r="J2146" s="135">
        <v>1.0</v>
      </c>
      <c r="K2146" s="135" t="s">
        <v>3937</v>
      </c>
      <c r="L2146" s="135">
        <v>4375.0</v>
      </c>
      <c r="M2146" s="135">
        <v>3160.0</v>
      </c>
      <c r="N2146" s="135">
        <v>120.0</v>
      </c>
      <c r="O2146" s="135">
        <v>2.06</v>
      </c>
      <c r="P2146" s="136">
        <v>0.0</v>
      </c>
      <c r="Q2146" s="137">
        <v>5.15</v>
      </c>
      <c r="R2146" s="136">
        <v>46141.0</v>
      </c>
      <c r="S2146" s="135" t="s">
        <v>3924</v>
      </c>
      <c r="T2146" s="136"/>
      <c r="U2146" s="135" t="s">
        <v>2855</v>
      </c>
      <c r="V2146" s="135" t="s">
        <v>2878</v>
      </c>
      <c r="W2146" s="135">
        <v>1800.0</v>
      </c>
      <c r="X2146" s="135"/>
      <c r="Y2146" s="135"/>
      <c r="Z2146" s="135"/>
      <c r="AA2146" s="135"/>
      <c r="AB2146" s="135"/>
      <c r="AC2146" s="135"/>
      <c r="AD2146" s="135">
        <v>46156.0</v>
      </c>
      <c r="AE2146" s="135"/>
      <c r="AF2146" s="135"/>
      <c r="AG2146" s="135"/>
    </row>
    <row r="2147" ht="21.75" hidden="1" customHeight="1">
      <c r="A2147" s="135">
        <v>2143.0</v>
      </c>
      <c r="B2147" s="135">
        <v>25045.0</v>
      </c>
      <c r="C2147" s="135"/>
      <c r="D2147" s="135">
        <v>34.0</v>
      </c>
      <c r="E2147" s="135" t="s">
        <v>3929</v>
      </c>
      <c r="F2147" s="135" t="s">
        <v>1668</v>
      </c>
      <c r="G2147" s="135" t="s">
        <v>76</v>
      </c>
      <c r="H2147" s="135" t="s">
        <v>2853</v>
      </c>
      <c r="I2147" s="135" t="s">
        <v>78</v>
      </c>
      <c r="J2147" s="135">
        <v>1.0</v>
      </c>
      <c r="K2147" s="135" t="s">
        <v>3937</v>
      </c>
      <c r="L2147" s="135">
        <v>4375.0</v>
      </c>
      <c r="M2147" s="135">
        <v>3160.0</v>
      </c>
      <c r="N2147" s="135">
        <v>120.0</v>
      </c>
      <c r="O2147" s="135">
        <v>2.06</v>
      </c>
      <c r="P2147" s="136">
        <v>0.0</v>
      </c>
      <c r="Q2147" s="137">
        <v>5.15</v>
      </c>
      <c r="R2147" s="136">
        <v>46141.0</v>
      </c>
      <c r="S2147" s="135" t="s">
        <v>3924</v>
      </c>
      <c r="T2147" s="136"/>
      <c r="U2147" s="135" t="s">
        <v>2855</v>
      </c>
      <c r="V2147" s="135" t="s">
        <v>2878</v>
      </c>
      <c r="W2147" s="135">
        <v>1800.0</v>
      </c>
      <c r="X2147" s="135"/>
      <c r="Y2147" s="135"/>
      <c r="Z2147" s="135"/>
      <c r="AA2147" s="135"/>
      <c r="AB2147" s="135"/>
      <c r="AC2147" s="135"/>
      <c r="AD2147" s="135">
        <v>46157.0</v>
      </c>
      <c r="AE2147" s="135"/>
      <c r="AF2147" s="135"/>
      <c r="AG2147" s="135"/>
    </row>
    <row r="2148" ht="21.75" hidden="1" customHeight="1">
      <c r="A2148" s="135">
        <v>2144.0</v>
      </c>
      <c r="B2148" s="135">
        <v>25045.0</v>
      </c>
      <c r="C2148" s="135"/>
      <c r="D2148" s="135">
        <v>34.0</v>
      </c>
      <c r="E2148" s="135" t="s">
        <v>3929</v>
      </c>
      <c r="F2148" s="135" t="s">
        <v>1669</v>
      </c>
      <c r="G2148" s="135" t="s">
        <v>76</v>
      </c>
      <c r="H2148" s="135" t="s">
        <v>2853</v>
      </c>
      <c r="I2148" s="135" t="s">
        <v>78</v>
      </c>
      <c r="J2148" s="135">
        <v>1.0</v>
      </c>
      <c r="K2148" s="135" t="s">
        <v>3937</v>
      </c>
      <c r="L2148" s="135">
        <v>4375.0</v>
      </c>
      <c r="M2148" s="135">
        <v>3160.0</v>
      </c>
      <c r="N2148" s="135">
        <v>120.0</v>
      </c>
      <c r="O2148" s="135">
        <v>2.06</v>
      </c>
      <c r="P2148" s="136">
        <v>0.0</v>
      </c>
      <c r="Q2148" s="137">
        <v>5.15</v>
      </c>
      <c r="R2148" s="136">
        <v>46141.0</v>
      </c>
      <c r="S2148" s="135" t="s">
        <v>3924</v>
      </c>
      <c r="T2148" s="136"/>
      <c r="U2148" s="135" t="s">
        <v>2855</v>
      </c>
      <c r="V2148" s="135" t="s">
        <v>2878</v>
      </c>
      <c r="W2148" s="135">
        <v>1800.0</v>
      </c>
      <c r="X2148" s="135"/>
      <c r="Y2148" s="135"/>
      <c r="Z2148" s="135"/>
      <c r="AA2148" s="135"/>
      <c r="AB2148" s="135"/>
      <c r="AC2148" s="135"/>
      <c r="AD2148" s="135">
        <v>46158.0</v>
      </c>
      <c r="AE2148" s="135"/>
      <c r="AF2148" s="135"/>
      <c r="AG2148" s="135"/>
    </row>
    <row r="2149" ht="21.75" hidden="1" customHeight="1">
      <c r="A2149" s="135">
        <v>2145.0</v>
      </c>
      <c r="B2149" s="135">
        <v>25045.0</v>
      </c>
      <c r="C2149" s="135"/>
      <c r="D2149" s="135">
        <v>34.0</v>
      </c>
      <c r="E2149" s="135" t="s">
        <v>3929</v>
      </c>
      <c r="F2149" s="135" t="s">
        <v>1670</v>
      </c>
      <c r="G2149" s="135" t="s">
        <v>76</v>
      </c>
      <c r="H2149" s="135" t="s">
        <v>2853</v>
      </c>
      <c r="I2149" s="135" t="s">
        <v>78</v>
      </c>
      <c r="J2149" s="135">
        <v>1.0</v>
      </c>
      <c r="K2149" s="135"/>
      <c r="L2149" s="135">
        <v>4375.0</v>
      </c>
      <c r="M2149" s="135">
        <v>3160.0</v>
      </c>
      <c r="N2149" s="135">
        <v>120.0</v>
      </c>
      <c r="O2149" s="135">
        <v>1.72</v>
      </c>
      <c r="P2149" s="136">
        <v>0.0</v>
      </c>
      <c r="Q2149" s="137">
        <v>4.3</v>
      </c>
      <c r="R2149" s="136">
        <v>46141.0</v>
      </c>
      <c r="S2149" s="135" t="s">
        <v>3924</v>
      </c>
      <c r="T2149" s="136"/>
      <c r="U2149" s="135" t="s">
        <v>2864</v>
      </c>
      <c r="V2149" s="135" t="s">
        <v>2890</v>
      </c>
      <c r="W2149" s="135"/>
      <c r="X2149" s="135" t="s">
        <v>3920</v>
      </c>
      <c r="Y2149" s="135"/>
      <c r="Z2149" s="135"/>
      <c r="AA2149" s="135"/>
      <c r="AB2149" s="135"/>
      <c r="AC2149" s="135"/>
      <c r="AD2149" s="135">
        <v>0.0</v>
      </c>
      <c r="AE2149" s="135"/>
      <c r="AF2149" s="135"/>
      <c r="AG2149" s="135"/>
    </row>
    <row r="2150" ht="21.75" hidden="1" customHeight="1">
      <c r="A2150" s="135">
        <v>2146.0</v>
      </c>
      <c r="B2150" s="135">
        <v>25045.0</v>
      </c>
      <c r="C2150" s="135"/>
      <c r="D2150" s="135">
        <v>34.0</v>
      </c>
      <c r="E2150" s="135" t="s">
        <v>3929</v>
      </c>
      <c r="F2150" s="135" t="s">
        <v>1671</v>
      </c>
      <c r="G2150" s="135" t="s">
        <v>76</v>
      </c>
      <c r="H2150" s="135" t="s">
        <v>2853</v>
      </c>
      <c r="I2150" s="135" t="s">
        <v>78</v>
      </c>
      <c r="J2150" s="135">
        <v>1.0</v>
      </c>
      <c r="K2150" s="135"/>
      <c r="L2150" s="135">
        <v>1420.0</v>
      </c>
      <c r="M2150" s="135">
        <v>1325.0</v>
      </c>
      <c r="N2150" s="135">
        <v>120.0</v>
      </c>
      <c r="O2150" s="135">
        <v>0.354</v>
      </c>
      <c r="P2150" s="136">
        <v>0.0</v>
      </c>
      <c r="Q2150" s="137">
        <v>0.885</v>
      </c>
      <c r="R2150" s="136">
        <v>46141.0</v>
      </c>
      <c r="S2150" s="135" t="s">
        <v>3924</v>
      </c>
      <c r="T2150" s="136"/>
      <c r="U2150" s="135" t="s">
        <v>2864</v>
      </c>
      <c r="V2150" s="135" t="s">
        <v>2873</v>
      </c>
      <c r="W2150" s="135"/>
      <c r="X2150" s="135"/>
      <c r="Y2150" s="135"/>
      <c r="Z2150" s="135"/>
      <c r="AA2150" s="135"/>
      <c r="AB2150" s="135"/>
      <c r="AC2150" s="135"/>
      <c r="AD2150" s="135">
        <v>0.0</v>
      </c>
      <c r="AE2150" s="135"/>
      <c r="AF2150" s="135"/>
      <c r="AG2150" s="135"/>
    </row>
    <row r="2151" ht="21.75" hidden="1" customHeight="1">
      <c r="A2151" s="135">
        <v>2147.0</v>
      </c>
      <c r="B2151" s="135">
        <v>25045.0</v>
      </c>
      <c r="C2151" s="135"/>
      <c r="D2151" s="135">
        <v>34.0</v>
      </c>
      <c r="E2151" s="135" t="s">
        <v>3929</v>
      </c>
      <c r="F2151" s="135" t="s">
        <v>1672</v>
      </c>
      <c r="G2151" s="135" t="s">
        <v>76</v>
      </c>
      <c r="H2151" s="135" t="s">
        <v>2965</v>
      </c>
      <c r="I2151" s="135" t="s">
        <v>78</v>
      </c>
      <c r="J2151" s="135">
        <v>1.0</v>
      </c>
      <c r="K2151" s="135"/>
      <c r="L2151" s="135">
        <v>400.0</v>
      </c>
      <c r="M2151" s="135">
        <v>2950.0</v>
      </c>
      <c r="N2151" s="135">
        <v>350.0</v>
      </c>
      <c r="O2151" s="135">
        <v>0.549</v>
      </c>
      <c r="P2151" s="136">
        <v>0.0</v>
      </c>
      <c r="Q2151" s="137">
        <v>1.3725</v>
      </c>
      <c r="R2151" s="136">
        <v>46141.0</v>
      </c>
      <c r="S2151" s="135" t="s">
        <v>3924</v>
      </c>
      <c r="T2151" s="136"/>
      <c r="U2151" s="135" t="s">
        <v>2966</v>
      </c>
      <c r="V2151" s="135" t="s">
        <v>2967</v>
      </c>
      <c r="W2151" s="135"/>
      <c r="X2151" s="135"/>
      <c r="Y2151" s="135"/>
      <c r="Z2151" s="135"/>
      <c r="AA2151" s="135"/>
      <c r="AB2151" s="135"/>
      <c r="AC2151" s="135"/>
      <c r="AD2151" s="135">
        <v>0.0</v>
      </c>
      <c r="AE2151" s="135"/>
      <c r="AF2151" s="135"/>
      <c r="AG2151" s="135"/>
    </row>
    <row r="2152" ht="21.75" hidden="1" customHeight="1">
      <c r="A2152" s="135">
        <v>2148.0</v>
      </c>
      <c r="B2152" s="135">
        <v>25045.0</v>
      </c>
      <c r="C2152" s="135" t="s">
        <v>2817</v>
      </c>
      <c r="D2152" s="135">
        <v>34.0</v>
      </c>
      <c r="E2152" s="135" t="s">
        <v>3930</v>
      </c>
      <c r="F2152" s="135" t="s">
        <v>1676</v>
      </c>
      <c r="G2152" s="135" t="s">
        <v>76</v>
      </c>
      <c r="H2152" s="135" t="s">
        <v>2853</v>
      </c>
      <c r="I2152" s="135" t="s">
        <v>79</v>
      </c>
      <c r="J2152" s="135">
        <v>1.0</v>
      </c>
      <c r="K2152" s="135"/>
      <c r="L2152" s="135">
        <v>4588.0</v>
      </c>
      <c r="M2152" s="135">
        <v>4588.0</v>
      </c>
      <c r="N2152" s="135">
        <v>120.0</v>
      </c>
      <c r="O2152" s="135">
        <v>1.06</v>
      </c>
      <c r="P2152" s="136">
        <v>0.0</v>
      </c>
      <c r="Q2152" s="137">
        <v>2.6500000000000004</v>
      </c>
      <c r="R2152" s="136">
        <v>46141.0</v>
      </c>
      <c r="S2152" s="135" t="s">
        <v>3924</v>
      </c>
      <c r="T2152" s="136"/>
      <c r="U2152" s="135" t="s">
        <v>2855</v>
      </c>
      <c r="V2152" s="135" t="s">
        <v>2856</v>
      </c>
      <c r="W2152" s="135">
        <v>1800.0</v>
      </c>
      <c r="X2152" s="135" t="s">
        <v>3938</v>
      </c>
      <c r="Y2152" s="135"/>
      <c r="Z2152" s="135"/>
      <c r="AA2152" s="135"/>
      <c r="AB2152" s="135"/>
      <c r="AC2152" s="135"/>
      <c r="AD2152" s="135">
        <v>0.0</v>
      </c>
      <c r="AE2152" s="135"/>
      <c r="AF2152" s="135"/>
      <c r="AG2152" s="135"/>
    </row>
    <row r="2153" ht="21.75" hidden="1" customHeight="1">
      <c r="A2153" s="135">
        <v>2149.0</v>
      </c>
      <c r="B2153" s="135">
        <v>25045.0</v>
      </c>
      <c r="C2153" s="135"/>
      <c r="D2153" s="135">
        <v>34.0</v>
      </c>
      <c r="E2153" s="135" t="s">
        <v>3930</v>
      </c>
      <c r="F2153" s="135" t="s">
        <v>1677</v>
      </c>
      <c r="G2153" s="135" t="s">
        <v>76</v>
      </c>
      <c r="H2153" s="135" t="s">
        <v>2853</v>
      </c>
      <c r="I2153" s="135" t="s">
        <v>79</v>
      </c>
      <c r="J2153" s="135">
        <v>1.0</v>
      </c>
      <c r="K2153" s="135"/>
      <c r="L2153" s="135">
        <v>5015.0</v>
      </c>
      <c r="M2153" s="135">
        <v>3150.0</v>
      </c>
      <c r="N2153" s="135">
        <v>120.0</v>
      </c>
      <c r="O2153" s="135">
        <v>2.24</v>
      </c>
      <c r="P2153" s="136">
        <v>0.0</v>
      </c>
      <c r="Q2153" s="137">
        <v>5.6000000000000005</v>
      </c>
      <c r="R2153" s="136">
        <v>46141.0</v>
      </c>
      <c r="S2153" s="135" t="s">
        <v>3924</v>
      </c>
      <c r="T2153" s="136"/>
      <c r="U2153" s="135" t="s">
        <v>2855</v>
      </c>
      <c r="V2153" s="135" t="s">
        <v>2878</v>
      </c>
      <c r="W2153" s="135">
        <v>2500.0</v>
      </c>
      <c r="X2153" s="135"/>
      <c r="Y2153" s="135"/>
      <c r="Z2153" s="135"/>
      <c r="AA2153" s="135"/>
      <c r="AB2153" s="135"/>
      <c r="AC2153" s="135"/>
      <c r="AD2153" s="135">
        <v>0.0</v>
      </c>
      <c r="AE2153" s="135"/>
      <c r="AF2153" s="135"/>
      <c r="AG2153" s="135"/>
    </row>
    <row r="2154" ht="21.75" hidden="1" customHeight="1">
      <c r="A2154" s="135">
        <v>2150.0</v>
      </c>
      <c r="B2154" s="135">
        <v>25045.0</v>
      </c>
      <c r="C2154" s="135"/>
      <c r="D2154" s="135">
        <v>34.0</v>
      </c>
      <c r="E2154" s="135" t="s">
        <v>3930</v>
      </c>
      <c r="F2154" s="135" t="s">
        <v>1678</v>
      </c>
      <c r="G2154" s="135" t="s">
        <v>76</v>
      </c>
      <c r="H2154" s="135" t="s">
        <v>2853</v>
      </c>
      <c r="I2154" s="135" t="s">
        <v>79</v>
      </c>
      <c r="J2154" s="135">
        <v>1.0</v>
      </c>
      <c r="K2154" s="135" t="s">
        <v>3939</v>
      </c>
      <c r="L2154" s="135">
        <v>4655.0</v>
      </c>
      <c r="M2154" s="135">
        <v>3150.0</v>
      </c>
      <c r="N2154" s="135">
        <v>120.0</v>
      </c>
      <c r="O2154" s="135">
        <v>2.13</v>
      </c>
      <c r="P2154" s="136">
        <v>0.0</v>
      </c>
      <c r="Q2154" s="137">
        <v>5.324999999999999</v>
      </c>
      <c r="R2154" s="136">
        <v>46141.0</v>
      </c>
      <c r="S2154" s="135" t="s">
        <v>3924</v>
      </c>
      <c r="T2154" s="136"/>
      <c r="U2154" s="135" t="s">
        <v>2855</v>
      </c>
      <c r="V2154" s="135" t="s">
        <v>2878</v>
      </c>
      <c r="W2154" s="135">
        <v>1800.0</v>
      </c>
      <c r="X2154" s="135"/>
      <c r="Y2154" s="135"/>
      <c r="Z2154" s="135"/>
      <c r="AA2154" s="135"/>
      <c r="AB2154" s="135"/>
      <c r="AC2154" s="135"/>
      <c r="AD2154" s="135">
        <v>0.0</v>
      </c>
      <c r="AE2154" s="135"/>
      <c r="AF2154" s="135"/>
      <c r="AG2154" s="135"/>
    </row>
    <row r="2155" ht="21.75" hidden="1" customHeight="1">
      <c r="A2155" s="135">
        <v>2151.0</v>
      </c>
      <c r="B2155" s="135">
        <v>25045.0</v>
      </c>
      <c r="C2155" s="135"/>
      <c r="D2155" s="135">
        <v>34.0</v>
      </c>
      <c r="E2155" s="135" t="s">
        <v>3930</v>
      </c>
      <c r="F2155" s="135" t="s">
        <v>1679</v>
      </c>
      <c r="G2155" s="135" t="s">
        <v>76</v>
      </c>
      <c r="H2155" s="135" t="s">
        <v>2853</v>
      </c>
      <c r="I2155" s="135" t="s">
        <v>79</v>
      </c>
      <c r="J2155" s="135">
        <v>1.0</v>
      </c>
      <c r="K2155" s="135" t="s">
        <v>3939</v>
      </c>
      <c r="L2155" s="135">
        <v>4655.0</v>
      </c>
      <c r="M2155" s="135">
        <v>3150.0</v>
      </c>
      <c r="N2155" s="135">
        <v>120.0</v>
      </c>
      <c r="O2155" s="135">
        <v>2.13</v>
      </c>
      <c r="P2155" s="136">
        <v>0.0</v>
      </c>
      <c r="Q2155" s="137">
        <v>5.324999999999999</v>
      </c>
      <c r="R2155" s="136">
        <v>46141.0</v>
      </c>
      <c r="S2155" s="135" t="s">
        <v>3924</v>
      </c>
      <c r="T2155" s="136"/>
      <c r="U2155" s="135" t="s">
        <v>2855</v>
      </c>
      <c r="V2155" s="135" t="s">
        <v>2878</v>
      </c>
      <c r="W2155" s="135">
        <v>1800.0</v>
      </c>
      <c r="X2155" s="135"/>
      <c r="Y2155" s="135"/>
      <c r="Z2155" s="135"/>
      <c r="AA2155" s="135"/>
      <c r="AB2155" s="135"/>
      <c r="AC2155" s="135"/>
      <c r="AD2155" s="135">
        <v>0.0</v>
      </c>
      <c r="AE2155" s="135"/>
      <c r="AF2155" s="135"/>
      <c r="AG2155" s="135"/>
    </row>
    <row r="2156" ht="21.75" hidden="1" customHeight="1">
      <c r="A2156" s="135">
        <v>2152.0</v>
      </c>
      <c r="B2156" s="135">
        <v>25045.0</v>
      </c>
      <c r="C2156" s="135"/>
      <c r="D2156" s="135">
        <v>34.0</v>
      </c>
      <c r="E2156" s="135" t="s">
        <v>3930</v>
      </c>
      <c r="F2156" s="135" t="s">
        <v>1680</v>
      </c>
      <c r="G2156" s="135" t="s">
        <v>76</v>
      </c>
      <c r="H2156" s="135" t="s">
        <v>2853</v>
      </c>
      <c r="I2156" s="135" t="s">
        <v>79</v>
      </c>
      <c r="J2156" s="135">
        <v>1.0</v>
      </c>
      <c r="K2156" s="135" t="s">
        <v>3939</v>
      </c>
      <c r="L2156" s="135">
        <v>4655.0</v>
      </c>
      <c r="M2156" s="135">
        <v>3150.0</v>
      </c>
      <c r="N2156" s="135">
        <v>120.0</v>
      </c>
      <c r="O2156" s="135">
        <v>2.13</v>
      </c>
      <c r="P2156" s="136">
        <v>0.0</v>
      </c>
      <c r="Q2156" s="137">
        <v>5.324999999999999</v>
      </c>
      <c r="R2156" s="136">
        <v>46141.0</v>
      </c>
      <c r="S2156" s="135" t="s">
        <v>3924</v>
      </c>
      <c r="T2156" s="136"/>
      <c r="U2156" s="135" t="s">
        <v>2855</v>
      </c>
      <c r="V2156" s="135" t="s">
        <v>2878</v>
      </c>
      <c r="W2156" s="135">
        <v>1800.0</v>
      </c>
      <c r="X2156" s="135"/>
      <c r="Y2156" s="135"/>
      <c r="Z2156" s="135"/>
      <c r="AA2156" s="135"/>
      <c r="AB2156" s="135"/>
      <c r="AC2156" s="135"/>
      <c r="AD2156" s="135">
        <v>0.0</v>
      </c>
      <c r="AE2156" s="135"/>
      <c r="AF2156" s="135"/>
      <c r="AG2156" s="135"/>
    </row>
    <row r="2157" ht="21.75" hidden="1" customHeight="1">
      <c r="A2157" s="135">
        <v>2153.0</v>
      </c>
      <c r="B2157" s="135">
        <v>25045.0</v>
      </c>
      <c r="C2157" s="135"/>
      <c r="D2157" s="135">
        <v>34.0</v>
      </c>
      <c r="E2157" s="135" t="s">
        <v>3930</v>
      </c>
      <c r="F2157" s="135" t="s">
        <v>1681</v>
      </c>
      <c r="G2157" s="135" t="s">
        <v>76</v>
      </c>
      <c r="H2157" s="135" t="s">
        <v>2853</v>
      </c>
      <c r="I2157" s="135" t="s">
        <v>79</v>
      </c>
      <c r="J2157" s="135">
        <v>1.0</v>
      </c>
      <c r="K2157" s="135"/>
      <c r="L2157" s="135">
        <v>4655.0</v>
      </c>
      <c r="M2157" s="135">
        <v>3150.0</v>
      </c>
      <c r="N2157" s="135">
        <v>120.0</v>
      </c>
      <c r="O2157" s="135">
        <v>1.8</v>
      </c>
      <c r="P2157" s="136">
        <v>0.0</v>
      </c>
      <c r="Q2157" s="137">
        <v>4.5</v>
      </c>
      <c r="R2157" s="136">
        <v>46141.0</v>
      </c>
      <c r="S2157" s="135" t="s">
        <v>3924</v>
      </c>
      <c r="T2157" s="136"/>
      <c r="U2157" s="135" t="s">
        <v>2864</v>
      </c>
      <c r="V2157" s="135" t="s">
        <v>2890</v>
      </c>
      <c r="W2157" s="135"/>
      <c r="X2157" s="135" t="s">
        <v>3927</v>
      </c>
      <c r="Y2157" s="135"/>
      <c r="Z2157" s="135"/>
      <c r="AA2157" s="135"/>
      <c r="AB2157" s="135"/>
      <c r="AC2157" s="135"/>
      <c r="AD2157" s="135">
        <v>0.0</v>
      </c>
      <c r="AE2157" s="135"/>
      <c r="AF2157" s="135"/>
      <c r="AG2157" s="135"/>
    </row>
    <row r="2158" ht="21.75" hidden="1" customHeight="1">
      <c r="A2158" s="135">
        <v>2154.0</v>
      </c>
      <c r="B2158" s="135">
        <v>25045.0</v>
      </c>
      <c r="C2158" s="135"/>
      <c r="D2158" s="135">
        <v>34.0</v>
      </c>
      <c r="E2158" s="135" t="s">
        <v>3930</v>
      </c>
      <c r="F2158" s="135" t="s">
        <v>1682</v>
      </c>
      <c r="G2158" s="135" t="s">
        <v>76</v>
      </c>
      <c r="H2158" s="135" t="s">
        <v>2853</v>
      </c>
      <c r="I2158" s="135" t="s">
        <v>79</v>
      </c>
      <c r="J2158" s="135">
        <v>1.0</v>
      </c>
      <c r="K2158" s="135"/>
      <c r="L2158" s="135">
        <v>4887.0</v>
      </c>
      <c r="M2158" s="135">
        <v>3200.0</v>
      </c>
      <c r="N2158" s="135">
        <v>120.0</v>
      </c>
      <c r="O2158" s="135">
        <v>2.23</v>
      </c>
      <c r="P2158" s="136">
        <v>0.0</v>
      </c>
      <c r="Q2158" s="137">
        <v>5.575</v>
      </c>
      <c r="R2158" s="136">
        <v>46141.0</v>
      </c>
      <c r="S2158" s="135" t="s">
        <v>3924</v>
      </c>
      <c r="T2158" s="136"/>
      <c r="U2158" s="135" t="s">
        <v>2855</v>
      </c>
      <c r="V2158" s="135" t="s">
        <v>2878</v>
      </c>
      <c r="W2158" s="135">
        <v>1800.0</v>
      </c>
      <c r="X2158" s="135"/>
      <c r="Y2158" s="135"/>
      <c r="Z2158" s="135"/>
      <c r="AA2158" s="135"/>
      <c r="AB2158" s="135"/>
      <c r="AC2158" s="135"/>
      <c r="AD2158" s="135">
        <v>0.0</v>
      </c>
      <c r="AE2158" s="135"/>
      <c r="AF2158" s="135"/>
      <c r="AG2158" s="135"/>
    </row>
    <row r="2159" ht="21.75" hidden="1" customHeight="1">
      <c r="A2159" s="135">
        <v>2155.0</v>
      </c>
      <c r="B2159" s="135">
        <v>25045.0</v>
      </c>
      <c r="C2159" s="135"/>
      <c r="D2159" s="135">
        <v>34.0</v>
      </c>
      <c r="E2159" s="135" t="s">
        <v>3930</v>
      </c>
      <c r="F2159" s="135" t="s">
        <v>1683</v>
      </c>
      <c r="G2159" s="135" t="s">
        <v>76</v>
      </c>
      <c r="H2159" s="135" t="s">
        <v>2853</v>
      </c>
      <c r="I2159" s="135" t="s">
        <v>79</v>
      </c>
      <c r="J2159" s="135">
        <v>1.0</v>
      </c>
      <c r="K2159" s="135" t="s">
        <v>3940</v>
      </c>
      <c r="L2159" s="135">
        <v>4487.0</v>
      </c>
      <c r="M2159" s="135">
        <v>3200.0</v>
      </c>
      <c r="N2159" s="135">
        <v>120.0</v>
      </c>
      <c r="O2159" s="135">
        <v>2.11</v>
      </c>
      <c r="P2159" s="136">
        <v>0.0</v>
      </c>
      <c r="Q2159" s="137">
        <v>5.2749999999999995</v>
      </c>
      <c r="R2159" s="136">
        <v>46141.0</v>
      </c>
      <c r="S2159" s="135" t="s">
        <v>3924</v>
      </c>
      <c r="T2159" s="136"/>
      <c r="U2159" s="135" t="s">
        <v>2855</v>
      </c>
      <c r="V2159" s="135" t="s">
        <v>2878</v>
      </c>
      <c r="W2159" s="135">
        <v>1800.0</v>
      </c>
      <c r="X2159" s="135"/>
      <c r="Y2159" s="135"/>
      <c r="Z2159" s="135"/>
      <c r="AA2159" s="135"/>
      <c r="AB2159" s="135"/>
      <c r="AC2159" s="135"/>
      <c r="AD2159" s="135">
        <v>0.0</v>
      </c>
      <c r="AE2159" s="135"/>
      <c r="AF2159" s="135"/>
      <c r="AG2159" s="135"/>
    </row>
    <row r="2160" ht="21.75" hidden="1" customHeight="1">
      <c r="A2160" s="135">
        <v>2156.0</v>
      </c>
      <c r="B2160" s="135">
        <v>25045.0</v>
      </c>
      <c r="C2160" s="135"/>
      <c r="D2160" s="135">
        <v>34.0</v>
      </c>
      <c r="E2160" s="135" t="s">
        <v>3930</v>
      </c>
      <c r="F2160" s="135" t="s">
        <v>1684</v>
      </c>
      <c r="G2160" s="135" t="s">
        <v>76</v>
      </c>
      <c r="H2160" s="135" t="s">
        <v>2853</v>
      </c>
      <c r="I2160" s="135" t="s">
        <v>79</v>
      </c>
      <c r="J2160" s="135">
        <v>1.0</v>
      </c>
      <c r="K2160" s="135" t="s">
        <v>3940</v>
      </c>
      <c r="L2160" s="135">
        <v>4487.0</v>
      </c>
      <c r="M2160" s="135">
        <v>3200.0</v>
      </c>
      <c r="N2160" s="135">
        <v>120.0</v>
      </c>
      <c r="O2160" s="135">
        <v>2.11</v>
      </c>
      <c r="P2160" s="136">
        <v>0.0</v>
      </c>
      <c r="Q2160" s="137">
        <v>5.2749999999999995</v>
      </c>
      <c r="R2160" s="136">
        <v>46141.0</v>
      </c>
      <c r="S2160" s="135" t="s">
        <v>3924</v>
      </c>
      <c r="T2160" s="136"/>
      <c r="U2160" s="135" t="s">
        <v>2855</v>
      </c>
      <c r="V2160" s="135" t="s">
        <v>2878</v>
      </c>
      <c r="W2160" s="135">
        <v>1800.0</v>
      </c>
      <c r="X2160" s="135"/>
      <c r="Y2160" s="135"/>
      <c r="Z2160" s="135"/>
      <c r="AA2160" s="135"/>
      <c r="AB2160" s="135"/>
      <c r="AC2160" s="135"/>
      <c r="AD2160" s="135">
        <v>0.0</v>
      </c>
      <c r="AE2160" s="135"/>
      <c r="AF2160" s="135"/>
      <c r="AG2160" s="135"/>
    </row>
    <row r="2161" ht="21.75" hidden="1" customHeight="1">
      <c r="A2161" s="135">
        <v>2157.0</v>
      </c>
      <c r="B2161" s="135">
        <v>25045.0</v>
      </c>
      <c r="C2161" s="135"/>
      <c r="D2161" s="135">
        <v>34.0</v>
      </c>
      <c r="E2161" s="135" t="s">
        <v>3930</v>
      </c>
      <c r="F2161" s="135" t="s">
        <v>1685</v>
      </c>
      <c r="G2161" s="135" t="s">
        <v>76</v>
      </c>
      <c r="H2161" s="135" t="s">
        <v>2853</v>
      </c>
      <c r="I2161" s="135" t="s">
        <v>79</v>
      </c>
      <c r="J2161" s="135">
        <v>1.0</v>
      </c>
      <c r="K2161" s="135" t="s">
        <v>3940</v>
      </c>
      <c r="L2161" s="135">
        <v>4487.0</v>
      </c>
      <c r="M2161" s="135">
        <v>3200.0</v>
      </c>
      <c r="N2161" s="135">
        <v>120.0</v>
      </c>
      <c r="O2161" s="135">
        <v>2.11</v>
      </c>
      <c r="P2161" s="136">
        <v>0.0</v>
      </c>
      <c r="Q2161" s="137">
        <v>5.2749999999999995</v>
      </c>
      <c r="R2161" s="136">
        <v>46141.0</v>
      </c>
      <c r="S2161" s="135" t="s">
        <v>3924</v>
      </c>
      <c r="T2161" s="136"/>
      <c r="U2161" s="135" t="s">
        <v>2855</v>
      </c>
      <c r="V2161" s="135" t="s">
        <v>2878</v>
      </c>
      <c r="W2161" s="135">
        <v>1800.0</v>
      </c>
      <c r="X2161" s="135"/>
      <c r="Y2161" s="135"/>
      <c r="Z2161" s="135"/>
      <c r="AA2161" s="135"/>
      <c r="AB2161" s="135"/>
      <c r="AC2161" s="135"/>
      <c r="AD2161" s="135">
        <v>0.0</v>
      </c>
      <c r="AE2161" s="135"/>
      <c r="AF2161" s="135"/>
      <c r="AG2161" s="135"/>
    </row>
    <row r="2162" ht="21.75" hidden="1" customHeight="1">
      <c r="A2162" s="135">
        <v>2158.0</v>
      </c>
      <c r="B2162" s="135">
        <v>25045.0</v>
      </c>
      <c r="C2162" s="135"/>
      <c r="D2162" s="135">
        <v>34.0</v>
      </c>
      <c r="E2162" s="135" t="s">
        <v>3930</v>
      </c>
      <c r="F2162" s="135" t="s">
        <v>1686</v>
      </c>
      <c r="G2162" s="135" t="s">
        <v>76</v>
      </c>
      <c r="H2162" s="135" t="s">
        <v>2853</v>
      </c>
      <c r="I2162" s="135" t="s">
        <v>79</v>
      </c>
      <c r="J2162" s="135">
        <v>1.0</v>
      </c>
      <c r="K2162" s="135"/>
      <c r="L2162" s="135">
        <v>4487.0</v>
      </c>
      <c r="M2162" s="135">
        <v>3200.0</v>
      </c>
      <c r="N2162" s="135">
        <v>120.0</v>
      </c>
      <c r="O2162" s="135">
        <v>1.77</v>
      </c>
      <c r="P2162" s="136">
        <v>0.0</v>
      </c>
      <c r="Q2162" s="137">
        <v>4.425</v>
      </c>
      <c r="R2162" s="136">
        <v>46141.0</v>
      </c>
      <c r="S2162" s="135" t="s">
        <v>3924</v>
      </c>
      <c r="T2162" s="136"/>
      <c r="U2162" s="135" t="s">
        <v>2864</v>
      </c>
      <c r="V2162" s="135" t="s">
        <v>2890</v>
      </c>
      <c r="W2162" s="135"/>
      <c r="X2162" s="135" t="s">
        <v>3920</v>
      </c>
      <c r="Y2162" s="135"/>
      <c r="Z2162" s="135"/>
      <c r="AA2162" s="135"/>
      <c r="AB2162" s="135"/>
      <c r="AC2162" s="135"/>
      <c r="AD2162" s="135">
        <v>0.0</v>
      </c>
      <c r="AE2162" s="135"/>
      <c r="AF2162" s="135"/>
      <c r="AG2162" s="135"/>
    </row>
    <row r="2163" ht="21.75" hidden="1" customHeight="1">
      <c r="A2163" s="135">
        <v>2159.0</v>
      </c>
      <c r="B2163" s="135">
        <v>25045.0</v>
      </c>
      <c r="C2163" s="135"/>
      <c r="D2163" s="135">
        <v>34.0</v>
      </c>
      <c r="E2163" s="135" t="s">
        <v>3930</v>
      </c>
      <c r="F2163" s="135" t="s">
        <v>1687</v>
      </c>
      <c r="G2163" s="135" t="s">
        <v>76</v>
      </c>
      <c r="H2163" s="135" t="s">
        <v>2853</v>
      </c>
      <c r="I2163" s="135" t="s">
        <v>79</v>
      </c>
      <c r="J2163" s="135">
        <v>1.0</v>
      </c>
      <c r="K2163" s="135"/>
      <c r="L2163" s="135">
        <v>1420.0</v>
      </c>
      <c r="M2163" s="135">
        <v>1275.0</v>
      </c>
      <c r="N2163" s="135">
        <v>120.0</v>
      </c>
      <c r="O2163" s="135">
        <v>0.35</v>
      </c>
      <c r="P2163" s="136">
        <v>0.0</v>
      </c>
      <c r="Q2163" s="137">
        <v>0.875</v>
      </c>
      <c r="R2163" s="136">
        <v>46141.0</v>
      </c>
      <c r="S2163" s="135" t="s">
        <v>3924</v>
      </c>
      <c r="T2163" s="136"/>
      <c r="U2163" s="135" t="s">
        <v>2864</v>
      </c>
      <c r="V2163" s="135" t="s">
        <v>2873</v>
      </c>
      <c r="W2163" s="135"/>
      <c r="X2163" s="135"/>
      <c r="Y2163" s="135"/>
      <c r="Z2163" s="135"/>
      <c r="AA2163" s="135"/>
      <c r="AB2163" s="135"/>
      <c r="AC2163" s="135"/>
      <c r="AD2163" s="135">
        <v>0.0</v>
      </c>
      <c r="AE2163" s="135"/>
      <c r="AF2163" s="135"/>
      <c r="AG2163" s="135"/>
    </row>
    <row r="2164" ht="21.75" hidden="1" customHeight="1">
      <c r="A2164" s="135">
        <v>2160.0</v>
      </c>
      <c r="B2164" s="135">
        <v>25045.0</v>
      </c>
      <c r="C2164" s="135"/>
      <c r="D2164" s="135">
        <v>34.0</v>
      </c>
      <c r="E2164" s="135" t="s">
        <v>3930</v>
      </c>
      <c r="F2164" s="135" t="s">
        <v>1688</v>
      </c>
      <c r="G2164" s="135" t="s">
        <v>76</v>
      </c>
      <c r="H2164" s="135" t="s">
        <v>2965</v>
      </c>
      <c r="I2164" s="135" t="s">
        <v>79</v>
      </c>
      <c r="J2164" s="135">
        <v>1.0</v>
      </c>
      <c r="K2164" s="135"/>
      <c r="L2164" s="135">
        <v>400.0</v>
      </c>
      <c r="M2164" s="135">
        <v>2900.0</v>
      </c>
      <c r="N2164" s="135">
        <v>350.0</v>
      </c>
      <c r="O2164" s="135">
        <v>0.54</v>
      </c>
      <c r="P2164" s="136">
        <v>0.0</v>
      </c>
      <c r="Q2164" s="137">
        <v>1.35</v>
      </c>
      <c r="R2164" s="136">
        <v>46141.0</v>
      </c>
      <c r="S2164" s="135" t="s">
        <v>3924</v>
      </c>
      <c r="T2164" s="136"/>
      <c r="U2164" s="135" t="s">
        <v>2966</v>
      </c>
      <c r="V2164" s="135" t="s">
        <v>2967</v>
      </c>
      <c r="W2164" s="135"/>
      <c r="X2164" s="135"/>
      <c r="Y2164" s="135"/>
      <c r="Z2164" s="135"/>
      <c r="AA2164" s="135"/>
      <c r="AB2164" s="135"/>
      <c r="AC2164" s="135"/>
      <c r="AD2164" s="135">
        <v>0.0</v>
      </c>
      <c r="AE2164" s="135"/>
      <c r="AF2164" s="135"/>
      <c r="AG2164" s="135"/>
    </row>
    <row r="2165" ht="21.75" hidden="1" customHeight="1">
      <c r="A2165" s="135">
        <v>2161.0</v>
      </c>
      <c r="B2165" s="135">
        <v>25045.0</v>
      </c>
      <c r="C2165" s="135" t="s">
        <v>2817</v>
      </c>
      <c r="D2165" s="135">
        <v>34.0</v>
      </c>
      <c r="E2165" s="135" t="s">
        <v>3931</v>
      </c>
      <c r="F2165" s="135" t="s">
        <v>1690</v>
      </c>
      <c r="G2165" s="135" t="s">
        <v>76</v>
      </c>
      <c r="H2165" s="135" t="s">
        <v>2853</v>
      </c>
      <c r="I2165" s="135" t="s">
        <v>80</v>
      </c>
      <c r="J2165" s="135">
        <v>1.0</v>
      </c>
      <c r="K2165" s="135"/>
      <c r="L2165" s="135">
        <v>5460.0</v>
      </c>
      <c r="M2165" s="135">
        <v>3200.0</v>
      </c>
      <c r="N2165" s="135">
        <v>120.0</v>
      </c>
      <c r="O2165" s="135">
        <v>1.13</v>
      </c>
      <c r="P2165" s="136">
        <v>0.0</v>
      </c>
      <c r="Q2165" s="137">
        <v>2.8249999999999997</v>
      </c>
      <c r="R2165" s="136">
        <v>46141.0</v>
      </c>
      <c r="S2165" s="135" t="s">
        <v>3924</v>
      </c>
      <c r="T2165" s="136"/>
      <c r="U2165" s="135" t="s">
        <v>2855</v>
      </c>
      <c r="V2165" s="135" t="s">
        <v>2856</v>
      </c>
      <c r="W2165" s="135">
        <v>2500.0</v>
      </c>
      <c r="X2165" s="135" t="s">
        <v>3941</v>
      </c>
      <c r="Y2165" s="135"/>
      <c r="Z2165" s="135"/>
      <c r="AA2165" s="135"/>
      <c r="AB2165" s="135"/>
      <c r="AC2165" s="135"/>
      <c r="AD2165" s="135">
        <v>0.0</v>
      </c>
      <c r="AE2165" s="135"/>
      <c r="AF2165" s="135"/>
      <c r="AG2165" s="135"/>
    </row>
    <row r="2166" ht="21.75" hidden="1" customHeight="1">
      <c r="A2166" s="135">
        <v>2162.0</v>
      </c>
      <c r="B2166" s="135">
        <v>25045.0</v>
      </c>
      <c r="C2166" s="135" t="s">
        <v>2817</v>
      </c>
      <c r="D2166" s="135">
        <v>34.0</v>
      </c>
      <c r="E2166" s="135" t="s">
        <v>3931</v>
      </c>
      <c r="F2166" s="135" t="s">
        <v>1691</v>
      </c>
      <c r="G2166" s="135" t="s">
        <v>76</v>
      </c>
      <c r="H2166" s="135" t="s">
        <v>2853</v>
      </c>
      <c r="I2166" s="135" t="s">
        <v>80</v>
      </c>
      <c r="J2166" s="135">
        <v>1.0</v>
      </c>
      <c r="K2166" s="135" t="s">
        <v>3942</v>
      </c>
      <c r="L2166" s="135">
        <v>5460.0</v>
      </c>
      <c r="M2166" s="135">
        <v>1350.0</v>
      </c>
      <c r="N2166" s="135">
        <v>120.0</v>
      </c>
      <c r="O2166" s="135">
        <v>1.01</v>
      </c>
      <c r="P2166" s="136">
        <v>0.0</v>
      </c>
      <c r="Q2166" s="137">
        <v>2.525</v>
      </c>
      <c r="R2166" s="136">
        <v>46141.0</v>
      </c>
      <c r="S2166" s="135" t="s">
        <v>3924</v>
      </c>
      <c r="T2166" s="136"/>
      <c r="U2166" s="135" t="s">
        <v>2855</v>
      </c>
      <c r="V2166" s="135" t="s">
        <v>2856</v>
      </c>
      <c r="W2166" s="135">
        <v>1800.0</v>
      </c>
      <c r="X2166" s="135"/>
      <c r="Y2166" s="135"/>
      <c r="Z2166" s="135"/>
      <c r="AA2166" s="135"/>
      <c r="AB2166" s="135"/>
      <c r="AC2166" s="135"/>
      <c r="AD2166" s="135">
        <v>0.0</v>
      </c>
      <c r="AE2166" s="135"/>
      <c r="AF2166" s="135"/>
      <c r="AG2166" s="135"/>
    </row>
    <row r="2167" ht="21.75" hidden="1" customHeight="1">
      <c r="A2167" s="135">
        <v>2163.0</v>
      </c>
      <c r="B2167" s="135">
        <v>25045.0</v>
      </c>
      <c r="C2167" s="135" t="s">
        <v>2817</v>
      </c>
      <c r="D2167" s="135">
        <v>34.0</v>
      </c>
      <c r="E2167" s="135" t="s">
        <v>3931</v>
      </c>
      <c r="F2167" s="135" t="s">
        <v>1692</v>
      </c>
      <c r="G2167" s="135" t="s">
        <v>76</v>
      </c>
      <c r="H2167" s="135" t="s">
        <v>2853</v>
      </c>
      <c r="I2167" s="135" t="s">
        <v>80</v>
      </c>
      <c r="J2167" s="135">
        <v>1.0</v>
      </c>
      <c r="K2167" s="135" t="s">
        <v>3942</v>
      </c>
      <c r="L2167" s="135">
        <v>5460.0</v>
      </c>
      <c r="M2167" s="135">
        <v>1350.0</v>
      </c>
      <c r="N2167" s="135">
        <v>120.0</v>
      </c>
      <c r="O2167" s="135">
        <v>1.01</v>
      </c>
      <c r="P2167" s="136">
        <v>0.0</v>
      </c>
      <c r="Q2167" s="137">
        <v>2.525</v>
      </c>
      <c r="R2167" s="136">
        <v>46141.0</v>
      </c>
      <c r="S2167" s="135" t="s">
        <v>3924</v>
      </c>
      <c r="T2167" s="136"/>
      <c r="U2167" s="135" t="s">
        <v>2855</v>
      </c>
      <c r="V2167" s="135" t="s">
        <v>2856</v>
      </c>
      <c r="W2167" s="135">
        <v>1800.0</v>
      </c>
      <c r="X2167" s="135"/>
      <c r="Y2167" s="135"/>
      <c r="Z2167" s="135"/>
      <c r="AA2167" s="135"/>
      <c r="AB2167" s="135"/>
      <c r="AC2167" s="135"/>
      <c r="AD2167" s="135">
        <v>0.0</v>
      </c>
      <c r="AE2167" s="135"/>
      <c r="AF2167" s="135"/>
      <c r="AG2167" s="135"/>
    </row>
    <row r="2168" ht="21.75" hidden="1" customHeight="1">
      <c r="A2168" s="135">
        <v>2164.0</v>
      </c>
      <c r="B2168" s="135">
        <v>25045.0</v>
      </c>
      <c r="C2168" s="135"/>
      <c r="D2168" s="135">
        <v>34.0</v>
      </c>
      <c r="E2168" s="135" t="s">
        <v>3931</v>
      </c>
      <c r="F2168" s="135" t="s">
        <v>1693</v>
      </c>
      <c r="G2168" s="135" t="s">
        <v>76</v>
      </c>
      <c r="H2168" s="135" t="s">
        <v>2853</v>
      </c>
      <c r="I2168" s="135" t="s">
        <v>80</v>
      </c>
      <c r="J2168" s="135">
        <v>1.0</v>
      </c>
      <c r="K2168" s="135"/>
      <c r="L2168" s="135">
        <v>5015.0</v>
      </c>
      <c r="M2168" s="135">
        <v>3360.0</v>
      </c>
      <c r="N2168" s="135">
        <v>120.0</v>
      </c>
      <c r="O2168" s="135">
        <v>2.36</v>
      </c>
      <c r="P2168" s="136">
        <v>0.0</v>
      </c>
      <c r="Q2168" s="137">
        <v>5.8999999999999995</v>
      </c>
      <c r="R2168" s="136">
        <v>46141.0</v>
      </c>
      <c r="S2168" s="135" t="s">
        <v>3924</v>
      </c>
      <c r="T2168" s="136"/>
      <c r="U2168" s="135" t="s">
        <v>2855</v>
      </c>
      <c r="V2168" s="135" t="s">
        <v>2878</v>
      </c>
      <c r="W2168" s="135">
        <v>2500.0</v>
      </c>
      <c r="X2168" s="135"/>
      <c r="Y2168" s="135"/>
      <c r="Z2168" s="135"/>
      <c r="AA2168" s="135"/>
      <c r="AB2168" s="135"/>
      <c r="AC2168" s="135"/>
      <c r="AD2168" s="135">
        <v>0.0</v>
      </c>
      <c r="AE2168" s="135"/>
      <c r="AF2168" s="135"/>
      <c r="AG2168" s="135"/>
    </row>
    <row r="2169" ht="21.75" hidden="1" customHeight="1">
      <c r="A2169" s="135">
        <v>2165.0</v>
      </c>
      <c r="B2169" s="135">
        <v>25045.0</v>
      </c>
      <c r="C2169" s="135"/>
      <c r="D2169" s="135">
        <v>34.0</v>
      </c>
      <c r="E2169" s="135" t="s">
        <v>3931</v>
      </c>
      <c r="F2169" s="135" t="s">
        <v>1694</v>
      </c>
      <c r="G2169" s="135" t="s">
        <v>76</v>
      </c>
      <c r="H2169" s="135" t="s">
        <v>2853</v>
      </c>
      <c r="I2169" s="135" t="s">
        <v>80</v>
      </c>
      <c r="J2169" s="135">
        <v>1.0</v>
      </c>
      <c r="K2169" s="135" t="s">
        <v>3943</v>
      </c>
      <c r="L2169" s="135">
        <v>4580.0</v>
      </c>
      <c r="M2169" s="135">
        <v>3360.0</v>
      </c>
      <c r="N2169" s="135">
        <v>120.0</v>
      </c>
      <c r="O2169" s="135">
        <v>2.23</v>
      </c>
      <c r="P2169" s="136">
        <v>0.0</v>
      </c>
      <c r="Q2169" s="137">
        <v>5.575</v>
      </c>
      <c r="R2169" s="136">
        <v>46141.0</v>
      </c>
      <c r="S2169" s="135" t="s">
        <v>3924</v>
      </c>
      <c r="T2169" s="136"/>
      <c r="U2169" s="135" t="s">
        <v>2855</v>
      </c>
      <c r="V2169" s="135" t="s">
        <v>2878</v>
      </c>
      <c r="W2169" s="135">
        <v>1800.0</v>
      </c>
      <c r="X2169" s="135"/>
      <c r="Y2169" s="135"/>
      <c r="Z2169" s="135"/>
      <c r="AA2169" s="135"/>
      <c r="AB2169" s="135"/>
      <c r="AC2169" s="135"/>
      <c r="AD2169" s="135">
        <v>46150.0</v>
      </c>
      <c r="AE2169" s="135"/>
      <c r="AF2169" s="135"/>
      <c r="AG2169" s="135"/>
    </row>
    <row r="2170" ht="21.75" hidden="1" customHeight="1">
      <c r="A2170" s="135">
        <v>2166.0</v>
      </c>
      <c r="B2170" s="135">
        <v>25045.0</v>
      </c>
      <c r="C2170" s="135"/>
      <c r="D2170" s="135">
        <v>34.0</v>
      </c>
      <c r="E2170" s="135" t="s">
        <v>3931</v>
      </c>
      <c r="F2170" s="135" t="s">
        <v>1695</v>
      </c>
      <c r="G2170" s="135" t="s">
        <v>76</v>
      </c>
      <c r="H2170" s="135" t="s">
        <v>2853</v>
      </c>
      <c r="I2170" s="135" t="s">
        <v>80</v>
      </c>
      <c r="J2170" s="135">
        <v>1.0</v>
      </c>
      <c r="K2170" s="135" t="s">
        <v>3943</v>
      </c>
      <c r="L2170" s="135">
        <v>4580.0</v>
      </c>
      <c r="M2170" s="135">
        <v>3360.0</v>
      </c>
      <c r="N2170" s="135">
        <v>120.0</v>
      </c>
      <c r="O2170" s="135">
        <v>2.23</v>
      </c>
      <c r="P2170" s="136">
        <v>0.0</v>
      </c>
      <c r="Q2170" s="137">
        <v>5.575</v>
      </c>
      <c r="R2170" s="136">
        <v>46141.0</v>
      </c>
      <c r="S2170" s="135" t="s">
        <v>3924</v>
      </c>
      <c r="T2170" s="136"/>
      <c r="U2170" s="135" t="s">
        <v>2855</v>
      </c>
      <c r="V2170" s="135" t="s">
        <v>2878</v>
      </c>
      <c r="W2170" s="135">
        <v>1800.0</v>
      </c>
      <c r="X2170" s="135"/>
      <c r="Y2170" s="135"/>
      <c r="Z2170" s="135"/>
      <c r="AA2170" s="135"/>
      <c r="AB2170" s="135"/>
      <c r="AC2170" s="135"/>
      <c r="AD2170" s="135">
        <v>46151.0</v>
      </c>
      <c r="AE2170" s="135"/>
      <c r="AF2170" s="135"/>
      <c r="AG2170" s="135"/>
    </row>
    <row r="2171" ht="21.75" hidden="1" customHeight="1">
      <c r="A2171" s="135">
        <v>2167.0</v>
      </c>
      <c r="B2171" s="135">
        <v>25045.0</v>
      </c>
      <c r="C2171" s="135"/>
      <c r="D2171" s="135">
        <v>34.0</v>
      </c>
      <c r="E2171" s="135" t="s">
        <v>3931</v>
      </c>
      <c r="F2171" s="135" t="s">
        <v>1696</v>
      </c>
      <c r="G2171" s="135" t="s">
        <v>76</v>
      </c>
      <c r="H2171" s="135" t="s">
        <v>2853</v>
      </c>
      <c r="I2171" s="135" t="s">
        <v>80</v>
      </c>
      <c r="J2171" s="135">
        <v>1.0</v>
      </c>
      <c r="K2171" s="135" t="s">
        <v>3943</v>
      </c>
      <c r="L2171" s="135">
        <v>4580.0</v>
      </c>
      <c r="M2171" s="135">
        <v>3360.0</v>
      </c>
      <c r="N2171" s="135">
        <v>120.0</v>
      </c>
      <c r="O2171" s="135">
        <v>2.23</v>
      </c>
      <c r="P2171" s="136">
        <v>0.0</v>
      </c>
      <c r="Q2171" s="137">
        <v>5.575</v>
      </c>
      <c r="R2171" s="136">
        <v>46141.0</v>
      </c>
      <c r="S2171" s="135" t="s">
        <v>3924</v>
      </c>
      <c r="T2171" s="136"/>
      <c r="U2171" s="135" t="s">
        <v>2855</v>
      </c>
      <c r="V2171" s="135" t="s">
        <v>2878</v>
      </c>
      <c r="W2171" s="135">
        <v>1800.0</v>
      </c>
      <c r="X2171" s="135"/>
      <c r="Y2171" s="135"/>
      <c r="Z2171" s="135"/>
      <c r="AA2171" s="135"/>
      <c r="AB2171" s="135"/>
      <c r="AC2171" s="135"/>
      <c r="AD2171" s="135">
        <v>46155.0</v>
      </c>
      <c r="AE2171" s="135"/>
      <c r="AF2171" s="135"/>
      <c r="AG2171" s="135"/>
    </row>
    <row r="2172" ht="21.75" hidden="1" customHeight="1">
      <c r="A2172" s="135">
        <v>2168.0</v>
      </c>
      <c r="B2172" s="135">
        <v>25045.0</v>
      </c>
      <c r="C2172" s="135"/>
      <c r="D2172" s="135">
        <v>34.0</v>
      </c>
      <c r="E2172" s="135" t="s">
        <v>3931</v>
      </c>
      <c r="F2172" s="135" t="s">
        <v>1697</v>
      </c>
      <c r="G2172" s="135" t="s">
        <v>76</v>
      </c>
      <c r="H2172" s="135" t="s">
        <v>2853</v>
      </c>
      <c r="I2172" s="135" t="s">
        <v>80</v>
      </c>
      <c r="J2172" s="135">
        <v>1.0</v>
      </c>
      <c r="K2172" s="135"/>
      <c r="L2172" s="135">
        <v>4580.0</v>
      </c>
      <c r="M2172" s="135">
        <v>3360.0</v>
      </c>
      <c r="N2172" s="135">
        <v>120.0</v>
      </c>
      <c r="O2172" s="135">
        <v>1.89</v>
      </c>
      <c r="P2172" s="136">
        <v>0.0</v>
      </c>
      <c r="Q2172" s="137">
        <v>4.725</v>
      </c>
      <c r="R2172" s="136">
        <v>46141.0</v>
      </c>
      <c r="S2172" s="135" t="s">
        <v>3924</v>
      </c>
      <c r="T2172" s="136"/>
      <c r="U2172" s="135" t="s">
        <v>2864</v>
      </c>
      <c r="V2172" s="135" t="s">
        <v>2890</v>
      </c>
      <c r="W2172" s="135"/>
      <c r="X2172" s="135" t="s">
        <v>3927</v>
      </c>
      <c r="Y2172" s="135"/>
      <c r="Z2172" s="135"/>
      <c r="AA2172" s="135"/>
      <c r="AB2172" s="135"/>
      <c r="AC2172" s="135"/>
      <c r="AD2172" s="135">
        <v>0.0</v>
      </c>
      <c r="AE2172" s="135"/>
      <c r="AF2172" s="135"/>
      <c r="AG2172" s="135"/>
    </row>
    <row r="2173" ht="21.75" hidden="1" customHeight="1">
      <c r="A2173" s="135">
        <v>2169.0</v>
      </c>
      <c r="B2173" s="135">
        <v>25045.0</v>
      </c>
      <c r="C2173" s="135"/>
      <c r="D2173" s="135">
        <v>34.0</v>
      </c>
      <c r="E2173" s="135" t="s">
        <v>3931</v>
      </c>
      <c r="F2173" s="135" t="s">
        <v>1698</v>
      </c>
      <c r="G2173" s="135" t="s">
        <v>76</v>
      </c>
      <c r="H2173" s="135" t="s">
        <v>2853</v>
      </c>
      <c r="I2173" s="135" t="s">
        <v>80</v>
      </c>
      <c r="J2173" s="135">
        <v>1.0</v>
      </c>
      <c r="K2173" s="135"/>
      <c r="L2173" s="135">
        <v>4887.0</v>
      </c>
      <c r="M2173" s="135">
        <v>3150.0</v>
      </c>
      <c r="N2173" s="135">
        <v>120.0</v>
      </c>
      <c r="O2173" s="135">
        <v>2.2</v>
      </c>
      <c r="P2173" s="136">
        <v>0.0</v>
      </c>
      <c r="Q2173" s="137">
        <v>5.5</v>
      </c>
      <c r="R2173" s="136">
        <v>46141.0</v>
      </c>
      <c r="S2173" s="135" t="s">
        <v>3924</v>
      </c>
      <c r="T2173" s="136"/>
      <c r="U2173" s="135" t="s">
        <v>2855</v>
      </c>
      <c r="V2173" s="135" t="s">
        <v>2878</v>
      </c>
      <c r="W2173" s="135">
        <v>1800.0</v>
      </c>
      <c r="X2173" s="135"/>
      <c r="Y2173" s="135"/>
      <c r="Z2173" s="135"/>
      <c r="AA2173" s="135"/>
      <c r="AB2173" s="135"/>
      <c r="AC2173" s="135"/>
      <c r="AD2173" s="135">
        <v>0.0</v>
      </c>
      <c r="AE2173" s="135"/>
      <c r="AF2173" s="135"/>
      <c r="AG2173" s="135"/>
    </row>
    <row r="2174" ht="21.75" hidden="1" customHeight="1">
      <c r="A2174" s="135">
        <v>2170.0</v>
      </c>
      <c r="B2174" s="135">
        <v>25045.0</v>
      </c>
      <c r="C2174" s="135"/>
      <c r="D2174" s="135">
        <v>34.0</v>
      </c>
      <c r="E2174" s="135" t="s">
        <v>3931</v>
      </c>
      <c r="F2174" s="135" t="s">
        <v>1699</v>
      </c>
      <c r="G2174" s="135" t="s">
        <v>76</v>
      </c>
      <c r="H2174" s="135" t="s">
        <v>2853</v>
      </c>
      <c r="I2174" s="135" t="s">
        <v>80</v>
      </c>
      <c r="J2174" s="135">
        <v>1.0</v>
      </c>
      <c r="K2174" s="135" t="s">
        <v>3944</v>
      </c>
      <c r="L2174" s="135">
        <v>4488.0</v>
      </c>
      <c r="M2174" s="135">
        <v>3150.0</v>
      </c>
      <c r="N2174" s="135">
        <v>120.0</v>
      </c>
      <c r="O2174" s="135">
        <v>2.09</v>
      </c>
      <c r="P2174" s="136">
        <v>0.0</v>
      </c>
      <c r="Q2174" s="137">
        <v>5.225</v>
      </c>
      <c r="R2174" s="136">
        <v>46141.0</v>
      </c>
      <c r="S2174" s="135" t="s">
        <v>3924</v>
      </c>
      <c r="T2174" s="136"/>
      <c r="U2174" s="135" t="s">
        <v>2855</v>
      </c>
      <c r="V2174" s="135" t="s">
        <v>2878</v>
      </c>
      <c r="W2174" s="135">
        <v>1800.0</v>
      </c>
      <c r="X2174" s="135"/>
      <c r="Y2174" s="135"/>
      <c r="Z2174" s="135"/>
      <c r="AA2174" s="135"/>
      <c r="AB2174" s="135"/>
      <c r="AC2174" s="135"/>
      <c r="AD2174" s="135">
        <v>46151.0</v>
      </c>
      <c r="AE2174" s="135"/>
      <c r="AF2174" s="135"/>
      <c r="AG2174" s="135"/>
    </row>
    <row r="2175" ht="21.75" hidden="1" customHeight="1">
      <c r="A2175" s="135">
        <v>2171.0</v>
      </c>
      <c r="B2175" s="135">
        <v>25045.0</v>
      </c>
      <c r="C2175" s="135"/>
      <c r="D2175" s="135">
        <v>34.0</v>
      </c>
      <c r="E2175" s="135" t="s">
        <v>3931</v>
      </c>
      <c r="F2175" s="135" t="s">
        <v>1700</v>
      </c>
      <c r="G2175" s="135" t="s">
        <v>76</v>
      </c>
      <c r="H2175" s="135" t="s">
        <v>2853</v>
      </c>
      <c r="I2175" s="135" t="s">
        <v>80</v>
      </c>
      <c r="J2175" s="135">
        <v>1.0</v>
      </c>
      <c r="K2175" s="135" t="s">
        <v>3944</v>
      </c>
      <c r="L2175" s="135">
        <v>4488.0</v>
      </c>
      <c r="M2175" s="135">
        <v>3150.0</v>
      </c>
      <c r="N2175" s="135">
        <v>120.0</v>
      </c>
      <c r="O2175" s="135">
        <v>2.09</v>
      </c>
      <c r="P2175" s="136">
        <v>0.0</v>
      </c>
      <c r="Q2175" s="137">
        <v>5.225</v>
      </c>
      <c r="R2175" s="136">
        <v>46141.0</v>
      </c>
      <c r="S2175" s="135" t="s">
        <v>3924</v>
      </c>
      <c r="T2175" s="136"/>
      <c r="U2175" s="135" t="s">
        <v>2855</v>
      </c>
      <c r="V2175" s="135" t="s">
        <v>2878</v>
      </c>
      <c r="W2175" s="135">
        <v>1800.0</v>
      </c>
      <c r="X2175" s="135"/>
      <c r="Y2175" s="135"/>
      <c r="Z2175" s="135"/>
      <c r="AA2175" s="135"/>
      <c r="AB2175" s="135"/>
      <c r="AC2175" s="135"/>
      <c r="AD2175" s="135">
        <v>46153.0</v>
      </c>
      <c r="AE2175" s="135"/>
      <c r="AF2175" s="135"/>
      <c r="AG2175" s="135"/>
    </row>
    <row r="2176" ht="21.75" hidden="1" customHeight="1">
      <c r="A2176" s="135">
        <v>2172.0</v>
      </c>
      <c r="B2176" s="135">
        <v>25045.0</v>
      </c>
      <c r="C2176" s="135"/>
      <c r="D2176" s="135">
        <v>34.0</v>
      </c>
      <c r="E2176" s="135" t="s">
        <v>3931</v>
      </c>
      <c r="F2176" s="135" t="s">
        <v>1701</v>
      </c>
      <c r="G2176" s="135" t="s">
        <v>76</v>
      </c>
      <c r="H2176" s="135" t="s">
        <v>2853</v>
      </c>
      <c r="I2176" s="135" t="s">
        <v>80</v>
      </c>
      <c r="J2176" s="135">
        <v>1.0</v>
      </c>
      <c r="K2176" s="135" t="s">
        <v>3944</v>
      </c>
      <c r="L2176" s="135">
        <v>4488.0</v>
      </c>
      <c r="M2176" s="135">
        <v>3150.0</v>
      </c>
      <c r="N2176" s="135">
        <v>120.0</v>
      </c>
      <c r="O2176" s="135">
        <v>2.09</v>
      </c>
      <c r="P2176" s="136">
        <v>0.0</v>
      </c>
      <c r="Q2176" s="137">
        <v>5.225</v>
      </c>
      <c r="R2176" s="136">
        <v>46141.0</v>
      </c>
      <c r="S2176" s="135" t="s">
        <v>3924</v>
      </c>
      <c r="T2176" s="136"/>
      <c r="U2176" s="135" t="s">
        <v>2855</v>
      </c>
      <c r="V2176" s="135" t="s">
        <v>2878</v>
      </c>
      <c r="W2176" s="135">
        <v>1800.0</v>
      </c>
      <c r="X2176" s="135"/>
      <c r="Y2176" s="135"/>
      <c r="Z2176" s="135"/>
      <c r="AA2176" s="135"/>
      <c r="AB2176" s="135"/>
      <c r="AC2176" s="135"/>
      <c r="AD2176" s="135">
        <v>46154.0</v>
      </c>
      <c r="AE2176" s="135"/>
      <c r="AF2176" s="135"/>
      <c r="AG2176" s="135"/>
    </row>
    <row r="2177" ht="21.75" hidden="1" customHeight="1">
      <c r="A2177" s="135">
        <v>2173.0</v>
      </c>
      <c r="B2177" s="135">
        <v>25045.0</v>
      </c>
      <c r="C2177" s="135"/>
      <c r="D2177" s="135">
        <v>34.0</v>
      </c>
      <c r="E2177" s="135" t="s">
        <v>3931</v>
      </c>
      <c r="F2177" s="135" t="s">
        <v>1702</v>
      </c>
      <c r="G2177" s="135" t="s">
        <v>76</v>
      </c>
      <c r="H2177" s="135" t="s">
        <v>2853</v>
      </c>
      <c r="I2177" s="135" t="s">
        <v>80</v>
      </c>
      <c r="J2177" s="135">
        <v>1.0</v>
      </c>
      <c r="K2177" s="135"/>
      <c r="L2177" s="135">
        <v>4488.0</v>
      </c>
      <c r="M2177" s="135">
        <v>3150.0</v>
      </c>
      <c r="N2177" s="135">
        <v>120.0</v>
      </c>
      <c r="O2177" s="135">
        <v>1.75</v>
      </c>
      <c r="P2177" s="136">
        <v>0.0</v>
      </c>
      <c r="Q2177" s="137">
        <v>4.375</v>
      </c>
      <c r="R2177" s="136">
        <v>46141.0</v>
      </c>
      <c r="S2177" s="135" t="s">
        <v>3924</v>
      </c>
      <c r="T2177" s="136"/>
      <c r="U2177" s="135" t="s">
        <v>2864</v>
      </c>
      <c r="V2177" s="135" t="s">
        <v>2890</v>
      </c>
      <c r="W2177" s="135"/>
      <c r="X2177" s="135" t="s">
        <v>3920</v>
      </c>
      <c r="Y2177" s="135"/>
      <c r="Z2177" s="135"/>
      <c r="AA2177" s="135"/>
      <c r="AB2177" s="135"/>
      <c r="AC2177" s="135"/>
      <c r="AD2177" s="135">
        <v>0.0</v>
      </c>
      <c r="AE2177" s="135"/>
      <c r="AF2177" s="135"/>
      <c r="AG2177" s="135"/>
    </row>
    <row r="2178" ht="21.75" hidden="1" customHeight="1">
      <c r="A2178" s="135">
        <v>2174.0</v>
      </c>
      <c r="B2178" s="135">
        <v>25045.0</v>
      </c>
      <c r="C2178" s="135"/>
      <c r="D2178" s="135">
        <v>34.0</v>
      </c>
      <c r="E2178" s="135" t="s">
        <v>3931</v>
      </c>
      <c r="F2178" s="135" t="s">
        <v>1703</v>
      </c>
      <c r="G2178" s="135" t="s">
        <v>76</v>
      </c>
      <c r="H2178" s="135" t="s">
        <v>2853</v>
      </c>
      <c r="I2178" s="135" t="s">
        <v>80</v>
      </c>
      <c r="J2178" s="135">
        <v>1.0</v>
      </c>
      <c r="K2178" s="135"/>
      <c r="L2178" s="135">
        <v>2026.0</v>
      </c>
      <c r="M2178" s="135">
        <v>3610.0</v>
      </c>
      <c r="N2178" s="135">
        <v>120.0</v>
      </c>
      <c r="O2178" s="135">
        <v>0.618</v>
      </c>
      <c r="P2178" s="136">
        <v>0.0</v>
      </c>
      <c r="Q2178" s="137">
        <v>1.545</v>
      </c>
      <c r="R2178" s="136">
        <v>46141.0</v>
      </c>
      <c r="S2178" s="135" t="s">
        <v>3924</v>
      </c>
      <c r="T2178" s="136"/>
      <c r="U2178" s="135" t="s">
        <v>2864</v>
      </c>
      <c r="V2178" s="135" t="s">
        <v>2951</v>
      </c>
      <c r="W2178" s="135"/>
      <c r="X2178" s="135" t="s">
        <v>3945</v>
      </c>
      <c r="Y2178" s="135"/>
      <c r="Z2178" s="135"/>
      <c r="AA2178" s="135"/>
      <c r="AB2178" s="135"/>
      <c r="AC2178" s="135"/>
      <c r="AD2178" s="135">
        <v>0.0</v>
      </c>
      <c r="AE2178" s="135"/>
      <c r="AF2178" s="135"/>
      <c r="AG2178" s="135"/>
    </row>
    <row r="2179" ht="21.75" hidden="1" customHeight="1">
      <c r="A2179" s="135">
        <v>2175.0</v>
      </c>
      <c r="B2179" s="135">
        <v>25045.0</v>
      </c>
      <c r="C2179" s="135"/>
      <c r="D2179" s="135">
        <v>34.0</v>
      </c>
      <c r="E2179" s="135" t="s">
        <v>3931</v>
      </c>
      <c r="F2179" s="135" t="s">
        <v>1704</v>
      </c>
      <c r="G2179" s="135" t="s">
        <v>76</v>
      </c>
      <c r="H2179" s="135" t="s">
        <v>2965</v>
      </c>
      <c r="I2179" s="135" t="s">
        <v>80</v>
      </c>
      <c r="J2179" s="135">
        <v>1.0</v>
      </c>
      <c r="K2179" s="135"/>
      <c r="L2179" s="135">
        <v>400.0</v>
      </c>
      <c r="M2179" s="135">
        <v>3310.0</v>
      </c>
      <c r="N2179" s="135">
        <v>350.0</v>
      </c>
      <c r="O2179" s="135">
        <v>0.57</v>
      </c>
      <c r="P2179" s="136">
        <v>0.0</v>
      </c>
      <c r="Q2179" s="137">
        <v>1.4249999999999998</v>
      </c>
      <c r="R2179" s="136">
        <v>46141.0</v>
      </c>
      <c r="S2179" s="135" t="s">
        <v>3924</v>
      </c>
      <c r="T2179" s="136"/>
      <c r="U2179" s="135" t="s">
        <v>2966</v>
      </c>
      <c r="V2179" s="135" t="s">
        <v>2967</v>
      </c>
      <c r="W2179" s="135"/>
      <c r="X2179" s="135"/>
      <c r="Y2179" s="135"/>
      <c r="Z2179" s="135"/>
      <c r="AA2179" s="135"/>
      <c r="AB2179" s="135"/>
      <c r="AC2179" s="135"/>
      <c r="AD2179" s="135">
        <v>0.0</v>
      </c>
      <c r="AE2179" s="135"/>
      <c r="AF2179" s="135"/>
      <c r="AG2179" s="135"/>
    </row>
    <row r="2180" ht="21.75" hidden="1" customHeight="1">
      <c r="A2180" s="135">
        <v>2176.0</v>
      </c>
      <c r="B2180" s="135">
        <v>25045.0</v>
      </c>
      <c r="C2180" s="135" t="s">
        <v>2817</v>
      </c>
      <c r="D2180" s="135">
        <v>34.0</v>
      </c>
      <c r="E2180" s="135" t="s">
        <v>3946</v>
      </c>
      <c r="F2180" s="135" t="s">
        <v>1705</v>
      </c>
      <c r="G2180" s="135" t="s">
        <v>76</v>
      </c>
      <c r="H2180" s="135" t="s">
        <v>2853</v>
      </c>
      <c r="I2180" s="135" t="s">
        <v>81</v>
      </c>
      <c r="J2180" s="135">
        <v>1.0</v>
      </c>
      <c r="K2180" s="135" t="s">
        <v>3947</v>
      </c>
      <c r="L2180" s="135">
        <v>4266.0</v>
      </c>
      <c r="M2180" s="135">
        <v>1350.0</v>
      </c>
      <c r="N2180" s="135">
        <v>120.0</v>
      </c>
      <c r="O2180" s="135">
        <v>0.91</v>
      </c>
      <c r="P2180" s="136">
        <v>0.0</v>
      </c>
      <c r="Q2180" s="137">
        <v>2.275</v>
      </c>
      <c r="R2180" s="136">
        <v>46141.0</v>
      </c>
      <c r="S2180" s="135" t="s">
        <v>3924</v>
      </c>
      <c r="T2180" s="136"/>
      <c r="U2180" s="135" t="s">
        <v>2855</v>
      </c>
      <c r="V2180" s="135" t="s">
        <v>2856</v>
      </c>
      <c r="W2180" s="135"/>
      <c r="X2180" s="135"/>
      <c r="Y2180" s="135"/>
      <c r="Z2180" s="135"/>
      <c r="AA2180" s="135"/>
      <c r="AB2180" s="135"/>
      <c r="AC2180" s="135"/>
      <c r="AD2180" s="135">
        <v>0.0</v>
      </c>
      <c r="AE2180" s="135"/>
      <c r="AF2180" s="135"/>
      <c r="AG2180" s="135"/>
    </row>
    <row r="2181" ht="21.75" hidden="1" customHeight="1">
      <c r="A2181" s="135">
        <v>2177.0</v>
      </c>
      <c r="B2181" s="135">
        <v>25045.0</v>
      </c>
      <c r="C2181" s="135" t="s">
        <v>2817</v>
      </c>
      <c r="D2181" s="135">
        <v>34.0</v>
      </c>
      <c r="E2181" s="135" t="s">
        <v>3946</v>
      </c>
      <c r="F2181" s="135" t="s">
        <v>1706</v>
      </c>
      <c r="G2181" s="135" t="s">
        <v>76</v>
      </c>
      <c r="H2181" s="135" t="s">
        <v>2853</v>
      </c>
      <c r="I2181" s="135" t="s">
        <v>81</v>
      </c>
      <c r="J2181" s="135">
        <v>1.0</v>
      </c>
      <c r="K2181" s="135" t="s">
        <v>3947</v>
      </c>
      <c r="L2181" s="135">
        <v>4266.0</v>
      </c>
      <c r="M2181" s="135">
        <v>1350.0</v>
      </c>
      <c r="N2181" s="135">
        <v>120.0</v>
      </c>
      <c r="O2181" s="135">
        <v>0.91</v>
      </c>
      <c r="P2181" s="136">
        <v>0.0</v>
      </c>
      <c r="Q2181" s="137">
        <v>2.275</v>
      </c>
      <c r="R2181" s="136">
        <v>46141.0</v>
      </c>
      <c r="S2181" s="135" t="s">
        <v>3924</v>
      </c>
      <c r="T2181" s="136"/>
      <c r="U2181" s="135" t="s">
        <v>2855</v>
      </c>
      <c r="V2181" s="135" t="s">
        <v>2856</v>
      </c>
      <c r="W2181" s="135"/>
      <c r="X2181" s="135"/>
      <c r="Y2181" s="135"/>
      <c r="Z2181" s="135"/>
      <c r="AA2181" s="135"/>
      <c r="AB2181" s="135"/>
      <c r="AC2181" s="135"/>
      <c r="AD2181" s="135">
        <v>0.0</v>
      </c>
      <c r="AE2181" s="135"/>
      <c r="AF2181" s="135"/>
      <c r="AG2181" s="135"/>
    </row>
    <row r="2182" ht="21.75" hidden="1" customHeight="1">
      <c r="A2182" s="135">
        <v>2178.0</v>
      </c>
      <c r="B2182" s="135">
        <v>25045.0</v>
      </c>
      <c r="C2182" s="135" t="s">
        <v>2817</v>
      </c>
      <c r="D2182" s="135">
        <v>34.0</v>
      </c>
      <c r="E2182" s="135" t="s">
        <v>3946</v>
      </c>
      <c r="F2182" s="135" t="s">
        <v>1707</v>
      </c>
      <c r="G2182" s="135" t="s">
        <v>76</v>
      </c>
      <c r="H2182" s="135" t="s">
        <v>2853</v>
      </c>
      <c r="I2182" s="135" t="s">
        <v>81</v>
      </c>
      <c r="J2182" s="135">
        <v>1.0</v>
      </c>
      <c r="K2182" s="135" t="s">
        <v>3947</v>
      </c>
      <c r="L2182" s="135">
        <v>4266.0</v>
      </c>
      <c r="M2182" s="135">
        <v>1350.0</v>
      </c>
      <c r="N2182" s="135">
        <v>120.0</v>
      </c>
      <c r="O2182" s="135">
        <v>0.91</v>
      </c>
      <c r="P2182" s="136">
        <v>0.0</v>
      </c>
      <c r="Q2182" s="137">
        <v>2.275</v>
      </c>
      <c r="R2182" s="136">
        <v>46141.0</v>
      </c>
      <c r="S2182" s="135" t="s">
        <v>3924</v>
      </c>
      <c r="T2182" s="136"/>
      <c r="U2182" s="135" t="s">
        <v>2855</v>
      </c>
      <c r="V2182" s="135" t="s">
        <v>2856</v>
      </c>
      <c r="W2182" s="135"/>
      <c r="X2182" s="135"/>
      <c r="Y2182" s="135"/>
      <c r="Z2182" s="135"/>
      <c r="AA2182" s="135"/>
      <c r="AB2182" s="135"/>
      <c r="AC2182" s="135"/>
      <c r="AD2182" s="135">
        <v>0.0</v>
      </c>
      <c r="AE2182" s="135"/>
      <c r="AF2182" s="135"/>
      <c r="AG2182" s="135"/>
    </row>
    <row r="2183" ht="21.75" hidden="1" customHeight="1">
      <c r="A2183" s="135">
        <v>2179.0</v>
      </c>
      <c r="B2183" s="135">
        <v>25045.0</v>
      </c>
      <c r="C2183" s="135" t="s">
        <v>2817</v>
      </c>
      <c r="D2183" s="135">
        <v>34.0</v>
      </c>
      <c r="E2183" s="135" t="s">
        <v>3946</v>
      </c>
      <c r="F2183" s="135" t="s">
        <v>1708</v>
      </c>
      <c r="G2183" s="135" t="s">
        <v>76</v>
      </c>
      <c r="H2183" s="135" t="s">
        <v>2853</v>
      </c>
      <c r="I2183" s="135" t="s">
        <v>81</v>
      </c>
      <c r="J2183" s="135">
        <v>1.0</v>
      </c>
      <c r="K2183" s="135"/>
      <c r="L2183" s="135">
        <v>4266.0</v>
      </c>
      <c r="M2183" s="135">
        <v>2850.0</v>
      </c>
      <c r="N2183" s="135">
        <v>120.0</v>
      </c>
      <c r="O2183" s="135">
        <v>0.9</v>
      </c>
      <c r="P2183" s="136">
        <v>0.0</v>
      </c>
      <c r="Q2183" s="137">
        <v>2.25</v>
      </c>
      <c r="R2183" s="136">
        <v>46141.0</v>
      </c>
      <c r="S2183" s="135" t="s">
        <v>3924</v>
      </c>
      <c r="T2183" s="136"/>
      <c r="U2183" s="135" t="s">
        <v>2855</v>
      </c>
      <c r="V2183" s="135" t="s">
        <v>2856</v>
      </c>
      <c r="W2183" s="135">
        <v>1800.0</v>
      </c>
      <c r="X2183" s="135" t="s">
        <v>3948</v>
      </c>
      <c r="Y2183" s="135"/>
      <c r="Z2183" s="135"/>
      <c r="AA2183" s="135"/>
      <c r="AB2183" s="135"/>
      <c r="AC2183" s="135"/>
      <c r="AD2183" s="135">
        <v>0.0</v>
      </c>
      <c r="AE2183" s="135"/>
      <c r="AF2183" s="135"/>
      <c r="AG2183" s="135"/>
    </row>
    <row r="2184" ht="21.75" hidden="1" customHeight="1">
      <c r="A2184" s="135">
        <v>2180.0</v>
      </c>
      <c r="B2184" s="135">
        <v>25045.0</v>
      </c>
      <c r="C2184" s="135" t="s">
        <v>2817</v>
      </c>
      <c r="D2184" s="135">
        <v>34.0</v>
      </c>
      <c r="E2184" s="135" t="s">
        <v>3946</v>
      </c>
      <c r="F2184" s="135" t="s">
        <v>1709</v>
      </c>
      <c r="G2184" s="135" t="s">
        <v>76</v>
      </c>
      <c r="H2184" s="135" t="s">
        <v>2853</v>
      </c>
      <c r="I2184" s="135" t="s">
        <v>81</v>
      </c>
      <c r="J2184" s="135">
        <v>1.0</v>
      </c>
      <c r="K2184" s="135"/>
      <c r="L2184" s="135"/>
      <c r="M2184" s="135"/>
      <c r="N2184" s="135"/>
      <c r="O2184" s="135">
        <v>0.94</v>
      </c>
      <c r="P2184" s="136">
        <v>0.0</v>
      </c>
      <c r="Q2184" s="137">
        <v>2.3499999999999996</v>
      </c>
      <c r="R2184" s="136">
        <v>46141.0</v>
      </c>
      <c r="S2184" s="135" t="s">
        <v>3924</v>
      </c>
      <c r="T2184" s="136"/>
      <c r="U2184" s="135"/>
      <c r="V2184" s="135"/>
      <c r="W2184" s="135"/>
      <c r="X2184" s="135"/>
      <c r="Y2184" s="135"/>
      <c r="Z2184" s="135"/>
      <c r="AA2184" s="135"/>
      <c r="AB2184" s="135"/>
      <c r="AC2184" s="135"/>
      <c r="AD2184" s="135" t="e">
        <v>#N/A</v>
      </c>
      <c r="AE2184" s="135"/>
      <c r="AF2184" s="135"/>
      <c r="AG2184" s="135"/>
    </row>
    <row r="2185" ht="21.75" hidden="1" customHeight="1">
      <c r="A2185" s="135">
        <v>2181.0</v>
      </c>
      <c r="B2185" s="135">
        <v>25045.0</v>
      </c>
      <c r="C2185" s="135"/>
      <c r="D2185" s="135">
        <v>34.0</v>
      </c>
      <c r="E2185" s="135" t="s">
        <v>3946</v>
      </c>
      <c r="F2185" s="135" t="s">
        <v>1710</v>
      </c>
      <c r="G2185" s="135" t="s">
        <v>76</v>
      </c>
      <c r="H2185" s="135" t="s">
        <v>2853</v>
      </c>
      <c r="I2185" s="135" t="s">
        <v>81</v>
      </c>
      <c r="J2185" s="135">
        <v>1.0</v>
      </c>
      <c r="K2185" s="135"/>
      <c r="L2185" s="135"/>
      <c r="M2185" s="135"/>
      <c r="N2185" s="135"/>
      <c r="O2185" s="135">
        <v>2.09</v>
      </c>
      <c r="P2185" s="136">
        <v>0.0</v>
      </c>
      <c r="Q2185" s="137">
        <v>5.225</v>
      </c>
      <c r="R2185" s="136">
        <v>46141.0</v>
      </c>
      <c r="S2185" s="135" t="s">
        <v>3924</v>
      </c>
      <c r="T2185" s="136"/>
      <c r="U2185" s="135"/>
      <c r="V2185" s="135"/>
      <c r="W2185" s="135"/>
      <c r="X2185" s="135"/>
      <c r="Y2185" s="135"/>
      <c r="Z2185" s="135"/>
      <c r="AA2185" s="135"/>
      <c r="AB2185" s="135"/>
      <c r="AC2185" s="135"/>
      <c r="AD2185" s="135" t="e">
        <v>#N/A</v>
      </c>
      <c r="AE2185" s="135"/>
      <c r="AF2185" s="135"/>
      <c r="AG2185" s="135"/>
    </row>
    <row r="2186" ht="21.75" hidden="1" customHeight="1">
      <c r="A2186" s="135">
        <v>2182.0</v>
      </c>
      <c r="B2186" s="135">
        <v>25045.0</v>
      </c>
      <c r="C2186" s="135"/>
      <c r="D2186" s="135">
        <v>34.0</v>
      </c>
      <c r="E2186" s="135" t="s">
        <v>3946</v>
      </c>
      <c r="F2186" s="135" t="s">
        <v>1711</v>
      </c>
      <c r="G2186" s="135" t="s">
        <v>76</v>
      </c>
      <c r="H2186" s="135" t="s">
        <v>2853</v>
      </c>
      <c r="I2186" s="135" t="s">
        <v>81</v>
      </c>
      <c r="J2186" s="135">
        <v>1.0</v>
      </c>
      <c r="K2186" s="135"/>
      <c r="L2186" s="135"/>
      <c r="M2186" s="135"/>
      <c r="N2186" s="135"/>
      <c r="O2186" s="135">
        <v>2.09</v>
      </c>
      <c r="P2186" s="136">
        <v>0.0</v>
      </c>
      <c r="Q2186" s="137">
        <v>5.225</v>
      </c>
      <c r="R2186" s="136">
        <v>46141.0</v>
      </c>
      <c r="S2186" s="135" t="s">
        <v>3924</v>
      </c>
      <c r="T2186" s="136"/>
      <c r="U2186" s="135"/>
      <c r="V2186" s="135"/>
      <c r="W2186" s="135"/>
      <c r="X2186" s="135"/>
      <c r="Y2186" s="135"/>
      <c r="Z2186" s="135"/>
      <c r="AA2186" s="135"/>
      <c r="AB2186" s="135"/>
      <c r="AC2186" s="135"/>
      <c r="AD2186" s="135" t="e">
        <v>#N/A</v>
      </c>
      <c r="AE2186" s="135"/>
      <c r="AF2186" s="135"/>
      <c r="AG2186" s="135"/>
    </row>
    <row r="2187" ht="21.75" hidden="1" customHeight="1">
      <c r="A2187" s="135">
        <v>2183.0</v>
      </c>
      <c r="B2187" s="135">
        <v>25045.0</v>
      </c>
      <c r="C2187" s="135"/>
      <c r="D2187" s="135">
        <v>34.0</v>
      </c>
      <c r="E2187" s="135" t="s">
        <v>3946</v>
      </c>
      <c r="F2187" s="135" t="s">
        <v>1712</v>
      </c>
      <c r="G2187" s="135" t="s">
        <v>76</v>
      </c>
      <c r="H2187" s="135" t="s">
        <v>2853</v>
      </c>
      <c r="I2187" s="135" t="s">
        <v>81</v>
      </c>
      <c r="J2187" s="135">
        <v>1.0</v>
      </c>
      <c r="K2187" s="135"/>
      <c r="L2187" s="135"/>
      <c r="M2187" s="135"/>
      <c r="N2187" s="135"/>
      <c r="O2187" s="135">
        <v>2.09</v>
      </c>
      <c r="P2187" s="136">
        <v>0.0</v>
      </c>
      <c r="Q2187" s="137">
        <v>5.225</v>
      </c>
      <c r="R2187" s="136">
        <v>46141.0</v>
      </c>
      <c r="S2187" s="135" t="s">
        <v>3924</v>
      </c>
      <c r="T2187" s="136"/>
      <c r="U2187" s="135"/>
      <c r="V2187" s="135"/>
      <c r="W2187" s="135"/>
      <c r="X2187" s="135"/>
      <c r="Y2187" s="135"/>
      <c r="Z2187" s="135"/>
      <c r="AA2187" s="135"/>
      <c r="AB2187" s="135"/>
      <c r="AC2187" s="135"/>
      <c r="AD2187" s="135" t="e">
        <v>#N/A</v>
      </c>
      <c r="AE2187" s="135"/>
      <c r="AF2187" s="135"/>
      <c r="AG2187" s="135"/>
    </row>
    <row r="2188" ht="21.75" hidden="1" customHeight="1">
      <c r="A2188" s="135">
        <v>2184.0</v>
      </c>
      <c r="B2188" s="135">
        <v>25045.0</v>
      </c>
      <c r="C2188" s="135"/>
      <c r="D2188" s="135">
        <v>34.0</v>
      </c>
      <c r="E2188" s="135" t="s">
        <v>3946</v>
      </c>
      <c r="F2188" s="135" t="s">
        <v>1713</v>
      </c>
      <c r="G2188" s="135" t="s">
        <v>76</v>
      </c>
      <c r="H2188" s="135" t="s">
        <v>2853</v>
      </c>
      <c r="I2188" s="135" t="s">
        <v>81</v>
      </c>
      <c r="J2188" s="135">
        <v>1.0</v>
      </c>
      <c r="K2188" s="135"/>
      <c r="L2188" s="135"/>
      <c r="M2188" s="135"/>
      <c r="N2188" s="135"/>
      <c r="O2188" s="135">
        <v>2.09</v>
      </c>
      <c r="P2188" s="136">
        <v>0.0</v>
      </c>
      <c r="Q2188" s="137">
        <v>5.225</v>
      </c>
      <c r="R2188" s="136">
        <v>46141.0</v>
      </c>
      <c r="S2188" s="135" t="s">
        <v>3924</v>
      </c>
      <c r="T2188" s="136"/>
      <c r="U2188" s="135"/>
      <c r="V2188" s="135"/>
      <c r="W2188" s="135"/>
      <c r="X2188" s="135"/>
      <c r="Y2188" s="135"/>
      <c r="Z2188" s="135"/>
      <c r="AA2188" s="135"/>
      <c r="AB2188" s="135"/>
      <c r="AC2188" s="135"/>
      <c r="AD2188" s="135" t="e">
        <v>#N/A</v>
      </c>
      <c r="AE2188" s="135"/>
      <c r="AF2188" s="135"/>
      <c r="AG2188" s="135"/>
    </row>
    <row r="2189" ht="21.75" hidden="1" customHeight="1">
      <c r="A2189" s="135">
        <v>2185.0</v>
      </c>
      <c r="B2189" s="135">
        <v>25045.0</v>
      </c>
      <c r="C2189" s="135"/>
      <c r="D2189" s="135">
        <v>34.0</v>
      </c>
      <c r="E2189" s="135" t="s">
        <v>3946</v>
      </c>
      <c r="F2189" s="135" t="s">
        <v>1714</v>
      </c>
      <c r="G2189" s="135" t="s">
        <v>76</v>
      </c>
      <c r="H2189" s="135" t="s">
        <v>2853</v>
      </c>
      <c r="I2189" s="135" t="s">
        <v>81</v>
      </c>
      <c r="J2189" s="135">
        <v>1.0</v>
      </c>
      <c r="K2189" s="135"/>
      <c r="L2189" s="135"/>
      <c r="M2189" s="135"/>
      <c r="N2189" s="135"/>
      <c r="O2189" s="135">
        <v>1.8</v>
      </c>
      <c r="P2189" s="136">
        <v>0.0</v>
      </c>
      <c r="Q2189" s="137">
        <v>4.5</v>
      </c>
      <c r="R2189" s="136">
        <v>46141.0</v>
      </c>
      <c r="S2189" s="135" t="s">
        <v>3924</v>
      </c>
      <c r="T2189" s="136"/>
      <c r="U2189" s="135"/>
      <c r="V2189" s="135"/>
      <c r="W2189" s="135"/>
      <c r="X2189" s="135"/>
      <c r="Y2189" s="135"/>
      <c r="Z2189" s="135"/>
      <c r="AA2189" s="135"/>
      <c r="AB2189" s="135"/>
      <c r="AC2189" s="135"/>
      <c r="AD2189" s="135" t="e">
        <v>#N/A</v>
      </c>
      <c r="AE2189" s="135"/>
      <c r="AF2189" s="135"/>
      <c r="AG2189" s="135"/>
    </row>
    <row r="2190" ht="21.75" hidden="1" customHeight="1">
      <c r="A2190" s="135">
        <v>2186.0</v>
      </c>
      <c r="B2190" s="135">
        <v>25045.0</v>
      </c>
      <c r="C2190" s="135"/>
      <c r="D2190" s="135">
        <v>34.0</v>
      </c>
      <c r="E2190" s="135" t="s">
        <v>3946</v>
      </c>
      <c r="F2190" s="135" t="s">
        <v>1715</v>
      </c>
      <c r="G2190" s="135" t="s">
        <v>76</v>
      </c>
      <c r="H2190" s="135" t="s">
        <v>2853</v>
      </c>
      <c r="I2190" s="135" t="s">
        <v>81</v>
      </c>
      <c r="J2190" s="135">
        <v>1.0</v>
      </c>
      <c r="K2190" s="135"/>
      <c r="L2190" s="135"/>
      <c r="M2190" s="135"/>
      <c r="N2190" s="135"/>
      <c r="O2190" s="135">
        <v>2.36</v>
      </c>
      <c r="P2190" s="136">
        <v>0.0</v>
      </c>
      <c r="Q2190" s="137">
        <v>5.8999999999999995</v>
      </c>
      <c r="R2190" s="136">
        <v>46141.0</v>
      </c>
      <c r="S2190" s="135" t="s">
        <v>3924</v>
      </c>
      <c r="T2190" s="136"/>
      <c r="U2190" s="135"/>
      <c r="V2190" s="135"/>
      <c r="W2190" s="135"/>
      <c r="X2190" s="135"/>
      <c r="Y2190" s="135"/>
      <c r="Z2190" s="135"/>
      <c r="AA2190" s="135"/>
      <c r="AB2190" s="135"/>
      <c r="AC2190" s="135"/>
      <c r="AD2190" s="135" t="e">
        <v>#N/A</v>
      </c>
      <c r="AE2190" s="135"/>
      <c r="AF2190" s="135"/>
      <c r="AG2190" s="135"/>
    </row>
    <row r="2191" ht="21.75" hidden="1" customHeight="1">
      <c r="A2191" s="135">
        <v>2187.0</v>
      </c>
      <c r="B2191" s="135">
        <v>25045.0</v>
      </c>
      <c r="C2191" s="135"/>
      <c r="D2191" s="135">
        <v>34.0</v>
      </c>
      <c r="E2191" s="135" t="s">
        <v>3946</v>
      </c>
      <c r="F2191" s="135" t="s">
        <v>1716</v>
      </c>
      <c r="G2191" s="135" t="s">
        <v>76</v>
      </c>
      <c r="H2191" s="135" t="s">
        <v>2853</v>
      </c>
      <c r="I2191" s="135" t="s">
        <v>81</v>
      </c>
      <c r="J2191" s="135">
        <v>1.0</v>
      </c>
      <c r="K2191" s="135"/>
      <c r="L2191" s="135"/>
      <c r="M2191" s="135"/>
      <c r="N2191" s="135"/>
      <c r="O2191" s="135">
        <v>2.26</v>
      </c>
      <c r="P2191" s="136">
        <v>0.0</v>
      </c>
      <c r="Q2191" s="137">
        <v>5.6499999999999995</v>
      </c>
      <c r="R2191" s="136">
        <v>46141.0</v>
      </c>
      <c r="S2191" s="135" t="s">
        <v>3924</v>
      </c>
      <c r="T2191" s="136"/>
      <c r="U2191" s="135"/>
      <c r="V2191" s="135"/>
      <c r="W2191" s="135"/>
      <c r="X2191" s="135"/>
      <c r="Y2191" s="135"/>
      <c r="Z2191" s="135"/>
      <c r="AA2191" s="135"/>
      <c r="AB2191" s="135"/>
      <c r="AC2191" s="135"/>
      <c r="AD2191" s="135" t="e">
        <v>#N/A</v>
      </c>
      <c r="AE2191" s="135"/>
      <c r="AF2191" s="135"/>
      <c r="AG2191" s="135"/>
    </row>
    <row r="2192" ht="21.75" hidden="1" customHeight="1">
      <c r="A2192" s="135">
        <v>2188.0</v>
      </c>
      <c r="B2192" s="135">
        <v>25045.0</v>
      </c>
      <c r="C2192" s="135"/>
      <c r="D2192" s="135">
        <v>34.0</v>
      </c>
      <c r="E2192" s="135" t="s">
        <v>3946</v>
      </c>
      <c r="F2192" s="135" t="s">
        <v>1717</v>
      </c>
      <c r="G2192" s="135" t="s">
        <v>76</v>
      </c>
      <c r="H2192" s="135" t="s">
        <v>2853</v>
      </c>
      <c r="I2192" s="135" t="s">
        <v>81</v>
      </c>
      <c r="J2192" s="135">
        <v>1.0</v>
      </c>
      <c r="K2192" s="135"/>
      <c r="L2192" s="135"/>
      <c r="M2192" s="135"/>
      <c r="N2192" s="135"/>
      <c r="O2192" s="135">
        <v>2.26</v>
      </c>
      <c r="P2192" s="136">
        <v>0.0</v>
      </c>
      <c r="Q2192" s="137">
        <v>5.6499999999999995</v>
      </c>
      <c r="R2192" s="136">
        <v>46141.0</v>
      </c>
      <c r="S2192" s="135" t="s">
        <v>3924</v>
      </c>
      <c r="T2192" s="136"/>
      <c r="U2192" s="135"/>
      <c r="V2192" s="135"/>
      <c r="W2192" s="135"/>
      <c r="X2192" s="135"/>
      <c r="Y2192" s="135"/>
      <c r="Z2192" s="135"/>
      <c r="AA2192" s="135"/>
      <c r="AB2192" s="135"/>
      <c r="AC2192" s="135"/>
      <c r="AD2192" s="135" t="e">
        <v>#N/A</v>
      </c>
      <c r="AE2192" s="135"/>
      <c r="AF2192" s="135"/>
      <c r="AG2192" s="135"/>
    </row>
    <row r="2193" ht="21.75" hidden="1" customHeight="1">
      <c r="A2193" s="135">
        <v>2189.0</v>
      </c>
      <c r="B2193" s="135">
        <v>25045.0</v>
      </c>
      <c r="C2193" s="135"/>
      <c r="D2193" s="135">
        <v>34.0</v>
      </c>
      <c r="E2193" s="135" t="s">
        <v>3946</v>
      </c>
      <c r="F2193" s="135" t="s">
        <v>1718</v>
      </c>
      <c r="G2193" s="135" t="s">
        <v>76</v>
      </c>
      <c r="H2193" s="135" t="s">
        <v>2853</v>
      </c>
      <c r="I2193" s="135" t="s">
        <v>81</v>
      </c>
      <c r="J2193" s="135">
        <v>1.0</v>
      </c>
      <c r="K2193" s="135"/>
      <c r="L2193" s="135"/>
      <c r="M2193" s="135"/>
      <c r="N2193" s="135"/>
      <c r="O2193" s="135">
        <v>2.26</v>
      </c>
      <c r="P2193" s="136">
        <v>0.0</v>
      </c>
      <c r="Q2193" s="137">
        <v>5.6499999999999995</v>
      </c>
      <c r="R2193" s="136">
        <v>46141.0</v>
      </c>
      <c r="S2193" s="135" t="s">
        <v>3924</v>
      </c>
      <c r="T2193" s="136"/>
      <c r="U2193" s="135"/>
      <c r="V2193" s="135"/>
      <c r="W2193" s="135"/>
      <c r="X2193" s="135"/>
      <c r="Y2193" s="135"/>
      <c r="Z2193" s="135"/>
      <c r="AA2193" s="135"/>
      <c r="AB2193" s="135"/>
      <c r="AC2193" s="135"/>
      <c r="AD2193" s="135" t="e">
        <v>#N/A</v>
      </c>
      <c r="AE2193" s="135"/>
      <c r="AF2193" s="135"/>
      <c r="AG2193" s="135"/>
    </row>
    <row r="2194" ht="21.75" hidden="1" customHeight="1">
      <c r="A2194" s="135">
        <v>2190.0</v>
      </c>
      <c r="B2194" s="135">
        <v>25045.0</v>
      </c>
      <c r="C2194" s="135"/>
      <c r="D2194" s="135">
        <v>34.0</v>
      </c>
      <c r="E2194" s="135" t="s">
        <v>3946</v>
      </c>
      <c r="F2194" s="135" t="s">
        <v>1719</v>
      </c>
      <c r="G2194" s="135" t="s">
        <v>76</v>
      </c>
      <c r="H2194" s="135" t="s">
        <v>2853</v>
      </c>
      <c r="I2194" s="135" t="s">
        <v>81</v>
      </c>
      <c r="J2194" s="135">
        <v>1.0</v>
      </c>
      <c r="K2194" s="135"/>
      <c r="L2194" s="135"/>
      <c r="M2194" s="135"/>
      <c r="N2194" s="135"/>
      <c r="O2194" s="135">
        <v>1.92</v>
      </c>
      <c r="P2194" s="136">
        <v>0.0</v>
      </c>
      <c r="Q2194" s="137">
        <v>4.8</v>
      </c>
      <c r="R2194" s="136">
        <v>46141.0</v>
      </c>
      <c r="S2194" s="135" t="s">
        <v>3924</v>
      </c>
      <c r="T2194" s="136"/>
      <c r="U2194" s="135"/>
      <c r="V2194" s="135"/>
      <c r="W2194" s="135"/>
      <c r="X2194" s="135"/>
      <c r="Y2194" s="135"/>
      <c r="Z2194" s="135"/>
      <c r="AA2194" s="135"/>
      <c r="AB2194" s="135"/>
      <c r="AC2194" s="135"/>
      <c r="AD2194" s="135" t="e">
        <v>#N/A</v>
      </c>
      <c r="AE2194" s="135"/>
      <c r="AF2194" s="135"/>
      <c r="AG2194" s="135"/>
    </row>
    <row r="2195" ht="21.75" hidden="1" customHeight="1">
      <c r="A2195" s="135">
        <v>2191.0</v>
      </c>
      <c r="B2195" s="135">
        <v>25045.0</v>
      </c>
      <c r="C2195" s="135"/>
      <c r="D2195" s="135">
        <v>34.0</v>
      </c>
      <c r="E2195" s="135" t="s">
        <v>3946</v>
      </c>
      <c r="F2195" s="135" t="s">
        <v>1720</v>
      </c>
      <c r="G2195" s="135" t="s">
        <v>76</v>
      </c>
      <c r="H2195" s="135" t="s">
        <v>2853</v>
      </c>
      <c r="I2195" s="135" t="s">
        <v>81</v>
      </c>
      <c r="J2195" s="135">
        <v>1.0</v>
      </c>
      <c r="K2195" s="135"/>
      <c r="L2195" s="135"/>
      <c r="M2195" s="135"/>
      <c r="N2195" s="135"/>
      <c r="O2195" s="135">
        <v>0.43</v>
      </c>
      <c r="P2195" s="136">
        <v>0.0</v>
      </c>
      <c r="Q2195" s="137">
        <v>1.075</v>
      </c>
      <c r="R2195" s="136">
        <v>46141.0</v>
      </c>
      <c r="S2195" s="135" t="s">
        <v>3924</v>
      </c>
      <c r="T2195" s="136"/>
      <c r="U2195" s="135"/>
      <c r="V2195" s="135"/>
      <c r="W2195" s="135"/>
      <c r="X2195" s="135"/>
      <c r="Y2195" s="135"/>
      <c r="Z2195" s="135"/>
      <c r="AA2195" s="135"/>
      <c r="AB2195" s="135"/>
      <c r="AC2195" s="135"/>
      <c r="AD2195" s="135" t="e">
        <v>#N/A</v>
      </c>
      <c r="AE2195" s="135"/>
      <c r="AF2195" s="135"/>
      <c r="AG2195" s="135"/>
    </row>
    <row r="2196" ht="21.75" hidden="1" customHeight="1">
      <c r="A2196" s="135">
        <v>2192.0</v>
      </c>
      <c r="B2196" s="135">
        <v>25045.0</v>
      </c>
      <c r="C2196" s="135"/>
      <c r="D2196" s="135">
        <v>34.0</v>
      </c>
      <c r="E2196" s="135" t="s">
        <v>3946</v>
      </c>
      <c r="F2196" s="135" t="s">
        <v>1721</v>
      </c>
      <c r="G2196" s="135" t="s">
        <v>76</v>
      </c>
      <c r="H2196" s="135" t="s">
        <v>2965</v>
      </c>
      <c r="I2196" s="135" t="s">
        <v>81</v>
      </c>
      <c r="J2196" s="135">
        <v>1.0</v>
      </c>
      <c r="K2196" s="135"/>
      <c r="L2196" s="135"/>
      <c r="M2196" s="135"/>
      <c r="N2196" s="135"/>
      <c r="O2196" s="135">
        <v>0.57</v>
      </c>
      <c r="P2196" s="136">
        <v>0.0</v>
      </c>
      <c r="Q2196" s="137">
        <v>1.4249999999999998</v>
      </c>
      <c r="R2196" s="136">
        <v>46141.0</v>
      </c>
      <c r="S2196" s="135" t="s">
        <v>3924</v>
      </c>
      <c r="T2196" s="136"/>
      <c r="U2196" s="135"/>
      <c r="V2196" s="135"/>
      <c r="W2196" s="135"/>
      <c r="X2196" s="135"/>
      <c r="Y2196" s="135"/>
      <c r="Z2196" s="135"/>
      <c r="AA2196" s="135"/>
      <c r="AB2196" s="135"/>
      <c r="AC2196" s="135"/>
      <c r="AD2196" s="135" t="e">
        <v>#N/A</v>
      </c>
      <c r="AE2196" s="135"/>
      <c r="AF2196" s="135"/>
      <c r="AG2196" s="135"/>
    </row>
    <row r="2197" ht="21.75" hidden="1" customHeight="1">
      <c r="A2197" s="135">
        <v>2193.0</v>
      </c>
      <c r="B2197" s="135">
        <v>25045.0</v>
      </c>
      <c r="C2197" s="135" t="s">
        <v>2817</v>
      </c>
      <c r="D2197" s="135">
        <v>34.0</v>
      </c>
      <c r="E2197" s="135" t="s">
        <v>3923</v>
      </c>
      <c r="F2197" s="135" t="s">
        <v>1724</v>
      </c>
      <c r="G2197" s="135" t="s">
        <v>76</v>
      </c>
      <c r="H2197" s="135" t="s">
        <v>2853</v>
      </c>
      <c r="I2197" s="135" t="s">
        <v>82</v>
      </c>
      <c r="J2197" s="135">
        <v>1.0</v>
      </c>
      <c r="K2197" s="135"/>
      <c r="L2197" s="135"/>
      <c r="M2197" s="135"/>
      <c r="N2197" s="135"/>
      <c r="O2197" s="135">
        <v>1.01</v>
      </c>
      <c r="P2197" s="136">
        <v>0.0</v>
      </c>
      <c r="Q2197" s="137">
        <v>2.525</v>
      </c>
      <c r="R2197" s="136">
        <v>46141.0</v>
      </c>
      <c r="S2197" s="135" t="s">
        <v>3924</v>
      </c>
      <c r="T2197" s="136"/>
      <c r="U2197" s="135"/>
      <c r="V2197" s="135"/>
      <c r="W2197" s="135"/>
      <c r="X2197" s="135"/>
      <c r="Y2197" s="135"/>
      <c r="Z2197" s="135"/>
      <c r="AA2197" s="135"/>
      <c r="AB2197" s="135"/>
      <c r="AC2197" s="135"/>
      <c r="AD2197" s="135" t="e">
        <v>#N/A</v>
      </c>
      <c r="AE2197" s="135"/>
      <c r="AF2197" s="135"/>
      <c r="AG2197" s="135"/>
    </row>
    <row r="2198" ht="21.75" hidden="1" customHeight="1">
      <c r="A2198" s="135">
        <v>2194.0</v>
      </c>
      <c r="B2198" s="135">
        <v>25045.0</v>
      </c>
      <c r="C2198" s="135" t="s">
        <v>2817</v>
      </c>
      <c r="D2198" s="135">
        <v>34.0</v>
      </c>
      <c r="E2198" s="135" t="s">
        <v>3923</v>
      </c>
      <c r="F2198" s="135" t="s">
        <v>1725</v>
      </c>
      <c r="G2198" s="135" t="s">
        <v>76</v>
      </c>
      <c r="H2198" s="135" t="s">
        <v>2853</v>
      </c>
      <c r="I2198" s="135" t="s">
        <v>82</v>
      </c>
      <c r="J2198" s="135">
        <v>1.0</v>
      </c>
      <c r="K2198" s="135"/>
      <c r="L2198" s="135"/>
      <c r="M2198" s="135"/>
      <c r="N2198" s="135"/>
      <c r="O2198" s="135">
        <v>1.2</v>
      </c>
      <c r="P2198" s="136">
        <v>0.0</v>
      </c>
      <c r="Q2198" s="137">
        <v>3.0</v>
      </c>
      <c r="R2198" s="136">
        <v>46141.0</v>
      </c>
      <c r="S2198" s="135" t="s">
        <v>3924</v>
      </c>
      <c r="T2198" s="136"/>
      <c r="U2198" s="135"/>
      <c r="V2198" s="135"/>
      <c r="W2198" s="135"/>
      <c r="X2198" s="135"/>
      <c r="Y2198" s="135"/>
      <c r="Z2198" s="135"/>
      <c r="AA2198" s="135"/>
      <c r="AB2198" s="135"/>
      <c r="AC2198" s="135"/>
      <c r="AD2198" s="135" t="e">
        <v>#N/A</v>
      </c>
      <c r="AE2198" s="135"/>
      <c r="AF2198" s="135"/>
      <c r="AG2198" s="135"/>
    </row>
    <row r="2199" ht="21.75" hidden="1" customHeight="1">
      <c r="A2199" s="135">
        <v>2195.0</v>
      </c>
      <c r="B2199" s="135">
        <v>25045.0</v>
      </c>
      <c r="C2199" s="135" t="s">
        <v>2817</v>
      </c>
      <c r="D2199" s="135">
        <v>34.0</v>
      </c>
      <c r="E2199" s="135" t="s">
        <v>3923</v>
      </c>
      <c r="F2199" s="135" t="s">
        <v>1726</v>
      </c>
      <c r="G2199" s="135" t="s">
        <v>76</v>
      </c>
      <c r="H2199" s="135" t="s">
        <v>2853</v>
      </c>
      <c r="I2199" s="135" t="s">
        <v>82</v>
      </c>
      <c r="J2199" s="135">
        <v>1.0</v>
      </c>
      <c r="K2199" s="135"/>
      <c r="L2199" s="135"/>
      <c r="M2199" s="135"/>
      <c r="N2199" s="135"/>
      <c r="O2199" s="135">
        <v>1.51</v>
      </c>
      <c r="P2199" s="136">
        <v>0.0</v>
      </c>
      <c r="Q2199" s="137">
        <v>3.775</v>
      </c>
      <c r="R2199" s="136">
        <v>46141.0</v>
      </c>
      <c r="S2199" s="135" t="s">
        <v>3924</v>
      </c>
      <c r="T2199" s="136"/>
      <c r="U2199" s="135"/>
      <c r="V2199" s="135"/>
      <c r="W2199" s="135"/>
      <c r="X2199" s="135"/>
      <c r="Y2199" s="135"/>
      <c r="Z2199" s="135"/>
      <c r="AA2199" s="135"/>
      <c r="AB2199" s="135"/>
      <c r="AC2199" s="135"/>
      <c r="AD2199" s="135" t="e">
        <v>#N/A</v>
      </c>
      <c r="AE2199" s="135"/>
      <c r="AF2199" s="135"/>
      <c r="AG2199" s="135"/>
    </row>
    <row r="2200" ht="21.75" hidden="1" customHeight="1">
      <c r="A2200" s="135">
        <v>2196.0</v>
      </c>
      <c r="B2200" s="135">
        <v>25045.0</v>
      </c>
      <c r="C2200" s="135" t="s">
        <v>2817</v>
      </c>
      <c r="D2200" s="135">
        <v>34.0</v>
      </c>
      <c r="E2200" s="135" t="s">
        <v>3923</v>
      </c>
      <c r="F2200" s="135" t="s">
        <v>1727</v>
      </c>
      <c r="G2200" s="135" t="s">
        <v>76</v>
      </c>
      <c r="H2200" s="135" t="s">
        <v>2853</v>
      </c>
      <c r="I2200" s="135" t="s">
        <v>82</v>
      </c>
      <c r="J2200" s="135">
        <v>1.0</v>
      </c>
      <c r="K2200" s="135"/>
      <c r="L2200" s="135"/>
      <c r="M2200" s="135"/>
      <c r="N2200" s="135"/>
      <c r="O2200" s="135">
        <v>1.58</v>
      </c>
      <c r="P2200" s="136">
        <v>0.0</v>
      </c>
      <c r="Q2200" s="137">
        <v>3.95</v>
      </c>
      <c r="R2200" s="136">
        <v>46141.0</v>
      </c>
      <c r="S2200" s="135" t="s">
        <v>3924</v>
      </c>
      <c r="T2200" s="136"/>
      <c r="U2200" s="135"/>
      <c r="V2200" s="135"/>
      <c r="W2200" s="135"/>
      <c r="X2200" s="135"/>
      <c r="Y2200" s="135"/>
      <c r="Z2200" s="135"/>
      <c r="AA2200" s="135"/>
      <c r="AB2200" s="135"/>
      <c r="AC2200" s="135"/>
      <c r="AD2200" s="135" t="e">
        <v>#N/A</v>
      </c>
      <c r="AE2200" s="135"/>
      <c r="AF2200" s="135"/>
      <c r="AG2200" s="135"/>
    </row>
    <row r="2201" ht="21.75" hidden="1" customHeight="1">
      <c r="A2201" s="135">
        <v>2197.0</v>
      </c>
      <c r="B2201" s="135">
        <v>25045.0</v>
      </c>
      <c r="C2201" s="135" t="s">
        <v>2817</v>
      </c>
      <c r="D2201" s="135">
        <v>34.0</v>
      </c>
      <c r="E2201" s="135" t="s">
        <v>3923</v>
      </c>
      <c r="F2201" s="135" t="s">
        <v>1728</v>
      </c>
      <c r="G2201" s="135" t="s">
        <v>76</v>
      </c>
      <c r="H2201" s="135" t="s">
        <v>2853</v>
      </c>
      <c r="I2201" s="135" t="s">
        <v>82</v>
      </c>
      <c r="J2201" s="135">
        <v>1.0</v>
      </c>
      <c r="K2201" s="135"/>
      <c r="L2201" s="135"/>
      <c r="M2201" s="135"/>
      <c r="N2201" s="135"/>
      <c r="O2201" s="135">
        <v>2.108</v>
      </c>
      <c r="P2201" s="136">
        <v>0.0</v>
      </c>
      <c r="Q2201" s="137">
        <v>5.2700000000000005</v>
      </c>
      <c r="R2201" s="136">
        <v>46141.0</v>
      </c>
      <c r="S2201" s="135" t="s">
        <v>3924</v>
      </c>
      <c r="T2201" s="136"/>
      <c r="U2201" s="135"/>
      <c r="V2201" s="135"/>
      <c r="W2201" s="135"/>
      <c r="X2201" s="135"/>
      <c r="Y2201" s="135"/>
      <c r="Z2201" s="135"/>
      <c r="AA2201" s="135"/>
      <c r="AB2201" s="135"/>
      <c r="AC2201" s="135"/>
      <c r="AD2201" s="135" t="e">
        <v>#N/A</v>
      </c>
      <c r="AE2201" s="135"/>
      <c r="AF2201" s="135"/>
      <c r="AG2201" s="135"/>
    </row>
    <row r="2202" ht="21.75" hidden="1" customHeight="1">
      <c r="A2202" s="135">
        <v>2198.0</v>
      </c>
      <c r="B2202" s="135">
        <v>25045.0</v>
      </c>
      <c r="C2202" s="135"/>
      <c r="D2202" s="135">
        <v>34.0</v>
      </c>
      <c r="E2202" s="135" t="s">
        <v>3923</v>
      </c>
      <c r="F2202" s="135" t="s">
        <v>1729</v>
      </c>
      <c r="G2202" s="135" t="s">
        <v>76</v>
      </c>
      <c r="H2202" s="135" t="s">
        <v>2853</v>
      </c>
      <c r="I2202" s="135" t="s">
        <v>82</v>
      </c>
      <c r="J2202" s="135">
        <v>1.0</v>
      </c>
      <c r="K2202" s="135"/>
      <c r="L2202" s="135"/>
      <c r="M2202" s="135"/>
      <c r="N2202" s="135"/>
      <c r="O2202" s="135">
        <v>0.82</v>
      </c>
      <c r="P2202" s="136">
        <v>0.0</v>
      </c>
      <c r="Q2202" s="137">
        <v>2.05</v>
      </c>
      <c r="R2202" s="136">
        <v>46141.0</v>
      </c>
      <c r="S2202" s="135" t="s">
        <v>3924</v>
      </c>
      <c r="T2202" s="136"/>
      <c r="U2202" s="135"/>
      <c r="V2202" s="135"/>
      <c r="W2202" s="135"/>
      <c r="X2202" s="135"/>
      <c r="Y2202" s="135"/>
      <c r="Z2202" s="135"/>
      <c r="AA2202" s="135"/>
      <c r="AB2202" s="135"/>
      <c r="AC2202" s="135"/>
      <c r="AD2202" s="135" t="e">
        <v>#N/A</v>
      </c>
      <c r="AE2202" s="135"/>
      <c r="AF2202" s="135"/>
      <c r="AG2202" s="135"/>
    </row>
    <row r="2203" ht="21.75" hidden="1" customHeight="1">
      <c r="A2203" s="135">
        <v>2199.0</v>
      </c>
      <c r="B2203" s="135">
        <v>25045.0</v>
      </c>
      <c r="C2203" s="135" t="s">
        <v>2817</v>
      </c>
      <c r="D2203" s="135">
        <v>34.0</v>
      </c>
      <c r="E2203" s="135" t="s">
        <v>3923</v>
      </c>
      <c r="F2203" s="135" t="s">
        <v>1730</v>
      </c>
      <c r="G2203" s="135" t="s">
        <v>76</v>
      </c>
      <c r="H2203" s="135" t="s">
        <v>2853</v>
      </c>
      <c r="I2203" s="135" t="s">
        <v>82</v>
      </c>
      <c r="J2203" s="135">
        <v>1.0</v>
      </c>
      <c r="K2203" s="135"/>
      <c r="L2203" s="135"/>
      <c r="M2203" s="135"/>
      <c r="N2203" s="135"/>
      <c r="O2203" s="135">
        <v>0.94</v>
      </c>
      <c r="P2203" s="136">
        <v>0.0</v>
      </c>
      <c r="Q2203" s="137">
        <v>2.3499999999999996</v>
      </c>
      <c r="R2203" s="136">
        <v>46141.0</v>
      </c>
      <c r="S2203" s="135" t="s">
        <v>3924</v>
      </c>
      <c r="T2203" s="136"/>
      <c r="U2203" s="135"/>
      <c r="V2203" s="135"/>
      <c r="W2203" s="135"/>
      <c r="X2203" s="135"/>
      <c r="Y2203" s="135"/>
      <c r="Z2203" s="135"/>
      <c r="AA2203" s="135"/>
      <c r="AB2203" s="135"/>
      <c r="AC2203" s="135"/>
      <c r="AD2203" s="135" t="e">
        <v>#N/A</v>
      </c>
      <c r="AE2203" s="135"/>
      <c r="AF2203" s="135"/>
      <c r="AG2203" s="135"/>
    </row>
    <row r="2204" ht="21.75" hidden="1" customHeight="1">
      <c r="A2204" s="135">
        <v>2200.0</v>
      </c>
      <c r="B2204" s="135">
        <v>25045.0</v>
      </c>
      <c r="C2204" s="135"/>
      <c r="D2204" s="135">
        <v>34.0</v>
      </c>
      <c r="E2204" s="135" t="s">
        <v>3923</v>
      </c>
      <c r="F2204" s="135" t="s">
        <v>1731</v>
      </c>
      <c r="G2204" s="135" t="s">
        <v>76</v>
      </c>
      <c r="H2204" s="135" t="s">
        <v>2853</v>
      </c>
      <c r="I2204" s="135" t="s">
        <v>82</v>
      </c>
      <c r="J2204" s="135">
        <v>1.0</v>
      </c>
      <c r="K2204" s="135"/>
      <c r="L2204" s="135"/>
      <c r="M2204" s="135"/>
      <c r="N2204" s="135"/>
      <c r="O2204" s="135">
        <v>2.958</v>
      </c>
      <c r="P2204" s="136">
        <v>0.0</v>
      </c>
      <c r="Q2204" s="137">
        <v>7.3950000000000005</v>
      </c>
      <c r="R2204" s="136">
        <v>46141.0</v>
      </c>
      <c r="S2204" s="135" t="s">
        <v>3924</v>
      </c>
      <c r="T2204" s="136"/>
      <c r="U2204" s="135"/>
      <c r="V2204" s="135"/>
      <c r="W2204" s="135"/>
      <c r="X2204" s="135"/>
      <c r="Y2204" s="135"/>
      <c r="Z2204" s="135"/>
      <c r="AA2204" s="135"/>
      <c r="AB2204" s="135"/>
      <c r="AC2204" s="135"/>
      <c r="AD2204" s="135" t="e">
        <v>#N/A</v>
      </c>
      <c r="AE2204" s="135"/>
      <c r="AF2204" s="135"/>
      <c r="AG2204" s="135"/>
    </row>
    <row r="2205" ht="21.75" hidden="1" customHeight="1">
      <c r="A2205" s="135">
        <v>2201.0</v>
      </c>
      <c r="B2205" s="135">
        <v>25045.0</v>
      </c>
      <c r="C2205" s="135"/>
      <c r="D2205" s="135">
        <v>34.0</v>
      </c>
      <c r="E2205" s="135" t="s">
        <v>3923</v>
      </c>
      <c r="F2205" s="135" t="s">
        <v>1732</v>
      </c>
      <c r="G2205" s="135" t="s">
        <v>76</v>
      </c>
      <c r="H2205" s="135" t="s">
        <v>2853</v>
      </c>
      <c r="I2205" s="135" t="s">
        <v>82</v>
      </c>
      <c r="J2205" s="135">
        <v>1.0</v>
      </c>
      <c r="K2205" s="135"/>
      <c r="L2205" s="135"/>
      <c r="M2205" s="135"/>
      <c r="N2205" s="135"/>
      <c r="O2205" s="135">
        <v>1.925</v>
      </c>
      <c r="P2205" s="136">
        <v>0.0</v>
      </c>
      <c r="Q2205" s="137">
        <v>4.8125</v>
      </c>
      <c r="R2205" s="136">
        <v>46141.0</v>
      </c>
      <c r="S2205" s="135" t="s">
        <v>3924</v>
      </c>
      <c r="T2205" s="136"/>
      <c r="U2205" s="135"/>
      <c r="V2205" s="135"/>
      <c r="W2205" s="135"/>
      <c r="X2205" s="135"/>
      <c r="Y2205" s="135"/>
      <c r="Z2205" s="135"/>
      <c r="AA2205" s="135"/>
      <c r="AB2205" s="135"/>
      <c r="AC2205" s="135"/>
      <c r="AD2205" s="135" t="e">
        <v>#N/A</v>
      </c>
      <c r="AE2205" s="135"/>
      <c r="AF2205" s="135"/>
      <c r="AG2205" s="135"/>
    </row>
    <row r="2206" ht="21.75" hidden="1" customHeight="1">
      <c r="A2206" s="135">
        <v>2202.0</v>
      </c>
      <c r="B2206" s="135">
        <v>25045.0</v>
      </c>
      <c r="C2206" s="135"/>
      <c r="D2206" s="135">
        <v>34.0</v>
      </c>
      <c r="E2206" s="135" t="s">
        <v>3923</v>
      </c>
      <c r="F2206" s="135" t="s">
        <v>1733</v>
      </c>
      <c r="G2206" s="135" t="s">
        <v>76</v>
      </c>
      <c r="H2206" s="135" t="s">
        <v>2853</v>
      </c>
      <c r="I2206" s="135" t="s">
        <v>82</v>
      </c>
      <c r="J2206" s="135">
        <v>1.0</v>
      </c>
      <c r="K2206" s="135"/>
      <c r="L2206" s="135"/>
      <c r="M2206" s="135"/>
      <c r="N2206" s="135"/>
      <c r="O2206" s="135">
        <v>1.765</v>
      </c>
      <c r="P2206" s="136">
        <v>0.0</v>
      </c>
      <c r="Q2206" s="137">
        <v>4.4125</v>
      </c>
      <c r="R2206" s="136">
        <v>46141.0</v>
      </c>
      <c r="S2206" s="135" t="s">
        <v>3924</v>
      </c>
      <c r="T2206" s="136"/>
      <c r="U2206" s="135"/>
      <c r="V2206" s="135"/>
      <c r="W2206" s="135"/>
      <c r="X2206" s="135"/>
      <c r="Y2206" s="135"/>
      <c r="Z2206" s="135"/>
      <c r="AA2206" s="135"/>
      <c r="AB2206" s="135"/>
      <c r="AC2206" s="135"/>
      <c r="AD2206" s="135" t="e">
        <v>#N/A</v>
      </c>
      <c r="AE2206" s="135"/>
      <c r="AF2206" s="135"/>
      <c r="AG2206" s="135"/>
    </row>
    <row r="2207" ht="21.75" hidden="1" customHeight="1">
      <c r="A2207" s="135">
        <v>2203.0</v>
      </c>
      <c r="B2207" s="135">
        <v>25045.0</v>
      </c>
      <c r="C2207" s="135"/>
      <c r="D2207" s="135">
        <v>34.0</v>
      </c>
      <c r="E2207" s="135" t="s">
        <v>3923</v>
      </c>
      <c r="F2207" s="135" t="s">
        <v>1734</v>
      </c>
      <c r="G2207" s="135" t="s">
        <v>76</v>
      </c>
      <c r="H2207" s="135" t="s">
        <v>2853</v>
      </c>
      <c r="I2207" s="135" t="s">
        <v>82</v>
      </c>
      <c r="J2207" s="135">
        <v>1.0</v>
      </c>
      <c r="K2207" s="135"/>
      <c r="L2207" s="135"/>
      <c r="M2207" s="135"/>
      <c r="N2207" s="135"/>
      <c r="O2207" s="135">
        <v>1.614</v>
      </c>
      <c r="P2207" s="136">
        <v>0.0</v>
      </c>
      <c r="Q2207" s="137">
        <v>4.035</v>
      </c>
      <c r="R2207" s="136">
        <v>46141.0</v>
      </c>
      <c r="S2207" s="135" t="s">
        <v>3924</v>
      </c>
      <c r="T2207" s="136"/>
      <c r="U2207" s="135"/>
      <c r="V2207" s="135"/>
      <c r="W2207" s="135"/>
      <c r="X2207" s="135"/>
      <c r="Y2207" s="135"/>
      <c r="Z2207" s="135"/>
      <c r="AA2207" s="135"/>
      <c r="AB2207" s="135"/>
      <c r="AC2207" s="135"/>
      <c r="AD2207" s="135" t="e">
        <v>#N/A</v>
      </c>
      <c r="AE2207" s="135"/>
      <c r="AF2207" s="135"/>
      <c r="AG2207" s="135"/>
    </row>
    <row r="2208" ht="21.75" hidden="1" customHeight="1">
      <c r="A2208" s="135">
        <v>2204.0</v>
      </c>
      <c r="B2208" s="135">
        <v>25045.0</v>
      </c>
      <c r="C2208" s="135"/>
      <c r="D2208" s="135">
        <v>34.0</v>
      </c>
      <c r="E2208" s="135" t="s">
        <v>3923</v>
      </c>
      <c r="F2208" s="135" t="s">
        <v>1735</v>
      </c>
      <c r="G2208" s="135" t="s">
        <v>76</v>
      </c>
      <c r="H2208" s="135" t="s">
        <v>2853</v>
      </c>
      <c r="I2208" s="135" t="s">
        <v>82</v>
      </c>
      <c r="J2208" s="135">
        <v>1.0</v>
      </c>
      <c r="K2208" s="135"/>
      <c r="L2208" s="135"/>
      <c r="M2208" s="135"/>
      <c r="N2208" s="135"/>
      <c r="O2208" s="135">
        <v>2.105</v>
      </c>
      <c r="P2208" s="136">
        <v>0.0</v>
      </c>
      <c r="Q2208" s="137">
        <v>5.2625</v>
      </c>
      <c r="R2208" s="136">
        <v>46141.0</v>
      </c>
      <c r="S2208" s="135" t="s">
        <v>3924</v>
      </c>
      <c r="T2208" s="136"/>
      <c r="U2208" s="135"/>
      <c r="V2208" s="135"/>
      <c r="W2208" s="135"/>
      <c r="X2208" s="135"/>
      <c r="Y2208" s="135"/>
      <c r="Z2208" s="135"/>
      <c r="AA2208" s="135"/>
      <c r="AB2208" s="135"/>
      <c r="AC2208" s="135"/>
      <c r="AD2208" s="135" t="e">
        <v>#N/A</v>
      </c>
      <c r="AE2208" s="135"/>
      <c r="AF2208" s="135"/>
      <c r="AG2208" s="135"/>
    </row>
    <row r="2209" ht="21.75" hidden="1" customHeight="1">
      <c r="A2209" s="135">
        <v>2205.0</v>
      </c>
      <c r="B2209" s="135">
        <v>25045.0</v>
      </c>
      <c r="C2209" s="135"/>
      <c r="D2209" s="135">
        <v>34.0</v>
      </c>
      <c r="E2209" s="135" t="s">
        <v>3923</v>
      </c>
      <c r="F2209" s="135" t="s">
        <v>1736</v>
      </c>
      <c r="G2209" s="135" t="s">
        <v>76</v>
      </c>
      <c r="H2209" s="135" t="s">
        <v>2853</v>
      </c>
      <c r="I2209" s="135" t="s">
        <v>82</v>
      </c>
      <c r="J2209" s="135">
        <v>1.0</v>
      </c>
      <c r="K2209" s="135"/>
      <c r="L2209" s="135"/>
      <c r="M2209" s="135"/>
      <c r="N2209" s="135"/>
      <c r="O2209" s="135">
        <v>2.065</v>
      </c>
      <c r="P2209" s="136">
        <v>0.0</v>
      </c>
      <c r="Q2209" s="137">
        <v>5.1625</v>
      </c>
      <c r="R2209" s="136">
        <v>46141.0</v>
      </c>
      <c r="S2209" s="135" t="s">
        <v>3924</v>
      </c>
      <c r="T2209" s="136"/>
      <c r="U2209" s="135"/>
      <c r="V2209" s="135"/>
      <c r="W2209" s="135"/>
      <c r="X2209" s="135"/>
      <c r="Y2209" s="135"/>
      <c r="Z2209" s="135"/>
      <c r="AA2209" s="135"/>
      <c r="AB2209" s="135"/>
      <c r="AC2209" s="135"/>
      <c r="AD2209" s="135" t="e">
        <v>#N/A</v>
      </c>
      <c r="AE2209" s="135"/>
      <c r="AF2209" s="135"/>
      <c r="AG2209" s="135"/>
    </row>
    <row r="2210" ht="21.75" hidden="1" customHeight="1">
      <c r="A2210" s="135">
        <v>2206.0</v>
      </c>
      <c r="B2210" s="135">
        <v>25045.0</v>
      </c>
      <c r="C2210" s="135"/>
      <c r="D2210" s="135">
        <v>34.0</v>
      </c>
      <c r="E2210" s="135" t="s">
        <v>3923</v>
      </c>
      <c r="F2210" s="135" t="s">
        <v>1737</v>
      </c>
      <c r="G2210" s="135" t="s">
        <v>76</v>
      </c>
      <c r="H2210" s="135" t="s">
        <v>2853</v>
      </c>
      <c r="I2210" s="135" t="s">
        <v>82</v>
      </c>
      <c r="J2210" s="135">
        <v>1.0</v>
      </c>
      <c r="K2210" s="135"/>
      <c r="L2210" s="135"/>
      <c r="M2210" s="135"/>
      <c r="N2210" s="135"/>
      <c r="O2210" s="135">
        <v>2.34</v>
      </c>
      <c r="P2210" s="136">
        <v>0.0</v>
      </c>
      <c r="Q2210" s="137">
        <v>5.85</v>
      </c>
      <c r="R2210" s="136">
        <v>46141.0</v>
      </c>
      <c r="S2210" s="135" t="s">
        <v>3924</v>
      </c>
      <c r="T2210" s="136"/>
      <c r="U2210" s="135"/>
      <c r="V2210" s="135"/>
      <c r="W2210" s="135"/>
      <c r="X2210" s="135"/>
      <c r="Y2210" s="135"/>
      <c r="Z2210" s="135"/>
      <c r="AA2210" s="135"/>
      <c r="AB2210" s="135"/>
      <c r="AC2210" s="135"/>
      <c r="AD2210" s="135" t="e">
        <v>#N/A</v>
      </c>
      <c r="AE2210" s="135"/>
      <c r="AF2210" s="135"/>
      <c r="AG2210" s="135"/>
    </row>
    <row r="2211" ht="21.75" hidden="1" customHeight="1">
      <c r="A2211" s="135">
        <v>2207.0</v>
      </c>
      <c r="B2211" s="135">
        <v>25045.0</v>
      </c>
      <c r="C2211" s="135"/>
      <c r="D2211" s="135">
        <v>34.0</v>
      </c>
      <c r="E2211" s="135" t="s">
        <v>3923</v>
      </c>
      <c r="F2211" s="135" t="s">
        <v>1738</v>
      </c>
      <c r="G2211" s="135" t="s">
        <v>76</v>
      </c>
      <c r="H2211" s="135" t="s">
        <v>2853</v>
      </c>
      <c r="I2211" s="135" t="s">
        <v>82</v>
      </c>
      <c r="J2211" s="135">
        <v>1.0</v>
      </c>
      <c r="K2211" s="135"/>
      <c r="L2211" s="135"/>
      <c r="M2211" s="135"/>
      <c r="N2211" s="135"/>
      <c r="O2211" s="135">
        <v>1.69</v>
      </c>
      <c r="P2211" s="136">
        <v>0.0</v>
      </c>
      <c r="Q2211" s="137">
        <v>4.225</v>
      </c>
      <c r="R2211" s="136">
        <v>46141.0</v>
      </c>
      <c r="S2211" s="135" t="s">
        <v>3924</v>
      </c>
      <c r="T2211" s="136"/>
      <c r="U2211" s="135"/>
      <c r="V2211" s="135"/>
      <c r="W2211" s="135"/>
      <c r="X2211" s="135"/>
      <c r="Y2211" s="135"/>
      <c r="Z2211" s="135"/>
      <c r="AA2211" s="135"/>
      <c r="AB2211" s="135"/>
      <c r="AC2211" s="135"/>
      <c r="AD2211" s="135" t="e">
        <v>#N/A</v>
      </c>
      <c r="AE2211" s="135"/>
      <c r="AF2211" s="135"/>
      <c r="AG2211" s="135"/>
    </row>
    <row r="2212" ht="21.75" hidden="1" customHeight="1">
      <c r="A2212" s="135">
        <v>2208.0</v>
      </c>
      <c r="B2212" s="135">
        <v>25045.0</v>
      </c>
      <c r="C2212" s="135"/>
      <c r="D2212" s="135">
        <v>34.0</v>
      </c>
      <c r="E2212" s="135" t="s">
        <v>3923</v>
      </c>
      <c r="F2212" s="135" t="s">
        <v>1739</v>
      </c>
      <c r="G2212" s="135" t="s">
        <v>76</v>
      </c>
      <c r="H2212" s="135" t="s">
        <v>2853</v>
      </c>
      <c r="I2212" s="135" t="s">
        <v>82</v>
      </c>
      <c r="J2212" s="135">
        <v>1.0</v>
      </c>
      <c r="K2212" s="135"/>
      <c r="L2212" s="135"/>
      <c r="M2212" s="135"/>
      <c r="N2212" s="135"/>
      <c r="O2212" s="135">
        <v>1.69</v>
      </c>
      <c r="P2212" s="136">
        <v>0.0</v>
      </c>
      <c r="Q2212" s="137">
        <v>4.225</v>
      </c>
      <c r="R2212" s="136">
        <v>46141.0</v>
      </c>
      <c r="S2212" s="135" t="s">
        <v>3924</v>
      </c>
      <c r="T2212" s="136"/>
      <c r="U2212" s="135"/>
      <c r="V2212" s="135"/>
      <c r="W2212" s="135"/>
      <c r="X2212" s="135"/>
      <c r="Y2212" s="135"/>
      <c r="Z2212" s="135"/>
      <c r="AA2212" s="135"/>
      <c r="AB2212" s="135"/>
      <c r="AC2212" s="135"/>
      <c r="AD2212" s="135" t="e">
        <v>#N/A</v>
      </c>
      <c r="AE2212" s="135"/>
      <c r="AF2212" s="135"/>
      <c r="AG2212" s="135"/>
    </row>
    <row r="2213" ht="21.75" hidden="1" customHeight="1">
      <c r="A2213" s="135">
        <v>2209.0</v>
      </c>
      <c r="B2213" s="135">
        <v>25045.0</v>
      </c>
      <c r="C2213" s="135"/>
      <c r="D2213" s="135">
        <v>34.0</v>
      </c>
      <c r="E2213" s="135" t="s">
        <v>3923</v>
      </c>
      <c r="F2213" s="135" t="s">
        <v>1740</v>
      </c>
      <c r="G2213" s="135" t="s">
        <v>76</v>
      </c>
      <c r="H2213" s="135" t="s">
        <v>2853</v>
      </c>
      <c r="I2213" s="135" t="s">
        <v>82</v>
      </c>
      <c r="J2213" s="135">
        <v>1.0</v>
      </c>
      <c r="K2213" s="135"/>
      <c r="L2213" s="135"/>
      <c r="M2213" s="135"/>
      <c r="N2213" s="135"/>
      <c r="O2213" s="135">
        <v>1.69</v>
      </c>
      <c r="P2213" s="136">
        <v>0.0</v>
      </c>
      <c r="Q2213" s="137">
        <v>4.225</v>
      </c>
      <c r="R2213" s="136">
        <v>46141.0</v>
      </c>
      <c r="S2213" s="135" t="s">
        <v>3924</v>
      </c>
      <c r="T2213" s="136"/>
      <c r="U2213" s="135"/>
      <c r="V2213" s="135"/>
      <c r="W2213" s="135"/>
      <c r="X2213" s="135"/>
      <c r="Y2213" s="135"/>
      <c r="Z2213" s="135"/>
      <c r="AA2213" s="135"/>
      <c r="AB2213" s="135"/>
      <c r="AC2213" s="135"/>
      <c r="AD2213" s="135" t="e">
        <v>#N/A</v>
      </c>
      <c r="AE2213" s="135"/>
      <c r="AF2213" s="135"/>
      <c r="AG2213" s="135"/>
    </row>
    <row r="2214" ht="21.75" hidden="1" customHeight="1">
      <c r="A2214" s="135">
        <v>2210.0</v>
      </c>
      <c r="B2214" s="135">
        <v>25045.0</v>
      </c>
      <c r="C2214" s="135"/>
      <c r="D2214" s="135">
        <v>34.0</v>
      </c>
      <c r="E2214" s="135" t="s">
        <v>3923</v>
      </c>
      <c r="F2214" s="135" t="s">
        <v>1741</v>
      </c>
      <c r="G2214" s="135" t="s">
        <v>76</v>
      </c>
      <c r="H2214" s="135" t="s">
        <v>2853</v>
      </c>
      <c r="I2214" s="135" t="s">
        <v>82</v>
      </c>
      <c r="J2214" s="135">
        <v>1.0</v>
      </c>
      <c r="K2214" s="135"/>
      <c r="L2214" s="135"/>
      <c r="M2214" s="135"/>
      <c r="N2214" s="135"/>
      <c r="O2214" s="135">
        <v>1.36</v>
      </c>
      <c r="P2214" s="136">
        <v>0.0</v>
      </c>
      <c r="Q2214" s="137">
        <v>3.4000000000000004</v>
      </c>
      <c r="R2214" s="136">
        <v>46141.0</v>
      </c>
      <c r="S2214" s="135" t="s">
        <v>3924</v>
      </c>
      <c r="T2214" s="136"/>
      <c r="U2214" s="135"/>
      <c r="V2214" s="135"/>
      <c r="W2214" s="135"/>
      <c r="X2214" s="135"/>
      <c r="Y2214" s="135"/>
      <c r="Z2214" s="135"/>
      <c r="AA2214" s="135"/>
      <c r="AB2214" s="135"/>
      <c r="AC2214" s="135"/>
      <c r="AD2214" s="135" t="e">
        <v>#N/A</v>
      </c>
      <c r="AE2214" s="135"/>
      <c r="AF2214" s="135"/>
      <c r="AG2214" s="135"/>
    </row>
    <row r="2215" ht="21.75" hidden="1" customHeight="1">
      <c r="A2215" s="135">
        <v>2211.0</v>
      </c>
      <c r="B2215" s="135">
        <v>25045.0</v>
      </c>
      <c r="C2215" s="135"/>
      <c r="D2215" s="135">
        <v>34.0</v>
      </c>
      <c r="E2215" s="135" t="s">
        <v>3923</v>
      </c>
      <c r="F2215" s="135" t="s">
        <v>1723</v>
      </c>
      <c r="G2215" s="135" t="s">
        <v>76</v>
      </c>
      <c r="H2215" s="135" t="s">
        <v>2853</v>
      </c>
      <c r="I2215" s="135" t="s">
        <v>82</v>
      </c>
      <c r="J2215" s="135">
        <v>1.0</v>
      </c>
      <c r="K2215" s="135"/>
      <c r="L2215" s="135">
        <v>3781.0</v>
      </c>
      <c r="M2215" s="135">
        <v>3410.0</v>
      </c>
      <c r="N2215" s="135">
        <v>300.0</v>
      </c>
      <c r="O2215" s="135">
        <v>2.518</v>
      </c>
      <c r="P2215" s="136">
        <v>0.0</v>
      </c>
      <c r="Q2215" s="137">
        <v>6.295</v>
      </c>
      <c r="R2215" s="136">
        <v>46141.0</v>
      </c>
      <c r="S2215" s="135" t="s">
        <v>3924</v>
      </c>
      <c r="T2215" s="136"/>
      <c r="U2215" s="135" t="s">
        <v>2864</v>
      </c>
      <c r="V2215" s="135" t="s">
        <v>3270</v>
      </c>
      <c r="W2215" s="135"/>
      <c r="X2215" s="135"/>
      <c r="Y2215" s="135" t="s">
        <v>2886</v>
      </c>
      <c r="Z2215" s="135" t="s">
        <v>2858</v>
      </c>
      <c r="AA2215" s="135"/>
      <c r="AB2215" s="135"/>
      <c r="AC2215" s="135"/>
      <c r="AD2215" s="135">
        <v>46149.0</v>
      </c>
      <c r="AE2215" s="135"/>
      <c r="AF2215" s="135"/>
      <c r="AG2215" s="135"/>
    </row>
    <row r="2216" ht="21.75" hidden="1" customHeight="1">
      <c r="A2216" s="135">
        <v>2212.0</v>
      </c>
      <c r="B2216" s="135">
        <v>25045.0</v>
      </c>
      <c r="C2216" s="135"/>
      <c r="D2216" s="135">
        <v>34.0</v>
      </c>
      <c r="E2216" s="135" t="s">
        <v>3923</v>
      </c>
      <c r="F2216" s="135" t="s">
        <v>1742</v>
      </c>
      <c r="G2216" s="135" t="s">
        <v>76</v>
      </c>
      <c r="H2216" s="135" t="s">
        <v>2853</v>
      </c>
      <c r="I2216" s="135" t="s">
        <v>82</v>
      </c>
      <c r="J2216" s="135">
        <v>1.0</v>
      </c>
      <c r="K2216" s="135"/>
      <c r="L2216" s="135"/>
      <c r="M2216" s="135"/>
      <c r="N2216" s="135"/>
      <c r="O2216" s="135">
        <v>1.069</v>
      </c>
      <c r="P2216" s="136">
        <v>0.0</v>
      </c>
      <c r="Q2216" s="137">
        <v>2.6725</v>
      </c>
      <c r="R2216" s="136">
        <v>46141.0</v>
      </c>
      <c r="S2216" s="135" t="s">
        <v>3924</v>
      </c>
      <c r="T2216" s="136"/>
      <c r="U2216" s="135"/>
      <c r="V2216" s="135"/>
      <c r="W2216" s="135"/>
      <c r="X2216" s="135"/>
      <c r="Y2216" s="135"/>
      <c r="Z2216" s="135"/>
      <c r="AA2216" s="135"/>
      <c r="AB2216" s="135"/>
      <c r="AC2216" s="135"/>
      <c r="AD2216" s="135" t="e">
        <v>#N/A</v>
      </c>
      <c r="AE2216" s="135"/>
      <c r="AF2216" s="135"/>
      <c r="AG2216" s="135"/>
    </row>
    <row r="2217" ht="21.75" hidden="1" customHeight="1">
      <c r="A2217" s="135">
        <v>2213.0</v>
      </c>
      <c r="B2217" s="135">
        <v>25045.0</v>
      </c>
      <c r="C2217" s="135"/>
      <c r="D2217" s="135">
        <v>34.0</v>
      </c>
      <c r="E2217" s="135" t="s">
        <v>3923</v>
      </c>
      <c r="F2217" s="135" t="s">
        <v>1743</v>
      </c>
      <c r="G2217" s="135" t="s">
        <v>76</v>
      </c>
      <c r="H2217" s="135" t="s">
        <v>2853</v>
      </c>
      <c r="I2217" s="135" t="s">
        <v>82</v>
      </c>
      <c r="J2217" s="135">
        <v>1.0</v>
      </c>
      <c r="K2217" s="135"/>
      <c r="L2217" s="135"/>
      <c r="M2217" s="135"/>
      <c r="N2217" s="135"/>
      <c r="O2217" s="135">
        <v>1.52</v>
      </c>
      <c r="P2217" s="136">
        <v>0.0</v>
      </c>
      <c r="Q2217" s="137">
        <v>3.8</v>
      </c>
      <c r="R2217" s="136">
        <v>46141.0</v>
      </c>
      <c r="S2217" s="135" t="s">
        <v>3924</v>
      </c>
      <c r="T2217" s="136"/>
      <c r="U2217" s="135"/>
      <c r="V2217" s="135"/>
      <c r="W2217" s="135"/>
      <c r="X2217" s="135"/>
      <c r="Y2217" s="135"/>
      <c r="Z2217" s="135"/>
      <c r="AA2217" s="135"/>
      <c r="AB2217" s="135"/>
      <c r="AC2217" s="135"/>
      <c r="AD2217" s="135" t="e">
        <v>#N/A</v>
      </c>
      <c r="AE2217" s="135"/>
      <c r="AF2217" s="135"/>
      <c r="AG2217" s="135"/>
    </row>
    <row r="2218" ht="21.75" hidden="1" customHeight="1">
      <c r="A2218" s="135">
        <v>2214.0</v>
      </c>
      <c r="B2218" s="135">
        <v>25045.0</v>
      </c>
      <c r="C2218" s="135"/>
      <c r="D2218" s="135">
        <v>34.0</v>
      </c>
      <c r="E2218" s="135" t="s">
        <v>3923</v>
      </c>
      <c r="F2218" s="135" t="s">
        <v>1744</v>
      </c>
      <c r="G2218" s="135" t="s">
        <v>76</v>
      </c>
      <c r="H2218" s="135" t="s">
        <v>2853</v>
      </c>
      <c r="I2218" s="135" t="s">
        <v>82</v>
      </c>
      <c r="J2218" s="135">
        <v>1.0</v>
      </c>
      <c r="K2218" s="135"/>
      <c r="L2218" s="135"/>
      <c r="M2218" s="135"/>
      <c r="N2218" s="135"/>
      <c r="O2218" s="135">
        <v>0.34</v>
      </c>
      <c r="P2218" s="136">
        <v>0.0</v>
      </c>
      <c r="Q2218" s="137">
        <v>0.8500000000000001</v>
      </c>
      <c r="R2218" s="136">
        <v>46141.0</v>
      </c>
      <c r="S2218" s="135" t="s">
        <v>3924</v>
      </c>
      <c r="T2218" s="136"/>
      <c r="U2218" s="135"/>
      <c r="V2218" s="135"/>
      <c r="W2218" s="135"/>
      <c r="X2218" s="135"/>
      <c r="Y2218" s="135"/>
      <c r="Z2218" s="135"/>
      <c r="AA2218" s="135"/>
      <c r="AB2218" s="135"/>
      <c r="AC2218" s="135"/>
      <c r="AD2218" s="135" t="e">
        <v>#N/A</v>
      </c>
      <c r="AE2218" s="135"/>
      <c r="AF2218" s="135"/>
      <c r="AG2218" s="135"/>
    </row>
    <row r="2219" ht="21.75" hidden="1" customHeight="1">
      <c r="A2219" s="135">
        <v>2215.0</v>
      </c>
      <c r="B2219" s="135">
        <v>25045.0</v>
      </c>
      <c r="C2219" s="135"/>
      <c r="D2219" s="135">
        <v>34.0</v>
      </c>
      <c r="E2219" s="135" t="s">
        <v>3923</v>
      </c>
      <c r="F2219" s="135" t="s">
        <v>1745</v>
      </c>
      <c r="G2219" s="135" t="s">
        <v>76</v>
      </c>
      <c r="H2219" s="135" t="s">
        <v>2853</v>
      </c>
      <c r="I2219" s="135" t="s">
        <v>82</v>
      </c>
      <c r="J2219" s="135">
        <v>1.0</v>
      </c>
      <c r="K2219" s="135"/>
      <c r="L2219" s="135"/>
      <c r="M2219" s="135"/>
      <c r="N2219" s="135"/>
      <c r="O2219" s="135">
        <v>0.79</v>
      </c>
      <c r="P2219" s="136">
        <v>0.0</v>
      </c>
      <c r="Q2219" s="137">
        <v>1.975</v>
      </c>
      <c r="R2219" s="136">
        <v>46141.0</v>
      </c>
      <c r="S2219" s="135" t="s">
        <v>3924</v>
      </c>
      <c r="T2219" s="136"/>
      <c r="U2219" s="135"/>
      <c r="V2219" s="135"/>
      <c r="W2219" s="135"/>
      <c r="X2219" s="135"/>
      <c r="Y2219" s="135"/>
      <c r="Z2219" s="135"/>
      <c r="AA2219" s="135"/>
      <c r="AB2219" s="135"/>
      <c r="AC2219" s="135"/>
      <c r="AD2219" s="135">
        <v>0.0</v>
      </c>
      <c r="AE2219" s="135"/>
      <c r="AF2219" s="135"/>
      <c r="AG2219" s="135"/>
    </row>
    <row r="2220" ht="21.75" hidden="1" customHeight="1">
      <c r="A2220" s="135">
        <v>2216.0</v>
      </c>
      <c r="B2220" s="135">
        <v>25045.0</v>
      </c>
      <c r="C2220" s="135"/>
      <c r="D2220" s="135">
        <v>34.0</v>
      </c>
      <c r="E2220" s="135" t="s">
        <v>3923</v>
      </c>
      <c r="F2220" s="135" t="s">
        <v>1746</v>
      </c>
      <c r="G2220" s="135" t="s">
        <v>76</v>
      </c>
      <c r="H2220" s="135" t="s">
        <v>2965</v>
      </c>
      <c r="I2220" s="135" t="s">
        <v>82</v>
      </c>
      <c r="J2220" s="135">
        <v>1.0</v>
      </c>
      <c r="K2220" s="135"/>
      <c r="L2220" s="135"/>
      <c r="M2220" s="135"/>
      <c r="N2220" s="135"/>
      <c r="O2220" s="135">
        <v>0.46</v>
      </c>
      <c r="P2220" s="136">
        <v>0.0</v>
      </c>
      <c r="Q2220" s="137">
        <v>1.1500000000000001</v>
      </c>
      <c r="R2220" s="136">
        <v>46141.0</v>
      </c>
      <c r="S2220" s="135" t="s">
        <v>3924</v>
      </c>
      <c r="T2220" s="136"/>
      <c r="U2220" s="135"/>
      <c r="V2220" s="135"/>
      <c r="W2220" s="135"/>
      <c r="X2220" s="135"/>
      <c r="Y2220" s="135"/>
      <c r="Z2220" s="135"/>
      <c r="AA2220" s="135"/>
      <c r="AB2220" s="135"/>
      <c r="AC2220" s="135"/>
      <c r="AD2220" s="135" t="e">
        <v>#N/A</v>
      </c>
      <c r="AE2220" s="135"/>
      <c r="AF2220" s="135"/>
      <c r="AG2220" s="135"/>
    </row>
    <row r="2221" ht="21.75" hidden="1" customHeight="1">
      <c r="A2221" s="135">
        <v>2217.0</v>
      </c>
      <c r="B2221" s="135">
        <v>25045.0</v>
      </c>
      <c r="C2221" s="135" t="s">
        <v>2817</v>
      </c>
      <c r="D2221" s="135">
        <v>34.0</v>
      </c>
      <c r="E2221" s="135" t="s">
        <v>3949</v>
      </c>
      <c r="F2221" s="135" t="s">
        <v>2107</v>
      </c>
      <c r="G2221" s="135" t="s">
        <v>105</v>
      </c>
      <c r="H2221" s="135" t="s">
        <v>2853</v>
      </c>
      <c r="I2221" s="135" t="s">
        <v>106</v>
      </c>
      <c r="J2221" s="135">
        <v>1.0</v>
      </c>
      <c r="K2221" s="135" t="s">
        <v>3134</v>
      </c>
      <c r="L2221" s="135">
        <v>1477.0</v>
      </c>
      <c r="M2221" s="135">
        <v>1350.0</v>
      </c>
      <c r="N2221" s="135">
        <v>120.0</v>
      </c>
      <c r="O2221" s="135">
        <v>0.372</v>
      </c>
      <c r="P2221" s="136">
        <v>0.0</v>
      </c>
      <c r="Q2221" s="137">
        <v>0.9299999999999999</v>
      </c>
      <c r="R2221" s="136">
        <v>46139.0</v>
      </c>
      <c r="S2221" s="135" t="s">
        <v>3950</v>
      </c>
      <c r="T2221" s="136"/>
      <c r="U2221" s="135" t="s">
        <v>3951</v>
      </c>
      <c r="V2221" s="135" t="s">
        <v>2856</v>
      </c>
      <c r="W2221" s="135"/>
      <c r="X2221" s="135"/>
      <c r="Y2221" s="135"/>
      <c r="Z2221" s="135"/>
      <c r="AA2221" s="135"/>
      <c r="AB2221" s="135"/>
      <c r="AC2221" s="135"/>
      <c r="AD2221" s="135" t="e">
        <v>#N/A</v>
      </c>
      <c r="AE2221" s="135"/>
      <c r="AF2221" s="135"/>
      <c r="AG2221" s="135"/>
    </row>
    <row r="2222" ht="21.75" hidden="1" customHeight="1">
      <c r="A2222" s="135">
        <v>2218.0</v>
      </c>
      <c r="B2222" s="135">
        <v>25045.0</v>
      </c>
      <c r="C2222" s="135" t="s">
        <v>2817</v>
      </c>
      <c r="D2222" s="135">
        <v>34.0</v>
      </c>
      <c r="E2222" s="135" t="s">
        <v>3949</v>
      </c>
      <c r="F2222" s="135" t="s">
        <v>2108</v>
      </c>
      <c r="G2222" s="135" t="s">
        <v>105</v>
      </c>
      <c r="H2222" s="135" t="s">
        <v>2853</v>
      </c>
      <c r="I2222" s="135" t="s">
        <v>106</v>
      </c>
      <c r="J2222" s="135">
        <v>1.0</v>
      </c>
      <c r="K2222" s="135" t="s">
        <v>3134</v>
      </c>
      <c r="L2222" s="135">
        <v>1477.0</v>
      </c>
      <c r="M2222" s="135">
        <v>1350.0</v>
      </c>
      <c r="N2222" s="135">
        <v>120.0</v>
      </c>
      <c r="O2222" s="135">
        <v>0.372</v>
      </c>
      <c r="P2222" s="136">
        <v>0.0</v>
      </c>
      <c r="Q2222" s="137">
        <v>0.9299999999999999</v>
      </c>
      <c r="R2222" s="136">
        <v>46139.0</v>
      </c>
      <c r="S2222" s="135" t="s">
        <v>3950</v>
      </c>
      <c r="T2222" s="136"/>
      <c r="U2222" s="135" t="s">
        <v>3951</v>
      </c>
      <c r="V2222" s="135" t="s">
        <v>2856</v>
      </c>
      <c r="W2222" s="135"/>
      <c r="X2222" s="135"/>
      <c r="Y2222" s="135"/>
      <c r="Z2222" s="135"/>
      <c r="AA2222" s="135"/>
      <c r="AB2222" s="135"/>
      <c r="AC2222" s="135"/>
      <c r="AD2222" s="135" t="e">
        <v>#N/A</v>
      </c>
      <c r="AE2222" s="135"/>
      <c r="AF2222" s="135"/>
      <c r="AG2222" s="135"/>
    </row>
    <row r="2223" ht="21.75" hidden="1" customHeight="1">
      <c r="A2223" s="135">
        <v>2219.0</v>
      </c>
      <c r="B2223" s="135">
        <v>25045.0</v>
      </c>
      <c r="C2223" s="135" t="s">
        <v>2817</v>
      </c>
      <c r="D2223" s="135">
        <v>34.0</v>
      </c>
      <c r="E2223" s="135" t="s">
        <v>3949</v>
      </c>
      <c r="F2223" s="135" t="s">
        <v>2109</v>
      </c>
      <c r="G2223" s="135" t="s">
        <v>105</v>
      </c>
      <c r="H2223" s="135" t="s">
        <v>2853</v>
      </c>
      <c r="I2223" s="135" t="s">
        <v>106</v>
      </c>
      <c r="J2223" s="135">
        <v>1.0</v>
      </c>
      <c r="K2223" s="135" t="s">
        <v>3134</v>
      </c>
      <c r="L2223" s="135">
        <v>1477.0</v>
      </c>
      <c r="M2223" s="135">
        <v>1350.0</v>
      </c>
      <c r="N2223" s="135">
        <v>120.0</v>
      </c>
      <c r="O2223" s="135">
        <v>0.372</v>
      </c>
      <c r="P2223" s="136">
        <v>0.0</v>
      </c>
      <c r="Q2223" s="137">
        <v>0.9299999999999999</v>
      </c>
      <c r="R2223" s="136">
        <v>46139.0</v>
      </c>
      <c r="S2223" s="135" t="s">
        <v>3950</v>
      </c>
      <c r="T2223" s="136"/>
      <c r="U2223" s="135" t="s">
        <v>3951</v>
      </c>
      <c r="V2223" s="135" t="s">
        <v>2856</v>
      </c>
      <c r="W2223" s="135"/>
      <c r="X2223" s="135"/>
      <c r="Y2223" s="135"/>
      <c r="Z2223" s="135"/>
      <c r="AA2223" s="135"/>
      <c r="AB2223" s="135"/>
      <c r="AC2223" s="135"/>
      <c r="AD2223" s="135" t="e">
        <v>#N/A</v>
      </c>
      <c r="AE2223" s="135"/>
      <c r="AF2223" s="135"/>
      <c r="AG2223" s="135"/>
    </row>
    <row r="2224" ht="21.75" hidden="1" customHeight="1">
      <c r="A2224" s="135">
        <v>2220.0</v>
      </c>
      <c r="B2224" s="135">
        <v>25045.0</v>
      </c>
      <c r="C2224" s="135" t="s">
        <v>2817</v>
      </c>
      <c r="D2224" s="135">
        <v>34.0</v>
      </c>
      <c r="E2224" s="135" t="s">
        <v>3949</v>
      </c>
      <c r="F2224" s="135" t="s">
        <v>2110</v>
      </c>
      <c r="G2224" s="135" t="s">
        <v>105</v>
      </c>
      <c r="H2224" s="135" t="s">
        <v>2853</v>
      </c>
      <c r="I2224" s="135" t="s">
        <v>106</v>
      </c>
      <c r="J2224" s="135">
        <v>1.0</v>
      </c>
      <c r="K2224" s="135" t="s">
        <v>3134</v>
      </c>
      <c r="L2224" s="135">
        <v>1477.0</v>
      </c>
      <c r="M2224" s="135">
        <v>1350.0</v>
      </c>
      <c r="N2224" s="135">
        <v>120.0</v>
      </c>
      <c r="O2224" s="135">
        <v>0.372</v>
      </c>
      <c r="P2224" s="136">
        <v>0.0</v>
      </c>
      <c r="Q2224" s="137">
        <v>0.9299999999999999</v>
      </c>
      <c r="R2224" s="136">
        <v>46139.0</v>
      </c>
      <c r="S2224" s="135" t="s">
        <v>3950</v>
      </c>
      <c r="T2224" s="136"/>
      <c r="U2224" s="135" t="s">
        <v>3951</v>
      </c>
      <c r="V2224" s="135" t="s">
        <v>2856</v>
      </c>
      <c r="W2224" s="135"/>
      <c r="X2224" s="135"/>
      <c r="Y2224" s="135"/>
      <c r="Z2224" s="135"/>
      <c r="AA2224" s="135"/>
      <c r="AB2224" s="135"/>
      <c r="AC2224" s="135"/>
      <c r="AD2224" s="135" t="e">
        <v>#N/A</v>
      </c>
      <c r="AE2224" s="135"/>
      <c r="AF2224" s="135"/>
      <c r="AG2224" s="135"/>
    </row>
    <row r="2225" ht="21.75" hidden="1" customHeight="1">
      <c r="A2225" s="135">
        <v>2221.0</v>
      </c>
      <c r="B2225" s="135">
        <v>25045.0</v>
      </c>
      <c r="C2225" s="135" t="s">
        <v>2817</v>
      </c>
      <c r="D2225" s="135">
        <v>34.0</v>
      </c>
      <c r="E2225" s="135" t="s">
        <v>3949</v>
      </c>
      <c r="F2225" s="135" t="s">
        <v>2111</v>
      </c>
      <c r="G2225" s="135" t="s">
        <v>105</v>
      </c>
      <c r="H2225" s="135" t="s">
        <v>2853</v>
      </c>
      <c r="I2225" s="135" t="s">
        <v>106</v>
      </c>
      <c r="J2225" s="135">
        <v>1.0</v>
      </c>
      <c r="K2225" s="135" t="s">
        <v>3134</v>
      </c>
      <c r="L2225" s="135">
        <v>5451.0</v>
      </c>
      <c r="M2225" s="135">
        <v>1350.0</v>
      </c>
      <c r="N2225" s="135">
        <v>120.0</v>
      </c>
      <c r="O2225" s="135">
        <v>0.953</v>
      </c>
      <c r="P2225" s="136">
        <v>0.0</v>
      </c>
      <c r="Q2225" s="137">
        <v>2.3825</v>
      </c>
      <c r="R2225" s="136">
        <v>46139.0</v>
      </c>
      <c r="S2225" s="135" t="s">
        <v>3950</v>
      </c>
      <c r="T2225" s="136"/>
      <c r="U2225" s="135" t="s">
        <v>2972</v>
      </c>
      <c r="V2225" s="135" t="s">
        <v>2856</v>
      </c>
      <c r="W2225" s="135">
        <v>1800.0</v>
      </c>
      <c r="X2225" s="135"/>
      <c r="Y2225" s="135"/>
      <c r="Z2225" s="135"/>
      <c r="AA2225" s="135"/>
      <c r="AB2225" s="135"/>
      <c r="AC2225" s="135"/>
      <c r="AD2225" s="135" t="e">
        <v>#N/A</v>
      </c>
      <c r="AE2225" s="135"/>
      <c r="AF2225" s="135"/>
      <c r="AG2225" s="135"/>
    </row>
    <row r="2226" ht="21.75" hidden="1" customHeight="1">
      <c r="A2226" s="135">
        <v>2222.0</v>
      </c>
      <c r="B2226" s="135">
        <v>25045.0</v>
      </c>
      <c r="C2226" s="135" t="s">
        <v>2817</v>
      </c>
      <c r="D2226" s="135">
        <v>34.0</v>
      </c>
      <c r="E2226" s="135" t="s">
        <v>3949</v>
      </c>
      <c r="F2226" s="135" t="s">
        <v>2112</v>
      </c>
      <c r="G2226" s="135" t="s">
        <v>105</v>
      </c>
      <c r="H2226" s="135" t="s">
        <v>2853</v>
      </c>
      <c r="I2226" s="135" t="s">
        <v>106</v>
      </c>
      <c r="J2226" s="135">
        <v>1.0</v>
      </c>
      <c r="K2226" s="135" t="s">
        <v>3134</v>
      </c>
      <c r="L2226" s="135">
        <v>5451.0</v>
      </c>
      <c r="M2226" s="135">
        <v>1350.0</v>
      </c>
      <c r="N2226" s="135">
        <v>120.0</v>
      </c>
      <c r="O2226" s="135">
        <v>0.953</v>
      </c>
      <c r="P2226" s="136">
        <v>0.0</v>
      </c>
      <c r="Q2226" s="137">
        <v>2.3825</v>
      </c>
      <c r="R2226" s="136">
        <v>46139.0</v>
      </c>
      <c r="S2226" s="135" t="s">
        <v>3950</v>
      </c>
      <c r="T2226" s="136"/>
      <c r="U2226" s="135" t="s">
        <v>2972</v>
      </c>
      <c r="V2226" s="135" t="s">
        <v>2856</v>
      </c>
      <c r="W2226" s="135">
        <v>1800.0</v>
      </c>
      <c r="X2226" s="135"/>
      <c r="Y2226" s="135"/>
      <c r="Z2226" s="135"/>
      <c r="AA2226" s="135"/>
      <c r="AB2226" s="135"/>
      <c r="AC2226" s="135"/>
      <c r="AD2226" s="135" t="e">
        <v>#N/A</v>
      </c>
      <c r="AE2226" s="135"/>
      <c r="AF2226" s="135"/>
      <c r="AG2226" s="135"/>
    </row>
    <row r="2227" ht="21.75" hidden="1" customHeight="1">
      <c r="A2227" s="135">
        <v>2223.0</v>
      </c>
      <c r="B2227" s="135">
        <v>25045.0</v>
      </c>
      <c r="C2227" s="135" t="s">
        <v>2817</v>
      </c>
      <c r="D2227" s="135">
        <v>34.0</v>
      </c>
      <c r="E2227" s="135" t="s">
        <v>3949</v>
      </c>
      <c r="F2227" s="135" t="s">
        <v>2113</v>
      </c>
      <c r="G2227" s="135" t="s">
        <v>105</v>
      </c>
      <c r="H2227" s="135" t="s">
        <v>2853</v>
      </c>
      <c r="I2227" s="135" t="s">
        <v>106</v>
      </c>
      <c r="J2227" s="135">
        <v>1.0</v>
      </c>
      <c r="K2227" s="135" t="s">
        <v>3134</v>
      </c>
      <c r="L2227" s="135">
        <v>5451.0</v>
      </c>
      <c r="M2227" s="135">
        <v>1350.0</v>
      </c>
      <c r="N2227" s="135">
        <v>120.0</v>
      </c>
      <c r="O2227" s="135">
        <v>0.953</v>
      </c>
      <c r="P2227" s="136">
        <v>0.0</v>
      </c>
      <c r="Q2227" s="137">
        <v>2.3825</v>
      </c>
      <c r="R2227" s="136">
        <v>46139.0</v>
      </c>
      <c r="S2227" s="135" t="s">
        <v>3950</v>
      </c>
      <c r="T2227" s="136"/>
      <c r="U2227" s="135" t="s">
        <v>2972</v>
      </c>
      <c r="V2227" s="135" t="s">
        <v>2856</v>
      </c>
      <c r="W2227" s="135">
        <v>1800.0</v>
      </c>
      <c r="X2227" s="135"/>
      <c r="Y2227" s="135"/>
      <c r="Z2227" s="135"/>
      <c r="AA2227" s="135"/>
      <c r="AB2227" s="135"/>
      <c r="AC2227" s="135"/>
      <c r="AD2227" s="135" t="e">
        <v>#N/A</v>
      </c>
      <c r="AE2227" s="135"/>
      <c r="AF2227" s="135"/>
      <c r="AG2227" s="135"/>
    </row>
    <row r="2228" ht="21.75" hidden="1" customHeight="1">
      <c r="A2228" s="135">
        <v>2224.0</v>
      </c>
      <c r="B2228" s="135">
        <v>25045.0</v>
      </c>
      <c r="C2228" s="135" t="s">
        <v>2817</v>
      </c>
      <c r="D2228" s="135">
        <v>34.0</v>
      </c>
      <c r="E2228" s="135" t="s">
        <v>3949</v>
      </c>
      <c r="F2228" s="135" t="s">
        <v>2114</v>
      </c>
      <c r="G2228" s="135" t="s">
        <v>105</v>
      </c>
      <c r="H2228" s="135" t="s">
        <v>2853</v>
      </c>
      <c r="I2228" s="135" t="s">
        <v>106</v>
      </c>
      <c r="J2228" s="135">
        <v>1.0</v>
      </c>
      <c r="K2228" s="135" t="s">
        <v>3134</v>
      </c>
      <c r="L2228" s="135">
        <v>5451.0</v>
      </c>
      <c r="M2228" s="135">
        <v>1350.0</v>
      </c>
      <c r="N2228" s="135">
        <v>120.0</v>
      </c>
      <c r="O2228" s="135">
        <v>0.953</v>
      </c>
      <c r="P2228" s="136">
        <v>0.0</v>
      </c>
      <c r="Q2228" s="137">
        <v>2.3825</v>
      </c>
      <c r="R2228" s="136">
        <v>46139.0</v>
      </c>
      <c r="S2228" s="135" t="s">
        <v>3950</v>
      </c>
      <c r="T2228" s="136"/>
      <c r="U2228" s="135" t="s">
        <v>2972</v>
      </c>
      <c r="V2228" s="135" t="s">
        <v>2856</v>
      </c>
      <c r="W2228" s="135">
        <v>1800.0</v>
      </c>
      <c r="X2228" s="135"/>
      <c r="Y2228" s="135"/>
      <c r="Z2228" s="135"/>
      <c r="AA2228" s="135"/>
      <c r="AB2228" s="135"/>
      <c r="AC2228" s="135"/>
      <c r="AD2228" s="135" t="e">
        <v>#N/A</v>
      </c>
      <c r="AE2228" s="135"/>
      <c r="AF2228" s="135"/>
      <c r="AG2228" s="135"/>
    </row>
    <row r="2229" ht="21.75" hidden="1" customHeight="1">
      <c r="A2229" s="135">
        <v>2225.0</v>
      </c>
      <c r="B2229" s="135">
        <v>25045.0</v>
      </c>
      <c r="C2229" s="135" t="s">
        <v>2817</v>
      </c>
      <c r="D2229" s="135">
        <v>34.0</v>
      </c>
      <c r="E2229" s="135" t="s">
        <v>3949</v>
      </c>
      <c r="F2229" s="135" t="s">
        <v>2115</v>
      </c>
      <c r="G2229" s="135" t="s">
        <v>105</v>
      </c>
      <c r="H2229" s="135" t="s">
        <v>2853</v>
      </c>
      <c r="I2229" s="135" t="s">
        <v>106</v>
      </c>
      <c r="J2229" s="135">
        <v>1.0</v>
      </c>
      <c r="K2229" s="135"/>
      <c r="L2229" s="135">
        <v>3000.0</v>
      </c>
      <c r="M2229" s="135">
        <v>2850.0</v>
      </c>
      <c r="N2229" s="135">
        <v>120.0</v>
      </c>
      <c r="O2229" s="135">
        <v>1.041</v>
      </c>
      <c r="P2229" s="136">
        <v>0.0</v>
      </c>
      <c r="Q2229" s="137">
        <v>2.6025</v>
      </c>
      <c r="R2229" s="136">
        <v>46139.0</v>
      </c>
      <c r="S2229" s="135" t="s">
        <v>3950</v>
      </c>
      <c r="T2229" s="136"/>
      <c r="U2229" s="135" t="s">
        <v>3951</v>
      </c>
      <c r="V2229" s="135" t="s">
        <v>2878</v>
      </c>
      <c r="W2229" s="135"/>
      <c r="X2229" s="135" t="s">
        <v>3586</v>
      </c>
      <c r="Y2229" s="135"/>
      <c r="Z2229" s="135"/>
      <c r="AA2229" s="135"/>
      <c r="AB2229" s="135"/>
      <c r="AC2229" s="135"/>
      <c r="AD2229" s="135" t="e">
        <v>#N/A</v>
      </c>
      <c r="AE2229" s="135"/>
      <c r="AF2229" s="135"/>
      <c r="AG2229" s="135"/>
    </row>
    <row r="2230" ht="21.75" hidden="1" customHeight="1">
      <c r="A2230" s="135">
        <v>2226.0</v>
      </c>
      <c r="B2230" s="135">
        <v>25045.0</v>
      </c>
      <c r="C2230" s="135"/>
      <c r="D2230" s="135">
        <v>34.0</v>
      </c>
      <c r="E2230" s="135" t="s">
        <v>3949</v>
      </c>
      <c r="F2230" s="135" t="s">
        <v>2116</v>
      </c>
      <c r="G2230" s="135" t="s">
        <v>105</v>
      </c>
      <c r="H2230" s="135" t="s">
        <v>2853</v>
      </c>
      <c r="I2230" s="135" t="s">
        <v>106</v>
      </c>
      <c r="J2230" s="135">
        <v>1.0</v>
      </c>
      <c r="K2230" s="135"/>
      <c r="L2230" s="135">
        <v>1590.0</v>
      </c>
      <c r="M2230" s="135">
        <v>3100.0</v>
      </c>
      <c r="N2230" s="135">
        <v>120.0</v>
      </c>
      <c r="O2230" s="135">
        <v>0.837</v>
      </c>
      <c r="P2230" s="136">
        <v>0.0</v>
      </c>
      <c r="Q2230" s="137">
        <v>2.0925</v>
      </c>
      <c r="R2230" s="136">
        <v>46139.0</v>
      </c>
      <c r="S2230" s="135" t="s">
        <v>3950</v>
      </c>
      <c r="T2230" s="136"/>
      <c r="U2230" s="135" t="s">
        <v>3951</v>
      </c>
      <c r="V2230" s="135" t="s">
        <v>2878</v>
      </c>
      <c r="W2230" s="135"/>
      <c r="X2230" s="135"/>
      <c r="Y2230" s="135"/>
      <c r="Z2230" s="135"/>
      <c r="AA2230" s="135"/>
      <c r="AB2230" s="135"/>
      <c r="AC2230" s="135"/>
      <c r="AD2230" s="135">
        <v>46155.0</v>
      </c>
      <c r="AE2230" s="135"/>
      <c r="AF2230" s="135"/>
      <c r="AG2230" s="135"/>
    </row>
    <row r="2231" ht="21.75" hidden="1" customHeight="1">
      <c r="A2231" s="135">
        <v>2227.0</v>
      </c>
      <c r="B2231" s="135">
        <v>25045.0</v>
      </c>
      <c r="C2231" s="135"/>
      <c r="D2231" s="135">
        <v>34.0</v>
      </c>
      <c r="E2231" s="135" t="s">
        <v>3949</v>
      </c>
      <c r="F2231" s="135" t="s">
        <v>2117</v>
      </c>
      <c r="G2231" s="135" t="s">
        <v>105</v>
      </c>
      <c r="H2231" s="135" t="s">
        <v>2853</v>
      </c>
      <c r="I2231" s="135" t="s">
        <v>106</v>
      </c>
      <c r="J2231" s="135">
        <v>1.0</v>
      </c>
      <c r="K2231" s="135"/>
      <c r="L2231" s="135">
        <v>4067.0</v>
      </c>
      <c r="M2231" s="135">
        <v>3100.0</v>
      </c>
      <c r="N2231" s="135">
        <v>120.0</v>
      </c>
      <c r="O2231" s="135">
        <v>1.292</v>
      </c>
      <c r="P2231" s="136">
        <v>0.0</v>
      </c>
      <c r="Q2231" s="137">
        <v>3.23</v>
      </c>
      <c r="R2231" s="136">
        <v>46139.0</v>
      </c>
      <c r="S2231" s="135" t="s">
        <v>3950</v>
      </c>
      <c r="T2231" s="136"/>
      <c r="U2231" s="135" t="s">
        <v>3951</v>
      </c>
      <c r="V2231" s="135" t="s">
        <v>2865</v>
      </c>
      <c r="W2231" s="135"/>
      <c r="X2231" s="135" t="s">
        <v>2892</v>
      </c>
      <c r="Y2231" s="135"/>
      <c r="Z2231" s="135"/>
      <c r="AA2231" s="135"/>
      <c r="AB2231" s="135"/>
      <c r="AC2231" s="135"/>
      <c r="AD2231" s="135">
        <v>0.0</v>
      </c>
      <c r="AE2231" s="135"/>
      <c r="AF2231" s="135"/>
      <c r="AG2231" s="135"/>
    </row>
    <row r="2232" ht="21.75" hidden="1" customHeight="1">
      <c r="A2232" s="135">
        <v>2228.0</v>
      </c>
      <c r="B2232" s="135">
        <v>25045.0</v>
      </c>
      <c r="C2232" s="135"/>
      <c r="D2232" s="135">
        <v>34.0</v>
      </c>
      <c r="E2232" s="135" t="s">
        <v>3949</v>
      </c>
      <c r="F2232" s="135" t="s">
        <v>2118</v>
      </c>
      <c r="G2232" s="135" t="s">
        <v>105</v>
      </c>
      <c r="H2232" s="135" t="s">
        <v>2853</v>
      </c>
      <c r="I2232" s="135" t="s">
        <v>106</v>
      </c>
      <c r="J2232" s="135">
        <v>1.0</v>
      </c>
      <c r="K2232" s="135"/>
      <c r="L2232" s="135">
        <v>4800.0</v>
      </c>
      <c r="M2232" s="135">
        <v>3100.0</v>
      </c>
      <c r="N2232" s="135">
        <v>120.0</v>
      </c>
      <c r="O2232" s="135">
        <v>1.951</v>
      </c>
      <c r="P2232" s="136">
        <v>0.0</v>
      </c>
      <c r="Q2232" s="137">
        <v>4.8775</v>
      </c>
      <c r="R2232" s="136">
        <v>46139.0</v>
      </c>
      <c r="S2232" s="135" t="s">
        <v>3950</v>
      </c>
      <c r="T2232" s="136"/>
      <c r="U2232" s="135" t="s">
        <v>3952</v>
      </c>
      <c r="V2232" s="135" t="s">
        <v>2868</v>
      </c>
      <c r="W2232" s="135">
        <v>2500.0</v>
      </c>
      <c r="X2232" s="135"/>
      <c r="Y2232" s="135"/>
      <c r="Z2232" s="135"/>
      <c r="AA2232" s="135"/>
      <c r="AB2232" s="135"/>
      <c r="AC2232" s="135"/>
      <c r="AD2232" s="135">
        <v>0.0</v>
      </c>
      <c r="AE2232" s="135"/>
      <c r="AF2232" s="135"/>
      <c r="AG2232" s="135"/>
    </row>
    <row r="2233" ht="21.75" hidden="1" customHeight="1">
      <c r="A2233" s="135">
        <v>2229.0</v>
      </c>
      <c r="B2233" s="135">
        <v>25045.0</v>
      </c>
      <c r="C2233" s="135"/>
      <c r="D2233" s="135">
        <v>34.0</v>
      </c>
      <c r="E2233" s="135" t="s">
        <v>3949</v>
      </c>
      <c r="F2233" s="135" t="s">
        <v>2119</v>
      </c>
      <c r="G2233" s="135" t="s">
        <v>105</v>
      </c>
      <c r="H2233" s="135" t="s">
        <v>2853</v>
      </c>
      <c r="I2233" s="135" t="s">
        <v>106</v>
      </c>
      <c r="J2233" s="135">
        <v>1.0</v>
      </c>
      <c r="K2233" s="135"/>
      <c r="L2233" s="135">
        <v>5140.0</v>
      </c>
      <c r="M2233" s="135">
        <v>3100.0</v>
      </c>
      <c r="N2233" s="135">
        <v>120.0</v>
      </c>
      <c r="O2233" s="135">
        <v>2.039</v>
      </c>
      <c r="P2233" s="136">
        <v>0.0</v>
      </c>
      <c r="Q2233" s="137">
        <v>5.0975</v>
      </c>
      <c r="R2233" s="136">
        <v>46139.0</v>
      </c>
      <c r="S2233" s="135" t="s">
        <v>3950</v>
      </c>
      <c r="T2233" s="136"/>
      <c r="U2233" s="135" t="s">
        <v>3952</v>
      </c>
      <c r="V2233" s="135" t="s">
        <v>2868</v>
      </c>
      <c r="W2233" s="135">
        <v>1800.0</v>
      </c>
      <c r="X2233" s="135"/>
      <c r="Y2233" s="135"/>
      <c r="Z2233" s="135"/>
      <c r="AA2233" s="135"/>
      <c r="AB2233" s="135"/>
      <c r="AC2233" s="135"/>
      <c r="AD2233" s="135">
        <v>46155.0</v>
      </c>
      <c r="AE2233" s="135"/>
      <c r="AF2233" s="135"/>
      <c r="AG2233" s="135"/>
    </row>
    <row r="2234" ht="21.75" hidden="1" customHeight="1">
      <c r="A2234" s="135">
        <v>2230.0</v>
      </c>
      <c r="B2234" s="135">
        <v>25045.0</v>
      </c>
      <c r="C2234" s="135"/>
      <c r="D2234" s="135">
        <v>34.0</v>
      </c>
      <c r="E2234" s="135" t="s">
        <v>3949</v>
      </c>
      <c r="F2234" s="135" t="s">
        <v>2120</v>
      </c>
      <c r="G2234" s="135" t="s">
        <v>105</v>
      </c>
      <c r="H2234" s="135" t="s">
        <v>2853</v>
      </c>
      <c r="I2234" s="135" t="s">
        <v>106</v>
      </c>
      <c r="J2234" s="135">
        <v>1.0</v>
      </c>
      <c r="K2234" s="135"/>
      <c r="L2234" s="135">
        <v>5090.0</v>
      </c>
      <c r="M2234" s="135">
        <v>3100.0</v>
      </c>
      <c r="N2234" s="135">
        <v>120.0</v>
      </c>
      <c r="O2234" s="135">
        <v>2.025</v>
      </c>
      <c r="P2234" s="136">
        <v>0.0</v>
      </c>
      <c r="Q2234" s="137">
        <v>5.0625</v>
      </c>
      <c r="R2234" s="136">
        <v>46139.0</v>
      </c>
      <c r="S2234" s="135" t="s">
        <v>3950</v>
      </c>
      <c r="T2234" s="136"/>
      <c r="U2234" s="135" t="s">
        <v>3952</v>
      </c>
      <c r="V2234" s="135" t="s">
        <v>2868</v>
      </c>
      <c r="W2234" s="135">
        <v>1800.0</v>
      </c>
      <c r="X2234" s="135"/>
      <c r="Y2234" s="135"/>
      <c r="Z2234" s="135"/>
      <c r="AA2234" s="135"/>
      <c r="AB2234" s="135"/>
      <c r="AC2234" s="135"/>
      <c r="AD2234" s="135">
        <v>46156.0</v>
      </c>
      <c r="AE2234" s="135"/>
      <c r="AF2234" s="135"/>
      <c r="AG2234" s="135"/>
    </row>
    <row r="2235" ht="21.75" hidden="1" customHeight="1">
      <c r="A2235" s="135">
        <v>2231.0</v>
      </c>
      <c r="B2235" s="135">
        <v>25045.0</v>
      </c>
      <c r="C2235" s="135"/>
      <c r="D2235" s="135">
        <v>34.0</v>
      </c>
      <c r="E2235" s="135" t="s">
        <v>3949</v>
      </c>
      <c r="F2235" s="135" t="s">
        <v>2121</v>
      </c>
      <c r="G2235" s="135" t="s">
        <v>105</v>
      </c>
      <c r="H2235" s="135" t="s">
        <v>2853</v>
      </c>
      <c r="I2235" s="135" t="s">
        <v>106</v>
      </c>
      <c r="J2235" s="135">
        <v>1.0</v>
      </c>
      <c r="K2235" s="135"/>
      <c r="L2235" s="135">
        <v>4338.0</v>
      </c>
      <c r="M2235" s="135">
        <v>3000.0</v>
      </c>
      <c r="N2235" s="135">
        <v>120.0</v>
      </c>
      <c r="O2235" s="135">
        <v>1.827</v>
      </c>
      <c r="P2235" s="136">
        <v>0.0</v>
      </c>
      <c r="Q2235" s="137">
        <v>4.5675</v>
      </c>
      <c r="R2235" s="136">
        <v>46139.0</v>
      </c>
      <c r="S2235" s="135" t="s">
        <v>3950</v>
      </c>
      <c r="T2235" s="136"/>
      <c r="U2235" s="135" t="s">
        <v>3952</v>
      </c>
      <c r="V2235" s="135" t="s">
        <v>2876</v>
      </c>
      <c r="W2235" s="135">
        <v>1800.0</v>
      </c>
      <c r="X2235" s="135"/>
      <c r="Y2235" s="135"/>
      <c r="Z2235" s="135"/>
      <c r="AA2235" s="135"/>
      <c r="AB2235" s="135"/>
      <c r="AC2235" s="135"/>
      <c r="AD2235" s="135">
        <v>46155.0</v>
      </c>
      <c r="AE2235" s="135"/>
      <c r="AF2235" s="135"/>
      <c r="AG2235" s="135"/>
    </row>
    <row r="2236" ht="21.75" hidden="1" customHeight="1">
      <c r="A2236" s="135">
        <v>2232.0</v>
      </c>
      <c r="B2236" s="135">
        <v>25045.0</v>
      </c>
      <c r="C2236" s="135"/>
      <c r="D2236" s="135">
        <v>34.0</v>
      </c>
      <c r="E2236" s="135" t="s">
        <v>3949</v>
      </c>
      <c r="F2236" s="135" t="s">
        <v>2122</v>
      </c>
      <c r="G2236" s="135" t="s">
        <v>105</v>
      </c>
      <c r="H2236" s="135" t="s">
        <v>2853</v>
      </c>
      <c r="I2236" s="135" t="s">
        <v>106</v>
      </c>
      <c r="J2236" s="135">
        <v>1.0</v>
      </c>
      <c r="K2236" s="135" t="s">
        <v>3134</v>
      </c>
      <c r="L2236" s="135">
        <v>4338.0</v>
      </c>
      <c r="M2236" s="135">
        <v>2900.0</v>
      </c>
      <c r="N2236" s="135">
        <v>120.0</v>
      </c>
      <c r="O2236" s="135">
        <v>1.775</v>
      </c>
      <c r="P2236" s="136">
        <v>0.0</v>
      </c>
      <c r="Q2236" s="137">
        <v>4.4375</v>
      </c>
      <c r="R2236" s="136">
        <v>46139.0</v>
      </c>
      <c r="S2236" s="135" t="s">
        <v>3950</v>
      </c>
      <c r="T2236" s="136"/>
      <c r="U2236" s="135" t="s">
        <v>3952</v>
      </c>
      <c r="V2236" s="135" t="s">
        <v>2876</v>
      </c>
      <c r="W2236" s="135">
        <v>1800.0</v>
      </c>
      <c r="X2236" s="135"/>
      <c r="Y2236" s="135"/>
      <c r="Z2236" s="135"/>
      <c r="AA2236" s="135"/>
      <c r="AB2236" s="135"/>
      <c r="AC2236" s="135"/>
      <c r="AD2236" s="135">
        <v>46154.0</v>
      </c>
      <c r="AE2236" s="135"/>
      <c r="AF2236" s="135"/>
      <c r="AG2236" s="135"/>
    </row>
    <row r="2237" ht="21.75" hidden="1" customHeight="1">
      <c r="A2237" s="135">
        <v>2233.0</v>
      </c>
      <c r="B2237" s="135">
        <v>25045.0</v>
      </c>
      <c r="C2237" s="135"/>
      <c r="D2237" s="135">
        <v>34.0</v>
      </c>
      <c r="E2237" s="135" t="s">
        <v>3953</v>
      </c>
      <c r="F2237" s="135" t="s">
        <v>2133</v>
      </c>
      <c r="G2237" s="135" t="s">
        <v>105</v>
      </c>
      <c r="H2237" s="135" t="s">
        <v>2853</v>
      </c>
      <c r="I2237" s="135" t="s">
        <v>107</v>
      </c>
      <c r="J2237" s="135">
        <v>1.0</v>
      </c>
      <c r="K2237" s="135" t="s">
        <v>3134</v>
      </c>
      <c r="L2237" s="135">
        <v>4338.0</v>
      </c>
      <c r="M2237" s="135">
        <v>2900.0</v>
      </c>
      <c r="N2237" s="135">
        <v>120.0</v>
      </c>
      <c r="O2237" s="135">
        <v>1.775</v>
      </c>
      <c r="P2237" s="136">
        <v>0.0</v>
      </c>
      <c r="Q2237" s="137">
        <v>4.4375</v>
      </c>
      <c r="R2237" s="136">
        <v>46139.0</v>
      </c>
      <c r="S2237" s="135" t="s">
        <v>3950</v>
      </c>
      <c r="T2237" s="136"/>
      <c r="U2237" s="135" t="s">
        <v>3952</v>
      </c>
      <c r="V2237" s="135" t="s">
        <v>2876</v>
      </c>
      <c r="W2237" s="135">
        <v>1800.0</v>
      </c>
      <c r="X2237" s="135"/>
      <c r="Y2237" s="135"/>
      <c r="Z2237" s="135"/>
      <c r="AA2237" s="135"/>
      <c r="AB2237" s="135"/>
      <c r="AC2237" s="135"/>
      <c r="AD2237" s="135">
        <v>46155.0</v>
      </c>
      <c r="AE2237" s="135"/>
      <c r="AF2237" s="135"/>
      <c r="AG2237" s="135"/>
    </row>
    <row r="2238" ht="21.75" hidden="1" customHeight="1">
      <c r="A2238" s="135">
        <v>2234.0</v>
      </c>
      <c r="B2238" s="135">
        <v>25045.0</v>
      </c>
      <c r="C2238" s="135"/>
      <c r="D2238" s="135">
        <v>34.0</v>
      </c>
      <c r="E2238" s="135" t="s">
        <v>3949</v>
      </c>
      <c r="F2238" s="135" t="s">
        <v>2123</v>
      </c>
      <c r="G2238" s="135" t="s">
        <v>105</v>
      </c>
      <c r="H2238" s="135" t="s">
        <v>2853</v>
      </c>
      <c r="I2238" s="135" t="s">
        <v>106</v>
      </c>
      <c r="J2238" s="135">
        <v>1.0</v>
      </c>
      <c r="K2238" s="135" t="s">
        <v>3134</v>
      </c>
      <c r="L2238" s="135">
        <v>4338.0</v>
      </c>
      <c r="M2238" s="135">
        <v>2800.0</v>
      </c>
      <c r="N2238" s="135">
        <v>120.0</v>
      </c>
      <c r="O2238" s="135">
        <v>1.723</v>
      </c>
      <c r="P2238" s="136">
        <v>0.0</v>
      </c>
      <c r="Q2238" s="137">
        <v>4.3075</v>
      </c>
      <c r="R2238" s="136">
        <v>46139.0</v>
      </c>
      <c r="S2238" s="135" t="s">
        <v>3950</v>
      </c>
      <c r="T2238" s="136"/>
      <c r="U2238" s="135" t="s">
        <v>3952</v>
      </c>
      <c r="V2238" s="135" t="s">
        <v>2876</v>
      </c>
      <c r="W2238" s="135">
        <v>1800.0</v>
      </c>
      <c r="X2238" s="135"/>
      <c r="Y2238" s="135"/>
      <c r="Z2238" s="135"/>
      <c r="AA2238" s="135"/>
      <c r="AB2238" s="135"/>
      <c r="AC2238" s="135"/>
      <c r="AD2238" s="135">
        <v>46153.0</v>
      </c>
      <c r="AE2238" s="135"/>
      <c r="AF2238" s="135"/>
      <c r="AG2238" s="135"/>
    </row>
    <row r="2239" ht="21.75" hidden="1" customHeight="1">
      <c r="A2239" s="135">
        <v>2235.0</v>
      </c>
      <c r="B2239" s="135">
        <v>25045.0</v>
      </c>
      <c r="C2239" s="135"/>
      <c r="D2239" s="135">
        <v>34.0</v>
      </c>
      <c r="E2239" s="135" t="s">
        <v>3949</v>
      </c>
      <c r="F2239" s="135" t="s">
        <v>2124</v>
      </c>
      <c r="G2239" s="135" t="s">
        <v>105</v>
      </c>
      <c r="H2239" s="135" t="s">
        <v>2853</v>
      </c>
      <c r="I2239" s="135" t="s">
        <v>106</v>
      </c>
      <c r="J2239" s="135">
        <v>1.0</v>
      </c>
      <c r="K2239" s="135" t="s">
        <v>3134</v>
      </c>
      <c r="L2239" s="135">
        <v>4338.0</v>
      </c>
      <c r="M2239" s="135">
        <v>2800.0</v>
      </c>
      <c r="N2239" s="135">
        <v>120.0</v>
      </c>
      <c r="O2239" s="135">
        <v>1.723</v>
      </c>
      <c r="P2239" s="136">
        <v>0.0</v>
      </c>
      <c r="Q2239" s="137">
        <v>4.3075</v>
      </c>
      <c r="R2239" s="136">
        <v>46139.0</v>
      </c>
      <c r="S2239" s="135" t="s">
        <v>3950</v>
      </c>
      <c r="T2239" s="136"/>
      <c r="U2239" s="135" t="s">
        <v>3952</v>
      </c>
      <c r="V2239" s="135" t="s">
        <v>2876</v>
      </c>
      <c r="W2239" s="135">
        <v>1800.0</v>
      </c>
      <c r="X2239" s="135"/>
      <c r="Y2239" s="135"/>
      <c r="Z2239" s="135"/>
      <c r="AA2239" s="135"/>
      <c r="AB2239" s="135"/>
      <c r="AC2239" s="135"/>
      <c r="AD2239" s="135">
        <v>46154.0</v>
      </c>
      <c r="AE2239" s="135"/>
      <c r="AF2239" s="135"/>
      <c r="AG2239" s="135"/>
    </row>
    <row r="2240" ht="21.75" hidden="1" customHeight="1">
      <c r="A2240" s="135">
        <v>2236.0</v>
      </c>
      <c r="B2240" s="135">
        <v>25045.0</v>
      </c>
      <c r="C2240" s="135"/>
      <c r="D2240" s="135">
        <v>34.0</v>
      </c>
      <c r="E2240" s="135" t="s">
        <v>3949</v>
      </c>
      <c r="F2240" s="135" t="s">
        <v>2125</v>
      </c>
      <c r="G2240" s="135" t="s">
        <v>105</v>
      </c>
      <c r="H2240" s="135" t="s">
        <v>2853</v>
      </c>
      <c r="I2240" s="135" t="s">
        <v>106</v>
      </c>
      <c r="J2240" s="135">
        <v>1.0</v>
      </c>
      <c r="K2240" s="135" t="s">
        <v>3134</v>
      </c>
      <c r="L2240" s="135">
        <v>4338.0</v>
      </c>
      <c r="M2240" s="135">
        <v>2800.0</v>
      </c>
      <c r="N2240" s="135">
        <v>120.0</v>
      </c>
      <c r="O2240" s="135">
        <v>1.723</v>
      </c>
      <c r="P2240" s="136">
        <v>0.0</v>
      </c>
      <c r="Q2240" s="137">
        <v>4.3075</v>
      </c>
      <c r="R2240" s="136">
        <v>46139.0</v>
      </c>
      <c r="S2240" s="135" t="s">
        <v>3950</v>
      </c>
      <c r="T2240" s="136"/>
      <c r="U2240" s="135" t="s">
        <v>3952</v>
      </c>
      <c r="V2240" s="135" t="s">
        <v>2876</v>
      </c>
      <c r="W2240" s="135">
        <v>1800.0</v>
      </c>
      <c r="X2240" s="135"/>
      <c r="Y2240" s="135"/>
      <c r="Z2240" s="135"/>
      <c r="AA2240" s="135"/>
      <c r="AB2240" s="135"/>
      <c r="AC2240" s="135"/>
      <c r="AD2240" s="135">
        <v>46155.0</v>
      </c>
      <c r="AE2240" s="135"/>
      <c r="AF2240" s="135"/>
      <c r="AG2240" s="135"/>
    </row>
    <row r="2241" ht="21.75" hidden="1" customHeight="1">
      <c r="A2241" s="135">
        <v>2237.0</v>
      </c>
      <c r="B2241" s="135">
        <v>25045.0</v>
      </c>
      <c r="C2241" s="135"/>
      <c r="D2241" s="135">
        <v>34.0</v>
      </c>
      <c r="E2241" s="135" t="s">
        <v>3949</v>
      </c>
      <c r="F2241" s="135" t="s">
        <v>2126</v>
      </c>
      <c r="G2241" s="135" t="s">
        <v>105</v>
      </c>
      <c r="H2241" s="135" t="s">
        <v>2853</v>
      </c>
      <c r="I2241" s="135" t="s">
        <v>106</v>
      </c>
      <c r="J2241" s="135">
        <v>1.0</v>
      </c>
      <c r="K2241" s="135" t="s">
        <v>3134</v>
      </c>
      <c r="L2241" s="135">
        <v>4338.0</v>
      </c>
      <c r="M2241" s="135">
        <v>2800.0</v>
      </c>
      <c r="N2241" s="135">
        <v>120.0</v>
      </c>
      <c r="O2241" s="135">
        <v>1.723</v>
      </c>
      <c r="P2241" s="136">
        <v>0.0</v>
      </c>
      <c r="Q2241" s="137">
        <v>4.3075</v>
      </c>
      <c r="R2241" s="136">
        <v>46139.0</v>
      </c>
      <c r="S2241" s="135" t="s">
        <v>3950</v>
      </c>
      <c r="T2241" s="136"/>
      <c r="U2241" s="135" t="s">
        <v>3952</v>
      </c>
      <c r="V2241" s="135" t="s">
        <v>2876</v>
      </c>
      <c r="W2241" s="135">
        <v>1800.0</v>
      </c>
      <c r="X2241" s="135"/>
      <c r="Y2241" s="135"/>
      <c r="Z2241" s="135"/>
      <c r="AA2241" s="135"/>
      <c r="AB2241" s="135"/>
      <c r="AC2241" s="135"/>
      <c r="AD2241" s="135">
        <v>46153.0</v>
      </c>
      <c r="AE2241" s="135"/>
      <c r="AF2241" s="135"/>
      <c r="AG2241" s="135"/>
    </row>
    <row r="2242" ht="21.75" hidden="1" customHeight="1">
      <c r="A2242" s="135">
        <v>2238.0</v>
      </c>
      <c r="B2242" s="135">
        <v>25045.0</v>
      </c>
      <c r="C2242" s="135"/>
      <c r="D2242" s="135">
        <v>34.0</v>
      </c>
      <c r="E2242" s="135" t="s">
        <v>3953</v>
      </c>
      <c r="F2242" s="135" t="s">
        <v>2134</v>
      </c>
      <c r="G2242" s="135" t="s">
        <v>105</v>
      </c>
      <c r="H2242" s="135" t="s">
        <v>2853</v>
      </c>
      <c r="I2242" s="135" t="s">
        <v>107</v>
      </c>
      <c r="J2242" s="135">
        <v>1.0</v>
      </c>
      <c r="K2242" s="135" t="s">
        <v>3134</v>
      </c>
      <c r="L2242" s="135">
        <v>4338.0</v>
      </c>
      <c r="M2242" s="135">
        <v>2800.0</v>
      </c>
      <c r="N2242" s="135">
        <v>120.0</v>
      </c>
      <c r="O2242" s="135">
        <v>1.723</v>
      </c>
      <c r="P2242" s="136">
        <v>0.0</v>
      </c>
      <c r="Q2242" s="137">
        <v>4.3075</v>
      </c>
      <c r="R2242" s="136">
        <v>46139.0</v>
      </c>
      <c r="S2242" s="135" t="s">
        <v>3950</v>
      </c>
      <c r="T2242" s="136"/>
      <c r="U2242" s="135" t="s">
        <v>3952</v>
      </c>
      <c r="V2242" s="135" t="s">
        <v>2876</v>
      </c>
      <c r="W2242" s="135">
        <v>1800.0</v>
      </c>
      <c r="X2242" s="135"/>
      <c r="Y2242" s="135"/>
      <c r="Z2242" s="135"/>
      <c r="AA2242" s="135"/>
      <c r="AB2242" s="135"/>
      <c r="AC2242" s="135"/>
      <c r="AD2242" s="135">
        <v>46154.0</v>
      </c>
      <c r="AE2242" s="135"/>
      <c r="AF2242" s="135"/>
      <c r="AG2242" s="135"/>
    </row>
    <row r="2243" ht="21.75" hidden="1" customHeight="1">
      <c r="A2243" s="135">
        <v>2239.0</v>
      </c>
      <c r="B2243" s="135">
        <v>25045.0</v>
      </c>
      <c r="C2243" s="135"/>
      <c r="D2243" s="135">
        <v>34.0</v>
      </c>
      <c r="E2243" s="135" t="s">
        <v>3953</v>
      </c>
      <c r="F2243" s="135" t="s">
        <v>2135</v>
      </c>
      <c r="G2243" s="135" t="s">
        <v>105</v>
      </c>
      <c r="H2243" s="135" t="s">
        <v>2853</v>
      </c>
      <c r="I2243" s="135" t="s">
        <v>107</v>
      </c>
      <c r="J2243" s="135">
        <v>1.0</v>
      </c>
      <c r="K2243" s="135" t="s">
        <v>3134</v>
      </c>
      <c r="L2243" s="135">
        <v>4338.0</v>
      </c>
      <c r="M2243" s="135">
        <v>2800.0</v>
      </c>
      <c r="N2243" s="135">
        <v>120.0</v>
      </c>
      <c r="O2243" s="135">
        <v>1.723</v>
      </c>
      <c r="P2243" s="136">
        <v>0.0</v>
      </c>
      <c r="Q2243" s="137">
        <v>4.3075</v>
      </c>
      <c r="R2243" s="136">
        <v>46139.0</v>
      </c>
      <c r="S2243" s="135" t="s">
        <v>3950</v>
      </c>
      <c r="T2243" s="136"/>
      <c r="U2243" s="135" t="s">
        <v>3952</v>
      </c>
      <c r="V2243" s="135" t="s">
        <v>2876</v>
      </c>
      <c r="W2243" s="135">
        <v>1800.0</v>
      </c>
      <c r="X2243" s="135"/>
      <c r="Y2243" s="135"/>
      <c r="Z2243" s="135"/>
      <c r="AA2243" s="135"/>
      <c r="AB2243" s="135"/>
      <c r="AC2243" s="135"/>
      <c r="AD2243" s="135">
        <v>46155.0</v>
      </c>
      <c r="AE2243" s="135"/>
      <c r="AF2243" s="135"/>
      <c r="AG2243" s="135"/>
    </row>
    <row r="2244" ht="21.75" hidden="1" customHeight="1">
      <c r="A2244" s="135">
        <v>2240.0</v>
      </c>
      <c r="B2244" s="135">
        <v>25045.0</v>
      </c>
      <c r="C2244" s="135"/>
      <c r="D2244" s="135">
        <v>34.0</v>
      </c>
      <c r="E2244" s="135" t="s">
        <v>3953</v>
      </c>
      <c r="F2244" s="135" t="s">
        <v>2136</v>
      </c>
      <c r="G2244" s="135" t="s">
        <v>105</v>
      </c>
      <c r="H2244" s="135" t="s">
        <v>2853</v>
      </c>
      <c r="I2244" s="135" t="s">
        <v>107</v>
      </c>
      <c r="J2244" s="135">
        <v>1.0</v>
      </c>
      <c r="K2244" s="135" t="s">
        <v>3134</v>
      </c>
      <c r="L2244" s="135">
        <v>4338.0</v>
      </c>
      <c r="M2244" s="135">
        <v>2800.0</v>
      </c>
      <c r="N2244" s="135">
        <v>120.0</v>
      </c>
      <c r="O2244" s="135">
        <v>1.723</v>
      </c>
      <c r="P2244" s="136">
        <v>0.0</v>
      </c>
      <c r="Q2244" s="137">
        <v>4.3075</v>
      </c>
      <c r="R2244" s="136">
        <v>46139.0</v>
      </c>
      <c r="S2244" s="135" t="s">
        <v>3950</v>
      </c>
      <c r="T2244" s="136"/>
      <c r="U2244" s="135" t="s">
        <v>3952</v>
      </c>
      <c r="V2244" s="135" t="s">
        <v>2876</v>
      </c>
      <c r="W2244" s="135">
        <v>1800.0</v>
      </c>
      <c r="X2244" s="135"/>
      <c r="Y2244" s="135"/>
      <c r="Z2244" s="135"/>
      <c r="AA2244" s="135"/>
      <c r="AB2244" s="135"/>
      <c r="AC2244" s="135"/>
      <c r="AD2244" s="135">
        <v>46153.0</v>
      </c>
      <c r="AE2244" s="135"/>
      <c r="AF2244" s="135"/>
      <c r="AG2244" s="135"/>
    </row>
    <row r="2245" ht="21.75" hidden="1" customHeight="1">
      <c r="A2245" s="135">
        <v>2241.0</v>
      </c>
      <c r="B2245" s="135">
        <v>25045.0</v>
      </c>
      <c r="C2245" s="135"/>
      <c r="D2245" s="135">
        <v>34.0</v>
      </c>
      <c r="E2245" s="135" t="s">
        <v>3953</v>
      </c>
      <c r="F2245" s="135" t="s">
        <v>2137</v>
      </c>
      <c r="G2245" s="135" t="s">
        <v>105</v>
      </c>
      <c r="H2245" s="135" t="s">
        <v>2853</v>
      </c>
      <c r="I2245" s="135" t="s">
        <v>107</v>
      </c>
      <c r="J2245" s="135">
        <v>1.0</v>
      </c>
      <c r="K2245" s="135" t="s">
        <v>3134</v>
      </c>
      <c r="L2245" s="135">
        <v>4338.0</v>
      </c>
      <c r="M2245" s="135">
        <v>2800.0</v>
      </c>
      <c r="N2245" s="135">
        <v>120.0</v>
      </c>
      <c r="O2245" s="135">
        <v>1.723</v>
      </c>
      <c r="P2245" s="136">
        <v>0.0</v>
      </c>
      <c r="Q2245" s="137">
        <v>4.3075</v>
      </c>
      <c r="R2245" s="136">
        <v>46139.0</v>
      </c>
      <c r="S2245" s="135" t="s">
        <v>3950</v>
      </c>
      <c r="T2245" s="136"/>
      <c r="U2245" s="135" t="s">
        <v>3952</v>
      </c>
      <c r="V2245" s="135" t="s">
        <v>2876</v>
      </c>
      <c r="W2245" s="135">
        <v>1800.0</v>
      </c>
      <c r="X2245" s="135"/>
      <c r="Y2245" s="135"/>
      <c r="Z2245" s="135"/>
      <c r="AA2245" s="135"/>
      <c r="AB2245" s="135"/>
      <c r="AC2245" s="135"/>
      <c r="AD2245" s="135">
        <v>46154.0</v>
      </c>
      <c r="AE2245" s="135"/>
      <c r="AF2245" s="135"/>
      <c r="AG2245" s="135"/>
    </row>
    <row r="2246" ht="21.75" hidden="1" customHeight="1">
      <c r="A2246" s="135">
        <v>2242.0</v>
      </c>
      <c r="B2246" s="135">
        <v>25045.0</v>
      </c>
      <c r="C2246" s="135"/>
      <c r="D2246" s="135">
        <v>34.0</v>
      </c>
      <c r="E2246" s="135" t="s">
        <v>3949</v>
      </c>
      <c r="F2246" s="135" t="s">
        <v>2127</v>
      </c>
      <c r="G2246" s="135" t="s">
        <v>105</v>
      </c>
      <c r="H2246" s="135" t="s">
        <v>2853</v>
      </c>
      <c r="I2246" s="135" t="s">
        <v>106</v>
      </c>
      <c r="J2246" s="135">
        <v>1.0</v>
      </c>
      <c r="K2246" s="135"/>
      <c r="L2246" s="135">
        <v>4327.0</v>
      </c>
      <c r="M2246" s="135">
        <v>2800.0</v>
      </c>
      <c r="N2246" s="135">
        <v>120.0</v>
      </c>
      <c r="O2246" s="135">
        <v>1.44</v>
      </c>
      <c r="P2246" s="136">
        <v>0.0</v>
      </c>
      <c r="Q2246" s="137">
        <v>3.5999999999999996</v>
      </c>
      <c r="R2246" s="136">
        <v>46139.0</v>
      </c>
      <c r="S2246" s="135" t="s">
        <v>3950</v>
      </c>
      <c r="T2246" s="136"/>
      <c r="U2246" s="135" t="s">
        <v>3951</v>
      </c>
      <c r="V2246" s="135" t="s">
        <v>2985</v>
      </c>
      <c r="W2246" s="135"/>
      <c r="X2246" s="135" t="s">
        <v>3954</v>
      </c>
      <c r="Y2246" s="135"/>
      <c r="Z2246" s="135"/>
      <c r="AA2246" s="135"/>
      <c r="AB2246" s="135"/>
      <c r="AC2246" s="135"/>
      <c r="AD2246" s="135">
        <v>46157.0</v>
      </c>
      <c r="AE2246" s="135"/>
      <c r="AF2246" s="135"/>
      <c r="AG2246" s="135"/>
    </row>
    <row r="2247" ht="21.75" hidden="1" customHeight="1">
      <c r="A2247" s="135">
        <v>2243.0</v>
      </c>
      <c r="B2247" s="135">
        <v>25045.0</v>
      </c>
      <c r="C2247" s="135" t="s">
        <v>2817</v>
      </c>
      <c r="D2247" s="135">
        <v>34.0</v>
      </c>
      <c r="E2247" s="135" t="s">
        <v>3949</v>
      </c>
      <c r="F2247" s="135" t="s">
        <v>2106</v>
      </c>
      <c r="G2247" s="135" t="s">
        <v>105</v>
      </c>
      <c r="H2247" s="135" t="s">
        <v>2853</v>
      </c>
      <c r="I2247" s="135" t="s">
        <v>106</v>
      </c>
      <c r="J2247" s="135">
        <v>1.0</v>
      </c>
      <c r="K2247" s="135"/>
      <c r="L2247" s="135">
        <v>3795.0</v>
      </c>
      <c r="M2247" s="135">
        <v>3100.0</v>
      </c>
      <c r="N2247" s="135">
        <v>300.0</v>
      </c>
      <c r="O2247" s="135">
        <v>2.231</v>
      </c>
      <c r="P2247" s="136">
        <v>0.0</v>
      </c>
      <c r="Q2247" s="137">
        <v>5.5775</v>
      </c>
      <c r="R2247" s="136">
        <v>46139.0</v>
      </c>
      <c r="S2247" s="135" t="s">
        <v>3950</v>
      </c>
      <c r="T2247" s="136"/>
      <c r="U2247" s="135" t="s">
        <v>3951</v>
      </c>
      <c r="V2247" s="135" t="s">
        <v>3270</v>
      </c>
      <c r="W2247" s="135"/>
      <c r="X2247" s="135"/>
      <c r="Y2247" s="135" t="s">
        <v>2886</v>
      </c>
      <c r="Z2247" s="135"/>
      <c r="AA2247" s="135"/>
      <c r="AB2247" s="135"/>
      <c r="AC2247" s="135"/>
      <c r="AD2247" s="135">
        <v>46148.0</v>
      </c>
      <c r="AE2247" s="135"/>
      <c r="AF2247" s="135"/>
      <c r="AG2247" s="135"/>
    </row>
    <row r="2248" ht="21.75" hidden="1" customHeight="1">
      <c r="A2248" s="135">
        <v>2244.0</v>
      </c>
      <c r="B2248" s="135">
        <v>25045.0</v>
      </c>
      <c r="C2248" s="135"/>
      <c r="D2248" s="135">
        <v>34.0</v>
      </c>
      <c r="E2248" s="135" t="s">
        <v>3949</v>
      </c>
      <c r="F2248" s="135" t="s">
        <v>2128</v>
      </c>
      <c r="G2248" s="135" t="s">
        <v>105</v>
      </c>
      <c r="H2248" s="135" t="s">
        <v>2853</v>
      </c>
      <c r="I2248" s="135" t="s">
        <v>106</v>
      </c>
      <c r="J2248" s="135">
        <v>1.0</v>
      </c>
      <c r="K2248" s="135"/>
      <c r="L2248" s="135">
        <v>1780.0</v>
      </c>
      <c r="M2248" s="135">
        <v>1140.0</v>
      </c>
      <c r="N2248" s="135">
        <v>120.0</v>
      </c>
      <c r="O2248" s="135">
        <v>0.327</v>
      </c>
      <c r="P2248" s="136">
        <v>0.0</v>
      </c>
      <c r="Q2248" s="137">
        <v>0.8175</v>
      </c>
      <c r="R2248" s="136">
        <v>46139.0</v>
      </c>
      <c r="S2248" s="135" t="s">
        <v>3950</v>
      </c>
      <c r="T2248" s="136"/>
      <c r="U2248" s="135" t="s">
        <v>3951</v>
      </c>
      <c r="V2248" s="135" t="s">
        <v>2907</v>
      </c>
      <c r="W2248" s="135"/>
      <c r="X2248" s="135"/>
      <c r="Y2248" s="135"/>
      <c r="Z2248" s="135"/>
      <c r="AA2248" s="135"/>
      <c r="AB2248" s="135"/>
      <c r="AC2248" s="135"/>
      <c r="AD2248" s="135">
        <v>0.0</v>
      </c>
      <c r="AE2248" s="135"/>
      <c r="AF2248" s="135"/>
      <c r="AG2248" s="135"/>
    </row>
    <row r="2249" ht="21.75" hidden="1" customHeight="1">
      <c r="A2249" s="135">
        <v>2245.0</v>
      </c>
      <c r="B2249" s="135">
        <v>25045.0</v>
      </c>
      <c r="C2249" s="135"/>
      <c r="D2249" s="135">
        <v>34.0</v>
      </c>
      <c r="E2249" s="135" t="s">
        <v>3949</v>
      </c>
      <c r="F2249" s="135" t="s">
        <v>2129</v>
      </c>
      <c r="G2249" s="135" t="s">
        <v>105</v>
      </c>
      <c r="H2249" s="135" t="s">
        <v>2853</v>
      </c>
      <c r="I2249" s="135" t="s">
        <v>106</v>
      </c>
      <c r="J2249" s="135">
        <v>1.0</v>
      </c>
      <c r="K2249" s="135"/>
      <c r="L2249" s="135">
        <v>2140.0</v>
      </c>
      <c r="M2249" s="135">
        <v>1154.0</v>
      </c>
      <c r="N2249" s="135">
        <v>120.0</v>
      </c>
      <c r="O2249" s="135">
        <v>0.399</v>
      </c>
      <c r="P2249" s="136">
        <v>0.0</v>
      </c>
      <c r="Q2249" s="137">
        <v>0.9975</v>
      </c>
      <c r="R2249" s="136">
        <v>46139.0</v>
      </c>
      <c r="S2249" s="135" t="s">
        <v>3950</v>
      </c>
      <c r="T2249" s="136"/>
      <c r="U2249" s="135" t="s">
        <v>3951</v>
      </c>
      <c r="V2249" s="135" t="s">
        <v>2873</v>
      </c>
      <c r="W2249" s="135"/>
      <c r="X2249" s="135"/>
      <c r="Y2249" s="135"/>
      <c r="Z2249" s="135"/>
      <c r="AA2249" s="135"/>
      <c r="AB2249" s="135"/>
      <c r="AC2249" s="135"/>
      <c r="AD2249" s="135">
        <v>0.0</v>
      </c>
      <c r="AE2249" s="135"/>
      <c r="AF2249" s="135"/>
      <c r="AG2249" s="135"/>
    </row>
    <row r="2250" ht="21.75" hidden="1" customHeight="1">
      <c r="A2250" s="135">
        <v>2246.0</v>
      </c>
      <c r="B2250" s="135">
        <v>25045.0</v>
      </c>
      <c r="C2250" s="135"/>
      <c r="D2250" s="135">
        <v>34.0</v>
      </c>
      <c r="E2250" s="135" t="s">
        <v>3949</v>
      </c>
      <c r="F2250" s="135" t="s">
        <v>2130</v>
      </c>
      <c r="G2250" s="135" t="s">
        <v>105</v>
      </c>
      <c r="H2250" s="135" t="s">
        <v>2853</v>
      </c>
      <c r="I2250" s="135" t="s">
        <v>106</v>
      </c>
      <c r="J2250" s="135">
        <v>1.0</v>
      </c>
      <c r="K2250" s="135"/>
      <c r="L2250" s="135">
        <v>2563.0</v>
      </c>
      <c r="M2250" s="135">
        <v>1000.0</v>
      </c>
      <c r="N2250" s="135">
        <v>120.0</v>
      </c>
      <c r="O2250" s="135">
        <v>0.443</v>
      </c>
      <c r="P2250" s="136">
        <v>0.0</v>
      </c>
      <c r="Q2250" s="137">
        <v>1.1075</v>
      </c>
      <c r="R2250" s="136">
        <v>46139.0</v>
      </c>
      <c r="S2250" s="135" t="s">
        <v>3950</v>
      </c>
      <c r="T2250" s="136"/>
      <c r="U2250" s="135" t="s">
        <v>2950</v>
      </c>
      <c r="V2250" s="135" t="s">
        <v>2951</v>
      </c>
      <c r="W2250" s="135"/>
      <c r="X2250" s="135"/>
      <c r="Y2250" s="135"/>
      <c r="Z2250" s="135"/>
      <c r="AA2250" s="135"/>
      <c r="AB2250" s="135"/>
      <c r="AC2250" s="135"/>
      <c r="AD2250" s="135">
        <v>46158.0</v>
      </c>
      <c r="AE2250" s="135"/>
      <c r="AF2250" s="135"/>
      <c r="AG2250" s="135"/>
    </row>
    <row r="2251" ht="21.75" hidden="1" customHeight="1">
      <c r="A2251" s="135">
        <v>2247.0</v>
      </c>
      <c r="B2251" s="135">
        <v>25045.0</v>
      </c>
      <c r="C2251" s="135"/>
      <c r="D2251" s="135">
        <v>34.0</v>
      </c>
      <c r="E2251" s="135" t="s">
        <v>3949</v>
      </c>
      <c r="F2251" s="135" t="s">
        <v>2131</v>
      </c>
      <c r="G2251" s="135" t="s">
        <v>105</v>
      </c>
      <c r="H2251" s="135" t="s">
        <v>2853</v>
      </c>
      <c r="I2251" s="135" t="s">
        <v>106</v>
      </c>
      <c r="J2251" s="135">
        <v>1.0</v>
      </c>
      <c r="K2251" s="135"/>
      <c r="L2251" s="135">
        <v>2776.0</v>
      </c>
      <c r="M2251" s="135">
        <v>1000.0</v>
      </c>
      <c r="N2251" s="135">
        <v>120.0</v>
      </c>
      <c r="O2251" s="135">
        <v>0.461</v>
      </c>
      <c r="P2251" s="136">
        <v>0.0</v>
      </c>
      <c r="Q2251" s="137">
        <v>1.1525</v>
      </c>
      <c r="R2251" s="136">
        <v>46139.0</v>
      </c>
      <c r="S2251" s="135" t="s">
        <v>3950</v>
      </c>
      <c r="T2251" s="136"/>
      <c r="U2251" s="135" t="s">
        <v>2950</v>
      </c>
      <c r="V2251" s="135" t="s">
        <v>2951</v>
      </c>
      <c r="W2251" s="135"/>
      <c r="X2251" s="135"/>
      <c r="Y2251" s="135"/>
      <c r="Z2251" s="135"/>
      <c r="AA2251" s="135"/>
      <c r="AB2251" s="135"/>
      <c r="AC2251" s="135"/>
      <c r="AD2251" s="135">
        <v>46157.0</v>
      </c>
      <c r="AE2251" s="135"/>
      <c r="AF2251" s="135"/>
      <c r="AG2251" s="135"/>
    </row>
    <row r="2252" ht="21.75" hidden="1" customHeight="1">
      <c r="A2252" s="135">
        <v>2248.0</v>
      </c>
      <c r="B2252" s="135">
        <v>25045.0</v>
      </c>
      <c r="C2252" s="135"/>
      <c r="D2252" s="135">
        <v>34.0</v>
      </c>
      <c r="E2252" s="135" t="s">
        <v>3949</v>
      </c>
      <c r="F2252" s="135" t="s">
        <v>2132</v>
      </c>
      <c r="G2252" s="135" t="s">
        <v>105</v>
      </c>
      <c r="H2252" s="135" t="s">
        <v>2965</v>
      </c>
      <c r="I2252" s="135" t="s">
        <v>106</v>
      </c>
      <c r="J2252" s="135">
        <v>1.0</v>
      </c>
      <c r="K2252" s="135"/>
      <c r="L2252" s="135"/>
      <c r="M2252" s="135"/>
      <c r="N2252" s="135"/>
      <c r="O2252" s="135"/>
      <c r="P2252" s="136">
        <v>0.0</v>
      </c>
      <c r="Q2252" s="137">
        <v>0.0</v>
      </c>
      <c r="R2252" s="136">
        <v>46139.0</v>
      </c>
      <c r="S2252" s="135" t="s">
        <v>3950</v>
      </c>
      <c r="T2252" s="136"/>
      <c r="U2252" s="135" t="s">
        <v>2966</v>
      </c>
      <c r="V2252" s="135" t="s">
        <v>2967</v>
      </c>
      <c r="W2252" s="135"/>
      <c r="X2252" s="135" t="s">
        <v>3785</v>
      </c>
      <c r="Y2252" s="135"/>
      <c r="Z2252" s="135"/>
      <c r="AA2252" s="135"/>
      <c r="AB2252" s="135"/>
      <c r="AC2252" s="135"/>
      <c r="AD2252" s="135">
        <v>0.0</v>
      </c>
      <c r="AE2252" s="135"/>
      <c r="AF2252" s="135"/>
      <c r="AG2252" s="135"/>
    </row>
    <row r="2253" ht="21.75" hidden="1" customHeight="1">
      <c r="A2253" s="135">
        <v>2249.0</v>
      </c>
      <c r="B2253" s="135">
        <v>25045.0</v>
      </c>
      <c r="C2253" s="135" t="s">
        <v>2817</v>
      </c>
      <c r="D2253" s="135">
        <v>34.0</v>
      </c>
      <c r="E2253" s="135" t="s">
        <v>3953</v>
      </c>
      <c r="F2253" s="135" t="s">
        <v>2138</v>
      </c>
      <c r="G2253" s="135" t="s">
        <v>105</v>
      </c>
      <c r="H2253" s="135" t="s">
        <v>2853</v>
      </c>
      <c r="I2253" s="135" t="s">
        <v>107</v>
      </c>
      <c r="J2253" s="135">
        <v>1.0</v>
      </c>
      <c r="K2253" s="135"/>
      <c r="L2253" s="135">
        <v>5767.0</v>
      </c>
      <c r="M2253" s="135">
        <v>1350.0</v>
      </c>
      <c r="N2253" s="135">
        <v>120.0</v>
      </c>
      <c r="O2253" s="135">
        <v>0.98</v>
      </c>
      <c r="P2253" s="136">
        <v>0.0</v>
      </c>
      <c r="Q2253" s="137">
        <v>2.45</v>
      </c>
      <c r="R2253" s="136">
        <v>46139.0</v>
      </c>
      <c r="S2253" s="135" t="s">
        <v>3950</v>
      </c>
      <c r="T2253" s="136"/>
      <c r="U2253" s="135" t="s">
        <v>3952</v>
      </c>
      <c r="V2253" s="135" t="s">
        <v>2856</v>
      </c>
      <c r="W2253" s="135">
        <v>1800.0</v>
      </c>
      <c r="X2253" s="135"/>
      <c r="Y2253" s="135"/>
      <c r="Z2253" s="135"/>
      <c r="AA2253" s="135"/>
      <c r="AB2253" s="135"/>
      <c r="AC2253" s="135"/>
      <c r="AD2253" s="135" t="e">
        <v>#N/A</v>
      </c>
      <c r="AE2253" s="135"/>
      <c r="AF2253" s="135"/>
      <c r="AG2253" s="135"/>
    </row>
    <row r="2254" ht="21.75" hidden="1" customHeight="1">
      <c r="A2254" s="135">
        <v>2250.0</v>
      </c>
      <c r="B2254" s="135">
        <v>25045.0</v>
      </c>
      <c r="C2254" s="135" t="s">
        <v>2817</v>
      </c>
      <c r="D2254" s="135">
        <v>34.0</v>
      </c>
      <c r="E2254" s="135" t="s">
        <v>3953</v>
      </c>
      <c r="F2254" s="135" t="s">
        <v>2139</v>
      </c>
      <c r="G2254" s="135" t="s">
        <v>105</v>
      </c>
      <c r="H2254" s="135" t="s">
        <v>2853</v>
      </c>
      <c r="I2254" s="135" t="s">
        <v>107</v>
      </c>
      <c r="J2254" s="135">
        <v>1.0</v>
      </c>
      <c r="K2254" s="135"/>
      <c r="L2254" s="135">
        <v>5767.0</v>
      </c>
      <c r="M2254" s="135">
        <v>1350.0</v>
      </c>
      <c r="N2254" s="135">
        <v>120.0</v>
      </c>
      <c r="O2254" s="135">
        <v>0.98</v>
      </c>
      <c r="P2254" s="136">
        <v>0.0</v>
      </c>
      <c r="Q2254" s="137">
        <v>2.45</v>
      </c>
      <c r="R2254" s="136">
        <v>46139.0</v>
      </c>
      <c r="S2254" s="135" t="s">
        <v>3950</v>
      </c>
      <c r="T2254" s="136"/>
      <c r="U2254" s="135" t="s">
        <v>3952</v>
      </c>
      <c r="V2254" s="135" t="s">
        <v>2856</v>
      </c>
      <c r="W2254" s="135">
        <v>1800.0</v>
      </c>
      <c r="X2254" s="135"/>
      <c r="Y2254" s="135"/>
      <c r="Z2254" s="135"/>
      <c r="AA2254" s="135"/>
      <c r="AB2254" s="135"/>
      <c r="AC2254" s="135"/>
      <c r="AD2254" s="135" t="e">
        <v>#N/A</v>
      </c>
      <c r="AE2254" s="135"/>
      <c r="AF2254" s="135"/>
      <c r="AG2254" s="135"/>
    </row>
    <row r="2255" ht="21.75" hidden="1" customHeight="1">
      <c r="A2255" s="135">
        <v>2251.0</v>
      </c>
      <c r="B2255" s="135">
        <v>25045.0</v>
      </c>
      <c r="C2255" s="135" t="s">
        <v>2817</v>
      </c>
      <c r="D2255" s="135">
        <v>34.0</v>
      </c>
      <c r="E2255" s="135" t="s">
        <v>3953</v>
      </c>
      <c r="F2255" s="135" t="s">
        <v>2140</v>
      </c>
      <c r="G2255" s="135" t="s">
        <v>105</v>
      </c>
      <c r="H2255" s="135" t="s">
        <v>2853</v>
      </c>
      <c r="I2255" s="135" t="s">
        <v>107</v>
      </c>
      <c r="J2255" s="135">
        <v>1.0</v>
      </c>
      <c r="K2255" s="135" t="s">
        <v>3134</v>
      </c>
      <c r="L2255" s="135">
        <v>2666.0</v>
      </c>
      <c r="M2255" s="135">
        <v>1350.0</v>
      </c>
      <c r="N2255" s="135">
        <v>120.0</v>
      </c>
      <c r="O2255" s="135">
        <v>0.471</v>
      </c>
      <c r="P2255" s="136">
        <v>0.0</v>
      </c>
      <c r="Q2255" s="137">
        <v>1.1775</v>
      </c>
      <c r="R2255" s="136">
        <v>46139.0</v>
      </c>
      <c r="S2255" s="135" t="s">
        <v>3950</v>
      </c>
      <c r="T2255" s="136"/>
      <c r="U2255" s="135" t="s">
        <v>3951</v>
      </c>
      <c r="V2255" s="135" t="s">
        <v>2856</v>
      </c>
      <c r="W2255" s="135"/>
      <c r="X2255" s="135"/>
      <c r="Y2255" s="135"/>
      <c r="Z2255" s="135"/>
      <c r="AA2255" s="135"/>
      <c r="AB2255" s="135"/>
      <c r="AC2255" s="135"/>
      <c r="AD2255" s="135" t="e">
        <v>#N/A</v>
      </c>
      <c r="AE2255" s="135"/>
      <c r="AF2255" s="135"/>
      <c r="AG2255" s="135"/>
    </row>
    <row r="2256" ht="21.75" hidden="1" customHeight="1">
      <c r="A2256" s="135">
        <v>2252.0</v>
      </c>
      <c r="B2256" s="135">
        <v>25045.0</v>
      </c>
      <c r="C2256" s="135" t="s">
        <v>2817</v>
      </c>
      <c r="D2256" s="135">
        <v>34.0</v>
      </c>
      <c r="E2256" s="135" t="s">
        <v>3953</v>
      </c>
      <c r="F2256" s="135" t="s">
        <v>2141</v>
      </c>
      <c r="G2256" s="135" t="s">
        <v>105</v>
      </c>
      <c r="H2256" s="135" t="s">
        <v>2853</v>
      </c>
      <c r="I2256" s="135" t="s">
        <v>107</v>
      </c>
      <c r="J2256" s="135">
        <v>1.0</v>
      </c>
      <c r="K2256" s="135" t="s">
        <v>3134</v>
      </c>
      <c r="L2256" s="135">
        <v>2666.0</v>
      </c>
      <c r="M2256" s="135">
        <v>1350.0</v>
      </c>
      <c r="N2256" s="135">
        <v>120.0</v>
      </c>
      <c r="O2256" s="135">
        <v>0.471</v>
      </c>
      <c r="P2256" s="136">
        <v>0.0</v>
      </c>
      <c r="Q2256" s="137">
        <v>1.1775</v>
      </c>
      <c r="R2256" s="136">
        <v>46139.0</v>
      </c>
      <c r="S2256" s="135" t="s">
        <v>3950</v>
      </c>
      <c r="T2256" s="136"/>
      <c r="U2256" s="135" t="s">
        <v>3951</v>
      </c>
      <c r="V2256" s="135" t="s">
        <v>2856</v>
      </c>
      <c r="W2256" s="135"/>
      <c r="X2256" s="135"/>
      <c r="Y2256" s="135"/>
      <c r="Z2256" s="135"/>
      <c r="AA2256" s="135"/>
      <c r="AB2256" s="135"/>
      <c r="AC2256" s="135"/>
      <c r="AD2256" s="135" t="e">
        <v>#N/A</v>
      </c>
      <c r="AE2256" s="135"/>
      <c r="AF2256" s="135"/>
      <c r="AG2256" s="135"/>
    </row>
    <row r="2257" ht="21.75" hidden="1" customHeight="1">
      <c r="A2257" s="135">
        <v>2253.0</v>
      </c>
      <c r="B2257" s="135">
        <v>25045.0</v>
      </c>
      <c r="C2257" s="135" t="s">
        <v>2817</v>
      </c>
      <c r="D2257" s="135">
        <v>34.0</v>
      </c>
      <c r="E2257" s="135" t="s">
        <v>3953</v>
      </c>
      <c r="F2257" s="135" t="s">
        <v>2142</v>
      </c>
      <c r="G2257" s="135" t="s">
        <v>105</v>
      </c>
      <c r="H2257" s="135" t="s">
        <v>2853</v>
      </c>
      <c r="I2257" s="135" t="s">
        <v>107</v>
      </c>
      <c r="J2257" s="135">
        <v>1.0</v>
      </c>
      <c r="K2257" s="135" t="s">
        <v>3134</v>
      </c>
      <c r="L2257" s="135">
        <v>2666.0</v>
      </c>
      <c r="M2257" s="135">
        <v>1350.0</v>
      </c>
      <c r="N2257" s="135">
        <v>120.0</v>
      </c>
      <c r="O2257" s="135">
        <v>0.471</v>
      </c>
      <c r="P2257" s="136">
        <v>0.0</v>
      </c>
      <c r="Q2257" s="137">
        <v>1.1775</v>
      </c>
      <c r="R2257" s="136">
        <v>46139.0</v>
      </c>
      <c r="S2257" s="135" t="s">
        <v>3950</v>
      </c>
      <c r="T2257" s="136"/>
      <c r="U2257" s="135" t="s">
        <v>3951</v>
      </c>
      <c r="V2257" s="135" t="s">
        <v>2856</v>
      </c>
      <c r="W2257" s="135"/>
      <c r="X2257" s="135"/>
      <c r="Y2257" s="135"/>
      <c r="Z2257" s="135"/>
      <c r="AA2257" s="135"/>
      <c r="AB2257" s="135"/>
      <c r="AC2257" s="135"/>
      <c r="AD2257" s="135" t="e">
        <v>#N/A</v>
      </c>
      <c r="AE2257" s="135"/>
      <c r="AF2257" s="135"/>
      <c r="AG2257" s="135"/>
    </row>
    <row r="2258" ht="21.75" hidden="1" customHeight="1">
      <c r="A2258" s="135">
        <v>2254.0</v>
      </c>
      <c r="B2258" s="135">
        <v>25045.0</v>
      </c>
      <c r="C2258" s="135" t="s">
        <v>2817</v>
      </c>
      <c r="D2258" s="135">
        <v>34.0</v>
      </c>
      <c r="E2258" s="135" t="s">
        <v>3953</v>
      </c>
      <c r="F2258" s="135" t="s">
        <v>2143</v>
      </c>
      <c r="G2258" s="135" t="s">
        <v>105</v>
      </c>
      <c r="H2258" s="135" t="s">
        <v>2853</v>
      </c>
      <c r="I2258" s="135" t="s">
        <v>107</v>
      </c>
      <c r="J2258" s="135">
        <v>1.0</v>
      </c>
      <c r="K2258" s="135" t="s">
        <v>3134</v>
      </c>
      <c r="L2258" s="135">
        <v>2666.0</v>
      </c>
      <c r="M2258" s="135">
        <v>1350.0</v>
      </c>
      <c r="N2258" s="135">
        <v>120.0</v>
      </c>
      <c r="O2258" s="135">
        <v>0.471</v>
      </c>
      <c r="P2258" s="136">
        <v>0.0</v>
      </c>
      <c r="Q2258" s="137">
        <v>1.1775</v>
      </c>
      <c r="R2258" s="136">
        <v>46139.0</v>
      </c>
      <c r="S2258" s="135" t="s">
        <v>3950</v>
      </c>
      <c r="T2258" s="136"/>
      <c r="U2258" s="135" t="s">
        <v>3951</v>
      </c>
      <c r="V2258" s="135" t="s">
        <v>2856</v>
      </c>
      <c r="W2258" s="135"/>
      <c r="X2258" s="135"/>
      <c r="Y2258" s="135"/>
      <c r="Z2258" s="135"/>
      <c r="AA2258" s="135"/>
      <c r="AB2258" s="135"/>
      <c r="AC2258" s="135"/>
      <c r="AD2258" s="135" t="e">
        <v>#N/A</v>
      </c>
      <c r="AE2258" s="135"/>
      <c r="AF2258" s="135"/>
      <c r="AG2258" s="135"/>
    </row>
    <row r="2259" ht="21.75" hidden="1" customHeight="1">
      <c r="A2259" s="135">
        <v>2255.0</v>
      </c>
      <c r="B2259" s="135">
        <v>25045.0</v>
      </c>
      <c r="C2259" s="135" t="s">
        <v>2817</v>
      </c>
      <c r="D2259" s="135">
        <v>34.0</v>
      </c>
      <c r="E2259" s="135" t="s">
        <v>3953</v>
      </c>
      <c r="F2259" s="135" t="s">
        <v>2144</v>
      </c>
      <c r="G2259" s="135" t="s">
        <v>105</v>
      </c>
      <c r="H2259" s="135" t="s">
        <v>2853</v>
      </c>
      <c r="I2259" s="135" t="s">
        <v>107</v>
      </c>
      <c r="J2259" s="135">
        <v>1.0</v>
      </c>
      <c r="K2259" s="135" t="s">
        <v>3134</v>
      </c>
      <c r="L2259" s="135">
        <v>2666.0</v>
      </c>
      <c r="M2259" s="135">
        <v>1350.0</v>
      </c>
      <c r="N2259" s="135">
        <v>120.0</v>
      </c>
      <c r="O2259" s="135">
        <v>0.471</v>
      </c>
      <c r="P2259" s="136">
        <v>0.0</v>
      </c>
      <c r="Q2259" s="137">
        <v>1.1775</v>
      </c>
      <c r="R2259" s="136">
        <v>46139.0</v>
      </c>
      <c r="S2259" s="135" t="s">
        <v>3950</v>
      </c>
      <c r="T2259" s="136"/>
      <c r="U2259" s="135" t="s">
        <v>3951</v>
      </c>
      <c r="V2259" s="135" t="s">
        <v>2856</v>
      </c>
      <c r="W2259" s="135"/>
      <c r="X2259" s="135"/>
      <c r="Y2259" s="135"/>
      <c r="Z2259" s="135"/>
      <c r="AA2259" s="135"/>
      <c r="AB2259" s="135"/>
      <c r="AC2259" s="135"/>
      <c r="AD2259" s="135" t="e">
        <v>#N/A</v>
      </c>
      <c r="AE2259" s="135"/>
      <c r="AF2259" s="135"/>
      <c r="AG2259" s="135"/>
    </row>
    <row r="2260" ht="21.75" hidden="1" customHeight="1">
      <c r="A2260" s="135">
        <v>2256.0</v>
      </c>
      <c r="B2260" s="135">
        <v>25045.0</v>
      </c>
      <c r="C2260" s="135" t="s">
        <v>2817</v>
      </c>
      <c r="D2260" s="135">
        <v>34.0</v>
      </c>
      <c r="E2260" s="135" t="s">
        <v>3953</v>
      </c>
      <c r="F2260" s="135" t="s">
        <v>2145</v>
      </c>
      <c r="G2260" s="135" t="s">
        <v>105</v>
      </c>
      <c r="H2260" s="135" t="s">
        <v>2853</v>
      </c>
      <c r="I2260" s="135" t="s">
        <v>107</v>
      </c>
      <c r="J2260" s="135">
        <v>1.0</v>
      </c>
      <c r="K2260" s="135" t="s">
        <v>3134</v>
      </c>
      <c r="L2260" s="135">
        <v>2666.0</v>
      </c>
      <c r="M2260" s="135">
        <v>1350.0</v>
      </c>
      <c r="N2260" s="135">
        <v>120.0</v>
      </c>
      <c r="O2260" s="135">
        <v>0.471</v>
      </c>
      <c r="P2260" s="136">
        <v>0.0</v>
      </c>
      <c r="Q2260" s="137">
        <v>1.1775</v>
      </c>
      <c r="R2260" s="136">
        <v>46139.0</v>
      </c>
      <c r="S2260" s="135" t="s">
        <v>3950</v>
      </c>
      <c r="T2260" s="136"/>
      <c r="U2260" s="135" t="s">
        <v>3951</v>
      </c>
      <c r="V2260" s="135" t="s">
        <v>2856</v>
      </c>
      <c r="W2260" s="135"/>
      <c r="X2260" s="135"/>
      <c r="Y2260" s="135"/>
      <c r="Z2260" s="135"/>
      <c r="AA2260" s="135"/>
      <c r="AB2260" s="135"/>
      <c r="AC2260" s="135"/>
      <c r="AD2260" s="135" t="e">
        <v>#N/A</v>
      </c>
      <c r="AE2260" s="135"/>
      <c r="AF2260" s="135"/>
      <c r="AG2260" s="135"/>
    </row>
    <row r="2261" ht="21.75" hidden="1" customHeight="1">
      <c r="A2261" s="135">
        <v>2257.0</v>
      </c>
      <c r="B2261" s="135">
        <v>25045.0</v>
      </c>
      <c r="C2261" s="135" t="s">
        <v>2817</v>
      </c>
      <c r="D2261" s="135">
        <v>34.0</v>
      </c>
      <c r="E2261" s="135" t="s">
        <v>3953</v>
      </c>
      <c r="F2261" s="135" t="s">
        <v>2146</v>
      </c>
      <c r="G2261" s="135" t="s">
        <v>105</v>
      </c>
      <c r="H2261" s="135" t="s">
        <v>2853</v>
      </c>
      <c r="I2261" s="135" t="s">
        <v>107</v>
      </c>
      <c r="J2261" s="135">
        <v>1.0</v>
      </c>
      <c r="K2261" s="135" t="s">
        <v>3134</v>
      </c>
      <c r="L2261" s="135">
        <v>2666.0</v>
      </c>
      <c r="M2261" s="135">
        <v>1350.0</v>
      </c>
      <c r="N2261" s="135">
        <v>120.0</v>
      </c>
      <c r="O2261" s="135">
        <v>0.471</v>
      </c>
      <c r="P2261" s="136">
        <v>0.0</v>
      </c>
      <c r="Q2261" s="137">
        <v>1.1775</v>
      </c>
      <c r="R2261" s="136">
        <v>46139.0</v>
      </c>
      <c r="S2261" s="135" t="s">
        <v>3950</v>
      </c>
      <c r="T2261" s="136"/>
      <c r="U2261" s="135" t="s">
        <v>3951</v>
      </c>
      <c r="V2261" s="135" t="s">
        <v>2856</v>
      </c>
      <c r="W2261" s="135"/>
      <c r="X2261" s="135"/>
      <c r="Y2261" s="135"/>
      <c r="Z2261" s="135"/>
      <c r="AA2261" s="135"/>
      <c r="AB2261" s="135"/>
      <c r="AC2261" s="135"/>
      <c r="AD2261" s="135" t="e">
        <v>#N/A</v>
      </c>
      <c r="AE2261" s="135"/>
      <c r="AF2261" s="135"/>
      <c r="AG2261" s="135"/>
    </row>
    <row r="2262" ht="21.75" hidden="1" customHeight="1">
      <c r="A2262" s="135">
        <v>2258.0</v>
      </c>
      <c r="B2262" s="135">
        <v>25045.0</v>
      </c>
      <c r="C2262" s="135" t="s">
        <v>2817</v>
      </c>
      <c r="D2262" s="135">
        <v>34.0</v>
      </c>
      <c r="E2262" s="135" t="s">
        <v>3953</v>
      </c>
      <c r="F2262" s="135" t="s">
        <v>2147</v>
      </c>
      <c r="G2262" s="135" t="s">
        <v>105</v>
      </c>
      <c r="H2262" s="135" t="s">
        <v>2853</v>
      </c>
      <c r="I2262" s="135" t="s">
        <v>107</v>
      </c>
      <c r="J2262" s="135">
        <v>1.0</v>
      </c>
      <c r="K2262" s="135" t="s">
        <v>3134</v>
      </c>
      <c r="L2262" s="135">
        <v>2666.0</v>
      </c>
      <c r="M2262" s="135">
        <v>1350.0</v>
      </c>
      <c r="N2262" s="135">
        <v>120.0</v>
      </c>
      <c r="O2262" s="135">
        <v>0.471</v>
      </c>
      <c r="P2262" s="136">
        <v>0.0</v>
      </c>
      <c r="Q2262" s="137">
        <v>1.1775</v>
      </c>
      <c r="R2262" s="136">
        <v>46139.0</v>
      </c>
      <c r="S2262" s="135" t="s">
        <v>3950</v>
      </c>
      <c r="T2262" s="136"/>
      <c r="U2262" s="135" t="s">
        <v>3951</v>
      </c>
      <c r="V2262" s="135" t="s">
        <v>2856</v>
      </c>
      <c r="W2262" s="135"/>
      <c r="X2262" s="135"/>
      <c r="Y2262" s="135"/>
      <c r="Z2262" s="135"/>
      <c r="AA2262" s="135"/>
      <c r="AB2262" s="135"/>
      <c r="AC2262" s="135"/>
      <c r="AD2262" s="135" t="e">
        <v>#N/A</v>
      </c>
      <c r="AE2262" s="135"/>
      <c r="AF2262" s="135"/>
      <c r="AG2262" s="135"/>
    </row>
    <row r="2263" ht="21.75" hidden="1" customHeight="1">
      <c r="A2263" s="135">
        <v>2259.0</v>
      </c>
      <c r="B2263" s="135">
        <v>25045.0</v>
      </c>
      <c r="C2263" s="135" t="s">
        <v>2817</v>
      </c>
      <c r="D2263" s="135">
        <v>34.0</v>
      </c>
      <c r="E2263" s="135" t="s">
        <v>3953</v>
      </c>
      <c r="F2263" s="135" t="s">
        <v>2148</v>
      </c>
      <c r="G2263" s="135" t="s">
        <v>105</v>
      </c>
      <c r="H2263" s="135" t="s">
        <v>2853</v>
      </c>
      <c r="I2263" s="135" t="s">
        <v>107</v>
      </c>
      <c r="J2263" s="135">
        <v>1.0</v>
      </c>
      <c r="K2263" s="135" t="s">
        <v>3134</v>
      </c>
      <c r="L2263" s="135">
        <v>2666.0</v>
      </c>
      <c r="M2263" s="135">
        <v>1350.0</v>
      </c>
      <c r="N2263" s="135">
        <v>120.0</v>
      </c>
      <c r="O2263" s="135">
        <v>0.471</v>
      </c>
      <c r="P2263" s="136">
        <v>0.0</v>
      </c>
      <c r="Q2263" s="137">
        <v>1.1775</v>
      </c>
      <c r="R2263" s="136">
        <v>46139.0</v>
      </c>
      <c r="S2263" s="135" t="s">
        <v>3950</v>
      </c>
      <c r="T2263" s="136"/>
      <c r="U2263" s="135" t="s">
        <v>3951</v>
      </c>
      <c r="V2263" s="135" t="s">
        <v>2856</v>
      </c>
      <c r="W2263" s="135"/>
      <c r="X2263" s="135"/>
      <c r="Y2263" s="135"/>
      <c r="Z2263" s="135"/>
      <c r="AA2263" s="135"/>
      <c r="AB2263" s="135"/>
      <c r="AC2263" s="135"/>
      <c r="AD2263" s="135" t="e">
        <v>#N/A</v>
      </c>
      <c r="AE2263" s="135"/>
      <c r="AF2263" s="135"/>
      <c r="AG2263" s="135"/>
    </row>
    <row r="2264" ht="21.75" hidden="1" customHeight="1">
      <c r="A2264" s="135">
        <v>2260.0</v>
      </c>
      <c r="B2264" s="135">
        <v>25045.0</v>
      </c>
      <c r="C2264" s="135" t="s">
        <v>2817</v>
      </c>
      <c r="D2264" s="135">
        <v>34.0</v>
      </c>
      <c r="E2264" s="135" t="s">
        <v>3953</v>
      </c>
      <c r="F2264" s="135" t="s">
        <v>2149</v>
      </c>
      <c r="G2264" s="135" t="s">
        <v>105</v>
      </c>
      <c r="H2264" s="135" t="s">
        <v>2853</v>
      </c>
      <c r="I2264" s="135" t="s">
        <v>107</v>
      </c>
      <c r="J2264" s="135">
        <v>1.0</v>
      </c>
      <c r="K2264" s="135" t="s">
        <v>3134</v>
      </c>
      <c r="L2264" s="135">
        <v>2666.0</v>
      </c>
      <c r="M2264" s="135">
        <v>1350.0</v>
      </c>
      <c r="N2264" s="135">
        <v>120.0</v>
      </c>
      <c r="O2264" s="135">
        <v>0.471</v>
      </c>
      <c r="P2264" s="136">
        <v>0.0</v>
      </c>
      <c r="Q2264" s="137">
        <v>1.1775</v>
      </c>
      <c r="R2264" s="136">
        <v>46139.0</v>
      </c>
      <c r="S2264" s="135" t="s">
        <v>3950</v>
      </c>
      <c r="T2264" s="136"/>
      <c r="U2264" s="135" t="s">
        <v>3951</v>
      </c>
      <c r="V2264" s="135" t="s">
        <v>2856</v>
      </c>
      <c r="W2264" s="135"/>
      <c r="X2264" s="135"/>
      <c r="Y2264" s="135"/>
      <c r="Z2264" s="135"/>
      <c r="AA2264" s="135"/>
      <c r="AB2264" s="135"/>
      <c r="AC2264" s="135"/>
      <c r="AD2264" s="135" t="e">
        <v>#N/A</v>
      </c>
      <c r="AE2264" s="135"/>
      <c r="AF2264" s="135"/>
      <c r="AG2264" s="135"/>
    </row>
    <row r="2265" ht="21.75" hidden="1" customHeight="1">
      <c r="A2265" s="135">
        <v>2261.0</v>
      </c>
      <c r="B2265" s="135">
        <v>25045.0</v>
      </c>
      <c r="C2265" s="135" t="s">
        <v>2817</v>
      </c>
      <c r="D2265" s="135">
        <v>34.0</v>
      </c>
      <c r="E2265" s="135" t="s">
        <v>3953</v>
      </c>
      <c r="F2265" s="135" t="s">
        <v>2150</v>
      </c>
      <c r="G2265" s="135" t="s">
        <v>105</v>
      </c>
      <c r="H2265" s="135" t="s">
        <v>2853</v>
      </c>
      <c r="I2265" s="135" t="s">
        <v>107</v>
      </c>
      <c r="J2265" s="135">
        <v>1.0</v>
      </c>
      <c r="K2265" s="135"/>
      <c r="L2265" s="135">
        <v>2195.0</v>
      </c>
      <c r="M2265" s="135">
        <v>2850.0</v>
      </c>
      <c r="N2265" s="135">
        <v>120.0</v>
      </c>
      <c r="O2265" s="135">
        <v>0.797</v>
      </c>
      <c r="P2265" s="136">
        <v>0.0</v>
      </c>
      <c r="Q2265" s="137">
        <v>1.9925000000000002</v>
      </c>
      <c r="R2265" s="136">
        <v>46139.0</v>
      </c>
      <c r="S2265" s="135" t="s">
        <v>3950</v>
      </c>
      <c r="T2265" s="136"/>
      <c r="U2265" s="135" t="s">
        <v>3951</v>
      </c>
      <c r="V2265" s="135" t="s">
        <v>2878</v>
      </c>
      <c r="W2265" s="135"/>
      <c r="X2265" s="135" t="s">
        <v>3586</v>
      </c>
      <c r="Y2265" s="135"/>
      <c r="Z2265" s="135"/>
      <c r="AA2265" s="135"/>
      <c r="AB2265" s="135"/>
      <c r="AC2265" s="135"/>
      <c r="AD2265" s="135" t="e">
        <v>#N/A</v>
      </c>
      <c r="AE2265" s="135"/>
      <c r="AF2265" s="135"/>
      <c r="AG2265" s="135"/>
    </row>
    <row r="2266" ht="21.75" hidden="1" customHeight="1">
      <c r="A2266" s="135">
        <v>2262.0</v>
      </c>
      <c r="B2266" s="135">
        <v>25045.0</v>
      </c>
      <c r="C2266" s="135"/>
      <c r="D2266" s="135">
        <v>34.0</v>
      </c>
      <c r="E2266" s="135" t="s">
        <v>3953</v>
      </c>
      <c r="F2266" s="135" t="s">
        <v>2151</v>
      </c>
      <c r="G2266" s="135" t="s">
        <v>105</v>
      </c>
      <c r="H2266" s="135" t="s">
        <v>2853</v>
      </c>
      <c r="I2266" s="135" t="s">
        <v>107</v>
      </c>
      <c r="J2266" s="135">
        <v>1.0</v>
      </c>
      <c r="K2266" s="135" t="s">
        <v>3134</v>
      </c>
      <c r="L2266" s="135">
        <v>3786.0</v>
      </c>
      <c r="M2266" s="135">
        <v>3000.0</v>
      </c>
      <c r="N2266" s="135">
        <v>120.0</v>
      </c>
      <c r="O2266" s="135">
        <v>1.529</v>
      </c>
      <c r="P2266" s="136">
        <v>0.0</v>
      </c>
      <c r="Q2266" s="137">
        <v>3.8225</v>
      </c>
      <c r="R2266" s="136">
        <v>46139.0</v>
      </c>
      <c r="S2266" s="135" t="s">
        <v>3950</v>
      </c>
      <c r="T2266" s="136"/>
      <c r="U2266" s="135" t="s">
        <v>3951</v>
      </c>
      <c r="V2266" s="135" t="s">
        <v>3100</v>
      </c>
      <c r="W2266" s="135"/>
      <c r="X2266" s="135"/>
      <c r="Y2266" s="135"/>
      <c r="Z2266" s="135"/>
      <c r="AA2266" s="135"/>
      <c r="AB2266" s="135"/>
      <c r="AC2266" s="135"/>
      <c r="AD2266" s="135">
        <v>0.0</v>
      </c>
      <c r="AE2266" s="135"/>
      <c r="AF2266" s="135"/>
      <c r="AG2266" s="135"/>
    </row>
    <row r="2267" ht="21.75" hidden="1" customHeight="1">
      <c r="A2267" s="135">
        <v>2263.0</v>
      </c>
      <c r="B2267" s="135">
        <v>25045.0</v>
      </c>
      <c r="C2267" s="135"/>
      <c r="D2267" s="135">
        <v>34.0</v>
      </c>
      <c r="E2267" s="135" t="s">
        <v>3953</v>
      </c>
      <c r="F2267" s="135" t="s">
        <v>2152</v>
      </c>
      <c r="G2267" s="135" t="s">
        <v>105</v>
      </c>
      <c r="H2267" s="135" t="s">
        <v>2853</v>
      </c>
      <c r="I2267" s="135" t="s">
        <v>107</v>
      </c>
      <c r="J2267" s="135">
        <v>1.0</v>
      </c>
      <c r="K2267" s="135" t="s">
        <v>3134</v>
      </c>
      <c r="L2267" s="135">
        <v>3786.0</v>
      </c>
      <c r="M2267" s="135">
        <v>3000.0</v>
      </c>
      <c r="N2267" s="135">
        <v>120.0</v>
      </c>
      <c r="O2267" s="135">
        <v>1.529</v>
      </c>
      <c r="P2267" s="136">
        <v>0.0</v>
      </c>
      <c r="Q2267" s="137">
        <v>3.8225</v>
      </c>
      <c r="R2267" s="136">
        <v>46139.0</v>
      </c>
      <c r="S2267" s="135" t="s">
        <v>3950</v>
      </c>
      <c r="T2267" s="136"/>
      <c r="U2267" s="135" t="s">
        <v>3951</v>
      </c>
      <c r="V2267" s="135" t="s">
        <v>3100</v>
      </c>
      <c r="W2267" s="135"/>
      <c r="X2267" s="135"/>
      <c r="Y2267" s="135"/>
      <c r="Z2267" s="135"/>
      <c r="AA2267" s="135"/>
      <c r="AB2267" s="135"/>
      <c r="AC2267" s="135"/>
      <c r="AD2267" s="135">
        <v>0.0</v>
      </c>
      <c r="AE2267" s="135"/>
      <c r="AF2267" s="135"/>
      <c r="AG2267" s="135"/>
    </row>
    <row r="2268" ht="21.75" hidden="1" customHeight="1">
      <c r="A2268" s="135">
        <v>2264.0</v>
      </c>
      <c r="B2268" s="135">
        <v>25045.0</v>
      </c>
      <c r="C2268" s="135"/>
      <c r="D2268" s="135">
        <v>34.0</v>
      </c>
      <c r="E2268" s="135" t="s">
        <v>3953</v>
      </c>
      <c r="F2268" s="135" t="s">
        <v>2153</v>
      </c>
      <c r="G2268" s="135" t="s">
        <v>105</v>
      </c>
      <c r="H2268" s="135" t="s">
        <v>2853</v>
      </c>
      <c r="I2268" s="135" t="s">
        <v>107</v>
      </c>
      <c r="J2268" s="135">
        <v>1.0</v>
      </c>
      <c r="K2268" s="135" t="s">
        <v>3134</v>
      </c>
      <c r="L2268" s="135">
        <v>3786.0</v>
      </c>
      <c r="M2268" s="135">
        <v>3000.0</v>
      </c>
      <c r="N2268" s="135">
        <v>120.0</v>
      </c>
      <c r="O2268" s="135">
        <v>1.529</v>
      </c>
      <c r="P2268" s="136">
        <v>0.0</v>
      </c>
      <c r="Q2268" s="137">
        <v>3.8225</v>
      </c>
      <c r="R2268" s="136">
        <v>46139.0</v>
      </c>
      <c r="S2268" s="135" t="s">
        <v>3950</v>
      </c>
      <c r="T2268" s="136"/>
      <c r="U2268" s="135" t="s">
        <v>3951</v>
      </c>
      <c r="V2268" s="135" t="s">
        <v>3100</v>
      </c>
      <c r="W2268" s="135"/>
      <c r="X2268" s="135"/>
      <c r="Y2268" s="135"/>
      <c r="Z2268" s="135"/>
      <c r="AA2268" s="135"/>
      <c r="AB2268" s="135"/>
      <c r="AC2268" s="135"/>
      <c r="AD2268" s="135">
        <v>0.0</v>
      </c>
      <c r="AE2268" s="135"/>
      <c r="AF2268" s="135"/>
      <c r="AG2268" s="135"/>
    </row>
    <row r="2269" ht="21.75" hidden="1" customHeight="1">
      <c r="A2269" s="135">
        <v>2265.0</v>
      </c>
      <c r="B2269" s="135">
        <v>25045.0</v>
      </c>
      <c r="C2269" s="135"/>
      <c r="D2269" s="135">
        <v>34.0</v>
      </c>
      <c r="E2269" s="135" t="s">
        <v>3953</v>
      </c>
      <c r="F2269" s="135" t="s">
        <v>2154</v>
      </c>
      <c r="G2269" s="135" t="s">
        <v>105</v>
      </c>
      <c r="H2269" s="135" t="s">
        <v>2853</v>
      </c>
      <c r="I2269" s="135" t="s">
        <v>107</v>
      </c>
      <c r="J2269" s="135">
        <v>1.0</v>
      </c>
      <c r="K2269" s="135"/>
      <c r="L2269" s="135">
        <v>3786.0</v>
      </c>
      <c r="M2269" s="135">
        <v>3000.0</v>
      </c>
      <c r="N2269" s="135">
        <v>120.0</v>
      </c>
      <c r="O2269" s="135">
        <v>1.212</v>
      </c>
      <c r="P2269" s="136">
        <v>0.0</v>
      </c>
      <c r="Q2269" s="137">
        <v>3.03</v>
      </c>
      <c r="R2269" s="136">
        <v>46139.0</v>
      </c>
      <c r="S2269" s="135" t="s">
        <v>3950</v>
      </c>
      <c r="T2269" s="136"/>
      <c r="U2269" s="135" t="s">
        <v>3951</v>
      </c>
      <c r="V2269" s="135" t="s">
        <v>3100</v>
      </c>
      <c r="W2269" s="135"/>
      <c r="X2269" s="135" t="s">
        <v>2969</v>
      </c>
      <c r="Y2269" s="135"/>
      <c r="Z2269" s="135"/>
      <c r="AA2269" s="135"/>
      <c r="AB2269" s="135"/>
      <c r="AC2269" s="135"/>
      <c r="AD2269" s="135">
        <v>0.0</v>
      </c>
      <c r="AE2269" s="135"/>
      <c r="AF2269" s="135"/>
      <c r="AG2269" s="135"/>
    </row>
    <row r="2270" ht="21.75" hidden="1" customHeight="1">
      <c r="A2270" s="135">
        <v>2266.0</v>
      </c>
      <c r="B2270" s="135">
        <v>25045.0</v>
      </c>
      <c r="C2270" s="135"/>
      <c r="D2270" s="135">
        <v>34.0</v>
      </c>
      <c r="E2270" s="135" t="s">
        <v>3953</v>
      </c>
      <c r="F2270" s="135" t="s">
        <v>2155</v>
      </c>
      <c r="G2270" s="135" t="s">
        <v>105</v>
      </c>
      <c r="H2270" s="135" t="s">
        <v>2853</v>
      </c>
      <c r="I2270" s="135" t="s">
        <v>107</v>
      </c>
      <c r="J2270" s="135">
        <v>1.0</v>
      </c>
      <c r="K2270" s="135"/>
      <c r="L2270" s="135">
        <v>4338.0</v>
      </c>
      <c r="M2270" s="135">
        <v>2800.0</v>
      </c>
      <c r="N2270" s="135">
        <v>120.0</v>
      </c>
      <c r="O2270" s="135">
        <v>1.444</v>
      </c>
      <c r="P2270" s="136">
        <v>0.0</v>
      </c>
      <c r="Q2270" s="137">
        <v>3.61</v>
      </c>
      <c r="R2270" s="136">
        <v>46139.0</v>
      </c>
      <c r="S2270" s="135" t="s">
        <v>3950</v>
      </c>
      <c r="T2270" s="136"/>
      <c r="U2270" s="135" t="s">
        <v>3951</v>
      </c>
      <c r="V2270" s="135" t="s">
        <v>2985</v>
      </c>
      <c r="W2270" s="135"/>
      <c r="X2270" s="135" t="s">
        <v>2968</v>
      </c>
      <c r="Y2270" s="135"/>
      <c r="Z2270" s="135"/>
      <c r="AA2270" s="135"/>
      <c r="AB2270" s="135"/>
      <c r="AC2270" s="135"/>
      <c r="AD2270" s="135">
        <v>46160.0</v>
      </c>
      <c r="AE2270" s="135"/>
      <c r="AF2270" s="135"/>
      <c r="AG2270" s="135"/>
    </row>
    <row r="2271" ht="21.75" hidden="1" customHeight="1">
      <c r="A2271" s="135">
        <v>2267.0</v>
      </c>
      <c r="B2271" s="135">
        <v>25045.0</v>
      </c>
      <c r="C2271" s="135"/>
      <c r="D2271" s="135">
        <v>34.0</v>
      </c>
      <c r="E2271" s="135" t="s">
        <v>3953</v>
      </c>
      <c r="F2271" s="135" t="s">
        <v>2156</v>
      </c>
      <c r="G2271" s="135" t="s">
        <v>105</v>
      </c>
      <c r="H2271" s="135" t="s">
        <v>2853</v>
      </c>
      <c r="I2271" s="135" t="s">
        <v>107</v>
      </c>
      <c r="J2271" s="135">
        <v>1.0</v>
      </c>
      <c r="K2271" s="135"/>
      <c r="L2271" s="135">
        <v>4338.0</v>
      </c>
      <c r="M2271" s="135">
        <v>3000.0</v>
      </c>
      <c r="N2271" s="135">
        <v>120.0</v>
      </c>
      <c r="O2271" s="135">
        <v>1.827</v>
      </c>
      <c r="P2271" s="136">
        <v>0.0</v>
      </c>
      <c r="Q2271" s="137">
        <v>4.5675</v>
      </c>
      <c r="R2271" s="136">
        <v>46139.0</v>
      </c>
      <c r="S2271" s="135" t="s">
        <v>3950</v>
      </c>
      <c r="T2271" s="136"/>
      <c r="U2271" s="135" t="s">
        <v>3952</v>
      </c>
      <c r="V2271" s="135" t="s">
        <v>2876</v>
      </c>
      <c r="W2271" s="135">
        <v>1800.0</v>
      </c>
      <c r="X2271" s="135"/>
      <c r="Y2271" s="135"/>
      <c r="Z2271" s="135"/>
      <c r="AA2271" s="135"/>
      <c r="AB2271" s="135"/>
      <c r="AC2271" s="135"/>
      <c r="AD2271" s="135">
        <v>46156.0</v>
      </c>
      <c r="AE2271" s="135"/>
      <c r="AF2271" s="135"/>
      <c r="AG2271" s="135"/>
    </row>
    <row r="2272" ht="21.75" hidden="1" customHeight="1">
      <c r="A2272" s="135">
        <v>2268.0</v>
      </c>
      <c r="B2272" s="135">
        <v>25045.0</v>
      </c>
      <c r="C2272" s="135"/>
      <c r="D2272" s="135">
        <v>34.0</v>
      </c>
      <c r="E2272" s="135" t="s">
        <v>3953</v>
      </c>
      <c r="F2272" s="135" t="s">
        <v>2157</v>
      </c>
      <c r="G2272" s="135" t="s">
        <v>105</v>
      </c>
      <c r="H2272" s="135" t="s">
        <v>2853</v>
      </c>
      <c r="I2272" s="135" t="s">
        <v>107</v>
      </c>
      <c r="J2272" s="135">
        <v>1.0</v>
      </c>
      <c r="K2272" s="135"/>
      <c r="L2272" s="135">
        <v>5000.0</v>
      </c>
      <c r="M2272" s="135">
        <v>3000.0</v>
      </c>
      <c r="N2272" s="135">
        <v>120.0</v>
      </c>
      <c r="O2272" s="135">
        <v>2.002</v>
      </c>
      <c r="P2272" s="136">
        <v>0.0</v>
      </c>
      <c r="Q2272" s="137">
        <v>5.004999999999999</v>
      </c>
      <c r="R2272" s="136">
        <v>46139.0</v>
      </c>
      <c r="S2272" s="135" t="s">
        <v>3950</v>
      </c>
      <c r="T2272" s="136"/>
      <c r="U2272" s="135" t="s">
        <v>3952</v>
      </c>
      <c r="V2272" s="135" t="s">
        <v>2876</v>
      </c>
      <c r="W2272" s="135">
        <v>2500.0</v>
      </c>
      <c r="X2272" s="135"/>
      <c r="Y2272" s="135"/>
      <c r="Z2272" s="135"/>
      <c r="AA2272" s="135"/>
      <c r="AB2272" s="135"/>
      <c r="AC2272" s="135"/>
      <c r="AD2272" s="135">
        <v>0.0</v>
      </c>
      <c r="AE2272" s="135"/>
      <c r="AF2272" s="135"/>
      <c r="AG2272" s="135"/>
    </row>
    <row r="2273" ht="21.75" hidden="1" customHeight="1">
      <c r="A2273" s="135">
        <v>2269.0</v>
      </c>
      <c r="B2273" s="135">
        <v>25045.0</v>
      </c>
      <c r="C2273" s="135"/>
      <c r="D2273" s="135">
        <v>34.0</v>
      </c>
      <c r="E2273" s="135" t="s">
        <v>3953</v>
      </c>
      <c r="F2273" s="135" t="s">
        <v>2158</v>
      </c>
      <c r="G2273" s="135" t="s">
        <v>105</v>
      </c>
      <c r="H2273" s="135" t="s">
        <v>2853</v>
      </c>
      <c r="I2273" s="135" t="s">
        <v>107</v>
      </c>
      <c r="J2273" s="135">
        <v>1.0</v>
      </c>
      <c r="K2273" s="135"/>
      <c r="L2273" s="135">
        <v>4334.0</v>
      </c>
      <c r="M2273" s="135">
        <v>3100.0</v>
      </c>
      <c r="N2273" s="135">
        <v>300.0</v>
      </c>
      <c r="O2273" s="135">
        <v>2.782</v>
      </c>
      <c r="P2273" s="136">
        <v>0.0</v>
      </c>
      <c r="Q2273" s="137">
        <v>6.955</v>
      </c>
      <c r="R2273" s="136">
        <v>46139.0</v>
      </c>
      <c r="S2273" s="135" t="s">
        <v>3950</v>
      </c>
      <c r="T2273" s="136"/>
      <c r="U2273" s="135" t="s">
        <v>3951</v>
      </c>
      <c r="V2273" s="135" t="s">
        <v>2890</v>
      </c>
      <c r="W2273" s="135"/>
      <c r="X2273" s="135"/>
      <c r="Y2273" s="135" t="s">
        <v>2886</v>
      </c>
      <c r="Z2273" s="135"/>
      <c r="AA2273" s="135"/>
      <c r="AB2273" s="135"/>
      <c r="AC2273" s="135"/>
      <c r="AD2273" s="135">
        <v>46150.0</v>
      </c>
      <c r="AE2273" s="135"/>
      <c r="AF2273" s="135"/>
      <c r="AG2273" s="135"/>
    </row>
    <row r="2274" ht="21.75" hidden="1" customHeight="1">
      <c r="A2274" s="135">
        <v>2270.0</v>
      </c>
      <c r="B2274" s="135">
        <v>25045.0</v>
      </c>
      <c r="C2274" s="135"/>
      <c r="D2274" s="135">
        <v>34.0</v>
      </c>
      <c r="E2274" s="135" t="s">
        <v>3953</v>
      </c>
      <c r="F2274" s="135" t="s">
        <v>2159</v>
      </c>
      <c r="G2274" s="135" t="s">
        <v>105</v>
      </c>
      <c r="H2274" s="135" t="s">
        <v>2853</v>
      </c>
      <c r="I2274" s="135" t="s">
        <v>107</v>
      </c>
      <c r="J2274" s="135">
        <v>1.0</v>
      </c>
      <c r="K2274" s="135"/>
      <c r="L2274" s="135">
        <v>2140.0</v>
      </c>
      <c r="M2274" s="135">
        <v>1154.0</v>
      </c>
      <c r="N2274" s="135">
        <v>120.0</v>
      </c>
      <c r="O2274" s="135">
        <v>0.399</v>
      </c>
      <c r="P2274" s="136">
        <v>0.0</v>
      </c>
      <c r="Q2274" s="137">
        <v>0.9975</v>
      </c>
      <c r="R2274" s="136">
        <v>46139.0</v>
      </c>
      <c r="S2274" s="135" t="s">
        <v>3950</v>
      </c>
      <c r="T2274" s="136"/>
      <c r="U2274" s="135" t="s">
        <v>3951</v>
      </c>
      <c r="V2274" s="135" t="s">
        <v>2873</v>
      </c>
      <c r="W2274" s="135"/>
      <c r="X2274" s="135"/>
      <c r="Y2274" s="135"/>
      <c r="Z2274" s="135"/>
      <c r="AA2274" s="135"/>
      <c r="AB2274" s="135"/>
      <c r="AC2274" s="135"/>
      <c r="AD2274" s="135">
        <v>0.0</v>
      </c>
      <c r="AE2274" s="135"/>
      <c r="AF2274" s="135"/>
      <c r="AG2274" s="135"/>
    </row>
    <row r="2275" ht="21.75" hidden="1" customHeight="1">
      <c r="A2275" s="135">
        <v>2271.0</v>
      </c>
      <c r="B2275" s="135">
        <v>25045.0</v>
      </c>
      <c r="C2275" s="135"/>
      <c r="D2275" s="135">
        <v>34.0</v>
      </c>
      <c r="E2275" s="135" t="s">
        <v>3953</v>
      </c>
      <c r="F2275" s="135" t="s">
        <v>2160</v>
      </c>
      <c r="G2275" s="135" t="s">
        <v>105</v>
      </c>
      <c r="H2275" s="135" t="s">
        <v>2853</v>
      </c>
      <c r="I2275" s="135" t="s">
        <v>107</v>
      </c>
      <c r="J2275" s="135">
        <v>1.0</v>
      </c>
      <c r="K2275" s="135"/>
      <c r="L2275" s="135">
        <v>1780.0</v>
      </c>
      <c r="M2275" s="135">
        <v>1313.0</v>
      </c>
      <c r="N2275" s="135">
        <v>120.0</v>
      </c>
      <c r="O2275" s="135">
        <v>0.384</v>
      </c>
      <c r="P2275" s="136">
        <v>0.0</v>
      </c>
      <c r="Q2275" s="137">
        <v>0.96</v>
      </c>
      <c r="R2275" s="136">
        <v>46139.0</v>
      </c>
      <c r="S2275" s="135" t="s">
        <v>3950</v>
      </c>
      <c r="T2275" s="136"/>
      <c r="U2275" s="135" t="s">
        <v>3951</v>
      </c>
      <c r="V2275" s="135" t="s">
        <v>2953</v>
      </c>
      <c r="W2275" s="135"/>
      <c r="X2275" s="135"/>
      <c r="Y2275" s="135"/>
      <c r="Z2275" s="135"/>
      <c r="AA2275" s="135"/>
      <c r="AB2275" s="135"/>
      <c r="AC2275" s="135"/>
      <c r="AD2275" s="135">
        <v>0.0</v>
      </c>
      <c r="AE2275" s="135"/>
      <c r="AF2275" s="135"/>
      <c r="AG2275" s="135"/>
    </row>
    <row r="2276" ht="21.75" hidden="1" customHeight="1">
      <c r="A2276" s="135">
        <v>2272.0</v>
      </c>
      <c r="B2276" s="135">
        <v>25045.0</v>
      </c>
      <c r="C2276" s="135"/>
      <c r="D2276" s="135">
        <v>34.0</v>
      </c>
      <c r="E2276" s="135" t="s">
        <v>3953</v>
      </c>
      <c r="F2276" s="135" t="s">
        <v>2161</v>
      </c>
      <c r="G2276" s="135" t="s">
        <v>105</v>
      </c>
      <c r="H2276" s="135" t="s">
        <v>2853</v>
      </c>
      <c r="I2276" s="135" t="s">
        <v>107</v>
      </c>
      <c r="J2276" s="135">
        <v>1.0</v>
      </c>
      <c r="K2276" s="135"/>
      <c r="L2276" s="135">
        <v>2017.0</v>
      </c>
      <c r="M2276" s="135">
        <v>1000.0</v>
      </c>
      <c r="N2276" s="135">
        <v>120.0</v>
      </c>
      <c r="O2276" s="135">
        <v>0.397</v>
      </c>
      <c r="P2276" s="136">
        <v>0.0</v>
      </c>
      <c r="Q2276" s="137">
        <v>0.9925</v>
      </c>
      <c r="R2276" s="136">
        <v>46139.0</v>
      </c>
      <c r="S2276" s="135" t="s">
        <v>3950</v>
      </c>
      <c r="T2276" s="136"/>
      <c r="U2276" s="135" t="s">
        <v>2950</v>
      </c>
      <c r="V2276" s="135" t="s">
        <v>2951</v>
      </c>
      <c r="W2276" s="135"/>
      <c r="X2276" s="135"/>
      <c r="Y2276" s="135"/>
      <c r="Z2276" s="135"/>
      <c r="AA2276" s="135"/>
      <c r="AB2276" s="135"/>
      <c r="AC2276" s="135"/>
      <c r="AD2276" s="135">
        <v>46160.0</v>
      </c>
      <c r="AE2276" s="135"/>
      <c r="AF2276" s="135"/>
      <c r="AG2276" s="135"/>
    </row>
    <row r="2277" ht="21.75" hidden="1" customHeight="1">
      <c r="A2277" s="135">
        <v>2273.0</v>
      </c>
      <c r="B2277" s="135">
        <v>25045.0</v>
      </c>
      <c r="C2277" s="135"/>
      <c r="D2277" s="135">
        <v>34.0</v>
      </c>
      <c r="E2277" s="135" t="s">
        <v>3953</v>
      </c>
      <c r="F2277" s="135" t="s">
        <v>2162</v>
      </c>
      <c r="G2277" s="135" t="s">
        <v>105</v>
      </c>
      <c r="H2277" s="135" t="s">
        <v>2853</v>
      </c>
      <c r="I2277" s="135" t="s">
        <v>107</v>
      </c>
      <c r="J2277" s="135">
        <v>1.0</v>
      </c>
      <c r="K2277" s="135"/>
      <c r="L2277" s="135">
        <v>2901.0</v>
      </c>
      <c r="M2277" s="135">
        <v>1000.0</v>
      </c>
      <c r="N2277" s="135">
        <v>120.0</v>
      </c>
      <c r="O2277" s="135">
        <v>0.471</v>
      </c>
      <c r="P2277" s="136">
        <v>0.0</v>
      </c>
      <c r="Q2277" s="137">
        <v>1.1775</v>
      </c>
      <c r="R2277" s="136">
        <v>46139.0</v>
      </c>
      <c r="S2277" s="135" t="s">
        <v>3950</v>
      </c>
      <c r="T2277" s="136"/>
      <c r="U2277" s="135" t="s">
        <v>2950</v>
      </c>
      <c r="V2277" s="135" t="s">
        <v>2951</v>
      </c>
      <c r="W2277" s="135"/>
      <c r="X2277" s="135"/>
      <c r="Y2277" s="135"/>
      <c r="Z2277" s="135"/>
      <c r="AA2277" s="135"/>
      <c r="AB2277" s="135"/>
      <c r="AC2277" s="135"/>
      <c r="AD2277" s="135">
        <v>46156.0</v>
      </c>
      <c r="AE2277" s="135"/>
      <c r="AF2277" s="135"/>
      <c r="AG2277" s="135"/>
    </row>
    <row r="2278" ht="21.75" hidden="1" customHeight="1">
      <c r="A2278" s="135">
        <v>2274.0</v>
      </c>
      <c r="B2278" s="135">
        <v>25045.0</v>
      </c>
      <c r="C2278" s="135"/>
      <c r="D2278" s="135">
        <v>34.0</v>
      </c>
      <c r="E2278" s="135" t="s">
        <v>3953</v>
      </c>
      <c r="F2278" s="135" t="s">
        <v>2163</v>
      </c>
      <c r="G2278" s="135" t="s">
        <v>105</v>
      </c>
      <c r="H2278" s="135" t="s">
        <v>2965</v>
      </c>
      <c r="I2278" s="135" t="s">
        <v>107</v>
      </c>
      <c r="J2278" s="135">
        <v>1.0</v>
      </c>
      <c r="K2278" s="135"/>
      <c r="L2278" s="135"/>
      <c r="M2278" s="135"/>
      <c r="N2278" s="135"/>
      <c r="O2278" s="135"/>
      <c r="P2278" s="136">
        <v>0.0</v>
      </c>
      <c r="Q2278" s="137">
        <v>0.0</v>
      </c>
      <c r="R2278" s="136">
        <v>46139.0</v>
      </c>
      <c r="S2278" s="135" t="s">
        <v>3950</v>
      </c>
      <c r="T2278" s="136"/>
      <c r="U2278" s="135" t="s">
        <v>2966</v>
      </c>
      <c r="V2278" s="135" t="s">
        <v>2967</v>
      </c>
      <c r="W2278" s="135"/>
      <c r="X2278" s="135" t="s">
        <v>2968</v>
      </c>
      <c r="Y2278" s="135"/>
      <c r="Z2278" s="135"/>
      <c r="AA2278" s="135"/>
      <c r="AB2278" s="135"/>
      <c r="AC2278" s="135"/>
      <c r="AD2278" s="135">
        <v>0.0</v>
      </c>
      <c r="AE2278" s="135"/>
      <c r="AF2278" s="135"/>
      <c r="AG2278" s="135"/>
    </row>
    <row r="2279" ht="21.75" hidden="1" customHeight="1">
      <c r="A2279" s="135">
        <v>2275.0</v>
      </c>
      <c r="B2279" s="135">
        <v>25045.0</v>
      </c>
      <c r="C2279" s="135" t="s">
        <v>2817</v>
      </c>
      <c r="D2279" s="135">
        <v>34.0</v>
      </c>
      <c r="E2279" s="135" t="s">
        <v>3955</v>
      </c>
      <c r="F2279" s="135" t="s">
        <v>2164</v>
      </c>
      <c r="G2279" s="135" t="s">
        <v>105</v>
      </c>
      <c r="H2279" s="135" t="s">
        <v>2853</v>
      </c>
      <c r="I2279" s="135" t="s">
        <v>108</v>
      </c>
      <c r="J2279" s="135">
        <v>1.0</v>
      </c>
      <c r="K2279" s="135" t="s">
        <v>3134</v>
      </c>
      <c r="L2279" s="135">
        <v>5088.0</v>
      </c>
      <c r="M2279" s="135">
        <v>1620.0</v>
      </c>
      <c r="N2279" s="135">
        <v>120.0</v>
      </c>
      <c r="O2279" s="135">
        <v>1.032</v>
      </c>
      <c r="P2279" s="136">
        <v>0.0</v>
      </c>
      <c r="Q2279" s="137">
        <v>2.58</v>
      </c>
      <c r="R2279" s="136">
        <v>46139.0</v>
      </c>
      <c r="S2279" s="135" t="s">
        <v>3950</v>
      </c>
      <c r="T2279" s="136"/>
      <c r="U2279" s="135" t="s">
        <v>3952</v>
      </c>
      <c r="V2279" s="135" t="s">
        <v>2856</v>
      </c>
      <c r="W2279" s="135">
        <v>1800.0</v>
      </c>
      <c r="X2279" s="135"/>
      <c r="Y2279" s="135"/>
      <c r="Z2279" s="135"/>
      <c r="AA2279" s="135"/>
      <c r="AB2279" s="135"/>
      <c r="AC2279" s="135"/>
      <c r="AD2279" s="135" t="e">
        <v>#N/A</v>
      </c>
      <c r="AE2279" s="135"/>
      <c r="AF2279" s="135"/>
      <c r="AG2279" s="135"/>
    </row>
    <row r="2280" ht="21.75" hidden="1" customHeight="1">
      <c r="A2280" s="135">
        <v>2276.0</v>
      </c>
      <c r="B2280" s="135">
        <v>25045.0</v>
      </c>
      <c r="C2280" s="135" t="s">
        <v>2817</v>
      </c>
      <c r="D2280" s="135">
        <v>34.0</v>
      </c>
      <c r="E2280" s="135" t="s">
        <v>3955</v>
      </c>
      <c r="F2280" s="135" t="s">
        <v>2165</v>
      </c>
      <c r="G2280" s="135" t="s">
        <v>105</v>
      </c>
      <c r="H2280" s="135" t="s">
        <v>2853</v>
      </c>
      <c r="I2280" s="135" t="s">
        <v>108</v>
      </c>
      <c r="J2280" s="135">
        <v>1.0</v>
      </c>
      <c r="K2280" s="135" t="s">
        <v>3134</v>
      </c>
      <c r="L2280" s="135">
        <v>5088.0</v>
      </c>
      <c r="M2280" s="135">
        <v>1620.0</v>
      </c>
      <c r="N2280" s="135">
        <v>120.0</v>
      </c>
      <c r="O2280" s="135">
        <v>1.032</v>
      </c>
      <c r="P2280" s="136">
        <v>0.0</v>
      </c>
      <c r="Q2280" s="137">
        <v>2.58</v>
      </c>
      <c r="R2280" s="136">
        <v>46139.0</v>
      </c>
      <c r="S2280" s="135" t="s">
        <v>3950</v>
      </c>
      <c r="T2280" s="136"/>
      <c r="U2280" s="135" t="s">
        <v>3952</v>
      </c>
      <c r="V2280" s="135" t="s">
        <v>2856</v>
      </c>
      <c r="W2280" s="135">
        <v>1800.0</v>
      </c>
      <c r="X2280" s="135"/>
      <c r="Y2280" s="135"/>
      <c r="Z2280" s="135"/>
      <c r="AA2280" s="135"/>
      <c r="AB2280" s="135"/>
      <c r="AC2280" s="135"/>
      <c r="AD2280" s="135" t="e">
        <v>#N/A</v>
      </c>
      <c r="AE2280" s="135"/>
      <c r="AF2280" s="135"/>
      <c r="AG2280" s="135"/>
    </row>
    <row r="2281" ht="21.75" hidden="1" customHeight="1">
      <c r="A2281" s="135">
        <v>2277.0</v>
      </c>
      <c r="B2281" s="135">
        <v>25045.0</v>
      </c>
      <c r="C2281" s="135" t="s">
        <v>2817</v>
      </c>
      <c r="D2281" s="135">
        <v>34.0</v>
      </c>
      <c r="E2281" s="135" t="s">
        <v>3955</v>
      </c>
      <c r="F2281" s="135" t="s">
        <v>2166</v>
      </c>
      <c r="G2281" s="135" t="s">
        <v>105</v>
      </c>
      <c r="H2281" s="135" t="s">
        <v>2853</v>
      </c>
      <c r="I2281" s="135" t="s">
        <v>108</v>
      </c>
      <c r="J2281" s="135">
        <v>1.0</v>
      </c>
      <c r="K2281" s="135" t="s">
        <v>3134</v>
      </c>
      <c r="L2281" s="135">
        <v>5088.0</v>
      </c>
      <c r="M2281" s="135">
        <v>1920.0</v>
      </c>
      <c r="N2281" s="135">
        <v>120.0</v>
      </c>
      <c r="O2281" s="135">
        <v>1.215</v>
      </c>
      <c r="P2281" s="136">
        <v>0.0</v>
      </c>
      <c r="Q2281" s="137">
        <v>3.0375</v>
      </c>
      <c r="R2281" s="136">
        <v>46139.0</v>
      </c>
      <c r="S2281" s="135" t="s">
        <v>3950</v>
      </c>
      <c r="T2281" s="136"/>
      <c r="U2281" s="135" t="s">
        <v>3952</v>
      </c>
      <c r="V2281" s="135" t="s">
        <v>2856</v>
      </c>
      <c r="W2281" s="135">
        <v>1800.0</v>
      </c>
      <c r="X2281" s="135"/>
      <c r="Y2281" s="135"/>
      <c r="Z2281" s="135"/>
      <c r="AA2281" s="135"/>
      <c r="AB2281" s="135"/>
      <c r="AC2281" s="135"/>
      <c r="AD2281" s="135" t="e">
        <v>#N/A</v>
      </c>
      <c r="AE2281" s="135"/>
      <c r="AF2281" s="135"/>
      <c r="AG2281" s="135"/>
    </row>
    <row r="2282" ht="21.75" hidden="1" customHeight="1">
      <c r="A2282" s="135">
        <v>2278.0</v>
      </c>
      <c r="B2282" s="135">
        <v>25045.0</v>
      </c>
      <c r="C2282" s="135" t="s">
        <v>2817</v>
      </c>
      <c r="D2282" s="135">
        <v>34.0</v>
      </c>
      <c r="E2282" s="135" t="s">
        <v>3955</v>
      </c>
      <c r="F2282" s="135" t="s">
        <v>2167</v>
      </c>
      <c r="G2282" s="135" t="s">
        <v>105</v>
      </c>
      <c r="H2282" s="135" t="s">
        <v>2853</v>
      </c>
      <c r="I2282" s="135" t="s">
        <v>108</v>
      </c>
      <c r="J2282" s="135">
        <v>1.0</v>
      </c>
      <c r="K2282" s="135" t="s">
        <v>3134</v>
      </c>
      <c r="L2282" s="135">
        <v>5088.0</v>
      </c>
      <c r="M2282" s="135">
        <v>1920.0</v>
      </c>
      <c r="N2282" s="135">
        <v>120.0</v>
      </c>
      <c r="O2282" s="135">
        <v>1.215</v>
      </c>
      <c r="P2282" s="136">
        <v>0.0</v>
      </c>
      <c r="Q2282" s="137">
        <v>3.0375</v>
      </c>
      <c r="R2282" s="136">
        <v>46139.0</v>
      </c>
      <c r="S2282" s="135" t="s">
        <v>3950</v>
      </c>
      <c r="T2282" s="136"/>
      <c r="U2282" s="135" t="s">
        <v>3952</v>
      </c>
      <c r="V2282" s="135" t="s">
        <v>2856</v>
      </c>
      <c r="W2282" s="135">
        <v>1800.0</v>
      </c>
      <c r="X2282" s="135"/>
      <c r="Y2282" s="135"/>
      <c r="Z2282" s="135"/>
      <c r="AA2282" s="135"/>
      <c r="AB2282" s="135"/>
      <c r="AC2282" s="135"/>
      <c r="AD2282" s="135" t="e">
        <v>#N/A</v>
      </c>
      <c r="AE2282" s="135"/>
      <c r="AF2282" s="135"/>
      <c r="AG2282" s="135"/>
    </row>
    <row r="2283" ht="21.75" hidden="1" customHeight="1">
      <c r="A2283" s="135">
        <v>2279.0</v>
      </c>
      <c r="B2283" s="135">
        <v>25045.0</v>
      </c>
      <c r="C2283" s="135"/>
      <c r="D2283" s="135">
        <v>34.0</v>
      </c>
      <c r="E2283" s="135" t="s">
        <v>3955</v>
      </c>
      <c r="F2283" s="135" t="s">
        <v>2168</v>
      </c>
      <c r="G2283" s="135" t="s">
        <v>105</v>
      </c>
      <c r="H2283" s="135" t="s">
        <v>2853</v>
      </c>
      <c r="I2283" s="135" t="s">
        <v>108</v>
      </c>
      <c r="J2283" s="135">
        <v>1.0</v>
      </c>
      <c r="K2283" s="135"/>
      <c r="L2283" s="135">
        <v>5140.0</v>
      </c>
      <c r="M2283" s="135">
        <v>3300.0</v>
      </c>
      <c r="N2283" s="135">
        <v>120.0</v>
      </c>
      <c r="O2283" s="135">
        <v>2.212</v>
      </c>
      <c r="P2283" s="136">
        <v>0.0</v>
      </c>
      <c r="Q2283" s="137">
        <v>5.53</v>
      </c>
      <c r="R2283" s="136">
        <v>46139.0</v>
      </c>
      <c r="S2283" s="135" t="s">
        <v>3950</v>
      </c>
      <c r="T2283" s="136"/>
      <c r="U2283" s="135" t="s">
        <v>3952</v>
      </c>
      <c r="V2283" s="135" t="s">
        <v>2876</v>
      </c>
      <c r="W2283" s="135">
        <v>1800.0</v>
      </c>
      <c r="X2283" s="135"/>
      <c r="Y2283" s="135"/>
      <c r="Z2283" s="135"/>
      <c r="AA2283" s="135"/>
      <c r="AB2283" s="135"/>
      <c r="AC2283" s="135"/>
      <c r="AD2283" s="135">
        <v>46156.0</v>
      </c>
      <c r="AE2283" s="135"/>
      <c r="AF2283" s="135"/>
      <c r="AG2283" s="135"/>
    </row>
    <row r="2284" ht="21.75" hidden="1" customHeight="1">
      <c r="A2284" s="135">
        <v>2280.0</v>
      </c>
      <c r="B2284" s="135">
        <v>25045.0</v>
      </c>
      <c r="C2284" s="135"/>
      <c r="D2284" s="135">
        <v>34.0</v>
      </c>
      <c r="E2284" s="135" t="s">
        <v>3955</v>
      </c>
      <c r="F2284" s="135" t="s">
        <v>2169</v>
      </c>
      <c r="G2284" s="135" t="s">
        <v>105</v>
      </c>
      <c r="H2284" s="135" t="s">
        <v>2853</v>
      </c>
      <c r="I2284" s="135" t="s">
        <v>108</v>
      </c>
      <c r="J2284" s="135">
        <v>1.0</v>
      </c>
      <c r="K2284" s="135"/>
      <c r="L2284" s="135">
        <v>5590.0</v>
      </c>
      <c r="M2284" s="135">
        <v>3400.0</v>
      </c>
      <c r="N2284" s="135">
        <v>120.0</v>
      </c>
      <c r="O2284" s="135">
        <v>2.413</v>
      </c>
      <c r="P2284" s="136">
        <v>0.0</v>
      </c>
      <c r="Q2284" s="137">
        <v>6.0325</v>
      </c>
      <c r="R2284" s="136">
        <v>46139.0</v>
      </c>
      <c r="S2284" s="135" t="s">
        <v>3950</v>
      </c>
      <c r="T2284" s="136"/>
      <c r="U2284" s="135" t="s">
        <v>3952</v>
      </c>
      <c r="V2284" s="135" t="s">
        <v>2876</v>
      </c>
      <c r="W2284" s="135">
        <v>1800.0</v>
      </c>
      <c r="X2284" s="135"/>
      <c r="Y2284" s="135"/>
      <c r="Z2284" s="135"/>
      <c r="AA2284" s="135"/>
      <c r="AB2284" s="135"/>
      <c r="AC2284" s="135"/>
      <c r="AD2284" s="135">
        <v>46156.0</v>
      </c>
      <c r="AE2284" s="135"/>
      <c r="AF2284" s="135"/>
      <c r="AG2284" s="135"/>
    </row>
    <row r="2285" ht="21.75" hidden="1" customHeight="1">
      <c r="A2285" s="135">
        <v>2281.0</v>
      </c>
      <c r="B2285" s="135">
        <v>25045.0</v>
      </c>
      <c r="C2285" s="135"/>
      <c r="D2285" s="135">
        <v>34.0</v>
      </c>
      <c r="E2285" s="135" t="s">
        <v>3955</v>
      </c>
      <c r="F2285" s="135" t="s">
        <v>2170</v>
      </c>
      <c r="G2285" s="135" t="s">
        <v>105</v>
      </c>
      <c r="H2285" s="135" t="s">
        <v>2853</v>
      </c>
      <c r="I2285" s="135" t="s">
        <v>108</v>
      </c>
      <c r="J2285" s="135">
        <v>1.0</v>
      </c>
      <c r="K2285" s="135"/>
      <c r="L2285" s="135">
        <v>4595.0</v>
      </c>
      <c r="M2285" s="135">
        <v>3400.0</v>
      </c>
      <c r="N2285" s="135">
        <v>120.0</v>
      </c>
      <c r="O2285" s="135">
        <v>1.749</v>
      </c>
      <c r="P2285" s="136">
        <v>0.0</v>
      </c>
      <c r="Q2285" s="137">
        <v>4.3725000000000005</v>
      </c>
      <c r="R2285" s="136">
        <v>46139.0</v>
      </c>
      <c r="S2285" s="135" t="s">
        <v>3950</v>
      </c>
      <c r="T2285" s="136"/>
      <c r="U2285" s="135" t="s">
        <v>3951</v>
      </c>
      <c r="V2285" s="135" t="s">
        <v>2985</v>
      </c>
      <c r="W2285" s="135"/>
      <c r="X2285" s="135" t="s">
        <v>2968</v>
      </c>
      <c r="Y2285" s="135"/>
      <c r="Z2285" s="135"/>
      <c r="AA2285" s="135"/>
      <c r="AB2285" s="135"/>
      <c r="AC2285" s="135"/>
      <c r="AD2285" s="135">
        <v>46161.0</v>
      </c>
      <c r="AE2285" s="135"/>
      <c r="AF2285" s="135"/>
      <c r="AG2285" s="135"/>
    </row>
    <row r="2286" ht="21.75" hidden="1" customHeight="1">
      <c r="A2286" s="135">
        <v>2282.0</v>
      </c>
      <c r="B2286" s="135">
        <v>25045.0</v>
      </c>
      <c r="C2286" s="135" t="s">
        <v>2817</v>
      </c>
      <c r="D2286" s="135">
        <v>34.0</v>
      </c>
      <c r="E2286" s="135" t="s">
        <v>3955</v>
      </c>
      <c r="F2286" s="135" t="s">
        <v>2171</v>
      </c>
      <c r="G2286" s="135" t="s">
        <v>105</v>
      </c>
      <c r="H2286" s="135" t="s">
        <v>2853</v>
      </c>
      <c r="I2286" s="135" t="s">
        <v>108</v>
      </c>
      <c r="J2286" s="135">
        <v>1.0</v>
      </c>
      <c r="K2286" s="135"/>
      <c r="L2286" s="135">
        <v>2595.0</v>
      </c>
      <c r="M2286" s="135">
        <v>3000.0</v>
      </c>
      <c r="N2286" s="135">
        <v>120.0</v>
      </c>
      <c r="O2286" s="135">
        <v>0.962</v>
      </c>
      <c r="P2286" s="136">
        <v>0.0</v>
      </c>
      <c r="Q2286" s="137">
        <v>2.405</v>
      </c>
      <c r="R2286" s="136">
        <v>46139.0</v>
      </c>
      <c r="S2286" s="135" t="s">
        <v>3950</v>
      </c>
      <c r="T2286" s="136"/>
      <c r="U2286" s="135" t="s">
        <v>3951</v>
      </c>
      <c r="V2286" s="135" t="s">
        <v>2878</v>
      </c>
      <c r="W2286" s="135"/>
      <c r="X2286" s="135" t="s">
        <v>3586</v>
      </c>
      <c r="Y2286" s="135"/>
      <c r="Z2286" s="135"/>
      <c r="AA2286" s="135"/>
      <c r="AB2286" s="135"/>
      <c r="AC2286" s="135"/>
      <c r="AD2286" s="135" t="e">
        <v>#N/A</v>
      </c>
      <c r="AE2286" s="135"/>
      <c r="AF2286" s="135"/>
      <c r="AG2286" s="135"/>
    </row>
    <row r="2287" ht="21.75" hidden="1" customHeight="1">
      <c r="A2287" s="135">
        <v>2283.0</v>
      </c>
      <c r="B2287" s="135">
        <v>25045.0</v>
      </c>
      <c r="C2287" s="135"/>
      <c r="D2287" s="135">
        <v>34.0</v>
      </c>
      <c r="E2287" s="135" t="s">
        <v>3955</v>
      </c>
      <c r="F2287" s="135" t="s">
        <v>2172</v>
      </c>
      <c r="G2287" s="135" t="s">
        <v>105</v>
      </c>
      <c r="H2287" s="135" t="s">
        <v>2853</v>
      </c>
      <c r="I2287" s="135" t="s">
        <v>108</v>
      </c>
      <c r="J2287" s="135">
        <v>1.0</v>
      </c>
      <c r="K2287" s="135"/>
      <c r="L2287" s="135">
        <v>4090.0</v>
      </c>
      <c r="M2287" s="135">
        <v>3300.0</v>
      </c>
      <c r="N2287" s="135">
        <v>120.0</v>
      </c>
      <c r="O2287" s="135">
        <v>1.726</v>
      </c>
      <c r="P2287" s="136">
        <v>0.0</v>
      </c>
      <c r="Q2287" s="137">
        <v>4.3149999999999995</v>
      </c>
      <c r="R2287" s="136">
        <v>46139.0</v>
      </c>
      <c r="S2287" s="135" t="s">
        <v>3950</v>
      </c>
      <c r="T2287" s="136"/>
      <c r="U2287" s="135" t="s">
        <v>3951</v>
      </c>
      <c r="V2287" s="135" t="s">
        <v>2865</v>
      </c>
      <c r="W2287" s="135"/>
      <c r="X2287" s="135"/>
      <c r="Y2287" s="135"/>
      <c r="Z2287" s="135"/>
      <c r="AA2287" s="135"/>
      <c r="AB2287" s="135"/>
      <c r="AC2287" s="135"/>
      <c r="AD2287" s="135">
        <v>0.0</v>
      </c>
      <c r="AE2287" s="135"/>
      <c r="AF2287" s="135"/>
      <c r="AG2287" s="135"/>
    </row>
    <row r="2288" ht="21.75" hidden="1" customHeight="1">
      <c r="A2288" s="135">
        <v>2284.0</v>
      </c>
      <c r="B2288" s="135">
        <v>25045.0</v>
      </c>
      <c r="C2288" s="135"/>
      <c r="D2288" s="135">
        <v>34.0</v>
      </c>
      <c r="E2288" s="135" t="s">
        <v>3955</v>
      </c>
      <c r="F2288" s="135" t="s">
        <v>2173</v>
      </c>
      <c r="G2288" s="135" t="s">
        <v>105</v>
      </c>
      <c r="H2288" s="135" t="s">
        <v>2853</v>
      </c>
      <c r="I2288" s="135" t="s">
        <v>108</v>
      </c>
      <c r="J2288" s="135">
        <v>1.0</v>
      </c>
      <c r="K2288" s="135"/>
      <c r="L2288" s="135">
        <v>4350.0</v>
      </c>
      <c r="M2288" s="135">
        <v>3100.0</v>
      </c>
      <c r="N2288" s="135">
        <v>120.0</v>
      </c>
      <c r="O2288" s="135">
        <v>1.706</v>
      </c>
      <c r="P2288" s="136">
        <v>0.0</v>
      </c>
      <c r="Q2288" s="137">
        <v>4.265</v>
      </c>
      <c r="R2288" s="136">
        <v>46139.0</v>
      </c>
      <c r="S2288" s="135" t="s">
        <v>3950</v>
      </c>
      <c r="T2288" s="136"/>
      <c r="U2288" s="135" t="s">
        <v>3951</v>
      </c>
      <c r="V2288" s="135" t="s">
        <v>2865</v>
      </c>
      <c r="W2288" s="135"/>
      <c r="X2288" s="135"/>
      <c r="Y2288" s="135"/>
      <c r="Z2288" s="135"/>
      <c r="AA2288" s="135"/>
      <c r="AB2288" s="135"/>
      <c r="AC2288" s="135"/>
      <c r="AD2288" s="135">
        <v>0.0</v>
      </c>
      <c r="AE2288" s="135"/>
      <c r="AF2288" s="135"/>
      <c r="AG2288" s="135"/>
    </row>
    <row r="2289" ht="21.75" hidden="1" customHeight="1">
      <c r="A2289" s="135">
        <v>2285.0</v>
      </c>
      <c r="B2289" s="135">
        <v>25045.0</v>
      </c>
      <c r="C2289" s="135"/>
      <c r="D2289" s="135">
        <v>34.0</v>
      </c>
      <c r="E2289" s="135" t="s">
        <v>3955</v>
      </c>
      <c r="F2289" s="135" t="s">
        <v>2174</v>
      </c>
      <c r="G2289" s="135" t="s">
        <v>105</v>
      </c>
      <c r="H2289" s="135" t="s">
        <v>2853</v>
      </c>
      <c r="I2289" s="135" t="s">
        <v>108</v>
      </c>
      <c r="J2289" s="135">
        <v>1.0</v>
      </c>
      <c r="K2289" s="135"/>
      <c r="L2289" s="135">
        <v>3920.0</v>
      </c>
      <c r="M2289" s="135">
        <v>3000.0</v>
      </c>
      <c r="N2289" s="135">
        <v>120.0</v>
      </c>
      <c r="O2289" s="135">
        <v>1.249</v>
      </c>
      <c r="P2289" s="136">
        <v>0.0</v>
      </c>
      <c r="Q2289" s="137">
        <v>3.1225000000000005</v>
      </c>
      <c r="R2289" s="136">
        <v>46139.0</v>
      </c>
      <c r="S2289" s="135" t="s">
        <v>3950</v>
      </c>
      <c r="T2289" s="136"/>
      <c r="U2289" s="135" t="s">
        <v>3951</v>
      </c>
      <c r="V2289" s="135" t="s">
        <v>3100</v>
      </c>
      <c r="W2289" s="135"/>
      <c r="X2289" s="135" t="s">
        <v>2968</v>
      </c>
      <c r="Y2289" s="135"/>
      <c r="Z2289" s="135"/>
      <c r="AA2289" s="135"/>
      <c r="AB2289" s="135"/>
      <c r="AC2289" s="135"/>
      <c r="AD2289" s="135">
        <v>0.0</v>
      </c>
      <c r="AE2289" s="135"/>
      <c r="AF2289" s="135"/>
      <c r="AG2289" s="135"/>
    </row>
    <row r="2290" ht="21.75" hidden="1" customHeight="1">
      <c r="A2290" s="135">
        <v>2286.0</v>
      </c>
      <c r="B2290" s="135">
        <v>25045.0</v>
      </c>
      <c r="C2290" s="135"/>
      <c r="D2290" s="135">
        <v>34.0</v>
      </c>
      <c r="E2290" s="135" t="s">
        <v>3955</v>
      </c>
      <c r="F2290" s="135" t="s">
        <v>2175</v>
      </c>
      <c r="G2290" s="135" t="s">
        <v>105</v>
      </c>
      <c r="H2290" s="135" t="s">
        <v>2853</v>
      </c>
      <c r="I2290" s="135" t="s">
        <v>108</v>
      </c>
      <c r="J2290" s="135">
        <v>1.0</v>
      </c>
      <c r="K2290" s="135" t="s">
        <v>3134</v>
      </c>
      <c r="L2290" s="135">
        <v>3920.0</v>
      </c>
      <c r="M2290" s="135">
        <v>3000.0</v>
      </c>
      <c r="N2290" s="135">
        <v>120.0</v>
      </c>
      <c r="O2290" s="135">
        <v>1.565</v>
      </c>
      <c r="P2290" s="136">
        <v>0.0</v>
      </c>
      <c r="Q2290" s="137">
        <v>3.9124999999999996</v>
      </c>
      <c r="R2290" s="136">
        <v>46139.0</v>
      </c>
      <c r="S2290" s="135" t="s">
        <v>3950</v>
      </c>
      <c r="T2290" s="136"/>
      <c r="U2290" s="135" t="s">
        <v>3951</v>
      </c>
      <c r="V2290" s="135" t="s">
        <v>3100</v>
      </c>
      <c r="W2290" s="135"/>
      <c r="X2290" s="135"/>
      <c r="Y2290" s="135"/>
      <c r="Z2290" s="135"/>
      <c r="AA2290" s="135"/>
      <c r="AB2290" s="135"/>
      <c r="AC2290" s="135"/>
      <c r="AD2290" s="135">
        <v>46154.0</v>
      </c>
      <c r="AE2290" s="135"/>
      <c r="AF2290" s="135"/>
      <c r="AG2290" s="135"/>
    </row>
    <row r="2291" ht="21.75" hidden="1" customHeight="1">
      <c r="A2291" s="135">
        <v>2287.0</v>
      </c>
      <c r="B2291" s="135">
        <v>25045.0</v>
      </c>
      <c r="C2291" s="135"/>
      <c r="D2291" s="135">
        <v>34.0</v>
      </c>
      <c r="E2291" s="135" t="s">
        <v>3955</v>
      </c>
      <c r="F2291" s="135" t="s">
        <v>2176</v>
      </c>
      <c r="G2291" s="135" t="s">
        <v>105</v>
      </c>
      <c r="H2291" s="135" t="s">
        <v>2853</v>
      </c>
      <c r="I2291" s="135" t="s">
        <v>108</v>
      </c>
      <c r="J2291" s="135">
        <v>1.0</v>
      </c>
      <c r="K2291" s="135" t="s">
        <v>3134</v>
      </c>
      <c r="L2291" s="135">
        <v>3920.0</v>
      </c>
      <c r="M2291" s="135">
        <v>3000.0</v>
      </c>
      <c r="N2291" s="135">
        <v>120.0</v>
      </c>
      <c r="O2291" s="135">
        <v>1.565</v>
      </c>
      <c r="P2291" s="136">
        <v>0.0</v>
      </c>
      <c r="Q2291" s="137">
        <v>3.9124999999999996</v>
      </c>
      <c r="R2291" s="136">
        <v>46139.0</v>
      </c>
      <c r="S2291" s="135" t="s">
        <v>3950</v>
      </c>
      <c r="T2291" s="136"/>
      <c r="U2291" s="135" t="s">
        <v>3951</v>
      </c>
      <c r="V2291" s="135" t="s">
        <v>3100</v>
      </c>
      <c r="W2291" s="135"/>
      <c r="X2291" s="135"/>
      <c r="Y2291" s="135"/>
      <c r="Z2291" s="135"/>
      <c r="AA2291" s="135"/>
      <c r="AB2291" s="135"/>
      <c r="AC2291" s="135"/>
      <c r="AD2291" s="135">
        <v>46155.0</v>
      </c>
      <c r="AE2291" s="135"/>
      <c r="AF2291" s="135"/>
      <c r="AG2291" s="135"/>
    </row>
    <row r="2292" ht="21.75" hidden="1" customHeight="1">
      <c r="A2292" s="135">
        <v>2288.0</v>
      </c>
      <c r="B2292" s="135">
        <v>25045.0</v>
      </c>
      <c r="C2292" s="135"/>
      <c r="D2292" s="135">
        <v>34.0</v>
      </c>
      <c r="E2292" s="135" t="s">
        <v>3955</v>
      </c>
      <c r="F2292" s="135" t="s">
        <v>2177</v>
      </c>
      <c r="G2292" s="135" t="s">
        <v>105</v>
      </c>
      <c r="H2292" s="135" t="s">
        <v>2853</v>
      </c>
      <c r="I2292" s="135" t="s">
        <v>108</v>
      </c>
      <c r="J2292" s="135">
        <v>1.0</v>
      </c>
      <c r="K2292" s="135" t="s">
        <v>3134</v>
      </c>
      <c r="L2292" s="135">
        <v>3920.0</v>
      </c>
      <c r="M2292" s="135">
        <v>3000.0</v>
      </c>
      <c r="N2292" s="135">
        <v>120.0</v>
      </c>
      <c r="O2292" s="135">
        <v>1.565</v>
      </c>
      <c r="P2292" s="136">
        <v>0.0</v>
      </c>
      <c r="Q2292" s="137">
        <v>3.9124999999999996</v>
      </c>
      <c r="R2292" s="136">
        <v>46139.0</v>
      </c>
      <c r="S2292" s="135" t="s">
        <v>3950</v>
      </c>
      <c r="T2292" s="136"/>
      <c r="U2292" s="135" t="s">
        <v>3951</v>
      </c>
      <c r="V2292" s="135" t="s">
        <v>3100</v>
      </c>
      <c r="W2292" s="135"/>
      <c r="X2292" s="135"/>
      <c r="Y2292" s="135"/>
      <c r="Z2292" s="135"/>
      <c r="AA2292" s="135"/>
      <c r="AB2292" s="135"/>
      <c r="AC2292" s="135"/>
      <c r="AD2292" s="135">
        <v>46156.0</v>
      </c>
      <c r="AE2292" s="135"/>
      <c r="AF2292" s="135"/>
      <c r="AG2292" s="135"/>
    </row>
    <row r="2293" ht="21.75" hidden="1" customHeight="1">
      <c r="A2293" s="135">
        <v>2289.0</v>
      </c>
      <c r="B2293" s="135">
        <v>25045.0</v>
      </c>
      <c r="C2293" s="135"/>
      <c r="D2293" s="135">
        <v>34.0</v>
      </c>
      <c r="E2293" s="135" t="s">
        <v>3955</v>
      </c>
      <c r="F2293" s="135" t="s">
        <v>2178</v>
      </c>
      <c r="G2293" s="135" t="s">
        <v>105</v>
      </c>
      <c r="H2293" s="135" t="s">
        <v>2853</v>
      </c>
      <c r="I2293" s="135" t="s">
        <v>108</v>
      </c>
      <c r="J2293" s="135">
        <v>1.0</v>
      </c>
      <c r="K2293" s="135"/>
      <c r="L2293" s="135">
        <v>5000.0</v>
      </c>
      <c r="M2293" s="135">
        <v>3000.0</v>
      </c>
      <c r="N2293" s="135">
        <v>120.0</v>
      </c>
      <c r="O2293" s="135">
        <v>2.002</v>
      </c>
      <c r="P2293" s="136">
        <v>0.0</v>
      </c>
      <c r="Q2293" s="137">
        <v>5.004999999999999</v>
      </c>
      <c r="R2293" s="136">
        <v>46139.0</v>
      </c>
      <c r="S2293" s="135" t="s">
        <v>3950</v>
      </c>
      <c r="T2293" s="136"/>
      <c r="U2293" s="135" t="s">
        <v>3952</v>
      </c>
      <c r="V2293" s="135" t="s">
        <v>2876</v>
      </c>
      <c r="W2293" s="135">
        <v>2500.0</v>
      </c>
      <c r="X2293" s="135"/>
      <c r="Y2293" s="135"/>
      <c r="Z2293" s="135"/>
      <c r="AA2293" s="135"/>
      <c r="AB2293" s="135"/>
      <c r="AC2293" s="135"/>
      <c r="AD2293" s="135">
        <v>0.0</v>
      </c>
      <c r="AE2293" s="135"/>
      <c r="AF2293" s="135"/>
      <c r="AG2293" s="135"/>
    </row>
    <row r="2294" ht="21.75" hidden="1" customHeight="1">
      <c r="A2294" s="135">
        <v>2290.0</v>
      </c>
      <c r="B2294" s="135">
        <v>25045.0</v>
      </c>
      <c r="C2294" s="135"/>
      <c r="D2294" s="135">
        <v>34.0</v>
      </c>
      <c r="E2294" s="135" t="s">
        <v>3955</v>
      </c>
      <c r="F2294" s="135" t="s">
        <v>2179</v>
      </c>
      <c r="G2294" s="135" t="s">
        <v>105</v>
      </c>
      <c r="H2294" s="135" t="s">
        <v>2853</v>
      </c>
      <c r="I2294" s="135" t="s">
        <v>108</v>
      </c>
      <c r="J2294" s="135"/>
      <c r="K2294" s="135"/>
      <c r="L2294" s="135">
        <v>3800.0</v>
      </c>
      <c r="M2294" s="135">
        <v>1810.0</v>
      </c>
      <c r="N2294" s="135">
        <v>300.0</v>
      </c>
      <c r="O2294" s="135">
        <v>2.234</v>
      </c>
      <c r="P2294" s="136">
        <v>0.0</v>
      </c>
      <c r="Q2294" s="137">
        <v>5.585</v>
      </c>
      <c r="R2294" s="136">
        <v>46139.0</v>
      </c>
      <c r="S2294" s="135" t="s">
        <v>3950</v>
      </c>
      <c r="T2294" s="136"/>
      <c r="U2294" s="135" t="s">
        <v>3951</v>
      </c>
      <c r="V2294" s="135" t="s">
        <v>3270</v>
      </c>
      <c r="W2294" s="135"/>
      <c r="X2294" s="135"/>
      <c r="Y2294" s="135" t="s">
        <v>2886</v>
      </c>
      <c r="Z2294" s="135"/>
      <c r="AA2294" s="135"/>
      <c r="AB2294" s="135"/>
      <c r="AC2294" s="135"/>
      <c r="AD2294" s="135">
        <v>46153.0</v>
      </c>
      <c r="AE2294" s="135"/>
      <c r="AF2294" s="135"/>
      <c r="AG2294" s="135"/>
    </row>
    <row r="2295" ht="21.75" hidden="1" customHeight="1">
      <c r="A2295" s="135">
        <v>2291.0</v>
      </c>
      <c r="B2295" s="135">
        <v>25045.0</v>
      </c>
      <c r="C2295" s="135"/>
      <c r="D2295" s="135">
        <v>34.0</v>
      </c>
      <c r="E2295" s="135" t="s">
        <v>3955</v>
      </c>
      <c r="F2295" s="135" t="s">
        <v>2180</v>
      </c>
      <c r="G2295" s="135" t="s">
        <v>105</v>
      </c>
      <c r="H2295" s="135" t="s">
        <v>2853</v>
      </c>
      <c r="I2295" s="135" t="s">
        <v>108</v>
      </c>
      <c r="J2295" s="135"/>
      <c r="K2295" s="135"/>
      <c r="L2295" s="135">
        <v>3088.0</v>
      </c>
      <c r="M2295" s="135">
        <v>1300.0</v>
      </c>
      <c r="N2295" s="135">
        <v>120.0</v>
      </c>
      <c r="O2295" s="135">
        <v>0.452</v>
      </c>
      <c r="P2295" s="136">
        <v>0.0</v>
      </c>
      <c r="Q2295" s="137">
        <v>1.1300000000000001</v>
      </c>
      <c r="R2295" s="136">
        <v>46139.0</v>
      </c>
      <c r="S2295" s="135" t="s">
        <v>3950</v>
      </c>
      <c r="T2295" s="136"/>
      <c r="U2295" s="135" t="s">
        <v>3951</v>
      </c>
      <c r="V2295" s="135" t="s">
        <v>2907</v>
      </c>
      <c r="W2295" s="135"/>
      <c r="X2295" s="135"/>
      <c r="Y2295" s="135"/>
      <c r="Z2295" s="135"/>
      <c r="AA2295" s="135"/>
      <c r="AB2295" s="135"/>
      <c r="AC2295" s="135"/>
      <c r="AD2295" s="135">
        <v>0.0</v>
      </c>
      <c r="AE2295" s="135"/>
      <c r="AF2295" s="135"/>
      <c r="AG2295" s="135"/>
    </row>
    <row r="2296" ht="21.75" hidden="1" customHeight="1">
      <c r="A2296" s="135">
        <v>2292.0</v>
      </c>
      <c r="B2296" s="135">
        <v>25045.0</v>
      </c>
      <c r="C2296" s="135"/>
      <c r="D2296" s="135">
        <v>34.0</v>
      </c>
      <c r="E2296" s="135" t="s">
        <v>3955</v>
      </c>
      <c r="F2296" s="135" t="s">
        <v>2181</v>
      </c>
      <c r="G2296" s="135" t="s">
        <v>105</v>
      </c>
      <c r="H2296" s="135" t="s">
        <v>2853</v>
      </c>
      <c r="I2296" s="135" t="s">
        <v>108</v>
      </c>
      <c r="J2296" s="135"/>
      <c r="K2296" s="135"/>
      <c r="L2296" s="135">
        <v>3088.0</v>
      </c>
      <c r="M2296" s="135">
        <v>1300.0</v>
      </c>
      <c r="N2296" s="135">
        <v>120.0</v>
      </c>
      <c r="O2296" s="135">
        <v>0.452</v>
      </c>
      <c r="P2296" s="136">
        <v>0.0</v>
      </c>
      <c r="Q2296" s="137">
        <v>1.1300000000000001</v>
      </c>
      <c r="R2296" s="136">
        <v>46139.0</v>
      </c>
      <c r="S2296" s="135" t="s">
        <v>3950</v>
      </c>
      <c r="T2296" s="136"/>
      <c r="U2296" s="135" t="s">
        <v>3951</v>
      </c>
      <c r="V2296" s="135" t="s">
        <v>2907</v>
      </c>
      <c r="W2296" s="135"/>
      <c r="X2296" s="135"/>
      <c r="Y2296" s="135"/>
      <c r="Z2296" s="135"/>
      <c r="AA2296" s="135"/>
      <c r="AB2296" s="135"/>
      <c r="AC2296" s="135"/>
      <c r="AD2296" s="135">
        <v>0.0</v>
      </c>
      <c r="AE2296" s="135"/>
      <c r="AF2296" s="135"/>
      <c r="AG2296" s="135"/>
    </row>
    <row r="2297" ht="21.75" hidden="1" customHeight="1">
      <c r="A2297" s="135">
        <v>2293.0</v>
      </c>
      <c r="B2297" s="135">
        <v>25045.0</v>
      </c>
      <c r="C2297" s="135"/>
      <c r="D2297" s="135">
        <v>34.0</v>
      </c>
      <c r="E2297" s="135" t="s">
        <v>3955</v>
      </c>
      <c r="F2297" s="135" t="s">
        <v>2182</v>
      </c>
      <c r="G2297" s="135" t="s">
        <v>105</v>
      </c>
      <c r="H2297" s="135" t="s">
        <v>2853</v>
      </c>
      <c r="I2297" s="135" t="s">
        <v>108</v>
      </c>
      <c r="J2297" s="135"/>
      <c r="K2297" s="135"/>
      <c r="L2297" s="135">
        <v>1780.0</v>
      </c>
      <c r="M2297" s="135">
        <v>1313.0</v>
      </c>
      <c r="N2297" s="135">
        <v>120.0</v>
      </c>
      <c r="O2297" s="135">
        <v>0.364</v>
      </c>
      <c r="P2297" s="136">
        <v>0.0</v>
      </c>
      <c r="Q2297" s="137">
        <v>0.9099999999999999</v>
      </c>
      <c r="R2297" s="136">
        <v>46139.0</v>
      </c>
      <c r="S2297" s="135" t="s">
        <v>3950</v>
      </c>
      <c r="T2297" s="136"/>
      <c r="U2297" s="135" t="s">
        <v>3951</v>
      </c>
      <c r="V2297" s="135" t="s">
        <v>2953</v>
      </c>
      <c r="W2297" s="135"/>
      <c r="X2297" s="135"/>
      <c r="Y2297" s="135"/>
      <c r="Z2297" s="135"/>
      <c r="AA2297" s="135"/>
      <c r="AB2297" s="135"/>
      <c r="AC2297" s="135"/>
      <c r="AD2297" s="135">
        <v>0.0</v>
      </c>
      <c r="AE2297" s="135"/>
      <c r="AF2297" s="135"/>
      <c r="AG2297" s="135"/>
    </row>
    <row r="2298" ht="21.75" hidden="1" customHeight="1">
      <c r="A2298" s="135">
        <v>2294.0</v>
      </c>
      <c r="B2298" s="135">
        <v>25045.0</v>
      </c>
      <c r="C2298" s="135"/>
      <c r="D2298" s="135">
        <v>34.0</v>
      </c>
      <c r="E2298" s="135" t="s">
        <v>3955</v>
      </c>
      <c r="F2298" s="135" t="s">
        <v>2183</v>
      </c>
      <c r="G2298" s="135" t="s">
        <v>105</v>
      </c>
      <c r="H2298" s="135" t="s">
        <v>2853</v>
      </c>
      <c r="I2298" s="135" t="s">
        <v>108</v>
      </c>
      <c r="J2298" s="135"/>
      <c r="K2298" s="135"/>
      <c r="L2298" s="135">
        <v>3225.0</v>
      </c>
      <c r="M2298" s="135">
        <v>1000.0</v>
      </c>
      <c r="N2298" s="135">
        <v>120.0</v>
      </c>
      <c r="O2298" s="135">
        <v>0.501</v>
      </c>
      <c r="P2298" s="136">
        <v>0.0</v>
      </c>
      <c r="Q2298" s="137">
        <v>1.2525</v>
      </c>
      <c r="R2298" s="136">
        <v>46139.0</v>
      </c>
      <c r="S2298" s="135" t="s">
        <v>3950</v>
      </c>
      <c r="T2298" s="136"/>
      <c r="U2298" s="135" t="s">
        <v>2950</v>
      </c>
      <c r="V2298" s="135" t="s">
        <v>2951</v>
      </c>
      <c r="W2298" s="135"/>
      <c r="X2298" s="135"/>
      <c r="Y2298" s="135"/>
      <c r="Z2298" s="135"/>
      <c r="AA2298" s="135"/>
      <c r="AB2298" s="135"/>
      <c r="AC2298" s="135"/>
      <c r="AD2298" s="135">
        <v>46154.0</v>
      </c>
      <c r="AE2298" s="135"/>
      <c r="AF2298" s="135"/>
      <c r="AG2298" s="135"/>
    </row>
    <row r="2299" ht="21.75" hidden="1" customHeight="1">
      <c r="A2299" s="135">
        <v>2295.0</v>
      </c>
      <c r="B2299" s="135">
        <v>25045.0</v>
      </c>
      <c r="C2299" s="135"/>
      <c r="D2299" s="135">
        <v>34.0</v>
      </c>
      <c r="E2299" s="135" t="s">
        <v>3955</v>
      </c>
      <c r="F2299" s="135" t="s">
        <v>2184</v>
      </c>
      <c r="G2299" s="135" t="s">
        <v>105</v>
      </c>
      <c r="H2299" s="135" t="s">
        <v>2853</v>
      </c>
      <c r="I2299" s="135" t="s">
        <v>108</v>
      </c>
      <c r="J2299" s="135"/>
      <c r="K2299" s="135"/>
      <c r="L2299" s="135">
        <v>3225.0</v>
      </c>
      <c r="M2299" s="135">
        <v>1000.0</v>
      </c>
      <c r="N2299" s="135">
        <v>120.0</v>
      </c>
      <c r="O2299" s="135">
        <v>0.501</v>
      </c>
      <c r="P2299" s="136">
        <v>0.0</v>
      </c>
      <c r="Q2299" s="137">
        <v>1.2525</v>
      </c>
      <c r="R2299" s="136">
        <v>46139.0</v>
      </c>
      <c r="S2299" s="135" t="s">
        <v>3950</v>
      </c>
      <c r="T2299" s="136"/>
      <c r="U2299" s="135" t="s">
        <v>2950</v>
      </c>
      <c r="V2299" s="135" t="s">
        <v>2951</v>
      </c>
      <c r="W2299" s="135"/>
      <c r="X2299" s="135"/>
      <c r="Y2299" s="135"/>
      <c r="Z2299" s="135"/>
      <c r="AA2299" s="135"/>
      <c r="AB2299" s="135"/>
      <c r="AC2299" s="135"/>
      <c r="AD2299" s="135">
        <v>46155.0</v>
      </c>
      <c r="AE2299" s="135"/>
      <c r="AF2299" s="135"/>
      <c r="AG2299" s="135"/>
    </row>
    <row r="2300" ht="21.75" hidden="1" customHeight="1">
      <c r="A2300" s="135">
        <v>2296.0</v>
      </c>
      <c r="B2300" s="135">
        <v>25045.0</v>
      </c>
      <c r="C2300" s="135"/>
      <c r="D2300" s="135">
        <v>34.0</v>
      </c>
      <c r="E2300" s="135" t="s">
        <v>3955</v>
      </c>
      <c r="F2300" s="135" t="s">
        <v>2185</v>
      </c>
      <c r="G2300" s="135" t="s">
        <v>105</v>
      </c>
      <c r="H2300" s="135" t="s">
        <v>2965</v>
      </c>
      <c r="I2300" s="135" t="s">
        <v>108</v>
      </c>
      <c r="J2300" s="135"/>
      <c r="K2300" s="135"/>
      <c r="L2300" s="135">
        <v>400.0</v>
      </c>
      <c r="M2300" s="135">
        <v>2980.0</v>
      </c>
      <c r="N2300" s="135">
        <v>350.0</v>
      </c>
      <c r="O2300" s="135">
        <v>0.481</v>
      </c>
      <c r="P2300" s="136">
        <v>0.0</v>
      </c>
      <c r="Q2300" s="137">
        <v>1.2025</v>
      </c>
      <c r="R2300" s="136">
        <v>46139.0</v>
      </c>
      <c r="S2300" s="135" t="s">
        <v>3950</v>
      </c>
      <c r="T2300" s="136"/>
      <c r="U2300" s="135" t="s">
        <v>2966</v>
      </c>
      <c r="V2300" s="135" t="s">
        <v>2967</v>
      </c>
      <c r="W2300" s="135"/>
      <c r="X2300" s="135"/>
      <c r="Y2300" s="135"/>
      <c r="Z2300" s="135"/>
      <c r="AA2300" s="135"/>
      <c r="AB2300" s="135"/>
      <c r="AC2300" s="135"/>
      <c r="AD2300" s="135">
        <v>0.0</v>
      </c>
      <c r="AE2300" s="135"/>
      <c r="AF2300" s="135"/>
      <c r="AG2300" s="135"/>
    </row>
    <row r="2301" ht="21.75" hidden="1" customHeight="1">
      <c r="A2301" s="135">
        <v>2297.0</v>
      </c>
      <c r="B2301" s="135">
        <v>25045.0</v>
      </c>
      <c r="C2301" s="135" t="s">
        <v>2817</v>
      </c>
      <c r="D2301" s="135">
        <v>34.0</v>
      </c>
      <c r="E2301" s="135" t="s">
        <v>3956</v>
      </c>
      <c r="F2301" s="135" t="s">
        <v>2187</v>
      </c>
      <c r="G2301" s="135" t="s">
        <v>105</v>
      </c>
      <c r="H2301" s="135" t="s">
        <v>2853</v>
      </c>
      <c r="I2301" s="135" t="s">
        <v>109</v>
      </c>
      <c r="J2301" s="135">
        <v>1.0</v>
      </c>
      <c r="K2301" s="135"/>
      <c r="L2301" s="135">
        <v>3124.0</v>
      </c>
      <c r="M2301" s="135">
        <v>1350.0</v>
      </c>
      <c r="N2301" s="135">
        <v>120.0</v>
      </c>
      <c r="O2301" s="135">
        <v>0.51</v>
      </c>
      <c r="P2301" s="136">
        <v>0.0</v>
      </c>
      <c r="Q2301" s="137">
        <v>1.275</v>
      </c>
      <c r="R2301" s="136">
        <v>46139.0</v>
      </c>
      <c r="S2301" s="135" t="s">
        <v>3950</v>
      </c>
      <c r="T2301" s="136"/>
      <c r="U2301" s="135" t="s">
        <v>2864</v>
      </c>
      <c r="V2301" s="135" t="s">
        <v>2856</v>
      </c>
      <c r="W2301" s="135"/>
      <c r="X2301" s="135"/>
      <c r="Y2301" s="135"/>
      <c r="Z2301" s="135"/>
      <c r="AA2301" s="135"/>
      <c r="AB2301" s="135"/>
      <c r="AC2301" s="135"/>
      <c r="AD2301" s="135" t="e">
        <v>#N/A</v>
      </c>
      <c r="AE2301" s="135"/>
      <c r="AF2301" s="135"/>
      <c r="AG2301" s="135"/>
    </row>
    <row r="2302" ht="21.75" hidden="1" customHeight="1">
      <c r="A2302" s="135">
        <v>2298.0</v>
      </c>
      <c r="B2302" s="135">
        <v>25045.0</v>
      </c>
      <c r="C2302" s="135" t="s">
        <v>2817</v>
      </c>
      <c r="D2302" s="135">
        <v>34.0</v>
      </c>
      <c r="E2302" s="135" t="s">
        <v>3956</v>
      </c>
      <c r="F2302" s="135" t="s">
        <v>2188</v>
      </c>
      <c r="G2302" s="135" t="s">
        <v>105</v>
      </c>
      <c r="H2302" s="135" t="s">
        <v>2853</v>
      </c>
      <c r="I2302" s="135" t="s">
        <v>109</v>
      </c>
      <c r="J2302" s="135">
        <v>1.0</v>
      </c>
      <c r="K2302" s="135"/>
      <c r="L2302" s="135">
        <v>3124.0</v>
      </c>
      <c r="M2302" s="135">
        <v>1350.0</v>
      </c>
      <c r="N2302" s="135">
        <v>120.0</v>
      </c>
      <c r="O2302" s="135">
        <v>0.51</v>
      </c>
      <c r="P2302" s="136">
        <v>0.0</v>
      </c>
      <c r="Q2302" s="137">
        <v>1.275</v>
      </c>
      <c r="R2302" s="136">
        <v>46139.0</v>
      </c>
      <c r="S2302" s="135" t="s">
        <v>3950</v>
      </c>
      <c r="T2302" s="136"/>
      <c r="U2302" s="135" t="s">
        <v>2864</v>
      </c>
      <c r="V2302" s="135" t="s">
        <v>2856</v>
      </c>
      <c r="W2302" s="135"/>
      <c r="X2302" s="135"/>
      <c r="Y2302" s="135"/>
      <c r="Z2302" s="135"/>
      <c r="AA2302" s="135"/>
      <c r="AB2302" s="135"/>
      <c r="AC2302" s="135"/>
      <c r="AD2302" s="135" t="e">
        <v>#N/A</v>
      </c>
      <c r="AE2302" s="135"/>
      <c r="AF2302" s="135"/>
      <c r="AG2302" s="135"/>
    </row>
    <row r="2303" ht="21.75" hidden="1" customHeight="1">
      <c r="A2303" s="135">
        <v>2299.0</v>
      </c>
      <c r="B2303" s="135">
        <v>25045.0</v>
      </c>
      <c r="C2303" s="135" t="s">
        <v>2817</v>
      </c>
      <c r="D2303" s="135">
        <v>34.0</v>
      </c>
      <c r="E2303" s="135" t="s">
        <v>3956</v>
      </c>
      <c r="F2303" s="135" t="s">
        <v>2189</v>
      </c>
      <c r="G2303" s="135" t="s">
        <v>105</v>
      </c>
      <c r="H2303" s="135" t="s">
        <v>2853</v>
      </c>
      <c r="I2303" s="135" t="s">
        <v>109</v>
      </c>
      <c r="J2303" s="135">
        <v>1.0</v>
      </c>
      <c r="K2303" s="135"/>
      <c r="L2303" s="135">
        <v>3124.0</v>
      </c>
      <c r="M2303" s="135">
        <v>1350.0</v>
      </c>
      <c r="N2303" s="135">
        <v>120.0</v>
      </c>
      <c r="O2303" s="135">
        <v>0.51</v>
      </c>
      <c r="P2303" s="136">
        <v>0.0</v>
      </c>
      <c r="Q2303" s="137">
        <v>1.275</v>
      </c>
      <c r="R2303" s="136">
        <v>46139.0</v>
      </c>
      <c r="S2303" s="135" t="s">
        <v>3950</v>
      </c>
      <c r="T2303" s="136"/>
      <c r="U2303" s="135" t="s">
        <v>2864</v>
      </c>
      <c r="V2303" s="135" t="s">
        <v>2856</v>
      </c>
      <c r="W2303" s="135"/>
      <c r="X2303" s="135"/>
      <c r="Y2303" s="135"/>
      <c r="Z2303" s="135"/>
      <c r="AA2303" s="135"/>
      <c r="AB2303" s="135"/>
      <c r="AC2303" s="135"/>
      <c r="AD2303" s="135" t="e">
        <v>#N/A</v>
      </c>
      <c r="AE2303" s="135"/>
      <c r="AF2303" s="135"/>
      <c r="AG2303" s="135"/>
    </row>
    <row r="2304" ht="21.75" hidden="1" customHeight="1">
      <c r="A2304" s="135">
        <v>2300.0</v>
      </c>
      <c r="B2304" s="135">
        <v>25045.0</v>
      </c>
      <c r="C2304" s="135" t="s">
        <v>2817</v>
      </c>
      <c r="D2304" s="135">
        <v>34.0</v>
      </c>
      <c r="E2304" s="135" t="s">
        <v>3956</v>
      </c>
      <c r="F2304" s="135" t="s">
        <v>2190</v>
      </c>
      <c r="G2304" s="135" t="s">
        <v>105</v>
      </c>
      <c r="H2304" s="135" t="s">
        <v>2853</v>
      </c>
      <c r="I2304" s="135" t="s">
        <v>109</v>
      </c>
      <c r="J2304" s="135">
        <v>1.0</v>
      </c>
      <c r="K2304" s="135"/>
      <c r="L2304" s="135">
        <v>3124.0</v>
      </c>
      <c r="M2304" s="135">
        <v>1650.0</v>
      </c>
      <c r="N2304" s="135">
        <v>120.0</v>
      </c>
      <c r="O2304" s="135">
        <v>0.854</v>
      </c>
      <c r="P2304" s="136">
        <v>0.0</v>
      </c>
      <c r="Q2304" s="137">
        <v>2.135</v>
      </c>
      <c r="R2304" s="136">
        <v>46139.0</v>
      </c>
      <c r="S2304" s="135" t="s">
        <v>3950</v>
      </c>
      <c r="T2304" s="136"/>
      <c r="U2304" s="135" t="s">
        <v>2864</v>
      </c>
      <c r="V2304" s="135" t="s">
        <v>2856</v>
      </c>
      <c r="W2304" s="135"/>
      <c r="X2304" s="135"/>
      <c r="Y2304" s="135"/>
      <c r="Z2304" s="135"/>
      <c r="AA2304" s="135"/>
      <c r="AB2304" s="135"/>
      <c r="AC2304" s="135"/>
      <c r="AD2304" s="135" t="e">
        <v>#N/A</v>
      </c>
      <c r="AE2304" s="135"/>
      <c r="AF2304" s="135"/>
      <c r="AG2304" s="135"/>
    </row>
    <row r="2305" ht="21.75" hidden="1" customHeight="1">
      <c r="A2305" s="135">
        <v>2301.0</v>
      </c>
      <c r="B2305" s="135">
        <v>25045.0</v>
      </c>
      <c r="C2305" s="135" t="s">
        <v>2817</v>
      </c>
      <c r="D2305" s="135">
        <v>34.0</v>
      </c>
      <c r="E2305" s="135" t="s">
        <v>3956</v>
      </c>
      <c r="F2305" s="135" t="s">
        <v>2191</v>
      </c>
      <c r="G2305" s="135" t="s">
        <v>105</v>
      </c>
      <c r="H2305" s="135" t="s">
        <v>2853</v>
      </c>
      <c r="I2305" s="135" t="s">
        <v>109</v>
      </c>
      <c r="J2305" s="135">
        <v>1.0</v>
      </c>
      <c r="K2305" s="135"/>
      <c r="L2305" s="135">
        <v>3124.0</v>
      </c>
      <c r="M2305" s="135">
        <v>1650.0</v>
      </c>
      <c r="N2305" s="135">
        <v>120.0</v>
      </c>
      <c r="O2305" s="135">
        <v>0.854</v>
      </c>
      <c r="P2305" s="136">
        <v>0.0</v>
      </c>
      <c r="Q2305" s="137">
        <v>2.135</v>
      </c>
      <c r="R2305" s="136">
        <v>46139.0</v>
      </c>
      <c r="S2305" s="135" t="s">
        <v>3950</v>
      </c>
      <c r="T2305" s="136"/>
      <c r="U2305" s="135" t="s">
        <v>2864</v>
      </c>
      <c r="V2305" s="135" t="s">
        <v>2856</v>
      </c>
      <c r="W2305" s="135"/>
      <c r="X2305" s="135"/>
      <c r="Y2305" s="135"/>
      <c r="Z2305" s="135"/>
      <c r="AA2305" s="135"/>
      <c r="AB2305" s="135"/>
      <c r="AC2305" s="135"/>
      <c r="AD2305" s="135" t="e">
        <v>#N/A</v>
      </c>
      <c r="AE2305" s="135"/>
      <c r="AF2305" s="135"/>
      <c r="AG2305" s="135"/>
    </row>
    <row r="2306" ht="21.75" hidden="1" customHeight="1">
      <c r="A2306" s="135">
        <v>2302.0</v>
      </c>
      <c r="B2306" s="135">
        <v>25045.0</v>
      </c>
      <c r="C2306" s="135" t="s">
        <v>2817</v>
      </c>
      <c r="D2306" s="135">
        <v>34.0</v>
      </c>
      <c r="E2306" s="135" t="s">
        <v>3956</v>
      </c>
      <c r="F2306" s="135" t="s">
        <v>2192</v>
      </c>
      <c r="G2306" s="135" t="s">
        <v>105</v>
      </c>
      <c r="H2306" s="135" t="s">
        <v>2853</v>
      </c>
      <c r="I2306" s="135" t="s">
        <v>109</v>
      </c>
      <c r="J2306" s="135">
        <v>1.0</v>
      </c>
      <c r="K2306" s="135"/>
      <c r="L2306" s="135">
        <v>3124.0</v>
      </c>
      <c r="M2306" s="135">
        <v>1650.0</v>
      </c>
      <c r="N2306" s="135">
        <v>120.0</v>
      </c>
      <c r="O2306" s="135">
        <v>0.854</v>
      </c>
      <c r="P2306" s="136">
        <v>0.0</v>
      </c>
      <c r="Q2306" s="137">
        <v>2.135</v>
      </c>
      <c r="R2306" s="136">
        <v>46139.0</v>
      </c>
      <c r="S2306" s="135" t="s">
        <v>3950</v>
      </c>
      <c r="T2306" s="136"/>
      <c r="U2306" s="135" t="s">
        <v>2864</v>
      </c>
      <c r="V2306" s="135" t="s">
        <v>2856</v>
      </c>
      <c r="W2306" s="135"/>
      <c r="X2306" s="135"/>
      <c r="Y2306" s="135"/>
      <c r="Z2306" s="135"/>
      <c r="AA2306" s="135"/>
      <c r="AB2306" s="135"/>
      <c r="AC2306" s="135"/>
      <c r="AD2306" s="135" t="e">
        <v>#N/A</v>
      </c>
      <c r="AE2306" s="135"/>
      <c r="AF2306" s="135"/>
      <c r="AG2306" s="135"/>
    </row>
    <row r="2307" ht="21.75" hidden="1" customHeight="1">
      <c r="A2307" s="135">
        <v>2303.0</v>
      </c>
      <c r="B2307" s="135">
        <v>25045.0</v>
      </c>
      <c r="C2307" s="135" t="s">
        <v>2817</v>
      </c>
      <c r="D2307" s="135">
        <v>34.0</v>
      </c>
      <c r="E2307" s="135" t="s">
        <v>3956</v>
      </c>
      <c r="F2307" s="135" t="s">
        <v>2193</v>
      </c>
      <c r="G2307" s="135" t="s">
        <v>105</v>
      </c>
      <c r="H2307" s="135" t="s">
        <v>2853</v>
      </c>
      <c r="I2307" s="135" t="s">
        <v>109</v>
      </c>
      <c r="J2307" s="135">
        <v>1.0</v>
      </c>
      <c r="K2307" s="135"/>
      <c r="L2307" s="135">
        <v>3124.0</v>
      </c>
      <c r="M2307" s="135">
        <v>1800.0</v>
      </c>
      <c r="N2307" s="135">
        <v>120.0</v>
      </c>
      <c r="O2307" s="135">
        <v>0.64</v>
      </c>
      <c r="P2307" s="136">
        <v>0.0</v>
      </c>
      <c r="Q2307" s="137">
        <v>1.6</v>
      </c>
      <c r="R2307" s="136">
        <v>46139.0</v>
      </c>
      <c r="S2307" s="135" t="s">
        <v>3950</v>
      </c>
      <c r="T2307" s="136"/>
      <c r="U2307" s="135" t="s">
        <v>2864</v>
      </c>
      <c r="V2307" s="135" t="s">
        <v>2856</v>
      </c>
      <c r="W2307" s="135"/>
      <c r="X2307" s="135"/>
      <c r="Y2307" s="135"/>
      <c r="Z2307" s="135"/>
      <c r="AA2307" s="135"/>
      <c r="AB2307" s="135"/>
      <c r="AC2307" s="135"/>
      <c r="AD2307" s="135" t="e">
        <v>#N/A</v>
      </c>
      <c r="AE2307" s="135"/>
      <c r="AF2307" s="135"/>
      <c r="AG2307" s="135"/>
    </row>
    <row r="2308" ht="21.75" hidden="1" customHeight="1">
      <c r="A2308" s="135">
        <v>2304.0</v>
      </c>
      <c r="B2308" s="135">
        <v>25045.0</v>
      </c>
      <c r="C2308" s="135" t="s">
        <v>2817</v>
      </c>
      <c r="D2308" s="135">
        <v>34.0</v>
      </c>
      <c r="E2308" s="135" t="s">
        <v>3956</v>
      </c>
      <c r="F2308" s="135" t="s">
        <v>2194</v>
      </c>
      <c r="G2308" s="135" t="s">
        <v>105</v>
      </c>
      <c r="H2308" s="135" t="s">
        <v>2853</v>
      </c>
      <c r="I2308" s="135" t="s">
        <v>109</v>
      </c>
      <c r="J2308" s="135">
        <v>1.0</v>
      </c>
      <c r="K2308" s="135"/>
      <c r="L2308" s="135">
        <v>3124.0</v>
      </c>
      <c r="M2308" s="135">
        <v>1800.0</v>
      </c>
      <c r="N2308" s="135">
        <v>120.0</v>
      </c>
      <c r="O2308" s="135">
        <v>0.64</v>
      </c>
      <c r="P2308" s="136">
        <v>0.0</v>
      </c>
      <c r="Q2308" s="137">
        <v>1.6</v>
      </c>
      <c r="R2308" s="136">
        <v>46139.0</v>
      </c>
      <c r="S2308" s="135" t="s">
        <v>3950</v>
      </c>
      <c r="T2308" s="136"/>
      <c r="U2308" s="135" t="s">
        <v>2864</v>
      </c>
      <c r="V2308" s="135" t="s">
        <v>2856</v>
      </c>
      <c r="W2308" s="135"/>
      <c r="X2308" s="135"/>
      <c r="Y2308" s="135"/>
      <c r="Z2308" s="135"/>
      <c r="AA2308" s="135"/>
      <c r="AB2308" s="135"/>
      <c r="AC2308" s="135"/>
      <c r="AD2308" s="135" t="e">
        <v>#N/A</v>
      </c>
      <c r="AE2308" s="135"/>
      <c r="AF2308" s="135"/>
      <c r="AG2308" s="135"/>
    </row>
    <row r="2309" ht="21.75" hidden="1" customHeight="1">
      <c r="A2309" s="135">
        <v>2305.0</v>
      </c>
      <c r="B2309" s="135">
        <v>25045.0</v>
      </c>
      <c r="C2309" s="135" t="s">
        <v>2817</v>
      </c>
      <c r="D2309" s="135">
        <v>34.0</v>
      </c>
      <c r="E2309" s="135" t="s">
        <v>3956</v>
      </c>
      <c r="F2309" s="135" t="s">
        <v>2195</v>
      </c>
      <c r="G2309" s="135" t="s">
        <v>105</v>
      </c>
      <c r="H2309" s="135" t="s">
        <v>2853</v>
      </c>
      <c r="I2309" s="135" t="s">
        <v>109</v>
      </c>
      <c r="J2309" s="135">
        <v>1.0</v>
      </c>
      <c r="K2309" s="135"/>
      <c r="L2309" s="135">
        <v>3124.0</v>
      </c>
      <c r="M2309" s="135">
        <v>1800.0</v>
      </c>
      <c r="N2309" s="135">
        <v>120.0</v>
      </c>
      <c r="O2309" s="135">
        <v>0.64</v>
      </c>
      <c r="P2309" s="136">
        <v>0.0</v>
      </c>
      <c r="Q2309" s="137">
        <v>1.6</v>
      </c>
      <c r="R2309" s="136">
        <v>46139.0</v>
      </c>
      <c r="S2309" s="135" t="s">
        <v>3950</v>
      </c>
      <c r="T2309" s="136"/>
      <c r="U2309" s="135" t="s">
        <v>2864</v>
      </c>
      <c r="V2309" s="135" t="s">
        <v>2856</v>
      </c>
      <c r="W2309" s="135"/>
      <c r="X2309" s="135"/>
      <c r="Y2309" s="135"/>
      <c r="Z2309" s="135"/>
      <c r="AA2309" s="135"/>
      <c r="AB2309" s="135"/>
      <c r="AC2309" s="135"/>
      <c r="AD2309" s="135" t="e">
        <v>#N/A</v>
      </c>
      <c r="AE2309" s="135"/>
      <c r="AF2309" s="135"/>
      <c r="AG2309" s="135"/>
    </row>
    <row r="2310" ht="21.75" hidden="1" customHeight="1">
      <c r="A2310" s="135">
        <v>2306.0</v>
      </c>
      <c r="B2310" s="135">
        <v>25045.0</v>
      </c>
      <c r="C2310" s="135" t="s">
        <v>2817</v>
      </c>
      <c r="D2310" s="135">
        <v>34.0</v>
      </c>
      <c r="E2310" s="135" t="s">
        <v>3956</v>
      </c>
      <c r="F2310" s="135" t="s">
        <v>2196</v>
      </c>
      <c r="G2310" s="135" t="s">
        <v>105</v>
      </c>
      <c r="H2310" s="135" t="s">
        <v>2853</v>
      </c>
      <c r="I2310" s="135" t="s">
        <v>109</v>
      </c>
      <c r="J2310" s="135">
        <v>1.0</v>
      </c>
      <c r="K2310" s="135"/>
      <c r="L2310" s="135">
        <v>3124.0</v>
      </c>
      <c r="M2310" s="135">
        <v>1900.0</v>
      </c>
      <c r="N2310" s="135">
        <v>120.0</v>
      </c>
      <c r="O2310" s="135">
        <v>0.678</v>
      </c>
      <c r="P2310" s="136">
        <v>0.0</v>
      </c>
      <c r="Q2310" s="137">
        <v>1.695</v>
      </c>
      <c r="R2310" s="136">
        <v>46139.0</v>
      </c>
      <c r="S2310" s="135" t="s">
        <v>3950</v>
      </c>
      <c r="T2310" s="136"/>
      <c r="U2310" s="135" t="s">
        <v>2864</v>
      </c>
      <c r="V2310" s="135" t="s">
        <v>2856</v>
      </c>
      <c r="W2310" s="135"/>
      <c r="X2310" s="135"/>
      <c r="Y2310" s="135"/>
      <c r="Z2310" s="135"/>
      <c r="AA2310" s="135"/>
      <c r="AB2310" s="135"/>
      <c r="AC2310" s="135"/>
      <c r="AD2310" s="135" t="e">
        <v>#N/A</v>
      </c>
      <c r="AE2310" s="135"/>
      <c r="AF2310" s="135"/>
      <c r="AG2310" s="135"/>
    </row>
    <row r="2311" ht="21.75" hidden="1" customHeight="1">
      <c r="A2311" s="135">
        <v>2307.0</v>
      </c>
      <c r="B2311" s="135">
        <v>25045.0</v>
      </c>
      <c r="C2311" s="135" t="s">
        <v>2817</v>
      </c>
      <c r="D2311" s="135">
        <v>34.0</v>
      </c>
      <c r="E2311" s="135" t="s">
        <v>3956</v>
      </c>
      <c r="F2311" s="135" t="s">
        <v>2197</v>
      </c>
      <c r="G2311" s="135" t="s">
        <v>105</v>
      </c>
      <c r="H2311" s="135" t="s">
        <v>2853</v>
      </c>
      <c r="I2311" s="135" t="s">
        <v>109</v>
      </c>
      <c r="J2311" s="135">
        <v>1.0</v>
      </c>
      <c r="K2311" s="135"/>
      <c r="L2311" s="135">
        <v>3124.0</v>
      </c>
      <c r="M2311" s="135">
        <v>1900.0</v>
      </c>
      <c r="N2311" s="135">
        <v>120.0</v>
      </c>
      <c r="O2311" s="135">
        <v>0.678</v>
      </c>
      <c r="P2311" s="136">
        <v>0.0</v>
      </c>
      <c r="Q2311" s="137">
        <v>1.695</v>
      </c>
      <c r="R2311" s="136">
        <v>46139.0</v>
      </c>
      <c r="S2311" s="135" t="s">
        <v>3950</v>
      </c>
      <c r="T2311" s="136"/>
      <c r="U2311" s="135" t="s">
        <v>2864</v>
      </c>
      <c r="V2311" s="135" t="s">
        <v>2856</v>
      </c>
      <c r="W2311" s="135"/>
      <c r="X2311" s="135"/>
      <c r="Y2311" s="135"/>
      <c r="Z2311" s="135"/>
      <c r="AA2311" s="135"/>
      <c r="AB2311" s="135"/>
      <c r="AC2311" s="135"/>
      <c r="AD2311" s="135" t="e">
        <v>#N/A</v>
      </c>
      <c r="AE2311" s="135"/>
      <c r="AF2311" s="135"/>
      <c r="AG2311" s="135"/>
    </row>
    <row r="2312" ht="21.75" hidden="1" customHeight="1">
      <c r="A2312" s="135">
        <v>2308.0</v>
      </c>
      <c r="B2312" s="135">
        <v>25045.0</v>
      </c>
      <c r="C2312" s="135" t="s">
        <v>2817</v>
      </c>
      <c r="D2312" s="135">
        <v>34.0</v>
      </c>
      <c r="E2312" s="135" t="s">
        <v>3956</v>
      </c>
      <c r="F2312" s="135" t="s">
        <v>2198</v>
      </c>
      <c r="G2312" s="135" t="s">
        <v>105</v>
      </c>
      <c r="H2312" s="135" t="s">
        <v>2853</v>
      </c>
      <c r="I2312" s="135" t="s">
        <v>109</v>
      </c>
      <c r="J2312" s="135">
        <v>1.0</v>
      </c>
      <c r="K2312" s="135"/>
      <c r="L2312" s="135">
        <v>2980.0</v>
      </c>
      <c r="M2312" s="135">
        <v>1900.0</v>
      </c>
      <c r="N2312" s="135">
        <v>120.0</v>
      </c>
      <c r="O2312" s="135">
        <v>0.659</v>
      </c>
      <c r="P2312" s="136">
        <v>0.0</v>
      </c>
      <c r="Q2312" s="137">
        <v>1.6475</v>
      </c>
      <c r="R2312" s="136">
        <v>46139.0</v>
      </c>
      <c r="S2312" s="135" t="s">
        <v>3950</v>
      </c>
      <c r="T2312" s="136"/>
      <c r="U2312" s="135" t="s">
        <v>2864</v>
      </c>
      <c r="V2312" s="135" t="s">
        <v>2856</v>
      </c>
      <c r="W2312" s="135"/>
      <c r="X2312" s="135"/>
      <c r="Y2312" s="135"/>
      <c r="Z2312" s="135"/>
      <c r="AA2312" s="135"/>
      <c r="AB2312" s="135"/>
      <c r="AC2312" s="135"/>
      <c r="AD2312" s="135" t="e">
        <v>#N/A</v>
      </c>
      <c r="AE2312" s="135"/>
      <c r="AF2312" s="135"/>
      <c r="AG2312" s="135"/>
    </row>
    <row r="2313" ht="21.75" hidden="1" customHeight="1">
      <c r="A2313" s="135">
        <v>2309.0</v>
      </c>
      <c r="B2313" s="135">
        <v>25045.0</v>
      </c>
      <c r="C2313" s="135"/>
      <c r="D2313" s="135">
        <v>34.0</v>
      </c>
      <c r="E2313" s="135" t="s">
        <v>3956</v>
      </c>
      <c r="F2313" s="135" t="s">
        <v>2199</v>
      </c>
      <c r="G2313" s="135" t="s">
        <v>105</v>
      </c>
      <c r="H2313" s="135" t="s">
        <v>2853</v>
      </c>
      <c r="I2313" s="135" t="s">
        <v>109</v>
      </c>
      <c r="J2313" s="135"/>
      <c r="K2313" s="135"/>
      <c r="L2313" s="135">
        <v>5552.0</v>
      </c>
      <c r="M2313" s="135">
        <v>3400.0</v>
      </c>
      <c r="N2313" s="135">
        <v>120.0</v>
      </c>
      <c r="O2313" s="135">
        <v>2.047</v>
      </c>
      <c r="P2313" s="136">
        <v>0.0</v>
      </c>
      <c r="Q2313" s="137">
        <v>5.117500000000001</v>
      </c>
      <c r="R2313" s="136">
        <v>46139.0</v>
      </c>
      <c r="S2313" s="135" t="s">
        <v>3950</v>
      </c>
      <c r="T2313" s="136"/>
      <c r="U2313" s="135" t="s">
        <v>2855</v>
      </c>
      <c r="V2313" s="135" t="s">
        <v>2876</v>
      </c>
      <c r="W2313" s="135">
        <v>1800.0</v>
      </c>
      <c r="X2313" s="135" t="s">
        <v>3764</v>
      </c>
      <c r="Y2313" s="135"/>
      <c r="Z2313" s="135"/>
      <c r="AA2313" s="135"/>
      <c r="AB2313" s="135"/>
      <c r="AC2313" s="135"/>
      <c r="AD2313" s="135">
        <v>46155.0</v>
      </c>
      <c r="AE2313" s="135"/>
      <c r="AF2313" s="135"/>
      <c r="AG2313" s="135"/>
    </row>
    <row r="2314" ht="21.75" hidden="1" customHeight="1">
      <c r="A2314" s="135">
        <v>2310.0</v>
      </c>
      <c r="B2314" s="135">
        <v>25045.0</v>
      </c>
      <c r="C2314" s="135"/>
      <c r="D2314" s="135">
        <v>34.0</v>
      </c>
      <c r="E2314" s="135" t="s">
        <v>3956</v>
      </c>
      <c r="F2314" s="135" t="s">
        <v>2200</v>
      </c>
      <c r="G2314" s="135" t="s">
        <v>105</v>
      </c>
      <c r="H2314" s="135" t="s">
        <v>2853</v>
      </c>
      <c r="I2314" s="135" t="s">
        <v>109</v>
      </c>
      <c r="J2314" s="135"/>
      <c r="K2314" s="135"/>
      <c r="L2314" s="135">
        <v>5140.0</v>
      </c>
      <c r="M2314" s="135">
        <v>3400.0</v>
      </c>
      <c r="N2314" s="135">
        <v>120.0</v>
      </c>
      <c r="O2314" s="135">
        <v>2.273</v>
      </c>
      <c r="P2314" s="136">
        <v>0.0</v>
      </c>
      <c r="Q2314" s="137">
        <v>5.6825</v>
      </c>
      <c r="R2314" s="136">
        <v>46139.0</v>
      </c>
      <c r="S2314" s="135" t="s">
        <v>3950</v>
      </c>
      <c r="T2314" s="136"/>
      <c r="U2314" s="135" t="s">
        <v>2855</v>
      </c>
      <c r="V2314" s="135" t="s">
        <v>2876</v>
      </c>
      <c r="W2314" s="135">
        <v>1800.0</v>
      </c>
      <c r="X2314" s="135"/>
      <c r="Y2314" s="135"/>
      <c r="Z2314" s="135"/>
      <c r="AA2314" s="135"/>
      <c r="AB2314" s="135"/>
      <c r="AC2314" s="135"/>
      <c r="AD2314" s="135">
        <v>46155.0</v>
      </c>
      <c r="AE2314" s="135"/>
      <c r="AF2314" s="135"/>
      <c r="AG2314" s="135"/>
    </row>
    <row r="2315" ht="21.75" hidden="1" customHeight="1">
      <c r="A2315" s="135">
        <v>2311.0</v>
      </c>
      <c r="B2315" s="135">
        <v>25045.0</v>
      </c>
      <c r="C2315" s="135" t="s">
        <v>2817</v>
      </c>
      <c r="D2315" s="135">
        <v>34.0</v>
      </c>
      <c r="E2315" s="135" t="s">
        <v>3956</v>
      </c>
      <c r="F2315" s="135" t="s">
        <v>2201</v>
      </c>
      <c r="G2315" s="135" t="s">
        <v>105</v>
      </c>
      <c r="H2315" s="135" t="s">
        <v>2853</v>
      </c>
      <c r="I2315" s="135" t="s">
        <v>109</v>
      </c>
      <c r="J2315" s="135">
        <v>1.0</v>
      </c>
      <c r="K2315" s="135"/>
      <c r="L2315" s="135">
        <v>2195.0</v>
      </c>
      <c r="M2315" s="135">
        <v>2940.0</v>
      </c>
      <c r="N2315" s="135">
        <v>120.0</v>
      </c>
      <c r="O2315" s="135">
        <v>0.806</v>
      </c>
      <c r="P2315" s="136">
        <v>0.0</v>
      </c>
      <c r="Q2315" s="137">
        <v>2.015</v>
      </c>
      <c r="R2315" s="136">
        <v>46139.0</v>
      </c>
      <c r="S2315" s="135" t="s">
        <v>3950</v>
      </c>
      <c r="T2315" s="136"/>
      <c r="U2315" s="135" t="s">
        <v>2864</v>
      </c>
      <c r="V2315" s="135" t="s">
        <v>2878</v>
      </c>
      <c r="W2315" s="135"/>
      <c r="X2315" s="135"/>
      <c r="Y2315" s="135"/>
      <c r="Z2315" s="135"/>
      <c r="AA2315" s="135"/>
      <c r="AB2315" s="135"/>
      <c r="AC2315" s="135"/>
      <c r="AD2315" s="135" t="e">
        <v>#N/A</v>
      </c>
      <c r="AE2315" s="135"/>
      <c r="AF2315" s="135"/>
      <c r="AG2315" s="135"/>
    </row>
    <row r="2316" ht="21.75" hidden="1" customHeight="1">
      <c r="A2316" s="135">
        <v>2312.0</v>
      </c>
      <c r="B2316" s="135">
        <v>25045.0</v>
      </c>
      <c r="C2316" s="135"/>
      <c r="D2316" s="135">
        <v>34.0</v>
      </c>
      <c r="E2316" s="135" t="s">
        <v>3956</v>
      </c>
      <c r="F2316" s="135" t="s">
        <v>2202</v>
      </c>
      <c r="G2316" s="135" t="s">
        <v>105</v>
      </c>
      <c r="H2316" s="135" t="s">
        <v>2853</v>
      </c>
      <c r="I2316" s="135" t="s">
        <v>109</v>
      </c>
      <c r="J2316" s="135"/>
      <c r="K2316" s="135"/>
      <c r="L2316" s="135">
        <v>4090.0</v>
      </c>
      <c r="M2316" s="135">
        <v>3300.0</v>
      </c>
      <c r="N2316" s="135">
        <v>120.0</v>
      </c>
      <c r="O2316" s="135">
        <v>1.764</v>
      </c>
      <c r="P2316" s="136">
        <v>0.0</v>
      </c>
      <c r="Q2316" s="137">
        <v>4.41</v>
      </c>
      <c r="R2316" s="136">
        <v>46139.0</v>
      </c>
      <c r="S2316" s="135" t="s">
        <v>3950</v>
      </c>
      <c r="T2316" s="136"/>
      <c r="U2316" s="135" t="s">
        <v>2864</v>
      </c>
      <c r="V2316" s="135" t="s">
        <v>3041</v>
      </c>
      <c r="W2316" s="135"/>
      <c r="X2316" s="135"/>
      <c r="Y2316" s="135"/>
      <c r="Z2316" s="135"/>
      <c r="AA2316" s="135"/>
      <c r="AB2316" s="135"/>
      <c r="AC2316" s="135"/>
      <c r="AD2316" s="135">
        <v>0.0</v>
      </c>
      <c r="AE2316" s="135"/>
      <c r="AF2316" s="135"/>
      <c r="AG2316" s="135"/>
    </row>
    <row r="2317" ht="21.75" hidden="1" customHeight="1">
      <c r="A2317" s="135">
        <v>2313.0</v>
      </c>
      <c r="B2317" s="135">
        <v>25045.0</v>
      </c>
      <c r="C2317" s="135"/>
      <c r="D2317" s="135">
        <v>34.0</v>
      </c>
      <c r="E2317" s="135" t="s">
        <v>3956</v>
      </c>
      <c r="F2317" s="135" t="s">
        <v>2203</v>
      </c>
      <c r="G2317" s="135" t="s">
        <v>105</v>
      </c>
      <c r="H2317" s="135" t="s">
        <v>2853</v>
      </c>
      <c r="I2317" s="135" t="s">
        <v>109</v>
      </c>
      <c r="J2317" s="135"/>
      <c r="K2317" s="135"/>
      <c r="L2317" s="135">
        <v>4350.0</v>
      </c>
      <c r="M2317" s="135">
        <v>3300.0</v>
      </c>
      <c r="N2317" s="135">
        <v>120.0</v>
      </c>
      <c r="O2317" s="135">
        <v>1.847</v>
      </c>
      <c r="P2317" s="136">
        <v>0.0</v>
      </c>
      <c r="Q2317" s="137">
        <v>4.6175</v>
      </c>
      <c r="R2317" s="136">
        <v>46139.0</v>
      </c>
      <c r="S2317" s="135" t="s">
        <v>3950</v>
      </c>
      <c r="T2317" s="136"/>
      <c r="U2317" s="135" t="s">
        <v>2864</v>
      </c>
      <c r="V2317" s="135" t="s">
        <v>3041</v>
      </c>
      <c r="W2317" s="135"/>
      <c r="X2317" s="135"/>
      <c r="Y2317" s="135"/>
      <c r="Z2317" s="135"/>
      <c r="AA2317" s="135"/>
      <c r="AB2317" s="135"/>
      <c r="AC2317" s="135"/>
      <c r="AD2317" s="135">
        <v>0.0</v>
      </c>
      <c r="AE2317" s="135"/>
      <c r="AF2317" s="135"/>
      <c r="AG2317" s="135"/>
    </row>
    <row r="2318" ht="21.75" hidden="1" customHeight="1">
      <c r="A2318" s="135">
        <v>2314.0</v>
      </c>
      <c r="B2318" s="135">
        <v>25045.0</v>
      </c>
      <c r="C2318" s="135"/>
      <c r="D2318" s="135">
        <v>34.0</v>
      </c>
      <c r="E2318" s="135" t="s">
        <v>3956</v>
      </c>
      <c r="F2318" s="135" t="s">
        <v>2204</v>
      </c>
      <c r="G2318" s="135" t="s">
        <v>105</v>
      </c>
      <c r="H2318" s="135" t="s">
        <v>2853</v>
      </c>
      <c r="I2318" s="135" t="s">
        <v>109</v>
      </c>
      <c r="J2318" s="135"/>
      <c r="K2318" s="135"/>
      <c r="L2318" s="135">
        <v>4015.0</v>
      </c>
      <c r="M2318" s="135">
        <v>3100.0</v>
      </c>
      <c r="N2318" s="135">
        <v>120.0</v>
      </c>
      <c r="O2318" s="135">
        <v>1.638</v>
      </c>
      <c r="P2318" s="136">
        <v>0.0</v>
      </c>
      <c r="Q2318" s="137">
        <v>4.095</v>
      </c>
      <c r="R2318" s="136">
        <v>46139.0</v>
      </c>
      <c r="S2318" s="135" t="s">
        <v>3950</v>
      </c>
      <c r="T2318" s="136"/>
      <c r="U2318" s="135" t="s">
        <v>2864</v>
      </c>
      <c r="V2318" s="135" t="s">
        <v>3100</v>
      </c>
      <c r="W2318" s="135"/>
      <c r="X2318" s="135"/>
      <c r="Y2318" s="135"/>
      <c r="Z2318" s="135"/>
      <c r="AA2318" s="135"/>
      <c r="AB2318" s="135"/>
      <c r="AC2318" s="135"/>
      <c r="AD2318" s="135">
        <v>0.0</v>
      </c>
      <c r="AE2318" s="135"/>
      <c r="AF2318" s="135"/>
      <c r="AG2318" s="135"/>
    </row>
    <row r="2319" ht="21.75" hidden="1" customHeight="1">
      <c r="A2319" s="135">
        <v>2315.0</v>
      </c>
      <c r="B2319" s="135">
        <v>25045.0</v>
      </c>
      <c r="C2319" s="135"/>
      <c r="D2319" s="135">
        <v>34.0</v>
      </c>
      <c r="E2319" s="135" t="s">
        <v>3956</v>
      </c>
      <c r="F2319" s="135" t="s">
        <v>2205</v>
      </c>
      <c r="G2319" s="135" t="s">
        <v>105</v>
      </c>
      <c r="H2319" s="135" t="s">
        <v>2853</v>
      </c>
      <c r="I2319" s="135" t="s">
        <v>109</v>
      </c>
      <c r="J2319" s="135"/>
      <c r="K2319" s="135"/>
      <c r="L2319" s="135">
        <v>4015.0</v>
      </c>
      <c r="M2319" s="135">
        <v>3100.0</v>
      </c>
      <c r="N2319" s="135">
        <v>120.0</v>
      </c>
      <c r="O2319" s="135">
        <v>1.638</v>
      </c>
      <c r="P2319" s="136">
        <v>0.0</v>
      </c>
      <c r="Q2319" s="137">
        <v>4.095</v>
      </c>
      <c r="R2319" s="136">
        <v>46139.0</v>
      </c>
      <c r="S2319" s="135" t="s">
        <v>3950</v>
      </c>
      <c r="T2319" s="136"/>
      <c r="U2319" s="135" t="s">
        <v>2864</v>
      </c>
      <c r="V2319" s="135" t="s">
        <v>3100</v>
      </c>
      <c r="W2319" s="135"/>
      <c r="X2319" s="135"/>
      <c r="Y2319" s="135"/>
      <c r="Z2319" s="135"/>
      <c r="AA2319" s="135"/>
      <c r="AB2319" s="135"/>
      <c r="AC2319" s="135"/>
      <c r="AD2319" s="135">
        <v>0.0</v>
      </c>
      <c r="AE2319" s="135"/>
      <c r="AF2319" s="135"/>
      <c r="AG2319" s="135"/>
    </row>
    <row r="2320" ht="21.75" hidden="1" customHeight="1">
      <c r="A2320" s="135">
        <v>2316.0</v>
      </c>
      <c r="B2320" s="135">
        <v>25045.0</v>
      </c>
      <c r="C2320" s="135"/>
      <c r="D2320" s="135">
        <v>34.0</v>
      </c>
      <c r="E2320" s="135" t="s">
        <v>3956</v>
      </c>
      <c r="F2320" s="135" t="s">
        <v>2206</v>
      </c>
      <c r="G2320" s="135" t="s">
        <v>105</v>
      </c>
      <c r="H2320" s="135" t="s">
        <v>2853</v>
      </c>
      <c r="I2320" s="135" t="s">
        <v>109</v>
      </c>
      <c r="J2320" s="135"/>
      <c r="K2320" s="135"/>
      <c r="L2320" s="135">
        <v>4015.0</v>
      </c>
      <c r="M2320" s="135">
        <v>3100.0</v>
      </c>
      <c r="N2320" s="135">
        <v>120.0</v>
      </c>
      <c r="O2320" s="135">
        <v>1.638</v>
      </c>
      <c r="P2320" s="136">
        <v>0.0</v>
      </c>
      <c r="Q2320" s="137">
        <v>4.095</v>
      </c>
      <c r="R2320" s="136">
        <v>46139.0</v>
      </c>
      <c r="S2320" s="135" t="s">
        <v>3950</v>
      </c>
      <c r="T2320" s="136"/>
      <c r="U2320" s="135" t="s">
        <v>2864</v>
      </c>
      <c r="V2320" s="135" t="s">
        <v>3100</v>
      </c>
      <c r="W2320" s="135"/>
      <c r="X2320" s="135"/>
      <c r="Y2320" s="135"/>
      <c r="Z2320" s="135"/>
      <c r="AA2320" s="135"/>
      <c r="AB2320" s="135"/>
      <c r="AC2320" s="135"/>
      <c r="AD2320" s="135">
        <v>0.0</v>
      </c>
      <c r="AE2320" s="135"/>
      <c r="AF2320" s="135"/>
      <c r="AG2320" s="135"/>
    </row>
    <row r="2321" ht="21.75" hidden="1" customHeight="1">
      <c r="A2321" s="135">
        <v>2317.0</v>
      </c>
      <c r="B2321" s="135">
        <v>25045.0</v>
      </c>
      <c r="C2321" s="135"/>
      <c r="D2321" s="135">
        <v>34.0</v>
      </c>
      <c r="E2321" s="135" t="s">
        <v>3956</v>
      </c>
      <c r="F2321" s="135" t="s">
        <v>2207</v>
      </c>
      <c r="G2321" s="135" t="s">
        <v>105</v>
      </c>
      <c r="H2321" s="135" t="s">
        <v>2853</v>
      </c>
      <c r="I2321" s="135" t="s">
        <v>109</v>
      </c>
      <c r="J2321" s="135"/>
      <c r="K2321" s="135"/>
      <c r="L2321" s="135">
        <v>4015.0</v>
      </c>
      <c r="M2321" s="135">
        <v>3100.0</v>
      </c>
      <c r="N2321" s="135">
        <v>120.0</v>
      </c>
      <c r="O2321" s="135">
        <v>1.301</v>
      </c>
      <c r="P2321" s="136">
        <v>0.0</v>
      </c>
      <c r="Q2321" s="137">
        <v>3.2525</v>
      </c>
      <c r="R2321" s="136">
        <v>46139.0</v>
      </c>
      <c r="S2321" s="135" t="s">
        <v>3950</v>
      </c>
      <c r="T2321" s="136"/>
      <c r="U2321" s="135" t="s">
        <v>2864</v>
      </c>
      <c r="V2321" s="135" t="s">
        <v>3100</v>
      </c>
      <c r="W2321" s="135"/>
      <c r="X2321" s="135" t="s">
        <v>3764</v>
      </c>
      <c r="Y2321" s="135"/>
      <c r="Z2321" s="135"/>
      <c r="AA2321" s="135"/>
      <c r="AB2321" s="135"/>
      <c r="AC2321" s="135"/>
      <c r="AD2321" s="135">
        <v>0.0</v>
      </c>
      <c r="AE2321" s="135"/>
      <c r="AF2321" s="135"/>
      <c r="AG2321" s="135"/>
    </row>
    <row r="2322" ht="21.75" hidden="1" customHeight="1">
      <c r="A2322" s="135">
        <v>2318.0</v>
      </c>
      <c r="B2322" s="135">
        <v>25045.0</v>
      </c>
      <c r="C2322" s="135"/>
      <c r="D2322" s="135">
        <v>34.0</v>
      </c>
      <c r="E2322" s="135" t="s">
        <v>3956</v>
      </c>
      <c r="F2322" s="135" t="s">
        <v>2208</v>
      </c>
      <c r="G2322" s="135" t="s">
        <v>105</v>
      </c>
      <c r="H2322" s="135" t="s">
        <v>2853</v>
      </c>
      <c r="I2322" s="135" t="s">
        <v>109</v>
      </c>
      <c r="J2322" s="135"/>
      <c r="K2322" s="135"/>
      <c r="L2322" s="135">
        <v>5000.0</v>
      </c>
      <c r="M2322" s="135">
        <v>3100.0</v>
      </c>
      <c r="N2322" s="135">
        <v>120.0</v>
      </c>
      <c r="O2322" s="135">
        <v>2.061</v>
      </c>
      <c r="P2322" s="136">
        <v>0.0</v>
      </c>
      <c r="Q2322" s="137">
        <v>5.1525</v>
      </c>
      <c r="R2322" s="136">
        <v>46139.0</v>
      </c>
      <c r="S2322" s="135" t="s">
        <v>3950</v>
      </c>
      <c r="T2322" s="136"/>
      <c r="U2322" s="135" t="s">
        <v>2855</v>
      </c>
      <c r="V2322" s="135" t="s">
        <v>2876</v>
      </c>
      <c r="W2322" s="135">
        <v>2500.0</v>
      </c>
      <c r="X2322" s="135"/>
      <c r="Y2322" s="135"/>
      <c r="Z2322" s="135"/>
      <c r="AA2322" s="135"/>
      <c r="AB2322" s="135"/>
      <c r="AC2322" s="135"/>
      <c r="AD2322" s="135">
        <v>0.0</v>
      </c>
      <c r="AE2322" s="135"/>
      <c r="AF2322" s="135"/>
      <c r="AG2322" s="135"/>
    </row>
    <row r="2323" ht="21.75" hidden="1" customHeight="1">
      <c r="A2323" s="135">
        <v>2319.0</v>
      </c>
      <c r="B2323" s="135">
        <v>25045.0</v>
      </c>
      <c r="C2323" s="135"/>
      <c r="D2323" s="135">
        <v>34.0</v>
      </c>
      <c r="E2323" s="135" t="s">
        <v>3956</v>
      </c>
      <c r="F2323" s="135" t="s">
        <v>2209</v>
      </c>
      <c r="G2323" s="135" t="s">
        <v>105</v>
      </c>
      <c r="H2323" s="135" t="s">
        <v>2853</v>
      </c>
      <c r="I2323" s="135" t="s">
        <v>109</v>
      </c>
      <c r="J2323" s="135"/>
      <c r="K2323" s="135"/>
      <c r="L2323" s="135">
        <v>4578.0</v>
      </c>
      <c r="M2323" s="135">
        <v>3300.0</v>
      </c>
      <c r="N2323" s="135">
        <v>300.0</v>
      </c>
      <c r="O2323" s="135">
        <v>3.028</v>
      </c>
      <c r="P2323" s="136">
        <v>0.0</v>
      </c>
      <c r="Q2323" s="137">
        <v>7.57</v>
      </c>
      <c r="R2323" s="136">
        <v>46139.0</v>
      </c>
      <c r="S2323" s="135" t="s">
        <v>3950</v>
      </c>
      <c r="T2323" s="136"/>
      <c r="U2323" s="135" t="s">
        <v>2864</v>
      </c>
      <c r="V2323" s="135" t="s">
        <v>2890</v>
      </c>
      <c r="W2323" s="135"/>
      <c r="X2323" s="135"/>
      <c r="Y2323" s="135" t="s">
        <v>2886</v>
      </c>
      <c r="Z2323" s="135"/>
      <c r="AA2323" s="135"/>
      <c r="AB2323" s="135"/>
      <c r="AC2323" s="135"/>
      <c r="AD2323" s="135">
        <v>46151.0</v>
      </c>
      <c r="AE2323" s="135"/>
      <c r="AF2323" s="135"/>
      <c r="AG2323" s="135"/>
    </row>
    <row r="2324" ht="21.75" hidden="1" customHeight="1">
      <c r="A2324" s="135">
        <v>2320.0</v>
      </c>
      <c r="B2324" s="135">
        <v>25045.0</v>
      </c>
      <c r="C2324" s="135"/>
      <c r="D2324" s="135">
        <v>34.0</v>
      </c>
      <c r="E2324" s="135" t="s">
        <v>3956</v>
      </c>
      <c r="F2324" s="135" t="s">
        <v>2210</v>
      </c>
      <c r="G2324" s="135" t="s">
        <v>105</v>
      </c>
      <c r="H2324" s="135" t="s">
        <v>2853</v>
      </c>
      <c r="I2324" s="135" t="s">
        <v>109</v>
      </c>
      <c r="J2324" s="135"/>
      <c r="K2324" s="135"/>
      <c r="L2324" s="135">
        <v>5470.0</v>
      </c>
      <c r="M2324" s="135">
        <v>1440.0</v>
      </c>
      <c r="N2324" s="135">
        <v>120.0</v>
      </c>
      <c r="O2324" s="135">
        <v>1.014</v>
      </c>
      <c r="P2324" s="136">
        <v>0.0</v>
      </c>
      <c r="Q2324" s="137">
        <v>2.535</v>
      </c>
      <c r="R2324" s="136">
        <v>46139.0</v>
      </c>
      <c r="S2324" s="135" t="s">
        <v>3950</v>
      </c>
      <c r="T2324" s="136"/>
      <c r="U2324" s="135" t="s">
        <v>2855</v>
      </c>
      <c r="V2324" s="135" t="s">
        <v>2856</v>
      </c>
      <c r="W2324" s="135"/>
      <c r="X2324" s="135"/>
      <c r="Y2324" s="135"/>
      <c r="Z2324" s="135"/>
      <c r="AA2324" s="135"/>
      <c r="AB2324" s="135"/>
      <c r="AC2324" s="135"/>
      <c r="AD2324" s="135">
        <v>0.0</v>
      </c>
      <c r="AE2324" s="135"/>
      <c r="AF2324" s="135"/>
      <c r="AG2324" s="135"/>
    </row>
    <row r="2325" ht="21.75" hidden="1" customHeight="1">
      <c r="A2325" s="135">
        <v>2321.0</v>
      </c>
      <c r="B2325" s="135">
        <v>25045.0</v>
      </c>
      <c r="C2325" s="135"/>
      <c r="D2325" s="135">
        <v>34.0</v>
      </c>
      <c r="E2325" s="135" t="s">
        <v>3956</v>
      </c>
      <c r="F2325" s="135" t="s">
        <v>2211</v>
      </c>
      <c r="G2325" s="135" t="s">
        <v>105</v>
      </c>
      <c r="H2325" s="135" t="s">
        <v>2853</v>
      </c>
      <c r="I2325" s="135" t="s">
        <v>109</v>
      </c>
      <c r="J2325" s="135"/>
      <c r="K2325" s="135"/>
      <c r="L2325" s="135">
        <v>5470.0</v>
      </c>
      <c r="M2325" s="135">
        <v>1440.0</v>
      </c>
      <c r="N2325" s="135">
        <v>120.0</v>
      </c>
      <c r="O2325" s="135">
        <v>1.014</v>
      </c>
      <c r="P2325" s="136">
        <v>0.0</v>
      </c>
      <c r="Q2325" s="137">
        <v>2.535</v>
      </c>
      <c r="R2325" s="136">
        <v>46139.0</v>
      </c>
      <c r="S2325" s="135" t="s">
        <v>3950</v>
      </c>
      <c r="T2325" s="136"/>
      <c r="U2325" s="135" t="s">
        <v>2855</v>
      </c>
      <c r="V2325" s="135" t="s">
        <v>2856</v>
      </c>
      <c r="W2325" s="135">
        <v>1800.0</v>
      </c>
      <c r="X2325" s="135"/>
      <c r="Y2325" s="135"/>
      <c r="Z2325" s="135"/>
      <c r="AA2325" s="135"/>
      <c r="AB2325" s="135"/>
      <c r="AC2325" s="135"/>
      <c r="AD2325" s="135">
        <v>0.0</v>
      </c>
      <c r="AE2325" s="135"/>
      <c r="AF2325" s="135"/>
      <c r="AG2325" s="135"/>
    </row>
    <row r="2326" ht="21.75" hidden="1" customHeight="1">
      <c r="A2326" s="135">
        <v>2322.0</v>
      </c>
      <c r="B2326" s="135">
        <v>25045.0</v>
      </c>
      <c r="C2326" s="135"/>
      <c r="D2326" s="135">
        <v>34.0</v>
      </c>
      <c r="E2326" s="135" t="s">
        <v>3956</v>
      </c>
      <c r="F2326" s="135" t="s">
        <v>2212</v>
      </c>
      <c r="G2326" s="135" t="s">
        <v>105</v>
      </c>
      <c r="H2326" s="135" t="s">
        <v>2853</v>
      </c>
      <c r="I2326" s="135" t="s">
        <v>109</v>
      </c>
      <c r="J2326" s="135"/>
      <c r="K2326" s="135"/>
      <c r="L2326" s="135">
        <v>1780.0</v>
      </c>
      <c r="M2326" s="135">
        <v>1434.0</v>
      </c>
      <c r="N2326" s="135">
        <v>120.0</v>
      </c>
      <c r="O2326" s="135">
        <v>0.375</v>
      </c>
      <c r="P2326" s="136">
        <v>0.0</v>
      </c>
      <c r="Q2326" s="137">
        <v>0.9375</v>
      </c>
      <c r="R2326" s="136">
        <v>46139.0</v>
      </c>
      <c r="S2326" s="135" t="s">
        <v>3950</v>
      </c>
      <c r="T2326" s="136"/>
      <c r="U2326" s="135" t="s">
        <v>2864</v>
      </c>
      <c r="V2326" s="135" t="s">
        <v>2953</v>
      </c>
      <c r="W2326" s="135"/>
      <c r="X2326" s="135"/>
      <c r="Y2326" s="135"/>
      <c r="Z2326" s="135"/>
      <c r="AA2326" s="135"/>
      <c r="AB2326" s="135"/>
      <c r="AC2326" s="135"/>
      <c r="AD2326" s="135">
        <v>0.0</v>
      </c>
      <c r="AE2326" s="135"/>
      <c r="AF2326" s="135"/>
      <c r="AG2326" s="135"/>
    </row>
    <row r="2327" ht="21.75" hidden="1" customHeight="1">
      <c r="A2327" s="135">
        <v>2323.0</v>
      </c>
      <c r="B2327" s="135">
        <v>25045.0</v>
      </c>
      <c r="C2327" s="135" t="s">
        <v>2817</v>
      </c>
      <c r="D2327" s="135">
        <v>34.0</v>
      </c>
      <c r="E2327" s="135" t="s">
        <v>3956</v>
      </c>
      <c r="F2327" s="135" t="s">
        <v>2186</v>
      </c>
      <c r="G2327" s="135" t="s">
        <v>105</v>
      </c>
      <c r="H2327" s="135" t="s">
        <v>2853</v>
      </c>
      <c r="I2327" s="135" t="s">
        <v>109</v>
      </c>
      <c r="J2327" s="135"/>
      <c r="K2327" s="135"/>
      <c r="L2327" s="135">
        <v>4083.0</v>
      </c>
      <c r="M2327" s="135">
        <v>1000.0</v>
      </c>
      <c r="N2327" s="135">
        <v>120.0</v>
      </c>
      <c r="O2327" s="135">
        <v>0.799</v>
      </c>
      <c r="P2327" s="136">
        <v>0.0</v>
      </c>
      <c r="Q2327" s="137">
        <v>1.9975</v>
      </c>
      <c r="R2327" s="136">
        <v>46139.0</v>
      </c>
      <c r="S2327" s="135" t="s">
        <v>3950</v>
      </c>
      <c r="T2327" s="136"/>
      <c r="U2327" s="135" t="s">
        <v>2950</v>
      </c>
      <c r="V2327" s="135" t="s">
        <v>2951</v>
      </c>
      <c r="W2327" s="135"/>
      <c r="X2327" s="135"/>
      <c r="Y2327" s="135"/>
      <c r="Z2327" s="135"/>
      <c r="AA2327" s="135"/>
      <c r="AB2327" s="135"/>
      <c r="AC2327" s="135"/>
      <c r="AD2327" s="135">
        <v>46146.0</v>
      </c>
      <c r="AE2327" s="135"/>
      <c r="AF2327" s="135"/>
      <c r="AG2327" s="135"/>
    </row>
    <row r="2328" ht="21.75" hidden="1" customHeight="1">
      <c r="A2328" s="135">
        <v>2324.0</v>
      </c>
      <c r="B2328" s="135">
        <v>25045.0</v>
      </c>
      <c r="C2328" s="135"/>
      <c r="D2328" s="135">
        <v>34.0</v>
      </c>
      <c r="E2328" s="135" t="s">
        <v>3956</v>
      </c>
      <c r="F2328" s="135" t="s">
        <v>2213</v>
      </c>
      <c r="G2328" s="135" t="s">
        <v>105</v>
      </c>
      <c r="H2328" s="135" t="s">
        <v>2965</v>
      </c>
      <c r="I2328" s="135" t="s">
        <v>109</v>
      </c>
      <c r="J2328" s="135"/>
      <c r="K2328" s="135"/>
      <c r="L2328" s="135">
        <v>400.0</v>
      </c>
      <c r="M2328" s="135">
        <v>3100.0</v>
      </c>
      <c r="N2328" s="135">
        <v>350.0</v>
      </c>
      <c r="O2328" s="135">
        <v>0.498</v>
      </c>
      <c r="P2328" s="136">
        <v>0.0</v>
      </c>
      <c r="Q2328" s="137">
        <v>1.245</v>
      </c>
      <c r="R2328" s="136">
        <v>46139.0</v>
      </c>
      <c r="S2328" s="135" t="s">
        <v>3950</v>
      </c>
      <c r="T2328" s="136"/>
      <c r="U2328" s="135" t="s">
        <v>2966</v>
      </c>
      <c r="V2328" s="135" t="s">
        <v>2967</v>
      </c>
      <c r="W2328" s="135"/>
      <c r="X2328" s="135"/>
      <c r="Y2328" s="135"/>
      <c r="Z2328" s="135"/>
      <c r="AA2328" s="135"/>
      <c r="AB2328" s="135"/>
      <c r="AC2328" s="135"/>
      <c r="AD2328" s="135">
        <v>0.0</v>
      </c>
      <c r="AE2328" s="135"/>
      <c r="AF2328" s="135"/>
      <c r="AG2328" s="135"/>
    </row>
    <row r="2329" ht="21.75" hidden="1" customHeight="1">
      <c r="A2329" s="135">
        <v>2325.0</v>
      </c>
      <c r="B2329" s="135">
        <v>25045.0</v>
      </c>
      <c r="C2329" s="135" t="s">
        <v>2817</v>
      </c>
      <c r="D2329" s="135">
        <v>34.0</v>
      </c>
      <c r="E2329" s="135" t="s">
        <v>3957</v>
      </c>
      <c r="F2329" s="135" t="s">
        <v>2216</v>
      </c>
      <c r="G2329" s="135" t="s">
        <v>105</v>
      </c>
      <c r="H2329" s="135" t="s">
        <v>2853</v>
      </c>
      <c r="I2329" s="135" t="s">
        <v>110</v>
      </c>
      <c r="J2329" s="135">
        <v>1.0</v>
      </c>
      <c r="K2329" s="135"/>
      <c r="L2329" s="135">
        <v>5713.0</v>
      </c>
      <c r="M2329" s="135">
        <v>1350.0</v>
      </c>
      <c r="N2329" s="135">
        <v>120.0</v>
      </c>
      <c r="O2329" s="135">
        <v>0.975</v>
      </c>
      <c r="P2329" s="136">
        <v>0.0</v>
      </c>
      <c r="Q2329" s="137">
        <v>2.4375</v>
      </c>
      <c r="R2329" s="136">
        <v>46139.0</v>
      </c>
      <c r="S2329" s="135" t="s">
        <v>3950</v>
      </c>
      <c r="T2329" s="136"/>
      <c r="U2329" s="135" t="s">
        <v>2855</v>
      </c>
      <c r="V2329" s="135" t="s">
        <v>2856</v>
      </c>
      <c r="W2329" s="135">
        <v>1800.0</v>
      </c>
      <c r="X2329" s="135"/>
      <c r="Y2329" s="135"/>
      <c r="Z2329" s="135"/>
      <c r="AA2329" s="135"/>
      <c r="AB2329" s="135"/>
      <c r="AC2329" s="135"/>
      <c r="AD2329" s="135" t="e">
        <v>#N/A</v>
      </c>
      <c r="AE2329" s="135"/>
      <c r="AF2329" s="135"/>
      <c r="AG2329" s="135"/>
    </row>
    <row r="2330" ht="21.75" hidden="1" customHeight="1">
      <c r="A2330" s="135">
        <v>2326.0</v>
      </c>
      <c r="B2330" s="135">
        <v>25045.0</v>
      </c>
      <c r="C2330" s="135" t="s">
        <v>2817</v>
      </c>
      <c r="D2330" s="135">
        <v>34.0</v>
      </c>
      <c r="E2330" s="135" t="s">
        <v>3957</v>
      </c>
      <c r="F2330" s="135" t="s">
        <v>2217</v>
      </c>
      <c r="G2330" s="135" t="s">
        <v>105</v>
      </c>
      <c r="H2330" s="135" t="s">
        <v>2853</v>
      </c>
      <c r="I2330" s="135" t="s">
        <v>110</v>
      </c>
      <c r="J2330" s="135">
        <v>1.0</v>
      </c>
      <c r="K2330" s="135"/>
      <c r="L2330" s="135">
        <v>5713.0</v>
      </c>
      <c r="M2330" s="135">
        <v>1350.0</v>
      </c>
      <c r="N2330" s="135">
        <v>120.0</v>
      </c>
      <c r="O2330" s="135">
        <v>0.975</v>
      </c>
      <c r="P2330" s="136">
        <v>0.0</v>
      </c>
      <c r="Q2330" s="137">
        <v>2.4375</v>
      </c>
      <c r="R2330" s="136">
        <v>46139.0</v>
      </c>
      <c r="S2330" s="135" t="s">
        <v>3950</v>
      </c>
      <c r="T2330" s="136"/>
      <c r="U2330" s="135" t="s">
        <v>2855</v>
      </c>
      <c r="V2330" s="135" t="s">
        <v>2856</v>
      </c>
      <c r="W2330" s="135">
        <v>1800.0</v>
      </c>
      <c r="X2330" s="135"/>
      <c r="Y2330" s="135"/>
      <c r="Z2330" s="135"/>
      <c r="AA2330" s="135"/>
      <c r="AB2330" s="135"/>
      <c r="AC2330" s="135"/>
      <c r="AD2330" s="135" t="e">
        <v>#N/A</v>
      </c>
      <c r="AE2330" s="135"/>
      <c r="AF2330" s="135"/>
      <c r="AG2330" s="135"/>
    </row>
    <row r="2331" ht="21.75" hidden="1" customHeight="1">
      <c r="A2331" s="135">
        <v>2327.0</v>
      </c>
      <c r="B2331" s="135">
        <v>25045.0</v>
      </c>
      <c r="C2331" s="135" t="s">
        <v>2817</v>
      </c>
      <c r="D2331" s="135">
        <v>34.0</v>
      </c>
      <c r="E2331" s="135" t="s">
        <v>3957</v>
      </c>
      <c r="F2331" s="135" t="s">
        <v>2218</v>
      </c>
      <c r="G2331" s="135" t="s">
        <v>105</v>
      </c>
      <c r="H2331" s="135" t="s">
        <v>2853</v>
      </c>
      <c r="I2331" s="135" t="s">
        <v>110</v>
      </c>
      <c r="J2331" s="135">
        <v>1.0</v>
      </c>
      <c r="K2331" s="135"/>
      <c r="L2331" s="135">
        <v>5713.0</v>
      </c>
      <c r="M2331" s="135">
        <v>1350.0</v>
      </c>
      <c r="N2331" s="135">
        <v>120.0</v>
      </c>
      <c r="O2331" s="135">
        <v>0.975</v>
      </c>
      <c r="P2331" s="136">
        <v>0.0</v>
      </c>
      <c r="Q2331" s="137">
        <v>2.4375</v>
      </c>
      <c r="R2331" s="136">
        <v>46139.0</v>
      </c>
      <c r="S2331" s="135" t="s">
        <v>3950</v>
      </c>
      <c r="T2331" s="136"/>
      <c r="U2331" s="135" t="s">
        <v>2855</v>
      </c>
      <c r="V2331" s="135" t="s">
        <v>2856</v>
      </c>
      <c r="W2331" s="135">
        <v>1800.0</v>
      </c>
      <c r="X2331" s="135"/>
      <c r="Y2331" s="135"/>
      <c r="Z2331" s="135"/>
      <c r="AA2331" s="135"/>
      <c r="AB2331" s="135"/>
      <c r="AC2331" s="135"/>
      <c r="AD2331" s="135" t="e">
        <v>#N/A</v>
      </c>
      <c r="AE2331" s="135"/>
      <c r="AF2331" s="135"/>
      <c r="AG2331" s="135"/>
    </row>
    <row r="2332" ht="21.75" hidden="1" customHeight="1">
      <c r="A2332" s="135">
        <v>2328.0</v>
      </c>
      <c r="B2332" s="135">
        <v>25045.0</v>
      </c>
      <c r="C2332" s="135" t="s">
        <v>2817</v>
      </c>
      <c r="D2332" s="135">
        <v>34.0</v>
      </c>
      <c r="E2332" s="135" t="s">
        <v>3957</v>
      </c>
      <c r="F2332" s="135" t="s">
        <v>2219</v>
      </c>
      <c r="G2332" s="135" t="s">
        <v>105</v>
      </c>
      <c r="H2332" s="135" t="s">
        <v>2853</v>
      </c>
      <c r="I2332" s="135" t="s">
        <v>110</v>
      </c>
      <c r="J2332" s="135">
        <v>1.0</v>
      </c>
      <c r="K2332" s="135"/>
      <c r="L2332" s="135">
        <v>5713.0</v>
      </c>
      <c r="M2332" s="135">
        <v>1350.0</v>
      </c>
      <c r="N2332" s="135">
        <v>120.0</v>
      </c>
      <c r="O2332" s="135">
        <v>0.975</v>
      </c>
      <c r="P2332" s="136">
        <v>0.0</v>
      </c>
      <c r="Q2332" s="137">
        <v>2.4375</v>
      </c>
      <c r="R2332" s="136">
        <v>46139.0</v>
      </c>
      <c r="S2332" s="135" t="s">
        <v>3950</v>
      </c>
      <c r="T2332" s="136"/>
      <c r="U2332" s="135" t="s">
        <v>2855</v>
      </c>
      <c r="V2332" s="135" t="s">
        <v>2856</v>
      </c>
      <c r="W2332" s="135">
        <v>1800.0</v>
      </c>
      <c r="X2332" s="135"/>
      <c r="Y2332" s="135"/>
      <c r="Z2332" s="135"/>
      <c r="AA2332" s="135"/>
      <c r="AB2332" s="135"/>
      <c r="AC2332" s="135"/>
      <c r="AD2332" s="135" t="e">
        <v>#N/A</v>
      </c>
      <c r="AE2332" s="135"/>
      <c r="AF2332" s="135"/>
      <c r="AG2332" s="135"/>
    </row>
    <row r="2333" ht="21.75" hidden="1" customHeight="1">
      <c r="A2333" s="135">
        <v>2329.0</v>
      </c>
      <c r="B2333" s="135">
        <v>25045.0</v>
      </c>
      <c r="C2333" s="135" t="s">
        <v>2817</v>
      </c>
      <c r="D2333" s="135">
        <v>34.0</v>
      </c>
      <c r="E2333" s="135" t="s">
        <v>3957</v>
      </c>
      <c r="F2333" s="135" t="s">
        <v>2220</v>
      </c>
      <c r="G2333" s="135" t="s">
        <v>105</v>
      </c>
      <c r="H2333" s="135" t="s">
        <v>2853</v>
      </c>
      <c r="I2333" s="135" t="s">
        <v>110</v>
      </c>
      <c r="J2333" s="135">
        <v>1.0</v>
      </c>
      <c r="K2333" s="135"/>
      <c r="L2333" s="135">
        <v>2305.0</v>
      </c>
      <c r="M2333" s="135">
        <v>1350.0</v>
      </c>
      <c r="N2333" s="135">
        <v>120.0</v>
      </c>
      <c r="O2333" s="135">
        <v>0.441</v>
      </c>
      <c r="P2333" s="136">
        <v>0.0</v>
      </c>
      <c r="Q2333" s="137">
        <v>1.1025</v>
      </c>
      <c r="R2333" s="136">
        <v>46139.0</v>
      </c>
      <c r="S2333" s="135" t="s">
        <v>3950</v>
      </c>
      <c r="T2333" s="136"/>
      <c r="U2333" s="135" t="s">
        <v>2864</v>
      </c>
      <c r="V2333" s="135" t="s">
        <v>2856</v>
      </c>
      <c r="W2333" s="135"/>
      <c r="X2333" s="135"/>
      <c r="Y2333" s="135"/>
      <c r="Z2333" s="135"/>
      <c r="AA2333" s="135"/>
      <c r="AB2333" s="135"/>
      <c r="AC2333" s="135"/>
      <c r="AD2333" s="135" t="e">
        <v>#N/A</v>
      </c>
      <c r="AE2333" s="135"/>
      <c r="AF2333" s="135"/>
      <c r="AG2333" s="135"/>
    </row>
    <row r="2334" ht="21.75" hidden="1" customHeight="1">
      <c r="A2334" s="135">
        <v>2330.0</v>
      </c>
      <c r="B2334" s="135">
        <v>25045.0</v>
      </c>
      <c r="C2334" s="135" t="s">
        <v>2817</v>
      </c>
      <c r="D2334" s="135">
        <v>34.0</v>
      </c>
      <c r="E2334" s="135" t="s">
        <v>3957</v>
      </c>
      <c r="F2334" s="135" t="s">
        <v>2221</v>
      </c>
      <c r="G2334" s="135" t="s">
        <v>105</v>
      </c>
      <c r="H2334" s="135" t="s">
        <v>2853</v>
      </c>
      <c r="I2334" s="135" t="s">
        <v>110</v>
      </c>
      <c r="J2334" s="135">
        <v>1.0</v>
      </c>
      <c r="K2334" s="135"/>
      <c r="L2334" s="135">
        <v>2305.0</v>
      </c>
      <c r="M2334" s="135">
        <v>1350.0</v>
      </c>
      <c r="N2334" s="135">
        <v>120.0</v>
      </c>
      <c r="O2334" s="135">
        <v>0.441</v>
      </c>
      <c r="P2334" s="136">
        <v>0.0</v>
      </c>
      <c r="Q2334" s="137">
        <v>1.1025</v>
      </c>
      <c r="R2334" s="136">
        <v>46139.0</v>
      </c>
      <c r="S2334" s="135" t="s">
        <v>3950</v>
      </c>
      <c r="T2334" s="136"/>
      <c r="U2334" s="135" t="s">
        <v>2864</v>
      </c>
      <c r="V2334" s="135" t="s">
        <v>2856</v>
      </c>
      <c r="W2334" s="135"/>
      <c r="X2334" s="135"/>
      <c r="Y2334" s="135"/>
      <c r="Z2334" s="135"/>
      <c r="AA2334" s="135"/>
      <c r="AB2334" s="135"/>
      <c r="AC2334" s="135"/>
      <c r="AD2334" s="135" t="e">
        <v>#N/A</v>
      </c>
      <c r="AE2334" s="135"/>
      <c r="AF2334" s="135"/>
      <c r="AG2334" s="135"/>
    </row>
    <row r="2335" ht="21.75" hidden="1" customHeight="1">
      <c r="A2335" s="135">
        <v>2331.0</v>
      </c>
      <c r="B2335" s="135">
        <v>25045.0</v>
      </c>
      <c r="C2335" s="135" t="s">
        <v>2817</v>
      </c>
      <c r="D2335" s="135">
        <v>34.0</v>
      </c>
      <c r="E2335" s="135" t="s">
        <v>3957</v>
      </c>
      <c r="F2335" s="135" t="s">
        <v>2222</v>
      </c>
      <c r="G2335" s="135" t="s">
        <v>105</v>
      </c>
      <c r="H2335" s="135" t="s">
        <v>2853</v>
      </c>
      <c r="I2335" s="135" t="s">
        <v>110</v>
      </c>
      <c r="J2335" s="135">
        <v>1.0</v>
      </c>
      <c r="K2335" s="135"/>
      <c r="L2335" s="135">
        <v>2305.0</v>
      </c>
      <c r="M2335" s="135">
        <v>2850.0</v>
      </c>
      <c r="N2335" s="135">
        <v>120.0</v>
      </c>
      <c r="O2335" s="135">
        <v>0.584</v>
      </c>
      <c r="P2335" s="136">
        <v>0.0</v>
      </c>
      <c r="Q2335" s="137">
        <v>1.46</v>
      </c>
      <c r="R2335" s="136">
        <v>46139.0</v>
      </c>
      <c r="S2335" s="135" t="s">
        <v>3950</v>
      </c>
      <c r="T2335" s="136"/>
      <c r="U2335" s="135" t="s">
        <v>2864</v>
      </c>
      <c r="V2335" s="135" t="s">
        <v>2856</v>
      </c>
      <c r="W2335" s="135"/>
      <c r="X2335" s="135" t="s">
        <v>3958</v>
      </c>
      <c r="Y2335" s="135"/>
      <c r="Z2335" s="135"/>
      <c r="AA2335" s="135"/>
      <c r="AB2335" s="135"/>
      <c r="AC2335" s="135"/>
      <c r="AD2335" s="135" t="e">
        <v>#N/A</v>
      </c>
      <c r="AE2335" s="135"/>
      <c r="AF2335" s="135"/>
      <c r="AG2335" s="135"/>
    </row>
    <row r="2336" ht="21.75" hidden="1" customHeight="1">
      <c r="A2336" s="135">
        <v>2332.0</v>
      </c>
      <c r="B2336" s="135">
        <v>25045.0</v>
      </c>
      <c r="C2336" s="135" t="s">
        <v>2817</v>
      </c>
      <c r="D2336" s="135">
        <v>34.0</v>
      </c>
      <c r="E2336" s="135" t="s">
        <v>3957</v>
      </c>
      <c r="F2336" s="135" t="s">
        <v>2223</v>
      </c>
      <c r="G2336" s="135" t="s">
        <v>105</v>
      </c>
      <c r="H2336" s="135" t="s">
        <v>2853</v>
      </c>
      <c r="I2336" s="135" t="s">
        <v>110</v>
      </c>
      <c r="J2336" s="135">
        <v>1.0</v>
      </c>
      <c r="K2336" s="135"/>
      <c r="L2336" s="135">
        <v>2195.0</v>
      </c>
      <c r="M2336" s="135">
        <v>3260.0</v>
      </c>
      <c r="N2336" s="135">
        <v>120.0</v>
      </c>
      <c r="O2336" s="135">
        <v>0.821</v>
      </c>
      <c r="P2336" s="136">
        <v>0.0</v>
      </c>
      <c r="Q2336" s="137">
        <v>2.0524999999999998</v>
      </c>
      <c r="R2336" s="136">
        <v>46139.0</v>
      </c>
      <c r="S2336" s="135" t="s">
        <v>3950</v>
      </c>
      <c r="T2336" s="136"/>
      <c r="U2336" s="135" t="s">
        <v>2864</v>
      </c>
      <c r="V2336" s="135" t="s">
        <v>2878</v>
      </c>
      <c r="W2336" s="135"/>
      <c r="X2336" s="135"/>
      <c r="Y2336" s="135"/>
      <c r="Z2336" s="135"/>
      <c r="AA2336" s="135"/>
      <c r="AB2336" s="135"/>
      <c r="AC2336" s="135"/>
      <c r="AD2336" s="135" t="e">
        <v>#N/A</v>
      </c>
      <c r="AE2336" s="135"/>
      <c r="AF2336" s="135"/>
      <c r="AG2336" s="135"/>
    </row>
    <row r="2337" ht="21.75" hidden="1" customHeight="1">
      <c r="A2337" s="135">
        <v>2333.0</v>
      </c>
      <c r="B2337" s="135">
        <v>25045.0</v>
      </c>
      <c r="C2337" s="135"/>
      <c r="D2337" s="135">
        <v>34.0</v>
      </c>
      <c r="E2337" s="135" t="s">
        <v>3957</v>
      </c>
      <c r="F2337" s="135" t="s">
        <v>2224</v>
      </c>
      <c r="G2337" s="135" t="s">
        <v>105</v>
      </c>
      <c r="H2337" s="135" t="s">
        <v>2853</v>
      </c>
      <c r="I2337" s="135" t="s">
        <v>110</v>
      </c>
      <c r="J2337" s="135"/>
      <c r="K2337" s="135"/>
      <c r="L2337" s="135">
        <v>3920.0</v>
      </c>
      <c r="M2337" s="135">
        <v>3500.0</v>
      </c>
      <c r="N2337" s="135">
        <v>120.0</v>
      </c>
      <c r="O2337" s="135">
        <v>2.002</v>
      </c>
      <c r="P2337" s="136">
        <v>0.0</v>
      </c>
      <c r="Q2337" s="137">
        <v>5.004999999999999</v>
      </c>
      <c r="R2337" s="136">
        <v>46139.0</v>
      </c>
      <c r="S2337" s="135" t="s">
        <v>3950</v>
      </c>
      <c r="T2337" s="136"/>
      <c r="U2337" s="135" t="s">
        <v>2864</v>
      </c>
      <c r="V2337" s="135" t="s">
        <v>2899</v>
      </c>
      <c r="W2337" s="135"/>
      <c r="X2337" s="135"/>
      <c r="Y2337" s="135"/>
      <c r="Z2337" s="135"/>
      <c r="AA2337" s="135"/>
      <c r="AB2337" s="135"/>
      <c r="AC2337" s="135"/>
      <c r="AD2337" s="135">
        <v>46151.0</v>
      </c>
      <c r="AE2337" s="135"/>
      <c r="AF2337" s="135"/>
      <c r="AG2337" s="135"/>
    </row>
    <row r="2338" ht="21.75" hidden="1" customHeight="1">
      <c r="A2338" s="135">
        <v>2334.0</v>
      </c>
      <c r="B2338" s="135">
        <v>25045.0</v>
      </c>
      <c r="C2338" s="135"/>
      <c r="D2338" s="135">
        <v>34.0</v>
      </c>
      <c r="E2338" s="135" t="s">
        <v>3957</v>
      </c>
      <c r="F2338" s="135" t="s">
        <v>2225</v>
      </c>
      <c r="G2338" s="135" t="s">
        <v>105</v>
      </c>
      <c r="H2338" s="135" t="s">
        <v>2853</v>
      </c>
      <c r="I2338" s="135" t="s">
        <v>110</v>
      </c>
      <c r="J2338" s="135"/>
      <c r="K2338" s="135"/>
      <c r="L2338" s="135">
        <v>3920.0</v>
      </c>
      <c r="M2338" s="135">
        <v>3500.0</v>
      </c>
      <c r="N2338" s="135">
        <v>120.0</v>
      </c>
      <c r="O2338" s="135">
        <v>2.002</v>
      </c>
      <c r="P2338" s="136">
        <v>0.0</v>
      </c>
      <c r="Q2338" s="137">
        <v>5.004999999999999</v>
      </c>
      <c r="R2338" s="136">
        <v>46139.0</v>
      </c>
      <c r="S2338" s="135" t="s">
        <v>3950</v>
      </c>
      <c r="T2338" s="136"/>
      <c r="U2338" s="135" t="s">
        <v>2864</v>
      </c>
      <c r="V2338" s="135" t="s">
        <v>2899</v>
      </c>
      <c r="W2338" s="135"/>
      <c r="X2338" s="135"/>
      <c r="Y2338" s="135"/>
      <c r="Z2338" s="135"/>
      <c r="AA2338" s="135"/>
      <c r="AB2338" s="135"/>
      <c r="AC2338" s="135"/>
      <c r="AD2338" s="135">
        <v>46153.0</v>
      </c>
      <c r="AE2338" s="135"/>
      <c r="AF2338" s="135"/>
      <c r="AG2338" s="135"/>
    </row>
    <row r="2339" ht="21.75" hidden="1" customHeight="1">
      <c r="A2339" s="135">
        <v>2335.0</v>
      </c>
      <c r="B2339" s="135">
        <v>25045.0</v>
      </c>
      <c r="C2339" s="135"/>
      <c r="D2339" s="135">
        <v>34.0</v>
      </c>
      <c r="E2339" s="135" t="s">
        <v>3957</v>
      </c>
      <c r="F2339" s="135" t="s">
        <v>2226</v>
      </c>
      <c r="G2339" s="135" t="s">
        <v>105</v>
      </c>
      <c r="H2339" s="135" t="s">
        <v>2853</v>
      </c>
      <c r="I2339" s="135" t="s">
        <v>110</v>
      </c>
      <c r="J2339" s="135"/>
      <c r="K2339" s="135"/>
      <c r="L2339" s="135">
        <v>3920.0</v>
      </c>
      <c r="M2339" s="135">
        <v>3500.0</v>
      </c>
      <c r="N2339" s="135">
        <v>120.0</v>
      </c>
      <c r="O2339" s="135">
        <v>2.002</v>
      </c>
      <c r="P2339" s="136">
        <v>0.0</v>
      </c>
      <c r="Q2339" s="137">
        <v>5.004999999999999</v>
      </c>
      <c r="R2339" s="136">
        <v>46139.0</v>
      </c>
      <c r="S2339" s="135" t="s">
        <v>3950</v>
      </c>
      <c r="T2339" s="136"/>
      <c r="U2339" s="135" t="s">
        <v>2864</v>
      </c>
      <c r="V2339" s="135" t="s">
        <v>2899</v>
      </c>
      <c r="W2339" s="135"/>
      <c r="X2339" s="135"/>
      <c r="Y2339" s="135"/>
      <c r="Z2339" s="135"/>
      <c r="AA2339" s="135"/>
      <c r="AB2339" s="135"/>
      <c r="AC2339" s="135"/>
      <c r="AD2339" s="135">
        <v>46154.0</v>
      </c>
      <c r="AE2339" s="135"/>
      <c r="AF2339" s="135"/>
      <c r="AG2339" s="135"/>
    </row>
    <row r="2340" ht="21.75" hidden="1" customHeight="1">
      <c r="A2340" s="135">
        <v>2336.0</v>
      </c>
      <c r="B2340" s="135">
        <v>25045.0</v>
      </c>
      <c r="C2340" s="135"/>
      <c r="D2340" s="135">
        <v>34.0</v>
      </c>
      <c r="E2340" s="135" t="s">
        <v>3957</v>
      </c>
      <c r="F2340" s="135" t="s">
        <v>2227</v>
      </c>
      <c r="G2340" s="135" t="s">
        <v>105</v>
      </c>
      <c r="H2340" s="135" t="s">
        <v>2853</v>
      </c>
      <c r="I2340" s="135" t="s">
        <v>110</v>
      </c>
      <c r="J2340" s="135"/>
      <c r="K2340" s="135"/>
      <c r="L2340" s="135">
        <v>3920.0</v>
      </c>
      <c r="M2340" s="135">
        <v>3500.0</v>
      </c>
      <c r="N2340" s="135">
        <v>120.0</v>
      </c>
      <c r="O2340" s="135">
        <v>1.666</v>
      </c>
      <c r="P2340" s="136">
        <v>0.0</v>
      </c>
      <c r="Q2340" s="137">
        <v>4.165</v>
      </c>
      <c r="R2340" s="136">
        <v>46139.0</v>
      </c>
      <c r="S2340" s="135" t="s">
        <v>3950</v>
      </c>
      <c r="T2340" s="136"/>
      <c r="U2340" s="135" t="s">
        <v>2864</v>
      </c>
      <c r="V2340" s="135" t="s">
        <v>2899</v>
      </c>
      <c r="W2340" s="135"/>
      <c r="X2340" s="135" t="s">
        <v>3764</v>
      </c>
      <c r="Y2340" s="135"/>
      <c r="Z2340" s="135"/>
      <c r="AA2340" s="135"/>
      <c r="AB2340" s="135"/>
      <c r="AC2340" s="135"/>
      <c r="AD2340" s="135">
        <v>46155.0</v>
      </c>
      <c r="AE2340" s="135"/>
      <c r="AF2340" s="135"/>
      <c r="AG2340" s="135"/>
    </row>
    <row r="2341" ht="21.75" hidden="1" customHeight="1">
      <c r="A2341" s="135">
        <v>2337.0</v>
      </c>
      <c r="B2341" s="135">
        <v>25045.0</v>
      </c>
      <c r="C2341" s="135"/>
      <c r="D2341" s="135">
        <v>34.0</v>
      </c>
      <c r="E2341" s="135" t="s">
        <v>3957</v>
      </c>
      <c r="F2341" s="135" t="s">
        <v>2228</v>
      </c>
      <c r="G2341" s="135" t="s">
        <v>105</v>
      </c>
      <c r="H2341" s="135" t="s">
        <v>2853</v>
      </c>
      <c r="I2341" s="135" t="s">
        <v>110</v>
      </c>
      <c r="J2341" s="135"/>
      <c r="K2341" s="135"/>
      <c r="L2341" s="135">
        <v>4802.0</v>
      </c>
      <c r="M2341" s="135">
        <v>3100.0</v>
      </c>
      <c r="N2341" s="135">
        <v>120.0</v>
      </c>
      <c r="O2341" s="135">
        <v>1.671</v>
      </c>
      <c r="P2341" s="136">
        <v>0.0</v>
      </c>
      <c r="Q2341" s="137">
        <v>4.1775</v>
      </c>
      <c r="R2341" s="136">
        <v>46139.0</v>
      </c>
      <c r="S2341" s="135" t="s">
        <v>3950</v>
      </c>
      <c r="T2341" s="136"/>
      <c r="U2341" s="135" t="s">
        <v>2864</v>
      </c>
      <c r="V2341" s="135" t="s">
        <v>2985</v>
      </c>
      <c r="W2341" s="135"/>
      <c r="X2341" s="135" t="s">
        <v>3959</v>
      </c>
      <c r="Y2341" s="135"/>
      <c r="Z2341" s="135"/>
      <c r="AA2341" s="135"/>
      <c r="AB2341" s="135"/>
      <c r="AC2341" s="135"/>
      <c r="AD2341" s="135">
        <v>46158.0</v>
      </c>
      <c r="AE2341" s="135"/>
      <c r="AF2341" s="135"/>
      <c r="AG2341" s="135"/>
    </row>
    <row r="2342" ht="21.75" hidden="1" customHeight="1">
      <c r="A2342" s="135">
        <v>2338.0</v>
      </c>
      <c r="B2342" s="135">
        <v>25045.0</v>
      </c>
      <c r="C2342" s="135"/>
      <c r="D2342" s="135">
        <v>34.0</v>
      </c>
      <c r="E2342" s="135" t="s">
        <v>3957</v>
      </c>
      <c r="F2342" s="135" t="s">
        <v>2229</v>
      </c>
      <c r="G2342" s="135" t="s">
        <v>105</v>
      </c>
      <c r="H2342" s="135" t="s">
        <v>2853</v>
      </c>
      <c r="I2342" s="135" t="s">
        <v>110</v>
      </c>
      <c r="J2342" s="135"/>
      <c r="K2342" s="135"/>
      <c r="L2342" s="135">
        <v>4804.0</v>
      </c>
      <c r="M2342" s="135">
        <v>3100.0</v>
      </c>
      <c r="N2342" s="135">
        <v>120.0</v>
      </c>
      <c r="O2342" s="135">
        <v>2.008</v>
      </c>
      <c r="P2342" s="136">
        <v>0.0</v>
      </c>
      <c r="Q2342" s="137">
        <v>5.02</v>
      </c>
      <c r="R2342" s="136">
        <v>46139.0</v>
      </c>
      <c r="S2342" s="135" t="s">
        <v>3950</v>
      </c>
      <c r="T2342" s="136"/>
      <c r="U2342" s="135" t="s">
        <v>2855</v>
      </c>
      <c r="V2342" s="135" t="s">
        <v>2876</v>
      </c>
      <c r="W2342" s="135">
        <v>1800.0</v>
      </c>
      <c r="X2342" s="135"/>
      <c r="Y2342" s="135"/>
      <c r="Z2342" s="135"/>
      <c r="AA2342" s="135"/>
      <c r="AB2342" s="135"/>
      <c r="AC2342" s="135"/>
      <c r="AD2342" s="135">
        <v>46154.0</v>
      </c>
      <c r="AE2342" s="135"/>
      <c r="AF2342" s="135"/>
      <c r="AG2342" s="135"/>
    </row>
    <row r="2343" ht="21.75" hidden="1" customHeight="1">
      <c r="A2343" s="135">
        <v>2339.0</v>
      </c>
      <c r="B2343" s="135">
        <v>25045.0</v>
      </c>
      <c r="C2343" s="135"/>
      <c r="D2343" s="135">
        <v>34.0</v>
      </c>
      <c r="E2343" s="135" t="s">
        <v>3957</v>
      </c>
      <c r="F2343" s="135" t="s">
        <v>2230</v>
      </c>
      <c r="G2343" s="135" t="s">
        <v>105</v>
      </c>
      <c r="H2343" s="135" t="s">
        <v>2853</v>
      </c>
      <c r="I2343" s="135" t="s">
        <v>110</v>
      </c>
      <c r="J2343" s="135"/>
      <c r="K2343" s="135"/>
      <c r="L2343" s="135">
        <v>4804.0</v>
      </c>
      <c r="M2343" s="135">
        <v>3100.0</v>
      </c>
      <c r="N2343" s="135">
        <v>120.0</v>
      </c>
      <c r="O2343" s="135">
        <v>2.008</v>
      </c>
      <c r="P2343" s="136">
        <v>0.0</v>
      </c>
      <c r="Q2343" s="137">
        <v>5.02</v>
      </c>
      <c r="R2343" s="136">
        <v>46139.0</v>
      </c>
      <c r="S2343" s="135" t="s">
        <v>3950</v>
      </c>
      <c r="T2343" s="136"/>
      <c r="U2343" s="135" t="s">
        <v>2855</v>
      </c>
      <c r="V2343" s="135" t="s">
        <v>2876</v>
      </c>
      <c r="W2343" s="135">
        <v>1800.0</v>
      </c>
      <c r="X2343" s="135"/>
      <c r="Y2343" s="135"/>
      <c r="Z2343" s="135"/>
      <c r="AA2343" s="135"/>
      <c r="AB2343" s="135"/>
      <c r="AC2343" s="135"/>
      <c r="AD2343" s="135">
        <v>46155.0</v>
      </c>
      <c r="AE2343" s="135"/>
      <c r="AF2343" s="135"/>
      <c r="AG2343" s="135"/>
    </row>
    <row r="2344" ht="21.75" hidden="1" customHeight="1">
      <c r="A2344" s="135">
        <v>2340.0</v>
      </c>
      <c r="B2344" s="135">
        <v>25045.0</v>
      </c>
      <c r="C2344" s="135"/>
      <c r="D2344" s="135">
        <v>34.0</v>
      </c>
      <c r="E2344" s="135" t="s">
        <v>3957</v>
      </c>
      <c r="F2344" s="135" t="s">
        <v>2231</v>
      </c>
      <c r="G2344" s="135" t="s">
        <v>105</v>
      </c>
      <c r="H2344" s="135" t="s">
        <v>2853</v>
      </c>
      <c r="I2344" s="135" t="s">
        <v>110</v>
      </c>
      <c r="J2344" s="135"/>
      <c r="K2344" s="135"/>
      <c r="L2344" s="135">
        <v>4804.0</v>
      </c>
      <c r="M2344" s="135">
        <v>3100.0</v>
      </c>
      <c r="N2344" s="135">
        <v>120.0</v>
      </c>
      <c r="O2344" s="135">
        <v>2.008</v>
      </c>
      <c r="P2344" s="136">
        <v>0.0</v>
      </c>
      <c r="Q2344" s="137">
        <v>5.02</v>
      </c>
      <c r="R2344" s="136">
        <v>46139.0</v>
      </c>
      <c r="S2344" s="135" t="s">
        <v>3950</v>
      </c>
      <c r="T2344" s="136"/>
      <c r="U2344" s="135" t="s">
        <v>2855</v>
      </c>
      <c r="V2344" s="135" t="s">
        <v>2876</v>
      </c>
      <c r="W2344" s="135">
        <v>1800.0</v>
      </c>
      <c r="X2344" s="135"/>
      <c r="Y2344" s="135"/>
      <c r="Z2344" s="135"/>
      <c r="AA2344" s="135"/>
      <c r="AB2344" s="135"/>
      <c r="AC2344" s="135"/>
      <c r="AD2344" s="135">
        <v>46156.0</v>
      </c>
      <c r="AE2344" s="135"/>
      <c r="AF2344" s="135"/>
      <c r="AG2344" s="135"/>
    </row>
    <row r="2345" ht="21.75" hidden="1" customHeight="1">
      <c r="A2345" s="135">
        <v>2341.0</v>
      </c>
      <c r="B2345" s="135">
        <v>25045.0</v>
      </c>
      <c r="C2345" s="135"/>
      <c r="D2345" s="135">
        <v>34.0</v>
      </c>
      <c r="E2345" s="135" t="s">
        <v>3957</v>
      </c>
      <c r="F2345" s="135" t="s">
        <v>2232</v>
      </c>
      <c r="G2345" s="135" t="s">
        <v>105</v>
      </c>
      <c r="H2345" s="135" t="s">
        <v>2853</v>
      </c>
      <c r="I2345" s="135" t="s">
        <v>110</v>
      </c>
      <c r="J2345" s="135"/>
      <c r="K2345" s="135"/>
      <c r="L2345" s="135">
        <v>4804.0</v>
      </c>
      <c r="M2345" s="135">
        <v>3100.0</v>
      </c>
      <c r="N2345" s="135">
        <v>120.0</v>
      </c>
      <c r="O2345" s="135">
        <v>2.008</v>
      </c>
      <c r="P2345" s="136">
        <v>0.0</v>
      </c>
      <c r="Q2345" s="137">
        <v>5.02</v>
      </c>
      <c r="R2345" s="136">
        <v>46139.0</v>
      </c>
      <c r="S2345" s="135" t="s">
        <v>3950</v>
      </c>
      <c r="T2345" s="136"/>
      <c r="U2345" s="135" t="s">
        <v>2855</v>
      </c>
      <c r="V2345" s="135" t="s">
        <v>2876</v>
      </c>
      <c r="W2345" s="135">
        <v>1800.0</v>
      </c>
      <c r="X2345" s="135"/>
      <c r="Y2345" s="135"/>
      <c r="Z2345" s="135"/>
      <c r="AA2345" s="135"/>
      <c r="AB2345" s="135"/>
      <c r="AC2345" s="135"/>
      <c r="AD2345" s="135">
        <v>46153.0</v>
      </c>
      <c r="AE2345" s="135"/>
      <c r="AF2345" s="135"/>
      <c r="AG2345" s="135"/>
    </row>
    <row r="2346" ht="21.75" hidden="1" customHeight="1">
      <c r="A2346" s="135">
        <v>2342.0</v>
      </c>
      <c r="B2346" s="135">
        <v>25045.0</v>
      </c>
      <c r="C2346" s="135"/>
      <c r="D2346" s="135">
        <v>34.0</v>
      </c>
      <c r="E2346" s="135" t="s">
        <v>3957</v>
      </c>
      <c r="F2346" s="135" t="s">
        <v>2233</v>
      </c>
      <c r="G2346" s="135" t="s">
        <v>105</v>
      </c>
      <c r="H2346" s="135" t="s">
        <v>2853</v>
      </c>
      <c r="I2346" s="135" t="s">
        <v>110</v>
      </c>
      <c r="J2346" s="135"/>
      <c r="K2346" s="135"/>
      <c r="L2346" s="135">
        <v>4804.0</v>
      </c>
      <c r="M2346" s="135">
        <v>3400.0</v>
      </c>
      <c r="N2346" s="135">
        <v>120.0</v>
      </c>
      <c r="O2346" s="135">
        <v>2.181</v>
      </c>
      <c r="P2346" s="136">
        <v>0.0</v>
      </c>
      <c r="Q2346" s="137">
        <v>5.452500000000001</v>
      </c>
      <c r="R2346" s="136">
        <v>46139.0</v>
      </c>
      <c r="S2346" s="135" t="s">
        <v>3950</v>
      </c>
      <c r="T2346" s="136"/>
      <c r="U2346" s="135" t="s">
        <v>2855</v>
      </c>
      <c r="V2346" s="135" t="s">
        <v>2876</v>
      </c>
      <c r="W2346" s="135">
        <v>1800.0</v>
      </c>
      <c r="X2346" s="135"/>
      <c r="Y2346" s="135"/>
      <c r="Z2346" s="135"/>
      <c r="AA2346" s="135"/>
      <c r="AB2346" s="135"/>
      <c r="AC2346" s="135"/>
      <c r="AD2346" s="135">
        <v>46154.0</v>
      </c>
      <c r="AE2346" s="135"/>
      <c r="AF2346" s="135"/>
      <c r="AG2346" s="135"/>
    </row>
    <row r="2347" ht="21.75" hidden="1" customHeight="1">
      <c r="A2347" s="135">
        <v>2343.0</v>
      </c>
      <c r="B2347" s="135">
        <v>25045.0</v>
      </c>
      <c r="C2347" s="135"/>
      <c r="D2347" s="135">
        <v>34.0</v>
      </c>
      <c r="E2347" s="135" t="s">
        <v>3957</v>
      </c>
      <c r="F2347" s="135" t="s">
        <v>2234</v>
      </c>
      <c r="G2347" s="135" t="s">
        <v>105</v>
      </c>
      <c r="H2347" s="135" t="s">
        <v>2853</v>
      </c>
      <c r="I2347" s="135" t="s">
        <v>110</v>
      </c>
      <c r="J2347" s="135"/>
      <c r="K2347" s="135"/>
      <c r="L2347" s="135">
        <v>5000.0</v>
      </c>
      <c r="M2347" s="135">
        <v>3500.0</v>
      </c>
      <c r="N2347" s="135">
        <v>120.0</v>
      </c>
      <c r="O2347" s="135">
        <v>2.672</v>
      </c>
      <c r="P2347" s="136">
        <v>0.0</v>
      </c>
      <c r="Q2347" s="137">
        <v>6.680000000000001</v>
      </c>
      <c r="R2347" s="136">
        <v>46139.0</v>
      </c>
      <c r="S2347" s="135" t="s">
        <v>3950</v>
      </c>
      <c r="T2347" s="136"/>
      <c r="U2347" s="135" t="s">
        <v>2855</v>
      </c>
      <c r="V2347" s="135" t="s">
        <v>2914</v>
      </c>
      <c r="W2347" s="135">
        <v>1800.0</v>
      </c>
      <c r="X2347" s="135"/>
      <c r="Y2347" s="135"/>
      <c r="Z2347" s="135"/>
      <c r="AA2347" s="135"/>
      <c r="AB2347" s="135"/>
      <c r="AC2347" s="135"/>
      <c r="AD2347" s="135">
        <v>0.0</v>
      </c>
      <c r="AE2347" s="135"/>
      <c r="AF2347" s="135"/>
      <c r="AG2347" s="135"/>
    </row>
    <row r="2348" ht="21.75" hidden="1" customHeight="1">
      <c r="A2348" s="135">
        <v>2344.0</v>
      </c>
      <c r="B2348" s="135">
        <v>25045.0</v>
      </c>
      <c r="C2348" s="135"/>
      <c r="D2348" s="135">
        <v>34.0</v>
      </c>
      <c r="E2348" s="135" t="s">
        <v>3957</v>
      </c>
      <c r="F2348" s="135" t="s">
        <v>2235</v>
      </c>
      <c r="G2348" s="135" t="s">
        <v>105</v>
      </c>
      <c r="H2348" s="135" t="s">
        <v>2853</v>
      </c>
      <c r="I2348" s="135" t="s">
        <v>110</v>
      </c>
      <c r="J2348" s="135"/>
      <c r="K2348" s="135"/>
      <c r="L2348" s="135">
        <v>3800.0</v>
      </c>
      <c r="M2348" s="135">
        <v>3600.0</v>
      </c>
      <c r="N2348" s="135">
        <v>300.0</v>
      </c>
      <c r="O2348" s="135">
        <v>2.638</v>
      </c>
      <c r="P2348" s="136">
        <v>0.0</v>
      </c>
      <c r="Q2348" s="137">
        <v>6.595</v>
      </c>
      <c r="R2348" s="136">
        <v>46139.0</v>
      </c>
      <c r="S2348" s="135" t="s">
        <v>3950</v>
      </c>
      <c r="T2348" s="136"/>
      <c r="U2348" s="135" t="s">
        <v>2864</v>
      </c>
      <c r="V2348" s="135" t="s">
        <v>2899</v>
      </c>
      <c r="W2348" s="135"/>
      <c r="X2348" s="135"/>
      <c r="Y2348" s="135" t="s">
        <v>2886</v>
      </c>
      <c r="Z2348" s="135"/>
      <c r="AA2348" s="135"/>
      <c r="AB2348" s="135"/>
      <c r="AC2348" s="135"/>
      <c r="AD2348" s="135">
        <v>46154.0</v>
      </c>
      <c r="AE2348" s="135"/>
      <c r="AF2348" s="135"/>
      <c r="AG2348" s="135"/>
    </row>
    <row r="2349" ht="21.75" hidden="1" customHeight="1">
      <c r="A2349" s="135">
        <v>2345.0</v>
      </c>
      <c r="B2349" s="135">
        <v>25045.0</v>
      </c>
      <c r="C2349" s="135"/>
      <c r="D2349" s="135">
        <v>34.0</v>
      </c>
      <c r="E2349" s="135" t="s">
        <v>3957</v>
      </c>
      <c r="F2349" s="135" t="s">
        <v>2236</v>
      </c>
      <c r="G2349" s="135" t="s">
        <v>105</v>
      </c>
      <c r="H2349" s="135" t="s">
        <v>2853</v>
      </c>
      <c r="I2349" s="135" t="s">
        <v>110</v>
      </c>
      <c r="J2349" s="135"/>
      <c r="K2349" s="135"/>
      <c r="L2349" s="135">
        <v>1780.0</v>
      </c>
      <c r="M2349" s="135">
        <v>1434.0</v>
      </c>
      <c r="N2349" s="135">
        <v>120.0</v>
      </c>
      <c r="O2349" s="135">
        <v>0.375</v>
      </c>
      <c r="P2349" s="136">
        <v>0.0</v>
      </c>
      <c r="Q2349" s="137">
        <v>0.9375</v>
      </c>
      <c r="R2349" s="136">
        <v>46139.0</v>
      </c>
      <c r="S2349" s="135" t="s">
        <v>3950</v>
      </c>
      <c r="T2349" s="136"/>
      <c r="U2349" s="135" t="s">
        <v>2864</v>
      </c>
      <c r="V2349" s="135" t="s">
        <v>2953</v>
      </c>
      <c r="W2349" s="135"/>
      <c r="X2349" s="135"/>
      <c r="Y2349" s="135"/>
      <c r="Z2349" s="135"/>
      <c r="AA2349" s="135"/>
      <c r="AB2349" s="135"/>
      <c r="AC2349" s="135"/>
      <c r="AD2349" s="135">
        <v>0.0</v>
      </c>
      <c r="AE2349" s="135"/>
      <c r="AF2349" s="135"/>
      <c r="AG2349" s="135"/>
    </row>
    <row r="2350" ht="21.75" hidden="1" customHeight="1">
      <c r="A2350" s="135">
        <v>2346.0</v>
      </c>
      <c r="B2350" s="135">
        <v>25045.0</v>
      </c>
      <c r="C2350" s="135"/>
      <c r="D2350" s="135">
        <v>34.0</v>
      </c>
      <c r="E2350" s="135" t="s">
        <v>3957</v>
      </c>
      <c r="F2350" s="135" t="s">
        <v>2237</v>
      </c>
      <c r="G2350" s="135" t="s">
        <v>105</v>
      </c>
      <c r="H2350" s="135" t="s">
        <v>2853</v>
      </c>
      <c r="I2350" s="135" t="s">
        <v>110</v>
      </c>
      <c r="J2350" s="135"/>
      <c r="K2350" s="135"/>
      <c r="L2350" s="135">
        <v>1780.0</v>
      </c>
      <c r="M2350" s="135">
        <v>1744.0</v>
      </c>
      <c r="N2350" s="135">
        <v>120.0</v>
      </c>
      <c r="O2350" s="135">
        <v>0.494</v>
      </c>
      <c r="P2350" s="136">
        <v>0.0</v>
      </c>
      <c r="Q2350" s="137">
        <v>1.2349999999999999</v>
      </c>
      <c r="R2350" s="136">
        <v>46139.0</v>
      </c>
      <c r="S2350" s="135" t="s">
        <v>3950</v>
      </c>
      <c r="T2350" s="136"/>
      <c r="U2350" s="135" t="s">
        <v>2864</v>
      </c>
      <c r="V2350" s="135" t="s">
        <v>2956</v>
      </c>
      <c r="W2350" s="135"/>
      <c r="X2350" s="135"/>
      <c r="Y2350" s="135"/>
      <c r="Z2350" s="135"/>
      <c r="AA2350" s="135"/>
      <c r="AB2350" s="135"/>
      <c r="AC2350" s="135"/>
      <c r="AD2350" s="135">
        <v>0.0</v>
      </c>
      <c r="AE2350" s="135"/>
      <c r="AF2350" s="135"/>
      <c r="AG2350" s="135"/>
    </row>
    <row r="2351" ht="21.75" hidden="1" customHeight="1">
      <c r="A2351" s="135">
        <v>2347.0</v>
      </c>
      <c r="B2351" s="135">
        <v>25045.0</v>
      </c>
      <c r="C2351" s="135" t="s">
        <v>2817</v>
      </c>
      <c r="D2351" s="135">
        <v>34.0</v>
      </c>
      <c r="E2351" s="135" t="s">
        <v>3957</v>
      </c>
      <c r="F2351" s="135" t="s">
        <v>2215</v>
      </c>
      <c r="G2351" s="135" t="s">
        <v>105</v>
      </c>
      <c r="H2351" s="135" t="s">
        <v>2853</v>
      </c>
      <c r="I2351" s="135" t="s">
        <v>110</v>
      </c>
      <c r="J2351" s="135"/>
      <c r="K2351" s="135"/>
      <c r="L2351" s="135">
        <v>4560.0</v>
      </c>
      <c r="M2351" s="135">
        <v>1000.0</v>
      </c>
      <c r="N2351" s="135">
        <v>120.0</v>
      </c>
      <c r="O2351" s="135">
        <v>0.845</v>
      </c>
      <c r="P2351" s="136">
        <v>0.0</v>
      </c>
      <c r="Q2351" s="137">
        <v>2.1125</v>
      </c>
      <c r="R2351" s="136">
        <v>46139.0</v>
      </c>
      <c r="S2351" s="135" t="s">
        <v>3950</v>
      </c>
      <c r="T2351" s="136"/>
      <c r="U2351" s="135" t="s">
        <v>2972</v>
      </c>
      <c r="V2351" s="135" t="s">
        <v>2951</v>
      </c>
      <c r="W2351" s="135">
        <v>1800.0</v>
      </c>
      <c r="X2351" s="135"/>
      <c r="Y2351" s="135"/>
      <c r="Z2351" s="135"/>
      <c r="AA2351" s="135"/>
      <c r="AB2351" s="135"/>
      <c r="AC2351" s="135"/>
      <c r="AD2351" s="135">
        <v>46150.0</v>
      </c>
      <c r="AE2351" s="135"/>
      <c r="AF2351" s="135"/>
      <c r="AG2351" s="135"/>
    </row>
    <row r="2352" ht="21.75" hidden="1" customHeight="1">
      <c r="A2352" s="135">
        <v>2348.0</v>
      </c>
      <c r="B2352" s="135">
        <v>25045.0</v>
      </c>
      <c r="C2352" s="135" t="s">
        <v>2817</v>
      </c>
      <c r="D2352" s="135">
        <v>34.0</v>
      </c>
      <c r="E2352" s="135" t="s">
        <v>3957</v>
      </c>
      <c r="F2352" s="135" t="s">
        <v>2214</v>
      </c>
      <c r="G2352" s="135" t="s">
        <v>105</v>
      </c>
      <c r="H2352" s="135" t="s">
        <v>2853</v>
      </c>
      <c r="I2352" s="135" t="s">
        <v>110</v>
      </c>
      <c r="J2352" s="135"/>
      <c r="K2352" s="135"/>
      <c r="L2352" s="135">
        <v>4557.0</v>
      </c>
      <c r="M2352" s="135">
        <v>1000.0</v>
      </c>
      <c r="N2352" s="135">
        <v>120.0</v>
      </c>
      <c r="O2352" s="135">
        <v>0.841</v>
      </c>
      <c r="P2352" s="136">
        <v>0.0</v>
      </c>
      <c r="Q2352" s="137">
        <v>2.1025</v>
      </c>
      <c r="R2352" s="136">
        <v>46139.0</v>
      </c>
      <c r="S2352" s="135" t="s">
        <v>3950</v>
      </c>
      <c r="T2352" s="136"/>
      <c r="U2352" s="135" t="s">
        <v>2950</v>
      </c>
      <c r="V2352" s="135" t="s">
        <v>2980</v>
      </c>
      <c r="W2352" s="135"/>
      <c r="X2352" s="135"/>
      <c r="Y2352" s="135"/>
      <c r="Z2352" s="135"/>
      <c r="AA2352" s="135"/>
      <c r="AB2352" s="135"/>
      <c r="AC2352" s="135"/>
      <c r="AD2352" s="135">
        <v>46144.0</v>
      </c>
      <c r="AE2352" s="135"/>
      <c r="AF2352" s="135"/>
      <c r="AG2352" s="135"/>
    </row>
    <row r="2353" ht="21.75" hidden="1" customHeight="1">
      <c r="A2353" s="135">
        <v>2349.0</v>
      </c>
      <c r="B2353" s="135">
        <v>25045.0</v>
      </c>
      <c r="C2353" s="135"/>
      <c r="D2353" s="135">
        <v>34.0</v>
      </c>
      <c r="E2353" s="135" t="s">
        <v>3957</v>
      </c>
      <c r="F2353" s="135" t="s">
        <v>2238</v>
      </c>
      <c r="G2353" s="135" t="s">
        <v>105</v>
      </c>
      <c r="H2353" s="135" t="s">
        <v>2965</v>
      </c>
      <c r="I2353" s="135" t="s">
        <v>110</v>
      </c>
      <c r="J2353" s="135"/>
      <c r="K2353" s="135"/>
      <c r="L2353" s="135">
        <v>400.0</v>
      </c>
      <c r="M2353" s="135">
        <v>3410.0</v>
      </c>
      <c r="N2353" s="135">
        <v>350.0</v>
      </c>
      <c r="O2353" s="135">
        <v>0.542</v>
      </c>
      <c r="P2353" s="136">
        <v>0.0</v>
      </c>
      <c r="Q2353" s="137">
        <v>1.355</v>
      </c>
      <c r="R2353" s="136">
        <v>46139.0</v>
      </c>
      <c r="S2353" s="135" t="s">
        <v>3950</v>
      </c>
      <c r="T2353" s="136"/>
      <c r="U2353" s="135" t="s">
        <v>2966</v>
      </c>
      <c r="V2353" s="135" t="s">
        <v>2967</v>
      </c>
      <c r="W2353" s="135"/>
      <c r="X2353" s="135"/>
      <c r="Y2353" s="135"/>
      <c r="Z2353" s="135"/>
      <c r="AA2353" s="135"/>
      <c r="AB2353" s="135"/>
      <c r="AC2353" s="135"/>
      <c r="AD2353" s="135">
        <v>0.0</v>
      </c>
      <c r="AE2353" s="135"/>
      <c r="AF2353" s="135"/>
      <c r="AG2353" s="135"/>
    </row>
    <row r="2354" ht="21.75" hidden="1" customHeight="1">
      <c r="A2354" s="135">
        <v>2350.0</v>
      </c>
      <c r="B2354" s="135">
        <v>25045.0</v>
      </c>
      <c r="C2354" s="135"/>
      <c r="D2354" s="135">
        <v>34.0</v>
      </c>
      <c r="E2354" s="135" t="s">
        <v>3957</v>
      </c>
      <c r="F2354" s="135" t="s">
        <v>2239</v>
      </c>
      <c r="G2354" s="135" t="s">
        <v>105</v>
      </c>
      <c r="H2354" s="135" t="s">
        <v>2965</v>
      </c>
      <c r="I2354" s="135" t="s">
        <v>110</v>
      </c>
      <c r="J2354" s="135"/>
      <c r="K2354" s="135"/>
      <c r="L2354" s="135">
        <v>350.0</v>
      </c>
      <c r="M2354" s="135">
        <v>3100.0</v>
      </c>
      <c r="N2354" s="135">
        <v>400.0</v>
      </c>
      <c r="O2354" s="135">
        <v>0.29</v>
      </c>
      <c r="P2354" s="136">
        <v>0.0</v>
      </c>
      <c r="Q2354" s="137">
        <v>0.725</v>
      </c>
      <c r="R2354" s="136">
        <v>46139.0</v>
      </c>
      <c r="S2354" s="135" t="s">
        <v>3950</v>
      </c>
      <c r="T2354" s="136"/>
      <c r="U2354" s="135" t="s">
        <v>2966</v>
      </c>
      <c r="V2354" s="135" t="s">
        <v>2967</v>
      </c>
      <c r="W2354" s="135"/>
      <c r="X2354" s="135"/>
      <c r="Y2354" s="135"/>
      <c r="Z2354" s="135"/>
      <c r="AA2354" s="135"/>
      <c r="AB2354" s="135"/>
      <c r="AC2354" s="135"/>
      <c r="AD2354" s="135">
        <v>0.0</v>
      </c>
      <c r="AE2354" s="135"/>
      <c r="AF2354" s="135"/>
      <c r="AG2354" s="135"/>
    </row>
    <row r="2355" ht="21.75" hidden="1" customHeight="1">
      <c r="A2355" s="135">
        <v>2351.0</v>
      </c>
      <c r="B2355" s="135">
        <v>25045.0</v>
      </c>
      <c r="C2355" s="135" t="s">
        <v>2817</v>
      </c>
      <c r="D2355" s="135">
        <v>34.0</v>
      </c>
      <c r="E2355" s="135" t="s">
        <v>3960</v>
      </c>
      <c r="F2355" s="135" t="s">
        <v>2241</v>
      </c>
      <c r="G2355" s="135" t="s">
        <v>105</v>
      </c>
      <c r="H2355" s="135" t="s">
        <v>2853</v>
      </c>
      <c r="I2355" s="135" t="s">
        <v>111</v>
      </c>
      <c r="J2355" s="135">
        <v>1.0</v>
      </c>
      <c r="K2355" s="135"/>
      <c r="L2355" s="135">
        <v>4172.0</v>
      </c>
      <c r="M2355" s="135">
        <v>3401.0</v>
      </c>
      <c r="N2355" s="135">
        <v>120.0</v>
      </c>
      <c r="O2355" s="135">
        <v>1.03</v>
      </c>
      <c r="P2355" s="136">
        <v>0.0</v>
      </c>
      <c r="Q2355" s="137">
        <v>2.575</v>
      </c>
      <c r="R2355" s="136">
        <v>46139.0</v>
      </c>
      <c r="S2355" s="135" t="s">
        <v>3950</v>
      </c>
      <c r="T2355" s="136"/>
      <c r="U2355" s="135" t="s">
        <v>2855</v>
      </c>
      <c r="V2355" s="135" t="s">
        <v>2856</v>
      </c>
      <c r="W2355" s="135">
        <v>1800.0</v>
      </c>
      <c r="X2355" s="135" t="s">
        <v>3961</v>
      </c>
      <c r="Y2355" s="135"/>
      <c r="Z2355" s="135"/>
      <c r="AA2355" s="135"/>
      <c r="AB2355" s="135"/>
      <c r="AC2355" s="135"/>
      <c r="AD2355" s="135" t="e">
        <v>#N/A</v>
      </c>
      <c r="AE2355" s="135"/>
      <c r="AF2355" s="135"/>
      <c r="AG2355" s="135"/>
    </row>
    <row r="2356" ht="21.75" hidden="1" customHeight="1">
      <c r="A2356" s="135">
        <v>2352.0</v>
      </c>
      <c r="B2356" s="135">
        <v>25045.0</v>
      </c>
      <c r="C2356" s="135" t="s">
        <v>2817</v>
      </c>
      <c r="D2356" s="135">
        <v>34.0</v>
      </c>
      <c r="E2356" s="135" t="s">
        <v>3960</v>
      </c>
      <c r="F2356" s="135" t="s">
        <v>2242</v>
      </c>
      <c r="G2356" s="135" t="s">
        <v>105</v>
      </c>
      <c r="H2356" s="135" t="s">
        <v>2853</v>
      </c>
      <c r="I2356" s="135" t="s">
        <v>111</v>
      </c>
      <c r="J2356" s="135">
        <v>1.0</v>
      </c>
      <c r="K2356" s="135"/>
      <c r="L2356" s="135">
        <v>4172.0</v>
      </c>
      <c r="M2356" s="135">
        <v>1350.0</v>
      </c>
      <c r="N2356" s="135">
        <v>120.0</v>
      </c>
      <c r="O2356" s="135">
        <v>0.846</v>
      </c>
      <c r="P2356" s="136">
        <v>0.0</v>
      </c>
      <c r="Q2356" s="137">
        <v>2.1149999999999998</v>
      </c>
      <c r="R2356" s="136">
        <v>46139.0</v>
      </c>
      <c r="S2356" s="135" t="s">
        <v>3950</v>
      </c>
      <c r="T2356" s="136"/>
      <c r="U2356" s="135" t="s">
        <v>2855</v>
      </c>
      <c r="V2356" s="135" t="s">
        <v>2856</v>
      </c>
      <c r="W2356" s="135">
        <v>1800.0</v>
      </c>
      <c r="X2356" s="135"/>
      <c r="Y2356" s="135"/>
      <c r="Z2356" s="135"/>
      <c r="AA2356" s="135"/>
      <c r="AB2356" s="135"/>
      <c r="AC2356" s="135"/>
      <c r="AD2356" s="135" t="e">
        <v>#N/A</v>
      </c>
      <c r="AE2356" s="135"/>
      <c r="AF2356" s="135"/>
      <c r="AG2356" s="135"/>
    </row>
    <row r="2357" ht="21.75" hidden="1" customHeight="1">
      <c r="A2357" s="135">
        <v>2353.0</v>
      </c>
      <c r="B2357" s="135">
        <v>25045.0</v>
      </c>
      <c r="C2357" s="135" t="s">
        <v>2817</v>
      </c>
      <c r="D2357" s="135">
        <v>34.0</v>
      </c>
      <c r="E2357" s="135" t="s">
        <v>3960</v>
      </c>
      <c r="F2357" s="135" t="s">
        <v>2243</v>
      </c>
      <c r="G2357" s="135" t="s">
        <v>105</v>
      </c>
      <c r="H2357" s="135" t="s">
        <v>2853</v>
      </c>
      <c r="I2357" s="135" t="s">
        <v>111</v>
      </c>
      <c r="J2357" s="135">
        <v>1.0</v>
      </c>
      <c r="K2357" s="135"/>
      <c r="L2357" s="135">
        <v>4172.0</v>
      </c>
      <c r="M2357" s="135">
        <v>1350.0</v>
      </c>
      <c r="N2357" s="135">
        <v>120.0</v>
      </c>
      <c r="O2357" s="135">
        <v>0.846</v>
      </c>
      <c r="P2357" s="136">
        <v>0.0</v>
      </c>
      <c r="Q2357" s="137">
        <v>2.1149999999999998</v>
      </c>
      <c r="R2357" s="136">
        <v>46139.0</v>
      </c>
      <c r="S2357" s="135" t="s">
        <v>3950</v>
      </c>
      <c r="T2357" s="136"/>
      <c r="U2357" s="135" t="s">
        <v>2855</v>
      </c>
      <c r="V2357" s="135" t="s">
        <v>2856</v>
      </c>
      <c r="W2357" s="135">
        <v>1800.0</v>
      </c>
      <c r="X2357" s="135"/>
      <c r="Y2357" s="135"/>
      <c r="Z2357" s="135"/>
      <c r="AA2357" s="135"/>
      <c r="AB2357" s="135"/>
      <c r="AC2357" s="135"/>
      <c r="AD2357" s="135" t="e">
        <v>#N/A</v>
      </c>
      <c r="AE2357" s="135"/>
      <c r="AF2357" s="135"/>
      <c r="AG2357" s="135"/>
    </row>
    <row r="2358" ht="21.75" hidden="1" customHeight="1">
      <c r="A2358" s="135">
        <v>2354.0</v>
      </c>
      <c r="B2358" s="135">
        <v>25045.0</v>
      </c>
      <c r="C2358" s="135" t="s">
        <v>2817</v>
      </c>
      <c r="D2358" s="135">
        <v>34.0</v>
      </c>
      <c r="E2358" s="135" t="s">
        <v>3960</v>
      </c>
      <c r="F2358" s="135" t="s">
        <v>2244</v>
      </c>
      <c r="G2358" s="135" t="s">
        <v>105</v>
      </c>
      <c r="H2358" s="135" t="s">
        <v>2853</v>
      </c>
      <c r="I2358" s="135" t="s">
        <v>111</v>
      </c>
      <c r="J2358" s="135">
        <v>1.0</v>
      </c>
      <c r="K2358" s="135"/>
      <c r="L2358" s="135">
        <v>2178.0</v>
      </c>
      <c r="M2358" s="135">
        <v>1350.0</v>
      </c>
      <c r="N2358" s="135">
        <v>120.0</v>
      </c>
      <c r="O2358" s="135">
        <v>0.428</v>
      </c>
      <c r="P2358" s="136">
        <v>0.0</v>
      </c>
      <c r="Q2358" s="137">
        <v>1.07</v>
      </c>
      <c r="R2358" s="136">
        <v>46139.0</v>
      </c>
      <c r="S2358" s="135" t="s">
        <v>3950</v>
      </c>
      <c r="T2358" s="136"/>
      <c r="U2358" s="135" t="s">
        <v>2864</v>
      </c>
      <c r="V2358" s="135" t="s">
        <v>2856</v>
      </c>
      <c r="W2358" s="135"/>
      <c r="X2358" s="135"/>
      <c r="Y2358" s="135"/>
      <c r="Z2358" s="135"/>
      <c r="AA2358" s="135"/>
      <c r="AB2358" s="135"/>
      <c r="AC2358" s="135"/>
      <c r="AD2358" s="135" t="e">
        <v>#N/A</v>
      </c>
      <c r="AE2358" s="135"/>
      <c r="AF2358" s="135"/>
      <c r="AG2358" s="135"/>
    </row>
    <row r="2359" ht="21.75" hidden="1" customHeight="1">
      <c r="A2359" s="135">
        <v>2355.0</v>
      </c>
      <c r="B2359" s="135">
        <v>25045.0</v>
      </c>
      <c r="C2359" s="135" t="s">
        <v>2817</v>
      </c>
      <c r="D2359" s="135">
        <v>34.0</v>
      </c>
      <c r="E2359" s="135" t="s">
        <v>3960</v>
      </c>
      <c r="F2359" s="135" t="s">
        <v>2245</v>
      </c>
      <c r="G2359" s="135" t="s">
        <v>105</v>
      </c>
      <c r="H2359" s="135" t="s">
        <v>2853</v>
      </c>
      <c r="I2359" s="135" t="s">
        <v>111</v>
      </c>
      <c r="J2359" s="135">
        <v>1.0</v>
      </c>
      <c r="K2359" s="135"/>
      <c r="L2359" s="135">
        <v>2595.0</v>
      </c>
      <c r="M2359" s="135">
        <v>2850.0</v>
      </c>
      <c r="N2359" s="135">
        <v>120.0</v>
      </c>
      <c r="O2359" s="135">
        <v>0.915</v>
      </c>
      <c r="P2359" s="136">
        <v>0.0</v>
      </c>
      <c r="Q2359" s="137">
        <v>2.2875</v>
      </c>
      <c r="R2359" s="136">
        <v>46139.0</v>
      </c>
      <c r="S2359" s="135" t="s">
        <v>3950</v>
      </c>
      <c r="T2359" s="136"/>
      <c r="U2359" s="135" t="s">
        <v>2864</v>
      </c>
      <c r="V2359" s="135" t="s">
        <v>2878</v>
      </c>
      <c r="W2359" s="135"/>
      <c r="X2359" s="135"/>
      <c r="Y2359" s="135"/>
      <c r="Z2359" s="135"/>
      <c r="AA2359" s="135"/>
      <c r="AB2359" s="135"/>
      <c r="AC2359" s="135"/>
      <c r="AD2359" s="135" t="e">
        <v>#N/A</v>
      </c>
      <c r="AE2359" s="135"/>
      <c r="AF2359" s="135"/>
      <c r="AG2359" s="135"/>
    </row>
    <row r="2360" ht="21.75" hidden="1" customHeight="1">
      <c r="A2360" s="135">
        <v>2356.0</v>
      </c>
      <c r="B2360" s="135">
        <v>25045.0</v>
      </c>
      <c r="C2360" s="135" t="s">
        <v>2817</v>
      </c>
      <c r="D2360" s="135">
        <v>34.0</v>
      </c>
      <c r="E2360" s="135" t="s">
        <v>3960</v>
      </c>
      <c r="F2360" s="135" t="s">
        <v>2246</v>
      </c>
      <c r="G2360" s="135" t="s">
        <v>105</v>
      </c>
      <c r="H2360" s="135" t="s">
        <v>2853</v>
      </c>
      <c r="I2360" s="135" t="s">
        <v>111</v>
      </c>
      <c r="J2360" s="135">
        <v>1.0</v>
      </c>
      <c r="K2360" s="135"/>
      <c r="L2360" s="135">
        <v>2595.0</v>
      </c>
      <c r="M2360" s="135">
        <v>2850.0</v>
      </c>
      <c r="N2360" s="135">
        <v>120.0</v>
      </c>
      <c r="O2360" s="135">
        <v>0.915</v>
      </c>
      <c r="P2360" s="136">
        <v>0.0</v>
      </c>
      <c r="Q2360" s="137">
        <v>2.2875</v>
      </c>
      <c r="R2360" s="136">
        <v>46139.0</v>
      </c>
      <c r="S2360" s="135" t="s">
        <v>3950</v>
      </c>
      <c r="T2360" s="136"/>
      <c r="U2360" s="135" t="s">
        <v>2864</v>
      </c>
      <c r="V2360" s="135" t="s">
        <v>2878</v>
      </c>
      <c r="W2360" s="135"/>
      <c r="X2360" s="135"/>
      <c r="Y2360" s="135"/>
      <c r="Z2360" s="135"/>
      <c r="AA2360" s="135"/>
      <c r="AB2360" s="135"/>
      <c r="AC2360" s="135"/>
      <c r="AD2360" s="135" t="e">
        <v>#N/A</v>
      </c>
      <c r="AE2360" s="135"/>
      <c r="AF2360" s="135"/>
      <c r="AG2360" s="135"/>
    </row>
    <row r="2361" ht="21.75" hidden="1" customHeight="1">
      <c r="A2361" s="135">
        <v>2357.0</v>
      </c>
      <c r="B2361" s="135">
        <v>25045.0</v>
      </c>
      <c r="C2361" s="135"/>
      <c r="D2361" s="135">
        <v>34.0</v>
      </c>
      <c r="E2361" s="135" t="s">
        <v>3960</v>
      </c>
      <c r="F2361" s="135" t="s">
        <v>2247</v>
      </c>
      <c r="G2361" s="135" t="s">
        <v>105</v>
      </c>
      <c r="H2361" s="135" t="s">
        <v>2853</v>
      </c>
      <c r="I2361" s="135" t="s">
        <v>111</v>
      </c>
      <c r="J2361" s="135"/>
      <c r="K2361" s="135"/>
      <c r="L2361" s="135">
        <v>1985.0</v>
      </c>
      <c r="M2361" s="135">
        <v>3510.0</v>
      </c>
      <c r="N2361" s="135">
        <v>120.0</v>
      </c>
      <c r="O2361" s="135">
        <v>1.194</v>
      </c>
      <c r="P2361" s="136">
        <v>0.0</v>
      </c>
      <c r="Q2361" s="137">
        <v>2.985</v>
      </c>
      <c r="R2361" s="136">
        <v>46139.0</v>
      </c>
      <c r="S2361" s="135" t="s">
        <v>3950</v>
      </c>
      <c r="T2361" s="136"/>
      <c r="U2361" s="135" t="s">
        <v>2864</v>
      </c>
      <c r="V2361" s="135" t="s">
        <v>3041</v>
      </c>
      <c r="W2361" s="135"/>
      <c r="X2361" s="135"/>
      <c r="Y2361" s="135"/>
      <c r="Z2361" s="135"/>
      <c r="AA2361" s="135"/>
      <c r="AB2361" s="135"/>
      <c r="AC2361" s="135"/>
      <c r="AD2361" s="135">
        <v>0.0</v>
      </c>
      <c r="AE2361" s="135"/>
      <c r="AF2361" s="135"/>
      <c r="AG2361" s="135"/>
    </row>
    <row r="2362" ht="21.75" hidden="1" customHeight="1">
      <c r="A2362" s="135">
        <v>2358.0</v>
      </c>
      <c r="B2362" s="135">
        <v>25045.0</v>
      </c>
      <c r="C2362" s="135"/>
      <c r="D2362" s="135">
        <v>34.0</v>
      </c>
      <c r="E2362" s="135" t="s">
        <v>3960</v>
      </c>
      <c r="F2362" s="135" t="s">
        <v>2248</v>
      </c>
      <c r="G2362" s="135" t="s">
        <v>105</v>
      </c>
      <c r="H2362" s="135" t="s">
        <v>2853</v>
      </c>
      <c r="I2362" s="135" t="s">
        <v>111</v>
      </c>
      <c r="J2362" s="135"/>
      <c r="K2362" s="135"/>
      <c r="L2362" s="135">
        <v>3813.0</v>
      </c>
      <c r="M2362" s="135">
        <v>3500.0</v>
      </c>
      <c r="N2362" s="135">
        <v>120.0</v>
      </c>
      <c r="O2362" s="135">
        <v>1.613</v>
      </c>
      <c r="P2362" s="136">
        <v>0.0</v>
      </c>
      <c r="Q2362" s="137">
        <v>4.0325</v>
      </c>
      <c r="R2362" s="136">
        <v>46139.0</v>
      </c>
      <c r="S2362" s="135" t="s">
        <v>3950</v>
      </c>
      <c r="T2362" s="136"/>
      <c r="U2362" s="135" t="s">
        <v>2864</v>
      </c>
      <c r="V2362" s="135" t="s">
        <v>2899</v>
      </c>
      <c r="W2362" s="135"/>
      <c r="X2362" s="135" t="s">
        <v>3962</v>
      </c>
      <c r="Y2362" s="135"/>
      <c r="Z2362" s="135"/>
      <c r="AA2362" s="135"/>
      <c r="AB2362" s="135"/>
      <c r="AC2362" s="135"/>
      <c r="AD2362" s="135">
        <v>0.0</v>
      </c>
      <c r="AE2362" s="135"/>
      <c r="AF2362" s="135"/>
      <c r="AG2362" s="135"/>
    </row>
    <row r="2363" ht="21.75" hidden="1" customHeight="1">
      <c r="A2363" s="135">
        <v>2359.0</v>
      </c>
      <c r="B2363" s="135">
        <v>25045.0</v>
      </c>
      <c r="C2363" s="135"/>
      <c r="D2363" s="135">
        <v>34.0</v>
      </c>
      <c r="E2363" s="135" t="s">
        <v>3960</v>
      </c>
      <c r="F2363" s="135" t="s">
        <v>2249</v>
      </c>
      <c r="G2363" s="135" t="s">
        <v>105</v>
      </c>
      <c r="H2363" s="135" t="s">
        <v>2853</v>
      </c>
      <c r="I2363" s="135" t="s">
        <v>111</v>
      </c>
      <c r="J2363" s="135"/>
      <c r="K2363" s="135"/>
      <c r="L2363" s="135">
        <v>3813.0</v>
      </c>
      <c r="M2363" s="135">
        <v>3500.0</v>
      </c>
      <c r="N2363" s="135">
        <v>120.0</v>
      </c>
      <c r="O2363" s="135">
        <v>1.968</v>
      </c>
      <c r="P2363" s="136">
        <v>0.0</v>
      </c>
      <c r="Q2363" s="137">
        <v>4.92</v>
      </c>
      <c r="R2363" s="136">
        <v>46139.0</v>
      </c>
      <c r="S2363" s="135" t="s">
        <v>3950</v>
      </c>
      <c r="T2363" s="136"/>
      <c r="U2363" s="135" t="s">
        <v>2864</v>
      </c>
      <c r="V2363" s="135" t="s">
        <v>2899</v>
      </c>
      <c r="W2363" s="135"/>
      <c r="X2363" s="135"/>
      <c r="Y2363" s="135"/>
      <c r="Z2363" s="135"/>
      <c r="AA2363" s="135"/>
      <c r="AB2363" s="135"/>
      <c r="AC2363" s="135"/>
      <c r="AD2363" s="135">
        <v>0.0</v>
      </c>
      <c r="AE2363" s="135"/>
      <c r="AF2363" s="135"/>
      <c r="AG2363" s="135"/>
    </row>
    <row r="2364" ht="21.75" hidden="1" customHeight="1">
      <c r="A2364" s="135">
        <v>2360.0</v>
      </c>
      <c r="B2364" s="135">
        <v>25045.0</v>
      </c>
      <c r="C2364" s="135"/>
      <c r="D2364" s="135">
        <v>34.0</v>
      </c>
      <c r="E2364" s="135" t="s">
        <v>3960</v>
      </c>
      <c r="F2364" s="135" t="s">
        <v>2250</v>
      </c>
      <c r="G2364" s="135" t="s">
        <v>105</v>
      </c>
      <c r="H2364" s="135" t="s">
        <v>2853</v>
      </c>
      <c r="I2364" s="135" t="s">
        <v>111</v>
      </c>
      <c r="J2364" s="135"/>
      <c r="K2364" s="135"/>
      <c r="L2364" s="135">
        <v>3813.0</v>
      </c>
      <c r="M2364" s="135">
        <v>3500.0</v>
      </c>
      <c r="N2364" s="135">
        <v>120.0</v>
      </c>
      <c r="O2364" s="135">
        <v>1.968</v>
      </c>
      <c r="P2364" s="136">
        <v>0.0</v>
      </c>
      <c r="Q2364" s="137">
        <v>4.92</v>
      </c>
      <c r="R2364" s="136">
        <v>46139.0</v>
      </c>
      <c r="S2364" s="135" t="s">
        <v>3950</v>
      </c>
      <c r="T2364" s="136"/>
      <c r="U2364" s="135" t="s">
        <v>2864</v>
      </c>
      <c r="V2364" s="135" t="s">
        <v>2899</v>
      </c>
      <c r="W2364" s="135"/>
      <c r="X2364" s="135"/>
      <c r="Y2364" s="135"/>
      <c r="Z2364" s="135"/>
      <c r="AA2364" s="135"/>
      <c r="AB2364" s="135"/>
      <c r="AC2364" s="135"/>
      <c r="AD2364" s="135">
        <v>0.0</v>
      </c>
      <c r="AE2364" s="135"/>
      <c r="AF2364" s="135"/>
      <c r="AG2364" s="135"/>
    </row>
    <row r="2365" ht="21.75" hidden="1" customHeight="1">
      <c r="A2365" s="135">
        <v>2361.0</v>
      </c>
      <c r="B2365" s="135">
        <v>25045.0</v>
      </c>
      <c r="C2365" s="135"/>
      <c r="D2365" s="135">
        <v>34.0</v>
      </c>
      <c r="E2365" s="135" t="s">
        <v>3960</v>
      </c>
      <c r="F2365" s="135" t="s">
        <v>2251</v>
      </c>
      <c r="G2365" s="135" t="s">
        <v>105</v>
      </c>
      <c r="H2365" s="135" t="s">
        <v>2853</v>
      </c>
      <c r="I2365" s="135" t="s">
        <v>111</v>
      </c>
      <c r="J2365" s="135"/>
      <c r="K2365" s="135"/>
      <c r="L2365" s="135">
        <v>3813.0</v>
      </c>
      <c r="M2365" s="135">
        <v>3500.0</v>
      </c>
      <c r="N2365" s="135">
        <v>120.0</v>
      </c>
      <c r="O2365" s="135">
        <v>1.968</v>
      </c>
      <c r="P2365" s="136">
        <v>0.0</v>
      </c>
      <c r="Q2365" s="137">
        <v>4.92</v>
      </c>
      <c r="R2365" s="136">
        <v>46139.0</v>
      </c>
      <c r="S2365" s="135" t="s">
        <v>3950</v>
      </c>
      <c r="T2365" s="136"/>
      <c r="U2365" s="135" t="s">
        <v>2864</v>
      </c>
      <c r="V2365" s="135" t="s">
        <v>2899</v>
      </c>
      <c r="W2365" s="135"/>
      <c r="X2365" s="135"/>
      <c r="Y2365" s="135"/>
      <c r="Z2365" s="135"/>
      <c r="AA2365" s="135"/>
      <c r="AB2365" s="135"/>
      <c r="AC2365" s="135"/>
      <c r="AD2365" s="135">
        <v>0.0</v>
      </c>
      <c r="AE2365" s="135"/>
      <c r="AF2365" s="135"/>
      <c r="AG2365" s="135"/>
    </row>
    <row r="2366" ht="21.75" hidden="1" customHeight="1">
      <c r="A2366" s="135">
        <v>2362.0</v>
      </c>
      <c r="B2366" s="135">
        <v>25045.0</v>
      </c>
      <c r="C2366" s="135"/>
      <c r="D2366" s="135">
        <v>34.0</v>
      </c>
      <c r="E2366" s="135" t="s">
        <v>3960</v>
      </c>
      <c r="F2366" s="135" t="s">
        <v>2252</v>
      </c>
      <c r="G2366" s="135" t="s">
        <v>105</v>
      </c>
      <c r="H2366" s="135" t="s">
        <v>2853</v>
      </c>
      <c r="I2366" s="135" t="s">
        <v>111</v>
      </c>
      <c r="J2366" s="135"/>
      <c r="K2366" s="135"/>
      <c r="L2366" s="135">
        <v>4612.0</v>
      </c>
      <c r="M2366" s="135">
        <v>3400.0</v>
      </c>
      <c r="N2366" s="135">
        <v>120.0</v>
      </c>
      <c r="O2366" s="135">
        <v>2.257</v>
      </c>
      <c r="P2366" s="136">
        <v>0.0</v>
      </c>
      <c r="Q2366" s="137">
        <v>5.6425</v>
      </c>
      <c r="R2366" s="136">
        <v>46139.0</v>
      </c>
      <c r="S2366" s="135" t="s">
        <v>3950</v>
      </c>
      <c r="T2366" s="136"/>
      <c r="U2366" s="135" t="s">
        <v>2855</v>
      </c>
      <c r="V2366" s="135" t="s">
        <v>2878</v>
      </c>
      <c r="W2366" s="135">
        <v>1800.0</v>
      </c>
      <c r="X2366" s="135"/>
      <c r="Y2366" s="135"/>
      <c r="Z2366" s="135"/>
      <c r="AA2366" s="135"/>
      <c r="AB2366" s="135"/>
      <c r="AC2366" s="135"/>
      <c r="AD2366" s="135">
        <v>46156.0</v>
      </c>
      <c r="AE2366" s="135"/>
      <c r="AF2366" s="135"/>
      <c r="AG2366" s="135"/>
    </row>
    <row r="2367" ht="21.75" hidden="1" customHeight="1">
      <c r="A2367" s="135">
        <v>2363.0</v>
      </c>
      <c r="B2367" s="135">
        <v>25045.0</v>
      </c>
      <c r="C2367" s="135"/>
      <c r="D2367" s="135">
        <v>34.0</v>
      </c>
      <c r="E2367" s="135" t="s">
        <v>3960</v>
      </c>
      <c r="F2367" s="135" t="s">
        <v>2253</v>
      </c>
      <c r="G2367" s="135" t="s">
        <v>105</v>
      </c>
      <c r="H2367" s="135" t="s">
        <v>2853</v>
      </c>
      <c r="I2367" s="135" t="s">
        <v>111</v>
      </c>
      <c r="J2367" s="135"/>
      <c r="K2367" s="135"/>
      <c r="L2367" s="135">
        <v>4612.0</v>
      </c>
      <c r="M2367" s="135">
        <v>3400.0</v>
      </c>
      <c r="N2367" s="135">
        <v>120.0</v>
      </c>
      <c r="O2367" s="135">
        <v>2.257</v>
      </c>
      <c r="P2367" s="136">
        <v>0.0</v>
      </c>
      <c r="Q2367" s="137">
        <v>5.6425</v>
      </c>
      <c r="R2367" s="136">
        <v>46139.0</v>
      </c>
      <c r="S2367" s="135" t="s">
        <v>3950</v>
      </c>
      <c r="T2367" s="136"/>
      <c r="U2367" s="135" t="s">
        <v>2855</v>
      </c>
      <c r="V2367" s="135" t="s">
        <v>2878</v>
      </c>
      <c r="W2367" s="135">
        <v>1800.0</v>
      </c>
      <c r="X2367" s="135"/>
      <c r="Y2367" s="135"/>
      <c r="Z2367" s="135"/>
      <c r="AA2367" s="135"/>
      <c r="AB2367" s="135"/>
      <c r="AC2367" s="135"/>
      <c r="AD2367" s="135">
        <v>46157.0</v>
      </c>
      <c r="AE2367" s="135"/>
      <c r="AF2367" s="135"/>
      <c r="AG2367" s="135"/>
    </row>
    <row r="2368" ht="21.75" hidden="1" customHeight="1">
      <c r="A2368" s="135">
        <v>2364.0</v>
      </c>
      <c r="B2368" s="135">
        <v>25045.0</v>
      </c>
      <c r="C2368" s="135"/>
      <c r="D2368" s="135">
        <v>34.0</v>
      </c>
      <c r="E2368" s="135" t="s">
        <v>3960</v>
      </c>
      <c r="F2368" s="135" t="s">
        <v>2254</v>
      </c>
      <c r="G2368" s="135" t="s">
        <v>105</v>
      </c>
      <c r="H2368" s="135" t="s">
        <v>2853</v>
      </c>
      <c r="I2368" s="135" t="s">
        <v>111</v>
      </c>
      <c r="J2368" s="135"/>
      <c r="K2368" s="135"/>
      <c r="L2368" s="135">
        <v>4612.0</v>
      </c>
      <c r="M2368" s="135">
        <v>3400.0</v>
      </c>
      <c r="N2368" s="135">
        <v>120.0</v>
      </c>
      <c r="O2368" s="135">
        <v>2.257</v>
      </c>
      <c r="P2368" s="136">
        <v>0.0</v>
      </c>
      <c r="Q2368" s="137">
        <v>5.6425</v>
      </c>
      <c r="R2368" s="136">
        <v>46139.0</v>
      </c>
      <c r="S2368" s="135" t="s">
        <v>3950</v>
      </c>
      <c r="T2368" s="136"/>
      <c r="U2368" s="135" t="s">
        <v>2855</v>
      </c>
      <c r="V2368" s="135" t="s">
        <v>2878</v>
      </c>
      <c r="W2368" s="135">
        <v>1800.0</v>
      </c>
      <c r="X2368" s="135"/>
      <c r="Y2368" s="135"/>
      <c r="Z2368" s="135"/>
      <c r="AA2368" s="135"/>
      <c r="AB2368" s="135"/>
      <c r="AC2368" s="135"/>
      <c r="AD2368" s="135">
        <v>46153.0</v>
      </c>
      <c r="AE2368" s="135"/>
      <c r="AF2368" s="135"/>
      <c r="AG2368" s="135"/>
    </row>
    <row r="2369" ht="21.75" hidden="1" customHeight="1">
      <c r="A2369" s="135">
        <v>2365.0</v>
      </c>
      <c r="B2369" s="135">
        <v>25045.0</v>
      </c>
      <c r="C2369" s="135"/>
      <c r="D2369" s="135">
        <v>34.0</v>
      </c>
      <c r="E2369" s="135" t="s">
        <v>3960</v>
      </c>
      <c r="F2369" s="135" t="s">
        <v>2255</v>
      </c>
      <c r="G2369" s="135" t="s">
        <v>105</v>
      </c>
      <c r="H2369" s="135" t="s">
        <v>2853</v>
      </c>
      <c r="I2369" s="135" t="s">
        <v>111</v>
      </c>
      <c r="J2369" s="135"/>
      <c r="K2369" s="135"/>
      <c r="L2369" s="135">
        <v>4612.0</v>
      </c>
      <c r="M2369" s="135">
        <v>3400.0</v>
      </c>
      <c r="N2369" s="135">
        <v>120.0</v>
      </c>
      <c r="O2369" s="135">
        <v>2.257</v>
      </c>
      <c r="P2369" s="136">
        <v>0.0</v>
      </c>
      <c r="Q2369" s="137">
        <v>5.6425</v>
      </c>
      <c r="R2369" s="136">
        <v>46139.0</v>
      </c>
      <c r="S2369" s="135" t="s">
        <v>3950</v>
      </c>
      <c r="T2369" s="136"/>
      <c r="U2369" s="135" t="s">
        <v>2855</v>
      </c>
      <c r="V2369" s="135" t="s">
        <v>2878</v>
      </c>
      <c r="W2369" s="135">
        <v>1800.0</v>
      </c>
      <c r="X2369" s="135"/>
      <c r="Y2369" s="135"/>
      <c r="Z2369" s="135"/>
      <c r="AA2369" s="135"/>
      <c r="AB2369" s="135"/>
      <c r="AC2369" s="135"/>
      <c r="AD2369" s="135">
        <v>46154.0</v>
      </c>
      <c r="AE2369" s="135"/>
      <c r="AF2369" s="135"/>
      <c r="AG2369" s="135"/>
    </row>
    <row r="2370" ht="21.75" hidden="1" customHeight="1">
      <c r="A2370" s="135">
        <v>2366.0</v>
      </c>
      <c r="B2370" s="135">
        <v>25045.0</v>
      </c>
      <c r="C2370" s="135"/>
      <c r="D2370" s="135">
        <v>34.0</v>
      </c>
      <c r="E2370" s="135" t="s">
        <v>3960</v>
      </c>
      <c r="F2370" s="135" t="s">
        <v>2256</v>
      </c>
      <c r="G2370" s="135" t="s">
        <v>105</v>
      </c>
      <c r="H2370" s="135" t="s">
        <v>2853</v>
      </c>
      <c r="I2370" s="135" t="s">
        <v>111</v>
      </c>
      <c r="J2370" s="135"/>
      <c r="K2370" s="135"/>
      <c r="L2370" s="135">
        <v>4612.0</v>
      </c>
      <c r="M2370" s="135">
        <v>3400.0</v>
      </c>
      <c r="N2370" s="135">
        <v>120.0</v>
      </c>
      <c r="O2370" s="135">
        <v>2.257</v>
      </c>
      <c r="P2370" s="136">
        <v>0.0</v>
      </c>
      <c r="Q2370" s="137">
        <v>5.6425</v>
      </c>
      <c r="R2370" s="136">
        <v>46139.0</v>
      </c>
      <c r="S2370" s="135" t="s">
        <v>3950</v>
      </c>
      <c r="T2370" s="136"/>
      <c r="U2370" s="135" t="s">
        <v>2855</v>
      </c>
      <c r="V2370" s="135" t="s">
        <v>2878</v>
      </c>
      <c r="W2370" s="135">
        <v>1800.0</v>
      </c>
      <c r="X2370" s="135"/>
      <c r="Y2370" s="135"/>
      <c r="Z2370" s="135"/>
      <c r="AA2370" s="135"/>
      <c r="AB2370" s="135"/>
      <c r="AC2370" s="135"/>
      <c r="AD2370" s="135">
        <v>46155.0</v>
      </c>
      <c r="AE2370" s="135"/>
      <c r="AF2370" s="135"/>
      <c r="AG2370" s="135"/>
    </row>
    <row r="2371" ht="21.75" hidden="1" customHeight="1">
      <c r="A2371" s="135">
        <v>2367.0</v>
      </c>
      <c r="B2371" s="135">
        <v>25045.0</v>
      </c>
      <c r="C2371" s="135"/>
      <c r="D2371" s="135">
        <v>34.0</v>
      </c>
      <c r="E2371" s="135" t="s">
        <v>3960</v>
      </c>
      <c r="F2371" s="135" t="s">
        <v>2257</v>
      </c>
      <c r="G2371" s="135" t="s">
        <v>105</v>
      </c>
      <c r="H2371" s="135" t="s">
        <v>2853</v>
      </c>
      <c r="I2371" s="135" t="s">
        <v>111</v>
      </c>
      <c r="J2371" s="135"/>
      <c r="K2371" s="135"/>
      <c r="L2371" s="135">
        <v>4613.0</v>
      </c>
      <c r="M2371" s="135">
        <v>3400.0</v>
      </c>
      <c r="N2371" s="135">
        <v>120.0</v>
      </c>
      <c r="O2371" s="135">
        <v>1.92</v>
      </c>
      <c r="P2371" s="136">
        <v>0.0</v>
      </c>
      <c r="Q2371" s="137">
        <v>4.8</v>
      </c>
      <c r="R2371" s="136">
        <v>46139.0</v>
      </c>
      <c r="S2371" s="135" t="s">
        <v>3950</v>
      </c>
      <c r="T2371" s="136"/>
      <c r="U2371" s="135" t="s">
        <v>2864</v>
      </c>
      <c r="V2371" s="135" t="s">
        <v>2890</v>
      </c>
      <c r="W2371" s="135"/>
      <c r="X2371" s="135" t="s">
        <v>3963</v>
      </c>
      <c r="Y2371" s="135"/>
      <c r="Z2371" s="135"/>
      <c r="AA2371" s="135"/>
      <c r="AB2371" s="135"/>
      <c r="AC2371" s="135"/>
      <c r="AD2371" s="135">
        <v>0.0</v>
      </c>
      <c r="AE2371" s="135"/>
      <c r="AF2371" s="135"/>
      <c r="AG2371" s="135"/>
    </row>
    <row r="2372" ht="21.75" hidden="1" customHeight="1">
      <c r="A2372" s="135">
        <v>2368.0</v>
      </c>
      <c r="B2372" s="135">
        <v>25045.0</v>
      </c>
      <c r="C2372" s="135"/>
      <c r="D2372" s="135">
        <v>34.0</v>
      </c>
      <c r="E2372" s="135" t="s">
        <v>3960</v>
      </c>
      <c r="F2372" s="135" t="s">
        <v>2258</v>
      </c>
      <c r="G2372" s="135" t="s">
        <v>105</v>
      </c>
      <c r="H2372" s="135" t="s">
        <v>2853</v>
      </c>
      <c r="I2372" s="135" t="s">
        <v>111</v>
      </c>
      <c r="J2372" s="135"/>
      <c r="K2372" s="135"/>
      <c r="L2372" s="135">
        <v>5000.0</v>
      </c>
      <c r="M2372" s="135">
        <v>3500.0</v>
      </c>
      <c r="N2372" s="135">
        <v>120.0</v>
      </c>
      <c r="O2372" s="135">
        <v>2.672</v>
      </c>
      <c r="P2372" s="136">
        <v>0.0</v>
      </c>
      <c r="Q2372" s="137">
        <v>6.680000000000001</v>
      </c>
      <c r="R2372" s="136">
        <v>46139.0</v>
      </c>
      <c r="S2372" s="135" t="s">
        <v>3950</v>
      </c>
      <c r="T2372" s="136"/>
      <c r="U2372" s="135" t="s">
        <v>2855</v>
      </c>
      <c r="V2372" s="135" t="s">
        <v>2914</v>
      </c>
      <c r="W2372" s="135">
        <v>2500.0</v>
      </c>
      <c r="X2372" s="135"/>
      <c r="Y2372" s="135"/>
      <c r="Z2372" s="135"/>
      <c r="AA2372" s="135"/>
      <c r="AB2372" s="135"/>
      <c r="AC2372" s="135"/>
      <c r="AD2372" s="135">
        <v>0.0</v>
      </c>
      <c r="AE2372" s="135"/>
      <c r="AF2372" s="135"/>
      <c r="AG2372" s="135"/>
    </row>
    <row r="2373" ht="21.75" hidden="1" customHeight="1">
      <c r="A2373" s="135">
        <v>2369.0</v>
      </c>
      <c r="B2373" s="135">
        <v>25045.0</v>
      </c>
      <c r="C2373" s="135"/>
      <c r="D2373" s="135">
        <v>34.0</v>
      </c>
      <c r="E2373" s="135" t="s">
        <v>3960</v>
      </c>
      <c r="F2373" s="135" t="s">
        <v>2259</v>
      </c>
      <c r="G2373" s="135" t="s">
        <v>105</v>
      </c>
      <c r="H2373" s="135" t="s">
        <v>2853</v>
      </c>
      <c r="I2373" s="135" t="s">
        <v>111</v>
      </c>
      <c r="J2373" s="135"/>
      <c r="K2373" s="135"/>
      <c r="L2373" s="135">
        <v>4239.0</v>
      </c>
      <c r="M2373" s="135">
        <v>3600.0</v>
      </c>
      <c r="N2373" s="135">
        <v>300.0</v>
      </c>
      <c r="O2373" s="135">
        <v>2.842</v>
      </c>
      <c r="P2373" s="136">
        <v>0.0</v>
      </c>
      <c r="Q2373" s="137">
        <v>7.105</v>
      </c>
      <c r="R2373" s="136">
        <v>46139.0</v>
      </c>
      <c r="S2373" s="135" t="s">
        <v>3950</v>
      </c>
      <c r="T2373" s="136"/>
      <c r="U2373" s="135" t="s">
        <v>2864</v>
      </c>
      <c r="V2373" s="135" t="s">
        <v>2899</v>
      </c>
      <c r="W2373" s="135"/>
      <c r="X2373" s="135"/>
      <c r="Y2373" s="135"/>
      <c r="Z2373" s="135"/>
      <c r="AA2373" s="135"/>
      <c r="AB2373" s="135"/>
      <c r="AC2373" s="135"/>
      <c r="AD2373" s="135">
        <v>0.0</v>
      </c>
      <c r="AE2373" s="135"/>
      <c r="AF2373" s="135"/>
      <c r="AG2373" s="135"/>
    </row>
    <row r="2374" ht="21.75" hidden="1" customHeight="1">
      <c r="A2374" s="135">
        <v>2370.0</v>
      </c>
      <c r="B2374" s="135">
        <v>25045.0</v>
      </c>
      <c r="C2374" s="135"/>
      <c r="D2374" s="135">
        <v>34.0</v>
      </c>
      <c r="E2374" s="135" t="s">
        <v>3960</v>
      </c>
      <c r="F2374" s="135" t="s">
        <v>2260</v>
      </c>
      <c r="G2374" s="135" t="s">
        <v>105</v>
      </c>
      <c r="H2374" s="135" t="s">
        <v>2853</v>
      </c>
      <c r="I2374" s="135" t="s">
        <v>111</v>
      </c>
      <c r="J2374" s="135"/>
      <c r="K2374" s="135"/>
      <c r="L2374" s="135">
        <v>1780.0</v>
      </c>
      <c r="M2374" s="135">
        <v>1634.0</v>
      </c>
      <c r="N2374" s="135">
        <v>120.0</v>
      </c>
      <c r="O2374" s="135">
        <v>0.43</v>
      </c>
      <c r="P2374" s="136">
        <v>0.0</v>
      </c>
      <c r="Q2374" s="137">
        <v>1.075</v>
      </c>
      <c r="R2374" s="136">
        <v>46139.0</v>
      </c>
      <c r="S2374" s="135" t="s">
        <v>3950</v>
      </c>
      <c r="T2374" s="136"/>
      <c r="U2374" s="135" t="s">
        <v>2864</v>
      </c>
      <c r="V2374" s="135" t="s">
        <v>2873</v>
      </c>
      <c r="W2374" s="135"/>
      <c r="X2374" s="135"/>
      <c r="Y2374" s="135"/>
      <c r="Z2374" s="135"/>
      <c r="AA2374" s="135"/>
      <c r="AB2374" s="135"/>
      <c r="AC2374" s="135"/>
      <c r="AD2374" s="135">
        <v>46153.0</v>
      </c>
      <c r="AE2374" s="135"/>
      <c r="AF2374" s="135"/>
      <c r="AG2374" s="135"/>
    </row>
    <row r="2375" ht="21.75" hidden="1" customHeight="1">
      <c r="A2375" s="135">
        <v>2371.0</v>
      </c>
      <c r="B2375" s="135">
        <v>25045.0</v>
      </c>
      <c r="C2375" s="135" t="s">
        <v>2817</v>
      </c>
      <c r="D2375" s="135">
        <v>34.0</v>
      </c>
      <c r="E2375" s="135" t="s">
        <v>3960</v>
      </c>
      <c r="F2375" s="135" t="s">
        <v>2240</v>
      </c>
      <c r="G2375" s="135" t="s">
        <v>105</v>
      </c>
      <c r="H2375" s="135" t="s">
        <v>2853</v>
      </c>
      <c r="I2375" s="135" t="s">
        <v>111</v>
      </c>
      <c r="J2375" s="135"/>
      <c r="K2375" s="135"/>
      <c r="L2375" s="135">
        <v>1780.0</v>
      </c>
      <c r="M2375" s="135">
        <v>1744.0</v>
      </c>
      <c r="N2375" s="135">
        <v>120.0</v>
      </c>
      <c r="O2375" s="135">
        <v>0.494</v>
      </c>
      <c r="P2375" s="136">
        <v>0.0</v>
      </c>
      <c r="Q2375" s="137">
        <v>1.2349999999999999</v>
      </c>
      <c r="R2375" s="136">
        <v>46139.0</v>
      </c>
      <c r="S2375" s="135" t="s">
        <v>3950</v>
      </c>
      <c r="T2375" s="136"/>
      <c r="U2375" s="135" t="s">
        <v>2864</v>
      </c>
      <c r="V2375" s="135" t="s">
        <v>2956</v>
      </c>
      <c r="W2375" s="135"/>
      <c r="X2375" s="135"/>
      <c r="Y2375" s="135"/>
      <c r="Z2375" s="135"/>
      <c r="AA2375" s="135"/>
      <c r="AB2375" s="135"/>
      <c r="AC2375" s="135"/>
      <c r="AD2375" s="135">
        <v>46143.0</v>
      </c>
      <c r="AE2375" s="135"/>
      <c r="AF2375" s="135"/>
      <c r="AG2375" s="135"/>
    </row>
    <row r="2376" ht="21.75" hidden="1" customHeight="1">
      <c r="A2376" s="135">
        <v>2372.0</v>
      </c>
      <c r="B2376" s="135">
        <v>25045.0</v>
      </c>
      <c r="C2376" s="135"/>
      <c r="D2376" s="135">
        <v>34.0</v>
      </c>
      <c r="E2376" s="135" t="s">
        <v>3960</v>
      </c>
      <c r="F2376" s="135" t="s">
        <v>2261</v>
      </c>
      <c r="G2376" s="135" t="s">
        <v>105</v>
      </c>
      <c r="H2376" s="135" t="s">
        <v>2965</v>
      </c>
      <c r="I2376" s="135" t="s">
        <v>111</v>
      </c>
      <c r="J2376" s="135"/>
      <c r="K2376" s="135"/>
      <c r="L2376" s="135">
        <v>4785.0</v>
      </c>
      <c r="M2376" s="135">
        <v>1000.0</v>
      </c>
      <c r="N2376" s="135">
        <v>120.0</v>
      </c>
      <c r="O2376" s="135">
        <v>0.864</v>
      </c>
      <c r="P2376" s="136">
        <v>0.0</v>
      </c>
      <c r="Q2376" s="137">
        <v>2.16</v>
      </c>
      <c r="R2376" s="136">
        <v>46139.0</v>
      </c>
      <c r="S2376" s="135" t="s">
        <v>3950</v>
      </c>
      <c r="T2376" s="136"/>
      <c r="U2376" s="135" t="s">
        <v>2950</v>
      </c>
      <c r="V2376" s="135" t="s">
        <v>2980</v>
      </c>
      <c r="W2376" s="135"/>
      <c r="X2376" s="135"/>
      <c r="Y2376" s="135"/>
      <c r="Z2376" s="135"/>
      <c r="AA2376" s="135"/>
      <c r="AB2376" s="135"/>
      <c r="AC2376" s="135"/>
      <c r="AD2376" s="135">
        <v>0.0</v>
      </c>
      <c r="AE2376" s="135"/>
      <c r="AF2376" s="135"/>
      <c r="AG2376" s="135"/>
    </row>
    <row r="2377" ht="21.75" hidden="1" customHeight="1">
      <c r="A2377" s="135">
        <v>2373.0</v>
      </c>
      <c r="B2377" s="135">
        <v>25045.0</v>
      </c>
      <c r="C2377" s="135"/>
      <c r="D2377" s="135">
        <v>34.0</v>
      </c>
      <c r="E2377" s="135" t="s">
        <v>3960</v>
      </c>
      <c r="F2377" s="135" t="s">
        <v>2262</v>
      </c>
      <c r="G2377" s="135" t="s">
        <v>105</v>
      </c>
      <c r="H2377" s="135" t="s">
        <v>2965</v>
      </c>
      <c r="I2377" s="135" t="s">
        <v>111</v>
      </c>
      <c r="J2377" s="135"/>
      <c r="K2377" s="135"/>
      <c r="L2377" s="135">
        <v>350.0</v>
      </c>
      <c r="M2377" s="135">
        <v>3300.0</v>
      </c>
      <c r="N2377" s="135">
        <v>150.0</v>
      </c>
      <c r="O2377" s="135">
        <v>0.3</v>
      </c>
      <c r="P2377" s="136">
        <v>0.0</v>
      </c>
      <c r="Q2377" s="137">
        <v>0.75</v>
      </c>
      <c r="R2377" s="136">
        <v>46139.0</v>
      </c>
      <c r="S2377" s="135" t="s">
        <v>3950</v>
      </c>
      <c r="T2377" s="136"/>
      <c r="U2377" s="135" t="s">
        <v>2966</v>
      </c>
      <c r="V2377" s="135" t="s">
        <v>2967</v>
      </c>
      <c r="W2377" s="135"/>
      <c r="X2377" s="135"/>
      <c r="Y2377" s="135"/>
      <c r="Z2377" s="135"/>
      <c r="AA2377" s="135"/>
      <c r="AB2377" s="135"/>
      <c r="AC2377" s="135"/>
      <c r="AD2377" s="135">
        <v>0.0</v>
      </c>
      <c r="AE2377" s="135"/>
      <c r="AF2377" s="135"/>
      <c r="AG2377" s="135"/>
    </row>
    <row r="2378" ht="21.75" hidden="1" customHeight="1">
      <c r="A2378" s="135">
        <v>2374.0</v>
      </c>
      <c r="B2378" s="135">
        <v>25045.0</v>
      </c>
      <c r="C2378" s="135" t="s">
        <v>2817</v>
      </c>
      <c r="D2378" s="135">
        <v>34.0</v>
      </c>
      <c r="E2378" s="135" t="s">
        <v>3964</v>
      </c>
      <c r="F2378" s="135" t="s">
        <v>2263</v>
      </c>
      <c r="G2378" s="135" t="s">
        <v>105</v>
      </c>
      <c r="H2378" s="135" t="s">
        <v>2853</v>
      </c>
      <c r="I2378" s="135" t="s">
        <v>112</v>
      </c>
      <c r="J2378" s="135">
        <v>1.0</v>
      </c>
      <c r="K2378" s="135"/>
      <c r="L2378" s="135">
        <v>350.0</v>
      </c>
      <c r="M2378" s="135">
        <v>3410.0</v>
      </c>
      <c r="N2378" s="135">
        <v>400.0</v>
      </c>
      <c r="O2378" s="135">
        <v>0.542</v>
      </c>
      <c r="P2378" s="136">
        <v>0.0</v>
      </c>
      <c r="Q2378" s="137">
        <v>1.355</v>
      </c>
      <c r="R2378" s="136">
        <v>46139.0</v>
      </c>
      <c r="S2378" s="135" t="s">
        <v>3950</v>
      </c>
      <c r="T2378" s="136"/>
      <c r="U2378" s="135" t="s">
        <v>2966</v>
      </c>
      <c r="V2378" s="135" t="s">
        <v>2967</v>
      </c>
      <c r="W2378" s="135"/>
      <c r="X2378" s="135"/>
      <c r="Y2378" s="135"/>
      <c r="Z2378" s="135"/>
      <c r="AA2378" s="135"/>
      <c r="AB2378" s="135"/>
      <c r="AC2378" s="135"/>
      <c r="AD2378" s="135" t="e">
        <v>#N/A</v>
      </c>
      <c r="AE2378" s="135"/>
      <c r="AF2378" s="135"/>
      <c r="AG2378" s="135"/>
    </row>
    <row r="2379" ht="21.75" hidden="1" customHeight="1">
      <c r="A2379" s="135">
        <v>2375.0</v>
      </c>
      <c r="B2379" s="135">
        <v>25045.0</v>
      </c>
      <c r="C2379" s="135" t="s">
        <v>2817</v>
      </c>
      <c r="D2379" s="135">
        <v>34.0</v>
      </c>
      <c r="E2379" s="135" t="s">
        <v>3964</v>
      </c>
      <c r="F2379" s="135" t="s">
        <v>2264</v>
      </c>
      <c r="G2379" s="135" t="s">
        <v>105</v>
      </c>
      <c r="H2379" s="135" t="s">
        <v>2853</v>
      </c>
      <c r="I2379" s="135" t="s">
        <v>112</v>
      </c>
      <c r="J2379" s="135">
        <v>1.0</v>
      </c>
      <c r="K2379" s="135"/>
      <c r="L2379" s="135">
        <v>4213.0</v>
      </c>
      <c r="M2379" s="135">
        <v>1350.0</v>
      </c>
      <c r="N2379" s="135">
        <v>120.0</v>
      </c>
      <c r="O2379" s="135">
        <v>0.849</v>
      </c>
      <c r="P2379" s="136">
        <v>0.0</v>
      </c>
      <c r="Q2379" s="137">
        <v>2.1225</v>
      </c>
      <c r="R2379" s="136">
        <v>46139.0</v>
      </c>
      <c r="S2379" s="135" t="s">
        <v>3950</v>
      </c>
      <c r="T2379" s="136"/>
      <c r="U2379" s="135" t="s">
        <v>2855</v>
      </c>
      <c r="V2379" s="135" t="s">
        <v>2856</v>
      </c>
      <c r="W2379" s="135">
        <v>1800.0</v>
      </c>
      <c r="X2379" s="135"/>
      <c r="Y2379" s="135"/>
      <c r="Z2379" s="135"/>
      <c r="AA2379" s="135"/>
      <c r="AB2379" s="135"/>
      <c r="AC2379" s="135"/>
      <c r="AD2379" s="135" t="e">
        <v>#N/A</v>
      </c>
      <c r="AE2379" s="135"/>
      <c r="AF2379" s="135"/>
      <c r="AG2379" s="135"/>
    </row>
    <row r="2380" ht="21.75" hidden="1" customHeight="1">
      <c r="A2380" s="135">
        <v>2376.0</v>
      </c>
      <c r="B2380" s="135">
        <v>25045.0</v>
      </c>
      <c r="C2380" s="135" t="s">
        <v>2817</v>
      </c>
      <c r="D2380" s="135">
        <v>34.0</v>
      </c>
      <c r="E2380" s="135" t="s">
        <v>3964</v>
      </c>
      <c r="F2380" s="135" t="s">
        <v>2265</v>
      </c>
      <c r="G2380" s="135" t="s">
        <v>105</v>
      </c>
      <c r="H2380" s="135" t="s">
        <v>2853</v>
      </c>
      <c r="I2380" s="135" t="s">
        <v>112</v>
      </c>
      <c r="J2380" s="135">
        <v>1.0</v>
      </c>
      <c r="K2380" s="135"/>
      <c r="L2380" s="135">
        <v>4213.0</v>
      </c>
      <c r="M2380" s="135">
        <v>1350.0</v>
      </c>
      <c r="N2380" s="135">
        <v>120.0</v>
      </c>
      <c r="O2380" s="135">
        <v>0.849</v>
      </c>
      <c r="P2380" s="136">
        <v>0.0</v>
      </c>
      <c r="Q2380" s="137">
        <v>2.1225</v>
      </c>
      <c r="R2380" s="136">
        <v>46139.0</v>
      </c>
      <c r="S2380" s="135" t="s">
        <v>3950</v>
      </c>
      <c r="T2380" s="136"/>
      <c r="U2380" s="135" t="s">
        <v>2855</v>
      </c>
      <c r="V2380" s="135" t="s">
        <v>2856</v>
      </c>
      <c r="W2380" s="135">
        <v>1800.0</v>
      </c>
      <c r="X2380" s="135"/>
      <c r="Y2380" s="135"/>
      <c r="Z2380" s="135"/>
      <c r="AA2380" s="135"/>
      <c r="AB2380" s="135"/>
      <c r="AC2380" s="135"/>
      <c r="AD2380" s="135" t="e">
        <v>#N/A</v>
      </c>
      <c r="AE2380" s="135"/>
      <c r="AF2380" s="135"/>
      <c r="AG2380" s="135"/>
    </row>
    <row r="2381" ht="21.75" hidden="1" customHeight="1">
      <c r="A2381" s="135">
        <v>2377.0</v>
      </c>
      <c r="B2381" s="135">
        <v>25045.0</v>
      </c>
      <c r="C2381" s="135" t="s">
        <v>2817</v>
      </c>
      <c r="D2381" s="135">
        <v>34.0</v>
      </c>
      <c r="E2381" s="135" t="s">
        <v>3964</v>
      </c>
      <c r="F2381" s="135" t="s">
        <v>2266</v>
      </c>
      <c r="G2381" s="135" t="s">
        <v>105</v>
      </c>
      <c r="H2381" s="135" t="s">
        <v>2853</v>
      </c>
      <c r="I2381" s="135" t="s">
        <v>112</v>
      </c>
      <c r="J2381" s="135">
        <v>1.0</v>
      </c>
      <c r="K2381" s="135"/>
      <c r="L2381" s="135">
        <v>4213.0</v>
      </c>
      <c r="M2381" s="135">
        <v>1350.0</v>
      </c>
      <c r="N2381" s="135">
        <v>120.0</v>
      </c>
      <c r="O2381" s="135">
        <v>0.849</v>
      </c>
      <c r="P2381" s="136">
        <v>0.0</v>
      </c>
      <c r="Q2381" s="137">
        <v>2.1225</v>
      </c>
      <c r="R2381" s="136">
        <v>46139.0</v>
      </c>
      <c r="S2381" s="135" t="s">
        <v>3950</v>
      </c>
      <c r="T2381" s="136"/>
      <c r="U2381" s="135" t="s">
        <v>2855</v>
      </c>
      <c r="V2381" s="135" t="s">
        <v>2856</v>
      </c>
      <c r="W2381" s="135">
        <v>1800.0</v>
      </c>
      <c r="X2381" s="135"/>
      <c r="Y2381" s="135"/>
      <c r="Z2381" s="135"/>
      <c r="AA2381" s="135"/>
      <c r="AB2381" s="135"/>
      <c r="AC2381" s="135"/>
      <c r="AD2381" s="135" t="e">
        <v>#N/A</v>
      </c>
      <c r="AE2381" s="135"/>
      <c r="AF2381" s="135"/>
      <c r="AG2381" s="135"/>
    </row>
    <row r="2382" ht="21.75" hidden="1" customHeight="1">
      <c r="A2382" s="135">
        <v>2378.0</v>
      </c>
      <c r="B2382" s="135">
        <v>25045.0</v>
      </c>
      <c r="C2382" s="135" t="s">
        <v>2817</v>
      </c>
      <c r="D2382" s="135">
        <v>34.0</v>
      </c>
      <c r="E2382" s="135" t="s">
        <v>3964</v>
      </c>
      <c r="F2382" s="135" t="s">
        <v>2267</v>
      </c>
      <c r="G2382" s="135" t="s">
        <v>105</v>
      </c>
      <c r="H2382" s="135" t="s">
        <v>2853</v>
      </c>
      <c r="I2382" s="135" t="s">
        <v>112</v>
      </c>
      <c r="J2382" s="135">
        <v>1.0</v>
      </c>
      <c r="K2382" s="135"/>
      <c r="L2382" s="135">
        <v>4213.0</v>
      </c>
      <c r="M2382" s="135">
        <v>1350.0</v>
      </c>
      <c r="N2382" s="135">
        <v>120.0</v>
      </c>
      <c r="O2382" s="135">
        <v>0.849</v>
      </c>
      <c r="P2382" s="136">
        <v>0.0</v>
      </c>
      <c r="Q2382" s="137">
        <v>2.1225</v>
      </c>
      <c r="R2382" s="136">
        <v>46139.0</v>
      </c>
      <c r="S2382" s="135" t="s">
        <v>3950</v>
      </c>
      <c r="T2382" s="136"/>
      <c r="U2382" s="135" t="s">
        <v>2855</v>
      </c>
      <c r="V2382" s="135" t="s">
        <v>2856</v>
      </c>
      <c r="W2382" s="135">
        <v>1800.0</v>
      </c>
      <c r="X2382" s="135"/>
      <c r="Y2382" s="135"/>
      <c r="Z2382" s="135"/>
      <c r="AA2382" s="135"/>
      <c r="AB2382" s="135"/>
      <c r="AC2382" s="135"/>
      <c r="AD2382" s="135" t="e">
        <v>#N/A</v>
      </c>
      <c r="AE2382" s="135"/>
      <c r="AF2382" s="135"/>
      <c r="AG2382" s="135"/>
    </row>
    <row r="2383" ht="21.75" hidden="1" customHeight="1">
      <c r="A2383" s="135">
        <v>2379.0</v>
      </c>
      <c r="B2383" s="135">
        <v>25045.0</v>
      </c>
      <c r="C2383" s="135"/>
      <c r="D2383" s="135">
        <v>34.0</v>
      </c>
      <c r="E2383" s="135" t="s">
        <v>3964</v>
      </c>
      <c r="F2383" s="135" t="s">
        <v>2268</v>
      </c>
      <c r="G2383" s="135" t="s">
        <v>105</v>
      </c>
      <c r="H2383" s="135" t="s">
        <v>2853</v>
      </c>
      <c r="I2383" s="135" t="s">
        <v>112</v>
      </c>
      <c r="J2383" s="135"/>
      <c r="K2383" s="135"/>
      <c r="L2383" s="135">
        <v>3090.0</v>
      </c>
      <c r="M2383" s="135">
        <v>2900.0</v>
      </c>
      <c r="N2383" s="135">
        <v>120.0</v>
      </c>
      <c r="O2383" s="135">
        <v>1.062</v>
      </c>
      <c r="P2383" s="136">
        <v>0.0</v>
      </c>
      <c r="Q2383" s="137">
        <v>2.6550000000000002</v>
      </c>
      <c r="R2383" s="136">
        <v>46139.0</v>
      </c>
      <c r="S2383" s="135" t="s">
        <v>3950</v>
      </c>
      <c r="T2383" s="136"/>
      <c r="U2383" s="135" t="s">
        <v>2864</v>
      </c>
      <c r="V2383" s="135" t="s">
        <v>2878</v>
      </c>
      <c r="W2383" s="135"/>
      <c r="X2383" s="135"/>
      <c r="Y2383" s="135"/>
      <c r="Z2383" s="135"/>
      <c r="AA2383" s="135"/>
      <c r="AB2383" s="135"/>
      <c r="AC2383" s="135"/>
      <c r="AD2383" s="135">
        <v>0.0</v>
      </c>
      <c r="AE2383" s="135"/>
      <c r="AF2383" s="135"/>
      <c r="AG2383" s="135"/>
    </row>
    <row r="2384" ht="21.75" hidden="1" customHeight="1">
      <c r="A2384" s="135">
        <v>2380.0</v>
      </c>
      <c r="B2384" s="135">
        <v>25045.0</v>
      </c>
      <c r="C2384" s="135"/>
      <c r="D2384" s="135">
        <v>34.0</v>
      </c>
      <c r="E2384" s="135" t="s">
        <v>3964</v>
      </c>
      <c r="F2384" s="135" t="s">
        <v>2269</v>
      </c>
      <c r="G2384" s="135" t="s">
        <v>105</v>
      </c>
      <c r="H2384" s="135" t="s">
        <v>2853</v>
      </c>
      <c r="I2384" s="135" t="s">
        <v>112</v>
      </c>
      <c r="J2384" s="135"/>
      <c r="K2384" s="135"/>
      <c r="L2384" s="135">
        <v>3420.0</v>
      </c>
      <c r="M2384" s="135">
        <v>2900.0</v>
      </c>
      <c r="N2384" s="135">
        <v>120.0</v>
      </c>
      <c r="O2384" s="135">
        <v>1.181</v>
      </c>
      <c r="P2384" s="136">
        <v>0.0</v>
      </c>
      <c r="Q2384" s="137">
        <v>2.9525</v>
      </c>
      <c r="R2384" s="136">
        <v>46139.0</v>
      </c>
      <c r="S2384" s="135" t="s">
        <v>3950</v>
      </c>
      <c r="T2384" s="136"/>
      <c r="U2384" s="135" t="s">
        <v>2864</v>
      </c>
      <c r="V2384" s="135" t="s">
        <v>2878</v>
      </c>
      <c r="W2384" s="135"/>
      <c r="X2384" s="135"/>
      <c r="Y2384" s="135"/>
      <c r="Z2384" s="135"/>
      <c r="AA2384" s="135"/>
      <c r="AB2384" s="135"/>
      <c r="AC2384" s="135"/>
      <c r="AD2384" s="135">
        <v>0.0</v>
      </c>
      <c r="AE2384" s="135"/>
      <c r="AF2384" s="135"/>
      <c r="AG2384" s="135"/>
    </row>
    <row r="2385" ht="21.75" hidden="1" customHeight="1">
      <c r="A2385" s="135">
        <v>2381.0</v>
      </c>
      <c r="B2385" s="135">
        <v>25045.0</v>
      </c>
      <c r="C2385" s="135"/>
      <c r="D2385" s="135">
        <v>34.0</v>
      </c>
      <c r="E2385" s="135" t="s">
        <v>3964</v>
      </c>
      <c r="F2385" s="135" t="s">
        <v>2270</v>
      </c>
      <c r="G2385" s="135" t="s">
        <v>105</v>
      </c>
      <c r="H2385" s="135" t="s">
        <v>2853</v>
      </c>
      <c r="I2385" s="135" t="s">
        <v>112</v>
      </c>
      <c r="J2385" s="135"/>
      <c r="K2385" s="135"/>
      <c r="L2385" s="135">
        <v>4434.0</v>
      </c>
      <c r="M2385" s="135">
        <v>2900.0</v>
      </c>
      <c r="N2385" s="135">
        <v>120.0</v>
      </c>
      <c r="O2385" s="135">
        <v>1.628</v>
      </c>
      <c r="P2385" s="136">
        <v>0.0</v>
      </c>
      <c r="Q2385" s="137">
        <v>4.069999999999999</v>
      </c>
      <c r="R2385" s="136">
        <v>46139.0</v>
      </c>
      <c r="S2385" s="135" t="s">
        <v>3950</v>
      </c>
      <c r="T2385" s="136"/>
      <c r="U2385" s="135" t="s">
        <v>2864</v>
      </c>
      <c r="V2385" s="135" t="s">
        <v>2865</v>
      </c>
      <c r="W2385" s="135"/>
      <c r="X2385" s="135"/>
      <c r="Y2385" s="135"/>
      <c r="Z2385" s="135"/>
      <c r="AA2385" s="135"/>
      <c r="AB2385" s="135"/>
      <c r="AC2385" s="135"/>
      <c r="AD2385" s="135">
        <v>0.0</v>
      </c>
      <c r="AE2385" s="135"/>
      <c r="AF2385" s="135"/>
      <c r="AG2385" s="135"/>
    </row>
    <row r="2386" ht="21.75" hidden="1" customHeight="1">
      <c r="A2386" s="135">
        <v>2382.0</v>
      </c>
      <c r="B2386" s="135">
        <v>25045.0</v>
      </c>
      <c r="C2386" s="135"/>
      <c r="D2386" s="135">
        <v>34.0</v>
      </c>
      <c r="E2386" s="135" t="s">
        <v>3964</v>
      </c>
      <c r="F2386" s="135" t="s">
        <v>2271</v>
      </c>
      <c r="G2386" s="135" t="s">
        <v>105</v>
      </c>
      <c r="H2386" s="135" t="s">
        <v>2853</v>
      </c>
      <c r="I2386" s="135" t="s">
        <v>112</v>
      </c>
      <c r="J2386" s="135"/>
      <c r="K2386" s="135"/>
      <c r="L2386" s="135">
        <v>3590.0</v>
      </c>
      <c r="M2386" s="135">
        <v>2900.0</v>
      </c>
      <c r="N2386" s="135">
        <v>120.0</v>
      </c>
      <c r="O2386" s="135">
        <v>1.29</v>
      </c>
      <c r="P2386" s="136">
        <v>0.0</v>
      </c>
      <c r="Q2386" s="137">
        <v>3.225</v>
      </c>
      <c r="R2386" s="136">
        <v>46139.0</v>
      </c>
      <c r="S2386" s="135" t="s">
        <v>3950</v>
      </c>
      <c r="T2386" s="136"/>
      <c r="U2386" s="135" t="s">
        <v>2864</v>
      </c>
      <c r="V2386" s="135" t="s">
        <v>2865</v>
      </c>
      <c r="W2386" s="135"/>
      <c r="X2386" s="135"/>
      <c r="Y2386" s="135"/>
      <c r="Z2386" s="135"/>
      <c r="AA2386" s="135"/>
      <c r="AB2386" s="135"/>
      <c r="AC2386" s="135"/>
      <c r="AD2386" s="135">
        <v>0.0</v>
      </c>
      <c r="AE2386" s="135"/>
      <c r="AF2386" s="135"/>
      <c r="AG2386" s="135"/>
    </row>
    <row r="2387" ht="21.75" hidden="1" customHeight="1">
      <c r="A2387" s="135">
        <v>2383.0</v>
      </c>
      <c r="B2387" s="135">
        <v>25045.0</v>
      </c>
      <c r="C2387" s="135"/>
      <c r="D2387" s="135">
        <v>34.0</v>
      </c>
      <c r="E2387" s="135" t="s">
        <v>3964</v>
      </c>
      <c r="F2387" s="135" t="s">
        <v>2272</v>
      </c>
      <c r="G2387" s="135" t="s">
        <v>105</v>
      </c>
      <c r="H2387" s="135" t="s">
        <v>2853</v>
      </c>
      <c r="I2387" s="135" t="s">
        <v>112</v>
      </c>
      <c r="J2387" s="135"/>
      <c r="K2387" s="135"/>
      <c r="L2387" s="135">
        <v>4460.0</v>
      </c>
      <c r="M2387" s="135">
        <v>2900.0</v>
      </c>
      <c r="N2387" s="135">
        <v>120.0</v>
      </c>
      <c r="O2387" s="135">
        <v>1.282</v>
      </c>
      <c r="P2387" s="136">
        <v>0.0</v>
      </c>
      <c r="Q2387" s="137">
        <v>3.205</v>
      </c>
      <c r="R2387" s="136">
        <v>46139.0</v>
      </c>
      <c r="S2387" s="135" t="s">
        <v>3950</v>
      </c>
      <c r="T2387" s="136"/>
      <c r="U2387" s="135" t="s">
        <v>2864</v>
      </c>
      <c r="V2387" s="135" t="s">
        <v>2865</v>
      </c>
      <c r="W2387" s="135"/>
      <c r="X2387" s="135" t="s">
        <v>3962</v>
      </c>
      <c r="Y2387" s="135"/>
      <c r="Z2387" s="135"/>
      <c r="AA2387" s="135"/>
      <c r="AB2387" s="135"/>
      <c r="AC2387" s="135"/>
      <c r="AD2387" s="135">
        <v>0.0</v>
      </c>
      <c r="AE2387" s="135"/>
      <c r="AF2387" s="135"/>
      <c r="AG2387" s="135"/>
    </row>
    <row r="2388" ht="21.75" hidden="1" customHeight="1">
      <c r="A2388" s="135">
        <v>2384.0</v>
      </c>
      <c r="B2388" s="135">
        <v>25045.0</v>
      </c>
      <c r="C2388" s="135"/>
      <c r="D2388" s="135">
        <v>34.0</v>
      </c>
      <c r="E2388" s="135" t="s">
        <v>3964</v>
      </c>
      <c r="F2388" s="135" t="s">
        <v>2273</v>
      </c>
      <c r="G2388" s="135" t="s">
        <v>105</v>
      </c>
      <c r="H2388" s="135" t="s">
        <v>2853</v>
      </c>
      <c r="I2388" s="135" t="s">
        <v>112</v>
      </c>
      <c r="J2388" s="135"/>
      <c r="K2388" s="135"/>
      <c r="L2388" s="135">
        <v>4920.0</v>
      </c>
      <c r="M2388" s="135">
        <v>2900.0</v>
      </c>
      <c r="N2388" s="135">
        <v>120.0</v>
      </c>
      <c r="O2388" s="135">
        <v>1.832</v>
      </c>
      <c r="P2388" s="136">
        <v>0.0</v>
      </c>
      <c r="Q2388" s="137">
        <v>4.58</v>
      </c>
      <c r="R2388" s="136">
        <v>46139.0</v>
      </c>
      <c r="S2388" s="135" t="s">
        <v>3950</v>
      </c>
      <c r="T2388" s="136"/>
      <c r="U2388" s="135" t="s">
        <v>2855</v>
      </c>
      <c r="V2388" s="135" t="s">
        <v>2868</v>
      </c>
      <c r="W2388" s="135">
        <v>1800.0</v>
      </c>
      <c r="X2388" s="135"/>
      <c r="Y2388" s="135"/>
      <c r="Z2388" s="135"/>
      <c r="AA2388" s="135"/>
      <c r="AB2388" s="135"/>
      <c r="AC2388" s="135"/>
      <c r="AD2388" s="135">
        <v>0.0</v>
      </c>
      <c r="AE2388" s="135"/>
      <c r="AF2388" s="135"/>
      <c r="AG2388" s="135"/>
    </row>
    <row r="2389" ht="21.75" hidden="1" customHeight="1">
      <c r="A2389" s="135">
        <v>2385.0</v>
      </c>
      <c r="B2389" s="135">
        <v>25045.0</v>
      </c>
      <c r="C2389" s="135"/>
      <c r="D2389" s="135">
        <v>34.0</v>
      </c>
      <c r="E2389" s="135" t="s">
        <v>3964</v>
      </c>
      <c r="F2389" s="135" t="s">
        <v>2274</v>
      </c>
      <c r="G2389" s="135" t="s">
        <v>105</v>
      </c>
      <c r="H2389" s="135" t="s">
        <v>2853</v>
      </c>
      <c r="I2389" s="135" t="s">
        <v>112</v>
      </c>
      <c r="J2389" s="135"/>
      <c r="K2389" s="135"/>
      <c r="L2389" s="135">
        <v>3812.0</v>
      </c>
      <c r="M2389" s="135">
        <v>3400.0</v>
      </c>
      <c r="N2389" s="135">
        <v>120.0</v>
      </c>
      <c r="O2389" s="135">
        <v>1.364</v>
      </c>
      <c r="P2389" s="136">
        <v>0.0</v>
      </c>
      <c r="Q2389" s="137">
        <v>3.41</v>
      </c>
      <c r="R2389" s="136">
        <v>46139.0</v>
      </c>
      <c r="S2389" s="135" t="s">
        <v>3950</v>
      </c>
      <c r="T2389" s="136"/>
      <c r="U2389" s="135" t="s">
        <v>2864</v>
      </c>
      <c r="V2389" s="135" t="s">
        <v>2982</v>
      </c>
      <c r="W2389" s="135"/>
      <c r="X2389" s="135" t="s">
        <v>3962</v>
      </c>
      <c r="Y2389" s="135"/>
      <c r="Z2389" s="135"/>
      <c r="AA2389" s="135"/>
      <c r="AB2389" s="135"/>
      <c r="AC2389" s="135"/>
      <c r="AD2389" s="135">
        <v>0.0</v>
      </c>
      <c r="AE2389" s="135"/>
      <c r="AF2389" s="135"/>
      <c r="AG2389" s="135"/>
    </row>
    <row r="2390" ht="21.75" hidden="1" customHeight="1">
      <c r="A2390" s="135">
        <v>2386.0</v>
      </c>
      <c r="B2390" s="135">
        <v>25045.0</v>
      </c>
      <c r="C2390" s="135"/>
      <c r="D2390" s="135">
        <v>34.0</v>
      </c>
      <c r="E2390" s="135" t="s">
        <v>3964</v>
      </c>
      <c r="F2390" s="135" t="s">
        <v>2275</v>
      </c>
      <c r="G2390" s="135" t="s">
        <v>105</v>
      </c>
      <c r="H2390" s="135" t="s">
        <v>2853</v>
      </c>
      <c r="I2390" s="135" t="s">
        <v>112</v>
      </c>
      <c r="J2390" s="135"/>
      <c r="K2390" s="135"/>
      <c r="L2390" s="135">
        <v>3815.0</v>
      </c>
      <c r="M2390" s="135">
        <v>3400.0</v>
      </c>
      <c r="N2390" s="135">
        <v>120.0</v>
      </c>
      <c r="O2390" s="135">
        <v>1.72</v>
      </c>
      <c r="P2390" s="136">
        <v>0.0</v>
      </c>
      <c r="Q2390" s="137">
        <v>4.3</v>
      </c>
      <c r="R2390" s="136">
        <v>46139.0</v>
      </c>
      <c r="S2390" s="135" t="s">
        <v>3950</v>
      </c>
      <c r="T2390" s="136"/>
      <c r="U2390" s="135" t="s">
        <v>2864</v>
      </c>
      <c r="V2390" s="135" t="s">
        <v>3965</v>
      </c>
      <c r="W2390" s="135"/>
      <c r="X2390" s="135"/>
      <c r="Y2390" s="135"/>
      <c r="Z2390" s="135"/>
      <c r="AA2390" s="135"/>
      <c r="AB2390" s="135"/>
      <c r="AC2390" s="135"/>
      <c r="AD2390" s="135">
        <v>0.0</v>
      </c>
      <c r="AE2390" s="135"/>
      <c r="AF2390" s="135"/>
      <c r="AG2390" s="135"/>
    </row>
    <row r="2391" ht="21.75" hidden="1" customHeight="1">
      <c r="A2391" s="135">
        <v>2387.0</v>
      </c>
      <c r="B2391" s="135">
        <v>25045.0</v>
      </c>
      <c r="C2391" s="135"/>
      <c r="D2391" s="135">
        <v>34.0</v>
      </c>
      <c r="E2391" s="135" t="s">
        <v>3964</v>
      </c>
      <c r="F2391" s="135" t="s">
        <v>2276</v>
      </c>
      <c r="G2391" s="135" t="s">
        <v>105</v>
      </c>
      <c r="H2391" s="135" t="s">
        <v>2853</v>
      </c>
      <c r="I2391" s="135" t="s">
        <v>112</v>
      </c>
      <c r="J2391" s="135"/>
      <c r="K2391" s="135"/>
      <c r="L2391" s="135">
        <v>3815.0</v>
      </c>
      <c r="M2391" s="135">
        <v>3400.0</v>
      </c>
      <c r="N2391" s="135">
        <v>120.0</v>
      </c>
      <c r="O2391" s="135">
        <v>1.72</v>
      </c>
      <c r="P2391" s="136">
        <v>0.0</v>
      </c>
      <c r="Q2391" s="137">
        <v>4.3</v>
      </c>
      <c r="R2391" s="136">
        <v>46139.0</v>
      </c>
      <c r="S2391" s="135" t="s">
        <v>3950</v>
      </c>
      <c r="T2391" s="136"/>
      <c r="U2391" s="135" t="s">
        <v>2864</v>
      </c>
      <c r="V2391" s="135" t="s">
        <v>3965</v>
      </c>
      <c r="W2391" s="135"/>
      <c r="X2391" s="135"/>
      <c r="Y2391" s="135"/>
      <c r="Z2391" s="135"/>
      <c r="AA2391" s="135"/>
      <c r="AB2391" s="135"/>
      <c r="AC2391" s="135"/>
      <c r="AD2391" s="135">
        <v>0.0</v>
      </c>
      <c r="AE2391" s="135"/>
      <c r="AF2391" s="135"/>
      <c r="AG2391" s="135"/>
    </row>
    <row r="2392" ht="21.75" hidden="1" customHeight="1">
      <c r="A2392" s="135">
        <v>2388.0</v>
      </c>
      <c r="B2392" s="135">
        <v>25045.0</v>
      </c>
      <c r="C2392" s="135"/>
      <c r="D2392" s="135">
        <v>34.0</v>
      </c>
      <c r="E2392" s="135" t="s">
        <v>3964</v>
      </c>
      <c r="F2392" s="135" t="s">
        <v>2277</v>
      </c>
      <c r="G2392" s="135" t="s">
        <v>105</v>
      </c>
      <c r="H2392" s="135" t="s">
        <v>2853</v>
      </c>
      <c r="I2392" s="135" t="s">
        <v>112</v>
      </c>
      <c r="J2392" s="135"/>
      <c r="K2392" s="135"/>
      <c r="L2392" s="135">
        <v>3815.0</v>
      </c>
      <c r="M2392" s="135">
        <v>3400.0</v>
      </c>
      <c r="N2392" s="135">
        <v>120.0</v>
      </c>
      <c r="O2392" s="135">
        <v>1.72</v>
      </c>
      <c r="P2392" s="136">
        <v>0.0</v>
      </c>
      <c r="Q2392" s="137">
        <v>4.3</v>
      </c>
      <c r="R2392" s="136">
        <v>46139.0</v>
      </c>
      <c r="S2392" s="135" t="s">
        <v>3950</v>
      </c>
      <c r="T2392" s="136"/>
      <c r="U2392" s="135" t="s">
        <v>2864</v>
      </c>
      <c r="V2392" s="135" t="s">
        <v>3965</v>
      </c>
      <c r="W2392" s="135"/>
      <c r="X2392" s="135"/>
      <c r="Y2392" s="135"/>
      <c r="Z2392" s="135"/>
      <c r="AA2392" s="135"/>
      <c r="AB2392" s="135"/>
      <c r="AC2392" s="135"/>
      <c r="AD2392" s="135">
        <v>0.0</v>
      </c>
      <c r="AE2392" s="135"/>
      <c r="AF2392" s="135"/>
      <c r="AG2392" s="135"/>
    </row>
    <row r="2393" ht="21.75" hidden="1" customHeight="1">
      <c r="A2393" s="135">
        <v>2389.0</v>
      </c>
      <c r="B2393" s="135">
        <v>25045.0</v>
      </c>
      <c r="C2393" s="135"/>
      <c r="D2393" s="135">
        <v>34.0</v>
      </c>
      <c r="E2393" s="135" t="s">
        <v>3964</v>
      </c>
      <c r="F2393" s="135" t="s">
        <v>2278</v>
      </c>
      <c r="G2393" s="135" t="s">
        <v>105</v>
      </c>
      <c r="H2393" s="135" t="s">
        <v>2853</v>
      </c>
      <c r="I2393" s="135" t="s">
        <v>112</v>
      </c>
      <c r="J2393" s="135"/>
      <c r="K2393" s="135"/>
      <c r="L2393" s="135">
        <v>5000.0</v>
      </c>
      <c r="M2393" s="135">
        <v>3400.0</v>
      </c>
      <c r="N2393" s="135">
        <v>120.0</v>
      </c>
      <c r="O2393" s="135">
        <v>2.378</v>
      </c>
      <c r="P2393" s="136">
        <v>0.0</v>
      </c>
      <c r="Q2393" s="137">
        <v>5.945</v>
      </c>
      <c r="R2393" s="136">
        <v>46139.0</v>
      </c>
      <c r="S2393" s="135" t="s">
        <v>3950</v>
      </c>
      <c r="T2393" s="136"/>
      <c r="U2393" s="135" t="s">
        <v>2855</v>
      </c>
      <c r="V2393" s="135" t="s">
        <v>2878</v>
      </c>
      <c r="W2393" s="135">
        <v>2500.0</v>
      </c>
      <c r="X2393" s="135"/>
      <c r="Y2393" s="135"/>
      <c r="Z2393" s="135"/>
      <c r="AA2393" s="135"/>
      <c r="AB2393" s="135"/>
      <c r="AC2393" s="135"/>
      <c r="AD2393" s="135">
        <v>0.0</v>
      </c>
      <c r="AE2393" s="135"/>
      <c r="AF2393" s="135"/>
      <c r="AG2393" s="135"/>
    </row>
    <row r="2394" ht="21.75" hidden="1" customHeight="1">
      <c r="A2394" s="135">
        <v>2390.0</v>
      </c>
      <c r="B2394" s="135">
        <v>25045.0</v>
      </c>
      <c r="C2394" s="135"/>
      <c r="D2394" s="135">
        <v>34.0</v>
      </c>
      <c r="E2394" s="135" t="s">
        <v>3964</v>
      </c>
      <c r="F2394" s="135" t="s">
        <v>2279</v>
      </c>
      <c r="G2394" s="135" t="s">
        <v>105</v>
      </c>
      <c r="H2394" s="135" t="s">
        <v>2853</v>
      </c>
      <c r="I2394" s="135" t="s">
        <v>112</v>
      </c>
      <c r="J2394" s="135"/>
      <c r="K2394" s="135"/>
      <c r="L2394" s="135">
        <v>4233.0</v>
      </c>
      <c r="M2394" s="135">
        <v>3500.0</v>
      </c>
      <c r="N2394" s="135">
        <v>300.0</v>
      </c>
      <c r="O2394" s="135">
        <v>3.106</v>
      </c>
      <c r="P2394" s="136">
        <v>0.0</v>
      </c>
      <c r="Q2394" s="137">
        <v>7.765</v>
      </c>
      <c r="R2394" s="136">
        <v>46139.0</v>
      </c>
      <c r="S2394" s="135" t="s">
        <v>3950</v>
      </c>
      <c r="T2394" s="136"/>
      <c r="U2394" s="135" t="s">
        <v>2864</v>
      </c>
      <c r="V2394" s="135" t="s">
        <v>2883</v>
      </c>
      <c r="W2394" s="135"/>
      <c r="X2394" s="135"/>
      <c r="Y2394" s="135"/>
      <c r="Z2394" s="135"/>
      <c r="AA2394" s="135"/>
      <c r="AB2394" s="135"/>
      <c r="AC2394" s="135"/>
      <c r="AD2394" s="135">
        <v>46157.0</v>
      </c>
      <c r="AE2394" s="135"/>
      <c r="AF2394" s="135"/>
      <c r="AG2394" s="135"/>
    </row>
    <row r="2395" ht="21.75" hidden="1" customHeight="1">
      <c r="A2395" s="135">
        <v>2391.0</v>
      </c>
      <c r="B2395" s="135">
        <v>25045.0</v>
      </c>
      <c r="C2395" s="135"/>
      <c r="D2395" s="135">
        <v>34.0</v>
      </c>
      <c r="E2395" s="135" t="s">
        <v>3964</v>
      </c>
      <c r="F2395" s="135" t="s">
        <v>2280</v>
      </c>
      <c r="G2395" s="135" t="s">
        <v>105</v>
      </c>
      <c r="H2395" s="135" t="s">
        <v>2853</v>
      </c>
      <c r="I2395" s="135" t="s">
        <v>112</v>
      </c>
      <c r="J2395" s="135"/>
      <c r="K2395" s="135"/>
      <c r="L2395" s="135">
        <v>5895.0</v>
      </c>
      <c r="M2395" s="135">
        <v>1250.0</v>
      </c>
      <c r="N2395" s="135">
        <v>120.0</v>
      </c>
      <c r="O2395" s="135">
        <v>0.993</v>
      </c>
      <c r="P2395" s="136">
        <v>0.0</v>
      </c>
      <c r="Q2395" s="137">
        <v>2.4825</v>
      </c>
      <c r="R2395" s="136">
        <v>46139.0</v>
      </c>
      <c r="S2395" s="135" t="s">
        <v>3950</v>
      </c>
      <c r="T2395" s="136"/>
      <c r="U2395" s="135" t="s">
        <v>2855</v>
      </c>
      <c r="V2395" s="135" t="s">
        <v>2856</v>
      </c>
      <c r="W2395" s="135">
        <v>1800.0</v>
      </c>
      <c r="X2395" s="135"/>
      <c r="Y2395" s="135"/>
      <c r="Z2395" s="135"/>
      <c r="AA2395" s="135"/>
      <c r="AB2395" s="135"/>
      <c r="AC2395" s="135"/>
      <c r="AD2395" s="135">
        <v>0.0</v>
      </c>
      <c r="AE2395" s="135"/>
      <c r="AF2395" s="135"/>
      <c r="AG2395" s="135"/>
    </row>
    <row r="2396" ht="21.75" hidden="1" customHeight="1">
      <c r="A2396" s="135">
        <v>2392.0</v>
      </c>
      <c r="B2396" s="135">
        <v>25045.0</v>
      </c>
      <c r="C2396" s="135"/>
      <c r="D2396" s="135">
        <v>34.0</v>
      </c>
      <c r="E2396" s="135" t="s">
        <v>3964</v>
      </c>
      <c r="F2396" s="135" t="s">
        <v>2281</v>
      </c>
      <c r="G2396" s="135" t="s">
        <v>105</v>
      </c>
      <c r="H2396" s="135" t="s">
        <v>2853</v>
      </c>
      <c r="I2396" s="135" t="s">
        <v>112</v>
      </c>
      <c r="J2396" s="135"/>
      <c r="K2396" s="135"/>
      <c r="L2396" s="135">
        <v>1780.0</v>
      </c>
      <c r="M2396" s="135">
        <v>1634.0</v>
      </c>
      <c r="N2396" s="135">
        <v>120.0</v>
      </c>
      <c r="O2396" s="135">
        <v>0.43</v>
      </c>
      <c r="P2396" s="136">
        <v>0.0</v>
      </c>
      <c r="Q2396" s="137">
        <v>1.075</v>
      </c>
      <c r="R2396" s="136">
        <v>46139.0</v>
      </c>
      <c r="S2396" s="135" t="s">
        <v>3950</v>
      </c>
      <c r="T2396" s="136"/>
      <c r="U2396" s="135" t="s">
        <v>2864</v>
      </c>
      <c r="V2396" s="135" t="s">
        <v>2873</v>
      </c>
      <c r="W2396" s="135"/>
      <c r="X2396" s="135"/>
      <c r="Y2396" s="135"/>
      <c r="Z2396" s="135"/>
      <c r="AA2396" s="135"/>
      <c r="AB2396" s="135"/>
      <c r="AC2396" s="135"/>
      <c r="AD2396" s="135">
        <v>46154.0</v>
      </c>
      <c r="AE2396" s="135"/>
      <c r="AF2396" s="135"/>
      <c r="AG2396" s="135"/>
    </row>
    <row r="2397" ht="21.75" hidden="1" customHeight="1">
      <c r="A2397" s="135">
        <v>2393.0</v>
      </c>
      <c r="B2397" s="135">
        <v>25045.0</v>
      </c>
      <c r="C2397" s="135"/>
      <c r="D2397" s="135">
        <v>34.0</v>
      </c>
      <c r="E2397" s="135" t="s">
        <v>3964</v>
      </c>
      <c r="F2397" s="135" t="s">
        <v>2282</v>
      </c>
      <c r="G2397" s="135" t="s">
        <v>105</v>
      </c>
      <c r="H2397" s="135" t="s">
        <v>2853</v>
      </c>
      <c r="I2397" s="135" t="s">
        <v>112</v>
      </c>
      <c r="J2397" s="135"/>
      <c r="K2397" s="135"/>
      <c r="L2397" s="135">
        <v>2946.0</v>
      </c>
      <c r="M2397" s="135">
        <v>1000.0</v>
      </c>
      <c r="N2397" s="135">
        <v>120.0</v>
      </c>
      <c r="O2397" s="135">
        <v>0.478</v>
      </c>
      <c r="P2397" s="136">
        <v>0.0</v>
      </c>
      <c r="Q2397" s="137">
        <v>1.1949999999999998</v>
      </c>
      <c r="R2397" s="136">
        <v>46139.0</v>
      </c>
      <c r="S2397" s="135" t="s">
        <v>3950</v>
      </c>
      <c r="T2397" s="136"/>
      <c r="U2397" s="135" t="s">
        <v>2950</v>
      </c>
      <c r="V2397" s="135" t="s">
        <v>2951</v>
      </c>
      <c r="W2397" s="135"/>
      <c r="X2397" s="135"/>
      <c r="Y2397" s="135"/>
      <c r="Z2397" s="135"/>
      <c r="AA2397" s="135"/>
      <c r="AB2397" s="135"/>
      <c r="AC2397" s="135"/>
      <c r="AD2397" s="135">
        <v>0.0</v>
      </c>
      <c r="AE2397" s="135"/>
      <c r="AF2397" s="135"/>
      <c r="AG2397" s="135"/>
    </row>
    <row r="2398" ht="21.75" hidden="1" customHeight="1">
      <c r="A2398" s="135">
        <v>2394.0</v>
      </c>
      <c r="B2398" s="135">
        <v>25045.0</v>
      </c>
      <c r="C2398" s="135"/>
      <c r="D2398" s="135">
        <v>34.0</v>
      </c>
      <c r="E2398" s="135" t="s">
        <v>3964</v>
      </c>
      <c r="F2398" s="135" t="s">
        <v>2283</v>
      </c>
      <c r="G2398" s="135" t="s">
        <v>105</v>
      </c>
      <c r="H2398" s="135" t="s">
        <v>2965</v>
      </c>
      <c r="I2398" s="135" t="s">
        <v>112</v>
      </c>
      <c r="J2398" s="135"/>
      <c r="K2398" s="135"/>
      <c r="L2398" s="135">
        <v>350.0</v>
      </c>
      <c r="M2398" s="135">
        <v>3050.0</v>
      </c>
      <c r="N2398" s="135">
        <v>400.0</v>
      </c>
      <c r="O2398" s="135">
        <v>0.526</v>
      </c>
      <c r="P2398" s="136">
        <v>0.0</v>
      </c>
      <c r="Q2398" s="137">
        <v>1.315</v>
      </c>
      <c r="R2398" s="136">
        <v>46139.0</v>
      </c>
      <c r="S2398" s="135" t="s">
        <v>3950</v>
      </c>
      <c r="T2398" s="136"/>
      <c r="U2398" s="135" t="s">
        <v>2966</v>
      </c>
      <c r="V2398" s="135" t="s">
        <v>2967</v>
      </c>
      <c r="W2398" s="135"/>
      <c r="X2398" s="135"/>
      <c r="Y2398" s="135"/>
      <c r="Z2398" s="135"/>
      <c r="AA2398" s="135"/>
      <c r="AB2398" s="135"/>
      <c r="AC2398" s="135"/>
      <c r="AD2398" s="135">
        <v>0.0</v>
      </c>
      <c r="AE2398" s="135"/>
      <c r="AF2398" s="135"/>
      <c r="AG2398" s="135"/>
    </row>
    <row r="2399" ht="21.75" hidden="1" customHeight="1">
      <c r="A2399" s="135">
        <v>2395.0</v>
      </c>
      <c r="B2399" s="135">
        <v>25045.0</v>
      </c>
      <c r="C2399" s="135" t="s">
        <v>2817</v>
      </c>
      <c r="D2399" s="135">
        <v>34.0</v>
      </c>
      <c r="E2399" s="135" t="s">
        <v>3966</v>
      </c>
      <c r="F2399" s="135" t="s">
        <v>2284</v>
      </c>
      <c r="G2399" s="135" t="s">
        <v>105</v>
      </c>
      <c r="H2399" s="135" t="s">
        <v>2853</v>
      </c>
      <c r="I2399" s="135" t="s">
        <v>113</v>
      </c>
      <c r="J2399" s="135">
        <v>1.0</v>
      </c>
      <c r="K2399" s="135"/>
      <c r="L2399" s="135">
        <v>5167.0</v>
      </c>
      <c r="M2399" s="135">
        <v>1450.0</v>
      </c>
      <c r="N2399" s="135">
        <v>120.0</v>
      </c>
      <c r="O2399" s="135">
        <v>0.953</v>
      </c>
      <c r="P2399" s="136">
        <v>0.0</v>
      </c>
      <c r="Q2399" s="137">
        <v>2.3825</v>
      </c>
      <c r="R2399" s="136">
        <v>46139.0</v>
      </c>
      <c r="S2399" s="135" t="s">
        <v>3950</v>
      </c>
      <c r="T2399" s="136"/>
      <c r="U2399" s="135" t="s">
        <v>2855</v>
      </c>
      <c r="V2399" s="135" t="s">
        <v>2856</v>
      </c>
      <c r="W2399" s="135">
        <v>1800.0</v>
      </c>
      <c r="X2399" s="135"/>
      <c r="Y2399" s="135"/>
      <c r="Z2399" s="135"/>
      <c r="AA2399" s="135"/>
      <c r="AB2399" s="135"/>
      <c r="AC2399" s="135"/>
      <c r="AD2399" s="135" t="e">
        <v>#N/A</v>
      </c>
      <c r="AE2399" s="135"/>
      <c r="AF2399" s="135"/>
      <c r="AG2399" s="135"/>
    </row>
    <row r="2400" ht="21.75" hidden="1" customHeight="1">
      <c r="A2400" s="135">
        <v>2396.0</v>
      </c>
      <c r="B2400" s="135">
        <v>25045.0</v>
      </c>
      <c r="C2400" s="135" t="s">
        <v>2817</v>
      </c>
      <c r="D2400" s="135">
        <v>34.0</v>
      </c>
      <c r="E2400" s="135" t="s">
        <v>3966</v>
      </c>
      <c r="F2400" s="135" t="s">
        <v>2285</v>
      </c>
      <c r="G2400" s="135" t="s">
        <v>105</v>
      </c>
      <c r="H2400" s="135" t="s">
        <v>2853</v>
      </c>
      <c r="I2400" s="135" t="s">
        <v>113</v>
      </c>
      <c r="J2400" s="135">
        <v>1.0</v>
      </c>
      <c r="K2400" s="135"/>
      <c r="L2400" s="135">
        <v>5167.0</v>
      </c>
      <c r="M2400" s="135">
        <v>1651.0</v>
      </c>
      <c r="N2400" s="135">
        <v>120.0</v>
      </c>
      <c r="O2400" s="135">
        <v>1.059</v>
      </c>
      <c r="P2400" s="136">
        <v>0.0</v>
      </c>
      <c r="Q2400" s="137">
        <v>2.6475</v>
      </c>
      <c r="R2400" s="136">
        <v>46139.0</v>
      </c>
      <c r="S2400" s="135" t="s">
        <v>3950</v>
      </c>
      <c r="T2400" s="136"/>
      <c r="U2400" s="135" t="s">
        <v>2855</v>
      </c>
      <c r="V2400" s="135" t="s">
        <v>2856</v>
      </c>
      <c r="W2400" s="135">
        <v>1800.0</v>
      </c>
      <c r="X2400" s="135"/>
      <c r="Y2400" s="135"/>
      <c r="Z2400" s="135"/>
      <c r="AA2400" s="135"/>
      <c r="AB2400" s="135"/>
      <c r="AC2400" s="135"/>
      <c r="AD2400" s="135" t="e">
        <v>#N/A</v>
      </c>
      <c r="AE2400" s="135"/>
      <c r="AF2400" s="135"/>
      <c r="AG2400" s="135"/>
    </row>
    <row r="2401" ht="21.75" hidden="1" customHeight="1">
      <c r="A2401" s="135">
        <v>2397.0</v>
      </c>
      <c r="B2401" s="135">
        <v>25045.0</v>
      </c>
      <c r="C2401" s="135" t="s">
        <v>2817</v>
      </c>
      <c r="D2401" s="135">
        <v>34.0</v>
      </c>
      <c r="E2401" s="135" t="s">
        <v>3966</v>
      </c>
      <c r="F2401" s="135" t="s">
        <v>2286</v>
      </c>
      <c r="G2401" s="135" t="s">
        <v>105</v>
      </c>
      <c r="H2401" s="135" t="s">
        <v>2853</v>
      </c>
      <c r="I2401" s="135" t="s">
        <v>113</v>
      </c>
      <c r="J2401" s="135">
        <v>1.0</v>
      </c>
      <c r="K2401" s="135"/>
      <c r="L2401" s="135">
        <v>5167.0</v>
      </c>
      <c r="M2401" s="135">
        <v>1650.0</v>
      </c>
      <c r="N2401" s="135">
        <v>120.0</v>
      </c>
      <c r="O2401" s="135">
        <v>1.058</v>
      </c>
      <c r="P2401" s="136">
        <v>0.0</v>
      </c>
      <c r="Q2401" s="137">
        <v>2.645</v>
      </c>
      <c r="R2401" s="136">
        <v>46139.0</v>
      </c>
      <c r="S2401" s="135" t="s">
        <v>3950</v>
      </c>
      <c r="T2401" s="136"/>
      <c r="U2401" s="135" t="s">
        <v>2855</v>
      </c>
      <c r="V2401" s="135" t="s">
        <v>2856</v>
      </c>
      <c r="W2401" s="135">
        <v>1800.0</v>
      </c>
      <c r="X2401" s="135"/>
      <c r="Y2401" s="135"/>
      <c r="Z2401" s="135"/>
      <c r="AA2401" s="135"/>
      <c r="AB2401" s="135"/>
      <c r="AC2401" s="135"/>
      <c r="AD2401" s="135" t="e">
        <v>#N/A</v>
      </c>
      <c r="AE2401" s="135"/>
      <c r="AF2401" s="135"/>
      <c r="AG2401" s="135"/>
    </row>
    <row r="2402" ht="21.75" hidden="1" customHeight="1">
      <c r="A2402" s="135">
        <v>2398.0</v>
      </c>
      <c r="B2402" s="135">
        <v>25045.0</v>
      </c>
      <c r="C2402" s="135" t="s">
        <v>2817</v>
      </c>
      <c r="D2402" s="135">
        <v>34.0</v>
      </c>
      <c r="E2402" s="135" t="s">
        <v>3966</v>
      </c>
      <c r="F2402" s="135" t="s">
        <v>2287</v>
      </c>
      <c r="G2402" s="135" t="s">
        <v>105</v>
      </c>
      <c r="H2402" s="135" t="s">
        <v>2853</v>
      </c>
      <c r="I2402" s="135" t="s">
        <v>113</v>
      </c>
      <c r="J2402" s="135">
        <v>1.0</v>
      </c>
      <c r="K2402" s="135"/>
      <c r="L2402" s="135">
        <v>2195.0</v>
      </c>
      <c r="M2402" s="135">
        <v>3080.0</v>
      </c>
      <c r="N2402" s="135">
        <v>120.0</v>
      </c>
      <c r="O2402" s="135">
        <v>0.834</v>
      </c>
      <c r="P2402" s="136">
        <v>0.0</v>
      </c>
      <c r="Q2402" s="137">
        <v>2.085</v>
      </c>
      <c r="R2402" s="136">
        <v>46139.0</v>
      </c>
      <c r="S2402" s="135" t="s">
        <v>3950</v>
      </c>
      <c r="T2402" s="136"/>
      <c r="U2402" s="135" t="s">
        <v>2864</v>
      </c>
      <c r="V2402" s="135" t="s">
        <v>2878</v>
      </c>
      <c r="W2402" s="135"/>
      <c r="X2402" s="135"/>
      <c r="Y2402" s="135"/>
      <c r="Z2402" s="135"/>
      <c r="AA2402" s="135"/>
      <c r="AB2402" s="135"/>
      <c r="AC2402" s="135"/>
      <c r="AD2402" s="135" t="e">
        <v>#N/A</v>
      </c>
      <c r="AE2402" s="135"/>
      <c r="AF2402" s="135"/>
      <c r="AG2402" s="135"/>
    </row>
    <row r="2403" ht="21.75" hidden="1" customHeight="1">
      <c r="A2403" s="135">
        <v>2399.0</v>
      </c>
      <c r="B2403" s="135">
        <v>25045.0</v>
      </c>
      <c r="C2403" s="135"/>
      <c r="D2403" s="135">
        <v>34.0</v>
      </c>
      <c r="E2403" s="135" t="s">
        <v>3966</v>
      </c>
      <c r="F2403" s="135" t="s">
        <v>2288</v>
      </c>
      <c r="G2403" s="135" t="s">
        <v>105</v>
      </c>
      <c r="H2403" s="135" t="s">
        <v>2853</v>
      </c>
      <c r="I2403" s="135" t="s">
        <v>113</v>
      </c>
      <c r="J2403" s="135"/>
      <c r="K2403" s="135"/>
      <c r="L2403" s="135">
        <v>3090.0</v>
      </c>
      <c r="M2403" s="135">
        <v>3200.0</v>
      </c>
      <c r="N2403" s="135">
        <v>120.0</v>
      </c>
      <c r="O2403" s="135">
        <v>1.173</v>
      </c>
      <c r="P2403" s="136">
        <v>0.0</v>
      </c>
      <c r="Q2403" s="137">
        <v>2.9325</v>
      </c>
      <c r="R2403" s="136">
        <v>46139.0</v>
      </c>
      <c r="S2403" s="135" t="s">
        <v>3950</v>
      </c>
      <c r="T2403" s="136"/>
      <c r="U2403" s="135" t="s">
        <v>2864</v>
      </c>
      <c r="V2403" s="135" t="s">
        <v>2878</v>
      </c>
      <c r="W2403" s="135"/>
      <c r="X2403" s="135"/>
      <c r="Y2403" s="135"/>
      <c r="Z2403" s="135"/>
      <c r="AA2403" s="135"/>
      <c r="AB2403" s="135"/>
      <c r="AC2403" s="135"/>
      <c r="AD2403" s="135">
        <v>0.0</v>
      </c>
      <c r="AE2403" s="135"/>
      <c r="AF2403" s="135"/>
      <c r="AG2403" s="135"/>
    </row>
    <row r="2404" ht="21.75" hidden="1" customHeight="1">
      <c r="A2404" s="135">
        <v>2400.0</v>
      </c>
      <c r="B2404" s="135">
        <v>25045.0</v>
      </c>
      <c r="C2404" s="135"/>
      <c r="D2404" s="135">
        <v>34.0</v>
      </c>
      <c r="E2404" s="135" t="s">
        <v>3966</v>
      </c>
      <c r="F2404" s="135" t="s">
        <v>2289</v>
      </c>
      <c r="G2404" s="135" t="s">
        <v>105</v>
      </c>
      <c r="H2404" s="135" t="s">
        <v>2853</v>
      </c>
      <c r="I2404" s="135" t="s">
        <v>113</v>
      </c>
      <c r="J2404" s="135"/>
      <c r="K2404" s="135"/>
      <c r="L2404" s="135">
        <v>3420.0</v>
      </c>
      <c r="M2404" s="135">
        <v>3200.0</v>
      </c>
      <c r="N2404" s="135">
        <v>120.0</v>
      </c>
      <c r="O2404" s="135">
        <v>1.304</v>
      </c>
      <c r="P2404" s="136">
        <v>0.0</v>
      </c>
      <c r="Q2404" s="137">
        <v>3.2600000000000002</v>
      </c>
      <c r="R2404" s="136">
        <v>46139.0</v>
      </c>
      <c r="S2404" s="135" t="s">
        <v>3950</v>
      </c>
      <c r="T2404" s="136"/>
      <c r="U2404" s="135" t="s">
        <v>2864</v>
      </c>
      <c r="V2404" s="135" t="s">
        <v>2878</v>
      </c>
      <c r="W2404" s="135"/>
      <c r="X2404" s="135"/>
      <c r="Y2404" s="135"/>
      <c r="Z2404" s="135"/>
      <c r="AA2404" s="135"/>
      <c r="AB2404" s="135"/>
      <c r="AC2404" s="135"/>
      <c r="AD2404" s="135">
        <v>0.0</v>
      </c>
      <c r="AE2404" s="135"/>
      <c r="AF2404" s="135"/>
      <c r="AG2404" s="135"/>
    </row>
    <row r="2405" ht="21.75" hidden="1" customHeight="1">
      <c r="A2405" s="135">
        <v>2401.0</v>
      </c>
      <c r="B2405" s="135">
        <v>25045.0</v>
      </c>
      <c r="C2405" s="135"/>
      <c r="D2405" s="135">
        <v>34.0</v>
      </c>
      <c r="E2405" s="135" t="s">
        <v>3966</v>
      </c>
      <c r="F2405" s="135" t="s">
        <v>2290</v>
      </c>
      <c r="G2405" s="135" t="s">
        <v>105</v>
      </c>
      <c r="H2405" s="135" t="s">
        <v>2853</v>
      </c>
      <c r="I2405" s="135" t="s">
        <v>113</v>
      </c>
      <c r="J2405" s="135"/>
      <c r="K2405" s="135"/>
      <c r="L2405" s="135">
        <v>3990.0</v>
      </c>
      <c r="M2405" s="135">
        <v>3200.0</v>
      </c>
      <c r="N2405" s="135">
        <v>120.0</v>
      </c>
      <c r="O2405" s="135">
        <v>1.66</v>
      </c>
      <c r="P2405" s="136">
        <v>0.0</v>
      </c>
      <c r="Q2405" s="137">
        <v>4.1499999999999995</v>
      </c>
      <c r="R2405" s="136">
        <v>46139.0</v>
      </c>
      <c r="S2405" s="135" t="s">
        <v>3950</v>
      </c>
      <c r="T2405" s="136"/>
      <c r="U2405" s="135" t="s">
        <v>2864</v>
      </c>
      <c r="V2405" s="135" t="s">
        <v>2865</v>
      </c>
      <c r="W2405" s="135"/>
      <c r="X2405" s="135"/>
      <c r="Y2405" s="135"/>
      <c r="Z2405" s="135"/>
      <c r="AA2405" s="135"/>
      <c r="AB2405" s="135"/>
      <c r="AC2405" s="135"/>
      <c r="AD2405" s="135">
        <v>0.0</v>
      </c>
      <c r="AE2405" s="135"/>
      <c r="AF2405" s="135"/>
      <c r="AG2405" s="135"/>
    </row>
    <row r="2406" ht="21.75" hidden="1" customHeight="1">
      <c r="A2406" s="135">
        <v>2402.0</v>
      </c>
      <c r="B2406" s="135">
        <v>25045.0</v>
      </c>
      <c r="C2406" s="135"/>
      <c r="D2406" s="135">
        <v>34.0</v>
      </c>
      <c r="E2406" s="135" t="s">
        <v>3966</v>
      </c>
      <c r="F2406" s="135" t="s">
        <v>2291</v>
      </c>
      <c r="G2406" s="135" t="s">
        <v>105</v>
      </c>
      <c r="H2406" s="135" t="s">
        <v>2853</v>
      </c>
      <c r="I2406" s="135" t="s">
        <v>113</v>
      </c>
      <c r="J2406" s="135"/>
      <c r="K2406" s="135"/>
      <c r="L2406" s="135">
        <v>3590.0</v>
      </c>
      <c r="M2406" s="135">
        <v>3200.0</v>
      </c>
      <c r="N2406" s="135">
        <v>120.0</v>
      </c>
      <c r="O2406" s="135">
        <v>1.42</v>
      </c>
      <c r="P2406" s="136">
        <v>0.0</v>
      </c>
      <c r="Q2406" s="137">
        <v>3.55</v>
      </c>
      <c r="R2406" s="136">
        <v>46139.0</v>
      </c>
      <c r="S2406" s="135" t="s">
        <v>3950</v>
      </c>
      <c r="T2406" s="136"/>
      <c r="U2406" s="135" t="s">
        <v>2864</v>
      </c>
      <c r="V2406" s="135" t="s">
        <v>2865</v>
      </c>
      <c r="W2406" s="135"/>
      <c r="X2406" s="135"/>
      <c r="Y2406" s="135"/>
      <c r="Z2406" s="135"/>
      <c r="AA2406" s="135"/>
      <c r="AB2406" s="135"/>
      <c r="AC2406" s="135"/>
      <c r="AD2406" s="135">
        <v>0.0</v>
      </c>
      <c r="AE2406" s="135"/>
      <c r="AF2406" s="135"/>
      <c r="AG2406" s="135"/>
    </row>
    <row r="2407" ht="21.75" hidden="1" customHeight="1">
      <c r="A2407" s="135">
        <v>2403.0</v>
      </c>
      <c r="B2407" s="135">
        <v>25045.0</v>
      </c>
      <c r="C2407" s="135"/>
      <c r="D2407" s="135">
        <v>34.0</v>
      </c>
      <c r="E2407" s="135" t="s">
        <v>3966</v>
      </c>
      <c r="F2407" s="135" t="s">
        <v>2292</v>
      </c>
      <c r="G2407" s="135" t="s">
        <v>105</v>
      </c>
      <c r="H2407" s="135" t="s">
        <v>2853</v>
      </c>
      <c r="I2407" s="135" t="s">
        <v>113</v>
      </c>
      <c r="J2407" s="135"/>
      <c r="K2407" s="135"/>
      <c r="L2407" s="135">
        <v>4460.0</v>
      </c>
      <c r="M2407" s="135">
        <v>3200.0</v>
      </c>
      <c r="N2407" s="135">
        <v>120.0</v>
      </c>
      <c r="O2407" s="135">
        <v>1.37</v>
      </c>
      <c r="P2407" s="136">
        <v>0.0</v>
      </c>
      <c r="Q2407" s="137">
        <v>3.4250000000000003</v>
      </c>
      <c r="R2407" s="136">
        <v>46139.0</v>
      </c>
      <c r="S2407" s="135" t="s">
        <v>3950</v>
      </c>
      <c r="T2407" s="136"/>
      <c r="U2407" s="135" t="s">
        <v>2864</v>
      </c>
      <c r="V2407" s="135" t="s">
        <v>2865</v>
      </c>
      <c r="W2407" s="135"/>
      <c r="X2407" s="135" t="s">
        <v>3963</v>
      </c>
      <c r="Y2407" s="135"/>
      <c r="Z2407" s="135"/>
      <c r="AA2407" s="135"/>
      <c r="AB2407" s="135"/>
      <c r="AC2407" s="135"/>
      <c r="AD2407" s="135">
        <v>0.0</v>
      </c>
      <c r="AE2407" s="135"/>
      <c r="AF2407" s="135"/>
      <c r="AG2407" s="135"/>
    </row>
    <row r="2408" ht="21.75" hidden="1" customHeight="1">
      <c r="A2408" s="135">
        <v>2404.0</v>
      </c>
      <c r="B2408" s="135">
        <v>25045.0</v>
      </c>
      <c r="C2408" s="135"/>
      <c r="D2408" s="135">
        <v>34.0</v>
      </c>
      <c r="E2408" s="135" t="s">
        <v>3966</v>
      </c>
      <c r="F2408" s="135" t="s">
        <v>2293</v>
      </c>
      <c r="G2408" s="135" t="s">
        <v>105</v>
      </c>
      <c r="H2408" s="135" t="s">
        <v>2853</v>
      </c>
      <c r="I2408" s="135" t="s">
        <v>113</v>
      </c>
      <c r="J2408" s="135"/>
      <c r="K2408" s="135"/>
      <c r="L2408" s="135">
        <v>4920.0</v>
      </c>
      <c r="M2408" s="135">
        <v>3200.0</v>
      </c>
      <c r="N2408" s="135">
        <v>120.0</v>
      </c>
      <c r="O2408" s="135">
        <v>1.959</v>
      </c>
      <c r="P2408" s="136">
        <v>0.0</v>
      </c>
      <c r="Q2408" s="137">
        <v>4.8975</v>
      </c>
      <c r="R2408" s="136">
        <v>46139.0</v>
      </c>
      <c r="S2408" s="135" t="s">
        <v>3950</v>
      </c>
      <c r="T2408" s="136"/>
      <c r="U2408" s="135" t="s">
        <v>2855</v>
      </c>
      <c r="V2408" s="135" t="s">
        <v>2868</v>
      </c>
      <c r="W2408" s="135">
        <v>1800.0</v>
      </c>
      <c r="X2408" s="135"/>
      <c r="Y2408" s="135"/>
      <c r="Z2408" s="135"/>
      <c r="AA2408" s="135"/>
      <c r="AB2408" s="135"/>
      <c r="AC2408" s="135"/>
      <c r="AD2408" s="135">
        <v>0.0</v>
      </c>
      <c r="AE2408" s="135"/>
      <c r="AF2408" s="135"/>
      <c r="AG2408" s="135"/>
    </row>
    <row r="2409" ht="21.75" hidden="1" customHeight="1">
      <c r="A2409" s="135">
        <v>2405.0</v>
      </c>
      <c r="B2409" s="135">
        <v>25045.0</v>
      </c>
      <c r="C2409" s="135"/>
      <c r="D2409" s="135">
        <v>34.0</v>
      </c>
      <c r="E2409" s="135" t="s">
        <v>3966</v>
      </c>
      <c r="F2409" s="135" t="s">
        <v>2294</v>
      </c>
      <c r="G2409" s="135" t="s">
        <v>105</v>
      </c>
      <c r="H2409" s="135" t="s">
        <v>2853</v>
      </c>
      <c r="I2409" s="135" t="s">
        <v>113</v>
      </c>
      <c r="J2409" s="135"/>
      <c r="K2409" s="135"/>
      <c r="L2409" s="135">
        <v>5001.0</v>
      </c>
      <c r="M2409" s="135">
        <v>3200.0</v>
      </c>
      <c r="N2409" s="135">
        <v>120.0</v>
      </c>
      <c r="O2409" s="135">
        <v>2.258</v>
      </c>
      <c r="P2409" s="136">
        <v>0.0</v>
      </c>
      <c r="Q2409" s="137">
        <v>5.645</v>
      </c>
      <c r="R2409" s="136">
        <v>46139.0</v>
      </c>
      <c r="S2409" s="135" t="s">
        <v>3950</v>
      </c>
      <c r="T2409" s="136"/>
      <c r="U2409" s="135" t="s">
        <v>2855</v>
      </c>
      <c r="V2409" s="135" t="s">
        <v>2878</v>
      </c>
      <c r="W2409" s="135">
        <v>2500.0</v>
      </c>
      <c r="X2409" s="135"/>
      <c r="Y2409" s="135"/>
      <c r="Z2409" s="135"/>
      <c r="AA2409" s="135"/>
      <c r="AB2409" s="135"/>
      <c r="AC2409" s="135"/>
      <c r="AD2409" s="135">
        <v>0.0</v>
      </c>
      <c r="AE2409" s="135"/>
      <c r="AF2409" s="135"/>
      <c r="AG2409" s="135"/>
    </row>
    <row r="2410" ht="21.75" hidden="1" customHeight="1">
      <c r="A2410" s="135">
        <v>2406.0</v>
      </c>
      <c r="B2410" s="135">
        <v>25045.0</v>
      </c>
      <c r="C2410" s="135"/>
      <c r="D2410" s="135">
        <v>34.0</v>
      </c>
      <c r="E2410" s="135" t="s">
        <v>3966</v>
      </c>
      <c r="F2410" s="135" t="s">
        <v>2295</v>
      </c>
      <c r="G2410" s="135" t="s">
        <v>105</v>
      </c>
      <c r="H2410" s="135"/>
      <c r="I2410" s="135" t="s">
        <v>113</v>
      </c>
      <c r="J2410" s="135">
        <v>1.0</v>
      </c>
      <c r="K2410" s="135" t="s">
        <v>3134</v>
      </c>
      <c r="L2410" s="135">
        <v>4900.0</v>
      </c>
      <c r="M2410" s="135">
        <v>3200.0</v>
      </c>
      <c r="N2410" s="135">
        <v>120.0</v>
      </c>
      <c r="O2410" s="135">
        <v>2.229</v>
      </c>
      <c r="P2410" s="136" t="s">
        <v>3967</v>
      </c>
      <c r="Q2410" s="137">
        <v>5.5725</v>
      </c>
      <c r="R2410" s="136">
        <v>46139.0</v>
      </c>
      <c r="S2410" s="135" t="s">
        <v>3950</v>
      </c>
      <c r="T2410" s="136">
        <v>46149.0</v>
      </c>
      <c r="U2410" s="135" t="s">
        <v>2855</v>
      </c>
      <c r="V2410" s="135" t="s">
        <v>2878</v>
      </c>
      <c r="W2410" s="135">
        <v>1800.0</v>
      </c>
      <c r="X2410" s="135"/>
      <c r="Y2410" s="135"/>
      <c r="Z2410" s="135"/>
      <c r="AA2410" s="135"/>
      <c r="AB2410" s="135"/>
      <c r="AC2410" s="135"/>
      <c r="AD2410" s="135">
        <v>0.0</v>
      </c>
      <c r="AE2410" s="135"/>
      <c r="AF2410" s="135"/>
      <c r="AG2410" s="135"/>
    </row>
    <row r="2411" ht="21.75" hidden="1" customHeight="1">
      <c r="A2411" s="135">
        <v>2407.0</v>
      </c>
      <c r="B2411" s="135">
        <v>25045.0</v>
      </c>
      <c r="C2411" s="135"/>
      <c r="D2411" s="135">
        <v>34.0</v>
      </c>
      <c r="E2411" s="135" t="s">
        <v>3966</v>
      </c>
      <c r="F2411" s="135" t="s">
        <v>2296</v>
      </c>
      <c r="G2411" s="135" t="s">
        <v>105</v>
      </c>
      <c r="H2411" s="135"/>
      <c r="I2411" s="135" t="s">
        <v>113</v>
      </c>
      <c r="J2411" s="135">
        <v>1.0</v>
      </c>
      <c r="K2411" s="135" t="s">
        <v>3134</v>
      </c>
      <c r="L2411" s="135">
        <v>4900.0</v>
      </c>
      <c r="M2411" s="135">
        <v>3200.0</v>
      </c>
      <c r="N2411" s="135">
        <v>120.0</v>
      </c>
      <c r="O2411" s="135">
        <v>2.229</v>
      </c>
      <c r="P2411" s="136" t="s">
        <v>3967</v>
      </c>
      <c r="Q2411" s="137">
        <v>5.5725</v>
      </c>
      <c r="R2411" s="136">
        <v>46139.0</v>
      </c>
      <c r="S2411" s="135" t="s">
        <v>3950</v>
      </c>
      <c r="T2411" s="136">
        <v>46149.0</v>
      </c>
      <c r="U2411" s="135" t="s">
        <v>2855</v>
      </c>
      <c r="V2411" s="135" t="s">
        <v>2878</v>
      </c>
      <c r="W2411" s="135">
        <v>1800.0</v>
      </c>
      <c r="X2411" s="135"/>
      <c r="Y2411" s="135"/>
      <c r="Z2411" s="135"/>
      <c r="AA2411" s="135"/>
      <c r="AB2411" s="135"/>
      <c r="AC2411" s="135"/>
      <c r="AD2411" s="135">
        <v>0.0</v>
      </c>
      <c r="AE2411" s="135"/>
      <c r="AF2411" s="135"/>
      <c r="AG2411" s="135"/>
    </row>
    <row r="2412" ht="21.75" hidden="1" customHeight="1">
      <c r="A2412" s="135">
        <v>2408.0</v>
      </c>
      <c r="B2412" s="135">
        <v>25045.0</v>
      </c>
      <c r="C2412" s="135"/>
      <c r="D2412" s="135">
        <v>34.0</v>
      </c>
      <c r="E2412" s="135" t="s">
        <v>3966</v>
      </c>
      <c r="F2412" s="135" t="s">
        <v>2297</v>
      </c>
      <c r="G2412" s="135" t="s">
        <v>105</v>
      </c>
      <c r="H2412" s="135"/>
      <c r="I2412" s="135" t="s">
        <v>113</v>
      </c>
      <c r="J2412" s="135">
        <v>1.0</v>
      </c>
      <c r="K2412" s="135" t="s">
        <v>3134</v>
      </c>
      <c r="L2412" s="135">
        <v>4900.0</v>
      </c>
      <c r="M2412" s="135">
        <v>3200.0</v>
      </c>
      <c r="N2412" s="135">
        <v>120.0</v>
      </c>
      <c r="O2412" s="135">
        <v>2.229</v>
      </c>
      <c r="P2412" s="136" t="s">
        <v>3967</v>
      </c>
      <c r="Q2412" s="137">
        <v>5.5725</v>
      </c>
      <c r="R2412" s="136">
        <v>46139.0</v>
      </c>
      <c r="S2412" s="135" t="s">
        <v>3950</v>
      </c>
      <c r="T2412" s="136">
        <v>46149.0</v>
      </c>
      <c r="U2412" s="135" t="s">
        <v>2855</v>
      </c>
      <c r="V2412" s="135" t="s">
        <v>2878</v>
      </c>
      <c r="W2412" s="135">
        <v>1800.0</v>
      </c>
      <c r="X2412" s="135"/>
      <c r="Y2412" s="135"/>
      <c r="Z2412" s="135"/>
      <c r="AA2412" s="135"/>
      <c r="AB2412" s="135"/>
      <c r="AC2412" s="135"/>
      <c r="AD2412" s="135">
        <v>0.0</v>
      </c>
      <c r="AE2412" s="135"/>
      <c r="AF2412" s="135"/>
      <c r="AG2412" s="135"/>
    </row>
    <row r="2413" ht="21.75" hidden="1" customHeight="1">
      <c r="A2413" s="135">
        <v>2409.0</v>
      </c>
      <c r="B2413" s="135">
        <v>25045.0</v>
      </c>
      <c r="C2413" s="135"/>
      <c r="D2413" s="135">
        <v>34.0</v>
      </c>
      <c r="E2413" s="135" t="s">
        <v>3966</v>
      </c>
      <c r="F2413" s="135" t="s">
        <v>2298</v>
      </c>
      <c r="G2413" s="135" t="s">
        <v>105</v>
      </c>
      <c r="H2413" s="135"/>
      <c r="I2413" s="135" t="s">
        <v>113</v>
      </c>
      <c r="J2413" s="135">
        <v>1.0</v>
      </c>
      <c r="K2413" s="135"/>
      <c r="L2413" s="135">
        <v>4900.0</v>
      </c>
      <c r="M2413" s="135">
        <v>3201.0</v>
      </c>
      <c r="N2413" s="135">
        <v>120.0</v>
      </c>
      <c r="O2413" s="135">
        <v>1.868</v>
      </c>
      <c r="P2413" s="136">
        <v>0.0</v>
      </c>
      <c r="Q2413" s="137">
        <v>4.67</v>
      </c>
      <c r="R2413" s="136">
        <v>46139.0</v>
      </c>
      <c r="S2413" s="135" t="s">
        <v>3950</v>
      </c>
      <c r="T2413" s="136"/>
      <c r="U2413" s="135" t="s">
        <v>2864</v>
      </c>
      <c r="V2413" s="135" t="s">
        <v>2890</v>
      </c>
      <c r="W2413" s="135"/>
      <c r="X2413" s="135" t="s">
        <v>3963</v>
      </c>
      <c r="Y2413" s="135"/>
      <c r="Z2413" s="135"/>
      <c r="AA2413" s="135"/>
      <c r="AB2413" s="135"/>
      <c r="AC2413" s="135"/>
      <c r="AD2413" s="135">
        <v>0.0</v>
      </c>
      <c r="AE2413" s="135"/>
      <c r="AF2413" s="135"/>
      <c r="AG2413" s="135"/>
    </row>
    <row r="2414" ht="21.75" hidden="1" customHeight="1">
      <c r="A2414" s="135">
        <v>2410.0</v>
      </c>
      <c r="B2414" s="135">
        <v>25045.0</v>
      </c>
      <c r="C2414" s="135"/>
      <c r="D2414" s="135">
        <v>34.0</v>
      </c>
      <c r="E2414" s="135" t="s">
        <v>3966</v>
      </c>
      <c r="F2414" s="135" t="s">
        <v>2299</v>
      </c>
      <c r="G2414" s="135" t="s">
        <v>105</v>
      </c>
      <c r="H2414" s="135"/>
      <c r="I2414" s="135" t="s">
        <v>113</v>
      </c>
      <c r="J2414" s="135">
        <v>1.0</v>
      </c>
      <c r="K2414" s="135"/>
      <c r="L2414" s="135">
        <v>1620.0</v>
      </c>
      <c r="M2414" s="135">
        <v>880.0</v>
      </c>
      <c r="N2414" s="135">
        <v>120.0</v>
      </c>
      <c r="O2414" s="135">
        <v>0.319</v>
      </c>
      <c r="P2414" s="136">
        <v>0.0</v>
      </c>
      <c r="Q2414" s="137">
        <v>0.7975</v>
      </c>
      <c r="R2414" s="136">
        <v>46139.0</v>
      </c>
      <c r="S2414" s="135" t="s">
        <v>3950</v>
      </c>
      <c r="T2414" s="136"/>
      <c r="U2414" s="135" t="s">
        <v>2864</v>
      </c>
      <c r="V2414" s="135" t="s">
        <v>2873</v>
      </c>
      <c r="W2414" s="135"/>
      <c r="X2414" s="135"/>
      <c r="Y2414" s="135"/>
      <c r="Z2414" s="135"/>
      <c r="AA2414" s="135"/>
      <c r="AB2414" s="135"/>
      <c r="AC2414" s="135"/>
      <c r="AD2414" s="135">
        <v>0.0</v>
      </c>
      <c r="AE2414" s="135"/>
      <c r="AF2414" s="135"/>
      <c r="AG2414" s="135"/>
    </row>
    <row r="2415" ht="21.75" hidden="1" customHeight="1">
      <c r="A2415" s="135">
        <v>2411.0</v>
      </c>
      <c r="B2415" s="135">
        <v>25045.0</v>
      </c>
      <c r="C2415" s="135"/>
      <c r="D2415" s="135">
        <v>34.0</v>
      </c>
      <c r="E2415" s="135" t="s">
        <v>3966</v>
      </c>
      <c r="F2415" s="135" t="s">
        <v>2300</v>
      </c>
      <c r="G2415" s="135" t="s">
        <v>105</v>
      </c>
      <c r="H2415" s="135"/>
      <c r="I2415" s="135" t="s">
        <v>113</v>
      </c>
      <c r="J2415" s="135">
        <v>1.0</v>
      </c>
      <c r="K2415" s="135"/>
      <c r="L2415" s="135">
        <v>400.0</v>
      </c>
      <c r="M2415" s="135">
        <v>2550.0</v>
      </c>
      <c r="N2415" s="135">
        <v>350.0</v>
      </c>
      <c r="O2415" s="135">
        <v>0.421</v>
      </c>
      <c r="P2415" s="136">
        <v>0.0</v>
      </c>
      <c r="Q2415" s="137">
        <v>1.0525</v>
      </c>
      <c r="R2415" s="136">
        <v>46139.0</v>
      </c>
      <c r="S2415" s="135" t="s">
        <v>3950</v>
      </c>
      <c r="T2415" s="136"/>
      <c r="U2415" s="135" t="s">
        <v>2966</v>
      </c>
      <c r="V2415" s="135" t="s">
        <v>2967</v>
      </c>
      <c r="W2415" s="135"/>
      <c r="X2415" s="135"/>
      <c r="Y2415" s="135"/>
      <c r="Z2415" s="135"/>
      <c r="AA2415" s="135"/>
      <c r="AB2415" s="135"/>
      <c r="AC2415" s="135"/>
      <c r="AD2415" s="135">
        <v>0.0</v>
      </c>
      <c r="AE2415" s="135"/>
      <c r="AF2415" s="135"/>
      <c r="AG2415" s="135"/>
    </row>
    <row r="2416" ht="21.75" hidden="1" customHeight="1">
      <c r="A2416" s="135">
        <v>2412.0</v>
      </c>
      <c r="B2416" s="135">
        <v>25045.0</v>
      </c>
      <c r="C2416" s="135" t="s">
        <v>2817</v>
      </c>
      <c r="D2416" s="135">
        <v>34.0</v>
      </c>
      <c r="E2416" s="135" t="s">
        <v>3968</v>
      </c>
      <c r="F2416" s="135" t="s">
        <v>2301</v>
      </c>
      <c r="G2416" s="135" t="s">
        <v>105</v>
      </c>
      <c r="H2416" s="135"/>
      <c r="I2416" s="135" t="s">
        <v>114</v>
      </c>
      <c r="J2416" s="135">
        <v>1.0</v>
      </c>
      <c r="K2416" s="135"/>
      <c r="L2416" s="135">
        <v>3476.0</v>
      </c>
      <c r="M2416" s="135">
        <v>1351.0</v>
      </c>
      <c r="N2416" s="135">
        <v>120.0</v>
      </c>
      <c r="O2416" s="135">
        <v>0.539</v>
      </c>
      <c r="P2416" s="136">
        <v>0.0</v>
      </c>
      <c r="Q2416" s="137">
        <v>1.3475000000000001</v>
      </c>
      <c r="R2416" s="136">
        <v>46139.0</v>
      </c>
      <c r="S2416" s="135" t="s">
        <v>3950</v>
      </c>
      <c r="T2416" s="136"/>
      <c r="U2416" s="135" t="s">
        <v>2864</v>
      </c>
      <c r="V2416" s="135" t="s">
        <v>2856</v>
      </c>
      <c r="W2416" s="135"/>
      <c r="X2416" s="135"/>
      <c r="Y2416" s="135"/>
      <c r="Z2416" s="135"/>
      <c r="AA2416" s="135"/>
      <c r="AB2416" s="135"/>
      <c r="AC2416" s="135"/>
      <c r="AD2416" s="135" t="e">
        <v>#N/A</v>
      </c>
      <c r="AE2416" s="135"/>
      <c r="AF2416" s="135"/>
      <c r="AG2416" s="135"/>
    </row>
    <row r="2417" ht="21.75" hidden="1" customHeight="1">
      <c r="A2417" s="135">
        <v>2413.0</v>
      </c>
      <c r="B2417" s="135">
        <v>25045.0</v>
      </c>
      <c r="C2417" s="135" t="s">
        <v>2817</v>
      </c>
      <c r="D2417" s="135">
        <v>34.0</v>
      </c>
      <c r="E2417" s="135" t="s">
        <v>3968</v>
      </c>
      <c r="F2417" s="135" t="s">
        <v>2302</v>
      </c>
      <c r="G2417" s="135" t="s">
        <v>105</v>
      </c>
      <c r="H2417" s="135"/>
      <c r="I2417" s="135" t="s">
        <v>114</v>
      </c>
      <c r="J2417" s="135">
        <v>1.0</v>
      </c>
      <c r="K2417" s="135"/>
      <c r="L2417" s="135">
        <v>4598.0</v>
      </c>
      <c r="M2417" s="135">
        <v>1350.0</v>
      </c>
      <c r="N2417" s="135">
        <v>120.0</v>
      </c>
      <c r="O2417" s="135">
        <v>0.882</v>
      </c>
      <c r="P2417" s="136">
        <v>0.0</v>
      </c>
      <c r="Q2417" s="137">
        <v>2.205</v>
      </c>
      <c r="R2417" s="136">
        <v>46139.0</v>
      </c>
      <c r="S2417" s="135" t="s">
        <v>3950</v>
      </c>
      <c r="T2417" s="136"/>
      <c r="U2417" s="135" t="s">
        <v>2855</v>
      </c>
      <c r="V2417" s="135" t="s">
        <v>2856</v>
      </c>
      <c r="W2417" s="135">
        <v>1800.0</v>
      </c>
      <c r="X2417" s="135"/>
      <c r="Y2417" s="135"/>
      <c r="Z2417" s="135"/>
      <c r="AA2417" s="135"/>
      <c r="AB2417" s="135"/>
      <c r="AC2417" s="135"/>
      <c r="AD2417" s="135" t="e">
        <v>#N/A</v>
      </c>
      <c r="AE2417" s="135"/>
      <c r="AF2417" s="135"/>
      <c r="AG2417" s="135"/>
    </row>
    <row r="2418" ht="21.75" hidden="1" customHeight="1">
      <c r="A2418" s="135">
        <v>2414.0</v>
      </c>
      <c r="B2418" s="135">
        <v>25045.0</v>
      </c>
      <c r="C2418" s="135" t="s">
        <v>2817</v>
      </c>
      <c r="D2418" s="135">
        <v>34.0</v>
      </c>
      <c r="E2418" s="135" t="s">
        <v>3968</v>
      </c>
      <c r="F2418" s="135" t="s">
        <v>2303</v>
      </c>
      <c r="G2418" s="135" t="s">
        <v>105</v>
      </c>
      <c r="H2418" s="135"/>
      <c r="I2418" s="135" t="s">
        <v>114</v>
      </c>
      <c r="J2418" s="135">
        <v>1.0</v>
      </c>
      <c r="K2418" s="135"/>
      <c r="L2418" s="135">
        <v>4598.0</v>
      </c>
      <c r="M2418" s="135">
        <v>2850.0</v>
      </c>
      <c r="N2418" s="135">
        <v>120.0</v>
      </c>
      <c r="O2418" s="135">
        <v>1.025</v>
      </c>
      <c r="P2418" s="136">
        <v>0.0</v>
      </c>
      <c r="Q2418" s="137">
        <v>2.5625</v>
      </c>
      <c r="R2418" s="136">
        <v>46139.0</v>
      </c>
      <c r="S2418" s="135" t="s">
        <v>3950</v>
      </c>
      <c r="T2418" s="136"/>
      <c r="U2418" s="135" t="s">
        <v>2855</v>
      </c>
      <c r="V2418" s="135" t="s">
        <v>2856</v>
      </c>
      <c r="W2418" s="135">
        <v>1800.0</v>
      </c>
      <c r="X2418" s="135" t="s">
        <v>3958</v>
      </c>
      <c r="Y2418" s="135"/>
      <c r="Z2418" s="135"/>
      <c r="AA2418" s="135"/>
      <c r="AB2418" s="135"/>
      <c r="AC2418" s="135"/>
      <c r="AD2418" s="135" t="e">
        <v>#N/A</v>
      </c>
      <c r="AE2418" s="135"/>
      <c r="AF2418" s="135"/>
      <c r="AG2418" s="135"/>
    </row>
    <row r="2419" ht="21.75" hidden="1" customHeight="1">
      <c r="A2419" s="135">
        <v>2415.0</v>
      </c>
      <c r="B2419" s="135">
        <v>25045.0</v>
      </c>
      <c r="C2419" s="135" t="s">
        <v>2817</v>
      </c>
      <c r="D2419" s="135">
        <v>34.0</v>
      </c>
      <c r="E2419" s="135" t="s">
        <v>3968</v>
      </c>
      <c r="F2419" s="135" t="s">
        <v>2304</v>
      </c>
      <c r="G2419" s="135" t="s">
        <v>105</v>
      </c>
      <c r="H2419" s="135"/>
      <c r="I2419" s="135" t="s">
        <v>114</v>
      </c>
      <c r="J2419" s="135">
        <v>1.0</v>
      </c>
      <c r="K2419" s="135"/>
      <c r="L2419" s="135">
        <v>3317.0</v>
      </c>
      <c r="M2419" s="135">
        <v>3470.0</v>
      </c>
      <c r="N2419" s="135">
        <v>120.0</v>
      </c>
      <c r="O2419" s="135">
        <v>1.252</v>
      </c>
      <c r="P2419" s="136">
        <v>0.0</v>
      </c>
      <c r="Q2419" s="137">
        <v>3.13</v>
      </c>
      <c r="R2419" s="136">
        <v>46139.0</v>
      </c>
      <c r="S2419" s="135" t="s">
        <v>3950</v>
      </c>
      <c r="T2419" s="136"/>
      <c r="U2419" s="135" t="s">
        <v>2864</v>
      </c>
      <c r="V2419" s="135" t="s">
        <v>2865</v>
      </c>
      <c r="W2419" s="135"/>
      <c r="X2419" s="135"/>
      <c r="Y2419" s="135"/>
      <c r="Z2419" s="135"/>
      <c r="AA2419" s="135"/>
      <c r="AB2419" s="135"/>
      <c r="AC2419" s="135"/>
      <c r="AD2419" s="135" t="e">
        <v>#N/A</v>
      </c>
      <c r="AE2419" s="135"/>
      <c r="AF2419" s="135"/>
      <c r="AG2419" s="135"/>
    </row>
    <row r="2420" ht="21.75" hidden="1" customHeight="1">
      <c r="A2420" s="135">
        <v>2416.0</v>
      </c>
      <c r="B2420" s="135">
        <v>25045.0</v>
      </c>
      <c r="C2420" s="135"/>
      <c r="D2420" s="135">
        <v>34.0</v>
      </c>
      <c r="E2420" s="135" t="s">
        <v>3968</v>
      </c>
      <c r="F2420" s="135" t="s">
        <v>2305</v>
      </c>
      <c r="G2420" s="135" t="s">
        <v>105</v>
      </c>
      <c r="H2420" s="135"/>
      <c r="I2420" s="135" t="s">
        <v>114</v>
      </c>
      <c r="J2420" s="135">
        <v>1.0</v>
      </c>
      <c r="K2420" s="135"/>
      <c r="L2420" s="135">
        <v>3850.0</v>
      </c>
      <c r="M2420" s="135">
        <v>3200.0</v>
      </c>
      <c r="N2420" s="135">
        <v>120.0</v>
      </c>
      <c r="O2420" s="135">
        <v>1.695</v>
      </c>
      <c r="P2420" s="136">
        <v>0.0</v>
      </c>
      <c r="Q2420" s="137">
        <v>4.2375</v>
      </c>
      <c r="R2420" s="136">
        <v>46139.0</v>
      </c>
      <c r="S2420" s="135" t="s">
        <v>3950</v>
      </c>
      <c r="T2420" s="136"/>
      <c r="U2420" s="135" t="s">
        <v>2864</v>
      </c>
      <c r="V2420" s="135" t="s">
        <v>2982</v>
      </c>
      <c r="W2420" s="135"/>
      <c r="X2420" s="135"/>
      <c r="Y2420" s="135"/>
      <c r="Z2420" s="135"/>
      <c r="AA2420" s="135"/>
      <c r="AB2420" s="135"/>
      <c r="AC2420" s="135"/>
      <c r="AD2420" s="135">
        <v>0.0</v>
      </c>
      <c r="AE2420" s="135"/>
      <c r="AF2420" s="135"/>
      <c r="AG2420" s="135"/>
    </row>
    <row r="2421" ht="21.75" hidden="1" customHeight="1">
      <c r="A2421" s="135">
        <v>2417.0</v>
      </c>
      <c r="B2421" s="135">
        <v>25045.0</v>
      </c>
      <c r="C2421" s="135"/>
      <c r="D2421" s="135">
        <v>34.0</v>
      </c>
      <c r="E2421" s="135" t="s">
        <v>3968</v>
      </c>
      <c r="F2421" s="135" t="s">
        <v>2306</v>
      </c>
      <c r="G2421" s="135" t="s">
        <v>105</v>
      </c>
      <c r="H2421" s="135"/>
      <c r="I2421" s="135" t="s">
        <v>114</v>
      </c>
      <c r="J2421" s="135">
        <v>1.0</v>
      </c>
      <c r="K2421" s="135"/>
      <c r="L2421" s="135">
        <v>5001.0</v>
      </c>
      <c r="M2421" s="135">
        <v>3401.0</v>
      </c>
      <c r="N2421" s="135">
        <v>120.0</v>
      </c>
      <c r="O2421" s="135">
        <v>2.378</v>
      </c>
      <c r="P2421" s="136">
        <v>0.0</v>
      </c>
      <c r="Q2421" s="137">
        <v>5.945</v>
      </c>
      <c r="R2421" s="136">
        <v>46139.0</v>
      </c>
      <c r="S2421" s="135" t="s">
        <v>3950</v>
      </c>
      <c r="T2421" s="136"/>
      <c r="U2421" s="135" t="s">
        <v>2855</v>
      </c>
      <c r="V2421" s="135" t="s">
        <v>2878</v>
      </c>
      <c r="W2421" s="135">
        <v>2500.0</v>
      </c>
      <c r="X2421" s="135"/>
      <c r="Y2421" s="135"/>
      <c r="Z2421" s="135"/>
      <c r="AA2421" s="135"/>
      <c r="AB2421" s="135"/>
      <c r="AC2421" s="135"/>
      <c r="AD2421" s="135">
        <v>0.0</v>
      </c>
      <c r="AE2421" s="135"/>
      <c r="AF2421" s="135"/>
      <c r="AG2421" s="135"/>
    </row>
    <row r="2422" ht="21.75" hidden="1" customHeight="1">
      <c r="A2422" s="135">
        <v>2418.0</v>
      </c>
      <c r="B2422" s="135">
        <v>25045.0</v>
      </c>
      <c r="C2422" s="135"/>
      <c r="D2422" s="135">
        <v>34.0</v>
      </c>
      <c r="E2422" s="135" t="s">
        <v>3968</v>
      </c>
      <c r="F2422" s="135" t="s">
        <v>2307</v>
      </c>
      <c r="G2422" s="135" t="s">
        <v>105</v>
      </c>
      <c r="H2422" s="135"/>
      <c r="I2422" s="135" t="s">
        <v>114</v>
      </c>
      <c r="J2422" s="135">
        <v>1.0</v>
      </c>
      <c r="K2422" s="135" t="s">
        <v>3134</v>
      </c>
      <c r="L2422" s="135">
        <v>4672.0</v>
      </c>
      <c r="M2422" s="135">
        <v>3400.0</v>
      </c>
      <c r="N2422" s="135">
        <v>120.0</v>
      </c>
      <c r="O2422" s="135">
        <v>2.276</v>
      </c>
      <c r="P2422" s="136">
        <v>0.0</v>
      </c>
      <c r="Q2422" s="137">
        <v>5.6899999999999995</v>
      </c>
      <c r="R2422" s="136">
        <v>46139.0</v>
      </c>
      <c r="S2422" s="135" t="s">
        <v>3950</v>
      </c>
      <c r="T2422" s="136"/>
      <c r="U2422" s="135" t="s">
        <v>2855</v>
      </c>
      <c r="V2422" s="135" t="s">
        <v>2878</v>
      </c>
      <c r="W2422" s="135">
        <v>1800.0</v>
      </c>
      <c r="X2422" s="135"/>
      <c r="Y2422" s="135"/>
      <c r="Z2422" s="135"/>
      <c r="AA2422" s="135"/>
      <c r="AB2422" s="135"/>
      <c r="AC2422" s="135"/>
      <c r="AD2422" s="135">
        <v>0.0</v>
      </c>
      <c r="AE2422" s="135"/>
      <c r="AF2422" s="135"/>
      <c r="AG2422" s="135"/>
    </row>
    <row r="2423" ht="21.75" hidden="1" customHeight="1">
      <c r="A2423" s="135">
        <v>2419.0</v>
      </c>
      <c r="B2423" s="135">
        <v>25045.0</v>
      </c>
      <c r="C2423" s="135"/>
      <c r="D2423" s="135">
        <v>34.0</v>
      </c>
      <c r="E2423" s="135" t="s">
        <v>3968</v>
      </c>
      <c r="F2423" s="135" t="s">
        <v>2308</v>
      </c>
      <c r="G2423" s="135" t="s">
        <v>105</v>
      </c>
      <c r="H2423" s="135"/>
      <c r="I2423" s="135" t="s">
        <v>114</v>
      </c>
      <c r="J2423" s="135">
        <v>1.0</v>
      </c>
      <c r="K2423" s="135" t="s">
        <v>3134</v>
      </c>
      <c r="L2423" s="135">
        <v>4672.0</v>
      </c>
      <c r="M2423" s="135">
        <v>3400.0</v>
      </c>
      <c r="N2423" s="135">
        <v>120.0</v>
      </c>
      <c r="O2423" s="135">
        <v>2.276</v>
      </c>
      <c r="P2423" s="136">
        <v>0.0</v>
      </c>
      <c r="Q2423" s="137">
        <v>5.6899999999999995</v>
      </c>
      <c r="R2423" s="136">
        <v>46139.0</v>
      </c>
      <c r="S2423" s="135" t="s">
        <v>3950</v>
      </c>
      <c r="T2423" s="136"/>
      <c r="U2423" s="135" t="s">
        <v>2855</v>
      </c>
      <c r="V2423" s="135" t="s">
        <v>2878</v>
      </c>
      <c r="W2423" s="135">
        <v>1800.0</v>
      </c>
      <c r="X2423" s="135"/>
      <c r="Y2423" s="135"/>
      <c r="Z2423" s="135"/>
      <c r="AA2423" s="135"/>
      <c r="AB2423" s="135"/>
      <c r="AC2423" s="135"/>
      <c r="AD2423" s="135">
        <v>0.0</v>
      </c>
      <c r="AE2423" s="135"/>
      <c r="AF2423" s="135"/>
      <c r="AG2423" s="135"/>
    </row>
    <row r="2424" ht="21.75" hidden="1" customHeight="1">
      <c r="A2424" s="135">
        <v>2420.0</v>
      </c>
      <c r="B2424" s="135">
        <v>25045.0</v>
      </c>
      <c r="C2424" s="135"/>
      <c r="D2424" s="135">
        <v>34.0</v>
      </c>
      <c r="E2424" s="135" t="s">
        <v>3968</v>
      </c>
      <c r="F2424" s="135" t="s">
        <v>2309</v>
      </c>
      <c r="G2424" s="135" t="s">
        <v>105</v>
      </c>
      <c r="H2424" s="135"/>
      <c r="I2424" s="135" t="s">
        <v>114</v>
      </c>
      <c r="J2424" s="135">
        <v>1.0</v>
      </c>
      <c r="K2424" s="135" t="s">
        <v>3134</v>
      </c>
      <c r="L2424" s="135">
        <v>4672.0</v>
      </c>
      <c r="M2424" s="135">
        <v>3400.0</v>
      </c>
      <c r="N2424" s="135">
        <v>120.0</v>
      </c>
      <c r="O2424" s="135">
        <v>2.276</v>
      </c>
      <c r="P2424" s="136">
        <v>0.0</v>
      </c>
      <c r="Q2424" s="137">
        <v>5.6899999999999995</v>
      </c>
      <c r="R2424" s="136">
        <v>46139.0</v>
      </c>
      <c r="S2424" s="135" t="s">
        <v>3950</v>
      </c>
      <c r="T2424" s="136"/>
      <c r="U2424" s="135" t="s">
        <v>2855</v>
      </c>
      <c r="V2424" s="135" t="s">
        <v>2878</v>
      </c>
      <c r="W2424" s="135">
        <v>1800.0</v>
      </c>
      <c r="X2424" s="135"/>
      <c r="Y2424" s="135"/>
      <c r="Z2424" s="135"/>
      <c r="AA2424" s="135"/>
      <c r="AB2424" s="135"/>
      <c r="AC2424" s="135"/>
      <c r="AD2424" s="135">
        <v>0.0</v>
      </c>
      <c r="AE2424" s="135"/>
      <c r="AF2424" s="135"/>
      <c r="AG2424" s="135"/>
    </row>
    <row r="2425" ht="21.75" hidden="1" customHeight="1">
      <c r="A2425" s="135">
        <v>2421.0</v>
      </c>
      <c r="B2425" s="135">
        <v>25045.0</v>
      </c>
      <c r="C2425" s="135"/>
      <c r="D2425" s="135">
        <v>34.0</v>
      </c>
      <c r="E2425" s="135" t="s">
        <v>3968</v>
      </c>
      <c r="F2425" s="135" t="s">
        <v>2310</v>
      </c>
      <c r="G2425" s="135" t="s">
        <v>105</v>
      </c>
      <c r="H2425" s="135"/>
      <c r="I2425" s="135" t="s">
        <v>114</v>
      </c>
      <c r="J2425" s="135">
        <v>1.0</v>
      </c>
      <c r="K2425" s="135"/>
      <c r="L2425" s="135">
        <v>4672.0</v>
      </c>
      <c r="M2425" s="135">
        <v>3399.0</v>
      </c>
      <c r="N2425" s="135">
        <v>120.0</v>
      </c>
      <c r="O2425" s="135">
        <v>3.877</v>
      </c>
      <c r="P2425" s="136">
        <v>0.0</v>
      </c>
      <c r="Q2425" s="137">
        <v>9.692499999999999</v>
      </c>
      <c r="R2425" s="136">
        <v>46139.0</v>
      </c>
      <c r="S2425" s="135" t="s">
        <v>3950</v>
      </c>
      <c r="T2425" s="136"/>
      <c r="U2425" s="135" t="s">
        <v>2864</v>
      </c>
      <c r="V2425" s="135" t="s">
        <v>2890</v>
      </c>
      <c r="W2425" s="135"/>
      <c r="X2425" s="135" t="s">
        <v>3963</v>
      </c>
      <c r="Y2425" s="135"/>
      <c r="Z2425" s="135"/>
      <c r="AA2425" s="135"/>
      <c r="AB2425" s="135"/>
      <c r="AC2425" s="135"/>
      <c r="AD2425" s="135">
        <v>0.0</v>
      </c>
      <c r="AE2425" s="135"/>
      <c r="AF2425" s="135"/>
      <c r="AG2425" s="135"/>
    </row>
    <row r="2426" ht="21.75" hidden="1" customHeight="1">
      <c r="A2426" s="135">
        <v>2422.0</v>
      </c>
      <c r="B2426" s="135">
        <v>25045.0</v>
      </c>
      <c r="C2426" s="135"/>
      <c r="D2426" s="135">
        <v>34.0</v>
      </c>
      <c r="E2426" s="135" t="s">
        <v>3968</v>
      </c>
      <c r="F2426" s="135" t="s">
        <v>2311</v>
      </c>
      <c r="G2426" s="135" t="s">
        <v>105</v>
      </c>
      <c r="H2426" s="135"/>
      <c r="I2426" s="135" t="s">
        <v>114</v>
      </c>
      <c r="J2426" s="135">
        <v>1.0</v>
      </c>
      <c r="K2426" s="135"/>
      <c r="L2426" s="135">
        <v>4900.0</v>
      </c>
      <c r="M2426" s="135">
        <v>3200.0</v>
      </c>
      <c r="N2426" s="135">
        <v>120.0</v>
      </c>
      <c r="O2426" s="135">
        <v>1.893</v>
      </c>
      <c r="P2426" s="136">
        <v>0.0</v>
      </c>
      <c r="Q2426" s="137">
        <v>4.7325</v>
      </c>
      <c r="R2426" s="136">
        <v>46139.0</v>
      </c>
      <c r="S2426" s="135" t="s">
        <v>3950</v>
      </c>
      <c r="T2426" s="136"/>
      <c r="U2426" s="135" t="s">
        <v>2864</v>
      </c>
      <c r="V2426" s="135" t="s">
        <v>2890</v>
      </c>
      <c r="W2426" s="135"/>
      <c r="X2426" s="135" t="s">
        <v>3962</v>
      </c>
      <c r="Y2426" s="135"/>
      <c r="Z2426" s="135"/>
      <c r="AA2426" s="135"/>
      <c r="AB2426" s="135"/>
      <c r="AC2426" s="135"/>
      <c r="AD2426" s="135">
        <v>0.0</v>
      </c>
      <c r="AE2426" s="135"/>
      <c r="AF2426" s="135"/>
      <c r="AG2426" s="135"/>
    </row>
    <row r="2427" ht="21.75" hidden="1" customHeight="1">
      <c r="A2427" s="135">
        <v>2423.0</v>
      </c>
      <c r="B2427" s="135">
        <v>25045.0</v>
      </c>
      <c r="C2427" s="135"/>
      <c r="D2427" s="135">
        <v>34.0</v>
      </c>
      <c r="E2427" s="135" t="s">
        <v>3968</v>
      </c>
      <c r="F2427" s="135" t="s">
        <v>2312</v>
      </c>
      <c r="G2427" s="135" t="s">
        <v>105</v>
      </c>
      <c r="H2427" s="135"/>
      <c r="I2427" s="135" t="s">
        <v>114</v>
      </c>
      <c r="J2427" s="135">
        <v>1.0</v>
      </c>
      <c r="K2427" s="135" t="s">
        <v>3134</v>
      </c>
      <c r="L2427" s="135">
        <v>4900.0</v>
      </c>
      <c r="M2427" s="135">
        <v>3200.0</v>
      </c>
      <c r="N2427" s="135">
        <v>120.0</v>
      </c>
      <c r="O2427" s="135">
        <v>2.229</v>
      </c>
      <c r="P2427" s="136">
        <v>0.0</v>
      </c>
      <c r="Q2427" s="137">
        <v>5.5725</v>
      </c>
      <c r="R2427" s="136">
        <v>46139.0</v>
      </c>
      <c r="S2427" s="135" t="s">
        <v>3950</v>
      </c>
      <c r="T2427" s="136"/>
      <c r="U2427" s="135" t="s">
        <v>2855</v>
      </c>
      <c r="V2427" s="135" t="s">
        <v>2878</v>
      </c>
      <c r="W2427" s="135">
        <v>1800.0</v>
      </c>
      <c r="X2427" s="135"/>
      <c r="Y2427" s="135"/>
      <c r="Z2427" s="135"/>
      <c r="AA2427" s="135"/>
      <c r="AB2427" s="135"/>
      <c r="AC2427" s="135"/>
      <c r="AD2427" s="135">
        <v>0.0</v>
      </c>
      <c r="AE2427" s="135"/>
      <c r="AF2427" s="135"/>
      <c r="AG2427" s="135"/>
    </row>
    <row r="2428" ht="21.75" hidden="1" customHeight="1">
      <c r="A2428" s="135">
        <v>2424.0</v>
      </c>
      <c r="B2428" s="135">
        <v>25045.0</v>
      </c>
      <c r="C2428" s="135"/>
      <c r="D2428" s="135">
        <v>34.0</v>
      </c>
      <c r="E2428" s="135" t="s">
        <v>3968</v>
      </c>
      <c r="F2428" s="135" t="s">
        <v>2313</v>
      </c>
      <c r="G2428" s="135" t="s">
        <v>105</v>
      </c>
      <c r="H2428" s="135"/>
      <c r="I2428" s="135" t="s">
        <v>114</v>
      </c>
      <c r="J2428" s="135">
        <v>1.0</v>
      </c>
      <c r="K2428" s="135" t="s">
        <v>3134</v>
      </c>
      <c r="L2428" s="135">
        <v>4900.0</v>
      </c>
      <c r="M2428" s="135">
        <v>3200.0</v>
      </c>
      <c r="N2428" s="135">
        <v>120.0</v>
      </c>
      <c r="O2428" s="135">
        <v>2.229</v>
      </c>
      <c r="P2428" s="136">
        <v>0.0</v>
      </c>
      <c r="Q2428" s="137">
        <v>5.5725</v>
      </c>
      <c r="R2428" s="136">
        <v>46139.0</v>
      </c>
      <c r="S2428" s="135" t="s">
        <v>3950</v>
      </c>
      <c r="T2428" s="136"/>
      <c r="U2428" s="135" t="s">
        <v>2855</v>
      </c>
      <c r="V2428" s="135" t="s">
        <v>2878</v>
      </c>
      <c r="W2428" s="135">
        <v>1800.0</v>
      </c>
      <c r="X2428" s="135"/>
      <c r="Y2428" s="135"/>
      <c r="Z2428" s="135"/>
      <c r="AA2428" s="135"/>
      <c r="AB2428" s="135"/>
      <c r="AC2428" s="135"/>
      <c r="AD2428" s="135">
        <v>0.0</v>
      </c>
      <c r="AE2428" s="135"/>
      <c r="AF2428" s="135"/>
      <c r="AG2428" s="135"/>
    </row>
    <row r="2429" ht="21.75" hidden="1" customHeight="1">
      <c r="A2429" s="135">
        <v>2425.0</v>
      </c>
      <c r="B2429" s="135">
        <v>25045.0</v>
      </c>
      <c r="C2429" s="135"/>
      <c r="D2429" s="135">
        <v>34.0</v>
      </c>
      <c r="E2429" s="135" t="s">
        <v>3968</v>
      </c>
      <c r="F2429" s="135" t="s">
        <v>2314</v>
      </c>
      <c r="G2429" s="135" t="s">
        <v>105</v>
      </c>
      <c r="H2429" s="135"/>
      <c r="I2429" s="135" t="s">
        <v>114</v>
      </c>
      <c r="J2429" s="135">
        <v>1.0</v>
      </c>
      <c r="K2429" s="135" t="s">
        <v>3134</v>
      </c>
      <c r="L2429" s="135">
        <v>4900.0</v>
      </c>
      <c r="M2429" s="135">
        <v>3200.0</v>
      </c>
      <c r="N2429" s="135">
        <v>120.0</v>
      </c>
      <c r="O2429" s="135">
        <v>2.229</v>
      </c>
      <c r="P2429" s="136">
        <v>0.0</v>
      </c>
      <c r="Q2429" s="137">
        <v>5.5725</v>
      </c>
      <c r="R2429" s="136">
        <v>46139.0</v>
      </c>
      <c r="S2429" s="135" t="s">
        <v>3950</v>
      </c>
      <c r="T2429" s="136"/>
      <c r="U2429" s="135" t="s">
        <v>2855</v>
      </c>
      <c r="V2429" s="135" t="s">
        <v>2878</v>
      </c>
      <c r="W2429" s="135">
        <v>1800.0</v>
      </c>
      <c r="X2429" s="135"/>
      <c r="Y2429" s="135"/>
      <c r="Z2429" s="135"/>
      <c r="AA2429" s="135"/>
      <c r="AB2429" s="135"/>
      <c r="AC2429" s="135"/>
      <c r="AD2429" s="135">
        <v>0.0</v>
      </c>
      <c r="AE2429" s="135"/>
      <c r="AF2429" s="135"/>
      <c r="AG2429" s="135"/>
    </row>
    <row r="2430" ht="21.75" hidden="1" customHeight="1">
      <c r="A2430" s="135">
        <v>2426.0</v>
      </c>
      <c r="B2430" s="135">
        <v>25045.0</v>
      </c>
      <c r="C2430" s="135"/>
      <c r="D2430" s="135">
        <v>34.0</v>
      </c>
      <c r="E2430" s="135" t="s">
        <v>3968</v>
      </c>
      <c r="F2430" s="135" t="s">
        <v>2315</v>
      </c>
      <c r="G2430" s="135" t="s">
        <v>105</v>
      </c>
      <c r="H2430" s="135"/>
      <c r="I2430" s="135" t="s">
        <v>114</v>
      </c>
      <c r="J2430" s="135">
        <v>1.0</v>
      </c>
      <c r="K2430" s="135"/>
      <c r="L2430" s="135">
        <v>1635.0</v>
      </c>
      <c r="M2430" s="135">
        <v>1750.0</v>
      </c>
      <c r="N2430" s="135">
        <v>120.0</v>
      </c>
      <c r="O2430" s="135">
        <v>0.439</v>
      </c>
      <c r="P2430" s="136">
        <v>0.0</v>
      </c>
      <c r="Q2430" s="137">
        <v>1.0975</v>
      </c>
      <c r="R2430" s="136">
        <v>46139.0</v>
      </c>
      <c r="S2430" s="135" t="s">
        <v>3950</v>
      </c>
      <c r="T2430" s="136"/>
      <c r="U2430" s="135" t="s">
        <v>2864</v>
      </c>
      <c r="V2430" s="135" t="s">
        <v>2873</v>
      </c>
      <c r="W2430" s="135"/>
      <c r="X2430" s="135"/>
      <c r="Y2430" s="135"/>
      <c r="Z2430" s="135"/>
      <c r="AA2430" s="135"/>
      <c r="AB2430" s="135"/>
      <c r="AC2430" s="135"/>
      <c r="AD2430" s="135">
        <v>0.0</v>
      </c>
      <c r="AE2430" s="135"/>
      <c r="AF2430" s="135"/>
      <c r="AG2430" s="135"/>
    </row>
    <row r="2431" ht="21.75" hidden="1" customHeight="1">
      <c r="A2431" s="135">
        <v>2427.0</v>
      </c>
      <c r="B2431" s="135">
        <v>25045.0</v>
      </c>
      <c r="C2431" s="135"/>
      <c r="D2431" s="135">
        <v>34.0</v>
      </c>
      <c r="E2431" s="135" t="s">
        <v>3968</v>
      </c>
      <c r="F2431" s="135" t="s">
        <v>2316</v>
      </c>
      <c r="G2431" s="135" t="s">
        <v>105</v>
      </c>
      <c r="H2431" s="135"/>
      <c r="I2431" s="135" t="s">
        <v>114</v>
      </c>
      <c r="J2431" s="135">
        <v>1.0</v>
      </c>
      <c r="K2431" s="135"/>
      <c r="L2431" s="135">
        <v>400.0</v>
      </c>
      <c r="M2431" s="135">
        <v>3370.0</v>
      </c>
      <c r="N2431" s="135">
        <v>350.0</v>
      </c>
      <c r="O2431" s="135">
        <v>0.536</v>
      </c>
      <c r="P2431" s="136">
        <v>0.0</v>
      </c>
      <c r="Q2431" s="137">
        <v>1.34</v>
      </c>
      <c r="R2431" s="136">
        <v>46139.0</v>
      </c>
      <c r="S2431" s="135" t="s">
        <v>3950</v>
      </c>
      <c r="T2431" s="136"/>
      <c r="U2431" s="135" t="s">
        <v>2966</v>
      </c>
      <c r="V2431" s="135" t="s">
        <v>2967</v>
      </c>
      <c r="W2431" s="135"/>
      <c r="X2431" s="135"/>
      <c r="Y2431" s="135"/>
      <c r="Z2431" s="135"/>
      <c r="AA2431" s="135"/>
      <c r="AB2431" s="135"/>
      <c r="AC2431" s="135"/>
      <c r="AD2431" s="135">
        <v>0.0</v>
      </c>
      <c r="AE2431" s="135"/>
      <c r="AF2431" s="135"/>
      <c r="AG2431" s="135"/>
    </row>
    <row r="2432" ht="21.75" hidden="1" customHeight="1">
      <c r="A2432" s="135">
        <v>2428.0</v>
      </c>
      <c r="B2432" s="135">
        <v>25045.0</v>
      </c>
      <c r="C2432" s="135" t="s">
        <v>2817</v>
      </c>
      <c r="D2432" s="135">
        <v>34.0</v>
      </c>
      <c r="E2432" s="135" t="s">
        <v>3969</v>
      </c>
      <c r="F2432" s="135" t="s">
        <v>2317</v>
      </c>
      <c r="G2432" s="135" t="s">
        <v>105</v>
      </c>
      <c r="H2432" s="135"/>
      <c r="I2432" s="135" t="s">
        <v>115</v>
      </c>
      <c r="J2432" s="135">
        <v>1.0</v>
      </c>
      <c r="K2432" s="135"/>
      <c r="L2432" s="135">
        <v>4458.0</v>
      </c>
      <c r="M2432" s="135">
        <v>1800.0</v>
      </c>
      <c r="N2432" s="135">
        <v>120.0</v>
      </c>
      <c r="O2432" s="135">
        <v>1.066</v>
      </c>
      <c r="P2432" s="136">
        <v>0.0</v>
      </c>
      <c r="Q2432" s="137">
        <v>2.665</v>
      </c>
      <c r="R2432" s="136">
        <v>46139.0</v>
      </c>
      <c r="S2432" s="135" t="s">
        <v>3950</v>
      </c>
      <c r="T2432" s="136"/>
      <c r="U2432" s="135" t="s">
        <v>2855</v>
      </c>
      <c r="V2432" s="135" t="s">
        <v>2856</v>
      </c>
      <c r="W2432" s="135">
        <v>1800.0</v>
      </c>
      <c r="X2432" s="135"/>
      <c r="Y2432" s="135"/>
      <c r="Z2432" s="135"/>
      <c r="AA2432" s="135"/>
      <c r="AB2432" s="135"/>
      <c r="AC2432" s="135"/>
      <c r="AD2432" s="135" t="e">
        <v>#N/A</v>
      </c>
      <c r="AE2432" s="135"/>
      <c r="AF2432" s="135"/>
      <c r="AG2432" s="135"/>
    </row>
    <row r="2433" ht="21.75" hidden="1" customHeight="1">
      <c r="A2433" s="135">
        <v>2429.0</v>
      </c>
      <c r="B2433" s="135">
        <v>25045.0</v>
      </c>
      <c r="C2433" s="135" t="s">
        <v>2817</v>
      </c>
      <c r="D2433" s="135">
        <v>34.0</v>
      </c>
      <c r="E2433" s="135" t="s">
        <v>3969</v>
      </c>
      <c r="F2433" s="135" t="s">
        <v>2318</v>
      </c>
      <c r="G2433" s="135" t="s">
        <v>105</v>
      </c>
      <c r="H2433" s="135"/>
      <c r="I2433" s="135" t="s">
        <v>115</v>
      </c>
      <c r="J2433" s="135">
        <v>1.0</v>
      </c>
      <c r="K2433" s="135"/>
      <c r="L2433" s="135">
        <v>3375.0</v>
      </c>
      <c r="M2433" s="135">
        <v>1800.0</v>
      </c>
      <c r="N2433" s="135">
        <v>120.0</v>
      </c>
      <c r="O2433" s="135">
        <v>0.67</v>
      </c>
      <c r="P2433" s="136">
        <v>0.0</v>
      </c>
      <c r="Q2433" s="137">
        <v>1.675</v>
      </c>
      <c r="R2433" s="136">
        <v>46139.0</v>
      </c>
      <c r="S2433" s="135" t="s">
        <v>3950</v>
      </c>
      <c r="T2433" s="136"/>
      <c r="U2433" s="135" t="s">
        <v>2864</v>
      </c>
      <c r="V2433" s="135" t="s">
        <v>2856</v>
      </c>
      <c r="W2433" s="135"/>
      <c r="X2433" s="135"/>
      <c r="Y2433" s="135"/>
      <c r="Z2433" s="135"/>
      <c r="AA2433" s="135"/>
      <c r="AB2433" s="135"/>
      <c r="AC2433" s="135"/>
      <c r="AD2433" s="135" t="e">
        <v>#N/A</v>
      </c>
      <c r="AE2433" s="135"/>
      <c r="AF2433" s="135"/>
      <c r="AG2433" s="135"/>
    </row>
    <row r="2434" ht="21.75" hidden="1" customHeight="1">
      <c r="A2434" s="135">
        <v>2430.0</v>
      </c>
      <c r="B2434" s="135">
        <v>25045.0</v>
      </c>
      <c r="C2434" s="135" t="s">
        <v>2817</v>
      </c>
      <c r="D2434" s="135">
        <v>34.0</v>
      </c>
      <c r="E2434" s="135" t="s">
        <v>3969</v>
      </c>
      <c r="F2434" s="135" t="s">
        <v>2319</v>
      </c>
      <c r="G2434" s="135" t="s">
        <v>105</v>
      </c>
      <c r="H2434" s="135"/>
      <c r="I2434" s="135" t="s">
        <v>115</v>
      </c>
      <c r="J2434" s="135">
        <v>1.0</v>
      </c>
      <c r="K2434" s="135"/>
      <c r="L2434" s="135">
        <v>4458.0</v>
      </c>
      <c r="M2434" s="135">
        <v>1800.0</v>
      </c>
      <c r="N2434" s="135">
        <v>120.0</v>
      </c>
      <c r="O2434" s="135">
        <v>1.066</v>
      </c>
      <c r="P2434" s="136">
        <v>0.0</v>
      </c>
      <c r="Q2434" s="137">
        <v>2.665</v>
      </c>
      <c r="R2434" s="136">
        <v>46139.0</v>
      </c>
      <c r="S2434" s="135" t="s">
        <v>3950</v>
      </c>
      <c r="T2434" s="136"/>
      <c r="U2434" s="135" t="s">
        <v>2855</v>
      </c>
      <c r="V2434" s="135" t="s">
        <v>2856</v>
      </c>
      <c r="W2434" s="135">
        <v>1800.0</v>
      </c>
      <c r="X2434" s="135"/>
      <c r="Y2434" s="135"/>
      <c r="Z2434" s="135"/>
      <c r="AA2434" s="135"/>
      <c r="AB2434" s="135"/>
      <c r="AC2434" s="135"/>
      <c r="AD2434" s="135" t="e">
        <v>#N/A</v>
      </c>
      <c r="AE2434" s="135"/>
      <c r="AF2434" s="135"/>
      <c r="AG2434" s="135"/>
    </row>
    <row r="2435" ht="21.75" hidden="1" customHeight="1">
      <c r="A2435" s="135">
        <v>2431.0</v>
      </c>
      <c r="B2435" s="135">
        <v>25045.0</v>
      </c>
      <c r="C2435" s="135"/>
      <c r="D2435" s="135">
        <v>34.0</v>
      </c>
      <c r="E2435" s="135" t="s">
        <v>3969</v>
      </c>
      <c r="F2435" s="135" t="s">
        <v>2320</v>
      </c>
      <c r="G2435" s="135" t="s">
        <v>105</v>
      </c>
      <c r="H2435" s="135"/>
      <c r="I2435" s="135" t="s">
        <v>115</v>
      </c>
      <c r="J2435" s="135">
        <v>1.0</v>
      </c>
      <c r="K2435" s="135"/>
      <c r="L2435" s="135">
        <v>5590.0</v>
      </c>
      <c r="M2435" s="135">
        <v>3300.0</v>
      </c>
      <c r="N2435" s="135">
        <v>120.0</v>
      </c>
      <c r="O2435" s="135">
        <v>2.297</v>
      </c>
      <c r="P2435" s="136">
        <v>0.0</v>
      </c>
      <c r="Q2435" s="137">
        <v>5.742500000000001</v>
      </c>
      <c r="R2435" s="136">
        <v>46139.0</v>
      </c>
      <c r="S2435" s="135" t="s">
        <v>3950</v>
      </c>
      <c r="T2435" s="136"/>
      <c r="U2435" s="135" t="s">
        <v>2855</v>
      </c>
      <c r="V2435" s="135" t="s">
        <v>2868</v>
      </c>
      <c r="W2435" s="135">
        <v>1800.0</v>
      </c>
      <c r="X2435" s="135"/>
      <c r="Y2435" s="135"/>
      <c r="Z2435" s="135"/>
      <c r="AA2435" s="135"/>
      <c r="AB2435" s="135"/>
      <c r="AC2435" s="135"/>
      <c r="AD2435" s="135">
        <v>0.0</v>
      </c>
      <c r="AE2435" s="135"/>
      <c r="AF2435" s="135"/>
      <c r="AG2435" s="135"/>
    </row>
    <row r="2436" ht="21.75" hidden="1" customHeight="1">
      <c r="A2436" s="135">
        <v>2432.0</v>
      </c>
      <c r="B2436" s="135">
        <v>25045.0</v>
      </c>
      <c r="C2436" s="135"/>
      <c r="D2436" s="135">
        <v>34.0</v>
      </c>
      <c r="E2436" s="135" t="s">
        <v>3969</v>
      </c>
      <c r="F2436" s="135" t="s">
        <v>2321</v>
      </c>
      <c r="G2436" s="135" t="s">
        <v>105</v>
      </c>
      <c r="H2436" s="135"/>
      <c r="I2436" s="135" t="s">
        <v>115</v>
      </c>
      <c r="J2436" s="135">
        <v>1.0</v>
      </c>
      <c r="K2436" s="135"/>
      <c r="L2436" s="135">
        <v>5140.0</v>
      </c>
      <c r="M2436" s="135">
        <v>3200.0</v>
      </c>
      <c r="N2436" s="135">
        <v>120.0</v>
      </c>
      <c r="O2436" s="135">
        <v>2.1</v>
      </c>
      <c r="P2436" s="136">
        <v>0.0</v>
      </c>
      <c r="Q2436" s="137">
        <v>5.25</v>
      </c>
      <c r="R2436" s="136">
        <v>46139.0</v>
      </c>
      <c r="S2436" s="135" t="s">
        <v>3950</v>
      </c>
      <c r="T2436" s="136"/>
      <c r="U2436" s="135" t="s">
        <v>2855</v>
      </c>
      <c r="V2436" s="135" t="s">
        <v>2868</v>
      </c>
      <c r="W2436" s="135">
        <v>1800.0</v>
      </c>
      <c r="X2436" s="135"/>
      <c r="Y2436" s="135"/>
      <c r="Z2436" s="135"/>
      <c r="AA2436" s="135"/>
      <c r="AB2436" s="135"/>
      <c r="AC2436" s="135"/>
      <c r="AD2436" s="135">
        <v>0.0</v>
      </c>
      <c r="AE2436" s="135"/>
      <c r="AF2436" s="135"/>
      <c r="AG2436" s="135"/>
    </row>
    <row r="2437" ht="21.75" hidden="1" customHeight="1">
      <c r="A2437" s="135">
        <v>2433.0</v>
      </c>
      <c r="B2437" s="135">
        <v>25045.0</v>
      </c>
      <c r="C2437" s="135"/>
      <c r="D2437" s="135">
        <v>34.0</v>
      </c>
      <c r="E2437" s="135" t="s">
        <v>3969</v>
      </c>
      <c r="F2437" s="135" t="s">
        <v>2322</v>
      </c>
      <c r="G2437" s="135" t="s">
        <v>105</v>
      </c>
      <c r="H2437" s="135"/>
      <c r="I2437" s="135" t="s">
        <v>115</v>
      </c>
      <c r="J2437" s="135">
        <v>1.0</v>
      </c>
      <c r="K2437" s="135"/>
      <c r="L2437" s="135">
        <v>3331.0</v>
      </c>
      <c r="M2437" s="135">
        <v>3299.0</v>
      </c>
      <c r="N2437" s="135">
        <v>120.0</v>
      </c>
      <c r="O2437" s="135">
        <v>1.065</v>
      </c>
      <c r="P2437" s="136">
        <v>0.0</v>
      </c>
      <c r="Q2437" s="137">
        <v>2.6624999999999996</v>
      </c>
      <c r="R2437" s="136">
        <v>46139.0</v>
      </c>
      <c r="S2437" s="135" t="s">
        <v>3950</v>
      </c>
      <c r="T2437" s="136"/>
      <c r="U2437" s="135" t="s">
        <v>2864</v>
      </c>
      <c r="V2437" s="135" t="s">
        <v>3014</v>
      </c>
      <c r="W2437" s="135"/>
      <c r="X2437" s="135" t="s">
        <v>3962</v>
      </c>
      <c r="Y2437" s="135"/>
      <c r="Z2437" s="135"/>
      <c r="AA2437" s="135"/>
      <c r="AB2437" s="135"/>
      <c r="AC2437" s="135"/>
      <c r="AD2437" s="135">
        <v>0.0</v>
      </c>
      <c r="AE2437" s="135"/>
      <c r="AF2437" s="135"/>
      <c r="AG2437" s="135"/>
    </row>
    <row r="2438" ht="21.75" hidden="1" customHeight="1">
      <c r="A2438" s="135">
        <v>2434.0</v>
      </c>
      <c r="B2438" s="135">
        <v>25045.0</v>
      </c>
      <c r="C2438" s="135"/>
      <c r="D2438" s="135">
        <v>34.0</v>
      </c>
      <c r="E2438" s="135" t="s">
        <v>3969</v>
      </c>
      <c r="F2438" s="135" t="s">
        <v>2323</v>
      </c>
      <c r="G2438" s="135" t="s">
        <v>105</v>
      </c>
      <c r="H2438" s="135"/>
      <c r="I2438" s="135" t="s">
        <v>115</v>
      </c>
      <c r="J2438" s="135">
        <v>1.0</v>
      </c>
      <c r="K2438" s="135"/>
      <c r="L2438" s="135">
        <v>4090.0</v>
      </c>
      <c r="M2438" s="135">
        <v>3200.0</v>
      </c>
      <c r="N2438" s="135">
        <v>120.0</v>
      </c>
      <c r="O2438" s="135">
        <v>1.677</v>
      </c>
      <c r="P2438" s="136">
        <v>0.0</v>
      </c>
      <c r="Q2438" s="137">
        <v>4.1925</v>
      </c>
      <c r="R2438" s="136">
        <v>46139.0</v>
      </c>
      <c r="S2438" s="135" t="s">
        <v>3950</v>
      </c>
      <c r="T2438" s="136"/>
      <c r="U2438" s="135" t="s">
        <v>2864</v>
      </c>
      <c r="V2438" s="135" t="s">
        <v>2865</v>
      </c>
      <c r="W2438" s="135"/>
      <c r="X2438" s="135"/>
      <c r="Y2438" s="135"/>
      <c r="Z2438" s="135"/>
      <c r="AA2438" s="135"/>
      <c r="AB2438" s="135"/>
      <c r="AC2438" s="135"/>
      <c r="AD2438" s="135">
        <v>0.0</v>
      </c>
      <c r="AE2438" s="135"/>
      <c r="AF2438" s="135"/>
      <c r="AG2438" s="135"/>
    </row>
    <row r="2439" ht="21.75" hidden="1" customHeight="1">
      <c r="A2439" s="135">
        <v>2435.0</v>
      </c>
      <c r="B2439" s="135">
        <v>25045.0</v>
      </c>
      <c r="C2439" s="135"/>
      <c r="D2439" s="135">
        <v>34.0</v>
      </c>
      <c r="E2439" s="135" t="s">
        <v>3969</v>
      </c>
      <c r="F2439" s="135" t="s">
        <v>2324</v>
      </c>
      <c r="G2439" s="135" t="s">
        <v>105</v>
      </c>
      <c r="H2439" s="135"/>
      <c r="I2439" s="135" t="s">
        <v>115</v>
      </c>
      <c r="J2439" s="135">
        <v>1.0</v>
      </c>
      <c r="K2439" s="135"/>
      <c r="L2439" s="135">
        <v>4350.0</v>
      </c>
      <c r="M2439" s="135">
        <v>3200.0</v>
      </c>
      <c r="N2439" s="135">
        <v>120.0</v>
      </c>
      <c r="O2439" s="135">
        <v>1.758</v>
      </c>
      <c r="P2439" s="136">
        <v>0.0</v>
      </c>
      <c r="Q2439" s="137">
        <v>4.395</v>
      </c>
      <c r="R2439" s="136">
        <v>46139.0</v>
      </c>
      <c r="S2439" s="135" t="s">
        <v>3950</v>
      </c>
      <c r="T2439" s="136"/>
      <c r="U2439" s="135" t="s">
        <v>2864</v>
      </c>
      <c r="V2439" s="135" t="s">
        <v>2865</v>
      </c>
      <c r="W2439" s="135"/>
      <c r="X2439" s="135"/>
      <c r="Y2439" s="135"/>
      <c r="Z2439" s="135"/>
      <c r="AA2439" s="135"/>
      <c r="AB2439" s="135"/>
      <c r="AC2439" s="135"/>
      <c r="AD2439" s="135">
        <v>0.0</v>
      </c>
      <c r="AE2439" s="135"/>
      <c r="AF2439" s="135"/>
      <c r="AG2439" s="135"/>
    </row>
    <row r="2440" ht="21.75" hidden="1" customHeight="1">
      <c r="A2440" s="135">
        <v>2436.0</v>
      </c>
      <c r="B2440" s="135">
        <v>25045.0</v>
      </c>
      <c r="C2440" s="135" t="s">
        <v>2817</v>
      </c>
      <c r="D2440" s="135">
        <v>34.0</v>
      </c>
      <c r="E2440" s="135" t="s">
        <v>3969</v>
      </c>
      <c r="F2440" s="135" t="s">
        <v>2325</v>
      </c>
      <c r="G2440" s="135" t="s">
        <v>105</v>
      </c>
      <c r="H2440" s="135"/>
      <c r="I2440" s="135" t="s">
        <v>115</v>
      </c>
      <c r="J2440" s="135">
        <v>1.0</v>
      </c>
      <c r="K2440" s="135"/>
      <c r="L2440" s="135">
        <v>3678.0</v>
      </c>
      <c r="M2440" s="135">
        <v>3470.0</v>
      </c>
      <c r="N2440" s="135">
        <v>120.0</v>
      </c>
      <c r="O2440" s="135">
        <v>1.465</v>
      </c>
      <c r="P2440" s="136">
        <v>0.0</v>
      </c>
      <c r="Q2440" s="137">
        <v>3.6625</v>
      </c>
      <c r="R2440" s="136">
        <v>46139.0</v>
      </c>
      <c r="S2440" s="135" t="s">
        <v>3950</v>
      </c>
      <c r="T2440" s="136"/>
      <c r="U2440" s="135" t="s">
        <v>2864</v>
      </c>
      <c r="V2440" s="135" t="s">
        <v>2865</v>
      </c>
      <c r="W2440" s="135"/>
      <c r="X2440" s="135"/>
      <c r="Y2440" s="135"/>
      <c r="Z2440" s="135"/>
      <c r="AA2440" s="135"/>
      <c r="AB2440" s="135"/>
      <c r="AC2440" s="135"/>
      <c r="AD2440" s="135" t="e">
        <v>#N/A</v>
      </c>
      <c r="AE2440" s="135"/>
      <c r="AF2440" s="135"/>
      <c r="AG2440" s="135"/>
    </row>
    <row r="2441" ht="21.75" hidden="1" customHeight="1">
      <c r="A2441" s="135">
        <v>2437.0</v>
      </c>
      <c r="B2441" s="135">
        <v>25045.0</v>
      </c>
      <c r="C2441" s="135"/>
      <c r="D2441" s="135">
        <v>34.0</v>
      </c>
      <c r="E2441" s="135" t="s">
        <v>3969</v>
      </c>
      <c r="F2441" s="135" t="s">
        <v>2326</v>
      </c>
      <c r="G2441" s="135" t="s">
        <v>105</v>
      </c>
      <c r="H2441" s="135"/>
      <c r="I2441" s="135" t="s">
        <v>115</v>
      </c>
      <c r="J2441" s="135">
        <v>1.0</v>
      </c>
      <c r="K2441" s="135"/>
      <c r="L2441" s="135">
        <v>4672.0</v>
      </c>
      <c r="M2441" s="135">
        <v>3399.0</v>
      </c>
      <c r="N2441" s="135">
        <v>120.0</v>
      </c>
      <c r="O2441" s="135">
        <v>1.939</v>
      </c>
      <c r="P2441" s="136">
        <v>0.0</v>
      </c>
      <c r="Q2441" s="137">
        <v>4.8475</v>
      </c>
      <c r="R2441" s="136">
        <v>46139.0</v>
      </c>
      <c r="S2441" s="135" t="s">
        <v>3950</v>
      </c>
      <c r="T2441" s="136"/>
      <c r="U2441" s="135" t="s">
        <v>2864</v>
      </c>
      <c r="V2441" s="135" t="s">
        <v>2890</v>
      </c>
      <c r="W2441" s="135"/>
      <c r="X2441" s="135" t="s">
        <v>3962</v>
      </c>
      <c r="Y2441" s="135"/>
      <c r="Z2441" s="135"/>
      <c r="AA2441" s="135"/>
      <c r="AB2441" s="135"/>
      <c r="AC2441" s="135"/>
      <c r="AD2441" s="135">
        <v>0.0</v>
      </c>
      <c r="AE2441" s="135"/>
      <c r="AF2441" s="135"/>
      <c r="AG2441" s="135"/>
    </row>
    <row r="2442" ht="21.75" hidden="1" customHeight="1">
      <c r="A2442" s="135">
        <v>2438.0</v>
      </c>
      <c r="B2442" s="135">
        <v>25045.0</v>
      </c>
      <c r="C2442" s="135"/>
      <c r="D2442" s="135">
        <v>34.0</v>
      </c>
      <c r="E2442" s="135" t="s">
        <v>3969</v>
      </c>
      <c r="F2442" s="135" t="s">
        <v>2327</v>
      </c>
      <c r="G2442" s="135" t="s">
        <v>105</v>
      </c>
      <c r="H2442" s="135"/>
      <c r="I2442" s="135" t="s">
        <v>115</v>
      </c>
      <c r="J2442" s="135">
        <v>1.0</v>
      </c>
      <c r="K2442" s="135"/>
      <c r="L2442" s="135">
        <v>4672.0</v>
      </c>
      <c r="M2442" s="135">
        <v>3400.0</v>
      </c>
      <c r="N2442" s="135">
        <v>120.0</v>
      </c>
      <c r="O2442" s="135">
        <v>2.276</v>
      </c>
      <c r="P2442" s="136">
        <v>0.0</v>
      </c>
      <c r="Q2442" s="137">
        <v>5.6899999999999995</v>
      </c>
      <c r="R2442" s="136">
        <v>46139.0</v>
      </c>
      <c r="S2442" s="135" t="s">
        <v>3950</v>
      </c>
      <c r="T2442" s="136"/>
      <c r="U2442" s="135" t="s">
        <v>2855</v>
      </c>
      <c r="V2442" s="135" t="s">
        <v>2878</v>
      </c>
      <c r="W2442" s="135">
        <v>1800.0</v>
      </c>
      <c r="X2442" s="135"/>
      <c r="Y2442" s="135"/>
      <c r="Z2442" s="135"/>
      <c r="AA2442" s="135"/>
      <c r="AB2442" s="135"/>
      <c r="AC2442" s="135"/>
      <c r="AD2442" s="135">
        <v>0.0</v>
      </c>
      <c r="AE2442" s="135"/>
      <c r="AF2442" s="135"/>
      <c r="AG2442" s="135"/>
    </row>
    <row r="2443" ht="21.75" hidden="1" customHeight="1">
      <c r="A2443" s="135">
        <v>2439.0</v>
      </c>
      <c r="B2443" s="135">
        <v>25045.0</v>
      </c>
      <c r="C2443" s="135"/>
      <c r="D2443" s="135">
        <v>34.0</v>
      </c>
      <c r="E2443" s="135" t="s">
        <v>3969</v>
      </c>
      <c r="F2443" s="135" t="s">
        <v>2328</v>
      </c>
      <c r="G2443" s="135" t="s">
        <v>105</v>
      </c>
      <c r="H2443" s="135"/>
      <c r="I2443" s="135" t="s">
        <v>115</v>
      </c>
      <c r="J2443" s="135">
        <v>1.0</v>
      </c>
      <c r="K2443" s="135"/>
      <c r="L2443" s="135">
        <v>4672.0</v>
      </c>
      <c r="M2443" s="135">
        <v>3400.0</v>
      </c>
      <c r="N2443" s="135">
        <v>120.0</v>
      </c>
      <c r="O2443" s="135">
        <v>2.276</v>
      </c>
      <c r="P2443" s="136">
        <v>0.0</v>
      </c>
      <c r="Q2443" s="137">
        <v>5.6899999999999995</v>
      </c>
      <c r="R2443" s="136">
        <v>46139.0</v>
      </c>
      <c r="S2443" s="135" t="s">
        <v>3950</v>
      </c>
      <c r="T2443" s="136"/>
      <c r="U2443" s="135" t="s">
        <v>2855</v>
      </c>
      <c r="V2443" s="135" t="s">
        <v>2878</v>
      </c>
      <c r="W2443" s="135">
        <v>1800.0</v>
      </c>
      <c r="X2443" s="135"/>
      <c r="Y2443" s="135"/>
      <c r="Z2443" s="135"/>
      <c r="AA2443" s="135"/>
      <c r="AB2443" s="135"/>
      <c r="AC2443" s="135"/>
      <c r="AD2443" s="135">
        <v>0.0</v>
      </c>
      <c r="AE2443" s="135"/>
      <c r="AF2443" s="135"/>
      <c r="AG2443" s="135"/>
    </row>
    <row r="2444" ht="21.75" hidden="1" customHeight="1">
      <c r="A2444" s="135">
        <v>2440.0</v>
      </c>
      <c r="B2444" s="135">
        <v>25045.0</v>
      </c>
      <c r="C2444" s="135"/>
      <c r="D2444" s="135">
        <v>34.0</v>
      </c>
      <c r="E2444" s="135" t="s">
        <v>3969</v>
      </c>
      <c r="F2444" s="135" t="s">
        <v>2329</v>
      </c>
      <c r="G2444" s="135" t="s">
        <v>105</v>
      </c>
      <c r="H2444" s="135"/>
      <c r="I2444" s="135" t="s">
        <v>115</v>
      </c>
      <c r="J2444" s="135">
        <v>1.0</v>
      </c>
      <c r="K2444" s="135"/>
      <c r="L2444" s="135">
        <v>4672.0</v>
      </c>
      <c r="M2444" s="135">
        <v>3400.0</v>
      </c>
      <c r="N2444" s="135">
        <v>120.0</v>
      </c>
      <c r="O2444" s="135">
        <v>2.276</v>
      </c>
      <c r="P2444" s="136">
        <v>0.0</v>
      </c>
      <c r="Q2444" s="137">
        <v>5.6899999999999995</v>
      </c>
      <c r="R2444" s="136">
        <v>46139.0</v>
      </c>
      <c r="S2444" s="135" t="s">
        <v>3950</v>
      </c>
      <c r="T2444" s="136"/>
      <c r="U2444" s="135" t="s">
        <v>2855</v>
      </c>
      <c r="V2444" s="135" t="s">
        <v>2878</v>
      </c>
      <c r="W2444" s="135">
        <v>1800.0</v>
      </c>
      <c r="X2444" s="135"/>
      <c r="Y2444" s="135"/>
      <c r="Z2444" s="135"/>
      <c r="AA2444" s="135"/>
      <c r="AB2444" s="135"/>
      <c r="AC2444" s="135"/>
      <c r="AD2444" s="135">
        <v>0.0</v>
      </c>
      <c r="AE2444" s="135"/>
      <c r="AF2444" s="135"/>
      <c r="AG2444" s="135"/>
    </row>
    <row r="2445" ht="21.75" hidden="1" customHeight="1">
      <c r="A2445" s="135">
        <v>2441.0</v>
      </c>
      <c r="B2445" s="135">
        <v>25045.0</v>
      </c>
      <c r="C2445" s="135"/>
      <c r="D2445" s="135">
        <v>34.0</v>
      </c>
      <c r="E2445" s="135" t="s">
        <v>3969</v>
      </c>
      <c r="F2445" s="135" t="s">
        <v>2330</v>
      </c>
      <c r="G2445" s="135" t="s">
        <v>105</v>
      </c>
      <c r="H2445" s="135"/>
      <c r="I2445" s="135" t="s">
        <v>115</v>
      </c>
      <c r="J2445" s="135">
        <v>1.0</v>
      </c>
      <c r="K2445" s="135"/>
      <c r="L2445" s="135">
        <v>5000.0</v>
      </c>
      <c r="M2445" s="135">
        <v>3400.0</v>
      </c>
      <c r="N2445" s="135">
        <v>120.0</v>
      </c>
      <c r="O2445" s="135">
        <v>2.378</v>
      </c>
      <c r="P2445" s="136">
        <v>0.0</v>
      </c>
      <c r="Q2445" s="137">
        <v>5.945</v>
      </c>
      <c r="R2445" s="136">
        <v>46139.0</v>
      </c>
      <c r="S2445" s="135" t="s">
        <v>3950</v>
      </c>
      <c r="T2445" s="136"/>
      <c r="U2445" s="135" t="s">
        <v>2855</v>
      </c>
      <c r="V2445" s="135" t="s">
        <v>2878</v>
      </c>
      <c r="W2445" s="135">
        <v>2500.0</v>
      </c>
      <c r="X2445" s="135"/>
      <c r="Y2445" s="135"/>
      <c r="Z2445" s="135"/>
      <c r="AA2445" s="135"/>
      <c r="AB2445" s="135"/>
      <c r="AC2445" s="135"/>
      <c r="AD2445" s="135">
        <v>0.0</v>
      </c>
      <c r="AE2445" s="135"/>
      <c r="AF2445" s="135"/>
      <c r="AG2445" s="135"/>
    </row>
    <row r="2446" ht="21.75" hidden="1" customHeight="1">
      <c r="A2446" s="135">
        <v>2442.0</v>
      </c>
      <c r="B2446" s="135">
        <v>25045.0</v>
      </c>
      <c r="C2446" s="135"/>
      <c r="D2446" s="135">
        <v>34.0</v>
      </c>
      <c r="E2446" s="135" t="s">
        <v>3969</v>
      </c>
      <c r="F2446" s="135" t="s">
        <v>2331</v>
      </c>
      <c r="G2446" s="135" t="s">
        <v>105</v>
      </c>
      <c r="H2446" s="135"/>
      <c r="I2446" s="135" t="s">
        <v>115</v>
      </c>
      <c r="J2446" s="135">
        <v>1.0</v>
      </c>
      <c r="K2446" s="135"/>
      <c r="L2446" s="135">
        <v>1635.0</v>
      </c>
      <c r="M2446" s="135">
        <v>1750.0</v>
      </c>
      <c r="N2446" s="135">
        <v>120.0</v>
      </c>
      <c r="O2446" s="135">
        <v>0.439</v>
      </c>
      <c r="P2446" s="136">
        <v>0.0</v>
      </c>
      <c r="Q2446" s="137">
        <v>1.0975</v>
      </c>
      <c r="R2446" s="136">
        <v>46139.0</v>
      </c>
      <c r="S2446" s="135" t="s">
        <v>3950</v>
      </c>
      <c r="T2446" s="136"/>
      <c r="U2446" s="135" t="s">
        <v>2864</v>
      </c>
      <c r="V2446" s="135" t="s">
        <v>2873</v>
      </c>
      <c r="W2446" s="135"/>
      <c r="X2446" s="135"/>
      <c r="Y2446" s="135"/>
      <c r="Z2446" s="135"/>
      <c r="AA2446" s="135"/>
      <c r="AB2446" s="135"/>
      <c r="AC2446" s="135"/>
      <c r="AD2446" s="135">
        <v>0.0</v>
      </c>
      <c r="AE2446" s="135"/>
      <c r="AF2446" s="135"/>
      <c r="AG2446" s="135"/>
    </row>
    <row r="2447" ht="21.75" hidden="1" customHeight="1">
      <c r="A2447" s="135">
        <v>2443.0</v>
      </c>
      <c r="B2447" s="135">
        <v>25045.0</v>
      </c>
      <c r="C2447" s="135"/>
      <c r="D2447" s="135">
        <v>34.0</v>
      </c>
      <c r="E2447" s="135" t="s">
        <v>3969</v>
      </c>
      <c r="F2447" s="135" t="s">
        <v>2332</v>
      </c>
      <c r="G2447" s="135" t="s">
        <v>105</v>
      </c>
      <c r="H2447" s="135"/>
      <c r="I2447" s="135" t="s">
        <v>115</v>
      </c>
      <c r="J2447" s="135">
        <v>1.0</v>
      </c>
      <c r="K2447" s="135"/>
      <c r="L2447" s="135">
        <v>400.0</v>
      </c>
      <c r="M2447" s="135">
        <v>3120.0</v>
      </c>
      <c r="N2447" s="135">
        <v>350.0</v>
      </c>
      <c r="O2447" s="135">
        <v>0.536</v>
      </c>
      <c r="P2447" s="136">
        <v>0.0</v>
      </c>
      <c r="Q2447" s="137">
        <v>1.34</v>
      </c>
      <c r="R2447" s="136">
        <v>46139.0</v>
      </c>
      <c r="S2447" s="135" t="s">
        <v>3950</v>
      </c>
      <c r="T2447" s="136"/>
      <c r="U2447" s="135" t="s">
        <v>2966</v>
      </c>
      <c r="V2447" s="135" t="s">
        <v>2967</v>
      </c>
      <c r="W2447" s="135"/>
      <c r="X2447" s="135"/>
      <c r="Y2447" s="135"/>
      <c r="Z2447" s="135"/>
      <c r="AA2447" s="135"/>
      <c r="AB2447" s="135"/>
      <c r="AC2447" s="135"/>
      <c r="AD2447" s="135">
        <v>0.0</v>
      </c>
      <c r="AE2447" s="135"/>
      <c r="AF2447" s="135"/>
      <c r="AG2447" s="135"/>
    </row>
    <row r="2448" ht="21.75" hidden="1" customHeight="1">
      <c r="A2448" s="135">
        <v>2444.0</v>
      </c>
      <c r="B2448" s="135">
        <v>25045.0</v>
      </c>
      <c r="C2448" s="135"/>
      <c r="D2448" s="135">
        <v>34.0</v>
      </c>
      <c r="E2448" s="135" t="s">
        <v>3970</v>
      </c>
      <c r="F2448" s="135" t="s">
        <v>3971</v>
      </c>
      <c r="G2448" s="135" t="s">
        <v>184</v>
      </c>
      <c r="H2448" s="135"/>
      <c r="I2448" s="135" t="s">
        <v>3972</v>
      </c>
      <c r="J2448" s="135"/>
      <c r="K2448" s="135"/>
      <c r="L2448" s="135"/>
      <c r="M2448" s="135"/>
      <c r="N2448" s="135"/>
      <c r="O2448" s="135">
        <v>0.897</v>
      </c>
      <c r="P2448" s="136"/>
      <c r="Q2448" s="137">
        <v>2.2425</v>
      </c>
      <c r="R2448" s="136"/>
      <c r="S2448" s="135"/>
      <c r="T2448" s="136"/>
      <c r="U2448" s="135"/>
      <c r="V2448" s="135"/>
      <c r="W2448" s="135"/>
      <c r="X2448" s="135"/>
      <c r="Y2448" s="135"/>
      <c r="Z2448" s="135"/>
      <c r="AA2448" s="135"/>
      <c r="AB2448" s="135"/>
      <c r="AC2448" s="135"/>
      <c r="AD2448" s="135">
        <v>46149.0</v>
      </c>
      <c r="AE2448" s="135"/>
      <c r="AF2448" s="135"/>
      <c r="AG2448" s="135"/>
    </row>
    <row r="2449" ht="21.75" hidden="1" customHeight="1">
      <c r="A2449" s="135">
        <v>2445.0</v>
      </c>
      <c r="B2449" s="135">
        <v>25045.0</v>
      </c>
      <c r="C2449" s="135"/>
      <c r="D2449" s="135">
        <v>34.0</v>
      </c>
      <c r="E2449" s="135"/>
      <c r="F2449" s="135" t="s">
        <v>3973</v>
      </c>
      <c r="G2449" s="135" t="s">
        <v>184</v>
      </c>
      <c r="H2449" s="135"/>
      <c r="I2449" s="135" t="s">
        <v>3974</v>
      </c>
      <c r="J2449" s="135"/>
      <c r="K2449" s="135"/>
      <c r="L2449" s="135"/>
      <c r="M2449" s="135"/>
      <c r="N2449" s="135"/>
      <c r="O2449" s="135">
        <v>0.764</v>
      </c>
      <c r="P2449" s="136"/>
      <c r="Q2449" s="137">
        <v>1.9100000000000001</v>
      </c>
      <c r="R2449" s="136"/>
      <c r="S2449" s="135"/>
      <c r="T2449" s="136"/>
      <c r="U2449" s="135"/>
      <c r="V2449" s="135"/>
      <c r="W2449" s="135"/>
      <c r="X2449" s="135"/>
      <c r="Y2449" s="135"/>
      <c r="Z2449" s="135"/>
      <c r="AA2449" s="135"/>
      <c r="AB2449" s="135"/>
      <c r="AC2449" s="135"/>
      <c r="AD2449" s="135">
        <v>46150.0</v>
      </c>
      <c r="AE2449" s="135"/>
      <c r="AF2449" s="135"/>
      <c r="AG2449" s="135"/>
    </row>
    <row r="2450" ht="21.75" hidden="1" customHeight="1">
      <c r="A2450" s="135">
        <v>2446.0</v>
      </c>
      <c r="B2450" s="135">
        <v>25045.0</v>
      </c>
      <c r="C2450" s="135"/>
      <c r="D2450" s="135">
        <v>34.0</v>
      </c>
      <c r="E2450" s="135"/>
      <c r="F2450" s="135" t="s">
        <v>3975</v>
      </c>
      <c r="G2450" s="135" t="s">
        <v>184</v>
      </c>
      <c r="H2450" s="135"/>
      <c r="I2450" s="135" t="s">
        <v>3974</v>
      </c>
      <c r="J2450" s="135"/>
      <c r="K2450" s="135"/>
      <c r="L2450" s="135"/>
      <c r="M2450" s="135"/>
      <c r="N2450" s="135"/>
      <c r="O2450" s="135">
        <v>0.837</v>
      </c>
      <c r="P2450" s="136"/>
      <c r="Q2450" s="137">
        <v>2.0925</v>
      </c>
      <c r="R2450" s="136"/>
      <c r="S2450" s="135"/>
      <c r="T2450" s="136"/>
      <c r="U2450" s="135"/>
      <c r="V2450" s="135"/>
      <c r="W2450" s="135"/>
      <c r="X2450" s="135"/>
      <c r="Y2450" s="135"/>
      <c r="Z2450" s="135"/>
      <c r="AA2450" s="135"/>
      <c r="AB2450" s="135"/>
      <c r="AC2450" s="135"/>
      <c r="AD2450" s="135">
        <v>46151.0</v>
      </c>
      <c r="AE2450" s="135"/>
      <c r="AF2450" s="135"/>
      <c r="AG2450" s="135"/>
    </row>
    <row r="2451" ht="21.75" hidden="1" customHeight="1">
      <c r="A2451" s="135">
        <v>2447.0</v>
      </c>
      <c r="B2451" s="135">
        <v>25045.0</v>
      </c>
      <c r="C2451" s="135"/>
      <c r="D2451" s="135">
        <v>34.0</v>
      </c>
      <c r="E2451" s="135"/>
      <c r="F2451" s="135" t="s">
        <v>3976</v>
      </c>
      <c r="G2451" s="135" t="s">
        <v>184</v>
      </c>
      <c r="H2451" s="135"/>
      <c r="I2451" s="135" t="s">
        <v>3977</v>
      </c>
      <c r="J2451" s="135"/>
      <c r="K2451" s="135"/>
      <c r="L2451" s="135"/>
      <c r="M2451" s="135"/>
      <c r="N2451" s="135"/>
      <c r="O2451" s="135"/>
      <c r="P2451" s="136"/>
      <c r="Q2451" s="137">
        <v>0.0</v>
      </c>
      <c r="R2451" s="136"/>
      <c r="S2451" s="135"/>
      <c r="T2451" s="136"/>
      <c r="U2451" s="135"/>
      <c r="V2451" s="135"/>
      <c r="W2451" s="135"/>
      <c r="X2451" s="135"/>
      <c r="Y2451" s="135"/>
      <c r="Z2451" s="135"/>
      <c r="AA2451" s="135"/>
      <c r="AB2451" s="135"/>
      <c r="AC2451" s="135"/>
      <c r="AD2451" s="135">
        <v>46153.0</v>
      </c>
      <c r="AE2451" s="135"/>
      <c r="AF2451" s="135"/>
      <c r="AG2451" s="135"/>
    </row>
    <row r="2452" ht="21.75" hidden="1" customHeight="1">
      <c r="A2452" s="135">
        <v>2448.0</v>
      </c>
      <c r="B2452" s="135">
        <v>25045.0</v>
      </c>
      <c r="C2452" s="135"/>
      <c r="D2452" s="135">
        <v>34.0</v>
      </c>
      <c r="E2452" s="135"/>
      <c r="F2452" s="135" t="s">
        <v>3978</v>
      </c>
      <c r="G2452" s="135" t="s">
        <v>184</v>
      </c>
      <c r="H2452" s="135"/>
      <c r="I2452" s="135" t="s">
        <v>3977</v>
      </c>
      <c r="J2452" s="135"/>
      <c r="K2452" s="135"/>
      <c r="L2452" s="135"/>
      <c r="M2452" s="135"/>
      <c r="N2452" s="135"/>
      <c r="O2452" s="135"/>
      <c r="P2452" s="136"/>
      <c r="Q2452" s="137">
        <v>0.0</v>
      </c>
      <c r="R2452" s="136"/>
      <c r="S2452" s="135"/>
      <c r="T2452" s="136"/>
      <c r="U2452" s="135"/>
      <c r="V2452" s="135"/>
      <c r="W2452" s="135"/>
      <c r="X2452" s="135"/>
      <c r="Y2452" s="135"/>
      <c r="Z2452" s="135"/>
      <c r="AA2452" s="135"/>
      <c r="AB2452" s="135"/>
      <c r="AC2452" s="135"/>
      <c r="AD2452" s="135">
        <v>46154.0</v>
      </c>
      <c r="AE2452" s="135"/>
      <c r="AF2452" s="135"/>
      <c r="AG2452" s="135"/>
    </row>
    <row r="2453" ht="21.75" customHeight="1">
      <c r="A2453" s="135">
        <v>2449.0</v>
      </c>
      <c r="B2453" s="135">
        <v>25045.0</v>
      </c>
      <c r="C2453" s="135" t="s">
        <v>2817</v>
      </c>
      <c r="D2453" s="135"/>
      <c r="E2453" s="135" t="s">
        <v>3979</v>
      </c>
      <c r="F2453" s="135" t="s">
        <v>2690</v>
      </c>
      <c r="G2453" s="135" t="s">
        <v>132</v>
      </c>
      <c r="H2453" s="135"/>
      <c r="I2453" s="135" t="s">
        <v>133</v>
      </c>
      <c r="J2453" s="135">
        <v>1.0</v>
      </c>
      <c r="K2453" s="135"/>
      <c r="L2453" s="135">
        <v>4590.0</v>
      </c>
      <c r="M2453" s="135">
        <v>1520.0</v>
      </c>
      <c r="N2453" s="135">
        <v>120.0</v>
      </c>
      <c r="O2453" s="135">
        <v>0.92</v>
      </c>
      <c r="P2453" s="136">
        <v>0.0</v>
      </c>
      <c r="Q2453" s="137">
        <v>2.3000000000000003</v>
      </c>
      <c r="R2453" s="136">
        <v>46140.0</v>
      </c>
      <c r="S2453" s="135" t="s">
        <v>3980</v>
      </c>
      <c r="T2453" s="136"/>
      <c r="U2453" s="135" t="s">
        <v>2855</v>
      </c>
      <c r="V2453" s="135" t="s">
        <v>2856</v>
      </c>
      <c r="W2453" s="135">
        <v>1800.0</v>
      </c>
      <c r="X2453" s="135"/>
      <c r="Y2453" s="135"/>
      <c r="Z2453" s="135" t="s">
        <v>2858</v>
      </c>
      <c r="AA2453" s="135"/>
      <c r="AB2453" s="135"/>
      <c r="AC2453" s="135"/>
      <c r="AD2453" s="135" t="e">
        <v>#N/A</v>
      </c>
      <c r="AE2453" s="135"/>
      <c r="AF2453" s="135"/>
      <c r="AG2453" s="135"/>
    </row>
    <row r="2454" ht="21.75" customHeight="1">
      <c r="A2454" s="135">
        <v>2450.0</v>
      </c>
      <c r="B2454" s="135">
        <v>25045.0</v>
      </c>
      <c r="C2454" s="135" t="s">
        <v>2817</v>
      </c>
      <c r="D2454" s="135"/>
      <c r="E2454" s="135" t="s">
        <v>3979</v>
      </c>
      <c r="F2454" s="135" t="s">
        <v>2691</v>
      </c>
      <c r="G2454" s="135" t="s">
        <v>132</v>
      </c>
      <c r="H2454" s="135"/>
      <c r="I2454" s="135" t="s">
        <v>133</v>
      </c>
      <c r="J2454" s="135">
        <v>1.0</v>
      </c>
      <c r="K2454" s="135" t="s">
        <v>3981</v>
      </c>
      <c r="L2454" s="135">
        <v>4590.0</v>
      </c>
      <c r="M2454" s="135">
        <v>1520.0</v>
      </c>
      <c r="N2454" s="135">
        <v>120.0</v>
      </c>
      <c r="O2454" s="135">
        <v>0.92</v>
      </c>
      <c r="P2454" s="136"/>
      <c r="Q2454" s="137">
        <v>2.3000000000000003</v>
      </c>
      <c r="R2454" s="136">
        <v>46140.0</v>
      </c>
      <c r="S2454" s="135" t="s">
        <v>3980</v>
      </c>
      <c r="T2454" s="136"/>
      <c r="U2454" s="135" t="s">
        <v>2855</v>
      </c>
      <c r="V2454" s="135" t="s">
        <v>2856</v>
      </c>
      <c r="W2454" s="135">
        <v>1800.0</v>
      </c>
      <c r="X2454" s="135"/>
      <c r="Y2454" s="135"/>
      <c r="Z2454" s="135" t="s">
        <v>2858</v>
      </c>
      <c r="AA2454" s="135"/>
      <c r="AB2454" s="135"/>
      <c r="AC2454" s="135"/>
      <c r="AD2454" s="135" t="e">
        <v>#N/A</v>
      </c>
      <c r="AE2454" s="135"/>
      <c r="AF2454" s="135"/>
      <c r="AG2454" s="135"/>
    </row>
    <row r="2455" ht="21.75" customHeight="1">
      <c r="A2455" s="135">
        <v>2451.0</v>
      </c>
      <c r="B2455" s="135">
        <v>25045.0</v>
      </c>
      <c r="C2455" s="135" t="s">
        <v>2817</v>
      </c>
      <c r="D2455" s="135"/>
      <c r="E2455" s="135" t="s">
        <v>3979</v>
      </c>
      <c r="F2455" s="135" t="s">
        <v>2692</v>
      </c>
      <c r="G2455" s="135" t="s">
        <v>132</v>
      </c>
      <c r="H2455" s="135"/>
      <c r="I2455" s="135" t="s">
        <v>133</v>
      </c>
      <c r="J2455" s="135">
        <v>1.0</v>
      </c>
      <c r="K2455" s="135" t="s">
        <v>3981</v>
      </c>
      <c r="L2455" s="135">
        <v>4590.0</v>
      </c>
      <c r="M2455" s="135">
        <v>1520.0</v>
      </c>
      <c r="N2455" s="135">
        <v>120.0</v>
      </c>
      <c r="O2455" s="135">
        <v>0.92</v>
      </c>
      <c r="P2455" s="136"/>
      <c r="Q2455" s="137">
        <v>2.3000000000000003</v>
      </c>
      <c r="R2455" s="136">
        <v>46140.0</v>
      </c>
      <c r="S2455" s="135" t="s">
        <v>3980</v>
      </c>
      <c r="T2455" s="136"/>
      <c r="U2455" s="135" t="s">
        <v>2855</v>
      </c>
      <c r="V2455" s="135" t="s">
        <v>2856</v>
      </c>
      <c r="W2455" s="135">
        <v>1800.0</v>
      </c>
      <c r="X2455" s="135"/>
      <c r="Y2455" s="135"/>
      <c r="Z2455" s="135" t="s">
        <v>2858</v>
      </c>
      <c r="AA2455" s="135"/>
      <c r="AB2455" s="135"/>
      <c r="AC2455" s="135"/>
      <c r="AD2455" s="135" t="e">
        <v>#N/A</v>
      </c>
      <c r="AE2455" s="135"/>
      <c r="AF2455" s="135"/>
      <c r="AG2455" s="135"/>
    </row>
    <row r="2456" ht="21.75" customHeight="1">
      <c r="A2456" s="135">
        <v>2452.0</v>
      </c>
      <c r="B2456" s="135">
        <v>25045.0</v>
      </c>
      <c r="C2456" s="135"/>
      <c r="D2456" s="135"/>
      <c r="E2456" s="135" t="s">
        <v>3979</v>
      </c>
      <c r="F2456" s="135" t="s">
        <v>2693</v>
      </c>
      <c r="G2456" s="135" t="s">
        <v>132</v>
      </c>
      <c r="H2456" s="135"/>
      <c r="I2456" s="135" t="s">
        <v>133</v>
      </c>
      <c r="J2456" s="135">
        <v>1.0</v>
      </c>
      <c r="K2456" s="135"/>
      <c r="L2456" s="135">
        <v>3420.0</v>
      </c>
      <c r="M2456" s="135">
        <v>3000.0</v>
      </c>
      <c r="N2456" s="135">
        <v>120.0</v>
      </c>
      <c r="O2456" s="135">
        <v>1.22</v>
      </c>
      <c r="P2456" s="136"/>
      <c r="Q2456" s="137">
        <v>3.05</v>
      </c>
      <c r="R2456" s="136">
        <v>46140.0</v>
      </c>
      <c r="S2456" s="135" t="s">
        <v>3980</v>
      </c>
      <c r="T2456" s="136"/>
      <c r="U2456" s="135" t="s">
        <v>2864</v>
      </c>
      <c r="V2456" s="135" t="s">
        <v>2878</v>
      </c>
      <c r="W2456" s="135"/>
      <c r="X2456" s="135" t="s">
        <v>3982</v>
      </c>
      <c r="Y2456" s="135"/>
      <c r="Z2456" s="135" t="s">
        <v>2858</v>
      </c>
      <c r="AA2456" s="135"/>
      <c r="AB2456" s="135"/>
      <c r="AC2456" s="135"/>
      <c r="AD2456" s="135" t="e">
        <v>#N/A</v>
      </c>
      <c r="AE2456" s="135"/>
      <c r="AF2456" s="135"/>
      <c r="AG2456" s="135"/>
    </row>
    <row r="2457" ht="21.75" customHeight="1">
      <c r="A2457" s="135">
        <v>2453.0</v>
      </c>
      <c r="B2457" s="135">
        <v>25045.0</v>
      </c>
      <c r="C2457" s="135"/>
      <c r="D2457" s="135"/>
      <c r="E2457" s="135" t="s">
        <v>3979</v>
      </c>
      <c r="F2457" s="135" t="s">
        <v>2694</v>
      </c>
      <c r="G2457" s="135" t="s">
        <v>132</v>
      </c>
      <c r="H2457" s="135"/>
      <c r="I2457" s="135" t="s">
        <v>133</v>
      </c>
      <c r="J2457" s="135">
        <v>1.0</v>
      </c>
      <c r="K2457" s="135"/>
      <c r="L2457" s="135">
        <v>3090.0</v>
      </c>
      <c r="M2457" s="135">
        <v>3000.0</v>
      </c>
      <c r="N2457" s="135">
        <v>120.0</v>
      </c>
      <c r="O2457" s="135">
        <v>1.1</v>
      </c>
      <c r="P2457" s="136"/>
      <c r="Q2457" s="137">
        <v>2.75</v>
      </c>
      <c r="R2457" s="136">
        <v>46140.0</v>
      </c>
      <c r="S2457" s="135" t="s">
        <v>3980</v>
      </c>
      <c r="T2457" s="136"/>
      <c r="U2457" s="135" t="s">
        <v>2864</v>
      </c>
      <c r="V2457" s="135" t="s">
        <v>2878</v>
      </c>
      <c r="W2457" s="135"/>
      <c r="X2457" s="135" t="s">
        <v>3983</v>
      </c>
      <c r="Y2457" s="135"/>
      <c r="Z2457" s="135" t="s">
        <v>2858</v>
      </c>
      <c r="AA2457" s="135"/>
      <c r="AB2457" s="135"/>
      <c r="AC2457" s="135"/>
      <c r="AD2457" s="135" t="e">
        <v>#N/A</v>
      </c>
      <c r="AE2457" s="135"/>
      <c r="AF2457" s="135"/>
      <c r="AG2457" s="135"/>
    </row>
    <row r="2458" ht="21.75" customHeight="1">
      <c r="A2458" s="135">
        <v>2454.0</v>
      </c>
      <c r="B2458" s="135">
        <v>25045.0</v>
      </c>
      <c r="C2458" s="135"/>
      <c r="D2458" s="135"/>
      <c r="E2458" s="135" t="s">
        <v>3979</v>
      </c>
      <c r="F2458" s="135" t="s">
        <v>2695</v>
      </c>
      <c r="G2458" s="135" t="s">
        <v>132</v>
      </c>
      <c r="H2458" s="135"/>
      <c r="I2458" s="135" t="s">
        <v>133</v>
      </c>
      <c r="J2458" s="135">
        <v>1.0</v>
      </c>
      <c r="K2458" s="135"/>
      <c r="L2458" s="135">
        <v>2810.0</v>
      </c>
      <c r="M2458" s="135">
        <v>3000.0</v>
      </c>
      <c r="N2458" s="135">
        <v>120.0</v>
      </c>
      <c r="O2458" s="135">
        <v>1.15</v>
      </c>
      <c r="P2458" s="136"/>
      <c r="Q2458" s="137">
        <v>2.875</v>
      </c>
      <c r="R2458" s="136">
        <v>46140.0</v>
      </c>
      <c r="S2458" s="135" t="s">
        <v>3980</v>
      </c>
      <c r="T2458" s="136"/>
      <c r="U2458" s="135" t="s">
        <v>2864</v>
      </c>
      <c r="V2458" s="135" t="s">
        <v>2878</v>
      </c>
      <c r="W2458" s="135"/>
      <c r="X2458" s="135"/>
      <c r="Y2458" s="135"/>
      <c r="Z2458" s="135" t="s">
        <v>2858</v>
      </c>
      <c r="AA2458" s="135"/>
      <c r="AB2458" s="135"/>
      <c r="AC2458" s="135"/>
      <c r="AD2458" s="135" t="e">
        <v>#N/A</v>
      </c>
      <c r="AE2458" s="135"/>
      <c r="AF2458" s="135"/>
      <c r="AG2458" s="135"/>
    </row>
    <row r="2459" ht="21.75" customHeight="1">
      <c r="A2459" s="135">
        <v>2455.0</v>
      </c>
      <c r="B2459" s="135">
        <v>25045.0</v>
      </c>
      <c r="C2459" s="135" t="s">
        <v>2817</v>
      </c>
      <c r="D2459" s="135"/>
      <c r="E2459" s="135" t="s">
        <v>3979</v>
      </c>
      <c r="F2459" s="135" t="s">
        <v>2696</v>
      </c>
      <c r="G2459" s="135" t="s">
        <v>132</v>
      </c>
      <c r="H2459" s="135"/>
      <c r="I2459" s="135" t="s">
        <v>133</v>
      </c>
      <c r="J2459" s="135">
        <v>1.0</v>
      </c>
      <c r="K2459" s="135" t="s">
        <v>3984</v>
      </c>
      <c r="L2459" s="135">
        <v>2195.0</v>
      </c>
      <c r="M2459" s="135">
        <v>2850.0</v>
      </c>
      <c r="N2459" s="135">
        <v>120.0</v>
      </c>
      <c r="O2459" s="135">
        <v>0.79</v>
      </c>
      <c r="P2459" s="136"/>
      <c r="Q2459" s="137">
        <v>1.975</v>
      </c>
      <c r="R2459" s="136">
        <v>46140.0</v>
      </c>
      <c r="S2459" s="135" t="s">
        <v>3980</v>
      </c>
      <c r="T2459" s="136"/>
      <c r="U2459" s="135" t="s">
        <v>2864</v>
      </c>
      <c r="V2459" s="135" t="s">
        <v>2878</v>
      </c>
      <c r="W2459" s="135"/>
      <c r="X2459" s="135" t="s">
        <v>2947</v>
      </c>
      <c r="Y2459" s="135"/>
      <c r="Z2459" s="135" t="s">
        <v>2858</v>
      </c>
      <c r="AA2459" s="135"/>
      <c r="AB2459" s="135"/>
      <c r="AC2459" s="135"/>
      <c r="AD2459" s="135" t="e">
        <v>#N/A</v>
      </c>
      <c r="AE2459" s="135"/>
      <c r="AF2459" s="135"/>
      <c r="AG2459" s="135"/>
    </row>
    <row r="2460" ht="21.75" customHeight="1">
      <c r="A2460" s="135">
        <v>2456.0</v>
      </c>
      <c r="B2460" s="135">
        <v>25045.0</v>
      </c>
      <c r="C2460" s="135" t="s">
        <v>2817</v>
      </c>
      <c r="D2460" s="135"/>
      <c r="E2460" s="135" t="s">
        <v>3985</v>
      </c>
      <c r="F2460" s="135" t="s">
        <v>2697</v>
      </c>
      <c r="G2460" s="135" t="s">
        <v>132</v>
      </c>
      <c r="H2460" s="135"/>
      <c r="I2460" s="135" t="s">
        <v>134</v>
      </c>
      <c r="J2460" s="135">
        <v>1.0</v>
      </c>
      <c r="K2460" s="135" t="s">
        <v>3984</v>
      </c>
      <c r="L2460" s="135">
        <v>2195.0</v>
      </c>
      <c r="M2460" s="135">
        <v>2850.0</v>
      </c>
      <c r="N2460" s="135">
        <v>120.0</v>
      </c>
      <c r="O2460" s="135">
        <v>0.79</v>
      </c>
      <c r="P2460" s="136"/>
      <c r="Q2460" s="137">
        <v>1.975</v>
      </c>
      <c r="R2460" s="136">
        <v>46140.0</v>
      </c>
      <c r="S2460" s="135" t="s">
        <v>3980</v>
      </c>
      <c r="T2460" s="136"/>
      <c r="U2460" s="135" t="s">
        <v>2864</v>
      </c>
      <c r="V2460" s="135" t="s">
        <v>2878</v>
      </c>
      <c r="W2460" s="135"/>
      <c r="X2460" s="135" t="s">
        <v>2947</v>
      </c>
      <c r="Y2460" s="135"/>
      <c r="Z2460" s="135" t="s">
        <v>2858</v>
      </c>
      <c r="AA2460" s="135"/>
      <c r="AB2460" s="135"/>
      <c r="AC2460" s="135"/>
      <c r="AD2460" s="135" t="e">
        <v>#N/A</v>
      </c>
      <c r="AE2460" s="135"/>
      <c r="AF2460" s="135"/>
      <c r="AG2460" s="135"/>
    </row>
    <row r="2461" ht="21.75" customHeight="1">
      <c r="A2461" s="135">
        <v>2457.0</v>
      </c>
      <c r="B2461" s="135">
        <v>25045.0</v>
      </c>
      <c r="C2461" s="135" t="s">
        <v>2817</v>
      </c>
      <c r="D2461" s="135"/>
      <c r="E2461" s="135" t="s">
        <v>3986</v>
      </c>
      <c r="F2461" s="135" t="s">
        <v>2698</v>
      </c>
      <c r="G2461" s="135" t="s">
        <v>132</v>
      </c>
      <c r="H2461" s="135"/>
      <c r="I2461" s="135" t="s">
        <v>135</v>
      </c>
      <c r="J2461" s="135">
        <v>1.0</v>
      </c>
      <c r="K2461" s="135" t="s">
        <v>3984</v>
      </c>
      <c r="L2461" s="135">
        <v>2195.0</v>
      </c>
      <c r="M2461" s="135">
        <v>2850.0</v>
      </c>
      <c r="N2461" s="135">
        <v>120.0</v>
      </c>
      <c r="O2461" s="135">
        <v>0.79</v>
      </c>
      <c r="P2461" s="136"/>
      <c r="Q2461" s="137">
        <v>1.975</v>
      </c>
      <c r="R2461" s="136">
        <v>46140.0</v>
      </c>
      <c r="S2461" s="135" t="s">
        <v>3980</v>
      </c>
      <c r="T2461" s="136"/>
      <c r="U2461" s="135" t="s">
        <v>2864</v>
      </c>
      <c r="V2461" s="135" t="s">
        <v>2878</v>
      </c>
      <c r="W2461" s="135"/>
      <c r="X2461" s="135" t="s">
        <v>2947</v>
      </c>
      <c r="Y2461" s="135"/>
      <c r="Z2461" s="135" t="s">
        <v>2858</v>
      </c>
      <c r="AA2461" s="135"/>
      <c r="AB2461" s="135"/>
      <c r="AC2461" s="135"/>
      <c r="AD2461" s="135" t="e">
        <v>#N/A</v>
      </c>
      <c r="AE2461" s="135"/>
      <c r="AF2461" s="135"/>
      <c r="AG2461" s="135"/>
    </row>
    <row r="2462" ht="21.75" customHeight="1">
      <c r="A2462" s="135">
        <v>2458.0</v>
      </c>
      <c r="B2462" s="135">
        <v>25045.0</v>
      </c>
      <c r="C2462" s="135" t="s">
        <v>2817</v>
      </c>
      <c r="D2462" s="135"/>
      <c r="E2462" s="135" t="s">
        <v>3987</v>
      </c>
      <c r="F2462" s="135" t="s">
        <v>2699</v>
      </c>
      <c r="G2462" s="135" t="s">
        <v>132</v>
      </c>
      <c r="H2462" s="135"/>
      <c r="I2462" s="135" t="s">
        <v>136</v>
      </c>
      <c r="J2462" s="135">
        <v>1.0</v>
      </c>
      <c r="K2462" s="135" t="s">
        <v>3984</v>
      </c>
      <c r="L2462" s="135">
        <v>2195.0</v>
      </c>
      <c r="M2462" s="135">
        <v>2850.0</v>
      </c>
      <c r="N2462" s="135">
        <v>120.0</v>
      </c>
      <c r="O2462" s="135">
        <v>0.79</v>
      </c>
      <c r="P2462" s="136"/>
      <c r="Q2462" s="137">
        <v>1.975</v>
      </c>
      <c r="R2462" s="136">
        <v>46140.0</v>
      </c>
      <c r="S2462" s="135" t="s">
        <v>3980</v>
      </c>
      <c r="T2462" s="136"/>
      <c r="U2462" s="135" t="s">
        <v>2864</v>
      </c>
      <c r="V2462" s="135" t="s">
        <v>2878</v>
      </c>
      <c r="W2462" s="135"/>
      <c r="X2462" s="135" t="s">
        <v>2947</v>
      </c>
      <c r="Y2462" s="135"/>
      <c r="Z2462" s="135" t="s">
        <v>2858</v>
      </c>
      <c r="AA2462" s="135"/>
      <c r="AB2462" s="135"/>
      <c r="AC2462" s="135"/>
      <c r="AD2462" s="135" t="e">
        <v>#N/A</v>
      </c>
      <c r="AE2462" s="135"/>
      <c r="AF2462" s="135"/>
      <c r="AG2462" s="135"/>
    </row>
    <row r="2463" ht="21.75" customHeight="1">
      <c r="A2463" s="135">
        <v>2459.0</v>
      </c>
      <c r="B2463" s="135">
        <v>25045.0</v>
      </c>
      <c r="C2463" s="135" t="s">
        <v>2817</v>
      </c>
      <c r="D2463" s="135"/>
      <c r="E2463" s="135" t="s">
        <v>3988</v>
      </c>
      <c r="F2463" s="135" t="s">
        <v>2700</v>
      </c>
      <c r="G2463" s="135" t="s">
        <v>132</v>
      </c>
      <c r="H2463" s="135"/>
      <c r="I2463" s="135" t="s">
        <v>137</v>
      </c>
      <c r="J2463" s="135">
        <v>1.0</v>
      </c>
      <c r="K2463" s="135" t="s">
        <v>3984</v>
      </c>
      <c r="L2463" s="135">
        <v>2195.0</v>
      </c>
      <c r="M2463" s="135">
        <v>2850.0</v>
      </c>
      <c r="N2463" s="135">
        <v>120.0</v>
      </c>
      <c r="O2463" s="135">
        <v>0.79</v>
      </c>
      <c r="P2463" s="136"/>
      <c r="Q2463" s="137">
        <v>1.975</v>
      </c>
      <c r="R2463" s="136">
        <v>46140.0</v>
      </c>
      <c r="S2463" s="135" t="s">
        <v>3980</v>
      </c>
      <c r="T2463" s="136"/>
      <c r="U2463" s="135" t="s">
        <v>2864</v>
      </c>
      <c r="V2463" s="135" t="s">
        <v>2878</v>
      </c>
      <c r="W2463" s="135"/>
      <c r="X2463" s="135" t="s">
        <v>2947</v>
      </c>
      <c r="Y2463" s="135"/>
      <c r="Z2463" s="135" t="s">
        <v>2858</v>
      </c>
      <c r="AA2463" s="135"/>
      <c r="AB2463" s="135"/>
      <c r="AC2463" s="135"/>
      <c r="AD2463" s="135" t="e">
        <v>#N/A</v>
      </c>
      <c r="AE2463" s="135"/>
      <c r="AF2463" s="135"/>
      <c r="AG2463" s="135"/>
    </row>
    <row r="2464" ht="21.75" customHeight="1">
      <c r="A2464" s="135">
        <v>2460.0</v>
      </c>
      <c r="B2464" s="135">
        <v>25045.0</v>
      </c>
      <c r="C2464" s="135" t="s">
        <v>2817</v>
      </c>
      <c r="D2464" s="135"/>
      <c r="E2464" s="135" t="s">
        <v>3989</v>
      </c>
      <c r="F2464" s="135" t="s">
        <v>2701</v>
      </c>
      <c r="G2464" s="135" t="s">
        <v>132</v>
      </c>
      <c r="H2464" s="135"/>
      <c r="I2464" s="135" t="s">
        <v>138</v>
      </c>
      <c r="J2464" s="135">
        <v>1.0</v>
      </c>
      <c r="K2464" s="135" t="s">
        <v>3984</v>
      </c>
      <c r="L2464" s="135">
        <v>2195.0</v>
      </c>
      <c r="M2464" s="135">
        <v>2850.0</v>
      </c>
      <c r="N2464" s="135">
        <v>120.0</v>
      </c>
      <c r="O2464" s="135">
        <v>0.79</v>
      </c>
      <c r="P2464" s="136"/>
      <c r="Q2464" s="137">
        <v>1.975</v>
      </c>
      <c r="R2464" s="136">
        <v>46140.0</v>
      </c>
      <c r="S2464" s="135" t="s">
        <v>3980</v>
      </c>
      <c r="T2464" s="136"/>
      <c r="U2464" s="135" t="s">
        <v>2864</v>
      </c>
      <c r="V2464" s="135" t="s">
        <v>2878</v>
      </c>
      <c r="W2464" s="135"/>
      <c r="X2464" s="135" t="s">
        <v>2947</v>
      </c>
      <c r="Y2464" s="135"/>
      <c r="Z2464" s="135" t="s">
        <v>2858</v>
      </c>
      <c r="AA2464" s="135"/>
      <c r="AB2464" s="135"/>
      <c r="AC2464" s="135"/>
      <c r="AD2464" s="135" t="e">
        <v>#N/A</v>
      </c>
      <c r="AE2464" s="135"/>
      <c r="AF2464" s="135"/>
      <c r="AG2464" s="135"/>
    </row>
    <row r="2465" ht="21.75" customHeight="1">
      <c r="A2465" s="135">
        <v>2461.0</v>
      </c>
      <c r="B2465" s="135">
        <v>25045.0</v>
      </c>
      <c r="C2465" s="135"/>
      <c r="D2465" s="135"/>
      <c r="E2465" s="135" t="s">
        <v>3979</v>
      </c>
      <c r="F2465" s="135" t="s">
        <v>2702</v>
      </c>
      <c r="G2465" s="135" t="s">
        <v>132</v>
      </c>
      <c r="H2465" s="135"/>
      <c r="I2465" s="135" t="s">
        <v>133</v>
      </c>
      <c r="J2465" s="135">
        <v>1.0</v>
      </c>
      <c r="K2465" s="135"/>
      <c r="L2465" s="135">
        <v>4460.0</v>
      </c>
      <c r="M2465" s="135">
        <v>3000.0</v>
      </c>
      <c r="N2465" s="135">
        <v>120.0</v>
      </c>
      <c r="O2465" s="135">
        <v>1.29</v>
      </c>
      <c r="P2465" s="136"/>
      <c r="Q2465" s="137">
        <v>3.225</v>
      </c>
      <c r="R2465" s="136">
        <v>46140.0</v>
      </c>
      <c r="S2465" s="135" t="s">
        <v>3980</v>
      </c>
      <c r="T2465" s="136"/>
      <c r="U2465" s="135" t="s">
        <v>2864</v>
      </c>
      <c r="V2465" s="135" t="s">
        <v>2865</v>
      </c>
      <c r="W2465" s="135"/>
      <c r="X2465" s="135" t="s">
        <v>3990</v>
      </c>
      <c r="Y2465" s="135"/>
      <c r="Z2465" s="135" t="s">
        <v>2858</v>
      </c>
      <c r="AA2465" s="135"/>
      <c r="AB2465" s="135"/>
      <c r="AC2465" s="135"/>
      <c r="AD2465" s="135" t="e">
        <v>#N/A</v>
      </c>
      <c r="AE2465" s="135"/>
      <c r="AF2465" s="135"/>
      <c r="AG2465" s="135"/>
    </row>
    <row r="2466" ht="21.75" customHeight="1">
      <c r="A2466" s="135">
        <v>2462.0</v>
      </c>
      <c r="B2466" s="135">
        <v>25045.0</v>
      </c>
      <c r="C2466" s="135"/>
      <c r="D2466" s="135"/>
      <c r="E2466" s="135" t="s">
        <v>3979</v>
      </c>
      <c r="F2466" s="135" t="s">
        <v>2703</v>
      </c>
      <c r="G2466" s="135" t="s">
        <v>132</v>
      </c>
      <c r="H2466" s="135"/>
      <c r="I2466" s="135" t="s">
        <v>133</v>
      </c>
      <c r="J2466" s="135">
        <v>1.0</v>
      </c>
      <c r="K2466" s="135"/>
      <c r="L2466" s="135">
        <v>3590.0</v>
      </c>
      <c r="M2466" s="135">
        <v>3000.0</v>
      </c>
      <c r="N2466" s="135">
        <v>120.0</v>
      </c>
      <c r="O2466" s="135">
        <v>1.34</v>
      </c>
      <c r="P2466" s="136"/>
      <c r="Q2466" s="137">
        <v>3.35</v>
      </c>
      <c r="R2466" s="136">
        <v>46140.0</v>
      </c>
      <c r="S2466" s="135" t="s">
        <v>3980</v>
      </c>
      <c r="T2466" s="136"/>
      <c r="U2466" s="135" t="s">
        <v>2864</v>
      </c>
      <c r="V2466" s="135" t="s">
        <v>2865</v>
      </c>
      <c r="W2466" s="135"/>
      <c r="X2466" s="135" t="s">
        <v>3537</v>
      </c>
      <c r="Y2466" s="135"/>
      <c r="Z2466" s="135" t="s">
        <v>2858</v>
      </c>
      <c r="AA2466" s="135"/>
      <c r="AB2466" s="135"/>
      <c r="AC2466" s="135"/>
      <c r="AD2466" s="135" t="e">
        <v>#N/A</v>
      </c>
      <c r="AE2466" s="135"/>
      <c r="AF2466" s="135"/>
      <c r="AG2466" s="135"/>
    </row>
    <row r="2467" ht="21.75" customHeight="1">
      <c r="A2467" s="135">
        <v>2463.0</v>
      </c>
      <c r="B2467" s="135">
        <v>25045.0</v>
      </c>
      <c r="C2467" s="135"/>
      <c r="D2467" s="135"/>
      <c r="E2467" s="135" t="s">
        <v>3979</v>
      </c>
      <c r="F2467" s="135" t="s">
        <v>2704</v>
      </c>
      <c r="G2467" s="135" t="s">
        <v>132</v>
      </c>
      <c r="H2467" s="135"/>
      <c r="I2467" s="135" t="s">
        <v>133</v>
      </c>
      <c r="J2467" s="135">
        <v>1.0</v>
      </c>
      <c r="K2467" s="135"/>
      <c r="L2467" s="135">
        <v>4920.0</v>
      </c>
      <c r="M2467" s="135">
        <v>3000.0</v>
      </c>
      <c r="N2467" s="135">
        <v>120.0</v>
      </c>
      <c r="O2467" s="135">
        <v>1.84</v>
      </c>
      <c r="P2467" s="136"/>
      <c r="Q2467" s="137">
        <v>4.6000000000000005</v>
      </c>
      <c r="R2467" s="136">
        <v>46140.0</v>
      </c>
      <c r="S2467" s="135" t="s">
        <v>3980</v>
      </c>
      <c r="T2467" s="136"/>
      <c r="U2467" s="135" t="s">
        <v>2855</v>
      </c>
      <c r="V2467" s="135" t="s">
        <v>2868</v>
      </c>
      <c r="W2467" s="135">
        <v>1800.0</v>
      </c>
      <c r="X2467" s="135" t="s">
        <v>3536</v>
      </c>
      <c r="Y2467" s="135"/>
      <c r="Z2467" s="135" t="s">
        <v>2858</v>
      </c>
      <c r="AA2467" s="135"/>
      <c r="AB2467" s="135"/>
      <c r="AC2467" s="135"/>
      <c r="AD2467" s="135" t="e">
        <v>#N/A</v>
      </c>
      <c r="AE2467" s="135"/>
      <c r="AF2467" s="135"/>
      <c r="AG2467" s="135"/>
    </row>
    <row r="2468" ht="21.75" customHeight="1">
      <c r="A2468" s="135">
        <v>2464.0</v>
      </c>
      <c r="B2468" s="135">
        <v>25045.0</v>
      </c>
      <c r="C2468" s="135"/>
      <c r="D2468" s="135"/>
      <c r="E2468" s="135" t="s">
        <v>3979</v>
      </c>
      <c r="F2468" s="135" t="s">
        <v>2705</v>
      </c>
      <c r="G2468" s="135" t="s">
        <v>132</v>
      </c>
      <c r="H2468" s="135"/>
      <c r="I2468" s="135" t="s">
        <v>133</v>
      </c>
      <c r="J2468" s="135">
        <v>1.0</v>
      </c>
      <c r="K2468" s="135"/>
      <c r="L2468" s="135"/>
      <c r="M2468" s="135"/>
      <c r="N2468" s="135"/>
      <c r="O2468" s="135"/>
      <c r="P2468" s="136"/>
      <c r="Q2468" s="137">
        <v>0.0</v>
      </c>
      <c r="R2468" s="136">
        <v>46140.0</v>
      </c>
      <c r="S2468" s="135" t="s">
        <v>3980</v>
      </c>
      <c r="T2468" s="136"/>
      <c r="U2468" s="135"/>
      <c r="V2468" s="135"/>
      <c r="W2468" s="135"/>
      <c r="X2468" s="135"/>
      <c r="Y2468" s="135"/>
      <c r="Z2468" s="135"/>
      <c r="AA2468" s="135"/>
      <c r="AB2468" s="135"/>
      <c r="AC2468" s="135"/>
      <c r="AD2468" s="135" t="e">
        <v>#N/A</v>
      </c>
      <c r="AE2468" s="135"/>
      <c r="AF2468" s="135"/>
      <c r="AG2468" s="135"/>
    </row>
    <row r="2469" ht="21.75" customHeight="1">
      <c r="A2469" s="135">
        <v>2465.0</v>
      </c>
      <c r="B2469" s="135">
        <v>25045.0</v>
      </c>
      <c r="C2469" s="135"/>
      <c r="D2469" s="135"/>
      <c r="E2469" s="135" t="s">
        <v>3979</v>
      </c>
      <c r="F2469" s="135" t="s">
        <v>2706</v>
      </c>
      <c r="G2469" s="135" t="s">
        <v>132</v>
      </c>
      <c r="H2469" s="135"/>
      <c r="I2469" s="135" t="s">
        <v>133</v>
      </c>
      <c r="J2469" s="135">
        <v>1.0</v>
      </c>
      <c r="K2469" s="135" t="s">
        <v>3991</v>
      </c>
      <c r="L2469" s="135">
        <v>4534.0</v>
      </c>
      <c r="M2469" s="135">
        <v>3200.0</v>
      </c>
      <c r="N2469" s="135">
        <v>120.0</v>
      </c>
      <c r="O2469" s="135">
        <v>2.12</v>
      </c>
      <c r="P2469" s="136"/>
      <c r="Q2469" s="137">
        <v>5.300000000000001</v>
      </c>
      <c r="R2469" s="136">
        <v>46140.0</v>
      </c>
      <c r="S2469" s="135" t="s">
        <v>3980</v>
      </c>
      <c r="T2469" s="136"/>
      <c r="U2469" s="135" t="s">
        <v>2855</v>
      </c>
      <c r="V2469" s="135" t="s">
        <v>2878</v>
      </c>
      <c r="W2469" s="135">
        <v>1800.0</v>
      </c>
      <c r="X2469" s="135"/>
      <c r="Y2469" s="135"/>
      <c r="Z2469" s="135" t="s">
        <v>2858</v>
      </c>
      <c r="AA2469" s="135"/>
      <c r="AB2469" s="135"/>
      <c r="AC2469" s="135"/>
      <c r="AD2469" s="135" t="e">
        <v>#N/A</v>
      </c>
      <c r="AE2469" s="135"/>
      <c r="AF2469" s="135"/>
      <c r="AG2469" s="135"/>
    </row>
    <row r="2470" ht="21.75" customHeight="1">
      <c r="A2470" s="135">
        <v>2466.0</v>
      </c>
      <c r="B2470" s="135">
        <v>25045.0</v>
      </c>
      <c r="C2470" s="135"/>
      <c r="D2470" s="135"/>
      <c r="E2470" s="135" t="s">
        <v>3979</v>
      </c>
      <c r="F2470" s="135" t="s">
        <v>2707</v>
      </c>
      <c r="G2470" s="135" t="s">
        <v>132</v>
      </c>
      <c r="H2470" s="135"/>
      <c r="I2470" s="135" t="s">
        <v>133</v>
      </c>
      <c r="J2470" s="135">
        <v>1.0</v>
      </c>
      <c r="K2470" s="135" t="s">
        <v>3992</v>
      </c>
      <c r="L2470" s="135">
        <v>4534.0</v>
      </c>
      <c r="M2470" s="135">
        <v>3200.0</v>
      </c>
      <c r="N2470" s="135">
        <v>120.0</v>
      </c>
      <c r="O2470" s="135">
        <v>2.12</v>
      </c>
      <c r="P2470" s="136"/>
      <c r="Q2470" s="137">
        <v>5.300000000000001</v>
      </c>
      <c r="R2470" s="136">
        <v>46140.0</v>
      </c>
      <c r="S2470" s="135" t="s">
        <v>3980</v>
      </c>
      <c r="T2470" s="136"/>
      <c r="U2470" s="135" t="s">
        <v>2855</v>
      </c>
      <c r="V2470" s="135" t="s">
        <v>2878</v>
      </c>
      <c r="W2470" s="135">
        <v>1800.0</v>
      </c>
      <c r="X2470" s="135"/>
      <c r="Y2470" s="135"/>
      <c r="Z2470" s="135" t="s">
        <v>2858</v>
      </c>
      <c r="AA2470" s="135"/>
      <c r="AB2470" s="135"/>
      <c r="AC2470" s="135"/>
      <c r="AD2470" s="135" t="e">
        <v>#N/A</v>
      </c>
      <c r="AE2470" s="135"/>
      <c r="AF2470" s="135"/>
      <c r="AG2470" s="135"/>
    </row>
    <row r="2471" ht="21.75" customHeight="1">
      <c r="A2471" s="135">
        <v>2467.0</v>
      </c>
      <c r="B2471" s="135">
        <v>25045.0</v>
      </c>
      <c r="C2471" s="135"/>
      <c r="D2471" s="135"/>
      <c r="E2471" s="135" t="s">
        <v>3979</v>
      </c>
      <c r="F2471" s="135" t="s">
        <v>2708</v>
      </c>
      <c r="G2471" s="135" t="s">
        <v>132</v>
      </c>
      <c r="H2471" s="135"/>
      <c r="I2471" s="135" t="s">
        <v>133</v>
      </c>
      <c r="J2471" s="135">
        <v>1.0</v>
      </c>
      <c r="K2471" s="135" t="s">
        <v>3993</v>
      </c>
      <c r="L2471" s="135">
        <v>4534.0</v>
      </c>
      <c r="M2471" s="135">
        <v>3200.0</v>
      </c>
      <c r="N2471" s="135">
        <v>120.0</v>
      </c>
      <c r="O2471" s="135">
        <v>2.12</v>
      </c>
      <c r="P2471" s="136"/>
      <c r="Q2471" s="137">
        <v>5.300000000000001</v>
      </c>
      <c r="R2471" s="136">
        <v>46140.0</v>
      </c>
      <c r="S2471" s="135" t="s">
        <v>3980</v>
      </c>
      <c r="T2471" s="136"/>
      <c r="U2471" s="135" t="s">
        <v>2855</v>
      </c>
      <c r="V2471" s="135" t="s">
        <v>2878</v>
      </c>
      <c r="W2471" s="135">
        <v>1800.0</v>
      </c>
      <c r="X2471" s="135"/>
      <c r="Y2471" s="135"/>
      <c r="Z2471" s="135" t="s">
        <v>2858</v>
      </c>
      <c r="AA2471" s="135"/>
      <c r="AB2471" s="135"/>
      <c r="AC2471" s="135"/>
      <c r="AD2471" s="135" t="e">
        <v>#N/A</v>
      </c>
      <c r="AE2471" s="135"/>
      <c r="AF2471" s="135"/>
      <c r="AG2471" s="135"/>
    </row>
    <row r="2472" ht="21.75" customHeight="1">
      <c r="A2472" s="135">
        <v>2468.0</v>
      </c>
      <c r="B2472" s="135">
        <v>25045.0</v>
      </c>
      <c r="C2472" s="135"/>
      <c r="D2472" s="135"/>
      <c r="E2472" s="135" t="s">
        <v>3979</v>
      </c>
      <c r="F2472" s="135" t="s">
        <v>2709</v>
      </c>
      <c r="G2472" s="135" t="s">
        <v>132</v>
      </c>
      <c r="H2472" s="135"/>
      <c r="I2472" s="135" t="s">
        <v>133</v>
      </c>
      <c r="J2472" s="135">
        <v>1.0</v>
      </c>
      <c r="K2472" s="135"/>
      <c r="L2472" s="135">
        <v>5000.0</v>
      </c>
      <c r="M2472" s="135">
        <v>3200.0</v>
      </c>
      <c r="N2472" s="135">
        <v>120.0</v>
      </c>
      <c r="O2472" s="135">
        <v>2.26</v>
      </c>
      <c r="P2472" s="136"/>
      <c r="Q2472" s="137">
        <v>5.6499999999999995</v>
      </c>
      <c r="R2472" s="136">
        <v>46140.0</v>
      </c>
      <c r="S2472" s="135" t="s">
        <v>3980</v>
      </c>
      <c r="T2472" s="136"/>
      <c r="U2472" s="135" t="s">
        <v>2855</v>
      </c>
      <c r="V2472" s="135" t="s">
        <v>2878</v>
      </c>
      <c r="W2472" s="135">
        <v>2500.0</v>
      </c>
      <c r="X2472" s="135"/>
      <c r="Y2472" s="135"/>
      <c r="Z2472" s="135" t="s">
        <v>2858</v>
      </c>
      <c r="AA2472" s="135"/>
      <c r="AB2472" s="135"/>
      <c r="AC2472" s="135"/>
      <c r="AD2472" s="135" t="e">
        <v>#N/A</v>
      </c>
      <c r="AE2472" s="135"/>
      <c r="AF2472" s="135"/>
      <c r="AG2472" s="135"/>
    </row>
    <row r="2473" ht="21.75" customHeight="1">
      <c r="A2473" s="135">
        <v>2469.0</v>
      </c>
      <c r="B2473" s="135">
        <v>25045.0</v>
      </c>
      <c r="C2473" s="135"/>
      <c r="D2473" s="135"/>
      <c r="E2473" s="135" t="s">
        <v>3979</v>
      </c>
      <c r="F2473" s="135" t="s">
        <v>2710</v>
      </c>
      <c r="G2473" s="135" t="s">
        <v>132</v>
      </c>
      <c r="H2473" s="135"/>
      <c r="I2473" s="135" t="s">
        <v>133</v>
      </c>
      <c r="J2473" s="135"/>
      <c r="K2473" s="135"/>
      <c r="L2473" s="135"/>
      <c r="M2473" s="135"/>
      <c r="N2473" s="135"/>
      <c r="O2473" s="135"/>
      <c r="P2473" s="136"/>
      <c r="Q2473" s="137">
        <v>0.0</v>
      </c>
      <c r="R2473" s="136">
        <v>46140.0</v>
      </c>
      <c r="S2473" s="135" t="s">
        <v>3980</v>
      </c>
      <c r="T2473" s="136"/>
      <c r="U2473" s="135"/>
      <c r="V2473" s="135"/>
      <c r="W2473" s="135"/>
      <c r="X2473" s="135"/>
      <c r="Y2473" s="135"/>
      <c r="Z2473" s="135"/>
      <c r="AA2473" s="135"/>
      <c r="AB2473" s="135"/>
      <c r="AC2473" s="135"/>
      <c r="AD2473" s="135" t="e">
        <v>#N/A</v>
      </c>
      <c r="AE2473" s="135"/>
      <c r="AF2473" s="135"/>
      <c r="AG2473" s="135"/>
    </row>
    <row r="2474" ht="21.75" customHeight="1">
      <c r="A2474" s="135">
        <v>2470.0</v>
      </c>
      <c r="B2474" s="135">
        <v>25045.0</v>
      </c>
      <c r="C2474" s="135"/>
      <c r="D2474" s="135"/>
      <c r="E2474" s="135" t="s">
        <v>3979</v>
      </c>
      <c r="F2474" s="135" t="s">
        <v>2711</v>
      </c>
      <c r="G2474" s="135" t="s">
        <v>132</v>
      </c>
      <c r="H2474" s="135"/>
      <c r="I2474" s="135" t="s">
        <v>133</v>
      </c>
      <c r="J2474" s="135"/>
      <c r="K2474" s="135"/>
      <c r="L2474" s="135"/>
      <c r="M2474" s="135"/>
      <c r="N2474" s="135"/>
      <c r="O2474" s="135"/>
      <c r="P2474" s="136"/>
      <c r="Q2474" s="137">
        <v>0.0</v>
      </c>
      <c r="R2474" s="136">
        <v>46140.0</v>
      </c>
      <c r="S2474" s="135" t="s">
        <v>3980</v>
      </c>
      <c r="T2474" s="136"/>
      <c r="U2474" s="135"/>
      <c r="V2474" s="135"/>
      <c r="W2474" s="135"/>
      <c r="X2474" s="135"/>
      <c r="Y2474" s="135"/>
      <c r="Z2474" s="135"/>
      <c r="AA2474" s="135"/>
      <c r="AB2474" s="135"/>
      <c r="AC2474" s="135"/>
      <c r="AD2474" s="135" t="e">
        <v>#N/A</v>
      </c>
      <c r="AE2474" s="135"/>
      <c r="AF2474" s="135"/>
      <c r="AG2474" s="135"/>
    </row>
    <row r="2475" ht="21.75" customHeight="1">
      <c r="A2475" s="135">
        <v>2471.0</v>
      </c>
      <c r="B2475" s="135">
        <v>25045.0</v>
      </c>
      <c r="C2475" s="135" t="s">
        <v>2817</v>
      </c>
      <c r="D2475" s="135"/>
      <c r="E2475" s="135" t="s">
        <v>3985</v>
      </c>
      <c r="F2475" s="135" t="s">
        <v>2712</v>
      </c>
      <c r="G2475" s="135" t="s">
        <v>132</v>
      </c>
      <c r="H2475" s="135"/>
      <c r="I2475" s="135" t="s">
        <v>134</v>
      </c>
      <c r="J2475" s="135">
        <v>1.0</v>
      </c>
      <c r="K2475" s="135"/>
      <c r="L2475" s="135">
        <v>5887.0</v>
      </c>
      <c r="M2475" s="135">
        <v>3280.0</v>
      </c>
      <c r="N2475" s="135">
        <v>120.0</v>
      </c>
      <c r="O2475" s="135">
        <v>1.17</v>
      </c>
      <c r="P2475" s="136"/>
      <c r="Q2475" s="137">
        <v>2.925</v>
      </c>
      <c r="R2475" s="136">
        <v>46140.0</v>
      </c>
      <c r="S2475" s="135" t="s">
        <v>3980</v>
      </c>
      <c r="T2475" s="136"/>
      <c r="U2475" s="135" t="s">
        <v>2855</v>
      </c>
      <c r="V2475" s="135" t="s">
        <v>2856</v>
      </c>
      <c r="W2475" s="135">
        <v>2500.0</v>
      </c>
      <c r="X2475" s="135" t="s">
        <v>3994</v>
      </c>
      <c r="Y2475" s="135"/>
      <c r="Z2475" s="135" t="s">
        <v>2858</v>
      </c>
      <c r="AA2475" s="135"/>
      <c r="AB2475" s="135"/>
      <c r="AC2475" s="135"/>
      <c r="AD2475" s="135" t="e">
        <v>#N/A</v>
      </c>
      <c r="AE2475" s="135"/>
      <c r="AF2475" s="135"/>
      <c r="AG2475" s="135"/>
    </row>
    <row r="2476" ht="21.75" customHeight="1">
      <c r="A2476" s="135">
        <v>2472.0</v>
      </c>
      <c r="B2476" s="135">
        <v>25045.0</v>
      </c>
      <c r="C2476" s="135" t="s">
        <v>2817</v>
      </c>
      <c r="D2476" s="135"/>
      <c r="E2476" s="135" t="s">
        <v>3985</v>
      </c>
      <c r="F2476" s="135" t="s">
        <v>2713</v>
      </c>
      <c r="G2476" s="135" t="s">
        <v>132</v>
      </c>
      <c r="H2476" s="135"/>
      <c r="I2476" s="135" t="s">
        <v>134</v>
      </c>
      <c r="J2476" s="135">
        <v>1.0</v>
      </c>
      <c r="K2476" s="135" t="s">
        <v>3995</v>
      </c>
      <c r="L2476" s="135">
        <v>5887.0</v>
      </c>
      <c r="M2476" s="135">
        <v>1350.0</v>
      </c>
      <c r="N2476" s="135">
        <v>120.0</v>
      </c>
      <c r="O2476" s="135">
        <v>0.99</v>
      </c>
      <c r="P2476" s="136"/>
      <c r="Q2476" s="137">
        <v>2.475</v>
      </c>
      <c r="R2476" s="136">
        <v>46140.0</v>
      </c>
      <c r="S2476" s="135" t="s">
        <v>3980</v>
      </c>
      <c r="T2476" s="136"/>
      <c r="U2476" s="135" t="s">
        <v>2855</v>
      </c>
      <c r="V2476" s="135" t="s">
        <v>2856</v>
      </c>
      <c r="W2476" s="135">
        <v>1800.0</v>
      </c>
      <c r="X2476" s="135"/>
      <c r="Y2476" s="135"/>
      <c r="Z2476" s="135" t="s">
        <v>2858</v>
      </c>
      <c r="AA2476" s="135"/>
      <c r="AB2476" s="135"/>
      <c r="AC2476" s="135"/>
      <c r="AD2476" s="135" t="e">
        <v>#N/A</v>
      </c>
      <c r="AE2476" s="135"/>
      <c r="AF2476" s="135"/>
      <c r="AG2476" s="135"/>
    </row>
    <row r="2477" ht="21.75" customHeight="1">
      <c r="A2477" s="135">
        <v>2473.0</v>
      </c>
      <c r="B2477" s="135">
        <v>25045.0</v>
      </c>
      <c r="C2477" s="135" t="s">
        <v>2817</v>
      </c>
      <c r="D2477" s="135"/>
      <c r="E2477" s="135" t="s">
        <v>3986</v>
      </c>
      <c r="F2477" s="135" t="s">
        <v>2714</v>
      </c>
      <c r="G2477" s="135" t="s">
        <v>132</v>
      </c>
      <c r="H2477" s="135"/>
      <c r="I2477" s="135" t="s">
        <v>135</v>
      </c>
      <c r="J2477" s="135">
        <v>1.0</v>
      </c>
      <c r="K2477" s="135" t="s">
        <v>3995</v>
      </c>
      <c r="L2477" s="135">
        <v>5887.0</v>
      </c>
      <c r="M2477" s="135">
        <v>1350.0</v>
      </c>
      <c r="N2477" s="135">
        <v>120.0</v>
      </c>
      <c r="O2477" s="135">
        <v>0.99</v>
      </c>
      <c r="P2477" s="136"/>
      <c r="Q2477" s="137">
        <v>2.475</v>
      </c>
      <c r="R2477" s="136">
        <v>46140.0</v>
      </c>
      <c r="S2477" s="135" t="s">
        <v>3980</v>
      </c>
      <c r="T2477" s="136"/>
      <c r="U2477" s="135" t="s">
        <v>2855</v>
      </c>
      <c r="V2477" s="135" t="s">
        <v>2856</v>
      </c>
      <c r="W2477" s="135">
        <v>1800.0</v>
      </c>
      <c r="X2477" s="135"/>
      <c r="Y2477" s="135"/>
      <c r="Z2477" s="135" t="s">
        <v>2858</v>
      </c>
      <c r="AA2477" s="135"/>
      <c r="AB2477" s="135"/>
      <c r="AC2477" s="135"/>
      <c r="AD2477" s="135" t="e">
        <v>#N/A</v>
      </c>
      <c r="AE2477" s="135"/>
      <c r="AF2477" s="135"/>
      <c r="AG2477" s="135"/>
    </row>
    <row r="2478" ht="21.75" customHeight="1">
      <c r="A2478" s="135">
        <v>2474.0</v>
      </c>
      <c r="B2478" s="135">
        <v>25045.0</v>
      </c>
      <c r="C2478" s="135" t="s">
        <v>2817</v>
      </c>
      <c r="D2478" s="135"/>
      <c r="E2478" s="135" t="s">
        <v>3987</v>
      </c>
      <c r="F2478" s="135" t="s">
        <v>2715</v>
      </c>
      <c r="G2478" s="135" t="s">
        <v>132</v>
      </c>
      <c r="H2478" s="135"/>
      <c r="I2478" s="135" t="s">
        <v>136</v>
      </c>
      <c r="J2478" s="135">
        <v>1.0</v>
      </c>
      <c r="K2478" s="135" t="s">
        <v>3995</v>
      </c>
      <c r="L2478" s="135">
        <v>5887.0</v>
      </c>
      <c r="M2478" s="135">
        <v>1350.0</v>
      </c>
      <c r="N2478" s="135">
        <v>120.0</v>
      </c>
      <c r="O2478" s="135">
        <v>0.99</v>
      </c>
      <c r="P2478" s="136"/>
      <c r="Q2478" s="137">
        <v>2.475</v>
      </c>
      <c r="R2478" s="136">
        <v>46140.0</v>
      </c>
      <c r="S2478" s="135" t="s">
        <v>3980</v>
      </c>
      <c r="T2478" s="136"/>
      <c r="U2478" s="135" t="s">
        <v>2855</v>
      </c>
      <c r="V2478" s="135" t="s">
        <v>2856</v>
      </c>
      <c r="W2478" s="135">
        <v>1800.0</v>
      </c>
      <c r="X2478" s="135"/>
      <c r="Y2478" s="135"/>
      <c r="Z2478" s="135" t="s">
        <v>2858</v>
      </c>
      <c r="AA2478" s="135"/>
      <c r="AB2478" s="135"/>
      <c r="AC2478" s="135"/>
      <c r="AD2478" s="135" t="e">
        <v>#N/A</v>
      </c>
      <c r="AE2478" s="135"/>
      <c r="AF2478" s="135"/>
      <c r="AG2478" s="135"/>
    </row>
    <row r="2479" ht="21.75" customHeight="1">
      <c r="A2479" s="135">
        <v>2475.0</v>
      </c>
      <c r="B2479" s="135">
        <v>25045.0</v>
      </c>
      <c r="C2479" s="135" t="s">
        <v>2817</v>
      </c>
      <c r="D2479" s="135"/>
      <c r="E2479" s="135" t="s">
        <v>3988</v>
      </c>
      <c r="F2479" s="135" t="s">
        <v>2716</v>
      </c>
      <c r="G2479" s="135" t="s">
        <v>132</v>
      </c>
      <c r="H2479" s="135"/>
      <c r="I2479" s="135" t="s">
        <v>137</v>
      </c>
      <c r="J2479" s="135">
        <v>1.0</v>
      </c>
      <c r="K2479" s="135" t="s">
        <v>3995</v>
      </c>
      <c r="L2479" s="135">
        <v>5887.0</v>
      </c>
      <c r="M2479" s="135">
        <v>1350.0</v>
      </c>
      <c r="N2479" s="135">
        <v>120.0</v>
      </c>
      <c r="O2479" s="135">
        <v>0.99</v>
      </c>
      <c r="P2479" s="136"/>
      <c r="Q2479" s="137">
        <v>2.475</v>
      </c>
      <c r="R2479" s="136">
        <v>46140.0</v>
      </c>
      <c r="S2479" s="135" t="s">
        <v>3980</v>
      </c>
      <c r="T2479" s="136"/>
      <c r="U2479" s="135" t="s">
        <v>2855</v>
      </c>
      <c r="V2479" s="135" t="s">
        <v>2856</v>
      </c>
      <c r="W2479" s="135">
        <v>1800.0</v>
      </c>
      <c r="X2479" s="135"/>
      <c r="Y2479" s="135"/>
      <c r="Z2479" s="135" t="s">
        <v>2858</v>
      </c>
      <c r="AA2479" s="135"/>
      <c r="AB2479" s="135"/>
      <c r="AC2479" s="135"/>
      <c r="AD2479" s="135" t="e">
        <v>#N/A</v>
      </c>
      <c r="AE2479" s="135"/>
      <c r="AF2479" s="135"/>
      <c r="AG2479" s="135"/>
    </row>
    <row r="2480" ht="21.75" customHeight="1">
      <c r="A2480" s="135">
        <v>2476.0</v>
      </c>
      <c r="B2480" s="135">
        <v>25045.0</v>
      </c>
      <c r="C2480" s="135" t="s">
        <v>2817</v>
      </c>
      <c r="D2480" s="135"/>
      <c r="E2480" s="135" t="s">
        <v>3989</v>
      </c>
      <c r="F2480" s="135" t="s">
        <v>2717</v>
      </c>
      <c r="G2480" s="135" t="s">
        <v>132</v>
      </c>
      <c r="H2480" s="135"/>
      <c r="I2480" s="135" t="s">
        <v>138</v>
      </c>
      <c r="J2480" s="135">
        <v>1.0</v>
      </c>
      <c r="K2480" s="135" t="s">
        <v>3995</v>
      </c>
      <c r="L2480" s="135">
        <v>5887.0</v>
      </c>
      <c r="M2480" s="135">
        <v>1350.0</v>
      </c>
      <c r="N2480" s="135">
        <v>120.0</v>
      </c>
      <c r="O2480" s="135">
        <v>0.99</v>
      </c>
      <c r="P2480" s="136"/>
      <c r="Q2480" s="137">
        <v>2.475</v>
      </c>
      <c r="R2480" s="136">
        <v>46140.0</v>
      </c>
      <c r="S2480" s="135" t="s">
        <v>3980</v>
      </c>
      <c r="T2480" s="136"/>
      <c r="U2480" s="135" t="s">
        <v>2855</v>
      </c>
      <c r="V2480" s="135" t="s">
        <v>2856</v>
      </c>
      <c r="W2480" s="135">
        <v>1800.0</v>
      </c>
      <c r="X2480" s="135"/>
      <c r="Y2480" s="135"/>
      <c r="Z2480" s="135" t="s">
        <v>2858</v>
      </c>
      <c r="AA2480" s="135"/>
      <c r="AB2480" s="135"/>
      <c r="AC2480" s="135"/>
      <c r="AD2480" s="135" t="e">
        <v>#N/A</v>
      </c>
      <c r="AE2480" s="135"/>
      <c r="AF2480" s="135"/>
      <c r="AG2480" s="135"/>
    </row>
    <row r="2481" ht="21.75" customHeight="1">
      <c r="A2481" s="135">
        <v>2477.0</v>
      </c>
      <c r="B2481" s="135">
        <v>25045.0</v>
      </c>
      <c r="C2481" s="135"/>
      <c r="D2481" s="135"/>
      <c r="E2481" s="135" t="s">
        <v>3985</v>
      </c>
      <c r="F2481" s="135" t="s">
        <v>2718</v>
      </c>
      <c r="G2481" s="135" t="s">
        <v>132</v>
      </c>
      <c r="H2481" s="135"/>
      <c r="I2481" s="135" t="s">
        <v>134</v>
      </c>
      <c r="J2481" s="135"/>
      <c r="K2481" s="135"/>
      <c r="L2481" s="135"/>
      <c r="M2481" s="135"/>
      <c r="N2481" s="135"/>
      <c r="O2481" s="135"/>
      <c r="P2481" s="136"/>
      <c r="Q2481" s="137">
        <v>0.0</v>
      </c>
      <c r="R2481" s="136">
        <v>46140.0</v>
      </c>
      <c r="S2481" s="135" t="s">
        <v>3980</v>
      </c>
      <c r="T2481" s="136"/>
      <c r="U2481" s="135"/>
      <c r="V2481" s="135"/>
      <c r="W2481" s="135"/>
      <c r="X2481" s="135"/>
      <c r="Y2481" s="135"/>
      <c r="Z2481" s="135"/>
      <c r="AA2481" s="135"/>
      <c r="AB2481" s="135"/>
      <c r="AC2481" s="135"/>
      <c r="AD2481" s="135" t="e">
        <v>#N/A</v>
      </c>
      <c r="AE2481" s="135"/>
      <c r="AF2481" s="135"/>
      <c r="AG2481" s="135"/>
    </row>
    <row r="2482" ht="21.75" customHeight="1">
      <c r="A2482" s="135">
        <v>2478.0</v>
      </c>
      <c r="B2482" s="135">
        <v>25045.0</v>
      </c>
      <c r="C2482" s="135"/>
      <c r="D2482" s="135"/>
      <c r="E2482" s="135" t="s">
        <v>3985</v>
      </c>
      <c r="F2482" s="135" t="s">
        <v>2719</v>
      </c>
      <c r="G2482" s="135" t="s">
        <v>132</v>
      </c>
      <c r="H2482" s="135"/>
      <c r="I2482" s="135" t="s">
        <v>134</v>
      </c>
      <c r="J2482" s="135">
        <v>1.0</v>
      </c>
      <c r="K2482" s="135" t="s">
        <v>3996</v>
      </c>
      <c r="L2482" s="135">
        <v>4473.0</v>
      </c>
      <c r="M2482" s="135">
        <v>3200.0</v>
      </c>
      <c r="N2482" s="135">
        <v>120.0</v>
      </c>
      <c r="O2482" s="135">
        <v>2.12</v>
      </c>
      <c r="P2482" s="136"/>
      <c r="Q2482" s="137">
        <v>5.300000000000001</v>
      </c>
      <c r="R2482" s="136">
        <v>46140.0</v>
      </c>
      <c r="S2482" s="135" t="s">
        <v>3980</v>
      </c>
      <c r="T2482" s="136"/>
      <c r="U2482" s="135" t="s">
        <v>2855</v>
      </c>
      <c r="V2482" s="135" t="s">
        <v>2878</v>
      </c>
      <c r="W2482" s="135">
        <v>1800.0</v>
      </c>
      <c r="X2482" s="135"/>
      <c r="Y2482" s="135"/>
      <c r="Z2482" s="135" t="s">
        <v>2858</v>
      </c>
      <c r="AA2482" s="135"/>
      <c r="AB2482" s="135"/>
      <c r="AC2482" s="135"/>
      <c r="AD2482" s="135" t="e">
        <v>#N/A</v>
      </c>
      <c r="AE2482" s="135"/>
      <c r="AF2482" s="135"/>
      <c r="AG2482" s="135"/>
    </row>
    <row r="2483" ht="21.75" customHeight="1">
      <c r="A2483" s="135">
        <v>2479.0</v>
      </c>
      <c r="B2483" s="135">
        <v>25045.0</v>
      </c>
      <c r="C2483" s="135"/>
      <c r="D2483" s="135"/>
      <c r="E2483" s="135" t="s">
        <v>3985</v>
      </c>
      <c r="F2483" s="135" t="s">
        <v>2720</v>
      </c>
      <c r="G2483" s="135" t="s">
        <v>132</v>
      </c>
      <c r="H2483" s="135"/>
      <c r="I2483" s="135" t="s">
        <v>134</v>
      </c>
      <c r="J2483" s="135">
        <v>1.0</v>
      </c>
      <c r="K2483" s="135" t="s">
        <v>3996</v>
      </c>
      <c r="L2483" s="135">
        <v>4473.0</v>
      </c>
      <c r="M2483" s="135">
        <v>3200.0</v>
      </c>
      <c r="N2483" s="135">
        <v>120.0</v>
      </c>
      <c r="O2483" s="135">
        <v>2.12</v>
      </c>
      <c r="P2483" s="136"/>
      <c r="Q2483" s="137">
        <v>5.300000000000001</v>
      </c>
      <c r="R2483" s="136">
        <v>46140.0</v>
      </c>
      <c r="S2483" s="135" t="s">
        <v>3980</v>
      </c>
      <c r="T2483" s="136"/>
      <c r="U2483" s="135" t="s">
        <v>2855</v>
      </c>
      <c r="V2483" s="135" t="s">
        <v>2878</v>
      </c>
      <c r="W2483" s="135">
        <v>1800.0</v>
      </c>
      <c r="X2483" s="135"/>
      <c r="Y2483" s="135"/>
      <c r="Z2483" s="135" t="s">
        <v>2858</v>
      </c>
      <c r="AA2483" s="135"/>
      <c r="AB2483" s="135"/>
      <c r="AC2483" s="135"/>
      <c r="AD2483" s="135" t="e">
        <v>#N/A</v>
      </c>
      <c r="AE2483" s="135"/>
      <c r="AF2483" s="135"/>
      <c r="AG2483" s="135"/>
    </row>
    <row r="2484" ht="21.75" customHeight="1">
      <c r="A2484" s="135">
        <v>2480.0</v>
      </c>
      <c r="B2484" s="135">
        <v>25045.0</v>
      </c>
      <c r="C2484" s="135"/>
      <c r="D2484" s="135"/>
      <c r="E2484" s="135" t="s">
        <v>3985</v>
      </c>
      <c r="F2484" s="135" t="s">
        <v>2721</v>
      </c>
      <c r="G2484" s="135" t="s">
        <v>132</v>
      </c>
      <c r="H2484" s="135"/>
      <c r="I2484" s="135" t="s">
        <v>134</v>
      </c>
      <c r="J2484" s="135">
        <v>1.0</v>
      </c>
      <c r="K2484" s="135" t="s">
        <v>3996</v>
      </c>
      <c r="L2484" s="135">
        <v>4473.0</v>
      </c>
      <c r="M2484" s="135">
        <v>3200.0</v>
      </c>
      <c r="N2484" s="135">
        <v>120.0</v>
      </c>
      <c r="O2484" s="135">
        <v>2.12</v>
      </c>
      <c r="P2484" s="136"/>
      <c r="Q2484" s="137">
        <v>5.300000000000001</v>
      </c>
      <c r="R2484" s="136">
        <v>46140.0</v>
      </c>
      <c r="S2484" s="135" t="s">
        <v>3980</v>
      </c>
      <c r="T2484" s="136"/>
      <c r="U2484" s="135" t="s">
        <v>2855</v>
      </c>
      <c r="V2484" s="135" t="s">
        <v>2878</v>
      </c>
      <c r="W2484" s="135">
        <v>1800.0</v>
      </c>
      <c r="X2484" s="135"/>
      <c r="Y2484" s="135"/>
      <c r="Z2484" s="135" t="s">
        <v>2858</v>
      </c>
      <c r="AA2484" s="135"/>
      <c r="AB2484" s="135"/>
      <c r="AC2484" s="135"/>
      <c r="AD2484" s="135" t="e">
        <v>#N/A</v>
      </c>
      <c r="AE2484" s="135"/>
      <c r="AF2484" s="135"/>
      <c r="AG2484" s="135"/>
    </row>
    <row r="2485" ht="21.75" customHeight="1">
      <c r="A2485" s="135">
        <v>2481.0</v>
      </c>
      <c r="B2485" s="135">
        <v>25045.0</v>
      </c>
      <c r="C2485" s="135"/>
      <c r="D2485" s="135"/>
      <c r="E2485" s="135" t="s">
        <v>3985</v>
      </c>
      <c r="F2485" s="135" t="s">
        <v>2722</v>
      </c>
      <c r="G2485" s="135" t="s">
        <v>132</v>
      </c>
      <c r="H2485" s="135"/>
      <c r="I2485" s="135" t="s">
        <v>134</v>
      </c>
      <c r="J2485" s="135">
        <v>1.0</v>
      </c>
      <c r="K2485" s="135"/>
      <c r="L2485" s="135">
        <v>5000.0</v>
      </c>
      <c r="M2485" s="135">
        <v>3200.0</v>
      </c>
      <c r="N2485" s="135">
        <v>120.0</v>
      </c>
      <c r="O2485" s="135"/>
      <c r="P2485" s="136"/>
      <c r="Q2485" s="137">
        <v>0.0</v>
      </c>
      <c r="R2485" s="136">
        <v>46140.0</v>
      </c>
      <c r="S2485" s="135" t="s">
        <v>3980</v>
      </c>
      <c r="T2485" s="136"/>
      <c r="U2485" s="135" t="s">
        <v>2855</v>
      </c>
      <c r="V2485" s="135" t="s">
        <v>2878</v>
      </c>
      <c r="W2485" s="135">
        <v>2500.0</v>
      </c>
      <c r="X2485" s="135"/>
      <c r="Y2485" s="135"/>
      <c r="Z2485" s="135" t="s">
        <v>2858</v>
      </c>
      <c r="AA2485" s="135"/>
      <c r="AB2485" s="135"/>
      <c r="AC2485" s="135"/>
      <c r="AD2485" s="135" t="e">
        <v>#N/A</v>
      </c>
      <c r="AE2485" s="135"/>
      <c r="AF2485" s="135"/>
      <c r="AG2485" s="135"/>
    </row>
    <row r="2486" ht="21.75" customHeight="1">
      <c r="A2486" s="135">
        <v>2482.0</v>
      </c>
      <c r="B2486" s="135">
        <v>25045.0</v>
      </c>
      <c r="C2486" s="135"/>
      <c r="D2486" s="135"/>
      <c r="E2486" s="135" t="s">
        <v>3985</v>
      </c>
      <c r="F2486" s="135" t="s">
        <v>2723</v>
      </c>
      <c r="G2486" s="135" t="s">
        <v>132</v>
      </c>
      <c r="H2486" s="135"/>
      <c r="I2486" s="135" t="s">
        <v>134</v>
      </c>
      <c r="J2486" s="135"/>
      <c r="K2486" s="135"/>
      <c r="L2486" s="135"/>
      <c r="M2486" s="135"/>
      <c r="N2486" s="135"/>
      <c r="O2486" s="135"/>
      <c r="P2486" s="136"/>
      <c r="Q2486" s="137">
        <v>0.0</v>
      </c>
      <c r="R2486" s="136">
        <v>46140.0</v>
      </c>
      <c r="S2486" s="135" t="s">
        <v>3980</v>
      </c>
      <c r="T2486" s="136"/>
      <c r="U2486" s="135"/>
      <c r="V2486" s="135"/>
      <c r="W2486" s="135"/>
      <c r="X2486" s="135"/>
      <c r="Y2486" s="135"/>
      <c r="Z2486" s="135"/>
      <c r="AA2486" s="135"/>
      <c r="AB2486" s="135"/>
      <c r="AC2486" s="135"/>
      <c r="AD2486" s="135" t="e">
        <v>#N/A</v>
      </c>
      <c r="AE2486" s="135"/>
      <c r="AF2486" s="135"/>
      <c r="AG2486" s="135"/>
    </row>
    <row r="2487" ht="21.75" customHeight="1">
      <c r="A2487" s="135">
        <v>2483.0</v>
      </c>
      <c r="B2487" s="135">
        <v>25045.0</v>
      </c>
      <c r="C2487" s="135"/>
      <c r="D2487" s="135"/>
      <c r="E2487" s="135" t="s">
        <v>3985</v>
      </c>
      <c r="F2487" s="135" t="s">
        <v>2724</v>
      </c>
      <c r="G2487" s="135" t="s">
        <v>132</v>
      </c>
      <c r="H2487" s="135"/>
      <c r="I2487" s="135" t="s">
        <v>134</v>
      </c>
      <c r="J2487" s="135">
        <v>1.0</v>
      </c>
      <c r="K2487" s="135" t="s">
        <v>3997</v>
      </c>
      <c r="L2487" s="135">
        <v>4534.0</v>
      </c>
      <c r="M2487" s="135">
        <v>3200.0</v>
      </c>
      <c r="N2487" s="135">
        <v>120.0</v>
      </c>
      <c r="O2487" s="135">
        <v>2.12</v>
      </c>
      <c r="P2487" s="136"/>
      <c r="Q2487" s="137">
        <v>5.300000000000001</v>
      </c>
      <c r="R2487" s="136">
        <v>46140.0</v>
      </c>
      <c r="S2487" s="135" t="s">
        <v>3980</v>
      </c>
      <c r="T2487" s="136"/>
      <c r="U2487" s="135" t="s">
        <v>2855</v>
      </c>
      <c r="V2487" s="135" t="s">
        <v>2878</v>
      </c>
      <c r="W2487" s="135">
        <v>1800.0</v>
      </c>
      <c r="X2487" s="135"/>
      <c r="Y2487" s="135"/>
      <c r="Z2487" s="135" t="s">
        <v>2858</v>
      </c>
      <c r="AA2487" s="135"/>
      <c r="AB2487" s="135"/>
      <c r="AC2487" s="135"/>
      <c r="AD2487" s="135" t="e">
        <v>#N/A</v>
      </c>
      <c r="AE2487" s="135"/>
      <c r="AF2487" s="135"/>
      <c r="AG2487" s="135"/>
    </row>
    <row r="2488" ht="21.75" customHeight="1">
      <c r="A2488" s="135">
        <v>2484.0</v>
      </c>
      <c r="B2488" s="135">
        <v>25045.0</v>
      </c>
      <c r="C2488" s="135"/>
      <c r="D2488" s="135"/>
      <c r="E2488" s="135" t="s">
        <v>3985</v>
      </c>
      <c r="F2488" s="135" t="s">
        <v>2725</v>
      </c>
      <c r="G2488" s="135" t="s">
        <v>132</v>
      </c>
      <c r="H2488" s="135"/>
      <c r="I2488" s="135" t="s">
        <v>134</v>
      </c>
      <c r="J2488" s="135">
        <v>1.0</v>
      </c>
      <c r="K2488" s="135" t="s">
        <v>3997</v>
      </c>
      <c r="L2488" s="135">
        <v>4534.0</v>
      </c>
      <c r="M2488" s="135">
        <v>3200.0</v>
      </c>
      <c r="N2488" s="135">
        <v>120.0</v>
      </c>
      <c r="O2488" s="135">
        <v>2.12</v>
      </c>
      <c r="P2488" s="136"/>
      <c r="Q2488" s="137">
        <v>5.300000000000001</v>
      </c>
      <c r="R2488" s="136">
        <v>46140.0</v>
      </c>
      <c r="S2488" s="135" t="s">
        <v>3980</v>
      </c>
      <c r="T2488" s="136"/>
      <c r="U2488" s="135" t="s">
        <v>2855</v>
      </c>
      <c r="V2488" s="135" t="s">
        <v>2878</v>
      </c>
      <c r="W2488" s="135">
        <v>1800.0</v>
      </c>
      <c r="X2488" s="135"/>
      <c r="Y2488" s="135"/>
      <c r="Z2488" s="135" t="s">
        <v>2858</v>
      </c>
      <c r="AA2488" s="135"/>
      <c r="AB2488" s="135"/>
      <c r="AC2488" s="135"/>
      <c r="AD2488" s="135" t="e">
        <v>#N/A</v>
      </c>
      <c r="AE2488" s="135"/>
      <c r="AF2488" s="135"/>
      <c r="AG2488" s="135"/>
    </row>
    <row r="2489" ht="21.75" customHeight="1">
      <c r="A2489" s="135">
        <v>2485.0</v>
      </c>
      <c r="B2489" s="135">
        <v>25045.0</v>
      </c>
      <c r="C2489" s="135"/>
      <c r="D2489" s="135"/>
      <c r="E2489" s="135" t="s">
        <v>3985</v>
      </c>
      <c r="F2489" s="135" t="s">
        <v>2726</v>
      </c>
      <c r="G2489" s="135" t="s">
        <v>132</v>
      </c>
      <c r="H2489" s="135"/>
      <c r="I2489" s="135" t="s">
        <v>134</v>
      </c>
      <c r="J2489" s="135">
        <v>1.0</v>
      </c>
      <c r="K2489" s="135" t="s">
        <v>3997</v>
      </c>
      <c r="L2489" s="135">
        <v>4534.0</v>
      </c>
      <c r="M2489" s="135">
        <v>3200.0</v>
      </c>
      <c r="N2489" s="135">
        <v>120.0</v>
      </c>
      <c r="O2489" s="135">
        <v>2.12</v>
      </c>
      <c r="P2489" s="136"/>
      <c r="Q2489" s="137">
        <v>5.300000000000001</v>
      </c>
      <c r="R2489" s="136">
        <v>46140.0</v>
      </c>
      <c r="S2489" s="135" t="s">
        <v>3980</v>
      </c>
      <c r="T2489" s="136"/>
      <c r="U2489" s="135" t="s">
        <v>2855</v>
      </c>
      <c r="V2489" s="135" t="s">
        <v>2878</v>
      </c>
      <c r="W2489" s="135">
        <v>1800.0</v>
      </c>
      <c r="X2489" s="135"/>
      <c r="Y2489" s="135"/>
      <c r="Z2489" s="135" t="s">
        <v>2858</v>
      </c>
      <c r="AA2489" s="135"/>
      <c r="AB2489" s="135"/>
      <c r="AC2489" s="135"/>
      <c r="AD2489" s="135" t="e">
        <v>#N/A</v>
      </c>
      <c r="AE2489" s="135"/>
      <c r="AF2489" s="135"/>
      <c r="AG2489" s="135"/>
    </row>
    <row r="2490" ht="21.75" customHeight="1">
      <c r="A2490" s="135">
        <v>2486.0</v>
      </c>
      <c r="B2490" s="135">
        <v>25045.0</v>
      </c>
      <c r="C2490" s="135"/>
      <c r="D2490" s="135"/>
      <c r="E2490" s="135" t="s">
        <v>3985</v>
      </c>
      <c r="F2490" s="135" t="s">
        <v>2727</v>
      </c>
      <c r="G2490" s="135" t="s">
        <v>132</v>
      </c>
      <c r="H2490" s="135"/>
      <c r="I2490" s="135" t="s">
        <v>134</v>
      </c>
      <c r="J2490" s="135">
        <v>1.0</v>
      </c>
      <c r="K2490" s="135"/>
      <c r="L2490" s="135">
        <v>4945.0</v>
      </c>
      <c r="M2490" s="135">
        <v>3200.0</v>
      </c>
      <c r="N2490" s="135">
        <v>120.0</v>
      </c>
      <c r="O2490" s="135">
        <v>2.25</v>
      </c>
      <c r="P2490" s="136"/>
      <c r="Q2490" s="137">
        <v>5.625</v>
      </c>
      <c r="R2490" s="136">
        <v>46140.0</v>
      </c>
      <c r="S2490" s="135" t="s">
        <v>3980</v>
      </c>
      <c r="T2490" s="136"/>
      <c r="U2490" s="135" t="s">
        <v>2855</v>
      </c>
      <c r="V2490" s="135" t="s">
        <v>2878</v>
      </c>
      <c r="W2490" s="135">
        <v>1800.0</v>
      </c>
      <c r="X2490" s="135"/>
      <c r="Y2490" s="135"/>
      <c r="Z2490" s="135" t="s">
        <v>2858</v>
      </c>
      <c r="AA2490" s="135"/>
      <c r="AB2490" s="135"/>
      <c r="AC2490" s="135"/>
      <c r="AD2490" s="135" t="e">
        <v>#N/A</v>
      </c>
      <c r="AE2490" s="135"/>
      <c r="AF2490" s="135"/>
      <c r="AG2490" s="135"/>
    </row>
    <row r="2491" ht="21.75" customHeight="1">
      <c r="A2491" s="135">
        <v>2487.0</v>
      </c>
      <c r="B2491" s="135">
        <v>25045.0</v>
      </c>
      <c r="C2491" s="135"/>
      <c r="D2491" s="135"/>
      <c r="E2491" s="135" t="s">
        <v>3985</v>
      </c>
      <c r="F2491" s="135" t="s">
        <v>2728</v>
      </c>
      <c r="G2491" s="135" t="s">
        <v>132</v>
      </c>
      <c r="H2491" s="135"/>
      <c r="I2491" s="135" t="s">
        <v>134</v>
      </c>
      <c r="J2491" s="135"/>
      <c r="K2491" s="135"/>
      <c r="L2491" s="135"/>
      <c r="M2491" s="135"/>
      <c r="N2491" s="135"/>
      <c r="O2491" s="135"/>
      <c r="P2491" s="136"/>
      <c r="Q2491" s="137">
        <v>0.0</v>
      </c>
      <c r="R2491" s="136">
        <v>46140.0</v>
      </c>
      <c r="S2491" s="135" t="s">
        <v>3980</v>
      </c>
      <c r="T2491" s="136"/>
      <c r="U2491" s="135"/>
      <c r="V2491" s="135"/>
      <c r="W2491" s="135"/>
      <c r="X2491" s="135"/>
      <c r="Y2491" s="135"/>
      <c r="Z2491" s="135"/>
      <c r="AA2491" s="135"/>
      <c r="AB2491" s="135"/>
      <c r="AC2491" s="135"/>
      <c r="AD2491" s="135" t="e">
        <v>#N/A</v>
      </c>
      <c r="AE2491" s="135"/>
      <c r="AF2491" s="135"/>
      <c r="AG2491" s="135"/>
    </row>
    <row r="2492" ht="21.75" customHeight="1">
      <c r="A2492" s="135">
        <v>2488.0</v>
      </c>
      <c r="B2492" s="135">
        <v>25045.0</v>
      </c>
      <c r="C2492" s="135"/>
      <c r="D2492" s="135"/>
      <c r="E2492" s="135" t="s">
        <v>3985</v>
      </c>
      <c r="F2492" s="135" t="s">
        <v>2729</v>
      </c>
      <c r="G2492" s="135" t="s">
        <v>132</v>
      </c>
      <c r="H2492" s="135"/>
      <c r="I2492" s="135" t="s">
        <v>134</v>
      </c>
      <c r="J2492" s="135">
        <v>1.0</v>
      </c>
      <c r="K2492" s="135"/>
      <c r="L2492" s="135">
        <v>2865.0</v>
      </c>
      <c r="M2492" s="135">
        <v>1000.0</v>
      </c>
      <c r="N2492" s="135">
        <v>120.0</v>
      </c>
      <c r="O2492" s="135">
        <v>0.47</v>
      </c>
      <c r="P2492" s="136"/>
      <c r="Q2492" s="137">
        <v>1.1749999999999998</v>
      </c>
      <c r="R2492" s="136">
        <v>46140.0</v>
      </c>
      <c r="S2492" s="135" t="s">
        <v>3980</v>
      </c>
      <c r="T2492" s="136"/>
      <c r="U2492" s="135" t="s">
        <v>2950</v>
      </c>
      <c r="V2492" s="135" t="s">
        <v>2951</v>
      </c>
      <c r="W2492" s="135"/>
      <c r="X2492" s="135"/>
      <c r="Y2492" s="135"/>
      <c r="Z2492" s="135" t="s">
        <v>2858</v>
      </c>
      <c r="AA2492" s="135"/>
      <c r="AB2492" s="135"/>
      <c r="AC2492" s="135"/>
      <c r="AD2492" s="135" t="e">
        <v>#N/A</v>
      </c>
      <c r="AE2492" s="135"/>
      <c r="AF2492" s="135"/>
      <c r="AG2492" s="135"/>
    </row>
    <row r="2493" ht="21.75" customHeight="1">
      <c r="A2493" s="135">
        <v>2489.0</v>
      </c>
      <c r="B2493" s="135">
        <v>25045.0</v>
      </c>
      <c r="C2493" s="135"/>
      <c r="D2493" s="135"/>
      <c r="E2493" s="135" t="s">
        <v>3985</v>
      </c>
      <c r="F2493" s="135" t="s">
        <v>2730</v>
      </c>
      <c r="G2493" s="135" t="s">
        <v>132</v>
      </c>
      <c r="H2493" s="135"/>
      <c r="I2493" s="135" t="s">
        <v>134</v>
      </c>
      <c r="J2493" s="135">
        <v>1.0</v>
      </c>
      <c r="K2493" s="135"/>
      <c r="L2493" s="135">
        <v>400.0</v>
      </c>
      <c r="M2493" s="135">
        <v>2910.0</v>
      </c>
      <c r="N2493" s="135">
        <v>350.0</v>
      </c>
      <c r="O2493" s="135">
        <v>0.542</v>
      </c>
      <c r="P2493" s="136"/>
      <c r="Q2493" s="137">
        <v>1.355</v>
      </c>
      <c r="R2493" s="136">
        <v>46140.0</v>
      </c>
      <c r="S2493" s="135" t="s">
        <v>3980</v>
      </c>
      <c r="T2493" s="136"/>
      <c r="U2493" s="135" t="s">
        <v>2966</v>
      </c>
      <c r="V2493" s="135" t="s">
        <v>2967</v>
      </c>
      <c r="W2493" s="135"/>
      <c r="X2493" s="135" t="s">
        <v>3998</v>
      </c>
      <c r="Y2493" s="135"/>
      <c r="Z2493" s="135" t="s">
        <v>2858</v>
      </c>
      <c r="AA2493" s="135"/>
      <c r="AB2493" s="135"/>
      <c r="AC2493" s="135"/>
      <c r="AD2493" s="135" t="e">
        <v>#N/A</v>
      </c>
      <c r="AE2493" s="135"/>
      <c r="AF2493" s="135"/>
      <c r="AG2493" s="135"/>
    </row>
    <row r="2494" ht="21.75" customHeight="1">
      <c r="A2494" s="135">
        <v>2490.0</v>
      </c>
      <c r="B2494" s="135">
        <v>25045.0</v>
      </c>
      <c r="C2494" s="135" t="s">
        <v>2817</v>
      </c>
      <c r="D2494" s="135"/>
      <c r="E2494" s="135" t="s">
        <v>3986</v>
      </c>
      <c r="F2494" s="135" t="s">
        <v>2731</v>
      </c>
      <c r="G2494" s="135" t="s">
        <v>132</v>
      </c>
      <c r="H2494" s="135"/>
      <c r="I2494" s="135" t="s">
        <v>135</v>
      </c>
      <c r="J2494" s="135"/>
      <c r="K2494" s="135"/>
      <c r="L2494" s="135"/>
      <c r="M2494" s="135"/>
      <c r="N2494" s="135"/>
      <c r="O2494" s="135"/>
      <c r="P2494" s="136"/>
      <c r="Q2494" s="137">
        <v>0.0</v>
      </c>
      <c r="R2494" s="136">
        <v>46140.0</v>
      </c>
      <c r="S2494" s="135" t="s">
        <v>3980</v>
      </c>
      <c r="T2494" s="136"/>
      <c r="U2494" s="135"/>
      <c r="V2494" s="135"/>
      <c r="W2494" s="135"/>
      <c r="X2494" s="135"/>
      <c r="Y2494" s="135"/>
      <c r="Z2494" s="135"/>
      <c r="AA2494" s="135"/>
      <c r="AB2494" s="135"/>
      <c r="AC2494" s="135"/>
      <c r="AD2494" s="135" t="e">
        <v>#N/A</v>
      </c>
      <c r="AE2494" s="135"/>
      <c r="AF2494" s="135"/>
      <c r="AG2494" s="135"/>
    </row>
    <row r="2495" ht="21.75" customHeight="1">
      <c r="A2495" s="135">
        <v>2491.0</v>
      </c>
      <c r="B2495" s="135">
        <v>25045.0</v>
      </c>
      <c r="C2495" s="135"/>
      <c r="D2495" s="135"/>
      <c r="E2495" s="135" t="s">
        <v>3986</v>
      </c>
      <c r="F2495" s="135" t="s">
        <v>2732</v>
      </c>
      <c r="G2495" s="135" t="s">
        <v>132</v>
      </c>
      <c r="H2495" s="135"/>
      <c r="I2495" s="135" t="s">
        <v>135</v>
      </c>
      <c r="J2495" s="135">
        <v>1.0</v>
      </c>
      <c r="K2495" s="135"/>
      <c r="L2495" s="135">
        <v>4473.0</v>
      </c>
      <c r="M2495" s="135">
        <v>3100.0</v>
      </c>
      <c r="N2495" s="135">
        <v>120.0</v>
      </c>
      <c r="O2495" s="135">
        <v>1.58</v>
      </c>
      <c r="P2495" s="136"/>
      <c r="Q2495" s="137">
        <v>3.95</v>
      </c>
      <c r="R2495" s="136">
        <v>46140.0</v>
      </c>
      <c r="S2495" s="135" t="s">
        <v>3980</v>
      </c>
      <c r="T2495" s="136"/>
      <c r="U2495" s="135" t="s">
        <v>2864</v>
      </c>
      <c r="V2495" s="135" t="s">
        <v>2985</v>
      </c>
      <c r="W2495" s="135"/>
      <c r="X2495" s="135" t="s">
        <v>2892</v>
      </c>
      <c r="Y2495" s="135"/>
      <c r="Z2495" s="135" t="s">
        <v>2858</v>
      </c>
      <c r="AA2495" s="135"/>
      <c r="AB2495" s="135"/>
      <c r="AC2495" s="135"/>
      <c r="AD2495" s="135" t="e">
        <v>#N/A</v>
      </c>
      <c r="AE2495" s="135"/>
      <c r="AF2495" s="135"/>
      <c r="AG2495" s="135"/>
    </row>
    <row r="2496" ht="21.75" customHeight="1">
      <c r="A2496" s="135">
        <v>2492.0</v>
      </c>
      <c r="B2496" s="135">
        <v>25045.0</v>
      </c>
      <c r="C2496" s="135"/>
      <c r="D2496" s="135"/>
      <c r="E2496" s="135" t="s">
        <v>3986</v>
      </c>
      <c r="F2496" s="135" t="s">
        <v>2733</v>
      </c>
      <c r="G2496" s="135" t="s">
        <v>132</v>
      </c>
      <c r="H2496" s="135"/>
      <c r="I2496" s="135" t="s">
        <v>135</v>
      </c>
      <c r="J2496" s="135"/>
      <c r="K2496" s="135"/>
      <c r="L2496" s="135"/>
      <c r="M2496" s="135"/>
      <c r="N2496" s="135"/>
      <c r="O2496" s="135"/>
      <c r="P2496" s="136"/>
      <c r="Q2496" s="137">
        <v>0.0</v>
      </c>
      <c r="R2496" s="136">
        <v>46140.0</v>
      </c>
      <c r="S2496" s="135" t="s">
        <v>3980</v>
      </c>
      <c r="T2496" s="136"/>
      <c r="U2496" s="135"/>
      <c r="V2496" s="135"/>
      <c r="W2496" s="135"/>
      <c r="X2496" s="135"/>
      <c r="Y2496" s="135"/>
      <c r="Z2496" s="135"/>
      <c r="AA2496" s="135"/>
      <c r="AB2496" s="135"/>
      <c r="AC2496" s="135"/>
      <c r="AD2496" s="135" t="e">
        <v>#N/A</v>
      </c>
      <c r="AE2496" s="135"/>
      <c r="AF2496" s="135"/>
      <c r="AG2496" s="135"/>
    </row>
    <row r="2497" ht="21.75" customHeight="1">
      <c r="A2497" s="135">
        <v>2493.0</v>
      </c>
      <c r="B2497" s="135">
        <v>25045.0</v>
      </c>
      <c r="C2497" s="135"/>
      <c r="D2497" s="135"/>
      <c r="E2497" s="135" t="s">
        <v>3986</v>
      </c>
      <c r="F2497" s="135" t="s">
        <v>2734</v>
      </c>
      <c r="G2497" s="135" t="s">
        <v>132</v>
      </c>
      <c r="H2497" s="135"/>
      <c r="I2497" s="135" t="s">
        <v>135</v>
      </c>
      <c r="J2497" s="135"/>
      <c r="K2497" s="135"/>
      <c r="L2497" s="135"/>
      <c r="M2497" s="135"/>
      <c r="N2497" s="135"/>
      <c r="O2497" s="135"/>
      <c r="P2497" s="136"/>
      <c r="Q2497" s="137">
        <v>0.0</v>
      </c>
      <c r="R2497" s="136">
        <v>46140.0</v>
      </c>
      <c r="S2497" s="135" t="s">
        <v>3980</v>
      </c>
      <c r="T2497" s="136"/>
      <c r="U2497" s="135"/>
      <c r="V2497" s="135"/>
      <c r="W2497" s="135"/>
      <c r="X2497" s="135"/>
      <c r="Y2497" s="135"/>
      <c r="Z2497" s="135"/>
      <c r="AA2497" s="135"/>
      <c r="AB2497" s="135"/>
      <c r="AC2497" s="135"/>
      <c r="AD2497" s="135" t="e">
        <v>#N/A</v>
      </c>
      <c r="AE2497" s="135"/>
      <c r="AF2497" s="135"/>
      <c r="AG2497" s="135"/>
    </row>
    <row r="2498" ht="21.75" customHeight="1">
      <c r="A2498" s="135">
        <v>2494.0</v>
      </c>
      <c r="B2498" s="135">
        <v>25045.0</v>
      </c>
      <c r="C2498" s="135"/>
      <c r="D2498" s="135"/>
      <c r="E2498" s="135" t="s">
        <v>3986</v>
      </c>
      <c r="F2498" s="135" t="s">
        <v>2735</v>
      </c>
      <c r="G2498" s="135" t="s">
        <v>132</v>
      </c>
      <c r="H2498" s="135"/>
      <c r="I2498" s="135" t="s">
        <v>135</v>
      </c>
      <c r="J2498" s="135"/>
      <c r="K2498" s="135"/>
      <c r="L2498" s="135"/>
      <c r="M2498" s="135"/>
      <c r="N2498" s="135"/>
      <c r="O2498" s="135"/>
      <c r="P2498" s="136"/>
      <c r="Q2498" s="137">
        <v>0.0</v>
      </c>
      <c r="R2498" s="136">
        <v>46140.0</v>
      </c>
      <c r="S2498" s="135" t="s">
        <v>3980</v>
      </c>
      <c r="T2498" s="136"/>
      <c r="U2498" s="135"/>
      <c r="V2498" s="135"/>
      <c r="W2498" s="135"/>
      <c r="X2498" s="135"/>
      <c r="Y2498" s="135"/>
      <c r="Z2498" s="135"/>
      <c r="AA2498" s="135"/>
      <c r="AB2498" s="135"/>
      <c r="AC2498" s="135"/>
      <c r="AD2498" s="135" t="e">
        <v>#N/A</v>
      </c>
      <c r="AE2498" s="135"/>
      <c r="AF2498" s="135"/>
      <c r="AG2498" s="135"/>
    </row>
    <row r="2499" ht="21.75" customHeight="1">
      <c r="A2499" s="135">
        <v>2495.0</v>
      </c>
      <c r="B2499" s="135">
        <v>25045.0</v>
      </c>
      <c r="C2499" s="135"/>
      <c r="D2499" s="135"/>
      <c r="E2499" s="135" t="s">
        <v>3986</v>
      </c>
      <c r="F2499" s="135" t="s">
        <v>2736</v>
      </c>
      <c r="G2499" s="135" t="s">
        <v>132</v>
      </c>
      <c r="H2499" s="135"/>
      <c r="I2499" s="135" t="s">
        <v>135</v>
      </c>
      <c r="J2499" s="135"/>
      <c r="K2499" s="135"/>
      <c r="L2499" s="135"/>
      <c r="M2499" s="135"/>
      <c r="N2499" s="135"/>
      <c r="O2499" s="135"/>
      <c r="P2499" s="136"/>
      <c r="Q2499" s="137">
        <v>0.0</v>
      </c>
      <c r="R2499" s="136">
        <v>46140.0</v>
      </c>
      <c r="S2499" s="135" t="s">
        <v>3980</v>
      </c>
      <c r="T2499" s="136"/>
      <c r="U2499" s="135"/>
      <c r="V2499" s="135"/>
      <c r="W2499" s="135"/>
      <c r="X2499" s="135"/>
      <c r="Y2499" s="135"/>
      <c r="Z2499" s="135"/>
      <c r="AA2499" s="135"/>
      <c r="AB2499" s="135"/>
      <c r="AC2499" s="135"/>
      <c r="AD2499" s="135" t="e">
        <v>#N/A</v>
      </c>
      <c r="AE2499" s="135"/>
      <c r="AF2499" s="135"/>
      <c r="AG2499" s="135"/>
    </row>
    <row r="2500" ht="21.75" customHeight="1">
      <c r="A2500" s="135">
        <v>2496.0</v>
      </c>
      <c r="B2500" s="135">
        <v>25045.0</v>
      </c>
      <c r="C2500" s="135"/>
      <c r="D2500" s="135"/>
      <c r="E2500" s="135" t="s">
        <v>3986</v>
      </c>
      <c r="F2500" s="135" t="s">
        <v>2737</v>
      </c>
      <c r="G2500" s="135" t="s">
        <v>132</v>
      </c>
      <c r="H2500" s="135"/>
      <c r="I2500" s="135" t="s">
        <v>135</v>
      </c>
      <c r="J2500" s="135">
        <v>1.0</v>
      </c>
      <c r="K2500" s="135"/>
      <c r="L2500" s="135">
        <v>4473.0</v>
      </c>
      <c r="M2500" s="135">
        <v>3200.0</v>
      </c>
      <c r="N2500" s="135">
        <v>120.0</v>
      </c>
      <c r="O2500" s="135">
        <v>1.77</v>
      </c>
      <c r="P2500" s="136"/>
      <c r="Q2500" s="137">
        <v>4.425</v>
      </c>
      <c r="R2500" s="136">
        <v>46140.0</v>
      </c>
      <c r="S2500" s="135" t="s">
        <v>3980</v>
      </c>
      <c r="T2500" s="136"/>
      <c r="U2500" s="135" t="s">
        <v>2864</v>
      </c>
      <c r="V2500" s="135" t="s">
        <v>2890</v>
      </c>
      <c r="W2500" s="135"/>
      <c r="X2500" s="135" t="s">
        <v>2895</v>
      </c>
      <c r="Y2500" s="135"/>
      <c r="Z2500" s="135" t="s">
        <v>2858</v>
      </c>
      <c r="AA2500" s="135"/>
      <c r="AB2500" s="135"/>
      <c r="AC2500" s="135"/>
      <c r="AD2500" s="135" t="e">
        <v>#N/A</v>
      </c>
      <c r="AE2500" s="135"/>
      <c r="AF2500" s="135"/>
      <c r="AG2500" s="135"/>
    </row>
    <row r="2501" ht="21.75" customHeight="1">
      <c r="A2501" s="135">
        <v>2497.0</v>
      </c>
      <c r="B2501" s="135">
        <v>25045.0</v>
      </c>
      <c r="C2501" s="135"/>
      <c r="D2501" s="135"/>
      <c r="E2501" s="135" t="s">
        <v>3986</v>
      </c>
      <c r="F2501" s="135" t="s">
        <v>2738</v>
      </c>
      <c r="G2501" s="135" t="s">
        <v>132</v>
      </c>
      <c r="H2501" s="135"/>
      <c r="I2501" s="135" t="s">
        <v>135</v>
      </c>
      <c r="J2501" s="135"/>
      <c r="K2501" s="135"/>
      <c r="L2501" s="135"/>
      <c r="M2501" s="135"/>
      <c r="N2501" s="135"/>
      <c r="O2501" s="135"/>
      <c r="P2501" s="136"/>
      <c r="Q2501" s="137">
        <v>0.0</v>
      </c>
      <c r="R2501" s="136">
        <v>46140.0</v>
      </c>
      <c r="S2501" s="135" t="s">
        <v>3980</v>
      </c>
      <c r="T2501" s="136"/>
      <c r="U2501" s="135"/>
      <c r="V2501" s="135"/>
      <c r="W2501" s="135"/>
      <c r="X2501" s="135"/>
      <c r="Y2501" s="135"/>
      <c r="Z2501" s="135"/>
      <c r="AA2501" s="135"/>
      <c r="AB2501" s="135"/>
      <c r="AC2501" s="135"/>
      <c r="AD2501" s="135" t="e">
        <v>#N/A</v>
      </c>
      <c r="AE2501" s="135"/>
      <c r="AF2501" s="135"/>
      <c r="AG2501" s="135"/>
    </row>
    <row r="2502" ht="21.75" customHeight="1">
      <c r="A2502" s="135">
        <v>2498.0</v>
      </c>
      <c r="B2502" s="135">
        <v>25045.0</v>
      </c>
      <c r="C2502" s="135"/>
      <c r="D2502" s="135"/>
      <c r="E2502" s="135" t="s">
        <v>3986</v>
      </c>
      <c r="F2502" s="135" t="s">
        <v>2739</v>
      </c>
      <c r="G2502" s="135" t="s">
        <v>132</v>
      </c>
      <c r="H2502" s="135"/>
      <c r="I2502" s="135" t="s">
        <v>135</v>
      </c>
      <c r="J2502" s="135"/>
      <c r="K2502" s="135"/>
      <c r="L2502" s="135"/>
      <c r="M2502" s="135"/>
      <c r="N2502" s="135"/>
      <c r="O2502" s="135"/>
      <c r="P2502" s="136"/>
      <c r="Q2502" s="137">
        <v>0.0</v>
      </c>
      <c r="R2502" s="136">
        <v>46140.0</v>
      </c>
      <c r="S2502" s="135" t="s">
        <v>3980</v>
      </c>
      <c r="T2502" s="136"/>
      <c r="U2502" s="135"/>
      <c r="V2502" s="135"/>
      <c r="W2502" s="135"/>
      <c r="X2502" s="135"/>
      <c r="Y2502" s="135"/>
      <c r="Z2502" s="135"/>
      <c r="AA2502" s="135"/>
      <c r="AB2502" s="135"/>
      <c r="AC2502" s="135"/>
      <c r="AD2502" s="135" t="e">
        <v>#N/A</v>
      </c>
      <c r="AE2502" s="135"/>
      <c r="AF2502" s="135"/>
      <c r="AG2502" s="135"/>
    </row>
    <row r="2503" ht="21.75" customHeight="1">
      <c r="A2503" s="135">
        <v>2499.0</v>
      </c>
      <c r="B2503" s="135">
        <v>25045.0</v>
      </c>
      <c r="C2503" s="135"/>
      <c r="D2503" s="135"/>
      <c r="E2503" s="135" t="s">
        <v>3986</v>
      </c>
      <c r="F2503" s="135" t="s">
        <v>2740</v>
      </c>
      <c r="G2503" s="135" t="s">
        <v>132</v>
      </c>
      <c r="H2503" s="135"/>
      <c r="I2503" s="135" t="s">
        <v>135</v>
      </c>
      <c r="J2503" s="135"/>
      <c r="K2503" s="135"/>
      <c r="L2503" s="135"/>
      <c r="M2503" s="135"/>
      <c r="N2503" s="135"/>
      <c r="O2503" s="135"/>
      <c r="P2503" s="136"/>
      <c r="Q2503" s="137">
        <v>0.0</v>
      </c>
      <c r="R2503" s="136">
        <v>46140.0</v>
      </c>
      <c r="S2503" s="135" t="s">
        <v>3980</v>
      </c>
      <c r="T2503" s="136"/>
      <c r="U2503" s="135"/>
      <c r="V2503" s="135"/>
      <c r="W2503" s="135"/>
      <c r="X2503" s="135"/>
      <c r="Y2503" s="135"/>
      <c r="Z2503" s="135"/>
      <c r="AA2503" s="135"/>
      <c r="AB2503" s="135"/>
      <c r="AC2503" s="135"/>
      <c r="AD2503" s="135" t="e">
        <v>#N/A</v>
      </c>
      <c r="AE2503" s="135"/>
      <c r="AF2503" s="135"/>
      <c r="AG2503" s="135"/>
    </row>
    <row r="2504" ht="21.75" customHeight="1">
      <c r="A2504" s="135">
        <v>2500.0</v>
      </c>
      <c r="B2504" s="135">
        <v>25045.0</v>
      </c>
      <c r="C2504" s="135"/>
      <c r="D2504" s="135"/>
      <c r="E2504" s="135" t="s">
        <v>3986</v>
      </c>
      <c r="F2504" s="135" t="s">
        <v>2741</v>
      </c>
      <c r="G2504" s="135" t="s">
        <v>132</v>
      </c>
      <c r="H2504" s="135"/>
      <c r="I2504" s="135" t="s">
        <v>135</v>
      </c>
      <c r="J2504" s="135"/>
      <c r="K2504" s="135"/>
      <c r="L2504" s="135"/>
      <c r="M2504" s="135"/>
      <c r="N2504" s="135"/>
      <c r="O2504" s="135"/>
      <c r="P2504" s="136"/>
      <c r="Q2504" s="137">
        <v>0.0</v>
      </c>
      <c r="R2504" s="136">
        <v>46140.0</v>
      </c>
      <c r="S2504" s="135" t="s">
        <v>3980</v>
      </c>
      <c r="T2504" s="136"/>
      <c r="U2504" s="135"/>
      <c r="V2504" s="135"/>
      <c r="W2504" s="135"/>
      <c r="X2504" s="135"/>
      <c r="Y2504" s="135"/>
      <c r="Z2504" s="135"/>
      <c r="AA2504" s="135"/>
      <c r="AB2504" s="135"/>
      <c r="AC2504" s="135"/>
      <c r="AD2504" s="135" t="e">
        <v>#N/A</v>
      </c>
      <c r="AE2504" s="135"/>
      <c r="AF2504" s="135"/>
      <c r="AG2504" s="135"/>
    </row>
    <row r="2505" ht="21.75" customHeight="1">
      <c r="A2505" s="135">
        <v>2501.0</v>
      </c>
      <c r="B2505" s="135">
        <v>25045.0</v>
      </c>
      <c r="C2505" s="135"/>
      <c r="D2505" s="135"/>
      <c r="E2505" s="135" t="s">
        <v>3986</v>
      </c>
      <c r="F2505" s="135" t="s">
        <v>2742</v>
      </c>
      <c r="G2505" s="135" t="s">
        <v>132</v>
      </c>
      <c r="H2505" s="135"/>
      <c r="I2505" s="135" t="s">
        <v>135</v>
      </c>
      <c r="J2505" s="135"/>
      <c r="K2505" s="135"/>
      <c r="L2505" s="135"/>
      <c r="M2505" s="135"/>
      <c r="N2505" s="135"/>
      <c r="O2505" s="135"/>
      <c r="P2505" s="136"/>
      <c r="Q2505" s="137">
        <v>0.0</v>
      </c>
      <c r="R2505" s="136">
        <v>46140.0</v>
      </c>
      <c r="S2505" s="135" t="s">
        <v>3980</v>
      </c>
      <c r="T2505" s="136"/>
      <c r="U2505" s="135"/>
      <c r="V2505" s="135"/>
      <c r="W2505" s="135"/>
      <c r="X2505" s="135"/>
      <c r="Y2505" s="135"/>
      <c r="Z2505" s="135"/>
      <c r="AA2505" s="135"/>
      <c r="AB2505" s="135"/>
      <c r="AC2505" s="135"/>
      <c r="AD2505" s="135" t="e">
        <v>#N/A</v>
      </c>
      <c r="AE2505" s="135"/>
      <c r="AF2505" s="135"/>
      <c r="AG2505" s="135"/>
    </row>
    <row r="2506" ht="21.75" customHeight="1">
      <c r="A2506" s="135">
        <v>2502.0</v>
      </c>
      <c r="B2506" s="135">
        <v>25045.0</v>
      </c>
      <c r="C2506" s="135"/>
      <c r="D2506" s="135"/>
      <c r="E2506" s="135" t="s">
        <v>3986</v>
      </c>
      <c r="F2506" s="135" t="s">
        <v>2743</v>
      </c>
      <c r="G2506" s="135" t="s">
        <v>132</v>
      </c>
      <c r="H2506" s="135"/>
      <c r="I2506" s="135" t="s">
        <v>135</v>
      </c>
      <c r="J2506" s="135"/>
      <c r="K2506" s="135"/>
      <c r="L2506" s="135"/>
      <c r="M2506" s="135"/>
      <c r="N2506" s="135"/>
      <c r="O2506" s="135"/>
      <c r="P2506" s="136"/>
      <c r="Q2506" s="137">
        <v>0.0</v>
      </c>
      <c r="R2506" s="136">
        <v>46140.0</v>
      </c>
      <c r="S2506" s="135" t="s">
        <v>3980</v>
      </c>
      <c r="T2506" s="136"/>
      <c r="U2506" s="135"/>
      <c r="V2506" s="135"/>
      <c r="W2506" s="135"/>
      <c r="X2506" s="135"/>
      <c r="Y2506" s="135"/>
      <c r="Z2506" s="135"/>
      <c r="AA2506" s="135"/>
      <c r="AB2506" s="135"/>
      <c r="AC2506" s="135"/>
      <c r="AD2506" s="135" t="e">
        <v>#N/A</v>
      </c>
      <c r="AE2506" s="135"/>
      <c r="AF2506" s="135"/>
      <c r="AG2506" s="135"/>
    </row>
    <row r="2507" ht="21.75" customHeight="1">
      <c r="A2507" s="135">
        <v>2503.0</v>
      </c>
      <c r="B2507" s="135">
        <v>25045.0</v>
      </c>
      <c r="C2507" s="135"/>
      <c r="D2507" s="135"/>
      <c r="E2507" s="135" t="s">
        <v>3986</v>
      </c>
      <c r="F2507" s="135" t="s">
        <v>2744</v>
      </c>
      <c r="G2507" s="135" t="s">
        <v>132</v>
      </c>
      <c r="H2507" s="135"/>
      <c r="I2507" s="135" t="s">
        <v>135</v>
      </c>
      <c r="J2507" s="135">
        <v>1.0</v>
      </c>
      <c r="K2507" s="135"/>
      <c r="L2507" s="135">
        <v>400.0</v>
      </c>
      <c r="M2507" s="135">
        <v>2870.0</v>
      </c>
      <c r="N2507" s="135">
        <v>350.0</v>
      </c>
      <c r="O2507" s="135">
        <v>0.51</v>
      </c>
      <c r="P2507" s="136"/>
      <c r="Q2507" s="137">
        <v>1.275</v>
      </c>
      <c r="R2507" s="136">
        <v>46140.0</v>
      </c>
      <c r="S2507" s="135" t="s">
        <v>3980</v>
      </c>
      <c r="T2507" s="136"/>
      <c r="U2507" s="135" t="s">
        <v>2966</v>
      </c>
      <c r="V2507" s="135" t="s">
        <v>2967</v>
      </c>
      <c r="W2507" s="135"/>
      <c r="X2507" s="135" t="s">
        <v>2968</v>
      </c>
      <c r="Y2507" s="135"/>
      <c r="Z2507" s="135" t="s">
        <v>2858</v>
      </c>
      <c r="AA2507" s="135"/>
      <c r="AB2507" s="135"/>
      <c r="AC2507" s="135"/>
      <c r="AD2507" s="135" t="e">
        <v>#N/A</v>
      </c>
      <c r="AE2507" s="135"/>
      <c r="AF2507" s="135"/>
      <c r="AG2507" s="135"/>
    </row>
    <row r="2508" ht="21.75" customHeight="1">
      <c r="A2508" s="135">
        <v>2504.0</v>
      </c>
      <c r="B2508" s="135">
        <v>25045.0</v>
      </c>
      <c r="C2508" s="135" t="s">
        <v>2817</v>
      </c>
      <c r="D2508" s="135"/>
      <c r="E2508" s="135" t="s">
        <v>3987</v>
      </c>
      <c r="F2508" s="135" t="s">
        <v>2745</v>
      </c>
      <c r="G2508" s="135" t="s">
        <v>132</v>
      </c>
      <c r="H2508" s="135"/>
      <c r="I2508" s="135" t="s">
        <v>136</v>
      </c>
      <c r="J2508" s="135"/>
      <c r="K2508" s="135"/>
      <c r="L2508" s="135"/>
      <c r="M2508" s="135"/>
      <c r="N2508" s="135"/>
      <c r="O2508" s="135"/>
      <c r="P2508" s="136"/>
      <c r="Q2508" s="137">
        <v>0.0</v>
      </c>
      <c r="R2508" s="136">
        <v>46140.0</v>
      </c>
      <c r="S2508" s="135" t="s">
        <v>3980</v>
      </c>
      <c r="T2508" s="136"/>
      <c r="U2508" s="135"/>
      <c r="V2508" s="135"/>
      <c r="W2508" s="135"/>
      <c r="X2508" s="135"/>
      <c r="Y2508" s="135"/>
      <c r="Z2508" s="135"/>
      <c r="AA2508" s="135"/>
      <c r="AB2508" s="135"/>
      <c r="AC2508" s="135"/>
      <c r="AD2508" s="135" t="e">
        <v>#N/A</v>
      </c>
      <c r="AE2508" s="135"/>
      <c r="AF2508" s="135"/>
      <c r="AG2508" s="135"/>
    </row>
    <row r="2509" ht="21.75" customHeight="1">
      <c r="A2509" s="135">
        <v>2505.0</v>
      </c>
      <c r="B2509" s="135">
        <v>25045.0</v>
      </c>
      <c r="C2509" s="135"/>
      <c r="D2509" s="135"/>
      <c r="E2509" s="135" t="s">
        <v>3987</v>
      </c>
      <c r="F2509" s="135" t="s">
        <v>2746</v>
      </c>
      <c r="G2509" s="135" t="s">
        <v>132</v>
      </c>
      <c r="H2509" s="135"/>
      <c r="I2509" s="135" t="s">
        <v>136</v>
      </c>
      <c r="J2509" s="135">
        <v>1.0</v>
      </c>
      <c r="K2509" s="135"/>
      <c r="L2509" s="135">
        <v>4534.0</v>
      </c>
      <c r="M2509" s="135">
        <v>3100.0</v>
      </c>
      <c r="N2509" s="135">
        <v>120.0</v>
      </c>
      <c r="O2509" s="135">
        <v>1.6</v>
      </c>
      <c r="P2509" s="136"/>
      <c r="Q2509" s="137">
        <v>4.0</v>
      </c>
      <c r="R2509" s="136">
        <v>46140.0</v>
      </c>
      <c r="S2509" s="135" t="s">
        <v>3980</v>
      </c>
      <c r="T2509" s="136"/>
      <c r="U2509" s="135" t="s">
        <v>2864</v>
      </c>
      <c r="V2509" s="135" t="s">
        <v>2985</v>
      </c>
      <c r="W2509" s="135"/>
      <c r="X2509" s="135" t="s">
        <v>2892</v>
      </c>
      <c r="Y2509" s="135"/>
      <c r="Z2509" s="135" t="s">
        <v>2858</v>
      </c>
      <c r="AA2509" s="135"/>
      <c r="AB2509" s="135"/>
      <c r="AC2509" s="135"/>
      <c r="AD2509" s="135" t="e">
        <v>#N/A</v>
      </c>
      <c r="AE2509" s="135"/>
      <c r="AF2509" s="135"/>
      <c r="AG2509" s="135"/>
    </row>
    <row r="2510" ht="21.75" customHeight="1">
      <c r="A2510" s="135">
        <v>2506.0</v>
      </c>
      <c r="B2510" s="135">
        <v>25045.0</v>
      </c>
      <c r="C2510" s="135"/>
      <c r="D2510" s="135"/>
      <c r="E2510" s="135" t="s">
        <v>3987</v>
      </c>
      <c r="F2510" s="135" t="s">
        <v>2747</v>
      </c>
      <c r="G2510" s="135" t="s">
        <v>132</v>
      </c>
      <c r="H2510" s="135"/>
      <c r="I2510" s="135" t="s">
        <v>136</v>
      </c>
      <c r="J2510" s="135"/>
      <c r="K2510" s="135"/>
      <c r="L2510" s="135"/>
      <c r="M2510" s="135"/>
      <c r="N2510" s="135"/>
      <c r="O2510" s="135"/>
      <c r="P2510" s="136"/>
      <c r="Q2510" s="137">
        <v>0.0</v>
      </c>
      <c r="R2510" s="136">
        <v>46140.0</v>
      </c>
      <c r="S2510" s="135" t="s">
        <v>3980</v>
      </c>
      <c r="T2510" s="136"/>
      <c r="U2510" s="135"/>
      <c r="V2510" s="135"/>
      <c r="W2510" s="135"/>
      <c r="X2510" s="135"/>
      <c r="Y2510" s="135"/>
      <c r="Z2510" s="135"/>
      <c r="AA2510" s="135"/>
      <c r="AB2510" s="135"/>
      <c r="AC2510" s="135"/>
      <c r="AD2510" s="135" t="e">
        <v>#N/A</v>
      </c>
      <c r="AE2510" s="135"/>
      <c r="AF2510" s="135"/>
      <c r="AG2510" s="135"/>
    </row>
    <row r="2511" ht="21.75" customHeight="1">
      <c r="A2511" s="135">
        <v>2507.0</v>
      </c>
      <c r="B2511" s="135">
        <v>25045.0</v>
      </c>
      <c r="C2511" s="135"/>
      <c r="D2511" s="135"/>
      <c r="E2511" s="135" t="s">
        <v>3987</v>
      </c>
      <c r="F2511" s="135" t="s">
        <v>2748</v>
      </c>
      <c r="G2511" s="135" t="s">
        <v>132</v>
      </c>
      <c r="H2511" s="135"/>
      <c r="I2511" s="135" t="s">
        <v>136</v>
      </c>
      <c r="J2511" s="135"/>
      <c r="K2511" s="135"/>
      <c r="L2511" s="135"/>
      <c r="M2511" s="135"/>
      <c r="N2511" s="135"/>
      <c r="O2511" s="135"/>
      <c r="P2511" s="136"/>
      <c r="Q2511" s="137">
        <v>0.0</v>
      </c>
      <c r="R2511" s="136">
        <v>46140.0</v>
      </c>
      <c r="S2511" s="135" t="s">
        <v>3980</v>
      </c>
      <c r="T2511" s="136"/>
      <c r="U2511" s="135"/>
      <c r="V2511" s="135"/>
      <c r="W2511" s="135"/>
      <c r="X2511" s="135"/>
      <c r="Y2511" s="135"/>
      <c r="Z2511" s="135"/>
      <c r="AA2511" s="135"/>
      <c r="AB2511" s="135"/>
      <c r="AC2511" s="135"/>
      <c r="AD2511" s="135" t="e">
        <v>#N/A</v>
      </c>
      <c r="AE2511" s="135"/>
      <c r="AF2511" s="135"/>
      <c r="AG2511" s="135"/>
    </row>
    <row r="2512" ht="21.75" customHeight="1">
      <c r="A2512" s="135">
        <v>2508.0</v>
      </c>
      <c r="B2512" s="135">
        <v>25045.0</v>
      </c>
      <c r="C2512" s="135"/>
      <c r="D2512" s="135"/>
      <c r="E2512" s="135" t="s">
        <v>3987</v>
      </c>
      <c r="F2512" s="135" t="s">
        <v>2749</v>
      </c>
      <c r="G2512" s="135" t="s">
        <v>132</v>
      </c>
      <c r="H2512" s="135"/>
      <c r="I2512" s="135" t="s">
        <v>136</v>
      </c>
      <c r="J2512" s="135"/>
      <c r="K2512" s="135"/>
      <c r="L2512" s="135"/>
      <c r="M2512" s="135"/>
      <c r="N2512" s="135"/>
      <c r="O2512" s="135"/>
      <c r="P2512" s="136"/>
      <c r="Q2512" s="137">
        <v>0.0</v>
      </c>
      <c r="R2512" s="136">
        <v>46140.0</v>
      </c>
      <c r="S2512" s="135" t="s">
        <v>3980</v>
      </c>
      <c r="T2512" s="136"/>
      <c r="U2512" s="135"/>
      <c r="V2512" s="135"/>
      <c r="W2512" s="135"/>
      <c r="X2512" s="135"/>
      <c r="Y2512" s="135"/>
      <c r="Z2512" s="135"/>
      <c r="AA2512" s="135"/>
      <c r="AB2512" s="135"/>
      <c r="AC2512" s="135"/>
      <c r="AD2512" s="135" t="e">
        <v>#N/A</v>
      </c>
      <c r="AE2512" s="135"/>
      <c r="AF2512" s="135"/>
      <c r="AG2512" s="135"/>
    </row>
    <row r="2513" ht="21.75" customHeight="1">
      <c r="A2513" s="135">
        <v>2509.0</v>
      </c>
      <c r="B2513" s="135">
        <v>25045.0</v>
      </c>
      <c r="C2513" s="135"/>
      <c r="D2513" s="135"/>
      <c r="E2513" s="135" t="s">
        <v>3987</v>
      </c>
      <c r="F2513" s="135" t="s">
        <v>2750</v>
      </c>
      <c r="G2513" s="135" t="s">
        <v>132</v>
      </c>
      <c r="H2513" s="135"/>
      <c r="I2513" s="135" t="s">
        <v>136</v>
      </c>
      <c r="J2513" s="135"/>
      <c r="K2513" s="135"/>
      <c r="L2513" s="135"/>
      <c r="M2513" s="135"/>
      <c r="N2513" s="135"/>
      <c r="O2513" s="135"/>
      <c r="P2513" s="136"/>
      <c r="Q2513" s="137">
        <v>0.0</v>
      </c>
      <c r="R2513" s="136">
        <v>46140.0</v>
      </c>
      <c r="S2513" s="135" t="s">
        <v>3980</v>
      </c>
      <c r="T2513" s="136"/>
      <c r="U2513" s="135"/>
      <c r="V2513" s="135"/>
      <c r="W2513" s="135"/>
      <c r="X2513" s="135"/>
      <c r="Y2513" s="135"/>
      <c r="Z2513" s="135"/>
      <c r="AA2513" s="135"/>
      <c r="AB2513" s="135"/>
      <c r="AC2513" s="135"/>
      <c r="AD2513" s="135" t="e">
        <v>#N/A</v>
      </c>
      <c r="AE2513" s="135"/>
      <c r="AF2513" s="135"/>
      <c r="AG2513" s="135"/>
    </row>
    <row r="2514" ht="21.75" customHeight="1">
      <c r="A2514" s="135">
        <v>2510.0</v>
      </c>
      <c r="B2514" s="135">
        <v>25045.0</v>
      </c>
      <c r="C2514" s="135"/>
      <c r="D2514" s="135"/>
      <c r="E2514" s="135" t="s">
        <v>3987</v>
      </c>
      <c r="F2514" s="135" t="s">
        <v>2751</v>
      </c>
      <c r="G2514" s="135" t="s">
        <v>132</v>
      </c>
      <c r="H2514" s="135"/>
      <c r="I2514" s="135" t="s">
        <v>136</v>
      </c>
      <c r="J2514" s="135"/>
      <c r="K2514" s="135"/>
      <c r="L2514" s="135"/>
      <c r="M2514" s="135"/>
      <c r="N2514" s="135"/>
      <c r="O2514" s="135"/>
      <c r="P2514" s="136"/>
      <c r="Q2514" s="137">
        <v>0.0</v>
      </c>
      <c r="R2514" s="136">
        <v>46140.0</v>
      </c>
      <c r="S2514" s="135" t="s">
        <v>3980</v>
      </c>
      <c r="T2514" s="136"/>
      <c r="U2514" s="135"/>
      <c r="V2514" s="135"/>
      <c r="W2514" s="135"/>
      <c r="X2514" s="135"/>
      <c r="Y2514" s="135"/>
      <c r="Z2514" s="135"/>
      <c r="AA2514" s="135"/>
      <c r="AB2514" s="135"/>
      <c r="AC2514" s="135"/>
      <c r="AD2514" s="135" t="e">
        <v>#N/A</v>
      </c>
      <c r="AE2514" s="135"/>
      <c r="AF2514" s="135"/>
      <c r="AG2514" s="135"/>
    </row>
    <row r="2515" ht="21.75" customHeight="1">
      <c r="A2515" s="135">
        <v>2511.0</v>
      </c>
      <c r="B2515" s="135">
        <v>25045.0</v>
      </c>
      <c r="C2515" s="135"/>
      <c r="D2515" s="135"/>
      <c r="E2515" s="135" t="s">
        <v>3987</v>
      </c>
      <c r="F2515" s="135" t="s">
        <v>2752</v>
      </c>
      <c r="G2515" s="135" t="s">
        <v>132</v>
      </c>
      <c r="H2515" s="135"/>
      <c r="I2515" s="135" t="s">
        <v>136</v>
      </c>
      <c r="J2515" s="135">
        <v>1.0</v>
      </c>
      <c r="K2515" s="135"/>
      <c r="L2515" s="135"/>
      <c r="M2515" s="135"/>
      <c r="N2515" s="135"/>
      <c r="O2515" s="135"/>
      <c r="P2515" s="136"/>
      <c r="Q2515" s="137">
        <v>0.0</v>
      </c>
      <c r="R2515" s="136">
        <v>46140.0</v>
      </c>
      <c r="S2515" s="135" t="s">
        <v>3980</v>
      </c>
      <c r="T2515" s="136"/>
      <c r="U2515" s="135"/>
      <c r="V2515" s="135"/>
      <c r="W2515" s="135"/>
      <c r="X2515" s="135"/>
      <c r="Y2515" s="135"/>
      <c r="Z2515" s="135"/>
      <c r="AA2515" s="135"/>
      <c r="AB2515" s="135"/>
      <c r="AC2515" s="135"/>
      <c r="AD2515" s="135" t="e">
        <v>#N/A</v>
      </c>
      <c r="AE2515" s="135"/>
      <c r="AF2515" s="135"/>
      <c r="AG2515" s="135"/>
    </row>
    <row r="2516" ht="21.75" customHeight="1">
      <c r="A2516" s="135">
        <v>2512.0</v>
      </c>
      <c r="B2516" s="135">
        <v>25045.0</v>
      </c>
      <c r="C2516" s="135"/>
      <c r="D2516" s="135"/>
      <c r="E2516" s="135" t="s">
        <v>3987</v>
      </c>
      <c r="F2516" s="135" t="s">
        <v>2753</v>
      </c>
      <c r="G2516" s="135" t="s">
        <v>132</v>
      </c>
      <c r="H2516" s="135"/>
      <c r="I2516" s="135" t="s">
        <v>136</v>
      </c>
      <c r="J2516" s="135"/>
      <c r="K2516" s="135"/>
      <c r="L2516" s="135"/>
      <c r="M2516" s="135"/>
      <c r="N2516" s="135"/>
      <c r="O2516" s="135"/>
      <c r="P2516" s="136"/>
      <c r="Q2516" s="137">
        <v>0.0</v>
      </c>
      <c r="R2516" s="136">
        <v>46140.0</v>
      </c>
      <c r="S2516" s="135" t="s">
        <v>3980</v>
      </c>
      <c r="T2516" s="136"/>
      <c r="U2516" s="135"/>
      <c r="V2516" s="135"/>
      <c r="W2516" s="135"/>
      <c r="X2516" s="135"/>
      <c r="Y2516" s="135"/>
      <c r="Z2516" s="135"/>
      <c r="AA2516" s="135"/>
      <c r="AB2516" s="135"/>
      <c r="AC2516" s="135"/>
      <c r="AD2516" s="135" t="e">
        <v>#N/A</v>
      </c>
      <c r="AE2516" s="135"/>
      <c r="AF2516" s="135"/>
      <c r="AG2516" s="135"/>
    </row>
    <row r="2517" ht="21.75" customHeight="1">
      <c r="A2517" s="135">
        <v>2513.0</v>
      </c>
      <c r="B2517" s="135">
        <v>25045.0</v>
      </c>
      <c r="C2517" s="135"/>
      <c r="D2517" s="135"/>
      <c r="E2517" s="135" t="s">
        <v>3987</v>
      </c>
      <c r="F2517" s="135" t="s">
        <v>2754</v>
      </c>
      <c r="G2517" s="135" t="s">
        <v>132</v>
      </c>
      <c r="H2517" s="135"/>
      <c r="I2517" s="135" t="s">
        <v>136</v>
      </c>
      <c r="J2517" s="135"/>
      <c r="K2517" s="135"/>
      <c r="L2517" s="135"/>
      <c r="M2517" s="135"/>
      <c r="N2517" s="135"/>
      <c r="O2517" s="135"/>
      <c r="P2517" s="136"/>
      <c r="Q2517" s="137">
        <v>0.0</v>
      </c>
      <c r="R2517" s="136">
        <v>46140.0</v>
      </c>
      <c r="S2517" s="135" t="s">
        <v>3980</v>
      </c>
      <c r="T2517" s="136"/>
      <c r="U2517" s="135"/>
      <c r="V2517" s="135"/>
      <c r="W2517" s="135"/>
      <c r="X2517" s="135"/>
      <c r="Y2517" s="135"/>
      <c r="Z2517" s="135"/>
      <c r="AA2517" s="135"/>
      <c r="AB2517" s="135"/>
      <c r="AC2517" s="135"/>
      <c r="AD2517" s="135" t="e">
        <v>#N/A</v>
      </c>
      <c r="AE2517" s="135"/>
      <c r="AF2517" s="135"/>
      <c r="AG2517" s="135"/>
    </row>
    <row r="2518" ht="21.75" customHeight="1">
      <c r="A2518" s="135">
        <v>2514.0</v>
      </c>
      <c r="B2518" s="135">
        <v>25045.0</v>
      </c>
      <c r="C2518" s="135"/>
      <c r="D2518" s="135"/>
      <c r="E2518" s="135" t="s">
        <v>3987</v>
      </c>
      <c r="F2518" s="135" t="s">
        <v>2755</v>
      </c>
      <c r="G2518" s="135" t="s">
        <v>132</v>
      </c>
      <c r="H2518" s="135"/>
      <c r="I2518" s="135" t="s">
        <v>136</v>
      </c>
      <c r="J2518" s="135"/>
      <c r="K2518" s="135"/>
      <c r="L2518" s="135"/>
      <c r="M2518" s="135"/>
      <c r="N2518" s="135"/>
      <c r="O2518" s="135"/>
      <c r="P2518" s="136"/>
      <c r="Q2518" s="137">
        <v>0.0</v>
      </c>
      <c r="R2518" s="136">
        <v>46140.0</v>
      </c>
      <c r="S2518" s="135" t="s">
        <v>3980</v>
      </c>
      <c r="T2518" s="136"/>
      <c r="U2518" s="135"/>
      <c r="V2518" s="135"/>
      <c r="W2518" s="135"/>
      <c r="X2518" s="135"/>
      <c r="Y2518" s="135"/>
      <c r="Z2518" s="135"/>
      <c r="AA2518" s="135"/>
      <c r="AB2518" s="135"/>
      <c r="AC2518" s="135"/>
      <c r="AD2518" s="135" t="e">
        <v>#N/A</v>
      </c>
      <c r="AE2518" s="135"/>
      <c r="AF2518" s="135"/>
      <c r="AG2518" s="135"/>
    </row>
    <row r="2519" ht="21.75" customHeight="1">
      <c r="A2519" s="135">
        <v>2515.0</v>
      </c>
      <c r="B2519" s="135">
        <v>25045.0</v>
      </c>
      <c r="C2519" s="135"/>
      <c r="D2519" s="135"/>
      <c r="E2519" s="135" t="s">
        <v>3987</v>
      </c>
      <c r="F2519" s="135" t="s">
        <v>2756</v>
      </c>
      <c r="G2519" s="135" t="s">
        <v>132</v>
      </c>
      <c r="H2519" s="135"/>
      <c r="I2519" s="135" t="s">
        <v>136</v>
      </c>
      <c r="J2519" s="135"/>
      <c r="K2519" s="135"/>
      <c r="L2519" s="135"/>
      <c r="M2519" s="135"/>
      <c r="N2519" s="135"/>
      <c r="O2519" s="135"/>
      <c r="P2519" s="136"/>
      <c r="Q2519" s="137">
        <v>0.0</v>
      </c>
      <c r="R2519" s="136">
        <v>46140.0</v>
      </c>
      <c r="S2519" s="135" t="s">
        <v>3980</v>
      </c>
      <c r="T2519" s="136"/>
      <c r="U2519" s="135"/>
      <c r="V2519" s="135"/>
      <c r="W2519" s="135"/>
      <c r="X2519" s="135"/>
      <c r="Y2519" s="135"/>
      <c r="Z2519" s="135"/>
      <c r="AA2519" s="135"/>
      <c r="AB2519" s="135"/>
      <c r="AC2519" s="135"/>
      <c r="AD2519" s="135" t="e">
        <v>#N/A</v>
      </c>
      <c r="AE2519" s="135"/>
      <c r="AF2519" s="135"/>
      <c r="AG2519" s="135"/>
    </row>
    <row r="2520" ht="21.75" customHeight="1">
      <c r="A2520" s="135">
        <v>2516.0</v>
      </c>
      <c r="B2520" s="135">
        <v>25045.0</v>
      </c>
      <c r="C2520" s="135"/>
      <c r="D2520" s="135"/>
      <c r="E2520" s="135" t="s">
        <v>3987</v>
      </c>
      <c r="F2520" s="135" t="s">
        <v>2757</v>
      </c>
      <c r="G2520" s="135" t="s">
        <v>132</v>
      </c>
      <c r="H2520" s="135"/>
      <c r="I2520" s="135" t="s">
        <v>136</v>
      </c>
      <c r="J2520" s="135"/>
      <c r="K2520" s="135"/>
      <c r="L2520" s="135"/>
      <c r="M2520" s="135"/>
      <c r="N2520" s="135"/>
      <c r="O2520" s="135"/>
      <c r="P2520" s="136"/>
      <c r="Q2520" s="137">
        <v>0.0</v>
      </c>
      <c r="R2520" s="136">
        <v>46140.0</v>
      </c>
      <c r="S2520" s="135" t="s">
        <v>3980</v>
      </c>
      <c r="T2520" s="136"/>
      <c r="U2520" s="135"/>
      <c r="V2520" s="135"/>
      <c r="W2520" s="135"/>
      <c r="X2520" s="135"/>
      <c r="Y2520" s="135"/>
      <c r="Z2520" s="135"/>
      <c r="AA2520" s="135"/>
      <c r="AB2520" s="135"/>
      <c r="AC2520" s="135"/>
      <c r="AD2520" s="135" t="e">
        <v>#N/A</v>
      </c>
      <c r="AE2520" s="135"/>
      <c r="AF2520" s="135"/>
      <c r="AG2520" s="135"/>
    </row>
    <row r="2521" ht="21.75" customHeight="1">
      <c r="A2521" s="135">
        <v>2517.0</v>
      </c>
      <c r="B2521" s="135">
        <v>25045.0</v>
      </c>
      <c r="C2521" s="135"/>
      <c r="D2521" s="135"/>
      <c r="E2521" s="135" t="s">
        <v>3987</v>
      </c>
      <c r="F2521" s="135" t="s">
        <v>2758</v>
      </c>
      <c r="G2521" s="135" t="s">
        <v>132</v>
      </c>
      <c r="H2521" s="135"/>
      <c r="I2521" s="135" t="s">
        <v>136</v>
      </c>
      <c r="J2521" s="135"/>
      <c r="K2521" s="135"/>
      <c r="L2521" s="135"/>
      <c r="M2521" s="135"/>
      <c r="N2521" s="135"/>
      <c r="O2521" s="135"/>
      <c r="P2521" s="136"/>
      <c r="Q2521" s="137">
        <v>0.0</v>
      </c>
      <c r="R2521" s="136">
        <v>46140.0</v>
      </c>
      <c r="S2521" s="135" t="s">
        <v>3980</v>
      </c>
      <c r="T2521" s="136"/>
      <c r="U2521" s="135"/>
      <c r="V2521" s="135"/>
      <c r="W2521" s="135"/>
      <c r="X2521" s="135"/>
      <c r="Y2521" s="135"/>
      <c r="Z2521" s="135"/>
      <c r="AA2521" s="135"/>
      <c r="AB2521" s="135"/>
      <c r="AC2521" s="135"/>
      <c r="AD2521" s="135" t="e">
        <v>#N/A</v>
      </c>
      <c r="AE2521" s="135"/>
      <c r="AF2521" s="135"/>
      <c r="AG2521" s="135"/>
    </row>
    <row r="2522" ht="21.75" customHeight="1">
      <c r="A2522" s="135">
        <v>2518.0</v>
      </c>
      <c r="B2522" s="135">
        <v>25045.0</v>
      </c>
      <c r="C2522" s="135" t="s">
        <v>2817</v>
      </c>
      <c r="D2522" s="135"/>
      <c r="E2522" s="135" t="s">
        <v>3988</v>
      </c>
      <c r="F2522" s="135" t="s">
        <v>2759</v>
      </c>
      <c r="G2522" s="135" t="s">
        <v>132</v>
      </c>
      <c r="H2522" s="135"/>
      <c r="I2522" s="135" t="s">
        <v>137</v>
      </c>
      <c r="J2522" s="135"/>
      <c r="K2522" s="135"/>
      <c r="L2522" s="135"/>
      <c r="M2522" s="135"/>
      <c r="N2522" s="135"/>
      <c r="O2522" s="135"/>
      <c r="P2522" s="136"/>
      <c r="Q2522" s="137">
        <v>0.0</v>
      </c>
      <c r="R2522" s="136">
        <v>46140.0</v>
      </c>
      <c r="S2522" s="135" t="s">
        <v>3980</v>
      </c>
      <c r="T2522" s="136"/>
      <c r="U2522" s="135"/>
      <c r="V2522" s="135"/>
      <c r="W2522" s="135"/>
      <c r="X2522" s="135"/>
      <c r="Y2522" s="135"/>
      <c r="Z2522" s="135"/>
      <c r="AA2522" s="135"/>
      <c r="AB2522" s="135"/>
      <c r="AC2522" s="135"/>
      <c r="AD2522" s="135" t="e">
        <v>#N/A</v>
      </c>
      <c r="AE2522" s="135"/>
      <c r="AF2522" s="135"/>
      <c r="AG2522" s="135"/>
    </row>
    <row r="2523" ht="21.75" customHeight="1">
      <c r="A2523" s="135">
        <v>2519.0</v>
      </c>
      <c r="B2523" s="135">
        <v>25045.0</v>
      </c>
      <c r="C2523" s="135"/>
      <c r="D2523" s="135"/>
      <c r="E2523" s="135" t="s">
        <v>3988</v>
      </c>
      <c r="F2523" s="135" t="s">
        <v>2760</v>
      </c>
      <c r="G2523" s="135" t="s">
        <v>132</v>
      </c>
      <c r="H2523" s="135"/>
      <c r="I2523" s="135" t="s">
        <v>137</v>
      </c>
      <c r="J2523" s="135"/>
      <c r="K2523" s="135"/>
      <c r="L2523" s="135"/>
      <c r="M2523" s="135"/>
      <c r="N2523" s="135"/>
      <c r="O2523" s="135"/>
      <c r="P2523" s="136"/>
      <c r="Q2523" s="137">
        <v>0.0</v>
      </c>
      <c r="R2523" s="136">
        <v>46140.0</v>
      </c>
      <c r="S2523" s="135" t="s">
        <v>3980</v>
      </c>
      <c r="T2523" s="136"/>
      <c r="U2523" s="135"/>
      <c r="V2523" s="135"/>
      <c r="W2523" s="135"/>
      <c r="X2523" s="135"/>
      <c r="Y2523" s="135"/>
      <c r="Z2523" s="135"/>
      <c r="AA2523" s="135"/>
      <c r="AB2523" s="135"/>
      <c r="AC2523" s="135"/>
      <c r="AD2523" s="135" t="e">
        <v>#N/A</v>
      </c>
      <c r="AE2523" s="135"/>
      <c r="AF2523" s="135"/>
      <c r="AG2523" s="135"/>
    </row>
    <row r="2524" ht="21.75" customHeight="1">
      <c r="A2524" s="135">
        <v>2520.0</v>
      </c>
      <c r="B2524" s="135">
        <v>25045.0</v>
      </c>
      <c r="C2524" s="135"/>
      <c r="D2524" s="135"/>
      <c r="E2524" s="135" t="s">
        <v>3988</v>
      </c>
      <c r="F2524" s="135" t="s">
        <v>2761</v>
      </c>
      <c r="G2524" s="135" t="s">
        <v>132</v>
      </c>
      <c r="H2524" s="135"/>
      <c r="I2524" s="135" t="s">
        <v>137</v>
      </c>
      <c r="J2524" s="135"/>
      <c r="K2524" s="135"/>
      <c r="L2524" s="135"/>
      <c r="M2524" s="135"/>
      <c r="N2524" s="135"/>
      <c r="O2524" s="135"/>
      <c r="P2524" s="136"/>
      <c r="Q2524" s="137">
        <v>0.0</v>
      </c>
      <c r="R2524" s="136">
        <v>46140.0</v>
      </c>
      <c r="S2524" s="135" t="s">
        <v>3980</v>
      </c>
      <c r="T2524" s="136"/>
      <c r="U2524" s="135"/>
      <c r="V2524" s="135"/>
      <c r="W2524" s="135"/>
      <c r="X2524" s="135"/>
      <c r="Y2524" s="135"/>
      <c r="Z2524" s="135"/>
      <c r="AA2524" s="135"/>
      <c r="AB2524" s="135"/>
      <c r="AC2524" s="135"/>
      <c r="AD2524" s="135" t="e">
        <v>#N/A</v>
      </c>
      <c r="AE2524" s="135"/>
      <c r="AF2524" s="135"/>
      <c r="AG2524" s="135"/>
    </row>
    <row r="2525" ht="21.75" customHeight="1">
      <c r="A2525" s="135">
        <v>2521.0</v>
      </c>
      <c r="B2525" s="135">
        <v>25045.0</v>
      </c>
      <c r="C2525" s="135"/>
      <c r="D2525" s="135"/>
      <c r="E2525" s="135" t="s">
        <v>3988</v>
      </c>
      <c r="F2525" s="135" t="s">
        <v>2762</v>
      </c>
      <c r="G2525" s="135" t="s">
        <v>132</v>
      </c>
      <c r="H2525" s="135"/>
      <c r="I2525" s="135" t="s">
        <v>137</v>
      </c>
      <c r="J2525" s="135"/>
      <c r="K2525" s="135"/>
      <c r="L2525" s="135"/>
      <c r="M2525" s="135"/>
      <c r="N2525" s="135"/>
      <c r="O2525" s="135"/>
      <c r="P2525" s="136"/>
      <c r="Q2525" s="137">
        <v>0.0</v>
      </c>
      <c r="R2525" s="136">
        <v>46140.0</v>
      </c>
      <c r="S2525" s="135" t="s">
        <v>3980</v>
      </c>
      <c r="T2525" s="136"/>
      <c r="U2525" s="135"/>
      <c r="V2525" s="135"/>
      <c r="W2525" s="135"/>
      <c r="X2525" s="135"/>
      <c r="Y2525" s="135"/>
      <c r="Z2525" s="135"/>
      <c r="AA2525" s="135"/>
      <c r="AB2525" s="135"/>
      <c r="AC2525" s="135"/>
      <c r="AD2525" s="135" t="e">
        <v>#N/A</v>
      </c>
      <c r="AE2525" s="135"/>
      <c r="AF2525" s="135"/>
      <c r="AG2525" s="135"/>
    </row>
    <row r="2526" ht="21.75" customHeight="1">
      <c r="A2526" s="135">
        <v>2522.0</v>
      </c>
      <c r="B2526" s="135">
        <v>25045.0</v>
      </c>
      <c r="C2526" s="135"/>
      <c r="D2526" s="135"/>
      <c r="E2526" s="135" t="s">
        <v>3988</v>
      </c>
      <c r="F2526" s="135" t="s">
        <v>2763</v>
      </c>
      <c r="G2526" s="135" t="s">
        <v>132</v>
      </c>
      <c r="H2526" s="135"/>
      <c r="I2526" s="135" t="s">
        <v>137</v>
      </c>
      <c r="J2526" s="135"/>
      <c r="K2526" s="135"/>
      <c r="L2526" s="135"/>
      <c r="M2526" s="135"/>
      <c r="N2526" s="135"/>
      <c r="O2526" s="135"/>
      <c r="P2526" s="136"/>
      <c r="Q2526" s="137">
        <v>0.0</v>
      </c>
      <c r="R2526" s="136">
        <v>46140.0</v>
      </c>
      <c r="S2526" s="135" t="s">
        <v>3980</v>
      </c>
      <c r="T2526" s="136"/>
      <c r="U2526" s="135"/>
      <c r="V2526" s="135"/>
      <c r="W2526" s="135"/>
      <c r="X2526" s="135"/>
      <c r="Y2526" s="135"/>
      <c r="Z2526" s="135"/>
      <c r="AA2526" s="135"/>
      <c r="AB2526" s="135"/>
      <c r="AC2526" s="135"/>
      <c r="AD2526" s="135" t="e">
        <v>#N/A</v>
      </c>
      <c r="AE2526" s="135"/>
      <c r="AF2526" s="135"/>
      <c r="AG2526" s="135"/>
    </row>
    <row r="2527" ht="21.75" customHeight="1">
      <c r="A2527" s="135">
        <v>2523.0</v>
      </c>
      <c r="B2527" s="135">
        <v>25045.0</v>
      </c>
      <c r="C2527" s="135"/>
      <c r="D2527" s="135"/>
      <c r="E2527" s="135" t="s">
        <v>3988</v>
      </c>
      <c r="F2527" s="135" t="s">
        <v>2764</v>
      </c>
      <c r="G2527" s="135" t="s">
        <v>132</v>
      </c>
      <c r="H2527" s="135"/>
      <c r="I2527" s="135" t="s">
        <v>137</v>
      </c>
      <c r="J2527" s="135"/>
      <c r="K2527" s="135"/>
      <c r="L2527" s="135"/>
      <c r="M2527" s="135"/>
      <c r="N2527" s="135"/>
      <c r="O2527" s="135"/>
      <c r="P2527" s="136"/>
      <c r="Q2527" s="137">
        <v>0.0</v>
      </c>
      <c r="R2527" s="136">
        <v>46140.0</v>
      </c>
      <c r="S2527" s="135" t="s">
        <v>3980</v>
      </c>
      <c r="T2527" s="136"/>
      <c r="U2527" s="135"/>
      <c r="V2527" s="135"/>
      <c r="W2527" s="135"/>
      <c r="X2527" s="135"/>
      <c r="Y2527" s="135"/>
      <c r="Z2527" s="135"/>
      <c r="AA2527" s="135"/>
      <c r="AB2527" s="135"/>
      <c r="AC2527" s="135"/>
      <c r="AD2527" s="135" t="e">
        <v>#N/A</v>
      </c>
      <c r="AE2527" s="135"/>
      <c r="AF2527" s="135"/>
      <c r="AG2527" s="135"/>
    </row>
    <row r="2528" ht="21.75" customHeight="1">
      <c r="A2528" s="135">
        <v>2524.0</v>
      </c>
      <c r="B2528" s="135">
        <v>25045.0</v>
      </c>
      <c r="C2528" s="135"/>
      <c r="D2528" s="135"/>
      <c r="E2528" s="135" t="s">
        <v>3988</v>
      </c>
      <c r="F2528" s="135" t="s">
        <v>2765</v>
      </c>
      <c r="G2528" s="135" t="s">
        <v>132</v>
      </c>
      <c r="H2528" s="135"/>
      <c r="I2528" s="135" t="s">
        <v>137</v>
      </c>
      <c r="J2528" s="135"/>
      <c r="K2528" s="135"/>
      <c r="L2528" s="135"/>
      <c r="M2528" s="135"/>
      <c r="N2528" s="135"/>
      <c r="O2528" s="135"/>
      <c r="P2528" s="136"/>
      <c r="Q2528" s="137">
        <v>0.0</v>
      </c>
      <c r="R2528" s="136">
        <v>46140.0</v>
      </c>
      <c r="S2528" s="135" t="s">
        <v>3980</v>
      </c>
      <c r="T2528" s="136"/>
      <c r="U2528" s="135"/>
      <c r="V2528" s="135"/>
      <c r="W2528" s="135"/>
      <c r="X2528" s="135"/>
      <c r="Y2528" s="135"/>
      <c r="Z2528" s="135"/>
      <c r="AA2528" s="135"/>
      <c r="AB2528" s="135"/>
      <c r="AC2528" s="135"/>
      <c r="AD2528" s="135" t="e">
        <v>#N/A</v>
      </c>
      <c r="AE2528" s="135"/>
      <c r="AF2528" s="135"/>
      <c r="AG2528" s="135"/>
    </row>
    <row r="2529" ht="21.75" customHeight="1">
      <c r="A2529" s="135">
        <v>2525.0</v>
      </c>
      <c r="B2529" s="135">
        <v>25045.0</v>
      </c>
      <c r="C2529" s="135"/>
      <c r="D2529" s="135"/>
      <c r="E2529" s="135" t="s">
        <v>3988</v>
      </c>
      <c r="F2529" s="135" t="s">
        <v>2766</v>
      </c>
      <c r="G2529" s="135" t="s">
        <v>132</v>
      </c>
      <c r="H2529" s="135"/>
      <c r="I2529" s="135" t="s">
        <v>137</v>
      </c>
      <c r="J2529" s="135"/>
      <c r="K2529" s="135"/>
      <c r="L2529" s="135"/>
      <c r="M2529" s="135"/>
      <c r="N2529" s="135"/>
      <c r="O2529" s="135"/>
      <c r="P2529" s="136"/>
      <c r="Q2529" s="137">
        <v>0.0</v>
      </c>
      <c r="R2529" s="136">
        <v>46140.0</v>
      </c>
      <c r="S2529" s="135" t="s">
        <v>3980</v>
      </c>
      <c r="T2529" s="136"/>
      <c r="U2529" s="135"/>
      <c r="V2529" s="135"/>
      <c r="W2529" s="135"/>
      <c r="X2529" s="135"/>
      <c r="Y2529" s="135"/>
      <c r="Z2529" s="135"/>
      <c r="AA2529" s="135"/>
      <c r="AB2529" s="135"/>
      <c r="AC2529" s="135"/>
      <c r="AD2529" s="135" t="e">
        <v>#N/A</v>
      </c>
      <c r="AE2529" s="135"/>
      <c r="AF2529" s="135"/>
      <c r="AG2529" s="135"/>
    </row>
    <row r="2530" ht="21.75" customHeight="1">
      <c r="A2530" s="135">
        <v>2526.0</v>
      </c>
      <c r="B2530" s="135">
        <v>25045.0</v>
      </c>
      <c r="C2530" s="135"/>
      <c r="D2530" s="135"/>
      <c r="E2530" s="135" t="s">
        <v>3988</v>
      </c>
      <c r="F2530" s="135" t="s">
        <v>2767</v>
      </c>
      <c r="G2530" s="135" t="s">
        <v>132</v>
      </c>
      <c r="H2530" s="135"/>
      <c r="I2530" s="135" t="s">
        <v>137</v>
      </c>
      <c r="J2530" s="135"/>
      <c r="K2530" s="135"/>
      <c r="L2530" s="135"/>
      <c r="M2530" s="135"/>
      <c r="N2530" s="135"/>
      <c r="O2530" s="135"/>
      <c r="P2530" s="136"/>
      <c r="Q2530" s="137">
        <v>0.0</v>
      </c>
      <c r="R2530" s="136">
        <v>46140.0</v>
      </c>
      <c r="S2530" s="135" t="s">
        <v>3980</v>
      </c>
      <c r="T2530" s="136"/>
      <c r="U2530" s="135"/>
      <c r="V2530" s="135"/>
      <c r="W2530" s="135"/>
      <c r="X2530" s="135"/>
      <c r="Y2530" s="135"/>
      <c r="Z2530" s="135"/>
      <c r="AA2530" s="135"/>
      <c r="AB2530" s="135"/>
      <c r="AC2530" s="135"/>
      <c r="AD2530" s="135" t="e">
        <v>#N/A</v>
      </c>
      <c r="AE2530" s="135"/>
      <c r="AF2530" s="135"/>
      <c r="AG2530" s="135"/>
    </row>
    <row r="2531" ht="21.75" customHeight="1">
      <c r="A2531" s="135">
        <v>2527.0</v>
      </c>
      <c r="B2531" s="135">
        <v>25045.0</v>
      </c>
      <c r="C2531" s="135"/>
      <c r="D2531" s="135"/>
      <c r="E2531" s="135" t="s">
        <v>3988</v>
      </c>
      <c r="F2531" s="135" t="s">
        <v>2768</v>
      </c>
      <c r="G2531" s="135" t="s">
        <v>132</v>
      </c>
      <c r="H2531" s="135"/>
      <c r="I2531" s="135" t="s">
        <v>137</v>
      </c>
      <c r="J2531" s="135"/>
      <c r="K2531" s="135"/>
      <c r="L2531" s="135"/>
      <c r="M2531" s="135"/>
      <c r="N2531" s="135"/>
      <c r="O2531" s="135"/>
      <c r="P2531" s="136"/>
      <c r="Q2531" s="137">
        <v>0.0</v>
      </c>
      <c r="R2531" s="136">
        <v>46140.0</v>
      </c>
      <c r="S2531" s="135" t="s">
        <v>3980</v>
      </c>
      <c r="T2531" s="136"/>
      <c r="U2531" s="135"/>
      <c r="V2531" s="135"/>
      <c r="W2531" s="135"/>
      <c r="X2531" s="135"/>
      <c r="Y2531" s="135"/>
      <c r="Z2531" s="135"/>
      <c r="AA2531" s="135"/>
      <c r="AB2531" s="135"/>
      <c r="AC2531" s="135"/>
      <c r="AD2531" s="135" t="e">
        <v>#N/A</v>
      </c>
      <c r="AE2531" s="135"/>
      <c r="AF2531" s="135"/>
      <c r="AG2531" s="135"/>
    </row>
    <row r="2532" ht="21.75" customHeight="1">
      <c r="A2532" s="135">
        <v>2528.0</v>
      </c>
      <c r="B2532" s="135">
        <v>25045.0</v>
      </c>
      <c r="C2532" s="135"/>
      <c r="D2532" s="135"/>
      <c r="E2532" s="135" t="s">
        <v>3988</v>
      </c>
      <c r="F2532" s="135" t="s">
        <v>2769</v>
      </c>
      <c r="G2532" s="135" t="s">
        <v>132</v>
      </c>
      <c r="H2532" s="135"/>
      <c r="I2532" s="135" t="s">
        <v>137</v>
      </c>
      <c r="J2532" s="135"/>
      <c r="K2532" s="135"/>
      <c r="L2532" s="135"/>
      <c r="M2532" s="135"/>
      <c r="N2532" s="135"/>
      <c r="O2532" s="135"/>
      <c r="P2532" s="136"/>
      <c r="Q2532" s="137">
        <v>0.0</v>
      </c>
      <c r="R2532" s="136">
        <v>46140.0</v>
      </c>
      <c r="S2532" s="135" t="s">
        <v>3980</v>
      </c>
      <c r="T2532" s="136"/>
      <c r="U2532" s="135"/>
      <c r="V2532" s="135"/>
      <c r="W2532" s="135"/>
      <c r="X2532" s="135"/>
      <c r="Y2532" s="135"/>
      <c r="Z2532" s="135"/>
      <c r="AA2532" s="135"/>
      <c r="AB2532" s="135"/>
      <c r="AC2532" s="135"/>
      <c r="AD2532" s="135" t="e">
        <v>#N/A</v>
      </c>
      <c r="AE2532" s="135"/>
      <c r="AF2532" s="135"/>
      <c r="AG2532" s="135"/>
    </row>
    <row r="2533" ht="21.75" customHeight="1">
      <c r="A2533" s="135">
        <v>2529.0</v>
      </c>
      <c r="B2533" s="135">
        <v>25045.0</v>
      </c>
      <c r="C2533" s="135"/>
      <c r="D2533" s="135"/>
      <c r="E2533" s="135" t="s">
        <v>3988</v>
      </c>
      <c r="F2533" s="135" t="s">
        <v>2770</v>
      </c>
      <c r="G2533" s="135" t="s">
        <v>132</v>
      </c>
      <c r="H2533" s="135"/>
      <c r="I2533" s="135" t="s">
        <v>137</v>
      </c>
      <c r="J2533" s="135"/>
      <c r="K2533" s="135"/>
      <c r="L2533" s="135"/>
      <c r="M2533" s="135"/>
      <c r="N2533" s="135"/>
      <c r="O2533" s="135"/>
      <c r="P2533" s="136"/>
      <c r="Q2533" s="137">
        <v>0.0</v>
      </c>
      <c r="R2533" s="136">
        <v>46140.0</v>
      </c>
      <c r="S2533" s="135" t="s">
        <v>3980</v>
      </c>
      <c r="T2533" s="136"/>
      <c r="U2533" s="135"/>
      <c r="V2533" s="135"/>
      <c r="W2533" s="135"/>
      <c r="X2533" s="135"/>
      <c r="Y2533" s="135"/>
      <c r="Z2533" s="135"/>
      <c r="AA2533" s="135"/>
      <c r="AB2533" s="135"/>
      <c r="AC2533" s="135"/>
      <c r="AD2533" s="135" t="e">
        <v>#N/A</v>
      </c>
      <c r="AE2533" s="135"/>
      <c r="AF2533" s="135"/>
      <c r="AG2533" s="135"/>
    </row>
    <row r="2534" ht="21.75" customHeight="1">
      <c r="A2534" s="135">
        <v>2530.0</v>
      </c>
      <c r="B2534" s="135">
        <v>25045.0</v>
      </c>
      <c r="C2534" s="135"/>
      <c r="D2534" s="135"/>
      <c r="E2534" s="135" t="s">
        <v>3988</v>
      </c>
      <c r="F2534" s="135" t="s">
        <v>2771</v>
      </c>
      <c r="G2534" s="135" t="s">
        <v>132</v>
      </c>
      <c r="H2534" s="135"/>
      <c r="I2534" s="135" t="s">
        <v>137</v>
      </c>
      <c r="J2534" s="135"/>
      <c r="K2534" s="135"/>
      <c r="L2534" s="135"/>
      <c r="M2534" s="135"/>
      <c r="N2534" s="135"/>
      <c r="O2534" s="135"/>
      <c r="P2534" s="136"/>
      <c r="Q2534" s="137">
        <v>0.0</v>
      </c>
      <c r="R2534" s="136">
        <v>46140.0</v>
      </c>
      <c r="S2534" s="135" t="s">
        <v>3980</v>
      </c>
      <c r="T2534" s="136"/>
      <c r="U2534" s="135"/>
      <c r="V2534" s="135"/>
      <c r="W2534" s="135"/>
      <c r="X2534" s="135"/>
      <c r="Y2534" s="135"/>
      <c r="Z2534" s="135"/>
      <c r="AA2534" s="135"/>
      <c r="AB2534" s="135"/>
      <c r="AC2534" s="135"/>
      <c r="AD2534" s="135" t="e">
        <v>#N/A</v>
      </c>
      <c r="AE2534" s="135"/>
      <c r="AF2534" s="135"/>
      <c r="AG2534" s="135"/>
    </row>
    <row r="2535" ht="21.75" customHeight="1">
      <c r="A2535" s="135">
        <v>2531.0</v>
      </c>
      <c r="B2535" s="135">
        <v>25045.0</v>
      </c>
      <c r="C2535" s="135"/>
      <c r="D2535" s="135"/>
      <c r="E2535" s="135" t="s">
        <v>3988</v>
      </c>
      <c r="F2535" s="135" t="s">
        <v>2772</v>
      </c>
      <c r="G2535" s="135" t="s">
        <v>132</v>
      </c>
      <c r="H2535" s="135"/>
      <c r="I2535" s="135" t="s">
        <v>137</v>
      </c>
      <c r="J2535" s="135"/>
      <c r="K2535" s="135"/>
      <c r="L2535" s="135"/>
      <c r="M2535" s="135"/>
      <c r="N2535" s="135"/>
      <c r="O2535" s="135"/>
      <c r="P2535" s="136"/>
      <c r="Q2535" s="137">
        <v>0.0</v>
      </c>
      <c r="R2535" s="136">
        <v>46140.0</v>
      </c>
      <c r="S2535" s="135" t="s">
        <v>3980</v>
      </c>
      <c r="T2535" s="136"/>
      <c r="U2535" s="135"/>
      <c r="V2535" s="135"/>
      <c r="W2535" s="135"/>
      <c r="X2535" s="135"/>
      <c r="Y2535" s="135"/>
      <c r="Z2535" s="135"/>
      <c r="AA2535" s="135"/>
      <c r="AB2535" s="135"/>
      <c r="AC2535" s="135"/>
      <c r="AD2535" s="135" t="e">
        <v>#N/A</v>
      </c>
      <c r="AE2535" s="135"/>
      <c r="AF2535" s="135"/>
      <c r="AG2535" s="135"/>
    </row>
    <row r="2536" ht="21.75" customHeight="1">
      <c r="A2536" s="135">
        <v>2532.0</v>
      </c>
      <c r="B2536" s="135">
        <v>25045.0</v>
      </c>
      <c r="C2536" s="135" t="s">
        <v>2817</v>
      </c>
      <c r="D2536" s="135"/>
      <c r="E2536" s="135" t="s">
        <v>3989</v>
      </c>
      <c r="F2536" s="135" t="s">
        <v>2773</v>
      </c>
      <c r="G2536" s="135" t="s">
        <v>132</v>
      </c>
      <c r="H2536" s="135"/>
      <c r="I2536" s="135" t="s">
        <v>138</v>
      </c>
      <c r="J2536" s="135"/>
      <c r="K2536" s="135"/>
      <c r="L2536" s="135"/>
      <c r="M2536" s="135"/>
      <c r="N2536" s="135"/>
      <c r="O2536" s="135"/>
      <c r="P2536" s="136"/>
      <c r="Q2536" s="137">
        <v>0.0</v>
      </c>
      <c r="R2536" s="136">
        <v>46140.0</v>
      </c>
      <c r="S2536" s="135" t="s">
        <v>3980</v>
      </c>
      <c r="T2536" s="136"/>
      <c r="U2536" s="135"/>
      <c r="V2536" s="135"/>
      <c r="W2536" s="135"/>
      <c r="X2536" s="135"/>
      <c r="Y2536" s="135"/>
      <c r="Z2536" s="135"/>
      <c r="AA2536" s="135"/>
      <c r="AB2536" s="135"/>
      <c r="AC2536" s="135"/>
      <c r="AD2536" s="135" t="e">
        <v>#N/A</v>
      </c>
      <c r="AE2536" s="135"/>
      <c r="AF2536" s="135"/>
      <c r="AG2536" s="135"/>
    </row>
    <row r="2537" ht="21.75" customHeight="1">
      <c r="A2537" s="135">
        <v>2533.0</v>
      </c>
      <c r="B2537" s="135">
        <v>25045.0</v>
      </c>
      <c r="C2537" s="135"/>
      <c r="D2537" s="135"/>
      <c r="E2537" s="135" t="s">
        <v>3989</v>
      </c>
      <c r="F2537" s="135" t="s">
        <v>2774</v>
      </c>
      <c r="G2537" s="135" t="s">
        <v>132</v>
      </c>
      <c r="H2537" s="135"/>
      <c r="I2537" s="135" t="s">
        <v>138</v>
      </c>
      <c r="J2537" s="135"/>
      <c r="K2537" s="135"/>
      <c r="L2537" s="135"/>
      <c r="M2537" s="135"/>
      <c r="N2537" s="135"/>
      <c r="O2537" s="135"/>
      <c r="P2537" s="136"/>
      <c r="Q2537" s="137">
        <v>0.0</v>
      </c>
      <c r="R2537" s="136">
        <v>46140.0</v>
      </c>
      <c r="S2537" s="135" t="s">
        <v>3980</v>
      </c>
      <c r="T2537" s="136"/>
      <c r="U2537" s="135"/>
      <c r="V2537" s="135"/>
      <c r="W2537" s="135"/>
      <c r="X2537" s="135"/>
      <c r="Y2537" s="135"/>
      <c r="Z2537" s="135"/>
      <c r="AA2537" s="135"/>
      <c r="AB2537" s="135"/>
      <c r="AC2537" s="135"/>
      <c r="AD2537" s="135" t="e">
        <v>#N/A</v>
      </c>
      <c r="AE2537" s="135"/>
      <c r="AF2537" s="135"/>
      <c r="AG2537" s="135"/>
    </row>
    <row r="2538" ht="21.75" customHeight="1">
      <c r="A2538" s="135">
        <v>2534.0</v>
      </c>
      <c r="B2538" s="135">
        <v>25045.0</v>
      </c>
      <c r="C2538" s="135"/>
      <c r="D2538" s="135"/>
      <c r="E2538" s="135" t="s">
        <v>3989</v>
      </c>
      <c r="F2538" s="135" t="s">
        <v>2775</v>
      </c>
      <c r="G2538" s="135" t="s">
        <v>132</v>
      </c>
      <c r="H2538" s="135"/>
      <c r="I2538" s="135" t="s">
        <v>138</v>
      </c>
      <c r="J2538" s="135"/>
      <c r="K2538" s="135"/>
      <c r="L2538" s="135"/>
      <c r="M2538" s="135"/>
      <c r="N2538" s="135"/>
      <c r="O2538" s="135"/>
      <c r="P2538" s="136"/>
      <c r="Q2538" s="137">
        <v>0.0</v>
      </c>
      <c r="R2538" s="136">
        <v>46140.0</v>
      </c>
      <c r="S2538" s="135" t="s">
        <v>3980</v>
      </c>
      <c r="T2538" s="136"/>
      <c r="U2538" s="135"/>
      <c r="V2538" s="135"/>
      <c r="W2538" s="135"/>
      <c r="X2538" s="135"/>
      <c r="Y2538" s="135"/>
      <c r="Z2538" s="135"/>
      <c r="AA2538" s="135"/>
      <c r="AB2538" s="135"/>
      <c r="AC2538" s="135"/>
      <c r="AD2538" s="135" t="e">
        <v>#N/A</v>
      </c>
      <c r="AE2538" s="135"/>
      <c r="AF2538" s="135"/>
      <c r="AG2538" s="135"/>
    </row>
    <row r="2539" ht="21.75" customHeight="1">
      <c r="A2539" s="135">
        <v>2535.0</v>
      </c>
      <c r="B2539" s="135">
        <v>25045.0</v>
      </c>
      <c r="C2539" s="135"/>
      <c r="D2539" s="135"/>
      <c r="E2539" s="135" t="s">
        <v>3989</v>
      </c>
      <c r="F2539" s="135" t="s">
        <v>2776</v>
      </c>
      <c r="G2539" s="135" t="s">
        <v>132</v>
      </c>
      <c r="H2539" s="135"/>
      <c r="I2539" s="135" t="s">
        <v>138</v>
      </c>
      <c r="J2539" s="135"/>
      <c r="K2539" s="135"/>
      <c r="L2539" s="135"/>
      <c r="M2539" s="135"/>
      <c r="N2539" s="135"/>
      <c r="O2539" s="135"/>
      <c r="P2539" s="136"/>
      <c r="Q2539" s="137">
        <v>0.0</v>
      </c>
      <c r="R2539" s="136">
        <v>46140.0</v>
      </c>
      <c r="S2539" s="135" t="s">
        <v>3980</v>
      </c>
      <c r="T2539" s="136"/>
      <c r="U2539" s="135"/>
      <c r="V2539" s="135"/>
      <c r="W2539" s="135"/>
      <c r="X2539" s="135"/>
      <c r="Y2539" s="135"/>
      <c r="Z2539" s="135"/>
      <c r="AA2539" s="135"/>
      <c r="AB2539" s="135"/>
      <c r="AC2539" s="135"/>
      <c r="AD2539" s="135" t="e">
        <v>#N/A</v>
      </c>
      <c r="AE2539" s="135"/>
      <c r="AF2539" s="135"/>
      <c r="AG2539" s="135"/>
    </row>
    <row r="2540" ht="21.75" customHeight="1">
      <c r="A2540" s="135">
        <v>2536.0</v>
      </c>
      <c r="B2540" s="135">
        <v>25045.0</v>
      </c>
      <c r="C2540" s="135"/>
      <c r="D2540" s="135"/>
      <c r="E2540" s="135" t="s">
        <v>3989</v>
      </c>
      <c r="F2540" s="135" t="s">
        <v>2777</v>
      </c>
      <c r="G2540" s="135" t="s">
        <v>132</v>
      </c>
      <c r="H2540" s="135"/>
      <c r="I2540" s="135" t="s">
        <v>138</v>
      </c>
      <c r="J2540" s="135"/>
      <c r="K2540" s="135"/>
      <c r="L2540" s="135"/>
      <c r="M2540" s="135"/>
      <c r="N2540" s="135"/>
      <c r="O2540" s="135"/>
      <c r="P2540" s="136"/>
      <c r="Q2540" s="137">
        <v>0.0</v>
      </c>
      <c r="R2540" s="136">
        <v>46140.0</v>
      </c>
      <c r="S2540" s="135" t="s">
        <v>3980</v>
      </c>
      <c r="T2540" s="136"/>
      <c r="U2540" s="135"/>
      <c r="V2540" s="135"/>
      <c r="W2540" s="135"/>
      <c r="X2540" s="135"/>
      <c r="Y2540" s="135"/>
      <c r="Z2540" s="135"/>
      <c r="AA2540" s="135"/>
      <c r="AB2540" s="135"/>
      <c r="AC2540" s="135"/>
      <c r="AD2540" s="135" t="e">
        <v>#N/A</v>
      </c>
      <c r="AE2540" s="135"/>
      <c r="AF2540" s="135"/>
      <c r="AG2540" s="135"/>
    </row>
    <row r="2541" ht="21.75" customHeight="1">
      <c r="A2541" s="135">
        <v>2537.0</v>
      </c>
      <c r="B2541" s="135">
        <v>25045.0</v>
      </c>
      <c r="C2541" s="135"/>
      <c r="D2541" s="135"/>
      <c r="E2541" s="135" t="s">
        <v>3989</v>
      </c>
      <c r="F2541" s="135" t="s">
        <v>2778</v>
      </c>
      <c r="G2541" s="135" t="s">
        <v>132</v>
      </c>
      <c r="H2541" s="135"/>
      <c r="I2541" s="135" t="s">
        <v>138</v>
      </c>
      <c r="J2541" s="135"/>
      <c r="K2541" s="135"/>
      <c r="L2541" s="135"/>
      <c r="M2541" s="135"/>
      <c r="N2541" s="135"/>
      <c r="O2541" s="135"/>
      <c r="P2541" s="136"/>
      <c r="Q2541" s="137">
        <v>0.0</v>
      </c>
      <c r="R2541" s="136">
        <v>46140.0</v>
      </c>
      <c r="S2541" s="135" t="s">
        <v>3980</v>
      </c>
      <c r="T2541" s="136"/>
      <c r="U2541" s="135"/>
      <c r="V2541" s="135"/>
      <c r="W2541" s="135"/>
      <c r="X2541" s="135"/>
      <c r="Y2541" s="135"/>
      <c r="Z2541" s="135"/>
      <c r="AA2541" s="135"/>
      <c r="AB2541" s="135"/>
      <c r="AC2541" s="135"/>
      <c r="AD2541" s="135" t="e">
        <v>#N/A</v>
      </c>
      <c r="AE2541" s="135"/>
      <c r="AF2541" s="135"/>
      <c r="AG2541" s="135"/>
    </row>
    <row r="2542" ht="21.75" customHeight="1">
      <c r="A2542" s="135">
        <v>2538.0</v>
      </c>
      <c r="B2542" s="135">
        <v>25045.0</v>
      </c>
      <c r="C2542" s="135"/>
      <c r="D2542" s="135"/>
      <c r="E2542" s="135" t="s">
        <v>3989</v>
      </c>
      <c r="F2542" s="135" t="s">
        <v>2779</v>
      </c>
      <c r="G2542" s="135" t="s">
        <v>132</v>
      </c>
      <c r="H2542" s="135"/>
      <c r="I2542" s="135" t="s">
        <v>138</v>
      </c>
      <c r="J2542" s="135"/>
      <c r="K2542" s="135"/>
      <c r="L2542" s="135"/>
      <c r="M2542" s="135"/>
      <c r="N2542" s="135"/>
      <c r="O2542" s="135"/>
      <c r="P2542" s="136"/>
      <c r="Q2542" s="137">
        <v>0.0</v>
      </c>
      <c r="R2542" s="136">
        <v>46140.0</v>
      </c>
      <c r="S2542" s="135" t="s">
        <v>3980</v>
      </c>
      <c r="T2542" s="136"/>
      <c r="U2542" s="135"/>
      <c r="V2542" s="135"/>
      <c r="W2542" s="135"/>
      <c r="X2542" s="135"/>
      <c r="Y2542" s="135"/>
      <c r="Z2542" s="135"/>
      <c r="AA2542" s="135"/>
      <c r="AB2542" s="135"/>
      <c r="AC2542" s="135"/>
      <c r="AD2542" s="135" t="e">
        <v>#N/A</v>
      </c>
      <c r="AE2542" s="135"/>
      <c r="AF2542" s="135"/>
      <c r="AG2542" s="135"/>
    </row>
    <row r="2543" ht="21.75" customHeight="1">
      <c r="A2543" s="135">
        <v>2539.0</v>
      </c>
      <c r="B2543" s="135">
        <v>25045.0</v>
      </c>
      <c r="C2543" s="135"/>
      <c r="D2543" s="135"/>
      <c r="E2543" s="135" t="s">
        <v>3989</v>
      </c>
      <c r="F2543" s="135" t="s">
        <v>2780</v>
      </c>
      <c r="G2543" s="135" t="s">
        <v>132</v>
      </c>
      <c r="H2543" s="135"/>
      <c r="I2543" s="135" t="s">
        <v>138</v>
      </c>
      <c r="J2543" s="135"/>
      <c r="K2543" s="135"/>
      <c r="L2543" s="135"/>
      <c r="M2543" s="135"/>
      <c r="N2543" s="135"/>
      <c r="O2543" s="135"/>
      <c r="P2543" s="136"/>
      <c r="Q2543" s="137">
        <v>0.0</v>
      </c>
      <c r="R2543" s="136">
        <v>46140.0</v>
      </c>
      <c r="S2543" s="135" t="s">
        <v>3980</v>
      </c>
      <c r="T2543" s="136"/>
      <c r="U2543" s="135"/>
      <c r="V2543" s="135"/>
      <c r="W2543" s="135"/>
      <c r="X2543" s="135"/>
      <c r="Y2543" s="135"/>
      <c r="Z2543" s="135"/>
      <c r="AA2543" s="135"/>
      <c r="AB2543" s="135"/>
      <c r="AC2543" s="135"/>
      <c r="AD2543" s="135" t="e">
        <v>#N/A</v>
      </c>
      <c r="AE2543" s="135"/>
      <c r="AF2543" s="135"/>
      <c r="AG2543" s="135"/>
    </row>
    <row r="2544" ht="21.75" customHeight="1">
      <c r="A2544" s="135">
        <v>2540.0</v>
      </c>
      <c r="B2544" s="135">
        <v>25045.0</v>
      </c>
      <c r="C2544" s="135"/>
      <c r="D2544" s="135"/>
      <c r="E2544" s="135" t="s">
        <v>3989</v>
      </c>
      <c r="F2544" s="135" t="s">
        <v>2781</v>
      </c>
      <c r="G2544" s="135" t="s">
        <v>132</v>
      </c>
      <c r="H2544" s="135"/>
      <c r="I2544" s="135" t="s">
        <v>138</v>
      </c>
      <c r="J2544" s="135"/>
      <c r="K2544" s="135"/>
      <c r="L2544" s="135"/>
      <c r="M2544" s="135"/>
      <c r="N2544" s="135"/>
      <c r="O2544" s="135"/>
      <c r="P2544" s="136"/>
      <c r="Q2544" s="137">
        <v>0.0</v>
      </c>
      <c r="R2544" s="136">
        <v>46140.0</v>
      </c>
      <c r="S2544" s="135" t="s">
        <v>3980</v>
      </c>
      <c r="T2544" s="136"/>
      <c r="U2544" s="135"/>
      <c r="V2544" s="135"/>
      <c r="W2544" s="135"/>
      <c r="X2544" s="135"/>
      <c r="Y2544" s="135"/>
      <c r="Z2544" s="135"/>
      <c r="AA2544" s="135"/>
      <c r="AB2544" s="135"/>
      <c r="AC2544" s="135"/>
      <c r="AD2544" s="135" t="e">
        <v>#N/A</v>
      </c>
      <c r="AE2544" s="135"/>
      <c r="AF2544" s="135"/>
      <c r="AG2544" s="135"/>
    </row>
    <row r="2545" ht="21.75" customHeight="1">
      <c r="A2545" s="135">
        <v>2541.0</v>
      </c>
      <c r="B2545" s="135">
        <v>25045.0</v>
      </c>
      <c r="C2545" s="135"/>
      <c r="D2545" s="135"/>
      <c r="E2545" s="135" t="s">
        <v>3989</v>
      </c>
      <c r="F2545" s="135" t="s">
        <v>2782</v>
      </c>
      <c r="G2545" s="135" t="s">
        <v>132</v>
      </c>
      <c r="H2545" s="135"/>
      <c r="I2545" s="135" t="s">
        <v>138</v>
      </c>
      <c r="J2545" s="135"/>
      <c r="K2545" s="135"/>
      <c r="L2545" s="135"/>
      <c r="M2545" s="135"/>
      <c r="N2545" s="135"/>
      <c r="O2545" s="135"/>
      <c r="P2545" s="136"/>
      <c r="Q2545" s="137">
        <v>0.0</v>
      </c>
      <c r="R2545" s="136">
        <v>46140.0</v>
      </c>
      <c r="S2545" s="135" t="s">
        <v>3980</v>
      </c>
      <c r="T2545" s="136"/>
      <c r="U2545" s="135"/>
      <c r="V2545" s="135"/>
      <c r="W2545" s="135"/>
      <c r="X2545" s="135"/>
      <c r="Y2545" s="135"/>
      <c r="Z2545" s="135"/>
      <c r="AA2545" s="135"/>
      <c r="AB2545" s="135"/>
      <c r="AC2545" s="135"/>
      <c r="AD2545" s="135" t="e">
        <v>#N/A</v>
      </c>
      <c r="AE2545" s="135"/>
      <c r="AF2545" s="135"/>
      <c r="AG2545" s="135"/>
    </row>
    <row r="2546" ht="21.75" customHeight="1">
      <c r="A2546" s="135">
        <v>2542.0</v>
      </c>
      <c r="B2546" s="135">
        <v>25045.0</v>
      </c>
      <c r="C2546" s="135"/>
      <c r="D2546" s="135"/>
      <c r="E2546" s="135" t="s">
        <v>3989</v>
      </c>
      <c r="F2546" s="135" t="s">
        <v>2783</v>
      </c>
      <c r="G2546" s="135" t="s">
        <v>132</v>
      </c>
      <c r="H2546" s="135"/>
      <c r="I2546" s="135" t="s">
        <v>138</v>
      </c>
      <c r="J2546" s="135"/>
      <c r="K2546" s="135"/>
      <c r="L2546" s="135"/>
      <c r="M2546" s="135"/>
      <c r="N2546" s="135"/>
      <c r="O2546" s="135"/>
      <c r="P2546" s="136"/>
      <c r="Q2546" s="137">
        <v>0.0</v>
      </c>
      <c r="R2546" s="136">
        <v>46140.0</v>
      </c>
      <c r="S2546" s="135" t="s">
        <v>3980</v>
      </c>
      <c r="T2546" s="136"/>
      <c r="U2546" s="135"/>
      <c r="V2546" s="135"/>
      <c r="W2546" s="135"/>
      <c r="X2546" s="135"/>
      <c r="Y2546" s="135"/>
      <c r="Z2546" s="135"/>
      <c r="AA2546" s="135"/>
      <c r="AB2546" s="135"/>
      <c r="AC2546" s="135"/>
      <c r="AD2546" s="135" t="e">
        <v>#N/A</v>
      </c>
      <c r="AE2546" s="135"/>
      <c r="AF2546" s="135"/>
      <c r="AG2546" s="135"/>
    </row>
    <row r="2547" ht="21.75" customHeight="1">
      <c r="A2547" s="135">
        <v>2543.0</v>
      </c>
      <c r="B2547" s="135">
        <v>25045.0</v>
      </c>
      <c r="C2547" s="135"/>
      <c r="D2547" s="135"/>
      <c r="E2547" s="135" t="s">
        <v>3989</v>
      </c>
      <c r="F2547" s="135" t="s">
        <v>2784</v>
      </c>
      <c r="G2547" s="135" t="s">
        <v>132</v>
      </c>
      <c r="H2547" s="135"/>
      <c r="I2547" s="135" t="s">
        <v>138</v>
      </c>
      <c r="J2547" s="135"/>
      <c r="K2547" s="135"/>
      <c r="L2547" s="135"/>
      <c r="M2547" s="135"/>
      <c r="N2547" s="135"/>
      <c r="O2547" s="135"/>
      <c r="P2547" s="136"/>
      <c r="Q2547" s="137">
        <v>0.0</v>
      </c>
      <c r="R2547" s="136">
        <v>46140.0</v>
      </c>
      <c r="S2547" s="135" t="s">
        <v>3980</v>
      </c>
      <c r="T2547" s="136"/>
      <c r="U2547" s="135"/>
      <c r="V2547" s="135"/>
      <c r="W2547" s="135"/>
      <c r="X2547" s="135"/>
      <c r="Y2547" s="135"/>
      <c r="Z2547" s="135"/>
      <c r="AA2547" s="135"/>
      <c r="AB2547" s="135"/>
      <c r="AC2547" s="135"/>
      <c r="AD2547" s="135" t="e">
        <v>#N/A</v>
      </c>
      <c r="AE2547" s="135"/>
      <c r="AF2547" s="135"/>
      <c r="AG2547" s="135"/>
    </row>
    <row r="2548" ht="21.75" customHeight="1">
      <c r="A2548" s="135">
        <v>2544.0</v>
      </c>
      <c r="B2548" s="135">
        <v>25045.0</v>
      </c>
      <c r="C2548" s="135"/>
      <c r="D2548" s="135"/>
      <c r="E2548" s="135" t="s">
        <v>3989</v>
      </c>
      <c r="F2548" s="135" t="s">
        <v>2785</v>
      </c>
      <c r="G2548" s="135" t="s">
        <v>132</v>
      </c>
      <c r="H2548" s="135"/>
      <c r="I2548" s="135" t="s">
        <v>138</v>
      </c>
      <c r="J2548" s="135"/>
      <c r="K2548" s="135"/>
      <c r="L2548" s="135"/>
      <c r="M2548" s="135"/>
      <c r="N2548" s="135"/>
      <c r="O2548" s="135"/>
      <c r="P2548" s="136"/>
      <c r="Q2548" s="137">
        <v>0.0</v>
      </c>
      <c r="R2548" s="136">
        <v>46140.0</v>
      </c>
      <c r="S2548" s="135" t="s">
        <v>3980</v>
      </c>
      <c r="T2548" s="136"/>
      <c r="U2548" s="135"/>
      <c r="V2548" s="135"/>
      <c r="W2548" s="135"/>
      <c r="X2548" s="135"/>
      <c r="Y2548" s="135"/>
      <c r="Z2548" s="135"/>
      <c r="AA2548" s="135"/>
      <c r="AB2548" s="135"/>
      <c r="AC2548" s="135"/>
      <c r="AD2548" s="135" t="e">
        <v>#N/A</v>
      </c>
      <c r="AE2548" s="135"/>
      <c r="AF2548" s="135"/>
      <c r="AG2548" s="135"/>
    </row>
    <row r="2549" ht="21.75" customHeight="1">
      <c r="A2549" s="135">
        <v>2545.0</v>
      </c>
      <c r="B2549" s="135">
        <v>25045.0</v>
      </c>
      <c r="C2549" s="135"/>
      <c r="D2549" s="135"/>
      <c r="E2549" s="135" t="s">
        <v>3989</v>
      </c>
      <c r="F2549" s="135" t="s">
        <v>2786</v>
      </c>
      <c r="G2549" s="135" t="s">
        <v>132</v>
      </c>
      <c r="H2549" s="135"/>
      <c r="I2549" s="135" t="s">
        <v>138</v>
      </c>
      <c r="J2549" s="135"/>
      <c r="K2549" s="135"/>
      <c r="L2549" s="135"/>
      <c r="M2549" s="135"/>
      <c r="N2549" s="135"/>
      <c r="O2549" s="135"/>
      <c r="P2549" s="136"/>
      <c r="Q2549" s="137">
        <v>0.0</v>
      </c>
      <c r="R2549" s="136">
        <v>46140.0</v>
      </c>
      <c r="S2549" s="135" t="s">
        <v>3980</v>
      </c>
      <c r="T2549" s="136"/>
      <c r="U2549" s="135"/>
      <c r="V2549" s="135"/>
      <c r="W2549" s="135"/>
      <c r="X2549" s="135"/>
      <c r="Y2549" s="135"/>
      <c r="Z2549" s="135"/>
      <c r="AA2549" s="135"/>
      <c r="AB2549" s="135"/>
      <c r="AC2549" s="135"/>
      <c r="AD2549" s="135" t="e">
        <v>#N/A</v>
      </c>
      <c r="AE2549" s="135"/>
      <c r="AF2549" s="135"/>
      <c r="AG2549" s="135"/>
    </row>
    <row r="2550" ht="21.75" customHeight="1">
      <c r="A2550" s="135">
        <v>2546.0</v>
      </c>
      <c r="B2550" s="135">
        <v>25045.0</v>
      </c>
      <c r="C2550" s="135" t="s">
        <v>2817</v>
      </c>
      <c r="D2550" s="135"/>
      <c r="E2550" s="135" t="s">
        <v>3999</v>
      </c>
      <c r="F2550" s="135" t="s">
        <v>2787</v>
      </c>
      <c r="G2550" s="135" t="s">
        <v>132</v>
      </c>
      <c r="H2550" s="135"/>
      <c r="I2550" s="135" t="s">
        <v>139</v>
      </c>
      <c r="J2550" s="135"/>
      <c r="K2550" s="135"/>
      <c r="L2550" s="135"/>
      <c r="M2550" s="135"/>
      <c r="N2550" s="135"/>
      <c r="O2550" s="135"/>
      <c r="P2550" s="136"/>
      <c r="Q2550" s="137">
        <v>0.0</v>
      </c>
      <c r="R2550" s="136">
        <v>46140.0</v>
      </c>
      <c r="S2550" s="135" t="s">
        <v>3980</v>
      </c>
      <c r="T2550" s="136"/>
      <c r="U2550" s="135"/>
      <c r="V2550" s="135"/>
      <c r="W2550" s="135"/>
      <c r="X2550" s="135"/>
      <c r="Y2550" s="135"/>
      <c r="Z2550" s="135"/>
      <c r="AA2550" s="135"/>
      <c r="AB2550" s="135"/>
      <c r="AC2550" s="135"/>
      <c r="AD2550" s="135" t="e">
        <v>#N/A</v>
      </c>
      <c r="AE2550" s="135"/>
      <c r="AF2550" s="135"/>
      <c r="AG2550" s="135"/>
    </row>
    <row r="2551" ht="21.75" customHeight="1">
      <c r="A2551" s="135">
        <v>2547.0</v>
      </c>
      <c r="B2551" s="135">
        <v>25045.0</v>
      </c>
      <c r="C2551" s="135" t="s">
        <v>2817</v>
      </c>
      <c r="D2551" s="135"/>
      <c r="E2551" s="135" t="s">
        <v>3999</v>
      </c>
      <c r="F2551" s="135" t="s">
        <v>2788</v>
      </c>
      <c r="G2551" s="135" t="s">
        <v>132</v>
      </c>
      <c r="H2551" s="135"/>
      <c r="I2551" s="135" t="s">
        <v>139</v>
      </c>
      <c r="J2551" s="135"/>
      <c r="K2551" s="135"/>
      <c r="L2551" s="135"/>
      <c r="M2551" s="135"/>
      <c r="N2551" s="135"/>
      <c r="O2551" s="135"/>
      <c r="P2551" s="136"/>
      <c r="Q2551" s="137">
        <v>0.0</v>
      </c>
      <c r="R2551" s="136">
        <v>46140.0</v>
      </c>
      <c r="S2551" s="135" t="s">
        <v>3980</v>
      </c>
      <c r="T2551" s="136"/>
      <c r="U2551" s="135"/>
      <c r="V2551" s="135"/>
      <c r="W2551" s="135"/>
      <c r="X2551" s="135"/>
      <c r="Y2551" s="135"/>
      <c r="Z2551" s="135"/>
      <c r="AA2551" s="135"/>
      <c r="AB2551" s="135"/>
      <c r="AC2551" s="135"/>
      <c r="AD2551" s="135" t="e">
        <v>#N/A</v>
      </c>
      <c r="AE2551" s="135"/>
      <c r="AF2551" s="135"/>
      <c r="AG2551" s="135"/>
    </row>
    <row r="2552" ht="21.75" customHeight="1">
      <c r="A2552" s="135">
        <v>2548.0</v>
      </c>
      <c r="B2552" s="135">
        <v>25045.0</v>
      </c>
      <c r="C2552" s="135" t="s">
        <v>2817</v>
      </c>
      <c r="D2552" s="135"/>
      <c r="E2552" s="135" t="s">
        <v>3999</v>
      </c>
      <c r="F2552" s="135" t="s">
        <v>2789</v>
      </c>
      <c r="G2552" s="135" t="s">
        <v>132</v>
      </c>
      <c r="H2552" s="135"/>
      <c r="I2552" s="135" t="s">
        <v>139</v>
      </c>
      <c r="J2552" s="135"/>
      <c r="K2552" s="135"/>
      <c r="L2552" s="135"/>
      <c r="M2552" s="135"/>
      <c r="N2552" s="135"/>
      <c r="O2552" s="135"/>
      <c r="P2552" s="136"/>
      <c r="Q2552" s="137">
        <v>0.0</v>
      </c>
      <c r="R2552" s="136">
        <v>46140.0</v>
      </c>
      <c r="S2552" s="135" t="s">
        <v>3980</v>
      </c>
      <c r="T2552" s="136"/>
      <c r="U2552" s="135"/>
      <c r="V2552" s="135"/>
      <c r="W2552" s="135"/>
      <c r="X2552" s="135"/>
      <c r="Y2552" s="135"/>
      <c r="Z2552" s="135"/>
      <c r="AA2552" s="135"/>
      <c r="AB2552" s="135"/>
      <c r="AC2552" s="135"/>
      <c r="AD2552" s="135" t="e">
        <v>#N/A</v>
      </c>
      <c r="AE2552" s="135"/>
      <c r="AF2552" s="135"/>
      <c r="AG2552" s="135"/>
    </row>
    <row r="2553" ht="21.75" customHeight="1">
      <c r="A2553" s="135">
        <v>2549.0</v>
      </c>
      <c r="B2553" s="135">
        <v>25045.0</v>
      </c>
      <c r="C2553" s="135" t="s">
        <v>2817</v>
      </c>
      <c r="D2553" s="135"/>
      <c r="E2553" s="135" t="s">
        <v>3999</v>
      </c>
      <c r="F2553" s="135" t="s">
        <v>2790</v>
      </c>
      <c r="G2553" s="135" t="s">
        <v>132</v>
      </c>
      <c r="H2553" s="135"/>
      <c r="I2553" s="135" t="s">
        <v>139</v>
      </c>
      <c r="J2553" s="135"/>
      <c r="K2553" s="135"/>
      <c r="L2553" s="135"/>
      <c r="M2553" s="135"/>
      <c r="N2553" s="135"/>
      <c r="O2553" s="135"/>
      <c r="P2553" s="136"/>
      <c r="Q2553" s="137">
        <v>0.0</v>
      </c>
      <c r="R2553" s="136">
        <v>46140.0</v>
      </c>
      <c r="S2553" s="135" t="s">
        <v>3980</v>
      </c>
      <c r="T2553" s="136"/>
      <c r="U2553" s="135"/>
      <c r="V2553" s="135"/>
      <c r="W2553" s="135"/>
      <c r="X2553" s="135"/>
      <c r="Y2553" s="135"/>
      <c r="Z2553" s="135"/>
      <c r="AA2553" s="135"/>
      <c r="AB2553" s="135"/>
      <c r="AC2553" s="135"/>
      <c r="AD2553" s="135" t="e">
        <v>#N/A</v>
      </c>
      <c r="AE2553" s="135"/>
      <c r="AF2553" s="135"/>
      <c r="AG2553" s="135"/>
    </row>
    <row r="2554" ht="21.75" customHeight="1">
      <c r="A2554" s="135">
        <v>2550.0</v>
      </c>
      <c r="B2554" s="135">
        <v>25045.0</v>
      </c>
      <c r="C2554" s="135" t="s">
        <v>2817</v>
      </c>
      <c r="D2554" s="135"/>
      <c r="E2554" s="135" t="s">
        <v>3999</v>
      </c>
      <c r="F2554" s="135" t="s">
        <v>2791</v>
      </c>
      <c r="G2554" s="135" t="s">
        <v>132</v>
      </c>
      <c r="H2554" s="135"/>
      <c r="I2554" s="135" t="s">
        <v>139</v>
      </c>
      <c r="J2554" s="135"/>
      <c r="K2554" s="135"/>
      <c r="L2554" s="135"/>
      <c r="M2554" s="135"/>
      <c r="N2554" s="135"/>
      <c r="O2554" s="135"/>
      <c r="P2554" s="136"/>
      <c r="Q2554" s="137">
        <v>0.0</v>
      </c>
      <c r="R2554" s="136">
        <v>46140.0</v>
      </c>
      <c r="S2554" s="135" t="s">
        <v>3980</v>
      </c>
      <c r="T2554" s="136"/>
      <c r="U2554" s="135"/>
      <c r="V2554" s="135"/>
      <c r="W2554" s="135"/>
      <c r="X2554" s="135"/>
      <c r="Y2554" s="135"/>
      <c r="Z2554" s="135"/>
      <c r="AA2554" s="135"/>
      <c r="AB2554" s="135"/>
      <c r="AC2554" s="135"/>
      <c r="AD2554" s="135" t="e">
        <v>#N/A</v>
      </c>
      <c r="AE2554" s="135"/>
      <c r="AF2554" s="135"/>
      <c r="AG2554" s="135"/>
    </row>
    <row r="2555" ht="21.75" customHeight="1">
      <c r="A2555" s="135">
        <v>2551.0</v>
      </c>
      <c r="B2555" s="135">
        <v>25045.0</v>
      </c>
      <c r="C2555" s="135" t="s">
        <v>2817</v>
      </c>
      <c r="D2555" s="135"/>
      <c r="E2555" s="135" t="s">
        <v>3999</v>
      </c>
      <c r="F2555" s="135" t="s">
        <v>2792</v>
      </c>
      <c r="G2555" s="135" t="s">
        <v>132</v>
      </c>
      <c r="H2555" s="135"/>
      <c r="I2555" s="135" t="s">
        <v>139</v>
      </c>
      <c r="J2555" s="135"/>
      <c r="K2555" s="135"/>
      <c r="L2555" s="135"/>
      <c r="M2555" s="135"/>
      <c r="N2555" s="135"/>
      <c r="O2555" s="135"/>
      <c r="P2555" s="136"/>
      <c r="Q2555" s="137">
        <v>0.0</v>
      </c>
      <c r="R2555" s="136">
        <v>46140.0</v>
      </c>
      <c r="S2555" s="135" t="s">
        <v>3980</v>
      </c>
      <c r="T2555" s="136"/>
      <c r="U2555" s="135"/>
      <c r="V2555" s="135"/>
      <c r="W2555" s="135"/>
      <c r="X2555" s="135"/>
      <c r="Y2555" s="135"/>
      <c r="Z2555" s="135"/>
      <c r="AA2555" s="135"/>
      <c r="AB2555" s="135"/>
      <c r="AC2555" s="135"/>
      <c r="AD2555" s="135" t="e">
        <v>#N/A</v>
      </c>
      <c r="AE2555" s="135"/>
      <c r="AF2555" s="135"/>
      <c r="AG2555" s="135"/>
    </row>
    <row r="2556" ht="21.75" customHeight="1">
      <c r="A2556" s="135">
        <v>2552.0</v>
      </c>
      <c r="B2556" s="135">
        <v>25045.0</v>
      </c>
      <c r="C2556" s="135" t="s">
        <v>2817</v>
      </c>
      <c r="D2556" s="135"/>
      <c r="E2556" s="135" t="s">
        <v>3999</v>
      </c>
      <c r="F2556" s="135" t="s">
        <v>2793</v>
      </c>
      <c r="G2556" s="135" t="s">
        <v>132</v>
      </c>
      <c r="H2556" s="135"/>
      <c r="I2556" s="135" t="s">
        <v>139</v>
      </c>
      <c r="J2556" s="135"/>
      <c r="K2556" s="135"/>
      <c r="L2556" s="135"/>
      <c r="M2556" s="135"/>
      <c r="N2556" s="135"/>
      <c r="O2556" s="135"/>
      <c r="P2556" s="136"/>
      <c r="Q2556" s="137">
        <v>0.0</v>
      </c>
      <c r="R2556" s="136">
        <v>46140.0</v>
      </c>
      <c r="S2556" s="135" t="s">
        <v>3980</v>
      </c>
      <c r="T2556" s="136"/>
      <c r="U2556" s="135"/>
      <c r="V2556" s="135"/>
      <c r="W2556" s="135"/>
      <c r="X2556" s="135"/>
      <c r="Y2556" s="135"/>
      <c r="Z2556" s="135"/>
      <c r="AA2556" s="135"/>
      <c r="AB2556" s="135"/>
      <c r="AC2556" s="135"/>
      <c r="AD2556" s="135" t="e">
        <v>#N/A</v>
      </c>
      <c r="AE2556" s="135"/>
      <c r="AF2556" s="135"/>
      <c r="AG2556" s="135"/>
    </row>
    <row r="2557" ht="21.75" customHeight="1">
      <c r="A2557" s="135">
        <v>2553.0</v>
      </c>
      <c r="B2557" s="135">
        <v>25045.0</v>
      </c>
      <c r="C2557" s="135" t="s">
        <v>2817</v>
      </c>
      <c r="D2557" s="135"/>
      <c r="E2557" s="135" t="s">
        <v>3999</v>
      </c>
      <c r="F2557" s="135" t="s">
        <v>2794</v>
      </c>
      <c r="G2557" s="135" t="s">
        <v>132</v>
      </c>
      <c r="H2557" s="135"/>
      <c r="I2557" s="135" t="s">
        <v>139</v>
      </c>
      <c r="J2557" s="135"/>
      <c r="K2557" s="135"/>
      <c r="L2557" s="135"/>
      <c r="M2557" s="135"/>
      <c r="N2557" s="135"/>
      <c r="O2557" s="135"/>
      <c r="P2557" s="136"/>
      <c r="Q2557" s="137">
        <v>0.0</v>
      </c>
      <c r="R2557" s="136">
        <v>46140.0</v>
      </c>
      <c r="S2557" s="135" t="s">
        <v>3980</v>
      </c>
      <c r="T2557" s="136"/>
      <c r="U2557" s="135"/>
      <c r="V2557" s="135"/>
      <c r="W2557" s="135"/>
      <c r="X2557" s="135"/>
      <c r="Y2557" s="135"/>
      <c r="Z2557" s="135"/>
      <c r="AA2557" s="135"/>
      <c r="AB2557" s="135"/>
      <c r="AC2557" s="135"/>
      <c r="AD2557" s="135" t="e">
        <v>#N/A</v>
      </c>
      <c r="AE2557" s="135"/>
      <c r="AF2557" s="135"/>
      <c r="AG2557" s="135"/>
    </row>
    <row r="2558" ht="21.75" customHeight="1">
      <c r="A2558" s="135">
        <v>2554.0</v>
      </c>
      <c r="B2558" s="135">
        <v>25045.0</v>
      </c>
      <c r="C2558" s="135" t="s">
        <v>2817</v>
      </c>
      <c r="D2558" s="135"/>
      <c r="E2558" s="135" t="s">
        <v>3999</v>
      </c>
      <c r="F2558" s="135" t="s">
        <v>2795</v>
      </c>
      <c r="G2558" s="135" t="s">
        <v>132</v>
      </c>
      <c r="H2558" s="135"/>
      <c r="I2558" s="135" t="s">
        <v>139</v>
      </c>
      <c r="J2558" s="135"/>
      <c r="K2558" s="135"/>
      <c r="L2558" s="135"/>
      <c r="M2558" s="135"/>
      <c r="N2558" s="135"/>
      <c r="O2558" s="135"/>
      <c r="P2558" s="136"/>
      <c r="Q2558" s="137">
        <v>0.0</v>
      </c>
      <c r="R2558" s="136">
        <v>46140.0</v>
      </c>
      <c r="S2558" s="135" t="s">
        <v>3980</v>
      </c>
      <c r="T2558" s="136"/>
      <c r="U2558" s="135"/>
      <c r="V2558" s="135"/>
      <c r="W2558" s="135"/>
      <c r="X2558" s="135"/>
      <c r="Y2558" s="135"/>
      <c r="Z2558" s="135"/>
      <c r="AA2558" s="135"/>
      <c r="AB2558" s="135"/>
      <c r="AC2558" s="135"/>
      <c r="AD2558" s="135" t="e">
        <v>#N/A</v>
      </c>
      <c r="AE2558" s="135"/>
      <c r="AF2558" s="135"/>
      <c r="AG2558" s="135"/>
    </row>
    <row r="2559" ht="21.75" customHeight="1">
      <c r="A2559" s="135">
        <v>2555.0</v>
      </c>
      <c r="B2559" s="135">
        <v>25045.0</v>
      </c>
      <c r="C2559" s="135" t="s">
        <v>2817</v>
      </c>
      <c r="D2559" s="135"/>
      <c r="E2559" s="135" t="s">
        <v>3999</v>
      </c>
      <c r="F2559" s="135" t="s">
        <v>2796</v>
      </c>
      <c r="G2559" s="135" t="s">
        <v>132</v>
      </c>
      <c r="H2559" s="135"/>
      <c r="I2559" s="135" t="s">
        <v>139</v>
      </c>
      <c r="J2559" s="135"/>
      <c r="K2559" s="135"/>
      <c r="L2559" s="135"/>
      <c r="M2559" s="135"/>
      <c r="N2559" s="135"/>
      <c r="O2559" s="135"/>
      <c r="P2559" s="136"/>
      <c r="Q2559" s="137">
        <v>0.0</v>
      </c>
      <c r="R2559" s="136">
        <v>46140.0</v>
      </c>
      <c r="S2559" s="135" t="s">
        <v>3980</v>
      </c>
      <c r="T2559" s="136"/>
      <c r="U2559" s="135"/>
      <c r="V2559" s="135"/>
      <c r="W2559" s="135"/>
      <c r="X2559" s="135"/>
      <c r="Y2559" s="135"/>
      <c r="Z2559" s="135"/>
      <c r="AA2559" s="135"/>
      <c r="AB2559" s="135"/>
      <c r="AC2559" s="135"/>
      <c r="AD2559" s="135" t="e">
        <v>#N/A</v>
      </c>
      <c r="AE2559" s="135"/>
      <c r="AF2559" s="135"/>
      <c r="AG2559" s="135"/>
    </row>
    <row r="2560" ht="21.75" customHeight="1">
      <c r="A2560" s="135">
        <v>2556.0</v>
      </c>
      <c r="B2560" s="135">
        <v>25045.0</v>
      </c>
      <c r="C2560" s="135" t="s">
        <v>2817</v>
      </c>
      <c r="D2560" s="135"/>
      <c r="E2560" s="135" t="s">
        <v>3999</v>
      </c>
      <c r="F2560" s="135" t="s">
        <v>2797</v>
      </c>
      <c r="G2560" s="135" t="s">
        <v>132</v>
      </c>
      <c r="H2560" s="135"/>
      <c r="I2560" s="135" t="s">
        <v>139</v>
      </c>
      <c r="J2560" s="135"/>
      <c r="K2560" s="135"/>
      <c r="L2560" s="135"/>
      <c r="M2560" s="135"/>
      <c r="N2560" s="135"/>
      <c r="O2560" s="135"/>
      <c r="P2560" s="136"/>
      <c r="Q2560" s="137">
        <v>0.0</v>
      </c>
      <c r="R2560" s="136">
        <v>46140.0</v>
      </c>
      <c r="S2560" s="135" t="s">
        <v>3980</v>
      </c>
      <c r="T2560" s="136"/>
      <c r="U2560" s="135"/>
      <c r="V2560" s="135"/>
      <c r="W2560" s="135"/>
      <c r="X2560" s="135"/>
      <c r="Y2560" s="135"/>
      <c r="Z2560" s="135"/>
      <c r="AA2560" s="135"/>
      <c r="AB2560" s="135"/>
      <c r="AC2560" s="135"/>
      <c r="AD2560" s="135" t="e">
        <v>#N/A</v>
      </c>
      <c r="AE2560" s="135"/>
      <c r="AF2560" s="135"/>
      <c r="AG2560" s="135"/>
    </row>
    <row r="2561" ht="21.75" customHeight="1">
      <c r="A2561" s="135">
        <v>2557.0</v>
      </c>
      <c r="B2561" s="135">
        <v>25045.0</v>
      </c>
      <c r="C2561" s="135" t="s">
        <v>2817</v>
      </c>
      <c r="D2561" s="135"/>
      <c r="E2561" s="135" t="s">
        <v>3999</v>
      </c>
      <c r="F2561" s="135" t="s">
        <v>2798</v>
      </c>
      <c r="G2561" s="135" t="s">
        <v>132</v>
      </c>
      <c r="H2561" s="135"/>
      <c r="I2561" s="135" t="s">
        <v>139</v>
      </c>
      <c r="J2561" s="135"/>
      <c r="K2561" s="135"/>
      <c r="L2561" s="135"/>
      <c r="M2561" s="135"/>
      <c r="N2561" s="135"/>
      <c r="O2561" s="135"/>
      <c r="P2561" s="136"/>
      <c r="Q2561" s="137">
        <v>0.0</v>
      </c>
      <c r="R2561" s="136">
        <v>46140.0</v>
      </c>
      <c r="S2561" s="135" t="s">
        <v>3980</v>
      </c>
      <c r="T2561" s="136"/>
      <c r="U2561" s="135"/>
      <c r="V2561" s="135"/>
      <c r="W2561" s="135"/>
      <c r="X2561" s="135"/>
      <c r="Y2561" s="135"/>
      <c r="Z2561" s="135"/>
      <c r="AA2561" s="135"/>
      <c r="AB2561" s="135"/>
      <c r="AC2561" s="135"/>
      <c r="AD2561" s="135" t="e">
        <v>#N/A</v>
      </c>
      <c r="AE2561" s="135"/>
      <c r="AF2561" s="135"/>
      <c r="AG2561" s="135"/>
    </row>
    <row r="2562" ht="21.75" customHeight="1">
      <c r="A2562" s="135">
        <v>2558.0</v>
      </c>
      <c r="B2562" s="135">
        <v>25045.0</v>
      </c>
      <c r="C2562" s="135" t="s">
        <v>2817</v>
      </c>
      <c r="D2562" s="135"/>
      <c r="E2562" s="135" t="s">
        <v>3999</v>
      </c>
      <c r="F2562" s="135" t="s">
        <v>2799</v>
      </c>
      <c r="G2562" s="135" t="s">
        <v>132</v>
      </c>
      <c r="H2562" s="135"/>
      <c r="I2562" s="135" t="s">
        <v>139</v>
      </c>
      <c r="J2562" s="135"/>
      <c r="K2562" s="135"/>
      <c r="L2562" s="135"/>
      <c r="M2562" s="135"/>
      <c r="N2562" s="135"/>
      <c r="O2562" s="135"/>
      <c r="P2562" s="136"/>
      <c r="Q2562" s="137">
        <v>0.0</v>
      </c>
      <c r="R2562" s="136">
        <v>46140.0</v>
      </c>
      <c r="S2562" s="135" t="s">
        <v>3980</v>
      </c>
      <c r="T2562" s="136"/>
      <c r="U2562" s="135"/>
      <c r="V2562" s="135"/>
      <c r="W2562" s="135"/>
      <c r="X2562" s="135"/>
      <c r="Y2562" s="135"/>
      <c r="Z2562" s="135"/>
      <c r="AA2562" s="135"/>
      <c r="AB2562" s="135"/>
      <c r="AC2562" s="135"/>
      <c r="AD2562" s="135" t="e">
        <v>#N/A</v>
      </c>
      <c r="AE2562" s="135"/>
      <c r="AF2562" s="135"/>
      <c r="AG2562" s="135"/>
    </row>
    <row r="2563" ht="21.75" customHeight="1">
      <c r="A2563" s="135">
        <v>2559.0</v>
      </c>
      <c r="B2563" s="135">
        <v>25045.0</v>
      </c>
      <c r="C2563" s="135"/>
      <c r="D2563" s="135"/>
      <c r="E2563" s="135" t="s">
        <v>3999</v>
      </c>
      <c r="F2563" s="135" t="s">
        <v>2800</v>
      </c>
      <c r="G2563" s="135" t="s">
        <v>132</v>
      </c>
      <c r="H2563" s="135"/>
      <c r="I2563" s="135" t="s">
        <v>139</v>
      </c>
      <c r="J2563" s="135"/>
      <c r="K2563" s="135"/>
      <c r="L2563" s="135"/>
      <c r="M2563" s="135"/>
      <c r="N2563" s="135"/>
      <c r="O2563" s="135"/>
      <c r="P2563" s="136"/>
      <c r="Q2563" s="137">
        <v>0.0</v>
      </c>
      <c r="R2563" s="136">
        <v>46140.0</v>
      </c>
      <c r="S2563" s="135" t="s">
        <v>3980</v>
      </c>
      <c r="T2563" s="136"/>
      <c r="U2563" s="135"/>
      <c r="V2563" s="135"/>
      <c r="W2563" s="135"/>
      <c r="X2563" s="135"/>
      <c r="Y2563" s="135"/>
      <c r="Z2563" s="135"/>
      <c r="AA2563" s="135"/>
      <c r="AB2563" s="135"/>
      <c r="AC2563" s="135"/>
      <c r="AD2563" s="135" t="e">
        <v>#N/A</v>
      </c>
      <c r="AE2563" s="135"/>
      <c r="AF2563" s="135"/>
      <c r="AG2563" s="135"/>
    </row>
    <row r="2564" ht="21.75" customHeight="1">
      <c r="A2564" s="135">
        <v>2560.0</v>
      </c>
      <c r="B2564" s="135">
        <v>25045.0</v>
      </c>
      <c r="C2564" s="135"/>
      <c r="D2564" s="135"/>
      <c r="E2564" s="135" t="s">
        <v>3999</v>
      </c>
      <c r="F2564" s="135" t="s">
        <v>2801</v>
      </c>
      <c r="G2564" s="135" t="s">
        <v>132</v>
      </c>
      <c r="H2564" s="135"/>
      <c r="I2564" s="135" t="s">
        <v>139</v>
      </c>
      <c r="J2564" s="135"/>
      <c r="K2564" s="135"/>
      <c r="L2564" s="135"/>
      <c r="M2564" s="135"/>
      <c r="N2564" s="135"/>
      <c r="O2564" s="135"/>
      <c r="P2564" s="136"/>
      <c r="Q2564" s="137">
        <v>0.0</v>
      </c>
      <c r="R2564" s="136">
        <v>46140.0</v>
      </c>
      <c r="S2564" s="135" t="s">
        <v>3980</v>
      </c>
      <c r="T2564" s="136"/>
      <c r="U2564" s="135"/>
      <c r="V2564" s="135"/>
      <c r="W2564" s="135"/>
      <c r="X2564" s="135"/>
      <c r="Y2564" s="135"/>
      <c r="Z2564" s="135"/>
      <c r="AA2564" s="135"/>
      <c r="AB2564" s="135"/>
      <c r="AC2564" s="135"/>
      <c r="AD2564" s="135" t="e">
        <v>#N/A</v>
      </c>
      <c r="AE2564" s="135"/>
      <c r="AF2564" s="135"/>
      <c r="AG2564" s="135"/>
    </row>
    <row r="2565" ht="21.75" customHeight="1">
      <c r="A2565" s="135">
        <v>2561.0</v>
      </c>
      <c r="B2565" s="135">
        <v>25045.0</v>
      </c>
      <c r="C2565" s="135" t="s">
        <v>2817</v>
      </c>
      <c r="D2565" s="135"/>
      <c r="E2565" s="135" t="s">
        <v>3999</v>
      </c>
      <c r="F2565" s="135" t="s">
        <v>2802</v>
      </c>
      <c r="G2565" s="135" t="s">
        <v>132</v>
      </c>
      <c r="H2565" s="135"/>
      <c r="I2565" s="135" t="s">
        <v>139</v>
      </c>
      <c r="J2565" s="135"/>
      <c r="K2565" s="135"/>
      <c r="L2565" s="135"/>
      <c r="M2565" s="135"/>
      <c r="N2565" s="135"/>
      <c r="O2565" s="135"/>
      <c r="P2565" s="136"/>
      <c r="Q2565" s="137">
        <v>0.0</v>
      </c>
      <c r="R2565" s="136">
        <v>46140.0</v>
      </c>
      <c r="S2565" s="135" t="s">
        <v>3980</v>
      </c>
      <c r="T2565" s="136"/>
      <c r="U2565" s="135"/>
      <c r="V2565" s="135"/>
      <c r="W2565" s="135"/>
      <c r="X2565" s="135"/>
      <c r="Y2565" s="135"/>
      <c r="Z2565" s="135"/>
      <c r="AA2565" s="135"/>
      <c r="AB2565" s="135"/>
      <c r="AC2565" s="135"/>
      <c r="AD2565" s="135" t="e">
        <v>#N/A</v>
      </c>
      <c r="AE2565" s="135"/>
      <c r="AF2565" s="135"/>
      <c r="AG2565" s="135"/>
    </row>
    <row r="2566" ht="21.75" customHeight="1">
      <c r="A2566" s="135">
        <v>2562.0</v>
      </c>
      <c r="B2566" s="135">
        <v>25045.0</v>
      </c>
      <c r="C2566" s="135"/>
      <c r="D2566" s="135"/>
      <c r="E2566" s="135" t="s">
        <v>3999</v>
      </c>
      <c r="F2566" s="135" t="s">
        <v>2803</v>
      </c>
      <c r="G2566" s="135" t="s">
        <v>132</v>
      </c>
      <c r="H2566" s="135"/>
      <c r="I2566" s="135" t="s">
        <v>139</v>
      </c>
      <c r="J2566" s="135"/>
      <c r="K2566" s="135"/>
      <c r="L2566" s="135"/>
      <c r="M2566" s="135"/>
      <c r="N2566" s="135"/>
      <c r="O2566" s="135"/>
      <c r="P2566" s="136"/>
      <c r="Q2566" s="137">
        <v>0.0</v>
      </c>
      <c r="R2566" s="136">
        <v>46140.0</v>
      </c>
      <c r="S2566" s="135" t="s">
        <v>3980</v>
      </c>
      <c r="T2566" s="136"/>
      <c r="U2566" s="135"/>
      <c r="V2566" s="135"/>
      <c r="W2566" s="135"/>
      <c r="X2566" s="135"/>
      <c r="Y2566" s="135"/>
      <c r="Z2566" s="135"/>
      <c r="AA2566" s="135"/>
      <c r="AB2566" s="135"/>
      <c r="AC2566" s="135"/>
      <c r="AD2566" s="135" t="e">
        <v>#N/A</v>
      </c>
      <c r="AE2566" s="135"/>
      <c r="AF2566" s="135"/>
      <c r="AG2566" s="135"/>
    </row>
    <row r="2567" ht="21.75" customHeight="1">
      <c r="A2567" s="135">
        <v>2563.0</v>
      </c>
      <c r="B2567" s="135">
        <v>25045.0</v>
      </c>
      <c r="C2567" s="135"/>
      <c r="D2567" s="135"/>
      <c r="E2567" s="135" t="s">
        <v>3999</v>
      </c>
      <c r="F2567" s="135" t="s">
        <v>2804</v>
      </c>
      <c r="G2567" s="135" t="s">
        <v>132</v>
      </c>
      <c r="H2567" s="135"/>
      <c r="I2567" s="135" t="s">
        <v>139</v>
      </c>
      <c r="J2567" s="135"/>
      <c r="K2567" s="135"/>
      <c r="L2567" s="135"/>
      <c r="M2567" s="135"/>
      <c r="N2567" s="135"/>
      <c r="O2567" s="135"/>
      <c r="P2567" s="136"/>
      <c r="Q2567" s="137">
        <v>0.0</v>
      </c>
      <c r="R2567" s="136">
        <v>46140.0</v>
      </c>
      <c r="S2567" s="135" t="s">
        <v>3980</v>
      </c>
      <c r="T2567" s="136"/>
      <c r="U2567" s="135"/>
      <c r="V2567" s="135"/>
      <c r="W2567" s="135"/>
      <c r="X2567" s="135"/>
      <c r="Y2567" s="135"/>
      <c r="Z2567" s="135"/>
      <c r="AA2567" s="135"/>
      <c r="AB2567" s="135"/>
      <c r="AC2567" s="135"/>
      <c r="AD2567" s="135" t="e">
        <v>#N/A</v>
      </c>
      <c r="AE2567" s="135"/>
      <c r="AF2567" s="135"/>
      <c r="AG2567" s="135"/>
    </row>
    <row r="2568" ht="21.75" customHeight="1">
      <c r="A2568" s="135">
        <v>2564.0</v>
      </c>
      <c r="B2568" s="135">
        <v>25045.0</v>
      </c>
      <c r="C2568" s="135"/>
      <c r="D2568" s="135"/>
      <c r="E2568" s="135" t="s">
        <v>3999</v>
      </c>
      <c r="F2568" s="135" t="s">
        <v>2805</v>
      </c>
      <c r="G2568" s="135" t="s">
        <v>132</v>
      </c>
      <c r="H2568" s="135"/>
      <c r="I2568" s="135" t="s">
        <v>139</v>
      </c>
      <c r="J2568" s="135"/>
      <c r="K2568" s="135"/>
      <c r="L2568" s="135"/>
      <c r="M2568" s="135"/>
      <c r="N2568" s="135"/>
      <c r="O2568" s="135"/>
      <c r="P2568" s="136"/>
      <c r="Q2568" s="137">
        <v>0.0</v>
      </c>
      <c r="R2568" s="136">
        <v>46140.0</v>
      </c>
      <c r="S2568" s="135" t="s">
        <v>3980</v>
      </c>
      <c r="T2568" s="136"/>
      <c r="U2568" s="135"/>
      <c r="V2568" s="135"/>
      <c r="W2568" s="135"/>
      <c r="X2568" s="135"/>
      <c r="Y2568" s="135"/>
      <c r="Z2568" s="135"/>
      <c r="AA2568" s="135"/>
      <c r="AB2568" s="135"/>
      <c r="AC2568" s="135"/>
      <c r="AD2568" s="135" t="e">
        <v>#N/A</v>
      </c>
      <c r="AE2568" s="135"/>
      <c r="AF2568" s="135"/>
      <c r="AG2568" s="135"/>
    </row>
    <row r="2569" ht="21.75" customHeight="1">
      <c r="A2569" s="135">
        <v>2565.0</v>
      </c>
      <c r="B2569" s="135">
        <v>25045.0</v>
      </c>
      <c r="C2569" s="135"/>
      <c r="D2569" s="135"/>
      <c r="E2569" s="135" t="s">
        <v>3999</v>
      </c>
      <c r="F2569" s="135" t="s">
        <v>2806</v>
      </c>
      <c r="G2569" s="135" t="s">
        <v>132</v>
      </c>
      <c r="H2569" s="135"/>
      <c r="I2569" s="135" t="s">
        <v>139</v>
      </c>
      <c r="J2569" s="135"/>
      <c r="K2569" s="135"/>
      <c r="L2569" s="135"/>
      <c r="M2569" s="135"/>
      <c r="N2569" s="135"/>
      <c r="O2569" s="135"/>
      <c r="P2569" s="136"/>
      <c r="Q2569" s="137">
        <v>0.0</v>
      </c>
      <c r="R2569" s="136">
        <v>46140.0</v>
      </c>
      <c r="S2569" s="135" t="s">
        <v>3980</v>
      </c>
      <c r="T2569" s="136"/>
      <c r="U2569" s="135"/>
      <c r="V2569" s="135"/>
      <c r="W2569" s="135"/>
      <c r="X2569" s="135"/>
      <c r="Y2569" s="135"/>
      <c r="Z2569" s="135"/>
      <c r="AA2569" s="135"/>
      <c r="AB2569" s="135"/>
      <c r="AC2569" s="135"/>
      <c r="AD2569" s="135" t="e">
        <v>#N/A</v>
      </c>
      <c r="AE2569" s="135"/>
      <c r="AF2569" s="135"/>
      <c r="AG2569" s="135"/>
    </row>
    <row r="2570" ht="21.75" customHeight="1">
      <c r="A2570" s="135">
        <v>2566.0</v>
      </c>
      <c r="B2570" s="135">
        <v>25045.0</v>
      </c>
      <c r="C2570" s="135"/>
      <c r="D2570" s="135"/>
      <c r="E2570" s="135" t="s">
        <v>3999</v>
      </c>
      <c r="F2570" s="135" t="s">
        <v>2807</v>
      </c>
      <c r="G2570" s="135" t="s">
        <v>132</v>
      </c>
      <c r="H2570" s="135"/>
      <c r="I2570" s="135" t="s">
        <v>139</v>
      </c>
      <c r="J2570" s="135"/>
      <c r="K2570" s="135"/>
      <c r="L2570" s="135"/>
      <c r="M2570" s="135"/>
      <c r="N2570" s="135"/>
      <c r="O2570" s="135"/>
      <c r="P2570" s="136"/>
      <c r="Q2570" s="137">
        <v>0.0</v>
      </c>
      <c r="R2570" s="136">
        <v>46140.0</v>
      </c>
      <c r="S2570" s="135" t="s">
        <v>3980</v>
      </c>
      <c r="T2570" s="136"/>
      <c r="U2570" s="135"/>
      <c r="V2570" s="135"/>
      <c r="W2570" s="135"/>
      <c r="X2570" s="135"/>
      <c r="Y2570" s="135"/>
      <c r="Z2570" s="135"/>
      <c r="AA2570" s="135"/>
      <c r="AB2570" s="135"/>
      <c r="AC2570" s="135"/>
      <c r="AD2570" s="135" t="e">
        <v>#N/A</v>
      </c>
      <c r="AE2570" s="135"/>
      <c r="AF2570" s="135"/>
      <c r="AG2570" s="135"/>
    </row>
    <row r="2571" ht="21.75" customHeight="1">
      <c r="A2571" s="135">
        <v>2567.0</v>
      </c>
      <c r="B2571" s="135">
        <v>25045.0</v>
      </c>
      <c r="C2571" s="135"/>
      <c r="D2571" s="135"/>
      <c r="E2571" s="135" t="s">
        <v>3999</v>
      </c>
      <c r="F2571" s="135" t="s">
        <v>2808</v>
      </c>
      <c r="G2571" s="135" t="s">
        <v>132</v>
      </c>
      <c r="H2571" s="135"/>
      <c r="I2571" s="135" t="s">
        <v>139</v>
      </c>
      <c r="J2571" s="135"/>
      <c r="K2571" s="135"/>
      <c r="L2571" s="135"/>
      <c r="M2571" s="135"/>
      <c r="N2571" s="135"/>
      <c r="O2571" s="135"/>
      <c r="P2571" s="136"/>
      <c r="Q2571" s="137">
        <v>0.0</v>
      </c>
      <c r="R2571" s="136">
        <v>46140.0</v>
      </c>
      <c r="S2571" s="135" t="s">
        <v>3980</v>
      </c>
      <c r="T2571" s="136"/>
      <c r="U2571" s="135"/>
      <c r="V2571" s="135"/>
      <c r="W2571" s="135"/>
      <c r="X2571" s="135"/>
      <c r="Y2571" s="135"/>
      <c r="Z2571" s="135"/>
      <c r="AA2571" s="135"/>
      <c r="AB2571" s="135"/>
      <c r="AC2571" s="135"/>
      <c r="AD2571" s="135" t="e">
        <v>#N/A</v>
      </c>
      <c r="AE2571" s="135"/>
      <c r="AF2571" s="135"/>
      <c r="AG2571" s="135"/>
    </row>
    <row r="2572" ht="21.75" customHeight="1">
      <c r="A2572" s="135">
        <v>2568.0</v>
      </c>
      <c r="B2572" s="135">
        <v>25045.0</v>
      </c>
      <c r="C2572" s="135"/>
      <c r="D2572" s="135"/>
      <c r="E2572" s="135" t="s">
        <v>3999</v>
      </c>
      <c r="F2572" s="135" t="s">
        <v>2809</v>
      </c>
      <c r="G2572" s="135" t="s">
        <v>132</v>
      </c>
      <c r="H2572" s="135"/>
      <c r="I2572" s="135" t="s">
        <v>139</v>
      </c>
      <c r="J2572" s="135"/>
      <c r="K2572" s="135"/>
      <c r="L2572" s="135"/>
      <c r="M2572" s="135"/>
      <c r="N2572" s="135"/>
      <c r="O2572" s="135"/>
      <c r="P2572" s="136"/>
      <c r="Q2572" s="137">
        <v>0.0</v>
      </c>
      <c r="R2572" s="136">
        <v>46140.0</v>
      </c>
      <c r="S2572" s="135" t="s">
        <v>3980</v>
      </c>
      <c r="T2572" s="136"/>
      <c r="U2572" s="135"/>
      <c r="V2572" s="135"/>
      <c r="W2572" s="135"/>
      <c r="X2572" s="135"/>
      <c r="Y2572" s="135"/>
      <c r="Z2572" s="135"/>
      <c r="AA2572" s="135"/>
      <c r="AB2572" s="135"/>
      <c r="AC2572" s="135"/>
      <c r="AD2572" s="135" t="e">
        <v>#N/A</v>
      </c>
      <c r="AE2572" s="135"/>
      <c r="AF2572" s="135"/>
      <c r="AG2572" s="135"/>
    </row>
    <row r="2573" ht="21.75" customHeight="1">
      <c r="A2573" s="135">
        <v>2569.0</v>
      </c>
      <c r="B2573" s="135">
        <v>25045.0</v>
      </c>
      <c r="C2573" s="135"/>
      <c r="D2573" s="135"/>
      <c r="E2573" s="135" t="s">
        <v>3999</v>
      </c>
      <c r="F2573" s="135" t="s">
        <v>2810</v>
      </c>
      <c r="G2573" s="135" t="s">
        <v>132</v>
      </c>
      <c r="H2573" s="135"/>
      <c r="I2573" s="135" t="s">
        <v>139</v>
      </c>
      <c r="J2573" s="135"/>
      <c r="K2573" s="135"/>
      <c r="L2573" s="135"/>
      <c r="M2573" s="135"/>
      <c r="N2573" s="135"/>
      <c r="O2573" s="135"/>
      <c r="P2573" s="136"/>
      <c r="Q2573" s="137">
        <v>0.0</v>
      </c>
      <c r="R2573" s="136">
        <v>46140.0</v>
      </c>
      <c r="S2573" s="135" t="s">
        <v>3980</v>
      </c>
      <c r="T2573" s="136"/>
      <c r="U2573" s="135"/>
      <c r="V2573" s="135"/>
      <c r="W2573" s="135"/>
      <c r="X2573" s="135"/>
      <c r="Y2573" s="135"/>
      <c r="Z2573" s="135"/>
      <c r="AA2573" s="135"/>
      <c r="AB2573" s="135"/>
      <c r="AC2573" s="135"/>
      <c r="AD2573" s="135" t="e">
        <v>#N/A</v>
      </c>
      <c r="AE2573" s="135"/>
      <c r="AF2573" s="135"/>
      <c r="AG2573" s="135"/>
    </row>
    <row r="2574" ht="21.75" customHeight="1">
      <c r="A2574" s="135">
        <v>2570.0</v>
      </c>
      <c r="B2574" s="135">
        <v>25045.0</v>
      </c>
      <c r="C2574" s="135"/>
      <c r="D2574" s="135"/>
      <c r="E2574" s="135" t="s">
        <v>3999</v>
      </c>
      <c r="F2574" s="135" t="s">
        <v>2811</v>
      </c>
      <c r="G2574" s="135" t="s">
        <v>132</v>
      </c>
      <c r="H2574" s="135"/>
      <c r="I2574" s="135" t="s">
        <v>139</v>
      </c>
      <c r="J2574" s="135"/>
      <c r="K2574" s="135"/>
      <c r="L2574" s="135"/>
      <c r="M2574" s="135"/>
      <c r="N2574" s="135"/>
      <c r="O2574" s="135"/>
      <c r="P2574" s="136"/>
      <c r="Q2574" s="137">
        <v>0.0</v>
      </c>
      <c r="R2574" s="136">
        <v>46140.0</v>
      </c>
      <c r="S2574" s="135" t="s">
        <v>3980</v>
      </c>
      <c r="T2574" s="136"/>
      <c r="U2574" s="135"/>
      <c r="V2574" s="135"/>
      <c r="W2574" s="135"/>
      <c r="X2574" s="135"/>
      <c r="Y2574" s="135"/>
      <c r="Z2574" s="135"/>
      <c r="AA2574" s="135"/>
      <c r="AB2574" s="135"/>
      <c r="AC2574" s="135"/>
      <c r="AD2574" s="135" t="e">
        <v>#N/A</v>
      </c>
      <c r="AE2574" s="135"/>
      <c r="AF2574" s="135"/>
      <c r="AG2574" s="135"/>
    </row>
    <row r="2575" ht="21.75" customHeight="1">
      <c r="A2575" s="135">
        <v>2571.0</v>
      </c>
      <c r="B2575" s="135">
        <v>25045.0</v>
      </c>
      <c r="C2575" s="135"/>
      <c r="D2575" s="135"/>
      <c r="E2575" s="135" t="s">
        <v>3999</v>
      </c>
      <c r="F2575" s="135" t="s">
        <v>2812</v>
      </c>
      <c r="G2575" s="135" t="s">
        <v>132</v>
      </c>
      <c r="H2575" s="135"/>
      <c r="I2575" s="135" t="s">
        <v>139</v>
      </c>
      <c r="J2575" s="135"/>
      <c r="K2575" s="135"/>
      <c r="L2575" s="135"/>
      <c r="M2575" s="135"/>
      <c r="N2575" s="135"/>
      <c r="O2575" s="135"/>
      <c r="P2575" s="136"/>
      <c r="Q2575" s="137">
        <v>0.0</v>
      </c>
      <c r="R2575" s="136">
        <v>46140.0</v>
      </c>
      <c r="S2575" s="135" t="s">
        <v>3980</v>
      </c>
      <c r="T2575" s="136"/>
      <c r="U2575" s="135"/>
      <c r="V2575" s="135"/>
      <c r="W2575" s="135"/>
      <c r="X2575" s="135"/>
      <c r="Y2575" s="135"/>
      <c r="Z2575" s="135"/>
      <c r="AA2575" s="135"/>
      <c r="AB2575" s="135"/>
      <c r="AC2575" s="135"/>
      <c r="AD2575" s="135" t="e">
        <v>#N/A</v>
      </c>
      <c r="AE2575" s="135"/>
      <c r="AF2575" s="135"/>
      <c r="AG2575" s="135"/>
    </row>
    <row r="2576" ht="21.75" customHeight="1">
      <c r="A2576" s="135">
        <v>2572.0</v>
      </c>
      <c r="B2576" s="135">
        <v>25045.0</v>
      </c>
      <c r="C2576" s="135"/>
      <c r="D2576" s="135"/>
      <c r="E2576" s="135" t="s">
        <v>3999</v>
      </c>
      <c r="F2576" s="135" t="s">
        <v>2813</v>
      </c>
      <c r="G2576" s="135" t="s">
        <v>132</v>
      </c>
      <c r="H2576" s="135"/>
      <c r="I2576" s="135" t="s">
        <v>139</v>
      </c>
      <c r="J2576" s="135"/>
      <c r="K2576" s="135"/>
      <c r="L2576" s="135"/>
      <c r="M2576" s="135"/>
      <c r="N2576" s="135"/>
      <c r="O2576" s="135"/>
      <c r="P2576" s="136"/>
      <c r="Q2576" s="137">
        <v>0.0</v>
      </c>
      <c r="R2576" s="136">
        <v>46140.0</v>
      </c>
      <c r="S2576" s="135" t="s">
        <v>3980</v>
      </c>
      <c r="T2576" s="136"/>
      <c r="U2576" s="135"/>
      <c r="V2576" s="135"/>
      <c r="W2576" s="135"/>
      <c r="X2576" s="135"/>
      <c r="Y2576" s="135"/>
      <c r="Z2576" s="135"/>
      <c r="AA2576" s="135"/>
      <c r="AB2576" s="135"/>
      <c r="AC2576" s="135"/>
      <c r="AD2576" s="135" t="e">
        <v>#N/A</v>
      </c>
      <c r="AE2576" s="135"/>
      <c r="AF2576" s="135"/>
      <c r="AG2576" s="135"/>
    </row>
    <row r="2577" ht="21.75" customHeight="1">
      <c r="A2577" s="135">
        <v>2573.0</v>
      </c>
      <c r="B2577" s="135">
        <v>25045.0</v>
      </c>
      <c r="C2577" s="135"/>
      <c r="D2577" s="135"/>
      <c r="E2577" s="135" t="s">
        <v>3999</v>
      </c>
      <c r="F2577" s="135" t="s">
        <v>2814</v>
      </c>
      <c r="G2577" s="135" t="s">
        <v>132</v>
      </c>
      <c r="H2577" s="135"/>
      <c r="I2577" s="135" t="s">
        <v>139</v>
      </c>
      <c r="J2577" s="135">
        <v>1.0</v>
      </c>
      <c r="K2577" s="135"/>
      <c r="L2577" s="135"/>
      <c r="M2577" s="135"/>
      <c r="N2577" s="135"/>
      <c r="O2577" s="135">
        <v>0.89</v>
      </c>
      <c r="P2577" s="136"/>
      <c r="Q2577" s="137">
        <v>2.225</v>
      </c>
      <c r="R2577" s="136">
        <v>46140.0</v>
      </c>
      <c r="S2577" s="135" t="s">
        <v>3980</v>
      </c>
      <c r="T2577" s="136"/>
      <c r="U2577" s="135"/>
      <c r="V2577" s="135"/>
      <c r="W2577" s="135"/>
      <c r="X2577" s="135"/>
      <c r="Y2577" s="135"/>
      <c r="Z2577" s="135"/>
      <c r="AA2577" s="135"/>
      <c r="AB2577" s="135"/>
      <c r="AC2577" s="135"/>
      <c r="AD2577" s="135">
        <v>46151.0</v>
      </c>
      <c r="AE2577" s="135"/>
      <c r="AF2577" s="135"/>
      <c r="AG2577" s="135"/>
    </row>
    <row r="2578" ht="21.75" customHeight="1">
      <c r="A2578" s="135">
        <v>2574.0</v>
      </c>
      <c r="B2578" s="135">
        <v>25045.0</v>
      </c>
      <c r="C2578" s="135"/>
      <c r="D2578" s="135"/>
      <c r="E2578" s="135" t="s">
        <v>3999</v>
      </c>
      <c r="F2578" s="135" t="s">
        <v>2815</v>
      </c>
      <c r="G2578" s="135" t="s">
        <v>132</v>
      </c>
      <c r="H2578" s="135"/>
      <c r="I2578" s="135" t="s">
        <v>139</v>
      </c>
      <c r="J2578" s="135"/>
      <c r="K2578" s="135"/>
      <c r="L2578" s="135"/>
      <c r="M2578" s="135"/>
      <c r="N2578" s="135"/>
      <c r="O2578" s="135"/>
      <c r="P2578" s="136"/>
      <c r="Q2578" s="137">
        <v>0.0</v>
      </c>
      <c r="R2578" s="136">
        <v>46140.0</v>
      </c>
      <c r="S2578" s="135" t="s">
        <v>3980</v>
      </c>
      <c r="T2578" s="136"/>
      <c r="U2578" s="135"/>
      <c r="V2578" s="135"/>
      <c r="W2578" s="135"/>
      <c r="X2578" s="135"/>
      <c r="Y2578" s="135"/>
      <c r="Z2578" s="135"/>
      <c r="AA2578" s="135"/>
      <c r="AB2578" s="135"/>
      <c r="AC2578" s="135"/>
      <c r="AD2578" s="135" t="e">
        <v>#N/A</v>
      </c>
      <c r="AE2578" s="135"/>
      <c r="AF2578" s="135"/>
      <c r="AG2578" s="135"/>
    </row>
    <row r="2579" ht="21.75" customHeight="1">
      <c r="A2579" s="135">
        <v>2575.0</v>
      </c>
      <c r="B2579" s="135">
        <v>25045.0</v>
      </c>
      <c r="C2579" s="135"/>
      <c r="D2579" s="135"/>
      <c r="E2579" s="135" t="s">
        <v>3999</v>
      </c>
      <c r="F2579" s="135" t="s">
        <v>2816</v>
      </c>
      <c r="G2579" s="135" t="s">
        <v>132</v>
      </c>
      <c r="H2579" s="135"/>
      <c r="I2579" s="135" t="s">
        <v>139</v>
      </c>
      <c r="J2579" s="135"/>
      <c r="K2579" s="135"/>
      <c r="L2579" s="135"/>
      <c r="M2579" s="135"/>
      <c r="N2579" s="135"/>
      <c r="O2579" s="135"/>
      <c r="P2579" s="136"/>
      <c r="Q2579" s="137">
        <v>0.0</v>
      </c>
      <c r="R2579" s="136">
        <v>46140.0</v>
      </c>
      <c r="S2579" s="135" t="s">
        <v>3980</v>
      </c>
      <c r="T2579" s="136"/>
      <c r="U2579" s="135"/>
      <c r="V2579" s="135"/>
      <c r="W2579" s="135"/>
      <c r="X2579" s="135"/>
      <c r="Y2579" s="135"/>
      <c r="Z2579" s="135"/>
      <c r="AA2579" s="135"/>
      <c r="AB2579" s="135"/>
      <c r="AC2579" s="135"/>
      <c r="AD2579" s="135" t="e">
        <v>#N/A</v>
      </c>
      <c r="AE2579" s="135"/>
      <c r="AF2579" s="135"/>
      <c r="AG2579" s="135"/>
    </row>
  </sheetData>
  <autoFilter ref="$A$4:$AG$2579">
    <filterColumn colId="6">
      <filters>
        <filter val="J3B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14.67"/>
    <col customWidth="1" min="2" max="2" width="29.5"/>
    <col customWidth="1" min="3" max="10" width="10.67"/>
  </cols>
  <sheetData>
    <row r="1">
      <c r="A1" s="142" t="s">
        <v>4000</v>
      </c>
      <c r="B1" s="143" t="s">
        <v>2826</v>
      </c>
      <c r="C1" s="144" t="s">
        <v>4001</v>
      </c>
      <c r="D1" s="143" t="s">
        <v>2833</v>
      </c>
      <c r="E1" s="145" t="s">
        <v>2850</v>
      </c>
      <c r="G1" s="146" t="s">
        <v>4001</v>
      </c>
      <c r="H1" s="147" t="str">
        <f>SUM(C2:C1048576)</f>
        <v>1340</v>
      </c>
      <c r="I1" s="146" t="s">
        <v>2833</v>
      </c>
      <c r="J1" s="147" t="str">
        <f>SUM(D2:D1048576)</f>
        <v>#ERROR!</v>
      </c>
    </row>
    <row r="2">
      <c r="A2" s="148">
        <v>46070.0</v>
      </c>
      <c r="B2" s="110" t="s">
        <v>1190</v>
      </c>
      <c r="C2" s="106">
        <v>1.0</v>
      </c>
      <c r="D2" s="149" t="str">
        <f>_xlfn.XLOOKUP(B2,[1]FullDataList!F:F,[1]FullDataList!O:O)</f>
        <v>#ERROR!</v>
      </c>
      <c r="E2" s="110" t="str">
        <f>_xlfn.XLOOKUP(B2,[1]Details!C:C,[1]Details!H:H)</f>
        <v>#ERROR!</v>
      </c>
      <c r="H2" s="138"/>
      <c r="J2" s="138"/>
    </row>
    <row r="3">
      <c r="A3" s="148">
        <v>46070.0</v>
      </c>
      <c r="B3" s="110" t="s">
        <v>1172</v>
      </c>
      <c r="C3" s="106">
        <v>1.0</v>
      </c>
      <c r="D3" s="149" t="str">
        <f>_xlfn.XLOOKUP(B3,[1]FullDataList!F:F,[1]FullDataList!O:O)</f>
        <v>#ERROR!</v>
      </c>
      <c r="E3" s="110" t="str">
        <f>_xlfn.XLOOKUP(B3,[1]Details!C:C,[1]Details!H:H)</f>
        <v>#ERROR!</v>
      </c>
      <c r="H3" s="138"/>
      <c r="J3" s="138"/>
    </row>
    <row r="4">
      <c r="A4" s="148">
        <v>46070.0</v>
      </c>
      <c r="B4" s="110" t="s">
        <v>1170</v>
      </c>
      <c r="C4" s="106">
        <v>1.0</v>
      </c>
      <c r="D4" s="149" t="str">
        <f>_xlfn.XLOOKUP(B4,[1]FullDataList!F:F,[1]FullDataList!O:O)</f>
        <v>#ERROR!</v>
      </c>
      <c r="E4" s="110" t="str">
        <f>_xlfn.XLOOKUP(B4,[1]Details!C:C,[1]Details!H:H)</f>
        <v>#ERROR!</v>
      </c>
      <c r="H4" s="138"/>
      <c r="J4" s="138"/>
    </row>
    <row r="5">
      <c r="A5" s="148">
        <v>46070.0</v>
      </c>
      <c r="B5" s="110" t="s">
        <v>1153</v>
      </c>
      <c r="C5" s="106">
        <v>1.0</v>
      </c>
      <c r="D5" s="149" t="str">
        <f>_xlfn.XLOOKUP(B5,[1]FullDataList!F:F,[1]FullDataList!O:O)</f>
        <v>#ERROR!</v>
      </c>
      <c r="E5" s="110" t="str">
        <f>_xlfn.XLOOKUP(B5,[1]Details!C:C,[1]Details!H:H)</f>
        <v>#ERROR!</v>
      </c>
      <c r="H5" s="138"/>
      <c r="J5" s="138"/>
    </row>
    <row r="6">
      <c r="A6" s="148">
        <v>46071.0</v>
      </c>
      <c r="B6" s="110" t="s">
        <v>1191</v>
      </c>
      <c r="C6" s="106">
        <v>1.0</v>
      </c>
      <c r="D6" s="149" t="str">
        <f>_xlfn.XLOOKUP(B6,[1]FullDataList!F:F,[1]FullDataList!O:O)</f>
        <v>#ERROR!</v>
      </c>
      <c r="E6" s="110" t="str">
        <f>_xlfn.XLOOKUP(B6,[1]Details!C:C,[1]Details!H:H)</f>
        <v>#ERROR!</v>
      </c>
      <c r="H6" s="138"/>
      <c r="J6" s="138"/>
    </row>
    <row r="7">
      <c r="A7" s="148">
        <v>46071.0</v>
      </c>
      <c r="B7" s="110" t="s">
        <v>1199</v>
      </c>
      <c r="C7" s="106">
        <v>1.0</v>
      </c>
      <c r="D7" s="149" t="str">
        <f>_xlfn.XLOOKUP(B7,[1]FullDataList!F:F,[1]FullDataList!O:O)</f>
        <v>#ERROR!</v>
      </c>
      <c r="E7" s="110" t="str">
        <f>_xlfn.XLOOKUP(B7,[1]Details!C:C,[1]Details!H:H)</f>
        <v>#ERROR!</v>
      </c>
      <c r="H7" s="138"/>
      <c r="J7" s="138"/>
    </row>
    <row r="8">
      <c r="A8" s="148">
        <v>46071.0</v>
      </c>
      <c r="B8" s="110" t="s">
        <v>1169</v>
      </c>
      <c r="C8" s="106">
        <v>1.0</v>
      </c>
      <c r="D8" s="149" t="str">
        <f>_xlfn.XLOOKUP(B8,[1]FullDataList!F:F,[1]FullDataList!O:O)</f>
        <v>#ERROR!</v>
      </c>
      <c r="E8" s="110" t="str">
        <f>_xlfn.XLOOKUP(B8,[1]Details!C:C,[1]Details!H:H)</f>
        <v>#ERROR!</v>
      </c>
      <c r="H8" s="138"/>
      <c r="J8" s="138"/>
    </row>
    <row r="9">
      <c r="A9" s="148">
        <v>46071.0</v>
      </c>
      <c r="B9" s="110" t="s">
        <v>1186</v>
      </c>
      <c r="C9" s="106">
        <v>1.0</v>
      </c>
      <c r="D9" s="149" t="str">
        <f>_xlfn.XLOOKUP(B9,[1]FullDataList!F:F,[1]FullDataList!O:O)</f>
        <v>#ERROR!</v>
      </c>
      <c r="E9" s="110" t="str">
        <f>_xlfn.XLOOKUP(B9,[1]Details!C:C,[1]Details!H:H)</f>
        <v>#ERROR!</v>
      </c>
      <c r="H9" s="138"/>
      <c r="J9" s="138"/>
    </row>
    <row r="10">
      <c r="A10" s="148">
        <v>46072.0</v>
      </c>
      <c r="B10" s="110" t="s">
        <v>1157</v>
      </c>
      <c r="C10" s="106">
        <v>1.0</v>
      </c>
      <c r="D10" s="149" t="str">
        <f>_xlfn.XLOOKUP(B10,[1]FullDataList!F:F,[1]FullDataList!O:O)</f>
        <v>#ERROR!</v>
      </c>
      <c r="E10" s="110" t="str">
        <f>_xlfn.XLOOKUP(B10,[1]Details!C:C,[1]Details!H:H)</f>
        <v>#ERROR!</v>
      </c>
      <c r="H10" s="138"/>
      <c r="J10" s="138"/>
    </row>
    <row r="11">
      <c r="A11" s="148">
        <v>46072.0</v>
      </c>
      <c r="B11" s="110" t="s">
        <v>1152</v>
      </c>
      <c r="C11" s="106">
        <v>1.0</v>
      </c>
      <c r="D11" s="149" t="str">
        <f>_xlfn.XLOOKUP(B11,[1]FullDataList!F:F,[1]FullDataList!O:O)</f>
        <v>#ERROR!</v>
      </c>
      <c r="E11" s="110" t="str">
        <f>_xlfn.XLOOKUP(B11,[1]Details!C:C,[1]Details!H:H)</f>
        <v>#ERROR!</v>
      </c>
      <c r="H11" s="138"/>
      <c r="J11" s="138"/>
    </row>
    <row r="12">
      <c r="A12" s="148">
        <v>46073.0</v>
      </c>
      <c r="B12" s="110" t="s">
        <v>1192</v>
      </c>
      <c r="C12" s="106">
        <v>1.0</v>
      </c>
      <c r="D12" s="149" t="str">
        <f>_xlfn.XLOOKUP(B12,[1]FullDataList!F:F,[1]FullDataList!O:O)</f>
        <v>#ERROR!</v>
      </c>
      <c r="E12" s="110" t="str">
        <f>_xlfn.XLOOKUP(B12,[1]Details!C:C,[1]Details!H:H)</f>
        <v>#ERROR!</v>
      </c>
      <c r="H12" s="138"/>
      <c r="J12" s="138"/>
    </row>
    <row r="13">
      <c r="A13" s="148">
        <v>46073.0</v>
      </c>
      <c r="B13" s="110" t="s">
        <v>1197</v>
      </c>
      <c r="C13" s="106">
        <v>1.0</v>
      </c>
      <c r="D13" s="149" t="str">
        <f>_xlfn.XLOOKUP(B13,[1]FullDataList!F:F,[1]FullDataList!O:O)</f>
        <v>#ERROR!</v>
      </c>
      <c r="E13" s="110" t="str">
        <f>_xlfn.XLOOKUP(B13,[1]Details!C:C,[1]Details!H:H)</f>
        <v>#ERROR!</v>
      </c>
      <c r="H13" s="138"/>
      <c r="J13" s="138"/>
    </row>
    <row r="14">
      <c r="A14" s="148">
        <v>46073.0</v>
      </c>
      <c r="B14" s="110" t="s">
        <v>1167</v>
      </c>
      <c r="C14" s="106">
        <v>1.0</v>
      </c>
      <c r="D14" s="149" t="str">
        <f>_xlfn.XLOOKUP(B14,[1]FullDataList!F:F,[1]FullDataList!O:O)</f>
        <v>#ERROR!</v>
      </c>
      <c r="E14" s="110" t="str">
        <f>_xlfn.XLOOKUP(B14,[1]Details!C:C,[1]Details!H:H)</f>
        <v>#ERROR!</v>
      </c>
      <c r="H14" s="138"/>
      <c r="J14" s="138"/>
    </row>
    <row r="15">
      <c r="A15" s="148">
        <v>46074.0</v>
      </c>
      <c r="B15" s="110" t="s">
        <v>1202</v>
      </c>
      <c r="C15" s="106">
        <v>1.0</v>
      </c>
      <c r="D15" s="149" t="str">
        <f>_xlfn.XLOOKUP(B15,[1]FullDataList!F:F,[1]FullDataList!O:O)</f>
        <v>#ERROR!</v>
      </c>
      <c r="E15" s="110" t="str">
        <f>_xlfn.XLOOKUP(B15,[1]Details!C:C,[1]Details!H:H)</f>
        <v>#ERROR!</v>
      </c>
      <c r="H15" s="138"/>
      <c r="J15" s="138"/>
    </row>
    <row r="16">
      <c r="A16" s="148">
        <v>46074.0</v>
      </c>
      <c r="B16" s="110" t="s">
        <v>1154</v>
      </c>
      <c r="C16" s="106">
        <v>1.0</v>
      </c>
      <c r="D16" s="149" t="str">
        <f>_xlfn.XLOOKUP(B16,[1]FullDataList!F:F,[1]FullDataList!O:O)</f>
        <v>#ERROR!</v>
      </c>
      <c r="E16" s="110" t="str">
        <f>_xlfn.XLOOKUP(B16,[1]Details!C:C,[1]Details!H:H)</f>
        <v>#ERROR!</v>
      </c>
      <c r="H16" s="138"/>
      <c r="J16" s="138"/>
    </row>
    <row r="17">
      <c r="A17" s="148">
        <v>46074.0</v>
      </c>
      <c r="B17" s="110" t="s">
        <v>1195</v>
      </c>
      <c r="C17" s="106">
        <v>1.0</v>
      </c>
      <c r="D17" s="149" t="str">
        <f>_xlfn.XLOOKUP(B17,[1]FullDataList!F:F,[1]FullDataList!O:O)</f>
        <v>#ERROR!</v>
      </c>
      <c r="E17" s="110" t="str">
        <f>_xlfn.XLOOKUP(B17,[1]Details!C:C,[1]Details!H:H)</f>
        <v>#ERROR!</v>
      </c>
      <c r="H17" s="138"/>
      <c r="J17" s="138"/>
    </row>
    <row r="18">
      <c r="A18" s="148">
        <v>46074.0</v>
      </c>
      <c r="B18" s="110" t="s">
        <v>1151</v>
      </c>
      <c r="C18" s="106">
        <v>1.0</v>
      </c>
      <c r="D18" s="149" t="str">
        <f>_xlfn.XLOOKUP(B18,[1]FullDataList!F:F,[1]FullDataList!O:O)</f>
        <v>#ERROR!</v>
      </c>
      <c r="E18" s="110" t="str">
        <f>_xlfn.XLOOKUP(B18,[1]Details!C:C,[1]Details!H:H)</f>
        <v>#ERROR!</v>
      </c>
      <c r="H18" s="138"/>
      <c r="J18" s="138"/>
    </row>
    <row r="19">
      <c r="A19" s="148">
        <v>46074.0</v>
      </c>
      <c r="B19" s="110" t="s">
        <v>1194</v>
      </c>
      <c r="C19" s="106">
        <v>1.0</v>
      </c>
      <c r="D19" s="149" t="str">
        <f>_xlfn.XLOOKUP(B19,[1]FullDataList!F:F,[1]FullDataList!O:O)</f>
        <v>#ERROR!</v>
      </c>
      <c r="E19" s="110" t="str">
        <f>_xlfn.XLOOKUP(B19,[1]Details!C:C,[1]Details!H:H)</f>
        <v>#ERROR!</v>
      </c>
      <c r="H19" s="138"/>
      <c r="J19" s="138"/>
    </row>
    <row r="20">
      <c r="A20" s="148">
        <v>46076.0</v>
      </c>
      <c r="B20" s="110" t="s">
        <v>1155</v>
      </c>
      <c r="C20" s="106">
        <v>1.0</v>
      </c>
      <c r="D20" s="149" t="str">
        <f>_xlfn.XLOOKUP(B20,[1]FullDataList!F:F,[1]FullDataList!O:O)</f>
        <v>#ERROR!</v>
      </c>
      <c r="E20" s="110" t="str">
        <f>_xlfn.XLOOKUP(B20,[1]Details!C:C,[1]Details!H:H)</f>
        <v>#ERROR!</v>
      </c>
      <c r="H20" s="138"/>
      <c r="J20" s="138"/>
    </row>
    <row r="21" ht="15.75" customHeight="1">
      <c r="A21" s="148">
        <v>46076.0</v>
      </c>
      <c r="B21" s="110" t="s">
        <v>1196</v>
      </c>
      <c r="C21" s="106">
        <v>1.0</v>
      </c>
      <c r="D21" s="149" t="str">
        <f>_xlfn.XLOOKUP(B21,[1]FullDataList!F:F,[1]FullDataList!O:O)</f>
        <v>#ERROR!</v>
      </c>
      <c r="E21" s="110" t="str">
        <f>_xlfn.XLOOKUP(B21,[1]Details!C:C,[1]Details!H:H)</f>
        <v>#ERROR!</v>
      </c>
      <c r="H21" s="138"/>
      <c r="J21" s="138"/>
    </row>
    <row r="22" ht="15.75" customHeight="1">
      <c r="A22" s="148">
        <v>46076.0</v>
      </c>
      <c r="B22" s="110" t="s">
        <v>1168</v>
      </c>
      <c r="C22" s="106">
        <v>1.0</v>
      </c>
      <c r="D22" s="149" t="str">
        <f>_xlfn.XLOOKUP(B22,[1]FullDataList!F:F,[1]FullDataList!O:O)</f>
        <v>#ERROR!</v>
      </c>
      <c r="E22" s="110" t="str">
        <f>_xlfn.XLOOKUP(B22,[1]Details!C:C,[1]Details!H:H)</f>
        <v>#ERROR!</v>
      </c>
      <c r="H22" s="138"/>
      <c r="J22" s="138"/>
    </row>
    <row r="23" ht="15.75" customHeight="1">
      <c r="A23" s="148">
        <v>46076.0</v>
      </c>
      <c r="B23" s="110" t="s">
        <v>1177</v>
      </c>
      <c r="C23" s="106">
        <v>1.0</v>
      </c>
      <c r="D23" s="149" t="str">
        <f>_xlfn.XLOOKUP(B23,[1]FullDataList!F:F,[1]FullDataList!O:O)</f>
        <v>#ERROR!</v>
      </c>
      <c r="E23" s="110" t="str">
        <f>_xlfn.XLOOKUP(B23,[1]Details!C:C,[1]Details!H:H)</f>
        <v>#ERROR!</v>
      </c>
      <c r="H23" s="138"/>
      <c r="J23" s="138"/>
    </row>
    <row r="24" ht="15.75" customHeight="1">
      <c r="A24" s="148">
        <v>46076.0</v>
      </c>
      <c r="B24" s="110" t="s">
        <v>1149</v>
      </c>
      <c r="C24" s="106">
        <v>1.0</v>
      </c>
      <c r="D24" s="149" t="str">
        <f>_xlfn.XLOOKUP(B24,[1]FullDataList!F:F,[1]FullDataList!O:O)</f>
        <v>#ERROR!</v>
      </c>
      <c r="E24" s="110" t="str">
        <f>_xlfn.XLOOKUP(B24,[1]Details!C:C,[1]Details!H:H)</f>
        <v>#ERROR!</v>
      </c>
      <c r="H24" s="138"/>
      <c r="J24" s="138"/>
    </row>
    <row r="25" ht="15.75" customHeight="1">
      <c r="A25" s="148">
        <v>46076.0</v>
      </c>
      <c r="B25" s="110" t="s">
        <v>1146</v>
      </c>
      <c r="C25" s="106">
        <v>1.0</v>
      </c>
      <c r="D25" s="149" t="str">
        <f>_xlfn.XLOOKUP(B25,[1]FullDataList!F:F,[1]FullDataList!O:O)</f>
        <v>#ERROR!</v>
      </c>
      <c r="E25" s="110" t="str">
        <f>_xlfn.XLOOKUP(B25,[1]Details!C:C,[1]Details!H:H)</f>
        <v>#ERROR!</v>
      </c>
      <c r="H25" s="138"/>
      <c r="J25" s="138"/>
    </row>
    <row r="26" ht="15.75" customHeight="1">
      <c r="A26" s="148">
        <v>46077.0</v>
      </c>
      <c r="B26" s="110" t="s">
        <v>1210</v>
      </c>
      <c r="C26" s="106">
        <v>1.0</v>
      </c>
      <c r="D26" s="149" t="str">
        <f>_xlfn.XLOOKUP(B26,[1]FullDataList!F:F,[1]FullDataList!O:O)</f>
        <v>#ERROR!</v>
      </c>
      <c r="E26" s="110" t="str">
        <f>_xlfn.XLOOKUP(B26,[1]Details!C:C,[1]Details!H:H)</f>
        <v>#ERROR!</v>
      </c>
      <c r="H26" s="138"/>
      <c r="J26" s="138"/>
    </row>
    <row r="27" ht="15.75" customHeight="1">
      <c r="A27" s="148">
        <v>46077.0</v>
      </c>
      <c r="B27" s="110" t="s">
        <v>1156</v>
      </c>
      <c r="C27" s="106">
        <v>1.0</v>
      </c>
      <c r="D27" s="149" t="str">
        <f>_xlfn.XLOOKUP(B27,[1]FullDataList!F:F,[1]FullDataList!O:O)</f>
        <v>#ERROR!</v>
      </c>
      <c r="E27" s="110" t="str">
        <f>_xlfn.XLOOKUP(B27,[1]Details!C:C,[1]Details!H:H)</f>
        <v>#ERROR!</v>
      </c>
      <c r="H27" s="138"/>
      <c r="J27" s="138"/>
    </row>
    <row r="28" ht="15.75" customHeight="1">
      <c r="A28" s="148">
        <v>46077.0</v>
      </c>
      <c r="B28" s="110" t="s">
        <v>1198</v>
      </c>
      <c r="C28" s="106">
        <v>1.0</v>
      </c>
      <c r="D28" s="149" t="str">
        <f>_xlfn.XLOOKUP(B28,[1]FullDataList!F:F,[1]FullDataList!O:O)</f>
        <v>#ERROR!</v>
      </c>
      <c r="E28" s="110" t="str">
        <f>_xlfn.XLOOKUP(B28,[1]Details!C:C,[1]Details!H:H)</f>
        <v>#ERROR!</v>
      </c>
      <c r="H28" s="138"/>
      <c r="J28" s="138"/>
    </row>
    <row r="29" ht="15.75" customHeight="1">
      <c r="A29" s="148">
        <v>46077.0</v>
      </c>
      <c r="B29" s="110" t="s">
        <v>1171</v>
      </c>
      <c r="C29" s="106">
        <v>1.0</v>
      </c>
      <c r="D29" s="149" t="str">
        <f>_xlfn.XLOOKUP(B29,[1]FullDataList!F:F,[1]FullDataList!O:O)</f>
        <v>#ERROR!</v>
      </c>
      <c r="E29" s="110" t="str">
        <f>_xlfn.XLOOKUP(B29,[1]Details!C:C,[1]Details!H:H)</f>
        <v>#ERROR!</v>
      </c>
      <c r="H29" s="138"/>
      <c r="J29" s="138"/>
    </row>
    <row r="30" ht="15.75" customHeight="1">
      <c r="A30" s="148">
        <v>46077.0</v>
      </c>
      <c r="B30" s="110" t="s">
        <v>1150</v>
      </c>
      <c r="C30" s="106">
        <v>1.0</v>
      </c>
      <c r="D30" s="149" t="str">
        <f>_xlfn.XLOOKUP(B30,[1]FullDataList!F:F,[1]FullDataList!O:O)</f>
        <v>#ERROR!</v>
      </c>
      <c r="E30" s="110" t="str">
        <f>_xlfn.XLOOKUP(B30,[1]Details!C:C,[1]Details!H:H)</f>
        <v>#ERROR!</v>
      </c>
      <c r="H30" s="138"/>
      <c r="J30" s="138"/>
    </row>
    <row r="31" ht="15.75" customHeight="1">
      <c r="A31" s="148">
        <v>46077.0</v>
      </c>
      <c r="B31" s="110" t="s">
        <v>1145</v>
      </c>
      <c r="C31" s="106">
        <v>1.0</v>
      </c>
      <c r="D31" s="149" t="str">
        <f>_xlfn.XLOOKUP(B31,[1]FullDataList!F:F,[1]FullDataList!O:O)</f>
        <v>#ERROR!</v>
      </c>
      <c r="E31" s="110" t="str">
        <f>_xlfn.XLOOKUP(B31,[1]Details!C:C,[1]Details!H:H)</f>
        <v>#ERROR!</v>
      </c>
      <c r="H31" s="138"/>
      <c r="J31" s="138"/>
    </row>
    <row r="32" ht="15.75" customHeight="1">
      <c r="A32" s="148">
        <v>46077.0</v>
      </c>
      <c r="B32" s="110" t="s">
        <v>1148</v>
      </c>
      <c r="C32" s="106">
        <v>1.0</v>
      </c>
      <c r="D32" s="149" t="str">
        <f>_xlfn.XLOOKUP(B32,[1]FullDataList!F:F,[1]FullDataList!O:O)</f>
        <v>#ERROR!</v>
      </c>
      <c r="E32" s="110" t="str">
        <f>_xlfn.XLOOKUP(B32,[1]Details!C:C,[1]Details!H:H)</f>
        <v>#ERROR!</v>
      </c>
      <c r="H32" s="138"/>
      <c r="J32" s="138"/>
    </row>
    <row r="33" ht="15.75" customHeight="1">
      <c r="A33" s="148">
        <v>46077.0</v>
      </c>
      <c r="B33" s="110" t="s">
        <v>1176</v>
      </c>
      <c r="C33" s="106">
        <v>1.0</v>
      </c>
      <c r="D33" s="149" t="str">
        <f>_xlfn.XLOOKUP(B33,[1]FullDataList!F:F,[1]FullDataList!O:O)</f>
        <v>#ERROR!</v>
      </c>
      <c r="E33" s="110" t="str">
        <f>_xlfn.XLOOKUP(B33,[1]Details!C:C,[1]Details!H:H)</f>
        <v>#ERROR!</v>
      </c>
      <c r="H33" s="138"/>
      <c r="J33" s="138"/>
    </row>
    <row r="34" ht="15.75" customHeight="1">
      <c r="A34" s="148">
        <v>46078.0</v>
      </c>
      <c r="B34" s="110" t="s">
        <v>1227</v>
      </c>
      <c r="C34" s="106">
        <v>1.0</v>
      </c>
      <c r="D34" s="149" t="str">
        <f>_xlfn.XLOOKUP(B34,[1]FullDataList!F:F,[1]FullDataList!O:O)</f>
        <v>#ERROR!</v>
      </c>
      <c r="E34" s="110" t="str">
        <f>_xlfn.XLOOKUP(B34,[1]Details!C:C,[1]Details!H:H)</f>
        <v>#ERROR!</v>
      </c>
      <c r="H34" s="138"/>
      <c r="J34" s="138"/>
    </row>
    <row r="35" ht="15.75" customHeight="1">
      <c r="A35" s="148">
        <v>46078.0</v>
      </c>
      <c r="B35" s="110" t="s">
        <v>1206</v>
      </c>
      <c r="C35" s="106">
        <v>1.0</v>
      </c>
      <c r="D35" s="149" t="str">
        <f>_xlfn.XLOOKUP(B35,[1]FullDataList!F:F,[1]FullDataList!O:O)</f>
        <v>#ERROR!</v>
      </c>
      <c r="E35" s="110" t="str">
        <f>_xlfn.XLOOKUP(B35,[1]Details!C:C,[1]Details!H:H)</f>
        <v>#ERROR!</v>
      </c>
      <c r="H35" s="138"/>
      <c r="J35" s="138"/>
    </row>
    <row r="36" ht="15.75" customHeight="1">
      <c r="A36" s="148">
        <v>46078.0</v>
      </c>
      <c r="B36" s="110" t="s">
        <v>1173</v>
      </c>
      <c r="C36" s="106">
        <v>1.0</v>
      </c>
      <c r="D36" s="149" t="str">
        <f>_xlfn.XLOOKUP(B36,[1]FullDataList!F:F,[1]FullDataList!O:O)</f>
        <v>#ERROR!</v>
      </c>
      <c r="E36" s="110" t="str">
        <f>_xlfn.XLOOKUP(B36,[1]Details!C:C,[1]Details!H:H)</f>
        <v>#ERROR!</v>
      </c>
      <c r="H36" s="138"/>
      <c r="J36" s="138"/>
    </row>
    <row r="37" ht="15.75" customHeight="1">
      <c r="A37" s="148">
        <v>46078.0</v>
      </c>
      <c r="B37" s="110" t="s">
        <v>1178</v>
      </c>
      <c r="C37" s="106">
        <v>1.0</v>
      </c>
      <c r="D37" s="149" t="str">
        <f>_xlfn.XLOOKUP(B37,[1]FullDataList!F:F,[1]FullDataList!O:O)</f>
        <v>#ERROR!</v>
      </c>
      <c r="E37" s="110" t="str">
        <f>_xlfn.XLOOKUP(B37,[1]Details!C:C,[1]Details!H:H)</f>
        <v>#ERROR!</v>
      </c>
      <c r="H37" s="138"/>
      <c r="J37" s="138"/>
    </row>
    <row r="38" ht="15.75" customHeight="1">
      <c r="A38" s="148">
        <v>46078.0</v>
      </c>
      <c r="B38" s="110" t="s">
        <v>1147</v>
      </c>
      <c r="C38" s="106">
        <v>1.0</v>
      </c>
      <c r="D38" s="149" t="str">
        <f>_xlfn.XLOOKUP(B38,[1]FullDataList!F:F,[1]FullDataList!O:O)</f>
        <v>#ERROR!</v>
      </c>
      <c r="E38" s="110" t="str">
        <f>_xlfn.XLOOKUP(B38,[1]Details!C:C,[1]Details!H:H)</f>
        <v>#ERROR!</v>
      </c>
      <c r="H38" s="138"/>
      <c r="J38" s="138"/>
    </row>
    <row r="39" ht="15.75" customHeight="1">
      <c r="A39" s="148">
        <v>46078.0</v>
      </c>
      <c r="B39" s="110" t="s">
        <v>1158</v>
      </c>
      <c r="C39" s="106">
        <v>1.0</v>
      </c>
      <c r="D39" s="149" t="str">
        <f>_xlfn.XLOOKUP(B39,[1]FullDataList!F:F,[1]FullDataList!O:O)</f>
        <v>#ERROR!</v>
      </c>
      <c r="E39" s="110" t="str">
        <f>_xlfn.XLOOKUP(B39,[1]Details!C:C,[1]Details!H:H)</f>
        <v>#ERROR!</v>
      </c>
      <c r="H39" s="138"/>
      <c r="J39" s="138"/>
    </row>
    <row r="40" ht="15.75" customHeight="1">
      <c r="A40" s="148">
        <v>46079.0</v>
      </c>
      <c r="B40" s="110" t="s">
        <v>1261</v>
      </c>
      <c r="C40" s="106">
        <v>1.0</v>
      </c>
      <c r="D40" s="149" t="str">
        <f>_xlfn.XLOOKUP(B40,[1]FullDataList!F:F,[1]FullDataList!O:O)</f>
        <v>#ERROR!</v>
      </c>
      <c r="E40" s="110" t="str">
        <f>_xlfn.XLOOKUP(B40,[1]Details!C:C,[1]Details!H:H)</f>
        <v>#ERROR!</v>
      </c>
      <c r="H40" s="138"/>
      <c r="J40" s="138"/>
    </row>
    <row r="41" ht="15.75" customHeight="1">
      <c r="A41" s="148">
        <v>46079.0</v>
      </c>
      <c r="B41" s="110" t="s">
        <v>1216</v>
      </c>
      <c r="C41" s="106">
        <v>1.0</v>
      </c>
      <c r="D41" s="149" t="str">
        <f>_xlfn.XLOOKUP(B41,[1]FullDataList!F:F,[1]FullDataList!O:O)</f>
        <v>#ERROR!</v>
      </c>
      <c r="E41" s="110" t="str">
        <f>_xlfn.XLOOKUP(B41,[1]Details!C:C,[1]Details!H:H)</f>
        <v>#ERROR!</v>
      </c>
      <c r="H41" s="138"/>
      <c r="J41" s="138"/>
    </row>
    <row r="42" ht="15.75" customHeight="1">
      <c r="A42" s="148">
        <v>46079.0</v>
      </c>
      <c r="B42" s="110" t="s">
        <v>1184</v>
      </c>
      <c r="C42" s="106">
        <v>1.0</v>
      </c>
      <c r="D42" s="149" t="str">
        <f>_xlfn.XLOOKUP(B42,[1]FullDataList!F:F,[1]FullDataList!O:O)</f>
        <v>#ERROR!</v>
      </c>
      <c r="E42" s="110" t="str">
        <f>_xlfn.XLOOKUP(B42,[1]Details!C:C,[1]Details!H:H)</f>
        <v>#ERROR!</v>
      </c>
      <c r="H42" s="138"/>
      <c r="J42" s="138"/>
    </row>
    <row r="43" ht="15.75" customHeight="1">
      <c r="A43" s="148">
        <v>46079.0</v>
      </c>
      <c r="B43" s="110" t="s">
        <v>1159</v>
      </c>
      <c r="C43" s="106">
        <v>1.0</v>
      </c>
      <c r="D43" s="149" t="str">
        <f>_xlfn.XLOOKUP(B43,[1]FullDataList!F:F,[1]FullDataList!O:O)</f>
        <v>#ERROR!</v>
      </c>
      <c r="E43" s="110" t="str">
        <f>_xlfn.XLOOKUP(B43,[1]Details!C:C,[1]Details!H:H)</f>
        <v>#ERROR!</v>
      </c>
      <c r="H43" s="138"/>
      <c r="J43" s="138"/>
    </row>
    <row r="44" ht="15.75" customHeight="1">
      <c r="A44" s="148">
        <v>46079.0</v>
      </c>
      <c r="B44" s="110" t="s">
        <v>1174</v>
      </c>
      <c r="C44" s="106">
        <v>1.0</v>
      </c>
      <c r="D44" s="149" t="str">
        <f>_xlfn.XLOOKUP(B44,[1]FullDataList!F:F,[1]FullDataList!O:O)</f>
        <v>#ERROR!</v>
      </c>
      <c r="E44" s="110" t="str">
        <f>_xlfn.XLOOKUP(B44,[1]Details!C:C,[1]Details!H:H)</f>
        <v>#ERROR!</v>
      </c>
      <c r="H44" s="138"/>
      <c r="J44" s="138"/>
    </row>
    <row r="45" ht="15.75" customHeight="1">
      <c r="A45" s="148">
        <v>46079.0</v>
      </c>
      <c r="B45" s="110" t="s">
        <v>1179</v>
      </c>
      <c r="C45" s="106">
        <v>1.0</v>
      </c>
      <c r="D45" s="149" t="str">
        <f>_xlfn.XLOOKUP(B45,[1]FullDataList!F:F,[1]FullDataList!O:O)</f>
        <v>#ERROR!</v>
      </c>
      <c r="E45" s="110" t="str">
        <f>_xlfn.XLOOKUP(B45,[1]Details!C:C,[1]Details!H:H)</f>
        <v>#ERROR!</v>
      </c>
      <c r="H45" s="138"/>
      <c r="J45" s="138"/>
    </row>
    <row r="46" ht="15.75" customHeight="1">
      <c r="A46" s="148">
        <v>46079.0</v>
      </c>
      <c r="B46" s="110" t="s">
        <v>1214</v>
      </c>
      <c r="C46" s="106">
        <v>1.0</v>
      </c>
      <c r="D46" s="149" t="str">
        <f>_xlfn.XLOOKUP(B46,[1]FullDataList!F:F,[1]FullDataList!O:O)</f>
        <v>#ERROR!</v>
      </c>
      <c r="E46" s="110" t="str">
        <f>_xlfn.XLOOKUP(B46,[1]Details!C:C,[1]Details!H:H)</f>
        <v>#ERROR!</v>
      </c>
      <c r="H46" s="138"/>
      <c r="J46" s="138"/>
    </row>
    <row r="47" ht="15.75" customHeight="1">
      <c r="A47" s="148">
        <v>46079.0</v>
      </c>
      <c r="B47" s="110" t="s">
        <v>1213</v>
      </c>
      <c r="C47" s="106">
        <v>1.0</v>
      </c>
      <c r="D47" s="149" t="str">
        <f>_xlfn.XLOOKUP(B47,[1]FullDataList!F:F,[1]FullDataList!O:O)</f>
        <v>#ERROR!</v>
      </c>
      <c r="E47" s="110" t="str">
        <f>_xlfn.XLOOKUP(B47,[1]Details!C:C,[1]Details!H:H)</f>
        <v>#ERROR!</v>
      </c>
      <c r="H47" s="138"/>
      <c r="J47" s="138"/>
    </row>
    <row r="48" ht="15.75" customHeight="1">
      <c r="A48" s="148">
        <v>46079.0</v>
      </c>
      <c r="B48" s="110" t="s">
        <v>1180</v>
      </c>
      <c r="C48" s="106">
        <v>1.0</v>
      </c>
      <c r="D48" s="149" t="str">
        <f>_xlfn.XLOOKUP(B48,[1]FullDataList!F:F,[1]FullDataList!O:O)</f>
        <v>#ERROR!</v>
      </c>
      <c r="E48" s="110" t="str">
        <f>_xlfn.XLOOKUP(B48,[1]Details!C:C,[1]Details!H:H)</f>
        <v>#ERROR!</v>
      </c>
      <c r="H48" s="138"/>
      <c r="J48" s="138"/>
    </row>
    <row r="49" ht="15.75" customHeight="1">
      <c r="A49" s="148">
        <v>46079.0</v>
      </c>
      <c r="B49" s="110" t="s">
        <v>1164</v>
      </c>
      <c r="C49" s="106">
        <v>1.0</v>
      </c>
      <c r="D49" s="149" t="str">
        <f>_xlfn.XLOOKUP(B49,[1]FullDataList!F:F,[1]FullDataList!O:O)</f>
        <v>#ERROR!</v>
      </c>
      <c r="E49" s="110" t="str">
        <f>_xlfn.XLOOKUP(B49,[1]Details!C:C,[1]Details!H:H)</f>
        <v>#ERROR!</v>
      </c>
      <c r="H49" s="138"/>
      <c r="J49" s="138"/>
    </row>
    <row r="50" ht="15.75" customHeight="1">
      <c r="A50" s="148">
        <v>46079.0</v>
      </c>
      <c r="B50" s="110" t="s">
        <v>1166</v>
      </c>
      <c r="C50" s="106">
        <v>1.0</v>
      </c>
      <c r="D50" s="149" t="str">
        <f>_xlfn.XLOOKUP(B50,[1]FullDataList!F:F,[1]FullDataList!O:O)</f>
        <v>#ERROR!</v>
      </c>
      <c r="E50" s="110" t="str">
        <f>_xlfn.XLOOKUP(B50,[1]Details!C:C,[1]Details!H:H)</f>
        <v>#ERROR!</v>
      </c>
      <c r="H50" s="138"/>
      <c r="J50" s="138"/>
    </row>
    <row r="51" ht="15.75" customHeight="1">
      <c r="A51" s="148">
        <v>46079.0</v>
      </c>
      <c r="B51" s="110" t="s">
        <v>1207</v>
      </c>
      <c r="C51" s="106">
        <v>1.0</v>
      </c>
      <c r="D51" s="149" t="str">
        <f>_xlfn.XLOOKUP(B51,[1]FullDataList!F:F,[1]FullDataList!O:O)</f>
        <v>#ERROR!</v>
      </c>
      <c r="E51" s="110" t="str">
        <f>_xlfn.XLOOKUP(B51,[1]Details!C:C,[1]Details!H:H)</f>
        <v>#ERROR!</v>
      </c>
      <c r="H51" s="138"/>
      <c r="J51" s="138"/>
    </row>
    <row r="52" ht="15.75" customHeight="1">
      <c r="A52" s="148">
        <v>46079.0</v>
      </c>
      <c r="B52" s="110" t="s">
        <v>1160</v>
      </c>
      <c r="C52" s="106">
        <v>1.0</v>
      </c>
      <c r="D52" s="149" t="str">
        <f>_xlfn.XLOOKUP(B52,[1]FullDataList!F:F,[1]FullDataList!O:O)</f>
        <v>#ERROR!</v>
      </c>
      <c r="E52" s="110" t="str">
        <f>_xlfn.XLOOKUP(B52,[1]Details!C:C,[1]Details!H:H)</f>
        <v>#ERROR!</v>
      </c>
      <c r="H52" s="138"/>
      <c r="J52" s="138"/>
    </row>
    <row r="53" ht="15.75" customHeight="1">
      <c r="A53" s="148">
        <v>46080.0</v>
      </c>
      <c r="B53" s="110" t="s">
        <v>1290</v>
      </c>
      <c r="C53" s="106">
        <v>1.0</v>
      </c>
      <c r="D53" s="149" t="str">
        <f>_xlfn.XLOOKUP(B53,[1]FullDataList!F:F,[1]FullDataList!O:O)</f>
        <v>#ERROR!</v>
      </c>
      <c r="E53" s="110" t="str">
        <f>_xlfn.XLOOKUP(B53,[1]Details!C:C,[1]Details!H:H)</f>
        <v>#ERROR!</v>
      </c>
      <c r="H53" s="138"/>
      <c r="J53" s="138"/>
    </row>
    <row r="54" ht="15.75" customHeight="1">
      <c r="A54" s="148">
        <v>46080.0</v>
      </c>
      <c r="B54" s="110" t="s">
        <v>1217</v>
      </c>
      <c r="C54" s="106">
        <v>1.0</v>
      </c>
      <c r="D54" s="149" t="str">
        <f>_xlfn.XLOOKUP(B54,[1]FullDataList!F:F,[1]FullDataList!O:O)</f>
        <v>#ERROR!</v>
      </c>
      <c r="E54" s="110" t="str">
        <f>_xlfn.XLOOKUP(B54,[1]Details!C:C,[1]Details!H:H)</f>
        <v>#ERROR!</v>
      </c>
      <c r="H54" s="138"/>
      <c r="J54" s="138"/>
    </row>
    <row r="55" ht="15.75" customHeight="1">
      <c r="A55" s="148">
        <v>46080.0</v>
      </c>
      <c r="B55" s="110" t="s">
        <v>1338</v>
      </c>
      <c r="C55" s="106">
        <v>1.0</v>
      </c>
      <c r="D55" s="149" t="str">
        <f>_xlfn.XLOOKUP(B55,[1]FullDataList!F:F,[1]FullDataList!O:O)</f>
        <v>#ERROR!</v>
      </c>
      <c r="E55" s="110" t="str">
        <f>_xlfn.XLOOKUP(B55,[1]Details!C:C,[1]Details!H:H)</f>
        <v>#ERROR!</v>
      </c>
      <c r="H55" s="138"/>
      <c r="J55" s="138"/>
    </row>
    <row r="56" ht="15.75" customHeight="1">
      <c r="A56" s="148">
        <v>46080.0</v>
      </c>
      <c r="B56" s="110" t="s">
        <v>1175</v>
      </c>
      <c r="C56" s="106">
        <v>1.0</v>
      </c>
      <c r="D56" s="149" t="str">
        <f>_xlfn.XLOOKUP(B56,[1]FullDataList!F:F,[1]FullDataList!O:O)</f>
        <v>#ERROR!</v>
      </c>
      <c r="E56" s="110" t="str">
        <f>_xlfn.XLOOKUP(B56,[1]Details!C:C,[1]Details!H:H)</f>
        <v>#ERROR!</v>
      </c>
      <c r="H56" s="138"/>
      <c r="J56" s="138"/>
    </row>
    <row r="57" ht="15.75" customHeight="1">
      <c r="A57" s="148">
        <v>46080.0</v>
      </c>
      <c r="B57" s="110" t="s">
        <v>1212</v>
      </c>
      <c r="C57" s="106">
        <v>1.0</v>
      </c>
      <c r="D57" s="149" t="str">
        <f>_xlfn.XLOOKUP(B57,[1]FullDataList!F:F,[1]FullDataList!O:O)</f>
        <v>#ERROR!</v>
      </c>
      <c r="E57" s="110" t="str">
        <f>_xlfn.XLOOKUP(B57,[1]Details!C:C,[1]Details!H:H)</f>
        <v>#ERROR!</v>
      </c>
      <c r="H57" s="138"/>
      <c r="J57" s="138"/>
    </row>
    <row r="58" ht="15.75" customHeight="1">
      <c r="A58" s="148">
        <v>46080.0</v>
      </c>
      <c r="B58" s="110" t="s">
        <v>1165</v>
      </c>
      <c r="C58" s="106">
        <v>1.0</v>
      </c>
      <c r="D58" s="149" t="str">
        <f>_xlfn.XLOOKUP(B58,[1]FullDataList!F:F,[1]FullDataList!O:O)</f>
        <v>#ERROR!</v>
      </c>
      <c r="E58" s="110" t="str">
        <f>_xlfn.XLOOKUP(B58,[1]Details!C:C,[1]Details!H:H)</f>
        <v>#ERROR!</v>
      </c>
      <c r="H58" s="138"/>
      <c r="J58" s="138"/>
    </row>
    <row r="59" ht="15.75" customHeight="1">
      <c r="A59" s="148">
        <v>46080.0</v>
      </c>
      <c r="B59" s="110" t="s">
        <v>1228</v>
      </c>
      <c r="C59" s="106">
        <v>1.0</v>
      </c>
      <c r="D59" s="149" t="str">
        <f>_xlfn.XLOOKUP(B59,[1]FullDataList!F:F,[1]FullDataList!O:O)</f>
        <v>#ERROR!</v>
      </c>
      <c r="E59" s="110" t="str">
        <f>_xlfn.XLOOKUP(B59,[1]Details!C:C,[1]Details!H:H)</f>
        <v>#ERROR!</v>
      </c>
      <c r="H59" s="138"/>
      <c r="J59" s="138"/>
    </row>
    <row r="60" ht="15.75" customHeight="1">
      <c r="A60" s="148">
        <v>46080.0</v>
      </c>
      <c r="B60" s="110" t="s">
        <v>1231</v>
      </c>
      <c r="C60" s="106">
        <v>1.0</v>
      </c>
      <c r="D60" s="149" t="str">
        <f>_xlfn.XLOOKUP(B60,[1]FullDataList!F:F,[1]FullDataList!O:O)</f>
        <v>#ERROR!</v>
      </c>
      <c r="E60" s="110" t="str">
        <f>_xlfn.XLOOKUP(B60,[1]Details!C:C,[1]Details!H:H)</f>
        <v>#ERROR!</v>
      </c>
      <c r="H60" s="138"/>
      <c r="J60" s="138"/>
    </row>
    <row r="61" ht="15.75" customHeight="1">
      <c r="A61" s="148">
        <v>46080.0</v>
      </c>
      <c r="B61" s="110" t="s">
        <v>1193</v>
      </c>
      <c r="C61" s="106">
        <v>1.0</v>
      </c>
      <c r="D61" s="149" t="str">
        <f>_xlfn.XLOOKUP(B61,[1]FullDataList!F:F,[1]FullDataList!O:O)</f>
        <v>#ERROR!</v>
      </c>
      <c r="E61" s="110" t="str">
        <f>_xlfn.XLOOKUP(B61,[1]Details!C:C,[1]Details!H:H)</f>
        <v>#ERROR!</v>
      </c>
      <c r="H61" s="138"/>
      <c r="J61" s="138"/>
    </row>
    <row r="62" ht="15.75" customHeight="1">
      <c r="A62" s="148">
        <v>46080.0</v>
      </c>
      <c r="B62" s="110" t="s">
        <v>1161</v>
      </c>
      <c r="C62" s="106">
        <v>1.0</v>
      </c>
      <c r="D62" s="149" t="str">
        <f>_xlfn.XLOOKUP(B62,[1]FullDataList!F:F,[1]FullDataList!O:O)</f>
        <v>#ERROR!</v>
      </c>
      <c r="E62" s="110" t="str">
        <f>_xlfn.XLOOKUP(B62,[1]Details!C:C,[1]Details!H:H)</f>
        <v>#ERROR!</v>
      </c>
      <c r="H62" s="138"/>
      <c r="J62" s="138"/>
    </row>
    <row r="63" ht="15.75" customHeight="1">
      <c r="A63" s="148">
        <v>46080.0</v>
      </c>
      <c r="B63" s="110" t="s">
        <v>1203</v>
      </c>
      <c r="C63" s="106">
        <v>1.0</v>
      </c>
      <c r="D63" s="149" t="str">
        <f>_xlfn.XLOOKUP(B63,[1]FullDataList!F:F,[1]FullDataList!O:O)</f>
        <v>#ERROR!</v>
      </c>
      <c r="E63" s="110" t="str">
        <f>_xlfn.XLOOKUP(B63,[1]Details!C:C,[1]Details!H:H)</f>
        <v>#ERROR!</v>
      </c>
      <c r="H63" s="138"/>
      <c r="J63" s="138"/>
    </row>
    <row r="64" ht="15.75" customHeight="1">
      <c r="A64" s="148">
        <v>46081.0</v>
      </c>
      <c r="B64" s="110" t="s">
        <v>1215</v>
      </c>
      <c r="C64" s="106">
        <v>1.0</v>
      </c>
      <c r="D64" s="149" t="str">
        <f>_xlfn.XLOOKUP(B64,[1]FullDataList!F:F,[1]FullDataList!O:O)</f>
        <v>#ERROR!</v>
      </c>
      <c r="E64" s="110" t="str">
        <f>_xlfn.XLOOKUP(B64,[1]Details!C:C,[1]Details!H:H)</f>
        <v>#ERROR!</v>
      </c>
      <c r="H64" s="138"/>
      <c r="J64" s="138"/>
    </row>
    <row r="65" ht="15.75" customHeight="1">
      <c r="A65" s="148">
        <v>46081.0</v>
      </c>
      <c r="B65" s="110" t="s">
        <v>1033</v>
      </c>
      <c r="C65" s="106">
        <v>1.0</v>
      </c>
      <c r="D65" s="149" t="str">
        <f>_xlfn.XLOOKUP(B65,[1]FullDataList!F:F,[1]FullDataList!O:O)</f>
        <v>#ERROR!</v>
      </c>
      <c r="E65" s="110" t="str">
        <f>_xlfn.XLOOKUP(B65,[1]Details!C:C,[1]Details!H:H)</f>
        <v>#ERROR!</v>
      </c>
      <c r="H65" s="138"/>
      <c r="J65" s="138"/>
    </row>
    <row r="66" ht="15.75" customHeight="1">
      <c r="A66" s="148">
        <v>46081.0</v>
      </c>
      <c r="B66" s="110" t="s">
        <v>1181</v>
      </c>
      <c r="C66" s="106">
        <v>1.0</v>
      </c>
      <c r="D66" s="149" t="str">
        <f>_xlfn.XLOOKUP(B66,[1]FullDataList!F:F,[1]FullDataList!O:O)</f>
        <v>#ERROR!</v>
      </c>
      <c r="E66" s="110" t="str">
        <f>_xlfn.XLOOKUP(B66,[1]Details!C:C,[1]Details!H:H)</f>
        <v>#ERROR!</v>
      </c>
      <c r="H66" s="138"/>
      <c r="J66" s="138"/>
    </row>
    <row r="67" ht="15.75" customHeight="1">
      <c r="A67" s="148">
        <v>46081.0</v>
      </c>
      <c r="B67" s="110" t="s">
        <v>1204</v>
      </c>
      <c r="C67" s="106">
        <v>1.0</v>
      </c>
      <c r="D67" s="149" t="str">
        <f>_xlfn.XLOOKUP(B67,[1]FullDataList!F:F,[1]FullDataList!O:O)</f>
        <v>#ERROR!</v>
      </c>
      <c r="E67" s="110" t="str">
        <f>_xlfn.XLOOKUP(B67,[1]Details!C:C,[1]Details!H:H)</f>
        <v>#ERROR!</v>
      </c>
      <c r="H67" s="138"/>
      <c r="J67" s="138"/>
    </row>
    <row r="68" ht="15.75" customHeight="1">
      <c r="A68" s="148">
        <v>46081.0</v>
      </c>
      <c r="B68" s="110" t="s">
        <v>1182</v>
      </c>
      <c r="C68" s="106">
        <v>1.0</v>
      </c>
      <c r="D68" s="149" t="str">
        <f>_xlfn.XLOOKUP(B68,[1]FullDataList!F:F,[1]FullDataList!O:O)</f>
        <v>#ERROR!</v>
      </c>
      <c r="E68" s="110" t="str">
        <f>_xlfn.XLOOKUP(B68,[1]Details!C:C,[1]Details!H:H)</f>
        <v>#ERROR!</v>
      </c>
      <c r="H68" s="138"/>
      <c r="J68" s="138"/>
    </row>
    <row r="69" ht="15.75" customHeight="1">
      <c r="A69" s="148">
        <v>46081.0</v>
      </c>
      <c r="B69" s="110" t="s">
        <v>1163</v>
      </c>
      <c r="C69" s="106">
        <v>1.0</v>
      </c>
      <c r="D69" s="149" t="str">
        <f>_xlfn.XLOOKUP(B69,[1]FullDataList!F:F,[1]FullDataList!O:O)</f>
        <v>#ERROR!</v>
      </c>
      <c r="E69" s="110" t="str">
        <f>_xlfn.XLOOKUP(B69,[1]Details!C:C,[1]Details!H:H)</f>
        <v>#ERROR!</v>
      </c>
      <c r="H69" s="138"/>
      <c r="J69" s="138"/>
    </row>
    <row r="70" ht="15.75" customHeight="1">
      <c r="A70" s="148">
        <v>46083.0</v>
      </c>
      <c r="B70" s="110" t="s">
        <v>1246</v>
      </c>
      <c r="C70" s="106">
        <v>1.0</v>
      </c>
      <c r="D70" s="149" t="str">
        <f>_xlfn.XLOOKUP(B70,[1]FullDataList!F:F,[1]FullDataList!O:O)</f>
        <v>#ERROR!</v>
      </c>
      <c r="E70" s="110" t="str">
        <f>_xlfn.XLOOKUP(B70,[1]Details!C:C,[1]Details!H:H)</f>
        <v>#ERROR!</v>
      </c>
      <c r="H70" s="138"/>
      <c r="J70" s="138"/>
    </row>
    <row r="71" ht="15.75" customHeight="1">
      <c r="A71" s="148">
        <v>46083.0</v>
      </c>
      <c r="B71" s="110" t="s">
        <v>1185</v>
      </c>
      <c r="C71" s="106">
        <v>1.0</v>
      </c>
      <c r="D71" s="149" t="str">
        <f>_xlfn.XLOOKUP(B71,[1]FullDataList!F:F,[1]FullDataList!O:O)</f>
        <v>#ERROR!</v>
      </c>
      <c r="E71" s="110" t="str">
        <f>_xlfn.XLOOKUP(B71,[1]Details!C:C,[1]Details!H:H)</f>
        <v>#ERROR!</v>
      </c>
      <c r="H71" s="138"/>
      <c r="J71" s="138"/>
    </row>
    <row r="72" ht="15.75" customHeight="1">
      <c r="A72" s="148">
        <v>46084.0</v>
      </c>
      <c r="B72" s="110" t="s">
        <v>1162</v>
      </c>
      <c r="C72" s="106">
        <v>1.0</v>
      </c>
      <c r="D72" s="149" t="str">
        <f>_xlfn.XLOOKUP(B72,[1]FullDataList!F:F,[1]FullDataList!O:O)</f>
        <v>#ERROR!</v>
      </c>
      <c r="E72" s="110" t="str">
        <f>_xlfn.XLOOKUP(B72,[1]Details!C:C,[1]Details!H:H)</f>
        <v>#ERROR!</v>
      </c>
      <c r="H72" s="138"/>
      <c r="J72" s="138"/>
    </row>
    <row r="73" ht="15.75" customHeight="1">
      <c r="A73" s="148">
        <v>46085.0</v>
      </c>
      <c r="B73" s="110" t="s">
        <v>1218</v>
      </c>
      <c r="C73" s="106">
        <v>1.0</v>
      </c>
      <c r="D73" s="149" t="str">
        <f>_xlfn.XLOOKUP(B73,[1]FullDataList!F:F,[1]FullDataList!O:O)</f>
        <v>#ERROR!</v>
      </c>
      <c r="E73" s="110" t="str">
        <f>_xlfn.XLOOKUP(B73,[1]Details!C:C,[1]Details!H:H)</f>
        <v>#ERROR!</v>
      </c>
      <c r="H73" s="138"/>
      <c r="J73" s="138"/>
    </row>
    <row r="74" ht="15.75" customHeight="1">
      <c r="A74" s="148">
        <v>46085.0</v>
      </c>
      <c r="B74" s="110" t="s">
        <v>1205</v>
      </c>
      <c r="C74" s="106">
        <v>1.0</v>
      </c>
      <c r="D74" s="149" t="str">
        <f>_xlfn.XLOOKUP(B74,[1]FullDataList!F:F,[1]FullDataList!O:O)</f>
        <v>#ERROR!</v>
      </c>
      <c r="E74" s="110" t="str">
        <f>_xlfn.XLOOKUP(B74,[1]Details!C:C,[1]Details!H:H)</f>
        <v>#ERROR!</v>
      </c>
      <c r="H74" s="138"/>
      <c r="J74" s="138"/>
    </row>
    <row r="75" ht="15.75" customHeight="1">
      <c r="A75" s="148">
        <v>46086.0</v>
      </c>
      <c r="B75" s="110" t="s">
        <v>1345</v>
      </c>
      <c r="C75" s="106">
        <v>1.0</v>
      </c>
      <c r="D75" s="149" t="str">
        <f>_xlfn.XLOOKUP(B75,[1]FullDataList!F:F,[1]FullDataList!O:O)</f>
        <v>#ERROR!</v>
      </c>
      <c r="E75" s="110" t="str">
        <f>_xlfn.XLOOKUP(B75,[1]Details!C:C,[1]Details!H:H)</f>
        <v>#ERROR!</v>
      </c>
      <c r="H75" s="138"/>
      <c r="J75" s="138"/>
    </row>
    <row r="76" ht="15.75" customHeight="1">
      <c r="A76" s="148">
        <v>46086.0</v>
      </c>
      <c r="B76" s="110" t="s">
        <v>1337</v>
      </c>
      <c r="C76" s="106">
        <v>1.0</v>
      </c>
      <c r="D76" s="149" t="str">
        <f>_xlfn.XLOOKUP(B76,[1]FullDataList!F:F,[1]FullDataList!O:O)</f>
        <v>#ERROR!</v>
      </c>
      <c r="E76" s="110" t="str">
        <f>_xlfn.XLOOKUP(B76,[1]Details!C:C,[1]Details!H:H)</f>
        <v>#ERROR!</v>
      </c>
      <c r="H76" s="138"/>
      <c r="J76" s="138"/>
    </row>
    <row r="77" ht="15.75" customHeight="1">
      <c r="A77" s="148">
        <v>46086.0</v>
      </c>
      <c r="B77" s="110" t="s">
        <v>1247</v>
      </c>
      <c r="C77" s="106">
        <v>1.0</v>
      </c>
      <c r="D77" s="149" t="str">
        <f>_xlfn.XLOOKUP(B77,[1]FullDataList!F:F,[1]FullDataList!O:O)</f>
        <v>#ERROR!</v>
      </c>
      <c r="E77" s="110" t="str">
        <f>_xlfn.XLOOKUP(B77,[1]Details!C:C,[1]Details!H:H)</f>
        <v>#ERROR!</v>
      </c>
      <c r="H77" s="138"/>
      <c r="J77" s="138"/>
    </row>
    <row r="78" ht="15.75" customHeight="1">
      <c r="A78" s="148">
        <v>46086.0</v>
      </c>
      <c r="B78" s="110" t="s">
        <v>1232</v>
      </c>
      <c r="C78" s="106">
        <v>1.0</v>
      </c>
      <c r="D78" s="149" t="str">
        <f>_xlfn.XLOOKUP(B78,[1]FullDataList!F:F,[1]FullDataList!O:O)</f>
        <v>#ERROR!</v>
      </c>
      <c r="E78" s="110" t="str">
        <f>_xlfn.XLOOKUP(B78,[1]Details!C:C,[1]Details!H:H)</f>
        <v>#ERROR!</v>
      </c>
      <c r="H78" s="138"/>
      <c r="J78" s="138"/>
    </row>
    <row r="79" ht="15.75" customHeight="1">
      <c r="A79" s="148">
        <v>46086.0</v>
      </c>
      <c r="B79" s="110" t="s">
        <v>1183</v>
      </c>
      <c r="C79" s="106">
        <v>1.0</v>
      </c>
      <c r="D79" s="149" t="str">
        <f>_xlfn.XLOOKUP(B79,[1]FullDataList!F:F,[1]FullDataList!O:O)</f>
        <v>#ERROR!</v>
      </c>
      <c r="E79" s="110" t="str">
        <f>_xlfn.XLOOKUP(B79,[1]Details!C:C,[1]Details!H:H)</f>
        <v>#ERROR!</v>
      </c>
      <c r="H79" s="138"/>
      <c r="J79" s="138"/>
    </row>
    <row r="80" ht="15.75" customHeight="1">
      <c r="A80" s="148">
        <v>46086.0</v>
      </c>
      <c r="B80" s="110" t="s">
        <v>1135</v>
      </c>
      <c r="C80" s="106">
        <v>1.0</v>
      </c>
      <c r="D80" s="149" t="str">
        <f>_xlfn.XLOOKUP(B80,[1]FullDataList!F:F,[1]FullDataList!O:O)</f>
        <v>#ERROR!</v>
      </c>
      <c r="E80" s="110" t="str">
        <f>_xlfn.XLOOKUP(B80,[1]Details!C:C,[1]Details!H:H)</f>
        <v>#ERROR!</v>
      </c>
      <c r="H80" s="138"/>
      <c r="J80" s="138"/>
    </row>
    <row r="81" ht="15.75" customHeight="1">
      <c r="A81" s="148">
        <v>46086.0</v>
      </c>
      <c r="B81" s="110" t="s">
        <v>1289</v>
      </c>
      <c r="C81" s="106">
        <v>1.0</v>
      </c>
      <c r="D81" s="149" t="str">
        <f>_xlfn.XLOOKUP(B81,[1]FullDataList!F:F,[1]FullDataList!O:O)</f>
        <v>#ERROR!</v>
      </c>
      <c r="E81" s="110" t="str">
        <f>_xlfn.XLOOKUP(B81,[1]Details!C:C,[1]Details!H:H)</f>
        <v>#ERROR!</v>
      </c>
      <c r="H81" s="138"/>
      <c r="J81" s="138"/>
    </row>
    <row r="82" ht="15.75" customHeight="1">
      <c r="A82" s="148">
        <v>46086.0</v>
      </c>
      <c r="B82" s="110" t="s">
        <v>1012</v>
      </c>
      <c r="C82" s="106">
        <v>1.0</v>
      </c>
      <c r="D82" s="149" t="str">
        <f>_xlfn.XLOOKUP(B82,[1]FullDataList!F:F,[1]FullDataList!O:O)</f>
        <v>#ERROR!</v>
      </c>
      <c r="E82" s="110" t="str">
        <f>_xlfn.XLOOKUP(B82,[1]Details!C:C,[1]Details!H:H)</f>
        <v>#ERROR!</v>
      </c>
      <c r="H82" s="138"/>
      <c r="J82" s="138"/>
    </row>
    <row r="83" ht="15.75" customHeight="1">
      <c r="A83" s="148">
        <v>46086.0</v>
      </c>
      <c r="B83" s="110" t="s">
        <v>1187</v>
      </c>
      <c r="C83" s="106">
        <v>1.0</v>
      </c>
      <c r="D83" s="149" t="str">
        <f>_xlfn.XLOOKUP(B83,[1]FullDataList!F:F,[1]FullDataList!O:O)</f>
        <v>#ERROR!</v>
      </c>
      <c r="E83" s="110" t="str">
        <f>_xlfn.XLOOKUP(B83,[1]Details!C:C,[1]Details!H:H)</f>
        <v>#ERROR!</v>
      </c>
      <c r="H83" s="138"/>
      <c r="J83" s="138"/>
    </row>
    <row r="84" ht="15.75" customHeight="1">
      <c r="A84" s="148">
        <v>46086.0</v>
      </c>
      <c r="B84" s="110" t="s">
        <v>1335</v>
      </c>
      <c r="C84" s="106">
        <v>1.0</v>
      </c>
      <c r="D84" s="149" t="str">
        <f>_xlfn.XLOOKUP(B84,[1]FullDataList!F:F,[1]FullDataList!O:O)</f>
        <v>#ERROR!</v>
      </c>
      <c r="E84" s="110" t="str">
        <f>_xlfn.XLOOKUP(B84,[1]Details!C:C,[1]Details!H:H)</f>
        <v>#ERROR!</v>
      </c>
      <c r="H84" s="138"/>
      <c r="J84" s="138"/>
    </row>
    <row r="85" ht="15.75" customHeight="1">
      <c r="A85" s="148">
        <v>46087.0</v>
      </c>
      <c r="B85" s="110" t="s">
        <v>1244</v>
      </c>
      <c r="C85" s="106">
        <v>1.0</v>
      </c>
      <c r="D85" s="149" t="str">
        <f>_xlfn.XLOOKUP(B85,[1]FullDataList!F:F,[1]FullDataList!O:O)</f>
        <v>#ERROR!</v>
      </c>
      <c r="E85" s="110" t="str">
        <f>_xlfn.XLOOKUP(B85,[1]Details!C:C,[1]Details!H:H)</f>
        <v>#ERROR!</v>
      </c>
      <c r="H85" s="138"/>
      <c r="J85" s="138"/>
    </row>
    <row r="86" ht="15.75" customHeight="1">
      <c r="A86" s="148">
        <v>46087.0</v>
      </c>
      <c r="B86" s="110" t="s">
        <v>1346</v>
      </c>
      <c r="C86" s="106">
        <v>1.0</v>
      </c>
      <c r="D86" s="149" t="str">
        <f>_xlfn.XLOOKUP(B86,[1]FullDataList!F:F,[1]FullDataList!O:O)</f>
        <v>#ERROR!</v>
      </c>
      <c r="E86" s="110" t="str">
        <f>_xlfn.XLOOKUP(B86,[1]Details!C:C,[1]Details!H:H)</f>
        <v>#ERROR!</v>
      </c>
      <c r="H86" s="138"/>
      <c r="J86" s="138"/>
    </row>
    <row r="87" ht="15.75" customHeight="1">
      <c r="A87" s="148">
        <v>46087.0</v>
      </c>
      <c r="B87" s="110" t="s">
        <v>1316</v>
      </c>
      <c r="C87" s="106">
        <v>1.0</v>
      </c>
      <c r="D87" s="149" t="str">
        <f>_xlfn.XLOOKUP(B87,[1]FullDataList!F:F,[1]FullDataList!O:O)</f>
        <v>#ERROR!</v>
      </c>
      <c r="E87" s="110" t="str">
        <f>_xlfn.XLOOKUP(B87,[1]Details!C:C,[1]Details!H:H)</f>
        <v>#ERROR!</v>
      </c>
      <c r="H87" s="138"/>
      <c r="J87" s="138"/>
    </row>
    <row r="88" ht="15.75" customHeight="1">
      <c r="A88" s="148">
        <v>46087.0</v>
      </c>
      <c r="B88" s="110" t="s">
        <v>1201</v>
      </c>
      <c r="C88" s="106">
        <v>1.0</v>
      </c>
      <c r="D88" s="149" t="str">
        <f>_xlfn.XLOOKUP(B88,[1]FullDataList!F:F,[1]FullDataList!O:O)</f>
        <v>#ERROR!</v>
      </c>
      <c r="E88" s="110" t="str">
        <f>_xlfn.XLOOKUP(B88,[1]Details!C:C,[1]Details!H:H)</f>
        <v>#ERROR!</v>
      </c>
      <c r="H88" s="138"/>
      <c r="J88" s="138"/>
    </row>
    <row r="89" ht="15.75" customHeight="1">
      <c r="A89" s="148">
        <v>46088.0</v>
      </c>
      <c r="B89" s="110" t="s">
        <v>1317</v>
      </c>
      <c r="C89" s="106">
        <v>1.0</v>
      </c>
      <c r="D89" s="149" t="str">
        <f>_xlfn.XLOOKUP(B89,[1]FullDataList!F:F,[1]FullDataList!O:O)</f>
        <v>#ERROR!</v>
      </c>
      <c r="E89" s="110" t="str">
        <f>_xlfn.XLOOKUP(B89,[1]Details!C:C,[1]Details!H:H)</f>
        <v>#ERROR!</v>
      </c>
      <c r="H89" s="138"/>
      <c r="J89" s="138"/>
    </row>
    <row r="90" ht="15.75" customHeight="1">
      <c r="A90" s="148">
        <v>46088.0</v>
      </c>
      <c r="B90" s="110" t="s">
        <v>1336</v>
      </c>
      <c r="C90" s="106">
        <v>1.0</v>
      </c>
      <c r="D90" s="149" t="str">
        <f>_xlfn.XLOOKUP(B90,[1]FullDataList!F:F,[1]FullDataList!O:O)</f>
        <v>#ERROR!</v>
      </c>
      <c r="E90" s="110" t="str">
        <f>_xlfn.XLOOKUP(B90,[1]Details!C:C,[1]Details!H:H)</f>
        <v>#ERROR!</v>
      </c>
      <c r="H90" s="138"/>
      <c r="J90" s="138"/>
    </row>
    <row r="91" ht="15.75" customHeight="1">
      <c r="A91" s="148">
        <v>46088.0</v>
      </c>
      <c r="B91" s="110" t="s">
        <v>1262</v>
      </c>
      <c r="C91" s="106">
        <v>1.0</v>
      </c>
      <c r="D91" s="149" t="str">
        <f>_xlfn.XLOOKUP(B91,[1]FullDataList!F:F,[1]FullDataList!O:O)</f>
        <v>#ERROR!</v>
      </c>
      <c r="E91" s="110" t="str">
        <f>_xlfn.XLOOKUP(B91,[1]Details!C:C,[1]Details!H:H)</f>
        <v>#ERROR!</v>
      </c>
      <c r="H91" s="138"/>
      <c r="J91" s="138"/>
    </row>
    <row r="92" ht="15.75" customHeight="1">
      <c r="A92" s="148">
        <v>46088.0</v>
      </c>
      <c r="B92" s="110" t="s">
        <v>1312</v>
      </c>
      <c r="C92" s="106">
        <v>1.0</v>
      </c>
      <c r="D92" s="149" t="str">
        <f>_xlfn.XLOOKUP(B92,[1]FullDataList!F:F,[1]FullDataList!O:O)</f>
        <v>#ERROR!</v>
      </c>
      <c r="E92" s="110" t="str">
        <f>_xlfn.XLOOKUP(B92,[1]Details!C:C,[1]Details!H:H)</f>
        <v>#ERROR!</v>
      </c>
      <c r="H92" s="138"/>
      <c r="J92" s="138"/>
    </row>
    <row r="93" ht="15.75" customHeight="1">
      <c r="A93" s="148">
        <v>46088.0</v>
      </c>
      <c r="B93" s="110" t="s">
        <v>1219</v>
      </c>
      <c r="C93" s="106">
        <v>1.0</v>
      </c>
      <c r="D93" s="149" t="str">
        <f>_xlfn.XLOOKUP(B93,[1]FullDataList!F:F,[1]FullDataList!O:O)</f>
        <v>#ERROR!</v>
      </c>
      <c r="E93" s="110" t="str">
        <f>_xlfn.XLOOKUP(B93,[1]Details!C:C,[1]Details!H:H)</f>
        <v>#ERROR!</v>
      </c>
      <c r="H93" s="138"/>
      <c r="J93" s="138"/>
    </row>
    <row r="94" ht="15.75" customHeight="1">
      <c r="A94" s="148">
        <v>46088.0</v>
      </c>
      <c r="B94" s="110" t="s">
        <v>1013</v>
      </c>
      <c r="C94" s="106">
        <v>1.0</v>
      </c>
      <c r="D94" s="149" t="str">
        <f>_xlfn.XLOOKUP(B94,[1]FullDataList!F:F,[1]FullDataList!O:O)</f>
        <v>#ERROR!</v>
      </c>
      <c r="E94" s="110" t="str">
        <f>_xlfn.XLOOKUP(B94,[1]Details!C:C,[1]Details!H:H)</f>
        <v>#ERROR!</v>
      </c>
      <c r="H94" s="138"/>
      <c r="J94" s="138"/>
    </row>
    <row r="95" ht="15.75" customHeight="1">
      <c r="A95" s="148">
        <v>46088.0</v>
      </c>
      <c r="B95" s="110" t="s">
        <v>1017</v>
      </c>
      <c r="C95" s="106">
        <v>1.0</v>
      </c>
      <c r="D95" s="149" t="str">
        <f>_xlfn.XLOOKUP(B95,[1]FullDataList!F:F,[1]FullDataList!O:O)</f>
        <v>#ERROR!</v>
      </c>
      <c r="E95" s="110" t="str">
        <f>_xlfn.XLOOKUP(B95,[1]Details!C:C,[1]Details!H:H)</f>
        <v>#ERROR!</v>
      </c>
      <c r="H95" s="138"/>
      <c r="J95" s="138"/>
    </row>
    <row r="96" ht="15.75" customHeight="1">
      <c r="A96" s="148">
        <v>46088.0</v>
      </c>
      <c r="B96" s="110" t="s">
        <v>1323</v>
      </c>
      <c r="C96" s="106">
        <v>1.0</v>
      </c>
      <c r="D96" s="149" t="str">
        <f>_xlfn.XLOOKUP(B96,[1]FullDataList!F:F,[1]FullDataList!O:O)</f>
        <v>#ERROR!</v>
      </c>
      <c r="E96" s="110" t="str">
        <f>_xlfn.XLOOKUP(B96,[1]Details!C:C,[1]Details!H:H)</f>
        <v>#ERROR!</v>
      </c>
      <c r="H96" s="138"/>
      <c r="J96" s="138"/>
    </row>
    <row r="97" ht="15.75" customHeight="1">
      <c r="A97" s="148">
        <v>46088.0</v>
      </c>
      <c r="B97" s="110" t="s">
        <v>1188</v>
      </c>
      <c r="C97" s="106">
        <v>1.0</v>
      </c>
      <c r="D97" s="149" t="str">
        <f>_xlfn.XLOOKUP(B97,[1]FullDataList!F:F,[1]FullDataList!O:O)</f>
        <v>#ERROR!</v>
      </c>
      <c r="E97" s="110" t="str">
        <f>_xlfn.XLOOKUP(B97,[1]Details!C:C,[1]Details!H:H)</f>
        <v>#ERROR!</v>
      </c>
      <c r="H97" s="138"/>
      <c r="J97" s="138"/>
    </row>
    <row r="98" ht="15.75" customHeight="1">
      <c r="A98" s="148">
        <v>46088.0</v>
      </c>
      <c r="B98" s="110" t="s">
        <v>1142</v>
      </c>
      <c r="C98" s="106">
        <v>1.0</v>
      </c>
      <c r="D98" s="149" t="str">
        <f>_xlfn.XLOOKUP(B98,[1]FullDataList!F:F,[1]FullDataList!O:O)</f>
        <v>#ERROR!</v>
      </c>
      <c r="E98" s="110" t="str">
        <f>_xlfn.XLOOKUP(B98,[1]Details!C:C,[1]Details!H:H)</f>
        <v>#ERROR!</v>
      </c>
      <c r="H98" s="138"/>
      <c r="J98" s="138"/>
    </row>
    <row r="99" ht="15.75" customHeight="1">
      <c r="A99" s="148">
        <v>46088.0</v>
      </c>
      <c r="B99" s="110" t="s">
        <v>1220</v>
      </c>
      <c r="C99" s="106">
        <v>1.0</v>
      </c>
      <c r="D99" s="149" t="str">
        <f>_xlfn.XLOOKUP(B99,[1]FullDataList!F:F,[1]FullDataList!O:O)</f>
        <v>#ERROR!</v>
      </c>
      <c r="E99" s="110" t="str">
        <f>_xlfn.XLOOKUP(B99,[1]Details!C:C,[1]Details!H:H)</f>
        <v>#ERROR!</v>
      </c>
      <c r="H99" s="138"/>
      <c r="J99" s="138"/>
    </row>
    <row r="100" ht="15.75" customHeight="1">
      <c r="A100" s="148">
        <v>46090.0</v>
      </c>
      <c r="B100" s="110" t="s">
        <v>1308</v>
      </c>
      <c r="C100" s="106">
        <v>1.0</v>
      </c>
      <c r="D100" s="149" t="str">
        <f>_xlfn.XLOOKUP(B100,[1]FullDataList!F:F,[1]FullDataList!O:O)</f>
        <v>#ERROR!</v>
      </c>
      <c r="E100" s="110" t="s">
        <v>4002</v>
      </c>
      <c r="H100" s="138"/>
      <c r="J100" s="138"/>
    </row>
    <row r="101" ht="15.75" customHeight="1">
      <c r="A101" s="148">
        <v>46090.0</v>
      </c>
      <c r="B101" s="110" t="s">
        <v>1347</v>
      </c>
      <c r="C101" s="106">
        <v>1.0</v>
      </c>
      <c r="D101" s="149" t="str">
        <f>_xlfn.XLOOKUP(B101,[1]FullDataList!F:F,[1]FullDataList!O:O)</f>
        <v>#ERROR!</v>
      </c>
      <c r="E101" s="110" t="s">
        <v>4003</v>
      </c>
      <c r="H101" s="138"/>
      <c r="J101" s="138"/>
    </row>
    <row r="102" ht="15.75" customHeight="1">
      <c r="A102" s="148">
        <v>46090.0</v>
      </c>
      <c r="B102" s="110" t="s">
        <v>1116</v>
      </c>
      <c r="C102" s="106">
        <v>1.0</v>
      </c>
      <c r="D102" s="149" t="str">
        <f>_xlfn.XLOOKUP(B102,[1]FullDataList!F:F,[1]FullDataList!O:O)</f>
        <v>#ERROR!</v>
      </c>
      <c r="E102" s="110" t="s">
        <v>4004</v>
      </c>
      <c r="H102" s="138"/>
      <c r="J102" s="138"/>
    </row>
    <row r="103" ht="15.75" customHeight="1">
      <c r="A103" s="148">
        <v>46090.0</v>
      </c>
      <c r="B103" s="110" t="s">
        <v>1263</v>
      </c>
      <c r="C103" s="106">
        <v>1.0</v>
      </c>
      <c r="D103" s="149" t="str">
        <f>_xlfn.XLOOKUP(B103,[1]FullDataList!F:F,[1]FullDataList!O:O)</f>
        <v>#ERROR!</v>
      </c>
      <c r="E103" s="110" t="s">
        <v>4005</v>
      </c>
      <c r="H103" s="138"/>
      <c r="J103" s="138"/>
    </row>
    <row r="104" ht="15.75" customHeight="1">
      <c r="A104" s="148">
        <v>46090.0</v>
      </c>
      <c r="B104" s="110" t="s">
        <v>1245</v>
      </c>
      <c r="C104" s="106">
        <v>1.0</v>
      </c>
      <c r="D104" s="149" t="str">
        <f>_xlfn.XLOOKUP(B104,[1]FullDataList!F:F,[1]FullDataList!O:O)</f>
        <v>#ERROR!</v>
      </c>
      <c r="E104" s="110" t="s">
        <v>4006</v>
      </c>
      <c r="H104" s="138"/>
      <c r="J104" s="138"/>
    </row>
    <row r="105" ht="15.75" customHeight="1">
      <c r="A105" s="148">
        <v>46090.0</v>
      </c>
      <c r="B105" s="110" t="s">
        <v>1189</v>
      </c>
      <c r="C105" s="106">
        <v>1.0</v>
      </c>
      <c r="D105" s="149" t="str">
        <f>_xlfn.XLOOKUP(B105,[1]FullDataList!F:F,[1]FullDataList!O:O)</f>
        <v>#ERROR!</v>
      </c>
      <c r="E105" s="110" t="s">
        <v>4007</v>
      </c>
      <c r="H105" s="138"/>
      <c r="J105" s="138"/>
    </row>
    <row r="106" ht="15.75" customHeight="1">
      <c r="A106" s="148">
        <v>46090.0</v>
      </c>
      <c r="B106" s="110" t="s">
        <v>1307</v>
      </c>
      <c r="C106" s="106">
        <v>1.0</v>
      </c>
      <c r="D106" s="149" t="str">
        <f>_xlfn.XLOOKUP(B106,[1]FullDataList!F:F,[1]FullDataList!O:O)</f>
        <v>#ERROR!</v>
      </c>
      <c r="E106" s="110" t="s">
        <v>4008</v>
      </c>
      <c r="H106" s="138"/>
      <c r="J106" s="138"/>
    </row>
    <row r="107" ht="15.75" customHeight="1">
      <c r="A107" s="148">
        <v>46090.0</v>
      </c>
      <c r="B107" s="110" t="s">
        <v>1137</v>
      </c>
      <c r="C107" s="106">
        <v>1.0</v>
      </c>
      <c r="D107" s="149" t="str">
        <f>_xlfn.XLOOKUP(B107,[1]FullDataList!F:F,[1]FullDataList!O:O)</f>
        <v>#ERROR!</v>
      </c>
      <c r="E107" s="110" t="s">
        <v>4009</v>
      </c>
      <c r="H107" s="138"/>
      <c r="J107" s="138"/>
    </row>
    <row r="108" ht="15.75" customHeight="1">
      <c r="A108" s="148">
        <v>46090.0</v>
      </c>
      <c r="B108" s="110" t="s">
        <v>1221</v>
      </c>
      <c r="C108" s="106">
        <v>1.0</v>
      </c>
      <c r="D108" s="149" t="str">
        <f>_xlfn.XLOOKUP(B108,[1]FullDataList!F:F,[1]FullDataList!O:O)</f>
        <v>#ERROR!</v>
      </c>
      <c r="E108" s="110" t="s">
        <v>4010</v>
      </c>
      <c r="H108" s="138"/>
      <c r="J108" s="138"/>
    </row>
    <row r="109" ht="15.75" customHeight="1">
      <c r="A109" s="148">
        <v>46091.0</v>
      </c>
      <c r="B109" s="110" t="s">
        <v>1285</v>
      </c>
      <c r="C109" s="106">
        <v>1.0</v>
      </c>
      <c r="D109" s="149" t="str">
        <f>_xlfn.XLOOKUP(B109,[1]FullDataList!F:F,[1]FullDataList!O:O)</f>
        <v>#ERROR!</v>
      </c>
      <c r="E109" s="110" t="s">
        <v>4006</v>
      </c>
      <c r="H109" s="138"/>
      <c r="J109" s="138"/>
    </row>
    <row r="110" ht="15.75" customHeight="1">
      <c r="A110" s="148">
        <v>46091.0</v>
      </c>
      <c r="B110" s="110" t="s">
        <v>1313</v>
      </c>
      <c r="C110" s="106">
        <v>1.0</v>
      </c>
      <c r="D110" s="149" t="str">
        <f>_xlfn.XLOOKUP(B110,[1]FullDataList!F:F,[1]FullDataList!O:O)</f>
        <v>#ERROR!</v>
      </c>
      <c r="E110" s="110" t="s">
        <v>4011</v>
      </c>
      <c r="H110" s="138"/>
      <c r="J110" s="138"/>
    </row>
    <row r="111" ht="15.75" customHeight="1">
      <c r="A111" s="148">
        <v>46091.0</v>
      </c>
      <c r="B111" s="110" t="s">
        <v>1349</v>
      </c>
      <c r="C111" s="106">
        <v>1.0</v>
      </c>
      <c r="D111" s="149" t="str">
        <f>_xlfn.XLOOKUP(B111,[1]FullDataList!F:F,[1]FullDataList!O:O)</f>
        <v>#ERROR!</v>
      </c>
      <c r="E111" s="110" t="s">
        <v>4008</v>
      </c>
      <c r="H111" s="138"/>
      <c r="J111" s="138"/>
    </row>
    <row r="112" ht="15.75" customHeight="1">
      <c r="A112" s="148">
        <v>46091.0</v>
      </c>
      <c r="B112" s="110" t="s">
        <v>1136</v>
      </c>
      <c r="C112" s="106">
        <v>1.0</v>
      </c>
      <c r="D112" s="149" t="str">
        <f>_xlfn.XLOOKUP(B112,[1]FullDataList!F:F,[1]FullDataList!O:O)</f>
        <v>#ERROR!</v>
      </c>
      <c r="E112" s="110" t="s">
        <v>4009</v>
      </c>
      <c r="H112" s="138"/>
      <c r="J112" s="138"/>
    </row>
    <row r="113" ht="15.75" customHeight="1">
      <c r="A113" s="148">
        <v>46091.0</v>
      </c>
      <c r="B113" s="110" t="s">
        <v>1265</v>
      </c>
      <c r="C113" s="106">
        <v>1.0</v>
      </c>
      <c r="D113" s="149" t="str">
        <f>_xlfn.XLOOKUP(B113,[1]FullDataList!F:F,[1]FullDataList!O:O)</f>
        <v>#ERROR!</v>
      </c>
      <c r="E113" s="110" t="s">
        <v>4012</v>
      </c>
      <c r="H113" s="138"/>
      <c r="J113" s="138"/>
    </row>
    <row r="114" ht="15.75" customHeight="1">
      <c r="A114" s="148">
        <v>46091.0</v>
      </c>
      <c r="B114" s="110" t="s">
        <v>1014</v>
      </c>
      <c r="C114" s="106">
        <v>1.0</v>
      </c>
      <c r="D114" s="149" t="str">
        <f>_xlfn.XLOOKUP(B114,[1]FullDataList!F:F,[1]FullDataList!O:O)</f>
        <v>#ERROR!</v>
      </c>
      <c r="E114" s="110" t="s">
        <v>4013</v>
      </c>
      <c r="H114" s="138"/>
      <c r="J114" s="138"/>
    </row>
    <row r="115" ht="15.75" customHeight="1">
      <c r="A115" s="148">
        <v>46091.0</v>
      </c>
      <c r="B115" s="110" t="s">
        <v>1225</v>
      </c>
      <c r="C115" s="106">
        <v>1.0</v>
      </c>
      <c r="D115" s="149" t="str">
        <f>_xlfn.XLOOKUP(B115,[1]FullDataList!F:F,[1]FullDataList!O:O)</f>
        <v>#ERROR!</v>
      </c>
      <c r="E115" s="110" t="s">
        <v>4014</v>
      </c>
      <c r="H115" s="138"/>
      <c r="J115" s="138"/>
    </row>
    <row r="116" ht="15.75" customHeight="1">
      <c r="A116" s="148">
        <v>46091.0</v>
      </c>
      <c r="B116" s="110" t="s">
        <v>1342</v>
      </c>
      <c r="C116" s="106">
        <v>1.0</v>
      </c>
      <c r="D116" s="149" t="str">
        <f>_xlfn.XLOOKUP(B116,[1]FullDataList!F:F,[1]FullDataList!O:O)</f>
        <v>#ERROR!</v>
      </c>
      <c r="E116" s="110" t="s">
        <v>4015</v>
      </c>
      <c r="H116" s="138"/>
      <c r="J116" s="138"/>
    </row>
    <row r="117" ht="15.75" customHeight="1">
      <c r="A117" s="148">
        <v>46091.0</v>
      </c>
      <c r="B117" s="110" t="s">
        <v>1224</v>
      </c>
      <c r="C117" s="106">
        <v>1.0</v>
      </c>
      <c r="D117" s="149" t="str">
        <f>_xlfn.XLOOKUP(B117,[1]FullDataList!F:F,[1]FullDataList!O:O)</f>
        <v>#ERROR!</v>
      </c>
      <c r="E117" s="110" t="s">
        <v>4016</v>
      </c>
      <c r="H117" s="138"/>
      <c r="J117" s="138"/>
    </row>
    <row r="118" ht="15.75" customHeight="1">
      <c r="A118" s="148">
        <v>46091.0</v>
      </c>
      <c r="B118" s="110" t="s">
        <v>1020</v>
      </c>
      <c r="C118" s="106">
        <v>1.0</v>
      </c>
      <c r="D118" s="149" t="str">
        <f>_xlfn.XLOOKUP(B118,[1]FullDataList!F:F,[1]FullDataList!O:O)</f>
        <v>#ERROR!</v>
      </c>
      <c r="E118" s="110" t="s">
        <v>4017</v>
      </c>
      <c r="H118" s="138"/>
      <c r="J118" s="138"/>
    </row>
    <row r="119" ht="15.75" customHeight="1">
      <c r="A119" s="148">
        <v>46091.0</v>
      </c>
      <c r="B119" s="110" t="s">
        <v>1222</v>
      </c>
      <c r="C119" s="106">
        <v>1.0</v>
      </c>
      <c r="D119" s="149" t="str">
        <f>_xlfn.XLOOKUP(B119,[1]FullDataList!F:F,[1]FullDataList!O:O)</f>
        <v>#ERROR!</v>
      </c>
      <c r="E119" s="110" t="s">
        <v>4010</v>
      </c>
      <c r="H119" s="138"/>
      <c r="J119" s="138"/>
    </row>
    <row r="120" ht="15.75" customHeight="1">
      <c r="A120" s="148">
        <v>46092.0</v>
      </c>
      <c r="B120" s="110" t="s">
        <v>1004</v>
      </c>
      <c r="C120" s="106">
        <v>1.0</v>
      </c>
      <c r="D120" s="149" t="str">
        <f>_xlfn.XLOOKUP(B120,[1]FullDataList!F:F,[1]FullDataList!O:O)</f>
        <v>#ERROR!</v>
      </c>
      <c r="E120" s="110" t="s">
        <v>4002</v>
      </c>
      <c r="H120" s="138"/>
      <c r="J120" s="138"/>
    </row>
    <row r="121" ht="15.75" customHeight="1">
      <c r="A121" s="148">
        <v>46092.0</v>
      </c>
      <c r="B121" s="110" t="s">
        <v>1117</v>
      </c>
      <c r="C121" s="106">
        <v>1.0</v>
      </c>
      <c r="D121" s="149" t="str">
        <f>_xlfn.XLOOKUP(B121,[1]FullDataList!F:F,[1]FullDataList!O:O)</f>
        <v>#ERROR!</v>
      </c>
      <c r="E121" s="110" t="s">
        <v>4004</v>
      </c>
      <c r="H121" s="138"/>
      <c r="J121" s="138"/>
    </row>
    <row r="122" ht="15.75" customHeight="1">
      <c r="A122" s="148">
        <v>46092.0</v>
      </c>
      <c r="B122" s="110" t="s">
        <v>1264</v>
      </c>
      <c r="C122" s="106">
        <v>1.0</v>
      </c>
      <c r="D122" s="149" t="str">
        <f>_xlfn.XLOOKUP(B122,[1]FullDataList!F:F,[1]FullDataList!O:O)</f>
        <v>#ERROR!</v>
      </c>
      <c r="E122" s="110" t="s">
        <v>4005</v>
      </c>
      <c r="H122" s="138"/>
      <c r="J122" s="138"/>
    </row>
    <row r="123" ht="15.75" customHeight="1">
      <c r="A123" s="148">
        <v>46092.0</v>
      </c>
      <c r="B123" s="110" t="s">
        <v>1200</v>
      </c>
      <c r="C123" s="106">
        <v>1.0</v>
      </c>
      <c r="D123" s="149" t="str">
        <f>_xlfn.XLOOKUP(B123,[1]FullDataList!F:F,[1]FullDataList!O:O)</f>
        <v>#ERROR!</v>
      </c>
      <c r="E123" s="110" t="s">
        <v>4007</v>
      </c>
      <c r="H123" s="138"/>
      <c r="J123" s="138"/>
    </row>
    <row r="124" ht="15.75" customHeight="1">
      <c r="A124" s="148">
        <v>46092.0</v>
      </c>
      <c r="B124" s="110" t="s">
        <v>1340</v>
      </c>
      <c r="C124" s="106">
        <v>1.0</v>
      </c>
      <c r="D124" s="149" t="str">
        <f>_xlfn.XLOOKUP(B124,[1]FullDataList!F:F,[1]FullDataList!O:O)</f>
        <v>#ERROR!</v>
      </c>
      <c r="E124" s="110" t="s">
        <v>4015</v>
      </c>
      <c r="H124" s="138"/>
      <c r="J124" s="138"/>
    </row>
    <row r="125" ht="15.75" customHeight="1">
      <c r="A125" s="148">
        <v>46092.0</v>
      </c>
      <c r="B125" s="110" t="s">
        <v>1208</v>
      </c>
      <c r="C125" s="106">
        <v>1.0</v>
      </c>
      <c r="D125" s="149" t="str">
        <f>_xlfn.XLOOKUP(B125,[1]FullDataList!F:F,[1]FullDataList!O:O)</f>
        <v>#ERROR!</v>
      </c>
      <c r="E125" s="110" t="s">
        <v>4014</v>
      </c>
      <c r="H125" s="138"/>
      <c r="J125" s="138"/>
    </row>
    <row r="126" ht="15.75" customHeight="1">
      <c r="A126" s="148">
        <v>46092.0</v>
      </c>
      <c r="B126" s="110" t="s">
        <v>1209</v>
      </c>
      <c r="C126" s="106">
        <v>1.0</v>
      </c>
      <c r="D126" s="149" t="str">
        <f>_xlfn.XLOOKUP(B126,[1]FullDataList!F:F,[1]FullDataList!O:O)</f>
        <v>#ERROR!</v>
      </c>
      <c r="E126" s="110" t="s">
        <v>4018</v>
      </c>
      <c r="H126" s="138"/>
      <c r="J126" s="138"/>
    </row>
    <row r="127" ht="15.75" customHeight="1">
      <c r="A127" s="148">
        <v>46093.0</v>
      </c>
      <c r="B127" s="110" t="s">
        <v>995</v>
      </c>
      <c r="C127" s="106">
        <v>1.0</v>
      </c>
      <c r="D127" s="149" t="str">
        <f>_xlfn.XLOOKUP(B127,[1]FullDataList!F:F,[1]FullDataList!O:O)</f>
        <v>#ERROR!</v>
      </c>
      <c r="E127" s="110" t="s">
        <v>4002</v>
      </c>
      <c r="H127" s="138"/>
      <c r="J127" s="138"/>
    </row>
    <row r="128" ht="15.75" customHeight="1">
      <c r="A128" s="148">
        <v>46093.0</v>
      </c>
      <c r="B128" s="110" t="s">
        <v>1348</v>
      </c>
      <c r="C128" s="106">
        <v>1.0</v>
      </c>
      <c r="D128" s="149" t="str">
        <f>_xlfn.XLOOKUP(B128,[1]FullDataList!F:F,[1]FullDataList!O:O)</f>
        <v>#ERROR!</v>
      </c>
      <c r="E128" s="110" t="s">
        <v>4003</v>
      </c>
      <c r="H128" s="138"/>
      <c r="J128" s="138"/>
    </row>
    <row r="129" ht="15.75" customHeight="1">
      <c r="A129" s="148">
        <v>46093.0</v>
      </c>
      <c r="B129" s="110" t="s">
        <v>1130</v>
      </c>
      <c r="C129" s="106">
        <v>1.0</v>
      </c>
      <c r="D129" s="149" t="str">
        <f>_xlfn.XLOOKUP(B129,[1]FullDataList!F:F,[1]FullDataList!O:O)</f>
        <v>#ERROR!</v>
      </c>
      <c r="E129" s="110" t="s">
        <v>4004</v>
      </c>
      <c r="H129" s="138"/>
      <c r="J129" s="138"/>
    </row>
    <row r="130" ht="15.75" customHeight="1">
      <c r="A130" s="148">
        <v>46093.0</v>
      </c>
      <c r="B130" s="110" t="s">
        <v>1278</v>
      </c>
      <c r="C130" s="106">
        <v>1.0</v>
      </c>
      <c r="D130" s="149" t="str">
        <f>_xlfn.XLOOKUP(B130,[1]FullDataList!F:F,[1]FullDataList!O:O)</f>
        <v>#ERROR!</v>
      </c>
      <c r="E130" s="110" t="s">
        <v>4005</v>
      </c>
      <c r="H130" s="138"/>
      <c r="J130" s="138"/>
    </row>
    <row r="131" ht="15.75" customHeight="1">
      <c r="A131" s="148">
        <v>46093.0</v>
      </c>
      <c r="B131" s="110" t="s">
        <v>1286</v>
      </c>
      <c r="C131" s="106">
        <v>1.0</v>
      </c>
      <c r="D131" s="149" t="str">
        <f>_xlfn.XLOOKUP(B131,[1]FullDataList!F:F,[1]FullDataList!O:O)</f>
        <v>#ERROR!</v>
      </c>
      <c r="E131" s="110" t="s">
        <v>4019</v>
      </c>
      <c r="H131" s="138"/>
      <c r="J131" s="138"/>
    </row>
    <row r="132" ht="15.75" customHeight="1">
      <c r="A132" s="148">
        <v>46093.0</v>
      </c>
      <c r="B132" s="110" t="s">
        <v>1314</v>
      </c>
      <c r="C132" s="106">
        <v>1.0</v>
      </c>
      <c r="D132" s="149" t="str">
        <f>_xlfn.XLOOKUP(B132,[1]FullDataList!F:F,[1]FullDataList!O:O)</f>
        <v>#ERROR!</v>
      </c>
      <c r="E132" s="110" t="s">
        <v>4020</v>
      </c>
      <c r="H132" s="138"/>
      <c r="J132" s="138"/>
    </row>
    <row r="133" ht="15.75" customHeight="1">
      <c r="A133" s="148">
        <v>46093.0</v>
      </c>
      <c r="B133" s="110" t="s">
        <v>1321</v>
      </c>
      <c r="C133" s="106">
        <v>1.0</v>
      </c>
      <c r="D133" s="149" t="str">
        <f>_xlfn.XLOOKUP(B133,[1]FullDataList!F:F,[1]FullDataList!O:O)</f>
        <v>#ERROR!</v>
      </c>
      <c r="E133" s="110" t="s">
        <v>4008</v>
      </c>
      <c r="H133" s="138"/>
      <c r="J133" s="138"/>
    </row>
    <row r="134" ht="15.75" customHeight="1">
      <c r="A134" s="148">
        <v>46093.0</v>
      </c>
      <c r="B134" s="110" t="s">
        <v>1299</v>
      </c>
      <c r="C134" s="106">
        <v>1.0</v>
      </c>
      <c r="D134" s="149" t="str">
        <f>_xlfn.XLOOKUP(B134,[1]FullDataList!F:F,[1]FullDataList!O:O)</f>
        <v>#ERROR!</v>
      </c>
      <c r="E134" s="110" t="s">
        <v>4021</v>
      </c>
      <c r="H134" s="138"/>
      <c r="J134" s="138"/>
    </row>
    <row r="135" ht="15.75" customHeight="1">
      <c r="A135" s="148">
        <v>46093.0</v>
      </c>
      <c r="B135" s="110" t="s">
        <v>1291</v>
      </c>
      <c r="C135" s="106">
        <v>1.0</v>
      </c>
      <c r="D135" s="149" t="str">
        <f>_xlfn.XLOOKUP(B135,[1]FullDataList!F:F,[1]FullDataList!O:O)</f>
        <v>#ERROR!</v>
      </c>
      <c r="E135" s="110" t="s">
        <v>4012</v>
      </c>
      <c r="H135" s="138"/>
      <c r="J135" s="138"/>
    </row>
    <row r="136" ht="15.75" customHeight="1">
      <c r="A136" s="148">
        <v>46093.0</v>
      </c>
      <c r="B136" s="110" t="s">
        <v>1015</v>
      </c>
      <c r="C136" s="106">
        <v>1.0</v>
      </c>
      <c r="D136" s="149" t="str">
        <f>_xlfn.XLOOKUP(B136,[1]FullDataList!F:F,[1]FullDataList!O:O)</f>
        <v>#ERROR!</v>
      </c>
      <c r="E136" s="110" t="s">
        <v>4013</v>
      </c>
      <c r="H136" s="138"/>
      <c r="J136" s="138"/>
    </row>
    <row r="137" ht="15.75" customHeight="1">
      <c r="A137" s="148">
        <v>46093.0</v>
      </c>
      <c r="B137" s="110" t="s">
        <v>1239</v>
      </c>
      <c r="C137" s="106">
        <v>1.0</v>
      </c>
      <c r="D137" s="149" t="str">
        <f>_xlfn.XLOOKUP(B137,[1]FullDataList!F:F,[1]FullDataList!O:O)</f>
        <v>#ERROR!</v>
      </c>
      <c r="E137" s="110" t="s">
        <v>4022</v>
      </c>
      <c r="H137" s="138"/>
      <c r="J137" s="138"/>
    </row>
    <row r="138" ht="15.75" customHeight="1">
      <c r="A138" s="148">
        <v>46093.0</v>
      </c>
      <c r="B138" s="110" t="s">
        <v>996</v>
      </c>
      <c r="C138" s="106">
        <v>1.0</v>
      </c>
      <c r="D138" s="149" t="str">
        <f>_xlfn.XLOOKUP(B138,[1]FullDataList!F:F,[1]FullDataList!O:O)</f>
        <v>#ERROR!</v>
      </c>
      <c r="E138" s="110" t="s">
        <v>4023</v>
      </c>
      <c r="H138" s="138"/>
      <c r="J138" s="138"/>
    </row>
    <row r="139" ht="15.75" customHeight="1">
      <c r="A139" s="148">
        <v>46093.0</v>
      </c>
      <c r="B139" s="110" t="s">
        <v>1302</v>
      </c>
      <c r="C139" s="106">
        <v>1.0</v>
      </c>
      <c r="D139" s="149" t="str">
        <f>_xlfn.XLOOKUP(B139,[1]FullDataList!F:F,[1]FullDataList!O:O)</f>
        <v>#ERROR!</v>
      </c>
      <c r="E139" s="110" t="s">
        <v>4024</v>
      </c>
      <c r="H139" s="138"/>
      <c r="J139" s="138"/>
    </row>
    <row r="140" ht="15.75" customHeight="1">
      <c r="A140" s="148">
        <v>46094.0</v>
      </c>
      <c r="B140" s="110" t="s">
        <v>1287</v>
      </c>
      <c r="C140" s="106">
        <v>1.0</v>
      </c>
      <c r="D140" s="149" t="str">
        <f>_xlfn.XLOOKUP(B140,[1]FullDataList!F:F,[1]FullDataList!O:O)</f>
        <v>#ERROR!</v>
      </c>
      <c r="E140" s="110" t="s">
        <v>4006</v>
      </c>
      <c r="H140" s="138"/>
      <c r="J140" s="138"/>
    </row>
    <row r="141" ht="15.75" customHeight="1">
      <c r="A141" s="148">
        <v>46094.0</v>
      </c>
      <c r="B141" s="110" t="s">
        <v>1315</v>
      </c>
      <c r="C141" s="106">
        <v>1.0</v>
      </c>
      <c r="D141" s="149" t="str">
        <f>_xlfn.XLOOKUP(B141,[1]FullDataList!F:F,[1]FullDataList!O:O)</f>
        <v>#ERROR!</v>
      </c>
      <c r="E141" s="110" t="s">
        <v>4020</v>
      </c>
      <c r="H141" s="138"/>
      <c r="J141" s="138"/>
    </row>
    <row r="142" ht="15.75" customHeight="1">
      <c r="A142" s="148">
        <v>46094.0</v>
      </c>
      <c r="B142" s="110" t="s">
        <v>1229</v>
      </c>
      <c r="C142" s="106">
        <v>1.0</v>
      </c>
      <c r="D142" s="149" t="str">
        <f>_xlfn.XLOOKUP(B142,[1]FullDataList!F:F,[1]FullDataList!O:O)</f>
        <v>#ERROR!</v>
      </c>
      <c r="E142" s="110" t="s">
        <v>4025</v>
      </c>
      <c r="H142" s="138"/>
      <c r="J142" s="138"/>
    </row>
    <row r="143" ht="15.75" customHeight="1">
      <c r="A143" s="148">
        <v>46094.0</v>
      </c>
      <c r="B143" s="110" t="s">
        <v>1300</v>
      </c>
      <c r="C143" s="106">
        <v>1.0</v>
      </c>
      <c r="D143" s="149" t="str">
        <f>_xlfn.XLOOKUP(B143,[1]FullDataList!F:F,[1]FullDataList!O:O)</f>
        <v>#ERROR!</v>
      </c>
      <c r="E143" s="110" t="s">
        <v>4009</v>
      </c>
      <c r="H143" s="138"/>
      <c r="J143" s="138"/>
    </row>
    <row r="144" ht="15.75" customHeight="1">
      <c r="A144" s="148">
        <v>46094.0</v>
      </c>
      <c r="B144" s="110" t="s">
        <v>1140</v>
      </c>
      <c r="C144" s="106">
        <v>1.0</v>
      </c>
      <c r="D144" s="149" t="str">
        <f>_xlfn.XLOOKUP(B144,[1]FullDataList!F:F,[1]FullDataList!O:O)</f>
        <v>#ERROR!</v>
      </c>
      <c r="E144" s="110" t="s">
        <v>4014</v>
      </c>
      <c r="H144" s="138"/>
      <c r="J144" s="138"/>
    </row>
    <row r="145" ht="15.75" customHeight="1">
      <c r="A145" s="148">
        <v>46094.0</v>
      </c>
      <c r="B145" s="110" t="s">
        <v>1341</v>
      </c>
      <c r="C145" s="106">
        <v>1.0</v>
      </c>
      <c r="D145" s="149" t="str">
        <f>_xlfn.XLOOKUP(B145,[1]FullDataList!F:F,[1]FullDataList!O:O)</f>
        <v>#ERROR!</v>
      </c>
      <c r="E145" s="110" t="s">
        <v>4015</v>
      </c>
      <c r="H145" s="138"/>
      <c r="J145" s="138"/>
    </row>
    <row r="146" ht="15.75" customHeight="1">
      <c r="A146" s="148">
        <v>46094.0</v>
      </c>
      <c r="B146" s="110" t="s">
        <v>997</v>
      </c>
      <c r="C146" s="106">
        <v>1.0</v>
      </c>
      <c r="D146" s="149" t="str">
        <f>_xlfn.XLOOKUP(B146,[1]FullDataList!F:F,[1]FullDataList!O:O)</f>
        <v>#ERROR!</v>
      </c>
      <c r="E146" s="110" t="s">
        <v>4010</v>
      </c>
      <c r="H146" s="138"/>
      <c r="J146" s="138"/>
    </row>
    <row r="147" ht="15.75" customHeight="1">
      <c r="A147" s="148">
        <v>46094.0</v>
      </c>
      <c r="B147" s="110" t="s">
        <v>1241</v>
      </c>
      <c r="C147" s="106">
        <v>1.0</v>
      </c>
      <c r="D147" s="149" t="str">
        <f>_xlfn.XLOOKUP(B147,[1]FullDataList!F:F,[1]FullDataList!O:O)</f>
        <v>#ERROR!</v>
      </c>
      <c r="E147" s="110" t="s">
        <v>4010</v>
      </c>
      <c r="H147" s="138"/>
      <c r="J147" s="138"/>
    </row>
    <row r="148" ht="15.75" customHeight="1">
      <c r="A148" s="148">
        <v>46095.0</v>
      </c>
      <c r="B148" s="110" t="s">
        <v>1303</v>
      </c>
      <c r="C148" s="106">
        <v>1.0</v>
      </c>
      <c r="D148" s="149" t="str">
        <f>_xlfn.XLOOKUP(B148,[1]FullDataList!F:F,[1]FullDataList!O:O)</f>
        <v>#ERROR!</v>
      </c>
      <c r="E148" s="110" t="s">
        <v>4026</v>
      </c>
      <c r="H148" s="138"/>
      <c r="J148" s="138"/>
    </row>
    <row r="149" ht="15.75" customHeight="1">
      <c r="A149" s="148">
        <v>46095.0</v>
      </c>
      <c r="B149" s="110" t="s">
        <v>1128</v>
      </c>
      <c r="C149" s="106">
        <v>1.0</v>
      </c>
      <c r="D149" s="149" t="str">
        <f>_xlfn.XLOOKUP(B149,[1]FullDataList!F:F,[1]FullDataList!O:O)</f>
        <v>#ERROR!</v>
      </c>
      <c r="E149" s="110" t="s">
        <v>4002</v>
      </c>
      <c r="H149" s="138"/>
      <c r="J149" s="138"/>
    </row>
    <row r="150" ht="15.75" customHeight="1">
      <c r="A150" s="148">
        <v>46095.0</v>
      </c>
      <c r="B150" s="110" t="s">
        <v>1343</v>
      </c>
      <c r="C150" s="106">
        <v>1.0</v>
      </c>
      <c r="D150" s="149" t="str">
        <f>_xlfn.XLOOKUP(B150,[1]FullDataList!F:F,[1]FullDataList!O:O)</f>
        <v>#ERROR!</v>
      </c>
      <c r="E150" s="110" t="s">
        <v>4003</v>
      </c>
      <c r="H150" s="138"/>
      <c r="J150" s="138"/>
    </row>
    <row r="151" ht="15.75" customHeight="1">
      <c r="A151" s="148">
        <v>46095.0</v>
      </c>
      <c r="B151" s="110" t="s">
        <v>1131</v>
      </c>
      <c r="C151" s="106">
        <v>1.0</v>
      </c>
      <c r="D151" s="149" t="str">
        <f>_xlfn.XLOOKUP(B151,[1]FullDataList!F:F,[1]FullDataList!O:O)</f>
        <v>#ERROR!</v>
      </c>
      <c r="E151" s="110" t="s">
        <v>4004</v>
      </c>
      <c r="H151" s="138"/>
      <c r="J151" s="138"/>
    </row>
    <row r="152" ht="15.75" customHeight="1">
      <c r="A152" s="148">
        <v>46095.0</v>
      </c>
      <c r="B152" s="110" t="s">
        <v>1279</v>
      </c>
      <c r="C152" s="106">
        <v>1.0</v>
      </c>
      <c r="D152" s="149" t="str">
        <f>_xlfn.XLOOKUP(B152,[1]FullDataList!F:F,[1]FullDataList!O:O)</f>
        <v>#ERROR!</v>
      </c>
      <c r="E152" s="110" t="s">
        <v>4005</v>
      </c>
      <c r="H152" s="138"/>
      <c r="J152" s="138"/>
    </row>
    <row r="153" ht="15.75" customHeight="1">
      <c r="A153" s="148">
        <v>46095.0</v>
      </c>
      <c r="B153" s="110" t="s">
        <v>1288</v>
      </c>
      <c r="C153" s="106">
        <v>1.0</v>
      </c>
      <c r="D153" s="149" t="str">
        <f>_xlfn.XLOOKUP(B153,[1]FullDataList!F:F,[1]FullDataList!O:O)</f>
        <v>#ERROR!</v>
      </c>
      <c r="E153" s="110" t="s">
        <v>4006</v>
      </c>
      <c r="H153" s="138"/>
      <c r="J153" s="138"/>
    </row>
    <row r="154" ht="15.75" customHeight="1">
      <c r="A154" s="148">
        <v>46095.0</v>
      </c>
      <c r="B154" s="110" t="s">
        <v>1028</v>
      </c>
      <c r="C154" s="106">
        <v>1.0</v>
      </c>
      <c r="D154" s="149" t="str">
        <f>_xlfn.XLOOKUP(B154,[1]FullDataList!F:F,[1]FullDataList!O:O)</f>
        <v>#ERROR!</v>
      </c>
      <c r="E154" s="110" t="s">
        <v>4008</v>
      </c>
      <c r="H154" s="138"/>
      <c r="J154" s="138"/>
    </row>
    <row r="155" ht="15.75" customHeight="1">
      <c r="A155" s="148">
        <v>46095.0</v>
      </c>
      <c r="B155" s="110" t="s">
        <v>1301</v>
      </c>
      <c r="C155" s="106">
        <v>1.0</v>
      </c>
      <c r="D155" s="149" t="str">
        <f>_xlfn.XLOOKUP(B155,[1]FullDataList!F:F,[1]FullDataList!O:O)</f>
        <v>#ERROR!</v>
      </c>
      <c r="E155" s="110" t="s">
        <v>4009</v>
      </c>
      <c r="H155" s="138"/>
      <c r="J155" s="138"/>
    </row>
    <row r="156" ht="15.75" customHeight="1">
      <c r="A156" s="148">
        <v>46095.0</v>
      </c>
      <c r="B156" s="110" t="s">
        <v>1248</v>
      </c>
      <c r="C156" s="106">
        <v>1.0</v>
      </c>
      <c r="D156" s="149" t="str">
        <f>_xlfn.XLOOKUP(B156,[1]FullDataList!F:F,[1]FullDataList!O:O)</f>
        <v>#ERROR!</v>
      </c>
      <c r="E156" s="110" t="s">
        <v>4012</v>
      </c>
      <c r="H156" s="138"/>
      <c r="J156" s="138"/>
    </row>
    <row r="157" ht="15.75" customHeight="1">
      <c r="A157" s="148">
        <v>46095.0</v>
      </c>
      <c r="B157" s="110" t="s">
        <v>1016</v>
      </c>
      <c r="C157" s="106">
        <v>1.0</v>
      </c>
      <c r="D157" s="149" t="str">
        <f>_xlfn.XLOOKUP(B157,[1]FullDataList!F:F,[1]FullDataList!O:O)</f>
        <v>#ERROR!</v>
      </c>
      <c r="E157" s="110" t="s">
        <v>4013</v>
      </c>
      <c r="H157" s="138"/>
      <c r="J157" s="138"/>
    </row>
    <row r="158" ht="15.75" customHeight="1">
      <c r="A158" s="148">
        <v>46095.0</v>
      </c>
      <c r="B158" s="110" t="s">
        <v>1293</v>
      </c>
      <c r="C158" s="106">
        <v>1.0</v>
      </c>
      <c r="D158" s="149" t="str">
        <f>_xlfn.XLOOKUP(B158,[1]FullDataList!F:F,[1]FullDataList!O:O)</f>
        <v>#ERROR!</v>
      </c>
      <c r="E158" s="110" t="s">
        <v>4016</v>
      </c>
      <c r="H158" s="138"/>
      <c r="J158" s="138"/>
    </row>
    <row r="159" ht="15.75" customHeight="1">
      <c r="A159" s="148">
        <v>46095.0</v>
      </c>
      <c r="B159" s="110" t="s">
        <v>1226</v>
      </c>
      <c r="C159" s="106">
        <v>1.0</v>
      </c>
      <c r="D159" s="149" t="str">
        <f>_xlfn.XLOOKUP(B159,[1]FullDataList!F:F,[1]FullDataList!O:O)</f>
        <v>#ERROR!</v>
      </c>
      <c r="E159" s="110" t="s">
        <v>4014</v>
      </c>
      <c r="H159" s="138"/>
      <c r="J159" s="138"/>
    </row>
    <row r="160" ht="15.75" customHeight="1">
      <c r="A160" s="148">
        <v>46095.0</v>
      </c>
      <c r="B160" s="110" t="s">
        <v>1101</v>
      </c>
      <c r="C160" s="106">
        <v>1.0</v>
      </c>
      <c r="D160" s="149" t="str">
        <f>_xlfn.XLOOKUP(B160,[1]FullDataList!F:F,[1]FullDataList!O:O)</f>
        <v>#ERROR!</v>
      </c>
      <c r="E160" s="110" t="s">
        <v>4017</v>
      </c>
      <c r="H160" s="138"/>
      <c r="J160" s="138"/>
    </row>
    <row r="161" ht="15.75" customHeight="1">
      <c r="A161" s="148">
        <v>46095.0</v>
      </c>
      <c r="B161" s="110" t="s">
        <v>1021</v>
      </c>
      <c r="C161" s="106">
        <v>1.0</v>
      </c>
      <c r="D161" s="149" t="str">
        <f>_xlfn.XLOOKUP(B161,[1]FullDataList!F:F,[1]FullDataList!O:O)</f>
        <v>#ERROR!</v>
      </c>
      <c r="E161" s="110" t="s">
        <v>4010</v>
      </c>
      <c r="H161" s="138"/>
      <c r="J161" s="138"/>
    </row>
    <row r="162" ht="15.75" customHeight="1">
      <c r="A162" s="148">
        <v>46095.0</v>
      </c>
      <c r="B162" s="110" t="s">
        <v>1211</v>
      </c>
      <c r="C162" s="106">
        <v>1.0</v>
      </c>
      <c r="D162" s="149" t="str">
        <f>_xlfn.XLOOKUP(B162,[1]FullDataList!F:F,[1]FullDataList!O:O)</f>
        <v>#ERROR!</v>
      </c>
      <c r="E162" s="110" t="s">
        <v>4016</v>
      </c>
      <c r="H162" s="138"/>
      <c r="J162" s="138"/>
    </row>
    <row r="163" ht="15.75" customHeight="1">
      <c r="A163" s="148">
        <v>46097.0</v>
      </c>
      <c r="B163" s="110" t="s">
        <v>1304</v>
      </c>
      <c r="C163" s="106">
        <v>1.0</v>
      </c>
      <c r="D163" s="149" t="str">
        <f>_xlfn.XLOOKUP(B163,[1]FullDataList!F:F,[1]FullDataList!O:O)</f>
        <v>#ERROR!</v>
      </c>
      <c r="E163" s="110" t="s">
        <v>4026</v>
      </c>
      <c r="H163" s="138"/>
      <c r="J163" s="138"/>
    </row>
    <row r="164" ht="15.75" customHeight="1">
      <c r="A164" s="148">
        <v>46097.0</v>
      </c>
      <c r="B164" s="110" t="s">
        <v>1042</v>
      </c>
      <c r="C164" s="106">
        <v>1.0</v>
      </c>
      <c r="D164" s="149" t="str">
        <f>_xlfn.XLOOKUP(B164,[1]FullDataList!F:F,[1]FullDataList!O:O)</f>
        <v>#ERROR!</v>
      </c>
      <c r="E164" s="110" t="s">
        <v>4002</v>
      </c>
      <c r="H164" s="138"/>
      <c r="J164" s="138"/>
    </row>
    <row r="165" ht="15.75" customHeight="1">
      <c r="A165" s="148">
        <v>46097.0</v>
      </c>
      <c r="B165" s="110" t="s">
        <v>1344</v>
      </c>
      <c r="C165" s="106">
        <v>1.0</v>
      </c>
      <c r="D165" s="149" t="str">
        <f>_xlfn.XLOOKUP(B165,[1]FullDataList!F:F,[1]FullDataList!O:O)</f>
        <v>#ERROR!</v>
      </c>
      <c r="E165" s="110" t="s">
        <v>4003</v>
      </c>
      <c r="H165" s="138"/>
      <c r="J165" s="138"/>
    </row>
    <row r="166" ht="15.75" customHeight="1">
      <c r="A166" s="148">
        <v>46097.0</v>
      </c>
      <c r="B166" s="110" t="s">
        <v>1132</v>
      </c>
      <c r="C166" s="106">
        <v>1.0</v>
      </c>
      <c r="D166" s="149" t="str">
        <f>_xlfn.XLOOKUP(B166,[1]FullDataList!F:F,[1]FullDataList!O:O)</f>
        <v>#ERROR!</v>
      </c>
      <c r="E166" s="110" t="s">
        <v>4004</v>
      </c>
      <c r="H166" s="138"/>
      <c r="J166" s="138"/>
    </row>
    <row r="167" ht="15.75" customHeight="1">
      <c r="A167" s="148">
        <v>46097.0</v>
      </c>
      <c r="B167" s="110" t="s">
        <v>1280</v>
      </c>
      <c r="C167" s="106">
        <v>1.0</v>
      </c>
      <c r="D167" s="149" t="str">
        <f>_xlfn.XLOOKUP(B167,[1]FullDataList!F:F,[1]FullDataList!O:O)</f>
        <v>#ERROR!</v>
      </c>
      <c r="E167" s="110" t="s">
        <v>4005</v>
      </c>
      <c r="H167" s="138"/>
      <c r="J167" s="138"/>
    </row>
    <row r="168" ht="15.75" customHeight="1">
      <c r="A168" s="148">
        <v>46097.0</v>
      </c>
      <c r="B168" s="110" t="s">
        <v>1031</v>
      </c>
      <c r="C168" s="106">
        <v>1.0</v>
      </c>
      <c r="D168" s="149" t="str">
        <f>_xlfn.XLOOKUP(B168,[1]FullDataList!F:F,[1]FullDataList!O:O)</f>
        <v>#ERROR!</v>
      </c>
      <c r="E168" s="110" t="s">
        <v>4006</v>
      </c>
      <c r="H168" s="138"/>
      <c r="J168" s="138"/>
    </row>
    <row r="169" ht="15.75" customHeight="1">
      <c r="A169" s="148">
        <v>46097.0</v>
      </c>
      <c r="B169" s="110" t="s">
        <v>1236</v>
      </c>
      <c r="C169" s="106">
        <v>1.0</v>
      </c>
      <c r="D169" s="149" t="str">
        <f>_xlfn.XLOOKUP(B169,[1]FullDataList!F:F,[1]FullDataList!O:O)</f>
        <v>#ERROR!</v>
      </c>
      <c r="E169" s="110" t="s">
        <v>4020</v>
      </c>
      <c r="H169" s="138"/>
      <c r="J169" s="138"/>
    </row>
    <row r="170" ht="15.75" customHeight="1">
      <c r="A170" s="148">
        <v>46097.0</v>
      </c>
      <c r="B170" s="110" t="s">
        <v>1041</v>
      </c>
      <c r="C170" s="106">
        <v>1.0</v>
      </c>
      <c r="D170" s="149" t="str">
        <f>_xlfn.XLOOKUP(B170,[1]FullDataList!F:F,[1]FullDataList!O:O)</f>
        <v>#ERROR!</v>
      </c>
      <c r="E170" s="110" t="s">
        <v>4008</v>
      </c>
      <c r="H170" s="138"/>
      <c r="J170" s="138"/>
    </row>
    <row r="171" ht="15.75" customHeight="1">
      <c r="A171" s="148">
        <v>46097.0</v>
      </c>
      <c r="B171" s="110" t="s">
        <v>1058</v>
      </c>
      <c r="C171" s="106">
        <v>1.0</v>
      </c>
      <c r="D171" s="149" t="str">
        <f>_xlfn.XLOOKUP(B171,[1]FullDataList!F:F,[1]FullDataList!O:O)</f>
        <v>#ERROR!</v>
      </c>
      <c r="E171" s="110" t="s">
        <v>4009</v>
      </c>
      <c r="H171" s="138"/>
      <c r="J171" s="138"/>
    </row>
    <row r="172" ht="15.75" customHeight="1">
      <c r="A172" s="148">
        <v>46097.0</v>
      </c>
      <c r="B172" s="110" t="s">
        <v>1053</v>
      </c>
      <c r="C172" s="106">
        <v>1.0</v>
      </c>
      <c r="D172" s="149" t="str">
        <f>_xlfn.XLOOKUP(B172,[1]FullDataList!F:F,[1]FullDataList!O:O)</f>
        <v>#ERROR!</v>
      </c>
      <c r="E172" s="110" t="s">
        <v>4013</v>
      </c>
      <c r="H172" s="138"/>
      <c r="J172" s="138"/>
    </row>
    <row r="173" ht="15.75" customHeight="1">
      <c r="A173" s="148">
        <v>46097.0</v>
      </c>
      <c r="B173" s="110" t="s">
        <v>1334</v>
      </c>
      <c r="C173" s="106">
        <v>1.0</v>
      </c>
      <c r="D173" s="149" t="str">
        <f>_xlfn.XLOOKUP(B173,[1]FullDataList!F:F,[1]FullDataList!O:O)</f>
        <v>#ERROR!</v>
      </c>
      <c r="E173" s="110" t="s">
        <v>4014</v>
      </c>
      <c r="H173" s="138"/>
      <c r="J173" s="138"/>
    </row>
    <row r="174" ht="15.75" customHeight="1">
      <c r="A174" s="148">
        <v>46097.0</v>
      </c>
      <c r="B174" s="110" t="s">
        <v>1324</v>
      </c>
      <c r="C174" s="106">
        <v>1.0</v>
      </c>
      <c r="D174" s="149" t="str">
        <f>_xlfn.XLOOKUP(B174,[1]FullDataList!F:F,[1]FullDataList!O:O)</f>
        <v>#ERROR!</v>
      </c>
      <c r="E174" s="110" t="s">
        <v>4016</v>
      </c>
      <c r="H174" s="138"/>
      <c r="J174" s="138"/>
    </row>
    <row r="175" ht="15.75" customHeight="1">
      <c r="A175" s="148">
        <v>46097.0</v>
      </c>
      <c r="B175" s="110" t="s">
        <v>1022</v>
      </c>
      <c r="C175" s="106">
        <v>1.0</v>
      </c>
      <c r="D175" s="149" t="str">
        <f>_xlfn.XLOOKUP(B175,[1]FullDataList!F:F,[1]FullDataList!O:O)</f>
        <v>#ERROR!</v>
      </c>
      <c r="E175" s="110" t="s">
        <v>4027</v>
      </c>
      <c r="H175" s="138"/>
      <c r="J175" s="138"/>
    </row>
    <row r="176" ht="15.75" customHeight="1">
      <c r="A176" s="148">
        <v>46097.0</v>
      </c>
      <c r="B176" s="110" t="s">
        <v>1230</v>
      </c>
      <c r="C176" s="106">
        <v>1.0</v>
      </c>
      <c r="D176" s="149" t="str">
        <f>_xlfn.XLOOKUP(B176,[1]FullDataList!F:F,[1]FullDataList!O:O)</f>
        <v>#ERROR!</v>
      </c>
      <c r="E176" s="110" t="s">
        <v>4016</v>
      </c>
      <c r="H176" s="138"/>
      <c r="J176" s="138"/>
    </row>
    <row r="177" ht="15.75" customHeight="1">
      <c r="A177" s="148">
        <v>46098.0</v>
      </c>
      <c r="B177" s="110" t="s">
        <v>1305</v>
      </c>
      <c r="C177" s="106">
        <v>1.0</v>
      </c>
      <c r="D177" s="149" t="str">
        <f>_xlfn.XLOOKUP(B177,[1]FullDataList!F:F,[1]FullDataList!O:O)</f>
        <v>#ERROR!</v>
      </c>
      <c r="E177" s="110" t="s">
        <v>4026</v>
      </c>
      <c r="H177" s="138"/>
      <c r="J177" s="138"/>
    </row>
    <row r="178" ht="15.75" customHeight="1">
      <c r="A178" s="148">
        <v>46098.0</v>
      </c>
      <c r="B178" s="110" t="s">
        <v>1109</v>
      </c>
      <c r="C178" s="106">
        <v>1.0</v>
      </c>
      <c r="D178" s="149" t="str">
        <f>_xlfn.XLOOKUP(B178,[1]FullDataList!F:F,[1]FullDataList!O:O)</f>
        <v>#ERROR!</v>
      </c>
      <c r="E178" s="110" t="s">
        <v>4028</v>
      </c>
      <c r="H178" s="138"/>
      <c r="J178" s="138"/>
    </row>
    <row r="179" ht="15.75" customHeight="1">
      <c r="A179" s="148">
        <v>46098.0</v>
      </c>
      <c r="B179" s="110" t="s">
        <v>1092</v>
      </c>
      <c r="C179" s="106">
        <v>1.0</v>
      </c>
      <c r="D179" s="149" t="str">
        <f>_xlfn.XLOOKUP(B179,[1]FullDataList!F:F,[1]FullDataList!O:O)</f>
        <v>#ERROR!</v>
      </c>
      <c r="E179" s="110" t="s">
        <v>4005</v>
      </c>
      <c r="H179" s="138"/>
      <c r="J179" s="138"/>
    </row>
    <row r="180" ht="15.75" customHeight="1">
      <c r="A180" s="148">
        <v>46098.0</v>
      </c>
      <c r="B180" s="110" t="s">
        <v>1138</v>
      </c>
      <c r="C180" s="106">
        <v>1.0</v>
      </c>
      <c r="D180" s="149" t="str">
        <f>_xlfn.XLOOKUP(B180,[1]FullDataList!F:F,[1]FullDataList!O:O)</f>
        <v>#ERROR!</v>
      </c>
      <c r="E180" s="110" t="s">
        <v>4006</v>
      </c>
      <c r="H180" s="138"/>
      <c r="J180" s="138"/>
    </row>
    <row r="181" ht="15.75" customHeight="1">
      <c r="A181" s="148">
        <v>46098.0</v>
      </c>
      <c r="B181" s="110" t="s">
        <v>1018</v>
      </c>
      <c r="C181" s="106">
        <v>1.0</v>
      </c>
      <c r="D181" s="149" t="str">
        <f>_xlfn.XLOOKUP(B181,[1]FullDataList!F:F,[1]FullDataList!O:O)</f>
        <v>#ERROR!</v>
      </c>
      <c r="E181" s="110" t="s">
        <v>4025</v>
      </c>
      <c r="H181" s="138"/>
      <c r="J181" s="138"/>
    </row>
    <row r="182" ht="15.75" customHeight="1">
      <c r="A182" s="148">
        <v>46098.0</v>
      </c>
      <c r="B182" s="110" t="s">
        <v>1322</v>
      </c>
      <c r="C182" s="106">
        <v>1.0</v>
      </c>
      <c r="D182" s="149" t="str">
        <f>_xlfn.XLOOKUP(B182,[1]FullDataList!F:F,[1]FullDataList!O:O)</f>
        <v>#ERROR!</v>
      </c>
      <c r="E182" s="110" t="s">
        <v>4012</v>
      </c>
      <c r="H182" s="138"/>
      <c r="J182" s="138"/>
    </row>
    <row r="183" ht="15.75" customHeight="1">
      <c r="A183" s="148">
        <v>46098.0</v>
      </c>
      <c r="B183" s="110" t="s">
        <v>1054</v>
      </c>
      <c r="C183" s="106">
        <v>1.0</v>
      </c>
      <c r="D183" s="149" t="str">
        <f>_xlfn.XLOOKUP(B183,[1]FullDataList!F:F,[1]FullDataList!O:O)</f>
        <v>#ERROR!</v>
      </c>
      <c r="E183" s="110" t="s">
        <v>4013</v>
      </c>
      <c r="H183" s="138"/>
      <c r="J183" s="138"/>
    </row>
    <row r="184" ht="15.75" customHeight="1">
      <c r="A184" s="148">
        <v>46098.0</v>
      </c>
      <c r="B184" s="110" t="s">
        <v>1057</v>
      </c>
      <c r="C184" s="106">
        <v>1.0</v>
      </c>
      <c r="D184" s="149" t="str">
        <f>_xlfn.XLOOKUP(B184,[1]FullDataList!F:F,[1]FullDataList!O:O)</f>
        <v>#ERROR!</v>
      </c>
      <c r="E184" s="110" t="s">
        <v>4016</v>
      </c>
      <c r="H184" s="138"/>
      <c r="J184" s="138"/>
    </row>
    <row r="185" ht="15.75" customHeight="1">
      <c r="A185" s="148">
        <v>46098.0</v>
      </c>
      <c r="B185" s="110" t="s">
        <v>1121</v>
      </c>
      <c r="C185" s="106">
        <v>1.0</v>
      </c>
      <c r="D185" s="149" t="str">
        <f>_xlfn.XLOOKUP(B185,[1]FullDataList!F:F,[1]FullDataList!O:O)</f>
        <v>#ERROR!</v>
      </c>
      <c r="E185" s="110" t="s">
        <v>4017</v>
      </c>
      <c r="H185" s="138"/>
      <c r="J185" s="138"/>
    </row>
    <row r="186" ht="15.75" customHeight="1">
      <c r="A186" s="148">
        <v>46098.0</v>
      </c>
      <c r="B186" s="110" t="s">
        <v>1106</v>
      </c>
      <c r="C186" s="106">
        <v>1.0</v>
      </c>
      <c r="D186" s="149" t="str">
        <f>_xlfn.XLOOKUP(B186,[1]FullDataList!F:F,[1]FullDataList!O:O)</f>
        <v>#ERROR!</v>
      </c>
      <c r="E186" s="110" t="s">
        <v>4027</v>
      </c>
      <c r="H186" s="138"/>
      <c r="J186" s="138"/>
    </row>
    <row r="187" ht="15.75" customHeight="1">
      <c r="A187" s="148">
        <v>46098.0</v>
      </c>
      <c r="B187" s="110" t="s">
        <v>1339</v>
      </c>
      <c r="C187" s="106">
        <v>1.0</v>
      </c>
      <c r="D187" s="149" t="str">
        <f>_xlfn.XLOOKUP(B187,[1]FullDataList!F:F,[1]FullDataList!O:O)</f>
        <v>#ERROR!</v>
      </c>
      <c r="E187" s="110" t="s">
        <v>4029</v>
      </c>
      <c r="H187" s="138"/>
      <c r="J187" s="138"/>
    </row>
    <row r="188" ht="15.75" customHeight="1">
      <c r="A188" s="148">
        <v>46099.0</v>
      </c>
      <c r="B188" s="110" t="s">
        <v>1306</v>
      </c>
      <c r="C188" s="106">
        <v>1.0</v>
      </c>
      <c r="D188" s="149" t="str">
        <f>_xlfn.XLOOKUP(B188,[1]FullDataList!F:F,[1]FullDataList!O:O)</f>
        <v>#ERROR!</v>
      </c>
      <c r="E188" s="110" t="s">
        <v>4026</v>
      </c>
      <c r="H188" s="138"/>
      <c r="J188" s="138"/>
    </row>
    <row r="189" ht="15.75" customHeight="1">
      <c r="A189" s="148">
        <v>46099.0</v>
      </c>
      <c r="B189" s="110" t="s">
        <v>1110</v>
      </c>
      <c r="C189" s="106">
        <v>1.0</v>
      </c>
      <c r="D189" s="149" t="str">
        <f>_xlfn.XLOOKUP(B189,[1]FullDataList!F:F,[1]FullDataList!O:O)</f>
        <v>#ERROR!</v>
      </c>
      <c r="E189" s="110" t="s">
        <v>4028</v>
      </c>
      <c r="H189" s="138"/>
      <c r="J189" s="138"/>
    </row>
    <row r="190" ht="15.75" customHeight="1">
      <c r="A190" s="148">
        <v>46099.0</v>
      </c>
      <c r="B190" s="110" t="s">
        <v>1118</v>
      </c>
      <c r="C190" s="106">
        <v>1.0</v>
      </c>
      <c r="D190" s="149" t="str">
        <f>_xlfn.XLOOKUP(B190,[1]FullDataList!F:F,[1]FullDataList!O:O)</f>
        <v>#ERROR!</v>
      </c>
      <c r="E190" s="110" t="s">
        <v>4002</v>
      </c>
      <c r="H190" s="138"/>
      <c r="J190" s="138"/>
    </row>
    <row r="191" ht="15.75" customHeight="1">
      <c r="A191" s="148">
        <v>46099.0</v>
      </c>
      <c r="B191" s="110" t="s">
        <v>1024</v>
      </c>
      <c r="C191" s="106">
        <v>1.0</v>
      </c>
      <c r="D191" s="149" t="str">
        <f>_xlfn.XLOOKUP(B191,[1]FullDataList!F:F,[1]FullDataList!O:O)</f>
        <v>#ERROR!</v>
      </c>
      <c r="E191" s="110" t="s">
        <v>4003</v>
      </c>
      <c r="H191" s="138"/>
      <c r="J191" s="138"/>
    </row>
    <row r="192" ht="15.75" customHeight="1">
      <c r="A192" s="148">
        <v>46099.0</v>
      </c>
      <c r="B192" s="110" t="s">
        <v>1318</v>
      </c>
      <c r="C192" s="106">
        <v>1.0</v>
      </c>
      <c r="D192" s="149" t="str">
        <f>_xlfn.XLOOKUP(B192,[1]FullDataList!F:F,[1]FullDataList!O:O)</f>
        <v>#ERROR!</v>
      </c>
      <c r="E192" s="110" t="s">
        <v>4006</v>
      </c>
      <c r="H192" s="138"/>
      <c r="J192" s="138"/>
    </row>
    <row r="193" ht="15.75" customHeight="1">
      <c r="A193" s="148">
        <v>46099.0</v>
      </c>
      <c r="B193" s="110" t="s">
        <v>1125</v>
      </c>
      <c r="C193" s="106">
        <v>1.0</v>
      </c>
      <c r="D193" s="149" t="str">
        <f>_xlfn.XLOOKUP(B193,[1]FullDataList!F:F,[1]FullDataList!O:O)</f>
        <v>#ERROR!</v>
      </c>
      <c r="E193" s="110" t="s">
        <v>4008</v>
      </c>
      <c r="H193" s="138"/>
      <c r="J193" s="138"/>
    </row>
    <row r="194" ht="15.75" customHeight="1">
      <c r="A194" s="148">
        <v>46099.0</v>
      </c>
      <c r="B194" s="110" t="s">
        <v>1055</v>
      </c>
      <c r="C194" s="106">
        <v>1.0</v>
      </c>
      <c r="D194" s="149" t="str">
        <f>_xlfn.XLOOKUP(B194,[1]FullDataList!F:F,[1]FullDataList!O:O)</f>
        <v>#ERROR!</v>
      </c>
      <c r="E194" s="110" t="s">
        <v>4013</v>
      </c>
      <c r="H194" s="138"/>
      <c r="J194" s="138"/>
    </row>
    <row r="195" ht="15.75" customHeight="1">
      <c r="A195" s="148">
        <v>46099.0</v>
      </c>
      <c r="B195" s="110" t="s">
        <v>1050</v>
      </c>
      <c r="C195" s="106">
        <v>1.0</v>
      </c>
      <c r="D195" s="149" t="str">
        <f>_xlfn.XLOOKUP(B195,[1]FullDataList!F:F,[1]FullDataList!O:O)</f>
        <v>#ERROR!</v>
      </c>
      <c r="E195" s="110" t="s">
        <v>4016</v>
      </c>
      <c r="H195" s="138"/>
      <c r="J195" s="138"/>
    </row>
    <row r="196" ht="15.75" customHeight="1">
      <c r="A196" s="148">
        <v>46099.0</v>
      </c>
      <c r="B196" s="110" t="s">
        <v>1354</v>
      </c>
      <c r="C196" s="106">
        <v>1.0</v>
      </c>
      <c r="D196" s="149" t="str">
        <f>_xlfn.XLOOKUP(B196,[1]FullDataList!F:F,[1]FullDataList!O:O)</f>
        <v>#ERROR!</v>
      </c>
      <c r="E196" s="110" t="s">
        <v>4014</v>
      </c>
      <c r="H196" s="138"/>
      <c r="J196" s="138"/>
    </row>
    <row r="197" ht="15.75" customHeight="1">
      <c r="A197" s="148">
        <v>46099.0</v>
      </c>
      <c r="B197" s="110" t="s">
        <v>1035</v>
      </c>
      <c r="C197" s="106">
        <v>1.0</v>
      </c>
      <c r="D197" s="149" t="str">
        <f>_xlfn.XLOOKUP(B197,[1]FullDataList!F:F,[1]FullDataList!O:O)</f>
        <v>#ERROR!</v>
      </c>
      <c r="E197" s="110" t="s">
        <v>4017</v>
      </c>
      <c r="H197" s="138"/>
      <c r="J197" s="138"/>
    </row>
    <row r="198" ht="15.75" customHeight="1">
      <c r="A198" s="148">
        <v>46099.0</v>
      </c>
      <c r="B198" s="110" t="s">
        <v>1107</v>
      </c>
      <c r="C198" s="106">
        <v>1.0</v>
      </c>
      <c r="D198" s="149" t="str">
        <f>_xlfn.XLOOKUP(B198,[1]FullDataList!F:F,[1]FullDataList!O:O)</f>
        <v>#ERROR!</v>
      </c>
      <c r="E198" s="110" t="s">
        <v>4027</v>
      </c>
      <c r="H198" s="138"/>
      <c r="J198" s="138"/>
    </row>
    <row r="199" ht="15.75" customHeight="1">
      <c r="A199" s="148">
        <v>46099.0</v>
      </c>
      <c r="B199" s="110" t="s">
        <v>1250</v>
      </c>
      <c r="C199" s="106">
        <v>1.0</v>
      </c>
      <c r="D199" s="149" t="str">
        <f>_xlfn.XLOOKUP(B199,[1]FullDataList!F:F,[1]FullDataList!O:O)</f>
        <v>#ERROR!</v>
      </c>
      <c r="E199" s="110" t="s">
        <v>4030</v>
      </c>
      <c r="H199" s="138"/>
      <c r="J199" s="138"/>
    </row>
    <row r="200" ht="15.75" customHeight="1">
      <c r="A200" s="148">
        <v>46099.0</v>
      </c>
      <c r="B200" s="110" t="s">
        <v>989</v>
      </c>
      <c r="C200" s="106">
        <v>1.0</v>
      </c>
      <c r="D200" s="149" t="str">
        <f>_xlfn.XLOOKUP(B200,[1]FullDataList!F:F,[1]FullDataList!O:O)</f>
        <v>#ERROR!</v>
      </c>
      <c r="E200" s="110" t="s">
        <v>4014</v>
      </c>
      <c r="H200" s="138"/>
      <c r="J200" s="138"/>
    </row>
    <row r="201" ht="15.75" customHeight="1">
      <c r="A201" s="148">
        <v>46104.0</v>
      </c>
      <c r="B201" s="110" t="s">
        <v>1025</v>
      </c>
      <c r="C201" s="106">
        <v>1.0</v>
      </c>
      <c r="D201" s="149" t="str">
        <f>_xlfn.XLOOKUP(B201,[1]FullDataList!F:F,[1]FullDataList!O:O)</f>
        <v>#ERROR!</v>
      </c>
      <c r="E201" s="110" t="s">
        <v>4026</v>
      </c>
      <c r="H201" s="138"/>
      <c r="J201" s="138"/>
    </row>
    <row r="202" ht="15.75" customHeight="1">
      <c r="A202" s="148">
        <v>46104.0</v>
      </c>
      <c r="B202" s="110" t="s">
        <v>1111</v>
      </c>
      <c r="C202" s="106">
        <v>1.0</v>
      </c>
      <c r="D202" s="149" t="str">
        <f>_xlfn.XLOOKUP(B202,[1]FullDataList!F:F,[1]FullDataList!O:O)</f>
        <v>#ERROR!</v>
      </c>
      <c r="E202" s="110" t="s">
        <v>4028</v>
      </c>
      <c r="H202" s="138"/>
      <c r="J202" s="138"/>
    </row>
    <row r="203" ht="15.75" customHeight="1">
      <c r="A203" s="148">
        <v>46105.0</v>
      </c>
      <c r="B203" s="110" t="s">
        <v>1026</v>
      </c>
      <c r="C203" s="106">
        <v>1.0</v>
      </c>
      <c r="D203" s="149" t="str">
        <f>_xlfn.XLOOKUP(B203,[1]FullDataList!F:F,[1]FullDataList!O:O)</f>
        <v>#ERROR!</v>
      </c>
      <c r="E203" s="110" t="s">
        <v>4026</v>
      </c>
      <c r="H203" s="138"/>
      <c r="J203" s="138"/>
    </row>
    <row r="204" ht="15.75" customHeight="1">
      <c r="A204" s="148">
        <v>46105.0</v>
      </c>
      <c r="B204" s="110" t="s">
        <v>1112</v>
      </c>
      <c r="C204" s="106">
        <v>1.0</v>
      </c>
      <c r="D204" s="149" t="str">
        <f>_xlfn.XLOOKUP(B204,[1]FullDataList!F:F,[1]FullDataList!O:O)</f>
        <v>#ERROR!</v>
      </c>
      <c r="E204" s="110" t="s">
        <v>4028</v>
      </c>
      <c r="H204" s="138"/>
      <c r="J204" s="138"/>
    </row>
    <row r="205" ht="15.75" customHeight="1">
      <c r="A205" s="148">
        <v>46105.0</v>
      </c>
      <c r="B205" s="110" t="s">
        <v>1108</v>
      </c>
      <c r="C205" s="106">
        <v>1.0</v>
      </c>
      <c r="D205" s="149" t="str">
        <f>_xlfn.XLOOKUP(B205,[1]FullDataList!F:F,[1]FullDataList!O:O)</f>
        <v>#ERROR!</v>
      </c>
      <c r="E205" s="110" t="s">
        <v>4002</v>
      </c>
      <c r="H205" s="138"/>
      <c r="J205" s="138"/>
    </row>
    <row r="206" ht="15.75" customHeight="1">
      <c r="A206" s="148">
        <v>46105.0</v>
      </c>
      <c r="B206" s="110" t="s">
        <v>1233</v>
      </c>
      <c r="C206" s="106">
        <v>1.0</v>
      </c>
      <c r="D206" s="149" t="str">
        <f>_xlfn.XLOOKUP(B206,[1]FullDataList!F:F,[1]FullDataList!O:O)</f>
        <v>#ERROR!</v>
      </c>
      <c r="E206" s="110" t="s">
        <v>4003</v>
      </c>
      <c r="H206" s="138"/>
      <c r="J206" s="138"/>
    </row>
    <row r="207" ht="15.75" customHeight="1">
      <c r="A207" s="148">
        <v>46105.0</v>
      </c>
      <c r="B207" s="110" t="s">
        <v>1037</v>
      </c>
      <c r="C207" s="106">
        <v>1.0</v>
      </c>
      <c r="D207" s="149" t="str">
        <f>_xlfn.XLOOKUP(B207,[1]FullDataList!F:F,[1]FullDataList!O:O)</f>
        <v>#ERROR!</v>
      </c>
      <c r="E207" s="110" t="s">
        <v>4005</v>
      </c>
      <c r="H207" s="138"/>
      <c r="J207" s="138"/>
    </row>
    <row r="208" ht="15.75" customHeight="1">
      <c r="A208" s="148">
        <v>46105.0</v>
      </c>
      <c r="B208" s="110" t="s">
        <v>1319</v>
      </c>
      <c r="C208" s="106">
        <v>1.0</v>
      </c>
      <c r="D208" s="149" t="str">
        <f>_xlfn.XLOOKUP(B208,[1]FullDataList!F:F,[1]FullDataList!O:O)</f>
        <v>#ERROR!</v>
      </c>
      <c r="E208" s="110" t="s">
        <v>4006</v>
      </c>
      <c r="H208" s="138"/>
      <c r="J208" s="138"/>
    </row>
    <row r="209" ht="15.75" customHeight="1">
      <c r="A209" s="148">
        <v>46105.0</v>
      </c>
      <c r="B209" s="110" t="s">
        <v>1237</v>
      </c>
      <c r="C209" s="106">
        <v>1.0</v>
      </c>
      <c r="D209" s="149" t="str">
        <f>_xlfn.XLOOKUP(B209,[1]FullDataList!F:F,[1]FullDataList!O:O)</f>
        <v>#ERROR!</v>
      </c>
      <c r="E209" s="110" t="s">
        <v>4020</v>
      </c>
      <c r="H209" s="138"/>
      <c r="J209" s="138"/>
    </row>
    <row r="210" ht="15.75" customHeight="1">
      <c r="A210" s="148">
        <v>46105.0</v>
      </c>
      <c r="B210" s="110" t="s">
        <v>1119</v>
      </c>
      <c r="C210" s="106">
        <v>1.0</v>
      </c>
      <c r="D210" s="149" t="str">
        <f>_xlfn.XLOOKUP(B210,[1]FullDataList!F:F,[1]FullDataList!O:O)</f>
        <v>#ERROR!</v>
      </c>
      <c r="E210" s="110" t="s">
        <v>4025</v>
      </c>
      <c r="H210" s="138"/>
      <c r="J210" s="138"/>
    </row>
    <row r="211" ht="15.75" customHeight="1">
      <c r="A211" s="148">
        <v>46105.0</v>
      </c>
      <c r="B211" s="110" t="s">
        <v>1105</v>
      </c>
      <c r="C211" s="106">
        <v>1.0</v>
      </c>
      <c r="D211" s="149" t="str">
        <f>_xlfn.XLOOKUP(B211,[1]FullDataList!F:F,[1]FullDataList!O:O)</f>
        <v>#ERROR!</v>
      </c>
      <c r="E211" s="110" t="s">
        <v>4008</v>
      </c>
      <c r="H211" s="138"/>
      <c r="J211" s="138"/>
    </row>
    <row r="212" ht="15.75" customHeight="1">
      <c r="A212" s="148">
        <v>46105.0</v>
      </c>
      <c r="B212" s="110" t="s">
        <v>1104</v>
      </c>
      <c r="C212" s="106">
        <v>1.0</v>
      </c>
      <c r="D212" s="149" t="str">
        <f>_xlfn.XLOOKUP(B212,[1]FullDataList!F:F,[1]FullDataList!O:O)</f>
        <v>#ERROR!</v>
      </c>
      <c r="E212" s="110" t="s">
        <v>4009</v>
      </c>
      <c r="H212" s="138"/>
      <c r="J212" s="138"/>
    </row>
    <row r="213" ht="15.75" customHeight="1">
      <c r="A213" s="148">
        <v>46105.0</v>
      </c>
      <c r="B213" s="110" t="s">
        <v>1056</v>
      </c>
      <c r="C213" s="106">
        <v>1.0</v>
      </c>
      <c r="D213" s="149" t="str">
        <f>_xlfn.XLOOKUP(B213,[1]FullDataList!F:F,[1]FullDataList!O:O)</f>
        <v>#ERROR!</v>
      </c>
      <c r="E213" s="110" t="s">
        <v>4013</v>
      </c>
      <c r="H213" s="138"/>
      <c r="J213" s="138"/>
    </row>
    <row r="214" ht="15.75" customHeight="1">
      <c r="A214" s="148">
        <v>46105.0</v>
      </c>
      <c r="B214" s="110" t="s">
        <v>1051</v>
      </c>
      <c r="C214" s="106">
        <v>1.0</v>
      </c>
      <c r="D214" s="149" t="str">
        <f>_xlfn.XLOOKUP(B214,[1]FullDataList!F:F,[1]FullDataList!O:O)</f>
        <v>#ERROR!</v>
      </c>
      <c r="E214" s="110" t="s">
        <v>4016</v>
      </c>
      <c r="H214" s="138"/>
      <c r="J214" s="138"/>
    </row>
    <row r="215" ht="15.75" customHeight="1">
      <c r="A215" s="148">
        <v>46105.0</v>
      </c>
      <c r="B215" s="110" t="s">
        <v>1000</v>
      </c>
      <c r="C215" s="106">
        <v>1.0</v>
      </c>
      <c r="D215" s="149" t="str">
        <f>_xlfn.XLOOKUP(B215,[1]FullDataList!F:F,[1]FullDataList!O:O)</f>
        <v>#ERROR!</v>
      </c>
      <c r="E215" s="110" t="s">
        <v>4017</v>
      </c>
      <c r="H215" s="138"/>
      <c r="J215" s="138"/>
    </row>
    <row r="216" ht="15.75" customHeight="1">
      <c r="A216" s="148">
        <v>46105.0</v>
      </c>
      <c r="B216" s="110" t="s">
        <v>1294</v>
      </c>
      <c r="C216" s="106">
        <v>1.0</v>
      </c>
      <c r="D216" s="149" t="str">
        <f>_xlfn.XLOOKUP(B216,[1]FullDataList!F:F,[1]FullDataList!O:O)</f>
        <v>#ERROR!</v>
      </c>
      <c r="E216" s="110" t="s">
        <v>4030</v>
      </c>
      <c r="H216" s="138"/>
      <c r="J216" s="138"/>
    </row>
    <row r="217" ht="15.75" customHeight="1">
      <c r="A217" s="148">
        <v>46105.0</v>
      </c>
      <c r="B217" s="110" t="s">
        <v>1005</v>
      </c>
      <c r="C217" s="106">
        <v>1.0</v>
      </c>
      <c r="D217" s="149" t="str">
        <f>_xlfn.XLOOKUP(B217,[1]FullDataList!F:F,[1]FullDataList!O:O)</f>
        <v>#ERROR!</v>
      </c>
      <c r="E217" s="110" t="s">
        <v>4014</v>
      </c>
      <c r="H217" s="138"/>
      <c r="J217" s="138"/>
    </row>
    <row r="218" ht="15.75" customHeight="1">
      <c r="A218" s="148">
        <v>46106.0</v>
      </c>
      <c r="B218" s="110" t="s">
        <v>1027</v>
      </c>
      <c r="C218" s="106">
        <v>1.0</v>
      </c>
      <c r="D218" s="149" t="str">
        <f>_xlfn.XLOOKUP(B218,[1]FullDataList!F:F,[1]FullDataList!O:O)</f>
        <v>#ERROR!</v>
      </c>
      <c r="E218" s="110" t="s">
        <v>4026</v>
      </c>
      <c r="H218" s="138"/>
      <c r="J218" s="138"/>
    </row>
    <row r="219" ht="15.75" customHeight="1">
      <c r="A219" s="148">
        <v>46106.0</v>
      </c>
      <c r="B219" s="110" t="s">
        <v>1113</v>
      </c>
      <c r="C219" s="106">
        <v>1.0</v>
      </c>
      <c r="D219" s="149" t="str">
        <f>_xlfn.XLOOKUP(B219,[1]FullDataList!F:F,[1]FullDataList!O:O)</f>
        <v>#ERROR!</v>
      </c>
      <c r="E219" s="110" t="s">
        <v>4028</v>
      </c>
      <c r="H219" s="138"/>
      <c r="J219" s="138"/>
    </row>
    <row r="220" ht="15.75" customHeight="1">
      <c r="A220" s="148">
        <v>46106.0</v>
      </c>
      <c r="B220" s="110" t="s">
        <v>1038</v>
      </c>
      <c r="C220" s="106">
        <v>1.0</v>
      </c>
      <c r="D220" s="149" t="str">
        <f>_xlfn.XLOOKUP(B220,[1]FullDataList!F:F,[1]FullDataList!O:O)</f>
        <v>#ERROR!</v>
      </c>
      <c r="E220" s="110" t="s">
        <v>4005</v>
      </c>
      <c r="H220" s="138"/>
      <c r="J220" s="138"/>
    </row>
    <row r="221" ht="15.75" customHeight="1">
      <c r="A221" s="148">
        <v>46106.0</v>
      </c>
      <c r="B221" s="110" t="s">
        <v>1320</v>
      </c>
      <c r="C221" s="106">
        <v>1.0</v>
      </c>
      <c r="D221" s="149" t="str">
        <f>_xlfn.XLOOKUP(B221,[1]FullDataList!F:F,[1]FullDataList!O:O)</f>
        <v>#ERROR!</v>
      </c>
      <c r="E221" s="110" t="s">
        <v>4006</v>
      </c>
      <c r="H221" s="138"/>
      <c r="J221" s="138"/>
    </row>
    <row r="222" ht="15.75" customHeight="1">
      <c r="A222" s="148">
        <v>46106.0</v>
      </c>
      <c r="B222" s="110" t="s">
        <v>1238</v>
      </c>
      <c r="C222" s="106">
        <v>1.0</v>
      </c>
      <c r="D222" s="149" t="str">
        <f>_xlfn.XLOOKUP(B222,[1]FullDataList!F:F,[1]FullDataList!O:O)</f>
        <v>#ERROR!</v>
      </c>
      <c r="E222" s="110" t="s">
        <v>4020</v>
      </c>
      <c r="H222" s="138"/>
      <c r="J222" s="138"/>
    </row>
    <row r="223" ht="15.75" customHeight="1">
      <c r="A223" s="148">
        <v>46106.0</v>
      </c>
      <c r="B223" s="110" t="s">
        <v>1046</v>
      </c>
      <c r="C223" s="106">
        <v>1.0</v>
      </c>
      <c r="D223" s="149" t="str">
        <f>_xlfn.XLOOKUP(B223,[1]FullDataList!F:F,[1]FullDataList!O:O)</f>
        <v>#ERROR!</v>
      </c>
      <c r="E223" s="110" t="s">
        <v>4013</v>
      </c>
      <c r="H223" s="138"/>
      <c r="J223" s="138"/>
    </row>
    <row r="224" ht="15.75" customHeight="1">
      <c r="A224" s="148">
        <v>46106.0</v>
      </c>
      <c r="B224" s="110" t="s">
        <v>1052</v>
      </c>
      <c r="C224" s="106">
        <v>1.0</v>
      </c>
      <c r="D224" s="149" t="str">
        <f>_xlfn.XLOOKUP(B224,[1]FullDataList!F:F,[1]FullDataList!O:O)</f>
        <v>#ERROR!</v>
      </c>
      <c r="E224" s="110" t="s">
        <v>4016</v>
      </c>
      <c r="H224" s="138"/>
      <c r="J224" s="138"/>
    </row>
    <row r="225" ht="15.75" customHeight="1">
      <c r="A225" s="148">
        <v>46106.0</v>
      </c>
      <c r="B225" s="110" t="s">
        <v>1311</v>
      </c>
      <c r="C225" s="106">
        <v>1.0</v>
      </c>
      <c r="D225" s="149" t="str">
        <f>_xlfn.XLOOKUP(B225,[1]FullDataList!F:F,[1]FullDataList!O:O)</f>
        <v>#ERROR!</v>
      </c>
      <c r="E225" s="110" t="s">
        <v>4017</v>
      </c>
      <c r="H225" s="138"/>
      <c r="J225" s="138"/>
    </row>
    <row r="226" ht="15.75" customHeight="1">
      <c r="A226" s="148">
        <v>46106.0</v>
      </c>
      <c r="B226" s="110" t="s">
        <v>1410</v>
      </c>
      <c r="C226" s="106">
        <v>1.0</v>
      </c>
      <c r="D226" s="149" t="str">
        <f>_xlfn.XLOOKUP(B226,[1]FullDataList!F:F,[1]FullDataList!O:O)</f>
        <v>#ERROR!</v>
      </c>
      <c r="E226" s="110" t="s">
        <v>4027</v>
      </c>
      <c r="H226" s="138"/>
      <c r="J226" s="138"/>
    </row>
    <row r="227" ht="15.75" customHeight="1">
      <c r="A227" s="148">
        <v>46106.0</v>
      </c>
      <c r="B227" s="110" t="s">
        <v>1267</v>
      </c>
      <c r="C227" s="106">
        <v>1.0</v>
      </c>
      <c r="D227" s="149" t="str">
        <f>_xlfn.XLOOKUP(B227,[1]FullDataList!F:F,[1]FullDataList!O:O)</f>
        <v>#ERROR!</v>
      </c>
      <c r="E227" s="110" t="s">
        <v>4030</v>
      </c>
      <c r="H227" s="138"/>
      <c r="J227" s="138"/>
    </row>
    <row r="228" ht="15.75" customHeight="1">
      <c r="A228" s="148">
        <v>46106.0</v>
      </c>
      <c r="B228" s="110" t="s">
        <v>1384</v>
      </c>
      <c r="C228" s="106">
        <v>1.0</v>
      </c>
      <c r="D228" s="149" t="str">
        <f>_xlfn.XLOOKUP(B228,[1]FullDataList!F:F,[1]FullDataList!O:O)</f>
        <v>#ERROR!</v>
      </c>
      <c r="E228" s="110" t="s">
        <v>4031</v>
      </c>
      <c r="H228" s="138"/>
      <c r="J228" s="138"/>
    </row>
    <row r="229" ht="15.75" customHeight="1">
      <c r="A229" s="148">
        <v>46106.0</v>
      </c>
      <c r="B229" s="110" t="s">
        <v>1369</v>
      </c>
      <c r="C229" s="106">
        <v>1.0</v>
      </c>
      <c r="D229" s="149" t="str">
        <f>_xlfn.XLOOKUP(B229,[1]FullDataList!F:F,[1]FullDataList!O:O)</f>
        <v>#ERROR!</v>
      </c>
      <c r="E229" s="110" t="s">
        <v>4032</v>
      </c>
      <c r="H229" s="138"/>
      <c r="J229" s="138"/>
    </row>
    <row r="230" ht="15.75" customHeight="1">
      <c r="A230" s="148">
        <v>46107.0</v>
      </c>
      <c r="B230" s="110" t="s">
        <v>1409</v>
      </c>
      <c r="C230" s="106">
        <v>1.0</v>
      </c>
      <c r="D230" s="149" t="str">
        <f>_xlfn.XLOOKUP(B230,[1]FullDataList!F:F,[1]FullDataList!O:O)</f>
        <v>#ERROR!</v>
      </c>
      <c r="E230" s="110" t="s">
        <v>4002</v>
      </c>
      <c r="H230" s="138"/>
      <c r="J230" s="138"/>
    </row>
    <row r="231" ht="15.75" customHeight="1">
      <c r="A231" s="148">
        <v>46107.0</v>
      </c>
      <c r="B231" s="110" t="s">
        <v>1234</v>
      </c>
      <c r="C231" s="106">
        <v>1.0</v>
      </c>
      <c r="D231" s="149" t="str">
        <f>_xlfn.XLOOKUP(B231,[1]FullDataList!F:F,[1]FullDataList!O:O)</f>
        <v>#ERROR!</v>
      </c>
      <c r="E231" s="110" t="s">
        <v>4003</v>
      </c>
      <c r="H231" s="138"/>
      <c r="J231" s="138"/>
    </row>
    <row r="232" ht="15.75" customHeight="1">
      <c r="A232" s="148">
        <v>46107.0</v>
      </c>
      <c r="B232" s="110" t="s">
        <v>1388</v>
      </c>
      <c r="C232" s="106">
        <v>1.0</v>
      </c>
      <c r="D232" s="149" t="str">
        <f>_xlfn.XLOOKUP(B232,[1]FullDataList!F:F,[1]FullDataList!O:O)</f>
        <v>#ERROR!</v>
      </c>
      <c r="E232" s="110" t="s">
        <v>4006</v>
      </c>
      <c r="H232" s="138"/>
      <c r="J232" s="138"/>
    </row>
    <row r="233" ht="15.75" customHeight="1">
      <c r="A233" s="148">
        <v>46107.0</v>
      </c>
      <c r="B233" s="110" t="s">
        <v>1071</v>
      </c>
      <c r="C233" s="106">
        <v>1.0</v>
      </c>
      <c r="D233" s="149" t="str">
        <f>_xlfn.XLOOKUP(B233,[1]FullDataList!F:F,[1]FullDataList!O:O)</f>
        <v>#ERROR!</v>
      </c>
      <c r="E233" s="110" t="s">
        <v>4008</v>
      </c>
      <c r="H233" s="138"/>
      <c r="J233" s="138"/>
    </row>
    <row r="234" ht="15.75" customHeight="1">
      <c r="A234" s="148">
        <v>46107.0</v>
      </c>
      <c r="B234" s="110" t="s">
        <v>1411</v>
      </c>
      <c r="C234" s="106">
        <v>1.0</v>
      </c>
      <c r="D234" s="149" t="str">
        <f>_xlfn.XLOOKUP(B234,[1]FullDataList!F:F,[1]FullDataList!O:O)</f>
        <v>#ERROR!</v>
      </c>
      <c r="E234" s="110" t="s">
        <v>4027</v>
      </c>
      <c r="H234" s="138"/>
      <c r="J234" s="138"/>
    </row>
    <row r="235" ht="15.75" customHeight="1">
      <c r="A235" s="148">
        <v>46107.0</v>
      </c>
      <c r="B235" s="110" t="s">
        <v>1034</v>
      </c>
      <c r="C235" s="106">
        <v>1.0</v>
      </c>
      <c r="D235" s="149" t="str">
        <f>_xlfn.XLOOKUP(B235,[1]FullDataList!F:F,[1]FullDataList!O:O)</f>
        <v>#ERROR!</v>
      </c>
      <c r="E235" s="110" t="s">
        <v>4014</v>
      </c>
      <c r="H235" s="138"/>
      <c r="J235" s="138"/>
    </row>
    <row r="236" ht="15.75" customHeight="1">
      <c r="A236" s="148">
        <v>46107.0</v>
      </c>
      <c r="B236" s="110" t="s">
        <v>1385</v>
      </c>
      <c r="C236" s="106">
        <v>1.0</v>
      </c>
      <c r="D236" s="149" t="str">
        <f>_xlfn.XLOOKUP(B236,[1]FullDataList!F:F,[1]FullDataList!O:O)</f>
        <v>#ERROR!</v>
      </c>
      <c r="E236" s="110" t="s">
        <v>4031</v>
      </c>
      <c r="H236" s="138"/>
      <c r="J236" s="138"/>
    </row>
    <row r="237" ht="15.75" customHeight="1">
      <c r="A237" s="148">
        <v>46107.0</v>
      </c>
      <c r="B237" s="110" t="s">
        <v>1393</v>
      </c>
      <c r="C237" s="106">
        <v>1.0</v>
      </c>
      <c r="D237" s="149" t="str">
        <f>_xlfn.XLOOKUP(B237,[1]FullDataList!F:F,[1]FullDataList!O:O)</f>
        <v>#ERROR!</v>
      </c>
      <c r="E237" s="110" t="s">
        <v>4032</v>
      </c>
      <c r="H237" s="138"/>
      <c r="J237" s="138"/>
    </row>
    <row r="238" ht="15.75" customHeight="1">
      <c r="A238" s="148">
        <v>46107.0</v>
      </c>
      <c r="B238" s="110" t="s">
        <v>1364</v>
      </c>
      <c r="C238" s="106">
        <v>1.0</v>
      </c>
      <c r="D238" s="149" t="str">
        <f>_xlfn.XLOOKUP(B238,[1]FullDataList!F:F,[1]FullDataList!O:O)</f>
        <v>#ERROR!</v>
      </c>
      <c r="E238" s="110" t="s">
        <v>4033</v>
      </c>
      <c r="H238" s="138"/>
      <c r="J238" s="138"/>
    </row>
    <row r="239" ht="15.75" customHeight="1">
      <c r="A239" s="148">
        <v>46107.0</v>
      </c>
      <c r="B239" s="110" t="s">
        <v>1371</v>
      </c>
      <c r="C239" s="106">
        <v>1.0</v>
      </c>
      <c r="D239" s="149" t="str">
        <f>_xlfn.XLOOKUP(B239,[1]FullDataList!F:F,[1]FullDataList!O:O)</f>
        <v>#ERROR!</v>
      </c>
      <c r="E239" s="110" t="s">
        <v>4034</v>
      </c>
      <c r="H239" s="138"/>
      <c r="J239" s="138"/>
    </row>
    <row r="240" ht="15.75" customHeight="1">
      <c r="A240" s="148">
        <v>46109.0</v>
      </c>
      <c r="B240" s="110" t="s">
        <v>1389</v>
      </c>
      <c r="C240" s="106">
        <v>1.0</v>
      </c>
      <c r="D240" s="149" t="str">
        <f>_xlfn.XLOOKUP(B240,[1]FullDataList!F:F,[1]FullDataList!O:O)</f>
        <v>#ERROR!</v>
      </c>
      <c r="E240" s="110" t="s">
        <v>4026</v>
      </c>
      <c r="H240" s="138"/>
      <c r="J240" s="138"/>
    </row>
    <row r="241" ht="15.75" customHeight="1">
      <c r="A241" s="148">
        <v>46109.0</v>
      </c>
      <c r="B241" s="110" t="s">
        <v>1126</v>
      </c>
      <c r="C241" s="106">
        <v>1.0</v>
      </c>
      <c r="D241" s="149" t="str">
        <f>_xlfn.XLOOKUP(B241,[1]FullDataList!F:F,[1]FullDataList!O:O)</f>
        <v>#ERROR!</v>
      </c>
      <c r="E241" s="110" t="s">
        <v>4035</v>
      </c>
      <c r="H241" s="138"/>
      <c r="J241" s="138"/>
    </row>
    <row r="242" ht="15.75" customHeight="1">
      <c r="A242" s="148">
        <v>46109.0</v>
      </c>
      <c r="B242" s="110" t="s">
        <v>1404</v>
      </c>
      <c r="C242" s="106">
        <v>1.0</v>
      </c>
      <c r="D242" s="149" t="str">
        <f>_xlfn.XLOOKUP(B242,[1]FullDataList!F:F,[1]FullDataList!O:O)</f>
        <v>#ERROR!</v>
      </c>
      <c r="E242" s="110" t="s">
        <v>4005</v>
      </c>
      <c r="H242" s="138"/>
      <c r="J242" s="138"/>
    </row>
    <row r="243" ht="15.75" customHeight="1">
      <c r="A243" s="148">
        <v>46109.0</v>
      </c>
      <c r="B243" s="110" t="s">
        <v>1003</v>
      </c>
      <c r="C243" s="106">
        <v>1.0</v>
      </c>
      <c r="D243" s="149" t="str">
        <f>_xlfn.XLOOKUP(B243,[1]FullDataList!F:F,[1]FullDataList!O:O)</f>
        <v>#ERROR!</v>
      </c>
      <c r="E243" s="110" t="s">
        <v>4006</v>
      </c>
      <c r="H243" s="138"/>
      <c r="J243" s="138"/>
    </row>
    <row r="244" ht="15.75" customHeight="1">
      <c r="A244" s="148">
        <v>46109.0</v>
      </c>
      <c r="B244" s="110" t="s">
        <v>1428</v>
      </c>
      <c r="C244" s="106">
        <v>1.0</v>
      </c>
      <c r="D244" s="149" t="str">
        <f>_xlfn.XLOOKUP(B244,[1]FullDataList!F:F,[1]FullDataList!O:O)</f>
        <v>#ERROR!</v>
      </c>
      <c r="E244" s="110" t="s">
        <v>4020</v>
      </c>
      <c r="H244" s="138"/>
      <c r="J244" s="138"/>
    </row>
    <row r="245" ht="15.75" customHeight="1">
      <c r="A245" s="148">
        <v>46109.0</v>
      </c>
      <c r="B245" s="110" t="s">
        <v>993</v>
      </c>
      <c r="C245" s="106">
        <v>1.0</v>
      </c>
      <c r="D245" s="149" t="str">
        <f>_xlfn.XLOOKUP(B245,[1]FullDataList!F:F,[1]FullDataList!O:O)</f>
        <v>#ERROR!</v>
      </c>
      <c r="E245" s="110" t="s">
        <v>4025</v>
      </c>
      <c r="H245" s="138"/>
      <c r="J245" s="138"/>
    </row>
    <row r="246" ht="15.75" customHeight="1">
      <c r="A246" s="148">
        <v>46109.0</v>
      </c>
      <c r="B246" s="110" t="s">
        <v>1508</v>
      </c>
      <c r="C246" s="106">
        <v>1.0</v>
      </c>
      <c r="D246" s="149" t="str">
        <f>_xlfn.XLOOKUP(B246,[1]FullDataList!F:F,[1]FullDataList!O:O)</f>
        <v>#ERROR!</v>
      </c>
      <c r="E246" s="110" t="s">
        <v>4009</v>
      </c>
      <c r="H246" s="138"/>
      <c r="J246" s="138"/>
    </row>
    <row r="247" ht="15.75" customHeight="1">
      <c r="A247" s="148">
        <v>46109.0</v>
      </c>
      <c r="B247" s="110" t="s">
        <v>1544</v>
      </c>
      <c r="C247" s="106">
        <v>1.0</v>
      </c>
      <c r="D247" s="149" t="str">
        <f>_xlfn.XLOOKUP(B247,[1]FullDataList!F:F,[1]FullDataList!O:O)</f>
        <v>#ERROR!</v>
      </c>
      <c r="E247" s="110" t="s">
        <v>4013</v>
      </c>
      <c r="H247" s="138"/>
      <c r="J247" s="138"/>
    </row>
    <row r="248" ht="15.75" customHeight="1">
      <c r="A248" s="148">
        <v>46109.0</v>
      </c>
      <c r="B248" s="110" t="s">
        <v>1047</v>
      </c>
      <c r="C248" s="106">
        <v>1.0</v>
      </c>
      <c r="D248" s="149" t="str">
        <f>_xlfn.XLOOKUP(B248,[1]FullDataList!F:F,[1]FullDataList!O:O)</f>
        <v>#ERROR!</v>
      </c>
      <c r="E248" s="110" t="s">
        <v>4016</v>
      </c>
      <c r="H248" s="138"/>
      <c r="J248" s="138"/>
    </row>
    <row r="249" ht="15.75" customHeight="1">
      <c r="A249" s="148">
        <v>46109.0</v>
      </c>
      <c r="B249" s="110" t="s">
        <v>1412</v>
      </c>
      <c r="C249" s="106">
        <v>1.0</v>
      </c>
      <c r="D249" s="149" t="str">
        <f>_xlfn.XLOOKUP(B249,[1]FullDataList!F:F,[1]FullDataList!O:O)</f>
        <v>#ERROR!</v>
      </c>
      <c r="E249" s="110" t="s">
        <v>4027</v>
      </c>
      <c r="H249" s="138"/>
      <c r="J249" s="138"/>
    </row>
    <row r="250" ht="15.75" customHeight="1">
      <c r="A250" s="148">
        <v>46109.0</v>
      </c>
      <c r="B250" s="110" t="s">
        <v>1400</v>
      </c>
      <c r="C250" s="106">
        <v>1.0</v>
      </c>
      <c r="D250" s="149" t="str">
        <f>_xlfn.XLOOKUP(B250,[1]FullDataList!F:F,[1]FullDataList!O:O)</f>
        <v>#ERROR!</v>
      </c>
      <c r="E250" s="110" t="s">
        <v>4031</v>
      </c>
      <c r="H250" s="138"/>
      <c r="J250" s="138"/>
    </row>
    <row r="251" ht="15.75" customHeight="1">
      <c r="A251" s="148">
        <v>46109.0</v>
      </c>
      <c r="B251" s="110" t="s">
        <v>1427</v>
      </c>
      <c r="C251" s="106">
        <v>1.0</v>
      </c>
      <c r="D251" s="149" t="str">
        <f>_xlfn.XLOOKUP(B251,[1]FullDataList!F:F,[1]FullDataList!O:O)</f>
        <v>#ERROR!</v>
      </c>
      <c r="E251" s="110" t="s">
        <v>4032</v>
      </c>
      <c r="H251" s="138"/>
      <c r="J251" s="138"/>
    </row>
    <row r="252" ht="15.75" customHeight="1">
      <c r="A252" s="148">
        <v>46109.0</v>
      </c>
      <c r="B252" s="110" t="s">
        <v>1007</v>
      </c>
      <c r="C252" s="106">
        <v>1.0</v>
      </c>
      <c r="D252" s="149" t="str">
        <f>_xlfn.XLOOKUP(B252,[1]FullDataList!F:F,[1]FullDataList!O:O)</f>
        <v>#ERROR!</v>
      </c>
      <c r="E252" s="110">
        <v>21.0</v>
      </c>
      <c r="H252" s="138"/>
      <c r="J252" s="138"/>
    </row>
    <row r="253" ht="15.75" customHeight="1">
      <c r="A253" s="148">
        <v>46109.0</v>
      </c>
      <c r="B253" s="110" t="s">
        <v>1240</v>
      </c>
      <c r="C253" s="106">
        <v>1.0</v>
      </c>
      <c r="D253" s="149" t="str">
        <f>_xlfn.XLOOKUP(B253,[1]FullDataList!F:F,[1]FullDataList!O:O)</f>
        <v>#ERROR!</v>
      </c>
      <c r="E253" s="110">
        <v>21.0</v>
      </c>
      <c r="H253" s="138"/>
      <c r="J253" s="138"/>
    </row>
    <row r="254" ht="15.75" customHeight="1">
      <c r="A254" s="148">
        <v>46110.0</v>
      </c>
      <c r="B254" s="110" t="s">
        <v>1390</v>
      </c>
      <c r="C254" s="106">
        <v>1.0</v>
      </c>
      <c r="D254" s="149" t="str">
        <f>_xlfn.XLOOKUP(B254,[1]FullDataList!F:F,[1]FullDataList!O:O)</f>
        <v>#ERROR!</v>
      </c>
      <c r="E254" s="110" t="s">
        <v>4026</v>
      </c>
      <c r="H254" s="138"/>
      <c r="J254" s="138"/>
    </row>
    <row r="255" ht="15.75" customHeight="1">
      <c r="A255" s="148">
        <v>46110.0</v>
      </c>
      <c r="B255" s="110" t="s">
        <v>1127</v>
      </c>
      <c r="C255" s="106">
        <v>1.0</v>
      </c>
      <c r="D255" s="149" t="str">
        <f>_xlfn.XLOOKUP(B255,[1]FullDataList!F:F,[1]FullDataList!O:O)</f>
        <v>#ERROR!</v>
      </c>
      <c r="E255" s="110" t="s">
        <v>4028</v>
      </c>
      <c r="H255" s="138"/>
      <c r="J255" s="138"/>
    </row>
    <row r="256" ht="15.75" customHeight="1">
      <c r="A256" s="148">
        <v>46110.0</v>
      </c>
      <c r="B256" s="110" t="s">
        <v>1526</v>
      </c>
      <c r="C256" s="106">
        <v>1.0</v>
      </c>
      <c r="D256" s="149" t="str">
        <f>_xlfn.XLOOKUP(B256,[1]FullDataList!F:F,[1]FullDataList!O:O)</f>
        <v>#ERROR!</v>
      </c>
      <c r="E256" s="110"/>
      <c r="H256" s="138"/>
      <c r="J256" s="138"/>
    </row>
    <row r="257" ht="15.75" customHeight="1">
      <c r="A257" s="148">
        <v>46110.0</v>
      </c>
      <c r="B257" s="110" t="s">
        <v>1405</v>
      </c>
      <c r="C257" s="106">
        <v>1.0</v>
      </c>
      <c r="D257" s="149" t="str">
        <f>_xlfn.XLOOKUP(B257,[1]FullDataList!F:F,[1]FullDataList!O:O)</f>
        <v>#ERROR!</v>
      </c>
      <c r="E257" s="110" t="s">
        <v>4005</v>
      </c>
      <c r="H257" s="138"/>
      <c r="J257" s="138"/>
    </row>
    <row r="258" ht="15.75" customHeight="1">
      <c r="A258" s="148">
        <v>46110.0</v>
      </c>
      <c r="B258" s="110" t="s">
        <v>1223</v>
      </c>
      <c r="C258" s="106">
        <v>1.0</v>
      </c>
      <c r="D258" s="149" t="str">
        <f>_xlfn.XLOOKUP(B258,[1]FullDataList!F:F,[1]FullDataList!O:O)</f>
        <v>#ERROR!</v>
      </c>
      <c r="E258" s="110" t="s">
        <v>4008</v>
      </c>
      <c r="H258" s="138"/>
      <c r="J258" s="138"/>
    </row>
    <row r="259" ht="15.75" customHeight="1">
      <c r="A259" s="148">
        <v>46110.0</v>
      </c>
      <c r="B259" s="110" t="s">
        <v>1413</v>
      </c>
      <c r="C259" s="106">
        <v>1.0</v>
      </c>
      <c r="D259" s="149" t="str">
        <f>_xlfn.XLOOKUP(B259,[1]FullDataList!F:F,[1]FullDataList!O:O)</f>
        <v>#ERROR!</v>
      </c>
      <c r="E259" s="110"/>
      <c r="H259" s="138"/>
      <c r="J259" s="138"/>
    </row>
    <row r="260" ht="15.75" customHeight="1">
      <c r="A260" s="148">
        <v>46111.0</v>
      </c>
      <c r="B260" s="110" t="s">
        <v>1391</v>
      </c>
      <c r="C260" s="106">
        <v>1.0</v>
      </c>
      <c r="D260" s="149" t="str">
        <f>_xlfn.XLOOKUP(B260,[1]FullDataList!F:F,[1]FullDataList!O:O)</f>
        <v>#ERROR!</v>
      </c>
      <c r="E260" s="110" t="s">
        <v>4026</v>
      </c>
      <c r="H260" s="138"/>
      <c r="J260" s="138"/>
    </row>
    <row r="261" ht="15.75" customHeight="1">
      <c r="A261" s="148">
        <v>46111.0</v>
      </c>
      <c r="B261" s="110" t="s">
        <v>1043</v>
      </c>
      <c r="C261" s="106">
        <v>1.0</v>
      </c>
      <c r="D261" s="149" t="str">
        <f>_xlfn.XLOOKUP(B261,[1]FullDataList!F:F,[1]FullDataList!O:O)</f>
        <v>#ERROR!</v>
      </c>
      <c r="E261" s="110" t="s">
        <v>4028</v>
      </c>
      <c r="H261" s="138"/>
      <c r="J261" s="138"/>
    </row>
    <row r="262" ht="15.75" customHeight="1">
      <c r="A262" s="148">
        <v>46111.0</v>
      </c>
      <c r="B262" s="110" t="s">
        <v>1626</v>
      </c>
      <c r="C262" s="106">
        <v>1.0</v>
      </c>
      <c r="D262" s="149" t="str">
        <f>_xlfn.XLOOKUP(B262,[1]FullDataList!F:F,[1]FullDataList!O:O)</f>
        <v>#ERROR!</v>
      </c>
      <c r="E262" s="110" t="s">
        <v>4036</v>
      </c>
      <c r="H262" s="138"/>
      <c r="J262" s="138"/>
    </row>
    <row r="263" ht="15.75" customHeight="1">
      <c r="A263" s="148">
        <v>46111.0</v>
      </c>
      <c r="B263" s="110" t="s">
        <v>1561</v>
      </c>
      <c r="C263" s="106">
        <v>1.0</v>
      </c>
      <c r="D263" s="149" t="str">
        <f>_xlfn.XLOOKUP(B263,[1]FullDataList!F:F,[1]FullDataList!O:O)</f>
        <v>#ERROR!</v>
      </c>
      <c r="E263" s="110" t="s">
        <v>4037</v>
      </c>
      <c r="H263" s="138"/>
      <c r="J263" s="138"/>
    </row>
    <row r="264" ht="15.75" customHeight="1">
      <c r="A264" s="148">
        <v>46111.0</v>
      </c>
      <c r="B264" s="110" t="s">
        <v>1560</v>
      </c>
      <c r="C264" s="106">
        <v>1.0</v>
      </c>
      <c r="D264" s="149" t="str">
        <f>_xlfn.XLOOKUP(B264,[1]FullDataList!F:F,[1]FullDataList!O:O)</f>
        <v>#ERROR!</v>
      </c>
      <c r="E264" s="110" t="s">
        <v>4038</v>
      </c>
      <c r="H264" s="138"/>
      <c r="J264" s="138"/>
    </row>
    <row r="265" ht="15.75" customHeight="1">
      <c r="A265" s="148">
        <v>46111.0</v>
      </c>
      <c r="B265" s="110" t="s">
        <v>1446</v>
      </c>
      <c r="C265" s="106">
        <v>1.0</v>
      </c>
      <c r="D265" s="149" t="str">
        <f>_xlfn.XLOOKUP(B265,[1]FullDataList!F:F,[1]FullDataList!O:O)</f>
        <v>#ERROR!</v>
      </c>
      <c r="E265" s="110" t="s">
        <v>4039</v>
      </c>
      <c r="H265" s="138"/>
      <c r="J265" s="138"/>
    </row>
    <row r="266" ht="15.75" customHeight="1">
      <c r="A266" s="148">
        <v>46111.0</v>
      </c>
      <c r="B266" s="110" t="s">
        <v>1235</v>
      </c>
      <c r="C266" s="106">
        <v>1.0</v>
      </c>
      <c r="D266" s="149" t="str">
        <f>_xlfn.XLOOKUP(B266,[1]FullDataList!F:F,[1]FullDataList!O:O)</f>
        <v>#ERROR!</v>
      </c>
      <c r="E266" s="110" t="s">
        <v>4003</v>
      </c>
      <c r="H266" s="138"/>
      <c r="J266" s="138"/>
    </row>
    <row r="267" ht="15.75" customHeight="1">
      <c r="A267" s="148">
        <v>46111.0</v>
      </c>
      <c r="B267" s="110" t="s">
        <v>1527</v>
      </c>
      <c r="C267" s="106">
        <v>1.0</v>
      </c>
      <c r="D267" s="149" t="str">
        <f>_xlfn.XLOOKUP(B267,[1]FullDataList!F:F,[1]FullDataList!O:O)</f>
        <v>#ERROR!</v>
      </c>
      <c r="E267" s="110" t="s">
        <v>4040</v>
      </c>
      <c r="H267" s="138"/>
      <c r="J267" s="138"/>
    </row>
    <row r="268" ht="15.75" customHeight="1">
      <c r="A268" s="148">
        <v>46111.0</v>
      </c>
      <c r="B268" s="110" t="s">
        <v>1429</v>
      </c>
      <c r="C268" s="106">
        <v>1.0</v>
      </c>
      <c r="D268" s="149" t="str">
        <f>_xlfn.XLOOKUP(B268,[1]FullDataList!F:F,[1]FullDataList!O:O)</f>
        <v>#ERROR!</v>
      </c>
      <c r="E268" s="110" t="s">
        <v>4041</v>
      </c>
      <c r="H268" s="138"/>
      <c r="J268" s="138"/>
    </row>
    <row r="269" ht="15.75" customHeight="1">
      <c r="A269" s="148">
        <v>46111.0</v>
      </c>
      <c r="B269" s="110" t="s">
        <v>1509</v>
      </c>
      <c r="C269" s="106">
        <v>1.0</v>
      </c>
      <c r="D269" s="149" t="str">
        <f>_xlfn.XLOOKUP(B269,[1]FullDataList!F:F,[1]FullDataList!O:O)</f>
        <v>#ERROR!</v>
      </c>
      <c r="E269" s="110" t="s">
        <v>4009</v>
      </c>
      <c r="H269" s="138"/>
      <c r="J269" s="138"/>
    </row>
    <row r="270" ht="15.75" customHeight="1">
      <c r="A270" s="148">
        <v>46111.0</v>
      </c>
      <c r="B270" s="110" t="s">
        <v>1545</v>
      </c>
      <c r="C270" s="106">
        <v>1.0</v>
      </c>
      <c r="D270" s="149" t="str">
        <f>_xlfn.XLOOKUP(B270,[1]FullDataList!F:F,[1]FullDataList!O:O)</f>
        <v>#ERROR!</v>
      </c>
      <c r="E270" s="110" t="s">
        <v>4013</v>
      </c>
      <c r="H270" s="138"/>
      <c r="J270" s="138"/>
    </row>
    <row r="271" ht="15.75" customHeight="1">
      <c r="A271" s="148">
        <v>46111.0</v>
      </c>
      <c r="B271" s="110" t="s">
        <v>1048</v>
      </c>
      <c r="C271" s="106">
        <v>1.0</v>
      </c>
      <c r="D271" s="149" t="str">
        <f>_xlfn.XLOOKUP(B271,[1]FullDataList!F:F,[1]FullDataList!O:O)</f>
        <v>#ERROR!</v>
      </c>
      <c r="E271" s="110" t="s">
        <v>4016</v>
      </c>
      <c r="H271" s="138"/>
      <c r="J271" s="138"/>
    </row>
    <row r="272" ht="15.75" customHeight="1">
      <c r="A272" s="148">
        <v>46111.0</v>
      </c>
      <c r="B272" s="110" t="s">
        <v>1373</v>
      </c>
      <c r="C272" s="106">
        <v>1.0</v>
      </c>
      <c r="D272" s="149" t="str">
        <f>_xlfn.XLOOKUP(B272,[1]FullDataList!F:F,[1]FullDataList!O:O)</f>
        <v>#ERROR!</v>
      </c>
      <c r="E272" s="110" t="s">
        <v>4017</v>
      </c>
      <c r="H272" s="138"/>
      <c r="J272" s="138"/>
    </row>
    <row r="273" ht="15.75" customHeight="1">
      <c r="A273" s="148">
        <v>46111.0</v>
      </c>
      <c r="B273" s="110" t="s">
        <v>1434</v>
      </c>
      <c r="C273" s="106">
        <v>1.0</v>
      </c>
      <c r="D273" s="149" t="str">
        <f>_xlfn.XLOOKUP(B273,[1]FullDataList!F:F,[1]FullDataList!O:O)</f>
        <v>#ERROR!</v>
      </c>
      <c r="E273" s="110" t="s">
        <v>4027</v>
      </c>
      <c r="H273" s="138"/>
      <c r="J273" s="138"/>
    </row>
    <row r="274" ht="15.75" customHeight="1">
      <c r="A274" s="148">
        <v>46111.0</v>
      </c>
      <c r="B274" s="110" t="s">
        <v>1103</v>
      </c>
      <c r="C274" s="106">
        <v>1.0</v>
      </c>
      <c r="D274" s="149" t="str">
        <f>_xlfn.XLOOKUP(B274,[1]FullDataList!F:F,[1]FullDataList!O:O)</f>
        <v>#ERROR!</v>
      </c>
      <c r="E274" s="110" t="s">
        <v>4030</v>
      </c>
      <c r="H274" s="138"/>
      <c r="J274" s="138"/>
    </row>
    <row r="275" ht="15.75" customHeight="1">
      <c r="A275" s="148">
        <v>46111.0</v>
      </c>
      <c r="B275" s="110" t="s">
        <v>1120</v>
      </c>
      <c r="C275" s="106">
        <v>1.0</v>
      </c>
      <c r="D275" s="149" t="str">
        <f>_xlfn.XLOOKUP(B275,[1]FullDataList!F:F,[1]FullDataList!O:O)</f>
        <v>#ERROR!</v>
      </c>
      <c r="E275" s="110" t="s">
        <v>4042</v>
      </c>
      <c r="H275" s="138"/>
      <c r="J275" s="138"/>
    </row>
    <row r="276" ht="15.75" customHeight="1">
      <c r="A276" s="148">
        <v>46111.0</v>
      </c>
      <c r="B276" s="110" t="s">
        <v>1401</v>
      </c>
      <c r="C276" s="106">
        <v>1.0</v>
      </c>
      <c r="D276" s="149" t="str">
        <f>_xlfn.XLOOKUP(B276,[1]FullDataList!F:F,[1]FullDataList!O:O)</f>
        <v>#ERROR!</v>
      </c>
      <c r="E276" s="110" t="s">
        <v>4004</v>
      </c>
      <c r="H276" s="138"/>
      <c r="J276" s="138"/>
    </row>
    <row r="277" ht="15.75" customHeight="1">
      <c r="A277" s="148">
        <v>46111.0</v>
      </c>
      <c r="B277" s="110" t="s">
        <v>1474</v>
      </c>
      <c r="C277" s="106">
        <v>1.0</v>
      </c>
      <c r="D277" s="149" t="str">
        <f>_xlfn.XLOOKUP(B277,[1]FullDataList!F:F,[1]FullDataList!O:O)</f>
        <v>#ERROR!</v>
      </c>
      <c r="E277" s="110" t="s">
        <v>4032</v>
      </c>
      <c r="H277" s="138"/>
      <c r="J277" s="138"/>
    </row>
    <row r="278" ht="15.75" customHeight="1">
      <c r="A278" s="148">
        <v>46111.0</v>
      </c>
      <c r="B278" s="110" t="s">
        <v>1433</v>
      </c>
      <c r="C278" s="106">
        <v>1.0</v>
      </c>
      <c r="D278" s="149" t="str">
        <f>_xlfn.XLOOKUP(B278,[1]FullDataList!F:F,[1]FullDataList!O:O)</f>
        <v>#ERROR!</v>
      </c>
      <c r="E278" s="110" t="s">
        <v>4011</v>
      </c>
      <c r="H278" s="138"/>
      <c r="J278" s="138"/>
    </row>
    <row r="279" ht="15.75" customHeight="1">
      <c r="A279" s="148">
        <v>46111.0</v>
      </c>
      <c r="B279" s="110" t="s">
        <v>1008</v>
      </c>
      <c r="C279" s="106">
        <v>1.0</v>
      </c>
      <c r="D279" s="149" t="str">
        <f>_xlfn.XLOOKUP(B279,[1]FullDataList!F:F,[1]FullDataList!O:O)</f>
        <v>#ERROR!</v>
      </c>
      <c r="E279" s="110" t="s">
        <v>4043</v>
      </c>
      <c r="H279" s="138"/>
      <c r="J279" s="138"/>
    </row>
    <row r="280" ht="15.75" customHeight="1">
      <c r="A280" s="148">
        <v>46111.0</v>
      </c>
      <c r="B280" s="110" t="s">
        <v>1249</v>
      </c>
      <c r="C280" s="106">
        <v>1.0</v>
      </c>
      <c r="D280" s="149" t="str">
        <f>_xlfn.XLOOKUP(B280,[1]FullDataList!F:F,[1]FullDataList!O:O)</f>
        <v>#ERROR!</v>
      </c>
      <c r="E280" s="110" t="s">
        <v>4044</v>
      </c>
      <c r="H280" s="138"/>
      <c r="J280" s="138"/>
    </row>
    <row r="281" ht="15.75" customHeight="1">
      <c r="A281" s="148">
        <v>46112.0</v>
      </c>
      <c r="B281" s="110" t="s">
        <v>1451</v>
      </c>
      <c r="C281" s="106">
        <v>1.0</v>
      </c>
      <c r="D281" s="149" t="str">
        <f>_xlfn.XLOOKUP(B281,[1]FullDataList!F:F,[1]FullDataList!O:O)</f>
        <v>#ERROR!</v>
      </c>
      <c r="E281" s="110" t="s">
        <v>4026</v>
      </c>
      <c r="H281" s="138"/>
      <c r="J281" s="138"/>
    </row>
    <row r="282" ht="15.75" customHeight="1">
      <c r="A282" s="148">
        <v>46112.0</v>
      </c>
      <c r="B282" s="110" t="s">
        <v>1044</v>
      </c>
      <c r="C282" s="106">
        <v>1.0</v>
      </c>
      <c r="D282" s="149" t="str">
        <f>_xlfn.XLOOKUP(B282,[1]FullDataList!F:F,[1]FullDataList!O:O)</f>
        <v>#ERROR!</v>
      </c>
      <c r="E282" s="110" t="s">
        <v>4028</v>
      </c>
      <c r="H282" s="138"/>
      <c r="J282" s="138"/>
    </row>
    <row r="283" ht="15.75" customHeight="1">
      <c r="A283" s="148">
        <v>46112.0</v>
      </c>
      <c r="B283" s="110" t="s">
        <v>1627</v>
      </c>
      <c r="C283" s="106">
        <v>1.0</v>
      </c>
      <c r="D283" s="149" t="str">
        <f>_xlfn.XLOOKUP(B283,[1]FullDataList!F:F,[1]FullDataList!O:O)</f>
        <v>#ERROR!</v>
      </c>
      <c r="E283" s="110" t="s">
        <v>4036</v>
      </c>
      <c r="H283" s="138"/>
      <c r="J283" s="138"/>
    </row>
    <row r="284" ht="15.75" customHeight="1">
      <c r="A284" s="148">
        <v>46112.0</v>
      </c>
      <c r="B284" s="110" t="s">
        <v>1406</v>
      </c>
      <c r="C284" s="106">
        <v>1.0</v>
      </c>
      <c r="D284" s="149" t="str">
        <f>_xlfn.XLOOKUP(B284,[1]FullDataList!F:F,[1]FullDataList!O:O)</f>
        <v>#ERROR!</v>
      </c>
      <c r="E284" s="110" t="s">
        <v>4005</v>
      </c>
      <c r="H284" s="138"/>
      <c r="J284" s="138"/>
    </row>
    <row r="285" ht="15.75" customHeight="1">
      <c r="A285" s="148">
        <v>46112.0</v>
      </c>
      <c r="B285" s="110" t="s">
        <v>1579</v>
      </c>
      <c r="C285" s="106">
        <v>1.0</v>
      </c>
      <c r="D285" s="149" t="str">
        <f>_xlfn.XLOOKUP(B285,[1]FullDataList!F:F,[1]FullDataList!O:O)</f>
        <v>#ERROR!</v>
      </c>
      <c r="E285" s="110" t="s">
        <v>4040</v>
      </c>
      <c r="H285" s="138"/>
      <c r="J285" s="138"/>
    </row>
    <row r="286" ht="15.75" customHeight="1">
      <c r="A286" s="148">
        <v>46112.0</v>
      </c>
      <c r="B286" s="110" t="s">
        <v>1420</v>
      </c>
      <c r="C286" s="106">
        <v>1.0</v>
      </c>
      <c r="D286" s="149" t="str">
        <f>_xlfn.XLOOKUP(B286,[1]FullDataList!F:F,[1]FullDataList!O:O)</f>
        <v>#ERROR!</v>
      </c>
      <c r="E286" s="110" t="s">
        <v>4025</v>
      </c>
      <c r="H286" s="138"/>
      <c r="J286" s="138"/>
    </row>
    <row r="287" ht="15.75" customHeight="1">
      <c r="A287" s="148">
        <v>46112.0</v>
      </c>
      <c r="B287" s="110" t="s">
        <v>998</v>
      </c>
      <c r="C287" s="106">
        <v>1.0</v>
      </c>
      <c r="D287" s="149" t="str">
        <f>_xlfn.XLOOKUP(B287,[1]FullDataList!F:F,[1]FullDataList!O:O)</f>
        <v>#ERROR!</v>
      </c>
      <c r="E287" s="110" t="s">
        <v>4008</v>
      </c>
      <c r="H287" s="138"/>
      <c r="J287" s="138"/>
    </row>
    <row r="288" ht="15.75" customHeight="1">
      <c r="A288" s="148">
        <v>46112.0</v>
      </c>
      <c r="B288" s="110" t="s">
        <v>1510</v>
      </c>
      <c r="C288" s="106">
        <v>1.0</v>
      </c>
      <c r="D288" s="149" t="str">
        <f>_xlfn.XLOOKUP(B288,[1]FullDataList!F:F,[1]FullDataList!O:O)</f>
        <v>#ERROR!</v>
      </c>
      <c r="E288" s="110" t="s">
        <v>4009</v>
      </c>
      <c r="H288" s="138"/>
      <c r="J288" s="138"/>
    </row>
    <row r="289" ht="15.75" customHeight="1">
      <c r="A289" s="148">
        <v>46112.0</v>
      </c>
      <c r="B289" s="110" t="s">
        <v>1310</v>
      </c>
      <c r="C289" s="106">
        <v>1.0</v>
      </c>
      <c r="D289" s="149" t="str">
        <f>_xlfn.XLOOKUP(B289,[1]FullDataList!F:F,[1]FullDataList!O:O)</f>
        <v>#ERROR!</v>
      </c>
      <c r="E289" s="110" t="s">
        <v>4045</v>
      </c>
      <c r="H289" s="138"/>
      <c r="J289" s="138"/>
    </row>
    <row r="290" ht="15.75" customHeight="1">
      <c r="A290" s="148">
        <v>46112.0</v>
      </c>
      <c r="B290" s="110" t="s">
        <v>1435</v>
      </c>
      <c r="C290" s="106">
        <v>1.0</v>
      </c>
      <c r="D290" s="149" t="str">
        <f>_xlfn.XLOOKUP(B290,[1]FullDataList!F:F,[1]FullDataList!O:O)</f>
        <v>#ERROR!</v>
      </c>
      <c r="E290" s="110" t="s">
        <v>4027</v>
      </c>
      <c r="H290" s="138"/>
      <c r="J290" s="138"/>
    </row>
    <row r="291" ht="15.75" customHeight="1">
      <c r="A291" s="148">
        <v>46112.0</v>
      </c>
      <c r="B291" s="110" t="s">
        <v>1356</v>
      </c>
      <c r="C291" s="106">
        <v>1.0</v>
      </c>
      <c r="D291" s="149" t="str">
        <f>_xlfn.XLOOKUP(B291,[1]FullDataList!F:F,[1]FullDataList!O:O)</f>
        <v>#ERROR!</v>
      </c>
      <c r="E291" s="110" t="s">
        <v>4004</v>
      </c>
      <c r="H291" s="138"/>
      <c r="J291" s="138"/>
    </row>
    <row r="292" ht="15.75" customHeight="1">
      <c r="A292" s="148">
        <v>46112.0</v>
      </c>
      <c r="B292" s="110" t="s">
        <v>1009</v>
      </c>
      <c r="C292" s="106">
        <v>1.0</v>
      </c>
      <c r="D292" s="149" t="str">
        <f>_xlfn.XLOOKUP(B292,[1]FullDataList!F:F,[1]FullDataList!O:O)</f>
        <v>#ERROR!</v>
      </c>
      <c r="E292" s="110" t="s">
        <v>4043</v>
      </c>
      <c r="H292" s="138"/>
      <c r="J292" s="138"/>
    </row>
    <row r="293" ht="15.75" customHeight="1">
      <c r="A293" s="148">
        <v>46112.0</v>
      </c>
      <c r="B293" s="110" t="s">
        <v>1266</v>
      </c>
      <c r="C293" s="106">
        <v>1.0</v>
      </c>
      <c r="D293" s="149" t="str">
        <f>_xlfn.XLOOKUP(B293,[1]FullDataList!F:F,[1]FullDataList!O:O)</f>
        <v>#ERROR!</v>
      </c>
      <c r="E293" s="110" t="s">
        <v>4044</v>
      </c>
      <c r="H293" s="138"/>
      <c r="J293" s="138"/>
    </row>
    <row r="294" ht="15.75" customHeight="1">
      <c r="A294" s="148">
        <v>46113.0</v>
      </c>
      <c r="B294" s="110" t="s">
        <v>1452</v>
      </c>
      <c r="C294" s="106">
        <v>1.0</v>
      </c>
      <c r="D294" s="149" t="str">
        <f>_xlfn.XLOOKUP(B294,[1]FullDataList!F:F,[1]FullDataList!O:O)</f>
        <v>#ERROR!</v>
      </c>
      <c r="E294" s="110" t="s">
        <v>4026</v>
      </c>
      <c r="H294" s="138"/>
      <c r="J294" s="138"/>
    </row>
    <row r="295" ht="15.75" customHeight="1">
      <c r="A295" s="148">
        <v>46113.0</v>
      </c>
      <c r="B295" s="110" t="s">
        <v>1394</v>
      </c>
      <c r="C295" s="106">
        <v>1.0</v>
      </c>
      <c r="D295" s="149" t="str">
        <f>_xlfn.XLOOKUP(B295,[1]FullDataList!F:F,[1]FullDataList!O:O)</f>
        <v>#ERROR!</v>
      </c>
      <c r="E295" s="110" t="s">
        <v>4028</v>
      </c>
      <c r="H295" s="138"/>
      <c r="J295" s="138"/>
    </row>
    <row r="296" ht="15.75" customHeight="1">
      <c r="A296" s="148">
        <v>46113.0</v>
      </c>
      <c r="B296" s="110" t="s">
        <v>1445</v>
      </c>
      <c r="C296" s="106">
        <v>1.0</v>
      </c>
      <c r="D296" s="149" t="str">
        <f>_xlfn.XLOOKUP(B296,[1]FullDataList!F:F,[1]FullDataList!O:O)</f>
        <v>#ERROR!</v>
      </c>
      <c r="E296" s="110" t="s">
        <v>4036</v>
      </c>
      <c r="H296" s="138"/>
      <c r="J296" s="138"/>
    </row>
    <row r="297" ht="15.75" customHeight="1">
      <c r="A297" s="148">
        <v>46113.0</v>
      </c>
      <c r="B297" s="110" t="s">
        <v>1374</v>
      </c>
      <c r="C297" s="106">
        <v>1.0</v>
      </c>
      <c r="D297" s="149" t="str">
        <f>_xlfn.XLOOKUP(B297,[1]FullDataList!F:F,[1]FullDataList!O:O)</f>
        <v>#ERROR!</v>
      </c>
      <c r="E297" s="110" t="s">
        <v>4037</v>
      </c>
      <c r="H297" s="138"/>
      <c r="J297" s="138"/>
    </row>
    <row r="298" ht="15.75" customHeight="1">
      <c r="A298" s="148">
        <v>46113.0</v>
      </c>
      <c r="B298" s="110" t="s">
        <v>1533</v>
      </c>
      <c r="C298" s="106">
        <v>1.0</v>
      </c>
      <c r="D298" s="149" t="str">
        <f>_xlfn.XLOOKUP(B298,[1]FullDataList!F:F,[1]FullDataList!O:O)</f>
        <v>#ERROR!</v>
      </c>
      <c r="E298" s="110" t="s">
        <v>4038</v>
      </c>
      <c r="H298" s="138"/>
      <c r="J298" s="138"/>
    </row>
    <row r="299" ht="15.75" customHeight="1">
      <c r="A299" s="148">
        <v>46113.0</v>
      </c>
      <c r="B299" s="110" t="s">
        <v>1457</v>
      </c>
      <c r="C299" s="106">
        <v>1.0</v>
      </c>
      <c r="D299" s="149" t="str">
        <f>_xlfn.XLOOKUP(B299,[1]FullDataList!F:F,[1]FullDataList!O:O)</f>
        <v>#ERROR!</v>
      </c>
      <c r="E299" s="110" t="s">
        <v>4039</v>
      </c>
      <c r="H299" s="138"/>
      <c r="J299" s="138"/>
    </row>
    <row r="300" ht="15.75" customHeight="1">
      <c r="A300" s="148">
        <v>46113.0</v>
      </c>
      <c r="B300" s="110" t="s">
        <v>1463</v>
      </c>
      <c r="C300" s="106">
        <v>1.0</v>
      </c>
      <c r="D300" s="149" t="str">
        <f>_xlfn.XLOOKUP(B300,[1]FullDataList!F:F,[1]FullDataList!O:O)</f>
        <v>#ERROR!</v>
      </c>
      <c r="E300" s="110" t="s">
        <v>4003</v>
      </c>
      <c r="H300" s="138"/>
      <c r="J300" s="138"/>
    </row>
    <row r="301" ht="15.75" customHeight="1">
      <c r="A301" s="148">
        <v>46113.0</v>
      </c>
      <c r="B301" s="110" t="s">
        <v>1407</v>
      </c>
      <c r="C301" s="106">
        <v>1.0</v>
      </c>
      <c r="D301" s="149" t="str">
        <f>_xlfn.XLOOKUP(B301,[1]FullDataList!F:F,[1]FullDataList!O:O)</f>
        <v>#ERROR!</v>
      </c>
      <c r="E301" s="110" t="s">
        <v>4005</v>
      </c>
      <c r="H301" s="138"/>
      <c r="J301" s="138"/>
    </row>
    <row r="302" ht="15.75" customHeight="1">
      <c r="A302" s="148">
        <v>46113.0</v>
      </c>
      <c r="B302" s="110" t="s">
        <v>1580</v>
      </c>
      <c r="C302" s="106">
        <v>1.0</v>
      </c>
      <c r="D302" s="149" t="str">
        <f>_xlfn.XLOOKUP(B302,[1]FullDataList!F:F,[1]FullDataList!O:O)</f>
        <v>#ERROR!</v>
      </c>
      <c r="E302" s="110" t="s">
        <v>4040</v>
      </c>
      <c r="H302" s="138"/>
      <c r="J302" s="138"/>
    </row>
    <row r="303" ht="15.75" customHeight="1">
      <c r="A303" s="148">
        <v>46113.0</v>
      </c>
      <c r="B303" s="110" t="s">
        <v>1430</v>
      </c>
      <c r="C303" s="106">
        <v>1.0</v>
      </c>
      <c r="D303" s="149" t="str">
        <f>_xlfn.XLOOKUP(B303,[1]FullDataList!F:F,[1]FullDataList!O:O)</f>
        <v>#ERROR!</v>
      </c>
      <c r="E303" s="110" t="s">
        <v>4041</v>
      </c>
      <c r="H303" s="138"/>
      <c r="J303" s="138"/>
    </row>
    <row r="304" ht="15.75" customHeight="1">
      <c r="A304" s="148">
        <v>46113.0</v>
      </c>
      <c r="B304" s="110" t="s">
        <v>1517</v>
      </c>
      <c r="C304" s="106">
        <v>1.0</v>
      </c>
      <c r="D304" s="149" t="str">
        <f>_xlfn.XLOOKUP(B304,[1]FullDataList!F:F,[1]FullDataList!O:O)</f>
        <v>#ERROR!</v>
      </c>
      <c r="E304" s="110" t="s">
        <v>4017</v>
      </c>
      <c r="H304" s="138"/>
      <c r="J304" s="138"/>
    </row>
    <row r="305" ht="15.75" customHeight="1">
      <c r="A305" s="148">
        <v>46113.0</v>
      </c>
      <c r="B305" s="110" t="s">
        <v>1436</v>
      </c>
      <c r="C305" s="106">
        <v>1.0</v>
      </c>
      <c r="D305" s="149" t="str">
        <f>_xlfn.XLOOKUP(B305,[1]FullDataList!F:F,[1]FullDataList!O:O)</f>
        <v>#ERROR!</v>
      </c>
      <c r="E305" s="110" t="s">
        <v>4027</v>
      </c>
      <c r="H305" s="138"/>
      <c r="J305" s="138"/>
    </row>
    <row r="306" ht="15.75" customHeight="1">
      <c r="A306" s="148">
        <v>46113.0</v>
      </c>
      <c r="B306" s="110" t="s">
        <v>1372</v>
      </c>
      <c r="C306" s="106">
        <v>1.0</v>
      </c>
      <c r="D306" s="149" t="str">
        <f>_xlfn.XLOOKUP(B306,[1]FullDataList!F:F,[1]FullDataList!O:O)</f>
        <v>#ERROR!</v>
      </c>
      <c r="E306" s="110" t="s">
        <v>4042</v>
      </c>
      <c r="H306" s="138"/>
      <c r="J306" s="138"/>
    </row>
    <row r="307" ht="15.75" customHeight="1">
      <c r="A307" s="148">
        <v>46113.0</v>
      </c>
      <c r="B307" s="110" t="s">
        <v>1355</v>
      </c>
      <c r="C307" s="106">
        <v>1.0</v>
      </c>
      <c r="D307" s="149" t="str">
        <f>_xlfn.XLOOKUP(B307,[1]FullDataList!F:F,[1]FullDataList!O:O)</f>
        <v>#ERROR!</v>
      </c>
      <c r="E307" s="110" t="s">
        <v>4004</v>
      </c>
      <c r="H307" s="138"/>
      <c r="J307" s="138"/>
    </row>
    <row r="308" ht="15.75" customHeight="1">
      <c r="A308" s="148">
        <v>46113.0</v>
      </c>
      <c r="B308" s="110" t="s">
        <v>1475</v>
      </c>
      <c r="C308" s="106">
        <v>1.0</v>
      </c>
      <c r="D308" s="149" t="str">
        <f>_xlfn.XLOOKUP(B308,[1]FullDataList!F:F,[1]FullDataList!O:O)</f>
        <v>#ERROR!</v>
      </c>
      <c r="E308" s="110" t="s">
        <v>4032</v>
      </c>
      <c r="H308" s="138"/>
      <c r="J308" s="138"/>
    </row>
    <row r="309" ht="15.75" customHeight="1">
      <c r="A309" s="148">
        <v>46113.0</v>
      </c>
      <c r="B309" s="110" t="s">
        <v>1392</v>
      </c>
      <c r="C309" s="106">
        <v>1.0</v>
      </c>
      <c r="D309" s="149" t="str">
        <f>_xlfn.XLOOKUP(B309,[1]FullDataList!F:F,[1]FullDataList!O:O)</f>
        <v>#ERROR!</v>
      </c>
      <c r="E309" s="110" t="s">
        <v>4012</v>
      </c>
      <c r="H309" s="138"/>
      <c r="J309" s="138"/>
    </row>
    <row r="310" ht="15.75" customHeight="1">
      <c r="A310" s="148">
        <v>46113.0</v>
      </c>
      <c r="B310" s="110" t="s">
        <v>1029</v>
      </c>
      <c r="C310" s="106">
        <v>1.0</v>
      </c>
      <c r="D310" s="149" t="str">
        <f>_xlfn.XLOOKUP(B310,[1]FullDataList!F:F,[1]FullDataList!O:O)</f>
        <v>#ERROR!</v>
      </c>
      <c r="E310" s="110" t="s">
        <v>4046</v>
      </c>
      <c r="H310" s="138"/>
      <c r="J310" s="138"/>
    </row>
    <row r="311" ht="15.75" customHeight="1">
      <c r="A311" s="148">
        <v>46113.0</v>
      </c>
      <c r="B311" s="110" t="s">
        <v>1049</v>
      </c>
      <c r="C311" s="106">
        <v>1.0</v>
      </c>
      <c r="D311" s="149" t="str">
        <f>_xlfn.XLOOKUP(B311,[1]FullDataList!F:F,[1]FullDataList!O:O)</f>
        <v>#ERROR!</v>
      </c>
      <c r="E311" s="110" t="s">
        <v>4016</v>
      </c>
      <c r="H311" s="138"/>
      <c r="J311" s="138"/>
    </row>
    <row r="312" ht="15.75" customHeight="1">
      <c r="A312" s="148">
        <v>46114.0</v>
      </c>
      <c r="B312" s="110" t="s">
        <v>1453</v>
      </c>
      <c r="C312" s="106">
        <v>1.0</v>
      </c>
      <c r="D312" s="149" t="str">
        <f>_xlfn.XLOOKUP(B312,[1]FullDataList!F:F,[1]FullDataList!O:O)</f>
        <v>#ERROR!</v>
      </c>
      <c r="E312" s="110" t="s">
        <v>4026</v>
      </c>
      <c r="H312" s="138"/>
      <c r="J312" s="138"/>
    </row>
    <row r="313" ht="15.75" customHeight="1">
      <c r="A313" s="148">
        <v>46114.0</v>
      </c>
      <c r="B313" s="110" t="s">
        <v>1395</v>
      </c>
      <c r="C313" s="106">
        <v>1.0</v>
      </c>
      <c r="D313" s="149" t="str">
        <f>_xlfn.XLOOKUP(B313,[1]FullDataList!F:F,[1]FullDataList!O:O)</f>
        <v>#ERROR!</v>
      </c>
      <c r="E313" s="110" t="s">
        <v>4028</v>
      </c>
      <c r="H313" s="138"/>
      <c r="J313" s="138"/>
    </row>
    <row r="314" ht="15.75" customHeight="1">
      <c r="A314" s="148">
        <v>46114.0</v>
      </c>
      <c r="B314" s="110" t="s">
        <v>1069</v>
      </c>
      <c r="C314" s="106">
        <v>1.0</v>
      </c>
      <c r="D314" s="149" t="str">
        <f>_xlfn.XLOOKUP(B314,[1]FullDataList!F:F,[1]FullDataList!O:O)</f>
        <v>#ERROR!</v>
      </c>
      <c r="E314" s="110" t="s">
        <v>4037</v>
      </c>
      <c r="H314" s="138"/>
      <c r="J314" s="138"/>
    </row>
    <row r="315" ht="15.75" customHeight="1">
      <c r="A315" s="148">
        <v>46114.0</v>
      </c>
      <c r="B315" s="110" t="s">
        <v>1585</v>
      </c>
      <c r="C315" s="106">
        <v>1.0</v>
      </c>
      <c r="D315" s="149" t="str">
        <f>_xlfn.XLOOKUP(B315,[1]FullDataList!F:F,[1]FullDataList!O:O)</f>
        <v>#ERROR!</v>
      </c>
      <c r="E315" s="110" t="s">
        <v>4038</v>
      </c>
      <c r="H315" s="138"/>
      <c r="J315" s="138"/>
    </row>
    <row r="316" ht="15.75" customHeight="1">
      <c r="A316" s="148">
        <v>46114.0</v>
      </c>
      <c r="B316" s="110" t="s">
        <v>1376</v>
      </c>
      <c r="C316" s="106">
        <v>1.0</v>
      </c>
      <c r="D316" s="149" t="str">
        <f>_xlfn.XLOOKUP(B316,[1]FullDataList!F:F,[1]FullDataList!O:O)</f>
        <v>#ERROR!</v>
      </c>
      <c r="E316" s="110" t="s">
        <v>4047</v>
      </c>
      <c r="H316" s="138"/>
      <c r="J316" s="138"/>
    </row>
    <row r="317" ht="15.75" customHeight="1">
      <c r="A317" s="148">
        <v>46114.0</v>
      </c>
      <c r="B317" s="110" t="s">
        <v>1399</v>
      </c>
      <c r="C317" s="106">
        <v>1.0</v>
      </c>
      <c r="D317" s="149" t="str">
        <f>_xlfn.XLOOKUP(B317,[1]FullDataList!F:F,[1]FullDataList!O:O)</f>
        <v>#ERROR!</v>
      </c>
      <c r="E317" s="110" t="s">
        <v>4048</v>
      </c>
      <c r="H317" s="138"/>
      <c r="J317" s="138"/>
    </row>
    <row r="318" ht="15.75" customHeight="1">
      <c r="A318" s="148">
        <v>46114.0</v>
      </c>
      <c r="B318" s="110" t="s">
        <v>1512</v>
      </c>
      <c r="C318" s="106">
        <v>1.0</v>
      </c>
      <c r="D318" s="149" t="str">
        <f>_xlfn.XLOOKUP(B318,[1]FullDataList!F:F,[1]FullDataList!O:O)</f>
        <v>#ERROR!</v>
      </c>
      <c r="E318" s="110" t="s">
        <v>4039</v>
      </c>
      <c r="H318" s="138"/>
      <c r="J318" s="138"/>
    </row>
    <row r="319" ht="15.75" customHeight="1">
      <c r="A319" s="148">
        <v>46114.0</v>
      </c>
      <c r="B319" s="110" t="s">
        <v>1469</v>
      </c>
      <c r="C319" s="106">
        <v>1.0</v>
      </c>
      <c r="D319" s="149" t="str">
        <f>_xlfn.XLOOKUP(B319,[1]FullDataList!F:F,[1]FullDataList!O:O)</f>
        <v>#ERROR!</v>
      </c>
      <c r="E319" s="110" t="s">
        <v>4003</v>
      </c>
      <c r="H319" s="138"/>
      <c r="J319" s="138"/>
    </row>
    <row r="320" ht="15.75" customHeight="1">
      <c r="A320" s="148">
        <v>46114.0</v>
      </c>
      <c r="B320" s="110" t="s">
        <v>1581</v>
      </c>
      <c r="C320" s="106">
        <v>1.0</v>
      </c>
      <c r="D320" s="149" t="str">
        <f>_xlfn.XLOOKUP(B320,[1]FullDataList!F:F,[1]FullDataList!O:O)</f>
        <v>#ERROR!</v>
      </c>
      <c r="E320" s="110" t="s">
        <v>4040</v>
      </c>
      <c r="H320" s="138"/>
      <c r="J320" s="138"/>
    </row>
    <row r="321" ht="15.75" customHeight="1">
      <c r="A321" s="148">
        <v>46114.0</v>
      </c>
      <c r="B321" s="110" t="s">
        <v>1551</v>
      </c>
      <c r="C321" s="106">
        <v>1.0</v>
      </c>
      <c r="D321" s="149" t="str">
        <f>_xlfn.XLOOKUP(B321,[1]FullDataList!F:F,[1]FullDataList!O:O)</f>
        <v>#ERROR!</v>
      </c>
      <c r="E321" s="110" t="s">
        <v>4041</v>
      </c>
      <c r="H321" s="138"/>
      <c r="J321" s="138"/>
    </row>
    <row r="322" ht="15.75" customHeight="1">
      <c r="A322" s="148">
        <v>46114.0</v>
      </c>
      <c r="B322" s="110" t="s">
        <v>1502</v>
      </c>
      <c r="C322" s="106">
        <v>1.0</v>
      </c>
      <c r="D322" s="149" t="str">
        <f>_xlfn.XLOOKUP(B322,[1]FullDataList!F:F,[1]FullDataList!O:O)</f>
        <v>#ERROR!</v>
      </c>
      <c r="E322" s="110" t="s">
        <v>4025</v>
      </c>
      <c r="H322" s="138"/>
      <c r="J322" s="138"/>
    </row>
    <row r="323" ht="15.75" customHeight="1">
      <c r="A323" s="148">
        <v>46114.0</v>
      </c>
      <c r="B323" s="110" t="s">
        <v>1045</v>
      </c>
      <c r="C323" s="106">
        <v>1.0</v>
      </c>
      <c r="D323" s="149" t="str">
        <f>_xlfn.XLOOKUP(B323,[1]FullDataList!F:F,[1]FullDataList!O:O)</f>
        <v>#ERROR!</v>
      </c>
      <c r="E323" s="110" t="s">
        <v>4008</v>
      </c>
      <c r="H323" s="138"/>
      <c r="J323" s="138"/>
    </row>
    <row r="324" ht="15.75" customHeight="1">
      <c r="A324" s="148">
        <v>46114.0</v>
      </c>
      <c r="B324" s="110" t="s">
        <v>1511</v>
      </c>
      <c r="C324" s="106">
        <v>1.0</v>
      </c>
      <c r="D324" s="149" t="str">
        <f>_xlfn.XLOOKUP(B324,[1]FullDataList!F:F,[1]FullDataList!O:O)</f>
        <v>#ERROR!</v>
      </c>
      <c r="E324" s="110" t="s">
        <v>4009</v>
      </c>
      <c r="H324" s="138"/>
      <c r="J324" s="138"/>
    </row>
    <row r="325" ht="15.75" customHeight="1">
      <c r="A325" s="148">
        <v>46114.0</v>
      </c>
      <c r="B325" s="110" t="s">
        <v>1547</v>
      </c>
      <c r="C325" s="106">
        <v>1.0</v>
      </c>
      <c r="D325" s="149" t="str">
        <f>_xlfn.XLOOKUP(B325,[1]FullDataList!F:F,[1]FullDataList!O:O)</f>
        <v>#ERROR!</v>
      </c>
      <c r="E325" s="110" t="s">
        <v>4013</v>
      </c>
      <c r="H325" s="138"/>
      <c r="J325" s="138"/>
    </row>
    <row r="326" ht="15.75" customHeight="1">
      <c r="A326" s="148">
        <v>46114.0</v>
      </c>
      <c r="B326" s="110" t="s">
        <v>1569</v>
      </c>
      <c r="C326" s="106">
        <v>1.0</v>
      </c>
      <c r="D326" s="149" t="str">
        <f>_xlfn.XLOOKUP(B326,[1]FullDataList!F:F,[1]FullDataList!O:O)</f>
        <v>#ERROR!</v>
      </c>
      <c r="E326" s="110" t="s">
        <v>4016</v>
      </c>
      <c r="H326" s="138"/>
      <c r="J326" s="138"/>
    </row>
    <row r="327" ht="15.75" customHeight="1">
      <c r="A327" s="148">
        <v>46114.0</v>
      </c>
      <c r="B327" s="110" t="s">
        <v>1586</v>
      </c>
      <c r="C327" s="106">
        <v>1.0</v>
      </c>
      <c r="D327" s="149" t="str">
        <f>_xlfn.XLOOKUP(B327,[1]FullDataList!F:F,[1]FullDataList!O:O)</f>
        <v>#ERROR!</v>
      </c>
      <c r="E327" s="110" t="s">
        <v>4017</v>
      </c>
      <c r="H327" s="138"/>
      <c r="J327" s="138"/>
    </row>
    <row r="328" ht="15.75" customHeight="1">
      <c r="A328" s="148">
        <v>46114.0</v>
      </c>
      <c r="B328" s="110" t="s">
        <v>1454</v>
      </c>
      <c r="C328" s="106">
        <v>1.0</v>
      </c>
      <c r="D328" s="149" t="str">
        <f>_xlfn.XLOOKUP(B328,[1]FullDataList!F:F,[1]FullDataList!O:O)</f>
        <v>#ERROR!</v>
      </c>
      <c r="E328" s="110" t="s">
        <v>4027</v>
      </c>
      <c r="H328" s="138"/>
      <c r="J328" s="138"/>
    </row>
    <row r="329" ht="15.75" customHeight="1">
      <c r="A329" s="148">
        <v>46114.0</v>
      </c>
      <c r="B329" s="110" t="s">
        <v>1398</v>
      </c>
      <c r="C329" s="106">
        <v>1.0</v>
      </c>
      <c r="D329" s="149" t="str">
        <f>_xlfn.XLOOKUP(B329,[1]FullDataList!F:F,[1]FullDataList!O:O)</f>
        <v>#ERROR!</v>
      </c>
      <c r="E329" s="110" t="s">
        <v>4042</v>
      </c>
      <c r="H329" s="138"/>
      <c r="J329" s="138"/>
    </row>
    <row r="330" ht="15.75" customHeight="1">
      <c r="A330" s="148">
        <v>46114.0</v>
      </c>
      <c r="B330" s="110" t="s">
        <v>1483</v>
      </c>
      <c r="C330" s="106">
        <v>1.0</v>
      </c>
      <c r="D330" s="149" t="str">
        <f>_xlfn.XLOOKUP(B330,[1]FullDataList!F:F,[1]FullDataList!O:O)</f>
        <v>#ERROR!</v>
      </c>
      <c r="E330" s="110" t="s">
        <v>4004</v>
      </c>
      <c r="H330" s="138"/>
      <c r="J330" s="138"/>
    </row>
    <row r="331" ht="15.75" customHeight="1">
      <c r="A331" s="148">
        <v>46114.0</v>
      </c>
      <c r="B331" s="110" t="s">
        <v>1476</v>
      </c>
      <c r="C331" s="106">
        <v>1.0</v>
      </c>
      <c r="D331" s="149" t="str">
        <f>_xlfn.XLOOKUP(B331,[1]FullDataList!F:F,[1]FullDataList!O:O)</f>
        <v>#ERROR!</v>
      </c>
      <c r="E331" s="110" t="s">
        <v>4032</v>
      </c>
      <c r="H331" s="138"/>
      <c r="J331" s="138"/>
    </row>
    <row r="332" ht="15.75" customHeight="1">
      <c r="A332" s="148">
        <v>46114.0</v>
      </c>
      <c r="B332" s="110" t="s">
        <v>1450</v>
      </c>
      <c r="C332" s="106">
        <v>1.0</v>
      </c>
      <c r="D332" s="149" t="str">
        <f>_xlfn.XLOOKUP(B332,[1]FullDataList!F:F,[1]FullDataList!O:O)</f>
        <v>#ERROR!</v>
      </c>
      <c r="E332" s="110" t="s">
        <v>4011</v>
      </c>
      <c r="H332" s="138"/>
      <c r="J332" s="138"/>
    </row>
    <row r="333" ht="15.75" customHeight="1">
      <c r="A333" s="148">
        <v>46114.0</v>
      </c>
      <c r="B333" s="110" t="s">
        <v>1408</v>
      </c>
      <c r="C333" s="106">
        <v>1.0</v>
      </c>
      <c r="D333" s="149" t="str">
        <f>_xlfn.XLOOKUP(B333,[1]FullDataList!F:F,[1]FullDataList!O:O)</f>
        <v>#ERROR!</v>
      </c>
      <c r="E333" s="110" t="s">
        <v>4012</v>
      </c>
      <c r="H333" s="138"/>
      <c r="J333" s="138"/>
    </row>
    <row r="334" ht="15.75" customHeight="1">
      <c r="A334" s="148">
        <v>46114.0</v>
      </c>
      <c r="B334" s="110" t="s">
        <v>1292</v>
      </c>
      <c r="C334" s="106">
        <v>1.0</v>
      </c>
      <c r="D334" s="149" t="str">
        <f>_xlfn.XLOOKUP(B334,[1]FullDataList!F:F,[1]FullDataList!O:O)</f>
        <v>#ERROR!</v>
      </c>
      <c r="E334" s="110" t="s">
        <v>4044</v>
      </c>
      <c r="H334" s="138"/>
      <c r="J334" s="138"/>
    </row>
    <row r="335" ht="15.75" customHeight="1">
      <c r="A335" s="148">
        <v>46115.0</v>
      </c>
      <c r="B335" s="110" t="s">
        <v>1583</v>
      </c>
      <c r="C335" s="106">
        <v>1.0</v>
      </c>
      <c r="D335" s="149" t="str">
        <f>_xlfn.XLOOKUP(B335,[1]FullDataList!F:F,[1]FullDataList!O:O)</f>
        <v>#ERROR!</v>
      </c>
      <c r="E335" s="110" t="s">
        <v>4026</v>
      </c>
      <c r="H335" s="138"/>
      <c r="J335" s="138"/>
    </row>
    <row r="336" ht="15.75" customHeight="1">
      <c r="A336" s="148">
        <v>46115.0</v>
      </c>
      <c r="B336" s="110" t="s">
        <v>1396</v>
      </c>
      <c r="C336" s="106">
        <v>1.0</v>
      </c>
      <c r="D336" s="149" t="str">
        <f>_xlfn.XLOOKUP(B336,[1]FullDataList!F:F,[1]FullDataList!O:O)</f>
        <v>#ERROR!</v>
      </c>
      <c r="E336" s="110" t="s">
        <v>4028</v>
      </c>
      <c r="H336" s="138"/>
      <c r="J336" s="138"/>
    </row>
    <row r="337" ht="15.75" customHeight="1">
      <c r="A337" s="148">
        <v>46115.0</v>
      </c>
      <c r="B337" s="110" t="s">
        <v>1449</v>
      </c>
      <c r="C337" s="106">
        <v>1.0</v>
      </c>
      <c r="D337" s="149" t="str">
        <f>_xlfn.XLOOKUP(B337,[1]FullDataList!F:F,[1]FullDataList!O:O)</f>
        <v>#ERROR!</v>
      </c>
      <c r="E337" s="110" t="s">
        <v>4047</v>
      </c>
      <c r="H337" s="138"/>
      <c r="J337" s="138"/>
    </row>
    <row r="338" ht="15.75" customHeight="1">
      <c r="A338" s="148">
        <v>46115.0</v>
      </c>
      <c r="B338" s="110" t="s">
        <v>1415</v>
      </c>
      <c r="C338" s="106">
        <v>1.0</v>
      </c>
      <c r="D338" s="149" t="str">
        <f>_xlfn.XLOOKUP(B338,[1]FullDataList!F:F,[1]FullDataList!O:O)</f>
        <v>#ERROR!</v>
      </c>
      <c r="E338" s="110" t="s">
        <v>4048</v>
      </c>
      <c r="H338" s="138"/>
      <c r="J338" s="138"/>
    </row>
    <row r="339" ht="15.75" customHeight="1">
      <c r="A339" s="148">
        <v>46115.0</v>
      </c>
      <c r="B339" s="110" t="s">
        <v>1558</v>
      </c>
      <c r="C339" s="106">
        <v>1.0</v>
      </c>
      <c r="D339" s="149" t="str">
        <f>_xlfn.XLOOKUP(B339,[1]FullDataList!F:F,[1]FullDataList!O:O)</f>
        <v>#ERROR!</v>
      </c>
      <c r="E339" s="110" t="s">
        <v>4039</v>
      </c>
      <c r="H339" s="138"/>
      <c r="J339" s="138"/>
    </row>
    <row r="340" ht="15.75" customHeight="1">
      <c r="A340" s="148">
        <v>46115.0</v>
      </c>
      <c r="B340" s="110" t="s">
        <v>1470</v>
      </c>
      <c r="C340" s="106">
        <v>1.0</v>
      </c>
      <c r="D340" s="149" t="str">
        <f>_xlfn.XLOOKUP(B340,[1]FullDataList!F:F,[1]FullDataList!O:O)</f>
        <v>#ERROR!</v>
      </c>
      <c r="E340" s="110" t="s">
        <v>4003</v>
      </c>
      <c r="H340" s="138"/>
      <c r="J340" s="138"/>
    </row>
    <row r="341" ht="15.75" customHeight="1">
      <c r="A341" s="148">
        <v>46115.0</v>
      </c>
      <c r="B341" s="110" t="s">
        <v>1598</v>
      </c>
      <c r="C341" s="106">
        <v>1.0</v>
      </c>
      <c r="D341" s="149" t="str">
        <f>_xlfn.XLOOKUP(B341,[1]FullDataList!F:F,[1]FullDataList!O:O)</f>
        <v>#ERROR!</v>
      </c>
      <c r="E341" s="110" t="s">
        <v>4005</v>
      </c>
      <c r="H341" s="138"/>
      <c r="J341" s="138"/>
    </row>
    <row r="342" ht="15.75" customHeight="1">
      <c r="A342" s="148">
        <v>46115.0</v>
      </c>
      <c r="B342" s="110" t="s">
        <v>1582</v>
      </c>
      <c r="C342" s="106">
        <v>1.0</v>
      </c>
      <c r="D342" s="149" t="str">
        <f>_xlfn.XLOOKUP(B342,[1]FullDataList!F:F,[1]FullDataList!O:O)</f>
        <v>#ERROR!</v>
      </c>
      <c r="E342" s="110" t="s">
        <v>4040</v>
      </c>
      <c r="H342" s="138"/>
      <c r="J342" s="138"/>
    </row>
    <row r="343" ht="15.75" customHeight="1">
      <c r="A343" s="148">
        <v>46115.0</v>
      </c>
      <c r="B343" s="110" t="s">
        <v>1440</v>
      </c>
      <c r="C343" s="106">
        <v>1.0</v>
      </c>
      <c r="D343" s="149" t="str">
        <f>_xlfn.XLOOKUP(B343,[1]FullDataList!F:F,[1]FullDataList!O:O)</f>
        <v>#ERROR!</v>
      </c>
      <c r="E343" s="110" t="s">
        <v>4025</v>
      </c>
      <c r="H343" s="138"/>
      <c r="J343" s="138"/>
    </row>
    <row r="344" ht="15.75" customHeight="1">
      <c r="A344" s="148">
        <v>46115.0</v>
      </c>
      <c r="B344" s="110" t="s">
        <v>1114</v>
      </c>
      <c r="C344" s="106">
        <v>1.0</v>
      </c>
      <c r="D344" s="149" t="str">
        <f>_xlfn.XLOOKUP(B344,[1]FullDataList!F:F,[1]FullDataList!O:O)</f>
        <v>#ERROR!</v>
      </c>
      <c r="E344" s="110" t="s">
        <v>4008</v>
      </c>
      <c r="H344" s="138"/>
      <c r="J344" s="138"/>
    </row>
    <row r="345" ht="15.75" customHeight="1">
      <c r="A345" s="148">
        <v>46115.0</v>
      </c>
      <c r="B345" s="110" t="s">
        <v>1546</v>
      </c>
      <c r="C345" s="106">
        <v>1.0</v>
      </c>
      <c r="D345" s="149" t="str">
        <f>_xlfn.XLOOKUP(B345,[1]FullDataList!F:F,[1]FullDataList!O:O)</f>
        <v>#ERROR!</v>
      </c>
      <c r="E345" s="110" t="s">
        <v>4013</v>
      </c>
      <c r="H345" s="138"/>
      <c r="J345" s="138"/>
    </row>
    <row r="346" ht="15.75" customHeight="1">
      <c r="A346" s="148">
        <v>46115.0</v>
      </c>
      <c r="B346" s="110" t="s">
        <v>1570</v>
      </c>
      <c r="C346" s="106">
        <v>1.0</v>
      </c>
      <c r="D346" s="149" t="str">
        <f>_xlfn.XLOOKUP(B346,[1]FullDataList!F:F,[1]FullDataList!O:O)</f>
        <v>#ERROR!</v>
      </c>
      <c r="E346" s="110" t="s">
        <v>4016</v>
      </c>
      <c r="H346" s="138"/>
      <c r="J346" s="138"/>
    </row>
    <row r="347" ht="15.75" customHeight="1">
      <c r="A347" s="148">
        <v>46115.0</v>
      </c>
      <c r="B347" s="110" t="s">
        <v>1455</v>
      </c>
      <c r="C347" s="106">
        <v>1.0</v>
      </c>
      <c r="D347" s="149" t="str">
        <f>_xlfn.XLOOKUP(B347,[1]FullDataList!F:F,[1]FullDataList!O:O)</f>
        <v>#ERROR!</v>
      </c>
      <c r="E347" s="110" t="s">
        <v>4027</v>
      </c>
      <c r="H347" s="138"/>
      <c r="J347" s="138"/>
    </row>
    <row r="348" ht="15.75" customHeight="1">
      <c r="A348" s="148">
        <v>46115.0</v>
      </c>
      <c r="B348" s="110" t="s">
        <v>1123</v>
      </c>
      <c r="C348" s="106">
        <v>1.0</v>
      </c>
      <c r="D348" s="149" t="str">
        <f>_xlfn.XLOOKUP(B348,[1]FullDataList!F:F,[1]FullDataList!O:O)</f>
        <v>#ERROR!</v>
      </c>
      <c r="E348" s="110" t="s">
        <v>4030</v>
      </c>
      <c r="H348" s="138"/>
      <c r="J348" s="138"/>
    </row>
    <row r="349" ht="15.75" customHeight="1">
      <c r="A349" s="148">
        <v>46115.0</v>
      </c>
      <c r="B349" s="110" t="s">
        <v>1532</v>
      </c>
      <c r="C349" s="106">
        <v>1.0</v>
      </c>
      <c r="D349" s="149" t="str">
        <f>_xlfn.XLOOKUP(B349,[1]FullDataList!F:F,[1]FullDataList!O:O)</f>
        <v>#ERROR!</v>
      </c>
      <c r="E349" s="110" t="s">
        <v>4042</v>
      </c>
      <c r="H349" s="138"/>
      <c r="J349" s="138"/>
    </row>
    <row r="350" ht="15.75" customHeight="1">
      <c r="A350" s="148">
        <v>46115.0</v>
      </c>
      <c r="B350" s="110" t="s">
        <v>1467</v>
      </c>
      <c r="C350" s="106">
        <v>1.0</v>
      </c>
      <c r="D350" s="149" t="str">
        <f>_xlfn.XLOOKUP(B350,[1]FullDataList!F:F,[1]FullDataList!O:O)</f>
        <v>#ERROR!</v>
      </c>
      <c r="E350" s="110" t="s">
        <v>4004</v>
      </c>
      <c r="H350" s="138"/>
      <c r="J350" s="138"/>
    </row>
    <row r="351" ht="15.75" customHeight="1">
      <c r="A351" s="148">
        <v>46115.0</v>
      </c>
      <c r="B351" s="110" t="s">
        <v>1477</v>
      </c>
      <c r="C351" s="106">
        <v>1.0</v>
      </c>
      <c r="D351" s="149" t="str">
        <f>_xlfn.XLOOKUP(B351,[1]FullDataList!F:F,[1]FullDataList!O:O)</f>
        <v>#ERROR!</v>
      </c>
      <c r="E351" s="110" t="s">
        <v>4032</v>
      </c>
      <c r="H351" s="138"/>
      <c r="J351" s="138"/>
    </row>
    <row r="352" ht="15.75" customHeight="1">
      <c r="A352" s="148">
        <v>46115.0</v>
      </c>
      <c r="B352" s="110" t="s">
        <v>1387</v>
      </c>
      <c r="C352" s="106">
        <v>1.0</v>
      </c>
      <c r="D352" s="149" t="str">
        <f>_xlfn.XLOOKUP(B352,[1]FullDataList!F:F,[1]FullDataList!O:O)</f>
        <v>#ERROR!</v>
      </c>
      <c r="E352" s="110" t="s">
        <v>4011</v>
      </c>
      <c r="H352" s="138"/>
      <c r="J352" s="138"/>
    </row>
    <row r="353" ht="15.75" customHeight="1">
      <c r="A353" s="148">
        <v>46115.0</v>
      </c>
      <c r="B353" s="110" t="s">
        <v>1431</v>
      </c>
      <c r="C353" s="106">
        <v>1.0</v>
      </c>
      <c r="D353" s="149" t="str">
        <f>_xlfn.XLOOKUP(B353,[1]FullDataList!F:F,[1]FullDataList!O:O)</f>
        <v>#ERROR!</v>
      </c>
      <c r="E353" s="110" t="s">
        <v>4012</v>
      </c>
      <c r="H353" s="138"/>
      <c r="J353" s="138"/>
    </row>
    <row r="354" ht="15.75" customHeight="1">
      <c r="A354" s="148">
        <v>46115.0</v>
      </c>
      <c r="B354" s="110" t="s">
        <v>1010</v>
      </c>
      <c r="C354" s="106">
        <v>1.0</v>
      </c>
      <c r="D354" s="149" t="str">
        <f>_xlfn.XLOOKUP(B354,[1]FullDataList!F:F,[1]FullDataList!O:O)</f>
        <v>#ERROR!</v>
      </c>
      <c r="E354" s="110" t="s">
        <v>4043</v>
      </c>
      <c r="H354" s="138"/>
      <c r="J354" s="138"/>
    </row>
    <row r="355" ht="15.75" customHeight="1">
      <c r="A355" s="148">
        <v>46115.0</v>
      </c>
      <c r="B355" s="110" t="s">
        <v>1352</v>
      </c>
      <c r="C355" s="106">
        <v>1.0</v>
      </c>
      <c r="D355" s="149" t="str">
        <f>_xlfn.XLOOKUP(B355,[1]FullDataList!F:F,[1]FullDataList!O:O)</f>
        <v>#ERROR!</v>
      </c>
      <c r="E355" s="110" t="s">
        <v>4044</v>
      </c>
      <c r="H355" s="138"/>
      <c r="J355" s="138"/>
    </row>
    <row r="356" ht="15.75" customHeight="1">
      <c r="A356" s="148">
        <v>46116.0</v>
      </c>
      <c r="B356" s="110" t="s">
        <v>1584</v>
      </c>
      <c r="C356" s="106">
        <v>1.0</v>
      </c>
      <c r="D356" s="149" t="str">
        <f>_xlfn.XLOOKUP(B356,[1]FullDataList!F:F,[1]FullDataList!O:O)</f>
        <v>#ERROR!</v>
      </c>
      <c r="E356" s="110" t="s">
        <v>4026</v>
      </c>
      <c r="H356" s="138"/>
      <c r="J356" s="138"/>
    </row>
    <row r="357" ht="15.75" customHeight="1">
      <c r="A357" s="148">
        <v>46116.0</v>
      </c>
      <c r="B357" s="110" t="s">
        <v>1377</v>
      </c>
      <c r="C357" s="106">
        <v>1.0</v>
      </c>
      <c r="D357" s="149" t="str">
        <f>_xlfn.XLOOKUP(B357,[1]FullDataList!F:F,[1]FullDataList!O:O)</f>
        <v>#ERROR!</v>
      </c>
      <c r="E357" s="110" t="s">
        <v>4028</v>
      </c>
      <c r="H357" s="138"/>
      <c r="J357" s="138"/>
    </row>
    <row r="358" ht="15.75" customHeight="1">
      <c r="A358" s="148">
        <v>46116.0</v>
      </c>
      <c r="B358" s="110" t="s">
        <v>1070</v>
      </c>
      <c r="C358" s="106">
        <v>1.0</v>
      </c>
      <c r="D358" s="149" t="str">
        <f>_xlfn.XLOOKUP(B358,[1]FullDataList!F:F,[1]FullDataList!O:O)</f>
        <v>#ERROR!</v>
      </c>
      <c r="E358" s="110" t="s">
        <v>4037</v>
      </c>
      <c r="H358" s="138"/>
      <c r="J358" s="138"/>
    </row>
    <row r="359" ht="15.75" customHeight="1">
      <c r="A359" s="148">
        <v>46116.0</v>
      </c>
      <c r="B359" s="110" t="s">
        <v>1459</v>
      </c>
      <c r="C359" s="106">
        <v>1.0</v>
      </c>
      <c r="D359" s="149" t="str">
        <f>_xlfn.XLOOKUP(B359,[1]FullDataList!F:F,[1]FullDataList!O:O)</f>
        <v>#ERROR!</v>
      </c>
      <c r="E359" s="110" t="s">
        <v>4047</v>
      </c>
      <c r="H359" s="138"/>
      <c r="J359" s="138"/>
    </row>
    <row r="360" ht="15.75" customHeight="1">
      <c r="A360" s="148">
        <v>46116.0</v>
      </c>
      <c r="B360" s="110" t="s">
        <v>1416</v>
      </c>
      <c r="C360" s="106">
        <v>1.0</v>
      </c>
      <c r="D360" s="149" t="str">
        <f>_xlfn.XLOOKUP(B360,[1]FullDataList!F:F,[1]FullDataList!O:O)</f>
        <v>#ERROR!</v>
      </c>
      <c r="E360" s="110" t="s">
        <v>4048</v>
      </c>
      <c r="H360" s="138"/>
      <c r="J360" s="138"/>
    </row>
    <row r="361" ht="15.75" customHeight="1">
      <c r="A361" s="148">
        <v>46116.0</v>
      </c>
      <c r="B361" s="110" t="s">
        <v>1525</v>
      </c>
      <c r="C361" s="106">
        <v>1.0</v>
      </c>
      <c r="D361" s="149" t="str">
        <f>_xlfn.XLOOKUP(B361,[1]FullDataList!F:F,[1]FullDataList!O:O)</f>
        <v>#ERROR!</v>
      </c>
      <c r="E361" s="110" t="s">
        <v>4048</v>
      </c>
      <c r="H361" s="138"/>
      <c r="J361" s="138"/>
    </row>
    <row r="362" ht="15.75" customHeight="1">
      <c r="A362" s="148">
        <v>46116.0</v>
      </c>
      <c r="B362" s="110" t="s">
        <v>1599</v>
      </c>
      <c r="C362" s="106">
        <v>1.0</v>
      </c>
      <c r="D362" s="149" t="str">
        <f>_xlfn.XLOOKUP(B362,[1]FullDataList!F:F,[1]FullDataList!O:O)</f>
        <v>#ERROR!</v>
      </c>
      <c r="E362" s="110" t="s">
        <v>4005</v>
      </c>
      <c r="H362" s="138"/>
      <c r="J362" s="138"/>
    </row>
    <row r="363" ht="15.75" customHeight="1">
      <c r="A363" s="148">
        <v>46116.0</v>
      </c>
      <c r="B363" s="110" t="s">
        <v>409</v>
      </c>
      <c r="C363" s="106">
        <v>1.0</v>
      </c>
      <c r="D363" s="149" t="str">
        <f>_xlfn.XLOOKUP(B363,[1]FullDataList!F:F,[1]FullDataList!O:O)</f>
        <v>#ERROR!</v>
      </c>
      <c r="E363" s="110" t="s">
        <v>4040</v>
      </c>
      <c r="H363" s="138"/>
      <c r="J363" s="138"/>
    </row>
    <row r="364" ht="15.75" customHeight="1">
      <c r="A364" s="148">
        <v>46116.0</v>
      </c>
      <c r="B364" s="110" t="s">
        <v>1552</v>
      </c>
      <c r="C364" s="106">
        <v>1.0</v>
      </c>
      <c r="D364" s="149" t="str">
        <f>_xlfn.XLOOKUP(B364,[1]FullDataList!F:F,[1]FullDataList!O:O)</f>
        <v>#ERROR!</v>
      </c>
      <c r="E364" s="110" t="s">
        <v>4041</v>
      </c>
      <c r="H364" s="138"/>
      <c r="J364" s="138"/>
    </row>
    <row r="365" ht="15.75" customHeight="1">
      <c r="A365" s="148">
        <v>46116.0</v>
      </c>
      <c r="B365" s="110" t="s">
        <v>1624</v>
      </c>
      <c r="C365" s="106">
        <v>1.0</v>
      </c>
      <c r="D365" s="149" t="str">
        <f>_xlfn.XLOOKUP(B365,[1]FullDataList!F:F,[1]FullDataList!O:O)</f>
        <v>#ERROR!</v>
      </c>
      <c r="E365" s="110" t="s">
        <v>4009</v>
      </c>
      <c r="H365" s="138"/>
      <c r="J365" s="138"/>
    </row>
    <row r="366" ht="15.75" customHeight="1">
      <c r="A366" s="148">
        <v>46116.0</v>
      </c>
      <c r="B366" s="110" t="s">
        <v>1548</v>
      </c>
      <c r="C366" s="106">
        <v>1.0</v>
      </c>
      <c r="D366" s="149" t="str">
        <f>_xlfn.XLOOKUP(B366,[1]FullDataList!F:F,[1]FullDataList!O:O)</f>
        <v>#ERROR!</v>
      </c>
      <c r="E366" s="110" t="s">
        <v>4013</v>
      </c>
      <c r="H366" s="138"/>
      <c r="J366" s="138"/>
    </row>
    <row r="367" ht="15.75" customHeight="1">
      <c r="A367" s="148">
        <v>46116.0</v>
      </c>
      <c r="B367" s="110" t="s">
        <v>1325</v>
      </c>
      <c r="C367" s="106">
        <v>1.0</v>
      </c>
      <c r="D367" s="149" t="str">
        <f>_xlfn.XLOOKUP(B367,[1]FullDataList!F:F,[1]FullDataList!O:O)</f>
        <v>#ERROR!</v>
      </c>
      <c r="E367" s="110" t="s">
        <v>4045</v>
      </c>
      <c r="H367" s="138"/>
      <c r="J367" s="138"/>
    </row>
    <row r="368" ht="15.75" customHeight="1">
      <c r="A368" s="148">
        <v>46116.0</v>
      </c>
      <c r="B368" s="110" t="s">
        <v>1456</v>
      </c>
      <c r="C368" s="106">
        <v>1.0</v>
      </c>
      <c r="D368" s="149" t="str">
        <f>_xlfn.XLOOKUP(B368,[1]FullDataList!F:F,[1]FullDataList!O:O)</f>
        <v>#ERROR!</v>
      </c>
      <c r="E368" s="110" t="s">
        <v>4027</v>
      </c>
      <c r="H368" s="138"/>
      <c r="J368" s="138"/>
    </row>
    <row r="369" ht="15.75" customHeight="1">
      <c r="A369" s="148">
        <v>46116.0</v>
      </c>
      <c r="B369" s="110" t="s">
        <v>1559</v>
      </c>
      <c r="C369" s="106">
        <v>1.0</v>
      </c>
      <c r="D369" s="149" t="str">
        <f>_xlfn.XLOOKUP(B369,[1]FullDataList!F:F,[1]FullDataList!O:O)</f>
        <v>#ERROR!</v>
      </c>
      <c r="E369" s="110" t="s">
        <v>4042</v>
      </c>
      <c r="H369" s="138"/>
      <c r="J369" s="138"/>
    </row>
    <row r="370" ht="15.75" customHeight="1">
      <c r="A370" s="148">
        <v>46116.0</v>
      </c>
      <c r="B370" s="110" t="s">
        <v>1437</v>
      </c>
      <c r="C370" s="106">
        <v>1.0</v>
      </c>
      <c r="D370" s="149" t="str">
        <f>_xlfn.XLOOKUP(B370,[1]FullDataList!F:F,[1]FullDataList!O:O)</f>
        <v>#ERROR!</v>
      </c>
      <c r="E370" s="110" t="s">
        <v>4004</v>
      </c>
      <c r="H370" s="138"/>
      <c r="J370" s="138"/>
    </row>
    <row r="371" ht="15.75" customHeight="1">
      <c r="A371" s="148">
        <v>46116.0</v>
      </c>
      <c r="B371" s="110" t="s">
        <v>1492</v>
      </c>
      <c r="C371" s="106">
        <v>1.0</v>
      </c>
      <c r="D371" s="149" t="str">
        <f>_xlfn.XLOOKUP(B371,[1]FullDataList!F:F,[1]FullDataList!O:O)</f>
        <v>#ERROR!</v>
      </c>
      <c r="E371" s="110" t="s">
        <v>4032</v>
      </c>
      <c r="H371" s="138"/>
      <c r="J371" s="138"/>
    </row>
    <row r="372" ht="15.75" customHeight="1">
      <c r="A372" s="148">
        <v>46116.0</v>
      </c>
      <c r="B372" s="110" t="s">
        <v>1524</v>
      </c>
      <c r="C372" s="106">
        <v>1.0</v>
      </c>
      <c r="D372" s="149" t="str">
        <f>_xlfn.XLOOKUP(B372,[1]FullDataList!F:F,[1]FullDataList!O:O)</f>
        <v>#ERROR!</v>
      </c>
      <c r="E372" s="110" t="s">
        <v>4011</v>
      </c>
      <c r="H372" s="138"/>
      <c r="J372" s="138"/>
    </row>
    <row r="373" ht="15.75" customHeight="1">
      <c r="A373" s="148">
        <v>46116.0</v>
      </c>
      <c r="B373" s="110" t="s">
        <v>1447</v>
      </c>
      <c r="C373" s="106">
        <v>1.0</v>
      </c>
      <c r="D373" s="149" t="str">
        <f>_xlfn.XLOOKUP(B373,[1]FullDataList!F:F,[1]FullDataList!O:O)</f>
        <v>#ERROR!</v>
      </c>
      <c r="E373" s="110" t="s">
        <v>4012</v>
      </c>
      <c r="H373" s="138"/>
      <c r="J373" s="138"/>
    </row>
    <row r="374" ht="15.75" customHeight="1">
      <c r="A374" s="148">
        <v>46116.0</v>
      </c>
      <c r="B374" s="110" t="s">
        <v>1011</v>
      </c>
      <c r="C374" s="106">
        <v>1.0</v>
      </c>
      <c r="D374" s="149" t="str">
        <f>_xlfn.XLOOKUP(B374,[1]FullDataList!F:F,[1]FullDataList!O:O)</f>
        <v>#ERROR!</v>
      </c>
      <c r="E374" s="110" t="s">
        <v>4043</v>
      </c>
      <c r="H374" s="138"/>
      <c r="J374" s="138"/>
    </row>
    <row r="375" ht="15.75" customHeight="1">
      <c r="A375" s="148">
        <v>46116.0</v>
      </c>
      <c r="B375" s="110" t="s">
        <v>1516</v>
      </c>
      <c r="C375" s="106">
        <v>1.0</v>
      </c>
      <c r="D375" s="149" t="str">
        <f>_xlfn.XLOOKUP(B375,[1]FullDataList!F:F,[1]FullDataList!O:O)</f>
        <v>#ERROR!</v>
      </c>
      <c r="E375" s="110" t="s">
        <v>4044</v>
      </c>
      <c r="H375" s="138"/>
      <c r="J375" s="138"/>
    </row>
    <row r="376" ht="15.75" customHeight="1">
      <c r="A376" s="148">
        <v>46116.0</v>
      </c>
      <c r="B376" s="110" t="s">
        <v>1064</v>
      </c>
      <c r="C376" s="106">
        <v>1.0</v>
      </c>
      <c r="D376" s="149" t="str">
        <f>_xlfn.XLOOKUP(B376,[1]FullDataList!F:F,[1]FullDataList!O:O)</f>
        <v>#ERROR!</v>
      </c>
      <c r="E376" s="110" t="s">
        <v>4046</v>
      </c>
      <c r="H376" s="138"/>
      <c r="J376" s="138"/>
    </row>
    <row r="377" ht="15.75" customHeight="1">
      <c r="A377" s="148">
        <v>46118.0</v>
      </c>
      <c r="B377" s="110" t="s">
        <v>429</v>
      </c>
      <c r="C377" s="106">
        <v>1.0</v>
      </c>
      <c r="D377" s="149" t="str">
        <f>_xlfn.XLOOKUP(B377,[1]FullDataList!F:F,[1]FullDataList!O:O)</f>
        <v>#ERROR!</v>
      </c>
      <c r="E377" s="110" t="s">
        <v>4026</v>
      </c>
      <c r="H377" s="138"/>
      <c r="J377" s="138"/>
    </row>
    <row r="378" ht="15.75" customHeight="1">
      <c r="A378" s="148">
        <v>46118.0</v>
      </c>
      <c r="B378" s="110" t="s">
        <v>1378</v>
      </c>
      <c r="C378" s="106">
        <v>1.0</v>
      </c>
      <c r="D378" s="149" t="str">
        <f>_xlfn.XLOOKUP(B378,[1]FullDataList!F:F,[1]FullDataList!O:O)</f>
        <v>#ERROR!</v>
      </c>
      <c r="E378" s="110" t="s">
        <v>4028</v>
      </c>
      <c r="H378" s="138"/>
      <c r="J378" s="138"/>
    </row>
    <row r="379" ht="15.75" customHeight="1">
      <c r="A379" s="148">
        <v>46118.0</v>
      </c>
      <c r="B379" s="110" t="s">
        <v>1353</v>
      </c>
      <c r="C379" s="106">
        <v>1.0</v>
      </c>
      <c r="D379" s="149" t="str">
        <f>_xlfn.XLOOKUP(B379,[1]FullDataList!F:F,[1]FullDataList!O:O)</f>
        <v>#ERROR!</v>
      </c>
      <c r="E379" s="110" t="s">
        <v>4037</v>
      </c>
      <c r="H379" s="138"/>
      <c r="J379" s="138"/>
    </row>
    <row r="380" ht="15.75" customHeight="1">
      <c r="A380" s="148">
        <v>46118.0</v>
      </c>
      <c r="B380" s="110" t="s">
        <v>2036</v>
      </c>
      <c r="C380" s="106">
        <v>1.0</v>
      </c>
      <c r="D380" s="149" t="str">
        <f>_xlfn.XLOOKUP(B380,[1]FullDataList!F:F,[1]FullDataList!O:O)</f>
        <v>#ERROR!</v>
      </c>
      <c r="E380" s="110" t="s">
        <v>4038</v>
      </c>
      <c r="H380" s="138"/>
      <c r="J380" s="138"/>
    </row>
    <row r="381" ht="15.75" customHeight="1">
      <c r="A381" s="148">
        <v>46118.0</v>
      </c>
      <c r="B381" s="110" t="s">
        <v>1930</v>
      </c>
      <c r="C381" s="106">
        <v>1.0</v>
      </c>
      <c r="D381" s="149" t="str">
        <f>_xlfn.XLOOKUP(B381,[1]FullDataList!F:F,[1]FullDataList!O:O)</f>
        <v>#ERROR!</v>
      </c>
      <c r="E381" s="110" t="s">
        <v>4049</v>
      </c>
      <c r="H381" s="138"/>
      <c r="J381" s="138"/>
    </row>
    <row r="382" ht="15.75" customHeight="1">
      <c r="A382" s="148">
        <v>46118.0</v>
      </c>
      <c r="B382" s="110" t="s">
        <v>1992</v>
      </c>
      <c r="C382" s="106">
        <v>1.0</v>
      </c>
      <c r="D382" s="149" t="str">
        <f>_xlfn.XLOOKUP(B382,[1]FullDataList!F:F,[1]FullDataList!O:O)</f>
        <v>#ERROR!</v>
      </c>
      <c r="E382" s="110" t="s">
        <v>4050</v>
      </c>
      <c r="H382" s="138"/>
      <c r="J382" s="138"/>
    </row>
    <row r="383" ht="15.75" customHeight="1">
      <c r="A383" s="148">
        <v>46118.0</v>
      </c>
      <c r="B383" s="110" t="s">
        <v>1602</v>
      </c>
      <c r="C383" s="106">
        <v>1.0</v>
      </c>
      <c r="D383" s="149" t="str">
        <f>_xlfn.XLOOKUP(B383,[1]FullDataList!F:F,[1]FullDataList!O:O)</f>
        <v>#ERROR!</v>
      </c>
      <c r="E383" s="110" t="s">
        <v>4039</v>
      </c>
      <c r="H383" s="138"/>
      <c r="J383" s="138"/>
    </row>
    <row r="384" ht="15.75" customHeight="1">
      <c r="A384" s="148">
        <v>46118.0</v>
      </c>
      <c r="B384" s="110" t="s">
        <v>1471</v>
      </c>
      <c r="C384" s="106">
        <v>1.0</v>
      </c>
      <c r="D384" s="149" t="str">
        <f>_xlfn.XLOOKUP(B384,[1]FullDataList!F:F,[1]FullDataList!O:O)</f>
        <v>#ERROR!</v>
      </c>
      <c r="E384" s="110" t="s">
        <v>4003</v>
      </c>
      <c r="H384" s="138"/>
      <c r="J384" s="138"/>
    </row>
    <row r="385" ht="15.75" customHeight="1">
      <c r="A385" s="148">
        <v>46118.0</v>
      </c>
      <c r="B385" s="110" t="s">
        <v>410</v>
      </c>
      <c r="C385" s="106">
        <v>1.0</v>
      </c>
      <c r="D385" s="149" t="str">
        <f>_xlfn.XLOOKUP(B385,[1]FullDataList!F:F,[1]FullDataList!O:O)</f>
        <v>#ERROR!</v>
      </c>
      <c r="E385" s="110" t="s">
        <v>4040</v>
      </c>
      <c r="H385" s="138"/>
      <c r="J385" s="138"/>
    </row>
    <row r="386" ht="15.75" customHeight="1">
      <c r="A386" s="148">
        <v>46118.0</v>
      </c>
      <c r="B386" s="110" t="s">
        <v>1441</v>
      </c>
      <c r="C386" s="106">
        <v>1.0</v>
      </c>
      <c r="D386" s="149" t="str">
        <f>_xlfn.XLOOKUP(B386,[1]FullDataList!F:F,[1]FullDataList!O:O)</f>
        <v>#ERROR!</v>
      </c>
      <c r="E386" s="110" t="s">
        <v>4025</v>
      </c>
      <c r="H386" s="138"/>
      <c r="J386" s="138"/>
    </row>
    <row r="387" ht="15.75" customHeight="1">
      <c r="A387" s="148">
        <v>46118.0</v>
      </c>
      <c r="B387" s="110" t="s">
        <v>1089</v>
      </c>
      <c r="C387" s="106">
        <v>1.0</v>
      </c>
      <c r="D387" s="149" t="str">
        <f>_xlfn.XLOOKUP(B387,[1]FullDataList!F:F,[1]FullDataList!O:O)</f>
        <v>#ERROR!</v>
      </c>
      <c r="E387" s="110" t="s">
        <v>4008</v>
      </c>
      <c r="H387" s="138"/>
      <c r="J387" s="138"/>
    </row>
    <row r="388" ht="15.75" customHeight="1">
      <c r="A388" s="148">
        <v>46118.0</v>
      </c>
      <c r="B388" s="110" t="s">
        <v>1625</v>
      </c>
      <c r="C388" s="106">
        <v>1.0</v>
      </c>
      <c r="D388" s="149" t="str">
        <f>_xlfn.XLOOKUP(B388,[1]FullDataList!F:F,[1]FullDataList!O:O)</f>
        <v>#ERROR!</v>
      </c>
      <c r="E388" s="110" t="s">
        <v>4009</v>
      </c>
      <c r="H388" s="138"/>
      <c r="J388" s="138"/>
    </row>
    <row r="389" ht="15.75" customHeight="1">
      <c r="A389" s="148">
        <v>46118.0</v>
      </c>
      <c r="B389" s="110" t="s">
        <v>1549</v>
      </c>
      <c r="C389" s="106">
        <v>1.0</v>
      </c>
      <c r="D389" s="149" t="str">
        <f>_xlfn.XLOOKUP(B389,[1]FullDataList!F:F,[1]FullDataList!O:O)</f>
        <v>#ERROR!</v>
      </c>
      <c r="E389" s="110" t="s">
        <v>4013</v>
      </c>
      <c r="H389" s="138"/>
      <c r="J389" s="138"/>
    </row>
    <row r="390" ht="15.75" customHeight="1">
      <c r="A390" s="148">
        <v>46118.0</v>
      </c>
      <c r="B390" s="110" t="s">
        <v>451</v>
      </c>
      <c r="C390" s="106">
        <v>1.0</v>
      </c>
      <c r="D390" s="149" t="str">
        <f>_xlfn.XLOOKUP(B390,[1]FullDataList!F:F,[1]FullDataList!O:O)</f>
        <v>#ERROR!</v>
      </c>
      <c r="E390" s="110" t="s">
        <v>4016</v>
      </c>
      <c r="H390" s="138"/>
      <c r="J390" s="138"/>
    </row>
    <row r="391" ht="15.75" customHeight="1">
      <c r="A391" s="148">
        <v>46118.0</v>
      </c>
      <c r="B391" s="110" t="s">
        <v>408</v>
      </c>
      <c r="C391" s="106">
        <v>1.0</v>
      </c>
      <c r="D391" s="149" t="str">
        <f>_xlfn.XLOOKUP(B391,[1]FullDataList!F:F,[1]FullDataList!O:O)</f>
        <v>#ERROR!</v>
      </c>
      <c r="E391" s="110" t="s">
        <v>4027</v>
      </c>
      <c r="H391" s="138"/>
      <c r="J391" s="138"/>
    </row>
    <row r="392" ht="15.75" customHeight="1">
      <c r="A392" s="148">
        <v>46118.0</v>
      </c>
      <c r="B392" s="110" t="s">
        <v>1605</v>
      </c>
      <c r="C392" s="106">
        <v>1.0</v>
      </c>
      <c r="D392" s="149" t="str">
        <f>_xlfn.XLOOKUP(B392,[1]FullDataList!F:F,[1]FullDataList!O:O)</f>
        <v>#ERROR!</v>
      </c>
      <c r="E392" s="110" t="s">
        <v>4042</v>
      </c>
      <c r="H392" s="138"/>
      <c r="J392" s="138"/>
    </row>
    <row r="393" ht="15.75" customHeight="1">
      <c r="A393" s="148">
        <v>46118.0</v>
      </c>
      <c r="B393" s="110" t="s">
        <v>1438</v>
      </c>
      <c r="C393" s="106">
        <v>1.0</v>
      </c>
      <c r="D393" s="149" t="str">
        <f>_xlfn.XLOOKUP(B393,[1]FullDataList!F:F,[1]FullDataList!O:O)</f>
        <v>#ERROR!</v>
      </c>
      <c r="E393" s="110" t="s">
        <v>4004</v>
      </c>
      <c r="H393" s="138"/>
      <c r="J393" s="138"/>
    </row>
    <row r="394" ht="15.75" customHeight="1">
      <c r="A394" s="148">
        <v>46118.0</v>
      </c>
      <c r="B394" s="110" t="s">
        <v>1493</v>
      </c>
      <c r="C394" s="106">
        <v>1.0</v>
      </c>
      <c r="D394" s="149" t="str">
        <f>_xlfn.XLOOKUP(B394,[1]FullDataList!F:F,[1]FullDataList!O:O)</f>
        <v>#ERROR!</v>
      </c>
      <c r="E394" s="110" t="s">
        <v>4032</v>
      </c>
      <c r="H394" s="138"/>
      <c r="J394" s="138"/>
    </row>
    <row r="395" ht="15.75" customHeight="1">
      <c r="A395" s="148">
        <v>46118.0</v>
      </c>
      <c r="B395" s="110" t="s">
        <v>1350</v>
      </c>
      <c r="C395" s="106">
        <v>1.0</v>
      </c>
      <c r="D395" s="149" t="str">
        <f>_xlfn.XLOOKUP(B395,[1]FullDataList!F:F,[1]FullDataList!O:O)</f>
        <v>#ERROR!</v>
      </c>
      <c r="E395" s="110" t="s">
        <v>4043</v>
      </c>
      <c r="H395" s="138"/>
      <c r="J395" s="138"/>
    </row>
    <row r="396" ht="15.75" customHeight="1">
      <c r="A396" s="148">
        <v>46118.0</v>
      </c>
      <c r="B396" s="110" t="s">
        <v>1448</v>
      </c>
      <c r="C396" s="106">
        <v>1.0</v>
      </c>
      <c r="D396" s="149" t="str">
        <f>_xlfn.XLOOKUP(B396,[1]FullDataList!F:F,[1]FullDataList!O:O)</f>
        <v>#ERROR!</v>
      </c>
      <c r="E396" s="110" t="s">
        <v>4044</v>
      </c>
      <c r="H396" s="138"/>
      <c r="J396" s="138"/>
    </row>
    <row r="397" ht="15.75" customHeight="1">
      <c r="A397" s="148">
        <v>46118.0</v>
      </c>
      <c r="B397" s="110" t="s">
        <v>1032</v>
      </c>
      <c r="C397" s="106">
        <v>1.0</v>
      </c>
      <c r="D397" s="149" t="str">
        <f>_xlfn.XLOOKUP(B397,[1]FullDataList!F:F,[1]FullDataList!O:O)</f>
        <v>#ERROR!</v>
      </c>
      <c r="E397" s="110" t="s">
        <v>4046</v>
      </c>
      <c r="H397" s="138"/>
      <c r="J397" s="138"/>
    </row>
    <row r="398" ht="15.75" customHeight="1">
      <c r="A398" s="148">
        <v>46119.0</v>
      </c>
      <c r="B398" s="110" t="s">
        <v>430</v>
      </c>
      <c r="C398" s="106">
        <v>1.0</v>
      </c>
      <c r="D398" s="149" t="str">
        <f>_xlfn.XLOOKUP(B398,[1]FullDataList!F:F,[1]FullDataList!O:O)</f>
        <v>#ERROR!</v>
      </c>
      <c r="E398" s="110" t="s">
        <v>4026</v>
      </c>
      <c r="H398" s="138"/>
      <c r="J398" s="138"/>
    </row>
    <row r="399" ht="15.75" customHeight="1">
      <c r="A399" s="148">
        <v>46119.0</v>
      </c>
      <c r="B399" s="110" t="s">
        <v>1379</v>
      </c>
      <c r="C399" s="106">
        <v>1.0</v>
      </c>
      <c r="D399" s="149" t="str">
        <f>_xlfn.XLOOKUP(B399,[1]FullDataList!F:F,[1]FullDataList!O:O)</f>
        <v>#ERROR!</v>
      </c>
      <c r="E399" s="110" t="s">
        <v>4028</v>
      </c>
      <c r="H399" s="138"/>
      <c r="J399" s="138"/>
    </row>
    <row r="400" ht="15.75" customHeight="1">
      <c r="A400" s="148">
        <v>46119.0</v>
      </c>
      <c r="B400" s="110" t="s">
        <v>1375</v>
      </c>
      <c r="C400" s="106">
        <v>1.0</v>
      </c>
      <c r="D400" s="149" t="str">
        <f>_xlfn.XLOOKUP(B400,[1]FullDataList!F:F,[1]FullDataList!O:O)</f>
        <v>#ERROR!</v>
      </c>
      <c r="E400" s="110" t="s">
        <v>4037</v>
      </c>
      <c r="H400" s="138"/>
      <c r="J400" s="138"/>
    </row>
    <row r="401" ht="15.75" customHeight="1">
      <c r="A401" s="148">
        <v>46119.0</v>
      </c>
      <c r="B401" s="110" t="s">
        <v>1480</v>
      </c>
      <c r="C401" s="106">
        <v>1.0</v>
      </c>
      <c r="D401" s="149" t="str">
        <f>_xlfn.XLOOKUP(B401,[1]FullDataList!F:F,[1]FullDataList!O:O)</f>
        <v>#ERROR!</v>
      </c>
      <c r="E401" s="110" t="s">
        <v>4047</v>
      </c>
      <c r="H401" s="138"/>
      <c r="J401" s="138"/>
    </row>
    <row r="402" ht="15.75" customHeight="1">
      <c r="A402" s="148">
        <v>46119.0</v>
      </c>
      <c r="B402" s="110" t="s">
        <v>1497</v>
      </c>
      <c r="C402" s="106">
        <v>1.0</v>
      </c>
      <c r="D402" s="149" t="str">
        <f>_xlfn.XLOOKUP(B402,[1]FullDataList!F:F,[1]FullDataList!O:O)</f>
        <v>#ERROR!</v>
      </c>
      <c r="E402" s="110" t="s">
        <v>4048</v>
      </c>
      <c r="H402" s="138"/>
      <c r="J402" s="138"/>
    </row>
    <row r="403" ht="15.75" customHeight="1">
      <c r="A403" s="148">
        <v>46119.0</v>
      </c>
      <c r="B403" s="110" t="s">
        <v>1443</v>
      </c>
      <c r="C403" s="106">
        <v>1.0</v>
      </c>
      <c r="D403" s="149" t="str">
        <f>_xlfn.XLOOKUP(B403,[1]FullDataList!F:F,[1]FullDataList!O:O)</f>
        <v>#ERROR!</v>
      </c>
      <c r="E403" s="110" t="s">
        <v>4049</v>
      </c>
      <c r="H403" s="138"/>
      <c r="J403" s="138"/>
    </row>
    <row r="404" ht="15.75" customHeight="1">
      <c r="A404" s="148">
        <v>46119.0</v>
      </c>
      <c r="B404" s="110" t="s">
        <v>1947</v>
      </c>
      <c r="C404" s="106">
        <v>1.0</v>
      </c>
      <c r="D404" s="149" t="str">
        <f>_xlfn.XLOOKUP(B404,[1]FullDataList!F:F,[1]FullDataList!O:O)</f>
        <v>#ERROR!</v>
      </c>
      <c r="E404" s="110" t="s">
        <v>4051</v>
      </c>
      <c r="H404" s="138"/>
      <c r="J404" s="138"/>
    </row>
    <row r="405" ht="15.75" customHeight="1">
      <c r="A405" s="148">
        <v>46119.0</v>
      </c>
      <c r="B405" s="110" t="s">
        <v>1964</v>
      </c>
      <c r="C405" s="106">
        <v>1.0</v>
      </c>
      <c r="D405" s="149" t="str">
        <f>_xlfn.XLOOKUP(B405,[1]FullDataList!F:F,[1]FullDataList!O:O)</f>
        <v>#ERROR!</v>
      </c>
      <c r="E405" s="110" t="s">
        <v>4052</v>
      </c>
      <c r="H405" s="138"/>
      <c r="J405" s="138"/>
    </row>
    <row r="406" ht="15.75" customHeight="1">
      <c r="A406" s="148">
        <v>46119.0</v>
      </c>
      <c r="B406" s="110" t="s">
        <v>1969</v>
      </c>
      <c r="C406" s="106">
        <v>1.0</v>
      </c>
      <c r="D406" s="149" t="str">
        <f>_xlfn.XLOOKUP(B406,[1]FullDataList!F:F,[1]FullDataList!O:O)</f>
        <v>#ERROR!</v>
      </c>
      <c r="E406" s="110" t="s">
        <v>4053</v>
      </c>
      <c r="H406" s="138"/>
      <c r="J406" s="138"/>
    </row>
    <row r="407" ht="15.75" customHeight="1">
      <c r="A407" s="148">
        <v>46119.0</v>
      </c>
      <c r="B407" s="110" t="s">
        <v>1528</v>
      </c>
      <c r="C407" s="106">
        <v>1.0</v>
      </c>
      <c r="D407" s="149" t="str">
        <f>_xlfn.XLOOKUP(B407,[1]FullDataList!F:F,[1]FullDataList!O:O)</f>
        <v>#ERROR!</v>
      </c>
      <c r="E407" s="110" t="s">
        <v>4039</v>
      </c>
      <c r="H407" s="138"/>
      <c r="J407" s="138"/>
    </row>
    <row r="408" ht="15.75" customHeight="1">
      <c r="A408" s="148">
        <v>46119.0</v>
      </c>
      <c r="B408" s="110" t="s">
        <v>1472</v>
      </c>
      <c r="C408" s="106">
        <v>1.0</v>
      </c>
      <c r="D408" s="149" t="str">
        <f>_xlfn.XLOOKUP(B408,[1]FullDataList!F:F,[1]FullDataList!O:O)</f>
        <v>#ERROR!</v>
      </c>
      <c r="E408" s="110" t="s">
        <v>4003</v>
      </c>
      <c r="H408" s="138"/>
      <c r="J408" s="138"/>
    </row>
    <row r="409" ht="15.75" customHeight="1">
      <c r="A409" s="148">
        <v>46119.0</v>
      </c>
      <c r="B409" s="110" t="s">
        <v>1600</v>
      </c>
      <c r="C409" s="106">
        <v>1.0</v>
      </c>
      <c r="D409" s="149" t="str">
        <f>_xlfn.XLOOKUP(B409,[1]FullDataList!F:F,[1]FullDataList!O:O)</f>
        <v>#ERROR!</v>
      </c>
      <c r="E409" s="110" t="s">
        <v>4005</v>
      </c>
      <c r="H409" s="138"/>
      <c r="J409" s="138"/>
    </row>
    <row r="410" ht="15.75" customHeight="1">
      <c r="A410" s="148">
        <v>46119.0</v>
      </c>
      <c r="B410" s="110" t="s">
        <v>411</v>
      </c>
      <c r="C410" s="106">
        <v>1.0</v>
      </c>
      <c r="D410" s="149" t="str">
        <f>_xlfn.XLOOKUP(B410,[1]FullDataList!F:F,[1]FullDataList!O:O)</f>
        <v>#ERROR!</v>
      </c>
      <c r="E410" s="110" t="s">
        <v>4040</v>
      </c>
      <c r="H410" s="138"/>
      <c r="J410" s="138"/>
    </row>
    <row r="411" ht="15.75" customHeight="1">
      <c r="A411" s="148">
        <v>46119.0</v>
      </c>
      <c r="B411" s="110" t="s">
        <v>1553</v>
      </c>
      <c r="C411" s="106">
        <v>1.0</v>
      </c>
      <c r="D411" s="149" t="str">
        <f>_xlfn.XLOOKUP(B411,[1]FullDataList!F:F,[1]FullDataList!O:O)</f>
        <v>#ERROR!</v>
      </c>
      <c r="E411" s="110" t="s">
        <v>4041</v>
      </c>
      <c r="H411" s="138"/>
      <c r="J411" s="138"/>
    </row>
    <row r="412" ht="15.75" customHeight="1">
      <c r="A412" s="148">
        <v>46119.0</v>
      </c>
      <c r="B412" s="110" t="s">
        <v>1442</v>
      </c>
      <c r="C412" s="106">
        <v>1.0</v>
      </c>
      <c r="D412" s="149" t="str">
        <f>_xlfn.XLOOKUP(B412,[1]FullDataList!F:F,[1]FullDataList!O:O)</f>
        <v>#ERROR!</v>
      </c>
      <c r="E412" s="110" t="s">
        <v>4025</v>
      </c>
      <c r="H412" s="138"/>
      <c r="J412" s="138"/>
    </row>
    <row r="413" ht="15.75" customHeight="1">
      <c r="A413" s="148">
        <v>46119.0</v>
      </c>
      <c r="B413" s="110" t="s">
        <v>440</v>
      </c>
      <c r="C413" s="106">
        <v>1.0</v>
      </c>
      <c r="D413" s="149" t="str">
        <f>_xlfn.XLOOKUP(B413,[1]FullDataList!F:F,[1]FullDataList!O:O)</f>
        <v>#ERROR!</v>
      </c>
      <c r="E413" s="110" t="s">
        <v>4009</v>
      </c>
      <c r="H413" s="138"/>
      <c r="J413" s="138"/>
    </row>
    <row r="414" ht="15.75" customHeight="1">
      <c r="A414" s="148">
        <v>46119.0</v>
      </c>
      <c r="B414" s="110" t="s">
        <v>452</v>
      </c>
      <c r="C414" s="106">
        <v>1.0</v>
      </c>
      <c r="D414" s="149" t="str">
        <f>_xlfn.XLOOKUP(B414,[1]FullDataList!F:F,[1]FullDataList!O:O)</f>
        <v>#ERROR!</v>
      </c>
      <c r="E414" s="110" t="s">
        <v>4016</v>
      </c>
      <c r="H414" s="138"/>
      <c r="J414" s="138"/>
    </row>
    <row r="415" ht="15.75" customHeight="1">
      <c r="A415" s="148">
        <v>46119.0</v>
      </c>
      <c r="B415" s="110" t="s">
        <v>505</v>
      </c>
      <c r="C415" s="106">
        <v>1.0</v>
      </c>
      <c r="D415" s="149" t="str">
        <f>_xlfn.XLOOKUP(B415,[1]FullDataList!F:F,[1]FullDataList!O:O)</f>
        <v>#ERROR!</v>
      </c>
      <c r="E415" s="110" t="s">
        <v>4017</v>
      </c>
      <c r="H415" s="138"/>
      <c r="J415" s="138"/>
    </row>
    <row r="416" ht="15.75" customHeight="1">
      <c r="A416" s="148">
        <v>46119.0</v>
      </c>
      <c r="B416" s="110" t="s">
        <v>424</v>
      </c>
      <c r="C416" s="106">
        <v>1.0</v>
      </c>
      <c r="D416" s="149" t="str">
        <f>_xlfn.XLOOKUP(B416,[1]FullDataList!F:F,[1]FullDataList!O:O)</f>
        <v>#ERROR!</v>
      </c>
      <c r="E416" s="110" t="s">
        <v>4027</v>
      </c>
      <c r="H416" s="138"/>
      <c r="J416" s="138"/>
    </row>
    <row r="417" ht="15.75" customHeight="1">
      <c r="A417" s="148">
        <v>46119.0</v>
      </c>
      <c r="B417" s="110" t="s">
        <v>1143</v>
      </c>
      <c r="C417" s="106">
        <v>1.0</v>
      </c>
      <c r="D417" s="149" t="str">
        <f>_xlfn.XLOOKUP(B417,[1]FullDataList!F:F,[1]FullDataList!O:O)</f>
        <v>#ERROR!</v>
      </c>
      <c r="E417" s="110" t="s">
        <v>4030</v>
      </c>
      <c r="H417" s="138"/>
      <c r="J417" s="138"/>
    </row>
    <row r="418" ht="15.75" customHeight="1">
      <c r="A418" s="148">
        <v>46119.0</v>
      </c>
      <c r="B418" s="110" t="s">
        <v>1439</v>
      </c>
      <c r="C418" s="106">
        <v>1.0</v>
      </c>
      <c r="D418" s="149" t="str">
        <f>_xlfn.XLOOKUP(B418,[1]FullDataList!F:F,[1]FullDataList!O:O)</f>
        <v>#ERROR!</v>
      </c>
      <c r="E418" s="110" t="s">
        <v>4004</v>
      </c>
      <c r="H418" s="138"/>
      <c r="J418" s="138"/>
    </row>
    <row r="419" ht="15.75" customHeight="1">
      <c r="A419" s="148">
        <v>46119.0</v>
      </c>
      <c r="B419" s="110" t="s">
        <v>1494</v>
      </c>
      <c r="C419" s="106">
        <v>1.0</v>
      </c>
      <c r="D419" s="149" t="str">
        <f>_xlfn.XLOOKUP(B419,[1]FullDataList!F:F,[1]FullDataList!O:O)</f>
        <v>#ERROR!</v>
      </c>
      <c r="E419" s="110" t="s">
        <v>4032</v>
      </c>
      <c r="H419" s="138"/>
      <c r="J419" s="138"/>
    </row>
    <row r="420" ht="15.75" customHeight="1">
      <c r="A420" s="148">
        <v>46119.0</v>
      </c>
      <c r="B420" s="110" t="s">
        <v>1383</v>
      </c>
      <c r="C420" s="106">
        <v>1.0</v>
      </c>
      <c r="D420" s="149" t="str">
        <f>_xlfn.XLOOKUP(B420,[1]FullDataList!F:F,[1]FullDataList!O:O)</f>
        <v>#ERROR!</v>
      </c>
      <c r="E420" s="110" t="s">
        <v>4011</v>
      </c>
      <c r="H420" s="138"/>
      <c r="J420" s="138"/>
    </row>
    <row r="421" ht="15.75" customHeight="1">
      <c r="A421" s="148">
        <v>46119.0</v>
      </c>
      <c r="B421" s="110" t="s">
        <v>1464</v>
      </c>
      <c r="C421" s="106">
        <v>1.0</v>
      </c>
      <c r="D421" s="149" t="str">
        <f>_xlfn.XLOOKUP(B421,[1]FullDataList!F:F,[1]FullDataList!O:O)</f>
        <v>#ERROR!</v>
      </c>
      <c r="E421" s="110" t="s">
        <v>4012</v>
      </c>
      <c r="H421" s="138"/>
      <c r="J421" s="138"/>
    </row>
    <row r="422" ht="15.75" customHeight="1">
      <c r="A422" s="148">
        <v>46119.0</v>
      </c>
      <c r="B422" s="110" t="s">
        <v>1458</v>
      </c>
      <c r="C422" s="106">
        <v>1.0</v>
      </c>
      <c r="D422" s="149" t="str">
        <f>_xlfn.XLOOKUP(B422,[1]FullDataList!F:F,[1]FullDataList!O:O)</f>
        <v>#ERROR!</v>
      </c>
      <c r="E422" s="110" t="s">
        <v>4044</v>
      </c>
      <c r="H422" s="138"/>
      <c r="J422" s="138"/>
    </row>
    <row r="423" ht="15.75" customHeight="1">
      <c r="A423" s="148">
        <v>46119.0</v>
      </c>
      <c r="B423" s="110" t="s">
        <v>1115</v>
      </c>
      <c r="C423" s="106">
        <v>1.0</v>
      </c>
      <c r="D423" s="149" t="str">
        <f>_xlfn.XLOOKUP(B423,[1]FullDataList!F:F,[1]FullDataList!O:O)</f>
        <v>#ERROR!</v>
      </c>
      <c r="E423" s="110" t="s">
        <v>4046</v>
      </c>
      <c r="H423" s="138"/>
      <c r="J423" s="138"/>
    </row>
    <row r="424" ht="15.75" customHeight="1">
      <c r="A424" s="148">
        <v>46119.0</v>
      </c>
      <c r="B424" s="110" t="s">
        <v>2013</v>
      </c>
      <c r="C424" s="106">
        <v>1.0</v>
      </c>
      <c r="D424" s="149" t="str">
        <f>_xlfn.XLOOKUP(B424,[1]FullDataList!F:F,[1]FullDataList!O:O)</f>
        <v>#ERROR!</v>
      </c>
      <c r="E424" s="110" t="s">
        <v>4013</v>
      </c>
      <c r="H424" s="138"/>
      <c r="J424" s="138"/>
    </row>
    <row r="425" ht="15.75" customHeight="1">
      <c r="A425" s="148">
        <v>46120.0</v>
      </c>
      <c r="B425" s="110" t="s">
        <v>431</v>
      </c>
      <c r="C425" s="106">
        <v>1.0</v>
      </c>
      <c r="D425" s="149" t="str">
        <f>_xlfn.XLOOKUP(B425,[1]FullDataList!F:F,[1]FullDataList!O:O)</f>
        <v>#ERROR!</v>
      </c>
      <c r="E425" s="110" t="s">
        <v>4026</v>
      </c>
      <c r="H425" s="138"/>
      <c r="J425" s="138"/>
    </row>
    <row r="426" ht="15.75" customHeight="1">
      <c r="A426" s="148">
        <v>46120.0</v>
      </c>
      <c r="B426" s="110" t="s">
        <v>1059</v>
      </c>
      <c r="C426" s="106">
        <v>1.0</v>
      </c>
      <c r="D426" s="149" t="str">
        <f>_xlfn.XLOOKUP(B426,[1]FullDataList!F:F,[1]FullDataList!O:O)</f>
        <v>#ERROR!</v>
      </c>
      <c r="E426" s="110" t="s">
        <v>4028</v>
      </c>
      <c r="H426" s="138"/>
      <c r="J426" s="138"/>
    </row>
    <row r="427" ht="15.75" customHeight="1">
      <c r="A427" s="148">
        <v>46120.0</v>
      </c>
      <c r="B427" s="110" t="s">
        <v>465</v>
      </c>
      <c r="C427" s="106">
        <v>1.0</v>
      </c>
      <c r="D427" s="149" t="str">
        <f>_xlfn.XLOOKUP(B427,[1]FullDataList!F:F,[1]FullDataList!O:O)</f>
        <v>#ERROR!</v>
      </c>
      <c r="E427" s="110" t="s">
        <v>4037</v>
      </c>
      <c r="H427" s="138"/>
      <c r="J427" s="138"/>
    </row>
    <row r="428" ht="15.75" customHeight="1">
      <c r="A428" s="148">
        <v>46120.0</v>
      </c>
      <c r="B428" s="110" t="s">
        <v>2022</v>
      </c>
      <c r="C428" s="106">
        <v>1.0</v>
      </c>
      <c r="D428" s="149" t="str">
        <f>_xlfn.XLOOKUP(B428,[1]FullDataList!F:F,[1]FullDataList!O:O)</f>
        <v>#ERROR!</v>
      </c>
      <c r="E428" s="110" t="s">
        <v>4038</v>
      </c>
      <c r="H428" s="138"/>
      <c r="J428" s="138"/>
    </row>
    <row r="429" ht="15.75" customHeight="1">
      <c r="A429" s="148">
        <v>46120.0</v>
      </c>
      <c r="B429" s="110" t="s">
        <v>533</v>
      </c>
      <c r="C429" s="106">
        <v>1.0</v>
      </c>
      <c r="D429" s="149" t="str">
        <f>_xlfn.XLOOKUP(B429,[1]FullDataList!F:F,[1]FullDataList!O:O)</f>
        <v>#ERROR!</v>
      </c>
      <c r="E429" s="110" t="s">
        <v>4048</v>
      </c>
      <c r="H429" s="138"/>
      <c r="J429" s="138"/>
    </row>
    <row r="430" ht="15.75" customHeight="1">
      <c r="A430" s="148">
        <v>46120.0</v>
      </c>
      <c r="B430" s="110" t="s">
        <v>476</v>
      </c>
      <c r="C430" s="106">
        <v>1.0</v>
      </c>
      <c r="D430" s="149" t="str">
        <f>_xlfn.XLOOKUP(B430,[1]FullDataList!F:F,[1]FullDataList!O:O)</f>
        <v>#ERROR!</v>
      </c>
      <c r="E430" s="110" t="s">
        <v>4054</v>
      </c>
      <c r="H430" s="138"/>
      <c r="J430" s="138"/>
    </row>
    <row r="431" ht="15.75" customHeight="1">
      <c r="A431" s="148">
        <v>46120.0</v>
      </c>
      <c r="B431" s="110" t="s">
        <v>1444</v>
      </c>
      <c r="C431" s="106">
        <v>1.0</v>
      </c>
      <c r="D431" s="149" t="str">
        <f>_xlfn.XLOOKUP(B431,[1]FullDataList!F:F,[1]FullDataList!O:O)</f>
        <v>#ERROR!</v>
      </c>
      <c r="E431" s="110" t="s">
        <v>4049</v>
      </c>
      <c r="H431" s="138"/>
      <c r="J431" s="138"/>
    </row>
    <row r="432" ht="15.75" customHeight="1">
      <c r="A432" s="148">
        <v>46120.0</v>
      </c>
      <c r="B432" s="110" t="s">
        <v>1963</v>
      </c>
      <c r="C432" s="106">
        <v>1.0</v>
      </c>
      <c r="D432" s="149" t="str">
        <f>_xlfn.XLOOKUP(B432,[1]FullDataList!F:F,[1]FullDataList!O:O)</f>
        <v>#ERROR!</v>
      </c>
      <c r="E432" s="110" t="s">
        <v>4051</v>
      </c>
      <c r="H432" s="138"/>
      <c r="J432" s="138"/>
    </row>
    <row r="433" ht="15.75" customHeight="1">
      <c r="A433" s="148">
        <v>46120.0</v>
      </c>
      <c r="B433" s="110" t="s">
        <v>1486</v>
      </c>
      <c r="C433" s="106">
        <v>1.0</v>
      </c>
      <c r="D433" s="149" t="str">
        <f>_xlfn.XLOOKUP(B433,[1]FullDataList!F:F,[1]FullDataList!O:O)</f>
        <v>#ERROR!</v>
      </c>
      <c r="E433" s="110" t="s">
        <v>4003</v>
      </c>
      <c r="H433" s="138"/>
      <c r="J433" s="138"/>
    </row>
    <row r="434" ht="15.75" customHeight="1">
      <c r="A434" s="148">
        <v>46120.0</v>
      </c>
      <c r="B434" s="110" t="s">
        <v>1601</v>
      </c>
      <c r="C434" s="106">
        <v>1.0</v>
      </c>
      <c r="D434" s="149" t="str">
        <f>_xlfn.XLOOKUP(B434,[1]FullDataList!F:F,[1]FullDataList!O:O)</f>
        <v>#ERROR!</v>
      </c>
      <c r="E434" s="110" t="s">
        <v>4005</v>
      </c>
      <c r="H434" s="138"/>
      <c r="J434" s="138"/>
    </row>
    <row r="435" ht="15.75" customHeight="1">
      <c r="A435" s="148">
        <v>46120.0</v>
      </c>
      <c r="B435" s="110" t="s">
        <v>461</v>
      </c>
      <c r="C435" s="106">
        <v>1.0</v>
      </c>
      <c r="D435" s="149" t="str">
        <f>_xlfn.XLOOKUP(B435,[1]FullDataList!F:F,[1]FullDataList!O:O)</f>
        <v>#ERROR!</v>
      </c>
      <c r="E435" s="110" t="s">
        <v>4040</v>
      </c>
      <c r="H435" s="138"/>
      <c r="J435" s="138"/>
    </row>
    <row r="436" ht="15.75" customHeight="1">
      <c r="A436" s="148">
        <v>46120.0</v>
      </c>
      <c r="B436" s="110" t="s">
        <v>1554</v>
      </c>
      <c r="C436" s="106">
        <v>1.0</v>
      </c>
      <c r="D436" s="149" t="str">
        <f>_xlfn.XLOOKUP(B436,[1]FullDataList!F:F,[1]FullDataList!O:O)</f>
        <v>#ERROR!</v>
      </c>
      <c r="E436" s="110" t="s">
        <v>4041</v>
      </c>
      <c r="H436" s="138"/>
      <c r="J436" s="138"/>
    </row>
    <row r="437" ht="15.75" customHeight="1">
      <c r="A437" s="148">
        <v>46120.0</v>
      </c>
      <c r="B437" s="110" t="s">
        <v>1946</v>
      </c>
      <c r="C437" s="106">
        <v>1.0</v>
      </c>
      <c r="D437" s="149" t="str">
        <f>_xlfn.XLOOKUP(B437,[1]FullDataList!F:F,[1]FullDataList!O:O)</f>
        <v>#ERROR!</v>
      </c>
      <c r="E437" s="110" t="s">
        <v>4025</v>
      </c>
      <c r="H437" s="138"/>
      <c r="J437" s="138"/>
    </row>
    <row r="438" ht="15.75" customHeight="1">
      <c r="A438" s="148">
        <v>46120.0</v>
      </c>
      <c r="B438" s="110" t="s">
        <v>1370</v>
      </c>
      <c r="C438" s="106">
        <v>1.0</v>
      </c>
      <c r="D438" s="149" t="str">
        <f>_xlfn.XLOOKUP(B438,[1]FullDataList!F:F,[1]FullDataList!O:O)</f>
        <v>#ERROR!</v>
      </c>
      <c r="E438" s="110" t="s">
        <v>4008</v>
      </c>
      <c r="H438" s="138"/>
      <c r="J438" s="138"/>
    </row>
    <row r="439" ht="15.75" customHeight="1">
      <c r="A439" s="148">
        <v>46120.0</v>
      </c>
      <c r="B439" s="110" t="s">
        <v>1309</v>
      </c>
      <c r="C439" s="106">
        <v>1.0</v>
      </c>
      <c r="D439" s="149" t="str">
        <f>_xlfn.XLOOKUP(B439,[1]FullDataList!F:F,[1]FullDataList!O:O)</f>
        <v>#ERROR!</v>
      </c>
      <c r="E439" s="110" t="s">
        <v>4013</v>
      </c>
      <c r="H439" s="138"/>
      <c r="J439" s="138"/>
    </row>
    <row r="440" ht="15.75" customHeight="1">
      <c r="A440" s="148">
        <v>46120.0</v>
      </c>
      <c r="B440" s="110" t="s">
        <v>425</v>
      </c>
      <c r="C440" s="106">
        <v>1.0</v>
      </c>
      <c r="D440" s="149" t="str">
        <f>_xlfn.XLOOKUP(B440,[1]FullDataList!F:F,[1]FullDataList!O:O)</f>
        <v>#ERROR!</v>
      </c>
      <c r="E440" s="110" t="s">
        <v>4027</v>
      </c>
      <c r="H440" s="138"/>
      <c r="J440" s="138"/>
    </row>
    <row r="441" ht="15.75" customHeight="1">
      <c r="A441" s="148">
        <v>46120.0</v>
      </c>
      <c r="B441" s="110" t="s">
        <v>1927</v>
      </c>
      <c r="C441" s="106">
        <v>1.0</v>
      </c>
      <c r="D441" s="149" t="str">
        <f>_xlfn.XLOOKUP(B441,[1]FullDataList!F:F,[1]FullDataList!O:O)</f>
        <v>#ERROR!</v>
      </c>
      <c r="E441" s="110" t="s">
        <v>4004</v>
      </c>
      <c r="H441" s="138"/>
      <c r="J441" s="138"/>
    </row>
    <row r="442" ht="15.75" customHeight="1">
      <c r="A442" s="148">
        <v>46120.0</v>
      </c>
      <c r="B442" s="110" t="s">
        <v>1556</v>
      </c>
      <c r="C442" s="106">
        <v>1.0</v>
      </c>
      <c r="D442" s="149" t="str">
        <f>_xlfn.XLOOKUP(B442,[1]FullDataList!F:F,[1]FullDataList!O:O)</f>
        <v>#ERROR!</v>
      </c>
      <c r="E442" s="110" t="s">
        <v>4032</v>
      </c>
      <c r="H442" s="138"/>
      <c r="J442" s="138"/>
    </row>
    <row r="443" ht="15.75" customHeight="1">
      <c r="A443" s="148">
        <v>46120.0</v>
      </c>
      <c r="B443" s="110" t="s">
        <v>439</v>
      </c>
      <c r="C443" s="106">
        <v>1.0</v>
      </c>
      <c r="D443" s="149" t="str">
        <f>_xlfn.XLOOKUP(B443,[1]FullDataList!F:F,[1]FullDataList!O:O)</f>
        <v>#ERROR!</v>
      </c>
      <c r="E443" s="110" t="s">
        <v>4011</v>
      </c>
      <c r="H443" s="138"/>
      <c r="J443" s="138"/>
    </row>
    <row r="444" ht="15.75" customHeight="1">
      <c r="A444" s="148">
        <v>46120.0</v>
      </c>
      <c r="B444" s="110" t="s">
        <v>1465</v>
      </c>
      <c r="C444" s="106">
        <v>1.0</v>
      </c>
      <c r="D444" s="149" t="str">
        <f>_xlfn.XLOOKUP(B444,[1]FullDataList!F:F,[1]FullDataList!O:O)</f>
        <v>#ERROR!</v>
      </c>
      <c r="E444" s="110" t="s">
        <v>4012</v>
      </c>
      <c r="H444" s="138"/>
      <c r="J444" s="138"/>
    </row>
    <row r="445" ht="15.75" customHeight="1">
      <c r="A445" s="148">
        <v>46120.0</v>
      </c>
      <c r="B445" s="110" t="s">
        <v>1351</v>
      </c>
      <c r="C445" s="106">
        <v>1.0</v>
      </c>
      <c r="D445" s="149" t="str">
        <f>_xlfn.XLOOKUP(B445,[1]FullDataList!F:F,[1]FullDataList!O:O)</f>
        <v>#ERROR!</v>
      </c>
      <c r="E445" s="110" t="s">
        <v>4043</v>
      </c>
      <c r="H445" s="138"/>
      <c r="J445" s="138"/>
    </row>
    <row r="446" ht="15.75" customHeight="1">
      <c r="A446" s="148">
        <v>46121.0</v>
      </c>
      <c r="B446" s="110" t="s">
        <v>458</v>
      </c>
      <c r="C446" s="106">
        <v>1.0</v>
      </c>
      <c r="D446" s="149" t="str">
        <f>_xlfn.XLOOKUP(B446,[1]FullDataList!F:F,[1]FullDataList!O:O)</f>
        <v>#ERROR!</v>
      </c>
      <c r="E446" s="110" t="s">
        <v>4026</v>
      </c>
      <c r="H446" s="138"/>
      <c r="J446" s="138"/>
    </row>
    <row r="447" ht="15.75" customHeight="1">
      <c r="A447" s="148">
        <v>46121.0</v>
      </c>
      <c r="B447" s="110" t="s">
        <v>1084</v>
      </c>
      <c r="C447" s="106">
        <v>1.0</v>
      </c>
      <c r="D447" s="149" t="str">
        <f>_xlfn.XLOOKUP(B447,[1]FullDataList!F:F,[1]FullDataList!O:O)</f>
        <v>#ERROR!</v>
      </c>
      <c r="E447" s="110" t="s">
        <v>4028</v>
      </c>
      <c r="H447" s="138"/>
      <c r="J447" s="138"/>
    </row>
    <row r="448" ht="15.75" customHeight="1">
      <c r="A448" s="148">
        <v>46121.0</v>
      </c>
      <c r="B448" s="110" t="s">
        <v>1636</v>
      </c>
      <c r="C448" s="106">
        <v>1.0</v>
      </c>
      <c r="D448" s="149" t="str">
        <f>_xlfn.XLOOKUP(B448,[1]FullDataList!F:F,[1]FullDataList!O:O)</f>
        <v>#ERROR!</v>
      </c>
      <c r="E448" s="110" t="s">
        <v>4038</v>
      </c>
      <c r="H448" s="138"/>
      <c r="J448" s="138"/>
    </row>
    <row r="449" ht="15.75" customHeight="1">
      <c r="A449" s="148">
        <v>46121.0</v>
      </c>
      <c r="B449" s="110" t="s">
        <v>1122</v>
      </c>
      <c r="C449" s="106">
        <v>1.0</v>
      </c>
      <c r="D449" s="149" t="str">
        <f>_xlfn.XLOOKUP(B449,[1]FullDataList!F:F,[1]FullDataList!O:O)</f>
        <v>#ERROR!</v>
      </c>
      <c r="E449" s="110" t="s">
        <v>4047</v>
      </c>
      <c r="H449" s="138"/>
      <c r="J449" s="138"/>
    </row>
    <row r="450" ht="15.75" customHeight="1">
      <c r="A450" s="148">
        <v>46121.0</v>
      </c>
      <c r="B450" s="110" t="s">
        <v>518</v>
      </c>
      <c r="C450" s="106">
        <v>1.0</v>
      </c>
      <c r="D450" s="149" t="str">
        <f>_xlfn.XLOOKUP(B450,[1]FullDataList!F:F,[1]FullDataList!O:O)</f>
        <v>#ERROR!</v>
      </c>
      <c r="E450" s="110" t="s">
        <v>4048</v>
      </c>
      <c r="H450" s="138"/>
      <c r="J450" s="138"/>
    </row>
    <row r="451" ht="15.75" customHeight="1">
      <c r="A451" s="148">
        <v>46121.0</v>
      </c>
      <c r="B451" s="110" t="s">
        <v>491</v>
      </c>
      <c r="C451" s="106">
        <v>1.0</v>
      </c>
      <c r="D451" s="149" t="str">
        <f>_xlfn.XLOOKUP(B451,[1]FullDataList!F:F,[1]FullDataList!O:O)</f>
        <v>#ERROR!</v>
      </c>
      <c r="E451" s="110" t="s">
        <v>4054</v>
      </c>
      <c r="H451" s="138"/>
      <c r="J451" s="138"/>
    </row>
    <row r="452" ht="15.75" customHeight="1">
      <c r="A452" s="148">
        <v>46121.0</v>
      </c>
      <c r="B452" s="110" t="s">
        <v>2095</v>
      </c>
      <c r="C452" s="106">
        <v>1.0</v>
      </c>
      <c r="D452" s="149" t="str">
        <f>_xlfn.XLOOKUP(B452,[1]FullDataList!F:F,[1]FullDataList!O:O)</f>
        <v>#ERROR!</v>
      </c>
      <c r="E452" s="110" t="s">
        <v>4049</v>
      </c>
      <c r="H452" s="138"/>
      <c r="J452" s="138"/>
    </row>
    <row r="453" ht="15.75" customHeight="1">
      <c r="A453" s="148">
        <v>46121.0</v>
      </c>
      <c r="B453" s="110" t="s">
        <v>2060</v>
      </c>
      <c r="C453" s="106">
        <v>1.0</v>
      </c>
      <c r="D453" s="149" t="str">
        <f>_xlfn.XLOOKUP(B453,[1]FullDataList!F:F,[1]FullDataList!O:O)</f>
        <v>#ERROR!</v>
      </c>
      <c r="E453" s="110" t="s">
        <v>4051</v>
      </c>
      <c r="H453" s="138"/>
      <c r="J453" s="138"/>
    </row>
    <row r="454" ht="15.75" customHeight="1">
      <c r="A454" s="148">
        <v>46121.0</v>
      </c>
      <c r="B454" s="110" t="s">
        <v>2009</v>
      </c>
      <c r="C454" s="106">
        <v>1.0</v>
      </c>
      <c r="D454" s="149" t="str">
        <f>_xlfn.XLOOKUP(B454,[1]FullDataList!F:F,[1]FullDataList!O:O)</f>
        <v>#ERROR!</v>
      </c>
      <c r="E454" s="110" t="s">
        <v>4050</v>
      </c>
      <c r="H454" s="138"/>
      <c r="J454" s="138"/>
    </row>
    <row r="455" ht="15.75" customHeight="1">
      <c r="A455" s="148">
        <v>46121.0</v>
      </c>
      <c r="B455" s="110" t="s">
        <v>1965</v>
      </c>
      <c r="C455" s="106">
        <v>1.0</v>
      </c>
      <c r="D455" s="149" t="str">
        <f>_xlfn.XLOOKUP(B455,[1]FullDataList!F:F,[1]FullDataList!O:O)</f>
        <v>#ERROR!</v>
      </c>
      <c r="E455" s="110" t="s">
        <v>4052</v>
      </c>
      <c r="H455" s="138"/>
      <c r="J455" s="138"/>
    </row>
    <row r="456" ht="15.75" customHeight="1">
      <c r="A456" s="148">
        <v>46121.0</v>
      </c>
      <c r="B456" s="110" t="s">
        <v>717</v>
      </c>
      <c r="C456" s="106">
        <v>1.0</v>
      </c>
      <c r="D456" s="149" t="str">
        <f>_xlfn.XLOOKUP(B456,[1]FullDataList!F:F,[1]FullDataList!O:O)</f>
        <v>#ERROR!</v>
      </c>
      <c r="E456" s="110" t="s">
        <v>4053</v>
      </c>
      <c r="H456" s="138"/>
      <c r="J456" s="138"/>
    </row>
    <row r="457" ht="15.75" customHeight="1">
      <c r="A457" s="148">
        <v>46121.0</v>
      </c>
      <c r="B457" s="110" t="s">
        <v>1491</v>
      </c>
      <c r="C457" s="106">
        <v>1.0</v>
      </c>
      <c r="D457" s="149" t="str">
        <f>_xlfn.XLOOKUP(B457,[1]FullDataList!F:F,[1]FullDataList!O:O)</f>
        <v>#ERROR!</v>
      </c>
      <c r="E457" s="110" t="s">
        <v>4039</v>
      </c>
      <c r="H457" s="138"/>
      <c r="J457" s="138"/>
    </row>
    <row r="458" ht="15.75" customHeight="1">
      <c r="A458" s="148">
        <v>46121.0</v>
      </c>
      <c r="B458" s="110" t="s">
        <v>1426</v>
      </c>
      <c r="C458" s="106">
        <v>1.0</v>
      </c>
      <c r="D458" s="149" t="str">
        <f>_xlfn.XLOOKUP(B458,[1]FullDataList!F:F,[1]FullDataList!O:O)</f>
        <v>#ERROR!</v>
      </c>
      <c r="E458" s="110" t="s">
        <v>4005</v>
      </c>
      <c r="H458" s="138"/>
      <c r="J458" s="138"/>
    </row>
    <row r="459" ht="15.75" customHeight="1">
      <c r="A459" s="148">
        <v>46121.0</v>
      </c>
      <c r="B459" s="110" t="s">
        <v>462</v>
      </c>
      <c r="C459" s="106">
        <v>1.0</v>
      </c>
      <c r="D459" s="149" t="str">
        <f>_xlfn.XLOOKUP(B459,[1]FullDataList!F:F,[1]FullDataList!O:O)</f>
        <v>#ERROR!</v>
      </c>
      <c r="E459" s="110" t="s">
        <v>4040</v>
      </c>
      <c r="H459" s="138"/>
      <c r="J459" s="138"/>
    </row>
    <row r="460" ht="15.75" customHeight="1">
      <c r="A460" s="148">
        <v>46121.0</v>
      </c>
      <c r="B460" s="110" t="s">
        <v>1555</v>
      </c>
      <c r="C460" s="106">
        <v>1.0</v>
      </c>
      <c r="D460" s="149" t="str">
        <f>_xlfn.XLOOKUP(B460,[1]FullDataList!F:F,[1]FullDataList!O:O)</f>
        <v>#ERROR!</v>
      </c>
      <c r="E460" s="110" t="s">
        <v>4041</v>
      </c>
      <c r="H460" s="138"/>
      <c r="J460" s="138"/>
    </row>
    <row r="461" ht="15.75" customHeight="1">
      <c r="A461" s="148">
        <v>46121.0</v>
      </c>
      <c r="B461" s="110" t="s">
        <v>1962</v>
      </c>
      <c r="C461" s="106">
        <v>1.0</v>
      </c>
      <c r="D461" s="149" t="str">
        <f>_xlfn.XLOOKUP(B461,[1]FullDataList!F:F,[1]FullDataList!O:O)</f>
        <v>#ERROR!</v>
      </c>
      <c r="E461" s="110" t="s">
        <v>4025</v>
      </c>
      <c r="H461" s="138"/>
      <c r="J461" s="138"/>
    </row>
    <row r="462" ht="15.75" customHeight="1">
      <c r="A462" s="148">
        <v>46121.0</v>
      </c>
      <c r="B462" s="110" t="s">
        <v>1397</v>
      </c>
      <c r="C462" s="106">
        <v>1.0</v>
      </c>
      <c r="D462" s="149" t="str">
        <f>_xlfn.XLOOKUP(B462,[1]FullDataList!F:F,[1]FullDataList!O:O)</f>
        <v>#ERROR!</v>
      </c>
      <c r="E462" s="110" t="s">
        <v>4008</v>
      </c>
      <c r="H462" s="138"/>
      <c r="J462" s="138"/>
    </row>
    <row r="463" ht="15.75" customHeight="1">
      <c r="A463" s="148">
        <v>46121.0</v>
      </c>
      <c r="B463" s="110" t="s">
        <v>1367</v>
      </c>
      <c r="C463" s="106">
        <v>1.0</v>
      </c>
      <c r="D463" s="149" t="str">
        <f>_xlfn.XLOOKUP(B463,[1]FullDataList!F:F,[1]FullDataList!O:O)</f>
        <v>#ERROR!</v>
      </c>
      <c r="E463" s="110" t="s">
        <v>4009</v>
      </c>
      <c r="H463" s="138"/>
      <c r="J463" s="138"/>
    </row>
    <row r="464" ht="15.75" customHeight="1">
      <c r="A464" s="148">
        <v>46121.0</v>
      </c>
      <c r="B464" s="110" t="s">
        <v>2054</v>
      </c>
      <c r="C464" s="106">
        <v>1.0</v>
      </c>
      <c r="D464" s="149" t="str">
        <f>_xlfn.XLOOKUP(B464,[1]FullDataList!F:F,[1]FullDataList!O:O)</f>
        <v>#ERROR!</v>
      </c>
      <c r="E464" s="110" t="s">
        <v>4013</v>
      </c>
      <c r="H464" s="138"/>
      <c r="J464" s="138"/>
    </row>
    <row r="465" ht="15.75" customHeight="1">
      <c r="A465" s="148">
        <v>46121.0</v>
      </c>
      <c r="B465" s="110" t="s">
        <v>1940</v>
      </c>
      <c r="C465" s="106">
        <v>1.0</v>
      </c>
      <c r="D465" s="149" t="str">
        <f>_xlfn.XLOOKUP(B465,[1]FullDataList!F:F,[1]FullDataList!O:O)</f>
        <v>#ERROR!</v>
      </c>
      <c r="E465" s="110" t="s">
        <v>4046</v>
      </c>
      <c r="H465" s="138"/>
      <c r="J465" s="138"/>
    </row>
    <row r="466" ht="15.75" customHeight="1">
      <c r="A466" s="148">
        <v>46121.0</v>
      </c>
      <c r="B466" s="110" t="s">
        <v>1036</v>
      </c>
      <c r="C466" s="106">
        <v>1.0</v>
      </c>
      <c r="D466" s="149" t="str">
        <f>_xlfn.XLOOKUP(B466,[1]FullDataList!F:F,[1]FullDataList!O:O)</f>
        <v>#ERROR!</v>
      </c>
      <c r="E466" s="110" t="s">
        <v>4045</v>
      </c>
      <c r="H466" s="138"/>
      <c r="J466" s="138"/>
    </row>
    <row r="467" ht="15.75" customHeight="1">
      <c r="A467" s="148">
        <v>46121.0</v>
      </c>
      <c r="B467" s="110" t="s">
        <v>489</v>
      </c>
      <c r="C467" s="106">
        <v>1.0</v>
      </c>
      <c r="D467" s="149" t="str">
        <f>_xlfn.XLOOKUP(B467,[1]FullDataList!F:F,[1]FullDataList!O:O)</f>
        <v>#ERROR!</v>
      </c>
      <c r="E467" s="110" t="s">
        <v>4017</v>
      </c>
      <c r="H467" s="138"/>
      <c r="J467" s="138"/>
    </row>
    <row r="468" ht="15.75" customHeight="1">
      <c r="A468" s="148">
        <v>46121.0</v>
      </c>
      <c r="B468" s="110" t="s">
        <v>426</v>
      </c>
      <c r="C468" s="106">
        <v>1.0</v>
      </c>
      <c r="D468" s="149" t="str">
        <f>_xlfn.XLOOKUP(B468,[1]FullDataList!F:F,[1]FullDataList!O:O)</f>
        <v>#ERROR!</v>
      </c>
      <c r="E468" s="110" t="s">
        <v>4027</v>
      </c>
      <c r="H468" s="138"/>
      <c r="J468" s="138"/>
    </row>
    <row r="469" ht="15.75" customHeight="1">
      <c r="A469" s="148">
        <v>46121.0</v>
      </c>
      <c r="B469" s="110" t="s">
        <v>1030</v>
      </c>
      <c r="C469" s="106">
        <v>1.0</v>
      </c>
      <c r="D469" s="149" t="str">
        <f>_xlfn.XLOOKUP(B469,[1]FullDataList!F:F,[1]FullDataList!O:O)</f>
        <v>#ERROR!</v>
      </c>
      <c r="E469" s="110" t="s">
        <v>4030</v>
      </c>
      <c r="H469" s="138"/>
      <c r="J469" s="138"/>
    </row>
    <row r="470" ht="15.75" customHeight="1">
      <c r="A470" s="148">
        <v>46121.0</v>
      </c>
      <c r="B470" s="110" t="s">
        <v>1479</v>
      </c>
      <c r="C470" s="106">
        <v>1.0</v>
      </c>
      <c r="D470" s="149" t="str">
        <f>_xlfn.XLOOKUP(B470,[1]FullDataList!F:F,[1]FullDataList!O:O)</f>
        <v>#ERROR!</v>
      </c>
      <c r="E470" s="110" t="s">
        <v>4042</v>
      </c>
      <c r="H470" s="138"/>
      <c r="J470" s="138"/>
    </row>
    <row r="471" ht="15.75" customHeight="1">
      <c r="A471" s="148">
        <v>46121.0</v>
      </c>
      <c r="B471" s="110" t="s">
        <v>1943</v>
      </c>
      <c r="C471" s="106">
        <v>1.0</v>
      </c>
      <c r="D471" s="149" t="str">
        <f>_xlfn.XLOOKUP(B471,[1]FullDataList!F:F,[1]FullDataList!O:O)</f>
        <v>#ERROR!</v>
      </c>
      <c r="E471" s="110" t="s">
        <v>4004</v>
      </c>
      <c r="H471" s="138"/>
      <c r="J471" s="138"/>
    </row>
    <row r="472" ht="15.75" customHeight="1">
      <c r="A472" s="148">
        <v>46121.0</v>
      </c>
      <c r="B472" s="110" t="s">
        <v>1557</v>
      </c>
      <c r="C472" s="106">
        <v>1.0</v>
      </c>
      <c r="D472" s="149" t="str">
        <f>_xlfn.XLOOKUP(B472,[1]FullDataList!F:F,[1]FullDataList!O:O)</f>
        <v>#ERROR!</v>
      </c>
      <c r="E472" s="110" t="s">
        <v>4032</v>
      </c>
      <c r="H472" s="138"/>
      <c r="J472" s="138"/>
    </row>
    <row r="473" ht="15.75" customHeight="1">
      <c r="A473" s="148">
        <v>46121.0</v>
      </c>
      <c r="B473" s="110" t="s">
        <v>1473</v>
      </c>
      <c r="C473" s="106">
        <v>1.0</v>
      </c>
      <c r="D473" s="149" t="str">
        <f>_xlfn.XLOOKUP(B473,[1]FullDataList!F:F,[1]FullDataList!O:O)</f>
        <v>#ERROR!</v>
      </c>
      <c r="E473" s="110" t="s">
        <v>4012</v>
      </c>
      <c r="H473" s="138"/>
      <c r="J473" s="138"/>
    </row>
    <row r="474" ht="15.75" customHeight="1">
      <c r="A474" s="148">
        <v>46121.0</v>
      </c>
      <c r="B474" s="110" t="s">
        <v>1514</v>
      </c>
      <c r="C474" s="106">
        <v>1.0</v>
      </c>
      <c r="D474" s="149" t="str">
        <f>_xlfn.XLOOKUP(B474,[1]FullDataList!F:F,[1]FullDataList!O:O)</f>
        <v>#ERROR!</v>
      </c>
      <c r="E474" s="110" t="s">
        <v>4043</v>
      </c>
      <c r="H474" s="138"/>
      <c r="J474" s="138"/>
    </row>
    <row r="475" ht="15.75" customHeight="1">
      <c r="A475" s="148">
        <v>46121.0</v>
      </c>
      <c r="B475" s="110" t="s">
        <v>1414</v>
      </c>
      <c r="C475" s="106">
        <v>1.0</v>
      </c>
      <c r="D475" s="149" t="str">
        <f>_xlfn.XLOOKUP(B475,[1]FullDataList!F:F,[1]FullDataList!O:O)</f>
        <v>#ERROR!</v>
      </c>
      <c r="E475" s="110" t="s">
        <v>4044</v>
      </c>
      <c r="H475" s="138"/>
      <c r="J475" s="138"/>
    </row>
    <row r="476" ht="15.75" customHeight="1">
      <c r="A476" s="148">
        <v>46121.0</v>
      </c>
      <c r="B476" s="110" t="s">
        <v>1129</v>
      </c>
      <c r="C476" s="106">
        <v>1.0</v>
      </c>
      <c r="D476" s="149" t="str">
        <f>_xlfn.XLOOKUP(B476,[1]FullDataList!F:F,[1]FullDataList!O:O)</f>
        <v>#ERROR!</v>
      </c>
      <c r="E476" s="110" t="s">
        <v>4055</v>
      </c>
      <c r="H476" s="138"/>
      <c r="J476" s="138"/>
    </row>
    <row r="477" ht="15.75" customHeight="1">
      <c r="A477" s="148">
        <v>46121.0</v>
      </c>
      <c r="B477" s="110" t="s">
        <v>2014</v>
      </c>
      <c r="C477" s="106">
        <v>1.0</v>
      </c>
      <c r="D477" s="149" t="str">
        <f>_xlfn.XLOOKUP(B477,[1]FullDataList!F:F,[1]FullDataList!O:O)</f>
        <v>#ERROR!</v>
      </c>
      <c r="E477" s="110" t="s">
        <v>4056</v>
      </c>
      <c r="H477" s="138"/>
      <c r="J477" s="138"/>
    </row>
    <row r="478" ht="15.75" customHeight="1">
      <c r="A478" s="148">
        <v>46121.0</v>
      </c>
      <c r="B478" s="110" t="s">
        <v>1918</v>
      </c>
      <c r="C478" s="106">
        <v>1.0</v>
      </c>
      <c r="D478" s="149" t="str">
        <f>_xlfn.XLOOKUP(B478,[1]FullDataList!F:F,[1]FullDataList!O:O)</f>
        <v>#ERROR!</v>
      </c>
      <c r="E478" s="110" t="s">
        <v>4057</v>
      </c>
      <c r="H478" s="138"/>
      <c r="J478" s="138"/>
    </row>
    <row r="479" ht="15.75" customHeight="1">
      <c r="A479" s="148">
        <v>46122.0</v>
      </c>
      <c r="B479" s="110" t="s">
        <v>459</v>
      </c>
      <c r="C479" s="106">
        <v>1.0</v>
      </c>
      <c r="D479" s="149" t="str">
        <f>_xlfn.XLOOKUP(B479,[1]FullDataList!F:F,[1]FullDataList!O:O)</f>
        <v>#ERROR!</v>
      </c>
      <c r="E479" s="110" t="s">
        <v>4026</v>
      </c>
      <c r="H479" s="138"/>
      <c r="J479" s="138"/>
    </row>
    <row r="480" ht="15.75" customHeight="1">
      <c r="A480" s="148">
        <v>46122.0</v>
      </c>
      <c r="B480" s="110" t="s">
        <v>1085</v>
      </c>
      <c r="C480" s="106">
        <v>1.0</v>
      </c>
      <c r="D480" s="149" t="str">
        <f>_xlfn.XLOOKUP(B480,[1]FullDataList!F:F,[1]FullDataList!O:O)</f>
        <v>#ERROR!</v>
      </c>
      <c r="E480" s="110" t="s">
        <v>4028</v>
      </c>
      <c r="H480" s="138"/>
      <c r="J480" s="138"/>
    </row>
    <row r="481" ht="15.75" customHeight="1">
      <c r="A481" s="148">
        <v>46122.0</v>
      </c>
      <c r="B481" s="110" t="s">
        <v>758</v>
      </c>
      <c r="C481" s="106">
        <v>1.0</v>
      </c>
      <c r="D481" s="149" t="str">
        <f>_xlfn.XLOOKUP(B481,[1]FullDataList!F:F,[1]FullDataList!O:O)</f>
        <v>#ERROR!</v>
      </c>
      <c r="E481" s="110" t="s">
        <v>4037</v>
      </c>
      <c r="H481" s="138"/>
      <c r="J481" s="138"/>
    </row>
    <row r="482" ht="15.75" customHeight="1">
      <c r="A482" s="148">
        <v>46122.0</v>
      </c>
      <c r="B482" s="110" t="s">
        <v>1102</v>
      </c>
      <c r="C482" s="106">
        <v>1.0</v>
      </c>
      <c r="D482" s="149" t="str">
        <f>_xlfn.XLOOKUP(B482,[1]FullDataList!F:F,[1]FullDataList!O:O)</f>
        <v>#ERROR!</v>
      </c>
      <c r="E482" s="110" t="s">
        <v>4047</v>
      </c>
      <c r="H482" s="138"/>
      <c r="J482" s="138"/>
    </row>
    <row r="483" ht="15.75" customHeight="1">
      <c r="A483" s="148">
        <v>46122.0</v>
      </c>
      <c r="B483" s="110" t="s">
        <v>437</v>
      </c>
      <c r="C483" s="106">
        <v>1.0</v>
      </c>
      <c r="D483" s="149" t="str">
        <f>_xlfn.XLOOKUP(B483,[1]FullDataList!F:F,[1]FullDataList!O:O)</f>
        <v>#ERROR!</v>
      </c>
      <c r="E483" s="110" t="s">
        <v>4048</v>
      </c>
      <c r="H483" s="138"/>
      <c r="J483" s="138"/>
    </row>
    <row r="484" ht="15.75" customHeight="1">
      <c r="A484" s="148">
        <v>46122.0</v>
      </c>
      <c r="B484" s="110" t="s">
        <v>2091</v>
      </c>
      <c r="C484" s="106">
        <v>1.0</v>
      </c>
      <c r="D484" s="149" t="str">
        <f>_xlfn.XLOOKUP(B484,[1]FullDataList!F:F,[1]FullDataList!O:O)</f>
        <v>#ERROR!</v>
      </c>
      <c r="E484" s="110" t="s">
        <v>4054</v>
      </c>
      <c r="H484" s="138"/>
      <c r="J484" s="138"/>
    </row>
    <row r="485" ht="15.75" customHeight="1">
      <c r="A485" s="148">
        <v>46122.0</v>
      </c>
      <c r="B485" s="110" t="s">
        <v>2094</v>
      </c>
      <c r="C485" s="106">
        <v>1.0</v>
      </c>
      <c r="D485" s="149" t="str">
        <f>_xlfn.XLOOKUP(B485,[1]FullDataList!F:F,[1]FullDataList!O:O)</f>
        <v>#ERROR!</v>
      </c>
      <c r="E485" s="110" t="s">
        <v>4049</v>
      </c>
      <c r="H485" s="138"/>
      <c r="J485" s="138"/>
    </row>
    <row r="486" ht="15.75" customHeight="1">
      <c r="A486" s="148">
        <v>46122.0</v>
      </c>
      <c r="B486" s="110" t="s">
        <v>693</v>
      </c>
      <c r="C486" s="106">
        <v>1.0</v>
      </c>
      <c r="D486" s="149" t="str">
        <f>_xlfn.XLOOKUP(B486,[1]FullDataList!F:F,[1]FullDataList!O:O)</f>
        <v>#ERROR!</v>
      </c>
      <c r="E486" s="110" t="s">
        <v>4051</v>
      </c>
      <c r="H486" s="138"/>
      <c r="J486" s="138"/>
    </row>
    <row r="487" ht="15.75" customHeight="1">
      <c r="A487" s="148">
        <v>46122.0</v>
      </c>
      <c r="B487" s="110" t="s">
        <v>2025</v>
      </c>
      <c r="C487" s="106">
        <v>1.0</v>
      </c>
      <c r="D487" s="149" t="str">
        <f>_xlfn.XLOOKUP(B487,[1]FullDataList!F:F,[1]FullDataList!O:O)</f>
        <v>#ERROR!</v>
      </c>
      <c r="E487" s="110" t="s">
        <v>4050</v>
      </c>
      <c r="H487" s="138"/>
      <c r="J487" s="138"/>
    </row>
    <row r="488" ht="15.75" customHeight="1">
      <c r="A488" s="148">
        <v>46122.0</v>
      </c>
      <c r="B488" s="110" t="s">
        <v>1966</v>
      </c>
      <c r="C488" s="106">
        <v>1.0</v>
      </c>
      <c r="D488" s="149" t="str">
        <f>_xlfn.XLOOKUP(B488,[1]FullDataList!F:F,[1]FullDataList!O:O)</f>
        <v>#ERROR!</v>
      </c>
      <c r="E488" s="110" t="s">
        <v>4052</v>
      </c>
      <c r="H488" s="138"/>
      <c r="J488" s="138"/>
    </row>
    <row r="489" ht="15.75" customHeight="1">
      <c r="A489" s="148">
        <v>46122.0</v>
      </c>
      <c r="B489" s="110" t="s">
        <v>718</v>
      </c>
      <c r="C489" s="106">
        <v>1.0</v>
      </c>
      <c r="D489" s="149" t="str">
        <f>_xlfn.XLOOKUP(B489,[1]FullDataList!F:F,[1]FullDataList!O:O)</f>
        <v>#ERROR!</v>
      </c>
      <c r="E489" s="110" t="s">
        <v>4053</v>
      </c>
      <c r="H489" s="138"/>
      <c r="J489" s="138"/>
    </row>
    <row r="490" ht="15.75" customHeight="1">
      <c r="A490" s="148">
        <v>46122.0</v>
      </c>
      <c r="B490" s="110" t="s">
        <v>1959</v>
      </c>
      <c r="C490" s="106">
        <v>1.0</v>
      </c>
      <c r="D490" s="149" t="str">
        <f>_xlfn.XLOOKUP(B490,[1]FullDataList!F:F,[1]FullDataList!O:O)</f>
        <v>#ERROR!</v>
      </c>
      <c r="E490" s="110" t="s">
        <v>4004</v>
      </c>
      <c r="H490" s="138"/>
      <c r="J490" s="138"/>
    </row>
    <row r="491" ht="15.75" customHeight="1">
      <c r="A491" s="148">
        <v>46122.0</v>
      </c>
      <c r="B491" s="110" t="s">
        <v>1366</v>
      </c>
      <c r="C491" s="106">
        <v>1.0</v>
      </c>
      <c r="D491" s="149" t="str">
        <f>_xlfn.XLOOKUP(B491,[1]FullDataList!F:F,[1]FullDataList!O:O)</f>
        <v>#ERROR!</v>
      </c>
      <c r="E491" s="110" t="s">
        <v>4009</v>
      </c>
      <c r="H491" s="138"/>
      <c r="J491" s="138"/>
    </row>
    <row r="492" ht="15.75" customHeight="1">
      <c r="A492" s="148">
        <v>46122.0</v>
      </c>
      <c r="B492" s="110" t="s">
        <v>463</v>
      </c>
      <c r="C492" s="106">
        <v>1.0</v>
      </c>
      <c r="D492" s="149" t="str">
        <f>_xlfn.XLOOKUP(B492,[1]FullDataList!F:F,[1]FullDataList!O:O)</f>
        <v>#ERROR!</v>
      </c>
      <c r="E492" s="110" t="s">
        <v>4040</v>
      </c>
      <c r="H492" s="138"/>
      <c r="J492" s="138"/>
    </row>
    <row r="493" ht="15.75" customHeight="1">
      <c r="A493" s="148">
        <v>46122.0</v>
      </c>
      <c r="B493" s="110" t="s">
        <v>1603</v>
      </c>
      <c r="C493" s="106">
        <v>1.0</v>
      </c>
      <c r="D493" s="149" t="str">
        <f>_xlfn.XLOOKUP(B493,[1]FullDataList!F:F,[1]FullDataList!O:O)</f>
        <v>#ERROR!</v>
      </c>
      <c r="E493" s="110" t="s">
        <v>4032</v>
      </c>
      <c r="H493" s="138"/>
      <c r="J493" s="138"/>
    </row>
    <row r="494" ht="15.75" customHeight="1">
      <c r="A494" s="148">
        <v>46122.0</v>
      </c>
      <c r="B494" s="110" t="s">
        <v>1496</v>
      </c>
      <c r="C494" s="106">
        <v>1.0</v>
      </c>
      <c r="D494" s="149" t="str">
        <f>_xlfn.XLOOKUP(B494,[1]FullDataList!F:F,[1]FullDataList!O:O)</f>
        <v>#ERROR!</v>
      </c>
      <c r="E494" s="110" t="s">
        <v>4042</v>
      </c>
      <c r="H494" s="138"/>
      <c r="J494" s="138"/>
    </row>
    <row r="495" ht="15.75" customHeight="1">
      <c r="A495" s="148">
        <v>46122.0</v>
      </c>
      <c r="B495" s="110" t="s">
        <v>1432</v>
      </c>
      <c r="C495" s="106">
        <v>1.0</v>
      </c>
      <c r="D495" s="149" t="str">
        <f>_xlfn.XLOOKUP(B495,[1]FullDataList!F:F,[1]FullDataList!O:O)</f>
        <v>#ERROR!</v>
      </c>
      <c r="E495" s="110" t="s">
        <v>4044</v>
      </c>
      <c r="H495" s="138"/>
      <c r="J495" s="138"/>
    </row>
    <row r="496" ht="15.75" customHeight="1">
      <c r="A496" s="148">
        <v>46122.0</v>
      </c>
      <c r="B496" s="110" t="s">
        <v>427</v>
      </c>
      <c r="C496" s="106">
        <v>1.0</v>
      </c>
      <c r="D496" s="149" t="str">
        <f>_xlfn.XLOOKUP(B496,[1]FullDataList!F:F,[1]FullDataList!O:O)</f>
        <v>#ERROR!</v>
      </c>
      <c r="E496" s="110" t="s">
        <v>4027</v>
      </c>
      <c r="H496" s="138"/>
      <c r="J496" s="138"/>
    </row>
    <row r="497" ht="15.75" customHeight="1">
      <c r="A497" s="148">
        <v>46122.0</v>
      </c>
      <c r="B497" s="110" t="s">
        <v>1945</v>
      </c>
      <c r="C497" s="106">
        <v>1.0</v>
      </c>
      <c r="D497" s="149" t="str">
        <f>_xlfn.XLOOKUP(B497,[1]FullDataList!F:F,[1]FullDataList!O:O)</f>
        <v>#ERROR!</v>
      </c>
      <c r="E497" s="110" t="s">
        <v>4046</v>
      </c>
      <c r="H497" s="138"/>
      <c r="J497" s="138"/>
    </row>
    <row r="498" ht="15.75" customHeight="1">
      <c r="A498" s="148">
        <v>46122.0</v>
      </c>
      <c r="B498" s="110" t="s">
        <v>1097</v>
      </c>
      <c r="C498" s="106">
        <v>1.0</v>
      </c>
      <c r="D498" s="149" t="str">
        <f>_xlfn.XLOOKUP(B498,[1]FullDataList!F:F,[1]FullDataList!O:O)</f>
        <v>#ERROR!</v>
      </c>
      <c r="E498" s="110" t="s">
        <v>4055</v>
      </c>
      <c r="H498" s="138"/>
      <c r="J498" s="138"/>
    </row>
    <row r="499" ht="15.75" customHeight="1">
      <c r="A499" s="148">
        <v>46122.0</v>
      </c>
      <c r="B499" s="110" t="s">
        <v>2070</v>
      </c>
      <c r="C499" s="106">
        <v>1.0</v>
      </c>
      <c r="D499" s="149" t="str">
        <f>_xlfn.XLOOKUP(B499,[1]FullDataList!F:F,[1]FullDataList!O:O)</f>
        <v>#ERROR!</v>
      </c>
      <c r="E499" s="110" t="s">
        <v>4013</v>
      </c>
      <c r="H499" s="138"/>
      <c r="J499" s="138"/>
    </row>
    <row r="500" ht="15.75" customHeight="1">
      <c r="A500" s="148">
        <v>46122.0</v>
      </c>
      <c r="B500" s="110" t="s">
        <v>2015</v>
      </c>
      <c r="C500" s="106">
        <v>1.0</v>
      </c>
      <c r="D500" s="149" t="str">
        <f>_xlfn.XLOOKUP(B500,[1]FullDataList!F:F,[1]FullDataList!O:O)</f>
        <v>#ERROR!</v>
      </c>
      <c r="E500" s="110" t="s">
        <v>4056</v>
      </c>
      <c r="H500" s="138"/>
      <c r="J500" s="138"/>
    </row>
    <row r="501" ht="15.75" customHeight="1">
      <c r="A501" s="148">
        <v>46122.0</v>
      </c>
      <c r="B501" s="110" t="s">
        <v>1919</v>
      </c>
      <c r="C501" s="106">
        <v>1.0</v>
      </c>
      <c r="D501" s="149" t="str">
        <f>_xlfn.XLOOKUP(B501,[1]FullDataList!F:F,[1]FullDataList!O:O)</f>
        <v>#ERROR!</v>
      </c>
      <c r="E501" s="110" t="s">
        <v>4057</v>
      </c>
      <c r="H501" s="138"/>
      <c r="J501" s="138"/>
    </row>
    <row r="502" ht="15.75" customHeight="1">
      <c r="A502" s="148">
        <v>46122.0</v>
      </c>
      <c r="B502" s="110" t="s">
        <v>1495</v>
      </c>
      <c r="C502" s="106">
        <v>1.0</v>
      </c>
      <c r="D502" s="149" t="str">
        <f>_xlfn.XLOOKUP(B502,[1]FullDataList!F:F,[1]FullDataList!O:O)</f>
        <v>#ERROR!</v>
      </c>
      <c r="E502" s="110" t="s">
        <v>4008</v>
      </c>
      <c r="H502" s="138"/>
      <c r="J502" s="138"/>
    </row>
    <row r="503" ht="15.75" customHeight="1">
      <c r="A503" s="148">
        <v>46122.0</v>
      </c>
      <c r="B503" s="110" t="s">
        <v>415</v>
      </c>
      <c r="C503" s="106">
        <v>1.0</v>
      </c>
      <c r="D503" s="149" t="str">
        <f>_xlfn.XLOOKUP(B503,[1]FullDataList!F:F,[1]FullDataList!O:O)</f>
        <v>#ERROR!</v>
      </c>
      <c r="E503" s="110" t="s">
        <v>4039</v>
      </c>
      <c r="H503" s="138"/>
      <c r="J503" s="138"/>
    </row>
    <row r="504" ht="15.75" customHeight="1">
      <c r="A504" s="148">
        <v>46122.0</v>
      </c>
      <c r="B504" s="110" t="s">
        <v>1490</v>
      </c>
      <c r="C504" s="106">
        <v>1.0</v>
      </c>
      <c r="D504" s="149" t="str">
        <f>_xlfn.XLOOKUP(B504,[1]FullDataList!F:F,[1]FullDataList!O:O)</f>
        <v>#ERROR!</v>
      </c>
      <c r="E504" s="110" t="s">
        <v>4012</v>
      </c>
      <c r="H504" s="138"/>
      <c r="J504" s="138"/>
    </row>
    <row r="505" ht="15.75" customHeight="1">
      <c r="A505" s="148">
        <v>46122.0</v>
      </c>
      <c r="B505" s="110" t="s">
        <v>1932</v>
      </c>
      <c r="C505" s="106">
        <v>1.0</v>
      </c>
      <c r="D505" s="149" t="str">
        <f>_xlfn.XLOOKUP(B505,[1]FullDataList!F:F,[1]FullDataList!O:O)</f>
        <v>#ERROR!</v>
      </c>
      <c r="E505" s="110" t="s">
        <v>4041</v>
      </c>
      <c r="H505" s="138"/>
      <c r="J505" s="138"/>
    </row>
    <row r="506" ht="15.75" customHeight="1">
      <c r="A506" s="148">
        <v>46122.0</v>
      </c>
      <c r="B506" s="110" t="s">
        <v>1612</v>
      </c>
      <c r="C506" s="106">
        <v>1.0</v>
      </c>
      <c r="D506" s="149" t="str">
        <f>_xlfn.XLOOKUP(B506,[1]FullDataList!F:F,[1]FullDataList!O:O)</f>
        <v>#ERROR!</v>
      </c>
      <c r="E506" s="110" t="s">
        <v>4058</v>
      </c>
      <c r="H506" s="138"/>
      <c r="J506" s="138"/>
    </row>
    <row r="507" ht="15.75" customHeight="1">
      <c r="A507" s="148">
        <v>46122.0</v>
      </c>
      <c r="B507" s="110" t="s">
        <v>1363</v>
      </c>
      <c r="C507" s="106">
        <v>1.0</v>
      </c>
      <c r="D507" s="149" t="str">
        <f>_xlfn.XLOOKUP(B507,[1]FullDataList!F:F,[1]FullDataList!O:O)</f>
        <v>#ERROR!</v>
      </c>
      <c r="E507" s="110" t="s">
        <v>4011</v>
      </c>
      <c r="H507" s="138"/>
      <c r="J507" s="138"/>
    </row>
    <row r="508" ht="15.75" customHeight="1">
      <c r="A508" s="148">
        <v>46122.0</v>
      </c>
      <c r="B508" s="110" t="s">
        <v>1487</v>
      </c>
      <c r="C508" s="106">
        <v>1.0</v>
      </c>
      <c r="D508" s="149" t="str">
        <f>_xlfn.XLOOKUP(B508,[1]FullDataList!F:F,[1]FullDataList!O:O)</f>
        <v>#ERROR!</v>
      </c>
      <c r="E508" s="110" t="s">
        <v>4003</v>
      </c>
      <c r="H508" s="138"/>
      <c r="J508" s="138"/>
    </row>
    <row r="509" ht="15.75" customHeight="1">
      <c r="A509" s="148">
        <v>46123.0</v>
      </c>
      <c r="B509" s="110" t="s">
        <v>460</v>
      </c>
      <c r="C509" s="106">
        <v>1.0</v>
      </c>
      <c r="D509" s="149" t="str">
        <f>_xlfn.XLOOKUP(B509,[1]FullDataList!F:F,[1]FullDataList!O:O)</f>
        <v>#ERROR!</v>
      </c>
      <c r="E509" s="110" t="s">
        <v>4026</v>
      </c>
      <c r="H509" s="138"/>
      <c r="J509" s="138"/>
    </row>
    <row r="510" ht="15.75" customHeight="1">
      <c r="A510" s="148">
        <v>46123.0</v>
      </c>
      <c r="B510" s="110" t="s">
        <v>1086</v>
      </c>
      <c r="C510" s="106">
        <v>1.0</v>
      </c>
      <c r="D510" s="149" t="str">
        <f>_xlfn.XLOOKUP(B510,[1]FullDataList!F:F,[1]FullDataList!O:O)</f>
        <v>#ERROR!</v>
      </c>
      <c r="E510" s="110" t="s">
        <v>4028</v>
      </c>
      <c r="H510" s="138"/>
      <c r="J510" s="138"/>
    </row>
    <row r="511" ht="15.75" customHeight="1">
      <c r="A511" s="148">
        <v>46123.0</v>
      </c>
      <c r="B511" s="110" t="s">
        <v>724</v>
      </c>
      <c r="C511" s="106">
        <v>1.0</v>
      </c>
      <c r="D511" s="149" t="str">
        <f>_xlfn.XLOOKUP(B511,[1]FullDataList!F:F,[1]FullDataList!O:O)</f>
        <v>#ERROR!</v>
      </c>
      <c r="E511" s="110" t="s">
        <v>4037</v>
      </c>
      <c r="H511" s="138"/>
      <c r="J511" s="138"/>
    </row>
    <row r="512" ht="15.75" customHeight="1">
      <c r="A512" s="148">
        <v>46123.0</v>
      </c>
      <c r="B512" s="110" t="s">
        <v>2092</v>
      </c>
      <c r="C512" s="106">
        <v>1.0</v>
      </c>
      <c r="D512" s="149" t="str">
        <f>_xlfn.XLOOKUP(B512,[1]FullDataList!F:F,[1]FullDataList!O:O)</f>
        <v>#ERROR!</v>
      </c>
      <c r="E512" s="110" t="s">
        <v>4054</v>
      </c>
      <c r="H512" s="138"/>
      <c r="J512" s="138"/>
    </row>
    <row r="513" ht="15.75" customHeight="1">
      <c r="A513" s="148">
        <v>46123.0</v>
      </c>
      <c r="B513" s="110" t="s">
        <v>694</v>
      </c>
      <c r="C513" s="106">
        <v>1.0</v>
      </c>
      <c r="D513" s="149" t="str">
        <f>_xlfn.XLOOKUP(B513,[1]FullDataList!F:F,[1]FullDataList!O:O)</f>
        <v>#ERROR!</v>
      </c>
      <c r="E513" s="110" t="s">
        <v>4051</v>
      </c>
      <c r="H513" s="138"/>
      <c r="J513" s="138"/>
    </row>
    <row r="514" ht="15.75" customHeight="1">
      <c r="A514" s="148">
        <v>46123.0</v>
      </c>
      <c r="B514" s="110" t="s">
        <v>496</v>
      </c>
      <c r="C514" s="106">
        <v>1.0</v>
      </c>
      <c r="D514" s="149" t="str">
        <f>_xlfn.XLOOKUP(B514,[1]FullDataList!F:F,[1]FullDataList!O:O)</f>
        <v>#ERROR!</v>
      </c>
      <c r="E514" s="110" t="s">
        <v>4052</v>
      </c>
      <c r="H514" s="138"/>
      <c r="J514" s="138"/>
    </row>
    <row r="515" ht="15.75" customHeight="1">
      <c r="A515" s="148">
        <v>46123.0</v>
      </c>
      <c r="B515" s="110" t="s">
        <v>719</v>
      </c>
      <c r="C515" s="106">
        <v>1.0</v>
      </c>
      <c r="D515" s="149" t="str">
        <f>_xlfn.XLOOKUP(B515,[1]FullDataList!F:F,[1]FullDataList!O:O)</f>
        <v>#ERROR!</v>
      </c>
      <c r="E515" s="110" t="s">
        <v>4053</v>
      </c>
      <c r="H515" s="138"/>
      <c r="J515" s="138"/>
    </row>
    <row r="516" ht="15.75" customHeight="1">
      <c r="A516" s="148">
        <v>46123.0</v>
      </c>
      <c r="B516" s="110" t="s">
        <v>1365</v>
      </c>
      <c r="C516" s="106">
        <v>1.0</v>
      </c>
      <c r="D516" s="149" t="str">
        <f>_xlfn.XLOOKUP(B516,[1]FullDataList!F:F,[1]FullDataList!O:O)</f>
        <v>#ERROR!</v>
      </c>
      <c r="E516" s="110" t="s">
        <v>4009</v>
      </c>
      <c r="H516" s="138"/>
      <c r="J516" s="138"/>
    </row>
    <row r="517" ht="15.75" customHeight="1">
      <c r="A517" s="148">
        <v>46123.0</v>
      </c>
      <c r="B517" s="110" t="s">
        <v>464</v>
      </c>
      <c r="C517" s="106">
        <v>1.0</v>
      </c>
      <c r="D517" s="149" t="str">
        <f>_xlfn.XLOOKUP(B517,[1]FullDataList!F:F,[1]FullDataList!O:O)</f>
        <v>#ERROR!</v>
      </c>
      <c r="E517" s="110" t="s">
        <v>4040</v>
      </c>
      <c r="H517" s="138"/>
      <c r="J517" s="138"/>
    </row>
    <row r="518" ht="15.75" customHeight="1">
      <c r="A518" s="148">
        <v>46123.0</v>
      </c>
      <c r="B518" s="110" t="s">
        <v>1604</v>
      </c>
      <c r="C518" s="106">
        <v>1.0</v>
      </c>
      <c r="D518" s="149" t="str">
        <f>_xlfn.XLOOKUP(B518,[1]FullDataList!F:F,[1]FullDataList!O:O)</f>
        <v>#ERROR!</v>
      </c>
      <c r="E518" s="110" t="s">
        <v>4032</v>
      </c>
      <c r="H518" s="138"/>
      <c r="J518" s="138"/>
    </row>
    <row r="519" ht="15.75" customHeight="1">
      <c r="A519" s="148">
        <v>46123.0</v>
      </c>
      <c r="B519" s="110" t="s">
        <v>2102</v>
      </c>
      <c r="C519" s="106">
        <v>1.0</v>
      </c>
      <c r="D519" s="149" t="str">
        <f>_xlfn.XLOOKUP(B519,[1]FullDataList!F:F,[1]FullDataList!O:O)</f>
        <v>#ERROR!</v>
      </c>
      <c r="E519" s="110" t="s">
        <v>4042</v>
      </c>
      <c r="H519" s="138"/>
      <c r="J519" s="138"/>
    </row>
    <row r="520" ht="15.75" customHeight="1">
      <c r="A520" s="148">
        <v>46123.0</v>
      </c>
      <c r="B520" s="110" t="s">
        <v>530</v>
      </c>
      <c r="C520" s="106">
        <v>1.0</v>
      </c>
      <c r="D520" s="149" t="str">
        <f>_xlfn.XLOOKUP(B520,[1]FullDataList!F:F,[1]FullDataList!O:O)</f>
        <v>#ERROR!</v>
      </c>
      <c r="E520" s="110" t="s">
        <v>4044</v>
      </c>
      <c r="H520" s="138"/>
      <c r="J520" s="138"/>
    </row>
    <row r="521" ht="15.75" customHeight="1">
      <c r="A521" s="148">
        <v>46123.0</v>
      </c>
      <c r="B521" s="110" t="s">
        <v>396</v>
      </c>
      <c r="C521" s="106">
        <v>1.0</v>
      </c>
      <c r="D521" s="149" t="str">
        <f>_xlfn.XLOOKUP(B521,[1]FullDataList!F:F,[1]FullDataList!O:O)</f>
        <v>#ERROR!</v>
      </c>
      <c r="E521" s="110" t="s">
        <v>4017</v>
      </c>
      <c r="H521" s="138"/>
      <c r="J521" s="138"/>
    </row>
    <row r="522" ht="15.75" customHeight="1">
      <c r="A522" s="148">
        <v>46123.0</v>
      </c>
      <c r="B522" s="110" t="s">
        <v>428</v>
      </c>
      <c r="C522" s="106">
        <v>1.0</v>
      </c>
      <c r="D522" s="149" t="str">
        <f>_xlfn.XLOOKUP(B522,[1]FullDataList!F:F,[1]FullDataList!O:O)</f>
        <v>#ERROR!</v>
      </c>
      <c r="E522" s="110" t="s">
        <v>4027</v>
      </c>
      <c r="H522" s="138"/>
      <c r="J522" s="138"/>
    </row>
    <row r="523" ht="15.75" customHeight="1">
      <c r="A523" s="148">
        <v>46123.0</v>
      </c>
      <c r="B523" s="110" t="s">
        <v>1562</v>
      </c>
      <c r="C523" s="106">
        <v>1.0</v>
      </c>
      <c r="D523" s="149" t="str">
        <f>_xlfn.XLOOKUP(B523,[1]FullDataList!F:F,[1]FullDataList!O:O)</f>
        <v>#ERROR!</v>
      </c>
      <c r="E523" s="110" t="s">
        <v>4030</v>
      </c>
      <c r="H523" s="138"/>
      <c r="J523" s="138"/>
    </row>
    <row r="524" ht="15.75" customHeight="1">
      <c r="A524" s="148">
        <v>46123.0</v>
      </c>
      <c r="B524" s="110" t="s">
        <v>1921</v>
      </c>
      <c r="C524" s="106">
        <v>1.0</v>
      </c>
      <c r="D524" s="149" t="str">
        <f>_xlfn.XLOOKUP(B524,[1]FullDataList!F:F,[1]FullDataList!O:O)</f>
        <v>#ERROR!</v>
      </c>
      <c r="E524" s="110" t="s">
        <v>4043</v>
      </c>
      <c r="H524" s="138"/>
      <c r="J524" s="138"/>
    </row>
    <row r="525" ht="15.75" customHeight="1">
      <c r="A525" s="148">
        <v>46123.0</v>
      </c>
      <c r="B525" s="110" t="s">
        <v>1961</v>
      </c>
      <c r="C525" s="106">
        <v>1.0</v>
      </c>
      <c r="D525" s="149" t="str">
        <f>_xlfn.XLOOKUP(B525,[1]FullDataList!F:F,[1]FullDataList!O:O)</f>
        <v>#ERROR!</v>
      </c>
      <c r="E525" s="110" t="s">
        <v>4046</v>
      </c>
      <c r="H525" s="138"/>
      <c r="J525" s="138"/>
    </row>
    <row r="526" ht="15.75" customHeight="1">
      <c r="A526" s="148">
        <v>46123.0</v>
      </c>
      <c r="B526" s="110" t="s">
        <v>999</v>
      </c>
      <c r="C526" s="106">
        <v>1.0</v>
      </c>
      <c r="D526" s="149" t="str">
        <f>_xlfn.XLOOKUP(B526,[1]FullDataList!F:F,[1]FullDataList!O:O)</f>
        <v>#ERROR!</v>
      </c>
      <c r="E526" s="110" t="s">
        <v>4055</v>
      </c>
      <c r="H526" s="138"/>
      <c r="J526" s="138"/>
    </row>
    <row r="527" ht="15.75" customHeight="1">
      <c r="A527" s="148">
        <v>46123.0</v>
      </c>
      <c r="B527" s="110" t="s">
        <v>493</v>
      </c>
      <c r="C527" s="106">
        <v>1.0</v>
      </c>
      <c r="D527" s="149" t="str">
        <f>_xlfn.XLOOKUP(B527,[1]FullDataList!F:F,[1]FullDataList!O:O)</f>
        <v>#ERROR!</v>
      </c>
      <c r="E527" s="110" t="s">
        <v>4056</v>
      </c>
      <c r="H527" s="138"/>
      <c r="J527" s="138"/>
    </row>
    <row r="528" ht="15.75" customHeight="1">
      <c r="A528" s="148">
        <v>46123.0</v>
      </c>
      <c r="B528" s="110" t="s">
        <v>1920</v>
      </c>
      <c r="C528" s="106">
        <v>1.0</v>
      </c>
      <c r="D528" s="149" t="str">
        <f>_xlfn.XLOOKUP(B528,[1]FullDataList!F:F,[1]FullDataList!O:O)</f>
        <v>#ERROR!</v>
      </c>
      <c r="E528" s="110" t="s">
        <v>4057</v>
      </c>
      <c r="H528" s="138"/>
      <c r="J528" s="138"/>
    </row>
    <row r="529" ht="15.75" customHeight="1">
      <c r="A529" s="148">
        <v>46123.0</v>
      </c>
      <c r="B529" s="110" t="s">
        <v>2079</v>
      </c>
      <c r="C529" s="106">
        <v>1.0</v>
      </c>
      <c r="D529" s="149" t="str">
        <f>_xlfn.XLOOKUP(B529,[1]FullDataList!F:F,[1]FullDataList!O:O)</f>
        <v>#ERROR!</v>
      </c>
      <c r="E529" s="110" t="s">
        <v>4008</v>
      </c>
      <c r="H529" s="138"/>
      <c r="J529" s="138"/>
    </row>
    <row r="530" ht="15.75" customHeight="1">
      <c r="A530" s="148">
        <v>46123.0</v>
      </c>
      <c r="B530" s="110" t="s">
        <v>432</v>
      </c>
      <c r="C530" s="106">
        <v>1.0</v>
      </c>
      <c r="D530" s="149" t="str">
        <f>_xlfn.XLOOKUP(B530,[1]FullDataList!F:F,[1]FullDataList!O:O)</f>
        <v>#ERROR!</v>
      </c>
      <c r="E530" s="110" t="s">
        <v>4039</v>
      </c>
      <c r="H530" s="138"/>
      <c r="J530" s="138"/>
    </row>
    <row r="531" ht="15.75" customHeight="1">
      <c r="A531" s="148">
        <v>46123.0</v>
      </c>
      <c r="B531" s="110" t="s">
        <v>1368</v>
      </c>
      <c r="C531" s="106">
        <v>1.0</v>
      </c>
      <c r="D531" s="149" t="str">
        <f>_xlfn.XLOOKUP(B531,[1]FullDataList!F:F,[1]FullDataList!O:O)</f>
        <v>#ERROR!</v>
      </c>
      <c r="E531" s="110" t="s">
        <v>4012</v>
      </c>
      <c r="H531" s="138"/>
      <c r="J531" s="138"/>
    </row>
    <row r="532" ht="15.75" customHeight="1">
      <c r="A532" s="148">
        <v>46123.0</v>
      </c>
      <c r="B532" s="110" t="s">
        <v>1357</v>
      </c>
      <c r="C532" s="106">
        <v>1.0</v>
      </c>
      <c r="D532" s="149" t="str">
        <f>_xlfn.XLOOKUP(B532,[1]FullDataList!F:F,[1]FullDataList!O:O)</f>
        <v>#ERROR!</v>
      </c>
      <c r="E532" s="110" t="s">
        <v>4011</v>
      </c>
      <c r="H532" s="138"/>
      <c r="J532" s="138"/>
    </row>
    <row r="533" ht="15.75" customHeight="1">
      <c r="A533" s="148">
        <v>46123.0</v>
      </c>
      <c r="B533" s="110" t="s">
        <v>1488</v>
      </c>
      <c r="C533" s="106">
        <v>1.0</v>
      </c>
      <c r="D533" s="149" t="str">
        <f>_xlfn.XLOOKUP(B533,[1]FullDataList!F:F,[1]FullDataList!O:O)</f>
        <v>#ERROR!</v>
      </c>
      <c r="E533" s="110" t="s">
        <v>4003</v>
      </c>
      <c r="H533" s="138"/>
      <c r="J533" s="138"/>
    </row>
    <row r="534" ht="15.75" customHeight="1">
      <c r="A534" s="148">
        <v>46123.0</v>
      </c>
      <c r="B534" s="110" t="s">
        <v>1133</v>
      </c>
      <c r="C534" s="106">
        <v>1.0</v>
      </c>
      <c r="D534" s="149" t="str">
        <f>_xlfn.XLOOKUP(B534,[1]FullDataList!F:F,[1]FullDataList!O:O)</f>
        <v>#ERROR!</v>
      </c>
      <c r="E534" s="110" t="s">
        <v>4025</v>
      </c>
      <c r="H534" s="138"/>
      <c r="J534" s="138"/>
    </row>
    <row r="535" ht="15.75" customHeight="1">
      <c r="A535" s="148">
        <v>46125.0</v>
      </c>
      <c r="B535" s="110" t="s">
        <v>2017</v>
      </c>
      <c r="C535" s="106">
        <v>1.0</v>
      </c>
      <c r="D535" s="149" t="str">
        <f>_xlfn.XLOOKUP(B535,[1]FullDataList!F:F,[1]FullDataList!O:O)</f>
        <v>#ERROR!</v>
      </c>
      <c r="E535" s="110" t="s">
        <v>4059</v>
      </c>
      <c r="H535" s="138"/>
      <c r="J535" s="138"/>
    </row>
    <row r="536" ht="15.75" customHeight="1">
      <c r="A536" s="148">
        <v>46125.0</v>
      </c>
      <c r="B536" s="110" t="s">
        <v>478</v>
      </c>
      <c r="C536" s="106">
        <v>1.0</v>
      </c>
      <c r="D536" s="149" t="str">
        <f>_xlfn.XLOOKUP(B536,[1]FullDataList!F:F,[1]FullDataList!O:O)</f>
        <v>#ERROR!</v>
      </c>
      <c r="E536" s="110" t="s">
        <v>4026</v>
      </c>
      <c r="H536" s="138"/>
      <c r="J536" s="138"/>
    </row>
    <row r="537" ht="15.75" customHeight="1">
      <c r="A537" s="148">
        <v>46125.0</v>
      </c>
      <c r="B537" s="110" t="s">
        <v>1087</v>
      </c>
      <c r="C537" s="106">
        <v>1.0</v>
      </c>
      <c r="D537" s="149" t="str">
        <f>_xlfn.XLOOKUP(B537,[1]FullDataList!F:F,[1]FullDataList!O:O)</f>
        <v>#ERROR!</v>
      </c>
      <c r="E537" s="110" t="s">
        <v>4028</v>
      </c>
      <c r="H537" s="138"/>
      <c r="J537" s="138"/>
    </row>
    <row r="538" ht="15.75" customHeight="1">
      <c r="A538" s="148">
        <v>46125.0</v>
      </c>
      <c r="B538" s="110" t="s">
        <v>1485</v>
      </c>
      <c r="C538" s="106">
        <v>1.0</v>
      </c>
      <c r="D538" s="149" t="str">
        <f>_xlfn.XLOOKUP(B538,[1]FullDataList!F:F,[1]FullDataList!O:O)</f>
        <v>#ERROR!</v>
      </c>
      <c r="E538" s="110" t="s">
        <v>4060</v>
      </c>
      <c r="H538" s="138"/>
      <c r="J538" s="138"/>
    </row>
    <row r="539" ht="15.75" customHeight="1">
      <c r="A539" s="148">
        <v>46125.0</v>
      </c>
      <c r="B539" s="110" t="s">
        <v>698</v>
      </c>
      <c r="C539" s="106">
        <v>1.0</v>
      </c>
      <c r="D539" s="149" t="str">
        <f>_xlfn.XLOOKUP(B539,[1]FullDataList!F:F,[1]FullDataList!O:O)</f>
        <v>#ERROR!</v>
      </c>
      <c r="E539" s="110" t="s">
        <v>4037</v>
      </c>
      <c r="H539" s="138"/>
      <c r="J539" s="138"/>
    </row>
    <row r="540" ht="15.75" customHeight="1">
      <c r="A540" s="148">
        <v>46125.0</v>
      </c>
      <c r="B540" s="110" t="s">
        <v>1639</v>
      </c>
      <c r="C540" s="106">
        <v>1.0</v>
      </c>
      <c r="D540" s="149" t="str">
        <f>_xlfn.XLOOKUP(B540,[1]FullDataList!F:F,[1]FullDataList!O:O)</f>
        <v>#ERROR!</v>
      </c>
      <c r="E540" s="110" t="s">
        <v>4049</v>
      </c>
      <c r="H540" s="138"/>
      <c r="J540" s="138"/>
    </row>
    <row r="541" ht="15.75" customHeight="1">
      <c r="A541" s="148">
        <v>46125.0</v>
      </c>
      <c r="B541" s="110" t="s">
        <v>695</v>
      </c>
      <c r="C541" s="106">
        <v>1.0</v>
      </c>
      <c r="D541" s="149" t="str">
        <f>_xlfn.XLOOKUP(B541,[1]FullDataList!F:F,[1]FullDataList!O:O)</f>
        <v>#ERROR!</v>
      </c>
      <c r="E541" s="110" t="s">
        <v>4051</v>
      </c>
      <c r="H541" s="138"/>
      <c r="J541" s="138"/>
    </row>
    <row r="542" ht="15.75" customHeight="1">
      <c r="A542" s="148">
        <v>46125.0</v>
      </c>
      <c r="B542" s="110" t="s">
        <v>2041</v>
      </c>
      <c r="C542" s="106">
        <v>1.0</v>
      </c>
      <c r="D542" s="149" t="str">
        <f>_xlfn.XLOOKUP(B542,[1]FullDataList!F:F,[1]FullDataList!O:O)</f>
        <v>#ERROR!</v>
      </c>
      <c r="E542" s="110" t="s">
        <v>4050</v>
      </c>
      <c r="H542" s="138"/>
      <c r="J542" s="138"/>
    </row>
    <row r="543" ht="15.75" customHeight="1">
      <c r="A543" s="148">
        <v>46125.0</v>
      </c>
      <c r="B543" s="110" t="s">
        <v>497</v>
      </c>
      <c r="C543" s="106">
        <v>1.0</v>
      </c>
      <c r="D543" s="149" t="str">
        <f>_xlfn.XLOOKUP(B543,[1]FullDataList!F:F,[1]FullDataList!O:O)</f>
        <v>#ERROR!</v>
      </c>
      <c r="E543" s="110" t="s">
        <v>4052</v>
      </c>
      <c r="H543" s="138"/>
      <c r="J543" s="138"/>
    </row>
    <row r="544" ht="15.75" customHeight="1">
      <c r="A544" s="148">
        <v>46125.0</v>
      </c>
      <c r="B544" s="110" t="s">
        <v>720</v>
      </c>
      <c r="C544" s="106">
        <v>1.0</v>
      </c>
      <c r="D544" s="149" t="str">
        <f>_xlfn.XLOOKUP(B544,[1]FullDataList!F:F,[1]FullDataList!O:O)</f>
        <v>#ERROR!</v>
      </c>
      <c r="E544" s="110" t="s">
        <v>4053</v>
      </c>
      <c r="H544" s="138"/>
      <c r="J544" s="138"/>
    </row>
    <row r="545" ht="15.75" customHeight="1">
      <c r="A545" s="148">
        <v>46125.0</v>
      </c>
      <c r="B545" s="110" t="s">
        <v>2011</v>
      </c>
      <c r="C545" s="106">
        <v>1.0</v>
      </c>
      <c r="D545" s="149" t="str">
        <f>_xlfn.XLOOKUP(B545,[1]FullDataList!F:F,[1]FullDataList!O:O)</f>
        <v>#ERROR!</v>
      </c>
      <c r="E545" s="110" t="s">
        <v>4004</v>
      </c>
      <c r="H545" s="138"/>
      <c r="J545" s="138"/>
    </row>
    <row r="546" ht="15.75" customHeight="1">
      <c r="A546" s="148">
        <v>46125.0</v>
      </c>
      <c r="B546" s="110" t="s">
        <v>994</v>
      </c>
      <c r="C546" s="106">
        <v>1.0</v>
      </c>
      <c r="D546" s="149" t="str">
        <f>_xlfn.XLOOKUP(B546,[1]FullDataList!F:F,[1]FullDataList!O:O)</f>
        <v>#ERROR!</v>
      </c>
      <c r="E546" s="110" t="s">
        <v>4009</v>
      </c>
      <c r="H546" s="138"/>
      <c r="J546" s="138"/>
    </row>
    <row r="547" ht="15.75" customHeight="1">
      <c r="A547" s="148">
        <v>46125.0</v>
      </c>
      <c r="B547" s="110" t="s">
        <v>2062</v>
      </c>
      <c r="C547" s="106">
        <v>1.0</v>
      </c>
      <c r="D547" s="149" t="str">
        <f>_xlfn.XLOOKUP(B547,[1]FullDataList!F:F,[1]FullDataList!O:O)</f>
        <v>#ERROR!</v>
      </c>
      <c r="E547" s="110" t="s">
        <v>4040</v>
      </c>
      <c r="H547" s="138"/>
      <c r="J547" s="138"/>
    </row>
    <row r="548" ht="15.75" customHeight="1">
      <c r="A548" s="148">
        <v>46125.0</v>
      </c>
      <c r="B548" s="110" t="s">
        <v>1628</v>
      </c>
      <c r="C548" s="106">
        <v>1.0</v>
      </c>
      <c r="D548" s="149" t="str">
        <f>_xlfn.XLOOKUP(B548,[1]FullDataList!F:F,[1]FullDataList!O:O)</f>
        <v>#ERROR!</v>
      </c>
      <c r="E548" s="110" t="s">
        <v>4032</v>
      </c>
      <c r="H548" s="138"/>
      <c r="J548" s="138"/>
    </row>
    <row r="549" ht="15.75" customHeight="1">
      <c r="A549" s="148">
        <v>46125.0</v>
      </c>
      <c r="B549" s="110" t="s">
        <v>2071</v>
      </c>
      <c r="C549" s="106">
        <v>1.0</v>
      </c>
      <c r="D549" s="149" t="str">
        <f>_xlfn.XLOOKUP(B549,[1]FullDataList!F:F,[1]FullDataList!O:O)</f>
        <v>#ERROR!</v>
      </c>
      <c r="E549" s="110" t="s">
        <v>4042</v>
      </c>
      <c r="H549" s="138"/>
      <c r="J549" s="138"/>
    </row>
    <row r="550" ht="15.75" customHeight="1">
      <c r="A550" s="148">
        <v>46125.0</v>
      </c>
      <c r="B550" s="110" t="s">
        <v>1957</v>
      </c>
      <c r="C550" s="106">
        <v>1.0</v>
      </c>
      <c r="D550" s="149" t="str">
        <f>_xlfn.XLOOKUP(B550,[1]FullDataList!F:F,[1]FullDataList!O:O)</f>
        <v>#ERROR!</v>
      </c>
      <c r="E550" s="110" t="s">
        <v>4044</v>
      </c>
      <c r="H550" s="138"/>
      <c r="J550" s="138"/>
    </row>
    <row r="551" ht="15.75" customHeight="1">
      <c r="A551" s="148">
        <v>46125.0</v>
      </c>
      <c r="B551" s="110" t="s">
        <v>711</v>
      </c>
      <c r="C551" s="106">
        <v>1.0</v>
      </c>
      <c r="D551" s="149" t="str">
        <f>_xlfn.XLOOKUP(B551,[1]FullDataList!F:F,[1]FullDataList!O:O)</f>
        <v>#ERROR!</v>
      </c>
      <c r="E551" s="110" t="s">
        <v>4027</v>
      </c>
      <c r="H551" s="138"/>
      <c r="J551" s="138"/>
    </row>
    <row r="552" ht="15.75" customHeight="1">
      <c r="A552" s="148">
        <v>46125.0</v>
      </c>
      <c r="B552" s="110" t="s">
        <v>1922</v>
      </c>
      <c r="C552" s="106">
        <v>1.0</v>
      </c>
      <c r="D552" s="149" t="str">
        <f>_xlfn.XLOOKUP(B552,[1]FullDataList!F:F,[1]FullDataList!O:O)</f>
        <v>#ERROR!</v>
      </c>
      <c r="E552" s="110" t="s">
        <v>4043</v>
      </c>
      <c r="H552" s="138"/>
      <c r="J552" s="138"/>
    </row>
    <row r="553" ht="15.75" customHeight="1">
      <c r="A553" s="148">
        <v>46125.0</v>
      </c>
      <c r="B553" s="110" t="s">
        <v>1513</v>
      </c>
      <c r="C553" s="106">
        <v>1.0</v>
      </c>
      <c r="D553" s="149" t="str">
        <f>_xlfn.XLOOKUP(B553,[1]FullDataList!F:F,[1]FullDataList!O:O)</f>
        <v>#ERROR!</v>
      </c>
      <c r="E553" s="110" t="s">
        <v>4055</v>
      </c>
      <c r="H553" s="138"/>
      <c r="J553" s="138"/>
    </row>
    <row r="554" ht="15.75" customHeight="1">
      <c r="A554" s="148">
        <v>46125.0</v>
      </c>
      <c r="B554" s="110" t="s">
        <v>2083</v>
      </c>
      <c r="C554" s="106">
        <v>1.0</v>
      </c>
      <c r="D554" s="149" t="str">
        <f>_xlfn.XLOOKUP(B554,[1]FullDataList!F:F,[1]FullDataList!O:O)</f>
        <v>#ERROR!</v>
      </c>
      <c r="E554" s="110" t="s">
        <v>4013</v>
      </c>
      <c r="H554" s="138"/>
      <c r="J554" s="138"/>
    </row>
    <row r="555" ht="15.75" customHeight="1">
      <c r="A555" s="148">
        <v>46125.0</v>
      </c>
      <c r="B555" s="110" t="s">
        <v>494</v>
      </c>
      <c r="C555" s="106">
        <v>1.0</v>
      </c>
      <c r="D555" s="149" t="str">
        <f>_xlfn.XLOOKUP(B555,[1]FullDataList!F:F,[1]FullDataList!O:O)</f>
        <v>#ERROR!</v>
      </c>
      <c r="E555" s="110" t="s">
        <v>4056</v>
      </c>
      <c r="H555" s="138"/>
      <c r="J555" s="138"/>
    </row>
    <row r="556" ht="15.75" customHeight="1">
      <c r="A556" s="148">
        <v>46125.0</v>
      </c>
      <c r="B556" s="110" t="s">
        <v>508</v>
      </c>
      <c r="C556" s="106">
        <v>1.0</v>
      </c>
      <c r="D556" s="149" t="str">
        <f>_xlfn.XLOOKUP(B556,[1]FullDataList!F:F,[1]FullDataList!O:O)</f>
        <v>#ERROR!</v>
      </c>
      <c r="E556" s="110" t="s">
        <v>4057</v>
      </c>
      <c r="H556" s="138"/>
      <c r="J556" s="138"/>
    </row>
    <row r="557" ht="15.75" customHeight="1">
      <c r="A557" s="148">
        <v>46125.0</v>
      </c>
      <c r="B557" s="110" t="s">
        <v>2097</v>
      </c>
      <c r="C557" s="106">
        <v>1.0</v>
      </c>
      <c r="D557" s="149" t="str">
        <f>_xlfn.XLOOKUP(B557,[1]FullDataList!F:F,[1]FullDataList!O:O)</f>
        <v>#ERROR!</v>
      </c>
      <c r="E557" s="110" t="s">
        <v>4008</v>
      </c>
      <c r="H557" s="138"/>
      <c r="J557" s="138"/>
    </row>
    <row r="558" ht="15.75" customHeight="1">
      <c r="A558" s="148">
        <v>46125.0</v>
      </c>
      <c r="B558" s="110" t="s">
        <v>529</v>
      </c>
      <c r="C558" s="106">
        <v>1.0</v>
      </c>
      <c r="D558" s="149" t="str">
        <f>_xlfn.XLOOKUP(B558,[1]FullDataList!F:F,[1]FullDataList!O:O)</f>
        <v>#ERROR!</v>
      </c>
      <c r="E558" s="110" t="s">
        <v>4039</v>
      </c>
      <c r="H558" s="138"/>
      <c r="J558" s="138"/>
    </row>
    <row r="559" ht="15.75" customHeight="1">
      <c r="A559" s="148">
        <v>46125.0</v>
      </c>
      <c r="B559" s="110" t="s">
        <v>1589</v>
      </c>
      <c r="C559" s="106">
        <v>1.0</v>
      </c>
      <c r="D559" s="149" t="str">
        <f>_xlfn.XLOOKUP(B559,[1]FullDataList!F:F,[1]FullDataList!O:O)</f>
        <v>#ERROR!</v>
      </c>
      <c r="E559" s="110" t="s">
        <v>4012</v>
      </c>
      <c r="H559" s="138"/>
      <c r="J559" s="138"/>
    </row>
    <row r="560" ht="15.75" customHeight="1">
      <c r="A560" s="148">
        <v>46125.0</v>
      </c>
      <c r="B560" s="110" t="s">
        <v>1933</v>
      </c>
      <c r="C560" s="106">
        <v>1.0</v>
      </c>
      <c r="D560" s="149" t="str">
        <f>_xlfn.XLOOKUP(B560,[1]FullDataList!F:F,[1]FullDataList!O:O)</f>
        <v>#ERROR!</v>
      </c>
      <c r="E560" s="110" t="s">
        <v>4041</v>
      </c>
      <c r="H560" s="138"/>
      <c r="J560" s="138"/>
    </row>
    <row r="561" ht="15.75" customHeight="1">
      <c r="A561" s="148">
        <v>46125.0</v>
      </c>
      <c r="B561" s="110" t="s">
        <v>1592</v>
      </c>
      <c r="C561" s="106">
        <v>1.0</v>
      </c>
      <c r="D561" s="149" t="str">
        <f>_xlfn.XLOOKUP(B561,[1]FullDataList!F:F,[1]FullDataList!O:O)</f>
        <v>#ERROR!</v>
      </c>
      <c r="E561" s="110" t="s">
        <v>4058</v>
      </c>
      <c r="H561" s="138"/>
      <c r="J561" s="138"/>
    </row>
    <row r="562" ht="15.75" customHeight="1">
      <c r="A562" s="148">
        <v>46125.0</v>
      </c>
      <c r="B562" s="110" t="s">
        <v>2093</v>
      </c>
      <c r="C562" s="106">
        <v>1.0</v>
      </c>
      <c r="D562" s="149" t="str">
        <f>_xlfn.XLOOKUP(B562,[1]FullDataList!F:F,[1]FullDataList!O:O)</f>
        <v>#ERROR!</v>
      </c>
      <c r="E562" s="110" t="s">
        <v>4011</v>
      </c>
      <c r="H562" s="138"/>
      <c r="J562" s="138"/>
    </row>
    <row r="563" ht="15.75" customHeight="1">
      <c r="A563" s="148">
        <v>46125.0</v>
      </c>
      <c r="B563" s="110" t="s">
        <v>1489</v>
      </c>
      <c r="C563" s="106">
        <v>1.0</v>
      </c>
      <c r="D563" s="149" t="str">
        <f>_xlfn.XLOOKUP(B563,[1]FullDataList!F:F,[1]FullDataList!O:O)</f>
        <v>#ERROR!</v>
      </c>
      <c r="E563" s="110" t="s">
        <v>4003</v>
      </c>
      <c r="H563" s="138"/>
      <c r="J563" s="138"/>
    </row>
    <row r="564" ht="15.75" customHeight="1">
      <c r="A564" s="148">
        <v>46125.0</v>
      </c>
      <c r="B564" s="110" t="s">
        <v>1134</v>
      </c>
      <c r="C564" s="106">
        <v>1.0</v>
      </c>
      <c r="D564" s="149" t="str">
        <f>_xlfn.XLOOKUP(B564,[1]FullDataList!F:F,[1]FullDataList!O:O)</f>
        <v>#ERROR!</v>
      </c>
      <c r="E564" s="110" t="s">
        <v>4025</v>
      </c>
      <c r="H564" s="138"/>
      <c r="J564" s="138"/>
    </row>
    <row r="565" ht="15.75" customHeight="1">
      <c r="A565" s="148">
        <v>46126.0</v>
      </c>
      <c r="B565" s="110" t="s">
        <v>2018</v>
      </c>
      <c r="C565" s="106">
        <v>1.0</v>
      </c>
      <c r="D565" s="149" t="str">
        <f>_xlfn.XLOOKUP(B565,[1]FullDataList!F:F,[1]FullDataList!O:O)</f>
        <v>#ERROR!</v>
      </c>
      <c r="E565" s="110" t="s">
        <v>4059</v>
      </c>
      <c r="H565" s="138"/>
      <c r="J565" s="138"/>
    </row>
    <row r="566" ht="15.75" customHeight="1">
      <c r="A566" s="148">
        <v>46126.0</v>
      </c>
      <c r="B566" s="110" t="s">
        <v>479</v>
      </c>
      <c r="C566" s="106">
        <v>1.0</v>
      </c>
      <c r="D566" s="149" t="str">
        <f>_xlfn.XLOOKUP(B566,[1]FullDataList!F:F,[1]FullDataList!O:O)</f>
        <v>#ERROR!</v>
      </c>
      <c r="E566" s="110" t="s">
        <v>4026</v>
      </c>
      <c r="H566" s="138"/>
      <c r="J566" s="138"/>
    </row>
    <row r="567" ht="15.75" customHeight="1">
      <c r="A567" s="148">
        <v>46126.0</v>
      </c>
      <c r="B567" s="110" t="s">
        <v>1088</v>
      </c>
      <c r="C567" s="106">
        <v>1.0</v>
      </c>
      <c r="D567" s="149" t="str">
        <f>_xlfn.XLOOKUP(B567,[1]FullDataList!F:F,[1]FullDataList!O:O)</f>
        <v>#ERROR!</v>
      </c>
      <c r="E567" s="110" t="s">
        <v>4028</v>
      </c>
      <c r="H567" s="138"/>
      <c r="J567" s="138"/>
    </row>
    <row r="568" ht="15.75" customHeight="1">
      <c r="A568" s="148">
        <v>46126.0</v>
      </c>
      <c r="B568" s="110" t="s">
        <v>2056</v>
      </c>
      <c r="C568" s="106">
        <v>1.0</v>
      </c>
      <c r="D568" s="149" t="str">
        <f>_xlfn.XLOOKUP(B568,[1]FullDataList!F:F,[1]FullDataList!O:O)</f>
        <v>#ERROR!</v>
      </c>
      <c r="E568" s="110" t="s">
        <v>4047</v>
      </c>
      <c r="H568" s="138"/>
      <c r="J568" s="138"/>
    </row>
    <row r="569" ht="15.75" customHeight="1">
      <c r="A569" s="148">
        <v>46126.0</v>
      </c>
      <c r="B569" s="110" t="s">
        <v>1981</v>
      </c>
      <c r="C569" s="106">
        <v>1.0</v>
      </c>
      <c r="D569" s="149" t="str">
        <f>_xlfn.XLOOKUP(B569,[1]FullDataList!F:F,[1]FullDataList!O:O)</f>
        <v>#ERROR!</v>
      </c>
      <c r="E569" s="110" t="s">
        <v>4048</v>
      </c>
      <c r="H569" s="138"/>
      <c r="J569" s="138"/>
    </row>
    <row r="570" ht="15.75" customHeight="1">
      <c r="A570" s="148">
        <v>46126.0</v>
      </c>
      <c r="B570" s="110" t="s">
        <v>1362</v>
      </c>
      <c r="C570" s="106">
        <v>1.0</v>
      </c>
      <c r="D570" s="149" t="str">
        <f>_xlfn.XLOOKUP(B570,[1]FullDataList!F:F,[1]FullDataList!O:O)</f>
        <v>#ERROR!</v>
      </c>
      <c r="E570" s="110" t="s">
        <v>4054</v>
      </c>
      <c r="H570" s="138"/>
      <c r="J570" s="138"/>
    </row>
    <row r="571" ht="15.75" customHeight="1">
      <c r="A571" s="148">
        <v>46126.0</v>
      </c>
      <c r="B571" s="110" t="s">
        <v>827</v>
      </c>
      <c r="C571" s="106">
        <v>1.0</v>
      </c>
      <c r="D571" s="149" t="str">
        <f>_xlfn.XLOOKUP(B571,[1]FullDataList!F:F,[1]FullDataList!O:O)</f>
        <v>#ERROR!</v>
      </c>
      <c r="E571" s="110" t="s">
        <v>4051</v>
      </c>
      <c r="H571" s="138"/>
      <c r="J571" s="138"/>
    </row>
    <row r="572" ht="15.75" customHeight="1">
      <c r="A572" s="148">
        <v>46126.0</v>
      </c>
      <c r="B572" s="110" t="s">
        <v>498</v>
      </c>
      <c r="C572" s="106">
        <v>1.0</v>
      </c>
      <c r="D572" s="149" t="str">
        <f>_xlfn.XLOOKUP(B572,[1]FullDataList!F:F,[1]FullDataList!O:O)</f>
        <v>#ERROR!</v>
      </c>
      <c r="E572" s="110" t="s">
        <v>4052</v>
      </c>
      <c r="H572" s="138"/>
      <c r="J572" s="138"/>
    </row>
    <row r="573" ht="15.75" customHeight="1">
      <c r="A573" s="148">
        <v>46126.0</v>
      </c>
      <c r="B573" s="110" t="s">
        <v>721</v>
      </c>
      <c r="C573" s="106">
        <v>1.0</v>
      </c>
      <c r="D573" s="149" t="str">
        <f>_xlfn.XLOOKUP(B573,[1]FullDataList!F:F,[1]FullDataList!O:O)</f>
        <v>#ERROR!</v>
      </c>
      <c r="E573" s="110" t="s">
        <v>4053</v>
      </c>
      <c r="H573" s="138"/>
      <c r="J573" s="138"/>
    </row>
    <row r="574" ht="15.75" customHeight="1">
      <c r="A574" s="148">
        <v>46126.0</v>
      </c>
      <c r="B574" s="110" t="s">
        <v>2026</v>
      </c>
      <c r="C574" s="106">
        <v>1.0</v>
      </c>
      <c r="D574" s="149" t="str">
        <f>_xlfn.XLOOKUP(B574,[1]FullDataList!F:F,[1]FullDataList!O:O)</f>
        <v>#ERROR!</v>
      </c>
      <c r="E574" s="110" t="s">
        <v>4004</v>
      </c>
      <c r="H574" s="138"/>
      <c r="J574" s="138"/>
    </row>
    <row r="575" ht="15.75" customHeight="1">
      <c r="A575" s="148">
        <v>46126.0</v>
      </c>
      <c r="B575" s="110" t="s">
        <v>1519</v>
      </c>
      <c r="C575" s="106">
        <v>1.0</v>
      </c>
      <c r="D575" s="149" t="str">
        <f>_xlfn.XLOOKUP(B575,[1]FullDataList!F:F,[1]FullDataList!O:O)</f>
        <v>#ERROR!</v>
      </c>
      <c r="E575" s="110" t="s">
        <v>4009</v>
      </c>
      <c r="H575" s="138"/>
      <c r="J575" s="138"/>
    </row>
    <row r="576" ht="15.75" customHeight="1">
      <c r="A576" s="148">
        <v>46126.0</v>
      </c>
      <c r="B576" s="110" t="s">
        <v>2063</v>
      </c>
      <c r="C576" s="106">
        <v>1.0</v>
      </c>
      <c r="D576" s="149" t="str">
        <f>_xlfn.XLOOKUP(B576,[1]FullDataList!F:F,[1]FullDataList!O:O)</f>
        <v>#ERROR!</v>
      </c>
      <c r="E576" s="110" t="s">
        <v>4040</v>
      </c>
      <c r="H576" s="138"/>
      <c r="J576" s="138"/>
    </row>
    <row r="577" ht="15.75" customHeight="1">
      <c r="A577" s="148">
        <v>46126.0</v>
      </c>
      <c r="B577" s="110" t="s">
        <v>1973</v>
      </c>
      <c r="C577" s="106">
        <v>1.0</v>
      </c>
      <c r="D577" s="149" t="str">
        <f>_xlfn.XLOOKUP(B577,[1]FullDataList!F:F,[1]FullDataList!O:O)</f>
        <v>#ERROR!</v>
      </c>
      <c r="E577" s="110" t="s">
        <v>4044</v>
      </c>
      <c r="H577" s="138"/>
      <c r="J577" s="138"/>
    </row>
    <row r="578" ht="15.75" customHeight="1">
      <c r="A578" s="148">
        <v>46126.0</v>
      </c>
      <c r="B578" s="110" t="s">
        <v>678</v>
      </c>
      <c r="C578" s="106">
        <v>1.0</v>
      </c>
      <c r="D578" s="149" t="str">
        <f>_xlfn.XLOOKUP(B578,[1]FullDataList!F:F,[1]FullDataList!O:O)</f>
        <v>#ERROR!</v>
      </c>
      <c r="E578" s="110" t="s">
        <v>4017</v>
      </c>
      <c r="H578" s="138"/>
      <c r="J578" s="138"/>
    </row>
    <row r="579" ht="15.75" customHeight="1">
      <c r="A579" s="148">
        <v>46126.0</v>
      </c>
      <c r="B579" s="110" t="s">
        <v>509</v>
      </c>
      <c r="C579" s="106">
        <v>1.0</v>
      </c>
      <c r="D579" s="149" t="str">
        <f>_xlfn.XLOOKUP(B579,[1]FullDataList!F:F,[1]FullDataList!O:O)</f>
        <v>#ERROR!</v>
      </c>
      <c r="E579" s="110" t="s">
        <v>4057</v>
      </c>
      <c r="H579" s="138"/>
      <c r="J579" s="138"/>
    </row>
    <row r="580" ht="15.75" customHeight="1">
      <c r="A580" s="148">
        <v>46126.0</v>
      </c>
      <c r="B580" s="110" t="s">
        <v>2030</v>
      </c>
      <c r="C580" s="106">
        <v>1.0</v>
      </c>
      <c r="D580" s="149" t="str">
        <f>_xlfn.XLOOKUP(B580,[1]FullDataList!F:F,[1]FullDataList!O:O)</f>
        <v>#ERROR!</v>
      </c>
      <c r="E580" s="110" t="s">
        <v>4008</v>
      </c>
      <c r="H580" s="138"/>
      <c r="J580" s="138"/>
    </row>
    <row r="581" ht="15.75" customHeight="1">
      <c r="A581" s="148">
        <v>46126.0</v>
      </c>
      <c r="B581" s="110" t="s">
        <v>466</v>
      </c>
      <c r="C581" s="106">
        <v>1.0</v>
      </c>
      <c r="D581" s="149" t="str">
        <f>_xlfn.XLOOKUP(B581,[1]FullDataList!F:F,[1]FullDataList!O:O)</f>
        <v>#ERROR!</v>
      </c>
      <c r="E581" s="110" t="s">
        <v>4039</v>
      </c>
      <c r="H581" s="138"/>
      <c r="J581" s="138"/>
    </row>
    <row r="582" ht="15.75" customHeight="1">
      <c r="A582" s="148">
        <v>46126.0</v>
      </c>
      <c r="B582" s="110" t="s">
        <v>1039</v>
      </c>
      <c r="C582" s="106">
        <v>1.0</v>
      </c>
      <c r="D582" s="149" t="str">
        <f>_xlfn.XLOOKUP(B582,[1]FullDataList!F:F,[1]FullDataList!O:O)</f>
        <v>#ERROR!</v>
      </c>
      <c r="E582" s="110" t="s">
        <v>4058</v>
      </c>
      <c r="H582" s="138"/>
      <c r="J582" s="138"/>
    </row>
    <row r="583" ht="15.75" customHeight="1">
      <c r="A583" s="148">
        <v>46126.0</v>
      </c>
      <c r="B583" s="110" t="s">
        <v>2050</v>
      </c>
      <c r="C583" s="106">
        <v>1.0</v>
      </c>
      <c r="D583" s="149" t="str">
        <f>_xlfn.XLOOKUP(B583,[1]FullDataList!F:F,[1]FullDataList!O:O)</f>
        <v>#ERROR!</v>
      </c>
      <c r="E583" s="110" t="s">
        <v>4003</v>
      </c>
      <c r="H583" s="138"/>
      <c r="J583" s="138"/>
    </row>
    <row r="584" ht="15.75" customHeight="1">
      <c r="A584" s="148">
        <v>46127.0</v>
      </c>
      <c r="B584" s="110" t="s">
        <v>2019</v>
      </c>
      <c r="C584" s="106">
        <v>1.0</v>
      </c>
      <c r="D584" s="149" t="str">
        <f>_xlfn.XLOOKUP(B584,[1]FullDataList!F:F,[1]FullDataList!O:O)</f>
        <v>#ERROR!</v>
      </c>
      <c r="E584" s="110" t="s">
        <v>4059</v>
      </c>
      <c r="H584" s="138"/>
      <c r="J584" s="138"/>
    </row>
    <row r="585" ht="15.75" customHeight="1">
      <c r="A585" s="148">
        <v>46127.0</v>
      </c>
      <c r="B585" s="110" t="s">
        <v>480</v>
      </c>
      <c r="C585" s="106">
        <v>1.0</v>
      </c>
      <c r="D585" s="149" t="str">
        <f>_xlfn.XLOOKUP(B585,[1]FullDataList!F:F,[1]FullDataList!O:O)</f>
        <v>#ERROR!</v>
      </c>
      <c r="E585" s="110" t="s">
        <v>4026</v>
      </c>
      <c r="H585" s="138"/>
      <c r="J585" s="138"/>
    </row>
    <row r="586" ht="15.75" customHeight="1">
      <c r="A586" s="148">
        <v>46127.0</v>
      </c>
      <c r="B586" s="110" t="s">
        <v>2066</v>
      </c>
      <c r="C586" s="106">
        <v>1.0</v>
      </c>
      <c r="D586" s="149" t="str">
        <f>_xlfn.XLOOKUP(B586,[1]FullDataList!F:F,[1]FullDataList!O:O)</f>
        <v>#ERROR!</v>
      </c>
      <c r="E586" s="110" t="s">
        <v>4028</v>
      </c>
      <c r="H586" s="138"/>
      <c r="J586" s="138"/>
    </row>
    <row r="587" ht="15.75" customHeight="1">
      <c r="A587" s="148">
        <v>46127.0</v>
      </c>
      <c r="B587" s="110" t="s">
        <v>525</v>
      </c>
      <c r="C587" s="106">
        <v>1.0</v>
      </c>
      <c r="D587" s="149" t="str">
        <f>_xlfn.XLOOKUP(B587,[1]FullDataList!F:F,[1]FullDataList!O:O)</f>
        <v>#ERROR!</v>
      </c>
      <c r="E587" s="110" t="s">
        <v>4060</v>
      </c>
      <c r="H587" s="138"/>
      <c r="J587" s="138"/>
    </row>
    <row r="588" ht="15.75" customHeight="1">
      <c r="A588" s="148">
        <v>46127.0</v>
      </c>
      <c r="B588" s="110" t="s">
        <v>723</v>
      </c>
      <c r="C588" s="106">
        <v>1.0</v>
      </c>
      <c r="D588" s="149" t="str">
        <f>_xlfn.XLOOKUP(B588,[1]FullDataList!F:F,[1]FullDataList!O:O)</f>
        <v>#ERROR!</v>
      </c>
      <c r="E588" s="110" t="s">
        <v>4037</v>
      </c>
      <c r="H588" s="138"/>
      <c r="J588" s="138"/>
    </row>
    <row r="589" ht="15.75" customHeight="1">
      <c r="A589" s="148">
        <v>46127.0</v>
      </c>
      <c r="B589" s="110" t="s">
        <v>1358</v>
      </c>
      <c r="C589" s="106">
        <v>1.0</v>
      </c>
      <c r="D589" s="149" t="str">
        <f>_xlfn.XLOOKUP(B589,[1]FullDataList!F:F,[1]FullDataList!O:O)</f>
        <v>#ERROR!</v>
      </c>
      <c r="E589" s="110" t="s">
        <v>4054</v>
      </c>
      <c r="H589" s="138"/>
      <c r="J589" s="138"/>
    </row>
    <row r="590" ht="15.75" customHeight="1">
      <c r="A590" s="148">
        <v>46127.0</v>
      </c>
      <c r="B590" s="110" t="s">
        <v>524</v>
      </c>
      <c r="C590" s="106">
        <v>1.0</v>
      </c>
      <c r="D590" s="149" t="str">
        <f>_xlfn.XLOOKUP(B590,[1]FullDataList!F:F,[1]FullDataList!O:O)</f>
        <v>#ERROR!</v>
      </c>
      <c r="E590" s="110" t="s">
        <v>4049</v>
      </c>
      <c r="H590" s="138"/>
      <c r="J590" s="138"/>
    </row>
    <row r="591" ht="15.75" customHeight="1">
      <c r="A591" s="148">
        <v>46127.0</v>
      </c>
      <c r="B591" s="110" t="s">
        <v>2057</v>
      </c>
      <c r="C591" s="106">
        <v>1.0</v>
      </c>
      <c r="D591" s="149" t="str">
        <f>_xlfn.XLOOKUP(B591,[1]FullDataList!F:F,[1]FullDataList!O:O)</f>
        <v>#ERROR!</v>
      </c>
      <c r="E591" s="110" t="s">
        <v>4050</v>
      </c>
      <c r="H591" s="138"/>
      <c r="J591" s="138"/>
    </row>
    <row r="592" ht="15.75" customHeight="1">
      <c r="A592" s="148">
        <v>46127.0</v>
      </c>
      <c r="B592" s="110" t="s">
        <v>874</v>
      </c>
      <c r="C592" s="106">
        <v>1.0</v>
      </c>
      <c r="D592" s="149" t="str">
        <f>_xlfn.XLOOKUP(B592,[1]FullDataList!F:F,[1]FullDataList!O:O)</f>
        <v>#ERROR!</v>
      </c>
      <c r="E592" s="110" t="s">
        <v>4052</v>
      </c>
      <c r="H592" s="138"/>
      <c r="J592" s="138"/>
    </row>
    <row r="593" ht="15.75" customHeight="1">
      <c r="A593" s="148">
        <v>46127.0</v>
      </c>
      <c r="B593" s="110" t="s">
        <v>1970</v>
      </c>
      <c r="C593" s="106">
        <v>1.0</v>
      </c>
      <c r="D593" s="149" t="str">
        <f>_xlfn.XLOOKUP(B593,[1]FullDataList!F:F,[1]FullDataList!O:O)</f>
        <v>#ERROR!</v>
      </c>
      <c r="E593" s="110" t="s">
        <v>4053</v>
      </c>
      <c r="H593" s="138"/>
      <c r="J593" s="138"/>
    </row>
    <row r="594" ht="15.75" customHeight="1">
      <c r="A594" s="148">
        <v>46127.0</v>
      </c>
      <c r="B594" s="110" t="s">
        <v>2042</v>
      </c>
      <c r="C594" s="106">
        <v>1.0</v>
      </c>
      <c r="D594" s="149" t="str">
        <f>_xlfn.XLOOKUP(B594,[1]FullDataList!F:F,[1]FullDataList!O:O)</f>
        <v>#ERROR!</v>
      </c>
      <c r="E594" s="110" t="s">
        <v>4004</v>
      </c>
      <c r="H594" s="138"/>
      <c r="J594" s="138"/>
    </row>
    <row r="595" ht="15.75" customHeight="1">
      <c r="A595" s="148">
        <v>46127.0</v>
      </c>
      <c r="B595" s="110" t="s">
        <v>980</v>
      </c>
      <c r="C595" s="106">
        <v>1.0</v>
      </c>
      <c r="D595" s="149" t="str">
        <f>_xlfn.XLOOKUP(B595,[1]FullDataList!F:F,[1]FullDataList!O:O)</f>
        <v>#ERROR!</v>
      </c>
      <c r="E595" s="110" t="s">
        <v>4009</v>
      </c>
      <c r="H595" s="138"/>
      <c r="J595" s="138"/>
    </row>
    <row r="596" ht="15.75" customHeight="1">
      <c r="A596" s="148">
        <v>46127.0</v>
      </c>
      <c r="B596" s="110" t="s">
        <v>2064</v>
      </c>
      <c r="C596" s="106">
        <v>1.0</v>
      </c>
      <c r="D596" s="149" t="str">
        <f>_xlfn.XLOOKUP(B596,[1]FullDataList!F:F,[1]FullDataList!O:O)</f>
        <v>#ERROR!</v>
      </c>
      <c r="E596" s="110" t="s">
        <v>4040</v>
      </c>
      <c r="H596" s="138"/>
      <c r="J596" s="138"/>
    </row>
    <row r="597" ht="15.75" customHeight="1">
      <c r="A597" s="148">
        <v>46127.0</v>
      </c>
      <c r="B597" s="110" t="s">
        <v>1629</v>
      </c>
      <c r="C597" s="106">
        <v>1.0</v>
      </c>
      <c r="D597" s="149" t="str">
        <f>_xlfn.XLOOKUP(B597,[1]FullDataList!F:F,[1]FullDataList!O:O)</f>
        <v>#ERROR!</v>
      </c>
      <c r="E597" s="110" t="s">
        <v>4032</v>
      </c>
      <c r="H597" s="138"/>
      <c r="J597" s="138"/>
    </row>
    <row r="598" ht="15.75" customHeight="1">
      <c r="A598" s="148">
        <v>46127.0</v>
      </c>
      <c r="B598" s="110" t="s">
        <v>1002</v>
      </c>
      <c r="C598" s="106">
        <v>1.0</v>
      </c>
      <c r="D598" s="149" t="str">
        <f>_xlfn.XLOOKUP(B598,[1]FullDataList!F:F,[1]FullDataList!O:O)</f>
        <v>#ERROR!</v>
      </c>
      <c r="E598" s="110" t="s">
        <v>4045</v>
      </c>
      <c r="H598" s="138"/>
      <c r="J598" s="138"/>
    </row>
    <row r="599" ht="15.75" customHeight="1">
      <c r="A599" s="148">
        <v>46127.0</v>
      </c>
      <c r="B599" s="110" t="s">
        <v>2020</v>
      </c>
      <c r="C599" s="106">
        <v>1.0</v>
      </c>
      <c r="D599" s="149" t="str">
        <f>_xlfn.XLOOKUP(B599,[1]FullDataList!F:F,[1]FullDataList!O:O)</f>
        <v>#ERROR!</v>
      </c>
      <c r="E599" s="110" t="s">
        <v>4042</v>
      </c>
      <c r="H599" s="138"/>
      <c r="J599" s="138"/>
    </row>
    <row r="600" ht="15.75" customHeight="1">
      <c r="A600" s="148">
        <v>46127.0</v>
      </c>
      <c r="B600" s="110" t="s">
        <v>963</v>
      </c>
      <c r="C600" s="106">
        <v>1.0</v>
      </c>
      <c r="D600" s="149" t="str">
        <f>_xlfn.XLOOKUP(B600,[1]FullDataList!F:F,[1]FullDataList!O:O)</f>
        <v>#ERROR!</v>
      </c>
      <c r="E600" s="110" t="s">
        <v>4027</v>
      </c>
      <c r="H600" s="138"/>
      <c r="J600" s="138"/>
    </row>
    <row r="601" ht="15.75" customHeight="1">
      <c r="A601" s="148">
        <v>46127.0</v>
      </c>
      <c r="B601" s="110" t="s">
        <v>1139</v>
      </c>
      <c r="C601" s="106">
        <v>1.0</v>
      </c>
      <c r="D601" s="149" t="str">
        <f>_xlfn.XLOOKUP(B601,[1]FullDataList!F:F,[1]FullDataList!O:O)</f>
        <v>#ERROR!</v>
      </c>
      <c r="E601" s="110" t="s">
        <v>4043</v>
      </c>
      <c r="H601" s="138"/>
      <c r="J601" s="138"/>
    </row>
    <row r="602" ht="15.75" customHeight="1">
      <c r="A602" s="148">
        <v>46127.0</v>
      </c>
      <c r="B602" s="110" t="s">
        <v>1631</v>
      </c>
      <c r="C602" s="106">
        <v>1.0</v>
      </c>
      <c r="D602" s="149" t="str">
        <f>_xlfn.XLOOKUP(B602,[1]FullDataList!F:F,[1]FullDataList!O:O)</f>
        <v>#ERROR!</v>
      </c>
      <c r="E602" s="110" t="s">
        <v>4046</v>
      </c>
      <c r="H602" s="138"/>
      <c r="J602" s="138"/>
    </row>
    <row r="603" ht="15.75" customHeight="1">
      <c r="A603" s="148">
        <v>46127.0</v>
      </c>
      <c r="B603" s="110" t="s">
        <v>1565</v>
      </c>
      <c r="C603" s="106">
        <v>1.0</v>
      </c>
      <c r="D603" s="149" t="str">
        <f>_xlfn.XLOOKUP(B603,[1]FullDataList!F:F,[1]FullDataList!O:O)</f>
        <v>#ERROR!</v>
      </c>
      <c r="E603" s="110" t="s">
        <v>4055</v>
      </c>
      <c r="H603" s="138"/>
      <c r="J603" s="138"/>
    </row>
    <row r="604" ht="15.75" customHeight="1">
      <c r="A604" s="148">
        <v>46127.0</v>
      </c>
      <c r="B604" s="110" t="s">
        <v>2084</v>
      </c>
      <c r="C604" s="106">
        <v>1.0</v>
      </c>
      <c r="D604" s="149" t="str">
        <f>_xlfn.XLOOKUP(B604,[1]FullDataList!F:F,[1]FullDataList!O:O)</f>
        <v>#ERROR!</v>
      </c>
      <c r="E604" s="110" t="s">
        <v>4013</v>
      </c>
      <c r="H604" s="138"/>
      <c r="J604" s="138"/>
    </row>
    <row r="605" ht="15.75" customHeight="1">
      <c r="A605" s="148">
        <v>46127.0</v>
      </c>
      <c r="B605" s="110" t="s">
        <v>495</v>
      </c>
      <c r="C605" s="106">
        <v>1.0</v>
      </c>
      <c r="D605" s="149" t="str">
        <f>_xlfn.XLOOKUP(B605,[1]FullDataList!F:F,[1]FullDataList!O:O)</f>
        <v>#ERROR!</v>
      </c>
      <c r="E605" s="110" t="s">
        <v>4056</v>
      </c>
      <c r="H605" s="138"/>
      <c r="J605" s="138"/>
    </row>
    <row r="606" ht="15.75" customHeight="1">
      <c r="A606" s="148">
        <v>46127.0</v>
      </c>
      <c r="B606" s="110" t="s">
        <v>510</v>
      </c>
      <c r="C606" s="106">
        <v>1.0</v>
      </c>
      <c r="D606" s="149" t="str">
        <f>_xlfn.XLOOKUP(B606,[1]FullDataList!F:F,[1]FullDataList!O:O)</f>
        <v>#ERROR!</v>
      </c>
      <c r="E606" s="110" t="s">
        <v>4057</v>
      </c>
      <c r="H606" s="138"/>
      <c r="J606" s="138"/>
    </row>
    <row r="607" ht="15.75" customHeight="1">
      <c r="A607" s="148">
        <v>46127.0</v>
      </c>
      <c r="B607" s="110" t="s">
        <v>1637</v>
      </c>
      <c r="C607" s="106">
        <v>1.0</v>
      </c>
      <c r="D607" s="149" t="str">
        <f>_xlfn.XLOOKUP(B607,[1]FullDataList!F:F,[1]FullDataList!O:O)</f>
        <v>#ERROR!</v>
      </c>
      <c r="E607" s="110" t="s">
        <v>4008</v>
      </c>
      <c r="H607" s="138"/>
      <c r="J607" s="138"/>
    </row>
    <row r="608" ht="15.75" customHeight="1">
      <c r="A608" s="148">
        <v>46127.0</v>
      </c>
      <c r="B608" s="110" t="s">
        <v>516</v>
      </c>
      <c r="C608" s="106">
        <v>1.0</v>
      </c>
      <c r="D608" s="149" t="str">
        <f>_xlfn.XLOOKUP(B608,[1]FullDataList!F:F,[1]FullDataList!O:O)</f>
        <v>#ERROR!</v>
      </c>
      <c r="E608" s="110" t="s">
        <v>4039</v>
      </c>
      <c r="H608" s="138"/>
      <c r="J608" s="138"/>
    </row>
    <row r="609" ht="15.75" customHeight="1">
      <c r="A609" s="148">
        <v>46127.0</v>
      </c>
      <c r="B609" s="110" t="s">
        <v>468</v>
      </c>
      <c r="C609" s="106">
        <v>1.0</v>
      </c>
      <c r="D609" s="149" t="str">
        <f>_xlfn.XLOOKUP(B609,[1]FullDataList!F:F,[1]FullDataList!O:O)</f>
        <v>#ERROR!</v>
      </c>
      <c r="E609" s="110" t="s">
        <v>4012</v>
      </c>
      <c r="H609" s="138"/>
      <c r="J609" s="138"/>
    </row>
    <row r="610" ht="15.75" customHeight="1">
      <c r="A610" s="148">
        <v>46127.0</v>
      </c>
      <c r="B610" s="110" t="s">
        <v>1937</v>
      </c>
      <c r="C610" s="106">
        <v>1.0</v>
      </c>
      <c r="D610" s="149" t="str">
        <f>_xlfn.XLOOKUP(B610,[1]FullDataList!F:F,[1]FullDataList!O:O)</f>
        <v>#ERROR!</v>
      </c>
      <c r="E610" s="110" t="s">
        <v>4041</v>
      </c>
      <c r="H610" s="138"/>
      <c r="J610" s="138"/>
    </row>
    <row r="611" ht="15.75" customHeight="1">
      <c r="A611" s="148">
        <v>46127.0</v>
      </c>
      <c r="B611" s="110" t="s">
        <v>1040</v>
      </c>
      <c r="C611" s="106">
        <v>1.0</v>
      </c>
      <c r="D611" s="149" t="str">
        <f>_xlfn.XLOOKUP(B611,[1]FullDataList!F:F,[1]FullDataList!O:O)</f>
        <v>#ERROR!</v>
      </c>
      <c r="E611" s="110" t="s">
        <v>4058</v>
      </c>
      <c r="H611" s="138"/>
      <c r="J611" s="138"/>
    </row>
    <row r="612" ht="15.75" customHeight="1">
      <c r="A612" s="148">
        <v>46127.0</v>
      </c>
      <c r="B612" s="110" t="s">
        <v>728</v>
      </c>
      <c r="C612" s="106">
        <v>1.0</v>
      </c>
      <c r="D612" s="149" t="str">
        <f>_xlfn.XLOOKUP(B612,[1]FullDataList!F:F,[1]FullDataList!O:O)</f>
        <v>#ERROR!</v>
      </c>
      <c r="E612" s="110" t="s">
        <v>4011</v>
      </c>
      <c r="H612" s="138"/>
      <c r="J612" s="138"/>
    </row>
    <row r="613" ht="15.75" customHeight="1">
      <c r="A613" s="148">
        <v>46127.0</v>
      </c>
      <c r="B613" s="110" t="s">
        <v>2051</v>
      </c>
      <c r="C613" s="106">
        <v>1.0</v>
      </c>
      <c r="D613" s="149" t="str">
        <f>_xlfn.XLOOKUP(B613,[1]FullDataList!F:F,[1]FullDataList!O:O)</f>
        <v>#ERROR!</v>
      </c>
      <c r="E613" s="110" t="s">
        <v>4003</v>
      </c>
      <c r="H613" s="138"/>
      <c r="J613" s="138"/>
    </row>
    <row r="614" ht="15.75" customHeight="1">
      <c r="A614" s="148">
        <v>46127.0</v>
      </c>
      <c r="B614" s="110" t="s">
        <v>1911</v>
      </c>
      <c r="C614" s="106">
        <v>1.0</v>
      </c>
      <c r="D614" s="149" t="str">
        <f>_xlfn.XLOOKUP(B614,[1]FullDataList!F:F,[1]FullDataList!O:O)</f>
        <v>#ERROR!</v>
      </c>
      <c r="E614" s="110" t="s">
        <v>4025</v>
      </c>
      <c r="H614" s="138"/>
      <c r="J614" s="138"/>
    </row>
    <row r="615" ht="15.75" customHeight="1">
      <c r="A615" s="148">
        <v>46128.0</v>
      </c>
      <c r="B615" s="110" t="s">
        <v>2031</v>
      </c>
      <c r="C615" s="106">
        <v>1.0</v>
      </c>
      <c r="D615" s="149" t="str">
        <f>_xlfn.XLOOKUP(B615,[1]FullDataList!F:F,[1]FullDataList!O:O)</f>
        <v>#ERROR!</v>
      </c>
      <c r="E615" s="110" t="s">
        <v>4059</v>
      </c>
      <c r="H615" s="138"/>
      <c r="J615" s="138"/>
    </row>
    <row r="616" ht="15.75" customHeight="1">
      <c r="A616" s="148">
        <v>46128.0</v>
      </c>
      <c r="B616" s="110" t="s">
        <v>481</v>
      </c>
      <c r="C616" s="106">
        <v>1.0</v>
      </c>
      <c r="D616" s="149" t="str">
        <f>_xlfn.XLOOKUP(B616,[1]FullDataList!F:F,[1]FullDataList!O:O)</f>
        <v>#ERROR!</v>
      </c>
      <c r="E616" s="110" t="s">
        <v>4026</v>
      </c>
      <c r="H616" s="138"/>
      <c r="J616" s="138"/>
    </row>
    <row r="617" ht="15.75" customHeight="1">
      <c r="A617" s="148">
        <v>46128.0</v>
      </c>
      <c r="B617" s="110" t="s">
        <v>828</v>
      </c>
      <c r="C617" s="106">
        <v>1.0</v>
      </c>
      <c r="D617" s="149" t="str">
        <f>_xlfn.XLOOKUP(B617,[1]FullDataList!F:F,[1]FullDataList!O:O)</f>
        <v>#ERROR!</v>
      </c>
      <c r="E617" s="110" t="s">
        <v>4051</v>
      </c>
      <c r="H617" s="138"/>
      <c r="J617" s="138"/>
    </row>
    <row r="618" ht="15.75" customHeight="1">
      <c r="A618" s="148">
        <v>46128.0</v>
      </c>
      <c r="B618" s="110" t="s">
        <v>875</v>
      </c>
      <c r="C618" s="106">
        <v>1.0</v>
      </c>
      <c r="D618" s="149" t="str">
        <f>_xlfn.XLOOKUP(B618,[1]FullDataList!F:F,[1]FullDataList!O:O)</f>
        <v>#ERROR!</v>
      </c>
      <c r="E618" s="110" t="s">
        <v>4052</v>
      </c>
      <c r="H618" s="138"/>
      <c r="J618" s="138"/>
    </row>
    <row r="619" ht="15.75" customHeight="1">
      <c r="A619" s="148">
        <v>46128.0</v>
      </c>
      <c r="B619" s="110" t="s">
        <v>990</v>
      </c>
      <c r="C619" s="106">
        <v>1.0</v>
      </c>
      <c r="D619" s="149" t="str">
        <f>_xlfn.XLOOKUP(B619,[1]FullDataList!F:F,[1]FullDataList!O:O)</f>
        <v>#ERROR!</v>
      </c>
      <c r="E619" s="110" t="s">
        <v>4049</v>
      </c>
      <c r="H619" s="138"/>
      <c r="J619" s="138"/>
    </row>
    <row r="620" ht="15.75" customHeight="1">
      <c r="A620" s="148">
        <v>46128.0</v>
      </c>
      <c r="B620" s="110" t="s">
        <v>1251</v>
      </c>
      <c r="C620" s="106">
        <v>1.0</v>
      </c>
      <c r="D620" s="149" t="str">
        <f>_xlfn.XLOOKUP(B620,[1]FullDataList!F:F,[1]FullDataList!O:O)</f>
        <v>#ERROR!</v>
      </c>
      <c r="E620" s="110" t="s">
        <v>4054</v>
      </c>
      <c r="H620" s="138"/>
      <c r="J620" s="138"/>
    </row>
    <row r="621" ht="15.75" customHeight="1">
      <c r="A621" s="148">
        <v>46128.0</v>
      </c>
      <c r="B621" s="110" t="s">
        <v>1971</v>
      </c>
      <c r="C621" s="106">
        <v>1.0</v>
      </c>
      <c r="D621" s="149" t="str">
        <f>_xlfn.XLOOKUP(B621,[1]FullDataList!F:F,[1]FullDataList!O:O)</f>
        <v>#ERROR!</v>
      </c>
      <c r="E621" s="110" t="s">
        <v>4053</v>
      </c>
      <c r="H621" s="138"/>
      <c r="J621" s="138"/>
    </row>
    <row r="622" ht="15.75" customHeight="1">
      <c r="A622" s="148">
        <v>46128.0</v>
      </c>
      <c r="B622" s="110" t="s">
        <v>2067</v>
      </c>
      <c r="C622" s="106">
        <v>1.0</v>
      </c>
      <c r="D622" s="149" t="str">
        <f>_xlfn.XLOOKUP(B622,[1]FullDataList!F:F,[1]FullDataList!O:O)</f>
        <v>#ERROR!</v>
      </c>
      <c r="E622" s="110" t="s">
        <v>4028</v>
      </c>
      <c r="H622" s="138"/>
      <c r="J622" s="138"/>
    </row>
    <row r="623" ht="15.75" customHeight="1">
      <c r="A623" s="148">
        <v>46128.0</v>
      </c>
      <c r="B623" s="110" t="s">
        <v>2096</v>
      </c>
      <c r="C623" s="106">
        <v>1.0</v>
      </c>
      <c r="D623" s="149" t="str">
        <f>_xlfn.XLOOKUP(B623,[1]FullDataList!F:F,[1]FullDataList!O:O)</f>
        <v>#ERROR!</v>
      </c>
      <c r="E623" s="110" t="s">
        <v>4060</v>
      </c>
      <c r="H623" s="138"/>
      <c r="J623" s="138"/>
    </row>
    <row r="624" ht="15.75" customHeight="1">
      <c r="A624" s="148">
        <v>46128.0</v>
      </c>
      <c r="B624" s="110" t="s">
        <v>2423</v>
      </c>
      <c r="C624" s="106">
        <v>1.0</v>
      </c>
      <c r="D624" s="149" t="str">
        <f>_xlfn.XLOOKUP(B624,[1]FullDataList!F:F,[1]FullDataList!O:O)</f>
        <v>#ERROR!</v>
      </c>
      <c r="E624" s="110" t="s">
        <v>4037</v>
      </c>
      <c r="H624" s="138"/>
      <c r="J624" s="138"/>
    </row>
    <row r="625" ht="15.75" customHeight="1">
      <c r="A625" s="148">
        <v>46128.0</v>
      </c>
      <c r="B625" s="110" t="s">
        <v>421</v>
      </c>
      <c r="C625" s="106">
        <v>1.0</v>
      </c>
      <c r="D625" s="149" t="str">
        <f>_xlfn.XLOOKUP(B625,[1]FullDataList!F:F,[1]FullDataList!O:O)</f>
        <v>#ERROR!</v>
      </c>
      <c r="E625" s="110" t="s">
        <v>4042</v>
      </c>
      <c r="H625" s="138"/>
      <c r="J625" s="138"/>
    </row>
    <row r="626" ht="15.75" customHeight="1">
      <c r="A626" s="148">
        <v>46128.0</v>
      </c>
      <c r="B626" s="110" t="s">
        <v>511</v>
      </c>
      <c r="C626" s="106">
        <v>1.0</v>
      </c>
      <c r="D626" s="149" t="str">
        <f>_xlfn.XLOOKUP(B626,[1]FullDataList!F:F,[1]FullDataList!O:O)</f>
        <v>#ERROR!</v>
      </c>
      <c r="E626" s="110" t="s">
        <v>4040</v>
      </c>
      <c r="H626" s="138"/>
      <c r="J626" s="138"/>
    </row>
    <row r="627" ht="15.75" customHeight="1">
      <c r="A627" s="148">
        <v>46128.0</v>
      </c>
      <c r="B627" s="110" t="s">
        <v>526</v>
      </c>
      <c r="C627" s="106">
        <v>1.0</v>
      </c>
      <c r="D627" s="149" t="str">
        <f>_xlfn.XLOOKUP(B627,[1]FullDataList!F:F,[1]FullDataList!O:O)</f>
        <v>#ERROR!</v>
      </c>
      <c r="E627" s="110" t="s">
        <v>4057</v>
      </c>
      <c r="H627" s="138"/>
      <c r="J627" s="138"/>
    </row>
    <row r="628" ht="15.75" customHeight="1">
      <c r="A628" s="148">
        <v>46128.0</v>
      </c>
      <c r="B628" s="110" t="s">
        <v>682</v>
      </c>
      <c r="C628" s="106">
        <v>1.0</v>
      </c>
      <c r="D628" s="149" t="str">
        <f>_xlfn.XLOOKUP(B628,[1]FullDataList!F:F,[1]FullDataList!O:O)</f>
        <v>#ERROR!</v>
      </c>
      <c r="E628" s="110" t="s">
        <v>4058</v>
      </c>
      <c r="H628" s="138"/>
      <c r="J628" s="138"/>
    </row>
    <row r="629" ht="15.75" customHeight="1">
      <c r="A629" s="148">
        <v>46128.0</v>
      </c>
      <c r="B629" s="110" t="s">
        <v>709</v>
      </c>
      <c r="C629" s="106">
        <v>1.0</v>
      </c>
      <c r="D629" s="149" t="str">
        <f>_xlfn.XLOOKUP(B629,[1]FullDataList!F:F,[1]FullDataList!O:O)</f>
        <v>#ERROR!</v>
      </c>
      <c r="E629" s="110" t="s">
        <v>4011</v>
      </c>
      <c r="H629" s="138"/>
      <c r="J629" s="138"/>
    </row>
    <row r="630" ht="15.75" customHeight="1">
      <c r="A630" s="148">
        <v>46128.0</v>
      </c>
      <c r="B630" s="110" t="s">
        <v>743</v>
      </c>
      <c r="C630" s="106">
        <v>1.0</v>
      </c>
      <c r="D630" s="149" t="str">
        <f>_xlfn.XLOOKUP(B630,[1]FullDataList!F:F,[1]FullDataList!O:O)</f>
        <v>#ERROR!</v>
      </c>
      <c r="E630" s="110" t="s">
        <v>4043</v>
      </c>
      <c r="H630" s="138"/>
      <c r="J630" s="138"/>
    </row>
    <row r="631" ht="15.75" customHeight="1">
      <c r="A631" s="148">
        <v>46128.0</v>
      </c>
      <c r="B631" s="110" t="s">
        <v>814</v>
      </c>
      <c r="C631" s="106">
        <v>1.0</v>
      </c>
      <c r="D631" s="149" t="str">
        <f>_xlfn.XLOOKUP(B631,[1]FullDataList!F:F,[1]FullDataList!O:O)</f>
        <v>#ERROR!</v>
      </c>
      <c r="E631" s="110" t="s">
        <v>4017</v>
      </c>
      <c r="H631" s="138"/>
      <c r="J631" s="138"/>
    </row>
    <row r="632" ht="15.75" customHeight="1">
      <c r="A632" s="148">
        <v>46128.0</v>
      </c>
      <c r="B632" s="110" t="s">
        <v>842</v>
      </c>
      <c r="C632" s="106">
        <v>1.0</v>
      </c>
      <c r="D632" s="149" t="str">
        <f>_xlfn.XLOOKUP(B632,[1]FullDataList!F:F,[1]FullDataList!O:O)</f>
        <v>#ERROR!</v>
      </c>
      <c r="E632" s="110" t="s">
        <v>4056</v>
      </c>
      <c r="H632" s="138"/>
      <c r="J632" s="138"/>
    </row>
    <row r="633" ht="15.75" customHeight="1">
      <c r="A633" s="148">
        <v>46128.0</v>
      </c>
      <c r="B633" s="110" t="s">
        <v>933</v>
      </c>
      <c r="C633" s="106">
        <v>1.0</v>
      </c>
      <c r="D633" s="149" t="str">
        <f>_xlfn.XLOOKUP(B633,[1]FullDataList!F:F,[1]FullDataList!O:O)</f>
        <v>#ERROR!</v>
      </c>
      <c r="E633" s="110" t="s">
        <v>4025</v>
      </c>
      <c r="H633" s="138"/>
      <c r="J633" s="138"/>
    </row>
    <row r="634" ht="15.75" customHeight="1">
      <c r="A634" s="148">
        <v>46128.0</v>
      </c>
      <c r="B634" s="110" t="s">
        <v>1536</v>
      </c>
      <c r="C634" s="106">
        <v>1.0</v>
      </c>
      <c r="D634" s="149" t="str">
        <f>_xlfn.XLOOKUP(B634,[1]FullDataList!F:F,[1]FullDataList!O:O)</f>
        <v>#ERROR!</v>
      </c>
      <c r="E634" s="110" t="s">
        <v>4055</v>
      </c>
      <c r="H634" s="138"/>
      <c r="J634" s="138"/>
    </row>
    <row r="635" ht="15.75" customHeight="1">
      <c r="A635" s="148">
        <v>46128.0</v>
      </c>
      <c r="B635" s="110" t="s">
        <v>1564</v>
      </c>
      <c r="C635" s="106">
        <v>1.0</v>
      </c>
      <c r="D635" s="149" t="str">
        <f>_xlfn.XLOOKUP(B635,[1]FullDataList!F:F,[1]FullDataList!O:O)</f>
        <v>#ERROR!</v>
      </c>
      <c r="E635" s="110" t="s">
        <v>4012</v>
      </c>
      <c r="H635" s="138"/>
      <c r="J635" s="138"/>
    </row>
    <row r="636" ht="15.75" customHeight="1">
      <c r="A636" s="148">
        <v>46128.0</v>
      </c>
      <c r="B636" s="110" t="s">
        <v>1566</v>
      </c>
      <c r="C636" s="106">
        <v>1.0</v>
      </c>
      <c r="D636" s="149" t="str">
        <f>_xlfn.XLOOKUP(B636,[1]FullDataList!F:F,[1]FullDataList!O:O)</f>
        <v>#ERROR!</v>
      </c>
      <c r="E636" s="110" t="s">
        <v>4008</v>
      </c>
      <c r="H636" s="138"/>
      <c r="J636" s="138"/>
    </row>
    <row r="637" ht="15.75" customHeight="1">
      <c r="A637" s="148">
        <v>46128.0</v>
      </c>
      <c r="B637" s="110" t="s">
        <v>1634</v>
      </c>
      <c r="C637" s="106">
        <v>1.0</v>
      </c>
      <c r="D637" s="149" t="str">
        <f>_xlfn.XLOOKUP(B637,[1]FullDataList!F:F,[1]FullDataList!O:O)</f>
        <v>#ERROR!</v>
      </c>
      <c r="E637" s="110" t="s">
        <v>4030</v>
      </c>
      <c r="H637" s="138"/>
      <c r="J637" s="138"/>
    </row>
    <row r="638" ht="15.75" customHeight="1">
      <c r="A638" s="148">
        <v>46128.0</v>
      </c>
      <c r="B638" s="110" t="s">
        <v>1923</v>
      </c>
      <c r="C638" s="106">
        <v>1.0</v>
      </c>
      <c r="D638" s="149" t="str">
        <f>_xlfn.XLOOKUP(B638,[1]FullDataList!F:F,[1]FullDataList!O:O)</f>
        <v>#ERROR!</v>
      </c>
      <c r="E638" s="110" t="s">
        <v>4044</v>
      </c>
      <c r="H638" s="138"/>
      <c r="J638" s="138"/>
    </row>
    <row r="639" ht="15.75" customHeight="1">
      <c r="A639" s="148">
        <v>46128.0</v>
      </c>
      <c r="B639" s="110" t="s">
        <v>1938</v>
      </c>
      <c r="C639" s="106">
        <v>1.0</v>
      </c>
      <c r="D639" s="149" t="str">
        <f>_xlfn.XLOOKUP(B639,[1]FullDataList!F:F,[1]FullDataList!O:O)</f>
        <v>#ERROR!</v>
      </c>
      <c r="E639" s="110" t="s">
        <v>4041</v>
      </c>
      <c r="H639" s="138"/>
      <c r="J639" s="138"/>
    </row>
    <row r="640" ht="15.75" customHeight="1">
      <c r="A640" s="148">
        <v>46128.0</v>
      </c>
      <c r="B640" s="110" t="s">
        <v>2006</v>
      </c>
      <c r="C640" s="106">
        <v>1.0</v>
      </c>
      <c r="D640" s="149" t="str">
        <f>_xlfn.XLOOKUP(B640,[1]FullDataList!F:F,[1]FullDataList!O:O)</f>
        <v>#ERROR!</v>
      </c>
      <c r="E640" s="110" t="s">
        <v>4009</v>
      </c>
      <c r="H640" s="138"/>
      <c r="J640" s="138"/>
    </row>
    <row r="641" ht="15.75" customHeight="1">
      <c r="A641" s="148">
        <v>46128.0</v>
      </c>
      <c r="B641" s="110" t="s">
        <v>1993</v>
      </c>
      <c r="C641" s="106">
        <v>1.0</v>
      </c>
      <c r="D641" s="149" t="str">
        <f>_xlfn.XLOOKUP(B641,[1]FullDataList!F:F,[1]FullDataList!O:O)</f>
        <v>#ERROR!</v>
      </c>
      <c r="E641" s="110" t="s">
        <v>4039</v>
      </c>
      <c r="H641" s="138"/>
      <c r="J641" s="138"/>
    </row>
    <row r="642" ht="15.75" customHeight="1">
      <c r="A642" s="148">
        <v>46128.0</v>
      </c>
      <c r="B642" s="110" t="s">
        <v>2034</v>
      </c>
      <c r="C642" s="106">
        <v>1.0</v>
      </c>
      <c r="D642" s="149" t="str">
        <f>_xlfn.XLOOKUP(B642,[1]FullDataList!F:F,[1]FullDataList!O:O)</f>
        <v>#ERROR!</v>
      </c>
      <c r="E642" s="110" t="s">
        <v>4032</v>
      </c>
      <c r="H642" s="138"/>
      <c r="J642" s="138"/>
    </row>
    <row r="643" ht="15.75" customHeight="1">
      <c r="A643" s="148">
        <v>46128.0</v>
      </c>
      <c r="B643" s="110" t="s">
        <v>2052</v>
      </c>
      <c r="C643" s="106">
        <v>1.0</v>
      </c>
      <c r="D643" s="149" t="str">
        <f>_xlfn.XLOOKUP(B643,[1]FullDataList!F:F,[1]FullDataList!O:O)</f>
        <v>#ERROR!</v>
      </c>
      <c r="E643" s="110" t="s">
        <v>4003</v>
      </c>
      <c r="H643" s="138"/>
      <c r="J643" s="138"/>
    </row>
    <row r="644" ht="15.75" customHeight="1">
      <c r="A644" s="148">
        <v>46128.0</v>
      </c>
      <c r="B644" s="110" t="s">
        <v>2059</v>
      </c>
      <c r="C644" s="106">
        <v>1.0</v>
      </c>
      <c r="D644" s="149" t="str">
        <f>_xlfn.XLOOKUP(B644,[1]FullDataList!F:F,[1]FullDataList!O:O)</f>
        <v>#ERROR!</v>
      </c>
      <c r="E644" s="110" t="s">
        <v>4004</v>
      </c>
      <c r="H644" s="138"/>
      <c r="J644" s="138"/>
    </row>
    <row r="645" ht="15.75" customHeight="1">
      <c r="A645" s="148">
        <v>46128.0</v>
      </c>
      <c r="B645" s="110" t="s">
        <v>2077</v>
      </c>
      <c r="C645" s="106">
        <v>1.0</v>
      </c>
      <c r="D645" s="149" t="str">
        <f>_xlfn.XLOOKUP(B645,[1]FullDataList!F:F,[1]FullDataList!O:O)</f>
        <v>#ERROR!</v>
      </c>
      <c r="E645" s="110" t="s">
        <v>4027</v>
      </c>
      <c r="H645" s="138"/>
      <c r="J645" s="138"/>
    </row>
    <row r="646" ht="15.75" customHeight="1">
      <c r="A646" s="148">
        <v>46129.0</v>
      </c>
      <c r="B646" s="110" t="s">
        <v>2032</v>
      </c>
      <c r="C646" s="106">
        <v>1.0</v>
      </c>
      <c r="D646" s="149" t="str">
        <f>_xlfn.XLOOKUP(B646,[1]FullDataList!F:F,[1]FullDataList!O:O)</f>
        <v>#ERROR!</v>
      </c>
      <c r="E646" s="110" t="s">
        <v>4059</v>
      </c>
      <c r="H646" s="138"/>
      <c r="J646" s="138"/>
    </row>
    <row r="647" ht="15.75" customHeight="1">
      <c r="A647" s="148">
        <v>46129.0</v>
      </c>
      <c r="B647" s="110" t="s">
        <v>960</v>
      </c>
      <c r="C647" s="106">
        <v>1.0</v>
      </c>
      <c r="D647" s="149" t="str">
        <f>_xlfn.XLOOKUP(B647,[1]FullDataList!F:F,[1]FullDataList!O:O)</f>
        <v>#ERROR!</v>
      </c>
      <c r="E647" s="110" t="s">
        <v>4061</v>
      </c>
      <c r="H647" s="138"/>
      <c r="J647" s="138"/>
    </row>
    <row r="648" ht="15.75" customHeight="1">
      <c r="A648" s="148">
        <v>46129.0</v>
      </c>
      <c r="B648" s="110" t="s">
        <v>482</v>
      </c>
      <c r="C648" s="106">
        <v>1.0</v>
      </c>
      <c r="D648" s="149" t="str">
        <f>_xlfn.XLOOKUP(B648,[1]FullDataList!F:F,[1]FullDataList!O:O)</f>
        <v>#ERROR!</v>
      </c>
      <c r="E648" s="110" t="s">
        <v>4026</v>
      </c>
      <c r="H648" s="138"/>
      <c r="J648" s="138"/>
    </row>
    <row r="649" ht="15.75" customHeight="1">
      <c r="A649" s="148">
        <v>46129.0</v>
      </c>
      <c r="B649" s="110" t="s">
        <v>2068</v>
      </c>
      <c r="C649" s="106">
        <v>1.0</v>
      </c>
      <c r="D649" s="149" t="str">
        <f>_xlfn.XLOOKUP(B649,[1]FullDataList!F:F,[1]FullDataList!O:O)</f>
        <v>#ERROR!</v>
      </c>
      <c r="E649" s="110" t="s">
        <v>4028</v>
      </c>
      <c r="H649" s="138"/>
      <c r="J649" s="138"/>
    </row>
    <row r="650" ht="15.75" customHeight="1">
      <c r="A650" s="148">
        <v>46129.0</v>
      </c>
      <c r="B650" s="110" t="s">
        <v>978</v>
      </c>
      <c r="C650" s="106">
        <v>1.0</v>
      </c>
      <c r="D650" s="149" t="str">
        <f>_xlfn.XLOOKUP(B650,[1]FullDataList!F:F,[1]FullDataList!O:O)</f>
        <v>#ERROR!</v>
      </c>
      <c r="E650" s="110" t="s">
        <v>4060</v>
      </c>
      <c r="H650" s="138"/>
      <c r="J650" s="138"/>
    </row>
    <row r="651" ht="15.75" customHeight="1">
      <c r="A651" s="148">
        <v>46129.0</v>
      </c>
      <c r="B651" s="110" t="s">
        <v>1999</v>
      </c>
      <c r="C651" s="106">
        <v>1.0</v>
      </c>
      <c r="D651" s="149" t="str">
        <f>_xlfn.XLOOKUP(B651,[1]FullDataList!F:F,[1]FullDataList!O:O)</f>
        <v>#ERROR!</v>
      </c>
      <c r="E651" s="110" t="s">
        <v>4047</v>
      </c>
      <c r="H651" s="138"/>
      <c r="J651" s="138"/>
    </row>
    <row r="652" ht="15.75" customHeight="1">
      <c r="A652" s="148">
        <v>46129.0</v>
      </c>
      <c r="B652" s="110" t="s">
        <v>1518</v>
      </c>
      <c r="C652" s="106">
        <v>1.0</v>
      </c>
      <c r="D652" s="149" t="str">
        <f>_xlfn.XLOOKUP(B652,[1]FullDataList!F:F,[1]FullDataList!O:O)</f>
        <v>#ERROR!</v>
      </c>
      <c r="E652" s="110" t="s">
        <v>4048</v>
      </c>
      <c r="H652" s="138"/>
      <c r="J652" s="138"/>
    </row>
    <row r="653" ht="15.75" customHeight="1">
      <c r="A653" s="148">
        <v>46129.0</v>
      </c>
      <c r="B653" s="110" t="s">
        <v>1268</v>
      </c>
      <c r="C653" s="106">
        <v>1.0</v>
      </c>
      <c r="D653" s="149" t="str">
        <f>_xlfn.XLOOKUP(B653,[1]FullDataList!F:F,[1]FullDataList!O:O)</f>
        <v>#ERROR!</v>
      </c>
      <c r="E653" s="110" t="s">
        <v>4054</v>
      </c>
      <c r="H653" s="138"/>
      <c r="J653" s="138"/>
    </row>
    <row r="654" ht="15.75" customHeight="1">
      <c r="A654" s="148">
        <v>46129.0</v>
      </c>
      <c r="B654" s="110" t="s">
        <v>829</v>
      </c>
      <c r="C654" s="106">
        <v>1.0</v>
      </c>
      <c r="D654" s="149" t="str">
        <f>_xlfn.XLOOKUP(B654,[1]FullDataList!F:F,[1]FullDataList!O:O)</f>
        <v>#ERROR!</v>
      </c>
      <c r="E654" s="110" t="s">
        <v>4051</v>
      </c>
      <c r="H654" s="138"/>
      <c r="J654" s="138"/>
    </row>
    <row r="655" ht="15.75" customHeight="1">
      <c r="A655" s="148">
        <v>46129.0</v>
      </c>
      <c r="B655" s="110" t="s">
        <v>2073</v>
      </c>
      <c r="C655" s="106">
        <v>1.0</v>
      </c>
      <c r="D655" s="149" t="str">
        <f>_xlfn.XLOOKUP(B655,[1]FullDataList!F:F,[1]FullDataList!O:O)</f>
        <v>#ERROR!</v>
      </c>
      <c r="E655" s="110" t="s">
        <v>4050</v>
      </c>
      <c r="H655" s="138"/>
      <c r="J655" s="138"/>
    </row>
    <row r="656" ht="15.75" customHeight="1">
      <c r="A656" s="148">
        <v>46129.0</v>
      </c>
      <c r="B656" s="110" t="s">
        <v>876</v>
      </c>
      <c r="C656" s="106">
        <v>1.0</v>
      </c>
      <c r="D656" s="149" t="str">
        <f>_xlfn.XLOOKUP(B656,[1]FullDataList!F:F,[1]FullDataList!O:O)</f>
        <v>#ERROR!</v>
      </c>
      <c r="E656" s="110" t="s">
        <v>4052</v>
      </c>
      <c r="H656" s="138"/>
      <c r="J656" s="138"/>
    </row>
    <row r="657" ht="15.75" customHeight="1">
      <c r="A657" s="148">
        <v>46129.0</v>
      </c>
      <c r="B657" s="110" t="s">
        <v>2038</v>
      </c>
      <c r="C657" s="106">
        <v>1.0</v>
      </c>
      <c r="D657" s="149" t="str">
        <f>_xlfn.XLOOKUP(B657,[1]FullDataList!F:F,[1]FullDataList!O:O)</f>
        <v>#ERROR!</v>
      </c>
      <c r="E657" s="110" t="s">
        <v>4053</v>
      </c>
      <c r="H657" s="138"/>
      <c r="J657" s="138"/>
    </row>
    <row r="658" ht="15.75" customHeight="1">
      <c r="A658" s="148">
        <v>46129.0</v>
      </c>
      <c r="B658" s="110" t="s">
        <v>977</v>
      </c>
      <c r="C658" s="106">
        <v>1.0</v>
      </c>
      <c r="D658" s="149" t="str">
        <f>_xlfn.XLOOKUP(B658,[1]FullDataList!F:F,[1]FullDataList!O:O)</f>
        <v>#ERROR!</v>
      </c>
      <c r="E658" s="110" t="s">
        <v>4009</v>
      </c>
      <c r="H658" s="138"/>
      <c r="J658" s="138"/>
    </row>
    <row r="659" ht="15.75" customHeight="1">
      <c r="A659" s="148">
        <v>46129.0</v>
      </c>
      <c r="B659" s="110" t="s">
        <v>512</v>
      </c>
      <c r="C659" s="106">
        <v>1.0</v>
      </c>
      <c r="D659" s="149" t="str">
        <f>_xlfn.XLOOKUP(B659,[1]FullDataList!F:F,[1]FullDataList!O:O)</f>
        <v>#ERROR!</v>
      </c>
      <c r="E659" s="110" t="s">
        <v>4040</v>
      </c>
      <c r="H659" s="138"/>
      <c r="J659" s="138"/>
    </row>
    <row r="660" ht="15.75" customHeight="1">
      <c r="A660" s="148">
        <v>46129.0</v>
      </c>
      <c r="B660" s="110" t="s">
        <v>1916</v>
      </c>
      <c r="C660" s="106">
        <v>1.0</v>
      </c>
      <c r="D660" s="149" t="str">
        <f>_xlfn.XLOOKUP(B660,[1]FullDataList!F:F,[1]FullDataList!O:O)</f>
        <v>#ERROR!</v>
      </c>
      <c r="E660" s="110" t="s">
        <v>4032</v>
      </c>
      <c r="H660" s="138"/>
      <c r="J660" s="138"/>
    </row>
    <row r="661" ht="15.75" customHeight="1">
      <c r="A661" s="148">
        <v>46129.0</v>
      </c>
      <c r="B661" s="110" t="s">
        <v>1994</v>
      </c>
      <c r="C661" s="106">
        <v>1.0</v>
      </c>
      <c r="D661" s="149" t="str">
        <f>_xlfn.XLOOKUP(B661,[1]FullDataList!F:F,[1]FullDataList!O:O)</f>
        <v>#ERROR!</v>
      </c>
      <c r="E661" s="110" t="s">
        <v>4062</v>
      </c>
      <c r="H661" s="138"/>
      <c r="J661" s="138"/>
    </row>
    <row r="662" ht="15.75" customHeight="1">
      <c r="A662" s="148">
        <v>46129.0</v>
      </c>
      <c r="B662" s="110" t="s">
        <v>2101</v>
      </c>
      <c r="C662" s="106">
        <v>1.0</v>
      </c>
      <c r="D662" s="149" t="str">
        <f>_xlfn.XLOOKUP(B662,[1]FullDataList!F:F,[1]FullDataList!O:O)</f>
        <v>#ERROR!</v>
      </c>
      <c r="E662" s="110" t="s">
        <v>4027</v>
      </c>
      <c r="H662" s="138"/>
      <c r="J662" s="138"/>
    </row>
    <row r="663" ht="15.75" customHeight="1">
      <c r="A663" s="148">
        <v>46129.0</v>
      </c>
      <c r="B663" s="110" t="s">
        <v>1638</v>
      </c>
      <c r="C663" s="106">
        <v>1.0</v>
      </c>
      <c r="D663" s="149" t="str">
        <f>_xlfn.XLOOKUP(B663,[1]FullDataList!F:F,[1]FullDataList!O:O)</f>
        <v>#ERROR!</v>
      </c>
      <c r="E663" s="110" t="s">
        <v>4055</v>
      </c>
      <c r="H663" s="138"/>
      <c r="J663" s="138"/>
    </row>
    <row r="664" ht="15.75" customHeight="1">
      <c r="A664" s="148">
        <v>46129.0</v>
      </c>
      <c r="B664" s="110" t="s">
        <v>702</v>
      </c>
      <c r="C664" s="106">
        <v>1.0</v>
      </c>
      <c r="D664" s="149" t="str">
        <f>_xlfn.XLOOKUP(B664,[1]FullDataList!F:F,[1]FullDataList!O:O)</f>
        <v>#ERROR!</v>
      </c>
      <c r="E664" s="110" t="s">
        <v>4013</v>
      </c>
      <c r="H664" s="138"/>
      <c r="J664" s="138"/>
    </row>
    <row r="665" ht="15.75" customHeight="1">
      <c r="A665" s="148">
        <v>46129.0</v>
      </c>
      <c r="B665" s="110" t="s">
        <v>843</v>
      </c>
      <c r="C665" s="106">
        <v>1.0</v>
      </c>
      <c r="D665" s="149" t="str">
        <f>_xlfn.XLOOKUP(B665,[1]FullDataList!F:F,[1]FullDataList!O:O)</f>
        <v>#ERROR!</v>
      </c>
      <c r="E665" s="110" t="s">
        <v>4056</v>
      </c>
      <c r="H665" s="138"/>
      <c r="J665" s="138"/>
    </row>
    <row r="666" ht="15.75" customHeight="1">
      <c r="A666" s="148">
        <v>46129.0</v>
      </c>
      <c r="B666" s="110" t="s">
        <v>527</v>
      </c>
      <c r="C666" s="106">
        <v>1.0</v>
      </c>
      <c r="D666" s="149" t="str">
        <f>_xlfn.XLOOKUP(B666,[1]FullDataList!F:F,[1]FullDataList!O:O)</f>
        <v>#ERROR!</v>
      </c>
      <c r="E666" s="110" t="s">
        <v>4057</v>
      </c>
      <c r="H666" s="138"/>
      <c r="J666" s="138"/>
    </row>
    <row r="667" ht="15.75" customHeight="1">
      <c r="A667" s="148">
        <v>46129.0</v>
      </c>
      <c r="B667" s="110" t="s">
        <v>1610</v>
      </c>
      <c r="C667" s="106">
        <v>1.0</v>
      </c>
      <c r="D667" s="149" t="str">
        <f>_xlfn.XLOOKUP(B667,[1]FullDataList!F:F,[1]FullDataList!O:O)</f>
        <v>#ERROR!</v>
      </c>
      <c r="E667" s="110" t="s">
        <v>4008</v>
      </c>
      <c r="H667" s="138"/>
      <c r="J667" s="138"/>
    </row>
    <row r="668" ht="15.75" customHeight="1">
      <c r="A668" s="148">
        <v>46129.0</v>
      </c>
      <c r="B668" s="110" t="s">
        <v>2016</v>
      </c>
      <c r="C668" s="106">
        <v>1.0</v>
      </c>
      <c r="D668" s="149" t="str">
        <f>_xlfn.XLOOKUP(B668,[1]FullDataList!F:F,[1]FullDataList!O:O)</f>
        <v>#ERROR!</v>
      </c>
      <c r="E668" s="110" t="s">
        <v>4039</v>
      </c>
      <c r="H668" s="138"/>
      <c r="J668" s="138"/>
    </row>
    <row r="669" ht="15.75" customHeight="1">
      <c r="A669" s="148">
        <v>46129.0</v>
      </c>
      <c r="B669" s="110" t="s">
        <v>1613</v>
      </c>
      <c r="C669" s="106">
        <v>1.0</v>
      </c>
      <c r="D669" s="149" t="str">
        <f>_xlfn.XLOOKUP(B669,[1]FullDataList!F:F,[1]FullDataList!O:O)</f>
        <v>#ERROR!</v>
      </c>
      <c r="E669" s="110" t="s">
        <v>4012</v>
      </c>
      <c r="H669" s="138"/>
      <c r="J669" s="138"/>
    </row>
    <row r="670" ht="15.75" customHeight="1">
      <c r="A670" s="148">
        <v>46129.0</v>
      </c>
      <c r="B670" s="110" t="s">
        <v>809</v>
      </c>
      <c r="C670" s="106">
        <v>1.0</v>
      </c>
      <c r="D670" s="149" t="str">
        <f>_xlfn.XLOOKUP(B670,[1]FullDataList!F:F,[1]FullDataList!O:O)</f>
        <v>#ERROR!</v>
      </c>
      <c r="E670" s="110" t="s">
        <v>4041</v>
      </c>
      <c r="H670" s="138"/>
      <c r="J670" s="138"/>
    </row>
    <row r="671" ht="15.75" customHeight="1">
      <c r="A671" s="148">
        <v>46129.0</v>
      </c>
      <c r="B671" s="110" t="s">
        <v>745</v>
      </c>
      <c r="C671" s="106">
        <v>1.0</v>
      </c>
      <c r="D671" s="149" t="str">
        <f>_xlfn.XLOOKUP(B671,[1]FullDataList!F:F,[1]FullDataList!O:O)</f>
        <v>#ERROR!</v>
      </c>
      <c r="E671" s="110" t="s">
        <v>4058</v>
      </c>
      <c r="H671" s="138"/>
      <c r="J671" s="138"/>
    </row>
    <row r="672" ht="15.75" customHeight="1">
      <c r="A672" s="148">
        <v>46129.0</v>
      </c>
      <c r="B672" s="110" t="s">
        <v>2005</v>
      </c>
      <c r="C672" s="106">
        <v>1.0</v>
      </c>
      <c r="D672" s="149" t="str">
        <f>_xlfn.XLOOKUP(B672,[1]FullDataList!F:F,[1]FullDataList!O:O)</f>
        <v>#ERROR!</v>
      </c>
      <c r="E672" s="110" t="s">
        <v>4011</v>
      </c>
      <c r="H672" s="138"/>
      <c r="J672" s="138"/>
    </row>
    <row r="673" ht="15.75" customHeight="1">
      <c r="A673" s="148">
        <v>46129.0</v>
      </c>
      <c r="B673" s="110" t="s">
        <v>782</v>
      </c>
      <c r="C673" s="106">
        <v>1.0</v>
      </c>
      <c r="D673" s="149" t="str">
        <f>_xlfn.XLOOKUP(B673,[1]FullDataList!F:F,[1]FullDataList!O:O)</f>
        <v>#ERROR!</v>
      </c>
      <c r="E673" s="110" t="s">
        <v>4003</v>
      </c>
      <c r="H673" s="138"/>
      <c r="J673" s="138"/>
    </row>
    <row r="674" ht="15.75" customHeight="1">
      <c r="A674" s="148">
        <v>46129.0</v>
      </c>
      <c r="B674" s="110" t="s">
        <v>1253</v>
      </c>
      <c r="C674" s="106">
        <v>1.0</v>
      </c>
      <c r="D674" s="149" t="str">
        <f>_xlfn.XLOOKUP(B674,[1]FullDataList!F:F,[1]FullDataList!O:O)</f>
        <v>#ERROR!</v>
      </c>
      <c r="E674" s="110" t="s">
        <v>4025</v>
      </c>
      <c r="H674" s="138"/>
      <c r="J674" s="138"/>
    </row>
    <row r="675" ht="15.75" customHeight="1">
      <c r="A675" s="148">
        <v>46130.0</v>
      </c>
      <c r="B675" s="110" t="s">
        <v>2033</v>
      </c>
      <c r="C675" s="106">
        <v>1.0</v>
      </c>
      <c r="D675" s="149" t="str">
        <f>_xlfn.XLOOKUP(B675,[1]FullDataList!F:F,[1]FullDataList!O:O)</f>
        <v>#ERROR!</v>
      </c>
      <c r="E675" s="110" t="s">
        <v>4059</v>
      </c>
      <c r="H675" s="138"/>
      <c r="J675" s="138"/>
    </row>
    <row r="676" ht="15.75" customHeight="1">
      <c r="A676" s="148">
        <v>46130.0</v>
      </c>
      <c r="B676" s="110" t="s">
        <v>961</v>
      </c>
      <c r="C676" s="106">
        <v>1.0</v>
      </c>
      <c r="D676" s="149" t="str">
        <f>_xlfn.XLOOKUP(B676,[1]FullDataList!F:F,[1]FullDataList!O:O)</f>
        <v>#ERROR!</v>
      </c>
      <c r="E676" s="110" t="s">
        <v>4061</v>
      </c>
      <c r="H676" s="138"/>
      <c r="J676" s="138"/>
    </row>
    <row r="677" ht="15.75" customHeight="1">
      <c r="A677" s="148">
        <v>46130.0</v>
      </c>
      <c r="B677" s="110" t="s">
        <v>483</v>
      </c>
      <c r="C677" s="106">
        <v>1.0</v>
      </c>
      <c r="D677" s="149" t="str">
        <f>_xlfn.XLOOKUP(B677,[1]FullDataList!F:F,[1]FullDataList!O:O)</f>
        <v>#ERROR!</v>
      </c>
      <c r="E677" s="110" t="s">
        <v>4026</v>
      </c>
      <c r="H677" s="138"/>
      <c r="J677" s="138"/>
    </row>
    <row r="678" ht="15.75" customHeight="1">
      <c r="A678" s="148">
        <v>46130.0</v>
      </c>
      <c r="B678" s="110" t="s">
        <v>2080</v>
      </c>
      <c r="C678" s="106">
        <v>1.0</v>
      </c>
      <c r="D678" s="149" t="str">
        <f>_xlfn.XLOOKUP(B678,[1]FullDataList!F:F,[1]FullDataList!O:O)</f>
        <v>#ERROR!</v>
      </c>
      <c r="E678" s="110" t="s">
        <v>4028</v>
      </c>
      <c r="H678" s="138"/>
      <c r="J678" s="138"/>
    </row>
    <row r="679" ht="15.75" customHeight="1">
      <c r="A679" s="148">
        <v>46130.0</v>
      </c>
      <c r="B679" s="110" t="s">
        <v>988</v>
      </c>
      <c r="C679" s="106">
        <v>1.0</v>
      </c>
      <c r="D679" s="149" t="str">
        <f>_xlfn.XLOOKUP(B679,[1]FullDataList!F:F,[1]FullDataList!O:O)</f>
        <v>#ERROR!</v>
      </c>
      <c r="E679" s="110" t="s">
        <v>4060</v>
      </c>
      <c r="H679" s="138"/>
      <c r="J679" s="138"/>
    </row>
    <row r="680" ht="15.75" customHeight="1">
      <c r="A680" s="148">
        <v>46130.0</v>
      </c>
      <c r="B680" s="110" t="s">
        <v>2424</v>
      </c>
      <c r="C680" s="106">
        <v>1.0</v>
      </c>
      <c r="D680" s="149" t="str">
        <f>_xlfn.XLOOKUP(B680,[1]FullDataList!F:F,[1]FullDataList!O:O)</f>
        <v>#ERROR!</v>
      </c>
      <c r="E680" s="110" t="s">
        <v>4037</v>
      </c>
      <c r="H680" s="138"/>
      <c r="J680" s="138"/>
    </row>
    <row r="681" ht="15.75" customHeight="1">
      <c r="A681" s="148">
        <v>46130.0</v>
      </c>
      <c r="B681" s="110" t="s">
        <v>2390</v>
      </c>
      <c r="C681" s="106">
        <v>1.0</v>
      </c>
      <c r="D681" s="149" t="str">
        <f>_xlfn.XLOOKUP(B681,[1]FullDataList!F:F,[1]FullDataList!O:O)</f>
        <v>#ERROR!</v>
      </c>
      <c r="E681" s="110" t="s">
        <v>4049</v>
      </c>
      <c r="H681" s="138"/>
      <c r="J681" s="138"/>
    </row>
    <row r="682" ht="15.75" customHeight="1">
      <c r="A682" s="148">
        <v>46130.0</v>
      </c>
      <c r="B682" s="110" t="s">
        <v>712</v>
      </c>
      <c r="C682" s="106">
        <v>1.0</v>
      </c>
      <c r="D682" s="149" t="str">
        <f>_xlfn.XLOOKUP(B682,[1]FullDataList!F:F,[1]FullDataList!O:O)</f>
        <v>#ERROR!</v>
      </c>
      <c r="E682" s="110" t="s">
        <v>4051</v>
      </c>
      <c r="H682" s="138"/>
      <c r="J682" s="138"/>
    </row>
    <row r="683" ht="15.75" customHeight="1">
      <c r="A683" s="148">
        <v>46130.0</v>
      </c>
      <c r="B683" s="110" t="s">
        <v>1359</v>
      </c>
      <c r="C683" s="106">
        <v>1.0</v>
      </c>
      <c r="D683" s="149" t="str">
        <f>_xlfn.XLOOKUP(B683,[1]FullDataList!F:F,[1]FullDataList!O:O)</f>
        <v>#ERROR!</v>
      </c>
      <c r="E683" s="110" t="s">
        <v>4050</v>
      </c>
      <c r="H683" s="138"/>
      <c r="J683" s="138"/>
    </row>
    <row r="684" ht="15.75" customHeight="1">
      <c r="A684" s="148">
        <v>46130.0</v>
      </c>
      <c r="B684" s="110" t="s">
        <v>873</v>
      </c>
      <c r="C684" s="106">
        <v>1.0</v>
      </c>
      <c r="D684" s="149" t="str">
        <f>_xlfn.XLOOKUP(B684,[1]FullDataList!F:F,[1]FullDataList!O:O)</f>
        <v>#ERROR!</v>
      </c>
      <c r="E684" s="110" t="s">
        <v>4052</v>
      </c>
      <c r="H684" s="138"/>
      <c r="J684" s="138"/>
    </row>
    <row r="685" ht="15.75" customHeight="1">
      <c r="A685" s="148">
        <v>46130.0</v>
      </c>
      <c r="B685" s="110" t="s">
        <v>2039</v>
      </c>
      <c r="C685" s="106">
        <v>1.0</v>
      </c>
      <c r="D685" s="149" t="str">
        <f>_xlfn.XLOOKUP(B685,[1]FullDataList!F:F,[1]FullDataList!O:O)</f>
        <v>#ERROR!</v>
      </c>
      <c r="E685" s="110" t="s">
        <v>4053</v>
      </c>
      <c r="H685" s="138"/>
      <c r="J685" s="138"/>
    </row>
    <row r="686" ht="15.75" customHeight="1">
      <c r="A686" s="148">
        <v>46130.0</v>
      </c>
      <c r="B686" s="110" t="s">
        <v>2074</v>
      </c>
      <c r="C686" s="106">
        <v>1.0</v>
      </c>
      <c r="D686" s="149" t="str">
        <f>_xlfn.XLOOKUP(B686,[1]FullDataList!F:F,[1]FullDataList!O:O)</f>
        <v>#ERROR!</v>
      </c>
      <c r="E686" s="110" t="s">
        <v>4004</v>
      </c>
      <c r="H686" s="138"/>
      <c r="J686" s="138"/>
    </row>
    <row r="687" ht="15.75" customHeight="1">
      <c r="A687" s="148">
        <v>46130.0</v>
      </c>
      <c r="B687" s="110" t="s">
        <v>513</v>
      </c>
      <c r="C687" s="106">
        <v>1.0</v>
      </c>
      <c r="D687" s="149" t="str">
        <f>_xlfn.XLOOKUP(B687,[1]FullDataList!F:F,[1]FullDataList!O:O)</f>
        <v>#ERROR!</v>
      </c>
      <c r="E687" s="110" t="s">
        <v>4040</v>
      </c>
      <c r="H687" s="138"/>
      <c r="J687" s="138"/>
    </row>
    <row r="688" ht="15.75" customHeight="1">
      <c r="A688" s="148">
        <v>46130.0</v>
      </c>
      <c r="B688" s="110" t="s">
        <v>1260</v>
      </c>
      <c r="C688" s="106">
        <v>1.0</v>
      </c>
      <c r="D688" s="149" t="str">
        <f>_xlfn.XLOOKUP(B688,[1]FullDataList!F:F,[1]FullDataList!O:O)</f>
        <v>#ERROR!</v>
      </c>
      <c r="E688" s="110" t="s">
        <v>4032</v>
      </c>
      <c r="H688" s="138"/>
      <c r="J688" s="138"/>
    </row>
    <row r="689" ht="15.75" customHeight="1">
      <c r="A689" s="148">
        <v>46130.0</v>
      </c>
      <c r="B689" s="110" t="s">
        <v>1995</v>
      </c>
      <c r="C689" s="106">
        <v>1.0</v>
      </c>
      <c r="D689" s="149" t="str">
        <f>_xlfn.XLOOKUP(B689,[1]FullDataList!F:F,[1]FullDataList!O:O)</f>
        <v>#ERROR!</v>
      </c>
      <c r="E689" s="110" t="s">
        <v>4062</v>
      </c>
      <c r="H689" s="138"/>
      <c r="J689" s="138"/>
    </row>
    <row r="690" ht="15.75" customHeight="1">
      <c r="A690" s="148">
        <v>46130.0</v>
      </c>
      <c r="B690" s="110" t="s">
        <v>2035</v>
      </c>
      <c r="C690" s="106">
        <v>1.0</v>
      </c>
      <c r="D690" s="149" t="str">
        <f>_xlfn.XLOOKUP(B690,[1]FullDataList!F:F,[1]FullDataList!O:O)</f>
        <v>#ERROR!</v>
      </c>
      <c r="E690" s="110" t="s">
        <v>4042</v>
      </c>
      <c r="H690" s="138"/>
      <c r="J690" s="138"/>
    </row>
    <row r="691" ht="15.75" customHeight="1">
      <c r="A691" s="148">
        <v>46130.0</v>
      </c>
      <c r="B691" s="110" t="s">
        <v>1941</v>
      </c>
      <c r="C691" s="106">
        <v>1.0</v>
      </c>
      <c r="D691" s="149" t="str">
        <f>_xlfn.XLOOKUP(B691,[1]FullDataList!F:F,[1]FullDataList!O:O)</f>
        <v>#ERROR!</v>
      </c>
      <c r="E691" s="110" t="s">
        <v>4044</v>
      </c>
      <c r="H691" s="138"/>
      <c r="J691" s="138"/>
    </row>
    <row r="692" ht="15.75" customHeight="1">
      <c r="A692" s="148">
        <v>46130.0</v>
      </c>
      <c r="B692" s="110" t="s">
        <v>964</v>
      </c>
      <c r="C692" s="106">
        <v>1.0</v>
      </c>
      <c r="D692" s="149" t="str">
        <f>_xlfn.XLOOKUP(B692,[1]FullDataList!F:F,[1]FullDataList!O:O)</f>
        <v>#ERROR!</v>
      </c>
      <c r="E692" s="110" t="s">
        <v>4017</v>
      </c>
      <c r="H692" s="138"/>
      <c r="J692" s="138"/>
    </row>
    <row r="693" ht="15.75" customHeight="1">
      <c r="A693" s="148">
        <v>46130.0</v>
      </c>
      <c r="B693" s="110" t="s">
        <v>1096</v>
      </c>
      <c r="C693" s="106">
        <v>1.0</v>
      </c>
      <c r="D693" s="149" t="str">
        <f>_xlfn.XLOOKUP(B693,[1]FullDataList!F:F,[1]FullDataList!O:O)</f>
        <v>#ERROR!</v>
      </c>
      <c r="E693" s="110" t="s">
        <v>4027</v>
      </c>
      <c r="H693" s="138"/>
      <c r="J693" s="138"/>
    </row>
    <row r="694" ht="15.75" customHeight="1">
      <c r="A694" s="148">
        <v>46130.0</v>
      </c>
      <c r="B694" s="110" t="s">
        <v>2409</v>
      </c>
      <c r="C694" s="106">
        <v>1.0</v>
      </c>
      <c r="D694" s="149" t="str">
        <f>_xlfn.XLOOKUP(B694,[1]FullDataList!F:F,[1]FullDataList!O:O)</f>
        <v>#ERROR!</v>
      </c>
      <c r="E694" s="110" t="s">
        <v>4043</v>
      </c>
      <c r="H694" s="138"/>
      <c r="J694" s="138"/>
    </row>
    <row r="695" ht="15.75" customHeight="1">
      <c r="A695" s="148">
        <v>46130.0</v>
      </c>
      <c r="B695" s="110" t="s">
        <v>1632</v>
      </c>
      <c r="C695" s="106">
        <v>1.0</v>
      </c>
      <c r="D695" s="149" t="str">
        <f>_xlfn.XLOOKUP(B695,[1]FullDataList!F:F,[1]FullDataList!O:O)</f>
        <v>#ERROR!</v>
      </c>
      <c r="E695" s="110" t="s">
        <v>4063</v>
      </c>
      <c r="H695" s="138"/>
      <c r="J695" s="138"/>
    </row>
    <row r="696" ht="15.75" customHeight="1">
      <c r="A696" s="148">
        <v>46130.0</v>
      </c>
      <c r="B696" s="110" t="s">
        <v>1611</v>
      </c>
      <c r="C696" s="106">
        <v>1.0</v>
      </c>
      <c r="D696" s="149" t="str">
        <f>_xlfn.XLOOKUP(B696,[1]FullDataList!F:F,[1]FullDataList!O:O)</f>
        <v>#ERROR!</v>
      </c>
      <c r="E696" s="110" t="s">
        <v>4055</v>
      </c>
      <c r="H696" s="138"/>
      <c r="J696" s="138"/>
    </row>
    <row r="697" ht="15.75" customHeight="1">
      <c r="A697" s="148">
        <v>46130.0</v>
      </c>
      <c r="B697" s="110" t="s">
        <v>844</v>
      </c>
      <c r="C697" s="106">
        <v>1.0</v>
      </c>
      <c r="D697" s="149" t="str">
        <f>_xlfn.XLOOKUP(B697,[1]FullDataList!F:F,[1]FullDataList!O:O)</f>
        <v>#ERROR!</v>
      </c>
      <c r="E697" s="110" t="s">
        <v>4056</v>
      </c>
      <c r="H697" s="138"/>
      <c r="J697" s="138"/>
    </row>
    <row r="698" ht="15.75" customHeight="1">
      <c r="A698" s="148">
        <v>46130.0</v>
      </c>
      <c r="B698" s="110" t="s">
        <v>528</v>
      </c>
      <c r="C698" s="106">
        <v>1.0</v>
      </c>
      <c r="D698" s="149" t="str">
        <f>_xlfn.XLOOKUP(B698,[1]FullDataList!F:F,[1]FullDataList!O:O)</f>
        <v>#ERROR!</v>
      </c>
      <c r="E698" s="110" t="s">
        <v>4057</v>
      </c>
      <c r="H698" s="138"/>
      <c r="J698" s="138"/>
    </row>
    <row r="699" ht="15.75" customHeight="1">
      <c r="A699" s="148">
        <v>46130.0</v>
      </c>
      <c r="B699" s="110" t="s">
        <v>1243</v>
      </c>
      <c r="C699" s="106">
        <v>1.0</v>
      </c>
      <c r="D699" s="149" t="str">
        <f>_xlfn.XLOOKUP(B699,[1]FullDataList!F:F,[1]FullDataList!O:O)</f>
        <v>#ERROR!</v>
      </c>
      <c r="E699" s="110" t="s">
        <v>4012</v>
      </c>
      <c r="H699" s="138"/>
      <c r="J699" s="138"/>
    </row>
    <row r="700" ht="15.75" customHeight="1">
      <c r="A700" s="148">
        <v>46130.0</v>
      </c>
      <c r="B700" s="110" t="s">
        <v>810</v>
      </c>
      <c r="C700" s="106">
        <v>1.0</v>
      </c>
      <c r="D700" s="149" t="str">
        <f>_xlfn.XLOOKUP(B700,[1]FullDataList!F:F,[1]FullDataList!O:O)</f>
        <v>#ERROR!</v>
      </c>
      <c r="E700" s="110" t="s">
        <v>4041</v>
      </c>
      <c r="H700" s="138"/>
      <c r="J700" s="138"/>
    </row>
    <row r="701" ht="15.75" customHeight="1">
      <c r="A701" s="148">
        <v>46130.0</v>
      </c>
      <c r="B701" s="110" t="s">
        <v>753</v>
      </c>
      <c r="C701" s="106">
        <v>1.0</v>
      </c>
      <c r="D701" s="149" t="str">
        <f>_xlfn.XLOOKUP(B701,[1]FullDataList!F:F,[1]FullDataList!O:O)</f>
        <v>#ERROR!</v>
      </c>
      <c r="E701" s="110" t="s">
        <v>4058</v>
      </c>
      <c r="H701" s="138"/>
      <c r="J701" s="138"/>
    </row>
    <row r="702" ht="15.75" customHeight="1">
      <c r="A702" s="148">
        <v>46130.0</v>
      </c>
      <c r="B702" s="110" t="s">
        <v>783</v>
      </c>
      <c r="C702" s="106">
        <v>1.0</v>
      </c>
      <c r="D702" s="149" t="str">
        <f>_xlfn.XLOOKUP(B702,[1]FullDataList!F:F,[1]FullDataList!O:O)</f>
        <v>#ERROR!</v>
      </c>
      <c r="E702" s="110" t="s">
        <v>4003</v>
      </c>
      <c r="H702" s="138"/>
      <c r="J702" s="138"/>
    </row>
    <row r="703" ht="15.75" customHeight="1">
      <c r="A703" s="148">
        <v>46130.0</v>
      </c>
      <c r="B703" s="110" t="s">
        <v>1929</v>
      </c>
      <c r="C703" s="106">
        <v>1.0</v>
      </c>
      <c r="D703" s="149" t="str">
        <f>_xlfn.XLOOKUP(B703,[1]FullDataList!F:F,[1]FullDataList!O:O)</f>
        <v>#ERROR!</v>
      </c>
      <c r="E703" s="110" t="s">
        <v>4025</v>
      </c>
      <c r="H703" s="138"/>
      <c r="J703" s="138"/>
    </row>
    <row r="704" ht="15.75" customHeight="1">
      <c r="A704" s="148">
        <v>46132.0</v>
      </c>
      <c r="B704" s="110" t="s">
        <v>1072</v>
      </c>
      <c r="C704" s="106">
        <v>1.0</v>
      </c>
      <c r="D704" s="149" t="str">
        <f>_xlfn.XLOOKUP(B704,[1]FullDataList!F:F,[1]FullDataList!O:O)</f>
        <v>#ERROR!</v>
      </c>
      <c r="E704" s="110" t="s">
        <v>4059</v>
      </c>
      <c r="H704" s="138"/>
      <c r="J704" s="138"/>
    </row>
    <row r="705" ht="15.75" customHeight="1">
      <c r="A705" s="148">
        <v>46132.0</v>
      </c>
      <c r="B705" s="110" t="s">
        <v>962</v>
      </c>
      <c r="C705" s="106">
        <v>1.0</v>
      </c>
      <c r="D705" s="149" t="str">
        <f>_xlfn.XLOOKUP(B705,[1]FullDataList!F:F,[1]FullDataList!O:O)</f>
        <v>#ERROR!</v>
      </c>
      <c r="E705" s="110" t="s">
        <v>4061</v>
      </c>
      <c r="H705" s="138"/>
      <c r="J705" s="138"/>
    </row>
    <row r="706" ht="15.75" customHeight="1">
      <c r="A706" s="148">
        <v>46132.0</v>
      </c>
      <c r="B706" s="110" t="s">
        <v>486</v>
      </c>
      <c r="C706" s="106">
        <v>1.0</v>
      </c>
      <c r="D706" s="149" t="str">
        <f>_xlfn.XLOOKUP(B706,[1]FullDataList!F:F,[1]FullDataList!O:O)</f>
        <v>#ERROR!</v>
      </c>
      <c r="E706" s="110" t="s">
        <v>4064</v>
      </c>
      <c r="H706" s="138"/>
      <c r="J706" s="138"/>
    </row>
    <row r="707" ht="15.75" customHeight="1">
      <c r="A707" s="148">
        <v>46132.0</v>
      </c>
      <c r="B707" s="110" t="s">
        <v>943</v>
      </c>
      <c r="C707" s="106">
        <v>1.0</v>
      </c>
      <c r="D707" s="149" t="str">
        <f>_xlfn.XLOOKUP(B707,[1]FullDataList!F:F,[1]FullDataList!O:O)</f>
        <v>#ERROR!</v>
      </c>
      <c r="E707" s="110" t="s">
        <v>4065</v>
      </c>
      <c r="H707" s="138"/>
      <c r="J707" s="138"/>
    </row>
    <row r="708" ht="15.75" customHeight="1">
      <c r="A708" s="148">
        <v>46132.0</v>
      </c>
      <c r="B708" s="110" t="s">
        <v>484</v>
      </c>
      <c r="C708" s="106">
        <v>1.0</v>
      </c>
      <c r="D708" s="149" t="str">
        <f>_xlfn.XLOOKUP(B708,[1]FullDataList!F:F,[1]FullDataList!O:O)</f>
        <v>#ERROR!</v>
      </c>
      <c r="E708" s="110" t="s">
        <v>4026</v>
      </c>
      <c r="H708" s="138"/>
      <c r="J708" s="138"/>
    </row>
    <row r="709" ht="15.75" customHeight="1">
      <c r="A709" s="148">
        <v>46132.0</v>
      </c>
      <c r="B709" s="110" t="s">
        <v>2081</v>
      </c>
      <c r="C709" s="106">
        <v>1.0</v>
      </c>
      <c r="D709" s="149" t="str">
        <f>_xlfn.XLOOKUP(B709,[1]FullDataList!F:F,[1]FullDataList!O:O)</f>
        <v>#ERROR!</v>
      </c>
      <c r="E709" s="110" t="s">
        <v>4028</v>
      </c>
      <c r="H709" s="138"/>
      <c r="J709" s="138"/>
    </row>
    <row r="710" ht="15.75" customHeight="1">
      <c r="A710" s="148">
        <v>46132.0</v>
      </c>
      <c r="B710" s="110" t="s">
        <v>987</v>
      </c>
      <c r="C710" s="106">
        <v>1.0</v>
      </c>
      <c r="D710" s="149" t="str">
        <f>_xlfn.XLOOKUP(B710,[1]FullDataList!F:F,[1]FullDataList!O:O)</f>
        <v>#ERROR!</v>
      </c>
      <c r="E710" s="110" t="s">
        <v>4060</v>
      </c>
      <c r="H710" s="138"/>
      <c r="J710" s="138"/>
    </row>
    <row r="711" ht="15.75" customHeight="1">
      <c r="A711" s="148">
        <v>46132.0</v>
      </c>
      <c r="B711" s="110" t="s">
        <v>2391</v>
      </c>
      <c r="C711" s="106">
        <v>1.0</v>
      </c>
      <c r="D711" s="149" t="str">
        <f>_xlfn.XLOOKUP(B711,[1]FullDataList!F:F,[1]FullDataList!O:O)</f>
        <v>#ERROR!</v>
      </c>
      <c r="E711" s="110" t="s">
        <v>4049</v>
      </c>
      <c r="H711" s="138"/>
      <c r="J711" s="138"/>
    </row>
    <row r="712" ht="15.75" customHeight="1">
      <c r="A712" s="148">
        <v>46132.0</v>
      </c>
      <c r="B712" s="110" t="s">
        <v>713</v>
      </c>
      <c r="C712" s="106">
        <v>1.0</v>
      </c>
      <c r="D712" s="149" t="str">
        <f>_xlfn.XLOOKUP(B712,[1]FullDataList!F:F,[1]FullDataList!O:O)</f>
        <v>#ERROR!</v>
      </c>
      <c r="E712" s="110" t="s">
        <v>4051</v>
      </c>
      <c r="H712" s="138"/>
      <c r="J712" s="138"/>
    </row>
    <row r="713" ht="15.75" customHeight="1">
      <c r="A713" s="148">
        <v>46132.0</v>
      </c>
      <c r="B713" s="110" t="s">
        <v>321</v>
      </c>
      <c r="C713" s="106">
        <v>1.0</v>
      </c>
      <c r="D713" s="149" t="str">
        <f>_xlfn.XLOOKUP(B713,[1]FullDataList!F:F,[1]FullDataList!O:O)</f>
        <v>#ERROR!</v>
      </c>
      <c r="E713" s="110" t="s">
        <v>4050</v>
      </c>
      <c r="H713" s="138"/>
      <c r="J713" s="138"/>
    </row>
    <row r="714" ht="15.75" customHeight="1">
      <c r="A714" s="148">
        <v>46132.0</v>
      </c>
      <c r="B714" s="110" t="s">
        <v>793</v>
      </c>
      <c r="C714" s="106">
        <v>1.0</v>
      </c>
      <c r="D714" s="149" t="str">
        <f>_xlfn.XLOOKUP(B714,[1]FullDataList!F:F,[1]FullDataList!O:O)</f>
        <v>#ERROR!</v>
      </c>
      <c r="E714" s="110" t="s">
        <v>4052</v>
      </c>
      <c r="H714" s="138"/>
      <c r="J714" s="138"/>
    </row>
    <row r="715" ht="15.75" customHeight="1">
      <c r="A715" s="148">
        <v>46132.0</v>
      </c>
      <c r="B715" s="110" t="s">
        <v>2040</v>
      </c>
      <c r="C715" s="106">
        <v>1.0</v>
      </c>
      <c r="D715" s="149" t="str">
        <f>_xlfn.XLOOKUP(B715,[1]FullDataList!F:F,[1]FullDataList!O:O)</f>
        <v>#ERROR!</v>
      </c>
      <c r="E715" s="110" t="s">
        <v>4053</v>
      </c>
      <c r="H715" s="138"/>
      <c r="J715" s="138"/>
    </row>
    <row r="716" ht="15.75" customHeight="1">
      <c r="A716" s="148">
        <v>46132.0</v>
      </c>
      <c r="B716" s="110" t="s">
        <v>991</v>
      </c>
      <c r="C716" s="106">
        <v>1.0</v>
      </c>
      <c r="D716" s="149" t="str">
        <f>_xlfn.XLOOKUP(B716,[1]FullDataList!F:F,[1]FullDataList!O:O)</f>
        <v>#ERROR!</v>
      </c>
      <c r="E716" s="110" t="s">
        <v>4004</v>
      </c>
      <c r="H716" s="138"/>
      <c r="J716" s="138"/>
    </row>
    <row r="717" ht="15.75" customHeight="1">
      <c r="A717" s="148">
        <v>46132.0</v>
      </c>
      <c r="B717" s="110" t="s">
        <v>2007</v>
      </c>
      <c r="C717" s="106">
        <v>1.0</v>
      </c>
      <c r="D717" s="149" t="str">
        <f>_xlfn.XLOOKUP(B717,[1]FullDataList!F:F,[1]FullDataList!O:O)</f>
        <v>#ERROR!</v>
      </c>
      <c r="E717" s="110" t="s">
        <v>4009</v>
      </c>
      <c r="H717" s="138"/>
      <c r="J717" s="138"/>
    </row>
    <row r="718" ht="15.75" customHeight="1">
      <c r="A718" s="148">
        <v>46132.0</v>
      </c>
      <c r="B718" s="110" t="s">
        <v>888</v>
      </c>
      <c r="C718" s="106">
        <v>1.0</v>
      </c>
      <c r="D718" s="149" t="str">
        <f>_xlfn.XLOOKUP(B718,[1]FullDataList!F:F,[1]FullDataList!O:O)</f>
        <v>#ERROR!</v>
      </c>
      <c r="E718" s="110" t="s">
        <v>4040</v>
      </c>
      <c r="H718" s="138"/>
      <c r="J718" s="138"/>
    </row>
    <row r="719" ht="15.75" customHeight="1">
      <c r="A719" s="148">
        <v>46132.0</v>
      </c>
      <c r="B719" s="110" t="s">
        <v>1276</v>
      </c>
      <c r="C719" s="106">
        <v>1.0</v>
      </c>
      <c r="D719" s="149" t="str">
        <f>_xlfn.XLOOKUP(B719,[1]FullDataList!F:F,[1]FullDataList!O:O)</f>
        <v>#ERROR!</v>
      </c>
      <c r="E719" s="110" t="s">
        <v>4032</v>
      </c>
      <c r="H719" s="138"/>
      <c r="J719" s="138"/>
    </row>
    <row r="720" ht="15.75" customHeight="1">
      <c r="A720" s="148">
        <v>46132.0</v>
      </c>
      <c r="B720" s="110" t="s">
        <v>1996</v>
      </c>
      <c r="C720" s="106">
        <v>1.0</v>
      </c>
      <c r="D720" s="149" t="str">
        <f>_xlfn.XLOOKUP(B720,[1]FullDataList!F:F,[1]FullDataList!O:O)</f>
        <v>#ERROR!</v>
      </c>
      <c r="E720" s="110" t="s">
        <v>4062</v>
      </c>
      <c r="H720" s="138"/>
      <c r="J720" s="138"/>
    </row>
    <row r="721" ht="15.75" customHeight="1">
      <c r="A721" s="148">
        <v>46132.0</v>
      </c>
      <c r="B721" s="110" t="s">
        <v>1068</v>
      </c>
      <c r="C721" s="106">
        <v>1.0</v>
      </c>
      <c r="D721" s="149" t="str">
        <f>_xlfn.XLOOKUP(B721,[1]FullDataList!F:F,[1]FullDataList!O:O)</f>
        <v>#ERROR!</v>
      </c>
      <c r="E721" s="110" t="s">
        <v>4045</v>
      </c>
      <c r="H721" s="138"/>
      <c r="J721" s="138"/>
    </row>
    <row r="722" ht="15.75" customHeight="1">
      <c r="A722" s="148">
        <v>46132.0</v>
      </c>
      <c r="B722" s="110" t="s">
        <v>1065</v>
      </c>
      <c r="C722" s="106">
        <v>1.0</v>
      </c>
      <c r="D722" s="149" t="str">
        <f>_xlfn.XLOOKUP(B722,[1]FullDataList!F:F,[1]FullDataList!O:O)</f>
        <v>#ERROR!</v>
      </c>
      <c r="E722" s="110" t="s">
        <v>4042</v>
      </c>
      <c r="H722" s="138"/>
      <c r="J722" s="138"/>
    </row>
    <row r="723" ht="15.75" customHeight="1">
      <c r="A723" s="148">
        <v>46132.0</v>
      </c>
      <c r="B723" s="110" t="s">
        <v>1980</v>
      </c>
      <c r="C723" s="106">
        <v>1.0</v>
      </c>
      <c r="D723" s="149" t="str">
        <f>_xlfn.XLOOKUP(B723,[1]FullDataList!F:F,[1]FullDataList!O:O)</f>
        <v>#ERROR!</v>
      </c>
      <c r="E723" s="110" t="s">
        <v>4044</v>
      </c>
      <c r="H723" s="138"/>
      <c r="J723" s="138"/>
    </row>
    <row r="724" ht="15.75" customHeight="1">
      <c r="A724" s="148">
        <v>46132.0</v>
      </c>
      <c r="B724" s="110" t="s">
        <v>297</v>
      </c>
      <c r="C724" s="106">
        <v>1.0</v>
      </c>
      <c r="D724" s="149" t="str">
        <f>_xlfn.XLOOKUP(B724,[1]FullDataList!F:F,[1]FullDataList!O:O)</f>
        <v>#ERROR!</v>
      </c>
      <c r="E724" s="110" t="s">
        <v>4017</v>
      </c>
      <c r="H724" s="138"/>
      <c r="J724" s="138"/>
    </row>
    <row r="725" ht="15.75" customHeight="1">
      <c r="A725" s="148">
        <v>46132.0</v>
      </c>
      <c r="B725" s="110" t="s">
        <v>1060</v>
      </c>
      <c r="C725" s="106">
        <v>1.0</v>
      </c>
      <c r="D725" s="149" t="str">
        <f>_xlfn.XLOOKUP(B725,[1]FullDataList!F:F,[1]FullDataList!O:O)</f>
        <v>#ERROR!</v>
      </c>
      <c r="E725" s="110" t="s">
        <v>4027</v>
      </c>
      <c r="H725" s="138"/>
      <c r="J725" s="138"/>
    </row>
    <row r="726" ht="15.75" customHeight="1">
      <c r="A726" s="148">
        <v>46132.0</v>
      </c>
      <c r="B726" s="110" t="s">
        <v>2410</v>
      </c>
      <c r="C726" s="106">
        <v>1.0</v>
      </c>
      <c r="D726" s="149" t="str">
        <f>_xlfn.XLOOKUP(B726,[1]FullDataList!F:F,[1]FullDataList!O:O)</f>
        <v>#ERROR!</v>
      </c>
      <c r="E726" s="110" t="s">
        <v>4043</v>
      </c>
      <c r="H726" s="138"/>
      <c r="J726" s="138"/>
    </row>
    <row r="727" ht="15.75" customHeight="1">
      <c r="A727" s="148">
        <v>46132.0</v>
      </c>
      <c r="B727" s="110" t="s">
        <v>824</v>
      </c>
      <c r="C727" s="106">
        <v>1.0</v>
      </c>
      <c r="D727" s="149" t="str">
        <f>_xlfn.XLOOKUP(B727,[1]FullDataList!F:F,[1]FullDataList!O:O)</f>
        <v>#ERROR!</v>
      </c>
      <c r="E727" s="110" t="s">
        <v>4055</v>
      </c>
      <c r="H727" s="138"/>
      <c r="J727" s="138"/>
    </row>
    <row r="728" ht="15.75" customHeight="1">
      <c r="A728" s="148">
        <v>46132.0</v>
      </c>
      <c r="B728" s="110" t="s">
        <v>703</v>
      </c>
      <c r="C728" s="106">
        <v>1.0</v>
      </c>
      <c r="D728" s="149" t="str">
        <f>_xlfn.XLOOKUP(B728,[1]FullDataList!F:F,[1]FullDataList!O:O)</f>
        <v>#ERROR!</v>
      </c>
      <c r="E728" s="110" t="s">
        <v>4013</v>
      </c>
      <c r="H728" s="138"/>
      <c r="J728" s="138"/>
    </row>
    <row r="729" ht="15.75" customHeight="1">
      <c r="A729" s="148">
        <v>46132.0</v>
      </c>
      <c r="B729" s="110" t="s">
        <v>928</v>
      </c>
      <c r="C729" s="106">
        <v>1.0</v>
      </c>
      <c r="D729" s="149" t="str">
        <f>_xlfn.XLOOKUP(B729,[1]FullDataList!F:F,[1]FullDataList!O:O)</f>
        <v>#ERROR!</v>
      </c>
      <c r="E729" s="110" t="s">
        <v>4056</v>
      </c>
      <c r="H729" s="138"/>
      <c r="J729" s="138"/>
    </row>
    <row r="730" ht="15.75" customHeight="1">
      <c r="A730" s="148">
        <v>46132.0</v>
      </c>
      <c r="B730" s="110" t="s">
        <v>499</v>
      </c>
      <c r="C730" s="106">
        <v>1.0</v>
      </c>
      <c r="D730" s="149" t="str">
        <f>_xlfn.XLOOKUP(B730,[1]FullDataList!F:F,[1]FullDataList!O:O)</f>
        <v>#ERROR!</v>
      </c>
      <c r="E730" s="110" t="s">
        <v>4057</v>
      </c>
      <c r="H730" s="138"/>
      <c r="J730" s="138"/>
    </row>
    <row r="731" ht="15.75" customHeight="1">
      <c r="A731" s="148">
        <v>46132.0</v>
      </c>
      <c r="B731" s="110" t="s">
        <v>1537</v>
      </c>
      <c r="C731" s="106">
        <v>1.0</v>
      </c>
      <c r="D731" s="149" t="str">
        <f>_xlfn.XLOOKUP(B731,[1]FullDataList!F:F,[1]FullDataList!O:O)</f>
        <v>#ERROR!</v>
      </c>
      <c r="E731" s="110" t="s">
        <v>4008</v>
      </c>
      <c r="H731" s="138"/>
      <c r="J731" s="138"/>
    </row>
    <row r="732" ht="15.75" customHeight="1">
      <c r="A732" s="148">
        <v>46132.0</v>
      </c>
      <c r="B732" s="110" t="s">
        <v>2069</v>
      </c>
      <c r="C732" s="106">
        <v>1.0</v>
      </c>
      <c r="D732" s="149" t="str">
        <f>_xlfn.XLOOKUP(B732,[1]FullDataList!F:F,[1]FullDataList!O:O)</f>
        <v>#ERROR!</v>
      </c>
      <c r="E732" s="110" t="s">
        <v>4039</v>
      </c>
      <c r="H732" s="138"/>
      <c r="J732" s="138"/>
    </row>
    <row r="733" ht="15.75" customHeight="1">
      <c r="A733" s="148">
        <v>46132.0</v>
      </c>
      <c r="B733" s="110" t="s">
        <v>754</v>
      </c>
      <c r="C733" s="106">
        <v>1.0</v>
      </c>
      <c r="D733" s="149" t="str">
        <f>_xlfn.XLOOKUP(B733,[1]FullDataList!F:F,[1]FullDataList!O:O)</f>
        <v>#ERROR!</v>
      </c>
      <c r="E733" s="110" t="s">
        <v>4058</v>
      </c>
      <c r="H733" s="138"/>
      <c r="J733" s="138"/>
    </row>
    <row r="734" ht="15.75" customHeight="1">
      <c r="A734" s="148">
        <v>46132.0</v>
      </c>
      <c r="B734" s="110" t="s">
        <v>2004</v>
      </c>
      <c r="C734" s="106">
        <v>1.0</v>
      </c>
      <c r="D734" s="149" t="str">
        <f>_xlfn.XLOOKUP(B734,[1]FullDataList!F:F,[1]FullDataList!O:O)</f>
        <v>#ERROR!</v>
      </c>
      <c r="E734" s="110" t="s">
        <v>4011</v>
      </c>
      <c r="H734" s="138"/>
      <c r="J734" s="138"/>
    </row>
    <row r="735" ht="15.75" customHeight="1">
      <c r="A735" s="148">
        <v>46132.0</v>
      </c>
      <c r="B735" s="110" t="s">
        <v>784</v>
      </c>
      <c r="C735" s="106">
        <v>1.0</v>
      </c>
      <c r="D735" s="149" t="str">
        <f>_xlfn.XLOOKUP(B735,[1]FullDataList!F:F,[1]FullDataList!O:O)</f>
        <v>#ERROR!</v>
      </c>
      <c r="E735" s="110" t="s">
        <v>4003</v>
      </c>
      <c r="H735" s="138"/>
      <c r="J735" s="138"/>
    </row>
    <row r="736" ht="15.75" customHeight="1">
      <c r="A736" s="148">
        <v>46132.0</v>
      </c>
      <c r="B736" s="110" t="s">
        <v>1258</v>
      </c>
      <c r="C736" s="106">
        <v>1.0</v>
      </c>
      <c r="D736" s="149" t="str">
        <f>_xlfn.XLOOKUP(B736,[1]FullDataList!F:F,[1]FullDataList!O:O)</f>
        <v>#ERROR!</v>
      </c>
      <c r="E736" s="110" t="s">
        <v>4066</v>
      </c>
      <c r="H736" s="138"/>
      <c r="J736" s="138"/>
    </row>
    <row r="737" ht="15.75" customHeight="1">
      <c r="A737" s="148">
        <v>46133.0</v>
      </c>
      <c r="B737" s="110" t="s">
        <v>1073</v>
      </c>
      <c r="C737" s="106">
        <v>1.0</v>
      </c>
      <c r="D737" s="149" t="str">
        <f>_xlfn.XLOOKUP(B737,[1]FullDataList!F:F,[1]FullDataList!O:O)</f>
        <v>#ERROR!</v>
      </c>
      <c r="E737" s="110" t="s">
        <v>4059</v>
      </c>
      <c r="H737" s="138"/>
      <c r="J737" s="138"/>
    </row>
    <row r="738" ht="15.75" customHeight="1">
      <c r="A738" s="148">
        <v>46133.0</v>
      </c>
      <c r="B738" s="110" t="s">
        <v>973</v>
      </c>
      <c r="C738" s="106">
        <v>1.0</v>
      </c>
      <c r="D738" s="149" t="str">
        <f>_xlfn.XLOOKUP(B738,[1]FullDataList!F:F,[1]FullDataList!O:O)</f>
        <v>#ERROR!</v>
      </c>
      <c r="E738" s="110" t="s">
        <v>4061</v>
      </c>
      <c r="H738" s="138"/>
      <c r="J738" s="138"/>
    </row>
    <row r="739" ht="15.75" customHeight="1">
      <c r="A739" s="148">
        <v>46133.0</v>
      </c>
      <c r="B739" s="110" t="s">
        <v>501</v>
      </c>
      <c r="C739" s="106">
        <v>1.0</v>
      </c>
      <c r="D739" s="149" t="str">
        <f>_xlfn.XLOOKUP(B739,[1]FullDataList!F:F,[1]FullDataList!O:O)</f>
        <v>#ERROR!</v>
      </c>
      <c r="E739" s="110" t="s">
        <v>4064</v>
      </c>
      <c r="H739" s="138"/>
      <c r="J739" s="138"/>
    </row>
    <row r="740" ht="15.75" customHeight="1">
      <c r="A740" s="148">
        <v>46133.0</v>
      </c>
      <c r="B740" s="110" t="s">
        <v>2376</v>
      </c>
      <c r="C740" s="106">
        <v>1.0</v>
      </c>
      <c r="D740" s="149" t="str">
        <f>_xlfn.XLOOKUP(B740,[1]FullDataList!F:F,[1]FullDataList!O:O)</f>
        <v>#ERROR!</v>
      </c>
      <c r="E740" s="110" t="s">
        <v>4026</v>
      </c>
      <c r="H740" s="138"/>
      <c r="J740" s="138"/>
    </row>
    <row r="741" ht="15.75" customHeight="1">
      <c r="A741" s="148">
        <v>46133.0</v>
      </c>
      <c r="B741" s="110" t="s">
        <v>2082</v>
      </c>
      <c r="C741" s="106">
        <v>1.0</v>
      </c>
      <c r="D741" s="149" t="str">
        <f>_xlfn.XLOOKUP(B741,[1]FullDataList!F:F,[1]FullDataList!O:O)</f>
        <v>#ERROR!</v>
      </c>
      <c r="E741" s="110" t="s">
        <v>4028</v>
      </c>
      <c r="H741" s="138"/>
      <c r="J741" s="138"/>
    </row>
    <row r="742" ht="15.75" customHeight="1">
      <c r="A742" s="148">
        <v>46133.0</v>
      </c>
      <c r="B742" s="110" t="s">
        <v>979</v>
      </c>
      <c r="C742" s="106">
        <v>1.0</v>
      </c>
      <c r="D742" s="149" t="str">
        <f>_xlfn.XLOOKUP(B742,[1]FullDataList!F:F,[1]FullDataList!O:O)</f>
        <v>#ERROR!</v>
      </c>
      <c r="E742" s="110" t="s">
        <v>4060</v>
      </c>
      <c r="H742" s="138"/>
      <c r="J742" s="138"/>
    </row>
    <row r="743" ht="15.75" customHeight="1">
      <c r="A743" s="148">
        <v>46133.0</v>
      </c>
      <c r="B743" s="110" t="s">
        <v>1888</v>
      </c>
      <c r="C743" s="106">
        <v>1.0</v>
      </c>
      <c r="D743" s="149" t="str">
        <f>_xlfn.XLOOKUP(B743,[1]FullDataList!F:F,[1]FullDataList!O:O)</f>
        <v>#ERROR!</v>
      </c>
      <c r="E743" s="110" t="s">
        <v>4037</v>
      </c>
      <c r="H743" s="138"/>
      <c r="J743" s="138"/>
    </row>
    <row r="744" ht="15.75" customHeight="1">
      <c r="A744" s="148">
        <v>46133.0</v>
      </c>
      <c r="B744" s="110" t="s">
        <v>2037</v>
      </c>
      <c r="C744" s="106">
        <v>1.0</v>
      </c>
      <c r="D744" s="149" t="str">
        <f>_xlfn.XLOOKUP(B744,[1]FullDataList!F:F,[1]FullDataList!O:O)</f>
        <v>#ERROR!</v>
      </c>
      <c r="E744" s="110" t="s">
        <v>4047</v>
      </c>
      <c r="H744" s="138"/>
      <c r="J744" s="138"/>
    </row>
    <row r="745" ht="15.75" customHeight="1">
      <c r="A745" s="148">
        <v>46133.0</v>
      </c>
      <c r="B745" s="110" t="s">
        <v>1958</v>
      </c>
      <c r="C745" s="106">
        <v>1.0</v>
      </c>
      <c r="D745" s="149" t="str">
        <f>_xlfn.XLOOKUP(B745,[1]FullDataList!F:F,[1]FullDataList!O:O)</f>
        <v>#ERROR!</v>
      </c>
      <c r="E745" s="110" t="s">
        <v>4048</v>
      </c>
      <c r="H745" s="138"/>
      <c r="J745" s="138"/>
    </row>
    <row r="746" ht="15.75" customHeight="1">
      <c r="A746" s="148">
        <v>46133.0</v>
      </c>
      <c r="B746" s="110" t="s">
        <v>1270</v>
      </c>
      <c r="C746" s="106">
        <v>1.0</v>
      </c>
      <c r="D746" s="149" t="str">
        <f>_xlfn.XLOOKUP(B746,[1]FullDataList!F:F,[1]FullDataList!O:O)</f>
        <v>#ERROR!</v>
      </c>
      <c r="E746" s="110" t="s">
        <v>4054</v>
      </c>
      <c r="H746" s="138"/>
      <c r="J746" s="138"/>
    </row>
    <row r="747" ht="15.75" customHeight="1">
      <c r="A747" s="148">
        <v>46133.0</v>
      </c>
      <c r="B747" s="110" t="s">
        <v>2462</v>
      </c>
      <c r="C747" s="106">
        <v>1.0</v>
      </c>
      <c r="D747" s="149" t="str">
        <f>_xlfn.XLOOKUP(B747,[1]FullDataList!F:F,[1]FullDataList!O:O)</f>
        <v>#ERROR!</v>
      </c>
      <c r="E747" s="110" t="s">
        <v>4049</v>
      </c>
      <c r="H747" s="138"/>
      <c r="J747" s="138"/>
    </row>
    <row r="748" ht="15.75" customHeight="1">
      <c r="A748" s="148">
        <v>46133.0</v>
      </c>
      <c r="B748" s="110" t="s">
        <v>714</v>
      </c>
      <c r="C748" s="106">
        <v>1.0</v>
      </c>
      <c r="D748" s="149" t="str">
        <f>_xlfn.XLOOKUP(B748,[1]FullDataList!F:F,[1]FullDataList!O:O)</f>
        <v>#ERROR!</v>
      </c>
      <c r="E748" s="110" t="s">
        <v>4051</v>
      </c>
      <c r="H748" s="138"/>
      <c r="J748" s="138"/>
    </row>
    <row r="749" ht="15.75" customHeight="1">
      <c r="A749" s="148">
        <v>46133.0</v>
      </c>
      <c r="B749" s="110" t="s">
        <v>373</v>
      </c>
      <c r="C749" s="106">
        <v>1.0</v>
      </c>
      <c r="D749" s="149" t="str">
        <f>_xlfn.XLOOKUP(B749,[1]FullDataList!F:F,[1]FullDataList!O:O)</f>
        <v>#ERROR!</v>
      </c>
      <c r="E749" s="110" t="s">
        <v>4050</v>
      </c>
      <c r="H749" s="138"/>
      <c r="J749" s="138"/>
    </row>
    <row r="750" ht="15.75" customHeight="1">
      <c r="A750" s="148">
        <v>46133.0</v>
      </c>
      <c r="B750" s="110" t="s">
        <v>815</v>
      </c>
      <c r="C750" s="106">
        <v>1.0</v>
      </c>
      <c r="D750" s="149" t="str">
        <f>_xlfn.XLOOKUP(B750,[1]FullDataList!F:F,[1]FullDataList!O:O)</f>
        <v>#ERROR!</v>
      </c>
      <c r="E750" s="110" t="s">
        <v>4052</v>
      </c>
      <c r="H750" s="138"/>
      <c r="J750" s="138"/>
    </row>
    <row r="751" ht="15.75" customHeight="1">
      <c r="A751" s="148">
        <v>46133.0</v>
      </c>
      <c r="B751" s="110" t="s">
        <v>1931</v>
      </c>
      <c r="C751" s="106">
        <v>1.0</v>
      </c>
      <c r="D751" s="149" t="str">
        <f>_xlfn.XLOOKUP(B751,[1]FullDataList!F:F,[1]FullDataList!O:O)</f>
        <v>#ERROR!</v>
      </c>
      <c r="E751" s="110" t="s">
        <v>4053</v>
      </c>
      <c r="H751" s="138"/>
      <c r="J751" s="138"/>
    </row>
    <row r="752" ht="15.75" customHeight="1">
      <c r="A752" s="148">
        <v>46133.0</v>
      </c>
      <c r="B752" s="110" t="s">
        <v>992</v>
      </c>
      <c r="C752" s="106">
        <v>1.0</v>
      </c>
      <c r="D752" s="149" t="str">
        <f>_xlfn.XLOOKUP(B752,[1]FullDataList!F:F,[1]FullDataList!O:O)</f>
        <v>#ERROR!</v>
      </c>
      <c r="E752" s="110" t="s">
        <v>4004</v>
      </c>
      <c r="H752" s="138"/>
      <c r="J752" s="138"/>
    </row>
    <row r="753" ht="15.75" customHeight="1">
      <c r="A753" s="148">
        <v>46133.0</v>
      </c>
      <c r="B753" s="110" t="s">
        <v>2458</v>
      </c>
      <c r="C753" s="106">
        <v>1.0</v>
      </c>
      <c r="D753" s="149" t="str">
        <f>_xlfn.XLOOKUP(B753,[1]FullDataList!F:F,[1]FullDataList!O:O)</f>
        <v>#ERROR!</v>
      </c>
      <c r="E753" s="110" t="s">
        <v>4009</v>
      </c>
      <c r="H753" s="138"/>
      <c r="J753" s="138"/>
    </row>
    <row r="754" ht="15.75" customHeight="1">
      <c r="A754" s="148">
        <v>46133.0</v>
      </c>
      <c r="B754" s="110" t="s">
        <v>857</v>
      </c>
      <c r="C754" s="106">
        <v>1.0</v>
      </c>
      <c r="D754" s="149" t="str">
        <f>_xlfn.XLOOKUP(B754,[1]FullDataList!F:F,[1]FullDataList!O:O)</f>
        <v>#ERROR!</v>
      </c>
      <c r="E754" s="110" t="s">
        <v>4040</v>
      </c>
      <c r="H754" s="138"/>
      <c r="J754" s="138"/>
    </row>
    <row r="755" ht="15.75" customHeight="1">
      <c r="A755" s="148">
        <v>46133.0</v>
      </c>
      <c r="B755" s="110" t="s">
        <v>1093</v>
      </c>
      <c r="C755" s="106">
        <v>1.0</v>
      </c>
      <c r="D755" s="149" t="str">
        <f>_xlfn.XLOOKUP(B755,[1]FullDataList!F:F,[1]FullDataList!O:O)</f>
        <v>#ERROR!</v>
      </c>
      <c r="E755" s="110" t="s">
        <v>4032</v>
      </c>
      <c r="H755" s="138"/>
      <c r="J755" s="138"/>
    </row>
    <row r="756" ht="15.75" customHeight="1">
      <c r="A756" s="148">
        <v>46133.0</v>
      </c>
      <c r="B756" s="110" t="s">
        <v>746</v>
      </c>
      <c r="C756" s="106">
        <v>1.0</v>
      </c>
      <c r="D756" s="149" t="str">
        <f>_xlfn.XLOOKUP(B756,[1]FullDataList!F:F,[1]FullDataList!O:O)</f>
        <v>#ERROR!</v>
      </c>
      <c r="E756" s="110" t="s">
        <v>4062</v>
      </c>
      <c r="H756" s="138"/>
      <c r="J756" s="138"/>
    </row>
    <row r="757" ht="15.75" customHeight="1">
      <c r="A757" s="148">
        <v>46133.0</v>
      </c>
      <c r="B757" s="110" t="s">
        <v>2341</v>
      </c>
      <c r="C757" s="106">
        <v>1.0</v>
      </c>
      <c r="D757" s="149" t="str">
        <f>_xlfn.XLOOKUP(B757,[1]FullDataList!F:F,[1]FullDataList!O:O)</f>
        <v>#ERROR!</v>
      </c>
      <c r="E757" s="110" t="s">
        <v>4017</v>
      </c>
      <c r="H757" s="138"/>
      <c r="J757" s="138"/>
    </row>
    <row r="758" ht="15.75" customHeight="1">
      <c r="A758" s="148">
        <v>46133.0</v>
      </c>
      <c r="B758" s="110" t="s">
        <v>1630</v>
      </c>
      <c r="C758" s="106">
        <v>1.0</v>
      </c>
      <c r="D758" s="149" t="str">
        <f>_xlfn.XLOOKUP(B758,[1]FullDataList!F:F,[1]FullDataList!O:O)</f>
        <v>#ERROR!</v>
      </c>
      <c r="E758" s="110" t="s">
        <v>4027</v>
      </c>
      <c r="H758" s="138"/>
      <c r="J758" s="138"/>
    </row>
    <row r="759" ht="15.75" customHeight="1">
      <c r="A759" s="148">
        <v>46133.0</v>
      </c>
      <c r="B759" s="110" t="s">
        <v>1942</v>
      </c>
      <c r="C759" s="106">
        <v>1.0</v>
      </c>
      <c r="D759" s="149" t="str">
        <f>_xlfn.XLOOKUP(B759,[1]FullDataList!F:F,[1]FullDataList!O:O)</f>
        <v>#ERROR!</v>
      </c>
      <c r="E759" s="110" t="s">
        <v>4030</v>
      </c>
      <c r="H759" s="138"/>
      <c r="J759" s="138"/>
    </row>
    <row r="760" ht="15.75" customHeight="1">
      <c r="A760" s="148">
        <v>46133.0</v>
      </c>
      <c r="B760" s="110" t="s">
        <v>2411</v>
      </c>
      <c r="C760" s="106">
        <v>1.0</v>
      </c>
      <c r="D760" s="149" t="str">
        <f>_xlfn.XLOOKUP(B760,[1]FullDataList!F:F,[1]FullDataList!O:O)</f>
        <v>#ERROR!</v>
      </c>
      <c r="E760" s="110" t="s">
        <v>4043</v>
      </c>
      <c r="H760" s="138"/>
      <c r="J760" s="138"/>
    </row>
    <row r="761" ht="15.75" customHeight="1">
      <c r="A761" s="148">
        <v>46133.0</v>
      </c>
      <c r="B761" s="110" t="s">
        <v>1633</v>
      </c>
      <c r="C761" s="106">
        <v>1.0</v>
      </c>
      <c r="D761" s="149" t="str">
        <f>_xlfn.XLOOKUP(B761,[1]FullDataList!F:F,[1]FullDataList!O:O)</f>
        <v>#ERROR!</v>
      </c>
      <c r="E761" s="110" t="s">
        <v>4063</v>
      </c>
      <c r="H761" s="138"/>
      <c r="J761" s="138"/>
    </row>
    <row r="762" ht="15.75" customHeight="1">
      <c r="A762" s="148">
        <v>46133.0</v>
      </c>
      <c r="B762" s="110" t="s">
        <v>803</v>
      </c>
      <c r="C762" s="106">
        <v>1.0</v>
      </c>
      <c r="D762" s="149" t="str">
        <f>_xlfn.XLOOKUP(B762,[1]FullDataList!F:F,[1]FullDataList!O:O)</f>
        <v>#ERROR!</v>
      </c>
      <c r="E762" s="110" t="s">
        <v>4055</v>
      </c>
      <c r="H762" s="138"/>
      <c r="J762" s="138"/>
    </row>
    <row r="763" ht="15.75" customHeight="1">
      <c r="A763" s="148">
        <v>46133.0</v>
      </c>
      <c r="B763" s="110" t="s">
        <v>704</v>
      </c>
      <c r="C763" s="106">
        <v>1.0</v>
      </c>
      <c r="D763" s="149" t="str">
        <f>_xlfn.XLOOKUP(B763,[1]FullDataList!F:F,[1]FullDataList!O:O)</f>
        <v>#ERROR!</v>
      </c>
      <c r="E763" s="110" t="s">
        <v>4013</v>
      </c>
      <c r="H763" s="138"/>
      <c r="J763" s="138"/>
    </row>
    <row r="764" ht="15.75" customHeight="1">
      <c r="A764" s="148">
        <v>46133.0</v>
      </c>
      <c r="B764" s="110" t="s">
        <v>929</v>
      </c>
      <c r="C764" s="106">
        <v>1.0</v>
      </c>
      <c r="D764" s="149" t="str">
        <f>_xlfn.XLOOKUP(B764,[1]FullDataList!F:F,[1]FullDataList!O:O)</f>
        <v>#ERROR!</v>
      </c>
      <c r="E764" s="110" t="s">
        <v>4056</v>
      </c>
      <c r="H764" s="138"/>
      <c r="J764" s="138"/>
    </row>
    <row r="765" ht="15.75" customHeight="1">
      <c r="A765" s="148">
        <v>46133.0</v>
      </c>
      <c r="B765" s="110" t="s">
        <v>507</v>
      </c>
      <c r="C765" s="106">
        <v>1.0</v>
      </c>
      <c r="D765" s="149" t="str">
        <f>_xlfn.XLOOKUP(B765,[1]FullDataList!F:F,[1]FullDataList!O:O)</f>
        <v>#ERROR!</v>
      </c>
      <c r="E765" s="110" t="s">
        <v>4057</v>
      </c>
      <c r="H765" s="138"/>
      <c r="J765" s="138"/>
    </row>
    <row r="766" ht="15.75" customHeight="1">
      <c r="A766" s="148">
        <v>46133.0</v>
      </c>
      <c r="B766" s="110" t="s">
        <v>1063</v>
      </c>
      <c r="C766" s="106">
        <v>1.0</v>
      </c>
      <c r="D766" s="149" t="str">
        <f>_xlfn.XLOOKUP(B766,[1]FullDataList!F:F,[1]FullDataList!O:O)</f>
        <v>#ERROR!</v>
      </c>
      <c r="E766" s="110" t="s">
        <v>4008</v>
      </c>
      <c r="H766" s="138"/>
      <c r="J766" s="138"/>
    </row>
    <row r="767" ht="15.75" customHeight="1">
      <c r="A767" s="148">
        <v>46133.0</v>
      </c>
      <c r="B767" s="110" t="s">
        <v>1590</v>
      </c>
      <c r="C767" s="106">
        <v>1.0</v>
      </c>
      <c r="D767" s="149" t="str">
        <f>_xlfn.XLOOKUP(B767,[1]FullDataList!F:F,[1]FullDataList!O:O)</f>
        <v>#ERROR!</v>
      </c>
      <c r="E767" s="110" t="s">
        <v>4039</v>
      </c>
      <c r="H767" s="138"/>
      <c r="J767" s="138"/>
    </row>
    <row r="768" ht="15.75" customHeight="1">
      <c r="A768" s="148">
        <v>46133.0</v>
      </c>
      <c r="B768" s="110" t="s">
        <v>1593</v>
      </c>
      <c r="C768" s="106">
        <v>1.0</v>
      </c>
      <c r="D768" s="149" t="str">
        <f>_xlfn.XLOOKUP(B768,[1]FullDataList!F:F,[1]FullDataList!O:O)</f>
        <v>#ERROR!</v>
      </c>
      <c r="E768" s="110" t="s">
        <v>4012</v>
      </c>
      <c r="H768" s="138"/>
      <c r="J768" s="138"/>
    </row>
    <row r="769" ht="15.75" customHeight="1">
      <c r="A769" s="148">
        <v>46133.0</v>
      </c>
      <c r="B769" s="110" t="s">
        <v>811</v>
      </c>
      <c r="C769" s="106">
        <v>1.0</v>
      </c>
      <c r="D769" s="149" t="str">
        <f>_xlfn.XLOOKUP(B769,[1]FullDataList!F:F,[1]FullDataList!O:O)</f>
        <v>#ERROR!</v>
      </c>
      <c r="E769" s="110" t="s">
        <v>4041</v>
      </c>
      <c r="H769" s="138"/>
      <c r="J769" s="138"/>
    </row>
    <row r="770" ht="15.75" customHeight="1">
      <c r="A770" s="148">
        <v>46133.0</v>
      </c>
      <c r="B770" s="110" t="s">
        <v>755</v>
      </c>
      <c r="C770" s="106">
        <v>1.0</v>
      </c>
      <c r="D770" s="149" t="str">
        <f>_xlfn.XLOOKUP(B770,[1]FullDataList!F:F,[1]FullDataList!O:O)</f>
        <v>#ERROR!</v>
      </c>
      <c r="E770" s="110" t="s">
        <v>4058</v>
      </c>
      <c r="H770" s="138"/>
      <c r="J770" s="138"/>
    </row>
    <row r="771" ht="15.75" customHeight="1">
      <c r="A771" s="148">
        <v>46133.0</v>
      </c>
      <c r="B771" s="110" t="s">
        <v>2003</v>
      </c>
      <c r="C771" s="106">
        <v>1.0</v>
      </c>
      <c r="D771" s="149" t="str">
        <f>_xlfn.XLOOKUP(B771,[1]FullDataList!F:F,[1]FullDataList!O:O)</f>
        <v>#ERROR!</v>
      </c>
      <c r="E771" s="110" t="s">
        <v>4011</v>
      </c>
      <c r="H771" s="138"/>
      <c r="J771" s="138"/>
    </row>
    <row r="772" ht="15.75" customHeight="1">
      <c r="A772" s="148">
        <v>46133.0</v>
      </c>
      <c r="B772" s="110" t="s">
        <v>785</v>
      </c>
      <c r="C772" s="106">
        <v>1.0</v>
      </c>
      <c r="D772" s="149" t="str">
        <f>_xlfn.XLOOKUP(B772,[1]FullDataList!F:F,[1]FullDataList!O:O)</f>
        <v>#ERROR!</v>
      </c>
      <c r="E772" s="110" t="s">
        <v>4003</v>
      </c>
      <c r="H772" s="138"/>
      <c r="J772" s="138"/>
    </row>
    <row r="773" ht="15.75" customHeight="1">
      <c r="A773" s="148">
        <v>46133.0</v>
      </c>
      <c r="B773" s="110" t="s">
        <v>372</v>
      </c>
      <c r="C773" s="106">
        <v>1.0</v>
      </c>
      <c r="D773" s="149" t="str">
        <f>_xlfn.XLOOKUP(B773,[1]FullDataList!F:F,[1]FullDataList!O:O)</f>
        <v>#ERROR!</v>
      </c>
      <c r="E773" s="110" t="s">
        <v>4025</v>
      </c>
      <c r="H773" s="138"/>
      <c r="J773" s="138"/>
    </row>
    <row r="774" ht="15.75" customHeight="1">
      <c r="A774" s="148">
        <v>46133.0</v>
      </c>
      <c r="B774" s="110" t="s">
        <v>1273</v>
      </c>
      <c r="C774" s="106">
        <v>1.0</v>
      </c>
      <c r="D774" s="149" t="str">
        <f>_xlfn.XLOOKUP(B774,[1]FullDataList!F:F,[1]FullDataList!O:O)</f>
        <v>#ERROR!</v>
      </c>
      <c r="E774" s="110" t="s">
        <v>4066</v>
      </c>
      <c r="H774" s="138"/>
      <c r="J774" s="138"/>
    </row>
    <row r="775" ht="15.75" customHeight="1">
      <c r="A775" s="148">
        <v>46134.0</v>
      </c>
      <c r="B775" s="110" t="s">
        <v>1074</v>
      </c>
      <c r="C775" s="106">
        <v>1.0</v>
      </c>
      <c r="D775" s="149" t="str">
        <f>_xlfn.XLOOKUP(B775,[1]FullDataList!F:F,[1]FullDataList!O:O)</f>
        <v>#ERROR!</v>
      </c>
      <c r="E775" s="110" t="s">
        <v>4059</v>
      </c>
      <c r="H775" s="138"/>
      <c r="J775" s="138"/>
    </row>
    <row r="776" ht="15.75" customHeight="1">
      <c r="A776" s="148">
        <v>46134.0</v>
      </c>
      <c r="B776" s="110" t="s">
        <v>974</v>
      </c>
      <c r="C776" s="106">
        <v>1.0</v>
      </c>
      <c r="D776" s="149" t="str">
        <f>_xlfn.XLOOKUP(B776,[1]FullDataList!F:F,[1]FullDataList!O:O)</f>
        <v>#ERROR!</v>
      </c>
      <c r="E776" s="110" t="s">
        <v>4061</v>
      </c>
      <c r="H776" s="138"/>
      <c r="J776" s="138"/>
    </row>
    <row r="777" ht="15.75" customHeight="1">
      <c r="A777" s="148">
        <v>46134.0</v>
      </c>
      <c r="B777" s="110" t="s">
        <v>532</v>
      </c>
      <c r="C777" s="106">
        <v>1.0</v>
      </c>
      <c r="D777" s="149" t="str">
        <f>_xlfn.XLOOKUP(B777,[1]FullDataList!F:F,[1]FullDataList!O:O)</f>
        <v>#ERROR!</v>
      </c>
      <c r="E777" s="110" t="s">
        <v>4064</v>
      </c>
      <c r="H777" s="138"/>
      <c r="J777" s="138"/>
    </row>
    <row r="778" ht="15.75" customHeight="1">
      <c r="A778" s="148">
        <v>46134.0</v>
      </c>
      <c r="B778" s="110" t="s">
        <v>944</v>
      </c>
      <c r="C778" s="106">
        <v>1.0</v>
      </c>
      <c r="D778" s="149" t="str">
        <f>_xlfn.XLOOKUP(B778,[1]FullDataList!F:F,[1]FullDataList!O:O)</f>
        <v>#ERROR!</v>
      </c>
      <c r="E778" s="110" t="s">
        <v>4065</v>
      </c>
      <c r="H778" s="138"/>
      <c r="J778" s="138"/>
    </row>
    <row r="779" ht="15.75" customHeight="1">
      <c r="A779" s="148">
        <v>46134.0</v>
      </c>
      <c r="B779" s="110" t="s">
        <v>679</v>
      </c>
      <c r="C779" s="106">
        <v>1.0</v>
      </c>
      <c r="D779" s="149" t="str">
        <f>_xlfn.XLOOKUP(B779,[1]FullDataList!F:F,[1]FullDataList!O:O)</f>
        <v>#ERROR!</v>
      </c>
      <c r="E779" s="110" t="s">
        <v>4067</v>
      </c>
      <c r="H779" s="138"/>
      <c r="J779" s="138"/>
    </row>
    <row r="780" ht="15.75" customHeight="1">
      <c r="A780" s="148">
        <v>46134.0</v>
      </c>
      <c r="B780" s="110" t="s">
        <v>2377</v>
      </c>
      <c r="C780" s="106">
        <v>1.0</v>
      </c>
      <c r="D780" s="149" t="str">
        <f>_xlfn.XLOOKUP(B780,[1]FullDataList!F:F,[1]FullDataList!O:O)</f>
        <v>#ERROR!</v>
      </c>
      <c r="E780" s="110" t="s">
        <v>4026</v>
      </c>
      <c r="H780" s="138"/>
      <c r="J780" s="138"/>
    </row>
    <row r="781" ht="15.75" customHeight="1">
      <c r="A781" s="148">
        <v>46134.0</v>
      </c>
      <c r="B781" s="110" t="s">
        <v>2098</v>
      </c>
      <c r="C781" s="106">
        <v>1.0</v>
      </c>
      <c r="D781" s="149" t="str">
        <f>_xlfn.XLOOKUP(B781,[1]FullDataList!F:F,[1]FullDataList!O:O)</f>
        <v>#ERROR!</v>
      </c>
      <c r="E781" s="110" t="s">
        <v>4028</v>
      </c>
      <c r="H781" s="138"/>
      <c r="J781" s="138"/>
    </row>
    <row r="782" ht="15.75" customHeight="1">
      <c r="A782" s="148">
        <v>46134.0</v>
      </c>
      <c r="B782" s="110" t="s">
        <v>2416</v>
      </c>
      <c r="C782" s="106">
        <v>1.0</v>
      </c>
      <c r="D782" s="149" t="str">
        <f>_xlfn.XLOOKUP(B782,[1]FullDataList!F:F,[1]FullDataList!O:O)</f>
        <v>#ERROR!</v>
      </c>
      <c r="E782" s="110" t="s">
        <v>4060</v>
      </c>
      <c r="H782" s="138"/>
      <c r="J782" s="138"/>
    </row>
    <row r="783" ht="15.75" customHeight="1">
      <c r="A783" s="148">
        <v>46134.0</v>
      </c>
      <c r="B783" s="110" t="s">
        <v>449</v>
      </c>
      <c r="C783" s="106">
        <v>1.0</v>
      </c>
      <c r="D783" s="149" t="str">
        <f>_xlfn.XLOOKUP(B783,[1]FullDataList!F:F,[1]FullDataList!O:O)</f>
        <v>#ERROR!</v>
      </c>
      <c r="E783" s="110" t="s">
        <v>4038</v>
      </c>
      <c r="H783" s="138"/>
      <c r="J783" s="138"/>
    </row>
    <row r="784" ht="15.75" customHeight="1">
      <c r="A784" s="148">
        <v>46134.0</v>
      </c>
      <c r="B784" s="110" t="s">
        <v>470</v>
      </c>
      <c r="C784" s="106">
        <v>1.0</v>
      </c>
      <c r="D784" s="149" t="str">
        <f>_xlfn.XLOOKUP(B784,[1]FullDataList!F:F,[1]FullDataList!O:O)</f>
        <v>#ERROR!</v>
      </c>
      <c r="E784" s="110" t="s">
        <v>4047</v>
      </c>
      <c r="H784" s="138"/>
      <c r="J784" s="138"/>
    </row>
    <row r="785" ht="15.75" customHeight="1">
      <c r="A785" s="148">
        <v>46134.0</v>
      </c>
      <c r="B785" s="110" t="s">
        <v>1974</v>
      </c>
      <c r="C785" s="106">
        <v>1.0</v>
      </c>
      <c r="D785" s="149" t="str">
        <f>_xlfn.XLOOKUP(B785,[1]FullDataList!F:F,[1]FullDataList!O:O)</f>
        <v>#ERROR!</v>
      </c>
      <c r="E785" s="110" t="s">
        <v>4048</v>
      </c>
      <c r="H785" s="138"/>
      <c r="J785" s="138"/>
    </row>
    <row r="786" ht="15.75" customHeight="1">
      <c r="A786" s="148">
        <v>46134.0</v>
      </c>
      <c r="B786" s="110" t="s">
        <v>1252</v>
      </c>
      <c r="C786" s="106">
        <v>1.0</v>
      </c>
      <c r="D786" s="149" t="str">
        <f>_xlfn.XLOOKUP(B786,[1]FullDataList!F:F,[1]FullDataList!O:O)</f>
        <v>#ERROR!</v>
      </c>
      <c r="E786" s="110" t="s">
        <v>4054</v>
      </c>
      <c r="H786" s="138"/>
      <c r="J786" s="138"/>
    </row>
    <row r="787" ht="15.75" customHeight="1">
      <c r="A787" s="148">
        <v>46134.0</v>
      </c>
      <c r="B787" s="110" t="s">
        <v>2463</v>
      </c>
      <c r="C787" s="106">
        <v>1.0</v>
      </c>
      <c r="D787" s="149" t="str">
        <f>_xlfn.XLOOKUP(B787,[1]FullDataList!F:F,[1]FullDataList!O:O)</f>
        <v>#ERROR!</v>
      </c>
      <c r="E787" s="110" t="s">
        <v>4049</v>
      </c>
      <c r="H787" s="138"/>
      <c r="J787" s="138"/>
    </row>
    <row r="788" ht="15.75" customHeight="1">
      <c r="A788" s="148">
        <v>46134.0</v>
      </c>
      <c r="B788" s="110" t="s">
        <v>806</v>
      </c>
      <c r="C788" s="106">
        <v>1.0</v>
      </c>
      <c r="D788" s="149" t="str">
        <f>_xlfn.XLOOKUP(B788,[1]FullDataList!F:F,[1]FullDataList!O:O)</f>
        <v>#ERROR!</v>
      </c>
      <c r="E788" s="110" t="s">
        <v>4051</v>
      </c>
      <c r="H788" s="138"/>
      <c r="J788" s="138"/>
    </row>
    <row r="789" ht="15.75" customHeight="1">
      <c r="A789" s="148">
        <v>46134.0</v>
      </c>
      <c r="B789" s="110" t="s">
        <v>319</v>
      </c>
      <c r="C789" s="106">
        <v>1.0</v>
      </c>
      <c r="D789" s="149" t="str">
        <f>_xlfn.XLOOKUP(B789,[1]FullDataList!F:F,[1]FullDataList!O:O)</f>
        <v>#ERROR!</v>
      </c>
      <c r="E789" s="110" t="s">
        <v>4050</v>
      </c>
      <c r="H789" s="138"/>
      <c r="J789" s="138"/>
    </row>
    <row r="790" ht="15.75" customHeight="1">
      <c r="A790" s="148">
        <v>46134.0</v>
      </c>
      <c r="B790" s="110" t="s">
        <v>841</v>
      </c>
      <c r="C790" s="106">
        <v>1.0</v>
      </c>
      <c r="D790" s="149" t="str">
        <f>_xlfn.XLOOKUP(B790,[1]FullDataList!F:F,[1]FullDataList!O:O)</f>
        <v>#ERROR!</v>
      </c>
      <c r="E790" s="110" t="s">
        <v>4052</v>
      </c>
      <c r="H790" s="138"/>
      <c r="J790" s="138"/>
    </row>
    <row r="791" ht="15.75" customHeight="1">
      <c r="A791" s="148">
        <v>46134.0</v>
      </c>
      <c r="B791" s="110" t="s">
        <v>1936</v>
      </c>
      <c r="C791" s="106">
        <v>1.0</v>
      </c>
      <c r="D791" s="149" t="str">
        <f>_xlfn.XLOOKUP(B791,[1]FullDataList!F:F,[1]FullDataList!O:O)</f>
        <v>#ERROR!</v>
      </c>
      <c r="E791" s="110" t="s">
        <v>4053</v>
      </c>
      <c r="H791" s="138"/>
      <c r="J791" s="138"/>
    </row>
    <row r="792" ht="15.75" customHeight="1">
      <c r="A792" s="148">
        <v>46134.0</v>
      </c>
      <c r="B792" s="110" t="s">
        <v>2333</v>
      </c>
      <c r="C792" s="106">
        <v>1.0</v>
      </c>
      <c r="D792" s="149" t="str">
        <f>_xlfn.XLOOKUP(B792,[1]FullDataList!F:F,[1]FullDataList!O:O)</f>
        <v>#ERROR!</v>
      </c>
      <c r="E792" s="110" t="s">
        <v>4004</v>
      </c>
      <c r="H792" s="138"/>
      <c r="J792" s="138"/>
    </row>
    <row r="793" ht="15.75" customHeight="1">
      <c r="A793" s="148">
        <v>46134.0</v>
      </c>
      <c r="B793" s="110" t="s">
        <v>2437</v>
      </c>
      <c r="C793" s="106">
        <v>1.0</v>
      </c>
      <c r="D793" s="149" t="str">
        <f>_xlfn.XLOOKUP(B793,[1]FullDataList!F:F,[1]FullDataList!O:O)</f>
        <v>#ERROR!</v>
      </c>
      <c r="E793" s="110" t="s">
        <v>4009</v>
      </c>
      <c r="H793" s="138"/>
      <c r="J793" s="138"/>
    </row>
    <row r="794" ht="15.75" customHeight="1">
      <c r="A794" s="148">
        <v>46134.0</v>
      </c>
      <c r="B794" s="110" t="s">
        <v>889</v>
      </c>
      <c r="C794" s="106">
        <v>1.0</v>
      </c>
      <c r="D794" s="149" t="str">
        <f>_xlfn.XLOOKUP(B794,[1]FullDataList!F:F,[1]FullDataList!O:O)</f>
        <v>#ERROR!</v>
      </c>
      <c r="E794" s="110" t="s">
        <v>4040</v>
      </c>
      <c r="H794" s="138"/>
      <c r="J794" s="138"/>
    </row>
    <row r="795" ht="15.75" customHeight="1">
      <c r="A795" s="148">
        <v>46134.0</v>
      </c>
      <c r="B795" s="110" t="s">
        <v>1094</v>
      </c>
      <c r="C795" s="106">
        <v>1.0</v>
      </c>
      <c r="D795" s="149" t="str">
        <f>_xlfn.XLOOKUP(B795,[1]FullDataList!F:F,[1]FullDataList!O:O)</f>
        <v>#ERROR!</v>
      </c>
      <c r="E795" s="110" t="s">
        <v>4032</v>
      </c>
      <c r="H795" s="138"/>
      <c r="J795" s="138"/>
    </row>
    <row r="796" ht="15.75" customHeight="1">
      <c r="A796" s="148">
        <v>46134.0</v>
      </c>
      <c r="B796" s="110" t="s">
        <v>747</v>
      </c>
      <c r="C796" s="106">
        <v>1.0</v>
      </c>
      <c r="D796" s="149" t="str">
        <f>_xlfn.XLOOKUP(B796,[1]FullDataList!F:F,[1]FullDataList!O:O)</f>
        <v>#ERROR!</v>
      </c>
      <c r="E796" s="110" t="s">
        <v>4062</v>
      </c>
      <c r="H796" s="138"/>
      <c r="J796" s="138"/>
    </row>
    <row r="797" ht="15.75" customHeight="1">
      <c r="A797" s="148">
        <v>46134.0</v>
      </c>
      <c r="B797" s="110" t="s">
        <v>1534</v>
      </c>
      <c r="C797" s="106">
        <v>1.0</v>
      </c>
      <c r="D797" s="149" t="str">
        <f>_xlfn.XLOOKUP(B797,[1]FullDataList!F:F,[1]FullDataList!O:O)</f>
        <v>#ERROR!</v>
      </c>
      <c r="E797" s="110" t="s">
        <v>4045</v>
      </c>
      <c r="H797" s="138"/>
      <c r="J797" s="138"/>
    </row>
    <row r="798" ht="15.75" customHeight="1">
      <c r="A798" s="148">
        <v>46134.0</v>
      </c>
      <c r="B798" s="110" t="s">
        <v>1066</v>
      </c>
      <c r="C798" s="106">
        <v>1.0</v>
      </c>
      <c r="D798" s="149" t="str">
        <f>_xlfn.XLOOKUP(B798,[1]FullDataList!F:F,[1]FullDataList!O:O)</f>
        <v>#ERROR!</v>
      </c>
      <c r="E798" s="110" t="s">
        <v>4042</v>
      </c>
      <c r="H798" s="138"/>
      <c r="J798" s="138"/>
    </row>
    <row r="799" ht="15.75" customHeight="1">
      <c r="A799" s="148">
        <v>46134.0</v>
      </c>
      <c r="B799" s="110" t="s">
        <v>1998</v>
      </c>
      <c r="C799" s="106">
        <v>1.0</v>
      </c>
      <c r="D799" s="149" t="str">
        <f>_xlfn.XLOOKUP(B799,[1]FullDataList!F:F,[1]FullDataList!O:O)</f>
        <v>#ERROR!</v>
      </c>
      <c r="E799" s="110" t="s">
        <v>4044</v>
      </c>
      <c r="H799" s="138"/>
      <c r="J799" s="138"/>
    </row>
    <row r="800" ht="15.75" customHeight="1">
      <c r="A800" s="148">
        <v>46134.0</v>
      </c>
      <c r="B800" s="110" t="s">
        <v>2396</v>
      </c>
      <c r="C800" s="106">
        <v>1.0</v>
      </c>
      <c r="D800" s="149" t="str">
        <f>_xlfn.XLOOKUP(B800,[1]FullDataList!F:F,[1]FullDataList!O:O)</f>
        <v>#ERROR!</v>
      </c>
      <c r="E800" s="110" t="s">
        <v>4017</v>
      </c>
      <c r="H800" s="138"/>
      <c r="J800" s="138"/>
    </row>
    <row r="801" ht="15.75" customHeight="1">
      <c r="A801" s="148">
        <v>46134.0</v>
      </c>
      <c r="B801" s="110" t="s">
        <v>492</v>
      </c>
      <c r="C801" s="106">
        <v>1.0</v>
      </c>
      <c r="D801" s="149" t="str">
        <f>_xlfn.XLOOKUP(B801,[1]FullDataList!F:F,[1]FullDataList!O:O)</f>
        <v>#ERROR!</v>
      </c>
      <c r="E801" s="110" t="s">
        <v>4027</v>
      </c>
      <c r="H801" s="138"/>
      <c r="J801" s="138"/>
    </row>
    <row r="802" ht="15.75" customHeight="1">
      <c r="A802" s="148">
        <v>46134.0</v>
      </c>
      <c r="B802" s="110" t="s">
        <v>2412</v>
      </c>
      <c r="C802" s="106">
        <v>1.0</v>
      </c>
      <c r="D802" s="149" t="str">
        <f>_xlfn.XLOOKUP(B802,[1]FullDataList!F:F,[1]FullDataList!O:O)</f>
        <v>#ERROR!</v>
      </c>
      <c r="E802" s="110" t="s">
        <v>4043</v>
      </c>
      <c r="H802" s="138"/>
      <c r="J802" s="138"/>
    </row>
    <row r="803" ht="15.75" customHeight="1">
      <c r="A803" s="148">
        <v>46134.0</v>
      </c>
      <c r="B803" s="110" t="s">
        <v>352</v>
      </c>
      <c r="C803" s="106">
        <v>1.0</v>
      </c>
      <c r="D803" s="149" t="str">
        <f>_xlfn.XLOOKUP(B803,[1]FullDataList!F:F,[1]FullDataList!O:O)</f>
        <v>#ERROR!</v>
      </c>
      <c r="E803" s="110" t="s">
        <v>4063</v>
      </c>
      <c r="H803" s="138"/>
      <c r="J803" s="138"/>
    </row>
    <row r="804" ht="15.75" customHeight="1">
      <c r="A804" s="148">
        <v>46134.0</v>
      </c>
      <c r="B804" s="110" t="s">
        <v>715</v>
      </c>
      <c r="C804" s="106">
        <v>1.0</v>
      </c>
      <c r="D804" s="149" t="str">
        <f>_xlfn.XLOOKUP(B804,[1]FullDataList!F:F,[1]FullDataList!O:O)</f>
        <v>#ERROR!</v>
      </c>
      <c r="E804" s="110" t="s">
        <v>4055</v>
      </c>
      <c r="H804" s="138"/>
      <c r="J804" s="138"/>
    </row>
    <row r="805" ht="15.75" customHeight="1">
      <c r="A805" s="148">
        <v>46134.0</v>
      </c>
      <c r="B805" s="110" t="s">
        <v>705</v>
      </c>
      <c r="C805" s="106">
        <v>1.0</v>
      </c>
      <c r="D805" s="149" t="str">
        <f>_xlfn.XLOOKUP(B805,[1]FullDataList!F:F,[1]FullDataList!O:O)</f>
        <v>#ERROR!</v>
      </c>
      <c r="E805" s="110" t="s">
        <v>4013</v>
      </c>
      <c r="H805" s="138"/>
      <c r="J805" s="138"/>
    </row>
    <row r="806" ht="15.75" customHeight="1">
      <c r="A806" s="148">
        <v>46134.0</v>
      </c>
      <c r="B806" s="110" t="s">
        <v>930</v>
      </c>
      <c r="C806" s="106">
        <v>1.0</v>
      </c>
      <c r="D806" s="149" t="str">
        <f>_xlfn.XLOOKUP(B806,[1]FullDataList!F:F,[1]FullDataList!O:O)</f>
        <v>#ERROR!</v>
      </c>
      <c r="E806" s="110" t="s">
        <v>4056</v>
      </c>
      <c r="H806" s="138"/>
      <c r="J806" s="138"/>
    </row>
    <row r="807" ht="15.75" customHeight="1">
      <c r="A807" s="148">
        <v>46134.0</v>
      </c>
      <c r="B807" s="110" t="s">
        <v>1948</v>
      </c>
      <c r="C807" s="106">
        <v>1.0</v>
      </c>
      <c r="D807" s="149" t="str">
        <f>_xlfn.XLOOKUP(B807,[1]FullDataList!F:F,[1]FullDataList!O:O)</f>
        <v>#ERROR!</v>
      </c>
      <c r="E807" s="110" t="s">
        <v>4057</v>
      </c>
      <c r="H807" s="138"/>
      <c r="J807" s="138"/>
    </row>
    <row r="808" ht="15.75" customHeight="1">
      <c r="A808" s="148">
        <v>46134.0</v>
      </c>
      <c r="B808" s="110" t="s">
        <v>1478</v>
      </c>
      <c r="C808" s="106">
        <v>1.0</v>
      </c>
      <c r="D808" s="149" t="str">
        <f>_xlfn.XLOOKUP(B808,[1]FullDataList!F:F,[1]FullDataList!O:O)</f>
        <v>#ERROR!</v>
      </c>
      <c r="E808" s="110" t="s">
        <v>4008</v>
      </c>
      <c r="H808" s="138"/>
      <c r="J808" s="138"/>
    </row>
    <row r="809" ht="15.75" customHeight="1">
      <c r="A809" s="148">
        <v>46134.0</v>
      </c>
      <c r="B809" s="110" t="s">
        <v>2028</v>
      </c>
      <c r="C809" s="106">
        <v>1.0</v>
      </c>
      <c r="D809" s="149" t="str">
        <f>_xlfn.XLOOKUP(B809,[1]FullDataList!F:F,[1]FullDataList!O:O)</f>
        <v>#ERROR!</v>
      </c>
      <c r="E809" s="110" t="s">
        <v>4039</v>
      </c>
      <c r="H809" s="138"/>
      <c r="J809" s="138"/>
    </row>
    <row r="810" ht="15.75" customHeight="1">
      <c r="A810" s="148">
        <v>46134.0</v>
      </c>
      <c r="B810" s="110" t="s">
        <v>1242</v>
      </c>
      <c r="C810" s="106">
        <v>1.0</v>
      </c>
      <c r="D810" s="149" t="str">
        <f>_xlfn.XLOOKUP(B810,[1]FullDataList!F:F,[1]FullDataList!O:O)</f>
        <v>#ERROR!</v>
      </c>
      <c r="E810" s="110" t="s">
        <v>4012</v>
      </c>
      <c r="H810" s="138"/>
      <c r="J810" s="138"/>
    </row>
    <row r="811" ht="15.75" customHeight="1">
      <c r="A811" s="148">
        <v>46134.0</v>
      </c>
      <c r="B811" s="110" t="s">
        <v>812</v>
      </c>
      <c r="C811" s="106">
        <v>1.0</v>
      </c>
      <c r="D811" s="149" t="str">
        <f>_xlfn.XLOOKUP(B811,[1]FullDataList!F:F,[1]FullDataList!O:O)</f>
        <v>#ERROR!</v>
      </c>
      <c r="E811" s="110" t="s">
        <v>4041</v>
      </c>
      <c r="H811" s="138"/>
      <c r="J811" s="138"/>
    </row>
    <row r="812" ht="15.75" customHeight="1">
      <c r="A812" s="148">
        <v>46134.0</v>
      </c>
      <c r="B812" s="110" t="s">
        <v>756</v>
      </c>
      <c r="C812" s="106">
        <v>1.0</v>
      </c>
      <c r="D812" s="149" t="str">
        <f>_xlfn.XLOOKUP(B812,[1]FullDataList!F:F,[1]FullDataList!O:O)</f>
        <v>#ERROR!</v>
      </c>
      <c r="E812" s="110" t="s">
        <v>4058</v>
      </c>
      <c r="H812" s="138"/>
      <c r="J812" s="138"/>
    </row>
    <row r="813" ht="15.75" customHeight="1">
      <c r="A813" s="148">
        <v>46134.0</v>
      </c>
      <c r="B813" s="110" t="s">
        <v>1985</v>
      </c>
      <c r="C813" s="106">
        <v>1.0</v>
      </c>
      <c r="D813" s="149" t="str">
        <f>_xlfn.XLOOKUP(B813,[1]FullDataList!F:F,[1]FullDataList!O:O)</f>
        <v>#ERROR!</v>
      </c>
      <c r="E813" s="110" t="s">
        <v>4011</v>
      </c>
      <c r="H813" s="138"/>
      <c r="J813" s="138"/>
    </row>
    <row r="814" ht="15.75" customHeight="1">
      <c r="A814" s="148">
        <v>46134.0</v>
      </c>
      <c r="B814" s="110" t="s">
        <v>786</v>
      </c>
      <c r="C814" s="106">
        <v>1.0</v>
      </c>
      <c r="D814" s="149" t="str">
        <f>_xlfn.XLOOKUP(B814,[1]FullDataList!F:F,[1]FullDataList!O:O)</f>
        <v>#ERROR!</v>
      </c>
      <c r="E814" s="110" t="s">
        <v>4003</v>
      </c>
      <c r="H814" s="138"/>
      <c r="J814" s="138"/>
    </row>
    <row r="815" ht="15.75" customHeight="1">
      <c r="A815" s="148">
        <v>46134.0</v>
      </c>
      <c r="B815" s="110" t="s">
        <v>374</v>
      </c>
      <c r="C815" s="106">
        <v>1.0</v>
      </c>
      <c r="D815" s="149" t="str">
        <f>_xlfn.XLOOKUP(B815,[1]FullDataList!F:F,[1]FullDataList!O:O)</f>
        <v>#ERROR!</v>
      </c>
      <c r="E815" s="110" t="s">
        <v>4025</v>
      </c>
      <c r="H815" s="138"/>
      <c r="J815" s="138"/>
    </row>
    <row r="816" ht="15.75" customHeight="1">
      <c r="A816" s="148">
        <v>46134.0</v>
      </c>
      <c r="B816" s="110" t="s">
        <v>1272</v>
      </c>
      <c r="C816" s="106">
        <v>1.0</v>
      </c>
      <c r="D816" s="149" t="str">
        <f>_xlfn.XLOOKUP(B816,[1]FullDataList!F:F,[1]FullDataList!O:O)</f>
        <v>#ERROR!</v>
      </c>
      <c r="E816" s="110" t="s">
        <v>4066</v>
      </c>
      <c r="H816" s="138"/>
      <c r="J816" s="138"/>
    </row>
    <row r="817" ht="15.75" customHeight="1">
      <c r="A817" s="148">
        <v>46135.0</v>
      </c>
      <c r="B817" s="110" t="s">
        <v>1075</v>
      </c>
      <c r="C817" s="106">
        <v>1.0</v>
      </c>
      <c r="D817" s="149" t="str">
        <f>_xlfn.XLOOKUP(B817,[1]FullDataList!F:F,[1]FullDataList!O:O)</f>
        <v>#ERROR!</v>
      </c>
      <c r="E817" s="110" t="s">
        <v>4059</v>
      </c>
      <c r="H817" s="138"/>
      <c r="J817" s="138"/>
    </row>
    <row r="818" ht="15.75" customHeight="1">
      <c r="A818" s="148">
        <v>46135.0</v>
      </c>
      <c r="B818" s="110" t="s">
        <v>975</v>
      </c>
      <c r="C818" s="106">
        <v>1.0</v>
      </c>
      <c r="D818" s="149" t="str">
        <f>_xlfn.XLOOKUP(B818,[1]FullDataList!F:F,[1]FullDataList!O:O)</f>
        <v>#ERROR!</v>
      </c>
      <c r="E818" s="110" t="s">
        <v>4061</v>
      </c>
      <c r="H818" s="138"/>
      <c r="J818" s="138"/>
    </row>
    <row r="819" ht="15.75" customHeight="1">
      <c r="A819" s="148">
        <v>46135.0</v>
      </c>
      <c r="B819" s="110" t="s">
        <v>2012</v>
      </c>
      <c r="C819" s="106">
        <v>1.0</v>
      </c>
      <c r="D819" s="149" t="str">
        <f>_xlfn.XLOOKUP(B819,[1]FullDataList!F:F,[1]FullDataList!O:O)</f>
        <v>#ERROR!</v>
      </c>
      <c r="E819" s="110" t="s">
        <v>4064</v>
      </c>
      <c r="H819" s="138"/>
      <c r="J819" s="138"/>
    </row>
    <row r="820" ht="15.75" customHeight="1">
      <c r="A820" s="148">
        <v>46135.0</v>
      </c>
      <c r="B820" s="110" t="s">
        <v>945</v>
      </c>
      <c r="C820" s="106">
        <v>1.0</v>
      </c>
      <c r="D820" s="149" t="str">
        <f>_xlfn.XLOOKUP(B820,[1]FullDataList!F:F,[1]FullDataList!O:O)</f>
        <v>#ERROR!</v>
      </c>
      <c r="E820" s="110" t="s">
        <v>4065</v>
      </c>
      <c r="H820" s="138"/>
      <c r="J820" s="138"/>
    </row>
    <row r="821" ht="15.75" customHeight="1">
      <c r="A821" s="148">
        <v>46135.0</v>
      </c>
      <c r="B821" s="110" t="s">
        <v>706</v>
      </c>
      <c r="C821" s="106">
        <v>1.0</v>
      </c>
      <c r="D821" s="149" t="str">
        <f>_xlfn.XLOOKUP(B821,[1]FullDataList!F:F,[1]FullDataList!O:O)</f>
        <v>#ERROR!</v>
      </c>
      <c r="E821" s="110" t="s">
        <v>4067</v>
      </c>
      <c r="H821" s="138"/>
      <c r="J821" s="138"/>
    </row>
    <row r="822" ht="15.75" customHeight="1">
      <c r="A822" s="148">
        <v>46135.0</v>
      </c>
      <c r="B822" s="110" t="s">
        <v>2378</v>
      </c>
      <c r="C822" s="106">
        <v>1.0</v>
      </c>
      <c r="D822" s="149" t="str">
        <f>_xlfn.XLOOKUP(B822,[1]FullDataList!F:F,[1]FullDataList!O:O)</f>
        <v>#ERROR!</v>
      </c>
      <c r="E822" s="110" t="s">
        <v>4026</v>
      </c>
      <c r="H822" s="138"/>
      <c r="J822" s="138"/>
    </row>
    <row r="823" ht="15.75" customHeight="1">
      <c r="A823" s="148">
        <v>46135.0</v>
      </c>
      <c r="B823" s="110" t="s">
        <v>2099</v>
      </c>
      <c r="C823" s="106">
        <v>1.0</v>
      </c>
      <c r="D823" s="149" t="str">
        <f>_xlfn.XLOOKUP(B823,[1]FullDataList!F:F,[1]FullDataList!O:O)</f>
        <v>#ERROR!</v>
      </c>
      <c r="E823" s="110" t="s">
        <v>4028</v>
      </c>
      <c r="H823" s="138"/>
      <c r="J823" s="138"/>
    </row>
    <row r="824" ht="15.75" customHeight="1">
      <c r="A824" s="148">
        <v>46135.0</v>
      </c>
      <c r="B824" s="110" t="s">
        <v>2417</v>
      </c>
      <c r="C824" s="106">
        <v>1.0</v>
      </c>
      <c r="D824" s="149" t="str">
        <f>_xlfn.XLOOKUP(B824,[1]FullDataList!F:F,[1]FullDataList!O:O)</f>
        <v>#ERROR!</v>
      </c>
      <c r="E824" s="110" t="s">
        <v>4060</v>
      </c>
      <c r="H824" s="138"/>
      <c r="J824" s="138"/>
    </row>
    <row r="825" ht="15.75" customHeight="1">
      <c r="A825" s="148">
        <v>46135.0</v>
      </c>
      <c r="B825" s="110" t="s">
        <v>422</v>
      </c>
      <c r="C825" s="106">
        <v>1.0</v>
      </c>
      <c r="D825" s="149" t="str">
        <f>_xlfn.XLOOKUP(B825,[1]FullDataList!F:F,[1]FullDataList!O:O)</f>
        <v>#ERROR!</v>
      </c>
      <c r="E825" s="110" t="s">
        <v>4038</v>
      </c>
      <c r="H825" s="138"/>
      <c r="J825" s="138"/>
    </row>
    <row r="826" ht="15.75" customHeight="1">
      <c r="A826" s="148">
        <v>46135.0</v>
      </c>
      <c r="B826" s="110" t="s">
        <v>487</v>
      </c>
      <c r="C826" s="106">
        <v>1.0</v>
      </c>
      <c r="D826" s="149" t="str">
        <f>_xlfn.XLOOKUP(B826,[1]FullDataList!F:F,[1]FullDataList!O:O)</f>
        <v>#ERROR!</v>
      </c>
      <c r="E826" s="110" t="s">
        <v>4047</v>
      </c>
      <c r="H826" s="138"/>
      <c r="J826" s="138"/>
    </row>
    <row r="827" ht="15.75" customHeight="1">
      <c r="A827" s="148">
        <v>46135.0</v>
      </c>
      <c r="B827" s="110" t="s">
        <v>2103</v>
      </c>
      <c r="C827" s="106">
        <v>1.0</v>
      </c>
      <c r="D827" s="149" t="str">
        <f>_xlfn.XLOOKUP(B827,[1]FullDataList!F:F,[1]FullDataList!O:O)</f>
        <v>#ERROR!</v>
      </c>
      <c r="E827" s="110" t="s">
        <v>4048</v>
      </c>
      <c r="H827" s="138"/>
      <c r="J827" s="138"/>
    </row>
    <row r="828" ht="15.75" customHeight="1">
      <c r="A828" s="148">
        <v>46135.0</v>
      </c>
      <c r="B828" s="110" t="s">
        <v>1269</v>
      </c>
      <c r="C828" s="106">
        <v>1.0</v>
      </c>
      <c r="D828" s="149" t="str">
        <f>_xlfn.XLOOKUP(B828,[1]FullDataList!F:F,[1]FullDataList!O:O)</f>
        <v>#ERROR!</v>
      </c>
      <c r="E828" s="110" t="s">
        <v>4054</v>
      </c>
      <c r="H828" s="138"/>
      <c r="J828" s="138"/>
    </row>
    <row r="829" ht="15.75" customHeight="1">
      <c r="A829" s="148">
        <v>46135.0</v>
      </c>
      <c r="B829" s="110" t="s">
        <v>2464</v>
      </c>
      <c r="C829" s="106">
        <v>1.0</v>
      </c>
      <c r="D829" s="149" t="str">
        <f>_xlfn.XLOOKUP(B829,[1]FullDataList!F:F,[1]FullDataList!O:O)</f>
        <v>#ERROR!</v>
      </c>
      <c r="E829" s="110" t="s">
        <v>4049</v>
      </c>
      <c r="H829" s="138"/>
      <c r="J829" s="138"/>
    </row>
    <row r="830" ht="15.75" customHeight="1">
      <c r="A830" s="148">
        <v>46135.0</v>
      </c>
      <c r="B830" s="110" t="s">
        <v>807</v>
      </c>
      <c r="C830" s="106">
        <v>1.0</v>
      </c>
      <c r="D830" s="149" t="str">
        <f>_xlfn.XLOOKUP(B830,[1]FullDataList!F:F,[1]FullDataList!O:O)</f>
        <v>#ERROR!</v>
      </c>
      <c r="E830" s="110" t="s">
        <v>4051</v>
      </c>
      <c r="H830" s="138"/>
      <c r="J830" s="138"/>
    </row>
    <row r="831" ht="15.75" customHeight="1">
      <c r="A831" s="148">
        <v>46135.0</v>
      </c>
      <c r="B831" s="110" t="s">
        <v>320</v>
      </c>
      <c r="C831" s="106">
        <v>1.0</v>
      </c>
      <c r="D831" s="149" t="str">
        <f>_xlfn.XLOOKUP(B831,[1]FullDataList!F:F,[1]FullDataList!O:O)</f>
        <v>#ERROR!</v>
      </c>
      <c r="E831" s="110" t="s">
        <v>4050</v>
      </c>
      <c r="H831" s="138"/>
      <c r="J831" s="138"/>
    </row>
    <row r="832" ht="15.75" customHeight="1">
      <c r="A832" s="148">
        <v>46135.0</v>
      </c>
      <c r="B832" s="110" t="s">
        <v>846</v>
      </c>
      <c r="C832" s="106">
        <v>1.0</v>
      </c>
      <c r="D832" s="149" t="str">
        <f>_xlfn.XLOOKUP(B832,[1]FullDataList!F:F,[1]FullDataList!O:O)</f>
        <v>#ERROR!</v>
      </c>
      <c r="E832" s="110" t="s">
        <v>4052</v>
      </c>
      <c r="H832" s="138"/>
      <c r="J832" s="138"/>
    </row>
    <row r="833" ht="15.75" customHeight="1">
      <c r="A833" s="148">
        <v>46135.0</v>
      </c>
      <c r="B833" s="110" t="s">
        <v>956</v>
      </c>
      <c r="C833" s="106">
        <v>1.0</v>
      </c>
      <c r="D833" s="149" t="str">
        <f>_xlfn.XLOOKUP(B833,[1]FullDataList!F:F,[1]FullDataList!O:O)</f>
        <v>#ERROR!</v>
      </c>
      <c r="E833" s="110" t="s">
        <v>4053</v>
      </c>
      <c r="H833" s="138"/>
      <c r="J833" s="138"/>
    </row>
    <row r="834" ht="15.75" customHeight="1">
      <c r="A834" s="148">
        <v>46135.0</v>
      </c>
      <c r="B834" s="110" t="s">
        <v>2334</v>
      </c>
      <c r="C834" s="106">
        <v>1.0</v>
      </c>
      <c r="D834" s="149" t="str">
        <f>_xlfn.XLOOKUP(B834,[1]FullDataList!F:F,[1]FullDataList!O:O)</f>
        <v>#ERROR!</v>
      </c>
      <c r="E834" s="110" t="s">
        <v>4004</v>
      </c>
      <c r="H834" s="138"/>
      <c r="J834" s="138"/>
    </row>
    <row r="835" ht="15.75" customHeight="1">
      <c r="A835" s="148">
        <v>46135.0</v>
      </c>
      <c r="B835" s="110" t="s">
        <v>2438</v>
      </c>
      <c r="C835" s="106">
        <v>1.0</v>
      </c>
      <c r="D835" s="149" t="str">
        <f>_xlfn.XLOOKUP(B835,[1]FullDataList!F:F,[1]FullDataList!O:O)</f>
        <v>#ERROR!</v>
      </c>
      <c r="E835" s="110" t="s">
        <v>4009</v>
      </c>
      <c r="H835" s="138"/>
      <c r="J835" s="138"/>
    </row>
    <row r="836" ht="15.75" customHeight="1">
      <c r="A836" s="148">
        <v>46135.0</v>
      </c>
      <c r="B836" s="110" t="s">
        <v>890</v>
      </c>
      <c r="C836" s="106">
        <v>1.0</v>
      </c>
      <c r="D836" s="149" t="str">
        <f>_xlfn.XLOOKUP(B836,[1]FullDataList!F:F,[1]FullDataList!O:O)</f>
        <v>#ERROR!</v>
      </c>
      <c r="E836" s="110" t="s">
        <v>4040</v>
      </c>
      <c r="H836" s="138"/>
      <c r="J836" s="138"/>
    </row>
    <row r="837" ht="15.75" customHeight="1">
      <c r="A837" s="148">
        <v>46135.0</v>
      </c>
      <c r="B837" s="110" t="s">
        <v>1095</v>
      </c>
      <c r="C837" s="106">
        <v>1.0</v>
      </c>
      <c r="D837" s="149" t="str">
        <f>_xlfn.XLOOKUP(B837,[1]FullDataList!F:F,[1]FullDataList!O:O)</f>
        <v>#ERROR!</v>
      </c>
      <c r="E837" s="110" t="s">
        <v>4032</v>
      </c>
      <c r="H837" s="138"/>
      <c r="J837" s="138"/>
    </row>
    <row r="838" ht="15.75" customHeight="1">
      <c r="A838" s="148">
        <v>46135.0</v>
      </c>
      <c r="B838" s="110" t="s">
        <v>748</v>
      </c>
      <c r="C838" s="106">
        <v>1.0</v>
      </c>
      <c r="D838" s="149" t="str">
        <f>_xlfn.XLOOKUP(B838,[1]FullDataList!F:F,[1]FullDataList!O:O)</f>
        <v>#ERROR!</v>
      </c>
      <c r="E838" s="110" t="s">
        <v>4062</v>
      </c>
      <c r="H838" s="138"/>
      <c r="J838" s="138"/>
    </row>
    <row r="839" ht="15.75" customHeight="1">
      <c r="A839" s="148">
        <v>46135.0</v>
      </c>
      <c r="B839" s="110" t="s">
        <v>1100</v>
      </c>
      <c r="C839" s="106">
        <v>1.0</v>
      </c>
      <c r="D839" s="149" t="str">
        <f>_xlfn.XLOOKUP(B839,[1]FullDataList!F:F,[1]FullDataList!O:O)</f>
        <v>#ERROR!</v>
      </c>
      <c r="E839" s="110" t="s">
        <v>4042</v>
      </c>
      <c r="H839" s="138"/>
      <c r="J839" s="138"/>
    </row>
    <row r="840" ht="15.75" customHeight="1">
      <c r="A840" s="148">
        <v>46135.0</v>
      </c>
      <c r="B840" s="110" t="s">
        <v>2055</v>
      </c>
      <c r="C840" s="106">
        <v>1.0</v>
      </c>
      <c r="D840" s="149" t="str">
        <f>_xlfn.XLOOKUP(B840,[1]FullDataList!F:F,[1]FullDataList!O:O)</f>
        <v>#ERROR!</v>
      </c>
      <c r="E840" s="110" t="s">
        <v>4044</v>
      </c>
      <c r="H840" s="138"/>
      <c r="J840" s="138"/>
    </row>
    <row r="841" ht="15.75" customHeight="1">
      <c r="A841" s="148">
        <v>46135.0</v>
      </c>
      <c r="B841" s="110" t="s">
        <v>275</v>
      </c>
      <c r="C841" s="106">
        <v>1.0</v>
      </c>
      <c r="D841" s="149" t="str">
        <f>_xlfn.XLOOKUP(B841,[1]FullDataList!F:F,[1]FullDataList!O:O)</f>
        <v>#ERROR!</v>
      </c>
      <c r="E841" s="110" t="s">
        <v>4027</v>
      </c>
      <c r="H841" s="138"/>
      <c r="J841" s="138"/>
    </row>
    <row r="842" ht="15.75" customHeight="1">
      <c r="A842" s="148">
        <v>46135.0</v>
      </c>
      <c r="B842" s="110" t="s">
        <v>697</v>
      </c>
      <c r="C842" s="106">
        <v>1.0</v>
      </c>
      <c r="D842" s="149" t="str">
        <f>_xlfn.XLOOKUP(B842,[1]FullDataList!F:F,[1]FullDataList!O:O)</f>
        <v>#ERROR!</v>
      </c>
      <c r="E842" s="110" t="s">
        <v>4055</v>
      </c>
      <c r="H842" s="138"/>
      <c r="J842" s="138"/>
    </row>
    <row r="843" ht="15.75" customHeight="1">
      <c r="A843" s="148">
        <v>46135.0</v>
      </c>
      <c r="B843" s="110" t="s">
        <v>2548</v>
      </c>
      <c r="C843" s="106">
        <v>1.0</v>
      </c>
      <c r="D843" s="149" t="str">
        <f>_xlfn.XLOOKUP(B843,[1]FullDataList!F:F,[1]FullDataList!O:O)</f>
        <v>#ERROR!</v>
      </c>
      <c r="E843" s="110" t="s">
        <v>4013</v>
      </c>
      <c r="H843" s="138"/>
      <c r="J843" s="138"/>
    </row>
    <row r="844" ht="15.75" customHeight="1">
      <c r="A844" s="148">
        <v>46135.0</v>
      </c>
      <c r="B844" s="110" t="s">
        <v>894</v>
      </c>
      <c r="C844" s="106">
        <v>1.0</v>
      </c>
      <c r="D844" s="149" t="str">
        <f>_xlfn.XLOOKUP(B844,[1]FullDataList!F:F,[1]FullDataList!O:O)</f>
        <v>#ERROR!</v>
      </c>
      <c r="E844" s="110" t="s">
        <v>4056</v>
      </c>
      <c r="H844" s="138"/>
      <c r="J844" s="138"/>
    </row>
    <row r="845" ht="15.75" customHeight="1">
      <c r="A845" s="148">
        <v>46135.0</v>
      </c>
      <c r="B845" s="110" t="s">
        <v>1949</v>
      </c>
      <c r="C845" s="106">
        <v>1.0</v>
      </c>
      <c r="D845" s="149" t="str">
        <f>_xlfn.XLOOKUP(B845,[1]FullDataList!F:F,[1]FullDataList!O:O)</f>
        <v>#ERROR!</v>
      </c>
      <c r="E845" s="110" t="s">
        <v>4057</v>
      </c>
      <c r="H845" s="138"/>
      <c r="J845" s="138"/>
    </row>
    <row r="846" ht="15.75" customHeight="1">
      <c r="A846" s="148">
        <v>46135.0</v>
      </c>
      <c r="B846" s="110" t="s">
        <v>2065</v>
      </c>
      <c r="C846" s="106">
        <v>1.0</v>
      </c>
      <c r="D846" s="149" t="str">
        <f>_xlfn.XLOOKUP(B846,[1]FullDataList!F:F,[1]FullDataList!O:O)</f>
        <v>#ERROR!</v>
      </c>
      <c r="E846" s="110" t="s">
        <v>4008</v>
      </c>
      <c r="H846" s="138"/>
      <c r="J846" s="138"/>
    </row>
    <row r="847" ht="15.75" customHeight="1">
      <c r="A847" s="148">
        <v>46135.0</v>
      </c>
      <c r="B847" s="110" t="s">
        <v>1979</v>
      </c>
      <c r="C847" s="106">
        <v>1.0</v>
      </c>
      <c r="D847" s="149" t="str">
        <f>_xlfn.XLOOKUP(B847,[1]FullDataList!F:F,[1]FullDataList!O:O)</f>
        <v>#ERROR!</v>
      </c>
      <c r="E847" s="110" t="s">
        <v>4039</v>
      </c>
      <c r="H847" s="138"/>
      <c r="J847" s="138"/>
    </row>
    <row r="848" ht="15.75" customHeight="1">
      <c r="A848" s="148">
        <v>46135.0</v>
      </c>
      <c r="B848" s="110" t="s">
        <v>485</v>
      </c>
      <c r="C848" s="106">
        <v>1.0</v>
      </c>
      <c r="D848" s="149" t="str">
        <f>_xlfn.XLOOKUP(B848,[1]FullDataList!F:F,[1]FullDataList!O:O)</f>
        <v>#ERROR!</v>
      </c>
      <c r="E848" s="110" t="s">
        <v>4012</v>
      </c>
      <c r="H848" s="138"/>
      <c r="J848" s="138"/>
    </row>
    <row r="849" ht="15.75" customHeight="1">
      <c r="A849" s="148">
        <v>46135.0</v>
      </c>
      <c r="B849" s="110" t="s">
        <v>830</v>
      </c>
      <c r="C849" s="106">
        <v>1.0</v>
      </c>
      <c r="D849" s="149" t="str">
        <f>_xlfn.XLOOKUP(B849,[1]FullDataList!F:F,[1]FullDataList!O:O)</f>
        <v>#ERROR!</v>
      </c>
      <c r="E849" s="110" t="s">
        <v>4041</v>
      </c>
      <c r="H849" s="138"/>
      <c r="J849" s="138"/>
    </row>
    <row r="850" ht="15.75" customHeight="1">
      <c r="A850" s="148">
        <v>46135.0</v>
      </c>
      <c r="B850" s="110" t="s">
        <v>1976</v>
      </c>
      <c r="C850" s="106">
        <v>1.0</v>
      </c>
      <c r="D850" s="149" t="str">
        <f>_xlfn.XLOOKUP(B850,[1]FullDataList!F:F,[1]FullDataList!O:O)</f>
        <v>#ERROR!</v>
      </c>
      <c r="E850" s="110" t="s">
        <v>4058</v>
      </c>
      <c r="H850" s="138"/>
      <c r="J850" s="138"/>
    </row>
    <row r="851" ht="15.75" customHeight="1">
      <c r="A851" s="148">
        <v>46135.0</v>
      </c>
      <c r="B851" s="110" t="s">
        <v>1953</v>
      </c>
      <c r="C851" s="106">
        <v>1.0</v>
      </c>
      <c r="D851" s="149" t="str">
        <f>_xlfn.XLOOKUP(B851,[1]FullDataList!F:F,[1]FullDataList!O:O)</f>
        <v>#ERROR!</v>
      </c>
      <c r="E851" s="110" t="s">
        <v>4003</v>
      </c>
      <c r="H851" s="138"/>
      <c r="J851" s="138"/>
    </row>
    <row r="852" ht="15.75" customHeight="1">
      <c r="A852" s="148">
        <v>46135.0</v>
      </c>
      <c r="B852" s="110" t="s">
        <v>1257</v>
      </c>
      <c r="C852" s="106">
        <v>1.0</v>
      </c>
      <c r="D852" s="149" t="str">
        <f>_xlfn.XLOOKUP(B852,[1]FullDataList!F:F,[1]FullDataList!O:O)</f>
        <v>#ERROR!</v>
      </c>
      <c r="E852" s="110" t="s">
        <v>4066</v>
      </c>
      <c r="H852" s="138"/>
      <c r="J852" s="138"/>
    </row>
    <row r="853" ht="15.75" customHeight="1">
      <c r="A853" s="148">
        <v>46136.0</v>
      </c>
      <c r="B853" s="110" t="s">
        <v>1529</v>
      </c>
      <c r="C853" s="106">
        <v>1.0</v>
      </c>
      <c r="D853" s="149" t="str">
        <f>_xlfn.XLOOKUP(B853,[1]FullDataList!F:F,[1]FullDataList!O:O)</f>
        <v>#ERROR!</v>
      </c>
      <c r="E853" s="110" t="s">
        <v>4059</v>
      </c>
      <c r="H853" s="138"/>
      <c r="J853" s="138"/>
    </row>
    <row r="854" ht="15.75" customHeight="1">
      <c r="A854" s="148">
        <v>46136.0</v>
      </c>
      <c r="B854" s="110" t="s">
        <v>390</v>
      </c>
      <c r="C854" s="106">
        <v>1.0</v>
      </c>
      <c r="D854" s="149" t="str">
        <f>_xlfn.XLOOKUP(B854,[1]FullDataList!F:F,[1]FullDataList!O:O)</f>
        <v>#ERROR!</v>
      </c>
      <c r="E854" s="110" t="s">
        <v>4061</v>
      </c>
      <c r="H854" s="138"/>
      <c r="J854" s="138"/>
    </row>
    <row r="855" ht="15.75" customHeight="1">
      <c r="A855" s="148">
        <v>46136.0</v>
      </c>
      <c r="B855" s="110" t="s">
        <v>2061</v>
      </c>
      <c r="C855" s="106">
        <v>1.0</v>
      </c>
      <c r="D855" s="149" t="str">
        <f>_xlfn.XLOOKUP(B855,[1]FullDataList!F:F,[1]FullDataList!O:O)</f>
        <v>#ERROR!</v>
      </c>
      <c r="E855" s="110" t="s">
        <v>4064</v>
      </c>
      <c r="H855" s="138"/>
      <c r="J855" s="138"/>
    </row>
    <row r="856" ht="15.75" customHeight="1">
      <c r="A856" s="148">
        <v>46136.0</v>
      </c>
      <c r="B856" s="110" t="s">
        <v>1259</v>
      </c>
      <c r="C856" s="106">
        <v>1.0</v>
      </c>
      <c r="D856" s="149" t="str">
        <f>_xlfn.XLOOKUP(B856,[1]FullDataList!F:F,[1]FullDataList!O:O)</f>
        <v>#ERROR!</v>
      </c>
      <c r="E856" s="110" t="s">
        <v>4065</v>
      </c>
      <c r="H856" s="138"/>
      <c r="J856" s="138"/>
    </row>
    <row r="857" ht="15.75" customHeight="1">
      <c r="A857" s="148">
        <v>46136.0</v>
      </c>
      <c r="B857" s="110" t="s">
        <v>781</v>
      </c>
      <c r="C857" s="106">
        <v>1.0</v>
      </c>
      <c r="D857" s="149" t="str">
        <f>_xlfn.XLOOKUP(B857,[1]FullDataList!F:F,[1]FullDataList!O:O)</f>
        <v>#ERROR!</v>
      </c>
      <c r="E857" s="110" t="s">
        <v>4026</v>
      </c>
      <c r="H857" s="138"/>
      <c r="J857" s="138"/>
    </row>
    <row r="858" ht="15.75" customHeight="1">
      <c r="A858" s="148">
        <v>46136.0</v>
      </c>
      <c r="B858" s="110" t="s">
        <v>2100</v>
      </c>
      <c r="C858" s="106">
        <v>1.0</v>
      </c>
      <c r="D858" s="149" t="str">
        <f>_xlfn.XLOOKUP(B858,[1]FullDataList!F:F,[1]FullDataList!O:O)</f>
        <v>#ERROR!</v>
      </c>
      <c r="E858" s="110" t="s">
        <v>4028</v>
      </c>
      <c r="H858" s="138"/>
      <c r="J858" s="138"/>
    </row>
    <row r="859" ht="15.75" customHeight="1">
      <c r="A859" s="148">
        <v>46136.0</v>
      </c>
      <c r="B859" s="110" t="s">
        <v>790</v>
      </c>
      <c r="C859" s="106">
        <v>1.0</v>
      </c>
      <c r="D859" s="149" t="str">
        <f>_xlfn.XLOOKUP(B859,[1]FullDataList!F:F,[1]FullDataList!O:O)</f>
        <v>#ERROR!</v>
      </c>
      <c r="E859" s="110" t="s">
        <v>4038</v>
      </c>
      <c r="H859" s="138"/>
      <c r="J859" s="138"/>
    </row>
    <row r="860" ht="15.75" customHeight="1">
      <c r="A860" s="148">
        <v>46136.0</v>
      </c>
      <c r="B860" s="110" t="s">
        <v>727</v>
      </c>
      <c r="C860" s="106">
        <v>1.0</v>
      </c>
      <c r="D860" s="149" t="str">
        <f>_xlfn.XLOOKUP(B860,[1]FullDataList!F:F,[1]FullDataList!O:O)</f>
        <v>#ERROR!</v>
      </c>
      <c r="E860" s="110" t="s">
        <v>4047</v>
      </c>
      <c r="H860" s="138"/>
      <c r="J860" s="138"/>
    </row>
    <row r="861" ht="15.75" customHeight="1">
      <c r="A861" s="148">
        <v>46136.0</v>
      </c>
      <c r="B861" s="110" t="s">
        <v>701</v>
      </c>
      <c r="C861" s="106">
        <v>1.0</v>
      </c>
      <c r="D861" s="149" t="str">
        <f>_xlfn.XLOOKUP(B861,[1]FullDataList!F:F,[1]FullDataList!O:O)</f>
        <v>#ERROR!</v>
      </c>
      <c r="E861" s="110" t="s">
        <v>4048</v>
      </c>
      <c r="H861" s="138"/>
      <c r="J861" s="138"/>
    </row>
    <row r="862" ht="15.75" customHeight="1">
      <c r="A862" s="148">
        <v>46136.0</v>
      </c>
      <c r="B862" s="110" t="s">
        <v>1360</v>
      </c>
      <c r="C862" s="106">
        <v>1.0</v>
      </c>
      <c r="D862" s="149" t="str">
        <f>_xlfn.XLOOKUP(B862,[1]FullDataList!F:F,[1]FullDataList!O:O)</f>
        <v>#ERROR!</v>
      </c>
      <c r="E862" s="110" t="s">
        <v>4054</v>
      </c>
      <c r="H862" s="138"/>
      <c r="J862" s="138"/>
    </row>
    <row r="863" ht="15.75" customHeight="1">
      <c r="A863" s="148">
        <v>46136.0</v>
      </c>
      <c r="B863" s="110" t="s">
        <v>986</v>
      </c>
      <c r="C863" s="106">
        <v>1.0</v>
      </c>
      <c r="D863" s="149" t="str">
        <f>_xlfn.XLOOKUP(B863,[1]FullDataList!F:F,[1]FullDataList!O:O)</f>
        <v>#ERROR!</v>
      </c>
      <c r="E863" s="110" t="s">
        <v>4049</v>
      </c>
      <c r="H863" s="138"/>
      <c r="J863" s="138"/>
    </row>
    <row r="864" ht="15.75" customHeight="1">
      <c r="A864" s="148">
        <v>46136.0</v>
      </c>
      <c r="B864" s="110" t="s">
        <v>808</v>
      </c>
      <c r="C864" s="106">
        <v>1.0</v>
      </c>
      <c r="D864" s="149" t="str">
        <f>_xlfn.XLOOKUP(B864,[1]FullDataList!F:F,[1]FullDataList!O:O)</f>
        <v>#ERROR!</v>
      </c>
      <c r="E864" s="110" t="s">
        <v>4051</v>
      </c>
      <c r="H864" s="138"/>
      <c r="J864" s="138"/>
    </row>
    <row r="865" ht="15.75" customHeight="1">
      <c r="A865" s="148">
        <v>46136.0</v>
      </c>
      <c r="B865" s="110" t="s">
        <v>1403</v>
      </c>
      <c r="C865" s="106">
        <v>1.0</v>
      </c>
      <c r="D865" s="149" t="str">
        <f>_xlfn.XLOOKUP(B865,[1]FullDataList!F:F,[1]FullDataList!O:O)</f>
        <v>#ERROR!</v>
      </c>
      <c r="E865" s="110" t="s">
        <v>4050</v>
      </c>
      <c r="H865" s="138"/>
      <c r="J865" s="138"/>
    </row>
    <row r="866" ht="15.75" customHeight="1">
      <c r="A866" s="148">
        <v>46136.0</v>
      </c>
      <c r="B866" s="110" t="s">
        <v>847</v>
      </c>
      <c r="C866" s="106">
        <v>1.0</v>
      </c>
      <c r="D866" s="149" t="str">
        <f>_xlfn.XLOOKUP(B866,[1]FullDataList!F:F,[1]FullDataList!O:O)</f>
        <v>#ERROR!</v>
      </c>
      <c r="E866" s="110" t="s">
        <v>4052</v>
      </c>
      <c r="H866" s="138"/>
      <c r="J866" s="138"/>
    </row>
    <row r="867" ht="15.75" customHeight="1">
      <c r="A867" s="148">
        <v>46136.0</v>
      </c>
      <c r="B867" s="110" t="s">
        <v>957</v>
      </c>
      <c r="C867" s="106">
        <v>1.0</v>
      </c>
      <c r="D867" s="149" t="str">
        <f>_xlfn.XLOOKUP(B867,[1]FullDataList!F:F,[1]FullDataList!O:O)</f>
        <v>#ERROR!</v>
      </c>
      <c r="E867" s="110" t="s">
        <v>4053</v>
      </c>
      <c r="H867" s="138"/>
      <c r="J867" s="138"/>
    </row>
    <row r="868" ht="15.75" customHeight="1">
      <c r="A868" s="148">
        <v>46136.0</v>
      </c>
      <c r="B868" s="110" t="s">
        <v>2335</v>
      </c>
      <c r="C868" s="106">
        <v>1.0</v>
      </c>
      <c r="D868" s="149" t="str">
        <f>_xlfn.XLOOKUP(B868,[1]FullDataList!F:F,[1]FullDataList!O:O)</f>
        <v>#ERROR!</v>
      </c>
      <c r="E868" s="110" t="s">
        <v>4004</v>
      </c>
      <c r="H868" s="138"/>
      <c r="J868" s="138"/>
    </row>
    <row r="869" ht="15.75" customHeight="1">
      <c r="A869" s="148">
        <v>46136.0</v>
      </c>
      <c r="B869" s="110" t="s">
        <v>2439</v>
      </c>
      <c r="C869" s="106">
        <v>1.0</v>
      </c>
      <c r="D869" s="149" t="str">
        <f>_xlfn.XLOOKUP(B869,[1]FullDataList!F:F,[1]FullDataList!O:O)</f>
        <v>#ERROR!</v>
      </c>
      <c r="E869" s="110" t="s">
        <v>4009</v>
      </c>
      <c r="H869" s="138"/>
      <c r="J869" s="138"/>
    </row>
    <row r="870" ht="15.75" customHeight="1">
      <c r="A870" s="148">
        <v>46136.0</v>
      </c>
      <c r="B870" s="110" t="s">
        <v>891</v>
      </c>
      <c r="C870" s="106">
        <v>1.0</v>
      </c>
      <c r="D870" s="149" t="str">
        <f>_xlfn.XLOOKUP(B870,[1]FullDataList!F:F,[1]FullDataList!O:O)</f>
        <v>#ERROR!</v>
      </c>
      <c r="E870" s="110" t="s">
        <v>4040</v>
      </c>
      <c r="H870" s="138"/>
      <c r="J870" s="138"/>
    </row>
    <row r="871" ht="15.75" customHeight="1">
      <c r="A871" s="148">
        <v>46136.0</v>
      </c>
      <c r="B871" s="110" t="s">
        <v>1061</v>
      </c>
      <c r="C871" s="106">
        <v>1.0</v>
      </c>
      <c r="D871" s="149" t="str">
        <f>_xlfn.XLOOKUP(B871,[1]FullDataList!F:F,[1]FullDataList!O:O)</f>
        <v>#ERROR!</v>
      </c>
      <c r="E871" s="110" t="s">
        <v>4032</v>
      </c>
      <c r="H871" s="138"/>
      <c r="J871" s="138"/>
    </row>
    <row r="872" ht="15.75" customHeight="1">
      <c r="A872" s="148">
        <v>46136.0</v>
      </c>
      <c r="B872" s="110" t="s">
        <v>749</v>
      </c>
      <c r="C872" s="106">
        <v>1.0</v>
      </c>
      <c r="D872" s="149" t="str">
        <f>_xlfn.XLOOKUP(B872,[1]FullDataList!F:F,[1]FullDataList!O:O)</f>
        <v>#ERROR!</v>
      </c>
      <c r="E872" s="110" t="s">
        <v>4062</v>
      </c>
      <c r="H872" s="138"/>
      <c r="J872" s="138"/>
    </row>
    <row r="873" ht="15.75" customHeight="1">
      <c r="A873" s="148">
        <v>46136.0</v>
      </c>
      <c r="B873" s="110" t="s">
        <v>1099</v>
      </c>
      <c r="C873" s="106">
        <v>1.0</v>
      </c>
      <c r="D873" s="149" t="str">
        <f>_xlfn.XLOOKUP(B873,[1]FullDataList!F:F,[1]FullDataList!O:O)</f>
        <v>#ERROR!</v>
      </c>
      <c r="E873" s="110" t="s">
        <v>4042</v>
      </c>
      <c r="H873" s="138"/>
      <c r="J873" s="138"/>
    </row>
    <row r="874" ht="15.75" customHeight="1">
      <c r="A874" s="148">
        <v>46136.0</v>
      </c>
      <c r="B874" s="110" t="s">
        <v>514</v>
      </c>
      <c r="C874" s="106">
        <v>1.0</v>
      </c>
      <c r="D874" s="149" t="str">
        <f>_xlfn.XLOOKUP(B874,[1]FullDataList!F:F,[1]FullDataList!O:O)</f>
        <v>#ERROR!</v>
      </c>
      <c r="E874" s="110" t="s">
        <v>4044</v>
      </c>
      <c r="H874" s="138"/>
      <c r="J874" s="138"/>
    </row>
    <row r="875" ht="15.75" customHeight="1">
      <c r="A875" s="148">
        <v>46136.0</v>
      </c>
      <c r="B875" s="110" t="s">
        <v>310</v>
      </c>
      <c r="C875" s="106">
        <v>1.0</v>
      </c>
      <c r="D875" s="149" t="str">
        <f>_xlfn.XLOOKUP(B875,[1]FullDataList!F:F,[1]FullDataList!O:O)</f>
        <v>#ERROR!</v>
      </c>
      <c r="E875" s="110" t="s">
        <v>4027</v>
      </c>
      <c r="H875" s="138"/>
      <c r="J875" s="138"/>
    </row>
    <row r="876" ht="15.75" customHeight="1">
      <c r="A876" s="148">
        <v>46136.0</v>
      </c>
      <c r="B876" s="110" t="s">
        <v>418</v>
      </c>
      <c r="C876" s="106">
        <v>1.0</v>
      </c>
      <c r="D876" s="149" t="str">
        <f>_xlfn.XLOOKUP(B876,[1]FullDataList!F:F,[1]FullDataList!O:O)</f>
        <v>#ERROR!</v>
      </c>
      <c r="E876" s="110" t="s">
        <v>4030</v>
      </c>
      <c r="H876" s="138"/>
      <c r="J876" s="138"/>
    </row>
    <row r="877" ht="15.75" customHeight="1">
      <c r="A877" s="148">
        <v>46136.0</v>
      </c>
      <c r="B877" s="110" t="s">
        <v>2413</v>
      </c>
      <c r="C877" s="106">
        <v>1.0</v>
      </c>
      <c r="D877" s="149" t="str">
        <f>_xlfn.XLOOKUP(B877,[1]FullDataList!F:F,[1]FullDataList!O:O)</f>
        <v>#ERROR!</v>
      </c>
      <c r="E877" s="110" t="s">
        <v>4043</v>
      </c>
      <c r="H877" s="138"/>
      <c r="J877" s="138"/>
    </row>
    <row r="878" ht="15.75" customHeight="1">
      <c r="A878" s="148">
        <v>46136.0</v>
      </c>
      <c r="B878" s="110" t="s">
        <v>386</v>
      </c>
      <c r="C878" s="106">
        <v>1.0</v>
      </c>
      <c r="D878" s="149" t="str">
        <f>_xlfn.XLOOKUP(B878,[1]FullDataList!F:F,[1]FullDataList!O:O)</f>
        <v>#ERROR!</v>
      </c>
      <c r="E878" s="110" t="s">
        <v>4063</v>
      </c>
      <c r="H878" s="138"/>
      <c r="J878" s="138"/>
    </row>
    <row r="879" ht="15.75" customHeight="1">
      <c r="A879" s="148">
        <v>46136.0</v>
      </c>
      <c r="B879" s="110" t="s">
        <v>779</v>
      </c>
      <c r="C879" s="106">
        <v>1.0</v>
      </c>
      <c r="D879" s="149" t="str">
        <f>_xlfn.XLOOKUP(B879,[1]FullDataList!F:F,[1]FullDataList!O:O)</f>
        <v>#ERROR!</v>
      </c>
      <c r="E879" s="110" t="s">
        <v>4055</v>
      </c>
      <c r="H879" s="138"/>
      <c r="J879" s="138"/>
    </row>
    <row r="880" ht="15.75" customHeight="1">
      <c r="A880" s="148">
        <v>46136.0</v>
      </c>
      <c r="B880" s="110" t="s">
        <v>2562</v>
      </c>
      <c r="C880" s="106">
        <v>1.0</v>
      </c>
      <c r="D880" s="149" t="str">
        <f>_xlfn.XLOOKUP(B880,[1]FullDataList!F:F,[1]FullDataList!O:O)</f>
        <v>#ERROR!</v>
      </c>
      <c r="E880" s="110" t="s">
        <v>4013</v>
      </c>
      <c r="H880" s="138"/>
      <c r="J880" s="138"/>
    </row>
    <row r="881" ht="15.75" customHeight="1">
      <c r="A881" s="148">
        <v>46136.0</v>
      </c>
      <c r="B881" s="110" t="s">
        <v>895</v>
      </c>
      <c r="C881" s="106">
        <v>1.0</v>
      </c>
      <c r="D881" s="149" t="str">
        <f>_xlfn.XLOOKUP(B881,[1]FullDataList!F:F,[1]FullDataList!O:O)</f>
        <v>#ERROR!</v>
      </c>
      <c r="E881" s="110" t="s">
        <v>4056</v>
      </c>
      <c r="H881" s="138"/>
      <c r="J881" s="138"/>
    </row>
    <row r="882" ht="15.75" customHeight="1">
      <c r="A882" s="148">
        <v>46136.0</v>
      </c>
      <c r="B882" s="110" t="s">
        <v>1950</v>
      </c>
      <c r="C882" s="106">
        <v>1.0</v>
      </c>
      <c r="D882" s="149" t="str">
        <f>_xlfn.XLOOKUP(B882,[1]FullDataList!F:F,[1]FullDataList!O:O)</f>
        <v>#ERROR!</v>
      </c>
      <c r="E882" s="110" t="s">
        <v>4057</v>
      </c>
      <c r="H882" s="138"/>
      <c r="J882" s="138"/>
    </row>
    <row r="883" ht="15.75" customHeight="1">
      <c r="A883" s="148">
        <v>46136.0</v>
      </c>
      <c r="B883" s="110" t="s">
        <v>2078</v>
      </c>
      <c r="C883" s="106">
        <v>1.0</v>
      </c>
      <c r="D883" s="149" t="str">
        <f>_xlfn.XLOOKUP(B883,[1]FullDataList!F:F,[1]FullDataList!O:O)</f>
        <v>#ERROR!</v>
      </c>
      <c r="E883" s="110" t="s">
        <v>4008</v>
      </c>
      <c r="H883" s="138"/>
      <c r="J883" s="138"/>
    </row>
    <row r="884" ht="15.75" customHeight="1">
      <c r="A884" s="148">
        <v>46136.0</v>
      </c>
      <c r="B884" s="110" t="s">
        <v>1972</v>
      </c>
      <c r="C884" s="106">
        <v>1.0</v>
      </c>
      <c r="D884" s="149" t="str">
        <f>_xlfn.XLOOKUP(B884,[1]FullDataList!F:F,[1]FullDataList!O:O)</f>
        <v>#ERROR!</v>
      </c>
      <c r="E884" s="110" t="s">
        <v>4039</v>
      </c>
      <c r="H884" s="138"/>
      <c r="J884" s="138"/>
    </row>
    <row r="885" ht="15.75" customHeight="1">
      <c r="A885" s="148">
        <v>46136.0</v>
      </c>
      <c r="B885" s="110" t="s">
        <v>500</v>
      </c>
      <c r="C885" s="106">
        <v>1.0</v>
      </c>
      <c r="D885" s="149" t="str">
        <f>_xlfn.XLOOKUP(B885,[1]FullDataList!F:F,[1]FullDataList!O:O)</f>
        <v>#ERROR!</v>
      </c>
      <c r="E885" s="110" t="s">
        <v>4012</v>
      </c>
      <c r="H885" s="138"/>
      <c r="J885" s="138"/>
    </row>
    <row r="886" ht="15.75" customHeight="1">
      <c r="A886" s="148">
        <v>46136.0</v>
      </c>
      <c r="B886" s="110" t="s">
        <v>831</v>
      </c>
      <c r="C886" s="106">
        <v>1.0</v>
      </c>
      <c r="D886" s="149" t="str">
        <f>_xlfn.XLOOKUP(B886,[1]FullDataList!F:F,[1]FullDataList!O:O)</f>
        <v>#ERROR!</v>
      </c>
      <c r="E886" s="110" t="s">
        <v>4041</v>
      </c>
      <c r="H886" s="138"/>
      <c r="J886" s="138"/>
    </row>
    <row r="887" ht="15.75" customHeight="1">
      <c r="A887" s="148">
        <v>46136.0</v>
      </c>
      <c r="B887" s="110" t="s">
        <v>1977</v>
      </c>
      <c r="C887" s="106">
        <v>1.0</v>
      </c>
      <c r="D887" s="149" t="str">
        <f>_xlfn.XLOOKUP(B887,[1]FullDataList!F:F,[1]FullDataList!O:O)</f>
        <v>#ERROR!</v>
      </c>
      <c r="E887" s="110" t="s">
        <v>4058</v>
      </c>
      <c r="H887" s="138"/>
      <c r="J887" s="138"/>
    </row>
    <row r="888" ht="15.75" customHeight="1">
      <c r="A888" s="148">
        <v>46136.0</v>
      </c>
      <c r="B888" s="110" t="s">
        <v>1255</v>
      </c>
      <c r="C888" s="106">
        <v>1.0</v>
      </c>
      <c r="D888" s="149" t="str">
        <f>_xlfn.XLOOKUP(B888,[1]FullDataList!F:F,[1]FullDataList!O:O)</f>
        <v>#ERROR!</v>
      </c>
      <c r="E888" s="110" t="s">
        <v>4011</v>
      </c>
      <c r="H888" s="138"/>
      <c r="J888" s="138"/>
    </row>
    <row r="889" ht="15.75" customHeight="1">
      <c r="A889" s="148">
        <v>46136.0</v>
      </c>
      <c r="B889" s="110" t="s">
        <v>1954</v>
      </c>
      <c r="C889" s="106">
        <v>1.0</v>
      </c>
      <c r="D889" s="149" t="str">
        <f>_xlfn.XLOOKUP(B889,[1]FullDataList!F:F,[1]FullDataList!O:O)</f>
        <v>#ERROR!</v>
      </c>
      <c r="E889" s="110" t="s">
        <v>4003</v>
      </c>
      <c r="H889" s="138"/>
      <c r="J889" s="138"/>
    </row>
    <row r="890" ht="15.75" customHeight="1">
      <c r="A890" s="148">
        <v>46136.0</v>
      </c>
      <c r="B890" s="110" t="s">
        <v>250</v>
      </c>
      <c r="C890" s="106">
        <v>1.0</v>
      </c>
      <c r="D890" s="149" t="str">
        <f>_xlfn.XLOOKUP(B890,[1]FullDataList!F:F,[1]FullDataList!O:O)</f>
        <v>#ERROR!</v>
      </c>
      <c r="E890" s="110" t="s">
        <v>4025</v>
      </c>
      <c r="H890" s="138"/>
      <c r="J890" s="138"/>
    </row>
    <row r="891" ht="15.75" customHeight="1">
      <c r="A891" s="148">
        <v>46136.0</v>
      </c>
      <c r="B891" s="110" t="s">
        <v>1023</v>
      </c>
      <c r="C891" s="106">
        <v>1.0</v>
      </c>
      <c r="D891" s="149" t="str">
        <f>_xlfn.XLOOKUP(B891,[1]FullDataList!F:F,[1]FullDataList!O:O)</f>
        <v>#ERROR!</v>
      </c>
      <c r="E891" s="110" t="s">
        <v>4066</v>
      </c>
      <c r="H891" s="138"/>
      <c r="J891" s="138"/>
    </row>
    <row r="892" ht="15.75" customHeight="1">
      <c r="A892" s="148">
        <v>46137.0</v>
      </c>
      <c r="B892" s="110" t="s">
        <v>1530</v>
      </c>
      <c r="C892" s="106">
        <v>1.0</v>
      </c>
      <c r="D892" s="149" t="str">
        <f>_xlfn.XLOOKUP(B892,[1]FullDataList!F:F,[1]FullDataList!O:O)</f>
        <v>#ERROR!</v>
      </c>
      <c r="E892" s="110" t="s">
        <v>4059</v>
      </c>
      <c r="H892" s="138"/>
      <c r="J892" s="138"/>
    </row>
    <row r="893" ht="15.75" customHeight="1">
      <c r="A893" s="148">
        <v>46137.0</v>
      </c>
      <c r="B893" s="110" t="s">
        <v>393</v>
      </c>
      <c r="C893" s="106">
        <v>1.0</v>
      </c>
      <c r="D893" s="149" t="str">
        <f>_xlfn.XLOOKUP(B893,[1]FullDataList!F:F,[1]FullDataList!O:O)</f>
        <v>#ERROR!</v>
      </c>
      <c r="E893" s="110" t="s">
        <v>4061</v>
      </c>
      <c r="H893" s="138"/>
      <c r="J893" s="138"/>
    </row>
    <row r="894" ht="15.75" customHeight="1">
      <c r="A894" s="148">
        <v>46137.0</v>
      </c>
      <c r="B894" s="110" t="s">
        <v>1975</v>
      </c>
      <c r="C894" s="106">
        <v>1.0</v>
      </c>
      <c r="D894" s="149" t="str">
        <f>_xlfn.XLOOKUP(B894,[1]FullDataList!F:F,[1]FullDataList!O:O)</f>
        <v>#ERROR!</v>
      </c>
      <c r="E894" s="110" t="s">
        <v>4064</v>
      </c>
      <c r="H894" s="138"/>
      <c r="J894" s="138"/>
    </row>
    <row r="895" ht="15.75" customHeight="1">
      <c r="A895" s="148">
        <v>46137.0</v>
      </c>
      <c r="B895" s="110" t="s">
        <v>939</v>
      </c>
      <c r="C895" s="106">
        <v>1.0</v>
      </c>
      <c r="D895" s="149" t="str">
        <f>_xlfn.XLOOKUP(B895,[1]FullDataList!F:F,[1]FullDataList!O:O)</f>
        <v>#ERROR!</v>
      </c>
      <c r="E895" s="110" t="s">
        <v>4065</v>
      </c>
      <c r="H895" s="138"/>
      <c r="J895" s="138"/>
    </row>
    <row r="896" ht="15.75" customHeight="1">
      <c r="A896" s="148">
        <v>46137.0</v>
      </c>
      <c r="B896" s="110" t="s">
        <v>707</v>
      </c>
      <c r="C896" s="106">
        <v>1.0</v>
      </c>
      <c r="D896" s="149" t="str">
        <f>_xlfn.XLOOKUP(B896,[1]FullDataList!F:F,[1]FullDataList!O:O)</f>
        <v>#ERROR!</v>
      </c>
      <c r="E896" s="110" t="s">
        <v>4067</v>
      </c>
      <c r="H896" s="138"/>
      <c r="J896" s="138"/>
    </row>
    <row r="897" ht="15.75" customHeight="1">
      <c r="A897" s="148">
        <v>46137.0</v>
      </c>
      <c r="B897" s="110" t="s">
        <v>722</v>
      </c>
      <c r="C897" s="106">
        <v>1.0</v>
      </c>
      <c r="D897" s="149" t="str">
        <f>_xlfn.XLOOKUP(B897,[1]FullDataList!F:F,[1]FullDataList!O:O)</f>
        <v>#ERROR!</v>
      </c>
      <c r="E897" s="110" t="s">
        <v>4026</v>
      </c>
      <c r="H897" s="138"/>
      <c r="J897" s="138"/>
    </row>
    <row r="898" ht="15.75" customHeight="1">
      <c r="A898" s="148">
        <v>46137.0</v>
      </c>
      <c r="B898" s="110" t="s">
        <v>1507</v>
      </c>
      <c r="C898" s="106">
        <v>1.0</v>
      </c>
      <c r="D898" s="149" t="str">
        <f>_xlfn.XLOOKUP(B898,[1]FullDataList!F:F,[1]FullDataList!O:O)</f>
        <v>#ERROR!</v>
      </c>
      <c r="E898" s="110" t="s">
        <v>4028</v>
      </c>
      <c r="H898" s="138"/>
      <c r="J898" s="138"/>
    </row>
    <row r="899" ht="15.75" customHeight="1">
      <c r="A899" s="148">
        <v>46137.0</v>
      </c>
      <c r="B899" s="110" t="s">
        <v>2415</v>
      </c>
      <c r="C899" s="106">
        <v>1.0</v>
      </c>
      <c r="D899" s="149" t="str">
        <f>_xlfn.XLOOKUP(B899,[1]FullDataList!F:F,[1]FullDataList!O:O)</f>
        <v>#ERROR!</v>
      </c>
      <c r="E899" s="110" t="s">
        <v>4060</v>
      </c>
      <c r="H899" s="138"/>
      <c r="J899" s="138"/>
    </row>
    <row r="900" ht="15.75" customHeight="1">
      <c r="A900" s="148">
        <v>46137.0</v>
      </c>
      <c r="B900" s="110" t="s">
        <v>791</v>
      </c>
      <c r="C900" s="106">
        <v>1.0</v>
      </c>
      <c r="D900" s="149" t="str">
        <f>_xlfn.XLOOKUP(B900,[1]FullDataList!F:F,[1]FullDataList!O:O)</f>
        <v>#ERROR!</v>
      </c>
      <c r="E900" s="110" t="s">
        <v>4038</v>
      </c>
      <c r="H900" s="138"/>
      <c r="J900" s="138"/>
    </row>
    <row r="901" ht="15.75" customHeight="1">
      <c r="A901" s="148">
        <v>46137.0</v>
      </c>
      <c r="B901" s="110" t="s">
        <v>1361</v>
      </c>
      <c r="C901" s="106">
        <v>1.0</v>
      </c>
      <c r="D901" s="149" t="str">
        <f>_xlfn.XLOOKUP(B901,[1]FullDataList!F:F,[1]FullDataList!O:O)</f>
        <v>#ERROR!</v>
      </c>
      <c r="E901" s="110" t="s">
        <v>4054</v>
      </c>
      <c r="H901" s="138"/>
      <c r="J901" s="138"/>
    </row>
    <row r="902" ht="15.75" customHeight="1">
      <c r="A902" s="148">
        <v>46137.0</v>
      </c>
      <c r="B902" s="110" t="s">
        <v>1504</v>
      </c>
      <c r="C902" s="106">
        <v>1.0</v>
      </c>
      <c r="D902" s="149" t="str">
        <f>_xlfn.XLOOKUP(B902,[1]FullDataList!F:F,[1]FullDataList!O:O)</f>
        <v>#ERROR!</v>
      </c>
      <c r="E902" s="110" t="s">
        <v>4049</v>
      </c>
      <c r="H902" s="138"/>
      <c r="J902" s="138"/>
    </row>
    <row r="903" ht="15.75" customHeight="1">
      <c r="A903" s="148">
        <v>46137.0</v>
      </c>
      <c r="B903" s="110" t="s">
        <v>2337</v>
      </c>
      <c r="C903" s="106">
        <v>1.0</v>
      </c>
      <c r="D903" s="149" t="str">
        <f>_xlfn.XLOOKUP(B903,[1]FullDataList!F:F,[1]FullDataList!O:O)</f>
        <v>#ERROR!</v>
      </c>
      <c r="E903" s="110" t="s">
        <v>4051</v>
      </c>
      <c r="H903" s="138"/>
      <c r="J903" s="138"/>
    </row>
    <row r="904" ht="15.75" customHeight="1">
      <c r="A904" s="148">
        <v>46137.0</v>
      </c>
      <c r="B904" s="110" t="s">
        <v>1468</v>
      </c>
      <c r="C904" s="106">
        <v>1.0</v>
      </c>
      <c r="D904" s="149" t="str">
        <f>_xlfn.XLOOKUP(B904,[1]FullDataList!F:F,[1]FullDataList!O:O)</f>
        <v>#ERROR!</v>
      </c>
      <c r="E904" s="110" t="s">
        <v>4050</v>
      </c>
      <c r="H904" s="138"/>
      <c r="J904" s="138"/>
    </row>
    <row r="905" ht="15.75" customHeight="1">
      <c r="A905" s="148">
        <v>46137.0</v>
      </c>
      <c r="B905" s="110" t="s">
        <v>848</v>
      </c>
      <c r="C905" s="106">
        <v>1.0</v>
      </c>
      <c r="D905" s="149" t="str">
        <f>_xlfn.XLOOKUP(B905,[1]FullDataList!F:F,[1]FullDataList!O:O)</f>
        <v>#ERROR!</v>
      </c>
      <c r="E905" s="110" t="s">
        <v>4052</v>
      </c>
      <c r="H905" s="138"/>
      <c r="J905" s="138"/>
    </row>
    <row r="906" ht="15.75" customHeight="1">
      <c r="A906" s="148">
        <v>46137.0</v>
      </c>
      <c r="B906" s="110" t="s">
        <v>958</v>
      </c>
      <c r="C906" s="106">
        <v>1.0</v>
      </c>
      <c r="D906" s="149" t="str">
        <f>_xlfn.XLOOKUP(B906,[1]FullDataList!F:F,[1]FullDataList!O:O)</f>
        <v>#ERROR!</v>
      </c>
      <c r="E906" s="110" t="s">
        <v>4053</v>
      </c>
      <c r="H906" s="138"/>
      <c r="J906" s="138"/>
    </row>
    <row r="907" ht="15.75" customHeight="1">
      <c r="A907" s="148">
        <v>46137.0</v>
      </c>
      <c r="B907" s="110" t="s">
        <v>1254</v>
      </c>
      <c r="C907" s="106">
        <v>1.0</v>
      </c>
      <c r="D907" s="149" t="str">
        <f>_xlfn.XLOOKUP(B907,[1]FullDataList!F:F,[1]FullDataList!O:O)</f>
        <v>#ERROR!</v>
      </c>
      <c r="E907" s="110" t="s">
        <v>4009</v>
      </c>
      <c r="H907" s="138"/>
      <c r="J907" s="138"/>
    </row>
    <row r="908" ht="15.75" customHeight="1">
      <c r="A908" s="148">
        <v>46137.0</v>
      </c>
      <c r="B908" s="110" t="s">
        <v>858</v>
      </c>
      <c r="C908" s="106">
        <v>1.0</v>
      </c>
      <c r="D908" s="149" t="str">
        <f>_xlfn.XLOOKUP(B908,[1]FullDataList!F:F,[1]FullDataList!O:O)</f>
        <v>#ERROR!</v>
      </c>
      <c r="E908" s="110" t="s">
        <v>4040</v>
      </c>
      <c r="H908" s="138"/>
      <c r="J908" s="138"/>
    </row>
    <row r="909" ht="15.75" customHeight="1">
      <c r="A909" s="148">
        <v>46137.0</v>
      </c>
      <c r="B909" s="110" t="s">
        <v>1062</v>
      </c>
      <c r="C909" s="106">
        <v>1.0</v>
      </c>
      <c r="D909" s="149" t="str">
        <f>_xlfn.XLOOKUP(B909,[1]FullDataList!F:F,[1]FullDataList!O:O)</f>
        <v>#ERROR!</v>
      </c>
      <c r="E909" s="110" t="s">
        <v>4032</v>
      </c>
      <c r="H909" s="138"/>
      <c r="J909" s="138"/>
    </row>
    <row r="910" ht="15.75" customHeight="1">
      <c r="A910" s="148">
        <v>46137.0</v>
      </c>
      <c r="B910" s="110" t="s">
        <v>750</v>
      </c>
      <c r="C910" s="106">
        <v>1.0</v>
      </c>
      <c r="D910" s="149" t="str">
        <f>_xlfn.XLOOKUP(B910,[1]FullDataList!F:F,[1]FullDataList!O:O)</f>
        <v>#ERROR!</v>
      </c>
      <c r="E910" s="110" t="s">
        <v>4062</v>
      </c>
      <c r="H910" s="138"/>
      <c r="J910" s="138"/>
    </row>
    <row r="911" ht="15.75" customHeight="1">
      <c r="A911" s="148">
        <v>46137.0</v>
      </c>
      <c r="B911" s="110" t="s">
        <v>2085</v>
      </c>
      <c r="C911" s="106">
        <v>1.0</v>
      </c>
      <c r="D911" s="149" t="str">
        <f>_xlfn.XLOOKUP(B911,[1]FullDataList!F:F,[1]FullDataList!O:O)</f>
        <v>#ERROR!</v>
      </c>
      <c r="E911" s="110" t="s">
        <v>4045</v>
      </c>
      <c r="H911" s="138"/>
      <c r="J911" s="138"/>
    </row>
    <row r="912" ht="15.75" customHeight="1">
      <c r="A912" s="148">
        <v>46137.0</v>
      </c>
      <c r="B912" s="110" t="s">
        <v>2467</v>
      </c>
      <c r="C912" s="106">
        <v>1.0</v>
      </c>
      <c r="D912" s="149" t="str">
        <f>_xlfn.XLOOKUP(B912,[1]FullDataList!F:F,[1]FullDataList!O:O)</f>
        <v>#ERROR!</v>
      </c>
      <c r="E912" s="110" t="s">
        <v>4017</v>
      </c>
      <c r="H912" s="138"/>
      <c r="J912" s="138"/>
    </row>
    <row r="913" ht="15.75" customHeight="1">
      <c r="A913" s="148">
        <v>46137.0</v>
      </c>
      <c r="B913" s="110" t="s">
        <v>381</v>
      </c>
      <c r="C913" s="106">
        <v>1.0</v>
      </c>
      <c r="D913" s="149" t="str">
        <f>_xlfn.XLOOKUP(B913,[1]FullDataList!F:F,[1]FullDataList!O:O)</f>
        <v>#ERROR!</v>
      </c>
      <c r="E913" s="110" t="s">
        <v>4027</v>
      </c>
      <c r="H913" s="138"/>
      <c r="J913" s="138"/>
    </row>
    <row r="914" ht="15.75" customHeight="1">
      <c r="A914" s="148">
        <v>46137.0</v>
      </c>
      <c r="B914" s="110" t="s">
        <v>1019</v>
      </c>
      <c r="C914" s="106">
        <v>1.0</v>
      </c>
      <c r="D914" s="149" t="str">
        <f>_xlfn.XLOOKUP(B914,[1]FullDataList!F:F,[1]FullDataList!O:O)</f>
        <v>#ERROR!</v>
      </c>
      <c r="E914" s="110" t="s">
        <v>4063</v>
      </c>
      <c r="H914" s="138"/>
      <c r="J914" s="138"/>
    </row>
    <row r="915" ht="15.75" customHeight="1">
      <c r="A915" s="148">
        <v>46137.0</v>
      </c>
      <c r="B915" s="110" t="s">
        <v>1591</v>
      </c>
      <c r="C915" s="106">
        <v>1.0</v>
      </c>
      <c r="D915" s="149" t="str">
        <f>_xlfn.XLOOKUP(B915,[1]FullDataList!F:F,[1]FullDataList!O:O)</f>
        <v>#ERROR!</v>
      </c>
      <c r="E915" s="110" t="s">
        <v>4055</v>
      </c>
      <c r="H915" s="138"/>
      <c r="J915" s="138"/>
    </row>
    <row r="916" ht="15.75" customHeight="1">
      <c r="A916" s="148">
        <v>46137.0</v>
      </c>
      <c r="B916" s="110" t="s">
        <v>700</v>
      </c>
      <c r="C916" s="106">
        <v>1.0</v>
      </c>
      <c r="D916" s="149" t="str">
        <f>_xlfn.XLOOKUP(B916,[1]FullDataList!F:F,[1]FullDataList!O:O)</f>
        <v>#ERROR!</v>
      </c>
      <c r="E916" s="110" t="s">
        <v>4013</v>
      </c>
      <c r="H916" s="138"/>
      <c r="J916" s="138"/>
    </row>
    <row r="917" ht="15.75" customHeight="1">
      <c r="A917" s="148">
        <v>46137.0</v>
      </c>
      <c r="B917" s="110" t="s">
        <v>896</v>
      </c>
      <c r="C917" s="106">
        <v>1.0</v>
      </c>
      <c r="D917" s="149" t="str">
        <f>_xlfn.XLOOKUP(B917,[1]FullDataList!F:F,[1]FullDataList!O:O)</f>
        <v>#ERROR!</v>
      </c>
      <c r="E917" s="110" t="s">
        <v>4056</v>
      </c>
      <c r="H917" s="138"/>
      <c r="J917" s="138"/>
    </row>
    <row r="918" ht="15.75" customHeight="1">
      <c r="A918" s="148">
        <v>46137.0</v>
      </c>
      <c r="B918" s="110" t="s">
        <v>775</v>
      </c>
      <c r="C918" s="106">
        <v>1.0</v>
      </c>
      <c r="D918" s="149" t="str">
        <f>_xlfn.XLOOKUP(B918,[1]FullDataList!F:F,[1]FullDataList!O:O)</f>
        <v>#ERROR!</v>
      </c>
      <c r="E918" s="110" t="s">
        <v>4057</v>
      </c>
      <c r="H918" s="138"/>
      <c r="J918" s="138"/>
    </row>
    <row r="919" ht="15.75" customHeight="1">
      <c r="A919" s="148">
        <v>46137.0</v>
      </c>
      <c r="B919" s="110" t="s">
        <v>394</v>
      </c>
      <c r="C919" s="106">
        <v>1.0</v>
      </c>
      <c r="D919" s="149" t="str">
        <f>_xlfn.XLOOKUP(B919,[1]FullDataList!F:F,[1]FullDataList!O:O)</f>
        <v>#ERROR!</v>
      </c>
      <c r="E919" s="110" t="s">
        <v>4008</v>
      </c>
      <c r="H919" s="138"/>
      <c r="J919" s="138"/>
    </row>
    <row r="920" ht="15.75" customHeight="1">
      <c r="A920" s="148">
        <v>46137.0</v>
      </c>
      <c r="B920" s="110" t="s">
        <v>477</v>
      </c>
      <c r="C920" s="106">
        <v>1.0</v>
      </c>
      <c r="D920" s="149" t="str">
        <f>_xlfn.XLOOKUP(B920,[1]FullDataList!F:F,[1]FullDataList!O:O)</f>
        <v>#ERROR!</v>
      </c>
      <c r="E920" s="110" t="s">
        <v>4039</v>
      </c>
      <c r="H920" s="138"/>
      <c r="J920" s="138"/>
    </row>
    <row r="921" ht="15.75" customHeight="1">
      <c r="A921" s="148">
        <v>46137.0</v>
      </c>
      <c r="B921" s="110" t="s">
        <v>1997</v>
      </c>
      <c r="C921" s="106">
        <v>1.0</v>
      </c>
      <c r="D921" s="149" t="str">
        <f>_xlfn.XLOOKUP(B921,[1]FullDataList!F:F,[1]FullDataList!O:O)</f>
        <v>#ERROR!</v>
      </c>
      <c r="E921" s="110" t="s">
        <v>4012</v>
      </c>
      <c r="H921" s="138"/>
      <c r="J921" s="138"/>
    </row>
    <row r="922" ht="15.75" customHeight="1">
      <c r="A922" s="148">
        <v>46137.0</v>
      </c>
      <c r="B922" s="110" t="s">
        <v>832</v>
      </c>
      <c r="C922" s="106">
        <v>1.0</v>
      </c>
      <c r="D922" s="149" t="str">
        <f>_xlfn.XLOOKUP(B922,[1]FullDataList!F:F,[1]FullDataList!O:O)</f>
        <v>#ERROR!</v>
      </c>
      <c r="E922" s="110" t="s">
        <v>4041</v>
      </c>
      <c r="H922" s="138"/>
      <c r="J922" s="138"/>
    </row>
    <row r="923" ht="15.75" customHeight="1">
      <c r="A923" s="148">
        <v>46137.0</v>
      </c>
      <c r="B923" s="110" t="s">
        <v>1978</v>
      </c>
      <c r="C923" s="106">
        <v>1.0</v>
      </c>
      <c r="D923" s="149" t="str">
        <f>_xlfn.XLOOKUP(B923,[1]FullDataList!F:F,[1]FullDataList!O:O)</f>
        <v>#ERROR!</v>
      </c>
      <c r="E923" s="110" t="s">
        <v>4058</v>
      </c>
      <c r="H923" s="138"/>
      <c r="J923" s="138"/>
    </row>
    <row r="924" ht="15.75" customHeight="1">
      <c r="A924" s="148">
        <v>46137.0</v>
      </c>
      <c r="B924" s="110" t="s">
        <v>1256</v>
      </c>
      <c r="C924" s="106">
        <v>1.0</v>
      </c>
      <c r="D924" s="149" t="str">
        <f>_xlfn.XLOOKUP(B924,[1]FullDataList!F:F,[1]FullDataList!O:O)</f>
        <v>#ERROR!</v>
      </c>
      <c r="E924" s="110" t="s">
        <v>4011</v>
      </c>
      <c r="H924" s="138"/>
      <c r="J924" s="138"/>
    </row>
    <row r="925" ht="15.75" customHeight="1">
      <c r="A925" s="148">
        <v>46137.0</v>
      </c>
      <c r="B925" s="110" t="s">
        <v>1955</v>
      </c>
      <c r="C925" s="106">
        <v>1.0</v>
      </c>
      <c r="D925" s="149" t="str">
        <f>_xlfn.XLOOKUP(B925,[1]FullDataList!F:F,[1]FullDataList!O:O)</f>
        <v>#ERROR!</v>
      </c>
      <c r="E925" s="110" t="s">
        <v>4003</v>
      </c>
      <c r="H925" s="138"/>
      <c r="J925" s="138"/>
    </row>
    <row r="926" ht="15.75" customHeight="1">
      <c r="A926" s="148">
        <v>46137.0</v>
      </c>
      <c r="B926" s="110" t="s">
        <v>1539</v>
      </c>
      <c r="C926" s="106">
        <v>1.0</v>
      </c>
      <c r="D926" s="149" t="str">
        <f>_xlfn.XLOOKUP(B926,[1]FullDataList!F:F,[1]FullDataList!O:O)</f>
        <v>#ERROR!</v>
      </c>
      <c r="E926" s="110" t="s">
        <v>4066</v>
      </c>
      <c r="H926" s="138"/>
      <c r="J926" s="138"/>
    </row>
    <row r="927" ht="15.75" customHeight="1">
      <c r="A927" s="148">
        <v>46139.0</v>
      </c>
      <c r="B927" s="110" t="s">
        <v>2086</v>
      </c>
      <c r="C927" s="106">
        <v>1.0</v>
      </c>
      <c r="D927" s="149" t="str">
        <f>_xlfn.XLOOKUP(B927,[1]FullDataList!F:F,[1]FullDataList!O:O)</f>
        <v>#ERROR!</v>
      </c>
      <c r="E927" s="110" t="s">
        <v>4059</v>
      </c>
      <c r="H927" s="138"/>
      <c r="J927" s="138"/>
    </row>
    <row r="928" ht="15.75" customHeight="1">
      <c r="A928" s="148">
        <v>46139.0</v>
      </c>
      <c r="B928" s="110" t="s">
        <v>392</v>
      </c>
      <c r="C928" s="106">
        <v>1.0</v>
      </c>
      <c r="D928" s="149" t="str">
        <f>_xlfn.XLOOKUP(B928,[1]FullDataList!F:F,[1]FullDataList!O:O)</f>
        <v>#ERROR!</v>
      </c>
      <c r="E928" s="110" t="s">
        <v>4061</v>
      </c>
      <c r="H928" s="138"/>
      <c r="J928" s="138"/>
    </row>
    <row r="929" ht="15.75" customHeight="1">
      <c r="A929" s="148">
        <v>46139.0</v>
      </c>
      <c r="B929" s="110" t="s">
        <v>1968</v>
      </c>
      <c r="C929" s="106">
        <v>1.0</v>
      </c>
      <c r="D929" s="149" t="str">
        <f>_xlfn.XLOOKUP(B929,[1]FullDataList!F:F,[1]FullDataList!O:O)</f>
        <v>#ERROR!</v>
      </c>
      <c r="E929" s="110" t="s">
        <v>4064</v>
      </c>
      <c r="H929" s="138"/>
      <c r="J929" s="138"/>
    </row>
    <row r="930" ht="15.75" customHeight="1">
      <c r="A930" s="148">
        <v>46139.0</v>
      </c>
      <c r="B930" s="110" t="s">
        <v>940</v>
      </c>
      <c r="C930" s="106">
        <v>1.0</v>
      </c>
      <c r="D930" s="149" t="str">
        <f>_xlfn.XLOOKUP(B930,[1]FullDataList!F:F,[1]FullDataList!O:O)</f>
        <v>#ERROR!</v>
      </c>
      <c r="E930" s="110" t="s">
        <v>4065</v>
      </c>
      <c r="H930" s="138"/>
      <c r="J930" s="138"/>
    </row>
    <row r="931" ht="15.75" customHeight="1">
      <c r="A931" s="148">
        <v>46139.0</v>
      </c>
      <c r="B931" s="110" t="s">
        <v>708</v>
      </c>
      <c r="C931" s="106">
        <v>1.0</v>
      </c>
      <c r="D931" s="149" t="str">
        <f>_xlfn.XLOOKUP(B931,[1]FullDataList!F:F,[1]FullDataList!O:O)</f>
        <v>#ERROR!</v>
      </c>
      <c r="E931" s="110" t="s">
        <v>4067</v>
      </c>
      <c r="H931" s="138"/>
      <c r="J931" s="138"/>
    </row>
    <row r="932" ht="15.75" customHeight="1">
      <c r="A932" s="148">
        <v>46139.0</v>
      </c>
      <c r="B932" s="110" t="s">
        <v>1924</v>
      </c>
      <c r="C932" s="106">
        <v>1.0</v>
      </c>
      <c r="D932" s="149" t="str">
        <f>_xlfn.XLOOKUP(B932,[1]FullDataList!F:F,[1]FullDataList!O:O)</f>
        <v>#ERROR!</v>
      </c>
      <c r="E932" s="110" t="s">
        <v>4068</v>
      </c>
      <c r="H932" s="138"/>
      <c r="J932" s="138"/>
    </row>
    <row r="933" ht="15.75" customHeight="1">
      <c r="A933" s="148">
        <v>46139.0</v>
      </c>
      <c r="B933" s="110" t="s">
        <v>364</v>
      </c>
      <c r="C933" s="106">
        <v>1.0</v>
      </c>
      <c r="D933" s="149" t="str">
        <f>_xlfn.XLOOKUP(B933,[1]FullDataList!F:F,[1]FullDataList!O:O)</f>
        <v>#ERROR!</v>
      </c>
      <c r="E933" s="110" t="s">
        <v>4028</v>
      </c>
      <c r="H933" s="138"/>
      <c r="J933" s="138"/>
    </row>
    <row r="934" ht="15.75" customHeight="1">
      <c r="A934" s="148">
        <v>46139.0</v>
      </c>
      <c r="B934" s="110" t="s">
        <v>379</v>
      </c>
      <c r="C934" s="106">
        <v>1.0</v>
      </c>
      <c r="D934" s="149" t="str">
        <f>_xlfn.XLOOKUP(B934,[1]FullDataList!F:F,[1]FullDataList!O:O)</f>
        <v>#ERROR!</v>
      </c>
      <c r="E934" s="110" t="s">
        <v>4060</v>
      </c>
      <c r="H934" s="138"/>
      <c r="J934" s="138"/>
    </row>
    <row r="935" ht="15.75" customHeight="1">
      <c r="A935" s="148">
        <v>46139.0</v>
      </c>
      <c r="B935" s="110" t="s">
        <v>687</v>
      </c>
      <c r="C935" s="106">
        <v>1.0</v>
      </c>
      <c r="D935" s="149" t="str">
        <f>_xlfn.XLOOKUP(B935,[1]FullDataList!F:F,[1]FullDataList!O:O)</f>
        <v>#ERROR!</v>
      </c>
      <c r="E935" s="110" t="s">
        <v>4047</v>
      </c>
      <c r="H935" s="138"/>
      <c r="J935" s="138"/>
    </row>
    <row r="936" ht="15.75" customHeight="1">
      <c r="A936" s="148">
        <v>46139.0</v>
      </c>
      <c r="B936" s="110" t="s">
        <v>795</v>
      </c>
      <c r="C936" s="106">
        <v>1.0</v>
      </c>
      <c r="D936" s="149" t="str">
        <f>_xlfn.XLOOKUP(B936,[1]FullDataList!F:F,[1]FullDataList!O:O)</f>
        <v>#ERROR!</v>
      </c>
      <c r="E936" s="110" t="s">
        <v>4048</v>
      </c>
      <c r="H936" s="138"/>
      <c r="J936" s="138"/>
    </row>
    <row r="937" ht="15.75" customHeight="1">
      <c r="A937" s="148">
        <v>46139.0</v>
      </c>
      <c r="B937" s="110" t="s">
        <v>1421</v>
      </c>
      <c r="C937" s="106">
        <v>1.0</v>
      </c>
      <c r="D937" s="149" t="str">
        <f>_xlfn.XLOOKUP(B937,[1]FullDataList!F:F,[1]FullDataList!O:O)</f>
        <v>#ERROR!</v>
      </c>
      <c r="E937" s="110" t="s">
        <v>4054</v>
      </c>
      <c r="H937" s="138"/>
      <c r="J937" s="138"/>
    </row>
    <row r="938" ht="15.75" customHeight="1">
      <c r="A938" s="148">
        <v>46139.0</v>
      </c>
      <c r="B938" s="110" t="s">
        <v>2338</v>
      </c>
      <c r="C938" s="106">
        <v>1.0</v>
      </c>
      <c r="D938" s="149" t="str">
        <f>_xlfn.XLOOKUP(B938,[1]FullDataList!F:F,[1]FullDataList!O:O)</f>
        <v>#ERROR!</v>
      </c>
      <c r="E938" s="110" t="s">
        <v>4051</v>
      </c>
      <c r="H938" s="138"/>
      <c r="J938" s="138"/>
    </row>
    <row r="939" ht="15.75" customHeight="1">
      <c r="A939" s="148">
        <v>46139.0</v>
      </c>
      <c r="B939" s="110" t="s">
        <v>863</v>
      </c>
      <c r="C939" s="106">
        <v>1.0</v>
      </c>
      <c r="D939" s="149" t="str">
        <f>_xlfn.XLOOKUP(B939,[1]FullDataList!F:F,[1]FullDataList!O:O)</f>
        <v>#ERROR!</v>
      </c>
      <c r="E939" s="110" t="s">
        <v>4052</v>
      </c>
      <c r="H939" s="138"/>
      <c r="J939" s="138"/>
    </row>
    <row r="940" ht="15.75" customHeight="1">
      <c r="A940" s="148">
        <v>46139.0</v>
      </c>
      <c r="B940" s="110" t="s">
        <v>2442</v>
      </c>
      <c r="C940" s="106">
        <v>1.0</v>
      </c>
      <c r="D940" s="149" t="str">
        <f>_xlfn.XLOOKUP(B940,[1]FullDataList!F:F,[1]FullDataList!O:O)</f>
        <v>#ERROR!</v>
      </c>
      <c r="E940" s="110" t="s">
        <v>4053</v>
      </c>
      <c r="H940" s="138"/>
      <c r="J940" s="138"/>
    </row>
    <row r="941" ht="15.75" customHeight="1">
      <c r="A941" s="148">
        <v>46139.0</v>
      </c>
      <c r="B941" s="110" t="s">
        <v>1531</v>
      </c>
      <c r="C941" s="106">
        <v>1.0</v>
      </c>
      <c r="D941" s="149" t="str">
        <f>_xlfn.XLOOKUP(B941,[1]FullDataList!F:F,[1]FullDataList!O:O)</f>
        <v>#ERROR!</v>
      </c>
      <c r="E941" s="110" t="s">
        <v>4004</v>
      </c>
      <c r="H941" s="138"/>
      <c r="J941" s="138"/>
    </row>
    <row r="942" ht="15.75" customHeight="1">
      <c r="A942" s="148">
        <v>46139.0</v>
      </c>
      <c r="B942" s="110" t="s">
        <v>1424</v>
      </c>
      <c r="C942" s="106">
        <v>1.0</v>
      </c>
      <c r="D942" s="149" t="str">
        <f>_xlfn.XLOOKUP(B942,[1]FullDataList!F:F,[1]FullDataList!O:O)</f>
        <v>#ERROR!</v>
      </c>
      <c r="E942" s="110" t="s">
        <v>4009</v>
      </c>
      <c r="H942" s="138"/>
      <c r="J942" s="138"/>
    </row>
    <row r="943" ht="15.75" customHeight="1">
      <c r="A943" s="148">
        <v>46139.0</v>
      </c>
      <c r="B943" s="110" t="s">
        <v>859</v>
      </c>
      <c r="C943" s="106">
        <v>1.0</v>
      </c>
      <c r="D943" s="149" t="str">
        <f>_xlfn.XLOOKUP(B943,[1]FullDataList!F:F,[1]FullDataList!O:O)</f>
        <v>#ERROR!</v>
      </c>
      <c r="E943" s="110" t="s">
        <v>4040</v>
      </c>
      <c r="H943" s="138"/>
      <c r="J943" s="138"/>
    </row>
    <row r="944" ht="15.75" customHeight="1">
      <c r="A944" s="148">
        <v>46139.0</v>
      </c>
      <c r="B944" s="110" t="s">
        <v>276</v>
      </c>
      <c r="C944" s="106">
        <v>1.0</v>
      </c>
      <c r="D944" s="149" t="str">
        <f>_xlfn.XLOOKUP(B944,[1]FullDataList!F:F,[1]FullDataList!O:O)</f>
        <v>#ERROR!</v>
      </c>
      <c r="E944" s="110" t="s">
        <v>4032</v>
      </c>
      <c r="H944" s="138"/>
      <c r="J944" s="138"/>
    </row>
    <row r="945" ht="15.75" customHeight="1">
      <c r="A945" s="148">
        <v>46139.0</v>
      </c>
      <c r="B945" s="110" t="s">
        <v>2045</v>
      </c>
      <c r="C945" s="106">
        <v>1.0</v>
      </c>
      <c r="D945" s="149" t="str">
        <f>_xlfn.XLOOKUP(B945,[1]FullDataList!F:F,[1]FullDataList!O:O)</f>
        <v>#ERROR!</v>
      </c>
      <c r="E945" s="110" t="s">
        <v>4062</v>
      </c>
      <c r="H945" s="138"/>
      <c r="J945" s="138"/>
    </row>
    <row r="946" ht="15.75" customHeight="1">
      <c r="A946" s="148">
        <v>46139.0</v>
      </c>
      <c r="B946" s="110" t="s">
        <v>1124</v>
      </c>
      <c r="C946" s="106">
        <v>1.0</v>
      </c>
      <c r="D946" s="149" t="str">
        <f>_xlfn.XLOOKUP(B946,[1]FullDataList!F:F,[1]FullDataList!O:O)</f>
        <v>#ERROR!</v>
      </c>
      <c r="E946" s="110" t="s">
        <v>4042</v>
      </c>
      <c r="H946" s="138"/>
      <c r="J946" s="138"/>
    </row>
    <row r="947" ht="15.75" customHeight="1">
      <c r="A947" s="148">
        <v>46139.0</v>
      </c>
      <c r="B947" s="110" t="s">
        <v>1588</v>
      </c>
      <c r="C947" s="106">
        <v>1.0</v>
      </c>
      <c r="D947" s="149" t="str">
        <f>_xlfn.XLOOKUP(B947,[1]FullDataList!F:F,[1]FullDataList!O:O)</f>
        <v>#ERROR!</v>
      </c>
      <c r="E947" s="110" t="s">
        <v>4044</v>
      </c>
      <c r="H947" s="138"/>
      <c r="J947" s="138"/>
    </row>
    <row r="948" ht="15.75" customHeight="1">
      <c r="A948" s="148">
        <v>46139.0</v>
      </c>
      <c r="B948" s="110" t="s">
        <v>257</v>
      </c>
      <c r="C948" s="106">
        <v>1.0</v>
      </c>
      <c r="D948" s="149" t="str">
        <f>_xlfn.XLOOKUP(B948,[1]FullDataList!F:F,[1]FullDataList!O:O)</f>
        <v>#ERROR!</v>
      </c>
      <c r="E948" s="110" t="s">
        <v>4027</v>
      </c>
      <c r="H948" s="138"/>
      <c r="J948" s="138"/>
    </row>
    <row r="949" ht="15.75" customHeight="1">
      <c r="A949" s="148">
        <v>46139.0</v>
      </c>
      <c r="B949" s="110" t="s">
        <v>2432</v>
      </c>
      <c r="C949" s="106">
        <v>1.0</v>
      </c>
      <c r="D949" s="149" t="str">
        <f>_xlfn.XLOOKUP(B949,[1]FullDataList!F:F,[1]FullDataList!O:O)</f>
        <v>#ERROR!</v>
      </c>
      <c r="E949" s="110" t="s">
        <v>4043</v>
      </c>
      <c r="H949" s="138"/>
      <c r="J949" s="138"/>
    </row>
    <row r="950" ht="15.75" customHeight="1">
      <c r="A950" s="148">
        <v>46139.0</v>
      </c>
      <c r="B950" s="110" t="s">
        <v>751</v>
      </c>
      <c r="C950" s="106">
        <v>1.0</v>
      </c>
      <c r="D950" s="149" t="str">
        <f>_xlfn.XLOOKUP(B950,[1]FullDataList!F:F,[1]FullDataList!O:O)</f>
        <v>#ERROR!</v>
      </c>
      <c r="E950" s="110" t="s">
        <v>4055</v>
      </c>
      <c r="H950" s="138"/>
      <c r="J950" s="138"/>
    </row>
    <row r="951" ht="15.75" customHeight="1">
      <c r="A951" s="148">
        <v>46139.0</v>
      </c>
      <c r="B951" s="110" t="s">
        <v>725</v>
      </c>
      <c r="C951" s="106">
        <v>1.0</v>
      </c>
      <c r="D951" s="149" t="str">
        <f>_xlfn.XLOOKUP(B951,[1]FullDataList!F:F,[1]FullDataList!O:O)</f>
        <v>#ERROR!</v>
      </c>
      <c r="E951" s="110" t="s">
        <v>4013</v>
      </c>
      <c r="H951" s="138"/>
      <c r="J951" s="138"/>
    </row>
    <row r="952" ht="15.75" customHeight="1">
      <c r="A952" s="148">
        <v>46139.0</v>
      </c>
      <c r="B952" s="110" t="s">
        <v>879</v>
      </c>
      <c r="C952" s="106">
        <v>1.0</v>
      </c>
      <c r="D952" s="149" t="str">
        <f>_xlfn.XLOOKUP(B952,[1]FullDataList!F:F,[1]FullDataList!O:O)</f>
        <v>#ERROR!</v>
      </c>
      <c r="E952" s="110" t="s">
        <v>4056</v>
      </c>
      <c r="H952" s="138"/>
      <c r="J952" s="138"/>
    </row>
    <row r="953" ht="15.75" customHeight="1">
      <c r="A953" s="148">
        <v>46139.0</v>
      </c>
      <c r="B953" s="110" t="s">
        <v>776</v>
      </c>
      <c r="C953" s="106">
        <v>1.0</v>
      </c>
      <c r="D953" s="149" t="str">
        <f>_xlfn.XLOOKUP(B953,[1]FullDataList!F:F,[1]FullDataList!O:O)</f>
        <v>#ERROR!</v>
      </c>
      <c r="E953" s="110" t="s">
        <v>4057</v>
      </c>
      <c r="H953" s="138"/>
      <c r="J953" s="138"/>
    </row>
    <row r="954" ht="15.75" customHeight="1">
      <c r="A954" s="148">
        <v>46139.0</v>
      </c>
      <c r="B954" s="110" t="s">
        <v>261</v>
      </c>
      <c r="C954" s="106">
        <v>1.0</v>
      </c>
      <c r="D954" s="149" t="str">
        <f>_xlfn.XLOOKUP(B954,[1]FullDataList!F:F,[1]FullDataList!O:O)</f>
        <v>#ERROR!</v>
      </c>
      <c r="E954" s="110" t="s">
        <v>4008</v>
      </c>
      <c r="H954" s="138"/>
      <c r="J954" s="138"/>
    </row>
    <row r="955" ht="15.75" customHeight="1">
      <c r="A955" s="148">
        <v>46139.0</v>
      </c>
      <c r="B955" s="110" t="s">
        <v>696</v>
      </c>
      <c r="C955" s="106">
        <v>1.0</v>
      </c>
      <c r="D955" s="149" t="str">
        <f>_xlfn.XLOOKUP(B955,[1]FullDataList!F:F,[1]FullDataList!O:O)</f>
        <v>#ERROR!</v>
      </c>
      <c r="E955" s="110" t="s">
        <v>4039</v>
      </c>
      <c r="H955" s="138"/>
      <c r="J955" s="138"/>
    </row>
    <row r="956" ht="15.75" customHeight="1">
      <c r="A956" s="148">
        <v>46139.0</v>
      </c>
      <c r="B956" s="110" t="s">
        <v>2048</v>
      </c>
      <c r="C956" s="106">
        <v>1.0</v>
      </c>
      <c r="D956" s="149" t="str">
        <f>_xlfn.XLOOKUP(B956,[1]FullDataList!F:F,[1]FullDataList!O:O)</f>
        <v>#ERROR!</v>
      </c>
      <c r="E956" s="110" t="s">
        <v>4012</v>
      </c>
      <c r="H956" s="138"/>
      <c r="J956" s="138"/>
    </row>
    <row r="957" ht="15.75" customHeight="1">
      <c r="A957" s="148">
        <v>46139.0</v>
      </c>
      <c r="B957" s="110" t="s">
        <v>833</v>
      </c>
      <c r="C957" s="106">
        <v>1.0</v>
      </c>
      <c r="D957" s="149" t="str">
        <f>_xlfn.XLOOKUP(B957,[1]FullDataList!F:F,[1]FullDataList!O:O)</f>
        <v>#ERROR!</v>
      </c>
      <c r="E957" s="110" t="s">
        <v>4041</v>
      </c>
      <c r="H957" s="138"/>
      <c r="J957" s="138"/>
    </row>
    <row r="958" ht="15.75" customHeight="1">
      <c r="A958" s="148">
        <v>46139.0</v>
      </c>
      <c r="B958" s="110" t="s">
        <v>343</v>
      </c>
      <c r="C958" s="106">
        <v>1.0</v>
      </c>
      <c r="D958" s="149" t="str">
        <f>_xlfn.XLOOKUP(B958,[1]FullDataList!F:F,[1]FullDataList!O:O)</f>
        <v>#ERROR!</v>
      </c>
      <c r="E958" s="110" t="s">
        <v>4058</v>
      </c>
      <c r="H958" s="138"/>
      <c r="J958" s="138"/>
    </row>
    <row r="959" ht="15.75" customHeight="1">
      <c r="A959" s="148">
        <v>46139.0</v>
      </c>
      <c r="B959" s="110" t="s">
        <v>360</v>
      </c>
      <c r="C959" s="106">
        <v>1.0</v>
      </c>
      <c r="D959" s="149" t="str">
        <f>_xlfn.XLOOKUP(B959,[1]FullDataList!F:F,[1]FullDataList!O:O)</f>
        <v>#ERROR!</v>
      </c>
      <c r="E959" s="110" t="s">
        <v>4003</v>
      </c>
      <c r="H959" s="138"/>
      <c r="J959" s="138"/>
    </row>
    <row r="960" ht="15.75" customHeight="1">
      <c r="A960" s="148">
        <v>46139.0</v>
      </c>
      <c r="B960" s="110" t="s">
        <v>269</v>
      </c>
      <c r="C960" s="106">
        <v>1.0</v>
      </c>
      <c r="D960" s="149" t="str">
        <f>_xlfn.XLOOKUP(B960,[1]FullDataList!F:F,[1]FullDataList!O:O)</f>
        <v>#ERROR!</v>
      </c>
      <c r="E960" s="110" t="s">
        <v>4025</v>
      </c>
      <c r="H960" s="138"/>
      <c r="J960" s="138"/>
    </row>
    <row r="961" ht="15.75" customHeight="1">
      <c r="A961" s="148">
        <v>46139.0</v>
      </c>
      <c r="B961" s="110" t="s">
        <v>1538</v>
      </c>
      <c r="C961" s="106">
        <v>1.0</v>
      </c>
      <c r="D961" s="149" t="str">
        <f>_xlfn.XLOOKUP(B961,[1]FullDataList!F:F,[1]FullDataList!O:O)</f>
        <v>#ERROR!</v>
      </c>
      <c r="E961" s="110" t="s">
        <v>4066</v>
      </c>
      <c r="H961" s="138"/>
      <c r="J961" s="138"/>
    </row>
    <row r="962" ht="15.75" customHeight="1">
      <c r="A962" s="148">
        <v>46140.0</v>
      </c>
      <c r="B962" s="110" t="s">
        <v>2087</v>
      </c>
      <c r="C962" s="106">
        <v>1.0</v>
      </c>
      <c r="D962" s="149" t="str">
        <f>_xlfn.XLOOKUP(B962,[1]FullDataList!F:F,[1]FullDataList!O:O)</f>
        <v>#ERROR!</v>
      </c>
      <c r="E962" s="110" t="s">
        <v>4059</v>
      </c>
      <c r="H962" s="138"/>
      <c r="J962" s="138"/>
    </row>
    <row r="963" ht="15.75" customHeight="1">
      <c r="A963" s="148">
        <v>46140.0</v>
      </c>
      <c r="B963" s="110" t="s">
        <v>391</v>
      </c>
      <c r="C963" s="106">
        <v>1.0</v>
      </c>
      <c r="D963" s="149" t="str">
        <f>_xlfn.XLOOKUP(B963,[1]FullDataList!F:F,[1]FullDataList!O:O)</f>
        <v>#ERROR!</v>
      </c>
      <c r="E963" s="110" t="s">
        <v>4061</v>
      </c>
      <c r="H963" s="138"/>
      <c r="J963" s="138"/>
    </row>
    <row r="964" ht="15.75" customHeight="1">
      <c r="A964" s="148">
        <v>46140.0</v>
      </c>
      <c r="B964" s="110" t="s">
        <v>1952</v>
      </c>
      <c r="C964" s="106">
        <v>1.0</v>
      </c>
      <c r="D964" s="149" t="str">
        <f>_xlfn.XLOOKUP(B964,[1]FullDataList!F:F,[1]FullDataList!O:O)</f>
        <v>#ERROR!</v>
      </c>
      <c r="E964" s="110" t="s">
        <v>4064</v>
      </c>
      <c r="H964" s="138"/>
      <c r="J964" s="138"/>
    </row>
    <row r="965" ht="15.75" customHeight="1">
      <c r="A965" s="148">
        <v>46140.0</v>
      </c>
      <c r="B965" s="110" t="s">
        <v>941</v>
      </c>
      <c r="C965" s="106">
        <v>1.0</v>
      </c>
      <c r="D965" s="149" t="str">
        <f>_xlfn.XLOOKUP(B965,[1]FullDataList!F:F,[1]FullDataList!O:O)</f>
        <v>#ERROR!</v>
      </c>
      <c r="E965" s="110" t="s">
        <v>4065</v>
      </c>
      <c r="H965" s="138"/>
      <c r="J965" s="138"/>
    </row>
    <row r="966" ht="15.75" customHeight="1">
      <c r="A966" s="148">
        <v>46140.0</v>
      </c>
      <c r="B966" s="110" t="s">
        <v>689</v>
      </c>
      <c r="C966" s="106">
        <v>1.0</v>
      </c>
      <c r="D966" s="149" t="str">
        <f>_xlfn.XLOOKUP(B966,[1]FullDataList!F:F,[1]FullDataList!O:O)</f>
        <v>#ERROR!</v>
      </c>
      <c r="E966" s="110" t="s">
        <v>4067</v>
      </c>
      <c r="H966" s="138"/>
      <c r="J966" s="138"/>
    </row>
    <row r="967" ht="15.75" customHeight="1">
      <c r="A967" s="148">
        <v>46140.0</v>
      </c>
      <c r="B967" s="110" t="s">
        <v>1606</v>
      </c>
      <c r="C967" s="106">
        <v>1.0</v>
      </c>
      <c r="D967" s="149" t="str">
        <f>_xlfn.XLOOKUP(B967,[1]FullDataList!F:F,[1]FullDataList!O:O)</f>
        <v>#ERROR!</v>
      </c>
      <c r="E967" s="110">
        <v>6.0</v>
      </c>
      <c r="H967" s="138"/>
      <c r="J967" s="138"/>
    </row>
    <row r="968" ht="15.75" customHeight="1">
      <c r="A968" s="148">
        <v>46140.0</v>
      </c>
      <c r="B968" s="110" t="s">
        <v>955</v>
      </c>
      <c r="C968" s="106">
        <v>1.0</v>
      </c>
      <c r="D968" s="149" t="str">
        <f>_xlfn.XLOOKUP(B968,[1]FullDataList!F:F,[1]FullDataList!O:O)</f>
        <v>#ERROR!</v>
      </c>
      <c r="E968" s="110" t="s">
        <v>4026</v>
      </c>
      <c r="H968" s="138"/>
      <c r="J968" s="138"/>
    </row>
    <row r="969" ht="15.75" customHeight="1">
      <c r="A969" s="148">
        <v>46140.0</v>
      </c>
      <c r="B969" s="110" t="s">
        <v>365</v>
      </c>
      <c r="C969" s="106">
        <v>1.0</v>
      </c>
      <c r="D969" s="149" t="str">
        <f>_xlfn.XLOOKUP(B969,[1]FullDataList!F:F,[1]FullDataList!O:O)</f>
        <v>#ERROR!</v>
      </c>
      <c r="E969" s="110" t="s">
        <v>4028</v>
      </c>
      <c r="H969" s="138"/>
      <c r="J969" s="138"/>
    </row>
    <row r="970" ht="15.75" customHeight="1">
      <c r="A970" s="148">
        <v>46140.0</v>
      </c>
      <c r="B970" s="110" t="s">
        <v>380</v>
      </c>
      <c r="C970" s="106">
        <v>1.0</v>
      </c>
      <c r="D970" s="149" t="str">
        <f>_xlfn.XLOOKUP(B970,[1]FullDataList!F:F,[1]FullDataList!O:O)</f>
        <v>#ERROR!</v>
      </c>
      <c r="E970" s="110" t="s">
        <v>4060</v>
      </c>
      <c r="H970" s="138"/>
      <c r="J970" s="138"/>
    </row>
    <row r="971" ht="15.75" customHeight="1">
      <c r="A971" s="148">
        <v>46140.0</v>
      </c>
      <c r="B971" s="110" t="s">
        <v>603</v>
      </c>
      <c r="C971" s="106">
        <v>1.0</v>
      </c>
      <c r="D971" s="149" t="str">
        <f>_xlfn.XLOOKUP(B971,[1]FullDataList!F:F,[1]FullDataList!O:O)</f>
        <v>#ERROR!</v>
      </c>
      <c r="E971" s="110" t="s">
        <v>4037</v>
      </c>
      <c r="H971" s="138"/>
      <c r="J971" s="138"/>
    </row>
    <row r="972" ht="15.75" customHeight="1">
      <c r="A972" s="148">
        <v>46140.0</v>
      </c>
      <c r="B972" s="110" t="s">
        <v>1423</v>
      </c>
      <c r="C972" s="106">
        <v>1.0</v>
      </c>
      <c r="D972" s="149" t="str">
        <f>_xlfn.XLOOKUP(B972,[1]FullDataList!F:F,[1]FullDataList!O:O)</f>
        <v>#ERROR!</v>
      </c>
      <c r="E972" s="110" t="s">
        <v>4054</v>
      </c>
      <c r="H972" s="138"/>
      <c r="J972" s="138"/>
    </row>
    <row r="973" ht="15.75" customHeight="1">
      <c r="A973" s="148">
        <v>46140.0</v>
      </c>
      <c r="B973" s="110" t="s">
        <v>377</v>
      </c>
      <c r="C973" s="106">
        <v>1.0</v>
      </c>
      <c r="D973" s="149" t="str">
        <f>_xlfn.XLOOKUP(B973,[1]FullDataList!F:F,[1]FullDataList!O:O)</f>
        <v>#ERROR!</v>
      </c>
      <c r="E973" s="110" t="s">
        <v>4049</v>
      </c>
      <c r="H973" s="138"/>
      <c r="J973" s="138"/>
    </row>
    <row r="974" ht="15.75" customHeight="1">
      <c r="A974" s="148">
        <v>46140.0</v>
      </c>
      <c r="B974" s="110" t="s">
        <v>2339</v>
      </c>
      <c r="C974" s="106">
        <v>1.0</v>
      </c>
      <c r="D974" s="149" t="str">
        <f>_xlfn.XLOOKUP(B974,[1]FullDataList!F:F,[1]FullDataList!O:O)</f>
        <v>#ERROR!</v>
      </c>
      <c r="E974" s="110" t="s">
        <v>4051</v>
      </c>
      <c r="H974" s="138"/>
      <c r="J974" s="138"/>
    </row>
    <row r="975" ht="15.75" customHeight="1">
      <c r="A975" s="148">
        <v>46140.0</v>
      </c>
      <c r="B975" s="110" t="s">
        <v>2397</v>
      </c>
      <c r="C975" s="106">
        <v>1.0</v>
      </c>
      <c r="D975" s="149" t="str">
        <f>_xlfn.XLOOKUP(B975,[1]FullDataList!F:F,[1]FullDataList!O:O)</f>
        <v>#ERROR!</v>
      </c>
      <c r="E975" s="110" t="s">
        <v>4050</v>
      </c>
      <c r="H975" s="138"/>
      <c r="J975" s="138"/>
    </row>
    <row r="976" ht="15.75" customHeight="1">
      <c r="A976" s="148">
        <v>46140.0</v>
      </c>
      <c r="B976" s="110" t="s">
        <v>864</v>
      </c>
      <c r="C976" s="106">
        <v>1.0</v>
      </c>
      <c r="D976" s="149" t="str">
        <f>_xlfn.XLOOKUP(B976,[1]FullDataList!F:F,[1]FullDataList!O:O)</f>
        <v>#ERROR!</v>
      </c>
      <c r="E976" s="110" t="s">
        <v>4052</v>
      </c>
      <c r="H976" s="138"/>
      <c r="J976" s="138"/>
    </row>
    <row r="977" ht="15.75" customHeight="1">
      <c r="A977" s="148">
        <v>46140.0</v>
      </c>
      <c r="B977" s="110" t="s">
        <v>2443</v>
      </c>
      <c r="C977" s="106">
        <v>1.0</v>
      </c>
      <c r="D977" s="149" t="str">
        <f>_xlfn.XLOOKUP(B977,[1]FullDataList!F:F,[1]FullDataList!O:O)</f>
        <v>#ERROR!</v>
      </c>
      <c r="E977" s="110" t="s">
        <v>4053</v>
      </c>
      <c r="H977" s="138"/>
      <c r="J977" s="138"/>
    </row>
    <row r="978" ht="15.75" customHeight="1">
      <c r="A978" s="148">
        <v>46140.0</v>
      </c>
      <c r="B978" s="110" t="s">
        <v>1425</v>
      </c>
      <c r="C978" s="106">
        <v>1.0</v>
      </c>
      <c r="D978" s="149" t="str">
        <f>_xlfn.XLOOKUP(B978,[1]FullDataList!F:F,[1]FullDataList!O:O)</f>
        <v>#ERROR!</v>
      </c>
      <c r="E978" s="110" t="s">
        <v>4009</v>
      </c>
      <c r="H978" s="138"/>
      <c r="J978" s="138"/>
    </row>
    <row r="979" ht="15.75" customHeight="1">
      <c r="A979" s="148">
        <v>46140.0</v>
      </c>
      <c r="B979" s="110" t="s">
        <v>860</v>
      </c>
      <c r="C979" s="106">
        <v>1.0</v>
      </c>
      <c r="D979" s="149" t="str">
        <f>_xlfn.XLOOKUP(B979,[1]FullDataList!F:F,[1]FullDataList!O:O)</f>
        <v>#ERROR!</v>
      </c>
      <c r="E979" s="110" t="s">
        <v>4040</v>
      </c>
      <c r="H979" s="138"/>
      <c r="J979" s="138"/>
    </row>
    <row r="980" ht="15.75" customHeight="1">
      <c r="A980" s="148">
        <v>46140.0</v>
      </c>
      <c r="B980" s="110" t="s">
        <v>277</v>
      </c>
      <c r="C980" s="106">
        <v>1.0</v>
      </c>
      <c r="D980" s="149" t="str">
        <f>_xlfn.XLOOKUP(B980,[1]FullDataList!F:F,[1]FullDataList!O:O)</f>
        <v>#ERROR!</v>
      </c>
      <c r="E980" s="110" t="s">
        <v>4032</v>
      </c>
      <c r="H980" s="138"/>
      <c r="J980" s="138"/>
    </row>
    <row r="981" ht="15.75" customHeight="1">
      <c r="A981" s="148">
        <v>46140.0</v>
      </c>
      <c r="B981" s="110" t="s">
        <v>2046</v>
      </c>
      <c r="C981" s="106">
        <v>1.0</v>
      </c>
      <c r="D981" s="149" t="str">
        <f>_xlfn.XLOOKUP(B981,[1]FullDataList!F:F,[1]FullDataList!O:O)</f>
        <v>#ERROR!</v>
      </c>
      <c r="E981" s="110" t="s">
        <v>4062</v>
      </c>
      <c r="H981" s="138"/>
      <c r="J981" s="138"/>
    </row>
    <row r="982" ht="15.75" customHeight="1">
      <c r="A982" s="148">
        <v>46140.0</v>
      </c>
      <c r="B982" s="110" t="s">
        <v>2407</v>
      </c>
      <c r="C982" s="106">
        <v>1.0</v>
      </c>
      <c r="D982" s="149" t="str">
        <f>_xlfn.XLOOKUP(B982,[1]FullDataList!F:F,[1]FullDataList!O:O)</f>
        <v>#ERROR!</v>
      </c>
      <c r="E982" s="110" t="s">
        <v>4017</v>
      </c>
      <c r="H982" s="138"/>
      <c r="J982" s="138"/>
    </row>
    <row r="983" ht="15.75" customHeight="1">
      <c r="A983" s="148">
        <v>46140.0</v>
      </c>
      <c r="B983" s="110" t="s">
        <v>862</v>
      </c>
      <c r="C983" s="106">
        <v>1.0</v>
      </c>
      <c r="D983" s="149" t="str">
        <f>_xlfn.XLOOKUP(B983,[1]FullDataList!F:F,[1]FullDataList!O:O)</f>
        <v>#ERROR!</v>
      </c>
      <c r="E983" s="110" t="s">
        <v>4027</v>
      </c>
      <c r="H983" s="138"/>
      <c r="J983" s="138"/>
    </row>
    <row r="984" ht="15.75" customHeight="1">
      <c r="A984" s="148">
        <v>46140.0</v>
      </c>
      <c r="B984" s="110" t="s">
        <v>2433</v>
      </c>
      <c r="C984" s="106">
        <v>1.0</v>
      </c>
      <c r="D984" s="149" t="str">
        <f>_xlfn.XLOOKUP(B984,[1]FullDataList!F:F,[1]FullDataList!O:O)</f>
        <v>#ERROR!</v>
      </c>
      <c r="E984" s="110" t="s">
        <v>4043</v>
      </c>
      <c r="H984" s="138"/>
      <c r="J984" s="138"/>
    </row>
    <row r="985" ht="15.75" customHeight="1">
      <c r="A985" s="148">
        <v>46140.0</v>
      </c>
      <c r="B985" s="110" t="s">
        <v>2687</v>
      </c>
      <c r="C985" s="106">
        <v>1.0</v>
      </c>
      <c r="D985" s="149" t="str">
        <f>_xlfn.XLOOKUP(B985,[1]FullDataList!F:F,[1]FullDataList!O:O)</f>
        <v>#ERROR!</v>
      </c>
      <c r="E985" s="110" t="s">
        <v>4055</v>
      </c>
      <c r="H985" s="138"/>
      <c r="J985" s="138"/>
    </row>
    <row r="986" ht="15.75" customHeight="1">
      <c r="A986" s="148">
        <v>46140.0</v>
      </c>
      <c r="B986" s="110" t="s">
        <v>880</v>
      </c>
      <c r="C986" s="106">
        <v>1.0</v>
      </c>
      <c r="D986" s="149" t="str">
        <f>_xlfn.XLOOKUP(B986,[1]FullDataList!F:F,[1]FullDataList!O:O)</f>
        <v>#ERROR!</v>
      </c>
      <c r="E986" s="110" t="s">
        <v>4056</v>
      </c>
      <c r="H986" s="138"/>
      <c r="J986" s="138"/>
    </row>
    <row r="987" ht="15.75" customHeight="1">
      <c r="A987" s="148">
        <v>46140.0</v>
      </c>
      <c r="B987" s="110" t="s">
        <v>777</v>
      </c>
      <c r="C987" s="106">
        <v>1.0</v>
      </c>
      <c r="D987" s="149" t="str">
        <f>_xlfn.XLOOKUP(B987,[1]FullDataList!F:F,[1]FullDataList!O:O)</f>
        <v>#ERROR!</v>
      </c>
      <c r="E987" s="110" t="s">
        <v>4057</v>
      </c>
      <c r="H987" s="138"/>
      <c r="J987" s="138"/>
    </row>
    <row r="988" ht="15.75" customHeight="1">
      <c r="A988" s="148">
        <v>46140.0</v>
      </c>
      <c r="B988" s="110" t="s">
        <v>1956</v>
      </c>
      <c r="C988" s="106">
        <v>1.0</v>
      </c>
      <c r="D988" s="149" t="str">
        <f>_xlfn.XLOOKUP(B988,[1]FullDataList!F:F,[1]FullDataList!O:O)</f>
        <v>#ERROR!</v>
      </c>
      <c r="E988" s="110" t="s">
        <v>4039</v>
      </c>
      <c r="H988" s="138"/>
      <c r="J988" s="138"/>
    </row>
    <row r="989" ht="15.75" customHeight="1">
      <c r="A989" s="148">
        <v>46140.0</v>
      </c>
      <c r="B989" s="110" t="s">
        <v>1967</v>
      </c>
      <c r="C989" s="106">
        <v>1.0</v>
      </c>
      <c r="D989" s="149" t="str">
        <f>_xlfn.XLOOKUP(B989,[1]FullDataList!F:F,[1]FullDataList!O:O)</f>
        <v>#ERROR!</v>
      </c>
      <c r="E989" s="110" t="s">
        <v>4012</v>
      </c>
      <c r="H989" s="138"/>
      <c r="J989" s="138"/>
    </row>
    <row r="990" ht="15.75" customHeight="1">
      <c r="A990" s="148">
        <v>46140.0</v>
      </c>
      <c r="B990" s="110" t="s">
        <v>324</v>
      </c>
      <c r="C990" s="106">
        <v>1.0</v>
      </c>
      <c r="D990" s="149" t="str">
        <f>_xlfn.XLOOKUP(B990,[1]FullDataList!F:F,[1]FullDataList!O:O)</f>
        <v>#ERROR!</v>
      </c>
      <c r="E990" s="110" t="s">
        <v>4041</v>
      </c>
      <c r="H990" s="138"/>
      <c r="J990" s="138"/>
    </row>
    <row r="991" ht="15.75" customHeight="1">
      <c r="A991" s="148">
        <v>46140.0</v>
      </c>
      <c r="B991" s="110" t="s">
        <v>924</v>
      </c>
      <c r="C991" s="106">
        <v>1.0</v>
      </c>
      <c r="D991" s="149" t="str">
        <f>_xlfn.XLOOKUP(B991,[1]FullDataList!F:F,[1]FullDataList!O:O)</f>
        <v>#ERROR!</v>
      </c>
      <c r="E991" s="110" t="s">
        <v>4011</v>
      </c>
      <c r="H991" s="138"/>
      <c r="J991" s="138"/>
    </row>
    <row r="992" ht="15.75" customHeight="1">
      <c r="A992" s="148">
        <v>46140.0</v>
      </c>
      <c r="B992" s="110" t="s">
        <v>361</v>
      </c>
      <c r="C992" s="106">
        <v>1.0</v>
      </c>
      <c r="D992" s="149" t="str">
        <f>_xlfn.XLOOKUP(B992,[1]FullDataList!F:F,[1]FullDataList!O:O)</f>
        <v>#ERROR!</v>
      </c>
      <c r="E992" s="110" t="s">
        <v>4003</v>
      </c>
      <c r="H992" s="138"/>
      <c r="J992" s="138"/>
    </row>
    <row r="993" ht="15.75" customHeight="1">
      <c r="A993" s="148">
        <v>46140.0</v>
      </c>
      <c r="B993" s="110" t="s">
        <v>285</v>
      </c>
      <c r="C993" s="106">
        <v>1.0</v>
      </c>
      <c r="D993" s="149" t="str">
        <f>_xlfn.XLOOKUP(B993,[1]FullDataList!F:F,[1]FullDataList!O:O)</f>
        <v>#ERROR!</v>
      </c>
      <c r="E993" s="110" t="s">
        <v>4025</v>
      </c>
      <c r="H993" s="138"/>
      <c r="J993" s="138"/>
    </row>
    <row r="994" ht="15.75" customHeight="1">
      <c r="A994" s="148">
        <v>46140.0</v>
      </c>
      <c r="B994" s="110" t="s">
        <v>1505</v>
      </c>
      <c r="C994" s="106">
        <v>1.0</v>
      </c>
      <c r="D994" s="149" t="str">
        <f>_xlfn.XLOOKUP(B994,[1]FullDataList!F:F,[1]FullDataList!O:O)</f>
        <v>#ERROR!</v>
      </c>
      <c r="E994" s="110" t="s">
        <v>4066</v>
      </c>
      <c r="H994" s="138"/>
      <c r="J994" s="138"/>
    </row>
    <row r="995" ht="15.75" customHeight="1">
      <c r="A995" s="148">
        <v>46141.0</v>
      </c>
      <c r="B995" s="110" t="s">
        <v>2088</v>
      </c>
      <c r="C995" s="106">
        <v>1.0</v>
      </c>
      <c r="D995" s="149" t="str">
        <f>_xlfn.XLOOKUP(B995,[1]FullDataList!F:F,[1]FullDataList!O:O)</f>
        <v>#ERROR!</v>
      </c>
      <c r="E995" s="110" t="s">
        <v>4059</v>
      </c>
      <c r="H995" s="138"/>
      <c r="J995" s="138"/>
    </row>
    <row r="996" ht="15.75" customHeight="1">
      <c r="A996" s="148">
        <v>46141.0</v>
      </c>
      <c r="B996" s="110" t="s">
        <v>412</v>
      </c>
      <c r="C996" s="106">
        <v>1.0</v>
      </c>
      <c r="D996" s="149" t="str">
        <f>_xlfn.XLOOKUP(B996,[1]FullDataList!F:F,[1]FullDataList!O:O)</f>
        <v>#ERROR!</v>
      </c>
      <c r="E996" s="110" t="s">
        <v>4061</v>
      </c>
      <c r="H996" s="138"/>
      <c r="J996" s="138"/>
    </row>
    <row r="997" ht="15.75" customHeight="1">
      <c r="A997" s="148">
        <v>46141.0</v>
      </c>
      <c r="B997" s="110" t="s">
        <v>1935</v>
      </c>
      <c r="C997" s="106">
        <v>1.0</v>
      </c>
      <c r="D997" s="149" t="str">
        <f>_xlfn.XLOOKUP(B997,[1]FullDataList!F:F,[1]FullDataList!O:O)</f>
        <v>#ERROR!</v>
      </c>
      <c r="E997" s="110" t="s">
        <v>4064</v>
      </c>
      <c r="H997" s="138"/>
      <c r="J997" s="138"/>
    </row>
    <row r="998" ht="15.75" customHeight="1">
      <c r="A998" s="148">
        <v>46141.0</v>
      </c>
      <c r="B998" s="110" t="s">
        <v>287</v>
      </c>
      <c r="C998" s="106">
        <v>1.0</v>
      </c>
      <c r="D998" s="149" t="str">
        <f>_xlfn.XLOOKUP(B998,[1]FullDataList!F:F,[1]FullDataList!O:O)</f>
        <v>#ERROR!</v>
      </c>
      <c r="E998" s="110" t="s">
        <v>4065</v>
      </c>
      <c r="H998" s="138"/>
      <c r="J998" s="138"/>
    </row>
    <row r="999" ht="15.75" customHeight="1">
      <c r="A999" s="148">
        <v>46141.0</v>
      </c>
      <c r="B999" s="110" t="s">
        <v>690</v>
      </c>
      <c r="C999" s="106">
        <v>1.0</v>
      </c>
      <c r="D999" s="149" t="str">
        <f>_xlfn.XLOOKUP(B999,[1]FullDataList!F:F,[1]FullDataList!O:O)</f>
        <v>#ERROR!</v>
      </c>
      <c r="E999" s="110" t="s">
        <v>4067</v>
      </c>
      <c r="H999" s="138"/>
      <c r="J999" s="138"/>
    </row>
    <row r="1000" ht="15.75" customHeight="1">
      <c r="A1000" s="148">
        <v>46141.0</v>
      </c>
      <c r="B1000" s="110" t="s">
        <v>1001</v>
      </c>
      <c r="C1000" s="106">
        <v>1.0</v>
      </c>
      <c r="D1000" s="149" t="str">
        <f>_xlfn.XLOOKUP(B1000,[1]FullDataList!F:F,[1]FullDataList!O:O)</f>
        <v>#ERROR!</v>
      </c>
      <c r="E1000" s="110">
        <v>6.0</v>
      </c>
      <c r="H1000" s="138"/>
      <c r="J1000" s="138"/>
    </row>
    <row r="1001" ht="15.75" customHeight="1">
      <c r="A1001" s="148">
        <v>46141.0</v>
      </c>
      <c r="B1001" s="110" t="s">
        <v>942</v>
      </c>
      <c r="C1001" s="106">
        <v>1.0</v>
      </c>
      <c r="D1001" s="149" t="str">
        <f>_xlfn.XLOOKUP(B1001,[1]FullDataList!F:F,[1]FullDataList!O:O)</f>
        <v>#ERROR!</v>
      </c>
      <c r="E1001" s="110" t="s">
        <v>4026</v>
      </c>
      <c r="H1001" s="138"/>
      <c r="J1001" s="138"/>
    </row>
    <row r="1002" ht="15.75" customHeight="1">
      <c r="A1002" s="148">
        <v>46141.0</v>
      </c>
      <c r="B1002" s="110" t="s">
        <v>366</v>
      </c>
      <c r="C1002" s="106">
        <v>1.0</v>
      </c>
      <c r="D1002" s="149" t="str">
        <f>_xlfn.XLOOKUP(B1002,[1]FullDataList!F:F,[1]FullDataList!O:O)</f>
        <v>#ERROR!</v>
      </c>
      <c r="E1002" s="110" t="s">
        <v>4028</v>
      </c>
      <c r="H1002" s="138"/>
      <c r="J1002" s="138"/>
    </row>
    <row r="1003" ht="15.75" customHeight="1">
      <c r="A1003" s="148">
        <v>46141.0</v>
      </c>
      <c r="B1003" s="110" t="s">
        <v>358</v>
      </c>
      <c r="C1003" s="106">
        <v>1.0</v>
      </c>
      <c r="D1003" s="149" t="str">
        <f>_xlfn.XLOOKUP(B1003,[1]FullDataList!F:F,[1]FullDataList!O:O)</f>
        <v>#ERROR!</v>
      </c>
      <c r="E1003" s="110" t="s">
        <v>4060</v>
      </c>
      <c r="H1003" s="138"/>
      <c r="J1003" s="138"/>
    </row>
    <row r="1004" ht="15.75" customHeight="1">
      <c r="A1004" s="148">
        <v>46141.0</v>
      </c>
      <c r="B1004" s="110" t="s">
        <v>657</v>
      </c>
      <c r="C1004" s="106">
        <v>1.0</v>
      </c>
      <c r="D1004" s="149" t="str">
        <f>_xlfn.XLOOKUP(B1004,[1]FullDataList!F:F,[1]FullDataList!O:O)</f>
        <v>#ERROR!</v>
      </c>
      <c r="E1004" s="110" t="s">
        <v>4037</v>
      </c>
      <c r="H1004" s="138"/>
      <c r="J1004" s="138"/>
    </row>
    <row r="1005" ht="15.75" customHeight="1">
      <c r="A1005" s="148">
        <v>46141.0</v>
      </c>
      <c r="B1005" s="110" t="s">
        <v>796</v>
      </c>
      <c r="C1005" s="106">
        <v>1.0</v>
      </c>
      <c r="D1005" s="149" t="str">
        <f>_xlfn.XLOOKUP(B1005,[1]FullDataList!F:F,[1]FullDataList!O:O)</f>
        <v>#ERROR!</v>
      </c>
      <c r="E1005" s="110" t="s">
        <v>4047</v>
      </c>
      <c r="H1005" s="138"/>
      <c r="J1005" s="138"/>
    </row>
    <row r="1006" ht="15.75" customHeight="1">
      <c r="A1006" s="148">
        <v>46141.0</v>
      </c>
      <c r="B1006" s="110" t="s">
        <v>818</v>
      </c>
      <c r="C1006" s="106">
        <v>1.0</v>
      </c>
      <c r="D1006" s="149" t="str">
        <f>_xlfn.XLOOKUP(B1006,[1]FullDataList!F:F,[1]FullDataList!O:O)</f>
        <v>#ERROR!</v>
      </c>
      <c r="E1006" s="110" t="s">
        <v>4048</v>
      </c>
      <c r="H1006" s="138"/>
      <c r="J1006" s="138"/>
    </row>
    <row r="1007" ht="15.75" customHeight="1">
      <c r="A1007" s="148">
        <v>46141.0</v>
      </c>
      <c r="B1007" s="110" t="s">
        <v>1503</v>
      </c>
      <c r="C1007" s="106">
        <v>1.0</v>
      </c>
      <c r="D1007" s="149" t="str">
        <f>_xlfn.XLOOKUP(B1007,[1]FullDataList!F:F,[1]FullDataList!O:O)</f>
        <v>#ERROR!</v>
      </c>
      <c r="E1007" s="110" t="s">
        <v>4054</v>
      </c>
      <c r="H1007" s="138"/>
      <c r="J1007" s="138"/>
    </row>
    <row r="1008" ht="15.75" customHeight="1">
      <c r="A1008" s="148">
        <v>46141.0</v>
      </c>
      <c r="B1008" s="110" t="s">
        <v>378</v>
      </c>
      <c r="C1008" s="106">
        <v>1.0</v>
      </c>
      <c r="D1008" s="149" t="str">
        <f>_xlfn.XLOOKUP(B1008,[1]FullDataList!F:F,[1]FullDataList!O:O)</f>
        <v>#ERROR!</v>
      </c>
      <c r="E1008" s="110" t="s">
        <v>4049</v>
      </c>
      <c r="H1008" s="138"/>
      <c r="J1008" s="138"/>
    </row>
    <row r="1009" ht="15.75" customHeight="1">
      <c r="A1009" s="148">
        <v>46141.0</v>
      </c>
      <c r="B1009" s="110" t="s">
        <v>2355</v>
      </c>
      <c r="C1009" s="106">
        <v>1.0</v>
      </c>
      <c r="D1009" s="149" t="str">
        <f>_xlfn.XLOOKUP(B1009,[1]FullDataList!F:F,[1]FullDataList!O:O)</f>
        <v>#ERROR!</v>
      </c>
      <c r="E1009" s="110" t="s">
        <v>4051</v>
      </c>
      <c r="H1009" s="138"/>
      <c r="J1009" s="138"/>
    </row>
    <row r="1010" ht="15.75" customHeight="1">
      <c r="A1010" s="148">
        <v>46141.0</v>
      </c>
      <c r="B1010" s="110" t="s">
        <v>2398</v>
      </c>
      <c r="C1010" s="106">
        <v>1.0</v>
      </c>
      <c r="D1010" s="149" t="str">
        <f>_xlfn.XLOOKUP(B1010,[1]FullDataList!F:F,[1]FullDataList!O:O)</f>
        <v>#ERROR!</v>
      </c>
      <c r="E1010" s="110" t="s">
        <v>4050</v>
      </c>
      <c r="H1010" s="138"/>
      <c r="J1010" s="138"/>
    </row>
    <row r="1011" ht="15.75" customHeight="1">
      <c r="A1011" s="148">
        <v>46141.0</v>
      </c>
      <c r="B1011" s="110" t="s">
        <v>865</v>
      </c>
      <c r="C1011" s="106">
        <v>1.0</v>
      </c>
      <c r="D1011" s="149" t="str">
        <f>_xlfn.XLOOKUP(B1011,[1]FullDataList!F:F,[1]FullDataList!O:O)</f>
        <v>#ERROR!</v>
      </c>
      <c r="E1011" s="110" t="s">
        <v>4052</v>
      </c>
      <c r="H1011" s="138"/>
      <c r="J1011" s="138"/>
    </row>
    <row r="1012" ht="15.75" customHeight="1">
      <c r="A1012" s="148">
        <v>46141.0</v>
      </c>
      <c r="B1012" s="110" t="s">
        <v>2444</v>
      </c>
      <c r="C1012" s="106">
        <v>1.0</v>
      </c>
      <c r="D1012" s="149" t="str">
        <f>_xlfn.XLOOKUP(B1012,[1]FullDataList!F:F,[1]FullDataList!O:O)</f>
        <v>#ERROR!</v>
      </c>
      <c r="E1012" s="110" t="s">
        <v>4053</v>
      </c>
      <c r="H1012" s="138"/>
      <c r="J1012" s="138"/>
    </row>
    <row r="1013" ht="15.75" customHeight="1">
      <c r="A1013" s="148">
        <v>46141.0</v>
      </c>
      <c r="B1013" s="110" t="s">
        <v>1515</v>
      </c>
      <c r="C1013" s="106">
        <v>1.0</v>
      </c>
      <c r="D1013" s="149" t="str">
        <f>_xlfn.XLOOKUP(B1013,[1]FullDataList!F:F,[1]FullDataList!O:O)</f>
        <v>#ERROR!</v>
      </c>
      <c r="E1013" s="110" t="s">
        <v>4004</v>
      </c>
      <c r="H1013" s="138"/>
      <c r="J1013" s="138"/>
    </row>
    <row r="1014" ht="15.75" customHeight="1">
      <c r="A1014" s="148">
        <v>46141.0</v>
      </c>
      <c r="B1014" s="110" t="s">
        <v>2440</v>
      </c>
      <c r="C1014" s="106">
        <v>1.0</v>
      </c>
      <c r="D1014" s="149" t="str">
        <f>_xlfn.XLOOKUP(B1014,[1]FullDataList!F:F,[1]FullDataList!O:O)</f>
        <v>#ERROR!</v>
      </c>
      <c r="E1014" s="110" t="s">
        <v>4009</v>
      </c>
      <c r="H1014" s="138"/>
      <c r="J1014" s="138"/>
    </row>
    <row r="1015" ht="15.75" customHeight="1">
      <c r="A1015" s="148">
        <v>46141.0</v>
      </c>
      <c r="B1015" s="110" t="s">
        <v>531</v>
      </c>
      <c r="C1015" s="106">
        <v>1.0</v>
      </c>
      <c r="D1015" s="149" t="str">
        <f>_xlfn.XLOOKUP(B1015,[1]FullDataList!F:F,[1]FullDataList!O:O)</f>
        <v>#ERROR!</v>
      </c>
      <c r="E1015" s="110" t="s">
        <v>4040</v>
      </c>
      <c r="H1015" s="138"/>
      <c r="J1015" s="138"/>
    </row>
    <row r="1016" ht="15.75" customHeight="1">
      <c r="A1016" s="148">
        <v>46141.0</v>
      </c>
      <c r="B1016" s="110" t="s">
        <v>278</v>
      </c>
      <c r="C1016" s="106">
        <v>1.0</v>
      </c>
      <c r="D1016" s="149" t="str">
        <f>_xlfn.XLOOKUP(B1016,[1]FullDataList!F:F,[1]FullDataList!O:O)</f>
        <v>#ERROR!</v>
      </c>
      <c r="E1016" s="110" t="s">
        <v>4032</v>
      </c>
      <c r="H1016" s="138"/>
      <c r="J1016" s="138"/>
    </row>
    <row r="1017" ht="15.75" customHeight="1">
      <c r="A1017" s="148">
        <v>46141.0</v>
      </c>
      <c r="B1017" s="110" t="s">
        <v>2047</v>
      </c>
      <c r="C1017" s="106">
        <v>1.0</v>
      </c>
      <c r="D1017" s="149" t="str">
        <f>_xlfn.XLOOKUP(B1017,[1]FullDataList!F:F,[1]FullDataList!O:O)</f>
        <v>#ERROR!</v>
      </c>
      <c r="E1017" s="110" t="s">
        <v>4062</v>
      </c>
      <c r="H1017" s="138"/>
      <c r="J1017" s="138"/>
    </row>
    <row r="1018" ht="15.75" customHeight="1">
      <c r="A1018" s="148">
        <v>46141.0</v>
      </c>
      <c r="B1018" s="110" t="s">
        <v>1141</v>
      </c>
      <c r="C1018" s="106">
        <v>1.0</v>
      </c>
      <c r="D1018" s="149" t="str">
        <f>_xlfn.XLOOKUP(B1018,[1]FullDataList!F:F,[1]FullDataList!O:O)</f>
        <v>#ERROR!</v>
      </c>
      <c r="E1018" s="110" t="s">
        <v>4042</v>
      </c>
      <c r="H1018" s="138"/>
      <c r="J1018" s="138"/>
    </row>
    <row r="1019" ht="15.75" customHeight="1">
      <c r="A1019" s="148">
        <v>46141.0</v>
      </c>
      <c r="B1019" s="110" t="s">
        <v>1563</v>
      </c>
      <c r="C1019" s="106">
        <v>1.0</v>
      </c>
      <c r="D1019" s="149" t="str">
        <f>_xlfn.XLOOKUP(B1019,[1]FullDataList!F:F,[1]FullDataList!O:O)</f>
        <v>#ERROR!</v>
      </c>
      <c r="E1019" s="110" t="s">
        <v>4044</v>
      </c>
      <c r="H1019" s="138"/>
      <c r="J1019" s="138"/>
    </row>
    <row r="1020" ht="15.75" customHeight="1">
      <c r="A1020" s="148">
        <v>46141.0</v>
      </c>
      <c r="B1020" s="110" t="s">
        <v>2408</v>
      </c>
      <c r="C1020" s="106">
        <v>1.0</v>
      </c>
      <c r="D1020" s="149" t="str">
        <f>_xlfn.XLOOKUP(B1020,[1]FullDataList!F:F,[1]FullDataList!O:O)</f>
        <v>#ERROR!</v>
      </c>
      <c r="E1020" s="110" t="s">
        <v>4017</v>
      </c>
      <c r="H1020" s="138"/>
      <c r="J1020" s="138"/>
    </row>
    <row r="1021" ht="15.75" customHeight="1">
      <c r="A1021" s="148">
        <v>46141.0</v>
      </c>
      <c r="B1021" s="110" t="s">
        <v>752</v>
      </c>
      <c r="C1021" s="106">
        <v>1.0</v>
      </c>
      <c r="D1021" s="149" t="str">
        <f>_xlfn.XLOOKUP(B1021,[1]FullDataList!F:F,[1]FullDataList!O:O)</f>
        <v>#ERROR!</v>
      </c>
      <c r="E1021" s="110" t="s">
        <v>4027</v>
      </c>
      <c r="H1021" s="138"/>
      <c r="J1021" s="138"/>
    </row>
    <row r="1022" ht="15.75" customHeight="1">
      <c r="A1022" s="148">
        <v>46141.0</v>
      </c>
      <c r="B1022" s="110" t="s">
        <v>2446</v>
      </c>
      <c r="C1022" s="106">
        <v>1.0</v>
      </c>
      <c r="D1022" s="149" t="str">
        <f>_xlfn.XLOOKUP(B1022,[1]FullDataList!F:F,[1]FullDataList!O:O)</f>
        <v>#ERROR!</v>
      </c>
      <c r="E1022" s="110" t="s">
        <v>4063</v>
      </c>
      <c r="H1022" s="138"/>
      <c r="J1022" s="138"/>
    </row>
    <row r="1023" ht="15.75" customHeight="1">
      <c r="A1023" s="148">
        <v>46141.0</v>
      </c>
      <c r="B1023" s="110" t="s">
        <v>2349</v>
      </c>
      <c r="C1023" s="106">
        <v>1.0</v>
      </c>
      <c r="D1023" s="149" t="str">
        <f>_xlfn.XLOOKUP(B1023,[1]FullDataList!F:F,[1]FullDataList!O:O)</f>
        <v>#ERROR!</v>
      </c>
      <c r="E1023" s="110" t="s">
        <v>4055</v>
      </c>
      <c r="H1023" s="138"/>
      <c r="J1023" s="138"/>
    </row>
    <row r="1024" ht="15.75" customHeight="1">
      <c r="A1024" s="148">
        <v>46141.0</v>
      </c>
      <c r="B1024" s="110" t="s">
        <v>726</v>
      </c>
      <c r="C1024" s="106">
        <v>1.0</v>
      </c>
      <c r="D1024" s="149" t="str">
        <f>_xlfn.XLOOKUP(B1024,[1]FullDataList!F:F,[1]FullDataList!O:O)</f>
        <v>#ERROR!</v>
      </c>
      <c r="E1024" s="110" t="s">
        <v>4013</v>
      </c>
      <c r="H1024" s="138"/>
      <c r="J1024" s="138"/>
    </row>
    <row r="1025" ht="15.75" customHeight="1">
      <c r="A1025" s="148">
        <v>46141.0</v>
      </c>
      <c r="B1025" s="110" t="s">
        <v>881</v>
      </c>
      <c r="C1025" s="106">
        <v>1.0</v>
      </c>
      <c r="D1025" s="149" t="str">
        <f>_xlfn.XLOOKUP(B1025,[1]FullDataList!F:F,[1]FullDataList!O:O)</f>
        <v>#ERROR!</v>
      </c>
      <c r="E1025" s="110" t="s">
        <v>4056</v>
      </c>
      <c r="H1025" s="138"/>
      <c r="J1025" s="138"/>
    </row>
    <row r="1026" ht="15.75" customHeight="1">
      <c r="A1026" s="148">
        <v>46141.0</v>
      </c>
      <c r="B1026" s="110" t="s">
        <v>325</v>
      </c>
      <c r="C1026" s="106">
        <v>1.0</v>
      </c>
      <c r="D1026" s="149" t="str">
        <f>_xlfn.XLOOKUP(B1026,[1]FullDataList!F:F,[1]FullDataList!O:O)</f>
        <v>#ERROR!</v>
      </c>
      <c r="E1026" s="110" t="s">
        <v>4057</v>
      </c>
      <c r="H1026" s="138"/>
      <c r="J1026" s="138"/>
    </row>
    <row r="1027" ht="15.75" customHeight="1">
      <c r="A1027" s="148">
        <v>46141.0</v>
      </c>
      <c r="B1027" s="110" t="s">
        <v>279</v>
      </c>
      <c r="C1027" s="106">
        <v>1.0</v>
      </c>
      <c r="D1027" s="149" t="str">
        <f>_xlfn.XLOOKUP(B1027,[1]FullDataList!F:F,[1]FullDataList!O:O)</f>
        <v>#ERROR!</v>
      </c>
      <c r="E1027" s="110" t="s">
        <v>4008</v>
      </c>
      <c r="H1027" s="138"/>
      <c r="J1027" s="138"/>
    </row>
    <row r="1028" ht="15.75" customHeight="1">
      <c r="A1028" s="148">
        <v>46141.0</v>
      </c>
      <c r="B1028" s="110" t="s">
        <v>1917</v>
      </c>
      <c r="C1028" s="106">
        <v>1.0</v>
      </c>
      <c r="D1028" s="149" t="str">
        <f>_xlfn.XLOOKUP(B1028,[1]FullDataList!F:F,[1]FullDataList!O:O)</f>
        <v>#ERROR!</v>
      </c>
      <c r="E1028" s="110" t="s">
        <v>4039</v>
      </c>
      <c r="H1028" s="138"/>
      <c r="J1028" s="138"/>
    </row>
    <row r="1029" ht="15.75" customHeight="1">
      <c r="A1029" s="148">
        <v>46141.0</v>
      </c>
      <c r="B1029" s="110" t="s">
        <v>1951</v>
      </c>
      <c r="C1029" s="106">
        <v>1.0</v>
      </c>
      <c r="D1029" s="149" t="str">
        <f>_xlfn.XLOOKUP(B1029,[1]FullDataList!F:F,[1]FullDataList!O:O)</f>
        <v>#ERROR!</v>
      </c>
      <c r="E1029" s="110" t="s">
        <v>4012</v>
      </c>
      <c r="H1029" s="138"/>
      <c r="J1029" s="138"/>
    </row>
    <row r="1030" ht="15.75" customHeight="1">
      <c r="A1030" s="148">
        <v>46141.0</v>
      </c>
      <c r="B1030" s="110" t="s">
        <v>909</v>
      </c>
      <c r="C1030" s="106">
        <v>1.0</v>
      </c>
      <c r="D1030" s="149" t="str">
        <f>_xlfn.XLOOKUP(B1030,[1]FullDataList!F:F,[1]FullDataList!O:O)</f>
        <v>#ERROR!</v>
      </c>
      <c r="E1030" s="110" t="s">
        <v>4011</v>
      </c>
      <c r="H1030" s="138"/>
      <c r="J1030" s="138"/>
    </row>
    <row r="1031" ht="15.75" customHeight="1">
      <c r="A1031" s="148">
        <v>46141.0</v>
      </c>
      <c r="B1031" s="110" t="s">
        <v>362</v>
      </c>
      <c r="C1031" s="106">
        <v>1.0</v>
      </c>
      <c r="D1031" s="149" t="str">
        <f>_xlfn.XLOOKUP(B1031,[1]FullDataList!F:F,[1]FullDataList!O:O)</f>
        <v>#ERROR!</v>
      </c>
      <c r="E1031" s="110" t="s">
        <v>4003</v>
      </c>
      <c r="H1031" s="138"/>
      <c r="J1031" s="138"/>
    </row>
    <row r="1032" ht="15.75" customHeight="1">
      <c r="A1032" s="148">
        <v>46141.0</v>
      </c>
      <c r="B1032" s="110" t="s">
        <v>304</v>
      </c>
      <c r="C1032" s="106">
        <v>1.0</v>
      </c>
      <c r="D1032" s="149" t="str">
        <f>_xlfn.XLOOKUP(B1032,[1]FullDataList!F:F,[1]FullDataList!O:O)</f>
        <v>#ERROR!</v>
      </c>
      <c r="E1032" s="110" t="s">
        <v>4025</v>
      </c>
      <c r="H1032" s="138"/>
      <c r="J1032" s="138"/>
    </row>
    <row r="1033" ht="15.75" customHeight="1">
      <c r="A1033" s="148">
        <v>46141.0</v>
      </c>
      <c r="B1033" s="110" t="s">
        <v>1506</v>
      </c>
      <c r="C1033" s="106">
        <v>1.0</v>
      </c>
      <c r="D1033" s="149" t="str">
        <f>_xlfn.XLOOKUP(B1033,[1]FullDataList!F:F,[1]FullDataList!O:O)</f>
        <v>#ERROR!</v>
      </c>
      <c r="E1033" s="110" t="s">
        <v>4066</v>
      </c>
      <c r="H1033" s="138"/>
      <c r="J1033" s="138"/>
    </row>
    <row r="1034" ht="15.75" customHeight="1">
      <c r="A1034" s="148">
        <v>46141.0</v>
      </c>
      <c r="B1034" s="110" t="s">
        <v>344</v>
      </c>
      <c r="C1034" s="106">
        <v>1.0</v>
      </c>
      <c r="D1034" s="149" t="str">
        <f>_xlfn.XLOOKUP(B1034,[1]FullDataList!F:F,[1]FullDataList!O:O)</f>
        <v>#ERROR!</v>
      </c>
      <c r="E1034" s="110" t="s">
        <v>4058</v>
      </c>
      <c r="H1034" s="138"/>
      <c r="J1034" s="138"/>
    </row>
    <row r="1035" ht="15.75" customHeight="1">
      <c r="A1035" s="148">
        <v>46142.0</v>
      </c>
      <c r="B1035" s="110" t="s">
        <v>311</v>
      </c>
      <c r="C1035" s="106">
        <v>1.0</v>
      </c>
      <c r="D1035" s="149" t="str">
        <f>_xlfn.XLOOKUP(B1035,[1]FullDataList!F:F,[1]FullDataList!O:O)</f>
        <v>#ERROR!</v>
      </c>
      <c r="E1035" s="110" t="s">
        <v>4059</v>
      </c>
      <c r="H1035" s="138"/>
      <c r="J1035" s="138"/>
    </row>
    <row r="1036" ht="15.75" customHeight="1">
      <c r="A1036" s="148">
        <v>46142.0</v>
      </c>
      <c r="B1036" s="110" t="s">
        <v>413</v>
      </c>
      <c r="C1036" s="106">
        <v>1.0</v>
      </c>
      <c r="D1036" s="149" t="str">
        <f>_xlfn.XLOOKUP(B1036,[1]FullDataList!F:F,[1]FullDataList!O:O)</f>
        <v>#ERROR!</v>
      </c>
      <c r="E1036" s="110" t="s">
        <v>4061</v>
      </c>
      <c r="H1036" s="138"/>
      <c r="J1036" s="138"/>
    </row>
    <row r="1037" ht="15.75" customHeight="1">
      <c r="A1037" s="148">
        <v>46142.0</v>
      </c>
      <c r="B1037" s="110" t="s">
        <v>469</v>
      </c>
      <c r="C1037" s="106">
        <v>1.0</v>
      </c>
      <c r="D1037" s="149" t="str">
        <f>_xlfn.XLOOKUP(B1037,[1]FullDataList!F:F,[1]FullDataList!O:O)</f>
        <v>#ERROR!</v>
      </c>
      <c r="E1037" s="110" t="s">
        <v>4064</v>
      </c>
      <c r="H1037" s="138"/>
      <c r="J1037" s="138"/>
    </row>
    <row r="1038" ht="15.75" customHeight="1">
      <c r="A1038" s="148">
        <v>46142.0</v>
      </c>
      <c r="B1038" s="110" t="s">
        <v>288</v>
      </c>
      <c r="C1038" s="106">
        <v>1.0</v>
      </c>
      <c r="D1038" s="149" t="str">
        <f>_xlfn.XLOOKUP(B1038,[1]FullDataList!F:F,[1]FullDataList!O:O)</f>
        <v>#ERROR!</v>
      </c>
      <c r="E1038" s="110" t="s">
        <v>4065</v>
      </c>
      <c r="H1038" s="138"/>
      <c r="J1038" s="138"/>
    </row>
    <row r="1039" ht="15.75" customHeight="1">
      <c r="A1039" s="148">
        <v>46142.0</v>
      </c>
      <c r="B1039" s="110" t="s">
        <v>691</v>
      </c>
      <c r="C1039" s="106">
        <v>1.0</v>
      </c>
      <c r="D1039" s="149" t="str">
        <f>_xlfn.XLOOKUP(B1039,[1]FullDataList!F:F,[1]FullDataList!O:O)</f>
        <v>#ERROR!</v>
      </c>
      <c r="E1039" s="110" t="s">
        <v>4067</v>
      </c>
      <c r="H1039" s="138"/>
      <c r="J1039" s="138"/>
    </row>
    <row r="1040" ht="15.75" customHeight="1">
      <c r="A1040" s="148">
        <v>46142.0</v>
      </c>
      <c r="B1040" s="110" t="s">
        <v>265</v>
      </c>
      <c r="C1040" s="106">
        <v>1.0</v>
      </c>
      <c r="D1040" s="149" t="str">
        <f>_xlfn.XLOOKUP(B1040,[1]FullDataList!F:F,[1]FullDataList!O:O)</f>
        <v>#ERROR!</v>
      </c>
      <c r="E1040" s="110">
        <v>6.0</v>
      </c>
      <c r="H1040" s="138"/>
      <c r="J1040" s="138"/>
    </row>
    <row r="1041" ht="15.75" customHeight="1">
      <c r="A1041" s="148">
        <v>46142.0</v>
      </c>
      <c r="B1041" s="110" t="s">
        <v>271</v>
      </c>
      <c r="C1041" s="106">
        <v>1.0</v>
      </c>
      <c r="D1041" s="149" t="str">
        <f>_xlfn.XLOOKUP(B1041,[1]FullDataList!F:F,[1]FullDataList!O:O)</f>
        <v>#ERROR!</v>
      </c>
      <c r="E1041" s="110" t="s">
        <v>4026</v>
      </c>
      <c r="H1041" s="138"/>
      <c r="J1041" s="138"/>
    </row>
    <row r="1042" ht="15.75" customHeight="1">
      <c r="A1042" s="148">
        <v>46142.0</v>
      </c>
      <c r="B1042" s="110" t="s">
        <v>367</v>
      </c>
      <c r="C1042" s="106">
        <v>1.0</v>
      </c>
      <c r="D1042" s="149" t="str">
        <f>_xlfn.XLOOKUP(B1042,[1]FullDataList!F:F,[1]FullDataList!O:O)</f>
        <v>#ERROR!</v>
      </c>
      <c r="E1042" s="110" t="s">
        <v>4028</v>
      </c>
      <c r="H1042" s="138"/>
      <c r="J1042" s="138"/>
    </row>
    <row r="1043" ht="15.75" customHeight="1">
      <c r="A1043" s="148">
        <v>46142.0</v>
      </c>
      <c r="B1043" s="110" t="s">
        <v>2008</v>
      </c>
      <c r="C1043" s="106">
        <v>1.0</v>
      </c>
      <c r="D1043" s="149" t="str">
        <f>_xlfn.XLOOKUP(B1043,[1]FullDataList!F:F,[1]FullDataList!O:O)</f>
        <v>#ERROR!</v>
      </c>
      <c r="E1043" s="110" t="s">
        <v>4060</v>
      </c>
      <c r="H1043" s="138"/>
      <c r="J1043" s="138"/>
    </row>
    <row r="1044" ht="15.75" customHeight="1">
      <c r="A1044" s="148">
        <v>46142.0</v>
      </c>
      <c r="B1044" s="110" t="s">
        <v>353</v>
      </c>
      <c r="C1044" s="106">
        <v>1.0</v>
      </c>
      <c r="D1044" s="149" t="str">
        <f>_xlfn.XLOOKUP(B1044,[1]FullDataList!F:F,[1]FullDataList!O:O)</f>
        <v>#ERROR!</v>
      </c>
      <c r="E1044" s="110" t="s">
        <v>4038</v>
      </c>
      <c r="H1044" s="138"/>
      <c r="J1044" s="138"/>
    </row>
    <row r="1045" ht="15.75" customHeight="1">
      <c r="A1045" s="148">
        <v>46142.0</v>
      </c>
      <c r="B1045" s="110" t="s">
        <v>1422</v>
      </c>
      <c r="C1045" s="106">
        <v>1.0</v>
      </c>
      <c r="D1045" s="149" t="str">
        <f>_xlfn.XLOOKUP(B1045,[1]FullDataList!F:F,[1]FullDataList!O:O)</f>
        <v>#ERROR!</v>
      </c>
      <c r="E1045" s="110" t="s">
        <v>4054</v>
      </c>
      <c r="H1045" s="138"/>
      <c r="J1045" s="138"/>
    </row>
    <row r="1046" ht="15.75" customHeight="1">
      <c r="A1046" s="148">
        <v>46142.0</v>
      </c>
      <c r="B1046" s="110" t="s">
        <v>2372</v>
      </c>
      <c r="C1046" s="106">
        <v>1.0</v>
      </c>
      <c r="D1046" s="149" t="str">
        <f>_xlfn.XLOOKUP(B1046,[1]FullDataList!F:F,[1]FullDataList!O:O)</f>
        <v>#ERROR!</v>
      </c>
      <c r="E1046" s="110" t="s">
        <v>4049</v>
      </c>
      <c r="H1046" s="138"/>
      <c r="J1046" s="138"/>
    </row>
    <row r="1047" ht="15.75" customHeight="1">
      <c r="A1047" s="148">
        <v>46142.0</v>
      </c>
      <c r="B1047" s="110" t="s">
        <v>2356</v>
      </c>
      <c r="C1047" s="106">
        <v>1.0</v>
      </c>
      <c r="D1047" s="149" t="str">
        <f>_xlfn.XLOOKUP(B1047,[1]FullDataList!F:F,[1]FullDataList!O:O)</f>
        <v>#ERROR!</v>
      </c>
      <c r="E1047" s="110" t="s">
        <v>4051</v>
      </c>
      <c r="H1047" s="138"/>
      <c r="J1047" s="138"/>
    </row>
    <row r="1048" ht="15.75" customHeight="1">
      <c r="A1048" s="148">
        <v>46142.0</v>
      </c>
      <c r="B1048" s="110" t="s">
        <v>2342</v>
      </c>
      <c r="C1048" s="106">
        <v>1.0</v>
      </c>
      <c r="D1048" s="149" t="str">
        <f>_xlfn.XLOOKUP(B1048,[1]FullDataList!F:F,[1]FullDataList!O:O)</f>
        <v>#ERROR!</v>
      </c>
      <c r="E1048" s="110" t="s">
        <v>4050</v>
      </c>
      <c r="H1048" s="138"/>
      <c r="J1048" s="138"/>
    </row>
    <row r="1049" ht="15.75" customHeight="1">
      <c r="A1049" s="148">
        <v>46142.0</v>
      </c>
      <c r="B1049" s="110" t="s">
        <v>329</v>
      </c>
      <c r="C1049" s="106">
        <v>1.0</v>
      </c>
      <c r="D1049" s="149" t="str">
        <f>_xlfn.XLOOKUP(B1049,[1]FullDataList!F:F,[1]FullDataList!O:O)</f>
        <v>#ERROR!</v>
      </c>
      <c r="E1049" s="110" t="s">
        <v>4052</v>
      </c>
      <c r="H1049" s="138"/>
      <c r="J1049" s="138"/>
    </row>
    <row r="1050" ht="15.75" customHeight="1">
      <c r="A1050" s="148">
        <v>46142.0</v>
      </c>
      <c r="B1050" s="110" t="s">
        <v>2445</v>
      </c>
      <c r="C1050" s="106">
        <v>1.0</v>
      </c>
      <c r="D1050" s="149" t="str">
        <f>_xlfn.XLOOKUP(B1050,[1]FullDataList!F:F,[1]FullDataList!O:O)</f>
        <v>#ERROR!</v>
      </c>
      <c r="E1050" s="110" t="s">
        <v>4053</v>
      </c>
      <c r="H1050" s="138"/>
      <c r="J1050" s="138"/>
    </row>
    <row r="1051" ht="15.75" customHeight="1">
      <c r="A1051" s="148">
        <v>46142.0</v>
      </c>
      <c r="B1051" s="110" t="s">
        <v>2353</v>
      </c>
      <c r="C1051" s="106">
        <v>1.0</v>
      </c>
      <c r="D1051" s="149" t="str">
        <f>_xlfn.XLOOKUP(B1051,[1]FullDataList!F:F,[1]FullDataList!O:O)</f>
        <v>#ERROR!</v>
      </c>
      <c r="E1051" s="110" t="s">
        <v>4004</v>
      </c>
      <c r="H1051" s="138"/>
      <c r="J1051" s="138"/>
    </row>
    <row r="1052" ht="15.75" customHeight="1">
      <c r="A1052" s="148">
        <v>46142.0</v>
      </c>
      <c r="B1052" s="110" t="s">
        <v>692</v>
      </c>
      <c r="C1052" s="106">
        <v>1.0</v>
      </c>
      <c r="D1052" s="149" t="str">
        <f>_xlfn.XLOOKUP(B1052,[1]FullDataList!F:F,[1]FullDataList!O:O)</f>
        <v>#ERROR!</v>
      </c>
      <c r="E1052" s="110" t="s">
        <v>4009</v>
      </c>
      <c r="H1052" s="138"/>
      <c r="J1052" s="138"/>
    </row>
    <row r="1053" ht="15.75" customHeight="1">
      <c r="A1053" s="148">
        <v>46142.0</v>
      </c>
      <c r="B1053" s="110" t="s">
        <v>2509</v>
      </c>
      <c r="C1053" s="106">
        <v>1.0</v>
      </c>
      <c r="D1053" s="149" t="str">
        <f>_xlfn.XLOOKUP(B1053,[1]FullDataList!F:F,[1]FullDataList!O:O)</f>
        <v>#ERROR!</v>
      </c>
      <c r="E1053" s="110" t="s">
        <v>4040</v>
      </c>
      <c r="H1053" s="138"/>
      <c r="J1053" s="138"/>
    </row>
    <row r="1054" ht="15.75" customHeight="1">
      <c r="A1054" s="148">
        <v>46142.0</v>
      </c>
      <c r="B1054" s="110" t="s">
        <v>291</v>
      </c>
      <c r="C1054" s="106">
        <v>1.0</v>
      </c>
      <c r="D1054" s="149" t="str">
        <f>_xlfn.XLOOKUP(B1054,[1]FullDataList!F:F,[1]FullDataList!O:O)</f>
        <v>#ERROR!</v>
      </c>
      <c r="E1054" s="110" t="s">
        <v>4032</v>
      </c>
      <c r="H1054" s="138"/>
      <c r="J1054" s="138"/>
    </row>
    <row r="1055" ht="15.75" customHeight="1">
      <c r="A1055" s="148">
        <v>46142.0</v>
      </c>
      <c r="B1055" s="110" t="s">
        <v>348</v>
      </c>
      <c r="C1055" s="106">
        <v>1.0</v>
      </c>
      <c r="D1055" s="149" t="str">
        <f>_xlfn.XLOOKUP(B1055,[1]FullDataList!F:F,[1]FullDataList!O:O)</f>
        <v>#ERROR!</v>
      </c>
      <c r="E1055" s="110" t="s">
        <v>4062</v>
      </c>
      <c r="H1055" s="138"/>
      <c r="J1055" s="138"/>
    </row>
    <row r="1056" ht="15.75" customHeight="1">
      <c r="A1056" s="148">
        <v>46142.0</v>
      </c>
      <c r="B1056" s="110" t="s">
        <v>1608</v>
      </c>
      <c r="C1056" s="106">
        <v>1.0</v>
      </c>
      <c r="D1056" s="149" t="str">
        <f>_xlfn.XLOOKUP(B1056,[1]FullDataList!F:F,[1]FullDataList!O:O)</f>
        <v>#ERROR!</v>
      </c>
      <c r="E1056" s="110" t="s">
        <v>4045</v>
      </c>
      <c r="H1056" s="138"/>
      <c r="J1056" s="138"/>
    </row>
    <row r="1057" ht="15.75" customHeight="1">
      <c r="A1057" s="148">
        <v>46142.0</v>
      </c>
      <c r="B1057" s="110" t="s">
        <v>950</v>
      </c>
      <c r="C1057" s="106">
        <v>1.0</v>
      </c>
      <c r="D1057" s="149" t="str">
        <f>_xlfn.XLOOKUP(B1057,[1]FullDataList!F:F,[1]FullDataList!O:O)</f>
        <v>#ERROR!</v>
      </c>
      <c r="E1057" s="110" t="s">
        <v>4042</v>
      </c>
      <c r="H1057" s="138"/>
      <c r="J1057" s="138"/>
    </row>
    <row r="1058" ht="15.75" customHeight="1">
      <c r="A1058" s="148">
        <v>46142.0</v>
      </c>
      <c r="B1058" s="110" t="s">
        <v>1609</v>
      </c>
      <c r="C1058" s="106">
        <v>1.0</v>
      </c>
      <c r="D1058" s="149" t="str">
        <f>_xlfn.XLOOKUP(B1058,[1]FullDataList!F:F,[1]FullDataList!O:O)</f>
        <v>#ERROR!</v>
      </c>
      <c r="E1058" s="110" t="s">
        <v>4044</v>
      </c>
      <c r="H1058" s="138"/>
      <c r="J1058" s="138"/>
    </row>
    <row r="1059" ht="15.75" customHeight="1">
      <c r="A1059" s="148">
        <v>46142.0</v>
      </c>
      <c r="B1059" s="110" t="s">
        <v>2450</v>
      </c>
      <c r="C1059" s="106">
        <v>1.0</v>
      </c>
      <c r="D1059" s="149" t="str">
        <f>_xlfn.XLOOKUP(B1059,[1]FullDataList!F:F,[1]FullDataList!O:O)</f>
        <v>#ERROR!</v>
      </c>
      <c r="E1059" s="110" t="s">
        <v>4027</v>
      </c>
      <c r="H1059" s="138"/>
      <c r="J1059" s="138"/>
    </row>
    <row r="1060" ht="15.75" customHeight="1">
      <c r="A1060" s="148">
        <v>46142.0</v>
      </c>
      <c r="B1060" s="110" t="s">
        <v>1067</v>
      </c>
      <c r="C1060" s="106">
        <v>1.0</v>
      </c>
      <c r="D1060" s="149" t="str">
        <f>_xlfn.XLOOKUP(B1060,[1]FullDataList!F:F,[1]FullDataList!O:O)</f>
        <v>#ERROR!</v>
      </c>
      <c r="E1060" s="110" t="s">
        <v>4030</v>
      </c>
      <c r="H1060" s="138"/>
      <c r="J1060" s="138"/>
    </row>
    <row r="1061" ht="15.75" customHeight="1">
      <c r="A1061" s="148">
        <v>46142.0</v>
      </c>
      <c r="B1061" s="110" t="s">
        <v>2434</v>
      </c>
      <c r="C1061" s="106">
        <v>1.0</v>
      </c>
      <c r="D1061" s="149" t="str">
        <f>_xlfn.XLOOKUP(B1061,[1]FullDataList!F:F,[1]FullDataList!O:O)</f>
        <v>#ERROR!</v>
      </c>
      <c r="E1061" s="110" t="s">
        <v>4043</v>
      </c>
      <c r="H1061" s="138"/>
      <c r="J1061" s="138"/>
    </row>
    <row r="1062" ht="15.75" customHeight="1">
      <c r="A1062" s="148">
        <v>46142.0</v>
      </c>
      <c r="B1062" s="110" t="s">
        <v>2447</v>
      </c>
      <c r="C1062" s="106">
        <v>1.0</v>
      </c>
      <c r="D1062" s="149" t="str">
        <f>_xlfn.XLOOKUP(B1062,[1]FullDataList!F:F,[1]FullDataList!O:O)</f>
        <v>#ERROR!</v>
      </c>
      <c r="E1062" s="110" t="s">
        <v>4063</v>
      </c>
      <c r="H1062" s="138"/>
      <c r="J1062" s="138"/>
    </row>
    <row r="1063" ht="15.75" customHeight="1">
      <c r="A1063" s="148">
        <v>46142.0</v>
      </c>
      <c r="B1063" s="110" t="s">
        <v>2404</v>
      </c>
      <c r="C1063" s="106">
        <v>1.0</v>
      </c>
      <c r="D1063" s="149" t="str">
        <f>_xlfn.XLOOKUP(B1063,[1]FullDataList!F:F,[1]FullDataList!O:O)</f>
        <v>#ERROR!</v>
      </c>
      <c r="E1063" s="110" t="s">
        <v>4055</v>
      </c>
      <c r="H1063" s="138"/>
      <c r="J1063" s="138"/>
    </row>
    <row r="1064" ht="15.75" customHeight="1">
      <c r="A1064" s="148">
        <v>46142.0</v>
      </c>
      <c r="B1064" s="110" t="s">
        <v>699</v>
      </c>
      <c r="C1064" s="106">
        <v>1.0</v>
      </c>
      <c r="D1064" s="149" t="str">
        <f>_xlfn.XLOOKUP(B1064,[1]FullDataList!F:F,[1]FullDataList!O:O)</f>
        <v>#ERROR!</v>
      </c>
      <c r="E1064" s="110" t="s">
        <v>4013</v>
      </c>
      <c r="H1064" s="138"/>
      <c r="J1064" s="138"/>
    </row>
    <row r="1065" ht="15.75" customHeight="1">
      <c r="A1065" s="148">
        <v>46142.0</v>
      </c>
      <c r="B1065" s="110" t="s">
        <v>911</v>
      </c>
      <c r="C1065" s="106">
        <v>1.0</v>
      </c>
      <c r="D1065" s="149" t="str">
        <f>_xlfn.XLOOKUP(B1065,[1]FullDataList!F:F,[1]FullDataList!O:O)</f>
        <v>#ERROR!</v>
      </c>
      <c r="E1065" s="110" t="s">
        <v>4056</v>
      </c>
      <c r="H1065" s="138"/>
      <c r="J1065" s="138"/>
    </row>
    <row r="1066" ht="15.75" customHeight="1">
      <c r="A1066" s="148">
        <v>46142.0</v>
      </c>
      <c r="B1066" s="110" t="s">
        <v>326</v>
      </c>
      <c r="C1066" s="106">
        <v>1.0</v>
      </c>
      <c r="D1066" s="149" t="str">
        <f>_xlfn.XLOOKUP(B1066,[1]FullDataList!F:F,[1]FullDataList!O:O)</f>
        <v>#ERROR!</v>
      </c>
      <c r="E1066" s="110" t="s">
        <v>4057</v>
      </c>
      <c r="H1066" s="138"/>
      <c r="J1066" s="138"/>
    </row>
    <row r="1067" ht="15.75" customHeight="1">
      <c r="A1067" s="148">
        <v>46142.0</v>
      </c>
      <c r="B1067" s="110" t="s">
        <v>295</v>
      </c>
      <c r="C1067" s="106">
        <v>1.0</v>
      </c>
      <c r="D1067" s="149" t="str">
        <f>_xlfn.XLOOKUP(B1067,[1]FullDataList!F:F,[1]FullDataList!O:O)</f>
        <v>#ERROR!</v>
      </c>
      <c r="E1067" s="110" t="s">
        <v>4008</v>
      </c>
      <c r="H1067" s="138"/>
      <c r="J1067" s="138"/>
    </row>
    <row r="1068" ht="15.75" customHeight="1">
      <c r="A1068" s="148">
        <v>46142.0</v>
      </c>
      <c r="B1068" s="110" t="s">
        <v>1939</v>
      </c>
      <c r="C1068" s="106">
        <v>1.0</v>
      </c>
      <c r="D1068" s="149" t="str">
        <f>_xlfn.XLOOKUP(B1068,[1]FullDataList!F:F,[1]FullDataList!O:O)</f>
        <v>#ERROR!</v>
      </c>
      <c r="E1068" s="110" t="s">
        <v>4039</v>
      </c>
      <c r="H1068" s="138"/>
      <c r="J1068" s="138"/>
    </row>
    <row r="1069" ht="15.75" customHeight="1">
      <c r="A1069" s="148">
        <v>46142.0</v>
      </c>
      <c r="B1069" s="110" t="s">
        <v>1934</v>
      </c>
      <c r="C1069" s="106">
        <v>1.0</v>
      </c>
      <c r="D1069" s="149" t="str">
        <f>_xlfn.XLOOKUP(B1069,[1]FullDataList!F:F,[1]FullDataList!O:O)</f>
        <v>#ERROR!</v>
      </c>
      <c r="E1069" s="110" t="s">
        <v>4012</v>
      </c>
      <c r="H1069" s="138"/>
      <c r="J1069" s="138"/>
    </row>
    <row r="1070" ht="15.75" customHeight="1">
      <c r="A1070" s="148">
        <v>46142.0</v>
      </c>
      <c r="B1070" s="110" t="s">
        <v>286</v>
      </c>
      <c r="C1070" s="106">
        <v>1.0</v>
      </c>
      <c r="D1070" s="149" t="str">
        <f>_xlfn.XLOOKUP(B1070,[1]FullDataList!F:F,[1]FullDataList!O:O)</f>
        <v>#ERROR!</v>
      </c>
      <c r="E1070" s="110" t="s">
        <v>4041</v>
      </c>
      <c r="H1070" s="138"/>
      <c r="J1070" s="138"/>
    </row>
    <row r="1071" ht="15.75" customHeight="1">
      <c r="A1071" s="148">
        <v>46142.0</v>
      </c>
      <c r="B1071" s="110" t="s">
        <v>345</v>
      </c>
      <c r="C1071" s="106">
        <v>1.0</v>
      </c>
      <c r="D1071" s="149" t="str">
        <f>_xlfn.XLOOKUP(B1071,[1]FullDataList!F:F,[1]FullDataList!O:O)</f>
        <v>#ERROR!</v>
      </c>
      <c r="E1071" s="110" t="s">
        <v>4058</v>
      </c>
      <c r="H1071" s="138"/>
      <c r="J1071" s="138"/>
    </row>
    <row r="1072" ht="15.75" customHeight="1">
      <c r="A1072" s="148">
        <v>46142.0</v>
      </c>
      <c r="B1072" s="110" t="s">
        <v>685</v>
      </c>
      <c r="C1072" s="106">
        <v>1.0</v>
      </c>
      <c r="D1072" s="149" t="str">
        <f>_xlfn.XLOOKUP(B1072,[1]FullDataList!F:F,[1]FullDataList!O:O)</f>
        <v>#ERROR!</v>
      </c>
      <c r="E1072" s="110" t="s">
        <v>4011</v>
      </c>
      <c r="H1072" s="138"/>
      <c r="J1072" s="138"/>
    </row>
    <row r="1073" ht="15.75" customHeight="1">
      <c r="A1073" s="148">
        <v>46142.0</v>
      </c>
      <c r="B1073" s="110" t="s">
        <v>2363</v>
      </c>
      <c r="C1073" s="106">
        <v>1.0</v>
      </c>
      <c r="D1073" s="149" t="str">
        <f>_xlfn.XLOOKUP(B1073,[1]FullDataList!F:F,[1]FullDataList!O:O)</f>
        <v>#ERROR!</v>
      </c>
      <c r="E1073" s="110" t="s">
        <v>4003</v>
      </c>
      <c r="H1073" s="138"/>
      <c r="J1073" s="138"/>
    </row>
    <row r="1074" ht="15.75" customHeight="1">
      <c r="A1074" s="148">
        <v>46142.0</v>
      </c>
      <c r="B1074" s="110" t="s">
        <v>318</v>
      </c>
      <c r="C1074" s="106">
        <v>1.0</v>
      </c>
      <c r="D1074" s="149" t="str">
        <f>_xlfn.XLOOKUP(B1074,[1]FullDataList!F:F,[1]FullDataList!O:O)</f>
        <v>#ERROR!</v>
      </c>
      <c r="E1074" s="110" t="s">
        <v>4025</v>
      </c>
      <c r="H1074" s="138"/>
      <c r="J1074" s="138"/>
    </row>
    <row r="1075" ht="15.75" customHeight="1">
      <c r="A1075" s="148">
        <v>46142.0</v>
      </c>
      <c r="B1075" s="110" t="s">
        <v>905</v>
      </c>
      <c r="C1075" s="106">
        <v>1.0</v>
      </c>
      <c r="D1075" s="149" t="str">
        <f>_xlfn.XLOOKUP(B1075,[1]FullDataList!F:F,[1]FullDataList!O:O)</f>
        <v>#ERROR!</v>
      </c>
      <c r="E1075" s="110" t="s">
        <v>4066</v>
      </c>
      <c r="H1075" s="138"/>
      <c r="J1075" s="138"/>
    </row>
    <row r="1076" ht="15.75" customHeight="1">
      <c r="A1076" s="148">
        <v>46143.0</v>
      </c>
      <c r="B1076" s="110" t="s">
        <v>312</v>
      </c>
      <c r="C1076" s="106">
        <v>1.0</v>
      </c>
      <c r="D1076" s="149" t="str">
        <f>_xlfn.XLOOKUP(B1076,[1]FullDataList!F:F,[1]FullDataList!O:O)</f>
        <v>#ERROR!</v>
      </c>
      <c r="E1076" s="110" t="s">
        <v>4059</v>
      </c>
      <c r="H1076" s="138"/>
      <c r="J1076" s="138"/>
    </row>
    <row r="1077" ht="15.75" customHeight="1">
      <c r="A1077" s="148">
        <v>46143.0</v>
      </c>
      <c r="B1077" s="110" t="s">
        <v>414</v>
      </c>
      <c r="C1077" s="106">
        <v>1.0</v>
      </c>
      <c r="D1077" s="149" t="str">
        <f>_xlfn.XLOOKUP(B1077,[1]FullDataList!F:F,[1]FullDataList!O:O)</f>
        <v>#ERROR!</v>
      </c>
      <c r="E1077" s="110" t="s">
        <v>4061</v>
      </c>
      <c r="H1077" s="138"/>
      <c r="J1077" s="138"/>
    </row>
    <row r="1078" ht="15.75" customHeight="1">
      <c r="A1078" s="148">
        <v>46143.0</v>
      </c>
      <c r="B1078" s="110" t="s">
        <v>436</v>
      </c>
      <c r="C1078" s="106">
        <v>1.0</v>
      </c>
      <c r="D1078" s="149" t="str">
        <f>_xlfn.XLOOKUP(B1078,[1]FullDataList!F:F,[1]FullDataList!O:O)</f>
        <v>#ERROR!</v>
      </c>
      <c r="E1078" s="110" t="s">
        <v>4064</v>
      </c>
      <c r="H1078" s="138"/>
      <c r="J1078" s="138"/>
    </row>
    <row r="1079" ht="15.75" customHeight="1">
      <c r="A1079" s="148">
        <v>46143.0</v>
      </c>
      <c r="B1079" s="110" t="s">
        <v>289</v>
      </c>
      <c r="C1079" s="106">
        <v>1.0</v>
      </c>
      <c r="D1079" s="149" t="str">
        <f>_xlfn.XLOOKUP(B1079,[1]FullDataList!F:F,[1]FullDataList!O:O)</f>
        <v>#ERROR!</v>
      </c>
      <c r="E1079" s="110" t="s">
        <v>4065</v>
      </c>
      <c r="H1079" s="138"/>
      <c r="J1079" s="138"/>
    </row>
    <row r="1080" ht="15.75" customHeight="1">
      <c r="A1080" s="148">
        <v>46143.0</v>
      </c>
      <c r="B1080" s="110" t="s">
        <v>1982</v>
      </c>
      <c r="C1080" s="106">
        <v>1.0</v>
      </c>
      <c r="D1080" s="149" t="str">
        <f>_xlfn.XLOOKUP(B1080,[1]FullDataList!F:F,[1]FullDataList!O:O)</f>
        <v>#ERROR!</v>
      </c>
      <c r="E1080" s="110" t="s">
        <v>4067</v>
      </c>
      <c r="H1080" s="138"/>
      <c r="J1080" s="138"/>
    </row>
    <row r="1081" ht="15.75" customHeight="1">
      <c r="A1081" s="148">
        <v>46143.0</v>
      </c>
      <c r="B1081" s="110" t="s">
        <v>2240</v>
      </c>
      <c r="C1081" s="106">
        <v>1.0</v>
      </c>
      <c r="D1081" s="149" t="str">
        <f>_xlfn.XLOOKUP(B1081,[1]FullDataList!F:F,[1]FullDataList!O:O)</f>
        <v>#ERROR!</v>
      </c>
      <c r="E1081" s="110">
        <v>6.0</v>
      </c>
      <c r="H1081" s="138"/>
      <c r="J1081" s="138"/>
    </row>
    <row r="1082" ht="15.75" customHeight="1">
      <c r="A1082" s="148">
        <v>46143.0</v>
      </c>
      <c r="B1082" s="110" t="s">
        <v>272</v>
      </c>
      <c r="C1082" s="106">
        <v>1.0</v>
      </c>
      <c r="D1082" s="149" t="str">
        <f>_xlfn.XLOOKUP(B1082,[1]FullDataList!F:F,[1]FullDataList!O:O)</f>
        <v>#ERROR!</v>
      </c>
      <c r="E1082" s="110" t="s">
        <v>4026</v>
      </c>
      <c r="H1082" s="138"/>
      <c r="J1082" s="138"/>
    </row>
    <row r="1083" ht="15.75" customHeight="1">
      <c r="A1083" s="148">
        <v>46143.0</v>
      </c>
      <c r="B1083" s="110" t="s">
        <v>382</v>
      </c>
      <c r="C1083" s="106">
        <v>1.0</v>
      </c>
      <c r="D1083" s="149" t="str">
        <f>_xlfn.XLOOKUP(B1083,[1]FullDataList!F:F,[1]FullDataList!O:O)</f>
        <v>#ERROR!</v>
      </c>
      <c r="E1083" s="110" t="s">
        <v>4028</v>
      </c>
      <c r="H1083" s="138"/>
      <c r="J1083" s="138"/>
    </row>
    <row r="1084" ht="15.75" customHeight="1">
      <c r="A1084" s="148">
        <v>46143.0</v>
      </c>
      <c r="B1084" s="110" t="s">
        <v>2347</v>
      </c>
      <c r="C1084" s="106">
        <v>1.0</v>
      </c>
      <c r="D1084" s="149" t="str">
        <f>_xlfn.XLOOKUP(B1084,[1]FullDataList!F:F,[1]FullDataList!O:O)</f>
        <v>#ERROR!</v>
      </c>
      <c r="E1084" s="110" t="s">
        <v>4060</v>
      </c>
      <c r="H1084" s="138"/>
      <c r="J1084" s="138"/>
    </row>
    <row r="1085" ht="15.75" customHeight="1">
      <c r="A1085" s="148">
        <v>46143.0</v>
      </c>
      <c r="B1085" s="110" t="s">
        <v>370</v>
      </c>
      <c r="C1085" s="106">
        <v>1.0</v>
      </c>
      <c r="D1085" s="149" t="str">
        <f>_xlfn.XLOOKUP(B1085,[1]FullDataList!F:F,[1]FullDataList!O:O)</f>
        <v>#ERROR!</v>
      </c>
      <c r="E1085" s="110" t="s">
        <v>4038</v>
      </c>
      <c r="H1085" s="138"/>
      <c r="J1085" s="138"/>
    </row>
    <row r="1086" ht="15.75" customHeight="1">
      <c r="A1086" s="148">
        <v>46143.0</v>
      </c>
      <c r="B1086" s="110" t="s">
        <v>819</v>
      </c>
      <c r="C1086" s="106">
        <v>1.0</v>
      </c>
      <c r="D1086" s="149" t="str">
        <f>_xlfn.XLOOKUP(B1086,[1]FullDataList!F:F,[1]FullDataList!O:O)</f>
        <v>#ERROR!</v>
      </c>
      <c r="E1086" s="110" t="s">
        <v>4047</v>
      </c>
      <c r="H1086" s="138"/>
      <c r="J1086" s="138"/>
    </row>
    <row r="1087" ht="15.75" customHeight="1">
      <c r="A1087" s="148">
        <v>46143.0</v>
      </c>
      <c r="B1087" s="110" t="s">
        <v>836</v>
      </c>
      <c r="C1087" s="106">
        <v>1.0</v>
      </c>
      <c r="D1087" s="149" t="str">
        <f>_xlfn.XLOOKUP(B1087,[1]FullDataList!F:F,[1]FullDataList!O:O)</f>
        <v>#ERROR!</v>
      </c>
      <c r="E1087" s="110" t="s">
        <v>4048</v>
      </c>
      <c r="H1087" s="138"/>
      <c r="J1087" s="138"/>
    </row>
    <row r="1088" ht="15.75" customHeight="1">
      <c r="A1088" s="148">
        <v>46143.0</v>
      </c>
      <c r="B1088" s="110" t="s">
        <v>1986</v>
      </c>
      <c r="C1088" s="106">
        <v>1.0</v>
      </c>
      <c r="D1088" s="149" t="str">
        <f>_xlfn.XLOOKUP(B1088,[1]FullDataList!F:F,[1]FullDataList!O:O)</f>
        <v>#ERROR!</v>
      </c>
      <c r="E1088" s="110" t="s">
        <v>4054</v>
      </c>
      <c r="H1088" s="138"/>
      <c r="J1088" s="138"/>
    </row>
    <row r="1089" ht="15.75" customHeight="1">
      <c r="A1089" s="148">
        <v>46143.0</v>
      </c>
      <c r="B1089" s="110" t="s">
        <v>2373</v>
      </c>
      <c r="C1089" s="106">
        <v>1.0</v>
      </c>
      <c r="D1089" s="149" t="str">
        <f>_xlfn.XLOOKUP(B1089,[1]FullDataList!F:F,[1]FullDataList!O:O)</f>
        <v>#ERROR!</v>
      </c>
      <c r="E1089" s="110" t="s">
        <v>4049</v>
      </c>
      <c r="H1089" s="138"/>
      <c r="J1089" s="138"/>
    </row>
    <row r="1090" ht="15.75" customHeight="1">
      <c r="A1090" s="148">
        <v>46143.0</v>
      </c>
      <c r="B1090" s="110" t="s">
        <v>2357</v>
      </c>
      <c r="C1090" s="106">
        <v>1.0</v>
      </c>
      <c r="D1090" s="149" t="str">
        <f>_xlfn.XLOOKUP(B1090,[1]FullDataList!F:F,[1]FullDataList!O:O)</f>
        <v>#ERROR!</v>
      </c>
      <c r="E1090" s="110" t="s">
        <v>4051</v>
      </c>
      <c r="H1090" s="138"/>
      <c r="J1090" s="138"/>
    </row>
    <row r="1091" ht="15.75" customHeight="1">
      <c r="A1091" s="148">
        <v>46143.0</v>
      </c>
      <c r="B1091" s="110" t="s">
        <v>2343</v>
      </c>
      <c r="C1091" s="106">
        <v>1.0</v>
      </c>
      <c r="D1091" s="149" t="str">
        <f>_xlfn.XLOOKUP(B1091,[1]FullDataList!F:F,[1]FullDataList!O:O)</f>
        <v>#ERROR!</v>
      </c>
      <c r="E1091" s="110" t="s">
        <v>4050</v>
      </c>
      <c r="H1091" s="138"/>
      <c r="J1091" s="138"/>
    </row>
    <row r="1092" ht="15.75" customHeight="1">
      <c r="A1092" s="148">
        <v>46143.0</v>
      </c>
      <c r="B1092" s="110" t="s">
        <v>347</v>
      </c>
      <c r="C1092" s="106">
        <v>1.0</v>
      </c>
      <c r="D1092" s="149" t="str">
        <f>_xlfn.XLOOKUP(B1092,[1]FullDataList!F:F,[1]FullDataList!O:O)</f>
        <v>#ERROR!</v>
      </c>
      <c r="E1092" s="110" t="s">
        <v>4052</v>
      </c>
      <c r="H1092" s="138"/>
      <c r="J1092" s="138"/>
    </row>
    <row r="1093" ht="15.75" customHeight="1">
      <c r="A1093" s="148">
        <v>46143.0</v>
      </c>
      <c r="B1093" s="110" t="s">
        <v>2491</v>
      </c>
      <c r="C1093" s="106">
        <v>1.0</v>
      </c>
      <c r="D1093" s="149" t="str">
        <f>_xlfn.XLOOKUP(B1093,[1]FullDataList!F:F,[1]FullDataList!O:O)</f>
        <v>#ERROR!</v>
      </c>
      <c r="E1093" s="110" t="s">
        <v>4053</v>
      </c>
      <c r="H1093" s="138"/>
      <c r="J1093" s="138"/>
    </row>
    <row r="1094" ht="15.75" customHeight="1">
      <c r="A1094" s="148">
        <v>46143.0</v>
      </c>
      <c r="B1094" s="110" t="s">
        <v>804</v>
      </c>
      <c r="C1094" s="106">
        <v>1.0</v>
      </c>
      <c r="D1094" s="149" t="str">
        <f>_xlfn.XLOOKUP(B1094,[1]FullDataList!F:F,[1]FullDataList!O:O)</f>
        <v>#ERROR!</v>
      </c>
      <c r="E1094" s="110" t="s">
        <v>4009</v>
      </c>
      <c r="H1094" s="138"/>
      <c r="J1094" s="138"/>
    </row>
    <row r="1095" ht="15.75" customHeight="1">
      <c r="A1095" s="148">
        <v>46143.0</v>
      </c>
      <c r="B1095" s="110" t="s">
        <v>2520</v>
      </c>
      <c r="C1095" s="106">
        <v>1.0</v>
      </c>
      <c r="D1095" s="149" t="str">
        <f>_xlfn.XLOOKUP(B1095,[1]FullDataList!F:F,[1]FullDataList!O:O)</f>
        <v>#ERROR!</v>
      </c>
      <c r="E1095" s="110" t="s">
        <v>4040</v>
      </c>
      <c r="H1095" s="138"/>
      <c r="J1095" s="138"/>
    </row>
    <row r="1096" ht="15.75" customHeight="1">
      <c r="A1096" s="148">
        <v>46143.0</v>
      </c>
      <c r="B1096" s="110" t="s">
        <v>292</v>
      </c>
      <c r="C1096" s="106">
        <v>1.0</v>
      </c>
      <c r="D1096" s="149" t="str">
        <f>_xlfn.XLOOKUP(B1096,[1]FullDataList!F:F,[1]FullDataList!O:O)</f>
        <v>#ERROR!</v>
      </c>
      <c r="E1096" s="110" t="s">
        <v>4032</v>
      </c>
      <c r="H1096" s="138"/>
      <c r="J1096" s="138"/>
    </row>
    <row r="1097" ht="15.75" customHeight="1">
      <c r="A1097" s="148">
        <v>46143.0</v>
      </c>
      <c r="B1097" s="110" t="s">
        <v>349</v>
      </c>
      <c r="C1097" s="106">
        <v>1.0</v>
      </c>
      <c r="D1097" s="149" t="str">
        <f>_xlfn.XLOOKUP(B1097,[1]FullDataList!F:F,[1]FullDataList!O:O)</f>
        <v>#ERROR!</v>
      </c>
      <c r="E1097" s="110" t="s">
        <v>4062</v>
      </c>
      <c r="H1097" s="138"/>
      <c r="J1097" s="138"/>
    </row>
    <row r="1098" ht="15.75" customHeight="1">
      <c r="A1098" s="148">
        <v>46143.0</v>
      </c>
      <c r="B1098" s="110" t="s">
        <v>335</v>
      </c>
      <c r="C1098" s="106">
        <v>1.0</v>
      </c>
      <c r="D1098" s="149" t="str">
        <f>_xlfn.XLOOKUP(B1098,[1]FullDataList!F:F,[1]FullDataList!O:O)</f>
        <v>#ERROR!</v>
      </c>
      <c r="E1098" s="110" t="s">
        <v>4017</v>
      </c>
      <c r="H1098" s="138"/>
      <c r="J1098" s="138"/>
    </row>
    <row r="1099" ht="15.75" customHeight="1">
      <c r="A1099" s="148">
        <v>46143.0</v>
      </c>
      <c r="B1099" s="110" t="s">
        <v>2510</v>
      </c>
      <c r="C1099" s="106">
        <v>1.0</v>
      </c>
      <c r="D1099" s="149" t="str">
        <f>_xlfn.XLOOKUP(B1099,[1]FullDataList!F:F,[1]FullDataList!O:O)</f>
        <v>#ERROR!</v>
      </c>
      <c r="E1099" s="110" t="s">
        <v>4027</v>
      </c>
      <c r="H1099" s="138"/>
      <c r="J1099" s="138"/>
    </row>
    <row r="1100" ht="15.75" customHeight="1">
      <c r="A1100" s="148">
        <v>46143.0</v>
      </c>
      <c r="B1100" s="110" t="s">
        <v>2579</v>
      </c>
      <c r="C1100" s="106">
        <v>1.0</v>
      </c>
      <c r="D1100" s="149" t="str">
        <f>_xlfn.XLOOKUP(B1100,[1]FullDataList!F:F,[1]FullDataList!O:O)</f>
        <v>#ERROR!</v>
      </c>
      <c r="E1100" s="110" t="s">
        <v>4063</v>
      </c>
      <c r="H1100" s="138"/>
      <c r="J1100" s="138"/>
    </row>
    <row r="1101" ht="15.75" customHeight="1">
      <c r="A1101" s="148">
        <v>46143.0</v>
      </c>
      <c r="B1101" s="110" t="s">
        <v>2428</v>
      </c>
      <c r="C1101" s="106">
        <v>1.0</v>
      </c>
      <c r="D1101" s="149" t="str">
        <f>_xlfn.XLOOKUP(B1101,[1]FullDataList!F:F,[1]FullDataList!O:O)</f>
        <v>#ERROR!</v>
      </c>
      <c r="E1101" s="110" t="s">
        <v>4055</v>
      </c>
      <c r="H1101" s="138"/>
      <c r="J1101" s="138"/>
    </row>
    <row r="1102" ht="15.75" customHeight="1">
      <c r="A1102" s="148">
        <v>46143.0</v>
      </c>
      <c r="B1102" s="110" t="s">
        <v>686</v>
      </c>
      <c r="C1102" s="106">
        <v>1.0</v>
      </c>
      <c r="D1102" s="149" t="str">
        <f>_xlfn.XLOOKUP(B1102,[1]FullDataList!F:F,[1]FullDataList!O:O)</f>
        <v>#ERROR!</v>
      </c>
      <c r="E1102" s="110" t="s">
        <v>4013</v>
      </c>
      <c r="H1102" s="138"/>
      <c r="J1102" s="138"/>
    </row>
    <row r="1103" ht="15.75" customHeight="1">
      <c r="A1103" s="148">
        <v>46143.0</v>
      </c>
      <c r="B1103" s="110" t="s">
        <v>912</v>
      </c>
      <c r="C1103" s="106">
        <v>1.0</v>
      </c>
      <c r="D1103" s="149" t="str">
        <f>_xlfn.XLOOKUP(B1103,[1]FullDataList!F:F,[1]FullDataList!O:O)</f>
        <v>#ERROR!</v>
      </c>
      <c r="E1103" s="110" t="s">
        <v>4056</v>
      </c>
      <c r="H1103" s="138"/>
      <c r="J1103" s="138"/>
    </row>
    <row r="1104" ht="15.75" customHeight="1">
      <c r="A1104" s="148">
        <v>46143.0</v>
      </c>
      <c r="B1104" s="110" t="s">
        <v>327</v>
      </c>
      <c r="C1104" s="106">
        <v>1.0</v>
      </c>
      <c r="D1104" s="149" t="str">
        <f>_xlfn.XLOOKUP(B1104,[1]FullDataList!F:F,[1]FullDataList!O:O)</f>
        <v>#ERROR!</v>
      </c>
      <c r="E1104" s="110" t="s">
        <v>4057</v>
      </c>
      <c r="H1104" s="138"/>
      <c r="J1104" s="138"/>
    </row>
    <row r="1105" ht="15.75" customHeight="1">
      <c r="A1105" s="148">
        <v>46143.0</v>
      </c>
      <c r="B1105" s="110" t="s">
        <v>314</v>
      </c>
      <c r="C1105" s="106">
        <v>1.0</v>
      </c>
      <c r="D1105" s="149" t="str">
        <f>_xlfn.XLOOKUP(B1105,[1]FullDataList!F:F,[1]FullDataList!O:O)</f>
        <v>#ERROR!</v>
      </c>
      <c r="E1105" s="110" t="s">
        <v>4008</v>
      </c>
      <c r="H1105" s="138"/>
      <c r="J1105" s="138"/>
    </row>
    <row r="1106" ht="15.75" customHeight="1">
      <c r="A1106" s="148">
        <v>46143.0</v>
      </c>
      <c r="B1106" s="110" t="s">
        <v>825</v>
      </c>
      <c r="C1106" s="106">
        <v>1.0</v>
      </c>
      <c r="D1106" s="149" t="str">
        <f>_xlfn.XLOOKUP(B1106,[1]FullDataList!F:F,[1]FullDataList!O:O)</f>
        <v>#ERROR!</v>
      </c>
      <c r="E1106" s="110" t="s">
        <v>4039</v>
      </c>
      <c r="H1106" s="138"/>
      <c r="J1106" s="138"/>
    </row>
    <row r="1107" ht="15.75" customHeight="1">
      <c r="A1107" s="148">
        <v>46143.0</v>
      </c>
      <c r="B1107" s="110" t="s">
        <v>416</v>
      </c>
      <c r="C1107" s="106">
        <v>1.0</v>
      </c>
      <c r="D1107" s="149" t="str">
        <f>_xlfn.XLOOKUP(B1107,[1]FullDataList!F:F,[1]FullDataList!O:O)</f>
        <v>#ERROR!</v>
      </c>
      <c r="E1107" s="110" t="s">
        <v>4012</v>
      </c>
      <c r="H1107" s="138"/>
      <c r="J1107" s="138"/>
    </row>
    <row r="1108" ht="15.75" customHeight="1">
      <c r="A1108" s="148">
        <v>46143.0</v>
      </c>
      <c r="B1108" s="110" t="s">
        <v>342</v>
      </c>
      <c r="C1108" s="106">
        <v>1.0</v>
      </c>
      <c r="D1108" s="149" t="str">
        <f>_xlfn.XLOOKUP(B1108,[1]FullDataList!F:F,[1]FullDataList!O:O)</f>
        <v>#ERROR!</v>
      </c>
      <c r="E1108" s="110" t="s">
        <v>4041</v>
      </c>
      <c r="H1108" s="138"/>
      <c r="J1108" s="138"/>
    </row>
    <row r="1109" ht="15.75" customHeight="1">
      <c r="A1109" s="148">
        <v>46143.0</v>
      </c>
      <c r="B1109" s="110" t="s">
        <v>2418</v>
      </c>
      <c r="C1109" s="106">
        <v>1.0</v>
      </c>
      <c r="D1109" s="149" t="str">
        <f>_xlfn.XLOOKUP(B1109,[1]FullDataList!F:F,[1]FullDataList!O:O)</f>
        <v>#ERROR!</v>
      </c>
      <c r="E1109" s="110" t="s">
        <v>4058</v>
      </c>
      <c r="H1109" s="138"/>
      <c r="J1109" s="138"/>
    </row>
    <row r="1110" ht="15.75" customHeight="1">
      <c r="A1110" s="148">
        <v>46143.0</v>
      </c>
      <c r="B1110" s="110" t="s">
        <v>684</v>
      </c>
      <c r="C1110" s="106">
        <v>1.0</v>
      </c>
      <c r="D1110" s="149" t="str">
        <f>_xlfn.XLOOKUP(B1110,[1]FullDataList!F:F,[1]FullDataList!O:O)</f>
        <v>#ERROR!</v>
      </c>
      <c r="E1110" s="110" t="s">
        <v>4011</v>
      </c>
      <c r="H1110" s="138"/>
      <c r="J1110" s="138"/>
    </row>
    <row r="1111" ht="15.75" customHeight="1">
      <c r="A1111" s="148">
        <v>46143.0</v>
      </c>
      <c r="B1111" s="110" t="s">
        <v>2364</v>
      </c>
      <c r="C1111" s="106">
        <v>1.0</v>
      </c>
      <c r="D1111" s="149" t="str">
        <f>_xlfn.XLOOKUP(B1111,[1]FullDataList!F:F,[1]FullDataList!O:O)</f>
        <v>#ERROR!</v>
      </c>
      <c r="E1111" s="110" t="s">
        <v>4003</v>
      </c>
      <c r="H1111" s="138"/>
      <c r="J1111" s="138"/>
    </row>
    <row r="1112" ht="15.75" customHeight="1">
      <c r="A1112" s="148">
        <v>46143.0</v>
      </c>
      <c r="B1112" s="110" t="s">
        <v>274</v>
      </c>
      <c r="C1112" s="106">
        <v>1.0</v>
      </c>
      <c r="D1112" s="149" t="str">
        <f>_xlfn.XLOOKUP(B1112,[1]FullDataList!F:F,[1]FullDataList!O:O)</f>
        <v>#ERROR!</v>
      </c>
      <c r="E1112" s="110" t="s">
        <v>4025</v>
      </c>
      <c r="H1112" s="138"/>
      <c r="J1112" s="138"/>
    </row>
    <row r="1113" ht="15.75" customHeight="1">
      <c r="A1113" s="148">
        <v>46143.0</v>
      </c>
      <c r="B1113" s="110" t="s">
        <v>1914</v>
      </c>
      <c r="C1113" s="106">
        <v>1.0</v>
      </c>
      <c r="D1113" s="149" t="str">
        <f>_xlfn.XLOOKUP(B1113,[1]FullDataList!F:F,[1]FullDataList!O:O)</f>
        <v>#ERROR!</v>
      </c>
      <c r="E1113" s="110" t="s">
        <v>4066</v>
      </c>
      <c r="H1113" s="138"/>
      <c r="J1113" s="138"/>
    </row>
    <row r="1114" ht="15.75" customHeight="1">
      <c r="A1114" s="148">
        <v>46144.0</v>
      </c>
      <c r="B1114" s="110" t="s">
        <v>313</v>
      </c>
      <c r="C1114" s="106">
        <v>1.0</v>
      </c>
      <c r="D1114" s="149" t="str">
        <f>_xlfn.XLOOKUP(B1114,[1]FullDataList!F:F,[1]FullDataList!O:O)</f>
        <v>#ERROR!</v>
      </c>
      <c r="E1114" s="110" t="s">
        <v>4059</v>
      </c>
      <c r="H1114" s="138"/>
      <c r="J1114" s="138"/>
    </row>
    <row r="1115" ht="15.75" customHeight="1">
      <c r="A1115" s="148">
        <v>46144.0</v>
      </c>
      <c r="B1115" s="110" t="s">
        <v>258</v>
      </c>
      <c r="C1115" s="106">
        <v>1.0</v>
      </c>
      <c r="D1115" s="149" t="str">
        <f>_xlfn.XLOOKUP(B1115,[1]FullDataList!F:F,[1]FullDataList!O:O)</f>
        <v>#ERROR!</v>
      </c>
      <c r="E1115" s="110" t="s">
        <v>4061</v>
      </c>
      <c r="H1115" s="138"/>
      <c r="J1115" s="138"/>
    </row>
    <row r="1116" ht="15.75" customHeight="1">
      <c r="A1116" s="148">
        <v>46144.0</v>
      </c>
      <c r="B1116" s="110" t="s">
        <v>2049</v>
      </c>
      <c r="C1116" s="106">
        <v>1.0</v>
      </c>
      <c r="D1116" s="149" t="str">
        <f>_xlfn.XLOOKUP(B1116,[1]FullDataList!F:F,[1]FullDataList!O:O)</f>
        <v>#ERROR!</v>
      </c>
      <c r="E1116" s="110" t="s">
        <v>4064</v>
      </c>
      <c r="H1116" s="138"/>
      <c r="J1116" s="138"/>
    </row>
    <row r="1117" ht="15.75" customHeight="1">
      <c r="A1117" s="148">
        <v>46144.0</v>
      </c>
      <c r="B1117" s="110" t="s">
        <v>330</v>
      </c>
      <c r="C1117" s="106">
        <v>1.0</v>
      </c>
      <c r="D1117" s="149" t="str">
        <f>_xlfn.XLOOKUP(B1117,[1]FullDataList!F:F,[1]FullDataList!O:O)</f>
        <v>#ERROR!</v>
      </c>
      <c r="E1117" s="110" t="s">
        <v>4065</v>
      </c>
      <c r="H1117" s="138"/>
      <c r="J1117" s="138"/>
    </row>
    <row r="1118" ht="15.75" customHeight="1">
      <c r="A1118" s="148">
        <v>46144.0</v>
      </c>
      <c r="B1118" s="110" t="s">
        <v>1983</v>
      </c>
      <c r="C1118" s="106">
        <v>1.0</v>
      </c>
      <c r="D1118" s="149" t="str">
        <f>_xlfn.XLOOKUP(B1118,[1]FullDataList!F:F,[1]FullDataList!O:O)</f>
        <v>#ERROR!</v>
      </c>
      <c r="E1118" s="110" t="s">
        <v>4067</v>
      </c>
      <c r="H1118" s="138"/>
      <c r="J1118" s="138"/>
    </row>
    <row r="1119" ht="15.75" customHeight="1">
      <c r="A1119" s="148">
        <v>46144.0</v>
      </c>
      <c r="B1119" s="110" t="s">
        <v>2214</v>
      </c>
      <c r="C1119" s="106">
        <v>1.0</v>
      </c>
      <c r="D1119" s="149" t="str">
        <f>_xlfn.XLOOKUP(B1119,[1]FullDataList!F:F,[1]FullDataList!O:O)</f>
        <v>#ERROR!</v>
      </c>
      <c r="E1119" s="110">
        <v>6.0</v>
      </c>
      <c r="H1119" s="138"/>
      <c r="J1119" s="138"/>
    </row>
    <row r="1120" ht="15.75" customHeight="1">
      <c r="A1120" s="148">
        <v>46144.0</v>
      </c>
      <c r="B1120" s="110" t="s">
        <v>273</v>
      </c>
      <c r="C1120" s="106">
        <v>1.0</v>
      </c>
      <c r="D1120" s="149" t="str">
        <f>_xlfn.XLOOKUP(B1120,[1]FullDataList!F:F,[1]FullDataList!O:O)</f>
        <v>#ERROR!</v>
      </c>
      <c r="E1120" s="110" t="s">
        <v>4026</v>
      </c>
      <c r="H1120" s="138"/>
      <c r="J1120" s="138"/>
    </row>
    <row r="1121" ht="15.75" customHeight="1">
      <c r="A1121" s="148">
        <v>46144.0</v>
      </c>
      <c r="B1121" s="110" t="s">
        <v>383</v>
      </c>
      <c r="C1121" s="106">
        <v>1.0</v>
      </c>
      <c r="D1121" s="149" t="str">
        <f>_xlfn.XLOOKUP(B1121,[1]FullDataList!F:F,[1]FullDataList!O:O)</f>
        <v>#ERROR!</v>
      </c>
      <c r="E1121" s="110" t="s">
        <v>4028</v>
      </c>
      <c r="H1121" s="138"/>
      <c r="J1121" s="138"/>
    </row>
    <row r="1122" ht="15.75" customHeight="1">
      <c r="A1122" s="148">
        <v>46144.0</v>
      </c>
      <c r="B1122" s="110" t="s">
        <v>2683</v>
      </c>
      <c r="C1122" s="106">
        <v>1.0</v>
      </c>
      <c r="D1122" s="149" t="str">
        <f>_xlfn.XLOOKUP(B1122,[1]FullDataList!F:F,[1]FullDataList!O:O)</f>
        <v>#ERROR!</v>
      </c>
      <c r="E1122" s="110" t="s">
        <v>4060</v>
      </c>
      <c r="H1122" s="138"/>
      <c r="J1122" s="138"/>
    </row>
    <row r="1123" ht="15.75" customHeight="1">
      <c r="A1123" s="148">
        <v>46144.0</v>
      </c>
      <c r="B1123" s="110" t="s">
        <v>2516</v>
      </c>
      <c r="C1123" s="106">
        <v>1.0</v>
      </c>
      <c r="D1123" s="149" t="str">
        <f>_xlfn.XLOOKUP(B1123,[1]FullDataList!F:F,[1]FullDataList!O:O)</f>
        <v>#ERROR!</v>
      </c>
      <c r="E1123" s="110" t="s">
        <v>4038</v>
      </c>
      <c r="H1123" s="138"/>
      <c r="J1123" s="138"/>
    </row>
    <row r="1124" ht="15.75" customHeight="1">
      <c r="A1124" s="148">
        <v>46144.0</v>
      </c>
      <c r="B1124" s="110" t="s">
        <v>1987</v>
      </c>
      <c r="C1124" s="106">
        <v>1.0</v>
      </c>
      <c r="D1124" s="149" t="str">
        <f>_xlfn.XLOOKUP(B1124,[1]FullDataList!F:F,[1]FullDataList!O:O)</f>
        <v>#ERROR!</v>
      </c>
      <c r="E1124" s="110" t="s">
        <v>4054</v>
      </c>
      <c r="H1124" s="138"/>
      <c r="J1124" s="138"/>
    </row>
    <row r="1125" ht="15.75" customHeight="1">
      <c r="A1125" s="148">
        <v>46144.0</v>
      </c>
      <c r="B1125" s="110" t="s">
        <v>2374</v>
      </c>
      <c r="C1125" s="106">
        <v>1.0</v>
      </c>
      <c r="D1125" s="149" t="str">
        <f>_xlfn.XLOOKUP(B1125,[1]FullDataList!F:F,[1]FullDataList!O:O)</f>
        <v>#ERROR!</v>
      </c>
      <c r="E1125" s="110" t="s">
        <v>4049</v>
      </c>
      <c r="H1125" s="138"/>
      <c r="J1125" s="138"/>
    </row>
    <row r="1126" ht="15.75" customHeight="1">
      <c r="A1126" s="148">
        <v>46144.0</v>
      </c>
      <c r="B1126" s="110" t="s">
        <v>2358</v>
      </c>
      <c r="C1126" s="106">
        <v>1.0</v>
      </c>
      <c r="D1126" s="149" t="str">
        <f>_xlfn.XLOOKUP(B1126,[1]FullDataList!F:F,[1]FullDataList!O:O)</f>
        <v>#ERROR!</v>
      </c>
      <c r="E1126" s="110" t="s">
        <v>4051</v>
      </c>
      <c r="H1126" s="138"/>
      <c r="J1126" s="138"/>
    </row>
    <row r="1127" ht="15.75" customHeight="1">
      <c r="A1127" s="148">
        <v>46144.0</v>
      </c>
      <c r="B1127" s="110" t="s">
        <v>1859</v>
      </c>
      <c r="C1127" s="106">
        <v>1.0</v>
      </c>
      <c r="D1127" s="149" t="str">
        <f>_xlfn.XLOOKUP(B1127,[1]FullDataList!F:F,[1]FullDataList!O:O)</f>
        <v>#ERROR!</v>
      </c>
      <c r="E1127" s="110" t="s">
        <v>4050</v>
      </c>
      <c r="H1127" s="138"/>
      <c r="J1127" s="138"/>
    </row>
    <row r="1128" ht="15.75" customHeight="1">
      <c r="A1128" s="148">
        <v>46144.0</v>
      </c>
      <c r="B1128" s="110" t="s">
        <v>2561</v>
      </c>
      <c r="C1128" s="106">
        <v>1.0</v>
      </c>
      <c r="D1128" s="149" t="str">
        <f>_xlfn.XLOOKUP(B1128,[1]FullDataList!F:F,[1]FullDataList!O:O)</f>
        <v>#ERROR!</v>
      </c>
      <c r="E1128" s="110" t="s">
        <v>4052</v>
      </c>
      <c r="H1128" s="138"/>
      <c r="J1128" s="138"/>
    </row>
    <row r="1129" ht="15.75" customHeight="1">
      <c r="A1129" s="148">
        <v>46144.0</v>
      </c>
      <c r="B1129" s="110" t="s">
        <v>2492</v>
      </c>
      <c r="C1129" s="106">
        <v>1.0</v>
      </c>
      <c r="D1129" s="149" t="str">
        <f>_xlfn.XLOOKUP(B1129,[1]FullDataList!F:F,[1]FullDataList!O:O)</f>
        <v>#ERROR!</v>
      </c>
      <c r="E1129" s="110" t="s">
        <v>4053</v>
      </c>
      <c r="H1129" s="138"/>
      <c r="J1129" s="138"/>
    </row>
    <row r="1130" ht="15.75" customHeight="1">
      <c r="A1130" s="148">
        <v>46144.0</v>
      </c>
      <c r="B1130" s="110" t="s">
        <v>2354</v>
      </c>
      <c r="C1130" s="106">
        <v>1.0</v>
      </c>
      <c r="D1130" s="149" t="str">
        <f>_xlfn.XLOOKUP(B1130,[1]FullDataList!F:F,[1]FullDataList!O:O)</f>
        <v>#ERROR!</v>
      </c>
      <c r="E1130" s="110" t="s">
        <v>4004</v>
      </c>
      <c r="H1130" s="138"/>
      <c r="J1130" s="138"/>
    </row>
    <row r="1131" ht="15.75" customHeight="1">
      <c r="A1131" s="148">
        <v>46144.0</v>
      </c>
      <c r="B1131" s="110" t="s">
        <v>467</v>
      </c>
      <c r="C1131" s="106">
        <v>1.0</v>
      </c>
      <c r="D1131" s="149" t="str">
        <f>_xlfn.XLOOKUP(B1131,[1]FullDataList!F:F,[1]FullDataList!O:O)</f>
        <v>#ERROR!</v>
      </c>
      <c r="E1131" s="110" t="s">
        <v>4040</v>
      </c>
      <c r="H1131" s="138"/>
      <c r="J1131" s="138"/>
    </row>
    <row r="1132" ht="15.75" customHeight="1">
      <c r="A1132" s="148">
        <v>46144.0</v>
      </c>
      <c r="B1132" s="110" t="s">
        <v>293</v>
      </c>
      <c r="C1132" s="106">
        <v>1.0</v>
      </c>
      <c r="D1132" s="149" t="str">
        <f>_xlfn.XLOOKUP(B1132,[1]FullDataList!F:F,[1]FullDataList!O:O)</f>
        <v>#ERROR!</v>
      </c>
      <c r="E1132" s="110" t="s">
        <v>4032</v>
      </c>
      <c r="H1132" s="138"/>
      <c r="J1132" s="138"/>
    </row>
    <row r="1133" ht="15.75" customHeight="1">
      <c r="A1133" s="148">
        <v>46144.0</v>
      </c>
      <c r="B1133" s="110" t="s">
        <v>350</v>
      </c>
      <c r="C1133" s="106">
        <v>1.0</v>
      </c>
      <c r="D1133" s="149" t="str">
        <f>_xlfn.XLOOKUP(B1133,[1]FullDataList!F:F,[1]FullDataList!O:O)</f>
        <v>#ERROR!</v>
      </c>
      <c r="E1133" s="110" t="s">
        <v>4062</v>
      </c>
      <c r="H1133" s="138"/>
      <c r="J1133" s="138"/>
    </row>
    <row r="1134" ht="15.75" customHeight="1">
      <c r="A1134" s="148">
        <v>46144.0</v>
      </c>
      <c r="B1134" s="110" t="s">
        <v>1535</v>
      </c>
      <c r="C1134" s="106">
        <v>1.0</v>
      </c>
      <c r="D1134" s="149" t="str">
        <f>_xlfn.XLOOKUP(B1134,[1]FullDataList!F:F,[1]FullDataList!O:O)</f>
        <v>#ERROR!</v>
      </c>
      <c r="E1134" s="110" t="s">
        <v>4044</v>
      </c>
      <c r="H1134" s="138"/>
      <c r="J1134" s="138"/>
    </row>
    <row r="1135" ht="15.75" customHeight="1">
      <c r="A1135" s="148">
        <v>46144.0</v>
      </c>
      <c r="B1135" s="110" t="s">
        <v>2430</v>
      </c>
      <c r="C1135" s="106">
        <v>1.0</v>
      </c>
      <c r="D1135" s="149" t="str">
        <f>_xlfn.XLOOKUP(B1135,[1]FullDataList!F:F,[1]FullDataList!O:O)</f>
        <v>#ERROR!</v>
      </c>
      <c r="E1135" s="110" t="s">
        <v>4017</v>
      </c>
      <c r="H1135" s="138"/>
      <c r="J1135" s="138"/>
    </row>
    <row r="1136" ht="15.75" customHeight="1">
      <c r="A1136" s="148">
        <v>46144.0</v>
      </c>
      <c r="B1136" s="110" t="s">
        <v>2521</v>
      </c>
      <c r="C1136" s="106">
        <v>1.0</v>
      </c>
      <c r="D1136" s="149" t="str">
        <f>_xlfn.XLOOKUP(B1136,[1]FullDataList!F:F,[1]FullDataList!O:O)</f>
        <v>#ERROR!</v>
      </c>
      <c r="E1136" s="110" t="s">
        <v>4027</v>
      </c>
      <c r="H1136" s="138"/>
      <c r="J1136" s="138"/>
    </row>
    <row r="1137" ht="15.75" customHeight="1">
      <c r="A1137" s="148">
        <v>46144.0</v>
      </c>
      <c r="B1137" s="110" t="s">
        <v>2640</v>
      </c>
      <c r="C1137" s="106">
        <v>1.0</v>
      </c>
      <c r="D1137" s="149" t="str">
        <f>_xlfn.XLOOKUP(B1137,[1]FullDataList!F:F,[1]FullDataList!O:O)</f>
        <v>#ERROR!</v>
      </c>
      <c r="E1137" s="110" t="s">
        <v>4043</v>
      </c>
      <c r="H1137" s="138"/>
      <c r="J1137" s="138"/>
    </row>
    <row r="1138" ht="15.75" customHeight="1">
      <c r="A1138" s="148">
        <v>46144.0</v>
      </c>
      <c r="B1138" s="110" t="s">
        <v>2588</v>
      </c>
      <c r="C1138" s="106">
        <v>1.0</v>
      </c>
      <c r="D1138" s="149" t="str">
        <f>_xlfn.XLOOKUP(B1138,[1]FullDataList!F:F,[1]FullDataList!O:O)</f>
        <v>#ERROR!</v>
      </c>
      <c r="E1138" s="110" t="s">
        <v>4063</v>
      </c>
      <c r="H1138" s="138"/>
      <c r="J1138" s="138"/>
    </row>
    <row r="1139" ht="15.75" customHeight="1">
      <c r="A1139" s="148">
        <v>46144.0</v>
      </c>
      <c r="B1139" s="110" t="s">
        <v>2451</v>
      </c>
      <c r="C1139" s="106">
        <v>1.0</v>
      </c>
      <c r="D1139" s="149" t="str">
        <f>_xlfn.XLOOKUP(B1139,[1]FullDataList!F:F,[1]FullDataList!O:O)</f>
        <v>#ERROR!</v>
      </c>
      <c r="E1139" s="110" t="s">
        <v>4055</v>
      </c>
      <c r="H1139" s="138"/>
      <c r="J1139" s="138"/>
    </row>
    <row r="1140" ht="15.75" customHeight="1">
      <c r="A1140" s="148">
        <v>46144.0</v>
      </c>
      <c r="B1140" s="110" t="s">
        <v>504</v>
      </c>
      <c r="C1140" s="106">
        <v>1.0</v>
      </c>
      <c r="D1140" s="149" t="str">
        <f>_xlfn.XLOOKUP(B1140,[1]FullDataList!F:F,[1]FullDataList!O:O)</f>
        <v>#ERROR!</v>
      </c>
      <c r="E1140" s="110" t="s">
        <v>4013</v>
      </c>
      <c r="H1140" s="138"/>
      <c r="J1140" s="138"/>
    </row>
    <row r="1141" ht="15.75" customHeight="1">
      <c r="A1141" s="148">
        <v>46144.0</v>
      </c>
      <c r="B1141" s="110" t="s">
        <v>913</v>
      </c>
      <c r="C1141" s="106">
        <v>1.0</v>
      </c>
      <c r="D1141" s="149" t="str">
        <f>_xlfn.XLOOKUP(B1141,[1]FullDataList!F:F,[1]FullDataList!O:O)</f>
        <v>#ERROR!</v>
      </c>
      <c r="E1141" s="110" t="s">
        <v>4056</v>
      </c>
      <c r="H1141" s="138"/>
      <c r="J1141" s="138"/>
    </row>
    <row r="1142" ht="15.75" customHeight="1">
      <c r="A1142" s="148">
        <v>46144.0</v>
      </c>
      <c r="B1142" s="110" t="s">
        <v>306</v>
      </c>
      <c r="C1142" s="106">
        <v>1.0</v>
      </c>
      <c r="D1142" s="149" t="str">
        <f>_xlfn.XLOOKUP(B1142,[1]FullDataList!F:F,[1]FullDataList!O:O)</f>
        <v>#ERROR!</v>
      </c>
      <c r="E1142" s="110" t="s">
        <v>4057</v>
      </c>
      <c r="H1142" s="138"/>
      <c r="J1142" s="138"/>
    </row>
    <row r="1143" ht="15.75" customHeight="1">
      <c r="A1143" s="148">
        <v>46144.0</v>
      </c>
      <c r="B1143" s="110" t="s">
        <v>385</v>
      </c>
      <c r="C1143" s="106">
        <v>1.0</v>
      </c>
      <c r="D1143" s="149" t="str">
        <f>_xlfn.XLOOKUP(B1143,[1]FullDataList!F:F,[1]FullDataList!O:O)</f>
        <v>#ERROR!</v>
      </c>
      <c r="E1143" s="110" t="s">
        <v>4008</v>
      </c>
      <c r="H1143" s="138"/>
      <c r="J1143" s="138"/>
    </row>
    <row r="1144" ht="15.75" customHeight="1">
      <c r="A1144" s="148">
        <v>46144.0</v>
      </c>
      <c r="B1144" s="110" t="s">
        <v>805</v>
      </c>
      <c r="C1144" s="106">
        <v>1.0</v>
      </c>
      <c r="D1144" s="149" t="str">
        <f>_xlfn.XLOOKUP(B1144,[1]FullDataList!F:F,[1]FullDataList!O:O)</f>
        <v>#ERROR!</v>
      </c>
      <c r="E1144" s="110" t="s">
        <v>4039</v>
      </c>
      <c r="H1144" s="138"/>
      <c r="J1144" s="138"/>
    </row>
    <row r="1145" ht="15.75" customHeight="1">
      <c r="A1145" s="148">
        <v>46144.0</v>
      </c>
      <c r="B1145" s="110" t="s">
        <v>1926</v>
      </c>
      <c r="C1145" s="106">
        <v>1.0</v>
      </c>
      <c r="D1145" s="149" t="str">
        <f>_xlfn.XLOOKUP(B1145,[1]FullDataList!F:F,[1]FullDataList!O:O)</f>
        <v>#ERROR!</v>
      </c>
      <c r="E1145" s="110" t="s">
        <v>4012</v>
      </c>
      <c r="H1145" s="138"/>
      <c r="J1145" s="138"/>
    </row>
    <row r="1146" ht="15.75" customHeight="1">
      <c r="A1146" s="148">
        <v>46144.0</v>
      </c>
      <c r="B1146" s="110" t="s">
        <v>2044</v>
      </c>
      <c r="C1146" s="106">
        <v>1.0</v>
      </c>
      <c r="D1146" s="149" t="str">
        <f>_xlfn.XLOOKUP(B1146,[1]FullDataList!F:F,[1]FullDataList!O:O)</f>
        <v>#ERROR!</v>
      </c>
      <c r="E1146" s="110" t="s">
        <v>4041</v>
      </c>
      <c r="H1146" s="138"/>
      <c r="J1146" s="138"/>
    </row>
    <row r="1147" ht="15.75" customHeight="1">
      <c r="A1147" s="148">
        <v>46144.0</v>
      </c>
      <c r="B1147" s="110" t="s">
        <v>2419</v>
      </c>
      <c r="C1147" s="106">
        <v>1.0</v>
      </c>
      <c r="D1147" s="149" t="str">
        <f>_xlfn.XLOOKUP(B1147,[1]FullDataList!F:F,[1]FullDataList!O:O)</f>
        <v>#ERROR!</v>
      </c>
      <c r="E1147" s="110" t="s">
        <v>4058</v>
      </c>
      <c r="H1147" s="138"/>
      <c r="J1147" s="138"/>
    </row>
    <row r="1148" ht="15.75" customHeight="1">
      <c r="A1148" s="148">
        <v>46144.0</v>
      </c>
      <c r="B1148" s="110" t="s">
        <v>683</v>
      </c>
      <c r="C1148" s="106">
        <v>1.0</v>
      </c>
      <c r="D1148" s="149" t="str">
        <f>_xlfn.XLOOKUP(B1148,[1]FullDataList!F:F,[1]FullDataList!O:O)</f>
        <v>#ERROR!</v>
      </c>
      <c r="E1148" s="110" t="s">
        <v>4011</v>
      </c>
      <c r="H1148" s="138"/>
      <c r="J1148" s="138"/>
    </row>
    <row r="1149" ht="15.75" customHeight="1">
      <c r="A1149" s="148">
        <v>46144.0</v>
      </c>
      <c r="B1149" s="110" t="s">
        <v>2365</v>
      </c>
      <c r="C1149" s="106">
        <v>1.0</v>
      </c>
      <c r="D1149" s="149" t="str">
        <f>_xlfn.XLOOKUP(B1149,[1]FullDataList!F:F,[1]FullDataList!O:O)</f>
        <v>#ERROR!</v>
      </c>
      <c r="E1149" s="110" t="s">
        <v>4003</v>
      </c>
      <c r="H1149" s="138"/>
      <c r="J1149" s="138"/>
    </row>
    <row r="1150" ht="15.75" customHeight="1">
      <c r="A1150" s="148">
        <v>46144.0</v>
      </c>
      <c r="B1150" s="110" t="s">
        <v>309</v>
      </c>
      <c r="C1150" s="106">
        <v>1.0</v>
      </c>
      <c r="D1150" s="149" t="str">
        <f>_xlfn.XLOOKUP(B1150,[1]FullDataList!F:F,[1]FullDataList!O:O)</f>
        <v>#ERROR!</v>
      </c>
      <c r="E1150" s="110" t="s">
        <v>4025</v>
      </c>
      <c r="H1150" s="138"/>
      <c r="J1150" s="138"/>
    </row>
    <row r="1151" ht="15.75" customHeight="1">
      <c r="A1151" s="148">
        <v>46144.0</v>
      </c>
      <c r="B1151" s="110" t="s">
        <v>2076</v>
      </c>
      <c r="C1151" s="106">
        <v>1.0</v>
      </c>
      <c r="D1151" s="149" t="str">
        <f>_xlfn.XLOOKUP(B1151,[1]FullDataList!F:F,[1]FullDataList!O:O)</f>
        <v>#ERROR!</v>
      </c>
      <c r="E1151" s="110" t="s">
        <v>4066</v>
      </c>
      <c r="H1151" s="138"/>
      <c r="J1151" s="138"/>
    </row>
    <row r="1152" ht="15.75" customHeight="1">
      <c r="A1152" s="148">
        <v>46146.0</v>
      </c>
      <c r="B1152" s="110" t="s">
        <v>260</v>
      </c>
      <c r="C1152" s="106">
        <v>1.0</v>
      </c>
      <c r="D1152" s="149" t="str">
        <f>_xlfn.XLOOKUP(B1152,[1]FullDataList!F:F,[1]FullDataList!O:O)</f>
        <v>#ERROR!</v>
      </c>
      <c r="E1152" s="110" t="s">
        <v>4059</v>
      </c>
      <c r="H1152" s="138"/>
      <c r="J1152" s="138"/>
    </row>
    <row r="1153" ht="15.75" customHeight="1">
      <c r="A1153" s="148">
        <v>46146.0</v>
      </c>
      <c r="B1153" s="110" t="s">
        <v>259</v>
      </c>
      <c r="C1153" s="106">
        <v>1.0</v>
      </c>
      <c r="D1153" s="149" t="str">
        <f>_xlfn.XLOOKUP(B1153,[1]FullDataList!F:F,[1]FullDataList!O:O)</f>
        <v>#ERROR!</v>
      </c>
      <c r="E1153" s="110" t="s">
        <v>4061</v>
      </c>
      <c r="H1153" s="138"/>
      <c r="J1153" s="138"/>
    </row>
    <row r="1154" ht="15.75" customHeight="1">
      <c r="A1154" s="148">
        <v>46146.0</v>
      </c>
      <c r="B1154" s="110" t="s">
        <v>744</v>
      </c>
      <c r="C1154" s="106">
        <v>1.0</v>
      </c>
      <c r="D1154" s="149" t="str">
        <f>_xlfn.XLOOKUP(B1154,[1]FullDataList!F:F,[1]FullDataList!O:O)</f>
        <v>#ERROR!</v>
      </c>
      <c r="E1154" s="110" t="s">
        <v>4064</v>
      </c>
      <c r="H1154" s="138"/>
      <c r="J1154" s="138"/>
    </row>
    <row r="1155" ht="15.75" customHeight="1">
      <c r="A1155" s="148">
        <v>46146.0</v>
      </c>
      <c r="B1155" s="110" t="s">
        <v>331</v>
      </c>
      <c r="C1155" s="106">
        <v>1.0</v>
      </c>
      <c r="D1155" s="149" t="str">
        <f>_xlfn.XLOOKUP(B1155,[1]FullDataList!F:F,[1]FullDataList!O:O)</f>
        <v>#ERROR!</v>
      </c>
      <c r="E1155" s="110" t="s">
        <v>4065</v>
      </c>
      <c r="H1155" s="138"/>
      <c r="J1155" s="138"/>
    </row>
    <row r="1156" ht="15.75" customHeight="1">
      <c r="A1156" s="148">
        <v>46146.0</v>
      </c>
      <c r="B1156" s="110" t="s">
        <v>1984</v>
      </c>
      <c r="C1156" s="106">
        <v>1.0</v>
      </c>
      <c r="D1156" s="149" t="str">
        <f>_xlfn.XLOOKUP(B1156,[1]FullDataList!F:F,[1]FullDataList!O:O)</f>
        <v>#ERROR!</v>
      </c>
      <c r="E1156" s="110" t="s">
        <v>4067</v>
      </c>
      <c r="H1156" s="138"/>
      <c r="J1156" s="138"/>
    </row>
    <row r="1157" ht="15.75" customHeight="1">
      <c r="A1157" s="148">
        <v>46146.0</v>
      </c>
      <c r="B1157" s="110" t="s">
        <v>2186</v>
      </c>
      <c r="C1157" s="106">
        <v>1.0</v>
      </c>
      <c r="D1157" s="149" t="str">
        <f>_xlfn.XLOOKUP(B1157,[1]FullDataList!F:F,[1]FullDataList!O:O)</f>
        <v>#ERROR!</v>
      </c>
      <c r="E1157" s="110">
        <v>6.0</v>
      </c>
      <c r="H1157" s="138"/>
      <c r="J1157" s="138"/>
    </row>
    <row r="1158" ht="15.75" customHeight="1">
      <c r="A1158" s="148">
        <v>46146.0</v>
      </c>
      <c r="B1158" s="110" t="s">
        <v>2511</v>
      </c>
      <c r="C1158" s="106">
        <v>1.0</v>
      </c>
      <c r="D1158" s="149" t="str">
        <f>_xlfn.XLOOKUP(B1158,[1]FullDataList!F:F,[1]FullDataList!O:O)</f>
        <v>#ERROR!</v>
      </c>
      <c r="E1158" s="110" t="s">
        <v>4026</v>
      </c>
      <c r="H1158" s="138"/>
      <c r="J1158" s="138"/>
    </row>
    <row r="1159" ht="15.75" customHeight="1">
      <c r="A1159" s="148">
        <v>46146.0</v>
      </c>
      <c r="B1159" s="110" t="s">
        <v>384</v>
      </c>
      <c r="C1159" s="106">
        <v>1.0</v>
      </c>
      <c r="D1159" s="149" t="str">
        <f>_xlfn.XLOOKUP(B1159,[1]FullDataList!F:F,[1]FullDataList!O:O)</f>
        <v>#ERROR!</v>
      </c>
      <c r="E1159" s="110" t="s">
        <v>4028</v>
      </c>
      <c r="H1159" s="138"/>
      <c r="J1159" s="138"/>
    </row>
    <row r="1160" ht="15.75" customHeight="1">
      <c r="A1160" s="148">
        <v>46146.0</v>
      </c>
      <c r="B1160" s="110" t="s">
        <v>2684</v>
      </c>
      <c r="C1160" s="106">
        <v>1.0</v>
      </c>
      <c r="D1160" s="149" t="str">
        <f>_xlfn.XLOOKUP(B1160,[1]FullDataList!F:F,[1]FullDataList!O:O)</f>
        <v>#ERROR!</v>
      </c>
      <c r="E1160" s="110" t="s">
        <v>4060</v>
      </c>
      <c r="H1160" s="138"/>
      <c r="J1160" s="138"/>
    </row>
    <row r="1161" ht="15.75" customHeight="1">
      <c r="A1161" s="148">
        <v>46146.0</v>
      </c>
      <c r="B1161" s="110" t="s">
        <v>2529</v>
      </c>
      <c r="C1161" s="106">
        <v>1.0</v>
      </c>
      <c r="D1161" s="149" t="str">
        <f>_xlfn.XLOOKUP(B1161,[1]FullDataList!F:F,[1]FullDataList!O:O)</f>
        <v>#ERROR!</v>
      </c>
      <c r="E1161" s="110" t="s">
        <v>4038</v>
      </c>
      <c r="H1161" s="138"/>
      <c r="J1161" s="138"/>
    </row>
    <row r="1162" ht="15.75" customHeight="1">
      <c r="A1162" s="148">
        <v>46146.0</v>
      </c>
      <c r="B1162" s="110" t="s">
        <v>949</v>
      </c>
      <c r="C1162" s="106">
        <v>1.0</v>
      </c>
      <c r="D1162" s="149" t="str">
        <f>_xlfn.XLOOKUP(B1162,[1]FullDataList!F:F,[1]FullDataList!O:O)</f>
        <v>#ERROR!</v>
      </c>
      <c r="E1162" s="110" t="s">
        <v>4047</v>
      </c>
      <c r="H1162" s="138"/>
      <c r="J1162" s="138"/>
    </row>
    <row r="1163" ht="15.75" customHeight="1">
      <c r="A1163" s="148">
        <v>46146.0</v>
      </c>
      <c r="B1163" s="110" t="s">
        <v>852</v>
      </c>
      <c r="C1163" s="106">
        <v>1.0</v>
      </c>
      <c r="D1163" s="149" t="str">
        <f>_xlfn.XLOOKUP(B1163,[1]FullDataList!F:F,[1]FullDataList!O:O)</f>
        <v>#ERROR!</v>
      </c>
      <c r="E1163" s="110" t="s">
        <v>4048</v>
      </c>
      <c r="H1163" s="138"/>
      <c r="J1163" s="138"/>
    </row>
    <row r="1164" ht="15.75" customHeight="1">
      <c r="A1164" s="148">
        <v>46146.0</v>
      </c>
      <c r="B1164" s="110" t="s">
        <v>680</v>
      </c>
      <c r="C1164" s="106">
        <v>1.0</v>
      </c>
      <c r="D1164" s="149" t="str">
        <f>_xlfn.XLOOKUP(B1164,[1]FullDataList!F:F,[1]FullDataList!O:O)</f>
        <v>#ERROR!</v>
      </c>
      <c r="E1164" s="110" t="s">
        <v>4054</v>
      </c>
      <c r="H1164" s="138"/>
      <c r="J1164" s="138"/>
    </row>
    <row r="1165" ht="15.75" customHeight="1">
      <c r="A1165" s="148">
        <v>46146.0</v>
      </c>
      <c r="B1165" s="110" t="s">
        <v>2375</v>
      </c>
      <c r="C1165" s="106">
        <v>1.0</v>
      </c>
      <c r="D1165" s="149" t="str">
        <f>_xlfn.XLOOKUP(B1165,[1]FullDataList!F:F,[1]FullDataList!O:O)</f>
        <v>#ERROR!</v>
      </c>
      <c r="E1165" s="110" t="s">
        <v>4049</v>
      </c>
      <c r="H1165" s="138"/>
      <c r="J1165" s="138"/>
    </row>
    <row r="1166" ht="15.75" customHeight="1">
      <c r="A1166" s="148">
        <v>46146.0</v>
      </c>
      <c r="B1166" s="110" t="s">
        <v>2663</v>
      </c>
      <c r="C1166" s="106">
        <v>1.0</v>
      </c>
      <c r="D1166" s="149" t="str">
        <f>_xlfn.XLOOKUP(B1166,[1]FullDataList!F:F,[1]FullDataList!O:O)</f>
        <v>#ERROR!</v>
      </c>
      <c r="E1166" s="110" t="s">
        <v>4051</v>
      </c>
      <c r="H1166" s="138"/>
      <c r="J1166" s="138"/>
    </row>
    <row r="1167" ht="15.75" customHeight="1">
      <c r="A1167" s="148">
        <v>46146.0</v>
      </c>
      <c r="B1167" s="110" t="s">
        <v>1858</v>
      </c>
      <c r="C1167" s="106">
        <v>1.0</v>
      </c>
      <c r="D1167" s="149" t="str">
        <f>_xlfn.XLOOKUP(B1167,[1]FullDataList!F:F,[1]FullDataList!O:O)</f>
        <v>#ERROR!</v>
      </c>
      <c r="E1167" s="110" t="s">
        <v>4050</v>
      </c>
      <c r="H1167" s="138"/>
      <c r="J1167" s="138"/>
    </row>
    <row r="1168" ht="15.75" customHeight="1">
      <c r="A1168" s="148">
        <v>46146.0</v>
      </c>
      <c r="B1168" s="110" t="s">
        <v>1915</v>
      </c>
      <c r="C1168" s="106">
        <v>1.0</v>
      </c>
      <c r="D1168" s="149" t="str">
        <f>_xlfn.XLOOKUP(B1168,[1]FullDataList!F:F,[1]FullDataList!O:O)</f>
        <v>#ERROR!</v>
      </c>
      <c r="E1168" s="110" t="s">
        <v>4052</v>
      </c>
      <c r="H1168" s="138"/>
      <c r="J1168" s="138"/>
    </row>
    <row r="1169" ht="15.75" customHeight="1">
      <c r="A1169" s="148">
        <v>46146.0</v>
      </c>
      <c r="B1169" s="110" t="s">
        <v>2493</v>
      </c>
      <c r="C1169" s="106">
        <v>1.0</v>
      </c>
      <c r="D1169" s="149" t="str">
        <f>_xlfn.XLOOKUP(B1169,[1]FullDataList!F:F,[1]FullDataList!O:O)</f>
        <v>#ERROR!</v>
      </c>
      <c r="E1169" s="110" t="s">
        <v>4053</v>
      </c>
      <c r="H1169" s="138"/>
      <c r="J1169" s="138"/>
    </row>
    <row r="1170" ht="15.75" customHeight="1">
      <c r="A1170" s="148">
        <v>46146.0</v>
      </c>
      <c r="B1170" s="110" t="s">
        <v>2370</v>
      </c>
      <c r="C1170" s="106">
        <v>1.0</v>
      </c>
      <c r="D1170" s="149" t="str">
        <f>_xlfn.XLOOKUP(B1170,[1]FullDataList!F:F,[1]FullDataList!O:O)</f>
        <v>#ERROR!</v>
      </c>
      <c r="E1170" s="110" t="s">
        <v>4004</v>
      </c>
      <c r="H1170" s="138"/>
      <c r="J1170" s="138"/>
    </row>
    <row r="1171" ht="15.75" customHeight="1">
      <c r="A1171" s="148">
        <v>46146.0</v>
      </c>
      <c r="B1171" s="110" t="s">
        <v>826</v>
      </c>
      <c r="C1171" s="106">
        <v>1.0</v>
      </c>
      <c r="D1171" s="149" t="str">
        <f>_xlfn.XLOOKUP(B1171,[1]FullDataList!F:F,[1]FullDataList!O:O)</f>
        <v>#ERROR!</v>
      </c>
      <c r="E1171" s="110" t="s">
        <v>4009</v>
      </c>
      <c r="H1171" s="138"/>
      <c r="J1171" s="138"/>
    </row>
    <row r="1172" ht="15.75" customHeight="1">
      <c r="A1172" s="148">
        <v>46146.0</v>
      </c>
      <c r="B1172" s="110" t="s">
        <v>2591</v>
      </c>
      <c r="C1172" s="106">
        <v>1.0</v>
      </c>
      <c r="D1172" s="149" t="str">
        <f>_xlfn.XLOOKUP(B1172,[1]FullDataList!F:F,[1]FullDataList!O:O)</f>
        <v>#ERROR!</v>
      </c>
      <c r="E1172" s="110" t="s">
        <v>4040</v>
      </c>
      <c r="H1172" s="138"/>
      <c r="J1172" s="138"/>
    </row>
    <row r="1173" ht="15.75" customHeight="1">
      <c r="A1173" s="148">
        <v>46146.0</v>
      </c>
      <c r="B1173" s="110" t="s">
        <v>294</v>
      </c>
      <c r="C1173" s="106">
        <v>1.0</v>
      </c>
      <c r="D1173" s="149" t="str">
        <f>_xlfn.XLOOKUP(B1173,[1]FullDataList!F:F,[1]FullDataList!O:O)</f>
        <v>#ERROR!</v>
      </c>
      <c r="E1173" s="110" t="s">
        <v>4032</v>
      </c>
      <c r="H1173" s="138"/>
      <c r="J1173" s="138"/>
    </row>
    <row r="1174" ht="15.75" customHeight="1">
      <c r="A1174" s="148">
        <v>46146.0</v>
      </c>
      <c r="B1174" s="110" t="s">
        <v>1991</v>
      </c>
      <c r="C1174" s="106">
        <v>1.0</v>
      </c>
      <c r="D1174" s="149" t="str">
        <f>_xlfn.XLOOKUP(B1174,[1]FullDataList!F:F,[1]FullDataList!O:O)</f>
        <v>#ERROR!</v>
      </c>
      <c r="E1174" s="110" t="s">
        <v>4062</v>
      </c>
      <c r="H1174" s="138"/>
      <c r="J1174" s="138"/>
    </row>
    <row r="1175" ht="15.75" customHeight="1">
      <c r="A1175" s="148">
        <v>46146.0</v>
      </c>
      <c r="B1175" s="110" t="s">
        <v>264</v>
      </c>
      <c r="C1175" s="106">
        <v>1.0</v>
      </c>
      <c r="D1175" s="149" t="str">
        <f>_xlfn.XLOOKUP(B1175,[1]FullDataList!F:F,[1]FullDataList!O:O)</f>
        <v>#ERROR!</v>
      </c>
      <c r="E1175" s="110" t="s">
        <v>4042</v>
      </c>
      <c r="H1175" s="138"/>
      <c r="J1175" s="138"/>
    </row>
    <row r="1176" ht="15.75" customHeight="1">
      <c r="A1176" s="148">
        <v>46146.0</v>
      </c>
      <c r="B1176" s="110" t="s">
        <v>2576</v>
      </c>
      <c r="C1176" s="106">
        <v>1.0</v>
      </c>
      <c r="D1176" s="149" t="str">
        <f>_xlfn.XLOOKUP(B1176,[1]FullDataList!F:F,[1]FullDataList!O:O)</f>
        <v>#ERROR!</v>
      </c>
      <c r="E1176" s="110" t="s">
        <v>4027</v>
      </c>
      <c r="H1176" s="138"/>
      <c r="J1176" s="138"/>
    </row>
    <row r="1177" ht="15.75" customHeight="1">
      <c r="A1177" s="148">
        <v>46146.0</v>
      </c>
      <c r="B1177" s="110" t="s">
        <v>2471</v>
      </c>
      <c r="C1177" s="106">
        <v>1.0</v>
      </c>
      <c r="D1177" s="149" t="str">
        <f>_xlfn.XLOOKUP(B1177,[1]FullDataList!F:F,[1]FullDataList!O:O)</f>
        <v>#ERROR!</v>
      </c>
      <c r="E1177" s="110" t="s">
        <v>4055</v>
      </c>
      <c r="H1177" s="138"/>
      <c r="J1177" s="138"/>
    </row>
    <row r="1178" ht="15.75" customHeight="1">
      <c r="A1178" s="148">
        <v>46146.0</v>
      </c>
      <c r="B1178" s="110" t="s">
        <v>2385</v>
      </c>
      <c r="C1178" s="106">
        <v>1.0</v>
      </c>
      <c r="D1178" s="149" t="str">
        <f>_xlfn.XLOOKUP(B1178,[1]FullDataList!F:F,[1]FullDataList!O:O)</f>
        <v>#ERROR!</v>
      </c>
      <c r="E1178" s="110" t="s">
        <v>4013</v>
      </c>
      <c r="H1178" s="138"/>
      <c r="J1178" s="138"/>
    </row>
    <row r="1179" ht="15.75" customHeight="1">
      <c r="A1179" s="148">
        <v>46146.0</v>
      </c>
      <c r="B1179" s="110" t="s">
        <v>2523</v>
      </c>
      <c r="C1179" s="106">
        <v>1.0</v>
      </c>
      <c r="D1179" s="149" t="str">
        <f>_xlfn.XLOOKUP(B1179,[1]FullDataList!F:F,[1]FullDataList!O:O)</f>
        <v>#ERROR!</v>
      </c>
      <c r="E1179" s="110" t="s">
        <v>4056</v>
      </c>
      <c r="H1179" s="138"/>
      <c r="J1179" s="138"/>
    </row>
    <row r="1180" ht="15.75" customHeight="1">
      <c r="A1180" s="148">
        <v>46146.0</v>
      </c>
      <c r="B1180" s="110" t="s">
        <v>307</v>
      </c>
      <c r="C1180" s="106">
        <v>1.0</v>
      </c>
      <c r="D1180" s="149" t="str">
        <f>_xlfn.XLOOKUP(B1180,[1]FullDataList!F:F,[1]FullDataList!O:O)</f>
        <v>#ERROR!</v>
      </c>
      <c r="E1180" s="110" t="s">
        <v>4057</v>
      </c>
      <c r="H1180" s="138"/>
      <c r="J1180" s="138"/>
    </row>
    <row r="1181" ht="15.75" customHeight="1">
      <c r="A1181" s="148">
        <v>46146.0</v>
      </c>
      <c r="B1181" s="110" t="s">
        <v>2024</v>
      </c>
      <c r="C1181" s="106">
        <v>1.0</v>
      </c>
      <c r="D1181" s="149" t="str">
        <f>_xlfn.XLOOKUP(B1181,[1]FullDataList!F:F,[1]FullDataList!O:O)</f>
        <v>#ERROR!</v>
      </c>
      <c r="E1181" s="110" t="s">
        <v>4008</v>
      </c>
      <c r="H1181" s="138"/>
      <c r="J1181" s="138"/>
    </row>
    <row r="1182" ht="15.75" customHeight="1">
      <c r="A1182" s="148">
        <v>46146.0</v>
      </c>
      <c r="B1182" s="110" t="s">
        <v>926</v>
      </c>
      <c r="C1182" s="106">
        <v>1.0</v>
      </c>
      <c r="D1182" s="149" t="str">
        <f>_xlfn.XLOOKUP(B1182,[1]FullDataList!F:F,[1]FullDataList!O:O)</f>
        <v>#ERROR!</v>
      </c>
      <c r="E1182" s="110" t="s">
        <v>4039</v>
      </c>
      <c r="H1182" s="138"/>
      <c r="J1182" s="138"/>
    </row>
    <row r="1183" ht="15.75" customHeight="1">
      <c r="A1183" s="148">
        <v>46146.0</v>
      </c>
      <c r="B1183" s="110" t="s">
        <v>517</v>
      </c>
      <c r="C1183" s="106">
        <v>1.0</v>
      </c>
      <c r="D1183" s="149" t="str">
        <f>_xlfn.XLOOKUP(B1183,[1]FullDataList!F:F,[1]FullDataList!O:O)</f>
        <v>#ERROR!</v>
      </c>
      <c r="E1183" s="110" t="s">
        <v>4012</v>
      </c>
      <c r="H1183" s="138"/>
      <c r="J1183" s="138"/>
    </row>
    <row r="1184" ht="15.75" customHeight="1">
      <c r="A1184" s="148">
        <v>46146.0</v>
      </c>
      <c r="B1184" s="110" t="s">
        <v>2340</v>
      </c>
      <c r="C1184" s="106">
        <v>1.0</v>
      </c>
      <c r="D1184" s="149" t="str">
        <f>_xlfn.XLOOKUP(B1184,[1]FullDataList!F:F,[1]FullDataList!O:O)</f>
        <v>#ERROR!</v>
      </c>
      <c r="E1184" s="110" t="s">
        <v>4041</v>
      </c>
      <c r="H1184" s="138"/>
      <c r="J1184" s="138"/>
    </row>
    <row r="1185" ht="15.75" customHeight="1">
      <c r="A1185" s="148">
        <v>46146.0</v>
      </c>
      <c r="B1185" s="110" t="s">
        <v>2420</v>
      </c>
      <c r="C1185" s="106">
        <v>1.0</v>
      </c>
      <c r="D1185" s="149" t="str">
        <f>_xlfn.XLOOKUP(B1185,[1]FullDataList!F:F,[1]FullDataList!O:O)</f>
        <v>#ERROR!</v>
      </c>
      <c r="E1185" s="110" t="s">
        <v>4058</v>
      </c>
      <c r="H1185" s="138"/>
      <c r="J1185" s="138"/>
    </row>
    <row r="1186" ht="15.75" customHeight="1">
      <c r="A1186" s="148">
        <v>46146.0</v>
      </c>
      <c r="B1186" s="110" t="s">
        <v>1912</v>
      </c>
      <c r="C1186" s="106">
        <v>1.0</v>
      </c>
      <c r="D1186" s="149" t="str">
        <f>_xlfn.XLOOKUP(B1186,[1]FullDataList!F:F,[1]FullDataList!O:O)</f>
        <v>#ERROR!</v>
      </c>
      <c r="E1186" s="110" t="s">
        <v>4011</v>
      </c>
      <c r="H1186" s="138"/>
      <c r="J1186" s="138"/>
    </row>
    <row r="1187" ht="15.75" customHeight="1">
      <c r="A1187" s="148">
        <v>46146.0</v>
      </c>
      <c r="B1187" s="110" t="s">
        <v>2609</v>
      </c>
      <c r="C1187" s="106">
        <v>1.0</v>
      </c>
      <c r="D1187" s="149" t="str">
        <f>_xlfn.XLOOKUP(B1187,[1]FullDataList!F:F,[1]FullDataList!O:O)</f>
        <v>#ERROR!</v>
      </c>
      <c r="E1187" s="110" t="s">
        <v>4003</v>
      </c>
      <c r="H1187" s="138"/>
      <c r="J1187" s="138"/>
    </row>
    <row r="1188" ht="15.75" customHeight="1">
      <c r="A1188" s="148">
        <v>46146.0</v>
      </c>
      <c r="B1188" s="110" t="s">
        <v>333</v>
      </c>
      <c r="C1188" s="106">
        <v>1.0</v>
      </c>
      <c r="D1188" s="149" t="str">
        <f>_xlfn.XLOOKUP(B1188,[1]FullDataList!F:F,[1]FullDataList!O:O)</f>
        <v>#ERROR!</v>
      </c>
      <c r="E1188" s="110" t="s">
        <v>4025</v>
      </c>
      <c r="H1188" s="138"/>
      <c r="J1188" s="138"/>
    </row>
    <row r="1189" ht="15.75" customHeight="1">
      <c r="A1189" s="148">
        <v>46146.0</v>
      </c>
      <c r="B1189" s="110" t="s">
        <v>921</v>
      </c>
      <c r="C1189" s="106">
        <v>1.0</v>
      </c>
      <c r="D1189" s="149" t="str">
        <f>_xlfn.XLOOKUP(B1189,[1]FullDataList!F:F,[1]FullDataList!O:O)</f>
        <v>#ERROR!</v>
      </c>
      <c r="E1189" s="110" t="s">
        <v>4066</v>
      </c>
      <c r="H1189" s="138"/>
      <c r="J1189" s="138"/>
    </row>
    <row r="1190" ht="15.75" customHeight="1">
      <c r="A1190" s="148">
        <v>46147.0</v>
      </c>
      <c r="B1190" s="110" t="s">
        <v>2537</v>
      </c>
      <c r="C1190" s="106">
        <v>1.0</v>
      </c>
      <c r="D1190" s="149" t="str">
        <f>_xlfn.XLOOKUP(B1190,[1]FullDataList!F:F,[1]FullDataList!O:O)</f>
        <v>#ERROR!</v>
      </c>
      <c r="E1190" s="110" t="s">
        <v>4069</v>
      </c>
      <c r="H1190" s="138"/>
      <c r="J1190" s="138"/>
    </row>
    <row r="1191" ht="15.75" customHeight="1">
      <c r="A1191" s="148">
        <v>46147.0</v>
      </c>
      <c r="B1191" s="110" t="s">
        <v>1882</v>
      </c>
      <c r="C1191" s="106">
        <v>1.0</v>
      </c>
      <c r="D1191" s="149" t="str">
        <f>_xlfn.XLOOKUP(B1191,[1]FullDataList!F:F,[1]FullDataList!O:O)</f>
        <v>#ERROR!</v>
      </c>
      <c r="E1191" s="110" t="s">
        <v>4059</v>
      </c>
      <c r="H1191" s="138"/>
      <c r="J1191" s="138"/>
    </row>
    <row r="1192" ht="15.75" customHeight="1">
      <c r="A1192" s="148">
        <v>46147.0</v>
      </c>
      <c r="B1192" s="110" t="s">
        <v>1900</v>
      </c>
      <c r="C1192" s="106">
        <v>1.0</v>
      </c>
      <c r="D1192" s="149" t="str">
        <f>_xlfn.XLOOKUP(B1192,[1]FullDataList!F:F,[1]FullDataList!O:O)</f>
        <v>#ERROR!</v>
      </c>
      <c r="E1192" s="110" t="s">
        <v>4061</v>
      </c>
      <c r="H1192" s="138"/>
      <c r="J1192" s="138"/>
    </row>
    <row r="1193" ht="15.75" customHeight="1">
      <c r="A1193" s="148">
        <v>46147.0</v>
      </c>
      <c r="B1193" s="110" t="s">
        <v>2053</v>
      </c>
      <c r="C1193" s="106">
        <v>1.0</v>
      </c>
      <c r="D1193" s="149" t="str">
        <f>_xlfn.XLOOKUP(B1193,[1]FullDataList!F:F,[1]FullDataList!O:O)</f>
        <v>#ERROR!</v>
      </c>
      <c r="E1193" s="110" t="s">
        <v>4064</v>
      </c>
      <c r="H1193" s="138"/>
      <c r="J1193" s="138"/>
    </row>
    <row r="1194" ht="15.75" customHeight="1">
      <c r="A1194" s="148">
        <v>46147.0</v>
      </c>
      <c r="B1194" s="110" t="s">
        <v>332</v>
      </c>
      <c r="C1194" s="106">
        <v>1.0</v>
      </c>
      <c r="D1194" s="149" t="str">
        <f>_xlfn.XLOOKUP(B1194,[1]FullDataList!F:F,[1]FullDataList!O:O)</f>
        <v>#ERROR!</v>
      </c>
      <c r="E1194" s="110" t="s">
        <v>4065</v>
      </c>
      <c r="H1194" s="138"/>
      <c r="J1194" s="138"/>
    </row>
    <row r="1195" ht="15.75" customHeight="1">
      <c r="A1195" s="148">
        <v>46147.0</v>
      </c>
      <c r="B1195" s="110" t="s">
        <v>2000</v>
      </c>
      <c r="C1195" s="106">
        <v>1.0</v>
      </c>
      <c r="D1195" s="149" t="str">
        <f>_xlfn.XLOOKUP(B1195,[1]FullDataList!F:F,[1]FullDataList!O:O)</f>
        <v>#ERROR!</v>
      </c>
      <c r="E1195" s="110" t="s">
        <v>4067</v>
      </c>
      <c r="H1195" s="138"/>
      <c r="J1195" s="138"/>
    </row>
    <row r="1196" ht="15.75" customHeight="1">
      <c r="A1196" s="148">
        <v>46147.0</v>
      </c>
      <c r="B1196" s="110" t="s">
        <v>1784</v>
      </c>
      <c r="C1196" s="106">
        <v>1.0</v>
      </c>
      <c r="D1196" s="149" t="str">
        <f>_xlfn.XLOOKUP(B1196,[1]FullDataList!F:F,[1]FullDataList!O:O)</f>
        <v>#ERROR!</v>
      </c>
      <c r="E1196" s="110">
        <v>6.0</v>
      </c>
      <c r="H1196" s="138"/>
      <c r="J1196" s="138"/>
    </row>
    <row r="1197" ht="15.75" customHeight="1">
      <c r="A1197" s="148">
        <v>46147.0</v>
      </c>
      <c r="B1197" s="110" t="s">
        <v>2512</v>
      </c>
      <c r="C1197" s="106">
        <v>1.0</v>
      </c>
      <c r="D1197" s="149" t="str">
        <f>_xlfn.XLOOKUP(B1197,[1]FullDataList!F:F,[1]FullDataList!O:O)</f>
        <v>#ERROR!</v>
      </c>
      <c r="E1197" s="110" t="s">
        <v>4026</v>
      </c>
      <c r="H1197" s="138"/>
      <c r="J1197" s="138"/>
    </row>
    <row r="1198" ht="15.75" customHeight="1">
      <c r="A1198" s="148">
        <v>46147.0</v>
      </c>
      <c r="B1198" s="110" t="s">
        <v>1883</v>
      </c>
      <c r="C1198" s="106">
        <v>1.0</v>
      </c>
      <c r="D1198" s="149" t="str">
        <f>_xlfn.XLOOKUP(B1198,[1]FullDataList!F:F,[1]FullDataList!O:O)</f>
        <v>#ERROR!</v>
      </c>
      <c r="E1198" s="110" t="s">
        <v>4028</v>
      </c>
      <c r="H1198" s="138"/>
      <c r="J1198" s="138"/>
    </row>
    <row r="1199" ht="15.75" customHeight="1">
      <c r="A1199" s="148">
        <v>46147.0</v>
      </c>
      <c r="B1199" s="110" t="s">
        <v>2685</v>
      </c>
      <c r="C1199" s="106">
        <v>1.0</v>
      </c>
      <c r="D1199" s="149" t="str">
        <f>_xlfn.XLOOKUP(B1199,[1]FullDataList!F:F,[1]FullDataList!O:O)</f>
        <v>#ERROR!</v>
      </c>
      <c r="E1199" s="110" t="s">
        <v>4060</v>
      </c>
      <c r="H1199" s="138"/>
      <c r="J1199" s="138"/>
    </row>
    <row r="1200" ht="15.75" customHeight="1">
      <c r="A1200" s="148">
        <v>46147.0</v>
      </c>
      <c r="B1200" s="110" t="s">
        <v>1764</v>
      </c>
      <c r="C1200" s="106">
        <v>1.0</v>
      </c>
      <c r="D1200" s="149" t="str">
        <f>_xlfn.XLOOKUP(B1200,[1]FullDataList!F:F,[1]FullDataList!O:O)</f>
        <v>#ERROR!</v>
      </c>
      <c r="E1200" s="110" t="s">
        <v>4038</v>
      </c>
      <c r="H1200" s="138"/>
      <c r="J1200" s="138"/>
    </row>
    <row r="1201" ht="15.75" customHeight="1">
      <c r="A1201" s="148">
        <v>46147.0</v>
      </c>
      <c r="B1201" s="110" t="s">
        <v>2517</v>
      </c>
      <c r="C1201" s="106">
        <v>1.0</v>
      </c>
      <c r="D1201" s="149" t="str">
        <f>_xlfn.XLOOKUP(B1201,[1]FullDataList!F:F,[1]FullDataList!O:O)</f>
        <v>#ERROR!</v>
      </c>
      <c r="E1201" s="110" t="s">
        <v>4047</v>
      </c>
      <c r="H1201" s="138"/>
      <c r="J1201" s="138"/>
    </row>
    <row r="1202" ht="15.75" customHeight="1">
      <c r="A1202" s="148">
        <v>46147.0</v>
      </c>
      <c r="B1202" s="110" t="s">
        <v>2406</v>
      </c>
      <c r="C1202" s="106">
        <v>1.0</v>
      </c>
      <c r="D1202" s="149" t="str">
        <f>_xlfn.XLOOKUP(B1202,[1]FullDataList!F:F,[1]FullDataList!O:O)</f>
        <v>#ERROR!</v>
      </c>
      <c r="E1202" s="110" t="s">
        <v>4048</v>
      </c>
      <c r="H1202" s="138"/>
      <c r="J1202" s="138"/>
    </row>
    <row r="1203" ht="15.75" customHeight="1">
      <c r="A1203" s="148">
        <v>46147.0</v>
      </c>
      <c r="B1203" s="110" t="s">
        <v>681</v>
      </c>
      <c r="C1203" s="106">
        <v>1.0</v>
      </c>
      <c r="D1203" s="149" t="str">
        <f>_xlfn.XLOOKUP(B1203,[1]FullDataList!F:F,[1]FullDataList!O:O)</f>
        <v>#ERROR!</v>
      </c>
      <c r="E1203" s="110" t="s">
        <v>4054</v>
      </c>
      <c r="H1203" s="138"/>
      <c r="J1203" s="138"/>
    </row>
    <row r="1204" ht="15.75" customHeight="1">
      <c r="A1204" s="148">
        <v>46147.0</v>
      </c>
      <c r="B1204" s="110" t="s">
        <v>2392</v>
      </c>
      <c r="C1204" s="106">
        <v>1.0</v>
      </c>
      <c r="D1204" s="149" t="str">
        <f>_xlfn.XLOOKUP(B1204,[1]FullDataList!F:F,[1]FullDataList!O:O)</f>
        <v>#ERROR!</v>
      </c>
      <c r="E1204" s="110" t="s">
        <v>4049</v>
      </c>
      <c r="H1204" s="138"/>
      <c r="J1204" s="138"/>
    </row>
    <row r="1205" ht="15.75" customHeight="1">
      <c r="A1205" s="148">
        <v>46147.0</v>
      </c>
      <c r="B1205" s="110" t="s">
        <v>2664</v>
      </c>
      <c r="C1205" s="106">
        <v>1.0</v>
      </c>
      <c r="D1205" s="149" t="str">
        <f>_xlfn.XLOOKUP(B1205,[1]FullDataList!F:F,[1]FullDataList!O:O)</f>
        <v>#ERROR!</v>
      </c>
      <c r="E1205" s="110" t="s">
        <v>4051</v>
      </c>
      <c r="H1205" s="138"/>
      <c r="J1205" s="138"/>
    </row>
    <row r="1206" ht="15.75" customHeight="1">
      <c r="A1206" s="148">
        <v>46147.0</v>
      </c>
      <c r="B1206" s="110" t="s">
        <v>2577</v>
      </c>
      <c r="C1206" s="106">
        <v>1.0</v>
      </c>
      <c r="D1206" s="149" t="str">
        <f>_xlfn.XLOOKUP(B1206,[1]FullDataList!F:F,[1]FullDataList!O:O)</f>
        <v>#ERROR!</v>
      </c>
      <c r="E1206" s="110" t="s">
        <v>4052</v>
      </c>
      <c r="H1206" s="138"/>
      <c r="J1206" s="138"/>
    </row>
    <row r="1207" ht="15.75" customHeight="1">
      <c r="A1207" s="148">
        <v>46147.0</v>
      </c>
      <c r="B1207" s="110" t="s">
        <v>2501</v>
      </c>
      <c r="C1207" s="106">
        <v>1.0</v>
      </c>
      <c r="D1207" s="149" t="str">
        <f>_xlfn.XLOOKUP(B1207,[1]FullDataList!F:F,[1]FullDataList!O:O)</f>
        <v>#ERROR!</v>
      </c>
      <c r="E1207" s="110" t="s">
        <v>4053</v>
      </c>
      <c r="H1207" s="138"/>
      <c r="J1207" s="138"/>
    </row>
    <row r="1208" ht="15.75" customHeight="1">
      <c r="A1208" s="148">
        <v>46147.0</v>
      </c>
      <c r="B1208" s="110" t="s">
        <v>2371</v>
      </c>
      <c r="C1208" s="106">
        <v>1.0</v>
      </c>
      <c r="D1208" s="149" t="str">
        <f>_xlfn.XLOOKUP(B1208,[1]FullDataList!F:F,[1]FullDataList!O:O)</f>
        <v>#ERROR!</v>
      </c>
      <c r="E1208" s="110" t="s">
        <v>4004</v>
      </c>
      <c r="H1208" s="138"/>
      <c r="J1208" s="138"/>
    </row>
    <row r="1209" ht="15.75" customHeight="1">
      <c r="A1209" s="148">
        <v>46147.0</v>
      </c>
      <c r="B1209" s="110" t="s">
        <v>710</v>
      </c>
      <c r="C1209" s="106">
        <v>1.0</v>
      </c>
      <c r="D1209" s="149" t="str">
        <f>_xlfn.XLOOKUP(B1209,[1]FullDataList!F:F,[1]FullDataList!O:O)</f>
        <v>#ERROR!</v>
      </c>
      <c r="E1209" s="110" t="s">
        <v>4009</v>
      </c>
      <c r="H1209" s="138"/>
      <c r="J1209" s="138"/>
    </row>
    <row r="1210" ht="15.75" customHeight="1">
      <c r="A1210" s="148">
        <v>46147.0</v>
      </c>
      <c r="B1210" s="110" t="s">
        <v>2592</v>
      </c>
      <c r="C1210" s="106">
        <v>1.0</v>
      </c>
      <c r="D1210" s="149" t="str">
        <f>_xlfn.XLOOKUP(B1210,[1]FullDataList!F:F,[1]FullDataList!O:O)</f>
        <v>#ERROR!</v>
      </c>
      <c r="E1210" s="110" t="s">
        <v>4040</v>
      </c>
      <c r="H1210" s="138"/>
      <c r="J1210" s="138"/>
    </row>
    <row r="1211" ht="15.75" customHeight="1">
      <c r="A1211" s="148">
        <v>46147.0</v>
      </c>
      <c r="B1211" s="110" t="s">
        <v>1758</v>
      </c>
      <c r="C1211" s="106">
        <v>1.0</v>
      </c>
      <c r="D1211" s="149" t="str">
        <f>_xlfn.XLOOKUP(B1211,[1]FullDataList!F:F,[1]FullDataList!O:O)</f>
        <v>#ERROR!</v>
      </c>
      <c r="E1211" s="110" t="s">
        <v>4032</v>
      </c>
      <c r="H1211" s="138"/>
      <c r="J1211" s="138"/>
    </row>
    <row r="1212" ht="15.75" customHeight="1">
      <c r="A1212" s="148">
        <v>46147.0</v>
      </c>
      <c r="B1212" s="110" t="s">
        <v>908</v>
      </c>
      <c r="C1212" s="106">
        <v>1.0</v>
      </c>
      <c r="D1212" s="149" t="str">
        <f>_xlfn.XLOOKUP(B1212,[1]FullDataList!F:F,[1]FullDataList!O:O)</f>
        <v>#ERROR!</v>
      </c>
      <c r="E1212" s="110" t="s">
        <v>4066</v>
      </c>
      <c r="H1212" s="138"/>
      <c r="J1212" s="138"/>
    </row>
    <row r="1213" ht="15.75" customHeight="1">
      <c r="A1213" s="148">
        <v>46147.0</v>
      </c>
      <c r="B1213" s="110" t="s">
        <v>2023</v>
      </c>
      <c r="C1213" s="106">
        <v>1.0</v>
      </c>
      <c r="D1213" s="149" t="str">
        <f>_xlfn.XLOOKUP(B1213,[1]FullDataList!F:F,[1]FullDataList!O:O)</f>
        <v>#ERROR!</v>
      </c>
      <c r="E1213" s="110" t="s">
        <v>4062</v>
      </c>
      <c r="H1213" s="138"/>
      <c r="J1213" s="138"/>
    </row>
    <row r="1214" ht="15.75" customHeight="1">
      <c r="A1214" s="148">
        <v>46147.0</v>
      </c>
      <c r="B1214" s="110" t="s">
        <v>2587</v>
      </c>
      <c r="C1214" s="106">
        <v>1.0</v>
      </c>
      <c r="D1214" s="149" t="str">
        <f>_xlfn.XLOOKUP(B1214,[1]FullDataList!F:F,[1]FullDataList!O:O)</f>
        <v>#ERROR!</v>
      </c>
      <c r="E1214" s="110" t="s">
        <v>4027</v>
      </c>
      <c r="H1214" s="138"/>
      <c r="J1214" s="138"/>
    </row>
    <row r="1215" ht="15.75" customHeight="1">
      <c r="A1215" s="148">
        <v>46147.0</v>
      </c>
      <c r="B1215" s="110" t="s">
        <v>1761</v>
      </c>
      <c r="C1215" s="106">
        <v>1.0</v>
      </c>
      <c r="D1215" s="149" t="str">
        <f>_xlfn.XLOOKUP(B1215,[1]FullDataList!F:F,[1]FullDataList!O:O)</f>
        <v>#ERROR!</v>
      </c>
      <c r="E1215" s="110" t="s">
        <v>4055</v>
      </c>
      <c r="H1215" s="138"/>
      <c r="J1215" s="138"/>
    </row>
    <row r="1216" ht="15.75" customHeight="1">
      <c r="A1216" s="148">
        <v>46147.0</v>
      </c>
      <c r="B1216" s="110" t="s">
        <v>2524</v>
      </c>
      <c r="C1216" s="106">
        <v>1.0</v>
      </c>
      <c r="D1216" s="149" t="str">
        <f>_xlfn.XLOOKUP(B1216,[1]FullDataList!F:F,[1]FullDataList!O:O)</f>
        <v>#ERROR!</v>
      </c>
      <c r="E1216" s="110" t="s">
        <v>4056</v>
      </c>
      <c r="H1216" s="138"/>
      <c r="J1216" s="138"/>
    </row>
    <row r="1217" ht="15.75" customHeight="1">
      <c r="A1217" s="148">
        <v>46147.0</v>
      </c>
      <c r="B1217" s="110" t="s">
        <v>308</v>
      </c>
      <c r="C1217" s="106">
        <v>1.0</v>
      </c>
      <c r="D1217" s="149" t="str">
        <f>_xlfn.XLOOKUP(B1217,[1]FullDataList!F:F,[1]FullDataList!O:O)</f>
        <v>#ERROR!</v>
      </c>
      <c r="E1217" s="110" t="s">
        <v>4057</v>
      </c>
      <c r="H1217" s="138"/>
      <c r="J1217" s="138"/>
    </row>
    <row r="1218" ht="15.75" customHeight="1">
      <c r="A1218" s="148">
        <v>46147.0</v>
      </c>
      <c r="B1218" s="110" t="s">
        <v>878</v>
      </c>
      <c r="C1218" s="106">
        <v>1.0</v>
      </c>
      <c r="D1218" s="149" t="str">
        <f>_xlfn.XLOOKUP(B1218,[1]FullDataList!F:F,[1]FullDataList!O:O)</f>
        <v>#ERROR!</v>
      </c>
      <c r="E1218" s="110" t="s">
        <v>4039</v>
      </c>
      <c r="H1218" s="138"/>
      <c r="J1218" s="138"/>
    </row>
    <row r="1219" ht="15.75" customHeight="1">
      <c r="A1219" s="148">
        <v>46147.0</v>
      </c>
      <c r="B1219" s="110" t="s">
        <v>2508</v>
      </c>
      <c r="C1219" s="106">
        <v>1.0</v>
      </c>
      <c r="D1219" s="149" t="str">
        <f>_xlfn.XLOOKUP(B1219,[1]FullDataList!F:F,[1]FullDataList!O:O)</f>
        <v>#ERROR!</v>
      </c>
      <c r="E1219" s="110" t="s">
        <v>4012</v>
      </c>
      <c r="H1219" s="138"/>
      <c r="J1219" s="138"/>
    </row>
    <row r="1220" ht="15.75" customHeight="1">
      <c r="A1220" s="148">
        <v>46147.0</v>
      </c>
      <c r="B1220" s="110" t="s">
        <v>2380</v>
      </c>
      <c r="C1220" s="106">
        <v>1.0</v>
      </c>
      <c r="D1220" s="149" t="str">
        <f>_xlfn.XLOOKUP(B1220,[1]FullDataList!F:F,[1]FullDataList!O:O)</f>
        <v>#ERROR!</v>
      </c>
      <c r="E1220" s="110" t="s">
        <v>4041</v>
      </c>
      <c r="H1220" s="138"/>
      <c r="J1220" s="138"/>
    </row>
    <row r="1221" ht="15.75" customHeight="1">
      <c r="A1221" s="148">
        <v>46147.0</v>
      </c>
      <c r="B1221" s="110" t="s">
        <v>2421</v>
      </c>
      <c r="C1221" s="106">
        <v>1.0</v>
      </c>
      <c r="D1221" s="149" t="str">
        <f>_xlfn.XLOOKUP(B1221,[1]FullDataList!F:F,[1]FullDataList!O:O)</f>
        <v>#ERROR!</v>
      </c>
      <c r="E1221" s="110" t="s">
        <v>4058</v>
      </c>
      <c r="H1221" s="138"/>
      <c r="J1221" s="138"/>
    </row>
    <row r="1222" ht="15.75" customHeight="1">
      <c r="A1222" s="148">
        <v>46147.0</v>
      </c>
      <c r="B1222" s="110" t="s">
        <v>1913</v>
      </c>
      <c r="C1222" s="106">
        <v>1.0</v>
      </c>
      <c r="D1222" s="149" t="str">
        <f>_xlfn.XLOOKUP(B1222,[1]FullDataList!F:F,[1]FullDataList!O:O)</f>
        <v>#ERROR!</v>
      </c>
      <c r="E1222" s="110" t="s">
        <v>4011</v>
      </c>
      <c r="H1222" s="138"/>
      <c r="J1222" s="138"/>
    </row>
    <row r="1223" ht="15.75" customHeight="1">
      <c r="A1223" s="148">
        <v>46147.0</v>
      </c>
      <c r="B1223" s="110" t="s">
        <v>2610</v>
      </c>
      <c r="C1223" s="106">
        <v>1.0</v>
      </c>
      <c r="D1223" s="149" t="str">
        <f>_xlfn.XLOOKUP(B1223,[1]FullDataList!F:F,[1]FullDataList!O:O)</f>
        <v>#ERROR!</v>
      </c>
      <c r="E1223" s="110" t="s">
        <v>4003</v>
      </c>
      <c r="H1223" s="138"/>
      <c r="J1223" s="138"/>
    </row>
    <row r="1224" ht="15.75" customHeight="1">
      <c r="A1224" s="148">
        <v>46147.0</v>
      </c>
      <c r="B1224" s="110" t="s">
        <v>2514</v>
      </c>
      <c r="C1224" s="106">
        <v>1.0</v>
      </c>
      <c r="D1224" s="149" t="str">
        <f>_xlfn.XLOOKUP(B1224,[1]FullDataList!F:F,[1]FullDataList!O:O)</f>
        <v>#ERROR!</v>
      </c>
      <c r="E1224" s="110" t="s">
        <v>4025</v>
      </c>
      <c r="H1224" s="138"/>
      <c r="J1224" s="138"/>
    </row>
    <row r="1225" ht="15.75" customHeight="1">
      <c r="A1225" s="148">
        <v>46148.0</v>
      </c>
      <c r="B1225" s="110" t="s">
        <v>2538</v>
      </c>
      <c r="C1225" s="106">
        <v>1.0</v>
      </c>
      <c r="D1225" s="149" t="str">
        <f>_xlfn.XLOOKUP(B1225,[1]FullDataList!F:F,[1]FullDataList!O:O)</f>
        <v>#ERROR!</v>
      </c>
      <c r="E1225" s="110" t="s">
        <v>4069</v>
      </c>
      <c r="H1225" s="138"/>
      <c r="J1225" s="138"/>
    </row>
    <row r="1226" ht="15.75" customHeight="1">
      <c r="A1226" s="148">
        <v>46148.0</v>
      </c>
      <c r="B1226" s="110" t="s">
        <v>1777</v>
      </c>
      <c r="C1226" s="106">
        <v>1.0</v>
      </c>
      <c r="D1226" s="149" t="str">
        <f>_xlfn.XLOOKUP(B1226,[1]FullDataList!F:F,[1]FullDataList!O:O)</f>
        <v>#ERROR!</v>
      </c>
      <c r="E1226" s="110" t="s">
        <v>4059</v>
      </c>
      <c r="H1226" s="138"/>
      <c r="J1226" s="138"/>
    </row>
    <row r="1227" ht="15.75" customHeight="1">
      <c r="A1227" s="148">
        <v>46148.0</v>
      </c>
      <c r="B1227" s="110" t="s">
        <v>1779</v>
      </c>
      <c r="C1227" s="106">
        <v>1.0</v>
      </c>
      <c r="D1227" s="149" t="str">
        <f>_xlfn.XLOOKUP(B1227,[1]FullDataList!F:F,[1]FullDataList!O:O)</f>
        <v>#ERROR!</v>
      </c>
      <c r="E1227" s="110" t="s">
        <v>4061</v>
      </c>
      <c r="H1227" s="138"/>
      <c r="J1227" s="138"/>
    </row>
    <row r="1228" ht="15.75" customHeight="1">
      <c r="A1228" s="148">
        <v>46148.0</v>
      </c>
      <c r="B1228" s="110" t="s">
        <v>2029</v>
      </c>
      <c r="C1228" s="106">
        <v>1.0</v>
      </c>
      <c r="D1228" s="149" t="str">
        <f>_xlfn.XLOOKUP(B1228,[1]FullDataList!F:F,[1]FullDataList!O:O)</f>
        <v>#ERROR!</v>
      </c>
      <c r="E1228" s="110" t="s">
        <v>4064</v>
      </c>
      <c r="H1228" s="138"/>
      <c r="J1228" s="138"/>
    </row>
    <row r="1229" ht="15.75" customHeight="1">
      <c r="A1229" s="148">
        <v>46148.0</v>
      </c>
      <c r="B1229" s="110" t="s">
        <v>2648</v>
      </c>
      <c r="C1229" s="106">
        <v>1.0</v>
      </c>
      <c r="D1229" s="149" t="str">
        <f>_xlfn.XLOOKUP(B1229,[1]FullDataList!F:F,[1]FullDataList!O:O)</f>
        <v>#ERROR!</v>
      </c>
      <c r="E1229" s="110" t="s">
        <v>4065</v>
      </c>
      <c r="H1229" s="138"/>
      <c r="J1229" s="138"/>
    </row>
    <row r="1230" ht="15.75" customHeight="1">
      <c r="A1230" s="148">
        <v>46148.0</v>
      </c>
      <c r="B1230" s="110" t="s">
        <v>2001</v>
      </c>
      <c r="C1230" s="106">
        <v>1.0</v>
      </c>
      <c r="D1230" s="149" t="str">
        <f>_xlfn.XLOOKUP(B1230,[1]FullDataList!F:F,[1]FullDataList!O:O)</f>
        <v>#ERROR!</v>
      </c>
      <c r="E1230" s="110" t="s">
        <v>4070</v>
      </c>
      <c r="H1230" s="138"/>
      <c r="J1230" s="138"/>
    </row>
    <row r="1231" ht="15.75" customHeight="1">
      <c r="A1231" s="148">
        <v>46148.0</v>
      </c>
      <c r="B1231" s="110" t="s">
        <v>2513</v>
      </c>
      <c r="C1231" s="106">
        <v>1.0</v>
      </c>
      <c r="D1231" s="149" t="str">
        <f>_xlfn.XLOOKUP(B1231,[1]FullDataList!F:F,[1]FullDataList!O:O)</f>
        <v>#ERROR!</v>
      </c>
      <c r="E1231" s="110" t="s">
        <v>4071</v>
      </c>
      <c r="H1231" s="138"/>
      <c r="J1231" s="138"/>
    </row>
    <row r="1232" ht="15.75" customHeight="1">
      <c r="A1232" s="148">
        <v>46148.0</v>
      </c>
      <c r="B1232" s="110" t="s">
        <v>1778</v>
      </c>
      <c r="C1232" s="106">
        <v>1.0</v>
      </c>
      <c r="D1232" s="149" t="str">
        <f>_xlfn.XLOOKUP(B1232,[1]FullDataList!F:F,[1]FullDataList!O:O)</f>
        <v>#ERROR!</v>
      </c>
      <c r="E1232" s="110" t="s">
        <v>4072</v>
      </c>
      <c r="H1232" s="138"/>
      <c r="J1232" s="138"/>
    </row>
    <row r="1233" ht="15.75" customHeight="1">
      <c r="A1233" s="148">
        <v>46148.0</v>
      </c>
      <c r="B1233" s="110" t="s">
        <v>1863</v>
      </c>
      <c r="C1233" s="106">
        <v>1.0</v>
      </c>
      <c r="D1233" s="149" t="str">
        <f>_xlfn.XLOOKUP(B1233,[1]FullDataList!F:F,[1]FullDataList!O:O)</f>
        <v>#ERROR!</v>
      </c>
      <c r="E1233" s="110" t="s">
        <v>4073</v>
      </c>
      <c r="H1233" s="138"/>
      <c r="J1233" s="138"/>
    </row>
    <row r="1234" ht="15.75" customHeight="1">
      <c r="A1234" s="148">
        <v>46148.0</v>
      </c>
      <c r="B1234" s="110" t="s">
        <v>1988</v>
      </c>
      <c r="C1234" s="106">
        <v>1.0</v>
      </c>
      <c r="D1234" s="149" t="str">
        <f>_xlfn.XLOOKUP(B1234,[1]FullDataList!F:F,[1]FullDataList!O:O)</f>
        <v>#ERROR!</v>
      </c>
      <c r="E1234" s="110" t="s">
        <v>4074</v>
      </c>
      <c r="H1234" s="138"/>
      <c r="J1234" s="138"/>
    </row>
    <row r="1235" ht="15.75" customHeight="1">
      <c r="A1235" s="148">
        <v>46148.0</v>
      </c>
      <c r="B1235" s="110" t="s">
        <v>2393</v>
      </c>
      <c r="C1235" s="106">
        <v>1.0</v>
      </c>
      <c r="D1235" s="149" t="str">
        <f>_xlfn.XLOOKUP(B1235,[1]FullDataList!F:F,[1]FullDataList!O:O)</f>
        <v>#ERROR!</v>
      </c>
      <c r="E1235" s="110" t="s">
        <v>4075</v>
      </c>
      <c r="H1235" s="138"/>
      <c r="J1235" s="138"/>
    </row>
    <row r="1236" ht="15.75" customHeight="1">
      <c r="A1236" s="148">
        <v>46148.0</v>
      </c>
      <c r="B1236" s="110" t="s">
        <v>2665</v>
      </c>
      <c r="C1236" s="106">
        <v>1.0</v>
      </c>
      <c r="D1236" s="149" t="str">
        <f>_xlfn.XLOOKUP(B1236,[1]FullDataList!F:F,[1]FullDataList!O:O)</f>
        <v>#ERROR!</v>
      </c>
      <c r="E1236" s="110" t="s">
        <v>4076</v>
      </c>
      <c r="H1236" s="138"/>
      <c r="J1236" s="138"/>
    </row>
    <row r="1237" ht="15.75" customHeight="1">
      <c r="A1237" s="148">
        <v>46148.0</v>
      </c>
      <c r="B1237" s="110" t="s">
        <v>2590</v>
      </c>
      <c r="C1237" s="106">
        <v>1.0</v>
      </c>
      <c r="D1237" s="149" t="str">
        <f>_xlfn.XLOOKUP(B1237,[1]FullDataList!F:F,[1]FullDataList!O:O)</f>
        <v>#ERROR!</v>
      </c>
      <c r="E1237" s="110" t="s">
        <v>4077</v>
      </c>
      <c r="H1237" s="138"/>
      <c r="J1237" s="138"/>
    </row>
    <row r="1238" ht="15.75" customHeight="1">
      <c r="A1238" s="148">
        <v>46148.0</v>
      </c>
      <c r="B1238" s="110" t="s">
        <v>2502</v>
      </c>
      <c r="C1238" s="106">
        <v>1.0</v>
      </c>
      <c r="D1238" s="149" t="str">
        <f>_xlfn.XLOOKUP(B1238,[1]FullDataList!F:F,[1]FullDataList!O:O)</f>
        <v>#ERROR!</v>
      </c>
      <c r="E1238" s="110" t="s">
        <v>4078</v>
      </c>
      <c r="H1238" s="138"/>
      <c r="J1238" s="138"/>
    </row>
    <row r="1239" ht="15.75" customHeight="1">
      <c r="A1239" s="148">
        <v>46148.0</v>
      </c>
      <c r="B1239" s="110" t="s">
        <v>2544</v>
      </c>
      <c r="C1239" s="106">
        <v>1.0</v>
      </c>
      <c r="D1239" s="149" t="str">
        <f>_xlfn.XLOOKUP(B1239,[1]FullDataList!F:F,[1]FullDataList!O:O)</f>
        <v>#ERROR!</v>
      </c>
      <c r="E1239" s="110" t="s">
        <v>4079</v>
      </c>
      <c r="H1239" s="138"/>
      <c r="J1239" s="138"/>
    </row>
    <row r="1240" ht="15.75" customHeight="1">
      <c r="A1240" s="148">
        <v>46148.0</v>
      </c>
      <c r="B1240" s="110" t="s">
        <v>2402</v>
      </c>
      <c r="C1240" s="106">
        <v>1.0</v>
      </c>
      <c r="D1240" s="149" t="str">
        <f>_xlfn.XLOOKUP(B1240,[1]FullDataList!F:F,[1]FullDataList!O:O)</f>
        <v>#ERROR!</v>
      </c>
      <c r="E1240" s="110" t="s">
        <v>4080</v>
      </c>
      <c r="H1240" s="138"/>
      <c r="J1240" s="138"/>
    </row>
    <row r="1241" ht="15.75" customHeight="1">
      <c r="A1241" s="148">
        <v>46148.0</v>
      </c>
      <c r="B1241" s="110" t="s">
        <v>2593</v>
      </c>
      <c r="C1241" s="106">
        <v>1.0</v>
      </c>
      <c r="D1241" s="149" t="str">
        <f>_xlfn.XLOOKUP(B1241,[1]FullDataList!F:F,[1]FullDataList!O:O)</f>
        <v>#ERROR!</v>
      </c>
      <c r="E1241" s="110" t="s">
        <v>4081</v>
      </c>
      <c r="H1241" s="138"/>
      <c r="J1241" s="138"/>
    </row>
    <row r="1242" ht="15.75" customHeight="1">
      <c r="A1242" s="148">
        <v>46148.0</v>
      </c>
      <c r="B1242" s="110" t="s">
        <v>1759</v>
      </c>
      <c r="C1242" s="106">
        <v>1.0</v>
      </c>
      <c r="D1242" s="149" t="str">
        <f>_xlfn.XLOOKUP(B1242,[1]FullDataList!F:F,[1]FullDataList!O:O)</f>
        <v>#ERROR!</v>
      </c>
      <c r="E1242" s="110" t="s">
        <v>4082</v>
      </c>
      <c r="H1242" s="138"/>
      <c r="J1242" s="138"/>
    </row>
    <row r="1243" ht="15.75" customHeight="1">
      <c r="A1243" s="148">
        <v>46148.0</v>
      </c>
      <c r="B1243" s="110" t="s">
        <v>925</v>
      </c>
      <c r="C1243" s="106">
        <v>1.0</v>
      </c>
      <c r="D1243" s="149" t="str">
        <f>_xlfn.XLOOKUP(B1243,[1]FullDataList!F:F,[1]FullDataList!O:O)</f>
        <v>#ERROR!</v>
      </c>
      <c r="E1243" s="110" t="s">
        <v>4083</v>
      </c>
      <c r="H1243" s="138"/>
      <c r="J1243" s="138"/>
    </row>
    <row r="1244" ht="15.75" customHeight="1">
      <c r="A1244" s="148">
        <v>46148.0</v>
      </c>
      <c r="B1244" s="110" t="s">
        <v>2635</v>
      </c>
      <c r="C1244" s="106">
        <v>1.0</v>
      </c>
      <c r="D1244" s="149" t="str">
        <f>_xlfn.XLOOKUP(B1244,[1]FullDataList!F:F,[1]FullDataList!O:O)</f>
        <v>#ERROR!</v>
      </c>
      <c r="E1244" s="110" t="s">
        <v>4084</v>
      </c>
      <c r="H1244" s="138"/>
      <c r="J1244" s="138"/>
    </row>
    <row r="1245" ht="15.75" customHeight="1">
      <c r="A1245" s="148">
        <v>46148.0</v>
      </c>
      <c r="B1245" s="110" t="s">
        <v>281</v>
      </c>
      <c r="C1245" s="106">
        <v>1.0</v>
      </c>
      <c r="D1245" s="149" t="str">
        <f>_xlfn.XLOOKUP(B1245,[1]FullDataList!F:F,[1]FullDataList!O:O)</f>
        <v>#ERROR!</v>
      </c>
      <c r="E1245" s="110" t="s">
        <v>4085</v>
      </c>
      <c r="H1245" s="138"/>
      <c r="J1245" s="138"/>
    </row>
    <row r="1246" ht="15.75" customHeight="1">
      <c r="A1246" s="148">
        <v>46148.0</v>
      </c>
      <c r="B1246" s="110" t="s">
        <v>1596</v>
      </c>
      <c r="C1246" s="106">
        <v>1.0</v>
      </c>
      <c r="D1246" s="149" t="str">
        <f>_xlfn.XLOOKUP(B1246,[1]FullDataList!F:F,[1]FullDataList!O:O)</f>
        <v>#ERROR!</v>
      </c>
      <c r="E1246" s="110" t="s">
        <v>4086</v>
      </c>
      <c r="H1246" s="138"/>
      <c r="J1246" s="138"/>
    </row>
    <row r="1247" ht="15.75" customHeight="1">
      <c r="A1247" s="148">
        <v>46148.0</v>
      </c>
      <c r="B1247" s="110" t="s">
        <v>2452</v>
      </c>
      <c r="C1247" s="106">
        <v>1.0</v>
      </c>
      <c r="D1247" s="149" t="str">
        <f>_xlfn.XLOOKUP(B1247,[1]FullDataList!F:F,[1]FullDataList!O:O)</f>
        <v>#ERROR!</v>
      </c>
      <c r="E1247" s="110" t="s">
        <v>4087</v>
      </c>
      <c r="H1247" s="138"/>
      <c r="J1247" s="138"/>
    </row>
    <row r="1248" ht="15.75" customHeight="1">
      <c r="A1248" s="148">
        <v>46148.0</v>
      </c>
      <c r="B1248" s="110" t="s">
        <v>2643</v>
      </c>
      <c r="C1248" s="106">
        <v>1.0</v>
      </c>
      <c r="D1248" s="149" t="str">
        <f>_xlfn.XLOOKUP(B1248,[1]FullDataList!F:F,[1]FullDataList!O:O)</f>
        <v>#ERROR!</v>
      </c>
      <c r="E1248" s="110" t="s">
        <v>4088</v>
      </c>
      <c r="H1248" s="138"/>
      <c r="J1248" s="138"/>
    </row>
    <row r="1249" ht="15.75" customHeight="1">
      <c r="A1249" s="148">
        <v>46148.0</v>
      </c>
      <c r="B1249" s="110" t="s">
        <v>2607</v>
      </c>
      <c r="C1249" s="106">
        <v>1.0</v>
      </c>
      <c r="D1249" s="149" t="str">
        <f>_xlfn.XLOOKUP(B1249,[1]FullDataList!F:F,[1]FullDataList!O:O)</f>
        <v>#ERROR!</v>
      </c>
      <c r="E1249" s="110" t="s">
        <v>4089</v>
      </c>
      <c r="H1249" s="138"/>
      <c r="J1249" s="138"/>
    </row>
    <row r="1250" ht="15.75" customHeight="1">
      <c r="A1250" s="148">
        <v>46148.0</v>
      </c>
      <c r="B1250" s="110" t="s">
        <v>2106</v>
      </c>
      <c r="C1250" s="106">
        <v>1.0</v>
      </c>
      <c r="D1250" s="149" t="str">
        <f>_xlfn.XLOOKUP(B1250,[1]FullDataList!F:F,[1]FullDataList!O:O)</f>
        <v>#ERROR!</v>
      </c>
      <c r="E1250" s="110" t="s">
        <v>4090</v>
      </c>
      <c r="H1250" s="138"/>
      <c r="J1250" s="138"/>
    </row>
    <row r="1251" ht="15.75" customHeight="1">
      <c r="A1251" s="148">
        <v>46148.0</v>
      </c>
      <c r="B1251" s="110" t="s">
        <v>2405</v>
      </c>
      <c r="C1251" s="106">
        <v>1.0</v>
      </c>
      <c r="D1251" s="149" t="str">
        <f>_xlfn.XLOOKUP(B1251,[1]FullDataList!F:F,[1]FullDataList!O:O)</f>
        <v>#ERROR!</v>
      </c>
      <c r="E1251" s="110" t="s">
        <v>4091</v>
      </c>
      <c r="H1251" s="138"/>
      <c r="J1251" s="138"/>
    </row>
    <row r="1252" ht="15.75" customHeight="1">
      <c r="A1252" s="148">
        <v>46148.0</v>
      </c>
      <c r="B1252" s="110" t="s">
        <v>2525</v>
      </c>
      <c r="C1252" s="106">
        <v>1.0</v>
      </c>
      <c r="D1252" s="149" t="str">
        <f>_xlfn.XLOOKUP(B1252,[1]FullDataList!F:F,[1]FullDataList!O:O)</f>
        <v>#ERROR!</v>
      </c>
      <c r="E1252" s="110" t="s">
        <v>4092</v>
      </c>
      <c r="H1252" s="138"/>
      <c r="J1252" s="138"/>
    </row>
    <row r="1253" ht="15.75" customHeight="1">
      <c r="A1253" s="148">
        <v>46148.0</v>
      </c>
      <c r="B1253" s="110" t="s">
        <v>2441</v>
      </c>
      <c r="C1253" s="106">
        <v>1.0</v>
      </c>
      <c r="D1253" s="149" t="str">
        <f>_xlfn.XLOOKUP(B1253,[1]FullDataList!F:F,[1]FullDataList!O:O)</f>
        <v>#ERROR!</v>
      </c>
      <c r="E1253" s="110" t="s">
        <v>4093</v>
      </c>
      <c r="H1253" s="138"/>
      <c r="J1253" s="138"/>
    </row>
    <row r="1254" ht="15.75" customHeight="1">
      <c r="A1254" s="148">
        <v>46148.0</v>
      </c>
      <c r="B1254" s="110" t="s">
        <v>368</v>
      </c>
      <c r="C1254" s="106">
        <v>1.0</v>
      </c>
      <c r="D1254" s="149" t="str">
        <f>_xlfn.XLOOKUP(B1254,[1]FullDataList!F:F,[1]FullDataList!O:O)</f>
        <v>#ERROR!</v>
      </c>
      <c r="E1254" s="110" t="s">
        <v>4094</v>
      </c>
      <c r="H1254" s="138"/>
      <c r="J1254" s="138"/>
    </row>
    <row r="1255" ht="15.75" customHeight="1">
      <c r="A1255" s="148">
        <v>46148.0</v>
      </c>
      <c r="B1255" s="110" t="s">
        <v>893</v>
      </c>
      <c r="C1255" s="106">
        <v>1.0</v>
      </c>
      <c r="D1255" s="149" t="str">
        <f>_xlfn.XLOOKUP(B1255,[1]FullDataList!F:F,[1]FullDataList!O:O)</f>
        <v>#ERROR!</v>
      </c>
      <c r="E1255" s="110" t="s">
        <v>4095</v>
      </c>
      <c r="H1255" s="138"/>
      <c r="J1255" s="138"/>
    </row>
    <row r="1256" ht="15.75" customHeight="1">
      <c r="A1256" s="148">
        <v>46148.0</v>
      </c>
      <c r="B1256" s="110" t="s">
        <v>2379</v>
      </c>
      <c r="C1256" s="106">
        <v>1.0</v>
      </c>
      <c r="D1256" s="149" t="str">
        <f>_xlfn.XLOOKUP(B1256,[1]FullDataList!F:F,[1]FullDataList!O:O)</f>
        <v>#ERROR!</v>
      </c>
      <c r="E1256" s="110" t="s">
        <v>4096</v>
      </c>
      <c r="H1256" s="138"/>
      <c r="J1256" s="138"/>
    </row>
    <row r="1257" ht="15.75" customHeight="1">
      <c r="A1257" s="148">
        <v>46148.0</v>
      </c>
      <c r="B1257" s="110" t="s">
        <v>2403</v>
      </c>
      <c r="C1257" s="106">
        <v>1.0</v>
      </c>
      <c r="D1257" s="149" t="str">
        <f>_xlfn.XLOOKUP(B1257,[1]FullDataList!F:F,[1]FullDataList!O:O)</f>
        <v>#ERROR!</v>
      </c>
      <c r="E1257" s="110" t="s">
        <v>4097</v>
      </c>
      <c r="H1257" s="138"/>
      <c r="J1257" s="138"/>
    </row>
    <row r="1258" ht="15.75" customHeight="1">
      <c r="A1258" s="148">
        <v>46148.0</v>
      </c>
      <c r="B1258" s="110" t="s">
        <v>2427</v>
      </c>
      <c r="C1258" s="106">
        <v>1.0</v>
      </c>
      <c r="D1258" s="149" t="str">
        <f>_xlfn.XLOOKUP(B1258,[1]FullDataList!F:F,[1]FullDataList!O:O)</f>
        <v>#ERROR!</v>
      </c>
      <c r="E1258" s="110" t="s">
        <v>4098</v>
      </c>
      <c r="H1258" s="138"/>
      <c r="J1258" s="138"/>
    </row>
    <row r="1259" ht="15.75" customHeight="1">
      <c r="A1259" s="148">
        <v>46148.0</v>
      </c>
      <c r="B1259" s="110" t="s">
        <v>1989</v>
      </c>
      <c r="C1259" s="106">
        <v>1.0</v>
      </c>
      <c r="D1259" s="149" t="str">
        <f>_xlfn.XLOOKUP(B1259,[1]FullDataList!F:F,[1]FullDataList!O:O)</f>
        <v>#ERROR!</v>
      </c>
      <c r="E1259" s="110" t="s">
        <v>4099</v>
      </c>
      <c r="H1259" s="138"/>
      <c r="J1259" s="138"/>
    </row>
    <row r="1260" ht="15.75" customHeight="1">
      <c r="A1260" s="148">
        <v>46148.0</v>
      </c>
      <c r="B1260" s="110" t="s">
        <v>2611</v>
      </c>
      <c r="C1260" s="106">
        <v>1.0</v>
      </c>
      <c r="D1260" s="149" t="str">
        <f>_xlfn.XLOOKUP(B1260,[1]FullDataList!F:F,[1]FullDataList!O:O)</f>
        <v>#ERROR!</v>
      </c>
      <c r="E1260" s="110" t="s">
        <v>4100</v>
      </c>
      <c r="H1260" s="138"/>
      <c r="J1260" s="138"/>
    </row>
    <row r="1261" ht="15.75" customHeight="1">
      <c r="A1261" s="148">
        <v>46148.0</v>
      </c>
      <c r="B1261" s="110" t="s">
        <v>2571</v>
      </c>
      <c r="C1261" s="106">
        <v>1.0</v>
      </c>
      <c r="D1261" s="149" t="str">
        <f>_xlfn.XLOOKUP(B1261,[1]FullDataList!F:F,[1]FullDataList!O:O)</f>
        <v>#ERROR!</v>
      </c>
      <c r="E1261" s="110" t="s">
        <v>4101</v>
      </c>
      <c r="H1261" s="138"/>
      <c r="J1261" s="138"/>
    </row>
    <row r="1262" ht="15.75" customHeight="1">
      <c r="A1262" s="148">
        <v>46149.0</v>
      </c>
      <c r="B1262" s="110" t="s">
        <v>2539</v>
      </c>
      <c r="C1262" s="106">
        <v>1.0</v>
      </c>
      <c r="D1262" s="149" t="str">
        <f>_xlfn.XLOOKUP(B1262,[1]FullDataList!F:F,[1]FullDataList!O:O)</f>
        <v>#ERROR!</v>
      </c>
      <c r="E1262" s="110" t="s">
        <v>4069</v>
      </c>
      <c r="H1262" s="138"/>
      <c r="J1262" s="138"/>
    </row>
    <row r="1263" ht="15.75" customHeight="1">
      <c r="A1263" s="148">
        <v>46149.0</v>
      </c>
      <c r="B1263" s="110" t="s">
        <v>1901</v>
      </c>
      <c r="C1263" s="106">
        <v>1.0</v>
      </c>
      <c r="D1263" s="149" t="str">
        <f>_xlfn.XLOOKUP(B1263,[1]FullDataList!F:F,[1]FullDataList!O:O)</f>
        <v>#ERROR!</v>
      </c>
      <c r="E1263" s="110" t="s">
        <v>4059</v>
      </c>
      <c r="H1263" s="138"/>
      <c r="J1263" s="138"/>
    </row>
    <row r="1264" ht="15.75" customHeight="1">
      <c r="A1264" s="148">
        <v>46149.0</v>
      </c>
      <c r="B1264" s="110" t="s">
        <v>549</v>
      </c>
      <c r="C1264" s="106">
        <v>1.0</v>
      </c>
      <c r="D1264" s="149" t="str">
        <f>_xlfn.XLOOKUP(B1264,[1]FullDataList!F:F,[1]FullDataList!O:O)</f>
        <v>#ERROR!</v>
      </c>
      <c r="E1264" s="110" t="s">
        <v>4061</v>
      </c>
      <c r="H1264" s="138"/>
      <c r="J1264" s="138"/>
    </row>
    <row r="1265" ht="15.75" customHeight="1">
      <c r="A1265" s="148">
        <v>46149.0</v>
      </c>
      <c r="B1265" s="110" t="s">
        <v>2384</v>
      </c>
      <c r="C1265" s="106">
        <v>1.0</v>
      </c>
      <c r="D1265" s="149" t="str">
        <f>_xlfn.XLOOKUP(B1265,[1]FullDataList!F:F,[1]FullDataList!O:O)</f>
        <v>#ERROR!</v>
      </c>
      <c r="E1265" s="110" t="s">
        <v>4064</v>
      </c>
      <c r="H1265" s="138"/>
      <c r="J1265" s="138"/>
    </row>
    <row r="1266" ht="15.75" customHeight="1">
      <c r="A1266" s="148">
        <v>46149.0</v>
      </c>
      <c r="B1266" s="110" t="s">
        <v>2649</v>
      </c>
      <c r="C1266" s="106">
        <v>1.0</v>
      </c>
      <c r="D1266" s="149" t="str">
        <f>_xlfn.XLOOKUP(B1266,[1]FullDataList!F:F,[1]FullDataList!O:O)</f>
        <v>#ERROR!</v>
      </c>
      <c r="E1266" s="110" t="s">
        <v>4065</v>
      </c>
      <c r="H1266" s="138"/>
      <c r="J1266" s="138"/>
    </row>
    <row r="1267" ht="15.75" customHeight="1">
      <c r="A1267" s="148">
        <v>46149.0</v>
      </c>
      <c r="B1267" s="110" t="s">
        <v>2002</v>
      </c>
      <c r="C1267" s="106">
        <v>1.0</v>
      </c>
      <c r="D1267" s="149" t="str">
        <f>_xlfn.XLOOKUP(B1267,[1]FullDataList!F:F,[1]FullDataList!O:O)</f>
        <v>#ERROR!</v>
      </c>
      <c r="E1267" s="110" t="s">
        <v>4067</v>
      </c>
      <c r="H1267" s="138"/>
      <c r="J1267" s="138"/>
    </row>
    <row r="1268" ht="15.75" customHeight="1">
      <c r="A1268" s="148">
        <v>46149.0</v>
      </c>
      <c r="B1268" s="110" t="s">
        <v>3971</v>
      </c>
      <c r="C1268" s="106">
        <v>1.0</v>
      </c>
      <c r="D1268" s="149" t="str">
        <f>_xlfn.XLOOKUP(B1268,[1]FullDataList!F:F,[1]FullDataList!O:O)</f>
        <v>#ERROR!</v>
      </c>
      <c r="E1268" s="110" t="s">
        <v>4102</v>
      </c>
      <c r="H1268" s="138"/>
      <c r="J1268" s="138"/>
    </row>
    <row r="1269" ht="15.75" customHeight="1">
      <c r="A1269" s="148">
        <v>46149.0</v>
      </c>
      <c r="B1269" s="110" t="s">
        <v>2522</v>
      </c>
      <c r="C1269" s="106">
        <v>1.0</v>
      </c>
      <c r="D1269" s="149" t="str">
        <f>_xlfn.XLOOKUP(B1269,[1]FullDataList!F:F,[1]FullDataList!O:O)</f>
        <v>#ERROR!</v>
      </c>
      <c r="E1269" s="110" t="s">
        <v>4026</v>
      </c>
      <c r="H1269" s="138"/>
      <c r="J1269" s="138"/>
    </row>
    <row r="1270" ht="15.75" customHeight="1">
      <c r="A1270" s="148">
        <v>46149.0</v>
      </c>
      <c r="B1270" s="110" t="s">
        <v>1902</v>
      </c>
      <c r="C1270" s="106">
        <v>1.0</v>
      </c>
      <c r="D1270" s="149" t="str">
        <f>_xlfn.XLOOKUP(B1270,[1]FullDataList!F:F,[1]FullDataList!O:O)</f>
        <v>#ERROR!</v>
      </c>
      <c r="E1270" s="110" t="s">
        <v>4028</v>
      </c>
      <c r="H1270" s="138"/>
      <c r="J1270" s="138"/>
    </row>
    <row r="1271" ht="15.75" customHeight="1">
      <c r="A1271" s="148">
        <v>46149.0</v>
      </c>
      <c r="B1271" s="110" t="s">
        <v>1880</v>
      </c>
      <c r="C1271" s="106">
        <v>1.0</v>
      </c>
      <c r="D1271" s="149" t="str">
        <f>_xlfn.XLOOKUP(B1271,[1]FullDataList!F:F,[1]FullDataList!O:O)</f>
        <v>#ERROR!</v>
      </c>
      <c r="E1271" s="110" t="s">
        <v>4060</v>
      </c>
      <c r="H1271" s="138"/>
      <c r="J1271" s="138"/>
    </row>
    <row r="1272" ht="15.75" customHeight="1">
      <c r="A1272" s="148">
        <v>46149.0</v>
      </c>
      <c r="B1272" s="110" t="s">
        <v>1722</v>
      </c>
      <c r="C1272" s="106">
        <v>1.0</v>
      </c>
      <c r="D1272" s="149" t="str">
        <f>_xlfn.XLOOKUP(B1272,[1]FullDataList!F:F,[1]FullDataList!O:O)</f>
        <v>#ERROR!</v>
      </c>
      <c r="E1272" s="110" t="s">
        <v>4037</v>
      </c>
      <c r="H1272" s="138"/>
      <c r="J1272" s="138"/>
    </row>
    <row r="1273" ht="15.75" customHeight="1">
      <c r="A1273" s="148">
        <v>46149.0</v>
      </c>
      <c r="B1273" s="110" t="s">
        <v>2533</v>
      </c>
      <c r="C1273" s="106">
        <v>1.0</v>
      </c>
      <c r="D1273" s="149" t="str">
        <f>_xlfn.XLOOKUP(B1273,[1]FullDataList!F:F,[1]FullDataList!O:O)</f>
        <v>#ERROR!</v>
      </c>
      <c r="E1273" s="110" t="s">
        <v>4047</v>
      </c>
      <c r="H1273" s="138"/>
      <c r="J1273" s="138"/>
    </row>
    <row r="1274" ht="15.75" customHeight="1">
      <c r="A1274" s="148">
        <v>46149.0</v>
      </c>
      <c r="B1274" s="110" t="s">
        <v>2473</v>
      </c>
      <c r="C1274" s="106">
        <v>1.0</v>
      </c>
      <c r="D1274" s="149" t="str">
        <f>_xlfn.XLOOKUP(B1274,[1]FullDataList!F:F,[1]FullDataList!O:O)</f>
        <v>#ERROR!</v>
      </c>
      <c r="E1274" s="110" t="s">
        <v>4048</v>
      </c>
      <c r="H1274" s="138"/>
      <c r="J1274" s="138"/>
    </row>
    <row r="1275" ht="15.75" customHeight="1">
      <c r="A1275" s="148">
        <v>46149.0</v>
      </c>
      <c r="B1275" s="110" t="s">
        <v>1860</v>
      </c>
      <c r="C1275" s="106">
        <v>1.0</v>
      </c>
      <c r="D1275" s="149" t="str">
        <f>_xlfn.XLOOKUP(B1275,[1]FullDataList!F:F,[1]FullDataList!O:O)</f>
        <v>#ERROR!</v>
      </c>
      <c r="E1275" s="110" t="s">
        <v>4054</v>
      </c>
      <c r="H1275" s="138"/>
      <c r="J1275" s="138"/>
    </row>
    <row r="1276" ht="15.75" customHeight="1">
      <c r="A1276" s="148">
        <v>46149.0</v>
      </c>
      <c r="B1276" s="110" t="s">
        <v>2394</v>
      </c>
      <c r="C1276" s="106">
        <v>1.0</v>
      </c>
      <c r="D1276" s="149" t="str">
        <f>_xlfn.XLOOKUP(B1276,[1]FullDataList!F:F,[1]FullDataList!O:O)</f>
        <v>#ERROR!</v>
      </c>
      <c r="E1276" s="110" t="s">
        <v>4049</v>
      </c>
      <c r="H1276" s="138"/>
      <c r="J1276" s="138"/>
    </row>
    <row r="1277" ht="15.75" customHeight="1">
      <c r="A1277" s="148">
        <v>46149.0</v>
      </c>
      <c r="B1277" s="110" t="s">
        <v>2675</v>
      </c>
      <c r="C1277" s="106">
        <v>1.0</v>
      </c>
      <c r="D1277" s="149" t="str">
        <f>_xlfn.XLOOKUP(B1277,[1]FullDataList!F:F,[1]FullDataList!O:O)</f>
        <v>#ERROR!</v>
      </c>
      <c r="E1277" s="110" t="s">
        <v>4051</v>
      </c>
      <c r="H1277" s="138"/>
      <c r="J1277" s="138"/>
    </row>
    <row r="1278" ht="15.75" customHeight="1">
      <c r="A1278" s="148">
        <v>46149.0</v>
      </c>
      <c r="B1278" s="110" t="s">
        <v>2503</v>
      </c>
      <c r="C1278" s="106">
        <v>1.0</v>
      </c>
      <c r="D1278" s="149" t="str">
        <f>_xlfn.XLOOKUP(B1278,[1]FullDataList!F:F,[1]FullDataList!O:O)</f>
        <v>#ERROR!</v>
      </c>
      <c r="E1278" s="110" t="s">
        <v>4053</v>
      </c>
      <c r="H1278" s="138"/>
      <c r="J1278" s="138"/>
    </row>
    <row r="1279" ht="15.75" customHeight="1">
      <c r="A1279" s="148">
        <v>46149.0</v>
      </c>
      <c r="B1279" s="110" t="s">
        <v>2545</v>
      </c>
      <c r="C1279" s="106">
        <v>1.0</v>
      </c>
      <c r="D1279" s="149" t="str">
        <f>_xlfn.XLOOKUP(B1279,[1]FullDataList!F:F,[1]FullDataList!O:O)</f>
        <v>#ERROR!</v>
      </c>
      <c r="E1279" s="110" t="s">
        <v>4103</v>
      </c>
      <c r="H1279" s="138"/>
      <c r="J1279" s="138"/>
    </row>
    <row r="1280" ht="15.75" customHeight="1">
      <c r="A1280" s="148">
        <v>46149.0</v>
      </c>
      <c r="B1280" s="110" t="s">
        <v>2566</v>
      </c>
      <c r="C1280" s="106">
        <v>1.0</v>
      </c>
      <c r="D1280" s="149" t="str">
        <f>_xlfn.XLOOKUP(B1280,[1]FullDataList!F:F,[1]FullDataList!O:O)</f>
        <v>#ERROR!</v>
      </c>
      <c r="E1280" s="110" t="s">
        <v>4103</v>
      </c>
      <c r="H1280" s="138"/>
      <c r="J1280" s="138"/>
    </row>
    <row r="1281" ht="15.75" customHeight="1">
      <c r="A1281" s="148">
        <v>46149.0</v>
      </c>
      <c r="B1281" s="110" t="s">
        <v>2350</v>
      </c>
      <c r="C1281" s="106">
        <v>1.0</v>
      </c>
      <c r="D1281" s="149" t="str">
        <f>_xlfn.XLOOKUP(B1281,[1]FullDataList!F:F,[1]FullDataList!O:O)</f>
        <v>#ERROR!</v>
      </c>
      <c r="E1281" s="110" t="s">
        <v>4004</v>
      </c>
      <c r="H1281" s="138"/>
      <c r="J1281" s="138"/>
    </row>
    <row r="1282" ht="15.75" customHeight="1">
      <c r="A1282" s="148">
        <v>46149.0</v>
      </c>
      <c r="B1282" s="110" t="s">
        <v>2470</v>
      </c>
      <c r="C1282" s="106">
        <v>1.0</v>
      </c>
      <c r="D1282" s="149" t="str">
        <f>_xlfn.XLOOKUP(B1282,[1]FullDataList!F:F,[1]FullDataList!O:O)</f>
        <v>#ERROR!</v>
      </c>
      <c r="E1282" s="110" t="s">
        <v>4009</v>
      </c>
      <c r="H1282" s="138"/>
      <c r="J1282" s="138"/>
    </row>
    <row r="1283" ht="15.75" customHeight="1">
      <c r="A1283" s="148">
        <v>46149.0</v>
      </c>
      <c r="B1283" s="110" t="s">
        <v>2598</v>
      </c>
      <c r="C1283" s="106">
        <v>1.0</v>
      </c>
      <c r="D1283" s="149" t="str">
        <f>_xlfn.XLOOKUP(B1283,[1]FullDataList!F:F,[1]FullDataList!O:O)</f>
        <v>#ERROR!</v>
      </c>
      <c r="E1283" s="110" t="s">
        <v>4040</v>
      </c>
      <c r="H1283" s="138"/>
      <c r="J1283" s="138"/>
    </row>
    <row r="1284" ht="15.75" customHeight="1">
      <c r="A1284" s="148">
        <v>46149.0</v>
      </c>
      <c r="B1284" s="110" t="s">
        <v>1884</v>
      </c>
      <c r="C1284" s="106">
        <v>1.0</v>
      </c>
      <c r="D1284" s="149" t="str">
        <f>_xlfn.XLOOKUP(B1284,[1]FullDataList!F:F,[1]FullDataList!O:O)</f>
        <v>#ERROR!</v>
      </c>
      <c r="E1284" s="110" t="s">
        <v>4032</v>
      </c>
      <c r="H1284" s="138"/>
      <c r="J1284" s="138"/>
    </row>
    <row r="1285" ht="15.75" customHeight="1">
      <c r="A1285" s="148">
        <v>46149.0</v>
      </c>
      <c r="B1285" s="110" t="s">
        <v>255</v>
      </c>
      <c r="C1285" s="106">
        <v>1.0</v>
      </c>
      <c r="D1285" s="149" t="str">
        <f>_xlfn.XLOOKUP(B1285,[1]FullDataList!F:F,[1]FullDataList!O:O)</f>
        <v>#ERROR!</v>
      </c>
      <c r="E1285" s="110" t="s">
        <v>4066</v>
      </c>
      <c r="H1285" s="138"/>
      <c r="J1285" s="138"/>
    </row>
    <row r="1286" ht="15.75" customHeight="1">
      <c r="A1286" s="148">
        <v>46149.0</v>
      </c>
      <c r="B1286" s="110" t="s">
        <v>2636</v>
      </c>
      <c r="C1286" s="106">
        <v>1.0</v>
      </c>
      <c r="D1286" s="149" t="str">
        <f>_xlfn.XLOOKUP(B1286,[1]FullDataList!F:F,[1]FullDataList!O:O)</f>
        <v>#ERROR!</v>
      </c>
      <c r="E1286" s="110" t="s">
        <v>4062</v>
      </c>
      <c r="H1286" s="138"/>
      <c r="J1286" s="138"/>
    </row>
    <row r="1287" ht="15.75" customHeight="1">
      <c r="A1287" s="148">
        <v>46149.0</v>
      </c>
      <c r="B1287" s="110" t="s">
        <v>296</v>
      </c>
      <c r="C1287" s="106">
        <v>1.0</v>
      </c>
      <c r="D1287" s="149" t="str">
        <f>_xlfn.XLOOKUP(B1287,[1]FullDataList!F:F,[1]FullDataList!O:O)</f>
        <v>#ERROR!</v>
      </c>
      <c r="E1287" s="110" t="s">
        <v>4042</v>
      </c>
      <c r="H1287" s="138"/>
      <c r="J1287" s="138"/>
    </row>
    <row r="1288" ht="15.75" customHeight="1">
      <c r="A1288" s="148">
        <v>46149.0</v>
      </c>
      <c r="B1288" s="110" t="s">
        <v>433</v>
      </c>
      <c r="C1288" s="106">
        <v>1.0</v>
      </c>
      <c r="D1288" s="149" t="str">
        <f>_xlfn.XLOOKUP(B1288,[1]FullDataList!F:F,[1]FullDataList!O:O)</f>
        <v>#ERROR!</v>
      </c>
      <c r="E1288" s="110" t="s">
        <v>4044</v>
      </c>
      <c r="H1288" s="138"/>
      <c r="J1288" s="138"/>
    </row>
    <row r="1289" ht="15.75" customHeight="1">
      <c r="A1289" s="148">
        <v>46149.0</v>
      </c>
      <c r="B1289" s="110" t="s">
        <v>1757</v>
      </c>
      <c r="C1289" s="106">
        <v>1.0</v>
      </c>
      <c r="D1289" s="149" t="str">
        <f>_xlfn.XLOOKUP(B1289,[1]FullDataList!F:F,[1]FullDataList!O:O)</f>
        <v>#ERROR!</v>
      </c>
      <c r="E1289" s="110" t="s">
        <v>4027</v>
      </c>
      <c r="H1289" s="138"/>
      <c r="J1289" s="138"/>
    </row>
    <row r="1290" ht="15.75" customHeight="1">
      <c r="A1290" s="148">
        <v>46149.0</v>
      </c>
      <c r="B1290" s="110" t="s">
        <v>1723</v>
      </c>
      <c r="C1290" s="106">
        <v>1.0</v>
      </c>
      <c r="D1290" s="149" t="str">
        <f>_xlfn.XLOOKUP(B1290,[1]FullDataList!F:F,[1]FullDataList!O:O)</f>
        <v>#ERROR!</v>
      </c>
      <c r="E1290" s="110" t="s">
        <v>4055</v>
      </c>
      <c r="H1290" s="138"/>
      <c r="J1290" s="138"/>
    </row>
    <row r="1291" ht="15.75" customHeight="1">
      <c r="A1291" s="148">
        <v>46149.0</v>
      </c>
      <c r="B1291" s="110" t="s">
        <v>2526</v>
      </c>
      <c r="C1291" s="106">
        <v>1.0</v>
      </c>
      <c r="D1291" s="149" t="str">
        <f>_xlfn.XLOOKUP(B1291,[1]FullDataList!F:F,[1]FullDataList!O:O)</f>
        <v>#ERROR!</v>
      </c>
      <c r="E1291" s="110" t="s">
        <v>4056</v>
      </c>
      <c r="H1291" s="138"/>
      <c r="J1291" s="138"/>
    </row>
    <row r="1292" ht="15.75" customHeight="1">
      <c r="A1292" s="148">
        <v>46149.0</v>
      </c>
      <c r="B1292" s="110" t="s">
        <v>954</v>
      </c>
      <c r="C1292" s="106">
        <v>1.0</v>
      </c>
      <c r="D1292" s="149" t="str">
        <f>_xlfn.XLOOKUP(B1292,[1]FullDataList!F:F,[1]FullDataList!O:O)</f>
        <v>#ERROR!</v>
      </c>
      <c r="E1292" s="110" t="s">
        <v>4008</v>
      </c>
      <c r="H1292" s="138"/>
      <c r="J1292" s="138"/>
    </row>
    <row r="1293" ht="15.75" customHeight="1">
      <c r="A1293" s="148">
        <v>46149.0</v>
      </c>
      <c r="B1293" s="110" t="s">
        <v>2531</v>
      </c>
      <c r="C1293" s="106">
        <v>1.0</v>
      </c>
      <c r="D1293" s="149" t="str">
        <f>_xlfn.XLOOKUP(B1293,[1]FullDataList!F:F,[1]FullDataList!O:O)</f>
        <v>#ERROR!</v>
      </c>
      <c r="E1293" s="110" t="s">
        <v>4012</v>
      </c>
      <c r="H1293" s="138"/>
      <c r="J1293" s="138"/>
    </row>
    <row r="1294" ht="15.75" customHeight="1">
      <c r="A1294" s="148">
        <v>46149.0</v>
      </c>
      <c r="B1294" s="110" t="s">
        <v>2449</v>
      </c>
      <c r="C1294" s="106">
        <v>1.0</v>
      </c>
      <c r="D1294" s="149" t="str">
        <f>_xlfn.XLOOKUP(B1294,[1]FullDataList!F:F,[1]FullDataList!O:O)</f>
        <v>#ERROR!</v>
      </c>
      <c r="E1294" s="110" t="s">
        <v>4058</v>
      </c>
      <c r="H1294" s="138"/>
      <c r="J1294" s="138"/>
    </row>
    <row r="1295" ht="15.75" customHeight="1">
      <c r="A1295" s="148">
        <v>46149.0</v>
      </c>
      <c r="B1295" s="110" t="s">
        <v>1990</v>
      </c>
      <c r="C1295" s="106">
        <v>1.0</v>
      </c>
      <c r="D1295" s="149" t="str">
        <f>_xlfn.XLOOKUP(B1295,[1]FullDataList!F:F,[1]FullDataList!O:O)</f>
        <v>#ERROR!</v>
      </c>
      <c r="E1295" s="110" t="s">
        <v>4011</v>
      </c>
      <c r="H1295" s="138"/>
      <c r="J1295" s="138"/>
    </row>
    <row r="1296" ht="15.75" customHeight="1">
      <c r="A1296" s="148">
        <v>46149.0</v>
      </c>
      <c r="B1296" s="110" t="s">
        <v>2616</v>
      </c>
      <c r="C1296" s="106">
        <v>1.0</v>
      </c>
      <c r="D1296" s="149" t="str">
        <f>_xlfn.XLOOKUP(B1296,[1]FullDataList!F:F,[1]FullDataList!O:O)</f>
        <v>#ERROR!</v>
      </c>
      <c r="E1296" s="110" t="s">
        <v>4003</v>
      </c>
      <c r="H1296" s="138"/>
      <c r="J1296" s="138"/>
    </row>
    <row r="1297" ht="15.75" customHeight="1">
      <c r="A1297" s="148">
        <v>46149.0</v>
      </c>
      <c r="B1297" s="110" t="s">
        <v>2528</v>
      </c>
      <c r="C1297" s="106">
        <v>1.0</v>
      </c>
      <c r="D1297" s="149" t="str">
        <f>_xlfn.XLOOKUP(B1297,[1]FullDataList!F:F,[1]FullDataList!O:O)</f>
        <v>#ERROR!</v>
      </c>
      <c r="E1297" s="110" t="s">
        <v>4025</v>
      </c>
      <c r="H1297" s="138"/>
      <c r="J1297" s="138"/>
    </row>
    <row r="1298" ht="15.75" customHeight="1">
      <c r="A1298" s="148">
        <v>46149.0</v>
      </c>
      <c r="B1298" s="110" t="s">
        <v>2459</v>
      </c>
      <c r="C1298" s="106">
        <v>1.0</v>
      </c>
      <c r="D1298" s="149" t="str">
        <f>_xlfn.XLOOKUP(B1298,[1]FullDataList!F:F,[1]FullDataList!O:O)</f>
        <v>#ERROR!</v>
      </c>
      <c r="E1298" s="110" t="s">
        <v>4057</v>
      </c>
      <c r="H1298" s="138"/>
      <c r="J1298" s="138"/>
    </row>
    <row r="1299" ht="15.75" customHeight="1">
      <c r="A1299" s="148">
        <v>46150.0</v>
      </c>
      <c r="B1299" s="110" t="s">
        <v>2551</v>
      </c>
      <c r="C1299" s="106">
        <v>1.0</v>
      </c>
      <c r="D1299" s="110">
        <v>1.782</v>
      </c>
      <c r="E1299" s="105" t="s">
        <v>4069</v>
      </c>
      <c r="H1299" s="138"/>
      <c r="J1299" s="138"/>
    </row>
    <row r="1300" ht="15.75" customHeight="1">
      <c r="A1300" s="148">
        <v>46150.0</v>
      </c>
      <c r="B1300" s="110" t="s">
        <v>1694</v>
      </c>
      <c r="C1300" s="106">
        <v>1.0</v>
      </c>
      <c r="D1300" s="110">
        <v>2.23</v>
      </c>
      <c r="E1300" s="105" t="s">
        <v>4104</v>
      </c>
      <c r="H1300" s="138"/>
      <c r="J1300" s="138"/>
    </row>
    <row r="1301" ht="15.75" customHeight="1">
      <c r="A1301" s="148">
        <v>46150.0</v>
      </c>
      <c r="B1301" s="110" t="s">
        <v>923</v>
      </c>
      <c r="C1301" s="106">
        <v>1.0</v>
      </c>
      <c r="D1301" s="110">
        <v>2.713</v>
      </c>
      <c r="E1301" s="105" t="s">
        <v>4105</v>
      </c>
      <c r="H1301" s="138"/>
      <c r="J1301" s="138"/>
    </row>
    <row r="1302" ht="15.75" customHeight="1">
      <c r="A1302" s="148">
        <v>46150.0</v>
      </c>
      <c r="B1302" s="110" t="s">
        <v>550</v>
      </c>
      <c r="C1302" s="106">
        <v>1.0</v>
      </c>
      <c r="D1302" s="110">
        <v>2.208</v>
      </c>
      <c r="E1302" s="105" t="s">
        <v>4106</v>
      </c>
      <c r="H1302" s="138"/>
      <c r="J1302" s="138"/>
    </row>
    <row r="1303" ht="15.75" customHeight="1">
      <c r="A1303" s="148">
        <v>46150.0</v>
      </c>
      <c r="B1303" s="110" t="s">
        <v>2367</v>
      </c>
      <c r="C1303" s="106">
        <v>1.0</v>
      </c>
      <c r="D1303" s="110">
        <v>1.72</v>
      </c>
      <c r="E1303" s="105" t="s">
        <v>4107</v>
      </c>
      <c r="H1303" s="138"/>
      <c r="J1303" s="138"/>
    </row>
    <row r="1304" ht="15.75" customHeight="1">
      <c r="A1304" s="148">
        <v>46150.0</v>
      </c>
      <c r="B1304" s="110" t="s">
        <v>2650</v>
      </c>
      <c r="C1304" s="106">
        <v>1.0</v>
      </c>
      <c r="D1304" s="110">
        <v>1.774</v>
      </c>
      <c r="E1304" s="105" t="s">
        <v>4108</v>
      </c>
      <c r="H1304" s="138"/>
      <c r="J1304" s="138"/>
    </row>
    <row r="1305" ht="15.75" customHeight="1">
      <c r="A1305" s="148">
        <v>46150.0</v>
      </c>
      <c r="B1305" s="110" t="s">
        <v>1872</v>
      </c>
      <c r="C1305" s="106">
        <v>1.0</v>
      </c>
      <c r="D1305" s="110">
        <v>0.859</v>
      </c>
      <c r="E1305" s="105" t="s">
        <v>4109</v>
      </c>
      <c r="H1305" s="138"/>
      <c r="J1305" s="138"/>
    </row>
    <row r="1306" ht="15.75" customHeight="1">
      <c r="A1306" s="148">
        <v>46150.0</v>
      </c>
      <c r="B1306" s="110" t="s">
        <v>3973</v>
      </c>
      <c r="C1306" s="106">
        <v>1.0</v>
      </c>
      <c r="D1306" s="110">
        <v>0.764</v>
      </c>
      <c r="E1306" s="105" t="s">
        <v>4110</v>
      </c>
      <c r="H1306" s="138"/>
      <c r="J1306" s="138"/>
    </row>
    <row r="1307" ht="15.75" customHeight="1">
      <c r="A1307" s="148">
        <v>46150.0</v>
      </c>
      <c r="B1307" s="110" t="s">
        <v>1773</v>
      </c>
      <c r="C1307" s="106">
        <v>1.0</v>
      </c>
      <c r="D1307" s="110">
        <v>2.02</v>
      </c>
      <c r="E1307" s="105" t="s">
        <v>4111</v>
      </c>
      <c r="H1307" s="138"/>
      <c r="J1307" s="138"/>
    </row>
    <row r="1308" ht="15.75" customHeight="1">
      <c r="A1308" s="148">
        <v>46150.0</v>
      </c>
      <c r="B1308" s="110" t="s">
        <v>1797</v>
      </c>
      <c r="C1308" s="106">
        <v>1.0</v>
      </c>
      <c r="D1308" s="110">
        <v>2.177</v>
      </c>
      <c r="E1308" s="105" t="s">
        <v>4112</v>
      </c>
      <c r="H1308" s="138"/>
      <c r="J1308" s="138"/>
    </row>
    <row r="1309" ht="15.75" customHeight="1">
      <c r="A1309" s="148">
        <v>46150.0</v>
      </c>
      <c r="B1309" s="110" t="s">
        <v>1897</v>
      </c>
      <c r="C1309" s="106">
        <v>1.0</v>
      </c>
      <c r="D1309" s="110">
        <v>1.881</v>
      </c>
      <c r="E1309" s="105" t="s">
        <v>4113</v>
      </c>
      <c r="H1309" s="138"/>
      <c r="J1309" s="138"/>
    </row>
    <row r="1310" ht="15.75" customHeight="1">
      <c r="A1310" s="148">
        <v>46150.0</v>
      </c>
      <c r="B1310" s="110" t="s">
        <v>2215</v>
      </c>
      <c r="C1310" s="106">
        <v>1.0</v>
      </c>
      <c r="D1310" s="110">
        <v>0.845</v>
      </c>
      <c r="E1310" s="105" t="s">
        <v>4114</v>
      </c>
      <c r="H1310" s="138"/>
      <c r="J1310" s="138"/>
    </row>
    <row r="1311" ht="15.75" customHeight="1">
      <c r="A1311" s="148">
        <v>46150.0</v>
      </c>
      <c r="B1311" s="110" t="s">
        <v>2386</v>
      </c>
      <c r="C1311" s="106">
        <v>1.0</v>
      </c>
      <c r="D1311" s="110">
        <v>0.48</v>
      </c>
      <c r="E1311" s="105" t="s">
        <v>4115</v>
      </c>
      <c r="H1311" s="138"/>
      <c r="J1311" s="138"/>
    </row>
    <row r="1312" ht="15.75" customHeight="1">
      <c r="A1312" s="148">
        <v>46150.0</v>
      </c>
      <c r="B1312" s="110" t="s">
        <v>2644</v>
      </c>
      <c r="C1312" s="106">
        <v>1.0</v>
      </c>
      <c r="D1312" s="110">
        <v>0.515</v>
      </c>
      <c r="E1312" s="105" t="s">
        <v>4116</v>
      </c>
      <c r="H1312" s="138"/>
      <c r="J1312" s="138"/>
    </row>
    <row r="1313" ht="15.75" customHeight="1">
      <c r="A1313" s="148">
        <v>46150.0</v>
      </c>
      <c r="B1313" s="110" t="s">
        <v>1874</v>
      </c>
      <c r="C1313" s="106">
        <v>1.0</v>
      </c>
      <c r="D1313" s="110">
        <v>1.047</v>
      </c>
      <c r="E1313" s="105" t="s">
        <v>4117</v>
      </c>
      <c r="H1313" s="138"/>
      <c r="J1313" s="138"/>
    </row>
    <row r="1314" ht="15.75" customHeight="1">
      <c r="A1314" s="148">
        <v>46150.0</v>
      </c>
      <c r="B1314" s="110" t="s">
        <v>2361</v>
      </c>
      <c r="C1314" s="106">
        <v>1.0</v>
      </c>
      <c r="D1314" s="110">
        <v>1.205</v>
      </c>
      <c r="E1314" s="105" t="s">
        <v>4118</v>
      </c>
      <c r="H1314" s="138"/>
      <c r="J1314" s="138"/>
    </row>
    <row r="1315" ht="15.75" customHeight="1">
      <c r="A1315" s="148">
        <v>46150.0</v>
      </c>
      <c r="B1315" s="110" t="s">
        <v>2676</v>
      </c>
      <c r="C1315" s="106">
        <v>1.0</v>
      </c>
      <c r="D1315" s="110">
        <v>1.495</v>
      </c>
      <c r="E1315" s="105" t="s">
        <v>4119</v>
      </c>
      <c r="H1315" s="138"/>
      <c r="J1315" s="138"/>
    </row>
    <row r="1316" ht="15.75" customHeight="1">
      <c r="A1316" s="148">
        <v>46150.0</v>
      </c>
      <c r="B1316" s="110" t="s">
        <v>1770</v>
      </c>
      <c r="C1316" s="106">
        <v>1.0</v>
      </c>
      <c r="D1316" s="110">
        <v>1.86</v>
      </c>
      <c r="E1316" s="105" t="s">
        <v>4120</v>
      </c>
      <c r="H1316" s="138"/>
      <c r="J1316" s="138"/>
    </row>
    <row r="1317" ht="15.75" customHeight="1">
      <c r="A1317" s="148">
        <v>46150.0</v>
      </c>
      <c r="B1317" s="110" t="s">
        <v>1830</v>
      </c>
      <c r="C1317" s="106">
        <v>1.0</v>
      </c>
      <c r="D1317" s="110">
        <v>1.95</v>
      </c>
      <c r="E1317" s="105" t="s">
        <v>4121</v>
      </c>
      <c r="H1317" s="138"/>
      <c r="J1317" s="138"/>
    </row>
    <row r="1318" ht="15.75" customHeight="1">
      <c r="A1318" s="148">
        <v>46150.0</v>
      </c>
      <c r="B1318" s="110" t="s">
        <v>2546</v>
      </c>
      <c r="C1318" s="106">
        <v>1.0</v>
      </c>
      <c r="D1318" s="110">
        <v>1.782</v>
      </c>
      <c r="E1318" s="105" t="s">
        <v>4122</v>
      </c>
      <c r="H1318" s="138"/>
      <c r="J1318" s="138"/>
    </row>
    <row r="1319" ht="15.75" customHeight="1">
      <c r="A1319" s="148">
        <v>46150.0</v>
      </c>
      <c r="B1319" s="110" t="s">
        <v>2567</v>
      </c>
      <c r="C1319" s="106">
        <v>1.0</v>
      </c>
      <c r="D1319" s="110">
        <v>1.782</v>
      </c>
      <c r="E1319" s="105" t="s">
        <v>4122</v>
      </c>
      <c r="H1319" s="138"/>
      <c r="J1319" s="138"/>
    </row>
    <row r="1320" ht="15.75" customHeight="1">
      <c r="A1320" s="148">
        <v>46150.0</v>
      </c>
      <c r="B1320" s="110" t="s">
        <v>2383</v>
      </c>
      <c r="C1320" s="106">
        <v>1.0</v>
      </c>
      <c r="D1320" s="110">
        <v>1.205</v>
      </c>
      <c r="E1320" s="105" t="s">
        <v>4009</v>
      </c>
      <c r="H1320" s="138"/>
      <c r="J1320" s="138"/>
    </row>
    <row r="1321" ht="15.75" customHeight="1">
      <c r="A1321" s="148">
        <v>46150.0</v>
      </c>
      <c r="B1321" s="110" t="s">
        <v>2599</v>
      </c>
      <c r="C1321" s="106">
        <v>1.0</v>
      </c>
      <c r="D1321" s="110">
        <v>1.782</v>
      </c>
      <c r="E1321" s="105" t="s">
        <v>4040</v>
      </c>
      <c r="H1321" s="138"/>
      <c r="J1321" s="138"/>
    </row>
    <row r="1322" ht="15.75" customHeight="1">
      <c r="A1322" s="148">
        <v>46150.0</v>
      </c>
      <c r="B1322" s="110" t="s">
        <v>2460</v>
      </c>
      <c r="C1322" s="106">
        <v>1.0</v>
      </c>
      <c r="D1322" s="110">
        <v>2.35</v>
      </c>
      <c r="E1322" s="105" t="s">
        <v>4032</v>
      </c>
      <c r="H1322" s="138"/>
      <c r="J1322" s="138"/>
    </row>
    <row r="1323" ht="15.75" customHeight="1">
      <c r="A1323" s="148">
        <v>46150.0</v>
      </c>
      <c r="B1323" s="110" t="s">
        <v>254</v>
      </c>
      <c r="C1323" s="106">
        <v>1.0</v>
      </c>
      <c r="D1323" s="110">
        <v>2.204</v>
      </c>
      <c r="E1323" s="105" t="s">
        <v>4066</v>
      </c>
      <c r="H1323" s="138"/>
      <c r="J1323" s="138"/>
    </row>
    <row r="1324" ht="15.75" customHeight="1">
      <c r="A1324" s="148">
        <v>46150.0</v>
      </c>
      <c r="B1324" s="110" t="s">
        <v>2637</v>
      </c>
      <c r="C1324" s="106">
        <v>1.0</v>
      </c>
      <c r="D1324" s="110">
        <v>1.774</v>
      </c>
      <c r="E1324" s="105" t="s">
        <v>4062</v>
      </c>
      <c r="H1324" s="138"/>
      <c r="J1324" s="138"/>
    </row>
    <row r="1325" ht="15.75" customHeight="1">
      <c r="A1325" s="148">
        <v>46150.0</v>
      </c>
      <c r="B1325" s="110" t="s">
        <v>1587</v>
      </c>
      <c r="C1325" s="106">
        <v>1.0</v>
      </c>
      <c r="D1325" s="110">
        <v>0.53</v>
      </c>
      <c r="E1325" s="105" t="s">
        <v>4045</v>
      </c>
      <c r="H1325" s="138"/>
      <c r="J1325" s="138"/>
    </row>
    <row r="1326" ht="15.75" customHeight="1">
      <c r="A1326" s="148">
        <v>46150.0</v>
      </c>
      <c r="B1326" s="110" t="s">
        <v>2497</v>
      </c>
      <c r="C1326" s="106">
        <v>1.0</v>
      </c>
      <c r="D1326" s="110">
        <v>0.521</v>
      </c>
      <c r="E1326" s="105" t="s">
        <v>4042</v>
      </c>
      <c r="H1326" s="138"/>
      <c r="J1326" s="138"/>
    </row>
    <row r="1327" ht="15.75" customHeight="1">
      <c r="A1327" s="148">
        <v>46150.0</v>
      </c>
      <c r="B1327" s="110" t="s">
        <v>2563</v>
      </c>
      <c r="C1327" s="106">
        <v>1.0</v>
      </c>
      <c r="D1327" s="110">
        <v>0.35</v>
      </c>
      <c r="E1327" s="105" t="s">
        <v>4044</v>
      </c>
      <c r="H1327" s="138"/>
      <c r="J1327" s="138"/>
    </row>
    <row r="1328" ht="15.75" customHeight="1">
      <c r="A1328" s="148">
        <v>46150.0</v>
      </c>
      <c r="B1328" s="110" t="s">
        <v>1780</v>
      </c>
      <c r="C1328" s="106">
        <v>1.0</v>
      </c>
      <c r="D1328" s="110">
        <v>2.334</v>
      </c>
      <c r="E1328" s="105" t="s">
        <v>4027</v>
      </c>
      <c r="H1328" s="138"/>
      <c r="J1328" s="138"/>
    </row>
    <row r="1329" ht="15.75" customHeight="1">
      <c r="A1329" s="148">
        <v>46150.0</v>
      </c>
      <c r="B1329" s="110" t="s">
        <v>2669</v>
      </c>
      <c r="C1329" s="106">
        <v>1.0</v>
      </c>
      <c r="D1329" s="110">
        <v>0.377</v>
      </c>
      <c r="E1329" s="105" t="s">
        <v>4043</v>
      </c>
      <c r="H1329" s="138"/>
      <c r="J1329" s="138"/>
    </row>
    <row r="1330" ht="15.75" customHeight="1">
      <c r="A1330" s="148">
        <v>46150.0</v>
      </c>
      <c r="B1330" s="110" t="s">
        <v>2158</v>
      </c>
      <c r="C1330" s="106">
        <v>1.0</v>
      </c>
      <c r="D1330" s="110">
        <v>2.782</v>
      </c>
      <c r="E1330" s="105" t="s">
        <v>4055</v>
      </c>
      <c r="H1330" s="138"/>
      <c r="J1330" s="138"/>
    </row>
    <row r="1331" ht="15.75" customHeight="1">
      <c r="A1331" s="148">
        <v>46150.0</v>
      </c>
      <c r="B1331" s="110" t="s">
        <v>2453</v>
      </c>
      <c r="C1331" s="106">
        <v>1.0</v>
      </c>
      <c r="D1331" s="110">
        <v>0.37</v>
      </c>
      <c r="E1331" s="105" t="s">
        <v>4013</v>
      </c>
      <c r="H1331" s="138"/>
      <c r="J1331" s="138"/>
    </row>
    <row r="1332" ht="15.75" customHeight="1">
      <c r="A1332" s="148">
        <v>46150.0</v>
      </c>
      <c r="B1332" s="110" t="s">
        <v>2527</v>
      </c>
      <c r="C1332" s="106">
        <v>1.0</v>
      </c>
      <c r="D1332" s="110">
        <v>1.782</v>
      </c>
      <c r="E1332" s="105" t="s">
        <v>4056</v>
      </c>
      <c r="H1332" s="138"/>
      <c r="J1332" s="138"/>
    </row>
    <row r="1333" ht="15.75" customHeight="1">
      <c r="A1333" s="148">
        <v>46150.0</v>
      </c>
      <c r="B1333" s="110" t="s">
        <v>1832</v>
      </c>
      <c r="C1333" s="106">
        <v>1.0</v>
      </c>
      <c r="D1333" s="110">
        <v>1.985</v>
      </c>
      <c r="E1333" s="105" t="s">
        <v>4057</v>
      </c>
      <c r="H1333" s="138"/>
      <c r="J1333" s="138"/>
    </row>
    <row r="1334" ht="15.75" customHeight="1">
      <c r="A1334" s="148">
        <v>46150.0</v>
      </c>
      <c r="B1334" s="110" t="s">
        <v>976</v>
      </c>
      <c r="C1334" s="106">
        <v>1.0</v>
      </c>
      <c r="D1334" s="110">
        <v>1.879</v>
      </c>
      <c r="E1334" s="105" t="s">
        <v>4123</v>
      </c>
      <c r="H1334" s="138"/>
      <c r="J1334" s="138"/>
    </row>
    <row r="1335" ht="15.75" customHeight="1">
      <c r="A1335" s="148">
        <v>46150.0</v>
      </c>
      <c r="B1335" s="110" t="s">
        <v>850</v>
      </c>
      <c r="C1335" s="106">
        <v>1.0</v>
      </c>
      <c r="D1335" s="110">
        <v>1.945</v>
      </c>
      <c r="E1335" s="105" t="s">
        <v>4124</v>
      </c>
      <c r="H1335" s="138"/>
      <c r="J1335" s="138"/>
    </row>
    <row r="1336" ht="15.75" customHeight="1">
      <c r="A1336" s="148">
        <v>46150.0</v>
      </c>
      <c r="B1336" s="110" t="s">
        <v>2540</v>
      </c>
      <c r="C1336" s="106">
        <v>1.0</v>
      </c>
      <c r="D1336" s="110">
        <v>1.495</v>
      </c>
      <c r="E1336" s="105" t="s">
        <v>4125</v>
      </c>
      <c r="H1336" s="138"/>
      <c r="J1336" s="138"/>
    </row>
    <row r="1337" ht="15.75" customHeight="1">
      <c r="A1337" s="148">
        <v>46150.0</v>
      </c>
      <c r="B1337" s="110" t="s">
        <v>2362</v>
      </c>
      <c r="C1337" s="106">
        <v>1.0</v>
      </c>
      <c r="D1337" s="110">
        <v>1.91</v>
      </c>
      <c r="E1337" s="105" t="s">
        <v>4126</v>
      </c>
      <c r="H1337" s="138"/>
      <c r="J1337" s="138"/>
    </row>
    <row r="1338" ht="15.75" customHeight="1">
      <c r="A1338" s="148">
        <v>46150.0</v>
      </c>
      <c r="B1338" s="110" t="s">
        <v>2422</v>
      </c>
      <c r="C1338" s="106">
        <v>1.0</v>
      </c>
      <c r="D1338" s="110">
        <v>1.82</v>
      </c>
      <c r="E1338" s="105" t="s">
        <v>4127</v>
      </c>
      <c r="H1338" s="138"/>
      <c r="J1338" s="138"/>
    </row>
    <row r="1339" ht="15.75" customHeight="1">
      <c r="A1339" s="148">
        <v>46150.0</v>
      </c>
      <c r="B1339" s="110" t="s">
        <v>2336</v>
      </c>
      <c r="C1339" s="106">
        <v>1.0</v>
      </c>
      <c r="D1339" s="110">
        <v>1.84</v>
      </c>
      <c r="E1339" s="105" t="s">
        <v>4128</v>
      </c>
      <c r="H1339" s="138"/>
      <c r="J1339" s="138"/>
    </row>
    <row r="1340" ht="15.75" customHeight="1">
      <c r="A1340" s="148">
        <v>46150.0</v>
      </c>
      <c r="B1340" s="110" t="s">
        <v>2617</v>
      </c>
      <c r="C1340" s="106">
        <v>1.0</v>
      </c>
      <c r="D1340" s="110">
        <v>1.81</v>
      </c>
      <c r="E1340" s="105" t="s">
        <v>4129</v>
      </c>
      <c r="H1340" s="138"/>
      <c r="J1340" s="138"/>
    </row>
    <row r="1341" ht="15.75" customHeight="1">
      <c r="A1341" s="148">
        <v>46150.0</v>
      </c>
      <c r="B1341" s="110" t="s">
        <v>2554</v>
      </c>
      <c r="C1341" s="106">
        <v>1.0</v>
      </c>
      <c r="D1341" s="110">
        <v>1.495</v>
      </c>
      <c r="E1341" s="105" t="s">
        <v>4130</v>
      </c>
      <c r="H1341" s="138"/>
      <c r="J1341" s="138"/>
    </row>
  </sheetData>
  <autoFilter ref="$A$1:$J$852"/>
  <printOptions/>
  <pageMargins bottom="0.75" footer="0.0" header="0.0" left="0.7" right="0.7" top="0.75"/>
  <pageSetup paperSize="9" orientation="portrait"/>
  <headerFooter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6.83" defaultRowHeight="15.0"/>
  <cols>
    <col customWidth="1" min="1" max="1" width="12.0"/>
    <col customWidth="1" min="2" max="2" width="28.33"/>
    <col customWidth="1" min="3" max="3" width="13.17"/>
    <col customWidth="1" min="4" max="4" width="11.33"/>
    <col customWidth="1" min="5" max="5" width="16.5"/>
    <col customWidth="1" min="6" max="6" width="26.83"/>
    <col customWidth="1" min="7" max="7" width="24.5"/>
    <col customWidth="1" min="8" max="11" width="10.17"/>
  </cols>
  <sheetData>
    <row r="1" ht="15.75" customHeight="1">
      <c r="A1" s="27" t="s">
        <v>4000</v>
      </c>
      <c r="B1" s="27" t="s">
        <v>237</v>
      </c>
      <c r="C1" s="27" t="s">
        <v>4131</v>
      </c>
      <c r="D1" s="27" t="s">
        <v>3</v>
      </c>
      <c r="E1" s="150" t="s">
        <v>4132</v>
      </c>
      <c r="F1" s="151" t="s">
        <v>4133</v>
      </c>
      <c r="G1" s="138" t="s">
        <v>4134</v>
      </c>
      <c r="H1" s="152" t="str">
        <f>SUBTOTAL(9,C2:C1048576)</f>
        <v>227</v>
      </c>
    </row>
    <row r="2">
      <c r="A2" s="153">
        <v>46080.0</v>
      </c>
      <c r="B2" s="27" t="s">
        <v>1147</v>
      </c>
      <c r="C2" s="27">
        <v>1.0</v>
      </c>
      <c r="D2" s="138" t="str">
        <f t="array" ref="D2">XLOOKUP(B2,Data!F:F,Data!I:I)</f>
        <v>J123</v>
      </c>
      <c r="E2" s="138" t="s">
        <v>4135</v>
      </c>
      <c r="F2" s="154" t="str">
        <f t="array" ref="F2">IFERROR(XLOOKUP(B2,Data!F:F,Data!F:F),0)</f>
        <v>25045-J1B-J123-T2C5-002</v>
      </c>
      <c r="G2" s="138"/>
    </row>
    <row r="3">
      <c r="A3" s="153">
        <v>46080.0</v>
      </c>
      <c r="B3" s="155" t="s">
        <v>1146</v>
      </c>
      <c r="C3" s="27">
        <v>1.0</v>
      </c>
      <c r="D3" s="138" t="str">
        <f t="array" ref="D3">XLOOKUP(B3,Data!F:F,Data!I:I)</f>
        <v>J123</v>
      </c>
      <c r="E3" s="138" t="s">
        <v>4135</v>
      </c>
      <c r="F3" s="154" t="str">
        <f t="array" ref="F3">IFERROR(XLOOKUP(B3,Data!F:F,Data!F:F),0)</f>
        <v>25045-J1B-J123-T2C5-001</v>
      </c>
      <c r="G3" s="138"/>
    </row>
    <row r="4">
      <c r="A4" s="153">
        <v>46080.0</v>
      </c>
      <c r="B4" s="27" t="s">
        <v>1157</v>
      </c>
      <c r="C4" s="27">
        <v>1.0</v>
      </c>
      <c r="D4" s="138" t="str">
        <f t="array" ref="D4">XLOOKUP(B4,Data!F:F,Data!I:I)</f>
        <v>J123</v>
      </c>
      <c r="E4" s="138" t="s">
        <v>4135</v>
      </c>
      <c r="F4" s="154" t="str">
        <f t="array" ref="F4">IFERROR(XLOOKUP(B4,Data!F:F,Data!F:F),0)</f>
        <v>25045-J1B-J123-T3C4-005</v>
      </c>
      <c r="G4" s="138"/>
    </row>
    <row r="5">
      <c r="A5" s="153">
        <v>46080.0</v>
      </c>
      <c r="B5" s="27" t="s">
        <v>1158</v>
      </c>
      <c r="C5" s="27">
        <v>1.0</v>
      </c>
      <c r="D5" s="138" t="str">
        <f t="array" ref="D5">XLOOKUP(B5,Data!F:F,Data!I:I)</f>
        <v>J123</v>
      </c>
      <c r="E5" s="138" t="s">
        <v>4135</v>
      </c>
      <c r="F5" s="154" t="str">
        <f t="array" ref="F5">IFERROR(XLOOKUP(B5,Data!F:F,Data!F:F),0)</f>
        <v>25045-J1B-J123-T5AC1-001</v>
      </c>
      <c r="G5" s="138"/>
    </row>
    <row r="6">
      <c r="A6" s="153">
        <v>46080.0</v>
      </c>
      <c r="B6" s="27" t="s">
        <v>1150</v>
      </c>
      <c r="C6" s="27">
        <v>1.0</v>
      </c>
      <c r="D6" s="138" t="str">
        <f t="array" ref="D6">XLOOKUP(B6,Data!F:F,Data!I:I)</f>
        <v>J123</v>
      </c>
      <c r="E6" s="138" t="s">
        <v>4136</v>
      </c>
      <c r="F6" s="154" t="str">
        <f t="array" ref="F6">IFERROR(XLOOKUP(B6,Data!F:F,Data!F:F),0)</f>
        <v>25045-J1B-J123-T2C9-001</v>
      </c>
      <c r="G6" s="138"/>
    </row>
    <row r="7">
      <c r="A7" s="153">
        <v>46080.0</v>
      </c>
      <c r="B7" s="27" t="s">
        <v>1154</v>
      </c>
      <c r="C7" s="27">
        <v>1.0</v>
      </c>
      <c r="D7" s="138" t="str">
        <f t="array" ref="D7">XLOOKUP(B7,Data!F:F,Data!I:I)</f>
        <v>J123</v>
      </c>
      <c r="E7" s="138" t="s">
        <v>4136</v>
      </c>
      <c r="F7" s="154" t="str">
        <f t="array" ref="F7">IFERROR(XLOOKUP(B7,Data!F:F,Data!F:F),0)</f>
        <v>25045-J1B-J123-T3C4-002</v>
      </c>
      <c r="G7" s="138"/>
    </row>
    <row r="8">
      <c r="A8" s="153">
        <v>46080.0</v>
      </c>
      <c r="B8" s="27" t="s">
        <v>1152</v>
      </c>
      <c r="C8" s="27">
        <v>1.0</v>
      </c>
      <c r="D8" s="138" t="str">
        <f t="array" ref="D8">XLOOKUP(B8,Data!F:F,Data!I:I)</f>
        <v>J123</v>
      </c>
      <c r="E8" s="138" t="s">
        <v>4136</v>
      </c>
      <c r="F8" s="154" t="str">
        <f t="array" ref="F8">IFERROR(XLOOKUP(B8,Data!F:F,Data!F:F),0)</f>
        <v>25045-J1B-J123-T2C9-003</v>
      </c>
      <c r="G8" s="138"/>
    </row>
    <row r="9">
      <c r="A9" s="153">
        <v>46080.0</v>
      </c>
      <c r="B9" s="27" t="s">
        <v>1156</v>
      </c>
      <c r="C9" s="27">
        <v>1.0</v>
      </c>
      <c r="D9" s="138" t="str">
        <f t="array" ref="D9">XLOOKUP(B9,Data!F:F,Data!I:I)</f>
        <v>J123</v>
      </c>
      <c r="E9" s="138" t="s">
        <v>4136</v>
      </c>
      <c r="F9" s="154" t="str">
        <f t="array" ref="F9">IFERROR(XLOOKUP(B9,Data!F:F,Data!F:F),0)</f>
        <v>25045-J1B-J123-T3C4-004</v>
      </c>
    </row>
    <row r="10">
      <c r="A10" s="153">
        <v>46081.0</v>
      </c>
      <c r="B10" s="27" t="s">
        <v>1145</v>
      </c>
      <c r="C10" s="27">
        <v>1.0</v>
      </c>
      <c r="D10" s="138" t="str">
        <f t="array" ref="D10">XLOOKUP(B10,Data!F:F,Data!I:I)</f>
        <v>J123</v>
      </c>
      <c r="E10" s="138" t="s">
        <v>4137</v>
      </c>
      <c r="F10" s="154" t="str">
        <f t="array" ref="F10">IFERROR(XLOOKUP(B10,Data!F:F,Data!F:F),0)</f>
        <v>25045-J1B-J123-T2C1-004</v>
      </c>
    </row>
    <row r="11">
      <c r="A11" s="153">
        <v>46081.0</v>
      </c>
      <c r="B11" s="27" t="s">
        <v>1155</v>
      </c>
      <c r="C11" s="27">
        <v>1.0</v>
      </c>
      <c r="D11" s="138" t="str">
        <f t="array" ref="D11">XLOOKUP(B11,Data!F:F,Data!I:I)</f>
        <v>J123</v>
      </c>
      <c r="E11" s="138" t="s">
        <v>4137</v>
      </c>
      <c r="F11" s="154" t="str">
        <f t="array" ref="F11">IFERROR(XLOOKUP(B11,Data!F:F,Data!F:F),0)</f>
        <v>25045-J1B-J123-T3C4-003</v>
      </c>
    </row>
    <row r="12">
      <c r="A12" s="153">
        <v>46081.0</v>
      </c>
      <c r="B12" s="27" t="s">
        <v>1149</v>
      </c>
      <c r="C12" s="27">
        <v>1.0</v>
      </c>
      <c r="D12" s="138" t="str">
        <f t="array" ref="D12">XLOOKUP(B12,Data!F:F,Data!I:I)</f>
        <v>J123</v>
      </c>
      <c r="E12" s="138" t="s">
        <v>4137</v>
      </c>
      <c r="F12" s="154" t="str">
        <f t="array" ref="F12">IFERROR(XLOOKUP(B12,Data!F:F,Data!F:F),0)</f>
        <v>25045-J1B-J123-T2C5-004</v>
      </c>
      <c r="G12" s="138"/>
    </row>
    <row r="13">
      <c r="A13" s="153">
        <v>46081.0</v>
      </c>
      <c r="B13" s="27" t="s">
        <v>1148</v>
      </c>
      <c r="C13" s="27">
        <v>1.0</v>
      </c>
      <c r="D13" s="138" t="str">
        <f t="array" ref="D13">XLOOKUP(B13,Data!F:F,Data!I:I)</f>
        <v>J123</v>
      </c>
      <c r="E13" s="138" t="s">
        <v>4137</v>
      </c>
      <c r="F13" s="154" t="str">
        <f t="array" ref="F13">IFERROR(XLOOKUP(B13,Data!F:F,Data!F:F),0)</f>
        <v>25045-J1B-J123-T2C5-003</v>
      </c>
      <c r="G13" s="138"/>
    </row>
    <row r="14">
      <c r="A14" s="153">
        <v>46083.0</v>
      </c>
      <c r="B14" s="27" t="s">
        <v>1159</v>
      </c>
      <c r="C14" s="27">
        <v>1.0</v>
      </c>
      <c r="D14" s="138" t="str">
        <f t="array" ref="D14">XLOOKUP(B14,Data!F:F,Data!I:I)</f>
        <v>J123</v>
      </c>
      <c r="E14" s="138" t="s">
        <v>4138</v>
      </c>
      <c r="F14" s="154" t="str">
        <f t="array" ref="F14">IFERROR(XLOOKUP(B14,Data!F:F,Data!F:F),0)</f>
        <v>25045-J1B-J123-T5AC1-002</v>
      </c>
      <c r="G14" s="138"/>
    </row>
    <row r="15">
      <c r="A15" s="153">
        <v>46083.0</v>
      </c>
      <c r="B15" s="27" t="s">
        <v>1164</v>
      </c>
      <c r="C15" s="27">
        <v>1.0</v>
      </c>
      <c r="D15" s="138" t="str">
        <f t="array" ref="D15">XLOOKUP(B15,Data!F:F,Data!I:I)</f>
        <v>J123</v>
      </c>
      <c r="E15" s="138" t="s">
        <v>4138</v>
      </c>
      <c r="F15" s="154" t="str">
        <f t="array" ref="F15">IFERROR(XLOOKUP(B15,Data!F:F,Data!F:F),0)</f>
        <v>25045-J1B-J123-T2C1-002</v>
      </c>
      <c r="G15" s="138"/>
    </row>
    <row r="16">
      <c r="A16" s="153">
        <v>46083.0</v>
      </c>
      <c r="B16" s="27" t="s">
        <v>1165</v>
      </c>
      <c r="C16" s="27">
        <v>1.0</v>
      </c>
      <c r="D16" s="138" t="str">
        <f t="array" ref="D16">XLOOKUP(B16,Data!F:F,Data!I:I)</f>
        <v>J123</v>
      </c>
      <c r="E16" s="138" t="s">
        <v>4138</v>
      </c>
      <c r="F16" s="154" t="str">
        <f t="array" ref="F16">IFERROR(XLOOKUP(B16,Data!F:F,Data!F:F),0)</f>
        <v>25045-J1B-J123-T2C1-003</v>
      </c>
    </row>
    <row r="17">
      <c r="A17" s="153">
        <v>46083.0</v>
      </c>
      <c r="B17" s="27" t="s">
        <v>1166</v>
      </c>
      <c r="C17" s="27">
        <v>1.0</v>
      </c>
      <c r="D17" s="138" t="str">
        <f t="array" ref="D17">XLOOKUP(B17,Data!F:F,Data!I:I)</f>
        <v>J123</v>
      </c>
      <c r="E17" s="138" t="s">
        <v>4138</v>
      </c>
      <c r="F17" s="154" t="str">
        <f t="array" ref="F17">IFERROR(XLOOKUP(B17,Data!F:F,Data!F:F),0)</f>
        <v>25045-J1B-J123-T6C1-001</v>
      </c>
    </row>
    <row r="18">
      <c r="A18" s="153">
        <v>46084.0</v>
      </c>
      <c r="B18" s="27" t="s">
        <v>1151</v>
      </c>
      <c r="C18" s="27">
        <v>0.0</v>
      </c>
      <c r="D18" s="138" t="str">
        <f t="array" ref="D18">XLOOKUP(B18,Data!F:F,Data!I:I)</f>
        <v>J123</v>
      </c>
      <c r="E18" s="138" t="s">
        <v>4139</v>
      </c>
      <c r="F18" s="154" t="str">
        <f t="array" ref="F18">IFERROR(XLOOKUP(B18,Data!F:F,Data!F:F),0)</f>
        <v>25045-J1B-J123-T2C9-002</v>
      </c>
      <c r="G18" s="138" t="s">
        <v>4140</v>
      </c>
    </row>
    <row r="19">
      <c r="A19" s="153">
        <v>46084.0</v>
      </c>
      <c r="B19" s="27" t="s">
        <v>1153</v>
      </c>
      <c r="C19" s="27">
        <v>0.0</v>
      </c>
      <c r="D19" s="138" t="str">
        <f t="array" ref="D19">XLOOKUP(B19,Data!F:F,Data!I:I)</f>
        <v>J123</v>
      </c>
      <c r="E19" s="138" t="s">
        <v>4139</v>
      </c>
      <c r="F19" s="154" t="str">
        <f t="array" ref="F19">IFERROR(XLOOKUP(B19,Data!F:F,Data!F:F),0)</f>
        <v>25045-J1B-J123-T3C4-001</v>
      </c>
      <c r="G19" s="138" t="s">
        <v>4140</v>
      </c>
    </row>
    <row r="20">
      <c r="A20" s="153">
        <v>46084.0</v>
      </c>
      <c r="B20" s="27" t="s">
        <v>1160</v>
      </c>
      <c r="C20" s="27">
        <v>0.0</v>
      </c>
      <c r="D20" s="138" t="str">
        <f t="array" ref="D20">XLOOKUP(B20,Data!F:F,Data!I:I)</f>
        <v>J123</v>
      </c>
      <c r="E20" s="138" t="s">
        <v>4139</v>
      </c>
      <c r="F20" s="154" t="str">
        <f t="array" ref="F20">IFERROR(XLOOKUP(B20,Data!F:F,Data!F:F),0)</f>
        <v>25045-J1B-J123-T5C1A-001</v>
      </c>
      <c r="G20" s="138" t="s">
        <v>4140</v>
      </c>
    </row>
    <row r="21" ht="15.75" customHeight="1">
      <c r="A21" s="153">
        <v>46084.0</v>
      </c>
      <c r="B21" s="27" t="s">
        <v>1163</v>
      </c>
      <c r="C21" s="27">
        <v>0.0</v>
      </c>
      <c r="D21" s="138" t="str">
        <f t="array" ref="D21">XLOOKUP(B21,Data!F:F,Data!I:I)</f>
        <v>J123</v>
      </c>
      <c r="E21" s="138" t="s">
        <v>4139</v>
      </c>
      <c r="F21" s="154" t="str">
        <f t="array" ref="F21">IFERROR(XLOOKUP(B21,Data!F:F,Data!F:F),0)</f>
        <v>25045-J1B-J123-T1C1-002</v>
      </c>
      <c r="G21" s="138" t="s">
        <v>4140</v>
      </c>
    </row>
    <row r="22" ht="15.75" customHeight="1">
      <c r="A22" s="153">
        <v>46086.0</v>
      </c>
      <c r="B22" s="27" t="s">
        <v>1162</v>
      </c>
      <c r="C22" s="27">
        <v>0.0</v>
      </c>
      <c r="D22" s="138" t="str">
        <f t="array" ref="D22">XLOOKUP(B22,Data!F:F,Data!I:I)</f>
        <v>J123</v>
      </c>
      <c r="E22" s="138" t="s">
        <v>4141</v>
      </c>
      <c r="F22" s="154" t="str">
        <f t="array" ref="F22">IFERROR(XLOOKUP(B22,Data!F:F,Data!F:F),0)</f>
        <v>25045-J1B-J123-T1C1-001</v>
      </c>
      <c r="G22" s="138" t="s">
        <v>4140</v>
      </c>
    </row>
    <row r="23" ht="15.75" customHeight="1">
      <c r="A23" s="153">
        <v>46086.0</v>
      </c>
      <c r="B23" s="27" t="s">
        <v>1161</v>
      </c>
      <c r="C23" s="27">
        <v>0.0</v>
      </c>
      <c r="D23" s="138" t="str">
        <f t="array" ref="D23">XLOOKUP(B23,Data!F:F,Data!I:I)</f>
        <v>J123</v>
      </c>
      <c r="E23" s="138" t="s">
        <v>4141</v>
      </c>
      <c r="F23" s="154" t="str">
        <f t="array" ref="F23">IFERROR(XLOOKUP(B23,Data!F:F,Data!F:F),0)</f>
        <v>25045-J1B-J123-T7C1-001</v>
      </c>
      <c r="G23" s="138" t="s">
        <v>4140</v>
      </c>
    </row>
    <row r="24" ht="15.75" customHeight="1">
      <c r="A24" s="153">
        <v>46090.0</v>
      </c>
      <c r="B24" s="27" t="s">
        <v>1160</v>
      </c>
      <c r="C24" s="27">
        <v>1.0</v>
      </c>
      <c r="D24" s="138" t="str">
        <f t="array" ref="D24">XLOOKUP(B24,Data!F:F,Data!I:I)</f>
        <v>J123</v>
      </c>
      <c r="E24" s="138" t="s">
        <v>4142</v>
      </c>
      <c r="F24" s="154" t="str">
        <f t="array" ref="F24">IFERROR(XLOOKUP(B24,Data!F:F,Data!F:F),0)</f>
        <v>25045-J1B-J123-T5C1A-001</v>
      </c>
      <c r="G24" s="138"/>
    </row>
    <row r="25" ht="15.75" customHeight="1">
      <c r="A25" s="153">
        <v>46090.0</v>
      </c>
      <c r="B25" s="27" t="s">
        <v>1161</v>
      </c>
      <c r="C25" s="27">
        <v>1.0</v>
      </c>
      <c r="D25" s="138" t="str">
        <f t="array" ref="D25">XLOOKUP(B25,Data!F:F,Data!I:I)</f>
        <v>J123</v>
      </c>
      <c r="E25" s="138" t="s">
        <v>4142</v>
      </c>
      <c r="F25" s="154" t="str">
        <f t="array" ref="F25">IFERROR(XLOOKUP(B25,Data!F:F,Data!F:F),0)</f>
        <v>25045-J1B-J123-T7C1-001</v>
      </c>
      <c r="G25" s="138"/>
    </row>
    <row r="26" ht="15.75" customHeight="1">
      <c r="A26" s="153">
        <v>46090.0</v>
      </c>
      <c r="B26" s="27" t="s">
        <v>1163</v>
      </c>
      <c r="C26" s="27">
        <v>1.0</v>
      </c>
      <c r="D26" s="138" t="str">
        <f t="array" ref="D26">XLOOKUP(B26,Data!F:F,Data!I:I)</f>
        <v>J123</v>
      </c>
      <c r="E26" s="138" t="s">
        <v>4142</v>
      </c>
      <c r="F26" s="154" t="str">
        <f t="array" ref="F26">IFERROR(XLOOKUP(B26,Data!F:F,Data!F:F),0)</f>
        <v>25045-J1B-J123-T1C1-002</v>
      </c>
      <c r="G26" s="138"/>
    </row>
    <row r="27" ht="15.75" customHeight="1">
      <c r="A27" s="153">
        <v>46090.0</v>
      </c>
      <c r="B27" s="27" t="s">
        <v>1151</v>
      </c>
      <c r="C27" s="27">
        <v>1.0</v>
      </c>
      <c r="D27" s="138" t="str">
        <f t="array" ref="D27">XLOOKUP(B27,Data!F:F,Data!I:I)</f>
        <v>J123</v>
      </c>
      <c r="E27" s="138" t="s">
        <v>4142</v>
      </c>
      <c r="F27" s="154" t="str">
        <f t="array" ref="F27">IFERROR(XLOOKUP(B27,Data!F:F,Data!F:F),0)</f>
        <v>25045-J1B-J123-T2C9-002</v>
      </c>
      <c r="G27" s="138"/>
    </row>
    <row r="28" ht="15.75" customHeight="1">
      <c r="A28" s="153">
        <v>46090.0</v>
      </c>
      <c r="B28" s="27" t="s">
        <v>1153</v>
      </c>
      <c r="C28" s="27">
        <v>1.0</v>
      </c>
      <c r="D28" s="138" t="str">
        <f t="array" ref="D28">XLOOKUP(B28,Data!F:F,Data!I:I)</f>
        <v>J123</v>
      </c>
      <c r="E28" s="138" t="s">
        <v>4142</v>
      </c>
      <c r="F28" s="154" t="str">
        <f t="array" ref="F28">IFERROR(XLOOKUP(B28,Data!F:F,Data!F:F),0)</f>
        <v>25045-J1B-J123-T3C4-001</v>
      </c>
      <c r="G28" s="138"/>
    </row>
    <row r="29" ht="15.75" customHeight="1">
      <c r="A29" s="153">
        <v>46090.0</v>
      </c>
      <c r="B29" s="27" t="s">
        <v>1162</v>
      </c>
      <c r="C29" s="27">
        <v>1.0</v>
      </c>
      <c r="D29" s="138" t="str">
        <f t="array" ref="D29">XLOOKUP(B29,Data!F:F,Data!I:I)</f>
        <v>J123</v>
      </c>
      <c r="E29" s="138" t="s">
        <v>4142</v>
      </c>
      <c r="F29" s="154" t="str">
        <f t="array" ref="F29">IFERROR(XLOOKUP(B29,Data!F:F,Data!F:F),0)</f>
        <v>25045-J1B-J123-T1C1-001</v>
      </c>
      <c r="G29" s="138"/>
    </row>
    <row r="30" ht="15.75" customHeight="1">
      <c r="A30" s="153">
        <v>46092.0</v>
      </c>
      <c r="B30" s="27" t="s">
        <v>1167</v>
      </c>
      <c r="C30" s="27">
        <v>1.0</v>
      </c>
      <c r="D30" s="138" t="str">
        <f t="array" ref="D30">XLOOKUP(B30,Data!F:F,Data!I:I)</f>
        <v>J124</v>
      </c>
      <c r="E30" s="138" t="s">
        <v>4143</v>
      </c>
      <c r="F30" s="154" t="str">
        <f t="array" ref="F30">IFERROR(XLOOKUP(B30,Data!F:F,Data!F:F),0)</f>
        <v>25045-J1B-J124-T2C2-001</v>
      </c>
      <c r="G30" s="138"/>
    </row>
    <row r="31" ht="15.75" customHeight="1">
      <c r="A31" s="153">
        <v>46092.0</v>
      </c>
      <c r="B31" s="27" t="s">
        <v>1171</v>
      </c>
      <c r="C31" s="27">
        <v>1.0</v>
      </c>
      <c r="D31" s="138" t="str">
        <f t="array" ref="D31">XLOOKUP(B31,Data!F:F,Data!I:I)</f>
        <v>J124</v>
      </c>
      <c r="E31" s="138" t="s">
        <v>4143</v>
      </c>
      <c r="F31" s="154" t="str">
        <f t="array" ref="F31">IFERROR(XLOOKUP(B31,Data!F:F,Data!F:F),0)</f>
        <v>25045-J1B-J124-T2C2-005</v>
      </c>
      <c r="G31" s="138"/>
    </row>
    <row r="32" ht="15.75" customHeight="1">
      <c r="A32" s="153">
        <v>46092.0</v>
      </c>
      <c r="B32" s="27" t="s">
        <v>1173</v>
      </c>
      <c r="C32" s="27">
        <v>1.0</v>
      </c>
      <c r="D32" s="138" t="str">
        <f t="array" ref="D32">XLOOKUP(B32,Data!F:F,Data!I:I)</f>
        <v>J124</v>
      </c>
      <c r="E32" s="138" t="s">
        <v>4143</v>
      </c>
      <c r="F32" s="154" t="str">
        <f t="array" ref="F32">IFERROR(XLOOKUP(B32,Data!F:F,Data!F:F),0)</f>
        <v>25045-J1B-J124-T3C4-002</v>
      </c>
      <c r="G32" s="138"/>
    </row>
    <row r="33" ht="15.75" customHeight="1">
      <c r="A33" s="153">
        <v>46092.0</v>
      </c>
      <c r="B33" s="27" t="s">
        <v>1179</v>
      </c>
      <c r="C33" s="27">
        <v>1.0</v>
      </c>
      <c r="D33" s="138" t="str">
        <f t="array" ref="D33">XLOOKUP(B33,Data!F:F,Data!I:I)</f>
        <v>J124</v>
      </c>
      <c r="E33" s="138" t="s">
        <v>4143</v>
      </c>
      <c r="F33" s="154" t="str">
        <f t="array" ref="F33">IFERROR(XLOOKUP(B33,Data!F:F,Data!F:F),0)</f>
        <v>25045-J1B-J124-T3C4-008</v>
      </c>
      <c r="G33" s="138"/>
    </row>
    <row r="34" ht="15.75" customHeight="1">
      <c r="A34" s="153">
        <v>46092.0</v>
      </c>
      <c r="B34" s="27" t="s">
        <v>1186</v>
      </c>
      <c r="C34" s="27">
        <v>1.0</v>
      </c>
      <c r="D34" s="138" t="str">
        <f t="array" ref="D34">XLOOKUP(B34,Data!F:F,Data!I:I)</f>
        <v>J124</v>
      </c>
      <c r="E34" s="138" t="s">
        <v>4143</v>
      </c>
      <c r="F34" s="154" t="str">
        <f t="array" ref="F34">IFERROR(XLOOKUP(B34,Data!F:F,Data!F:F),0)</f>
        <v>25045-J1B-J124-T3C4-001</v>
      </c>
      <c r="G34" s="138"/>
    </row>
    <row r="35" ht="15.75" customHeight="1">
      <c r="A35" s="153">
        <v>46092.0</v>
      </c>
      <c r="B35" s="27" t="s">
        <v>1169</v>
      </c>
      <c r="C35" s="27">
        <v>1.0</v>
      </c>
      <c r="D35" s="138" t="str">
        <f t="array" ref="D35">XLOOKUP(B35,Data!F:F,Data!I:I)</f>
        <v>J124</v>
      </c>
      <c r="E35" s="138" t="s">
        <v>4144</v>
      </c>
      <c r="F35" s="154" t="str">
        <f t="array" ref="F35">IFERROR(XLOOKUP(B35,Data!F:F,Data!F:F),0)</f>
        <v>25045-J1B-J124-T2C2-003</v>
      </c>
      <c r="G35" s="138"/>
    </row>
    <row r="36" ht="15.75" customHeight="1">
      <c r="A36" s="153">
        <v>46092.0</v>
      </c>
      <c r="B36" s="27" t="s">
        <v>1170</v>
      </c>
      <c r="C36" s="27">
        <v>1.0</v>
      </c>
      <c r="D36" s="138" t="str">
        <f t="array" ref="D36">XLOOKUP(B36,Data!F:F,Data!I:I)</f>
        <v>J124</v>
      </c>
      <c r="E36" s="138" t="s">
        <v>4144</v>
      </c>
      <c r="F36" s="154" t="str">
        <f t="array" ref="F36">IFERROR(XLOOKUP(B36,Data!F:F,Data!F:F),0)</f>
        <v>25045-J1B-J124-T2C2-004</v>
      </c>
      <c r="G36" s="138"/>
    </row>
    <row r="37" ht="15.75" customHeight="1">
      <c r="A37" s="153">
        <v>46092.0</v>
      </c>
      <c r="B37" s="156" t="s">
        <v>1174</v>
      </c>
      <c r="C37" s="27">
        <v>1.0</v>
      </c>
      <c r="D37" s="138" t="str">
        <f t="array" ref="D37">XLOOKUP(B37,Data!F:F,Data!I:I)</f>
        <v>J124</v>
      </c>
      <c r="E37" s="138" t="s">
        <v>4144</v>
      </c>
      <c r="F37" s="154" t="str">
        <f t="array" ref="F37">IFERROR(XLOOKUP(B37,Data!F:F,Data!F:F),0)</f>
        <v>25045-J1B-J124-T3C4-003</v>
      </c>
      <c r="G37" s="138"/>
    </row>
    <row r="38" ht="15.75" customHeight="1">
      <c r="A38" s="153">
        <v>46092.0</v>
      </c>
      <c r="B38" s="156" t="s">
        <v>1175</v>
      </c>
      <c r="C38" s="27">
        <v>1.0</v>
      </c>
      <c r="D38" s="138" t="str">
        <f t="array" ref="D38">XLOOKUP(B38,Data!F:F,Data!I:I)</f>
        <v>J124</v>
      </c>
      <c r="E38" s="138" t="s">
        <v>4144</v>
      </c>
      <c r="F38" s="154" t="str">
        <f t="array" ref="F38">IFERROR(XLOOKUP(B38,Data!F:F,Data!F:F),0)</f>
        <v>25045-J1B-J124-T3C4-004</v>
      </c>
      <c r="G38" s="138"/>
    </row>
    <row r="39" ht="15.75" customHeight="1">
      <c r="A39" s="153">
        <v>46092.0</v>
      </c>
      <c r="B39" s="156" t="s">
        <v>1172</v>
      </c>
      <c r="C39" s="27">
        <v>1.0</v>
      </c>
      <c r="D39" s="138" t="str">
        <f t="array" ref="D39">XLOOKUP(B39,Data!F:F,Data!I:I)</f>
        <v>J124</v>
      </c>
      <c r="E39" s="138" t="s">
        <v>4145</v>
      </c>
      <c r="F39" s="154" t="str">
        <f t="array" ref="F39">IFERROR(XLOOKUP(B39,Data!F:F,Data!F:F),0)</f>
        <v>25045-J1B-J124-T2C2-006</v>
      </c>
      <c r="G39" s="138"/>
    </row>
    <row r="40" ht="15.75" customHeight="1">
      <c r="A40" s="153">
        <v>46092.0</v>
      </c>
      <c r="B40" s="156" t="s">
        <v>1176</v>
      </c>
      <c r="C40" s="27">
        <v>1.0</v>
      </c>
      <c r="D40" s="138" t="str">
        <f t="array" ref="D40">XLOOKUP(B40,Data!F:F,Data!I:I)</f>
        <v>J124</v>
      </c>
      <c r="E40" s="138" t="s">
        <v>4145</v>
      </c>
      <c r="F40" s="154" t="str">
        <f t="array" ref="F40">IFERROR(XLOOKUP(B40,Data!F:F,Data!F:F),0)</f>
        <v>25045-J1B-J124-T3C4-005</v>
      </c>
      <c r="G40" s="138"/>
    </row>
    <row r="41" ht="15.75" customHeight="1">
      <c r="A41" s="153">
        <v>46092.0</v>
      </c>
      <c r="B41" s="156" t="s">
        <v>1180</v>
      </c>
      <c r="C41" s="27">
        <v>1.0</v>
      </c>
      <c r="D41" s="138" t="str">
        <f t="array" ref="D41">XLOOKUP(B41,Data!F:F,Data!I:I)</f>
        <v>J124</v>
      </c>
      <c r="E41" s="138" t="s">
        <v>4145</v>
      </c>
      <c r="F41" s="154" t="str">
        <f t="array" ref="F41">IFERROR(XLOOKUP(B41,Data!F:F,Data!F:F),0)</f>
        <v>25045-J1B-J124-T3C4-009</v>
      </c>
      <c r="G41" s="138"/>
    </row>
    <row r="42" ht="15.75" customHeight="1">
      <c r="A42" s="153">
        <v>46092.0</v>
      </c>
      <c r="B42" s="156" t="s">
        <v>1185</v>
      </c>
      <c r="C42" s="27">
        <v>1.0</v>
      </c>
      <c r="D42" s="138" t="str">
        <f t="array" ref="D42">XLOOKUP(B42,Data!F:F,Data!I:I)</f>
        <v>J124</v>
      </c>
      <c r="E42" s="138" t="s">
        <v>4145</v>
      </c>
      <c r="F42" s="154" t="str">
        <f t="array" ref="F42">IFERROR(XLOOKUP(B42,Data!F:F,Data!F:F),0)</f>
        <v>25045-J1B-J124-T2C6-001</v>
      </c>
      <c r="G42" s="138"/>
    </row>
    <row r="43" ht="15.75" customHeight="1">
      <c r="A43" s="153">
        <v>46093.0</v>
      </c>
      <c r="B43" s="156" t="s">
        <v>1181</v>
      </c>
      <c r="C43" s="27">
        <v>1.0</v>
      </c>
      <c r="D43" s="138" t="str">
        <f t="array" ref="D43">XLOOKUP(B43,Data!F:F,Data!I:I)</f>
        <v>J124</v>
      </c>
      <c r="E43" s="138" t="s">
        <v>4146</v>
      </c>
      <c r="F43" s="154" t="str">
        <f t="array" ref="F43">IFERROR(XLOOKUP(B43,Data!F:F,Data!F:F),0)</f>
        <v>25045-J1B-J124-T6C1-001</v>
      </c>
      <c r="G43" s="138"/>
    </row>
    <row r="44" ht="15.75" customHeight="1">
      <c r="A44" s="153">
        <v>46093.0</v>
      </c>
      <c r="B44" s="156" t="s">
        <v>1182</v>
      </c>
      <c r="C44" s="27">
        <v>1.0</v>
      </c>
      <c r="D44" s="138" t="str">
        <f t="array" ref="D44">XLOOKUP(B44,Data!F:F,Data!I:I)</f>
        <v>J124</v>
      </c>
      <c r="E44" s="138" t="s">
        <v>4146</v>
      </c>
      <c r="F44" s="154" t="str">
        <f t="array" ref="F44">IFERROR(XLOOKUP(B44,Data!F:F,Data!F:F),0)</f>
        <v>25045-J1B-J124-T8C1-001</v>
      </c>
      <c r="G44" s="138"/>
    </row>
    <row r="45" ht="15.75" customHeight="1">
      <c r="A45" s="153">
        <v>46093.0</v>
      </c>
      <c r="B45" s="27" t="s">
        <v>1183</v>
      </c>
      <c r="C45" s="27">
        <v>1.0</v>
      </c>
      <c r="D45" s="138" t="str">
        <f t="array" ref="D45">XLOOKUP(B45,Data!F:F,Data!I:I)</f>
        <v>J124</v>
      </c>
      <c r="E45" s="138" t="s">
        <v>4146</v>
      </c>
      <c r="F45" s="154" t="str">
        <f t="array" ref="F45">IFERROR(XLOOKUP(B45,Data!F:F,Data!F:F),0)</f>
        <v>25045-J1B-J124-T2C1-007</v>
      </c>
    </row>
    <row r="46" ht="15.75" customHeight="1">
      <c r="A46" s="153">
        <v>46093.0</v>
      </c>
      <c r="B46" s="27" t="s">
        <v>1188</v>
      </c>
      <c r="C46" s="27">
        <v>1.0</v>
      </c>
      <c r="D46" s="138" t="str">
        <f t="array" ref="D46">XLOOKUP(B46,Data!F:F,Data!I:I)</f>
        <v>J124</v>
      </c>
      <c r="E46" s="138" t="s">
        <v>4146</v>
      </c>
      <c r="F46" s="154" t="str">
        <f t="array" ref="F46">IFERROR(XLOOKUP(B46,Data!F:F,Data!F:F),0)</f>
        <v>25045-J1B-J124-T7C1-001</v>
      </c>
    </row>
    <row r="47" ht="15.75" customHeight="1">
      <c r="A47" s="153">
        <v>46093.0</v>
      </c>
      <c r="B47" s="27" t="s">
        <v>1198</v>
      </c>
      <c r="C47" s="27">
        <v>1.0</v>
      </c>
      <c r="D47" s="138" t="str">
        <f t="array" ref="D47">XLOOKUP(B47,Data!F:F,Data!I:I)</f>
        <v>J125</v>
      </c>
      <c r="E47" s="138" t="s">
        <v>4147</v>
      </c>
      <c r="F47" s="154" t="str">
        <f t="array" ref="F47">IFERROR(XLOOKUP(B47,Data!F:F,Data!F:F),0)</f>
        <v>25045-J1B-J125-T2C2-004</v>
      </c>
    </row>
    <row r="48" ht="15.75" customHeight="1">
      <c r="A48" s="153">
        <v>46093.0</v>
      </c>
      <c r="B48" s="27" t="s">
        <v>1194</v>
      </c>
      <c r="C48" s="27">
        <v>1.0</v>
      </c>
      <c r="D48" s="138" t="str">
        <f t="array" ref="D48">XLOOKUP(B48,Data!F:F,Data!I:I)</f>
        <v>J125</v>
      </c>
      <c r="E48" s="138" t="s">
        <v>4147</v>
      </c>
      <c r="F48" s="154" t="str">
        <f t="array" ref="F48">IFERROR(XLOOKUP(B48,Data!F:F,Data!F:F),0)</f>
        <v>25045-J1B-J125-T3C5-005</v>
      </c>
    </row>
    <row r="49" ht="15.75" customHeight="1">
      <c r="A49" s="153">
        <v>46093.0</v>
      </c>
      <c r="B49" s="27" t="s">
        <v>1205</v>
      </c>
      <c r="C49" s="27">
        <v>1.0</v>
      </c>
      <c r="D49" s="138" t="str">
        <f t="array" ref="D49">XLOOKUP(B49,Data!F:F,Data!I:I)</f>
        <v>J125</v>
      </c>
      <c r="E49" s="138" t="s">
        <v>4147</v>
      </c>
      <c r="F49" s="154" t="str">
        <f t="array" ref="F49">IFERROR(XLOOKUP(B49,Data!F:F,Data!F:F),0)</f>
        <v>25045-J1B-J125-T3C5-004</v>
      </c>
    </row>
    <row r="50" ht="15.75" customHeight="1">
      <c r="A50" s="153">
        <v>46093.0</v>
      </c>
      <c r="B50" s="27" t="s">
        <v>1197</v>
      </c>
      <c r="C50" s="27">
        <v>1.0</v>
      </c>
      <c r="D50" s="138" t="str">
        <f t="array" ref="D50">XLOOKUP(B50,Data!F:F,Data!I:I)</f>
        <v>J125</v>
      </c>
      <c r="E50" s="138" t="s">
        <v>4147</v>
      </c>
      <c r="F50" s="154" t="str">
        <f t="array" ref="F50">IFERROR(XLOOKUP(B50,Data!F:F,Data!F:F),0)</f>
        <v>25045-J1B-J125-T2C2-003</v>
      </c>
    </row>
    <row r="51" ht="15.75" customHeight="1">
      <c r="A51" s="153">
        <v>46093.0</v>
      </c>
      <c r="B51" s="27" t="s">
        <v>1196</v>
      </c>
      <c r="C51" s="27">
        <v>1.0</v>
      </c>
      <c r="D51" s="138" t="str">
        <f t="array" ref="D51">XLOOKUP(B51,Data!F:F,Data!I:I)</f>
        <v>J125</v>
      </c>
      <c r="E51" s="138" t="s">
        <v>4147</v>
      </c>
      <c r="F51" s="154" t="str">
        <f t="array" ref="F51">IFERROR(XLOOKUP(B51,Data!F:F,Data!F:F),0)</f>
        <v>25045-J1B-J125-T2C2-002</v>
      </c>
    </row>
    <row r="52" ht="15.75" customHeight="1">
      <c r="A52" s="153">
        <v>46093.0</v>
      </c>
      <c r="B52" s="27" t="s">
        <v>1206</v>
      </c>
      <c r="C52" s="27">
        <v>1.0</v>
      </c>
      <c r="D52" s="138" t="str">
        <f t="array" ref="D52">XLOOKUP(B52,Data!F:F,Data!I:I)</f>
        <v>J125</v>
      </c>
      <c r="E52" s="138" t="s">
        <v>4147</v>
      </c>
      <c r="F52" s="154" t="str">
        <f t="array" ref="F52">IFERROR(XLOOKUP(B52,Data!F:F,Data!F:F),0)</f>
        <v>25045-J1B-J125-T5C2-001</v>
      </c>
    </row>
    <row r="53" ht="15.75" customHeight="1">
      <c r="A53" s="153">
        <v>46093.0</v>
      </c>
      <c r="B53" s="27" t="s">
        <v>1192</v>
      </c>
      <c r="C53" s="27">
        <v>1.0</v>
      </c>
      <c r="D53" s="138" t="str">
        <f t="array" ref="D53">XLOOKUP(B53,Data!F:F,Data!I:I)</f>
        <v>J125</v>
      </c>
      <c r="E53" s="138" t="s">
        <v>4148</v>
      </c>
      <c r="F53" s="154" t="str">
        <f t="array" ref="F53">IFERROR(XLOOKUP(B53,Data!F:F,Data!F:F),0)</f>
        <v>25045-J1B-J125-T3C4-003</v>
      </c>
    </row>
    <row r="54" ht="15.75" customHeight="1">
      <c r="A54" s="153">
        <v>46093.0</v>
      </c>
      <c r="B54" s="156" t="s">
        <v>1193</v>
      </c>
      <c r="C54" s="27">
        <v>1.0</v>
      </c>
      <c r="D54" s="138" t="str">
        <f t="array" ref="D54">XLOOKUP(B54,Data!F:F,Data!I:I)</f>
        <v>J125</v>
      </c>
      <c r="E54" s="138" t="s">
        <v>4148</v>
      </c>
      <c r="F54" s="154" t="str">
        <f t="array" ref="F54">IFERROR(XLOOKUP(B54,Data!F:F,Data!F:F),0)</f>
        <v>25045-J1B-J125-T3C4-004</v>
      </c>
    </row>
    <row r="55" ht="15.75" customHeight="1">
      <c r="A55" s="153">
        <v>46093.0</v>
      </c>
      <c r="B55" s="156" t="s">
        <v>1202</v>
      </c>
      <c r="C55" s="27">
        <v>1.0</v>
      </c>
      <c r="D55" s="138" t="str">
        <f t="array" ref="D55">XLOOKUP(B55,Data!F:F,Data!I:I)</f>
        <v>J125</v>
      </c>
      <c r="E55" s="138" t="s">
        <v>4148</v>
      </c>
      <c r="F55" s="154" t="str">
        <f t="array" ref="F55">IFERROR(XLOOKUP(B55,Data!F:F,Data!F:F),0)</f>
        <v>25045-J1B-J125-T3C5-001</v>
      </c>
    </row>
    <row r="56" ht="15.75" customHeight="1">
      <c r="A56" s="153">
        <v>46093.0</v>
      </c>
      <c r="B56" s="156" t="s">
        <v>1168</v>
      </c>
      <c r="C56" s="27">
        <v>1.0</v>
      </c>
      <c r="D56" s="138" t="str">
        <f t="array" ref="D56">XLOOKUP(B56,Data!F:F,Data!I:I)</f>
        <v>J124</v>
      </c>
      <c r="E56" s="138" t="s">
        <v>4148</v>
      </c>
      <c r="F56" s="154" t="str">
        <f t="array" ref="F56">IFERROR(XLOOKUP(B56,Data!F:F,Data!F:F),0)</f>
        <v>25045-J1B-J124-T2C2-002</v>
      </c>
    </row>
    <row r="57" ht="15.75" customHeight="1">
      <c r="A57" s="153">
        <v>46094.0</v>
      </c>
      <c r="B57" s="156" t="s">
        <v>1204</v>
      </c>
      <c r="C57" s="27">
        <v>1.0</v>
      </c>
      <c r="D57" s="138" t="str">
        <f t="array" ref="D57">XLOOKUP(B57,Data!F:F,Data!I:I)</f>
        <v>J125</v>
      </c>
      <c r="E57" s="138" t="s">
        <v>4149</v>
      </c>
      <c r="F57" s="154" t="str">
        <f t="array" ref="F57">IFERROR(XLOOKUP(B57,Data!F:F,Data!F:F),0)</f>
        <v>25045-J1B-J125-T3C5-003</v>
      </c>
    </row>
    <row r="58" ht="15.75" customHeight="1">
      <c r="A58" s="153">
        <v>46094.0</v>
      </c>
      <c r="B58" s="156" t="s">
        <v>1195</v>
      </c>
      <c r="C58" s="27">
        <v>1.0</v>
      </c>
      <c r="D58" s="138" t="str">
        <f t="array" ref="D58">XLOOKUP(B58,Data!F:F,Data!I:I)</f>
        <v>J125</v>
      </c>
      <c r="E58" s="138" t="s">
        <v>4149</v>
      </c>
      <c r="F58" s="154" t="str">
        <f t="array" ref="F58">IFERROR(XLOOKUP(B58,Data!F:F,Data!F:F),0)</f>
        <v>25045-J1B-J125-T2C2-001</v>
      </c>
    </row>
    <row r="59" ht="15.75" customHeight="1">
      <c r="A59" s="153">
        <v>46094.0</v>
      </c>
      <c r="B59" s="156" t="s">
        <v>1191</v>
      </c>
      <c r="C59" s="27">
        <v>1.0</v>
      </c>
      <c r="D59" s="138" t="str">
        <f t="array" ref="D59">XLOOKUP(B59,Data!F:F,Data!I:I)</f>
        <v>J125</v>
      </c>
      <c r="E59" s="138" t="s">
        <v>4149</v>
      </c>
      <c r="F59" s="154" t="str">
        <f t="array" ref="F59">IFERROR(XLOOKUP(B59,Data!F:F,Data!F:F),0)</f>
        <v>25045-J1B-J125-T3C4-002</v>
      </c>
    </row>
    <row r="60" ht="15.75" customHeight="1">
      <c r="A60" s="153">
        <v>46094.0</v>
      </c>
      <c r="B60" s="27" t="s">
        <v>1203</v>
      </c>
      <c r="C60" s="27">
        <v>1.0</v>
      </c>
      <c r="D60" s="138" t="str">
        <f t="array" ref="D60">XLOOKUP(B60,Data!F:F,Data!I:I)</f>
        <v>J125</v>
      </c>
      <c r="E60" s="138" t="s">
        <v>4149</v>
      </c>
      <c r="F60" s="154" t="str">
        <f t="array" ref="F60">IFERROR(XLOOKUP(B60,Data!F:F,Data!F:F),0)</f>
        <v>25045-J1B-J125-T3C5-002</v>
      </c>
    </row>
    <row r="61" ht="15.75" customHeight="1">
      <c r="A61" s="153">
        <v>46121.0</v>
      </c>
      <c r="B61" s="27" t="s">
        <v>1200</v>
      </c>
      <c r="C61" s="27">
        <v>1.0</v>
      </c>
      <c r="D61" s="138" t="str">
        <f t="array" ref="D61">XLOOKUP(B61,Data!F:F,Data!I:I)</f>
        <v>J125</v>
      </c>
      <c r="E61" s="27" t="s">
        <v>4150</v>
      </c>
      <c r="F61" s="154" t="str">
        <f t="array" ref="F61">IFERROR(XLOOKUP(B61,Data!F:F,Data!F:F),0)</f>
        <v>25045-J1B-J125-T2C2-007</v>
      </c>
    </row>
    <row r="62" ht="15.75" customHeight="1">
      <c r="A62" s="153">
        <v>46121.0</v>
      </c>
      <c r="B62" s="27" t="s">
        <v>1209</v>
      </c>
      <c r="C62" s="27">
        <v>1.0</v>
      </c>
      <c r="D62" s="138" t="str">
        <f t="array" ref="D62">XLOOKUP(B62,Data!F:F,Data!I:I)</f>
        <v>J125</v>
      </c>
      <c r="E62" s="27" t="s">
        <v>4150</v>
      </c>
      <c r="F62" s="154" t="str">
        <f t="array" ref="F62">IFERROR(XLOOKUP(B62,Data!F:F,Data!F:F),0)</f>
        <v>25045-J1B-J125-T8C1-001</v>
      </c>
    </row>
    <row r="63" ht="15.75" customHeight="1">
      <c r="A63" s="153">
        <v>46121.0</v>
      </c>
      <c r="B63" s="27" t="s">
        <v>1189</v>
      </c>
      <c r="C63" s="27">
        <v>1.0</v>
      </c>
      <c r="D63" s="138" t="str">
        <f t="array" ref="D63">XLOOKUP(B63,Data!F:F,Data!I:I)</f>
        <v>J125</v>
      </c>
      <c r="E63" s="27" t="s">
        <v>4150</v>
      </c>
      <c r="F63" s="154" t="str">
        <f t="array" ref="F63">IFERROR(XLOOKUP(B63,Data!F:F,Data!F:F),0)</f>
        <v>25045-J1B-J125-T2C2-006</v>
      </c>
    </row>
    <row r="64" ht="15.75" customHeight="1">
      <c r="A64" s="153">
        <v>46121.0</v>
      </c>
      <c r="B64" s="27" t="s">
        <v>1201</v>
      </c>
      <c r="C64" s="27">
        <v>1.0</v>
      </c>
      <c r="D64" s="138" t="str">
        <f t="array" ref="D64">XLOOKUP(B64,Data!F:F,Data!I:I)</f>
        <v>J125</v>
      </c>
      <c r="E64" s="27" t="s">
        <v>4150</v>
      </c>
      <c r="F64" s="154" t="str">
        <f t="array" ref="F64">IFERROR(XLOOKUP(B64,Data!F:F,Data!F:F),0)</f>
        <v>25045-J1B-J125-T2C6-001</v>
      </c>
    </row>
    <row r="65" ht="15.75" customHeight="1">
      <c r="A65" s="153">
        <v>46122.0</v>
      </c>
      <c r="B65" s="156" t="s">
        <v>1346</v>
      </c>
      <c r="C65" s="27">
        <v>1.0</v>
      </c>
      <c r="D65" s="138" t="str">
        <f t="array" ref="D65">XLOOKUP(B65,Data!F:F,Data!I:I)</f>
        <v>J133</v>
      </c>
      <c r="E65" s="27" t="s">
        <v>4151</v>
      </c>
      <c r="F65" s="154" t="str">
        <f t="array" ref="F65">IFERROR(XLOOKUP(B65,Data!F:F,Data!F:F),0)</f>
        <v>25045-J1B-J133-T3C4-002</v>
      </c>
    </row>
    <row r="66" ht="15.75" customHeight="1">
      <c r="A66" s="153">
        <v>46122.0</v>
      </c>
      <c r="B66" s="27" t="s">
        <v>1347</v>
      </c>
      <c r="C66" s="27">
        <v>1.0</v>
      </c>
      <c r="D66" s="138" t="str">
        <f t="array" ref="D66">XLOOKUP(B66,Data!F:F,Data!I:I)</f>
        <v>J133</v>
      </c>
      <c r="E66" s="157" t="s">
        <v>4151</v>
      </c>
      <c r="F66" s="154" t="str">
        <f t="array" ref="F66">IFERROR(XLOOKUP(B66,Data!F:F,Data!F:F),0)</f>
        <v>25045-J1B-J133-T3C4-003</v>
      </c>
    </row>
    <row r="67" ht="15.75" customHeight="1">
      <c r="A67" s="153">
        <v>46122.0</v>
      </c>
      <c r="B67" s="27" t="s">
        <v>1348</v>
      </c>
      <c r="C67" s="27">
        <v>1.0</v>
      </c>
      <c r="D67" s="138" t="str">
        <f t="array" ref="D67">XLOOKUP(B67,Data!F:F,Data!I:I)</f>
        <v>J133</v>
      </c>
      <c r="E67" s="157" t="s">
        <v>4151</v>
      </c>
      <c r="F67" s="154" t="str">
        <f t="array" ref="F67">IFERROR(XLOOKUP(B67,Data!F:F,Data!F:F),0)</f>
        <v>25045-J1B-J133-T3C4-004</v>
      </c>
    </row>
    <row r="68" ht="15.75" customHeight="1">
      <c r="A68" s="153">
        <v>46122.0</v>
      </c>
      <c r="B68" s="27" t="s">
        <v>1349</v>
      </c>
      <c r="C68" s="27">
        <v>1.0</v>
      </c>
      <c r="D68" s="138" t="str">
        <f t="array" ref="D68">XLOOKUP(B68,Data!F:F,Data!I:I)</f>
        <v>J133</v>
      </c>
      <c r="E68" s="157" t="s">
        <v>4151</v>
      </c>
      <c r="F68" s="154" t="str">
        <f t="array" ref="F68">IFERROR(XLOOKUP(B68,Data!F:F,Data!F:F),0)</f>
        <v>25045-J1B-J133-T3C4-005</v>
      </c>
    </row>
    <row r="69" ht="15.75" customHeight="1">
      <c r="A69" s="153">
        <v>46122.0</v>
      </c>
      <c r="B69" s="27" t="s">
        <v>1313</v>
      </c>
      <c r="C69" s="27">
        <v>1.0</v>
      </c>
      <c r="D69" s="138" t="str">
        <f t="array" ref="D69">XLOOKUP(B69,Data!F:F,Data!I:I)</f>
        <v>J132</v>
      </c>
      <c r="E69" s="157" t="s">
        <v>4152</v>
      </c>
      <c r="F69" s="154" t="str">
        <f t="array" ref="F69">IFERROR(XLOOKUP(B69,Data!F:F,Data!F:F),0)</f>
        <v>25045-J1B-J132-T3C4-002</v>
      </c>
    </row>
    <row r="70" ht="15.75" customHeight="1">
      <c r="A70" s="153">
        <v>46122.0</v>
      </c>
      <c r="B70" s="157" t="s">
        <v>1314</v>
      </c>
      <c r="C70" s="27">
        <v>1.0</v>
      </c>
      <c r="D70" s="138" t="str">
        <f t="array" ref="D70">XLOOKUP(B70,Data!F:F,Data!I:I)</f>
        <v>J132</v>
      </c>
      <c r="E70" s="157" t="s">
        <v>4152</v>
      </c>
      <c r="F70" s="154" t="str">
        <f t="array" ref="F70">IFERROR(XLOOKUP(B70,Data!F:F,Data!F:F),0)</f>
        <v>25045-J1B-J132-T3C4-003</v>
      </c>
    </row>
    <row r="71" ht="15.75" customHeight="1">
      <c r="A71" s="153">
        <v>46122.0</v>
      </c>
      <c r="B71" s="157" t="s">
        <v>1315</v>
      </c>
      <c r="C71" s="27">
        <v>1.0</v>
      </c>
      <c r="D71" s="138" t="str">
        <f t="array" ref="D71">XLOOKUP(B71,Data!F:F,Data!I:I)</f>
        <v>J132</v>
      </c>
      <c r="E71" s="157" t="s">
        <v>4152</v>
      </c>
      <c r="F71" s="154" t="str">
        <f t="array" ref="F71">IFERROR(XLOOKUP(B71,Data!F:F,Data!F:F),0)</f>
        <v>25045-J1B-J132-T3C4-004</v>
      </c>
    </row>
    <row r="72" ht="15.75" customHeight="1">
      <c r="A72" s="153">
        <v>46122.0</v>
      </c>
      <c r="B72" s="157" t="s">
        <v>1317</v>
      </c>
      <c r="C72" s="27">
        <v>1.0</v>
      </c>
      <c r="D72" s="138" t="str">
        <f t="array" ref="D72">XLOOKUP(B72,Data!F:F,Data!I:I)</f>
        <v>J132</v>
      </c>
      <c r="E72" s="157" t="s">
        <v>4152</v>
      </c>
      <c r="F72" s="154" t="str">
        <f t="array" ref="F72">IFERROR(XLOOKUP(B72,Data!F:F,Data!F:F),0)</f>
        <v>25045-J1B-J132-T3C4-006</v>
      </c>
    </row>
    <row r="73" ht="15.75" customHeight="1">
      <c r="A73" s="153">
        <v>46092.0</v>
      </c>
      <c r="B73" s="157" t="s">
        <v>1177</v>
      </c>
      <c r="C73" s="27">
        <v>1.0</v>
      </c>
      <c r="D73" s="138" t="str">
        <f t="array" ref="D73">XLOOKUP(B73,Data!F:F,Data!I:I)</f>
        <v>J124</v>
      </c>
      <c r="E73" s="157" t="s">
        <v>4153</v>
      </c>
      <c r="F73" s="154" t="str">
        <f t="array" ref="F73">IFERROR(XLOOKUP(B73,Data!F:F,Data!F:F),0)</f>
        <v>25045-J1B-J124-T3C4-006</v>
      </c>
    </row>
    <row r="74" ht="15.75" customHeight="1">
      <c r="A74" s="153">
        <v>46092.0</v>
      </c>
      <c r="B74" s="157" t="s">
        <v>1178</v>
      </c>
      <c r="C74" s="27">
        <v>1.0</v>
      </c>
      <c r="D74" s="138" t="str">
        <f t="array" ref="D74">XLOOKUP(B74,Data!F:F,Data!I:I)</f>
        <v>J124</v>
      </c>
      <c r="E74" s="157" t="s">
        <v>4153</v>
      </c>
      <c r="F74" s="154" t="str">
        <f t="array" ref="F74">IFERROR(XLOOKUP(B74,Data!F:F,Data!F:F),0)</f>
        <v>25045-J1B-J124-T3C4-007</v>
      </c>
    </row>
    <row r="75" ht="15.75" customHeight="1">
      <c r="A75" s="153">
        <v>46092.0</v>
      </c>
      <c r="B75" s="157" t="s">
        <v>1184</v>
      </c>
      <c r="C75" s="27">
        <v>1.0</v>
      </c>
      <c r="D75" s="138" t="str">
        <f t="array" ref="D75">XLOOKUP(B75,Data!F:F,Data!I:I)</f>
        <v>J124</v>
      </c>
      <c r="E75" s="157" t="s">
        <v>4153</v>
      </c>
      <c r="F75" s="154" t="str">
        <f t="array" ref="F75">IFERROR(XLOOKUP(B75,Data!F:F,Data!F:F),0)</f>
        <v>25045-J1B-J124-T2C2-007</v>
      </c>
    </row>
    <row r="76" ht="15.75" customHeight="1">
      <c r="A76" s="153">
        <v>46092.0</v>
      </c>
      <c r="B76" s="157" t="s">
        <v>1187</v>
      </c>
      <c r="C76" s="27">
        <v>1.0</v>
      </c>
      <c r="D76" s="138" t="str">
        <f t="array" ref="D76">XLOOKUP(B76,Data!F:F,Data!I:I)</f>
        <v>J124</v>
      </c>
      <c r="E76" s="157" t="s">
        <v>4153</v>
      </c>
      <c r="F76" s="154" t="str">
        <f t="array" ref="F76">IFERROR(XLOOKUP(B76,Data!F:F,Data!F:F),0)</f>
        <v>25045-J1B-J124-T5C1-001</v>
      </c>
    </row>
    <row r="77" ht="15.75" customHeight="1">
      <c r="A77" s="153"/>
      <c r="B77" s="27" t="s">
        <v>1190</v>
      </c>
      <c r="C77" s="27">
        <v>1.0</v>
      </c>
      <c r="D77" s="138" t="str">
        <f t="array" ref="D77">XLOOKUP(B77,Data!F:F,Data!I:I)</f>
        <v>J125</v>
      </c>
      <c r="E77" s="157"/>
      <c r="F77" s="154" t="str">
        <f t="array" ref="F77">IFERROR(XLOOKUP(B77,Data!F:F,Data!F:F),0)</f>
        <v>25045-J1B-J125-T3C4-001</v>
      </c>
    </row>
    <row r="78" ht="15.75" customHeight="1">
      <c r="A78" s="153">
        <v>46093.0</v>
      </c>
      <c r="B78" s="27" t="s">
        <v>1199</v>
      </c>
      <c r="C78" s="27">
        <v>1.0</v>
      </c>
      <c r="D78" s="138" t="str">
        <f t="array" ref="D78">XLOOKUP(B78,Data!F:F,Data!I:I)</f>
        <v>J125</v>
      </c>
      <c r="E78" s="157" t="s">
        <v>4148</v>
      </c>
      <c r="F78" s="154" t="str">
        <f t="array" ref="F78">IFERROR(XLOOKUP(B78,Data!F:F,Data!F:F),0)</f>
        <v>25045-J1B-J125-T2C2-005</v>
      </c>
    </row>
    <row r="79" ht="15.75" customHeight="1">
      <c r="A79" s="153">
        <v>46093.0</v>
      </c>
      <c r="B79" s="27" t="s">
        <v>1207</v>
      </c>
      <c r="C79" s="27">
        <v>1.0</v>
      </c>
      <c r="D79" s="138" t="str">
        <f t="array" ref="D79">XLOOKUP(B79,Data!F:F,Data!I:I)</f>
        <v>J125</v>
      </c>
      <c r="E79" s="157" t="s">
        <v>4153</v>
      </c>
      <c r="F79" s="154" t="str">
        <f t="array" ref="F79">IFERROR(XLOOKUP(B79,Data!F:F,Data!F:F),0)</f>
        <v>25045-J1B-J125-T6C1-001</v>
      </c>
    </row>
    <row r="80" ht="15.75" customHeight="1">
      <c r="A80" s="153"/>
      <c r="B80" s="27" t="s">
        <v>1208</v>
      </c>
      <c r="C80" s="27">
        <v>1.0</v>
      </c>
      <c r="D80" s="138" t="str">
        <f t="array" ref="D80">XLOOKUP(B80,Data!F:F,Data!I:I)</f>
        <v>J125</v>
      </c>
      <c r="E80" s="157"/>
      <c r="F80" s="154" t="str">
        <f t="array" ref="F80">IFERROR(XLOOKUP(B80,Data!F:F,Data!F:F),0)</f>
        <v>25045-J1B-J125-T7C2-001</v>
      </c>
    </row>
    <row r="81" ht="15.75" customHeight="1">
      <c r="A81" s="153">
        <v>46123.0</v>
      </c>
      <c r="B81" s="27" t="s">
        <v>1319</v>
      </c>
      <c r="C81" s="27">
        <v>1.0</v>
      </c>
      <c r="D81" s="138" t="str">
        <f t="array" ref="D81">XLOOKUP(B81,Data!F:F,Data!I:I)</f>
        <v>J132</v>
      </c>
      <c r="E81" s="157" t="s">
        <v>4154</v>
      </c>
      <c r="F81" s="154" t="str">
        <f t="array" ref="F81">IFERROR(XLOOKUP(B81,Data!F:F,Data!F:F),0)</f>
        <v>25045-J1B-J132-T3C4-008</v>
      </c>
    </row>
    <row r="82" ht="15.75" customHeight="1">
      <c r="A82" s="153">
        <v>46123.0</v>
      </c>
      <c r="B82" s="27" t="s">
        <v>1320</v>
      </c>
      <c r="C82" s="27">
        <v>1.0</v>
      </c>
      <c r="D82" s="138" t="str">
        <f t="array" ref="D82">XLOOKUP(B82,Data!F:F,Data!I:I)</f>
        <v>J132</v>
      </c>
      <c r="E82" s="157" t="s">
        <v>4154</v>
      </c>
      <c r="F82" s="154" t="str">
        <f t="array" ref="F82">IFERROR(XLOOKUP(B82,Data!F:F,Data!F:F),0)</f>
        <v>25045-J1B-J132-T3C4-009</v>
      </c>
    </row>
    <row r="83" ht="15.75" customHeight="1">
      <c r="A83" s="153">
        <v>46123.0</v>
      </c>
      <c r="B83" s="27" t="s">
        <v>1318</v>
      </c>
      <c r="C83" s="27">
        <v>1.0</v>
      </c>
      <c r="D83" s="138" t="str">
        <f t="array" ref="D83">XLOOKUP(B83,Data!F:F,Data!I:I)</f>
        <v>J132</v>
      </c>
      <c r="E83" s="157" t="s">
        <v>4154</v>
      </c>
      <c r="F83" s="154" t="str">
        <f t="array" ref="F83">IFERROR(XLOOKUP(B83,Data!F:F,Data!F:F),0)</f>
        <v>25045-J1B-J132-T3C4-007</v>
      </c>
    </row>
    <row r="84" ht="15.75" customHeight="1">
      <c r="A84" s="153">
        <v>46123.0</v>
      </c>
      <c r="B84" s="27" t="s">
        <v>1307</v>
      </c>
      <c r="C84" s="27">
        <v>1.0</v>
      </c>
      <c r="D84" s="138" t="str">
        <f t="array" ref="D84">XLOOKUP(B84,Data!F:F,Data!I:I)</f>
        <v>J131</v>
      </c>
      <c r="E84" s="157" t="s">
        <v>4154</v>
      </c>
      <c r="F84" s="154" t="str">
        <f t="array" ref="F84">IFERROR(XLOOKUP(B84,Data!F:F,Data!F:F),0)</f>
        <v>25045-J1B-J131-T3C4-005</v>
      </c>
    </row>
    <row r="85" ht="15.75" customHeight="1">
      <c r="A85" s="153">
        <v>46123.0</v>
      </c>
      <c r="B85" s="27" t="s">
        <v>1312</v>
      </c>
      <c r="C85" s="27">
        <v>1.0</v>
      </c>
      <c r="D85" s="138" t="str">
        <f t="array" ref="D85">XLOOKUP(B85,Data!F:F,Data!I:I)</f>
        <v>J132</v>
      </c>
      <c r="E85" s="157" t="s">
        <v>4155</v>
      </c>
      <c r="F85" s="154" t="str">
        <f t="array" ref="F85">IFERROR(XLOOKUP(B85,Data!F:F,Data!F:F),0)</f>
        <v>25045-J1B-J132-T3C4-001</v>
      </c>
    </row>
    <row r="86" ht="15.75" customHeight="1">
      <c r="A86" s="153">
        <v>46123.0</v>
      </c>
      <c r="B86" s="27" t="s">
        <v>1316</v>
      </c>
      <c r="C86" s="27">
        <v>1.0</v>
      </c>
      <c r="D86" s="138" t="str">
        <f t="array" ref="D86">XLOOKUP(B86,Data!F:F,Data!I:I)</f>
        <v>J132</v>
      </c>
      <c r="E86" s="157" t="s">
        <v>4155</v>
      </c>
      <c r="F86" s="154" t="str">
        <f t="array" ref="F86">IFERROR(XLOOKUP(B86,Data!F:F,Data!F:F),0)</f>
        <v>25045-J1B-J132-T3C4-005</v>
      </c>
    </row>
    <row r="87" ht="15.75" customHeight="1">
      <c r="A87" s="153">
        <v>46123.0</v>
      </c>
      <c r="B87" s="27" t="s">
        <v>1321</v>
      </c>
      <c r="C87" s="27">
        <v>1.0</v>
      </c>
      <c r="D87" s="138" t="str">
        <f t="array" ref="D87">XLOOKUP(B87,Data!F:F,Data!I:I)</f>
        <v>J132</v>
      </c>
      <c r="E87" s="157" t="s">
        <v>4155</v>
      </c>
      <c r="F87" s="154" t="str">
        <f t="array" ref="F87">IFERROR(XLOOKUP(B87,Data!F:F,Data!F:F),0)</f>
        <v>25045-J1B-J132-T3C4-010</v>
      </c>
    </row>
    <row r="88" ht="15.75" customHeight="1">
      <c r="A88" s="153">
        <v>46123.0</v>
      </c>
      <c r="B88" s="27" t="s">
        <v>1345</v>
      </c>
      <c r="C88" s="27">
        <v>1.0</v>
      </c>
      <c r="D88" s="138" t="str">
        <f t="array" ref="D88">XLOOKUP(B88,Data!F:F,Data!I:I)</f>
        <v>J133</v>
      </c>
      <c r="E88" s="157" t="s">
        <v>4155</v>
      </c>
      <c r="F88" s="154" t="str">
        <f t="array" ref="F88">IFERROR(XLOOKUP(B88,Data!F:F,Data!F:F),0)</f>
        <v>25045-J1B-J133-T3C4-001</v>
      </c>
    </row>
    <row r="89" ht="15.75" customHeight="1">
      <c r="A89" s="153">
        <v>46125.0</v>
      </c>
      <c r="B89" s="27" t="s">
        <v>1280</v>
      </c>
      <c r="C89" s="27">
        <v>1.0</v>
      </c>
      <c r="D89" s="138" t="str">
        <f t="array" ref="D89">XLOOKUP(B89,Data!F:F,Data!I:I)</f>
        <v>J130</v>
      </c>
      <c r="E89" s="157" t="s">
        <v>4156</v>
      </c>
      <c r="F89" s="154" t="str">
        <f t="array" ref="F89">IFERROR(XLOOKUP(B89,Data!F:F,Data!F:F),0)</f>
        <v>25045-J1B-J130-T3C4-009</v>
      </c>
    </row>
    <row r="90" ht="15.75" customHeight="1">
      <c r="A90" s="153">
        <v>46125.0</v>
      </c>
      <c r="B90" s="27" t="s">
        <v>1289</v>
      </c>
      <c r="C90" s="27">
        <v>1.0</v>
      </c>
      <c r="D90" s="138" t="str">
        <f t="array" ref="D90">XLOOKUP(B90,Data!F:F,Data!I:I)</f>
        <v>J130</v>
      </c>
      <c r="E90" s="157" t="s">
        <v>4156</v>
      </c>
      <c r="F90" s="154" t="str">
        <f t="array" ref="F90">IFERROR(XLOOKUP(B90,Data!F:F,Data!F:F),0)</f>
        <v>25045-J1B-J130-T3C4-005</v>
      </c>
    </row>
    <row r="91" ht="15.75" customHeight="1">
      <c r="A91" s="153">
        <v>46125.0</v>
      </c>
      <c r="B91" s="27" t="s">
        <v>1290</v>
      </c>
      <c r="C91" s="27">
        <v>1.0</v>
      </c>
      <c r="D91" s="138" t="str">
        <f t="array" ref="D91">XLOOKUP(B91,Data!F:F,Data!I:I)</f>
        <v>J130</v>
      </c>
      <c r="E91" s="157" t="s">
        <v>4156</v>
      </c>
      <c r="F91" s="154" t="str">
        <f t="array" ref="F91">IFERROR(XLOOKUP(B91,Data!F:F,Data!F:F),0)</f>
        <v>25045-J1B-J130-T3C4-006</v>
      </c>
    </row>
    <row r="92" ht="15.75" customHeight="1">
      <c r="A92" s="153">
        <v>46125.0</v>
      </c>
      <c r="B92" s="27" t="s">
        <v>1291</v>
      </c>
      <c r="C92" s="27">
        <v>1.0</v>
      </c>
      <c r="D92" s="138" t="str">
        <f t="array" ref="D92">XLOOKUP(B92,Data!F:F,Data!I:I)</f>
        <v>J130</v>
      </c>
      <c r="E92" s="157" t="s">
        <v>4156</v>
      </c>
      <c r="F92" s="154" t="str">
        <f t="array" ref="F92">IFERROR(XLOOKUP(B92,Data!F:F,Data!F:F),0)</f>
        <v>25045-J1B-J130-T3C4-010</v>
      </c>
    </row>
    <row r="93" ht="15.75" customHeight="1">
      <c r="A93" s="153">
        <v>46125.0</v>
      </c>
      <c r="B93" s="27" t="s">
        <v>1285</v>
      </c>
      <c r="C93" s="27">
        <v>1.0</v>
      </c>
      <c r="D93" s="138" t="str">
        <f t="array" ref="D93">XLOOKUP(B93,Data!F:F,Data!I:I)</f>
        <v>J130</v>
      </c>
      <c r="E93" s="157" t="s">
        <v>4157</v>
      </c>
      <c r="F93" s="154" t="str">
        <f t="array" ref="F93">IFERROR(XLOOKUP(B93,Data!F:F,Data!F:F),0)</f>
        <v>25045-J1B-J130-T3C4-001</v>
      </c>
    </row>
    <row r="94" ht="15.75" customHeight="1">
      <c r="A94" s="153">
        <v>46125.0</v>
      </c>
      <c r="B94" s="27" t="s">
        <v>1286</v>
      </c>
      <c r="C94" s="27">
        <v>1.0</v>
      </c>
      <c r="D94" s="138" t="str">
        <f t="array" ref="D94">XLOOKUP(B94,Data!F:F,Data!I:I)</f>
        <v>J130</v>
      </c>
      <c r="E94" s="157" t="s">
        <v>4157</v>
      </c>
      <c r="F94" s="154" t="str">
        <f t="array" ref="F94">IFERROR(XLOOKUP(B94,Data!F:F,Data!F:F),0)</f>
        <v>25045-J1B-J130-T3C4-002</v>
      </c>
    </row>
    <row r="95" ht="15.75" customHeight="1">
      <c r="A95" s="153">
        <v>46125.0</v>
      </c>
      <c r="B95" s="27" t="s">
        <v>1287</v>
      </c>
      <c r="C95" s="27">
        <v>1.0</v>
      </c>
      <c r="D95" s="138" t="str">
        <f t="array" ref="D95">XLOOKUP(B95,Data!F:F,Data!I:I)</f>
        <v>J130</v>
      </c>
      <c r="E95" s="157" t="s">
        <v>4157</v>
      </c>
      <c r="F95" s="154" t="str">
        <f t="array" ref="F95">IFERROR(XLOOKUP(B95,Data!F:F,Data!F:F),0)</f>
        <v>25045-J1B-J130-T3C4-003</v>
      </c>
    </row>
    <row r="96" ht="15.75" customHeight="1">
      <c r="A96" s="153">
        <v>46125.0</v>
      </c>
      <c r="B96" s="27" t="s">
        <v>1288</v>
      </c>
      <c r="C96" s="27">
        <v>1.0</v>
      </c>
      <c r="D96" s="138" t="str">
        <f t="array" ref="D96">XLOOKUP(B96,Data!F:F,Data!I:I)</f>
        <v>J130</v>
      </c>
      <c r="E96" s="157" t="s">
        <v>4157</v>
      </c>
      <c r="F96" s="154" t="str">
        <f t="array" ref="F96">IFERROR(XLOOKUP(B96,Data!F:F,Data!F:F),0)</f>
        <v>25045-J1B-J130-T3C4-004</v>
      </c>
    </row>
    <row r="97" ht="15.75" customHeight="1">
      <c r="A97" s="153">
        <v>46125.0</v>
      </c>
      <c r="B97" s="27" t="s">
        <v>1299</v>
      </c>
      <c r="C97" s="27">
        <v>1.0</v>
      </c>
      <c r="D97" s="138" t="str">
        <f t="array" ref="D97">XLOOKUP(B97,Data!F:F,Data!I:I)</f>
        <v>J131</v>
      </c>
      <c r="E97" s="157" t="s">
        <v>4158</v>
      </c>
      <c r="F97" s="154" t="str">
        <f t="array" ref="F97">IFERROR(XLOOKUP(B97,Data!F:F,Data!F:F),0)</f>
        <v>25045-J1B-J131-T3C1-001</v>
      </c>
    </row>
    <row r="98" ht="15.75" customHeight="1">
      <c r="A98" s="153">
        <v>46125.0</v>
      </c>
      <c r="B98" s="27" t="s">
        <v>1300</v>
      </c>
      <c r="C98" s="27">
        <v>1.0</v>
      </c>
      <c r="D98" s="138" t="str">
        <f t="array" ref="D98">XLOOKUP(B98,Data!F:F,Data!I:I)</f>
        <v>J131</v>
      </c>
      <c r="E98" s="157" t="s">
        <v>4158</v>
      </c>
      <c r="F98" s="154" t="str">
        <f t="array" ref="F98">IFERROR(XLOOKUP(B98,Data!F:F,Data!F:F),0)</f>
        <v>25045-J1B-J131-T3C1-002</v>
      </c>
    </row>
    <row r="99" ht="15.75" customHeight="1">
      <c r="A99" s="153">
        <v>46125.0</v>
      </c>
      <c r="B99" s="27" t="s">
        <v>1301</v>
      </c>
      <c r="C99" s="27">
        <v>1.0</v>
      </c>
      <c r="D99" s="138" t="str">
        <f t="array" ref="D99">XLOOKUP(B99,Data!F:F,Data!I:I)</f>
        <v>J131</v>
      </c>
      <c r="E99" s="157" t="s">
        <v>4158</v>
      </c>
      <c r="F99" s="154" t="str">
        <f t="array" ref="F99">IFERROR(XLOOKUP(B99,Data!F:F,Data!F:F),0)</f>
        <v>25045-J1B-J131-T3C1-003</v>
      </c>
    </row>
    <row r="100" ht="15.75" customHeight="1">
      <c r="A100" s="153">
        <v>46125.0</v>
      </c>
      <c r="B100" s="27" t="s">
        <v>4159</v>
      </c>
      <c r="C100" s="27">
        <v>1.0</v>
      </c>
      <c r="D100" s="138" t="str">
        <f t="array" ref="D100">XLOOKUP(B100,Data!F:F,Data!I:I)</f>
        <v>#N/A</v>
      </c>
      <c r="E100" s="157" t="s">
        <v>4158</v>
      </c>
      <c r="F100" s="154" t="str">
        <f t="array" ref="F100">IFERROR(XLOOKUP(B100,Data!F:F,Data!F:F),0)</f>
        <v>0</v>
      </c>
    </row>
    <row r="101" ht="15.75" customHeight="1">
      <c r="A101" s="153">
        <v>46125.0</v>
      </c>
      <c r="B101" s="27" t="s">
        <v>1303</v>
      </c>
      <c r="C101" s="27">
        <v>1.0</v>
      </c>
      <c r="D101" s="138" t="str">
        <f t="array" ref="D101">XLOOKUP(B101,Data!F:F,Data!I:I)</f>
        <v>J131</v>
      </c>
      <c r="E101" s="157" t="s">
        <v>4160</v>
      </c>
      <c r="F101" s="154" t="str">
        <f t="array" ref="F101">IFERROR(XLOOKUP(B101,Data!F:F,Data!F:F),0)</f>
        <v>25045-J1B-J131-T3C4-001</v>
      </c>
    </row>
    <row r="102" ht="15.75" customHeight="1">
      <c r="A102" s="153">
        <v>46125.0</v>
      </c>
      <c r="B102" s="27" t="s">
        <v>1304</v>
      </c>
      <c r="C102" s="27">
        <v>1.0</v>
      </c>
      <c r="D102" s="138" t="str">
        <f t="array" ref="D102">XLOOKUP(B102,Data!F:F,Data!I:I)</f>
        <v>J131</v>
      </c>
      <c r="E102" s="157" t="s">
        <v>4160</v>
      </c>
      <c r="F102" s="154" t="str">
        <f t="array" ref="F102">IFERROR(XLOOKUP(B102,Data!F:F,Data!F:F),0)</f>
        <v>25045-J1B-J131-T3C4-002</v>
      </c>
    </row>
    <row r="103" ht="15.75" customHeight="1">
      <c r="A103" s="153">
        <v>46125.0</v>
      </c>
      <c r="B103" s="27" t="s">
        <v>1305</v>
      </c>
      <c r="C103" s="27">
        <v>1.0</v>
      </c>
      <c r="D103" s="138" t="str">
        <f t="array" ref="D103">XLOOKUP(B103,Data!F:F,Data!I:I)</f>
        <v>J131</v>
      </c>
      <c r="E103" s="157" t="s">
        <v>4160</v>
      </c>
      <c r="F103" s="154" t="str">
        <f t="array" ref="F103">IFERROR(XLOOKUP(B103,Data!F:F,Data!F:F),0)</f>
        <v>25045-J1B-J131-T3C4-003</v>
      </c>
    </row>
    <row r="104" ht="15.75" customHeight="1">
      <c r="A104" s="153">
        <v>46125.0</v>
      </c>
      <c r="B104" s="27" t="s">
        <v>1306</v>
      </c>
      <c r="C104" s="27">
        <v>1.0</v>
      </c>
      <c r="D104" s="138" t="str">
        <f t="array" ref="D104">XLOOKUP(B104,Data!F:F,Data!I:I)</f>
        <v>J131</v>
      </c>
      <c r="E104" s="157" t="s">
        <v>4160</v>
      </c>
      <c r="F104" s="154" t="str">
        <f t="array" ref="F104">IFERROR(XLOOKUP(B104,Data!F:F,Data!F:F),0)</f>
        <v>25045-J1B-J131-T3C4-004</v>
      </c>
    </row>
    <row r="105" ht="15.75" customHeight="1">
      <c r="A105" s="153">
        <v>46126.0</v>
      </c>
      <c r="B105" s="27" t="s">
        <v>1263</v>
      </c>
      <c r="C105" s="27">
        <v>1.0</v>
      </c>
      <c r="D105" s="138" t="str">
        <f t="array" ref="D105">XLOOKUP(B105,Data!F:F,Data!I:I)</f>
        <v>J129</v>
      </c>
      <c r="E105" s="157" t="s">
        <v>4161</v>
      </c>
      <c r="F105" s="154" t="str">
        <f t="array" ref="F105">IFERROR(XLOOKUP(B105,Data!F:F,Data!F:F),0)</f>
        <v>25045-J1B-J129-T3C4-003</v>
      </c>
    </row>
    <row r="106" ht="15.75" customHeight="1">
      <c r="A106" s="153">
        <v>46126.0</v>
      </c>
      <c r="B106" s="27" t="s">
        <v>1278</v>
      </c>
      <c r="C106" s="27">
        <v>1.0</v>
      </c>
      <c r="D106" s="138" t="str">
        <f t="array" ref="D106">XLOOKUP(B106,Data!F:F,Data!I:I)</f>
        <v>J130</v>
      </c>
      <c r="E106" s="157" t="s">
        <v>4161</v>
      </c>
      <c r="F106" s="154" t="str">
        <f t="array" ref="F106">IFERROR(XLOOKUP(B106,Data!F:F,Data!F:F),0)</f>
        <v>25045-J1B-J130-T3C4-007</v>
      </c>
    </row>
    <row r="107" ht="15.75" customHeight="1">
      <c r="A107" s="153">
        <v>46126.0</v>
      </c>
      <c r="B107" s="27" t="s">
        <v>1265</v>
      </c>
      <c r="C107" s="27">
        <v>1.0</v>
      </c>
      <c r="D107" s="138" t="str">
        <f t="array" ref="D107">XLOOKUP(B107,Data!F:F,Data!I:I)</f>
        <v>J129</v>
      </c>
      <c r="E107" s="157" t="s">
        <v>4161</v>
      </c>
      <c r="F107" s="154" t="str">
        <f t="array" ref="F107">IFERROR(XLOOKUP(B107,Data!F:F,Data!F:F),0)</f>
        <v>25045-J1B-J129-T3C4-005</v>
      </c>
    </row>
    <row r="108" ht="15.75" customHeight="1">
      <c r="A108" s="153">
        <v>46126.0</v>
      </c>
      <c r="B108" s="27" t="s">
        <v>1248</v>
      </c>
      <c r="C108" s="27">
        <v>1.0</v>
      </c>
      <c r="D108" s="138" t="str">
        <f t="array" ref="D108">XLOOKUP(B108,Data!F:F,Data!I:I)</f>
        <v>J128</v>
      </c>
      <c r="E108" s="157" t="s">
        <v>4161</v>
      </c>
      <c r="F108" s="154" t="str">
        <f t="array" ref="F108">IFERROR(XLOOKUP(B108,Data!F:F,Data!F:F),0)</f>
        <v>25045-J1B-J128-T3C4-005</v>
      </c>
    </row>
    <row r="109" ht="15.75" customHeight="1">
      <c r="A109" s="153">
        <v>46127.0</v>
      </c>
      <c r="B109" s="27" t="s">
        <v>1244</v>
      </c>
      <c r="C109" s="27">
        <v>1.0</v>
      </c>
      <c r="D109" s="138" t="str">
        <f t="array" ref="D109">XLOOKUP(B109,Data!F:F,Data!I:I)</f>
        <v>J128</v>
      </c>
      <c r="E109" s="138" t="s">
        <v>4162</v>
      </c>
      <c r="F109" s="154" t="str">
        <f t="array" ref="F109">IFERROR(XLOOKUP(B109,Data!F:F,Data!F:F),0)</f>
        <v>25045-J1B-J128-T3C4-001</v>
      </c>
    </row>
    <row r="110" ht="15.75" customHeight="1">
      <c r="A110" s="153">
        <v>46127.0</v>
      </c>
      <c r="B110" s="27" t="s">
        <v>1245</v>
      </c>
      <c r="C110" s="27">
        <v>1.0</v>
      </c>
      <c r="D110" s="138" t="str">
        <f t="array" ref="D110">XLOOKUP(B110,Data!F:F,Data!I:I)</f>
        <v>J128</v>
      </c>
      <c r="E110" s="138" t="s">
        <v>4162</v>
      </c>
      <c r="F110" s="154" t="str">
        <f t="array" ref="F110">IFERROR(XLOOKUP(B110,Data!F:F,Data!F:F),0)</f>
        <v>25045-J1B-J128-T3C4-002</v>
      </c>
    </row>
    <row r="111" ht="15.75" customHeight="1">
      <c r="A111" s="153">
        <v>46127.0</v>
      </c>
      <c r="B111" s="27" t="s">
        <v>1246</v>
      </c>
      <c r="C111" s="27">
        <v>1.0</v>
      </c>
      <c r="D111" s="138" t="str">
        <f t="array" ref="D111">XLOOKUP(B111,Data!F:F,Data!I:I)</f>
        <v>J128</v>
      </c>
      <c r="E111" s="138" t="s">
        <v>4162</v>
      </c>
      <c r="F111" s="154" t="str">
        <f t="array" ref="F111">IFERROR(XLOOKUP(B111,Data!F:F,Data!F:F),0)</f>
        <v>25045-J1B-J128-T3C4-003</v>
      </c>
    </row>
    <row r="112" ht="15.75" customHeight="1">
      <c r="A112" s="153">
        <v>46127.0</v>
      </c>
      <c r="B112" s="27" t="s">
        <v>1247</v>
      </c>
      <c r="C112" s="27">
        <v>1.0</v>
      </c>
      <c r="D112" s="138" t="str">
        <f t="array" ref="D112">XLOOKUP(B112,Data!F:F,Data!I:I)</f>
        <v>J128</v>
      </c>
      <c r="E112" s="138" t="s">
        <v>4162</v>
      </c>
      <c r="F112" s="154" t="str">
        <f t="array" ref="F112">IFERROR(XLOOKUP(B112,Data!F:F,Data!F:F),0)</f>
        <v>25045-J1B-J128-T3C4-004</v>
      </c>
    </row>
    <row r="113" ht="15.75" customHeight="1">
      <c r="A113" s="153">
        <v>46127.0</v>
      </c>
      <c r="B113" s="27" t="s">
        <v>1232</v>
      </c>
      <c r="C113" s="27">
        <v>1.0</v>
      </c>
      <c r="D113" s="138" t="str">
        <f t="array" ref="D113">XLOOKUP(B113,Data!F:F,Data!I:I)</f>
        <v>J127</v>
      </c>
      <c r="E113" s="138" t="s">
        <v>4163</v>
      </c>
      <c r="F113" s="154" t="str">
        <f t="array" ref="F113">IFERROR(XLOOKUP(B113,Data!F:F,Data!F:F),0)</f>
        <v>25045-J1B-J127-T3C4-001</v>
      </c>
    </row>
    <row r="114" ht="15.75" customHeight="1">
      <c r="A114" s="153">
        <v>46127.0</v>
      </c>
      <c r="B114" s="27" t="s">
        <v>1233</v>
      </c>
      <c r="C114" s="27">
        <v>1.0</v>
      </c>
      <c r="D114" s="138" t="str">
        <f t="array" ref="D114">XLOOKUP(B114,Data!F:F,Data!I:I)</f>
        <v>J127</v>
      </c>
      <c r="E114" s="138" t="s">
        <v>4163</v>
      </c>
      <c r="F114" s="154" t="str">
        <f t="array" ref="F114">IFERROR(XLOOKUP(B114,Data!F:F,Data!F:F),0)</f>
        <v>25045-J1B-J127-T3C4-002</v>
      </c>
    </row>
    <row r="115" ht="15.75" customHeight="1">
      <c r="A115" s="153">
        <v>46127.0</v>
      </c>
      <c r="B115" s="27" t="s">
        <v>1234</v>
      </c>
      <c r="C115" s="27">
        <v>1.0</v>
      </c>
      <c r="D115" s="138" t="str">
        <f t="array" ref="D115">XLOOKUP(B115,Data!F:F,Data!I:I)</f>
        <v>J127</v>
      </c>
      <c r="E115" s="138" t="s">
        <v>4163</v>
      </c>
      <c r="F115" s="154" t="str">
        <f t="array" ref="F115">IFERROR(XLOOKUP(B115,Data!F:F,Data!F:F),0)</f>
        <v>25045-J1B-J127-T3C4-003</v>
      </c>
    </row>
    <row r="116" ht="15.75" customHeight="1">
      <c r="A116" s="153">
        <v>46127.0</v>
      </c>
      <c r="B116" s="27" t="s">
        <v>1235</v>
      </c>
      <c r="C116" s="27">
        <v>1.0</v>
      </c>
      <c r="D116" s="138" t="str">
        <f t="array" ref="D116">XLOOKUP(B116,Data!F:F,Data!I:I)</f>
        <v>J127</v>
      </c>
      <c r="E116" s="138" t="s">
        <v>4163</v>
      </c>
      <c r="F116" s="154" t="str">
        <f t="array" ref="F116">IFERROR(XLOOKUP(B116,Data!F:F,Data!F:F),0)</f>
        <v>25045-J1B-J127-T3C4-004</v>
      </c>
    </row>
    <row r="117" ht="15.75" customHeight="1">
      <c r="A117" s="153">
        <v>46128.0</v>
      </c>
      <c r="B117" s="27" t="s">
        <v>1227</v>
      </c>
      <c r="C117" s="27">
        <v>1.0</v>
      </c>
      <c r="D117" s="138" t="str">
        <f t="array" ref="D117">XLOOKUP(B117,Data!F:F,Data!I:I)</f>
        <v>J127</v>
      </c>
      <c r="E117" s="157" t="s">
        <v>4164</v>
      </c>
      <c r="F117" s="154" t="str">
        <f t="array" ref="F117">IFERROR(XLOOKUP(B117,Data!F:F,Data!F:F),0)</f>
        <v>25045-J1B-J127-T3C4-006</v>
      </c>
    </row>
    <row r="118" ht="15.75" customHeight="1">
      <c r="A118" s="153">
        <v>46128.0</v>
      </c>
      <c r="B118" s="27" t="s">
        <v>1215</v>
      </c>
      <c r="C118" s="27">
        <v>1.0</v>
      </c>
      <c r="D118" s="138" t="str">
        <f t="array" ref="D118">XLOOKUP(B118,Data!F:F,Data!I:I)</f>
        <v>J126</v>
      </c>
      <c r="E118" s="157" t="s">
        <v>4164</v>
      </c>
      <c r="F118" s="154" t="str">
        <f t="array" ref="F118">IFERROR(XLOOKUP(B118,Data!F:F,Data!F:F),0)</f>
        <v>25045-J1B-J126-T3C4-001</v>
      </c>
    </row>
    <row r="119" ht="15.75" customHeight="1">
      <c r="A119" s="153">
        <v>46128.0</v>
      </c>
      <c r="B119" s="27" t="s">
        <v>1216</v>
      </c>
      <c r="C119" s="27">
        <v>1.0</v>
      </c>
      <c r="D119" s="138" t="str">
        <f t="array" ref="D119">XLOOKUP(B119,Data!F:F,Data!I:I)</f>
        <v>J126</v>
      </c>
      <c r="E119" s="157" t="s">
        <v>4164</v>
      </c>
      <c r="F119" s="154" t="str">
        <f t="array" ref="F119">IFERROR(XLOOKUP(B119,Data!F:F,Data!F:F),0)</f>
        <v>25045-J1B-J126-T3C4-002</v>
      </c>
    </row>
    <row r="120" ht="15.75" customHeight="1">
      <c r="A120" s="153">
        <v>46128.0</v>
      </c>
      <c r="B120" s="27" t="s">
        <v>1217</v>
      </c>
      <c r="C120" s="27">
        <v>1.0</v>
      </c>
      <c r="D120" s="138" t="str">
        <f t="array" ref="D120">XLOOKUP(B120,Data!F:F,Data!I:I)</f>
        <v>J126</v>
      </c>
      <c r="E120" s="157" t="s">
        <v>4164</v>
      </c>
      <c r="F120" s="154" t="str">
        <f t="array" ref="F120">IFERROR(XLOOKUP(B120,Data!F:F,Data!F:F),0)</f>
        <v>25045-J1B-J126-T3C4-003</v>
      </c>
    </row>
    <row r="121" ht="15.75" customHeight="1">
      <c r="A121" s="153">
        <v>46129.0</v>
      </c>
      <c r="B121" s="27" t="s">
        <v>1218</v>
      </c>
      <c r="C121" s="27">
        <v>1.0</v>
      </c>
      <c r="D121" s="138" t="str">
        <f t="array" ref="D121">XLOOKUP(B121,Data!F:F,Data!I:I)</f>
        <v>J126</v>
      </c>
      <c r="E121" s="157" t="s">
        <v>4165</v>
      </c>
      <c r="F121" s="154" t="str">
        <f t="array" ref="F121">IFERROR(XLOOKUP(B121,Data!F:F,Data!F:F),0)</f>
        <v>25045-J1B-J126-T3C4-004</v>
      </c>
    </row>
    <row r="122" ht="15.75" customHeight="1">
      <c r="A122" s="153">
        <v>46129.0</v>
      </c>
      <c r="B122" s="27" t="s">
        <v>1279</v>
      </c>
      <c r="C122" s="27">
        <v>1.0</v>
      </c>
      <c r="D122" s="138" t="str">
        <f t="array" ref="D122">XLOOKUP(B122,Data!F:F,Data!I:I)</f>
        <v>J130</v>
      </c>
      <c r="E122" s="157" t="s">
        <v>4165</v>
      </c>
      <c r="F122" s="154" t="str">
        <f t="array" ref="F122">IFERROR(XLOOKUP(B122,Data!F:F,Data!F:F),0)</f>
        <v>25045-J1B-J130-T3C4-008</v>
      </c>
    </row>
    <row r="123" ht="15.75" customHeight="1">
      <c r="A123" s="153">
        <v>46129.0</v>
      </c>
      <c r="B123" s="27" t="s">
        <v>1262</v>
      </c>
      <c r="C123" s="27">
        <v>1.0</v>
      </c>
      <c r="D123" s="138" t="str">
        <f t="array" ref="D123">XLOOKUP(B123,Data!F:F,Data!I:I)</f>
        <v>J129</v>
      </c>
      <c r="E123" s="157" t="s">
        <v>4165</v>
      </c>
      <c r="F123" s="154" t="str">
        <f t="array" ref="F123">IFERROR(XLOOKUP(B123,Data!F:F,Data!F:F),0)</f>
        <v>25045-J1B-J129-T3C4-002</v>
      </c>
    </row>
    <row r="124" ht="15.75" customHeight="1">
      <c r="A124" s="153">
        <v>46129.0</v>
      </c>
      <c r="B124" s="27" t="s">
        <v>1264</v>
      </c>
      <c r="C124" s="27">
        <v>1.0</v>
      </c>
      <c r="D124" s="138" t="str">
        <f t="array" ref="D124">XLOOKUP(B124,Data!F:F,Data!I:I)</f>
        <v>J129</v>
      </c>
      <c r="E124" s="157" t="s">
        <v>4165</v>
      </c>
      <c r="F124" s="154" t="str">
        <f t="array" ref="F124">IFERROR(XLOOKUP(B124,Data!F:F,Data!F:F),0)</f>
        <v>25045-J1B-J129-T3C4-004</v>
      </c>
    </row>
    <row r="125" ht="15.75" customHeight="1">
      <c r="A125" s="153">
        <v>46132.0</v>
      </c>
      <c r="B125" s="27" t="s">
        <v>1106</v>
      </c>
      <c r="C125" s="27">
        <v>1.0</v>
      </c>
      <c r="D125" s="138" t="str">
        <f t="array" ref="D125">XLOOKUP(B125,Data!F:F,Data!I:I)</f>
        <v>J121</v>
      </c>
      <c r="E125" s="157" t="s">
        <v>4166</v>
      </c>
      <c r="F125" s="154" t="str">
        <f t="array" ref="F125">IFERROR(XLOOKUP(B125,Data!F:F,Data!F:F),0)</f>
        <v>25045-J1A-J121-T3C5-002</v>
      </c>
    </row>
    <row r="126" ht="15.75" customHeight="1">
      <c r="A126" s="153">
        <v>46132.0</v>
      </c>
      <c r="B126" s="27" t="s">
        <v>1107</v>
      </c>
      <c r="C126" s="27">
        <v>1.0</v>
      </c>
      <c r="D126" s="138" t="str">
        <f t="array" ref="D126">XLOOKUP(B126,Data!F:F,Data!I:I)</f>
        <v>J121</v>
      </c>
      <c r="E126" s="157" t="s">
        <v>4166</v>
      </c>
      <c r="F126" s="154" t="str">
        <f t="array" ref="F126">IFERROR(XLOOKUP(B126,Data!F:F,Data!F:F),0)</f>
        <v>25045-J1A-J121-T3C5-003</v>
      </c>
    </row>
    <row r="127" ht="15.75" customHeight="1">
      <c r="A127" s="153">
        <v>46132.0</v>
      </c>
      <c r="B127" s="27" t="s">
        <v>1114</v>
      </c>
      <c r="C127" s="27">
        <v>1.0</v>
      </c>
      <c r="D127" s="138" t="str">
        <f t="array" ref="D127">XLOOKUP(B127,Data!F:F,Data!I:I)</f>
        <v>J121</v>
      </c>
      <c r="E127" s="157" t="s">
        <v>4166</v>
      </c>
      <c r="F127" s="154" t="str">
        <f t="array" ref="F127">IFERROR(XLOOKUP(B127,Data!F:F,Data!F:F),0)</f>
        <v>25045-J1A-J121-T3C5-010</v>
      </c>
    </row>
    <row r="128" ht="15.75" customHeight="1">
      <c r="A128" s="153">
        <v>46132.0</v>
      </c>
      <c r="B128" s="27" t="s">
        <v>1121</v>
      </c>
      <c r="C128" s="27">
        <v>1.0</v>
      </c>
      <c r="D128" s="138" t="str">
        <f t="array" ref="D128">XLOOKUP(B128,Data!F:F,Data!I:I)</f>
        <v>J121</v>
      </c>
      <c r="E128" s="157" t="s">
        <v>4166</v>
      </c>
      <c r="F128" s="154" t="str">
        <f t="array" ref="F128">IFERROR(XLOOKUP(B128,Data!F:F,Data!F:F),0)</f>
        <v>25045-J1A-J121-T6C1-001</v>
      </c>
    </row>
    <row r="129" ht="15.75" customHeight="1">
      <c r="A129" s="153">
        <v>46132.0</v>
      </c>
      <c r="B129" s="27" t="s">
        <v>1133</v>
      </c>
      <c r="C129" s="27">
        <v>1.0</v>
      </c>
      <c r="D129" s="138" t="str">
        <f t="array" ref="D129">XLOOKUP(B129,Data!F:F,Data!I:I)</f>
        <v>J122</v>
      </c>
      <c r="E129" s="157" t="s">
        <v>4167</v>
      </c>
      <c r="F129" s="154" t="str">
        <f t="array" ref="F129">IFERROR(XLOOKUP(B129,Data!F:F,Data!F:F),0)</f>
        <v>25045-J1A-J122-T2C1-001</v>
      </c>
    </row>
    <row r="130" ht="15.75" customHeight="1">
      <c r="A130" s="153">
        <v>46132.0</v>
      </c>
      <c r="B130" s="27" t="s">
        <v>1135</v>
      </c>
      <c r="C130" s="27">
        <v>1.0</v>
      </c>
      <c r="D130" s="138" t="str">
        <f t="array" ref="D130">XLOOKUP(B130,Data!F:F,Data!I:I)</f>
        <v>J122</v>
      </c>
      <c r="E130" s="157" t="s">
        <v>4167</v>
      </c>
      <c r="F130" s="154" t="str">
        <f t="array" ref="F130">IFERROR(XLOOKUP(B130,Data!F:F,Data!F:F),0)</f>
        <v>25045-J1A-J122-T2C5-001</v>
      </c>
    </row>
    <row r="131" ht="15.75" customHeight="1">
      <c r="A131" s="153">
        <v>46132.0</v>
      </c>
      <c r="B131" s="27" t="s">
        <v>1137</v>
      </c>
      <c r="C131" s="27">
        <v>1.0</v>
      </c>
      <c r="D131" s="138" t="str">
        <f t="array" ref="D131">XLOOKUP(B131,Data!F:F,Data!I:I)</f>
        <v>J122</v>
      </c>
      <c r="E131" s="157" t="s">
        <v>4167</v>
      </c>
      <c r="F131" s="154" t="str">
        <f t="array" ref="F131">IFERROR(XLOOKUP(B131,Data!F:F,Data!F:F),0)</f>
        <v>25045-J1A-J122-T2C5-003</v>
      </c>
    </row>
    <row r="132" ht="15.75" customHeight="1">
      <c r="A132" s="153">
        <v>46132.0</v>
      </c>
      <c r="B132" s="27" t="s">
        <v>1138</v>
      </c>
      <c r="C132" s="27">
        <v>1.0</v>
      </c>
      <c r="D132" s="138" t="str">
        <f t="array" ref="D132">XLOOKUP(B132,Data!F:F,Data!I:I)</f>
        <v>J122</v>
      </c>
      <c r="E132" s="157" t="s">
        <v>4167</v>
      </c>
      <c r="F132" s="154" t="str">
        <f t="array" ref="F132">IFERROR(XLOOKUP(B132,Data!F:F,Data!F:F),0)</f>
        <v>25045-J1A-J122-T2C9-001</v>
      </c>
    </row>
    <row r="133" ht="15.75" customHeight="1">
      <c r="A133" s="153">
        <v>46132.0</v>
      </c>
      <c r="B133" s="27" t="s">
        <v>1125</v>
      </c>
      <c r="C133" s="27">
        <v>1.0</v>
      </c>
      <c r="D133" s="138" t="str">
        <f t="array" ref="D133">XLOOKUP(B133,Data!F:F,Data!I:I)</f>
        <v>J122</v>
      </c>
      <c r="E133" s="157" t="s">
        <v>4168</v>
      </c>
      <c r="F133" s="154" t="str">
        <f t="array" ref="F133">IFERROR(XLOOKUP(B133,Data!F:F,Data!F:F),0)</f>
        <v>25045-J1A-J122-T3C5-001</v>
      </c>
    </row>
    <row r="134" ht="15.75" customHeight="1">
      <c r="A134" s="153">
        <v>46132.0</v>
      </c>
      <c r="B134" s="27" t="s">
        <v>1127</v>
      </c>
      <c r="C134" s="27">
        <v>1.0</v>
      </c>
      <c r="D134" s="138" t="str">
        <f t="array" ref="D134">XLOOKUP(B134,Data!F:F,Data!I:I)</f>
        <v>J122</v>
      </c>
      <c r="E134" s="157" t="s">
        <v>4168</v>
      </c>
      <c r="F134" s="154" t="str">
        <f t="array" ref="F134">IFERROR(XLOOKUP(B134,Data!F:F,Data!F:F),0)</f>
        <v>25045-J1A-J122-T3C5-003</v>
      </c>
    </row>
    <row r="135" ht="15.75" customHeight="1">
      <c r="A135" s="153">
        <v>46132.0</v>
      </c>
      <c r="B135" s="27" t="s">
        <v>1110</v>
      </c>
      <c r="C135" s="27">
        <v>1.0</v>
      </c>
      <c r="D135" s="138" t="str">
        <f t="array" ref="D135">XLOOKUP(B135,Data!F:F,Data!I:I)</f>
        <v>J121</v>
      </c>
      <c r="E135" s="27" t="s">
        <v>4168</v>
      </c>
      <c r="F135" s="154" t="str">
        <f t="array" ref="F135">IFERROR(XLOOKUP(B135,Data!F:F,Data!F:F),0)</f>
        <v>25045-J1A-J121-T3C5-006</v>
      </c>
    </row>
    <row r="136" ht="15.75" customHeight="1">
      <c r="A136" s="153">
        <v>46132.0</v>
      </c>
      <c r="B136" s="27" t="s">
        <v>1111</v>
      </c>
      <c r="C136" s="27">
        <v>1.0</v>
      </c>
      <c r="D136" s="138" t="str">
        <f t="array" ref="D136">XLOOKUP(B136,Data!F:F,Data!I:I)</f>
        <v>J121</v>
      </c>
      <c r="E136" s="27" t="s">
        <v>4168</v>
      </c>
      <c r="F136" s="154" t="str">
        <f t="array" ref="F136">IFERROR(XLOOKUP(B136,Data!F:F,Data!F:F),0)</f>
        <v>25045-J1A-J121-T3C5-007</v>
      </c>
    </row>
    <row r="137" ht="15.75" customHeight="1">
      <c r="A137" s="153">
        <v>46132.0</v>
      </c>
      <c r="B137" s="27" t="s">
        <v>1126</v>
      </c>
      <c r="C137" s="27">
        <v>1.0</v>
      </c>
      <c r="D137" s="138" t="str">
        <f t="array" ref="D137">XLOOKUP(B137,Data!F:F,Data!I:I)</f>
        <v>J122</v>
      </c>
      <c r="E137" s="27" t="s">
        <v>4169</v>
      </c>
      <c r="F137" s="154" t="str">
        <f t="array" ref="F137">IFERROR(XLOOKUP(B137,Data!F:F,Data!F:F),0)</f>
        <v>25045-J1A-J122-T3C5-002</v>
      </c>
    </row>
    <row r="138" ht="15.75" customHeight="1">
      <c r="A138" s="153">
        <v>46132.0</v>
      </c>
      <c r="B138" s="27" t="s">
        <v>1128</v>
      </c>
      <c r="C138" s="27">
        <v>1.0</v>
      </c>
      <c r="D138" s="138" t="str">
        <f t="array" ref="D138">XLOOKUP(B138,Data!F:F,Data!I:I)</f>
        <v>J122</v>
      </c>
      <c r="E138" s="27" t="s">
        <v>4169</v>
      </c>
      <c r="F138" s="154" t="str">
        <f t="array" ref="F138">IFERROR(XLOOKUP(B138,Data!F:F,Data!F:F),0)</f>
        <v>25045-J1A-J122-T3C5-004</v>
      </c>
    </row>
    <row r="139" ht="15.75" customHeight="1">
      <c r="A139" s="153">
        <v>46132.0</v>
      </c>
      <c r="B139" s="27" t="s">
        <v>1108</v>
      </c>
      <c r="C139" s="27">
        <v>1.0</v>
      </c>
      <c r="D139" s="138" t="str">
        <f t="array" ref="D139">XLOOKUP(B139,Data!F:F,Data!I:I)</f>
        <v>J121</v>
      </c>
      <c r="E139" s="27" t="s">
        <v>4169</v>
      </c>
      <c r="F139" s="154" t="str">
        <f t="array" ref="F139">IFERROR(XLOOKUP(B139,Data!F:F,Data!F:F),0)</f>
        <v>25045-J1A-J121-T3C5-004</v>
      </c>
    </row>
    <row r="140" ht="15.75" customHeight="1">
      <c r="A140" s="153">
        <v>46132.0</v>
      </c>
      <c r="B140" s="27" t="s">
        <v>1113</v>
      </c>
      <c r="C140" s="27">
        <v>1.0</v>
      </c>
      <c r="D140" s="138" t="str">
        <f t="array" ref="D140">XLOOKUP(B140,Data!F:F,Data!I:I)</f>
        <v>J121</v>
      </c>
      <c r="E140" s="27" t="s">
        <v>4169</v>
      </c>
      <c r="F140" s="154" t="str">
        <f t="array" ref="F140">IFERROR(XLOOKUP(B140,Data!F:F,Data!F:F),0)</f>
        <v>25045-J1A-J121-T3C5-009</v>
      </c>
    </row>
    <row r="141" ht="15.75" customHeight="1">
      <c r="A141" s="153">
        <v>46133.0</v>
      </c>
      <c r="B141" s="27" t="s">
        <v>1024</v>
      </c>
      <c r="C141" s="27">
        <v>1.0</v>
      </c>
      <c r="D141" s="138" t="str">
        <f t="array" ref="D141">XLOOKUP(B141,Data!F:F,Data!I:I)</f>
        <v>J117</v>
      </c>
      <c r="E141" s="27" t="s">
        <v>4170</v>
      </c>
      <c r="F141" s="154" t="str">
        <f t="array" ref="F141">IFERROR(XLOOKUP(B141,Data!F:F,Data!F:F),0)</f>
        <v>25045-J1A-J117-T3C4-002</v>
      </c>
    </row>
    <row r="142" ht="15.75" customHeight="1">
      <c r="A142" s="153">
        <v>46133.0</v>
      </c>
      <c r="B142" s="27" t="s">
        <v>1025</v>
      </c>
      <c r="C142" s="27">
        <v>1.0</v>
      </c>
      <c r="D142" s="138" t="str">
        <f t="array" ref="D142">XLOOKUP(B142,Data!F:F,Data!I:I)</f>
        <v>J117</v>
      </c>
      <c r="E142" s="27" t="s">
        <v>4170</v>
      </c>
      <c r="F142" s="154" t="str">
        <f t="array" ref="F142">IFERROR(XLOOKUP(B142,Data!F:F,Data!F:F),0)</f>
        <v>25045-J1A-J117-T3C4-003</v>
      </c>
    </row>
    <row r="143" ht="15.75" customHeight="1">
      <c r="A143" s="153">
        <v>46133.0</v>
      </c>
      <c r="B143" s="27" t="s">
        <v>1026</v>
      </c>
      <c r="C143" s="27">
        <v>1.0</v>
      </c>
      <c r="D143" s="138" t="str">
        <f t="array" ref="D143">XLOOKUP(B143,Data!F:F,Data!I:I)</f>
        <v>J117</v>
      </c>
      <c r="E143" s="27" t="s">
        <v>4170</v>
      </c>
      <c r="F143" s="154" t="str">
        <f t="array" ref="F143">IFERROR(XLOOKUP(B143,Data!F:F,Data!F:F),0)</f>
        <v>25045-J1A-J117-T3C4-004</v>
      </c>
    </row>
    <row r="144" ht="15.75" customHeight="1">
      <c r="A144" s="153">
        <v>46133.0</v>
      </c>
      <c r="B144" s="27" t="s">
        <v>1038</v>
      </c>
      <c r="C144" s="27">
        <v>1.0</v>
      </c>
      <c r="D144" s="138" t="str">
        <f t="array" ref="D144">XLOOKUP(B144,Data!F:F,Data!I:I)</f>
        <v>J118</v>
      </c>
      <c r="E144" s="27" t="s">
        <v>4170</v>
      </c>
      <c r="F144" s="154" t="str">
        <f t="array" ref="F144">IFERROR(XLOOKUP(B144,Data!F:F,Data!F:F),0)</f>
        <v>25045-J1A-J118-T3C4-003</v>
      </c>
    </row>
    <row r="145" ht="15.75" customHeight="1">
      <c r="A145" s="153">
        <v>46133.0</v>
      </c>
      <c r="B145" s="27" t="s">
        <v>1037</v>
      </c>
      <c r="C145" s="27">
        <v>1.0</v>
      </c>
      <c r="D145" s="138" t="str">
        <f t="array" ref="D145">XLOOKUP(B145,Data!F:F,Data!I:I)</f>
        <v>J118</v>
      </c>
      <c r="E145" s="27" t="s">
        <v>4171</v>
      </c>
      <c r="F145" s="154" t="str">
        <f t="array" ref="F145">IFERROR(XLOOKUP(B145,Data!F:F,Data!F:F),0)</f>
        <v>25045-J1A-J118-T3C4-002</v>
      </c>
    </row>
    <row r="146" ht="15.75" customHeight="1">
      <c r="A146" s="153">
        <v>46133.0</v>
      </c>
      <c r="B146" s="27" t="s">
        <v>1039</v>
      </c>
      <c r="C146" s="27">
        <v>1.0</v>
      </c>
      <c r="D146" s="138" t="str">
        <f t="array" ref="D146">XLOOKUP(B146,Data!F:F,Data!I:I)</f>
        <v>J118</v>
      </c>
      <c r="E146" s="27" t="s">
        <v>4171</v>
      </c>
      <c r="F146" s="154" t="str">
        <f t="array" ref="F146">IFERROR(XLOOKUP(B146,Data!F:F,Data!F:F),0)</f>
        <v>25045-J1A-J118-T3C4-004</v>
      </c>
    </row>
    <row r="147" ht="15.75" customHeight="1">
      <c r="A147" s="153">
        <v>46133.0</v>
      </c>
      <c r="B147" s="27" t="s">
        <v>1040</v>
      </c>
      <c r="C147" s="27">
        <v>1.0</v>
      </c>
      <c r="D147" s="138" t="str">
        <f t="array" ref="D147">XLOOKUP(B147,Data!F:F,Data!I:I)</f>
        <v>J118</v>
      </c>
      <c r="E147" s="27" t="s">
        <v>4171</v>
      </c>
      <c r="F147" s="154" t="str">
        <f t="array" ref="F147">IFERROR(XLOOKUP(B147,Data!F:F,Data!F:F),0)</f>
        <v>25045-J1A-J118-T3C4-005</v>
      </c>
    </row>
    <row r="148" ht="15.75" customHeight="1">
      <c r="A148" s="153">
        <v>46133.0</v>
      </c>
      <c r="B148" s="27" t="s">
        <v>1045</v>
      </c>
      <c r="C148" s="27">
        <v>1.0</v>
      </c>
      <c r="D148" s="138" t="str">
        <f t="array" ref="D148">XLOOKUP(B148,Data!F:F,Data!I:I)</f>
        <v>J118</v>
      </c>
      <c r="E148" s="27" t="s">
        <v>4171</v>
      </c>
      <c r="F148" s="154" t="str">
        <f t="array" ref="F148">IFERROR(XLOOKUP(B148,Data!F:F,Data!F:F),0)</f>
        <v>25045-J1A-J118-T3C5-004</v>
      </c>
    </row>
    <row r="149" ht="15.75" customHeight="1">
      <c r="A149" s="153">
        <v>46133.0</v>
      </c>
      <c r="B149" s="27" t="s">
        <v>1085</v>
      </c>
      <c r="C149" s="27">
        <v>1.0</v>
      </c>
      <c r="D149" s="138" t="str">
        <f t="array" ref="D149">XLOOKUP(B149,Data!F:F,Data!I:I)</f>
        <v>J120</v>
      </c>
      <c r="E149" s="27" t="s">
        <v>4172</v>
      </c>
      <c r="F149" s="154" t="str">
        <f t="array" ref="F149">IFERROR(XLOOKUP(B149,Data!F:F,Data!F:F),0)</f>
        <v>25045-J1A-J120-T3C5-002</v>
      </c>
    </row>
    <row r="150" ht="15.75" customHeight="1">
      <c r="A150" s="153">
        <v>46133.0</v>
      </c>
      <c r="B150" s="158" t="s">
        <v>1087</v>
      </c>
      <c r="C150" s="27">
        <v>1.0</v>
      </c>
      <c r="D150" s="138" t="str">
        <f t="array" ref="D150">XLOOKUP(B150,Data!F:F,Data!I:I)</f>
        <v>J120</v>
      </c>
      <c r="E150" s="27" t="s">
        <v>4172</v>
      </c>
      <c r="F150" s="154" t="str">
        <f t="array" ref="F150">IFERROR(XLOOKUP(B150,Data!F:F,Data!F:F),0)</f>
        <v>25045-J1A-J120-T3C5-004</v>
      </c>
    </row>
    <row r="151" ht="15.75" customHeight="1">
      <c r="A151" s="153">
        <v>46133.0</v>
      </c>
      <c r="B151" s="27" t="s">
        <v>1088</v>
      </c>
      <c r="C151" s="27">
        <v>1.0</v>
      </c>
      <c r="D151" s="138" t="str">
        <f t="array" ref="D151">XLOOKUP(B151,Data!F:F,Data!I:I)</f>
        <v>J120</v>
      </c>
      <c r="E151" s="27" t="s">
        <v>4172</v>
      </c>
      <c r="F151" s="154" t="str">
        <f t="array" ref="F151">IFERROR(XLOOKUP(B151,Data!F:F,Data!F:F),0)</f>
        <v>25045-J1A-J120-T3C5-005</v>
      </c>
    </row>
    <row r="152" ht="15.75" customHeight="1">
      <c r="A152" s="153">
        <v>46133.0</v>
      </c>
      <c r="B152" s="27" t="s">
        <v>1101</v>
      </c>
      <c r="C152" s="27">
        <v>1.0</v>
      </c>
      <c r="D152" s="138" t="str">
        <f t="array" ref="D152">XLOOKUP(B152,Data!F:F,Data!I:I)</f>
        <v>J120</v>
      </c>
      <c r="E152" s="27" t="s">
        <v>4172</v>
      </c>
      <c r="F152" s="154" t="str">
        <f t="array" ref="F152">IFERROR(XLOOKUP(B152,Data!F:F,Data!F:F),0)</f>
        <v>25045-J1A-J120-T6C1-001</v>
      </c>
    </row>
    <row r="153" ht="15.75" customHeight="1">
      <c r="A153" s="153">
        <v>46133.0</v>
      </c>
      <c r="B153" s="27" t="s">
        <v>1105</v>
      </c>
      <c r="C153" s="27">
        <v>1.0</v>
      </c>
      <c r="D153" s="138" t="str">
        <f t="array" ref="D153">XLOOKUP(B153,Data!F:F,Data!I:I)</f>
        <v>J121</v>
      </c>
      <c r="E153" s="27" t="s">
        <v>4173</v>
      </c>
      <c r="F153" s="154" t="str">
        <f t="array" ref="F153">IFERROR(XLOOKUP(B153,Data!F:F,Data!F:F),0)</f>
        <v>25045-J1A-J121-T3C5-001</v>
      </c>
    </row>
    <row r="154" ht="15.75" customHeight="1">
      <c r="A154" s="153">
        <v>46133.0</v>
      </c>
      <c r="B154" s="27" t="s">
        <v>1112</v>
      </c>
      <c r="C154" s="27">
        <v>1.0</v>
      </c>
      <c r="D154" s="138" t="str">
        <f t="array" ref="D154">XLOOKUP(B154,Data!F:F,Data!I:I)</f>
        <v>J121</v>
      </c>
      <c r="E154" s="27" t="s">
        <v>4173</v>
      </c>
      <c r="F154" s="154" t="str">
        <f t="array" ref="F154">IFERROR(XLOOKUP(B154,Data!F:F,Data!F:F),0)</f>
        <v>25045-J1A-J121-T3C5-008</v>
      </c>
    </row>
    <row r="155" ht="15.75" customHeight="1">
      <c r="A155" s="153">
        <v>46133.0</v>
      </c>
      <c r="B155" s="158" t="s">
        <v>1134</v>
      </c>
      <c r="C155" s="27">
        <v>1.0</v>
      </c>
      <c r="D155" s="138" t="str">
        <f t="array" ref="D155">XLOOKUP(B155,Data!F:F,Data!I:I)</f>
        <v>J122</v>
      </c>
      <c r="E155" s="157" t="s">
        <v>4173</v>
      </c>
      <c r="F155" s="154" t="str">
        <f t="array" ref="F155">IFERROR(XLOOKUP(B155,Data!F:F,Data!F:F),0)</f>
        <v>25045-J1A-J122-T2C1-002</v>
      </c>
    </row>
    <row r="156" ht="15.75" customHeight="1">
      <c r="A156" s="153">
        <v>46133.0</v>
      </c>
      <c r="B156" s="158" t="s">
        <v>1136</v>
      </c>
      <c r="C156" s="27">
        <v>1.0</v>
      </c>
      <c r="D156" s="138" t="str">
        <f t="array" ref="D156">XLOOKUP(B156,Data!F:F,Data!I:I)</f>
        <v>J122</v>
      </c>
      <c r="E156" s="157" t="s">
        <v>4173</v>
      </c>
      <c r="F156" s="154" t="str">
        <f t="array" ref="F156">IFERROR(XLOOKUP(B156,Data!F:F,Data!F:F),0)</f>
        <v>25045-J1A-J122-T2C5-002</v>
      </c>
    </row>
    <row r="157" ht="15.75" customHeight="1">
      <c r="A157" s="153">
        <v>46134.0</v>
      </c>
      <c r="B157" s="158" t="s">
        <v>1089</v>
      </c>
      <c r="C157" s="27">
        <v>1.0</v>
      </c>
      <c r="D157" s="138" t="str">
        <f t="array" ref="D157">XLOOKUP(B157,Data!F:F,Data!I:I)</f>
        <v>J120</v>
      </c>
      <c r="E157" s="157" t="s">
        <v>4174</v>
      </c>
      <c r="F157" s="154" t="str">
        <f t="array" ref="F157">IFERROR(XLOOKUP(B157,Data!F:F,Data!F:F),0)</f>
        <v>25045-J1A-J120-T3C5-006</v>
      </c>
    </row>
    <row r="158" ht="15.75" customHeight="1">
      <c r="A158" s="153">
        <v>46134.0</v>
      </c>
      <c r="B158" s="158" t="s">
        <v>1043</v>
      </c>
      <c r="C158" s="27">
        <v>1.0</v>
      </c>
      <c r="D158" s="138" t="str">
        <f t="array" ref="D158">XLOOKUP(B158,Data!F:F,Data!I:I)</f>
        <v>J118</v>
      </c>
      <c r="E158" s="157" t="s">
        <v>4174</v>
      </c>
      <c r="F158" s="154" t="str">
        <f t="array" ref="F158">IFERROR(XLOOKUP(B158,Data!F:F,Data!F:F),0)</f>
        <v>25045-J1A-J118-T3C5-002</v>
      </c>
    </row>
    <row r="159" ht="15.75" customHeight="1">
      <c r="A159" s="153">
        <v>46134.0</v>
      </c>
      <c r="B159" s="27" t="s">
        <v>1044</v>
      </c>
      <c r="C159" s="27">
        <v>1.0</v>
      </c>
      <c r="D159" s="138" t="str">
        <f t="array" ref="D159">XLOOKUP(B159,Data!F:F,Data!I:I)</f>
        <v>J118</v>
      </c>
      <c r="E159" t="s">
        <v>4174</v>
      </c>
      <c r="F159" s="154" t="str">
        <f t="array" ref="F159">IFERROR(XLOOKUP(B159,Data!F:F,Data!F:F),0)</f>
        <v>25045-J1A-J118-T3C5-003</v>
      </c>
    </row>
    <row r="160" ht="15.75" customHeight="1">
      <c r="A160" s="153">
        <v>46134.0</v>
      </c>
      <c r="B160" s="27" t="s">
        <v>1041</v>
      </c>
      <c r="C160" s="27">
        <v>1.0</v>
      </c>
      <c r="D160" s="138" t="str">
        <f t="array" ref="D160">XLOOKUP(B160,Data!F:F,Data!I:I)</f>
        <v>J118</v>
      </c>
      <c r="E160" t="s">
        <v>4174</v>
      </c>
      <c r="F160" s="154" t="str">
        <f t="array" ref="F160">IFERROR(XLOOKUP(B160,Data!F:F,Data!F:F),0)</f>
        <v>25045-J1A-J118-T3C4-001</v>
      </c>
    </row>
    <row r="161" ht="15.75" customHeight="1">
      <c r="A161" s="153">
        <v>46134.0</v>
      </c>
      <c r="B161" s="27" t="s">
        <v>995</v>
      </c>
      <c r="C161" s="27">
        <v>1.0</v>
      </c>
      <c r="D161" s="138" t="str">
        <f t="array" ref="D161">XLOOKUP(B161,Data!F:F,Data!I:I)</f>
        <v>J116</v>
      </c>
      <c r="E161" t="s">
        <v>4175</v>
      </c>
      <c r="F161" s="154" t="str">
        <f t="array" ref="F161">IFERROR(XLOOKUP(B161,Data!F:F,Data!F:F),0)</f>
        <v>25045-J1A-J116-T3C5-001</v>
      </c>
    </row>
    <row r="162" ht="15.75" customHeight="1">
      <c r="A162" s="153">
        <v>46134.0</v>
      </c>
      <c r="B162" s="27" t="s">
        <v>988</v>
      </c>
      <c r="C162" s="27">
        <v>1.0</v>
      </c>
      <c r="D162" s="138" t="str">
        <f t="array" ref="D162">XLOOKUP(B162,Data!F:F,Data!I:I)</f>
        <v>J116</v>
      </c>
      <c r="E162" t="s">
        <v>4175</v>
      </c>
      <c r="F162" s="154" t="str">
        <f t="array" ref="F162">IFERROR(XLOOKUP(B162,Data!F:F,Data!F:F),0)</f>
        <v>25045-J1A-J116-T2C9-002</v>
      </c>
    </row>
    <row r="163" ht="15.75" customHeight="1">
      <c r="A163" s="153">
        <v>46134.0</v>
      </c>
      <c r="B163" s="27" t="s">
        <v>998</v>
      </c>
      <c r="C163" s="27">
        <v>1.0</v>
      </c>
      <c r="D163" s="138" t="str">
        <f t="array" ref="D163">XLOOKUP(B163,Data!F:F,Data!I:I)</f>
        <v>J116</v>
      </c>
      <c r="E163" t="s">
        <v>4175</v>
      </c>
      <c r="F163" s="154" t="str">
        <f t="array" ref="F163">IFERROR(XLOOKUP(B163,Data!F:F,Data!F:F),0)</f>
        <v>25045-J1A-J116-T3C5-004</v>
      </c>
    </row>
    <row r="164" ht="15.75" customHeight="1">
      <c r="A164" s="153">
        <v>46134.0</v>
      </c>
      <c r="B164" s="27" t="s">
        <v>994</v>
      </c>
      <c r="C164" s="27">
        <v>1.0</v>
      </c>
      <c r="D164" s="138" t="str">
        <f t="array" ref="D164">XLOOKUP(B164,Data!F:F,Data!I:I)</f>
        <v>J116</v>
      </c>
      <c r="E164" t="s">
        <v>4175</v>
      </c>
      <c r="F164" s="154" t="str">
        <f t="array" ref="F164">IFERROR(XLOOKUP(B164,Data!F:F,Data!F:F),0)</f>
        <v>25045-J1A-J116-T2C5-002</v>
      </c>
    </row>
    <row r="165" ht="15.75" customHeight="1">
      <c r="A165" s="153">
        <v>46135.0</v>
      </c>
      <c r="B165" s="27" t="s">
        <v>1004</v>
      </c>
      <c r="C165" s="27">
        <v>1.0</v>
      </c>
      <c r="D165" s="138" t="str">
        <f t="array" ref="D165">XLOOKUP(B165,Data!F:F,Data!I:I)</f>
        <v>J117</v>
      </c>
      <c r="E165" t="s">
        <v>4176</v>
      </c>
      <c r="F165" s="154" t="str">
        <f t="array" ref="F165">IFERROR(XLOOKUP(B165,Data!F:F,Data!F:F),0)</f>
        <v>25045-J1A-J117-T3C5-003</v>
      </c>
    </row>
    <row r="166" ht="15.75" customHeight="1">
      <c r="A166" s="153">
        <v>46135.0</v>
      </c>
      <c r="B166" s="27" t="s">
        <v>1021</v>
      </c>
      <c r="C166" s="27">
        <v>1.0</v>
      </c>
      <c r="D166" s="138" t="str">
        <f t="array" ref="D166">XLOOKUP(B166,Data!F:F,Data!I:I)</f>
        <v>J117</v>
      </c>
      <c r="E166" t="s">
        <v>4176</v>
      </c>
      <c r="F166" s="154" t="str">
        <f t="array" ref="F166">IFERROR(XLOOKUP(B166,Data!F:F,Data!F:F),0)</f>
        <v>25045-J1A-J117-T3C5-001</v>
      </c>
    </row>
    <row r="167" ht="15.75" customHeight="1">
      <c r="A167" s="153">
        <v>46135.0</v>
      </c>
      <c r="B167" s="27" t="s">
        <v>1022</v>
      </c>
      <c r="C167" s="27">
        <v>1.0</v>
      </c>
      <c r="D167" s="138" t="str">
        <f t="array" ref="D167">XLOOKUP(B167,Data!F:F,Data!I:I)</f>
        <v>J117</v>
      </c>
      <c r="E167" t="s">
        <v>4176</v>
      </c>
      <c r="F167" s="154" t="str">
        <f t="array" ref="F167">IFERROR(XLOOKUP(B167,Data!F:F,Data!F:F),0)</f>
        <v>25045-J1A-J117-T3C5-002</v>
      </c>
    </row>
    <row r="168" ht="15.75" customHeight="1">
      <c r="A168" s="153">
        <v>46135.0</v>
      </c>
      <c r="B168" s="27" t="s">
        <v>1000</v>
      </c>
      <c r="C168" s="27">
        <v>1.0</v>
      </c>
      <c r="D168" s="138" t="str">
        <f t="array" ref="D168">XLOOKUP(B168,Data!F:F,Data!I:I)</f>
        <v>J116</v>
      </c>
      <c r="E168" t="s">
        <v>4176</v>
      </c>
      <c r="F168" s="154" t="str">
        <f t="array" ref="F168">IFERROR(XLOOKUP(B168,Data!F:F,Data!F:F),0)</f>
        <v>25045-J1A-J116-T6C1-001</v>
      </c>
    </row>
    <row r="169" ht="15.75" customHeight="1">
      <c r="A169" s="153">
        <v>46136.0</v>
      </c>
      <c r="B169" s="158" t="s">
        <v>1599</v>
      </c>
      <c r="C169" s="27">
        <v>1.0</v>
      </c>
      <c r="D169" s="138" t="str">
        <f t="array" ref="D169">XLOOKUP(B169,Data!F:F,Data!I:I)</f>
        <v>J099</v>
      </c>
      <c r="E169" s="157" t="s">
        <v>4177</v>
      </c>
      <c r="F169" s="154" t="str">
        <f t="array" ref="F169">IFERROR(XLOOKUP(B169,Data!F:F,Data!F:F),0)</f>
        <v>25045-J1D-J099-T3C4-003</v>
      </c>
    </row>
    <row r="170" ht="15.75" customHeight="1">
      <c r="A170" s="153">
        <v>46136.0</v>
      </c>
      <c r="B170" s="158" t="s">
        <v>1600</v>
      </c>
      <c r="C170" s="27">
        <v>1.0</v>
      </c>
      <c r="D170" s="138" t="str">
        <f t="array" ref="D170">XLOOKUP(B170,Data!F:F,Data!I:I)</f>
        <v>J099</v>
      </c>
      <c r="E170" s="157" t="s">
        <v>4177</v>
      </c>
      <c r="F170" s="154" t="str">
        <f t="array" ref="F170">IFERROR(XLOOKUP(B170,Data!F:F,Data!F:F),0)</f>
        <v>25045-J1D-J099-T3C4-004</v>
      </c>
    </row>
    <row r="171" ht="15.75" customHeight="1">
      <c r="A171" s="153">
        <v>46136.0</v>
      </c>
      <c r="B171" s="158" t="s">
        <v>1603</v>
      </c>
      <c r="C171" s="27">
        <v>1.0</v>
      </c>
      <c r="D171" s="138" t="str">
        <f t="array" ref="D171">XLOOKUP(B171,Data!F:F,Data!I:I)</f>
        <v>J099</v>
      </c>
      <c r="E171" s="157" t="s">
        <v>4177</v>
      </c>
      <c r="F171" s="154" t="str">
        <f t="array" ref="F171">IFERROR(XLOOKUP(B171,Data!F:F,Data!F:F),0)</f>
        <v>25045-J1D-J099-T3C5-002</v>
      </c>
    </row>
    <row r="172" ht="15.75" customHeight="1">
      <c r="A172" s="153">
        <v>46136.0</v>
      </c>
      <c r="B172" s="158" t="s">
        <v>1604</v>
      </c>
      <c r="C172" s="27">
        <v>1.0</v>
      </c>
      <c r="D172" s="138" t="str">
        <f t="array" ref="D172">XLOOKUP(B172,Data!F:F,Data!I:I)</f>
        <v>J099</v>
      </c>
      <c r="E172" s="157" t="s">
        <v>4177</v>
      </c>
      <c r="F172" s="154" t="str">
        <f t="array" ref="F172">IFERROR(XLOOKUP(B172,Data!F:F,Data!F:F),0)</f>
        <v>25045-J1D-J099-T3C5-003</v>
      </c>
    </row>
    <row r="173" ht="15.75" customHeight="1">
      <c r="A173" s="153">
        <v>46136.0</v>
      </c>
      <c r="B173" s="158" t="s">
        <v>1210</v>
      </c>
      <c r="C173" s="27">
        <v>1.0</v>
      </c>
      <c r="D173" s="138" t="str">
        <f t="array" ref="D173">XLOOKUP(B173,Data!F:F,Data!I:I)</f>
        <v>J126</v>
      </c>
      <c r="E173" s="157" t="s">
        <v>4178</v>
      </c>
      <c r="F173" s="154" t="str">
        <f t="array" ref="F173">IFERROR(XLOOKUP(B173,Data!F:F,Data!F:F),0)</f>
        <v>25045-J1B-J126-T3C5-001</v>
      </c>
    </row>
    <row r="174" ht="15.75" customHeight="1">
      <c r="A174" s="153">
        <v>46136.0</v>
      </c>
      <c r="B174" s="158" t="s">
        <v>1221</v>
      </c>
      <c r="C174" s="27">
        <v>1.0</v>
      </c>
      <c r="D174" s="138" t="str">
        <f t="array" ref="D174">XLOOKUP(B174,Data!F:F,Data!I:I)</f>
        <v>J126</v>
      </c>
      <c r="E174" s="157" t="s">
        <v>4178</v>
      </c>
      <c r="F174" s="154" t="str">
        <f t="array" ref="F174">IFERROR(XLOOKUP(B174,Data!F:F,Data!F:F),0)</f>
        <v>25045-J1B-J126-T3C5-003</v>
      </c>
    </row>
    <row r="175" ht="15.75" customHeight="1">
      <c r="A175" s="153">
        <v>46136.0</v>
      </c>
      <c r="B175" s="157" t="s">
        <v>1222</v>
      </c>
      <c r="C175" s="27">
        <v>1.0</v>
      </c>
      <c r="D175" s="138" t="str">
        <f t="array" ref="D175">XLOOKUP(B175,Data!F:F,Data!I:I)</f>
        <v>J126</v>
      </c>
      <c r="E175" s="157" t="s">
        <v>4178</v>
      </c>
      <c r="F175" s="154" t="str">
        <f t="array" ref="F175">IFERROR(XLOOKUP(B175,Data!F:F,Data!F:F),0)</f>
        <v>25045-J1B-J126-T3C5-004</v>
      </c>
    </row>
    <row r="176" ht="15.75" customHeight="1">
      <c r="A176" s="153">
        <v>46136.0</v>
      </c>
      <c r="B176" s="157" t="s">
        <v>1224</v>
      </c>
      <c r="C176" s="27">
        <v>1.0</v>
      </c>
      <c r="D176" s="138" t="str">
        <f t="array" ref="D176">XLOOKUP(B176,Data!F:F,Data!I:I)</f>
        <v>J126</v>
      </c>
      <c r="E176" s="157" t="s">
        <v>4178</v>
      </c>
      <c r="F176" s="154" t="str">
        <f t="array" ref="F176">IFERROR(XLOOKUP(B176,Data!F:F,Data!F:F),0)</f>
        <v>25045-J1B-J126-T5AC4-001</v>
      </c>
    </row>
    <row r="177" ht="15.75" customHeight="1">
      <c r="A177" s="153">
        <v>46136.0</v>
      </c>
      <c r="B177" s="157" t="s">
        <v>1637</v>
      </c>
      <c r="C177" s="27">
        <v>1.0</v>
      </c>
      <c r="D177" s="138" t="str">
        <f t="array" ref="D177">XLOOKUP(B177,Data!F:F,Data!I:I)</f>
        <v>J100</v>
      </c>
      <c r="E177" s="157" t="s">
        <v>4179</v>
      </c>
      <c r="F177" s="154" t="str">
        <f t="array" ref="F177">IFERROR(XLOOKUP(B177,Data!F:F,Data!F:F),0)</f>
        <v>25045-J1D-J100-T3C5-001</v>
      </c>
    </row>
    <row r="178" ht="15.75" customHeight="1">
      <c r="A178" s="153">
        <v>46136.0</v>
      </c>
      <c r="B178" s="157" t="s">
        <v>1598</v>
      </c>
      <c r="C178" s="27">
        <v>1.0</v>
      </c>
      <c r="D178" s="138" t="str">
        <f t="array" ref="D178">XLOOKUP(B178,Data!F:F,Data!I:I)</f>
        <v>J099</v>
      </c>
      <c r="E178" s="157" t="s">
        <v>4179</v>
      </c>
      <c r="F178" s="154" t="str">
        <f t="array" ref="F178">IFERROR(XLOOKUP(B178,Data!F:F,Data!F:F),0)</f>
        <v>25045-J1D-J099-T3C4-002</v>
      </c>
    </row>
    <row r="179" ht="15.75" customHeight="1">
      <c r="A179" s="153">
        <v>46136.0</v>
      </c>
      <c r="B179" s="157" t="s">
        <v>1602</v>
      </c>
      <c r="C179" s="27">
        <v>1.0</v>
      </c>
      <c r="D179" s="138" t="str">
        <f t="array" ref="D179">XLOOKUP(B179,Data!F:F,Data!I:I)</f>
        <v>J099</v>
      </c>
      <c r="E179" s="157" t="s">
        <v>4179</v>
      </c>
      <c r="F179" s="154" t="str">
        <f t="array" ref="F179">IFERROR(XLOOKUP(B179,Data!F:F,Data!F:F),0)</f>
        <v>25045-J1D-J099-T3C5-001</v>
      </c>
    </row>
    <row r="180" ht="15.75" customHeight="1">
      <c r="A180" s="153">
        <v>46136.0</v>
      </c>
      <c r="B180" s="157" t="s">
        <v>1610</v>
      </c>
      <c r="C180" s="27">
        <v>1.0</v>
      </c>
      <c r="D180" s="138" t="str">
        <f t="array" ref="D180">XLOOKUP(B180,Data!F:F,Data!I:I)</f>
        <v>J099</v>
      </c>
      <c r="E180" s="157" t="s">
        <v>4179</v>
      </c>
      <c r="F180" s="154" t="str">
        <f t="array" ref="F180">IFERROR(XLOOKUP(B180,Data!F:F,Data!F:F),0)</f>
        <v>25045-J1D-J099-T3C5-004</v>
      </c>
    </row>
    <row r="181" ht="15.75" customHeight="1">
      <c r="A181" s="153">
        <v>46139.0</v>
      </c>
      <c r="B181" s="159" t="s">
        <v>1276</v>
      </c>
      <c r="C181" s="160">
        <v>1.0</v>
      </c>
      <c r="D181" s="138" t="str">
        <f t="array" ref="D181">XLOOKUP(B181,Data!F:F,Data!I:I)</f>
        <v>J129</v>
      </c>
      <c r="E181" s="159" t="s">
        <v>4180</v>
      </c>
      <c r="F181" s="154" t="str">
        <f t="array" ref="F181">IFERROR(XLOOKUP(B181,Data!F:F,Data!F:F),0)</f>
        <v>25045-J1B-J129-T2C11-001</v>
      </c>
    </row>
    <row r="182" ht="15.75" customHeight="1">
      <c r="A182" s="153">
        <v>46139.0</v>
      </c>
      <c r="B182" s="159" t="s">
        <v>1270</v>
      </c>
      <c r="C182" s="160">
        <v>1.0</v>
      </c>
      <c r="D182" s="138" t="str">
        <f t="array" ref="D182">XLOOKUP(B182,Data!F:F,Data!I:I)</f>
        <v>J129</v>
      </c>
      <c r="E182" s="159" t="s">
        <v>4180</v>
      </c>
      <c r="F182" s="154" t="str">
        <f t="array" ref="F182">IFERROR(XLOOKUP(B182,Data!F:F,Data!F:F),0)</f>
        <v>25045-J1B-J129-T2C2-003</v>
      </c>
    </row>
    <row r="183" ht="15.75" customHeight="1">
      <c r="A183" s="153">
        <v>46139.0</v>
      </c>
      <c r="B183" s="159" t="s">
        <v>1311</v>
      </c>
      <c r="C183" s="160">
        <v>1.0</v>
      </c>
      <c r="D183" s="138" t="str">
        <f t="array" ref="D183">XLOOKUP(B183,Data!F:F,Data!I:I)</f>
        <v>J131</v>
      </c>
      <c r="E183" s="159" t="s">
        <v>4180</v>
      </c>
      <c r="F183" s="154" t="str">
        <f t="array" ref="F183">IFERROR(XLOOKUP(B183,Data!F:F,Data!F:F),0)</f>
        <v>25045-J1B-J131-T6C1-002</v>
      </c>
    </row>
    <row r="184" ht="15.75" customHeight="1">
      <c r="A184" s="153">
        <v>46139.0</v>
      </c>
      <c r="B184" s="159" t="s">
        <v>1323</v>
      </c>
      <c r="C184" s="160">
        <v>1.0</v>
      </c>
      <c r="D184" s="138" t="str">
        <f t="array" ref="D184">XLOOKUP(B184,Data!F:F,Data!I:I)</f>
        <v>J132</v>
      </c>
      <c r="E184" s="159" t="s">
        <v>4180</v>
      </c>
      <c r="F184" s="154" t="str">
        <f t="array" ref="F184">IFERROR(XLOOKUP(B184,Data!F:F,Data!F:F),0)</f>
        <v>25045-J1B-J132-T5AC4-001</v>
      </c>
    </row>
    <row r="185" ht="15.75" customHeight="1">
      <c r="A185" s="153">
        <v>46139.0</v>
      </c>
      <c r="B185" s="159" t="s">
        <v>1324</v>
      </c>
      <c r="C185" s="160">
        <v>1.0</v>
      </c>
      <c r="D185" s="138" t="str">
        <f t="array" ref="D185">XLOOKUP(B185,Data!F:F,Data!I:I)</f>
        <v>J132</v>
      </c>
      <c r="E185" s="159" t="s">
        <v>4180</v>
      </c>
      <c r="F185" s="154" t="str">
        <f t="array" ref="F185">IFERROR(XLOOKUP(B185,Data!F:F,Data!F:F),0)</f>
        <v>25045-J1B-J132-T5AC4-002</v>
      </c>
    </row>
    <row r="186" ht="15.75" customHeight="1">
      <c r="A186" s="153">
        <v>46139.0</v>
      </c>
      <c r="B186" s="159" t="s">
        <v>1351</v>
      </c>
      <c r="C186" s="160">
        <v>1.0</v>
      </c>
      <c r="D186" s="138" t="str">
        <f t="array" ref="D186">XLOOKUP(B186,Data!F:F,Data!I:I)</f>
        <v>J133</v>
      </c>
      <c r="E186" s="159" t="s">
        <v>4180</v>
      </c>
      <c r="F186" s="154" t="str">
        <f t="array" ref="F186">IFERROR(XLOOKUP(B186,Data!F:F,Data!F:F),0)</f>
        <v>25045-J1B-J133-T5AC1-002</v>
      </c>
    </row>
    <row r="187" ht="15.75" customHeight="1">
      <c r="A187" s="153">
        <v>46139.0</v>
      </c>
      <c r="B187" s="159" t="s">
        <v>1340</v>
      </c>
      <c r="C187" s="160">
        <v>1.0</v>
      </c>
      <c r="D187" s="138" t="str">
        <f t="array" ref="D187">XLOOKUP(B187,Data!F:F,Data!I:I)</f>
        <v>J133</v>
      </c>
      <c r="E187" s="159" t="s">
        <v>4181</v>
      </c>
      <c r="F187" s="154" t="str">
        <f t="array" ref="F187">IFERROR(XLOOKUP(B187,Data!F:F,Data!F:F),0)</f>
        <v>25045-J1B-J133-T2C5-001</v>
      </c>
    </row>
    <row r="188" ht="15.75" customHeight="1">
      <c r="A188" s="153">
        <v>46139.0</v>
      </c>
      <c r="B188" s="159" t="s">
        <v>1342</v>
      </c>
      <c r="C188" s="160">
        <v>1.0</v>
      </c>
      <c r="D188" s="138" t="str">
        <f t="array" ref="D188">XLOOKUP(B188,Data!F:F,Data!I:I)</f>
        <v>J133</v>
      </c>
      <c r="E188" s="159" t="s">
        <v>4181</v>
      </c>
      <c r="F188" s="154" t="str">
        <f t="array" ref="F188">IFERROR(XLOOKUP(B188,Data!F:F,Data!F:F),0)</f>
        <v>25045-J1B-J133-T2C6-002</v>
      </c>
    </row>
    <row r="189" ht="15.75" customHeight="1">
      <c r="A189" s="153">
        <v>46139.0</v>
      </c>
      <c r="B189" s="159" t="s">
        <v>1343</v>
      </c>
      <c r="C189" s="160">
        <v>1.0</v>
      </c>
      <c r="D189" s="138" t="str">
        <f t="array" ref="D189">XLOOKUP(B189,Data!F:F,Data!I:I)</f>
        <v>J133</v>
      </c>
      <c r="E189" s="159" t="s">
        <v>4181</v>
      </c>
      <c r="F189" s="154" t="str">
        <f t="array" ref="F189">IFERROR(XLOOKUP(B189,Data!F:F,Data!F:F),0)</f>
        <v>25045-J1B-J133-T2C10-001</v>
      </c>
    </row>
    <row r="190" ht="15.75" customHeight="1">
      <c r="A190" s="153">
        <v>46139.0</v>
      </c>
      <c r="B190" s="159" t="s">
        <v>1344</v>
      </c>
      <c r="C190" s="160">
        <v>1.0</v>
      </c>
      <c r="D190" s="138" t="str">
        <f t="array" ref="D190">XLOOKUP(B190,Data!F:F,Data!I:I)</f>
        <v>J133</v>
      </c>
      <c r="E190" s="159" t="s">
        <v>4181</v>
      </c>
      <c r="F190" s="154" t="str">
        <f t="array" ref="F190">IFERROR(XLOOKUP(B190,Data!F:F,Data!F:F),0)</f>
        <v>25045-J1B-J133-T2C10-002</v>
      </c>
    </row>
    <row r="191" ht="15.75" customHeight="1">
      <c r="A191" s="153">
        <v>46139.0</v>
      </c>
      <c r="B191" s="159" t="s">
        <v>1350</v>
      </c>
      <c r="C191" s="160">
        <v>1.0</v>
      </c>
      <c r="D191" s="138" t="str">
        <f t="array" ref="D191">XLOOKUP(B191,Data!F:F,Data!I:I)</f>
        <v>J133</v>
      </c>
      <c r="E191" s="159" t="s">
        <v>4181</v>
      </c>
      <c r="F191" s="154" t="str">
        <f t="array" ref="F191">IFERROR(XLOOKUP(B191,Data!F:F,Data!F:F),0)</f>
        <v>25045-J1B-J133-T5AC1-001</v>
      </c>
    </row>
    <row r="192" ht="15.75" customHeight="1">
      <c r="A192" s="153">
        <v>46141.0</v>
      </c>
      <c r="B192" s="27" t="s">
        <v>1070</v>
      </c>
      <c r="C192" s="160">
        <v>1.0</v>
      </c>
      <c r="D192" s="138" t="str">
        <f t="array" ref="D192">XLOOKUP(B192,Data!F:F,Data!I:I)</f>
        <v>J119</v>
      </c>
      <c r="E192" t="s">
        <v>4182</v>
      </c>
      <c r="F192" s="154" t="str">
        <f t="array" ref="F192">IFERROR(XLOOKUP(B192,Data!F:F,Data!F:F),0)</f>
        <v>25045-J1A-J119-T6C1-002</v>
      </c>
    </row>
    <row r="193" ht="15.75" customHeight="1">
      <c r="A193" s="153">
        <v>46141.0</v>
      </c>
      <c r="B193" s="27" t="s">
        <v>1072</v>
      </c>
      <c r="C193" s="160">
        <v>1.0</v>
      </c>
      <c r="D193" s="138" t="str">
        <f t="array" ref="D193">XLOOKUP(B193,Data!F:F,Data!I:I)</f>
        <v>J119</v>
      </c>
      <c r="E193" t="s">
        <v>4182</v>
      </c>
      <c r="F193" s="154" t="str">
        <f t="array" ref="F193">IFERROR(XLOOKUP(B193,Data!F:F,Data!F:F),0)</f>
        <v>25045-J1A-J119-T3C5-002</v>
      </c>
    </row>
    <row r="194" ht="15.75" customHeight="1">
      <c r="A194" s="153">
        <v>46141.0</v>
      </c>
      <c r="B194" s="27" t="s">
        <v>1073</v>
      </c>
      <c r="C194" s="160">
        <v>1.0</v>
      </c>
      <c r="D194" s="138" t="str">
        <f t="array" ref="D194">XLOOKUP(B194,Data!F:F,Data!I:I)</f>
        <v>J119</v>
      </c>
      <c r="E194" t="s">
        <v>4182</v>
      </c>
      <c r="F194" s="154" t="str">
        <f t="array" ref="F194">IFERROR(XLOOKUP(B194,Data!F:F,Data!F:F),0)</f>
        <v>25045-J1A-J119-T3C5-003</v>
      </c>
    </row>
    <row r="195" ht="15.75" customHeight="1">
      <c r="A195" s="153">
        <v>46141.0</v>
      </c>
      <c r="B195" s="27" t="s">
        <v>1074</v>
      </c>
      <c r="C195" s="160">
        <v>1.0</v>
      </c>
      <c r="D195" s="138" t="str">
        <f t="array" ref="D195">XLOOKUP(B195,Data!F:F,Data!I:I)</f>
        <v>J119</v>
      </c>
      <c r="E195" t="s">
        <v>4182</v>
      </c>
      <c r="F195" s="154" t="str">
        <f t="array" ref="F195">IFERROR(XLOOKUP(B195,Data!F:F,Data!F:F),0)</f>
        <v>25045-J1A-J119-T3C5-004</v>
      </c>
    </row>
    <row r="196" ht="15.75" customHeight="1">
      <c r="A196" s="153">
        <v>46141.0</v>
      </c>
      <c r="B196" s="27" t="s">
        <v>1353</v>
      </c>
      <c r="C196" s="160">
        <v>0.0</v>
      </c>
      <c r="D196" s="138" t="str">
        <f t="array" ref="D196">XLOOKUP(B196,Data!F:F,Data!I:I)</f>
        <v>J133</v>
      </c>
      <c r="E196" t="s">
        <v>4183</v>
      </c>
      <c r="F196" s="154" t="str">
        <f t="array" ref="F196">IFERROR(XLOOKUP(B196,Data!F:F,Data!F:F),0)</f>
        <v>25045-J1B-J133-T6C1-002</v>
      </c>
    </row>
    <row r="197" ht="15.75" customHeight="1">
      <c r="A197" s="153">
        <v>46141.0</v>
      </c>
      <c r="B197" s="27" t="s">
        <v>1268</v>
      </c>
      <c r="C197" s="160">
        <v>1.0</v>
      </c>
      <c r="D197" s="138" t="str">
        <f t="array" ref="D197">XLOOKUP(B197,Data!F:F,Data!I:I)</f>
        <v>J129</v>
      </c>
      <c r="E197" t="s">
        <v>4183</v>
      </c>
      <c r="F197" s="154" t="str">
        <f t="array" ref="F197">IFERROR(XLOOKUP(B197,Data!F:F,Data!F:F),0)</f>
        <v>25045-J1B-J129-T2C2-001</v>
      </c>
    </row>
    <row r="198" ht="15.75" customHeight="1">
      <c r="A198" s="153">
        <v>46141.0</v>
      </c>
      <c r="B198" s="27" t="s">
        <v>1269</v>
      </c>
      <c r="C198" s="160">
        <v>1.0</v>
      </c>
      <c r="D198" s="138" t="str">
        <f t="array" ref="D198">XLOOKUP(B198,Data!F:F,Data!I:I)</f>
        <v>J129</v>
      </c>
      <c r="E198" t="s">
        <v>4183</v>
      </c>
      <c r="F198" s="154" t="str">
        <f t="array" ref="F198">IFERROR(XLOOKUP(B198,Data!F:F,Data!F:F),0)</f>
        <v>25045-J1B-J129-T2C2-002</v>
      </c>
    </row>
    <row r="199" ht="15.75" customHeight="1">
      <c r="A199" s="153">
        <v>46141.0</v>
      </c>
      <c r="B199" s="27" t="s">
        <v>1273</v>
      </c>
      <c r="C199" s="160">
        <v>0.0</v>
      </c>
      <c r="D199" s="138" t="str">
        <f t="array" ref="D199">XLOOKUP(B199,Data!F:F,Data!I:I)</f>
        <v>J129</v>
      </c>
      <c r="E199" t="s">
        <v>4183</v>
      </c>
      <c r="F199" s="154" t="str">
        <f t="array" ref="F199">IFERROR(XLOOKUP(B199,Data!F:F,Data!F:F),0)</f>
        <v>25045-J1B-J129-T2C7-002</v>
      </c>
    </row>
    <row r="200" ht="15.75" customHeight="1">
      <c r="A200" s="153">
        <v>46142.0</v>
      </c>
      <c r="B200" s="27" t="s">
        <v>1063</v>
      </c>
      <c r="C200" s="160">
        <v>1.0</v>
      </c>
      <c r="D200" s="138" t="str">
        <f t="array" ref="D200">XLOOKUP(B200,Data!F:F,Data!I:I)</f>
        <v>J119</v>
      </c>
      <c r="E200" t="s">
        <v>4184</v>
      </c>
      <c r="F200" s="154" t="str">
        <f t="array" ref="F200">IFERROR(XLOOKUP(B200,Data!F:F,Data!F:F),0)</f>
        <v>25045-J1A-J119-T3C6-004</v>
      </c>
    </row>
    <row r="201" ht="15.75" customHeight="1">
      <c r="A201" s="153">
        <v>46142.0</v>
      </c>
      <c r="B201" s="27" t="s">
        <v>1071</v>
      </c>
      <c r="C201" s="160">
        <v>1.0</v>
      </c>
      <c r="D201" s="138" t="str">
        <f t="array" ref="D201">XLOOKUP(B201,Data!F:F,Data!I:I)</f>
        <v>J119</v>
      </c>
      <c r="E201" t="s">
        <v>4184</v>
      </c>
      <c r="F201" s="154" t="str">
        <f t="array" ref="F201">IFERROR(XLOOKUP(B201,Data!F:F,Data!F:F),0)</f>
        <v>25045-J1A-J119-T3C5-001</v>
      </c>
    </row>
    <row r="202" ht="15.75" customHeight="1">
      <c r="A202" s="153">
        <v>46142.0</v>
      </c>
      <c r="B202" s="27" t="s">
        <v>1093</v>
      </c>
      <c r="C202" s="160">
        <v>1.0</v>
      </c>
      <c r="D202" s="138" t="str">
        <f t="array" ref="D202">XLOOKUP(B202,Data!F:F,Data!I:I)</f>
        <v>J120</v>
      </c>
      <c r="E202" t="s">
        <v>4184</v>
      </c>
      <c r="F202" s="154" t="str">
        <f t="array" ref="F202">IFERROR(XLOOKUP(B202,Data!F:F,Data!F:F),0)</f>
        <v>25045-J1A-J120-T3C6-001</v>
      </c>
    </row>
    <row r="203" ht="15.75" customHeight="1">
      <c r="A203" s="153">
        <v>46142.0</v>
      </c>
      <c r="B203" s="27" t="s">
        <v>1096</v>
      </c>
      <c r="C203" s="160">
        <v>1.0</v>
      </c>
      <c r="D203" s="138" t="str">
        <f t="array" ref="D203">XLOOKUP(B203,Data!F:F,Data!I:I)</f>
        <v>J120</v>
      </c>
      <c r="E203" t="s">
        <v>4184</v>
      </c>
      <c r="F203" s="154" t="str">
        <f t="array" ref="F203">IFERROR(XLOOKUP(B203,Data!F:F,Data!F:F),0)</f>
        <v>25045-J1A-J120-T3C6-004</v>
      </c>
    </row>
    <row r="204" ht="15.75" customHeight="1">
      <c r="A204" s="153">
        <v>46142.0</v>
      </c>
      <c r="B204" s="27" t="s">
        <v>1060</v>
      </c>
      <c r="C204" s="160">
        <v>1.0</v>
      </c>
      <c r="D204" s="138" t="str">
        <f t="array" ref="D204">XLOOKUP(B204,Data!F:F,Data!I:I)</f>
        <v>J119</v>
      </c>
      <c r="E204" t="s">
        <v>4185</v>
      </c>
      <c r="F204" s="154" t="str">
        <f t="array" ref="F204">IFERROR(XLOOKUP(B204,Data!F:F,Data!F:F),0)</f>
        <v>25045-J1A-J119-T3C6-001</v>
      </c>
    </row>
    <row r="205" ht="15.75" customHeight="1">
      <c r="A205" s="153">
        <v>46142.0</v>
      </c>
      <c r="B205" s="27" t="s">
        <v>1062</v>
      </c>
      <c r="C205" s="160">
        <v>1.0</v>
      </c>
      <c r="D205" s="138" t="str">
        <f t="array" ref="D205">XLOOKUP(B205,Data!F:F,Data!I:I)</f>
        <v>J119</v>
      </c>
      <c r="E205" t="s">
        <v>4185</v>
      </c>
      <c r="F205" s="154" t="str">
        <f t="array" ref="F205">IFERROR(XLOOKUP(B205,Data!F:F,Data!F:F),0)</f>
        <v>25045-J1A-J119-T3C6-003</v>
      </c>
    </row>
    <row r="206" ht="15.75" customHeight="1">
      <c r="A206" s="153">
        <v>46142.0</v>
      </c>
      <c r="B206" s="27" t="s">
        <v>1094</v>
      </c>
      <c r="C206" s="160">
        <v>1.0</v>
      </c>
      <c r="D206" s="138" t="str">
        <f t="array" ref="D206">XLOOKUP(B206,Data!F:F,Data!I:I)</f>
        <v>J120</v>
      </c>
      <c r="E206" t="s">
        <v>4185</v>
      </c>
      <c r="F206" s="154" t="str">
        <f t="array" ref="F206">IFERROR(XLOOKUP(B206,Data!F:F,Data!F:F),0)</f>
        <v>25045-J1A-J120-T3C6-002</v>
      </c>
    </row>
    <row r="207" ht="15.75" customHeight="1">
      <c r="A207" s="153">
        <v>46142.0</v>
      </c>
      <c r="B207" s="27" t="s">
        <v>1095</v>
      </c>
      <c r="C207" s="160">
        <v>1.0</v>
      </c>
      <c r="D207" s="138" t="str">
        <f t="array" ref="D207">XLOOKUP(B207,Data!F:F,Data!I:I)</f>
        <v>J120</v>
      </c>
      <c r="E207" t="s">
        <v>4185</v>
      </c>
      <c r="F207" s="154" t="str">
        <f t="array" ref="F207">IFERROR(XLOOKUP(B207,Data!F:F,Data!F:F),0)</f>
        <v>25045-J1A-J120-T3C6-003</v>
      </c>
    </row>
    <row r="208" ht="15.75" customHeight="1">
      <c r="A208" s="153">
        <v>46146.0</v>
      </c>
      <c r="B208" s="27" t="s">
        <v>1223</v>
      </c>
      <c r="C208" s="160">
        <v>1.0</v>
      </c>
      <c r="D208" s="138" t="str">
        <f t="array" ref="D208">XLOOKUP(B208,Data!F:F,Data!I:I)</f>
        <v>J126</v>
      </c>
      <c r="E208" t="s">
        <v>4186</v>
      </c>
      <c r="F208" s="154" t="str">
        <f t="array" ref="F208">IFERROR(XLOOKUP(B208,Data!F:F,Data!F:F),0)</f>
        <v>25045-J1B-J126-T3C5-005</v>
      </c>
    </row>
    <row r="209" ht="15.75" customHeight="1">
      <c r="A209" s="153">
        <v>46146.0</v>
      </c>
      <c r="B209" s="27" t="s">
        <v>1236</v>
      </c>
      <c r="C209" s="160">
        <v>1.0</v>
      </c>
      <c r="D209" s="138" t="str">
        <f t="array" ref="D209">XLOOKUP(B209,Data!F:F,Data!I:I)</f>
        <v>J127</v>
      </c>
      <c r="E209" t="s">
        <v>4186</v>
      </c>
      <c r="F209" s="154" t="str">
        <f t="array" ref="F209">IFERROR(XLOOKUP(B209,Data!F:F,Data!F:F),0)</f>
        <v>25045-J1B-J127-T3C4-007</v>
      </c>
    </row>
    <row r="210" ht="15.75" customHeight="1">
      <c r="A210" s="153">
        <v>46146.0</v>
      </c>
      <c r="B210" s="27" t="s">
        <v>1238</v>
      </c>
      <c r="C210" s="160">
        <v>1.0</v>
      </c>
      <c r="D210" s="138" t="str">
        <f t="array" ref="D210">XLOOKUP(B210,Data!F:F,Data!I:I)</f>
        <v>J127</v>
      </c>
      <c r="E210" t="s">
        <v>4186</v>
      </c>
      <c r="F210" s="154" t="str">
        <f t="array" ref="F210">IFERROR(XLOOKUP(B210,Data!F:F,Data!F:F),0)</f>
        <v>25045-J1B-J127-T3C4-009</v>
      </c>
    </row>
    <row r="211" ht="15.75" customHeight="1">
      <c r="A211" s="153">
        <v>46146.0</v>
      </c>
      <c r="B211" s="27" t="s">
        <v>1243</v>
      </c>
      <c r="C211" s="160">
        <v>1.0</v>
      </c>
      <c r="D211" s="138" t="str">
        <f t="array" ref="D211">XLOOKUP(B211,Data!F:F,Data!I:I)</f>
        <v>J127</v>
      </c>
      <c r="E211" t="s">
        <v>4186</v>
      </c>
      <c r="F211" s="154" t="str">
        <f t="array" ref="F211">IFERROR(XLOOKUP(B211,Data!F:F,Data!F:F),0)</f>
        <v>25045-J1B-J127-T3C4-010</v>
      </c>
    </row>
    <row r="212" ht="15.75" customHeight="1">
      <c r="A212" s="153">
        <v>46148.0</v>
      </c>
      <c r="B212" s="27" t="s">
        <v>1061</v>
      </c>
      <c r="C212" s="160">
        <v>1.0</v>
      </c>
      <c r="D212" s="138" t="str">
        <f t="array" ref="D212">XLOOKUP(B212,Data!F:F,Data!I:I)</f>
        <v>J119</v>
      </c>
      <c r="E212" t="s">
        <v>4187</v>
      </c>
      <c r="F212" s="154" t="str">
        <f t="array" ref="F212">IFERROR(XLOOKUP(B212,Data!F:F,Data!F:F),0)</f>
        <v>25045-J1A-J119-T3C6-002</v>
      </c>
    </row>
    <row r="213" ht="15.75" customHeight="1">
      <c r="A213" s="153">
        <v>46148.0</v>
      </c>
      <c r="B213" s="27" t="s">
        <v>1075</v>
      </c>
      <c r="C213" s="160">
        <v>1.0</v>
      </c>
      <c r="D213" s="138" t="str">
        <f t="array" ref="D213">XLOOKUP(B213,Data!F:F,Data!I:I)</f>
        <v>J119</v>
      </c>
      <c r="E213" t="s">
        <v>4187</v>
      </c>
      <c r="F213" s="154" t="str">
        <f t="array" ref="F213">IFERROR(XLOOKUP(B213,Data!F:F,Data!F:F),0)</f>
        <v>25045-J1A-J119-T3C5-005</v>
      </c>
    </row>
    <row r="214" ht="15.75" customHeight="1">
      <c r="A214" s="153">
        <v>46148.0</v>
      </c>
      <c r="B214" s="27" t="s">
        <v>1272</v>
      </c>
      <c r="C214" s="160">
        <v>1.0</v>
      </c>
      <c r="D214" s="138" t="str">
        <f t="array" ref="D214">XLOOKUP(B214,Data!F:F,Data!I:I)</f>
        <v>J129</v>
      </c>
      <c r="E214" t="s">
        <v>4187</v>
      </c>
      <c r="F214" s="154" t="str">
        <f t="array" ref="F214">IFERROR(XLOOKUP(B214,Data!F:F,Data!F:F),0)</f>
        <v>25045-J1B-J129-T2C7-001</v>
      </c>
    </row>
    <row r="215" ht="15.75" customHeight="1">
      <c r="A215" s="153">
        <v>46148.0</v>
      </c>
      <c r="B215" s="27" t="s">
        <v>1273</v>
      </c>
      <c r="C215" s="160">
        <v>1.0</v>
      </c>
      <c r="D215" s="138" t="str">
        <f t="array" ref="D215">XLOOKUP(B215,Data!F:F,Data!I:I)</f>
        <v>J129</v>
      </c>
      <c r="E215" t="s">
        <v>4187</v>
      </c>
      <c r="F215" s="154" t="str">
        <f t="array" ref="F215">IFERROR(XLOOKUP(B215,Data!F:F,Data!F:F),0)</f>
        <v>25045-J1B-J129-T2C7-002</v>
      </c>
    </row>
    <row r="216" ht="15.75" customHeight="1">
      <c r="A216" s="153">
        <v>46148.0</v>
      </c>
      <c r="B216" s="27" t="s">
        <v>1251</v>
      </c>
      <c r="C216" s="160">
        <v>1.0</v>
      </c>
      <c r="D216" s="138" t="str">
        <f t="array" ref="D216">XLOOKUP(B216,Data!F:F,Data!I:I)</f>
        <v>J128</v>
      </c>
      <c r="E216" t="s">
        <v>4188</v>
      </c>
      <c r="F216" s="154" t="str">
        <f t="array" ref="F216">IFERROR(XLOOKUP(B216,Data!F:F,Data!F:F),0)</f>
        <v>25045-J1B-J128-T2C2-001</v>
      </c>
    </row>
    <row r="217" ht="15.75" customHeight="1">
      <c r="A217" s="153">
        <v>46148.0</v>
      </c>
      <c r="B217" s="27" t="s">
        <v>1293</v>
      </c>
      <c r="C217" s="160">
        <v>1.0</v>
      </c>
      <c r="D217" s="138" t="str">
        <f t="array" ref="D217">XLOOKUP(B217,Data!F:F,Data!I:I)</f>
        <v>J130</v>
      </c>
      <c r="E217" t="s">
        <v>4188</v>
      </c>
      <c r="F217" s="154" t="str">
        <f t="array" ref="F217">IFERROR(XLOOKUP(B217,Data!F:F,Data!F:F),0)</f>
        <v>25045-J1B-J130-T5AC4-001</v>
      </c>
    </row>
    <row r="218" ht="15.75" customHeight="1">
      <c r="A218" s="153">
        <v>46148.0</v>
      </c>
      <c r="B218" s="27" t="s">
        <v>1308</v>
      </c>
      <c r="C218" s="160">
        <v>1.0</v>
      </c>
      <c r="D218" s="138" t="str">
        <f t="array" ref="D218">XLOOKUP(B218,Data!F:F,Data!I:I)</f>
        <v>J131</v>
      </c>
      <c r="E218" t="s">
        <v>4188</v>
      </c>
      <c r="F218" s="154" t="str">
        <f t="array" ref="F218">IFERROR(XLOOKUP(B218,Data!F:F,Data!F:F),0)</f>
        <v>25045-J1B-J131-T3C4-006</v>
      </c>
    </row>
    <row r="219" ht="15.75" customHeight="1">
      <c r="A219" s="153">
        <v>46148.0</v>
      </c>
      <c r="B219" s="27" t="s">
        <v>1309</v>
      </c>
      <c r="C219" s="160">
        <v>1.0</v>
      </c>
      <c r="D219" s="138" t="str">
        <f t="array" ref="D219">XLOOKUP(B219,Data!F:F,Data!I:I)</f>
        <v>J131</v>
      </c>
      <c r="E219" t="s">
        <v>4188</v>
      </c>
      <c r="F219" s="154" t="str">
        <f t="array" ref="F219">IFERROR(XLOOKUP(B219,Data!F:F,Data!F:F),0)</f>
        <v>25045-J1B-J131-T5C2-001</v>
      </c>
    </row>
    <row r="220" ht="15.75" customHeight="1">
      <c r="A220" s="153">
        <v>46149.0</v>
      </c>
      <c r="B220" s="27" t="s">
        <v>1252</v>
      </c>
      <c r="C220" s="160">
        <v>1.0</v>
      </c>
      <c r="D220" s="138" t="str">
        <f t="array" ref="D220">XLOOKUP(B220,Data!F:F,Data!I:I)</f>
        <v>J128</v>
      </c>
      <c r="E220" t="s">
        <v>4189</v>
      </c>
      <c r="F220" s="154" t="str">
        <f t="array" ref="F220">IFERROR(XLOOKUP(B220,Data!F:F,Data!F:F),0)</f>
        <v>25045-J1B-J128-T2C2-002</v>
      </c>
    </row>
    <row r="221" ht="15.75" customHeight="1">
      <c r="A221" s="153">
        <v>46149.0</v>
      </c>
      <c r="B221" s="27" t="s">
        <v>1260</v>
      </c>
      <c r="C221" s="160">
        <v>1.0</v>
      </c>
      <c r="D221" s="138" t="str">
        <f t="array" ref="D221">XLOOKUP(B221,Data!F:F,Data!I:I)</f>
        <v>J128</v>
      </c>
      <c r="E221" t="s">
        <v>4189</v>
      </c>
      <c r="F221" s="154" t="str">
        <f t="array" ref="F221">IFERROR(XLOOKUP(B221,Data!F:F,Data!F:F),0)</f>
        <v>25045-J1B-J128-T2C11-001</v>
      </c>
    </row>
    <row r="222" ht="15.75" customHeight="1">
      <c r="A222" s="153">
        <v>46149.0</v>
      </c>
      <c r="B222" s="27" t="s">
        <v>1219</v>
      </c>
      <c r="C222" s="160">
        <v>1.0</v>
      </c>
      <c r="D222" s="138" t="str">
        <f t="array" ref="D222">XLOOKUP(B222,Data!F:F,Data!I:I)</f>
        <v>J126</v>
      </c>
      <c r="E222" t="s">
        <v>4189</v>
      </c>
      <c r="F222" s="154" t="str">
        <f t="array" ref="F222">IFERROR(XLOOKUP(B222,Data!F:F,Data!F:F),0)</f>
        <v>25045-J1B-J126-T3C4-005</v>
      </c>
    </row>
    <row r="223" ht="15.75" customHeight="1">
      <c r="A223" s="153">
        <v>46149.0</v>
      </c>
      <c r="B223" s="27" t="s">
        <v>1220</v>
      </c>
      <c r="C223" s="160">
        <v>1.0</v>
      </c>
      <c r="D223" s="138" t="str">
        <f t="array" ref="D223">XLOOKUP(B223,Data!F:F,Data!I:I)</f>
        <v>J126</v>
      </c>
      <c r="E223" t="s">
        <v>4189</v>
      </c>
      <c r="F223" s="154" t="str">
        <f t="array" ref="F223">IFERROR(XLOOKUP(B223,Data!F:F,Data!F:F),0)</f>
        <v>25045-J1B-J126-T3C5-002</v>
      </c>
    </row>
    <row r="224" ht="15.75" customHeight="1">
      <c r="A224" s="153">
        <v>46149.0</v>
      </c>
      <c r="B224" s="27" t="s">
        <v>1253</v>
      </c>
      <c r="C224" s="160">
        <v>1.0</v>
      </c>
      <c r="D224" s="138" t="str">
        <f t="array" ref="D224">XLOOKUP(B224,Data!F:F,Data!I:I)</f>
        <v>J128</v>
      </c>
      <c r="E224" t="s">
        <v>4190</v>
      </c>
      <c r="F224" s="154" t="str">
        <f t="array" ref="F224">IFERROR(XLOOKUP(B224,Data!F:F,Data!F:F),0)</f>
        <v>25045-J1B-J128-T2C2-003</v>
      </c>
    </row>
    <row r="225" ht="15.75" customHeight="1">
      <c r="A225" s="153">
        <v>46149.0</v>
      </c>
      <c r="B225" s="27" t="s">
        <v>1257</v>
      </c>
      <c r="C225" s="160">
        <v>1.0</v>
      </c>
      <c r="D225" s="138" t="str">
        <f t="array" ref="D225">XLOOKUP(B225,Data!F:F,Data!I:I)</f>
        <v>J128</v>
      </c>
      <c r="E225" t="s">
        <v>4190</v>
      </c>
      <c r="F225" s="154" t="str">
        <f t="array" ref="F225">IFERROR(XLOOKUP(B225,Data!F:F,Data!F:F),0)</f>
        <v>25045-J1B-J128-T2C7-001</v>
      </c>
    </row>
    <row r="226" ht="15.75" customHeight="1">
      <c r="A226" s="153">
        <v>46149.0</v>
      </c>
      <c r="B226" s="27" t="s">
        <v>1258</v>
      </c>
      <c r="C226" s="160">
        <v>1.0</v>
      </c>
      <c r="D226" s="138" t="str">
        <f t="array" ref="D226">XLOOKUP(B226,Data!F:F,Data!I:I)</f>
        <v>J128</v>
      </c>
      <c r="E226" t="s">
        <v>4190</v>
      </c>
      <c r="F226" s="154" t="str">
        <f t="array" ref="F226">IFERROR(XLOOKUP(B226,Data!F:F,Data!F:F),0)</f>
        <v>25045-J1B-J128-T2C7-002</v>
      </c>
    </row>
    <row r="227" ht="15.75" customHeight="1">
      <c r="A227" s="153">
        <v>46149.0</v>
      </c>
      <c r="B227" s="27" t="s">
        <v>1242</v>
      </c>
      <c r="C227" s="160">
        <v>1.0</v>
      </c>
      <c r="D227" s="138" t="str">
        <f t="array" ref="D227">XLOOKUP(B227,Data!F:F,Data!I:I)</f>
        <v>J127</v>
      </c>
      <c r="E227" t="s">
        <v>4190</v>
      </c>
      <c r="F227" s="154" t="str">
        <f t="array" ref="F227">IFERROR(XLOOKUP(B227,Data!F:F,Data!F:F),0)</f>
        <v>25045-J1B-J127-T3C4-005</v>
      </c>
    </row>
    <row r="228" ht="15.75" customHeight="1">
      <c r="A228" s="153">
        <v>46150.0</v>
      </c>
      <c r="B228" s="27" t="s">
        <v>1579</v>
      </c>
      <c r="C228" s="160">
        <v>1.0</v>
      </c>
      <c r="D228" s="138" t="str">
        <f t="array" ref="D228">XLOOKUP(B228,Data!F:F,Data!I:I)</f>
        <v>J098</v>
      </c>
      <c r="E228" t="s">
        <v>4191</v>
      </c>
      <c r="F228" s="154" t="str">
        <f t="array" ref="F228">IFERROR(XLOOKUP(B228,Data!F:F,Data!F:F),0)</f>
        <v>25045-J1D-J098-T3C4-002</v>
      </c>
    </row>
    <row r="229" ht="15.75" customHeight="1">
      <c r="A229" s="153">
        <v>46150.0</v>
      </c>
      <c r="B229" s="27" t="s">
        <v>1580</v>
      </c>
      <c r="C229" s="160">
        <v>1.0</v>
      </c>
      <c r="D229" s="138" t="str">
        <f t="array" ref="D229">XLOOKUP(B229,Data!F:F,Data!I:I)</f>
        <v>J098</v>
      </c>
      <c r="E229" t="s">
        <v>4191</v>
      </c>
      <c r="F229" s="154" t="str">
        <f t="array" ref="F229">IFERROR(XLOOKUP(B229,Data!F:F,Data!F:F),0)</f>
        <v>25045-J1D-J098-T3C4-003</v>
      </c>
    </row>
    <row r="230" ht="15.75" customHeight="1">
      <c r="A230" s="153">
        <v>46150.0</v>
      </c>
      <c r="B230" s="27" t="s">
        <v>1583</v>
      </c>
      <c r="C230" s="160">
        <v>1.0</v>
      </c>
      <c r="D230" s="138" t="str">
        <f t="array" ref="D230">XLOOKUP(B230,Data!F:F,Data!I:I)</f>
        <v>J098</v>
      </c>
      <c r="E230" t="s">
        <v>4191</v>
      </c>
      <c r="F230" s="154" t="str">
        <f t="array" ref="F230">IFERROR(XLOOKUP(B230,Data!F:F,Data!F:F),0)</f>
        <v>25045-J1D-J098-T3C4-008</v>
      </c>
    </row>
    <row r="231" ht="15.75" customHeight="1">
      <c r="A231" s="153">
        <v>46150.0</v>
      </c>
      <c r="B231" s="27" t="s">
        <v>1589</v>
      </c>
      <c r="C231" s="160">
        <v>1.0</v>
      </c>
      <c r="D231" s="138" t="str">
        <f t="array" ref="D231">XLOOKUP(B231,Data!F:F,Data!I:I)</f>
        <v>J098</v>
      </c>
      <c r="E231" t="s">
        <v>4191</v>
      </c>
      <c r="F231" s="154" t="str">
        <f t="array" ref="F231">IFERROR(XLOOKUP(B231,Data!F:F,Data!F:F),0)</f>
        <v>25045-J1D-J098-T3C4-010</v>
      </c>
    </row>
    <row r="232" ht="15.75" customHeight="1">
      <c r="A232" s="153">
        <v>46150.0</v>
      </c>
      <c r="B232" s="27" t="s">
        <v>1581</v>
      </c>
      <c r="C232" s="160">
        <v>1.0</v>
      </c>
      <c r="D232" s="138" t="str">
        <f t="array" ref="D232">XLOOKUP(B232,Data!F:F,Data!I:I)</f>
        <v>J098</v>
      </c>
      <c r="E232" t="s">
        <v>4192</v>
      </c>
      <c r="F232" s="154" t="str">
        <f t="array" ref="F232">IFERROR(XLOOKUP(B232,Data!F:F,Data!F:F),0)</f>
        <v>25045-J1D-J098-T3C4-004</v>
      </c>
    </row>
    <row r="233" ht="15.75" customHeight="1">
      <c r="A233" s="153">
        <v>46150.0</v>
      </c>
      <c r="B233" s="27" t="s">
        <v>1582</v>
      </c>
      <c r="C233" s="160">
        <v>1.0</v>
      </c>
      <c r="D233" s="138" t="str">
        <f t="array" ref="D233">XLOOKUP(B233,Data!F:F,Data!I:I)</f>
        <v>J098</v>
      </c>
      <c r="E233" t="s">
        <v>4192</v>
      </c>
      <c r="F233" s="154" t="str">
        <f t="array" ref="F233">IFERROR(XLOOKUP(B233,Data!F:F,Data!F:F),0)</f>
        <v>25045-J1D-J098-T3C4-005</v>
      </c>
    </row>
    <row r="234" ht="15.75" customHeight="1">
      <c r="A234" s="153">
        <v>46150.0</v>
      </c>
      <c r="B234" s="27" t="s">
        <v>1584</v>
      </c>
      <c r="C234" s="160">
        <v>1.0</v>
      </c>
      <c r="D234" s="138" t="str">
        <f t="array" ref="D234">XLOOKUP(B234,Data!F:F,Data!I:I)</f>
        <v>J098</v>
      </c>
      <c r="E234" t="s">
        <v>4192</v>
      </c>
      <c r="F234" s="154" t="str">
        <f t="array" ref="F234">IFERROR(XLOOKUP(B234,Data!F:F,Data!F:F),0)</f>
        <v>25045-J1D-J098-T3C4-009</v>
      </c>
    </row>
    <row r="235" ht="15.75" customHeight="1">
      <c r="A235" s="153">
        <v>46150.0</v>
      </c>
      <c r="B235" s="27" t="s">
        <v>1585</v>
      </c>
      <c r="C235" s="160">
        <v>1.0</v>
      </c>
      <c r="D235" s="138" t="str">
        <f t="array" ref="D235">XLOOKUP(B235,Data!F:F,Data!I:I)</f>
        <v>J098</v>
      </c>
      <c r="E235" t="s">
        <v>4192</v>
      </c>
      <c r="F235" s="154" t="str">
        <f t="array" ref="F235">IFERROR(XLOOKUP(B235,Data!F:F,Data!F:F),0)</f>
        <v>25045-J1D-J098-T6C1-001</v>
      </c>
    </row>
    <row r="236" ht="15.75" customHeight="1">
      <c r="A236" s="153">
        <v>46150.0</v>
      </c>
      <c r="B236" s="27" t="s">
        <v>1590</v>
      </c>
      <c r="C236" s="160">
        <v>1.0</v>
      </c>
      <c r="D236" s="138" t="str">
        <f t="array" ref="D236">XLOOKUP(B236,Data!F:F,Data!I:I)</f>
        <v>J098</v>
      </c>
      <c r="E236" t="s">
        <v>4192</v>
      </c>
      <c r="F236" s="154" t="str">
        <f t="array" ref="F236">IFERROR(XLOOKUP(B236,Data!F:F,Data!F:F),0)</f>
        <v>25045-J1D-J098-T3C4-007</v>
      </c>
    </row>
    <row r="237" ht="15.75" customHeight="1">
      <c r="A237" s="153"/>
      <c r="B237" s="27"/>
      <c r="C237" s="27"/>
      <c r="D237" s="138"/>
      <c r="F237" s="154" t="str">
        <f t="array" ref="F237">IFERROR(XLOOKUP(B237,Data!F:F,Data!F:F),0)</f>
        <v>0</v>
      </c>
    </row>
    <row r="238" ht="15.75" customHeight="1">
      <c r="A238" s="153"/>
      <c r="B238" s="27"/>
      <c r="C238" s="27"/>
      <c r="D238" s="138"/>
      <c r="F238" s="154" t="str">
        <f t="array" ref="F238">IFERROR(XLOOKUP(B238,Data!F:F,Data!F:F),0)</f>
        <v>0</v>
      </c>
    </row>
    <row r="239" ht="15.75" customHeight="1">
      <c r="A239" s="153"/>
      <c r="B239" s="27"/>
      <c r="C239" s="27"/>
      <c r="D239" s="138"/>
      <c r="F239" s="154" t="str">
        <f t="array" ref="F239">IFERROR(XLOOKUP(B239,Data!F:F,Data!F:F),0)</f>
        <v>0</v>
      </c>
    </row>
    <row r="240" ht="15.75" customHeight="1">
      <c r="A240" s="153"/>
      <c r="B240" s="27"/>
      <c r="C240" s="27"/>
      <c r="D240" s="138"/>
      <c r="F240" s="154" t="str">
        <f t="array" ref="F240">IFERROR(XLOOKUP(B240,Data!F:F,Data!F:F),0)</f>
        <v>0</v>
      </c>
    </row>
    <row r="241" ht="15.75" customHeight="1">
      <c r="A241" s="153"/>
      <c r="B241" s="27"/>
      <c r="C241" s="27"/>
      <c r="D241" s="138"/>
      <c r="F241" s="154" t="str">
        <f t="array" ref="F241">IFERROR(XLOOKUP(B241,Data!F:F,Data!F:F),0)</f>
        <v>0</v>
      </c>
    </row>
    <row r="242" ht="15.75" customHeight="1">
      <c r="A242" s="153"/>
      <c r="B242" s="27"/>
      <c r="C242" s="27"/>
      <c r="D242" s="138"/>
      <c r="F242" s="154" t="str">
        <f t="array" ref="F242">IFERROR(XLOOKUP(B242,Data!F:F,Data!F:F),0)</f>
        <v>0</v>
      </c>
    </row>
    <row r="243" ht="15.75" customHeight="1">
      <c r="A243" s="153"/>
      <c r="B243" s="27"/>
      <c r="C243" s="27"/>
      <c r="D243" s="138"/>
      <c r="F243" s="154" t="str">
        <f t="array" ref="F243">IFERROR(XLOOKUP(B243,Data!F:F,Data!F:F),0)</f>
        <v>0</v>
      </c>
    </row>
    <row r="244" ht="15.75" customHeight="1">
      <c r="A244" s="153"/>
      <c r="B244" s="27"/>
      <c r="C244" s="27"/>
      <c r="D244" s="138"/>
      <c r="F244" s="154" t="str">
        <f t="array" ref="F244">IFERROR(XLOOKUP(B244,Data!F:F,Data!F:F),0)</f>
        <v>0</v>
      </c>
    </row>
    <row r="245" ht="15.75" customHeight="1">
      <c r="A245" s="153"/>
      <c r="B245" s="27"/>
      <c r="C245" s="27"/>
      <c r="D245" s="138"/>
      <c r="F245" s="154" t="str">
        <f t="array" ref="F245">IFERROR(XLOOKUP(B245,Data!F:F,Data!F:F),0)</f>
        <v>0</v>
      </c>
    </row>
    <row r="246" ht="15.75" customHeight="1">
      <c r="A246" s="153"/>
      <c r="B246" s="27"/>
      <c r="C246" s="27"/>
      <c r="D246" s="138"/>
      <c r="F246" s="154" t="str">
        <f t="array" ref="F246">IFERROR(XLOOKUP(B246,Data!F:F,Data!F:F),0)</f>
        <v>0</v>
      </c>
    </row>
    <row r="247" ht="15.75" customHeight="1">
      <c r="A247" s="153"/>
      <c r="B247" s="27"/>
      <c r="C247" s="27"/>
      <c r="D247" s="138"/>
      <c r="F247" s="154" t="str">
        <f t="array" ref="F247">IFERROR(XLOOKUP(B247,Data!F:F,Data!F:F),0)</f>
        <v>0</v>
      </c>
    </row>
    <row r="248" ht="15.75" customHeight="1">
      <c r="A248" s="153"/>
      <c r="B248" s="27"/>
      <c r="C248" s="27"/>
      <c r="D248" s="138"/>
      <c r="F248" s="154" t="str">
        <f t="array" ref="F248">IFERROR(XLOOKUP(B248,Data!F:F,Data!F:F),0)</f>
        <v>0</v>
      </c>
    </row>
    <row r="249" ht="15.75" customHeight="1">
      <c r="A249" s="153"/>
      <c r="B249" s="27"/>
      <c r="C249" s="27"/>
      <c r="D249" s="138"/>
      <c r="F249" s="154" t="str">
        <f t="array" ref="F249">IFERROR(XLOOKUP(B249,Data!F:F,Data!F:F),0)</f>
        <v>0</v>
      </c>
    </row>
    <row r="250" ht="15.75" customHeight="1">
      <c r="A250" s="153"/>
      <c r="B250" s="27"/>
      <c r="C250" s="27"/>
      <c r="D250" s="138"/>
      <c r="F250" s="154" t="str">
        <f t="array" ref="F250">IFERROR(XLOOKUP(B250,Data!F:F,Data!F:F),0)</f>
        <v>0</v>
      </c>
    </row>
    <row r="251" ht="15.75" customHeight="1">
      <c r="A251" s="153"/>
      <c r="B251" s="27"/>
      <c r="C251" s="27"/>
      <c r="D251" s="138"/>
      <c r="F251" s="154" t="str">
        <f t="array" ref="F251">IFERROR(XLOOKUP(B251,Data!F:F,Data!F:F),0)</f>
        <v>0</v>
      </c>
    </row>
    <row r="252" ht="15.75" customHeight="1">
      <c r="A252" s="153"/>
      <c r="B252" s="27"/>
      <c r="C252" s="27"/>
      <c r="D252" s="138"/>
      <c r="F252" s="154" t="str">
        <f t="array" ref="F252">IFERROR(XLOOKUP(B252,Data!F:F,Data!F:F),0)</f>
        <v>0</v>
      </c>
    </row>
    <row r="253" ht="15.75" customHeight="1">
      <c r="A253" s="153"/>
      <c r="B253" s="27"/>
      <c r="C253" s="27"/>
      <c r="D253" s="138"/>
      <c r="F253" s="154" t="str">
        <f t="array" ref="F253">IFERROR(XLOOKUP(B253,Data!F:F,Data!F:F),0)</f>
        <v>0</v>
      </c>
    </row>
    <row r="254" ht="15.75" customHeight="1">
      <c r="A254" s="153"/>
      <c r="B254" s="27"/>
      <c r="C254" s="27"/>
      <c r="D254" s="138"/>
      <c r="F254" s="154" t="str">
        <f t="array" ref="F254">IFERROR(XLOOKUP(B254,Data!F:F,Data!F:F),0)</f>
        <v>0</v>
      </c>
    </row>
    <row r="255" ht="15.75" customHeight="1">
      <c r="A255" s="153"/>
      <c r="B255" s="27"/>
      <c r="C255" s="27"/>
      <c r="D255" s="138"/>
      <c r="F255" s="154" t="str">
        <f t="array" ref="F255">IFERROR(XLOOKUP(B255,Data!F:F,Data!F:F),0)</f>
        <v>0</v>
      </c>
    </row>
    <row r="256" ht="15.75" customHeight="1">
      <c r="A256" s="153"/>
      <c r="B256" s="27"/>
      <c r="C256" s="27"/>
      <c r="D256" s="138"/>
      <c r="F256" s="154" t="str">
        <f t="array" ref="F256">IFERROR(XLOOKUP(B256,Data!F:F,Data!F:F),0)</f>
        <v>0</v>
      </c>
    </row>
    <row r="257" ht="15.75" customHeight="1">
      <c r="A257" s="153"/>
      <c r="B257" s="27"/>
      <c r="C257" s="27"/>
      <c r="D257" s="138"/>
      <c r="F257" s="154" t="str">
        <f t="array" ref="F257">IFERROR(XLOOKUP(B257,Data!F:F,Data!F:F),0)</f>
        <v>0</v>
      </c>
    </row>
    <row r="258" ht="15.75" customHeight="1">
      <c r="A258" s="153"/>
      <c r="B258" s="27"/>
      <c r="C258" s="27"/>
      <c r="D258" s="138"/>
      <c r="F258" s="154" t="str">
        <f t="array" ref="F258">IFERROR(XLOOKUP(B258,Data!F:F,Data!F:F),0)</f>
        <v>0</v>
      </c>
    </row>
    <row r="259" ht="15.75" customHeight="1">
      <c r="A259" s="153"/>
      <c r="B259" s="27"/>
      <c r="C259" s="27"/>
      <c r="D259" s="138"/>
      <c r="F259" s="154" t="str">
        <f t="array" ref="F259">IFERROR(XLOOKUP(B259,Data!F:F,Data!F:F),0)</f>
        <v>0</v>
      </c>
    </row>
    <row r="260" ht="15.75" customHeight="1">
      <c r="A260" s="153"/>
      <c r="B260" s="27"/>
      <c r="C260" s="27"/>
      <c r="D260" s="138"/>
      <c r="F260" s="154" t="str">
        <f t="array" ref="F260">IFERROR(XLOOKUP(B260,Data!F:F,Data!F:F),0)</f>
        <v>0</v>
      </c>
    </row>
    <row r="261" ht="15.75" customHeight="1">
      <c r="A261" s="153"/>
      <c r="B261" s="27"/>
      <c r="C261" s="27"/>
      <c r="D261" s="138"/>
      <c r="F261" s="154" t="str">
        <f t="array" ref="F261">IFERROR(XLOOKUP(B261,Data!F:F,Data!F:F),0)</f>
        <v>0</v>
      </c>
    </row>
    <row r="262" ht="15.75" customHeight="1">
      <c r="A262" s="153"/>
      <c r="B262" s="27"/>
      <c r="C262" s="27"/>
      <c r="D262" s="138"/>
      <c r="F262" s="154" t="str">
        <f t="array" ref="F262">IFERROR(XLOOKUP(B262,Data!F:F,Data!F:F),0)</f>
        <v>0</v>
      </c>
    </row>
    <row r="263" ht="15.75" customHeight="1">
      <c r="A263" s="153"/>
      <c r="B263" s="27"/>
      <c r="C263" s="27"/>
      <c r="D263" s="138"/>
      <c r="F263" s="154" t="str">
        <f t="array" ref="F263">IFERROR(XLOOKUP(B263,Data!F:F,Data!F:F),0)</f>
        <v>0</v>
      </c>
    </row>
    <row r="264" ht="15.75" customHeight="1">
      <c r="A264" s="153"/>
      <c r="B264" s="27"/>
      <c r="C264" s="27"/>
      <c r="D264" s="138"/>
      <c r="F264" s="154" t="str">
        <f t="array" ref="F264">IFERROR(XLOOKUP(B264,Data!F:F,Data!F:F),0)</f>
        <v>0</v>
      </c>
    </row>
    <row r="265" ht="15.75" customHeight="1">
      <c r="A265" s="153"/>
      <c r="B265" s="27"/>
      <c r="C265" s="27"/>
      <c r="D265" s="138"/>
      <c r="F265" s="154" t="str">
        <f t="array" ref="F265">IFERROR(XLOOKUP(B265,Data!F:F,Data!F:F),0)</f>
        <v>0</v>
      </c>
    </row>
    <row r="266" ht="15.75" customHeight="1">
      <c r="A266" s="153"/>
      <c r="B266" s="27"/>
      <c r="C266" s="27"/>
      <c r="D266" s="138"/>
      <c r="F266" s="154" t="str">
        <f t="array" ref="F266">IFERROR(XLOOKUP(B266,Data!F:F,Data!F:F),0)</f>
        <v>0</v>
      </c>
    </row>
    <row r="267" ht="15.75" customHeight="1">
      <c r="A267" s="153"/>
      <c r="B267" s="27"/>
      <c r="C267" s="27"/>
      <c r="D267" s="138"/>
      <c r="F267" s="154" t="str">
        <f t="array" ref="F267">IFERROR(XLOOKUP(B267,Data!F:F,Data!F:F),0)</f>
        <v>0</v>
      </c>
    </row>
    <row r="268" ht="15.75" customHeight="1">
      <c r="A268" s="153"/>
      <c r="B268" s="27"/>
      <c r="C268" s="27"/>
      <c r="D268" s="138"/>
      <c r="F268" s="154" t="str">
        <f t="array" ref="F268">IFERROR(XLOOKUP(B268,Data!F:F,Data!F:F),0)</f>
        <v>0</v>
      </c>
    </row>
    <row r="269" ht="15.75" customHeight="1">
      <c r="A269" s="153"/>
      <c r="B269" s="27"/>
      <c r="C269" s="27"/>
      <c r="D269" s="138"/>
      <c r="F269" s="154" t="str">
        <f t="array" ref="F269">IFERROR(XLOOKUP(B269,Data!F:F,Data!F:F),0)</f>
        <v>0</v>
      </c>
    </row>
    <row r="270" ht="15.75" customHeight="1">
      <c r="A270" s="153"/>
      <c r="B270" s="27"/>
      <c r="C270" s="27"/>
      <c r="D270" s="138"/>
      <c r="F270" s="154" t="str">
        <f t="array" ref="F270">IFERROR(XLOOKUP(B270,Data!F:F,Data!F:F),0)</f>
        <v>0</v>
      </c>
    </row>
    <row r="271" ht="15.75" customHeight="1">
      <c r="A271" s="153"/>
      <c r="B271" s="27"/>
      <c r="C271" s="27"/>
      <c r="D271" s="138"/>
      <c r="F271" s="154" t="str">
        <f t="array" ref="F271">IFERROR(XLOOKUP(B271,Data!F:F,Data!F:F),0)</f>
        <v>0</v>
      </c>
    </row>
    <row r="272" ht="15.75" customHeight="1">
      <c r="A272" s="153"/>
      <c r="B272" s="27"/>
      <c r="C272" s="27"/>
      <c r="D272" s="138"/>
      <c r="F272" s="154" t="str">
        <f t="array" ref="F272">IFERROR(XLOOKUP(B272,Data!F:F,Data!F:F),0)</f>
        <v>0</v>
      </c>
    </row>
    <row r="273" ht="15.75" customHeight="1">
      <c r="A273" s="153"/>
      <c r="B273" s="27"/>
      <c r="C273" s="27"/>
      <c r="D273" s="138"/>
      <c r="F273" s="154" t="str">
        <f t="array" ref="F273">IFERROR(XLOOKUP(B273,Data!F:F,Data!F:F),0)</f>
        <v>0</v>
      </c>
    </row>
    <row r="274" ht="15.75" customHeight="1">
      <c r="A274" s="153"/>
      <c r="B274" s="27"/>
      <c r="C274" s="27"/>
      <c r="D274" s="138"/>
      <c r="F274" s="154" t="str">
        <f t="array" ref="F274">IFERROR(XLOOKUP(B274,Data!F:F,Data!F:F),0)</f>
        <v>0</v>
      </c>
    </row>
    <row r="275" ht="15.75" customHeight="1">
      <c r="A275" s="153"/>
      <c r="B275" s="27"/>
      <c r="C275" s="27"/>
      <c r="D275" s="138"/>
      <c r="F275" s="154" t="str">
        <f t="array" ref="F275">IFERROR(XLOOKUP(B275,Data!F:F,Data!F:F),0)</f>
        <v>0</v>
      </c>
    </row>
    <row r="276" ht="15.75" customHeight="1">
      <c r="A276" s="153"/>
      <c r="B276" s="27"/>
      <c r="C276" s="27"/>
      <c r="D276" s="138"/>
      <c r="F276" s="154" t="str">
        <f t="array" ref="F276">IFERROR(XLOOKUP(B276,Data!F:F,Data!F:F),0)</f>
        <v>0</v>
      </c>
    </row>
    <row r="277" ht="15.75" customHeight="1">
      <c r="A277" s="153"/>
      <c r="B277" s="27"/>
      <c r="C277" s="27"/>
      <c r="D277" s="138"/>
      <c r="F277" s="154" t="str">
        <f t="array" ref="F277">IFERROR(XLOOKUP(B277,Data!F:F,Data!F:F),0)</f>
        <v>0</v>
      </c>
    </row>
    <row r="278" ht="15.75" customHeight="1">
      <c r="A278" s="153"/>
      <c r="B278" s="27"/>
      <c r="C278" s="27"/>
      <c r="D278" s="138"/>
      <c r="F278" s="154" t="str">
        <f t="array" ref="F278">IFERROR(XLOOKUP(B278,Data!F:F,Data!F:F),0)</f>
        <v>0</v>
      </c>
    </row>
    <row r="279" ht="15.75" customHeight="1">
      <c r="A279" s="153"/>
      <c r="B279" s="27"/>
      <c r="C279" s="27"/>
      <c r="D279" s="138"/>
      <c r="F279" s="154" t="str">
        <f t="array" ref="F279">IFERROR(XLOOKUP(B279,Data!F:F,Data!F:F),0)</f>
        <v>0</v>
      </c>
    </row>
  </sheetData>
  <autoFilter ref="$A$1:$G$279"/>
  <printOptions/>
  <pageMargins bottom="0.75" footer="0.0" header="0.0" left="0.7" right="0.7" top="0.75"/>
  <pageSetup paperSize="9" scale="9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6.83" defaultRowHeight="15.0"/>
  <cols>
    <col customWidth="1" min="1" max="1" width="11.33"/>
    <col customWidth="1" min="2" max="2" width="28.0"/>
    <col customWidth="1" min="3" max="3" width="13.5"/>
    <col customWidth="1" min="4" max="4" width="10.33"/>
    <col customWidth="1" min="5" max="5" width="13.17"/>
    <col customWidth="1" min="6" max="6" width="34.67"/>
    <col customWidth="1" min="7" max="11" width="10.17"/>
  </cols>
  <sheetData>
    <row r="1" ht="15.75" customHeight="1">
      <c r="A1" s="27" t="s">
        <v>4000</v>
      </c>
      <c r="B1" s="27" t="s">
        <v>237</v>
      </c>
      <c r="C1" s="27" t="s">
        <v>4193</v>
      </c>
      <c r="D1" s="27" t="s">
        <v>3</v>
      </c>
      <c r="E1" s="27"/>
      <c r="F1" s="152" t="str">
        <f>SUBTOTAL(9,C2:C1048576)</f>
        <v>182</v>
      </c>
    </row>
    <row r="2">
      <c r="A2" s="153"/>
      <c r="B2" s="27" t="s">
        <v>1145</v>
      </c>
      <c r="C2" s="27">
        <v>1.0</v>
      </c>
      <c r="D2" s="27"/>
      <c r="E2" s="27" t="str">
        <f t="array" ref="E2">XLOOKUP(B2,Data!F:F,Data!O:O)</f>
        <v>0.826</v>
      </c>
      <c r="F2" t="s">
        <v>4194</v>
      </c>
    </row>
    <row r="3">
      <c r="A3" s="153"/>
      <c r="B3" s="27" t="s">
        <v>1146</v>
      </c>
      <c r="C3" s="27">
        <v>1.0</v>
      </c>
      <c r="D3" s="27"/>
      <c r="E3" s="27" t="str">
        <f t="array" ref="E3">XLOOKUP(B3,Data!F:F,Data!O:O)</f>
        <v>1.2</v>
      </c>
      <c r="F3" t="s">
        <v>4194</v>
      </c>
    </row>
    <row r="4">
      <c r="A4" s="153"/>
      <c r="B4" s="27" t="s">
        <v>1147</v>
      </c>
      <c r="C4" s="27">
        <v>1.0</v>
      </c>
      <c r="E4" s="27" t="str">
        <f t="array" ref="E4">XLOOKUP(B4,Data!F:F,Data!O:O)</f>
        <v>1.017</v>
      </c>
      <c r="F4" t="s">
        <v>4194</v>
      </c>
    </row>
    <row r="5">
      <c r="A5" s="153"/>
      <c r="B5" s="27" t="s">
        <v>1148</v>
      </c>
      <c r="C5" s="27">
        <v>1.0</v>
      </c>
      <c r="E5" s="27" t="str">
        <f t="array" ref="E5">XLOOKUP(B5,Data!F:F,Data!O:O)</f>
        <v>1.676</v>
      </c>
      <c r="F5" t="s">
        <v>4194</v>
      </c>
    </row>
    <row r="6">
      <c r="A6" s="153"/>
      <c r="B6" s="27" t="s">
        <v>1149</v>
      </c>
      <c r="C6" s="27">
        <v>1.0</v>
      </c>
      <c r="E6" s="27" t="str">
        <f t="array" ref="E6">XLOOKUP(B6,Data!F:F,Data!O:O)</f>
        <v>1.606</v>
      </c>
      <c r="F6" t="s">
        <v>4194</v>
      </c>
    </row>
    <row r="7">
      <c r="A7" s="153"/>
      <c r="B7" s="27" t="s">
        <v>1150</v>
      </c>
      <c r="C7" s="27">
        <v>1.0</v>
      </c>
      <c r="E7" s="27" t="str">
        <f t="array" ref="E7">XLOOKUP(B7,Data!F:F,Data!O:O)</f>
        <v>2.013</v>
      </c>
      <c r="F7" t="s">
        <v>4194</v>
      </c>
    </row>
    <row r="8">
      <c r="A8" s="153"/>
      <c r="B8" s="27" t="s">
        <v>1151</v>
      </c>
      <c r="C8" s="27">
        <v>1.0</v>
      </c>
      <c r="E8" s="27" t="str">
        <f t="array" ref="E8">XLOOKUP(B8,Data!F:F,Data!O:O)</f>
        <v>2.054</v>
      </c>
      <c r="F8" t="s">
        <v>4194</v>
      </c>
    </row>
    <row r="9">
      <c r="A9" s="153"/>
      <c r="B9" s="27" t="s">
        <v>1152</v>
      </c>
      <c r="C9" s="27">
        <v>1.0</v>
      </c>
      <c r="E9" s="27" t="str">
        <f t="array" ref="E9">XLOOKUP(B9,Data!F:F,Data!O:O)</f>
        <v>2.01</v>
      </c>
      <c r="F9" t="s">
        <v>4194</v>
      </c>
    </row>
    <row r="10">
      <c r="A10" s="153"/>
      <c r="B10" s="27" t="s">
        <v>1153</v>
      </c>
      <c r="C10" s="27">
        <v>1.0</v>
      </c>
      <c r="E10" s="27" t="str">
        <f t="array" ref="E10">XLOOKUP(B10,Data!F:F,Data!O:O)</f>
        <v>2.085</v>
      </c>
      <c r="F10" t="s">
        <v>4194</v>
      </c>
    </row>
    <row r="11">
      <c r="A11" s="153"/>
      <c r="B11" s="27" t="s">
        <v>1154</v>
      </c>
      <c r="C11" s="27">
        <v>1.0</v>
      </c>
      <c r="E11" s="27" t="str">
        <f t="array" ref="E11">XLOOKUP(B11,Data!F:F,Data!O:O)</f>
        <v>1.898</v>
      </c>
      <c r="F11" t="s">
        <v>4194</v>
      </c>
    </row>
    <row r="12">
      <c r="A12" s="153"/>
      <c r="B12" s="27" t="s">
        <v>1155</v>
      </c>
      <c r="C12" s="27">
        <v>1.0</v>
      </c>
      <c r="E12" s="27" t="str">
        <f t="array" ref="E12">XLOOKUP(B12,Data!F:F,Data!O:O)</f>
        <v>1.898</v>
      </c>
      <c r="F12" t="s">
        <v>4194</v>
      </c>
    </row>
    <row r="13">
      <c r="A13" s="153"/>
      <c r="B13" s="27" t="s">
        <v>1156</v>
      </c>
      <c r="C13" s="27">
        <v>1.0</v>
      </c>
      <c r="E13" s="27" t="str">
        <f t="array" ref="E13">XLOOKUP(B13,Data!F:F,Data!O:O)</f>
        <v>1.898</v>
      </c>
      <c r="F13" t="s">
        <v>4194</v>
      </c>
    </row>
    <row r="14">
      <c r="A14" s="153"/>
      <c r="B14" s="27" t="s">
        <v>1157</v>
      </c>
      <c r="C14" s="27">
        <v>1.0</v>
      </c>
      <c r="E14" s="27" t="str">
        <f t="array" ref="E14">XLOOKUP(B14,Data!F:F,Data!O:O)</f>
        <v>1.561</v>
      </c>
      <c r="F14" t="s">
        <v>4194</v>
      </c>
    </row>
    <row r="15">
      <c r="A15" s="153"/>
      <c r="B15" s="27" t="s">
        <v>1158</v>
      </c>
      <c r="C15" s="27">
        <v>1.0</v>
      </c>
      <c r="E15" s="27" t="str">
        <f t="array" ref="E15">XLOOKUP(B15,Data!F:F,Data!O:O)</f>
        <v>0.689</v>
      </c>
      <c r="F15" t="s">
        <v>4194</v>
      </c>
    </row>
    <row r="16">
      <c r="A16" s="153"/>
      <c r="B16" s="27" t="s">
        <v>1159</v>
      </c>
      <c r="C16" s="27">
        <v>1.0</v>
      </c>
      <c r="E16" s="27" t="str">
        <f t="array" ref="E16">XLOOKUP(B16,Data!F:F,Data!O:O)</f>
        <v>0.689</v>
      </c>
      <c r="F16" t="s">
        <v>4194</v>
      </c>
    </row>
    <row r="17">
      <c r="A17" s="153"/>
      <c r="B17" s="27" t="s">
        <v>1160</v>
      </c>
      <c r="C17" s="27">
        <v>1.0</v>
      </c>
      <c r="E17" s="27" t="str">
        <f t="array" ref="E17">XLOOKUP(B17,Data!F:F,Data!O:O)</f>
        <v>0.3</v>
      </c>
      <c r="F17" t="s">
        <v>4194</v>
      </c>
    </row>
    <row r="18">
      <c r="A18" s="153"/>
      <c r="B18" s="27" t="s">
        <v>1161</v>
      </c>
      <c r="C18" s="27">
        <v>1.0</v>
      </c>
      <c r="E18" s="27" t="str">
        <f t="array" ref="E18">XLOOKUP(B18,Data!F:F,Data!O:O)</f>
        <v>0.461</v>
      </c>
      <c r="F18" t="s">
        <v>4194</v>
      </c>
    </row>
    <row r="19">
      <c r="A19" s="153"/>
      <c r="B19" s="27" t="s">
        <v>1162</v>
      </c>
      <c r="C19" s="27">
        <v>1.0</v>
      </c>
      <c r="E19" s="27" t="str">
        <f t="array" ref="E19">XLOOKUP(B19,Data!F:F,Data!O:O)</f>
        <v>0.503</v>
      </c>
      <c r="F19" t="s">
        <v>4194</v>
      </c>
    </row>
    <row r="20">
      <c r="A20" s="153"/>
      <c r="B20" s="27" t="s">
        <v>1163</v>
      </c>
      <c r="C20" s="27">
        <v>1.0</v>
      </c>
      <c r="E20" s="27" t="str">
        <f t="array" ref="E20">XLOOKUP(B20,Data!F:F,Data!O:O)</f>
        <v>0.503</v>
      </c>
      <c r="F20" t="s">
        <v>4194</v>
      </c>
    </row>
    <row r="21" ht="15.75" customHeight="1">
      <c r="A21" s="153"/>
      <c r="B21" s="27" t="s">
        <v>1164</v>
      </c>
      <c r="C21" s="27">
        <v>1.0</v>
      </c>
      <c r="E21" s="27" t="str">
        <f t="array" ref="E21">XLOOKUP(B21,Data!F:F,Data!O:O)</f>
        <v>1.226</v>
      </c>
      <c r="F21" t="s">
        <v>4194</v>
      </c>
    </row>
    <row r="22" ht="15.75" customHeight="1">
      <c r="A22" s="153"/>
      <c r="B22" s="27" t="s">
        <v>1165</v>
      </c>
      <c r="C22" s="27">
        <v>1.0</v>
      </c>
      <c r="E22" s="27" t="str">
        <f t="array" ref="E22">XLOOKUP(B22,Data!F:F,Data!O:O)</f>
        <v>0.866</v>
      </c>
      <c r="F22" t="s">
        <v>4194</v>
      </c>
    </row>
    <row r="23" ht="15.75" customHeight="1">
      <c r="A23" s="153"/>
      <c r="B23" s="27" t="s">
        <v>1166</v>
      </c>
      <c r="C23" s="27">
        <v>1.0</v>
      </c>
      <c r="E23" s="27" t="str">
        <f t="array" ref="E23">XLOOKUP(B23,Data!F:F,Data!O:O)</f>
        <v>0.283</v>
      </c>
      <c r="F23" t="s">
        <v>4194</v>
      </c>
    </row>
    <row r="24" ht="15.75" customHeight="1">
      <c r="A24" s="153"/>
      <c r="B24" s="27" t="s">
        <v>1167</v>
      </c>
      <c r="C24" s="27">
        <v>1.0</v>
      </c>
      <c r="E24" s="27" t="str">
        <f t="array" ref="E24">XLOOKUP(B24,Data!F:F,Data!O:O)</f>
        <v>1.015</v>
      </c>
      <c r="F24" t="s">
        <v>4194</v>
      </c>
    </row>
    <row r="25" ht="15.75" customHeight="1">
      <c r="A25" s="153"/>
      <c r="B25" s="27" t="s">
        <v>1168</v>
      </c>
      <c r="C25" s="27">
        <v>1.0</v>
      </c>
      <c r="E25" s="27" t="str">
        <f t="array" ref="E25">XLOOKUP(B25,Data!F:F,Data!O:O)</f>
        <v>1.002</v>
      </c>
      <c r="F25" t="s">
        <v>4194</v>
      </c>
    </row>
    <row r="26" ht="15.75" customHeight="1">
      <c r="A26" s="153"/>
      <c r="B26" s="27" t="s">
        <v>1169</v>
      </c>
      <c r="C26" s="27">
        <v>1.0</v>
      </c>
      <c r="E26" s="27" t="str">
        <f t="array" ref="E26">XLOOKUP(B26,Data!F:F,Data!O:O)</f>
        <v>1.146</v>
      </c>
      <c r="F26" t="s">
        <v>4194</v>
      </c>
    </row>
    <row r="27" ht="15.75" customHeight="1">
      <c r="A27" s="153"/>
      <c r="B27" s="27" t="s">
        <v>1170</v>
      </c>
      <c r="C27" s="27">
        <v>1.0</v>
      </c>
      <c r="E27" s="27" t="str">
        <f t="array" ref="E27">XLOOKUP(B27,Data!F:F,Data!O:O)</f>
        <v>1.289</v>
      </c>
      <c r="F27" t="s">
        <v>4194</v>
      </c>
    </row>
    <row r="28" ht="15.75" customHeight="1">
      <c r="A28" s="153"/>
      <c r="B28" s="27" t="s">
        <v>1171</v>
      </c>
      <c r="C28" s="27">
        <v>1.0</v>
      </c>
      <c r="E28" s="27" t="str">
        <f t="array" ref="E28">XLOOKUP(B28,Data!F:F,Data!O:O)</f>
        <v>1.003</v>
      </c>
      <c r="F28" t="s">
        <v>4194</v>
      </c>
    </row>
    <row r="29" ht="15.75" customHeight="1">
      <c r="A29" s="153"/>
      <c r="B29" s="27" t="s">
        <v>1172</v>
      </c>
      <c r="C29" s="27">
        <v>1.0</v>
      </c>
      <c r="E29" s="27" t="str">
        <f t="array" ref="E29">XLOOKUP(B29,Data!F:F,Data!O:O)</f>
        <v>1.301</v>
      </c>
      <c r="F29" t="s">
        <v>4194</v>
      </c>
    </row>
    <row r="30" ht="15.75" customHeight="1">
      <c r="A30" s="153"/>
      <c r="B30" s="27" t="s">
        <v>1173</v>
      </c>
      <c r="C30" s="27">
        <v>1.0</v>
      </c>
      <c r="E30" s="27" t="str">
        <f t="array" ref="E30">XLOOKUP(B30,Data!F:F,Data!O:O)</f>
        <v>1.872</v>
      </c>
      <c r="F30" t="s">
        <v>4194</v>
      </c>
    </row>
    <row r="31" ht="15.75" customHeight="1">
      <c r="A31" s="153"/>
      <c r="B31" s="27" t="s">
        <v>1174</v>
      </c>
      <c r="C31" s="27">
        <v>1.0</v>
      </c>
      <c r="E31" s="27" t="str">
        <f t="array" ref="E31">XLOOKUP(B31,Data!F:F,Data!O:O)</f>
        <v>1.872</v>
      </c>
      <c r="F31" t="s">
        <v>4194</v>
      </c>
    </row>
    <row r="32" ht="15.75" customHeight="1">
      <c r="A32" s="153"/>
      <c r="B32" s="27" t="s">
        <v>1175</v>
      </c>
      <c r="C32" s="27">
        <v>1.0</v>
      </c>
      <c r="E32" s="27" t="str">
        <f t="array" ref="E32">XLOOKUP(B32,Data!F:F,Data!O:O)</f>
        <v>1.872</v>
      </c>
      <c r="F32" t="s">
        <v>4194</v>
      </c>
    </row>
    <row r="33" ht="15.75" customHeight="1">
      <c r="A33" s="153"/>
      <c r="B33" s="27" t="s">
        <v>1176</v>
      </c>
      <c r="C33" s="27">
        <v>1.0</v>
      </c>
      <c r="E33" s="27" t="str">
        <f t="array" ref="E33">XLOOKUP(B33,Data!F:F,Data!O:O)</f>
        <v>1.536</v>
      </c>
      <c r="F33" t="s">
        <v>4194</v>
      </c>
    </row>
    <row r="34" ht="15.75" customHeight="1">
      <c r="A34" s="153"/>
      <c r="B34" s="27" t="s">
        <v>1179</v>
      </c>
      <c r="C34" s="27">
        <v>1.0</v>
      </c>
      <c r="E34" s="27" t="str">
        <f t="array" ref="E34">XLOOKUP(B34,Data!F:F,Data!O:O)</f>
        <v>2.114</v>
      </c>
      <c r="F34" t="s">
        <v>4194</v>
      </c>
    </row>
    <row r="35" ht="15.75" customHeight="1">
      <c r="A35" s="153"/>
      <c r="B35" s="27" t="s">
        <v>1180</v>
      </c>
      <c r="C35" s="27">
        <v>1.0</v>
      </c>
      <c r="E35" s="27" t="str">
        <f t="array" ref="E35">XLOOKUP(B35,Data!F:F,Data!O:O)</f>
        <v>1.779</v>
      </c>
      <c r="F35" t="s">
        <v>4194</v>
      </c>
    </row>
    <row r="36" ht="15.75" customHeight="1">
      <c r="A36" s="153"/>
      <c r="B36" s="27" t="s">
        <v>1181</v>
      </c>
      <c r="C36" s="27">
        <v>1.0</v>
      </c>
      <c r="E36" s="27" t="str">
        <f t="array" ref="E36">XLOOKUP(B36,Data!F:F,Data!O:O)</f>
        <v>0.239</v>
      </c>
      <c r="F36" t="s">
        <v>4194</v>
      </c>
    </row>
    <row r="37" ht="15.75" customHeight="1">
      <c r="A37" s="153"/>
      <c r="B37" s="27" t="s">
        <v>1182</v>
      </c>
      <c r="C37" s="27">
        <v>1.0</v>
      </c>
      <c r="E37" s="27" t="str">
        <f t="array" ref="E37">XLOOKUP(B37,Data!F:F,Data!O:O)</f>
        <v>2.396</v>
      </c>
      <c r="F37" t="s">
        <v>4194</v>
      </c>
    </row>
    <row r="38" ht="15.75" customHeight="1">
      <c r="A38" s="153"/>
      <c r="B38" s="27" t="s">
        <v>1183</v>
      </c>
      <c r="C38" s="27">
        <v>1.0</v>
      </c>
      <c r="E38" s="27" t="str">
        <f t="array" ref="E38">XLOOKUP(B38,Data!F:F,Data!O:O)</f>
        <v>0.901</v>
      </c>
      <c r="F38" t="s">
        <v>4194</v>
      </c>
    </row>
    <row r="39" ht="15.75" customHeight="1">
      <c r="A39" s="153"/>
      <c r="B39" s="27" t="s">
        <v>1185</v>
      </c>
      <c r="C39" s="27">
        <v>1.0</v>
      </c>
      <c r="E39" s="27" t="str">
        <f t="array" ref="E39">XLOOKUP(B39,Data!F:F,Data!O:O)</f>
        <v>1.71</v>
      </c>
      <c r="F39" t="s">
        <v>4194</v>
      </c>
    </row>
    <row r="40" ht="15.75" customHeight="1">
      <c r="A40" s="153"/>
      <c r="B40" s="27" t="s">
        <v>1186</v>
      </c>
      <c r="C40" s="27">
        <v>1.0</v>
      </c>
      <c r="E40" s="27" t="str">
        <f t="array" ref="E40">XLOOKUP(B40,Data!F:F,Data!O:O)</f>
        <v>2.072</v>
      </c>
      <c r="F40" t="s">
        <v>4194</v>
      </c>
    </row>
    <row r="41" ht="15.75" customHeight="1">
      <c r="A41" s="153"/>
      <c r="B41" s="27" t="s">
        <v>1188</v>
      </c>
      <c r="C41" s="27">
        <v>1.0</v>
      </c>
      <c r="E41" s="27" t="str">
        <f t="array" ref="E41">XLOOKUP(B41,Data!F:F,Data!O:O)</f>
        <v>0.462</v>
      </c>
      <c r="F41" t="s">
        <v>4194</v>
      </c>
    </row>
    <row r="42" ht="15.75" customHeight="1">
      <c r="A42" s="153"/>
      <c r="B42" s="27" t="s">
        <v>1189</v>
      </c>
      <c r="C42" s="27">
        <v>1.0</v>
      </c>
      <c r="E42" s="27" t="str">
        <f t="array" ref="E42">XLOOKUP(B42,Data!F:F,Data!O:O)</f>
        <v>1.365</v>
      </c>
      <c r="F42" t="s">
        <v>4194</v>
      </c>
    </row>
    <row r="43" ht="15.75" customHeight="1">
      <c r="A43" s="153"/>
      <c r="B43" s="27" t="s">
        <v>1191</v>
      </c>
      <c r="C43" s="27">
        <v>1.0</v>
      </c>
      <c r="E43" s="27" t="str">
        <f t="array" ref="E43">XLOOKUP(B43,Data!F:F,Data!O:O)</f>
        <v>2.089</v>
      </c>
      <c r="F43" t="s">
        <v>4194</v>
      </c>
    </row>
    <row r="44" ht="15.75" customHeight="1">
      <c r="A44" s="153"/>
      <c r="B44" s="27" t="s">
        <v>1192</v>
      </c>
      <c r="C44" s="27">
        <v>1.0</v>
      </c>
      <c r="E44" s="27" t="str">
        <f t="array" ref="E44">XLOOKUP(B44,Data!F:F,Data!O:O)</f>
        <v>2.089</v>
      </c>
      <c r="F44" t="s">
        <v>4194</v>
      </c>
    </row>
    <row r="45" ht="15.75" customHeight="1">
      <c r="A45" s="153"/>
      <c r="B45" s="27" t="s">
        <v>1193</v>
      </c>
      <c r="C45" s="27">
        <v>1.0</v>
      </c>
      <c r="E45" s="27" t="str">
        <f t="array" ref="E45">XLOOKUP(B45,Data!F:F,Data!O:O)</f>
        <v>1.753</v>
      </c>
      <c r="F45" t="s">
        <v>4194</v>
      </c>
    </row>
    <row r="46" ht="15.75" customHeight="1">
      <c r="A46" s="153"/>
      <c r="B46" s="27" t="s">
        <v>1194</v>
      </c>
      <c r="C46" s="27">
        <v>1.0</v>
      </c>
      <c r="E46" s="27" t="str">
        <f t="array" ref="E46">XLOOKUP(B46,Data!F:F,Data!O:O)</f>
        <v>1.693</v>
      </c>
      <c r="F46" t="s">
        <v>4194</v>
      </c>
    </row>
    <row r="47" ht="15.75" customHeight="1">
      <c r="A47" s="153"/>
      <c r="B47" s="27" t="s">
        <v>1195</v>
      </c>
      <c r="C47" s="27">
        <v>1.0</v>
      </c>
      <c r="E47" s="27" t="str">
        <f t="array" ref="E47">XLOOKUP(B47,Data!F:F,Data!O:O)</f>
        <v>1.282</v>
      </c>
      <c r="F47" t="s">
        <v>4194</v>
      </c>
    </row>
    <row r="48" ht="15.75" customHeight="1">
      <c r="A48" s="153"/>
      <c r="B48" s="27" t="s">
        <v>1196</v>
      </c>
      <c r="C48" s="27">
        <v>1.0</v>
      </c>
      <c r="E48" s="27" t="str">
        <f t="array" ref="E48">XLOOKUP(B48,Data!F:F,Data!O:O)</f>
        <v>1.143</v>
      </c>
      <c r="F48" t="s">
        <v>4194</v>
      </c>
    </row>
    <row r="49" ht="15.75" customHeight="1">
      <c r="A49" s="153"/>
      <c r="B49" s="27" t="s">
        <v>1197</v>
      </c>
      <c r="C49" s="27">
        <v>1.0</v>
      </c>
      <c r="E49" s="27" t="str">
        <f t="array" ref="E49">XLOOKUP(B49,Data!F:F,Data!O:O)</f>
        <v>1.279</v>
      </c>
      <c r="F49" t="s">
        <v>4194</v>
      </c>
    </row>
    <row r="50" ht="15.75" customHeight="1">
      <c r="A50" s="153"/>
      <c r="B50" s="27" t="s">
        <v>1198</v>
      </c>
      <c r="C50" s="27">
        <v>1.0</v>
      </c>
      <c r="E50" s="27" t="str">
        <f t="array" ref="E50">XLOOKUP(B50,Data!F:F,Data!O:O)</f>
        <v>1.143</v>
      </c>
      <c r="F50" t="s">
        <v>4194</v>
      </c>
    </row>
    <row r="51" ht="15.75" customHeight="1">
      <c r="A51" s="153"/>
      <c r="B51" s="27" t="s">
        <v>1200</v>
      </c>
      <c r="C51" s="27">
        <v>1.0</v>
      </c>
      <c r="E51" s="27" t="str">
        <f t="array" ref="E51">XLOOKUP(B51,Data!F:F,Data!O:O)</f>
        <v>0.915</v>
      </c>
      <c r="F51" t="s">
        <v>4194</v>
      </c>
    </row>
    <row r="52" ht="15.75" customHeight="1">
      <c r="A52" s="153"/>
      <c r="B52" s="27" t="s">
        <v>1201</v>
      </c>
      <c r="C52" s="27">
        <v>1.0</v>
      </c>
      <c r="E52" s="27" t="str">
        <f t="array" ref="E52">XLOOKUP(B52,Data!F:F,Data!O:O)</f>
        <v>1.701</v>
      </c>
      <c r="F52" t="s">
        <v>4194</v>
      </c>
    </row>
    <row r="53" ht="15.75" customHeight="1">
      <c r="A53" s="153"/>
      <c r="B53" s="27" t="s">
        <v>1202</v>
      </c>
      <c r="C53" s="27">
        <v>1.0</v>
      </c>
      <c r="E53" s="27" t="str">
        <f t="array" ref="E53">XLOOKUP(B53,Data!F:F,Data!O:O)</f>
        <v>2.251</v>
      </c>
      <c r="F53" t="s">
        <v>4194</v>
      </c>
    </row>
    <row r="54" ht="15.75" customHeight="1">
      <c r="A54" s="153"/>
      <c r="B54" s="27" t="s">
        <v>1203</v>
      </c>
      <c r="C54" s="27">
        <v>1.0</v>
      </c>
      <c r="E54" s="27" t="str">
        <f t="array" ref="E54">XLOOKUP(B54,Data!F:F,Data!O:O)</f>
        <v>2.029</v>
      </c>
      <c r="F54" t="s">
        <v>4194</v>
      </c>
    </row>
    <row r="55" ht="15.75" customHeight="1">
      <c r="A55" s="153"/>
      <c r="B55" s="27" t="s">
        <v>1204</v>
      </c>
      <c r="C55" s="27">
        <v>1.0</v>
      </c>
      <c r="E55" s="27" t="str">
        <f t="array" ref="E55">XLOOKUP(B55,Data!F:F,Data!O:O)</f>
        <v>2.029</v>
      </c>
      <c r="F55" t="s">
        <v>4194</v>
      </c>
    </row>
    <row r="56" ht="15.75" customHeight="1">
      <c r="A56" s="153"/>
      <c r="B56" s="27" t="s">
        <v>1205</v>
      </c>
      <c r="C56" s="27">
        <v>1.0</v>
      </c>
      <c r="E56" s="27" t="str">
        <f t="array" ref="E56">XLOOKUP(B56,Data!F:F,Data!O:O)</f>
        <v>2.029</v>
      </c>
      <c r="F56" t="s">
        <v>4194</v>
      </c>
    </row>
    <row r="57" ht="15.75" customHeight="1">
      <c r="A57" s="153"/>
      <c r="B57" s="27" t="s">
        <v>1206</v>
      </c>
      <c r="C57" s="27">
        <v>1.0</v>
      </c>
      <c r="E57" s="27" t="str">
        <f t="array" ref="E57">XLOOKUP(B57,Data!F:F,Data!O:O)</f>
        <v>0.633</v>
      </c>
      <c r="F57" t="s">
        <v>4194</v>
      </c>
    </row>
    <row r="58" ht="15.75" customHeight="1">
      <c r="A58" s="153"/>
      <c r="B58" s="27" t="s">
        <v>1209</v>
      </c>
      <c r="C58" s="27">
        <v>1.0</v>
      </c>
      <c r="E58" s="27" t="str">
        <f t="array" ref="E58">XLOOKUP(B58,Data!F:F,Data!O:O)</f>
        <v>2.406</v>
      </c>
      <c r="F58" t="s">
        <v>4194</v>
      </c>
    </row>
    <row r="59" ht="15.75" customHeight="1">
      <c r="A59" s="153"/>
      <c r="B59" s="27" t="s">
        <v>1177</v>
      </c>
      <c r="C59" s="27">
        <v>1.0</v>
      </c>
      <c r="E59" s="27" t="str">
        <f t="array" ref="E59">XLOOKUP(B59,Data!F:F,Data!O:O)</f>
        <v>2.114</v>
      </c>
      <c r="F59" t="s">
        <v>4194</v>
      </c>
    </row>
    <row r="60" ht="15.75" customHeight="1">
      <c r="A60" s="153"/>
      <c r="B60" s="27" t="s">
        <v>1178</v>
      </c>
      <c r="C60" s="27">
        <v>1.0</v>
      </c>
      <c r="E60" s="27" t="str">
        <f t="array" ref="E60">XLOOKUP(B60,Data!F:F,Data!O:O)</f>
        <v>2.114</v>
      </c>
      <c r="F60" t="s">
        <v>4194</v>
      </c>
    </row>
    <row r="61" ht="15.75" customHeight="1">
      <c r="A61" s="153"/>
      <c r="B61" s="27" t="s">
        <v>1184</v>
      </c>
      <c r="C61" s="27">
        <v>1.0</v>
      </c>
      <c r="E61" s="27" t="str">
        <f t="array" ref="E61">XLOOKUP(B61,Data!F:F,Data!O:O)</f>
        <v>1.372</v>
      </c>
      <c r="F61" t="s">
        <v>4194</v>
      </c>
    </row>
    <row r="62" ht="15.75" customHeight="1">
      <c r="A62" s="153"/>
      <c r="B62" s="27" t="s">
        <v>1187</v>
      </c>
      <c r="C62" s="27">
        <v>1.0</v>
      </c>
      <c r="E62" s="27" t="str">
        <f t="array" ref="E62">XLOOKUP(B62,Data!F:F,Data!O:O)</f>
        <v>0.381</v>
      </c>
      <c r="F62" t="s">
        <v>4194</v>
      </c>
    </row>
    <row r="63" ht="15.75" customHeight="1">
      <c r="A63" s="153"/>
      <c r="B63" s="27" t="s">
        <v>1190</v>
      </c>
      <c r="C63" s="27">
        <v>1.0</v>
      </c>
      <c r="E63" s="27" t="str">
        <f t="array" ref="E63">XLOOKUP(B63,Data!F:F,Data!O:O)</f>
        <v>2.089</v>
      </c>
      <c r="F63" t="s">
        <v>4194</v>
      </c>
    </row>
    <row r="64" ht="15.75" customHeight="1">
      <c r="A64" s="153"/>
      <c r="B64" s="27" t="s">
        <v>1199</v>
      </c>
      <c r="C64" s="27">
        <v>1.0</v>
      </c>
      <c r="E64" s="27" t="str">
        <f t="array" ref="E64">XLOOKUP(B64,Data!F:F,Data!O:O)</f>
        <v>1.298</v>
      </c>
      <c r="F64" t="s">
        <v>4194</v>
      </c>
    </row>
    <row r="65" ht="15.75" customHeight="1">
      <c r="A65" s="153"/>
      <c r="B65" s="27" t="s">
        <v>1207</v>
      </c>
      <c r="C65" s="27">
        <v>1.0</v>
      </c>
      <c r="E65" s="27" t="str">
        <f t="array" ref="E65">XLOOKUP(B65,Data!F:F,Data!O:O)</f>
        <v>0.228</v>
      </c>
      <c r="F65" t="s">
        <v>4194</v>
      </c>
    </row>
    <row r="66" ht="15.75" customHeight="1">
      <c r="A66" s="153"/>
      <c r="B66" s="27" t="s">
        <v>1208</v>
      </c>
      <c r="C66" s="27">
        <v>1.0</v>
      </c>
      <c r="E66" s="27" t="str">
        <f t="array" ref="E66">XLOOKUP(B66,Data!F:F,Data!O:O)</f>
        <v>0.544</v>
      </c>
      <c r="F66" t="s">
        <v>4194</v>
      </c>
    </row>
    <row r="67" ht="15.75" customHeight="1">
      <c r="A67" s="153"/>
      <c r="B67" s="27"/>
      <c r="C67" s="27"/>
    </row>
    <row r="68" ht="15.75" customHeight="1">
      <c r="A68" s="153">
        <v>46123.0</v>
      </c>
      <c r="B68" s="27" t="s">
        <v>1346</v>
      </c>
      <c r="C68" s="27">
        <v>1.0</v>
      </c>
      <c r="E68" s="27" t="str">
        <f t="array" ref="E68">IF(C68=1,XLOOKUP(B68,Data!F:F,Data!O:O),0)</f>
        <v>1.798</v>
      </c>
    </row>
    <row r="69" ht="15.75" customHeight="1">
      <c r="A69" s="153">
        <v>46123.0</v>
      </c>
      <c r="B69" s="27" t="s">
        <v>1347</v>
      </c>
      <c r="C69" s="27">
        <v>1.0</v>
      </c>
      <c r="E69" s="27" t="str">
        <f t="array" ref="E69">IF(C69=1,XLOOKUP(B69,Data!F:F,Data!O:O),0)</f>
        <v>1.798</v>
      </c>
    </row>
    <row r="70" ht="15.75" customHeight="1">
      <c r="A70" s="153">
        <v>46123.0</v>
      </c>
      <c r="B70" s="27" t="s">
        <v>1348</v>
      </c>
      <c r="C70" s="27">
        <v>1.0</v>
      </c>
      <c r="E70" s="27" t="str">
        <f t="array" ref="E70">IF(C70=1,XLOOKUP(B70,Data!F:F,Data!O:O),0)</f>
        <v>1.798</v>
      </c>
    </row>
    <row r="71" ht="15.75" customHeight="1">
      <c r="A71" s="153">
        <v>46123.0</v>
      </c>
      <c r="B71" s="27" t="s">
        <v>1313</v>
      </c>
      <c r="C71" s="27">
        <v>1.0</v>
      </c>
      <c r="E71" s="27" t="str">
        <f t="array" ref="E71">IF(C71=1,XLOOKUP(B71,Data!F:F,Data!O:O),0)</f>
        <v>1.982</v>
      </c>
    </row>
    <row r="72" ht="15.75" customHeight="1">
      <c r="A72" s="153">
        <v>46123.0</v>
      </c>
      <c r="B72" s="27" t="s">
        <v>1314</v>
      </c>
      <c r="C72" s="27">
        <v>1.0</v>
      </c>
      <c r="E72" s="27" t="str">
        <f t="array" ref="E72">IF(C72=1,XLOOKUP(B72,Data!F:F,Data!O:O),0)</f>
        <v>1.982</v>
      </c>
    </row>
    <row r="73" ht="15.75" customHeight="1">
      <c r="A73" s="153">
        <v>46123.0</v>
      </c>
      <c r="B73" s="27" t="s">
        <v>1315</v>
      </c>
      <c r="C73" s="27">
        <v>1.0</v>
      </c>
      <c r="E73" s="27" t="str">
        <f t="array" ref="E73">IF(C73=1,XLOOKUP(B73,Data!F:F,Data!O:O),0)</f>
        <v>1.982</v>
      </c>
    </row>
    <row r="74" ht="15.75" customHeight="1">
      <c r="A74" s="153">
        <v>46123.0</v>
      </c>
      <c r="B74" s="27" t="s">
        <v>1316</v>
      </c>
      <c r="C74" s="27">
        <v>1.0</v>
      </c>
      <c r="E74" s="27" t="str">
        <f t="array" ref="E74">IF(C74=1,XLOOKUP(B74,Data!F:F,Data!O:O),0)</f>
        <v>1.704</v>
      </c>
    </row>
    <row r="75" ht="15.75" customHeight="1">
      <c r="A75" s="153">
        <v>46123.0</v>
      </c>
      <c r="B75" s="27" t="s">
        <v>1317</v>
      </c>
      <c r="C75" s="27">
        <v>1.0</v>
      </c>
      <c r="E75" s="27" t="str">
        <f t="array" ref="E75">IF(C75=1,XLOOKUP(B75,Data!F:F,Data!O:O),0)</f>
        <v>1.915</v>
      </c>
    </row>
    <row r="76" ht="15.75" customHeight="1">
      <c r="A76" s="153">
        <v>46125.0</v>
      </c>
      <c r="B76" s="27" t="s">
        <v>1345</v>
      </c>
      <c r="C76" s="27">
        <v>1.0</v>
      </c>
      <c r="E76" s="27" t="str">
        <f t="array" ref="E76">IF(C76=1,XLOOKUP(B76,Data!F:F,Data!O:O),0)</f>
        <v>1.928</v>
      </c>
    </row>
    <row r="77" ht="15.75" customHeight="1">
      <c r="A77" s="153">
        <v>46125.0</v>
      </c>
      <c r="B77" s="27" t="s">
        <v>1312</v>
      </c>
      <c r="C77" s="27">
        <v>1.0</v>
      </c>
      <c r="E77" s="27" t="str">
        <f t="array" ref="E77">IF(C77=1,XLOOKUP(B77,Data!F:F,Data!O:O),0)</f>
        <v>2.121</v>
      </c>
    </row>
    <row r="78" ht="15.75" customHeight="1">
      <c r="A78" s="153">
        <v>46125.0</v>
      </c>
      <c r="B78" s="27" t="s">
        <v>1349</v>
      </c>
      <c r="C78" s="27">
        <v>1.0</v>
      </c>
      <c r="E78" s="27" t="str">
        <f t="array" ref="E78">IF(C78=1,XLOOKUP(B78,Data!F:F,Data!O:O),0)</f>
        <v>1.509</v>
      </c>
    </row>
    <row r="79" ht="15.75" customHeight="1">
      <c r="A79" s="153">
        <v>46125.0</v>
      </c>
      <c r="B79" s="27" t="s">
        <v>1307</v>
      </c>
      <c r="C79" s="27">
        <v>1.0</v>
      </c>
      <c r="E79" s="27" t="str">
        <f t="array" ref="E79">IF(C79=1,XLOOKUP(B79,Data!F:F,Data!O:O),0)</f>
        <v>1.509</v>
      </c>
    </row>
    <row r="80" ht="15.75" customHeight="1">
      <c r="A80" s="153">
        <v>46125.0</v>
      </c>
      <c r="B80" s="27" t="s">
        <v>1321</v>
      </c>
      <c r="C80" s="27">
        <v>1.0</v>
      </c>
      <c r="E80" s="27" t="str">
        <f t="array" ref="E80">IF(C80=1,XLOOKUP(B80,Data!F:F,Data!O:O),0)</f>
        <v>1.463</v>
      </c>
    </row>
    <row r="81" ht="15.75" customHeight="1">
      <c r="A81" s="153">
        <v>46125.0</v>
      </c>
      <c r="B81" s="27" t="s">
        <v>1318</v>
      </c>
      <c r="C81" s="27">
        <v>1.0</v>
      </c>
      <c r="E81" s="27" t="str">
        <f t="array" ref="E81">IF(C81=1,XLOOKUP(B81,Data!F:F,Data!O:O),0)</f>
        <v>1.754</v>
      </c>
    </row>
    <row r="82" ht="15.75" customHeight="1">
      <c r="A82" s="153">
        <v>46125.0</v>
      </c>
      <c r="B82" s="27" t="s">
        <v>1319</v>
      </c>
      <c r="C82" s="27">
        <v>1.0</v>
      </c>
      <c r="E82" s="27" t="str">
        <f t="array" ref="E82">IF(C82=1,XLOOKUP(B82,Data!F:F,Data!O:O),0)</f>
        <v>1.754</v>
      </c>
    </row>
    <row r="83" ht="15.75" customHeight="1">
      <c r="A83" s="153">
        <v>46125.0</v>
      </c>
      <c r="B83" s="27" t="s">
        <v>1320</v>
      </c>
      <c r="C83" s="27">
        <v>1.0</v>
      </c>
      <c r="E83" s="27" t="str">
        <f t="array" ref="E83">IF(C83=1,XLOOKUP(B83,Data!F:F,Data!O:O),0)</f>
        <v>1.754</v>
      </c>
    </row>
    <row r="84" ht="15.75" customHeight="1">
      <c r="A84" s="153">
        <v>46126.0</v>
      </c>
      <c r="B84" s="27" t="s">
        <v>1299</v>
      </c>
      <c r="C84" s="27">
        <v>1.0</v>
      </c>
      <c r="E84" s="27" t="str">
        <f t="array" ref="E84">IF(C84=1,XLOOKUP(B84,Data!F:F,Data!O:O),0)</f>
        <v>1.549</v>
      </c>
    </row>
    <row r="85" ht="15.75" customHeight="1">
      <c r="A85" s="153">
        <v>46126.0</v>
      </c>
      <c r="B85" s="27" t="s">
        <v>1300</v>
      </c>
      <c r="C85" s="27">
        <v>1.0</v>
      </c>
      <c r="E85" s="27" t="str">
        <f t="array" ref="E85">IF(C85=1,XLOOKUP(B85,Data!F:F,Data!O:O),0)</f>
        <v>1.549</v>
      </c>
    </row>
    <row r="86" ht="15.75" customHeight="1">
      <c r="A86" s="153">
        <v>46126.0</v>
      </c>
      <c r="B86" s="27" t="s">
        <v>1303</v>
      </c>
      <c r="C86" s="27">
        <v>1.0</v>
      </c>
      <c r="E86" s="27" t="str">
        <f t="array" ref="E86">IF(C86=1,XLOOKUP(B86,Data!F:F,Data!O:O),0)</f>
        <v>1.794</v>
      </c>
    </row>
    <row r="87" ht="15.75" customHeight="1">
      <c r="A87" s="153">
        <v>46126.0</v>
      </c>
      <c r="B87" s="27" t="s">
        <v>1304</v>
      </c>
      <c r="C87" s="27">
        <v>1.0</v>
      </c>
      <c r="E87" s="27" t="str">
        <f t="array" ref="E87">IF(C87=1,XLOOKUP(B87,Data!F:F,Data!O:O),0)</f>
        <v>1.794</v>
      </c>
    </row>
    <row r="88" ht="15.75" customHeight="1">
      <c r="A88" s="153">
        <v>46126.0</v>
      </c>
      <c r="B88" s="27" t="s">
        <v>1305</v>
      </c>
      <c r="C88" s="27">
        <v>1.0</v>
      </c>
      <c r="E88" s="27" t="str">
        <f t="array" ref="E88">IF(C88=1,XLOOKUP(B88,Data!F:F,Data!O:O),0)</f>
        <v>1.794</v>
      </c>
    </row>
    <row r="89" ht="15.75" customHeight="1">
      <c r="A89" s="153">
        <v>46126.0</v>
      </c>
      <c r="B89" s="27" t="s">
        <v>1306</v>
      </c>
      <c r="C89" s="27">
        <v>1.0</v>
      </c>
      <c r="E89" s="27" t="str">
        <f t="array" ref="E89">IF(C89=1,XLOOKUP(B89,Data!F:F,Data!O:O),0)</f>
        <v>1.794</v>
      </c>
    </row>
    <row r="90" ht="15.75" customHeight="1">
      <c r="A90" s="153">
        <v>46127.0</v>
      </c>
      <c r="B90" s="27" t="s">
        <v>1263</v>
      </c>
      <c r="C90" s="27">
        <v>1.0</v>
      </c>
      <c r="E90" s="27" t="str">
        <f t="array" ref="E90">IF(C90=1,XLOOKUP(B90,Data!F:F,Data!O:O),0)</f>
        <v>1.797</v>
      </c>
    </row>
    <row r="91" ht="15.75" customHeight="1">
      <c r="A91" s="153">
        <v>46127.0</v>
      </c>
      <c r="B91" s="27" t="s">
        <v>1265</v>
      </c>
      <c r="C91" s="27">
        <v>1.0</v>
      </c>
      <c r="E91" s="27" t="str">
        <f t="array" ref="E91">IF(C91=1,XLOOKUP(B91,Data!F:F,Data!O:O),0)</f>
        <v>1.49</v>
      </c>
    </row>
    <row r="92" ht="15.75" customHeight="1">
      <c r="A92" s="153">
        <v>46127.0</v>
      </c>
      <c r="B92" s="27" t="s">
        <v>1248</v>
      </c>
      <c r="C92" s="27">
        <v>0.0</v>
      </c>
      <c r="E92" s="27" t="str">
        <f t="array" ref="E92">IF(C92=1,XLOOKUP(B92,Data!F:F,Data!O:O),0)</f>
        <v>0</v>
      </c>
    </row>
    <row r="93" ht="15.75" customHeight="1">
      <c r="A93" s="153">
        <v>46127.0</v>
      </c>
      <c r="B93" s="27" t="s">
        <v>1285</v>
      </c>
      <c r="C93" s="27">
        <v>1.0</v>
      </c>
      <c r="E93" s="27" t="str">
        <f t="array" ref="E93">IF(C93=1,XLOOKUP(B93,Data!F:F,Data!O:O),0)</f>
        <v>1.744</v>
      </c>
    </row>
    <row r="94" ht="15.75" customHeight="1">
      <c r="A94" s="153">
        <v>46127.0</v>
      </c>
      <c r="B94" s="27" t="s">
        <v>1286</v>
      </c>
      <c r="C94" s="27">
        <v>1.0</v>
      </c>
      <c r="E94" s="27" t="str">
        <f t="array" ref="E94">IF(C94=1,XLOOKUP(B94,Data!F:F,Data!O:O),0)</f>
        <v>1.744</v>
      </c>
    </row>
    <row r="95" ht="15.75" customHeight="1">
      <c r="A95" s="153">
        <v>46127.0</v>
      </c>
      <c r="B95" s="27" t="s">
        <v>1287</v>
      </c>
      <c r="C95" s="27">
        <v>1.0</v>
      </c>
      <c r="E95" s="27" t="str">
        <f t="array" ref="E95">IF(C95=1,XLOOKUP(B95,Data!F:F,Data!O:O),0)</f>
        <v>1.744</v>
      </c>
    </row>
    <row r="96" ht="15.75" customHeight="1">
      <c r="A96" s="153">
        <v>46127.0</v>
      </c>
      <c r="B96" s="27" t="s">
        <v>1288</v>
      </c>
      <c r="C96" s="27">
        <v>1.0</v>
      </c>
      <c r="E96" s="27" t="str">
        <f t="array" ref="E96">IF(C96=1,XLOOKUP(B96,Data!F:F,Data!O:O),0)</f>
        <v>1.744</v>
      </c>
    </row>
    <row r="97" ht="15.75" customHeight="1">
      <c r="A97" s="153">
        <v>46127.0</v>
      </c>
      <c r="B97" s="27" t="s">
        <v>1289</v>
      </c>
      <c r="C97" s="27">
        <v>0.0</v>
      </c>
      <c r="E97" s="27" t="str">
        <f t="array" ref="E97">IF(C97=1,XLOOKUP(B97,Data!F:F,Data!O:O),0)</f>
        <v>0</v>
      </c>
    </row>
    <row r="98" ht="15.75" customHeight="1">
      <c r="A98" s="153">
        <v>46127.0</v>
      </c>
      <c r="B98" s="27" t="s">
        <v>1290</v>
      </c>
      <c r="C98" s="27">
        <v>1.0</v>
      </c>
      <c r="E98" s="27" t="str">
        <f t="array" ref="E98">IF(C98=1,XLOOKUP(B98,Data!F:F,Data!O:O),0)</f>
        <v>1.95</v>
      </c>
    </row>
    <row r="99" ht="15.75" customHeight="1">
      <c r="A99" s="153">
        <v>46127.0</v>
      </c>
      <c r="B99" s="161" t="s">
        <v>1291</v>
      </c>
      <c r="C99" s="27">
        <v>1.0</v>
      </c>
      <c r="E99" s="27" t="str">
        <f t="array" ref="E99">IF(C99=1,XLOOKUP(B99,Data!F:F,Data!O:O),0)</f>
        <v>1.49</v>
      </c>
    </row>
    <row r="100" ht="15.75" customHeight="1">
      <c r="A100" s="153">
        <v>46127.0</v>
      </c>
      <c r="B100" s="27" t="s">
        <v>1278</v>
      </c>
      <c r="C100" s="27">
        <v>1.0</v>
      </c>
      <c r="E100" s="27" t="str">
        <f t="array" ref="E100">IF(C100=1,XLOOKUP(B100,Data!F:F,Data!O:O),0)</f>
        <v>1.797</v>
      </c>
    </row>
    <row r="101" ht="15.75" customHeight="1">
      <c r="A101" s="153">
        <v>46127.0</v>
      </c>
      <c r="B101" s="27" t="s">
        <v>1280</v>
      </c>
      <c r="C101" s="27">
        <v>1.0</v>
      </c>
      <c r="E101" s="27" t="str">
        <f t="array" ref="E101">IF(C101=1,XLOOKUP(B101,Data!F:F,Data!O:O),0)</f>
        <v>1.797</v>
      </c>
    </row>
    <row r="102" ht="15.75" customHeight="1">
      <c r="A102" s="153">
        <v>46130.0</v>
      </c>
      <c r="B102" s="27" t="s">
        <v>1227</v>
      </c>
      <c r="C102" s="27">
        <v>1.0</v>
      </c>
      <c r="E102" s="27" t="str">
        <f t="array" ref="E102">IF(C102=1,XLOOKUP(B102,Data!F:F,Data!O:O),0)</f>
        <v>1.988</v>
      </c>
    </row>
    <row r="103" ht="15.75" customHeight="1">
      <c r="A103" s="153">
        <v>46130.0</v>
      </c>
      <c r="B103" s="27" t="s">
        <v>1215</v>
      </c>
      <c r="C103" s="27">
        <v>1.0</v>
      </c>
      <c r="E103" s="27" t="str">
        <f t="array" ref="E103">IF(C103=1,XLOOKUP(B103,Data!F:F,Data!O:O),0)</f>
        <v>1.802</v>
      </c>
    </row>
    <row r="104" ht="15.75" customHeight="1">
      <c r="A104" s="153">
        <v>46130.0</v>
      </c>
      <c r="B104" s="27" t="s">
        <v>1216</v>
      </c>
      <c r="C104" s="27">
        <v>1.0</v>
      </c>
      <c r="E104" s="27" t="str">
        <f t="array" ref="E104">IF(C104=1,XLOOKUP(B104,Data!F:F,Data!O:O),0)</f>
        <v>1.802</v>
      </c>
    </row>
    <row r="105" ht="15.75" customHeight="1">
      <c r="A105" s="153">
        <v>46130.0</v>
      </c>
      <c r="B105" s="27" t="s">
        <v>1217</v>
      </c>
      <c r="C105" s="27">
        <v>1.0</v>
      </c>
      <c r="E105" s="27" t="str">
        <f t="array" ref="E105">IF(C105=1,XLOOKUP(B105,Data!F:F,Data!O:O),0)</f>
        <v>1.802</v>
      </c>
    </row>
    <row r="106" ht="15.75" customHeight="1">
      <c r="A106" s="153">
        <v>46130.0</v>
      </c>
      <c r="B106" s="27" t="s">
        <v>1218</v>
      </c>
      <c r="C106" s="27">
        <v>0.0</v>
      </c>
      <c r="E106" s="27" t="str">
        <f t="array" ref="E106">IF(C106=1,XLOOKUP(B106,Data!F:F,Data!O:O),0)</f>
        <v>0</v>
      </c>
    </row>
    <row r="107" ht="15.75" customHeight="1">
      <c r="A107" s="153">
        <v>46130.0</v>
      </c>
      <c r="B107" s="27" t="s">
        <v>1232</v>
      </c>
      <c r="C107" s="27">
        <v>1.0</v>
      </c>
      <c r="E107" s="27" t="str">
        <f t="array" ref="E107">IF(C107=1,XLOOKUP(B107,Data!F:F,Data!O:O),0)</f>
        <v>1.766</v>
      </c>
    </row>
    <row r="108" ht="15.75" customHeight="1">
      <c r="A108" s="153">
        <v>46130.0</v>
      </c>
      <c r="B108" s="27" t="s">
        <v>1233</v>
      </c>
      <c r="C108" s="27">
        <v>1.0</v>
      </c>
      <c r="E108" s="27" t="str">
        <f t="array" ref="E108">IF(C108=1,XLOOKUP(B108,Data!F:F,Data!O:O),0)</f>
        <v>1.766</v>
      </c>
    </row>
    <row r="109" ht="15.75" customHeight="1">
      <c r="A109" s="153">
        <v>46130.0</v>
      </c>
      <c r="B109" s="27" t="s">
        <v>1234</v>
      </c>
      <c r="C109" s="27">
        <v>1.0</v>
      </c>
      <c r="E109" s="27" t="str">
        <f t="array" ref="E109">IF(C109=1,XLOOKUP(B109,Data!F:F,Data!O:O),0)</f>
        <v>1.766</v>
      </c>
    </row>
    <row r="110" ht="15.75" customHeight="1">
      <c r="A110" s="153">
        <v>46130.0</v>
      </c>
      <c r="B110" s="27" t="s">
        <v>1235</v>
      </c>
      <c r="C110" s="27">
        <v>0.0</v>
      </c>
      <c r="E110" s="27" t="str">
        <f t="array" ref="E110">IF(C110=1,XLOOKUP(B110,Data!F:F,Data!O:O),0)</f>
        <v>0</v>
      </c>
    </row>
    <row r="111" ht="15.75" customHeight="1">
      <c r="A111" s="153">
        <v>46130.0</v>
      </c>
      <c r="B111" s="27" t="s">
        <v>1244</v>
      </c>
      <c r="C111" s="27">
        <v>1.0</v>
      </c>
      <c r="E111" s="27" t="str">
        <f t="array" ref="E111">IF(C111=1,XLOOKUP(B111,Data!F:F,Data!O:O),0)</f>
        <v>1.946</v>
      </c>
    </row>
    <row r="112" ht="15.75" customHeight="1">
      <c r="A112" s="153">
        <v>46130.0</v>
      </c>
      <c r="B112" s="27" t="s">
        <v>1245</v>
      </c>
      <c r="C112" s="27">
        <v>1.0</v>
      </c>
      <c r="E112" s="27" t="str">
        <f t="array" ref="E112">IF(C112=1,XLOOKUP(B112,Data!F:F,Data!O:O),0)</f>
        <v>1.792</v>
      </c>
    </row>
    <row r="113" ht="15.75" customHeight="1">
      <c r="A113" s="153">
        <v>46130.0</v>
      </c>
      <c r="B113" s="27" t="s">
        <v>1246</v>
      </c>
      <c r="C113" s="27">
        <v>1.0</v>
      </c>
      <c r="E113" s="27" t="str">
        <f t="array" ref="E113">IF(C113=1,XLOOKUP(B113,Data!F:F,Data!O:O),0)</f>
        <v>1.792</v>
      </c>
    </row>
    <row r="114" ht="15.75" customHeight="1">
      <c r="A114" s="153">
        <v>46130.0</v>
      </c>
      <c r="B114" s="27" t="s">
        <v>1247</v>
      </c>
      <c r="C114" s="27">
        <v>1.0</v>
      </c>
      <c r="E114" s="27" t="str">
        <f t="array" ref="E114">IF(C114=1,XLOOKUP(B114,Data!F:F,Data!O:O),0)</f>
        <v>1.792</v>
      </c>
    </row>
    <row r="115" ht="15.75" customHeight="1">
      <c r="A115" s="153">
        <v>46132.0</v>
      </c>
      <c r="B115" s="27" t="s">
        <v>1218</v>
      </c>
      <c r="C115" s="27">
        <v>1.0</v>
      </c>
      <c r="E115" s="27" t="str">
        <f t="array" ref="E115">IF(C115=1,XLOOKUP(B115,Data!F:F,Data!O:O),0)</f>
        <v>1.802</v>
      </c>
    </row>
    <row r="116" ht="15.75" customHeight="1">
      <c r="A116" s="153">
        <v>46132.0</v>
      </c>
      <c r="B116" s="27" t="s">
        <v>1279</v>
      </c>
      <c r="C116" s="27">
        <v>1.0</v>
      </c>
      <c r="E116" s="27" t="str">
        <f t="array" ref="E116">IF(C116=1,XLOOKUP(B116,Data!F:F,Data!O:O),0)</f>
        <v>1.797</v>
      </c>
    </row>
    <row r="117" ht="15.75" customHeight="1">
      <c r="A117" s="153">
        <v>46132.0</v>
      </c>
      <c r="B117" s="27" t="s">
        <v>1262</v>
      </c>
      <c r="C117" s="27">
        <v>1.0</v>
      </c>
      <c r="E117" s="27" t="str">
        <f t="array" ref="E117">IF(C117=1,XLOOKUP(B117,Data!F:F,Data!O:O),0)</f>
        <v>1.797</v>
      </c>
    </row>
    <row r="118" ht="15.75" customHeight="1">
      <c r="A118" s="153">
        <v>46132.0</v>
      </c>
      <c r="B118" s="27" t="s">
        <v>1235</v>
      </c>
      <c r="C118" s="27">
        <v>1.0</v>
      </c>
      <c r="E118" s="27" t="str">
        <f t="array" ref="E118">IF(C118=1,XLOOKUP(B118,Data!F:F,Data!O:O),0)</f>
        <v>1.766</v>
      </c>
    </row>
    <row r="119" ht="15.75" customHeight="1">
      <c r="A119" s="153">
        <v>46132.0</v>
      </c>
      <c r="B119" s="27" t="s">
        <v>1302</v>
      </c>
      <c r="C119" s="27">
        <v>1.0</v>
      </c>
      <c r="E119" s="27" t="str">
        <f t="array" ref="E119">IF(C119=1,XLOOKUP(B119,Data!F:F,Data!O:O),0)</f>
        <v>1.263</v>
      </c>
    </row>
    <row r="120" ht="15.75" customHeight="1">
      <c r="A120" s="153">
        <v>46132.0</v>
      </c>
      <c r="B120" s="27" t="s">
        <v>1289</v>
      </c>
      <c r="C120" s="27">
        <v>1.0</v>
      </c>
      <c r="E120" s="27" t="str">
        <f t="array" ref="E120">IF(C120=1,XLOOKUP(B120,Data!F:F,Data!O:O),0)</f>
        <v>1.456</v>
      </c>
    </row>
    <row r="121" ht="15.75" customHeight="1">
      <c r="A121" s="153">
        <v>46133.0</v>
      </c>
      <c r="B121" s="27" t="s">
        <v>1137</v>
      </c>
      <c r="C121" s="27">
        <v>1.0</v>
      </c>
      <c r="E121" s="27" t="str">
        <f t="array" ref="E121">IF(C121=1,XLOOKUP(B121,Data!F:F,Data!O:O),0)</f>
        <v>1.558</v>
      </c>
    </row>
    <row r="122" ht="15.75" customHeight="1">
      <c r="A122" s="153">
        <v>46133.0</v>
      </c>
      <c r="B122" s="27" t="s">
        <v>1133</v>
      </c>
      <c r="C122" s="27">
        <v>1.0</v>
      </c>
      <c r="E122" s="27" t="str">
        <f t="array" ref="E122">IF(C122=1,XLOOKUP(B122,Data!F:F,Data!O:O),0)</f>
        <v>1.181</v>
      </c>
    </row>
    <row r="123" ht="15.75" customHeight="1">
      <c r="A123" s="153">
        <v>46133.0</v>
      </c>
      <c r="B123" s="27" t="s">
        <v>1138</v>
      </c>
      <c r="C123" s="27">
        <v>1.0</v>
      </c>
      <c r="E123" s="27" t="str">
        <f t="array" ref="E123">IF(C123=1,XLOOKUP(B123,Data!F:F,Data!O:O),0)</f>
        <v>1.782</v>
      </c>
    </row>
    <row r="124" ht="15.75" customHeight="1">
      <c r="A124" s="153">
        <v>46133.0</v>
      </c>
      <c r="B124" s="27" t="s">
        <v>1135</v>
      </c>
      <c r="C124" s="27">
        <v>1.0</v>
      </c>
      <c r="E124" s="27" t="str">
        <f t="array" ref="E124">IF(C124=1,XLOOKUP(B124,Data!F:F,Data!O:O),0)</f>
        <v>1.262</v>
      </c>
    </row>
    <row r="125" ht="15.75" customHeight="1">
      <c r="A125" s="153">
        <v>46133.0</v>
      </c>
      <c r="B125" s="27" t="s">
        <v>1136</v>
      </c>
      <c r="C125" s="27">
        <v>1.0</v>
      </c>
      <c r="E125" s="27" t="str">
        <f t="array" ref="E125">IF(C125=1,XLOOKUP(B125,Data!F:F,Data!O:O),0)</f>
        <v>1.29</v>
      </c>
    </row>
    <row r="126" ht="15.75" customHeight="1">
      <c r="A126" s="153">
        <v>46133.0</v>
      </c>
      <c r="B126" s="27" t="s">
        <v>1127</v>
      </c>
      <c r="C126" s="27">
        <v>1.0</v>
      </c>
      <c r="E126" s="27" t="str">
        <f t="array" ref="E126">IF(C126=1,XLOOKUP(B126,Data!F:F,Data!O:O),0)</f>
        <v>2.335</v>
      </c>
    </row>
    <row r="127" ht="15.75" customHeight="1">
      <c r="A127" s="153">
        <v>46133.0</v>
      </c>
      <c r="B127" s="27" t="s">
        <v>1128</v>
      </c>
      <c r="C127" s="27">
        <v>1.0</v>
      </c>
      <c r="E127" s="27" t="str">
        <f t="array" ref="E127">IF(C127=1,XLOOKUP(B127,Data!F:F,Data!O:O),0)</f>
        <v>2.342</v>
      </c>
    </row>
    <row r="128" ht="15.75" customHeight="1">
      <c r="A128" s="153">
        <v>46133.0</v>
      </c>
      <c r="B128" s="27" t="s">
        <v>1125</v>
      </c>
      <c r="C128" s="27">
        <v>1.0</v>
      </c>
      <c r="E128" s="27" t="str">
        <f t="array" ref="E128">IF(C128=1,XLOOKUP(B128,Data!F:F,Data!O:O),0)</f>
        <v>1.998</v>
      </c>
    </row>
    <row r="129" ht="15.75" customHeight="1">
      <c r="A129" s="153">
        <v>46133.0</v>
      </c>
      <c r="B129" s="27" t="s">
        <v>1110</v>
      </c>
      <c r="C129" s="27">
        <v>1.0</v>
      </c>
      <c r="E129" s="27" t="str">
        <f t="array" ref="E129">IF(C129=1,XLOOKUP(B129,Data!F:F,Data!O:O),0)</f>
        <v>2.173</v>
      </c>
    </row>
    <row r="130" ht="15.75" customHeight="1">
      <c r="A130" s="153">
        <v>46133.0</v>
      </c>
      <c r="B130" s="27" t="s">
        <v>1111</v>
      </c>
      <c r="C130" s="27">
        <v>1.0</v>
      </c>
      <c r="E130" s="27" t="str">
        <f t="array" ref="E130">IF(C130=1,XLOOKUP(B130,Data!F:F,Data!O:O),0)</f>
        <v>2.173</v>
      </c>
    </row>
    <row r="131" ht="15.75" customHeight="1">
      <c r="A131" s="153">
        <v>46133.0</v>
      </c>
      <c r="B131" s="27" t="s">
        <v>1113</v>
      </c>
      <c r="C131" s="27">
        <v>1.0</v>
      </c>
      <c r="E131" s="27" t="str">
        <f t="array" ref="E131">IF(C131=1,XLOOKUP(B131,Data!F:F,Data!O:O),0)</f>
        <v>2.173</v>
      </c>
    </row>
    <row r="132" ht="15.75" customHeight="1">
      <c r="A132" s="153">
        <v>46133.0</v>
      </c>
      <c r="B132" s="27" t="s">
        <v>1114</v>
      </c>
      <c r="C132" s="27">
        <v>1.0</v>
      </c>
      <c r="E132" s="27" t="str">
        <f t="array" ref="E132">IF(C132=1,XLOOKUP(B132,Data!F:F,Data!O:O),0)</f>
        <v>1.838</v>
      </c>
    </row>
    <row r="133" ht="15.75" customHeight="1">
      <c r="A133" s="153">
        <v>46133.0</v>
      </c>
      <c r="B133" s="27" t="s">
        <v>1108</v>
      </c>
      <c r="C133" s="27">
        <v>1.0</v>
      </c>
      <c r="E133" s="27" t="str">
        <f t="array" ref="E133">IF(C133=1,XLOOKUP(B133,Data!F:F,Data!O:O),0)</f>
        <v>2.355</v>
      </c>
    </row>
    <row r="134" ht="15.75" customHeight="1">
      <c r="A134" s="153">
        <v>46133.0</v>
      </c>
      <c r="B134" s="27" t="s">
        <v>1106</v>
      </c>
      <c r="C134" s="27">
        <v>1.0</v>
      </c>
      <c r="E134" s="27" t="str">
        <f t="array" ref="E134">IF(C134=1,XLOOKUP(B134,Data!F:F,Data!O:O),0)</f>
        <v>2.347</v>
      </c>
    </row>
    <row r="135" ht="15.75" customHeight="1">
      <c r="A135" s="153">
        <v>46133.0</v>
      </c>
      <c r="B135" s="27" t="s">
        <v>1107</v>
      </c>
      <c r="C135" s="27">
        <v>1.0</v>
      </c>
      <c r="E135" s="27" t="str">
        <f t="array" ref="E135">IF(C135=1,XLOOKUP(B135,Data!F:F,Data!O:O),0)</f>
        <v>2.347</v>
      </c>
    </row>
    <row r="136" ht="15.75" customHeight="1">
      <c r="A136" s="153">
        <v>46133.0</v>
      </c>
      <c r="B136" s="27" t="s">
        <v>1121</v>
      </c>
      <c r="C136" s="27">
        <v>1.0</v>
      </c>
      <c r="E136" s="27" t="str">
        <f t="array" ref="E136">IF(C136=1,XLOOKUP(B136,Data!F:F,Data!O:O),0)</f>
        <v>0.469</v>
      </c>
    </row>
    <row r="137" ht="15.75" customHeight="1">
      <c r="A137" s="153">
        <v>46134.0</v>
      </c>
      <c r="B137" s="27" t="s">
        <v>1134</v>
      </c>
      <c r="C137" s="27">
        <v>1.0</v>
      </c>
      <c r="E137" s="27" t="str">
        <f t="array" ref="E137">IF(C137=1,XLOOKUP(B137,Data!F:F,Data!O:O),0)</f>
        <v>1.062</v>
      </c>
    </row>
    <row r="138" ht="15.75" customHeight="1">
      <c r="A138" s="153">
        <v>46134.0</v>
      </c>
      <c r="B138" s="27" t="s">
        <v>1126</v>
      </c>
      <c r="C138" s="27">
        <v>1.0</v>
      </c>
      <c r="E138" s="27" t="str">
        <f t="array" ref="E138">IF(C138=1,XLOOKUP(B138,Data!F:F,Data!O:O),0)</f>
        <v>2.335</v>
      </c>
    </row>
    <row r="139" ht="15.75" customHeight="1">
      <c r="A139" s="153">
        <v>46134.0</v>
      </c>
      <c r="B139" s="27" t="s">
        <v>1112</v>
      </c>
      <c r="C139" s="27">
        <v>1.0</v>
      </c>
      <c r="E139" s="27" t="str">
        <f t="array" ref="E139">IF(C139=1,XLOOKUP(B139,Data!F:F,Data!O:O),0)</f>
        <v>2.173</v>
      </c>
    </row>
    <row r="140" ht="15.75" customHeight="1">
      <c r="A140" s="153">
        <v>46134.0</v>
      </c>
      <c r="B140" s="27" t="s">
        <v>1105</v>
      </c>
      <c r="C140" s="27">
        <v>1.0</v>
      </c>
      <c r="E140" s="27" t="str">
        <f t="array" ref="E140">IF(C140=1,XLOOKUP(B140,Data!F:F,Data!O:O),0)</f>
        <v>2.011</v>
      </c>
    </row>
    <row r="141" ht="15.75" customHeight="1">
      <c r="A141" s="153">
        <v>46134.0</v>
      </c>
      <c r="B141" s="27" t="s">
        <v>1085</v>
      </c>
      <c r="C141" s="27">
        <v>1.0</v>
      </c>
      <c r="E141" s="27" t="str">
        <f t="array" ref="E141">IF(C141=1,XLOOKUP(B141,Data!F:F,Data!O:O),0)</f>
        <v>2.185</v>
      </c>
    </row>
    <row r="142" ht="15.75" customHeight="1">
      <c r="A142" s="153">
        <v>46134.0</v>
      </c>
      <c r="B142" s="27" t="s">
        <v>1086</v>
      </c>
      <c r="C142" s="27">
        <v>1.0</v>
      </c>
      <c r="E142" s="27" t="str">
        <f t="array" ref="E142">IF(C142=1,XLOOKUP(B142,Data!F:F,Data!O:O),0)</f>
        <v>2.185</v>
      </c>
    </row>
    <row r="143" ht="15.75" customHeight="1">
      <c r="A143" s="153">
        <v>46134.0</v>
      </c>
      <c r="B143" s="27" t="s">
        <v>1087</v>
      </c>
      <c r="C143" s="27">
        <v>1.0</v>
      </c>
      <c r="E143" s="27" t="str">
        <f t="array" ref="E143">IF(C143=1,XLOOKUP(B143,Data!F:F,Data!O:O),0)</f>
        <v>2.185</v>
      </c>
    </row>
    <row r="144" ht="15.75" customHeight="1">
      <c r="A144" s="153">
        <v>46134.0</v>
      </c>
      <c r="B144" s="27" t="s">
        <v>1069</v>
      </c>
      <c r="C144" s="27">
        <v>0.0</v>
      </c>
      <c r="E144" s="27" t="str">
        <f t="array" ref="E144">IF(C144=1,XLOOKUP(B144,Data!F:F,Data!O:O),0)</f>
        <v>0</v>
      </c>
    </row>
    <row r="145" ht="15.75" customHeight="1">
      <c r="A145" s="153">
        <v>46134.0</v>
      </c>
      <c r="B145" s="27" t="s">
        <v>1070</v>
      </c>
      <c r="C145" s="27">
        <v>0.0</v>
      </c>
      <c r="E145" s="27" t="str">
        <f t="array" ref="E145">IF(C145=1,XLOOKUP(B145,Data!F:F,Data!O:O),0)</f>
        <v>0</v>
      </c>
    </row>
    <row r="146" ht="15.75" customHeight="1">
      <c r="A146" s="153">
        <v>46134.0</v>
      </c>
      <c r="B146" s="27" t="s">
        <v>1045</v>
      </c>
      <c r="C146" s="27">
        <v>1.0</v>
      </c>
      <c r="E146" s="27" t="str">
        <f t="array" ref="E146">IF(C146=1,XLOOKUP(B146,Data!F:F,Data!O:O),0)</f>
        <v>1.943</v>
      </c>
    </row>
    <row r="147" ht="15.75" customHeight="1">
      <c r="A147" s="153">
        <v>46134.0</v>
      </c>
      <c r="B147" s="27" t="s">
        <v>1040</v>
      </c>
      <c r="C147" s="27">
        <v>1.0</v>
      </c>
      <c r="E147" s="27" t="str">
        <f t="array" ref="E147">IF(C147=1,XLOOKUP(B147,Data!F:F,Data!O:O),0)</f>
        <v>1.838</v>
      </c>
    </row>
    <row r="148" ht="15.75" customHeight="1">
      <c r="A148" s="153">
        <v>46134.0</v>
      </c>
      <c r="B148" s="27" t="s">
        <v>1039</v>
      </c>
      <c r="C148" s="27">
        <v>1.0</v>
      </c>
      <c r="E148" s="27" t="str">
        <f t="array" ref="E148">IF(C148=1,XLOOKUP(B148,Data!F:F,Data!O:O),0)</f>
        <v>1.838</v>
      </c>
    </row>
    <row r="149" ht="15.75" customHeight="1">
      <c r="A149" s="153">
        <v>46134.0</v>
      </c>
      <c r="B149" s="27" t="s">
        <v>1037</v>
      </c>
      <c r="C149" s="27">
        <v>1.0</v>
      </c>
      <c r="E149" s="27" t="str">
        <f t="array" ref="E149">IF(C149=1,XLOOKUP(B149,Data!F:F,Data!O:O),0)</f>
        <v>1.838</v>
      </c>
    </row>
    <row r="150" ht="15.75" customHeight="1">
      <c r="A150" s="153">
        <v>46134.0</v>
      </c>
      <c r="B150" s="27" t="s">
        <v>1024</v>
      </c>
      <c r="C150" s="27">
        <v>1.0</v>
      </c>
      <c r="E150" s="27" t="str">
        <f t="array" ref="E150">IF(C150=1,XLOOKUP(B150,Data!F:F,Data!O:O),0)</f>
        <v>1.838</v>
      </c>
    </row>
    <row r="151" ht="15.75" customHeight="1">
      <c r="A151" s="153">
        <v>46134.0</v>
      </c>
      <c r="B151" s="27" t="s">
        <v>1025</v>
      </c>
      <c r="C151" s="27">
        <v>1.0</v>
      </c>
      <c r="E151" s="27" t="str">
        <f t="array" ref="E151">IF(C151=1,XLOOKUP(B151,Data!F:F,Data!O:O),0)</f>
        <v>1.838</v>
      </c>
    </row>
    <row r="152" ht="15.75" customHeight="1">
      <c r="A152" s="153">
        <v>46134.0</v>
      </c>
      <c r="B152" s="27" t="s">
        <v>1026</v>
      </c>
      <c r="C152" s="27">
        <v>1.0</v>
      </c>
      <c r="E152" s="27" t="str">
        <f t="array" ref="E152">IF(C152=1,XLOOKUP(B152,Data!F:F,Data!O:O),0)</f>
        <v>1.838</v>
      </c>
    </row>
    <row r="153" ht="15.75" customHeight="1">
      <c r="A153" s="153">
        <v>46135.0</v>
      </c>
      <c r="B153" s="27" t="s">
        <v>1089</v>
      </c>
      <c r="C153" s="27">
        <v>1.0</v>
      </c>
      <c r="E153" s="27" t="str">
        <f t="array" ref="E153">IF(C153=1,XLOOKUP(B153,Data!F:F,Data!O:O),0)</f>
        <v>1.849</v>
      </c>
    </row>
    <row r="154" ht="15.75" customHeight="1">
      <c r="A154" s="153">
        <v>46135.0</v>
      </c>
      <c r="B154" s="27" t="s">
        <v>1043</v>
      </c>
      <c r="C154" s="27">
        <v>1.0</v>
      </c>
      <c r="E154" s="27" t="str">
        <f t="array" ref="E154">IF(C154=1,XLOOKUP(B154,Data!F:F,Data!O:O),0)</f>
        <v>2.28</v>
      </c>
    </row>
    <row r="155" ht="15.75" customHeight="1">
      <c r="A155" s="153">
        <v>46135.0</v>
      </c>
      <c r="B155" s="27" t="s">
        <v>1044</v>
      </c>
      <c r="C155" s="27">
        <v>1.0</v>
      </c>
      <c r="E155" s="27" t="str">
        <f t="array" ref="E155">IF(C155=1,XLOOKUP(B155,Data!F:F,Data!O:O),0)</f>
        <v>2.28</v>
      </c>
    </row>
    <row r="156" ht="15.75" customHeight="1">
      <c r="A156" s="153">
        <v>46135.0</v>
      </c>
      <c r="B156" s="27" t="s">
        <v>1041</v>
      </c>
      <c r="C156" s="27">
        <v>1.0</v>
      </c>
      <c r="E156" s="27" t="str">
        <f t="array" ref="E156">IF(C156=1,XLOOKUP(B156,Data!F:F,Data!O:O),0)</f>
        <v>1.548</v>
      </c>
    </row>
    <row r="157" ht="15.75" customHeight="1">
      <c r="A157" s="153">
        <v>46135.0</v>
      </c>
      <c r="B157" s="27" t="s">
        <v>995</v>
      </c>
      <c r="C157" s="27">
        <v>1.0</v>
      </c>
      <c r="E157" s="27" t="str">
        <f t="array" ref="E157">IF(C157=1,XLOOKUP(B157,Data!F:F,Data!O:O),0)</f>
        <v>2.32</v>
      </c>
    </row>
    <row r="158" ht="15.75" customHeight="1">
      <c r="A158" s="153">
        <v>46135.0</v>
      </c>
      <c r="B158" s="27" t="s">
        <v>996</v>
      </c>
      <c r="C158" s="27">
        <v>1.0</v>
      </c>
      <c r="E158" s="27" t="str">
        <f t="array" ref="E158">IF(C158=1,XLOOKUP(B158,Data!F:F,Data!O:O),0)</f>
        <v>2.316</v>
      </c>
    </row>
    <row r="159" ht="15.75" customHeight="1">
      <c r="A159" s="153">
        <v>46135.0</v>
      </c>
      <c r="B159" s="27" t="s">
        <v>998</v>
      </c>
      <c r="C159" s="27">
        <v>1.0</v>
      </c>
      <c r="E159" s="27" t="str">
        <f t="array" ref="E159">IF(C159=1,XLOOKUP(B159,Data!F:F,Data!O:O),0)</f>
        <v>1.982</v>
      </c>
    </row>
    <row r="160" ht="15.75" customHeight="1">
      <c r="A160" s="153">
        <v>46135.0</v>
      </c>
      <c r="B160" s="27" t="s">
        <v>988</v>
      </c>
      <c r="C160" s="27">
        <v>1.0</v>
      </c>
      <c r="E160" s="27" t="str">
        <f t="array" ref="E160">IF(C160=1,XLOOKUP(B160,Data!F:F,Data!O:O),0)</f>
        <v>2.168</v>
      </c>
    </row>
    <row r="161" ht="15.75" customHeight="1">
      <c r="A161" s="153">
        <v>46136.0</v>
      </c>
      <c r="B161" s="27" t="s">
        <v>1599</v>
      </c>
      <c r="C161" s="27">
        <v>1.0</v>
      </c>
      <c r="E161" s="27" t="str">
        <f t="array" ref="E161">IF(C161=1,XLOOKUP(B161,Data!F:F,Data!O:O),0)</f>
        <v>1.9</v>
      </c>
    </row>
    <row r="162" ht="15.75" customHeight="1">
      <c r="A162" s="153">
        <v>46136.0</v>
      </c>
      <c r="B162" s="27" t="s">
        <v>1603</v>
      </c>
      <c r="C162" s="27">
        <v>1.0</v>
      </c>
      <c r="E162" s="27" t="str">
        <f t="array" ref="E162">IF(C162=1,XLOOKUP(B162,Data!F:F,Data!O:O),0)</f>
        <v>2.32</v>
      </c>
    </row>
    <row r="163" ht="15.75" customHeight="1">
      <c r="A163" s="153">
        <v>46136.0</v>
      </c>
      <c r="B163" s="27" t="s">
        <v>1604</v>
      </c>
      <c r="C163" s="27">
        <v>1.0</v>
      </c>
      <c r="E163" s="27" t="str">
        <f t="array" ref="E163">IF(C163=1,XLOOKUP(B163,Data!F:F,Data!O:O),0)</f>
        <v>2.32</v>
      </c>
    </row>
    <row r="164" ht="15.75" customHeight="1">
      <c r="A164" s="153">
        <v>46136.0</v>
      </c>
      <c r="B164" s="27" t="s">
        <v>1600</v>
      </c>
      <c r="C164" s="27">
        <v>1.0</v>
      </c>
      <c r="E164" s="27" t="str">
        <f t="array" ref="E164">IF(C164=1,XLOOKUP(B164,Data!F:F,Data!O:O),0)</f>
        <v>1.9</v>
      </c>
    </row>
    <row r="165" ht="15.75" customHeight="1">
      <c r="A165" s="153">
        <v>46137.0</v>
      </c>
      <c r="B165" s="27" t="s">
        <v>1210</v>
      </c>
      <c r="C165" s="27">
        <v>1.0</v>
      </c>
      <c r="E165" s="27" t="str">
        <f t="array" ref="E165">IF(C165=1,XLOOKUP(B165,Data!F:F,Data!O:O),0)</f>
        <v>2.251</v>
      </c>
    </row>
    <row r="166" ht="15.75" customHeight="1">
      <c r="A166" s="153">
        <v>46137.0</v>
      </c>
      <c r="B166" s="27" t="s">
        <v>1221</v>
      </c>
      <c r="C166" s="27">
        <v>1.0</v>
      </c>
      <c r="E166" s="27" t="str">
        <f t="array" ref="E166">IF(C166=1,XLOOKUP(B166,Data!F:F,Data!O:O),0)</f>
        <v>2.076</v>
      </c>
    </row>
    <row r="167" ht="15.75" customHeight="1">
      <c r="A167" s="153">
        <v>46137.0</v>
      </c>
      <c r="B167" s="27" t="s">
        <v>1222</v>
      </c>
      <c r="C167" s="27">
        <v>1.0</v>
      </c>
      <c r="E167" s="27" t="str">
        <f t="array" ref="E167">IF(C167=1,XLOOKUP(B167,Data!F:F,Data!O:O),0)</f>
        <v>2.076</v>
      </c>
    </row>
    <row r="168" ht="15.75" customHeight="1">
      <c r="A168" s="153">
        <v>46141.0</v>
      </c>
      <c r="B168" s="27" t="s">
        <v>1344</v>
      </c>
      <c r="C168" s="27">
        <v>1.0</v>
      </c>
      <c r="E168" s="27" t="str">
        <f t="array" ref="E168">IF(C168=1,XLOOKUP(B168,Data!F:F,Data!O:O),0)</f>
        <v>2.139</v>
      </c>
    </row>
    <row r="169" ht="15.75" customHeight="1">
      <c r="A169" s="153">
        <v>46141.0</v>
      </c>
      <c r="B169" s="27" t="s">
        <v>1342</v>
      </c>
      <c r="C169" s="27">
        <v>1.0</v>
      </c>
      <c r="E169" s="27" t="str">
        <f t="array" ref="E169">IF(C169=1,XLOOKUP(B169,Data!F:F,Data!O:O),0)</f>
        <v>1.7136</v>
      </c>
    </row>
    <row r="170" ht="15.75" customHeight="1">
      <c r="A170" s="153">
        <v>46141.0</v>
      </c>
      <c r="B170" s="27" t="s">
        <v>1340</v>
      </c>
      <c r="C170" s="27">
        <v>1.0</v>
      </c>
      <c r="E170" s="27" t="str">
        <f t="array" ref="E170">IF(C170=1,XLOOKUP(B170,Data!F:F,Data!O:O),0)</f>
        <v>1.736</v>
      </c>
    </row>
    <row r="171" ht="15.75" customHeight="1">
      <c r="A171" s="153">
        <v>46141.0</v>
      </c>
      <c r="B171" s="27" t="s">
        <v>1350</v>
      </c>
      <c r="C171" s="27">
        <v>1.0</v>
      </c>
      <c r="E171" s="27" t="str">
        <f t="array" ref="E171">IF(C171=1,XLOOKUP(B171,Data!F:F,Data!O:O),0)</f>
        <v>0.657</v>
      </c>
    </row>
    <row r="172" ht="15.75" customHeight="1">
      <c r="A172" s="153">
        <v>46141.0</v>
      </c>
      <c r="B172" s="27" t="s">
        <v>1351</v>
      </c>
      <c r="C172" s="27">
        <v>1.0</v>
      </c>
      <c r="E172" s="27" t="str">
        <f t="array" ref="E172">IF(C172=1,XLOOKUP(B172,Data!F:F,Data!O:O),0)</f>
        <v>0.657</v>
      </c>
    </row>
    <row r="173" ht="15.75" customHeight="1">
      <c r="A173" s="153">
        <v>46141.0</v>
      </c>
      <c r="B173" s="27" t="s">
        <v>1323</v>
      </c>
      <c r="C173" s="27">
        <v>1.0</v>
      </c>
      <c r="E173" s="27" t="str">
        <f t="array" ref="E173">IF(C173=1,XLOOKUP(B173,Data!F:F,Data!O:O),0)</f>
        <v>0.43</v>
      </c>
    </row>
    <row r="174" ht="15.75" customHeight="1">
      <c r="A174" s="153">
        <v>46141.0</v>
      </c>
      <c r="B174" s="27" t="s">
        <v>1324</v>
      </c>
      <c r="C174" s="27">
        <v>1.0</v>
      </c>
      <c r="E174" s="27" t="str">
        <f t="array" ref="E174">IF(C174=1,XLOOKUP(B174,Data!F:F,Data!O:O),0)</f>
        <v>0.373</v>
      </c>
    </row>
    <row r="175" ht="15.75" customHeight="1">
      <c r="A175" s="153">
        <v>46142.0</v>
      </c>
      <c r="B175" s="27" t="s">
        <v>1268</v>
      </c>
      <c r="C175" s="27">
        <v>1.0</v>
      </c>
      <c r="E175" s="27" t="str">
        <f t="array" ref="E175">IF(C175=1,XLOOKUP(B175,Data!F:F,Data!O:O),0)</f>
        <v>1.12</v>
      </c>
    </row>
    <row r="176" ht="15.75" customHeight="1">
      <c r="A176" s="153">
        <v>46142.0</v>
      </c>
      <c r="B176" s="27" t="s">
        <v>1269</v>
      </c>
      <c r="C176" s="27">
        <v>1.0</v>
      </c>
      <c r="E176" s="27" t="str">
        <f t="array" ref="E176">IF(C176=1,XLOOKUP(B176,Data!F:F,Data!O:O),0)</f>
        <v>1.26</v>
      </c>
    </row>
    <row r="177" ht="15.75" customHeight="1">
      <c r="A177" s="153">
        <v>46142.0</v>
      </c>
      <c r="B177" s="27" t="s">
        <v>1248</v>
      </c>
      <c r="C177" s="27">
        <v>1.0</v>
      </c>
      <c r="E177" s="27" t="str">
        <f t="array" ref="E177">IF(C177=1,XLOOKUP(B177,Data!F:F,Data!O:O),0)</f>
        <v>1.5</v>
      </c>
    </row>
    <row r="178" ht="15.75" customHeight="1">
      <c r="A178" s="153">
        <v>46142.0</v>
      </c>
      <c r="B178" s="27" t="s">
        <v>1311</v>
      </c>
      <c r="C178" s="27">
        <v>1.0</v>
      </c>
      <c r="E178" s="27" t="str">
        <f t="array" ref="E178">IF(C178=1,XLOOKUP(B178,Data!F:F,Data!O:O),0)</f>
        <v>0.47</v>
      </c>
    </row>
    <row r="179" ht="15.75" customHeight="1">
      <c r="A179" s="153">
        <v>46143.0</v>
      </c>
      <c r="B179" t="s">
        <v>1060</v>
      </c>
      <c r="C179" s="27">
        <v>1.0</v>
      </c>
      <c r="E179" s="27" t="str">
        <f t="array" ref="E179">IF(C179=1,XLOOKUP(B179,Data!F:F,Data!O:O),0)</f>
        <v>2.725</v>
      </c>
    </row>
    <row r="180" ht="15.75" customHeight="1">
      <c r="A180" s="153">
        <v>46143.0</v>
      </c>
      <c r="B180" t="s">
        <v>1062</v>
      </c>
      <c r="C180" s="27">
        <v>1.0</v>
      </c>
      <c r="E180" s="27" t="str">
        <f t="array" ref="E180">IF(C180=1,XLOOKUP(B180,Data!F:F,Data!O:O),0)</f>
        <v>2.656</v>
      </c>
    </row>
    <row r="181" ht="15.75" customHeight="1">
      <c r="A181" s="153">
        <v>46143.0</v>
      </c>
      <c r="B181" t="s">
        <v>1094</v>
      </c>
      <c r="C181" s="27">
        <v>1.0</v>
      </c>
      <c r="E181" s="27" t="str">
        <f t="array" ref="E181">IF(C181=1,XLOOKUP(B181,Data!F:F,Data!O:O),0)</f>
        <v>2.811</v>
      </c>
    </row>
    <row r="182" ht="15.75" customHeight="1">
      <c r="A182" s="153">
        <v>46143.0</v>
      </c>
      <c r="B182" t="s">
        <v>1095</v>
      </c>
      <c r="C182" s="27">
        <v>1.0</v>
      </c>
      <c r="E182" s="27" t="str">
        <f t="array" ref="E182">IF(C182=1,XLOOKUP(B182,Data!F:F,Data!O:O),0)</f>
        <v>2.811</v>
      </c>
    </row>
    <row r="183" ht="15.75" customHeight="1">
      <c r="A183" s="153">
        <v>46143.0</v>
      </c>
      <c r="B183" t="s">
        <v>1072</v>
      </c>
      <c r="C183" s="27">
        <v>1.0</v>
      </c>
      <c r="E183" s="27" t="str">
        <f t="array" ref="E183">IF(C183=1,XLOOKUP(B183,Data!F:F,Data!O:O),0)</f>
        <v>2.19</v>
      </c>
    </row>
    <row r="184" ht="15.75" customHeight="1">
      <c r="A184" s="153">
        <v>46143.0</v>
      </c>
      <c r="B184" t="s">
        <v>1073</v>
      </c>
      <c r="C184" s="27">
        <v>1.0</v>
      </c>
      <c r="E184" s="27" t="str">
        <f t="array" ref="E184">IF(C184=1,XLOOKUP(B184,Data!F:F,Data!O:O),0)</f>
        <v>2.19</v>
      </c>
    </row>
    <row r="185" ht="15.75" customHeight="1">
      <c r="A185" s="153">
        <v>46143.0</v>
      </c>
      <c r="B185" t="s">
        <v>1074</v>
      </c>
      <c r="C185" s="27">
        <v>1.0</v>
      </c>
      <c r="E185" s="27" t="str">
        <f t="array" ref="E185">IF(C185=1,XLOOKUP(B185,Data!F:F,Data!O:O),0)</f>
        <v>2.19</v>
      </c>
    </row>
    <row r="186" ht="15.75" customHeight="1">
      <c r="A186" s="153">
        <v>46143.0</v>
      </c>
      <c r="B186" t="s">
        <v>1070</v>
      </c>
      <c r="C186" s="27">
        <v>1.0</v>
      </c>
      <c r="E186" s="27" t="str">
        <f t="array" ref="E186">IF(C186=1,XLOOKUP(B186,Data!F:F,Data!O:O),0)</f>
        <v>0.925</v>
      </c>
    </row>
    <row r="187" ht="15.75" customHeight="1">
      <c r="A187" s="153">
        <v>46143.0</v>
      </c>
      <c r="B187" t="s">
        <v>1637</v>
      </c>
      <c r="C187" s="27">
        <v>1.0</v>
      </c>
      <c r="E187" s="27" t="str">
        <f t="array" ref="E187">IF(C187=1,XLOOKUP(B187,Data!F:F,Data!O:O),0)</f>
        <v>1.983</v>
      </c>
    </row>
    <row r="188" ht="15.75" customHeight="1">
      <c r="A188" s="153">
        <v>46143.0</v>
      </c>
      <c r="B188" t="s">
        <v>1602</v>
      </c>
      <c r="C188" s="27">
        <v>1.0</v>
      </c>
      <c r="E188" s="27" t="str">
        <f t="array" ref="E188">IF(C188=1,XLOOKUP(B188,Data!F:F,Data!O:O),0)</f>
        <v>2.32</v>
      </c>
    </row>
    <row r="189" ht="15.75" customHeight="1">
      <c r="A189" s="153">
        <v>46143.0</v>
      </c>
      <c r="B189" t="s">
        <v>1610</v>
      </c>
      <c r="C189" s="27">
        <v>1.0</v>
      </c>
      <c r="E189" s="27" t="str">
        <f t="array" ref="E189">IF(C189=1,XLOOKUP(B189,Data!F:F,Data!O:O),0)</f>
        <v>1.983</v>
      </c>
    </row>
    <row r="190" ht="15.75" customHeight="1">
      <c r="A190" s="153">
        <v>46143.0</v>
      </c>
      <c r="B190" t="s">
        <v>1598</v>
      </c>
      <c r="C190" s="27">
        <v>1.0</v>
      </c>
      <c r="E190" s="27" t="str">
        <f t="array" ref="E190">IF(C190=1,XLOOKUP(B190,Data!F:F,Data!O:O),0)</f>
        <v>1.9</v>
      </c>
    </row>
  </sheetData>
  <autoFilter ref="$A$1:$F$178"/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baseType="lpstr" size="17">
      <vt:lpstr>Summary</vt:lpstr>
      <vt:lpstr>Element wise-detail Summary</vt:lpstr>
      <vt:lpstr>Location_Summary</vt:lpstr>
      <vt:lpstr>Data</vt:lpstr>
      <vt:lpstr>Cast</vt:lpstr>
      <vt:lpstr>Del</vt:lpstr>
      <vt:lpstr>Ere</vt:lpstr>
      <vt:lpstr>CastDates</vt:lpstr>
      <vt:lpstr>CastElements</vt:lpstr>
      <vt:lpstr>Cast!Print_Area</vt:lpstr>
      <vt:lpstr>Del!Print_Area</vt:lpstr>
      <vt:lpstr>Ere!Print_Area</vt:lpstr>
      <vt:lpstr>Location_Summary!Print_Area</vt:lpstr>
      <vt:lpstr>Summary!Print_Area</vt:lpstr>
      <vt:lpstr>Cast!Print_Titles</vt:lpstr>
      <vt:lpstr>'Element wise-detail Summary'!Print_Titles</vt:lpstr>
      <vt:lpstr>Summary!Print_Titles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lokeshwar Valaboju (Planning Engineer)</dc:creator>
  <cp:lastModifiedBy>Vikrant Patil</cp:lastModifiedBy>
  <cp:lastPrinted>2026-04-27T08:56:43Z</cp:lastPrinted>
  <dcterms:modified xsi:type="dcterms:W3CDTF">2026-05-09T06:52:14Z</dcterms:modified>
</cp:coreProperties>
</file>